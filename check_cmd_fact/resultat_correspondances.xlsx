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Worksheet" sheetId="1" r:id="rId4"/>
    <sheet name="not_match" sheetId="2" r:id="rId5"/>
    <sheet name="Analyse" sheetId="3" r:id="rId6"/>
    <sheet name="empty_cmd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<sst xmlns="http://schemas.openxmlformats.org/spreadsheetml/2006/main" uniqueCount="20102">
  <si>
    <t>Réf.</t>
  </si>
  <si>
    <t>Réf. commande client</t>
  </si>
  <si>
    <t>Tiers</t>
  </si>
  <si>
    <t>Type du tiers</t>
  </si>
  <si>
    <t>Date de commande</t>
  </si>
  <si>
    <t>Date prévue de livraison</t>
  </si>
  <si>
    <t>Montant HT</t>
  </si>
  <si>
    <t>Montant TTC</t>
  </si>
  <si>
    <t>Auteur</t>
  </si>
  <si>
    <t>Environnement</t>
  </si>
  <si>
    <t>Facturé</t>
  </si>
  <si>
    <t>StatutFacture</t>
  </si>
  <si>
    <t>État</t>
  </si>
  <si>
    <t>Date facturation</t>
  </si>
  <si>
    <t>Date échéance</t>
  </si>
  <si>
    <t>Ref projet</t>
  </si>
  <si>
    <t>Nom alternatif</t>
  </si>
  <si>
    <t>Créé par</t>
  </si>
  <si>
    <t>Reçu</t>
  </si>
  <si>
    <t>Créance</t>
  </si>
  <si>
    <t>Déjà payé, devise d'origine</t>
  </si>
  <si>
    <t>Reste à payer (devise d'origine)</t>
  </si>
  <si>
    <t>Date closing</t>
  </si>
  <si>
    <t>StatusCommande</t>
  </si>
  <si>
    <t>agence</t>
  </si>
  <si>
    <t>SO2601-94727</t>
  </si>
  <si>
    <t>CU2407-00148 -  CLIENTS COMPTOIR NKOABANG</t>
  </si>
  <si>
    <t>31/01/2026</t>
  </si>
  <si>
    <t>31/01/2026 00:00</t>
  </si>
  <si>
    <t>NANA NOUMCHUE Adolphe</t>
  </si>
  <si>
    <t>AGENCE NKOABANG</t>
  </si>
  <si>
    <t>Oui</t>
  </si>
  <si>
    <t>Payée</t>
  </si>
  <si>
    <t>Livrée</t>
  </si>
  <si>
    <t>IN2601-104035</t>
  </si>
  <si>
    <t>PROCTOR AI</t>
  </si>
  <si>
    <t>DIRECTION GENERALE</t>
  </si>
  <si>
    <t>02/02/2026 11:23</t>
  </si>
  <si>
    <t>SO2601-94654</t>
  </si>
  <si>
    <t>CU2502-01255 -  SIETCHIPING</t>
  </si>
  <si>
    <t>CHENDJOU François Xavier</t>
  </si>
  <si>
    <t>AGENCE NDOBO</t>
  </si>
  <si>
    <t>IN2601-103962</t>
  </si>
  <si>
    <t>01/02/2026</t>
  </si>
  <si>
    <t>31/01/2026 14:24</t>
  </si>
  <si>
    <t>SO2601-94652</t>
  </si>
  <si>
    <t>Mme NANA</t>
  </si>
  <si>
    <t>CU2407-00145 -  CLIENTS COMPTOIR MESSASSI</t>
  </si>
  <si>
    <t>TCHIPTCHOUA NOUTSWE Jean…</t>
  </si>
  <si>
    <t>AGENCE MESSASSI</t>
  </si>
  <si>
    <t>IN2601-103960</t>
  </si>
  <si>
    <t>31/01/2026 13:57</t>
  </si>
  <si>
    <t>SO2601-94651</t>
  </si>
  <si>
    <t>M ARMEL</t>
  </si>
  <si>
    <t>IN2601-103959</t>
  </si>
  <si>
    <t>31/01/2026 13:51</t>
  </si>
  <si>
    <t>SO2601-94650</t>
  </si>
  <si>
    <t>ETS MBAGA / 698263461</t>
  </si>
  <si>
    <t>CU2407-00385 -  ETS MBAGA</t>
  </si>
  <si>
    <t>NSANGOU Jean Marcel</t>
  </si>
  <si>
    <t>AGENCE NGAOUNDERE</t>
  </si>
  <si>
    <t>IN2601-103958</t>
  </si>
  <si>
    <t>31/01/2026 13:49</t>
  </si>
  <si>
    <t>SO2601-94649</t>
  </si>
  <si>
    <t>CU2407-01013 -  ISMAËL GAMBO</t>
  </si>
  <si>
    <t>IN2601-103957</t>
  </si>
  <si>
    <t>SO2601-94647</t>
  </si>
  <si>
    <t>YAWE PASCAL / 695366183</t>
  </si>
  <si>
    <t>CU2407-00147 -  CLIENTS COMPTOIR NGAOUNDERE</t>
  </si>
  <si>
    <t>IN2601-103955</t>
  </si>
  <si>
    <t>31/01/2026 13:38</t>
  </si>
  <si>
    <t>SO2601-94646</t>
  </si>
  <si>
    <t>EMMANUEL 650118069</t>
  </si>
  <si>
    <t>CU2407-00139 -  CLIENT COMPTOIR SIEGE ZSCL00114 (CLIENT COMPTOIR SIEGE)</t>
  </si>
  <si>
    <t>IN2601-103954</t>
  </si>
  <si>
    <t>CU2407-00139 -  CLIENT COMPTOIR SIEGE ZSCL00114</t>
  </si>
  <si>
    <t>CLIENT COMPTOIR SIEGE</t>
  </si>
  <si>
    <t>31/01/2026 13:37</t>
  </si>
  <si>
    <t>SO2601-94645</t>
  </si>
  <si>
    <t>IBRAHIMA / 693861638</t>
  </si>
  <si>
    <t>IN2601-103953</t>
  </si>
  <si>
    <t>SO2601-94644</t>
  </si>
  <si>
    <t>M DIEUGWA</t>
  </si>
  <si>
    <t>IN2601-103952</t>
  </si>
  <si>
    <t>31/01/2026 13:28</t>
  </si>
  <si>
    <t>SO2601-94643</t>
  </si>
  <si>
    <t>IN2601-103951</t>
  </si>
  <si>
    <t>31/01/2026 13:23</t>
  </si>
  <si>
    <t>SO2601-94642</t>
  </si>
  <si>
    <t>M DAM</t>
  </si>
  <si>
    <t>IN2601-103950</t>
  </si>
  <si>
    <t>31/01/2026 13:22</t>
  </si>
  <si>
    <t>SO2601-94641</t>
  </si>
  <si>
    <t>CU2601-14335 -  CHO SALAH PIUS</t>
  </si>
  <si>
    <t>DJIGNA NGATCHOU MELANIE</t>
  </si>
  <si>
    <t>AGENCE AHALA</t>
  </si>
  <si>
    <t>IN2601-103949</t>
  </si>
  <si>
    <t>SO2601-94640</t>
  </si>
  <si>
    <t>M DIFO</t>
  </si>
  <si>
    <t>IN2601-103948</t>
  </si>
  <si>
    <t>31/01/2026 13:24</t>
  </si>
  <si>
    <t>SO2601-94639</t>
  </si>
  <si>
    <t>MVENG SIMONE / 691297067</t>
  </si>
  <si>
    <t>IN2601-103947</t>
  </si>
  <si>
    <t>31/01/2026 13:19</t>
  </si>
  <si>
    <t>SO2601-94638</t>
  </si>
  <si>
    <t>CU2512-14195 -  TEKO NGHOJIO PATRICK DUPLEX</t>
  </si>
  <si>
    <t>IN2601-103946</t>
  </si>
  <si>
    <t>31/01/2026 13:21</t>
  </si>
  <si>
    <t>SO2601-94637</t>
  </si>
  <si>
    <t>IN2601-103945</t>
  </si>
  <si>
    <t>31/01/2026 13:14</t>
  </si>
  <si>
    <t>SO2601-94636</t>
  </si>
  <si>
    <t>CU2512-14213 -  ETS COMPLEXE D'ELEVAGE ROMUALD D'AWAIL (DJATSA YONTA ROMUAL)</t>
  </si>
  <si>
    <t>ELEVEUR</t>
  </si>
  <si>
    <t>IN2601-103944</t>
  </si>
  <si>
    <t>CU2512-14213 -  ETS COMPLEXE D'ELEVAGE ROMUALD D'AWAIL</t>
  </si>
  <si>
    <t>DJATSA YONTA ROMUAL</t>
  </si>
  <si>
    <t>31/01/2026 13:01</t>
  </si>
  <si>
    <t>SO2601-94635</t>
  </si>
  <si>
    <t>CHE</t>
  </si>
  <si>
    <t>IN2601-103943</t>
  </si>
  <si>
    <t>31/01/2026 12:58</t>
  </si>
  <si>
    <t>SO2601-94634</t>
  </si>
  <si>
    <t>TCHASSEM FRANKY 679429701</t>
  </si>
  <si>
    <t>CU2406-00004 -  CLIENT COMPTOIR AXE LOURD</t>
  </si>
  <si>
    <t>NGO NJIKY Catherine Chan…</t>
  </si>
  <si>
    <t>AGENCE VILLAGE</t>
  </si>
  <si>
    <t>IN2601-103942</t>
  </si>
  <si>
    <t>31/01/2026 13:02</t>
  </si>
  <si>
    <t>SO2601-94633</t>
  </si>
  <si>
    <t>CU2407-00138 -  CLIENTS COMPTOIR AHALA</t>
  </si>
  <si>
    <t>IN2601-103941</t>
  </si>
  <si>
    <t>31/01/2026 13:00</t>
  </si>
  <si>
    <t>SO2601-94632</t>
  </si>
  <si>
    <t>CU2407-00140 -  CLIENTS COMPTOIR BAF-DJELENG</t>
  </si>
  <si>
    <t>BOUKAM Franck Cedric</t>
  </si>
  <si>
    <t>AGENCE DJELENG</t>
  </si>
  <si>
    <t>IN2601-103940</t>
  </si>
  <si>
    <t>31/01/2026 13:06</t>
  </si>
  <si>
    <t>SO2601-94631</t>
  </si>
  <si>
    <t>DIAMOND FARM 699523407</t>
  </si>
  <si>
    <t>IN2601-103939</t>
  </si>
  <si>
    <t>31/01/2026 12:57</t>
  </si>
  <si>
    <t>SO2601-94630</t>
  </si>
  <si>
    <t>CU2407-00774 -  MEKESSE SUZANNE</t>
  </si>
  <si>
    <t>IN2601-103938</t>
  </si>
  <si>
    <t>31/01/2026 13:03</t>
  </si>
  <si>
    <t>SO2601-94629</t>
  </si>
  <si>
    <t>SADELIT 656940169</t>
  </si>
  <si>
    <t>IN2601-103937</t>
  </si>
  <si>
    <t>31/01/2026 13:04</t>
  </si>
  <si>
    <t>SO2601-94628</t>
  </si>
  <si>
    <t>CU2505-13381 -  ETS MOFFO FOBOU MERLIN (MOFFO FOBOU MERLIN)</t>
  </si>
  <si>
    <t>PROVENDIER</t>
  </si>
  <si>
    <t>IN2601-103936</t>
  </si>
  <si>
    <t>CU2505-13381 -  ETS MOFFO FOBOU MERLIN</t>
  </si>
  <si>
    <t>MOFFO FOBOU MERLIN</t>
  </si>
  <si>
    <t>31/01/2026 12:53</t>
  </si>
  <si>
    <t>SO2601-94627</t>
  </si>
  <si>
    <t>M WOUAGNI FRANKLIN</t>
  </si>
  <si>
    <t>IN2601-103935</t>
  </si>
  <si>
    <t>31/01/2026 12:49</t>
  </si>
  <si>
    <t>SO2601-94626</t>
  </si>
  <si>
    <t>CU2407-00971 -  AVIC LEADER</t>
  </si>
  <si>
    <t>IN2601-103934</t>
  </si>
  <si>
    <t>31/01/2026 12:56</t>
  </si>
  <si>
    <t>SO2601-94625</t>
  </si>
  <si>
    <t>TCHUISSEU 654976962</t>
  </si>
  <si>
    <t>IN2601-103933</t>
  </si>
  <si>
    <t>SO2601-94624</t>
  </si>
  <si>
    <t>THIERRY MBALLA 658629683</t>
  </si>
  <si>
    <t>CU2406-00012 -  CLIENTS COMPTOIR PK11</t>
  </si>
  <si>
    <t>MAGNE MAGOUM ELISE GILBE…</t>
  </si>
  <si>
    <t>AGENCE PK11</t>
  </si>
  <si>
    <t>IN2601-103932</t>
  </si>
  <si>
    <t>31/01/2026 12:45</t>
  </si>
  <si>
    <t>SO2601-94623</t>
  </si>
  <si>
    <t>CU2510-14150 -  NKONTCHOU JOSEPH VINCENT</t>
  </si>
  <si>
    <t>PAPOU CHIME Annie Solange</t>
  </si>
  <si>
    <t>AGENCE BERTOUA</t>
  </si>
  <si>
    <t>IN2601-103931</t>
  </si>
  <si>
    <t>31/01/2026 12:51</t>
  </si>
  <si>
    <t>SO2601-94621</t>
  </si>
  <si>
    <t>CU2407-00478 -  ASANGWE PAUL</t>
  </si>
  <si>
    <t>IN2601-103929</t>
  </si>
  <si>
    <t>SO2601-94620</t>
  </si>
  <si>
    <t>CU2407-00189 -  GIC.BAPEPA</t>
  </si>
  <si>
    <t>IN2601-103928</t>
  </si>
  <si>
    <t>SO2601-94619</t>
  </si>
  <si>
    <t>CU2502-01248 -  PROV BONHEUR</t>
  </si>
  <si>
    <t>IN2601-103927</t>
  </si>
  <si>
    <t>31/01/2026 12:36</t>
  </si>
  <si>
    <t>SO2601-94618</t>
  </si>
  <si>
    <t>SIKADI SANDRINE 680979728</t>
  </si>
  <si>
    <t>IN2601-103926</t>
  </si>
  <si>
    <t>31/01/2026 12:40</t>
  </si>
  <si>
    <t>SO2601-94617</t>
  </si>
  <si>
    <t>NGOMSI FELIX 670450149</t>
  </si>
  <si>
    <t>IN2601-103925</t>
  </si>
  <si>
    <t>SO2601-94616</t>
  </si>
  <si>
    <t>HAMIDOU MOUSSA / 698 88 75 64</t>
  </si>
  <si>
    <t>CU2510-14127 -  HAMIDOU MOUSSA</t>
  </si>
  <si>
    <t>IN2601-103924</t>
  </si>
  <si>
    <t>31/01/2026 12:37</t>
  </si>
  <si>
    <t>SO2601-94614</t>
  </si>
  <si>
    <t>ABDOUL HAKIM/697326039</t>
  </si>
  <si>
    <t>CU2407-00384 -  ABDOUL HAKIM</t>
  </si>
  <si>
    <t>IN2601-103922</t>
  </si>
  <si>
    <t>31/01/2026 12:38</t>
  </si>
  <si>
    <t>SO2601-94613</t>
  </si>
  <si>
    <t>MOUSSA TIRBEL / 695629241</t>
  </si>
  <si>
    <t>IN2601-103921</t>
  </si>
  <si>
    <t>31/01/2026 12:34</t>
  </si>
  <si>
    <t>SO2601-94612</t>
  </si>
  <si>
    <t>NDIEYEP 678439400</t>
  </si>
  <si>
    <t>IN2601-103920</t>
  </si>
  <si>
    <t>31/01/2026 12:28</t>
  </si>
  <si>
    <t>SO2601-94611</t>
  </si>
  <si>
    <t>MBELE JOSEPH / 693306294</t>
  </si>
  <si>
    <t>CU2508-13614 -  MBELE JOSEPH (ETS MJ NOVA) (MBELE JOSEPH)</t>
  </si>
  <si>
    <t>IN2601-103919</t>
  </si>
  <si>
    <t>CU2508-13614 -  MBELE JOSEPH (ETS MJ NOVA)</t>
  </si>
  <si>
    <t>MBELE JOSEPH</t>
  </si>
  <si>
    <t>31/01/2026 12:27</t>
  </si>
  <si>
    <t>SO2601-94610</t>
  </si>
  <si>
    <t>CU2503-01272 -  LEMNYUY BETILLA VERNYUY</t>
  </si>
  <si>
    <t>TCHAMKOU Cyrille Carlos</t>
  </si>
  <si>
    <t>AGENCE DE BAMENDA - DEPOT MBOUDA</t>
  </si>
  <si>
    <t>IN2601-103918</t>
  </si>
  <si>
    <t>31/01/2026 12:25</t>
  </si>
  <si>
    <t>SO2601-94609</t>
  </si>
  <si>
    <t>KOLLA RICHARD / 655119317</t>
  </si>
  <si>
    <t>IN2601-103917</t>
  </si>
  <si>
    <t>SO2601-94608</t>
  </si>
  <si>
    <t>Mme ONGUENE CATHERINE</t>
  </si>
  <si>
    <t>IN2601-103916</t>
  </si>
  <si>
    <t>31/01/2026 12:21</t>
  </si>
  <si>
    <t>SO2601-94607</t>
  </si>
  <si>
    <t>M PENN CYPRIAN</t>
  </si>
  <si>
    <t>IN2601-103915</t>
  </si>
  <si>
    <t>31/01/2026 12:20</t>
  </si>
  <si>
    <t>SO2601-94606</t>
  </si>
  <si>
    <t>ONDOUA 655783731</t>
  </si>
  <si>
    <t>IN2601-103914</t>
  </si>
  <si>
    <t>31/01/2026 12:15</t>
  </si>
  <si>
    <t>SO2601-94605</t>
  </si>
  <si>
    <t>TCHOUANGUEP FERNAND 679402045</t>
  </si>
  <si>
    <t>IN2601-103913</t>
  </si>
  <si>
    <t>31/01/2026 12:22</t>
  </si>
  <si>
    <t>SO2601-94604</t>
  </si>
  <si>
    <t>NGAYO PROSPER 677706159</t>
  </si>
  <si>
    <t>IN2601-103912</t>
  </si>
  <si>
    <t>31/01/2026 12:14</t>
  </si>
  <si>
    <t>SO2601-94603</t>
  </si>
  <si>
    <t>NZOKOU GASTON 675646579</t>
  </si>
  <si>
    <t>IN2601-103911</t>
  </si>
  <si>
    <t>31/01/2026 12:13</t>
  </si>
  <si>
    <t>SO2601-94602</t>
  </si>
  <si>
    <t>CU2505-13369 -  DAKAYI KANKAM FRACK CEDRIC</t>
  </si>
  <si>
    <t>IN2601-103910</t>
  </si>
  <si>
    <t>31/01/2026 12:12</t>
  </si>
  <si>
    <t>SO2601-94601</t>
  </si>
  <si>
    <t>MIKAM OLIVIER 677157136</t>
  </si>
  <si>
    <t>MIKAM OLIVIER</t>
  </si>
  <si>
    <t>IN2601-103909</t>
  </si>
  <si>
    <t>SO2601-94600</t>
  </si>
  <si>
    <t>ANDRE</t>
  </si>
  <si>
    <t>CU2406-00122 -  CLIENTS COMPTOIR FAMLA</t>
  </si>
  <si>
    <t>KAMMOE BOUOM Guy Konrad</t>
  </si>
  <si>
    <t>AGENCE FAMLA</t>
  </si>
  <si>
    <t>IN2601-103908</t>
  </si>
  <si>
    <t>31/01/2026 12:10</t>
  </si>
  <si>
    <t>SO2601-94599</t>
  </si>
  <si>
    <t>CU2502-01224 -  PROVENDERIE YVESCAM</t>
  </si>
  <si>
    <t>IN2601-103907</t>
  </si>
  <si>
    <t>31/01/2026 12:19</t>
  </si>
  <si>
    <t>SO2601-94598</t>
  </si>
  <si>
    <t>MUHAMAD ALI / 690230815</t>
  </si>
  <si>
    <t>IN2601-103906</t>
  </si>
  <si>
    <t>31/01/2026 12:42</t>
  </si>
  <si>
    <t>SO2601-94597</t>
  </si>
  <si>
    <t>IN2601-103905</t>
  </si>
  <si>
    <t>SO2601-94596</t>
  </si>
  <si>
    <t>ZANGUIM JEAN MARTIN / 677 84 69 97</t>
  </si>
  <si>
    <t>IN2601-103904</t>
  </si>
  <si>
    <t>31/01/2026 12:44</t>
  </si>
  <si>
    <t>SO2601-94595</t>
  </si>
  <si>
    <t>CU2512-14207 -  MACHE ESTHER</t>
  </si>
  <si>
    <t>IN2601-103903</t>
  </si>
  <si>
    <t>31/01/2026 12:00</t>
  </si>
  <si>
    <t>SO2601-94594</t>
  </si>
  <si>
    <t>IN2601-103902</t>
  </si>
  <si>
    <t>SO2601-94593</t>
  </si>
  <si>
    <t>GROUPE ELEVAGE PLUS</t>
  </si>
  <si>
    <t>IN2601-103901</t>
  </si>
  <si>
    <t>SO2601-94592</t>
  </si>
  <si>
    <t>CU2511-14160 -  FOSSO NGNITCHEO BERNARD CONCIENT</t>
  </si>
  <si>
    <t>IN2601-103900</t>
  </si>
  <si>
    <t>SO2601-94591</t>
  </si>
  <si>
    <t>CU2407-00366 -  G.B AGROPACAM (TAMATIO)</t>
  </si>
  <si>
    <t>IN2601-103899</t>
  </si>
  <si>
    <t>CU2407-00366 -  G.B AGROPACAM</t>
  </si>
  <si>
    <t>TAMATIO</t>
  </si>
  <si>
    <t>SO2601-94590</t>
  </si>
  <si>
    <t>MOMO IDRISS 652934388</t>
  </si>
  <si>
    <t>IN2601-103898</t>
  </si>
  <si>
    <t>31/01/2026 11:56</t>
  </si>
  <si>
    <t>SO2601-94589</t>
  </si>
  <si>
    <t>CU2407-00902 -  M MBOZEKO MATHURIN</t>
  </si>
  <si>
    <t>IN2601-103897</t>
  </si>
  <si>
    <t>31/01/2026 12:02</t>
  </si>
  <si>
    <t>SO2601-94588</t>
  </si>
  <si>
    <t>ROSETTE 681154542</t>
  </si>
  <si>
    <t>CU2407-00143 -  CLIENTS COMPTOIR BERTOUA</t>
  </si>
  <si>
    <t>IN2601-103896</t>
  </si>
  <si>
    <t>SO2601-94587</t>
  </si>
  <si>
    <t>FONKU JOEL 677817871</t>
  </si>
  <si>
    <t>IN2601-103895</t>
  </si>
  <si>
    <t>31/01/2026 11:52</t>
  </si>
  <si>
    <t>SO2601-94586</t>
  </si>
  <si>
    <t>FOKOU DUVAL</t>
  </si>
  <si>
    <t>IN2601-103894</t>
  </si>
  <si>
    <t>31/01/2026 11:50</t>
  </si>
  <si>
    <t>SO2601-94585</t>
  </si>
  <si>
    <t>CU2411-01158 -  Tchinda Boniface</t>
  </si>
  <si>
    <t>IN2601-103893</t>
  </si>
  <si>
    <t>31/01/2026 12:18</t>
  </si>
  <si>
    <t>SO2601-94584</t>
  </si>
  <si>
    <t>CU2407-00826 -  PROVENDERIE ELRASA CYV048 (PROVENDIER TIDO TSANO RAOUL)</t>
  </si>
  <si>
    <t>IN2601-103892</t>
  </si>
  <si>
    <t>CU2407-00826 -  PROVENDERIE ELRASA CYV048</t>
  </si>
  <si>
    <t>PROVENDIER TIDO TSANO RAOUL</t>
  </si>
  <si>
    <t>SO2601-94583</t>
  </si>
  <si>
    <t>DAVID CHUSA 679395356</t>
  </si>
  <si>
    <t>IN2601-103891</t>
  </si>
  <si>
    <t>31/01/2026 11:46</t>
  </si>
  <si>
    <t>SO2601-94582</t>
  </si>
  <si>
    <t>CU2407-00194 -  TAKAMTE JEAN PAUL</t>
  </si>
  <si>
    <t>IN2601-103890</t>
  </si>
  <si>
    <t>SO2601-94581</t>
  </si>
  <si>
    <t>SAMUEL 677534141</t>
  </si>
  <si>
    <t>IN2601-103889</t>
  </si>
  <si>
    <t>31/01/2026 11:43</t>
  </si>
  <si>
    <t>SO2601-94580</t>
  </si>
  <si>
    <t>DJIENTCHEU HERMINE / 699 29 37 56</t>
  </si>
  <si>
    <t>IN2601-103888</t>
  </si>
  <si>
    <t>SO2601-94579</t>
  </si>
  <si>
    <t>TAKAM 693733630</t>
  </si>
  <si>
    <t>IN2601-103887</t>
  </si>
  <si>
    <t>31/01/2026 11:42</t>
  </si>
  <si>
    <t>SO2601-94578</t>
  </si>
  <si>
    <t>KEMNA MOISE 676864075</t>
  </si>
  <si>
    <t>IN2601-103886</t>
  </si>
  <si>
    <t>31/01/2026 11:44</t>
  </si>
  <si>
    <t>SO2601-94576</t>
  </si>
  <si>
    <t>FOKO GUY</t>
  </si>
  <si>
    <t>IN2601-103884</t>
  </si>
  <si>
    <t>31/01/2026 11:40</t>
  </si>
  <si>
    <t>SO2601-94575</t>
  </si>
  <si>
    <t>TCHENAODA TIBERT / 657315407</t>
  </si>
  <si>
    <t>IN2601-103883</t>
  </si>
  <si>
    <t>31/01/2026 12:39</t>
  </si>
  <si>
    <t>SO2601-94574</t>
  </si>
  <si>
    <t>DESMOND</t>
  </si>
  <si>
    <t>IN2601-103882</t>
  </si>
  <si>
    <t>31/01/2026 11:36</t>
  </si>
  <si>
    <t>SO2601-94573</t>
  </si>
  <si>
    <t>TCHINDA MICHEL ACHILE (CBF014)</t>
  </si>
  <si>
    <t>IN2601-103881</t>
  </si>
  <si>
    <t>TCHINDA MICHEL ACHILE</t>
  </si>
  <si>
    <t>CBF014</t>
  </si>
  <si>
    <t>31/01/2026 11:35</t>
  </si>
  <si>
    <t>SO2601-94572</t>
  </si>
  <si>
    <t>POUOMEGNE / 698371896</t>
  </si>
  <si>
    <t>CU2504-13344 -  POUOMEGNE THIERRY (POUOMEGNE THIERRY)</t>
  </si>
  <si>
    <t>IN2601-103880</t>
  </si>
  <si>
    <t>CU2504-13344 -  POUOMEGNE THIERRY</t>
  </si>
  <si>
    <t>POUOMEGNE THIERRY</t>
  </si>
  <si>
    <t>31/01/2026 13:08</t>
  </si>
  <si>
    <t>SO2601-94571</t>
  </si>
  <si>
    <t>ABOUBAKAR N 674561408</t>
  </si>
  <si>
    <t>CU2409-01092 -  ABOUBAKAR NGNAZOKE</t>
  </si>
  <si>
    <t>IN2601-103879</t>
  </si>
  <si>
    <t>31/01/2026 11:30</t>
  </si>
  <si>
    <t>SO2601-94570</t>
  </si>
  <si>
    <t>CU2510-14124 -  ETS PRODELCAM (DEFFO FOKWA SAMUEL PRUDENT)</t>
  </si>
  <si>
    <t>IN2601-103878</t>
  </si>
  <si>
    <t>CU2510-14124 -  ETS PRODELCAM</t>
  </si>
  <si>
    <t>DEFFO FOKWA SAMUEL PRUDENT</t>
  </si>
  <si>
    <t>31/01/2026 11:31</t>
  </si>
  <si>
    <t>SO2601-94568</t>
  </si>
  <si>
    <t>CU2407-00905 -  TCHUENTE NARCISSE</t>
  </si>
  <si>
    <t>IN2601-103876</t>
  </si>
  <si>
    <t>31/01/2026 11:29</t>
  </si>
  <si>
    <t>SO2601-94567</t>
  </si>
  <si>
    <t>CU2601-14354 -  GIC FAMES (TIAYA SA'A EPSE FOMEKONG MIREINE)</t>
  </si>
  <si>
    <t>IN2601-103875</t>
  </si>
  <si>
    <t>CU2601-14354 -  GIC FAMES</t>
  </si>
  <si>
    <t>TIAYA SA'A EPSE FOMEKONG MIREINE</t>
  </si>
  <si>
    <t>31/01/2026 11:28</t>
  </si>
  <si>
    <t>SO2601-94566</t>
  </si>
  <si>
    <t>MAFFO MELI 695256150</t>
  </si>
  <si>
    <t>IN2601-103874</t>
  </si>
  <si>
    <t>SO2601-94565</t>
  </si>
  <si>
    <t>CU2407-00759 -  MATENNE MBA CHANTAL OLGA</t>
  </si>
  <si>
    <t>IN2601-103873</t>
  </si>
  <si>
    <t>31/01/2026 11:21</t>
  </si>
  <si>
    <t>SO2601-94564</t>
  </si>
  <si>
    <t>JIOGHO FIDEL / 699048498</t>
  </si>
  <si>
    <t>IN2601-103872</t>
  </si>
  <si>
    <t>31/01/2026 12:30</t>
  </si>
  <si>
    <t>SO2601-94563</t>
  </si>
  <si>
    <t>D. Frederic</t>
  </si>
  <si>
    <t>CU2601-14308 -  DIVERS CLIENTS DJELENG</t>
  </si>
  <si>
    <t>IN2601-103871</t>
  </si>
  <si>
    <t>31/01/2026 11:18</t>
  </si>
  <si>
    <t>SO2601-94562</t>
  </si>
  <si>
    <t>MOKTO STEPHANE 696424249</t>
  </si>
  <si>
    <t>IN2601-103870</t>
  </si>
  <si>
    <t>31/01/2026 11:26</t>
  </si>
  <si>
    <t>SO2601-94561</t>
  </si>
  <si>
    <t>MBALLA 691606123</t>
  </si>
  <si>
    <t>IN2601-103869</t>
  </si>
  <si>
    <t>31/01/2026 11:34</t>
  </si>
  <si>
    <t>SO2601-94560</t>
  </si>
  <si>
    <t>CU2508-13693 -  OBI AJONG ERHARD OKE</t>
  </si>
  <si>
    <t>IN2601-103868</t>
  </si>
  <si>
    <t>31/01/2026 11:17</t>
  </si>
  <si>
    <t>SO2601-94559</t>
  </si>
  <si>
    <t>TEFACK / 699 20 22 17</t>
  </si>
  <si>
    <t>CU2407-00203 -  TEFACK DASSI HERVE</t>
  </si>
  <si>
    <t>IN2601-103867</t>
  </si>
  <si>
    <t>31/01/2026 12:32</t>
  </si>
  <si>
    <t>SO2601-94558</t>
  </si>
  <si>
    <t>DJOUSSI MARIE 676282774</t>
  </si>
  <si>
    <t>IN2601-103866</t>
  </si>
  <si>
    <t>31/01/2026 11:22</t>
  </si>
  <si>
    <t>SO2601-94557</t>
  </si>
  <si>
    <t>COGESDI / 697538990</t>
  </si>
  <si>
    <t>CU2406-00114 -  COGESDI SARL</t>
  </si>
  <si>
    <t>IN2601-103865</t>
  </si>
  <si>
    <t>31/01/2026 11:12</t>
  </si>
  <si>
    <t>SO2601-94556</t>
  </si>
  <si>
    <t>KOAGNE ROMEO 697568357</t>
  </si>
  <si>
    <t>IN2601-103864</t>
  </si>
  <si>
    <t>31/01/2026 11:11</t>
  </si>
  <si>
    <t>SO2601-94555</t>
  </si>
  <si>
    <t>FARELLE 658882801</t>
  </si>
  <si>
    <t>IN2601-103863</t>
  </si>
  <si>
    <t>31/01/2026 11:23</t>
  </si>
  <si>
    <t>SO2601-94554</t>
  </si>
  <si>
    <t>PROV REFERENCE 675015141</t>
  </si>
  <si>
    <t>CU2410-01118 -  PROVENDERIE LA REFERENCE</t>
  </si>
  <si>
    <t>IN2601-103862</t>
  </si>
  <si>
    <t>SO2601-94553</t>
  </si>
  <si>
    <t>NJOYA ZENABOU 694596569</t>
  </si>
  <si>
    <t>IN2601-103861</t>
  </si>
  <si>
    <t>31/01/2026 11:13</t>
  </si>
  <si>
    <t>SO2601-94552</t>
  </si>
  <si>
    <t>KAMDEM F. 671953565</t>
  </si>
  <si>
    <t>IN2601-103860</t>
  </si>
  <si>
    <t>31/01/2026 11:25</t>
  </si>
  <si>
    <t>SO2601-94551</t>
  </si>
  <si>
    <t>CU2407-00456 -  TALOM PROV PYRAMIDE</t>
  </si>
  <si>
    <t>IN2601-103859</t>
  </si>
  <si>
    <t>SO2601-94550</t>
  </si>
  <si>
    <t>MAY MATHIAS 697381087</t>
  </si>
  <si>
    <t>ZICL00280 -  CLIENT COMPTOIR (SOLDE COMPTA)</t>
  </si>
  <si>
    <t>KENGNE Juliette</t>
  </si>
  <si>
    <t>SPC-YASSA</t>
  </si>
  <si>
    <t>IN2601-103858</t>
  </si>
  <si>
    <t>ZICL00280 -  CLIENT COMPTOIR</t>
  </si>
  <si>
    <t>SOLDE COMPTA</t>
  </si>
  <si>
    <t>SO2601-94549</t>
  </si>
  <si>
    <t>NGOMSE ERIC / 693 25 04 01</t>
  </si>
  <si>
    <t>IN2601-103857</t>
  </si>
  <si>
    <t>31/01/2026 11:09</t>
  </si>
  <si>
    <t>SO2601-94548</t>
  </si>
  <si>
    <t>IN2601-103856</t>
  </si>
  <si>
    <t>SO2601-94547</t>
  </si>
  <si>
    <t>YEFOUE CABREL 676111840</t>
  </si>
  <si>
    <t>IN2601-103855</t>
  </si>
  <si>
    <t>31/01/2026 11:03</t>
  </si>
  <si>
    <t>SO2601-94546</t>
  </si>
  <si>
    <t>SOLINE 690315283</t>
  </si>
  <si>
    <t>IN2601-103854</t>
  </si>
  <si>
    <t>31/01/2026 11:01</t>
  </si>
  <si>
    <t>SO2601-94545</t>
  </si>
  <si>
    <t>CU2507-13416 -  LADO HENRI</t>
  </si>
  <si>
    <t>IN2601-103853</t>
  </si>
  <si>
    <t>31/01/2026 11:05</t>
  </si>
  <si>
    <t>SO2601-94544</t>
  </si>
  <si>
    <t>FRANCK</t>
  </si>
  <si>
    <t>IN2601-103852</t>
  </si>
  <si>
    <t>SO2601-94543</t>
  </si>
  <si>
    <t>DAMA EBENEZER / 693 42 40 66</t>
  </si>
  <si>
    <t>IN2601-103851</t>
  </si>
  <si>
    <t>31/01/2026 11:06</t>
  </si>
  <si>
    <t>SO2601-94542</t>
  </si>
  <si>
    <t>CU2407-00468 -  FERMIERS JOYEUX</t>
  </si>
  <si>
    <t>IN2601-103850</t>
  </si>
  <si>
    <t>31/01/2026 11:16</t>
  </si>
  <si>
    <t>SO2601-94541</t>
  </si>
  <si>
    <t>IN2601-103849</t>
  </si>
  <si>
    <t>SO2601-94540</t>
  </si>
  <si>
    <t>CU2407-00734 -  KWANGE GEROME</t>
  </si>
  <si>
    <t>IN2601-103848</t>
  </si>
  <si>
    <t>31/01/2026 10:58</t>
  </si>
  <si>
    <t>SO2601-94539</t>
  </si>
  <si>
    <t>GIC AGRO PASTORAL 674747741</t>
  </si>
  <si>
    <t>IN2601-103847</t>
  </si>
  <si>
    <t>SO2601-94538</t>
  </si>
  <si>
    <t>SUPUWO ELYSEE</t>
  </si>
  <si>
    <t>IN2601-103846</t>
  </si>
  <si>
    <t>31/01/2026 11:38</t>
  </si>
  <si>
    <t>SO2601-94537</t>
  </si>
  <si>
    <t>CU2406-00103 -  TCHOMDJIE EUGENIE FLORE</t>
  </si>
  <si>
    <t>IN2601-103845</t>
  </si>
  <si>
    <t>SO2601-94536</t>
  </si>
  <si>
    <t>IN2601-103844</t>
  </si>
  <si>
    <t>31/01/2026 10:46</t>
  </si>
  <si>
    <t>SO2601-94535</t>
  </si>
  <si>
    <t>TOUTSOP GISLAIN 671161467</t>
  </si>
  <si>
    <t>IN2601-103843</t>
  </si>
  <si>
    <t>31/01/2026 10:37</t>
  </si>
  <si>
    <t>SO2601-94534</t>
  </si>
  <si>
    <t>FOZE</t>
  </si>
  <si>
    <t>CU2406-00125 -  FOZE CYPRIEN</t>
  </si>
  <si>
    <t>KEMDEM FEZEU Parfait</t>
  </si>
  <si>
    <t>AGENCE NKONGSAMBA</t>
  </si>
  <si>
    <t>IN2601-103842</t>
  </si>
  <si>
    <t>31/01/2026 10:44</t>
  </si>
  <si>
    <t>SO2601-94533</t>
  </si>
  <si>
    <t>M FOPA 694059664</t>
  </si>
  <si>
    <t>IN2601-103841</t>
  </si>
  <si>
    <t>31/01/2026 10:34</t>
  </si>
  <si>
    <t>SO2601-94532</t>
  </si>
  <si>
    <t>ABATE 659193326</t>
  </si>
  <si>
    <t>MWAFO TOGUO GOLDEFROID</t>
  </si>
  <si>
    <t>SPC BAF-CHEFFERIE</t>
  </si>
  <si>
    <t>IN2601-103840</t>
  </si>
  <si>
    <t>31/01/2026 10:42</t>
  </si>
  <si>
    <t>SO2601-94531</t>
  </si>
  <si>
    <t>M FOKO GUY</t>
  </si>
  <si>
    <t>IN2601-103839</t>
  </si>
  <si>
    <t>31/01/2026 10:41</t>
  </si>
  <si>
    <t>SO2601-94530</t>
  </si>
  <si>
    <t>NOUPING 675093287</t>
  </si>
  <si>
    <t>IN2601-103838</t>
  </si>
  <si>
    <t>31/01/2026 10:21</t>
  </si>
  <si>
    <t>SO2601-94529</t>
  </si>
  <si>
    <t>IN2601-103837</t>
  </si>
  <si>
    <t>SO2601-94528</t>
  </si>
  <si>
    <t>CU2407-00676 -  KAMGO</t>
  </si>
  <si>
    <t>IN2601-103836</t>
  </si>
  <si>
    <t>31/01/2026 10:19</t>
  </si>
  <si>
    <t>SO2601-94527</t>
  </si>
  <si>
    <t>CU2407-00809 -  PROV LA FELICITE (MERAUDE BILOA MISSE PROVENDERIE)</t>
  </si>
  <si>
    <t>IN2601-103835</t>
  </si>
  <si>
    <t>CU2407-00809 -  PROV LA FELICITE</t>
  </si>
  <si>
    <t>MERAUDE BILOA MISSE PROVENDERIE</t>
  </si>
  <si>
    <t>31/01/2026 10:17</t>
  </si>
  <si>
    <t>SO2601-94526</t>
  </si>
  <si>
    <t>TIMBA 697558700</t>
  </si>
  <si>
    <t>IN2601-103834</t>
  </si>
  <si>
    <t>31/01/2026 10:16</t>
  </si>
  <si>
    <t>SO2601-94525</t>
  </si>
  <si>
    <t>ULRICH</t>
  </si>
  <si>
    <t>CU2407-00149 -  CLIENTS COMPTOIR NKOLBISSON</t>
  </si>
  <si>
    <t>GUIAKAM TADJUIDJE DIANE …</t>
  </si>
  <si>
    <t>AGENCE NKOLBISSON</t>
  </si>
  <si>
    <t>IN2601-103833</t>
  </si>
  <si>
    <t>31/01/2026 10:15</t>
  </si>
  <si>
    <t>SO2601-94524</t>
  </si>
  <si>
    <t>CU2502-01222 -  MEGAMI</t>
  </si>
  <si>
    <t>IN2601-103832</t>
  </si>
  <si>
    <t>31/01/2026 10:35</t>
  </si>
  <si>
    <t>SO2601-94523</t>
  </si>
  <si>
    <t>DAPNET 682880924</t>
  </si>
  <si>
    <t>IN2601-103831</t>
  </si>
  <si>
    <t>31/01/2026 10:12</t>
  </si>
  <si>
    <t>SO2601-94522</t>
  </si>
  <si>
    <t>TROPICAM 694421839</t>
  </si>
  <si>
    <t>IN2601-103830</t>
  </si>
  <si>
    <t>SO2601-94521</t>
  </si>
  <si>
    <t>CU2407-00608 -  FOPA</t>
  </si>
  <si>
    <t>IN2601-103829</t>
  </si>
  <si>
    <t>SO2601-94520</t>
  </si>
  <si>
    <t>CU2512-14230 -  TROPICAM (MME MBAPO EDWIDE)</t>
  </si>
  <si>
    <t>IN2601-103828</t>
  </si>
  <si>
    <t>CU2512-14230 -  TROPICAM</t>
  </si>
  <si>
    <t>MME MBAPO EDWIDE</t>
  </si>
  <si>
    <t>31/01/2026 10:11</t>
  </si>
  <si>
    <t>SO2601-94519</t>
  </si>
  <si>
    <t>CU2407-00538 -  DJOUDA ROSTAND</t>
  </si>
  <si>
    <t>IN2601-103827</t>
  </si>
  <si>
    <t>31/01/2026 09:58</t>
  </si>
  <si>
    <t>SO2601-94518</t>
  </si>
  <si>
    <t>Maire</t>
  </si>
  <si>
    <t>IN2601-103826</t>
  </si>
  <si>
    <t>SO2601-94517</t>
  </si>
  <si>
    <t>EMMANUEL</t>
  </si>
  <si>
    <t>IN2601-103825</t>
  </si>
  <si>
    <t>31/01/2026 09:51</t>
  </si>
  <si>
    <t>SO2601-94516</t>
  </si>
  <si>
    <t>ATEBA FABIEN 651982509</t>
  </si>
  <si>
    <t>IN2601-103824</t>
  </si>
  <si>
    <t>SO2601-94515</t>
  </si>
  <si>
    <t>CU2407-00552 -  DOMTCHUENG K MICHEL</t>
  </si>
  <si>
    <t>IN2601-103823</t>
  </si>
  <si>
    <t>31/01/2026 09:55</t>
  </si>
  <si>
    <t>SO2601-94514</t>
  </si>
  <si>
    <t>CU2407-00635 -  GIC AMOUR</t>
  </si>
  <si>
    <t>IN2601-103822</t>
  </si>
  <si>
    <t>31/01/2026 09:45</t>
  </si>
  <si>
    <t>SO2601-94513</t>
  </si>
  <si>
    <t>CU2512-14183 -  ETS CHICKS,FARM AND SERVICES (NGONTIO TESTELIN BRESNEV)</t>
  </si>
  <si>
    <t>IN2601-103821</t>
  </si>
  <si>
    <t>CU2512-14183 -  ETS CHICKS,FARM AND SERVICES</t>
  </si>
  <si>
    <t>NGONTIO TESTELIN BRESNEV</t>
  </si>
  <si>
    <t>SO2601-94512</t>
  </si>
  <si>
    <t>FOUOKING 650168096</t>
  </si>
  <si>
    <t>IN2601-103820</t>
  </si>
  <si>
    <t>31/01/2026 09:47</t>
  </si>
  <si>
    <t>SO2601-94511</t>
  </si>
  <si>
    <t>CU2509-13975 -  MABOPDA SYLVIANE FLORE</t>
  </si>
  <si>
    <t>IN2601-103819</t>
  </si>
  <si>
    <t>31/01/2026 09:39</t>
  </si>
  <si>
    <t>SO2601-94510</t>
  </si>
  <si>
    <t>CU2407-00524 -  DJOKOH FOGAIN FELICIEN</t>
  </si>
  <si>
    <t>IN2601-103818</t>
  </si>
  <si>
    <t>31/01/2026 09:41</t>
  </si>
  <si>
    <t>SO2601-94509</t>
  </si>
  <si>
    <t>30/01/2026 00:00</t>
  </si>
  <si>
    <t>IN2601-103817</t>
  </si>
  <si>
    <t>31/01/2026 09:38</t>
  </si>
  <si>
    <t>SO2601-94508</t>
  </si>
  <si>
    <t>CU2409-01087 -  SOUH CHRISTELLE (SOUH CHRISTELLE)</t>
  </si>
  <si>
    <t>IN2601-103816</t>
  </si>
  <si>
    <t>CU2409-01087 -  SOUH CHRISTELLE</t>
  </si>
  <si>
    <t>SOUH CHRISTELLE</t>
  </si>
  <si>
    <t>31/01/2026 10:01</t>
  </si>
  <si>
    <t>SO2601-94507</t>
  </si>
  <si>
    <t>CU2406-00131 -  YEMELONG</t>
  </si>
  <si>
    <t>IN2601-103815</t>
  </si>
  <si>
    <t>SO2601-94506</t>
  </si>
  <si>
    <t>CU2407-00352 -  CHEGUE THEODILLE</t>
  </si>
  <si>
    <t>IN2601-103814</t>
  </si>
  <si>
    <t>SO2601-94505</t>
  </si>
  <si>
    <t>OUSMANOU BAKAI 696372003</t>
  </si>
  <si>
    <t>IN2601-103813</t>
  </si>
  <si>
    <t>31/01/2026 09:43</t>
  </si>
  <si>
    <t>SO2601-94504</t>
  </si>
  <si>
    <t>CU2502-01234 -  TCHOUATA TANDA HERLIN (ZDCL00104)</t>
  </si>
  <si>
    <t>IN2601-103812</t>
  </si>
  <si>
    <t>CU2502-01234 -  TCHOUATA TANDA HERLIN</t>
  </si>
  <si>
    <t>ZDCL00104</t>
  </si>
  <si>
    <t>31/01/2026 09:34</t>
  </si>
  <si>
    <t>SO2601-94503</t>
  </si>
  <si>
    <t>CU2502-01230 -  ASSIENE PATRICK</t>
  </si>
  <si>
    <t>IN2601-103811</t>
  </si>
  <si>
    <t>31/01/2026 09:37</t>
  </si>
  <si>
    <t>SO2601-94502</t>
  </si>
  <si>
    <t>IN2601-103810</t>
  </si>
  <si>
    <t>31/01/2026 09:33</t>
  </si>
  <si>
    <t>SO2601-94501</t>
  </si>
  <si>
    <t>CU2512-14201 -  KIBEY RANSOM</t>
  </si>
  <si>
    <t>IN2601-103809</t>
  </si>
  <si>
    <t>SO2601-94500</t>
  </si>
  <si>
    <t>CU2502-01236 -  TSAFACK HENRIETTE</t>
  </si>
  <si>
    <t>IN2601-103808</t>
  </si>
  <si>
    <t>31/01/2026 09:31</t>
  </si>
  <si>
    <t>SO2601-94499</t>
  </si>
  <si>
    <t>CU2407-00748 -  MAFO CHRISTINE</t>
  </si>
  <si>
    <t>IN2601-103807</t>
  </si>
  <si>
    <t>31/01/2026 09:29</t>
  </si>
  <si>
    <t>SO2601-94498</t>
  </si>
  <si>
    <t>IN2601-103806</t>
  </si>
  <si>
    <t>31/01/2026 09:26</t>
  </si>
  <si>
    <t>SO2601-94497</t>
  </si>
  <si>
    <t>CU2412-01179 -  TALOM YANNICK TRESOR</t>
  </si>
  <si>
    <t>IN2601-103805</t>
  </si>
  <si>
    <t>SO2601-94496</t>
  </si>
  <si>
    <t>EMAUS 656896042</t>
  </si>
  <si>
    <t>IN2601-103804</t>
  </si>
  <si>
    <t>31/01/2026 09:30</t>
  </si>
  <si>
    <t>SO2601-94495</t>
  </si>
  <si>
    <t>CU2407-00848 -  WAFO HIPPOLYTE</t>
  </si>
  <si>
    <t>IN2601-103803</t>
  </si>
  <si>
    <t>SO2601-94494</t>
  </si>
  <si>
    <t>CU2407-00288 -  LIDEL SARL</t>
  </si>
  <si>
    <t>IN2601-103802</t>
  </si>
  <si>
    <t>31/01/2026 09:25</t>
  </si>
  <si>
    <t>SO2601-94493</t>
  </si>
  <si>
    <t>CU2508-13750 -  TCHATCHOUA PETNGA MIREILLE</t>
  </si>
  <si>
    <t>IN2601-103801</t>
  </si>
  <si>
    <t>31/01/2026 09:24</t>
  </si>
  <si>
    <t>SO2601-94492</t>
  </si>
  <si>
    <t>CU2407-00978 -  ACHOITEG CLODINE ENDONG</t>
  </si>
  <si>
    <t>IN2601-103800</t>
  </si>
  <si>
    <t>31/01/2026 09:21</t>
  </si>
  <si>
    <t>SO2601-94491</t>
  </si>
  <si>
    <t>IN2601-103799</t>
  </si>
  <si>
    <t>SO2601-94490</t>
  </si>
  <si>
    <t>DANIEL</t>
  </si>
  <si>
    <t>IN2601-103798</t>
  </si>
  <si>
    <t>31/01/2026 09:19</t>
  </si>
  <si>
    <t>SO2601-94489</t>
  </si>
  <si>
    <t>IN2601-103797</t>
  </si>
  <si>
    <t>31/01/2026 09:17</t>
  </si>
  <si>
    <t>SO2601-94488</t>
  </si>
  <si>
    <t>GIC AMITIE / 697233243</t>
  </si>
  <si>
    <t>GIC AMITIE</t>
  </si>
  <si>
    <t>IN2601-103796</t>
  </si>
  <si>
    <t>31/01/2026 10:20</t>
  </si>
  <si>
    <t>SO2601-94487</t>
  </si>
  <si>
    <t>ILLIMITE</t>
  </si>
  <si>
    <t>IN2601-103795</t>
  </si>
  <si>
    <t>31/01/2026 09:27</t>
  </si>
  <si>
    <t>SO2601-94486</t>
  </si>
  <si>
    <t>CU2407-00339 -  STE UV AGRO SARL</t>
  </si>
  <si>
    <t>IN2601-103794</t>
  </si>
  <si>
    <t>31/01/2026 09:16</t>
  </si>
  <si>
    <t>SO2601-94485</t>
  </si>
  <si>
    <t>CU2407-00700 -  KENNE MANFOUO IDRICE</t>
  </si>
  <si>
    <t>IN2601-103793</t>
  </si>
  <si>
    <t>SO2601-94484</t>
  </si>
  <si>
    <t>ANSELM</t>
  </si>
  <si>
    <t>IN2601-103792</t>
  </si>
  <si>
    <t>31/01/2026 09:22</t>
  </si>
  <si>
    <t>SO2601-94483</t>
  </si>
  <si>
    <t>CU2502-01232 -  KUETE TANDA CELESTIN</t>
  </si>
  <si>
    <t>IN2601-103791</t>
  </si>
  <si>
    <t>SO2601-94481</t>
  </si>
  <si>
    <t>LAMINE /696226473</t>
  </si>
  <si>
    <t>CU2407-00404 -  M. LAMINE S</t>
  </si>
  <si>
    <t>IN2601-103789</t>
  </si>
  <si>
    <t>31/01/2026 09:10</t>
  </si>
  <si>
    <t>SO2601-94480</t>
  </si>
  <si>
    <t>CU2508-13592 -  KENGNI JEAN-PAUL</t>
  </si>
  <si>
    <t>IN2601-103788</t>
  </si>
  <si>
    <t>SO2601-94479</t>
  </si>
  <si>
    <t>NGOMPE R / 695943939</t>
  </si>
  <si>
    <t>M. NGOMPE ROGER</t>
  </si>
  <si>
    <t>IN2601-103787</t>
  </si>
  <si>
    <t>SO2601-94478</t>
  </si>
  <si>
    <t>CU2407-00555 -  DOUANLA SIMPLICE AIME</t>
  </si>
  <si>
    <t>IN2601-103786</t>
  </si>
  <si>
    <t>31/01/2026 09:13</t>
  </si>
  <si>
    <t>SO2601-94477</t>
  </si>
  <si>
    <t>CU2407-00819 -  NGAPINSI N. ROMIAL DENIS</t>
  </si>
  <si>
    <t>IN2601-103785</t>
  </si>
  <si>
    <t>31/01/2026 09:09</t>
  </si>
  <si>
    <t>SO2601-94476</t>
  </si>
  <si>
    <t>M. FONKOU ROSTIN ALBERT (ZDCL00010)</t>
  </si>
  <si>
    <t>IN2601-103784</t>
  </si>
  <si>
    <t>M. FONKOU ROSTIN ALBERT</t>
  </si>
  <si>
    <t>ZDCL00010</t>
  </si>
  <si>
    <t>SO2601-94474</t>
  </si>
  <si>
    <t>IN2601-103782</t>
  </si>
  <si>
    <t>31/01/2026 09:08</t>
  </si>
  <si>
    <t>SO2601-94473</t>
  </si>
  <si>
    <t>CU2502-01229 -  FOTSO MBAH</t>
  </si>
  <si>
    <t>IN2601-103781</t>
  </si>
  <si>
    <t>31/01/2026 09:28</t>
  </si>
  <si>
    <t>SO2601-94472</t>
  </si>
  <si>
    <t>NGA SAMUEL 696702614</t>
  </si>
  <si>
    <t>IN2601-103780</t>
  </si>
  <si>
    <t>31/01/2026 09:06</t>
  </si>
  <si>
    <t>SO2601-94471</t>
  </si>
  <si>
    <t>CU2407-00663 -  JIOGO</t>
  </si>
  <si>
    <t>IN2601-103779</t>
  </si>
  <si>
    <t>31/01/2026 08:59</t>
  </si>
  <si>
    <t>SO2601-94470</t>
  </si>
  <si>
    <t>IN2601-103778</t>
  </si>
  <si>
    <t>31/01/2026 09:07</t>
  </si>
  <si>
    <t>SO2601-94469</t>
  </si>
  <si>
    <t>NKODJO 690021119</t>
  </si>
  <si>
    <t>IN2601-103777</t>
  </si>
  <si>
    <t>31/01/2026 09:00</t>
  </si>
  <si>
    <t>SO2601-94468</t>
  </si>
  <si>
    <t>SAPPA SARL 696356748</t>
  </si>
  <si>
    <t>IN2601-103776</t>
  </si>
  <si>
    <t>31/01/2026 09:02</t>
  </si>
  <si>
    <t>SO2601-94467</t>
  </si>
  <si>
    <t>CU2407-00720 -  KUATE MATHIAS</t>
  </si>
  <si>
    <t>IN2601-103775</t>
  </si>
  <si>
    <t>31/01/2026 08:58</t>
  </si>
  <si>
    <t>SO2601-94466</t>
  </si>
  <si>
    <t>Mme peka</t>
  </si>
  <si>
    <t>IN2601-103774</t>
  </si>
  <si>
    <t>SO2601-94465</t>
  </si>
  <si>
    <t>CU2508-13684 -  Dongmo Mboguia Ursule Florent</t>
  </si>
  <si>
    <t>IN2601-103773</t>
  </si>
  <si>
    <t>31/01/2026 08:56</t>
  </si>
  <si>
    <t>SO2601-94464</t>
  </si>
  <si>
    <t>CU2502-01215 -  YONTI RENE</t>
  </si>
  <si>
    <t>Autre</t>
  </si>
  <si>
    <t>IN2601-103772</t>
  </si>
  <si>
    <t>31/01/2026 08:55</t>
  </si>
  <si>
    <t>SO2601-94463</t>
  </si>
  <si>
    <t>YINGMO 695261399</t>
  </si>
  <si>
    <t>IN2601-103771</t>
  </si>
  <si>
    <t>31/01/2026 08:54</t>
  </si>
  <si>
    <t>SO2601-94462</t>
  </si>
  <si>
    <t>CU2406-00096 -  SONWA RONICE</t>
  </si>
  <si>
    <t>IN2601-103770</t>
  </si>
  <si>
    <t>31/01/2026 08:48</t>
  </si>
  <si>
    <t>SO2601-94461</t>
  </si>
  <si>
    <t>CU2507-13426 -  ZANGHO WILFRIED</t>
  </si>
  <si>
    <t>IN2601-103769</t>
  </si>
  <si>
    <t>31/01/2026 08:46</t>
  </si>
  <si>
    <t>SO2601-94460</t>
  </si>
  <si>
    <t>M KAMTCHIN MICHEL 654170931</t>
  </si>
  <si>
    <t>IN2601-103768</t>
  </si>
  <si>
    <t>31/01/2026 08:45</t>
  </si>
  <si>
    <t>SO2601-94459</t>
  </si>
  <si>
    <t>CU2509-14092 -  NGNINTEDEM MELI ARMAND</t>
  </si>
  <si>
    <t>IN2601-103767</t>
  </si>
  <si>
    <t>SO2601-94648</t>
  </si>
  <si>
    <t>CU2407-00266 -  EMMANUEL WIRSENYUY</t>
  </si>
  <si>
    <t>30/01/2026</t>
  </si>
  <si>
    <t>IN2601-103956</t>
  </si>
  <si>
    <t>31/01/2026 13:48</t>
  </si>
  <si>
    <t>SO2601-94458</t>
  </si>
  <si>
    <t>M. DOUANGUIM</t>
  </si>
  <si>
    <t>CU2505-13383 -  DOUANGUIM CHARLIN</t>
  </si>
  <si>
    <t>IN2601-103766</t>
  </si>
  <si>
    <t>30/01/2026 18:11</t>
  </si>
  <si>
    <t>SO2601-94457</t>
  </si>
  <si>
    <t>CU2508-13585 -  DEFO EMMANUEL</t>
  </si>
  <si>
    <t>IN2601-103765</t>
  </si>
  <si>
    <t>SO2601-94456</t>
  </si>
  <si>
    <t>IN2601-103764</t>
  </si>
  <si>
    <t>30/01/2026 17:03</t>
  </si>
  <si>
    <t>SO2601-94455</t>
  </si>
  <si>
    <t>SALI / 699597535</t>
  </si>
  <si>
    <t>CU2508-13528 -  SALI HAMAN</t>
  </si>
  <si>
    <t>IN2601-103763</t>
  </si>
  <si>
    <t>30/01/2026 17:01</t>
  </si>
  <si>
    <t>SO2601-94454</t>
  </si>
  <si>
    <t>TCHANA RODRIGUE / 696141652</t>
  </si>
  <si>
    <t>IN2601-103762</t>
  </si>
  <si>
    <t>30/01/2026 16:59</t>
  </si>
  <si>
    <t>SO2601-94453</t>
  </si>
  <si>
    <t>CU2503-01280 -  EPOSI REGINA NJON</t>
  </si>
  <si>
    <t>POUGHELA Marie Louise</t>
  </si>
  <si>
    <t>AGENCE BUEA</t>
  </si>
  <si>
    <t>IN2601-103761</t>
  </si>
  <si>
    <t>30/01/2026 16:47</t>
  </si>
  <si>
    <t>SO2601-94452</t>
  </si>
  <si>
    <t>CU2407-00427 -  NDOH SAMPSUN MANCHO</t>
  </si>
  <si>
    <t>IN2601-103760</t>
  </si>
  <si>
    <t>30/01/2026 16:46</t>
  </si>
  <si>
    <t>SO2601-94451</t>
  </si>
  <si>
    <t>IN2601-103759</t>
  </si>
  <si>
    <t>30/01/2026 16:41</t>
  </si>
  <si>
    <t>SO2601-94450</t>
  </si>
  <si>
    <t>CU2503-01273 -  DJOGAB KWETIO SERGE</t>
  </si>
  <si>
    <t>IN2601-103758</t>
  </si>
  <si>
    <t>30/01/2026 16:25</t>
  </si>
  <si>
    <t>SO2601-94449</t>
  </si>
  <si>
    <t>DJODJO</t>
  </si>
  <si>
    <t>IN2601-103757</t>
  </si>
  <si>
    <t>SO2601-94448</t>
  </si>
  <si>
    <t>CU2502-01249 -  PROVENDERIE DE L'ASSURANCE (NOUWOU FOZEU FRANCO)</t>
  </si>
  <si>
    <t>IN2601-103756</t>
  </si>
  <si>
    <t>CU2502-01249 -  PROVENDERIE DE L'ASSURANCE</t>
  </si>
  <si>
    <t>NOUWOU FOZEU FRANCO</t>
  </si>
  <si>
    <t>30/01/2026 16:21</t>
  </si>
  <si>
    <t>SO2601-94447</t>
  </si>
  <si>
    <t>CU2407-00980 -  STAR CAR COMPANY SA</t>
  </si>
  <si>
    <t>IN2601-103755</t>
  </si>
  <si>
    <t>30/01/2026 16:20</t>
  </si>
  <si>
    <t>SO2601-94446</t>
  </si>
  <si>
    <t>IN2601-103754</t>
  </si>
  <si>
    <t>30/01/2026 16:15</t>
  </si>
  <si>
    <t>SO2601-94445</t>
  </si>
  <si>
    <t>CU2407-00984 -  PROVENDERIE DONFACK</t>
  </si>
  <si>
    <t>IN2601-103753</t>
  </si>
  <si>
    <t>SO2601-94444</t>
  </si>
  <si>
    <t>ANNE</t>
  </si>
  <si>
    <t>IN2601-103752</t>
  </si>
  <si>
    <t>30/01/2026 15:59</t>
  </si>
  <si>
    <t>SO2601-94443</t>
  </si>
  <si>
    <t>DJUIKO 650629368</t>
  </si>
  <si>
    <t>CU2407-00977 -  DJUIKO NANDJOU FRANCKY JORDAN</t>
  </si>
  <si>
    <t>IN2601-103751</t>
  </si>
  <si>
    <t>30/01/2026 17:00</t>
  </si>
  <si>
    <t>SO2601-94442</t>
  </si>
  <si>
    <t>NJOMOU 695171832</t>
  </si>
  <si>
    <t>CU2407-00817 -  NJOMOU NJOJIP FABRICE (PROVENDIER)</t>
  </si>
  <si>
    <t>IN2601-103750</t>
  </si>
  <si>
    <t>CU2407-00817 -  NJOMOU NJOJIP FABRICE</t>
  </si>
  <si>
    <t>30/01/2026 16:29</t>
  </si>
  <si>
    <t>SO2601-94441</t>
  </si>
  <si>
    <t>MBOUNGWE 690700884</t>
  </si>
  <si>
    <t>IN2601-103749</t>
  </si>
  <si>
    <t>30/01/2026 15:52</t>
  </si>
  <si>
    <t>SO2601-94440</t>
  </si>
  <si>
    <t>CU2504-13343 -  FOTIE TAGOUMTSE CONSTANTIN LEGRAND</t>
  </si>
  <si>
    <t>IN2601-103748</t>
  </si>
  <si>
    <t>30/01/2026 15:58</t>
  </si>
  <si>
    <t>SO2601-94439</t>
  </si>
  <si>
    <t>EMMANUEL TEKWO FONJI</t>
  </si>
  <si>
    <t>CU2406-00076 -  CLIENTS COMPTOIR BUEA</t>
  </si>
  <si>
    <t>IN2601-103747</t>
  </si>
  <si>
    <t>30/01/2026 15:57</t>
  </si>
  <si>
    <t>SO2601-94438</t>
  </si>
  <si>
    <t>VIVIANE 696296619</t>
  </si>
  <si>
    <t>IN2601-103746</t>
  </si>
  <si>
    <t>30/01/2026 15:46</t>
  </si>
  <si>
    <t>SO2601-94437</t>
  </si>
  <si>
    <t>THOMAS 693901086</t>
  </si>
  <si>
    <t>IN2601-103745</t>
  </si>
  <si>
    <t>30/01/2026 15:45</t>
  </si>
  <si>
    <t>SO2601-94436</t>
  </si>
  <si>
    <t>I.A.O COOP-CA</t>
  </si>
  <si>
    <t>IN2601-103744</t>
  </si>
  <si>
    <t>30/01/2026 16:00</t>
  </si>
  <si>
    <t>SO2601-94435</t>
  </si>
  <si>
    <t>CU2410-01135 -  NDIKUM ZOUSSE JUNIOR</t>
  </si>
  <si>
    <t>IN2601-103743</t>
  </si>
  <si>
    <t>30/01/2026 15:48</t>
  </si>
  <si>
    <t>SO2601-94434</t>
  </si>
  <si>
    <t>CU2504-01307 -  ETS G.P.C (MOTIO JULES MARCELEIN)</t>
  </si>
  <si>
    <t>IN2601-103742</t>
  </si>
  <si>
    <t>CU2504-01307 -  ETS G.P.C</t>
  </si>
  <si>
    <t>MOTIO JULES MARCELEIN</t>
  </si>
  <si>
    <t>30/01/2026 15:41</t>
  </si>
  <si>
    <t>SO2601-94433</t>
  </si>
  <si>
    <t>CU2407-00795 -  MOTSOU DJEUMAKOU VICTOR</t>
  </si>
  <si>
    <t>IN2601-103741</t>
  </si>
  <si>
    <t>30/01/2026 15:43</t>
  </si>
  <si>
    <t>SO2601-94432</t>
  </si>
  <si>
    <t>KENNE 699745780</t>
  </si>
  <si>
    <t>IN2601-103740</t>
  </si>
  <si>
    <t>30/01/2026 15:35</t>
  </si>
  <si>
    <t>SO2601-94430</t>
  </si>
  <si>
    <t>TCHOFFO SAMALA (ZDCL00076)</t>
  </si>
  <si>
    <t>IN2601-103738</t>
  </si>
  <si>
    <t>TCHOFFO SAMALA</t>
  </si>
  <si>
    <t>ZDCL00076</t>
  </si>
  <si>
    <t>30/01/2026 15:33</t>
  </si>
  <si>
    <t>SO2601-94429</t>
  </si>
  <si>
    <t>RONITA</t>
  </si>
  <si>
    <t>IN2601-103737</t>
  </si>
  <si>
    <t>30/01/2026 15:34</t>
  </si>
  <si>
    <t>SO2601-94428</t>
  </si>
  <si>
    <t>FALLOUT / 691248913</t>
  </si>
  <si>
    <t>CU2508-13829 -  FALLOUT EL MAHAMOUD</t>
  </si>
  <si>
    <t>IN2601-103736</t>
  </si>
  <si>
    <t>30/01/2026 15:29</t>
  </si>
  <si>
    <t>SO2601-94427</t>
  </si>
  <si>
    <t>CU2502-01212 -  MILAUR DISTRIBUTION SARL</t>
  </si>
  <si>
    <t>IN2601-103735</t>
  </si>
  <si>
    <t>SO2601-94426</t>
  </si>
  <si>
    <t>M MOUSSA</t>
  </si>
  <si>
    <t>IN2601-103734</t>
  </si>
  <si>
    <t>SO2601-94425</t>
  </si>
  <si>
    <t>CU2504-01314 -  PROV DU CENTRE</t>
  </si>
  <si>
    <t>IN2601-103733</t>
  </si>
  <si>
    <t>30/01/2026 15:28</t>
  </si>
  <si>
    <t>SO2601-94424</t>
  </si>
  <si>
    <t>CU2601-14347 -  DJAMEN ALIANNE</t>
  </si>
  <si>
    <t>IN2601-103732</t>
  </si>
  <si>
    <t>30/01/2026 15:37</t>
  </si>
  <si>
    <t>SO2601-94423</t>
  </si>
  <si>
    <t>CU2407-00463 -  TCHINDA STEPHANE</t>
  </si>
  <si>
    <t>IN2601-103731</t>
  </si>
  <si>
    <t>SO2601-94422</t>
  </si>
  <si>
    <t>christine</t>
  </si>
  <si>
    <t>IN2601-103730</t>
  </si>
  <si>
    <t>30/01/2026 15:26</t>
  </si>
  <si>
    <t>SO2601-94421</t>
  </si>
  <si>
    <t>IN2601-103729</t>
  </si>
  <si>
    <t>30/01/2026 15:16</t>
  </si>
  <si>
    <t>SO2601-94420</t>
  </si>
  <si>
    <t>IN2601-103728</t>
  </si>
  <si>
    <t>SO2601-94419</t>
  </si>
  <si>
    <t>CU2407-00450 -  VIENCENT CHE NGUFOR</t>
  </si>
  <si>
    <t>IN2601-103727</t>
  </si>
  <si>
    <t>SO2601-94418</t>
  </si>
  <si>
    <t>CU2407-00933 -  SECRET ÉLEVAGE</t>
  </si>
  <si>
    <t>IN2601-103726</t>
  </si>
  <si>
    <t>30/01/2026 15:06</t>
  </si>
  <si>
    <t>SO2601-94416</t>
  </si>
  <si>
    <t>M.WABO 696758888</t>
  </si>
  <si>
    <t>IN2601-103724</t>
  </si>
  <si>
    <t>30/01/2026 15:02</t>
  </si>
  <si>
    <t>SO2601-94415</t>
  </si>
  <si>
    <t>CU2407-00430 -  KENMEGNE HERMANN MICHAEL</t>
  </si>
  <si>
    <t>IN2601-103723</t>
  </si>
  <si>
    <t>30/01/2026 15:03</t>
  </si>
  <si>
    <t>SO2601-94414</t>
  </si>
  <si>
    <t>CU2407-00443 -  MBAFOMBEN STANLEY TEKE</t>
  </si>
  <si>
    <t>IN2601-103722</t>
  </si>
  <si>
    <t>30/01/2026 15:05</t>
  </si>
  <si>
    <t>SO2601-94413</t>
  </si>
  <si>
    <t>MIAME 673131866</t>
  </si>
  <si>
    <t>IN2601-103721</t>
  </si>
  <si>
    <t>30/01/2026 15:10</t>
  </si>
  <si>
    <t>SO2601-94412</t>
  </si>
  <si>
    <t>CU2508-13629 -  FANYMAS COONCT GROUP COMPANY (AHMED SOBSE)</t>
  </si>
  <si>
    <t>IN2601-103720</t>
  </si>
  <si>
    <t>CU2508-13629 -  FANYMAS COONCT GROUP COMPANY</t>
  </si>
  <si>
    <t>AHMED SOBSE</t>
  </si>
  <si>
    <t>30/01/2026 15:22</t>
  </si>
  <si>
    <t>SO2601-94411</t>
  </si>
  <si>
    <t>IN2601-103719</t>
  </si>
  <si>
    <t>SO2601-94410</t>
  </si>
  <si>
    <t>CU2506-13395 -  TEKOH MARTIN</t>
  </si>
  <si>
    <t>IN2601-103718</t>
  </si>
  <si>
    <t>30/01/2026 15:18</t>
  </si>
  <si>
    <t>SO2601-94409</t>
  </si>
  <si>
    <t>CU2407-00950 -  SADIE</t>
  </si>
  <si>
    <t>IN2601-103717</t>
  </si>
  <si>
    <t>30/01/2026 14:50</t>
  </si>
  <si>
    <t>SO2601-94408</t>
  </si>
  <si>
    <t>CU2407-00415 -  NDEM NETMOH HILARY</t>
  </si>
  <si>
    <t>IN2601-103716</t>
  </si>
  <si>
    <t>30/01/2026 15:11</t>
  </si>
  <si>
    <t>SO2601-94407</t>
  </si>
  <si>
    <t>CU2407-00441 -  ENONGENE SONE STANLEY</t>
  </si>
  <si>
    <t>IN2601-103715</t>
  </si>
  <si>
    <t>SO2601-94406</t>
  </si>
  <si>
    <t>FABRICE 673335261</t>
  </si>
  <si>
    <t>IN2601-103714</t>
  </si>
  <si>
    <t>30/01/2026 14:44</t>
  </si>
  <si>
    <t>SO2601-94405</t>
  </si>
  <si>
    <t>MOUKAM</t>
  </si>
  <si>
    <t>MOUKAM JOSEPH</t>
  </si>
  <si>
    <t>IN2601-103713</t>
  </si>
  <si>
    <t>30/01/2026 15:27</t>
  </si>
  <si>
    <t>SO2601-94404</t>
  </si>
  <si>
    <t>IN2601-103712</t>
  </si>
  <si>
    <t>30/01/2026 14:42</t>
  </si>
  <si>
    <t>SO2601-94403</t>
  </si>
  <si>
    <t>TEM 674535588</t>
  </si>
  <si>
    <t>IN2601-103711</t>
  </si>
  <si>
    <t>30/01/2026 14:45</t>
  </si>
  <si>
    <t>SO2601-94402</t>
  </si>
  <si>
    <t>IN2601-103710</t>
  </si>
  <si>
    <t>30/01/2026 14:43</t>
  </si>
  <si>
    <t>SO2601-94401</t>
  </si>
  <si>
    <t>KENNE VIRGINI</t>
  </si>
  <si>
    <t>IN2601-103709</t>
  </si>
  <si>
    <t>SO2601-94400</t>
  </si>
  <si>
    <t>DJOUMESSI</t>
  </si>
  <si>
    <t>IN2601-103708</t>
  </si>
  <si>
    <t>30/01/2026 14:30</t>
  </si>
  <si>
    <t>SO2601-94399</t>
  </si>
  <si>
    <t>CU2504-01302 -  KUETCHE FOGANG THOMAS TIERY</t>
  </si>
  <si>
    <t>IN2601-103707</t>
  </si>
  <si>
    <t>30/01/2026 14:21</t>
  </si>
  <si>
    <t>SO2601-94398</t>
  </si>
  <si>
    <t>CU2509-14051 -  TEKE FELIX MBAWEI</t>
  </si>
  <si>
    <t>IN2601-103706</t>
  </si>
  <si>
    <t>30/01/2026 14:28</t>
  </si>
  <si>
    <t>SO2601-94397</t>
  </si>
  <si>
    <t>MME DJUISSI CHIMNIE 696002805</t>
  </si>
  <si>
    <t>IN2601-103705</t>
  </si>
  <si>
    <t>30/01/2026 14:10</t>
  </si>
  <si>
    <t>SO2601-94396</t>
  </si>
  <si>
    <t>M FEBE BIBIA</t>
  </si>
  <si>
    <t>IN2601-103704</t>
  </si>
  <si>
    <t>30/01/2026 14:15</t>
  </si>
  <si>
    <t>SO2601-94395</t>
  </si>
  <si>
    <t>PIERRE 677752819</t>
  </si>
  <si>
    <t>PROVOCAM COOP-CA.</t>
  </si>
  <si>
    <t>IN2601-103703</t>
  </si>
  <si>
    <t>SO2601-94394</t>
  </si>
  <si>
    <t>NOUMSSI</t>
  </si>
  <si>
    <t>IN2601-103702</t>
  </si>
  <si>
    <t>SO2601-94393</t>
  </si>
  <si>
    <t>IN2601-103701</t>
  </si>
  <si>
    <t>30/01/2026 14:07</t>
  </si>
  <si>
    <t>SO2601-94392</t>
  </si>
  <si>
    <t>CU2505-13361 -  AVIDEM SARL</t>
  </si>
  <si>
    <t>IN2601-103700</t>
  </si>
  <si>
    <t>30/01/2026 14:02</t>
  </si>
  <si>
    <t>SO2601-94391</t>
  </si>
  <si>
    <t>ASSIENE 693073484</t>
  </si>
  <si>
    <t>IN2601-103699</t>
  </si>
  <si>
    <t>30/01/2026 14:19</t>
  </si>
  <si>
    <t>SO2601-94390</t>
  </si>
  <si>
    <t>CU2407-00791 -  MOFFO BERTIN</t>
  </si>
  <si>
    <t>IN2601-103698</t>
  </si>
  <si>
    <t>30/01/2026 13:52</t>
  </si>
  <si>
    <t>SO2601-94389</t>
  </si>
  <si>
    <t>IN2601-103697</t>
  </si>
  <si>
    <t>30/01/2026 13:47</t>
  </si>
  <si>
    <t>SO2601-94388</t>
  </si>
  <si>
    <t>IN2601-103696</t>
  </si>
  <si>
    <t>30/01/2026 13:45</t>
  </si>
  <si>
    <t>SO2601-94387</t>
  </si>
  <si>
    <t>IN2601-103695</t>
  </si>
  <si>
    <t>30/01/2026 13:25</t>
  </si>
  <si>
    <t>SO2601-94386</t>
  </si>
  <si>
    <t>JUDITH</t>
  </si>
  <si>
    <t>IN2601-103694</t>
  </si>
  <si>
    <t>30/01/2026 13:26</t>
  </si>
  <si>
    <t>SO2601-94385</t>
  </si>
  <si>
    <t>CU2407-00801 -  NANA</t>
  </si>
  <si>
    <t>IN2601-103693</t>
  </si>
  <si>
    <t>30/01/2026 13:19</t>
  </si>
  <si>
    <t>SO2601-94384</t>
  </si>
  <si>
    <t>NANGMOU</t>
  </si>
  <si>
    <t>ZOCL00002000 -  KUHLIFARM COOP-BOD (KUHLIFARM COOP-BOD)</t>
  </si>
  <si>
    <t>IN2601-103692</t>
  </si>
  <si>
    <t>ZOCL00002000 -  KUHLIFARM COOP-BOD</t>
  </si>
  <si>
    <t>KUHLIFARM COOP-BOD</t>
  </si>
  <si>
    <t>30/01/2026 13:16</t>
  </si>
  <si>
    <t>SO2601-94383</t>
  </si>
  <si>
    <t>IN2601-103691</t>
  </si>
  <si>
    <t>30/01/2026 13:17</t>
  </si>
  <si>
    <t>SO2601-94382</t>
  </si>
  <si>
    <t>IN2601-103690</t>
  </si>
  <si>
    <t>30/01/2026 13:20</t>
  </si>
  <si>
    <t>SO2601-94381</t>
  </si>
  <si>
    <t>KAMDEM KAMGUIA 699154264</t>
  </si>
  <si>
    <t>IN2601-103689</t>
  </si>
  <si>
    <t>SO2601-94380</t>
  </si>
  <si>
    <t>NGNIMPEYE</t>
  </si>
  <si>
    <t>CU2407-00185 -  NGNIMPEYE JEAN PIERRE</t>
  </si>
  <si>
    <t>IN2601-103688</t>
  </si>
  <si>
    <t>30/01/2026 13:35</t>
  </si>
  <si>
    <t>SO2601-94379</t>
  </si>
  <si>
    <t>CU2407-00974 -  COMPLEX AVICOLE ANICAIRE SARL</t>
  </si>
  <si>
    <t>IN2601-103687</t>
  </si>
  <si>
    <t>30/01/2026 13:09</t>
  </si>
  <si>
    <t>SO2601-94378</t>
  </si>
  <si>
    <t>M LONTSI</t>
  </si>
  <si>
    <t>IN2601-103686</t>
  </si>
  <si>
    <t>30/01/2026 13:12</t>
  </si>
  <si>
    <t>SO2601-94377</t>
  </si>
  <si>
    <t>DZUDJO EMMANUEL (ZDCL00072)</t>
  </si>
  <si>
    <t>IN2601-103685</t>
  </si>
  <si>
    <t>DZUDJO EMMANUEL</t>
  </si>
  <si>
    <t>ZDCL00072</t>
  </si>
  <si>
    <t>30/01/2026 13:02</t>
  </si>
  <si>
    <t>SO2601-94376</t>
  </si>
  <si>
    <t>AZIS BRUNO / 695603081</t>
  </si>
  <si>
    <t>IN2601-103684</t>
  </si>
  <si>
    <t>30/01/2026 14:24</t>
  </si>
  <si>
    <t>SO2601-94375</t>
  </si>
  <si>
    <t>CU2512-14204 -  NDOUGOM FRANCIS</t>
  </si>
  <si>
    <t>IN2601-103683</t>
  </si>
  <si>
    <t>30/01/2026 12:56</t>
  </si>
  <si>
    <t>SO2601-94374</t>
  </si>
  <si>
    <t>CU2502-01241 -  TIWA RENE</t>
  </si>
  <si>
    <t>IN2601-103682</t>
  </si>
  <si>
    <t>30/01/2026 13:10</t>
  </si>
  <si>
    <t>SO2601-94373</t>
  </si>
  <si>
    <t>REMY NDJOKE / 691 99 76 06</t>
  </si>
  <si>
    <t>IN2601-103681</t>
  </si>
  <si>
    <t>SO2601-94372</t>
  </si>
  <si>
    <t>MME JIOFACK VICT 699907912</t>
  </si>
  <si>
    <t>IN2601-103680</t>
  </si>
  <si>
    <t>30/01/2026 12:52</t>
  </si>
  <si>
    <t>SO2601-94371</t>
  </si>
  <si>
    <t>CU2411-01168 -  SIGNI PIERRE LOTI</t>
  </si>
  <si>
    <t>IN2601-103679</t>
  </si>
  <si>
    <t>30/01/2026 12:48</t>
  </si>
  <si>
    <t>SO2601-94370</t>
  </si>
  <si>
    <t>CU2407-00466 -  PROVENDERIE CENTRALE</t>
  </si>
  <si>
    <t>IN2601-103678</t>
  </si>
  <si>
    <t>30/01/2026 13:06</t>
  </si>
  <si>
    <t>SO2601-94369</t>
  </si>
  <si>
    <t>KAMGNO</t>
  </si>
  <si>
    <t>CU2407-00168 -  KAMGNO PIERRE</t>
  </si>
  <si>
    <t>IN2601-103677</t>
  </si>
  <si>
    <t>30/01/2026 12:44</t>
  </si>
  <si>
    <t>SO2601-94368</t>
  </si>
  <si>
    <t>IN2601-103676</t>
  </si>
  <si>
    <t>30/01/2026 14:20</t>
  </si>
  <si>
    <t>SO2601-94367</t>
  </si>
  <si>
    <t>ALBERT</t>
  </si>
  <si>
    <t>IN2601-103675</t>
  </si>
  <si>
    <t>30/01/2026 12:37</t>
  </si>
  <si>
    <t>SO2601-94366</t>
  </si>
  <si>
    <t>CORART FARM 694198691</t>
  </si>
  <si>
    <t>CU2509-14122 -  CORART FARM (tchamokouen cheping arthur Rodrigue)</t>
  </si>
  <si>
    <t>IN2601-103674</t>
  </si>
  <si>
    <t>CU2509-14122 -  CORART FARM</t>
  </si>
  <si>
    <t>tchamokouen cheping arthur Rodrigue</t>
  </si>
  <si>
    <t>30/01/2026 12:59</t>
  </si>
  <si>
    <t>SO2601-94365</t>
  </si>
  <si>
    <t>PHIBMAT 650417955</t>
  </si>
  <si>
    <t>IN2601-103673</t>
  </si>
  <si>
    <t>30/01/2026 12:34</t>
  </si>
  <si>
    <t>SO2601-94364</t>
  </si>
  <si>
    <t>moderne plus</t>
  </si>
  <si>
    <t>IN2601-103672</t>
  </si>
  <si>
    <t>30/01/2026 12:27</t>
  </si>
  <si>
    <t>SO2601-94363</t>
  </si>
  <si>
    <t>CU2407-00794 -  PENKA DEFFO DANIEL</t>
  </si>
  <si>
    <t>IN2601-103671</t>
  </si>
  <si>
    <t>30/01/2026 12:28</t>
  </si>
  <si>
    <t>SO2601-94362</t>
  </si>
  <si>
    <t>SONWA SAHA 679432692</t>
  </si>
  <si>
    <t>IN2601-103670</t>
  </si>
  <si>
    <t>30/01/2026 12:19</t>
  </si>
  <si>
    <t>SO2601-94361</t>
  </si>
  <si>
    <t>leonie</t>
  </si>
  <si>
    <t>IN2601-103669</t>
  </si>
  <si>
    <t>30/01/2026 13:05</t>
  </si>
  <si>
    <t>SO2601-94360</t>
  </si>
  <si>
    <t>CU2504-13345 -  STE K'MDEU FARMS SARL (PEUMENI PASCAL)</t>
  </si>
  <si>
    <t>IN2601-103668</t>
  </si>
  <si>
    <t>CU2504-13345 -  STE K'MDEU FARMS SARL</t>
  </si>
  <si>
    <t>PEUMENI PASCAL</t>
  </si>
  <si>
    <t>30/01/2026 12:09</t>
  </si>
  <si>
    <t>SO2601-94359</t>
  </si>
  <si>
    <t>EPCN-NASSARAO / 695098603</t>
  </si>
  <si>
    <t>CU2409-01078 -  LA SOCIÉTÉ COOPÉRATIVE SIMPLIFIÉE DES ELEVEURS DE POULETS DE CHAIR DE NASSARAO-GAROU…</t>
  </si>
  <si>
    <t>IN2601-103667</t>
  </si>
  <si>
    <t>CU2409-01078 -  LA SOCIÉTÉ COOPÉRATIVE SIMPLIFIÉE DES ELEVEURS DE POULETS DE CHAIR DE NASSARAO-GAROUA</t>
  </si>
  <si>
    <t>SCOOPS-EPCN-GAROUA</t>
  </si>
  <si>
    <t>SO2601-94358</t>
  </si>
  <si>
    <t>MME WANDJI STEPHANIE / 690203205</t>
  </si>
  <si>
    <t>IN2601-103666</t>
  </si>
  <si>
    <t>30/01/2026 12:16</t>
  </si>
  <si>
    <t>SO2601-94357</t>
  </si>
  <si>
    <t>M OLOUNDOU SIMON</t>
  </si>
  <si>
    <t>IN2601-103665</t>
  </si>
  <si>
    <t>30/01/2026 12:04</t>
  </si>
  <si>
    <t>SO2601-94356</t>
  </si>
  <si>
    <t>IN2601-103664</t>
  </si>
  <si>
    <t>30/01/2026 12:03</t>
  </si>
  <si>
    <t>SO2601-94355</t>
  </si>
  <si>
    <t>DJALEU</t>
  </si>
  <si>
    <t>CU2407-00163 -  MME DJALEU TCHAGOUE</t>
  </si>
  <si>
    <t>IN2601-103663</t>
  </si>
  <si>
    <t>30/01/2026 11:55</t>
  </si>
  <si>
    <t>SO2601-94354</t>
  </si>
  <si>
    <t>TADOUANLA JULES / 694427545</t>
  </si>
  <si>
    <t>IN2601-103662</t>
  </si>
  <si>
    <t>30/01/2026 12:02</t>
  </si>
  <si>
    <t>SO2601-94352</t>
  </si>
  <si>
    <t>IN2601-103660</t>
  </si>
  <si>
    <t>30/01/2026 11:56</t>
  </si>
  <si>
    <t>SO2601-94351</t>
  </si>
  <si>
    <t>CU2407-00213 -  TILONG JOEL LEGRAND</t>
  </si>
  <si>
    <t>IN2601-103659</t>
  </si>
  <si>
    <t>30/01/2026 11:48</t>
  </si>
  <si>
    <t>SO2601-94350</t>
  </si>
  <si>
    <t>CU2504-13339 -  GROUPE INITIATIVE COMMUNE POUR LA PROMOTION AGROPASTORALE ET DE TRANSFORMATION DES P…</t>
  </si>
  <si>
    <t>IN2601-103658</t>
  </si>
  <si>
    <t>CU2504-13339 -  GROUPE INITIATIVE COMMUNE POUR LA PROMOTION AGROPASTORALE ET DE TRANSFORMATION DES PRODUITS AGRICOLES ET COSMETIQUES DE OUEST</t>
  </si>
  <si>
    <t>KAMGANG EMMANUEL</t>
  </si>
  <si>
    <t>30/01/2026 11:43</t>
  </si>
  <si>
    <t>SO2601-94349</t>
  </si>
  <si>
    <t>ETS KAPO 680815033</t>
  </si>
  <si>
    <t>IN2601-103657</t>
  </si>
  <si>
    <t>30/01/2026 11:40</t>
  </si>
  <si>
    <t>SO2601-94348</t>
  </si>
  <si>
    <t>OUMAR / 694 38 48 27</t>
  </si>
  <si>
    <t>IN2601-103656</t>
  </si>
  <si>
    <t>SO2601-94347</t>
  </si>
  <si>
    <t>CU2407-00356 -  KINGS FARMS</t>
  </si>
  <si>
    <t>IN2601-103655</t>
  </si>
  <si>
    <t>30/01/2026 11:42</t>
  </si>
  <si>
    <t>SO2601-94346</t>
  </si>
  <si>
    <t>GARGA JACOB 694403923</t>
  </si>
  <si>
    <t>IN2601-103654</t>
  </si>
  <si>
    <t>30/01/2026 12:12</t>
  </si>
  <si>
    <t>SO2601-94345</t>
  </si>
  <si>
    <t>CU2501-01207 -  MOUKO KUINTCHOUA CHRISTEL PANOS</t>
  </si>
  <si>
    <t>IN2601-103653</t>
  </si>
  <si>
    <t>30/01/2026 11:33</t>
  </si>
  <si>
    <t>SO2601-94344</t>
  </si>
  <si>
    <t>KAMSEU 696990100</t>
  </si>
  <si>
    <t>IN2601-103652</t>
  </si>
  <si>
    <t>30/01/2026 11:31</t>
  </si>
  <si>
    <t>SO2601-94343</t>
  </si>
  <si>
    <t>IN2601-103651</t>
  </si>
  <si>
    <t>30/01/2026 11:29</t>
  </si>
  <si>
    <t>SO2601-94342</t>
  </si>
  <si>
    <t>SIGNE</t>
  </si>
  <si>
    <t>CU2407-00159 -  SIGNE WILLIAM</t>
  </si>
  <si>
    <t>IN2601-103650</t>
  </si>
  <si>
    <t>30/01/2026 11:21</t>
  </si>
  <si>
    <t>SO2601-94341</t>
  </si>
  <si>
    <t>CU2406-00020 -  PROVENDERIE RENOUVEAU 14</t>
  </si>
  <si>
    <t>IN2601-103649</t>
  </si>
  <si>
    <t>30/01/2026 11:35</t>
  </si>
  <si>
    <t>SO2601-94340</t>
  </si>
  <si>
    <t>M MASSOL 656115386</t>
  </si>
  <si>
    <t>IN2601-103648</t>
  </si>
  <si>
    <t>30/01/2026 11:08</t>
  </si>
  <si>
    <t>SO2601-94339</t>
  </si>
  <si>
    <t>MASSOU AMANDINE 655255983</t>
  </si>
  <si>
    <t>IN2601-103647</t>
  </si>
  <si>
    <t>30/01/2026 11:11</t>
  </si>
  <si>
    <t>SO2601-94337</t>
  </si>
  <si>
    <t>MAPE</t>
  </si>
  <si>
    <t>CU2407-00175 -  CLIENT COMPTOIR NKONGSSAMBA</t>
  </si>
  <si>
    <t>IN2601-103645</t>
  </si>
  <si>
    <t>30/01/2026 11:05</t>
  </si>
  <si>
    <t>SO2601-94336</t>
  </si>
  <si>
    <t>SEMI 675695407</t>
  </si>
  <si>
    <t>IN2601-103644</t>
  </si>
  <si>
    <t>30/01/2026 11:02</t>
  </si>
  <si>
    <t>SO2601-94335</t>
  </si>
  <si>
    <t>TAKAM</t>
  </si>
  <si>
    <t>IN2601-103643</t>
  </si>
  <si>
    <t>30/01/2026 10:59</t>
  </si>
  <si>
    <t>SO2601-94334</t>
  </si>
  <si>
    <t>CU2601-14312 -  MME FOTSING MIREILLE</t>
  </si>
  <si>
    <t>IN2601-103642</t>
  </si>
  <si>
    <t>30/01/2026 11:00</t>
  </si>
  <si>
    <t>SO2601-94333</t>
  </si>
  <si>
    <t>DESTINY FARM 654008039</t>
  </si>
  <si>
    <t>IN2601-103641</t>
  </si>
  <si>
    <t>SO2601-94332</t>
  </si>
  <si>
    <t>HAWAII / 694576256</t>
  </si>
  <si>
    <t>CU2407-00386 -  HAWAII GROUP</t>
  </si>
  <si>
    <t>IN2601-103640</t>
  </si>
  <si>
    <t>30/01/2026 10:48</t>
  </si>
  <si>
    <t>SO2601-94331</t>
  </si>
  <si>
    <t>IN2601-103639</t>
  </si>
  <si>
    <t>30/01/2026 10:47</t>
  </si>
  <si>
    <t>SO2601-94330</t>
  </si>
  <si>
    <t>CU2407-00852 -  WAFO</t>
  </si>
  <si>
    <t>IN2601-103638</t>
  </si>
  <si>
    <t>30/01/2026 10:46</t>
  </si>
  <si>
    <t>SO2601-94329</t>
  </si>
  <si>
    <t>TSALAH landry 696246529</t>
  </si>
  <si>
    <t>IN2601-103637</t>
  </si>
  <si>
    <t>30/01/2026 10:45</t>
  </si>
  <si>
    <t>SO2601-94328</t>
  </si>
  <si>
    <t>CU2407-00481 -  BAHO</t>
  </si>
  <si>
    <t>IN2601-103636</t>
  </si>
  <si>
    <t>30/01/2026 10:35</t>
  </si>
  <si>
    <t>SO2601-94327</t>
  </si>
  <si>
    <t>ELISABETH 670073831</t>
  </si>
  <si>
    <t>IN2601-103635</t>
  </si>
  <si>
    <t>30/01/2026 10:53</t>
  </si>
  <si>
    <t>SO2601-94326</t>
  </si>
  <si>
    <t>ANDRE / 657 66 38 32</t>
  </si>
  <si>
    <t>IN2601-103634</t>
  </si>
  <si>
    <t>30/01/2026 10:31</t>
  </si>
  <si>
    <t>SO2601-94325</t>
  </si>
  <si>
    <t>FOTSI GUY 674186491</t>
  </si>
  <si>
    <t>IN2601-103633</t>
  </si>
  <si>
    <t>30/01/2026 10:37</t>
  </si>
  <si>
    <t>SO2601-94324</t>
  </si>
  <si>
    <t>NINKOS 674060677</t>
  </si>
  <si>
    <t>IN2601-103632</t>
  </si>
  <si>
    <t>SO2601-94323</t>
  </si>
  <si>
    <t>CU2407-00872 -  NKUE</t>
  </si>
  <si>
    <t>IN2601-103631</t>
  </si>
  <si>
    <t>30/01/2026 10:23</t>
  </si>
  <si>
    <t>SO2601-94322</t>
  </si>
  <si>
    <t>IN2601-103630</t>
  </si>
  <si>
    <t>30/01/2026 10:21</t>
  </si>
  <si>
    <t>SO2601-94321</t>
  </si>
  <si>
    <t>ALEX 691155859</t>
  </si>
  <si>
    <t>IN2601-103629</t>
  </si>
  <si>
    <t>30/01/2026 10:18</t>
  </si>
  <si>
    <t>SO2601-94320</t>
  </si>
  <si>
    <t>MBOZEKO 674971676</t>
  </si>
  <si>
    <t>IN2601-103628</t>
  </si>
  <si>
    <t>30/01/2026 10:17</t>
  </si>
  <si>
    <t>SO2601-94319</t>
  </si>
  <si>
    <t>POUÏWE 699874782</t>
  </si>
  <si>
    <t>IN2601-103627</t>
  </si>
  <si>
    <t>30/01/2026 10:16</t>
  </si>
  <si>
    <t>SO2601-94318</t>
  </si>
  <si>
    <t>IN2601-103626</t>
  </si>
  <si>
    <t>30/01/2026 10:13</t>
  </si>
  <si>
    <t>SO2601-94317</t>
  </si>
  <si>
    <t>IN2601-103625</t>
  </si>
  <si>
    <t>SO2601-94316</t>
  </si>
  <si>
    <t>IN2601-103624</t>
  </si>
  <si>
    <t>30/01/2026 10:14</t>
  </si>
  <si>
    <t>SO2601-94315</t>
  </si>
  <si>
    <t>CU2504-13353 -  GLOBAL INVESTMENT SARL</t>
  </si>
  <si>
    <t>IN2601-103623</t>
  </si>
  <si>
    <t>SO2601-94314</t>
  </si>
  <si>
    <t>GUILLAUNE 677348592</t>
  </si>
  <si>
    <t>IN2601-103622</t>
  </si>
  <si>
    <t>30/01/2026 10:03</t>
  </si>
  <si>
    <t>SO2601-94313</t>
  </si>
  <si>
    <t>CU2510-14132 -  SOUPE FABRICE DUPLEX</t>
  </si>
  <si>
    <t>IN2601-103621</t>
  </si>
  <si>
    <t>30/01/2026 10:15</t>
  </si>
  <si>
    <t>SO2601-94312</t>
  </si>
  <si>
    <t>ZIMA 677129796</t>
  </si>
  <si>
    <t>IN2601-103620</t>
  </si>
  <si>
    <t>30/01/2026 10:01</t>
  </si>
  <si>
    <t>SO2601-94311</t>
  </si>
  <si>
    <t>IN2601-103619</t>
  </si>
  <si>
    <t>SO2601-94310</t>
  </si>
  <si>
    <t>wilfrid</t>
  </si>
  <si>
    <t>IN2601-103618</t>
  </si>
  <si>
    <t>30/01/2026 09:48</t>
  </si>
  <si>
    <t>SO2601-94309</t>
  </si>
  <si>
    <t>TCHANTCHOU NADEGE 658311630</t>
  </si>
  <si>
    <t>23/01/2026 00:00</t>
  </si>
  <si>
    <t>IN2601-103617</t>
  </si>
  <si>
    <t>SO2601-94308</t>
  </si>
  <si>
    <t>BERNARD</t>
  </si>
  <si>
    <t>IN2601-103616</t>
  </si>
  <si>
    <t>30/01/2026 09:44</t>
  </si>
  <si>
    <t>SO2601-94307</t>
  </si>
  <si>
    <t>CU2407-00160 -  PROVENDERIE LA GRACE DIVINE</t>
  </si>
  <si>
    <t>IN2601-103615</t>
  </si>
  <si>
    <t>30/01/2026 10:12</t>
  </si>
  <si>
    <t>SO2601-94306</t>
  </si>
  <si>
    <t>CU2601-14336 -  FOSSI FOKA RODRIGUE</t>
  </si>
  <si>
    <t>IN2601-103614</t>
  </si>
  <si>
    <t>30/01/2026 09:35</t>
  </si>
  <si>
    <t>SO2601-94305</t>
  </si>
  <si>
    <t>CU2407-00270 -  ETS GMC</t>
  </si>
  <si>
    <t>IN2601-103613</t>
  </si>
  <si>
    <t>30/01/2026 09:34</t>
  </si>
  <si>
    <t>SO2601-94304</t>
  </si>
  <si>
    <t>CU2508-13673 -  Dr DJOUKAM FOTSING JULES CESAR</t>
  </si>
  <si>
    <t>IN2601-103612</t>
  </si>
  <si>
    <t>30/01/2026 09:33</t>
  </si>
  <si>
    <t>SO2601-94303</t>
  </si>
  <si>
    <t>CU2407-00462 -  PROVENDERIE LA GRACE AXELOURD</t>
  </si>
  <si>
    <t>IN2601-103611</t>
  </si>
  <si>
    <t>30/01/2026 09:30</t>
  </si>
  <si>
    <t>SO2601-94302</t>
  </si>
  <si>
    <t>BRUNO 681520901</t>
  </si>
  <si>
    <t>IN2601-103610</t>
  </si>
  <si>
    <t>30/01/2026 09:31</t>
  </si>
  <si>
    <t>SO2601-94301</t>
  </si>
  <si>
    <t>CU2502-01261 -  M.TSOPANOUA VICTOR</t>
  </si>
  <si>
    <t>IN2601-103609</t>
  </si>
  <si>
    <t>30/01/2026 09:36</t>
  </si>
  <si>
    <t>SO2601-94300</t>
  </si>
  <si>
    <t>IN2601-103608</t>
  </si>
  <si>
    <t>30/01/2026 09:49</t>
  </si>
  <si>
    <t>SO2601-94299</t>
  </si>
  <si>
    <t>NOUSSI ANATOLE 653267385</t>
  </si>
  <si>
    <t>IN2601-103607</t>
  </si>
  <si>
    <t>30/01/2026 09:18</t>
  </si>
  <si>
    <t>SO2601-94298</t>
  </si>
  <si>
    <t>CU2411-01154 -  Dr TSAFACK JEAN CALVIN</t>
  </si>
  <si>
    <t>IN2601-103606</t>
  </si>
  <si>
    <t>30/01/2026 09:20</t>
  </si>
  <si>
    <t>SO2601-94297</t>
  </si>
  <si>
    <t>CU2502-01263 -  ASSOCIATION FERME LA RENAISSAINCE (YIMMOU GASSEU Epse NDEFEU)</t>
  </si>
  <si>
    <t>IN2601-103605</t>
  </si>
  <si>
    <t>CU2502-01263 -  ASSOCIATION FERME LA RENAISSAINCE</t>
  </si>
  <si>
    <t>YIMMOU GASSEU Epse NDEFEU</t>
  </si>
  <si>
    <t>30/01/2026 09:23</t>
  </si>
  <si>
    <t>SO2601-94296</t>
  </si>
  <si>
    <t>SAMOU ALAIN 675666371</t>
  </si>
  <si>
    <t>IN2601-103604</t>
  </si>
  <si>
    <t>30/01/2026 09:17</t>
  </si>
  <si>
    <t>SO2601-94295</t>
  </si>
  <si>
    <t>IN2601-103603</t>
  </si>
  <si>
    <t>30/01/2026 09:16</t>
  </si>
  <si>
    <t>SO2601-94294</t>
  </si>
  <si>
    <t>MENGUE 696983462</t>
  </si>
  <si>
    <t>IN2601-103602</t>
  </si>
  <si>
    <t>30/01/2026 09:15</t>
  </si>
  <si>
    <t>SO2601-94293</t>
  </si>
  <si>
    <t>CU2601-14271 -  AWAWO JEAN CLAUDE</t>
  </si>
  <si>
    <t>IN2601-103601</t>
  </si>
  <si>
    <t>30/01/2026 09:13</t>
  </si>
  <si>
    <t>SO2601-94292</t>
  </si>
  <si>
    <t>CU2407-00469 -  TCHUENTE SYLVAIN</t>
  </si>
  <si>
    <t>IN2601-103600</t>
  </si>
  <si>
    <t>30/01/2026 09:14</t>
  </si>
  <si>
    <t>SO2601-94291</t>
  </si>
  <si>
    <t>BELL 674005930</t>
  </si>
  <si>
    <t>IN2601-103599</t>
  </si>
  <si>
    <t>30/01/2026 09:08</t>
  </si>
  <si>
    <t>SO2601-94290</t>
  </si>
  <si>
    <t>CU2407-00351 -  PROV DJUGNING</t>
  </si>
  <si>
    <t>IN2601-103598</t>
  </si>
  <si>
    <t>30/01/2026 09:07</t>
  </si>
  <si>
    <t>SO2601-94289</t>
  </si>
  <si>
    <t>Kamdem fenou</t>
  </si>
  <si>
    <t>IN2601-103597</t>
  </si>
  <si>
    <t>30/01/2026 08:56</t>
  </si>
  <si>
    <t>SO2601-94288</t>
  </si>
  <si>
    <t>FOMELA BILLY 699318342</t>
  </si>
  <si>
    <t>IN2601-103596</t>
  </si>
  <si>
    <t>SO2601-94287</t>
  </si>
  <si>
    <t>WOUAMI EMMANUEL670481640</t>
  </si>
  <si>
    <t>CU2502-01253 -  NZOUABET WOUAMI EMMANUEL</t>
  </si>
  <si>
    <t>IN2601-103595</t>
  </si>
  <si>
    <t>SO2601-94286</t>
  </si>
  <si>
    <t>NGUEDAM 674925285</t>
  </si>
  <si>
    <t>IN2601-103594</t>
  </si>
  <si>
    <t>30/01/2026 08:50</t>
  </si>
  <si>
    <t>SO2601-94285</t>
  </si>
  <si>
    <t>GIC EPA</t>
  </si>
  <si>
    <t>IN2601-103593</t>
  </si>
  <si>
    <t>30/01/2026 08:57</t>
  </si>
  <si>
    <t>SO2601-94284</t>
  </si>
  <si>
    <t>IN2601-103592</t>
  </si>
  <si>
    <t>30/01/2026 08:39</t>
  </si>
  <si>
    <t>SO2601-94283</t>
  </si>
  <si>
    <t>ABISSEGUE 699548272</t>
  </si>
  <si>
    <t>IN2601-103591</t>
  </si>
  <si>
    <t>30/01/2026 08:37</t>
  </si>
  <si>
    <t>SO2601-94282</t>
  </si>
  <si>
    <t>FOPA</t>
  </si>
  <si>
    <t>IN2601-103590</t>
  </si>
  <si>
    <t>30/01/2026 08:34</t>
  </si>
  <si>
    <t>SO2601-94281</t>
  </si>
  <si>
    <t>BEMA BONA 678322730</t>
  </si>
  <si>
    <t>IN2601-103589</t>
  </si>
  <si>
    <t>30/01/2026 08:32</t>
  </si>
  <si>
    <t>SO2601-94280</t>
  </si>
  <si>
    <t>SEM FARM</t>
  </si>
  <si>
    <t>IN2601-103588</t>
  </si>
  <si>
    <t>30/01/2026 08:38</t>
  </si>
  <si>
    <t>SO2601-94279</t>
  </si>
  <si>
    <t>GIC DACAM</t>
  </si>
  <si>
    <t>IN2601-103587</t>
  </si>
  <si>
    <t>30/01/2026 08:26</t>
  </si>
  <si>
    <t>SO2601-94278</t>
  </si>
  <si>
    <t>CU2409-01088 -  Nom Nzontheu paul</t>
  </si>
  <si>
    <t>IN2601-103586</t>
  </si>
  <si>
    <t>SO2601-94277</t>
  </si>
  <si>
    <t>AUGUSTIN TCHONBEAUA 657291746</t>
  </si>
  <si>
    <t>IN2601-103585</t>
  </si>
  <si>
    <t>30/01/2026 08:19</t>
  </si>
  <si>
    <t>SO2601-94276</t>
  </si>
  <si>
    <t>TONFY ET FILLES / 696693752</t>
  </si>
  <si>
    <t>CU2508-13700 -  ETS TONFY ET FILLES (SABIKETI YVETTE AIMEE epse TONFACK) (SABIKETI YVETTE AIMEE)</t>
  </si>
  <si>
    <t>IN2601-103584</t>
  </si>
  <si>
    <t>CU2508-13700 -  ETS TONFY ET FILLES (SABIKETI YVETTE AIMEE epse TONFACK)</t>
  </si>
  <si>
    <t>SABIKETI YVETTE AIMEE</t>
  </si>
  <si>
    <t>30/01/2026 08:40</t>
  </si>
  <si>
    <t>SO2601-94275</t>
  </si>
  <si>
    <t>martin</t>
  </si>
  <si>
    <t>IN2601-103583</t>
  </si>
  <si>
    <t>30/01/2026 08:16</t>
  </si>
  <si>
    <t>SO2601-94274</t>
  </si>
  <si>
    <t>CU2407-00569 -  EMC MBOUDA</t>
  </si>
  <si>
    <t>IN2601-103582</t>
  </si>
  <si>
    <t>30/01/2026 08:11</t>
  </si>
  <si>
    <t>SO2601-94273</t>
  </si>
  <si>
    <t>CU2407-00606 -  Proal</t>
  </si>
  <si>
    <t>IN2601-103581</t>
  </si>
  <si>
    <t>30/01/2026 08:23</t>
  </si>
  <si>
    <t>SO2601-94272</t>
  </si>
  <si>
    <t>SALIHOU 698241707</t>
  </si>
  <si>
    <t>IN2601-103580</t>
  </si>
  <si>
    <t>30/01/2026 08:13</t>
  </si>
  <si>
    <t>SO2601-94271</t>
  </si>
  <si>
    <t>M TALLA ANDRE 699206186</t>
  </si>
  <si>
    <t>IN2601-103579</t>
  </si>
  <si>
    <t>30/01/2026 07:47</t>
  </si>
  <si>
    <t>SO2601-94270</t>
  </si>
  <si>
    <t>NEPPEL T ORIOL 655421965</t>
  </si>
  <si>
    <t>IN2601-103578</t>
  </si>
  <si>
    <t>30/01/2026 07:45</t>
  </si>
  <si>
    <t>SO2601-94338</t>
  </si>
  <si>
    <t>DJEUDJA</t>
  </si>
  <si>
    <t>CU2407-00337 -  STE FERME AVICOLE DE L'ESPERENCE ENYOKI NKONGSAMBA-SARL (FAEE)</t>
  </si>
  <si>
    <t>29/01/2026</t>
  </si>
  <si>
    <t>IN2601-103646</t>
  </si>
  <si>
    <t>CU2407-00337 -  STE FERME AVICOLE DE L'ESPERENCE ENYOKI NKONGSAMBA-SARL</t>
  </si>
  <si>
    <t>FAEE</t>
  </si>
  <si>
    <t>SO2601-94269</t>
  </si>
  <si>
    <t>TCHOUPO</t>
  </si>
  <si>
    <t>29/01/2026 00:00</t>
  </si>
  <si>
    <t>IN2601-103577</t>
  </si>
  <si>
    <t>29/01/2026 17:39</t>
  </si>
  <si>
    <t>SO2601-94268</t>
  </si>
  <si>
    <t>M MBA</t>
  </si>
  <si>
    <t>IN2601-103576</t>
  </si>
  <si>
    <t>29/01/2026 16:58</t>
  </si>
  <si>
    <t>SO2601-94267</t>
  </si>
  <si>
    <t>M KADJO</t>
  </si>
  <si>
    <t>IN2601-103575</t>
  </si>
  <si>
    <t>29/01/2026 16:59</t>
  </si>
  <si>
    <t>SO2601-94266</t>
  </si>
  <si>
    <t>IN2601-103574</t>
  </si>
  <si>
    <t>29/01/2026 16:46</t>
  </si>
  <si>
    <t>SO2601-94265</t>
  </si>
  <si>
    <t>LUIS</t>
  </si>
  <si>
    <t>IN2601-103573</t>
  </si>
  <si>
    <t>29/01/2026 16:38</t>
  </si>
  <si>
    <t>SO2601-94263</t>
  </si>
  <si>
    <t>CU2502-01251 -  KAM APPOLINAIRE</t>
  </si>
  <si>
    <t>IN2601-103571</t>
  </si>
  <si>
    <t>29/01/2026 16:36</t>
  </si>
  <si>
    <t>SO2601-94262</t>
  </si>
  <si>
    <t>IN2601-103570</t>
  </si>
  <si>
    <t>29/01/2026 17:28</t>
  </si>
  <si>
    <t>SO2601-94261</t>
  </si>
  <si>
    <t>CU2504-01301 -  GIC NKOUNA</t>
  </si>
  <si>
    <t>IN2601-103569</t>
  </si>
  <si>
    <t>29/01/2026 16:32</t>
  </si>
  <si>
    <t>SO2601-94260</t>
  </si>
  <si>
    <t>DOUANGUIM</t>
  </si>
  <si>
    <t>IN2601-103568</t>
  </si>
  <si>
    <t>29/01/2026 16:47</t>
  </si>
  <si>
    <t>SO2601-94259</t>
  </si>
  <si>
    <t>BUNAH STEVEN</t>
  </si>
  <si>
    <t>IN2601-103567</t>
  </si>
  <si>
    <t>29/01/2026 16:52</t>
  </si>
  <si>
    <t>SO2601-94258</t>
  </si>
  <si>
    <t>NATHALIE 679751754</t>
  </si>
  <si>
    <t>IN2601-103566</t>
  </si>
  <si>
    <t>SO2601-94257</t>
  </si>
  <si>
    <t>ELVIS JUSTINE</t>
  </si>
  <si>
    <t>IN2601-103565</t>
  </si>
  <si>
    <t>29/01/2026 16:41</t>
  </si>
  <si>
    <t>SO2601-94256</t>
  </si>
  <si>
    <t>SAP</t>
  </si>
  <si>
    <t>IN2601-103563</t>
  </si>
  <si>
    <t>29/01/2026 16:17</t>
  </si>
  <si>
    <t>SO2601-94255</t>
  </si>
  <si>
    <t>CU2407-00439 -  MOUAFO MATHIAS</t>
  </si>
  <si>
    <t>IN2601-103562</t>
  </si>
  <si>
    <t>29/01/2026 16:34</t>
  </si>
  <si>
    <t>SO2601-94254</t>
  </si>
  <si>
    <t>IN2601-103561</t>
  </si>
  <si>
    <t>29/01/2026 16:19</t>
  </si>
  <si>
    <t>SO2601-94253</t>
  </si>
  <si>
    <t>MBA</t>
  </si>
  <si>
    <t>CU2407-00186 -  MBA THIERRY</t>
  </si>
  <si>
    <t>IN2601-103560</t>
  </si>
  <si>
    <t>29/01/2026 16:10</t>
  </si>
  <si>
    <t>SO2601-94252</t>
  </si>
  <si>
    <t>KEMKA TCHINDA 674751424</t>
  </si>
  <si>
    <t>IN2601-103559</t>
  </si>
  <si>
    <t>29/01/2026 16:05</t>
  </si>
  <si>
    <t>SO2601-94251</t>
  </si>
  <si>
    <t>PANEBENG 695142495</t>
  </si>
  <si>
    <t>ID2601-0041</t>
  </si>
  <si>
    <t>29/01/2026 16:08</t>
  </si>
  <si>
    <t>Payé</t>
  </si>
  <si>
    <t>SO2601-94250</t>
  </si>
  <si>
    <t>DOMGANG LYDIE 682672530</t>
  </si>
  <si>
    <t>IN2601-103558</t>
  </si>
  <si>
    <t>29/01/2026 16:07</t>
  </si>
  <si>
    <t>SO2601-94249</t>
  </si>
  <si>
    <t>IN2601-103557</t>
  </si>
  <si>
    <t>29/01/2026 16:06</t>
  </si>
  <si>
    <t>SO2601-94248</t>
  </si>
  <si>
    <t>kamdem 696089086</t>
  </si>
  <si>
    <t>IN2601-103556</t>
  </si>
  <si>
    <t>29/01/2026 16:04</t>
  </si>
  <si>
    <t>SO2601-94247</t>
  </si>
  <si>
    <t>MME DINGUE</t>
  </si>
  <si>
    <t>IN2601-103555</t>
  </si>
  <si>
    <t>SO2601-94246</t>
  </si>
  <si>
    <t>CU2512-14228 -  TChouabe siakam therese</t>
  </si>
  <si>
    <t>IN2601-103554</t>
  </si>
  <si>
    <t>29/01/2026 16:01</t>
  </si>
  <si>
    <t>SO2601-94245</t>
  </si>
  <si>
    <t>KANA</t>
  </si>
  <si>
    <t>IN2601-103553</t>
  </si>
  <si>
    <t>29/01/2026 15:53</t>
  </si>
  <si>
    <t>SO2601-94244</t>
  </si>
  <si>
    <t>IN2601-103552</t>
  </si>
  <si>
    <t>29/01/2026 15:49</t>
  </si>
  <si>
    <t>SO2601-94243</t>
  </si>
  <si>
    <t>EFFO 695603410</t>
  </si>
  <si>
    <t>IN2601-103551</t>
  </si>
  <si>
    <t>SO2601-94242</t>
  </si>
  <si>
    <t>FRANKY 640939209</t>
  </si>
  <si>
    <t>IN2601-103550</t>
  </si>
  <si>
    <t>SO2601-94241</t>
  </si>
  <si>
    <t>BARGA 676932598</t>
  </si>
  <si>
    <t>IN2601-103549</t>
  </si>
  <si>
    <t>29/01/2026 15:59</t>
  </si>
  <si>
    <t>SO2601-94240</t>
  </si>
  <si>
    <t>CU2407-00492 -  CHEF BAYANGAM</t>
  </si>
  <si>
    <t>IN2601-103548</t>
  </si>
  <si>
    <t>29/01/2026 15:42</t>
  </si>
  <si>
    <t>SO2601-94239</t>
  </si>
  <si>
    <t>CU2407-00642 -  GIC KWITCHOUO</t>
  </si>
  <si>
    <t>IN2601-103547</t>
  </si>
  <si>
    <t>29/01/2026 15:44</t>
  </si>
  <si>
    <t>SO2601-94238</t>
  </si>
  <si>
    <t>IN2601-103546</t>
  </si>
  <si>
    <t>29/01/2026 15:46</t>
  </si>
  <si>
    <t>SO2601-94237</t>
  </si>
  <si>
    <t>BOBDA JONAS 681191627</t>
  </si>
  <si>
    <t>IN2601-103545</t>
  </si>
  <si>
    <t>29/01/2026 15:45</t>
  </si>
  <si>
    <t>SO2601-94236</t>
  </si>
  <si>
    <t>CU2407-00355 -  DEKJIMENE JEAN PIERRE</t>
  </si>
  <si>
    <t>IN2601-103544</t>
  </si>
  <si>
    <t>29/01/2026 15:51</t>
  </si>
  <si>
    <t>SO2601-94235</t>
  </si>
  <si>
    <t>CU2502-01231 -  Mr SIMO</t>
  </si>
  <si>
    <t>IN2601-103543</t>
  </si>
  <si>
    <t>SO2601-94234</t>
  </si>
  <si>
    <t>CU2407-00889 -  M FOMEKONG constant</t>
  </si>
  <si>
    <t>IN2601-103542</t>
  </si>
  <si>
    <t>29/01/2026 15:35</t>
  </si>
  <si>
    <t>SO2601-94233</t>
  </si>
  <si>
    <t>SIGA 699904043</t>
  </si>
  <si>
    <t>CU2511-14169 -  CLIENT COMPTOIR SPC PK15</t>
  </si>
  <si>
    <t>SOH SIGNE Yves</t>
  </si>
  <si>
    <t>SPC PK15</t>
  </si>
  <si>
    <t>IN2601-103541</t>
  </si>
  <si>
    <t>29/01/2026 15:30</t>
  </si>
  <si>
    <t>SO2601-94232</t>
  </si>
  <si>
    <t>IN2601-103540</t>
  </si>
  <si>
    <t>29/01/2026 15:26</t>
  </si>
  <si>
    <t>SO2601-94231</t>
  </si>
  <si>
    <t>BILL</t>
  </si>
  <si>
    <t>IN2601-103539</t>
  </si>
  <si>
    <t>29/01/2026 15:27</t>
  </si>
  <si>
    <t>SO2601-94230</t>
  </si>
  <si>
    <t>IN2601-103538</t>
  </si>
  <si>
    <t>29/01/2026 15:25</t>
  </si>
  <si>
    <t>SO2601-94229</t>
  </si>
  <si>
    <t>CU2601-14315 -  DJOUWE GUTCHOU JULIETTE STEPH</t>
  </si>
  <si>
    <t>IN2601-103537</t>
  </si>
  <si>
    <t>29/01/2026 15:23</t>
  </si>
  <si>
    <t>SO2601-94228</t>
  </si>
  <si>
    <t>CU2407-00154 -  TSAFACK DANIEL</t>
  </si>
  <si>
    <t>IN2601-103536</t>
  </si>
  <si>
    <t>29/01/2026 15:15</t>
  </si>
  <si>
    <t>SO2601-94227</t>
  </si>
  <si>
    <t>NOUMBISSIE 679128876</t>
  </si>
  <si>
    <t>IN2601-103535</t>
  </si>
  <si>
    <t>29/01/2026 15:18</t>
  </si>
  <si>
    <t>SO2601-94226</t>
  </si>
  <si>
    <t>CU2502-01223 -  PERFECTA EBOLOWA</t>
  </si>
  <si>
    <t>IN2601-103534</t>
  </si>
  <si>
    <t>29/01/2026 16:26</t>
  </si>
  <si>
    <t>SO2601-94225</t>
  </si>
  <si>
    <t>CU2407-00465 -  PHAVETA</t>
  </si>
  <si>
    <t>IN2601-103533</t>
  </si>
  <si>
    <t>SO2601-94224</t>
  </si>
  <si>
    <t>CU2407-00764 -  MBOUBOU</t>
  </si>
  <si>
    <t>IN2601-103532</t>
  </si>
  <si>
    <t>29/01/2026 15:07</t>
  </si>
  <si>
    <t>SO2601-94223</t>
  </si>
  <si>
    <t>MBEKAP MERIME</t>
  </si>
  <si>
    <t>IN2601-103531</t>
  </si>
  <si>
    <t>29/01/2026 14:55</t>
  </si>
  <si>
    <t>SO2601-94222</t>
  </si>
  <si>
    <t>IN2601-103530</t>
  </si>
  <si>
    <t>29/01/2026 14:59</t>
  </si>
  <si>
    <t>SO2601-94221</t>
  </si>
  <si>
    <t>CU2504-01289 -  PROVENDERIE LE GRAIN</t>
  </si>
  <si>
    <t>IN2601-103529</t>
  </si>
  <si>
    <t>29/01/2026 14:45</t>
  </si>
  <si>
    <t>SO2601-94220</t>
  </si>
  <si>
    <t>LA GRACE</t>
  </si>
  <si>
    <t>IN2601-103528</t>
  </si>
  <si>
    <t>SO2601-94219</t>
  </si>
  <si>
    <t>Mme OSEGUE</t>
  </si>
  <si>
    <t>IN2601-103527</t>
  </si>
  <si>
    <t>29/01/2026 14:47</t>
  </si>
  <si>
    <t>SO2601-94218</t>
  </si>
  <si>
    <t>M. TILA</t>
  </si>
  <si>
    <t>CU2406-00112 -  TILA SONWA AURELIEN</t>
  </si>
  <si>
    <t>IN2601-103526</t>
  </si>
  <si>
    <t>SO2601-94217</t>
  </si>
  <si>
    <t>CU2407-00224 -  TCHOFFO HILAIRE HONORE</t>
  </si>
  <si>
    <t>IN2601-103525</t>
  </si>
  <si>
    <t>29/01/2026 14:41</t>
  </si>
  <si>
    <t>SO2601-94216</t>
  </si>
  <si>
    <t>IN2601-103524</t>
  </si>
  <si>
    <t>29/01/2026 14:32</t>
  </si>
  <si>
    <t>SO2601-94215</t>
  </si>
  <si>
    <t>TANGWANG 679228027</t>
  </si>
  <si>
    <t>IN2601-103523</t>
  </si>
  <si>
    <t>29/01/2026 14:46</t>
  </si>
  <si>
    <t>SO2601-94214</t>
  </si>
  <si>
    <t>JBB 696327715</t>
  </si>
  <si>
    <t>CU2407-00765 -  JBBCOMAX SARL</t>
  </si>
  <si>
    <t>IN2601-103522</t>
  </si>
  <si>
    <t>29/01/2026 17:20</t>
  </si>
  <si>
    <t>SO2601-94213</t>
  </si>
  <si>
    <t>CU2407-00261 -  DEUGUEU SINGOUE ETEL YVAN</t>
  </si>
  <si>
    <t>IN2601-103521</t>
  </si>
  <si>
    <t>29/01/2026 14:29</t>
  </si>
  <si>
    <t>SO2601-94212</t>
  </si>
  <si>
    <t>WAMENI 699918809</t>
  </si>
  <si>
    <t>IN2601-103520</t>
  </si>
  <si>
    <t>29/01/2026 14:27</t>
  </si>
  <si>
    <t>SO2601-94211</t>
  </si>
  <si>
    <t>CU2407-00422 -  ZEVELUS MBANWIE BEIN</t>
  </si>
  <si>
    <t>IN2601-103519</t>
  </si>
  <si>
    <t>29/01/2026 14:57</t>
  </si>
  <si>
    <t>SO2601-94210</t>
  </si>
  <si>
    <t>DONFACK</t>
  </si>
  <si>
    <t>CU2407-00170 -  MME DONFACK DONGMO</t>
  </si>
  <si>
    <t>IN2601-103518</t>
  </si>
  <si>
    <t>SO2601-94209</t>
  </si>
  <si>
    <t>MOISE</t>
  </si>
  <si>
    <t>IN2601-103517</t>
  </si>
  <si>
    <t>29/01/2026 14:24</t>
  </si>
  <si>
    <t>SO2601-94208</t>
  </si>
  <si>
    <t>KETCHA NANA 694597534</t>
  </si>
  <si>
    <t>IN2601-103516</t>
  </si>
  <si>
    <t>SO2601-94207</t>
  </si>
  <si>
    <t>PAMI JULES</t>
  </si>
  <si>
    <t>IN2601-103515</t>
  </si>
  <si>
    <t>29/01/2026 14:43</t>
  </si>
  <si>
    <t>SO2601-94206</t>
  </si>
  <si>
    <t>IN2601-103514</t>
  </si>
  <si>
    <t>29/01/2026 14:21</t>
  </si>
  <si>
    <t>SO2601-94205</t>
  </si>
  <si>
    <t>CU2504-01335 -  TALOM</t>
  </si>
  <si>
    <t>IN2601-103513</t>
  </si>
  <si>
    <t>SO2601-94204</t>
  </si>
  <si>
    <t>IN2601-103512</t>
  </si>
  <si>
    <t>29/01/2026 14:36</t>
  </si>
  <si>
    <t>SO2601-94203</t>
  </si>
  <si>
    <t>IN2601-103511</t>
  </si>
  <si>
    <t>SO2601-94202</t>
  </si>
  <si>
    <t>CU2407-00416 -  TSEUFFA EMMANUEL</t>
  </si>
  <si>
    <t>IN2601-103510</t>
  </si>
  <si>
    <t>SO2601-94201</t>
  </si>
  <si>
    <t>Dr NASSER / 695174263</t>
  </si>
  <si>
    <t>IN2601-103509</t>
  </si>
  <si>
    <t>29/01/2026 14:13</t>
  </si>
  <si>
    <t>SO2601-94200</t>
  </si>
  <si>
    <t>MME TANEDJO MYRIAM 676609798</t>
  </si>
  <si>
    <t>IN2601-103508</t>
  </si>
  <si>
    <t>29/01/2026 14:11</t>
  </si>
  <si>
    <t>SO2601-94199</t>
  </si>
  <si>
    <t>EFFA CAMEROON / 694 95 93 98</t>
  </si>
  <si>
    <t>IN2601-103507</t>
  </si>
  <si>
    <t>29/01/2026 14:03</t>
  </si>
  <si>
    <t>SO2601-94198</t>
  </si>
  <si>
    <t>LAKEUNA 672884070</t>
  </si>
  <si>
    <t>IN2601-103506</t>
  </si>
  <si>
    <t>29/01/2026 14:04</t>
  </si>
  <si>
    <t>SO2601-94197</t>
  </si>
  <si>
    <t>MBENDA MARC 694636408</t>
  </si>
  <si>
    <t>IN2601-103505</t>
  </si>
  <si>
    <t>29/01/2026 14:00</t>
  </si>
  <si>
    <t>SO2601-94196</t>
  </si>
  <si>
    <t>IN2601-103504</t>
  </si>
  <si>
    <t>29/01/2026 13:57</t>
  </si>
  <si>
    <t>SO2601-94195</t>
  </si>
  <si>
    <t>LONTSI SANDESS / 655836158</t>
  </si>
  <si>
    <t>IN2601-103503</t>
  </si>
  <si>
    <t>29/01/2026 13:55</t>
  </si>
  <si>
    <t>SO2601-94194</t>
  </si>
  <si>
    <t>PROVENDICAM 659414238</t>
  </si>
  <si>
    <t>IN2601-103502</t>
  </si>
  <si>
    <t>SO2601-94193</t>
  </si>
  <si>
    <t>IN2601-103501</t>
  </si>
  <si>
    <t>29/01/2026 13:52</t>
  </si>
  <si>
    <t>SO2601-94192</t>
  </si>
  <si>
    <t>NOUMSI</t>
  </si>
  <si>
    <t>IN2601-103500</t>
  </si>
  <si>
    <t>SO2601-94191</t>
  </si>
  <si>
    <t>CU2506-13390 -  KALEGUEM GUY MERLIN</t>
  </si>
  <si>
    <t>IN2601-103499</t>
  </si>
  <si>
    <t>29/01/2026 13:54</t>
  </si>
  <si>
    <t>SO2601-94190</t>
  </si>
  <si>
    <t>CU2407-00634 -  GIC AGROBAM</t>
  </si>
  <si>
    <t>IN2601-103498</t>
  </si>
  <si>
    <t>29/01/2026 13:53</t>
  </si>
  <si>
    <t>SO2601-94189</t>
  </si>
  <si>
    <t>TIMMAK</t>
  </si>
  <si>
    <t>IN2601-103497</t>
  </si>
  <si>
    <t>29/01/2026 13:44</t>
  </si>
  <si>
    <t>SO2601-94188</t>
  </si>
  <si>
    <t>PROVENDERIE DE L'AVENIR</t>
  </si>
  <si>
    <t>IN2601-103496</t>
  </si>
  <si>
    <t>29/01/2026 13:42</t>
  </si>
  <si>
    <t>SO2601-94187</t>
  </si>
  <si>
    <t>SENKEU 699647657</t>
  </si>
  <si>
    <t>IN2601-103495</t>
  </si>
  <si>
    <t>29/01/2026 13:43</t>
  </si>
  <si>
    <t>SO2601-94186</t>
  </si>
  <si>
    <t>ATSAKOU 674624054</t>
  </si>
  <si>
    <t>IN2601-103494</t>
  </si>
  <si>
    <t>29/01/2026 13:39</t>
  </si>
  <si>
    <t>SO2601-94185</t>
  </si>
  <si>
    <t>IN2601-103493</t>
  </si>
  <si>
    <t>29/01/2026 13:51</t>
  </si>
  <si>
    <t>SO2601-94184</t>
  </si>
  <si>
    <t>IN2601-103492</t>
  </si>
  <si>
    <t>SO2601-94183</t>
  </si>
  <si>
    <t>IN2601-103491</t>
  </si>
  <si>
    <t>29/01/2026 13:27</t>
  </si>
  <si>
    <t>SO2601-94182</t>
  </si>
  <si>
    <t>IN2601-103490</t>
  </si>
  <si>
    <t>SO2601-94181</t>
  </si>
  <si>
    <t>IN2601-103489</t>
  </si>
  <si>
    <t>29/01/2026 13:36</t>
  </si>
  <si>
    <t>SO2601-94180</t>
  </si>
  <si>
    <t>DJIOMETSA 678118646</t>
  </si>
  <si>
    <t>CU2504-01323 -  DJIOMETSA TETSOPMO GEORGE BALBAIL</t>
  </si>
  <si>
    <t>IN2601-103488</t>
  </si>
  <si>
    <t>29/01/2026 13:25</t>
  </si>
  <si>
    <t>SO2601-94179</t>
  </si>
  <si>
    <t>IN2601-103487</t>
  </si>
  <si>
    <t>29/01/2026 13:22</t>
  </si>
  <si>
    <t>SO2601-94178</t>
  </si>
  <si>
    <t>GUEMENI</t>
  </si>
  <si>
    <t>CU2601-14362 -  GUEMENI GILBERT MARTIAL</t>
  </si>
  <si>
    <t>IN2601-103486</t>
  </si>
  <si>
    <t>29/01/2026 14:06</t>
  </si>
  <si>
    <t>SO2601-94177</t>
  </si>
  <si>
    <t>CU2407-00687 -  KAPTUE TAGNE JULES BERTRAND</t>
  </si>
  <si>
    <t>IN2601-103485</t>
  </si>
  <si>
    <t>29/01/2026 13:13</t>
  </si>
  <si>
    <t>SO2601-94176</t>
  </si>
  <si>
    <t>MANFO</t>
  </si>
  <si>
    <t>IN2601-103484</t>
  </si>
  <si>
    <t>29/01/2026 13:23</t>
  </si>
  <si>
    <t>SO2601-94175</t>
  </si>
  <si>
    <t>CU2407-00319 -  PROV DES ELEVEURS M. NTONME</t>
  </si>
  <si>
    <t>IN2601-103483</t>
  </si>
  <si>
    <t>29/01/2026 13:09</t>
  </si>
  <si>
    <t>SO2601-94174</t>
  </si>
  <si>
    <t>CU2509-14119 -  KENNE KANA ANICET ETS ANICET TELECOMS</t>
  </si>
  <si>
    <t>IN2601-103482</t>
  </si>
  <si>
    <t>29/01/2026 13:20</t>
  </si>
  <si>
    <t>SO2601-94173</t>
  </si>
  <si>
    <t>CU2407-00324 -  PROV. NOUVELLE (KENFACK EPSE KINGNI VICTORINE)</t>
  </si>
  <si>
    <t>IN2601-103481</t>
  </si>
  <si>
    <t>29/01/2026 13:19</t>
  </si>
  <si>
    <t>SO2601-94172</t>
  </si>
  <si>
    <t>PIERRE</t>
  </si>
  <si>
    <t>IN2601-103480</t>
  </si>
  <si>
    <t>29/01/2026 13:01</t>
  </si>
  <si>
    <t>SO2601-94171</t>
  </si>
  <si>
    <t>TEDONGMO SOP ALBIN</t>
  </si>
  <si>
    <t>IN2601-103479</t>
  </si>
  <si>
    <t>29/01/2026 13:02</t>
  </si>
  <si>
    <t>SO2601-94170</t>
  </si>
  <si>
    <t>TOGUE 680475070</t>
  </si>
  <si>
    <t>CU2407-00157 -  TOGUE JEAN FRANCOIS SIEGE</t>
  </si>
  <si>
    <t>IN2601-103478</t>
  </si>
  <si>
    <t>29/01/2026 13:21</t>
  </si>
  <si>
    <t>SO2601-94169</t>
  </si>
  <si>
    <t>AZEH STEPHANE 671004255</t>
  </si>
  <si>
    <t>IN2601-103477</t>
  </si>
  <si>
    <t>SO2601-94168</t>
  </si>
  <si>
    <t>CU2407-00934 -  TAYOUO NGOMPE MAXIME</t>
  </si>
  <si>
    <t>IN2601-103476</t>
  </si>
  <si>
    <t>29/01/2026 12:53</t>
  </si>
  <si>
    <t>SO2601-94167</t>
  </si>
  <si>
    <t>IN2601-103475</t>
  </si>
  <si>
    <t>29/01/2026 12:51</t>
  </si>
  <si>
    <t>SO2601-94166</t>
  </si>
  <si>
    <t>CU2409-01084 -  FEED DEPOT COMPANY LIMITED</t>
  </si>
  <si>
    <t>IN2601-103474</t>
  </si>
  <si>
    <t>SO2601-94165</t>
  </si>
  <si>
    <t>ABDOULAYE 697500290</t>
  </si>
  <si>
    <t>IN2601-103473</t>
  </si>
  <si>
    <t>29/01/2026 12:57</t>
  </si>
  <si>
    <t>SO2601-94164</t>
  </si>
  <si>
    <t>IN2601-103472</t>
  </si>
  <si>
    <t>29/01/2026 12:41</t>
  </si>
  <si>
    <t>SO2601-94163</t>
  </si>
  <si>
    <t>CU2412-01173 -  KAMDEM TCHUENKAM HOPESON JUNIOR</t>
  </si>
  <si>
    <t>IN2601-103471</t>
  </si>
  <si>
    <t>29/01/2026 13:08</t>
  </si>
  <si>
    <t>SO2601-94162</t>
  </si>
  <si>
    <t>DJAOYANG BOUBA / 697 44 95 85</t>
  </si>
  <si>
    <t>IN2601-103470</t>
  </si>
  <si>
    <t>29/01/2026 12:38</t>
  </si>
  <si>
    <t>SO2601-94161</t>
  </si>
  <si>
    <t>NGUEKAM 694065173</t>
  </si>
  <si>
    <t>IN2601-103469</t>
  </si>
  <si>
    <t>29/01/2026 12:40</t>
  </si>
  <si>
    <t>SO2601-94160</t>
  </si>
  <si>
    <t>BRICE</t>
  </si>
  <si>
    <t>IN2601-103468</t>
  </si>
  <si>
    <t>29/01/2026 13:50</t>
  </si>
  <si>
    <t>SO2601-94159</t>
  </si>
  <si>
    <t>SALOMON 697337995</t>
  </si>
  <si>
    <t>IN2601-103467</t>
  </si>
  <si>
    <t>SO2601-94158</t>
  </si>
  <si>
    <t>TATAH 658172045</t>
  </si>
  <si>
    <t>IN2601-103466</t>
  </si>
  <si>
    <t>29/01/2026 12:42</t>
  </si>
  <si>
    <t>SO2601-94157</t>
  </si>
  <si>
    <t>BAYE MURICE 675830491</t>
  </si>
  <si>
    <t>IN2601-103465</t>
  </si>
  <si>
    <t>29/01/2026 12:33</t>
  </si>
  <si>
    <t>SO2601-94156</t>
  </si>
  <si>
    <t>TAMECHING FRANCOISE 652762661</t>
  </si>
  <si>
    <t>IN2601-103464</t>
  </si>
  <si>
    <t>29/01/2026 12:35</t>
  </si>
  <si>
    <t>SO2601-94155</t>
  </si>
  <si>
    <t>Mme DEMGNIE</t>
  </si>
  <si>
    <t>IN2601-103463</t>
  </si>
  <si>
    <t>29/01/2026 13:00</t>
  </si>
  <si>
    <t>SO2601-94154</t>
  </si>
  <si>
    <t>CU2502-01233 -  NOUATONG ROSTAND (CBF010)</t>
  </si>
  <si>
    <t>IN2601-103462</t>
  </si>
  <si>
    <t>CU2502-01233 -  NOUATONG ROSTAND</t>
  </si>
  <si>
    <t>CBF010</t>
  </si>
  <si>
    <t>29/01/2026 12:21</t>
  </si>
  <si>
    <t>SO2601-94153</t>
  </si>
  <si>
    <t>CU2501-01190 -  ETS GRAND ELEVEUR (NGONGANG KENMOE)</t>
  </si>
  <si>
    <t>IN2601-103461</t>
  </si>
  <si>
    <t>CU2501-01190 -  ETS GRAND ELEVEUR</t>
  </si>
  <si>
    <t>NGONGANG KENMOE</t>
  </si>
  <si>
    <t>29/01/2026 12:22</t>
  </si>
  <si>
    <t>SO2601-94152</t>
  </si>
  <si>
    <t>CLARICE PASCAL</t>
  </si>
  <si>
    <t>IN2601-103460</t>
  </si>
  <si>
    <t>29/01/2026 12:19</t>
  </si>
  <si>
    <t>SO2601-94151</t>
  </si>
  <si>
    <t>Mme MEZING</t>
  </si>
  <si>
    <t>IN2601-103459</t>
  </si>
  <si>
    <t>29/01/2026 12:26</t>
  </si>
  <si>
    <t>SO2601-94150</t>
  </si>
  <si>
    <t>YANMO/ 694631791</t>
  </si>
  <si>
    <t>CU2504-01322 -  YANMO NGUEWOUO HUBERT</t>
  </si>
  <si>
    <t>IN2601-103458</t>
  </si>
  <si>
    <t>29/01/2026 12:36</t>
  </si>
  <si>
    <t>SO2601-94149</t>
  </si>
  <si>
    <t>TCHIDA BORIS / 690980906</t>
  </si>
  <si>
    <t>CU2601-14359 -  TCHIDA KENNE NONGOSSO BORIS STANIS</t>
  </si>
  <si>
    <t>IN2601-103457</t>
  </si>
  <si>
    <t>29/01/2026 12:14</t>
  </si>
  <si>
    <t>SO2601-94148</t>
  </si>
  <si>
    <t>CU2406-00027 -  IVO PK14</t>
  </si>
  <si>
    <t>IN2601-103456</t>
  </si>
  <si>
    <t>29/01/2026 12:12</t>
  </si>
  <si>
    <t>SO2601-94147</t>
  </si>
  <si>
    <t>NKUE</t>
  </si>
  <si>
    <t>IN2601-103455</t>
  </si>
  <si>
    <t>29/01/2026 12:09</t>
  </si>
  <si>
    <t>SO2601-94146</t>
  </si>
  <si>
    <t>Mme NGAMBAMA</t>
  </si>
  <si>
    <t>IN2601-103454</t>
  </si>
  <si>
    <t>29/01/2026 12:20</t>
  </si>
  <si>
    <t>SO2601-94145</t>
  </si>
  <si>
    <t>TALOM NIL 699705181</t>
  </si>
  <si>
    <t>IN2601-103453</t>
  </si>
  <si>
    <t>29/01/2026 12:10</t>
  </si>
  <si>
    <t>SO2601-94144</t>
  </si>
  <si>
    <t>NZEGAH JEAN CLAUDE (ZDCL00022)</t>
  </si>
  <si>
    <t>IN2601-103452</t>
  </si>
  <si>
    <t>NZEGAH JEAN CLAUDE</t>
  </si>
  <si>
    <t>ZDCL00022</t>
  </si>
  <si>
    <t>SO2601-94143</t>
  </si>
  <si>
    <t>FOGUE Evarist 658578032</t>
  </si>
  <si>
    <t>IN2601-103451</t>
  </si>
  <si>
    <t>29/01/2026 12:03</t>
  </si>
  <si>
    <t>SO2601-94142</t>
  </si>
  <si>
    <t>IN2601-103450</t>
  </si>
  <si>
    <t>29/01/2026 12:01</t>
  </si>
  <si>
    <t>SO2601-94141</t>
  </si>
  <si>
    <t>IN2601-103449</t>
  </si>
  <si>
    <t>29/01/2026 11:57</t>
  </si>
  <si>
    <t>SO2601-94140</t>
  </si>
  <si>
    <t>KONTCHIP698892619</t>
  </si>
  <si>
    <t>IN2601-103448</t>
  </si>
  <si>
    <t>29/01/2026 11:59</t>
  </si>
  <si>
    <t>SO2601-94139</t>
  </si>
  <si>
    <t>CU2407-00725 -  KUE PASCAL</t>
  </si>
  <si>
    <t>IN2601-103447</t>
  </si>
  <si>
    <t>29/01/2026 11:56</t>
  </si>
  <si>
    <t>SO2601-94138</t>
  </si>
  <si>
    <t>CU2601-14332 -  KENMOGNE GASTON</t>
  </si>
  <si>
    <t>IN2601-103446</t>
  </si>
  <si>
    <t>29/01/2026 11:54</t>
  </si>
  <si>
    <t>SO2601-94137</t>
  </si>
  <si>
    <t>PAUL</t>
  </si>
  <si>
    <t>IN2601-103445</t>
  </si>
  <si>
    <t>29/01/2026 11:53</t>
  </si>
  <si>
    <t>SO2601-94136</t>
  </si>
  <si>
    <t>OUSMANE 658676576</t>
  </si>
  <si>
    <t>IN2601-103444</t>
  </si>
  <si>
    <t>29/01/2026 11:58</t>
  </si>
  <si>
    <t>SO2601-94135</t>
  </si>
  <si>
    <t>IN2601-103443</t>
  </si>
  <si>
    <t>29/01/2026 11:52</t>
  </si>
  <si>
    <t>SO2601-94134</t>
  </si>
  <si>
    <t>YASMINE</t>
  </si>
  <si>
    <t>IN2601-103442</t>
  </si>
  <si>
    <t>29/01/2026 11:49</t>
  </si>
  <si>
    <t>SO2601-94133</t>
  </si>
  <si>
    <t>M CLIFORT</t>
  </si>
  <si>
    <t>IN2601-103441</t>
  </si>
  <si>
    <t>SO2601-94132</t>
  </si>
  <si>
    <t>IN2601-103440</t>
  </si>
  <si>
    <t>29/01/2026 11:45</t>
  </si>
  <si>
    <t>SO2601-94131</t>
  </si>
  <si>
    <t>M JEAN CHARLE</t>
  </si>
  <si>
    <t>IN2601-103439</t>
  </si>
  <si>
    <t>29/01/2026 11:43</t>
  </si>
  <si>
    <t>SO2601-94130</t>
  </si>
  <si>
    <t>KINGS FARM</t>
  </si>
  <si>
    <t>IN2601-103438</t>
  </si>
  <si>
    <t>SO2601-94129</t>
  </si>
  <si>
    <t>Romain</t>
  </si>
  <si>
    <t>IN2601-103437</t>
  </si>
  <si>
    <t>29/01/2026 11:38</t>
  </si>
  <si>
    <t>SO2601-94128</t>
  </si>
  <si>
    <t>Mme ETOGA</t>
  </si>
  <si>
    <t>IN2601-103436</t>
  </si>
  <si>
    <t>29/01/2026 11:42</t>
  </si>
  <si>
    <t>SO2601-94127</t>
  </si>
  <si>
    <t>TIOBOU MERLIN (ZDCL00089)</t>
  </si>
  <si>
    <t>IN2601-103435</t>
  </si>
  <si>
    <t>TIOBOU MERLIN</t>
  </si>
  <si>
    <t>ZDCL00089</t>
  </si>
  <si>
    <t>29/01/2026 11:36</t>
  </si>
  <si>
    <t>SO2601-94126</t>
  </si>
  <si>
    <t>CU2409-01102 -  LIAMOE CALVIN</t>
  </si>
  <si>
    <t>IN2601-103434</t>
  </si>
  <si>
    <t>29/01/2026 11:47</t>
  </si>
  <si>
    <t>SO2601-94125</t>
  </si>
  <si>
    <t>KOUAM 679760617</t>
  </si>
  <si>
    <t>IN2601-103433</t>
  </si>
  <si>
    <t>SO2601-94124</t>
  </si>
  <si>
    <t>IN2601-103432</t>
  </si>
  <si>
    <t>29/01/2026 11:34</t>
  </si>
  <si>
    <t>SO2601-94123</t>
  </si>
  <si>
    <t>YEM JEROME 675989377</t>
  </si>
  <si>
    <t>IN2601-103431</t>
  </si>
  <si>
    <t>29/01/2026 11:30</t>
  </si>
  <si>
    <t>SO2601-94122</t>
  </si>
  <si>
    <t>ZEMDIO</t>
  </si>
  <si>
    <t>IN2601-103430</t>
  </si>
  <si>
    <t>29/01/2026 11:31</t>
  </si>
  <si>
    <t>SO2601-94121</t>
  </si>
  <si>
    <t>IN2601-103429</t>
  </si>
  <si>
    <t>29/01/2026 11:26</t>
  </si>
  <si>
    <t>SO2601-94120</t>
  </si>
  <si>
    <t>IN2601-103428</t>
  </si>
  <si>
    <t>29/01/2026 11:23</t>
  </si>
  <si>
    <t>SO2601-94119</t>
  </si>
  <si>
    <t>IN2601-103427</t>
  </si>
  <si>
    <t>29/01/2026 11:20</t>
  </si>
  <si>
    <t>SO2601-94118</t>
  </si>
  <si>
    <t>NDENGUE CHRISTELLE 698890525</t>
  </si>
  <si>
    <t>IN2601-103426</t>
  </si>
  <si>
    <t>SO2601-94117</t>
  </si>
  <si>
    <t>KENNE</t>
  </si>
  <si>
    <t>IN2601-103425</t>
  </si>
  <si>
    <t>29/01/2026 11:22</t>
  </si>
  <si>
    <t>SO2601-94116</t>
  </si>
  <si>
    <t>IN2601-103424</t>
  </si>
  <si>
    <t>SO2601-94115</t>
  </si>
  <si>
    <t>IN2601-103423</t>
  </si>
  <si>
    <t>29/01/2026 11:25</t>
  </si>
  <si>
    <t>SO2601-94114</t>
  </si>
  <si>
    <t>CU2407-00151 -  KENGNE YEMELI DORIANE</t>
  </si>
  <si>
    <t>IN2601-103422</t>
  </si>
  <si>
    <t>29/01/2026 11:07</t>
  </si>
  <si>
    <t>SO2601-94113</t>
  </si>
  <si>
    <t>IN2601-103421</t>
  </si>
  <si>
    <t>29/01/2026 11:06</t>
  </si>
  <si>
    <t>SO2601-94112</t>
  </si>
  <si>
    <t>ECHOS 675753847</t>
  </si>
  <si>
    <t>IN2601-103420</t>
  </si>
  <si>
    <t>29/01/2026 11:04</t>
  </si>
  <si>
    <t>SO2601-94111</t>
  </si>
  <si>
    <t>mr ottou</t>
  </si>
  <si>
    <t>IN2601-103419</t>
  </si>
  <si>
    <t>29/01/2026 11:17</t>
  </si>
  <si>
    <t>SO2601-94110</t>
  </si>
  <si>
    <t>PETGA NADIANE 695179710</t>
  </si>
  <si>
    <t>IN2601-103418</t>
  </si>
  <si>
    <t>29/01/2026 11:01</t>
  </si>
  <si>
    <t>SO2601-94109</t>
  </si>
  <si>
    <t>M DEFFO</t>
  </si>
  <si>
    <t>IN2601-103417</t>
  </si>
  <si>
    <t>SO2601-94108</t>
  </si>
  <si>
    <t>GIC FAMES 657571443</t>
  </si>
  <si>
    <t>IN2601-103416</t>
  </si>
  <si>
    <t>29/01/2026 10:58</t>
  </si>
  <si>
    <t>SO2601-94107</t>
  </si>
  <si>
    <t>MR CHA</t>
  </si>
  <si>
    <t>CU2504-01336 -  MR CHA NGONG CHRISTOPHER</t>
  </si>
  <si>
    <t>IN2601-103415</t>
  </si>
  <si>
    <t>29/01/2026 11:48</t>
  </si>
  <si>
    <t>SO2601-94106</t>
  </si>
  <si>
    <t>IN2601-103414</t>
  </si>
  <si>
    <t>29/01/2026 10:44</t>
  </si>
  <si>
    <t>SO2601-94105</t>
  </si>
  <si>
    <t>IN2601-103413</t>
  </si>
  <si>
    <t>SO2601-94104</t>
  </si>
  <si>
    <t>M KAMTO</t>
  </si>
  <si>
    <t>IN2601-103412</t>
  </si>
  <si>
    <t>29/01/2026 10:47</t>
  </si>
  <si>
    <t>SO2601-94103</t>
  </si>
  <si>
    <t>IN2601-103411</t>
  </si>
  <si>
    <t>29/01/2026 12:00</t>
  </si>
  <si>
    <t>SO2601-94102</t>
  </si>
  <si>
    <t>chef THEO / 695133536</t>
  </si>
  <si>
    <t>IN2601-103410</t>
  </si>
  <si>
    <t>29/01/2026 10:32</t>
  </si>
  <si>
    <t>SO2601-94101</t>
  </si>
  <si>
    <t>CU2407-00671 -  KAMGA ANDRE</t>
  </si>
  <si>
    <t>IN2601-103409</t>
  </si>
  <si>
    <t>29/01/2026 10:33</t>
  </si>
  <si>
    <t>SO2601-94100</t>
  </si>
  <si>
    <t>CU2407-00362 -  PROVENDERIE MOKOLO</t>
  </si>
  <si>
    <t>IN2601-103408</t>
  </si>
  <si>
    <t>29/01/2026 10:28</t>
  </si>
  <si>
    <t>SO2601-94099</t>
  </si>
  <si>
    <t>CU2407-00180 -  MR KENNE FOUOMENE DIMITRI</t>
  </si>
  <si>
    <t>IN2601-103407</t>
  </si>
  <si>
    <t>29/01/2026 10:23</t>
  </si>
  <si>
    <t>SO2601-94098</t>
  </si>
  <si>
    <t>MOFFO PATRICIA 677269063</t>
  </si>
  <si>
    <t>CHIMI CLOVIS BERTOL</t>
  </si>
  <si>
    <t>IN2601-103406</t>
  </si>
  <si>
    <t>29/01/2026 10:35</t>
  </si>
  <si>
    <t>SO2601-94097</t>
  </si>
  <si>
    <t>CU2409-01071 -  FERME HERVE MBALLA (MBALLA HERVÉ)</t>
  </si>
  <si>
    <t>IN2601-103405</t>
  </si>
  <si>
    <t>CU2409-01071 -  FERME HERVE MBALLA</t>
  </si>
  <si>
    <t>MBALLA HERVÉ</t>
  </si>
  <si>
    <t>29/01/2026 10:45</t>
  </si>
  <si>
    <t>SO2601-94096</t>
  </si>
  <si>
    <t>CU2410-01125 -  Monguh Ernest ningha</t>
  </si>
  <si>
    <t>IN2601-103404</t>
  </si>
  <si>
    <t>29/01/2026 10:37</t>
  </si>
  <si>
    <t>SO2601-94095</t>
  </si>
  <si>
    <t>IN2601-103403</t>
  </si>
  <si>
    <t>29/01/2026 10:29</t>
  </si>
  <si>
    <t>SO2601-94094</t>
  </si>
  <si>
    <t>CU2408-01052 -  Chedjou André (CHENJOU ANDRE)</t>
  </si>
  <si>
    <t>IN2601-103402</t>
  </si>
  <si>
    <t>CU2408-01052 -  Chedjou André</t>
  </si>
  <si>
    <t>CHENJOU ANDRE</t>
  </si>
  <si>
    <t>29/01/2026 10:02</t>
  </si>
  <si>
    <t>SO2601-94093</t>
  </si>
  <si>
    <t>IN2601-103401</t>
  </si>
  <si>
    <t>29/01/2026 10:03</t>
  </si>
  <si>
    <t>SO2601-94092</t>
  </si>
  <si>
    <t>CU2407-00847 -  WAFO OLIVIER</t>
  </si>
  <si>
    <t>IN2601-103400</t>
  </si>
  <si>
    <t>29/01/2026 10:06</t>
  </si>
  <si>
    <t>SO2601-94091</t>
  </si>
  <si>
    <t>CU2407-00910 -  TEZOH KIENGNI FLORENTIN</t>
  </si>
  <si>
    <t>IN2601-103399</t>
  </si>
  <si>
    <t>29/01/2026 09:53</t>
  </si>
  <si>
    <t>SO2601-94090</t>
  </si>
  <si>
    <t>CU2407-00625 -  FOUTA WOZEKO SIDOINE</t>
  </si>
  <si>
    <t>IN2601-103398</t>
  </si>
  <si>
    <t>29/01/2026 09:48</t>
  </si>
  <si>
    <t>SO2601-94089</t>
  </si>
  <si>
    <t>IN2601-103397</t>
  </si>
  <si>
    <t>29/01/2026 09:29</t>
  </si>
  <si>
    <t>SO2601-94088</t>
  </si>
  <si>
    <t>CU2512-14194 -  KAMWA TAGNE DENISE</t>
  </si>
  <si>
    <t>IN2601-103396</t>
  </si>
  <si>
    <t>29/01/2026 09:24</t>
  </si>
  <si>
    <t>SO2601-94087</t>
  </si>
  <si>
    <t>ELARO</t>
  </si>
  <si>
    <t>IN2601-103395</t>
  </si>
  <si>
    <t>29/01/2026 09:23</t>
  </si>
  <si>
    <t>SO2601-94086</t>
  </si>
  <si>
    <t>KAMDEM</t>
  </si>
  <si>
    <t>IN2601-103394</t>
  </si>
  <si>
    <t>29/01/2026 09:14</t>
  </si>
  <si>
    <t>SO2601-94085</t>
  </si>
  <si>
    <t>IN2601-103393</t>
  </si>
  <si>
    <t>29/01/2026 09:03</t>
  </si>
  <si>
    <t>SO2601-94084</t>
  </si>
  <si>
    <t>CU2407-00694 -  KENGNE STEPHANE</t>
  </si>
  <si>
    <t>IN2601-103392</t>
  </si>
  <si>
    <t>29/01/2026 08:59</t>
  </si>
  <si>
    <t>SO2601-94083</t>
  </si>
  <si>
    <t>CU2407-00879 -  NSANGOU DAOUDA</t>
  </si>
  <si>
    <t>IN2601-103391</t>
  </si>
  <si>
    <t>29/01/2026 09:11</t>
  </si>
  <si>
    <t>SO2601-94082</t>
  </si>
  <si>
    <t>CU2509-14108 -  TAGNE KANGNI BRICE PATRICK</t>
  </si>
  <si>
    <t>IN2601-103390</t>
  </si>
  <si>
    <t>29/01/2026 08:37</t>
  </si>
  <si>
    <t>SO2601-94081</t>
  </si>
  <si>
    <t>IN2601-103389</t>
  </si>
  <si>
    <t>29/01/2026 08:31</t>
  </si>
  <si>
    <t>SO2601-94080</t>
  </si>
  <si>
    <t>IN2601-103388</t>
  </si>
  <si>
    <t>29/01/2026 08:27</t>
  </si>
  <si>
    <t>SO2601-94079</t>
  </si>
  <si>
    <t>CU2407-00709 -  KOAGNE TCHOUDA</t>
  </si>
  <si>
    <t>IN2601-103387</t>
  </si>
  <si>
    <t>29/01/2026 08:29</t>
  </si>
  <si>
    <t>SO2601-94078</t>
  </si>
  <si>
    <t>PROVENDERIE LA REUSSITE</t>
  </si>
  <si>
    <t>IN2601-103386</t>
  </si>
  <si>
    <t>29/01/2026 09:47</t>
  </si>
  <si>
    <t>SO2601-94077</t>
  </si>
  <si>
    <t>IN2601-103385</t>
  </si>
  <si>
    <t>29/01/2026 07:58</t>
  </si>
  <si>
    <t>SO2601-94475</t>
  </si>
  <si>
    <t>EFFICIENCY 671304977</t>
  </si>
  <si>
    <t>28/01/2026</t>
  </si>
  <si>
    <t>28/01/2026 00:00</t>
  </si>
  <si>
    <t>IN2601-103783</t>
  </si>
  <si>
    <t>SO2601-94076</t>
  </si>
  <si>
    <t>MME BOLI ELI 676710827</t>
  </si>
  <si>
    <t>IN2601-103384</t>
  </si>
  <si>
    <t>28/01/2026 16:41</t>
  </si>
  <si>
    <t>SO2601-94075</t>
  </si>
  <si>
    <t>AZIZ 673523321</t>
  </si>
  <si>
    <t>IN2601-103383</t>
  </si>
  <si>
    <t>28/01/2026 16:39</t>
  </si>
  <si>
    <t>SO2601-94074</t>
  </si>
  <si>
    <t>MAÏANG ADELINE / 694101715</t>
  </si>
  <si>
    <t>IN2601-103382</t>
  </si>
  <si>
    <t>28/01/2026 16:29</t>
  </si>
  <si>
    <t>SO2601-94073</t>
  </si>
  <si>
    <t>IN2601-103381</t>
  </si>
  <si>
    <t>28/01/2026 16:28</t>
  </si>
  <si>
    <t>SO2601-94072</t>
  </si>
  <si>
    <t>CU2504-01309 -  FOTSO BRUNO (ZDCL00087)</t>
  </si>
  <si>
    <t>IN2601-103380</t>
  </si>
  <si>
    <t>CU2504-01309 -  FOTSO BRUNO</t>
  </si>
  <si>
    <t>ZDCL00087</t>
  </si>
  <si>
    <t>28/01/2026 16:23</t>
  </si>
  <si>
    <t>SO2601-94071</t>
  </si>
  <si>
    <t>MUMINYI 677171367</t>
  </si>
  <si>
    <t>CU2502-01252 -  MUMINYI AUGUSTINE</t>
  </si>
  <si>
    <t>IN2601-103379</t>
  </si>
  <si>
    <t>28/01/2026 16:45</t>
  </si>
  <si>
    <t>SO2601-94070</t>
  </si>
  <si>
    <t>IN2601-103378</t>
  </si>
  <si>
    <t>28/01/2026 16:46</t>
  </si>
  <si>
    <t>SO2601-94069</t>
  </si>
  <si>
    <t>NJOYA MAMA / 695667568</t>
  </si>
  <si>
    <t>IN2601-103377</t>
  </si>
  <si>
    <t>28/01/2026 16:12</t>
  </si>
  <si>
    <t>SO2601-94068</t>
  </si>
  <si>
    <t>IN2601-103376</t>
  </si>
  <si>
    <t>28/01/2026 16:10</t>
  </si>
  <si>
    <t>SO2601-94067</t>
  </si>
  <si>
    <t>MAOGE JEAN / 693668200</t>
  </si>
  <si>
    <t>IN2601-103375</t>
  </si>
  <si>
    <t>28/01/2026 16:11</t>
  </si>
  <si>
    <t>SO2601-94066</t>
  </si>
  <si>
    <t>CU2601-14294 -  CO.V.AGRO/SCOOP-CA</t>
  </si>
  <si>
    <t>IN2601-103374</t>
  </si>
  <si>
    <t>28/01/2026 16:09</t>
  </si>
  <si>
    <t>SO2601-94065</t>
  </si>
  <si>
    <t>IN2601-103373</t>
  </si>
  <si>
    <t>SO2601-94064</t>
  </si>
  <si>
    <t>M TEKOP</t>
  </si>
  <si>
    <t>IN2601-103372</t>
  </si>
  <si>
    <t>28/01/2026 16:16</t>
  </si>
  <si>
    <t>SO2601-94063</t>
  </si>
  <si>
    <t>CU2407-00698 -  KENMEGNE ALAIN</t>
  </si>
  <si>
    <t>IN2601-103371</t>
  </si>
  <si>
    <t>28/01/2026 16:01</t>
  </si>
  <si>
    <t>SO2601-94062</t>
  </si>
  <si>
    <t>IN2601-103370</t>
  </si>
  <si>
    <t>28/01/2026 15:58</t>
  </si>
  <si>
    <t>SO2601-94061</t>
  </si>
  <si>
    <t>ODINA WILLIAM / 691 01 64 94</t>
  </si>
  <si>
    <t>IN2601-103369</t>
  </si>
  <si>
    <t>28/01/2026 15:52</t>
  </si>
  <si>
    <t>SO2601-94060</t>
  </si>
  <si>
    <t>M FOFIE</t>
  </si>
  <si>
    <t>IN2601-103368</t>
  </si>
  <si>
    <t>28/01/2026 15:46</t>
  </si>
  <si>
    <t>SO2601-94059</t>
  </si>
  <si>
    <t>IN2601-103367</t>
  </si>
  <si>
    <t>28/01/2026 15:45</t>
  </si>
  <si>
    <t>SO2601-94058</t>
  </si>
  <si>
    <t>WENGA MARIE 657904866</t>
  </si>
  <si>
    <t>IN2601-103366</t>
  </si>
  <si>
    <t>SO2601-94057</t>
  </si>
  <si>
    <t>PIERRE 680815666</t>
  </si>
  <si>
    <t>IN2601-103365</t>
  </si>
  <si>
    <t>28/01/2026 15:42</t>
  </si>
  <si>
    <t>SO2601-94056</t>
  </si>
  <si>
    <t>CU2407-00379 -  SMI'S AGROINDUSTRIEL</t>
  </si>
  <si>
    <t>IN2601-103364</t>
  </si>
  <si>
    <t>28/01/2026 15:54</t>
  </si>
  <si>
    <t>SO2601-94055</t>
  </si>
  <si>
    <t>TUEKAM</t>
  </si>
  <si>
    <t>IN2601-103363</t>
  </si>
  <si>
    <t>28/01/2026 15:31</t>
  </si>
  <si>
    <t>SO2601-94054</t>
  </si>
  <si>
    <t>henriette</t>
  </si>
  <si>
    <t>IN2601-103362</t>
  </si>
  <si>
    <t>28/01/2026 15:35</t>
  </si>
  <si>
    <t>SO2601-94053</t>
  </si>
  <si>
    <t>FONKEM</t>
  </si>
  <si>
    <t>IN2601-103361</t>
  </si>
  <si>
    <t>28/01/2026 15:24</t>
  </si>
  <si>
    <t>SO2601-94052</t>
  </si>
  <si>
    <t>NGOUNOU YVAN 693009562</t>
  </si>
  <si>
    <t>IN2601-103360</t>
  </si>
  <si>
    <t>28/01/2026 15:34</t>
  </si>
  <si>
    <t>SO2601-94051</t>
  </si>
  <si>
    <t>IN2601-103359</t>
  </si>
  <si>
    <t>28/01/2026 15:22</t>
  </si>
  <si>
    <t>SO2601-94050</t>
  </si>
  <si>
    <t>NDIA TATSINDA A 677911250</t>
  </si>
  <si>
    <t>CU2407-00304 -  NDIA TATSINDA APOLLINAIRE ((PROVENDERIE LA CONFIANCE))</t>
  </si>
  <si>
    <t>IN2601-103358</t>
  </si>
  <si>
    <t>CU2407-00304 -  NDIA TATSINDA APOLLINAIRE</t>
  </si>
  <si>
    <t>(PROVENDERIE LA CONFIANCE)</t>
  </si>
  <si>
    <t>28/01/2026 15:18</t>
  </si>
  <si>
    <t>SO2601-94049</t>
  </si>
  <si>
    <t>IN2601-103357</t>
  </si>
  <si>
    <t>SO2601-94048</t>
  </si>
  <si>
    <t>IN2601-103356</t>
  </si>
  <si>
    <t>28/01/2026 15:17</t>
  </si>
  <si>
    <t>SO2601-94047</t>
  </si>
  <si>
    <t>GOUTSAYA JANVIER / 699781322</t>
  </si>
  <si>
    <t>IN2601-103355</t>
  </si>
  <si>
    <t>28/01/2026 15:15</t>
  </si>
  <si>
    <t>SO2601-94046</t>
  </si>
  <si>
    <t>CU2407-00951 -  TOTUE ULBRICH BOREL</t>
  </si>
  <si>
    <t>IN2601-103354</t>
  </si>
  <si>
    <t>SO2601-94045</t>
  </si>
  <si>
    <t>M KENMOE MARTIN 695790584</t>
  </si>
  <si>
    <t>IN2601-103353</t>
  </si>
  <si>
    <t>28/01/2026 15:11</t>
  </si>
  <si>
    <t>SO2601-94044</t>
  </si>
  <si>
    <t>YMELE SAKIO (CBF006)</t>
  </si>
  <si>
    <t>IN2601-103352</t>
  </si>
  <si>
    <t>YMELE SAKIO</t>
  </si>
  <si>
    <t>CBF006</t>
  </si>
  <si>
    <t>SO2601-94043</t>
  </si>
  <si>
    <t>NATHAN 640221656</t>
  </si>
  <si>
    <t>IN2601-103351</t>
  </si>
  <si>
    <t>28/01/2026 15:10</t>
  </si>
  <si>
    <t>SO2601-94042</t>
  </si>
  <si>
    <t>CHENDJOU</t>
  </si>
  <si>
    <t>IN2601-103350</t>
  </si>
  <si>
    <t>28/01/2026 15:05</t>
  </si>
  <si>
    <t>SO2601-94041</t>
  </si>
  <si>
    <t>M MBEGDE STANISLAS 690933416</t>
  </si>
  <si>
    <t>IN2601-103349</t>
  </si>
  <si>
    <t>28/01/2026 15:03</t>
  </si>
  <si>
    <t>SO2601-94040</t>
  </si>
  <si>
    <t>CU2408-01048 -  NDJANANG KAMGA MERLINE BEATRICE (PROV MENTA)</t>
  </si>
  <si>
    <t>IN2601-103348</t>
  </si>
  <si>
    <t>CU2408-01048 -  NDJANANG KAMGA MERLINE BEATRICE</t>
  </si>
  <si>
    <t>PROV MENTA</t>
  </si>
  <si>
    <t>28/01/2026 15:02</t>
  </si>
  <si>
    <t>SO2601-94039</t>
  </si>
  <si>
    <t>IN2601-103347</t>
  </si>
  <si>
    <t>28/01/2026 15:43</t>
  </si>
  <si>
    <t>SO2601-94038</t>
  </si>
  <si>
    <t>IN2601-103346</t>
  </si>
  <si>
    <t>28/01/2026 14:58</t>
  </si>
  <si>
    <t>SO2601-94037</t>
  </si>
  <si>
    <t>IN2601-103345</t>
  </si>
  <si>
    <t>28/01/2026 15:08</t>
  </si>
  <si>
    <t>SO2601-94036</t>
  </si>
  <si>
    <t>HENRY</t>
  </si>
  <si>
    <t>IN2601-103344</t>
  </si>
  <si>
    <t>28/01/2026 14:51</t>
  </si>
  <si>
    <t>SO2601-94035</t>
  </si>
  <si>
    <t>PAULINE JULIAN</t>
  </si>
  <si>
    <t>IN2601-103343</t>
  </si>
  <si>
    <t>28/01/2026 14:53</t>
  </si>
  <si>
    <t>SO2601-94034</t>
  </si>
  <si>
    <t>IN2601-103342</t>
  </si>
  <si>
    <t>SO2601-94033</t>
  </si>
  <si>
    <t>FOLEMO 676626706</t>
  </si>
  <si>
    <t>IN2601-103341</t>
  </si>
  <si>
    <t>28/01/2026 14:56</t>
  </si>
  <si>
    <t>SO2601-94032</t>
  </si>
  <si>
    <t>ANDRE 691112043</t>
  </si>
  <si>
    <t>IN2601-103340</t>
  </si>
  <si>
    <t>28/01/2026 14:54</t>
  </si>
  <si>
    <t>SO2601-94031</t>
  </si>
  <si>
    <t>CU2407-00771 -  MEGOUO PIMATCHI ULRICH AURELLE</t>
  </si>
  <si>
    <t>IN2601-103339</t>
  </si>
  <si>
    <t>28/01/2026 15:48</t>
  </si>
  <si>
    <t>SO2601-94030</t>
  </si>
  <si>
    <t>IN2601-103338</t>
  </si>
  <si>
    <t>28/01/2026 17:17</t>
  </si>
  <si>
    <t>SO2601-94029</t>
  </si>
  <si>
    <t>CU2512-14221 -  NZUEFOUO TAMOIFO ANNETTE</t>
  </si>
  <si>
    <t>IN2601-103337</t>
  </si>
  <si>
    <t>28/01/2026 15:04</t>
  </si>
  <si>
    <t>SO2601-94028</t>
  </si>
  <si>
    <t>IDRISS</t>
  </si>
  <si>
    <t>IN2601-103336</t>
  </si>
  <si>
    <t>28/01/2026 14:38</t>
  </si>
  <si>
    <t>SO2601-94027</t>
  </si>
  <si>
    <t>IN2601-103335</t>
  </si>
  <si>
    <t>28/01/2026 14:59</t>
  </si>
  <si>
    <t>SO2601-94026</t>
  </si>
  <si>
    <t>CU2407-00915 -  FEUDJIO MAURICETTE</t>
  </si>
  <si>
    <t>IN2601-103334</t>
  </si>
  <si>
    <t>28/01/2026 14:33</t>
  </si>
  <si>
    <t>SO2601-94025</t>
  </si>
  <si>
    <t>NYAMSI</t>
  </si>
  <si>
    <t>CU2504-13358 -  NYAMSI GUY RAOUL</t>
  </si>
  <si>
    <t>IN2601-103333</t>
  </si>
  <si>
    <t>28/01/2026 15:01</t>
  </si>
  <si>
    <t>SO2601-94024</t>
  </si>
  <si>
    <t>NYEBE JOEL 687371203</t>
  </si>
  <si>
    <t>IN2601-103332</t>
  </si>
  <si>
    <t>28/01/2026 14:36</t>
  </si>
  <si>
    <t>SO2601-94023</t>
  </si>
  <si>
    <t>DOUANLA SIMPLICE (ZDCL00081)</t>
  </si>
  <si>
    <t>IN2601-103331</t>
  </si>
  <si>
    <t>DOUANLA SIMPLICE</t>
  </si>
  <si>
    <t>ZDCL00081</t>
  </si>
  <si>
    <t>28/01/2026 14:19</t>
  </si>
  <si>
    <t>SO2601-94022</t>
  </si>
  <si>
    <t>NJUSSA</t>
  </si>
  <si>
    <t>IN2601-103330</t>
  </si>
  <si>
    <t>28/01/2026 14:16</t>
  </si>
  <si>
    <t>SO2601-94021</t>
  </si>
  <si>
    <t>CU2511-14172 -  Fotio Kakapin Chrétien Noël</t>
  </si>
  <si>
    <t>IN2601-103329</t>
  </si>
  <si>
    <t>SO2601-94020</t>
  </si>
  <si>
    <t>CU2407-00804 -  NCHANOUE ARMEL</t>
  </si>
  <si>
    <t>IN2601-103328</t>
  </si>
  <si>
    <t>28/01/2026 14:12</t>
  </si>
  <si>
    <t>SO2601-94019</t>
  </si>
  <si>
    <t>IN2601-103327</t>
  </si>
  <si>
    <t>28/01/2026 14:13</t>
  </si>
  <si>
    <t>SO2601-94018</t>
  </si>
  <si>
    <t>FOKA</t>
  </si>
  <si>
    <t>IN2601-103326</t>
  </si>
  <si>
    <t>28/01/2026 14:09</t>
  </si>
  <si>
    <t>SO2601-94017</t>
  </si>
  <si>
    <t>IN2601-103325</t>
  </si>
  <si>
    <t>28/01/2026 15:30</t>
  </si>
  <si>
    <t>SO2601-94016</t>
  </si>
  <si>
    <t>CU2407-00936 -  TALLA EMILE</t>
  </si>
  <si>
    <t>IN2601-103324</t>
  </si>
  <si>
    <t>28/01/2026 14:00</t>
  </si>
  <si>
    <t>SO2601-94015</t>
  </si>
  <si>
    <t>LEMOGO STYVE 659129780</t>
  </si>
  <si>
    <t>IN2601-103323</t>
  </si>
  <si>
    <t>28/01/2026 14:03</t>
  </si>
  <si>
    <t>SO2601-94014</t>
  </si>
  <si>
    <t>LEBAGREL</t>
  </si>
  <si>
    <t>IN2601-103322</t>
  </si>
  <si>
    <t>28/01/2026 13:52</t>
  </si>
  <si>
    <t>SO2601-94013</t>
  </si>
  <si>
    <t>NGIMPEYE</t>
  </si>
  <si>
    <t>IN2601-103321</t>
  </si>
  <si>
    <t>28/01/2026 13:54</t>
  </si>
  <si>
    <t>SO2601-94012</t>
  </si>
  <si>
    <t>IN2601-103320</t>
  </si>
  <si>
    <t>28/01/2026 13:48</t>
  </si>
  <si>
    <t>SO2601-94011</t>
  </si>
  <si>
    <t>CU2407-00412 -  WANDJA JEAN CLAUDE</t>
  </si>
  <si>
    <t>IN2601-103319</t>
  </si>
  <si>
    <t>28/01/2026 14:07</t>
  </si>
  <si>
    <t>SO2601-94010</t>
  </si>
  <si>
    <t>CU2502-01262 -  M. WAYAP GUY MERLIN</t>
  </si>
  <si>
    <t>IN2601-103318</t>
  </si>
  <si>
    <t>28/01/2026 13:39</t>
  </si>
  <si>
    <t>SO2601-94009</t>
  </si>
  <si>
    <t>AZAMBOU</t>
  </si>
  <si>
    <t>IN2601-103317</t>
  </si>
  <si>
    <t>28/01/2026 13:38</t>
  </si>
  <si>
    <t>SO2601-94008</t>
  </si>
  <si>
    <t>KAKANOU / 699804512</t>
  </si>
  <si>
    <t>CU2504-01321 -  KAKANOU PIERRE</t>
  </si>
  <si>
    <t>IN2601-103316</t>
  </si>
  <si>
    <t>28/01/2026 13:33</t>
  </si>
  <si>
    <t>SO2601-94007</t>
  </si>
  <si>
    <t>TOUKAP FAOUZI / 694022229</t>
  </si>
  <si>
    <t>IN2601-103315</t>
  </si>
  <si>
    <t>28/01/2026 13:17</t>
  </si>
  <si>
    <t>SO2601-94006</t>
  </si>
  <si>
    <t>KENGNE AMELIE Epse TATUEBU (ZDCL00067)</t>
  </si>
  <si>
    <t>IN2601-103314</t>
  </si>
  <si>
    <t>KENGNE AMELIE Epse TATUEBU</t>
  </si>
  <si>
    <t>ZDCL00067</t>
  </si>
  <si>
    <t>28/01/2026 13:14</t>
  </si>
  <si>
    <t>SO2601-94005</t>
  </si>
  <si>
    <t>ROMEO</t>
  </si>
  <si>
    <t>IN2601-103313</t>
  </si>
  <si>
    <t>28/01/2026 13:16</t>
  </si>
  <si>
    <t>SO2601-94004</t>
  </si>
  <si>
    <t>KEMEGNE</t>
  </si>
  <si>
    <t>IN2601-103312</t>
  </si>
  <si>
    <t>28/01/2026 13:11</t>
  </si>
  <si>
    <t>SO2601-94003</t>
  </si>
  <si>
    <t>IN2601-103311</t>
  </si>
  <si>
    <t>28/01/2026 13:04</t>
  </si>
  <si>
    <t>SO2601-94002</t>
  </si>
  <si>
    <t>IN2601-103310</t>
  </si>
  <si>
    <t>28/01/2026 13:01</t>
  </si>
  <si>
    <t>SO2601-94001</t>
  </si>
  <si>
    <t>IN2601-103309</t>
  </si>
  <si>
    <t>28/01/2026 13:13</t>
  </si>
  <si>
    <t>SO2601-94000</t>
  </si>
  <si>
    <t>CU2407-00566 -  ELARO</t>
  </si>
  <si>
    <t>IN2601-103308</t>
  </si>
  <si>
    <t>28/01/2026 13:03</t>
  </si>
  <si>
    <t>SO2601-93999</t>
  </si>
  <si>
    <t>ansley</t>
  </si>
  <si>
    <t>IN2601-103307</t>
  </si>
  <si>
    <t>28/01/2026 12:58</t>
  </si>
  <si>
    <t>SO2601-93998</t>
  </si>
  <si>
    <t>Mme NGOUEMETA</t>
  </si>
  <si>
    <t>IN2601-103306</t>
  </si>
  <si>
    <t>28/01/2026 12:59</t>
  </si>
  <si>
    <t>SO2601-93997</t>
  </si>
  <si>
    <t>Mme MATOU</t>
  </si>
  <si>
    <t>IN2601-103305</t>
  </si>
  <si>
    <t>28/01/2026 13:00</t>
  </si>
  <si>
    <t>SO2601-93996</t>
  </si>
  <si>
    <t>IN2601-103304</t>
  </si>
  <si>
    <t>28/01/2026 12:51</t>
  </si>
  <si>
    <t>SO2601-93995</t>
  </si>
  <si>
    <t>CU2407-00926 -  SANLAI SARL</t>
  </si>
  <si>
    <t>IN2601-103303</t>
  </si>
  <si>
    <t>28/01/2026 12:47</t>
  </si>
  <si>
    <t>SO2601-93994</t>
  </si>
  <si>
    <t>MAISON DU FERMIER 675884876</t>
  </si>
  <si>
    <t>CU2407-00766 -  MAISON DU FERMIER ZNCL00041 (PROVENDIER)</t>
  </si>
  <si>
    <t>IN2601-103302</t>
  </si>
  <si>
    <t>CU2407-00766 -  MAISON DU FERMIER ZNCL00041</t>
  </si>
  <si>
    <t>28/01/2026 12:48</t>
  </si>
  <si>
    <t>SO2601-93993</t>
  </si>
  <si>
    <t>CU2407-00199 -  NTSOPA TANDJONG LANDRY</t>
  </si>
  <si>
    <t>IN2601-103301</t>
  </si>
  <si>
    <t>28/01/2026 12:43</t>
  </si>
  <si>
    <t>SO2601-93992</t>
  </si>
  <si>
    <t>CU2407-00802 -  NANA LEVI</t>
  </si>
  <si>
    <t>IN2601-103300</t>
  </si>
  <si>
    <t>28/01/2026 12:42</t>
  </si>
  <si>
    <t>SO2601-93991</t>
  </si>
  <si>
    <t>NZANGUE (ZDCL00036)</t>
  </si>
  <si>
    <t>IN2601-103299</t>
  </si>
  <si>
    <t>NZANGUE</t>
  </si>
  <si>
    <t>ZDCL00036</t>
  </si>
  <si>
    <t>28/01/2026 12:41</t>
  </si>
  <si>
    <t>SO2601-93990</t>
  </si>
  <si>
    <t>DJOUBO 696446087</t>
  </si>
  <si>
    <t>CU2509-14106 -  DJOUBO FOKOU Samuel</t>
  </si>
  <si>
    <t>IN2601-103298</t>
  </si>
  <si>
    <t>SO2601-93989</t>
  </si>
  <si>
    <t>TAMGOU KADJE DANIEL FRANCK</t>
  </si>
  <si>
    <t>IN2601-103297</t>
  </si>
  <si>
    <t>28/01/2026 12:56</t>
  </si>
  <si>
    <t>SO2601-93988</t>
  </si>
  <si>
    <t>THOMSOUM / 695 15 70 13</t>
  </si>
  <si>
    <t>IN2601-103296</t>
  </si>
  <si>
    <t>28/01/2026 12:37</t>
  </si>
  <si>
    <t>SO2601-93987</t>
  </si>
  <si>
    <t>BOTAR 683466789</t>
  </si>
  <si>
    <t>CU2407-00248 -  BACKBUIN RINWUI BOTAR</t>
  </si>
  <si>
    <t>IN2601-103295</t>
  </si>
  <si>
    <t>28/01/2026 12:32</t>
  </si>
  <si>
    <t>SO2601-93986</t>
  </si>
  <si>
    <t>CHRISTIAN</t>
  </si>
  <si>
    <t>IN2601-103294</t>
  </si>
  <si>
    <t>28/01/2026 12:27</t>
  </si>
  <si>
    <t>SO2601-93985</t>
  </si>
  <si>
    <t>IN2601-103293</t>
  </si>
  <si>
    <t>28/01/2026 12:22</t>
  </si>
  <si>
    <t>SO2601-93984</t>
  </si>
  <si>
    <t>IN2601-103292</t>
  </si>
  <si>
    <t>28/01/2026 12:21</t>
  </si>
  <si>
    <t>SO2601-93983</t>
  </si>
  <si>
    <t>M KENFACK JOSEPH 651296564</t>
  </si>
  <si>
    <t>IN2601-103291</t>
  </si>
  <si>
    <t>28/01/2026 12:16</t>
  </si>
  <si>
    <t>SO2601-93982</t>
  </si>
  <si>
    <t>CU2407-00906 -  PROVENDERIE DU BONHEUR</t>
  </si>
  <si>
    <t>IN2601-103290</t>
  </si>
  <si>
    <t>28/01/2026 12:33</t>
  </si>
  <si>
    <t>SO2601-93981</t>
  </si>
  <si>
    <t>IN2601-103289</t>
  </si>
  <si>
    <t>28/01/2026 12:17</t>
  </si>
  <si>
    <t>SO2601-93980</t>
  </si>
  <si>
    <t>IN2601-103288</t>
  </si>
  <si>
    <t>28/01/2026 12:14</t>
  </si>
  <si>
    <t>SO2601-93979</t>
  </si>
  <si>
    <t>FOFE 678462440</t>
  </si>
  <si>
    <t>CU2407-01012 -  FOFE DEMATIO GABRIEL</t>
  </si>
  <si>
    <t>12/11/2025 00:00</t>
  </si>
  <si>
    <t>IN2601-103287</t>
  </si>
  <si>
    <t>28/01/2026 12:12</t>
  </si>
  <si>
    <t>SO2601-93978</t>
  </si>
  <si>
    <t>M INANG</t>
  </si>
  <si>
    <t>IN2601-103286</t>
  </si>
  <si>
    <t>SO2601-93977</t>
  </si>
  <si>
    <t>IN2601-103285</t>
  </si>
  <si>
    <t>28/01/2026 12:08</t>
  </si>
  <si>
    <t>SO2601-93976</t>
  </si>
  <si>
    <t>VALDO</t>
  </si>
  <si>
    <t>IN2601-103284</t>
  </si>
  <si>
    <t>28/01/2026 12:06</t>
  </si>
  <si>
    <t>SO2601-93975</t>
  </si>
  <si>
    <t>CU2407-00952 -  TCHEUMTCHOUA DANIEL</t>
  </si>
  <si>
    <t>IN2601-103283</t>
  </si>
  <si>
    <t>SO2601-93974</t>
  </si>
  <si>
    <t>joseph</t>
  </si>
  <si>
    <t>IN2601-103282</t>
  </si>
  <si>
    <t>28/01/2026 12:15</t>
  </si>
  <si>
    <t>SO2601-93973</t>
  </si>
  <si>
    <t>CU2407-00230 -  TCHUENKAM KAMSU LILIANE YVETTE (NGNEMDJO MARTIAL)</t>
  </si>
  <si>
    <t>IN2601-103281</t>
  </si>
  <si>
    <t>CU2407-00230 -  TCHUENKAM KAMSU LILIANE YVETTE</t>
  </si>
  <si>
    <t>NGNEMDJO MARTIAL</t>
  </si>
  <si>
    <t>SO2601-93972</t>
  </si>
  <si>
    <t>TEDONGMO</t>
  </si>
  <si>
    <t>IN2601-103280</t>
  </si>
  <si>
    <t>28/01/2026 11:54</t>
  </si>
  <si>
    <t>SO2601-93971</t>
  </si>
  <si>
    <t>CU2407-00899 -  GIC DES PRODUCTEURS D'OEUFS</t>
  </si>
  <si>
    <t>IN2601-103279</t>
  </si>
  <si>
    <t>28/01/2026 11:59</t>
  </si>
  <si>
    <t>SO2601-93970</t>
  </si>
  <si>
    <t>CU2407-00350 -  YMELE TEMGOUA EPSE DONGHO</t>
  </si>
  <si>
    <t>IN2601-103278</t>
  </si>
  <si>
    <t>28/01/2026 11:48</t>
  </si>
  <si>
    <t>SO2601-93969</t>
  </si>
  <si>
    <t>KENMOE SYLVAIN 676381339</t>
  </si>
  <si>
    <t>IN2601-103277</t>
  </si>
  <si>
    <t>28/01/2026 11:58</t>
  </si>
  <si>
    <t>SO2601-93968</t>
  </si>
  <si>
    <t>FOGUE MICHEL 699221095</t>
  </si>
  <si>
    <t>IN2601-103276</t>
  </si>
  <si>
    <t>SO2601-93967</t>
  </si>
  <si>
    <t>IN2601-103275</t>
  </si>
  <si>
    <t>28/01/2026 11:50</t>
  </si>
  <si>
    <t>SO2601-93966</t>
  </si>
  <si>
    <t>M.NONO MARCEL 698405126</t>
  </si>
  <si>
    <t>IN2601-103274</t>
  </si>
  <si>
    <t>28/01/2026 11:41</t>
  </si>
  <si>
    <t>SO2601-93965</t>
  </si>
  <si>
    <t>IN2601-103273</t>
  </si>
  <si>
    <t>28/01/2026 11:42</t>
  </si>
  <si>
    <t>SO2601-93964</t>
  </si>
  <si>
    <t>KENYO 671138300</t>
  </si>
  <si>
    <t>IN2601-103272</t>
  </si>
  <si>
    <t>28/01/2026 11:43</t>
  </si>
  <si>
    <t>SO2601-93963</t>
  </si>
  <si>
    <t>MME DIANE 673400954</t>
  </si>
  <si>
    <t>IN2601-103271</t>
  </si>
  <si>
    <t>28/01/2026 11:39</t>
  </si>
  <si>
    <t>SO2601-93962</t>
  </si>
  <si>
    <t>CU2407-00781 -  MELONG MEKUEKO CONSTANTIN</t>
  </si>
  <si>
    <t>IN2601-103270</t>
  </si>
  <si>
    <t>SO2601-93961</t>
  </si>
  <si>
    <t>TALA TASSU</t>
  </si>
  <si>
    <t>CU2407-00150 -  CLIENTS COMPTOIR YAOUNDE</t>
  </si>
  <si>
    <t>GNOMSSI TAMGNO CYRIELLE …</t>
  </si>
  <si>
    <t>PDC Emana</t>
  </si>
  <si>
    <t>IN2601-103269</t>
  </si>
  <si>
    <t>28/01/2026 11:49</t>
  </si>
  <si>
    <t>SO2601-93960</t>
  </si>
  <si>
    <t>CU2407-00669 -  KAMDEM JACQUES</t>
  </si>
  <si>
    <t>IN2601-103268</t>
  </si>
  <si>
    <t>SO2601-93959</t>
  </si>
  <si>
    <t>IN2601-103267</t>
  </si>
  <si>
    <t>28/01/2026 11:47</t>
  </si>
  <si>
    <t>SO2601-93958</t>
  </si>
  <si>
    <t>Mme MIFFOUMISSUI MARIE</t>
  </si>
  <si>
    <t>IN2601-103266</t>
  </si>
  <si>
    <t>SO2601-93957</t>
  </si>
  <si>
    <t>CU2407-00619 -  FOTSO FOUMBOT</t>
  </si>
  <si>
    <t>IN2601-103265</t>
  </si>
  <si>
    <t>28/01/2026 11:38</t>
  </si>
  <si>
    <t>SO2601-93956</t>
  </si>
  <si>
    <t>CU2508-13717 -  M.LONTSI NGANKEU JUNIOR</t>
  </si>
  <si>
    <t>IN2601-103264</t>
  </si>
  <si>
    <t>28/01/2026 11:33</t>
  </si>
  <si>
    <t>SO2601-93955</t>
  </si>
  <si>
    <t>ZXCL00045000 -  FERME BATTA (FERME BATTA)</t>
  </si>
  <si>
    <t>IN2601-103263</t>
  </si>
  <si>
    <t>ZXCL00045000 -  FERME BATTA</t>
  </si>
  <si>
    <t>FERME BATTA</t>
  </si>
  <si>
    <t>SO2601-93954</t>
  </si>
  <si>
    <t>IN2601-103262</t>
  </si>
  <si>
    <t>28/01/2026 11:29</t>
  </si>
  <si>
    <t>SO2601-93953</t>
  </si>
  <si>
    <t>Mmme AICHATOU</t>
  </si>
  <si>
    <t>IN2601-103261</t>
  </si>
  <si>
    <t>28/01/2026 11:30</t>
  </si>
  <si>
    <t>SO2601-93952</t>
  </si>
  <si>
    <t>IN2601-103260</t>
  </si>
  <si>
    <t>SO2601-93951</t>
  </si>
  <si>
    <t>IN2601-103259</t>
  </si>
  <si>
    <t>28/01/2026 11:21</t>
  </si>
  <si>
    <t>SO2601-93950</t>
  </si>
  <si>
    <t>CU2508-13567 -  JIOFACK VICTORINE (SCLB PLUS SARL)</t>
  </si>
  <si>
    <t>IN2601-103258</t>
  </si>
  <si>
    <t>CU2508-13567 -  JIOFACK VICTORINE</t>
  </si>
  <si>
    <t>SCLB PLUS SARL</t>
  </si>
  <si>
    <t>28/01/2026 11:18</t>
  </si>
  <si>
    <t>SO2601-93949</t>
  </si>
  <si>
    <t>CU2504-013337 -  PROVENDERIE LA GRACE LOGBESSOU (PROVENDERIE LA GRACE LOGBESSOU)</t>
  </si>
  <si>
    <t>IN2601-103257</t>
  </si>
  <si>
    <t>CU2504-013337 -  PROVENDERIE LA GRACE LOGBESSOU</t>
  </si>
  <si>
    <t>PROVENDERIE LA GRACE LOGBESSOU</t>
  </si>
  <si>
    <t>28/01/2026 11:19</t>
  </si>
  <si>
    <t>SO2601-93948</t>
  </si>
  <si>
    <t>IN2601-103256</t>
  </si>
  <si>
    <t>28/01/2026 12:11</t>
  </si>
  <si>
    <t>SO2601-93947</t>
  </si>
  <si>
    <t>RENE</t>
  </si>
  <si>
    <t>IN2601-103255</t>
  </si>
  <si>
    <t>28/01/2026 11:15</t>
  </si>
  <si>
    <t>SO2601-93946</t>
  </si>
  <si>
    <t>CU2512-14211 -  MOFOR JOHN SERGE NEBA / EBBACAM</t>
  </si>
  <si>
    <t>IN2601-103254</t>
  </si>
  <si>
    <t>28/01/2026 11:20</t>
  </si>
  <si>
    <t>SO2601-93945</t>
  </si>
  <si>
    <t>CU2601-14327 -  KEMDJO NGATE PATRICK</t>
  </si>
  <si>
    <t>IN2601-103253</t>
  </si>
  <si>
    <t>28/01/2026 11:14</t>
  </si>
  <si>
    <t>SO2601-93944</t>
  </si>
  <si>
    <t>IN2601-103252</t>
  </si>
  <si>
    <t>SO2601-93943</t>
  </si>
  <si>
    <t>MME DJIKI 670802818</t>
  </si>
  <si>
    <t>IN2601-103251</t>
  </si>
  <si>
    <t>28/01/2026 11:09</t>
  </si>
  <si>
    <t>SO2601-93942</t>
  </si>
  <si>
    <t>ARSENE</t>
  </si>
  <si>
    <t>IN2601-103250</t>
  </si>
  <si>
    <t>28/01/2026 11:04</t>
  </si>
  <si>
    <t>SO2601-93941</t>
  </si>
  <si>
    <t>djiefack jean p</t>
  </si>
  <si>
    <t>IN2601-103249</t>
  </si>
  <si>
    <t>28/01/2026 11:02</t>
  </si>
  <si>
    <t>SO2601-93940</t>
  </si>
  <si>
    <t>IN2601-103248</t>
  </si>
  <si>
    <t>28/01/2026 11:08</t>
  </si>
  <si>
    <t>SO2601-93939</t>
  </si>
  <si>
    <t>CU2502-01226 -  ETS TOUT EST GRACE</t>
  </si>
  <si>
    <t>IN2601-103247</t>
  </si>
  <si>
    <t>28/01/2026 10:57</t>
  </si>
  <si>
    <t>SO2601-93938</t>
  </si>
  <si>
    <t>KEMNE</t>
  </si>
  <si>
    <t>IN2601-103246</t>
  </si>
  <si>
    <t>28/01/2026 10:53</t>
  </si>
  <si>
    <t>SO2601-93937</t>
  </si>
  <si>
    <t>CU2410-01129 -  kengmatio lontsi Elvis sirou ll</t>
  </si>
  <si>
    <t>IN2601-103245</t>
  </si>
  <si>
    <t>SO2601-93935</t>
  </si>
  <si>
    <t>IN2601-103243</t>
  </si>
  <si>
    <t>28/01/2026 11:05</t>
  </si>
  <si>
    <t>SO2601-93934</t>
  </si>
  <si>
    <t>IN2601-103242</t>
  </si>
  <si>
    <t>28/01/2026 10:50</t>
  </si>
  <si>
    <t>SO2601-93933</t>
  </si>
  <si>
    <t>CU2407-00956 -  KOM BLAISE STANISLAS</t>
  </si>
  <si>
    <t>IN2601-103241</t>
  </si>
  <si>
    <t>SO2601-93932</t>
  </si>
  <si>
    <t>IN2601-103240</t>
  </si>
  <si>
    <t>SO2601-93931</t>
  </si>
  <si>
    <t>FOFOU FERDINAND 674475517</t>
  </si>
  <si>
    <t>IN2601-103239</t>
  </si>
  <si>
    <t>28/01/2026 10:44</t>
  </si>
  <si>
    <t>SO2601-93930</t>
  </si>
  <si>
    <t>MADANA FOUONE SOLANGE (ZDCL00004)</t>
  </si>
  <si>
    <t>IN2601-103238</t>
  </si>
  <si>
    <t>MADANA FOUONE SOLANGE</t>
  </si>
  <si>
    <t>ZDCL00004</t>
  </si>
  <si>
    <t>28/01/2026 10:41</t>
  </si>
  <si>
    <t>SO2601-93929</t>
  </si>
  <si>
    <t>CU2601-14321 -  PROVENDERIE NOUVELLE (KAMDEM)</t>
  </si>
  <si>
    <t>IN2601-103237</t>
  </si>
  <si>
    <t>CU2601-14321 -  PROVENDERIE NOUVELLE</t>
  </si>
  <si>
    <t>28/01/2026 11:28</t>
  </si>
  <si>
    <t>SO2601-93928</t>
  </si>
  <si>
    <t>IN2601-103236</t>
  </si>
  <si>
    <t>28/01/2026 11:23</t>
  </si>
  <si>
    <t>SO2601-93926</t>
  </si>
  <si>
    <t>ELVIS</t>
  </si>
  <si>
    <t>IN2601-103234</t>
  </si>
  <si>
    <t>28/01/2026 10:36</t>
  </si>
  <si>
    <t>SO2601-93925</t>
  </si>
  <si>
    <t>CU2407-00558 -  DUBOIS SARL</t>
  </si>
  <si>
    <t>IN2601-103233</t>
  </si>
  <si>
    <t>SO2601-93924</t>
  </si>
  <si>
    <t>CU2412-01184 -  PROV EMMA</t>
  </si>
  <si>
    <t>IN2601-103232</t>
  </si>
  <si>
    <t>28/01/2026 10:54</t>
  </si>
  <si>
    <t>SO2601-93923</t>
  </si>
  <si>
    <t>CU2407-00729 -  KUETCHE N. JOSEPH</t>
  </si>
  <si>
    <t>IN2601-103231</t>
  </si>
  <si>
    <t>28/01/2026 10:30</t>
  </si>
  <si>
    <t>SO2601-93922</t>
  </si>
  <si>
    <t>APPOLINAIRE 686487958</t>
  </si>
  <si>
    <t>IN2601-103230</t>
  </si>
  <si>
    <t>28/01/2026 10:37</t>
  </si>
  <si>
    <t>SO2601-93921</t>
  </si>
  <si>
    <t>IN2601-103229</t>
  </si>
  <si>
    <t>28/01/2026 10:32</t>
  </si>
  <si>
    <t>SO2601-93920</t>
  </si>
  <si>
    <t>CU2506-13400 -  NOVEACAM (DJEMENE JEAN PIERRE)</t>
  </si>
  <si>
    <t>IN2601-103228</t>
  </si>
  <si>
    <t>CU2506-13400 -  NOVEACAM</t>
  </si>
  <si>
    <t>DJEMENE JEAN PIERRE</t>
  </si>
  <si>
    <t>28/01/2026 10:31</t>
  </si>
  <si>
    <t>SO2601-93919</t>
  </si>
  <si>
    <t>NOUPING</t>
  </si>
  <si>
    <t>IN2601-103227</t>
  </si>
  <si>
    <t>SO2601-93918</t>
  </si>
  <si>
    <t>IN2601-103226</t>
  </si>
  <si>
    <t>28/01/2026 10:28</t>
  </si>
  <si>
    <t>SO2601-93917</t>
  </si>
  <si>
    <t>TATSA 673825500</t>
  </si>
  <si>
    <t>IN2601-103225</t>
  </si>
  <si>
    <t>28/01/2026 10:19</t>
  </si>
  <si>
    <t>SO2601-93916</t>
  </si>
  <si>
    <t>IN2601-103224</t>
  </si>
  <si>
    <t>SO2601-93915</t>
  </si>
  <si>
    <t>CU2407-00518 -  DJEM JOSEPH</t>
  </si>
  <si>
    <t>IN2601-103223</t>
  </si>
  <si>
    <t>28/01/2026 10:14</t>
  </si>
  <si>
    <t>SO2601-93914</t>
  </si>
  <si>
    <t>BALROC 699950838</t>
  </si>
  <si>
    <t>CU2510-14141 -  BALROC SARL (BELL TCHOKOTCHEU)</t>
  </si>
  <si>
    <t>IN2601-103222</t>
  </si>
  <si>
    <t>CU2510-14141 -  BALROC SARL</t>
  </si>
  <si>
    <t>BELL TCHOKOTCHEU</t>
  </si>
  <si>
    <t>28/01/2026 10:35</t>
  </si>
  <si>
    <t>SO2601-93913</t>
  </si>
  <si>
    <t>CU2412-01177 -  TCHOMTCHOUA CIRILLE</t>
  </si>
  <si>
    <t>IN2601-103221</t>
  </si>
  <si>
    <t>28/01/2026 10:12</t>
  </si>
  <si>
    <t>SO2601-93912</t>
  </si>
  <si>
    <t>STE NGNOMEGNE 676389963</t>
  </si>
  <si>
    <t>CU2407-00332 -  SOCIETE NGNOMEGNE GILBERT SARL</t>
  </si>
  <si>
    <t>IN2601-103220</t>
  </si>
  <si>
    <t>28/01/2026 10:07</t>
  </si>
  <si>
    <t>SO2601-93911</t>
  </si>
  <si>
    <t>MOLUH</t>
  </si>
  <si>
    <t>IN2601-103219</t>
  </si>
  <si>
    <t>28/01/2026 10:04</t>
  </si>
  <si>
    <t>SO2601-93893</t>
  </si>
  <si>
    <t>IN2601-103218</t>
  </si>
  <si>
    <t>28/01/2026 10:05</t>
  </si>
  <si>
    <t>SO2601-93909</t>
  </si>
  <si>
    <t>SERGE 697111043</t>
  </si>
  <si>
    <t>IN2601-103217</t>
  </si>
  <si>
    <t>28/01/2026 10:03</t>
  </si>
  <si>
    <t>SO2601-93908</t>
  </si>
  <si>
    <t>IN2601-103216</t>
  </si>
  <si>
    <t>SO2601-93907</t>
  </si>
  <si>
    <t>CU2407-00842 -  YACOUBA</t>
  </si>
  <si>
    <t>IN2601-103215</t>
  </si>
  <si>
    <t>28/01/2026 10:01</t>
  </si>
  <si>
    <t>SO2601-93905</t>
  </si>
  <si>
    <t>IN2601-103213</t>
  </si>
  <si>
    <t>28/01/2026 09:58</t>
  </si>
  <si>
    <t>SO2601-93904</t>
  </si>
  <si>
    <t>tchoula</t>
  </si>
  <si>
    <t>IN2601-103212</t>
  </si>
  <si>
    <t>28/01/2026 16:43</t>
  </si>
  <si>
    <t>SO2601-93903</t>
  </si>
  <si>
    <t>TCHINZE 694528119</t>
  </si>
  <si>
    <t>IN2601-103211</t>
  </si>
  <si>
    <t>28/01/2026 09:52</t>
  </si>
  <si>
    <t>SO2601-93902</t>
  </si>
  <si>
    <t>IN2601-103210</t>
  </si>
  <si>
    <t>SO2601-93901</t>
  </si>
  <si>
    <t>CU2502-01237 -  TCHEUTCHOUA TCHINDA ERIC</t>
  </si>
  <si>
    <t>IN2601-103209</t>
  </si>
  <si>
    <t>28/01/2026 09:53</t>
  </si>
  <si>
    <t>SO2601-93900</t>
  </si>
  <si>
    <t>NESTOR PENIABE 694064544</t>
  </si>
  <si>
    <t>IN2601-103208</t>
  </si>
  <si>
    <t>28/01/2026 10:02</t>
  </si>
  <si>
    <t>SO2601-93899</t>
  </si>
  <si>
    <t>IN2601-103207</t>
  </si>
  <si>
    <t>28/01/2026 09:48</t>
  </si>
  <si>
    <t>SO2601-93898</t>
  </si>
  <si>
    <t>IN2601-103206</t>
  </si>
  <si>
    <t>28/01/2026 10:11</t>
  </si>
  <si>
    <t>SO2601-93897</t>
  </si>
  <si>
    <t>TAMO ROGER 650722826</t>
  </si>
  <si>
    <t>IN2601-103205</t>
  </si>
  <si>
    <t>28/01/2026 09:47</t>
  </si>
  <si>
    <t>SO2601-93896</t>
  </si>
  <si>
    <t>TAGNE LEOPOLD 677649071</t>
  </si>
  <si>
    <t>IN2601-103204</t>
  </si>
  <si>
    <t>SO2601-93895</t>
  </si>
  <si>
    <t>GEORGES 674454581</t>
  </si>
  <si>
    <t>IN2601-103203</t>
  </si>
  <si>
    <t>28/01/2026 09:45</t>
  </si>
  <si>
    <t>SO2601-93894</t>
  </si>
  <si>
    <t>M MOFFO ERIC</t>
  </si>
  <si>
    <t>IN2601-103202</t>
  </si>
  <si>
    <t>SO2601-93823</t>
  </si>
  <si>
    <t>TATSI AUGUSTIN 657676305</t>
  </si>
  <si>
    <t>27/01/2026</t>
  </si>
  <si>
    <t>27/01/2026 00:00</t>
  </si>
  <si>
    <t>IN2601-103201</t>
  </si>
  <si>
    <t>28/01/2026 09:43</t>
  </si>
  <si>
    <t>SO2601-93892</t>
  </si>
  <si>
    <t>CU2502-01235 -  TENE APPOLINAIRE (OUEST ELEVAGE)</t>
  </si>
  <si>
    <t>IN2601-103200</t>
  </si>
  <si>
    <t>CU2502-01235 -  TENE APPOLINAIRE</t>
  </si>
  <si>
    <t>OUEST ELEVAGE</t>
  </si>
  <si>
    <t>28/01/2026 09:42</t>
  </si>
  <si>
    <t>SO2601-93891</t>
  </si>
  <si>
    <t>CU2407-00731 -  ZETANG CLAUDE ARMAND</t>
  </si>
  <si>
    <t>IN2601-103199</t>
  </si>
  <si>
    <t>28/01/2026 09:54</t>
  </si>
  <si>
    <t>SO2601-93890</t>
  </si>
  <si>
    <t>ROBERT</t>
  </si>
  <si>
    <t>IN2601-103198</t>
  </si>
  <si>
    <t>28/01/2026 09:44</t>
  </si>
  <si>
    <t>SO2601-93889</t>
  </si>
  <si>
    <t>IN2601-103197</t>
  </si>
  <si>
    <t>SO2601-93888</t>
  </si>
  <si>
    <t>CU2407-00565 -  EBOUE</t>
  </si>
  <si>
    <t>IN2601-103196</t>
  </si>
  <si>
    <t>28/01/2026 09:41</t>
  </si>
  <si>
    <t>SO2601-93887</t>
  </si>
  <si>
    <t>IN2601-103195</t>
  </si>
  <si>
    <t>SO2601-93886</t>
  </si>
  <si>
    <t>IN2601-103194</t>
  </si>
  <si>
    <t>28/01/2026 09:34</t>
  </si>
  <si>
    <t>SO2601-93885</t>
  </si>
  <si>
    <t>IN2601-103193</t>
  </si>
  <si>
    <t>SO2601-93884</t>
  </si>
  <si>
    <t>M TAKOU JUSTIN</t>
  </si>
  <si>
    <t>IN2601-103192</t>
  </si>
  <si>
    <t>28/01/2026 09:36</t>
  </si>
  <si>
    <t>SO2601-93883</t>
  </si>
  <si>
    <t>IN2601-103191</t>
  </si>
  <si>
    <t>SO2601-93882</t>
  </si>
  <si>
    <t>IN2601-103190</t>
  </si>
  <si>
    <t>SO2601-93881</t>
  </si>
  <si>
    <t>IN2601-103189</t>
  </si>
  <si>
    <t>28/01/2026 09:29</t>
  </si>
  <si>
    <t>SO2601-93880</t>
  </si>
  <si>
    <t>MME DJOUM 675149628</t>
  </si>
  <si>
    <t>IN2601-103188</t>
  </si>
  <si>
    <t>28/01/2026 09:25</t>
  </si>
  <si>
    <t>SO2601-93879</t>
  </si>
  <si>
    <t>TALLA TESSO / 691662255</t>
  </si>
  <si>
    <t>CU2508-13571 -  TALLA TESSO MEFENYA TIBEAU</t>
  </si>
  <si>
    <t>IN2601-103187</t>
  </si>
  <si>
    <t>28/01/2026 09:30</t>
  </si>
  <si>
    <t>SO2601-93878</t>
  </si>
  <si>
    <t>ZOLI 655390519</t>
  </si>
  <si>
    <t>IN2601-103186</t>
  </si>
  <si>
    <t>SO2601-93877</t>
  </si>
  <si>
    <t>KAMTCHOUANG JOSEPH / 699571124</t>
  </si>
  <si>
    <t>IN2601-103185</t>
  </si>
  <si>
    <t>28/01/2026 09:26</t>
  </si>
  <si>
    <t>SO2601-93876</t>
  </si>
  <si>
    <t>IN2601-103184</t>
  </si>
  <si>
    <t>28/01/2026 09:24</t>
  </si>
  <si>
    <t>SO2601-93875</t>
  </si>
  <si>
    <t>NWOMENE</t>
  </si>
  <si>
    <t>IN2601-103183</t>
  </si>
  <si>
    <t>SO2601-93874</t>
  </si>
  <si>
    <t>CU2601-14342 -  NGUEFOUE MELACHIO BORIS</t>
  </si>
  <si>
    <t>IN2601-103182</t>
  </si>
  <si>
    <t>SO2601-93873</t>
  </si>
  <si>
    <t>Mme NGOLLI 694191200</t>
  </si>
  <si>
    <t>IN2601-103181</t>
  </si>
  <si>
    <t>28/01/2026 09:20</t>
  </si>
  <si>
    <t>SO2601-93872</t>
  </si>
  <si>
    <t>CU2407-00210 -  PROVENDERIE NOUVELLE VISION</t>
  </si>
  <si>
    <t>IN2601-103180</t>
  </si>
  <si>
    <t>28/01/2026 09:14</t>
  </si>
  <si>
    <t>SO2601-93871</t>
  </si>
  <si>
    <t>IN2601-103179</t>
  </si>
  <si>
    <t>28/01/2026 09:13</t>
  </si>
  <si>
    <t>SO2601-93870</t>
  </si>
  <si>
    <t>M YAMGA</t>
  </si>
  <si>
    <t>IN2601-103178</t>
  </si>
  <si>
    <t>SO2601-93869</t>
  </si>
  <si>
    <t>LAMENE</t>
  </si>
  <si>
    <t>IN2601-103177</t>
  </si>
  <si>
    <t>28/01/2026 09:05</t>
  </si>
  <si>
    <t>SO2601-93868</t>
  </si>
  <si>
    <t>IN2601-103176</t>
  </si>
  <si>
    <t>28/01/2026 09:18</t>
  </si>
  <si>
    <t>SO2601-93867</t>
  </si>
  <si>
    <t>IN2601-103175</t>
  </si>
  <si>
    <t>28/01/2026 09:01</t>
  </si>
  <si>
    <t>SO2601-93866</t>
  </si>
  <si>
    <t>IN2601-103174</t>
  </si>
  <si>
    <t>28/01/2026 09:11</t>
  </si>
  <si>
    <t>SO2601-93865</t>
  </si>
  <si>
    <t>CU2409-01085 -  NJAKOI KINKO MICHAEL</t>
  </si>
  <si>
    <t>IN2601-103173</t>
  </si>
  <si>
    <t>28/01/2026 11:52</t>
  </si>
  <si>
    <t>SO2601-93864</t>
  </si>
  <si>
    <t>CU2508-13553 -  KONGNE BRUNO UNIVERS DE L'ELEVAGE</t>
  </si>
  <si>
    <t>IN2601-103172</t>
  </si>
  <si>
    <t>28/01/2026 08:59</t>
  </si>
  <si>
    <t>SO2601-93863</t>
  </si>
  <si>
    <t>CU2502-01250 -  PROVENDERIE SOFAB</t>
  </si>
  <si>
    <t>IN2601-103171</t>
  </si>
  <si>
    <t>SO2601-93862</t>
  </si>
  <si>
    <t>FABRICE</t>
  </si>
  <si>
    <t>IN2601-103170</t>
  </si>
  <si>
    <t>28/01/2026 08:49</t>
  </si>
  <si>
    <t>SO2601-93861</t>
  </si>
  <si>
    <t>LANDRY 696246529</t>
  </si>
  <si>
    <t>IN2601-103169</t>
  </si>
  <si>
    <t>28/01/2026 08:56</t>
  </si>
  <si>
    <t>SO2601-93860</t>
  </si>
  <si>
    <t>IN2601-103168</t>
  </si>
  <si>
    <t>28/01/2026 08:46</t>
  </si>
  <si>
    <t>SO2601-93859</t>
  </si>
  <si>
    <t>BEPOUMBO ABEL 657603376</t>
  </si>
  <si>
    <t>IN2601-103167</t>
  </si>
  <si>
    <t>SO2601-93858</t>
  </si>
  <si>
    <t>CU2407-00484 -  BETNKOM SOULEMANOU</t>
  </si>
  <si>
    <t>IN2601-103166</t>
  </si>
  <si>
    <t>28/01/2026 08:42</t>
  </si>
  <si>
    <t>SO2601-93857</t>
  </si>
  <si>
    <t>TCHINDA ERIC 696563539</t>
  </si>
  <si>
    <t>IN2601-103165</t>
  </si>
  <si>
    <t>28/01/2026 08:34</t>
  </si>
  <si>
    <t>SO2601-93856</t>
  </si>
  <si>
    <t>KAMDEM JP 670445343</t>
  </si>
  <si>
    <t>IN2601-103164</t>
  </si>
  <si>
    <t>SO2601-93855</t>
  </si>
  <si>
    <t>IN2601-103163</t>
  </si>
  <si>
    <t>28/01/2026 08:29</t>
  </si>
  <si>
    <t>SO2601-93854</t>
  </si>
  <si>
    <t>IN2601-103162</t>
  </si>
  <si>
    <t>28/01/2026 08:27</t>
  </si>
  <si>
    <t>SO2601-93853</t>
  </si>
  <si>
    <t>M NDOBO</t>
  </si>
  <si>
    <t>IN2601-103161</t>
  </si>
  <si>
    <t>28/01/2026 08:23</t>
  </si>
  <si>
    <t>SO2601-93852</t>
  </si>
  <si>
    <t>DASSI</t>
  </si>
  <si>
    <t>IN2601-103160</t>
  </si>
  <si>
    <t>28/01/2026 08:32</t>
  </si>
  <si>
    <t>SO2601-93851</t>
  </si>
  <si>
    <t>CU2407-00923 -  TALLA DIALO</t>
  </si>
  <si>
    <t>IN2601-103159</t>
  </si>
  <si>
    <t>28/01/2026 08:21</t>
  </si>
  <si>
    <t>SO2601-93850</t>
  </si>
  <si>
    <t>CU2407-00601 -  FOKO</t>
  </si>
  <si>
    <t>IN2601-103158</t>
  </si>
  <si>
    <t>28/01/2026 08:25</t>
  </si>
  <si>
    <t>SO2601-93849</t>
  </si>
  <si>
    <t>IN2601-103157</t>
  </si>
  <si>
    <t>28/01/2026 08:13</t>
  </si>
  <si>
    <t>SO2601-93848</t>
  </si>
  <si>
    <t>CU2512-14216 -  NKANDONG ESSO ARMAND</t>
  </si>
  <si>
    <t>IN2601-103156</t>
  </si>
  <si>
    <t>28/01/2026 08:08</t>
  </si>
  <si>
    <t>SO2601-93847</t>
  </si>
  <si>
    <t>IN2601-103155</t>
  </si>
  <si>
    <t>SO2601-93936</t>
  </si>
  <si>
    <t>TCHOUPO BRICE 651132629</t>
  </si>
  <si>
    <t>CU2407-00878 -  Tchoupo kuate Brice</t>
  </si>
  <si>
    <t>IN2601-103244</t>
  </si>
  <si>
    <t>28/01/2026 11:51</t>
  </si>
  <si>
    <t>SO2601-93927</t>
  </si>
  <si>
    <t>PROVENDICAM 680709136</t>
  </si>
  <si>
    <t>CU2407-00919 -  PROVENDICAM ZNCL00034</t>
  </si>
  <si>
    <t>IN2601-103235</t>
  </si>
  <si>
    <t>28/01/2026 10:45</t>
  </si>
  <si>
    <t>SO2601-93846</t>
  </si>
  <si>
    <t>motoum</t>
  </si>
  <si>
    <t>IN2601-103154</t>
  </si>
  <si>
    <t>28/01/2026 08:47</t>
  </si>
  <si>
    <t>SO2601-93845</t>
  </si>
  <si>
    <t>DONGMO FAUSTIN / 650836161</t>
  </si>
  <si>
    <t>IN2601-103153</t>
  </si>
  <si>
    <t>27/01/2026 17:04</t>
  </si>
  <si>
    <t>SO2601-93844</t>
  </si>
  <si>
    <t>M FOMEKONG</t>
  </si>
  <si>
    <t>IN2601-103152</t>
  </si>
  <si>
    <t>27/01/2026 16:54</t>
  </si>
  <si>
    <t>SO2601-93843</t>
  </si>
  <si>
    <t>TALOGUE</t>
  </si>
  <si>
    <t>CU2407-00161 -  TAMBA TALOGUE MARTIAL</t>
  </si>
  <si>
    <t>IN2601-103151</t>
  </si>
  <si>
    <t>27/01/2026 17:01</t>
  </si>
  <si>
    <t>SO2601-93842</t>
  </si>
  <si>
    <t>ABDOU SADOU / 695 58 22 20</t>
  </si>
  <si>
    <t>IN2601-103150</t>
  </si>
  <si>
    <t>27/01/2026 16:46</t>
  </si>
  <si>
    <t>SO2601-93841</t>
  </si>
  <si>
    <t>IN2601-103148</t>
  </si>
  <si>
    <t>27/01/2026 16:40</t>
  </si>
  <si>
    <t>SO2601-93840</t>
  </si>
  <si>
    <t>NANA</t>
  </si>
  <si>
    <t>IN2601-103147</t>
  </si>
  <si>
    <t>SO2601-93839</t>
  </si>
  <si>
    <t>NSENGHA 677775325</t>
  </si>
  <si>
    <t>IN2601-103146</t>
  </si>
  <si>
    <t>27/01/2026 16:25</t>
  </si>
  <si>
    <t>SO2601-93838</t>
  </si>
  <si>
    <t>IN2601-103145</t>
  </si>
  <si>
    <t>27/01/2026 16:29</t>
  </si>
  <si>
    <t>SO2601-93837</t>
  </si>
  <si>
    <t>IN2601-103144</t>
  </si>
  <si>
    <t>SO2601-93836</t>
  </si>
  <si>
    <t>M MPESSE</t>
  </si>
  <si>
    <t>IN2601-103143</t>
  </si>
  <si>
    <t>27/01/2026 16:21</t>
  </si>
  <si>
    <t>SO2601-93835</t>
  </si>
  <si>
    <t>CU2407-00410 -  AWUNG FRANCIS NGALE</t>
  </si>
  <si>
    <t>IN2601-103142</t>
  </si>
  <si>
    <t>27/01/2026 16:28</t>
  </si>
  <si>
    <t>SO2601-93834</t>
  </si>
  <si>
    <t>JEANNOT</t>
  </si>
  <si>
    <t>IN2601-103141</t>
  </si>
  <si>
    <t>27/01/2026 16:15</t>
  </si>
  <si>
    <t>SO2601-93833</t>
  </si>
  <si>
    <t>ETS OUMBE 677738226</t>
  </si>
  <si>
    <t>IN2601-103140</t>
  </si>
  <si>
    <t>27/01/2026 16:22</t>
  </si>
  <si>
    <t>SO2601-93832</t>
  </si>
  <si>
    <t>Mme MBAKE / 697 77 00 02</t>
  </si>
  <si>
    <t>IN2601-103139</t>
  </si>
  <si>
    <t>SO2601-93831</t>
  </si>
  <si>
    <t>HAPI FRANCK 694847478</t>
  </si>
  <si>
    <t>IN2601-103138</t>
  </si>
  <si>
    <t>27/01/2026 16:11</t>
  </si>
  <si>
    <t>SO2601-93829</t>
  </si>
  <si>
    <t>IN2601-103136</t>
  </si>
  <si>
    <t>27/01/2026 16:10</t>
  </si>
  <si>
    <t>SO2601-93828</t>
  </si>
  <si>
    <t>SIMON PIERRE</t>
  </si>
  <si>
    <t>IN2601-103135</t>
  </si>
  <si>
    <t>27/01/2026 16:09</t>
  </si>
  <si>
    <t>SO2601-93827</t>
  </si>
  <si>
    <t>IN2601-103134</t>
  </si>
  <si>
    <t>SO2601-93826</t>
  </si>
  <si>
    <t>COMAGROPHT/ 694943651</t>
  </si>
  <si>
    <t>CU2501-01194 -  COMPLEXE AGROPASTORALE HOSSERE TCHEDE SARL-COMAGROPHT SARL (HAMADOU ABBO)</t>
  </si>
  <si>
    <t>IN2601-103133</t>
  </si>
  <si>
    <t>CU2501-01194 -  COMPLEXE AGROPASTORALE HOSSERE TCHEDE SARL-COMAGROPHT SARL</t>
  </si>
  <si>
    <t>HAMADOU ABBO</t>
  </si>
  <si>
    <t>27/01/2026 18:07</t>
  </si>
  <si>
    <t>SO2601-93825</t>
  </si>
  <si>
    <t>CRISTALAND FARM</t>
  </si>
  <si>
    <t>IN2601-103132</t>
  </si>
  <si>
    <t>SO2601-93824</t>
  </si>
  <si>
    <t>CU2601-14353 -  TOGUEM SAMUEL</t>
  </si>
  <si>
    <t>IN2601-103131</t>
  </si>
  <si>
    <t>27/01/2026 15:58</t>
  </si>
  <si>
    <t>SO2601-93553</t>
  </si>
  <si>
    <t>26/01/2026</t>
  </si>
  <si>
    <t>26/01/2026 00:00</t>
  </si>
  <si>
    <t>IN2601-103130</t>
  </si>
  <si>
    <t>27/01/2026 15:54</t>
  </si>
  <si>
    <t>SO2601-93822</t>
  </si>
  <si>
    <t>ETS NGOKO / 696032015</t>
  </si>
  <si>
    <t>CU2407-00387 -  ETS NGOKO ET FILS (SOH NGOKO SAADEU FRANCOIS LEPILIER)</t>
  </si>
  <si>
    <t>IN2601-103129</t>
  </si>
  <si>
    <t>CU2407-00387 -  ETS NGOKO ET FILS</t>
  </si>
  <si>
    <t>SOH NGOKO SAADEU FRANCOIS LEPILIER</t>
  </si>
  <si>
    <t>27/01/2026 18:15</t>
  </si>
  <si>
    <t>SO2601-93821</t>
  </si>
  <si>
    <t>KUITCHE SADEUH GABIN (ZDCL00053)</t>
  </si>
  <si>
    <t>IN2601-103128</t>
  </si>
  <si>
    <t>KUITCHE SADEUH GABIN</t>
  </si>
  <si>
    <t>ZDCL00053</t>
  </si>
  <si>
    <t>27/01/2026 16:01</t>
  </si>
  <si>
    <t>SO2601-93820</t>
  </si>
  <si>
    <t>IN2601-103127</t>
  </si>
  <si>
    <t>SO2601-93819</t>
  </si>
  <si>
    <t>IN2601-103126</t>
  </si>
  <si>
    <t>SO2601-93818</t>
  </si>
  <si>
    <t>CU2505-13371 -  NGAMALEU CHARLEIN</t>
  </si>
  <si>
    <t>IN2601-103125</t>
  </si>
  <si>
    <t>27/01/2026 15:44</t>
  </si>
  <si>
    <t>SO2601-93817</t>
  </si>
  <si>
    <t>KENFACK</t>
  </si>
  <si>
    <t>IN2601-103124</t>
  </si>
  <si>
    <t>27/01/2026 15:45</t>
  </si>
  <si>
    <t>SO2601-93816</t>
  </si>
  <si>
    <t>TEDONG JANVIER 677998945</t>
  </si>
  <si>
    <t>IN2601-103123</t>
  </si>
  <si>
    <t>SO2601-93815</t>
  </si>
  <si>
    <t>MME ZANG 651926606</t>
  </si>
  <si>
    <t>IN2601-103122</t>
  </si>
  <si>
    <t>SO2601-93814</t>
  </si>
  <si>
    <t>CU2407-00581 -  FECAM</t>
  </si>
  <si>
    <t>IN2601-103121</t>
  </si>
  <si>
    <t>27/01/2026 15:35</t>
  </si>
  <si>
    <t>SO2601-93813</t>
  </si>
  <si>
    <t>CU2503-01269 -  ETS: KEYSTONE FEED (EUGENEATTIA EBUA ETS: KEYSTONE FEED)</t>
  </si>
  <si>
    <t>IN2601-103120</t>
  </si>
  <si>
    <t>CU2503-01269 -  ETS: KEYSTONE FEED</t>
  </si>
  <si>
    <t>EUGENEATTIA EBUA ETS: KEYSTONE FEED</t>
  </si>
  <si>
    <t>27/01/2026 15:29</t>
  </si>
  <si>
    <t>SO2601-93812</t>
  </si>
  <si>
    <t>CU2601-14351 -  LONTSI SONHAFOUO CHIMENE</t>
  </si>
  <si>
    <t>IN2601-103119</t>
  </si>
  <si>
    <t>27/01/2026 15:37</t>
  </si>
  <si>
    <t>SO2601-93811</t>
  </si>
  <si>
    <t>MEHOZE ULRICH / 657 28 29 49</t>
  </si>
  <si>
    <t>IN2601-103118</t>
  </si>
  <si>
    <t>SO2601-93810</t>
  </si>
  <si>
    <t>BOUGIKA</t>
  </si>
  <si>
    <t>IN2601-103117</t>
  </si>
  <si>
    <t>27/01/2026 15:23</t>
  </si>
  <si>
    <t>SO2601-93809</t>
  </si>
  <si>
    <t>DIMITRI</t>
  </si>
  <si>
    <t>IN2601-103116</t>
  </si>
  <si>
    <t>SO2601-93808</t>
  </si>
  <si>
    <t>Mme MEFFO</t>
  </si>
  <si>
    <t>IN2601-103115</t>
  </si>
  <si>
    <t>27/01/2026 15:24</t>
  </si>
  <si>
    <t>SO2601-93807</t>
  </si>
  <si>
    <t>CU2407-00424 -  NTANG HILDA AMIKE</t>
  </si>
  <si>
    <t>IN2601-103114</t>
  </si>
  <si>
    <t>27/01/2026 15:21</t>
  </si>
  <si>
    <t>SO2601-93806</t>
  </si>
  <si>
    <t>IN2601-103113</t>
  </si>
  <si>
    <t>27/01/2026 17:14</t>
  </si>
  <si>
    <t>SO2601-93805</t>
  </si>
  <si>
    <t>THERESIA 683971300</t>
  </si>
  <si>
    <t>IN2601-103112</t>
  </si>
  <si>
    <t>27/01/2026 15:17</t>
  </si>
  <si>
    <t>SO2601-93804</t>
  </si>
  <si>
    <t>PROV DU SAVOIR 691522020</t>
  </si>
  <si>
    <t>CU2504-01334 -  PROV DU SAVOIR</t>
  </si>
  <si>
    <t>IN2601-103111</t>
  </si>
  <si>
    <t>27/01/2026 15:31</t>
  </si>
  <si>
    <t>SO2601-93803</t>
  </si>
  <si>
    <t>IN2601-103110</t>
  </si>
  <si>
    <t>27/01/2026 15:39</t>
  </si>
  <si>
    <t>SO2601-93802</t>
  </si>
  <si>
    <t>IN2601-103109</t>
  </si>
  <si>
    <t>27/01/2026 15:11</t>
  </si>
  <si>
    <t>SO2601-93801</t>
  </si>
  <si>
    <t>IN2601-103108</t>
  </si>
  <si>
    <t>27/01/2026 15:15</t>
  </si>
  <si>
    <t>SO2601-93800</t>
  </si>
  <si>
    <t>KENGNE JULIO 695522473</t>
  </si>
  <si>
    <t>IN2601-103107</t>
  </si>
  <si>
    <t>27/01/2026 15:22</t>
  </si>
  <si>
    <t>SO2601-93799</t>
  </si>
  <si>
    <t>IN2601-103106</t>
  </si>
  <si>
    <t>27/01/2026 16:19</t>
  </si>
  <si>
    <t>SO2601-93798</t>
  </si>
  <si>
    <t>IN2601-103105</t>
  </si>
  <si>
    <t>27/01/2026 14:59</t>
  </si>
  <si>
    <t>SO2601-93797</t>
  </si>
  <si>
    <t>IN2601-103104</t>
  </si>
  <si>
    <t>27/01/2026 14:56</t>
  </si>
  <si>
    <t>SO2601-93796</t>
  </si>
  <si>
    <t>IN2601-103103</t>
  </si>
  <si>
    <t>27/01/2026 16:23</t>
  </si>
  <si>
    <t>SO2601-93795</t>
  </si>
  <si>
    <t>IN2601-103102</t>
  </si>
  <si>
    <t>27/01/2026 14:55</t>
  </si>
  <si>
    <t>SO2601-93794</t>
  </si>
  <si>
    <t>SCOOP 674265895</t>
  </si>
  <si>
    <t>SCOOP HALAL (BABA)</t>
  </si>
  <si>
    <t>IN2601-103101</t>
  </si>
  <si>
    <t>27/01/2026 16:08</t>
  </si>
  <si>
    <t>SO2601-93793</t>
  </si>
  <si>
    <t>PAPA SAM</t>
  </si>
  <si>
    <t>IN2601-103100</t>
  </si>
  <si>
    <t>27/01/2026 14:44</t>
  </si>
  <si>
    <t>SO2601-93792</t>
  </si>
  <si>
    <t>IN2601-103099</t>
  </si>
  <si>
    <t>27/01/2026 14:39</t>
  </si>
  <si>
    <t>SO2601-93791</t>
  </si>
  <si>
    <t>CU2512-14218 -  GIC PRODUCTEURS DE MAIS DE YAOUNDE (EBOT WILFRED BESONG)</t>
  </si>
  <si>
    <t>IN2601-103098</t>
  </si>
  <si>
    <t>CU2512-14218 -  GIC PRODUCTEURS DE MAIS DE YAOUNDE</t>
  </si>
  <si>
    <t>EBOT WILFRED BESONG</t>
  </si>
  <si>
    <t>27/01/2026 14:35</t>
  </si>
  <si>
    <t>SO2601-93790</t>
  </si>
  <si>
    <t>IN2601-103097</t>
  </si>
  <si>
    <t>27/01/2026 14:42</t>
  </si>
  <si>
    <t>SO2601-93789</t>
  </si>
  <si>
    <t>IN2601-103096</t>
  </si>
  <si>
    <t>27/01/2026 14:32</t>
  </si>
  <si>
    <t>SO2601-93788</t>
  </si>
  <si>
    <t>IN2601-103095</t>
  </si>
  <si>
    <t>27/01/2026 14:31</t>
  </si>
  <si>
    <t>SO2601-93787</t>
  </si>
  <si>
    <t>IN2601-103094</t>
  </si>
  <si>
    <t>SO2601-93786</t>
  </si>
  <si>
    <t>WAMBA CHRISTIAN 694047634</t>
  </si>
  <si>
    <t>IN2601-103093</t>
  </si>
  <si>
    <t>SO2601-93785</t>
  </si>
  <si>
    <t>IN2601-103092</t>
  </si>
  <si>
    <t>27/01/2026 14:27</t>
  </si>
  <si>
    <t>SO2601-93784</t>
  </si>
  <si>
    <t>CU2407-00918 -  PROVENDERIE NOURIX</t>
  </si>
  <si>
    <t>IN2601-103091</t>
  </si>
  <si>
    <t>27/01/2026 14:24</t>
  </si>
  <si>
    <t>SO2601-93783</t>
  </si>
  <si>
    <t>CU2407-00414 -  TCHIO GILBERT</t>
  </si>
  <si>
    <t>IN2601-103090</t>
  </si>
  <si>
    <t>27/01/2026 14:37</t>
  </si>
  <si>
    <t>SO2601-93782</t>
  </si>
  <si>
    <t>M KAMTA NARCIS</t>
  </si>
  <si>
    <t>IN2601-103089</t>
  </si>
  <si>
    <t>SO2601-93781</t>
  </si>
  <si>
    <t>IN2601-103088</t>
  </si>
  <si>
    <t>27/01/2026 14:15</t>
  </si>
  <si>
    <t>SO2601-93780</t>
  </si>
  <si>
    <t>CU2407-00793 -  MONASTERE</t>
  </si>
  <si>
    <t>IN2601-103087</t>
  </si>
  <si>
    <t>27/01/2026 14:13</t>
  </si>
  <si>
    <t>SO2601-93779</t>
  </si>
  <si>
    <t>CU2407-00257 -  COOP AFAA'MBONG</t>
  </si>
  <si>
    <t>IN2601-103086</t>
  </si>
  <si>
    <t>27/01/2026 14:22</t>
  </si>
  <si>
    <t>SO2601-93778</t>
  </si>
  <si>
    <t>IN2601-103085</t>
  </si>
  <si>
    <t>27/01/2026 14:06</t>
  </si>
  <si>
    <t>SO2601-93777</t>
  </si>
  <si>
    <t>NJOYA YOUSSOUFA / 697 42 46 63</t>
  </si>
  <si>
    <t>IN2601-103084</t>
  </si>
  <si>
    <t>27/01/2026 17:37</t>
  </si>
  <si>
    <t>SO2601-93776</t>
  </si>
  <si>
    <t>CU2407-00961 -  SCOOP DIKEL</t>
  </si>
  <si>
    <t>IN2601-103083</t>
  </si>
  <si>
    <t>27/01/2026 14:02</t>
  </si>
  <si>
    <t>SO2601-93775</t>
  </si>
  <si>
    <t>IN2601-103082</t>
  </si>
  <si>
    <t>27/01/2026 13:51</t>
  </si>
  <si>
    <t>SO2601-93774</t>
  </si>
  <si>
    <t>CU2509-14112 -  DOUANLA BERNARD</t>
  </si>
  <si>
    <t>IN2601-103081</t>
  </si>
  <si>
    <t>SO2601-93773</t>
  </si>
  <si>
    <t>EYENGA 694086701</t>
  </si>
  <si>
    <t>IN2601-103080</t>
  </si>
  <si>
    <t>27/01/2026 13:46</t>
  </si>
  <si>
    <t>SO2601-93772</t>
  </si>
  <si>
    <t>IN2601-103079</t>
  </si>
  <si>
    <t>27/01/2026 13:41</t>
  </si>
  <si>
    <t>SO2601-93771</t>
  </si>
  <si>
    <t>NGUIMDJOU</t>
  </si>
  <si>
    <t>CU2407-00333 -  SOCIETE SAVIC SARL</t>
  </si>
  <si>
    <t>IN2601-103078</t>
  </si>
  <si>
    <t>27/01/2026 13:42</t>
  </si>
  <si>
    <t>SO2601-93770</t>
  </si>
  <si>
    <t>IN2601-103077</t>
  </si>
  <si>
    <t>27/01/2026 13:39</t>
  </si>
  <si>
    <t>SO2601-93769</t>
  </si>
  <si>
    <t>IN2601-103076</t>
  </si>
  <si>
    <t>27/01/2026 13:33</t>
  </si>
  <si>
    <t>SO2601-93768</t>
  </si>
  <si>
    <t>DEDOU</t>
  </si>
  <si>
    <t>IN2601-103075</t>
  </si>
  <si>
    <t>27/01/2026 13:29</t>
  </si>
  <si>
    <t>SO2601-93767</t>
  </si>
  <si>
    <t>CU2407-00437 -  MENDI WAGHEM RUDOLF</t>
  </si>
  <si>
    <t>IN2601-103074</t>
  </si>
  <si>
    <t>27/01/2026 14:01</t>
  </si>
  <si>
    <t>SO2601-93766</t>
  </si>
  <si>
    <t>IN2601-103073</t>
  </si>
  <si>
    <t>27/01/2026 13:58</t>
  </si>
  <si>
    <t>SO2601-93765</t>
  </si>
  <si>
    <t>CU2407-00421 -  PALO SERGE SINCLAIR</t>
  </si>
  <si>
    <t>IN2601-103072</t>
  </si>
  <si>
    <t>27/01/2026 13:53</t>
  </si>
  <si>
    <t>SO2601-93764</t>
  </si>
  <si>
    <t>IN2601-103071</t>
  </si>
  <si>
    <t>27/01/2026 13:23</t>
  </si>
  <si>
    <t>SO2601-93763</t>
  </si>
  <si>
    <t>M SOUFO</t>
  </si>
  <si>
    <t>IN2601-103070</t>
  </si>
  <si>
    <t>27/01/2026 13:27</t>
  </si>
  <si>
    <t>SO2601-93762</t>
  </si>
  <si>
    <t>IN2601-103069</t>
  </si>
  <si>
    <t>27/01/2026 13:20</t>
  </si>
  <si>
    <t>SO2601-93761</t>
  </si>
  <si>
    <t>IN2601-103068</t>
  </si>
  <si>
    <t>27/01/2026 13:13</t>
  </si>
  <si>
    <t>SO2601-93760</t>
  </si>
  <si>
    <t>MAGNE</t>
  </si>
  <si>
    <t>IN2601-103067</t>
  </si>
  <si>
    <t>27/01/2026 12:58</t>
  </si>
  <si>
    <t>SO2601-93759</t>
  </si>
  <si>
    <t>YANNICK TAFOU 698827766</t>
  </si>
  <si>
    <t>IN2601-103066</t>
  </si>
  <si>
    <t>27/01/2026 12:55</t>
  </si>
  <si>
    <t>SO2601-93758</t>
  </si>
  <si>
    <t>FRANCKY HERVE 695525733</t>
  </si>
  <si>
    <t>IN2601-103065</t>
  </si>
  <si>
    <t>27/01/2026 12:57</t>
  </si>
  <si>
    <t>SO2601-93757</t>
  </si>
  <si>
    <t>FOKOUA VINCENT</t>
  </si>
  <si>
    <t>IN2601-103064</t>
  </si>
  <si>
    <t>27/01/2026 12:54</t>
  </si>
  <si>
    <t>SO2601-93756</t>
  </si>
  <si>
    <t>CU2504-01300 -  GIC LOIC</t>
  </si>
  <si>
    <t>IN2601-103063</t>
  </si>
  <si>
    <t>SO2601-93754</t>
  </si>
  <si>
    <t>CU2407-01020 -  FERME MOGOUONG THÉRÈSE</t>
  </si>
  <si>
    <t>IN2601-103061</t>
  </si>
  <si>
    <t>27/01/2026 12:53</t>
  </si>
  <si>
    <t>SO2601-93753</t>
  </si>
  <si>
    <t>IN2601-103060</t>
  </si>
  <si>
    <t>27/01/2026 15:03</t>
  </si>
  <si>
    <t>SO2601-93752</t>
  </si>
  <si>
    <t>KOUNA</t>
  </si>
  <si>
    <t>IN2601-103059</t>
  </si>
  <si>
    <t>27/01/2026 13:07</t>
  </si>
  <si>
    <t>SO2601-93751</t>
  </si>
  <si>
    <t>EVINA FABRICE 652052412</t>
  </si>
  <si>
    <t>IN2601-103058</t>
  </si>
  <si>
    <t>27/01/2026 12:49</t>
  </si>
  <si>
    <t>SO2601-93750</t>
  </si>
  <si>
    <t>CU2406-00016 -  PROVENDERIE LE TRIOMPHE (ETS LE TRIOMPHE)</t>
  </si>
  <si>
    <t>IN2601-103057</t>
  </si>
  <si>
    <t>CU2406-00016 -  PROVENDERIE LE TRIOMPHE</t>
  </si>
  <si>
    <t>ETS LE TRIOMPHE</t>
  </si>
  <si>
    <t>27/01/2026 12:45</t>
  </si>
  <si>
    <t>SO2601-93749</t>
  </si>
  <si>
    <t>IN2601-103056</t>
  </si>
  <si>
    <t>27/01/2026 12:38</t>
  </si>
  <si>
    <t>SO2601-93748</t>
  </si>
  <si>
    <t>CU2407-00703 -  KETI RICHARD</t>
  </si>
  <si>
    <t>IN2601-103055</t>
  </si>
  <si>
    <t>27/01/2026 12:46</t>
  </si>
  <si>
    <t>SO2601-93747</t>
  </si>
  <si>
    <t>CU2512-14203 -  ASSABJEU DJOUFACK ARMEL CESAIRE</t>
  </si>
  <si>
    <t>IN2601-103054</t>
  </si>
  <si>
    <t>27/01/2026 12:34</t>
  </si>
  <si>
    <t>SO2601-93746</t>
  </si>
  <si>
    <t>DJIOKO 698810687</t>
  </si>
  <si>
    <t>IN2601-103053</t>
  </si>
  <si>
    <t>27/01/2026 12:29</t>
  </si>
  <si>
    <t>SO2601-93745</t>
  </si>
  <si>
    <t>CU2506-13398 -  GREEN SQUARE SARL (AYISSI MEWOLO YANNICK)</t>
  </si>
  <si>
    <t>IN2601-103052</t>
  </si>
  <si>
    <t>CU2506-13398 -  GREEN SQUARE SARL</t>
  </si>
  <si>
    <t>AYISSI MEWOLO YANNICK</t>
  </si>
  <si>
    <t>27/01/2026 12:47</t>
  </si>
  <si>
    <t>SO2601-93744</t>
  </si>
  <si>
    <t>IN2601-103051</t>
  </si>
  <si>
    <t>27/01/2026 12:30</t>
  </si>
  <si>
    <t>SO2601-93743</t>
  </si>
  <si>
    <t>LEUTCHI 675068255</t>
  </si>
  <si>
    <t>IN2601-103050</t>
  </si>
  <si>
    <t>27/01/2026 12:23</t>
  </si>
  <si>
    <t>SO2601-93742</t>
  </si>
  <si>
    <t>TCHOTCHOUA 696410777</t>
  </si>
  <si>
    <t>IN2601-103049</t>
  </si>
  <si>
    <t>SO2601-93741</t>
  </si>
  <si>
    <t>NGUEYO JP 677899097</t>
  </si>
  <si>
    <t>IN2601-103048</t>
  </si>
  <si>
    <t>SO2601-93740</t>
  </si>
  <si>
    <t>ENRIETTE</t>
  </si>
  <si>
    <t>IN2601-103047</t>
  </si>
  <si>
    <t>27/01/2026 12:19</t>
  </si>
  <si>
    <t>SO2601-93739</t>
  </si>
  <si>
    <t>IN2601-103046</t>
  </si>
  <si>
    <t>27/01/2026 12:26</t>
  </si>
  <si>
    <t>SO2601-93738</t>
  </si>
  <si>
    <t>TAMTO</t>
  </si>
  <si>
    <t>CU2510-14137 -  TAMTO ALPHONSE MARIE</t>
  </si>
  <si>
    <t>IN2601-103045</t>
  </si>
  <si>
    <t>27/01/2026 12:16</t>
  </si>
  <si>
    <t>SO2601-93737</t>
  </si>
  <si>
    <t>CU2407-00156 -  NGAYAP (NGAYAP)</t>
  </si>
  <si>
    <t>IN2601-103044</t>
  </si>
  <si>
    <t>CU2407-00156 -  NGAYAP</t>
  </si>
  <si>
    <t>NGAYAP</t>
  </si>
  <si>
    <t>27/01/2026 12:11</t>
  </si>
  <si>
    <t>SO2601-93735</t>
  </si>
  <si>
    <t>NGAWA 678518703</t>
  </si>
  <si>
    <t>IN2601-103042</t>
  </si>
  <si>
    <t>27/01/2026 12:10</t>
  </si>
  <si>
    <t>SO2601-93734</t>
  </si>
  <si>
    <t>KAMGO 696635238</t>
  </si>
  <si>
    <t>IN2601-103041</t>
  </si>
  <si>
    <t>27/01/2026 12:06</t>
  </si>
  <si>
    <t>SO2601-93733</t>
  </si>
  <si>
    <t>BOASSEM / 690904659</t>
  </si>
  <si>
    <t>CU2508-13645 -  BOASSEN OBELABOUT BIENVENU</t>
  </si>
  <si>
    <t>IN2601-103040</t>
  </si>
  <si>
    <t>27/01/2026 17:41</t>
  </si>
  <si>
    <t>SO2601-93732</t>
  </si>
  <si>
    <t>M DONFOUET SYLVAIN</t>
  </si>
  <si>
    <t>IN2601-103039</t>
  </si>
  <si>
    <t>27/01/2026 12:09</t>
  </si>
  <si>
    <t>SO2601-93731</t>
  </si>
  <si>
    <t>M.AYAKO KEVIN 695635924</t>
  </si>
  <si>
    <t>IN2601-103038</t>
  </si>
  <si>
    <t>27/01/2026 12:05</t>
  </si>
  <si>
    <t>SO2601-93730</t>
  </si>
  <si>
    <t>CU2407-00530 -  ETS NKOUAM</t>
  </si>
  <si>
    <t>IN2601-103037</t>
  </si>
  <si>
    <t>SO2601-93729</t>
  </si>
  <si>
    <t>CU2407-00382 -  PROVENDERIE LE RELAIS</t>
  </si>
  <si>
    <t>IN2601-103036</t>
  </si>
  <si>
    <t>27/01/2026 12:08</t>
  </si>
  <si>
    <t>SO2601-93728</t>
  </si>
  <si>
    <t>NGO</t>
  </si>
  <si>
    <t>IN2601-103035</t>
  </si>
  <si>
    <t>27/01/2026 12:04</t>
  </si>
  <si>
    <t>SO2601-93727</t>
  </si>
  <si>
    <t>IN2601-103034</t>
  </si>
  <si>
    <t>SO2601-93726</t>
  </si>
  <si>
    <t>IN2601-103033</t>
  </si>
  <si>
    <t>27/01/2026 12:01</t>
  </si>
  <si>
    <t>SO2601-93724</t>
  </si>
  <si>
    <t>NZANGUE TAMAFO 676652864</t>
  </si>
  <si>
    <t>CU2407-00313 -  NZANGUE TAMAFO ACHILE</t>
  </si>
  <si>
    <t>IN2601-103031</t>
  </si>
  <si>
    <t>27/01/2026 11:59</t>
  </si>
  <si>
    <t>SO2601-93723</t>
  </si>
  <si>
    <t>NESTOR</t>
  </si>
  <si>
    <t>IN2601-103030</t>
  </si>
  <si>
    <t>27/01/2026 11:53</t>
  </si>
  <si>
    <t>SO2601-93722</t>
  </si>
  <si>
    <t>DANIELLE 699467374</t>
  </si>
  <si>
    <t>IN2601-103029</t>
  </si>
  <si>
    <t>27/01/2026 12:00</t>
  </si>
  <si>
    <t>SO2601-93721</t>
  </si>
  <si>
    <t>BEUHYOLO 674999888</t>
  </si>
  <si>
    <t>IN2601-103028</t>
  </si>
  <si>
    <t>27/01/2026 11:54</t>
  </si>
  <si>
    <t>SO2601-93720</t>
  </si>
  <si>
    <t>WAMBA NGOUMTSA DAVID (ZDCL00045)</t>
  </si>
  <si>
    <t>IN2601-103027</t>
  </si>
  <si>
    <t>WAMBA NGOUMTSA DAVID</t>
  </si>
  <si>
    <t>ZDCL00045</t>
  </si>
  <si>
    <t>SO2601-93719</t>
  </si>
  <si>
    <t>M.NOUBI GUY 694215705</t>
  </si>
  <si>
    <t>IN2601-103026</t>
  </si>
  <si>
    <t>27/01/2026 11:48</t>
  </si>
  <si>
    <t>SO2601-93718</t>
  </si>
  <si>
    <t>CU2406-00040 -  DJUIKOM MARLISE</t>
  </si>
  <si>
    <t>IN2601-103025</t>
  </si>
  <si>
    <t>27/01/2026 11:50</t>
  </si>
  <si>
    <t>SO2601-93717</t>
  </si>
  <si>
    <t>IN2601-103024</t>
  </si>
  <si>
    <t>SO2601-93716</t>
  </si>
  <si>
    <t>IN2601-103023</t>
  </si>
  <si>
    <t>27/01/2026 11:51</t>
  </si>
  <si>
    <t>SO2601-93715</t>
  </si>
  <si>
    <t>IN2601-103022</t>
  </si>
  <si>
    <t>27/01/2026 11:57</t>
  </si>
  <si>
    <t>SO2601-93714</t>
  </si>
  <si>
    <t>IN2601-103021</t>
  </si>
  <si>
    <t>27/01/2026 11:44</t>
  </si>
  <si>
    <t>SO2601-93713</t>
  </si>
  <si>
    <t>TREBUCOM SARL / 697425861</t>
  </si>
  <si>
    <t>IN2601-103020</t>
  </si>
  <si>
    <t>27/01/2026 17:44</t>
  </si>
  <si>
    <t>SO2601-93712</t>
  </si>
  <si>
    <t>VINCENT 670006610</t>
  </si>
  <si>
    <t>IN2601-103019</t>
  </si>
  <si>
    <t>SO2601-93711</t>
  </si>
  <si>
    <t>CU2601-14296 -  COOP.CA PROD OEUF</t>
  </si>
  <si>
    <t>IN2601-103018</t>
  </si>
  <si>
    <t>27/01/2026 11:39</t>
  </si>
  <si>
    <t>SO2601-93710</t>
  </si>
  <si>
    <t>IN2601-103017</t>
  </si>
  <si>
    <t>SO2601-93709</t>
  </si>
  <si>
    <t>IN2601-103016</t>
  </si>
  <si>
    <t>27/01/2026 11:33</t>
  </si>
  <si>
    <t>SO2601-93708</t>
  </si>
  <si>
    <t>DJOMGOUE 691040740</t>
  </si>
  <si>
    <t>IN2601-103015</t>
  </si>
  <si>
    <t>27/01/2026 11:27</t>
  </si>
  <si>
    <t>SO2601-93707</t>
  </si>
  <si>
    <t>MEGNE HORTENSE 699535836</t>
  </si>
  <si>
    <t>IN2601-103014</t>
  </si>
  <si>
    <t>27/01/2026 11:26</t>
  </si>
  <si>
    <t>SO2601-93706</t>
  </si>
  <si>
    <t>IN2601-103013</t>
  </si>
  <si>
    <t>27/01/2026 11:09</t>
  </si>
  <si>
    <t>SO2601-93705</t>
  </si>
  <si>
    <t>CU2407-00840 -  NGOMPE BRUNO</t>
  </si>
  <si>
    <t>IN2601-103012</t>
  </si>
  <si>
    <t>27/01/2026 11:04</t>
  </si>
  <si>
    <t>SO2601-93704</t>
  </si>
  <si>
    <t>IN2601-103011</t>
  </si>
  <si>
    <t>27/01/2026 11:01</t>
  </si>
  <si>
    <t>SO2601-93703</t>
  </si>
  <si>
    <t>TIODO 675202300</t>
  </si>
  <si>
    <t>IN2601-103010</t>
  </si>
  <si>
    <t>27/01/2026 11:02</t>
  </si>
  <si>
    <t>SO2601-93702</t>
  </si>
  <si>
    <t>M BEAUX HECTARES</t>
  </si>
  <si>
    <t>IN2601-103009</t>
  </si>
  <si>
    <t>27/01/2026 10:58</t>
  </si>
  <si>
    <t>SO2601-93701</t>
  </si>
  <si>
    <t>CU2407-00689 -  KENFACK</t>
  </si>
  <si>
    <t>IN2601-103008</t>
  </si>
  <si>
    <t>27/01/2026 11:18</t>
  </si>
  <si>
    <t>SO2601-93700</t>
  </si>
  <si>
    <t>POUNGUELE JEAN 690300247</t>
  </si>
  <si>
    <t>IN2601-103007</t>
  </si>
  <si>
    <t>27/01/2026 10:55</t>
  </si>
  <si>
    <t>SO2601-93699</t>
  </si>
  <si>
    <t>IN2601-103006</t>
  </si>
  <si>
    <t>27/01/2026 10:51</t>
  </si>
  <si>
    <t>SO2601-93698</t>
  </si>
  <si>
    <t>CU2407-00198 -  ROCHE KENGNE RAYMOND</t>
  </si>
  <si>
    <t>IN2601-103005</t>
  </si>
  <si>
    <t>27/01/2026 10:52</t>
  </si>
  <si>
    <t>SO2601-93697</t>
  </si>
  <si>
    <t>IN2601-103004</t>
  </si>
  <si>
    <t>27/01/2026 17:32</t>
  </si>
  <si>
    <t>SO2601-93696</t>
  </si>
  <si>
    <t>CU2508-13568 -  NYASSA BENYOMO EPSE FOUDA</t>
  </si>
  <si>
    <t>IN2601-103003</t>
  </si>
  <si>
    <t>27/01/2026 10:46</t>
  </si>
  <si>
    <t>SO2601-93695</t>
  </si>
  <si>
    <t>IN2601-103002</t>
  </si>
  <si>
    <t>27/01/2026 10:49</t>
  </si>
  <si>
    <t>SO2601-93694</t>
  </si>
  <si>
    <t>IN2601-103001</t>
  </si>
  <si>
    <t>27/01/2026 10:44</t>
  </si>
  <si>
    <t>SO2601-93693</t>
  </si>
  <si>
    <t>IN2601-103000</t>
  </si>
  <si>
    <t>27/01/2026 10:43</t>
  </si>
  <si>
    <t>SO2601-93692</t>
  </si>
  <si>
    <t>IN2601-102999</t>
  </si>
  <si>
    <t>27/01/2026 17:52</t>
  </si>
  <si>
    <t>SO2601-93691</t>
  </si>
  <si>
    <t>CU2407-00238 -  ABOUBAKAR MOUSTAPHA ETS MANAL</t>
  </si>
  <si>
    <t>IN2601-102998</t>
  </si>
  <si>
    <t>27/01/2026 11:00</t>
  </si>
  <si>
    <t>SO2601-93690</t>
  </si>
  <si>
    <t>NZOGANG ARNOLD 693585466</t>
  </si>
  <si>
    <t>IN2601-102997</t>
  </si>
  <si>
    <t>27/01/2026 10:30</t>
  </si>
  <si>
    <t>SO2601-93689</t>
  </si>
  <si>
    <t>IN2601-102996</t>
  </si>
  <si>
    <t>27/01/2026 10:29</t>
  </si>
  <si>
    <t>SO2601-93688</t>
  </si>
  <si>
    <t>IN2601-102995</t>
  </si>
  <si>
    <t>27/01/2026 10:24</t>
  </si>
  <si>
    <t>SO2601-93687</t>
  </si>
  <si>
    <t>IN2601-102994</t>
  </si>
  <si>
    <t>27/01/2026 10:21</t>
  </si>
  <si>
    <t>SO2601-93686</t>
  </si>
  <si>
    <t>CU2504-13355 -  KOYOUE FOTSO VINCENT</t>
  </si>
  <si>
    <t>IN2601-102993</t>
  </si>
  <si>
    <t>27/01/2026 10:22</t>
  </si>
  <si>
    <t>SO2601-93685</t>
  </si>
  <si>
    <t>konlac</t>
  </si>
  <si>
    <t>IN2601-102992</t>
  </si>
  <si>
    <t>27/01/2026 10:23</t>
  </si>
  <si>
    <t>SO2601-93684</t>
  </si>
  <si>
    <t>ZEPHARMA / 691579687</t>
  </si>
  <si>
    <t>CU2411-01159 -  SOCIETE ZEPHARMA SARL (TCHINDA ZEPHIRIN)</t>
  </si>
  <si>
    <t>IN2601-102991</t>
  </si>
  <si>
    <t>CU2411-01159 -  SOCIETE ZEPHARMA SARL</t>
  </si>
  <si>
    <t>TCHINDA ZEPHIRIN</t>
  </si>
  <si>
    <t>27/01/2026 17:56</t>
  </si>
  <si>
    <t>SO2601-93683</t>
  </si>
  <si>
    <t>IN2601-102990</t>
  </si>
  <si>
    <t>27/01/2026 11:14</t>
  </si>
  <si>
    <t>SO2601-93682</t>
  </si>
  <si>
    <t>DONGHO PIERRE ROGER / 670849539</t>
  </si>
  <si>
    <t>IN2601-102989</t>
  </si>
  <si>
    <t>27/01/2026 18:20</t>
  </si>
  <si>
    <t>SO2601-93681</t>
  </si>
  <si>
    <t>CU2407-00875 -  NOUMSI BLAISE</t>
  </si>
  <si>
    <t>IN2601-102988</t>
  </si>
  <si>
    <t>27/01/2026 10:31</t>
  </si>
  <si>
    <t>SO2601-93680</t>
  </si>
  <si>
    <t>ARMEL</t>
  </si>
  <si>
    <t>IN2601-102987</t>
  </si>
  <si>
    <t>SO2601-93679</t>
  </si>
  <si>
    <t>M.NYENEDA 653355242</t>
  </si>
  <si>
    <t>IN2601-102986</t>
  </si>
  <si>
    <t>27/01/2026 10:47</t>
  </si>
  <si>
    <t>SO2601-93678</t>
  </si>
  <si>
    <t>MINEPIA 657392810</t>
  </si>
  <si>
    <t>IN2601-102985</t>
  </si>
  <si>
    <t>SO2601-93677</t>
  </si>
  <si>
    <t>IN2601-102984</t>
  </si>
  <si>
    <t>27/01/2026 10:45</t>
  </si>
  <si>
    <t>SO2601-93676</t>
  </si>
  <si>
    <t>IN2601-102983</t>
  </si>
  <si>
    <t>27/01/2026 10:18</t>
  </si>
  <si>
    <t>SO2601-93675</t>
  </si>
  <si>
    <t>IN2601-102982</t>
  </si>
  <si>
    <t>SO2601-93674</t>
  </si>
  <si>
    <t>IN2601-102981</t>
  </si>
  <si>
    <t>29/01/2026 14:05</t>
  </si>
  <si>
    <t>SO2601-93673</t>
  </si>
  <si>
    <t>Mme FOMBASSO</t>
  </si>
  <si>
    <t>IN2601-102980</t>
  </si>
  <si>
    <t>27/01/2026 10:14</t>
  </si>
  <si>
    <t>SO2601-93672</t>
  </si>
  <si>
    <t>IN2601-102979</t>
  </si>
  <si>
    <t>27/01/2026 10:08</t>
  </si>
  <si>
    <t>SO2601-93671</t>
  </si>
  <si>
    <t>DONGMO DONALD (ZDCL00127)</t>
  </si>
  <si>
    <t>IN2601-102978</t>
  </si>
  <si>
    <t>DONGMO DONALD</t>
  </si>
  <si>
    <t>ZDCL00127</t>
  </si>
  <si>
    <t>27/01/2026 11:28</t>
  </si>
  <si>
    <t>SO2601-93670</t>
  </si>
  <si>
    <t>IN2601-102977</t>
  </si>
  <si>
    <t>SO2601-93669</t>
  </si>
  <si>
    <t>M MVONDO ETIENNE 694716101</t>
  </si>
  <si>
    <t>IN2601-102976</t>
  </si>
  <si>
    <t>27/01/2026 10:01</t>
  </si>
  <si>
    <t>SO2601-93668</t>
  </si>
  <si>
    <t>MERLICAM 654228788</t>
  </si>
  <si>
    <t>IN2601-102975</t>
  </si>
  <si>
    <t>27/01/2026 10:00</t>
  </si>
  <si>
    <t>SO2601-93667</t>
  </si>
  <si>
    <t>FAITH DANIEL6514444110</t>
  </si>
  <si>
    <t>IN2601-102974</t>
  </si>
  <si>
    <t>27/01/2026 10:03</t>
  </si>
  <si>
    <t>SO2601-93666</t>
  </si>
  <si>
    <t>CU2407-00960 -  PROVENDERIE FAITH</t>
  </si>
  <si>
    <t>IN2601-102973</t>
  </si>
  <si>
    <t>SO2601-93665</t>
  </si>
  <si>
    <t>DAVID</t>
  </si>
  <si>
    <t>IN2601-102972</t>
  </si>
  <si>
    <t>27/01/2026 09:53</t>
  </si>
  <si>
    <t>SO2601-93664</t>
  </si>
  <si>
    <t>M.TCHEKOUYEP 677016930</t>
  </si>
  <si>
    <t>IN2601-102971</t>
  </si>
  <si>
    <t>27/01/2026 09:49</t>
  </si>
  <si>
    <t>SO2601-93663</t>
  </si>
  <si>
    <t>IN2601-102970</t>
  </si>
  <si>
    <t>SO2601-93662</t>
  </si>
  <si>
    <t>TENEKU</t>
  </si>
  <si>
    <t>IN2601-102969</t>
  </si>
  <si>
    <t>27/01/2026 11:03</t>
  </si>
  <si>
    <t>SO2601-93661</t>
  </si>
  <si>
    <t>NKUETCHE ALAIN</t>
  </si>
  <si>
    <t>IN2601-102968</t>
  </si>
  <si>
    <t>27/01/2026 09:55</t>
  </si>
  <si>
    <t>SO2601-93660</t>
  </si>
  <si>
    <t>CHETEU 675076056</t>
  </si>
  <si>
    <t>IN2601-102967</t>
  </si>
  <si>
    <t>27/01/2026 09:40</t>
  </si>
  <si>
    <t>SO2601-93659</t>
  </si>
  <si>
    <t>IN2601-102966</t>
  </si>
  <si>
    <t>27/01/2026 09:41</t>
  </si>
  <si>
    <t>SO2601-93658</t>
  </si>
  <si>
    <t>LAURENT</t>
  </si>
  <si>
    <t>IN2601-102965</t>
  </si>
  <si>
    <t>SO2601-93657</t>
  </si>
  <si>
    <t>IN2601-102964</t>
  </si>
  <si>
    <t>27/01/2026 09:39</t>
  </si>
  <si>
    <t>SO2601-93656</t>
  </si>
  <si>
    <t>IN2601-102963</t>
  </si>
  <si>
    <t>27/01/2026 09:43</t>
  </si>
  <si>
    <t>SO2601-93655</t>
  </si>
  <si>
    <t>IN2601-102962</t>
  </si>
  <si>
    <t>27/01/2026 09:36</t>
  </si>
  <si>
    <t>SO2601-93654</t>
  </si>
  <si>
    <t>VERGER D'OR 683915291</t>
  </si>
  <si>
    <t>IN2601-102961</t>
  </si>
  <si>
    <t>27/01/2026 09:37</t>
  </si>
  <si>
    <t>SO2601-93653</t>
  </si>
  <si>
    <t>YOUDA JUVENTUS CHARLIE 650362004</t>
  </si>
  <si>
    <t>IN2601-102960</t>
  </si>
  <si>
    <t>27/01/2026 10:54</t>
  </si>
  <si>
    <t>SO2601-93652</t>
  </si>
  <si>
    <t>IN2601-102959</t>
  </si>
  <si>
    <t>27/01/2026 09:32</t>
  </si>
  <si>
    <t>SO2601-93651</t>
  </si>
  <si>
    <t>IN2601-102958</t>
  </si>
  <si>
    <t>27/01/2026 09:29</t>
  </si>
  <si>
    <t>SO2601-93650</t>
  </si>
  <si>
    <t>IN2601-102957</t>
  </si>
  <si>
    <t>27/01/2026 09:20</t>
  </si>
  <si>
    <t>SO2601-93649</t>
  </si>
  <si>
    <t>TOUBIYOU 699247487</t>
  </si>
  <si>
    <t>IN2601-102956</t>
  </si>
  <si>
    <t>27/01/2026 11:07</t>
  </si>
  <si>
    <t>SO2601-93648</t>
  </si>
  <si>
    <t>IN2601-102955</t>
  </si>
  <si>
    <t>27/01/2026 09:27</t>
  </si>
  <si>
    <t>SO2601-93647</t>
  </si>
  <si>
    <t>TANANG ELVIS 675658436</t>
  </si>
  <si>
    <t>IN2601-102954</t>
  </si>
  <si>
    <t>27/01/2026 09:28</t>
  </si>
  <si>
    <t>SO2601-93646</t>
  </si>
  <si>
    <t>CU2407-00367 -  PROV TAGNE</t>
  </si>
  <si>
    <t>IN2601-102953</t>
  </si>
  <si>
    <t>27/01/2026 09:10</t>
  </si>
  <si>
    <t>SO2601-93645</t>
  </si>
  <si>
    <t>OUSSENI</t>
  </si>
  <si>
    <t>IN2601-102952</t>
  </si>
  <si>
    <t>27/01/2026 09:11</t>
  </si>
  <si>
    <t>SO2601-93644</t>
  </si>
  <si>
    <t>TCHEUTCHOUA 681510340</t>
  </si>
  <si>
    <t>IN2601-102951</t>
  </si>
  <si>
    <t>SO2601-93643</t>
  </si>
  <si>
    <t>BEWAN HAMAT IYA FILS / 691674217</t>
  </si>
  <si>
    <t>IN2601-102950</t>
  </si>
  <si>
    <t>27/01/2026 18:44</t>
  </si>
  <si>
    <t>SO2601-93642</t>
  </si>
  <si>
    <t>IN2601-102949</t>
  </si>
  <si>
    <t>27/01/2026 11:06</t>
  </si>
  <si>
    <t>SO2601-93641</t>
  </si>
  <si>
    <t>HERMAND</t>
  </si>
  <si>
    <t>IN2601-102948</t>
  </si>
  <si>
    <t>27/01/2026 09:06</t>
  </si>
  <si>
    <t>SO2601-93640</t>
  </si>
  <si>
    <t>KUETE SIMPLICE</t>
  </si>
  <si>
    <t>IN2601-102947</t>
  </si>
  <si>
    <t>27/01/2026 08:59</t>
  </si>
  <si>
    <t>SO2601-93639</t>
  </si>
  <si>
    <t>CU2508-13644 -  FONBOD EMMANUEL AZOBI</t>
  </si>
  <si>
    <t>IN2601-102946</t>
  </si>
  <si>
    <t>27/01/2026 09:00</t>
  </si>
  <si>
    <t>SO2601-93638</t>
  </si>
  <si>
    <t>CU2504-13349 -  NGOUH NSANGOU MAZOU</t>
  </si>
  <si>
    <t>IN2601-102945</t>
  </si>
  <si>
    <t>SO2601-93637</t>
  </si>
  <si>
    <t>KOUSSI 694343627</t>
  </si>
  <si>
    <t>IN2601-102944</t>
  </si>
  <si>
    <t>27/01/2026 08:57</t>
  </si>
  <si>
    <t>SO2601-93636</t>
  </si>
  <si>
    <t>JONATAN 678737366</t>
  </si>
  <si>
    <t>IN2601-102943</t>
  </si>
  <si>
    <t>27/01/2026 10:59</t>
  </si>
  <si>
    <t>SO2601-93635</t>
  </si>
  <si>
    <t>PROV DU SUCCES 675356611</t>
  </si>
  <si>
    <t>IN2601-102942</t>
  </si>
  <si>
    <t>27/01/2026 11:10</t>
  </si>
  <si>
    <t>SO2601-93634</t>
  </si>
  <si>
    <t>KOUAN DELON 671005018</t>
  </si>
  <si>
    <t>IN2601-102941</t>
  </si>
  <si>
    <t>27/01/2026 08:52</t>
  </si>
  <si>
    <t>SO2601-93633</t>
  </si>
  <si>
    <t>IN2601-102940</t>
  </si>
  <si>
    <t>27/01/2026 09:04</t>
  </si>
  <si>
    <t>SO2601-93632</t>
  </si>
  <si>
    <t>IN2601-102939</t>
  </si>
  <si>
    <t>27/01/2026 08:56</t>
  </si>
  <si>
    <t>SO2601-93631</t>
  </si>
  <si>
    <t>IN2601-102938</t>
  </si>
  <si>
    <t>SO2601-93630</t>
  </si>
  <si>
    <t>WALLI 699827607</t>
  </si>
  <si>
    <t>IN2601-102937</t>
  </si>
  <si>
    <t>27/01/2026 08:55</t>
  </si>
  <si>
    <t>SO2601-93629</t>
  </si>
  <si>
    <t>CU2506-13402 -  NGAMBEKET HAMIDOU</t>
  </si>
  <si>
    <t>IN2601-102936</t>
  </si>
  <si>
    <t>27/01/2026 09:02</t>
  </si>
  <si>
    <t>SO2601-93628</t>
  </si>
  <si>
    <t>MEMAMGUE LILIANE 692095586</t>
  </si>
  <si>
    <t>IN2601-102935</t>
  </si>
  <si>
    <t>27/01/2026 08:51</t>
  </si>
  <si>
    <t>SO2601-93627</t>
  </si>
  <si>
    <t>IN2601-102934</t>
  </si>
  <si>
    <t>27/01/2026 08:45</t>
  </si>
  <si>
    <t>SO2601-93626</t>
  </si>
  <si>
    <t>CU2407-00152 -  KER TAAR COMPANY LTD</t>
  </si>
  <si>
    <t>IN2601-102933</t>
  </si>
  <si>
    <t>27/01/2026 08:47</t>
  </si>
  <si>
    <t>SO2601-93625</t>
  </si>
  <si>
    <t>CU2407-00546 -  DJOUMA SANDRINE</t>
  </si>
  <si>
    <t>IN2601-102932</t>
  </si>
  <si>
    <t>27/01/2026 08:42</t>
  </si>
  <si>
    <t>SO2601-93624</t>
  </si>
  <si>
    <t>KAMGUE LEONARD 653565160</t>
  </si>
  <si>
    <t>IN2601-102931</t>
  </si>
  <si>
    <t>SO2601-93623</t>
  </si>
  <si>
    <t>IN2601-102930</t>
  </si>
  <si>
    <t>27/01/2026 09:59</t>
  </si>
  <si>
    <t>SO2601-93622</t>
  </si>
  <si>
    <t>NDENGUE STEPHANE 691981648</t>
  </si>
  <si>
    <t>IN2601-102929</t>
  </si>
  <si>
    <t>SO2601-93621</t>
  </si>
  <si>
    <t>VERONIQUE 678254122</t>
  </si>
  <si>
    <t>IN2601-102928</t>
  </si>
  <si>
    <t>SO2601-93620</t>
  </si>
  <si>
    <t>GOLIKE RAPHAEL 659775603</t>
  </si>
  <si>
    <t>IN2601-102927</t>
  </si>
  <si>
    <t>27/01/2026 08:46</t>
  </si>
  <si>
    <t>SO2601-93619</t>
  </si>
  <si>
    <t>IN2601-102926</t>
  </si>
  <si>
    <t>27/01/2026 08:31</t>
  </si>
  <si>
    <t>SO2601-93618</t>
  </si>
  <si>
    <t>IN2601-102925</t>
  </si>
  <si>
    <t>27/01/2026 08:30</t>
  </si>
  <si>
    <t>SO2601-93617</t>
  </si>
  <si>
    <t>IN2601-102924</t>
  </si>
  <si>
    <t>27/01/2026 08:29</t>
  </si>
  <si>
    <t>SO2601-93616</t>
  </si>
  <si>
    <t>IN2601-102923</t>
  </si>
  <si>
    <t>27/01/2026 09:18</t>
  </si>
  <si>
    <t>SO2601-93615</t>
  </si>
  <si>
    <t>CU2601-14314 -  DJOUDA MOISE ERIC SCOOPS APACAM</t>
  </si>
  <si>
    <t>IN2601-102922</t>
  </si>
  <si>
    <t>27/01/2026 08:12</t>
  </si>
  <si>
    <t>SO2601-93614</t>
  </si>
  <si>
    <t>IN2601-102921</t>
  </si>
  <si>
    <t>27/01/2026 08:18</t>
  </si>
  <si>
    <t>SO2601-93613</t>
  </si>
  <si>
    <t>REYANG 697737331</t>
  </si>
  <si>
    <t>IN2601-102920</t>
  </si>
  <si>
    <t>27/01/2026 08:08</t>
  </si>
  <si>
    <t>SO2601-93612</t>
  </si>
  <si>
    <t>IN2601-102919</t>
  </si>
  <si>
    <t>27/01/2026 08:13</t>
  </si>
  <si>
    <t>SO2601-93611</t>
  </si>
  <si>
    <t>MIAFFO ZANGUE A 683667365</t>
  </si>
  <si>
    <t>IN2601-102918</t>
  </si>
  <si>
    <t>26/01/2026 17:03</t>
  </si>
  <si>
    <t>SO2601-93609</t>
  </si>
  <si>
    <t>IN2601-102916</t>
  </si>
  <si>
    <t>26/01/2026 17:05</t>
  </si>
  <si>
    <t>SO2601-93608</t>
  </si>
  <si>
    <t>IN2601-102915</t>
  </si>
  <si>
    <t>26/01/2026 17:00</t>
  </si>
  <si>
    <t>SO2601-93607</t>
  </si>
  <si>
    <t>IN2601-102914</t>
  </si>
  <si>
    <t>26/01/2026 17:23</t>
  </si>
  <si>
    <t>SO2601-93606</t>
  </si>
  <si>
    <t>IN2601-102913</t>
  </si>
  <si>
    <t>26/01/2026 16:46</t>
  </si>
  <si>
    <t>SO2601-93604</t>
  </si>
  <si>
    <t>SAGUIA JACOB / 693 07 08 12</t>
  </si>
  <si>
    <t>IN2601-102911</t>
  </si>
  <si>
    <t>26/01/2026 16:48</t>
  </si>
  <si>
    <t>SO2601-93603</t>
  </si>
  <si>
    <t>YERIMA / 699 02 95 84</t>
  </si>
  <si>
    <t>IN2601-102910</t>
  </si>
  <si>
    <t>26/01/2026 16:47</t>
  </si>
  <si>
    <t>SO2601-93602</t>
  </si>
  <si>
    <t>BOLI 676710827</t>
  </si>
  <si>
    <t>IN2601-102909</t>
  </si>
  <si>
    <t>26/01/2026 16:42</t>
  </si>
  <si>
    <t>SO2601-93601</t>
  </si>
  <si>
    <t>JONATHAN 677103817</t>
  </si>
  <si>
    <t>IN2601-102908</t>
  </si>
  <si>
    <t>27/01/2026 14:08</t>
  </si>
  <si>
    <t>SO2601-93600</t>
  </si>
  <si>
    <t>FOTSO / 699958830</t>
  </si>
  <si>
    <t>CU2511-14167 -  FOTSO SIPOUFO JEANDE</t>
  </si>
  <si>
    <t>IN2601-102907</t>
  </si>
  <si>
    <t>SO2601-93599</t>
  </si>
  <si>
    <t>IN2601-102906</t>
  </si>
  <si>
    <t>26/01/2026 16:45</t>
  </si>
  <si>
    <t>SO2601-93598</t>
  </si>
  <si>
    <t>MME TCHACHOUA</t>
  </si>
  <si>
    <t>IN2601-102905</t>
  </si>
  <si>
    <t>26/01/2026 17:04</t>
  </si>
  <si>
    <t>SO2601-93597</t>
  </si>
  <si>
    <t>CU2407-00982 -  SOCIETÉ COOPERATIVE SIMPLIFIEE AGRO-PASTORALE DE MATOMB</t>
  </si>
  <si>
    <t>IN2601-102904</t>
  </si>
  <si>
    <t>26/01/2026 17:12</t>
  </si>
  <si>
    <t>SO2601-93596</t>
  </si>
  <si>
    <t>Mme ROUKAYATOU / 694472400</t>
  </si>
  <si>
    <t>CU2509-13919 -  ROUKAYATOU BOUBAKARI</t>
  </si>
  <si>
    <t>IN2601-102903</t>
  </si>
  <si>
    <t>26/01/2026 16:38</t>
  </si>
  <si>
    <t>SO2601-93595</t>
  </si>
  <si>
    <t>CU2408-01025 -  SOCAMES SARL (ROSE AKOUMBA ADJOMO)</t>
  </si>
  <si>
    <t>IN2601-102902</t>
  </si>
  <si>
    <t>CU2408-01025 -  SOCAMES SARL</t>
  </si>
  <si>
    <t>ROSE AKOUMBA ADJOMO</t>
  </si>
  <si>
    <t>26/01/2026 16:57</t>
  </si>
  <si>
    <t>SO2601-93594</t>
  </si>
  <si>
    <t>IN2601-102901</t>
  </si>
  <si>
    <t>SO2601-93593</t>
  </si>
  <si>
    <t>NTYAM / 699108468</t>
  </si>
  <si>
    <t>CU2509-13944 -  NTYAM AFANE JEAN JOEL</t>
  </si>
  <si>
    <t>IN2601-102900</t>
  </si>
  <si>
    <t>26/01/2026 16:27</t>
  </si>
  <si>
    <t>SO2601-93592</t>
  </si>
  <si>
    <t>TALOM DIEUDONNE 670320738</t>
  </si>
  <si>
    <t>CU2507-13432 -  TALOM NGUENO DIEUDONNE</t>
  </si>
  <si>
    <t>IN2601-102899</t>
  </si>
  <si>
    <t>26/01/2026 16:25</t>
  </si>
  <si>
    <t>SO2601-93591</t>
  </si>
  <si>
    <t>IN2601-102898</t>
  </si>
  <si>
    <t>26/01/2026 16:22</t>
  </si>
  <si>
    <t>SO2601-93589</t>
  </si>
  <si>
    <t>MME MBONE THERESE / 696 09 48 68</t>
  </si>
  <si>
    <t>IN2601-102896</t>
  </si>
  <si>
    <t>26/01/2026 16:30</t>
  </si>
  <si>
    <t>SO2601-93588</t>
  </si>
  <si>
    <t>JC 698651180</t>
  </si>
  <si>
    <t>IN2601-102895</t>
  </si>
  <si>
    <t>26/01/2026 16:23</t>
  </si>
  <si>
    <t>SO2601-93587</t>
  </si>
  <si>
    <t>IN2601-102894</t>
  </si>
  <si>
    <t>26/01/2026 16:11</t>
  </si>
  <si>
    <t>SO2601-93586</t>
  </si>
  <si>
    <t>M.NGNASSI CLAUDE 698737850</t>
  </si>
  <si>
    <t>IN2601-102893</t>
  </si>
  <si>
    <t>26/01/2026 16:09</t>
  </si>
  <si>
    <t>SO2601-93584</t>
  </si>
  <si>
    <t>ZPCL00061000 -  KENGNE FOTSO (KENGNE FOTSO)</t>
  </si>
  <si>
    <t>IN2601-102891</t>
  </si>
  <si>
    <t>ZPCL00061000 -  KENGNE FOTSO</t>
  </si>
  <si>
    <t>KENGNE FOTSO</t>
  </si>
  <si>
    <t>26/01/2026 16:05</t>
  </si>
  <si>
    <t>SO2601-93583</t>
  </si>
  <si>
    <t>CU2407-00308 -  NGO HOT EPSE BONA BERTHE</t>
  </si>
  <si>
    <t>IN2601-102890</t>
  </si>
  <si>
    <t>SO2601-93582</t>
  </si>
  <si>
    <t>M NGOULA 650800318</t>
  </si>
  <si>
    <t>IN2601-102889</t>
  </si>
  <si>
    <t>26/01/2026 16:02</t>
  </si>
  <si>
    <t>SO2601-93581</t>
  </si>
  <si>
    <t>KAMDEM CLARICE</t>
  </si>
  <si>
    <t>IN2601-102888</t>
  </si>
  <si>
    <t>SO2601-93580</t>
  </si>
  <si>
    <t>IN2601-102887</t>
  </si>
  <si>
    <t>26/01/2026 16:00</t>
  </si>
  <si>
    <t>SO2601-93579</t>
  </si>
  <si>
    <t>CU2510-14135 -  MANKU EPSE JONTZO ODETTE</t>
  </si>
  <si>
    <t>IN2601-102886</t>
  </si>
  <si>
    <t>26/01/2026 15:58</t>
  </si>
  <si>
    <t>SO2601-93578</t>
  </si>
  <si>
    <t>NDAM</t>
  </si>
  <si>
    <t>IN2601-102885</t>
  </si>
  <si>
    <t>26/01/2026 15:53</t>
  </si>
  <si>
    <t>SO2601-93577</t>
  </si>
  <si>
    <t>NOKIZE MOUOFO 6980319616</t>
  </si>
  <si>
    <t>CU2511-14176 -  NOKIZE MOUOFO JOVERLIN</t>
  </si>
  <si>
    <t>IN2601-102884</t>
  </si>
  <si>
    <t>26/01/2026 15:49</t>
  </si>
  <si>
    <t>SO2601-93576</t>
  </si>
  <si>
    <t>HAGRET JUNIOR 671356175</t>
  </si>
  <si>
    <t>IN2601-102883</t>
  </si>
  <si>
    <t>26/01/2026 15:48</t>
  </si>
  <si>
    <t>SO2601-93575</t>
  </si>
  <si>
    <t>IN2601-102882</t>
  </si>
  <si>
    <t>26/01/2026 15:42</t>
  </si>
  <si>
    <t>SO2601-93574</t>
  </si>
  <si>
    <t>CU2407-00701 -  KENNY KADJIEU PATRICK WILSON</t>
  </si>
  <si>
    <t>IN2601-102881</t>
  </si>
  <si>
    <t>26/01/2026 15:47</t>
  </si>
  <si>
    <t>SO2601-93573</t>
  </si>
  <si>
    <t>LESSING 659108883</t>
  </si>
  <si>
    <t>IN2601-102880</t>
  </si>
  <si>
    <t>26/01/2026 15:41</t>
  </si>
  <si>
    <t>SO2601-93572</t>
  </si>
  <si>
    <t>IN2601-102879</t>
  </si>
  <si>
    <t>26/01/2026 15:38</t>
  </si>
  <si>
    <t>SO2601-93571</t>
  </si>
  <si>
    <t>MIREILLE</t>
  </si>
  <si>
    <t>IN2601-102878</t>
  </si>
  <si>
    <t>26/01/2026 15:36</t>
  </si>
  <si>
    <t>SO2601-93570</t>
  </si>
  <si>
    <t>JUNIOR</t>
  </si>
  <si>
    <t>IN2601-102877</t>
  </si>
  <si>
    <t>26/01/2026 15:35</t>
  </si>
  <si>
    <t>SO2601-93569</t>
  </si>
  <si>
    <t>SCHAEU 697735409</t>
  </si>
  <si>
    <t>IN2601-102876</t>
  </si>
  <si>
    <t>26/01/2026 15:34</t>
  </si>
  <si>
    <t>SO2601-93568</t>
  </si>
  <si>
    <t>TIEMDJO FOKWA ALAIN / 675886640</t>
  </si>
  <si>
    <t>IN2601-102875</t>
  </si>
  <si>
    <t>SO2601-93567</t>
  </si>
  <si>
    <t>IN2601-102874</t>
  </si>
  <si>
    <t>26/01/2026 15:29</t>
  </si>
  <si>
    <t>SO2601-93566</t>
  </si>
  <si>
    <t>DAKAYI KANKAM FRANC</t>
  </si>
  <si>
    <t>IN2601-102873</t>
  </si>
  <si>
    <t>SO2601-93565</t>
  </si>
  <si>
    <t>M JEUFACK 693668960</t>
  </si>
  <si>
    <t>IN2601-102872</t>
  </si>
  <si>
    <t>26/01/2026 15:25</t>
  </si>
  <si>
    <t>SO2601-93564</t>
  </si>
  <si>
    <t>IN2601-102871</t>
  </si>
  <si>
    <t>SO2601-93563</t>
  </si>
  <si>
    <t>IN2601-102870</t>
  </si>
  <si>
    <t>26/01/2026 15:26</t>
  </si>
  <si>
    <t>SO2601-93562</t>
  </si>
  <si>
    <t>Mme FOKOUENG CELINE / 699293751</t>
  </si>
  <si>
    <t>IN2601-102869</t>
  </si>
  <si>
    <t>26/01/2026 15:22</t>
  </si>
  <si>
    <t>SO2601-93561</t>
  </si>
  <si>
    <t>KUATE VIVIANE 699205795</t>
  </si>
  <si>
    <t>IN2601-102868</t>
  </si>
  <si>
    <t>26/01/2026 15:27</t>
  </si>
  <si>
    <t>SO2601-93560</t>
  </si>
  <si>
    <t>IN2601-102867</t>
  </si>
  <si>
    <t>SO2601-93559</t>
  </si>
  <si>
    <t>WAMBA 694640180</t>
  </si>
  <si>
    <t>IN2601-102866</t>
  </si>
  <si>
    <t>26/01/2026 15:14</t>
  </si>
  <si>
    <t>SO2601-93558</t>
  </si>
  <si>
    <t>IN2601-102865</t>
  </si>
  <si>
    <t>26/01/2026 15:12</t>
  </si>
  <si>
    <t>SO2601-93557</t>
  </si>
  <si>
    <t>M. TEJIATSA</t>
  </si>
  <si>
    <t>CU2407-00158 -  TEJIATSA BLAISE</t>
  </si>
  <si>
    <t>IN2601-102864</t>
  </si>
  <si>
    <t>26/01/2026 15:11</t>
  </si>
  <si>
    <t>SO2601-93556</t>
  </si>
  <si>
    <t>IN2601-102863</t>
  </si>
  <si>
    <t>26/01/2026 15:10</t>
  </si>
  <si>
    <t>SO2601-93555</t>
  </si>
  <si>
    <t>IN2601-102862</t>
  </si>
  <si>
    <t>26/01/2026 16:03</t>
  </si>
  <si>
    <t>SO2601-93554</t>
  </si>
  <si>
    <t>kamsu 681630655</t>
  </si>
  <si>
    <t>IN2601-102861</t>
  </si>
  <si>
    <t>26/01/2026 15:03</t>
  </si>
  <si>
    <t>SO2601-93367</t>
  </si>
  <si>
    <t>IN2601-102860</t>
  </si>
  <si>
    <t>26/01/2026 15:00</t>
  </si>
  <si>
    <t>SO2601-93552</t>
  </si>
  <si>
    <t>IN2601-102859</t>
  </si>
  <si>
    <t>26/01/2026 15:01</t>
  </si>
  <si>
    <t>SO2601-93551</t>
  </si>
  <si>
    <t>MME EDIMA 674025813</t>
  </si>
  <si>
    <t>DJIOMBOG FRANCOIS BONHEUR</t>
  </si>
  <si>
    <t>IN2601-102858</t>
  </si>
  <si>
    <t>26/01/2026 14:58</t>
  </si>
  <si>
    <t>SO2601-93550</t>
  </si>
  <si>
    <t>NDEFFO TAGNE 672990734</t>
  </si>
  <si>
    <t>IN2601-102857</t>
  </si>
  <si>
    <t>26/01/2026 14:56</t>
  </si>
  <si>
    <t>SO2601-93549</t>
  </si>
  <si>
    <t>KAMGAN VICTOR 670780564</t>
  </si>
  <si>
    <t>IN2601-102856</t>
  </si>
  <si>
    <t>26/01/2026 14:54</t>
  </si>
  <si>
    <t>SO2601-93548</t>
  </si>
  <si>
    <t>TOGUEM HENRIETTE 691752489</t>
  </si>
  <si>
    <t>IN2601-102855</t>
  </si>
  <si>
    <t>SO2601-93547</t>
  </si>
  <si>
    <t>WABO NDEFFO 673061972</t>
  </si>
  <si>
    <t>IN2601-102854</t>
  </si>
  <si>
    <t>26/01/2026 14:52</t>
  </si>
  <si>
    <t>SO2601-93546</t>
  </si>
  <si>
    <t>IN2601-102853</t>
  </si>
  <si>
    <t>26/01/2026 14:48</t>
  </si>
  <si>
    <t>SO2601-93545</t>
  </si>
  <si>
    <t>NGO BAYEMI 697559180</t>
  </si>
  <si>
    <t>IN2601-102852</t>
  </si>
  <si>
    <t>SO2601-93544</t>
  </si>
  <si>
    <t>MME TOCHE 699510428</t>
  </si>
  <si>
    <t>IN2601-102851</t>
  </si>
  <si>
    <t>26/01/2026 14:43</t>
  </si>
  <si>
    <t>SO2601-93543</t>
  </si>
  <si>
    <t>IN2601-102850</t>
  </si>
  <si>
    <t>26/01/2026 14:45</t>
  </si>
  <si>
    <t>SO2601-93542</t>
  </si>
  <si>
    <t>BETIKENE CRISTEL / 697 85 46 42</t>
  </si>
  <si>
    <t>IN2601-102849</t>
  </si>
  <si>
    <t>28/01/2026 10:18</t>
  </si>
  <si>
    <t>SO2601-93541</t>
  </si>
  <si>
    <t>CU2407-00190 -  TELONG IGOR</t>
  </si>
  <si>
    <t>IN2601-102848</t>
  </si>
  <si>
    <t>SO2601-93540</t>
  </si>
  <si>
    <t>BLANDINE 672082158</t>
  </si>
  <si>
    <t>IN2601-102847</t>
  </si>
  <si>
    <t>SO2601-93539</t>
  </si>
  <si>
    <t>BERTRAND 657061141</t>
  </si>
  <si>
    <t>IN2601-102846</t>
  </si>
  <si>
    <t>26/01/2026 14:42</t>
  </si>
  <si>
    <t>SO2601-93538</t>
  </si>
  <si>
    <t>MME ENDALE MBONGO 688631386</t>
  </si>
  <si>
    <t>IN2601-102845</t>
  </si>
  <si>
    <t>26/01/2026 14:36</t>
  </si>
  <si>
    <t>SO2601-93537</t>
  </si>
  <si>
    <t>IN2601-102844</t>
  </si>
  <si>
    <t>26/01/2026 15:05</t>
  </si>
  <si>
    <t>SO2601-93536</t>
  </si>
  <si>
    <t>IN2601-102843</t>
  </si>
  <si>
    <t>26/01/2026 14:41</t>
  </si>
  <si>
    <t>SO2601-93535</t>
  </si>
  <si>
    <t>CU2510-14131 -  MADICAM SARL (STE MAFO AGRO-DIST CAM)</t>
  </si>
  <si>
    <t>IN2601-102842</t>
  </si>
  <si>
    <t>CU2510-14131 -  MADICAM SARL</t>
  </si>
  <si>
    <t>STE MAFO AGRO-DIST CAM</t>
  </si>
  <si>
    <t>26/01/2026 14:28</t>
  </si>
  <si>
    <t>SO2601-93534</t>
  </si>
  <si>
    <t>IN2601-102841</t>
  </si>
  <si>
    <t>SO2601-93533</t>
  </si>
  <si>
    <t>IN2601-102840</t>
  </si>
  <si>
    <t>SO2601-93532</t>
  </si>
  <si>
    <t>M NANKEM 651228915</t>
  </si>
  <si>
    <t>IN2601-102839</t>
  </si>
  <si>
    <t>26/01/2026 14:19</t>
  </si>
  <si>
    <t>SO2601-93531</t>
  </si>
  <si>
    <t>IN2601-102838</t>
  </si>
  <si>
    <t>26/01/2026 14:20</t>
  </si>
  <si>
    <t>SO2601-93530</t>
  </si>
  <si>
    <t>IN2601-102837</t>
  </si>
  <si>
    <t>26/01/2026 14:16</t>
  </si>
  <si>
    <t>SO2601-93529</t>
  </si>
  <si>
    <t>IN2601-102836</t>
  </si>
  <si>
    <t>26/01/2026 14:21</t>
  </si>
  <si>
    <t>SO2601-93528</t>
  </si>
  <si>
    <t>AGRO INGENERIE 652323370</t>
  </si>
  <si>
    <t>IN2601-102835</t>
  </si>
  <si>
    <t>26/01/2026 14:15</t>
  </si>
  <si>
    <t>SO2601-93527</t>
  </si>
  <si>
    <t>SOME 678026366</t>
  </si>
  <si>
    <t>IN2601-102834</t>
  </si>
  <si>
    <t>26/01/2026 14:13</t>
  </si>
  <si>
    <t>SO2601-93526</t>
  </si>
  <si>
    <t>IN2601-102833</t>
  </si>
  <si>
    <t>26/01/2026 14:11</t>
  </si>
  <si>
    <t>SO2601-93525</t>
  </si>
  <si>
    <t>IN2601-102832</t>
  </si>
  <si>
    <t>26/01/2026 14:09</t>
  </si>
  <si>
    <t>SO2601-93524</t>
  </si>
  <si>
    <t>IN2601-102831</t>
  </si>
  <si>
    <t>SO2601-93523</t>
  </si>
  <si>
    <t>NGADIMO 679348815</t>
  </si>
  <si>
    <t>IN2601-102830</t>
  </si>
  <si>
    <t>26/01/2026 14:18</t>
  </si>
  <si>
    <t>SO2601-93522</t>
  </si>
  <si>
    <t>KENTSOP ROMARIC 653846659</t>
  </si>
  <si>
    <t>IN2601-102829</t>
  </si>
  <si>
    <t>SO2601-93521</t>
  </si>
  <si>
    <t>IN2601-102828</t>
  </si>
  <si>
    <t>26/01/2026 14:04</t>
  </si>
  <si>
    <t>SO2601-93520</t>
  </si>
  <si>
    <t>MM BAKEBECK 695144675</t>
  </si>
  <si>
    <t>IN2601-102827</t>
  </si>
  <si>
    <t>26/01/2026 14:03</t>
  </si>
  <si>
    <t>SO2601-93519</t>
  </si>
  <si>
    <t>IN2601-102826</t>
  </si>
  <si>
    <t>26/01/2026 14:06</t>
  </si>
  <si>
    <t>SO2601-93518</t>
  </si>
  <si>
    <t>BARTHELEMY</t>
  </si>
  <si>
    <t>IN2601-102825</t>
  </si>
  <si>
    <t>26/01/2026 14:02</t>
  </si>
  <si>
    <t>SO2601-93517</t>
  </si>
  <si>
    <t>IN2601-102824</t>
  </si>
  <si>
    <t>26/01/2026 13:58</t>
  </si>
  <si>
    <t>SO2601-93516</t>
  </si>
  <si>
    <t>ETS DIVINE SERVICES / 655268540</t>
  </si>
  <si>
    <t>CU2507-13421 -  MBAIDJE GUN ABEL (ETS DIVINE SERVICE) (MBAIDJE GUN ABEL)</t>
  </si>
  <si>
    <t>IN2601-102823</t>
  </si>
  <si>
    <t>CU2507-13421 -  MBAIDJE GUN ABEL (ETS DIVINE SERVICE)</t>
  </si>
  <si>
    <t>MBAIDJE GUN ABEL</t>
  </si>
  <si>
    <t>26/01/2026 13:56</t>
  </si>
  <si>
    <t>SO2601-93515</t>
  </si>
  <si>
    <t>DJORWE LEON / 697485389</t>
  </si>
  <si>
    <t>IN2601-102822</t>
  </si>
  <si>
    <t>26/01/2026 14:10</t>
  </si>
  <si>
    <t>SO2601-93514</t>
  </si>
  <si>
    <t>CU2407-00891 -  Mbozeko Mathurin</t>
  </si>
  <si>
    <t>IN2601-102821</t>
  </si>
  <si>
    <t>26/01/2026 13:52</t>
  </si>
  <si>
    <t>SO2601-93513</t>
  </si>
  <si>
    <t>IN2601-102820</t>
  </si>
  <si>
    <t>SO2601-93512</t>
  </si>
  <si>
    <t>IN2601-102819</t>
  </si>
  <si>
    <t>26/01/2026 13:50</t>
  </si>
  <si>
    <t>SO2601-93511</t>
  </si>
  <si>
    <t>DJIAKOU</t>
  </si>
  <si>
    <t>IN2601-102818</t>
  </si>
  <si>
    <t>26/01/2026 13:47</t>
  </si>
  <si>
    <t>SO2601-93510</t>
  </si>
  <si>
    <t>IN2601-102817</t>
  </si>
  <si>
    <t>26/01/2026 13:44</t>
  </si>
  <si>
    <t>SO2601-93507</t>
  </si>
  <si>
    <t>IN2601-102814</t>
  </si>
  <si>
    <t>26/01/2026 13:34</t>
  </si>
  <si>
    <t>SO2601-93506</t>
  </si>
  <si>
    <t>ATANGANA ONDOA / 656995054</t>
  </si>
  <si>
    <t>IN2601-102813</t>
  </si>
  <si>
    <t>26/01/2026 13:49</t>
  </si>
  <si>
    <t>SO2601-93505</t>
  </si>
  <si>
    <t>ERIC</t>
  </si>
  <si>
    <t>IN2601-102812</t>
  </si>
  <si>
    <t>26/01/2026 13:31</t>
  </si>
  <si>
    <t>SO2601-93503</t>
  </si>
  <si>
    <t>IN2601-102810</t>
  </si>
  <si>
    <t>26/01/2026 13:23</t>
  </si>
  <si>
    <t>SO2601-93502</t>
  </si>
  <si>
    <t>SIMPLICE</t>
  </si>
  <si>
    <t>IN2601-102809</t>
  </si>
  <si>
    <t>26/01/2026 13:25</t>
  </si>
  <si>
    <t>SO2601-93501</t>
  </si>
  <si>
    <t>IN2601-102808</t>
  </si>
  <si>
    <t>26/01/2026 13:12</t>
  </si>
  <si>
    <t>SO2601-93500</t>
  </si>
  <si>
    <t>GEROME 699701011</t>
  </si>
  <si>
    <t>IN2601-102807</t>
  </si>
  <si>
    <t>26/01/2026 13:06</t>
  </si>
  <si>
    <t>SO2601-93499</t>
  </si>
  <si>
    <t>Mme MEFO</t>
  </si>
  <si>
    <t>IN2601-102806</t>
  </si>
  <si>
    <t>26/01/2026 13:01</t>
  </si>
  <si>
    <t>SO2601-93498</t>
  </si>
  <si>
    <t>MARIE 699671134</t>
  </si>
  <si>
    <t>IN2601-102805</t>
  </si>
  <si>
    <t>26/01/2026 12:46</t>
  </si>
  <si>
    <t>SO2601-93497</t>
  </si>
  <si>
    <t>IAO 688833080</t>
  </si>
  <si>
    <t>IN2601-102804</t>
  </si>
  <si>
    <t>26/01/2026 12:50</t>
  </si>
  <si>
    <t>SO2601-93496</t>
  </si>
  <si>
    <t>IN2601-102803</t>
  </si>
  <si>
    <t>SO2601-93495</t>
  </si>
  <si>
    <t>NKOUSSA STEPHANE 697564652</t>
  </si>
  <si>
    <t>IN2601-102802</t>
  </si>
  <si>
    <t>SO2601-93494</t>
  </si>
  <si>
    <t>CU2407-00989 -  NSUH EDWIN CHEO (ETS GILLI BROWN CONSTRUCTION)</t>
  </si>
  <si>
    <t>IN2601-102801</t>
  </si>
  <si>
    <t>CU2407-00989 -  NSUH EDWIN CHEO</t>
  </si>
  <si>
    <t>ETS GILLI BROWN CONSTRUCTION</t>
  </si>
  <si>
    <t>26/01/2026 12:47</t>
  </si>
  <si>
    <t>SO2601-93493</t>
  </si>
  <si>
    <t>AMEH GIDEON 670781594</t>
  </si>
  <si>
    <t>IN2601-102800</t>
  </si>
  <si>
    <t>26/01/2026 12:49</t>
  </si>
  <si>
    <t>SO2601-93492</t>
  </si>
  <si>
    <t>ARTHUR</t>
  </si>
  <si>
    <t>IN2601-102799</t>
  </si>
  <si>
    <t>26/01/2026 12:41</t>
  </si>
  <si>
    <t>SO2601-93491</t>
  </si>
  <si>
    <t>IN2601-102798</t>
  </si>
  <si>
    <t>26/01/2026 13:46</t>
  </si>
  <si>
    <t>SO2601-93490</t>
  </si>
  <si>
    <t>MESSI AMELIE 690781649</t>
  </si>
  <si>
    <t>IN2601-102797</t>
  </si>
  <si>
    <t>26/01/2026 12:39</t>
  </si>
  <si>
    <t>SO2601-93489</t>
  </si>
  <si>
    <t>IN2601-102796</t>
  </si>
  <si>
    <t>26/01/2026 12:37</t>
  </si>
  <si>
    <t>SO2601-93488</t>
  </si>
  <si>
    <t>IN2601-102795</t>
  </si>
  <si>
    <t>26/01/2026 12:34</t>
  </si>
  <si>
    <t>SO2601-93487</t>
  </si>
  <si>
    <t>IN2601-102794</t>
  </si>
  <si>
    <t>26/01/2026 12:31</t>
  </si>
  <si>
    <t>SO2601-93486</t>
  </si>
  <si>
    <t>IN2601-102793</t>
  </si>
  <si>
    <t>26/01/2026 12:51</t>
  </si>
  <si>
    <t>SO2601-93485</t>
  </si>
  <si>
    <t>CU2407-00803 -  NCHANOUE ARMEL</t>
  </si>
  <si>
    <t>IN2601-102792</t>
  </si>
  <si>
    <t>26/01/2026 12:29</t>
  </si>
  <si>
    <t>SO2601-93484</t>
  </si>
  <si>
    <t>MBENDI 675745113</t>
  </si>
  <si>
    <t>IN2601-102791</t>
  </si>
  <si>
    <t>SO2601-93482</t>
  </si>
  <si>
    <t>ALIDA</t>
  </si>
  <si>
    <t>IN2601-102789</t>
  </si>
  <si>
    <t>26/01/2026 12:20</t>
  </si>
  <si>
    <t>SO2601-93481</t>
  </si>
  <si>
    <t>IN2601-102788</t>
  </si>
  <si>
    <t>26/01/2026 12:28</t>
  </si>
  <si>
    <t>SO2601-93480</t>
  </si>
  <si>
    <t>BELEGUE CATHERINE 673117433</t>
  </si>
  <si>
    <t>IN2601-102787</t>
  </si>
  <si>
    <t>26/01/2026 12:15</t>
  </si>
  <si>
    <t>SO2601-93479</t>
  </si>
  <si>
    <t>IN2601-102786</t>
  </si>
  <si>
    <t>SO2601-93478</t>
  </si>
  <si>
    <t>KAMDEM JACQUES (ZDCL00091)</t>
  </si>
  <si>
    <t>IN2601-102785</t>
  </si>
  <si>
    <t>KAMDEM JACQUES</t>
  </si>
  <si>
    <t>ZDCL00091</t>
  </si>
  <si>
    <t>26/01/2026 12:14</t>
  </si>
  <si>
    <t>SO2601-93477</t>
  </si>
  <si>
    <t>CU2510-14126 -  ETS KOAGNE (KOAGNE TAGNE NIXON ROOSEVELT)</t>
  </si>
  <si>
    <t>IN2601-102784</t>
  </si>
  <si>
    <t>CU2510-14126 -  ETS KOAGNE</t>
  </si>
  <si>
    <t>KOAGNE TAGNE NIXON ROOSEVELT</t>
  </si>
  <si>
    <t>SO2601-93476</t>
  </si>
  <si>
    <t>IN2601-102783</t>
  </si>
  <si>
    <t>26/01/2026 12:17</t>
  </si>
  <si>
    <t>SO2601-93475</t>
  </si>
  <si>
    <t>PAUL 674646583</t>
  </si>
  <si>
    <t>IN2601-102782</t>
  </si>
  <si>
    <t>26/01/2026 12:12</t>
  </si>
  <si>
    <t>SO2601-93474</t>
  </si>
  <si>
    <t>herve675451544</t>
  </si>
  <si>
    <t>IN2601-102781</t>
  </si>
  <si>
    <t>26/01/2026 12:16</t>
  </si>
  <si>
    <t>SO2601-93473</t>
  </si>
  <si>
    <t>LEO</t>
  </si>
  <si>
    <t>IN2601-102780</t>
  </si>
  <si>
    <t>26/01/2026 12:10</t>
  </si>
  <si>
    <t>SO2601-93472</t>
  </si>
  <si>
    <t>IN2601-102779</t>
  </si>
  <si>
    <t>26/01/2026 12:26</t>
  </si>
  <si>
    <t>SO2601-93471</t>
  </si>
  <si>
    <t>IN2601-102778</t>
  </si>
  <si>
    <t>SO2601-93470</t>
  </si>
  <si>
    <t>IN2601-102777</t>
  </si>
  <si>
    <t>SO2601-93469</t>
  </si>
  <si>
    <t>FRANCKLIN</t>
  </si>
  <si>
    <t>IN2601-102776</t>
  </si>
  <si>
    <t>SO2601-93468</t>
  </si>
  <si>
    <t>IN2601-102775</t>
  </si>
  <si>
    <t>26/01/2026 12:22</t>
  </si>
  <si>
    <t>SO2601-93467</t>
  </si>
  <si>
    <t>M.EPEE NGANDO 699671134</t>
  </si>
  <si>
    <t>IN2601-102774</t>
  </si>
  <si>
    <t>26/01/2026 12:04</t>
  </si>
  <si>
    <t>SO2601-93466</t>
  </si>
  <si>
    <t>CU2407-00464 -  PROV MERVEILLE +</t>
  </si>
  <si>
    <t>IN2601-102773</t>
  </si>
  <si>
    <t>26/01/2026 14:50</t>
  </si>
  <si>
    <t>SO2601-93465</t>
  </si>
  <si>
    <t>IN2601-102772</t>
  </si>
  <si>
    <t>26/01/2026 12:09</t>
  </si>
  <si>
    <t>SO2601-93464</t>
  </si>
  <si>
    <t>DIFO 695501175</t>
  </si>
  <si>
    <t>IN2601-102771</t>
  </si>
  <si>
    <t>26/01/2026 12:02</t>
  </si>
  <si>
    <t>SO2601-93463</t>
  </si>
  <si>
    <t>EDOGUE NDOH ODILE 673446296</t>
  </si>
  <si>
    <t>IN2601-102770</t>
  </si>
  <si>
    <t>26/01/2026 12:03</t>
  </si>
  <si>
    <t>SO2601-93462</t>
  </si>
  <si>
    <t>TIABO BRICE 653579854</t>
  </si>
  <si>
    <t>IN2601-102769</t>
  </si>
  <si>
    <t>26/01/2026 12:13</t>
  </si>
  <si>
    <t>SO2601-93461</t>
  </si>
  <si>
    <t>IN2601-102768</t>
  </si>
  <si>
    <t>26/01/2026 11:59</t>
  </si>
  <si>
    <t>SO2601-93460</t>
  </si>
  <si>
    <t>IN2601-102767</t>
  </si>
  <si>
    <t>SO2601-93459</t>
  </si>
  <si>
    <t>JOEL</t>
  </si>
  <si>
    <t>IN2601-102766</t>
  </si>
  <si>
    <t>SO2601-93458</t>
  </si>
  <si>
    <t>Talom 691186235</t>
  </si>
  <si>
    <t>IN2601-102765</t>
  </si>
  <si>
    <t>26/01/2026 11:53</t>
  </si>
  <si>
    <t>SO2601-93457</t>
  </si>
  <si>
    <t>NDIA 677911250</t>
  </si>
  <si>
    <t>IN2601-102764</t>
  </si>
  <si>
    <t>26/01/2026 11:52</t>
  </si>
  <si>
    <t>SO2601-93456</t>
  </si>
  <si>
    <t>LEO PENFIANG 679700824</t>
  </si>
  <si>
    <t>IN2601-102763</t>
  </si>
  <si>
    <t>26/01/2026 11:49</t>
  </si>
  <si>
    <t>SO2601-93455</t>
  </si>
  <si>
    <t>FOUNG 683751051</t>
  </si>
  <si>
    <t>IN2601-102762</t>
  </si>
  <si>
    <t>26/01/2026 11:47</t>
  </si>
  <si>
    <t>SO2601-93454</t>
  </si>
  <si>
    <t>NANG OTTOU / 691235160</t>
  </si>
  <si>
    <t>IN2601-102761</t>
  </si>
  <si>
    <t>26/01/2026 11:48</t>
  </si>
  <si>
    <t>SO2601-93453</t>
  </si>
  <si>
    <t>CU2407-00318 -  FOMKAN TABOUE WILLIAM RAOUL (ETS PRO LA GLOIRE)</t>
  </si>
  <si>
    <t>IN2601-102760</t>
  </si>
  <si>
    <t>CU2407-00318 -  FOMKAN TABOUE WILLIAM RAOUL</t>
  </si>
  <si>
    <t>ETS PRO LA GLOIRE</t>
  </si>
  <si>
    <t>26/01/2026 11:44</t>
  </si>
  <si>
    <t>SO2601-93452</t>
  </si>
  <si>
    <t>IN2601-102759</t>
  </si>
  <si>
    <t>SO2601-93451</t>
  </si>
  <si>
    <t>CU2407-00991 -  PROVENDERIE EXTRA PRODUCTION</t>
  </si>
  <si>
    <t>IN2601-102758</t>
  </si>
  <si>
    <t>26/01/2026 12:08</t>
  </si>
  <si>
    <t>SO2601-93450</t>
  </si>
  <si>
    <t>NGUEKAM MAXI 659824316</t>
  </si>
  <si>
    <t>IN2601-102757</t>
  </si>
  <si>
    <t>26/01/2026 11:41</t>
  </si>
  <si>
    <t>SO2601-93449</t>
  </si>
  <si>
    <t>KOMBANG ALEXANDRE / 699177804</t>
  </si>
  <si>
    <t>CU2508-13575 -  KOMBANG ALEXANDRE</t>
  </si>
  <si>
    <t>IN2601-102756</t>
  </si>
  <si>
    <t>SO2601-93448</t>
  </si>
  <si>
    <t>MBOCOU MARGUERITE 679891073</t>
  </si>
  <si>
    <t>IN2601-102755</t>
  </si>
  <si>
    <t>26/01/2026 11:36</t>
  </si>
  <si>
    <t>SO2601-93447</t>
  </si>
  <si>
    <t>CU2601-14325 -  TCHONBEUA AUGUSTIN</t>
  </si>
  <si>
    <t>IN2601-102754</t>
  </si>
  <si>
    <t>SO2601-93446</t>
  </si>
  <si>
    <t>MBONNING PAUL 680146094</t>
  </si>
  <si>
    <t>IN2601-102753</t>
  </si>
  <si>
    <t>26/01/2026 11:39</t>
  </si>
  <si>
    <t>SO2601-93445</t>
  </si>
  <si>
    <t>LUKONG GEORGES 6577927499</t>
  </si>
  <si>
    <t>IN2601-102752</t>
  </si>
  <si>
    <t>26/01/2026 11:35</t>
  </si>
  <si>
    <t>SO2601-93444</t>
  </si>
  <si>
    <t>CU2407-00992 -  Olivier TASSO</t>
  </si>
  <si>
    <t>IN2601-102751</t>
  </si>
  <si>
    <t>26/01/2026 11:30</t>
  </si>
  <si>
    <t>SO2601-93443</t>
  </si>
  <si>
    <t>IN2601-102750</t>
  </si>
  <si>
    <t>SO2601-93442</t>
  </si>
  <si>
    <t>IN2601-102749</t>
  </si>
  <si>
    <t>26/01/2026 11:27</t>
  </si>
  <si>
    <t>SO2601-93441</t>
  </si>
  <si>
    <t>CU2407-00900 -  PROVENDERIE TSOUAS OBALA</t>
  </si>
  <si>
    <t>IN2601-102748</t>
  </si>
  <si>
    <t>26/01/2026 11:45</t>
  </si>
  <si>
    <t>SO2601-93440</t>
  </si>
  <si>
    <t>IN2601-102747</t>
  </si>
  <si>
    <t>26/01/2026 11:21</t>
  </si>
  <si>
    <t>SO2601-93439</t>
  </si>
  <si>
    <t>IN2601-102746</t>
  </si>
  <si>
    <t>26/01/2026 11:28</t>
  </si>
  <si>
    <t>SO2601-93438</t>
  </si>
  <si>
    <t>CU2407-00627 -  FRANK PRIX</t>
  </si>
  <si>
    <t>IN2601-102745</t>
  </si>
  <si>
    <t>26/01/2026 11:23</t>
  </si>
  <si>
    <t>SO2601-93437</t>
  </si>
  <si>
    <t>IN2601-102744</t>
  </si>
  <si>
    <t>26/01/2026 11:19</t>
  </si>
  <si>
    <t>SO2601-93435</t>
  </si>
  <si>
    <t>GANGNE AGATHE 675110454</t>
  </si>
  <si>
    <t>IN2601-102742</t>
  </si>
  <si>
    <t>26/01/2026 11:16</t>
  </si>
  <si>
    <t>SO2601-93434</t>
  </si>
  <si>
    <t>CU2503-01271 -  YENDE MONGBET ZAKARIAOU</t>
  </si>
  <si>
    <t>IN2601-102741</t>
  </si>
  <si>
    <t>SO2601-93433</t>
  </si>
  <si>
    <t>IN2601-102740</t>
  </si>
  <si>
    <t>26/01/2026 11:15</t>
  </si>
  <si>
    <t>SO2601-93432</t>
  </si>
  <si>
    <t>NDOUGOM FRANCIS 671400504</t>
  </si>
  <si>
    <t>IN2601-102739</t>
  </si>
  <si>
    <t>26/01/2026 11:20</t>
  </si>
  <si>
    <t>SO2601-93431</t>
  </si>
  <si>
    <t>WAGNIA 676309211</t>
  </si>
  <si>
    <t>IN2601-102738</t>
  </si>
  <si>
    <t>26/01/2026 11:10</t>
  </si>
  <si>
    <t>SO2601-93430</t>
  </si>
  <si>
    <t>CU2407-00317 -  SCOOPS EA2PEAL (SOCIETE COORPERATIVE SIMPLIFIEE DES ENTREPRENEURS AMBITIEUX ET POPUL…</t>
  </si>
  <si>
    <t>IN2601-102737</t>
  </si>
  <si>
    <t>CU2407-00317 -  SCOOPS EA2PEAL</t>
  </si>
  <si>
    <t>SOCIETE COORPERATIVE SIMPLIFIEE DES ENTREPRENEURS AMBITIEUX ET POPULAIRES DES PRODUITS DE L’ÉLEVAGE ET L’AGRICULTURE DU LITTORAL</t>
  </si>
  <si>
    <t>26/01/2026 11:11</t>
  </si>
  <si>
    <t>SO2601-93429</t>
  </si>
  <si>
    <t>IN2601-102736</t>
  </si>
  <si>
    <t>26/01/2026 11:12</t>
  </si>
  <si>
    <t>SO2601-93428</t>
  </si>
  <si>
    <t>EBOSSO</t>
  </si>
  <si>
    <t>CU2407-00166 -  NDOUPPE EBOSSO PASCAL</t>
  </si>
  <si>
    <t>IN2601-102735</t>
  </si>
  <si>
    <t>26/01/2026 11:05</t>
  </si>
  <si>
    <t>SO2601-93427</t>
  </si>
  <si>
    <t>SCOOPS PROTRAPRO-AG</t>
  </si>
  <si>
    <t>IN2601-102734</t>
  </si>
  <si>
    <t>26/01/2026 11:09</t>
  </si>
  <si>
    <t>SO2601-93426</t>
  </si>
  <si>
    <t>IN2601-102733</t>
  </si>
  <si>
    <t>26/01/2026 10:57</t>
  </si>
  <si>
    <t>SO2601-93425</t>
  </si>
  <si>
    <t>IN2601-102732</t>
  </si>
  <si>
    <t>26/01/2026 10:58</t>
  </si>
  <si>
    <t>SO2601-93424</t>
  </si>
  <si>
    <t>CU2407-00613 -  FOTIE NGOMPE DANIEL</t>
  </si>
  <si>
    <t>IN2601-102731</t>
  </si>
  <si>
    <t>26/01/2026 10:59</t>
  </si>
  <si>
    <t>SO2601-93423</t>
  </si>
  <si>
    <t>SHU GODWILL 651689687</t>
  </si>
  <si>
    <t>IN2601-102730</t>
  </si>
  <si>
    <t>26/01/2026 11:00</t>
  </si>
  <si>
    <t>SO2601-93422</t>
  </si>
  <si>
    <t>IN2601-102729</t>
  </si>
  <si>
    <t>26/01/2026 10:50</t>
  </si>
  <si>
    <t>SO2601-93421</t>
  </si>
  <si>
    <t>CU2407-00988 -  R AND J INVEST</t>
  </si>
  <si>
    <t>IN2601-102728</t>
  </si>
  <si>
    <t>26/01/2026 10:53</t>
  </si>
  <si>
    <t>SO2601-93420</t>
  </si>
  <si>
    <t>KOUAM TITE 677554086</t>
  </si>
  <si>
    <t>IN2601-102727</t>
  </si>
  <si>
    <t>26/01/2026 10:51</t>
  </si>
  <si>
    <t>SO2601-93419</t>
  </si>
  <si>
    <t>IN2601-102726</t>
  </si>
  <si>
    <t>26/01/2026 10:47</t>
  </si>
  <si>
    <t>SO2601-93418</t>
  </si>
  <si>
    <t>IN2601-102725</t>
  </si>
  <si>
    <t>SO2601-93417</t>
  </si>
  <si>
    <t>CU2601-14253 -  ESSAH JUDITH</t>
  </si>
  <si>
    <t>IN2601-102724</t>
  </si>
  <si>
    <t>SO2601-93416</t>
  </si>
  <si>
    <t>IN2601-102723</t>
  </si>
  <si>
    <t>26/01/2026 10:46</t>
  </si>
  <si>
    <t>SO2601-93415</t>
  </si>
  <si>
    <t>CU2508-13450 -  BANKWI ETIENNE</t>
  </si>
  <si>
    <t>IN2601-102722</t>
  </si>
  <si>
    <t>SO2601-93414</t>
  </si>
  <si>
    <t>IN2601-102721</t>
  </si>
  <si>
    <t>26/01/2026 10:44</t>
  </si>
  <si>
    <t>SO2601-93413</t>
  </si>
  <si>
    <t>CU2508-13708 -  BANGA YENE RUTH GAEL</t>
  </si>
  <si>
    <t>IN2601-102720</t>
  </si>
  <si>
    <t>26/01/2026 11:22</t>
  </si>
  <si>
    <t>SO2601-93412</t>
  </si>
  <si>
    <t>BAKAM FOTSO 680011603</t>
  </si>
  <si>
    <t>IN2601-102719</t>
  </si>
  <si>
    <t>SO2601-93411</t>
  </si>
  <si>
    <t>IN2601-102718</t>
  </si>
  <si>
    <t>26/01/2026 10:42</t>
  </si>
  <si>
    <t>SO2601-93410</t>
  </si>
  <si>
    <t>GIC PRODEV</t>
  </si>
  <si>
    <t>IN2601-102717</t>
  </si>
  <si>
    <t>SO2601-93409</t>
  </si>
  <si>
    <t>CU2502-01240 -  SOP EVELYNE</t>
  </si>
  <si>
    <t>IN2601-102716</t>
  </si>
  <si>
    <t>26/01/2026 10:36</t>
  </si>
  <si>
    <t>SO2601-93408</t>
  </si>
  <si>
    <t>IN2601-102715</t>
  </si>
  <si>
    <t>SO2601-93407</t>
  </si>
  <si>
    <t>IN2601-102714</t>
  </si>
  <si>
    <t>26/01/2026 10:35</t>
  </si>
  <si>
    <t>SO2601-93406</t>
  </si>
  <si>
    <t>CU2504-01324 -  MAYOUDOM GATCHOUSSI EPSE FEZEU</t>
  </si>
  <si>
    <t>IN2601-102713</t>
  </si>
  <si>
    <t>26/01/2026 10:33</t>
  </si>
  <si>
    <t>SO2601-93405</t>
  </si>
  <si>
    <t>IN2601-102712</t>
  </si>
  <si>
    <t>26/01/2026 10:37</t>
  </si>
  <si>
    <t>SO2601-93404</t>
  </si>
  <si>
    <t>IN2601-102711</t>
  </si>
  <si>
    <t>SO2601-93403</t>
  </si>
  <si>
    <t>IN2601-102710</t>
  </si>
  <si>
    <t>26/01/2026 10:21</t>
  </si>
  <si>
    <t>SO2601-93402</t>
  </si>
  <si>
    <t>IN2601-102709</t>
  </si>
  <si>
    <t>26/01/2026 10:20</t>
  </si>
  <si>
    <t>SO2601-93401</t>
  </si>
  <si>
    <t>IN2601-102708</t>
  </si>
  <si>
    <t>SO2601-93400</t>
  </si>
  <si>
    <t>IN2601-102707</t>
  </si>
  <si>
    <t>26/01/2026 10:19</t>
  </si>
  <si>
    <t>SO2601-93399</t>
  </si>
  <si>
    <t>CU2601-14261 -  DJOUMESSI JULES BERTRAND</t>
  </si>
  <si>
    <t>IN2601-102706</t>
  </si>
  <si>
    <t>26/01/2026 10:17</t>
  </si>
  <si>
    <t>SO2601-93398</t>
  </si>
  <si>
    <t>ANSELME</t>
  </si>
  <si>
    <t>IN2601-102705</t>
  </si>
  <si>
    <t>26/01/2026 10:12</t>
  </si>
  <si>
    <t>SO2601-93397</t>
  </si>
  <si>
    <t>IN2601-102704</t>
  </si>
  <si>
    <t>SO2601-93396</t>
  </si>
  <si>
    <t>PERE</t>
  </si>
  <si>
    <t>IN2601-102703</t>
  </si>
  <si>
    <t>26/01/2026 10:10</t>
  </si>
  <si>
    <t>SO2601-93395</t>
  </si>
  <si>
    <t>CU2407-00855 -  WABO MICHEL</t>
  </si>
  <si>
    <t>IN2601-102702</t>
  </si>
  <si>
    <t>26/01/2026 10:13</t>
  </si>
  <si>
    <t>SO2601-93394</t>
  </si>
  <si>
    <t>STEVE</t>
  </si>
  <si>
    <t>IN2601-102701</t>
  </si>
  <si>
    <t>26/01/2026 10:08</t>
  </si>
  <si>
    <t>SO2601-93393</t>
  </si>
  <si>
    <t>FOGNO</t>
  </si>
  <si>
    <t>IN2601-102700</t>
  </si>
  <si>
    <t>26/01/2026 10:06</t>
  </si>
  <si>
    <t>SO2601-93392</t>
  </si>
  <si>
    <t>CU2407-00220 -  FON EMMANUEL FOKUM</t>
  </si>
  <si>
    <t>IN2601-102699</t>
  </si>
  <si>
    <t>26/01/2026 10:07</t>
  </si>
  <si>
    <t>SO2601-93391</t>
  </si>
  <si>
    <t>NGONE</t>
  </si>
  <si>
    <t>IN2601-102698</t>
  </si>
  <si>
    <t>26/01/2026 09:56</t>
  </si>
  <si>
    <t>SO2601-93390</t>
  </si>
  <si>
    <t>CU2506-13388 -  NANFACK FRANC ARMEL</t>
  </si>
  <si>
    <t>IN2601-102697</t>
  </si>
  <si>
    <t>26/01/2026 10:18</t>
  </si>
  <si>
    <t>SO2601-93389</t>
  </si>
  <si>
    <t>IN2601-102696</t>
  </si>
  <si>
    <t>26/01/2026 10:05</t>
  </si>
  <si>
    <t>SO2601-93388</t>
  </si>
  <si>
    <t>IN2601-102695</t>
  </si>
  <si>
    <t>26/01/2026 09:53</t>
  </si>
  <si>
    <t>SO2601-93387</t>
  </si>
  <si>
    <t>WAMBA IDRISS 693771918</t>
  </si>
  <si>
    <t>IN2601-102694</t>
  </si>
  <si>
    <t>26/01/2026 09:44</t>
  </si>
  <si>
    <t>SO2601-93386</t>
  </si>
  <si>
    <t>FOSSI BORIS 683073331</t>
  </si>
  <si>
    <t>IN2601-102693</t>
  </si>
  <si>
    <t>SO2601-93385</t>
  </si>
  <si>
    <t>TEMO KOUONTCHO JOSEPH (ZDCL00114)</t>
  </si>
  <si>
    <t>IN2601-102692</t>
  </si>
  <si>
    <t>TEMO KOUONTCHO JOSEPH</t>
  </si>
  <si>
    <t>ZDCL00114</t>
  </si>
  <si>
    <t>26/01/2026 09:41</t>
  </si>
  <si>
    <t>SO2601-93384</t>
  </si>
  <si>
    <t>IN2601-102691</t>
  </si>
  <si>
    <t>26/01/2026 09:52</t>
  </si>
  <si>
    <t>SO2601-93383</t>
  </si>
  <si>
    <t>CU2508-13758 -  KAKABI ANDRE BLAISE</t>
  </si>
  <si>
    <t>IN2601-102690</t>
  </si>
  <si>
    <t>26/01/2026 09:51</t>
  </si>
  <si>
    <t>SO2601-93382</t>
  </si>
  <si>
    <t>IN2601-102689</t>
  </si>
  <si>
    <t>SO2601-93381</t>
  </si>
  <si>
    <t>IN2601-102688</t>
  </si>
  <si>
    <t>26/01/2026 09:39</t>
  </si>
  <si>
    <t>SO2601-93380</t>
  </si>
  <si>
    <t>IN2601-102687</t>
  </si>
  <si>
    <t>SO2601-93379</t>
  </si>
  <si>
    <t>CLOVIS</t>
  </si>
  <si>
    <t>IN2601-102686</t>
  </si>
  <si>
    <t>26/01/2026 09:43</t>
  </si>
  <si>
    <t>SO2601-93378</t>
  </si>
  <si>
    <t>IN2601-102685</t>
  </si>
  <si>
    <t>26/01/2026 09:37</t>
  </si>
  <si>
    <t>SO2601-93377</t>
  </si>
  <si>
    <t>jonas</t>
  </si>
  <si>
    <t>IN2601-102684</t>
  </si>
  <si>
    <t>SO2601-93376</t>
  </si>
  <si>
    <t>IN2601-102683</t>
  </si>
  <si>
    <t>26/01/2026 09:35</t>
  </si>
  <si>
    <t>SO2601-93375</t>
  </si>
  <si>
    <t>CU2504-01313 -  NOULEM BERNARD</t>
  </si>
  <si>
    <t>IN2601-102682</t>
  </si>
  <si>
    <t>SO2601-93374</t>
  </si>
  <si>
    <t>MME TCHAMADEU S 672423995</t>
  </si>
  <si>
    <t>IN2601-102681</t>
  </si>
  <si>
    <t>26/01/2026 09:33</t>
  </si>
  <si>
    <t>SO2601-93373</t>
  </si>
  <si>
    <t>MEFE 671309966</t>
  </si>
  <si>
    <t>IN2601-102680</t>
  </si>
  <si>
    <t>26/01/2026 09:31</t>
  </si>
  <si>
    <t>SO2601-93372</t>
  </si>
  <si>
    <t>AGNES ATONG</t>
  </si>
  <si>
    <t>IN2601-102679</t>
  </si>
  <si>
    <t>26/01/2026 09:30</t>
  </si>
  <si>
    <t>SO2601-93371</t>
  </si>
  <si>
    <t>DJOUFACK 683275243</t>
  </si>
  <si>
    <t>IN2601-102678</t>
  </si>
  <si>
    <t>26/01/2026 09:29</t>
  </si>
  <si>
    <t>SO2601-93370</t>
  </si>
  <si>
    <t>grace</t>
  </si>
  <si>
    <t>IN2601-102677</t>
  </si>
  <si>
    <t>SO2601-93369</t>
  </si>
  <si>
    <t>IN2601-102676</t>
  </si>
  <si>
    <t>SO2601-93368</t>
  </si>
  <si>
    <t>KEMEKA 694707196</t>
  </si>
  <si>
    <t>IN2601-102675</t>
  </si>
  <si>
    <t>26/01/2026 09:23</t>
  </si>
  <si>
    <t>SO2601-93910</t>
  </si>
  <si>
    <t>IGOR 694316390</t>
  </si>
  <si>
    <t>IN2601-102674</t>
  </si>
  <si>
    <t>26/01/2026 09:21</t>
  </si>
  <si>
    <t>SO2601-93366</t>
  </si>
  <si>
    <t>MBESSA SYLVAIN 693466507</t>
  </si>
  <si>
    <t>IN2601-102673</t>
  </si>
  <si>
    <t>26/01/2026 09:28</t>
  </si>
  <si>
    <t>SO2601-93365</t>
  </si>
  <si>
    <t>IN2601-102672</t>
  </si>
  <si>
    <t>26/01/2026 09:19</t>
  </si>
  <si>
    <t>SO2601-93364</t>
  </si>
  <si>
    <t>IN2601-102671</t>
  </si>
  <si>
    <t>26/01/2026 09:17</t>
  </si>
  <si>
    <t>SO2601-93363</t>
  </si>
  <si>
    <t>KAMTO GERTRUDE 675741507</t>
  </si>
  <si>
    <t>IN2601-102670</t>
  </si>
  <si>
    <t>SO2601-93362</t>
  </si>
  <si>
    <t>IN2601-102669</t>
  </si>
  <si>
    <t>26/01/2026 09:16</t>
  </si>
  <si>
    <t>SO2601-93361</t>
  </si>
  <si>
    <t>CU2407-00610 -  FOTAGI</t>
  </si>
  <si>
    <t>IN2601-102668</t>
  </si>
  <si>
    <t>SO2601-93360</t>
  </si>
  <si>
    <t>SONTSA MAIVA 679544367</t>
  </si>
  <si>
    <t>IN2601-102667</t>
  </si>
  <si>
    <t>SO2601-93359</t>
  </si>
  <si>
    <t>CU2407-00892 -  GUEMNING THEODORE</t>
  </si>
  <si>
    <t>IN2601-102666</t>
  </si>
  <si>
    <t>SO2601-93358</t>
  </si>
  <si>
    <t>SIMO</t>
  </si>
  <si>
    <t>IN2601-102665</t>
  </si>
  <si>
    <t>26/01/2026 09:15</t>
  </si>
  <si>
    <t>SO2601-93357</t>
  </si>
  <si>
    <t>CU2407-00730 -  PROV CLBC</t>
  </si>
  <si>
    <t>IN2601-102664</t>
  </si>
  <si>
    <t>26/01/2026 09:14</t>
  </si>
  <si>
    <t>SO2601-93356</t>
  </si>
  <si>
    <t>IN2601-102663</t>
  </si>
  <si>
    <t>26/01/2026 09:13</t>
  </si>
  <si>
    <t>SO2601-93355</t>
  </si>
  <si>
    <t>IN2601-102662</t>
  </si>
  <si>
    <t>SO2601-93354</t>
  </si>
  <si>
    <t>TUEAM FRANCIS 690830686</t>
  </si>
  <si>
    <t>IN2601-102661</t>
  </si>
  <si>
    <t>SO2601-93353</t>
  </si>
  <si>
    <t>IN2601-102660</t>
  </si>
  <si>
    <t>SO2601-93352</t>
  </si>
  <si>
    <t>IN2601-102659</t>
  </si>
  <si>
    <t>26/01/2026 09:11</t>
  </si>
  <si>
    <t>SO2601-93351</t>
  </si>
  <si>
    <t>CU2407-00290 -  M. SONFACK FERDINANDETS LES ACCOUVEURS REUNIS</t>
  </si>
  <si>
    <t>IN2601-102658</t>
  </si>
  <si>
    <t>26/01/2026 09:04</t>
  </si>
  <si>
    <t>SO2601-93350</t>
  </si>
  <si>
    <t>IN2601-102657</t>
  </si>
  <si>
    <t>SO2601-93349</t>
  </si>
  <si>
    <t>DOUMBA HARRY 675963224</t>
  </si>
  <si>
    <t>IN2601-102656</t>
  </si>
  <si>
    <t>SO2601-93348</t>
  </si>
  <si>
    <t>IN2601-102655</t>
  </si>
  <si>
    <t>07/02/2026 09:54</t>
  </si>
  <si>
    <t>SO2601-93347</t>
  </si>
  <si>
    <t>NGASSA MBAKOP 673017020</t>
  </si>
  <si>
    <t>IN2601-102654</t>
  </si>
  <si>
    <t>SO2601-93346</t>
  </si>
  <si>
    <t>IN2601-102653</t>
  </si>
  <si>
    <t>26/01/2026 09:01</t>
  </si>
  <si>
    <t>SO2601-93345</t>
  </si>
  <si>
    <t>IN2601-102652</t>
  </si>
  <si>
    <t>26/01/2026 08:58</t>
  </si>
  <si>
    <t>SO2601-93344</t>
  </si>
  <si>
    <t>NAYO 691129616</t>
  </si>
  <si>
    <t>IN2601-102651</t>
  </si>
  <si>
    <t>26/01/2026 08:54</t>
  </si>
  <si>
    <t>SO2601-93343</t>
  </si>
  <si>
    <t>IN2601-102650</t>
  </si>
  <si>
    <t>26/01/2026 09:06</t>
  </si>
  <si>
    <t>SO2601-93342</t>
  </si>
  <si>
    <t>IN2601-102649</t>
  </si>
  <si>
    <t>26/01/2026 09:20</t>
  </si>
  <si>
    <t>SO2601-93341</t>
  </si>
  <si>
    <t>NKWALONG ROSINE</t>
  </si>
  <si>
    <t>IN2601-102648</t>
  </si>
  <si>
    <t>SO2601-93340</t>
  </si>
  <si>
    <t>KAKO P 650862785</t>
  </si>
  <si>
    <t>IN2601-102647</t>
  </si>
  <si>
    <t>26/01/2026 08:51</t>
  </si>
  <si>
    <t>SO2601-93339</t>
  </si>
  <si>
    <t>IN2601-102646</t>
  </si>
  <si>
    <t>26/01/2026 08:56</t>
  </si>
  <si>
    <t>SO2601-93338</t>
  </si>
  <si>
    <t>MIAFFO 692147909</t>
  </si>
  <si>
    <t>IN2601-102645</t>
  </si>
  <si>
    <t>26/01/2026 08:48</t>
  </si>
  <si>
    <t>SO2601-93337</t>
  </si>
  <si>
    <t>IN2601-102644</t>
  </si>
  <si>
    <t>26/01/2026 08:40</t>
  </si>
  <si>
    <t>SO2601-93336</t>
  </si>
  <si>
    <t>FONANG</t>
  </si>
  <si>
    <t>IN2601-102643</t>
  </si>
  <si>
    <t>26/01/2026 08:42</t>
  </si>
  <si>
    <t>SO2601-93335</t>
  </si>
  <si>
    <t>CU2504-13354 -  PROVENDERIE FODJO</t>
  </si>
  <si>
    <t>IN2601-102642</t>
  </si>
  <si>
    <t>SO2601-93334</t>
  </si>
  <si>
    <t>IN2601-102641</t>
  </si>
  <si>
    <t>26/01/2026 08:39</t>
  </si>
  <si>
    <t>SO2601-93333</t>
  </si>
  <si>
    <t>IN2601-102640</t>
  </si>
  <si>
    <t>SO2601-93331</t>
  </si>
  <si>
    <t>MINIMIKIM MATHIAS (ZDCL00085)</t>
  </si>
  <si>
    <t>IN2601-102638</t>
  </si>
  <si>
    <t>MINIMIKIM MATHIAS</t>
  </si>
  <si>
    <t>ZDCL00085</t>
  </si>
  <si>
    <t>26/01/2026 08:28</t>
  </si>
  <si>
    <t>SO2601-93330</t>
  </si>
  <si>
    <t>vestin</t>
  </si>
  <si>
    <t>IN2601-102637</t>
  </si>
  <si>
    <t>26/01/2026 09:26</t>
  </si>
  <si>
    <t>SO2601-93329</t>
  </si>
  <si>
    <t>MBAPPE 699930680</t>
  </si>
  <si>
    <t>ETS K &amp; BROTHERS</t>
  </si>
  <si>
    <t>IN2601-102636</t>
  </si>
  <si>
    <t>26/01/2026 08:20</t>
  </si>
  <si>
    <t>SO2601-93328</t>
  </si>
  <si>
    <t>BAPPE MALIKI 698659709</t>
  </si>
  <si>
    <t>IN2601-102635</t>
  </si>
  <si>
    <t>26/01/2026 08:16</t>
  </si>
  <si>
    <t>SO2601-93327</t>
  </si>
  <si>
    <t>IN2601-102634</t>
  </si>
  <si>
    <t>26/01/2026 08:00</t>
  </si>
  <si>
    <t>SO2601-93326</t>
  </si>
  <si>
    <t>M EQUITE 698910355</t>
  </si>
  <si>
    <t>IN2601-102633</t>
  </si>
  <si>
    <t>26/01/2026 07:50</t>
  </si>
  <si>
    <t>SO2601-93325</t>
  </si>
  <si>
    <t>24/01/2026</t>
  </si>
  <si>
    <t>24/01/2026 00:00</t>
  </si>
  <si>
    <t>IN2601-102632</t>
  </si>
  <si>
    <t>24/01/2026 13:52</t>
  </si>
  <si>
    <t>SO2601-93324</t>
  </si>
  <si>
    <t>MELVIN 675465181</t>
  </si>
  <si>
    <t>IN2601-102631</t>
  </si>
  <si>
    <t>24/01/2026 13:49</t>
  </si>
  <si>
    <t>SO2601-93323</t>
  </si>
  <si>
    <t>CHICK ROSTAND</t>
  </si>
  <si>
    <t>IN2601-102630</t>
  </si>
  <si>
    <t>24/01/2026 13:41</t>
  </si>
  <si>
    <t>SO2601-93322</t>
  </si>
  <si>
    <t>IN2601-102629</t>
  </si>
  <si>
    <t>SO2601-93321</t>
  </si>
  <si>
    <t>CU2407-00446 -  ACHA BENJAMIN MBAH</t>
  </si>
  <si>
    <t>IN2601-102628</t>
  </si>
  <si>
    <t>24/01/2026 13:37</t>
  </si>
  <si>
    <t>SO2601-93320</t>
  </si>
  <si>
    <t>BIKOK 691146268</t>
  </si>
  <si>
    <t>IN2601-102627</t>
  </si>
  <si>
    <t>24/01/2026 13:29</t>
  </si>
  <si>
    <t>SO2601-93319</t>
  </si>
  <si>
    <t>BELLO HAMAN / 676 58 13 76</t>
  </si>
  <si>
    <t>IN2601-102626</t>
  </si>
  <si>
    <t>24/01/2026 13:31</t>
  </si>
  <si>
    <t>SO2601-93318</t>
  </si>
  <si>
    <t>NKOUNA 654371374</t>
  </si>
  <si>
    <t>IN2601-102625</t>
  </si>
  <si>
    <t>24/01/2026 13:20</t>
  </si>
  <si>
    <t>SO2601-93317</t>
  </si>
  <si>
    <t>IGOR 67749423</t>
  </si>
  <si>
    <t>IN2601-102624</t>
  </si>
  <si>
    <t>24/01/2026 13:22</t>
  </si>
  <si>
    <t>SO2601-93316</t>
  </si>
  <si>
    <t>DJEUJO FRANK / 698 81 10 68</t>
  </si>
  <si>
    <t>IN2601-102623</t>
  </si>
  <si>
    <t>24/01/2026 13:15</t>
  </si>
  <si>
    <t>SO2601-93315</t>
  </si>
  <si>
    <t>Nsenwu 699699191153191153</t>
  </si>
  <si>
    <t>IN2601-102622</t>
  </si>
  <si>
    <t>24/01/2026 13:18</t>
  </si>
  <si>
    <t>SO2601-93314</t>
  </si>
  <si>
    <t>AMOUGOU 699275879</t>
  </si>
  <si>
    <t>IN2601-102621</t>
  </si>
  <si>
    <t>24/01/2026 13:13</t>
  </si>
  <si>
    <t>SO2601-93313</t>
  </si>
  <si>
    <t>IN2601-102620</t>
  </si>
  <si>
    <t>24/01/2026 13:12</t>
  </si>
  <si>
    <t>SO2601-93312</t>
  </si>
  <si>
    <t>IN2601-102619</t>
  </si>
  <si>
    <t>24/01/2026 13:11</t>
  </si>
  <si>
    <t>SO2601-93311</t>
  </si>
  <si>
    <t>NDZI HARRISON</t>
  </si>
  <si>
    <t>IN2601-102618</t>
  </si>
  <si>
    <t>24/01/2026 13:10</t>
  </si>
  <si>
    <t>SO2601-93310</t>
  </si>
  <si>
    <t>KAMDJOU BERLOT / 691766528</t>
  </si>
  <si>
    <t>IN2601-102617</t>
  </si>
  <si>
    <t>24/01/2026 12:59</t>
  </si>
  <si>
    <t>SO2601-93309</t>
  </si>
  <si>
    <t>CU2601-14254 -  ZANGUE ZEUCHIEU ULRICH DUVAL</t>
  </si>
  <si>
    <t>IN2601-102616</t>
  </si>
  <si>
    <t>24/01/2026 12:54</t>
  </si>
  <si>
    <t>SO2601-93308</t>
  </si>
  <si>
    <t>FEUGUE 694280848</t>
  </si>
  <si>
    <t>IN2601-102615</t>
  </si>
  <si>
    <t>24/01/2026 12:53</t>
  </si>
  <si>
    <t>SO2601-93307</t>
  </si>
  <si>
    <t>CHEGUI LEKANY Maryonne</t>
  </si>
  <si>
    <t>IN2601-102614</t>
  </si>
  <si>
    <t>SO2601-93306</t>
  </si>
  <si>
    <t>IN2601-102613</t>
  </si>
  <si>
    <t>24/01/2026 13:08</t>
  </si>
  <si>
    <t>SO2601-93305</t>
  </si>
  <si>
    <t>sandji</t>
  </si>
  <si>
    <t>IN2601-102612</t>
  </si>
  <si>
    <t>24/01/2026 12:48</t>
  </si>
  <si>
    <t>SO2601-93304</t>
  </si>
  <si>
    <t>domfang</t>
  </si>
  <si>
    <t>IN2601-102611</t>
  </si>
  <si>
    <t>24/01/2026 13:09</t>
  </si>
  <si>
    <t>SO2601-93303</t>
  </si>
  <si>
    <t>IN2601-102610</t>
  </si>
  <si>
    <t>24/01/2026 13:17</t>
  </si>
  <si>
    <t>SO2601-93302</t>
  </si>
  <si>
    <t>AVI-GAROUA /69789 5714</t>
  </si>
  <si>
    <t>CU2407-00388 -  SCOOPS AVI-GAROUA</t>
  </si>
  <si>
    <t>IN2601-102609</t>
  </si>
  <si>
    <t>24/01/2026 12:51</t>
  </si>
  <si>
    <t>SO2601-93301</t>
  </si>
  <si>
    <t>IN2601-102608</t>
  </si>
  <si>
    <t>25/01/2026</t>
  </si>
  <si>
    <t>24/01/2026 12:55</t>
  </si>
  <si>
    <t>SO2601-93300</t>
  </si>
  <si>
    <t>IN2601-102607</t>
  </si>
  <si>
    <t>24/01/2026 12:39</t>
  </si>
  <si>
    <t>SO2601-93299</t>
  </si>
  <si>
    <t>IN2601-102606</t>
  </si>
  <si>
    <t>24/01/2026 12:35</t>
  </si>
  <si>
    <t>SO2601-93298</t>
  </si>
  <si>
    <t>IN2601-102605</t>
  </si>
  <si>
    <t>24/01/2026 12:37</t>
  </si>
  <si>
    <t>SO2601-93297</t>
  </si>
  <si>
    <t>PROV TCHIMTCHOUA</t>
  </si>
  <si>
    <t>IN2601-102604</t>
  </si>
  <si>
    <t>24/01/2026 12:38</t>
  </si>
  <si>
    <t>SO2601-93296</t>
  </si>
  <si>
    <t>IN2601-102603</t>
  </si>
  <si>
    <t>24/01/2026 12:32</t>
  </si>
  <si>
    <t>SO2601-93295</t>
  </si>
  <si>
    <t>IN2601-102602</t>
  </si>
  <si>
    <t>SO2601-93294</t>
  </si>
  <si>
    <t>ABDOULAYE MOHAMADOU / 695 38 36 06</t>
  </si>
  <si>
    <t>IN2601-102601</t>
  </si>
  <si>
    <t>24/01/2026 12:30</t>
  </si>
  <si>
    <t>SO2601-93293</t>
  </si>
  <si>
    <t>M NGASSA FODJO 693907478</t>
  </si>
  <si>
    <t>IN2601-102600</t>
  </si>
  <si>
    <t>24/01/2026 12:26</t>
  </si>
  <si>
    <t>SO2601-93292</t>
  </si>
  <si>
    <t>PROV TNC</t>
  </si>
  <si>
    <t>CU2407-00763 -  PROV TNC (NOUMSSI CALVIN)</t>
  </si>
  <si>
    <t>IN2601-102599</t>
  </si>
  <si>
    <t>CU2407-00763 -  PROV TNC</t>
  </si>
  <si>
    <t>NOUMSSI CALVIN</t>
  </si>
  <si>
    <t>24/01/2026 13:23</t>
  </si>
  <si>
    <t>SO2601-93291</t>
  </si>
  <si>
    <t>IN2601-102598</t>
  </si>
  <si>
    <t>24/01/2026 12:21</t>
  </si>
  <si>
    <t>SO2601-93290</t>
  </si>
  <si>
    <t>IN2601-102597</t>
  </si>
  <si>
    <t>SO2601-93289</t>
  </si>
  <si>
    <t>KAMGUIA 655319729</t>
  </si>
  <si>
    <t>IN2601-102596</t>
  </si>
  <si>
    <t>24/01/2026 13:25</t>
  </si>
  <si>
    <t>SO2601-93287</t>
  </si>
  <si>
    <t>IN2601-102594</t>
  </si>
  <si>
    <t>24/01/2026 12:19</t>
  </si>
  <si>
    <t>SO2601-93286</t>
  </si>
  <si>
    <t>YFOU 670164797</t>
  </si>
  <si>
    <t>IN2601-102593</t>
  </si>
  <si>
    <t>24/01/2026 12:11</t>
  </si>
  <si>
    <t>SO2601-93284</t>
  </si>
  <si>
    <t>TEKU TALOM 696699239</t>
  </si>
  <si>
    <t>IN2601-102591</t>
  </si>
  <si>
    <t>24/01/2026 12:09</t>
  </si>
  <si>
    <t>SO2601-93283</t>
  </si>
  <si>
    <t>IN2601-102590</t>
  </si>
  <si>
    <t>24/01/2026 12:06</t>
  </si>
  <si>
    <t>SO2601-93282</t>
  </si>
  <si>
    <t>IN2601-102589</t>
  </si>
  <si>
    <t>24/01/2026 12:07</t>
  </si>
  <si>
    <t>SO2601-93281</t>
  </si>
  <si>
    <t>IN2601-102588</t>
  </si>
  <si>
    <t>24/01/2026 12:05</t>
  </si>
  <si>
    <t>SO2601-93280</t>
  </si>
  <si>
    <t>YADJA / 698 49 88 75</t>
  </si>
  <si>
    <t>IN2601-102587</t>
  </si>
  <si>
    <t>SO2601-93279</t>
  </si>
  <si>
    <t>CU2408-01037 -  ED-PROVENDERIE (TCHOUNET EDMOND)</t>
  </si>
  <si>
    <t>IN2601-102586</t>
  </si>
  <si>
    <t>CU2408-01037 -  ED-PROVENDERIE</t>
  </si>
  <si>
    <t>TCHOUNET EDMOND</t>
  </si>
  <si>
    <t>24/01/2026 12:46</t>
  </si>
  <si>
    <t>SO2601-93278</t>
  </si>
  <si>
    <t>IN2601-102585</t>
  </si>
  <si>
    <t>24/01/2026 11:57</t>
  </si>
  <si>
    <t>SO2601-93277</t>
  </si>
  <si>
    <t>CU2507-13422 -  SOCIETE DG SARL (DG SARL) (MR TANE NDE ELVIS)</t>
  </si>
  <si>
    <t>IN2601-102584</t>
  </si>
  <si>
    <t>CU2507-13422 -  SOCIETE DG SARL (DG SARL)</t>
  </si>
  <si>
    <t>MR TANE NDE ELVIS</t>
  </si>
  <si>
    <t>24/01/2026 11:56</t>
  </si>
  <si>
    <t>SO2601-93276</t>
  </si>
  <si>
    <t>MANEFFO CHANTAL 676545612</t>
  </si>
  <si>
    <t>IN2601-102583</t>
  </si>
  <si>
    <t>24/01/2026 11:58</t>
  </si>
  <si>
    <t>SO2601-93275</t>
  </si>
  <si>
    <t>IN2601-102582</t>
  </si>
  <si>
    <t>24/01/2026 11:53</t>
  </si>
  <si>
    <t>SO2601-93274</t>
  </si>
  <si>
    <t>IN2601-102581</t>
  </si>
  <si>
    <t>24/01/2026 11:54</t>
  </si>
  <si>
    <t>SO2601-93273</t>
  </si>
  <si>
    <t>IN2601-102580</t>
  </si>
  <si>
    <t>SO2601-93272</t>
  </si>
  <si>
    <t>KENDY</t>
  </si>
  <si>
    <t>IN2601-102579</t>
  </si>
  <si>
    <t>SO2601-93271</t>
  </si>
  <si>
    <t>IN2601-102578</t>
  </si>
  <si>
    <t>24/01/2026 11:50</t>
  </si>
  <si>
    <t>SO2601-93270</t>
  </si>
  <si>
    <t>CU2411-01171 -  WABO MELAH ANNE VIRGINIE</t>
  </si>
  <si>
    <t>IN2601-102577</t>
  </si>
  <si>
    <t>SO2601-93269</t>
  </si>
  <si>
    <t>TIYA</t>
  </si>
  <si>
    <t>IN2601-102576</t>
  </si>
  <si>
    <t>SO2601-93268</t>
  </si>
  <si>
    <t>IN2601-102575</t>
  </si>
  <si>
    <t>SO2601-93267</t>
  </si>
  <si>
    <t>CU2407-00744 -  LUKONG EMMANUEL</t>
  </si>
  <si>
    <t>IN2601-102574</t>
  </si>
  <si>
    <t>24/01/2026 11:49</t>
  </si>
  <si>
    <t>SO2601-93266</t>
  </si>
  <si>
    <t>IN2601-102573</t>
  </si>
  <si>
    <t>24/01/2026 11:43</t>
  </si>
  <si>
    <t>SO2601-93265</t>
  </si>
  <si>
    <t>NGANTU HARRISON</t>
  </si>
  <si>
    <t>IN2601-102572</t>
  </si>
  <si>
    <t>24/01/2026 11:41</t>
  </si>
  <si>
    <t>SO2601-93264</t>
  </si>
  <si>
    <t>raoul</t>
  </si>
  <si>
    <t>IN2601-102571</t>
  </si>
  <si>
    <t>24/01/2026 11:35</t>
  </si>
  <si>
    <t>SO2601-93263</t>
  </si>
  <si>
    <t>CU2410-01131 -  TANG INNOCENT</t>
  </si>
  <si>
    <t>IN2601-102570</t>
  </si>
  <si>
    <t>24/01/2026 13:33</t>
  </si>
  <si>
    <t>SO2601-93262</t>
  </si>
  <si>
    <t>IN2601-102569</t>
  </si>
  <si>
    <t>24/01/2026 13:34</t>
  </si>
  <si>
    <t>SO2601-93261</t>
  </si>
  <si>
    <t>IN2601-102568</t>
  </si>
  <si>
    <t>24/01/2026 11:29</t>
  </si>
  <si>
    <t>SO2601-93260</t>
  </si>
  <si>
    <t>valentin</t>
  </si>
  <si>
    <t>IN2601-102567</t>
  </si>
  <si>
    <t>24/01/2026 11:30</t>
  </si>
  <si>
    <t>SO2601-93259</t>
  </si>
  <si>
    <t>IN2601-102566</t>
  </si>
  <si>
    <t>SO2601-93258</t>
  </si>
  <si>
    <t>FOGANG BEAUDELAIRE</t>
  </si>
  <si>
    <t>IN2601-102565</t>
  </si>
  <si>
    <t>24/01/2026 11:20</t>
  </si>
  <si>
    <t>SO2601-93257</t>
  </si>
  <si>
    <t>IN2601-102564</t>
  </si>
  <si>
    <t>24/01/2026 11:25</t>
  </si>
  <si>
    <t>SO2601-93256</t>
  </si>
  <si>
    <t>IN2601-102563</t>
  </si>
  <si>
    <t>24/01/2026 11:28</t>
  </si>
  <si>
    <t>SO2601-93255</t>
  </si>
  <si>
    <t>KEMBAK ARISTIDE 675236550</t>
  </si>
  <si>
    <t>IN2601-102562</t>
  </si>
  <si>
    <t>24/01/2026 11:21</t>
  </si>
  <si>
    <t>SO2601-93254</t>
  </si>
  <si>
    <t>M. FOMBA</t>
  </si>
  <si>
    <t>IN2601-102561</t>
  </si>
  <si>
    <t>24/01/2026 11:18</t>
  </si>
  <si>
    <t>SO2601-93253</t>
  </si>
  <si>
    <t>RAKASSOULA DAVID / 695 45 83 69</t>
  </si>
  <si>
    <t>IN2601-102560</t>
  </si>
  <si>
    <t>24/01/2026 11:23</t>
  </si>
  <si>
    <t>SO2601-93252</t>
  </si>
  <si>
    <t>IN2601-102559</t>
  </si>
  <si>
    <t>24/01/2026 11:24</t>
  </si>
  <si>
    <t>SO2601-93251</t>
  </si>
  <si>
    <t>FOLA</t>
  </si>
  <si>
    <t>IN2601-102558</t>
  </si>
  <si>
    <t>24/01/2026 11:19</t>
  </si>
  <si>
    <t>SO2601-93250</t>
  </si>
  <si>
    <t>IN2601-102557</t>
  </si>
  <si>
    <t>24/01/2026 12:36</t>
  </si>
  <si>
    <t>SO2601-93249</t>
  </si>
  <si>
    <t>IN2601-102556</t>
  </si>
  <si>
    <t>24/01/2026 11:09</t>
  </si>
  <si>
    <t>SO2601-93248</t>
  </si>
  <si>
    <t>DIAMOND FARM</t>
  </si>
  <si>
    <t>IN2601-102555</t>
  </si>
  <si>
    <t>SO2601-93247</t>
  </si>
  <si>
    <t>IN2601-102554</t>
  </si>
  <si>
    <t>SO2601-93246</t>
  </si>
  <si>
    <t>M SAHA</t>
  </si>
  <si>
    <t>IN2601-102553</t>
  </si>
  <si>
    <t>24/01/2026 11:10</t>
  </si>
  <si>
    <t>SO2601-93245</t>
  </si>
  <si>
    <t>M WELADJI MOHAMED</t>
  </si>
  <si>
    <t>IN2601-102552</t>
  </si>
  <si>
    <t>24/01/2026 11:05</t>
  </si>
  <si>
    <t>SO2601-93244</t>
  </si>
  <si>
    <t>IN2601-102551</t>
  </si>
  <si>
    <t>24/01/2026 11:07</t>
  </si>
  <si>
    <t>SO2601-93243</t>
  </si>
  <si>
    <t>IN2601-102550</t>
  </si>
  <si>
    <t>24/01/2026 11:04</t>
  </si>
  <si>
    <t>SO2601-93242</t>
  </si>
  <si>
    <t>TEMWA VICTOR / 697194270</t>
  </si>
  <si>
    <t>IN2601-102549</t>
  </si>
  <si>
    <t>SO2601-93241</t>
  </si>
  <si>
    <t>Mme MBENA</t>
  </si>
  <si>
    <t>IN2601-102548</t>
  </si>
  <si>
    <t>24/01/2026 11:01</t>
  </si>
  <si>
    <t>SO2601-93240</t>
  </si>
  <si>
    <t>ATEUHOUNG ERNEST 677221196</t>
  </si>
  <si>
    <t>IN2601-102547</t>
  </si>
  <si>
    <t>24/01/2026 10:56</t>
  </si>
  <si>
    <t>SO2601-93239</t>
  </si>
  <si>
    <t>ZOGO PROSPER 674043118</t>
  </si>
  <si>
    <t>IN2601-102546</t>
  </si>
  <si>
    <t>24/01/2026 10:51</t>
  </si>
  <si>
    <t>SO2601-93238</t>
  </si>
  <si>
    <t>IN2601-102545</t>
  </si>
  <si>
    <t>24/01/2026 10:50</t>
  </si>
  <si>
    <t>SO2601-93237</t>
  </si>
  <si>
    <t>IN2601-102544</t>
  </si>
  <si>
    <t>24/01/2026 10:46</t>
  </si>
  <si>
    <t>SO2601-93236</t>
  </si>
  <si>
    <t>IN2601-102543</t>
  </si>
  <si>
    <t>SO2601-93235</t>
  </si>
  <si>
    <t>IN2601-102542</t>
  </si>
  <si>
    <t>SO2601-93234</t>
  </si>
  <si>
    <t>GOUCMO 677436896</t>
  </si>
  <si>
    <t>IN2601-102541</t>
  </si>
  <si>
    <t>SO2601-93233</t>
  </si>
  <si>
    <t>M ABAM</t>
  </si>
  <si>
    <t>IN2601-102540</t>
  </si>
  <si>
    <t>SO2601-93232</t>
  </si>
  <si>
    <t>IN2601-102539</t>
  </si>
  <si>
    <t>24/01/2026 10:47</t>
  </si>
  <si>
    <t>SO2601-93231</t>
  </si>
  <si>
    <t>JUSTIN</t>
  </si>
  <si>
    <t>IN2601-102538</t>
  </si>
  <si>
    <t>24/01/2026 10:42</t>
  </si>
  <si>
    <t>SO2601-93230</t>
  </si>
  <si>
    <t>IN2601-102537</t>
  </si>
  <si>
    <t>SO2601-93229</t>
  </si>
  <si>
    <t>MOHAMADOU ABDOUL WAHAB /691563883</t>
  </si>
  <si>
    <t>IN2601-102536</t>
  </si>
  <si>
    <t>24/01/2026 10:36</t>
  </si>
  <si>
    <t>SO2601-93227</t>
  </si>
  <si>
    <t>IN2601-102534</t>
  </si>
  <si>
    <t>24/01/2026 10:39</t>
  </si>
  <si>
    <t>SO2601-93226</t>
  </si>
  <si>
    <t>IN2601-102533</t>
  </si>
  <si>
    <t>24/01/2026 10:34</t>
  </si>
  <si>
    <t>SO2601-93225</t>
  </si>
  <si>
    <t>BOASSEN / 694631791</t>
  </si>
  <si>
    <t>IN2601-102532</t>
  </si>
  <si>
    <t>SO2601-93224</t>
  </si>
  <si>
    <t>IN2601-102531</t>
  </si>
  <si>
    <t>24/01/2026 10:28</t>
  </si>
  <si>
    <t>SO2601-93223</t>
  </si>
  <si>
    <t>K'mdeu farm's 678476043</t>
  </si>
  <si>
    <t>IN2601-102530</t>
  </si>
  <si>
    <t>24/01/2026 10:26</t>
  </si>
  <si>
    <t>SO2601-93222</t>
  </si>
  <si>
    <t>CU2410-01128 -  Lekeufack ngoufack épouse donfack rose claire</t>
  </si>
  <si>
    <t>IN2601-102529</t>
  </si>
  <si>
    <t>24/01/2026 10:21</t>
  </si>
  <si>
    <t>SO2601-93221</t>
  </si>
  <si>
    <t>IN2601-102528</t>
  </si>
  <si>
    <t>24/01/2026 10:15</t>
  </si>
  <si>
    <t>SO2601-93220</t>
  </si>
  <si>
    <t>ROUKAYATOU / 655665435</t>
  </si>
  <si>
    <t>IN2601-102527</t>
  </si>
  <si>
    <t>SO2601-93219</t>
  </si>
  <si>
    <t>CU2502-01214 -  TEIKING JEAN MARIE</t>
  </si>
  <si>
    <t>IN2601-102526</t>
  </si>
  <si>
    <t>SO2601-93218</t>
  </si>
  <si>
    <t>eselakawe emile</t>
  </si>
  <si>
    <t>IN2601-102525</t>
  </si>
  <si>
    <t>24/01/2026 10:09</t>
  </si>
  <si>
    <t>SO2601-93217</t>
  </si>
  <si>
    <t>CU2601-14324 -  MELATAGUIA JEAN</t>
  </si>
  <si>
    <t>IN2601-102524</t>
  </si>
  <si>
    <t>24/01/2026 10:05</t>
  </si>
  <si>
    <t>SO2601-93216</t>
  </si>
  <si>
    <t>M ATTANGANA</t>
  </si>
  <si>
    <t>IN2601-102523</t>
  </si>
  <si>
    <t>24/01/2026 10:03</t>
  </si>
  <si>
    <t>SO2601-93215</t>
  </si>
  <si>
    <t>MAMA</t>
  </si>
  <si>
    <t>IN2601-102522</t>
  </si>
  <si>
    <t>24/01/2026 10:01</t>
  </si>
  <si>
    <t>SO2601-93214</t>
  </si>
  <si>
    <t>SALIHOU 699760541</t>
  </si>
  <si>
    <t>IN2601-102521</t>
  </si>
  <si>
    <t>SO2601-93213</t>
  </si>
  <si>
    <t>MIKE</t>
  </si>
  <si>
    <t>IN2601-102520</t>
  </si>
  <si>
    <t>24/01/2026 09:58</t>
  </si>
  <si>
    <t>SO2601-93212</t>
  </si>
  <si>
    <t>IN2601-102519</t>
  </si>
  <si>
    <t>24/01/2026 09:56</t>
  </si>
  <si>
    <t>SO2601-93211</t>
  </si>
  <si>
    <t>IN2601-102518</t>
  </si>
  <si>
    <t>24/01/2026 09:55</t>
  </si>
  <si>
    <t>SO2601-93210</t>
  </si>
  <si>
    <t>IN2601-102517</t>
  </si>
  <si>
    <t>24/01/2026 09:54</t>
  </si>
  <si>
    <t>SO2601-93209</t>
  </si>
  <si>
    <t>KOUNGA 658578032</t>
  </si>
  <si>
    <t>IN2601-102516</t>
  </si>
  <si>
    <t>24/01/2026 10:49</t>
  </si>
  <si>
    <t>SO2601-93208</t>
  </si>
  <si>
    <t>IN2601-102515</t>
  </si>
  <si>
    <t>24/01/2026 09:53</t>
  </si>
  <si>
    <t>SO2601-93207</t>
  </si>
  <si>
    <t>IN2601-102514</t>
  </si>
  <si>
    <t>24/01/2026 09:50</t>
  </si>
  <si>
    <t>SO2601-93206</t>
  </si>
  <si>
    <t>PROV METO</t>
  </si>
  <si>
    <t>IN2601-102513</t>
  </si>
  <si>
    <t>24/01/2026 10:55</t>
  </si>
  <si>
    <t>SO2601-93205</t>
  </si>
  <si>
    <t>IN2601-102512</t>
  </si>
  <si>
    <t>SO2601-93204</t>
  </si>
  <si>
    <t>PROV BANSOA 654568401</t>
  </si>
  <si>
    <t>IN2601-102511</t>
  </si>
  <si>
    <t>SO2601-93203</t>
  </si>
  <si>
    <t>IN2601-102510</t>
  </si>
  <si>
    <t>24/01/2026 09:44</t>
  </si>
  <si>
    <t>SO2601-93202</t>
  </si>
  <si>
    <t>IN2601-102509</t>
  </si>
  <si>
    <t>24/01/2026 09:43</t>
  </si>
  <si>
    <t>SO2601-93201</t>
  </si>
  <si>
    <t>CU2410-01144 -  FODZO LEONIE CLAIRE</t>
  </si>
  <si>
    <t>IN2601-102508</t>
  </si>
  <si>
    <t>24/01/2026 09:36</t>
  </si>
  <si>
    <t>SO2601-93200</t>
  </si>
  <si>
    <t>IN2601-102507</t>
  </si>
  <si>
    <t>24/01/2026 09:37</t>
  </si>
  <si>
    <t>SO2601-93199</t>
  </si>
  <si>
    <t>CHANCELIN</t>
  </si>
  <si>
    <t>IN2601-102506</t>
  </si>
  <si>
    <t>24/01/2026 09:30</t>
  </si>
  <si>
    <t>SO2601-93198</t>
  </si>
  <si>
    <t>LINDJECK ANDRE</t>
  </si>
  <si>
    <t>IN2601-102505</t>
  </si>
  <si>
    <t>24/01/2026 09:27</t>
  </si>
  <si>
    <t>SO2601-93197</t>
  </si>
  <si>
    <t>TSANGA</t>
  </si>
  <si>
    <t>IN2601-102504</t>
  </si>
  <si>
    <t>24/01/2026 09:40</t>
  </si>
  <si>
    <t>SO2601-93196</t>
  </si>
  <si>
    <t>NGANTE EMILIE SAKER 678436058</t>
  </si>
  <si>
    <t>IN2601-102503</t>
  </si>
  <si>
    <t>24/01/2026 10:58</t>
  </si>
  <si>
    <t>SO2601-93195</t>
  </si>
  <si>
    <t>IN2601-102502</t>
  </si>
  <si>
    <t>24/01/2026 09:23</t>
  </si>
  <si>
    <t>SO2601-93194</t>
  </si>
  <si>
    <t>IN2601-102501</t>
  </si>
  <si>
    <t>24/01/2026 09:20</t>
  </si>
  <si>
    <t>SO2601-93193</t>
  </si>
  <si>
    <t>MESSANGA 678437984</t>
  </si>
  <si>
    <t>IN2601-102500</t>
  </si>
  <si>
    <t>24/01/2026 09:22</t>
  </si>
  <si>
    <t>SO2601-93192</t>
  </si>
  <si>
    <t>IN2601-102499</t>
  </si>
  <si>
    <t>24/01/2026 09:34</t>
  </si>
  <si>
    <t>SO2601-93191</t>
  </si>
  <si>
    <t>CU2407-00316 -  NOUVELLE PROVENDERIE D'EDEA (NPE)</t>
  </si>
  <si>
    <t>IN2601-102498</t>
  </si>
  <si>
    <t>CU2407-00316 -  NOUVELLE PROVENDERIE D'EDEA</t>
  </si>
  <si>
    <t>NPE</t>
  </si>
  <si>
    <t>24/01/2026 11:08</t>
  </si>
  <si>
    <t>SO2601-93190</t>
  </si>
  <si>
    <t>GUIDEM</t>
  </si>
  <si>
    <t>IN2601-102497</t>
  </si>
  <si>
    <t>SO2601-93189</t>
  </si>
  <si>
    <t>IN2601-102496</t>
  </si>
  <si>
    <t>24/01/2026 09:09</t>
  </si>
  <si>
    <t>SO2601-93188</t>
  </si>
  <si>
    <t>IN2601-102495</t>
  </si>
  <si>
    <t>SO2601-93187</t>
  </si>
  <si>
    <t>KAMGAING HORTENSE 675690664</t>
  </si>
  <si>
    <t>IN2601-102494</t>
  </si>
  <si>
    <t>24/01/2026 11:03</t>
  </si>
  <si>
    <t>SO2601-93186</t>
  </si>
  <si>
    <t>FOFE</t>
  </si>
  <si>
    <t>IN2601-102493</t>
  </si>
  <si>
    <t>24/01/2026 09:29</t>
  </si>
  <si>
    <t>SO2601-93185</t>
  </si>
  <si>
    <t>IN2601-102492</t>
  </si>
  <si>
    <t>24/01/2026 09:07</t>
  </si>
  <si>
    <t>SO2601-93184</t>
  </si>
  <si>
    <t>RICCARDO 692353290</t>
  </si>
  <si>
    <t>CU2407-00262 -  DJIMENI KENNE RICCARDO</t>
  </si>
  <si>
    <t>IN2601-102491</t>
  </si>
  <si>
    <t>SO2601-93183</t>
  </si>
  <si>
    <t>CU2407-00283 -  GIC SAD-LUMIERE ET DEVELOPPEMENT</t>
  </si>
  <si>
    <t>IN2601-102490</t>
  </si>
  <si>
    <t>SO2601-93182</t>
  </si>
  <si>
    <t>Franklin</t>
  </si>
  <si>
    <t>IN2601-102489</t>
  </si>
  <si>
    <t>24/01/2026 09:01</t>
  </si>
  <si>
    <t>SO2601-93181</t>
  </si>
  <si>
    <t>IN2601-102488</t>
  </si>
  <si>
    <t>24/01/2026 08:57</t>
  </si>
  <si>
    <t>SO2601-93180</t>
  </si>
  <si>
    <t>ALAIN KEMENI 679395646</t>
  </si>
  <si>
    <t>IN2601-102487</t>
  </si>
  <si>
    <t>SO2601-93179</t>
  </si>
  <si>
    <t>GABRIEL</t>
  </si>
  <si>
    <t>IN2601-102486</t>
  </si>
  <si>
    <t>24/01/2026 08:58</t>
  </si>
  <si>
    <t>SO2601-93178</t>
  </si>
  <si>
    <t>CU2407-00470 -  ACHIDI</t>
  </si>
  <si>
    <t>IN2601-102485</t>
  </si>
  <si>
    <t>24/01/2026 08:49</t>
  </si>
  <si>
    <t>SO2601-93176</t>
  </si>
  <si>
    <t>IN2601-102483</t>
  </si>
  <si>
    <t>24/01/2026 08:54</t>
  </si>
  <si>
    <t>SO2601-93175</t>
  </si>
  <si>
    <t>IN2601-102482</t>
  </si>
  <si>
    <t>24/01/2026 08:21</t>
  </si>
  <si>
    <t>SO2601-93288</t>
  </si>
  <si>
    <t>KENGNE 656186356</t>
  </si>
  <si>
    <t>23/01/2026</t>
  </si>
  <si>
    <t>IN2601-102595</t>
  </si>
  <si>
    <t>SO2601-93174</t>
  </si>
  <si>
    <t>TUMMA 699665570</t>
  </si>
  <si>
    <t>IN2601-102480</t>
  </si>
  <si>
    <t>23/01/2026 17:04</t>
  </si>
  <si>
    <t>SO2601-93173</t>
  </si>
  <si>
    <t>IN2601-102479</t>
  </si>
  <si>
    <t>23/01/2026 16:59</t>
  </si>
  <si>
    <t>SO2601-93172</t>
  </si>
  <si>
    <t>IN2601-102478</t>
  </si>
  <si>
    <t>23/01/2026 16:52</t>
  </si>
  <si>
    <t>SO2601-93171</t>
  </si>
  <si>
    <t>IN2601-102477</t>
  </si>
  <si>
    <t>23/01/2026 16:47</t>
  </si>
  <si>
    <t>SO2601-93170</t>
  </si>
  <si>
    <t>FOCHE FRANCIS 698777186</t>
  </si>
  <si>
    <t>IN2601-102476</t>
  </si>
  <si>
    <t>23/01/2026 16:38</t>
  </si>
  <si>
    <t>SO2601-93169</t>
  </si>
  <si>
    <t>IN2601-102475</t>
  </si>
  <si>
    <t>SO2601-93168</t>
  </si>
  <si>
    <t>TIKU</t>
  </si>
  <si>
    <t>IN2601-102474</t>
  </si>
  <si>
    <t>23/01/2026 16:37</t>
  </si>
  <si>
    <t>SO2601-93167</t>
  </si>
  <si>
    <t>M BIOLO</t>
  </si>
  <si>
    <t>IN2601-102473</t>
  </si>
  <si>
    <t>23/01/2026 16:33</t>
  </si>
  <si>
    <t>SO2601-93166</t>
  </si>
  <si>
    <t>KUITCHOUA 672453816</t>
  </si>
  <si>
    <t>IN2601-102472</t>
  </si>
  <si>
    <t>23/01/2026 16:34</t>
  </si>
  <si>
    <t>SO2601-93165</t>
  </si>
  <si>
    <t>FEUDJIO LEVIS</t>
  </si>
  <si>
    <t>IN2601-102471</t>
  </si>
  <si>
    <t>23/01/2026 16:29</t>
  </si>
  <si>
    <t>SO2601-93164</t>
  </si>
  <si>
    <t>Mme KEUTCHEU JOSELINE</t>
  </si>
  <si>
    <t>IN2601-102470</t>
  </si>
  <si>
    <t>SO2601-93163</t>
  </si>
  <si>
    <t>TSOPA 692821117</t>
  </si>
  <si>
    <t>CU2408-01036 -  TSOPA EPSE FOPA ODETTE (Mme FOPA ODETTE)</t>
  </si>
  <si>
    <t>IN2601-102469</t>
  </si>
  <si>
    <t>CU2408-01036 -  TSOPA EPSE FOPA ODETTE</t>
  </si>
  <si>
    <t>Mme FOPA ODETTE</t>
  </si>
  <si>
    <t>23/01/2026 16:26</t>
  </si>
  <si>
    <t>SO2601-93161</t>
  </si>
  <si>
    <t>noella</t>
  </si>
  <si>
    <t>IN2601-102467</t>
  </si>
  <si>
    <t>23/01/2026 16:18</t>
  </si>
  <si>
    <t>SO2601-93160</t>
  </si>
  <si>
    <t>IN2601-102466</t>
  </si>
  <si>
    <t>23/01/2026 16:11</t>
  </si>
  <si>
    <t>SO2601-93159</t>
  </si>
  <si>
    <t>IN2601-102465</t>
  </si>
  <si>
    <t>23/01/2026 16:12</t>
  </si>
  <si>
    <t>SO2601-93158</t>
  </si>
  <si>
    <t>IN2601-102464</t>
  </si>
  <si>
    <t>23/01/2026 16:23</t>
  </si>
  <si>
    <t>SO2601-93157</t>
  </si>
  <si>
    <t>IN2601-102463</t>
  </si>
  <si>
    <t>23/01/2026 16:24</t>
  </si>
  <si>
    <t>SO2601-93156</t>
  </si>
  <si>
    <t>IN2601-102462</t>
  </si>
  <si>
    <t>23/01/2026 15:56</t>
  </si>
  <si>
    <t>SO2601-93155</t>
  </si>
  <si>
    <t>Mme WAFO / 697441349</t>
  </si>
  <si>
    <t>IN2601-102461</t>
  </si>
  <si>
    <t>SO2601-93154</t>
  </si>
  <si>
    <t>CU2407-00942 -  TCHAMO</t>
  </si>
  <si>
    <t>IN2601-102460</t>
  </si>
  <si>
    <t>23/01/2026 15:51</t>
  </si>
  <si>
    <t>SO2601-93153</t>
  </si>
  <si>
    <t>Mme ORELIE</t>
  </si>
  <si>
    <t>IN2601-102459</t>
  </si>
  <si>
    <t>23/01/2026 15:52</t>
  </si>
  <si>
    <t>SO2601-93152</t>
  </si>
  <si>
    <t>CU2601-14346 -  SMART INITIATIVE FOR AFRICA IN PLEROMA CO-LTD,</t>
  </si>
  <si>
    <t>IN2601-102458</t>
  </si>
  <si>
    <t>23/01/2026 16:45</t>
  </si>
  <si>
    <t>SO2601-93151</t>
  </si>
  <si>
    <t>IN2601-102457</t>
  </si>
  <si>
    <t>23/01/2026 15:50</t>
  </si>
  <si>
    <t>SO2601-93150</t>
  </si>
  <si>
    <t>ID2601-0040</t>
  </si>
  <si>
    <t>23/01/2026 15:36</t>
  </si>
  <si>
    <t>SO2601-93149</t>
  </si>
  <si>
    <t>CU2407-00458 -  GEORINT</t>
  </si>
  <si>
    <t>IN2601-102456</t>
  </si>
  <si>
    <t>SO2601-93148</t>
  </si>
  <si>
    <t>IN2601-102455</t>
  </si>
  <si>
    <t>23/01/2026 16:05</t>
  </si>
  <si>
    <t>SO2601-93147</t>
  </si>
  <si>
    <t>M KUETCHEU ALAIN</t>
  </si>
  <si>
    <t>IN2601-102454</t>
  </si>
  <si>
    <t>23/01/2026 15:38</t>
  </si>
  <si>
    <t>SO2601-93146</t>
  </si>
  <si>
    <t>CU2411-01149 -  M.TCHEMBENG</t>
  </si>
  <si>
    <t>IN2601-102453</t>
  </si>
  <si>
    <t>23/01/2026 15:27</t>
  </si>
  <si>
    <t>SO2601-93145</t>
  </si>
  <si>
    <t>HASSAN</t>
  </si>
  <si>
    <t>IN2601-102452</t>
  </si>
  <si>
    <t>23/01/2026 16:16</t>
  </si>
  <si>
    <t>SO2601-93144</t>
  </si>
  <si>
    <t>Tongou epse MABOUT/ 699039820</t>
  </si>
  <si>
    <t>CU2508-13529 -  TONGOU epse MABOUT S. JEANNE SALI</t>
  </si>
  <si>
    <t>IN2601-102451</t>
  </si>
  <si>
    <t>23/01/2026 15:24</t>
  </si>
  <si>
    <t>SO2601-93143</t>
  </si>
  <si>
    <t>CU2502-01218 -  AWAMBA FABRICE (KEOGUE TCHINDA)</t>
  </si>
  <si>
    <t>IN2601-102450</t>
  </si>
  <si>
    <t>CU2502-01218 -  AWAMBA FABRICE</t>
  </si>
  <si>
    <t>KEOGUE TCHINDA</t>
  </si>
  <si>
    <t>23/01/2026 15:58</t>
  </si>
  <si>
    <t>SO2601-93142</t>
  </si>
  <si>
    <t>IN2601-102449</t>
  </si>
  <si>
    <t>23/01/2026 15:23</t>
  </si>
  <si>
    <t>SO2601-93141</t>
  </si>
  <si>
    <t>IN2601-102448</t>
  </si>
  <si>
    <t>23/01/2026 15:47</t>
  </si>
  <si>
    <t>SO2601-93140</t>
  </si>
  <si>
    <t>kengmo arold</t>
  </si>
  <si>
    <t>IN2601-102447</t>
  </si>
  <si>
    <t>23/01/2026 15:45</t>
  </si>
  <si>
    <t>SO2601-93139</t>
  </si>
  <si>
    <t>M BEUMO</t>
  </si>
  <si>
    <t>IN2601-102446</t>
  </si>
  <si>
    <t>23/01/2026 15:28</t>
  </si>
  <si>
    <t>SO2601-93138</t>
  </si>
  <si>
    <t>IN2601-102445</t>
  </si>
  <si>
    <t>23/01/2026 15:16</t>
  </si>
  <si>
    <t>SO2601-93137</t>
  </si>
  <si>
    <t>IN2601-102444</t>
  </si>
  <si>
    <t>23/01/2026 15:17</t>
  </si>
  <si>
    <t>SO2601-93136</t>
  </si>
  <si>
    <t>IN2601-102443</t>
  </si>
  <si>
    <t>SO2601-93135</t>
  </si>
  <si>
    <t>IN2601-102442</t>
  </si>
  <si>
    <t>23/01/2026 15:25</t>
  </si>
  <si>
    <t>SO2601-93134</t>
  </si>
  <si>
    <t>IN2601-102441</t>
  </si>
  <si>
    <t>23/01/2026 15:22</t>
  </si>
  <si>
    <t>SO2601-93133</t>
  </si>
  <si>
    <t>IN2601-102440</t>
  </si>
  <si>
    <t>SO2601-93132</t>
  </si>
  <si>
    <t>CU2407-00854 -  WABO SIMPLICE BLAISE</t>
  </si>
  <si>
    <t>IN2601-102439</t>
  </si>
  <si>
    <t>23/01/2026 15:03</t>
  </si>
  <si>
    <t>SO2601-93131</t>
  </si>
  <si>
    <t>IN2601-102438</t>
  </si>
  <si>
    <t>SO2601-93130</t>
  </si>
  <si>
    <t>KEVIN</t>
  </si>
  <si>
    <t>IN2601-102437</t>
  </si>
  <si>
    <t>23/01/2026 15:06</t>
  </si>
  <si>
    <t>SO2601-93129</t>
  </si>
  <si>
    <t>IN2601-102436</t>
  </si>
  <si>
    <t>23/01/2026 14:51</t>
  </si>
  <si>
    <t>SO2601-93128</t>
  </si>
  <si>
    <t>IN2601-102435</t>
  </si>
  <si>
    <t>23/01/2026 14:42</t>
  </si>
  <si>
    <t>SO2601-93127</t>
  </si>
  <si>
    <t>IN2601-102434</t>
  </si>
  <si>
    <t>23/01/2026 14:38</t>
  </si>
  <si>
    <t>SO2601-93126</t>
  </si>
  <si>
    <t>M NDAM</t>
  </si>
  <si>
    <t>IN2601-102433</t>
  </si>
  <si>
    <t>23/01/2026 14:44</t>
  </si>
  <si>
    <t>SO2601-93125</t>
  </si>
  <si>
    <t>NOUFELE</t>
  </si>
  <si>
    <t>CU2407-00183 -  MR DJOBET NOUFELE</t>
  </si>
  <si>
    <t>IN2601-102432</t>
  </si>
  <si>
    <t>23/01/2026 14:34</t>
  </si>
  <si>
    <t>SO2601-93124</t>
  </si>
  <si>
    <t>IN2601-102431</t>
  </si>
  <si>
    <t>23/01/2026 14:35</t>
  </si>
  <si>
    <t>SO2601-93123</t>
  </si>
  <si>
    <t>CU2407-00435 -  FIDELIS LOH NGONG</t>
  </si>
  <si>
    <t>IN2601-102430</t>
  </si>
  <si>
    <t>23/01/2026 14:49</t>
  </si>
  <si>
    <t>SO2601-93122</t>
  </si>
  <si>
    <t>TATCHIEM TEGUIA 682907435</t>
  </si>
  <si>
    <t>ZPCL00058000 -  CLIENT COMPTOIR (CLIENT COMPTOIR)</t>
  </si>
  <si>
    <t>IN2601-102429</t>
  </si>
  <si>
    <t>ZPCL00058000 -  CLIENT COMPTOIR</t>
  </si>
  <si>
    <t>CLIENT COMPTOIR</t>
  </si>
  <si>
    <t>23/01/2026 16:57</t>
  </si>
  <si>
    <t>SO2601-93121</t>
  </si>
  <si>
    <t>IN2601-102428</t>
  </si>
  <si>
    <t>23/01/2026 14:29</t>
  </si>
  <si>
    <t>SO2601-93120</t>
  </si>
  <si>
    <t>IN2601-102427</t>
  </si>
  <si>
    <t>23/01/2026 14:33</t>
  </si>
  <si>
    <t>SO2601-93119</t>
  </si>
  <si>
    <t>CU2507-13429 -  ETS VISION-VET (NJOYA MAMA)</t>
  </si>
  <si>
    <t>IN2601-102426</t>
  </si>
  <si>
    <t>CU2507-13429 -  ETS VISION-VET</t>
  </si>
  <si>
    <t>NJOYA MAMA</t>
  </si>
  <si>
    <t>23/01/2026 15:04</t>
  </si>
  <si>
    <t>SO2601-93118</t>
  </si>
  <si>
    <t>IN2601-102425</t>
  </si>
  <si>
    <t>23/01/2026 14:23</t>
  </si>
  <si>
    <t>SO2601-93117</t>
  </si>
  <si>
    <t>IN2601-102424</t>
  </si>
  <si>
    <t>23/01/2026 14:17</t>
  </si>
  <si>
    <t>SO2601-93116</t>
  </si>
  <si>
    <t>CU2601-14345 -  GIC/NODYPAM (GROUPE D'INITIATIVE COMMUNE NOUVELLE DYNAMIQUE DES PRODUCTEURS AGROPAST…</t>
  </si>
  <si>
    <t>IN2601-102423</t>
  </si>
  <si>
    <t>CU2601-14345 -  GIC/NODYPAM (GROUPE D'INITIATIVE COMMUNE NOUVELLE DYNAMIQUE DES PRODUCTEURS AGROPASTORAUX DE MOTCHEBOUM)</t>
  </si>
  <si>
    <t>NGUIEMOH BONIFACE</t>
  </si>
  <si>
    <t>SO2601-93115</t>
  </si>
  <si>
    <t>CU2504-01327 -  NINDJEE ELISE M. (CAMAGRO) (NINDJEE ELISE M. (CAMAGRO))</t>
  </si>
  <si>
    <t>IN2601-102422</t>
  </si>
  <si>
    <t>CU2504-01327 -  NINDJEE ELISE M. (CAMAGRO)</t>
  </si>
  <si>
    <t>NINDJEE ELISE M. (CAMAGRO)</t>
  </si>
  <si>
    <t>23/01/2026 14:15</t>
  </si>
  <si>
    <t>SO2601-93114</t>
  </si>
  <si>
    <t>CU2407-00408 -  GIC PRODA</t>
  </si>
  <si>
    <t>IN2601-102421</t>
  </si>
  <si>
    <t>23/01/2026 14:16</t>
  </si>
  <si>
    <t>SO2601-93113</t>
  </si>
  <si>
    <t>NGANDO</t>
  </si>
  <si>
    <t>IN2601-102420</t>
  </si>
  <si>
    <t>23/01/2026 14:09</t>
  </si>
  <si>
    <t>SO2601-93112</t>
  </si>
  <si>
    <t>MIAFO</t>
  </si>
  <si>
    <t>IN2601-102419</t>
  </si>
  <si>
    <t>23/01/2026 14:08</t>
  </si>
  <si>
    <t>SO2601-93111</t>
  </si>
  <si>
    <t>YOUSSOUFA HADJI / 691453806</t>
  </si>
  <si>
    <t>IN2601-102418</t>
  </si>
  <si>
    <t>23/01/2026 14:06</t>
  </si>
  <si>
    <t>SO2601-93110</t>
  </si>
  <si>
    <t>CU2407-00710 -  KOAGNE TCHOUDA</t>
  </si>
  <si>
    <t>IN2601-102417</t>
  </si>
  <si>
    <t>23/01/2026 14:03</t>
  </si>
  <si>
    <t>SO2601-93109</t>
  </si>
  <si>
    <t>Mme ABENA</t>
  </si>
  <si>
    <t>IN2601-102416</t>
  </si>
  <si>
    <t>SO2601-93108</t>
  </si>
  <si>
    <t>TIAM</t>
  </si>
  <si>
    <t>IN2601-102415</t>
  </si>
  <si>
    <t>23/01/2026 14:00</t>
  </si>
  <si>
    <t>SO2601-93107</t>
  </si>
  <si>
    <t>IN2601-102414</t>
  </si>
  <si>
    <t>SO2601-93106</t>
  </si>
  <si>
    <t>M NGUEYAP</t>
  </si>
  <si>
    <t>IN2601-102413</t>
  </si>
  <si>
    <t>23/01/2026 13:54</t>
  </si>
  <si>
    <t>SO2601-93105</t>
  </si>
  <si>
    <t>LOIC 682575784</t>
  </si>
  <si>
    <t>IN2601-102412</t>
  </si>
  <si>
    <t>23/01/2026 13:45</t>
  </si>
  <si>
    <t>SO2601-93104</t>
  </si>
  <si>
    <t>IN2601-102411</t>
  </si>
  <si>
    <t>23/01/2026 13:39</t>
  </si>
  <si>
    <t>SO2601-93103</t>
  </si>
  <si>
    <t>TILA</t>
  </si>
  <si>
    <t>IN2601-102410</t>
  </si>
  <si>
    <t>23/01/2026 13:38</t>
  </si>
  <si>
    <t>SO2601-93102</t>
  </si>
  <si>
    <t>FERME LA GRACE 699548272</t>
  </si>
  <si>
    <t>CU2407-00587 -  FERME LA GRACE</t>
  </si>
  <si>
    <t>IN2601-102409</t>
  </si>
  <si>
    <t>23/01/2026 13:31</t>
  </si>
  <si>
    <t>SO2601-93101</t>
  </si>
  <si>
    <t>IN2601-102408</t>
  </si>
  <si>
    <t>23/01/2026 13:28</t>
  </si>
  <si>
    <t>SO2601-93100</t>
  </si>
  <si>
    <t>IN2601-102407</t>
  </si>
  <si>
    <t>23/01/2026 13:26</t>
  </si>
  <si>
    <t>SO2601-93099</t>
  </si>
  <si>
    <t>IN2601-102406</t>
  </si>
  <si>
    <t>23/01/2026 13:32</t>
  </si>
  <si>
    <t>SO2601-93098</t>
  </si>
  <si>
    <t>IN2601-102405</t>
  </si>
  <si>
    <t>23/01/2026 13:14</t>
  </si>
  <si>
    <t>SO2601-93097</t>
  </si>
  <si>
    <t>KAMDEM KAMDEM 657313242</t>
  </si>
  <si>
    <t>IN2601-102404</t>
  </si>
  <si>
    <t>23/01/2026 13:15</t>
  </si>
  <si>
    <t>SO2601-93096</t>
  </si>
  <si>
    <t>ASTRIDE 674368926</t>
  </si>
  <si>
    <t>IN2601-102403</t>
  </si>
  <si>
    <t>23/01/2026 13:10</t>
  </si>
  <si>
    <t>SO2601-93095</t>
  </si>
  <si>
    <t>MBOU</t>
  </si>
  <si>
    <t>IN2601-102402</t>
  </si>
  <si>
    <t>23/01/2026 13:12</t>
  </si>
  <si>
    <t>SO2601-93094</t>
  </si>
  <si>
    <t>MYSTRIDE</t>
  </si>
  <si>
    <t>IN2601-102401</t>
  </si>
  <si>
    <t>23/01/2026 13:09</t>
  </si>
  <si>
    <t>SO2601-93093</t>
  </si>
  <si>
    <t>LONFOUO JOSEPH 675046010</t>
  </si>
  <si>
    <t>IN2601-102400</t>
  </si>
  <si>
    <t>23/01/2026 13:05</t>
  </si>
  <si>
    <t>SO2601-93092</t>
  </si>
  <si>
    <t>IN2601-102399</t>
  </si>
  <si>
    <t>23/01/2026 13:03</t>
  </si>
  <si>
    <t>SO2601-93091</t>
  </si>
  <si>
    <t>HOUSSIMOU IBRAHIMA / 697 41 96 64</t>
  </si>
  <si>
    <t>IN2601-102398</t>
  </si>
  <si>
    <t>23/01/2026 12:55</t>
  </si>
  <si>
    <t>SO2601-93090</t>
  </si>
  <si>
    <t>IN2601-102397</t>
  </si>
  <si>
    <t>23/01/2026 13:29</t>
  </si>
  <si>
    <t>SO2601-93089</t>
  </si>
  <si>
    <t>IN2601-102396</t>
  </si>
  <si>
    <t>SO2601-93088</t>
  </si>
  <si>
    <t>IN2601-102395</t>
  </si>
  <si>
    <t>23/01/2026 13:30</t>
  </si>
  <si>
    <t>SO2601-93087</t>
  </si>
  <si>
    <t>IN2601-102394</t>
  </si>
  <si>
    <t>23/01/2026 12:47</t>
  </si>
  <si>
    <t>SO2601-93086</t>
  </si>
  <si>
    <t>notre dame de la merci</t>
  </si>
  <si>
    <t>IN2601-102393</t>
  </si>
  <si>
    <t>23/01/2026 12:49</t>
  </si>
  <si>
    <t>SO2601-93085</t>
  </si>
  <si>
    <t>IN2601-102392</t>
  </si>
  <si>
    <t>23/01/2026 12:44</t>
  </si>
  <si>
    <t>SO2601-93084</t>
  </si>
  <si>
    <t>kom 687471676</t>
  </si>
  <si>
    <t>IN2601-102391</t>
  </si>
  <si>
    <t>23/01/2026 12:40</t>
  </si>
  <si>
    <t>SO2601-93083</t>
  </si>
  <si>
    <t>essomba</t>
  </si>
  <si>
    <t>IN2601-102390</t>
  </si>
  <si>
    <t>23/01/2026 12:27</t>
  </si>
  <si>
    <t>SO2601-93082</t>
  </si>
  <si>
    <t>TSAKEM ERIC</t>
  </si>
  <si>
    <t>IN2601-102389</t>
  </si>
  <si>
    <t>23/01/2026 12:23</t>
  </si>
  <si>
    <t>SO2601-93081</t>
  </si>
  <si>
    <t>IN2601-102388</t>
  </si>
  <si>
    <t>23/01/2026 12:28</t>
  </si>
  <si>
    <t>SO2601-93080</t>
  </si>
  <si>
    <t>IN2601-102387</t>
  </si>
  <si>
    <t>23/01/2026 12:31</t>
  </si>
  <si>
    <t>SO2601-93079</t>
  </si>
  <si>
    <t>IN2601-102386</t>
  </si>
  <si>
    <t>SO2601-93078</t>
  </si>
  <si>
    <t>CU2508-13507 -  NJIKAM YAYA</t>
  </si>
  <si>
    <t>IN2601-102385</t>
  </si>
  <si>
    <t>23/01/2026 12:21</t>
  </si>
  <si>
    <t>SO2601-93077</t>
  </si>
  <si>
    <t>raffic</t>
  </si>
  <si>
    <t>IN2601-102384</t>
  </si>
  <si>
    <t>23/01/2026 14:14</t>
  </si>
  <si>
    <t>SO2601-93076</t>
  </si>
  <si>
    <t>IN2601-102383</t>
  </si>
  <si>
    <t>23/01/2026 12:14</t>
  </si>
  <si>
    <t>SO2601-93075</t>
  </si>
  <si>
    <t>MME MAKOUGOUM</t>
  </si>
  <si>
    <t>CU2408-01035 -  MAKOUGOUM JOCHINE CLARANCE</t>
  </si>
  <si>
    <t>IN2601-102382</t>
  </si>
  <si>
    <t>23/01/2026 12:08</t>
  </si>
  <si>
    <t>SO2601-93074</t>
  </si>
  <si>
    <t>IN2601-102381</t>
  </si>
  <si>
    <t>SO2601-93073</t>
  </si>
  <si>
    <t>IN2601-102380</t>
  </si>
  <si>
    <t>23/01/2026 12:12</t>
  </si>
  <si>
    <t>SO2601-93072</t>
  </si>
  <si>
    <t>ONANA JUSTIN / 697836308</t>
  </si>
  <si>
    <t>CU2504-01319 -  ONANA JUSTIN</t>
  </si>
  <si>
    <t>IN2601-102379</t>
  </si>
  <si>
    <t>23/01/2026 11:55</t>
  </si>
  <si>
    <t>SO2601-93071</t>
  </si>
  <si>
    <t>mr bekono</t>
  </si>
  <si>
    <t>IN2601-102378</t>
  </si>
  <si>
    <t>23/01/2026 11:59</t>
  </si>
  <si>
    <t>SO2601-93070</t>
  </si>
  <si>
    <t>SANDRINE</t>
  </si>
  <si>
    <t>IN2601-102377</t>
  </si>
  <si>
    <t>23/01/2026 11:51</t>
  </si>
  <si>
    <t>SO2601-93069</t>
  </si>
  <si>
    <t>CU2502-01259 -  PROVENDERIE TPR</t>
  </si>
  <si>
    <t>IN2601-102376</t>
  </si>
  <si>
    <t>23/01/2026 11:50</t>
  </si>
  <si>
    <t>SO2601-93068</t>
  </si>
  <si>
    <t>CU2407-00221 -  Dr TCHOFFO KAFO ERNEST ALBIN</t>
  </si>
  <si>
    <t>IN2601-102375</t>
  </si>
  <si>
    <t>23/01/2026 11:47</t>
  </si>
  <si>
    <t>SO2601-93067</t>
  </si>
  <si>
    <t>WOUAFO</t>
  </si>
  <si>
    <t>IN2601-102374</t>
  </si>
  <si>
    <t>23/01/2026 11:43</t>
  </si>
  <si>
    <t>SO2601-93066</t>
  </si>
  <si>
    <t>Mme ESSONO</t>
  </si>
  <si>
    <t>IN2601-102373</t>
  </si>
  <si>
    <t>23/01/2026 11:48</t>
  </si>
  <si>
    <t>SO2601-93065</t>
  </si>
  <si>
    <t>M. KIMA</t>
  </si>
  <si>
    <t>IN2601-102372</t>
  </si>
  <si>
    <t>23/01/2026 11:37</t>
  </si>
  <si>
    <t>SO2601-93064</t>
  </si>
  <si>
    <t>IN2601-102371</t>
  </si>
  <si>
    <t>23/01/2026 11:41</t>
  </si>
  <si>
    <t>SO2601-93063</t>
  </si>
  <si>
    <t>IN2601-102370</t>
  </si>
  <si>
    <t>23/01/2026 12:18</t>
  </si>
  <si>
    <t>SO2601-93062</t>
  </si>
  <si>
    <t>CU2504-13350 -  NGADJOU TENE CHRISTELLE</t>
  </si>
  <si>
    <t>IN2601-102369</t>
  </si>
  <si>
    <t>SO2601-93061</t>
  </si>
  <si>
    <t>CU2601-14281 -  BELLO BACHAR</t>
  </si>
  <si>
    <t>IN2601-102368</t>
  </si>
  <si>
    <t>23/01/2026 11:44</t>
  </si>
  <si>
    <t>SO2601-93060</t>
  </si>
  <si>
    <t>THEOPHILE</t>
  </si>
  <si>
    <t>IN2601-102367</t>
  </si>
  <si>
    <t>23/01/2026 11:27</t>
  </si>
  <si>
    <t>SO2601-93059</t>
  </si>
  <si>
    <t>IN2601-102366</t>
  </si>
  <si>
    <t>23/01/2026 11:25</t>
  </si>
  <si>
    <t>SO2601-93058</t>
  </si>
  <si>
    <t>MICHEL</t>
  </si>
  <si>
    <t>IN2601-102365</t>
  </si>
  <si>
    <t>23/01/2026 11:31</t>
  </si>
  <si>
    <t>SO2601-93057</t>
  </si>
  <si>
    <t>kenne lactio</t>
  </si>
  <si>
    <t>IN2601-102364</t>
  </si>
  <si>
    <t>23/01/2026 11:26</t>
  </si>
  <si>
    <t>SO2601-93056</t>
  </si>
  <si>
    <t>IN2601-102363</t>
  </si>
  <si>
    <t>SO2601-93055</t>
  </si>
  <si>
    <t>M.KENFACK JOSEPH 651296564</t>
  </si>
  <si>
    <t>IN2601-102362</t>
  </si>
  <si>
    <t>23/01/2026 11:23</t>
  </si>
  <si>
    <t>SO2601-93054</t>
  </si>
  <si>
    <t>M NYENEDA 653355242</t>
  </si>
  <si>
    <t>IN2601-102361</t>
  </si>
  <si>
    <t>23/01/2026 11:21</t>
  </si>
  <si>
    <t>SO2601-93053</t>
  </si>
  <si>
    <t>IN2601-102360</t>
  </si>
  <si>
    <t>23/01/2026 11:16</t>
  </si>
  <si>
    <t>SO2601-93052</t>
  </si>
  <si>
    <t>M KEMAYOU GILBERT</t>
  </si>
  <si>
    <t>IN2601-102359</t>
  </si>
  <si>
    <t>23/01/2026 11:15</t>
  </si>
  <si>
    <t>SO2601-93051</t>
  </si>
  <si>
    <t>IN2601-102358</t>
  </si>
  <si>
    <t>23/01/2026 11:04</t>
  </si>
  <si>
    <t>SO2601-93050</t>
  </si>
  <si>
    <t>IN2601-102357</t>
  </si>
  <si>
    <t>24/01/2026 10:44</t>
  </si>
  <si>
    <t>SO2601-93049</t>
  </si>
  <si>
    <t>KUNGNE 675830300</t>
  </si>
  <si>
    <t>IN2601-102356</t>
  </si>
  <si>
    <t>23/01/2026 16:32</t>
  </si>
  <si>
    <t>SO2601-93048</t>
  </si>
  <si>
    <t>HASSAN 657876410</t>
  </si>
  <si>
    <t>IN2601-102355</t>
  </si>
  <si>
    <t>23/01/2026 16:30</t>
  </si>
  <si>
    <t>SO2601-93047</t>
  </si>
  <si>
    <t>IN2601-102354</t>
  </si>
  <si>
    <t>23/01/2026 11:02</t>
  </si>
  <si>
    <t>SO2601-93046</t>
  </si>
  <si>
    <t>IN2601-102353</t>
  </si>
  <si>
    <t>23/01/2026 10:54</t>
  </si>
  <si>
    <t>SO2601-93045</t>
  </si>
  <si>
    <t>IN2601-102352</t>
  </si>
  <si>
    <t>27/01/2026 15:09</t>
  </si>
  <si>
    <t>SO2601-93044</t>
  </si>
  <si>
    <t>IBRAHIMA 691613757</t>
  </si>
  <si>
    <t>IN2601-102351</t>
  </si>
  <si>
    <t>23/01/2026 10:51</t>
  </si>
  <si>
    <t>SO2601-93043</t>
  </si>
  <si>
    <t>CU2508-13593 -  SOP PLATINI JOEL</t>
  </si>
  <si>
    <t>IN2601-102350</t>
  </si>
  <si>
    <t>23/01/2026 10:50</t>
  </si>
  <si>
    <t>SO2601-93042</t>
  </si>
  <si>
    <t>TCHOUGNOU</t>
  </si>
  <si>
    <t>CU2507-13414 -  TCHOUGNOU NANGHA DAROLE</t>
  </si>
  <si>
    <t>IN2601-102349</t>
  </si>
  <si>
    <t>23/01/2026 10:42</t>
  </si>
  <si>
    <t>SO2601-93041</t>
  </si>
  <si>
    <t>IN2601-102348</t>
  </si>
  <si>
    <t>23/01/2026 12:01</t>
  </si>
  <si>
    <t>SO2601-93040</t>
  </si>
  <si>
    <t>IN2601-102347</t>
  </si>
  <si>
    <t>23/01/2026 15:49</t>
  </si>
  <si>
    <t>SO2601-93039</t>
  </si>
  <si>
    <t>IN2601-102346</t>
  </si>
  <si>
    <t>SO2601-93038</t>
  </si>
  <si>
    <t>CU2504-01325 -  NGUISSEU KWEKOUA CHRISTOPHINE FLORE</t>
  </si>
  <si>
    <t>IN2601-102345</t>
  </si>
  <si>
    <t>23/01/2026 10:46</t>
  </si>
  <si>
    <t>SO2601-93037</t>
  </si>
  <si>
    <t>IN2601-102344</t>
  </si>
  <si>
    <t>23/01/2026 10:43</t>
  </si>
  <si>
    <t>SO2601-93036</t>
  </si>
  <si>
    <t>VOYAGEUR</t>
  </si>
  <si>
    <t>IN2601-102343</t>
  </si>
  <si>
    <t>23/01/2026 10:29</t>
  </si>
  <si>
    <t>SO2601-93035</t>
  </si>
  <si>
    <t>IN2601-102342</t>
  </si>
  <si>
    <t>23/01/2026 10:32</t>
  </si>
  <si>
    <t>SO2601-93034</t>
  </si>
  <si>
    <t>M SOCAC</t>
  </si>
  <si>
    <t>IN2601-102341</t>
  </si>
  <si>
    <t>23/01/2026 10:28</t>
  </si>
  <si>
    <t>SO2601-93033</t>
  </si>
  <si>
    <t>FREDERIC FENOU 679951122</t>
  </si>
  <si>
    <t>IN2601-102340</t>
  </si>
  <si>
    <t>23/01/2026 10:22</t>
  </si>
  <si>
    <t>SO2601-93032</t>
  </si>
  <si>
    <t>IN2601-102339</t>
  </si>
  <si>
    <t>23/01/2026 10:15</t>
  </si>
  <si>
    <t>SO2601-93031</t>
  </si>
  <si>
    <t>CU2407-00459 -  PROV DES ELEVEURS KENDECK</t>
  </si>
  <si>
    <t>IN2601-102338</t>
  </si>
  <si>
    <t>23/01/2026 10:14</t>
  </si>
  <si>
    <t>SO2601-93030</t>
  </si>
  <si>
    <t>BRENDA 654795030</t>
  </si>
  <si>
    <t>IN2601-102337</t>
  </si>
  <si>
    <t>23/01/2026 15:35</t>
  </si>
  <si>
    <t>SO2601-93029</t>
  </si>
  <si>
    <t>PROMISE 654070786</t>
  </si>
  <si>
    <t>IN2601-102336</t>
  </si>
  <si>
    <t>23/01/2026 10:08</t>
  </si>
  <si>
    <t>SO2601-93028</t>
  </si>
  <si>
    <t>IN2601-102335</t>
  </si>
  <si>
    <t>23/01/2026 10:06</t>
  </si>
  <si>
    <t>SO2601-93027</t>
  </si>
  <si>
    <t>IN2601-102334</t>
  </si>
  <si>
    <t>23/01/2026 10:03</t>
  </si>
  <si>
    <t>SO2601-93026</t>
  </si>
  <si>
    <t>IN2601-102333</t>
  </si>
  <si>
    <t>23/01/2026 10:01</t>
  </si>
  <si>
    <t>SO2601-93025</t>
  </si>
  <si>
    <t>K FARMS 672615781</t>
  </si>
  <si>
    <t>IN2601-102332</t>
  </si>
  <si>
    <t>23/01/2026 09:59</t>
  </si>
  <si>
    <t>SO2601-93024</t>
  </si>
  <si>
    <t>CU2504-01315 -  PROVENDERIE DU PEUPLE</t>
  </si>
  <si>
    <t>IN2601-102331</t>
  </si>
  <si>
    <t>SO2601-93023</t>
  </si>
  <si>
    <t>IN2601-102330</t>
  </si>
  <si>
    <t>23/01/2026 10:00</t>
  </si>
  <si>
    <t>SO2601-93022</t>
  </si>
  <si>
    <t>IN2601-102329</t>
  </si>
  <si>
    <t>23/01/2026 09:57</t>
  </si>
  <si>
    <t>SO2601-93021</t>
  </si>
  <si>
    <t>BILONG BENJAMIN 690467543</t>
  </si>
  <si>
    <t>IN2601-102328</t>
  </si>
  <si>
    <t>23/01/2026 09:56</t>
  </si>
  <si>
    <t>SO2601-93020</t>
  </si>
  <si>
    <t>GIC EMERGENCE 693746536</t>
  </si>
  <si>
    <t>IN2601-102327</t>
  </si>
  <si>
    <t>23/01/2026 09:54</t>
  </si>
  <si>
    <t>SO2601-93019</t>
  </si>
  <si>
    <t>JEANNETTE</t>
  </si>
  <si>
    <t>IN2601-102326</t>
  </si>
  <si>
    <t>23/01/2026 09:49</t>
  </si>
  <si>
    <t>SO2601-93018</t>
  </si>
  <si>
    <t>LANGWE MARCEL 654116134</t>
  </si>
  <si>
    <t>IN2601-102325</t>
  </si>
  <si>
    <t>23/01/2026 09:47</t>
  </si>
  <si>
    <t>SO2601-93017</t>
  </si>
  <si>
    <t>CU2407-00979 -  PROVENDERIE FOFIE</t>
  </si>
  <si>
    <t>IN2601-102324</t>
  </si>
  <si>
    <t>23/01/2026 09:46</t>
  </si>
  <si>
    <t>SO2601-93016</t>
  </si>
  <si>
    <t>CU2406-00050 -  WATHO GEORGE</t>
  </si>
  <si>
    <t>IN2601-102323</t>
  </si>
  <si>
    <t>23/01/2026 09:50</t>
  </si>
  <si>
    <t>SO2601-93015</t>
  </si>
  <si>
    <t>akwa</t>
  </si>
  <si>
    <t>IN2601-102322</t>
  </si>
  <si>
    <t>23/01/2026 09:45</t>
  </si>
  <si>
    <t>SO2601-93014</t>
  </si>
  <si>
    <t>CU2512-14247 -  PROVENDERIE BANSOA</t>
  </si>
  <si>
    <t>IN2601-102321</t>
  </si>
  <si>
    <t>23/01/2026 15:33</t>
  </si>
  <si>
    <t>SO2601-93013</t>
  </si>
  <si>
    <t>Mme ANDELA</t>
  </si>
  <si>
    <t>IN2601-102320</t>
  </si>
  <si>
    <t>23/01/2026 09:38</t>
  </si>
  <si>
    <t>SO2601-93012</t>
  </si>
  <si>
    <t>IN2601-102319</t>
  </si>
  <si>
    <t>SO2601-93010</t>
  </si>
  <si>
    <t>CU2407-00232 -  KAMDEM MERLIN</t>
  </si>
  <si>
    <t>IN2601-102317</t>
  </si>
  <si>
    <t>23/01/2026 09:28</t>
  </si>
  <si>
    <t>SO2601-93009</t>
  </si>
  <si>
    <t>CU2511-14162 -  PROV MERLIN</t>
  </si>
  <si>
    <t>IN2601-102316</t>
  </si>
  <si>
    <t>SO2601-93008</t>
  </si>
  <si>
    <t>IN2601-102315</t>
  </si>
  <si>
    <t>23/01/2026 09:25</t>
  </si>
  <si>
    <t>SO2601-93007</t>
  </si>
  <si>
    <t>IN2601-102314</t>
  </si>
  <si>
    <t>23/01/2026 10:05</t>
  </si>
  <si>
    <t>SO2601-93006</t>
  </si>
  <si>
    <t>ATANGANA BOREL PARFAIT / 655 66 21 60</t>
  </si>
  <si>
    <t>IN2601-102313</t>
  </si>
  <si>
    <t>23/01/2026 09:23</t>
  </si>
  <si>
    <t>SO2601-93005</t>
  </si>
  <si>
    <t>IN2601-102312</t>
  </si>
  <si>
    <t>SO2601-93004</t>
  </si>
  <si>
    <t>CU2504-01329 -  TEUTSEU GUY FRANKLIN</t>
  </si>
  <si>
    <t>IN2601-102311</t>
  </si>
  <si>
    <t>23/01/2026 09:11</t>
  </si>
  <si>
    <t>SO2601-93003</t>
  </si>
  <si>
    <t>CU2407-00325 -  PROVENDERIE DU CENTRE</t>
  </si>
  <si>
    <t>IN2601-102310</t>
  </si>
  <si>
    <t>23/01/2026 10:13</t>
  </si>
  <si>
    <t>SO2601-93002</t>
  </si>
  <si>
    <t>MARC LANDRY 675961731</t>
  </si>
  <si>
    <t>IN2601-102309</t>
  </si>
  <si>
    <t>23/01/2026 09:08</t>
  </si>
  <si>
    <t>SO2601-93001</t>
  </si>
  <si>
    <t>IN2601-102308</t>
  </si>
  <si>
    <t>23/01/2026 09:05</t>
  </si>
  <si>
    <t>SO2601-93000</t>
  </si>
  <si>
    <t>IN2601-102307</t>
  </si>
  <si>
    <t>23/01/2026 09:07</t>
  </si>
  <si>
    <t>SO2601-92999</t>
  </si>
  <si>
    <t>IN2601-102306</t>
  </si>
  <si>
    <t>23/01/2026 09:06</t>
  </si>
  <si>
    <t>SO2601-92998</t>
  </si>
  <si>
    <t>IN2601-102305</t>
  </si>
  <si>
    <t>23/01/2026 08:56</t>
  </si>
  <si>
    <t>SO2601-92997</t>
  </si>
  <si>
    <t>IN2601-102304</t>
  </si>
  <si>
    <t>23/01/2026 09:12</t>
  </si>
  <si>
    <t>SO2601-92996</t>
  </si>
  <si>
    <t>CU2407-00227 -  MME CHETEU FOMUM</t>
  </si>
  <si>
    <t>IN2601-102303</t>
  </si>
  <si>
    <t>23/01/2026 09:02</t>
  </si>
  <si>
    <t>SO2601-92995</t>
  </si>
  <si>
    <t>IN2601-102302</t>
  </si>
  <si>
    <t>23/01/2026 08:59</t>
  </si>
  <si>
    <t>SO2601-92994</t>
  </si>
  <si>
    <t>IN2601-102301</t>
  </si>
  <si>
    <t>23/01/2026 09:04</t>
  </si>
  <si>
    <t>SO2601-92993</t>
  </si>
  <si>
    <t>IN2601-102300</t>
  </si>
  <si>
    <t>23/01/2026 08:39</t>
  </si>
  <si>
    <t>SO2601-92992</t>
  </si>
  <si>
    <t>IN2601-102299</t>
  </si>
  <si>
    <t>23/01/2026 08:34</t>
  </si>
  <si>
    <t>SO2601-92991</t>
  </si>
  <si>
    <t>CU2505-13382 -  TCHANTCHOU EPS WOUABO GHISLAINE (TCHANTCHOU EPS WOUABO GHISLAINE)</t>
  </si>
  <si>
    <t>IN2601-102298</t>
  </si>
  <si>
    <t>CU2505-13382 -  TCHANTCHOU EPS WOUABO GHISLAINE</t>
  </si>
  <si>
    <t>TCHANTCHOU EPS WOUABO GHISLAINE</t>
  </si>
  <si>
    <t>23/01/2026 10:07</t>
  </si>
  <si>
    <t>SO2601-92990</t>
  </si>
  <si>
    <t>IN2601-102297</t>
  </si>
  <si>
    <t>23/01/2026 08:26</t>
  </si>
  <si>
    <t>SO2601-92989</t>
  </si>
  <si>
    <t>IN2601-102296</t>
  </si>
  <si>
    <t>SO2601-92988</t>
  </si>
  <si>
    <t>IN2601-102295</t>
  </si>
  <si>
    <t>23/01/2026 08:14</t>
  </si>
  <si>
    <t>SO2601-92987</t>
  </si>
  <si>
    <t>IN2601-102294</t>
  </si>
  <si>
    <t>23/01/2026 08:04</t>
  </si>
  <si>
    <t>SO2601-93011</t>
  </si>
  <si>
    <t>CU2601-14344 -  DJUKA EPSE KENFACK MARIE CHANTALE</t>
  </si>
  <si>
    <t>22/01/2026</t>
  </si>
  <si>
    <t>22/01/2026 00:00</t>
  </si>
  <si>
    <t>IN2601-102318</t>
  </si>
  <si>
    <t>23/01/2026 09:31</t>
  </si>
  <si>
    <t>SO2601-92986</t>
  </si>
  <si>
    <t>IN2601-102293</t>
  </si>
  <si>
    <t>22/01/2026 17:31</t>
  </si>
  <si>
    <t>SO2601-92985</t>
  </si>
  <si>
    <t>TAKEN 656 640350</t>
  </si>
  <si>
    <t>IN2601-102292</t>
  </si>
  <si>
    <t>22/01/2026 17:20</t>
  </si>
  <si>
    <t>SO2601-92984</t>
  </si>
  <si>
    <t>IN2601-102291</t>
  </si>
  <si>
    <t>22/01/2026 17:08</t>
  </si>
  <si>
    <t>SO2601-92983</t>
  </si>
  <si>
    <t>IN2601-102290</t>
  </si>
  <si>
    <t>22/01/2026 16:44</t>
  </si>
  <si>
    <t>SO2601-92982</t>
  </si>
  <si>
    <t>MAEL</t>
  </si>
  <si>
    <t>IN2601-102289</t>
  </si>
  <si>
    <t>22/01/2026 16:36</t>
  </si>
  <si>
    <t>SO2601-92981</t>
  </si>
  <si>
    <t>METELA 696119526</t>
  </si>
  <si>
    <t>IN2601-102288</t>
  </si>
  <si>
    <t>22/01/2026 16:33</t>
  </si>
  <si>
    <t>SO2601-92980</t>
  </si>
  <si>
    <t>IN2601-102287</t>
  </si>
  <si>
    <t>22/01/2026 17:03</t>
  </si>
  <si>
    <t>SO2601-92979</t>
  </si>
  <si>
    <t>IN2601-102286</t>
  </si>
  <si>
    <t>SO2601-92978</t>
  </si>
  <si>
    <t>CU2407-00666 -  KAMDEM</t>
  </si>
  <si>
    <t>IN2601-102285</t>
  </si>
  <si>
    <t>22/01/2026 16:38</t>
  </si>
  <si>
    <t>SO2601-92977</t>
  </si>
  <si>
    <t>KEMOGNE 675712829</t>
  </si>
  <si>
    <t>IN2601-102284</t>
  </si>
  <si>
    <t>22/01/2026 16:31</t>
  </si>
  <si>
    <t>SO2601-92976</t>
  </si>
  <si>
    <t>LEGNE</t>
  </si>
  <si>
    <t>IN2601-102283</t>
  </si>
  <si>
    <t>22/01/2026 16:27</t>
  </si>
  <si>
    <t>SO2601-92975</t>
  </si>
  <si>
    <t>IN2601-102282</t>
  </si>
  <si>
    <t>22/01/2026 16:40</t>
  </si>
  <si>
    <t>SO2601-92974</t>
  </si>
  <si>
    <t>IN2601-102281</t>
  </si>
  <si>
    <t>22/01/2026 16:34</t>
  </si>
  <si>
    <t>SO2601-92973</t>
  </si>
  <si>
    <t>TEDONGMO YEMDJI FRANCK (ZDCL00115)</t>
  </si>
  <si>
    <t>IN2601-102280</t>
  </si>
  <si>
    <t>TEDONGMO YEMDJI FRANCK</t>
  </si>
  <si>
    <t>ZDCL00115</t>
  </si>
  <si>
    <t>SO2601-92972</t>
  </si>
  <si>
    <t>IN2601-102279</t>
  </si>
  <si>
    <t>22/01/2026 16:29</t>
  </si>
  <si>
    <t>SO2601-92971</t>
  </si>
  <si>
    <t>M BIDA</t>
  </si>
  <si>
    <t>IN2601-102278</t>
  </si>
  <si>
    <t>SO2601-92970</t>
  </si>
  <si>
    <t>IN2601-102277</t>
  </si>
  <si>
    <t>SO2601-92969</t>
  </si>
  <si>
    <t>IN2601-102276</t>
  </si>
  <si>
    <t>22/01/2026 16:26</t>
  </si>
  <si>
    <t>SO2601-92968</t>
  </si>
  <si>
    <t>FORCEN 697624035</t>
  </si>
  <si>
    <t>CU2407-01014 -  ETS FORCE N</t>
  </si>
  <si>
    <t>IN2601-102275</t>
  </si>
  <si>
    <t>SO2601-92967</t>
  </si>
  <si>
    <t>TIA BORIS (ZDCL00015)</t>
  </si>
  <si>
    <t>IN2601-102274</t>
  </si>
  <si>
    <t>TIA BORIS</t>
  </si>
  <si>
    <t>ZDCL00015</t>
  </si>
  <si>
    <t>22/01/2026 16:25</t>
  </si>
  <si>
    <t>SO2601-92966</t>
  </si>
  <si>
    <t>M.NOUMBI GUY 694215705</t>
  </si>
  <si>
    <t>IN2601-102273</t>
  </si>
  <si>
    <t>22/01/2026 16:39</t>
  </si>
  <si>
    <t>SO2601-92965</t>
  </si>
  <si>
    <t>CU2407-00822 -  NGHEMCHE TCHUENTE SYLVAIN</t>
  </si>
  <si>
    <t>IN2601-102272</t>
  </si>
  <si>
    <t>22/01/2026 16:49</t>
  </si>
  <si>
    <t>SO2601-92964</t>
  </si>
  <si>
    <t>CU2601-14310 -  DJIFACK LUCAS EDIMOND</t>
  </si>
  <si>
    <t>IN2601-102271</t>
  </si>
  <si>
    <t>22/01/2026 16:46</t>
  </si>
  <si>
    <t>SO2601-92963</t>
  </si>
  <si>
    <t>FOKOU</t>
  </si>
  <si>
    <t>CU2508-13578 -  FOKOU DONGFACK BIENVENU</t>
  </si>
  <si>
    <t>IN2601-102270</t>
  </si>
  <si>
    <t>22/01/2026 16:19</t>
  </si>
  <si>
    <t>SO2601-92962</t>
  </si>
  <si>
    <t>IN2601-102269</t>
  </si>
  <si>
    <t>SO2601-92961</t>
  </si>
  <si>
    <t>TALOM KAMGA 694532949</t>
  </si>
  <si>
    <t>TALOM KAMGA FRANCIS</t>
  </si>
  <si>
    <t>IN2601-102268</t>
  </si>
  <si>
    <t>22/01/2026 16:12</t>
  </si>
  <si>
    <t>SO2601-92960</t>
  </si>
  <si>
    <t>IN2601-102267</t>
  </si>
  <si>
    <t>22/01/2026 16:09</t>
  </si>
  <si>
    <t>SO2601-92959</t>
  </si>
  <si>
    <t>M KENGNE SAMUEL</t>
  </si>
  <si>
    <t>IN2601-102266</t>
  </si>
  <si>
    <t>22/01/2026 16:10</t>
  </si>
  <si>
    <t>SO2601-92958</t>
  </si>
  <si>
    <t>IN2601-102265</t>
  </si>
  <si>
    <t>SO2601-92957</t>
  </si>
  <si>
    <t>M MBOLE 673052123</t>
  </si>
  <si>
    <t>IN2601-102264</t>
  </si>
  <si>
    <t>22/01/2026 16:37</t>
  </si>
  <si>
    <t>SO2601-92956</t>
  </si>
  <si>
    <t>Mme MBARGA</t>
  </si>
  <si>
    <t>IN2601-102263</t>
  </si>
  <si>
    <t>22/01/2026 16:05</t>
  </si>
  <si>
    <t>SO2601-92955</t>
  </si>
  <si>
    <t>IN2601-102262</t>
  </si>
  <si>
    <t>22/01/2026 15:59</t>
  </si>
  <si>
    <t>SO2601-92954</t>
  </si>
  <si>
    <t>IN2601-102261</t>
  </si>
  <si>
    <t>22/01/2026 16:01</t>
  </si>
  <si>
    <t>SO2601-92953</t>
  </si>
  <si>
    <t>21/01/2026 00:00</t>
  </si>
  <si>
    <t>IN2601-102260</t>
  </si>
  <si>
    <t>22/01/2026 16:11</t>
  </si>
  <si>
    <t>SO2601-92952</t>
  </si>
  <si>
    <t>IN2601-102259</t>
  </si>
  <si>
    <t>22/01/2026 16:35</t>
  </si>
  <si>
    <t>SO2601-92951</t>
  </si>
  <si>
    <t>TALOM</t>
  </si>
  <si>
    <t>IN2601-102258</t>
  </si>
  <si>
    <t>22/01/2026 16:21</t>
  </si>
  <si>
    <t>SO2601-92950</t>
  </si>
  <si>
    <t>MME GANYON MIREILLE 675647589</t>
  </si>
  <si>
    <t>IN2601-102257</t>
  </si>
  <si>
    <t>SO2601-92949</t>
  </si>
  <si>
    <t>CU2407-00445 -  MOUGET EVARISTUS ACHU</t>
  </si>
  <si>
    <t>IN2601-102256</t>
  </si>
  <si>
    <t>22/01/2026 15:48</t>
  </si>
  <si>
    <t>SO2601-92948</t>
  </si>
  <si>
    <t>M TSOTEZO JEAN ROBERT</t>
  </si>
  <si>
    <t>IN2601-102255</t>
  </si>
  <si>
    <t>SO2601-92947</t>
  </si>
  <si>
    <t>IN2601-102254</t>
  </si>
  <si>
    <t>22/01/2026 15:43</t>
  </si>
  <si>
    <t>SO2601-92946</t>
  </si>
  <si>
    <t>IN2601-102253</t>
  </si>
  <si>
    <t>SO2601-92945</t>
  </si>
  <si>
    <t>VANESSA</t>
  </si>
  <si>
    <t>IN2601-102252</t>
  </si>
  <si>
    <t>22/01/2026 15:44</t>
  </si>
  <si>
    <t>SO2601-92944</t>
  </si>
  <si>
    <t>DAOUDA/ 658925556</t>
  </si>
  <si>
    <t>IN2601-102251</t>
  </si>
  <si>
    <t>SO2601-92943</t>
  </si>
  <si>
    <t>IN2601-102250</t>
  </si>
  <si>
    <t>22/01/2026 15:34</t>
  </si>
  <si>
    <t>SO2601-92942</t>
  </si>
  <si>
    <t>TAMBA Olivier</t>
  </si>
  <si>
    <t>IN2601-102249</t>
  </si>
  <si>
    <t>22/01/2026 15:37</t>
  </si>
  <si>
    <t>SO2601-92941</t>
  </si>
  <si>
    <t>M TCHUETE</t>
  </si>
  <si>
    <t>IN2601-102248</t>
  </si>
  <si>
    <t>22/01/2026 15:35</t>
  </si>
  <si>
    <t>SO2601-92940</t>
  </si>
  <si>
    <t>TAGNE</t>
  </si>
  <si>
    <t>IN2601-102247</t>
  </si>
  <si>
    <t>22/01/2026 15:20</t>
  </si>
  <si>
    <t>SO2601-92939</t>
  </si>
  <si>
    <t>IN2601-102246</t>
  </si>
  <si>
    <t>22/01/2026 15:16</t>
  </si>
  <si>
    <t>SO2601-92938</t>
  </si>
  <si>
    <t>FERDINAND DINGBA / 693142348</t>
  </si>
  <si>
    <t>IN2601-102245</t>
  </si>
  <si>
    <t>SO2601-92937</t>
  </si>
  <si>
    <t>IN2601-102244</t>
  </si>
  <si>
    <t>SO2601-92936</t>
  </si>
  <si>
    <t>IN2601-102243</t>
  </si>
  <si>
    <t>22/01/2026 15:29</t>
  </si>
  <si>
    <t>SO2601-92935</t>
  </si>
  <si>
    <t>Mme EBAGUE</t>
  </si>
  <si>
    <t>IN2601-102242</t>
  </si>
  <si>
    <t>22/01/2026 15:13</t>
  </si>
  <si>
    <t>SO2601-92934</t>
  </si>
  <si>
    <t>IN2601-102241</t>
  </si>
  <si>
    <t>22/01/2026 15:01</t>
  </si>
  <si>
    <t>SO2601-92933</t>
  </si>
  <si>
    <t>IN2601-102240</t>
  </si>
  <si>
    <t>22/01/2026 15:02</t>
  </si>
  <si>
    <t>SO2601-92932</t>
  </si>
  <si>
    <t>KENGNE JC 699081569</t>
  </si>
  <si>
    <t>IN2601-102239</t>
  </si>
  <si>
    <t>22/01/2026 14:56</t>
  </si>
  <si>
    <t>SO2601-92931</t>
  </si>
  <si>
    <t>IN2601-102238</t>
  </si>
  <si>
    <t>22/01/2026 14:54</t>
  </si>
  <si>
    <t>SO2601-92930</t>
  </si>
  <si>
    <t>IN2601-102237</t>
  </si>
  <si>
    <t>22/01/2026 14:51</t>
  </si>
  <si>
    <t>SO2601-92929</t>
  </si>
  <si>
    <t>IN2601-102236</t>
  </si>
  <si>
    <t>22/01/2026 14:46</t>
  </si>
  <si>
    <t>SO2601-92928</t>
  </si>
  <si>
    <t>M EMMA</t>
  </si>
  <si>
    <t>IN2601-102235</t>
  </si>
  <si>
    <t>22/01/2026 15:14</t>
  </si>
  <si>
    <t>SO2601-92927</t>
  </si>
  <si>
    <t>IN2601-102234</t>
  </si>
  <si>
    <t>22/01/2026 16:16</t>
  </si>
  <si>
    <t>SO2601-92926</t>
  </si>
  <si>
    <t>CU2407-00969 -  PROVENDERIE LA COTE</t>
  </si>
  <si>
    <t>IN2601-102233</t>
  </si>
  <si>
    <t>22/01/2026 14:38</t>
  </si>
  <si>
    <t>SO2601-92925</t>
  </si>
  <si>
    <t>piam kamdem</t>
  </si>
  <si>
    <t>IN2601-102232</t>
  </si>
  <si>
    <t>22/01/2026 14:33</t>
  </si>
  <si>
    <t>SO2601-92924</t>
  </si>
  <si>
    <t>IN2601-102231</t>
  </si>
  <si>
    <t>22/01/2026 14:32</t>
  </si>
  <si>
    <t>SO2601-92923</t>
  </si>
  <si>
    <t>CU2411-01166 -  NGNIE FOTSO GISLIN</t>
  </si>
  <si>
    <t>IN2601-102230</t>
  </si>
  <si>
    <t>22/01/2026 14:31</t>
  </si>
  <si>
    <t>SO2601-92922</t>
  </si>
  <si>
    <t>CU2509-13917 -  MAGNIMEZA JEANNINE THERESE</t>
  </si>
  <si>
    <t>IN2601-102229</t>
  </si>
  <si>
    <t>22/01/2026 14:19</t>
  </si>
  <si>
    <t>SO2601-92921</t>
  </si>
  <si>
    <t>IN2601-102228</t>
  </si>
  <si>
    <t>22/01/2026 14:12</t>
  </si>
  <si>
    <t>SO2601-92920</t>
  </si>
  <si>
    <t>IN2601-102227</t>
  </si>
  <si>
    <t>22/01/2026 14:14</t>
  </si>
  <si>
    <t>SO2601-92919</t>
  </si>
  <si>
    <t>PATRICK BWANGNI 679495606</t>
  </si>
  <si>
    <t>IN2601-102226</t>
  </si>
  <si>
    <t>22/01/2026 14:06</t>
  </si>
  <si>
    <t>SO2601-92918</t>
  </si>
  <si>
    <t>IN2601-102225</t>
  </si>
  <si>
    <t>22/01/2026 13:56</t>
  </si>
  <si>
    <t>SO2601-92917</t>
  </si>
  <si>
    <t>DINGUE</t>
  </si>
  <si>
    <t>IN2601-102224</t>
  </si>
  <si>
    <t>22/01/2026 14:04</t>
  </si>
  <si>
    <t>SO2601-92916</t>
  </si>
  <si>
    <t>IN2601-102223</t>
  </si>
  <si>
    <t>SO2601-92915</t>
  </si>
  <si>
    <t>FONKOU DIEUDONNE 677817871</t>
  </si>
  <si>
    <t>IN2601-102222</t>
  </si>
  <si>
    <t>SO2601-92914</t>
  </si>
  <si>
    <t>IN2601-102221</t>
  </si>
  <si>
    <t>22/01/2026 13:39</t>
  </si>
  <si>
    <t>SO2601-92913</t>
  </si>
  <si>
    <t>IN2601-102220</t>
  </si>
  <si>
    <t>22/01/2026 13:48</t>
  </si>
  <si>
    <t>SO2601-92912</t>
  </si>
  <si>
    <t>MOUAFFO 677129289</t>
  </si>
  <si>
    <t>IN2601-102219</t>
  </si>
  <si>
    <t>22/01/2026 13:36</t>
  </si>
  <si>
    <t>SO2601-92911</t>
  </si>
  <si>
    <t>IN2601-102218</t>
  </si>
  <si>
    <t>SO2601-92910</t>
  </si>
  <si>
    <t>ABOUBAKAR / 691853447</t>
  </si>
  <si>
    <t>IN2601-102217</t>
  </si>
  <si>
    <t>22/01/2026 13:31</t>
  </si>
  <si>
    <t>SO2601-92909</t>
  </si>
  <si>
    <t>YANO 699538619</t>
  </si>
  <si>
    <t>IN2601-102216</t>
  </si>
  <si>
    <t>22/01/2026 13:29</t>
  </si>
  <si>
    <t>SO2601-92907</t>
  </si>
  <si>
    <t>IN2601-102214</t>
  </si>
  <si>
    <t>22/01/2026 14:09</t>
  </si>
  <si>
    <t>SO2601-92906</t>
  </si>
  <si>
    <t>M ETONGUE</t>
  </si>
  <si>
    <t>IN2601-102213</t>
  </si>
  <si>
    <t>22/01/2026 13:21</t>
  </si>
  <si>
    <t>SO2601-92904</t>
  </si>
  <si>
    <t>IN2601-102211</t>
  </si>
  <si>
    <t>22/01/2026 13:15</t>
  </si>
  <si>
    <t>SO2601-92903</t>
  </si>
  <si>
    <t>IN2601-102210</t>
  </si>
  <si>
    <t>22/01/2026 13:08</t>
  </si>
  <si>
    <t>SO2601-92902</t>
  </si>
  <si>
    <t>ZANGUE 658100354</t>
  </si>
  <si>
    <t>IN2601-102209</t>
  </si>
  <si>
    <t>22/01/2026 13:05</t>
  </si>
  <si>
    <t>SO2601-92901</t>
  </si>
  <si>
    <t>MME NJIKE ALVIS 670802818</t>
  </si>
  <si>
    <t>IN2601-102208</t>
  </si>
  <si>
    <t>SO2601-92900</t>
  </si>
  <si>
    <t>CU2512-14193 -  TAKOUCHE ANDEFONKOU ARTHUR DIDIER</t>
  </si>
  <si>
    <t>IN2601-102207</t>
  </si>
  <si>
    <t>22/01/2026 13:24</t>
  </si>
  <si>
    <t>SO2601-92899</t>
  </si>
  <si>
    <t>IN2601-102206</t>
  </si>
  <si>
    <t>22/01/2026 12:58</t>
  </si>
  <si>
    <t>SO2601-92898</t>
  </si>
  <si>
    <t>IN2601-102205</t>
  </si>
  <si>
    <t>22/01/2026 12:53</t>
  </si>
  <si>
    <t>SO2601-92897</t>
  </si>
  <si>
    <t>PHILOMENE</t>
  </si>
  <si>
    <t>IN2601-102204</t>
  </si>
  <si>
    <t>SO2601-92896</t>
  </si>
  <si>
    <t>IN2601-102203</t>
  </si>
  <si>
    <t>22/01/2026 12:56</t>
  </si>
  <si>
    <t>SO2601-92895</t>
  </si>
  <si>
    <t>IN2601-102202</t>
  </si>
  <si>
    <t>22/01/2026 12:47</t>
  </si>
  <si>
    <t>SO2601-92894</t>
  </si>
  <si>
    <t>IN2601-102201</t>
  </si>
  <si>
    <t>22/01/2026 12:42</t>
  </si>
  <si>
    <t>SO2601-92893</t>
  </si>
  <si>
    <t>MARIE 695946022</t>
  </si>
  <si>
    <t>IN2601-102200</t>
  </si>
  <si>
    <t>22/01/2026 16:28</t>
  </si>
  <si>
    <t>SO2601-92892</t>
  </si>
  <si>
    <t>IN2601-102199</t>
  </si>
  <si>
    <t>22/01/2026 12:39</t>
  </si>
  <si>
    <t>SO2601-92891</t>
  </si>
  <si>
    <t>KENGNE MAURICE 672057824</t>
  </si>
  <si>
    <t>IN2601-102198</t>
  </si>
  <si>
    <t>22/01/2026 12:40</t>
  </si>
  <si>
    <t>SO2601-92890</t>
  </si>
  <si>
    <t>IN2601-102197</t>
  </si>
  <si>
    <t>22/01/2026 12:28</t>
  </si>
  <si>
    <t>SO2601-92889</t>
  </si>
  <si>
    <t>BORISS</t>
  </si>
  <si>
    <t>IN2601-102196</t>
  </si>
  <si>
    <t>22/01/2026 12:25</t>
  </si>
  <si>
    <t>SO2601-92888</t>
  </si>
  <si>
    <t>ZAPZI CLEMENT 683142284</t>
  </si>
  <si>
    <t>IN2601-102195</t>
  </si>
  <si>
    <t>22/01/2026 12:27</t>
  </si>
  <si>
    <t>SO2601-92887</t>
  </si>
  <si>
    <t>IN2601-102194</t>
  </si>
  <si>
    <t>SO2601-92886</t>
  </si>
  <si>
    <t>IN2601-102193</t>
  </si>
  <si>
    <t>22/01/2026 12:18</t>
  </si>
  <si>
    <t>SO2601-92885</t>
  </si>
  <si>
    <t>CU2407-00433 -  ACHU ERIC NGWA</t>
  </si>
  <si>
    <t>IN2601-102192</t>
  </si>
  <si>
    <t>22/01/2026 12:23</t>
  </si>
  <si>
    <t>SO2601-92884</t>
  </si>
  <si>
    <t>IN2601-102191</t>
  </si>
  <si>
    <t>22/01/2026 12:16</t>
  </si>
  <si>
    <t>SO2601-92883</t>
  </si>
  <si>
    <t>CHRISTABEL</t>
  </si>
  <si>
    <t>IN2601-102190</t>
  </si>
  <si>
    <t>22/01/2026 12:08</t>
  </si>
  <si>
    <t>SO2601-92882</t>
  </si>
  <si>
    <t>CU2407-00927 -  Kingdom farm enterprise (KFE</t>
  </si>
  <si>
    <t>IN2601-102189</t>
  </si>
  <si>
    <t>22/01/2026 12:21</t>
  </si>
  <si>
    <t>SO2601-92881</t>
  </si>
  <si>
    <t>IN2601-102188</t>
  </si>
  <si>
    <t>22/01/2026 12:04</t>
  </si>
  <si>
    <t>SO2601-92880</t>
  </si>
  <si>
    <t>IN2601-102187</t>
  </si>
  <si>
    <t>SO2601-92879</t>
  </si>
  <si>
    <t>TEITIO REGINE</t>
  </si>
  <si>
    <t>IN2601-102186</t>
  </si>
  <si>
    <t>22/01/2026 12:55</t>
  </si>
  <si>
    <t>SO2601-92878</t>
  </si>
  <si>
    <t>IN2601-102185</t>
  </si>
  <si>
    <t>22/01/2026 11:50</t>
  </si>
  <si>
    <t>SO2601-92877</t>
  </si>
  <si>
    <t>CU2601-14343 -  NJUEPAM JEAN PAUL</t>
  </si>
  <si>
    <t>IN2601-102184</t>
  </si>
  <si>
    <t>SO2601-92876</t>
  </si>
  <si>
    <t>IN2601-102183</t>
  </si>
  <si>
    <t>22/01/2026 11:52</t>
  </si>
  <si>
    <t>SO2601-92875</t>
  </si>
  <si>
    <t>IN2601-102182</t>
  </si>
  <si>
    <t>22/01/2026 11:55</t>
  </si>
  <si>
    <t>SO2601-92874</t>
  </si>
  <si>
    <t>IN2601-102181</t>
  </si>
  <si>
    <t>22/01/2026 11:42</t>
  </si>
  <si>
    <t>SO2601-92873</t>
  </si>
  <si>
    <t>CU2407-00577 -  EVO COOP CA</t>
  </si>
  <si>
    <t>IN2601-102180</t>
  </si>
  <si>
    <t>SO2601-92872</t>
  </si>
  <si>
    <t>IN2601-102179</t>
  </si>
  <si>
    <t>22/01/2026 11:39</t>
  </si>
  <si>
    <t>SO2601-92871</t>
  </si>
  <si>
    <t>IN2601-102178</t>
  </si>
  <si>
    <t>22/01/2026 11:36</t>
  </si>
  <si>
    <t>SO2601-92870</t>
  </si>
  <si>
    <t>IN2601-102177</t>
  </si>
  <si>
    <t>22/01/2026 11:47</t>
  </si>
  <si>
    <t>SO2601-92869</t>
  </si>
  <si>
    <t>TAHADE 696022603</t>
  </si>
  <si>
    <t>IN2601-102176</t>
  </si>
  <si>
    <t>22/01/2026 11:30</t>
  </si>
  <si>
    <t>SO2601-92868</t>
  </si>
  <si>
    <t>MODIBO/ 696743791</t>
  </si>
  <si>
    <t>CU2508-13472 -  MODIBO NOUHOU</t>
  </si>
  <si>
    <t>IN2601-102175</t>
  </si>
  <si>
    <t>22/01/2026 11:28</t>
  </si>
  <si>
    <t>SO2601-92867</t>
  </si>
  <si>
    <t>KINDY GROUP</t>
  </si>
  <si>
    <t>IN2601-102174</t>
  </si>
  <si>
    <t>22/01/2026 11:25</t>
  </si>
  <si>
    <t>SO2601-92866</t>
  </si>
  <si>
    <t>KADJE NDE</t>
  </si>
  <si>
    <t>IN2601-102173</t>
  </si>
  <si>
    <t>22/01/2026 11:29</t>
  </si>
  <si>
    <t>SO2601-92865</t>
  </si>
  <si>
    <t>IN2601-102172</t>
  </si>
  <si>
    <t>22/01/2026 12:37</t>
  </si>
  <si>
    <t>SO2601-92864</t>
  </si>
  <si>
    <t>HERVE 697924465</t>
  </si>
  <si>
    <t>IN2601-102171</t>
  </si>
  <si>
    <t>22/01/2026 11:23</t>
  </si>
  <si>
    <t>SO2601-92863</t>
  </si>
  <si>
    <t>ENSLIM</t>
  </si>
  <si>
    <t>IN2601-102170</t>
  </si>
  <si>
    <t>22/01/2026 11:19</t>
  </si>
  <si>
    <t>SO2601-92862</t>
  </si>
  <si>
    <t>IN2601-102169</t>
  </si>
  <si>
    <t>SO2601-92861</t>
  </si>
  <si>
    <t>IN2601-102168</t>
  </si>
  <si>
    <t>22/01/2026 11:14</t>
  </si>
  <si>
    <t>SO2601-92860</t>
  </si>
  <si>
    <t>IN2601-102167</t>
  </si>
  <si>
    <t>22/01/2026 11:09</t>
  </si>
  <si>
    <t>SO2601-92859</t>
  </si>
  <si>
    <t>IN2601-102166</t>
  </si>
  <si>
    <t>22/01/2026 11:08</t>
  </si>
  <si>
    <t>SO2601-92858</t>
  </si>
  <si>
    <t>FOKOU LOVE 678600114</t>
  </si>
  <si>
    <t>IN2601-102165</t>
  </si>
  <si>
    <t>22/01/2026 11:15</t>
  </si>
  <si>
    <t>SO2601-92857</t>
  </si>
  <si>
    <t>IN2601-102164</t>
  </si>
  <si>
    <t>22/01/2026 11:07</t>
  </si>
  <si>
    <t>SO2601-92856</t>
  </si>
  <si>
    <t>IN2601-102163</t>
  </si>
  <si>
    <t>22/01/2026 11:22</t>
  </si>
  <si>
    <t>SO2601-92855</t>
  </si>
  <si>
    <t>CU2412-01181 -  ASAIH ENOWGBE GEORGE</t>
  </si>
  <si>
    <t>IN2601-102162</t>
  </si>
  <si>
    <t>22/01/2026 11:11</t>
  </si>
  <si>
    <t>SO2601-92854</t>
  </si>
  <si>
    <t>IN2601-102161</t>
  </si>
  <si>
    <t>22/01/2026 11:01</t>
  </si>
  <si>
    <t>SO2601-92853</t>
  </si>
  <si>
    <t>PRADU-COOP CA</t>
  </si>
  <si>
    <t>IN2601-102160</t>
  </si>
  <si>
    <t>22/01/2026 10:58</t>
  </si>
  <si>
    <t>SO2601-92852</t>
  </si>
  <si>
    <t>KEMONOE</t>
  </si>
  <si>
    <t>IN2601-102159</t>
  </si>
  <si>
    <t>22/01/2026 11:04</t>
  </si>
  <si>
    <t>SO2601-92851</t>
  </si>
  <si>
    <t>IN2601-102158</t>
  </si>
  <si>
    <t>SO2601-92850</t>
  </si>
  <si>
    <t>IN2601-102157</t>
  </si>
  <si>
    <t>22/01/2026 10:59</t>
  </si>
  <si>
    <t>SO2601-92849</t>
  </si>
  <si>
    <t>KAMENI</t>
  </si>
  <si>
    <t>IN2601-102156</t>
  </si>
  <si>
    <t>22/01/2026 10:48</t>
  </si>
  <si>
    <t>SO2601-92848</t>
  </si>
  <si>
    <t>CU2508-13601 -  BEUMME SIMO CEDRIC VALERE</t>
  </si>
  <si>
    <t>IN2601-102155</t>
  </si>
  <si>
    <t>22/01/2026 10:50</t>
  </si>
  <si>
    <t>SO2601-92847</t>
  </si>
  <si>
    <t>IN2601-102154</t>
  </si>
  <si>
    <t>22/01/2026 10:45</t>
  </si>
  <si>
    <t>SO2601-92846</t>
  </si>
  <si>
    <t>IN2601-102153</t>
  </si>
  <si>
    <t>22/01/2026 10:44</t>
  </si>
  <si>
    <t>SO2601-92845</t>
  </si>
  <si>
    <t>IN2601-102152</t>
  </si>
  <si>
    <t>22/01/2026 10:43</t>
  </si>
  <si>
    <t>SO2601-92844</t>
  </si>
  <si>
    <t>Mme EDEGUELIDE</t>
  </si>
  <si>
    <t>IN2601-102151</t>
  </si>
  <si>
    <t>22/01/2026 10:51</t>
  </si>
  <si>
    <t>SO2601-92843</t>
  </si>
  <si>
    <t>IN2601-102150</t>
  </si>
  <si>
    <t>22/01/2026 10:42</t>
  </si>
  <si>
    <t>SO2601-92842</t>
  </si>
  <si>
    <t>IN2601-102149</t>
  </si>
  <si>
    <t>22/01/2026 11:31</t>
  </si>
  <si>
    <t>SO2601-92841</t>
  </si>
  <si>
    <t>Mme BILOA RUPHINE</t>
  </si>
  <si>
    <t>IN2601-102148</t>
  </si>
  <si>
    <t>22/01/2026 10:37</t>
  </si>
  <si>
    <t>SO2601-92840</t>
  </si>
  <si>
    <t>IN2601-102147</t>
  </si>
  <si>
    <t>22/01/2026 10:33</t>
  </si>
  <si>
    <t>SO2601-92839</t>
  </si>
  <si>
    <t>CU2407-00839 -  YEMELI FOGOU</t>
  </si>
  <si>
    <t>IN2601-102146</t>
  </si>
  <si>
    <t>22/01/2026 10:31</t>
  </si>
  <si>
    <t>SO2601-92838</t>
  </si>
  <si>
    <t>IN2601-102145</t>
  </si>
  <si>
    <t>22/01/2026 10:35</t>
  </si>
  <si>
    <t>SO2601-92837</t>
  </si>
  <si>
    <t>njil</t>
  </si>
  <si>
    <t>IN2601-102144</t>
  </si>
  <si>
    <t>22/01/2026 10:40</t>
  </si>
  <si>
    <t>SO2601-92836</t>
  </si>
  <si>
    <t>teledjeu</t>
  </si>
  <si>
    <t>IN2601-102143</t>
  </si>
  <si>
    <t>22/01/2026 10:22</t>
  </si>
  <si>
    <t>SO2601-92835</t>
  </si>
  <si>
    <t>IN2601-102142</t>
  </si>
  <si>
    <t>22/01/2026 10:21</t>
  </si>
  <si>
    <t>SO2601-92834</t>
  </si>
  <si>
    <t>YMELE</t>
  </si>
  <si>
    <t>IN2601-102141</t>
  </si>
  <si>
    <t>22/01/2026 10:54</t>
  </si>
  <si>
    <t>SO2601-92833</t>
  </si>
  <si>
    <t>CU2505-13365 -  WAN POULTRY FARMING AND TRANSFORMING CIG</t>
  </si>
  <si>
    <t>IN2601-102140</t>
  </si>
  <si>
    <t>22/01/2026 10:18</t>
  </si>
  <si>
    <t>SO2601-92832</t>
  </si>
  <si>
    <t>IN2601-102139</t>
  </si>
  <si>
    <t>22/01/2026 10:09</t>
  </si>
  <si>
    <t>SO2601-92831</t>
  </si>
  <si>
    <t>IN2601-102138</t>
  </si>
  <si>
    <t>22/01/2026 10:16</t>
  </si>
  <si>
    <t>SO2601-92830</t>
  </si>
  <si>
    <t>IN2601-102137</t>
  </si>
  <si>
    <t>22/01/2026 10:00</t>
  </si>
  <si>
    <t>SO2601-92829</t>
  </si>
  <si>
    <t>IN2601-102136</t>
  </si>
  <si>
    <t>22/01/2026 10:05</t>
  </si>
  <si>
    <t>SO2601-92828</t>
  </si>
  <si>
    <t>IN2601-102135</t>
  </si>
  <si>
    <t>22/01/2026 09:16</t>
  </si>
  <si>
    <t>SO2601-92827</t>
  </si>
  <si>
    <t>IN2601-102134</t>
  </si>
  <si>
    <t>22/01/2026 08:58</t>
  </si>
  <si>
    <t>SO2601-92826</t>
  </si>
  <si>
    <t>CU2601-14257 -  DZOUGUELA MICHEL ETS AGRO</t>
  </si>
  <si>
    <t>IN2601-102133</t>
  </si>
  <si>
    <t>SO2601-92825</t>
  </si>
  <si>
    <t>IN2601-102132</t>
  </si>
  <si>
    <t>22/01/2026 08:30</t>
  </si>
  <si>
    <t>SO2601-92824</t>
  </si>
  <si>
    <t>IN2601-102131</t>
  </si>
  <si>
    <t>22/01/2026 08:10</t>
  </si>
  <si>
    <t>SO2601-92823</t>
  </si>
  <si>
    <t>IN2601-102130</t>
  </si>
  <si>
    <t>22/01/2026 08:09</t>
  </si>
  <si>
    <t>SO2601-92822</t>
  </si>
  <si>
    <t>IN2601-102129</t>
  </si>
  <si>
    <t>22/01/2026 07:59</t>
  </si>
  <si>
    <t>SO2601-92821</t>
  </si>
  <si>
    <t>CU2409-01082 -  TUMENTA EPSEE NINTAI KEFEH</t>
  </si>
  <si>
    <t>IN2601-102128</t>
  </si>
  <si>
    <t>SO2601-92820</t>
  </si>
  <si>
    <t>IN2601-102127</t>
  </si>
  <si>
    <t>22/01/2026 08:03</t>
  </si>
  <si>
    <t>SO2601-92819</t>
  </si>
  <si>
    <t>IN2601-102126</t>
  </si>
  <si>
    <t>22/01/2026 08:07</t>
  </si>
  <si>
    <t>SO2601-92818</t>
  </si>
  <si>
    <t>IN2601-102125</t>
  </si>
  <si>
    <t>22/01/2026 08:29</t>
  </si>
  <si>
    <t>SO2601-92817</t>
  </si>
  <si>
    <t>M BITANA JONAS</t>
  </si>
  <si>
    <t>21/01/2026</t>
  </si>
  <si>
    <t>IN2601-102124</t>
  </si>
  <si>
    <t>21/01/2026 16:45</t>
  </si>
  <si>
    <t>SO2601-92816</t>
  </si>
  <si>
    <t>CU2508-13438 -  MANKAA MARCELINE CHE</t>
  </si>
  <si>
    <t>IN2601-102123</t>
  </si>
  <si>
    <t>21/01/2026 16:37</t>
  </si>
  <si>
    <t>SO2601-92815</t>
  </si>
  <si>
    <t>IN2601-102121</t>
  </si>
  <si>
    <t>21/01/2026 16:32</t>
  </si>
  <si>
    <t>SO2601-92814</t>
  </si>
  <si>
    <t>GLOBAL 695922767</t>
  </si>
  <si>
    <t>CU2512-14197 -  GLOBAL FARM COMPANY SA</t>
  </si>
  <si>
    <t>IN2601-102120</t>
  </si>
  <si>
    <t>21/01/2026 16:42</t>
  </si>
  <si>
    <t>SO2601-92813</t>
  </si>
  <si>
    <t>M KEMEGNI</t>
  </si>
  <si>
    <t>IN2601-102119</t>
  </si>
  <si>
    <t>21/01/2026 16:29</t>
  </si>
  <si>
    <t>SO2601-92812</t>
  </si>
  <si>
    <t>CU2508-13608 -  MANFO KUETE MARTIAL</t>
  </si>
  <si>
    <t>IN2601-102118</t>
  </si>
  <si>
    <t>21/01/2026 16:24</t>
  </si>
  <si>
    <t>SO2601-92811</t>
  </si>
  <si>
    <t>M KOATCHIO</t>
  </si>
  <si>
    <t>IN2601-102117</t>
  </si>
  <si>
    <t>21/01/2026 16:25</t>
  </si>
  <si>
    <t>SO2601-92810</t>
  </si>
  <si>
    <t>PROV EMMA</t>
  </si>
  <si>
    <t>IN2601-102116</t>
  </si>
  <si>
    <t>21/01/2026 16:28</t>
  </si>
  <si>
    <t>SO2601-92809</t>
  </si>
  <si>
    <t>MANKA MARCELINE 653280842</t>
  </si>
  <si>
    <t>IN2601-102115</t>
  </si>
  <si>
    <t>21/01/2026 16:22</t>
  </si>
  <si>
    <t>SO2601-92808</t>
  </si>
  <si>
    <t>IN2601-102114</t>
  </si>
  <si>
    <t>21/01/2026 16:19</t>
  </si>
  <si>
    <t>SO2601-92807</t>
  </si>
  <si>
    <t>IN2601-102113</t>
  </si>
  <si>
    <t>21/01/2026 16:30</t>
  </si>
  <si>
    <t>SO2601-92806</t>
  </si>
  <si>
    <t>MARIE KOUGANG 676222708</t>
  </si>
  <si>
    <t>IN2601-102112</t>
  </si>
  <si>
    <t>21/01/2026 16:18</t>
  </si>
  <si>
    <t>SO2601-92805</t>
  </si>
  <si>
    <t>NGOUNE LEONIE 695357388</t>
  </si>
  <si>
    <t>ID2601-0039</t>
  </si>
  <si>
    <t>21/01/2026 16:09</t>
  </si>
  <si>
    <t>SO2601-92804</t>
  </si>
  <si>
    <t>IN2601-102111</t>
  </si>
  <si>
    <t>21/01/2026 16:14</t>
  </si>
  <si>
    <t>SO2601-92803</t>
  </si>
  <si>
    <t>IN2601-102110</t>
  </si>
  <si>
    <t>21/01/2026 16:03</t>
  </si>
  <si>
    <t>SO2601-92802</t>
  </si>
  <si>
    <t>IN2601-102109</t>
  </si>
  <si>
    <t>21/01/2026 16:08</t>
  </si>
  <si>
    <t>SO2601-92801</t>
  </si>
  <si>
    <t>M. YOUMSSI (ZDCL00017)</t>
  </si>
  <si>
    <t>IN2601-102108</t>
  </si>
  <si>
    <t>M. YOUMSSI</t>
  </si>
  <si>
    <t>ZDCL00017</t>
  </si>
  <si>
    <t>21/01/2026 16:04</t>
  </si>
  <si>
    <t>SO2601-92800</t>
  </si>
  <si>
    <t>IN2601-102107</t>
  </si>
  <si>
    <t>SO2601-92799</t>
  </si>
  <si>
    <t>IN2601-102106</t>
  </si>
  <si>
    <t>21/01/2026 15:58</t>
  </si>
  <si>
    <t>SO2601-92798</t>
  </si>
  <si>
    <t>PROV TOKOSS 673021600</t>
  </si>
  <si>
    <t>IN2601-102105</t>
  </si>
  <si>
    <t>21/01/2026 15:54</t>
  </si>
  <si>
    <t>SO2601-92797</t>
  </si>
  <si>
    <t>IN2601-102104</t>
  </si>
  <si>
    <t>21/01/2026 15:52</t>
  </si>
  <si>
    <t>SO2601-92796</t>
  </si>
  <si>
    <t>IN2601-102103</t>
  </si>
  <si>
    <t>21/01/2026 15:53</t>
  </si>
  <si>
    <t>SO2601-92795</t>
  </si>
  <si>
    <t>TETUE RAYMOND 676545612</t>
  </si>
  <si>
    <t>IN2601-102102</t>
  </si>
  <si>
    <t>SO2601-92794</t>
  </si>
  <si>
    <t>IN2601-102101</t>
  </si>
  <si>
    <t>21/01/2026 15:49</t>
  </si>
  <si>
    <t>SO2601-92793</t>
  </si>
  <si>
    <t>CU2510-14129 -  Pameta epse djousse leonie ruth</t>
  </si>
  <si>
    <t>IN2601-102100</t>
  </si>
  <si>
    <t>21/01/2026 16:07</t>
  </si>
  <si>
    <t>SO2601-92792</t>
  </si>
  <si>
    <t>IN2601-102099</t>
  </si>
  <si>
    <t>21/01/2026 16:27</t>
  </si>
  <si>
    <t>SO2601-92791</t>
  </si>
  <si>
    <t>IN2601-102098</t>
  </si>
  <si>
    <t>SO2601-92790</t>
  </si>
  <si>
    <t>CU2507-13419 -  TAMATIO ZACHARIE</t>
  </si>
  <si>
    <t>IN2601-102097</t>
  </si>
  <si>
    <t>21/01/2026 15:45</t>
  </si>
  <si>
    <t>SO2601-92789</t>
  </si>
  <si>
    <t>IN2601-102096</t>
  </si>
  <si>
    <t>21/01/2026 15:38</t>
  </si>
  <si>
    <t>SO2601-92788</t>
  </si>
  <si>
    <t>CU2508-13768 -  MEWOU NATHALIE CAMILE</t>
  </si>
  <si>
    <t>IN2601-102095</t>
  </si>
  <si>
    <t>21/01/2026 16:15</t>
  </si>
  <si>
    <t>SO2601-92787</t>
  </si>
  <si>
    <t>IN2601-102094</t>
  </si>
  <si>
    <t>21/01/2026 15:34</t>
  </si>
  <si>
    <t>SO2601-92786</t>
  </si>
  <si>
    <t>SAMUEL</t>
  </si>
  <si>
    <t>IN2601-102093</t>
  </si>
  <si>
    <t>21/01/2026 15:35</t>
  </si>
  <si>
    <t>SO2601-92785</t>
  </si>
  <si>
    <t>CU2407-00195 -  MME MADIESSE</t>
  </si>
  <si>
    <t>IN2601-102092</t>
  </si>
  <si>
    <t>SO2601-92784</t>
  </si>
  <si>
    <t>CU2508-13723 -  YETMOU PROSPER</t>
  </si>
  <si>
    <t>IN2601-102091</t>
  </si>
  <si>
    <t>21/01/2026 15:37</t>
  </si>
  <si>
    <t>SO2601-92783</t>
  </si>
  <si>
    <t>ETS SKA</t>
  </si>
  <si>
    <t>IN2601-102090</t>
  </si>
  <si>
    <t>21/01/2026 15:29</t>
  </si>
  <si>
    <t>SO2601-92782</t>
  </si>
  <si>
    <t>IN2601-102089</t>
  </si>
  <si>
    <t>21/01/2026 15:27</t>
  </si>
  <si>
    <t>SO2601-92781</t>
  </si>
  <si>
    <t>IN2601-102088</t>
  </si>
  <si>
    <t>21/01/2026 15:26</t>
  </si>
  <si>
    <t>SO2601-92780</t>
  </si>
  <si>
    <t>IN2601-102087</t>
  </si>
  <si>
    <t>SO2601-92779</t>
  </si>
  <si>
    <t>IN2601-102086</t>
  </si>
  <si>
    <t>21/01/2026 15:23</t>
  </si>
  <si>
    <t>SO2601-92778</t>
  </si>
  <si>
    <t>IN2601-102085</t>
  </si>
  <si>
    <t>21/01/2026 15:19</t>
  </si>
  <si>
    <t>SO2601-92777</t>
  </si>
  <si>
    <t>IN2601-102084</t>
  </si>
  <si>
    <t>21/01/2026 15:20</t>
  </si>
  <si>
    <t>SO2601-92776</t>
  </si>
  <si>
    <t>PROV DU PROGRES 675015141</t>
  </si>
  <si>
    <t>CU2407-00767 -  PROV DU PROGRES ZNCL00013</t>
  </si>
  <si>
    <t>IN2601-102083</t>
  </si>
  <si>
    <t>SO2601-92775</t>
  </si>
  <si>
    <t>IN2601-102082</t>
  </si>
  <si>
    <t>21/01/2026 15:10</t>
  </si>
  <si>
    <t>SO2601-92774</t>
  </si>
  <si>
    <t>IN2601-102081</t>
  </si>
  <si>
    <t>21/01/2026 15:01</t>
  </si>
  <si>
    <t>SO2601-92773</t>
  </si>
  <si>
    <t>Mme KENNE</t>
  </si>
  <si>
    <t>IN2601-102080</t>
  </si>
  <si>
    <t>21/01/2026 15:03</t>
  </si>
  <si>
    <t>SO2601-92772</t>
  </si>
  <si>
    <t>IN2601-102079</t>
  </si>
  <si>
    <t>21/01/2026 14:51</t>
  </si>
  <si>
    <t>SO2601-92771</t>
  </si>
  <si>
    <t>KENGNE</t>
  </si>
  <si>
    <t>IN2601-102078</t>
  </si>
  <si>
    <t>21/01/2026 14:49</t>
  </si>
  <si>
    <t>SO2601-92770</t>
  </si>
  <si>
    <t>IN2601-102077</t>
  </si>
  <si>
    <t>21/01/2026 15:22</t>
  </si>
  <si>
    <t>SO2601-92769</t>
  </si>
  <si>
    <t>IN2601-102076</t>
  </si>
  <si>
    <t>21/01/2026 15:48</t>
  </si>
  <si>
    <t>SO2601-92768</t>
  </si>
  <si>
    <t>IN2601-102075</t>
  </si>
  <si>
    <t>21/01/2026 14:57</t>
  </si>
  <si>
    <t>SO2601-92767</t>
  </si>
  <si>
    <t>M RENE</t>
  </si>
  <si>
    <t>IN2601-102074</t>
  </si>
  <si>
    <t>21/01/2026 14:42</t>
  </si>
  <si>
    <t>SO2601-92766</t>
  </si>
  <si>
    <t>IN2601-102073</t>
  </si>
  <si>
    <t>21/01/2026 14:36</t>
  </si>
  <si>
    <t>SO2601-92765</t>
  </si>
  <si>
    <t>IN2601-102072</t>
  </si>
  <si>
    <t>SO2601-92764</t>
  </si>
  <si>
    <t>IN2601-102071</t>
  </si>
  <si>
    <t>21/01/2026 14:27</t>
  </si>
  <si>
    <t>SO2601-92763</t>
  </si>
  <si>
    <t>IN2601-102070</t>
  </si>
  <si>
    <t>21/01/2026 14:34</t>
  </si>
  <si>
    <t>SO2601-92762</t>
  </si>
  <si>
    <t>IN2601-102069</t>
  </si>
  <si>
    <t>21/01/2026 14:21</t>
  </si>
  <si>
    <t>SO2601-92761</t>
  </si>
  <si>
    <t>NGNITEDEM EMMANUEL 675417805</t>
  </si>
  <si>
    <t>IN2601-102068</t>
  </si>
  <si>
    <t>21/01/2026 14:28</t>
  </si>
  <si>
    <t>SO2601-92760</t>
  </si>
  <si>
    <t>CU2510-14147 -  SIGHE DESIMON (SIGHE)</t>
  </si>
  <si>
    <t>IN2601-102067</t>
  </si>
  <si>
    <t>CU2510-14147 -  SIGHE DESIMON</t>
  </si>
  <si>
    <t>SIGHE</t>
  </si>
  <si>
    <t>21/01/2026 14:19</t>
  </si>
  <si>
    <t>SO2601-92759</t>
  </si>
  <si>
    <t>NGUEFOUE MELACHIO BORIS</t>
  </si>
  <si>
    <t>IN2601-102066</t>
  </si>
  <si>
    <t>21/01/2026 14:17</t>
  </si>
  <si>
    <t>SO2601-92758</t>
  </si>
  <si>
    <t>IN2601-102065</t>
  </si>
  <si>
    <t>21/01/2026 14:39</t>
  </si>
  <si>
    <t>SO2601-92757</t>
  </si>
  <si>
    <t>SALI 694064787</t>
  </si>
  <si>
    <t>IN2601-102064</t>
  </si>
  <si>
    <t>SO2601-92755</t>
  </si>
  <si>
    <t>IN2601-102062</t>
  </si>
  <si>
    <t>21/01/2026 14:15</t>
  </si>
  <si>
    <t>SO2601-92754</t>
  </si>
  <si>
    <t>IN2601-102061</t>
  </si>
  <si>
    <t>SO2601-92753</t>
  </si>
  <si>
    <t>IN2601-102060</t>
  </si>
  <si>
    <t>SO2601-92752</t>
  </si>
  <si>
    <t>IN2601-102059</t>
  </si>
  <si>
    <t>SO2601-92751</t>
  </si>
  <si>
    <t>IN2601-102058</t>
  </si>
  <si>
    <t>21/01/2026 14:09</t>
  </si>
  <si>
    <t>SO2601-92750</t>
  </si>
  <si>
    <t>JAMES 695411121</t>
  </si>
  <si>
    <t>IN2601-102057</t>
  </si>
  <si>
    <t>21/01/2026 13:56</t>
  </si>
  <si>
    <t>SO2601-92749</t>
  </si>
  <si>
    <t>IN2601-102056</t>
  </si>
  <si>
    <t>21/01/2026 15:06</t>
  </si>
  <si>
    <t>SO2601-92748</t>
  </si>
  <si>
    <t>YOUNDA 697272075</t>
  </si>
  <si>
    <t>IN2601-102055</t>
  </si>
  <si>
    <t>21/01/2026 13:36</t>
  </si>
  <si>
    <t>SO2601-92747</t>
  </si>
  <si>
    <t>IN2601-102054</t>
  </si>
  <si>
    <t>21/01/2026 13:20</t>
  </si>
  <si>
    <t>SO2601-92746</t>
  </si>
  <si>
    <t>IN2601-102053</t>
  </si>
  <si>
    <t>21/01/2026 13:13</t>
  </si>
  <si>
    <t>SO2601-92745</t>
  </si>
  <si>
    <t>MEMIAFO CLARISSE 699645974</t>
  </si>
  <si>
    <t>IN2601-102052</t>
  </si>
  <si>
    <t>21/01/2026 13:19</t>
  </si>
  <si>
    <t>SO2601-92744</t>
  </si>
  <si>
    <t>IN2601-102051</t>
  </si>
  <si>
    <t>21/01/2026 13:08</t>
  </si>
  <si>
    <t>SO2601-92743</t>
  </si>
  <si>
    <t>IN2601-102050</t>
  </si>
  <si>
    <t>21/01/2026 13:01</t>
  </si>
  <si>
    <t>SO2601-92742</t>
  </si>
  <si>
    <t>IN2601-102049</t>
  </si>
  <si>
    <t>21/01/2026 12:55</t>
  </si>
  <si>
    <t>SO2601-92741</t>
  </si>
  <si>
    <t>IN2601-102048</t>
  </si>
  <si>
    <t>21/01/2026 12:53</t>
  </si>
  <si>
    <t>SO2601-92740</t>
  </si>
  <si>
    <t>IN2601-102047</t>
  </si>
  <si>
    <t>21/01/2026 12:46</t>
  </si>
  <si>
    <t>SO2601-92739</t>
  </si>
  <si>
    <t>IN2601-102046</t>
  </si>
  <si>
    <t>21/01/2026 12:45</t>
  </si>
  <si>
    <t>SO2601-92738</t>
  </si>
  <si>
    <t>IN2601-102045</t>
  </si>
  <si>
    <t>21/01/2026 12:42</t>
  </si>
  <si>
    <t>SO2601-92737</t>
  </si>
  <si>
    <t>IN2601-102044</t>
  </si>
  <si>
    <t>21/01/2026 12:40</t>
  </si>
  <si>
    <t>SO2601-92736</t>
  </si>
  <si>
    <t>M TIMMAK</t>
  </si>
  <si>
    <t>IN2601-102043</t>
  </si>
  <si>
    <t>21/01/2026 12:38</t>
  </si>
  <si>
    <t>SO2601-92735</t>
  </si>
  <si>
    <t>IN2601-102042</t>
  </si>
  <si>
    <t>21/01/2026 12:37</t>
  </si>
  <si>
    <t>SO2601-92734</t>
  </si>
  <si>
    <t>mbah 656215130</t>
  </si>
  <si>
    <t>IN2601-102041</t>
  </si>
  <si>
    <t>21/01/2026 12:33</t>
  </si>
  <si>
    <t>SO2601-92733</t>
  </si>
  <si>
    <t>IN2601-102040</t>
  </si>
  <si>
    <t>SO2601-92732</t>
  </si>
  <si>
    <t>IN2601-102039</t>
  </si>
  <si>
    <t>21/01/2026 12:34</t>
  </si>
  <si>
    <t>SO2601-92731</t>
  </si>
  <si>
    <t>LIMI / 690256332</t>
  </si>
  <si>
    <t>CU2508-13799 -  LIMI ABOUBAKAR</t>
  </si>
  <si>
    <t>IN2601-102038</t>
  </si>
  <si>
    <t>SO2601-92730</t>
  </si>
  <si>
    <t>CU2509-13991 -  TIOFOUE HERVE JOEL</t>
  </si>
  <si>
    <t>IN2601-102037</t>
  </si>
  <si>
    <t>SO2601-92729</t>
  </si>
  <si>
    <t>IN2601-102036</t>
  </si>
  <si>
    <t>21/01/2026 12:26</t>
  </si>
  <si>
    <t>SO2601-92728</t>
  </si>
  <si>
    <t>IN2601-102035</t>
  </si>
  <si>
    <t>21/01/2026 12:24</t>
  </si>
  <si>
    <t>SO2601-92727</t>
  </si>
  <si>
    <t>IN2601-102034</t>
  </si>
  <si>
    <t>21/01/2026 12:25</t>
  </si>
  <si>
    <t>SO2601-92726</t>
  </si>
  <si>
    <t>M NOUDJI RODRIGUE</t>
  </si>
  <si>
    <t>IN2601-102033</t>
  </si>
  <si>
    <t>21/01/2026 12:31</t>
  </si>
  <si>
    <t>SO2601-92725</t>
  </si>
  <si>
    <t>IN2601-102032</t>
  </si>
  <si>
    <t>21/01/2026 12:22</t>
  </si>
  <si>
    <t>SO2601-92724</t>
  </si>
  <si>
    <t>CU2407-00643 -  GIC LABORIEUX</t>
  </si>
  <si>
    <t>IN2601-102031</t>
  </si>
  <si>
    <t>SO2601-92723</t>
  </si>
  <si>
    <t>YOUCHE</t>
  </si>
  <si>
    <t>IN2601-102030</t>
  </si>
  <si>
    <t>SO2601-92722</t>
  </si>
  <si>
    <t>IN2601-102029</t>
  </si>
  <si>
    <t>21/01/2026 12:19</t>
  </si>
  <si>
    <t>SO2601-92721</t>
  </si>
  <si>
    <t>IN2601-102028</t>
  </si>
  <si>
    <t>21/01/2026 12:14</t>
  </si>
  <si>
    <t>SO2601-92720</t>
  </si>
  <si>
    <t>IN2601-102027</t>
  </si>
  <si>
    <t>21/01/2026 12:11</t>
  </si>
  <si>
    <t>SO2601-92719</t>
  </si>
  <si>
    <t>KAMGUIA</t>
  </si>
  <si>
    <t>IN2601-102026</t>
  </si>
  <si>
    <t>21/01/2026 12:10</t>
  </si>
  <si>
    <t>SO2601-92718</t>
  </si>
  <si>
    <t>IN2601-102025</t>
  </si>
  <si>
    <t>SO2601-92717</t>
  </si>
  <si>
    <t>IN2601-102024</t>
  </si>
  <si>
    <t>21/01/2026 12:00</t>
  </si>
  <si>
    <t>SO2601-92716</t>
  </si>
  <si>
    <t>BOUCHEKO 678496201</t>
  </si>
  <si>
    <t>IN2601-102023</t>
  </si>
  <si>
    <t>21/01/2026 12:02</t>
  </si>
  <si>
    <t>SO2601-92715</t>
  </si>
  <si>
    <t>IN2601-102022</t>
  </si>
  <si>
    <t>21/01/2026 11:54</t>
  </si>
  <si>
    <t>SO2601-92714</t>
  </si>
  <si>
    <t>alfred</t>
  </si>
  <si>
    <t>IN2601-102021</t>
  </si>
  <si>
    <t>21/01/2026 11:56</t>
  </si>
  <si>
    <t>SO2601-92713</t>
  </si>
  <si>
    <t>AKANA THOMAS 677 33 47 99</t>
  </si>
  <si>
    <t>IN2601-102020</t>
  </si>
  <si>
    <t>21/01/2026 11:58</t>
  </si>
  <si>
    <t>SO2601-92712</t>
  </si>
  <si>
    <t>IN2601-102019</t>
  </si>
  <si>
    <t>21/01/2026 11:55</t>
  </si>
  <si>
    <t>SO2601-92711</t>
  </si>
  <si>
    <t>IN2601-102018</t>
  </si>
  <si>
    <t>21/01/2026 12:08</t>
  </si>
  <si>
    <t>SO2601-92710</t>
  </si>
  <si>
    <t>FOUECHIO</t>
  </si>
  <si>
    <t>IN2601-102017</t>
  </si>
  <si>
    <t>21/01/2026 11:46</t>
  </si>
  <si>
    <t>SO2601-92709</t>
  </si>
  <si>
    <t>IN2601-102016</t>
  </si>
  <si>
    <t>21/01/2026 11:43</t>
  </si>
  <si>
    <t>SO2601-92708</t>
  </si>
  <si>
    <t>GIC CAE 699313825</t>
  </si>
  <si>
    <t>IN2601-102015</t>
  </si>
  <si>
    <t>21/01/2026 11:39</t>
  </si>
  <si>
    <t>SO2601-92707</t>
  </si>
  <si>
    <t>EKONKOME 693744676</t>
  </si>
  <si>
    <t>IN2601-102014</t>
  </si>
  <si>
    <t>21/01/2026 11:41</t>
  </si>
  <si>
    <t>SO2601-92706</t>
  </si>
  <si>
    <t>IN2601-102013</t>
  </si>
  <si>
    <t>SO2601-92705</t>
  </si>
  <si>
    <t>IN2601-102012</t>
  </si>
  <si>
    <t>21/01/2026 11:32</t>
  </si>
  <si>
    <t>SO2601-92704</t>
  </si>
  <si>
    <t>CU2407-00970 -  MAISON AGRO-PASTORALE</t>
  </si>
  <si>
    <t>IN2601-102011</t>
  </si>
  <si>
    <t>SO2601-92703</t>
  </si>
  <si>
    <t>TAGNE NDIBEU / 694183024</t>
  </si>
  <si>
    <t>CU2508-13678 -  TAGNE NDIBEU LIONEL MAXIME</t>
  </si>
  <si>
    <t>IN2601-102010</t>
  </si>
  <si>
    <t>21/01/2026 11:29</t>
  </si>
  <si>
    <t>SO2601-92702</t>
  </si>
  <si>
    <t>M KEMNANG</t>
  </si>
  <si>
    <t>IN2601-102009</t>
  </si>
  <si>
    <t>21/01/2026 11:34</t>
  </si>
  <si>
    <t>SO2601-92701</t>
  </si>
  <si>
    <t>KUIMETA +237 677626805</t>
  </si>
  <si>
    <t>CU2504-01328 -  SOCIETE COOPERATIVE SIMPLIFIEE DES ELEVEURS</t>
  </si>
  <si>
    <t>IN2601-102008</t>
  </si>
  <si>
    <t>SO2601-92700</t>
  </si>
  <si>
    <t>MBAIDJE / 655268540</t>
  </si>
  <si>
    <t>IN2601-102007</t>
  </si>
  <si>
    <t>21/01/2026 11:24</t>
  </si>
  <si>
    <t>SO2601-92699</t>
  </si>
  <si>
    <t>IN2601-102006</t>
  </si>
  <si>
    <t>21/01/2026 11:22</t>
  </si>
  <si>
    <t>SO2601-92698</t>
  </si>
  <si>
    <t>M SIGNE</t>
  </si>
  <si>
    <t>IN2601-102005</t>
  </si>
  <si>
    <t>21/01/2026 11:20</t>
  </si>
  <si>
    <t>SO2601-92696</t>
  </si>
  <si>
    <t>IN2601-102003</t>
  </si>
  <si>
    <t>21/01/2026 11:18</t>
  </si>
  <si>
    <t>SO2601-92695</t>
  </si>
  <si>
    <t>M TCHEYANOU 699677575</t>
  </si>
  <si>
    <t>IN2601-102002</t>
  </si>
  <si>
    <t>21/01/2026 11:08</t>
  </si>
  <si>
    <t>SO2601-92694</t>
  </si>
  <si>
    <t>MOTOUO GILDAS / 697669560</t>
  </si>
  <si>
    <t>IN2601-102001</t>
  </si>
  <si>
    <t>21/01/2026 11:09</t>
  </si>
  <si>
    <t>SO2601-92692</t>
  </si>
  <si>
    <t>IN2601-101999</t>
  </si>
  <si>
    <t>21/01/2026 11:10</t>
  </si>
  <si>
    <t>SO2601-92691</t>
  </si>
  <si>
    <t>IN2601-101998</t>
  </si>
  <si>
    <t>21/01/2026 11:06</t>
  </si>
  <si>
    <t>SO2601-92690</t>
  </si>
  <si>
    <t>IN2601-101997</t>
  </si>
  <si>
    <t>21/01/2026 11:04</t>
  </si>
  <si>
    <t>SO2601-92689</t>
  </si>
  <si>
    <t>KING FARM</t>
  </si>
  <si>
    <t>IN2601-101996</t>
  </si>
  <si>
    <t>SO2601-92688</t>
  </si>
  <si>
    <t>IN2601-101995</t>
  </si>
  <si>
    <t>21/01/2026 11:12</t>
  </si>
  <si>
    <t>SO2601-92687</t>
  </si>
  <si>
    <t>IN2601-101994</t>
  </si>
  <si>
    <t>SO2601-92686</t>
  </si>
  <si>
    <t>kengne</t>
  </si>
  <si>
    <t>IN2601-101993</t>
  </si>
  <si>
    <t>21/01/2026 11:02</t>
  </si>
  <si>
    <t>SO2601-92685</t>
  </si>
  <si>
    <t>IN2601-101992</t>
  </si>
  <si>
    <t>SO2601-92684</t>
  </si>
  <si>
    <t>CU2511-14164 -  TANKE NFOUO MARCEL AIME</t>
  </si>
  <si>
    <t>IN2601-101991</t>
  </si>
  <si>
    <t>SO2601-92683</t>
  </si>
  <si>
    <t>FAISAL OUSMANOU / 695109543</t>
  </si>
  <si>
    <t>IN2601-101990</t>
  </si>
  <si>
    <t>21/01/2026 10:57</t>
  </si>
  <si>
    <t>SO2601-92682</t>
  </si>
  <si>
    <t>IN2601-101989</t>
  </si>
  <si>
    <t>SO2601-92681</t>
  </si>
  <si>
    <t>JOUSSE</t>
  </si>
  <si>
    <t>IN2601-101988</t>
  </si>
  <si>
    <t>21/01/2026 10:49</t>
  </si>
  <si>
    <t>SO2601-92680</t>
  </si>
  <si>
    <t>M MOIFO</t>
  </si>
  <si>
    <t>IN2601-101987</t>
  </si>
  <si>
    <t>21/01/2026 10:52</t>
  </si>
  <si>
    <t>SO2601-92679</t>
  </si>
  <si>
    <t>IN2601-101986</t>
  </si>
  <si>
    <t>21/01/2026 10:46</t>
  </si>
  <si>
    <t>SO2601-92678</t>
  </si>
  <si>
    <t>IN2601-101985</t>
  </si>
  <si>
    <t>21/01/2026 10:45</t>
  </si>
  <si>
    <t>SO2601-92677</t>
  </si>
  <si>
    <t>NGOA DAVID 697451036</t>
  </si>
  <si>
    <t>IN2601-101984</t>
  </si>
  <si>
    <t>21/01/2026 10:44</t>
  </si>
  <si>
    <t>SO2601-92676</t>
  </si>
  <si>
    <t>IN2601-101983</t>
  </si>
  <si>
    <t>21/01/2026 10:42</t>
  </si>
  <si>
    <t>SO2601-92675</t>
  </si>
  <si>
    <t>IN2601-101982</t>
  </si>
  <si>
    <t>21/01/2026 10:40</t>
  </si>
  <si>
    <t>SO2601-92674</t>
  </si>
  <si>
    <t>CU2407-00623 -  FOTSO VINCENT</t>
  </si>
  <si>
    <t>IN2601-101981</t>
  </si>
  <si>
    <t>21/01/2026 10:41</t>
  </si>
  <si>
    <t>SO2601-92673</t>
  </si>
  <si>
    <t>CU2407-00467 -  PROV ELI</t>
  </si>
  <si>
    <t>IN2601-101980</t>
  </si>
  <si>
    <t>21/01/2026 10:37</t>
  </si>
  <si>
    <t>SO2601-92672</t>
  </si>
  <si>
    <t>IN2601-101979</t>
  </si>
  <si>
    <t>21/01/2026 10:58</t>
  </si>
  <si>
    <t>SO2601-92671</t>
  </si>
  <si>
    <t>IN2601-101978</t>
  </si>
  <si>
    <t>21/01/2026 10:34</t>
  </si>
  <si>
    <t>SO2601-92670</t>
  </si>
  <si>
    <t>LELE</t>
  </si>
  <si>
    <t>IN2601-101977</t>
  </si>
  <si>
    <t>21/01/2026 10:32</t>
  </si>
  <si>
    <t>SO2601-92669</t>
  </si>
  <si>
    <t>CU2408-01057 -  SOCIETE AGRICOLE ET COMMERCIALE DU CAMEROUN (SAGRICOCAM SARL)</t>
  </si>
  <si>
    <t>IN2601-101976</t>
  </si>
  <si>
    <t>CU2408-01057 -  SOCIETE AGRICOLE ET COMMERCIALE DU CAMEROUN</t>
  </si>
  <si>
    <t>SAGRICOCAM SARL</t>
  </si>
  <si>
    <t>SO2601-92668</t>
  </si>
  <si>
    <t>CU2408-01067 -  STE ECC SARL</t>
  </si>
  <si>
    <t>IN2601-101975</t>
  </si>
  <si>
    <t>21/01/2026 10:50</t>
  </si>
  <si>
    <t>SO2601-92667</t>
  </si>
  <si>
    <t>IN2601-101974</t>
  </si>
  <si>
    <t>SO2601-92666</t>
  </si>
  <si>
    <t>NDAH 691145919</t>
  </si>
  <si>
    <t>IN2601-101973</t>
  </si>
  <si>
    <t>21/01/2026 10:27</t>
  </si>
  <si>
    <t>SO2601-92665</t>
  </si>
  <si>
    <t>CHRISTOPHE</t>
  </si>
  <si>
    <t>IN2601-101972</t>
  </si>
  <si>
    <t>21/01/2026 10:21</t>
  </si>
  <si>
    <t>SO2601-92664</t>
  </si>
  <si>
    <t>CU2406-00085 -  PROV BEL AVENIR</t>
  </si>
  <si>
    <t>IN2601-101971</t>
  </si>
  <si>
    <t>21/01/2026 10:35</t>
  </si>
  <si>
    <t>SO2601-92663</t>
  </si>
  <si>
    <t>CU2410-01140 -  Dr IREH</t>
  </si>
  <si>
    <t>IN2601-101970</t>
  </si>
  <si>
    <t>21/01/2026 10:33</t>
  </si>
  <si>
    <t>SO2601-92662</t>
  </si>
  <si>
    <t>IN2601-101969</t>
  </si>
  <si>
    <t>SO2601-92661</t>
  </si>
  <si>
    <t>IN2601-101968</t>
  </si>
  <si>
    <t>21/01/2026 10:13</t>
  </si>
  <si>
    <t>SO2601-92660</t>
  </si>
  <si>
    <t>IN2601-101967</t>
  </si>
  <si>
    <t>21/01/2026 10:18</t>
  </si>
  <si>
    <t>SO2601-92659</t>
  </si>
  <si>
    <t>ISABELLE 699105257</t>
  </si>
  <si>
    <t>IN2601-101966</t>
  </si>
  <si>
    <t>21/01/2026 10:10</t>
  </si>
  <si>
    <t>SO2601-92658</t>
  </si>
  <si>
    <t>IN2601-101965</t>
  </si>
  <si>
    <t>21/01/2026 10:02</t>
  </si>
  <si>
    <t>SO2601-92657</t>
  </si>
  <si>
    <t>COBERT</t>
  </si>
  <si>
    <t>IN2601-101964</t>
  </si>
  <si>
    <t>SO2601-92656</t>
  </si>
  <si>
    <t>IN2601-101963</t>
  </si>
  <si>
    <t>21/01/2026 09:52</t>
  </si>
  <si>
    <t>SO2601-92655</t>
  </si>
  <si>
    <t>EST EJC</t>
  </si>
  <si>
    <t>IN2601-101962</t>
  </si>
  <si>
    <t>21/01/2026 09:56</t>
  </si>
  <si>
    <t>SO2601-92654</t>
  </si>
  <si>
    <t>IN2601-101961</t>
  </si>
  <si>
    <t>21/01/2026 09:50</t>
  </si>
  <si>
    <t>SO2601-92653</t>
  </si>
  <si>
    <t>LABO 696966184</t>
  </si>
  <si>
    <t>IN2601-101960</t>
  </si>
  <si>
    <t>21/01/2026 09:54</t>
  </si>
  <si>
    <t>SO2601-92652</t>
  </si>
  <si>
    <t>IN2601-101959</t>
  </si>
  <si>
    <t>21/01/2026 09:46</t>
  </si>
  <si>
    <t>SO2601-92651</t>
  </si>
  <si>
    <t>CU2501-01209 -  STE AGRO PASTORALE ET MODERNE D'AFRIQUE CENTRALE SAMAC</t>
  </si>
  <si>
    <t>IN2601-101958</t>
  </si>
  <si>
    <t>SO2601-92650</t>
  </si>
  <si>
    <t>TSALAH 696246529</t>
  </si>
  <si>
    <t>IN2601-101957</t>
  </si>
  <si>
    <t>21/01/2026 09:43</t>
  </si>
  <si>
    <t>SO2601-92649</t>
  </si>
  <si>
    <t>SOUCHA</t>
  </si>
  <si>
    <t>IN2601-101956</t>
  </si>
  <si>
    <t>SO2601-92648</t>
  </si>
  <si>
    <t>CU2407-00353 -  PROVOCAM</t>
  </si>
  <si>
    <t>IN2601-101955</t>
  </si>
  <si>
    <t>21/01/2026 09:40</t>
  </si>
  <si>
    <t>SO2601-92647</t>
  </si>
  <si>
    <t>IN2601-101954</t>
  </si>
  <si>
    <t>21/01/2026 09:37</t>
  </si>
  <si>
    <t>SO2601-92646</t>
  </si>
  <si>
    <t>IN2601-101953</t>
  </si>
  <si>
    <t>21/01/2026 09:38</t>
  </si>
  <si>
    <t>SO2601-92645</t>
  </si>
  <si>
    <t>CHIETCHUENG 699339557</t>
  </si>
  <si>
    <t>IN2601-101952</t>
  </si>
  <si>
    <t>21/01/2026 09:51</t>
  </si>
  <si>
    <t>SO2601-92644</t>
  </si>
  <si>
    <t>diplomate farms 673668844</t>
  </si>
  <si>
    <t>IN2601-101951</t>
  </si>
  <si>
    <t>21/01/2026 09:42</t>
  </si>
  <si>
    <t>SO2601-92643</t>
  </si>
  <si>
    <t>IN2601-101950</t>
  </si>
  <si>
    <t>21/01/2026 09:30</t>
  </si>
  <si>
    <t>SO2601-92642</t>
  </si>
  <si>
    <t>IN2601-101949</t>
  </si>
  <si>
    <t>21/01/2026 09:36</t>
  </si>
  <si>
    <t>SO2601-92641</t>
  </si>
  <si>
    <t>ODETTE</t>
  </si>
  <si>
    <t>IN2601-101948</t>
  </si>
  <si>
    <t>21/01/2026 11:07</t>
  </si>
  <si>
    <t>SO2601-92640</t>
  </si>
  <si>
    <t>DINAYEN 677125796</t>
  </si>
  <si>
    <t>IN2601-101947</t>
  </si>
  <si>
    <t>21/01/2026 09:27</t>
  </si>
  <si>
    <t>SO2601-92639</t>
  </si>
  <si>
    <t>M JISELLE</t>
  </si>
  <si>
    <t>IN2601-101946</t>
  </si>
  <si>
    <t>SO2601-92638</t>
  </si>
  <si>
    <t>DEFO 699542556</t>
  </si>
  <si>
    <t>IN2601-101945</t>
  </si>
  <si>
    <t>21/01/2026 10:38</t>
  </si>
  <si>
    <t>SO2601-92637</t>
  </si>
  <si>
    <t>CU2407-00727 -  KUETCHE</t>
  </si>
  <si>
    <t>IN2601-101944</t>
  </si>
  <si>
    <t>21/01/2026 09:20</t>
  </si>
  <si>
    <t>SO2601-92636</t>
  </si>
  <si>
    <t>DIFFACK</t>
  </si>
  <si>
    <t>IN2601-101943</t>
  </si>
  <si>
    <t>SO2601-92635</t>
  </si>
  <si>
    <t>IN2601-101942</t>
  </si>
  <si>
    <t>21/01/2026 09:32</t>
  </si>
  <si>
    <t>SO2601-92634</t>
  </si>
  <si>
    <t>IN2601-101941</t>
  </si>
  <si>
    <t>21/01/2026 09:14</t>
  </si>
  <si>
    <t>SO2601-92633</t>
  </si>
  <si>
    <t>HERMANN 694660008</t>
  </si>
  <si>
    <t>IN2601-101940</t>
  </si>
  <si>
    <t>21/01/2026 09:17</t>
  </si>
  <si>
    <t>SO2601-92631</t>
  </si>
  <si>
    <t>KEUMENI BRICE 651882198</t>
  </si>
  <si>
    <t>IN2601-101938</t>
  </si>
  <si>
    <t>21/01/2026 09:06</t>
  </si>
  <si>
    <t>SO2601-92630</t>
  </si>
  <si>
    <t>IN2601-101937</t>
  </si>
  <si>
    <t>21/01/2026 09:18</t>
  </si>
  <si>
    <t>SO2601-92629</t>
  </si>
  <si>
    <t>TALLA</t>
  </si>
  <si>
    <t>20/01/2026 00:00</t>
  </si>
  <si>
    <t>IN2601-101936</t>
  </si>
  <si>
    <t>21/01/2026 09:09</t>
  </si>
  <si>
    <t>SO2601-92628</t>
  </si>
  <si>
    <t>IN2601-101935</t>
  </si>
  <si>
    <t>21/01/2026 09:01</t>
  </si>
  <si>
    <t>SO2601-92627</t>
  </si>
  <si>
    <t>IN2601-101934</t>
  </si>
  <si>
    <t>21/01/2026 09:05</t>
  </si>
  <si>
    <t>SO2601-92626</t>
  </si>
  <si>
    <t>JEAN MARIE 678549218</t>
  </si>
  <si>
    <t>IN2601-101933</t>
  </si>
  <si>
    <t>SO2601-92625</t>
  </si>
  <si>
    <t>CU2508-13666 -  TEDONGMO ZOYIM</t>
  </si>
  <si>
    <t>IN2601-101932</t>
  </si>
  <si>
    <t>21/01/2026 08:56</t>
  </si>
  <si>
    <t>SO2601-92624</t>
  </si>
  <si>
    <t>IN2601-101931</t>
  </si>
  <si>
    <t>SO2601-92623</t>
  </si>
  <si>
    <t>BAYEGA</t>
  </si>
  <si>
    <t>IN2601-101930</t>
  </si>
  <si>
    <t>21/01/2026 08:58</t>
  </si>
  <si>
    <t>SO2601-92622</t>
  </si>
  <si>
    <t>IN2601-101929</t>
  </si>
  <si>
    <t>21/01/2026 08:54</t>
  </si>
  <si>
    <t>SO2601-92621</t>
  </si>
  <si>
    <t>IN2601-101928</t>
  </si>
  <si>
    <t>21/01/2026 08:52</t>
  </si>
  <si>
    <t>SO2601-92620</t>
  </si>
  <si>
    <t>IN2601-101927</t>
  </si>
  <si>
    <t>21/01/2026 08:50</t>
  </si>
  <si>
    <t>SO2601-92619</t>
  </si>
  <si>
    <t>FODJO</t>
  </si>
  <si>
    <t>IN2601-101926</t>
  </si>
  <si>
    <t>21/01/2026 09:04</t>
  </si>
  <si>
    <t>SO2601-92618</t>
  </si>
  <si>
    <t>CU2406-00053 -  PROV TCHINDA</t>
  </si>
  <si>
    <t>IN2601-101925</t>
  </si>
  <si>
    <t>21/01/2026 08:46</t>
  </si>
  <si>
    <t>SO2601-92617</t>
  </si>
  <si>
    <t>M NGOUENET FIDELE 676514589</t>
  </si>
  <si>
    <t>IN2601-101924</t>
  </si>
  <si>
    <t>21/01/2026 08:44</t>
  </si>
  <si>
    <t>SO2601-92616</t>
  </si>
  <si>
    <t>IN2601-101923</t>
  </si>
  <si>
    <t>21/01/2026 08:55</t>
  </si>
  <si>
    <t>SO2601-92615</t>
  </si>
  <si>
    <t>dzoyem</t>
  </si>
  <si>
    <t>IN2601-101922</t>
  </si>
  <si>
    <t>SO2601-92614</t>
  </si>
  <si>
    <t>NGOLLE</t>
  </si>
  <si>
    <t>IN2601-101921</t>
  </si>
  <si>
    <t>SO2601-92613</t>
  </si>
  <si>
    <t>CU2509-13931 -  MANDOU NJOYA</t>
  </si>
  <si>
    <t>IN2601-101920</t>
  </si>
  <si>
    <t>21/01/2026 08:48</t>
  </si>
  <si>
    <t>SO2601-92612</t>
  </si>
  <si>
    <t>NOUTCHIA 675280663</t>
  </si>
  <si>
    <t>IN2601-101919</t>
  </si>
  <si>
    <t>SO2601-92611</t>
  </si>
  <si>
    <t>IN2601-101918</t>
  </si>
  <si>
    <t>21/01/2026 08:41</t>
  </si>
  <si>
    <t>SO2601-92610</t>
  </si>
  <si>
    <t>CU2407-00407 -  PROVENDERIE LA GRACE PK13</t>
  </si>
  <si>
    <t>IN2601-101917</t>
  </si>
  <si>
    <t>21/01/2026 08:36</t>
  </si>
  <si>
    <t>SO2601-92609</t>
  </si>
  <si>
    <t>CU2407-00659 -  ISSA OUMAROU</t>
  </si>
  <si>
    <t>IN2601-101916</t>
  </si>
  <si>
    <t>21/01/2026 09:00</t>
  </si>
  <si>
    <t>SO2601-92608</t>
  </si>
  <si>
    <t>IN2601-101915</t>
  </si>
  <si>
    <t>21/01/2026 09:02</t>
  </si>
  <si>
    <t>SO2601-92607</t>
  </si>
  <si>
    <t>FOUEDONG GUILAINE 677740534</t>
  </si>
  <si>
    <t>IN2601-101914</t>
  </si>
  <si>
    <t>21/01/2026 08:29</t>
  </si>
  <si>
    <t>SO2601-92606</t>
  </si>
  <si>
    <t>CU2407-00782 -  MELONG TIWA ADELE</t>
  </si>
  <si>
    <t>IN2601-101913</t>
  </si>
  <si>
    <t>21/01/2026 08:17</t>
  </si>
  <si>
    <t>SO2601-92605</t>
  </si>
  <si>
    <t>MBIADA POUTCHOKO 698346418</t>
  </si>
  <si>
    <t>IN2601-101912</t>
  </si>
  <si>
    <t>21/01/2026 08:09</t>
  </si>
  <si>
    <t>SO2601-92604</t>
  </si>
  <si>
    <t>IN2601-101911</t>
  </si>
  <si>
    <t>21/01/2026 08:11</t>
  </si>
  <si>
    <t>SO2601-92603</t>
  </si>
  <si>
    <t>IN2601-101910</t>
  </si>
  <si>
    <t>SO2601-92602</t>
  </si>
  <si>
    <t>IN2601-101909</t>
  </si>
  <si>
    <t>21/01/2026 07:55</t>
  </si>
  <si>
    <t>SO2601-92693</t>
  </si>
  <si>
    <t>CU2408-01042 -  CLIENT AGROCAM (INTERNAL)</t>
  </si>
  <si>
    <t>20/01/2026</t>
  </si>
  <si>
    <t>IN2601-102000</t>
  </si>
  <si>
    <t>CU2408-01042 -  CLIENT AGROCAM</t>
  </si>
  <si>
    <t>INTERNAL</t>
  </si>
  <si>
    <t>SO2601-92601</t>
  </si>
  <si>
    <t>IN2601-101908</t>
  </si>
  <si>
    <t>20/01/2026 17:30</t>
  </si>
  <si>
    <t>SO2601-92600</t>
  </si>
  <si>
    <t>IN2601-101907</t>
  </si>
  <si>
    <t>20/01/2026 17:20</t>
  </si>
  <si>
    <t>SO2601-92599</t>
  </si>
  <si>
    <t>IN2601-101906</t>
  </si>
  <si>
    <t>20/01/2026 16:41</t>
  </si>
  <si>
    <t>SO2601-92598</t>
  </si>
  <si>
    <t>TCHAMGOUE 696101132</t>
  </si>
  <si>
    <t>IN2601-101905</t>
  </si>
  <si>
    <t>20/01/2026 16:45</t>
  </si>
  <si>
    <t>SO2601-92597</t>
  </si>
  <si>
    <t>IN2601-101904</t>
  </si>
  <si>
    <t>SO2601-92596</t>
  </si>
  <si>
    <t>KAMDEM 671953565</t>
  </si>
  <si>
    <t>IN2601-101903</t>
  </si>
  <si>
    <t>20/01/2026 16:48</t>
  </si>
  <si>
    <t>SO2601-92595</t>
  </si>
  <si>
    <t>IN2601-101902</t>
  </si>
  <si>
    <t>20/01/2026 16:32</t>
  </si>
  <si>
    <t>SO2601-92594</t>
  </si>
  <si>
    <t>Mme MBAKOP</t>
  </si>
  <si>
    <t>IN2601-101901</t>
  </si>
  <si>
    <t>20/01/2026 16:29</t>
  </si>
  <si>
    <t>SO2601-92593</t>
  </si>
  <si>
    <t>IN2601-101900</t>
  </si>
  <si>
    <t>20/01/2026 16:23</t>
  </si>
  <si>
    <t>SO2601-92592</t>
  </si>
  <si>
    <t>HAMAN ADAMA / 679828284</t>
  </si>
  <si>
    <t>IN2601-101899</t>
  </si>
  <si>
    <t>20/01/2026 16:30</t>
  </si>
  <si>
    <t>SO2601-92591</t>
  </si>
  <si>
    <t>IN2601-101898</t>
  </si>
  <si>
    <t>20/01/2026 16:40</t>
  </si>
  <si>
    <t>SO2601-92590</t>
  </si>
  <si>
    <t>IN2601-101897</t>
  </si>
  <si>
    <t>21/01/2026 12:09</t>
  </si>
  <si>
    <t>SO2601-92589</t>
  </si>
  <si>
    <t>IN2601-101896</t>
  </si>
  <si>
    <t>20/01/2026 16:28</t>
  </si>
  <si>
    <t>SO2601-92588</t>
  </si>
  <si>
    <t>ASSONG LINDA 657265216</t>
  </si>
  <si>
    <t>IN2601-101895</t>
  </si>
  <si>
    <t>20/01/2026 16:19</t>
  </si>
  <si>
    <t>SO2601-92587</t>
  </si>
  <si>
    <t>CU2407-00432 -  DR EGBE LUCY BETECK</t>
  </si>
  <si>
    <t>IN2601-101894</t>
  </si>
  <si>
    <t>20/01/2026 16:21</t>
  </si>
  <si>
    <t>SO2601-92586</t>
  </si>
  <si>
    <t>ATONTSA</t>
  </si>
  <si>
    <t>IN2601-101893</t>
  </si>
  <si>
    <t>20/01/2026 16:15</t>
  </si>
  <si>
    <t>SO2601-92585</t>
  </si>
  <si>
    <t>M AMAHELA</t>
  </si>
  <si>
    <t>IN2601-101892</t>
  </si>
  <si>
    <t>20/01/2026 16:22</t>
  </si>
  <si>
    <t>SO2601-92584</t>
  </si>
  <si>
    <t>IN2601-101891</t>
  </si>
  <si>
    <t>20/01/2026 16:16</t>
  </si>
  <si>
    <t>SO2601-92583</t>
  </si>
  <si>
    <t>IN2601-101890</t>
  </si>
  <si>
    <t>20/01/2026 16:14</t>
  </si>
  <si>
    <t>SO2601-92582</t>
  </si>
  <si>
    <t>IN2601-101889</t>
  </si>
  <si>
    <t>20/01/2026 16:08</t>
  </si>
  <si>
    <t>SO2601-92581</t>
  </si>
  <si>
    <t>CU2504-01286 -  GIC ELAGBECAM</t>
  </si>
  <si>
    <t>IN2601-101888</t>
  </si>
  <si>
    <t>20/01/2026 16:26</t>
  </si>
  <si>
    <t>SO2601-92580</t>
  </si>
  <si>
    <t>TOUMI ROBERT 694343627</t>
  </si>
  <si>
    <t>IN2601-101887</t>
  </si>
  <si>
    <t>20/01/2026 16:10</t>
  </si>
  <si>
    <t>SO2601-92579</t>
  </si>
  <si>
    <t>IN2601-101886</t>
  </si>
  <si>
    <t>20/01/2026 16:05</t>
  </si>
  <si>
    <t>SO2601-92578</t>
  </si>
  <si>
    <t>IN2601-101885</t>
  </si>
  <si>
    <t>SO2601-92577</t>
  </si>
  <si>
    <t>djui</t>
  </si>
  <si>
    <t>IN2601-101884</t>
  </si>
  <si>
    <t>20/01/2026 16:51</t>
  </si>
  <si>
    <t>SO2601-92576</t>
  </si>
  <si>
    <t>BERTOS 678164424</t>
  </si>
  <si>
    <t>IN2601-101883</t>
  </si>
  <si>
    <t>SO2601-92575</t>
  </si>
  <si>
    <t>IN2601-101882</t>
  </si>
  <si>
    <t>20/01/2026 16:02</t>
  </si>
  <si>
    <t>SO2601-92574</t>
  </si>
  <si>
    <t>IN2601-101881</t>
  </si>
  <si>
    <t>20/01/2026 16:07</t>
  </si>
  <si>
    <t>SO2601-92573</t>
  </si>
  <si>
    <t>IN2601-101880</t>
  </si>
  <si>
    <t>20/01/2026 15:59</t>
  </si>
  <si>
    <t>SO2601-92572</t>
  </si>
  <si>
    <t>IN2601-101879</t>
  </si>
  <si>
    <t>20/01/2026 16:17</t>
  </si>
  <si>
    <t>SO2601-92571</t>
  </si>
  <si>
    <t>IN2601-101878</t>
  </si>
  <si>
    <t>20/01/2026 16:12</t>
  </si>
  <si>
    <t>SO2601-92570</t>
  </si>
  <si>
    <t>IN2601-101877</t>
  </si>
  <si>
    <t>20/01/2026 16:03</t>
  </si>
  <si>
    <t>SO2601-92569</t>
  </si>
  <si>
    <t>FOZIN AMANDINE</t>
  </si>
  <si>
    <t>IN2601-101876</t>
  </si>
  <si>
    <t>20/01/2026 15:50</t>
  </si>
  <si>
    <t>SO2601-92568</t>
  </si>
  <si>
    <t>IN2601-101875</t>
  </si>
  <si>
    <t>20/01/2026 15:54</t>
  </si>
  <si>
    <t>SO2601-92567</t>
  </si>
  <si>
    <t>CU2407-00444 -  TRIYA MBANYA IBRAHIM</t>
  </si>
  <si>
    <t>IN2601-101874</t>
  </si>
  <si>
    <t>SO2601-92566</t>
  </si>
  <si>
    <t>IN2601-101873</t>
  </si>
  <si>
    <t>SO2601-92565</t>
  </si>
  <si>
    <t>IN2601-101872</t>
  </si>
  <si>
    <t>20/01/2026 15:45</t>
  </si>
  <si>
    <t>SO2601-92564</t>
  </si>
  <si>
    <t>TAFFO KAMDEM OLIVIER / 693870247</t>
  </si>
  <si>
    <t>IN2601-101871</t>
  </si>
  <si>
    <t>20/01/2026 15:44</t>
  </si>
  <si>
    <t>SO2601-92563</t>
  </si>
  <si>
    <t>BERTIN</t>
  </si>
  <si>
    <t>IN2601-101870</t>
  </si>
  <si>
    <t>20/01/2026 15:38</t>
  </si>
  <si>
    <t>SO2601-92562</t>
  </si>
  <si>
    <t>EMMANUEL 676106013</t>
  </si>
  <si>
    <t>IN2601-101869</t>
  </si>
  <si>
    <t>20/01/2026 15:37</t>
  </si>
  <si>
    <t>SO2601-92561</t>
  </si>
  <si>
    <t>IN2601-101868</t>
  </si>
  <si>
    <t>20/01/2026 15:42</t>
  </si>
  <si>
    <t>SO2601-92560</t>
  </si>
  <si>
    <t>IN2601-101867</t>
  </si>
  <si>
    <t>20/01/2026 15:35</t>
  </si>
  <si>
    <t>SO2601-92559</t>
  </si>
  <si>
    <t>IN2601-101866</t>
  </si>
  <si>
    <t>20/01/2026 16:24</t>
  </si>
  <si>
    <t>SO2601-92558</t>
  </si>
  <si>
    <t>IN2601-101865</t>
  </si>
  <si>
    <t>20/01/2026 15:31</t>
  </si>
  <si>
    <t>SO2601-92557</t>
  </si>
  <si>
    <t>IN2601-101864</t>
  </si>
  <si>
    <t>20/01/2026 15:39</t>
  </si>
  <si>
    <t>SO2601-92556</t>
  </si>
  <si>
    <t>M.NJEE 683735415</t>
  </si>
  <si>
    <t>IN2601-101863</t>
  </si>
  <si>
    <t>20/01/2026 15:27</t>
  </si>
  <si>
    <t>SO2601-92555</t>
  </si>
  <si>
    <t>NGAI PAUL 690792326</t>
  </si>
  <si>
    <t>IN2601-101862</t>
  </si>
  <si>
    <t>20/01/2026 15:26</t>
  </si>
  <si>
    <t>SO2601-92554</t>
  </si>
  <si>
    <t>M. DJOMATCHOUA</t>
  </si>
  <si>
    <t>IN2601-101861</t>
  </si>
  <si>
    <t>20/01/2026 15:19</t>
  </si>
  <si>
    <t>SO2601-92553</t>
  </si>
  <si>
    <t>MME AZAMBOU</t>
  </si>
  <si>
    <t>IN2601-101860</t>
  </si>
  <si>
    <t>20/01/2026 15:16</t>
  </si>
  <si>
    <t>SO2601-92552</t>
  </si>
  <si>
    <t>IN2601-101859</t>
  </si>
  <si>
    <t>SO2601-92551</t>
  </si>
  <si>
    <t>IN2601-101858</t>
  </si>
  <si>
    <t>20/01/2026 15:40</t>
  </si>
  <si>
    <t>SO2601-92550</t>
  </si>
  <si>
    <t>CU2407-00937 -  TAGNE ROGER</t>
  </si>
  <si>
    <t>IN2601-101857</t>
  </si>
  <si>
    <t>SO2601-92549</t>
  </si>
  <si>
    <t>M LOKAO</t>
  </si>
  <si>
    <t>IN2601-101856</t>
  </si>
  <si>
    <t>20/01/2026 15:14</t>
  </si>
  <si>
    <t>SO2601-92548</t>
  </si>
  <si>
    <t>IN2601-101855</t>
  </si>
  <si>
    <t>SO2601-92547</t>
  </si>
  <si>
    <t>ALICE</t>
  </si>
  <si>
    <t>IN2601-101854</t>
  </si>
  <si>
    <t>20/01/2026 15:10</t>
  </si>
  <si>
    <t>SO2601-92546</t>
  </si>
  <si>
    <t>IN2601-101853</t>
  </si>
  <si>
    <t>SO2601-92545</t>
  </si>
  <si>
    <t>M.NOUBOU 653832003</t>
  </si>
  <si>
    <t>IN2601-101852</t>
  </si>
  <si>
    <t>20/01/2026 15:09</t>
  </si>
  <si>
    <t>SO2601-92544</t>
  </si>
  <si>
    <t>CU2407-00821 -  NGASSI</t>
  </si>
  <si>
    <t>IN2601-101851</t>
  </si>
  <si>
    <t>20/01/2026 16:06</t>
  </si>
  <si>
    <t>SO2601-92543</t>
  </si>
  <si>
    <t>CU2601-14306 -  KENGNE DIEUDONNE</t>
  </si>
  <si>
    <t>IN2601-101850</t>
  </si>
  <si>
    <t>20/01/2026 15:33</t>
  </si>
  <si>
    <t>SO2601-92542</t>
  </si>
  <si>
    <t>IN2601-101849</t>
  </si>
  <si>
    <t>20/01/2026 15:08</t>
  </si>
  <si>
    <t>SO2601-92541</t>
  </si>
  <si>
    <t>IN2601-101848</t>
  </si>
  <si>
    <t>SO2601-92540</t>
  </si>
  <si>
    <t>IN2601-101847</t>
  </si>
  <si>
    <t>20/01/2026 15:07</t>
  </si>
  <si>
    <t>SO2601-92539</t>
  </si>
  <si>
    <t>MBA 676297134</t>
  </si>
  <si>
    <t>IN2601-101846</t>
  </si>
  <si>
    <t>20/01/2026 15:05</t>
  </si>
  <si>
    <t>SO2601-92538</t>
  </si>
  <si>
    <t>IN2601-101845</t>
  </si>
  <si>
    <t>20/01/2026 15:04</t>
  </si>
  <si>
    <t>SO2601-92537</t>
  </si>
  <si>
    <t>IN2601-101844</t>
  </si>
  <si>
    <t>SO2601-92536</t>
  </si>
  <si>
    <t>WALTER 677488309</t>
  </si>
  <si>
    <t>IN2601-101843</t>
  </si>
  <si>
    <t>20/01/2026 15:03</t>
  </si>
  <si>
    <t>SO2601-92535</t>
  </si>
  <si>
    <t>IN2601-101842</t>
  </si>
  <si>
    <t>20/01/2026 15:02</t>
  </si>
  <si>
    <t>SO2601-92534</t>
  </si>
  <si>
    <t>IN2601-101841</t>
  </si>
  <si>
    <t>20/01/2026 14:52</t>
  </si>
  <si>
    <t>SO2601-92533</t>
  </si>
  <si>
    <t>IN2601-101840</t>
  </si>
  <si>
    <t>20/01/2026 14:54</t>
  </si>
  <si>
    <t>SO2601-92532</t>
  </si>
  <si>
    <t>IN2601-101839</t>
  </si>
  <si>
    <t>SO2601-92531</t>
  </si>
  <si>
    <t>MBOLLO BEYA 676673554</t>
  </si>
  <si>
    <t>IN2601-101838</t>
  </si>
  <si>
    <t>20/01/2026 14:46</t>
  </si>
  <si>
    <t>SO2601-92530</t>
  </si>
  <si>
    <t>IN2601-101837</t>
  </si>
  <si>
    <t>20/01/2026 14:59</t>
  </si>
  <si>
    <t>SO2601-92529</t>
  </si>
  <si>
    <t>IN2601-101836</t>
  </si>
  <si>
    <t>20/01/2026 14:48</t>
  </si>
  <si>
    <t>SO2601-92528</t>
  </si>
  <si>
    <t>IN2601-101835</t>
  </si>
  <si>
    <t>20/01/2026 14:43</t>
  </si>
  <si>
    <t>SO2601-92527</t>
  </si>
  <si>
    <t>IN2601-101834</t>
  </si>
  <si>
    <t>20/01/2026 14:47</t>
  </si>
  <si>
    <t>SO2601-92526</t>
  </si>
  <si>
    <t>IN2601-101833</t>
  </si>
  <si>
    <t>20/01/2026 14:40</t>
  </si>
  <si>
    <t>SO2601-92525</t>
  </si>
  <si>
    <t>M MELOH</t>
  </si>
  <si>
    <t>IN2601-101832</t>
  </si>
  <si>
    <t>SO2601-92524</t>
  </si>
  <si>
    <t>IN2601-101831</t>
  </si>
  <si>
    <t>20/01/2026 14:36</t>
  </si>
  <si>
    <t>SO2601-92523</t>
  </si>
  <si>
    <t>IN2601-101830</t>
  </si>
  <si>
    <t>20/01/2026 14:28</t>
  </si>
  <si>
    <t>SO2601-92522</t>
  </si>
  <si>
    <t>AGRITELA</t>
  </si>
  <si>
    <t>IN2601-101829</t>
  </si>
  <si>
    <t>20/01/2026 14:25</t>
  </si>
  <si>
    <t>SO2601-92521</t>
  </si>
  <si>
    <t>IN2601-101828</t>
  </si>
  <si>
    <t>20/01/2026 14:17</t>
  </si>
  <si>
    <t>SO2601-92520</t>
  </si>
  <si>
    <t>CU2407-01017 -  PROV DE YASSA</t>
  </si>
  <si>
    <t>IN2601-101827</t>
  </si>
  <si>
    <t>20/01/2026 14:16</t>
  </si>
  <si>
    <t>SO2601-92519</t>
  </si>
  <si>
    <t>CU2508-13771 -  TOMBI MBOH EUGENIE Epse ESSOH</t>
  </si>
  <si>
    <t>IN2601-101826</t>
  </si>
  <si>
    <t>SO2601-92518</t>
  </si>
  <si>
    <t>NITCHEU ANNE MARIE 693806915</t>
  </si>
  <si>
    <t>IN2601-101825</t>
  </si>
  <si>
    <t>20/01/2026 14:13</t>
  </si>
  <si>
    <t>SO2601-92517</t>
  </si>
  <si>
    <t>IN2601-101824</t>
  </si>
  <si>
    <t>20/01/2026 15:00</t>
  </si>
  <si>
    <t>SO2601-92516</t>
  </si>
  <si>
    <t>IN2601-101823</t>
  </si>
  <si>
    <t>20/01/2026 14:07</t>
  </si>
  <si>
    <t>SO2601-92515</t>
  </si>
  <si>
    <t>IN2601-101822</t>
  </si>
  <si>
    <t>20/01/2026 14:05</t>
  </si>
  <si>
    <t>SO2601-92514</t>
  </si>
  <si>
    <t>DJIKENG</t>
  </si>
  <si>
    <t>IN2601-101821</t>
  </si>
  <si>
    <t>SO2601-92513</t>
  </si>
  <si>
    <t>IN2601-101820</t>
  </si>
  <si>
    <t>SO2601-92512</t>
  </si>
  <si>
    <t>IN2601-101819</t>
  </si>
  <si>
    <t>20/01/2026 13:55</t>
  </si>
  <si>
    <t>SO2601-92511</t>
  </si>
  <si>
    <t>IN2601-101818</t>
  </si>
  <si>
    <t>20/01/2026 14:21</t>
  </si>
  <si>
    <t>SO2601-92510</t>
  </si>
  <si>
    <t>M KAMDEM ESSO</t>
  </si>
  <si>
    <t>IN2601-101817</t>
  </si>
  <si>
    <t>20/01/2026 13:57</t>
  </si>
  <si>
    <t>SO2601-92509</t>
  </si>
  <si>
    <t>IN2601-101816</t>
  </si>
  <si>
    <t>20/01/2026 13:50</t>
  </si>
  <si>
    <t>SO2601-92508</t>
  </si>
  <si>
    <t>IN2601-101815</t>
  </si>
  <si>
    <t>20/01/2026 13:47</t>
  </si>
  <si>
    <t>SO2601-92507</t>
  </si>
  <si>
    <t>IN2601-101814</t>
  </si>
  <si>
    <t>20/01/2026 13:45</t>
  </si>
  <si>
    <t>SO2601-92506</t>
  </si>
  <si>
    <t>IN2601-101813</t>
  </si>
  <si>
    <t>20/01/2026 13:43</t>
  </si>
  <si>
    <t>SO2601-92505</t>
  </si>
  <si>
    <t>FOTSING</t>
  </si>
  <si>
    <t>CU2407-00162 -  FOTSING PIERRE</t>
  </si>
  <si>
    <t>IN2601-101812</t>
  </si>
  <si>
    <t>20/01/2026 13:40</t>
  </si>
  <si>
    <t>SO2601-92504</t>
  </si>
  <si>
    <t>IN2601-101811</t>
  </si>
  <si>
    <t>SO2601-92503</t>
  </si>
  <si>
    <t>CU2407-00381 -  NADEB'S FARMS</t>
  </si>
  <si>
    <t>IN2601-101810</t>
  </si>
  <si>
    <t>SO2601-92502</t>
  </si>
  <si>
    <t>IN2601-101809</t>
  </si>
  <si>
    <t>SO2601-92501</t>
  </si>
  <si>
    <t>IN2601-101808</t>
  </si>
  <si>
    <t>20/01/2026 13:30</t>
  </si>
  <si>
    <t>SO2601-92500</t>
  </si>
  <si>
    <t>IN2601-101807</t>
  </si>
  <si>
    <t>SO2601-92499</t>
  </si>
  <si>
    <t>HOUSSENI SAÏDJO / 694 66 04 88</t>
  </si>
  <si>
    <t>IN2601-101806</t>
  </si>
  <si>
    <t>20/01/2026 13:29</t>
  </si>
  <si>
    <t>SO2601-92498</t>
  </si>
  <si>
    <t>IN2601-101805</t>
  </si>
  <si>
    <t>20/01/2026 13:24</t>
  </si>
  <si>
    <t>SO2601-92497</t>
  </si>
  <si>
    <t>CU2407-00693 -  KENGNE ROGER</t>
  </si>
  <si>
    <t>IN2601-101804</t>
  </si>
  <si>
    <t>20/01/2026 13:22</t>
  </si>
  <si>
    <t>SO2601-92496</t>
  </si>
  <si>
    <t>IN2601-101803</t>
  </si>
  <si>
    <t>20/01/2026 13:34</t>
  </si>
  <si>
    <t>SO2601-92495</t>
  </si>
  <si>
    <t>ASOMTIA JUSTINE 677980395</t>
  </si>
  <si>
    <t>IN2601-101802</t>
  </si>
  <si>
    <t>20/01/2026 13:18</t>
  </si>
  <si>
    <t>SO2601-92494</t>
  </si>
  <si>
    <t>IN2601-101801</t>
  </si>
  <si>
    <t>20/01/2026 13:13</t>
  </si>
  <si>
    <t>SO2601-92493</t>
  </si>
  <si>
    <t>IN2601-101800</t>
  </si>
  <si>
    <t>20/01/2026 13:10</t>
  </si>
  <si>
    <t>SO2601-92492</t>
  </si>
  <si>
    <t>IN2601-101799</t>
  </si>
  <si>
    <t>20/01/2026 13:07</t>
  </si>
  <si>
    <t>SO2601-92491</t>
  </si>
  <si>
    <t>M.FONGANG MAX 679495678</t>
  </si>
  <si>
    <t>IN2601-101798</t>
  </si>
  <si>
    <t>20/01/2026 12:56</t>
  </si>
  <si>
    <t>SO2601-92490</t>
  </si>
  <si>
    <t>TIOKENG MARCEL (ZDCL00071)</t>
  </si>
  <si>
    <t>IN2601-101797</t>
  </si>
  <si>
    <t>TIOKENG MARCEL</t>
  </si>
  <si>
    <t>ZDCL00071</t>
  </si>
  <si>
    <t>20/01/2026 16:18</t>
  </si>
  <si>
    <t>SO2601-92489</t>
  </si>
  <si>
    <t>NDIP AKEM 677353497</t>
  </si>
  <si>
    <t>IN2601-101796</t>
  </si>
  <si>
    <t>20/01/2026 13:03</t>
  </si>
  <si>
    <t>SO2601-92488</t>
  </si>
  <si>
    <t>IN2601-101795</t>
  </si>
  <si>
    <t>20/01/2026 12:54</t>
  </si>
  <si>
    <t>SO2601-92487</t>
  </si>
  <si>
    <t>IN2601-101794</t>
  </si>
  <si>
    <t>20/01/2026 14:11</t>
  </si>
  <si>
    <t>SO2601-92486</t>
  </si>
  <si>
    <t>IN2601-101793</t>
  </si>
  <si>
    <t>20/01/2026 13:17</t>
  </si>
  <si>
    <t>SO2601-92485</t>
  </si>
  <si>
    <t>Mme NKEGNE</t>
  </si>
  <si>
    <t>IN2601-101792</t>
  </si>
  <si>
    <t>20/01/2026 12:51</t>
  </si>
  <si>
    <t>SO2601-92484</t>
  </si>
  <si>
    <t>MME NGOUEGNI JEANINE 674178778</t>
  </si>
  <si>
    <t>IN2601-101791</t>
  </si>
  <si>
    <t>20/01/2026 12:40</t>
  </si>
  <si>
    <t>SO2601-92483</t>
  </si>
  <si>
    <t>M ZEFAC</t>
  </si>
  <si>
    <t>IN2601-101790</t>
  </si>
  <si>
    <t>20/01/2026 12:43</t>
  </si>
  <si>
    <t>SO2601-92482</t>
  </si>
  <si>
    <t>IN2601-101789</t>
  </si>
  <si>
    <t>20/01/2026 12:35</t>
  </si>
  <si>
    <t>SO2601-92481</t>
  </si>
  <si>
    <t>FANAVA DONALD / 656386525</t>
  </si>
  <si>
    <t>IN2601-101788</t>
  </si>
  <si>
    <t>20/01/2026 12:34</t>
  </si>
  <si>
    <t>SO2601-92480</t>
  </si>
  <si>
    <t>IN2601-101787</t>
  </si>
  <si>
    <t>20/01/2026 12:29</t>
  </si>
  <si>
    <t>SO2601-92479</t>
  </si>
  <si>
    <t>M MATHURIN</t>
  </si>
  <si>
    <t>IN2601-101786</t>
  </si>
  <si>
    <t>SO2601-92478</t>
  </si>
  <si>
    <t>IN2601-101785</t>
  </si>
  <si>
    <t>20/01/2026 12:42</t>
  </si>
  <si>
    <t>SO2601-92477</t>
  </si>
  <si>
    <t>IN2601-101784</t>
  </si>
  <si>
    <t>20/01/2026 12:25</t>
  </si>
  <si>
    <t>SO2601-92476</t>
  </si>
  <si>
    <t>RUDICAM</t>
  </si>
  <si>
    <t>IN2601-101783</t>
  </si>
  <si>
    <t>20/01/2026 13:16</t>
  </si>
  <si>
    <t>SO2601-92475</t>
  </si>
  <si>
    <t>IN2601-101782</t>
  </si>
  <si>
    <t>20/01/2026 12:30</t>
  </si>
  <si>
    <t>SO2601-92474</t>
  </si>
  <si>
    <t>SOURMA JUSTIN 670150929</t>
  </si>
  <si>
    <t>IN2601-101781</t>
  </si>
  <si>
    <t>20/01/2026 12:23</t>
  </si>
  <si>
    <t>SO2601-92473</t>
  </si>
  <si>
    <t>MME NTONYE CECILE 691366300</t>
  </si>
  <si>
    <t>IN2601-101780</t>
  </si>
  <si>
    <t>20/01/2026 12:21</t>
  </si>
  <si>
    <t>SO2601-92472</t>
  </si>
  <si>
    <t>IN2601-101779</t>
  </si>
  <si>
    <t>20/01/2026 12:32</t>
  </si>
  <si>
    <t>SO2601-92471</t>
  </si>
  <si>
    <t>IN2601-101778</t>
  </si>
  <si>
    <t>20/01/2026 12:20</t>
  </si>
  <si>
    <t>SO2601-92470</t>
  </si>
  <si>
    <t>IN2601-101777</t>
  </si>
  <si>
    <t>20/01/2026 12:18</t>
  </si>
  <si>
    <t>SO2601-92469</t>
  </si>
  <si>
    <t>IN2601-101776</t>
  </si>
  <si>
    <t>20/01/2026 12:14</t>
  </si>
  <si>
    <t>SO2601-92468</t>
  </si>
  <si>
    <t>IN2601-101775</t>
  </si>
  <si>
    <t>SO2601-92467</t>
  </si>
  <si>
    <t>IN2601-101774</t>
  </si>
  <si>
    <t>20/01/2026 12:12</t>
  </si>
  <si>
    <t>SO2601-92466</t>
  </si>
  <si>
    <t>DEFFO</t>
  </si>
  <si>
    <t>IN2601-101773</t>
  </si>
  <si>
    <t>20/01/2026 12:09</t>
  </si>
  <si>
    <t>SO2601-92465</t>
  </si>
  <si>
    <t>IN2601-101772</t>
  </si>
  <si>
    <t>20/01/2026 12:01</t>
  </si>
  <si>
    <t>SO2601-92464</t>
  </si>
  <si>
    <t>MAGNE VIRGINIE 673069534</t>
  </si>
  <si>
    <t>IN2601-101771</t>
  </si>
  <si>
    <t>20/01/2026 12:04</t>
  </si>
  <si>
    <t>SO2601-92463</t>
  </si>
  <si>
    <t>IN2601-101770</t>
  </si>
  <si>
    <t>20/01/2026 11:54</t>
  </si>
  <si>
    <t>SO2601-92462</t>
  </si>
  <si>
    <t>IN2601-101769</t>
  </si>
  <si>
    <t>20/01/2026 12:06</t>
  </si>
  <si>
    <t>SO2601-92461</t>
  </si>
  <si>
    <t>ABIEGBE EKOGOU 696719430</t>
  </si>
  <si>
    <t>IN2601-101768</t>
  </si>
  <si>
    <t>20/01/2026 11:52</t>
  </si>
  <si>
    <t>SO2601-92460</t>
  </si>
  <si>
    <t>PROV PROGRES</t>
  </si>
  <si>
    <t>IN2601-101767</t>
  </si>
  <si>
    <t>20/01/2026 11:59</t>
  </si>
  <si>
    <t>SO2601-92459</t>
  </si>
  <si>
    <t>IN2601-101766</t>
  </si>
  <si>
    <t>SO2601-92458</t>
  </si>
  <si>
    <t>IN2601-101765</t>
  </si>
  <si>
    <t>20/01/2026 11:49</t>
  </si>
  <si>
    <t>SO2601-92457</t>
  </si>
  <si>
    <t>IN2601-101764</t>
  </si>
  <si>
    <t>20/01/2026 11:46</t>
  </si>
  <si>
    <t>SO2601-92456</t>
  </si>
  <si>
    <t>M DJIMLI FRANCIS 659301548</t>
  </si>
  <si>
    <t>IN2601-101763</t>
  </si>
  <si>
    <t>20/01/2026 11:45</t>
  </si>
  <si>
    <t>SO2601-92455</t>
  </si>
  <si>
    <t>CU2407-00231 -  NSANGOU NJOYA (NSANGOU NJOYA SALIFOU)</t>
  </si>
  <si>
    <t>IN2601-101762</t>
  </si>
  <si>
    <t>CU2407-00231 -  NSANGOU NJOYA</t>
  </si>
  <si>
    <t>NSANGOU NJOYA SALIFOU</t>
  </si>
  <si>
    <t>20/01/2026 11:41</t>
  </si>
  <si>
    <t>SO2601-92454</t>
  </si>
  <si>
    <t>IN2601-101761</t>
  </si>
  <si>
    <t>20/01/2026 11:40</t>
  </si>
  <si>
    <t>SO2601-92453</t>
  </si>
  <si>
    <t>MARTIAL 690399319</t>
  </si>
  <si>
    <t>IN2601-101760</t>
  </si>
  <si>
    <t>20/01/2026 11:36</t>
  </si>
  <si>
    <t>SO2601-92452</t>
  </si>
  <si>
    <t>IN2601-101759</t>
  </si>
  <si>
    <t>20/01/2026 11:33</t>
  </si>
  <si>
    <t>SO2601-92451</t>
  </si>
  <si>
    <t>IN2601-101758</t>
  </si>
  <si>
    <t>20/01/2026 11:32</t>
  </si>
  <si>
    <t>SO2601-92450</t>
  </si>
  <si>
    <t>IN2601-101757</t>
  </si>
  <si>
    <t>SO2601-92449</t>
  </si>
  <si>
    <t>IN2601-101756</t>
  </si>
  <si>
    <t>20/01/2026 11:39</t>
  </si>
  <si>
    <t>SO2601-92448</t>
  </si>
  <si>
    <t>IN2601-101755</t>
  </si>
  <si>
    <t>20/01/2026 11:30</t>
  </si>
  <si>
    <t>SO2601-92447</t>
  </si>
  <si>
    <t>Mme KEMEGNE</t>
  </si>
  <si>
    <t>IN2601-101754</t>
  </si>
  <si>
    <t>20/01/2026 11:31</t>
  </si>
  <si>
    <t>SO2601-92446</t>
  </si>
  <si>
    <t>OLIVE ZONG 694903069</t>
  </si>
  <si>
    <t>IN2601-101753</t>
  </si>
  <si>
    <t>SO2601-92445</t>
  </si>
  <si>
    <t>KOUOKAM KAMGA 674965138</t>
  </si>
  <si>
    <t>CU2407-00287 -  KOUOKAM KAMGA EPSE DEFO</t>
  </si>
  <si>
    <t>IN2601-101752</t>
  </si>
  <si>
    <t>20/01/2026 11:28</t>
  </si>
  <si>
    <t>SO2601-92444</t>
  </si>
  <si>
    <t>M MOUNYICHE PHILIPPE</t>
  </si>
  <si>
    <t>IN2601-101751</t>
  </si>
  <si>
    <t>20/01/2026 11:29</t>
  </si>
  <si>
    <t>SO2601-92443</t>
  </si>
  <si>
    <t>CU2504-01311 -  MEULA</t>
  </si>
  <si>
    <t>IN2601-101750</t>
  </si>
  <si>
    <t>20/01/2026 11:18</t>
  </si>
  <si>
    <t>SO2601-92442</t>
  </si>
  <si>
    <t>Mme ZOUBAIDA ISSA / 699178544</t>
  </si>
  <si>
    <t>IN2601-101749</t>
  </si>
  <si>
    <t>20/01/2026 11:17</t>
  </si>
  <si>
    <t>SO2601-92441</t>
  </si>
  <si>
    <t>IN2601-101748</t>
  </si>
  <si>
    <t>SO2601-92440</t>
  </si>
  <si>
    <t>TADJUEDJE JP 675266201</t>
  </si>
  <si>
    <t>IN2601-101747</t>
  </si>
  <si>
    <t>20/01/2026 11:13</t>
  </si>
  <si>
    <t>SO2601-92439</t>
  </si>
  <si>
    <t>VETZONE PLUS / 693725834</t>
  </si>
  <si>
    <t>CU2508-13742 -  ETS VETZONE PLUS (REYANG MBARGA HERMANN)</t>
  </si>
  <si>
    <t>IN2601-101746</t>
  </si>
  <si>
    <t>CU2508-13742 -  ETS VETZONE PLUS</t>
  </si>
  <si>
    <t>REYANG MBARGA HERMANN</t>
  </si>
  <si>
    <t>20/01/2026 11:00</t>
  </si>
  <si>
    <t>SO2601-92438</t>
  </si>
  <si>
    <t>CU2601-14339 -  MEFIRE HERVE MARIUS</t>
  </si>
  <si>
    <t>IN2601-101745</t>
  </si>
  <si>
    <t>20/01/2026 10:59</t>
  </si>
  <si>
    <t>SO2601-92437</t>
  </si>
  <si>
    <t>IN2601-101744</t>
  </si>
  <si>
    <t>20/01/2026 11:01</t>
  </si>
  <si>
    <t>SO2601-92436</t>
  </si>
  <si>
    <t>IN2601-101743</t>
  </si>
  <si>
    <t>20/01/2026 11:06</t>
  </si>
  <si>
    <t>SO2601-92435</t>
  </si>
  <si>
    <t>IN2601-101742</t>
  </si>
  <si>
    <t>20/01/2026 10:56</t>
  </si>
  <si>
    <t>SO2601-92434</t>
  </si>
  <si>
    <t>IN2601-101741</t>
  </si>
  <si>
    <t>20/01/2026 10:50</t>
  </si>
  <si>
    <t>SO2601-92433</t>
  </si>
  <si>
    <t>AKALA</t>
  </si>
  <si>
    <t>IN2601-101740</t>
  </si>
  <si>
    <t>20/01/2026 10:44</t>
  </si>
  <si>
    <t>SO2601-92432</t>
  </si>
  <si>
    <t>MAKOU</t>
  </si>
  <si>
    <t>IN2601-101739</t>
  </si>
  <si>
    <t>20/01/2026 10:40</t>
  </si>
  <si>
    <t>SO2601-92431</t>
  </si>
  <si>
    <t>IN2601-101738</t>
  </si>
  <si>
    <t>20/01/2026 10:38</t>
  </si>
  <si>
    <t>SO2601-92430</t>
  </si>
  <si>
    <t>FOPA / 692 60 23 31</t>
  </si>
  <si>
    <t>IN2601-101737</t>
  </si>
  <si>
    <t>20/01/2026 10:46</t>
  </si>
  <si>
    <t>SO2601-92429</t>
  </si>
  <si>
    <t>IN2601-101736</t>
  </si>
  <si>
    <t>20/01/2026 10:33</t>
  </si>
  <si>
    <t>SO2601-92428</t>
  </si>
  <si>
    <t>CU2502-01242 -  YAGUE MARTIN</t>
  </si>
  <si>
    <t>IN2601-101735</t>
  </si>
  <si>
    <t>20/01/2026 10:34</t>
  </si>
  <si>
    <t>SO2601-92427</t>
  </si>
  <si>
    <t>IN2601-101734</t>
  </si>
  <si>
    <t>SO2601-92426</t>
  </si>
  <si>
    <t>M BACHE SOLOMA</t>
  </si>
  <si>
    <t>IN2601-101733</t>
  </si>
  <si>
    <t>20/01/2026 10:31</t>
  </si>
  <si>
    <t>SO2601-92425</t>
  </si>
  <si>
    <t>CU2407-00987 -  SUCEES VIT</t>
  </si>
  <si>
    <t>IN2601-101732</t>
  </si>
  <si>
    <t>SO2601-92424</t>
  </si>
  <si>
    <t>CU2507-13410 -  ETS HUGO</t>
  </si>
  <si>
    <t>IN2601-101731</t>
  </si>
  <si>
    <t>20/01/2026 10:30</t>
  </si>
  <si>
    <t>SO2601-92423</t>
  </si>
  <si>
    <t>KOMBE FARM 677775728</t>
  </si>
  <si>
    <t>IN2601-101730</t>
  </si>
  <si>
    <t>20/01/2026 10:26</t>
  </si>
  <si>
    <t>SO2601-92422</t>
  </si>
  <si>
    <t>EMERI FARM</t>
  </si>
  <si>
    <t>IN2601-101729</t>
  </si>
  <si>
    <t>20/01/2026 10:39</t>
  </si>
  <si>
    <t>SO2601-92421</t>
  </si>
  <si>
    <t>IN2601-101728</t>
  </si>
  <si>
    <t>20/01/2026 10:24</t>
  </si>
  <si>
    <t>SO2601-92419</t>
  </si>
  <si>
    <t>CU2407-00488 -  BUTCHUENG DANIEL</t>
  </si>
  <si>
    <t>IN2601-101726</t>
  </si>
  <si>
    <t>20/01/2026 10:29</t>
  </si>
  <si>
    <t>SO2601-92418</t>
  </si>
  <si>
    <t>IN2601-101725</t>
  </si>
  <si>
    <t>20/01/2026 10:22</t>
  </si>
  <si>
    <t>SO2601-92417</t>
  </si>
  <si>
    <t>IN2601-101724</t>
  </si>
  <si>
    <t>20/01/2026 10:19</t>
  </si>
  <si>
    <t>SO2601-92416</t>
  </si>
  <si>
    <t>IN2601-101723</t>
  </si>
  <si>
    <t>SO2601-92415</t>
  </si>
  <si>
    <t>PROXIMITE AGRO. / 674589157</t>
  </si>
  <si>
    <t>CU2407-01022 -  PROXIMITE AGRO-PASTORALE SARL (PROVENDIER)</t>
  </si>
  <si>
    <t>IN2601-101722</t>
  </si>
  <si>
    <t>CU2407-01022 -  PROXIMITE AGRO-PASTORALE SARL</t>
  </si>
  <si>
    <t>20/01/2026 10:20</t>
  </si>
  <si>
    <t>SO2601-92414</t>
  </si>
  <si>
    <t>IN2601-101721</t>
  </si>
  <si>
    <t>20/01/2026 10:23</t>
  </si>
  <si>
    <t>SO2601-92413</t>
  </si>
  <si>
    <t>IN2601-101720</t>
  </si>
  <si>
    <t>20/01/2026 10:37</t>
  </si>
  <si>
    <t>SO2601-92412</t>
  </si>
  <si>
    <t>IN2601-101719</t>
  </si>
  <si>
    <t>20/01/2026 10:25</t>
  </si>
  <si>
    <t>SO2601-92411</t>
  </si>
  <si>
    <t>IN2601-101718</t>
  </si>
  <si>
    <t>20/01/2026 10:13</t>
  </si>
  <si>
    <t>SO2601-92410</t>
  </si>
  <si>
    <t>IN2601-101717</t>
  </si>
  <si>
    <t>20/01/2026 10:12</t>
  </si>
  <si>
    <t>SO2601-92409</t>
  </si>
  <si>
    <t>IN2601-101716</t>
  </si>
  <si>
    <t>SO2601-92408</t>
  </si>
  <si>
    <t>DJIFACK</t>
  </si>
  <si>
    <t>IN2601-101715</t>
  </si>
  <si>
    <t>20/01/2026 11:05</t>
  </si>
  <si>
    <t>SO2601-92407</t>
  </si>
  <si>
    <t>KAMGA LOIC 653514816</t>
  </si>
  <si>
    <t>IN2601-101714</t>
  </si>
  <si>
    <t>20/01/2026 10:11</t>
  </si>
  <si>
    <t>SO2601-92406</t>
  </si>
  <si>
    <t>sap</t>
  </si>
  <si>
    <t>IN2601-101713</t>
  </si>
  <si>
    <t>20/01/2026 10:00</t>
  </si>
  <si>
    <t>SO2601-92405</t>
  </si>
  <si>
    <t>CU2407-00216 -  DR LARISSA</t>
  </si>
  <si>
    <t>IN2601-101712</t>
  </si>
  <si>
    <t>20/01/2026 09:55</t>
  </si>
  <si>
    <t>SO2601-92404</t>
  </si>
  <si>
    <t>IN2601-101711</t>
  </si>
  <si>
    <t>SO2601-92403</t>
  </si>
  <si>
    <t>IN2601-101710</t>
  </si>
  <si>
    <t>20/01/2026 10:21</t>
  </si>
  <si>
    <t>SO2601-92402</t>
  </si>
  <si>
    <t>IN2601-101709</t>
  </si>
  <si>
    <t>20/01/2026 09:54</t>
  </si>
  <si>
    <t>SO2601-92401</t>
  </si>
  <si>
    <t>KENMOE VIVIEN 68183947</t>
  </si>
  <si>
    <t>IN2601-101708</t>
  </si>
  <si>
    <t>20/01/2026 09:50</t>
  </si>
  <si>
    <t>SO2601-92400</t>
  </si>
  <si>
    <t>IN2601-101707</t>
  </si>
  <si>
    <t>20/01/2026 09:53</t>
  </si>
  <si>
    <t>SO2601-92399</t>
  </si>
  <si>
    <t>CU2407-00851 -  WAFO HIPPOLYTE</t>
  </si>
  <si>
    <t>IN2601-101706</t>
  </si>
  <si>
    <t>20/01/2026 09:41</t>
  </si>
  <si>
    <t>SO2601-92398</t>
  </si>
  <si>
    <t>IN2601-101705</t>
  </si>
  <si>
    <t>20/01/2026 09:42</t>
  </si>
  <si>
    <t>SO2601-92397</t>
  </si>
  <si>
    <t>IN2601-101704</t>
  </si>
  <si>
    <t>20/01/2026 09:38</t>
  </si>
  <si>
    <t>SO2601-92396</t>
  </si>
  <si>
    <t>FERME MODERNE DU SUD</t>
  </si>
  <si>
    <t>IN2601-101703</t>
  </si>
  <si>
    <t>SO2601-92395</t>
  </si>
  <si>
    <t>IN2601-101702</t>
  </si>
  <si>
    <t>SO2601-92394</t>
  </si>
  <si>
    <t>IN2601-101701</t>
  </si>
  <si>
    <t>20/01/2026 09:52</t>
  </si>
  <si>
    <t>SO2601-92393</t>
  </si>
  <si>
    <t>IN2601-101700</t>
  </si>
  <si>
    <t>SO2601-92392</t>
  </si>
  <si>
    <t>IN2601-101699</t>
  </si>
  <si>
    <t>20/01/2026 09:32</t>
  </si>
  <si>
    <t>SO2601-92391</t>
  </si>
  <si>
    <t>CU2407-00293 -  MEMIAFO TEIFOUET JUDITH FLORE</t>
  </si>
  <si>
    <t>IN2601-101698</t>
  </si>
  <si>
    <t>20/01/2026 09:29</t>
  </si>
  <si>
    <t>SO2601-92390</t>
  </si>
  <si>
    <t>IN2601-101697</t>
  </si>
  <si>
    <t>20/01/2026 09:40</t>
  </si>
  <si>
    <t>SO2601-92389</t>
  </si>
  <si>
    <t>IN2601-101696</t>
  </si>
  <si>
    <t>20/01/2026 09:18</t>
  </si>
  <si>
    <t>SO2601-92388</t>
  </si>
  <si>
    <t>CU2407-00762 -  MBOBDA FOTSO BRUNO LAFLEUR</t>
  </si>
  <si>
    <t>IN2601-101695</t>
  </si>
  <si>
    <t>20/01/2026 09:17</t>
  </si>
  <si>
    <t>SO2601-92387</t>
  </si>
  <si>
    <t>IN2601-101694</t>
  </si>
  <si>
    <t>20/01/2026 09:14</t>
  </si>
  <si>
    <t>SO2601-92386</t>
  </si>
  <si>
    <t>M PONSUANG JUNIOR</t>
  </si>
  <si>
    <t>IN2601-101693</t>
  </si>
  <si>
    <t>20/01/2026 09:25</t>
  </si>
  <si>
    <t>SO2601-92385</t>
  </si>
  <si>
    <t>SIMENOU VICTOR 671832383</t>
  </si>
  <si>
    <t>IN2601-101692</t>
  </si>
  <si>
    <t>20/01/2026 09:26</t>
  </si>
  <si>
    <t>SO2601-92384</t>
  </si>
  <si>
    <t>IN2601-101691</t>
  </si>
  <si>
    <t>SO2601-92383</t>
  </si>
  <si>
    <t>SERGES</t>
  </si>
  <si>
    <t>IN2601-101690</t>
  </si>
  <si>
    <t>20/01/2026 09:22</t>
  </si>
  <si>
    <t>SO2601-92382</t>
  </si>
  <si>
    <t>barnabe essomba</t>
  </si>
  <si>
    <t>IN2601-101689</t>
  </si>
  <si>
    <t>20/01/2026 09:05</t>
  </si>
  <si>
    <t>SO2601-92381</t>
  </si>
  <si>
    <t>GAEL KANKO 675679159</t>
  </si>
  <si>
    <t>IN2601-101688</t>
  </si>
  <si>
    <t>20/01/2026 08:58</t>
  </si>
  <si>
    <t>SO2601-92380</t>
  </si>
  <si>
    <t>SOB</t>
  </si>
  <si>
    <t>IN2601-101687</t>
  </si>
  <si>
    <t>20/01/2026 08:51</t>
  </si>
  <si>
    <t>SO2601-92379</t>
  </si>
  <si>
    <t>LA GRACE PK13 699553739</t>
  </si>
  <si>
    <t>IN2601-101686</t>
  </si>
  <si>
    <t>20/01/2026 08:50</t>
  </si>
  <si>
    <t>SO2601-92378</t>
  </si>
  <si>
    <t>IN2601-101685</t>
  </si>
  <si>
    <t>20/01/2026 08:47</t>
  </si>
  <si>
    <t>SO2601-92377</t>
  </si>
  <si>
    <t>Proal</t>
  </si>
  <si>
    <t>IN2601-101684</t>
  </si>
  <si>
    <t>20/01/2026 08:41</t>
  </si>
  <si>
    <t>SO2601-92376</t>
  </si>
  <si>
    <t>IN2601-101683</t>
  </si>
  <si>
    <t>20/01/2026 08:45</t>
  </si>
  <si>
    <t>SO2601-92375</t>
  </si>
  <si>
    <t>ABDOU</t>
  </si>
  <si>
    <t>IN2601-101682</t>
  </si>
  <si>
    <t>20/01/2026 08:42</t>
  </si>
  <si>
    <t>SO2601-92374</t>
  </si>
  <si>
    <t>CU2407-00867 -  NGV TRACO SARL</t>
  </si>
  <si>
    <t>IN2601-101681</t>
  </si>
  <si>
    <t>20/01/2026 08:40</t>
  </si>
  <si>
    <t>SO2601-92373</t>
  </si>
  <si>
    <t>IN2601-101680</t>
  </si>
  <si>
    <t>20/01/2026 08:39</t>
  </si>
  <si>
    <t>SO2601-92372</t>
  </si>
  <si>
    <t>M Equite</t>
  </si>
  <si>
    <t>IN2601-101679</t>
  </si>
  <si>
    <t>20/01/2026 08:33</t>
  </si>
  <si>
    <t>SO2601-92371</t>
  </si>
  <si>
    <t>IN2601-101678</t>
  </si>
  <si>
    <t>20/01/2026 08:36</t>
  </si>
  <si>
    <t>SO2601-92370</t>
  </si>
  <si>
    <t>CU2408-01047 -  Ets EREC (Mekonkeu noumedem epsee tsague Louise)</t>
  </si>
  <si>
    <t>IN2601-101677</t>
  </si>
  <si>
    <t>CU2408-01047 -  Ets EREC</t>
  </si>
  <si>
    <t>Mekonkeu noumedem epsee tsague Louise</t>
  </si>
  <si>
    <t>SO2601-92369</t>
  </si>
  <si>
    <t>kana</t>
  </si>
  <si>
    <t>19/01/2026 00:00</t>
  </si>
  <si>
    <t>IN2601-101676</t>
  </si>
  <si>
    <t>20/01/2026 08:31</t>
  </si>
  <si>
    <t>SO2601-92368</t>
  </si>
  <si>
    <t>IN2601-101675</t>
  </si>
  <si>
    <t>SO2601-92367</t>
  </si>
  <si>
    <t>CU2502-01239 -  MOFOR YACTAGHA JOSEPH</t>
  </si>
  <si>
    <t>IN2601-101674</t>
  </si>
  <si>
    <t>20/01/2026 08:37</t>
  </si>
  <si>
    <t>SO2601-92366</t>
  </si>
  <si>
    <t>OUGOUMI CAMILLE 688008754</t>
  </si>
  <si>
    <t>IN2601-101673</t>
  </si>
  <si>
    <t>20/01/2026 08:27</t>
  </si>
  <si>
    <t>SO2601-92365</t>
  </si>
  <si>
    <t>TCHONGOUA DAVID 674902320</t>
  </si>
  <si>
    <t>IN2601-101672</t>
  </si>
  <si>
    <t>20/01/2026 08:26</t>
  </si>
  <si>
    <t>SO2601-92364</t>
  </si>
  <si>
    <t>CU2407-00592 -  FIRST ELEVAGE</t>
  </si>
  <si>
    <t>IN2601-101671</t>
  </si>
  <si>
    <t>20/01/2026 08:12</t>
  </si>
  <si>
    <t>SO2601-92363</t>
  </si>
  <si>
    <t>JULES</t>
  </si>
  <si>
    <t>IN2601-101670</t>
  </si>
  <si>
    <t>20/01/2026 08:11</t>
  </si>
  <si>
    <t>SO2601-92362</t>
  </si>
  <si>
    <t>IN2601-101669</t>
  </si>
  <si>
    <t>SO2601-92361</t>
  </si>
  <si>
    <t>NDIP AWO 675105331</t>
  </si>
  <si>
    <t>IN2601-101668</t>
  </si>
  <si>
    <t>20/01/2026 07:58</t>
  </si>
  <si>
    <t>SO2601-92360</t>
  </si>
  <si>
    <t>IN2601-101667</t>
  </si>
  <si>
    <t>20/01/2026 07:50</t>
  </si>
  <si>
    <t>SO2601-92420</t>
  </si>
  <si>
    <t>Mme YAYA</t>
  </si>
  <si>
    <t>19/01/2026</t>
  </si>
  <si>
    <t>IN2601-101727</t>
  </si>
  <si>
    <t>SO2601-92359</t>
  </si>
  <si>
    <t>IN2601-101666</t>
  </si>
  <si>
    <t>19/01/2026 17:26</t>
  </si>
  <si>
    <t>SO2601-92357</t>
  </si>
  <si>
    <t>IN2601-101664</t>
  </si>
  <si>
    <t>19/01/2026 17:11</t>
  </si>
  <si>
    <t>SO2601-92356</t>
  </si>
  <si>
    <t>IN2601-101663</t>
  </si>
  <si>
    <t>19/01/2026 17:08</t>
  </si>
  <si>
    <t>SO2601-92355</t>
  </si>
  <si>
    <t>ROBERTO TIA 650656161</t>
  </si>
  <si>
    <t>IN2601-101662</t>
  </si>
  <si>
    <t>19/01/2026 16:41</t>
  </si>
  <si>
    <t>SO2601-92354</t>
  </si>
  <si>
    <t>FOLEPE ELVIS 670805339</t>
  </si>
  <si>
    <t>IN2601-101661</t>
  </si>
  <si>
    <t>19/01/2026 16:35</t>
  </si>
  <si>
    <t>SO2601-92353</t>
  </si>
  <si>
    <t>IN2601-101660</t>
  </si>
  <si>
    <t>19/01/2026 16:37</t>
  </si>
  <si>
    <t>SO2601-92352</t>
  </si>
  <si>
    <t>IN2601-101659</t>
  </si>
  <si>
    <t>19/01/2026 17:36</t>
  </si>
  <si>
    <t>SO2601-92351</t>
  </si>
  <si>
    <t>IN2601-101658</t>
  </si>
  <si>
    <t>19/01/2026 17:34</t>
  </si>
  <si>
    <t>SO2601-92350</t>
  </si>
  <si>
    <t>ABRAHAM</t>
  </si>
  <si>
    <t>IN2601-101657</t>
  </si>
  <si>
    <t>19/01/2026 16:31</t>
  </si>
  <si>
    <t>SO2601-92349</t>
  </si>
  <si>
    <t>M.Fosso cabrel 676111840</t>
  </si>
  <si>
    <t>IN2601-101656</t>
  </si>
  <si>
    <t>19/01/2026 16:29</t>
  </si>
  <si>
    <t>SO2601-92348</t>
  </si>
  <si>
    <t>IN2601-101655</t>
  </si>
  <si>
    <t>SO2601-92347</t>
  </si>
  <si>
    <t>CU2407-00706 -  KOAGNE FOKA RICHARD</t>
  </si>
  <si>
    <t>IN2601-101654</t>
  </si>
  <si>
    <t>19/01/2026 16:28</t>
  </si>
  <si>
    <t>SO2601-92346</t>
  </si>
  <si>
    <t>CU2512-14223 -  TCHINDA NOTSAYO LEONEL CHRISTIAN</t>
  </si>
  <si>
    <t>IN2601-101653</t>
  </si>
  <si>
    <t>19/01/2026 16:53</t>
  </si>
  <si>
    <t>SO2601-92345</t>
  </si>
  <si>
    <t>NDEWELEM JEAN CLAUDE / 694487576</t>
  </si>
  <si>
    <t>IN2601-101652</t>
  </si>
  <si>
    <t>19/01/2026 16:21</t>
  </si>
  <si>
    <t>SO2601-92344</t>
  </si>
  <si>
    <t>M. NYAMSI</t>
  </si>
  <si>
    <t>IN2601-101651</t>
  </si>
  <si>
    <t>19/01/2026 16:13</t>
  </si>
  <si>
    <t>SO2601-92343</t>
  </si>
  <si>
    <t>IN2601-101650</t>
  </si>
  <si>
    <t>19/01/2026 16:08</t>
  </si>
  <si>
    <t>SO2601-92342</t>
  </si>
  <si>
    <t>IN2601-101649</t>
  </si>
  <si>
    <t>SO2601-92341</t>
  </si>
  <si>
    <t>TELE BRUNO 673449690</t>
  </si>
  <si>
    <t>IN2601-101648</t>
  </si>
  <si>
    <t>19/01/2026 16:10</t>
  </si>
  <si>
    <t>SO2601-92340</t>
  </si>
  <si>
    <t>NENGOUM BERNARD</t>
  </si>
  <si>
    <t>IN2601-101647</t>
  </si>
  <si>
    <t>19/01/2026 16:06</t>
  </si>
  <si>
    <t>SO2601-92339</t>
  </si>
  <si>
    <t>KAMDEM SIMONE 677881319</t>
  </si>
  <si>
    <t>IN2601-101646</t>
  </si>
  <si>
    <t>SO2601-92338</t>
  </si>
  <si>
    <t>DJOUKOUO FOSSI MARLEINE (ZDCL00024)</t>
  </si>
  <si>
    <t>IN2601-101645</t>
  </si>
  <si>
    <t>DJOUKOUO FOSSI MARLEINE</t>
  </si>
  <si>
    <t>ZDCL00024</t>
  </si>
  <si>
    <t>19/01/2026 16:04</t>
  </si>
  <si>
    <t>SO2601-92337</t>
  </si>
  <si>
    <t>NGUEYAP WAFO SERGE 679927999</t>
  </si>
  <si>
    <t>IN2601-101644</t>
  </si>
  <si>
    <t>19/01/2026 16:01</t>
  </si>
  <si>
    <t>SO2601-92336</t>
  </si>
  <si>
    <t>SOEUR DE SAINT PAUL DE CHARTRE 673853589</t>
  </si>
  <si>
    <t>IN2601-101643</t>
  </si>
  <si>
    <t>19/01/2026 16:00</t>
  </si>
  <si>
    <t>SO2601-92335</t>
  </si>
  <si>
    <t>KWADA DIEUDONNE 698167172</t>
  </si>
  <si>
    <t>IN2601-101642</t>
  </si>
  <si>
    <t>19/01/2026 15:56</t>
  </si>
  <si>
    <t>SO2601-92334</t>
  </si>
  <si>
    <t>IN2601-101641</t>
  </si>
  <si>
    <t>19/01/2026 15:53</t>
  </si>
  <si>
    <t>SO2601-92333</t>
  </si>
  <si>
    <t>IN2601-101640</t>
  </si>
  <si>
    <t>19/01/2026 15:52</t>
  </si>
  <si>
    <t>SO2601-92332</t>
  </si>
  <si>
    <t>ENOW EPSE TCHOBO 670660886</t>
  </si>
  <si>
    <t>IN2601-101639</t>
  </si>
  <si>
    <t>19/01/2026 15:51</t>
  </si>
  <si>
    <t>SO2601-92331</t>
  </si>
  <si>
    <t>AHOUGA BERTHE 675436781</t>
  </si>
  <si>
    <t>IN2601-101638</t>
  </si>
  <si>
    <t>SO2601-92330</t>
  </si>
  <si>
    <t>IN2601-101637</t>
  </si>
  <si>
    <t>19/01/2026 15:57</t>
  </si>
  <si>
    <t>SO2601-92329</t>
  </si>
  <si>
    <t>IN2601-101636</t>
  </si>
  <si>
    <t>19/01/2026 17:47</t>
  </si>
  <si>
    <t>SO2601-92328</t>
  </si>
  <si>
    <t>LONLA</t>
  </si>
  <si>
    <t>IN2601-101635</t>
  </si>
  <si>
    <t>19/01/2026 15:45</t>
  </si>
  <si>
    <t>SO2601-92327</t>
  </si>
  <si>
    <t>IN2601-101634</t>
  </si>
  <si>
    <t>21/01/2026 10:30</t>
  </si>
  <si>
    <t>SO2601-92326</t>
  </si>
  <si>
    <t>IN2601-101633</t>
  </si>
  <si>
    <t>19/01/2026 15:43</t>
  </si>
  <si>
    <t>SO2601-92325</t>
  </si>
  <si>
    <t>CU2502-01219 -  ETS KINRA &amp; FRERES</t>
  </si>
  <si>
    <t>IN2601-101632</t>
  </si>
  <si>
    <t>SO2601-92324</t>
  </si>
  <si>
    <t>ODILE 675284466</t>
  </si>
  <si>
    <t>IN2601-101631</t>
  </si>
  <si>
    <t>19/01/2026 15:46</t>
  </si>
  <si>
    <t>SO2601-92323</t>
  </si>
  <si>
    <t>GIC LES BRICOLLEURS 677787198</t>
  </si>
  <si>
    <t>IN2601-101630</t>
  </si>
  <si>
    <t>SO2601-92322</t>
  </si>
  <si>
    <t>CU2406-00117 -  PROVENDERIE LE BIEN</t>
  </si>
  <si>
    <t>IN2601-101629</t>
  </si>
  <si>
    <t>19/01/2026 15:33</t>
  </si>
  <si>
    <t>SO2601-92321</t>
  </si>
  <si>
    <t>BOUJIOKA</t>
  </si>
  <si>
    <t>IN2601-101628</t>
  </si>
  <si>
    <t>19/01/2026 15:31</t>
  </si>
  <si>
    <t>SO2601-92320</t>
  </si>
  <si>
    <t>IN2601-101627</t>
  </si>
  <si>
    <t>19/01/2026 15:30</t>
  </si>
  <si>
    <t>SO2601-92319</t>
  </si>
  <si>
    <t>IN2601-101626</t>
  </si>
  <si>
    <t>19/01/2026 15:38</t>
  </si>
  <si>
    <t>SO2601-92318</t>
  </si>
  <si>
    <t>CONFORT ACHU 675863144</t>
  </si>
  <si>
    <t>IN2601-101625</t>
  </si>
  <si>
    <t>SO2601-92317</t>
  </si>
  <si>
    <t>IN2601-101624</t>
  </si>
  <si>
    <t>19/01/2026 15:35</t>
  </si>
  <si>
    <t>SO2601-92316</t>
  </si>
  <si>
    <t>CU2407-00911 -  SCOOPS DATCHIO</t>
  </si>
  <si>
    <t>IN2601-101623</t>
  </si>
  <si>
    <t>SO2601-92315</t>
  </si>
  <si>
    <t>M ODILE</t>
  </si>
  <si>
    <t>IN2601-101622</t>
  </si>
  <si>
    <t>SO2601-92314</t>
  </si>
  <si>
    <t>IN2601-101621</t>
  </si>
  <si>
    <t>19/01/2026 15:27</t>
  </si>
  <si>
    <t>SO2601-92313</t>
  </si>
  <si>
    <t>CU2508-13582 -  FORBIN ATABONGAFAC MARIE-CLAIRE</t>
  </si>
  <si>
    <t>IN2601-101620</t>
  </si>
  <si>
    <t>19/01/2026 15:12</t>
  </si>
  <si>
    <t>SO2601-92312</t>
  </si>
  <si>
    <t>M HAMAD</t>
  </si>
  <si>
    <t>IN2601-101619</t>
  </si>
  <si>
    <t>19/01/2026 15:17</t>
  </si>
  <si>
    <t>SO2601-92311</t>
  </si>
  <si>
    <t>IN2601-101618</t>
  </si>
  <si>
    <t>19/01/2026 15:10</t>
  </si>
  <si>
    <t>SO2601-92310</t>
  </si>
  <si>
    <t>IN2601-101617</t>
  </si>
  <si>
    <t>19/01/2026 15:09</t>
  </si>
  <si>
    <t>SO2601-92309</t>
  </si>
  <si>
    <t>IN2601-101616</t>
  </si>
  <si>
    <t>19/01/2026 15:07</t>
  </si>
  <si>
    <t>SO2601-92308</t>
  </si>
  <si>
    <t>IN2601-101615</t>
  </si>
  <si>
    <t>19/01/2026 15:03</t>
  </si>
  <si>
    <t>SO2601-92306</t>
  </si>
  <si>
    <t>IN2601-101613</t>
  </si>
  <si>
    <t>19/01/2026 15:21</t>
  </si>
  <si>
    <t>SO2601-92305</t>
  </si>
  <si>
    <t>DJUIKO FRANKY 656781645</t>
  </si>
  <si>
    <t>IN2601-101612</t>
  </si>
  <si>
    <t>19/01/2026 15:18</t>
  </si>
  <si>
    <t>SO2601-92304</t>
  </si>
  <si>
    <t>IN2601-101611</t>
  </si>
  <si>
    <t>SO2601-92303</t>
  </si>
  <si>
    <t>IN2601-101610</t>
  </si>
  <si>
    <t>19/01/2026 14:58</t>
  </si>
  <si>
    <t>SO2601-92302</t>
  </si>
  <si>
    <t>TCHOUPO 651172329</t>
  </si>
  <si>
    <t>IN2601-101609</t>
  </si>
  <si>
    <t>19/01/2026 15:48</t>
  </si>
  <si>
    <t>SO2601-92301</t>
  </si>
  <si>
    <t>IN2601-101608</t>
  </si>
  <si>
    <t>19/01/2026 14:55</t>
  </si>
  <si>
    <t>SO2601-92300</t>
  </si>
  <si>
    <t>NGO GOUMBA 656908069</t>
  </si>
  <si>
    <t>IN2601-101607</t>
  </si>
  <si>
    <t>19/01/2026 14:53</t>
  </si>
  <si>
    <t>SO2601-92299</t>
  </si>
  <si>
    <t>IN2601-101606</t>
  </si>
  <si>
    <t>19/01/2026 14:42</t>
  </si>
  <si>
    <t>SO2601-92298</t>
  </si>
  <si>
    <t>IN2601-101605</t>
  </si>
  <si>
    <t>19/01/2026 14:41</t>
  </si>
  <si>
    <t>SO2601-92297</t>
  </si>
  <si>
    <t>IN2601-101604</t>
  </si>
  <si>
    <t>19/01/2026 14:40</t>
  </si>
  <si>
    <t>SO2601-92296</t>
  </si>
  <si>
    <t>TOUKAM DUCLAIR 654083213</t>
  </si>
  <si>
    <t>IN2601-101603</t>
  </si>
  <si>
    <t>19/01/2026 14:43</t>
  </si>
  <si>
    <t>SO2601-92295</t>
  </si>
  <si>
    <t>IN2601-101602</t>
  </si>
  <si>
    <t>19/01/2026 14:37</t>
  </si>
  <si>
    <t>SO2601-92294</t>
  </si>
  <si>
    <t>IN2601-101601</t>
  </si>
  <si>
    <t>SO2601-92293</t>
  </si>
  <si>
    <t>TIOMO FLORE 652459118</t>
  </si>
  <si>
    <t>IN2601-101600</t>
  </si>
  <si>
    <t>19/01/2026 14:33</t>
  </si>
  <si>
    <t>SO2601-92292</t>
  </si>
  <si>
    <t>M KEDINGA PATRICK 655840235</t>
  </si>
  <si>
    <t>IN2601-101599</t>
  </si>
  <si>
    <t>19/01/2026 14:32</t>
  </si>
  <si>
    <t>SO2601-92291</t>
  </si>
  <si>
    <t>DENAM 691244166</t>
  </si>
  <si>
    <t>IN2601-101598</t>
  </si>
  <si>
    <t>19/01/2026 14:44</t>
  </si>
  <si>
    <t>SO2601-92290</t>
  </si>
  <si>
    <t>IN2601-101597</t>
  </si>
  <si>
    <t>19/01/2026 15:20</t>
  </si>
  <si>
    <t>SO2601-92289</t>
  </si>
  <si>
    <t>MATCHONKWE 679655060</t>
  </si>
  <si>
    <t>IN2601-101596</t>
  </si>
  <si>
    <t>19/01/2026 14:31</t>
  </si>
  <si>
    <t>SO2601-92288</t>
  </si>
  <si>
    <t>IN2601-101595</t>
  </si>
  <si>
    <t>19/01/2026 14:26</t>
  </si>
  <si>
    <t>SO2601-92287</t>
  </si>
  <si>
    <t>IN2601-101594</t>
  </si>
  <si>
    <t>19/01/2026 14:21</t>
  </si>
  <si>
    <t>SO2601-92286</t>
  </si>
  <si>
    <t>MOHAMED 697162271</t>
  </si>
  <si>
    <t>IN2601-101593</t>
  </si>
  <si>
    <t>19/01/2026 14:19</t>
  </si>
  <si>
    <t>SO2601-92285</t>
  </si>
  <si>
    <t>IN2601-101592</t>
  </si>
  <si>
    <t>19/01/2026 14:17</t>
  </si>
  <si>
    <t>SO2601-92284</t>
  </si>
  <si>
    <t>ALPHA VET 696355025</t>
  </si>
  <si>
    <t>IN2601-101591</t>
  </si>
  <si>
    <t>19/01/2026 14:16</t>
  </si>
  <si>
    <t>SO2601-92283</t>
  </si>
  <si>
    <t>BAB HAMED / 654 73 49 95</t>
  </si>
  <si>
    <t>IN2601-101590</t>
  </si>
  <si>
    <t>19/01/2026 14:13</t>
  </si>
  <si>
    <t>SO2601-92282</t>
  </si>
  <si>
    <t>IN2601-101589</t>
  </si>
  <si>
    <t>19/01/2026 14:12</t>
  </si>
  <si>
    <t>SO2601-92281</t>
  </si>
  <si>
    <t>MR NGUEGOUE 673523321</t>
  </si>
  <si>
    <t>IN2601-101588</t>
  </si>
  <si>
    <t>19/01/2026 14:15</t>
  </si>
  <si>
    <t>SO2601-92280</t>
  </si>
  <si>
    <t>IN2601-101587</t>
  </si>
  <si>
    <t>SO2601-92279</t>
  </si>
  <si>
    <t>IN2601-101586</t>
  </si>
  <si>
    <t>SO2601-92278</t>
  </si>
  <si>
    <t>IN2601-101585</t>
  </si>
  <si>
    <t>19/01/2026 14:09</t>
  </si>
  <si>
    <t>SO2601-92277</t>
  </si>
  <si>
    <t>CU2504-13360 -  Nguessie Madeleine</t>
  </si>
  <si>
    <t>IN2601-101584</t>
  </si>
  <si>
    <t>19/01/2026 14:08</t>
  </si>
  <si>
    <t>SO2601-92276</t>
  </si>
  <si>
    <t>MME TIMBA 697984597</t>
  </si>
  <si>
    <t>IN2601-101583</t>
  </si>
  <si>
    <t>SO2601-92275</t>
  </si>
  <si>
    <t>IN2601-101582</t>
  </si>
  <si>
    <t>SO2601-92274</t>
  </si>
  <si>
    <t>CU2407-00594 -  FLAVIAN NGAH VERYE</t>
  </si>
  <si>
    <t>IN2601-101581</t>
  </si>
  <si>
    <t>SO2601-92273</t>
  </si>
  <si>
    <t>MME ATSAMA</t>
  </si>
  <si>
    <t>IN2601-101580</t>
  </si>
  <si>
    <t>SO2601-92272</t>
  </si>
  <si>
    <t>M TIENCHEU 694323204</t>
  </si>
  <si>
    <t>IN2601-101579</t>
  </si>
  <si>
    <t>19/01/2026 14:02</t>
  </si>
  <si>
    <t>SO2601-92271</t>
  </si>
  <si>
    <t>IN2601-101578</t>
  </si>
  <si>
    <t>19/01/2026 14:03</t>
  </si>
  <si>
    <t>SO2601-92270</t>
  </si>
  <si>
    <t>CU2502-01267 -  GRACE BUSINESS SARL (NDAMAKO NGOUTANE)</t>
  </si>
  <si>
    <t>IN2601-101577</t>
  </si>
  <si>
    <t>CU2502-01267 -  GRACE BUSINESS SARL</t>
  </si>
  <si>
    <t>NDAMAKO NGOUTANE</t>
  </si>
  <si>
    <t>19/01/2026 13:59</t>
  </si>
  <si>
    <t>SO2601-92269</t>
  </si>
  <si>
    <t>NOEL</t>
  </si>
  <si>
    <t>IN2601-101576</t>
  </si>
  <si>
    <t>19/01/2026 13:56</t>
  </si>
  <si>
    <t>SO2601-92268</t>
  </si>
  <si>
    <t>ASSOFACK RICHARD 673742280</t>
  </si>
  <si>
    <t>IN2601-101575</t>
  </si>
  <si>
    <t>19/01/2026 13:54</t>
  </si>
  <si>
    <t>SO2601-92267</t>
  </si>
  <si>
    <t>ABRAHAM ZOGO 675169469</t>
  </si>
  <si>
    <t>IN2601-101574</t>
  </si>
  <si>
    <t>19/01/2026 13:53</t>
  </si>
  <si>
    <t>SO2601-92266</t>
  </si>
  <si>
    <t>VOUTSA JOSIANE 691923960</t>
  </si>
  <si>
    <t>IN2601-101573</t>
  </si>
  <si>
    <t>19/01/2026 13:50</t>
  </si>
  <si>
    <t>SO2601-92265</t>
  </si>
  <si>
    <t>IN2601-101572</t>
  </si>
  <si>
    <t>19/01/2026 13:52</t>
  </si>
  <si>
    <t>SO2601-92264</t>
  </si>
  <si>
    <t>IN2601-101571</t>
  </si>
  <si>
    <t>19/01/2026 13:39</t>
  </si>
  <si>
    <t>SO2601-92263</t>
  </si>
  <si>
    <t>lako</t>
  </si>
  <si>
    <t>IN2601-101570</t>
  </si>
  <si>
    <t>19/01/2026 13:44</t>
  </si>
  <si>
    <t>SO2601-92262</t>
  </si>
  <si>
    <t>Mr happi</t>
  </si>
  <si>
    <t>IN2601-101569</t>
  </si>
  <si>
    <t>SO2601-92261</t>
  </si>
  <si>
    <t>FOKOUA MAURICE 675810061</t>
  </si>
  <si>
    <t>IN2601-101568</t>
  </si>
  <si>
    <t>19/01/2026 13:41</t>
  </si>
  <si>
    <t>SO2601-92260</t>
  </si>
  <si>
    <t>M.TYLON 675633218</t>
  </si>
  <si>
    <t>IN2601-101567</t>
  </si>
  <si>
    <t>19/01/2026 13:35</t>
  </si>
  <si>
    <t>SO2601-92259</t>
  </si>
  <si>
    <t>IN2601-101566</t>
  </si>
  <si>
    <t>19/01/2026 13:38</t>
  </si>
  <si>
    <t>SO2601-92258</t>
  </si>
  <si>
    <t>IN2601-101565</t>
  </si>
  <si>
    <t>19/01/2026 13:36</t>
  </si>
  <si>
    <t>SO2601-92257</t>
  </si>
  <si>
    <t>IN2601-101564</t>
  </si>
  <si>
    <t>19/01/2026 13:28</t>
  </si>
  <si>
    <t>SO2601-92256</t>
  </si>
  <si>
    <t>CU2509-14120 -  COOP.CA/EMMAÜS (MBAKAM FOTSO EPSE KUATE)</t>
  </si>
  <si>
    <t>IN2601-101563</t>
  </si>
  <si>
    <t>CU2509-14120 -  COOP.CA/EMMAÜS</t>
  </si>
  <si>
    <t>MBAKAM FOTSO EPSE KUATE</t>
  </si>
  <si>
    <t>19/01/2026 13:40</t>
  </si>
  <si>
    <t>SO2601-92255</t>
  </si>
  <si>
    <t>IN2601-101562</t>
  </si>
  <si>
    <t>SO2601-92254</t>
  </si>
  <si>
    <t>IN2601-101561</t>
  </si>
  <si>
    <t>19/01/2026 13:32</t>
  </si>
  <si>
    <t>SO2601-92253</t>
  </si>
  <si>
    <t>franky</t>
  </si>
  <si>
    <t>IN2601-101560</t>
  </si>
  <si>
    <t>19/01/2026 13:34</t>
  </si>
  <si>
    <t>SO2601-92252</t>
  </si>
  <si>
    <t>CY1056 -  PROV. K. EMMA (SOLDE COMPTA)</t>
  </si>
  <si>
    <t>IN2601-101559</t>
  </si>
  <si>
    <t>CY1056 -  PROV. K. EMMA</t>
  </si>
  <si>
    <t>SO2601-92251</t>
  </si>
  <si>
    <t>KAMANA</t>
  </si>
  <si>
    <t>IN2601-101558</t>
  </si>
  <si>
    <t>19/01/2026 13:12</t>
  </si>
  <si>
    <t>SO2601-92250</t>
  </si>
  <si>
    <t>IN2601-101557</t>
  </si>
  <si>
    <t>19/01/2026 13:33</t>
  </si>
  <si>
    <t>SO2601-92249</t>
  </si>
  <si>
    <t>IN2601-101556</t>
  </si>
  <si>
    <t>19/01/2026 13:49</t>
  </si>
  <si>
    <t>SO2601-92248</t>
  </si>
  <si>
    <t>IN2601-101555</t>
  </si>
  <si>
    <t>19/01/2026 13:09</t>
  </si>
  <si>
    <t>SO2601-92247</t>
  </si>
  <si>
    <t>IN2601-101554</t>
  </si>
  <si>
    <t>19/01/2026 13:11</t>
  </si>
  <si>
    <t>SO2601-92246</t>
  </si>
  <si>
    <t>IN2601-101553</t>
  </si>
  <si>
    <t>19/01/2026 13:20</t>
  </si>
  <si>
    <t>SO2601-92245</t>
  </si>
  <si>
    <t>GIC SAD 696376696</t>
  </si>
  <si>
    <t>IN2601-101552</t>
  </si>
  <si>
    <t>19/01/2026 13:07</t>
  </si>
  <si>
    <t>SO2601-92244</t>
  </si>
  <si>
    <t>EDEGUE LIDE 677501435</t>
  </si>
  <si>
    <t>IN2601-101551</t>
  </si>
  <si>
    <t>SO2601-92243</t>
  </si>
  <si>
    <t>IN2601-101550</t>
  </si>
  <si>
    <t>SO2601-92242</t>
  </si>
  <si>
    <t>IN2601-101549</t>
  </si>
  <si>
    <t>19/01/2026 13:01</t>
  </si>
  <si>
    <t>SO2601-92241</t>
  </si>
  <si>
    <t>IN2601-101548</t>
  </si>
  <si>
    <t>19/01/2026 13:00</t>
  </si>
  <si>
    <t>SO2601-92240</t>
  </si>
  <si>
    <t>ABOUBAKAR MOUSSA YAYA / 677744461</t>
  </si>
  <si>
    <t>IN2601-101547</t>
  </si>
  <si>
    <t>19/01/2026 13:30</t>
  </si>
  <si>
    <t>SO2601-92239</t>
  </si>
  <si>
    <t>FAKOUA 699243688</t>
  </si>
  <si>
    <t>IN2601-101546</t>
  </si>
  <si>
    <t>19/01/2026 12:43</t>
  </si>
  <si>
    <t>SO2601-92238</t>
  </si>
  <si>
    <t>IN2601-101545</t>
  </si>
  <si>
    <t>19/01/2026 12:45</t>
  </si>
  <si>
    <t>SO2601-92237</t>
  </si>
  <si>
    <t>MALACTA SIMPLICE 676277909</t>
  </si>
  <si>
    <t>IN2601-101544</t>
  </si>
  <si>
    <t>19/01/2026 12:54</t>
  </si>
  <si>
    <t>SO2601-92236</t>
  </si>
  <si>
    <t>IN2601-101543</t>
  </si>
  <si>
    <t>19/01/2026 12:44</t>
  </si>
  <si>
    <t>SO2601-92235</t>
  </si>
  <si>
    <t>CU2511-14175 -  FOUEGUIM NGOUFO ARSENE RIPERT</t>
  </si>
  <si>
    <t>IN2601-101542</t>
  </si>
  <si>
    <t>SO2601-92234</t>
  </si>
  <si>
    <t>BELLA 695924420</t>
  </si>
  <si>
    <t>IN2601-101541</t>
  </si>
  <si>
    <t>19/01/2026 12:49</t>
  </si>
  <si>
    <t>SO2601-92233</t>
  </si>
  <si>
    <t>SIETCHIPING 693633461</t>
  </si>
  <si>
    <t>IN2601-101540</t>
  </si>
  <si>
    <t>19/01/2026 12:36</t>
  </si>
  <si>
    <t>SO2601-92232</t>
  </si>
  <si>
    <t>IN2601-101539</t>
  </si>
  <si>
    <t>19/01/2026 12:35</t>
  </si>
  <si>
    <t>SO2601-92231</t>
  </si>
  <si>
    <t>IN2601-101538</t>
  </si>
  <si>
    <t>19/01/2026 13:31</t>
  </si>
  <si>
    <t>SO2601-92230</t>
  </si>
  <si>
    <t>IN2601-101537</t>
  </si>
  <si>
    <t>19/01/2026 12:37</t>
  </si>
  <si>
    <t>SO2601-92229</t>
  </si>
  <si>
    <t>ARNAULD</t>
  </si>
  <si>
    <t>IN2601-101536</t>
  </si>
  <si>
    <t>19/01/2026 12:39</t>
  </si>
  <si>
    <t>SO2601-92228</t>
  </si>
  <si>
    <t>RAYMOND 679010257</t>
  </si>
  <si>
    <t>IN2601-101535</t>
  </si>
  <si>
    <t>19/01/2026 12:31</t>
  </si>
  <si>
    <t>SO2601-92227</t>
  </si>
  <si>
    <t>CU2511-14165 -  ETS INDIRA TELECOM (KOM FOTSO HERMANN)</t>
  </si>
  <si>
    <t>IN2601-101534</t>
  </si>
  <si>
    <t>CU2511-14165 -  ETS INDIRA TELECOM</t>
  </si>
  <si>
    <t>KOM FOTSO HERMANN</t>
  </si>
  <si>
    <t>19/01/2026 12:38</t>
  </si>
  <si>
    <t>SO2601-92226</t>
  </si>
  <si>
    <t>IN2601-101533</t>
  </si>
  <si>
    <t>SO2601-92225</t>
  </si>
  <si>
    <t>IN2601-101532</t>
  </si>
  <si>
    <t>19/01/2026 12:29</t>
  </si>
  <si>
    <t>SO2601-92224</t>
  </si>
  <si>
    <t>IN2601-101531</t>
  </si>
  <si>
    <t>SO2601-92223</t>
  </si>
  <si>
    <t>IN2601-101530</t>
  </si>
  <si>
    <t>19/01/2026 12:20</t>
  </si>
  <si>
    <t>SO2601-92222</t>
  </si>
  <si>
    <t>IN2601-101529</t>
  </si>
  <si>
    <t>19/01/2026 12:51</t>
  </si>
  <si>
    <t>SO2601-92221</t>
  </si>
  <si>
    <t>IN2601-101528</t>
  </si>
  <si>
    <t>19/01/2026 12:26</t>
  </si>
  <si>
    <t>SO2601-92220</t>
  </si>
  <si>
    <t>IN2601-101527</t>
  </si>
  <si>
    <t>19/01/2026 12:27</t>
  </si>
  <si>
    <t>SO2601-92219</t>
  </si>
  <si>
    <t>IN2601-101526</t>
  </si>
  <si>
    <t>19/01/2026 12:55</t>
  </si>
  <si>
    <t>SO2601-92218</t>
  </si>
  <si>
    <t>IN2601-101525</t>
  </si>
  <si>
    <t>19/01/2026 12:59</t>
  </si>
  <si>
    <t>SO2601-92217</t>
  </si>
  <si>
    <t>WATAT</t>
  </si>
  <si>
    <t>IN2601-101524</t>
  </si>
  <si>
    <t>19/01/2026 12:15</t>
  </si>
  <si>
    <t>SO2601-92216</t>
  </si>
  <si>
    <t>IN2601-101523</t>
  </si>
  <si>
    <t>19/01/2026 12:14</t>
  </si>
  <si>
    <t>SO2601-92215</t>
  </si>
  <si>
    <t>IN2601-101522</t>
  </si>
  <si>
    <t>19/01/2026 12:10</t>
  </si>
  <si>
    <t>SO2601-92214</t>
  </si>
  <si>
    <t>KONGNSO EMMANUEL 673272619</t>
  </si>
  <si>
    <t>IN2601-101521</t>
  </si>
  <si>
    <t>19/01/2026 12:07</t>
  </si>
  <si>
    <t>SO2601-92213</t>
  </si>
  <si>
    <t>IN2601-101520</t>
  </si>
  <si>
    <t>19/01/2026 12:02</t>
  </si>
  <si>
    <t>SO2601-92212</t>
  </si>
  <si>
    <t>NGOBOU</t>
  </si>
  <si>
    <t>CU2407-00171 -  MME NGOBOU SOREL</t>
  </si>
  <si>
    <t>IN2601-101519</t>
  </si>
  <si>
    <t>19/01/2026 12:16</t>
  </si>
  <si>
    <t>SO2601-92211</t>
  </si>
  <si>
    <t>IN2601-101518</t>
  </si>
  <si>
    <t>19/01/2026 11:58</t>
  </si>
  <si>
    <t>SO2601-92210</t>
  </si>
  <si>
    <t>IN2601-101517</t>
  </si>
  <si>
    <t>19/01/2026 11:56</t>
  </si>
  <si>
    <t>SO2601-92209</t>
  </si>
  <si>
    <t>IN2601-101516</t>
  </si>
  <si>
    <t>19/01/2026 11:57</t>
  </si>
  <si>
    <t>SO2601-92208</t>
  </si>
  <si>
    <t>FOKOU 670015416</t>
  </si>
  <si>
    <t>IN2601-101515</t>
  </si>
  <si>
    <t>SO2601-92207</t>
  </si>
  <si>
    <t>IN2601-101514</t>
  </si>
  <si>
    <t>19/01/2026 11:55</t>
  </si>
  <si>
    <t>SO2601-92206</t>
  </si>
  <si>
    <t>IN2601-101513</t>
  </si>
  <si>
    <t>SO2601-92205</t>
  </si>
  <si>
    <t>IN2601-101512</t>
  </si>
  <si>
    <t>19/01/2026 11:54</t>
  </si>
  <si>
    <t>SO2601-92204</t>
  </si>
  <si>
    <t>IN2601-101511</t>
  </si>
  <si>
    <t>19/01/2026 11:48</t>
  </si>
  <si>
    <t>SO2601-92203</t>
  </si>
  <si>
    <t>IN2601-101510</t>
  </si>
  <si>
    <t>19/01/2026 11:51</t>
  </si>
  <si>
    <t>SO2601-92202</t>
  </si>
  <si>
    <t>RAYMOND</t>
  </si>
  <si>
    <t>IN2601-101509</t>
  </si>
  <si>
    <t>19/01/2026 11:47</t>
  </si>
  <si>
    <t>SO2601-92201</t>
  </si>
  <si>
    <t>IN2601-101508</t>
  </si>
  <si>
    <t>19/01/2026 11:50</t>
  </si>
  <si>
    <t>SO2601-92200</t>
  </si>
  <si>
    <t>IN2601-101507</t>
  </si>
  <si>
    <t>SO2601-92199</t>
  </si>
  <si>
    <t>ABDOULLAHI IYA / 691125198</t>
  </si>
  <si>
    <t>IN2601-101506</t>
  </si>
  <si>
    <t>19/01/2026 13:27</t>
  </si>
  <si>
    <t>SO2601-92198</t>
  </si>
  <si>
    <t>FELICITE</t>
  </si>
  <si>
    <t>IN2601-101505</t>
  </si>
  <si>
    <t>19/01/2026 11:45</t>
  </si>
  <si>
    <t>SO2601-92197</t>
  </si>
  <si>
    <t>IN2601-101504</t>
  </si>
  <si>
    <t>19/01/2026 11:46</t>
  </si>
  <si>
    <t>SO2601-92196</t>
  </si>
  <si>
    <t>IN2601-101503</t>
  </si>
  <si>
    <t>19/01/2026 11:37</t>
  </si>
  <si>
    <t>SO2601-92195</t>
  </si>
  <si>
    <t>IN2601-101502</t>
  </si>
  <si>
    <t>19/01/2026 11:44</t>
  </si>
  <si>
    <t>SO2601-92194</t>
  </si>
  <si>
    <t>DJOMGOUE 674491501</t>
  </si>
  <si>
    <t>IN2601-101501</t>
  </si>
  <si>
    <t>19/01/2026 11:41</t>
  </si>
  <si>
    <t>SO2601-92193</t>
  </si>
  <si>
    <t>BEYOLO ARSENE 674999888</t>
  </si>
  <si>
    <t>IN2601-101500</t>
  </si>
  <si>
    <t>19/01/2026 11:38</t>
  </si>
  <si>
    <t>SO2601-92192</t>
  </si>
  <si>
    <t>IN2601-101499</t>
  </si>
  <si>
    <t>19/01/2026 11:32</t>
  </si>
  <si>
    <t>SO2601-92191</t>
  </si>
  <si>
    <t>TCHUENTEU VALERIE 654480190</t>
  </si>
  <si>
    <t>IN2601-101498</t>
  </si>
  <si>
    <t>19/01/2026 11:33</t>
  </si>
  <si>
    <t>SO2601-92190</t>
  </si>
  <si>
    <t>IN2601-101497</t>
  </si>
  <si>
    <t>SO2601-92189</t>
  </si>
  <si>
    <t>IN2601-101496</t>
  </si>
  <si>
    <t>19/01/2026 11:28</t>
  </si>
  <si>
    <t>SO2601-92188</t>
  </si>
  <si>
    <t>IMMACULATE 653908977</t>
  </si>
  <si>
    <t>IN2601-101495</t>
  </si>
  <si>
    <t>19/01/2026 11:26</t>
  </si>
  <si>
    <t>SO2601-92187</t>
  </si>
  <si>
    <t>IN2601-101494</t>
  </si>
  <si>
    <t>SO2601-92186</t>
  </si>
  <si>
    <t>IN2601-101493</t>
  </si>
  <si>
    <t>19/01/2026 11:15</t>
  </si>
  <si>
    <t>SO2601-92185</t>
  </si>
  <si>
    <t>MESSA EDITH 675175938</t>
  </si>
  <si>
    <t>IN2601-101492</t>
  </si>
  <si>
    <t>19/01/2026 11:19</t>
  </si>
  <si>
    <t>SO2601-92184</t>
  </si>
  <si>
    <t>CU2407-00153 -  DJIMELI FRANCIS</t>
  </si>
  <si>
    <t>IN2601-101491</t>
  </si>
  <si>
    <t>19/01/2026 11:14</t>
  </si>
  <si>
    <t>SO2601-92183</t>
  </si>
  <si>
    <t>IN2601-101490</t>
  </si>
  <si>
    <t>SO2601-92182</t>
  </si>
  <si>
    <t>FRANCK / 657 02 94 51</t>
  </si>
  <si>
    <t>IN2601-101489</t>
  </si>
  <si>
    <t>19/01/2026 11:16</t>
  </si>
  <si>
    <t>SO2601-92181</t>
  </si>
  <si>
    <t>IN2601-101488</t>
  </si>
  <si>
    <t>SO2601-92180</t>
  </si>
  <si>
    <t>IN2601-101487</t>
  </si>
  <si>
    <t>SO2601-92179</t>
  </si>
  <si>
    <t>PIERRE 652550980</t>
  </si>
  <si>
    <t>IN2601-101486</t>
  </si>
  <si>
    <t>19/01/2026 11:08</t>
  </si>
  <si>
    <t>SO2601-92178</t>
  </si>
  <si>
    <t>IN2601-101485</t>
  </si>
  <si>
    <t>19/01/2026 11:10</t>
  </si>
  <si>
    <t>SO2601-92177</t>
  </si>
  <si>
    <t>FOKA695813193</t>
  </si>
  <si>
    <t>IN2601-101484</t>
  </si>
  <si>
    <t>19/01/2026 11:06</t>
  </si>
  <si>
    <t>SO2601-92176</t>
  </si>
  <si>
    <t>IN2601-101483</t>
  </si>
  <si>
    <t>SO2601-92175</t>
  </si>
  <si>
    <t>NZALI CARRINE MOSELLE</t>
  </si>
  <si>
    <t>IN2601-101482</t>
  </si>
  <si>
    <t>19/01/2026 11:02</t>
  </si>
  <si>
    <t>SO2601-92174</t>
  </si>
  <si>
    <t>IN2601-101481</t>
  </si>
  <si>
    <t>SO2601-92173</t>
  </si>
  <si>
    <t>IN2601-101480</t>
  </si>
  <si>
    <t>19/01/2026 11:00</t>
  </si>
  <si>
    <t>SO2601-92172</t>
  </si>
  <si>
    <t>MOFFO 691202829</t>
  </si>
  <si>
    <t>IN2601-101479</t>
  </si>
  <si>
    <t>19/01/2026 11:03</t>
  </si>
  <si>
    <t>SO2601-92171</t>
  </si>
  <si>
    <t>SOB JONATHAN 688708652</t>
  </si>
  <si>
    <t>IN2601-101478</t>
  </si>
  <si>
    <t>19/01/2026 10:59</t>
  </si>
  <si>
    <t>SO2601-92170</t>
  </si>
  <si>
    <t>LAKO EPIPHANIE 692115061</t>
  </si>
  <si>
    <t>IN2601-101477</t>
  </si>
  <si>
    <t>19/01/2026 10:54</t>
  </si>
  <si>
    <t>SO2601-92169</t>
  </si>
  <si>
    <t>IN2601-101476</t>
  </si>
  <si>
    <t>19/01/2026 11:05</t>
  </si>
  <si>
    <t>SO2601-92168</t>
  </si>
  <si>
    <t>IN2601-101475</t>
  </si>
  <si>
    <t>19/01/2026 10:52</t>
  </si>
  <si>
    <t>SO2601-92167</t>
  </si>
  <si>
    <t>AMBI 675721808</t>
  </si>
  <si>
    <t>IN2601-101474</t>
  </si>
  <si>
    <t>SO2601-92166</t>
  </si>
  <si>
    <t>POUOKAM TALLA 674965138</t>
  </si>
  <si>
    <t>CU2407-00321 -  POUOKAM TALLA EPSE DACGNE</t>
  </si>
  <si>
    <t>IN2601-101473</t>
  </si>
  <si>
    <t>19/01/2026 11:01</t>
  </si>
  <si>
    <t>SO2601-92165</t>
  </si>
  <si>
    <t>CU2408-01030 -  PROV TALLA</t>
  </si>
  <si>
    <t>IN2601-101472</t>
  </si>
  <si>
    <t>19/01/2026 10:42</t>
  </si>
  <si>
    <t>SO2601-92164</t>
  </si>
  <si>
    <t>IN2601-101471</t>
  </si>
  <si>
    <t>19/01/2026 10:46</t>
  </si>
  <si>
    <t>SO2601-92163</t>
  </si>
  <si>
    <t>IN2601-101470</t>
  </si>
  <si>
    <t>19/01/2026 11:18</t>
  </si>
  <si>
    <t>SO2601-92162</t>
  </si>
  <si>
    <t>DJOWA TAJO 675914925</t>
  </si>
  <si>
    <t>IN2601-101469</t>
  </si>
  <si>
    <t>SO2601-92161</t>
  </si>
  <si>
    <t>M. NDOPON</t>
  </si>
  <si>
    <t>IN2601-101468</t>
  </si>
  <si>
    <t>19/01/2026 10:37</t>
  </si>
  <si>
    <t>SO2601-92160</t>
  </si>
  <si>
    <t>IN2601-101467</t>
  </si>
  <si>
    <t>SO2601-92159</t>
  </si>
  <si>
    <t>IN2601-101466</t>
  </si>
  <si>
    <t>19/01/2026 10:36</t>
  </si>
  <si>
    <t>SO2601-92158</t>
  </si>
  <si>
    <t>IN2601-101465</t>
  </si>
  <si>
    <t>19/01/2026 10:38</t>
  </si>
  <si>
    <t>SO2601-92157</t>
  </si>
  <si>
    <t>IN2601-101464</t>
  </si>
  <si>
    <t>19/01/2026 10:33</t>
  </si>
  <si>
    <t>SO2601-92156</t>
  </si>
  <si>
    <t>BERNAND</t>
  </si>
  <si>
    <t>IN2601-101463</t>
  </si>
  <si>
    <t>SO2601-92155</t>
  </si>
  <si>
    <t>IN2601-101462</t>
  </si>
  <si>
    <t>19/01/2026 10:30</t>
  </si>
  <si>
    <t>SO2601-92154</t>
  </si>
  <si>
    <t>IN2601-101461</t>
  </si>
  <si>
    <t>SO2601-92153</t>
  </si>
  <si>
    <t>MEVACK MARTIN 673593909</t>
  </si>
  <si>
    <t>IN2601-101460</t>
  </si>
  <si>
    <t>19/01/2026 10:44</t>
  </si>
  <si>
    <t>SO2601-92152</t>
  </si>
  <si>
    <t>KENNEMAURICE 680579929</t>
  </si>
  <si>
    <t>IN2601-101459</t>
  </si>
  <si>
    <t>19/01/2026 10:21</t>
  </si>
  <si>
    <t>SO2601-92151</t>
  </si>
  <si>
    <t>IN2601-101458</t>
  </si>
  <si>
    <t>SO2601-92150</t>
  </si>
  <si>
    <t>IN2601-101457</t>
  </si>
  <si>
    <t>19/01/2026 10:26</t>
  </si>
  <si>
    <t>SO2601-92149</t>
  </si>
  <si>
    <t>IN2601-101456</t>
  </si>
  <si>
    <t>19/01/2026 10:18</t>
  </si>
  <si>
    <t>SO2601-92148</t>
  </si>
  <si>
    <t>IN2601-101455</t>
  </si>
  <si>
    <t>19/01/2026 10:23</t>
  </si>
  <si>
    <t>SO2601-92147</t>
  </si>
  <si>
    <t>IN2601-101454</t>
  </si>
  <si>
    <t>19/01/2026 10:24</t>
  </si>
  <si>
    <t>SO2601-92146</t>
  </si>
  <si>
    <t>HAMADOU 677474118</t>
  </si>
  <si>
    <t>IN2601-101453</t>
  </si>
  <si>
    <t>19/01/2026 10:14</t>
  </si>
  <si>
    <t>SO2601-92145</t>
  </si>
  <si>
    <t>IN2601-101452</t>
  </si>
  <si>
    <t>19/01/2026 10:19</t>
  </si>
  <si>
    <t>SO2601-92144</t>
  </si>
  <si>
    <t>IN2601-101451</t>
  </si>
  <si>
    <t>19/01/2026 10:15</t>
  </si>
  <si>
    <t>SO2601-92143</t>
  </si>
  <si>
    <t>IN2601-101450</t>
  </si>
  <si>
    <t>19/01/2026 10:10</t>
  </si>
  <si>
    <t>SO2601-92142</t>
  </si>
  <si>
    <t>CU2407-00863 -  NGUETCHUENG</t>
  </si>
  <si>
    <t>IN2601-101449</t>
  </si>
  <si>
    <t>19/01/2026 10:08</t>
  </si>
  <si>
    <t>SO2601-92141</t>
  </si>
  <si>
    <t>IN2601-101448</t>
  </si>
  <si>
    <t>19/01/2026 10:09</t>
  </si>
  <si>
    <t>SO2601-92140</t>
  </si>
  <si>
    <t>CU2407-00298 -  MOGAN TCHIO GEORGES FAUSTIN</t>
  </si>
  <si>
    <t>IN2601-101447</t>
  </si>
  <si>
    <t>SO2601-92139</t>
  </si>
  <si>
    <t>IN2601-101446</t>
  </si>
  <si>
    <t>19/01/2026 10:06</t>
  </si>
  <si>
    <t>SO2601-92138</t>
  </si>
  <si>
    <t>IN2601-101445</t>
  </si>
  <si>
    <t>19/01/2026 10:05</t>
  </si>
  <si>
    <t>SO2601-92137</t>
  </si>
  <si>
    <t>IN2601-101444</t>
  </si>
  <si>
    <t>19/01/2026 10:00</t>
  </si>
  <si>
    <t>SO2601-92136</t>
  </si>
  <si>
    <t>CU2411-01148 -  Goubre épouse fowongwang Sylvie</t>
  </si>
  <si>
    <t>IN2601-101443</t>
  </si>
  <si>
    <t>19/01/2026 10:17</t>
  </si>
  <si>
    <t>SO2601-92135</t>
  </si>
  <si>
    <t>IN2601-101442</t>
  </si>
  <si>
    <t>19/01/2026 09:57</t>
  </si>
  <si>
    <t>SO2601-92134</t>
  </si>
  <si>
    <t>IN2601-101441</t>
  </si>
  <si>
    <t>19/01/2026 10:12</t>
  </si>
  <si>
    <t>SO2601-92133</t>
  </si>
  <si>
    <t>IN2601-101440</t>
  </si>
  <si>
    <t>19/01/2026 10:02</t>
  </si>
  <si>
    <t>SO2601-92132</t>
  </si>
  <si>
    <t>IN2601-101439</t>
  </si>
  <si>
    <t>19/01/2026 09:54</t>
  </si>
  <si>
    <t>SO2601-92131</t>
  </si>
  <si>
    <t>IN2601-101438</t>
  </si>
  <si>
    <t>19/01/2026 09:55</t>
  </si>
  <si>
    <t>SO2601-92129</t>
  </si>
  <si>
    <t>IN2601-101436</t>
  </si>
  <si>
    <t>19/01/2026 09:45</t>
  </si>
  <si>
    <t>SO2601-92128</t>
  </si>
  <si>
    <t>IN2601-101435</t>
  </si>
  <si>
    <t>SO2601-92127</t>
  </si>
  <si>
    <t>GIC ABEL697222133</t>
  </si>
  <si>
    <t>IN2601-101434</t>
  </si>
  <si>
    <t>19/01/2026 09:41</t>
  </si>
  <si>
    <t>SO2601-92126</t>
  </si>
  <si>
    <t>CU2407-00314 -  NZOUANKEU MANGA EPSE FOSSO</t>
  </si>
  <si>
    <t>IN2601-101433</t>
  </si>
  <si>
    <t>19/01/2026 09:36</t>
  </si>
  <si>
    <t>SO2601-92125</t>
  </si>
  <si>
    <t>IN2601-101432</t>
  </si>
  <si>
    <t>SO2601-92124</t>
  </si>
  <si>
    <t>MBATCHOU</t>
  </si>
  <si>
    <t>IN2601-101431</t>
  </si>
  <si>
    <t>19/01/2026 09:34</t>
  </si>
  <si>
    <t>SO2601-92123</t>
  </si>
  <si>
    <t>IN2601-101430</t>
  </si>
  <si>
    <t>19/01/2026 09:38</t>
  </si>
  <si>
    <t>SO2601-92122</t>
  </si>
  <si>
    <t>SIMPLICE 677375171</t>
  </si>
  <si>
    <t>IN2601-101429</t>
  </si>
  <si>
    <t>19/01/2026 09:29</t>
  </si>
  <si>
    <t>SO2601-92121</t>
  </si>
  <si>
    <t>PROV LEO</t>
  </si>
  <si>
    <t>IN2601-101428</t>
  </si>
  <si>
    <t>19/01/2026 09:28</t>
  </si>
  <si>
    <t>SO2601-92120</t>
  </si>
  <si>
    <t>IN2601-101427</t>
  </si>
  <si>
    <t>19/01/2026 09:39</t>
  </si>
  <si>
    <t>SO2601-92119</t>
  </si>
  <si>
    <t>NANSI MIGUELLE 697876159</t>
  </si>
  <si>
    <t>IN2601-101426</t>
  </si>
  <si>
    <t>SO2601-92118</t>
  </si>
  <si>
    <t>ETS CFS 672797474</t>
  </si>
  <si>
    <t>IN2601-101425</t>
  </si>
  <si>
    <t>19/01/2026 09:25</t>
  </si>
  <si>
    <t>SO2601-92117</t>
  </si>
  <si>
    <t>TANGWANG697222133</t>
  </si>
  <si>
    <t>IN2601-101424</t>
  </si>
  <si>
    <t>19/01/2026 09:24</t>
  </si>
  <si>
    <t>SO2601-92116</t>
  </si>
  <si>
    <t>CU2508-13785 -  KALAMEU MOISE</t>
  </si>
  <si>
    <t>IN2601-101423</t>
  </si>
  <si>
    <t>SO2601-92115</t>
  </si>
  <si>
    <t>IN2601-101422</t>
  </si>
  <si>
    <t>SO2601-92114</t>
  </si>
  <si>
    <t>IN2601-101421</t>
  </si>
  <si>
    <t>19/01/2026 09:18</t>
  </si>
  <si>
    <t>SO2601-92113</t>
  </si>
  <si>
    <t>IN2601-101420</t>
  </si>
  <si>
    <t>19/01/2026 09:20</t>
  </si>
  <si>
    <t>SO2601-92112</t>
  </si>
  <si>
    <t>IN2601-101419</t>
  </si>
  <si>
    <t>19/01/2026 09:19</t>
  </si>
  <si>
    <t>SO2601-92111</t>
  </si>
  <si>
    <t>IN2601-101418</t>
  </si>
  <si>
    <t>SO2601-92110</t>
  </si>
  <si>
    <t>NGUADEM ODETTE 694809180</t>
  </si>
  <si>
    <t>IN2601-101417</t>
  </si>
  <si>
    <t>19/01/2026 09:07</t>
  </si>
  <si>
    <t>SO2601-92109</t>
  </si>
  <si>
    <t>NGUEMO 677915320</t>
  </si>
  <si>
    <t>IN2601-101416</t>
  </si>
  <si>
    <t>19/01/2026 09:03</t>
  </si>
  <si>
    <t>SO2601-92108</t>
  </si>
  <si>
    <t>IN2601-101415</t>
  </si>
  <si>
    <t>19/01/2026 09:17</t>
  </si>
  <si>
    <t>SO2601-92107</t>
  </si>
  <si>
    <t>METVOL 699748568</t>
  </si>
  <si>
    <t>IN2601-101414</t>
  </si>
  <si>
    <t>19/01/2026 08:59</t>
  </si>
  <si>
    <t>SO2601-92106</t>
  </si>
  <si>
    <t>IN2601-101413</t>
  </si>
  <si>
    <t>19/01/2026 09:01</t>
  </si>
  <si>
    <t>SO2601-92105</t>
  </si>
  <si>
    <t>FOTSO</t>
  </si>
  <si>
    <t>IN2601-101412</t>
  </si>
  <si>
    <t>19/01/2026 08:56</t>
  </si>
  <si>
    <t>SO2601-92104</t>
  </si>
  <si>
    <t>IN2601-101411</t>
  </si>
  <si>
    <t>19/01/2026 08:57</t>
  </si>
  <si>
    <t>SO2601-92103</t>
  </si>
  <si>
    <t>IN2601-101410</t>
  </si>
  <si>
    <t>19/01/2026 09:00</t>
  </si>
  <si>
    <t>SO2601-92102</t>
  </si>
  <si>
    <t>IN2601-101409</t>
  </si>
  <si>
    <t>19/01/2026 08:51</t>
  </si>
  <si>
    <t>SO2601-92101</t>
  </si>
  <si>
    <t>IN2601-101408</t>
  </si>
  <si>
    <t>19/01/2026 09:14</t>
  </si>
  <si>
    <t>SO2601-92100</t>
  </si>
  <si>
    <t>IN2601-101407</t>
  </si>
  <si>
    <t>19/01/2026 08:38</t>
  </si>
  <si>
    <t>SO2601-92099</t>
  </si>
  <si>
    <t>IN2601-101406</t>
  </si>
  <si>
    <t>19/01/2026 08:52</t>
  </si>
  <si>
    <t>SO2601-92098</t>
  </si>
  <si>
    <t>LOUISE</t>
  </si>
  <si>
    <t>IN2601-101405</t>
  </si>
  <si>
    <t>19/01/2026 08:34</t>
  </si>
  <si>
    <t>SO2601-92097</t>
  </si>
  <si>
    <t>IN2601-101404</t>
  </si>
  <si>
    <t>19/01/2026 08:35</t>
  </si>
  <si>
    <t>SO2601-92096</t>
  </si>
  <si>
    <t>CU2407-00637 -  GIC DES AGRICULTEURS DE TSINGBEU</t>
  </si>
  <si>
    <t>IN2601-101403</t>
  </si>
  <si>
    <t>19/01/2026 08:30</t>
  </si>
  <si>
    <t>SO2601-92095</t>
  </si>
  <si>
    <t>IN2601-101402</t>
  </si>
  <si>
    <t>19/01/2026 08:32</t>
  </si>
  <si>
    <t>SO2601-92094</t>
  </si>
  <si>
    <t>IN2601-101401</t>
  </si>
  <si>
    <t>19/01/2026 08:24</t>
  </si>
  <si>
    <t>SO2601-92093</t>
  </si>
  <si>
    <t>IN2601-101400</t>
  </si>
  <si>
    <t>SO2601-92092</t>
  </si>
  <si>
    <t>MUFORNYUY SYLVIA (ZDCL00021)</t>
  </si>
  <si>
    <t>IN2601-101399</t>
  </si>
  <si>
    <t>MUFORNYUY SYLVIA</t>
  </si>
  <si>
    <t>ZDCL00021</t>
  </si>
  <si>
    <t>19/01/2026 08:19</t>
  </si>
  <si>
    <t>SO2601-92091</t>
  </si>
  <si>
    <t>IN2601-101398</t>
  </si>
  <si>
    <t>19/01/2026 07:54</t>
  </si>
  <si>
    <t>SO2601-92090</t>
  </si>
  <si>
    <t>CU2407-00743 -  LOUIS BANDJA</t>
  </si>
  <si>
    <t>IN2601-101397</t>
  </si>
  <si>
    <t>19/01/2026 08:33</t>
  </si>
  <si>
    <t>SO2601-92089</t>
  </si>
  <si>
    <t>17/01/2026</t>
  </si>
  <si>
    <t>17/01/2026 00:00</t>
  </si>
  <si>
    <t>IN2601-101396</t>
  </si>
  <si>
    <t>18/01/2026</t>
  </si>
  <si>
    <t>17/01/2026 14:35</t>
  </si>
  <si>
    <t>SO2601-92088</t>
  </si>
  <si>
    <t>CU2410-01130 -  SEPTENTRION VETERINAIRE SARL</t>
  </si>
  <si>
    <t>IN2601-101395</t>
  </si>
  <si>
    <t>SO2601-92087</t>
  </si>
  <si>
    <t>IN2601-101394</t>
  </si>
  <si>
    <t>17/01/2026 13:57</t>
  </si>
  <si>
    <t>SO2601-92086</t>
  </si>
  <si>
    <t>TSAYEM RODRIGUE</t>
  </si>
  <si>
    <t>IN2601-101393</t>
  </si>
  <si>
    <t>SO2601-92085</t>
  </si>
  <si>
    <t>SOMO ELVIS</t>
  </si>
  <si>
    <t>IN2601-101392</t>
  </si>
  <si>
    <t>17/01/2026 13:53</t>
  </si>
  <si>
    <t>SO2601-92084</t>
  </si>
  <si>
    <t>IN2601-101391</t>
  </si>
  <si>
    <t>17/01/2026 14:05</t>
  </si>
  <si>
    <t>SO2601-92083</t>
  </si>
  <si>
    <t>WINNER POULTRY</t>
  </si>
  <si>
    <t>IN2601-101390</t>
  </si>
  <si>
    <t>17/01/2026 14:11</t>
  </si>
  <si>
    <t>SO2601-92082</t>
  </si>
  <si>
    <t>IN2601-101389</t>
  </si>
  <si>
    <t>17/01/2026 13:45</t>
  </si>
  <si>
    <t>SO2601-92081</t>
  </si>
  <si>
    <t>IN2601-101388</t>
  </si>
  <si>
    <t>17/01/2026 13:38</t>
  </si>
  <si>
    <t>SO2601-92080</t>
  </si>
  <si>
    <t>IN2601-101387</t>
  </si>
  <si>
    <t>17/01/2026 13:47</t>
  </si>
  <si>
    <t>SO2601-92079</t>
  </si>
  <si>
    <t>IN2601-101386</t>
  </si>
  <si>
    <t>17/01/2026 13:42</t>
  </si>
  <si>
    <t>SO2601-92078</t>
  </si>
  <si>
    <t>CU2407-00976 -  PROVENDERIE du MBAM</t>
  </si>
  <si>
    <t>IN2601-101385</t>
  </si>
  <si>
    <t>SO2601-92077</t>
  </si>
  <si>
    <t>IN2601-101384</t>
  </si>
  <si>
    <t>17/01/2026 13:50</t>
  </si>
  <si>
    <t>SO2601-92075</t>
  </si>
  <si>
    <t>IN2601-101382</t>
  </si>
  <si>
    <t>17/01/2026 13:21</t>
  </si>
  <si>
    <t>SO2601-92074</t>
  </si>
  <si>
    <t>ALAIN 677758755</t>
  </si>
  <si>
    <t>IN2601-101381</t>
  </si>
  <si>
    <t>17/01/2026 13:19</t>
  </si>
  <si>
    <t>SO2601-92072</t>
  </si>
  <si>
    <t>SIMO MICHEL 674278277</t>
  </si>
  <si>
    <t>IN2601-101379</t>
  </si>
  <si>
    <t>17/01/2026 13:20</t>
  </si>
  <si>
    <t>SO2601-92071</t>
  </si>
  <si>
    <t>M LITINE</t>
  </si>
  <si>
    <t>IN2601-101378</t>
  </si>
  <si>
    <t>17/01/2026 13:14</t>
  </si>
  <si>
    <t>SO2601-92070</t>
  </si>
  <si>
    <t>BEL AVENIR 699551997</t>
  </si>
  <si>
    <t>IN2601-101377</t>
  </si>
  <si>
    <t>17/01/2026 13:13</t>
  </si>
  <si>
    <t>SO2601-92069</t>
  </si>
  <si>
    <t>FERNAND 691461057</t>
  </si>
  <si>
    <t>IN2601-101376</t>
  </si>
  <si>
    <t>17/01/2026 13:10</t>
  </si>
  <si>
    <t>SO2601-92068</t>
  </si>
  <si>
    <t>IN2601-101375</t>
  </si>
  <si>
    <t>17/01/2026 13:22</t>
  </si>
  <si>
    <t>SO2601-92067</t>
  </si>
  <si>
    <t>IN2601-101374</t>
  </si>
  <si>
    <t>17/01/2026 13:01</t>
  </si>
  <si>
    <t>SO2601-92066</t>
  </si>
  <si>
    <t>CU2501-01208 -  SOMO ELVIS</t>
  </si>
  <si>
    <t>IN2601-101373</t>
  </si>
  <si>
    <t>17/01/2026 13:07</t>
  </si>
  <si>
    <t>SO2601-92065</t>
  </si>
  <si>
    <t>IN2601-101372</t>
  </si>
  <si>
    <t>SO2601-92064</t>
  </si>
  <si>
    <t>IN2601-101371</t>
  </si>
  <si>
    <t>17/01/2026 12:55</t>
  </si>
  <si>
    <t>SO2601-92063</t>
  </si>
  <si>
    <t>MOHAMADOU AHMADOU / 691 31 41 99</t>
  </si>
  <si>
    <t>IN2601-101370</t>
  </si>
  <si>
    <t>17/01/2026 12:57</t>
  </si>
  <si>
    <t>SO2601-92062</t>
  </si>
  <si>
    <t>IN2601-101369</t>
  </si>
  <si>
    <t>17/01/2026 13:18</t>
  </si>
  <si>
    <t>SO2601-92061</t>
  </si>
  <si>
    <t>M KEMOE PAUL</t>
  </si>
  <si>
    <t>IN2601-101368</t>
  </si>
  <si>
    <t>17/01/2026 12:54</t>
  </si>
  <si>
    <t>SO2601-92060</t>
  </si>
  <si>
    <t>IN2601-101367</t>
  </si>
  <si>
    <t>SO2601-92058</t>
  </si>
  <si>
    <t>BATOURE / 694863258</t>
  </si>
  <si>
    <t>IN2601-101365</t>
  </si>
  <si>
    <t>17/01/2026 12:52</t>
  </si>
  <si>
    <t>SO2601-92057</t>
  </si>
  <si>
    <t>IN2601-101364</t>
  </si>
  <si>
    <t>SO2601-92056</t>
  </si>
  <si>
    <t>IN2601-101363</t>
  </si>
  <si>
    <t>SO2601-92055</t>
  </si>
  <si>
    <t>CU2407-00916 -  PROVENDERIE DU CENTRE (PDC) (FILIALE GROUPE NJS)</t>
  </si>
  <si>
    <t>IN2601-101362</t>
  </si>
  <si>
    <t>CU2407-00916 -  PROVENDERIE DU CENTRE (PDC)</t>
  </si>
  <si>
    <t>FILIALE GROUPE NJS</t>
  </si>
  <si>
    <t>24/01/2026 12:08</t>
  </si>
  <si>
    <t>SO2601-92054</t>
  </si>
  <si>
    <t>IN2601-101361</t>
  </si>
  <si>
    <t>SO2601-92053</t>
  </si>
  <si>
    <t>IN2601-101360</t>
  </si>
  <si>
    <t>17/01/2026 12:41</t>
  </si>
  <si>
    <t>SO2601-92052</t>
  </si>
  <si>
    <t>IN2601-101359</t>
  </si>
  <si>
    <t>17/01/2026 12:33</t>
  </si>
  <si>
    <t>SO2601-92051</t>
  </si>
  <si>
    <t>IN2601-101358</t>
  </si>
  <si>
    <t>SO2601-92050</t>
  </si>
  <si>
    <t>IN2601-101357</t>
  </si>
  <si>
    <t>17/01/2026 12:32</t>
  </si>
  <si>
    <t>SO2601-92049</t>
  </si>
  <si>
    <t>MEKONTSO 675668243</t>
  </si>
  <si>
    <t>IN2601-101356</t>
  </si>
  <si>
    <t>17/01/2026 12:29</t>
  </si>
  <si>
    <t>SO2601-92048</t>
  </si>
  <si>
    <t>GRACE 654463448</t>
  </si>
  <si>
    <t>IN2601-101355</t>
  </si>
  <si>
    <t>17/01/2026 12:27</t>
  </si>
  <si>
    <t>SO2601-92047</t>
  </si>
  <si>
    <t>IN2601-101354</t>
  </si>
  <si>
    <t>17/01/2026 12:39</t>
  </si>
  <si>
    <t>SO2601-92046</t>
  </si>
  <si>
    <t>IN2601-101353</t>
  </si>
  <si>
    <t>17/01/2026 12:25</t>
  </si>
  <si>
    <t>SO2601-92045</t>
  </si>
  <si>
    <t>IN2601-101352</t>
  </si>
  <si>
    <t>SO2601-92044</t>
  </si>
  <si>
    <t>IN2601-101351</t>
  </si>
  <si>
    <t>SO2601-92043</t>
  </si>
  <si>
    <t>IN2601-101350</t>
  </si>
  <si>
    <t>17/01/2026 12:44</t>
  </si>
  <si>
    <t>SO2601-92042</t>
  </si>
  <si>
    <t>AMBY</t>
  </si>
  <si>
    <t>IN2601-101349</t>
  </si>
  <si>
    <t>17/01/2026 12:26</t>
  </si>
  <si>
    <t>SO2601-92041</t>
  </si>
  <si>
    <t>LONTSI FRANCLIN 656779588</t>
  </si>
  <si>
    <t>IN2601-101348</t>
  </si>
  <si>
    <t>17/01/2026 12:20</t>
  </si>
  <si>
    <t>SO2601-92040</t>
  </si>
  <si>
    <t>KAMGANG</t>
  </si>
  <si>
    <t>IN2601-101347</t>
  </si>
  <si>
    <t>17/01/2026 12:18</t>
  </si>
  <si>
    <t>SO2601-92039</t>
  </si>
  <si>
    <t>IN2601-101346</t>
  </si>
  <si>
    <t>SO2601-92038</t>
  </si>
  <si>
    <t>IN2601-101345</t>
  </si>
  <si>
    <t>17/01/2026 12:19</t>
  </si>
  <si>
    <t>SO2601-92037</t>
  </si>
  <si>
    <t>IN2601-101344</t>
  </si>
  <si>
    <t>17/01/2026 12:13</t>
  </si>
  <si>
    <t>SO2601-92036</t>
  </si>
  <si>
    <t>AFRICAVET / 699475816</t>
  </si>
  <si>
    <t>IN2601-101343</t>
  </si>
  <si>
    <t>17/01/2026 12:15</t>
  </si>
  <si>
    <t>SO2601-92035</t>
  </si>
  <si>
    <t>AKO STEPHANE</t>
  </si>
  <si>
    <t>IN2601-101342</t>
  </si>
  <si>
    <t>SO2601-92034</t>
  </si>
  <si>
    <t>IN2601-101341</t>
  </si>
  <si>
    <t>17/01/2026 12:10</t>
  </si>
  <si>
    <t>SO2601-92033</t>
  </si>
  <si>
    <t>IN2601-101340</t>
  </si>
  <si>
    <t>SO2601-92032</t>
  </si>
  <si>
    <t>IN2601-101339</t>
  </si>
  <si>
    <t>17/01/2026 12:01</t>
  </si>
  <si>
    <t>SO2601-92031</t>
  </si>
  <si>
    <t>IN2601-101338</t>
  </si>
  <si>
    <t>17/01/2026 12:02</t>
  </si>
  <si>
    <t>SO2601-92030</t>
  </si>
  <si>
    <t>NANA FRED 697021861</t>
  </si>
  <si>
    <t>IN2601-101337</t>
  </si>
  <si>
    <t>17/01/2026 12:00</t>
  </si>
  <si>
    <t>SO2601-92029</t>
  </si>
  <si>
    <t>IN2601-101336</t>
  </si>
  <si>
    <t>17/01/2026 11:59</t>
  </si>
  <si>
    <t>SO2601-92028</t>
  </si>
  <si>
    <t>nsoa jean</t>
  </si>
  <si>
    <t>IN2601-101335</t>
  </si>
  <si>
    <t>17/01/2026 11:58</t>
  </si>
  <si>
    <t>SO2601-92027</t>
  </si>
  <si>
    <t>ABDOULALLAHI IYA / 695 12 51 98</t>
  </si>
  <si>
    <t>IN2601-101334</t>
  </si>
  <si>
    <t>SO2601-92026</t>
  </si>
  <si>
    <t>FEUSSI TAJOU 677252387</t>
  </si>
  <si>
    <t>IN2601-101333</t>
  </si>
  <si>
    <t>SO2601-92025</t>
  </si>
  <si>
    <t>VALDES</t>
  </si>
  <si>
    <t>IN2601-101332</t>
  </si>
  <si>
    <t>17/01/2026 11:54</t>
  </si>
  <si>
    <t>SO2601-92024</t>
  </si>
  <si>
    <t>IN2601-101331</t>
  </si>
  <si>
    <t>17/01/2026 11:53</t>
  </si>
  <si>
    <t>SO2601-92023</t>
  </si>
  <si>
    <t>RONALDO</t>
  </si>
  <si>
    <t>IN2601-101330</t>
  </si>
  <si>
    <t>17/01/2026 11:49</t>
  </si>
  <si>
    <t>SO2601-92022</t>
  </si>
  <si>
    <t>IN2601-101329</t>
  </si>
  <si>
    <t>SO2601-92021</t>
  </si>
  <si>
    <t>IN2601-101328</t>
  </si>
  <si>
    <t>17/01/2026 11:45</t>
  </si>
  <si>
    <t>SO2601-92020</t>
  </si>
  <si>
    <t>IN2601-101327</t>
  </si>
  <si>
    <t>17/01/2026 11:47</t>
  </si>
  <si>
    <t>SO2601-92019</t>
  </si>
  <si>
    <t>IN2601-101326</t>
  </si>
  <si>
    <t>SO2601-92018</t>
  </si>
  <si>
    <t>BOME</t>
  </si>
  <si>
    <t>IN2601-101325</t>
  </si>
  <si>
    <t>17/01/2026 11:38</t>
  </si>
  <si>
    <t>SO2601-92017</t>
  </si>
  <si>
    <t>CU2508-13690 -  DONGHO PIERRE ROGER</t>
  </si>
  <si>
    <t>IN2601-101324</t>
  </si>
  <si>
    <t>17/01/2026 11:37</t>
  </si>
  <si>
    <t>SO2601-92016</t>
  </si>
  <si>
    <t>IN2601-101323</t>
  </si>
  <si>
    <t>17/01/2026 11:36</t>
  </si>
  <si>
    <t>SO2601-92015</t>
  </si>
  <si>
    <t>IN2601-101322</t>
  </si>
  <si>
    <t>17/01/2026 11:35</t>
  </si>
  <si>
    <t>SO2601-92014</t>
  </si>
  <si>
    <t>IN2601-101321</t>
  </si>
  <si>
    <t>17/01/2026 11:27</t>
  </si>
  <si>
    <t>SO2601-92013</t>
  </si>
  <si>
    <t>TCHAGUNTI MUNA</t>
  </si>
  <si>
    <t>IN2601-101320</t>
  </si>
  <si>
    <t>17/01/2026 11:28</t>
  </si>
  <si>
    <t>SO2601-92012</t>
  </si>
  <si>
    <t>IN2601-101319</t>
  </si>
  <si>
    <t>17/01/2026 11:22</t>
  </si>
  <si>
    <t>SO2601-92011</t>
  </si>
  <si>
    <t>M.BAWONG BROWN 651991652</t>
  </si>
  <si>
    <t>IN2601-101318</t>
  </si>
  <si>
    <t>17/01/2026 11:20</t>
  </si>
  <si>
    <t>SO2601-92010</t>
  </si>
  <si>
    <t>FOYA</t>
  </si>
  <si>
    <t>IN2601-101317</t>
  </si>
  <si>
    <t>17/01/2026 11:23</t>
  </si>
  <si>
    <t>SO2601-92009</t>
  </si>
  <si>
    <t>IN2601-101316</t>
  </si>
  <si>
    <t>SO2601-92008</t>
  </si>
  <si>
    <t>ATEMKENG</t>
  </si>
  <si>
    <t>IN2601-101315</t>
  </si>
  <si>
    <t>17/01/2026 11:19</t>
  </si>
  <si>
    <t>SO2601-92007</t>
  </si>
  <si>
    <t>IN2601-101314</t>
  </si>
  <si>
    <t>17/01/2026 11:25</t>
  </si>
  <si>
    <t>SO2601-92006</t>
  </si>
  <si>
    <t>IN2601-101313</t>
  </si>
  <si>
    <t>17/01/2026 11:30</t>
  </si>
  <si>
    <t>SO2601-92005</t>
  </si>
  <si>
    <t>IN2601-101312</t>
  </si>
  <si>
    <t>17/01/2026 11:09</t>
  </si>
  <si>
    <t>SO2601-92004</t>
  </si>
  <si>
    <t>Mme NGAH MALTIDE</t>
  </si>
  <si>
    <t>IN2601-101311</t>
  </si>
  <si>
    <t>SO2601-92003</t>
  </si>
  <si>
    <t>CU2501-01189 -  SOCIETE TEKU CHECK</t>
  </si>
  <si>
    <t>IN2601-101310</t>
  </si>
  <si>
    <t>17/01/2026 11:10</t>
  </si>
  <si>
    <t>SO2601-92002</t>
  </si>
  <si>
    <t>IN2601-101309</t>
  </si>
  <si>
    <t>17/01/2026 11:11</t>
  </si>
  <si>
    <t>SO2601-92001</t>
  </si>
  <si>
    <t>IN2601-101308</t>
  </si>
  <si>
    <t>17/01/2026 11:57</t>
  </si>
  <si>
    <t>SO2601-92000</t>
  </si>
  <si>
    <t>M ENGUIA</t>
  </si>
  <si>
    <t>IN2601-101307</t>
  </si>
  <si>
    <t>17/01/2026 11:05</t>
  </si>
  <si>
    <t>SO2601-91999</t>
  </si>
  <si>
    <t>IN2601-101306</t>
  </si>
  <si>
    <t>17/01/2026 11:07</t>
  </si>
  <si>
    <t>SO2601-91998</t>
  </si>
  <si>
    <t>IN2601-101305</t>
  </si>
  <si>
    <t>17/01/2026 11:03</t>
  </si>
  <si>
    <t>SO2601-91997</t>
  </si>
  <si>
    <t>IN2601-101304</t>
  </si>
  <si>
    <t>17/01/2026 11:08</t>
  </si>
  <si>
    <t>SO2601-91996</t>
  </si>
  <si>
    <t>IN2601-101303</t>
  </si>
  <si>
    <t>17/01/2026 10:54</t>
  </si>
  <si>
    <t>SO2601-91995</t>
  </si>
  <si>
    <t>IN2601-101302</t>
  </si>
  <si>
    <t>SO2601-91994</t>
  </si>
  <si>
    <t>IN2601-101301</t>
  </si>
  <si>
    <t>17/01/2026 10:52</t>
  </si>
  <si>
    <t>SO2601-91993</t>
  </si>
  <si>
    <t>IN2601-101300</t>
  </si>
  <si>
    <t>17/01/2026 10:56</t>
  </si>
  <si>
    <t>SO2601-91992</t>
  </si>
  <si>
    <t>IN2601-101299</t>
  </si>
  <si>
    <t>17/01/2026 10:48</t>
  </si>
  <si>
    <t>SO2601-91991</t>
  </si>
  <si>
    <t>SIMPLICE 658773272</t>
  </si>
  <si>
    <t>IN2601-101298</t>
  </si>
  <si>
    <t>17/01/2026 10:44</t>
  </si>
  <si>
    <t>SO2601-91990</t>
  </si>
  <si>
    <t>M TCHOFFO 677536470</t>
  </si>
  <si>
    <t>IN2601-101297</t>
  </si>
  <si>
    <t>17/01/2026 10:43</t>
  </si>
  <si>
    <t>SO2601-91989</t>
  </si>
  <si>
    <t>IN2601-101296</t>
  </si>
  <si>
    <t>17/01/2026 10:46</t>
  </si>
  <si>
    <t>SO2601-91988</t>
  </si>
  <si>
    <t>IN2601-101295</t>
  </si>
  <si>
    <t>SO2601-91987</t>
  </si>
  <si>
    <t>NGOUEMETA 677344526</t>
  </si>
  <si>
    <t>IN2601-101294</t>
  </si>
  <si>
    <t>17/01/2026 10:40</t>
  </si>
  <si>
    <t>SO2601-91986</t>
  </si>
  <si>
    <t>IN2601-101293</t>
  </si>
  <si>
    <t>SO2601-91985</t>
  </si>
  <si>
    <t>CU2407-00512 -  ACHIDI</t>
  </si>
  <si>
    <t>IN2601-101292</t>
  </si>
  <si>
    <t>17/01/2026 10:36</t>
  </si>
  <si>
    <t>SO2601-91984</t>
  </si>
  <si>
    <t>IN2601-101291</t>
  </si>
  <si>
    <t>17/01/2026 10:38</t>
  </si>
  <si>
    <t>SO2601-91983</t>
  </si>
  <si>
    <t>TANKIO EMILE 699966941</t>
  </si>
  <si>
    <t>IN2601-101290</t>
  </si>
  <si>
    <t>17/01/2026 10:34</t>
  </si>
  <si>
    <t>SO2601-91982</t>
  </si>
  <si>
    <t>IN2601-101289</t>
  </si>
  <si>
    <t>SO2601-91981</t>
  </si>
  <si>
    <t>IN2601-101288</t>
  </si>
  <si>
    <t>17/01/2026 10:45</t>
  </si>
  <si>
    <t>SO2601-91980</t>
  </si>
  <si>
    <t>CU2408-01045 -  Tiokeng tiwa richard</t>
  </si>
  <si>
    <t>IN2601-101287</t>
  </si>
  <si>
    <t>17/01/2026 10:30</t>
  </si>
  <si>
    <t>SO2601-91979</t>
  </si>
  <si>
    <t>M TANKOA</t>
  </si>
  <si>
    <t>IN2601-101286</t>
  </si>
  <si>
    <t>17/01/2026 10:29</t>
  </si>
  <si>
    <t>SO2601-91977</t>
  </si>
  <si>
    <t>IN2601-101284</t>
  </si>
  <si>
    <t>17/01/2026 10:19</t>
  </si>
  <si>
    <t>SO2601-91976</t>
  </si>
  <si>
    <t>CU2407-00866 -  FEEMDISPRO</t>
  </si>
  <si>
    <t>IN2601-101283</t>
  </si>
  <si>
    <t>SO2601-91975</t>
  </si>
  <si>
    <t>M EMBOLO</t>
  </si>
  <si>
    <t>IN2601-101282</t>
  </si>
  <si>
    <t>17/01/2026 10:11</t>
  </si>
  <si>
    <t>SO2601-91974</t>
  </si>
  <si>
    <t>IN2601-101281</t>
  </si>
  <si>
    <t>17/01/2026 10:06</t>
  </si>
  <si>
    <t>SO2601-91973</t>
  </si>
  <si>
    <t>IN2601-101280</t>
  </si>
  <si>
    <t>17/01/2026 09:57</t>
  </si>
  <si>
    <t>SO2601-91972</t>
  </si>
  <si>
    <t>KEMOGNE ANGE 680251551</t>
  </si>
  <si>
    <t>IN2601-101279</t>
  </si>
  <si>
    <t>17/01/2026 09:56</t>
  </si>
  <si>
    <t>SO2601-91971</t>
  </si>
  <si>
    <t>IN2601-101278</t>
  </si>
  <si>
    <t>SO2601-91970</t>
  </si>
  <si>
    <t>IN2601-101277</t>
  </si>
  <si>
    <t>17/01/2026 09:51</t>
  </si>
  <si>
    <t>SO2601-91969</t>
  </si>
  <si>
    <t>IN2601-101276</t>
  </si>
  <si>
    <t>17/01/2026 09:53</t>
  </si>
  <si>
    <t>SO2601-91968</t>
  </si>
  <si>
    <t>IN2601-101275</t>
  </si>
  <si>
    <t>17/01/2026 09:46</t>
  </si>
  <si>
    <t>SO2601-91967</t>
  </si>
  <si>
    <t>IN2601-101274</t>
  </si>
  <si>
    <t>17/01/2026 09:49</t>
  </si>
  <si>
    <t>SO2601-91966</t>
  </si>
  <si>
    <t>IN2601-101273</t>
  </si>
  <si>
    <t>SO2601-91965</t>
  </si>
  <si>
    <t>PROV APPRO</t>
  </si>
  <si>
    <t>IN2601-101272</t>
  </si>
  <si>
    <t>17/01/2026 09:47</t>
  </si>
  <si>
    <t>SO2601-91964</t>
  </si>
  <si>
    <t>IN2601-101271</t>
  </si>
  <si>
    <t>SO2601-91963</t>
  </si>
  <si>
    <t>GMC</t>
  </si>
  <si>
    <t>IN2601-101270</t>
  </si>
  <si>
    <t>17/01/2026 09:40</t>
  </si>
  <si>
    <t>SO2601-91962</t>
  </si>
  <si>
    <t>DONGMO TESSE 696186516</t>
  </si>
  <si>
    <t>IN2601-101269</t>
  </si>
  <si>
    <t>17/01/2026 09:35</t>
  </si>
  <si>
    <t>SO2601-91961</t>
  </si>
  <si>
    <t>GIC AO</t>
  </si>
  <si>
    <t>IN2601-101268</t>
  </si>
  <si>
    <t>17/01/2026 09:41</t>
  </si>
  <si>
    <t>SO2601-91959</t>
  </si>
  <si>
    <t>IN2601-101266</t>
  </si>
  <si>
    <t>17/01/2026 09:48</t>
  </si>
  <si>
    <t>SO2601-91958</t>
  </si>
  <si>
    <t>IN2601-101265</t>
  </si>
  <si>
    <t>17/01/2026 09:30</t>
  </si>
  <si>
    <t>SO2601-91957</t>
  </si>
  <si>
    <t>IN2601-101264</t>
  </si>
  <si>
    <t>17/01/2026 09:28</t>
  </si>
  <si>
    <t>SO2601-91956</t>
  </si>
  <si>
    <t>IN2601-101263</t>
  </si>
  <si>
    <t>17/01/2026 09:26</t>
  </si>
  <si>
    <t>SO2601-91955</t>
  </si>
  <si>
    <t>M DIHOU 672430278</t>
  </si>
  <si>
    <t>IN2601-101262</t>
  </si>
  <si>
    <t>17/01/2026 09:22</t>
  </si>
  <si>
    <t>SO2601-91954</t>
  </si>
  <si>
    <t>FOSSA</t>
  </si>
  <si>
    <t>IN2601-101261</t>
  </si>
  <si>
    <t>17/01/2026 09:21</t>
  </si>
  <si>
    <t>SO2601-91953</t>
  </si>
  <si>
    <t>ferme excellence</t>
  </si>
  <si>
    <t>IN2601-101260</t>
  </si>
  <si>
    <t>17/01/2026 09:29</t>
  </si>
  <si>
    <t>SO2601-91952</t>
  </si>
  <si>
    <t>IN2601-101259</t>
  </si>
  <si>
    <t>17/01/2026 09:20</t>
  </si>
  <si>
    <t>SO2601-91951</t>
  </si>
  <si>
    <t>IN2601-101258</t>
  </si>
  <si>
    <t>17/01/2026 09:17</t>
  </si>
  <si>
    <t>SO2601-91950</t>
  </si>
  <si>
    <t>ngouong boris</t>
  </si>
  <si>
    <t>IN2601-101257</t>
  </si>
  <si>
    <t>17/01/2026 09:15</t>
  </si>
  <si>
    <t>SO2601-91949</t>
  </si>
  <si>
    <t>IN2601-101256</t>
  </si>
  <si>
    <t>17/01/2026 09:13</t>
  </si>
  <si>
    <t>SO2601-91948</t>
  </si>
  <si>
    <t>CU2502-01246 -  DOUNTIO GHISLAIN</t>
  </si>
  <si>
    <t>IN2601-101255</t>
  </si>
  <si>
    <t>17/01/2026 09:33</t>
  </si>
  <si>
    <t>SO2601-91947</t>
  </si>
  <si>
    <t>FOMEKONG 657571443</t>
  </si>
  <si>
    <t>IN2601-101254</t>
  </si>
  <si>
    <t>17/01/2026 09:11</t>
  </si>
  <si>
    <t>SO2601-91946</t>
  </si>
  <si>
    <t>IN2601-101253</t>
  </si>
  <si>
    <t>17/01/2026 09:08</t>
  </si>
  <si>
    <t>SO2601-91945</t>
  </si>
  <si>
    <t>IN2601-101252</t>
  </si>
  <si>
    <t>17/01/2026 09:10</t>
  </si>
  <si>
    <t>SO2601-91944</t>
  </si>
  <si>
    <t>RANDY</t>
  </si>
  <si>
    <t>IN2601-101251</t>
  </si>
  <si>
    <t>17/01/2026 09:09</t>
  </si>
  <si>
    <t>SO2601-91943</t>
  </si>
  <si>
    <t>CU2407-00959 -  ETS MAPOURE AGRIBUSINESS</t>
  </si>
  <si>
    <t>IN2601-101250</t>
  </si>
  <si>
    <t>SO2601-91942</t>
  </si>
  <si>
    <t>IN2601-101249</t>
  </si>
  <si>
    <t>SO2601-91941</t>
  </si>
  <si>
    <t>IN2601-101248</t>
  </si>
  <si>
    <t>SO2601-91940</t>
  </si>
  <si>
    <t>CU2407-00733 -  KUITCHE SADEUH GABIN</t>
  </si>
  <si>
    <t>IN2601-101247</t>
  </si>
  <si>
    <t>17/01/2026 09:00</t>
  </si>
  <si>
    <t>SO2601-91939</t>
  </si>
  <si>
    <t>NESTOR 692845143</t>
  </si>
  <si>
    <t>IN2601-101246</t>
  </si>
  <si>
    <t>SO2601-91938</t>
  </si>
  <si>
    <t>IN2601-101245</t>
  </si>
  <si>
    <t>17/01/2026 08:56</t>
  </si>
  <si>
    <t>SO2601-91937</t>
  </si>
  <si>
    <t>MERLIN 679651631</t>
  </si>
  <si>
    <t>IN2601-101244</t>
  </si>
  <si>
    <t>17/01/2026 09:03</t>
  </si>
  <si>
    <t>SO2601-91936</t>
  </si>
  <si>
    <t>IN2601-101243</t>
  </si>
  <si>
    <t>17/01/2026 08:52</t>
  </si>
  <si>
    <t>SO2601-91935</t>
  </si>
  <si>
    <t>M TIMBA THOMAS 697558700</t>
  </si>
  <si>
    <t>IN2601-101242</t>
  </si>
  <si>
    <t>17/01/2026 08:49</t>
  </si>
  <si>
    <t>SO2601-91934</t>
  </si>
  <si>
    <t>IN2601-101241</t>
  </si>
  <si>
    <t>17/01/2026 08:51</t>
  </si>
  <si>
    <t>SO2601-91933</t>
  </si>
  <si>
    <t>IN2601-101240</t>
  </si>
  <si>
    <t>17/01/2026 08:48</t>
  </si>
  <si>
    <t>SO2601-91932</t>
  </si>
  <si>
    <t>SIGNE 673011393</t>
  </si>
  <si>
    <t>IN2601-101239</t>
  </si>
  <si>
    <t>17/01/2026 08:50</t>
  </si>
  <si>
    <t>SO2601-91931</t>
  </si>
  <si>
    <t>IN2601-101238</t>
  </si>
  <si>
    <t>17/01/2026 09:14</t>
  </si>
  <si>
    <t>SO2601-91930</t>
  </si>
  <si>
    <t>KENFOUO NODEM DORIANE (ZDCL00120)</t>
  </si>
  <si>
    <t>16/01/2026</t>
  </si>
  <si>
    <t>16/01/2026 00:00</t>
  </si>
  <si>
    <t>IN2601-101237</t>
  </si>
  <si>
    <t>KENFOUO NODEM DORIANE</t>
  </si>
  <si>
    <t>ZDCL00120</t>
  </si>
  <si>
    <t>16/01/2026 17:28</t>
  </si>
  <si>
    <t>SO2601-91929</t>
  </si>
  <si>
    <t>IN2601-101236</t>
  </si>
  <si>
    <t>16/01/2026 17:25</t>
  </si>
  <si>
    <t>SO2601-91928</t>
  </si>
  <si>
    <t>IN2601-101235</t>
  </si>
  <si>
    <t>16/01/2026 17:24</t>
  </si>
  <si>
    <t>SO2601-91927</t>
  </si>
  <si>
    <t>IN2601-101234</t>
  </si>
  <si>
    <t>16/01/2026 17:23</t>
  </si>
  <si>
    <t>SO2601-91926</t>
  </si>
  <si>
    <t>CU2601-14252 -  COUVOIR POWER'S CHICKS SARL</t>
  </si>
  <si>
    <t>IN2601-101233</t>
  </si>
  <si>
    <t>SO2601-91924</t>
  </si>
  <si>
    <t>REWARD NJOH</t>
  </si>
  <si>
    <t>IN2601-101231</t>
  </si>
  <si>
    <t>16/01/2026 16:53</t>
  </si>
  <si>
    <t>SO2601-91923</t>
  </si>
  <si>
    <t>IN2601-101230</t>
  </si>
  <si>
    <t>16/01/2026 16:52</t>
  </si>
  <si>
    <t>SO2601-91922</t>
  </si>
  <si>
    <t>ISSA 651870909</t>
  </si>
  <si>
    <t>IN2601-101229</t>
  </si>
  <si>
    <t>16/01/2026 16:35</t>
  </si>
  <si>
    <t>SO2601-91921</t>
  </si>
  <si>
    <t>IN2601-101228</t>
  </si>
  <si>
    <t>16/01/2026 16:33</t>
  </si>
  <si>
    <t>SO2601-91920</t>
  </si>
  <si>
    <t>wanfeo</t>
  </si>
  <si>
    <t>IN2601-101227</t>
  </si>
  <si>
    <t>16/01/2026 16:38</t>
  </si>
  <si>
    <t>SO2601-91919</t>
  </si>
  <si>
    <t>ROGER</t>
  </si>
  <si>
    <t>IN2601-101226</t>
  </si>
  <si>
    <t>SO2601-91918</t>
  </si>
  <si>
    <t>ulrich</t>
  </si>
  <si>
    <t>IN2601-101225</t>
  </si>
  <si>
    <t>16/01/2026 16:34</t>
  </si>
  <si>
    <t>SO2601-91917</t>
  </si>
  <si>
    <t>IN2601-101224</t>
  </si>
  <si>
    <t>16/01/2026 16:28</t>
  </si>
  <si>
    <t>SO2601-91916</t>
  </si>
  <si>
    <t>nzerem</t>
  </si>
  <si>
    <t>IN2601-101223</t>
  </si>
  <si>
    <t>16/01/2026 16:27</t>
  </si>
  <si>
    <t>SO2601-91915</t>
  </si>
  <si>
    <t>julio</t>
  </si>
  <si>
    <t>IN2601-101222</t>
  </si>
  <si>
    <t>16/01/2026 16:26</t>
  </si>
  <si>
    <t>SO2601-91914</t>
  </si>
  <si>
    <t>IN2601-101221</t>
  </si>
  <si>
    <t>16/01/2026 16:25</t>
  </si>
  <si>
    <t>SO2601-91913</t>
  </si>
  <si>
    <t>IN2601-101220</t>
  </si>
  <si>
    <t>16/01/2026 16:24</t>
  </si>
  <si>
    <t>SO2601-91912</t>
  </si>
  <si>
    <t>IN2601-101219</t>
  </si>
  <si>
    <t>16/01/2026 16:23</t>
  </si>
  <si>
    <t>SO2601-91911</t>
  </si>
  <si>
    <t>CU2407-00146 -  CLIENTS COMPTOIR NDERE</t>
  </si>
  <si>
    <t>AMIR KADAFI</t>
  </si>
  <si>
    <t>SPC-NDERE</t>
  </si>
  <si>
    <t>IN2601-101218</t>
  </si>
  <si>
    <t>SO2601-91910</t>
  </si>
  <si>
    <t>IN2601-101217</t>
  </si>
  <si>
    <t>16/01/2026 16:51</t>
  </si>
  <si>
    <t>SO2601-91909</t>
  </si>
  <si>
    <t>SYLVIE</t>
  </si>
  <si>
    <t>IN2601-101216</t>
  </si>
  <si>
    <t>16/01/2026 16:17</t>
  </si>
  <si>
    <t>SO2601-91908</t>
  </si>
  <si>
    <t>IN2601-101215</t>
  </si>
  <si>
    <t>16/01/2026 16:18</t>
  </si>
  <si>
    <t>SO2601-91907</t>
  </si>
  <si>
    <t>IN2601-101214</t>
  </si>
  <si>
    <t>16/01/2026 16:13</t>
  </si>
  <si>
    <t>SO2601-91906</t>
  </si>
  <si>
    <t>CU2601-14263 -  PAFE FREDERIC</t>
  </si>
  <si>
    <t>IN2601-101213</t>
  </si>
  <si>
    <t>SO2601-91905</t>
  </si>
  <si>
    <t>IN2601-101212</t>
  </si>
  <si>
    <t>16/01/2026 16:15</t>
  </si>
  <si>
    <t>SO2601-91904</t>
  </si>
  <si>
    <t>CU2504-13346 -  KENMOGNE YOLANDE</t>
  </si>
  <si>
    <t>IN2601-101211</t>
  </si>
  <si>
    <t>16/01/2026 16:08</t>
  </si>
  <si>
    <t>SO2601-91903</t>
  </si>
  <si>
    <t>COLONEL 6960925321</t>
  </si>
  <si>
    <t>IN2601-101210</t>
  </si>
  <si>
    <t>SO2601-91902</t>
  </si>
  <si>
    <t>MOUSSA GARGA 692172048</t>
  </si>
  <si>
    <t>IN2601-101209</t>
  </si>
  <si>
    <t>16/01/2026 16:07</t>
  </si>
  <si>
    <t>SO2601-91901</t>
  </si>
  <si>
    <t>IN2601-101208</t>
  </si>
  <si>
    <t>SO2601-91900</t>
  </si>
  <si>
    <t>IN2601-101207</t>
  </si>
  <si>
    <t>SO2601-91899</t>
  </si>
  <si>
    <t>VIVIANE</t>
  </si>
  <si>
    <t>IN2601-101206</t>
  </si>
  <si>
    <t>16/01/2026 16:03</t>
  </si>
  <si>
    <t>SO2601-91898</t>
  </si>
  <si>
    <t>IN2601-101205</t>
  </si>
  <si>
    <t>SO2601-91897</t>
  </si>
  <si>
    <t>IN2601-101204</t>
  </si>
  <si>
    <t>SO2601-91896</t>
  </si>
  <si>
    <t>CU2407-00521 -  DJIAKOU FOTIE JULES RAYMOND</t>
  </si>
  <si>
    <t>IN2601-101203</t>
  </si>
  <si>
    <t>16/01/2026 16:00</t>
  </si>
  <si>
    <t>SO2601-91895</t>
  </si>
  <si>
    <t>FOKOU FLORE 677530114</t>
  </si>
  <si>
    <t>IN2601-101202</t>
  </si>
  <si>
    <t>16/01/2026 15:56</t>
  </si>
  <si>
    <t>SO2601-91894</t>
  </si>
  <si>
    <t>IN2601-101201</t>
  </si>
  <si>
    <t>16/01/2026 16:10</t>
  </si>
  <si>
    <t>SO2601-91893</t>
  </si>
  <si>
    <t>IN2601-101200</t>
  </si>
  <si>
    <t>16/01/2026 15:52</t>
  </si>
  <si>
    <t>SO2601-91892</t>
  </si>
  <si>
    <t>TAKAM GABRIEL 677355317</t>
  </si>
  <si>
    <t>IN2601-101199</t>
  </si>
  <si>
    <t>SO2601-91891</t>
  </si>
  <si>
    <t>IN2601-101198</t>
  </si>
  <si>
    <t>16/01/2026 15:44</t>
  </si>
  <si>
    <t>SO2601-91890</t>
  </si>
  <si>
    <t>IN2601-101197</t>
  </si>
  <si>
    <t>16/01/2026 15:50</t>
  </si>
  <si>
    <t>SO2601-91889</t>
  </si>
  <si>
    <t>IN2601-101196</t>
  </si>
  <si>
    <t>16/01/2026 15:39</t>
  </si>
  <si>
    <t>SO2601-91888</t>
  </si>
  <si>
    <t>CU2504-13356 -  MBOBDA FOUALENG ALEXIS (MBOBDA FOUALENG ALEXIS)</t>
  </si>
  <si>
    <t>IN2601-101195</t>
  </si>
  <si>
    <t>CU2504-13356 -  MBOBDA FOUALENG ALEXIS</t>
  </si>
  <si>
    <t>MBOBDA FOUALENG ALEXIS</t>
  </si>
  <si>
    <t>SO2601-91887</t>
  </si>
  <si>
    <t>IN2601-101194</t>
  </si>
  <si>
    <t>16/01/2026 15:35</t>
  </si>
  <si>
    <t>SO2601-91886</t>
  </si>
  <si>
    <t>DOUYA 699381293</t>
  </si>
  <si>
    <t>IN2601-101193</t>
  </si>
  <si>
    <t>16/01/2026 15:40</t>
  </si>
  <si>
    <t>SO2601-91885</t>
  </si>
  <si>
    <t>IN2601-101192</t>
  </si>
  <si>
    <t>16/01/2026 15:33</t>
  </si>
  <si>
    <t>SO2601-91884</t>
  </si>
  <si>
    <t>GERARD</t>
  </si>
  <si>
    <t>IN2601-101191</t>
  </si>
  <si>
    <t>16/01/2026 15:32</t>
  </si>
  <si>
    <t>SO2601-91883</t>
  </si>
  <si>
    <t>TIBEAU TALLA / 675 77 76 85</t>
  </si>
  <si>
    <t>IN2601-101190</t>
  </si>
  <si>
    <t>16/01/2026 15:28</t>
  </si>
  <si>
    <t>SO2601-91882</t>
  </si>
  <si>
    <t>IN2601-101189</t>
  </si>
  <si>
    <t>SO2601-91881</t>
  </si>
  <si>
    <t>yefong linda</t>
  </si>
  <si>
    <t>IN2601-101188</t>
  </si>
  <si>
    <t>16/01/2026 15:25</t>
  </si>
  <si>
    <t>SO2601-91880</t>
  </si>
  <si>
    <t>IN2601-101187</t>
  </si>
  <si>
    <t>16/01/2026 15:20</t>
  </si>
  <si>
    <t>SO2601-91879</t>
  </si>
  <si>
    <t>DJEMO</t>
  </si>
  <si>
    <t>IN2601-101186</t>
  </si>
  <si>
    <t>16/01/2026 15:11</t>
  </si>
  <si>
    <t>SO2601-91878</t>
  </si>
  <si>
    <t>IN2601-101185</t>
  </si>
  <si>
    <t>SO2601-91877</t>
  </si>
  <si>
    <t>IN2601-101184</t>
  </si>
  <si>
    <t>16/01/2026 15:03</t>
  </si>
  <si>
    <t>SO2601-91876</t>
  </si>
  <si>
    <t>IN2601-101183</t>
  </si>
  <si>
    <t>SO2601-91875</t>
  </si>
  <si>
    <t>IN2601-101182</t>
  </si>
  <si>
    <t>16/01/2026 15:01</t>
  </si>
  <si>
    <t>SO2601-91874</t>
  </si>
  <si>
    <t>IN2601-101181</t>
  </si>
  <si>
    <t>16/01/2026 16:04</t>
  </si>
  <si>
    <t>SO2601-91873</t>
  </si>
  <si>
    <t>IN2601-101180</t>
  </si>
  <si>
    <t>SO2601-91872</t>
  </si>
  <si>
    <t>ALEX 674754810</t>
  </si>
  <si>
    <t>IN2601-101179</t>
  </si>
  <si>
    <t>16/01/2026 14:59</t>
  </si>
  <si>
    <t>SO2601-91871</t>
  </si>
  <si>
    <t>FONKOU</t>
  </si>
  <si>
    <t>IN2601-101178</t>
  </si>
  <si>
    <t>16/01/2026 14:54</t>
  </si>
  <si>
    <t>SO2601-91870</t>
  </si>
  <si>
    <t>IN2601-101177</t>
  </si>
  <si>
    <t>16/01/2026 14:52</t>
  </si>
  <si>
    <t>SO2601-91869</t>
  </si>
  <si>
    <t>IN2601-101176</t>
  </si>
  <si>
    <t>SO2601-91868</t>
  </si>
  <si>
    <t>TEKOUE MATHEU 675150020</t>
  </si>
  <si>
    <t>IN2601-101175</t>
  </si>
  <si>
    <t>SO2601-91867</t>
  </si>
  <si>
    <t>IN2601-101174</t>
  </si>
  <si>
    <t>16/01/2026 14:56</t>
  </si>
  <si>
    <t>SO2601-91866</t>
  </si>
  <si>
    <t>CU2601-14305 -  FONKOU DIEUDONNE</t>
  </si>
  <si>
    <t>IN2601-101173</t>
  </si>
  <si>
    <t>16/01/2026 14:49</t>
  </si>
  <si>
    <t>SO2601-91865</t>
  </si>
  <si>
    <t>IN2601-101172</t>
  </si>
  <si>
    <t>16/01/2026 14:36</t>
  </si>
  <si>
    <t>SO2601-91864</t>
  </si>
  <si>
    <t>NGONGANG</t>
  </si>
  <si>
    <t>IN2601-101171</t>
  </si>
  <si>
    <t>16/01/2026 14:35</t>
  </si>
  <si>
    <t>SO2601-91863</t>
  </si>
  <si>
    <t>IN2601-101170</t>
  </si>
  <si>
    <t>16/01/2026 14:47</t>
  </si>
  <si>
    <t>SO2601-91862</t>
  </si>
  <si>
    <t>MPESSE JOSEPH 691061868</t>
  </si>
  <si>
    <t>IN2601-101169</t>
  </si>
  <si>
    <t>SO2601-91861</t>
  </si>
  <si>
    <t>IN2601-101168</t>
  </si>
  <si>
    <t>16/01/2026 14:27</t>
  </si>
  <si>
    <t>SO2601-91860</t>
  </si>
  <si>
    <t>EBOUE</t>
  </si>
  <si>
    <t>IN2601-101167</t>
  </si>
  <si>
    <t>16/01/2026 14:21</t>
  </si>
  <si>
    <t>SO2601-91859</t>
  </si>
  <si>
    <t>KENGNE JEAN CYRIL 681454405</t>
  </si>
  <si>
    <t>IN2601-101166</t>
  </si>
  <si>
    <t>16/01/2026 14:25</t>
  </si>
  <si>
    <t>SO2601-91858</t>
  </si>
  <si>
    <t>IN2601-101165</t>
  </si>
  <si>
    <t>16/01/2026 14:14</t>
  </si>
  <si>
    <t>SO2601-91857</t>
  </si>
  <si>
    <t>IN2601-101164</t>
  </si>
  <si>
    <t>SO2601-91856</t>
  </si>
  <si>
    <t>KAMENI MERLIN 693828227</t>
  </si>
  <si>
    <t>IN2601-101163</t>
  </si>
  <si>
    <t>16/01/2026 14:16</t>
  </si>
  <si>
    <t>SO2601-91855</t>
  </si>
  <si>
    <t>IN2601-101162</t>
  </si>
  <si>
    <t>16/01/2026 14:09</t>
  </si>
  <si>
    <t>SO2601-91854</t>
  </si>
  <si>
    <t>MENOUMA 699823940</t>
  </si>
  <si>
    <t>IN2601-101161</t>
  </si>
  <si>
    <t>16/01/2026 14:10</t>
  </si>
  <si>
    <t>SO2601-91853</t>
  </si>
  <si>
    <t>IN2601-101160</t>
  </si>
  <si>
    <t>16/01/2026 14:01</t>
  </si>
  <si>
    <t>SO2601-91852</t>
  </si>
  <si>
    <t>MANGAN ROSALIE 677427274</t>
  </si>
  <si>
    <t>IN2601-101159</t>
  </si>
  <si>
    <t>16/01/2026 14:04</t>
  </si>
  <si>
    <t>SO2601-91851</t>
  </si>
  <si>
    <t>IN2601-101158</t>
  </si>
  <si>
    <t>16/01/2026 13:56</t>
  </si>
  <si>
    <t>SO2601-91850</t>
  </si>
  <si>
    <t>IN2601-101157</t>
  </si>
  <si>
    <t>16/01/2026 13:54</t>
  </si>
  <si>
    <t>SO2601-91849</t>
  </si>
  <si>
    <t>IN2601-101156</t>
  </si>
  <si>
    <t>16/01/2026 13:52</t>
  </si>
  <si>
    <t>SO2601-91848</t>
  </si>
  <si>
    <t>NKENGUE</t>
  </si>
  <si>
    <t>CU2501-01196 -  SCOOPS MOUNGO (MR NKENGUE VALENTIN)</t>
  </si>
  <si>
    <t>IN2601-101155</t>
  </si>
  <si>
    <t>CU2501-01196 -  SCOOPS MOUNGO</t>
  </si>
  <si>
    <t>MR NKENGUE VALENTIN</t>
  </si>
  <si>
    <t>16/01/2026 16:54</t>
  </si>
  <si>
    <t>SO2601-91847</t>
  </si>
  <si>
    <t>MARIE XAVIERA 693468483</t>
  </si>
  <si>
    <t>IN2601-101154</t>
  </si>
  <si>
    <t>16/01/2026 13:43</t>
  </si>
  <si>
    <t>SO2601-91846</t>
  </si>
  <si>
    <t>IN2601-101153</t>
  </si>
  <si>
    <t>16/01/2026 13:41</t>
  </si>
  <si>
    <t>SO2601-91845</t>
  </si>
  <si>
    <t>IN2601-101152</t>
  </si>
  <si>
    <t>16/01/2026 13:36</t>
  </si>
  <si>
    <t>SO2601-91843</t>
  </si>
  <si>
    <t>IN2601-101150</t>
  </si>
  <si>
    <t>SO2601-91842</t>
  </si>
  <si>
    <t>IN2601-101149</t>
  </si>
  <si>
    <t>16/01/2026 13:27</t>
  </si>
  <si>
    <t>SO2601-91841</t>
  </si>
  <si>
    <t>IN2601-101148</t>
  </si>
  <si>
    <t>SO2601-91840</t>
  </si>
  <si>
    <t>IN2601-101147</t>
  </si>
  <si>
    <t>16/01/2026 13:28</t>
  </si>
  <si>
    <t>SO2601-91839</t>
  </si>
  <si>
    <t>CU2502-01225 -  ETS KINRA &amp; FRERE</t>
  </si>
  <si>
    <t>IN2601-101146</t>
  </si>
  <si>
    <t>16/01/2026 13:39</t>
  </si>
  <si>
    <t>SO2601-91838</t>
  </si>
  <si>
    <t>IN2601-101145</t>
  </si>
  <si>
    <t>16/01/2026 13:26</t>
  </si>
  <si>
    <t>SO2601-91837</t>
  </si>
  <si>
    <t>IN2601-101144</t>
  </si>
  <si>
    <t>16/01/2026 13:23</t>
  </si>
  <si>
    <t>SO2601-91836</t>
  </si>
  <si>
    <t>TSAKEM ERICC</t>
  </si>
  <si>
    <t>IN2601-101143</t>
  </si>
  <si>
    <t>16/01/2026 13:08</t>
  </si>
  <si>
    <t>SO2601-91835</t>
  </si>
  <si>
    <t>IN2601-101142</t>
  </si>
  <si>
    <t>16/01/2026 13:16</t>
  </si>
  <si>
    <t>SO2601-91834</t>
  </si>
  <si>
    <t>TATSEDA GUILLAUME / 677512348</t>
  </si>
  <si>
    <t>IN2601-101141</t>
  </si>
  <si>
    <t>16/01/2026 13:13</t>
  </si>
  <si>
    <t>SO2601-91833</t>
  </si>
  <si>
    <t>IN2601-101140</t>
  </si>
  <si>
    <t>16/01/2026 13:05</t>
  </si>
  <si>
    <t>SO2601-91832</t>
  </si>
  <si>
    <t>IN2601-101139</t>
  </si>
  <si>
    <t>16/01/2026 13:07</t>
  </si>
  <si>
    <t>SO2601-91831</t>
  </si>
  <si>
    <t>IN2601-101138</t>
  </si>
  <si>
    <t>16/01/2026 12:55</t>
  </si>
  <si>
    <t>SO2601-91830</t>
  </si>
  <si>
    <t>M DJIFACK JEAN 690395093</t>
  </si>
  <si>
    <t>IN2601-101137</t>
  </si>
  <si>
    <t>16/01/2026 12:53</t>
  </si>
  <si>
    <t>SO2601-91829</t>
  </si>
  <si>
    <t>DJAOYANG / 699822308</t>
  </si>
  <si>
    <t>CU2508-13605 -  DJAOYANG BIJOUX DIEUDONNE</t>
  </si>
  <si>
    <t>IN2601-101136</t>
  </si>
  <si>
    <t>16/01/2026 12:54</t>
  </si>
  <si>
    <t>SO2601-91828</t>
  </si>
  <si>
    <t>MEKEMPI J 680104966</t>
  </si>
  <si>
    <t>IN2601-101135</t>
  </si>
  <si>
    <t>16/01/2026 12:46</t>
  </si>
  <si>
    <t>SO2601-91827</t>
  </si>
  <si>
    <t>IN2601-101134</t>
  </si>
  <si>
    <t>16/01/2026 12:49</t>
  </si>
  <si>
    <t>SO2601-91826</t>
  </si>
  <si>
    <t>IN2601-101133</t>
  </si>
  <si>
    <t>16/01/2026 12:52</t>
  </si>
  <si>
    <t>SO2601-91825</t>
  </si>
  <si>
    <t>DR TCHOFO 670568558</t>
  </si>
  <si>
    <t>IN2601-101132</t>
  </si>
  <si>
    <t>SO2601-91824</t>
  </si>
  <si>
    <t>IN2601-101131</t>
  </si>
  <si>
    <t>SO2601-91823</t>
  </si>
  <si>
    <t>IN2601-101130</t>
  </si>
  <si>
    <t>16/01/2026 12:42</t>
  </si>
  <si>
    <t>SO2601-91822</t>
  </si>
  <si>
    <t>IN2601-101129</t>
  </si>
  <si>
    <t>16/01/2026 12:43</t>
  </si>
  <si>
    <t>SO2601-91821</t>
  </si>
  <si>
    <t>IN2601-101128</t>
  </si>
  <si>
    <t>SO2601-91820</t>
  </si>
  <si>
    <t>IN2601-101127</t>
  </si>
  <si>
    <t>16/01/2026 12:40</t>
  </si>
  <si>
    <t>SO2601-91819</t>
  </si>
  <si>
    <t>PROVENDERIE LE GROSSISTE 697371056</t>
  </si>
  <si>
    <t>IN2601-101126</t>
  </si>
  <si>
    <t>16/01/2026 12:33</t>
  </si>
  <si>
    <t>SO2601-91818</t>
  </si>
  <si>
    <t>IN2601-101125</t>
  </si>
  <si>
    <t>16/01/2026 12:29</t>
  </si>
  <si>
    <t>SO2601-91817</t>
  </si>
  <si>
    <t>IN2601-101124</t>
  </si>
  <si>
    <t>16/01/2026 12:28</t>
  </si>
  <si>
    <t>SO2601-91816</t>
  </si>
  <si>
    <t>IN2601-101123</t>
  </si>
  <si>
    <t>16/01/2026 12:24</t>
  </si>
  <si>
    <t>SO2601-91815</t>
  </si>
  <si>
    <t>IN2601-101122</t>
  </si>
  <si>
    <t>16/01/2026 12:12</t>
  </si>
  <si>
    <t>SO2601-91814</t>
  </si>
  <si>
    <t>TSOMEZA GASPARD 675559237</t>
  </si>
  <si>
    <t>IN2601-101121</t>
  </si>
  <si>
    <t>16/01/2026 12:15</t>
  </si>
  <si>
    <t>SO2601-91813</t>
  </si>
  <si>
    <t>SANI 680054835</t>
  </si>
  <si>
    <t>CU2601-14318 -  SANI NKOUWA ELIE</t>
  </si>
  <si>
    <t>IN2601-101120</t>
  </si>
  <si>
    <t>16/01/2026 12:13</t>
  </si>
  <si>
    <t>SO2601-91812</t>
  </si>
  <si>
    <t>IN2601-101119</t>
  </si>
  <si>
    <t>16/01/2026 13:19</t>
  </si>
  <si>
    <t>SO2601-91811</t>
  </si>
  <si>
    <t>MAIN CHARITABLE 690515063</t>
  </si>
  <si>
    <t>IN2601-101118</t>
  </si>
  <si>
    <t>16/01/2026 12:21</t>
  </si>
  <si>
    <t>SO2601-91810</t>
  </si>
  <si>
    <t>IN2601-101117</t>
  </si>
  <si>
    <t>16/01/2026 12:09</t>
  </si>
  <si>
    <t>SO2601-91809</t>
  </si>
  <si>
    <t>IN2601-101116</t>
  </si>
  <si>
    <t>16/01/2026 12:11</t>
  </si>
  <si>
    <t>SO2601-91808</t>
  </si>
  <si>
    <t>IN2601-101115</t>
  </si>
  <si>
    <t>16/01/2026 12:16</t>
  </si>
  <si>
    <t>SO2601-91807</t>
  </si>
  <si>
    <t>IN2601-101114</t>
  </si>
  <si>
    <t>SO2601-91806</t>
  </si>
  <si>
    <t>IN2601-101113</t>
  </si>
  <si>
    <t>16/01/2026 12:19</t>
  </si>
  <si>
    <t>SO2601-91805</t>
  </si>
  <si>
    <t>IN2601-101112</t>
  </si>
  <si>
    <t>16/01/2026 12:07</t>
  </si>
  <si>
    <t>SO2601-91804</t>
  </si>
  <si>
    <t>IN2601-101111</t>
  </si>
  <si>
    <t>16/01/2026 11:53</t>
  </si>
  <si>
    <t>SO2601-91803</t>
  </si>
  <si>
    <t>CHEKAM 679805828</t>
  </si>
  <si>
    <t>CU2407-00251 -  CHEKAM KAMGUIA</t>
  </si>
  <si>
    <t>IN2601-101110</t>
  </si>
  <si>
    <t>16/01/2026 11:54</t>
  </si>
  <si>
    <t>SO2601-91802</t>
  </si>
  <si>
    <t>KAMOGNE</t>
  </si>
  <si>
    <t>IN2601-101109</t>
  </si>
  <si>
    <t>16/01/2026 11:52</t>
  </si>
  <si>
    <t>SO2601-91801</t>
  </si>
  <si>
    <t>IN2601-101108</t>
  </si>
  <si>
    <t>SO2601-91800</t>
  </si>
  <si>
    <t>IN2601-101107</t>
  </si>
  <si>
    <t>16/01/2026 11:50</t>
  </si>
  <si>
    <t>SO2601-91799</t>
  </si>
  <si>
    <t>YANNICK</t>
  </si>
  <si>
    <t>IN2601-101106</t>
  </si>
  <si>
    <t>16/01/2026 11:51</t>
  </si>
  <si>
    <t>SO2601-91798</t>
  </si>
  <si>
    <t>IN2601-101105</t>
  </si>
  <si>
    <t>SO2601-91797</t>
  </si>
  <si>
    <t>ELVIS 677003252</t>
  </si>
  <si>
    <t>IN2601-101104</t>
  </si>
  <si>
    <t>16/01/2026 11:43</t>
  </si>
  <si>
    <t>SO2601-91796</t>
  </si>
  <si>
    <t>CU2512-14208 -  GOUEFONG TIOGUIM NGUIMKENG FABIEN</t>
  </si>
  <si>
    <t>IN2601-101103</t>
  </si>
  <si>
    <t>16/01/2026 11:45</t>
  </si>
  <si>
    <t>SO2601-91795</t>
  </si>
  <si>
    <t>FOTSO ERIC</t>
  </si>
  <si>
    <t>IN2601-101102</t>
  </si>
  <si>
    <t>16/01/2026 11:41</t>
  </si>
  <si>
    <t>SO2601-91794</t>
  </si>
  <si>
    <t>NOAH 691342312</t>
  </si>
  <si>
    <t>IN2601-101101</t>
  </si>
  <si>
    <t>SO2601-91793</t>
  </si>
  <si>
    <t>CU2503-01275 -  ETS LA PERCEVERANCE</t>
  </si>
  <si>
    <t>IN2601-101100</t>
  </si>
  <si>
    <t>16/01/2026 11:30</t>
  </si>
  <si>
    <t>SO2601-91792</t>
  </si>
  <si>
    <t>IN2601-101099</t>
  </si>
  <si>
    <t>16/01/2026 11:27</t>
  </si>
  <si>
    <t>SO2601-91791</t>
  </si>
  <si>
    <t>IN2601-101098</t>
  </si>
  <si>
    <t>SO2601-91790</t>
  </si>
  <si>
    <t>IN2601-101097</t>
  </si>
  <si>
    <t>16/01/2026 14:02</t>
  </si>
  <si>
    <t>SO2601-91789</t>
  </si>
  <si>
    <t>IN2601-101096</t>
  </si>
  <si>
    <t>16/01/2026 11:24</t>
  </si>
  <si>
    <t>SO2601-91788</t>
  </si>
  <si>
    <t>HAPPY PAUL 674025456</t>
  </si>
  <si>
    <t>IN2601-101095</t>
  </si>
  <si>
    <t>16/01/2026 11:25</t>
  </si>
  <si>
    <t>SO2601-91787</t>
  </si>
  <si>
    <t>JACKIE 683798494</t>
  </si>
  <si>
    <t>IN2601-101094</t>
  </si>
  <si>
    <t>16/01/2026 11:19</t>
  </si>
  <si>
    <t>SO2601-91786</t>
  </si>
  <si>
    <t>IN2601-101093</t>
  </si>
  <si>
    <t>16/01/2026 11:21</t>
  </si>
  <si>
    <t>SO2601-91785</t>
  </si>
  <si>
    <t>ABOUBAKAR SALI / 658 71 74 74</t>
  </si>
  <si>
    <t>IN2601-101092</t>
  </si>
  <si>
    <t>16/01/2026 11:18</t>
  </si>
  <si>
    <t>SO2601-91783</t>
  </si>
  <si>
    <t>CU2508-13631 -  BILOUNGA NDZALA BLAISE</t>
  </si>
  <si>
    <t>IN2601-101090</t>
  </si>
  <si>
    <t>16/01/2026 11:12</t>
  </si>
  <si>
    <t>SO2601-91782</t>
  </si>
  <si>
    <t>IN2601-101089</t>
  </si>
  <si>
    <t>16/01/2026 11:04</t>
  </si>
  <si>
    <t>SO2601-91781</t>
  </si>
  <si>
    <t>IN2601-101088</t>
  </si>
  <si>
    <t>16/01/2026 11:17</t>
  </si>
  <si>
    <t>SO2601-91780</t>
  </si>
  <si>
    <t>IN2601-101087</t>
  </si>
  <si>
    <t>16/01/2026 11:23</t>
  </si>
  <si>
    <t>SO2601-91779</t>
  </si>
  <si>
    <t>IN2601-101086</t>
  </si>
  <si>
    <t>16/01/2026 11:10</t>
  </si>
  <si>
    <t>SO2601-91778</t>
  </si>
  <si>
    <t>IN2601-101085</t>
  </si>
  <si>
    <t>16/01/2026 11:05</t>
  </si>
  <si>
    <t>SO2601-91777</t>
  </si>
  <si>
    <t>CU2501-01206 -  SOFFACK TSANGUE FABRICE</t>
  </si>
  <si>
    <t>IN2601-101084</t>
  </si>
  <si>
    <t>16/01/2026 11:58</t>
  </si>
  <si>
    <t>SO2601-91775</t>
  </si>
  <si>
    <t>mme nganou</t>
  </si>
  <si>
    <t>IN2601-101082</t>
  </si>
  <si>
    <t>16/01/2026 10:52</t>
  </si>
  <si>
    <t>SO2601-91774</t>
  </si>
  <si>
    <t>IN2601-101081</t>
  </si>
  <si>
    <t>16/01/2026 10:51</t>
  </si>
  <si>
    <t>SO2601-91773</t>
  </si>
  <si>
    <t>DOMINIQUE</t>
  </si>
  <si>
    <t>IN2601-101080</t>
  </si>
  <si>
    <t>16/01/2026 11:03</t>
  </si>
  <si>
    <t>SO2601-91772</t>
  </si>
  <si>
    <t>IN2601-101079</t>
  </si>
  <si>
    <t>16/01/2026 10:46</t>
  </si>
  <si>
    <t>SO2601-91771</t>
  </si>
  <si>
    <t>IN2601-101078</t>
  </si>
  <si>
    <t>16/01/2026 10:41</t>
  </si>
  <si>
    <t>SO2601-91770</t>
  </si>
  <si>
    <t>IN2601-101077</t>
  </si>
  <si>
    <t>16/01/2026 10:32</t>
  </si>
  <si>
    <t>SO2601-91769</t>
  </si>
  <si>
    <t>IN2601-101076</t>
  </si>
  <si>
    <t>16/01/2026 10:28</t>
  </si>
  <si>
    <t>SO2601-91768</t>
  </si>
  <si>
    <t>NOTSE FRANCK 672358862</t>
  </si>
  <si>
    <t>IN2601-101075</t>
  </si>
  <si>
    <t>16/01/2026 10:31</t>
  </si>
  <si>
    <t>SO2601-91767</t>
  </si>
  <si>
    <t>LITINE ESAI 659682695</t>
  </si>
  <si>
    <t>IN2601-101074</t>
  </si>
  <si>
    <t>16/01/2026 10:30</t>
  </si>
  <si>
    <t>SO2601-91766</t>
  </si>
  <si>
    <t>IN2601-101073</t>
  </si>
  <si>
    <t>16/01/2026 10:23</t>
  </si>
  <si>
    <t>SO2601-91765</t>
  </si>
  <si>
    <t>TCHUENTE</t>
  </si>
  <si>
    <t>IN2601-101072</t>
  </si>
  <si>
    <t>16/01/2026 10:24</t>
  </si>
  <si>
    <t>SO2601-91764</t>
  </si>
  <si>
    <t>CU2407-00497 -  CHRISTIAN BANDJA</t>
  </si>
  <si>
    <t>IN2601-101071</t>
  </si>
  <si>
    <t>16/01/2026 10:26</t>
  </si>
  <si>
    <t>SO2601-91763</t>
  </si>
  <si>
    <t>CATHY RENE 674380064</t>
  </si>
  <si>
    <t>IN2601-101070</t>
  </si>
  <si>
    <t>16/01/2026 10:38</t>
  </si>
  <si>
    <t>SO2601-91762</t>
  </si>
  <si>
    <t>KEPDOU VICTOR 675169673</t>
  </si>
  <si>
    <t>IN2601-101069</t>
  </si>
  <si>
    <t>16/01/2026 10:06</t>
  </si>
  <si>
    <t>SO2601-91761</t>
  </si>
  <si>
    <t>IN2601-101068</t>
  </si>
  <si>
    <t>16/01/2026 10:01</t>
  </si>
  <si>
    <t>SO2601-91760</t>
  </si>
  <si>
    <t>IN2601-101067</t>
  </si>
  <si>
    <t>16/01/2026 09:57</t>
  </si>
  <si>
    <t>SO2601-91759</t>
  </si>
  <si>
    <t>IN2601-101066</t>
  </si>
  <si>
    <t>16/01/2026 09:53</t>
  </si>
  <si>
    <t>SO2601-91758</t>
  </si>
  <si>
    <t>IN2601-101065</t>
  </si>
  <si>
    <t>16/01/2026 09:54</t>
  </si>
  <si>
    <t>SO2601-91757</t>
  </si>
  <si>
    <t>IN2601-101064</t>
  </si>
  <si>
    <t>16/01/2026 09:56</t>
  </si>
  <si>
    <t>SO2601-91756</t>
  </si>
  <si>
    <t>NGATO 699955459</t>
  </si>
  <si>
    <t>IN2601-101063</t>
  </si>
  <si>
    <t>SO2601-91755</t>
  </si>
  <si>
    <t>CU2407-00688 -  KEMGANG JEAN PAUL</t>
  </si>
  <si>
    <t>IN2601-101062</t>
  </si>
  <si>
    <t>16/01/2026 09:52</t>
  </si>
  <si>
    <t>SO2601-91754</t>
  </si>
  <si>
    <t>IN2601-101061</t>
  </si>
  <si>
    <t>SO2601-91753</t>
  </si>
  <si>
    <t>BLANDINE 673048695</t>
  </si>
  <si>
    <t>IN2601-101060</t>
  </si>
  <si>
    <t>SO2601-91752</t>
  </si>
  <si>
    <t>CU2407-00567 -  EMALE</t>
  </si>
  <si>
    <t>IN2601-101059</t>
  </si>
  <si>
    <t>16/01/2026 09:51</t>
  </si>
  <si>
    <t>SO2601-91751</t>
  </si>
  <si>
    <t>IN2601-101058</t>
  </si>
  <si>
    <t>16/01/2026 09:47</t>
  </si>
  <si>
    <t>SO2601-91750</t>
  </si>
  <si>
    <t>IN2601-101057</t>
  </si>
  <si>
    <t>16/01/2026 09:41</t>
  </si>
  <si>
    <t>SO2601-91749</t>
  </si>
  <si>
    <t>IN2601-101056</t>
  </si>
  <si>
    <t>16/01/2026 09:39</t>
  </si>
  <si>
    <t>SO2601-91748</t>
  </si>
  <si>
    <t>SADO 679348500</t>
  </si>
  <si>
    <t>ID2601-0038</t>
  </si>
  <si>
    <t>16/01/2026 09:38</t>
  </si>
  <si>
    <t>SO2601-91747</t>
  </si>
  <si>
    <t>IN2601-101055</t>
  </si>
  <si>
    <t>16/01/2026 09:35</t>
  </si>
  <si>
    <t>SO2601-91746</t>
  </si>
  <si>
    <t>LA CROISSANCE</t>
  </si>
  <si>
    <t>IN2601-101054</t>
  </si>
  <si>
    <t>16/01/2026 09:34</t>
  </si>
  <si>
    <t>SO2601-91745</t>
  </si>
  <si>
    <t>CU2407-00419 -  KENMOGNE INNOCENT</t>
  </si>
  <si>
    <t>IN2601-101053</t>
  </si>
  <si>
    <t>16/01/2026 09:31</t>
  </si>
  <si>
    <t>SO2601-91744</t>
  </si>
  <si>
    <t>IN2601-101052</t>
  </si>
  <si>
    <t>16/01/2026 09:45</t>
  </si>
  <si>
    <t>SO2601-91743</t>
  </si>
  <si>
    <t>IN2601-101051</t>
  </si>
  <si>
    <t>SO2601-91742</t>
  </si>
  <si>
    <t>IN2601-101050</t>
  </si>
  <si>
    <t>16/01/2026 09:28</t>
  </si>
  <si>
    <t>SO2601-91741</t>
  </si>
  <si>
    <t>IN2601-101049</t>
  </si>
  <si>
    <t>16/01/2026 09:23</t>
  </si>
  <si>
    <t>SO2601-91740</t>
  </si>
  <si>
    <t>IN2601-101048</t>
  </si>
  <si>
    <t>SO2601-91739</t>
  </si>
  <si>
    <t>IN2601-101047</t>
  </si>
  <si>
    <t>16/01/2026 09:22</t>
  </si>
  <si>
    <t>SO2601-91738</t>
  </si>
  <si>
    <t>BISONGA 674419575</t>
  </si>
  <si>
    <t>IN2601-101046</t>
  </si>
  <si>
    <t>16/01/2026 09:26</t>
  </si>
  <si>
    <t>SO2601-91737</t>
  </si>
  <si>
    <t>IN2601-101045</t>
  </si>
  <si>
    <t>16/01/2026 09:21</t>
  </si>
  <si>
    <t>SO2601-91736</t>
  </si>
  <si>
    <t>IN2601-101044</t>
  </si>
  <si>
    <t>16/01/2026 09:18</t>
  </si>
  <si>
    <t>SO2601-91735</t>
  </si>
  <si>
    <t>IN2601-101043</t>
  </si>
  <si>
    <t>16/01/2026 09:15</t>
  </si>
  <si>
    <t>SO2601-91734</t>
  </si>
  <si>
    <t>EMMANUELLE</t>
  </si>
  <si>
    <t>IN2601-101042</t>
  </si>
  <si>
    <t>16/01/2026 09:14</t>
  </si>
  <si>
    <t>SO2601-91733</t>
  </si>
  <si>
    <t>IN2601-101041</t>
  </si>
  <si>
    <t>SO2601-91732</t>
  </si>
  <si>
    <t>PROV LA GRACE 679760617</t>
  </si>
  <si>
    <t>IN2601-101040</t>
  </si>
  <si>
    <t>16/01/2026 09:12</t>
  </si>
  <si>
    <t>SO2601-91731</t>
  </si>
  <si>
    <t>IN2601-101039</t>
  </si>
  <si>
    <t>16/01/2026 09:08</t>
  </si>
  <si>
    <t>SO2601-91730</t>
  </si>
  <si>
    <t>NGUETEU 656291389</t>
  </si>
  <si>
    <t>IN2601-101038</t>
  </si>
  <si>
    <t>16/01/2026 09:16</t>
  </si>
  <si>
    <t>SO2601-91729</t>
  </si>
  <si>
    <t>ALAIN SIFFO 675865483</t>
  </si>
  <si>
    <t>IN2601-101037</t>
  </si>
  <si>
    <t>SO2601-91728</t>
  </si>
  <si>
    <t>IN2601-101036</t>
  </si>
  <si>
    <t>16/01/2026 09:19</t>
  </si>
  <si>
    <t>SO2601-91727</t>
  </si>
  <si>
    <t>FLORE</t>
  </si>
  <si>
    <t>IN2601-101035</t>
  </si>
  <si>
    <t>16/01/2026 08:59</t>
  </si>
  <si>
    <t>SO2601-91726</t>
  </si>
  <si>
    <t>KUICHEU MAXIME 678974645</t>
  </si>
  <si>
    <t>IN2601-101034</t>
  </si>
  <si>
    <t>SO2601-91725</t>
  </si>
  <si>
    <t>IN2601-101033</t>
  </si>
  <si>
    <t>16/01/2026 08:53</t>
  </si>
  <si>
    <t>SO2601-91724</t>
  </si>
  <si>
    <t>IN2601-101032</t>
  </si>
  <si>
    <t>16/01/2026 09:25</t>
  </si>
  <si>
    <t>SO2601-91723</t>
  </si>
  <si>
    <t>NJONDA 698181200</t>
  </si>
  <si>
    <t>IN2601-101031</t>
  </si>
  <si>
    <t>16/01/2026 08:42</t>
  </si>
  <si>
    <t>SO2601-91722</t>
  </si>
  <si>
    <t>INEED</t>
  </si>
  <si>
    <t>IN2601-101030</t>
  </si>
  <si>
    <t>16/01/2026 08:40</t>
  </si>
  <si>
    <t>SO2601-91721</t>
  </si>
  <si>
    <t>IN2601-101029</t>
  </si>
  <si>
    <t>16/01/2026 08:44</t>
  </si>
  <si>
    <t>SO2601-91720</t>
  </si>
  <si>
    <t>IN2601-101028</t>
  </si>
  <si>
    <t>16/01/2026 08:32</t>
  </si>
  <si>
    <t>SO2601-91719</t>
  </si>
  <si>
    <t>MAGNE 656105044</t>
  </si>
  <si>
    <t>IN2601-101027</t>
  </si>
  <si>
    <t>16/01/2026 08:31</t>
  </si>
  <si>
    <t>SO2601-91718</t>
  </si>
  <si>
    <t>M ETEUHOUNG 677221196</t>
  </si>
  <si>
    <t>IN2601-101026</t>
  </si>
  <si>
    <t>16/01/2026 08:27</t>
  </si>
  <si>
    <t>SO2601-91717</t>
  </si>
  <si>
    <t>FOKA TAGNI HILAIRE 677048821</t>
  </si>
  <si>
    <t>IN2601-101025</t>
  </si>
  <si>
    <t>16/01/2026 08:25</t>
  </si>
  <si>
    <t>SO2601-91716</t>
  </si>
  <si>
    <t>IN2601-101024</t>
  </si>
  <si>
    <t>16/01/2026 08:23</t>
  </si>
  <si>
    <t>SO2601-91715</t>
  </si>
  <si>
    <t>IN2601-101023</t>
  </si>
  <si>
    <t>16/01/2026 08:13</t>
  </si>
  <si>
    <t>SO2601-91714</t>
  </si>
  <si>
    <t>CU2407-00837 -  NGOKO DJIMGANG NATHALIE</t>
  </si>
  <si>
    <t>IN2601-101022</t>
  </si>
  <si>
    <t>16/01/2026 08:01</t>
  </si>
  <si>
    <t>SO2601-91713</t>
  </si>
  <si>
    <t>IN2601-101021</t>
  </si>
  <si>
    <t>16/01/2026 07:53</t>
  </si>
  <si>
    <t>SO2601-91712</t>
  </si>
  <si>
    <t>CU2407-00841 -  YAMDJI DEUKAM RAOUL</t>
  </si>
  <si>
    <t>IN2601-101020</t>
  </si>
  <si>
    <t>16/01/2026 07:57</t>
  </si>
  <si>
    <t>SO2601-91711</t>
  </si>
  <si>
    <t>15/01/2026</t>
  </si>
  <si>
    <t>15/01/2026 00:00</t>
  </si>
  <si>
    <t>IN2601-101019</t>
  </si>
  <si>
    <t>15/01/2026 18:02</t>
  </si>
  <si>
    <t>SO2601-91710</t>
  </si>
  <si>
    <t>CU2407-00431 -  LONTSIE ROMARIC</t>
  </si>
  <si>
    <t>IN2601-101018</t>
  </si>
  <si>
    <t>15/01/2026 18:21</t>
  </si>
  <si>
    <t>SO2601-91709</t>
  </si>
  <si>
    <t>IN2601-101017</t>
  </si>
  <si>
    <t>15/01/2026 18:22</t>
  </si>
  <si>
    <t>SO2601-91708</t>
  </si>
  <si>
    <t>IN2601-101016</t>
  </si>
  <si>
    <t>15/01/2026 18:18</t>
  </si>
  <si>
    <t>SO2601-91707</t>
  </si>
  <si>
    <t>IN2601-101015</t>
  </si>
  <si>
    <t>15/01/2026 17:54</t>
  </si>
  <si>
    <t>SO2601-91706</t>
  </si>
  <si>
    <t>IN2601-101014</t>
  </si>
  <si>
    <t>15/01/2026 17:49</t>
  </si>
  <si>
    <t>SO2601-91705</t>
  </si>
  <si>
    <t>IN2601-101013</t>
  </si>
  <si>
    <t>15/01/2026 17:25</t>
  </si>
  <si>
    <t>SO2601-91704</t>
  </si>
  <si>
    <t>IN2601-101012</t>
  </si>
  <si>
    <t>15/01/2026 17:20</t>
  </si>
  <si>
    <t>SO2601-91703</t>
  </si>
  <si>
    <t>ID2601-0037</t>
  </si>
  <si>
    <t>15/01/2026 16:37</t>
  </si>
  <si>
    <t>SO2601-91702</t>
  </si>
  <si>
    <t>TCHOUKOU</t>
  </si>
  <si>
    <t>IN2601-101010</t>
  </si>
  <si>
    <t>15/01/2026 16:32</t>
  </si>
  <si>
    <t>SO2601-91701</t>
  </si>
  <si>
    <t>IN2601-101009</t>
  </si>
  <si>
    <t>15/01/2026 16:33</t>
  </si>
  <si>
    <t>SO2601-91700</t>
  </si>
  <si>
    <t>M TASSE SONWA 673068017</t>
  </si>
  <si>
    <t>IN2601-101008</t>
  </si>
  <si>
    <t>15/01/2026 16:25</t>
  </si>
  <si>
    <t>SO2601-91699</t>
  </si>
  <si>
    <t>IN2601-101007</t>
  </si>
  <si>
    <t>15/01/2026 16:28</t>
  </si>
  <si>
    <t>SO2601-91698</t>
  </si>
  <si>
    <t>YETMOU</t>
  </si>
  <si>
    <t>IN2601-101006</t>
  </si>
  <si>
    <t>15/01/2026 16:24</t>
  </si>
  <si>
    <t>SO2601-91697</t>
  </si>
  <si>
    <t>WEYEPE 691689911</t>
  </si>
  <si>
    <t>IN2601-101005</t>
  </si>
  <si>
    <t>15/01/2026 16:31</t>
  </si>
  <si>
    <t>SO2601-91696</t>
  </si>
  <si>
    <t>IN2601-101004</t>
  </si>
  <si>
    <t>15/01/2026 16:19</t>
  </si>
  <si>
    <t>SO2601-91695</t>
  </si>
  <si>
    <t>IN2601-101003</t>
  </si>
  <si>
    <t>15/01/2026 16:21</t>
  </si>
  <si>
    <t>SO2601-91694</t>
  </si>
  <si>
    <t>IN2601-101002</t>
  </si>
  <si>
    <t>15/01/2026 16:14</t>
  </si>
  <si>
    <t>SO2601-91693</t>
  </si>
  <si>
    <t>ALPHONSE</t>
  </si>
  <si>
    <t>IN2601-101001</t>
  </si>
  <si>
    <t>SO2601-91692</t>
  </si>
  <si>
    <t>WAMBA</t>
  </si>
  <si>
    <t>IN2601-101000</t>
  </si>
  <si>
    <t>15/01/2026 16:13</t>
  </si>
  <si>
    <t>SO2601-91691</t>
  </si>
  <si>
    <t>IN2601-100999</t>
  </si>
  <si>
    <t>15/01/2026 16:11</t>
  </si>
  <si>
    <t>SO2601-91690</t>
  </si>
  <si>
    <t>IN2601-100998</t>
  </si>
  <si>
    <t>15/01/2026 16:03</t>
  </si>
  <si>
    <t>SO2601-91689</t>
  </si>
  <si>
    <t>IN2601-100997</t>
  </si>
  <si>
    <t>SO2601-91688</t>
  </si>
  <si>
    <t>PAUL 651712771</t>
  </si>
  <si>
    <t>IN2601-100996</t>
  </si>
  <si>
    <t>15/01/2026 16:00</t>
  </si>
  <si>
    <t>SO2601-91687</t>
  </si>
  <si>
    <t>IN2601-100995</t>
  </si>
  <si>
    <t>15/01/2026 15:56</t>
  </si>
  <si>
    <t>SO2601-91686</t>
  </si>
  <si>
    <t>DJUIDJA BERNADETTE</t>
  </si>
  <si>
    <t>IN2601-100994</t>
  </si>
  <si>
    <t>15/01/2026 15:59</t>
  </si>
  <si>
    <t>SO2601-91685</t>
  </si>
  <si>
    <t>CU2407-00667 -  KAMDEM FABIEN</t>
  </si>
  <si>
    <t>IN2601-100993</t>
  </si>
  <si>
    <t>15/01/2026 15:52</t>
  </si>
  <si>
    <t>SO2601-91684</t>
  </si>
  <si>
    <t>M.NOUTSA 699714251</t>
  </si>
  <si>
    <t>IN2601-100992</t>
  </si>
  <si>
    <t>15/01/2026 15:47</t>
  </si>
  <si>
    <t>SO2601-91683</t>
  </si>
  <si>
    <t>IN2601-100991</t>
  </si>
  <si>
    <t>15/01/2026 15:53</t>
  </si>
  <si>
    <t>SO2601-91682</t>
  </si>
  <si>
    <t>IN2601-100990</t>
  </si>
  <si>
    <t>15/01/2026 15:48</t>
  </si>
  <si>
    <t>SO2601-91681</t>
  </si>
  <si>
    <t>IN2601-100989</t>
  </si>
  <si>
    <t>SO2601-91680</t>
  </si>
  <si>
    <t>IN2601-100988</t>
  </si>
  <si>
    <t>15/01/2026 15:34</t>
  </si>
  <si>
    <t>SO2601-91679</t>
  </si>
  <si>
    <t>NDEFFO BONAVENTURE 675403621</t>
  </si>
  <si>
    <t>IN2601-100987</t>
  </si>
  <si>
    <t>15/01/2026 15:39</t>
  </si>
  <si>
    <t>SO2601-91678</t>
  </si>
  <si>
    <t>IN2601-100986</t>
  </si>
  <si>
    <t>15/01/2026 16:15</t>
  </si>
  <si>
    <t>SO2601-91677</t>
  </si>
  <si>
    <t>M NOUBOUI CALVIN 653200318</t>
  </si>
  <si>
    <t>IN2601-100985</t>
  </si>
  <si>
    <t>15/01/2026 15:29</t>
  </si>
  <si>
    <t>SO2601-91676</t>
  </si>
  <si>
    <t>M EMMA COLETTE</t>
  </si>
  <si>
    <t>IN2601-100984</t>
  </si>
  <si>
    <t>SO2601-91675</t>
  </si>
  <si>
    <t>IN2601-100983</t>
  </si>
  <si>
    <t>15/01/2026 15:25</t>
  </si>
  <si>
    <t>SO2601-91674</t>
  </si>
  <si>
    <t>IN2601-100982</t>
  </si>
  <si>
    <t>15/01/2026 15:24</t>
  </si>
  <si>
    <t>SO2601-91673</t>
  </si>
  <si>
    <t>PROVENDERIE LA SOLUTION</t>
  </si>
  <si>
    <t>IN2601-100981</t>
  </si>
  <si>
    <t>15/01/2026 16:17</t>
  </si>
  <si>
    <t>SO2601-91672</t>
  </si>
  <si>
    <t>CHEOHOU OUSSOUMANOU / 694104747</t>
  </si>
  <si>
    <t>IN2601-100980</t>
  </si>
  <si>
    <t>15/01/2026 15:18</t>
  </si>
  <si>
    <t>SO2601-91671</t>
  </si>
  <si>
    <t>IN2601-100979</t>
  </si>
  <si>
    <t>15/01/2026 15:23</t>
  </si>
  <si>
    <t>SO2601-91670</t>
  </si>
  <si>
    <t>IN2601-100978</t>
  </si>
  <si>
    <t>SO2601-91669</t>
  </si>
  <si>
    <t>njinzonmoun oudou</t>
  </si>
  <si>
    <t>IN2601-100977</t>
  </si>
  <si>
    <t>15/01/2026 15:22</t>
  </si>
  <si>
    <t>SO2601-91668</t>
  </si>
  <si>
    <t>AZANIA</t>
  </si>
  <si>
    <t>IN2601-100976</t>
  </si>
  <si>
    <t>15/01/2026 15:15</t>
  </si>
  <si>
    <t>SO2601-91667</t>
  </si>
  <si>
    <t>IN2601-100975</t>
  </si>
  <si>
    <t>15/01/2026 15:27</t>
  </si>
  <si>
    <t>SO2601-91666</t>
  </si>
  <si>
    <t>IN2601-100974</t>
  </si>
  <si>
    <t>15/01/2026 15:14</t>
  </si>
  <si>
    <t>SO2601-91665</t>
  </si>
  <si>
    <t>ERIC KAHN 677129517</t>
  </si>
  <si>
    <t>IN2601-100973</t>
  </si>
  <si>
    <t>SO2601-91664</t>
  </si>
  <si>
    <t>MBOUNGWE 653565160</t>
  </si>
  <si>
    <t>IN2601-100972</t>
  </si>
  <si>
    <t>SO2601-91663</t>
  </si>
  <si>
    <t>LEONARD KAMGUE 653565160</t>
  </si>
  <si>
    <t>IN2601-100971</t>
  </si>
  <si>
    <t>15/01/2026 15:06</t>
  </si>
  <si>
    <t>SO2601-91662</t>
  </si>
  <si>
    <t>IN2601-100970</t>
  </si>
  <si>
    <t>15/01/2026 15:05</t>
  </si>
  <si>
    <t>SO2601-91661</t>
  </si>
  <si>
    <t>NDE AUGUSTIN</t>
  </si>
  <si>
    <t>IN2601-100969</t>
  </si>
  <si>
    <t>15/01/2026 14:59</t>
  </si>
  <si>
    <t>SO2601-90761</t>
  </si>
  <si>
    <t>m kandem</t>
  </si>
  <si>
    <t>10/01/2026</t>
  </si>
  <si>
    <t>10/01/2026 00:00</t>
  </si>
  <si>
    <t>IN2601-100968</t>
  </si>
  <si>
    <t>15/01/2026 14:58</t>
  </si>
  <si>
    <t>SO2601-91659</t>
  </si>
  <si>
    <t>IN2601-100967</t>
  </si>
  <si>
    <t>SO2601-91658</t>
  </si>
  <si>
    <t>IN2601-100966</t>
  </si>
  <si>
    <t>15/01/2026 15:02</t>
  </si>
  <si>
    <t>SO2601-91657</t>
  </si>
  <si>
    <t>IN2601-100965</t>
  </si>
  <si>
    <t>SO2601-91656</t>
  </si>
  <si>
    <t>IN2601-100964</t>
  </si>
  <si>
    <t>SO2601-91655</t>
  </si>
  <si>
    <t>IN2601-100963</t>
  </si>
  <si>
    <t>15/01/2026 14:56</t>
  </si>
  <si>
    <t>SO2601-91654</t>
  </si>
  <si>
    <t>IN2601-100962</t>
  </si>
  <si>
    <t>SO2601-91653</t>
  </si>
  <si>
    <t>IN2601-100961</t>
  </si>
  <si>
    <t>15/01/2026 14:49</t>
  </si>
  <si>
    <t>SO2601-91652</t>
  </si>
  <si>
    <t>IN2601-100960</t>
  </si>
  <si>
    <t>15/01/2026 14:48</t>
  </si>
  <si>
    <t>SO2601-91651</t>
  </si>
  <si>
    <t>CU2407-00263 -  DJOUKOUO JUSTINE</t>
  </si>
  <si>
    <t>IN2601-100959</t>
  </si>
  <si>
    <t>15/01/2026 14:45</t>
  </si>
  <si>
    <t>SO2601-91650</t>
  </si>
  <si>
    <t>CU2407-00995 -  Provenderie ZAMBO</t>
  </si>
  <si>
    <t>IN2601-100958</t>
  </si>
  <si>
    <t>15/01/2026 15:07</t>
  </si>
  <si>
    <t>SO2601-91649</t>
  </si>
  <si>
    <t>IN2601-100957</t>
  </si>
  <si>
    <t>SO2601-91648</t>
  </si>
  <si>
    <t>IN2601-100956</t>
  </si>
  <si>
    <t>15/01/2026 14:41</t>
  </si>
  <si>
    <t>SO2601-91647</t>
  </si>
  <si>
    <t>IN2601-100955</t>
  </si>
  <si>
    <t>15/01/2026 14:33</t>
  </si>
  <si>
    <t>SO2601-91646</t>
  </si>
  <si>
    <t>IN2601-100954</t>
  </si>
  <si>
    <t>15/01/2026 14:38</t>
  </si>
  <si>
    <t>SO2601-91645</t>
  </si>
  <si>
    <t>IN2601-100953</t>
  </si>
  <si>
    <t>15/01/2026 14:44</t>
  </si>
  <si>
    <t>SO2601-91644</t>
  </si>
  <si>
    <t>IN2601-100952</t>
  </si>
  <si>
    <t>15/01/2026 14:28</t>
  </si>
  <si>
    <t>SO2601-91643</t>
  </si>
  <si>
    <t>Paul</t>
  </si>
  <si>
    <t>IN2601-100951</t>
  </si>
  <si>
    <t>SO2601-91642</t>
  </si>
  <si>
    <t>NZEKAM DANIEL 675644669</t>
  </si>
  <si>
    <t>IN2601-100950</t>
  </si>
  <si>
    <t>15/01/2026 14:27</t>
  </si>
  <si>
    <t>SO2601-91641</t>
  </si>
  <si>
    <t>IN2601-100949</t>
  </si>
  <si>
    <t>15/01/2026 14:37</t>
  </si>
  <si>
    <t>SO2601-91640</t>
  </si>
  <si>
    <t>IN2601-100948</t>
  </si>
  <si>
    <t>15/01/2026 14:32</t>
  </si>
  <si>
    <t>SO2601-91639</t>
  </si>
  <si>
    <t>IN2601-100947</t>
  </si>
  <si>
    <t>SO2601-91638</t>
  </si>
  <si>
    <t>CHARLY</t>
  </si>
  <si>
    <t>IN2601-100946</t>
  </si>
  <si>
    <t>15/01/2026 14:19</t>
  </si>
  <si>
    <t>SO2601-91637</t>
  </si>
  <si>
    <t>IN2601-100945</t>
  </si>
  <si>
    <t>15/01/2026 14:18</t>
  </si>
  <si>
    <t>SO2601-91636</t>
  </si>
  <si>
    <t>IN2601-100944</t>
  </si>
  <si>
    <t>15/01/2026 14:20</t>
  </si>
  <si>
    <t>SO2601-91635</t>
  </si>
  <si>
    <t>IN2601-100943</t>
  </si>
  <si>
    <t>15/01/2026 14:22</t>
  </si>
  <si>
    <t>SO2601-91634</t>
  </si>
  <si>
    <t>IN2601-100942</t>
  </si>
  <si>
    <t>15/01/2026 14:25</t>
  </si>
  <si>
    <t>SO2601-91633</t>
  </si>
  <si>
    <t>IN2601-100941</t>
  </si>
  <si>
    <t>15/01/2026 15:50</t>
  </si>
  <si>
    <t>SO2601-91632</t>
  </si>
  <si>
    <t>IN2601-100940</t>
  </si>
  <si>
    <t>15/01/2026 14:08</t>
  </si>
  <si>
    <t>SO2601-91631</t>
  </si>
  <si>
    <t>ORDRE DE LA MERCI</t>
  </si>
  <si>
    <t>IN2601-100939</t>
  </si>
  <si>
    <t>15/01/2026 14:07</t>
  </si>
  <si>
    <t>SO2601-91630</t>
  </si>
  <si>
    <t>IN2601-100938</t>
  </si>
  <si>
    <t>15/01/2026 14:01</t>
  </si>
  <si>
    <t>SO2601-91629</t>
  </si>
  <si>
    <t>IN2601-100937</t>
  </si>
  <si>
    <t>15/01/2026 13:54</t>
  </si>
  <si>
    <t>SO2601-91628</t>
  </si>
  <si>
    <t>IN2601-100936</t>
  </si>
  <si>
    <t>15/01/2026 16:05</t>
  </si>
  <si>
    <t>SO2601-91627</t>
  </si>
  <si>
    <t>CU2502-01227 -  PROSOCAM</t>
  </si>
  <si>
    <t>IN2601-100935</t>
  </si>
  <si>
    <t>15/01/2026 13:53</t>
  </si>
  <si>
    <t>SO2601-91626</t>
  </si>
  <si>
    <t>IN2601-100934</t>
  </si>
  <si>
    <t>15/01/2026 13:56</t>
  </si>
  <si>
    <t>SO2601-91625</t>
  </si>
  <si>
    <t>IN2601-100933</t>
  </si>
  <si>
    <t>15/01/2026 14:12</t>
  </si>
  <si>
    <t>SO2601-91624</t>
  </si>
  <si>
    <t>IN2601-100932</t>
  </si>
  <si>
    <t>15/01/2026 13:50</t>
  </si>
  <si>
    <t>SO2601-91623</t>
  </si>
  <si>
    <t>ALEX</t>
  </si>
  <si>
    <t>IN2601-100931</t>
  </si>
  <si>
    <t>15/01/2026 13:43</t>
  </si>
  <si>
    <t>SO2601-91622</t>
  </si>
  <si>
    <t>IN2601-100930</t>
  </si>
  <si>
    <t>15/01/2026 13:42</t>
  </si>
  <si>
    <t>SO2601-90349</t>
  </si>
  <si>
    <t>NOMO DIMITRI 698974774</t>
  </si>
  <si>
    <t>09/01/2026</t>
  </si>
  <si>
    <t>09/01/2026 00:00</t>
  </si>
  <si>
    <t>IN2601-100929</t>
  </si>
  <si>
    <t>15/01/2026 13:30</t>
  </si>
  <si>
    <t>SO2601-91620</t>
  </si>
  <si>
    <t>IN2601-100928</t>
  </si>
  <si>
    <t>15/01/2026 13:24</t>
  </si>
  <si>
    <t>SO2601-91619</t>
  </si>
  <si>
    <t>FOGANG</t>
  </si>
  <si>
    <t>IN2601-100927</t>
  </si>
  <si>
    <t>15/01/2026 13:18</t>
  </si>
  <si>
    <t>SO2601-91618</t>
  </si>
  <si>
    <t>M EKO</t>
  </si>
  <si>
    <t>IN2601-100926</t>
  </si>
  <si>
    <t>SO2601-91617</t>
  </si>
  <si>
    <t>M FOTSO BILY</t>
  </si>
  <si>
    <t>IN2601-100925</t>
  </si>
  <si>
    <t>15/01/2026 13:16</t>
  </si>
  <si>
    <t>SO2601-91616</t>
  </si>
  <si>
    <t>IN2601-100924</t>
  </si>
  <si>
    <t>15/01/2026 13:09</t>
  </si>
  <si>
    <t>SO2601-91615</t>
  </si>
  <si>
    <t>IN2601-100923</t>
  </si>
  <si>
    <t>15/01/2026 13:07</t>
  </si>
  <si>
    <t>SO2601-91614</t>
  </si>
  <si>
    <t>IN2601-100922</t>
  </si>
  <si>
    <t>SO2601-91613</t>
  </si>
  <si>
    <t>VEMIS GROUP 693574016</t>
  </si>
  <si>
    <t>IN2601-100921</t>
  </si>
  <si>
    <t>15/01/2026 13:01</t>
  </si>
  <si>
    <t>SO2601-91612</t>
  </si>
  <si>
    <t>IN2601-100920</t>
  </si>
  <si>
    <t>15/01/2026 13:03</t>
  </si>
  <si>
    <t>SO2601-91611</t>
  </si>
  <si>
    <t>IN2601-100919</t>
  </si>
  <si>
    <t>15/01/2026 13:00</t>
  </si>
  <si>
    <t>SO2601-91610</t>
  </si>
  <si>
    <t>KENGNE PLATINI 675741429</t>
  </si>
  <si>
    <t>IN2601-100918</t>
  </si>
  <si>
    <t>15/01/2026 12:57</t>
  </si>
  <si>
    <t>SO2601-91609</t>
  </si>
  <si>
    <t>IN2601-100917</t>
  </si>
  <si>
    <t>15/01/2026 12:47</t>
  </si>
  <si>
    <t>SO2601-91608</t>
  </si>
  <si>
    <t>IN2601-100916</t>
  </si>
  <si>
    <t>15/01/2026 13:52</t>
  </si>
  <si>
    <t>SO2601-91607</t>
  </si>
  <si>
    <t>IN2601-100915</t>
  </si>
  <si>
    <t>15/01/2026 12:46</t>
  </si>
  <si>
    <t>SO2601-91606</t>
  </si>
  <si>
    <t>CU2504-01316 -  PROVENDERIE TALA</t>
  </si>
  <si>
    <t>IN2601-100914</t>
  </si>
  <si>
    <t>15/01/2026 13:08</t>
  </si>
  <si>
    <t>SO2601-91605</t>
  </si>
  <si>
    <t>HONORE</t>
  </si>
  <si>
    <t>IN2601-100913</t>
  </si>
  <si>
    <t>15/01/2026 16:12</t>
  </si>
  <si>
    <t>SO2601-91604</t>
  </si>
  <si>
    <t>M TEKU TALOM 696699239</t>
  </si>
  <si>
    <t>IN2601-100912</t>
  </si>
  <si>
    <t>15/01/2026 12:32</t>
  </si>
  <si>
    <t>SO2601-91603</t>
  </si>
  <si>
    <t>CU2407-00371 -  PROVENDERIE LES ELITS DE CENTRE</t>
  </si>
  <si>
    <t>IN2601-100911</t>
  </si>
  <si>
    <t>15/01/2026 13:47</t>
  </si>
  <si>
    <t>SO2601-91602</t>
  </si>
  <si>
    <t>IN2601-100910</t>
  </si>
  <si>
    <t>15/01/2026 12:24</t>
  </si>
  <si>
    <t>SO2601-91601</t>
  </si>
  <si>
    <t>IN2601-100909</t>
  </si>
  <si>
    <t>15/01/2026 12:25</t>
  </si>
  <si>
    <t>SO2601-91600</t>
  </si>
  <si>
    <t>IN2601-100908</t>
  </si>
  <si>
    <t>SO2601-91599</t>
  </si>
  <si>
    <t>IN2601-100907</t>
  </si>
  <si>
    <t>15/01/2026 14:05</t>
  </si>
  <si>
    <t>SO2601-91598</t>
  </si>
  <si>
    <t>IN2601-100906</t>
  </si>
  <si>
    <t>15/01/2026 14:09</t>
  </si>
  <si>
    <t>SO2601-91596</t>
  </si>
  <si>
    <t>IN2601-100904</t>
  </si>
  <si>
    <t>15/01/2026 12:14</t>
  </si>
  <si>
    <t>SO2601-91595</t>
  </si>
  <si>
    <t>TEMBEG WYLVINE 687505957</t>
  </si>
  <si>
    <t>IN2601-100903</t>
  </si>
  <si>
    <t>SO2601-91594</t>
  </si>
  <si>
    <t>IN2601-100902</t>
  </si>
  <si>
    <t>SO2601-91593</t>
  </si>
  <si>
    <t>CU2409-01070 -  WAFIN JOUDOM GAELLE STEPHANIE (PROV WAFIN GAËLLE)</t>
  </si>
  <si>
    <t>IN2601-100901</t>
  </si>
  <si>
    <t>CU2409-01070 -  WAFIN JOUDOM GAELLE STEPHANIE</t>
  </si>
  <si>
    <t>PROV WAFIN GAËLLE</t>
  </si>
  <si>
    <t>15/01/2026 12:12</t>
  </si>
  <si>
    <t>SO2601-91592</t>
  </si>
  <si>
    <t>FOTSO BILLY 698781902</t>
  </si>
  <si>
    <t>IN2601-100900</t>
  </si>
  <si>
    <t>15/01/2026 12:26</t>
  </si>
  <si>
    <t>SO2601-91591</t>
  </si>
  <si>
    <t>IN2601-100899</t>
  </si>
  <si>
    <t>15/01/2026 12:06</t>
  </si>
  <si>
    <t>SO2601-91590</t>
  </si>
  <si>
    <t>IN2601-100898</t>
  </si>
  <si>
    <t>15/01/2026 12:04</t>
  </si>
  <si>
    <t>SO2601-91589</t>
  </si>
  <si>
    <t>KAMDEM GUY BERTRAND 680412818</t>
  </si>
  <si>
    <t>IN2601-100897</t>
  </si>
  <si>
    <t>15/01/2026 12:00</t>
  </si>
  <si>
    <t>SO2601-91588</t>
  </si>
  <si>
    <t>ETOA TSAL 697977505</t>
  </si>
  <si>
    <t>IN2601-100896</t>
  </si>
  <si>
    <t>15/01/2026 12:29</t>
  </si>
  <si>
    <t>SO2601-91587</t>
  </si>
  <si>
    <t>IN2601-100895</t>
  </si>
  <si>
    <t>15/01/2026 12:01</t>
  </si>
  <si>
    <t>SO2601-91586</t>
  </si>
  <si>
    <t>IN2601-100894</t>
  </si>
  <si>
    <t>15/01/2026 11:56</t>
  </si>
  <si>
    <t>SO2601-91585</t>
  </si>
  <si>
    <t>IN2601-100893</t>
  </si>
  <si>
    <t>SO2601-91584</t>
  </si>
  <si>
    <t>IN2601-100892</t>
  </si>
  <si>
    <t>15/01/2026 11:53</t>
  </si>
  <si>
    <t>SO2601-91583</t>
  </si>
  <si>
    <t>IN2601-100891</t>
  </si>
  <si>
    <t>SO2601-91582</t>
  </si>
  <si>
    <t>EKWE 677567086</t>
  </si>
  <si>
    <t>IN2601-100890</t>
  </si>
  <si>
    <t>15/01/2026 11:52</t>
  </si>
  <si>
    <t>SO2601-91581</t>
  </si>
  <si>
    <t>IN2601-100889</t>
  </si>
  <si>
    <t>15/01/2026 11:43</t>
  </si>
  <si>
    <t>SO2601-91580</t>
  </si>
  <si>
    <t>IN2601-100888</t>
  </si>
  <si>
    <t>15/01/2026 11:54</t>
  </si>
  <si>
    <t>SO2601-91579</t>
  </si>
  <si>
    <t>IN2601-100887</t>
  </si>
  <si>
    <t>SO2601-91578</t>
  </si>
  <si>
    <t>IN2601-100886</t>
  </si>
  <si>
    <t>15/01/2026 14:10</t>
  </si>
  <si>
    <t>SO2601-91577</t>
  </si>
  <si>
    <t>CU2407-00943 -  PROVENDERIE QUEEN FEET</t>
  </si>
  <si>
    <t>IN2601-100885</t>
  </si>
  <si>
    <t>15/01/2026 12:07</t>
  </si>
  <si>
    <t>SO2601-91576</t>
  </si>
  <si>
    <t>IN2601-100884</t>
  </si>
  <si>
    <t>15/01/2026 11:41</t>
  </si>
  <si>
    <t>SO2601-91575</t>
  </si>
  <si>
    <t>BARA 655757253</t>
  </si>
  <si>
    <t>IN2601-100883</t>
  </si>
  <si>
    <t>SO2601-91574</t>
  </si>
  <si>
    <t>IN2601-100882</t>
  </si>
  <si>
    <t>SO2601-91573</t>
  </si>
  <si>
    <t>DJIMELE</t>
  </si>
  <si>
    <t>IN2601-100881</t>
  </si>
  <si>
    <t>15/01/2026 11:38</t>
  </si>
  <si>
    <t>SO2601-91572</t>
  </si>
  <si>
    <t>IN2601-100880</t>
  </si>
  <si>
    <t>15/01/2026 11:35</t>
  </si>
  <si>
    <t>SO2601-91571</t>
  </si>
  <si>
    <t>NENBO 675457617</t>
  </si>
  <si>
    <t>IN2601-100879</t>
  </si>
  <si>
    <t>15/01/2026 14:11</t>
  </si>
  <si>
    <t>SO2601-91570</t>
  </si>
  <si>
    <t>IN2601-100878</t>
  </si>
  <si>
    <t>15/01/2026 11:34</t>
  </si>
  <si>
    <t>SO2601-91569</t>
  </si>
  <si>
    <t>IN2601-100877</t>
  </si>
  <si>
    <t>15/01/2026 11:33</t>
  </si>
  <si>
    <t>SO2601-91568</t>
  </si>
  <si>
    <t>IN2601-100876</t>
  </si>
  <si>
    <t>15/01/2026 11:29</t>
  </si>
  <si>
    <t>SO2601-91567</t>
  </si>
  <si>
    <t>IN2601-100875</t>
  </si>
  <si>
    <t>15/01/2026 11:28</t>
  </si>
  <si>
    <t>SO2601-91566</t>
  </si>
  <si>
    <t>IN2601-100874</t>
  </si>
  <si>
    <t>15/01/2026 11:26</t>
  </si>
  <si>
    <t>SO2601-91565</t>
  </si>
  <si>
    <t>DONGMO 67400562</t>
  </si>
  <si>
    <t>IN2601-100873</t>
  </si>
  <si>
    <t>15/01/2026 11:25</t>
  </si>
  <si>
    <t>SO2601-91564</t>
  </si>
  <si>
    <t>IN2601-100872</t>
  </si>
  <si>
    <t>SO2601-91563</t>
  </si>
  <si>
    <t>SHU 675598271</t>
  </si>
  <si>
    <t>IN2601-100871</t>
  </si>
  <si>
    <t>15/01/2026 11:21</t>
  </si>
  <si>
    <t>SO2601-91562</t>
  </si>
  <si>
    <t>IN2601-100870</t>
  </si>
  <si>
    <t>15/01/2026 11:23</t>
  </si>
  <si>
    <t>SO2601-91561</t>
  </si>
  <si>
    <t>IN2601-100869</t>
  </si>
  <si>
    <t>15/01/2026 11:19</t>
  </si>
  <si>
    <t>SO2601-91560</t>
  </si>
  <si>
    <t>IN2601-100868</t>
  </si>
  <si>
    <t>15/01/2026 16:09</t>
  </si>
  <si>
    <t>SO2601-91559</t>
  </si>
  <si>
    <t>IN2601-100867</t>
  </si>
  <si>
    <t>SO2601-91558</t>
  </si>
  <si>
    <t>IN2601-100866</t>
  </si>
  <si>
    <t>15/01/2026 11:22</t>
  </si>
  <si>
    <t>SO2601-91557</t>
  </si>
  <si>
    <t>IN2601-100865</t>
  </si>
  <si>
    <t>15/01/2026 11:57</t>
  </si>
  <si>
    <t>SO2601-91556</t>
  </si>
  <si>
    <t>IN2601-100864</t>
  </si>
  <si>
    <t>15/01/2026 11:16</t>
  </si>
  <si>
    <t>SO2601-91555</t>
  </si>
  <si>
    <t>IN2601-100863</t>
  </si>
  <si>
    <t>15/01/2026 11:17</t>
  </si>
  <si>
    <t>SO2601-91554</t>
  </si>
  <si>
    <t>IN2601-100862</t>
  </si>
  <si>
    <t>15/01/2026 10:59</t>
  </si>
  <si>
    <t>SO2601-91553</t>
  </si>
  <si>
    <t>AISSATOU EPSE ABDOULAYE 699608939</t>
  </si>
  <si>
    <t>IN2601-100861</t>
  </si>
  <si>
    <t>15/01/2026 10:55</t>
  </si>
  <si>
    <t>SO2601-91552</t>
  </si>
  <si>
    <t>IN2601-100860</t>
  </si>
  <si>
    <t>15/01/2026 11:13</t>
  </si>
  <si>
    <t>SO2601-91551</t>
  </si>
  <si>
    <t>IN2601-100859</t>
  </si>
  <si>
    <t>SO2601-91550</t>
  </si>
  <si>
    <t>IN2601-100858</t>
  </si>
  <si>
    <t>15/01/2026 16:06</t>
  </si>
  <si>
    <t>SO2601-91549</t>
  </si>
  <si>
    <t>TSOPGNING STEPHANIE 697222133</t>
  </si>
  <si>
    <t>IN2601-100857</t>
  </si>
  <si>
    <t>15/01/2026 10:42</t>
  </si>
  <si>
    <t>SO2601-91548</t>
  </si>
  <si>
    <t>IN2601-100856</t>
  </si>
  <si>
    <t>15/01/2026 10:30</t>
  </si>
  <si>
    <t>SO2601-91547</t>
  </si>
  <si>
    <t>IN2601-100855</t>
  </si>
  <si>
    <t>15/01/2026 10:29</t>
  </si>
  <si>
    <t>SO2601-91546</t>
  </si>
  <si>
    <t>DIPLOMAT FARM 673668844</t>
  </si>
  <si>
    <t>IN2601-100854</t>
  </si>
  <si>
    <t>SO2601-91544</t>
  </si>
  <si>
    <t>DJIAZET ALIPHE 698443166</t>
  </si>
  <si>
    <t>IN2601-100852</t>
  </si>
  <si>
    <t>15/01/2026 10:27</t>
  </si>
  <si>
    <t>SO2601-91543</t>
  </si>
  <si>
    <t>IN2601-100851</t>
  </si>
  <si>
    <t>15/01/2026 10:25</t>
  </si>
  <si>
    <t>SO2601-91542</t>
  </si>
  <si>
    <t>ONANA MVOGO 677840749</t>
  </si>
  <si>
    <t>IN2601-100850</t>
  </si>
  <si>
    <t>15/01/2026 10:22</t>
  </si>
  <si>
    <t>SO2601-91541</t>
  </si>
  <si>
    <t>rakwa</t>
  </si>
  <si>
    <t>IN2601-100849</t>
  </si>
  <si>
    <t>15/01/2026 10:08</t>
  </si>
  <si>
    <t>SO2601-91540</t>
  </si>
  <si>
    <t>ENAMA ONDOUA 697590582</t>
  </si>
  <si>
    <t>IN2601-100848</t>
  </si>
  <si>
    <t>15/01/2026 10:20</t>
  </si>
  <si>
    <t>SO2601-91539</t>
  </si>
  <si>
    <t>cea</t>
  </si>
  <si>
    <t>IN2601-100847</t>
  </si>
  <si>
    <t>15/01/2026 10:14</t>
  </si>
  <si>
    <t>SO2601-91538</t>
  </si>
  <si>
    <t>IN2601-100846</t>
  </si>
  <si>
    <t>15/01/2026 09:58</t>
  </si>
  <si>
    <t>SO2601-91537</t>
  </si>
  <si>
    <t>IN2601-100845</t>
  </si>
  <si>
    <t>15/01/2026 09:42</t>
  </si>
  <si>
    <t>SO2601-91536</t>
  </si>
  <si>
    <t>IN2601-100844</t>
  </si>
  <si>
    <t>15/01/2026 09:40</t>
  </si>
  <si>
    <t>SO2601-91535</t>
  </si>
  <si>
    <t>CU2407-00652 -  GOULEDA</t>
  </si>
  <si>
    <t>IN2601-100843</t>
  </si>
  <si>
    <t>15/01/2026 09:36</t>
  </si>
  <si>
    <t>SO2601-91534</t>
  </si>
  <si>
    <t>IN2601-100842</t>
  </si>
  <si>
    <t>15/01/2026 09:35</t>
  </si>
  <si>
    <t>SO2601-91533</t>
  </si>
  <si>
    <t>IN2601-100841</t>
  </si>
  <si>
    <t>15/01/2026 09:25</t>
  </si>
  <si>
    <t>SO2601-91532</t>
  </si>
  <si>
    <t>IN2601-100840</t>
  </si>
  <si>
    <t>15/01/2026 09:20</t>
  </si>
  <si>
    <t>SO2601-91531</t>
  </si>
  <si>
    <t>IN2601-100839</t>
  </si>
  <si>
    <t>15/01/2026 09:02</t>
  </si>
  <si>
    <t>SO2601-91530</t>
  </si>
  <si>
    <t>IN2601-100838</t>
  </si>
  <si>
    <t>15/01/2026 09:00</t>
  </si>
  <si>
    <t>SO2601-91529</t>
  </si>
  <si>
    <t>IN2601-100837</t>
  </si>
  <si>
    <t>15/01/2026 08:54</t>
  </si>
  <si>
    <t>SO2601-91528</t>
  </si>
  <si>
    <t>IN2601-100836</t>
  </si>
  <si>
    <t>15/01/2026 08:50</t>
  </si>
  <si>
    <t>SO2601-91527</t>
  </si>
  <si>
    <t>IN2601-100835</t>
  </si>
  <si>
    <t>SO2601-91526</t>
  </si>
  <si>
    <t>IN2601-100834</t>
  </si>
  <si>
    <t>SO2601-91525</t>
  </si>
  <si>
    <t>IN2601-100833</t>
  </si>
  <si>
    <t>15/01/2026 08:24</t>
  </si>
  <si>
    <t>SO2601-91524</t>
  </si>
  <si>
    <t>CU2407-00914 -  VOUFO</t>
  </si>
  <si>
    <t>IN2601-100832</t>
  </si>
  <si>
    <t>15/01/2026 09:06</t>
  </si>
  <si>
    <t>SO2601-91523</t>
  </si>
  <si>
    <t>IN2601-100831</t>
  </si>
  <si>
    <t>15/01/2026 09:49</t>
  </si>
  <si>
    <t>SO2601-91522</t>
  </si>
  <si>
    <t>IN2601-100830</t>
  </si>
  <si>
    <t>15/01/2026 08:10</t>
  </si>
  <si>
    <t>SO2601-91521</t>
  </si>
  <si>
    <t>MEZANG 696274881</t>
  </si>
  <si>
    <t>IN2601-100829</t>
  </si>
  <si>
    <t>15/01/2026 07:57</t>
  </si>
  <si>
    <t>SO2601-91520</t>
  </si>
  <si>
    <t>14/01/2026</t>
  </si>
  <si>
    <t>07/01/2026 00:00</t>
  </si>
  <si>
    <t>IN2601-100828</t>
  </si>
  <si>
    <t>14/01/2026 17:52</t>
  </si>
  <si>
    <t>SO2601-91519</t>
  </si>
  <si>
    <t>14/01/2026 00:00</t>
  </si>
  <si>
    <t>IN2601-100827</t>
  </si>
  <si>
    <t>14/01/2026 17:48</t>
  </si>
  <si>
    <t>SO2601-91518</t>
  </si>
  <si>
    <t>MODERN FARMERS</t>
  </si>
  <si>
    <t>IN2601-100826</t>
  </si>
  <si>
    <t>15/01/2026 11:06</t>
  </si>
  <si>
    <t>SO2601-91516</t>
  </si>
  <si>
    <t>KUETCHE</t>
  </si>
  <si>
    <t>IN2601-100824</t>
  </si>
  <si>
    <t>14/01/2026 16:30</t>
  </si>
  <si>
    <t>SO2601-91515</t>
  </si>
  <si>
    <t>M. TIENCHEU694323204</t>
  </si>
  <si>
    <t>IN2601-100823</t>
  </si>
  <si>
    <t>14/01/2026 16:20</t>
  </si>
  <si>
    <t>SO2601-91514</t>
  </si>
  <si>
    <t>IN2601-100822</t>
  </si>
  <si>
    <t>14/01/2026 16:21</t>
  </si>
  <si>
    <t>SO2601-91513</t>
  </si>
  <si>
    <t>CU2407-00944 -  PROVENDERIE le progrès</t>
  </si>
  <si>
    <t>IN2601-100821</t>
  </si>
  <si>
    <t>14/01/2026 16:22</t>
  </si>
  <si>
    <t>SO2601-91504</t>
  </si>
  <si>
    <t>IN2601-100820</t>
  </si>
  <si>
    <t>SO2601-91512</t>
  </si>
  <si>
    <t>IN2601-100819</t>
  </si>
  <si>
    <t>14/01/2026 16:24</t>
  </si>
  <si>
    <t>SO2601-91511</t>
  </si>
  <si>
    <t>IN2601-100818</t>
  </si>
  <si>
    <t>SO2601-91510</t>
  </si>
  <si>
    <t>CU2508-13598 -  TEYOMNOU TIMEU JEAN PROSPER</t>
  </si>
  <si>
    <t>IN2601-100817</t>
  </si>
  <si>
    <t>14/01/2026 16:25</t>
  </si>
  <si>
    <t>SO2601-91509</t>
  </si>
  <si>
    <t>IN2601-100816</t>
  </si>
  <si>
    <t>14/01/2026 16:23</t>
  </si>
  <si>
    <t>SO2601-91508</t>
  </si>
  <si>
    <t>IN2601-100815</t>
  </si>
  <si>
    <t>SO2601-91507</t>
  </si>
  <si>
    <t>IN2601-100814</t>
  </si>
  <si>
    <t>14/01/2026 16:11</t>
  </si>
  <si>
    <t>SO2601-91506</t>
  </si>
  <si>
    <t>IN2601-100813</t>
  </si>
  <si>
    <t>SO2601-91505</t>
  </si>
  <si>
    <t>mande</t>
  </si>
  <si>
    <t>IN2601-100812</t>
  </si>
  <si>
    <t>14/01/2026 16:08</t>
  </si>
  <si>
    <t>SO2601-91503</t>
  </si>
  <si>
    <t>IN2601-100810</t>
  </si>
  <si>
    <t>14/01/2026 16:16</t>
  </si>
  <si>
    <t>SO2601-91502</t>
  </si>
  <si>
    <t>TASSE</t>
  </si>
  <si>
    <t>IN2601-100809</t>
  </si>
  <si>
    <t>14/01/2026 15:58</t>
  </si>
  <si>
    <t>SO2601-91501</t>
  </si>
  <si>
    <t>IN2601-100808</t>
  </si>
  <si>
    <t>14/01/2026 16:04</t>
  </si>
  <si>
    <t>SO2601-91500</t>
  </si>
  <si>
    <t>IN2601-100807</t>
  </si>
  <si>
    <t>14/01/2026 16:10</t>
  </si>
  <si>
    <t>SO2601-91499</t>
  </si>
  <si>
    <t>IN2601-100806</t>
  </si>
  <si>
    <t>14/01/2026 15:55</t>
  </si>
  <si>
    <t>SO2601-91498</t>
  </si>
  <si>
    <t>IN2601-100805</t>
  </si>
  <si>
    <t>14/01/2026 16:06</t>
  </si>
  <si>
    <t>SO2601-91497</t>
  </si>
  <si>
    <t>CU2409-01107 -  nde tambah Luc Francis</t>
  </si>
  <si>
    <t>IN2601-100804</t>
  </si>
  <si>
    <t>14/01/2026 15:51</t>
  </si>
  <si>
    <t>SO2601-91496</t>
  </si>
  <si>
    <t>COMPTA ELIAS</t>
  </si>
  <si>
    <t>IN2601-100803</t>
  </si>
  <si>
    <t>14/01/2026 16:01</t>
  </si>
  <si>
    <t>SO2601-91495</t>
  </si>
  <si>
    <t>IN2601-100802</t>
  </si>
  <si>
    <t>14/01/2026 17:46</t>
  </si>
  <si>
    <t>SO2601-91494</t>
  </si>
  <si>
    <t>IN2601-100801</t>
  </si>
  <si>
    <t>SO2601-91493</t>
  </si>
  <si>
    <t>IN2601-100800</t>
  </si>
  <si>
    <t>14/01/2026 15:47</t>
  </si>
  <si>
    <t>SO2601-91492</t>
  </si>
  <si>
    <t>IN2601-100799</t>
  </si>
  <si>
    <t>14/01/2026 16:00</t>
  </si>
  <si>
    <t>SO2601-91491</t>
  </si>
  <si>
    <t>IN2601-100798</t>
  </si>
  <si>
    <t>14/01/2026 15:45</t>
  </si>
  <si>
    <t>SO2601-91490</t>
  </si>
  <si>
    <t>IN2601-100797</t>
  </si>
  <si>
    <t>14/01/2026 15:43</t>
  </si>
  <si>
    <t>SO2601-91489</t>
  </si>
  <si>
    <t>IN2601-100796</t>
  </si>
  <si>
    <t>14/01/2026 15:57</t>
  </si>
  <si>
    <t>SO2601-90597</t>
  </si>
  <si>
    <t>Mme MANGAN</t>
  </si>
  <si>
    <t>IN2601-100795</t>
  </si>
  <si>
    <t>14/01/2026 15:38</t>
  </si>
  <si>
    <t>SO2601-91487</t>
  </si>
  <si>
    <t>IN2601-100794</t>
  </si>
  <si>
    <t>14/01/2026 15:31</t>
  </si>
  <si>
    <t>SO2601-91486</t>
  </si>
  <si>
    <t>CHOUAMO ANDRE 693099118</t>
  </si>
  <si>
    <t>IN2601-100793</t>
  </si>
  <si>
    <t>14/01/2026 15:29</t>
  </si>
  <si>
    <t>SO2601-91485</t>
  </si>
  <si>
    <t>IN2601-100792</t>
  </si>
  <si>
    <t>14/01/2026 15:36</t>
  </si>
  <si>
    <t>SO2601-91484</t>
  </si>
  <si>
    <t>IN2601-100791</t>
  </si>
  <si>
    <t>14/01/2026 15:35</t>
  </si>
  <si>
    <t>SO2601-91483</t>
  </si>
  <si>
    <t>IN2601-100790</t>
  </si>
  <si>
    <t>14/01/2026 15:24</t>
  </si>
  <si>
    <t>SO2601-91482</t>
  </si>
  <si>
    <t>BEKONO BENOIT</t>
  </si>
  <si>
    <t>IN2601-100789</t>
  </si>
  <si>
    <t>14/01/2026 15:30</t>
  </si>
  <si>
    <t>SO2601-91481</t>
  </si>
  <si>
    <t>IN2601-100788</t>
  </si>
  <si>
    <t>14/01/2026 15:27</t>
  </si>
  <si>
    <t>SO2601-91480</t>
  </si>
  <si>
    <t>IN2601-100787</t>
  </si>
  <si>
    <t>14/01/2026 15:26</t>
  </si>
  <si>
    <t>SO2601-91479</t>
  </si>
  <si>
    <t>IN2601-100786</t>
  </si>
  <si>
    <t>SO2601-91478</t>
  </si>
  <si>
    <t>AWOUDOU</t>
  </si>
  <si>
    <t>IN2601-100785</t>
  </si>
  <si>
    <t>14/01/2026 15:23</t>
  </si>
  <si>
    <t>SO2601-91477</t>
  </si>
  <si>
    <t>IN2601-100784</t>
  </si>
  <si>
    <t>SO2601-91476</t>
  </si>
  <si>
    <t>IN2601-100783</t>
  </si>
  <si>
    <t>SO2601-91475</t>
  </si>
  <si>
    <t>IN2601-100782</t>
  </si>
  <si>
    <t>14/01/2026 15:13</t>
  </si>
  <si>
    <t>SO2601-91474</t>
  </si>
  <si>
    <t>CU2511-14181 -  PROVENDERIE VICTOR (BOGNING TSOPGNI epse YEMELE CHOUNNA HENRIETTE)</t>
  </si>
  <si>
    <t>IN2601-100781</t>
  </si>
  <si>
    <t>CU2511-14181 -  PROVENDERIE VICTOR</t>
  </si>
  <si>
    <t>BOGNING TSOPGNI epse YEMELE CHOUNNA HENRIETTE</t>
  </si>
  <si>
    <t>SO2601-91473</t>
  </si>
  <si>
    <t>IN2601-100780</t>
  </si>
  <si>
    <t>14/01/2026 15:11</t>
  </si>
  <si>
    <t>SO2601-91472</t>
  </si>
  <si>
    <t>tchapda</t>
  </si>
  <si>
    <t>IN2601-100779</t>
  </si>
  <si>
    <t>14/01/2026 15:06</t>
  </si>
  <si>
    <t>SO2601-91471</t>
  </si>
  <si>
    <t>SAMUEL 69181072</t>
  </si>
  <si>
    <t>IN2601-100778</t>
  </si>
  <si>
    <t>14/01/2026 14:54</t>
  </si>
  <si>
    <t>SO2601-91470</t>
  </si>
  <si>
    <t>IN2601-100777</t>
  </si>
  <si>
    <t>SO2601-91469</t>
  </si>
  <si>
    <t>BERTRAN</t>
  </si>
  <si>
    <t>IN2601-100776</t>
  </si>
  <si>
    <t>14/01/2026 16:02</t>
  </si>
  <si>
    <t>SO2601-91468</t>
  </si>
  <si>
    <t>IN2601-100775</t>
  </si>
  <si>
    <t>14/01/2026 14:45</t>
  </si>
  <si>
    <t>SO2601-91467</t>
  </si>
  <si>
    <t>IN2601-100774</t>
  </si>
  <si>
    <t>14/01/2026 14:48</t>
  </si>
  <si>
    <t>SO2601-91466</t>
  </si>
  <si>
    <t>IN2601-100773</t>
  </si>
  <si>
    <t>14/01/2026 14:37</t>
  </si>
  <si>
    <t>SO2601-91465</t>
  </si>
  <si>
    <t>IN2601-100772</t>
  </si>
  <si>
    <t>14/01/2026 16:05</t>
  </si>
  <si>
    <t>SO2601-91464</t>
  </si>
  <si>
    <t>KANDI MICHEL 655960988</t>
  </si>
  <si>
    <t>IN2601-100771</t>
  </si>
  <si>
    <t>SO2601-91463</t>
  </si>
  <si>
    <t>IN2601-100770</t>
  </si>
  <si>
    <t>14/01/2026 14:29</t>
  </si>
  <si>
    <t>SO2601-91462</t>
  </si>
  <si>
    <t>IN2601-100769</t>
  </si>
  <si>
    <t>SO2601-91461</t>
  </si>
  <si>
    <t>ERNEST NDIFFO 683595414</t>
  </si>
  <si>
    <t>IN2601-100768</t>
  </si>
  <si>
    <t>14/01/2026 14:34</t>
  </si>
  <si>
    <t>SO2601-91460</t>
  </si>
  <si>
    <t>IN2601-100767</t>
  </si>
  <si>
    <t>SO2601-91459</t>
  </si>
  <si>
    <t>CU2407-00201 -  YFOU JASINO PEGUY</t>
  </si>
  <si>
    <t>IN2601-100766</t>
  </si>
  <si>
    <t>14/01/2026 14:23</t>
  </si>
  <si>
    <t>SO2601-91458</t>
  </si>
  <si>
    <t>IN2601-100765</t>
  </si>
  <si>
    <t>14/01/2026 14:19</t>
  </si>
  <si>
    <t>SO2601-91457</t>
  </si>
  <si>
    <t>MAFOPA VALERIE 690182872</t>
  </si>
  <si>
    <t>IN2601-100764</t>
  </si>
  <si>
    <t>SO2601-91456</t>
  </si>
  <si>
    <t>IN2601-100763</t>
  </si>
  <si>
    <t>14/01/2026 14:18</t>
  </si>
  <si>
    <t>SO2601-91455</t>
  </si>
  <si>
    <t>TIBUI 672004525</t>
  </si>
  <si>
    <t>IN2601-100762</t>
  </si>
  <si>
    <t>14/01/2026 16:07</t>
  </si>
  <si>
    <t>SO2601-91454</t>
  </si>
  <si>
    <t>IN2601-100761</t>
  </si>
  <si>
    <t>14/01/2026 14:15</t>
  </si>
  <si>
    <t>SO2601-91453</t>
  </si>
  <si>
    <t>TATUEBU (ZDCL00116)</t>
  </si>
  <si>
    <t>IN2601-100760</t>
  </si>
  <si>
    <t>TATUEBU</t>
  </si>
  <si>
    <t>ZDCL00116</t>
  </si>
  <si>
    <t>14/01/2026 14:13</t>
  </si>
  <si>
    <t>SO2601-91452</t>
  </si>
  <si>
    <t>IN2601-100759</t>
  </si>
  <si>
    <t>14/01/2026 14:12</t>
  </si>
  <si>
    <t>SO2601-91451</t>
  </si>
  <si>
    <t>IN2601-100758</t>
  </si>
  <si>
    <t>SO2601-91450</t>
  </si>
  <si>
    <t>IN2601-100757</t>
  </si>
  <si>
    <t>14/01/2026 16:09</t>
  </si>
  <si>
    <t>SO2601-91449</t>
  </si>
  <si>
    <t>DAVID KANKEU 651542769</t>
  </si>
  <si>
    <t>IN2601-100756</t>
  </si>
  <si>
    <t>14/01/2026 14:11</t>
  </si>
  <si>
    <t>SO2601-91448</t>
  </si>
  <si>
    <t>DJIPE</t>
  </si>
  <si>
    <t>IN2601-100755</t>
  </si>
  <si>
    <t>14/01/2026 14:06</t>
  </si>
  <si>
    <t>SO2601-91447</t>
  </si>
  <si>
    <t>IN2601-100754</t>
  </si>
  <si>
    <t>SO2601-91446</t>
  </si>
  <si>
    <t>GABY FARM'S (MULONG GABRIEL)</t>
  </si>
  <si>
    <t>IN2601-100753</t>
  </si>
  <si>
    <t>14/01/2026 14:14</t>
  </si>
  <si>
    <t>SO2601-91445</t>
  </si>
  <si>
    <t>IN2601-100752</t>
  </si>
  <si>
    <t>14/01/2026 14:08</t>
  </si>
  <si>
    <t>SO2601-91444</t>
  </si>
  <si>
    <t>IN2601-100751</t>
  </si>
  <si>
    <t>14/01/2026 13:58</t>
  </si>
  <si>
    <t>SO2601-91443</t>
  </si>
  <si>
    <t>IN2601-100750</t>
  </si>
  <si>
    <t>14/01/2026 13:53</t>
  </si>
  <si>
    <t>SO2601-91442</t>
  </si>
  <si>
    <t>IN2601-100749</t>
  </si>
  <si>
    <t>14/01/2026 13:55</t>
  </si>
  <si>
    <t>SO2601-91441</t>
  </si>
  <si>
    <t>IN2601-100748</t>
  </si>
  <si>
    <t>14/01/2026 13:50</t>
  </si>
  <si>
    <t>SO2601-91440</t>
  </si>
  <si>
    <t>IN2601-100747</t>
  </si>
  <si>
    <t>14/01/2026 13:44</t>
  </si>
  <si>
    <t>SO2601-91439</t>
  </si>
  <si>
    <t>IN2601-100746</t>
  </si>
  <si>
    <t>14/01/2026 13:46</t>
  </si>
  <si>
    <t>SO2601-91438</t>
  </si>
  <si>
    <t>nestor</t>
  </si>
  <si>
    <t>IN2601-100745</t>
  </si>
  <si>
    <t>SO2601-91437</t>
  </si>
  <si>
    <t>CU2601-14331 -  COOP CA NDEMRI DORGNOL</t>
  </si>
  <si>
    <t>IN2601-100744</t>
  </si>
  <si>
    <t>14/01/2026 14:01</t>
  </si>
  <si>
    <t>SO2601-91436</t>
  </si>
  <si>
    <t>IN2601-100743</t>
  </si>
  <si>
    <t>14/01/2026 13:33</t>
  </si>
  <si>
    <t>SO2601-91435</t>
  </si>
  <si>
    <t>TAMO</t>
  </si>
  <si>
    <t>IN2601-100742</t>
  </si>
  <si>
    <t>14/01/2026 13:32</t>
  </si>
  <si>
    <t>SO2601-91434</t>
  </si>
  <si>
    <t>IN2601-100741</t>
  </si>
  <si>
    <t>14/01/2026 13:26</t>
  </si>
  <si>
    <t>SO2601-91433</t>
  </si>
  <si>
    <t>IN2601-100740</t>
  </si>
  <si>
    <t>14/01/2026 13:23</t>
  </si>
  <si>
    <t>SO2601-91432</t>
  </si>
  <si>
    <t>IN2601-100739</t>
  </si>
  <si>
    <t>14/01/2026 13:11</t>
  </si>
  <si>
    <t>SO2601-91431</t>
  </si>
  <si>
    <t>IN2601-100738</t>
  </si>
  <si>
    <t>SO2601-91430</t>
  </si>
  <si>
    <t>IN2601-100737</t>
  </si>
  <si>
    <t>14/01/2026 13:04</t>
  </si>
  <si>
    <t>SO2601-91428</t>
  </si>
  <si>
    <t>KOUAM HERVE</t>
  </si>
  <si>
    <t>IN2601-100735</t>
  </si>
  <si>
    <t>14/01/2026 13:15</t>
  </si>
  <si>
    <t>SO2601-91427</t>
  </si>
  <si>
    <t>IN2601-100734</t>
  </si>
  <si>
    <t>14/01/2026 12:53</t>
  </si>
  <si>
    <t>SO2601-91426</t>
  </si>
  <si>
    <t>IN2601-100733</t>
  </si>
  <si>
    <t>SO2601-91425</t>
  </si>
  <si>
    <t>IN2601-100732</t>
  </si>
  <si>
    <t>SO2601-91424</t>
  </si>
  <si>
    <t>IN2601-100731</t>
  </si>
  <si>
    <t>14/01/2026 12:45</t>
  </si>
  <si>
    <t>SO2601-91423</t>
  </si>
  <si>
    <t>CU2407-01015 -  CADCAM</t>
  </si>
  <si>
    <t>IN2601-100730</t>
  </si>
  <si>
    <t>14/01/2026 12:36</t>
  </si>
  <si>
    <t>SO2601-91422</t>
  </si>
  <si>
    <t>IN2601-100729</t>
  </si>
  <si>
    <t>14/01/2026 12:38</t>
  </si>
  <si>
    <t>SO2601-91421</t>
  </si>
  <si>
    <t>IN2601-100728</t>
  </si>
  <si>
    <t>14/01/2026 12:51</t>
  </si>
  <si>
    <t>SO2601-91420</t>
  </si>
  <si>
    <t>IN2601-100727</t>
  </si>
  <si>
    <t>SO2601-91419</t>
  </si>
  <si>
    <t>IN2601-100726</t>
  </si>
  <si>
    <t>14/01/2026 12:42</t>
  </si>
  <si>
    <t>SO2601-91418</t>
  </si>
  <si>
    <t>IN2601-100725</t>
  </si>
  <si>
    <t>14/01/2026 12:50</t>
  </si>
  <si>
    <t>SO2601-91417</t>
  </si>
  <si>
    <t>kenne</t>
  </si>
  <si>
    <t>IN2601-100724</t>
  </si>
  <si>
    <t>14/01/2026 15:09</t>
  </si>
  <si>
    <t>SO2601-91416</t>
  </si>
  <si>
    <t>IN2601-100723</t>
  </si>
  <si>
    <t>14/01/2026 12:23</t>
  </si>
  <si>
    <t>SO2601-91415</t>
  </si>
  <si>
    <t>IN2601-100722</t>
  </si>
  <si>
    <t>14/01/2026 12:21</t>
  </si>
  <si>
    <t>SO2601-91414</t>
  </si>
  <si>
    <t>KAPTUE</t>
  </si>
  <si>
    <t>IN2601-100721</t>
  </si>
  <si>
    <t>14/01/2026 12:17</t>
  </si>
  <si>
    <t>SO2601-91413</t>
  </si>
  <si>
    <t>M OSCAR</t>
  </si>
  <si>
    <t>IN2601-100720</t>
  </si>
  <si>
    <t>14/01/2026 12:16</t>
  </si>
  <si>
    <t>SO2601-91412</t>
  </si>
  <si>
    <t>CHANTAL</t>
  </si>
  <si>
    <t>IN2601-100719</t>
  </si>
  <si>
    <t>14/01/2026 12:09</t>
  </si>
  <si>
    <t>SO2601-91411</t>
  </si>
  <si>
    <t>IN2601-100718</t>
  </si>
  <si>
    <t>14/01/2026 12:10</t>
  </si>
  <si>
    <t>SO2601-91410</t>
  </si>
  <si>
    <t>PERE SADAM</t>
  </si>
  <si>
    <t>IN2601-100717</t>
  </si>
  <si>
    <t>14/01/2026 12:08</t>
  </si>
  <si>
    <t>SO2601-91409</t>
  </si>
  <si>
    <t>IN2601-100716</t>
  </si>
  <si>
    <t>14/01/2026 12:05</t>
  </si>
  <si>
    <t>SO2601-91408</t>
  </si>
  <si>
    <t>CU2601-14309 -  DIVERS CLIENTS MARCHE B</t>
  </si>
  <si>
    <t>HANS NCHACHA NDIP</t>
  </si>
  <si>
    <t>IN2601-100715</t>
  </si>
  <si>
    <t>14/01/2026 12:07</t>
  </si>
  <si>
    <t>SO2601-91407</t>
  </si>
  <si>
    <t>IN2601-100714</t>
  </si>
  <si>
    <t>14/01/2026 12:01</t>
  </si>
  <si>
    <t>SO2601-91406</t>
  </si>
  <si>
    <t>ZIBERLIN 696001267</t>
  </si>
  <si>
    <t>IN2601-100713</t>
  </si>
  <si>
    <t>14/01/2026 11:59</t>
  </si>
  <si>
    <t>SO2601-91405</t>
  </si>
  <si>
    <t>CU2502-01221 -  PINYIN CLAN DEVELOPMENT COOPERATIVE SOCIETY ( picdecoscoopbod )</t>
  </si>
  <si>
    <t>IN2601-100712</t>
  </si>
  <si>
    <t>14/01/2026 12:14</t>
  </si>
  <si>
    <t>SO2601-91404</t>
  </si>
  <si>
    <t>CU2601-14295 -  COMPLEX NGASCHO</t>
  </si>
  <si>
    <t>IN2601-100711</t>
  </si>
  <si>
    <t>14/01/2026 12:34</t>
  </si>
  <si>
    <t>SO2601-91403</t>
  </si>
  <si>
    <t>IN2601-100710</t>
  </si>
  <si>
    <t>SO2601-91402</t>
  </si>
  <si>
    <t>IN2601-100709</t>
  </si>
  <si>
    <t>14/01/2026 12:04</t>
  </si>
  <si>
    <t>SO2601-91401</t>
  </si>
  <si>
    <t>IN2601-100708</t>
  </si>
  <si>
    <t>14/01/2026 11:52</t>
  </si>
  <si>
    <t>SO2601-91400</t>
  </si>
  <si>
    <t>MERLINE</t>
  </si>
  <si>
    <t>IN2601-100707</t>
  </si>
  <si>
    <t>14/01/2026 11:56</t>
  </si>
  <si>
    <t>SO2601-91399</t>
  </si>
  <si>
    <t>KUETE</t>
  </si>
  <si>
    <t>IN2601-100706</t>
  </si>
  <si>
    <t>14/01/2026 11:46</t>
  </si>
  <si>
    <t>SO2601-91398</t>
  </si>
  <si>
    <t>IN2601-100705</t>
  </si>
  <si>
    <t>14/01/2026 11:45</t>
  </si>
  <si>
    <t>SO2601-91397</t>
  </si>
  <si>
    <t>SOUMELONG</t>
  </si>
  <si>
    <t>IN2601-100704</t>
  </si>
  <si>
    <t>14/01/2026 11:48</t>
  </si>
  <si>
    <t>SO2601-91396</t>
  </si>
  <si>
    <t>IN2601-100703</t>
  </si>
  <si>
    <t>14/01/2026 11:43</t>
  </si>
  <si>
    <t>SO2601-91395</t>
  </si>
  <si>
    <t>IN2601-100702</t>
  </si>
  <si>
    <t>14/01/2026 11:58</t>
  </si>
  <si>
    <t>SO2601-91394</t>
  </si>
  <si>
    <t>IN2601-100701</t>
  </si>
  <si>
    <t>14/01/2026 11:41</t>
  </si>
  <si>
    <t>SO2601-91393</t>
  </si>
  <si>
    <t>M MFOCHIVE IBRAHIM</t>
  </si>
  <si>
    <t>IN2601-100700</t>
  </si>
  <si>
    <t>SO2601-91392</t>
  </si>
  <si>
    <t>ALAIN</t>
  </si>
  <si>
    <t>IN2601-100699</t>
  </si>
  <si>
    <t>14/01/2026 11:38</t>
  </si>
  <si>
    <t>SO2601-91391</t>
  </si>
  <si>
    <t>YONDJIO</t>
  </si>
  <si>
    <t>IN2601-100698</t>
  </si>
  <si>
    <t>14/01/2026 12:54</t>
  </si>
  <si>
    <t>SO2601-91390</t>
  </si>
  <si>
    <t>M DCHOUPE</t>
  </si>
  <si>
    <t>IN2601-100697</t>
  </si>
  <si>
    <t>14/01/2026 11:35</t>
  </si>
  <si>
    <t>SO2601-91389</t>
  </si>
  <si>
    <t>IN2601-100696</t>
  </si>
  <si>
    <t>14/01/2026 11:39</t>
  </si>
  <si>
    <t>SO2601-91388</t>
  </si>
  <si>
    <t>M.NOBOSSE GEROME 677639959</t>
  </si>
  <si>
    <t>IN2601-100695</t>
  </si>
  <si>
    <t>14/01/2026 11:29</t>
  </si>
  <si>
    <t>SO2601-91387</t>
  </si>
  <si>
    <t>KENNE HUBERT 699745780</t>
  </si>
  <si>
    <t>IN2601-100694</t>
  </si>
  <si>
    <t>14/01/2026 11:27</t>
  </si>
  <si>
    <t>SO2601-91386</t>
  </si>
  <si>
    <t>CU2407-00825 -  TAMO JEAN ROBERT</t>
  </si>
  <si>
    <t>IN2601-100693</t>
  </si>
  <si>
    <t>14/01/2026 11:28</t>
  </si>
  <si>
    <t>SO2601-91385</t>
  </si>
  <si>
    <t>IN2601-100692</t>
  </si>
  <si>
    <t>14/01/2026 11:26</t>
  </si>
  <si>
    <t>SO2601-91384</t>
  </si>
  <si>
    <t>NJI 671713353</t>
  </si>
  <si>
    <t>IN2601-100691</t>
  </si>
  <si>
    <t>14/01/2026 11:23</t>
  </si>
  <si>
    <t>SO2601-91383</t>
  </si>
  <si>
    <t>IN2601-100690</t>
  </si>
  <si>
    <t>14/01/2026 11:21</t>
  </si>
  <si>
    <t>SO2601-91382</t>
  </si>
  <si>
    <t>IN2601-100689</t>
  </si>
  <si>
    <t>14/01/2026 11:33</t>
  </si>
  <si>
    <t>SO2601-91381</t>
  </si>
  <si>
    <t>IN2601-100688</t>
  </si>
  <si>
    <t>14/01/2026 11:18</t>
  </si>
  <si>
    <t>SO2601-91380</t>
  </si>
  <si>
    <t>IN2601-100687</t>
  </si>
  <si>
    <t>14/01/2026 11:31</t>
  </si>
  <si>
    <t>SO2601-91379</t>
  </si>
  <si>
    <t>IN2601-100686</t>
  </si>
  <si>
    <t>14/01/2026 11:06</t>
  </si>
  <si>
    <t>SO2601-91378</t>
  </si>
  <si>
    <t>IN2601-100685</t>
  </si>
  <si>
    <t>14/01/2026 11:00</t>
  </si>
  <si>
    <t>SO2601-91377</t>
  </si>
  <si>
    <t>IN2601-100684</t>
  </si>
  <si>
    <t>14/01/2026 11:02</t>
  </si>
  <si>
    <t>SO2601-91376</t>
  </si>
  <si>
    <t>IN2601-100683</t>
  </si>
  <si>
    <t>14/01/2026 10:57</t>
  </si>
  <si>
    <t>SO2601-91375</t>
  </si>
  <si>
    <t>IN2601-100682</t>
  </si>
  <si>
    <t>SO2601-91374</t>
  </si>
  <si>
    <t>IN2601-100681</t>
  </si>
  <si>
    <t>14/01/2026 11:03</t>
  </si>
  <si>
    <t>SO2601-91373</t>
  </si>
  <si>
    <t>TATOU ELVIS 675330611</t>
  </si>
  <si>
    <t>IN2601-100680</t>
  </si>
  <si>
    <t>14/01/2026 10:53</t>
  </si>
  <si>
    <t>SO2601-91372</t>
  </si>
  <si>
    <t>SIMO JULES 699839215</t>
  </si>
  <si>
    <t>IN2601-100679</t>
  </si>
  <si>
    <t>SO2601-91371</t>
  </si>
  <si>
    <t>IN2601-100678</t>
  </si>
  <si>
    <t>14/01/2026 10:50</t>
  </si>
  <si>
    <t>SO2601-91370</t>
  </si>
  <si>
    <t>IN2601-100677</t>
  </si>
  <si>
    <t>14/01/2026 11:50</t>
  </si>
  <si>
    <t>SO2601-91369</t>
  </si>
  <si>
    <t>CU2407-00191 -  GIC EMERGENCE</t>
  </si>
  <si>
    <t>IN2601-100676</t>
  </si>
  <si>
    <t>14/01/2026 10:54</t>
  </si>
  <si>
    <t>SO2601-91368</t>
  </si>
  <si>
    <t>SOMBES 677062089</t>
  </si>
  <si>
    <t>IN2601-100675</t>
  </si>
  <si>
    <t>SO2601-91367</t>
  </si>
  <si>
    <t>TCHAMAGO JOSEPH PAULI</t>
  </si>
  <si>
    <t>IN2601-100674</t>
  </si>
  <si>
    <t>14/01/2026 10:39</t>
  </si>
  <si>
    <t>SO2601-91366</t>
  </si>
  <si>
    <t>IN2601-100673</t>
  </si>
  <si>
    <t>14/01/2026 10:40</t>
  </si>
  <si>
    <t>SO2601-91365</t>
  </si>
  <si>
    <t>IN2601-100672</t>
  </si>
  <si>
    <t>14/01/2026 10:31</t>
  </si>
  <si>
    <t>SO2601-91364</t>
  </si>
  <si>
    <t>ADJ OUMAROU 655806830</t>
  </si>
  <si>
    <t>IN2601-100671</t>
  </si>
  <si>
    <t>SO2601-91363</t>
  </si>
  <si>
    <t>IN2601-100670</t>
  </si>
  <si>
    <t>SO2601-91362</t>
  </si>
  <si>
    <t>IN2601-100669</t>
  </si>
  <si>
    <t>SO2601-91361</t>
  </si>
  <si>
    <t>IN2601-100668</t>
  </si>
  <si>
    <t>14/01/2026 10:21</t>
  </si>
  <si>
    <t>SO2601-91360</t>
  </si>
  <si>
    <t>IN2601-100667</t>
  </si>
  <si>
    <t>14/01/2026 10:19</t>
  </si>
  <si>
    <t>SO2601-91359</t>
  </si>
  <si>
    <t>MME DIFOUO 679568620</t>
  </si>
  <si>
    <t>IN2601-100666</t>
  </si>
  <si>
    <t>14/01/2026 10:17</t>
  </si>
  <si>
    <t>SO2601-91358</t>
  </si>
  <si>
    <t>IN2601-100665</t>
  </si>
  <si>
    <t>14/01/2026 10:29</t>
  </si>
  <si>
    <t>SO2601-91357</t>
  </si>
  <si>
    <t>IN2601-100664</t>
  </si>
  <si>
    <t>14/01/2026 10:20</t>
  </si>
  <si>
    <t>SO2601-91356</t>
  </si>
  <si>
    <t>CU2508-13784 -  NDOBO KUNTZ PLACIDE</t>
  </si>
  <si>
    <t>IN2601-100663</t>
  </si>
  <si>
    <t>SO2601-91355</t>
  </si>
  <si>
    <t>IN2601-100662</t>
  </si>
  <si>
    <t>SO2601-91354</t>
  </si>
  <si>
    <t>IN2601-100661</t>
  </si>
  <si>
    <t>14/01/2026 10:13</t>
  </si>
  <si>
    <t>SO2601-91353</t>
  </si>
  <si>
    <t>IN2601-100660</t>
  </si>
  <si>
    <t>14/01/2026 10:10</t>
  </si>
  <si>
    <t>SO2601-91352</t>
  </si>
  <si>
    <t>IN2601-100659</t>
  </si>
  <si>
    <t>14/01/2026 10:05</t>
  </si>
  <si>
    <t>SO2601-91351</t>
  </si>
  <si>
    <t>NOUMBISSI 699781689</t>
  </si>
  <si>
    <t>IN2601-100658</t>
  </si>
  <si>
    <t>14/01/2026 09:51</t>
  </si>
  <si>
    <t>SO2601-91350</t>
  </si>
  <si>
    <t>CU2502-01243 -  DJOUMA SANDRINE</t>
  </si>
  <si>
    <t>IN2601-100657</t>
  </si>
  <si>
    <t>SO2601-91349</t>
  </si>
  <si>
    <t>MOUNSSI</t>
  </si>
  <si>
    <t>IN2601-100656</t>
  </si>
  <si>
    <t>14/01/2026 09:50</t>
  </si>
  <si>
    <t>SO2601-91348</t>
  </si>
  <si>
    <t>IN2601-100655</t>
  </si>
  <si>
    <t>14/01/2026 09:48</t>
  </si>
  <si>
    <t>SO2601-91347</t>
  </si>
  <si>
    <t>IN2601-100654</t>
  </si>
  <si>
    <t>14/01/2026 09:43</t>
  </si>
  <si>
    <t>SO2601-91346</t>
  </si>
  <si>
    <t>CORART FARM 671395212</t>
  </si>
  <si>
    <t>IN2601-100653</t>
  </si>
  <si>
    <t>14/01/2026 09:40</t>
  </si>
  <si>
    <t>SO2601-91345</t>
  </si>
  <si>
    <t>TAKONDJOU 699542556</t>
  </si>
  <si>
    <t>IN2601-100652</t>
  </si>
  <si>
    <t>14/01/2026 09:42</t>
  </si>
  <si>
    <t>SO2601-91344</t>
  </si>
  <si>
    <t>IN2601-100651</t>
  </si>
  <si>
    <t>14/01/2026 09:35</t>
  </si>
  <si>
    <t>SO2601-91343</t>
  </si>
  <si>
    <t>IN2601-100650</t>
  </si>
  <si>
    <t>SO2601-91342</t>
  </si>
  <si>
    <t>IN2601-100649</t>
  </si>
  <si>
    <t>14/01/2026 09:33</t>
  </si>
  <si>
    <t>SO2601-91341</t>
  </si>
  <si>
    <t>IN2601-100648</t>
  </si>
  <si>
    <t>14/01/2026 09:39</t>
  </si>
  <si>
    <t>SO2601-91340</t>
  </si>
  <si>
    <t>TAGNE PATRICE / 696743650</t>
  </si>
  <si>
    <t>IN2601-100647</t>
  </si>
  <si>
    <t>14/01/2026 09:28</t>
  </si>
  <si>
    <t>SO2601-91339</t>
  </si>
  <si>
    <t>IN2601-100646</t>
  </si>
  <si>
    <t>14/01/2026 09:27</t>
  </si>
  <si>
    <t>SO2601-91338</t>
  </si>
  <si>
    <t>IN2601-100645</t>
  </si>
  <si>
    <t>14/01/2026 09:32</t>
  </si>
  <si>
    <t>SO2601-91337</t>
  </si>
  <si>
    <t>IN2601-100644</t>
  </si>
  <si>
    <t>14/01/2026 09:37</t>
  </si>
  <si>
    <t>SO2601-91336</t>
  </si>
  <si>
    <t>IN2601-100643</t>
  </si>
  <si>
    <t>14/01/2026 09:16</t>
  </si>
  <si>
    <t>SO2601-91335</t>
  </si>
  <si>
    <t>CU2407-00658 -  INGRID BANDJA</t>
  </si>
  <si>
    <t>IN2601-100642</t>
  </si>
  <si>
    <t>SO2601-91334</t>
  </si>
  <si>
    <t>BELLO / 696910538</t>
  </si>
  <si>
    <t>IN2601-100641</t>
  </si>
  <si>
    <t>14/01/2026 09:14</t>
  </si>
  <si>
    <t>SO2601-91333</t>
  </si>
  <si>
    <t>IN2601-100640</t>
  </si>
  <si>
    <t>14/01/2026 09:25</t>
  </si>
  <si>
    <t>SO2601-91332</t>
  </si>
  <si>
    <t>IN2601-100639</t>
  </si>
  <si>
    <t>14/01/2026 09:22</t>
  </si>
  <si>
    <t>SO2601-91331</t>
  </si>
  <si>
    <t>IN2601-100638</t>
  </si>
  <si>
    <t>14/01/2026 09:06</t>
  </si>
  <si>
    <t>SO2601-91330</t>
  </si>
  <si>
    <t>CU2408-01046 -  Jaff Romanus verkijika</t>
  </si>
  <si>
    <t>IN2601-100637</t>
  </si>
  <si>
    <t>14/01/2026 09:04</t>
  </si>
  <si>
    <t>SO2601-91329</t>
  </si>
  <si>
    <t>IN2601-100636</t>
  </si>
  <si>
    <t>14/01/2026 09:01</t>
  </si>
  <si>
    <t>SO2601-91328</t>
  </si>
  <si>
    <t>IN2601-100635</t>
  </si>
  <si>
    <t>14/01/2026 09:00</t>
  </si>
  <si>
    <t>SO2601-91327</t>
  </si>
  <si>
    <t>IN2601-100634</t>
  </si>
  <si>
    <t>14/01/2026 08:52</t>
  </si>
  <si>
    <t>SO2601-91326</t>
  </si>
  <si>
    <t>IN2601-100633</t>
  </si>
  <si>
    <t>14/01/2026 08:55</t>
  </si>
  <si>
    <t>SO2601-91325</t>
  </si>
  <si>
    <t>IN2601-100632</t>
  </si>
  <si>
    <t>14/01/2026 08:53</t>
  </si>
  <si>
    <t>SO2601-91324</t>
  </si>
  <si>
    <t>IN2601-100631</t>
  </si>
  <si>
    <t>14/01/2026 08:48</t>
  </si>
  <si>
    <t>SO2601-91323</t>
  </si>
  <si>
    <t>IN2601-100630</t>
  </si>
  <si>
    <t>14/01/2026 08:46</t>
  </si>
  <si>
    <t>SO2601-91322</t>
  </si>
  <si>
    <t>IN2601-100629</t>
  </si>
  <si>
    <t>14/01/2026 09:18</t>
  </si>
  <si>
    <t>SO2601-91321</t>
  </si>
  <si>
    <t>IN2601-100628</t>
  </si>
  <si>
    <t>14/01/2026 08:39</t>
  </si>
  <si>
    <t>SO2601-91320</t>
  </si>
  <si>
    <t>IN2601-100627</t>
  </si>
  <si>
    <t>14/01/2026 08:41</t>
  </si>
  <si>
    <t>SO2601-91319</t>
  </si>
  <si>
    <t>IN2601-100626</t>
  </si>
  <si>
    <t>14/01/2026 08:31</t>
  </si>
  <si>
    <t>SO2601-91318</t>
  </si>
  <si>
    <t>IN2601-100625</t>
  </si>
  <si>
    <t>14/01/2026 08:36</t>
  </si>
  <si>
    <t>SO2601-91317</t>
  </si>
  <si>
    <t>IN2601-100624</t>
  </si>
  <si>
    <t>14/01/2026 08:22</t>
  </si>
  <si>
    <t>SO2601-91316</t>
  </si>
  <si>
    <t>CU2407-00292 -  MANFOUOKOUO JEAN CALVIN</t>
  </si>
  <si>
    <t>IN2601-100623</t>
  </si>
  <si>
    <t>SO2601-91315</t>
  </si>
  <si>
    <t>CU2407-00858 -  VIMA</t>
  </si>
  <si>
    <t>IN2601-100622</t>
  </si>
  <si>
    <t>14/01/2026 08:29</t>
  </si>
  <si>
    <t>SO2601-91314</t>
  </si>
  <si>
    <t>IN2601-100621</t>
  </si>
  <si>
    <t>14/01/2026 09:05</t>
  </si>
  <si>
    <t>SO2601-91313</t>
  </si>
  <si>
    <t>IN2601-100620</t>
  </si>
  <si>
    <t>14/01/2026 09:07</t>
  </si>
  <si>
    <t>SO2601-91312</t>
  </si>
  <si>
    <t>IN2601-100619</t>
  </si>
  <si>
    <t>14/01/2026 08:13</t>
  </si>
  <si>
    <t>SO2601-91311</t>
  </si>
  <si>
    <t>IN2601-100618</t>
  </si>
  <si>
    <t>14/01/2026 08:15</t>
  </si>
  <si>
    <t>SO2601-91310</t>
  </si>
  <si>
    <t>EDEN CARE</t>
  </si>
  <si>
    <t>IN2601-100617</t>
  </si>
  <si>
    <t>14/01/2026 08:04</t>
  </si>
  <si>
    <t>SO2601-91309</t>
  </si>
  <si>
    <t>CU2407-00798 -  MOUNCHILI IVAN</t>
  </si>
  <si>
    <t>IN2601-100616</t>
  </si>
  <si>
    <t>14/01/2026 08:16</t>
  </si>
  <si>
    <t>SO2601-91308</t>
  </si>
  <si>
    <t>CU2407-00411 -  ATECHI SHADRACK CLOVIS</t>
  </si>
  <si>
    <t>13/01/2026</t>
  </si>
  <si>
    <t>13/01/2026 00:00</t>
  </si>
  <si>
    <t>IN2601-100615</t>
  </si>
  <si>
    <t>13/01/2026 17:51</t>
  </si>
  <si>
    <t>SO2601-91307</t>
  </si>
  <si>
    <t>IN2601-100614</t>
  </si>
  <si>
    <t>SO2601-91306</t>
  </si>
  <si>
    <t>IN2601-100613</t>
  </si>
  <si>
    <t>13/01/2026 17:43</t>
  </si>
  <si>
    <t>SO2601-91305</t>
  </si>
  <si>
    <t>IN2601-100612</t>
  </si>
  <si>
    <t>13/01/2026 16:56</t>
  </si>
  <si>
    <t>SO2601-91304</t>
  </si>
  <si>
    <t>IN2601-100611</t>
  </si>
  <si>
    <t>13/01/2026 16:52</t>
  </si>
  <si>
    <t>SO2601-91303</t>
  </si>
  <si>
    <t>CU2407-00429 -  APINJOH GILBERT</t>
  </si>
  <si>
    <t>IN2601-100610</t>
  </si>
  <si>
    <t>13/01/2026 16:35</t>
  </si>
  <si>
    <t>SO2601-91302</t>
  </si>
  <si>
    <t>TAMGWO 697099586</t>
  </si>
  <si>
    <t>IN2601-100609</t>
  </si>
  <si>
    <t>13/01/2026 16:24</t>
  </si>
  <si>
    <t>SO2601-91301</t>
  </si>
  <si>
    <t>IN2601-100608</t>
  </si>
  <si>
    <t>SO2601-91300</t>
  </si>
  <si>
    <t>IN2601-100607</t>
  </si>
  <si>
    <t>13/01/2026 16:29</t>
  </si>
  <si>
    <t>SO2601-91299</t>
  </si>
  <si>
    <t>IN2601-100606</t>
  </si>
  <si>
    <t>13/01/2026 16:18</t>
  </si>
  <si>
    <t>SO2601-91298</t>
  </si>
  <si>
    <t>IN2601-100605</t>
  </si>
  <si>
    <t>13/01/2026 16:11</t>
  </si>
  <si>
    <t>SO2601-91297</t>
  </si>
  <si>
    <t>IN2601-100604</t>
  </si>
  <si>
    <t>SO2601-91296</t>
  </si>
  <si>
    <t>IN2601-100603</t>
  </si>
  <si>
    <t>13/01/2026 16:12</t>
  </si>
  <si>
    <t>SO2601-91295</t>
  </si>
  <si>
    <t>IN2601-100602</t>
  </si>
  <si>
    <t>13/01/2026 16:26</t>
  </si>
  <si>
    <t>SO2601-91294</t>
  </si>
  <si>
    <t>IN2601-100601</t>
  </si>
  <si>
    <t>13/01/2026 16:02</t>
  </si>
  <si>
    <t>SO2601-91293</t>
  </si>
  <si>
    <t>SOH KENGNE SERGE ALAIN (CBF013)</t>
  </si>
  <si>
    <t>IN2601-100600</t>
  </si>
  <si>
    <t>SOH KENGNE SERGE ALAIN</t>
  </si>
  <si>
    <t>CBF013</t>
  </si>
  <si>
    <t>13/01/2026 16:09</t>
  </si>
  <si>
    <t>SO2601-91292</t>
  </si>
  <si>
    <t>IN2601-100599</t>
  </si>
  <si>
    <t>SO2601-91291</t>
  </si>
  <si>
    <t>awamba fabrice</t>
  </si>
  <si>
    <t>IN2601-100598</t>
  </si>
  <si>
    <t>13/01/2026 16:15</t>
  </si>
  <si>
    <t>SO2601-91290</t>
  </si>
  <si>
    <t>IN2601-100597</t>
  </si>
  <si>
    <t>13/01/2026 15:56</t>
  </si>
  <si>
    <t>SO2601-91289</t>
  </si>
  <si>
    <t>IN2601-100596</t>
  </si>
  <si>
    <t>SO2601-91288</t>
  </si>
  <si>
    <t>IN2601-100595</t>
  </si>
  <si>
    <t>13/01/2026 15:53</t>
  </si>
  <si>
    <t>SO2601-91286</t>
  </si>
  <si>
    <t>IN2601-100593</t>
  </si>
  <si>
    <t>13/01/2026 15:49</t>
  </si>
  <si>
    <t>SO2601-91285</t>
  </si>
  <si>
    <t>IN2601-100592</t>
  </si>
  <si>
    <t>13/01/2026 15:50</t>
  </si>
  <si>
    <t>SO2601-91284</t>
  </si>
  <si>
    <t>IN2601-100591</t>
  </si>
  <si>
    <t>13/01/2026 15:52</t>
  </si>
  <si>
    <t>SO2601-91283</t>
  </si>
  <si>
    <t>IN2601-100590</t>
  </si>
  <si>
    <t>13/01/2026 15:47</t>
  </si>
  <si>
    <t>SO2601-91282</t>
  </si>
  <si>
    <t>NZALI NGOUNOU</t>
  </si>
  <si>
    <t>IN2601-100589</t>
  </si>
  <si>
    <t>13/01/2026 15:46</t>
  </si>
  <si>
    <t>SO2601-91281</t>
  </si>
  <si>
    <t>PROV LA REFERENCE 675015141</t>
  </si>
  <si>
    <t>IN2601-100588</t>
  </si>
  <si>
    <t>13/01/2026 15:44</t>
  </si>
  <si>
    <t>SO2601-91280</t>
  </si>
  <si>
    <t>TSAGUE ETIENNE 676543666</t>
  </si>
  <si>
    <t>IN2601-100587</t>
  </si>
  <si>
    <t>13/01/2026 15:45</t>
  </si>
  <si>
    <t>SO2601-91279</t>
  </si>
  <si>
    <t>IN2601-100586</t>
  </si>
  <si>
    <t>SO2601-91278</t>
  </si>
  <si>
    <t>IN2601-100585</t>
  </si>
  <si>
    <t>13/01/2026 15:39</t>
  </si>
  <si>
    <t>SO2601-91277</t>
  </si>
  <si>
    <t>IN2601-100584</t>
  </si>
  <si>
    <t>13/01/2026 16:32</t>
  </si>
  <si>
    <t>SO2601-91276</t>
  </si>
  <si>
    <t>IN2601-100583</t>
  </si>
  <si>
    <t>13/01/2026 15:34</t>
  </si>
  <si>
    <t>SO2601-91275</t>
  </si>
  <si>
    <t>IN2601-100582</t>
  </si>
  <si>
    <t>13/01/2026 15:29</t>
  </si>
  <si>
    <t>SO2601-91274</t>
  </si>
  <si>
    <t>DJUIFFO</t>
  </si>
  <si>
    <t>CU2407-00930 -  PROVENDERIE DJUIFFOUO</t>
  </si>
  <si>
    <t>IN2601-100581</t>
  </si>
  <si>
    <t>13/01/2026 15:31</t>
  </si>
  <si>
    <t>SO2601-91273</t>
  </si>
  <si>
    <t>IN2601-100580</t>
  </si>
  <si>
    <t>13/01/2026 15:30</t>
  </si>
  <si>
    <t>SO2601-91272</t>
  </si>
  <si>
    <t>IN2601-100579</t>
  </si>
  <si>
    <t>13/01/2026 15:22</t>
  </si>
  <si>
    <t>SO2601-91271</t>
  </si>
  <si>
    <t>IN2601-100578</t>
  </si>
  <si>
    <t>13/01/2026 15:18</t>
  </si>
  <si>
    <t>SO2601-91270</t>
  </si>
  <si>
    <t>IN2601-100577</t>
  </si>
  <si>
    <t>13/01/2026 15:16</t>
  </si>
  <si>
    <t>SO2601-91269</t>
  </si>
  <si>
    <t>IN2601-100576</t>
  </si>
  <si>
    <t>13/01/2026 15:13</t>
  </si>
  <si>
    <t>SO2601-91268</t>
  </si>
  <si>
    <t>ELLE MAXIME 691858879</t>
  </si>
  <si>
    <t>IN2601-100575</t>
  </si>
  <si>
    <t>13/01/2026 15:15</t>
  </si>
  <si>
    <t>SO2601-91267</t>
  </si>
  <si>
    <t>IN2601-100574</t>
  </si>
  <si>
    <t>13/01/2026 15:41</t>
  </si>
  <si>
    <t>SO2601-91266</t>
  </si>
  <si>
    <t>FESSAH 670154532</t>
  </si>
  <si>
    <t>IN2601-100573</t>
  </si>
  <si>
    <t>13/01/2026 15:12</t>
  </si>
  <si>
    <t>SO2601-91265</t>
  </si>
  <si>
    <t>IN2601-100572</t>
  </si>
  <si>
    <t>SO2601-91264</t>
  </si>
  <si>
    <t>IN2601-100571</t>
  </si>
  <si>
    <t>13/01/2026 15:11</t>
  </si>
  <si>
    <t>SO2601-91263</t>
  </si>
  <si>
    <t>IN2601-100570</t>
  </si>
  <si>
    <t>13/01/2026 15:07</t>
  </si>
  <si>
    <t>SO2601-91262</t>
  </si>
  <si>
    <t>IN2601-100569</t>
  </si>
  <si>
    <t>13/01/2026 15:08</t>
  </si>
  <si>
    <t>SO2601-91261</t>
  </si>
  <si>
    <t>IN2601-100568</t>
  </si>
  <si>
    <t>SO2601-91260</t>
  </si>
  <si>
    <t>IDA</t>
  </si>
  <si>
    <t>IN2601-100567</t>
  </si>
  <si>
    <t>13/01/2026 15:06</t>
  </si>
  <si>
    <t>SO2601-91259</t>
  </si>
  <si>
    <t>IN2601-100566</t>
  </si>
  <si>
    <t>13/01/2026 15:03</t>
  </si>
  <si>
    <t>SO2601-91258</t>
  </si>
  <si>
    <t>IN2601-100565</t>
  </si>
  <si>
    <t>13/01/2026 14:56</t>
  </si>
  <si>
    <t>SO2601-91257</t>
  </si>
  <si>
    <t>IN2601-100564</t>
  </si>
  <si>
    <t>13/01/2026 14:59</t>
  </si>
  <si>
    <t>SO2601-91256</t>
  </si>
  <si>
    <t>Alex</t>
  </si>
  <si>
    <t>IN2601-100563</t>
  </si>
  <si>
    <t>13/01/2026 14:55</t>
  </si>
  <si>
    <t>SO2601-91255</t>
  </si>
  <si>
    <t>IN2601-100562</t>
  </si>
  <si>
    <t>13/01/2026 16:03</t>
  </si>
  <si>
    <t>SO2601-91254</t>
  </si>
  <si>
    <t>IN2601-100561</t>
  </si>
  <si>
    <t>SO2601-91253</t>
  </si>
  <si>
    <t>MBOGNI</t>
  </si>
  <si>
    <t>IN2601-100560</t>
  </si>
  <si>
    <t>13/01/2026 14:54</t>
  </si>
  <si>
    <t>SO2601-91252</t>
  </si>
  <si>
    <t>IN2601-100559</t>
  </si>
  <si>
    <t>SO2601-91251</t>
  </si>
  <si>
    <t>DOKA / 677 90 93 64</t>
  </si>
  <si>
    <t>IN2601-100558</t>
  </si>
  <si>
    <t>13/01/2026 14:49</t>
  </si>
  <si>
    <t>SO2601-91250</t>
  </si>
  <si>
    <t>CU2411-01146 -  Dakoyi Romain</t>
  </si>
  <si>
    <t>IN2601-100557</t>
  </si>
  <si>
    <t>13/01/2026 15:21</t>
  </si>
  <si>
    <t>SO2601-91249</t>
  </si>
  <si>
    <t>IN2601-100556</t>
  </si>
  <si>
    <t>13/01/2026 14:44</t>
  </si>
  <si>
    <t>SO2601-91248</t>
  </si>
  <si>
    <t>SOFFEU MARIUS 692638181</t>
  </si>
  <si>
    <t>IN2601-100555</t>
  </si>
  <si>
    <t>13/01/2026 14:48</t>
  </si>
  <si>
    <t>SO2601-91247</t>
  </si>
  <si>
    <t>WAMBA SILLAS 694453112</t>
  </si>
  <si>
    <t>IN2601-100554</t>
  </si>
  <si>
    <t>SO2601-91246</t>
  </si>
  <si>
    <t>IN2601-100553</t>
  </si>
  <si>
    <t>13/01/2026 14:43</t>
  </si>
  <si>
    <t>SO2601-91245</t>
  </si>
  <si>
    <t>MOKENGO</t>
  </si>
  <si>
    <t>IN2601-100552</t>
  </si>
  <si>
    <t>13/01/2026 14:46</t>
  </si>
  <si>
    <t>SO2601-91244</t>
  </si>
  <si>
    <t>DAGO</t>
  </si>
  <si>
    <t>IN2601-100551</t>
  </si>
  <si>
    <t>13/01/2026 14:40</t>
  </si>
  <si>
    <t>SO2601-91243</t>
  </si>
  <si>
    <t>IN2601-100550</t>
  </si>
  <si>
    <t>SO2601-91242</t>
  </si>
  <si>
    <t>IN2601-100549</t>
  </si>
  <si>
    <t>13/01/2026 14:58</t>
  </si>
  <si>
    <t>SO2601-91241</t>
  </si>
  <si>
    <t>IN2601-100548</t>
  </si>
  <si>
    <t>13/01/2026 14:33</t>
  </si>
  <si>
    <t>SO2601-91240</t>
  </si>
  <si>
    <t>IN2601-100547</t>
  </si>
  <si>
    <t>13/01/2026 14:50</t>
  </si>
  <si>
    <t>SO2601-91239</t>
  </si>
  <si>
    <t>IN2601-100546</t>
  </si>
  <si>
    <t>13/01/2026 14:27</t>
  </si>
  <si>
    <t>SO2601-91238</t>
  </si>
  <si>
    <t>IN2601-100545</t>
  </si>
  <si>
    <t>13/01/2026 14:26</t>
  </si>
  <si>
    <t>SO2601-91237</t>
  </si>
  <si>
    <t>IN2601-100544</t>
  </si>
  <si>
    <t>13/01/2026 14:25</t>
  </si>
  <si>
    <t>SO2601-91236</t>
  </si>
  <si>
    <t>IN2601-100543</t>
  </si>
  <si>
    <t>SO2601-91235</t>
  </si>
  <si>
    <t>IN2601-100542</t>
  </si>
  <si>
    <t>13/01/2026 14:21</t>
  </si>
  <si>
    <t>SO2601-91234</t>
  </si>
  <si>
    <t>IN2601-100541</t>
  </si>
  <si>
    <t>13/01/2026 14:19</t>
  </si>
  <si>
    <t>SO2601-91233</t>
  </si>
  <si>
    <t>IN2601-100540</t>
  </si>
  <si>
    <t>13/01/2026 14:18</t>
  </si>
  <si>
    <t>SO2601-91232</t>
  </si>
  <si>
    <t>Mme MAFOGO SABINE</t>
  </si>
  <si>
    <t>IN2601-100539</t>
  </si>
  <si>
    <t>SO2601-91231</t>
  </si>
  <si>
    <t>IN2601-100538</t>
  </si>
  <si>
    <t>SO2601-91230</t>
  </si>
  <si>
    <t>IN2601-100537</t>
  </si>
  <si>
    <t>13/01/2026 14:14</t>
  </si>
  <si>
    <t>SO2601-91229</t>
  </si>
  <si>
    <t>bayiga</t>
  </si>
  <si>
    <t>IN2601-100536</t>
  </si>
  <si>
    <t>13/01/2026 14:20</t>
  </si>
  <si>
    <t>SO2601-91228</t>
  </si>
  <si>
    <t>IN2601-100535</t>
  </si>
  <si>
    <t>13/01/2026 14:11</t>
  </si>
  <si>
    <t>SO2601-91227</t>
  </si>
  <si>
    <t>OLIVIER 696528550</t>
  </si>
  <si>
    <t>IN2601-100534</t>
  </si>
  <si>
    <t>13/01/2026 14:10</t>
  </si>
  <si>
    <t>SO2601-91225</t>
  </si>
  <si>
    <t>MANFOUO GIZELLE</t>
  </si>
  <si>
    <t>IN2601-100532</t>
  </si>
  <si>
    <t>13/01/2026 14:08</t>
  </si>
  <si>
    <t>SO2601-91224</t>
  </si>
  <si>
    <t>IN2601-100531</t>
  </si>
  <si>
    <t>13/01/2026 14:06</t>
  </si>
  <si>
    <t>SO2601-91223</t>
  </si>
  <si>
    <t>IN2601-100530</t>
  </si>
  <si>
    <t>SO2601-91222</t>
  </si>
  <si>
    <t>IN2601-100529</t>
  </si>
  <si>
    <t>13/01/2026 14:12</t>
  </si>
  <si>
    <t>SO2601-91221</t>
  </si>
  <si>
    <t>IN2601-100528</t>
  </si>
  <si>
    <t>SO2601-91220</t>
  </si>
  <si>
    <t>JULIO TAKALA( BOBO)</t>
  </si>
  <si>
    <t>IN2601-100527</t>
  </si>
  <si>
    <t>13/01/2026 14:01</t>
  </si>
  <si>
    <t>SO2601-91219</t>
  </si>
  <si>
    <t>IN2601-100526</t>
  </si>
  <si>
    <t>13/01/2026 14:02</t>
  </si>
  <si>
    <t>SO2601-91218</t>
  </si>
  <si>
    <t>IN2601-100525</t>
  </si>
  <si>
    <t>SO2601-91217</t>
  </si>
  <si>
    <t>13/11/2025 00:00</t>
  </si>
  <si>
    <t>IN2601-100524</t>
  </si>
  <si>
    <t>13/01/2026 14:05</t>
  </si>
  <si>
    <t>SO2601-91216</t>
  </si>
  <si>
    <t>LOVE</t>
  </si>
  <si>
    <t>IN2601-100523</t>
  </si>
  <si>
    <t>13/01/2026 14:03</t>
  </si>
  <si>
    <t>SO2601-91215</t>
  </si>
  <si>
    <t>CU2508-13446 -  Fouechio Etienne</t>
  </si>
  <si>
    <t>IN2601-100522</t>
  </si>
  <si>
    <t>13/01/2026 14:17</t>
  </si>
  <si>
    <t>SO2601-91214</t>
  </si>
  <si>
    <t>IN2601-100521</t>
  </si>
  <si>
    <t>13/01/2026 14:00</t>
  </si>
  <si>
    <t>SO2601-91213</t>
  </si>
  <si>
    <t>IN2601-100520</t>
  </si>
  <si>
    <t>SO2601-91212</t>
  </si>
  <si>
    <t>IN2601-100519</t>
  </si>
  <si>
    <t>13/01/2026 14:16</t>
  </si>
  <si>
    <t>SO2601-91211</t>
  </si>
  <si>
    <t>IN2601-100518</t>
  </si>
  <si>
    <t>13/01/2026 15:48</t>
  </si>
  <si>
    <t>SO2601-91210</t>
  </si>
  <si>
    <t>IN2601-100517</t>
  </si>
  <si>
    <t>13/01/2026 13:50</t>
  </si>
  <si>
    <t>SO2601-91209</t>
  </si>
  <si>
    <t>IN2601-100516</t>
  </si>
  <si>
    <t>13/01/2026 13:48</t>
  </si>
  <si>
    <t>SO2601-91208</t>
  </si>
  <si>
    <t>NANFACK ABRAHAM 674791925</t>
  </si>
  <si>
    <t>IN2601-100515</t>
  </si>
  <si>
    <t>13/01/2026 13:55</t>
  </si>
  <si>
    <t>SO2601-91207</t>
  </si>
  <si>
    <t>KAZE</t>
  </si>
  <si>
    <t>IN2601-100514</t>
  </si>
  <si>
    <t>13/01/2026 13:35</t>
  </si>
  <si>
    <t>SO2601-91206</t>
  </si>
  <si>
    <t>MOUADOM EPSE POUGOUM 677103593</t>
  </si>
  <si>
    <t>ZXCL00098 -  CLIENT COMPTOIR (SOLDE COMPTA)</t>
  </si>
  <si>
    <t>IN2601-100513</t>
  </si>
  <si>
    <t>ZXCL00098 -  CLIENT COMPTOIR</t>
  </si>
  <si>
    <t>13/01/2026 13:33</t>
  </si>
  <si>
    <t>SO2601-91205</t>
  </si>
  <si>
    <t>IN2601-100512</t>
  </si>
  <si>
    <t>13/01/2026 13:28</t>
  </si>
  <si>
    <t>SO2601-91204</t>
  </si>
  <si>
    <t>IN2601-100511</t>
  </si>
  <si>
    <t>SO2601-91203</t>
  </si>
  <si>
    <t>IN2601-100510</t>
  </si>
  <si>
    <t>SO2601-91202</t>
  </si>
  <si>
    <t>IN2601-100509</t>
  </si>
  <si>
    <t>13/01/2026 13:17</t>
  </si>
  <si>
    <t>SO2601-91201</t>
  </si>
  <si>
    <t>IN2601-100508</t>
  </si>
  <si>
    <t>13/01/2026 13:13</t>
  </si>
  <si>
    <t>SO2601-91200</t>
  </si>
  <si>
    <t>IN2601-100507</t>
  </si>
  <si>
    <t>13/01/2026 13:14</t>
  </si>
  <si>
    <t>SO2601-91199</t>
  </si>
  <si>
    <t>IN2601-100506</t>
  </si>
  <si>
    <t>SO2601-91198</t>
  </si>
  <si>
    <t>ABA ENDEGUE 677449638</t>
  </si>
  <si>
    <t>IN2601-100505</t>
  </si>
  <si>
    <t>13/01/2026 13:20</t>
  </si>
  <si>
    <t>SO2601-91197</t>
  </si>
  <si>
    <t>IN2601-100504</t>
  </si>
  <si>
    <t>13/01/2026 13:06</t>
  </si>
  <si>
    <t>SO2601-91196</t>
  </si>
  <si>
    <t>IN2601-100503</t>
  </si>
  <si>
    <t>13/01/2026 13:11</t>
  </si>
  <si>
    <t>SO2601-91195</t>
  </si>
  <si>
    <t>IN2601-100502</t>
  </si>
  <si>
    <t>13/01/2026 13:03</t>
  </si>
  <si>
    <t>SO2601-91194</t>
  </si>
  <si>
    <t>Ketcha Nana 694597534</t>
  </si>
  <si>
    <t>IN2601-100501</t>
  </si>
  <si>
    <t>13/01/2026 12:54</t>
  </si>
  <si>
    <t>SO2601-91193</t>
  </si>
  <si>
    <t>IN2601-100500</t>
  </si>
  <si>
    <t>SO2601-91192</t>
  </si>
  <si>
    <t>M.Noubi</t>
  </si>
  <si>
    <t>IN2601-100499</t>
  </si>
  <si>
    <t>13/01/2026 12:52</t>
  </si>
  <si>
    <t>SO2601-91191</t>
  </si>
  <si>
    <t>IN2601-100498</t>
  </si>
  <si>
    <t>13/01/2026 12:48</t>
  </si>
  <si>
    <t>SO2601-91190</t>
  </si>
  <si>
    <t>LAMI 693147843</t>
  </si>
  <si>
    <t>IN2601-100497</t>
  </si>
  <si>
    <t>13/01/2026 12:47</t>
  </si>
  <si>
    <t>SO2601-91189</t>
  </si>
  <si>
    <t>NDOUA ELONDOU 695402408</t>
  </si>
  <si>
    <t>IN2601-100496</t>
  </si>
  <si>
    <t>13/01/2026 12:45</t>
  </si>
  <si>
    <t>SO2601-91188</t>
  </si>
  <si>
    <t>IN2601-100495</t>
  </si>
  <si>
    <t>13/01/2026 12:43</t>
  </si>
  <si>
    <t>SO2601-91187</t>
  </si>
  <si>
    <t>IN2601-100494</t>
  </si>
  <si>
    <t>13/01/2026 13:34</t>
  </si>
  <si>
    <t>SO2601-91186</t>
  </si>
  <si>
    <t>IN2601-100493</t>
  </si>
  <si>
    <t>13/01/2026 12:40</t>
  </si>
  <si>
    <t>SO2601-91185</t>
  </si>
  <si>
    <t>FAVOR</t>
  </si>
  <si>
    <t>IN2601-100492</t>
  </si>
  <si>
    <t>13/01/2026 12:36</t>
  </si>
  <si>
    <t>SO2601-91184</t>
  </si>
  <si>
    <t>IN2601-100491</t>
  </si>
  <si>
    <t>13/01/2026 12:33</t>
  </si>
  <si>
    <t>SO2601-91183</t>
  </si>
  <si>
    <t>IN2601-100490</t>
  </si>
  <si>
    <t>13/01/2026 12:32</t>
  </si>
  <si>
    <t>SO2601-91182</t>
  </si>
  <si>
    <t>CU2509-14016 -  KUIPOU DEFO</t>
  </si>
  <si>
    <t>IN2601-100489</t>
  </si>
  <si>
    <t>13/01/2026 12:28</t>
  </si>
  <si>
    <t>SO2601-91181</t>
  </si>
  <si>
    <t>EZEKIEL SANDA / 696255521</t>
  </si>
  <si>
    <t>IN2601-100488</t>
  </si>
  <si>
    <t>13/01/2026 12:09</t>
  </si>
  <si>
    <t>SO2601-91180</t>
  </si>
  <si>
    <t>IN2601-100487</t>
  </si>
  <si>
    <t>13/01/2026 12:07</t>
  </si>
  <si>
    <t>SO2601-91179</t>
  </si>
  <si>
    <t>CU2508-13651 -  NGUEKAM NANSEU DARIUS</t>
  </si>
  <si>
    <t>IN2601-100486</t>
  </si>
  <si>
    <t>13/01/2026 12:17</t>
  </si>
  <si>
    <t>SO2601-91178</t>
  </si>
  <si>
    <t>IN2601-100485</t>
  </si>
  <si>
    <t>13/01/2026 12:10</t>
  </si>
  <si>
    <t>SO2601-91177</t>
  </si>
  <si>
    <t>IN2601-100484</t>
  </si>
  <si>
    <t>13/01/2026 12:06</t>
  </si>
  <si>
    <t>SO2601-91176</t>
  </si>
  <si>
    <t>IN2601-100483</t>
  </si>
  <si>
    <t>13/01/2026 12:26</t>
  </si>
  <si>
    <t>SO2601-91175</t>
  </si>
  <si>
    <t>IN2601-100482</t>
  </si>
  <si>
    <t>13/01/2026 12:25</t>
  </si>
  <si>
    <t>SO2601-91174</t>
  </si>
  <si>
    <t>IN2601-100481</t>
  </si>
  <si>
    <t>13/01/2026 11:52</t>
  </si>
  <si>
    <t>SO2601-91173</t>
  </si>
  <si>
    <t>IN2601-100480</t>
  </si>
  <si>
    <t>13/01/2026 11:54</t>
  </si>
  <si>
    <t>SO2601-91172</t>
  </si>
  <si>
    <t>IN2601-100479</t>
  </si>
  <si>
    <t>SO2601-91171</t>
  </si>
  <si>
    <t>IN2601-100478</t>
  </si>
  <si>
    <t>SO2601-91170</t>
  </si>
  <si>
    <t>M.KAMGUEM 699530050</t>
  </si>
  <si>
    <t>IN2601-100477</t>
  </si>
  <si>
    <t>13/01/2026 11:48</t>
  </si>
  <si>
    <t>SO2601-91169</t>
  </si>
  <si>
    <t>EFFILA</t>
  </si>
  <si>
    <t>IN2601-100476</t>
  </si>
  <si>
    <t>SO2601-91168</t>
  </si>
  <si>
    <t>DOBO 6 98 81 62 25</t>
  </si>
  <si>
    <t>IN2601-100475</t>
  </si>
  <si>
    <t>SO2601-91167</t>
  </si>
  <si>
    <t>IN2601-100474</t>
  </si>
  <si>
    <t>13/01/2026 11:42</t>
  </si>
  <si>
    <t>SO2601-91166</t>
  </si>
  <si>
    <t>IN2601-100473</t>
  </si>
  <si>
    <t>13/01/2026 11:46</t>
  </si>
  <si>
    <t>SO2601-91147</t>
  </si>
  <si>
    <t>IN2601-100472</t>
  </si>
  <si>
    <t>SO2601-91165</t>
  </si>
  <si>
    <t>IN2601-100471</t>
  </si>
  <si>
    <t>13/01/2026 11:32</t>
  </si>
  <si>
    <t>SO2601-91164</t>
  </si>
  <si>
    <t>CAROLE 657925976</t>
  </si>
  <si>
    <t>IN2601-100470</t>
  </si>
  <si>
    <t>13/01/2026 11:33</t>
  </si>
  <si>
    <t>SO2601-91163</t>
  </si>
  <si>
    <t>IN2601-100469</t>
  </si>
  <si>
    <t>13/01/2026 11:40</t>
  </si>
  <si>
    <t>SO2601-91162</t>
  </si>
  <si>
    <t>IN2601-100468</t>
  </si>
  <si>
    <t>13/01/2026 11:27</t>
  </si>
  <si>
    <t>SO2601-91161</t>
  </si>
  <si>
    <t>IN2601-100467</t>
  </si>
  <si>
    <t>13/01/2026 11:30</t>
  </si>
  <si>
    <t>SO2601-91160</t>
  </si>
  <si>
    <t>CU2407-00454 -  WINNER'S POULTRY FARM</t>
  </si>
  <si>
    <t>IN2601-100466</t>
  </si>
  <si>
    <t>13/01/2026 11:31</t>
  </si>
  <si>
    <t>SO2601-91159</t>
  </si>
  <si>
    <t>IN2601-100465</t>
  </si>
  <si>
    <t>13/01/2026 11:35</t>
  </si>
  <si>
    <t>SO2601-91158</t>
  </si>
  <si>
    <t>IN2601-100464</t>
  </si>
  <si>
    <t>13/01/2026 11:24</t>
  </si>
  <si>
    <t>SO2601-91157</t>
  </si>
  <si>
    <t>dayang paul II</t>
  </si>
  <si>
    <t>IN2601-100463</t>
  </si>
  <si>
    <t>SO2601-91156</t>
  </si>
  <si>
    <t>SIMO SIPOFO 699862415</t>
  </si>
  <si>
    <t>IN2601-100462</t>
  </si>
  <si>
    <t>13/01/2026 11:26</t>
  </si>
  <si>
    <t>SO2601-91155</t>
  </si>
  <si>
    <t>EKOH PAUL 674629550</t>
  </si>
  <si>
    <t>IN2601-100461</t>
  </si>
  <si>
    <t>13/01/2026 11:23</t>
  </si>
  <si>
    <t>SO2601-91154</t>
  </si>
  <si>
    <t>CU2508-13701 -  MOLUH SEIDOU</t>
  </si>
  <si>
    <t>IN2601-100460</t>
  </si>
  <si>
    <t>13/01/2026 11:25</t>
  </si>
  <si>
    <t>SO2601-91153</t>
  </si>
  <si>
    <t>IN2601-100459</t>
  </si>
  <si>
    <t>13/01/2026 11:18</t>
  </si>
  <si>
    <t>SO2601-91152</t>
  </si>
  <si>
    <t>IN2601-100458</t>
  </si>
  <si>
    <t>13/01/2026 11:15</t>
  </si>
  <si>
    <t>SO2601-91151</t>
  </si>
  <si>
    <t>IN2601-100457</t>
  </si>
  <si>
    <t>SO2601-91150</t>
  </si>
  <si>
    <t>CU2512-14214 -  KUATE TCHENENGA MAXIME</t>
  </si>
  <si>
    <t>IN2601-100456</t>
  </si>
  <si>
    <t>13/01/2026 11:19</t>
  </si>
  <si>
    <t>SO2601-91149</t>
  </si>
  <si>
    <t>DJAMILATOU 694222548</t>
  </si>
  <si>
    <t>IN2601-100455</t>
  </si>
  <si>
    <t>13/01/2026 11:11</t>
  </si>
  <si>
    <t>SO2601-91146</t>
  </si>
  <si>
    <t>IN2601-100452</t>
  </si>
  <si>
    <t>13/01/2026 11:09</t>
  </si>
  <si>
    <t>SO2601-91145</t>
  </si>
  <si>
    <t>IN2601-100451</t>
  </si>
  <si>
    <t>13/01/2026 11:12</t>
  </si>
  <si>
    <t>SO2601-91144</t>
  </si>
  <si>
    <t>IN2601-100450</t>
  </si>
  <si>
    <t>13/01/2026 11:04</t>
  </si>
  <si>
    <t>SO2601-91143</t>
  </si>
  <si>
    <t>IN2601-100449</t>
  </si>
  <si>
    <t>13/01/2026 11:07</t>
  </si>
  <si>
    <t>SO2601-91142</t>
  </si>
  <si>
    <t>CU2407-00289 -  LIEDJI ALAIN PIERRE</t>
  </si>
  <si>
    <t>IN2601-100448</t>
  </si>
  <si>
    <t>13/01/2026 11:01</t>
  </si>
  <si>
    <t>SO2601-91141</t>
  </si>
  <si>
    <t>IN2601-100447</t>
  </si>
  <si>
    <t>SO2601-91140</t>
  </si>
  <si>
    <t>IN2601-100446</t>
  </si>
  <si>
    <t>SO2601-91139</t>
  </si>
  <si>
    <t>IN2601-100445</t>
  </si>
  <si>
    <t>SO2601-91138</t>
  </si>
  <si>
    <t>IN2601-100444</t>
  </si>
  <si>
    <t>SO2601-91137</t>
  </si>
  <si>
    <t>MELIEUA 654101794</t>
  </si>
  <si>
    <t>IN2601-100443</t>
  </si>
  <si>
    <t>13/01/2026 10:53</t>
  </si>
  <si>
    <t>SO2601-91136</t>
  </si>
  <si>
    <t>FERNAND NLOGA 656484367</t>
  </si>
  <si>
    <t>IN2601-100442</t>
  </si>
  <si>
    <t>13/01/2026 10:50</t>
  </si>
  <si>
    <t>SO2601-91135</t>
  </si>
  <si>
    <t>SENKE 699647657</t>
  </si>
  <si>
    <t>IN2601-100441</t>
  </si>
  <si>
    <t>13/01/2026 10:49</t>
  </si>
  <si>
    <t>SO2601-91134</t>
  </si>
  <si>
    <t>IN2601-100440</t>
  </si>
  <si>
    <t>13/01/2026 10:51</t>
  </si>
  <si>
    <t>SO2601-91133</t>
  </si>
  <si>
    <t>PAUL 694030335</t>
  </si>
  <si>
    <t>IN2601-100439</t>
  </si>
  <si>
    <t>13/01/2026 10:40</t>
  </si>
  <si>
    <t>SO2601-91132</t>
  </si>
  <si>
    <t>IN2601-100438</t>
  </si>
  <si>
    <t>13/01/2026 10:34</t>
  </si>
  <si>
    <t>SO2601-91131</t>
  </si>
  <si>
    <t>POKAM GUY 675997733</t>
  </si>
  <si>
    <t>IN2601-100437</t>
  </si>
  <si>
    <t>13/01/2026 10:33</t>
  </si>
  <si>
    <t>SO2601-91130</t>
  </si>
  <si>
    <t>IN2601-100436</t>
  </si>
  <si>
    <t>13/01/2026 10:36</t>
  </si>
  <si>
    <t>SO2601-91129</t>
  </si>
  <si>
    <t>IN2601-100435</t>
  </si>
  <si>
    <t>13/01/2026 10:30</t>
  </si>
  <si>
    <t>SO2601-91128</t>
  </si>
  <si>
    <t>IN2601-100434</t>
  </si>
  <si>
    <t>13/01/2026 10:28</t>
  </si>
  <si>
    <t>SO2601-91127</t>
  </si>
  <si>
    <t>FOKO</t>
  </si>
  <si>
    <t>IN2601-100433</t>
  </si>
  <si>
    <t>13/01/2026 10:22</t>
  </si>
  <si>
    <t>SO2601-91126</t>
  </si>
  <si>
    <t>TOUKAM WILLY 695830085</t>
  </si>
  <si>
    <t>IN2601-100432</t>
  </si>
  <si>
    <t>13/01/2026 10:19</t>
  </si>
  <si>
    <t>SO2601-91125</t>
  </si>
  <si>
    <t>BORELLE</t>
  </si>
  <si>
    <t>IN2601-100431</t>
  </si>
  <si>
    <t>13/01/2026 10:17</t>
  </si>
  <si>
    <t>SO2601-91124</t>
  </si>
  <si>
    <t>CU2407-00361 -  PROVENDERIE MODERNE</t>
  </si>
  <si>
    <t>IN2601-100430</t>
  </si>
  <si>
    <t>SO2601-91123</t>
  </si>
  <si>
    <t>IN2601-100429</t>
  </si>
  <si>
    <t>13/01/2026 10:16</t>
  </si>
  <si>
    <t>SO2601-91122</t>
  </si>
  <si>
    <t>SICA SARL 699823839</t>
  </si>
  <si>
    <t>IN2601-100428</t>
  </si>
  <si>
    <t>13/01/2026 10:14</t>
  </si>
  <si>
    <t>SO2601-91121</t>
  </si>
  <si>
    <t>IN2601-100427</t>
  </si>
  <si>
    <t>13/01/2026 10:13</t>
  </si>
  <si>
    <t>SO2601-91120</t>
  </si>
  <si>
    <t>IN2601-100426</t>
  </si>
  <si>
    <t>13/01/2026 10:11</t>
  </si>
  <si>
    <t>SO2601-91119</t>
  </si>
  <si>
    <t>IN2601-100425</t>
  </si>
  <si>
    <t>13/01/2026 10:12</t>
  </si>
  <si>
    <t>SO2601-91118</t>
  </si>
  <si>
    <t>IN2601-100424</t>
  </si>
  <si>
    <t>13/01/2026 10:10</t>
  </si>
  <si>
    <t>SO2601-91117</t>
  </si>
  <si>
    <t>IN2601-100423</t>
  </si>
  <si>
    <t>SO2601-91116</t>
  </si>
  <si>
    <t>IN2601-100422</t>
  </si>
  <si>
    <t>13/01/2026 10:06</t>
  </si>
  <si>
    <t>SO2601-91115</t>
  </si>
  <si>
    <t>IN2601-100421</t>
  </si>
  <si>
    <t>13/01/2026 10:25</t>
  </si>
  <si>
    <t>SO2601-91114</t>
  </si>
  <si>
    <t>CARLOS LEUTOU 698655967</t>
  </si>
  <si>
    <t>IN2601-100420</t>
  </si>
  <si>
    <t>13/01/2026 09:52</t>
  </si>
  <si>
    <t>SO2601-91113</t>
  </si>
  <si>
    <t>MONGOUE CEDRIC 683851143</t>
  </si>
  <si>
    <t>IN2601-100419</t>
  </si>
  <si>
    <t>13/01/2026 09:58</t>
  </si>
  <si>
    <t>SO2601-91112</t>
  </si>
  <si>
    <t>IN2601-100418</t>
  </si>
  <si>
    <t>13/01/2026 09:50</t>
  </si>
  <si>
    <t>SO2601-91111</t>
  </si>
  <si>
    <t>IN2601-100417</t>
  </si>
  <si>
    <t>13/01/2026 09:47</t>
  </si>
  <si>
    <t>SO2601-91110</t>
  </si>
  <si>
    <t>IN2601-100416</t>
  </si>
  <si>
    <t>13/01/2026 09:49</t>
  </si>
  <si>
    <t>SO2601-91109</t>
  </si>
  <si>
    <t>IN2601-100415</t>
  </si>
  <si>
    <t>13/01/2026 09:51</t>
  </si>
  <si>
    <t>SO2601-91108</t>
  </si>
  <si>
    <t>IN2601-100414</t>
  </si>
  <si>
    <t>13/01/2026 09:46</t>
  </si>
  <si>
    <t>SO2601-91107</t>
  </si>
  <si>
    <t>IN2601-100413</t>
  </si>
  <si>
    <t>13/01/2026 09:53</t>
  </si>
  <si>
    <t>SO2601-91106</t>
  </si>
  <si>
    <t>CU2601-14291 -  CLIENT COMPTOIR</t>
  </si>
  <si>
    <t>IN2601-100412</t>
  </si>
  <si>
    <t>SO2601-91105</t>
  </si>
  <si>
    <t>KENNE ALAIN</t>
  </si>
  <si>
    <t>CU2508-13576 -  KENNE INOCENT</t>
  </si>
  <si>
    <t>IN2601-100411</t>
  </si>
  <si>
    <t>13/01/2026 10:32</t>
  </si>
  <si>
    <t>SO2601-91104</t>
  </si>
  <si>
    <t>IN2601-100410</t>
  </si>
  <si>
    <t>SO2601-91103</t>
  </si>
  <si>
    <t>IN2601-100409</t>
  </si>
  <si>
    <t>13/01/2026 09:39</t>
  </si>
  <si>
    <t>SO2601-91102</t>
  </si>
  <si>
    <t>IN2601-100408</t>
  </si>
  <si>
    <t>SO2601-91101</t>
  </si>
  <si>
    <t>IN2601-100407</t>
  </si>
  <si>
    <t>SO2601-91100</t>
  </si>
  <si>
    <t>IN2601-100406</t>
  </si>
  <si>
    <t>13/01/2026 09:36</t>
  </si>
  <si>
    <t>SO2601-91099</t>
  </si>
  <si>
    <t>IN2601-100405</t>
  </si>
  <si>
    <t>13/01/2026 16:21</t>
  </si>
  <si>
    <t>SO2601-91098</t>
  </si>
  <si>
    <t>IN2601-100404</t>
  </si>
  <si>
    <t>13/01/2026 09:35</t>
  </si>
  <si>
    <t>SO2601-91097</t>
  </si>
  <si>
    <t>IN2601-100403</t>
  </si>
  <si>
    <t>13/01/2026 09:44</t>
  </si>
  <si>
    <t>SO2601-91096</t>
  </si>
  <si>
    <t>IN2601-100402</t>
  </si>
  <si>
    <t>13/01/2026 10:03</t>
  </si>
  <si>
    <t>SO2601-91095</t>
  </si>
  <si>
    <t>IN2601-100401</t>
  </si>
  <si>
    <t>13/01/2026 09:33</t>
  </si>
  <si>
    <t>SO2601-91094</t>
  </si>
  <si>
    <t>IN2601-100400</t>
  </si>
  <si>
    <t>13/01/2026 10:02</t>
  </si>
  <si>
    <t>SO2601-91093</t>
  </si>
  <si>
    <t>IN2601-100399</t>
  </si>
  <si>
    <t>SO2601-91092</t>
  </si>
  <si>
    <t>IN2601-100398</t>
  </si>
  <si>
    <t>SO2601-91091</t>
  </si>
  <si>
    <t>IN2601-100397</t>
  </si>
  <si>
    <t>SO2601-91090</t>
  </si>
  <si>
    <t>FEUDJEU CLOVIS (ZDCL00003)</t>
  </si>
  <si>
    <t>IN2601-100396</t>
  </si>
  <si>
    <t>FEUDJEU CLOVIS</t>
  </si>
  <si>
    <t>ZDCL00003</t>
  </si>
  <si>
    <t>13/01/2026 09:32</t>
  </si>
  <si>
    <t>SO2601-91089</t>
  </si>
  <si>
    <t>Non</t>
  </si>
  <si>
    <t>IN2601-100395</t>
  </si>
  <si>
    <t>14/01/2026 09:20</t>
  </si>
  <si>
    <t>SO2601-91088</t>
  </si>
  <si>
    <t>IN2601-100394</t>
  </si>
  <si>
    <t>13/01/2026 09:59</t>
  </si>
  <si>
    <t>SO2601-91087</t>
  </si>
  <si>
    <t>IN2601-100393</t>
  </si>
  <si>
    <t>SO2601-91086</t>
  </si>
  <si>
    <t>CU2407-00964 -  TANTEH FIDELIS</t>
  </si>
  <si>
    <t>IN2601-100392</t>
  </si>
  <si>
    <t>13/01/2026 09:31</t>
  </si>
  <si>
    <t>SO2601-91085</t>
  </si>
  <si>
    <t>IN2601-100391</t>
  </si>
  <si>
    <t>13/01/2026 09:56</t>
  </si>
  <si>
    <t>SO2601-91084</t>
  </si>
  <si>
    <t>MEKAM</t>
  </si>
  <si>
    <t>IN2601-100390</t>
  </si>
  <si>
    <t>13/01/2026 09:30</t>
  </si>
  <si>
    <t>SO2601-91083</t>
  </si>
  <si>
    <t>IN2601-100389</t>
  </si>
  <si>
    <t>13/01/2026 09:40</t>
  </si>
  <si>
    <t>SO2601-91082</t>
  </si>
  <si>
    <t>IN2601-100388</t>
  </si>
  <si>
    <t>13/01/2026 09:25</t>
  </si>
  <si>
    <t>SO2601-91081</t>
  </si>
  <si>
    <t>IN2601-100387</t>
  </si>
  <si>
    <t>SO2601-91080</t>
  </si>
  <si>
    <t>IN2601-100386</t>
  </si>
  <si>
    <t>SO2601-91079</t>
  </si>
  <si>
    <t>ADELINE</t>
  </si>
  <si>
    <t>IN2601-100385</t>
  </si>
  <si>
    <t>SO2601-91078</t>
  </si>
  <si>
    <t>IN2601-100384</t>
  </si>
  <si>
    <t>13/01/2026 09:23</t>
  </si>
  <si>
    <t>SO2601-91077</t>
  </si>
  <si>
    <t>IN2601-100383</t>
  </si>
  <si>
    <t>SO2601-91076</t>
  </si>
  <si>
    <t>IN2601-100382</t>
  </si>
  <si>
    <t>13/01/2026 09:16</t>
  </si>
  <si>
    <t>SO2601-91075</t>
  </si>
  <si>
    <t>IN2601-100381</t>
  </si>
  <si>
    <t>13/01/2026 09:26</t>
  </si>
  <si>
    <t>SO2601-91074</t>
  </si>
  <si>
    <t>IN2601-100380</t>
  </si>
  <si>
    <t>13/01/2026 09:18</t>
  </si>
  <si>
    <t>SO2601-91073</t>
  </si>
  <si>
    <t>ZE ETON 655859304</t>
  </si>
  <si>
    <t>IN2601-100379</t>
  </si>
  <si>
    <t>13/01/2026 09:10</t>
  </si>
  <si>
    <t>SO2601-91072</t>
  </si>
  <si>
    <t>12/01/2026 00:00</t>
  </si>
  <si>
    <t>IN2601-100378</t>
  </si>
  <si>
    <t>SO2601-91071</t>
  </si>
  <si>
    <t>JUSTINE</t>
  </si>
  <si>
    <t>IN2601-100377</t>
  </si>
  <si>
    <t>13/01/2026 09:13</t>
  </si>
  <si>
    <t>SO2601-91070</t>
  </si>
  <si>
    <t>IN2601-100376</t>
  </si>
  <si>
    <t>13/01/2026 09:05</t>
  </si>
  <si>
    <t>SO2601-91069</t>
  </si>
  <si>
    <t>TCHINDA</t>
  </si>
  <si>
    <t>IN2601-100375</t>
  </si>
  <si>
    <t>13/01/2026 09:08</t>
  </si>
  <si>
    <t>SO2601-91068</t>
  </si>
  <si>
    <t>WANDJI FELIX 674664926</t>
  </si>
  <si>
    <t>IN2601-100374</t>
  </si>
  <si>
    <t>SO2601-91067</t>
  </si>
  <si>
    <t>IN2601-100373</t>
  </si>
  <si>
    <t>SO2601-91066</t>
  </si>
  <si>
    <t>KAMENI 678442005</t>
  </si>
  <si>
    <t>IN2601-100372</t>
  </si>
  <si>
    <t>SO2601-91065</t>
  </si>
  <si>
    <t>IN2601-100371</t>
  </si>
  <si>
    <t>13/01/2026 09:07</t>
  </si>
  <si>
    <t>SO2601-91064</t>
  </si>
  <si>
    <t>IN2601-100370</t>
  </si>
  <si>
    <t>13/01/2026 09:06</t>
  </si>
  <si>
    <t>SO2601-91063</t>
  </si>
  <si>
    <t>L'HOMME DE DIEU 673778795</t>
  </si>
  <si>
    <t>IN2601-100369</t>
  </si>
  <si>
    <t>13/01/2026 08:51</t>
  </si>
  <si>
    <t>SO2601-91062</t>
  </si>
  <si>
    <t>zoyem ives</t>
  </si>
  <si>
    <t>CU2407-00561 -  DZOUA TCHOUKEKANG URBAIN</t>
  </si>
  <si>
    <t>IN2601-100368</t>
  </si>
  <si>
    <t>13/01/2026 08:49</t>
  </si>
  <si>
    <t>SO2601-91061</t>
  </si>
  <si>
    <t>IN2601-100367</t>
  </si>
  <si>
    <t>13/01/2026 08:35</t>
  </si>
  <si>
    <t>SO2601-91060</t>
  </si>
  <si>
    <t>IN2601-100366</t>
  </si>
  <si>
    <t>13/01/2026 08:56</t>
  </si>
  <si>
    <t>SO2601-91059</t>
  </si>
  <si>
    <t>IN2601-100365</t>
  </si>
  <si>
    <t>13/01/2026 08:31</t>
  </si>
  <si>
    <t>SO2601-91058</t>
  </si>
  <si>
    <t>IN2601-100364</t>
  </si>
  <si>
    <t>13/01/2026 08:33</t>
  </si>
  <si>
    <t>SO2601-91057</t>
  </si>
  <si>
    <t>IN2601-100363</t>
  </si>
  <si>
    <t>SO2601-91056</t>
  </si>
  <si>
    <t>IN2601-100362</t>
  </si>
  <si>
    <t>13/01/2026 08:26</t>
  </si>
  <si>
    <t>SO2601-91055</t>
  </si>
  <si>
    <t>IN2601-100361</t>
  </si>
  <si>
    <t>13/01/2026 08:37</t>
  </si>
  <si>
    <t>SO2601-91054</t>
  </si>
  <si>
    <t>DOUMTSOP FABRICE 674951175</t>
  </si>
  <si>
    <t>IN2601-100360</t>
  </si>
  <si>
    <t>13/01/2026 08:15</t>
  </si>
  <si>
    <t>SO2601-91053</t>
  </si>
  <si>
    <t>IN2601-100359</t>
  </si>
  <si>
    <t>13/01/2026 08:20</t>
  </si>
  <si>
    <t>SO2601-91052</t>
  </si>
  <si>
    <t>RABIATOU</t>
  </si>
  <si>
    <t>IN2601-100358</t>
  </si>
  <si>
    <t>13/01/2026 08:16</t>
  </si>
  <si>
    <t>SO2601-91051</t>
  </si>
  <si>
    <t>TCHAPNGA DENIS ROGR</t>
  </si>
  <si>
    <t>IN2601-100357</t>
  </si>
  <si>
    <t>22/01/2026 09:37</t>
  </si>
  <si>
    <t>SO2601-91050</t>
  </si>
  <si>
    <t>IN2601-100356</t>
  </si>
  <si>
    <t>13/01/2026 08:02</t>
  </si>
  <si>
    <t>SO2601-91049</t>
  </si>
  <si>
    <t>12/01/2026</t>
  </si>
  <si>
    <t>IN2601-100355</t>
  </si>
  <si>
    <t>SO2601-91048</t>
  </si>
  <si>
    <t>CU2407-00334 -  SOH CASINI SINGHOR</t>
  </si>
  <si>
    <t>IN2601-100354</t>
  </si>
  <si>
    <t>12/01/2026 17:23</t>
  </si>
  <si>
    <t>SO2601-91047</t>
  </si>
  <si>
    <t>IN2601-100353</t>
  </si>
  <si>
    <t>12/01/2026 17:02</t>
  </si>
  <si>
    <t>SO2601-91046</t>
  </si>
  <si>
    <t>IN2601-100352</t>
  </si>
  <si>
    <t>12/01/2026 16:55</t>
  </si>
  <si>
    <t>SO2601-91045</t>
  </si>
  <si>
    <t>ID2601-0036</t>
  </si>
  <si>
    <t>12/01/2026 16:44</t>
  </si>
  <si>
    <t>SO2601-91044</t>
  </si>
  <si>
    <t>IN2601-100350</t>
  </si>
  <si>
    <t>12/01/2026 16:53</t>
  </si>
  <si>
    <t>SO2601-91043</t>
  </si>
  <si>
    <t>CU2407-00305 -  NDONWIE AMOUGWA ERIC</t>
  </si>
  <si>
    <t>IN2601-100349</t>
  </si>
  <si>
    <t>12/01/2026 16:34</t>
  </si>
  <si>
    <t>SO2601-91042</t>
  </si>
  <si>
    <t>M NGUIMO</t>
  </si>
  <si>
    <t>IN2601-100348</t>
  </si>
  <si>
    <t>12/01/2026 16:37</t>
  </si>
  <si>
    <t>SO2601-91041</t>
  </si>
  <si>
    <t>IN2601-100347</t>
  </si>
  <si>
    <t>12/01/2026 16:30</t>
  </si>
  <si>
    <t>SO2601-91040</t>
  </si>
  <si>
    <t>IN2601-100346</t>
  </si>
  <si>
    <t>12/01/2026 16:47</t>
  </si>
  <si>
    <t>SO2601-91039</t>
  </si>
  <si>
    <t>IN2601-100345</t>
  </si>
  <si>
    <t>12/01/2026 16:28</t>
  </si>
  <si>
    <t>SO2601-91038</t>
  </si>
  <si>
    <t>TCHABET JOHN 673870946</t>
  </si>
  <si>
    <t>IN2601-100344</t>
  </si>
  <si>
    <t>12/01/2026 16:32</t>
  </si>
  <si>
    <t>SO2601-91037</t>
  </si>
  <si>
    <t>M MBIDA</t>
  </si>
  <si>
    <t>IN2601-100343</t>
  </si>
  <si>
    <t>SO2601-91036</t>
  </si>
  <si>
    <t>IN2601-100342</t>
  </si>
  <si>
    <t>12/01/2026 16:21</t>
  </si>
  <si>
    <t>SO2601-91035</t>
  </si>
  <si>
    <t>EDOUARD OBONO</t>
  </si>
  <si>
    <t>IN2601-100341</t>
  </si>
  <si>
    <t>12/01/2026 16:18</t>
  </si>
  <si>
    <t>SO2601-91034</t>
  </si>
  <si>
    <t>IN2601-100340</t>
  </si>
  <si>
    <t>12/01/2026 16:19</t>
  </si>
  <si>
    <t>SO2601-91033</t>
  </si>
  <si>
    <t>IN2601-100339</t>
  </si>
  <si>
    <t>12/01/2026 16:49</t>
  </si>
  <si>
    <t>SO2601-91032</t>
  </si>
  <si>
    <t>IN2601-100338</t>
  </si>
  <si>
    <t>12/01/2026 16:10</t>
  </si>
  <si>
    <t>SO2601-91031</t>
  </si>
  <si>
    <t>MITERRAND</t>
  </si>
  <si>
    <t>IN2601-100337</t>
  </si>
  <si>
    <t>12/01/2026 16:09</t>
  </si>
  <si>
    <t>SO2601-91030</t>
  </si>
  <si>
    <t>MME EDIMA</t>
  </si>
  <si>
    <t>IN2601-100336</t>
  </si>
  <si>
    <t>12/01/2026 16:41</t>
  </si>
  <si>
    <t>SO2601-91029</t>
  </si>
  <si>
    <t>CU2407-00893 -  PROVENDERIE LE GOSEN</t>
  </si>
  <si>
    <t>IN2601-100335</t>
  </si>
  <si>
    <t>12/01/2026 16:17</t>
  </si>
  <si>
    <t>SO2601-91028</t>
  </si>
  <si>
    <t>CU2601-14266 -  POUMENI PANGOB AXEL</t>
  </si>
  <si>
    <t>IN2601-100334</t>
  </si>
  <si>
    <t>12/01/2026 16:04</t>
  </si>
  <si>
    <t>SO2601-91027</t>
  </si>
  <si>
    <t>HAMIDOU ALIM / 675 56 96 07</t>
  </si>
  <si>
    <t>IN2601-100333</t>
  </si>
  <si>
    <t>12/01/2026 16:02</t>
  </si>
  <si>
    <t>SO2601-91026</t>
  </si>
  <si>
    <t>IN2601-100332</t>
  </si>
  <si>
    <t>12/01/2026 16:26</t>
  </si>
  <si>
    <t>SO2601-91025</t>
  </si>
  <si>
    <t>IN2601-100331</t>
  </si>
  <si>
    <t>12/01/2026 17:08</t>
  </si>
  <si>
    <t>SO2601-91024</t>
  </si>
  <si>
    <t>CU2407-00600 -  FOKA MARCEL</t>
  </si>
  <si>
    <t>IN2601-100330</t>
  </si>
  <si>
    <t>12/01/2026 16:03</t>
  </si>
  <si>
    <t>SO2601-91023</t>
  </si>
  <si>
    <t>dominiue</t>
  </si>
  <si>
    <t>IN2601-100329</t>
  </si>
  <si>
    <t>12/01/2026 16:00</t>
  </si>
  <si>
    <t>SO2601-91022</t>
  </si>
  <si>
    <t>IN2601-100328</t>
  </si>
  <si>
    <t>SO2601-91021</t>
  </si>
  <si>
    <t>HAMZA AWALOU / 690 52 96 97</t>
  </si>
  <si>
    <t>IN2601-100327</t>
  </si>
  <si>
    <t>12/01/2026 15:59</t>
  </si>
  <si>
    <t>SO2601-91020</t>
  </si>
  <si>
    <t>IN2601-100326</t>
  </si>
  <si>
    <t>12/01/2026 15:58</t>
  </si>
  <si>
    <t>SO2601-91019</t>
  </si>
  <si>
    <t>IN2601-100325</t>
  </si>
  <si>
    <t>12/01/2026 15:57</t>
  </si>
  <si>
    <t>SO2601-91018</t>
  </si>
  <si>
    <t>MAWABO WAMBO 695743867</t>
  </si>
  <si>
    <t>IN2601-100324</t>
  </si>
  <si>
    <t>12/01/2026 15:50</t>
  </si>
  <si>
    <t>SO2601-91017</t>
  </si>
  <si>
    <t>IN2601-100323</t>
  </si>
  <si>
    <t>12/01/2026 15:47</t>
  </si>
  <si>
    <t>SO2601-91016</t>
  </si>
  <si>
    <t>FOFFOSILVIE</t>
  </si>
  <si>
    <t>IN2601-100322</t>
  </si>
  <si>
    <t>SO2601-91015</t>
  </si>
  <si>
    <t>MBAH</t>
  </si>
  <si>
    <t>IN2601-100321</t>
  </si>
  <si>
    <t>12/01/2026 15:45</t>
  </si>
  <si>
    <t>SO2601-91014</t>
  </si>
  <si>
    <t>IN2601-100320</t>
  </si>
  <si>
    <t>12/01/2026 15:39</t>
  </si>
  <si>
    <t>SO2601-91013</t>
  </si>
  <si>
    <t>IN2601-100319</t>
  </si>
  <si>
    <t>12/01/2026 15:43</t>
  </si>
  <si>
    <t>SO2601-91012</t>
  </si>
  <si>
    <t>MME ADJIFO PELAGIE 697795182</t>
  </si>
  <si>
    <t>IN2601-100318</t>
  </si>
  <si>
    <t>SO2601-91011</t>
  </si>
  <si>
    <t>ZONKA</t>
  </si>
  <si>
    <t>IN2601-100317</t>
  </si>
  <si>
    <t>12/01/2026 15:33</t>
  </si>
  <si>
    <t>SO2601-91010</t>
  </si>
  <si>
    <t>BELUS 651229823</t>
  </si>
  <si>
    <t>IN2601-100316</t>
  </si>
  <si>
    <t>12/01/2026 15:27</t>
  </si>
  <si>
    <t>SO2601-91009</t>
  </si>
  <si>
    <t>IN2601-100315</t>
  </si>
  <si>
    <t>12/01/2026 15:28</t>
  </si>
  <si>
    <t>SO2601-91008</t>
  </si>
  <si>
    <t>IN2601-100314</t>
  </si>
  <si>
    <t>SO2601-91007</t>
  </si>
  <si>
    <t>SIMON</t>
  </si>
  <si>
    <t>IN2601-100313</t>
  </si>
  <si>
    <t>SO2601-91006</t>
  </si>
  <si>
    <t>IN2601-100312</t>
  </si>
  <si>
    <t>12/01/2026 15:48</t>
  </si>
  <si>
    <t>SO2601-91005</t>
  </si>
  <si>
    <t>CU2509-14073 -  V3P SARL</t>
  </si>
  <si>
    <t>IN2601-100311</t>
  </si>
  <si>
    <t>12/01/2026 16:06</t>
  </si>
  <si>
    <t>SO2601-91004</t>
  </si>
  <si>
    <t>KENJOU</t>
  </si>
  <si>
    <t>IN2601-100310</t>
  </si>
  <si>
    <t>12/01/2026 15:18</t>
  </si>
  <si>
    <t>SO2601-91003</t>
  </si>
  <si>
    <t>HANSLEY</t>
  </si>
  <si>
    <t>IN2601-100309</t>
  </si>
  <si>
    <t>12/01/2026 15:17</t>
  </si>
  <si>
    <t>SO2601-91002</t>
  </si>
  <si>
    <t>IN2601-100308</t>
  </si>
  <si>
    <t>12/01/2026 15:36</t>
  </si>
  <si>
    <t>SO2601-91001</t>
  </si>
  <si>
    <t>IN2601-100307</t>
  </si>
  <si>
    <t>SO2601-90999</t>
  </si>
  <si>
    <t>IN2601-100305</t>
  </si>
  <si>
    <t>12/01/2026 15:14</t>
  </si>
  <si>
    <t>SO2601-90998</t>
  </si>
  <si>
    <t>NGAYAP 671351000</t>
  </si>
  <si>
    <t>IN2601-100304</t>
  </si>
  <si>
    <t>12/01/2026 15:06</t>
  </si>
  <si>
    <t>SO2601-90997</t>
  </si>
  <si>
    <t>IN2601-100303</t>
  </si>
  <si>
    <t>12/01/2026 15:23</t>
  </si>
  <si>
    <t>SO2601-90996</t>
  </si>
  <si>
    <t>IN2601-100302</t>
  </si>
  <si>
    <t>12/01/2026 15:24</t>
  </si>
  <si>
    <t>SO2601-90995</t>
  </si>
  <si>
    <t>IN2601-100301</t>
  </si>
  <si>
    <t>SO2601-90994</t>
  </si>
  <si>
    <t>KENGY</t>
  </si>
  <si>
    <t>IN2601-100300</t>
  </si>
  <si>
    <t>12/01/2026 15:07</t>
  </si>
  <si>
    <t>SO2601-90993</t>
  </si>
  <si>
    <t>IN2601-100299</t>
  </si>
  <si>
    <t>12/01/2026 15:13</t>
  </si>
  <si>
    <t>SO2601-90992</t>
  </si>
  <si>
    <t>TALOM 699080259</t>
  </si>
  <si>
    <t>IN2601-100298</t>
  </si>
  <si>
    <t>12/01/2026 15:38</t>
  </si>
  <si>
    <t>SO2601-90991</t>
  </si>
  <si>
    <t>IN2601-100297</t>
  </si>
  <si>
    <t>12/01/2026 15:04</t>
  </si>
  <si>
    <t>SO2601-90990</t>
  </si>
  <si>
    <t>IN2601-100296</t>
  </si>
  <si>
    <t>12/01/2026 15:01</t>
  </si>
  <si>
    <t>SO2601-90989</t>
  </si>
  <si>
    <t>IN2601-100295</t>
  </si>
  <si>
    <t>12/01/2026 15:00</t>
  </si>
  <si>
    <t>SO2601-90988</t>
  </si>
  <si>
    <t>MARIE</t>
  </si>
  <si>
    <t>IN2601-100294</t>
  </si>
  <si>
    <t>12/01/2026 14:59</t>
  </si>
  <si>
    <t>SO2601-90987</t>
  </si>
  <si>
    <t>IN2601-100293</t>
  </si>
  <si>
    <t>SO2601-90986</t>
  </si>
  <si>
    <t>IN2601-100292</t>
  </si>
  <si>
    <t>12/01/2026 15:02</t>
  </si>
  <si>
    <t>SO2601-90985</t>
  </si>
  <si>
    <t>MATI</t>
  </si>
  <si>
    <t>IN2601-100291</t>
  </si>
  <si>
    <t>12/01/2026 14:57</t>
  </si>
  <si>
    <t>SO2601-90984</t>
  </si>
  <si>
    <t>IN2601-100290</t>
  </si>
  <si>
    <t>12/01/2026 14:55</t>
  </si>
  <si>
    <t>SO2601-90983</t>
  </si>
  <si>
    <t>M WEA 697113707</t>
  </si>
  <si>
    <t>IN2601-100289</t>
  </si>
  <si>
    <t>12/01/2026 14:49</t>
  </si>
  <si>
    <t>SO2601-90982</t>
  </si>
  <si>
    <t>M BARGA</t>
  </si>
  <si>
    <t>IN2601-100288</t>
  </si>
  <si>
    <t>12/01/2026 14:52</t>
  </si>
  <si>
    <t>SO2601-90981</t>
  </si>
  <si>
    <t>IN2601-100287</t>
  </si>
  <si>
    <t>12/01/2026 14:53</t>
  </si>
  <si>
    <t>SO2601-90980</t>
  </si>
  <si>
    <t>IN2601-100286</t>
  </si>
  <si>
    <t>SO2601-90979</t>
  </si>
  <si>
    <t>TIKANKOU 683804940</t>
  </si>
  <si>
    <t>IN2601-100285</t>
  </si>
  <si>
    <t>12/01/2026 14:45</t>
  </si>
  <si>
    <t>SO2601-90978</t>
  </si>
  <si>
    <t>IN2601-100284</t>
  </si>
  <si>
    <t>SO2601-90976</t>
  </si>
  <si>
    <t>IN2601-100282</t>
  </si>
  <si>
    <t>12/01/2026 14:43</t>
  </si>
  <si>
    <t>SO2601-90975</t>
  </si>
  <si>
    <t>IN2601-100281</t>
  </si>
  <si>
    <t>SO2601-90974</t>
  </si>
  <si>
    <t>IN2601-100280</t>
  </si>
  <si>
    <t>12/01/2026 14:37</t>
  </si>
  <si>
    <t>SO2601-90973</t>
  </si>
  <si>
    <t>LADO RUSSEL / 655 75 41 92</t>
  </si>
  <si>
    <t>IN2601-100279</t>
  </si>
  <si>
    <t>SO2601-90972</t>
  </si>
  <si>
    <t>IN2601-100278</t>
  </si>
  <si>
    <t>12/01/2026 14:39</t>
  </si>
  <si>
    <t>SO2601-90971</t>
  </si>
  <si>
    <t>IN2601-100277</t>
  </si>
  <si>
    <t>12/01/2026 14:24</t>
  </si>
  <si>
    <t>SO2601-90970</t>
  </si>
  <si>
    <t>IN2601-100276</t>
  </si>
  <si>
    <t>12/01/2026 14:47</t>
  </si>
  <si>
    <t>SO2601-90969</t>
  </si>
  <si>
    <t>IN2601-100275</t>
  </si>
  <si>
    <t>12/01/2026 14:21</t>
  </si>
  <si>
    <t>SO2601-90968</t>
  </si>
  <si>
    <t>IN2601-100274</t>
  </si>
  <si>
    <t>SO2601-90967</t>
  </si>
  <si>
    <t>IN2601-100273</t>
  </si>
  <si>
    <t>12/01/2026 14:23</t>
  </si>
  <si>
    <t>SO2601-90966</t>
  </si>
  <si>
    <t>METVOL 693414657</t>
  </si>
  <si>
    <t>IN2601-100272</t>
  </si>
  <si>
    <t>12/01/2026 14:22</t>
  </si>
  <si>
    <t>SO2601-90965</t>
  </si>
  <si>
    <t>IN2601-100271</t>
  </si>
  <si>
    <t>12/01/2026 14:14</t>
  </si>
  <si>
    <t>SO2601-90964</t>
  </si>
  <si>
    <t>IN2601-100270</t>
  </si>
  <si>
    <t>12/01/2026 14:19</t>
  </si>
  <si>
    <t>SO2601-90963</t>
  </si>
  <si>
    <t>IN2601-100269</t>
  </si>
  <si>
    <t>SO2601-90962</t>
  </si>
  <si>
    <t>IN2601-100268</t>
  </si>
  <si>
    <t>12/01/2026 14:18</t>
  </si>
  <si>
    <t>SO2601-90961</t>
  </si>
  <si>
    <t>HADJI</t>
  </si>
  <si>
    <t>IN2601-100267</t>
  </si>
  <si>
    <t>12/01/2026 14:08</t>
  </si>
  <si>
    <t>SO2601-90960</t>
  </si>
  <si>
    <t>pierre emaco</t>
  </si>
  <si>
    <t>IN2601-100266</t>
  </si>
  <si>
    <t>SO2601-90959</t>
  </si>
  <si>
    <t>IN2601-100265</t>
  </si>
  <si>
    <t>12/01/2026 14:07</t>
  </si>
  <si>
    <t>SO2601-90958</t>
  </si>
  <si>
    <t>IN2601-100264</t>
  </si>
  <si>
    <t>SO2601-90957</t>
  </si>
  <si>
    <t>IN2601-100263</t>
  </si>
  <si>
    <t>12/01/2026 14:11</t>
  </si>
  <si>
    <t>SO2601-90956</t>
  </si>
  <si>
    <t>IN2601-100262</t>
  </si>
  <si>
    <t>12/01/2026 14:03</t>
  </si>
  <si>
    <t>SO2601-90955</t>
  </si>
  <si>
    <t>IN2601-100261</t>
  </si>
  <si>
    <t>12/01/2026 14:06</t>
  </si>
  <si>
    <t>SO2601-90954</t>
  </si>
  <si>
    <t>IN2601-100260</t>
  </si>
  <si>
    <t>12/01/2026 13:51</t>
  </si>
  <si>
    <t>SO2601-90953</t>
  </si>
  <si>
    <t>CU2511-14179 -  PROVENDERIE CYRUS SA</t>
  </si>
  <si>
    <t>IN2601-100259</t>
  </si>
  <si>
    <t>12/01/2026 14:05</t>
  </si>
  <si>
    <t>SO2601-90952</t>
  </si>
  <si>
    <t>IN2601-100258</t>
  </si>
  <si>
    <t>12/01/2026 13:43</t>
  </si>
  <si>
    <t>SO2601-90951</t>
  </si>
  <si>
    <t>IN2601-100257</t>
  </si>
  <si>
    <t>12/01/2026 13:41</t>
  </si>
  <si>
    <t>SO2601-90950</t>
  </si>
  <si>
    <t>ONDOUA</t>
  </si>
  <si>
    <t>IN2601-100256</t>
  </si>
  <si>
    <t>12/01/2026 13:40</t>
  </si>
  <si>
    <t>SO2601-90949</t>
  </si>
  <si>
    <t>IN2601-100255</t>
  </si>
  <si>
    <t>12/01/2026 13:36</t>
  </si>
  <si>
    <t>SO2601-90948</t>
  </si>
  <si>
    <t>IN2601-100254</t>
  </si>
  <si>
    <t>12/01/2026 13:46</t>
  </si>
  <si>
    <t>SO2601-90947</t>
  </si>
  <si>
    <t>IN2601-100253</t>
  </si>
  <si>
    <t>SO2601-90946</t>
  </si>
  <si>
    <t>IN2601-100252</t>
  </si>
  <si>
    <t>12/01/2026 13:33</t>
  </si>
  <si>
    <t>SO2601-90945</t>
  </si>
  <si>
    <t>IN2601-100251</t>
  </si>
  <si>
    <t>12/01/2026 13:32</t>
  </si>
  <si>
    <t>SO2601-90944</t>
  </si>
  <si>
    <t>M.NGOULA OLIVIER 682628989</t>
  </si>
  <si>
    <t>IN2601-100250</t>
  </si>
  <si>
    <t>SO2601-90943</t>
  </si>
  <si>
    <t>ABOUBAKAR ALIM / 699420054</t>
  </si>
  <si>
    <t>IN2601-100249</t>
  </si>
  <si>
    <t>12/01/2026 13:25</t>
  </si>
  <si>
    <t>SO2601-90942</t>
  </si>
  <si>
    <t>M BOUARY ASSAN</t>
  </si>
  <si>
    <t>IN2601-100248</t>
  </si>
  <si>
    <t>12/01/2026 13:26</t>
  </si>
  <si>
    <t>SO2601-90940</t>
  </si>
  <si>
    <t>IN2601-100246</t>
  </si>
  <si>
    <t>12/01/2026 13:12</t>
  </si>
  <si>
    <t>SO2601-90939</t>
  </si>
  <si>
    <t>CHIMENE</t>
  </si>
  <si>
    <t>IN2601-100245</t>
  </si>
  <si>
    <t>SO2601-90938</t>
  </si>
  <si>
    <t>IN2601-100244</t>
  </si>
  <si>
    <t>12/01/2026 13:08</t>
  </si>
  <si>
    <t>SO2601-90937</t>
  </si>
  <si>
    <t>IN2601-100243</t>
  </si>
  <si>
    <t>12/01/2026 13:09</t>
  </si>
  <si>
    <t>SO2601-90936</t>
  </si>
  <si>
    <t>CU2407-00493 -  CHEF SUP BALEVENG</t>
  </si>
  <si>
    <t>IN2601-100242</t>
  </si>
  <si>
    <t>12/01/2026 13:04</t>
  </si>
  <si>
    <t>SO2601-90935</t>
  </si>
  <si>
    <t>IN2601-100241</t>
  </si>
  <si>
    <t>12/01/2026 13:03</t>
  </si>
  <si>
    <t>SO2601-90934</t>
  </si>
  <si>
    <t>IN2601-100240</t>
  </si>
  <si>
    <t>12/01/2026 13:02</t>
  </si>
  <si>
    <t>SO2601-90933</t>
  </si>
  <si>
    <t>IN2601-100239</t>
  </si>
  <si>
    <t>SO2601-90932</t>
  </si>
  <si>
    <t>IN2601-100238</t>
  </si>
  <si>
    <t>12/01/2026 12:54</t>
  </si>
  <si>
    <t>SO2601-90931</t>
  </si>
  <si>
    <t>IN2601-100237</t>
  </si>
  <si>
    <t>12/01/2026 14:58</t>
  </si>
  <si>
    <t>SO2601-90930</t>
  </si>
  <si>
    <t>MEZE / 679170406</t>
  </si>
  <si>
    <t>CU2508-13453 -  MEZE AGRIFINE</t>
  </si>
  <si>
    <t>IN2601-100236</t>
  </si>
  <si>
    <t>SO2601-90929</t>
  </si>
  <si>
    <t>IN2601-100235</t>
  </si>
  <si>
    <t>12/01/2026 12:49</t>
  </si>
  <si>
    <t>SO2601-90928</t>
  </si>
  <si>
    <t>IN2601-100234</t>
  </si>
  <si>
    <t>12/01/2026 12:51</t>
  </si>
  <si>
    <t>SO2601-90927</t>
  </si>
  <si>
    <t>IN2601-100233</t>
  </si>
  <si>
    <t>12/01/2026 12:50</t>
  </si>
  <si>
    <t>SO2601-90926</t>
  </si>
  <si>
    <t>IN2601-100232</t>
  </si>
  <si>
    <t>SO2601-90925</t>
  </si>
  <si>
    <t>IN2601-100231</t>
  </si>
  <si>
    <t>12/01/2026 12:46</t>
  </si>
  <si>
    <t>SO2601-90924</t>
  </si>
  <si>
    <t>IN2601-100230</t>
  </si>
  <si>
    <t>SO2601-90923</t>
  </si>
  <si>
    <t>MME ENGOME VIVIANE 653733786</t>
  </si>
  <si>
    <t>IN2601-100229</t>
  </si>
  <si>
    <t>12/01/2026 12:40</t>
  </si>
  <si>
    <t>SO2601-90922</t>
  </si>
  <si>
    <t>IN2601-100228</t>
  </si>
  <si>
    <t>12/01/2026 12:38</t>
  </si>
  <si>
    <t>SO2601-90921</t>
  </si>
  <si>
    <t>CU2407-00296 -  MIEKAH THERESE-CHERIE</t>
  </si>
  <si>
    <t>IN2601-100227</t>
  </si>
  <si>
    <t>SO2601-90920</t>
  </si>
  <si>
    <t>IN2601-100226</t>
  </si>
  <si>
    <t>SO2601-90919</t>
  </si>
  <si>
    <t>CU2407-00254 -  CLIFFORD MBUYAM</t>
  </si>
  <si>
    <t>IN2601-100225</t>
  </si>
  <si>
    <t>12/01/2026 12:35</t>
  </si>
  <si>
    <t>SO2601-90918</t>
  </si>
  <si>
    <t>IN2601-100224</t>
  </si>
  <si>
    <t>12/01/2026 12:37</t>
  </si>
  <si>
    <t>SO2601-90917</t>
  </si>
  <si>
    <t>IN2601-100223</t>
  </si>
  <si>
    <t>12/01/2026 12:32</t>
  </si>
  <si>
    <t>SO2601-90916</t>
  </si>
  <si>
    <t>IN2601-100222</t>
  </si>
  <si>
    <t>SO2601-90915</t>
  </si>
  <si>
    <t>IMOUG ALBERT 683834223</t>
  </si>
  <si>
    <t>IN2601-100221</t>
  </si>
  <si>
    <t>12/01/2026 14:09</t>
  </si>
  <si>
    <t>SO2601-90914</t>
  </si>
  <si>
    <t>CU2407-00862 -  NGUELLA MARTIN</t>
  </si>
  <si>
    <t>IN2601-100220</t>
  </si>
  <si>
    <t>12/01/2026 12:25</t>
  </si>
  <si>
    <t>SO2601-90913</t>
  </si>
  <si>
    <t>IN2601-100219</t>
  </si>
  <si>
    <t>12/01/2026 12:21</t>
  </si>
  <si>
    <t>SO2601-90912</t>
  </si>
  <si>
    <t>IN2601-100218</t>
  </si>
  <si>
    <t>12/01/2026 12:23</t>
  </si>
  <si>
    <t>SO2601-90911</t>
  </si>
  <si>
    <t>IN2601-100217</t>
  </si>
  <si>
    <t>SO2601-90910</t>
  </si>
  <si>
    <t>IN2601-100216</t>
  </si>
  <si>
    <t>12/01/2026 12:17</t>
  </si>
  <si>
    <t>SO2601-90909</t>
  </si>
  <si>
    <t>BOUM</t>
  </si>
  <si>
    <t>IN2601-100215</t>
  </si>
  <si>
    <t>12/01/2026 12:15</t>
  </si>
  <si>
    <t>SO2601-90908</t>
  </si>
  <si>
    <t>IN2601-100214</t>
  </si>
  <si>
    <t>12/01/2026 12:27</t>
  </si>
  <si>
    <t>SO2601-90907</t>
  </si>
  <si>
    <t>IN2601-100213</t>
  </si>
  <si>
    <t>SO2601-90906</t>
  </si>
  <si>
    <t>IN2601-100212</t>
  </si>
  <si>
    <t>12/01/2026 12:44</t>
  </si>
  <si>
    <t>SO2601-90905</t>
  </si>
  <si>
    <t>IN2601-100211</t>
  </si>
  <si>
    <t>12/01/2026 12:07</t>
  </si>
  <si>
    <t>SO2601-90904</t>
  </si>
  <si>
    <t>IN2601-100210</t>
  </si>
  <si>
    <t>12/01/2026 12:18</t>
  </si>
  <si>
    <t>SO2601-90903</t>
  </si>
  <si>
    <t>FOSSI 698312761</t>
  </si>
  <si>
    <t>IN2601-100209</t>
  </si>
  <si>
    <t>12/01/2026 12:11</t>
  </si>
  <si>
    <t>SO2601-90902</t>
  </si>
  <si>
    <t>CU2407-00788 -  MINIMIKIM MATHIAS NDIKINIMEKI</t>
  </si>
  <si>
    <t>IN2601-100208</t>
  </si>
  <si>
    <t>12/01/2026 12:02</t>
  </si>
  <si>
    <t>SO2601-90901</t>
  </si>
  <si>
    <t>CU2407-00342 -  TELIE LANDRY</t>
  </si>
  <si>
    <t>IN2601-100207</t>
  </si>
  <si>
    <t>12/01/2026 12:05</t>
  </si>
  <si>
    <t>SO2601-90900</t>
  </si>
  <si>
    <t>MOFFO 650925582</t>
  </si>
  <si>
    <t>IN2601-100206</t>
  </si>
  <si>
    <t>12/01/2026 12:01</t>
  </si>
  <si>
    <t>SO2601-90899</t>
  </si>
  <si>
    <t>NZODJOU</t>
  </si>
  <si>
    <t>IN2601-100205</t>
  </si>
  <si>
    <t>12/01/2026 11:57</t>
  </si>
  <si>
    <t>SO2601-90898</t>
  </si>
  <si>
    <t>M FOTSO BLAISE 696172635</t>
  </si>
  <si>
    <t>IN2601-100204</t>
  </si>
  <si>
    <t>12/01/2026 11:55</t>
  </si>
  <si>
    <t>SO2601-90897</t>
  </si>
  <si>
    <t>IN2601-100203</t>
  </si>
  <si>
    <t>12/01/2026 11:58</t>
  </si>
  <si>
    <t>SO2601-90896</t>
  </si>
  <si>
    <t>IN2601-100202</t>
  </si>
  <si>
    <t>12/01/2026 11:54</t>
  </si>
  <si>
    <t>SO2601-90895</t>
  </si>
  <si>
    <t>TOWA</t>
  </si>
  <si>
    <t>IN2601-100201</t>
  </si>
  <si>
    <t>12/01/2026 11:51</t>
  </si>
  <si>
    <t>SO2601-90894</t>
  </si>
  <si>
    <t>IN2601-100200</t>
  </si>
  <si>
    <t>SO2601-90893</t>
  </si>
  <si>
    <t>IN2601-100199</t>
  </si>
  <si>
    <t>SO2601-90892</t>
  </si>
  <si>
    <t>DJILO</t>
  </si>
  <si>
    <t>IN2601-100198</t>
  </si>
  <si>
    <t>12/01/2026 11:49</t>
  </si>
  <si>
    <t>SO2601-90891</t>
  </si>
  <si>
    <t>IN2601-100197</t>
  </si>
  <si>
    <t>SO2601-90890</t>
  </si>
  <si>
    <t>IN2601-100196</t>
  </si>
  <si>
    <t>12/01/2026 11:48</t>
  </si>
  <si>
    <t>SO2601-90889</t>
  </si>
  <si>
    <t>IN2601-100195</t>
  </si>
  <si>
    <t>12/01/2026 11:45</t>
  </si>
  <si>
    <t>SO2601-90888</t>
  </si>
  <si>
    <t>IN2601-100194</t>
  </si>
  <si>
    <t>SO2601-90887</t>
  </si>
  <si>
    <t>ABOUBAKAR SADJO / 694560346</t>
  </si>
  <si>
    <t>CU2509-13924 -  ABOUBAKAR SADJO</t>
  </si>
  <si>
    <t>IN2601-100193</t>
  </si>
  <si>
    <t>12/01/2026 11:43</t>
  </si>
  <si>
    <t>SO2601-90886</t>
  </si>
  <si>
    <t>IN2601-100192</t>
  </si>
  <si>
    <t>SO2601-90885</t>
  </si>
  <si>
    <t>IN2601-100191</t>
  </si>
  <si>
    <t>12/01/2026 11:40</t>
  </si>
  <si>
    <t>SO2601-90884</t>
  </si>
  <si>
    <t>IN2601-100190</t>
  </si>
  <si>
    <t>12/01/2026 14:56</t>
  </si>
  <si>
    <t>SO2601-90883</t>
  </si>
  <si>
    <t>IN2601-100189</t>
  </si>
  <si>
    <t>SO2601-90882</t>
  </si>
  <si>
    <t>IN2601-100188</t>
  </si>
  <si>
    <t>SO2601-90881</t>
  </si>
  <si>
    <t>IN2601-100187</t>
  </si>
  <si>
    <t>12/01/2026 11:39</t>
  </si>
  <si>
    <t>SO2601-90880</t>
  </si>
  <si>
    <t>IN2601-100186</t>
  </si>
  <si>
    <t>SO2601-90879</t>
  </si>
  <si>
    <t>IN2601-100185</t>
  </si>
  <si>
    <t>12/01/2026 11:29</t>
  </si>
  <si>
    <t>SO2601-90878</t>
  </si>
  <si>
    <t>IN2601-100184</t>
  </si>
  <si>
    <t>12/01/2026 11:28</t>
  </si>
  <si>
    <t>SO2601-90877</t>
  </si>
  <si>
    <t>IN2601-100183</t>
  </si>
  <si>
    <t>12/01/2026 11:30</t>
  </si>
  <si>
    <t>SO2601-90876</t>
  </si>
  <si>
    <t>CU2601-14262 -  FOPA TCHIOFFO DERLAND</t>
  </si>
  <si>
    <t>IN2601-100182</t>
  </si>
  <si>
    <t>12/01/2026 11:23</t>
  </si>
  <si>
    <t>SO2601-90875</t>
  </si>
  <si>
    <t>IN2601-100181</t>
  </si>
  <si>
    <t>12/01/2026 11:19</t>
  </si>
  <si>
    <t>SO2601-90874</t>
  </si>
  <si>
    <t>IN2601-100180</t>
  </si>
  <si>
    <t>12/01/2026 11:18</t>
  </si>
  <si>
    <t>SO2601-90873</t>
  </si>
  <si>
    <t>CU2501-01193 -  FERME LEONIE (DJOMKAK HAKO LECLERC)</t>
  </si>
  <si>
    <t>IN2601-100179</t>
  </si>
  <si>
    <t>CU2501-01193 -  FERME LEONIE</t>
  </si>
  <si>
    <t>DJOMKAK HAKO LECLERC</t>
  </si>
  <si>
    <t>12/01/2026 11:21</t>
  </si>
  <si>
    <t>SO2601-90872</t>
  </si>
  <si>
    <t>IN2601-100178</t>
  </si>
  <si>
    <t>12/01/2026 11:22</t>
  </si>
  <si>
    <t>SO2601-90871</t>
  </si>
  <si>
    <t>SAMO NARCISSE / 677 80 98 55</t>
  </si>
  <si>
    <t>IN2601-100177</t>
  </si>
  <si>
    <t>12/01/2026 11:15</t>
  </si>
  <si>
    <t>SO2601-90870</t>
  </si>
  <si>
    <t>IN2601-100176</t>
  </si>
  <si>
    <t>SO2601-90869</t>
  </si>
  <si>
    <t>IN2601-100175</t>
  </si>
  <si>
    <t>12/01/2026 11:16</t>
  </si>
  <si>
    <t>SO2601-90868</t>
  </si>
  <si>
    <t>IN2601-100174</t>
  </si>
  <si>
    <t>SO2601-90867</t>
  </si>
  <si>
    <t>IN2601-100173</t>
  </si>
  <si>
    <t>12/01/2026 11:11</t>
  </si>
  <si>
    <t>SO2601-90866</t>
  </si>
  <si>
    <t>CELESTINE</t>
  </si>
  <si>
    <t>IN2601-100172</t>
  </si>
  <si>
    <t>12/01/2026 11:06</t>
  </si>
  <si>
    <t>SO2601-90865</t>
  </si>
  <si>
    <t>IN2601-100171</t>
  </si>
  <si>
    <t>12/01/2026 11:08</t>
  </si>
  <si>
    <t>SO2601-90864</t>
  </si>
  <si>
    <t>NGNIGNIPOUTYA ABDEL</t>
  </si>
  <si>
    <t>IN2601-100170</t>
  </si>
  <si>
    <t>12/01/2026 11:10</t>
  </si>
  <si>
    <t>SO2601-90863</t>
  </si>
  <si>
    <t>FOTSING 699226792</t>
  </si>
  <si>
    <t>IN2601-100169</t>
  </si>
  <si>
    <t>12/01/2026 11:04</t>
  </si>
  <si>
    <t>SO2601-90862</t>
  </si>
  <si>
    <t>NGANGIP</t>
  </si>
  <si>
    <t>IN2601-100168</t>
  </si>
  <si>
    <t>12/01/2026 11:01</t>
  </si>
  <si>
    <t>SO2601-90861</t>
  </si>
  <si>
    <t>NGNITCHAMYOU</t>
  </si>
  <si>
    <t>IN2601-100167</t>
  </si>
  <si>
    <t>12/01/2026 11:05</t>
  </si>
  <si>
    <t>SO2601-90860</t>
  </si>
  <si>
    <t>ABIGAIL</t>
  </si>
  <si>
    <t>IN2601-100166</t>
  </si>
  <si>
    <t>12/01/2026 10:55</t>
  </si>
  <si>
    <t>SO2601-90859</t>
  </si>
  <si>
    <t>CU2408-01064 -  Tchemenack Djinte Yves Gaël</t>
  </si>
  <si>
    <t>IN2601-100165</t>
  </si>
  <si>
    <t>SO2601-90858</t>
  </si>
  <si>
    <t>IN2601-100164</t>
  </si>
  <si>
    <t>12/01/2026 10:47</t>
  </si>
  <si>
    <t>SO2601-90857</t>
  </si>
  <si>
    <t>IBRAHIMA ALI / 691661165</t>
  </si>
  <si>
    <t>IN2601-100163</t>
  </si>
  <si>
    <t>SO2601-90856</t>
  </si>
  <si>
    <t>IN2601-100162</t>
  </si>
  <si>
    <t>12/01/2026 10:44</t>
  </si>
  <si>
    <t>SO2601-90855</t>
  </si>
  <si>
    <t>IN2601-100161</t>
  </si>
  <si>
    <t>12/01/2026 10:39</t>
  </si>
  <si>
    <t>SO2601-90854</t>
  </si>
  <si>
    <t>DJADJEU CELESTIN 693852561</t>
  </si>
  <si>
    <t>IN2601-100160</t>
  </si>
  <si>
    <t>12/01/2026 10:37</t>
  </si>
  <si>
    <t>SO2601-90853</t>
  </si>
  <si>
    <t>IN2601-100159</t>
  </si>
  <si>
    <t>12/01/2026 10:57</t>
  </si>
  <si>
    <t>SO2601-90852</t>
  </si>
  <si>
    <t>IN2601-100158</t>
  </si>
  <si>
    <t>12/01/2026 10:35</t>
  </si>
  <si>
    <t>SO2601-90851</t>
  </si>
  <si>
    <t>CU2408-01032 -  STE KUATE DISTRIBUTION SARL (NGNOTOUM KUATE Ledoux)</t>
  </si>
  <si>
    <t>IN2601-100157</t>
  </si>
  <si>
    <t>CU2408-01032 -  STE KUATE DISTRIBUTION SARL</t>
  </si>
  <si>
    <t>NGNOTOUM KUATE Ledoux</t>
  </si>
  <si>
    <t>12/01/2026 10:43</t>
  </si>
  <si>
    <t>SO2601-90850</t>
  </si>
  <si>
    <t>IN2601-100156</t>
  </si>
  <si>
    <t>12/01/2026 10:38</t>
  </si>
  <si>
    <t>SO2601-90849</t>
  </si>
  <si>
    <t>IN2601-100155</t>
  </si>
  <si>
    <t>12/01/2026 10:33</t>
  </si>
  <si>
    <t>SO2601-90848</t>
  </si>
  <si>
    <t>NZEUGANG ELVIS 675615678</t>
  </si>
  <si>
    <t>IN2601-100154</t>
  </si>
  <si>
    <t>SO2601-90847</t>
  </si>
  <si>
    <t>IN2601-100153</t>
  </si>
  <si>
    <t>12/01/2026 10:40</t>
  </si>
  <si>
    <t>SO2601-90846</t>
  </si>
  <si>
    <t>IN2601-100152</t>
  </si>
  <si>
    <t>SO2601-90845</t>
  </si>
  <si>
    <t>IN2601-100151</t>
  </si>
  <si>
    <t>12/01/2026 10:32</t>
  </si>
  <si>
    <t>SO2601-90844</t>
  </si>
  <si>
    <t>IN2601-100150</t>
  </si>
  <si>
    <t>12/01/2026 10:36</t>
  </si>
  <si>
    <t>SO2601-90843</t>
  </si>
  <si>
    <t>FOWA GUIFO</t>
  </si>
  <si>
    <t>IN2601-100149</t>
  </si>
  <si>
    <t>12/01/2026 10:31</t>
  </si>
  <si>
    <t>SO2601-90842</t>
  </si>
  <si>
    <t>MAGNE ANNE 676660396</t>
  </si>
  <si>
    <t>IN2601-100148</t>
  </si>
  <si>
    <t>12/01/2026 10:28</t>
  </si>
  <si>
    <t>SO2601-90841</t>
  </si>
  <si>
    <t>IN2601-100147</t>
  </si>
  <si>
    <t>SO2601-90840</t>
  </si>
  <si>
    <t>IN2601-100146</t>
  </si>
  <si>
    <t>12/01/2026 10:41</t>
  </si>
  <si>
    <t>SO2601-90839</t>
  </si>
  <si>
    <t>KOAGNE GILBERT 691777890</t>
  </si>
  <si>
    <t>IN2601-100145</t>
  </si>
  <si>
    <t>12/01/2026 10:24</t>
  </si>
  <si>
    <t>SO2601-90838</t>
  </si>
  <si>
    <t>NDANDA MAURICE 699386096</t>
  </si>
  <si>
    <t>IN2601-100144</t>
  </si>
  <si>
    <t>12/01/2026 10:27</t>
  </si>
  <si>
    <t>SO2601-90837</t>
  </si>
  <si>
    <t>PROV ST CELESTE</t>
  </si>
  <si>
    <t>IN2601-100143</t>
  </si>
  <si>
    <t>SO2601-90836</t>
  </si>
  <si>
    <t>BORIS TOUKAM 640653679</t>
  </si>
  <si>
    <t>IN2601-100142</t>
  </si>
  <si>
    <t>12/01/2026 10:34</t>
  </si>
  <si>
    <t>SO2601-90835</t>
  </si>
  <si>
    <t>IN2601-100141</t>
  </si>
  <si>
    <t>12/01/2026 10:19</t>
  </si>
  <si>
    <t>SO2601-90834</t>
  </si>
  <si>
    <t>IN2601-100140</t>
  </si>
  <si>
    <t>12/01/2026 10:25</t>
  </si>
  <si>
    <t>SO2601-90833</t>
  </si>
  <si>
    <t>FOTSING ERNEST 655464232</t>
  </si>
  <si>
    <t>IN2601-100139</t>
  </si>
  <si>
    <t>12/01/2026 10:16</t>
  </si>
  <si>
    <t>SO2601-90832</t>
  </si>
  <si>
    <t>IN2601-100138</t>
  </si>
  <si>
    <t>12/01/2026 10:23</t>
  </si>
  <si>
    <t>SO2601-90831</t>
  </si>
  <si>
    <t>IN2601-100137</t>
  </si>
  <si>
    <t>12/01/2026 10:12</t>
  </si>
  <si>
    <t>SO2601-90830</t>
  </si>
  <si>
    <t>BAKOG</t>
  </si>
  <si>
    <t>IN2601-100136</t>
  </si>
  <si>
    <t>12/01/2026 10:11</t>
  </si>
  <si>
    <t>SO2601-90829</t>
  </si>
  <si>
    <t>IN2601-100135</t>
  </si>
  <si>
    <t>12/01/2026 10:08</t>
  </si>
  <si>
    <t>SO2601-90827</t>
  </si>
  <si>
    <t>SOCRATE DJOUMESSI 679023501</t>
  </si>
  <si>
    <t>IN2601-100133</t>
  </si>
  <si>
    <t>12/01/2026 10:06</t>
  </si>
  <si>
    <t>SO2601-90826</t>
  </si>
  <si>
    <t>IN2601-100132</t>
  </si>
  <si>
    <t>SO2601-90825</t>
  </si>
  <si>
    <t>IN2601-100131</t>
  </si>
  <si>
    <t>SO2601-90824</t>
  </si>
  <si>
    <t>DEMTELI</t>
  </si>
  <si>
    <t>IN2601-100130</t>
  </si>
  <si>
    <t>SO2601-90823</t>
  </si>
  <si>
    <t>EBANDA</t>
  </si>
  <si>
    <t>IN2601-100129</t>
  </si>
  <si>
    <t>SO2601-90822</t>
  </si>
  <si>
    <t>SIMO HERMANN 653391699</t>
  </si>
  <si>
    <t>IN2601-100128</t>
  </si>
  <si>
    <t>12/01/2026 10:04</t>
  </si>
  <si>
    <t>SO2601-90821</t>
  </si>
  <si>
    <t>IN2601-100127</t>
  </si>
  <si>
    <t>12/01/2026 10:21</t>
  </si>
  <si>
    <t>SO2601-90820</t>
  </si>
  <si>
    <t>IN2601-100126</t>
  </si>
  <si>
    <t>SO2601-90819</t>
  </si>
  <si>
    <t>IN2601-100125</t>
  </si>
  <si>
    <t>12/01/2026 09:59</t>
  </si>
  <si>
    <t>SO2601-90818</t>
  </si>
  <si>
    <t>CU2512-14215 -  LEUWA JOSIANE CHRISTELLE</t>
  </si>
  <si>
    <t>IN2601-100124</t>
  </si>
  <si>
    <t>12/01/2026 10:20</t>
  </si>
  <si>
    <t>SO2601-90817</t>
  </si>
  <si>
    <t>IN2601-100123</t>
  </si>
  <si>
    <t>SO2601-90816</t>
  </si>
  <si>
    <t>IN2601-100122</t>
  </si>
  <si>
    <t>12/01/2026 10:03</t>
  </si>
  <si>
    <t>SO2601-90815</t>
  </si>
  <si>
    <t>IN2601-100121</t>
  </si>
  <si>
    <t>12/01/2026 10:01</t>
  </si>
  <si>
    <t>SO2601-90814</t>
  </si>
  <si>
    <t>WEAJI ERIC</t>
  </si>
  <si>
    <t>IN2601-100120</t>
  </si>
  <si>
    <t>12/01/2026 09:57</t>
  </si>
  <si>
    <t>SO2601-90813</t>
  </si>
  <si>
    <t>IN2601-100119</t>
  </si>
  <si>
    <t>12/01/2026 09:55</t>
  </si>
  <si>
    <t>SO2601-90812</t>
  </si>
  <si>
    <t>IN2601-100118</t>
  </si>
  <si>
    <t>SO2601-90811</t>
  </si>
  <si>
    <t>IN2601-100117</t>
  </si>
  <si>
    <t>12/01/2026 09:52</t>
  </si>
  <si>
    <t>SO2601-90810</t>
  </si>
  <si>
    <t>IN2601-100116</t>
  </si>
  <si>
    <t>12/01/2026 09:51</t>
  </si>
  <si>
    <t>SO2601-90809</t>
  </si>
  <si>
    <t>MUKAM 691295942</t>
  </si>
  <si>
    <t>IN2601-100115</t>
  </si>
  <si>
    <t>12/01/2026 09:47</t>
  </si>
  <si>
    <t>SO2601-90808</t>
  </si>
  <si>
    <t>IN2601-100114</t>
  </si>
  <si>
    <t>12/01/2026 09:44</t>
  </si>
  <si>
    <t>SO2601-90807</t>
  </si>
  <si>
    <t>IN2601-100113</t>
  </si>
  <si>
    <t>SO2601-90806</t>
  </si>
  <si>
    <t>IN2601-100112</t>
  </si>
  <si>
    <t>12/01/2026 09:41</t>
  </si>
  <si>
    <t>SO2601-90805</t>
  </si>
  <si>
    <t>CU2508-13687 -  FOTSO PIERRE</t>
  </si>
  <si>
    <t>IN2601-100111</t>
  </si>
  <si>
    <t>12/01/2026 09:40</t>
  </si>
  <si>
    <t>SO2601-90803</t>
  </si>
  <si>
    <t>IN2601-100109</t>
  </si>
  <si>
    <t>12/01/2026 09:29</t>
  </si>
  <si>
    <t>SO2601-90802</t>
  </si>
  <si>
    <t>IN2601-100108</t>
  </si>
  <si>
    <t>12/01/2026 12:08</t>
  </si>
  <si>
    <t>SO2601-90801</t>
  </si>
  <si>
    <t>IN2601-100107</t>
  </si>
  <si>
    <t>SO2601-90800</t>
  </si>
  <si>
    <t>ROLEX</t>
  </si>
  <si>
    <t>IN2601-100106</t>
  </si>
  <si>
    <t>12/01/2026 09:23</t>
  </si>
  <si>
    <t>SO2601-90798</t>
  </si>
  <si>
    <t>M.Noutsa 679921123</t>
  </si>
  <si>
    <t>IN2601-100104</t>
  </si>
  <si>
    <t>12/01/2026 09:16</t>
  </si>
  <si>
    <t>SO2601-90797</t>
  </si>
  <si>
    <t>YAYA 677072045</t>
  </si>
  <si>
    <t>IN2601-100103</t>
  </si>
  <si>
    <t>12/01/2026 09:18</t>
  </si>
  <si>
    <t>SO2601-90796</t>
  </si>
  <si>
    <t>JEAN PAUL 699745233</t>
  </si>
  <si>
    <t>IN2601-100102</t>
  </si>
  <si>
    <t>SO2601-90795</t>
  </si>
  <si>
    <t>DIVINE</t>
  </si>
  <si>
    <t>IN2601-100101</t>
  </si>
  <si>
    <t>12/01/2026 09:13</t>
  </si>
  <si>
    <t>SO2601-90794</t>
  </si>
  <si>
    <t>IN2601-100100</t>
  </si>
  <si>
    <t>12/01/2026 09:12</t>
  </si>
  <si>
    <t>SO2601-90793</t>
  </si>
  <si>
    <t>IN2601-100099</t>
  </si>
  <si>
    <t>12/01/2026 09:11</t>
  </si>
  <si>
    <t>SO2601-90792</t>
  </si>
  <si>
    <t>NGA MARIE BARDO 696634152</t>
  </si>
  <si>
    <t>IN2601-100098</t>
  </si>
  <si>
    <t>12/01/2026 09:10</t>
  </si>
  <si>
    <t>SO2601-90791</t>
  </si>
  <si>
    <t>IN2601-100097</t>
  </si>
  <si>
    <t>12/01/2026 09:03</t>
  </si>
  <si>
    <t>SO2601-90790</t>
  </si>
  <si>
    <t>IN2601-100096</t>
  </si>
  <si>
    <t>12/01/2026 09:05</t>
  </si>
  <si>
    <t>SO2601-90789</t>
  </si>
  <si>
    <t>IN2601-100095</t>
  </si>
  <si>
    <t>SO2601-90787</t>
  </si>
  <si>
    <t>FODJO KUATE 692910868</t>
  </si>
  <si>
    <t>IN2601-100093</t>
  </si>
  <si>
    <t>12/01/2026 08:48</t>
  </si>
  <si>
    <t>SO2601-90786</t>
  </si>
  <si>
    <t>PROV NOUVELLE 673122511</t>
  </si>
  <si>
    <t>IN2601-100092</t>
  </si>
  <si>
    <t>12/01/2026 08:47</t>
  </si>
  <si>
    <t>SO2601-90785</t>
  </si>
  <si>
    <t>IN2601-100091</t>
  </si>
  <si>
    <t>12/01/2026 08:51</t>
  </si>
  <si>
    <t>SO2601-90784</t>
  </si>
  <si>
    <t>M TODJOM 678000209</t>
  </si>
  <si>
    <t>IN2601-100090</t>
  </si>
  <si>
    <t>12/01/2026 08:46</t>
  </si>
  <si>
    <t>SO2601-90783</t>
  </si>
  <si>
    <t>TAKOUKAM DAVID 674834503</t>
  </si>
  <si>
    <t>IN2601-100089</t>
  </si>
  <si>
    <t>SO2601-90782</t>
  </si>
  <si>
    <t>CU2407-00496 -  CHOUNDONG</t>
  </si>
  <si>
    <t>IN2601-100088</t>
  </si>
  <si>
    <t>SO2601-90781</t>
  </si>
  <si>
    <t>INET</t>
  </si>
  <si>
    <t>IN2601-100087</t>
  </si>
  <si>
    <t>SO2601-90780</t>
  </si>
  <si>
    <t>TEKADAM 694361636</t>
  </si>
  <si>
    <t>IN2601-100086</t>
  </si>
  <si>
    <t>12/01/2026 08:44</t>
  </si>
  <si>
    <t>SO2601-90779</t>
  </si>
  <si>
    <t>IN2601-100085</t>
  </si>
  <si>
    <t>12/01/2026 08:49</t>
  </si>
  <si>
    <t>SO2601-90778</t>
  </si>
  <si>
    <t>IN2601-100084</t>
  </si>
  <si>
    <t>12/01/2026 08:34</t>
  </si>
  <si>
    <t>SO2601-90777</t>
  </si>
  <si>
    <t>IN2601-100083</t>
  </si>
  <si>
    <t>12/01/2026 08:37</t>
  </si>
  <si>
    <t>SO2601-90776</t>
  </si>
  <si>
    <t>IN2601-100082</t>
  </si>
  <si>
    <t>12/01/2026 08:31</t>
  </si>
  <si>
    <t>SO2601-90775</t>
  </si>
  <si>
    <t>IN2601-100081</t>
  </si>
  <si>
    <t>12/01/2026 08:30</t>
  </si>
  <si>
    <t>SO2601-90774</t>
  </si>
  <si>
    <t>IN2601-100080</t>
  </si>
  <si>
    <t>12/01/2026 08:23</t>
  </si>
  <si>
    <t>SO2601-90773</t>
  </si>
  <si>
    <t>IN2601-100079</t>
  </si>
  <si>
    <t>12/01/2026 08:28</t>
  </si>
  <si>
    <t>SO2601-90772</t>
  </si>
  <si>
    <t>IN2601-100078</t>
  </si>
  <si>
    <t>12/01/2026 08:21</t>
  </si>
  <si>
    <t>SO2601-90771</t>
  </si>
  <si>
    <t>IN2601-100077</t>
  </si>
  <si>
    <t>12/01/2026 08:32</t>
  </si>
  <si>
    <t>SO2601-90770</t>
  </si>
  <si>
    <t>IN2601-100076</t>
  </si>
  <si>
    <t>12/01/2026 08:12</t>
  </si>
  <si>
    <t>SO2601-90769</t>
  </si>
  <si>
    <t>IN2601-100075</t>
  </si>
  <si>
    <t>12/01/2026 08:08</t>
  </si>
  <si>
    <t>SO2601-90768</t>
  </si>
  <si>
    <t>IN2601-100074</t>
  </si>
  <si>
    <t>12/01/2026 08:03</t>
  </si>
  <si>
    <t>SO2601-90767</t>
  </si>
  <si>
    <t>IN2601-100073</t>
  </si>
  <si>
    <t>12/01/2026 08:05</t>
  </si>
  <si>
    <t>SO2601-90766</t>
  </si>
  <si>
    <t>IN2601-100072</t>
  </si>
  <si>
    <t>12/01/2026 08:15</t>
  </si>
  <si>
    <t>SO2601-90765</t>
  </si>
  <si>
    <t>IN2601-100071</t>
  </si>
  <si>
    <t>12/01/2026 07:46</t>
  </si>
  <si>
    <t>SO2601-90828</t>
  </si>
  <si>
    <t>IN2601-100134</t>
  </si>
  <si>
    <t>SO2601-90764</t>
  </si>
  <si>
    <t>IN2601-100070</t>
  </si>
  <si>
    <t>10/01/2026 13:57</t>
  </si>
  <si>
    <t>SO2601-90763</t>
  </si>
  <si>
    <t>IN2601-100069</t>
  </si>
  <si>
    <t>SO2601-90755</t>
  </si>
  <si>
    <t>IN2601-100068</t>
  </si>
  <si>
    <t>10/01/2026 13:52</t>
  </si>
  <si>
    <t>SO2601-90762</t>
  </si>
  <si>
    <t>ATSAMA VICTORINE</t>
  </si>
  <si>
    <t>IN2601-100067</t>
  </si>
  <si>
    <t>10/01/2026 14:55</t>
  </si>
  <si>
    <t>SO2601-90576</t>
  </si>
  <si>
    <t>M SONEGUENG</t>
  </si>
  <si>
    <t>IN2601-100066</t>
  </si>
  <si>
    <t>10/01/2026 13:51</t>
  </si>
  <si>
    <t>SO2601-90760</t>
  </si>
  <si>
    <t>IN2601-100065</t>
  </si>
  <si>
    <t>10/01/2026 13:41</t>
  </si>
  <si>
    <t>SO2601-90759</t>
  </si>
  <si>
    <t>IN2601-100064</t>
  </si>
  <si>
    <t>11/01/2026</t>
  </si>
  <si>
    <t>10/01/2026 13:36</t>
  </si>
  <si>
    <t>SO2601-90758</t>
  </si>
  <si>
    <t>CU2410-01138 -  ETS GLOBAL COMPAGNY AGROVET (ABOUBAKAR MOHAMADOU)</t>
  </si>
  <si>
    <t>IN2601-100063</t>
  </si>
  <si>
    <t>CU2410-01138 -  ETS GLOBAL COMPAGNY AGROVET</t>
  </si>
  <si>
    <t>ABOUBAKAR MOHAMADOU</t>
  </si>
  <si>
    <t>10/01/2026 13:35</t>
  </si>
  <si>
    <t>SO2601-90757</t>
  </si>
  <si>
    <t>MARIUS</t>
  </si>
  <si>
    <t>DARBAWA Félicité</t>
  </si>
  <si>
    <t>IN2601-100062</t>
  </si>
  <si>
    <t>10/01/2026 13:30</t>
  </si>
  <si>
    <t>SO2601-90756</t>
  </si>
  <si>
    <t>NAOMI</t>
  </si>
  <si>
    <t>IN2601-100061</t>
  </si>
  <si>
    <t>10/01/2026 13:24</t>
  </si>
  <si>
    <t>SO2601-90754</t>
  </si>
  <si>
    <t>ETS GLOBAL / 699181019</t>
  </si>
  <si>
    <t>IN2601-100059</t>
  </si>
  <si>
    <t>10/01/2026 13:23</t>
  </si>
  <si>
    <t>SO2601-90752</t>
  </si>
  <si>
    <t>IN2601-100057</t>
  </si>
  <si>
    <t>SO2601-90751</t>
  </si>
  <si>
    <t>CU2504-01320 -  STE NAAPCAM</t>
  </si>
  <si>
    <t>IN2601-100056</t>
  </si>
  <si>
    <t>10/01/2026 13:15</t>
  </si>
  <si>
    <t>SO2601-90750</t>
  </si>
  <si>
    <t>KAM APPOLINAIRE</t>
  </si>
  <si>
    <t>IN2601-100055</t>
  </si>
  <si>
    <t>10/01/2026 13:25</t>
  </si>
  <si>
    <t>SO2601-90749</t>
  </si>
  <si>
    <t>IN2601-100054</t>
  </si>
  <si>
    <t>10/01/2026 13:13</t>
  </si>
  <si>
    <t>SO2601-90748</t>
  </si>
  <si>
    <t>FONGANG  SYLATCHA (ZDCL00112)</t>
  </si>
  <si>
    <t>IN2601-100053</t>
  </si>
  <si>
    <t>FONGANG  SYLATCHA</t>
  </si>
  <si>
    <t>ZDCL00112</t>
  </si>
  <si>
    <t>10/01/2026 13:18</t>
  </si>
  <si>
    <t>SO2601-90747</t>
  </si>
  <si>
    <t>PETIT JEAN</t>
  </si>
  <si>
    <t>IN2601-100052</t>
  </si>
  <si>
    <t>10/01/2026 13:08</t>
  </si>
  <si>
    <t>SO2601-90746</t>
  </si>
  <si>
    <t>EQUITE</t>
  </si>
  <si>
    <t>IN2601-100051</t>
  </si>
  <si>
    <t>10/01/2026 13:07</t>
  </si>
  <si>
    <t>SO2601-90745</t>
  </si>
  <si>
    <t>IN2601-100050</t>
  </si>
  <si>
    <t>10/01/2026 13:06</t>
  </si>
  <si>
    <t>SO2601-90744</t>
  </si>
  <si>
    <t>IN2601-100049</t>
  </si>
  <si>
    <t>10/01/2026 13:02</t>
  </si>
  <si>
    <t>SO2601-90743</t>
  </si>
  <si>
    <t>IN2601-100048</t>
  </si>
  <si>
    <t>10/01/2026 13:04</t>
  </si>
  <si>
    <t>SO2601-90742</t>
  </si>
  <si>
    <t>IN2601-100047</t>
  </si>
  <si>
    <t>10/01/2026 13:03</t>
  </si>
  <si>
    <t>SO2601-90741</t>
  </si>
  <si>
    <t>IN2601-100046</t>
  </si>
  <si>
    <t>SO2601-90740</t>
  </si>
  <si>
    <t>SILATCHOM / 699725442</t>
  </si>
  <si>
    <t>IN2601-100045</t>
  </si>
  <si>
    <t>10/01/2026 12:55</t>
  </si>
  <si>
    <t>SO2601-90739</t>
  </si>
  <si>
    <t>Jules</t>
  </si>
  <si>
    <t>IN2601-100044</t>
  </si>
  <si>
    <t>10/01/2026 12:54</t>
  </si>
  <si>
    <t>SO2601-90738</t>
  </si>
  <si>
    <t>IN2601-100043</t>
  </si>
  <si>
    <t>10/01/2026 12:59</t>
  </si>
  <si>
    <t>SO2601-90737</t>
  </si>
  <si>
    <t>IN2601-100042</t>
  </si>
  <si>
    <t>SO2601-90736</t>
  </si>
  <si>
    <t>MACAIRE / 682 59 04 04</t>
  </si>
  <si>
    <t>IN2601-100041</t>
  </si>
  <si>
    <t>10/01/2026 12:42</t>
  </si>
  <si>
    <t>SO2601-90735</t>
  </si>
  <si>
    <t>IN2601-100040</t>
  </si>
  <si>
    <t>10/01/2026 13:00</t>
  </si>
  <si>
    <t>SO2601-90734</t>
  </si>
  <si>
    <t>IN2601-100039</t>
  </si>
  <si>
    <t>10/01/2026 12:43</t>
  </si>
  <si>
    <t>SO2601-90733</t>
  </si>
  <si>
    <t>IN2601-100038</t>
  </si>
  <si>
    <t>10/01/2026 12:45</t>
  </si>
  <si>
    <t>SO2601-90732</t>
  </si>
  <si>
    <t>IN2601-100037</t>
  </si>
  <si>
    <t>10/01/2026 12:44</t>
  </si>
  <si>
    <t>SO2601-90731</t>
  </si>
  <si>
    <t>AHMADOU / 694 95 21 22</t>
  </si>
  <si>
    <t>IN2601-100036</t>
  </si>
  <si>
    <t>10/01/2026 12:39</t>
  </si>
  <si>
    <t>SO2601-90730</t>
  </si>
  <si>
    <t>IN2601-100035</t>
  </si>
  <si>
    <t>10/01/2026 12:51</t>
  </si>
  <si>
    <t>SO2601-90729</t>
  </si>
  <si>
    <t>IN2601-100034</t>
  </si>
  <si>
    <t>10/01/2026 12:33</t>
  </si>
  <si>
    <t>SO2601-90728</t>
  </si>
  <si>
    <t>TEMGA</t>
  </si>
  <si>
    <t>IN2601-100033</t>
  </si>
  <si>
    <t>10/01/2026 12:32</t>
  </si>
  <si>
    <t>SO2601-90727</t>
  </si>
  <si>
    <t>IN2601-100032</t>
  </si>
  <si>
    <t>10/01/2026 12:40</t>
  </si>
  <si>
    <t>SO2601-90726</t>
  </si>
  <si>
    <t>M DOGMO</t>
  </si>
  <si>
    <t>IN2601-100031</t>
  </si>
  <si>
    <t>10/01/2026 12:38</t>
  </si>
  <si>
    <t>SO2601-90725</t>
  </si>
  <si>
    <t>IN2601-100030</t>
  </si>
  <si>
    <t>10/01/2026 12:29</t>
  </si>
  <si>
    <t>SO2601-90724</t>
  </si>
  <si>
    <t>GUIAMA / 672 81 81 85</t>
  </si>
  <si>
    <t>CU2508-13554 -  GUIAMA VALENTIN DESIRE</t>
  </si>
  <si>
    <t>IN2601-100029</t>
  </si>
  <si>
    <t>SO2601-90723</t>
  </si>
  <si>
    <t>ZOE</t>
  </si>
  <si>
    <t>IN2601-100028</t>
  </si>
  <si>
    <t>10/01/2026 12:25</t>
  </si>
  <si>
    <t>SO2601-90722</t>
  </si>
  <si>
    <t>ATEMNKENG</t>
  </si>
  <si>
    <t>IN2601-100027</t>
  </si>
  <si>
    <t>SO2601-90721</t>
  </si>
  <si>
    <t>IN2601-100026</t>
  </si>
  <si>
    <t>10/01/2026 12:24</t>
  </si>
  <si>
    <t>SO2601-90720</t>
  </si>
  <si>
    <t>IN2601-100025</t>
  </si>
  <si>
    <t>10/01/2026 13:19</t>
  </si>
  <si>
    <t>SO2601-90719</t>
  </si>
  <si>
    <t>IN2601-100024</t>
  </si>
  <si>
    <t>10/01/2026 12:27</t>
  </si>
  <si>
    <t>SO2601-90718</t>
  </si>
  <si>
    <t>IN2601-100023</t>
  </si>
  <si>
    <t>10/01/2026 12:22</t>
  </si>
  <si>
    <t>SO2601-90717</t>
  </si>
  <si>
    <t>IN2601-100022</t>
  </si>
  <si>
    <t>SO2601-90716</t>
  </si>
  <si>
    <t>IN2601-100021</t>
  </si>
  <si>
    <t>SO2601-90715</t>
  </si>
  <si>
    <t>TETSADIO MARIUS / 696 53 54 11</t>
  </si>
  <si>
    <t>IN2601-100020</t>
  </si>
  <si>
    <t>10/01/2026 12:26</t>
  </si>
  <si>
    <t>SO2601-90714</t>
  </si>
  <si>
    <t>IN2601-100019</t>
  </si>
  <si>
    <t>10/01/2026 12:20</t>
  </si>
  <si>
    <t>SO2601-90713</t>
  </si>
  <si>
    <t>CU2407-00778 -  MELI</t>
  </si>
  <si>
    <t>IN2601-100018</t>
  </si>
  <si>
    <t>SO2601-90712</t>
  </si>
  <si>
    <t>IN2601-100017</t>
  </si>
  <si>
    <t>10/01/2026 12:09</t>
  </si>
  <si>
    <t>SO2601-90711</t>
  </si>
  <si>
    <t>IN2601-100016</t>
  </si>
  <si>
    <t>10/01/2026 12:07</t>
  </si>
  <si>
    <t>SO2601-90710</t>
  </si>
  <si>
    <t>CU2409-01081 -  GHUEGO SIMO RACHEL (GHUEGO SIMO RACHEL C/O ETS BELCOCAM)</t>
  </si>
  <si>
    <t>IN2601-100015</t>
  </si>
  <si>
    <t>CU2409-01081 -  GHUEGO SIMO RACHEL</t>
  </si>
  <si>
    <t>GHUEGO SIMO RACHEL C/O ETS BELCOCAM</t>
  </si>
  <si>
    <t>10/01/2026 12:08</t>
  </si>
  <si>
    <t>SO2601-90709</t>
  </si>
  <si>
    <t>CU2407-00507 -  MELI ARMAND</t>
  </si>
  <si>
    <t>IN2601-100014</t>
  </si>
  <si>
    <t>SO2601-90708</t>
  </si>
  <si>
    <t>IN2601-100013</t>
  </si>
  <si>
    <t>SO2601-90707</t>
  </si>
  <si>
    <t>IN2601-100012</t>
  </si>
  <si>
    <t>10/01/2026 11:57</t>
  </si>
  <si>
    <t>SO2601-90706</t>
  </si>
  <si>
    <t>IN2601-100011</t>
  </si>
  <si>
    <t>10/01/2026 11:50</t>
  </si>
  <si>
    <t>SO2601-90705</t>
  </si>
  <si>
    <t>IN2601-100010</t>
  </si>
  <si>
    <t>SO2601-90704</t>
  </si>
  <si>
    <t>MBONGO</t>
  </si>
  <si>
    <t>IN2601-100009</t>
  </si>
  <si>
    <t>10/01/2026 11:52</t>
  </si>
  <si>
    <t>SO2601-90703</t>
  </si>
  <si>
    <t>IN2601-100008</t>
  </si>
  <si>
    <t>10/01/2026 11:48</t>
  </si>
  <si>
    <t>SO2601-90702</t>
  </si>
  <si>
    <t>CU2504-13359 -  AMELIE DOG FOOD (SILLA YUEGO AMELIE)</t>
  </si>
  <si>
    <t>IN2601-100007</t>
  </si>
  <si>
    <t>CU2504-13359 -  AMELIE DOG FOOD</t>
  </si>
  <si>
    <t>SILLA YUEGO AMELIE</t>
  </si>
  <si>
    <t>10/01/2026 11:46</t>
  </si>
  <si>
    <t>SO2601-90701</t>
  </si>
  <si>
    <t>IN2601-100006</t>
  </si>
  <si>
    <t>10/01/2026 11:53</t>
  </si>
  <si>
    <t>SO2601-90700</t>
  </si>
  <si>
    <t>MBE / 698343590</t>
  </si>
  <si>
    <t>IN2601-100005</t>
  </si>
  <si>
    <t>10/01/2026 11:44</t>
  </si>
  <si>
    <t>SO2601-90699</t>
  </si>
  <si>
    <t>IN2601-100004</t>
  </si>
  <si>
    <t>SO2601-90698</t>
  </si>
  <si>
    <t>IN2601-100003</t>
  </si>
  <si>
    <t>10/01/2026 11:47</t>
  </si>
  <si>
    <t>SO2601-90697</t>
  </si>
  <si>
    <t>IN2601-100002</t>
  </si>
  <si>
    <t>SO2601-90696</t>
  </si>
  <si>
    <t>IN2601-100001</t>
  </si>
  <si>
    <t>10/01/2026 11:41</t>
  </si>
  <si>
    <t>SO2601-90695</t>
  </si>
  <si>
    <t>IN2601-100000</t>
  </si>
  <si>
    <t>10/01/2026 12:00</t>
  </si>
  <si>
    <t>SO2601-90694</t>
  </si>
  <si>
    <t>IN2601-99999</t>
  </si>
  <si>
    <t>10/01/2026 11:45</t>
  </si>
  <si>
    <t>SO2601-90693</t>
  </si>
  <si>
    <t>IN2601-99998</t>
  </si>
  <si>
    <t>10/01/2026 11:40</t>
  </si>
  <si>
    <t>SO2601-90692</t>
  </si>
  <si>
    <t>CU2409-01106 -  GLORIOUS FARMS SARL (Effo Hervé)</t>
  </si>
  <si>
    <t>IN2601-99997</t>
  </si>
  <si>
    <t>CU2409-01106 -  GLORIOUS FARMS SARL</t>
  </si>
  <si>
    <t>Effo Hervé</t>
  </si>
  <si>
    <t>10/01/2026 12:21</t>
  </si>
  <si>
    <t>SO2601-90691</t>
  </si>
  <si>
    <t>IN2601-99996</t>
  </si>
  <si>
    <t>10/01/2026 11:38</t>
  </si>
  <si>
    <t>SO2601-90690</t>
  </si>
  <si>
    <t>IN2601-99995</t>
  </si>
  <si>
    <t>SO2601-90689</t>
  </si>
  <si>
    <t>IN2601-99994</t>
  </si>
  <si>
    <t>10/01/2026 11:42</t>
  </si>
  <si>
    <t>SO2601-90688</t>
  </si>
  <si>
    <t>IN2601-99993</t>
  </si>
  <si>
    <t>10/01/2026 11:37</t>
  </si>
  <si>
    <t>SO2601-90687</t>
  </si>
  <si>
    <t>Clarisse pascal</t>
  </si>
  <si>
    <t>CU2505-13377 -  KAMDEM</t>
  </si>
  <si>
    <t>IN2601-99992</t>
  </si>
  <si>
    <t>10/01/2026 11:36</t>
  </si>
  <si>
    <t>SO2601-90686</t>
  </si>
  <si>
    <t>IN2601-99991</t>
  </si>
  <si>
    <t>10/01/2026 12:35</t>
  </si>
  <si>
    <t>SO2601-90685</t>
  </si>
  <si>
    <t>MELONG 699849225</t>
  </si>
  <si>
    <t>IN2601-99990</t>
  </si>
  <si>
    <t>SO2601-90684</t>
  </si>
  <si>
    <t>M EBENGUE JEAN MARC</t>
  </si>
  <si>
    <t>IN2601-99989</t>
  </si>
  <si>
    <t>SO2601-90683</t>
  </si>
  <si>
    <t>IN2601-99988</t>
  </si>
  <si>
    <t>SO2601-90682</t>
  </si>
  <si>
    <t>MME YONGA 690467370</t>
  </si>
  <si>
    <t>IN2601-99987</t>
  </si>
  <si>
    <t>10/01/2026 11:34</t>
  </si>
  <si>
    <t>SO2601-90681</t>
  </si>
  <si>
    <t>IN2601-99986</t>
  </si>
  <si>
    <t>SO2601-90680</t>
  </si>
  <si>
    <t>IN2601-99985</t>
  </si>
  <si>
    <t>SO2601-90679</t>
  </si>
  <si>
    <t>NGONO MARIE / 674106721</t>
  </si>
  <si>
    <t>IN2601-99984</t>
  </si>
  <si>
    <t>10/01/2026 11:35</t>
  </si>
  <si>
    <t>SO2601-90678</t>
  </si>
  <si>
    <t>KAMMI</t>
  </si>
  <si>
    <t>IN2601-99983</t>
  </si>
  <si>
    <t>SO2601-90677</t>
  </si>
  <si>
    <t>IN2601-99982</t>
  </si>
  <si>
    <t>SO2601-90676</t>
  </si>
  <si>
    <t>IN2601-99981</t>
  </si>
  <si>
    <t>SO2601-90675</t>
  </si>
  <si>
    <t>CU2509-13957 -  MAIRAMA EPSE NSALLO IDRISSOU</t>
  </si>
  <si>
    <t>IN2601-99980</t>
  </si>
  <si>
    <t>SO2601-90674</t>
  </si>
  <si>
    <t>IN2601-99979</t>
  </si>
  <si>
    <t>10/01/2026 12:12</t>
  </si>
  <si>
    <t>SO2601-90673</t>
  </si>
  <si>
    <t>PROVENDERIE FELIX</t>
  </si>
  <si>
    <t>IN2601-99978</t>
  </si>
  <si>
    <t>10/01/2026 11:33</t>
  </si>
  <si>
    <t>SO2601-90672</t>
  </si>
  <si>
    <t>IN2601-99977</t>
  </si>
  <si>
    <t>10/01/2026 11:32</t>
  </si>
  <si>
    <t>SO2601-90671</t>
  </si>
  <si>
    <t>IN2601-99976</t>
  </si>
  <si>
    <t>10/01/2026 11:30</t>
  </si>
  <si>
    <t>SO2601-90670</t>
  </si>
  <si>
    <t>IN2601-99975</t>
  </si>
  <si>
    <t>SO2601-90669</t>
  </si>
  <si>
    <t>AMOUGOU GUY</t>
  </si>
  <si>
    <t>IN2601-99974</t>
  </si>
  <si>
    <t>10/01/2026 11:43</t>
  </si>
  <si>
    <t>SO2601-90668</t>
  </si>
  <si>
    <t>ABDOUL FATAHI / 659 84 64 74</t>
  </si>
  <si>
    <t>IN2601-99973</t>
  </si>
  <si>
    <t>10/01/2026 11:26</t>
  </si>
  <si>
    <t>SO2601-90667</t>
  </si>
  <si>
    <t>IN2601-99972</t>
  </si>
  <si>
    <t>SO2601-90666</t>
  </si>
  <si>
    <t>IN2601-99971</t>
  </si>
  <si>
    <t>10/01/2026 11:27</t>
  </si>
  <si>
    <t>SO2601-90665</t>
  </si>
  <si>
    <t>IN2601-99970</t>
  </si>
  <si>
    <t>10/01/2026 11:19</t>
  </si>
  <si>
    <t>SO2601-90664</t>
  </si>
  <si>
    <t>IN2601-99969</t>
  </si>
  <si>
    <t>10/01/2026 11:17</t>
  </si>
  <si>
    <t>SO2601-90663</t>
  </si>
  <si>
    <t>IN2601-99968</t>
  </si>
  <si>
    <t>10/01/2026 11:16</t>
  </si>
  <si>
    <t>SO2601-90662</t>
  </si>
  <si>
    <t>TCHASSEU ISIDOR 677754302</t>
  </si>
  <si>
    <t>IN2601-99967</t>
  </si>
  <si>
    <t>SO2601-90661</t>
  </si>
  <si>
    <t>IN2601-99966</t>
  </si>
  <si>
    <t>SO2601-90660</t>
  </si>
  <si>
    <t>IN2601-99965</t>
  </si>
  <si>
    <t>10/01/2026 11:14</t>
  </si>
  <si>
    <t>SO2601-90659</t>
  </si>
  <si>
    <t>CU2501-01197 -  NSUH EDWIN CHEO ETS GILLI BROWN CONSTRUCTION</t>
  </si>
  <si>
    <t>IN2601-99964</t>
  </si>
  <si>
    <t>10/01/2026 11:15</t>
  </si>
  <si>
    <t>SO2601-90658</t>
  </si>
  <si>
    <t>TAKOU CASIMIR 677977637</t>
  </si>
  <si>
    <t>IN2601-99963</t>
  </si>
  <si>
    <t>10/01/2026 11:11</t>
  </si>
  <si>
    <t>SO2601-90657</t>
  </si>
  <si>
    <t>IN2601-99962</t>
  </si>
  <si>
    <t>10/01/2026 11:10</t>
  </si>
  <si>
    <t>SO2601-90656</t>
  </si>
  <si>
    <t>ipacam</t>
  </si>
  <si>
    <t>IN2601-99961</t>
  </si>
  <si>
    <t>SO2601-90655</t>
  </si>
  <si>
    <t>IN2601-99960</t>
  </si>
  <si>
    <t>SO2601-90654</t>
  </si>
  <si>
    <t>IN2601-99959</t>
  </si>
  <si>
    <t>SO2601-90653</t>
  </si>
  <si>
    <t>DJIA FABRICE 677754302</t>
  </si>
  <si>
    <t>IN2601-99958</t>
  </si>
  <si>
    <t>SO2601-90652</t>
  </si>
  <si>
    <t>IN2601-99957</t>
  </si>
  <si>
    <t>SO2601-90651</t>
  </si>
  <si>
    <t>IN2601-99956</t>
  </si>
  <si>
    <t>10/01/2026 11:22</t>
  </si>
  <si>
    <t>SO2601-90650</t>
  </si>
  <si>
    <t>IN2601-99955</t>
  </si>
  <si>
    <t>10/01/2026 11:07</t>
  </si>
  <si>
    <t>SO2601-90649</t>
  </si>
  <si>
    <t>IN2601-99954</t>
  </si>
  <si>
    <t>10/01/2026 11:06</t>
  </si>
  <si>
    <t>SO2601-90648</t>
  </si>
  <si>
    <t>MEKOU</t>
  </si>
  <si>
    <t>IN2601-99953</t>
  </si>
  <si>
    <t>10/01/2026 11:04</t>
  </si>
  <si>
    <t>SO2601-90647</t>
  </si>
  <si>
    <t>IN2601-99952</t>
  </si>
  <si>
    <t>10/01/2026 11:13</t>
  </si>
  <si>
    <t>SO2601-90646</t>
  </si>
  <si>
    <t>TATSI AUGUSTIN SIMPLICE</t>
  </si>
  <si>
    <t>IN2601-99951</t>
  </si>
  <si>
    <t>SO2601-90645</t>
  </si>
  <si>
    <t>IN2601-99950</t>
  </si>
  <si>
    <t>SO2601-90644</t>
  </si>
  <si>
    <t>IN2601-99949</t>
  </si>
  <si>
    <t>10/01/2026 10:57</t>
  </si>
  <si>
    <t>SO2601-90643</t>
  </si>
  <si>
    <t>CU2407-00539 -  DJOUFACK THIERRY</t>
  </si>
  <si>
    <t>IN2601-99947</t>
  </si>
  <si>
    <t>10/01/2026 10:54</t>
  </si>
  <si>
    <t>SO2601-90642</t>
  </si>
  <si>
    <t>CU2407-00786 -  MFOUT MASSIETMO ASSANA</t>
  </si>
  <si>
    <t>IN2601-99946</t>
  </si>
  <si>
    <t>SO2601-90641</t>
  </si>
  <si>
    <t>CU2407-00341 -  TCHOUPOU NINA</t>
  </si>
  <si>
    <t>IN2601-99945</t>
  </si>
  <si>
    <t>10/01/2026 10:56</t>
  </si>
  <si>
    <t>SO2601-90640</t>
  </si>
  <si>
    <t>IN2601-99944</t>
  </si>
  <si>
    <t>10/01/2026 10:55</t>
  </si>
  <si>
    <t>SO2601-90639</t>
  </si>
  <si>
    <t>ID2601-0035</t>
  </si>
  <si>
    <t>10/01/2026 10:52</t>
  </si>
  <si>
    <t>SO2601-90638</t>
  </si>
  <si>
    <t>IN2601-99943</t>
  </si>
  <si>
    <t>SO2601-90637</t>
  </si>
  <si>
    <t>MATCHEU FRANCINE 692028470</t>
  </si>
  <si>
    <t>IN2601-99942</t>
  </si>
  <si>
    <t>SO2601-90636</t>
  </si>
  <si>
    <t>IN2601-99941</t>
  </si>
  <si>
    <t>10/01/2026 10:49</t>
  </si>
  <si>
    <t>SO2601-90635</t>
  </si>
  <si>
    <t>IN2601-99940</t>
  </si>
  <si>
    <t>10/01/2026 11:18</t>
  </si>
  <si>
    <t>SO2601-90634</t>
  </si>
  <si>
    <t>IN2601-99939</t>
  </si>
  <si>
    <t>10/01/2026 10:39</t>
  </si>
  <si>
    <t>SO2601-90633</t>
  </si>
  <si>
    <t>CU2509-13993 -  LA GLOIRE SARL (YONGA ARMELLE NOE STEVE)</t>
  </si>
  <si>
    <t>IN2601-99938</t>
  </si>
  <si>
    <t>CU2509-13993 -  LA GLOIRE SARL</t>
  </si>
  <si>
    <t>YONGA ARMELLE NOE STEVE</t>
  </si>
  <si>
    <t>10/01/2026 10:35</t>
  </si>
  <si>
    <t>SO2601-90632</t>
  </si>
  <si>
    <t>BOBDA COLLINS 676442840</t>
  </si>
  <si>
    <t>IN2601-99937</t>
  </si>
  <si>
    <t>10/01/2026 10:40</t>
  </si>
  <si>
    <t>SO2601-90631</t>
  </si>
  <si>
    <t>KAMENI MARINA 673235222</t>
  </si>
  <si>
    <t>IN2601-99936</t>
  </si>
  <si>
    <t>SO2601-90630</t>
  </si>
  <si>
    <t>SADAM</t>
  </si>
  <si>
    <t>IN2601-99935</t>
  </si>
  <si>
    <t>10/01/2026 10:59</t>
  </si>
  <si>
    <t>SO2601-90629</t>
  </si>
  <si>
    <t>IN2601-99934</t>
  </si>
  <si>
    <t>10/01/2026 10:33</t>
  </si>
  <si>
    <t>SO2601-90628</t>
  </si>
  <si>
    <t>IN2601-99933</t>
  </si>
  <si>
    <t>SO2601-90627</t>
  </si>
  <si>
    <t>BRIGITTE</t>
  </si>
  <si>
    <t>IN2601-99932</t>
  </si>
  <si>
    <t>SO2601-90626</t>
  </si>
  <si>
    <t>IN2601-99931</t>
  </si>
  <si>
    <t>10/01/2026 10:34</t>
  </si>
  <si>
    <t>SO2601-90625</t>
  </si>
  <si>
    <t>IN2601-99930</t>
  </si>
  <si>
    <t>10/01/2026 10:31</t>
  </si>
  <si>
    <t>SO2601-90624</t>
  </si>
  <si>
    <t>IN2601-99929</t>
  </si>
  <si>
    <t>10/01/2026 10:26</t>
  </si>
  <si>
    <t>SO2601-90623</t>
  </si>
  <si>
    <t>Mme KEGNE</t>
  </si>
  <si>
    <t>IN2601-99928</t>
  </si>
  <si>
    <t>SO2601-90622</t>
  </si>
  <si>
    <t>IN2601-99927</t>
  </si>
  <si>
    <t>10/01/2026 10:24</t>
  </si>
  <si>
    <t>SO2601-90621</t>
  </si>
  <si>
    <t>CU2512-14224 -  KENGNE SUZANNE CHRISTEL</t>
  </si>
  <si>
    <t>IN2601-99926</t>
  </si>
  <si>
    <t>10/01/2026 10:22</t>
  </si>
  <si>
    <t>SO2601-90620</t>
  </si>
  <si>
    <t>IN2601-99925</t>
  </si>
  <si>
    <t>SO2601-90619</t>
  </si>
  <si>
    <t>IN2601-99924</t>
  </si>
  <si>
    <t>10/01/2026 10:21</t>
  </si>
  <si>
    <t>SO2601-90618</t>
  </si>
  <si>
    <t>IN2601-99923</t>
  </si>
  <si>
    <t>10/01/2026 10:17</t>
  </si>
  <si>
    <t>SO2601-90617</t>
  </si>
  <si>
    <t>IN2601-99922</t>
  </si>
  <si>
    <t>SO2601-90616</t>
  </si>
  <si>
    <t>IN2601-99921</t>
  </si>
  <si>
    <t>SO2601-90615</t>
  </si>
  <si>
    <t>IN2601-99920</t>
  </si>
  <si>
    <t>10/01/2026 10:19</t>
  </si>
  <si>
    <t>SO2601-90614</t>
  </si>
  <si>
    <t>BELA VICTORINE</t>
  </si>
  <si>
    <t>IN2601-99919</t>
  </si>
  <si>
    <t>10/01/2026 10:13</t>
  </si>
  <si>
    <t>SO2601-90613</t>
  </si>
  <si>
    <t>IN2601-99918</t>
  </si>
  <si>
    <t>10/01/2026 10:15</t>
  </si>
  <si>
    <t>SO2601-90612</t>
  </si>
  <si>
    <t>CU2504-01305 -  TCHOUATA TANDA HERLIN (CBF005)</t>
  </si>
  <si>
    <t>IN2601-99917</t>
  </si>
  <si>
    <t>CU2504-01305 -  TCHOUATA TANDA HERLIN</t>
  </si>
  <si>
    <t>CBF005</t>
  </si>
  <si>
    <t>10/01/2026 10:07</t>
  </si>
  <si>
    <t>SO2601-90611</t>
  </si>
  <si>
    <t>LUCIE</t>
  </si>
  <si>
    <t>IN2601-99916</t>
  </si>
  <si>
    <t>SO2601-90610</t>
  </si>
  <si>
    <t>TANKO / 694 04 75 33</t>
  </si>
  <si>
    <t>IN2601-99915</t>
  </si>
  <si>
    <t>SO2601-90609</t>
  </si>
  <si>
    <t>CU2601-14260 -  N.C SARL</t>
  </si>
  <si>
    <t>IN2601-99914</t>
  </si>
  <si>
    <t>10/01/2026 10:06</t>
  </si>
  <si>
    <t>SO2601-90608</t>
  </si>
  <si>
    <t>IN2601-99913</t>
  </si>
  <si>
    <t>10/01/2026 10:02</t>
  </si>
  <si>
    <t>SO2601-90607</t>
  </si>
  <si>
    <t>IN2601-99912</t>
  </si>
  <si>
    <t>10/01/2026 09:58</t>
  </si>
  <si>
    <t>SO2601-90606</t>
  </si>
  <si>
    <t>IN2601-99911</t>
  </si>
  <si>
    <t>10/01/2026 09:59</t>
  </si>
  <si>
    <t>SO2601-90605</t>
  </si>
  <si>
    <t>IN2601-99910</t>
  </si>
  <si>
    <t>SO2601-90603</t>
  </si>
  <si>
    <t>IN2601-99908</t>
  </si>
  <si>
    <t>10/01/2026 09:55</t>
  </si>
  <si>
    <t>SO2601-90602</t>
  </si>
  <si>
    <t>IN2601-99907</t>
  </si>
  <si>
    <t>10/01/2026 09:51</t>
  </si>
  <si>
    <t>SO2601-90601</t>
  </si>
  <si>
    <t>IN2601-99906</t>
  </si>
  <si>
    <t>10/01/2026 09:49</t>
  </si>
  <si>
    <t>SO2601-90600</t>
  </si>
  <si>
    <t>IN2601-99905</t>
  </si>
  <si>
    <t>10/01/2026 09:52</t>
  </si>
  <si>
    <t>SO2601-90599</t>
  </si>
  <si>
    <t>YATCHE ISAAC</t>
  </si>
  <si>
    <t>IN2601-99904</t>
  </si>
  <si>
    <t>10/01/2026 09:50</t>
  </si>
  <si>
    <t>SO2601-90598</t>
  </si>
  <si>
    <t>IN2601-99903</t>
  </si>
  <si>
    <t>10/01/2026 09:48</t>
  </si>
  <si>
    <t>SO2601-91488</t>
  </si>
  <si>
    <t>Mme KENGNE</t>
  </si>
  <si>
    <t>IN2601-99902</t>
  </si>
  <si>
    <t>10/01/2026 10:10</t>
  </si>
  <si>
    <t>SO2601-90596</t>
  </si>
  <si>
    <t>IN2601-99901</t>
  </si>
  <si>
    <t>SO2601-90595</t>
  </si>
  <si>
    <t>IN2601-99900</t>
  </si>
  <si>
    <t>SO2601-90594</t>
  </si>
  <si>
    <t>FEZEU SERGE</t>
  </si>
  <si>
    <t>IN2601-99899</t>
  </si>
  <si>
    <t>SO2601-90593</t>
  </si>
  <si>
    <t>IN2601-99898</t>
  </si>
  <si>
    <t>10/01/2026 09:47</t>
  </si>
  <si>
    <t>SO2601-90592</t>
  </si>
  <si>
    <t>Diva</t>
  </si>
  <si>
    <t>IN2601-99897</t>
  </si>
  <si>
    <t>10/01/2026 09:56</t>
  </si>
  <si>
    <t>SO2601-90591</t>
  </si>
  <si>
    <t>IN2601-99896</t>
  </si>
  <si>
    <t>10/01/2026 09:43</t>
  </si>
  <si>
    <t>SO2601-90590</t>
  </si>
  <si>
    <t>IN2601-99895</t>
  </si>
  <si>
    <t>10/01/2026 09:42</t>
  </si>
  <si>
    <t>SO2601-90589</t>
  </si>
  <si>
    <t>IN2601-99894</t>
  </si>
  <si>
    <t>10/01/2026 09:38</t>
  </si>
  <si>
    <t>SO2601-90588</t>
  </si>
  <si>
    <t>ABEL</t>
  </si>
  <si>
    <t>IN2601-99893</t>
  </si>
  <si>
    <t>SO2601-90587</t>
  </si>
  <si>
    <t>Bernadette</t>
  </si>
  <si>
    <t>IN2601-99892</t>
  </si>
  <si>
    <t>10/01/2026 09:37</t>
  </si>
  <si>
    <t>SO2601-90586</t>
  </si>
  <si>
    <t>Jean</t>
  </si>
  <si>
    <t>IN2601-99891</t>
  </si>
  <si>
    <t>10/01/2026 09:36</t>
  </si>
  <si>
    <t>SO2601-90585</t>
  </si>
  <si>
    <t>IN2601-99890</t>
  </si>
  <si>
    <t>10/01/2026 09:33</t>
  </si>
  <si>
    <t>SO2601-90584</t>
  </si>
  <si>
    <t>IN2601-99889</t>
  </si>
  <si>
    <t>SO2601-90583</t>
  </si>
  <si>
    <t>M SASSO GREGOIR</t>
  </si>
  <si>
    <t>IN2601-99888</t>
  </si>
  <si>
    <t>10/01/2026 09:35</t>
  </si>
  <si>
    <t>SO2601-90582</t>
  </si>
  <si>
    <t>IN2601-99887</t>
  </si>
  <si>
    <t>10/01/2026 09:31</t>
  </si>
  <si>
    <t>SO2601-90581</t>
  </si>
  <si>
    <t>melabou justin</t>
  </si>
  <si>
    <t>IN2601-99886</t>
  </si>
  <si>
    <t>10/01/2026 09:26</t>
  </si>
  <si>
    <t>SO2601-90580</t>
  </si>
  <si>
    <t>IN2601-99885</t>
  </si>
  <si>
    <t>10/01/2026 09:29</t>
  </si>
  <si>
    <t>SO2601-90579</t>
  </si>
  <si>
    <t>IN2601-99884</t>
  </si>
  <si>
    <t>SO2601-90578</t>
  </si>
  <si>
    <t>IN2601-99883</t>
  </si>
  <si>
    <t>10/01/2026 09:24</t>
  </si>
  <si>
    <t>SO2601-90577</t>
  </si>
  <si>
    <t>SCOOP EA2PEAL 695778731</t>
  </si>
  <si>
    <t>IN2601-99882</t>
  </si>
  <si>
    <t>SO2601-90481</t>
  </si>
  <si>
    <t>TACHI ANNIE 675503106</t>
  </si>
  <si>
    <t>IN2601-99881</t>
  </si>
  <si>
    <t>10/01/2026 09:23</t>
  </si>
  <si>
    <t>SO2601-90575</t>
  </si>
  <si>
    <t>IN2601-99880</t>
  </si>
  <si>
    <t>SO2601-90574</t>
  </si>
  <si>
    <t>IN2601-99879</t>
  </si>
  <si>
    <t>SO2601-90573</t>
  </si>
  <si>
    <t>IN2601-99878</t>
  </si>
  <si>
    <t>10/01/2026 09:20</t>
  </si>
  <si>
    <t>SO2601-90572</t>
  </si>
  <si>
    <t>IN2601-99877</t>
  </si>
  <si>
    <t>10/01/2026 09:25</t>
  </si>
  <si>
    <t>SO2601-90571</t>
  </si>
  <si>
    <t>MABWE KETCHA</t>
  </si>
  <si>
    <t>IN2601-99876</t>
  </si>
  <si>
    <t>10/01/2026 09:27</t>
  </si>
  <si>
    <t>SO2601-90570</t>
  </si>
  <si>
    <t>NCHARE YOUSSOUF 691431653</t>
  </si>
  <si>
    <t>IN2601-99875</t>
  </si>
  <si>
    <t>SO2601-90569</t>
  </si>
  <si>
    <t>ADEGONO CLEMENT 686806191</t>
  </si>
  <si>
    <t>IN2601-99874</t>
  </si>
  <si>
    <t>10/01/2026 09:17</t>
  </si>
  <si>
    <t>SO2601-90568</t>
  </si>
  <si>
    <t>ngapout valentin</t>
  </si>
  <si>
    <t>IN2601-99873</t>
  </si>
  <si>
    <t>10/01/2026 09:12</t>
  </si>
  <si>
    <t>SO2601-90567</t>
  </si>
  <si>
    <t>GAMGNE / 699200416</t>
  </si>
  <si>
    <t>CU2503-01282 -  GAMGNE WAFO epse NZUMAFO JULIENNE</t>
  </si>
  <si>
    <t>IN2601-99872</t>
  </si>
  <si>
    <t>SO2601-90566</t>
  </si>
  <si>
    <t>IN2601-99871</t>
  </si>
  <si>
    <t>10/01/2026 09:21</t>
  </si>
  <si>
    <t>SO2601-90565</t>
  </si>
  <si>
    <t>ABDOULAYE ADAMA / 674 86 66 26</t>
  </si>
  <si>
    <t>IN2601-99870</t>
  </si>
  <si>
    <t>10/01/2026 09:14</t>
  </si>
  <si>
    <t>SO2601-90564</t>
  </si>
  <si>
    <t>ABOUBAKAR DANLADI / 676 25 60 81</t>
  </si>
  <si>
    <t>IN2601-99869</t>
  </si>
  <si>
    <t>10/01/2026 09:10</t>
  </si>
  <si>
    <t>SO2601-90563</t>
  </si>
  <si>
    <t>IN2601-99868</t>
  </si>
  <si>
    <t>10/01/2026 09:08</t>
  </si>
  <si>
    <t>SO2601-90562</t>
  </si>
  <si>
    <t>TATSIKOU MICHEL 675641013</t>
  </si>
  <si>
    <t>IN2601-99867</t>
  </si>
  <si>
    <t>10/01/2026 09:11</t>
  </si>
  <si>
    <t>SO2601-90561</t>
  </si>
  <si>
    <t>IN2601-99866</t>
  </si>
  <si>
    <t>SO2601-90560</t>
  </si>
  <si>
    <t>YANGA 675648287</t>
  </si>
  <si>
    <t>IN2601-99865</t>
  </si>
  <si>
    <t>10/01/2026 09:13</t>
  </si>
  <si>
    <t>SO2601-90559</t>
  </si>
  <si>
    <t>IN2601-99864</t>
  </si>
  <si>
    <t>10/01/2026 09:05</t>
  </si>
  <si>
    <t>SO2601-90558</t>
  </si>
  <si>
    <t>ETS PRODELCAM 691199582</t>
  </si>
  <si>
    <t>IN2601-99863</t>
  </si>
  <si>
    <t>SO2601-90557</t>
  </si>
  <si>
    <t>IN2601-99862</t>
  </si>
  <si>
    <t>10/01/2026 09:07</t>
  </si>
  <si>
    <t>SO2601-90556</t>
  </si>
  <si>
    <t>projets akono</t>
  </si>
  <si>
    <t>IN2601-99861</t>
  </si>
  <si>
    <t>10/01/2026 09:01</t>
  </si>
  <si>
    <t>SO2601-90555</t>
  </si>
  <si>
    <t>IN2601-99860</t>
  </si>
  <si>
    <t>10/01/2026 08:57</t>
  </si>
  <si>
    <t>SO2601-90554</t>
  </si>
  <si>
    <t>IN2601-99859</t>
  </si>
  <si>
    <t>10/01/2026 09:03</t>
  </si>
  <si>
    <t>SO2601-90553</t>
  </si>
  <si>
    <t>IN2601-99858</t>
  </si>
  <si>
    <t>10/01/2026 08:52</t>
  </si>
  <si>
    <t>SO2601-90552</t>
  </si>
  <si>
    <t>IN2601-99857</t>
  </si>
  <si>
    <t>10/01/2026 08:50</t>
  </si>
  <si>
    <t>SO2601-90551</t>
  </si>
  <si>
    <t>IN2601-99856</t>
  </si>
  <si>
    <t>SO2601-90550</t>
  </si>
  <si>
    <t>IN2601-99855</t>
  </si>
  <si>
    <t>10/01/2026 08:45</t>
  </si>
  <si>
    <t>SO2601-90549</t>
  </si>
  <si>
    <t>BOLION MAURICE 670787825</t>
  </si>
  <si>
    <t>IN2601-99854</t>
  </si>
  <si>
    <t>10/01/2026 08:55</t>
  </si>
  <si>
    <t>SO2601-90548</t>
  </si>
  <si>
    <t>KAPTUE EPSE FOTSO LILIANE / 691203493</t>
  </si>
  <si>
    <t>IN2601-99853</t>
  </si>
  <si>
    <t>SO2601-90547</t>
  </si>
  <si>
    <t>TCHIMOU 699900111</t>
  </si>
  <si>
    <t>IN2601-99852</t>
  </si>
  <si>
    <t>10/01/2026 08:49</t>
  </si>
  <si>
    <t>SO2601-90546</t>
  </si>
  <si>
    <t>CU2407-00364 -  PROVENDERIE YNED</t>
  </si>
  <si>
    <t>IN2601-99851</t>
  </si>
  <si>
    <t>SO2601-90545</t>
  </si>
  <si>
    <t>IN2601-99850</t>
  </si>
  <si>
    <t>10/01/2026 08:59</t>
  </si>
  <si>
    <t>SO2601-91545</t>
  </si>
  <si>
    <t>IN2601-100853</t>
  </si>
  <si>
    <t>16/01/2026 11:55</t>
  </si>
  <si>
    <t>SO2601-90804</t>
  </si>
  <si>
    <t>IN2601-100110</t>
  </si>
  <si>
    <t>SO2601-90753</t>
  </si>
  <si>
    <t>ETS FORCE N 697624035</t>
  </si>
  <si>
    <t>IN2601-100058</t>
  </si>
  <si>
    <t>10/01/2026 13:33</t>
  </si>
  <si>
    <t>SO2601-90604</t>
  </si>
  <si>
    <t>ALFA GROUP</t>
  </si>
  <si>
    <t>IN2601-99909</t>
  </si>
  <si>
    <t>SO2601-90544</t>
  </si>
  <si>
    <t>IN2601-99849</t>
  </si>
  <si>
    <t>09/01/2026 17:08</t>
  </si>
  <si>
    <t>SO2601-90543</t>
  </si>
  <si>
    <t>IN2601-99848</t>
  </si>
  <si>
    <t>09/01/2026 16:52</t>
  </si>
  <si>
    <t>SO2601-90542</t>
  </si>
  <si>
    <t>IN2601-99847</t>
  </si>
  <si>
    <t>09/01/2026 16:53</t>
  </si>
  <si>
    <t>SO2601-90541</t>
  </si>
  <si>
    <t>IN2601-99846</t>
  </si>
  <si>
    <t>SO2601-90540</t>
  </si>
  <si>
    <t>IN2601-99845</t>
  </si>
  <si>
    <t>09/01/2026 16:42</t>
  </si>
  <si>
    <t>SO2601-90539</t>
  </si>
  <si>
    <t>SOH SAMUEL 682632020</t>
  </si>
  <si>
    <t>IN2601-99844</t>
  </si>
  <si>
    <t>09/01/2026 16:40</t>
  </si>
  <si>
    <t>SO2601-90538</t>
  </si>
  <si>
    <t>CU2508-13642 -  LONTSI YEMDJE epse TCHINDA ADELE</t>
  </si>
  <si>
    <t>IN2601-99843</t>
  </si>
  <si>
    <t>09/01/2026 16:28</t>
  </si>
  <si>
    <t>SO2601-90537</t>
  </si>
  <si>
    <t>IN2601-99842</t>
  </si>
  <si>
    <t>09/01/2026 16:48</t>
  </si>
  <si>
    <t>SO2601-90536</t>
  </si>
  <si>
    <t>IN2601-99841</t>
  </si>
  <si>
    <t>09/01/2026 16:19</t>
  </si>
  <si>
    <t>SO2601-90535</t>
  </si>
  <si>
    <t>DJAMANI CHANCELLA / 695207255</t>
  </si>
  <si>
    <t>IN2601-99840</t>
  </si>
  <si>
    <t>09/01/2026 16:16</t>
  </si>
  <si>
    <t>SO2601-90534</t>
  </si>
  <si>
    <t>ngouafong</t>
  </si>
  <si>
    <t>IN2601-99839</t>
  </si>
  <si>
    <t>09/01/2026 16:14</t>
  </si>
  <si>
    <t>SO2601-90533</t>
  </si>
  <si>
    <t>mokolo</t>
  </si>
  <si>
    <t>IN2601-99838</t>
  </si>
  <si>
    <t>09/01/2026 16:11</t>
  </si>
  <si>
    <t>SO2601-90532</t>
  </si>
  <si>
    <t>ROTTY 690760865</t>
  </si>
  <si>
    <t>IN2601-99837</t>
  </si>
  <si>
    <t>09/01/2026 16:04</t>
  </si>
  <si>
    <t>SO2601-90531</t>
  </si>
  <si>
    <t>IN2601-99836</t>
  </si>
  <si>
    <t>09/01/2026 16:08</t>
  </si>
  <si>
    <t>SO2601-90530</t>
  </si>
  <si>
    <t>IN2601-99835</t>
  </si>
  <si>
    <t>09/01/2026 16:03</t>
  </si>
  <si>
    <t>SO2601-90529</t>
  </si>
  <si>
    <t>TACHE EMALE 671044170</t>
  </si>
  <si>
    <t>IN2601-99834</t>
  </si>
  <si>
    <t>09/01/2026 15:58</t>
  </si>
  <si>
    <t>SO2601-90528</t>
  </si>
  <si>
    <t>KAMTO</t>
  </si>
  <si>
    <t>IN2601-99833</t>
  </si>
  <si>
    <t>09/01/2026 15:59</t>
  </si>
  <si>
    <t>SO2601-90527</t>
  </si>
  <si>
    <t>M.MBE JEAN M 677885252</t>
  </si>
  <si>
    <t>IN2601-99832</t>
  </si>
  <si>
    <t>SO2601-90526</t>
  </si>
  <si>
    <t>DONKO MIREILLE / 656800053</t>
  </si>
  <si>
    <t>IN2601-99831</t>
  </si>
  <si>
    <t>09/01/2026 15:56</t>
  </si>
  <si>
    <t>SO2601-90525</t>
  </si>
  <si>
    <t>IN2601-99830</t>
  </si>
  <si>
    <t>09/01/2026 15:52</t>
  </si>
  <si>
    <t>SO2601-90524</t>
  </si>
  <si>
    <t>IN2601-99829</t>
  </si>
  <si>
    <t>SO2601-90523</t>
  </si>
  <si>
    <t>IN2601-99828</t>
  </si>
  <si>
    <t>09/01/2026 15:51</t>
  </si>
  <si>
    <t>SO2601-90522</t>
  </si>
  <si>
    <t>MANFOUO CYNTHIA 677396968</t>
  </si>
  <si>
    <t>IN2601-99827</t>
  </si>
  <si>
    <t>09/01/2026 15:43</t>
  </si>
  <si>
    <t>SO2601-90521</t>
  </si>
  <si>
    <t>WAFFEU</t>
  </si>
  <si>
    <t>IN2601-99826</t>
  </si>
  <si>
    <t>09/01/2026 15:46</t>
  </si>
  <si>
    <t>SO2601-90520</t>
  </si>
  <si>
    <t>IN2601-99825</t>
  </si>
  <si>
    <t>09/01/2026 16:27</t>
  </si>
  <si>
    <t>SO2601-90519</t>
  </si>
  <si>
    <t>ABIANINA YOLA Diane Vivi…</t>
  </si>
  <si>
    <t>IN2601-99824</t>
  </si>
  <si>
    <t>09/01/2026 15:28</t>
  </si>
  <si>
    <t>SO2601-90518</t>
  </si>
  <si>
    <t>GUY</t>
  </si>
  <si>
    <t>IN2601-99823</t>
  </si>
  <si>
    <t>09/01/2026 15:30</t>
  </si>
  <si>
    <t>SO2601-90517</t>
  </si>
  <si>
    <t>IN2601-99822</t>
  </si>
  <si>
    <t>09/01/2026 15:25</t>
  </si>
  <si>
    <t>SO2601-90516</t>
  </si>
  <si>
    <t>ETONGUE NFOMSAC 658353908</t>
  </si>
  <si>
    <t>IN2601-99821</t>
  </si>
  <si>
    <t>SO2601-90515</t>
  </si>
  <si>
    <t>KAMTCHEU 699530440</t>
  </si>
  <si>
    <t>IN2601-99820</t>
  </si>
  <si>
    <t>09/01/2026 15:24</t>
  </si>
  <si>
    <t>SO2601-90514</t>
  </si>
  <si>
    <t>DOUDANE TOH 696266597</t>
  </si>
  <si>
    <t>IN2601-99819</t>
  </si>
  <si>
    <t>09/01/2026 15:22</t>
  </si>
  <si>
    <t>SO2601-90513</t>
  </si>
  <si>
    <t>scoops 674265895</t>
  </si>
  <si>
    <t>CU2511-14173 -  SCOOPS ELAGREN (MIKONDIP Geneviève)</t>
  </si>
  <si>
    <t>IN2601-99818</t>
  </si>
  <si>
    <t>CU2511-14173 -  SCOOPS ELAGREN</t>
  </si>
  <si>
    <t>MIKONDIP Geneviève</t>
  </si>
  <si>
    <t>SO2601-90512</t>
  </si>
  <si>
    <t>IN2601-99817</t>
  </si>
  <si>
    <t>09/01/2026 16:09</t>
  </si>
  <si>
    <t>SO2601-90511</t>
  </si>
  <si>
    <t>IN2601-99816</t>
  </si>
  <si>
    <t>09/01/2026 15:17</t>
  </si>
  <si>
    <t>SO2601-90510</t>
  </si>
  <si>
    <t>IN2601-99815</t>
  </si>
  <si>
    <t>09/01/2026 15:16</t>
  </si>
  <si>
    <t>SO2601-90509</t>
  </si>
  <si>
    <t>IN2601-99814</t>
  </si>
  <si>
    <t>09/01/2026 15:19</t>
  </si>
  <si>
    <t>SO2601-90508</t>
  </si>
  <si>
    <t>MARSHAL FARMERS' COOPERATIVE LIMITED</t>
  </si>
  <si>
    <t>IN2601-99813</t>
  </si>
  <si>
    <t>09/01/2026 15:18</t>
  </si>
  <si>
    <t>SO2601-90507</t>
  </si>
  <si>
    <t>FOSSI PAUL 694374439</t>
  </si>
  <si>
    <t>IN2601-99812</t>
  </si>
  <si>
    <t>09/01/2026 15:06</t>
  </si>
  <si>
    <t>SO2601-90506</t>
  </si>
  <si>
    <t>NGUEFAIN</t>
  </si>
  <si>
    <t>IN2601-99811</t>
  </si>
  <si>
    <t>09/01/2026 15:02</t>
  </si>
  <si>
    <t>SO2601-90505</t>
  </si>
  <si>
    <t>CU2409-01112 -  YANIS YASSA</t>
  </si>
  <si>
    <t>IN2601-99810</t>
  </si>
  <si>
    <t>09/01/2026 14:57</t>
  </si>
  <si>
    <t>SO2601-90504</t>
  </si>
  <si>
    <t>ACHA</t>
  </si>
  <si>
    <t>IN2601-99809</t>
  </si>
  <si>
    <t>SO2601-90503</t>
  </si>
  <si>
    <t>CU2407-00252 -  CHISONS HOLDINGS COMPANY LIMITED</t>
  </si>
  <si>
    <t>IN2601-99808</t>
  </si>
  <si>
    <t>09/01/2026 14:52</t>
  </si>
  <si>
    <t>SO2601-90502</t>
  </si>
  <si>
    <t>PROV. MONT DES OLIVERS</t>
  </si>
  <si>
    <t>IN2601-99807</t>
  </si>
  <si>
    <t>09/01/2026 14:55</t>
  </si>
  <si>
    <t>SO2601-90501</t>
  </si>
  <si>
    <t>IN2601-99806</t>
  </si>
  <si>
    <t>09/01/2026 14:58</t>
  </si>
  <si>
    <t>SO2601-90500</t>
  </si>
  <si>
    <t>IN2601-99805</t>
  </si>
  <si>
    <t>09/01/2026 14:50</t>
  </si>
  <si>
    <t>SO2601-90499</t>
  </si>
  <si>
    <t>IN2601-99804</t>
  </si>
  <si>
    <t>09/01/2026 14:44</t>
  </si>
  <si>
    <t>SO2601-90498</t>
  </si>
  <si>
    <t>IN2601-99803</t>
  </si>
  <si>
    <t>09/01/2026 14:43</t>
  </si>
  <si>
    <t>SO2601-90497</t>
  </si>
  <si>
    <t>IN2601-99802</t>
  </si>
  <si>
    <t>SO2601-90496</t>
  </si>
  <si>
    <t>IN2601-99801</t>
  </si>
  <si>
    <t>09/01/2026 14:49</t>
  </si>
  <si>
    <t>SO2601-90495</t>
  </si>
  <si>
    <t>EMMA MOISE 676864075</t>
  </si>
  <si>
    <t>IN2601-99800</t>
  </si>
  <si>
    <t>09/01/2026 14:34</t>
  </si>
  <si>
    <t>SO2601-90494</t>
  </si>
  <si>
    <t>BERNARD FUNWI</t>
  </si>
  <si>
    <t>IN2601-99799</t>
  </si>
  <si>
    <t>09/01/2026 14:31</t>
  </si>
  <si>
    <t>SO2601-90493</t>
  </si>
  <si>
    <t>IN2601-99798</t>
  </si>
  <si>
    <t>09/01/2026 14:38</t>
  </si>
  <si>
    <t>SO2601-90492</t>
  </si>
  <si>
    <t>IN2601-99797</t>
  </si>
  <si>
    <t>SO2601-90491</t>
  </si>
  <si>
    <t>JORDAN</t>
  </si>
  <si>
    <t>IN2601-99796</t>
  </si>
  <si>
    <t>09/01/2026 14:40</t>
  </si>
  <si>
    <t>SO2601-90490</t>
  </si>
  <si>
    <t>NDJOUPO MITTERAND 677686526</t>
  </si>
  <si>
    <t>IN2601-99795</t>
  </si>
  <si>
    <t>09/01/2026 14:28</t>
  </si>
  <si>
    <t>SO2601-90489</t>
  </si>
  <si>
    <t>IN2601-99794</t>
  </si>
  <si>
    <t>09/01/2026 15:03</t>
  </si>
  <si>
    <t>SO2601-90488</t>
  </si>
  <si>
    <t>IN2601-99793</t>
  </si>
  <si>
    <t>09/01/2026 14:26</t>
  </si>
  <si>
    <t>SO2601-90487</t>
  </si>
  <si>
    <t>MELI ROSITA / 690488438</t>
  </si>
  <si>
    <t>IN2601-99792</t>
  </si>
  <si>
    <t>SO2601-90486</t>
  </si>
  <si>
    <t>IN2601-99791</t>
  </si>
  <si>
    <t>09/01/2026 15:08</t>
  </si>
  <si>
    <t>SO2601-90485</t>
  </si>
  <si>
    <t>mme watho</t>
  </si>
  <si>
    <t>IN2601-99790</t>
  </si>
  <si>
    <t>09/01/2026 14:15</t>
  </si>
  <si>
    <t>SO2601-90484</t>
  </si>
  <si>
    <t>IN2601-99789</t>
  </si>
  <si>
    <t>09/01/2026 14:16</t>
  </si>
  <si>
    <t>SO2601-90483</t>
  </si>
  <si>
    <t>IN2601-99788</t>
  </si>
  <si>
    <t>09/01/2026 14:13</t>
  </si>
  <si>
    <t>SO2601-90482</t>
  </si>
  <si>
    <t>MAKOUGOUM</t>
  </si>
  <si>
    <t>IN2601-99787</t>
  </si>
  <si>
    <t>09/01/2026 14:06</t>
  </si>
  <si>
    <t>SO2601-90133</t>
  </si>
  <si>
    <t>FOSSO NEEL 658301206</t>
  </si>
  <si>
    <t>08/01/2026</t>
  </si>
  <si>
    <t>08/01/2026 00:00</t>
  </si>
  <si>
    <t>IN2601-99786</t>
  </si>
  <si>
    <t>09/01/2026 14:04</t>
  </si>
  <si>
    <t>SO2601-90480</t>
  </si>
  <si>
    <t>IN2601-99785</t>
  </si>
  <si>
    <t>09/01/2026 14:01</t>
  </si>
  <si>
    <t>SO2601-90479</t>
  </si>
  <si>
    <t>M MELACHIO 672014445</t>
  </si>
  <si>
    <t>IN2601-99784</t>
  </si>
  <si>
    <t>09/01/2026 13:58</t>
  </si>
  <si>
    <t>SO2601-90478</t>
  </si>
  <si>
    <t>IN2601-99783</t>
  </si>
  <si>
    <t>SO2601-90477</t>
  </si>
  <si>
    <t>CU2410-01114 -  KNFD SARL (NANA FALE CHRISTELLE)</t>
  </si>
  <si>
    <t>IN2601-99782</t>
  </si>
  <si>
    <t>CU2410-01114 -  KNFD SARL</t>
  </si>
  <si>
    <t>NANA FALE CHRISTELLE</t>
  </si>
  <si>
    <t>SO2601-90476</t>
  </si>
  <si>
    <t>IN2601-99781</t>
  </si>
  <si>
    <t>SO2601-90475</t>
  </si>
  <si>
    <t>BIRI MAMOUDOU / 691086211</t>
  </si>
  <si>
    <t>IN2601-99780</t>
  </si>
  <si>
    <t>09/01/2026 13:55</t>
  </si>
  <si>
    <t>SO2601-90474</t>
  </si>
  <si>
    <t>SAMBO PAULIN / 693866697</t>
  </si>
  <si>
    <t>IN2601-99779</t>
  </si>
  <si>
    <t>09/01/2026 13:53</t>
  </si>
  <si>
    <t>SO2601-90473</t>
  </si>
  <si>
    <t>EDIE JAMES</t>
  </si>
  <si>
    <t>IN2601-99778</t>
  </si>
  <si>
    <t>09/01/2026 14:09</t>
  </si>
  <si>
    <t>SO2601-90472</t>
  </si>
  <si>
    <t>IN2601-99777</t>
  </si>
  <si>
    <t>09/01/2026 13:59</t>
  </si>
  <si>
    <t>SO2601-90471</t>
  </si>
  <si>
    <t>CU2507-13434 -  TCHINDA TCHANDA FERDINAND</t>
  </si>
  <si>
    <t>IN2601-99776</t>
  </si>
  <si>
    <t>09/01/2026 14:05</t>
  </si>
  <si>
    <t>SO2601-90470</t>
  </si>
  <si>
    <t>IN2601-99775</t>
  </si>
  <si>
    <t>09/01/2026 13:51</t>
  </si>
  <si>
    <t>SO2601-90469</t>
  </si>
  <si>
    <t>IN2601-99774</t>
  </si>
  <si>
    <t>09/01/2026 13:49</t>
  </si>
  <si>
    <t>SO2601-90468</t>
  </si>
  <si>
    <t>NOUMSSI HERVE/ 699750218</t>
  </si>
  <si>
    <t>CU2407-00402 -  NOUMSSI HERVE</t>
  </si>
  <si>
    <t>IN2601-99773</t>
  </si>
  <si>
    <t>09/01/2026 13:45</t>
  </si>
  <si>
    <t>SO2601-90467</t>
  </si>
  <si>
    <t>SAMBO 675822332</t>
  </si>
  <si>
    <t>IN2601-99772</t>
  </si>
  <si>
    <t>SO2601-90466</t>
  </si>
  <si>
    <t>M MERLIN NGUENANG 672021194</t>
  </si>
  <si>
    <t>IN2601-99771</t>
  </si>
  <si>
    <t>09/01/2026 13:41</t>
  </si>
  <si>
    <t>SO2601-90465</t>
  </si>
  <si>
    <t>IN2601-99770</t>
  </si>
  <si>
    <t>09/01/2026 14:17</t>
  </si>
  <si>
    <t>SO2601-90464</t>
  </si>
  <si>
    <t>IN2601-99769</t>
  </si>
  <si>
    <t>09/01/2026 13:37</t>
  </si>
  <si>
    <t>SO2601-90463</t>
  </si>
  <si>
    <t>IN2601-99768</t>
  </si>
  <si>
    <t>09/01/2026 13:36</t>
  </si>
  <si>
    <t>SO2601-90462</t>
  </si>
  <si>
    <t>IN2601-99767</t>
  </si>
  <si>
    <t>09/01/2026 13:31</t>
  </si>
  <si>
    <t>SO2601-90461</t>
  </si>
  <si>
    <t>IN2601-99766</t>
  </si>
  <si>
    <t>09/01/2026 13:29</t>
  </si>
  <si>
    <t>SO2601-90460</t>
  </si>
  <si>
    <t>IN2601-99765</t>
  </si>
  <si>
    <t>09/01/2026 13:25</t>
  </si>
  <si>
    <t>SO2601-90459</t>
  </si>
  <si>
    <t>IN2601-99764</t>
  </si>
  <si>
    <t>09/01/2026 13:42</t>
  </si>
  <si>
    <t>SO2601-90458</t>
  </si>
  <si>
    <t>IN2601-99763</t>
  </si>
  <si>
    <t>09/01/2026 13:22</t>
  </si>
  <si>
    <t>SO2601-90457</t>
  </si>
  <si>
    <t>CU2505-13379 -  TAKWI ROSEMARY NGWINIFORM</t>
  </si>
  <si>
    <t>IN2601-99762</t>
  </si>
  <si>
    <t>09/01/2026 13:18</t>
  </si>
  <si>
    <t>SO2601-90456</t>
  </si>
  <si>
    <t>M FONGANG MAX 679495678</t>
  </si>
  <si>
    <t>IN2601-99761</t>
  </si>
  <si>
    <t>09/01/2026 13:13</t>
  </si>
  <si>
    <t>SO2601-90455</t>
  </si>
  <si>
    <t>IN2601-99760</t>
  </si>
  <si>
    <t>09/01/2026 13:14</t>
  </si>
  <si>
    <t>SO2601-90454</t>
  </si>
  <si>
    <t>IN2601-99759</t>
  </si>
  <si>
    <t>09/01/2026 13:00</t>
  </si>
  <si>
    <t>SO2601-90453</t>
  </si>
  <si>
    <t>m simo pierre 677018314</t>
  </si>
  <si>
    <t>IN2601-99758</t>
  </si>
  <si>
    <t>09/01/2026 12:52</t>
  </si>
  <si>
    <t>SO2601-90452</t>
  </si>
  <si>
    <t>IN2601-99757</t>
  </si>
  <si>
    <t>09/01/2026 12:53</t>
  </si>
  <si>
    <t>SO2601-90451</t>
  </si>
  <si>
    <t>IN2601-99756</t>
  </si>
  <si>
    <t>09/01/2026 12:50</t>
  </si>
  <si>
    <t>SO2601-90450</t>
  </si>
  <si>
    <t>NYAKE NATACHA 697566397</t>
  </si>
  <si>
    <t>IN2601-99755</t>
  </si>
  <si>
    <t>SO2601-90449</t>
  </si>
  <si>
    <t>IN2601-99754</t>
  </si>
  <si>
    <t>SO2601-90448</t>
  </si>
  <si>
    <t>IN2601-99753</t>
  </si>
  <si>
    <t>09/01/2026 12:39</t>
  </si>
  <si>
    <t>SO2601-90447</t>
  </si>
  <si>
    <t>IN2601-99752</t>
  </si>
  <si>
    <t>09/01/2026 12:41</t>
  </si>
  <si>
    <t>SO2601-90446</t>
  </si>
  <si>
    <t>IN2601-99751</t>
  </si>
  <si>
    <t>09/01/2026 12:47</t>
  </si>
  <si>
    <t>SO2601-90445</t>
  </si>
  <si>
    <t>IN2601-99750</t>
  </si>
  <si>
    <t>09/01/2026 12:28</t>
  </si>
  <si>
    <t>SO2601-90444</t>
  </si>
  <si>
    <t>IN2601-99749</t>
  </si>
  <si>
    <t>SO2601-90443</t>
  </si>
  <si>
    <t>IN2601-99748</t>
  </si>
  <si>
    <t>09/01/2026 12:34</t>
  </si>
  <si>
    <t>SO2601-90442</t>
  </si>
  <si>
    <t>CU2502-01256 -  SOCIETE 2TTSW SARL</t>
  </si>
  <si>
    <t>IN2601-99747</t>
  </si>
  <si>
    <t>09/01/2026 14:14</t>
  </si>
  <si>
    <t>SO2601-90441</t>
  </si>
  <si>
    <t>IN2601-99746</t>
  </si>
  <si>
    <t>09/01/2026 12:26</t>
  </si>
  <si>
    <t>SO2601-90440</t>
  </si>
  <si>
    <t>BERGO 674878862</t>
  </si>
  <si>
    <t>IN2601-99745</t>
  </si>
  <si>
    <t>09/01/2026 12:23</t>
  </si>
  <si>
    <t>SO2601-90439</t>
  </si>
  <si>
    <t>TCHETMI ACHILLE / 678323942</t>
  </si>
  <si>
    <t>IN2601-99744</t>
  </si>
  <si>
    <t>09/01/2026 12:17</t>
  </si>
  <si>
    <t>SO2601-90438</t>
  </si>
  <si>
    <t>loic</t>
  </si>
  <si>
    <t>IN2601-99743</t>
  </si>
  <si>
    <t>09/01/2026 12:21</t>
  </si>
  <si>
    <t>SO2601-90437</t>
  </si>
  <si>
    <t>ETS SAH GROUP EXPERT 696599012</t>
  </si>
  <si>
    <t>IN2601-99742</t>
  </si>
  <si>
    <t>09/01/2026 12:18</t>
  </si>
  <si>
    <t>SO2601-90436</t>
  </si>
  <si>
    <t>KAMGANG MICHEL 674324654</t>
  </si>
  <si>
    <t>IN2601-99741</t>
  </si>
  <si>
    <t>09/01/2026 12:22</t>
  </si>
  <si>
    <t>SO2601-90435</t>
  </si>
  <si>
    <t>FOTSING 672243956</t>
  </si>
  <si>
    <t>IN2601-99740</t>
  </si>
  <si>
    <t>09/01/2026 12:16</t>
  </si>
  <si>
    <t>SO2601-90434</t>
  </si>
  <si>
    <t>IN2601-99739</t>
  </si>
  <si>
    <t>SO2601-90433</t>
  </si>
  <si>
    <t>IN2601-99738</t>
  </si>
  <si>
    <t>SO2601-90432</t>
  </si>
  <si>
    <t>IN2601-99737</t>
  </si>
  <si>
    <t>09/01/2026 12:08</t>
  </si>
  <si>
    <t>SO2601-90431</t>
  </si>
  <si>
    <t>CLEMENTINE</t>
  </si>
  <si>
    <t>IN2601-99736</t>
  </si>
  <si>
    <t>09/01/2026 12:11</t>
  </si>
  <si>
    <t>SO2601-90430</t>
  </si>
  <si>
    <t>KENMEGNE HERMANN MICAEL</t>
  </si>
  <si>
    <t>IN2601-99735</t>
  </si>
  <si>
    <t>09/01/2026 12:04</t>
  </si>
  <si>
    <t>SO2601-90429</t>
  </si>
  <si>
    <t>CU2407-00633 -  BIH EPSEE CHIATOH</t>
  </si>
  <si>
    <t>IN2601-99734</t>
  </si>
  <si>
    <t>SO2601-90428</t>
  </si>
  <si>
    <t>IN2601-99733</t>
  </si>
  <si>
    <t>09/01/2026 12:03</t>
  </si>
  <si>
    <t>SO2601-90427</t>
  </si>
  <si>
    <t>FAITH DANIEL</t>
  </si>
  <si>
    <t>IN2601-99732</t>
  </si>
  <si>
    <t>09/01/2026 12:00</t>
  </si>
  <si>
    <t>SO2601-90426</t>
  </si>
  <si>
    <t>IN2601-99731</t>
  </si>
  <si>
    <t>09/01/2026 12:01</t>
  </si>
  <si>
    <t>SO2601-90425</t>
  </si>
  <si>
    <t>ETS KOUAM 676275959</t>
  </si>
  <si>
    <t>IN2601-99730</t>
  </si>
  <si>
    <t>09/01/2026 12:06</t>
  </si>
  <si>
    <t>SO2601-90424</t>
  </si>
  <si>
    <t>IN2601-99729</t>
  </si>
  <si>
    <t>SO2601-90423</t>
  </si>
  <si>
    <t>IN2601-99728</t>
  </si>
  <si>
    <t>09/01/2026 11:51</t>
  </si>
  <si>
    <t>SO2601-90422</t>
  </si>
  <si>
    <t>tchuanteu 696838218</t>
  </si>
  <si>
    <t>IN2601-99727</t>
  </si>
  <si>
    <t>09/01/2026 11:49</t>
  </si>
  <si>
    <t>SO2601-90421</t>
  </si>
  <si>
    <t>INNODIV CIG</t>
  </si>
  <si>
    <t>IN2601-99726</t>
  </si>
  <si>
    <t>09/01/2026 11:55</t>
  </si>
  <si>
    <t>SO2601-90420</t>
  </si>
  <si>
    <t>IN2601-99725</t>
  </si>
  <si>
    <t>09/01/2026 11:59</t>
  </si>
  <si>
    <t>SO2601-90419</t>
  </si>
  <si>
    <t>NGUENDIE CLEMENT 699361039</t>
  </si>
  <si>
    <t>IN2601-99724</t>
  </si>
  <si>
    <t>09/01/2026 11:42</t>
  </si>
  <si>
    <t>SO2601-90418</t>
  </si>
  <si>
    <t>IN2601-99723</t>
  </si>
  <si>
    <t>09/01/2026 11:40</t>
  </si>
  <si>
    <t>SO2601-90417</t>
  </si>
  <si>
    <t>CU2407-00259 -  DEFFO DJONA GUILLAUME</t>
  </si>
  <si>
    <t>IN2601-99722</t>
  </si>
  <si>
    <t>SO2601-90416</t>
  </si>
  <si>
    <t>IN2601-99721</t>
  </si>
  <si>
    <t>09/01/2026 11:43</t>
  </si>
  <si>
    <t>SO2601-90415</t>
  </si>
  <si>
    <t>IN2601-99720</t>
  </si>
  <si>
    <t>SO2601-90414</t>
  </si>
  <si>
    <t>IN2601-99719</t>
  </si>
  <si>
    <t>09/01/2026 11:39</t>
  </si>
  <si>
    <t>SO2601-90413</t>
  </si>
  <si>
    <t>IN2601-99718</t>
  </si>
  <si>
    <t>SO2601-90412</t>
  </si>
  <si>
    <t>IN2601-99717</t>
  </si>
  <si>
    <t>09/01/2026 12:12</t>
  </si>
  <si>
    <t>SO2601-90411</t>
  </si>
  <si>
    <t>KAPCHE 699939986</t>
  </si>
  <si>
    <t>IN2601-99716</t>
  </si>
  <si>
    <t>SO2601-90410</t>
  </si>
  <si>
    <t>IN2601-99715</t>
  </si>
  <si>
    <t>SO2601-90409</t>
  </si>
  <si>
    <t>IN2601-99714</t>
  </si>
  <si>
    <t>SO2601-90408</t>
  </si>
  <si>
    <t>IN2601-99713</t>
  </si>
  <si>
    <t>09/01/2026 11:41</t>
  </si>
  <si>
    <t>SO2601-90407</t>
  </si>
  <si>
    <t>IN2601-99712</t>
  </si>
  <si>
    <t>09/01/2026 11:36</t>
  </si>
  <si>
    <t>SO2601-90406</t>
  </si>
  <si>
    <t>IN2601-99711</t>
  </si>
  <si>
    <t>09/01/2026 11:37</t>
  </si>
  <si>
    <t>SO2601-90405</t>
  </si>
  <si>
    <t>IN2601-99710</t>
  </si>
  <si>
    <t>09/01/2026 11:32</t>
  </si>
  <si>
    <t>SO2601-90404</t>
  </si>
  <si>
    <t>WILLIE 6 94 14 39 27</t>
  </si>
  <si>
    <t>IN2601-99709</t>
  </si>
  <si>
    <t>09/01/2026 11:31</t>
  </si>
  <si>
    <t>SO2601-90403</t>
  </si>
  <si>
    <t>EWANE</t>
  </si>
  <si>
    <t>IN2601-99708</t>
  </si>
  <si>
    <t>09/01/2026 11:27</t>
  </si>
  <si>
    <t>SO2601-90402</t>
  </si>
  <si>
    <t>CU2509-13966 -  ADAM MAHAMAT ABDOULAYE</t>
  </si>
  <si>
    <t>IN2601-99707</t>
  </si>
  <si>
    <t>SO2601-90401</t>
  </si>
  <si>
    <t>IN2601-99706</t>
  </si>
  <si>
    <t>09/01/2026 11:45</t>
  </si>
  <si>
    <t>SO2601-90400</t>
  </si>
  <si>
    <t>IN2601-99705</t>
  </si>
  <si>
    <t>SO2601-90399</t>
  </si>
  <si>
    <t>IN2601-99704</t>
  </si>
  <si>
    <t>SO2601-90398</t>
  </si>
  <si>
    <t>CU2407-00491 -  CAPLAMI</t>
  </si>
  <si>
    <t>IN2601-99703</t>
  </si>
  <si>
    <t>SO2601-90397</t>
  </si>
  <si>
    <t>IN2601-99702</t>
  </si>
  <si>
    <t>SO2601-90396</t>
  </si>
  <si>
    <t>IN2601-99701</t>
  </si>
  <si>
    <t>09/01/2026 11:33</t>
  </si>
  <si>
    <t>SO2601-90395</t>
  </si>
  <si>
    <t>IN2601-99700</t>
  </si>
  <si>
    <t>09/01/2026 12:30</t>
  </si>
  <si>
    <t>SO2601-90394</t>
  </si>
  <si>
    <t>IN2601-99699</t>
  </si>
  <si>
    <t>09/01/2026 11:29</t>
  </si>
  <si>
    <t>SO2601-90393</t>
  </si>
  <si>
    <t>IN2601-99698</t>
  </si>
  <si>
    <t>09/01/2026 11:21</t>
  </si>
  <si>
    <t>SO2601-90392</t>
  </si>
  <si>
    <t>IN2601-99697</t>
  </si>
  <si>
    <t>09/01/2026 11:26</t>
  </si>
  <si>
    <t>SO2601-90391</t>
  </si>
  <si>
    <t>DESTINY FARM</t>
  </si>
  <si>
    <t>IN2601-99696</t>
  </si>
  <si>
    <t>09/01/2026 11:20</t>
  </si>
  <si>
    <t>SO2601-90390</t>
  </si>
  <si>
    <t>KAZE GAEL 652277057</t>
  </si>
  <si>
    <t>IN2601-99695</t>
  </si>
  <si>
    <t>09/01/2026 11:35</t>
  </si>
  <si>
    <t>SO2601-90389</t>
  </si>
  <si>
    <t>FOKOU 676857912</t>
  </si>
  <si>
    <t>IN2601-99694</t>
  </si>
  <si>
    <t>09/01/2026 11:12</t>
  </si>
  <si>
    <t>SO2601-90388</t>
  </si>
  <si>
    <t>Mme kamga</t>
  </si>
  <si>
    <t>IN2601-99693</t>
  </si>
  <si>
    <t>09/01/2026 11:10</t>
  </si>
  <si>
    <t>SO2601-90387</t>
  </si>
  <si>
    <t>IN2601-99692</t>
  </si>
  <si>
    <t>09/01/2026 11:13</t>
  </si>
  <si>
    <t>SO2601-90386</t>
  </si>
  <si>
    <t>IN2601-99691</t>
  </si>
  <si>
    <t>SO2601-90385</t>
  </si>
  <si>
    <t>CU2407-00420 -  KWANAK NJANJO GERARD</t>
  </si>
  <si>
    <t>IN2601-99690</t>
  </si>
  <si>
    <t>09/01/2026 11:17</t>
  </si>
  <si>
    <t>SO2601-90384</t>
  </si>
  <si>
    <t>NGUISSI 695887161</t>
  </si>
  <si>
    <t>IN2601-99689</t>
  </si>
  <si>
    <t>09/01/2026 11:11</t>
  </si>
  <si>
    <t>SO2601-90383</t>
  </si>
  <si>
    <t>CU2509-13981 -  NGADJOU SOKOUDJOU HORTENCE FLORE</t>
  </si>
  <si>
    <t>IN2601-99688</t>
  </si>
  <si>
    <t>09/01/2026 11:06</t>
  </si>
  <si>
    <t>SO2601-90382</t>
  </si>
  <si>
    <t>LILIANE</t>
  </si>
  <si>
    <t>IN2601-99687</t>
  </si>
  <si>
    <t>09/01/2026 11:23</t>
  </si>
  <si>
    <t>SO2601-90381</t>
  </si>
  <si>
    <t>ASONGANYA GERMANUS</t>
  </si>
  <si>
    <t>IN2601-99686</t>
  </si>
  <si>
    <t>09/01/2026 11:04</t>
  </si>
  <si>
    <t>SO2601-90380</t>
  </si>
  <si>
    <t>IN2601-99685</t>
  </si>
  <si>
    <t>09/01/2026 11:22</t>
  </si>
  <si>
    <t>SO2601-90379</t>
  </si>
  <si>
    <t>IN2601-99684</t>
  </si>
  <si>
    <t>09/01/2026 10:58</t>
  </si>
  <si>
    <t>SO2601-90378</t>
  </si>
  <si>
    <t>YOUSSOUPHA 656275567</t>
  </si>
  <si>
    <t>IN2601-99683</t>
  </si>
  <si>
    <t>09/01/2026 10:55</t>
  </si>
  <si>
    <t>SO2601-90377</t>
  </si>
  <si>
    <t>CU2407-00949 -  YOUVOP</t>
  </si>
  <si>
    <t>IN2601-99682</t>
  </si>
  <si>
    <t>09/01/2026 10:56</t>
  </si>
  <si>
    <t>SO2601-90376</t>
  </si>
  <si>
    <t>IN2601-99681</t>
  </si>
  <si>
    <t>09/01/2026 10:53</t>
  </si>
  <si>
    <t>SO2601-90375</t>
  </si>
  <si>
    <t>IN2601-99680</t>
  </si>
  <si>
    <t>09/01/2026 10:59</t>
  </si>
  <si>
    <t>SO2601-90374</t>
  </si>
  <si>
    <t>IN2601-99679</t>
  </si>
  <si>
    <t>09/01/2026 10:49</t>
  </si>
  <si>
    <t>SO2601-90373</t>
  </si>
  <si>
    <t>IN2601-99678</t>
  </si>
  <si>
    <t>SO2601-90372</t>
  </si>
  <si>
    <t>IN2601-99677</t>
  </si>
  <si>
    <t>09/01/2026 10:42</t>
  </si>
  <si>
    <t>SO2601-90371</t>
  </si>
  <si>
    <t>IN2601-99676</t>
  </si>
  <si>
    <t>SO2601-90370</t>
  </si>
  <si>
    <t>PHILIPE</t>
  </si>
  <si>
    <t>IN2601-99675</t>
  </si>
  <si>
    <t>09/01/2026 10:39</t>
  </si>
  <si>
    <t>SO2601-90369</t>
  </si>
  <si>
    <t>MARIE LOUISE</t>
  </si>
  <si>
    <t>CU2508-13437 -  TEKWE MARIE LOUISE</t>
  </si>
  <si>
    <t>IN2601-99674</t>
  </si>
  <si>
    <t>09/01/2026 10:37</t>
  </si>
  <si>
    <t>SO2601-90368</t>
  </si>
  <si>
    <t>IN2601-99673</t>
  </si>
  <si>
    <t>SO2601-90367</t>
  </si>
  <si>
    <t>OMETCHEP DUCLOS 674041409</t>
  </si>
  <si>
    <t>IN2601-99672</t>
  </si>
  <si>
    <t>09/01/2026 10:33</t>
  </si>
  <si>
    <t>SO2601-90366</t>
  </si>
  <si>
    <t>IN2601-99671</t>
  </si>
  <si>
    <t>SO2601-90365</t>
  </si>
  <si>
    <t>IN2601-99670</t>
  </si>
  <si>
    <t>09/01/2026 10:34</t>
  </si>
  <si>
    <t>SO2601-90364</t>
  </si>
  <si>
    <t>IN2601-99669</t>
  </si>
  <si>
    <t>09/01/2026 10:25</t>
  </si>
  <si>
    <t>SO2601-90363</t>
  </si>
  <si>
    <t>MBASSOH PIERRE (ZDCL00028)</t>
  </si>
  <si>
    <t>IN2601-99668</t>
  </si>
  <si>
    <t>MBASSOH PIERRE</t>
  </si>
  <si>
    <t>ZDCL00028</t>
  </si>
  <si>
    <t>09/01/2026 10:47</t>
  </si>
  <si>
    <t>SO2601-90362</t>
  </si>
  <si>
    <t>IN2601-99667</t>
  </si>
  <si>
    <t>SO2601-90361</t>
  </si>
  <si>
    <t>CU2407-00611 -  Emegam</t>
  </si>
  <si>
    <t>IN2601-99666</t>
  </si>
  <si>
    <t>09/01/2026 10:23</t>
  </si>
  <si>
    <t>SO2601-90360</t>
  </si>
  <si>
    <t>IN2601-99665</t>
  </si>
  <si>
    <t>09/01/2026 10:18</t>
  </si>
  <si>
    <t>SO2601-90359</t>
  </si>
  <si>
    <t>IN2601-99664</t>
  </si>
  <si>
    <t>09/01/2026 10:15</t>
  </si>
  <si>
    <t>SO2601-90358</t>
  </si>
  <si>
    <t>IN2601-99663</t>
  </si>
  <si>
    <t>SO2601-90357</t>
  </si>
  <si>
    <t>IN2601-99662</t>
  </si>
  <si>
    <t>09/01/2026 10:28</t>
  </si>
  <si>
    <t>SO2601-90356</t>
  </si>
  <si>
    <t>TOKE PATRICE 697228970</t>
  </si>
  <si>
    <t>IN2601-99661</t>
  </si>
  <si>
    <t>09/01/2026 10:13</t>
  </si>
  <si>
    <t>SO2601-90355</t>
  </si>
  <si>
    <t>TCHIZA</t>
  </si>
  <si>
    <t>IN2601-99660</t>
  </si>
  <si>
    <t>09/01/2026 10:14</t>
  </si>
  <si>
    <t>SO2601-90354</t>
  </si>
  <si>
    <t>CU2512-14200 -  TATSA TSABOU CARLOS</t>
  </si>
  <si>
    <t>IN2601-99659</t>
  </si>
  <si>
    <t>09/01/2026 10:07</t>
  </si>
  <si>
    <t>SO2601-90353</t>
  </si>
  <si>
    <t>NIAMDJA HERVE L 675082882</t>
  </si>
  <si>
    <t>IN2601-99658</t>
  </si>
  <si>
    <t>09/01/2026 10:09</t>
  </si>
  <si>
    <t>SO2601-90352</t>
  </si>
  <si>
    <t>CU2409-01079 -  NGOUMBE AMANG MOUSTAPHA (ETS LA PROVENDERIE DE L'INGENIEUR)</t>
  </si>
  <si>
    <t>IN2601-99657</t>
  </si>
  <si>
    <t>CU2409-01079 -  NGOUMBE AMANG MOUSTAPHA</t>
  </si>
  <si>
    <t>ETS LA PROVENDERIE DE L'INGENIEUR</t>
  </si>
  <si>
    <t>09/01/2026 10:10</t>
  </si>
  <si>
    <t>SO2601-90351</t>
  </si>
  <si>
    <t>IN2601-99656</t>
  </si>
  <si>
    <t>SO2601-90350</t>
  </si>
  <si>
    <t>JIOGO</t>
  </si>
  <si>
    <t>IN2601-99655</t>
  </si>
  <si>
    <t>09/01/2026 10:08</t>
  </si>
  <si>
    <t>SO2601-90112</t>
  </si>
  <si>
    <t>YAMGA 675120333</t>
  </si>
  <si>
    <t>IN2601-99654</t>
  </si>
  <si>
    <t>09/01/2026 10:01</t>
  </si>
  <si>
    <t>SO2601-90348</t>
  </si>
  <si>
    <t>ZEPHERINE 671719900</t>
  </si>
  <si>
    <t>IN2601-99653</t>
  </si>
  <si>
    <t>09/01/2026 10:02</t>
  </si>
  <si>
    <t>SO2601-90347</t>
  </si>
  <si>
    <t>IN2601-99652</t>
  </si>
  <si>
    <t>09/01/2026 10:00</t>
  </si>
  <si>
    <t>SO2601-90346</t>
  </si>
  <si>
    <t>HOUSSINO / 697 41 96 64</t>
  </si>
  <si>
    <t>IN2601-99651</t>
  </si>
  <si>
    <t>09/01/2026 09:58</t>
  </si>
  <si>
    <t>SO2601-90345</t>
  </si>
  <si>
    <t>IN2601-99650</t>
  </si>
  <si>
    <t>09/01/2026 10:20</t>
  </si>
  <si>
    <t>SO2601-90344</t>
  </si>
  <si>
    <t>IN2601-99649</t>
  </si>
  <si>
    <t>09/01/2026 09:57</t>
  </si>
  <si>
    <t>SO2601-90343</t>
  </si>
  <si>
    <t>IN2601-99648</t>
  </si>
  <si>
    <t>SO2601-90342</t>
  </si>
  <si>
    <t>IN2601-99647</t>
  </si>
  <si>
    <t>09/01/2026 10:17</t>
  </si>
  <si>
    <t>SO2601-90341</t>
  </si>
  <si>
    <t>IN2601-99646</t>
  </si>
  <si>
    <t>09/01/2026 09:54</t>
  </si>
  <si>
    <t>SO2601-90340</t>
  </si>
  <si>
    <t>KAMDEM 674414289</t>
  </si>
  <si>
    <t>IN2601-99645</t>
  </si>
  <si>
    <t>SO2601-90339</t>
  </si>
  <si>
    <t>IN2601-99644</t>
  </si>
  <si>
    <t>09/01/2026 09:50</t>
  </si>
  <si>
    <t>SO2601-90338</t>
  </si>
  <si>
    <t>IN2601-99643</t>
  </si>
  <si>
    <t>09/01/2026 09:47</t>
  </si>
  <si>
    <t>SO2601-90337</t>
  </si>
  <si>
    <t>IN2601-99642</t>
  </si>
  <si>
    <t>09/01/2026 09:49</t>
  </si>
  <si>
    <t>SO2601-90336</t>
  </si>
  <si>
    <t>WANKEP SERGE 696808739</t>
  </si>
  <si>
    <t>IN2601-99641</t>
  </si>
  <si>
    <t>09/01/2026 09:46</t>
  </si>
  <si>
    <t>SO2601-90335</t>
  </si>
  <si>
    <t>CU2409-01094 -  PROVENDERIE ODY (SHINWIN SOH DONATUS)</t>
  </si>
  <si>
    <t>IN2601-99640</t>
  </si>
  <si>
    <t>CU2409-01094 -  PROVENDERIE ODY</t>
  </si>
  <si>
    <t>SHINWIN SOH DONATUS</t>
  </si>
  <si>
    <t>09/01/2026 09:41</t>
  </si>
  <si>
    <t>SO2601-90334</t>
  </si>
  <si>
    <t>ONDOUA CINDY 659017901</t>
  </si>
  <si>
    <t>IN2601-99639</t>
  </si>
  <si>
    <t>09/01/2026 09:42</t>
  </si>
  <si>
    <t>SO2601-90333</t>
  </si>
  <si>
    <t>IN2601-99638</t>
  </si>
  <si>
    <t>09/01/2026 09:45</t>
  </si>
  <si>
    <t>SO2601-90332</t>
  </si>
  <si>
    <t>IN2601-99637</t>
  </si>
  <si>
    <t>09/01/2026 09:43</t>
  </si>
  <si>
    <t>SO2601-90331</t>
  </si>
  <si>
    <t>IN2601-99636</t>
  </si>
  <si>
    <t>09/01/2026 09:39</t>
  </si>
  <si>
    <t>SO2601-90330</t>
  </si>
  <si>
    <t>IN2601-99635</t>
  </si>
  <si>
    <t>SO2601-90329</t>
  </si>
  <si>
    <t>IN2601-99634</t>
  </si>
  <si>
    <t>09/01/2026 09:24</t>
  </si>
  <si>
    <t>SO2601-90328</t>
  </si>
  <si>
    <t>IN2601-99633</t>
  </si>
  <si>
    <t>09/01/2026 09:22</t>
  </si>
  <si>
    <t>SO2601-90327</t>
  </si>
  <si>
    <t>IN2601-99632</t>
  </si>
  <si>
    <t>SO2601-90326</t>
  </si>
  <si>
    <t>IN2601-99631</t>
  </si>
  <si>
    <t>09/01/2026 09:21</t>
  </si>
  <si>
    <t>SO2601-90325</t>
  </si>
  <si>
    <t>IN2601-99630</t>
  </si>
  <si>
    <t>09/01/2026 09:23</t>
  </si>
  <si>
    <t>SO2601-90324</t>
  </si>
  <si>
    <t>Soh jean Gaston 6979172627</t>
  </si>
  <si>
    <t>IN2601-99629</t>
  </si>
  <si>
    <t>09/01/2026 09:15</t>
  </si>
  <si>
    <t>SO2601-90323</t>
  </si>
  <si>
    <t>ARNAUD</t>
  </si>
  <si>
    <t>IN2601-99628</t>
  </si>
  <si>
    <t>09/01/2026 09:14</t>
  </si>
  <si>
    <t>SO2601-90322</t>
  </si>
  <si>
    <t>IN2601-99627</t>
  </si>
  <si>
    <t>09/01/2026 09:20</t>
  </si>
  <si>
    <t>SO2601-90321</t>
  </si>
  <si>
    <t>THOMAS</t>
  </si>
  <si>
    <t>IN2601-99626</t>
  </si>
  <si>
    <t>09/01/2026 09:12</t>
  </si>
  <si>
    <t>SO2601-90320</t>
  </si>
  <si>
    <t>AMBASSA 655030001</t>
  </si>
  <si>
    <t>IN2601-99625</t>
  </si>
  <si>
    <t>09/01/2026 09:08</t>
  </si>
  <si>
    <t>SO2601-90319</t>
  </si>
  <si>
    <t>IN2601-99624</t>
  </si>
  <si>
    <t>09/01/2026 09:48</t>
  </si>
  <si>
    <t>SO2601-90318</t>
  </si>
  <si>
    <t>IN2601-99623</t>
  </si>
  <si>
    <t>09/01/2026 08:59</t>
  </si>
  <si>
    <t>SO2601-90317</t>
  </si>
  <si>
    <t>IN2601-99622</t>
  </si>
  <si>
    <t>09/01/2026 08:58</t>
  </si>
  <si>
    <t>SO2601-90316</t>
  </si>
  <si>
    <t>IN2601-99621</t>
  </si>
  <si>
    <t>09/01/2026 08:54</t>
  </si>
  <si>
    <t>SO2601-90315</t>
  </si>
  <si>
    <t>IN2601-99620</t>
  </si>
  <si>
    <t>09/01/2026 08:57</t>
  </si>
  <si>
    <t>SO2601-90314</t>
  </si>
  <si>
    <t>IN2601-99619</t>
  </si>
  <si>
    <t>09/01/2026 08:47</t>
  </si>
  <si>
    <t>SO2601-90313</t>
  </si>
  <si>
    <t>IN2601-99618</t>
  </si>
  <si>
    <t>09/01/2026 08:36</t>
  </si>
  <si>
    <t>SO2601-90312</t>
  </si>
  <si>
    <t>IN2601-99617</t>
  </si>
  <si>
    <t>09/01/2026 08:37</t>
  </si>
  <si>
    <t>SO2601-90311</t>
  </si>
  <si>
    <t>IN2601-99616</t>
  </si>
  <si>
    <t>09/01/2026 08:35</t>
  </si>
  <si>
    <t>SO2601-90310</t>
  </si>
  <si>
    <t>IN2601-99615</t>
  </si>
  <si>
    <t>09/01/2026 08:34</t>
  </si>
  <si>
    <t>SO2601-90309</t>
  </si>
  <si>
    <t>IN2601-99614</t>
  </si>
  <si>
    <t>09/01/2026 08:32</t>
  </si>
  <si>
    <t>SO2601-90308</t>
  </si>
  <si>
    <t>IN2601-99613</t>
  </si>
  <si>
    <t>09/01/2026 08:30</t>
  </si>
  <si>
    <t>SO2601-90306</t>
  </si>
  <si>
    <t>EMERGENCE JEUNE DJOMO 677419136</t>
  </si>
  <si>
    <t>IN2601-99611</t>
  </si>
  <si>
    <t>09/01/2026 08:15</t>
  </si>
  <si>
    <t>SO2601-90305</t>
  </si>
  <si>
    <t>IN2601-99610</t>
  </si>
  <si>
    <t>09/01/2026 10:48</t>
  </si>
  <si>
    <t>SO2601-90304</t>
  </si>
  <si>
    <t>MBARGA GUILLAUME 697056294</t>
  </si>
  <si>
    <t>IN2601-99609</t>
  </si>
  <si>
    <t>09/01/2026 08:05</t>
  </si>
  <si>
    <t>SO2601-90799</t>
  </si>
  <si>
    <t>IN2601-100105</t>
  </si>
  <si>
    <t>SO2601-90303</t>
  </si>
  <si>
    <t>IN2601-99608</t>
  </si>
  <si>
    <t>08/01/2026 17:04</t>
  </si>
  <si>
    <t>SO2601-90302</t>
  </si>
  <si>
    <t>IN2601-99607</t>
  </si>
  <si>
    <t>08/01/2026 16:57</t>
  </si>
  <si>
    <t>SO2601-90301</t>
  </si>
  <si>
    <t>IN2601-99606</t>
  </si>
  <si>
    <t>08/01/2026 16:48</t>
  </si>
  <si>
    <t>SO2601-90300</t>
  </si>
  <si>
    <t>LOGMO 696302584</t>
  </si>
  <si>
    <t>IN2601-99605</t>
  </si>
  <si>
    <t>08/01/2026 17:06</t>
  </si>
  <si>
    <t>SO2601-90299</t>
  </si>
  <si>
    <t>IN2601-99604</t>
  </si>
  <si>
    <t>08/01/2026 17:24</t>
  </si>
  <si>
    <t>SO2601-90298</t>
  </si>
  <si>
    <t>BAILLERESSE 655172316</t>
  </si>
  <si>
    <t>IN2601-99603</t>
  </si>
  <si>
    <t>08/01/2026 16:53</t>
  </si>
  <si>
    <t>SO2601-90297</t>
  </si>
  <si>
    <t>MARCEL 675186222</t>
  </si>
  <si>
    <t>IN2601-99602</t>
  </si>
  <si>
    <t>08/01/2026 16:56</t>
  </si>
  <si>
    <t>SO2601-90296</t>
  </si>
  <si>
    <t>NJOMOU 657209601</t>
  </si>
  <si>
    <t>IN2601-99601</t>
  </si>
  <si>
    <t>08/01/2026 16:41</t>
  </si>
  <si>
    <t>SO2601-90295</t>
  </si>
  <si>
    <t>LE MAIRE</t>
  </si>
  <si>
    <t>IN2601-99600</t>
  </si>
  <si>
    <t>08/01/2026 16:36</t>
  </si>
  <si>
    <t>SO2601-90294</t>
  </si>
  <si>
    <t>MME ENOH EMA / 699056637</t>
  </si>
  <si>
    <t>IN2601-99599</t>
  </si>
  <si>
    <t>08/01/2026 16:30</t>
  </si>
  <si>
    <t>SO2601-90293</t>
  </si>
  <si>
    <t>ABDOULAZIZ 674808010</t>
  </si>
  <si>
    <t>IN2601-99598</t>
  </si>
  <si>
    <t>08/01/2026 16:26</t>
  </si>
  <si>
    <t>SO2601-90292</t>
  </si>
  <si>
    <t>MAIRE</t>
  </si>
  <si>
    <t>IN2601-99597</t>
  </si>
  <si>
    <t>08/01/2026 16:34</t>
  </si>
  <si>
    <t>SO2601-90291</t>
  </si>
  <si>
    <t>IN2601-99596</t>
  </si>
  <si>
    <t>08/01/2026 16:35</t>
  </si>
  <si>
    <t>SO2601-90290</t>
  </si>
  <si>
    <t>IN2601-99595</t>
  </si>
  <si>
    <t>08/01/2026 16:33</t>
  </si>
  <si>
    <t>SO2601-90289</t>
  </si>
  <si>
    <t>IN2601-99594</t>
  </si>
  <si>
    <t>08/01/2026 16:22</t>
  </si>
  <si>
    <t>SO2601-90288</t>
  </si>
  <si>
    <t>TEKOH MARTIN</t>
  </si>
  <si>
    <t>IN2601-99593</t>
  </si>
  <si>
    <t>08/01/2026 16:25</t>
  </si>
  <si>
    <t>SO2601-90287</t>
  </si>
  <si>
    <t>IN2601-99592</t>
  </si>
  <si>
    <t>08/01/2026 16:29</t>
  </si>
  <si>
    <t>SO2601-90286</t>
  </si>
  <si>
    <t>IN2601-99591</t>
  </si>
  <si>
    <t>08/01/2026 17:09</t>
  </si>
  <si>
    <t>SO2601-90285</t>
  </si>
  <si>
    <t>IN2601-99590</t>
  </si>
  <si>
    <t>08/01/2026 16:23</t>
  </si>
  <si>
    <t>SO2601-90284</t>
  </si>
  <si>
    <t>IN2601-99589</t>
  </si>
  <si>
    <t>08/01/2026 16:19</t>
  </si>
  <si>
    <t>SO2601-90283</t>
  </si>
  <si>
    <t>NGUEMTCHUENG CHABOU EDMOND (ZDCL00049)</t>
  </si>
  <si>
    <t>IN2601-99588</t>
  </si>
  <si>
    <t>NGUEMTCHUENG CHABOU EDMOND</t>
  </si>
  <si>
    <t>ZDCL00049</t>
  </si>
  <si>
    <t>SO2601-90282</t>
  </si>
  <si>
    <t>IN2601-99587</t>
  </si>
  <si>
    <t>08/01/2026 16:21</t>
  </si>
  <si>
    <t>SO2601-90281</t>
  </si>
  <si>
    <t>IN2601-99586</t>
  </si>
  <si>
    <t>08/01/2026 16:47</t>
  </si>
  <si>
    <t>SO2601-90280</t>
  </si>
  <si>
    <t>IN2601-99585</t>
  </si>
  <si>
    <t>08/01/2026 16:16</t>
  </si>
  <si>
    <t>SO2601-90279</t>
  </si>
  <si>
    <t>CU2504-01287 -  IBC SARL</t>
  </si>
  <si>
    <t>IN2601-99584</t>
  </si>
  <si>
    <t>08/01/2026 16:14</t>
  </si>
  <si>
    <t>SO2601-90278</t>
  </si>
  <si>
    <t>KUETE RODRIGUE 655713531</t>
  </si>
  <si>
    <t>IN2601-99583</t>
  </si>
  <si>
    <t>08/01/2026 16:18</t>
  </si>
  <si>
    <t>SO2601-90277</t>
  </si>
  <si>
    <t>IN2601-99582</t>
  </si>
  <si>
    <t>SO2601-90276</t>
  </si>
  <si>
    <t>IN2601-99581</t>
  </si>
  <si>
    <t>SO2601-90275</t>
  </si>
  <si>
    <t>CU2512-14186 -  SOCIETE COOPERATIVE SIMPLIFIE GREEN LAND (SCOOPS GLFF)</t>
  </si>
  <si>
    <t>IN2601-99580</t>
  </si>
  <si>
    <t>08/01/2026 16:24</t>
  </si>
  <si>
    <t>SO2601-90274</t>
  </si>
  <si>
    <t>BELLE NOURRICE 680808107</t>
  </si>
  <si>
    <t>IN2601-99579</t>
  </si>
  <si>
    <t>08/01/2026 16:10</t>
  </si>
  <si>
    <t>SO2601-90273</t>
  </si>
  <si>
    <t>FOKOU ROGER / 658772437</t>
  </si>
  <si>
    <t>IN2601-99578</t>
  </si>
  <si>
    <t>08/01/2026 16:07</t>
  </si>
  <si>
    <t>SO2601-90272</t>
  </si>
  <si>
    <t>IN2601-99577</t>
  </si>
  <si>
    <t>SO2601-90271</t>
  </si>
  <si>
    <t>IN2601-99576</t>
  </si>
  <si>
    <t>08/01/2026 16:09</t>
  </si>
  <si>
    <t>SO2601-90270</t>
  </si>
  <si>
    <t>IN2601-99575</t>
  </si>
  <si>
    <t>08/01/2026 16:04</t>
  </si>
  <si>
    <t>SO2601-90269</t>
  </si>
  <si>
    <t>IN2601-99574</t>
  </si>
  <si>
    <t>08/01/2026 16:00</t>
  </si>
  <si>
    <t>SO2601-90268</t>
  </si>
  <si>
    <t>IN2601-99573</t>
  </si>
  <si>
    <t>08/01/2026 16:01</t>
  </si>
  <si>
    <t>SO2601-90267</t>
  </si>
  <si>
    <t>IN2601-99572</t>
  </si>
  <si>
    <t>08/01/2026 15:59</t>
  </si>
  <si>
    <t>SO2601-90266</t>
  </si>
  <si>
    <t>IN2601-99571</t>
  </si>
  <si>
    <t>SO2601-90265</t>
  </si>
  <si>
    <t>CU2407-00726 -  KUEDAHA TEDONGMO MARIUS</t>
  </si>
  <si>
    <t>IN2601-99570</t>
  </si>
  <si>
    <t>08/01/2026 15:57</t>
  </si>
  <si>
    <t>SO2601-90264</t>
  </si>
  <si>
    <t>IN2601-99569</t>
  </si>
  <si>
    <t>08/01/2026 15:55</t>
  </si>
  <si>
    <t>SO2601-90263</t>
  </si>
  <si>
    <t>EMALE JEAN CLEMENT (ZDCL00054)</t>
  </si>
  <si>
    <t>IN2601-99568</t>
  </si>
  <si>
    <t>EMALE JEAN CLEMENT</t>
  </si>
  <si>
    <t>ZDCL00054</t>
  </si>
  <si>
    <t>08/01/2026 15:54</t>
  </si>
  <si>
    <t>SO2601-90262</t>
  </si>
  <si>
    <t>IN2601-99567</t>
  </si>
  <si>
    <t>08/01/2026 16:11</t>
  </si>
  <si>
    <t>SO2601-90261</t>
  </si>
  <si>
    <t>IN2601-99566</t>
  </si>
  <si>
    <t>08/01/2026 16:12</t>
  </si>
  <si>
    <t>SO2601-90260</t>
  </si>
  <si>
    <t>IN2601-99565</t>
  </si>
  <si>
    <t>SO2601-90259</t>
  </si>
  <si>
    <t>IN2601-99564</t>
  </si>
  <si>
    <t>08/01/2026 15:43</t>
  </si>
  <si>
    <t>SO2601-90258</t>
  </si>
  <si>
    <t>PROV DE L'AVENIR679671570</t>
  </si>
  <si>
    <t>IN2601-99563</t>
  </si>
  <si>
    <t>08/01/2026 16:03</t>
  </si>
  <si>
    <t>SO2601-90257</t>
  </si>
  <si>
    <t>MATADJO</t>
  </si>
  <si>
    <t>CU2406-00124 -  MATADJO NKAH PAULETTE</t>
  </si>
  <si>
    <t>IN2601-99562</t>
  </si>
  <si>
    <t>08/01/2026 16:06</t>
  </si>
  <si>
    <t>SO2601-90256</t>
  </si>
  <si>
    <t>FOIDIE 677169724</t>
  </si>
  <si>
    <t>IN2601-99561</t>
  </si>
  <si>
    <t>08/01/2026 15:42</t>
  </si>
  <si>
    <t>SO2601-90255</t>
  </si>
  <si>
    <t>TENE</t>
  </si>
  <si>
    <t>CU2407-00176 -  TENE FRANCIS</t>
  </si>
  <si>
    <t>IN2601-99560</t>
  </si>
  <si>
    <t>SO2601-90254</t>
  </si>
  <si>
    <t>ETS KAMGA 697312607</t>
  </si>
  <si>
    <t>CU2407-00756 -  ETS KAMGA CYK022</t>
  </si>
  <si>
    <t>IN2601-99559</t>
  </si>
  <si>
    <t>SO2601-90253</t>
  </si>
  <si>
    <t>IN2601-99558</t>
  </si>
  <si>
    <t>08/01/2026 15:41</t>
  </si>
  <si>
    <t>SO2601-90252</t>
  </si>
  <si>
    <t>IN2601-99557</t>
  </si>
  <si>
    <t>SO2601-90251</t>
  </si>
  <si>
    <t>IN2601-99556</t>
  </si>
  <si>
    <t>08/01/2026 15:37</t>
  </si>
  <si>
    <t>SO2601-90250</t>
  </si>
  <si>
    <t>IN2601-99555</t>
  </si>
  <si>
    <t>08/01/2026 15:53</t>
  </si>
  <si>
    <t>SO2601-90249</t>
  </si>
  <si>
    <t>IN2601-99554</t>
  </si>
  <si>
    <t>08/01/2026 16:08</t>
  </si>
  <si>
    <t>SO2601-90248</t>
  </si>
  <si>
    <t>IN2601-99553</t>
  </si>
  <si>
    <t>08/01/2026 15:34</t>
  </si>
  <si>
    <t>SO2601-90247</t>
  </si>
  <si>
    <t>CU2509-13847 -  TCHINDA ERCI ARNO</t>
  </si>
  <si>
    <t>IN2601-99552</t>
  </si>
  <si>
    <t>08/01/2026 15:30</t>
  </si>
  <si>
    <t>SO2601-90246</t>
  </si>
  <si>
    <t>IN2601-99551</t>
  </si>
  <si>
    <t>08/01/2026 15:38</t>
  </si>
  <si>
    <t>SO2601-90245</t>
  </si>
  <si>
    <t>GOULEDA (ZDCL00095)</t>
  </si>
  <si>
    <t>IN2601-99550</t>
  </si>
  <si>
    <t>GOULEDA</t>
  </si>
  <si>
    <t>ZDCL00095</t>
  </si>
  <si>
    <t>SO2601-90244</t>
  </si>
  <si>
    <t>BLAISE</t>
  </si>
  <si>
    <t>IN2601-99549</t>
  </si>
  <si>
    <t>08/01/2026 15:28</t>
  </si>
  <si>
    <t>SO2601-90243</t>
  </si>
  <si>
    <t>IN2601-99548</t>
  </si>
  <si>
    <t>08/01/2026 15:24</t>
  </si>
  <si>
    <t>SO2601-90242</t>
  </si>
  <si>
    <t>ZICL00123 -  NGASSA MBAKOP ALAIN NOEL (SOLDE COMPTA)</t>
  </si>
  <si>
    <t>IN2601-99547</t>
  </si>
  <si>
    <t>ZICL00123 -  NGASSA MBAKOP ALAIN NOEL</t>
  </si>
  <si>
    <t>08/01/2026 15:33</t>
  </si>
  <si>
    <t>SO2601-90241</t>
  </si>
  <si>
    <t>IN2601-99546</t>
  </si>
  <si>
    <t>08/01/2026 15:32</t>
  </si>
  <si>
    <t>SO2601-90240</t>
  </si>
  <si>
    <t>IN2601-99545</t>
  </si>
  <si>
    <t>SO2601-90239</t>
  </si>
  <si>
    <t>KOPCHI 655545056</t>
  </si>
  <si>
    <t>IN2601-99544</t>
  </si>
  <si>
    <t>08/01/2026 15:25</t>
  </si>
  <si>
    <t>SO2601-90238</t>
  </si>
  <si>
    <t>IN2601-99543</t>
  </si>
  <si>
    <t>08/01/2026 15:20</t>
  </si>
  <si>
    <t>SO2601-90237</t>
  </si>
  <si>
    <t>IN2601-99542</t>
  </si>
  <si>
    <t>08/01/2026 15:22</t>
  </si>
  <si>
    <t>SO2601-90236</t>
  </si>
  <si>
    <t>IN2601-99541</t>
  </si>
  <si>
    <t>08/01/2026 15:21</t>
  </si>
  <si>
    <t>SO2601-90235</t>
  </si>
  <si>
    <t>IN2601-99540</t>
  </si>
  <si>
    <t>SO2601-90234</t>
  </si>
  <si>
    <t>JUDE 67842440</t>
  </si>
  <si>
    <t>IN2601-99539</t>
  </si>
  <si>
    <t>08/01/2026 15:14</t>
  </si>
  <si>
    <t>SO2601-90233</t>
  </si>
  <si>
    <t>IN2601-99538</t>
  </si>
  <si>
    <t>SO2601-90232</t>
  </si>
  <si>
    <t>IN2601-99537</t>
  </si>
  <si>
    <t>08/01/2026 15:12</t>
  </si>
  <si>
    <t>SO2601-90231</t>
  </si>
  <si>
    <t>IN2601-99536</t>
  </si>
  <si>
    <t>08/01/2026 15:08</t>
  </si>
  <si>
    <t>SO2601-90230</t>
  </si>
  <si>
    <t>IN2601-99535</t>
  </si>
  <si>
    <t>08/01/2026 15:00</t>
  </si>
  <si>
    <t>SO2601-90229</t>
  </si>
  <si>
    <t>IN2601-99534</t>
  </si>
  <si>
    <t>08/01/2026 15:06</t>
  </si>
  <si>
    <t>SO2601-90228</t>
  </si>
  <si>
    <t>NZUK</t>
  </si>
  <si>
    <t>IN2601-99533</t>
  </si>
  <si>
    <t>08/01/2026 14:51</t>
  </si>
  <si>
    <t>SO2601-90227</t>
  </si>
  <si>
    <t>KUISSEU POLICAPE / 695105103</t>
  </si>
  <si>
    <t>CU2508-13600 -  KUISSEU POLICAPE</t>
  </si>
  <si>
    <t>IN2601-99532</t>
  </si>
  <si>
    <t>08/01/2026 14:50</t>
  </si>
  <si>
    <t>SO2601-90226</t>
  </si>
  <si>
    <t>IN2601-99531</t>
  </si>
  <si>
    <t>08/01/2026 14:46</t>
  </si>
  <si>
    <t>SO2601-90225</t>
  </si>
  <si>
    <t>IN2601-99530</t>
  </si>
  <si>
    <t>08/01/2026 14:48</t>
  </si>
  <si>
    <t>SO2601-90224</t>
  </si>
  <si>
    <t>IN2601-99529</t>
  </si>
  <si>
    <t>08/01/2026 14:45</t>
  </si>
  <si>
    <t>SO2601-90223</t>
  </si>
  <si>
    <t>IN2601-99528</t>
  </si>
  <si>
    <t>SO2601-90222</t>
  </si>
  <si>
    <t>IN2601-99527</t>
  </si>
  <si>
    <t>SO2601-90221</t>
  </si>
  <si>
    <t>IN2601-99526</t>
  </si>
  <si>
    <t>08/01/2026 14:41</t>
  </si>
  <si>
    <t>SO2601-90220</t>
  </si>
  <si>
    <t>TOUFACK 671715650</t>
  </si>
  <si>
    <t>IN2601-99525</t>
  </si>
  <si>
    <t>08/01/2026 14:40</t>
  </si>
  <si>
    <t>SO2601-90219</t>
  </si>
  <si>
    <t>IN2601-99524</t>
  </si>
  <si>
    <t>08/01/2026 14:33</t>
  </si>
  <si>
    <t>SO2601-90218</t>
  </si>
  <si>
    <t>YINGYIANG / 696 02 38 88</t>
  </si>
  <si>
    <t>IN2601-99523</t>
  </si>
  <si>
    <t>SO2601-90217</t>
  </si>
  <si>
    <t>IN2601-99522</t>
  </si>
  <si>
    <t>08/01/2026 14:31</t>
  </si>
  <si>
    <t>SO2601-90216</t>
  </si>
  <si>
    <t>IN2601-99521</t>
  </si>
  <si>
    <t>08/01/2026 14:26</t>
  </si>
  <si>
    <t>SO2601-90215</t>
  </si>
  <si>
    <t>IN2601-99520</t>
  </si>
  <si>
    <t>08/01/2026 14:43</t>
  </si>
  <si>
    <t>SO2601-90214</t>
  </si>
  <si>
    <t>NANA GAELLE 697242846</t>
  </si>
  <si>
    <t>IN2601-99519</t>
  </si>
  <si>
    <t>08/01/2026 14:18</t>
  </si>
  <si>
    <t>SO2601-90213</t>
  </si>
  <si>
    <t>LONGUE GERMAINE 699537813</t>
  </si>
  <si>
    <t>IN2601-99518</t>
  </si>
  <si>
    <t>08/01/2026 14:16</t>
  </si>
  <si>
    <t>SO2601-90212</t>
  </si>
  <si>
    <t>MOIFO WILFRIED 697619326</t>
  </si>
  <si>
    <t>IN2601-99517</t>
  </si>
  <si>
    <t>08/01/2026 14:13</t>
  </si>
  <si>
    <t>SO2601-90211</t>
  </si>
  <si>
    <t>IN2601-99516</t>
  </si>
  <si>
    <t>08/01/2026 14:57</t>
  </si>
  <si>
    <t>SO2601-90210</t>
  </si>
  <si>
    <t>MICHEL KAMTCHIN 654170931</t>
  </si>
  <si>
    <t>IN2601-99515</t>
  </si>
  <si>
    <t>08/01/2026 14:02</t>
  </si>
  <si>
    <t>SO2601-90209</t>
  </si>
  <si>
    <t>IN2601-99514</t>
  </si>
  <si>
    <t>SO2601-90208</t>
  </si>
  <si>
    <t>GASTON</t>
  </si>
  <si>
    <t>IN2601-99513</t>
  </si>
  <si>
    <t>08/01/2026 14:01</t>
  </si>
  <si>
    <t>SO2601-90207</t>
  </si>
  <si>
    <t>IN2601-99512</t>
  </si>
  <si>
    <t>08/01/2026 14:03</t>
  </si>
  <si>
    <t>SO2601-90206</t>
  </si>
  <si>
    <t>FOSSAH</t>
  </si>
  <si>
    <t>IN2601-99511</t>
  </si>
  <si>
    <t>08/01/2026 13:55</t>
  </si>
  <si>
    <t>SO2601-90205</t>
  </si>
  <si>
    <t>IN2601-99510</t>
  </si>
  <si>
    <t>08/01/2026 13:56</t>
  </si>
  <si>
    <t>SO2601-90204</t>
  </si>
  <si>
    <t>IN2601-99509</t>
  </si>
  <si>
    <t>SO2601-90203</t>
  </si>
  <si>
    <t>MEGAPTIE</t>
  </si>
  <si>
    <t>IN2601-99508</t>
  </si>
  <si>
    <t>08/01/2026 13:53</t>
  </si>
  <si>
    <t>SO2601-90202</t>
  </si>
  <si>
    <t>HARIB_AMADOU / 698 09 64 19</t>
  </si>
  <si>
    <t>CU2601-14329 -  HARIB FARM</t>
  </si>
  <si>
    <t>IN2601-99507</t>
  </si>
  <si>
    <t>SO2601-90201</t>
  </si>
  <si>
    <t>HERVE SONWA 694849962</t>
  </si>
  <si>
    <t>IN2601-99506</t>
  </si>
  <si>
    <t>08/01/2026 13:46</t>
  </si>
  <si>
    <t>SO2601-90200</t>
  </si>
  <si>
    <t>TAWI BURRASE</t>
  </si>
  <si>
    <t>IN2601-99505</t>
  </si>
  <si>
    <t>08/01/2026 13:52</t>
  </si>
  <si>
    <t>SO2601-90199</t>
  </si>
  <si>
    <t>IN2601-99504</t>
  </si>
  <si>
    <t>08/01/2026 13:43</t>
  </si>
  <si>
    <t>SO2601-90198</t>
  </si>
  <si>
    <t>IN2601-99503</t>
  </si>
  <si>
    <t>08/01/2026 13:49</t>
  </si>
  <si>
    <t>SO2601-90197</t>
  </si>
  <si>
    <t>IN2601-99502</t>
  </si>
  <si>
    <t>08/01/2026 13:45</t>
  </si>
  <si>
    <t>SO2601-90196</t>
  </si>
  <si>
    <t>IN2601-99501</t>
  </si>
  <si>
    <t>08/01/2026 13:37</t>
  </si>
  <si>
    <t>SO2601-90195</t>
  </si>
  <si>
    <t>TCHOFFO 696618848</t>
  </si>
  <si>
    <t>IN2601-99500</t>
  </si>
  <si>
    <t>SO2601-90194</t>
  </si>
  <si>
    <t>MELEU</t>
  </si>
  <si>
    <t>IN2601-99499</t>
  </si>
  <si>
    <t>08/01/2026 13:31</t>
  </si>
  <si>
    <t>SO2601-90193</t>
  </si>
  <si>
    <t>IN2601-99498</t>
  </si>
  <si>
    <t>08/01/2026 13:36</t>
  </si>
  <si>
    <t>SO2601-90192</t>
  </si>
  <si>
    <t>IN2601-99497</t>
  </si>
  <si>
    <t>08/01/2026 13:26</t>
  </si>
  <si>
    <t>SO2601-90191</t>
  </si>
  <si>
    <t>IN2601-99496</t>
  </si>
  <si>
    <t>SO2601-90190</t>
  </si>
  <si>
    <t>TCHUENKAM EUCLESIASTE 659282280</t>
  </si>
  <si>
    <t>IN2601-99495</t>
  </si>
  <si>
    <t>08/01/2026 13:28</t>
  </si>
  <si>
    <t>SO2601-90189</t>
  </si>
  <si>
    <t>IN2601-99494</t>
  </si>
  <si>
    <t>08/01/2026 13:24</t>
  </si>
  <si>
    <t>SO2601-90188</t>
  </si>
  <si>
    <t>IN2601-99493</t>
  </si>
  <si>
    <t>08/01/2026 13:22</t>
  </si>
  <si>
    <t>SO2601-90187</t>
  </si>
  <si>
    <t>IN2601-99492</t>
  </si>
  <si>
    <t>08/01/2026 13:19</t>
  </si>
  <si>
    <t>SO2601-90186</t>
  </si>
  <si>
    <t>IN2601-99491</t>
  </si>
  <si>
    <t>SO2601-90185</t>
  </si>
  <si>
    <t>IN2601-99490</t>
  </si>
  <si>
    <t>08/01/2026 13:15</t>
  </si>
  <si>
    <t>SO2601-90184</t>
  </si>
  <si>
    <t>IN2601-99489</t>
  </si>
  <si>
    <t>08/01/2026 13:13</t>
  </si>
  <si>
    <t>SO2601-90183</t>
  </si>
  <si>
    <t>CU2601-14256 -  TABO ET SONS ENTERPRISE</t>
  </si>
  <si>
    <t>IN2601-99488</t>
  </si>
  <si>
    <t>08/01/2026 13:09</t>
  </si>
  <si>
    <t>SO2601-90182</t>
  </si>
  <si>
    <t>IN2601-99487</t>
  </si>
  <si>
    <t>SO2601-90181</t>
  </si>
  <si>
    <t>IN2601-99486</t>
  </si>
  <si>
    <t>08/01/2026 13:01</t>
  </si>
  <si>
    <t>SO2601-90180</t>
  </si>
  <si>
    <t>YEMETIO</t>
  </si>
  <si>
    <t>IN2601-99485</t>
  </si>
  <si>
    <t>SO2601-90179</t>
  </si>
  <si>
    <t>IN2601-99484</t>
  </si>
  <si>
    <t>08/01/2026 13:03</t>
  </si>
  <si>
    <t>SO2601-90178</t>
  </si>
  <si>
    <t>DINGO LAREINE 699247195</t>
  </si>
  <si>
    <t>IN2601-99483</t>
  </si>
  <si>
    <t>08/01/2026 13:02</t>
  </si>
  <si>
    <t>SO2601-90177</t>
  </si>
  <si>
    <t>IN2601-99482</t>
  </si>
  <si>
    <t>08/01/2026 13:00</t>
  </si>
  <si>
    <t>SO2601-90176</t>
  </si>
  <si>
    <t>PASCAL</t>
  </si>
  <si>
    <t>IN2601-99481</t>
  </si>
  <si>
    <t>08/01/2026 12:57</t>
  </si>
  <si>
    <t>SO2601-90175</t>
  </si>
  <si>
    <t>IN2601-99480</t>
  </si>
  <si>
    <t>08/01/2026 12:55</t>
  </si>
  <si>
    <t>SO2601-90174</t>
  </si>
  <si>
    <t>IN2601-99479</t>
  </si>
  <si>
    <t>08/01/2026 12:53</t>
  </si>
  <si>
    <t>SO2601-90173</t>
  </si>
  <si>
    <t>MOISE KALAMEU 673030239</t>
  </si>
  <si>
    <t>IN2601-99478</t>
  </si>
  <si>
    <t>08/01/2026 12:54</t>
  </si>
  <si>
    <t>SO2601-90172</t>
  </si>
  <si>
    <t>IN2601-99477</t>
  </si>
  <si>
    <t>08/01/2026 12:50</t>
  </si>
  <si>
    <t>SO2601-90171</t>
  </si>
  <si>
    <t>IN2601-99476</t>
  </si>
  <si>
    <t>08/01/2026 12:52</t>
  </si>
  <si>
    <t>SO2601-90170</t>
  </si>
  <si>
    <t>IN2601-99475</t>
  </si>
  <si>
    <t>08/01/2026 12:47</t>
  </si>
  <si>
    <t>SO2601-90169</t>
  </si>
  <si>
    <t>IN2601-99474</t>
  </si>
  <si>
    <t>08/01/2026 12:42</t>
  </si>
  <si>
    <t>SO2601-90168</t>
  </si>
  <si>
    <t>CU2512-14205 -  TIAJOUE JULES TARBELL</t>
  </si>
  <si>
    <t>IN2601-99473</t>
  </si>
  <si>
    <t>SO2601-90167</t>
  </si>
  <si>
    <t>IN2601-99472</t>
  </si>
  <si>
    <t>08/01/2026 12:41</t>
  </si>
  <si>
    <t>SO2601-90166</t>
  </si>
  <si>
    <t>CU2409-01109 -  KENGNE FERDINAND</t>
  </si>
  <si>
    <t>IN2601-99471</t>
  </si>
  <si>
    <t>08/01/2026 12:35</t>
  </si>
  <si>
    <t>SO2601-90165</t>
  </si>
  <si>
    <t>IN2601-99470</t>
  </si>
  <si>
    <t>08/01/2026 12:44</t>
  </si>
  <si>
    <t>SO2601-90164</t>
  </si>
  <si>
    <t>TIKANKOU 683346021</t>
  </si>
  <si>
    <t>IN2601-99469</t>
  </si>
  <si>
    <t>08/01/2026 12:27</t>
  </si>
  <si>
    <t>SO2601-90163</t>
  </si>
  <si>
    <t>IN2601-99468</t>
  </si>
  <si>
    <t>08/01/2026 12:31</t>
  </si>
  <si>
    <t>SO2601-90162</t>
  </si>
  <si>
    <t>IN2601-99467</t>
  </si>
  <si>
    <t>SO2601-90161</t>
  </si>
  <si>
    <t>IN2601-99466</t>
  </si>
  <si>
    <t>08/01/2026 12:38</t>
  </si>
  <si>
    <t>SO2601-90160</t>
  </si>
  <si>
    <t>IN2601-99465</t>
  </si>
  <si>
    <t>08/01/2026 12:25</t>
  </si>
  <si>
    <t>SO2601-90159</t>
  </si>
  <si>
    <t>IN2601-99464</t>
  </si>
  <si>
    <t>08/01/2026 12:19</t>
  </si>
  <si>
    <t>SO2601-90158</t>
  </si>
  <si>
    <t>IN2601-99463</t>
  </si>
  <si>
    <t>08/01/2026 12:20</t>
  </si>
  <si>
    <t>SO2601-90157</t>
  </si>
  <si>
    <t>IN2601-99462</t>
  </si>
  <si>
    <t>SO2601-90156</t>
  </si>
  <si>
    <t>CU2509-14005 -  SONWA SAHA EMMANUEL</t>
  </si>
  <si>
    <t>IN2601-99461</t>
  </si>
  <si>
    <t>08/01/2026 12:18</t>
  </si>
  <si>
    <t>SO2601-90155</t>
  </si>
  <si>
    <t>KAMDOM 673035380</t>
  </si>
  <si>
    <t>IN2601-99460</t>
  </si>
  <si>
    <t>SO2601-90154</t>
  </si>
  <si>
    <t>IN2601-99459</t>
  </si>
  <si>
    <t>08/01/2026 12:16</t>
  </si>
  <si>
    <t>SO2601-90153</t>
  </si>
  <si>
    <t>IN2601-99458</t>
  </si>
  <si>
    <t>08/01/2026 12:12</t>
  </si>
  <si>
    <t>SO2601-90152</t>
  </si>
  <si>
    <t>MANSOUROU / 692814332</t>
  </si>
  <si>
    <t>IN2601-99457</t>
  </si>
  <si>
    <t>08/01/2026 12:11</t>
  </si>
  <si>
    <t>SO2601-90151</t>
  </si>
  <si>
    <t>CU2407-00343 -  VETOCAM</t>
  </si>
  <si>
    <t>IN2601-99456</t>
  </si>
  <si>
    <t>08/01/2026 13:39</t>
  </si>
  <si>
    <t>SO2601-90150</t>
  </si>
  <si>
    <t>NACK 678397486</t>
  </si>
  <si>
    <t>IN2601-99455</t>
  </si>
  <si>
    <t>08/01/2026 12:05</t>
  </si>
  <si>
    <t>SO2601-90149</t>
  </si>
  <si>
    <t>TATANG DOUANLA 679542269</t>
  </si>
  <si>
    <t>CU2502-01257 -  TATANG DOUNGLA MARTIAL</t>
  </si>
  <si>
    <t>IN2601-99454</t>
  </si>
  <si>
    <t>SO2601-90148</t>
  </si>
  <si>
    <t>IN2601-99453</t>
  </si>
  <si>
    <t>08/01/2026 12:06</t>
  </si>
  <si>
    <t>SO2601-90147</t>
  </si>
  <si>
    <t>maxim</t>
  </si>
  <si>
    <t>IN2601-99452</t>
  </si>
  <si>
    <t>SO2601-90146</t>
  </si>
  <si>
    <t>IN2601-99451</t>
  </si>
  <si>
    <t>08/01/2026 12:08</t>
  </si>
  <si>
    <t>SO2601-90145</t>
  </si>
  <si>
    <t>ABOU MASSA 694566264</t>
  </si>
  <si>
    <t>IN2601-99450</t>
  </si>
  <si>
    <t>SO2601-90144</t>
  </si>
  <si>
    <t>TANEYEM</t>
  </si>
  <si>
    <t>CU2407-00177 -  TANEYEM FRANCIS</t>
  </si>
  <si>
    <t>IN2601-99449</t>
  </si>
  <si>
    <t>08/01/2026 12:02</t>
  </si>
  <si>
    <t>SO2601-90143</t>
  </si>
  <si>
    <t>IN2601-99448</t>
  </si>
  <si>
    <t>SO2601-90142</t>
  </si>
  <si>
    <t>IN2601-99447</t>
  </si>
  <si>
    <t>08/01/2026 13:51</t>
  </si>
  <si>
    <t>SO2601-90141</t>
  </si>
  <si>
    <t>IN2601-99446</t>
  </si>
  <si>
    <t>SO2601-90140</t>
  </si>
  <si>
    <t>TOGUE</t>
  </si>
  <si>
    <t>IN2601-99445</t>
  </si>
  <si>
    <t>08/01/2026 13:59</t>
  </si>
  <si>
    <t>SO2601-90139</t>
  </si>
  <si>
    <t>IN2601-99444</t>
  </si>
  <si>
    <t>08/01/2026 11:47</t>
  </si>
  <si>
    <t>SO2601-90138</t>
  </si>
  <si>
    <t>IN2601-99443</t>
  </si>
  <si>
    <t>SO2601-90137</t>
  </si>
  <si>
    <t>IN2601-99442</t>
  </si>
  <si>
    <t>SO2601-90136</t>
  </si>
  <si>
    <t>IN2601-99441</t>
  </si>
  <si>
    <t>08/01/2026 11:56</t>
  </si>
  <si>
    <t>SO2601-90135</t>
  </si>
  <si>
    <t>M.KPOUMIE 691359704</t>
  </si>
  <si>
    <t>IN2601-99440</t>
  </si>
  <si>
    <t>08/01/2026 11:40</t>
  </si>
  <si>
    <t>SO2601-90134</t>
  </si>
  <si>
    <t>NGANA FABRICE 674353663</t>
  </si>
  <si>
    <t>IN2601-99439</t>
  </si>
  <si>
    <t>08/01/2026 11:39</t>
  </si>
  <si>
    <t>SO2601-89913</t>
  </si>
  <si>
    <t>07/01/2026</t>
  </si>
  <si>
    <t>IN2601-99438</t>
  </si>
  <si>
    <t>08/01/2026 11:42</t>
  </si>
  <si>
    <t>SO2601-90132</t>
  </si>
  <si>
    <t>IN2601-99437</t>
  </si>
  <si>
    <t>SO2601-90131</t>
  </si>
  <si>
    <t>IN2601-99436</t>
  </si>
  <si>
    <t>08/01/2026 13:57</t>
  </si>
  <si>
    <t>SO2601-90130</t>
  </si>
  <si>
    <t>SAFO</t>
  </si>
  <si>
    <t>IN2601-99435</t>
  </si>
  <si>
    <t>08/01/2026 14:38</t>
  </si>
  <si>
    <t>SO2601-90129</t>
  </si>
  <si>
    <t>IN2601-99434</t>
  </si>
  <si>
    <t>08/01/2026 11:35</t>
  </si>
  <si>
    <t>SO2601-90128</t>
  </si>
  <si>
    <t>CU2408-01043 -  M. TOUBIYOU</t>
  </si>
  <si>
    <t>IN2601-99433</t>
  </si>
  <si>
    <t>08/01/2026 11:34</t>
  </si>
  <si>
    <t>SO2601-90127</t>
  </si>
  <si>
    <t>IN2601-99432</t>
  </si>
  <si>
    <t>SO2601-90126</t>
  </si>
  <si>
    <t>IN2601-99431</t>
  </si>
  <si>
    <t>08/01/2026 11:33</t>
  </si>
  <si>
    <t>SO2601-90125</t>
  </si>
  <si>
    <t>TIAKOU FERDINAND 682407677</t>
  </si>
  <si>
    <t>IN2601-99430</t>
  </si>
  <si>
    <t>08/01/2026 11:22</t>
  </si>
  <si>
    <t>SO2601-90124</t>
  </si>
  <si>
    <t>IN2601-99429</t>
  </si>
  <si>
    <t>08/01/2026 14:59</t>
  </si>
  <si>
    <t>SO2601-90123</t>
  </si>
  <si>
    <t>AWE FRANCOIS 695481880</t>
  </si>
  <si>
    <t>IN2601-99428</t>
  </si>
  <si>
    <t>08/01/2026 11:20</t>
  </si>
  <si>
    <t>SO2601-90122</t>
  </si>
  <si>
    <t>CLAIRE</t>
  </si>
  <si>
    <t>IN2601-99427</t>
  </si>
  <si>
    <t>08/01/2026 15:01</t>
  </si>
  <si>
    <t>SO2601-90121</t>
  </si>
  <si>
    <t>BETA TRUST 694283014</t>
  </si>
  <si>
    <t>IN2601-99426</t>
  </si>
  <si>
    <t>08/01/2026 11:16</t>
  </si>
  <si>
    <t>SO2601-90120</t>
  </si>
  <si>
    <t>IN2601-99425</t>
  </si>
  <si>
    <t>08/01/2026 13:04</t>
  </si>
  <si>
    <t>SO2601-90119</t>
  </si>
  <si>
    <t>IN2601-99424</t>
  </si>
  <si>
    <t>SO2601-90118</t>
  </si>
  <si>
    <t>IN2601-99423</t>
  </si>
  <si>
    <t>08/01/2026 11:12</t>
  </si>
  <si>
    <t>SO2601-90117</t>
  </si>
  <si>
    <t>NKONDONG ESSO 676032236</t>
  </si>
  <si>
    <t>IN2601-99422</t>
  </si>
  <si>
    <t>08/01/2026 10:59</t>
  </si>
  <si>
    <t>SO2601-90116</t>
  </si>
  <si>
    <t>IN2601-99421</t>
  </si>
  <si>
    <t>08/01/2026 12:03</t>
  </si>
  <si>
    <t>SO2601-90114</t>
  </si>
  <si>
    <t>FRANKLIN 693703462</t>
  </si>
  <si>
    <t>IN2601-99419</t>
  </si>
  <si>
    <t>08/01/2026 15:45</t>
  </si>
  <si>
    <t>SO2601-90113</t>
  </si>
  <si>
    <t>IN2601-99418</t>
  </si>
  <si>
    <t>08/01/2026 11:45</t>
  </si>
  <si>
    <t>SO2601-89917</t>
  </si>
  <si>
    <t>IN2601-99417</t>
  </si>
  <si>
    <t>08/01/2026 10:52</t>
  </si>
  <si>
    <t>SO2601-90111</t>
  </si>
  <si>
    <t>IN2601-99416</t>
  </si>
  <si>
    <t>SO2601-90110</t>
  </si>
  <si>
    <t>ASSE MARIE 690226160</t>
  </si>
  <si>
    <t>IN2601-99415</t>
  </si>
  <si>
    <t>08/01/2026 10:54</t>
  </si>
  <si>
    <t>SO2601-90109</t>
  </si>
  <si>
    <t>YEMDJI CARINE 652007720</t>
  </si>
  <si>
    <t>IN2601-99414</t>
  </si>
  <si>
    <t>08/01/2026 10:48</t>
  </si>
  <si>
    <t>SO2601-90108</t>
  </si>
  <si>
    <t>IN2601-99413</t>
  </si>
  <si>
    <t>08/01/2026 13:11</t>
  </si>
  <si>
    <t>SO2601-90107</t>
  </si>
  <si>
    <t>TCHUMNO</t>
  </si>
  <si>
    <t>IN2601-99412</t>
  </si>
  <si>
    <t>08/01/2026 10:40</t>
  </si>
  <si>
    <t>SO2601-90106</t>
  </si>
  <si>
    <t>IN2601-99411</t>
  </si>
  <si>
    <t>08/01/2026 10:32</t>
  </si>
  <si>
    <t>SO2601-90105</t>
  </si>
  <si>
    <t>IN2601-99410</t>
  </si>
  <si>
    <t>08/01/2026 10:28</t>
  </si>
  <si>
    <t>SO2601-90104</t>
  </si>
  <si>
    <t>CHEUMAGA BERNARD 699899200</t>
  </si>
  <si>
    <t>IN2601-99409</t>
  </si>
  <si>
    <t>08/01/2026 10:30</t>
  </si>
  <si>
    <t>SO2601-90103</t>
  </si>
  <si>
    <t>IN2601-99408</t>
  </si>
  <si>
    <t>08/01/2026 10:27</t>
  </si>
  <si>
    <t>SO2601-90102</t>
  </si>
  <si>
    <t>ABOUBAKAR</t>
  </si>
  <si>
    <t>IN2601-99407</t>
  </si>
  <si>
    <t>08/01/2026 10:25</t>
  </si>
  <si>
    <t>SO2601-90101</t>
  </si>
  <si>
    <t>IN2601-99406</t>
  </si>
  <si>
    <t>08/01/2026 11:06</t>
  </si>
  <si>
    <t>SO2601-90100</t>
  </si>
  <si>
    <t>CU2407-00615 -  FOTSING JACQUES</t>
  </si>
  <si>
    <t>IN2601-99405</t>
  </si>
  <si>
    <t>08/01/2026 10:23</t>
  </si>
  <si>
    <t>SO2601-90099</t>
  </si>
  <si>
    <t>IN2601-99404</t>
  </si>
  <si>
    <t>08/01/2026 11:04</t>
  </si>
  <si>
    <t>SO2601-90098</t>
  </si>
  <si>
    <t>DJAZOUA 693755788</t>
  </si>
  <si>
    <t>IN2601-99403</t>
  </si>
  <si>
    <t>08/01/2026 10:19</t>
  </si>
  <si>
    <t>SO2601-90097</t>
  </si>
  <si>
    <t>IN2601-99402</t>
  </si>
  <si>
    <t>SO2601-90096</t>
  </si>
  <si>
    <t>IN2601-99401</t>
  </si>
  <si>
    <t>08/01/2026 10:16</t>
  </si>
  <si>
    <t>SO2601-90095</t>
  </si>
  <si>
    <t>AMIDOU 691280586</t>
  </si>
  <si>
    <t>IN2601-99400</t>
  </si>
  <si>
    <t>08/01/2026 10:18</t>
  </si>
  <si>
    <t>SO2601-90094</t>
  </si>
  <si>
    <t>MODESTE</t>
  </si>
  <si>
    <t>IN2601-99399</t>
  </si>
  <si>
    <t>SO2601-90093</t>
  </si>
  <si>
    <t>IN2601-99398</t>
  </si>
  <si>
    <t>08/01/2026 10:14</t>
  </si>
  <si>
    <t>SO2601-90092</t>
  </si>
  <si>
    <t>IN2601-99397</t>
  </si>
  <si>
    <t>08/01/2026 10:08</t>
  </si>
  <si>
    <t>SO2601-90090</t>
  </si>
  <si>
    <t>IN2601-99395</t>
  </si>
  <si>
    <t>SO2601-90089</t>
  </si>
  <si>
    <t>IN2601-99394</t>
  </si>
  <si>
    <t>SO2601-90088</t>
  </si>
  <si>
    <t>IN2601-99393</t>
  </si>
  <si>
    <t>08/01/2026 09:38</t>
  </si>
  <si>
    <t>SO2601-90087</t>
  </si>
  <si>
    <t>IN2601-99392</t>
  </si>
  <si>
    <t>08/01/2026 09:31</t>
  </si>
  <si>
    <t>SO2601-90086</t>
  </si>
  <si>
    <t>IN2601-99391</t>
  </si>
  <si>
    <t>08/01/2026 09:11</t>
  </si>
  <si>
    <t>SO2601-90085</t>
  </si>
  <si>
    <t>TCHAKOUNTE LEOPOLD (ZDCL00080)</t>
  </si>
  <si>
    <t>IN2601-99390</t>
  </si>
  <si>
    <t>TCHAKOUNTE LEOPOLD</t>
  </si>
  <si>
    <t>ZDCL00080</t>
  </si>
  <si>
    <t>08/01/2026 09:03</t>
  </si>
  <si>
    <t>SO2601-90084</t>
  </si>
  <si>
    <t>IN2601-99389</t>
  </si>
  <si>
    <t>08/01/2026 08:59</t>
  </si>
  <si>
    <t>SO2601-90083</t>
  </si>
  <si>
    <t>IN2601-99388</t>
  </si>
  <si>
    <t>08/01/2026 08:54</t>
  </si>
  <si>
    <t>SO2601-90082</t>
  </si>
  <si>
    <t>IGORINE</t>
  </si>
  <si>
    <t>IN2601-99387</t>
  </si>
  <si>
    <t>08/01/2026 09:01</t>
  </si>
  <si>
    <t>SO2601-90081</t>
  </si>
  <si>
    <t>IN2601-99386</t>
  </si>
  <si>
    <t>08/01/2026 09:04</t>
  </si>
  <si>
    <t>SO2601-90080</t>
  </si>
  <si>
    <t>M.MASSOL 656115386</t>
  </si>
  <si>
    <t>IN2601-99385</t>
  </si>
  <si>
    <t>SO2601-90079</t>
  </si>
  <si>
    <t>IN2601-99384</t>
  </si>
  <si>
    <t>08/01/2026 08:50</t>
  </si>
  <si>
    <t>SO2601-90078</t>
  </si>
  <si>
    <t>IN2601-99382</t>
  </si>
  <si>
    <t>08/01/2026 08:45</t>
  </si>
  <si>
    <t>SO2601-90077</t>
  </si>
  <si>
    <t>CU2407-00785 -  MFOUT MASSIETMO ASSANA</t>
  </si>
  <si>
    <t>ID2601-0034</t>
  </si>
  <si>
    <t>08/01/2026 08:30</t>
  </si>
  <si>
    <t>SO2601-90076</t>
  </si>
  <si>
    <t>IN2601-99381</t>
  </si>
  <si>
    <t>08/01/2026 08:22</t>
  </si>
  <si>
    <t>SO2601-90075</t>
  </si>
  <si>
    <t>IN2601-99380</t>
  </si>
  <si>
    <t>08/01/2026 08:10</t>
  </si>
  <si>
    <t>SO2601-90074</t>
  </si>
  <si>
    <t>IN2601-99379</t>
  </si>
  <si>
    <t>08/01/2026 07:53</t>
  </si>
  <si>
    <t>SO2601-90115</t>
  </si>
  <si>
    <t>FOSSI 699098046</t>
  </si>
  <si>
    <t>IN2601-99420</t>
  </si>
  <si>
    <t>08/01/2026 11:31</t>
  </si>
  <si>
    <t>SO2601-90091</t>
  </si>
  <si>
    <t>IN2601-99396</t>
  </si>
  <si>
    <t>SO2601-90073</t>
  </si>
  <si>
    <t>IN2601-99378</t>
  </si>
  <si>
    <t>SO2601-90072</t>
  </si>
  <si>
    <t>IN2601-99377</t>
  </si>
  <si>
    <t>07/01/2026 17:18</t>
  </si>
  <si>
    <t>SO2601-90071</t>
  </si>
  <si>
    <t>IN2601-99376</t>
  </si>
  <si>
    <t>07/01/2026 17:15</t>
  </si>
  <si>
    <t>SO2601-90070</t>
  </si>
  <si>
    <t>IN2601-99375</t>
  </si>
  <si>
    <t>SO2601-90069</t>
  </si>
  <si>
    <t>patrice 650862785</t>
  </si>
  <si>
    <t>IN2601-99374</t>
  </si>
  <si>
    <t>07/01/2026 16:43</t>
  </si>
  <si>
    <t>SO2601-90068</t>
  </si>
  <si>
    <t>IN2601-99373</t>
  </si>
  <si>
    <t>07/01/2026 16:47</t>
  </si>
  <si>
    <t>SO2601-90067</t>
  </si>
  <si>
    <t>IN2601-99372</t>
  </si>
  <si>
    <t>07/01/2026 16:40</t>
  </si>
  <si>
    <t>SO2601-90066</t>
  </si>
  <si>
    <t>IN2601-99371</t>
  </si>
  <si>
    <t>07/01/2026 16:45</t>
  </si>
  <si>
    <t>SO2601-90065</t>
  </si>
  <si>
    <t>BIALO A BELE GUY 653196727</t>
  </si>
  <si>
    <t>IN2601-99370</t>
  </si>
  <si>
    <t>07/01/2026 16:41</t>
  </si>
  <si>
    <t>SO2601-90064</t>
  </si>
  <si>
    <t>IN2601-99369</t>
  </si>
  <si>
    <t>SO2601-90063</t>
  </si>
  <si>
    <t>IN2601-99368</t>
  </si>
  <si>
    <t>07/01/2026 16:48</t>
  </si>
  <si>
    <t>SO2601-90062</t>
  </si>
  <si>
    <t>KINSLY 677365810</t>
  </si>
  <si>
    <t>IN2601-99367</t>
  </si>
  <si>
    <t>07/01/2026 16:32</t>
  </si>
  <si>
    <t>SO2601-90061</t>
  </si>
  <si>
    <t>IN2601-99366</t>
  </si>
  <si>
    <t>07/01/2026 16:33</t>
  </si>
  <si>
    <t>SO2601-90060</t>
  </si>
  <si>
    <t>SUFFO 699312229</t>
  </si>
  <si>
    <t>IN2601-99365</t>
  </si>
  <si>
    <t>07/01/2026 16:28</t>
  </si>
  <si>
    <t>SO2601-90059</t>
  </si>
  <si>
    <t>KUEMBOU JAMES 674923957</t>
  </si>
  <si>
    <t>IN2601-99364</t>
  </si>
  <si>
    <t>SO2601-90058</t>
  </si>
  <si>
    <t>IN2601-99363</t>
  </si>
  <si>
    <t>07/01/2026 16:51</t>
  </si>
  <si>
    <t>SO2601-90057</t>
  </si>
  <si>
    <t>IN2601-99362</t>
  </si>
  <si>
    <t>07/01/2026 16:26</t>
  </si>
  <si>
    <t>SO2601-90056</t>
  </si>
  <si>
    <t>IN2601-99361</t>
  </si>
  <si>
    <t>07/01/2026 16:44</t>
  </si>
  <si>
    <t>SO2601-90055</t>
  </si>
  <si>
    <t>IN2601-99360</t>
  </si>
  <si>
    <t>07/01/2026 16:38</t>
  </si>
  <si>
    <t>SO2601-90054</t>
  </si>
  <si>
    <t>IN2601-99359</t>
  </si>
  <si>
    <t>07/01/2026 16:24</t>
  </si>
  <si>
    <t>SO2601-90053</t>
  </si>
  <si>
    <t>IN2601-99358</t>
  </si>
  <si>
    <t>07/01/2026 16:21</t>
  </si>
  <si>
    <t>SO2601-90052</t>
  </si>
  <si>
    <t>IN2601-99357</t>
  </si>
  <si>
    <t>SO2601-90051</t>
  </si>
  <si>
    <t>IN2601-99356</t>
  </si>
  <si>
    <t>SO2601-90050</t>
  </si>
  <si>
    <t>M TCHINDA ROGER 670014089</t>
  </si>
  <si>
    <t>IN2601-99355</t>
  </si>
  <si>
    <t>07/01/2026 16:17</t>
  </si>
  <si>
    <t>SO2601-90049</t>
  </si>
  <si>
    <t>IN2601-99354</t>
  </si>
  <si>
    <t>07/01/2026 16:18</t>
  </si>
  <si>
    <t>SO2601-90048</t>
  </si>
  <si>
    <t>NDIFOM VERA 682422980</t>
  </si>
  <si>
    <t>IN2601-99353</t>
  </si>
  <si>
    <t>07/01/2026 16:23</t>
  </si>
  <si>
    <t>SO2601-90047</t>
  </si>
  <si>
    <t>TCHOUWA TCHAPDA / 674055380</t>
  </si>
  <si>
    <t>CU2502-01211 -  TCHOUWA TCHAPDA ROMUALD</t>
  </si>
  <si>
    <t>IN2601-99352</t>
  </si>
  <si>
    <t>07/01/2026 16:16</t>
  </si>
  <si>
    <t>SO2601-90046</t>
  </si>
  <si>
    <t>Dr BAKARI / 694 54 48 14</t>
  </si>
  <si>
    <t>IN2601-99351</t>
  </si>
  <si>
    <t>SO2601-90045</t>
  </si>
  <si>
    <t>IN2601-99350</t>
  </si>
  <si>
    <t>07/01/2026 16:15</t>
  </si>
  <si>
    <t>SO2601-90044</t>
  </si>
  <si>
    <t>IN2601-99349</t>
  </si>
  <si>
    <t>07/01/2026 16:03</t>
  </si>
  <si>
    <t>SO2601-90043</t>
  </si>
  <si>
    <t>IN2601-99348</t>
  </si>
  <si>
    <t>07/01/2026 15:58</t>
  </si>
  <si>
    <t>SO2601-90042</t>
  </si>
  <si>
    <t>BEKANGA MESSINA 680636104</t>
  </si>
  <si>
    <t>IN2601-99347</t>
  </si>
  <si>
    <t>07/01/2026 15:57</t>
  </si>
  <si>
    <t>SO2601-90041</t>
  </si>
  <si>
    <t>IN2601-99346</t>
  </si>
  <si>
    <t>SO2601-90040</t>
  </si>
  <si>
    <t>IN2601-99345</t>
  </si>
  <si>
    <t>SO2601-90039</t>
  </si>
  <si>
    <t>IN2601-99344</t>
  </si>
  <si>
    <t>07/01/2026 15:52</t>
  </si>
  <si>
    <t>SO2601-90038</t>
  </si>
  <si>
    <t>IN2601-99343</t>
  </si>
  <si>
    <t>07/01/2026 15:48</t>
  </si>
  <si>
    <t>SO2601-90037</t>
  </si>
  <si>
    <t>IN2601-99342</t>
  </si>
  <si>
    <t>07/01/2026 15:54</t>
  </si>
  <si>
    <t>SO2601-90036</t>
  </si>
  <si>
    <t>IN2601-99341</t>
  </si>
  <si>
    <t>07/01/2026 15:49</t>
  </si>
  <si>
    <t>SO2601-90035</t>
  </si>
  <si>
    <t>IN2601-99340</t>
  </si>
  <si>
    <t>07/01/2026 15:46</t>
  </si>
  <si>
    <t>SO2601-90034</t>
  </si>
  <si>
    <t>IN2601-99339</t>
  </si>
  <si>
    <t>07/01/2026 15:42</t>
  </si>
  <si>
    <t>SO2601-90033</t>
  </si>
  <si>
    <t>IN2601-99338</t>
  </si>
  <si>
    <t>07/01/2026 15:39</t>
  </si>
  <si>
    <t>SO2601-90032</t>
  </si>
  <si>
    <t>MENGUE 699943560</t>
  </si>
  <si>
    <t>IN2601-99337</t>
  </si>
  <si>
    <t>07/01/2026 15:40</t>
  </si>
  <si>
    <t>SO2601-90031</t>
  </si>
  <si>
    <t>IN2601-99336</t>
  </si>
  <si>
    <t>07/01/2026 15:34</t>
  </si>
  <si>
    <t>SO2601-90030</t>
  </si>
  <si>
    <t>IN2601-99335</t>
  </si>
  <si>
    <t>07/01/2026 15:43</t>
  </si>
  <si>
    <t>SO2601-90029</t>
  </si>
  <si>
    <t>FEUWO 690789973</t>
  </si>
  <si>
    <t>IN2601-99334</t>
  </si>
  <si>
    <t>07/01/2026 15:36</t>
  </si>
  <si>
    <t>SO2601-90028</t>
  </si>
  <si>
    <t>IN2601-99333</t>
  </si>
  <si>
    <t>07/01/2026 15:31</t>
  </si>
  <si>
    <t>SO2601-90027</t>
  </si>
  <si>
    <t>DJIEDOM ADELE 678095785</t>
  </si>
  <si>
    <t>IN2601-99332</t>
  </si>
  <si>
    <t>SO2601-90026</t>
  </si>
  <si>
    <t>IN2601-99331</t>
  </si>
  <si>
    <t>07/01/2026 15:29</t>
  </si>
  <si>
    <t>SO2601-90025</t>
  </si>
  <si>
    <t>IN2601-99330</t>
  </si>
  <si>
    <t>SO2601-90024</t>
  </si>
  <si>
    <t>IN2601-99329</t>
  </si>
  <si>
    <t>07/01/2026 16:00</t>
  </si>
  <si>
    <t>SO2601-90023</t>
  </si>
  <si>
    <t>NDOME 696457846</t>
  </si>
  <si>
    <t>IN2601-99328</t>
  </si>
  <si>
    <t>07/01/2026 15:26</t>
  </si>
  <si>
    <t>SO2601-90022</t>
  </si>
  <si>
    <t>IN2601-99327</t>
  </si>
  <si>
    <t>07/01/2026 15:32</t>
  </si>
  <si>
    <t>SO2601-90021</t>
  </si>
  <si>
    <t>IN2601-99326</t>
  </si>
  <si>
    <t>07/01/2026 15:25</t>
  </si>
  <si>
    <t>SO2601-90020</t>
  </si>
  <si>
    <t>IN2601-99325</t>
  </si>
  <si>
    <t>07/01/2026 15:21</t>
  </si>
  <si>
    <t>SO2601-90019</t>
  </si>
  <si>
    <t>IN2601-99324</t>
  </si>
  <si>
    <t>07/01/2026 15:08</t>
  </si>
  <si>
    <t>SO2601-90018</t>
  </si>
  <si>
    <t>IN2601-99323</t>
  </si>
  <si>
    <t>07/01/2026 15:09</t>
  </si>
  <si>
    <t>SO2601-90017</t>
  </si>
  <si>
    <t>IN2601-99322</t>
  </si>
  <si>
    <t>07/01/2026 15:06</t>
  </si>
  <si>
    <t>SO2601-90016</t>
  </si>
  <si>
    <t>IN2601-99321</t>
  </si>
  <si>
    <t>SO2601-90015</t>
  </si>
  <si>
    <t>IN2601-99320</t>
  </si>
  <si>
    <t>07/01/2026 14:59</t>
  </si>
  <si>
    <t>SO2601-90014</t>
  </si>
  <si>
    <t>IN2601-99319</t>
  </si>
  <si>
    <t>07/01/2026 15:01</t>
  </si>
  <si>
    <t>SO2601-90013</t>
  </si>
  <si>
    <t>IN2601-99318</t>
  </si>
  <si>
    <t>07/01/2026 15:03</t>
  </si>
  <si>
    <t>SO2601-90012</t>
  </si>
  <si>
    <t>IN2601-99317</t>
  </si>
  <si>
    <t>07/01/2026 14:54</t>
  </si>
  <si>
    <t>SO2601-90011</t>
  </si>
  <si>
    <t>IN2601-99316</t>
  </si>
  <si>
    <t>07/01/2026 14:57</t>
  </si>
  <si>
    <t>SO2601-90010</t>
  </si>
  <si>
    <t>IN2601-99315</t>
  </si>
  <si>
    <t>07/01/2026 14:55</t>
  </si>
  <si>
    <t>SO2601-90009</t>
  </si>
  <si>
    <t>IN2601-99314</t>
  </si>
  <si>
    <t>SO2601-90008</t>
  </si>
  <si>
    <t>IN2601-99313</t>
  </si>
  <si>
    <t>07/01/2026 14:49</t>
  </si>
  <si>
    <t>SO2601-90007</t>
  </si>
  <si>
    <t>DINALY 682118231</t>
  </si>
  <si>
    <t>IN2601-99312</t>
  </si>
  <si>
    <t>07/01/2026 14:48</t>
  </si>
  <si>
    <t>SO2601-90006</t>
  </si>
  <si>
    <t>IN2601-99311</t>
  </si>
  <si>
    <t>07/01/2026 14:40</t>
  </si>
  <si>
    <t>SO2601-90005</t>
  </si>
  <si>
    <t>IN2601-99310</t>
  </si>
  <si>
    <t>07/01/2026 14:37</t>
  </si>
  <si>
    <t>SO2601-90004</t>
  </si>
  <si>
    <t>IN2601-99309</t>
  </si>
  <si>
    <t>07/01/2026 14:42</t>
  </si>
  <si>
    <t>SO2601-90003</t>
  </si>
  <si>
    <t>IN2601-99308</t>
  </si>
  <si>
    <t>SO2601-90002</t>
  </si>
  <si>
    <t>IN2601-99307</t>
  </si>
  <si>
    <t>07/01/2026 14:46</t>
  </si>
  <si>
    <t>SO2601-90001</t>
  </si>
  <si>
    <t>IN2601-99306</t>
  </si>
  <si>
    <t>SO2601-90000</t>
  </si>
  <si>
    <t>IN2601-99305</t>
  </si>
  <si>
    <t>07/01/2026 14:53</t>
  </si>
  <si>
    <t>SO2601-89999</t>
  </si>
  <si>
    <t>MAFFO ZOYEM 653083825</t>
  </si>
  <si>
    <t>IN2601-99304</t>
  </si>
  <si>
    <t>07/01/2026 14:31</t>
  </si>
  <si>
    <t>SO2601-89998</t>
  </si>
  <si>
    <t>IN2601-99303</t>
  </si>
  <si>
    <t>07/01/2026 15:37</t>
  </si>
  <si>
    <t>SO2601-89997</t>
  </si>
  <si>
    <t>IN2601-99302</t>
  </si>
  <si>
    <t>SO2601-89996</t>
  </si>
  <si>
    <t>BIRACK</t>
  </si>
  <si>
    <t>IN2601-99301</t>
  </si>
  <si>
    <t>07/01/2026 14:27</t>
  </si>
  <si>
    <t>SO2601-89995</t>
  </si>
  <si>
    <t>NJOYA REMI 694950313</t>
  </si>
  <si>
    <t>IN2601-99300</t>
  </si>
  <si>
    <t>SO2601-89994</t>
  </si>
  <si>
    <t>IN2601-99299</t>
  </si>
  <si>
    <t>07/01/2026 14:45</t>
  </si>
  <si>
    <t>SO2601-89993</t>
  </si>
  <si>
    <t>IN2601-99298</t>
  </si>
  <si>
    <t>SO2601-89992</t>
  </si>
  <si>
    <t>IN2601-99297</t>
  </si>
  <si>
    <t>SO2601-89991</t>
  </si>
  <si>
    <t>IN2601-99296</t>
  </si>
  <si>
    <t>07/01/2026 14:22</t>
  </si>
  <si>
    <t>SO2601-89990</t>
  </si>
  <si>
    <t>IN2601-99295</t>
  </si>
  <si>
    <t>SO2601-89989</t>
  </si>
  <si>
    <t>tanty</t>
  </si>
  <si>
    <t>IN2601-99294</t>
  </si>
  <si>
    <t>SO2601-89988</t>
  </si>
  <si>
    <t>IN2601-99293</t>
  </si>
  <si>
    <t>07/01/2026 14:14</t>
  </si>
  <si>
    <t>SO2601-89987</t>
  </si>
  <si>
    <t>IN2601-99292</t>
  </si>
  <si>
    <t>07/01/2026 14:20</t>
  </si>
  <si>
    <t>SO2601-89986</t>
  </si>
  <si>
    <t>PAUL LEGER</t>
  </si>
  <si>
    <t>IN2601-99291</t>
  </si>
  <si>
    <t>SO2601-89985</t>
  </si>
  <si>
    <t>ouma charly</t>
  </si>
  <si>
    <t>CU2407-00523 -  DJOKO Charles</t>
  </si>
  <si>
    <t>IN2601-99290</t>
  </si>
  <si>
    <t>07/01/2026 14:13</t>
  </si>
  <si>
    <t>SO2601-89984</t>
  </si>
  <si>
    <t>CU2407-00897 -  SOCIETE TH AGRO FOOD SARL</t>
  </si>
  <si>
    <t>IN2601-99289</t>
  </si>
  <si>
    <t>07/01/2026 14:18</t>
  </si>
  <si>
    <t>SO2601-89983</t>
  </si>
  <si>
    <t>PENN CIPREN 675830017</t>
  </si>
  <si>
    <t>IN2601-99288</t>
  </si>
  <si>
    <t>07/01/2026 14:12</t>
  </si>
  <si>
    <t>SO2601-89982</t>
  </si>
  <si>
    <t>IN2601-99287</t>
  </si>
  <si>
    <t>07/01/2026 14:11</t>
  </si>
  <si>
    <t>SO2601-89981</t>
  </si>
  <si>
    <t>CU2407-00559 -  DZEKENG</t>
  </si>
  <si>
    <t>IN2601-99286</t>
  </si>
  <si>
    <t>SO2601-89980</t>
  </si>
  <si>
    <t>CU2406-00126 -  KAMGO</t>
  </si>
  <si>
    <t>IN2601-99285</t>
  </si>
  <si>
    <t>07/01/2026 14:03</t>
  </si>
  <si>
    <t>SO2601-89979</t>
  </si>
  <si>
    <t>IN2601-99284</t>
  </si>
  <si>
    <t>07/01/2026 14:05</t>
  </si>
  <si>
    <t>SO2601-89978</t>
  </si>
  <si>
    <t>IN2601-99283</t>
  </si>
  <si>
    <t>SO2601-89977</t>
  </si>
  <si>
    <t>AAFCOM 677147359</t>
  </si>
  <si>
    <t>IN2601-99282</t>
  </si>
  <si>
    <t>07/01/2026 13:56</t>
  </si>
  <si>
    <t>SO2601-89976</t>
  </si>
  <si>
    <t>Pacom654377555</t>
  </si>
  <si>
    <t>TSOFACK</t>
  </si>
  <si>
    <t>IN2601-99281</t>
  </si>
  <si>
    <t>07/01/2026 14:01</t>
  </si>
  <si>
    <t>SO2601-89975</t>
  </si>
  <si>
    <t>IN2601-99280</t>
  </si>
  <si>
    <t>07/01/2026 13:59</t>
  </si>
  <si>
    <t>SO2601-89974</t>
  </si>
  <si>
    <t>IN2601-99279</t>
  </si>
  <si>
    <t>07/01/2026 13:57</t>
  </si>
  <si>
    <t>SO2601-89973</t>
  </si>
  <si>
    <t>IN2601-99278</t>
  </si>
  <si>
    <t>SO2601-89972</t>
  </si>
  <si>
    <t>IN2601-99277</t>
  </si>
  <si>
    <t>07/01/2026 13:54</t>
  </si>
  <si>
    <t>SO2601-89971</t>
  </si>
  <si>
    <t>IN2601-99276</t>
  </si>
  <si>
    <t>07/01/2026 13:49</t>
  </si>
  <si>
    <t>SO2601-89970</t>
  </si>
  <si>
    <t>IN2601-99275</t>
  </si>
  <si>
    <t>SO2601-89969</t>
  </si>
  <si>
    <t>CU2407-00692 -  KENGNE JOSEPH</t>
  </si>
  <si>
    <t>IN2601-99274</t>
  </si>
  <si>
    <t>07/01/2026 13:52</t>
  </si>
  <si>
    <t>SO2601-89968</t>
  </si>
  <si>
    <t>IN2601-99273</t>
  </si>
  <si>
    <t>07/01/2026 13:51</t>
  </si>
  <si>
    <t>SO2601-89967</t>
  </si>
  <si>
    <t>IN2601-99272</t>
  </si>
  <si>
    <t>SO2601-89966</t>
  </si>
  <si>
    <t>TCHEE</t>
  </si>
  <si>
    <t>IN2601-99271</t>
  </si>
  <si>
    <t>07/01/2026 13:50</t>
  </si>
  <si>
    <t>SO2601-89965</t>
  </si>
  <si>
    <t>IN2601-99270</t>
  </si>
  <si>
    <t>07/01/2026 13:38</t>
  </si>
  <si>
    <t>SO2601-89964</t>
  </si>
  <si>
    <t>IN2601-99269</t>
  </si>
  <si>
    <t>SO2601-89963</t>
  </si>
  <si>
    <t>IN2601-99268</t>
  </si>
  <si>
    <t>07/01/2026 13:47</t>
  </si>
  <si>
    <t>SO2601-89962</t>
  </si>
  <si>
    <t>IN2601-99267</t>
  </si>
  <si>
    <t>SO2601-89961</t>
  </si>
  <si>
    <t>IN2601-99266</t>
  </si>
  <si>
    <t>07/01/2026 14:29</t>
  </si>
  <si>
    <t>SO2601-89960</t>
  </si>
  <si>
    <t>IN2601-99265</t>
  </si>
  <si>
    <t>07/01/2026 13:45</t>
  </si>
  <si>
    <t>SO2601-89959</t>
  </si>
  <si>
    <t>IN2601-99264</t>
  </si>
  <si>
    <t>07/01/2026 13:41</t>
  </si>
  <si>
    <t>SO2601-89958</t>
  </si>
  <si>
    <t>IN2601-99263</t>
  </si>
  <si>
    <t>07/01/2026 13:43</t>
  </si>
  <si>
    <t>SO2601-89957</t>
  </si>
  <si>
    <t>KUIKEU ALAIN</t>
  </si>
  <si>
    <t>IN2601-99262</t>
  </si>
  <si>
    <t>07/01/2026 13:33</t>
  </si>
  <si>
    <t>SO2601-89956</t>
  </si>
  <si>
    <t>IN2601-99261</t>
  </si>
  <si>
    <t>SO2601-89955</t>
  </si>
  <si>
    <t>IN2601-99260</t>
  </si>
  <si>
    <t>SO2601-89954</t>
  </si>
  <si>
    <t>IN2601-99259</t>
  </si>
  <si>
    <t>07/01/2026 14:30</t>
  </si>
  <si>
    <t>SO2601-89953</t>
  </si>
  <si>
    <t>SAKEM ERIC</t>
  </si>
  <si>
    <t>IN2601-99258</t>
  </si>
  <si>
    <t>07/01/2026 13:24</t>
  </si>
  <si>
    <t>SO2601-89952</t>
  </si>
  <si>
    <t>IN2601-99257</t>
  </si>
  <si>
    <t>07/01/2026 13:32</t>
  </si>
  <si>
    <t>SO2601-89951</t>
  </si>
  <si>
    <t>IN2601-99256</t>
  </si>
  <si>
    <t>07/01/2026 13:21</t>
  </si>
  <si>
    <t>SO2601-89950</t>
  </si>
  <si>
    <t>IN2601-99255</t>
  </si>
  <si>
    <t>SO2601-89949</t>
  </si>
  <si>
    <t>IN2601-99254</t>
  </si>
  <si>
    <t>SO2601-89948</t>
  </si>
  <si>
    <t>IN2601-99253</t>
  </si>
  <si>
    <t>07/01/2026 13:26</t>
  </si>
  <si>
    <t>SO2601-89947</t>
  </si>
  <si>
    <t>IN2601-99252</t>
  </si>
  <si>
    <t>07/01/2026 13:23</t>
  </si>
  <si>
    <t>SO2601-89946</t>
  </si>
  <si>
    <t>PAUL DAYANG</t>
  </si>
  <si>
    <t>IN2601-99251</t>
  </si>
  <si>
    <t>07/01/2026 13:16</t>
  </si>
  <si>
    <t>SO2601-89945</t>
  </si>
  <si>
    <t>IN2601-99250</t>
  </si>
  <si>
    <t>07/01/2026 13:15</t>
  </si>
  <si>
    <t>SO2601-89944</t>
  </si>
  <si>
    <t>CU2507-13411 -  STE IPACAM ET FILS SARL (TAKALA KUEKEM JULIO)</t>
  </si>
  <si>
    <t>IN2601-99249</t>
  </si>
  <si>
    <t>CU2507-13411 -  STE IPACAM ET FILS SARL</t>
  </si>
  <si>
    <t>TAKALA KUEKEM JULIO</t>
  </si>
  <si>
    <t>SO2601-89943</t>
  </si>
  <si>
    <t>M NOUBI GUY 694215705</t>
  </si>
  <si>
    <t>IN2601-99248</t>
  </si>
  <si>
    <t>07/01/2026 13:06</t>
  </si>
  <si>
    <t>SO2601-89942</t>
  </si>
  <si>
    <t>IN2601-99247</t>
  </si>
  <si>
    <t>07/01/2026 13:18</t>
  </si>
  <si>
    <t>SO2601-89941</t>
  </si>
  <si>
    <t>IN2601-99246</t>
  </si>
  <si>
    <t>SO2601-89940</t>
  </si>
  <si>
    <t>IN2601-99245</t>
  </si>
  <si>
    <t>07/01/2026 14:32</t>
  </si>
  <si>
    <t>SO2601-89939</t>
  </si>
  <si>
    <t>IN2601-99244</t>
  </si>
  <si>
    <t>07/01/2026 12:51</t>
  </si>
  <si>
    <t>SO2601-89938</t>
  </si>
  <si>
    <t>IN2601-99243</t>
  </si>
  <si>
    <t>07/01/2026 12:47</t>
  </si>
  <si>
    <t>SO2601-89937</t>
  </si>
  <si>
    <t>IN2601-99242</t>
  </si>
  <si>
    <t>07/01/2026 12:42</t>
  </si>
  <si>
    <t>SO2601-89936</t>
  </si>
  <si>
    <t>IN2601-99241</t>
  </si>
  <si>
    <t>07/01/2026 12:35</t>
  </si>
  <si>
    <t>SO2601-89935</t>
  </si>
  <si>
    <t>IN2601-99240</t>
  </si>
  <si>
    <t>07/01/2026 12:36</t>
  </si>
  <si>
    <t>SO2601-89934</t>
  </si>
  <si>
    <t>IN2601-99239</t>
  </si>
  <si>
    <t>SO2601-89933</t>
  </si>
  <si>
    <t>IN2601-99238</t>
  </si>
  <si>
    <t>07/01/2026 12:31</t>
  </si>
  <si>
    <t>SO2601-89932</t>
  </si>
  <si>
    <t>IN2601-99237</t>
  </si>
  <si>
    <t>07/01/2026 12:25</t>
  </si>
  <si>
    <t>SO2601-89931</t>
  </si>
  <si>
    <t>IN2601-99236</t>
  </si>
  <si>
    <t>07/01/2026 12:21</t>
  </si>
  <si>
    <t>SO2601-89930</t>
  </si>
  <si>
    <t>AMADOU 695010045</t>
  </si>
  <si>
    <t>IN2601-99235</t>
  </si>
  <si>
    <t>07/01/2026 12:16</t>
  </si>
  <si>
    <t>SO2601-89929</t>
  </si>
  <si>
    <t>IN2601-99234</t>
  </si>
  <si>
    <t>07/01/2026 12:11</t>
  </si>
  <si>
    <t>SO2601-89928</t>
  </si>
  <si>
    <t>DEFFO MICHEL</t>
  </si>
  <si>
    <t>IN2601-99233</t>
  </si>
  <si>
    <t>07/01/2026 12:03</t>
  </si>
  <si>
    <t>SO2601-89927</t>
  </si>
  <si>
    <t>IN2601-99232</t>
  </si>
  <si>
    <t>07/01/2026 12:05</t>
  </si>
  <si>
    <t>SO2601-89926</t>
  </si>
  <si>
    <t>ELVIS 696124911</t>
  </si>
  <si>
    <t>IN2601-99231</t>
  </si>
  <si>
    <t>SO2601-89925</t>
  </si>
  <si>
    <t>TIMMAK DANY 693278645</t>
  </si>
  <si>
    <t>IN2601-99230</t>
  </si>
  <si>
    <t>SO2601-89924</t>
  </si>
  <si>
    <t>IN2601-99229</t>
  </si>
  <si>
    <t>07/01/2026 11:59</t>
  </si>
  <si>
    <t>SO2601-89923</t>
  </si>
  <si>
    <t>IN2601-99228</t>
  </si>
  <si>
    <t>07/01/2026 11:57</t>
  </si>
  <si>
    <t>SO2601-89922</t>
  </si>
  <si>
    <t>IN2601-99227</t>
  </si>
  <si>
    <t>07/01/2026 11:49</t>
  </si>
  <si>
    <t>SO2601-89921</t>
  </si>
  <si>
    <t>IN2601-99226</t>
  </si>
  <si>
    <t>07/01/2026 11:54</t>
  </si>
  <si>
    <t>SO2601-89920</t>
  </si>
  <si>
    <t>LUKONG</t>
  </si>
  <si>
    <t>IN2601-99225</t>
  </si>
  <si>
    <t>07/01/2026 11:48</t>
  </si>
  <si>
    <t>SO2601-89919</t>
  </si>
  <si>
    <t>IN2601-99224</t>
  </si>
  <si>
    <t>07/01/2026 11:53</t>
  </si>
  <si>
    <t>SO2601-89918</t>
  </si>
  <si>
    <t>IN2601-99223</t>
  </si>
  <si>
    <t>07/01/2026 11:46</t>
  </si>
  <si>
    <t>SO2601-91621</t>
  </si>
  <si>
    <t>TSOTEZO JEAN R 670003964</t>
  </si>
  <si>
    <t>IN2601-99222</t>
  </si>
  <si>
    <t>SO2601-89916</t>
  </si>
  <si>
    <t>IN2601-99221</t>
  </si>
  <si>
    <t>07/01/2026 11:47</t>
  </si>
  <si>
    <t>SO2601-89915</t>
  </si>
  <si>
    <t>IN2601-99220</t>
  </si>
  <si>
    <t>07/01/2026 11:38</t>
  </si>
  <si>
    <t>SO2601-89914</t>
  </si>
  <si>
    <t>ATEBA ALBERT 699284434</t>
  </si>
  <si>
    <t>IN2601-99219</t>
  </si>
  <si>
    <t>07/01/2026 11:39</t>
  </si>
  <si>
    <t>SO2601-91660</t>
  </si>
  <si>
    <t>M IGOR</t>
  </si>
  <si>
    <t>IN2601-99218</t>
  </si>
  <si>
    <t>07/01/2026 11:36</t>
  </si>
  <si>
    <t>SO2601-89912</t>
  </si>
  <si>
    <t>IN2601-99217</t>
  </si>
  <si>
    <t>07/01/2026 11:35</t>
  </si>
  <si>
    <t>SO2601-89911</t>
  </si>
  <si>
    <t>MENGOMO 691023090</t>
  </si>
  <si>
    <t>IN2601-99216</t>
  </si>
  <si>
    <t>07/01/2026 11:28</t>
  </si>
  <si>
    <t>SO2601-89910</t>
  </si>
  <si>
    <t>IN2601-99215</t>
  </si>
  <si>
    <t>07/01/2026 11:29</t>
  </si>
  <si>
    <t>SO2601-89909</t>
  </si>
  <si>
    <t>IN2601-99214</t>
  </si>
  <si>
    <t>SO2601-89908</t>
  </si>
  <si>
    <t>PROV MODERNE 677207573</t>
  </si>
  <si>
    <t>IN2601-99213</t>
  </si>
  <si>
    <t>07/01/2026 11:31</t>
  </si>
  <si>
    <t>SO2601-89907</t>
  </si>
  <si>
    <t>ROMEO 699855893</t>
  </si>
  <si>
    <t>IN2601-99212</t>
  </si>
  <si>
    <t>SO2601-89906</t>
  </si>
  <si>
    <t>IN2601-99211</t>
  </si>
  <si>
    <t>07/01/2026 11:23</t>
  </si>
  <si>
    <t>SO2601-89905</t>
  </si>
  <si>
    <t>IN2601-99210</t>
  </si>
  <si>
    <t>07/01/2026 11:33</t>
  </si>
  <si>
    <t>SO2601-89904</t>
  </si>
  <si>
    <t>IN2601-99209</t>
  </si>
  <si>
    <t>07/01/2026 11:19</t>
  </si>
  <si>
    <t>SO2601-89903</t>
  </si>
  <si>
    <t>IN2601-99208</t>
  </si>
  <si>
    <t>SO2601-89901</t>
  </si>
  <si>
    <t>IN2601-99206</t>
  </si>
  <si>
    <t>07/01/2026 11:21</t>
  </si>
  <si>
    <t>SO2601-89900</t>
  </si>
  <si>
    <t>IN2601-99205</t>
  </si>
  <si>
    <t>07/01/2026 11:25</t>
  </si>
  <si>
    <t>SO2601-89899</t>
  </si>
  <si>
    <t>IN2601-99204</t>
  </si>
  <si>
    <t>07/01/2026 11:17</t>
  </si>
  <si>
    <t>SO2601-89898</t>
  </si>
  <si>
    <t>IN2601-99203</t>
  </si>
  <si>
    <t>SO2601-89897</t>
  </si>
  <si>
    <t>IN2601-99202</t>
  </si>
  <si>
    <t>07/01/2026 11:15</t>
  </si>
  <si>
    <t>SO2601-89896</t>
  </si>
  <si>
    <t>IN2601-99201</t>
  </si>
  <si>
    <t>07/01/2026 11:13</t>
  </si>
  <si>
    <t>SO2601-89895</t>
  </si>
  <si>
    <t>AMELIE DOG FOOD 675420454</t>
  </si>
  <si>
    <t>IN2601-99200</t>
  </si>
  <si>
    <t>SO2601-89894</t>
  </si>
  <si>
    <t>IN2601-99199</t>
  </si>
  <si>
    <t>07/01/2026 11:05</t>
  </si>
  <si>
    <t>SO2601-89893</t>
  </si>
  <si>
    <t>IN2601-99198</t>
  </si>
  <si>
    <t>07/01/2026 11:56</t>
  </si>
  <si>
    <t>SO2601-89892</t>
  </si>
  <si>
    <t>serge</t>
  </si>
  <si>
    <t>IN2601-99197</t>
  </si>
  <si>
    <t>07/01/2026 11:08</t>
  </si>
  <si>
    <t>SO2601-89891</t>
  </si>
  <si>
    <t>IN2601-99196</t>
  </si>
  <si>
    <t>07/01/2026 11:03</t>
  </si>
  <si>
    <t>SO2601-89890</t>
  </si>
  <si>
    <t>IN2601-99195</t>
  </si>
  <si>
    <t>SO2601-89889</t>
  </si>
  <si>
    <t>IN2601-99194</t>
  </si>
  <si>
    <t>07/01/2026 11:02</t>
  </si>
  <si>
    <t>SO2601-89888</t>
  </si>
  <si>
    <t>RUBEN 677388198</t>
  </si>
  <si>
    <t>IN2601-99193</t>
  </si>
  <si>
    <t>07/01/2026 11:04</t>
  </si>
  <si>
    <t>SO2601-89887</t>
  </si>
  <si>
    <t>IN2601-99192</t>
  </si>
  <si>
    <t>SO2601-89886</t>
  </si>
  <si>
    <t>IN2601-99191</t>
  </si>
  <si>
    <t>07/01/2026 10:58</t>
  </si>
  <si>
    <t>SO2601-89885</t>
  </si>
  <si>
    <t>IN2601-99190</t>
  </si>
  <si>
    <t>07/01/2026 10:57</t>
  </si>
  <si>
    <t>SO2601-89884</t>
  </si>
  <si>
    <t>IN2601-99189</t>
  </si>
  <si>
    <t>SO2601-89883</t>
  </si>
  <si>
    <t>IN2601-99188</t>
  </si>
  <si>
    <t>07/01/2026 10:56</t>
  </si>
  <si>
    <t>SO2601-89882</t>
  </si>
  <si>
    <t>IN2601-99187</t>
  </si>
  <si>
    <t>07/01/2026 10:54</t>
  </si>
  <si>
    <t>SO2601-89881</t>
  </si>
  <si>
    <t>IN2601-99186</t>
  </si>
  <si>
    <t>07/01/2026 11:00</t>
  </si>
  <si>
    <t>SO2601-89880</t>
  </si>
  <si>
    <t>IN2601-99185</t>
  </si>
  <si>
    <t>07/01/2026 10:52</t>
  </si>
  <si>
    <t>SO2601-89879</t>
  </si>
  <si>
    <t>IN2601-99184</t>
  </si>
  <si>
    <t>SO2601-89878</t>
  </si>
  <si>
    <t>IN2601-99183</t>
  </si>
  <si>
    <t>07/01/2026 10:51</t>
  </si>
  <si>
    <t>SO2601-89877</t>
  </si>
  <si>
    <t>FERME MODERNE 696836504</t>
  </si>
  <si>
    <t>IN2601-99182</t>
  </si>
  <si>
    <t>07/01/2026 10:44</t>
  </si>
  <si>
    <t>SO2601-89876</t>
  </si>
  <si>
    <t>IN2601-99181</t>
  </si>
  <si>
    <t>07/01/2026 10:40</t>
  </si>
  <si>
    <t>SO2601-89875</t>
  </si>
  <si>
    <t>IN2601-99180</t>
  </si>
  <si>
    <t>07/01/2026 10:38</t>
  </si>
  <si>
    <t>SO2601-89874</t>
  </si>
  <si>
    <t>IN2601-99179</t>
  </si>
  <si>
    <t>07/01/2026 10:35</t>
  </si>
  <si>
    <t>SO2601-89873</t>
  </si>
  <si>
    <t>IN2601-99178</t>
  </si>
  <si>
    <t>07/01/2026 10:37</t>
  </si>
  <si>
    <t>SO2601-89872</t>
  </si>
  <si>
    <t>TOCHE 682347902</t>
  </si>
  <si>
    <t>IN2601-99177</t>
  </si>
  <si>
    <t>07/01/2026 10:39</t>
  </si>
  <si>
    <t>SO2601-89871</t>
  </si>
  <si>
    <t>IN2601-99176</t>
  </si>
  <si>
    <t>SO2601-89870</t>
  </si>
  <si>
    <t>IN2601-99175</t>
  </si>
  <si>
    <t>07/01/2026 10:42</t>
  </si>
  <si>
    <t>SO2601-89869</t>
  </si>
  <si>
    <t>IN2601-99174</t>
  </si>
  <si>
    <t>07/01/2026 10:45</t>
  </si>
  <si>
    <t>SO2601-89868</t>
  </si>
  <si>
    <t>NJABO</t>
  </si>
  <si>
    <t>IN2601-99173</t>
  </si>
  <si>
    <t>07/01/2026 10:22</t>
  </si>
  <si>
    <t>SO2601-89867</t>
  </si>
  <si>
    <t>IN2601-99172</t>
  </si>
  <si>
    <t>07/01/2026 10:47</t>
  </si>
  <si>
    <t>SO2601-89866</t>
  </si>
  <si>
    <t>IN2601-99171</t>
  </si>
  <si>
    <t>07/01/2026 10:21</t>
  </si>
  <si>
    <t>SO2601-89865</t>
  </si>
  <si>
    <t>SOCIETE COOPERATIVE AGROPASTORALE FEMMES TEMERAIRES DE BOMONO</t>
  </si>
  <si>
    <t>IN2601-99170</t>
  </si>
  <si>
    <t>07/01/2026 10:36</t>
  </si>
  <si>
    <t>SO2601-89864</t>
  </si>
  <si>
    <t>IN2601-99169</t>
  </si>
  <si>
    <t>SO2601-89863</t>
  </si>
  <si>
    <t>IN2601-99168</t>
  </si>
  <si>
    <t>07/01/2026 10:18</t>
  </si>
  <si>
    <t>SO2601-89862</t>
  </si>
  <si>
    <t>IN2601-99167</t>
  </si>
  <si>
    <t>07/01/2026 10:10</t>
  </si>
  <si>
    <t>SO2601-89861</t>
  </si>
  <si>
    <t>IN2601-99166</t>
  </si>
  <si>
    <t>07/01/2026 10:02</t>
  </si>
  <si>
    <t>SO2601-89860</t>
  </si>
  <si>
    <t>IN2601-99165</t>
  </si>
  <si>
    <t>07/01/2026 10:00</t>
  </si>
  <si>
    <t>SO2601-89859</t>
  </si>
  <si>
    <t>IN2601-99164</t>
  </si>
  <si>
    <t>07/01/2026 10:09</t>
  </si>
  <si>
    <t>SO2601-89858</t>
  </si>
  <si>
    <t>CLOVIS 695513747</t>
  </si>
  <si>
    <t>IN2601-99163</t>
  </si>
  <si>
    <t>07/01/2026 09:59</t>
  </si>
  <si>
    <t>SO2601-89857</t>
  </si>
  <si>
    <t>IN2601-99162</t>
  </si>
  <si>
    <t>07/01/2026 09:53</t>
  </si>
  <si>
    <t>SO2601-89856</t>
  </si>
  <si>
    <t>M.TAMOKAM VINCENT 677180839</t>
  </si>
  <si>
    <t>IN2601-99161</t>
  </si>
  <si>
    <t>07/01/2026 09:48</t>
  </si>
  <si>
    <t>SO2601-89855</t>
  </si>
  <si>
    <t>TAMI WILLIAM 693456128</t>
  </si>
  <si>
    <t>IN2601-99160</t>
  </si>
  <si>
    <t>07/01/2026 09:50</t>
  </si>
  <si>
    <t>SO2601-89854</t>
  </si>
  <si>
    <t>IN2601-99159</t>
  </si>
  <si>
    <t>07/01/2026 09:49</t>
  </si>
  <si>
    <t>SO2601-89853</t>
  </si>
  <si>
    <t>IN2601-99158</t>
  </si>
  <si>
    <t>SO2601-89851</t>
  </si>
  <si>
    <t>AMINOU LOUA / 699554256</t>
  </si>
  <si>
    <t>IN2601-99156</t>
  </si>
  <si>
    <t>07/01/2026 09:43</t>
  </si>
  <si>
    <t>SO2601-89850</t>
  </si>
  <si>
    <t>IN2601-99155</t>
  </si>
  <si>
    <t>SO2601-89849</t>
  </si>
  <si>
    <t>M.FONGANG 693089720</t>
  </si>
  <si>
    <t>IN2601-99154</t>
  </si>
  <si>
    <t>07/01/2026 09:40</t>
  </si>
  <si>
    <t>SO2601-89848</t>
  </si>
  <si>
    <t>IN2601-99153</t>
  </si>
  <si>
    <t>SO2601-89847</t>
  </si>
  <si>
    <t>IN2601-99152</t>
  </si>
  <si>
    <t>SO2601-89846</t>
  </si>
  <si>
    <t>IN2601-99151</t>
  </si>
  <si>
    <t>07/01/2026 09:58</t>
  </si>
  <si>
    <t>SO2601-89845</t>
  </si>
  <si>
    <t>NESTOR 690447763</t>
  </si>
  <si>
    <t>IN2601-99150</t>
  </si>
  <si>
    <t>07/01/2026 09:35</t>
  </si>
  <si>
    <t>SO2601-89844</t>
  </si>
  <si>
    <t>BOGNING hermine 674778635</t>
  </si>
  <si>
    <t>IN2601-99149</t>
  </si>
  <si>
    <t>07/01/2026 09:32</t>
  </si>
  <si>
    <t>SO2601-89843</t>
  </si>
  <si>
    <t>IN2601-99148</t>
  </si>
  <si>
    <t>07/01/2026 09:31</t>
  </si>
  <si>
    <t>SO2601-89842</t>
  </si>
  <si>
    <t>IN2601-99147</t>
  </si>
  <si>
    <t>SO2601-89841</t>
  </si>
  <si>
    <t>IN2601-99146</t>
  </si>
  <si>
    <t>07/01/2026 09:30</t>
  </si>
  <si>
    <t>SO2601-89840</t>
  </si>
  <si>
    <t>IN2601-99145</t>
  </si>
  <si>
    <t>07/01/2026 09:37</t>
  </si>
  <si>
    <t>SO2601-89839</t>
  </si>
  <si>
    <t>IN2601-99144</t>
  </si>
  <si>
    <t>SO2601-89838</t>
  </si>
  <si>
    <t>IN2601-99143</t>
  </si>
  <si>
    <t>07/01/2026 09:15</t>
  </si>
  <si>
    <t>SO2601-89837</t>
  </si>
  <si>
    <t>M.FOSSO 690845897</t>
  </si>
  <si>
    <t>IN2601-99142</t>
  </si>
  <si>
    <t>07/01/2026 09:08</t>
  </si>
  <si>
    <t>SO2601-89836</t>
  </si>
  <si>
    <t>IN2601-99141</t>
  </si>
  <si>
    <t>07/01/2026 09:10</t>
  </si>
  <si>
    <t>SO2601-89835</t>
  </si>
  <si>
    <t>YANNICK 683853637</t>
  </si>
  <si>
    <t>IN2601-99140</t>
  </si>
  <si>
    <t>SO2601-89834</t>
  </si>
  <si>
    <t>IN2601-99139</t>
  </si>
  <si>
    <t>07/01/2026 09:12</t>
  </si>
  <si>
    <t>SO2601-89833</t>
  </si>
  <si>
    <t>MME TCHOUALA EPSE DIFO</t>
  </si>
  <si>
    <t>IN2601-99138</t>
  </si>
  <si>
    <t>07/01/2026 09:05</t>
  </si>
  <si>
    <t>SO2601-89832</t>
  </si>
  <si>
    <t>CU2411-01151 -  M.WEBEU JACQUES SYRANO</t>
  </si>
  <si>
    <t>IN2601-99137</t>
  </si>
  <si>
    <t>07/01/2026 09:04</t>
  </si>
  <si>
    <t>SO2601-89831</t>
  </si>
  <si>
    <t>IN2601-99136</t>
  </si>
  <si>
    <t>07/01/2026 09:09</t>
  </si>
  <si>
    <t>SO2601-89830</t>
  </si>
  <si>
    <t>KEBOU 675102412</t>
  </si>
  <si>
    <t>IN2601-99135</t>
  </si>
  <si>
    <t>07/01/2026 09:02</t>
  </si>
  <si>
    <t>SO2601-89829</t>
  </si>
  <si>
    <t>IN2601-99134</t>
  </si>
  <si>
    <t>07/01/2026 09:01</t>
  </si>
  <si>
    <t>SO2601-89828</t>
  </si>
  <si>
    <t>IN2601-99133</t>
  </si>
  <si>
    <t>07/01/2026 08:58</t>
  </si>
  <si>
    <t>SO2601-89827</t>
  </si>
  <si>
    <t>IN2601-99132</t>
  </si>
  <si>
    <t>07/01/2026 08:52</t>
  </si>
  <si>
    <t>SO2601-89826</t>
  </si>
  <si>
    <t>IN2601-99131</t>
  </si>
  <si>
    <t>07/01/2026 09:17</t>
  </si>
  <si>
    <t>SO2601-89825</t>
  </si>
  <si>
    <t>IN2601-99130</t>
  </si>
  <si>
    <t>07/01/2026 08:59</t>
  </si>
  <si>
    <t>SO2601-89824</t>
  </si>
  <si>
    <t>IN2601-99129</t>
  </si>
  <si>
    <t>07/01/2026 08:53</t>
  </si>
  <si>
    <t>SO2601-89823</t>
  </si>
  <si>
    <t>tiofo</t>
  </si>
  <si>
    <t>IN2601-99128</t>
  </si>
  <si>
    <t>07/01/2026 09:47</t>
  </si>
  <si>
    <t>SO2601-89822</t>
  </si>
  <si>
    <t>IN2601-99127</t>
  </si>
  <si>
    <t>SO2601-89821</t>
  </si>
  <si>
    <t>FOTSING MERVEILLE 670306147</t>
  </si>
  <si>
    <t>IN2601-99126</t>
  </si>
  <si>
    <t>07/01/2026 08:43</t>
  </si>
  <si>
    <t>SO2601-89820</t>
  </si>
  <si>
    <t>IN2601-99125</t>
  </si>
  <si>
    <t>07/01/2026 08:50</t>
  </si>
  <si>
    <t>SO2601-89819</t>
  </si>
  <si>
    <t>IN2601-99123</t>
  </si>
  <si>
    <t>07/01/2026 08:28</t>
  </si>
  <si>
    <t>SO2601-89818</t>
  </si>
  <si>
    <t>IN2601-99122</t>
  </si>
  <si>
    <t>07/01/2026 08:29</t>
  </si>
  <si>
    <t>SO2601-89817</t>
  </si>
  <si>
    <t>IN2601-99121</t>
  </si>
  <si>
    <t>07/01/2026 08:26</t>
  </si>
  <si>
    <t>SO2601-89816</t>
  </si>
  <si>
    <t>IN2601-99120</t>
  </si>
  <si>
    <t>07/01/2026 08:42</t>
  </si>
  <si>
    <t>SO2601-89815</t>
  </si>
  <si>
    <t>IN2601-99119</t>
  </si>
  <si>
    <t>07/01/2026 08:25</t>
  </si>
  <si>
    <t>SO2601-89814</t>
  </si>
  <si>
    <t>IN2601-99118</t>
  </si>
  <si>
    <t>07/01/2026 08:21</t>
  </si>
  <si>
    <t>SO2601-89813</t>
  </si>
  <si>
    <t>FOMEKONG 699598901</t>
  </si>
  <si>
    <t>IN2601-99117</t>
  </si>
  <si>
    <t>07/01/2026 08:32</t>
  </si>
  <si>
    <t>SO2601-89812</t>
  </si>
  <si>
    <t>IN2601-99116</t>
  </si>
  <si>
    <t>07/01/2026 08:18</t>
  </si>
  <si>
    <t>SO2601-89811</t>
  </si>
  <si>
    <t>MME HALIMA NJAPNDOUNKE / 693 25 66 22</t>
  </si>
  <si>
    <t>IN2601-99115</t>
  </si>
  <si>
    <t>07/01/2026 08:44</t>
  </si>
  <si>
    <t>SO2601-89810</t>
  </si>
  <si>
    <t>FOTSO FIDELE 677693413</t>
  </si>
  <si>
    <t>IN2601-99114</t>
  </si>
  <si>
    <t>07/01/2026 08:24</t>
  </si>
  <si>
    <t>SO2601-89809</t>
  </si>
  <si>
    <t>IN2601-99113</t>
  </si>
  <si>
    <t>07/01/2026 08:06</t>
  </si>
  <si>
    <t>SO2601-89808</t>
  </si>
  <si>
    <t>MABOULE 659119028</t>
  </si>
  <si>
    <t>IN2601-99112</t>
  </si>
  <si>
    <t>07/01/2026 08:05</t>
  </si>
  <si>
    <t>SO2601-89807</t>
  </si>
  <si>
    <t>IN2601-99111</t>
  </si>
  <si>
    <t>SO2601-89806</t>
  </si>
  <si>
    <t>IN2601-99110</t>
  </si>
  <si>
    <t>07/01/2026 07:51</t>
  </si>
  <si>
    <t>SO2601-89852</t>
  </si>
  <si>
    <t>GWLADICE 695081394</t>
  </si>
  <si>
    <t>06/01/2026</t>
  </si>
  <si>
    <t>06/01/2026 00:00</t>
  </si>
  <si>
    <t>IN2601-99157</t>
  </si>
  <si>
    <t>07/01/2026 10:14</t>
  </si>
  <si>
    <t>SO2601-89805</t>
  </si>
  <si>
    <t>CU2503-01278 -  ALVEOLES DIVERS (ALVEOLES CLIENT COMPTOIR)</t>
  </si>
  <si>
    <t>TCHOUTA KEWAT ELOGE GENE</t>
  </si>
  <si>
    <t>SPC KYE-OSSI</t>
  </si>
  <si>
    <t>IN2601-99109</t>
  </si>
  <si>
    <t>CU2503-01278 -  ALVEOLES DIVERS</t>
  </si>
  <si>
    <t>ALVEOLES CLIENT COMPTOIR</t>
  </si>
  <si>
    <t>07/01/2026 15:30</t>
  </si>
  <si>
    <t>SO2601-89804</t>
  </si>
  <si>
    <t>IN2601-99108</t>
  </si>
  <si>
    <t>06/01/2026 17:11</t>
  </si>
  <si>
    <t>SO2601-89803</t>
  </si>
  <si>
    <t>IN2601-99107</t>
  </si>
  <si>
    <t>06/01/2026 16:59</t>
  </si>
  <si>
    <t>SO2601-89802</t>
  </si>
  <si>
    <t>YMELE PAUL</t>
  </si>
  <si>
    <t>CU2510-14128 -  CLIENT COMPTOIR DSCHANG</t>
  </si>
  <si>
    <t>DEMASSE Rosine</t>
  </si>
  <si>
    <t>SPC-DSCHANG</t>
  </si>
  <si>
    <t>IN2601-99106</t>
  </si>
  <si>
    <t>07/01/2026 10:49</t>
  </si>
  <si>
    <t>SO2601-89801</t>
  </si>
  <si>
    <t>KENGNOU MARIE / 696 33 86 60</t>
  </si>
  <si>
    <t>IN2601-99105</t>
  </si>
  <si>
    <t>06/01/2026 16:55</t>
  </si>
  <si>
    <t>SO2601-89800</t>
  </si>
  <si>
    <t>05/01/2026 00:00</t>
  </si>
  <si>
    <t>IN2601-99104</t>
  </si>
  <si>
    <t>06/01/2026 16:49</t>
  </si>
  <si>
    <t>SO2601-89799</t>
  </si>
  <si>
    <t>IN2601-99103</t>
  </si>
  <si>
    <t>06/01/2026 16:39</t>
  </si>
  <si>
    <t>SO2601-89798</t>
  </si>
  <si>
    <t>IN2601-99102</t>
  </si>
  <si>
    <t>06/01/2026 16:37</t>
  </si>
  <si>
    <t>SO2601-89797</t>
  </si>
  <si>
    <t>lontsi irene</t>
  </si>
  <si>
    <t>IN2601-99101</t>
  </si>
  <si>
    <t>06/01/2026 16:35</t>
  </si>
  <si>
    <t>SO2601-89796</t>
  </si>
  <si>
    <t>IN2601-99100</t>
  </si>
  <si>
    <t>06/01/2026 16:36</t>
  </si>
  <si>
    <t>SO2601-89795</t>
  </si>
  <si>
    <t>IN2601-99099</t>
  </si>
  <si>
    <t>06/01/2026 16:41</t>
  </si>
  <si>
    <t>SO2601-89794</t>
  </si>
  <si>
    <t>IN2601-99098</t>
  </si>
  <si>
    <t>06/01/2026 16:34</t>
  </si>
  <si>
    <t>SO2601-89793</t>
  </si>
  <si>
    <t>IN2601-99097</t>
  </si>
  <si>
    <t>06/01/2026 16:32</t>
  </si>
  <si>
    <t>SO2601-89792</t>
  </si>
  <si>
    <t>IN2601-99096</t>
  </si>
  <si>
    <t>06/01/2026 16:29</t>
  </si>
  <si>
    <t>SO2601-89791</t>
  </si>
  <si>
    <t>IN2601-99095</t>
  </si>
  <si>
    <t>06/01/2026 16:24</t>
  </si>
  <si>
    <t>SO2601-89790</t>
  </si>
  <si>
    <t>IN2601-99094</t>
  </si>
  <si>
    <t>06/01/2026 16:27</t>
  </si>
  <si>
    <t>SO2601-89789</t>
  </si>
  <si>
    <t>IN2601-99093</t>
  </si>
  <si>
    <t>06/01/2026 16:26</t>
  </si>
  <si>
    <t>SO2601-89788</t>
  </si>
  <si>
    <t>IN2601-99092</t>
  </si>
  <si>
    <t>SO2601-89787</t>
  </si>
  <si>
    <t>IN2601-99091</t>
  </si>
  <si>
    <t>06/01/2026 16:21</t>
  </si>
  <si>
    <t>SO2601-89786</t>
  </si>
  <si>
    <t>IN2601-99090</t>
  </si>
  <si>
    <t>06/01/2026 16:25</t>
  </si>
  <si>
    <t>SO2601-89785</t>
  </si>
  <si>
    <t>IN2601-99089</t>
  </si>
  <si>
    <t>06/01/2026 16:20</t>
  </si>
  <si>
    <t>SO2601-89784</t>
  </si>
  <si>
    <t>IN2601-99088</t>
  </si>
  <si>
    <t>06/01/2026 16:44</t>
  </si>
  <si>
    <t>SO2601-89783</t>
  </si>
  <si>
    <t>IN2601-99087</t>
  </si>
  <si>
    <t>SO2601-89782</t>
  </si>
  <si>
    <t>IN2601-99086</t>
  </si>
  <si>
    <t>06/01/2026 16:17</t>
  </si>
  <si>
    <t>SO2601-89781</t>
  </si>
  <si>
    <t>IN2601-99085</t>
  </si>
  <si>
    <t>06/01/2026 16:19</t>
  </si>
  <si>
    <t>SO2601-89780</t>
  </si>
  <si>
    <t>IN2601-99084</t>
  </si>
  <si>
    <t>06/01/2026 16:12</t>
  </si>
  <si>
    <t>SO2601-89779</t>
  </si>
  <si>
    <t>TSAGUE SYLVAIN 688097174</t>
  </si>
  <si>
    <t>IN2601-99083</t>
  </si>
  <si>
    <t>06/01/2026 16:11</t>
  </si>
  <si>
    <t>SO2601-89778</t>
  </si>
  <si>
    <t>IN2601-99082</t>
  </si>
  <si>
    <t>06/01/2026 16:43</t>
  </si>
  <si>
    <t>SO2601-89777</t>
  </si>
  <si>
    <t>IN2601-99081</t>
  </si>
  <si>
    <t>SO2601-89776</t>
  </si>
  <si>
    <t>IN2601-99080</t>
  </si>
  <si>
    <t>SO2601-89775</t>
  </si>
  <si>
    <t>IN2601-99079</t>
  </si>
  <si>
    <t>06/01/2026 16:07</t>
  </si>
  <si>
    <t>SO2601-89774</t>
  </si>
  <si>
    <t>IN2601-99078</t>
  </si>
  <si>
    <t>06/01/2026 15:50</t>
  </si>
  <si>
    <t>SO2601-89773</t>
  </si>
  <si>
    <t>IN2601-99076</t>
  </si>
  <si>
    <t>06/01/2026 15:53</t>
  </si>
  <si>
    <t>SO2601-89772</t>
  </si>
  <si>
    <t>NGADJEU</t>
  </si>
  <si>
    <t>IN2601-99075</t>
  </si>
  <si>
    <t>06/01/2026 15:51</t>
  </si>
  <si>
    <t>SO2601-89771</t>
  </si>
  <si>
    <t>IN2601-99074</t>
  </si>
  <si>
    <t>06/01/2026 15:47</t>
  </si>
  <si>
    <t>SO2601-89770</t>
  </si>
  <si>
    <t>IN2601-99073</t>
  </si>
  <si>
    <t>06/01/2026 15:37</t>
  </si>
  <si>
    <t>SO2601-89769</t>
  </si>
  <si>
    <t>KAMDEM CHIMENE 674159218</t>
  </si>
  <si>
    <t>IN2601-99072</t>
  </si>
  <si>
    <t>06/01/2026 15:36</t>
  </si>
  <si>
    <t>SO2601-89768</t>
  </si>
  <si>
    <t>IN2601-99071</t>
  </si>
  <si>
    <t>06/01/2026 16:09</t>
  </si>
  <si>
    <t>SO2601-89767</t>
  </si>
  <si>
    <t>IN2601-99070</t>
  </si>
  <si>
    <t>SO2601-89766</t>
  </si>
  <si>
    <t>IN2601-99069</t>
  </si>
  <si>
    <t>SO2601-89765</t>
  </si>
  <si>
    <t>IN2601-99068</t>
  </si>
  <si>
    <t>06/01/2026 15:38</t>
  </si>
  <si>
    <t>SO2601-89764</t>
  </si>
  <si>
    <t>MOISE 674871370</t>
  </si>
  <si>
    <t>IN2601-99067</t>
  </si>
  <si>
    <t>SO2601-89763</t>
  </si>
  <si>
    <t>CU2407-00946 -  PROV K-EMMA (Kenmeu Philippe)</t>
  </si>
  <si>
    <t>IN2601-99066</t>
  </si>
  <si>
    <t>CU2407-00946 -  PROV K-EMMA</t>
  </si>
  <si>
    <t>Kenmeu Philippe</t>
  </si>
  <si>
    <t>06/01/2026 15:26</t>
  </si>
  <si>
    <t>SO2601-89762</t>
  </si>
  <si>
    <t>IN2601-99065</t>
  </si>
  <si>
    <t>SO2601-89761</t>
  </si>
  <si>
    <t>IN2601-99064</t>
  </si>
  <si>
    <t>06/01/2026 15:39</t>
  </si>
  <si>
    <t>SO2601-89760</t>
  </si>
  <si>
    <t>IN2601-99063</t>
  </si>
  <si>
    <t>06/01/2026 15:27</t>
  </si>
  <si>
    <t>SO2601-89759</t>
  </si>
  <si>
    <t>IN2601-99062</t>
  </si>
  <si>
    <t>06/01/2026 15:24</t>
  </si>
  <si>
    <t>SO2601-89758</t>
  </si>
  <si>
    <t>IN2601-99061</t>
  </si>
  <si>
    <t>06/01/2026 15:16</t>
  </si>
  <si>
    <t>SO2601-89757</t>
  </si>
  <si>
    <t>TAMAL677052108</t>
  </si>
  <si>
    <t>IN2601-99060</t>
  </si>
  <si>
    <t>06/01/2026 15:20</t>
  </si>
  <si>
    <t>SO2601-89756</t>
  </si>
  <si>
    <t>IN2601-99059</t>
  </si>
  <si>
    <t>SO2601-89755</t>
  </si>
  <si>
    <t>GWA CELESTIN / 699608616</t>
  </si>
  <si>
    <t>IN2601-99058</t>
  </si>
  <si>
    <t>06/01/2026 15:17</t>
  </si>
  <si>
    <t>SO2601-89754</t>
  </si>
  <si>
    <t>IN2601-99057</t>
  </si>
  <si>
    <t>SO2601-89753</t>
  </si>
  <si>
    <t>IN2601-99056</t>
  </si>
  <si>
    <t>06/01/2026 15:15</t>
  </si>
  <si>
    <t>SO2601-89752</t>
  </si>
  <si>
    <t>IN2601-99055</t>
  </si>
  <si>
    <t>06/01/2026 15:12</t>
  </si>
  <si>
    <t>SO2601-89751</t>
  </si>
  <si>
    <t>CU2406-00119 -  STE AVICONSULTING SARL</t>
  </si>
  <si>
    <t>IN2601-99054</t>
  </si>
  <si>
    <t>06/01/2026 15:14</t>
  </si>
  <si>
    <t>SO2601-89750</t>
  </si>
  <si>
    <t>IN2601-99053</t>
  </si>
  <si>
    <t>06/01/2026 15:13</t>
  </si>
  <si>
    <t>SO2601-89749</t>
  </si>
  <si>
    <t>IN2601-99052</t>
  </si>
  <si>
    <t>06/01/2026 15:11</t>
  </si>
  <si>
    <t>SO2601-89748</t>
  </si>
  <si>
    <t>IN2601-99051</t>
  </si>
  <si>
    <t>SO2601-89747</t>
  </si>
  <si>
    <t>IN2601-99050</t>
  </si>
  <si>
    <t>06/01/2026 15:10</t>
  </si>
  <si>
    <t>SO2601-89746</t>
  </si>
  <si>
    <t>CU2407-00935 -  MElONG TANDA ERIC</t>
  </si>
  <si>
    <t>IN2601-99049</t>
  </si>
  <si>
    <t>06/01/2026 16:04</t>
  </si>
  <si>
    <t>SO2601-89745</t>
  </si>
  <si>
    <t>IN2601-99048</t>
  </si>
  <si>
    <t>06/01/2026 15:06</t>
  </si>
  <si>
    <t>SO2601-89744</t>
  </si>
  <si>
    <t>IN2601-99047</t>
  </si>
  <si>
    <t>06/01/2026 14:59</t>
  </si>
  <si>
    <t>SO2601-89743</t>
  </si>
  <si>
    <t>FOSSO</t>
  </si>
  <si>
    <t>CU2407-00164 -  FOSSO JULES</t>
  </si>
  <si>
    <t>IN2601-99046</t>
  </si>
  <si>
    <t>06/01/2026 15:04</t>
  </si>
  <si>
    <t>SO2601-89742</t>
  </si>
  <si>
    <t>IN2601-99045</t>
  </si>
  <si>
    <t>06/01/2026 14:51</t>
  </si>
  <si>
    <t>SO2601-89741</t>
  </si>
  <si>
    <t>IN2601-99044</t>
  </si>
  <si>
    <t>SO2601-89740</t>
  </si>
  <si>
    <t>IN2601-99043</t>
  </si>
  <si>
    <t>06/01/2026 14:55</t>
  </si>
  <si>
    <t>SO2601-89739</t>
  </si>
  <si>
    <t>IN2601-99042</t>
  </si>
  <si>
    <t>06/01/2026 14:56</t>
  </si>
  <si>
    <t>SO2601-89738</t>
  </si>
  <si>
    <t>IN2601-99041</t>
  </si>
  <si>
    <t>06/01/2026 14:50</t>
  </si>
  <si>
    <t>SO2601-89737</t>
  </si>
  <si>
    <t>IN2601-99040</t>
  </si>
  <si>
    <t>06/01/2026 14:47</t>
  </si>
  <si>
    <t>SO2601-89736</t>
  </si>
  <si>
    <t>IN2601-99039</t>
  </si>
  <si>
    <t>06/01/2026 14:54</t>
  </si>
  <si>
    <t>SO2601-89735</t>
  </si>
  <si>
    <t>IN2601-99038</t>
  </si>
  <si>
    <t>06/01/2026 14:46</t>
  </si>
  <si>
    <t>SO2601-89734</t>
  </si>
  <si>
    <t>FALONNE</t>
  </si>
  <si>
    <t>IN2601-99037</t>
  </si>
  <si>
    <t>06/01/2026 14:49</t>
  </si>
  <si>
    <t>SO2601-89733</t>
  </si>
  <si>
    <t>IN2601-99036</t>
  </si>
  <si>
    <t>06/01/2026 14:44</t>
  </si>
  <si>
    <t>SO2601-89732</t>
  </si>
  <si>
    <t>souufo</t>
  </si>
  <si>
    <t>CU2511-14178 -  Mouaffo Soh Gerard Willy</t>
  </si>
  <si>
    <t>IN2601-99035</t>
  </si>
  <si>
    <t>SO2601-89731</t>
  </si>
  <si>
    <t>IN2601-99034</t>
  </si>
  <si>
    <t>SO2601-89730</t>
  </si>
  <si>
    <t>IN2601-99033</t>
  </si>
  <si>
    <t>06/01/2026 14:48</t>
  </si>
  <si>
    <t>SO2601-89729</t>
  </si>
  <si>
    <t>KENJOU 676172312</t>
  </si>
  <si>
    <t>IN2601-99032</t>
  </si>
  <si>
    <t>06/01/2026 15:46</t>
  </si>
  <si>
    <t>SO2601-89728</t>
  </si>
  <si>
    <t>IN2601-99031</t>
  </si>
  <si>
    <t>06/01/2026 14:45</t>
  </si>
  <si>
    <t>SO2601-89727</t>
  </si>
  <si>
    <t>IN2601-99030</t>
  </si>
  <si>
    <t>06/01/2026 14:42</t>
  </si>
  <si>
    <t>SO2601-89726</t>
  </si>
  <si>
    <t>IN2601-99029</t>
  </si>
  <si>
    <t>SO2601-89725</t>
  </si>
  <si>
    <t>IN2601-99028</t>
  </si>
  <si>
    <t>06/01/2026 14:38</t>
  </si>
  <si>
    <t>SO2601-89724</t>
  </si>
  <si>
    <t>Bostin</t>
  </si>
  <si>
    <t>IN2601-99027</t>
  </si>
  <si>
    <t>06/01/2026 14:36</t>
  </si>
  <si>
    <t>SO2601-89723</t>
  </si>
  <si>
    <t>IN2601-99026</t>
  </si>
  <si>
    <t>06/01/2026 14:33</t>
  </si>
  <si>
    <t>SO2601-89722</t>
  </si>
  <si>
    <t>IN2601-99025</t>
  </si>
  <si>
    <t>06/01/2026 14:35</t>
  </si>
  <si>
    <t>SO2601-89721</t>
  </si>
  <si>
    <t>IN2601-99024</t>
  </si>
  <si>
    <t>06/01/2026 16:01</t>
  </si>
  <si>
    <t>SO2601-89720</t>
  </si>
  <si>
    <t>IN2601-99023</t>
  </si>
  <si>
    <t>06/01/2026 14:31</t>
  </si>
  <si>
    <t>SO2601-89719</t>
  </si>
  <si>
    <t>IN2601-99022</t>
  </si>
  <si>
    <t>SO2601-89718</t>
  </si>
  <si>
    <t>IN2601-99021</t>
  </si>
  <si>
    <t>06/01/2026 14:30</t>
  </si>
  <si>
    <t>SO2601-89717</t>
  </si>
  <si>
    <t>IN2601-99020</t>
  </si>
  <si>
    <t>SO2601-89716</t>
  </si>
  <si>
    <t>IN2601-99019</t>
  </si>
  <si>
    <t>06/01/2026 14:25</t>
  </si>
  <si>
    <t>SO2601-89715</t>
  </si>
  <si>
    <t>IN2601-99018</t>
  </si>
  <si>
    <t>06/01/2026 14:28</t>
  </si>
  <si>
    <t>SO2601-89714</t>
  </si>
  <si>
    <t>IN2601-99017</t>
  </si>
  <si>
    <t>SO2601-89713</t>
  </si>
  <si>
    <t>IN2601-99016</t>
  </si>
  <si>
    <t>06/01/2026 14:27</t>
  </si>
  <si>
    <t>SO2601-89712</t>
  </si>
  <si>
    <t>IN2601-99015</t>
  </si>
  <si>
    <t>06/01/2026 14:23</t>
  </si>
  <si>
    <t>SO2601-89711</t>
  </si>
  <si>
    <t>CU2504-13348 -  TIMENE JEAN (ZDCL00125)</t>
  </si>
  <si>
    <t>IN2601-99014</t>
  </si>
  <si>
    <t>CU2504-13348 -  TIMENE JEAN</t>
  </si>
  <si>
    <t>ZDCL00125</t>
  </si>
  <si>
    <t>06/01/2026 14:20</t>
  </si>
  <si>
    <t>SO2601-89710</t>
  </si>
  <si>
    <t>IN2601-99013</t>
  </si>
  <si>
    <t>06/01/2026 14:19</t>
  </si>
  <si>
    <t>SO2601-89709</t>
  </si>
  <si>
    <t>IN2601-99012</t>
  </si>
  <si>
    <t>06/01/2026 14:37</t>
  </si>
  <si>
    <t>SO2601-89708</t>
  </si>
  <si>
    <t>IN2601-99011</t>
  </si>
  <si>
    <t>06/01/2026 14:29</t>
  </si>
  <si>
    <t>SO2601-89707</t>
  </si>
  <si>
    <t>IN2601-99010</t>
  </si>
  <si>
    <t>SO2601-89706</t>
  </si>
  <si>
    <t>IN2601-99009</t>
  </si>
  <si>
    <t>06/01/2026 14:11</t>
  </si>
  <si>
    <t>SO2601-89705</t>
  </si>
  <si>
    <t>IN2601-99008</t>
  </si>
  <si>
    <t>SO2601-89704</t>
  </si>
  <si>
    <t>KENNE SAH V 655844312</t>
  </si>
  <si>
    <t>IN2601-99007</t>
  </si>
  <si>
    <t>06/01/2026 14:21</t>
  </si>
  <si>
    <t>SO2601-89703</t>
  </si>
  <si>
    <t>IN2601-99006</t>
  </si>
  <si>
    <t>06/01/2026 14:12</t>
  </si>
  <si>
    <t>SO2601-89702</t>
  </si>
  <si>
    <t>IN2601-99005</t>
  </si>
  <si>
    <t>06/01/2026 14:05</t>
  </si>
  <si>
    <t>SO2601-89701</t>
  </si>
  <si>
    <t>IN2601-99004</t>
  </si>
  <si>
    <t>06/01/2026 14:06</t>
  </si>
  <si>
    <t>SO2601-89700</t>
  </si>
  <si>
    <t>IN2601-99003</t>
  </si>
  <si>
    <t>06/01/2026 14:17</t>
  </si>
  <si>
    <t>SO2601-89699</t>
  </si>
  <si>
    <t>JEAN</t>
  </si>
  <si>
    <t>IN2601-99002</t>
  </si>
  <si>
    <t>06/01/2026 14:02</t>
  </si>
  <si>
    <t>SO2601-89698</t>
  </si>
  <si>
    <t>IN2601-99001</t>
  </si>
  <si>
    <t>06/01/2026 13:53</t>
  </si>
  <si>
    <t>SO2601-89697</t>
  </si>
  <si>
    <t>NYASSI</t>
  </si>
  <si>
    <t>CU2407-00173 -  MR KAMNI NYASSI</t>
  </si>
  <si>
    <t>IN2601-99000</t>
  </si>
  <si>
    <t>06/01/2026 13:47</t>
  </si>
  <si>
    <t>SO2601-89696</t>
  </si>
  <si>
    <t>IN2601-98999</t>
  </si>
  <si>
    <t>06/01/2026 13:52</t>
  </si>
  <si>
    <t>SO2601-89695</t>
  </si>
  <si>
    <t>IN2601-98998</t>
  </si>
  <si>
    <t>06/01/2026 13:50</t>
  </si>
  <si>
    <t>SO2601-89694</t>
  </si>
  <si>
    <t>IN2601-98997</t>
  </si>
  <si>
    <t>SO2601-89693</t>
  </si>
  <si>
    <t>IN2601-98996</t>
  </si>
  <si>
    <t>06/01/2026 13:46</t>
  </si>
  <si>
    <t>SO2601-89692</t>
  </si>
  <si>
    <t>IN2601-98995</t>
  </si>
  <si>
    <t>SO2601-89691</t>
  </si>
  <si>
    <t>NTEGUIA 690187265</t>
  </si>
  <si>
    <t>IN2601-98994</t>
  </si>
  <si>
    <t>06/01/2026 13:43</t>
  </si>
  <si>
    <t>SO2601-89690</t>
  </si>
  <si>
    <t>IN2601-98993</t>
  </si>
  <si>
    <t>SO2601-89689</t>
  </si>
  <si>
    <t>PROV COMPLET</t>
  </si>
  <si>
    <t>IN2601-98992</t>
  </si>
  <si>
    <t>06/01/2026 13:45</t>
  </si>
  <si>
    <t>SO2601-89688</t>
  </si>
  <si>
    <t>IN2601-98991</t>
  </si>
  <si>
    <t>06/01/2026 13:37</t>
  </si>
  <si>
    <t>SO2601-89687</t>
  </si>
  <si>
    <t>IN2601-98990</t>
  </si>
  <si>
    <t>06/01/2026 13:40</t>
  </si>
  <si>
    <t>SO2601-89686</t>
  </si>
  <si>
    <t>IN2601-98989</t>
  </si>
  <si>
    <t>06/01/2026 13:42</t>
  </si>
  <si>
    <t>SO2601-89685</t>
  </si>
  <si>
    <t>IN2601-98988</t>
  </si>
  <si>
    <t>06/01/2026 13:26</t>
  </si>
  <si>
    <t>SO2601-89684</t>
  </si>
  <si>
    <t>NDO</t>
  </si>
  <si>
    <t>IN2601-98987</t>
  </si>
  <si>
    <t>06/01/2026 13:23</t>
  </si>
  <si>
    <t>SO2601-89683</t>
  </si>
  <si>
    <t>IN2601-98986</t>
  </si>
  <si>
    <t>06/01/2026 14:00</t>
  </si>
  <si>
    <t>SO2601-89682</t>
  </si>
  <si>
    <t>CU2410-01126 -  SOCIETE COOPÉRATIVE SIMPLIFIÉE DES PRODUCTEURS DE CACAO MARCHAND DE BALAMBA (SCOOPS_…</t>
  </si>
  <si>
    <t>IN2601-98985</t>
  </si>
  <si>
    <t>CU2410-01126 -  SOCIETE COOPÉRATIVE SIMPLIFIÉE DES PRODUCTEURS DE CACAO MARCHAND DE BALAMBA (SCOOPS_PROCAMB)</t>
  </si>
  <si>
    <t>06/01/2026 13:25</t>
  </si>
  <si>
    <t>SO2601-89681</t>
  </si>
  <si>
    <t>IN2601-98984</t>
  </si>
  <si>
    <t>SO2601-89680</t>
  </si>
  <si>
    <t>SALOME 695365052</t>
  </si>
  <si>
    <t>IN2601-98983</t>
  </si>
  <si>
    <t>06/01/2026 13:21</t>
  </si>
  <si>
    <t>SO2601-89679</t>
  </si>
  <si>
    <t>IN2601-98982</t>
  </si>
  <si>
    <t>SO2601-89678</t>
  </si>
  <si>
    <t>IN2601-98981</t>
  </si>
  <si>
    <t>SO2601-89677</t>
  </si>
  <si>
    <t>IN2601-98980</t>
  </si>
  <si>
    <t>06/01/2026 13:19</t>
  </si>
  <si>
    <t>SO2601-89676</t>
  </si>
  <si>
    <t>IN2601-98979</t>
  </si>
  <si>
    <t>06/01/2026 13:13</t>
  </si>
  <si>
    <t>SO2601-89675</t>
  </si>
  <si>
    <t>ONGUENE ZOALANG 674005684</t>
  </si>
  <si>
    <t>IN2601-98978</t>
  </si>
  <si>
    <t>06/01/2026 13:15</t>
  </si>
  <si>
    <t>SO2601-89674</t>
  </si>
  <si>
    <t>IN2601-98977</t>
  </si>
  <si>
    <t>SO2601-89673</t>
  </si>
  <si>
    <t>IN2601-98976</t>
  </si>
  <si>
    <t>06/01/2026 13:14</t>
  </si>
  <si>
    <t>SO2601-89672</t>
  </si>
  <si>
    <t>DJOULLA FLORETTE 6 75 73 51 55</t>
  </si>
  <si>
    <t>IN2601-98975</t>
  </si>
  <si>
    <t>06/01/2026 13:08</t>
  </si>
  <si>
    <t>SO2601-89671</t>
  </si>
  <si>
    <t>NOUMBISSI</t>
  </si>
  <si>
    <t>IN2601-98974</t>
  </si>
  <si>
    <t>06/01/2026 13:04</t>
  </si>
  <si>
    <t>SO2601-89670</t>
  </si>
  <si>
    <t>IN2601-98973</t>
  </si>
  <si>
    <t>06/01/2026 13:06</t>
  </si>
  <si>
    <t>SO2601-89669</t>
  </si>
  <si>
    <t>ALOYCHUS</t>
  </si>
  <si>
    <t>IN2601-98972</t>
  </si>
  <si>
    <t>06/01/2026 13:01</t>
  </si>
  <si>
    <t>SO2601-89668</t>
  </si>
  <si>
    <t>IN2601-98971</t>
  </si>
  <si>
    <t>SO2601-89667</t>
  </si>
  <si>
    <t>IN2601-98970</t>
  </si>
  <si>
    <t>06/01/2026 13:02</t>
  </si>
  <si>
    <t>SO2601-89666</t>
  </si>
  <si>
    <t>IN2601-98969</t>
  </si>
  <si>
    <t>06/01/2026 13:18</t>
  </si>
  <si>
    <t>SO2601-89665</t>
  </si>
  <si>
    <t>IN2601-98968</t>
  </si>
  <si>
    <t>SO2601-89664</t>
  </si>
  <si>
    <t>IN2601-98967</t>
  </si>
  <si>
    <t>SO2601-89663</t>
  </si>
  <si>
    <t>PONKAM BERTRAND 679358749</t>
  </si>
  <si>
    <t>IN2601-98966</t>
  </si>
  <si>
    <t>06/01/2026 12:58</t>
  </si>
  <si>
    <t>SO2601-89662</t>
  </si>
  <si>
    <t>IN2601-98965</t>
  </si>
  <si>
    <t>06/01/2026 12:56</t>
  </si>
  <si>
    <t>SO2601-89661</t>
  </si>
  <si>
    <t>TAMEKONG 695965548</t>
  </si>
  <si>
    <t>IN2601-98964</t>
  </si>
  <si>
    <t>06/01/2026 12:52</t>
  </si>
  <si>
    <t>SO2601-89660</t>
  </si>
  <si>
    <t>RAOUL 696750292</t>
  </si>
  <si>
    <t>IN2601-98963</t>
  </si>
  <si>
    <t>06/01/2026 12:54</t>
  </si>
  <si>
    <t>SO2601-89659</t>
  </si>
  <si>
    <t>IN2601-98962</t>
  </si>
  <si>
    <t>06/01/2026 15:45</t>
  </si>
  <si>
    <t>SO2601-89658</t>
  </si>
  <si>
    <t>IN2601-98961</t>
  </si>
  <si>
    <t>06/01/2026 12:44</t>
  </si>
  <si>
    <t>SO2601-89657</t>
  </si>
  <si>
    <t>ngoumba</t>
  </si>
  <si>
    <t>IN2601-98960</t>
  </si>
  <si>
    <t>06/01/2026 12:39</t>
  </si>
  <si>
    <t>SO2601-89656</t>
  </si>
  <si>
    <t>IN2601-98959</t>
  </si>
  <si>
    <t>06/01/2026 12:35</t>
  </si>
  <si>
    <t>SO2601-89655</t>
  </si>
  <si>
    <t>IN2601-98958</t>
  </si>
  <si>
    <t>06/01/2026 12:33</t>
  </si>
  <si>
    <t>SO2601-89654</t>
  </si>
  <si>
    <t>IN2601-98957</t>
  </si>
  <si>
    <t>06/01/2026 12:30</t>
  </si>
  <si>
    <t>SO2601-89653</t>
  </si>
  <si>
    <t>IN2601-98956</t>
  </si>
  <si>
    <t>06/01/2026 12:32</t>
  </si>
  <si>
    <t>SO2601-89652</t>
  </si>
  <si>
    <t>IN2601-98955</t>
  </si>
  <si>
    <t>SO2601-89651</t>
  </si>
  <si>
    <t>EDAME RAOUL 677482117</t>
  </si>
  <si>
    <t>IN2601-98954</t>
  </si>
  <si>
    <t>06/01/2026 12:27</t>
  </si>
  <si>
    <t>SO2601-89650</t>
  </si>
  <si>
    <t>DIEMNAK / 694978000</t>
  </si>
  <si>
    <t>IN2601-98953</t>
  </si>
  <si>
    <t>SO2601-89649</t>
  </si>
  <si>
    <t>IN2601-98952</t>
  </si>
  <si>
    <t>06/01/2026 12:29</t>
  </si>
  <si>
    <t>SO2601-89648</t>
  </si>
  <si>
    <t>IN2601-98951</t>
  </si>
  <si>
    <t>06/01/2026 12:28</t>
  </si>
  <si>
    <t>SO2601-89647</t>
  </si>
  <si>
    <t>IN2601-98950</t>
  </si>
  <si>
    <t>06/01/2026 18:01</t>
  </si>
  <si>
    <t>SO2601-89646</t>
  </si>
  <si>
    <t>TATA JOEL</t>
  </si>
  <si>
    <t>IN2601-98949</t>
  </si>
  <si>
    <t>06/01/2026 12:19</t>
  </si>
  <si>
    <t>SO2601-89645</t>
  </si>
  <si>
    <t>IN2601-98948</t>
  </si>
  <si>
    <t>SO2601-89644</t>
  </si>
  <si>
    <t>CU2409-01076 -  EBOT WILFRED BESONG (TBD FARMS)</t>
  </si>
  <si>
    <t>IN2601-98947</t>
  </si>
  <si>
    <t>CU2409-01076 -  EBOT WILFRED BESONG</t>
  </si>
  <si>
    <t>TBD FARMS</t>
  </si>
  <si>
    <t>SO2601-89643</t>
  </si>
  <si>
    <t>IN2601-98946</t>
  </si>
  <si>
    <t>06/01/2026 12:20</t>
  </si>
  <si>
    <t>SO2601-89642</t>
  </si>
  <si>
    <t>PROV DE L'AVENIR 699 45 72 46</t>
  </si>
  <si>
    <t>IN2601-98945</t>
  </si>
  <si>
    <t>SO2601-89641</t>
  </si>
  <si>
    <t>ASOH</t>
  </si>
  <si>
    <t>IN2601-98944</t>
  </si>
  <si>
    <t>06/01/2026 12:11</t>
  </si>
  <si>
    <t>SO2601-89640</t>
  </si>
  <si>
    <t>BELINGA ROLAND 650351691</t>
  </si>
  <si>
    <t>IN2601-98943</t>
  </si>
  <si>
    <t>06/01/2026 12:12</t>
  </si>
  <si>
    <t>SO2601-89639</t>
  </si>
  <si>
    <t>IN2601-98942</t>
  </si>
  <si>
    <t>SO2601-89638</t>
  </si>
  <si>
    <t>Mme tienga martine</t>
  </si>
  <si>
    <t>IN2601-98941</t>
  </si>
  <si>
    <t>SO2601-89637</t>
  </si>
  <si>
    <t>CU2512-14212 -  WALA NOVERT BIKEH</t>
  </si>
  <si>
    <t>IN2601-98940</t>
  </si>
  <si>
    <t>SO2601-89636</t>
  </si>
  <si>
    <t>IN2601-98939</t>
  </si>
  <si>
    <t>06/01/2026 12:08</t>
  </si>
  <si>
    <t>SO2601-89635</t>
  </si>
  <si>
    <t>OUSMANOU CHEOU / 694104747</t>
  </si>
  <si>
    <t>IN2601-98938</t>
  </si>
  <si>
    <t>06/01/2026 12:10</t>
  </si>
  <si>
    <t>SO2601-89634</t>
  </si>
  <si>
    <t>IN2601-98937</t>
  </si>
  <si>
    <t>06/01/2026 12:03</t>
  </si>
  <si>
    <t>SO2601-89633</t>
  </si>
  <si>
    <t>ZIDANE</t>
  </si>
  <si>
    <t>IN2601-98936</t>
  </si>
  <si>
    <t>06/01/2026 12:13</t>
  </si>
  <si>
    <t>SO2601-89632</t>
  </si>
  <si>
    <t>CU2512-14225 -  BOUBA</t>
  </si>
  <si>
    <t>IN2601-98935</t>
  </si>
  <si>
    <t>06/01/2026 12:06</t>
  </si>
  <si>
    <t>SO2601-89631</t>
  </si>
  <si>
    <t>IN2601-98934</t>
  </si>
  <si>
    <t>06/01/2026 12:04</t>
  </si>
  <si>
    <t>SO2601-89630</t>
  </si>
  <si>
    <t>IN2601-98933</t>
  </si>
  <si>
    <t>06/01/2026 11:59</t>
  </si>
  <si>
    <t>SO2601-89629</t>
  </si>
  <si>
    <t>IN2601-98932</t>
  </si>
  <si>
    <t>06/01/2026 11:55</t>
  </si>
  <si>
    <t>SO2601-89628</t>
  </si>
  <si>
    <t>asoh</t>
  </si>
  <si>
    <t>IN2601-98931</t>
  </si>
  <si>
    <t>SO2601-89627</t>
  </si>
  <si>
    <t>IN2601-98930</t>
  </si>
  <si>
    <t>06/01/2026 12:05</t>
  </si>
  <si>
    <t>SO2601-89626</t>
  </si>
  <si>
    <t>FAGLA LILY 651534288</t>
  </si>
  <si>
    <t>IN2601-98929</t>
  </si>
  <si>
    <t>06/01/2026 12:17</t>
  </si>
  <si>
    <t>SO2601-89625</t>
  </si>
  <si>
    <t>IN2601-98928</t>
  </si>
  <si>
    <t>06/01/2026 11:56</t>
  </si>
  <si>
    <t>SO2601-89624</t>
  </si>
  <si>
    <t>IN2601-98927</t>
  </si>
  <si>
    <t>06/01/2026 11:57</t>
  </si>
  <si>
    <t>SO2601-89623</t>
  </si>
  <si>
    <t>CU2407-00282 -  GIC JEPRODER</t>
  </si>
  <si>
    <t>IN2601-98926</t>
  </si>
  <si>
    <t>SO2601-89622</t>
  </si>
  <si>
    <t>IN2601-98925</t>
  </si>
  <si>
    <t>SO2601-89621</t>
  </si>
  <si>
    <t>IN2601-98924</t>
  </si>
  <si>
    <t>06/01/2026 11:54</t>
  </si>
  <si>
    <t>SO2601-89620</t>
  </si>
  <si>
    <t>IN2601-98923</t>
  </si>
  <si>
    <t>06/01/2026 11:50</t>
  </si>
  <si>
    <t>SO2601-89619</t>
  </si>
  <si>
    <t>IN2601-98922</t>
  </si>
  <si>
    <t>SO2601-89618</t>
  </si>
  <si>
    <t>NOUBISSI JOSEPH 699781689</t>
  </si>
  <si>
    <t>IN2601-98921</t>
  </si>
  <si>
    <t>06/01/2026 11:41</t>
  </si>
  <si>
    <t>SO2601-89617</t>
  </si>
  <si>
    <t>IN2601-98920</t>
  </si>
  <si>
    <t>06/01/2026 11:46</t>
  </si>
  <si>
    <t>SO2601-89616</t>
  </si>
  <si>
    <t>AWAL / 691 07 44 91</t>
  </si>
  <si>
    <t>IN2601-98919</t>
  </si>
  <si>
    <t>SO2601-89615</t>
  </si>
  <si>
    <t>IN2601-98918</t>
  </si>
  <si>
    <t>06/01/2026 12:02</t>
  </si>
  <si>
    <t>SO2601-89614</t>
  </si>
  <si>
    <t>NGANGOUM</t>
  </si>
  <si>
    <t>IN2601-98917</t>
  </si>
  <si>
    <t>06/01/2026 11:42</t>
  </si>
  <si>
    <t>SO2601-89613</t>
  </si>
  <si>
    <t>ASSOMA EDWIGE 653495019</t>
  </si>
  <si>
    <t>IN2601-98916</t>
  </si>
  <si>
    <t>06/01/2026 11:39</t>
  </si>
  <si>
    <t>SO2601-89612</t>
  </si>
  <si>
    <t>IN2601-98915</t>
  </si>
  <si>
    <t>SO2601-89611</t>
  </si>
  <si>
    <t>CU2406-00025 -  KENGNE PAULETTE</t>
  </si>
  <si>
    <t>IN2601-98914</t>
  </si>
  <si>
    <t>06/01/2026 11:37</t>
  </si>
  <si>
    <t>SO2601-89610</t>
  </si>
  <si>
    <t>M.NGANWI BREVIL 652265573</t>
  </si>
  <si>
    <t>IN2601-98913</t>
  </si>
  <si>
    <t>06/01/2026 11:34</t>
  </si>
  <si>
    <t>SO2601-89609</t>
  </si>
  <si>
    <t>IN2601-98912</t>
  </si>
  <si>
    <t>06/01/2026 11:33</t>
  </si>
  <si>
    <t>SO2601-89608</t>
  </si>
  <si>
    <t>IN2601-98911</t>
  </si>
  <si>
    <t>SO2601-89607</t>
  </si>
  <si>
    <t>IN2601-98910</t>
  </si>
  <si>
    <t>06/01/2026 11:58</t>
  </si>
  <si>
    <t>SO2601-89606</t>
  </si>
  <si>
    <t>IN2601-98909</t>
  </si>
  <si>
    <t>06/01/2026 11:38</t>
  </si>
  <si>
    <t>SO2601-89605</t>
  </si>
  <si>
    <t>IN2601-98908</t>
  </si>
  <si>
    <t>06/01/2026 12:23</t>
  </si>
  <si>
    <t>SO2601-89604</t>
  </si>
  <si>
    <t>IN2601-98907</t>
  </si>
  <si>
    <t>SO2601-89603</t>
  </si>
  <si>
    <t>IN2601-98906</t>
  </si>
  <si>
    <t>06/01/2026 11:53</t>
  </si>
  <si>
    <t>SO2601-89602</t>
  </si>
  <si>
    <t>IN2601-98905</t>
  </si>
  <si>
    <t>SO2601-89601</t>
  </si>
  <si>
    <t>IN2601-98904</t>
  </si>
  <si>
    <t>06/01/2026 11:27</t>
  </si>
  <si>
    <t>SO2601-89600</t>
  </si>
  <si>
    <t>IN2601-98903</t>
  </si>
  <si>
    <t>06/01/2026 11:31</t>
  </si>
  <si>
    <t>SO2601-89599</t>
  </si>
  <si>
    <t>meli</t>
  </si>
  <si>
    <t>IN2601-98902</t>
  </si>
  <si>
    <t>06/01/2026 11:18</t>
  </si>
  <si>
    <t>SO2601-89598</t>
  </si>
  <si>
    <t>IN2601-98901</t>
  </si>
  <si>
    <t>SO2601-89597</t>
  </si>
  <si>
    <t>HAPPY ANTOINE 670398198</t>
  </si>
  <si>
    <t>IN2601-98900</t>
  </si>
  <si>
    <t>06/01/2026 11:23</t>
  </si>
  <si>
    <t>SO2601-89596</t>
  </si>
  <si>
    <t>IN2601-98899</t>
  </si>
  <si>
    <t>06/01/2026 11:25</t>
  </si>
  <si>
    <t>SO2601-89595</t>
  </si>
  <si>
    <t>HALIMA / 699178050</t>
  </si>
  <si>
    <t>CU2508-13560 -  HALIMA EPSE ALI DINAR</t>
  </si>
  <si>
    <t>IN2601-98898</t>
  </si>
  <si>
    <t>06/01/2026 12:07</t>
  </si>
  <si>
    <t>SO2601-89594</t>
  </si>
  <si>
    <t>IN2601-98897</t>
  </si>
  <si>
    <t>06/01/2026 11:24</t>
  </si>
  <si>
    <t>SO2601-89593</t>
  </si>
  <si>
    <t>TCHOUDA 656767528</t>
  </si>
  <si>
    <t>IN2601-98896</t>
  </si>
  <si>
    <t>SO2601-89592</t>
  </si>
  <si>
    <t>FODEM</t>
  </si>
  <si>
    <t>IN2601-98895</t>
  </si>
  <si>
    <t>06/01/2026 14:15</t>
  </si>
  <si>
    <t>SO2601-89591</t>
  </si>
  <si>
    <t>IN2601-98894</t>
  </si>
  <si>
    <t>SO2601-89590</t>
  </si>
  <si>
    <t>IN2601-98893</t>
  </si>
  <si>
    <t>06/01/2026 11:19</t>
  </si>
  <si>
    <t>SO2601-89589</t>
  </si>
  <si>
    <t>IN2601-98892</t>
  </si>
  <si>
    <t>06/01/2026 11:09</t>
  </si>
  <si>
    <t>SO2601-89588</t>
  </si>
  <si>
    <t>IN2601-98891</t>
  </si>
  <si>
    <t>SO2601-89587</t>
  </si>
  <si>
    <t>IN2601-98890</t>
  </si>
  <si>
    <t>06/01/2026 11:35</t>
  </si>
  <si>
    <t>SO2601-89586</t>
  </si>
  <si>
    <t>IN2601-98889</t>
  </si>
  <si>
    <t>06/01/2026 11:15</t>
  </si>
  <si>
    <t>SO2601-89585</t>
  </si>
  <si>
    <t>IN2601-98888</t>
  </si>
  <si>
    <t>06/01/2026 11:06</t>
  </si>
  <si>
    <t>SO2601-89583</t>
  </si>
  <si>
    <t>IN2601-98886</t>
  </si>
  <si>
    <t>06/01/2026 11:01</t>
  </si>
  <si>
    <t>SO2601-89582</t>
  </si>
  <si>
    <t>IN2601-98885</t>
  </si>
  <si>
    <t>SO2601-89581</t>
  </si>
  <si>
    <t>LETSIO</t>
  </si>
  <si>
    <t>IN2601-98884</t>
  </si>
  <si>
    <t>06/01/2026 11:04</t>
  </si>
  <si>
    <t>SO2601-89580</t>
  </si>
  <si>
    <t>CU2508-13441 -  PANEBENG VICTOR</t>
  </si>
  <si>
    <t>IN2601-98883</t>
  </si>
  <si>
    <t>SO2601-89579</t>
  </si>
  <si>
    <t>BLUESKY / 695 27 22 82</t>
  </si>
  <si>
    <t>IN2601-98882</t>
  </si>
  <si>
    <t>06/01/2026 11:00</t>
  </si>
  <si>
    <t>SO2601-89578</t>
  </si>
  <si>
    <t>IN2601-98881</t>
  </si>
  <si>
    <t>06/01/2026 11:02</t>
  </si>
  <si>
    <t>SO2601-89577</t>
  </si>
  <si>
    <t>IN2601-98880</t>
  </si>
  <si>
    <t>06/01/2026 10:58</t>
  </si>
  <si>
    <t>SO2601-89576</t>
  </si>
  <si>
    <t>MOHAMADOU AMINOU / 695 10 09 65</t>
  </si>
  <si>
    <t>IN2601-98879</t>
  </si>
  <si>
    <t>06/01/2026 10:56</t>
  </si>
  <si>
    <t>SO2601-89575</t>
  </si>
  <si>
    <t>IN2601-98878</t>
  </si>
  <si>
    <t>06/01/2026 11:03</t>
  </si>
  <si>
    <t>SO2601-89574</t>
  </si>
  <si>
    <t>IN2601-98877</t>
  </si>
  <si>
    <t>06/01/2026 10:59</t>
  </si>
  <si>
    <t>SO2601-89573</t>
  </si>
  <si>
    <t>ATCHANG PAULINE 699139351</t>
  </si>
  <si>
    <t>IN2601-98876</t>
  </si>
  <si>
    <t>06/01/2026 10:49</t>
  </si>
  <si>
    <t>SO2601-89572</t>
  </si>
  <si>
    <t>IN2601-98875</t>
  </si>
  <si>
    <t>06/01/2026 10:47</t>
  </si>
  <si>
    <t>SO2601-89570</t>
  </si>
  <si>
    <t>IN2601-98873</t>
  </si>
  <si>
    <t>06/01/2026 10:54</t>
  </si>
  <si>
    <t>SO2601-89569</t>
  </si>
  <si>
    <t>IN2601-98872</t>
  </si>
  <si>
    <t>06/01/2026 10:38</t>
  </si>
  <si>
    <t>SO2601-89568</t>
  </si>
  <si>
    <t>IN2601-98871</t>
  </si>
  <si>
    <t>SO2601-89567</t>
  </si>
  <si>
    <t>IN2601-98870</t>
  </si>
  <si>
    <t>06/01/2026 10:36</t>
  </si>
  <si>
    <t>SO2601-89566</t>
  </si>
  <si>
    <t>IN2601-98869</t>
  </si>
  <si>
    <t>06/01/2026 10:39</t>
  </si>
  <si>
    <t>SO2601-89565</t>
  </si>
  <si>
    <t>IN2601-98868</t>
  </si>
  <si>
    <t>06/01/2026 10:31</t>
  </si>
  <si>
    <t>SO2601-89564</t>
  </si>
  <si>
    <t>IN2601-98867</t>
  </si>
  <si>
    <t>06/01/2026 10:30</t>
  </si>
  <si>
    <t>SO2601-89563</t>
  </si>
  <si>
    <t>GAPEU 652236565</t>
  </si>
  <si>
    <t>IN2601-98866</t>
  </si>
  <si>
    <t>06/01/2026 10:28</t>
  </si>
  <si>
    <t>SO2601-89562</t>
  </si>
  <si>
    <t>IN2601-98865</t>
  </si>
  <si>
    <t>06/01/2026 10:33</t>
  </si>
  <si>
    <t>SO2601-89561</t>
  </si>
  <si>
    <t>IN2601-98864</t>
  </si>
  <si>
    <t>SO2601-89559</t>
  </si>
  <si>
    <t>IN2601-98862</t>
  </si>
  <si>
    <t>06/01/2026 10:26</t>
  </si>
  <si>
    <t>SO2601-89558</t>
  </si>
  <si>
    <t>IN2601-98861</t>
  </si>
  <si>
    <t>06/01/2026 10:24</t>
  </si>
  <si>
    <t>SO2601-89557</t>
  </si>
  <si>
    <t>toupa makemgne</t>
  </si>
  <si>
    <t>IN2601-98860</t>
  </si>
  <si>
    <t>SO2601-89556</t>
  </si>
  <si>
    <t>IN2601-98859</t>
  </si>
  <si>
    <t>SO2601-89555</t>
  </si>
  <si>
    <t>IN2601-98858</t>
  </si>
  <si>
    <t>06/01/2026 10:16</t>
  </si>
  <si>
    <t>SO2601-89554</t>
  </si>
  <si>
    <t>IN2601-98856</t>
  </si>
  <si>
    <t>06/01/2026 10:22</t>
  </si>
  <si>
    <t>SO2601-89553</t>
  </si>
  <si>
    <t>IN2601-98855</t>
  </si>
  <si>
    <t>06/01/2026 10:09</t>
  </si>
  <si>
    <t>SO2601-89552</t>
  </si>
  <si>
    <t>IN2601-98854</t>
  </si>
  <si>
    <t>06/01/2026 10:10</t>
  </si>
  <si>
    <t>SO2601-89551</t>
  </si>
  <si>
    <t>CU2512-14190 -  PONTON BUSINESS CAMEROUN</t>
  </si>
  <si>
    <t>IN2601-98853</t>
  </si>
  <si>
    <t>SO2601-89550</t>
  </si>
  <si>
    <t>CU2406-00026 -  TITSEM SYLVESTRE</t>
  </si>
  <si>
    <t>IN2601-98852</t>
  </si>
  <si>
    <t>06/01/2026 10:13</t>
  </si>
  <si>
    <t>SO2601-89549</t>
  </si>
  <si>
    <t>IN2601-98851</t>
  </si>
  <si>
    <t>06/01/2026 10:07</t>
  </si>
  <si>
    <t>SO2601-89548</t>
  </si>
  <si>
    <t>IN2601-98850</t>
  </si>
  <si>
    <t>06/01/2026 10:08</t>
  </si>
  <si>
    <t>SO2601-89547</t>
  </si>
  <si>
    <t>IN2601-98849</t>
  </si>
  <si>
    <t>06/01/2026 10:15</t>
  </si>
  <si>
    <t>SO2601-89546</t>
  </si>
  <si>
    <t>ilimite</t>
  </si>
  <si>
    <t>IN2601-98848</t>
  </si>
  <si>
    <t>SO2601-89545</t>
  </si>
  <si>
    <t>MBALLA 695001326</t>
  </si>
  <si>
    <t>IN2601-98847</t>
  </si>
  <si>
    <t>06/01/2026 10:04</t>
  </si>
  <si>
    <t>SO2601-89544</t>
  </si>
  <si>
    <t>IN2601-98846</t>
  </si>
  <si>
    <t>06/01/2026 10:05</t>
  </si>
  <si>
    <t>SO2601-89543</t>
  </si>
  <si>
    <t>IN2601-98845</t>
  </si>
  <si>
    <t>SO2601-89542</t>
  </si>
  <si>
    <t>IN2601-98844</t>
  </si>
  <si>
    <t>SO2601-89541</t>
  </si>
  <si>
    <t>LELE 677568280</t>
  </si>
  <si>
    <t>IN2601-98843</t>
  </si>
  <si>
    <t>06/01/2026 10:00</t>
  </si>
  <si>
    <t>SO2601-89540</t>
  </si>
  <si>
    <t>IN2601-98842</t>
  </si>
  <si>
    <t>06/01/2026 10:18</t>
  </si>
  <si>
    <t>SO2601-89539</t>
  </si>
  <si>
    <t>IN2601-98841</t>
  </si>
  <si>
    <t>06/01/2026 09:59</t>
  </si>
  <si>
    <t>SO2601-89538</t>
  </si>
  <si>
    <t>IN2601-98840</t>
  </si>
  <si>
    <t>06/01/2026 09:53</t>
  </si>
  <si>
    <t>SO2601-89537</t>
  </si>
  <si>
    <t>IN2601-98839</t>
  </si>
  <si>
    <t>SO2601-89536</t>
  </si>
  <si>
    <t>M.TIENCHEU FAB 694323204</t>
  </si>
  <si>
    <t>IN2601-98838</t>
  </si>
  <si>
    <t>06/01/2026 09:57</t>
  </si>
  <si>
    <t>SO2601-89535</t>
  </si>
  <si>
    <t>IN2601-98837</t>
  </si>
  <si>
    <t>06/01/2026 09:41</t>
  </si>
  <si>
    <t>SO2601-89534</t>
  </si>
  <si>
    <t>NOUSSI ANATOLE 695924420</t>
  </si>
  <si>
    <t>IN2601-98836</t>
  </si>
  <si>
    <t>SO2601-89533</t>
  </si>
  <si>
    <t>IN2601-98835</t>
  </si>
  <si>
    <t>SO2601-89532</t>
  </si>
  <si>
    <t>IN2601-98834</t>
  </si>
  <si>
    <t>06/01/2026 09:37</t>
  </si>
  <si>
    <t>SO2601-89531</t>
  </si>
  <si>
    <t>IN2601-98833</t>
  </si>
  <si>
    <t>06/01/2026 09:25</t>
  </si>
  <si>
    <t>SO2601-89530</t>
  </si>
  <si>
    <t>MAKOUTSING</t>
  </si>
  <si>
    <t>IN2601-98832</t>
  </si>
  <si>
    <t>06/01/2026 09:20</t>
  </si>
  <si>
    <t>SO2601-89529</t>
  </si>
  <si>
    <t>kawa</t>
  </si>
  <si>
    <t>IN2601-98831</t>
  </si>
  <si>
    <t>06/01/2026 09:21</t>
  </si>
  <si>
    <t>SO2601-89528</t>
  </si>
  <si>
    <t>GIC LETHAD</t>
  </si>
  <si>
    <t>IN2601-98830</t>
  </si>
  <si>
    <t>06/01/2026 09:31</t>
  </si>
  <si>
    <t>SO2601-89527</t>
  </si>
  <si>
    <t>M.TUSSIE IVAN 654345918</t>
  </si>
  <si>
    <t>IN2601-98829</t>
  </si>
  <si>
    <t>06/01/2026 09:16</t>
  </si>
  <si>
    <t>SO2601-89526</t>
  </si>
  <si>
    <t>IN2601-98828</t>
  </si>
  <si>
    <t>06/01/2026 09:19</t>
  </si>
  <si>
    <t>SO2601-89525</t>
  </si>
  <si>
    <t>IN2601-98827</t>
  </si>
  <si>
    <t>06/01/2026 09:15</t>
  </si>
  <si>
    <t>SO2601-89524</t>
  </si>
  <si>
    <t>IN2601-98826</t>
  </si>
  <si>
    <t>06/01/2026 09:10</t>
  </si>
  <si>
    <t>SO2601-89523</t>
  </si>
  <si>
    <t>IN2601-98825</t>
  </si>
  <si>
    <t>06/01/2026 09:08</t>
  </si>
  <si>
    <t>SO2601-89522</t>
  </si>
  <si>
    <t>CU2508-13436 -  PROVENDERIE RENOVATION (TCHINDA AUGUSTIN)</t>
  </si>
  <si>
    <t>IN2601-98824</t>
  </si>
  <si>
    <t>CU2508-13436 -  PROVENDERIE RENOVATION</t>
  </si>
  <si>
    <t>TCHINDA AUGUSTIN</t>
  </si>
  <si>
    <t>06/01/2026 09:06</t>
  </si>
  <si>
    <t>SO2601-89521</t>
  </si>
  <si>
    <t>IN2601-98823</t>
  </si>
  <si>
    <t>SO2601-89520</t>
  </si>
  <si>
    <t>IN2601-98822</t>
  </si>
  <si>
    <t>06/01/2026 09:04</t>
  </si>
  <si>
    <t>SO2601-89519</t>
  </si>
  <si>
    <t>IN2601-98821</t>
  </si>
  <si>
    <t>06/01/2026 09:03</t>
  </si>
  <si>
    <t>SO2601-89518</t>
  </si>
  <si>
    <t>IN2601-98820</t>
  </si>
  <si>
    <t>06/01/2026 09:18</t>
  </si>
  <si>
    <t>SO2601-89517</t>
  </si>
  <si>
    <t>Dr BELLO HAMAN / 694 44 29 99</t>
  </si>
  <si>
    <t>IN2601-98819</t>
  </si>
  <si>
    <t>SO2601-89516</t>
  </si>
  <si>
    <t>IN2601-98818</t>
  </si>
  <si>
    <t>06/01/2026 09:39</t>
  </si>
  <si>
    <t>SO2601-89515</t>
  </si>
  <si>
    <t>FOTIE</t>
  </si>
  <si>
    <t>IN2601-98817</t>
  </si>
  <si>
    <t>SO2601-89513</t>
  </si>
  <si>
    <t>IN2601-98815</t>
  </si>
  <si>
    <t>06/01/2026 08:53</t>
  </si>
  <si>
    <t>SO2601-89512</t>
  </si>
  <si>
    <t>IN2601-98814</t>
  </si>
  <si>
    <t>06/01/2026 09:01</t>
  </si>
  <si>
    <t>SO2601-89511</t>
  </si>
  <si>
    <t>IN2601-98813</t>
  </si>
  <si>
    <t>06/01/2026 08:54</t>
  </si>
  <si>
    <t>SO2601-89510</t>
  </si>
  <si>
    <t>IN2601-98812</t>
  </si>
  <si>
    <t>06/01/2026 09:12</t>
  </si>
  <si>
    <t>SO2601-89509</t>
  </si>
  <si>
    <t>CU2407-00585 -  FERME FAMILIALE</t>
  </si>
  <si>
    <t>IN2601-98811</t>
  </si>
  <si>
    <t>SO2601-89508</t>
  </si>
  <si>
    <t>IN2601-98810</t>
  </si>
  <si>
    <t>06/01/2026 08:49</t>
  </si>
  <si>
    <t>SO2601-89507</t>
  </si>
  <si>
    <t>IN2601-98809</t>
  </si>
  <si>
    <t>06/01/2026 08:40</t>
  </si>
  <si>
    <t>SO2601-89506</t>
  </si>
  <si>
    <t>IN2601-98807</t>
  </si>
  <si>
    <t>06/01/2026 08:42</t>
  </si>
  <si>
    <t>SO2601-89505</t>
  </si>
  <si>
    <t>NAGUE MARCEL 699134829</t>
  </si>
  <si>
    <t>IN2601-98806</t>
  </si>
  <si>
    <t>06/01/2026 08:38</t>
  </si>
  <si>
    <t>SO2601-89504</t>
  </si>
  <si>
    <t>IN2601-98805</t>
  </si>
  <si>
    <t>06/01/2026 10:21</t>
  </si>
  <si>
    <t>SO2601-89503</t>
  </si>
  <si>
    <t>IN2601-98804</t>
  </si>
  <si>
    <t>06/01/2026 08:31</t>
  </si>
  <si>
    <t>SO2601-89502</t>
  </si>
  <si>
    <t>IN2601-98803</t>
  </si>
  <si>
    <t>06/01/2026 08:26</t>
  </si>
  <si>
    <t>SO2601-89501</t>
  </si>
  <si>
    <t>IN2601-98802</t>
  </si>
  <si>
    <t>06/01/2026 08:21</t>
  </si>
  <si>
    <t>SO2601-89500</t>
  </si>
  <si>
    <t>CU2512-14227 -  LONGNING JULES BERTRAND (ETS L'IPIC ENTERTAIMENT)</t>
  </si>
  <si>
    <t>IN2601-98801</t>
  </si>
  <si>
    <t>CU2512-14227 -  LONGNING JULES BERTRAND</t>
  </si>
  <si>
    <t>ETS L'IPIC ENTERTAIMENT</t>
  </si>
  <si>
    <t>06/01/2026 08:24</t>
  </si>
  <si>
    <t>SO2601-89499</t>
  </si>
  <si>
    <t>IN2601-98800</t>
  </si>
  <si>
    <t>06/01/2026 08:20</t>
  </si>
  <si>
    <t>SO2601-89498</t>
  </si>
  <si>
    <t>NNAMA MAOH 675188176</t>
  </si>
  <si>
    <t>IN2601-98799</t>
  </si>
  <si>
    <t>06/01/2026 08:17</t>
  </si>
  <si>
    <t>SO2601-89497</t>
  </si>
  <si>
    <t>CU2601-14313 -  GIC LETHAD</t>
  </si>
  <si>
    <t>IN2601-98798</t>
  </si>
  <si>
    <t>06/01/2026 07:58</t>
  </si>
  <si>
    <t>SO2601-89902</t>
  </si>
  <si>
    <t>WAFO 651322317</t>
  </si>
  <si>
    <t>05/01/2026</t>
  </si>
  <si>
    <t>IN2601-99207</t>
  </si>
  <si>
    <t>07/01/2026 15:24</t>
  </si>
  <si>
    <t>SO2601-89571</t>
  </si>
  <si>
    <t>IN2601-98874</t>
  </si>
  <si>
    <t>SO2601-89560</t>
  </si>
  <si>
    <t>MBASSI 696550816</t>
  </si>
  <si>
    <t>IN2601-98863</t>
  </si>
  <si>
    <t>06/01/2026 13:24</t>
  </si>
  <si>
    <t>SO2601-89496</t>
  </si>
  <si>
    <t>IN2601-98797</t>
  </si>
  <si>
    <t>05/01/2026 19:06</t>
  </si>
  <si>
    <t>SO2601-89495</t>
  </si>
  <si>
    <t>PROV PROGRES 675015141</t>
  </si>
  <si>
    <t>IN2601-98796</t>
  </si>
  <si>
    <t>05/01/2026 18:32</t>
  </si>
  <si>
    <t>SO2601-89494</t>
  </si>
  <si>
    <t>IN2601-98795</t>
  </si>
  <si>
    <t>05/01/2026 18:38</t>
  </si>
  <si>
    <t>SO2601-89493</t>
  </si>
  <si>
    <t>JC 677207573</t>
  </si>
  <si>
    <t>IN2601-98793</t>
  </si>
  <si>
    <t>05/01/2026 18:17</t>
  </si>
  <si>
    <t>SO2601-89492</t>
  </si>
  <si>
    <t>MME FOTSO P 652496160</t>
  </si>
  <si>
    <t>IN2601-98792</t>
  </si>
  <si>
    <t>05/01/2026 17:51</t>
  </si>
  <si>
    <t>SO2601-89491</t>
  </si>
  <si>
    <t>IN2601-98791</t>
  </si>
  <si>
    <t>05/01/2026 17:48</t>
  </si>
  <si>
    <t>SO2601-89490</t>
  </si>
  <si>
    <t>IN2601-98790</t>
  </si>
  <si>
    <t>05/01/2026 18:15</t>
  </si>
  <si>
    <t>SO2601-89489</t>
  </si>
  <si>
    <t>IN2601-98788</t>
  </si>
  <si>
    <t>05/01/2026 17:29</t>
  </si>
  <si>
    <t>SO2601-89488</t>
  </si>
  <si>
    <t>IN2601-98787</t>
  </si>
  <si>
    <t>05/01/2026 17:26</t>
  </si>
  <si>
    <t>SO2601-89487</t>
  </si>
  <si>
    <t>IN2601-98786</t>
  </si>
  <si>
    <t>05/01/2026 17:27</t>
  </si>
  <si>
    <t>SO2601-89486</t>
  </si>
  <si>
    <t>IN2601-98785</t>
  </si>
  <si>
    <t>05/01/2026 17:24</t>
  </si>
  <si>
    <t>SO2601-89485</t>
  </si>
  <si>
    <t>ANENG EMMANUEL / 696461558</t>
  </si>
  <si>
    <t>IN2601-98784</t>
  </si>
  <si>
    <t>05/01/2026 17:19</t>
  </si>
  <si>
    <t>SO2601-89484</t>
  </si>
  <si>
    <t>IN2601-98783</t>
  </si>
  <si>
    <t>06/01/2026 11:40</t>
  </si>
  <si>
    <t>SO2601-89483</t>
  </si>
  <si>
    <t>IN2601-98782</t>
  </si>
  <si>
    <t>SO2601-89482</t>
  </si>
  <si>
    <t>ALLOW</t>
  </si>
  <si>
    <t>IN2601-98781</t>
  </si>
  <si>
    <t>05/01/2026 17:22</t>
  </si>
  <si>
    <t>SO2601-89481</t>
  </si>
  <si>
    <t>CU2501-01198 -  ANENG EMMANUEL CHICK (ANENG EMMANUEL)</t>
  </si>
  <si>
    <t>IN2601-98780</t>
  </si>
  <si>
    <t>CU2501-01198 -  ANENG EMMANUEL CHICK</t>
  </si>
  <si>
    <t>ANENG EMMANUEL</t>
  </si>
  <si>
    <t>05/01/2026 17:14</t>
  </si>
  <si>
    <t>SO2601-89480</t>
  </si>
  <si>
    <t>IN2601-98779</t>
  </si>
  <si>
    <t>05/01/2026 17:32</t>
  </si>
  <si>
    <t>SO2601-89479</t>
  </si>
  <si>
    <t>IN2601-98778</t>
  </si>
  <si>
    <t>05/01/2026 17:20</t>
  </si>
  <si>
    <t>SO2601-89478</t>
  </si>
  <si>
    <t>IN2601-98777</t>
  </si>
  <si>
    <t>SO2601-89477</t>
  </si>
  <si>
    <t>IN2601-98776</t>
  </si>
  <si>
    <t>05/01/2026 17:13</t>
  </si>
  <si>
    <t>SO2601-89476</t>
  </si>
  <si>
    <t>IN2601-98775</t>
  </si>
  <si>
    <t>05/01/2026 17:08</t>
  </si>
  <si>
    <t>SO2601-89475</t>
  </si>
  <si>
    <t>EMBOLO EVELYNE</t>
  </si>
  <si>
    <t>IN2601-98774</t>
  </si>
  <si>
    <t>05/01/2026 16:59</t>
  </si>
  <si>
    <t>SO2601-89474</t>
  </si>
  <si>
    <t>CU2512-14184 -  TSOPJIO JATSA SUZIE MABELLE</t>
  </si>
  <si>
    <t>IN2601-98773</t>
  </si>
  <si>
    <t>SO2601-89473</t>
  </si>
  <si>
    <t>IN2601-98772</t>
  </si>
  <si>
    <t>05/01/2026 16:47</t>
  </si>
  <si>
    <t>SO2601-89472</t>
  </si>
  <si>
    <t>IN2601-98771</t>
  </si>
  <si>
    <t>SO2601-89471</t>
  </si>
  <si>
    <t>IN2601-98770</t>
  </si>
  <si>
    <t>05/01/2026 17:00</t>
  </si>
  <si>
    <t>SO2601-89470</t>
  </si>
  <si>
    <t>djoulako arsene</t>
  </si>
  <si>
    <t>IN2601-98769</t>
  </si>
  <si>
    <t>05/01/2026 16:40</t>
  </si>
  <si>
    <t>SO2601-89469</t>
  </si>
  <si>
    <t>IN2601-98768</t>
  </si>
  <si>
    <t>05/01/2026 17:23</t>
  </si>
  <si>
    <t>SO2601-89468</t>
  </si>
  <si>
    <t>IN2601-98767</t>
  </si>
  <si>
    <t>SO2601-89467</t>
  </si>
  <si>
    <t>CLINTON</t>
  </si>
  <si>
    <t>IN2601-98766</t>
  </si>
  <si>
    <t>05/01/2026 16:31</t>
  </si>
  <si>
    <t>SO2601-89466</t>
  </si>
  <si>
    <t>IN2601-98765</t>
  </si>
  <si>
    <t>05/01/2026 17:17</t>
  </si>
  <si>
    <t>SO2601-89465</t>
  </si>
  <si>
    <t>NEMBOT JEAN 679582268</t>
  </si>
  <si>
    <t>IN2601-98764</t>
  </si>
  <si>
    <t>05/01/2026 16:26</t>
  </si>
  <si>
    <t>SO2601-89464</t>
  </si>
  <si>
    <t>FIDELE 675605975</t>
  </si>
  <si>
    <t>IN2601-98763</t>
  </si>
  <si>
    <t>05/01/2026 16:25</t>
  </si>
  <si>
    <t>SO2601-89463</t>
  </si>
  <si>
    <t>IN2601-98762</t>
  </si>
  <si>
    <t>SO2601-89462</t>
  </si>
  <si>
    <t>ekabe roger</t>
  </si>
  <si>
    <t>IN2601-98761</t>
  </si>
  <si>
    <t>05/01/2026 16:20</t>
  </si>
  <si>
    <t>SO2601-89461</t>
  </si>
  <si>
    <t>IN2601-98760</t>
  </si>
  <si>
    <t>SO2601-89460</t>
  </si>
  <si>
    <t>IN2601-98759</t>
  </si>
  <si>
    <t>06/01/2026 11:29</t>
  </si>
  <si>
    <t>SO2601-89459</t>
  </si>
  <si>
    <t>IN2601-98758</t>
  </si>
  <si>
    <t>SO2601-89458</t>
  </si>
  <si>
    <t>M SEWOYEBA</t>
  </si>
  <si>
    <t>IN2601-98757</t>
  </si>
  <si>
    <t>05/01/2026 16:10</t>
  </si>
  <si>
    <t>SO2601-89457</t>
  </si>
  <si>
    <t>IN2601-98756</t>
  </si>
  <si>
    <t>05/01/2026 16:52</t>
  </si>
  <si>
    <t>SO2601-89456</t>
  </si>
  <si>
    <t>IN2601-98755</t>
  </si>
  <si>
    <t>SO2601-89455</t>
  </si>
  <si>
    <t>MR PEKA 677870279</t>
  </si>
  <si>
    <t>IN2601-98754</t>
  </si>
  <si>
    <t>05/01/2026 18:45</t>
  </si>
  <si>
    <t>SO2601-89454</t>
  </si>
  <si>
    <t>YOUMBI</t>
  </si>
  <si>
    <t>IN2601-98753</t>
  </si>
  <si>
    <t>05/01/2026 16:09</t>
  </si>
  <si>
    <t>SO2601-89453</t>
  </si>
  <si>
    <t>IN2601-98752</t>
  </si>
  <si>
    <t>05/01/2026 16:19</t>
  </si>
  <si>
    <t>SO2601-89452</t>
  </si>
  <si>
    <t>IN2601-98751</t>
  </si>
  <si>
    <t>05/01/2026 16:23</t>
  </si>
  <si>
    <t>SO2601-89451</t>
  </si>
  <si>
    <t>IN2601-98750</t>
  </si>
  <si>
    <t>05/01/2026 16:24</t>
  </si>
  <si>
    <t>SO2601-89450</t>
  </si>
  <si>
    <t>IN2601-98749</t>
  </si>
  <si>
    <t>05/01/2026 18:47</t>
  </si>
  <si>
    <t>SO2601-89449</t>
  </si>
  <si>
    <t>FOTSING ELIE</t>
  </si>
  <si>
    <t>IN2601-98748</t>
  </si>
  <si>
    <t>05/01/2026 15:43</t>
  </si>
  <si>
    <t>SO2601-89448</t>
  </si>
  <si>
    <t>IN2601-98747</t>
  </si>
  <si>
    <t>05/01/2026 16:08</t>
  </si>
  <si>
    <t>SO2601-89447</t>
  </si>
  <si>
    <t>LEKEUAGNI</t>
  </si>
  <si>
    <t>IN2601-98746</t>
  </si>
  <si>
    <t>05/01/2026 16:00</t>
  </si>
  <si>
    <t>SO2601-89446</t>
  </si>
  <si>
    <t>IN2601-98745</t>
  </si>
  <si>
    <t>05/01/2026 17:25</t>
  </si>
  <si>
    <t>SO2601-89445</t>
  </si>
  <si>
    <t>M BOREL</t>
  </si>
  <si>
    <t>IN2601-98744</t>
  </si>
  <si>
    <t>05/01/2026 15:42</t>
  </si>
  <si>
    <t>SO2601-89444</t>
  </si>
  <si>
    <t>FOTSO GUY</t>
  </si>
  <si>
    <t>IN2601-98743</t>
  </si>
  <si>
    <t>05/01/2026 16:02</t>
  </si>
  <si>
    <t>SO2601-89443</t>
  </si>
  <si>
    <t>IN2601-98742</t>
  </si>
  <si>
    <t>05/01/2026 15:41</t>
  </si>
  <si>
    <t>SO2601-89442</t>
  </si>
  <si>
    <t>FONKOU JP 675668280</t>
  </si>
  <si>
    <t>IN2601-98741</t>
  </si>
  <si>
    <t>SO2601-89441</t>
  </si>
  <si>
    <t>IN2601-98740</t>
  </si>
  <si>
    <t>05/01/2026 15:36</t>
  </si>
  <si>
    <t>SO2601-89440</t>
  </si>
  <si>
    <t>IN2601-98739</t>
  </si>
  <si>
    <t>05/01/2026 15:39</t>
  </si>
  <si>
    <t>SO2601-89439</t>
  </si>
  <si>
    <t>NGONGA</t>
  </si>
  <si>
    <t>IN2601-98738</t>
  </si>
  <si>
    <t>SO2601-89438</t>
  </si>
  <si>
    <t>TALOM ANICET 696699239</t>
  </si>
  <si>
    <t>IN2601-98737</t>
  </si>
  <si>
    <t>SO2601-89437</t>
  </si>
  <si>
    <t>IN2601-98736</t>
  </si>
  <si>
    <t>05/01/2026 15:29</t>
  </si>
  <si>
    <t>SO2601-89436</t>
  </si>
  <si>
    <t>IN2601-98735</t>
  </si>
  <si>
    <t>SO2601-89435</t>
  </si>
  <si>
    <t>IN2601-98734</t>
  </si>
  <si>
    <t>05/01/2026 16:03</t>
  </si>
  <si>
    <t>SO2601-89434</t>
  </si>
  <si>
    <t>M TEMGOUA J PIERRE 673611994</t>
  </si>
  <si>
    <t>IN2601-98733</t>
  </si>
  <si>
    <t>05/01/2026 15:18</t>
  </si>
  <si>
    <t>SO2601-89433</t>
  </si>
  <si>
    <t>IN2601-98732</t>
  </si>
  <si>
    <t>05/01/2026 17:30</t>
  </si>
  <si>
    <t>SO2601-89432</t>
  </si>
  <si>
    <t>MR. TEBOH</t>
  </si>
  <si>
    <t>IN2601-98731</t>
  </si>
  <si>
    <t>05/01/2026 15:19</t>
  </si>
  <si>
    <t>SO2601-89431</t>
  </si>
  <si>
    <t>yand</t>
  </si>
  <si>
    <t>IN2601-98730</t>
  </si>
  <si>
    <t>05/01/2026 15:33</t>
  </si>
  <si>
    <t>SO2601-89430</t>
  </si>
  <si>
    <t>IN2601-98729</t>
  </si>
  <si>
    <t>SO2601-89429</t>
  </si>
  <si>
    <t>IN2601-98728</t>
  </si>
  <si>
    <t>05/01/2026 15:20</t>
  </si>
  <si>
    <t>SO2601-89428</t>
  </si>
  <si>
    <t>M NKOUMA FRANCOIS XAVIER</t>
  </si>
  <si>
    <t>IN2601-98727</t>
  </si>
  <si>
    <t>05/01/2026 15:21</t>
  </si>
  <si>
    <t>SO2601-89427</t>
  </si>
  <si>
    <t>IN2601-98726</t>
  </si>
  <si>
    <t>SO2601-89426</t>
  </si>
  <si>
    <t>IN2601-98725</t>
  </si>
  <si>
    <t>05/01/2026 15:14</t>
  </si>
  <si>
    <t>SO2601-89425</t>
  </si>
  <si>
    <t>IN2601-98724</t>
  </si>
  <si>
    <t>05/01/2026 15:10</t>
  </si>
  <si>
    <t>SO2601-89424</t>
  </si>
  <si>
    <t>KENGUE</t>
  </si>
  <si>
    <t>IN2601-98723</t>
  </si>
  <si>
    <t>05/01/2026 15:12</t>
  </si>
  <si>
    <t>SO2601-89423</t>
  </si>
  <si>
    <t>TOUMOU MISPA 699153910</t>
  </si>
  <si>
    <t>IN2601-98722</t>
  </si>
  <si>
    <t>SO2601-89422</t>
  </si>
  <si>
    <t>STE NGNOMEGNE</t>
  </si>
  <si>
    <t>IN2601-98721</t>
  </si>
  <si>
    <t>05/01/2026 15:32</t>
  </si>
  <si>
    <t>SO2601-89421</t>
  </si>
  <si>
    <t>IN2601-98720</t>
  </si>
  <si>
    <t>05/01/2026 15:06</t>
  </si>
  <si>
    <t>SO2601-89420</t>
  </si>
  <si>
    <t>OLINGA APPOLINAIRE 691047113</t>
  </si>
  <si>
    <t>IN2601-98719</t>
  </si>
  <si>
    <t>SO2601-89419</t>
  </si>
  <si>
    <t>LABEGREL</t>
  </si>
  <si>
    <t>IN2601-98718</t>
  </si>
  <si>
    <t>SO2601-89418</t>
  </si>
  <si>
    <t>IN2601-98717</t>
  </si>
  <si>
    <t>05/01/2026 15:08</t>
  </si>
  <si>
    <t>SO2601-89417</t>
  </si>
  <si>
    <t>M JEAN CLAUDE</t>
  </si>
  <si>
    <t>IN2601-98716</t>
  </si>
  <si>
    <t>SO2601-89416</t>
  </si>
  <si>
    <t>IN2601-98715</t>
  </si>
  <si>
    <t>05/01/2026 15:04</t>
  </si>
  <si>
    <t>SO2601-89415</t>
  </si>
  <si>
    <t>KAMGA FRANCK 679294251</t>
  </si>
  <si>
    <t>IN2601-98714</t>
  </si>
  <si>
    <t>05/01/2026 15:02</t>
  </si>
  <si>
    <t>SO2601-89414</t>
  </si>
  <si>
    <t>NGONO EBOLO BIBIANE GRÂCE</t>
  </si>
  <si>
    <t>IN2601-98713</t>
  </si>
  <si>
    <t>05/01/2026 15:00</t>
  </si>
  <si>
    <t>SO2601-89413</t>
  </si>
  <si>
    <t>LE GRENIER</t>
  </si>
  <si>
    <t>IN2601-98712</t>
  </si>
  <si>
    <t>05/01/2026 14:56</t>
  </si>
  <si>
    <t>SO2601-89412</t>
  </si>
  <si>
    <t>IN2601-98711</t>
  </si>
  <si>
    <t>05/01/2026 14:55</t>
  </si>
  <si>
    <t>SO2601-89411</t>
  </si>
  <si>
    <t>IN2601-98710</t>
  </si>
  <si>
    <t>05/01/2026 14:54</t>
  </si>
  <si>
    <t>SO2601-89410</t>
  </si>
  <si>
    <t>IN2601-98709</t>
  </si>
  <si>
    <t>SO2601-89409</t>
  </si>
  <si>
    <t>IN2601-98708</t>
  </si>
  <si>
    <t>SO2601-89408</t>
  </si>
  <si>
    <t>IN2601-98707</t>
  </si>
  <si>
    <t>05/01/2026 14:47</t>
  </si>
  <si>
    <t>SO2601-89407</t>
  </si>
  <si>
    <t>IN2601-98706</t>
  </si>
  <si>
    <t>05/01/2026 14:49</t>
  </si>
  <si>
    <t>SO2601-89406</t>
  </si>
  <si>
    <t>IN2601-98705</t>
  </si>
  <si>
    <t>SO2601-89405</t>
  </si>
  <si>
    <t>IN2601-98704</t>
  </si>
  <si>
    <t>05/01/2026 14:46</t>
  </si>
  <si>
    <t>SO2601-89404</t>
  </si>
  <si>
    <t>Mme MAFOTIE MONIQUE</t>
  </si>
  <si>
    <t>IN2601-98703</t>
  </si>
  <si>
    <t>05/01/2026 14:39</t>
  </si>
  <si>
    <t>SO2601-89403</t>
  </si>
  <si>
    <t>IN2601-98702</t>
  </si>
  <si>
    <t>05/01/2026 14:45</t>
  </si>
  <si>
    <t>SO2601-89402</t>
  </si>
  <si>
    <t>PROV CHEDJOU</t>
  </si>
  <si>
    <t>IN2601-98701</t>
  </si>
  <si>
    <t>05/01/2026 14:59</t>
  </si>
  <si>
    <t>SO2601-89401</t>
  </si>
  <si>
    <t>CU2407-00721 -  KUATE SERGES</t>
  </si>
  <si>
    <t>IN2601-98700</t>
  </si>
  <si>
    <t>05/01/2026 14:32</t>
  </si>
  <si>
    <t>SO2601-89400</t>
  </si>
  <si>
    <t>IN2601-98699</t>
  </si>
  <si>
    <t>05/01/2026 14:29</t>
  </si>
  <si>
    <t>SO2601-89399</t>
  </si>
  <si>
    <t>IN2601-98698</t>
  </si>
  <si>
    <t>SO2601-89398</t>
  </si>
  <si>
    <t>M CHOKOATUI</t>
  </si>
  <si>
    <t>IN2601-98697</t>
  </si>
  <si>
    <t>05/01/2026 14:30</t>
  </si>
  <si>
    <t>SO2601-89397</t>
  </si>
  <si>
    <t>MAGNE ROSE 676858691</t>
  </si>
  <si>
    <t>IN2601-98696</t>
  </si>
  <si>
    <t>05/01/2026 14:36</t>
  </si>
  <si>
    <t>SO2601-89396</t>
  </si>
  <si>
    <t>milau</t>
  </si>
  <si>
    <t>IN2601-98695</t>
  </si>
  <si>
    <t>05/01/2026 14:22</t>
  </si>
  <si>
    <t>SO2601-89395</t>
  </si>
  <si>
    <t>IN2601-98694</t>
  </si>
  <si>
    <t>05/01/2026 14:38</t>
  </si>
  <si>
    <t>SO2601-89394</t>
  </si>
  <si>
    <t>IN2601-98693</t>
  </si>
  <si>
    <t>05/01/2026 14:26</t>
  </si>
  <si>
    <t>SO2601-89393</t>
  </si>
  <si>
    <t>IN2601-98692</t>
  </si>
  <si>
    <t>05/01/2026 14:19</t>
  </si>
  <si>
    <t>SO2601-89392</t>
  </si>
  <si>
    <t>CU2511-14157 -  SMART FARM</t>
  </si>
  <si>
    <t>IN2601-98691</t>
  </si>
  <si>
    <t>SO2601-89391</t>
  </si>
  <si>
    <t>IN2601-98690</t>
  </si>
  <si>
    <t>05/01/2026 14:18</t>
  </si>
  <si>
    <t>SO2601-89390</t>
  </si>
  <si>
    <t>IN2601-98689</t>
  </si>
  <si>
    <t>05/01/2026 14:25</t>
  </si>
  <si>
    <t>SO2601-89389</t>
  </si>
  <si>
    <t>CU2412-01187 -  NGUELE EPSE MATOUKE MARIE PAUL</t>
  </si>
  <si>
    <t>IN2601-98688</t>
  </si>
  <si>
    <t>SO2601-89388</t>
  </si>
  <si>
    <t>DAWAY / 695158420</t>
  </si>
  <si>
    <t>IN2601-98687</t>
  </si>
  <si>
    <t>05/01/2026 14:17</t>
  </si>
  <si>
    <t>SO2601-89387</t>
  </si>
  <si>
    <t>BETOLO ANSELME 674999888</t>
  </si>
  <si>
    <t>IN2601-98686</t>
  </si>
  <si>
    <t>05/01/2026 14:16</t>
  </si>
  <si>
    <t>SO2601-89386</t>
  </si>
  <si>
    <t>IN2601-98685</t>
  </si>
  <si>
    <t>SO2601-89385</t>
  </si>
  <si>
    <t>NDAO HORTENSE 694386004</t>
  </si>
  <si>
    <t>IN2601-98684</t>
  </si>
  <si>
    <t>05/01/2026 14:14</t>
  </si>
  <si>
    <t>SO2601-89384</t>
  </si>
  <si>
    <t>tchouala djiala</t>
  </si>
  <si>
    <t>IN2601-98683</t>
  </si>
  <si>
    <t>05/01/2026 14:20</t>
  </si>
  <si>
    <t>SO2601-89383</t>
  </si>
  <si>
    <t>CU2508-13440 -  SODIPE SARL</t>
  </si>
  <si>
    <t>IN2601-98682</t>
  </si>
  <si>
    <t>05/01/2026 14:27</t>
  </si>
  <si>
    <t>SO2601-89382</t>
  </si>
  <si>
    <t>SAMKAM / 690620479</t>
  </si>
  <si>
    <t>IN2601-98681</t>
  </si>
  <si>
    <t>05/01/2026 14:13</t>
  </si>
  <si>
    <t>SO2601-89381</t>
  </si>
  <si>
    <t>IN2601-98680</t>
  </si>
  <si>
    <t>05/01/2026 14:34</t>
  </si>
  <si>
    <t>SO2601-89380</t>
  </si>
  <si>
    <t>IN2601-98679</t>
  </si>
  <si>
    <t>05/01/2026 14:43</t>
  </si>
  <si>
    <t>SO2601-89379</t>
  </si>
  <si>
    <t>IN2601-98678</t>
  </si>
  <si>
    <t>05/01/2026 14:09</t>
  </si>
  <si>
    <t>SO2601-89378</t>
  </si>
  <si>
    <t>IN2601-98677</t>
  </si>
  <si>
    <t>SO2601-89377</t>
  </si>
  <si>
    <t>IN2601-98676</t>
  </si>
  <si>
    <t>05/01/2026 14:15</t>
  </si>
  <si>
    <t>SO2601-89376</t>
  </si>
  <si>
    <t>IN2601-98675</t>
  </si>
  <si>
    <t>SO2601-89375</t>
  </si>
  <si>
    <t>IN2601-98674</t>
  </si>
  <si>
    <t>05/01/2026 14:05</t>
  </si>
  <si>
    <t>SO2601-89374</t>
  </si>
  <si>
    <t>M TIOFOUE</t>
  </si>
  <si>
    <t>IN2601-98673</t>
  </si>
  <si>
    <t>05/01/2026 14:11</t>
  </si>
  <si>
    <t>SO2601-89373</t>
  </si>
  <si>
    <t>IN2601-98672</t>
  </si>
  <si>
    <t>SO2601-89372</t>
  </si>
  <si>
    <t>BOUNO JEAN / 697 88 44 20</t>
  </si>
  <si>
    <t>IN2601-98671</t>
  </si>
  <si>
    <t>05/01/2026 14:04</t>
  </si>
  <si>
    <t>SO2601-89371</t>
  </si>
  <si>
    <t>IN2601-98670</t>
  </si>
  <si>
    <t>05/01/2026 13:59</t>
  </si>
  <si>
    <t>SO2601-89370</t>
  </si>
  <si>
    <t>IN2601-98669</t>
  </si>
  <si>
    <t>SO2601-89369</t>
  </si>
  <si>
    <t>IN2601-98668</t>
  </si>
  <si>
    <t>05/01/2026 15:46</t>
  </si>
  <si>
    <t>SO2601-89368</t>
  </si>
  <si>
    <t>IN2601-98667</t>
  </si>
  <si>
    <t>05/01/2026 14:01</t>
  </si>
  <si>
    <t>SO2601-89367</t>
  </si>
  <si>
    <t>IN2601-98666</t>
  </si>
  <si>
    <t>05/01/2026 13:57</t>
  </si>
  <si>
    <t>SO2601-89366</t>
  </si>
  <si>
    <t>CU2508-13442 -  NYIYIKOUA NJOYA FLORENTINE</t>
  </si>
  <si>
    <t>IN2601-98665</t>
  </si>
  <si>
    <t>05/01/2026 13:52</t>
  </si>
  <si>
    <t>SO2601-89365</t>
  </si>
  <si>
    <t>IN2601-98664</t>
  </si>
  <si>
    <t>05/01/2026 13:48</t>
  </si>
  <si>
    <t>SO2601-89364</t>
  </si>
  <si>
    <t>IN2601-98663</t>
  </si>
  <si>
    <t>05/01/2026 13:50</t>
  </si>
  <si>
    <t>SO2601-89363</t>
  </si>
  <si>
    <t>IN2601-98662</t>
  </si>
  <si>
    <t>05/01/2026 13:47</t>
  </si>
  <si>
    <t>SO2601-89361</t>
  </si>
  <si>
    <t>GIC ABEL 699560609</t>
  </si>
  <si>
    <t>IN2601-98660</t>
  </si>
  <si>
    <t>05/01/2026 13:41</t>
  </si>
  <si>
    <t>SO2601-89360</t>
  </si>
  <si>
    <t>IN2601-98659</t>
  </si>
  <si>
    <t>05/01/2026 13:44</t>
  </si>
  <si>
    <t>SO2601-89359</t>
  </si>
  <si>
    <t>DEMOU BLAISE 657961799</t>
  </si>
  <si>
    <t>IN2601-98658</t>
  </si>
  <si>
    <t>SO2601-89358</t>
  </si>
  <si>
    <t>Mme OSSEGUE</t>
  </si>
  <si>
    <t>IN2601-98657</t>
  </si>
  <si>
    <t>05/01/2026 13:37</t>
  </si>
  <si>
    <t>SO2601-89357</t>
  </si>
  <si>
    <t>IN2601-98656</t>
  </si>
  <si>
    <t>05/01/2026 13:32</t>
  </si>
  <si>
    <t>SO2601-89356</t>
  </si>
  <si>
    <t>IN2601-98655</t>
  </si>
  <si>
    <t>05/01/2026 13:30</t>
  </si>
  <si>
    <t>SO2601-89355</t>
  </si>
  <si>
    <t>IN2601-98654</t>
  </si>
  <si>
    <t>05/01/2026 13:28</t>
  </si>
  <si>
    <t>SO2601-89354</t>
  </si>
  <si>
    <t>IN2601-98653</t>
  </si>
  <si>
    <t>05/01/2026 13:24</t>
  </si>
  <si>
    <t>SO2601-89353</t>
  </si>
  <si>
    <t>M NDOUMBA</t>
  </si>
  <si>
    <t>IN2601-98652</t>
  </si>
  <si>
    <t>05/01/2026 13:23</t>
  </si>
  <si>
    <t>SO2601-89352</t>
  </si>
  <si>
    <t>IN2601-98651</t>
  </si>
  <si>
    <t>05/01/2026 13:31</t>
  </si>
  <si>
    <t>SO2601-89351</t>
  </si>
  <si>
    <t>TAMBA</t>
  </si>
  <si>
    <t>IN2601-98650</t>
  </si>
  <si>
    <t>SO2601-89350</t>
  </si>
  <si>
    <t>BIDJANG LEOPOLD / 690635729</t>
  </si>
  <si>
    <t>IN2601-98649</t>
  </si>
  <si>
    <t>05/01/2026 13:22</t>
  </si>
  <si>
    <t>SO2601-89349</t>
  </si>
  <si>
    <t>M NDONANA</t>
  </si>
  <si>
    <t>IN2601-98648</t>
  </si>
  <si>
    <t>05/01/2026 13:17</t>
  </si>
  <si>
    <t>SO2601-89348</t>
  </si>
  <si>
    <t>IN2601-98647</t>
  </si>
  <si>
    <t>05/01/2026 13:18</t>
  </si>
  <si>
    <t>SO2601-89347</t>
  </si>
  <si>
    <t>IN2601-98646</t>
  </si>
  <si>
    <t>SO2601-89346</t>
  </si>
  <si>
    <t>BIEKO NDJOMDJEL JERRY RO…</t>
  </si>
  <si>
    <t>IN2601-98645</t>
  </si>
  <si>
    <t>05/01/2026 13:11</t>
  </si>
  <si>
    <t>SO2601-89345</t>
  </si>
  <si>
    <t>IN2601-98644</t>
  </si>
  <si>
    <t>05/01/2026 13:08</t>
  </si>
  <si>
    <t>SO2601-89344</t>
  </si>
  <si>
    <t>IN2601-98643</t>
  </si>
  <si>
    <t>05/01/2026 13:05</t>
  </si>
  <si>
    <t>SO2601-89343</t>
  </si>
  <si>
    <t>M NOMO</t>
  </si>
  <si>
    <t>IN2601-98642</t>
  </si>
  <si>
    <t>05/01/2026 13:06</t>
  </si>
  <si>
    <t>SO2601-89342</t>
  </si>
  <si>
    <t>IN2601-98641</t>
  </si>
  <si>
    <t>SO2601-89341</t>
  </si>
  <si>
    <t>Mme ONDOBO</t>
  </si>
  <si>
    <t>IN2601-98640</t>
  </si>
  <si>
    <t>05/01/2026 13:14</t>
  </si>
  <si>
    <t>SO2601-89340</t>
  </si>
  <si>
    <t>IN2601-98639</t>
  </si>
  <si>
    <t>05/01/2026 12:57</t>
  </si>
  <si>
    <t>SO2601-89339</t>
  </si>
  <si>
    <t>IN2601-98638</t>
  </si>
  <si>
    <t>SO2601-89338</t>
  </si>
  <si>
    <t>INDINGA 670204876</t>
  </si>
  <si>
    <t>IN2601-98637</t>
  </si>
  <si>
    <t>SO2601-89337</t>
  </si>
  <si>
    <t>M FONGANG</t>
  </si>
  <si>
    <t>IN2601-98636</t>
  </si>
  <si>
    <t>SO2601-89336</t>
  </si>
  <si>
    <t>IN2601-98635</t>
  </si>
  <si>
    <t>05/01/2026 12:54</t>
  </si>
  <si>
    <t>SO2601-89335</t>
  </si>
  <si>
    <t>IN2601-98634</t>
  </si>
  <si>
    <t>05/01/2026 13:02</t>
  </si>
  <si>
    <t>SO2601-89334</t>
  </si>
  <si>
    <t>NGUIMFACK MARIE M 674347300</t>
  </si>
  <si>
    <t>IN2601-98633</t>
  </si>
  <si>
    <t>05/01/2026 12:49</t>
  </si>
  <si>
    <t>SO2601-89333</t>
  </si>
  <si>
    <t>CU2407-00665 -  KAMANG FONGUE R</t>
  </si>
  <si>
    <t>IN2601-98632</t>
  </si>
  <si>
    <t>05/01/2026 12:50</t>
  </si>
  <si>
    <t>SO2601-89332</t>
  </si>
  <si>
    <t>IN2601-98631</t>
  </si>
  <si>
    <t>SO2601-89331</t>
  </si>
  <si>
    <t>TILONG 699529148</t>
  </si>
  <si>
    <t>IN2601-98630</t>
  </si>
  <si>
    <t>05/01/2026 12:46</t>
  </si>
  <si>
    <t>SO2601-89330</t>
  </si>
  <si>
    <t>IN2601-98629</t>
  </si>
  <si>
    <t>SO2601-89329</t>
  </si>
  <si>
    <t>demfeli</t>
  </si>
  <si>
    <t>IN2601-98628</t>
  </si>
  <si>
    <t>05/01/2026 12:41</t>
  </si>
  <si>
    <t>SO2601-89328</t>
  </si>
  <si>
    <t>IN2601-98627</t>
  </si>
  <si>
    <t>05/01/2026 12:39</t>
  </si>
  <si>
    <t>SO2601-89327</t>
  </si>
  <si>
    <t>IN2601-98626</t>
  </si>
  <si>
    <t>05/01/2026 15:44</t>
  </si>
  <si>
    <t>SO2601-89326</t>
  </si>
  <si>
    <t>IN2601-98625</t>
  </si>
  <si>
    <t>SO2601-89325</t>
  </si>
  <si>
    <t>IN2601-98624</t>
  </si>
  <si>
    <t>05/01/2026 12:37</t>
  </si>
  <si>
    <t>SO2601-89324</t>
  </si>
  <si>
    <t>BAKAM</t>
  </si>
  <si>
    <t>IN2601-98623</t>
  </si>
  <si>
    <t>05/01/2026 12:32</t>
  </si>
  <si>
    <t>SO2601-89323</t>
  </si>
  <si>
    <t>IN2601-98622</t>
  </si>
  <si>
    <t>SO2601-89322</t>
  </si>
  <si>
    <t>IN2601-98621</t>
  </si>
  <si>
    <t>05/01/2026 12:38</t>
  </si>
  <si>
    <t>SO2601-89321</t>
  </si>
  <si>
    <t>NEMBA 691377585</t>
  </si>
  <si>
    <t>IN2601-98620</t>
  </si>
  <si>
    <t>05/01/2026 12:34</t>
  </si>
  <si>
    <t>SO2601-89320</t>
  </si>
  <si>
    <t>IN2601-98619</t>
  </si>
  <si>
    <t>05/01/2026 12:33</t>
  </si>
  <si>
    <t>SO2601-89319</t>
  </si>
  <si>
    <t>IN2601-98618</t>
  </si>
  <si>
    <t>05/01/2026 12:28</t>
  </si>
  <si>
    <t>SO2601-89318</t>
  </si>
  <si>
    <t>IN2601-98617</t>
  </si>
  <si>
    <t>05/01/2026 12:26</t>
  </si>
  <si>
    <t>SO2601-89317</t>
  </si>
  <si>
    <t>IN2601-98616</t>
  </si>
  <si>
    <t>05/01/2026 12:25</t>
  </si>
  <si>
    <t>SO2601-89316</t>
  </si>
  <si>
    <t>IN2601-98615</t>
  </si>
  <si>
    <t>05/01/2026 12:19</t>
  </si>
  <si>
    <t>SO2601-89315</t>
  </si>
  <si>
    <t>IN2601-98614</t>
  </si>
  <si>
    <t>05/01/2026 12:24</t>
  </si>
  <si>
    <t>SO2601-89314</t>
  </si>
  <si>
    <t>M NGUESSI</t>
  </si>
  <si>
    <t>IN2601-98613</t>
  </si>
  <si>
    <t>05/01/2026 12:22</t>
  </si>
  <si>
    <t>SO2601-89313</t>
  </si>
  <si>
    <t>IN2601-98612</t>
  </si>
  <si>
    <t>SO2601-89312</t>
  </si>
  <si>
    <t>djouleko arsene</t>
  </si>
  <si>
    <t>CU2407-00898 -  KJD SARL</t>
  </si>
  <si>
    <t>IN2601-98611</t>
  </si>
  <si>
    <t>05/01/2026 12:18</t>
  </si>
  <si>
    <t>SO2601-89311</t>
  </si>
  <si>
    <t>IN2601-98610</t>
  </si>
  <si>
    <t>05/01/2026 12:17</t>
  </si>
  <si>
    <t>SO2601-89310</t>
  </si>
  <si>
    <t>IN2601-98609</t>
  </si>
  <si>
    <t>05/01/2026 12:16</t>
  </si>
  <si>
    <t>SO2601-89309</t>
  </si>
  <si>
    <t>SOAP</t>
  </si>
  <si>
    <t>CU2407-00172 -  ONG CARESCA</t>
  </si>
  <si>
    <t>IN2601-98608</t>
  </si>
  <si>
    <t>SO2601-89308</t>
  </si>
  <si>
    <t>MME NANFACK BLANDINE 678841116</t>
  </si>
  <si>
    <t>IN2601-98607</t>
  </si>
  <si>
    <t>SO2601-89307</t>
  </si>
  <si>
    <t>IN2601-98606</t>
  </si>
  <si>
    <t>05/01/2026 12:13</t>
  </si>
  <si>
    <t>SO2601-89306</t>
  </si>
  <si>
    <t>MEKIE</t>
  </si>
  <si>
    <t>IN2601-98605</t>
  </si>
  <si>
    <t>05/01/2026 12:15</t>
  </si>
  <si>
    <t>SO2601-89305</t>
  </si>
  <si>
    <t>IN2601-98604</t>
  </si>
  <si>
    <t>05/01/2026 13:00</t>
  </si>
  <si>
    <t>SO2601-89304</t>
  </si>
  <si>
    <t>IN2601-98603</t>
  </si>
  <si>
    <t>05/01/2026 12:12</t>
  </si>
  <si>
    <t>SO2601-89303</t>
  </si>
  <si>
    <t>IN2601-98602</t>
  </si>
  <si>
    <t>05/01/2026 12:11</t>
  </si>
  <si>
    <t>SO2601-89302</t>
  </si>
  <si>
    <t>CU2409-01105 -  FERME MYRANO (ELETANA AYINDA RENE)</t>
  </si>
  <si>
    <t>IN2601-98601</t>
  </si>
  <si>
    <t>CU2409-01105 -  FERME MYRANO</t>
  </si>
  <si>
    <t>ELETANA AYINDA RENE</t>
  </si>
  <si>
    <t>05/01/2026 12:10</t>
  </si>
  <si>
    <t>SO2601-89301</t>
  </si>
  <si>
    <t>IN2601-98600</t>
  </si>
  <si>
    <t>05/01/2026 12:14</t>
  </si>
  <si>
    <t>SO2601-89300</t>
  </si>
  <si>
    <t>IN2601-98599</t>
  </si>
  <si>
    <t>SO2601-89299</t>
  </si>
  <si>
    <t>M DONGMO TESSE 691624271</t>
  </si>
  <si>
    <t>IN2601-98598</t>
  </si>
  <si>
    <t>SO2601-89298</t>
  </si>
  <si>
    <t>IN2601-98597</t>
  </si>
  <si>
    <t>05/01/2026 12:09</t>
  </si>
  <si>
    <t>SO2601-89297</t>
  </si>
  <si>
    <t>CU2508-13489 -  DONGMO TESSE GERBEAU</t>
  </si>
  <si>
    <t>IN2601-98596</t>
  </si>
  <si>
    <t>SO2601-89296</t>
  </si>
  <si>
    <t>MBE JEAN PAUL / 653 11 49 50</t>
  </si>
  <si>
    <t>IN2601-98595</t>
  </si>
  <si>
    <t>SO2601-89295</t>
  </si>
  <si>
    <t>IN2601-98594</t>
  </si>
  <si>
    <t>SO2601-89293</t>
  </si>
  <si>
    <t>IN2601-98592</t>
  </si>
  <si>
    <t>05/01/2026 11:57</t>
  </si>
  <si>
    <t>SO2601-89292</t>
  </si>
  <si>
    <t>IN2601-98591</t>
  </si>
  <si>
    <t>SO2601-89290</t>
  </si>
  <si>
    <t>IN2601-98589</t>
  </si>
  <si>
    <t>05/01/2026 11:46</t>
  </si>
  <si>
    <t>SO2601-89289</t>
  </si>
  <si>
    <t>IN2601-98588</t>
  </si>
  <si>
    <t>05/01/2026 11:45</t>
  </si>
  <si>
    <t>SO2601-89288</t>
  </si>
  <si>
    <t>IN2601-98587</t>
  </si>
  <si>
    <t>SO2601-89287</t>
  </si>
  <si>
    <t>IN2601-98586</t>
  </si>
  <si>
    <t>05/01/2026 11:26</t>
  </si>
  <si>
    <t>SO2601-89286</t>
  </si>
  <si>
    <t>YEPMO PROSPAIR</t>
  </si>
  <si>
    <t>IN2601-98585</t>
  </si>
  <si>
    <t>05/01/2026 11:29</t>
  </si>
  <si>
    <t>SO2601-89285</t>
  </si>
  <si>
    <t>IN2601-98584</t>
  </si>
  <si>
    <t>05/01/2026 11:23</t>
  </si>
  <si>
    <t>SO2601-89284</t>
  </si>
  <si>
    <t>IN2601-98583</t>
  </si>
  <si>
    <t>SO2601-89283</t>
  </si>
  <si>
    <t>IN2601-98582</t>
  </si>
  <si>
    <t>05/01/2026 11:22</t>
  </si>
  <si>
    <t>SO2601-89282</t>
  </si>
  <si>
    <t>2TTSW 680898921</t>
  </si>
  <si>
    <t>IN2601-98581</t>
  </si>
  <si>
    <t>05/01/2026 11:25</t>
  </si>
  <si>
    <t>SO2601-89281</t>
  </si>
  <si>
    <t>IN2601-98580</t>
  </si>
  <si>
    <t>05/01/2026 11:17</t>
  </si>
  <si>
    <t>SO2601-89280</t>
  </si>
  <si>
    <t>IN2601-98579</t>
  </si>
  <si>
    <t>05/01/2026 11:33</t>
  </si>
  <si>
    <t>SO2601-89279</t>
  </si>
  <si>
    <t>IN2601-98578</t>
  </si>
  <si>
    <t>05/01/2026 11:16</t>
  </si>
  <si>
    <t>SO2601-89278</t>
  </si>
  <si>
    <t>IN2601-98577</t>
  </si>
  <si>
    <t>SO2601-89277</t>
  </si>
  <si>
    <t>KING JAMES 695411121</t>
  </si>
  <si>
    <t>IN2601-98576</t>
  </si>
  <si>
    <t>05/01/2026 11:14</t>
  </si>
  <si>
    <t>SO2601-89276</t>
  </si>
  <si>
    <t>tapifo</t>
  </si>
  <si>
    <t>IN2601-98575</t>
  </si>
  <si>
    <t>05/01/2026 11:13</t>
  </si>
  <si>
    <t>SO2601-89275</t>
  </si>
  <si>
    <t>NGASSAM GERARD CABRELLE 658129522</t>
  </si>
  <si>
    <t>IN2601-98574</t>
  </si>
  <si>
    <t>05/01/2026 11:11</t>
  </si>
  <si>
    <t>SO2601-89274</t>
  </si>
  <si>
    <t>IN2601-98573</t>
  </si>
  <si>
    <t>05/01/2026 11:10</t>
  </si>
  <si>
    <t>SO2601-89273</t>
  </si>
  <si>
    <t>IN2601-98572</t>
  </si>
  <si>
    <t>05/01/2026 11:28</t>
  </si>
  <si>
    <t>SO2601-89272</t>
  </si>
  <si>
    <t>TCHAFACK LUCIEN 654177445</t>
  </si>
  <si>
    <t>IN2601-98571</t>
  </si>
  <si>
    <t>SO2601-89271</t>
  </si>
  <si>
    <t>MENGUE ALEXIS 696062239</t>
  </si>
  <si>
    <t>IN2601-98570</t>
  </si>
  <si>
    <t>05/01/2026 11:08</t>
  </si>
  <si>
    <t>SO2601-89270</t>
  </si>
  <si>
    <t>YEMDJE</t>
  </si>
  <si>
    <t>IN2601-98569</t>
  </si>
  <si>
    <t>05/01/2026 11:07</t>
  </si>
  <si>
    <t>SO2601-89269</t>
  </si>
  <si>
    <t>IN2601-98568</t>
  </si>
  <si>
    <t>05/01/2026 11:20</t>
  </si>
  <si>
    <t>SO2601-89268</t>
  </si>
  <si>
    <t>IN2601-98567</t>
  </si>
  <si>
    <t>SO2601-89267</t>
  </si>
  <si>
    <t>IN2601-98566</t>
  </si>
  <si>
    <t>SO2601-89266</t>
  </si>
  <si>
    <t>GUIFFO 677072790</t>
  </si>
  <si>
    <t>IN2601-98565</t>
  </si>
  <si>
    <t>05/01/2026 10:59</t>
  </si>
  <si>
    <t>SO2601-89265</t>
  </si>
  <si>
    <t>IN2601-98564</t>
  </si>
  <si>
    <t>05/01/2026 11:00</t>
  </si>
  <si>
    <t>SO2601-89264</t>
  </si>
  <si>
    <t>nadeb's farms</t>
  </si>
  <si>
    <t>IN2601-98563</t>
  </si>
  <si>
    <t>05/01/2026 11:01</t>
  </si>
  <si>
    <t>SO2601-89263</t>
  </si>
  <si>
    <t>IN2601-98562</t>
  </si>
  <si>
    <t>SO2601-89262</t>
  </si>
  <si>
    <t>IN2601-98561</t>
  </si>
  <si>
    <t>05/01/2026 10:53</t>
  </si>
  <si>
    <t>SO2601-89261</t>
  </si>
  <si>
    <t>IN2601-98560</t>
  </si>
  <si>
    <t>SO2601-89260</t>
  </si>
  <si>
    <t>IN2601-98559</t>
  </si>
  <si>
    <t>05/01/2026 10:52</t>
  </si>
  <si>
    <t>SO2601-89259</t>
  </si>
  <si>
    <t>IN2601-98558</t>
  </si>
  <si>
    <t>SO2601-89258</t>
  </si>
  <si>
    <t>IN2601-98557</t>
  </si>
  <si>
    <t>05/01/2026 10:50</t>
  </si>
  <si>
    <t>SO2601-89257</t>
  </si>
  <si>
    <t>Ghislain watsop 677079496</t>
  </si>
  <si>
    <t>IN2601-98556</t>
  </si>
  <si>
    <t>05/01/2026 10:56</t>
  </si>
  <si>
    <t>SO2601-89256</t>
  </si>
  <si>
    <t>CU2407-00274 -  FAI NEANG</t>
  </si>
  <si>
    <t>IN2601-98555</t>
  </si>
  <si>
    <t>SO2601-89255</t>
  </si>
  <si>
    <t>IN2601-98554</t>
  </si>
  <si>
    <t>SO2601-89254</t>
  </si>
  <si>
    <t>M.TCHANA DESIRE 696225305</t>
  </si>
  <si>
    <t>IN2601-98553</t>
  </si>
  <si>
    <t>05/01/2026 10:43</t>
  </si>
  <si>
    <t>SO2601-89253</t>
  </si>
  <si>
    <t>NDIOM RAPHAEL 697181022</t>
  </si>
  <si>
    <t>IN2601-98552</t>
  </si>
  <si>
    <t>05/01/2026 10:42</t>
  </si>
  <si>
    <t>SO2601-89252</t>
  </si>
  <si>
    <t>KEMGANG JEAN PAUL 690557557</t>
  </si>
  <si>
    <t>IN2601-98551</t>
  </si>
  <si>
    <t>05/01/2026 11:54</t>
  </si>
  <si>
    <t>SO2601-89251</t>
  </si>
  <si>
    <t>doumtio</t>
  </si>
  <si>
    <t>IN2601-98550</t>
  </si>
  <si>
    <t>05/01/2026 10:36</t>
  </si>
  <si>
    <t>SO2601-89250</t>
  </si>
  <si>
    <t>IN2601-98549</t>
  </si>
  <si>
    <t>05/01/2026 10:35</t>
  </si>
  <si>
    <t>SO2601-89249</t>
  </si>
  <si>
    <t>IN2601-98548</t>
  </si>
  <si>
    <t>05/01/2026 10:37</t>
  </si>
  <si>
    <t>SO2601-89248</t>
  </si>
  <si>
    <t>IN2601-98547</t>
  </si>
  <si>
    <t>05/01/2026 10:55</t>
  </si>
  <si>
    <t>SO2601-89247</t>
  </si>
  <si>
    <t>IN2601-98546</t>
  </si>
  <si>
    <t>05/01/2026 10:33</t>
  </si>
  <si>
    <t>SO2601-89246</t>
  </si>
  <si>
    <t>IN2601-98545</t>
  </si>
  <si>
    <t>05/01/2026 10:34</t>
  </si>
  <si>
    <t>SO2601-89245</t>
  </si>
  <si>
    <t>IN2601-98544</t>
  </si>
  <si>
    <t>SO2601-89244</t>
  </si>
  <si>
    <t>IN2601-98543</t>
  </si>
  <si>
    <t>SO2601-89243</t>
  </si>
  <si>
    <t>NDENGUE MESSI 681256646</t>
  </si>
  <si>
    <t>IN2601-98542</t>
  </si>
  <si>
    <t>05/01/2026 10:27</t>
  </si>
  <si>
    <t>SO2601-89242</t>
  </si>
  <si>
    <t>IN2601-98541</t>
  </si>
  <si>
    <t>05/01/2026 10:31</t>
  </si>
  <si>
    <t>SO2601-89241</t>
  </si>
  <si>
    <t>IN2601-98540</t>
  </si>
  <si>
    <t>05/01/2026 10:30</t>
  </si>
  <si>
    <t>SO2601-89240</t>
  </si>
  <si>
    <t>SYLVAIN</t>
  </si>
  <si>
    <t>IN2601-98539</t>
  </si>
  <si>
    <t>05/01/2026 10:28</t>
  </si>
  <si>
    <t>SO2601-89239</t>
  </si>
  <si>
    <t>HILAIRE</t>
  </si>
  <si>
    <t>IN2601-98538</t>
  </si>
  <si>
    <t>05/01/2026 10:24</t>
  </si>
  <si>
    <t>SO2601-89238</t>
  </si>
  <si>
    <t>NANSEU DARIUS</t>
  </si>
  <si>
    <t>IN2601-98537</t>
  </si>
  <si>
    <t>05/01/2026 10:21</t>
  </si>
  <si>
    <t>SO2601-89237</t>
  </si>
  <si>
    <t>IN2601-98536</t>
  </si>
  <si>
    <t>05/01/2026 10:19</t>
  </si>
  <si>
    <t>SO2601-89236</t>
  </si>
  <si>
    <t>MAPEH</t>
  </si>
  <si>
    <t>IN2601-98535</t>
  </si>
  <si>
    <t>05/01/2026 10:17</t>
  </si>
  <si>
    <t>SO2601-89235</t>
  </si>
  <si>
    <t>SOUDI 696035397</t>
  </si>
  <si>
    <t>IN2601-98534</t>
  </si>
  <si>
    <t>SO2601-89234</t>
  </si>
  <si>
    <t>IN2601-98533</t>
  </si>
  <si>
    <t>SO2601-89233</t>
  </si>
  <si>
    <t>IN2601-98532</t>
  </si>
  <si>
    <t>05/01/2026 10:13</t>
  </si>
  <si>
    <t>SO2601-89232</t>
  </si>
  <si>
    <t>IN2601-98531</t>
  </si>
  <si>
    <t>05/01/2026 10:10</t>
  </si>
  <si>
    <t>SO2601-89231</t>
  </si>
  <si>
    <t>IN2601-98530</t>
  </si>
  <si>
    <t>05/01/2026 10:14</t>
  </si>
  <si>
    <t>SO2601-89230</t>
  </si>
  <si>
    <t>IN2601-98529</t>
  </si>
  <si>
    <t>05/01/2026 10:11</t>
  </si>
  <si>
    <t>SO2601-89229</t>
  </si>
  <si>
    <t>CLEFORT 672783537</t>
  </si>
  <si>
    <t>IN2601-98528</t>
  </si>
  <si>
    <t>05/01/2026 10:08</t>
  </si>
  <si>
    <t>SO2601-89228</t>
  </si>
  <si>
    <t>IN2601-98527</t>
  </si>
  <si>
    <t>05/01/2026 09:56</t>
  </si>
  <si>
    <t>SO2601-89227</t>
  </si>
  <si>
    <t>IN2601-98526</t>
  </si>
  <si>
    <t>05/01/2026 09:59</t>
  </si>
  <si>
    <t>SO2601-89226</t>
  </si>
  <si>
    <t>KUETCHE MUKAM ARMAND AIME (ZDCL00135)</t>
  </si>
  <si>
    <t>IN2601-98525</t>
  </si>
  <si>
    <t>KUETCHE MUKAM ARMAND AIME</t>
  </si>
  <si>
    <t>ZDCL00135</t>
  </si>
  <si>
    <t>SO2601-89225</t>
  </si>
  <si>
    <t>M TUSSIE IVAN 654345918</t>
  </si>
  <si>
    <t>IN2601-98524</t>
  </si>
  <si>
    <t>05/01/2026 09:54</t>
  </si>
  <si>
    <t>SO2601-89224</t>
  </si>
  <si>
    <t>LEGOUE</t>
  </si>
  <si>
    <t>IN2601-98523</t>
  </si>
  <si>
    <t>05/01/2026 09:57</t>
  </si>
  <si>
    <t>SO2601-89223</t>
  </si>
  <si>
    <t>IN2601-98522</t>
  </si>
  <si>
    <t>05/01/2026 09:53</t>
  </si>
  <si>
    <t>SO2601-89222</t>
  </si>
  <si>
    <t>IN2601-98521</t>
  </si>
  <si>
    <t>05/01/2026 09:48</t>
  </si>
  <si>
    <t>SO2601-89221</t>
  </si>
  <si>
    <t>IN2601-98520</t>
  </si>
  <si>
    <t>05/01/2026 09:49</t>
  </si>
  <si>
    <t>SO2601-89220</t>
  </si>
  <si>
    <t>IN2601-98519</t>
  </si>
  <si>
    <t>05/01/2026 09:50</t>
  </si>
  <si>
    <t>SO2601-89219</t>
  </si>
  <si>
    <t>IN2601-98518</t>
  </si>
  <si>
    <t>SO2601-89218</t>
  </si>
  <si>
    <t>IN2601-98517</t>
  </si>
  <si>
    <t>SO2601-89217</t>
  </si>
  <si>
    <t>IN2601-98516</t>
  </si>
  <si>
    <t>05/01/2026 09:52</t>
  </si>
  <si>
    <t>SO2601-89216</t>
  </si>
  <si>
    <t>IN2601-98515</t>
  </si>
  <si>
    <t>SO2601-89215</t>
  </si>
  <si>
    <t>YEMELI MEGA CHARLENE676299684</t>
  </si>
  <si>
    <t>IN2601-98514</t>
  </si>
  <si>
    <t>05/01/2026 09:47</t>
  </si>
  <si>
    <t>SO2601-89214</t>
  </si>
  <si>
    <t>K-FARM 656513118</t>
  </si>
  <si>
    <t>IN2601-98513</t>
  </si>
  <si>
    <t>05/01/2026 09:41</t>
  </si>
  <si>
    <t>SO2601-89213</t>
  </si>
  <si>
    <t>KAMOGNE MARIE 679760973</t>
  </si>
  <si>
    <t>IN2601-98512</t>
  </si>
  <si>
    <t>05/01/2026 09:45</t>
  </si>
  <si>
    <t>SO2601-89212</t>
  </si>
  <si>
    <t>IN2601-98511</t>
  </si>
  <si>
    <t>05/01/2026 09:44</t>
  </si>
  <si>
    <t>SO2601-89211</t>
  </si>
  <si>
    <t>IN2601-98510</t>
  </si>
  <si>
    <t>05/01/2026 09:42</t>
  </si>
  <si>
    <t>SO2601-89210</t>
  </si>
  <si>
    <t>NEBA 677835911</t>
  </si>
  <si>
    <t>IN2601-98509</t>
  </si>
  <si>
    <t>05/01/2026 09:36</t>
  </si>
  <si>
    <t>SO2601-89209</t>
  </si>
  <si>
    <t>SOUME DANIELLE 658721156</t>
  </si>
  <si>
    <t>IN2601-98508</t>
  </si>
  <si>
    <t>05/01/2026 09:38</t>
  </si>
  <si>
    <t>SO2601-89208</t>
  </si>
  <si>
    <t>IN2601-98507</t>
  </si>
  <si>
    <t>SO2601-89207</t>
  </si>
  <si>
    <t>IN2601-98506</t>
  </si>
  <si>
    <t>05/01/2026 09:37</t>
  </si>
  <si>
    <t>SO2601-89206</t>
  </si>
  <si>
    <t>IN2601-98505</t>
  </si>
  <si>
    <t>05/01/2026 09:32</t>
  </si>
  <si>
    <t>SO2601-89205</t>
  </si>
  <si>
    <t>CU2508-13603 -  TIOMO JOSEPH FIRMIN</t>
  </si>
  <si>
    <t>IN2601-98504</t>
  </si>
  <si>
    <t>05/01/2026 09:31</t>
  </si>
  <si>
    <t>SO2601-89204</t>
  </si>
  <si>
    <t>KUINTA 675590256</t>
  </si>
  <si>
    <t>IN2601-98503</t>
  </si>
  <si>
    <t>05/01/2026 09:29</t>
  </si>
  <si>
    <t>SO2601-89203</t>
  </si>
  <si>
    <t>IN2601-98502</t>
  </si>
  <si>
    <t>SO2601-89202</t>
  </si>
  <si>
    <t>IN2601-98501</t>
  </si>
  <si>
    <t>05/01/2026 09:26</t>
  </si>
  <si>
    <t>SO2601-89201</t>
  </si>
  <si>
    <t>IN2601-98500</t>
  </si>
  <si>
    <t>05/01/2026 09:25</t>
  </si>
  <si>
    <t>SO2601-89200</t>
  </si>
  <si>
    <t>IN2601-98499</t>
  </si>
  <si>
    <t>05/01/2026 09:22</t>
  </si>
  <si>
    <t>SO2601-89199</t>
  </si>
  <si>
    <t>IN2601-98498</t>
  </si>
  <si>
    <t>05/01/2026 09:33</t>
  </si>
  <si>
    <t>SO2601-89198</t>
  </si>
  <si>
    <t>IN2601-98497</t>
  </si>
  <si>
    <t>05/01/2026 09:23</t>
  </si>
  <si>
    <t>SO2601-89197</t>
  </si>
  <si>
    <t>INES</t>
  </si>
  <si>
    <t>IN2601-98496</t>
  </si>
  <si>
    <t>SO2601-89196</t>
  </si>
  <si>
    <t>IN2601-98495</t>
  </si>
  <si>
    <t>SO2601-89195</t>
  </si>
  <si>
    <t>IN2601-98494</t>
  </si>
  <si>
    <t>05/01/2026 09:20</t>
  </si>
  <si>
    <t>SO2601-89194</t>
  </si>
  <si>
    <t>MERIELLE</t>
  </si>
  <si>
    <t>IN2601-98493</t>
  </si>
  <si>
    <t>05/01/2026 09:17</t>
  </si>
  <si>
    <t>SO2601-89193</t>
  </si>
  <si>
    <t>IN2601-98492</t>
  </si>
  <si>
    <t>05/01/2026 09:16</t>
  </si>
  <si>
    <t>SO2601-89192</t>
  </si>
  <si>
    <t>pascal</t>
  </si>
  <si>
    <t>IN2601-98491</t>
  </si>
  <si>
    <t>SO2601-89191</t>
  </si>
  <si>
    <t>IN2601-98490</t>
  </si>
  <si>
    <t>05/01/2026 09:13</t>
  </si>
  <si>
    <t>SO2601-89190</t>
  </si>
  <si>
    <t>IN2601-98489</t>
  </si>
  <si>
    <t>05/01/2026 09:12</t>
  </si>
  <si>
    <t>SO2601-89189</t>
  </si>
  <si>
    <t>IN2601-98488</t>
  </si>
  <si>
    <t>05/01/2026 09:10</t>
  </si>
  <si>
    <t>SO2601-89188</t>
  </si>
  <si>
    <t>YOUBISSI</t>
  </si>
  <si>
    <t>IN2601-98487</t>
  </si>
  <si>
    <t>05/01/2026 09:05</t>
  </si>
  <si>
    <t>SO2601-89187</t>
  </si>
  <si>
    <t>HONORE 650837727</t>
  </si>
  <si>
    <t>IN2601-98486</t>
  </si>
  <si>
    <t>05/01/2026 09:07</t>
  </si>
  <si>
    <t>SO2601-89186</t>
  </si>
  <si>
    <t>TANKOUA</t>
  </si>
  <si>
    <t>IN2601-98485</t>
  </si>
  <si>
    <t>05/01/2026 09:03</t>
  </si>
  <si>
    <t>SO2601-89185</t>
  </si>
  <si>
    <t>IN2601-98484</t>
  </si>
  <si>
    <t>05/01/2026 09:28</t>
  </si>
  <si>
    <t>SO2601-89184</t>
  </si>
  <si>
    <t>CU2407-00365 -  PROV CROISSANCE</t>
  </si>
  <si>
    <t>IN2601-98483</t>
  </si>
  <si>
    <t>SO2601-89183</t>
  </si>
  <si>
    <t>IN2601-98482</t>
  </si>
  <si>
    <t>05/01/2026 09:11</t>
  </si>
  <si>
    <t>SO2601-89182</t>
  </si>
  <si>
    <t>IN2601-98481</t>
  </si>
  <si>
    <t>05/01/2026 09:02</t>
  </si>
  <si>
    <t>SO2601-89181</t>
  </si>
  <si>
    <t>IN2601-98480</t>
  </si>
  <si>
    <t>05/01/2026 08:56</t>
  </si>
  <si>
    <t>SO2601-89180</t>
  </si>
  <si>
    <t>IN2601-98479</t>
  </si>
  <si>
    <t>05/01/2026 08:49</t>
  </si>
  <si>
    <t>SO2601-89179</t>
  </si>
  <si>
    <t>IN2601-98478</t>
  </si>
  <si>
    <t>05/01/2026 08:55</t>
  </si>
  <si>
    <t>SO2601-89178</t>
  </si>
  <si>
    <t>IN2601-98477</t>
  </si>
  <si>
    <t>05/01/2026 08:50</t>
  </si>
  <si>
    <t>SO2601-89177</t>
  </si>
  <si>
    <t>IN2601-98476</t>
  </si>
  <si>
    <t>SO2601-89176</t>
  </si>
  <si>
    <t>DZUKO</t>
  </si>
  <si>
    <t>IN2601-98475</t>
  </si>
  <si>
    <t>05/01/2026 08:46</t>
  </si>
  <si>
    <t>SO2601-89175</t>
  </si>
  <si>
    <t>IN2601-98474</t>
  </si>
  <si>
    <t>05/01/2026 08:52</t>
  </si>
  <si>
    <t>SO2601-89174</t>
  </si>
  <si>
    <t>KEMN</t>
  </si>
  <si>
    <t>IN2601-98473</t>
  </si>
  <si>
    <t>05/01/2026 08:41</t>
  </si>
  <si>
    <t>SO2601-89173</t>
  </si>
  <si>
    <t>IN2601-98472</t>
  </si>
  <si>
    <t>05/01/2026 08:53</t>
  </si>
  <si>
    <t>SO2601-89172</t>
  </si>
  <si>
    <t>IN2601-98471</t>
  </si>
  <si>
    <t>05/01/2026 08:36</t>
  </si>
  <si>
    <t>SO2601-89171</t>
  </si>
  <si>
    <t>tuono</t>
  </si>
  <si>
    <t>IN2601-98470</t>
  </si>
  <si>
    <t>05/01/2026 08:30</t>
  </si>
  <si>
    <t>SO2601-89170</t>
  </si>
  <si>
    <t>IN2601-98469</t>
  </si>
  <si>
    <t>05/01/2026 08:29</t>
  </si>
  <si>
    <t>SO2601-89169</t>
  </si>
  <si>
    <t>IN2601-98468</t>
  </si>
  <si>
    <t>05/01/2026 08:45</t>
  </si>
  <si>
    <t>SO2601-89168</t>
  </si>
  <si>
    <t>IN2601-98467</t>
  </si>
  <si>
    <t>05/01/2026 08:23</t>
  </si>
  <si>
    <t>SO2601-89167</t>
  </si>
  <si>
    <t>IN2601-98466</t>
  </si>
  <si>
    <t>05/01/2026 08:28</t>
  </si>
  <si>
    <t>SO2601-89166</t>
  </si>
  <si>
    <t>IN2601-98465</t>
  </si>
  <si>
    <t>05/01/2026 08:21</t>
  </si>
  <si>
    <t>SO2601-89165</t>
  </si>
  <si>
    <t>Djegue Stéphanie</t>
  </si>
  <si>
    <t>IN2601-98464</t>
  </si>
  <si>
    <t>SO2601-89164</t>
  </si>
  <si>
    <t>IN2601-98463</t>
  </si>
  <si>
    <t>05/01/2026 08:14</t>
  </si>
  <si>
    <t>SO2601-89163</t>
  </si>
  <si>
    <t>GAETAN</t>
  </si>
  <si>
    <t>IN2601-98462</t>
  </si>
  <si>
    <t>05/01/2026 08:17</t>
  </si>
  <si>
    <t>SO2601-89162</t>
  </si>
  <si>
    <t>TAMGOU KAGJE DANIEL 698784013</t>
  </si>
  <si>
    <t>IN2601-98461</t>
  </si>
  <si>
    <t>SO2601-89161</t>
  </si>
  <si>
    <t>IN2601-98460</t>
  </si>
  <si>
    <t>05/01/2026 08:12</t>
  </si>
  <si>
    <t>SO2601-89160</t>
  </si>
  <si>
    <t>BILA ELVIS 673826643</t>
  </si>
  <si>
    <t>IN2601-98459</t>
  </si>
  <si>
    <t>05/01/2026 08:13</t>
  </si>
  <si>
    <t>SO2601-89159</t>
  </si>
  <si>
    <t>DJOUKOUO ADELE 675279530</t>
  </si>
  <si>
    <t>IN2601-98458</t>
  </si>
  <si>
    <t>SO2601-89158</t>
  </si>
  <si>
    <t>IN2601-98457</t>
  </si>
  <si>
    <t>05/01/2026 08:03</t>
  </si>
  <si>
    <t>SO2601-89157</t>
  </si>
  <si>
    <t>MICHEL 670850222</t>
  </si>
  <si>
    <t>IN2601-98456</t>
  </si>
  <si>
    <t>05/01/2026 08:11</t>
  </si>
  <si>
    <t>SO2601-89156</t>
  </si>
  <si>
    <t>IN2601-98455</t>
  </si>
  <si>
    <t>05/01/2026 08:05</t>
  </si>
  <si>
    <t>SO2601-89155</t>
  </si>
  <si>
    <t>IN2601-98454</t>
  </si>
  <si>
    <t>05/01/2026 08:04</t>
  </si>
  <si>
    <t>SO2601-89154</t>
  </si>
  <si>
    <t>IN2601-98453</t>
  </si>
  <si>
    <t>05/01/2026 07:54</t>
  </si>
  <si>
    <t>SO2601-89153</t>
  </si>
  <si>
    <t>IN2601-98452</t>
  </si>
  <si>
    <t>05/01/2026 07:52</t>
  </si>
  <si>
    <t>SO2601-89152</t>
  </si>
  <si>
    <t>IN2601-98451</t>
  </si>
  <si>
    <t>05/01/2026 07:55</t>
  </si>
  <si>
    <t>SO2601-89151</t>
  </si>
  <si>
    <t>IN2601-98450</t>
  </si>
  <si>
    <t>05/01/2026 07:42</t>
  </si>
  <si>
    <t>SO2601-89150</t>
  </si>
  <si>
    <t>03/01/2026</t>
  </si>
  <si>
    <t>03/01/2026 00:00</t>
  </si>
  <si>
    <t>IN2601-98449</t>
  </si>
  <si>
    <t>03/01/2026 15:08</t>
  </si>
  <si>
    <t>SO2601-89149</t>
  </si>
  <si>
    <t>IN2601-98448</t>
  </si>
  <si>
    <t>03/01/2026 14:52</t>
  </si>
  <si>
    <t>SO2601-89148</t>
  </si>
  <si>
    <t>IN2601-98447</t>
  </si>
  <si>
    <t>03/01/2026 14:31</t>
  </si>
  <si>
    <t>SO2601-89147</t>
  </si>
  <si>
    <t>IN2601-98446</t>
  </si>
  <si>
    <t>03/01/2026 14:36</t>
  </si>
  <si>
    <t>SO2601-89146</t>
  </si>
  <si>
    <t>IN2601-98445</t>
  </si>
  <si>
    <t>06/01/2026 12:57</t>
  </si>
  <si>
    <t>SO2601-89145</t>
  </si>
  <si>
    <t>CARINE 654871053</t>
  </si>
  <si>
    <t>IN2601-98444</t>
  </si>
  <si>
    <t>03/01/2026 14:16</t>
  </si>
  <si>
    <t>SO2601-89144</t>
  </si>
  <si>
    <t>IN2601-98443</t>
  </si>
  <si>
    <t>03/01/2026 14:18</t>
  </si>
  <si>
    <t>SO2601-89143</t>
  </si>
  <si>
    <t>ELAME FRANCK / 678838872</t>
  </si>
  <si>
    <t>IN2601-98442</t>
  </si>
  <si>
    <t>03/01/2026 14:11</t>
  </si>
  <si>
    <t>SO2601-89142</t>
  </si>
  <si>
    <t>CU2407-00434 -  TEKOH MARTIN CHOH</t>
  </si>
  <si>
    <t>IN2601-98441</t>
  </si>
  <si>
    <t>03/01/2026 13:56</t>
  </si>
  <si>
    <t>SO2601-89141</t>
  </si>
  <si>
    <t>IN2601-98440</t>
  </si>
  <si>
    <t>03/01/2026 13:50</t>
  </si>
  <si>
    <t>SO2601-89140</t>
  </si>
  <si>
    <t>IN2601-98439</t>
  </si>
  <si>
    <t>SO2601-89139</t>
  </si>
  <si>
    <t>IN2601-98438</t>
  </si>
  <si>
    <t>03/01/2026 13:43</t>
  </si>
  <si>
    <t>SO2601-89137</t>
  </si>
  <si>
    <t>KUE SILVAIN 697449590</t>
  </si>
  <si>
    <t>ID2601-0032</t>
  </si>
  <si>
    <t>03/01/2026 13:35</t>
  </si>
  <si>
    <t>SO2601-89136</t>
  </si>
  <si>
    <t>IN2601-98437</t>
  </si>
  <si>
    <t>04/01/2026</t>
  </si>
  <si>
    <t>03/01/2026 13:31</t>
  </si>
  <si>
    <t>SO2601-89135</t>
  </si>
  <si>
    <t>IN2601-98436</t>
  </si>
  <si>
    <t>03/01/2026 13:52</t>
  </si>
  <si>
    <t>SO2601-89134</t>
  </si>
  <si>
    <t>tchoupo 651611623</t>
  </si>
  <si>
    <t>ID2601-0031</t>
  </si>
  <si>
    <t>03/01/2026 13:29</t>
  </si>
  <si>
    <t>SO2601-89133</t>
  </si>
  <si>
    <t>IN2601-98435</t>
  </si>
  <si>
    <t>SO2601-89132</t>
  </si>
  <si>
    <t>IN2601-98434</t>
  </si>
  <si>
    <t>03/01/2026 13:20</t>
  </si>
  <si>
    <t>SO2601-89131</t>
  </si>
  <si>
    <t>TEDONGMO SOP 673726278</t>
  </si>
  <si>
    <t>IN2601-98433</t>
  </si>
  <si>
    <t>03/01/2026 13:26</t>
  </si>
  <si>
    <t>SO2601-89130</t>
  </si>
  <si>
    <t>CU2411-01155 -  GIC DES JEUNES PRODUCTEURS AGROPASTORAUX DE L'EST (GIC JEPRO-AGRO)</t>
  </si>
  <si>
    <t>IN2601-98432</t>
  </si>
  <si>
    <t>03/01/2026 13:28</t>
  </si>
  <si>
    <t>SO2601-89128</t>
  </si>
  <si>
    <t>IN2601-98431</t>
  </si>
  <si>
    <t>03/01/2026 13:30</t>
  </si>
  <si>
    <t>SO2601-89127</t>
  </si>
  <si>
    <t>IN2601-98430</t>
  </si>
  <si>
    <t>03/01/2026 13:14</t>
  </si>
  <si>
    <t>SO2601-89126</t>
  </si>
  <si>
    <t>IN2601-98429</t>
  </si>
  <si>
    <t>SO2601-89125</t>
  </si>
  <si>
    <t>IN2601-98428</t>
  </si>
  <si>
    <t>03/01/2026 13:44</t>
  </si>
  <si>
    <t>SO2601-89124</t>
  </si>
  <si>
    <t>IN2601-98427</t>
  </si>
  <si>
    <t>03/01/2026 13:11</t>
  </si>
  <si>
    <t>SO2601-89123</t>
  </si>
  <si>
    <t>BOUBA / 675158586</t>
  </si>
  <si>
    <t>IN2601-98426</t>
  </si>
  <si>
    <t>03/01/2026 13:10</t>
  </si>
  <si>
    <t>SO2601-89122</t>
  </si>
  <si>
    <t>EBWELLE 677809580</t>
  </si>
  <si>
    <t>IN2601-98425</t>
  </si>
  <si>
    <t>SO2601-89121</t>
  </si>
  <si>
    <t>ERNEST 683595414</t>
  </si>
  <si>
    <t>IN2601-98424</t>
  </si>
  <si>
    <t>03/01/2026 13:16</t>
  </si>
  <si>
    <t>SO2601-89120</t>
  </si>
  <si>
    <t>IN2601-98423</t>
  </si>
  <si>
    <t>03/01/2026 13:05</t>
  </si>
  <si>
    <t>SO2601-89119</t>
  </si>
  <si>
    <t>IN2601-98422</t>
  </si>
  <si>
    <t>03/01/2026 13:13</t>
  </si>
  <si>
    <t>SO2601-89118</t>
  </si>
  <si>
    <t>ADAM PEGGUY 698436865</t>
  </si>
  <si>
    <t>IN2601-98421</t>
  </si>
  <si>
    <t>SO2601-89117</t>
  </si>
  <si>
    <t>IN2601-98420</t>
  </si>
  <si>
    <t>03/01/2026 13:03</t>
  </si>
  <si>
    <t>SO2601-89116</t>
  </si>
  <si>
    <t>CEDRICK</t>
  </si>
  <si>
    <t>IN2601-98419</t>
  </si>
  <si>
    <t>03/01/2026 12:59</t>
  </si>
  <si>
    <t>SO2601-89115</t>
  </si>
  <si>
    <t>KAMDEM FENOU 656617671</t>
  </si>
  <si>
    <t>IN2601-98418</t>
  </si>
  <si>
    <t>03/01/2026 12:58</t>
  </si>
  <si>
    <t>SO2601-89114</t>
  </si>
  <si>
    <t>IN2601-98417</t>
  </si>
  <si>
    <t>03/01/2026 13:01</t>
  </si>
  <si>
    <t>SO2601-89113</t>
  </si>
  <si>
    <t>CU2508-13630 -  MONJU ULRICH NDIFON (MONJU ULRICH NDIFON)</t>
  </si>
  <si>
    <t>IN2601-98416</t>
  </si>
  <si>
    <t>CU2508-13630 -  MONJU ULRICH NDIFON</t>
  </si>
  <si>
    <t>MONJU ULRICH NDIFON</t>
  </si>
  <si>
    <t>SO2601-89112</t>
  </si>
  <si>
    <t>IN2601-98415</t>
  </si>
  <si>
    <t>03/01/2026 12:57</t>
  </si>
  <si>
    <t>SO2601-89111</t>
  </si>
  <si>
    <t>IN2601-98414</t>
  </si>
  <si>
    <t>SO2601-89110</t>
  </si>
  <si>
    <t>IN2601-98413</t>
  </si>
  <si>
    <t>03/01/2026 13:02</t>
  </si>
  <si>
    <t>SO2601-89109</t>
  </si>
  <si>
    <t>WAFFO CLARISSE / 697441349</t>
  </si>
  <si>
    <t>IN2601-98412</t>
  </si>
  <si>
    <t>03/01/2026 12:50</t>
  </si>
  <si>
    <t>SO2601-89108</t>
  </si>
  <si>
    <t>CU2510-14133 -  SAGUEN DEFFO CHANCELIER RICHARD</t>
  </si>
  <si>
    <t>IN2601-98411</t>
  </si>
  <si>
    <t>03/01/2026 12:51</t>
  </si>
  <si>
    <t>SO2601-89107</t>
  </si>
  <si>
    <t>SOTONG 693965164</t>
  </si>
  <si>
    <t>IN2601-98410</t>
  </si>
  <si>
    <t>03/01/2026 13:00</t>
  </si>
  <si>
    <t>SO2601-89106</t>
  </si>
  <si>
    <t>MME NGASSOM SUZANNE 677496773</t>
  </si>
  <si>
    <t>IN2601-98409</t>
  </si>
  <si>
    <t>03/01/2026 12:53</t>
  </si>
  <si>
    <t>SO2601-89105</t>
  </si>
  <si>
    <t>IN2601-98408</t>
  </si>
  <si>
    <t>03/01/2026 12:49</t>
  </si>
  <si>
    <t>SO2601-89104</t>
  </si>
  <si>
    <t>M MICHEL</t>
  </si>
  <si>
    <t>IN2601-98407</t>
  </si>
  <si>
    <t>SO2601-89103</t>
  </si>
  <si>
    <t>IN2601-98406</t>
  </si>
  <si>
    <t>03/01/2026 12:46</t>
  </si>
  <si>
    <t>SO2601-89102</t>
  </si>
  <si>
    <t>IN2601-98405</t>
  </si>
  <si>
    <t>SO2601-89101</t>
  </si>
  <si>
    <t>IN2601-98404</t>
  </si>
  <si>
    <t>SO2601-89100</t>
  </si>
  <si>
    <t>IN2601-98403</t>
  </si>
  <si>
    <t>03/01/2026 12:52</t>
  </si>
  <si>
    <t>SO2601-89099</t>
  </si>
  <si>
    <t>IN2601-98402</t>
  </si>
  <si>
    <t>SO2601-89097</t>
  </si>
  <si>
    <t>IN2601-98400</t>
  </si>
  <si>
    <t>SO2601-89096</t>
  </si>
  <si>
    <t>IN2601-98399</t>
  </si>
  <si>
    <t>03/01/2026 12:56</t>
  </si>
  <si>
    <t>SO2601-89095</t>
  </si>
  <si>
    <t>IN2601-98398</t>
  </si>
  <si>
    <t>SO2601-89094</t>
  </si>
  <si>
    <t>TYAM SIMO / 690908293</t>
  </si>
  <si>
    <t>IN2601-98397</t>
  </si>
  <si>
    <t>03/01/2026 12:42</t>
  </si>
  <si>
    <t>SO2601-89093</t>
  </si>
  <si>
    <t>IN2601-98396</t>
  </si>
  <si>
    <t>03/01/2026 13:25</t>
  </si>
  <si>
    <t>SO2601-89092</t>
  </si>
  <si>
    <t>IN2601-98395</t>
  </si>
  <si>
    <t>SO2601-89091</t>
  </si>
  <si>
    <t>IN2601-98394</t>
  </si>
  <si>
    <t>03/01/2026 12:39</t>
  </si>
  <si>
    <t>SO2601-89090</t>
  </si>
  <si>
    <t>IN2601-98393</t>
  </si>
  <si>
    <t>SO2601-89089</t>
  </si>
  <si>
    <t>LARISSA 695189114</t>
  </si>
  <si>
    <t>IN2601-98392</t>
  </si>
  <si>
    <t>03/01/2026 12:44</t>
  </si>
  <si>
    <t>SO2601-89088</t>
  </si>
  <si>
    <t>IN2601-98391</t>
  </si>
  <si>
    <t>03/01/2026 12:54</t>
  </si>
  <si>
    <t>SO2601-89087</t>
  </si>
  <si>
    <t>IN2601-98390</t>
  </si>
  <si>
    <t>SO2601-89085</t>
  </si>
  <si>
    <t>IN2601-98388</t>
  </si>
  <si>
    <t>03/01/2026 12:41</t>
  </si>
  <si>
    <t>SO2601-89084</t>
  </si>
  <si>
    <t>IN2601-98387</t>
  </si>
  <si>
    <t>03/01/2026 12:47</t>
  </si>
  <si>
    <t>SO2601-89083</t>
  </si>
  <si>
    <t>CU2407-00780 -  MELI JEAN</t>
  </si>
  <si>
    <t>IN2601-98386</t>
  </si>
  <si>
    <t>SO2601-89082</t>
  </si>
  <si>
    <t>IN2601-98385</t>
  </si>
  <si>
    <t>SO2601-89081</t>
  </si>
  <si>
    <t>IN2601-98384</t>
  </si>
  <si>
    <t>03/01/2026 12:33</t>
  </si>
  <si>
    <t>SO2601-89080</t>
  </si>
  <si>
    <t>IN2601-98383</t>
  </si>
  <si>
    <t>SO2601-89079</t>
  </si>
  <si>
    <t>MME CHEBONKE</t>
  </si>
  <si>
    <t>IN2601-98382</t>
  </si>
  <si>
    <t>03/01/2026 12:29</t>
  </si>
  <si>
    <t>SO2601-89078</t>
  </si>
  <si>
    <t>IN2601-98381</t>
  </si>
  <si>
    <t>03/01/2026 12:28</t>
  </si>
  <si>
    <t>SO2601-89077</t>
  </si>
  <si>
    <t>IN2601-98380</t>
  </si>
  <si>
    <t>03/01/2026 12:34</t>
  </si>
  <si>
    <t>SO2601-89076</t>
  </si>
  <si>
    <t>NGAFFO CHIMAINE</t>
  </si>
  <si>
    <t>IN2601-98379</t>
  </si>
  <si>
    <t>SO2601-89075</t>
  </si>
  <si>
    <t>IN2601-98378</t>
  </si>
  <si>
    <t>03/01/2026 12:31</t>
  </si>
  <si>
    <t>SO2601-89074</t>
  </si>
  <si>
    <t>IN2601-98377</t>
  </si>
  <si>
    <t>03/01/2026 12:23</t>
  </si>
  <si>
    <t>SO2601-89073</t>
  </si>
  <si>
    <t>IN2601-98376</t>
  </si>
  <si>
    <t>03/01/2026 12:24</t>
  </si>
  <si>
    <t>SO2601-89071</t>
  </si>
  <si>
    <t>FRANK</t>
  </si>
  <si>
    <t>IN2601-98374</t>
  </si>
  <si>
    <t>03/01/2026 12:16</t>
  </si>
  <si>
    <t>SO2601-89070</t>
  </si>
  <si>
    <t>IN2601-98373</t>
  </si>
  <si>
    <t>03/01/2026 12:17</t>
  </si>
  <si>
    <t>SO2601-89069</t>
  </si>
  <si>
    <t>IN2601-98372</t>
  </si>
  <si>
    <t>03/01/2026 12:21</t>
  </si>
  <si>
    <t>SO2601-89068</t>
  </si>
  <si>
    <t>IN2601-98371</t>
  </si>
  <si>
    <t>SO2601-89067</t>
  </si>
  <si>
    <t>jiokEng andre</t>
  </si>
  <si>
    <t>IN2601-98370</t>
  </si>
  <si>
    <t>03/01/2026 12:12</t>
  </si>
  <si>
    <t>SO2601-89066</t>
  </si>
  <si>
    <t>YVAN</t>
  </si>
  <si>
    <t>IN2601-98369</t>
  </si>
  <si>
    <t>03/01/2026 12:14</t>
  </si>
  <si>
    <t>SO2601-89065</t>
  </si>
  <si>
    <t>IN2601-98368</t>
  </si>
  <si>
    <t>03/01/2026 12:10</t>
  </si>
  <si>
    <t>SO2601-89064</t>
  </si>
  <si>
    <t>IN2601-98367</t>
  </si>
  <si>
    <t>03/01/2026 12:19</t>
  </si>
  <si>
    <t>SO2601-89063</t>
  </si>
  <si>
    <t>YOUSSOUFA DAHIROU / 655935747</t>
  </si>
  <si>
    <t>IN2601-98366</t>
  </si>
  <si>
    <t>03/01/2026 12:09</t>
  </si>
  <si>
    <t>SO2601-89062</t>
  </si>
  <si>
    <t>IN2601-98365</t>
  </si>
  <si>
    <t>03/01/2026 12:11</t>
  </si>
  <si>
    <t>SO2601-89061</t>
  </si>
  <si>
    <t>JOSIANE 691923960</t>
  </si>
  <si>
    <t>IN2601-98364</t>
  </si>
  <si>
    <t>03/01/2026 12:35</t>
  </si>
  <si>
    <t>SO2601-89060</t>
  </si>
  <si>
    <t>IN2601-98363</t>
  </si>
  <si>
    <t>SO2601-89059</t>
  </si>
  <si>
    <t>MELATCHIO 679211551</t>
  </si>
  <si>
    <t>IN2601-98362</t>
  </si>
  <si>
    <t>03/01/2026 12:08</t>
  </si>
  <si>
    <t>SO2601-89058</t>
  </si>
  <si>
    <t>IN2601-98361</t>
  </si>
  <si>
    <t>SO2601-89057</t>
  </si>
  <si>
    <t>IN2601-98360</t>
  </si>
  <si>
    <t>SO2601-89056</t>
  </si>
  <si>
    <t>IN2601-98359</t>
  </si>
  <si>
    <t>SO2601-89055</t>
  </si>
  <si>
    <t>IN2601-98358</t>
  </si>
  <si>
    <t>03/01/2026 12:05</t>
  </si>
  <si>
    <t>SO2601-89054</t>
  </si>
  <si>
    <t>MME EFFILA</t>
  </si>
  <si>
    <t>IN2601-98357</t>
  </si>
  <si>
    <t>03/01/2026 11:58</t>
  </si>
  <si>
    <t>SO2601-89053</t>
  </si>
  <si>
    <t>WAÏMA HELENE / 655 23 45 85</t>
  </si>
  <si>
    <t>IN2601-98356</t>
  </si>
  <si>
    <t>SO2601-89052</t>
  </si>
  <si>
    <t>M YAKAN</t>
  </si>
  <si>
    <t>IN2601-98355</t>
  </si>
  <si>
    <t>03/01/2026 12:01</t>
  </si>
  <si>
    <t>SO2601-89051</t>
  </si>
  <si>
    <t>IN2601-98354</t>
  </si>
  <si>
    <t>03/01/2026 11:57</t>
  </si>
  <si>
    <t>SO2601-89050</t>
  </si>
  <si>
    <t>IN2601-98353</t>
  </si>
  <si>
    <t>SO2601-89049</t>
  </si>
  <si>
    <t>IN2601-98352</t>
  </si>
  <si>
    <t>03/01/2026 11:59</t>
  </si>
  <si>
    <t>SO2601-89048</t>
  </si>
  <si>
    <t>MOHAMADOU MAIDADI / 695840294</t>
  </si>
  <si>
    <t>IN2601-98351</t>
  </si>
  <si>
    <t>03/01/2026 11:55</t>
  </si>
  <si>
    <t>SO2601-89047</t>
  </si>
  <si>
    <t>IN2601-98350</t>
  </si>
  <si>
    <t>SO2601-89046</t>
  </si>
  <si>
    <t>CU2407-01004 -  SUD AGRO PASTORAL COOP CA</t>
  </si>
  <si>
    <t>IN2601-98349</t>
  </si>
  <si>
    <t>03/01/2026 11:53</t>
  </si>
  <si>
    <t>SO2601-89045</t>
  </si>
  <si>
    <t>M BELLO</t>
  </si>
  <si>
    <t>IN2601-98348</t>
  </si>
  <si>
    <t>SO2601-89044</t>
  </si>
  <si>
    <t>IN2601-98347</t>
  </si>
  <si>
    <t>SO2601-89043</t>
  </si>
  <si>
    <t>IN2601-98346</t>
  </si>
  <si>
    <t>03/01/2026 11:54</t>
  </si>
  <si>
    <t>SO2601-89042</t>
  </si>
  <si>
    <t>MOUNBAIN LOUDOU / 690919087</t>
  </si>
  <si>
    <t>IN2601-98345</t>
  </si>
  <si>
    <t>SO2601-89041</t>
  </si>
  <si>
    <t>IN2601-98344</t>
  </si>
  <si>
    <t>SO2601-89040</t>
  </si>
  <si>
    <t>IN2601-98343</t>
  </si>
  <si>
    <t>03/01/2026 11:47</t>
  </si>
  <si>
    <t>SO2601-89039</t>
  </si>
  <si>
    <t>MARTIN</t>
  </si>
  <si>
    <t>IN2601-98342</t>
  </si>
  <si>
    <t>03/01/2026 11:51</t>
  </si>
  <si>
    <t>SO2601-89038</t>
  </si>
  <si>
    <t>IN2601-98341</t>
  </si>
  <si>
    <t>03/01/2026 11:50</t>
  </si>
  <si>
    <t>SO2601-89037</t>
  </si>
  <si>
    <t>IN2601-98340</t>
  </si>
  <si>
    <t>03/01/2026 11:46</t>
  </si>
  <si>
    <t>SO2601-89036</t>
  </si>
  <si>
    <t>MME KUETE</t>
  </si>
  <si>
    <t>IN2601-98339</t>
  </si>
  <si>
    <t>SO2601-89035</t>
  </si>
  <si>
    <t>M BRICE LONKONG 699121328</t>
  </si>
  <si>
    <t>IN2601-98338</t>
  </si>
  <si>
    <t>03/01/2026 11:41</t>
  </si>
  <si>
    <t>SO2601-89034</t>
  </si>
  <si>
    <t>IN2601-98337</t>
  </si>
  <si>
    <t>03/01/2026 11:49</t>
  </si>
  <si>
    <t>SO2601-89033</t>
  </si>
  <si>
    <t>IN2601-98336</t>
  </si>
  <si>
    <t>SO2601-89032</t>
  </si>
  <si>
    <t>IN2601-98335</t>
  </si>
  <si>
    <t>03/01/2026 11:37</t>
  </si>
  <si>
    <t>SO2601-89031</t>
  </si>
  <si>
    <t>M DOMTCHUENG</t>
  </si>
  <si>
    <t>IN2601-98334</t>
  </si>
  <si>
    <t>03/01/2026 11:44</t>
  </si>
  <si>
    <t>SO2601-89030</t>
  </si>
  <si>
    <t>IN2601-98333</t>
  </si>
  <si>
    <t>03/01/2026 11:52</t>
  </si>
  <si>
    <t>SO2601-89029</t>
  </si>
  <si>
    <t>IN2601-98332</t>
  </si>
  <si>
    <t>03/01/2026 11:38</t>
  </si>
  <si>
    <t>SO2601-89028</t>
  </si>
  <si>
    <t>MAHAMAT AMINE ABDEL WALI / 687195009</t>
  </si>
  <si>
    <t>CU2512-14209 -  MAHAMAT AMINE ABDELWALI</t>
  </si>
  <si>
    <t>IN2601-98331</t>
  </si>
  <si>
    <t>03/01/2026 11:45</t>
  </si>
  <si>
    <t>SO2601-89027</t>
  </si>
  <si>
    <t>IN2601-98330</t>
  </si>
  <si>
    <t>SO2601-89026</t>
  </si>
  <si>
    <t>MOKAM</t>
  </si>
  <si>
    <t>IN2601-98329</t>
  </si>
  <si>
    <t>SO2601-89025</t>
  </si>
  <si>
    <t>NGUEKAM 677012074</t>
  </si>
  <si>
    <t>IN2601-98328</t>
  </si>
  <si>
    <t>03/01/2026 11:40</t>
  </si>
  <si>
    <t>SO2601-89024</t>
  </si>
  <si>
    <t>IN2601-98327</t>
  </si>
  <si>
    <t>SO2601-89023</t>
  </si>
  <si>
    <t>CU2407-00904 -  SAHA KODJO</t>
  </si>
  <si>
    <t>IN2601-98326</t>
  </si>
  <si>
    <t>03/01/2026 11:43</t>
  </si>
  <si>
    <t>SO2601-89022</t>
  </si>
  <si>
    <t>IN2601-98325</t>
  </si>
  <si>
    <t>03/01/2026 12:25</t>
  </si>
  <si>
    <t>SO2601-89021</t>
  </si>
  <si>
    <t>M.ALAIN 671139535</t>
  </si>
  <si>
    <t>IN2601-98324</t>
  </si>
  <si>
    <t>03/01/2026 11:29</t>
  </si>
  <si>
    <t>SO2601-89020</t>
  </si>
  <si>
    <t>BOYEM</t>
  </si>
  <si>
    <t>CU2410-01119 -  BOYEM LONTHY RODRIGUE</t>
  </si>
  <si>
    <t>IN2601-98323</t>
  </si>
  <si>
    <t>03/01/2026 11:27</t>
  </si>
  <si>
    <t>SO2601-89019</t>
  </si>
  <si>
    <t>TCHIMHOU STEPHANIE / 696339762</t>
  </si>
  <si>
    <t>IN2601-98322</t>
  </si>
  <si>
    <t>SO2601-89018</t>
  </si>
  <si>
    <t>IN2601-98321</t>
  </si>
  <si>
    <t>SO2601-89017</t>
  </si>
  <si>
    <t>IN2601-98320</t>
  </si>
  <si>
    <t>03/01/2026 11:22</t>
  </si>
  <si>
    <t>SO2601-89016</t>
  </si>
  <si>
    <t>IN2601-98319</t>
  </si>
  <si>
    <t>03/01/2026 11:20</t>
  </si>
  <si>
    <t>SO2601-89015</t>
  </si>
  <si>
    <t>ABOUBAKAR / 696170397</t>
  </si>
  <si>
    <t>IN2601-98318</t>
  </si>
  <si>
    <t>03/01/2026 11:19</t>
  </si>
  <si>
    <t>SO2601-89014</t>
  </si>
  <si>
    <t>M ARMAND</t>
  </si>
  <si>
    <t>IN2601-98317</t>
  </si>
  <si>
    <t>03/01/2026 11:25</t>
  </si>
  <si>
    <t>SO2601-89013</t>
  </si>
  <si>
    <t>IN2601-98316</t>
  </si>
  <si>
    <t>SO2601-89012</t>
  </si>
  <si>
    <t>IN2601-98315</t>
  </si>
  <si>
    <t>03/01/2026 11:12</t>
  </si>
  <si>
    <t>SO2601-89011</t>
  </si>
  <si>
    <t>CU2601-14251 -  NGOUANE RAYMOND</t>
  </si>
  <si>
    <t>IN2601-98314</t>
  </si>
  <si>
    <t>03/01/2026 11:23</t>
  </si>
  <si>
    <t>SO2601-89010</t>
  </si>
  <si>
    <t>IN2601-98313</t>
  </si>
  <si>
    <t>03/01/2026 11:09</t>
  </si>
  <si>
    <t>SO2601-89009</t>
  </si>
  <si>
    <t>CU2407-00651 -  GOLFECH</t>
  </si>
  <si>
    <t>IN2601-98312</t>
  </si>
  <si>
    <t>03/01/2026 11:11</t>
  </si>
  <si>
    <t>SO2601-89008</t>
  </si>
  <si>
    <t>IN2601-98311</t>
  </si>
  <si>
    <t>03/01/2026 11:08</t>
  </si>
  <si>
    <t>SO2601-89007</t>
  </si>
  <si>
    <t>IN2601-98310</t>
  </si>
  <si>
    <t>03/01/2026 11:10</t>
  </si>
  <si>
    <t>SO2601-89006</t>
  </si>
  <si>
    <t>BONGUE/ 696832543</t>
  </si>
  <si>
    <t>IN2601-98309</t>
  </si>
  <si>
    <t>SO2601-89005</t>
  </si>
  <si>
    <t>HOUSNI MOUBARACK / 656235483</t>
  </si>
  <si>
    <t>IN2601-98308</t>
  </si>
  <si>
    <t>03/01/2026 11:05</t>
  </si>
  <si>
    <t>SO2601-89004</t>
  </si>
  <si>
    <t>IN2601-98307</t>
  </si>
  <si>
    <t>SO2601-89003</t>
  </si>
  <si>
    <t>DJAMEN VALERIE</t>
  </si>
  <si>
    <t>IN2601-98306</t>
  </si>
  <si>
    <t>SO2601-89002</t>
  </si>
  <si>
    <t>IN2601-98305</t>
  </si>
  <si>
    <t>SO2601-89001</t>
  </si>
  <si>
    <t>IN2601-98304</t>
  </si>
  <si>
    <t>03/01/2026 11:06</t>
  </si>
  <si>
    <t>SO2601-89000</t>
  </si>
  <si>
    <t>IN2601-98303</t>
  </si>
  <si>
    <t>03/01/2026 11:00</t>
  </si>
  <si>
    <t>SO2601-88999</t>
  </si>
  <si>
    <t>IN2601-98302</t>
  </si>
  <si>
    <t>03/01/2026 11:02</t>
  </si>
  <si>
    <t>SO2601-88998</t>
  </si>
  <si>
    <t>TSANA 679354396</t>
  </si>
  <si>
    <t>IN2601-98301</t>
  </si>
  <si>
    <t>03/01/2026 10:57</t>
  </si>
  <si>
    <t>SO2601-88997</t>
  </si>
  <si>
    <t>THERESE</t>
  </si>
  <si>
    <t>IN2601-98300</t>
  </si>
  <si>
    <t>03/01/2026 10:56</t>
  </si>
  <si>
    <t>SO2601-88996</t>
  </si>
  <si>
    <t>IN2601-98299</t>
  </si>
  <si>
    <t>03/01/2026 13:07</t>
  </si>
  <si>
    <t>SO2601-88995</t>
  </si>
  <si>
    <t>IN2601-98298</t>
  </si>
  <si>
    <t>03/01/2026 10:59</t>
  </si>
  <si>
    <t>SO2601-88994</t>
  </si>
  <si>
    <t>IN2601-98297</t>
  </si>
  <si>
    <t>SO2601-88993</t>
  </si>
  <si>
    <t>IN2601-98296</t>
  </si>
  <si>
    <t>03/01/2026 11:15</t>
  </si>
  <si>
    <t>SO2601-88992</t>
  </si>
  <si>
    <t>IN2601-98295</t>
  </si>
  <si>
    <t>03/01/2026 10:58</t>
  </si>
  <si>
    <t>SO2601-88991</t>
  </si>
  <si>
    <t>CU2509-14109 -  TSAGUE RODRIGUE MAGLOIRE</t>
  </si>
  <si>
    <t>IN2601-98294</t>
  </si>
  <si>
    <t>03/01/2026 10:55</t>
  </si>
  <si>
    <t>SO2601-88990</t>
  </si>
  <si>
    <t>IN2601-98293</t>
  </si>
  <si>
    <t>SO2601-88989</t>
  </si>
  <si>
    <t>IN2601-98292</t>
  </si>
  <si>
    <t>SO2601-88988</t>
  </si>
  <si>
    <t>IN2601-98291</t>
  </si>
  <si>
    <t>03/01/2026 10:52</t>
  </si>
  <si>
    <t>SO2601-88987</t>
  </si>
  <si>
    <t>IN2601-98290</t>
  </si>
  <si>
    <t>03/01/2026 10:50</t>
  </si>
  <si>
    <t>SO2601-88985</t>
  </si>
  <si>
    <t>IN2601-98288</t>
  </si>
  <si>
    <t>03/01/2026 10:51</t>
  </si>
  <si>
    <t>SO2601-88984</t>
  </si>
  <si>
    <t>ABDOUL AZIZ ABOUBAKAR / 698461978</t>
  </si>
  <si>
    <t>CU2508-13456 -  ABDOUL AZIZ ABOUBAKAR</t>
  </si>
  <si>
    <t>IN2601-98287</t>
  </si>
  <si>
    <t>03/01/2026 10:53</t>
  </si>
  <si>
    <t>SO2601-88983</t>
  </si>
  <si>
    <t>NGOUEMETA</t>
  </si>
  <si>
    <t>IN2601-98286</t>
  </si>
  <si>
    <t>03/01/2026 10:54</t>
  </si>
  <si>
    <t>SO2601-88982</t>
  </si>
  <si>
    <t>IN2601-98285</t>
  </si>
  <si>
    <t>SO2601-88981</t>
  </si>
  <si>
    <t>IN2601-98284</t>
  </si>
  <si>
    <t>SO2601-88980</t>
  </si>
  <si>
    <t>IN2601-98283</t>
  </si>
  <si>
    <t>03/01/2026 10:48</t>
  </si>
  <si>
    <t>SO2601-88979</t>
  </si>
  <si>
    <t>STAR CAR</t>
  </si>
  <si>
    <t>IN2601-98282</t>
  </si>
  <si>
    <t>SO2601-88978</t>
  </si>
  <si>
    <t>IN2601-98281</t>
  </si>
  <si>
    <t>03/01/2026 10:47</t>
  </si>
  <si>
    <t>SO2601-88977</t>
  </si>
  <si>
    <t>IN2601-98280</t>
  </si>
  <si>
    <t>03/01/2026 10:42</t>
  </si>
  <si>
    <t>SO2601-88976</t>
  </si>
  <si>
    <t>DR LARISSA 656741894</t>
  </si>
  <si>
    <t>IN2601-98279</t>
  </si>
  <si>
    <t>SO2601-88975</t>
  </si>
  <si>
    <t>IN2601-98278</t>
  </si>
  <si>
    <t>03/01/2026 10:38</t>
  </si>
  <si>
    <t>SO2601-88974</t>
  </si>
  <si>
    <t>IN2601-98277</t>
  </si>
  <si>
    <t>03/01/2026 10:40</t>
  </si>
  <si>
    <t>SO2601-88973</t>
  </si>
  <si>
    <t>IN2601-98276</t>
  </si>
  <si>
    <t>03/01/2026 11:18</t>
  </si>
  <si>
    <t>SO2601-88972</t>
  </si>
  <si>
    <t>IN2601-98275</t>
  </si>
  <si>
    <t>03/01/2026 10:41</t>
  </si>
  <si>
    <t>SO2601-88971</t>
  </si>
  <si>
    <t>IN2601-98274</t>
  </si>
  <si>
    <t>03/01/2026 10:46</t>
  </si>
  <si>
    <t>SO2601-88970</t>
  </si>
  <si>
    <t>LOVETTE AIMIE 656419278</t>
  </si>
  <si>
    <t>IN2601-98273</t>
  </si>
  <si>
    <t>03/01/2026 10:44</t>
  </si>
  <si>
    <t>SO2601-88969</t>
  </si>
  <si>
    <t>IN2601-98272</t>
  </si>
  <si>
    <t>SO2601-88968</t>
  </si>
  <si>
    <t>IN2601-98271</t>
  </si>
  <si>
    <t>03/01/2026 10:37</t>
  </si>
  <si>
    <t>SO2601-88967</t>
  </si>
  <si>
    <t>NDIBI</t>
  </si>
  <si>
    <t>IN2601-98270</t>
  </si>
  <si>
    <t>SO2601-88966</t>
  </si>
  <si>
    <t>IN2601-98269</t>
  </si>
  <si>
    <t>03/01/2026 10:32</t>
  </si>
  <si>
    <t>SO2601-88965</t>
  </si>
  <si>
    <t>IN2601-98268</t>
  </si>
  <si>
    <t>03/01/2026 10:31</t>
  </si>
  <si>
    <t>SO2601-88964</t>
  </si>
  <si>
    <t>IN2601-98267</t>
  </si>
  <si>
    <t>03/01/2026 10:29</t>
  </si>
  <si>
    <t>SO2601-88963</t>
  </si>
  <si>
    <t>KANA NAGUY PERRIN</t>
  </si>
  <si>
    <t>IN2601-98266</t>
  </si>
  <si>
    <t>03/01/2026 10:30</t>
  </si>
  <si>
    <t>SO2601-88962</t>
  </si>
  <si>
    <t>IN2601-98265</t>
  </si>
  <si>
    <t>SO2601-88961</t>
  </si>
  <si>
    <t>CU2508-13460 -  MOHAMADOU ABDOUL WAHAB</t>
  </si>
  <si>
    <t>IN2601-98264</t>
  </si>
  <si>
    <t>03/01/2026 10:28</t>
  </si>
  <si>
    <t>SO2601-88960</t>
  </si>
  <si>
    <t>mme essomba claudine</t>
  </si>
  <si>
    <t>IN2601-98263</t>
  </si>
  <si>
    <t>03/01/2026 10:26</t>
  </si>
  <si>
    <t>SO2601-88959</t>
  </si>
  <si>
    <t>IN2601-98262</t>
  </si>
  <si>
    <t>03/01/2026 10:34</t>
  </si>
  <si>
    <t>SO2601-88958</t>
  </si>
  <si>
    <t>IN2601-98261</t>
  </si>
  <si>
    <t>03/01/2026 10:27</t>
  </si>
  <si>
    <t>SO2601-88957</t>
  </si>
  <si>
    <t>IN2601-98260</t>
  </si>
  <si>
    <t>SO2601-88956</t>
  </si>
  <si>
    <t>IN2601-98259</t>
  </si>
  <si>
    <t>SO2601-88955</t>
  </si>
  <si>
    <t>FOSSI 672503386</t>
  </si>
  <si>
    <t>IN2601-98258</t>
  </si>
  <si>
    <t>03/01/2026 10:24</t>
  </si>
  <si>
    <t>SO2601-88954</t>
  </si>
  <si>
    <t>FEZEU FRANCK 688358306</t>
  </si>
  <si>
    <t>IN2601-98257</t>
  </si>
  <si>
    <t>03/01/2026 10:21</t>
  </si>
  <si>
    <t>SO2601-88953</t>
  </si>
  <si>
    <t>IN2601-98256</t>
  </si>
  <si>
    <t>03/01/2026 10:25</t>
  </si>
  <si>
    <t>SO2601-88952</t>
  </si>
  <si>
    <t>IN2601-98255</t>
  </si>
  <si>
    <t>SO2601-88951</t>
  </si>
  <si>
    <t>IN2601-98254</t>
  </si>
  <si>
    <t>03/01/2026 10:18</t>
  </si>
  <si>
    <t>SO2601-88950</t>
  </si>
  <si>
    <t>IN2601-98253</t>
  </si>
  <si>
    <t>SO2601-88949</t>
  </si>
  <si>
    <t>IN2601-98252</t>
  </si>
  <si>
    <t>03/01/2026 10:36</t>
  </si>
  <si>
    <t>SO2601-88948</t>
  </si>
  <si>
    <t>IN2601-98251</t>
  </si>
  <si>
    <t>03/01/2026 10:19</t>
  </si>
  <si>
    <t>SO2601-88947</t>
  </si>
  <si>
    <t>GIC TERRE PROMISE 651152988</t>
  </si>
  <si>
    <t>IN2601-98250</t>
  </si>
  <si>
    <t>03/01/2026 10:15</t>
  </si>
  <si>
    <t>SO2601-88946</t>
  </si>
  <si>
    <t>IN2601-98249</t>
  </si>
  <si>
    <t>03/01/2026 10:33</t>
  </si>
  <si>
    <t>SO2601-88945</t>
  </si>
  <si>
    <t>IN2601-98248</t>
  </si>
  <si>
    <t>03/01/2026 10:17</t>
  </si>
  <si>
    <t>SO2601-88944</t>
  </si>
  <si>
    <t>MAJESTE TEKEU DAVID/ 691079068</t>
  </si>
  <si>
    <t>IN2601-98247</t>
  </si>
  <si>
    <t>03/01/2026 10:10</t>
  </si>
  <si>
    <t>SO2601-88943</t>
  </si>
  <si>
    <t>IN2601-98246</t>
  </si>
  <si>
    <t>SO2601-88942</t>
  </si>
  <si>
    <t>IN2601-98245</t>
  </si>
  <si>
    <t>SO2601-88941</t>
  </si>
  <si>
    <t>IN2601-98244</t>
  </si>
  <si>
    <t>03/01/2026 10:07</t>
  </si>
  <si>
    <t>SO2601-88940</t>
  </si>
  <si>
    <t>KENKO 675694595</t>
  </si>
  <si>
    <t>ID2601-0029</t>
  </si>
  <si>
    <t>03/01/2026 10:04</t>
  </si>
  <si>
    <t>SO2601-88939</t>
  </si>
  <si>
    <t>IN2601-98243</t>
  </si>
  <si>
    <t>SO2601-88938</t>
  </si>
  <si>
    <t>GIC SAD 696535515</t>
  </si>
  <si>
    <t>IN2601-98242</t>
  </si>
  <si>
    <t>03/01/2026 10:01</t>
  </si>
  <si>
    <t>SO2601-88937</t>
  </si>
  <si>
    <t>IN2601-98241</t>
  </si>
  <si>
    <t>03/01/2026 10:11</t>
  </si>
  <si>
    <t>SO2601-88936</t>
  </si>
  <si>
    <t>IN2601-98240</t>
  </si>
  <si>
    <t>SO2601-88935</t>
  </si>
  <si>
    <t>IN2601-98239</t>
  </si>
  <si>
    <t>03/01/2026 09:58</t>
  </si>
  <si>
    <t>SO2601-88934</t>
  </si>
  <si>
    <t>IN2601-98238</t>
  </si>
  <si>
    <t>03/01/2026 09:59</t>
  </si>
  <si>
    <t>SO2601-88933</t>
  </si>
  <si>
    <t>ID2601-0028</t>
  </si>
  <si>
    <t>03/01/2026 09:57</t>
  </si>
  <si>
    <t>SO2601-88932</t>
  </si>
  <si>
    <t>IN2601-98237</t>
  </si>
  <si>
    <t>SO2601-88931</t>
  </si>
  <si>
    <t>PLACIDE NKOENG 691505536</t>
  </si>
  <si>
    <t>IN2601-98236</t>
  </si>
  <si>
    <t>03/01/2026 09:56</t>
  </si>
  <si>
    <t>SO2601-88930</t>
  </si>
  <si>
    <t>IN2601-98235</t>
  </si>
  <si>
    <t>03/01/2026 09:54</t>
  </si>
  <si>
    <t>SO2601-88929</t>
  </si>
  <si>
    <t>IN2601-98234</t>
  </si>
  <si>
    <t>SO2601-88928</t>
  </si>
  <si>
    <t>CU2508-13654 -  TCHOUANKAM KAMGO MILTON</t>
  </si>
  <si>
    <t>IN2601-98233</t>
  </si>
  <si>
    <t>03/01/2026 09:50</t>
  </si>
  <si>
    <t>SO2601-88927</t>
  </si>
  <si>
    <t>IN2601-98232</t>
  </si>
  <si>
    <t>03/01/2026 09:52</t>
  </si>
  <si>
    <t>SO2601-88926</t>
  </si>
  <si>
    <t>PROV DANIEL</t>
  </si>
  <si>
    <t>IN2601-98231</t>
  </si>
  <si>
    <t>03/01/2026 09:55</t>
  </si>
  <si>
    <t>SO2601-88925</t>
  </si>
  <si>
    <t>CU2601-14316 -  MEULA BEUMO</t>
  </si>
  <si>
    <t>IN2601-98230</t>
  </si>
  <si>
    <t>SO2601-88924</t>
  </si>
  <si>
    <t>IN2601-98229</t>
  </si>
  <si>
    <t>03/01/2026 09:44</t>
  </si>
  <si>
    <t>SO2601-88923</t>
  </si>
  <si>
    <t>AYMLE CLAUDE 674950626</t>
  </si>
  <si>
    <t>IN2601-98228</t>
  </si>
  <si>
    <t>03/01/2026 09:47</t>
  </si>
  <si>
    <t>SO2601-88922</t>
  </si>
  <si>
    <t>PAULINE</t>
  </si>
  <si>
    <t>IN2601-98227</t>
  </si>
  <si>
    <t>SO2601-88921</t>
  </si>
  <si>
    <t>IN2601-98226</t>
  </si>
  <si>
    <t>SO2601-88920</t>
  </si>
  <si>
    <t>IN2601-98225</t>
  </si>
  <si>
    <t>03/01/2026 09:43</t>
  </si>
  <si>
    <t>SO2601-88919</t>
  </si>
  <si>
    <t>IN2601-98224</t>
  </si>
  <si>
    <t>SO2601-88918</t>
  </si>
  <si>
    <t>IN2601-98223</t>
  </si>
  <si>
    <t>03/01/2026 09:40</t>
  </si>
  <si>
    <t>SO2601-88917</t>
  </si>
  <si>
    <t>IN2601-98222</t>
  </si>
  <si>
    <t>03/01/2026 09:34</t>
  </si>
  <si>
    <t>SO2601-88916</t>
  </si>
  <si>
    <t>IN2601-98221</t>
  </si>
  <si>
    <t>SO2601-88915</t>
  </si>
  <si>
    <t>IN2601-98220</t>
  </si>
  <si>
    <t>03/01/2026 09:30</t>
  </si>
  <si>
    <t>SO2601-88914</t>
  </si>
  <si>
    <t>IN2601-98219</t>
  </si>
  <si>
    <t>03/01/2026 09:45</t>
  </si>
  <si>
    <t>SO2601-88912</t>
  </si>
  <si>
    <t>IN2601-98217</t>
  </si>
  <si>
    <t>03/01/2026 09:42</t>
  </si>
  <si>
    <t>SO2601-88911</t>
  </si>
  <si>
    <t>KENFACK LINDA 697547093</t>
  </si>
  <si>
    <t>IN2601-98216</t>
  </si>
  <si>
    <t>03/01/2026 09:32</t>
  </si>
  <si>
    <t>SO2601-88910</t>
  </si>
  <si>
    <t>IN2601-98215</t>
  </si>
  <si>
    <t>SO2601-88909</t>
  </si>
  <si>
    <t>IN2601-98214</t>
  </si>
  <si>
    <t>SO2601-88908</t>
  </si>
  <si>
    <t>FERDINAND</t>
  </si>
  <si>
    <t>IN2601-98213</t>
  </si>
  <si>
    <t>03/01/2026 09:33</t>
  </si>
  <si>
    <t>SO2601-88907</t>
  </si>
  <si>
    <t>IN2601-98212</t>
  </si>
  <si>
    <t>03/01/2026 09:21</t>
  </si>
  <si>
    <t>SO2601-88906</t>
  </si>
  <si>
    <t>IN2601-98211</t>
  </si>
  <si>
    <t>03/01/2026 09:17</t>
  </si>
  <si>
    <t>SO2601-88905</t>
  </si>
  <si>
    <t>IN2601-98210</t>
  </si>
  <si>
    <t>SO2601-88904</t>
  </si>
  <si>
    <t>OLIVIER</t>
  </si>
  <si>
    <t>IN2601-98209</t>
  </si>
  <si>
    <t>03/01/2026 09:29</t>
  </si>
  <si>
    <t>SO2601-88903</t>
  </si>
  <si>
    <t>IN2601-98208</t>
  </si>
  <si>
    <t>03/01/2026 09:19</t>
  </si>
  <si>
    <t>SO2601-88902</t>
  </si>
  <si>
    <t>IN2601-98207</t>
  </si>
  <si>
    <t>03/01/2026 09:12</t>
  </si>
  <si>
    <t>SO2601-88900</t>
  </si>
  <si>
    <t>IN2601-98205</t>
  </si>
  <si>
    <t>03/01/2026 09:18</t>
  </si>
  <si>
    <t>SO2601-88899</t>
  </si>
  <si>
    <t>KENGNE 676867937</t>
  </si>
  <si>
    <t>IN2601-98204</t>
  </si>
  <si>
    <t>03/01/2026 09:04</t>
  </si>
  <si>
    <t>SO2601-88898</t>
  </si>
  <si>
    <t>SOCIETE NGNOMENI 677198526</t>
  </si>
  <si>
    <t>IN2601-98203</t>
  </si>
  <si>
    <t>03/01/2026 09:05</t>
  </si>
  <si>
    <t>SO2601-88897</t>
  </si>
  <si>
    <t>IN2601-98202</t>
  </si>
  <si>
    <t>03/01/2026 09:16</t>
  </si>
  <si>
    <t>SO2601-88896</t>
  </si>
  <si>
    <t>IN2601-98200</t>
  </si>
  <si>
    <t>03/01/2026 09:20</t>
  </si>
  <si>
    <t>SO2601-88895</t>
  </si>
  <si>
    <t>IN2601-98199</t>
  </si>
  <si>
    <t>03/01/2026 09:03</t>
  </si>
  <si>
    <t>SO2601-88894</t>
  </si>
  <si>
    <t>IN2601-98198</t>
  </si>
  <si>
    <t>03/01/2026 08:58</t>
  </si>
  <si>
    <t>SO2601-88893</t>
  </si>
  <si>
    <t>IN2601-98197</t>
  </si>
  <si>
    <t>03/01/2026 09:10</t>
  </si>
  <si>
    <t>SO2601-88892</t>
  </si>
  <si>
    <t>CU2508-13467 -  ETS LES JUMELLES</t>
  </si>
  <si>
    <t>IN2601-98196</t>
  </si>
  <si>
    <t>SO2601-88891</t>
  </si>
  <si>
    <t>IN2601-98195</t>
  </si>
  <si>
    <t>03/01/2026 08:54</t>
  </si>
  <si>
    <t>SO2601-88890</t>
  </si>
  <si>
    <t>BAYONG 651991652</t>
  </si>
  <si>
    <t>IN2601-98194</t>
  </si>
  <si>
    <t>03/01/2026 08:53</t>
  </si>
  <si>
    <t>SO2601-88889</t>
  </si>
  <si>
    <t>IN2601-98193</t>
  </si>
  <si>
    <t>03/01/2026 09:08</t>
  </si>
  <si>
    <t>SO2601-88888</t>
  </si>
  <si>
    <t>CU2407-00568 -  EMALE JEAN</t>
  </si>
  <si>
    <t>IN2601-98192</t>
  </si>
  <si>
    <t>03/01/2026 09:00</t>
  </si>
  <si>
    <t>SO2601-88887</t>
  </si>
  <si>
    <t>MME SADIO KITIO 694292294</t>
  </si>
  <si>
    <t>IN2601-98191</t>
  </si>
  <si>
    <t>SO2601-88886</t>
  </si>
  <si>
    <t>mme essomba</t>
  </si>
  <si>
    <t>IN2601-98190</t>
  </si>
  <si>
    <t>03/01/2026 08:52</t>
  </si>
  <si>
    <t>SO2601-88885</t>
  </si>
  <si>
    <t>IN2601-98189</t>
  </si>
  <si>
    <t>SO2601-88884</t>
  </si>
  <si>
    <t>IN2601-98188</t>
  </si>
  <si>
    <t>03/01/2026 08:59</t>
  </si>
  <si>
    <t>SO2601-88883</t>
  </si>
  <si>
    <t>PROSPER 674043118</t>
  </si>
  <si>
    <t>IN2601-98187</t>
  </si>
  <si>
    <t>03/01/2026 08:50</t>
  </si>
  <si>
    <t>SO2601-88882</t>
  </si>
  <si>
    <t>IN2601-98186</t>
  </si>
  <si>
    <t>03/01/2026 08:51</t>
  </si>
  <si>
    <t>SO2601-88881</t>
  </si>
  <si>
    <t>IN2601-98185</t>
  </si>
  <si>
    <t>SO2601-88880</t>
  </si>
  <si>
    <t>IN2601-98184</t>
  </si>
  <si>
    <t>03/01/2026 08:48</t>
  </si>
  <si>
    <t>SO2601-88879</t>
  </si>
  <si>
    <t>IN2601-98183</t>
  </si>
  <si>
    <t>SO2601-88878</t>
  </si>
  <si>
    <t>IN2601-98182</t>
  </si>
  <si>
    <t>03/01/2026 08:46</t>
  </si>
  <si>
    <t>SO2601-88877</t>
  </si>
  <si>
    <t>IN2601-98181</t>
  </si>
  <si>
    <t>SO2601-88876</t>
  </si>
  <si>
    <t>IN2601-98180</t>
  </si>
  <si>
    <t>03/01/2026 08:38</t>
  </si>
  <si>
    <t>SO2601-88875</t>
  </si>
  <si>
    <t>IN2601-98179</t>
  </si>
  <si>
    <t>03/01/2026 08:36</t>
  </si>
  <si>
    <t>SO2601-88874</t>
  </si>
  <si>
    <t>CU2511-14177 -  ASAH FARMER SHOPPING CENTER LTD</t>
  </si>
  <si>
    <t>IN2601-98178</t>
  </si>
  <si>
    <t>03/01/2026 08:15</t>
  </si>
  <si>
    <t>SO2601-88689</t>
  </si>
  <si>
    <t>02/01/2026</t>
  </si>
  <si>
    <t>02/01/2026 00:00</t>
  </si>
  <si>
    <t>IN2601-98857</t>
  </si>
  <si>
    <t>SO2601-89138</t>
  </si>
  <si>
    <t>TEJIATSA</t>
  </si>
  <si>
    <t>ID2601-0033</t>
  </si>
  <si>
    <t>03/01/2026 13:46</t>
  </si>
  <si>
    <t>SO2601-89072</t>
  </si>
  <si>
    <t>IN2601-98375</t>
  </si>
  <si>
    <t>SO2601-88913</t>
  </si>
  <si>
    <t>ESSAME</t>
  </si>
  <si>
    <t>CU2601-14248 -  COOP-CA THIERSON ET CIE</t>
  </si>
  <si>
    <t>IN2601-98218</t>
  </si>
  <si>
    <t>03/01/2026 09:46</t>
  </si>
  <si>
    <t>SO2601-88901</t>
  </si>
  <si>
    <t>IN2601-98206</t>
  </si>
  <si>
    <t>03/01/2026 09:14</t>
  </si>
  <si>
    <t>SO2601-88873</t>
  </si>
  <si>
    <t>IN2601-98176</t>
  </si>
  <si>
    <t>SO2601-88872</t>
  </si>
  <si>
    <t>AMOUGOU 691049720</t>
  </si>
  <si>
    <t>IN2601-98175</t>
  </si>
  <si>
    <t>02/01/2026 17:08</t>
  </si>
  <si>
    <t>SO2601-88871</t>
  </si>
  <si>
    <t>IN2601-98174</t>
  </si>
  <si>
    <t>02/01/2026 17:03</t>
  </si>
  <si>
    <t>SO2601-88870</t>
  </si>
  <si>
    <t>IN2601-98173</t>
  </si>
  <si>
    <t>02/01/2026 16:50</t>
  </si>
  <si>
    <t>SO2601-88869</t>
  </si>
  <si>
    <t>IN2601-98172</t>
  </si>
  <si>
    <t>02/01/2026 16:55</t>
  </si>
  <si>
    <t>SO2601-88868</t>
  </si>
  <si>
    <t>IN2601-98171</t>
  </si>
  <si>
    <t>02/01/2026 16:48</t>
  </si>
  <si>
    <t>SO2601-88867</t>
  </si>
  <si>
    <t>IN2601-98170</t>
  </si>
  <si>
    <t>02/01/2026 16:49</t>
  </si>
  <si>
    <t>SO2601-88866</t>
  </si>
  <si>
    <t>TCHEUGA</t>
  </si>
  <si>
    <t>IN2601-98169</t>
  </si>
  <si>
    <t>02/01/2026 16:38</t>
  </si>
  <si>
    <t>SO2601-88865</t>
  </si>
  <si>
    <t>IN2601-98168</t>
  </si>
  <si>
    <t>SO2601-88864</t>
  </si>
  <si>
    <t>IN2601-98167</t>
  </si>
  <si>
    <t>02/01/2026 16:37</t>
  </si>
  <si>
    <t>SO2601-88863</t>
  </si>
  <si>
    <t>IN2601-98166</t>
  </si>
  <si>
    <t>02/01/2026 16:26</t>
  </si>
  <si>
    <t>SO2601-88862</t>
  </si>
  <si>
    <t>MME NJOYA MIREILLE 653708485</t>
  </si>
  <si>
    <t>IN2601-98163</t>
  </si>
  <si>
    <t>02/01/2026 16:19</t>
  </si>
  <si>
    <t>SO2601-88861</t>
  </si>
  <si>
    <t>CU2601-14250 -  TCHINDA COLINCE</t>
  </si>
  <si>
    <t>IN2601-98162</t>
  </si>
  <si>
    <t>02/01/2026 16:20</t>
  </si>
  <si>
    <t>SO2601-88860</t>
  </si>
  <si>
    <t>ABONGO BERTINE 699787768</t>
  </si>
  <si>
    <t>IN2601-98161</t>
  </si>
  <si>
    <t>02/01/2026 16:17</t>
  </si>
  <si>
    <t>SO2601-88859</t>
  </si>
  <si>
    <t>FOPA MANFOUO / 695070040</t>
  </si>
  <si>
    <t>IN2601-98159</t>
  </si>
  <si>
    <t>02/01/2026 16:13</t>
  </si>
  <si>
    <t>SO2601-88858</t>
  </si>
  <si>
    <t>IN2601-98158</t>
  </si>
  <si>
    <t>02/01/2026 16:10</t>
  </si>
  <si>
    <t>SO2601-88857</t>
  </si>
  <si>
    <t>WACHE 676890348</t>
  </si>
  <si>
    <t>IN2601-98157</t>
  </si>
  <si>
    <t>SO2601-88856</t>
  </si>
  <si>
    <t>IN2601-98156</t>
  </si>
  <si>
    <t>SO2601-88855</t>
  </si>
  <si>
    <t>N'ZOE</t>
  </si>
  <si>
    <t>IN2601-98155</t>
  </si>
  <si>
    <t>02/01/2026 16:05</t>
  </si>
  <si>
    <t>SO2601-88854</t>
  </si>
  <si>
    <t>IN2601-98154</t>
  </si>
  <si>
    <t>02/01/2026 16:00</t>
  </si>
  <si>
    <t>SO2601-88853</t>
  </si>
  <si>
    <t>IN2601-98153</t>
  </si>
  <si>
    <t>02/01/2026 15:54</t>
  </si>
  <si>
    <t>SO2601-88852</t>
  </si>
  <si>
    <t>IN2601-98152</t>
  </si>
  <si>
    <t>SO2601-88851</t>
  </si>
  <si>
    <t>IN2601-98151</t>
  </si>
  <si>
    <t>02/01/2026 15:49</t>
  </si>
  <si>
    <t>SO2601-88850</t>
  </si>
  <si>
    <t>MAYEMELI</t>
  </si>
  <si>
    <t>IN2601-98149</t>
  </si>
  <si>
    <t>02/01/2026 15:38</t>
  </si>
  <si>
    <t>SO2601-88736</t>
  </si>
  <si>
    <t>IN2601-98148</t>
  </si>
  <si>
    <t>02/01/2026 15:39</t>
  </si>
  <si>
    <t>SO2601-88849</t>
  </si>
  <si>
    <t>IN2601-98147</t>
  </si>
  <si>
    <t>SO2601-88848</t>
  </si>
  <si>
    <t>CU2407-00932 -  ferme TCHATCHOUANG</t>
  </si>
  <si>
    <t>IN2601-98146</t>
  </si>
  <si>
    <t>SO2601-88847</t>
  </si>
  <si>
    <t>IN2601-98145</t>
  </si>
  <si>
    <t>02/01/2026 16:22</t>
  </si>
  <si>
    <t>SO2601-88846</t>
  </si>
  <si>
    <t>CU2407-00928 -  AFRICA BELIEVE GROUP (ABF - Toukam Waffo Martin Rodom)</t>
  </si>
  <si>
    <t>IN2601-98144</t>
  </si>
  <si>
    <t>CU2407-00928 -  AFRICA BELIEVE GROUP</t>
  </si>
  <si>
    <t>ABF - Toukam Waffo Martin Rodom</t>
  </si>
  <si>
    <t>22/01/2026 09:25</t>
  </si>
  <si>
    <t>SO2601-88845</t>
  </si>
  <si>
    <t>IN2601-98143</t>
  </si>
  <si>
    <t>02/01/2026 16:11</t>
  </si>
  <si>
    <t>SO2601-88844</t>
  </si>
  <si>
    <t>IN2601-98142</t>
  </si>
  <si>
    <t>02/01/2026 15:29</t>
  </si>
  <si>
    <t>SO2601-88843</t>
  </si>
  <si>
    <t>IN2601-98140</t>
  </si>
  <si>
    <t>02/01/2026 15:30</t>
  </si>
  <si>
    <t>SO2601-88842</t>
  </si>
  <si>
    <t>IN2601-98139</t>
  </si>
  <si>
    <t>02/01/2026 15:27</t>
  </si>
  <si>
    <t>SO2601-88841</t>
  </si>
  <si>
    <t>IN2601-98138</t>
  </si>
  <si>
    <t>02/01/2026 15:56</t>
  </si>
  <si>
    <t>SO2601-88840</t>
  </si>
  <si>
    <t>IN2601-98137</t>
  </si>
  <si>
    <t>02/01/2026 16:14</t>
  </si>
  <si>
    <t>SO2601-88839</t>
  </si>
  <si>
    <t>IN2601-98136</t>
  </si>
  <si>
    <t>02/01/2026 15:25</t>
  </si>
  <si>
    <t>SO2601-88838</t>
  </si>
  <si>
    <t>IN2601-98135</t>
  </si>
  <si>
    <t>SO2601-88837</t>
  </si>
  <si>
    <t>IN2601-98134</t>
  </si>
  <si>
    <t>02/01/2026 15:17</t>
  </si>
  <si>
    <t>SO2601-88836</t>
  </si>
  <si>
    <t>IN2601-98133</t>
  </si>
  <si>
    <t>02/01/2026 15:13</t>
  </si>
  <si>
    <t>SO2601-88835</t>
  </si>
  <si>
    <t>METAGNE 678329825</t>
  </si>
  <si>
    <t>IN2601-98132</t>
  </si>
  <si>
    <t>02/01/2026 15:10</t>
  </si>
  <si>
    <t>SO2601-88834</t>
  </si>
  <si>
    <t>BAVAL 694642045</t>
  </si>
  <si>
    <t>IN2601-98131</t>
  </si>
  <si>
    <t>02/01/2026 15:05</t>
  </si>
  <si>
    <t>SO2601-88833</t>
  </si>
  <si>
    <t>NKOMDJO SAMU 653317474</t>
  </si>
  <si>
    <t>IN2601-98130</t>
  </si>
  <si>
    <t>02/01/2026 15:08</t>
  </si>
  <si>
    <t>SO2601-88832</t>
  </si>
  <si>
    <t>IN2601-98129</t>
  </si>
  <si>
    <t>02/01/2026 15:02</t>
  </si>
  <si>
    <t>SO2601-88831</t>
  </si>
  <si>
    <t>IN2601-98128</t>
  </si>
  <si>
    <t>02/01/2026 15:00</t>
  </si>
  <si>
    <t>SO2601-88830</t>
  </si>
  <si>
    <t>IN2601-98127</t>
  </si>
  <si>
    <t>02/01/2026 16:45</t>
  </si>
  <si>
    <t>SO2601-88829</t>
  </si>
  <si>
    <t>ETIENNE / 693713589</t>
  </si>
  <si>
    <t>IN2601-98126</t>
  </si>
  <si>
    <t>02/01/2026 14:52</t>
  </si>
  <si>
    <t>SO2601-88828</t>
  </si>
  <si>
    <t>IN2601-98125</t>
  </si>
  <si>
    <t>02/01/2026 14:51</t>
  </si>
  <si>
    <t>SO2601-88827</t>
  </si>
  <si>
    <t>IN2601-98124</t>
  </si>
  <si>
    <t>02/01/2026 14:46</t>
  </si>
  <si>
    <t>SO2601-88826</t>
  </si>
  <si>
    <t>NGAMOU</t>
  </si>
  <si>
    <t>IN2601-98123</t>
  </si>
  <si>
    <t>02/01/2026 14:43</t>
  </si>
  <si>
    <t>SO2601-88825</t>
  </si>
  <si>
    <t>IN2601-98122</t>
  </si>
  <si>
    <t>SO2601-88824</t>
  </si>
  <si>
    <t>IN2601-98121</t>
  </si>
  <si>
    <t>02/01/2026 14:42</t>
  </si>
  <si>
    <t>SO2601-88823</t>
  </si>
  <si>
    <t>BIBOUM</t>
  </si>
  <si>
    <t>IN2601-98120</t>
  </si>
  <si>
    <t>02/01/2026 14:41</t>
  </si>
  <si>
    <t>SO2601-88822</t>
  </si>
  <si>
    <t>CU2407-00728 -  KUETCHE CLAUDE DIDEROT BRICE</t>
  </si>
  <si>
    <t>IN2601-98119</t>
  </si>
  <si>
    <t>SO2601-88821</t>
  </si>
  <si>
    <t>WOUAGNI 698220378</t>
  </si>
  <si>
    <t>IN2601-98118</t>
  </si>
  <si>
    <t>SO2601-88820</t>
  </si>
  <si>
    <t>PEKA</t>
  </si>
  <si>
    <t>IN2601-98117</t>
  </si>
  <si>
    <t>02/01/2026 14:39</t>
  </si>
  <si>
    <t>SO2601-88819</t>
  </si>
  <si>
    <t>IN2601-98116</t>
  </si>
  <si>
    <t>02/01/2026 14:37</t>
  </si>
  <si>
    <t>SO2601-88818</t>
  </si>
  <si>
    <t>POKAM</t>
  </si>
  <si>
    <t>IN2601-98115</t>
  </si>
  <si>
    <t>02/01/2026 14:36</t>
  </si>
  <si>
    <t>SO2601-88817</t>
  </si>
  <si>
    <t>IN2601-98114</t>
  </si>
  <si>
    <t>02/01/2026 14:40</t>
  </si>
  <si>
    <t>SO2601-88816</t>
  </si>
  <si>
    <t>IN2601-98113</t>
  </si>
  <si>
    <t>02/01/2026 14:26</t>
  </si>
  <si>
    <t>SO2601-88815</t>
  </si>
  <si>
    <t>Tchinda olivier</t>
  </si>
  <si>
    <t>IN2601-98112</t>
  </si>
  <si>
    <t>02/01/2026 14:27</t>
  </si>
  <si>
    <t>SO2601-88814</t>
  </si>
  <si>
    <t>IN2601-98111</t>
  </si>
  <si>
    <t>02/01/2026 14:21</t>
  </si>
  <si>
    <t>SO2601-88813</t>
  </si>
  <si>
    <t>NDJOM JEAN PIERRE / 699924736</t>
  </si>
  <si>
    <t>IN2601-98110</t>
  </si>
  <si>
    <t>02/01/2026 14:20</t>
  </si>
  <si>
    <t>SO2601-88812</t>
  </si>
  <si>
    <t>MOFFO</t>
  </si>
  <si>
    <t>IN2601-98109</t>
  </si>
  <si>
    <t>SO2601-88811</t>
  </si>
  <si>
    <t>IN2601-98108</t>
  </si>
  <si>
    <t>02/01/2026 14:17</t>
  </si>
  <si>
    <t>SO2601-88810</t>
  </si>
  <si>
    <t>IN2601-98107</t>
  </si>
  <si>
    <t>02/01/2026 14:19</t>
  </si>
  <si>
    <t>SO2601-88809</t>
  </si>
  <si>
    <t>IN2601-98106</t>
  </si>
  <si>
    <t>02/01/2026 14:13</t>
  </si>
  <si>
    <t>SO2601-88808</t>
  </si>
  <si>
    <t>IN2601-98105</t>
  </si>
  <si>
    <t>02/01/2026 14:11</t>
  </si>
  <si>
    <t>SO2601-88807</t>
  </si>
  <si>
    <t>KOAGNE ABIMAEL 678180382</t>
  </si>
  <si>
    <t>IN2601-98104</t>
  </si>
  <si>
    <t>02/01/2026 14:15</t>
  </si>
  <si>
    <t>SO2601-88806</t>
  </si>
  <si>
    <t>IN2601-98103</t>
  </si>
  <si>
    <t>02/01/2026 14:05</t>
  </si>
  <si>
    <t>SO2601-88805</t>
  </si>
  <si>
    <t>IN2601-98102</t>
  </si>
  <si>
    <t>02/01/2026 14:08</t>
  </si>
  <si>
    <t>SO2601-88804</t>
  </si>
  <si>
    <t>IN2601-98101</t>
  </si>
  <si>
    <t>02/01/2026 13:58</t>
  </si>
  <si>
    <t>SO2601-88803</t>
  </si>
  <si>
    <t>IN2601-98100</t>
  </si>
  <si>
    <t>02/01/2026 14:06</t>
  </si>
  <si>
    <t>SO2601-88802</t>
  </si>
  <si>
    <t>ESSAMA / 690902700</t>
  </si>
  <si>
    <t>IN2601-98099</t>
  </si>
  <si>
    <t>02/01/2026 13:53</t>
  </si>
  <si>
    <t>SO2601-88801</t>
  </si>
  <si>
    <t>ID2601-0027</t>
  </si>
  <si>
    <t>02/01/2026 13:57</t>
  </si>
  <si>
    <t>SO2601-88800</t>
  </si>
  <si>
    <t>IN2601-98098</t>
  </si>
  <si>
    <t>SO2601-88799</t>
  </si>
  <si>
    <t>ISMAEL GAMBO 695323277</t>
  </si>
  <si>
    <t>IN2601-98097</t>
  </si>
  <si>
    <t>02/01/2026 13:56</t>
  </si>
  <si>
    <t>SO2601-88798</t>
  </si>
  <si>
    <t>IN2601-98096</t>
  </si>
  <si>
    <t>02/01/2026 13:42</t>
  </si>
  <si>
    <t>SO2601-88797</t>
  </si>
  <si>
    <t>ID2601-0026</t>
  </si>
  <si>
    <t>02/01/2026 13:44</t>
  </si>
  <si>
    <t>SO2601-88796</t>
  </si>
  <si>
    <t>IN2601-98095</t>
  </si>
  <si>
    <t>02/01/2026 13:41</t>
  </si>
  <si>
    <t>SO2601-88795</t>
  </si>
  <si>
    <t>SAVIC SARL</t>
  </si>
  <si>
    <t>IN2601-98094</t>
  </si>
  <si>
    <t>02/01/2026 16:52</t>
  </si>
  <si>
    <t>SO2601-88794</t>
  </si>
  <si>
    <t>IN2601-98093</t>
  </si>
  <si>
    <t>02/01/2026 13:40</t>
  </si>
  <si>
    <t>SO2601-88793</t>
  </si>
  <si>
    <t>IN2601-98092</t>
  </si>
  <si>
    <t>02/01/2026 13:45</t>
  </si>
  <si>
    <t>SO2601-88792</t>
  </si>
  <si>
    <t>ABAGA GHISLAINE 690897980</t>
  </si>
  <si>
    <t>IN2601-98090</t>
  </si>
  <si>
    <t>02/01/2026 13:26</t>
  </si>
  <si>
    <t>SO2601-88791</t>
  </si>
  <si>
    <t>ID2601-0025</t>
  </si>
  <si>
    <t>02/01/2026 13:31</t>
  </si>
  <si>
    <t>SO2601-88790</t>
  </si>
  <si>
    <t>TEMBOH 671457202</t>
  </si>
  <si>
    <t>IN2601-98089</t>
  </si>
  <si>
    <t>02/01/2026 13:29</t>
  </si>
  <si>
    <t>SO2601-88789</t>
  </si>
  <si>
    <t>Steve</t>
  </si>
  <si>
    <t>IN2601-98088</t>
  </si>
  <si>
    <t>02/01/2026 13:22</t>
  </si>
  <si>
    <t>SO2601-88788</t>
  </si>
  <si>
    <t>IN2601-98087</t>
  </si>
  <si>
    <t>SO2601-88787</t>
  </si>
  <si>
    <t>IN2601-98086</t>
  </si>
  <si>
    <t>02/01/2026 13:19</t>
  </si>
  <si>
    <t>SO2601-88786</t>
  </si>
  <si>
    <t>CU2601-14249 -  TCHIGUI GERTRUDE</t>
  </si>
  <si>
    <t>IN2601-98085</t>
  </si>
  <si>
    <t>02/01/2026 13:18</t>
  </si>
  <si>
    <t>SO2601-88785</t>
  </si>
  <si>
    <t>IN2601-98084</t>
  </si>
  <si>
    <t>02/01/2026 13:14</t>
  </si>
  <si>
    <t>SO2601-88784</t>
  </si>
  <si>
    <t>ID2601-0024</t>
  </si>
  <si>
    <t>02/01/2026 13:28</t>
  </si>
  <si>
    <t>SO2601-88783</t>
  </si>
  <si>
    <t>TANEKONG 690214005</t>
  </si>
  <si>
    <t>IN2601-98083</t>
  </si>
  <si>
    <t>SO2601-88782</t>
  </si>
  <si>
    <t>sylvre</t>
  </si>
  <si>
    <t>ID2601-0023</t>
  </si>
  <si>
    <t>SO2601-88781</t>
  </si>
  <si>
    <t>Tongouepse MABOUT/ 699039820</t>
  </si>
  <si>
    <t>IN2601-98082</t>
  </si>
  <si>
    <t>02/01/2026 13:08</t>
  </si>
  <si>
    <t>SO2601-88780</t>
  </si>
  <si>
    <t>ONANA ROLAND 699424219</t>
  </si>
  <si>
    <t>IN2601-98081</t>
  </si>
  <si>
    <t>02/01/2026 13:12</t>
  </si>
  <si>
    <t>SO2601-88779</t>
  </si>
  <si>
    <t>IN2601-98080</t>
  </si>
  <si>
    <t>SO2601-88778</t>
  </si>
  <si>
    <t>KUETE GIOVANI 673778324</t>
  </si>
  <si>
    <t>IN2601-98079</t>
  </si>
  <si>
    <t>02/01/2026 13:04</t>
  </si>
  <si>
    <t>SO2601-88777</t>
  </si>
  <si>
    <t>IN2601-98078</t>
  </si>
  <si>
    <t>02/01/2026 12:57</t>
  </si>
  <si>
    <t>SO2601-88776</t>
  </si>
  <si>
    <t>IN2601-98077</t>
  </si>
  <si>
    <t>02/01/2026 12:55</t>
  </si>
  <si>
    <t>SO2601-88775</t>
  </si>
  <si>
    <t>IN2601-98076</t>
  </si>
  <si>
    <t>02/01/2026 13:03</t>
  </si>
  <si>
    <t>SO2601-88774</t>
  </si>
  <si>
    <t>IN2601-98075</t>
  </si>
  <si>
    <t>02/01/2026 12:53</t>
  </si>
  <si>
    <t>SO2601-88773</t>
  </si>
  <si>
    <t>IN2601-98074</t>
  </si>
  <si>
    <t>02/01/2026 12:52</t>
  </si>
  <si>
    <t>SO2601-88772</t>
  </si>
  <si>
    <t>IN2601-98073</t>
  </si>
  <si>
    <t>02/01/2026 12:49</t>
  </si>
  <si>
    <t>SO2601-88771</t>
  </si>
  <si>
    <t>IN2601-98072</t>
  </si>
  <si>
    <t>02/01/2026 12:45</t>
  </si>
  <si>
    <t>SO2601-88770</t>
  </si>
  <si>
    <t>IN2601-98071</t>
  </si>
  <si>
    <t>02/01/2026 14:07</t>
  </si>
  <si>
    <t>SO2601-88769</t>
  </si>
  <si>
    <t>IN2601-98070</t>
  </si>
  <si>
    <t>02/01/2026 12:41</t>
  </si>
  <si>
    <t>SO2601-88768</t>
  </si>
  <si>
    <t>IN2601-98069</t>
  </si>
  <si>
    <t>02/01/2026 12:35</t>
  </si>
  <si>
    <t>SO2601-88767</t>
  </si>
  <si>
    <t>STANLEY WIRKOM 676344670</t>
  </si>
  <si>
    <t>IN2601-98068</t>
  </si>
  <si>
    <t>02/01/2026 12:38</t>
  </si>
  <si>
    <t>SO2601-88766</t>
  </si>
  <si>
    <t>M FONO TUEAM 697326157</t>
  </si>
  <si>
    <t>IN2601-98067</t>
  </si>
  <si>
    <t>02/01/2026 12:33</t>
  </si>
  <si>
    <t>SO2601-88765</t>
  </si>
  <si>
    <t>IN2601-98066</t>
  </si>
  <si>
    <t>SO2601-88764</t>
  </si>
  <si>
    <t>TIANI YANNICK / 697539790</t>
  </si>
  <si>
    <t>IN2601-98065</t>
  </si>
  <si>
    <t>02/01/2026 12:31</t>
  </si>
  <si>
    <t>SO2601-88763</t>
  </si>
  <si>
    <t>IN2601-98064</t>
  </si>
  <si>
    <t>02/01/2026 12:30</t>
  </si>
  <si>
    <t>SO2601-88762</t>
  </si>
  <si>
    <t>IN2601-98063</t>
  </si>
  <si>
    <t>SO2601-88761</t>
  </si>
  <si>
    <t>IN2601-98062</t>
  </si>
  <si>
    <t>02/01/2026 12:27</t>
  </si>
  <si>
    <t>SO2601-88760</t>
  </si>
  <si>
    <t>IN2601-98061</t>
  </si>
  <si>
    <t>SO2601-88759</t>
  </si>
  <si>
    <t>IN2601-98060</t>
  </si>
  <si>
    <t>SO2601-88758</t>
  </si>
  <si>
    <t>IN2601-98059</t>
  </si>
  <si>
    <t>SO2601-88757</t>
  </si>
  <si>
    <t>IN2601-98058</t>
  </si>
  <si>
    <t>02/01/2026 12:26</t>
  </si>
  <si>
    <t>SO2601-88756</t>
  </si>
  <si>
    <t>IN2601-98057</t>
  </si>
  <si>
    <t>02/01/2026 12:24</t>
  </si>
  <si>
    <t>SO2601-88755</t>
  </si>
  <si>
    <t>IN2601-98056</t>
  </si>
  <si>
    <t>02/01/2026 12:19</t>
  </si>
  <si>
    <t>SO2601-88754</t>
  </si>
  <si>
    <t>IN2601-98055</t>
  </si>
  <si>
    <t>02/01/2026 12:18</t>
  </si>
  <si>
    <t>SO2601-88753</t>
  </si>
  <si>
    <t>ID2601-0022</t>
  </si>
  <si>
    <t>02/01/2026 12:21</t>
  </si>
  <si>
    <t>SO2601-88752</t>
  </si>
  <si>
    <t>IN2601-98054</t>
  </si>
  <si>
    <t>SO2601-88751</t>
  </si>
  <si>
    <t>IN2601-98053</t>
  </si>
  <si>
    <t>02/01/2026 12:11</t>
  </si>
  <si>
    <t>SO2601-88750</t>
  </si>
  <si>
    <t>IN2601-98052</t>
  </si>
  <si>
    <t>02/01/2026 13:34</t>
  </si>
  <si>
    <t>SO2601-88749</t>
  </si>
  <si>
    <t>IN2601-98051</t>
  </si>
  <si>
    <t>02/01/2026 12:10</t>
  </si>
  <si>
    <t>SO2601-88748</t>
  </si>
  <si>
    <t>GRACE</t>
  </si>
  <si>
    <t>IN2601-98050</t>
  </si>
  <si>
    <t>02/01/2026 12:08</t>
  </si>
  <si>
    <t>SO2601-88747</t>
  </si>
  <si>
    <t>IN2601-98049</t>
  </si>
  <si>
    <t>02/01/2026 12:06</t>
  </si>
  <si>
    <t>SO2601-88746</t>
  </si>
  <si>
    <t>M KAMDEM GUY 675646507</t>
  </si>
  <si>
    <t>IN2601-98048</t>
  </si>
  <si>
    <t>02/01/2026 12:01</t>
  </si>
  <si>
    <t>SO2601-88745</t>
  </si>
  <si>
    <t>BOULI JEAN</t>
  </si>
  <si>
    <t>IN2601-98047</t>
  </si>
  <si>
    <t>SO2601-88744</t>
  </si>
  <si>
    <t>M FOKOU GISLAIN 696238066</t>
  </si>
  <si>
    <t>IN2601-98046</t>
  </si>
  <si>
    <t>02/01/2026 11:59</t>
  </si>
  <si>
    <t>SO2601-88743</t>
  </si>
  <si>
    <t>KUEMO CHRISTIAN 670819271</t>
  </si>
  <si>
    <t>IN2601-98045</t>
  </si>
  <si>
    <t>SO2601-88742</t>
  </si>
  <si>
    <t>IN2601-98044</t>
  </si>
  <si>
    <t>02/01/2026 11:57</t>
  </si>
  <si>
    <t>SO2601-88741</t>
  </si>
  <si>
    <t>IN2601-98043</t>
  </si>
  <si>
    <t>02/01/2026 11:54</t>
  </si>
  <si>
    <t>SO2601-88740</t>
  </si>
  <si>
    <t>IN2601-98042</t>
  </si>
  <si>
    <t>SO2601-88739</t>
  </si>
  <si>
    <t>IN2601-98041</t>
  </si>
  <si>
    <t>02/01/2026 12:03</t>
  </si>
  <si>
    <t>SO2601-88738</t>
  </si>
  <si>
    <t>IN2601-98040</t>
  </si>
  <si>
    <t>02/01/2026 11:51</t>
  </si>
  <si>
    <t>SO2601-88737</t>
  </si>
  <si>
    <t>IN2601-98039</t>
  </si>
  <si>
    <t>02/01/2026 11:52</t>
  </si>
  <si>
    <t>SO2601-88735</t>
  </si>
  <si>
    <t>IN2601-98038</t>
  </si>
  <si>
    <t>SO2601-88734</t>
  </si>
  <si>
    <t>IN2601-98037</t>
  </si>
  <si>
    <t>02/01/2026 11:56</t>
  </si>
  <si>
    <t>SO2601-88733</t>
  </si>
  <si>
    <t>IN2601-98036</t>
  </si>
  <si>
    <t>02/01/2026 11:48</t>
  </si>
  <si>
    <t>SO2601-88732</t>
  </si>
  <si>
    <t>IN2601-98035</t>
  </si>
  <si>
    <t>02/01/2026 11:47</t>
  </si>
  <si>
    <t>SO2601-88731</t>
  </si>
  <si>
    <t>IN2601-98034</t>
  </si>
  <si>
    <t>SO2601-88730</t>
  </si>
  <si>
    <t>IN2601-98033</t>
  </si>
  <si>
    <t>02/01/2026 11:50</t>
  </si>
  <si>
    <t>SO2601-88729</t>
  </si>
  <si>
    <t>IN2601-98032</t>
  </si>
  <si>
    <t>SO2601-88728</t>
  </si>
  <si>
    <t>IN2601-98031</t>
  </si>
  <si>
    <t>02/01/2026 12:05</t>
  </si>
  <si>
    <t>SO2601-88727</t>
  </si>
  <si>
    <t>IN2601-98029</t>
  </si>
  <si>
    <t>02/01/2026 11:42</t>
  </si>
  <si>
    <t>SO2601-88726</t>
  </si>
  <si>
    <t>IN2601-98028</t>
  </si>
  <si>
    <t>02/01/2026 11:45</t>
  </si>
  <si>
    <t>SO2601-88725</t>
  </si>
  <si>
    <t>IN2601-98027</t>
  </si>
  <si>
    <t>02/01/2026 11:39</t>
  </si>
  <si>
    <t>SO2601-88724</t>
  </si>
  <si>
    <t>IN2601-98026</t>
  </si>
  <si>
    <t>02/01/2026 11:33</t>
  </si>
  <si>
    <t>SO2601-88723</t>
  </si>
  <si>
    <t>IN2601-98025</t>
  </si>
  <si>
    <t>02/01/2026 11:31</t>
  </si>
  <si>
    <t>SO2601-88722</t>
  </si>
  <si>
    <t>IN2601-98024</t>
  </si>
  <si>
    <t>02/01/2026 11:30</t>
  </si>
  <si>
    <t>SO2601-88721</t>
  </si>
  <si>
    <t>TAPTSE</t>
  </si>
  <si>
    <t>ID2601-0020</t>
  </si>
  <si>
    <t>SO2601-88720</t>
  </si>
  <si>
    <t>ETS MJ NOVA / 693306294</t>
  </si>
  <si>
    <t>IN2601-98023</t>
  </si>
  <si>
    <t>02/01/2026 11:25</t>
  </si>
  <si>
    <t>SO2601-88719</t>
  </si>
  <si>
    <t>ID2601-0019</t>
  </si>
  <si>
    <t>SO2601-88718</t>
  </si>
  <si>
    <t>CU2502-01217 -  MBE NARCISSE JOEL</t>
  </si>
  <si>
    <t>IN2601-98022</t>
  </si>
  <si>
    <t>02/01/2026 11:26</t>
  </si>
  <si>
    <t>SO2601-88717</t>
  </si>
  <si>
    <t>IN2601-98021</t>
  </si>
  <si>
    <t>02/01/2026 11:24</t>
  </si>
  <si>
    <t>SO2601-88716</t>
  </si>
  <si>
    <t>IN2601-98020</t>
  </si>
  <si>
    <t>SO2601-88715</t>
  </si>
  <si>
    <t>IN2601-98019</t>
  </si>
  <si>
    <t>02/01/2026 11:23</t>
  </si>
  <si>
    <t>SO2601-88714</t>
  </si>
  <si>
    <t>ABOUBAKAR SIDIKI 694946958</t>
  </si>
  <si>
    <t>IN2601-98018</t>
  </si>
  <si>
    <t>02/01/2026 11:22</t>
  </si>
  <si>
    <t>SO2601-88713</t>
  </si>
  <si>
    <t>IN2601-98017</t>
  </si>
  <si>
    <t>SO2601-88712</t>
  </si>
  <si>
    <t>IN2601-98016</t>
  </si>
  <si>
    <t>02/01/2026 11:18</t>
  </si>
  <si>
    <t>SO2601-88711</t>
  </si>
  <si>
    <t>CU2407-00783 -  METAFE GNITEYO SONYA M</t>
  </si>
  <si>
    <t>ID2601-0018</t>
  </si>
  <si>
    <t>02/01/2026 11:15</t>
  </si>
  <si>
    <t>SO2601-88710</t>
  </si>
  <si>
    <t>IN2601-98015</t>
  </si>
  <si>
    <t>SO2601-88709</t>
  </si>
  <si>
    <t>IN2601-98014</t>
  </si>
  <si>
    <t>02/01/2026 11:08</t>
  </si>
  <si>
    <t>SO2601-88708</t>
  </si>
  <si>
    <t>IN2601-98013</t>
  </si>
  <si>
    <t>02/01/2026 12:34</t>
  </si>
  <si>
    <t>SO2601-88707</t>
  </si>
  <si>
    <t>IN2601-98012</t>
  </si>
  <si>
    <t>02/01/2026 11:07</t>
  </si>
  <si>
    <t>SO2601-88706</t>
  </si>
  <si>
    <t>NTAMA AMBROISE 691579138</t>
  </si>
  <si>
    <t>IN2601-98011</t>
  </si>
  <si>
    <t>02/01/2026 11:09</t>
  </si>
  <si>
    <t>SO2601-88705</t>
  </si>
  <si>
    <t>TANKE NFOUO</t>
  </si>
  <si>
    <t>IN2601-98010</t>
  </si>
  <si>
    <t>02/01/2026 11:02</t>
  </si>
  <si>
    <t>SO2601-88704</t>
  </si>
  <si>
    <t>ID2601-0017</t>
  </si>
  <si>
    <t>02/01/2026 11:06</t>
  </si>
  <si>
    <t>SO2601-88703</t>
  </si>
  <si>
    <t>CELESTIN 650926749</t>
  </si>
  <si>
    <t>IN2601-98009</t>
  </si>
  <si>
    <t>02/01/2026 11:01</t>
  </si>
  <si>
    <t>SO2601-88702</t>
  </si>
  <si>
    <t>CU2407-00966 -  PROVENDERIE MERVEILLES MESSASSI</t>
  </si>
  <si>
    <t>ID2601-0016</t>
  </si>
  <si>
    <t>02/01/2026 11:03</t>
  </si>
  <si>
    <t>SO2601-88701</t>
  </si>
  <si>
    <t>IN2601-98008</t>
  </si>
  <si>
    <t>02/01/2026 10:53</t>
  </si>
  <si>
    <t>SO2601-88700</t>
  </si>
  <si>
    <t>NGHASSI BERNARD (ZDCL00033)</t>
  </si>
  <si>
    <t>IN2601-98007</t>
  </si>
  <si>
    <t>NGHASSI BERNARD</t>
  </si>
  <si>
    <t>ZDCL00033</t>
  </si>
  <si>
    <t>SO2601-88699</t>
  </si>
  <si>
    <t>IN2601-98006</t>
  </si>
  <si>
    <t>02/01/2026 10:55</t>
  </si>
  <si>
    <t>SO2601-88698</t>
  </si>
  <si>
    <t>FO</t>
  </si>
  <si>
    <t>IN2601-98005</t>
  </si>
  <si>
    <t>02/01/2026 10:50</t>
  </si>
  <si>
    <t>SO2601-88697</t>
  </si>
  <si>
    <t>M PELAP FOKO 695110959</t>
  </si>
  <si>
    <t>IN2601-98004</t>
  </si>
  <si>
    <t>02/01/2026 10:48</t>
  </si>
  <si>
    <t>SO2601-88696</t>
  </si>
  <si>
    <t>TOKAM</t>
  </si>
  <si>
    <t>IN2601-98003</t>
  </si>
  <si>
    <t>02/01/2026 10:54</t>
  </si>
  <si>
    <t>SO2601-88695</t>
  </si>
  <si>
    <t>IN2601-98002</t>
  </si>
  <si>
    <t>SO2601-88694</t>
  </si>
  <si>
    <t>IN2601-98001</t>
  </si>
  <si>
    <t>02/01/2026 10:44</t>
  </si>
  <si>
    <t>SO2601-88693</t>
  </si>
  <si>
    <t>ALEXIS</t>
  </si>
  <si>
    <t>IN2601-98000</t>
  </si>
  <si>
    <t>02/01/2026 10:43</t>
  </si>
  <si>
    <t>SO2601-88692</t>
  </si>
  <si>
    <t>GWET</t>
  </si>
  <si>
    <t>IN2601-97999</t>
  </si>
  <si>
    <t>02/01/2026 10:34</t>
  </si>
  <si>
    <t>SO2601-88691</t>
  </si>
  <si>
    <t>IN2601-97998</t>
  </si>
  <si>
    <t>02/01/2026 10:37</t>
  </si>
  <si>
    <t>SO2601-88690</t>
  </si>
  <si>
    <t>MME WATEM ELISA 695807743</t>
  </si>
  <si>
    <t>IN2601-97997</t>
  </si>
  <si>
    <t>02/01/2026 10:28</t>
  </si>
  <si>
    <t>SO2601-88688</t>
  </si>
  <si>
    <t>CU2407-00954 -  PROV LA GRACE NKOLOBISSON</t>
  </si>
  <si>
    <t>ID2601-0014</t>
  </si>
  <si>
    <t>02/01/2026 10:31</t>
  </si>
  <si>
    <t>SO2601-88687</t>
  </si>
  <si>
    <t>IN2601-97996</t>
  </si>
  <si>
    <t>02/01/2026 10:32</t>
  </si>
  <si>
    <t>SO2601-88686</t>
  </si>
  <si>
    <t>IN2601-97995</t>
  </si>
  <si>
    <t>SO2601-88685</t>
  </si>
  <si>
    <t>ID2601-0013</t>
  </si>
  <si>
    <t>02/01/2026 10:33</t>
  </si>
  <si>
    <t>SO2601-88684</t>
  </si>
  <si>
    <t>IN2601-97994</t>
  </si>
  <si>
    <t>02/01/2026 10:26</t>
  </si>
  <si>
    <t>SO2601-88682</t>
  </si>
  <si>
    <t>IN2601-97993</t>
  </si>
  <si>
    <t>02/01/2026 10:24</t>
  </si>
  <si>
    <t>SO2601-88681</t>
  </si>
  <si>
    <t>MBONGUE</t>
  </si>
  <si>
    <t>IN2601-97992</t>
  </si>
  <si>
    <t>02/01/2026 10:21</t>
  </si>
  <si>
    <t>SO2601-88680</t>
  </si>
  <si>
    <t>IN2601-97991</t>
  </si>
  <si>
    <t>SO2601-88679</t>
  </si>
  <si>
    <t>IN2601-97990</t>
  </si>
  <si>
    <t>02/01/2026 10:25</t>
  </si>
  <si>
    <t>SO2601-88678</t>
  </si>
  <si>
    <t>IN2601-97989</t>
  </si>
  <si>
    <t>SO2601-88677</t>
  </si>
  <si>
    <t>IN2601-97988</t>
  </si>
  <si>
    <t>02/01/2026 10:06</t>
  </si>
  <si>
    <t>SO2601-88676</t>
  </si>
  <si>
    <t>IN2601-97987</t>
  </si>
  <si>
    <t>02/01/2026 10:10</t>
  </si>
  <si>
    <t>SO2601-88675</t>
  </si>
  <si>
    <t>ID2601-0011</t>
  </si>
  <si>
    <t>02/01/2026 10:18</t>
  </si>
  <si>
    <t>SO2601-88674</t>
  </si>
  <si>
    <t>IN2601-97986</t>
  </si>
  <si>
    <t>02/01/2026 10:15</t>
  </si>
  <si>
    <t>SO2601-88673</t>
  </si>
  <si>
    <t>IN2601-97985</t>
  </si>
  <si>
    <t>02/01/2026 10:00</t>
  </si>
  <si>
    <t>SO2601-88672</t>
  </si>
  <si>
    <t>ALAIN 675838366</t>
  </si>
  <si>
    <t>IN2601-97984</t>
  </si>
  <si>
    <t>02/01/2026 09:53</t>
  </si>
  <si>
    <t>SO2601-88671</t>
  </si>
  <si>
    <t>IN2601-97983</t>
  </si>
  <si>
    <t>02/01/2026 09:48</t>
  </si>
  <si>
    <t>SO2601-88670</t>
  </si>
  <si>
    <t>IN2601-97982</t>
  </si>
  <si>
    <t>02/01/2026 09:47</t>
  </si>
  <si>
    <t>SO2601-88669</t>
  </si>
  <si>
    <t>ID2601-0010</t>
  </si>
  <si>
    <t>02/01/2026 09:42</t>
  </si>
  <si>
    <t>SO2601-88668</t>
  </si>
  <si>
    <t>IN2601-97981</t>
  </si>
  <si>
    <t>02/01/2026 09:49</t>
  </si>
  <si>
    <t>SO2601-88667</t>
  </si>
  <si>
    <t>IN2601-97980</t>
  </si>
  <si>
    <t>02/01/2026 09:45</t>
  </si>
  <si>
    <t>SO2601-88666</t>
  </si>
  <si>
    <t>IN2601-97979</t>
  </si>
  <si>
    <t>02/01/2026 09:39</t>
  </si>
  <si>
    <t>SO2601-88665</t>
  </si>
  <si>
    <t>IN2601-97978</t>
  </si>
  <si>
    <t>02/01/2026 09:34</t>
  </si>
  <si>
    <t>SO2601-88664</t>
  </si>
  <si>
    <t>IN2601-97977</t>
  </si>
  <si>
    <t>02/01/2026 09:43</t>
  </si>
  <si>
    <t>SO2601-88663</t>
  </si>
  <si>
    <t>DJOUSSI</t>
  </si>
  <si>
    <t>ID2601-0009</t>
  </si>
  <si>
    <t>02/01/2026 09:33</t>
  </si>
  <si>
    <t>SO2601-88662</t>
  </si>
  <si>
    <t>ID2601-0008</t>
  </si>
  <si>
    <t>02/01/2026 09:30</t>
  </si>
  <si>
    <t>SO2601-88661</t>
  </si>
  <si>
    <t>PROVOCAM 650510456</t>
  </si>
  <si>
    <t>IN2601-97976</t>
  </si>
  <si>
    <t>02/01/2026 09:23</t>
  </si>
  <si>
    <t>SO2601-88660</t>
  </si>
  <si>
    <t>IN2601-97975</t>
  </si>
  <si>
    <t>02/01/2026 09:26</t>
  </si>
  <si>
    <t>SO2601-88659</t>
  </si>
  <si>
    <t>ID2601-0007</t>
  </si>
  <si>
    <t>02/01/2026 09:20</t>
  </si>
  <si>
    <t>SO2601-88658</t>
  </si>
  <si>
    <t>CU2508-13669 -  THONTHONG MINGU REINE AUGUSTINE</t>
  </si>
  <si>
    <t>IN2601-97974</t>
  </si>
  <si>
    <t>02/01/2026 09:24</t>
  </si>
  <si>
    <t>SO2601-88656</t>
  </si>
  <si>
    <t>IN2601-97972</t>
  </si>
  <si>
    <t>02/01/2026 09:12</t>
  </si>
  <si>
    <t>SO2601-88655</t>
  </si>
  <si>
    <t>IN2601-97971</t>
  </si>
  <si>
    <t>02/01/2026 09:14</t>
  </si>
  <si>
    <t>SO2601-88654</t>
  </si>
  <si>
    <t>ndonmo</t>
  </si>
  <si>
    <t>ID2601-0006</t>
  </si>
  <si>
    <t>02/01/2026 09:11</t>
  </si>
  <si>
    <t>SO2601-88653</t>
  </si>
  <si>
    <t>IN2601-97970</t>
  </si>
  <si>
    <t>02/01/2026 09:03</t>
  </si>
  <si>
    <t>SO2601-88652</t>
  </si>
  <si>
    <t>IN2601-97969</t>
  </si>
  <si>
    <t>02/01/2026 08:59</t>
  </si>
  <si>
    <t>SO2601-88651</t>
  </si>
  <si>
    <t>IN2601-97968</t>
  </si>
  <si>
    <t>02/01/2026 08:56</t>
  </si>
  <si>
    <t>SO2601-88650</t>
  </si>
  <si>
    <t>IN2601-97967</t>
  </si>
  <si>
    <t>02/01/2026 09:01</t>
  </si>
  <si>
    <t>SO2601-88649</t>
  </si>
  <si>
    <t>IN2601-97966</t>
  </si>
  <si>
    <t>02/01/2026 08:57</t>
  </si>
  <si>
    <t>SO2601-88648</t>
  </si>
  <si>
    <t>IN2601-97965</t>
  </si>
  <si>
    <t>02/01/2026 09:02</t>
  </si>
  <si>
    <t>SO2601-88647</t>
  </si>
  <si>
    <t>IN2601-97964</t>
  </si>
  <si>
    <t>02/01/2026 08:52</t>
  </si>
  <si>
    <t>SO2601-88646</t>
  </si>
  <si>
    <t>IN2601-97963</t>
  </si>
  <si>
    <t>02/01/2026 08:54</t>
  </si>
  <si>
    <t>SO2601-88645</t>
  </si>
  <si>
    <t>IN2601-97962</t>
  </si>
  <si>
    <t>02/01/2026 08:49</t>
  </si>
  <si>
    <t>SO2601-88644</t>
  </si>
  <si>
    <t>IN2601-97961</t>
  </si>
  <si>
    <t>02/01/2026 08:50</t>
  </si>
  <si>
    <t>SO2601-88643</t>
  </si>
  <si>
    <t>IN2601-97960</t>
  </si>
  <si>
    <t>02/01/2026 08:46</t>
  </si>
  <si>
    <t>SO2601-88642</t>
  </si>
  <si>
    <t>ID2601-0005</t>
  </si>
  <si>
    <t>02/01/2026 08:42</t>
  </si>
  <si>
    <t>SO2601-88641</t>
  </si>
  <si>
    <t>ID2601-0004</t>
  </si>
  <si>
    <t>02/01/2026 09:21</t>
  </si>
  <si>
    <t>SO2601-88640</t>
  </si>
  <si>
    <t>OUMAROU MOUSSA / 654 31 77 88</t>
  </si>
  <si>
    <t>ID2601-0003</t>
  </si>
  <si>
    <t>02/01/2026 08:37</t>
  </si>
  <si>
    <t>SO2601-88639</t>
  </si>
  <si>
    <t>IN2601-97959</t>
  </si>
  <si>
    <t>02/01/2026 08:43</t>
  </si>
  <si>
    <t>SO2601-88638</t>
  </si>
  <si>
    <t>IN2601-97958</t>
  </si>
  <si>
    <t>02/01/2026 08:20</t>
  </si>
  <si>
    <t>SO2601-88637</t>
  </si>
  <si>
    <t>MOUKAM 699096837</t>
  </si>
  <si>
    <t>ID2601-0002</t>
  </si>
  <si>
    <t>02/01/2026 08:13</t>
  </si>
  <si>
    <t>SO2601-88636</t>
  </si>
  <si>
    <t>ID2601-0001</t>
  </si>
  <si>
    <t>02/01/2026 07:55</t>
  </si>
  <si>
    <t>IN2601-103930</t>
  </si>
  <si>
    <t>CU2508-13746 - SU2508-00305 -  SOCIETE COOPERATIVE SIMPLIFIEE AGROALIMENTAIRE DU CAMEROUN(socac)</t>
  </si>
  <si>
    <t>31/01/2026 12:50</t>
  </si>
  <si>
    <t>IN2601-103790</t>
  </si>
  <si>
    <t>CU2407-00805 - SU2407-00009 -  TALLA SERGES ZFCL00037</t>
  </si>
  <si>
    <t>IN2601-103564</t>
  </si>
  <si>
    <t>02/01/1970</t>
  </si>
  <si>
    <t>29/01/2026 16:16</t>
  </si>
  <si>
    <t>IN2601-103214</t>
  </si>
  <si>
    <t>IN2601-103149</t>
  </si>
  <si>
    <t>27/01/2026 16:43</t>
  </si>
  <si>
    <t>IN2601-102481</t>
  </si>
  <si>
    <t>23/01/2026 17:19</t>
  </si>
  <si>
    <t>IN2601-102122</t>
  </si>
  <si>
    <t>IN2601-101939</t>
  </si>
  <si>
    <t>IN2601-101083</t>
  </si>
  <si>
    <t>IN2601-101011</t>
  </si>
  <si>
    <t>15/01/2026 16:39</t>
  </si>
  <si>
    <t>IN2601-100351</t>
  </si>
  <si>
    <t>12/01/2026 16:48</t>
  </si>
  <si>
    <t>IN2601-100283</t>
  </si>
  <si>
    <t>12/01/2026 14:44</t>
  </si>
  <si>
    <t>IN2601-100247</t>
  </si>
  <si>
    <t>CU2508-13741 - SU2508-00304 -  ETS VETZONE PLUS</t>
  </si>
  <si>
    <t>IN2601-99948</t>
  </si>
  <si>
    <t>10/01/2026 10:53</t>
  </si>
  <si>
    <t>IN2601-99612</t>
  </si>
  <si>
    <t>IN2601-99383</t>
  </si>
  <si>
    <t>08/01/2026 08:36</t>
  </si>
  <si>
    <t>IN2601-99124</t>
  </si>
  <si>
    <t>IN2601-99077</t>
  </si>
  <si>
    <t>IN2601-98816</t>
  </si>
  <si>
    <t>06/01/2026 08:58</t>
  </si>
  <si>
    <t>IN2601-98808</t>
  </si>
  <si>
    <t>06/01/2026 08:36</t>
  </si>
  <si>
    <t>IN2601-98794</t>
  </si>
  <si>
    <t>IN2601-98789</t>
  </si>
  <si>
    <t>05/01/2026 17:35</t>
  </si>
  <si>
    <t>IN2601-98661</t>
  </si>
  <si>
    <t>IN2601-98201</t>
  </si>
  <si>
    <t>03/01/2026 09:01</t>
  </si>
  <si>
    <t>IN2601-98177</t>
  </si>
  <si>
    <t>02/01/2026 19:17</t>
  </si>
  <si>
    <t>IN2601-98165</t>
  </si>
  <si>
    <t>IN2601-98164</t>
  </si>
  <si>
    <t>IN2601-98160</t>
  </si>
  <si>
    <t>IN2601-98150</t>
  </si>
  <si>
    <t>02/01/2026 15:46</t>
  </si>
  <si>
    <t>IN2601-98141</t>
  </si>
  <si>
    <t>IN2601-98091</t>
  </si>
  <si>
    <t>IN2601-98030</t>
  </si>
  <si>
    <t>02/01/2026 11:38</t>
  </si>
  <si>
    <t>IN2601-97973</t>
  </si>
  <si>
    <t># Commandes</t>
  </si>
  <si>
    <t># Factures</t>
  </si>
  <si>
    <t># Différences</t>
  </si>
  <si>
    <t>% Diff.</t>
  </si>
  <si>
    <t>% Corresp.</t>
  </si>
  <si>
    <t>Valeur TTC Cmd</t>
  </si>
  <si>
    <t>Valeur HT Cmd</t>
  </si>
  <si>
    <t>Valeur TTC Fact.</t>
  </si>
  <si>
    <t>Valeur HT Fact.</t>
  </si>
  <si>
    <t>Ecart TTC</t>
  </si>
  <si>
    <t>Ecart HT</t>
  </si>
  <si>
    <t>SO2601-94622</t>
  </si>
  <si>
    <t>CU2508-13746 -  SOCIETE COOPERATIVE SIMPLIFIEE AGROALIMENTAIRE DU CAMEROUN(socac)</t>
  </si>
  <si>
    <t xml:space="preserve">  100,000 </t>
  </si>
  <si>
    <t>SO2601-94482</t>
  </si>
  <si>
    <t>CU2407-00805 -  TALLA SERGES ZFCL00037 (ELEVEUR)</t>
  </si>
  <si>
    <t xml:space="preserve">  621,300 </t>
  </si>
  <si>
    <t>SO2601-93906</t>
  </si>
  <si>
    <t xml:space="preserve">  356,000 </t>
  </si>
  <si>
    <t>SO2601-92632</t>
  </si>
  <si>
    <t xml:space="preserve">  399,600 </t>
  </si>
  <si>
    <t>SO2601-91776</t>
  </si>
  <si>
    <t xml:space="preserve">  570,300 </t>
  </si>
  <si>
    <t>SO2601-90977</t>
  </si>
  <si>
    <t>SO2601-90941</t>
  </si>
  <si>
    <t>CU2508-13741 -  ETS VETZONE PLUS (REYANG MBARGA HERMANN)</t>
  </si>
  <si>
    <t xml:space="preserve">  11,980 </t>
  </si>
  <si>
    <t>SO2601-90307</t>
  </si>
  <si>
    <t xml:space="preserve">  508,400 </t>
  </si>
  <si>
    <t>SO2601-89514</t>
  </si>
  <si>
    <t xml:space="preserve">  586,000 </t>
  </si>
  <si>
    <t>SO2601-89362</t>
  </si>
  <si>
    <t xml:space="preserve">  492,000 </t>
  </si>
  <si>
    <t>SO2601-88657</t>
  </si>
  <si>
    <t xml:space="preserve">  507,700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</si>
</sst>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8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3" fillId="0" borderId="1" applyFont="1" applyNumberFormat="1" applyFill="0" applyBorder="1" applyAlignment="0"/>
    <xf xfId="0" fontId="2" numFmtId="10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5953"/>
  <sheetViews>
    <sheetView tabSelected="0" workbookViewId="0" showGridLines="true" showRowColHeaders="1">
      <selection activeCell="P5953" sqref="P5953:AG5953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0</v>
      </c>
      <c r="Q1" t="s">
        <v>13</v>
      </c>
      <c r="R1" t="s">
        <v>14</v>
      </c>
      <c r="S1" t="s">
        <v>15</v>
      </c>
      <c r="T1" t="s">
        <v>2</v>
      </c>
      <c r="U1" t="s">
        <v>16</v>
      </c>
      <c r="V1" t="s">
        <v>6</v>
      </c>
      <c r="W1" t="s">
        <v>7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9</v>
      </c>
      <c r="AD1" t="s">
        <v>22</v>
      </c>
      <c r="AE1" t="s">
        <v>12</v>
      </c>
      <c r="AF1" t="s">
        <v>23</v>
      </c>
      <c r="AG1" t="s">
        <v>24</v>
      </c>
    </row>
    <row r="2" spans="1:33">
      <c r="A2" t="s">
        <v>25</v>
      </c>
      <c r="B2">
        <v>695637378</v>
      </c>
      <c r="C2" t="s">
        <v>26</v>
      </c>
      <c r="E2" t="s">
        <v>27</v>
      </c>
      <c r="F2" t="s">
        <v>28</v>
      </c>
      <c r="G2">
        <v>20.99</v>
      </c>
      <c r="H2">
        <v>20.99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P2" s="1" t="s">
        <v>34</v>
      </c>
      <c r="Q2" s="1" t="s">
        <v>27</v>
      </c>
      <c r="R2" s="1" t="s">
        <v>27</v>
      </c>
      <c r="S2" s="1"/>
      <c r="T2" s="1" t="s">
        <v>26</v>
      </c>
      <c r="U2" s="1"/>
      <c r="V2" s="1">
        <v>20.99</v>
      </c>
      <c r="W2" s="1">
        <v>20.99</v>
      </c>
      <c r="X2" s="1" t="s">
        <v>35</v>
      </c>
      <c r="Y2" s="1">
        <v>20990.0</v>
      </c>
      <c r="Z2" s="1"/>
      <c r="AA2" s="1">
        <v>20990</v>
      </c>
      <c r="AB2" s="1"/>
      <c r="AC2" s="1" t="s">
        <v>36</v>
      </c>
      <c r="AD2" s="1" t="s">
        <v>37</v>
      </c>
      <c r="AE2" s="1" t="s">
        <v>32</v>
      </c>
      <c r="AF2" s="1" t="s">
        <v>33</v>
      </c>
      <c r="AG2" s="1" t="s">
        <v>30</v>
      </c>
    </row>
    <row r="3" spans="1:33">
      <c r="A3" t="s">
        <v>38</v>
      </c>
      <c r="C3" t="s">
        <v>39</v>
      </c>
      <c r="E3" t="s">
        <v>27</v>
      </c>
      <c r="F3" t="s">
        <v>28</v>
      </c>
      <c r="G3">
        <v>710.0</v>
      </c>
      <c r="H3">
        <v>710.0</v>
      </c>
      <c r="I3" t="s">
        <v>40</v>
      </c>
      <c r="J3" t="s">
        <v>41</v>
      </c>
      <c r="K3" t="s">
        <v>31</v>
      </c>
      <c r="L3" t="s">
        <v>32</v>
      </c>
      <c r="M3" t="s">
        <v>33</v>
      </c>
      <c r="P3" s="1" t="s">
        <v>42</v>
      </c>
      <c r="Q3" s="1" t="s">
        <v>27</v>
      </c>
      <c r="R3" s="1" t="s">
        <v>43</v>
      </c>
      <c r="S3" s="1"/>
      <c r="T3" s="1" t="s">
        <v>39</v>
      </c>
      <c r="U3" s="1"/>
      <c r="V3" s="1">
        <v>710.0</v>
      </c>
      <c r="W3" s="1">
        <v>710.0</v>
      </c>
      <c r="X3" s="1" t="s">
        <v>35</v>
      </c>
      <c r="Y3" s="1">
        <v>710000.0</v>
      </c>
      <c r="Z3" s="1"/>
      <c r="AA3" s="1">
        <v>710000</v>
      </c>
      <c r="AB3" s="1"/>
      <c r="AC3" s="1" t="s">
        <v>36</v>
      </c>
      <c r="AD3" s="1" t="s">
        <v>44</v>
      </c>
      <c r="AE3" s="1" t="s">
        <v>32</v>
      </c>
      <c r="AF3" s="1" t="s">
        <v>33</v>
      </c>
      <c r="AG3" s="1" t="s">
        <v>41</v>
      </c>
    </row>
    <row r="4" spans="1:33">
      <c r="A4" t="s">
        <v>45</v>
      </c>
      <c r="B4" t="s">
        <v>46</v>
      </c>
      <c r="C4" t="s">
        <v>47</v>
      </c>
      <c r="E4" t="s">
        <v>27</v>
      </c>
      <c r="F4" t="s">
        <v>28</v>
      </c>
      <c r="G4">
        <v>43.98</v>
      </c>
      <c r="H4">
        <v>43.98</v>
      </c>
      <c r="I4" t="s">
        <v>48</v>
      </c>
      <c r="J4" t="s">
        <v>49</v>
      </c>
      <c r="K4" t="s">
        <v>31</v>
      </c>
      <c r="L4" t="s">
        <v>32</v>
      </c>
      <c r="M4" t="s">
        <v>33</v>
      </c>
      <c r="P4" s="1" t="s">
        <v>50</v>
      </c>
      <c r="Q4" s="1" t="s">
        <v>27</v>
      </c>
      <c r="R4" s="1" t="s">
        <v>27</v>
      </c>
      <c r="S4" s="1"/>
      <c r="T4" s="1" t="s">
        <v>47</v>
      </c>
      <c r="U4" s="1"/>
      <c r="V4" s="1">
        <v>43.98</v>
      </c>
      <c r="W4" s="1">
        <v>43.98</v>
      </c>
      <c r="X4" s="1" t="s">
        <v>35</v>
      </c>
      <c r="Y4" s="1">
        <v>43980.0</v>
      </c>
      <c r="Z4" s="1"/>
      <c r="AA4" s="1">
        <v>43980</v>
      </c>
      <c r="AB4" s="1"/>
      <c r="AC4" s="1" t="s">
        <v>36</v>
      </c>
      <c r="AD4" s="1" t="s">
        <v>51</v>
      </c>
      <c r="AE4" s="1" t="s">
        <v>32</v>
      </c>
      <c r="AF4" s="1" t="s">
        <v>33</v>
      </c>
      <c r="AG4" s="1" t="s">
        <v>49</v>
      </c>
    </row>
    <row r="5" spans="1:33">
      <c r="A5" t="s">
        <v>52</v>
      </c>
      <c r="B5" t="s">
        <v>53</v>
      </c>
      <c r="C5" t="s">
        <v>47</v>
      </c>
      <c r="E5" t="s">
        <v>27</v>
      </c>
      <c r="F5" t="s">
        <v>28</v>
      </c>
      <c r="G5">
        <v>20.99</v>
      </c>
      <c r="H5">
        <v>20.99</v>
      </c>
      <c r="I5" t="s">
        <v>48</v>
      </c>
      <c r="J5" t="s">
        <v>49</v>
      </c>
      <c r="K5" t="s">
        <v>31</v>
      </c>
      <c r="L5" t="s">
        <v>32</v>
      </c>
      <c r="M5" t="s">
        <v>33</v>
      </c>
      <c r="P5" s="1" t="s">
        <v>54</v>
      </c>
      <c r="Q5" s="1" t="s">
        <v>27</v>
      </c>
      <c r="R5" s="1" t="s">
        <v>27</v>
      </c>
      <c r="S5" s="1"/>
      <c r="T5" s="1" t="s">
        <v>47</v>
      </c>
      <c r="U5" s="1"/>
      <c r="V5" s="1">
        <v>20.99</v>
      </c>
      <c r="W5" s="1">
        <v>20.99</v>
      </c>
      <c r="X5" s="1" t="s">
        <v>35</v>
      </c>
      <c r="Y5" s="1">
        <v>20990.0</v>
      </c>
      <c r="Z5" s="1"/>
      <c r="AA5" s="1">
        <v>20990</v>
      </c>
      <c r="AB5" s="1"/>
      <c r="AC5" s="1" t="s">
        <v>36</v>
      </c>
      <c r="AD5" s="1" t="s">
        <v>55</v>
      </c>
      <c r="AE5" s="1" t="s">
        <v>32</v>
      </c>
      <c r="AF5" s="1" t="s">
        <v>33</v>
      </c>
      <c r="AG5" s="1" t="s">
        <v>49</v>
      </c>
    </row>
    <row r="6" spans="1:33">
      <c r="A6" t="s">
        <v>56</v>
      </c>
      <c r="B6" t="s">
        <v>57</v>
      </c>
      <c r="C6" t="s">
        <v>58</v>
      </c>
      <c r="E6" t="s">
        <v>27</v>
      </c>
      <c r="F6" t="s">
        <v>28</v>
      </c>
      <c r="G6">
        <v>777.0</v>
      </c>
      <c r="H6">
        <v>777.0</v>
      </c>
      <c r="I6" t="s">
        <v>59</v>
      </c>
      <c r="J6" t="s">
        <v>60</v>
      </c>
      <c r="K6" t="s">
        <v>31</v>
      </c>
      <c r="L6" t="s">
        <v>32</v>
      </c>
      <c r="M6" t="s">
        <v>33</v>
      </c>
      <c r="P6" s="1" t="s">
        <v>61</v>
      </c>
      <c r="Q6" s="1" t="s">
        <v>27</v>
      </c>
      <c r="R6" s="1" t="s">
        <v>27</v>
      </c>
      <c r="S6" s="1"/>
      <c r="T6" s="1" t="s">
        <v>58</v>
      </c>
      <c r="U6" s="1"/>
      <c r="V6" s="1">
        <v>777.0</v>
      </c>
      <c r="W6" s="1">
        <v>777.0</v>
      </c>
      <c r="X6" s="1" t="s">
        <v>35</v>
      </c>
      <c r="Y6" s="1">
        <v>777000.0</v>
      </c>
      <c r="Z6" s="1"/>
      <c r="AA6" s="1">
        <v>777000</v>
      </c>
      <c r="AB6" s="1"/>
      <c r="AC6" s="1" t="s">
        <v>36</v>
      </c>
      <c r="AD6" s="1" t="s">
        <v>62</v>
      </c>
      <c r="AE6" s="1" t="s">
        <v>32</v>
      </c>
      <c r="AF6" s="1" t="s">
        <v>33</v>
      </c>
      <c r="AG6" s="1" t="s">
        <v>60</v>
      </c>
    </row>
    <row r="7" spans="1:33">
      <c r="A7" t="s">
        <v>63</v>
      </c>
      <c r="C7" t="s">
        <v>64</v>
      </c>
      <c r="E7" t="s">
        <v>27</v>
      </c>
      <c r="F7" t="s">
        <v>28</v>
      </c>
      <c r="G7">
        <v>3.5</v>
      </c>
      <c r="H7">
        <v>3.5</v>
      </c>
      <c r="I7" t="s">
        <v>48</v>
      </c>
      <c r="J7" t="s">
        <v>49</v>
      </c>
      <c r="K7" t="s">
        <v>31</v>
      </c>
      <c r="L7" t="s">
        <v>32</v>
      </c>
      <c r="M7" t="s">
        <v>33</v>
      </c>
      <c r="P7" s="1" t="s">
        <v>65</v>
      </c>
      <c r="Q7" s="1" t="s">
        <v>27</v>
      </c>
      <c r="R7" s="1" t="s">
        <v>27</v>
      </c>
      <c r="S7" s="1"/>
      <c r="T7" s="1" t="s">
        <v>64</v>
      </c>
      <c r="U7" s="1"/>
      <c r="V7" s="1">
        <v>3.5</v>
      </c>
      <c r="W7" s="1">
        <v>3.5</v>
      </c>
      <c r="X7" s="1" t="s">
        <v>35</v>
      </c>
      <c r="Y7" s="1">
        <v>3500000.0</v>
      </c>
      <c r="Z7" s="1"/>
      <c r="AA7" s="1">
        <v>3500000</v>
      </c>
      <c r="AB7" s="1"/>
      <c r="AC7" s="1" t="s">
        <v>36</v>
      </c>
      <c r="AD7" s="1" t="s">
        <v>62</v>
      </c>
      <c r="AE7" s="1" t="s">
        <v>32</v>
      </c>
      <c r="AF7" s="1" t="s">
        <v>33</v>
      </c>
      <c r="AG7" s="1" t="s">
        <v>49</v>
      </c>
    </row>
    <row r="8" spans="1:33">
      <c r="A8" t="s">
        <v>66</v>
      </c>
      <c r="B8" t="s">
        <v>67</v>
      </c>
      <c r="C8" t="s">
        <v>68</v>
      </c>
      <c r="E8" t="s">
        <v>27</v>
      </c>
      <c r="F8" t="s">
        <v>28</v>
      </c>
      <c r="G8">
        <v>3.649</v>
      </c>
      <c r="H8">
        <v>3.649</v>
      </c>
      <c r="I8" t="s">
        <v>59</v>
      </c>
      <c r="J8" t="s">
        <v>60</v>
      </c>
      <c r="K8" t="s">
        <v>31</v>
      </c>
      <c r="L8" t="s">
        <v>32</v>
      </c>
      <c r="M8" t="s">
        <v>33</v>
      </c>
      <c r="P8" s="1" t="s">
        <v>69</v>
      </c>
      <c r="Q8" s="1" t="s">
        <v>27</v>
      </c>
      <c r="R8" s="1" t="s">
        <v>27</v>
      </c>
      <c r="S8" s="1"/>
      <c r="T8" s="1" t="s">
        <v>68</v>
      </c>
      <c r="U8" s="1"/>
      <c r="V8" s="1">
        <v>3.649</v>
      </c>
      <c r="W8" s="1">
        <v>3.649</v>
      </c>
      <c r="X8" s="1" t="s">
        <v>35</v>
      </c>
      <c r="Y8" s="1">
        <v>3649.0</v>
      </c>
      <c r="Z8" s="1"/>
      <c r="AA8" s="1">
        <v>3649</v>
      </c>
      <c r="AB8" s="1"/>
      <c r="AC8" s="1" t="s">
        <v>36</v>
      </c>
      <c r="AD8" s="1" t="s">
        <v>70</v>
      </c>
      <c r="AE8" s="1" t="s">
        <v>32</v>
      </c>
      <c r="AF8" s="1" t="s">
        <v>33</v>
      </c>
      <c r="AG8" s="1" t="s">
        <v>60</v>
      </c>
    </row>
    <row r="9" spans="1:33">
      <c r="A9" t="s">
        <v>71</v>
      </c>
      <c r="B9" t="s">
        <v>72</v>
      </c>
      <c r="C9" t="s">
        <v>73</v>
      </c>
      <c r="E9" t="s">
        <v>27</v>
      </c>
      <c r="F9" t="s">
        <v>28</v>
      </c>
      <c r="G9">
        <v>20.49</v>
      </c>
      <c r="H9">
        <v>20.49</v>
      </c>
      <c r="I9" t="s">
        <v>40</v>
      </c>
      <c r="J9" t="s">
        <v>41</v>
      </c>
      <c r="K9" t="s">
        <v>31</v>
      </c>
      <c r="L9" t="s">
        <v>32</v>
      </c>
      <c r="M9" t="s">
        <v>33</v>
      </c>
      <c r="P9" s="1" t="s">
        <v>74</v>
      </c>
      <c r="Q9" s="1" t="s">
        <v>27</v>
      </c>
      <c r="R9" s="1" t="s">
        <v>43</v>
      </c>
      <c r="S9" s="1"/>
      <c r="T9" s="1" t="s">
        <v>75</v>
      </c>
      <c r="U9" s="1" t="s">
        <v>76</v>
      </c>
      <c r="V9" s="1">
        <v>20.49</v>
      </c>
      <c r="W9" s="1">
        <v>20.49</v>
      </c>
      <c r="X9" s="1" t="s">
        <v>35</v>
      </c>
      <c r="Y9" s="1">
        <v>20490.0</v>
      </c>
      <c r="Z9" s="1"/>
      <c r="AA9" s="1">
        <v>20490</v>
      </c>
      <c r="AB9" s="1"/>
      <c r="AC9" s="1" t="s">
        <v>36</v>
      </c>
      <c r="AD9" s="1" t="s">
        <v>77</v>
      </c>
      <c r="AE9" s="1" t="s">
        <v>32</v>
      </c>
      <c r="AF9" s="1" t="s">
        <v>33</v>
      </c>
      <c r="AG9" s="1" t="s">
        <v>41</v>
      </c>
    </row>
    <row r="10" spans="1:33">
      <c r="A10" t="s">
        <v>78</v>
      </c>
      <c r="B10" t="s">
        <v>79</v>
      </c>
      <c r="C10" t="s">
        <v>68</v>
      </c>
      <c r="E10" t="s">
        <v>27</v>
      </c>
      <c r="F10" t="s">
        <v>28</v>
      </c>
      <c r="G10">
        <v>45.0</v>
      </c>
      <c r="H10">
        <v>45.0</v>
      </c>
      <c r="I10" t="s">
        <v>59</v>
      </c>
      <c r="J10" t="s">
        <v>60</v>
      </c>
      <c r="K10" t="s">
        <v>31</v>
      </c>
      <c r="L10" t="s">
        <v>32</v>
      </c>
      <c r="M10" t="s">
        <v>33</v>
      </c>
      <c r="P10" s="1" t="s">
        <v>80</v>
      </c>
      <c r="Q10" s="1" t="s">
        <v>27</v>
      </c>
      <c r="R10" s="1" t="s">
        <v>27</v>
      </c>
      <c r="S10" s="1"/>
      <c r="T10" s="1" t="s">
        <v>68</v>
      </c>
      <c r="U10" s="1"/>
      <c r="V10" s="1">
        <v>45.0</v>
      </c>
      <c r="W10" s="1">
        <v>45.0</v>
      </c>
      <c r="X10" s="1" t="s">
        <v>35</v>
      </c>
      <c r="Y10" s="1">
        <v>45000.0</v>
      </c>
      <c r="Z10" s="1"/>
      <c r="AA10" s="1">
        <v>45000</v>
      </c>
      <c r="AB10" s="1"/>
      <c r="AC10" s="1" t="s">
        <v>36</v>
      </c>
      <c r="AD10" s="1" t="s">
        <v>77</v>
      </c>
      <c r="AE10" s="1" t="s">
        <v>32</v>
      </c>
      <c r="AF10" s="1" t="s">
        <v>33</v>
      </c>
      <c r="AG10" s="1" t="s">
        <v>60</v>
      </c>
    </row>
    <row r="11" spans="1:33">
      <c r="A11" t="s">
        <v>81</v>
      </c>
      <c r="B11" t="s">
        <v>82</v>
      </c>
      <c r="C11" t="s">
        <v>47</v>
      </c>
      <c r="E11" t="s">
        <v>27</v>
      </c>
      <c r="F11" t="s">
        <v>28</v>
      </c>
      <c r="G11">
        <v>98.0</v>
      </c>
      <c r="H11">
        <v>98.0</v>
      </c>
      <c r="I11" t="s">
        <v>48</v>
      </c>
      <c r="J11" t="s">
        <v>49</v>
      </c>
      <c r="K11" t="s">
        <v>31</v>
      </c>
      <c r="L11" t="s">
        <v>32</v>
      </c>
      <c r="M11" t="s">
        <v>33</v>
      </c>
      <c r="P11" s="1" t="s">
        <v>83</v>
      </c>
      <c r="Q11" s="1" t="s">
        <v>27</v>
      </c>
      <c r="R11" s="1" t="s">
        <v>27</v>
      </c>
      <c r="S11" s="1"/>
      <c r="T11" s="1" t="s">
        <v>47</v>
      </c>
      <c r="U11" s="1"/>
      <c r="V11" s="1">
        <v>98.0</v>
      </c>
      <c r="W11" s="1">
        <v>98.0</v>
      </c>
      <c r="X11" s="1" t="s">
        <v>35</v>
      </c>
      <c r="Y11" s="1">
        <v>98000.0</v>
      </c>
      <c r="Z11" s="1"/>
      <c r="AA11" s="1">
        <v>98000</v>
      </c>
      <c r="AB11" s="1"/>
      <c r="AC11" s="1" t="s">
        <v>36</v>
      </c>
      <c r="AD11" s="1" t="s">
        <v>84</v>
      </c>
      <c r="AE11" s="1" t="s">
        <v>32</v>
      </c>
      <c r="AF11" s="1" t="s">
        <v>33</v>
      </c>
      <c r="AG11" s="1" t="s">
        <v>49</v>
      </c>
    </row>
    <row r="12" spans="1:33">
      <c r="A12" t="s">
        <v>85</v>
      </c>
      <c r="C12" t="s">
        <v>73</v>
      </c>
      <c r="E12" t="s">
        <v>27</v>
      </c>
      <c r="F12" t="s">
        <v>28</v>
      </c>
      <c r="G12">
        <v>5.441</v>
      </c>
      <c r="H12">
        <v>5.441</v>
      </c>
      <c r="I12" t="s">
        <v>40</v>
      </c>
      <c r="J12" t="s">
        <v>41</v>
      </c>
      <c r="K12" t="s">
        <v>31</v>
      </c>
      <c r="L12" t="s">
        <v>32</v>
      </c>
      <c r="M12" t="s">
        <v>33</v>
      </c>
      <c r="P12" s="1" t="s">
        <v>86</v>
      </c>
      <c r="Q12" s="1" t="s">
        <v>27</v>
      </c>
      <c r="R12" s="1" t="s">
        <v>43</v>
      </c>
      <c r="S12" s="1"/>
      <c r="T12" s="1" t="s">
        <v>75</v>
      </c>
      <c r="U12" s="1" t="s">
        <v>76</v>
      </c>
      <c r="V12" s="1">
        <v>5.441</v>
      </c>
      <c r="W12" s="1">
        <v>5.441</v>
      </c>
      <c r="X12" s="1" t="s">
        <v>35</v>
      </c>
      <c r="Y12" s="1">
        <v>5441.0</v>
      </c>
      <c r="Z12" s="1"/>
      <c r="AA12" s="1">
        <v>5441</v>
      </c>
      <c r="AB12" s="1"/>
      <c r="AC12" s="1" t="s">
        <v>36</v>
      </c>
      <c r="AD12" s="1" t="s">
        <v>87</v>
      </c>
      <c r="AE12" s="1" t="s">
        <v>32</v>
      </c>
      <c r="AF12" s="1" t="s">
        <v>33</v>
      </c>
      <c r="AG12" s="1" t="s">
        <v>41</v>
      </c>
    </row>
    <row r="13" spans="1:33">
      <c r="A13" t="s">
        <v>88</v>
      </c>
      <c r="B13" t="s">
        <v>89</v>
      </c>
      <c r="C13" t="s">
        <v>47</v>
      </c>
      <c r="E13" t="s">
        <v>27</v>
      </c>
      <c r="F13" t="s">
        <v>28</v>
      </c>
      <c r="G13">
        <v>287.376</v>
      </c>
      <c r="H13">
        <v>287.376</v>
      </c>
      <c r="I13" t="s">
        <v>48</v>
      </c>
      <c r="J13" t="s">
        <v>49</v>
      </c>
      <c r="K13" t="s">
        <v>31</v>
      </c>
      <c r="L13" t="s">
        <v>32</v>
      </c>
      <c r="M13" t="s">
        <v>33</v>
      </c>
      <c r="P13" s="1" t="s">
        <v>90</v>
      </c>
      <c r="Q13" s="1" t="s">
        <v>27</v>
      </c>
      <c r="R13" s="1" t="s">
        <v>27</v>
      </c>
      <c r="S13" s="1"/>
      <c r="T13" s="1" t="s">
        <v>47</v>
      </c>
      <c r="U13" s="1"/>
      <c r="V13" s="1">
        <v>287.376</v>
      </c>
      <c r="W13" s="1">
        <v>287.376</v>
      </c>
      <c r="X13" s="1" t="s">
        <v>35</v>
      </c>
      <c r="Y13" s="1">
        <v>287376.0</v>
      </c>
      <c r="Z13" s="1"/>
      <c r="AA13" s="1">
        <v>287376</v>
      </c>
      <c r="AB13" s="1"/>
      <c r="AC13" s="1" t="s">
        <v>36</v>
      </c>
      <c r="AD13" s="1" t="s">
        <v>91</v>
      </c>
      <c r="AE13" s="1" t="s">
        <v>32</v>
      </c>
      <c r="AF13" s="1" t="s">
        <v>33</v>
      </c>
      <c r="AG13" s="1" t="s">
        <v>49</v>
      </c>
    </row>
    <row r="14" spans="1:33">
      <c r="A14" t="s">
        <v>92</v>
      </c>
      <c r="C14" t="s">
        <v>93</v>
      </c>
      <c r="E14" t="s">
        <v>27</v>
      </c>
      <c r="F14" t="s">
        <v>28</v>
      </c>
      <c r="G14">
        <v>640.0</v>
      </c>
      <c r="H14">
        <v>640.0</v>
      </c>
      <c r="I14" t="s">
        <v>94</v>
      </c>
      <c r="J14" t="s">
        <v>95</v>
      </c>
      <c r="K14" t="s">
        <v>31</v>
      </c>
      <c r="L14" t="s">
        <v>32</v>
      </c>
      <c r="M14" t="s">
        <v>33</v>
      </c>
      <c r="P14" s="1" t="s">
        <v>96</v>
      </c>
      <c r="Q14" s="1" t="s">
        <v>27</v>
      </c>
      <c r="R14" s="1" t="s">
        <v>27</v>
      </c>
      <c r="S14" s="1"/>
      <c r="T14" s="1" t="s">
        <v>93</v>
      </c>
      <c r="U14" s="1"/>
      <c r="V14" s="1">
        <v>640.0</v>
      </c>
      <c r="W14" s="1">
        <v>640.0</v>
      </c>
      <c r="X14" s="1" t="s">
        <v>35</v>
      </c>
      <c r="Y14" s="1">
        <v>640000.0</v>
      </c>
      <c r="Z14" s="1"/>
      <c r="AA14" s="1">
        <v>640000</v>
      </c>
      <c r="AB14" s="1"/>
      <c r="AC14" s="1" t="s">
        <v>36</v>
      </c>
      <c r="AD14" s="1" t="s">
        <v>87</v>
      </c>
      <c r="AE14" s="1" t="s">
        <v>32</v>
      </c>
      <c r="AF14" s="1" t="s">
        <v>33</v>
      </c>
      <c r="AG14" s="1" t="s">
        <v>95</v>
      </c>
    </row>
    <row r="15" spans="1:33">
      <c r="A15" t="s">
        <v>97</v>
      </c>
      <c r="B15" t="s">
        <v>98</v>
      </c>
      <c r="C15" t="s">
        <v>47</v>
      </c>
      <c r="E15" t="s">
        <v>27</v>
      </c>
      <c r="F15" t="s">
        <v>28</v>
      </c>
      <c r="G15">
        <v>19.49</v>
      </c>
      <c r="H15">
        <v>19.49</v>
      </c>
      <c r="I15" t="s">
        <v>48</v>
      </c>
      <c r="J15" t="s">
        <v>49</v>
      </c>
      <c r="K15" t="s">
        <v>31</v>
      </c>
      <c r="L15" t="s">
        <v>32</v>
      </c>
      <c r="M15" t="s">
        <v>33</v>
      </c>
      <c r="P15" s="1" t="s">
        <v>99</v>
      </c>
      <c r="Q15" s="1" t="s">
        <v>27</v>
      </c>
      <c r="R15" s="1" t="s">
        <v>27</v>
      </c>
      <c r="S15" s="1"/>
      <c r="T15" s="1" t="s">
        <v>47</v>
      </c>
      <c r="U15" s="1"/>
      <c r="V15" s="1">
        <v>19.49</v>
      </c>
      <c r="W15" s="1">
        <v>19.49</v>
      </c>
      <c r="X15" s="1" t="s">
        <v>35</v>
      </c>
      <c r="Y15" s="1">
        <v>19490.0</v>
      </c>
      <c r="Z15" s="1"/>
      <c r="AA15" s="1">
        <v>19490</v>
      </c>
      <c r="AB15" s="1"/>
      <c r="AC15" s="1" t="s">
        <v>36</v>
      </c>
      <c r="AD15" s="1" t="s">
        <v>100</v>
      </c>
      <c r="AE15" s="1" t="s">
        <v>32</v>
      </c>
      <c r="AF15" s="1" t="s">
        <v>33</v>
      </c>
      <c r="AG15" s="1" t="s">
        <v>49</v>
      </c>
    </row>
    <row r="16" spans="1:33">
      <c r="A16" t="s">
        <v>101</v>
      </c>
      <c r="B16" t="s">
        <v>102</v>
      </c>
      <c r="C16" t="s">
        <v>68</v>
      </c>
      <c r="E16" t="s">
        <v>27</v>
      </c>
      <c r="F16" t="s">
        <v>28</v>
      </c>
      <c r="G16">
        <v>4.598</v>
      </c>
      <c r="H16">
        <v>4.598</v>
      </c>
      <c r="I16" t="s">
        <v>59</v>
      </c>
      <c r="J16" t="s">
        <v>60</v>
      </c>
      <c r="K16" t="s">
        <v>31</v>
      </c>
      <c r="L16" t="s">
        <v>32</v>
      </c>
      <c r="M16" t="s">
        <v>33</v>
      </c>
      <c r="P16" s="1" t="s">
        <v>103</v>
      </c>
      <c r="Q16" s="1" t="s">
        <v>27</v>
      </c>
      <c r="R16" s="1" t="s">
        <v>27</v>
      </c>
      <c r="S16" s="1"/>
      <c r="T16" s="1" t="s">
        <v>68</v>
      </c>
      <c r="U16" s="1"/>
      <c r="V16" s="1">
        <v>4.598</v>
      </c>
      <c r="W16" s="1">
        <v>4.598</v>
      </c>
      <c r="X16" s="1" t="s">
        <v>35</v>
      </c>
      <c r="Y16" s="1">
        <v>4598.0</v>
      </c>
      <c r="Z16" s="1"/>
      <c r="AA16" s="1">
        <v>4598</v>
      </c>
      <c r="AB16" s="1"/>
      <c r="AC16" s="1" t="s">
        <v>36</v>
      </c>
      <c r="AD16" s="1" t="s">
        <v>104</v>
      </c>
      <c r="AE16" s="1" t="s">
        <v>32</v>
      </c>
      <c r="AF16" s="1" t="s">
        <v>33</v>
      </c>
      <c r="AG16" s="1" t="s">
        <v>60</v>
      </c>
    </row>
    <row r="17" spans="1:33">
      <c r="A17" t="s">
        <v>105</v>
      </c>
      <c r="C17" t="s">
        <v>106</v>
      </c>
      <c r="E17" t="s">
        <v>27</v>
      </c>
      <c r="F17" t="s">
        <v>28</v>
      </c>
      <c r="G17">
        <v>763.5</v>
      </c>
      <c r="H17">
        <v>763.5</v>
      </c>
      <c r="I17" t="s">
        <v>94</v>
      </c>
      <c r="J17" t="s">
        <v>95</v>
      </c>
      <c r="K17" t="s">
        <v>31</v>
      </c>
      <c r="L17" t="s">
        <v>32</v>
      </c>
      <c r="M17" t="s">
        <v>33</v>
      </c>
      <c r="P17" s="1" t="s">
        <v>107</v>
      </c>
      <c r="Q17" s="1" t="s">
        <v>27</v>
      </c>
      <c r="R17" s="1" t="s">
        <v>27</v>
      </c>
      <c r="S17" s="1"/>
      <c r="T17" s="1" t="s">
        <v>106</v>
      </c>
      <c r="U17" s="1"/>
      <c r="V17" s="1">
        <v>763.5</v>
      </c>
      <c r="W17" s="1">
        <v>763.5</v>
      </c>
      <c r="X17" s="1" t="s">
        <v>35</v>
      </c>
      <c r="Y17" s="1">
        <v>763500.0</v>
      </c>
      <c r="Z17" s="1"/>
      <c r="AA17" s="1">
        <v>763500</v>
      </c>
      <c r="AB17" s="1"/>
      <c r="AC17" s="1" t="s">
        <v>36</v>
      </c>
      <c r="AD17" s="1" t="s">
        <v>108</v>
      </c>
      <c r="AE17" s="1" t="s">
        <v>32</v>
      </c>
      <c r="AF17" s="1" t="s">
        <v>33</v>
      </c>
      <c r="AG17" s="1" t="s">
        <v>95</v>
      </c>
    </row>
    <row r="18" spans="1:33">
      <c r="A18" t="s">
        <v>109</v>
      </c>
      <c r="B18" t="s">
        <v>79</v>
      </c>
      <c r="C18" t="s">
        <v>68</v>
      </c>
      <c r="E18" t="s">
        <v>27</v>
      </c>
      <c r="F18" t="s">
        <v>28</v>
      </c>
      <c r="G18">
        <v>62.98</v>
      </c>
      <c r="H18">
        <v>62.98</v>
      </c>
      <c r="I18" t="s">
        <v>59</v>
      </c>
      <c r="J18" t="s">
        <v>60</v>
      </c>
      <c r="K18" t="s">
        <v>31</v>
      </c>
      <c r="L18" t="s">
        <v>32</v>
      </c>
      <c r="M18" t="s">
        <v>33</v>
      </c>
      <c r="P18" s="1" t="s">
        <v>110</v>
      </c>
      <c r="Q18" s="1" t="s">
        <v>27</v>
      </c>
      <c r="R18" s="1" t="s">
        <v>27</v>
      </c>
      <c r="S18" s="1"/>
      <c r="T18" s="1" t="s">
        <v>68</v>
      </c>
      <c r="U18" s="1"/>
      <c r="V18" s="1">
        <v>62.98</v>
      </c>
      <c r="W18" s="1">
        <v>62.98</v>
      </c>
      <c r="X18" s="1" t="s">
        <v>35</v>
      </c>
      <c r="Y18" s="1">
        <v>62980.0</v>
      </c>
      <c r="Z18" s="1"/>
      <c r="AA18" s="1">
        <v>62980</v>
      </c>
      <c r="AB18" s="1"/>
      <c r="AC18" s="1" t="s">
        <v>36</v>
      </c>
      <c r="AD18" s="1" t="s">
        <v>111</v>
      </c>
      <c r="AE18" s="1" t="s">
        <v>32</v>
      </c>
      <c r="AF18" s="1" t="s">
        <v>33</v>
      </c>
      <c r="AG18" s="1" t="s">
        <v>60</v>
      </c>
    </row>
    <row r="19" spans="1:33">
      <c r="A19" t="s">
        <v>112</v>
      </c>
      <c r="C19" t="s">
        <v>113</v>
      </c>
      <c r="D19" t="s">
        <v>114</v>
      </c>
      <c r="E19" t="s">
        <v>27</v>
      </c>
      <c r="F19" t="s">
        <v>28</v>
      </c>
      <c r="G19">
        <v>420.0</v>
      </c>
      <c r="H19">
        <v>420.0</v>
      </c>
      <c r="I19" t="s">
        <v>48</v>
      </c>
      <c r="J19" t="s">
        <v>49</v>
      </c>
      <c r="K19" t="s">
        <v>31</v>
      </c>
      <c r="L19" t="s">
        <v>32</v>
      </c>
      <c r="M19" t="s">
        <v>33</v>
      </c>
      <c r="P19" s="1" t="s">
        <v>115</v>
      </c>
      <c r="Q19" s="1" t="s">
        <v>27</v>
      </c>
      <c r="R19" s="1" t="s">
        <v>27</v>
      </c>
      <c r="S19" s="1"/>
      <c r="T19" s="1" t="s">
        <v>116</v>
      </c>
      <c r="U19" s="1" t="s">
        <v>117</v>
      </c>
      <c r="V19" s="1">
        <v>420.0</v>
      </c>
      <c r="W19" s="1">
        <v>420.0</v>
      </c>
      <c r="X19" s="1" t="s">
        <v>35</v>
      </c>
      <c r="Y19" s="1">
        <v>420000.0</v>
      </c>
      <c r="Z19" s="1"/>
      <c r="AA19" s="1">
        <v>420000</v>
      </c>
      <c r="AB19" s="1"/>
      <c r="AC19" s="1" t="s">
        <v>36</v>
      </c>
      <c r="AD19" s="1" t="s">
        <v>118</v>
      </c>
      <c r="AE19" s="1" t="s">
        <v>32</v>
      </c>
      <c r="AF19" s="1" t="s">
        <v>33</v>
      </c>
      <c r="AG19" s="1" t="s">
        <v>49</v>
      </c>
    </row>
    <row r="20" spans="1:33">
      <c r="A20" t="s">
        <v>119</v>
      </c>
      <c r="B20" t="s">
        <v>120</v>
      </c>
      <c r="C20" t="s">
        <v>73</v>
      </c>
      <c r="E20" t="s">
        <v>27</v>
      </c>
      <c r="F20" t="s">
        <v>28</v>
      </c>
      <c r="G20">
        <v>44.98</v>
      </c>
      <c r="H20">
        <v>44.98</v>
      </c>
      <c r="I20" t="s">
        <v>40</v>
      </c>
      <c r="J20" t="s">
        <v>41</v>
      </c>
      <c r="K20" t="s">
        <v>31</v>
      </c>
      <c r="L20" t="s">
        <v>32</v>
      </c>
      <c r="M20" t="s">
        <v>33</v>
      </c>
      <c r="P20" s="1" t="s">
        <v>121</v>
      </c>
      <c r="Q20" s="1" t="s">
        <v>27</v>
      </c>
      <c r="R20" s="1" t="s">
        <v>43</v>
      </c>
      <c r="S20" s="1"/>
      <c r="T20" s="1" t="s">
        <v>75</v>
      </c>
      <c r="U20" s="1" t="s">
        <v>76</v>
      </c>
      <c r="V20" s="1">
        <v>44.98</v>
      </c>
      <c r="W20" s="1">
        <v>44.98</v>
      </c>
      <c r="X20" s="1" t="s">
        <v>35</v>
      </c>
      <c r="Y20" s="1">
        <v>44980.0</v>
      </c>
      <c r="Z20" s="1"/>
      <c r="AA20" s="1">
        <v>44980</v>
      </c>
      <c r="AB20" s="1"/>
      <c r="AC20" s="1" t="s">
        <v>36</v>
      </c>
      <c r="AD20" s="1" t="s">
        <v>122</v>
      </c>
      <c r="AE20" s="1" t="s">
        <v>32</v>
      </c>
      <c r="AF20" s="1" t="s">
        <v>33</v>
      </c>
      <c r="AG20" s="1" t="s">
        <v>41</v>
      </c>
    </row>
    <row r="21" spans="1:33">
      <c r="A21" t="s">
        <v>123</v>
      </c>
      <c r="B21" t="s">
        <v>124</v>
      </c>
      <c r="C21" t="s">
        <v>125</v>
      </c>
      <c r="E21" t="s">
        <v>27</v>
      </c>
      <c r="F21" t="s">
        <v>28</v>
      </c>
      <c r="G21">
        <v>21.99</v>
      </c>
      <c r="H21">
        <v>21.99</v>
      </c>
      <c r="I21" t="s">
        <v>126</v>
      </c>
      <c r="J21" t="s">
        <v>127</v>
      </c>
      <c r="K21" t="s">
        <v>31</v>
      </c>
      <c r="L21" t="s">
        <v>32</v>
      </c>
      <c r="M21" t="s">
        <v>33</v>
      </c>
      <c r="P21" s="1" t="s">
        <v>128</v>
      </c>
      <c r="Q21" s="1" t="s">
        <v>27</v>
      </c>
      <c r="R21" s="1" t="s">
        <v>27</v>
      </c>
      <c r="S21" s="1"/>
      <c r="T21" s="1" t="s">
        <v>125</v>
      </c>
      <c r="U21" s="1"/>
      <c r="V21" s="1">
        <v>21.99</v>
      </c>
      <c r="W21" s="1">
        <v>21.99</v>
      </c>
      <c r="X21" s="1" t="s">
        <v>35</v>
      </c>
      <c r="Y21" s="1">
        <v>21990.0</v>
      </c>
      <c r="Z21" s="1"/>
      <c r="AA21" s="1">
        <v>21990</v>
      </c>
      <c r="AB21" s="1"/>
      <c r="AC21" s="1" t="s">
        <v>36</v>
      </c>
      <c r="AD21" s="1" t="s">
        <v>129</v>
      </c>
      <c r="AE21" s="1" t="s">
        <v>32</v>
      </c>
      <c r="AF21" s="1" t="s">
        <v>33</v>
      </c>
      <c r="AG21" s="1" t="s">
        <v>127</v>
      </c>
    </row>
    <row r="22" spans="1:33">
      <c r="A22" t="s">
        <v>130</v>
      </c>
      <c r="C22" t="s">
        <v>131</v>
      </c>
      <c r="E22" t="s">
        <v>27</v>
      </c>
      <c r="F22" t="s">
        <v>28</v>
      </c>
      <c r="G22">
        <v>172.45</v>
      </c>
      <c r="H22">
        <v>172.45</v>
      </c>
      <c r="I22" t="s">
        <v>94</v>
      </c>
      <c r="J22" t="s">
        <v>95</v>
      </c>
      <c r="K22" t="s">
        <v>31</v>
      </c>
      <c r="L22" t="s">
        <v>32</v>
      </c>
      <c r="M22" t="s">
        <v>33</v>
      </c>
      <c r="P22" s="1" t="s">
        <v>132</v>
      </c>
      <c r="Q22" s="1" t="s">
        <v>27</v>
      </c>
      <c r="R22" s="1" t="s">
        <v>27</v>
      </c>
      <c r="S22" s="1"/>
      <c r="T22" s="1" t="s">
        <v>131</v>
      </c>
      <c r="U22" s="1"/>
      <c r="V22" s="1">
        <v>172.45</v>
      </c>
      <c r="W22" s="1">
        <v>172.45</v>
      </c>
      <c r="X22" s="1" t="s">
        <v>35</v>
      </c>
      <c r="Y22" s="1">
        <v>172450.0</v>
      </c>
      <c r="Z22" s="1"/>
      <c r="AA22" s="1">
        <v>172450</v>
      </c>
      <c r="AB22" s="1"/>
      <c r="AC22" s="1" t="s">
        <v>36</v>
      </c>
      <c r="AD22" s="1" t="s">
        <v>133</v>
      </c>
      <c r="AE22" s="1" t="s">
        <v>32</v>
      </c>
      <c r="AF22" s="1" t="s">
        <v>33</v>
      </c>
      <c r="AG22" s="1" t="s">
        <v>95</v>
      </c>
    </row>
    <row r="23" spans="1:33">
      <c r="A23" t="s">
        <v>134</v>
      </c>
      <c r="C23" t="s">
        <v>135</v>
      </c>
      <c r="E23" t="s">
        <v>27</v>
      </c>
      <c r="F23" t="s">
        <v>28</v>
      </c>
      <c r="G23">
        <v>40.25</v>
      </c>
      <c r="H23">
        <v>40.25</v>
      </c>
      <c r="I23" t="s">
        <v>136</v>
      </c>
      <c r="J23" t="s">
        <v>137</v>
      </c>
      <c r="K23" t="s">
        <v>31</v>
      </c>
      <c r="L23" t="s">
        <v>32</v>
      </c>
      <c r="M23" t="s">
        <v>33</v>
      </c>
      <c r="P23" s="1" t="s">
        <v>138</v>
      </c>
      <c r="Q23" s="1" t="s">
        <v>27</v>
      </c>
      <c r="R23" s="1" t="s">
        <v>27</v>
      </c>
      <c r="S23" s="1"/>
      <c r="T23" s="1" t="s">
        <v>135</v>
      </c>
      <c r="U23" s="1"/>
      <c r="V23" s="1">
        <v>40.25</v>
      </c>
      <c r="W23" s="1">
        <v>40.25</v>
      </c>
      <c r="X23" s="1" t="s">
        <v>35</v>
      </c>
      <c r="Y23" s="1">
        <v>40250.0</v>
      </c>
      <c r="Z23" s="1"/>
      <c r="AA23" s="1">
        <v>40250</v>
      </c>
      <c r="AB23" s="1"/>
      <c r="AC23" s="1" t="s">
        <v>36</v>
      </c>
      <c r="AD23" s="1" t="s">
        <v>139</v>
      </c>
      <c r="AE23" s="1" t="s">
        <v>32</v>
      </c>
      <c r="AF23" s="1" t="s">
        <v>33</v>
      </c>
      <c r="AG23" s="1" t="s">
        <v>137</v>
      </c>
    </row>
    <row r="24" spans="1:33">
      <c r="A24" t="s">
        <v>140</v>
      </c>
      <c r="B24" t="s">
        <v>141</v>
      </c>
      <c r="C24" t="s">
        <v>47</v>
      </c>
      <c r="E24" t="s">
        <v>27</v>
      </c>
      <c r="F24" t="s">
        <v>28</v>
      </c>
      <c r="G24">
        <v>198.85</v>
      </c>
      <c r="H24">
        <v>198.85</v>
      </c>
      <c r="I24" t="s">
        <v>48</v>
      </c>
      <c r="J24" t="s">
        <v>49</v>
      </c>
      <c r="K24" t="s">
        <v>31</v>
      </c>
      <c r="L24" t="s">
        <v>32</v>
      </c>
      <c r="M24" t="s">
        <v>33</v>
      </c>
      <c r="P24" s="1" t="s">
        <v>142</v>
      </c>
      <c r="Q24" s="1" t="s">
        <v>27</v>
      </c>
      <c r="R24" s="1" t="s">
        <v>27</v>
      </c>
      <c r="S24" s="1"/>
      <c r="T24" s="1" t="s">
        <v>47</v>
      </c>
      <c r="U24" s="1"/>
      <c r="V24" s="1">
        <v>198.85</v>
      </c>
      <c r="W24" s="1">
        <v>198.85</v>
      </c>
      <c r="X24" s="1" t="s">
        <v>35</v>
      </c>
      <c r="Y24" s="1">
        <v>198850.0</v>
      </c>
      <c r="Z24" s="1"/>
      <c r="AA24" s="1">
        <v>198850</v>
      </c>
      <c r="AB24" s="1"/>
      <c r="AC24" s="1" t="s">
        <v>36</v>
      </c>
      <c r="AD24" s="1" t="s">
        <v>143</v>
      </c>
      <c r="AE24" s="1" t="s">
        <v>32</v>
      </c>
      <c r="AF24" s="1" t="s">
        <v>33</v>
      </c>
      <c r="AG24" s="1" t="s">
        <v>49</v>
      </c>
    </row>
    <row r="25" spans="1:33">
      <c r="A25" t="s">
        <v>144</v>
      </c>
      <c r="C25" t="s">
        <v>145</v>
      </c>
      <c r="E25" t="s">
        <v>27</v>
      </c>
      <c r="F25" t="s">
        <v>28</v>
      </c>
      <c r="G25">
        <v>94.0</v>
      </c>
      <c r="H25">
        <v>94.0</v>
      </c>
      <c r="I25" t="s">
        <v>136</v>
      </c>
      <c r="J25" t="s">
        <v>137</v>
      </c>
      <c r="K25" t="s">
        <v>31</v>
      </c>
      <c r="L25" t="s">
        <v>32</v>
      </c>
      <c r="M25" t="s">
        <v>33</v>
      </c>
      <c r="P25" s="1" t="s">
        <v>146</v>
      </c>
      <c r="Q25" s="1" t="s">
        <v>27</v>
      </c>
      <c r="R25" s="1" t="s">
        <v>27</v>
      </c>
      <c r="S25" s="1"/>
      <c r="T25" s="1" t="s">
        <v>145</v>
      </c>
      <c r="U25" s="1"/>
      <c r="V25" s="1">
        <v>94.0</v>
      </c>
      <c r="W25" s="1">
        <v>94.0</v>
      </c>
      <c r="X25" s="1" t="s">
        <v>35</v>
      </c>
      <c r="Y25" s="1">
        <v>94000.0</v>
      </c>
      <c r="Z25" s="1"/>
      <c r="AA25" s="1">
        <v>94000</v>
      </c>
      <c r="AB25" s="1"/>
      <c r="AC25" s="1" t="s">
        <v>36</v>
      </c>
      <c r="AD25" s="1" t="s">
        <v>147</v>
      </c>
      <c r="AE25" s="1" t="s">
        <v>32</v>
      </c>
      <c r="AF25" s="1" t="s">
        <v>33</v>
      </c>
      <c r="AG25" s="1" t="s">
        <v>137</v>
      </c>
    </row>
    <row r="26" spans="1:33">
      <c r="A26" t="s">
        <v>148</v>
      </c>
      <c r="B26" t="s">
        <v>149</v>
      </c>
      <c r="C26" t="s">
        <v>125</v>
      </c>
      <c r="E26" t="s">
        <v>27</v>
      </c>
      <c r="F26" t="s">
        <v>28</v>
      </c>
      <c r="G26">
        <v>324.9</v>
      </c>
      <c r="H26">
        <v>324.9</v>
      </c>
      <c r="I26" t="s">
        <v>126</v>
      </c>
      <c r="J26" t="s">
        <v>127</v>
      </c>
      <c r="K26" t="s">
        <v>31</v>
      </c>
      <c r="L26" t="s">
        <v>32</v>
      </c>
      <c r="M26" t="s">
        <v>33</v>
      </c>
      <c r="P26" s="1" t="s">
        <v>150</v>
      </c>
      <c r="Q26" s="1" t="s">
        <v>27</v>
      </c>
      <c r="R26" s="1" t="s">
        <v>27</v>
      </c>
      <c r="S26" s="1"/>
      <c r="T26" s="1" t="s">
        <v>125</v>
      </c>
      <c r="U26" s="1"/>
      <c r="V26" s="1">
        <v>324.9</v>
      </c>
      <c r="W26" s="1">
        <v>324.9</v>
      </c>
      <c r="X26" s="1" t="s">
        <v>35</v>
      </c>
      <c r="Y26" s="1">
        <v>324900.0</v>
      </c>
      <c r="Z26" s="1"/>
      <c r="AA26" s="1">
        <v>324900</v>
      </c>
      <c r="AB26" s="1"/>
      <c r="AC26" s="1" t="s">
        <v>36</v>
      </c>
      <c r="AD26" s="1" t="s">
        <v>151</v>
      </c>
      <c r="AE26" s="1" t="s">
        <v>32</v>
      </c>
      <c r="AF26" s="1" t="s">
        <v>33</v>
      </c>
      <c r="AG26" s="1" t="s">
        <v>127</v>
      </c>
    </row>
    <row r="27" spans="1:33">
      <c r="A27" t="s">
        <v>152</v>
      </c>
      <c r="C27" t="s">
        <v>153</v>
      </c>
      <c r="D27" t="s">
        <v>154</v>
      </c>
      <c r="E27" t="s">
        <v>27</v>
      </c>
      <c r="F27" t="s">
        <v>28</v>
      </c>
      <c r="G27">
        <v>506.5</v>
      </c>
      <c r="H27">
        <v>506.5</v>
      </c>
      <c r="I27" t="s">
        <v>94</v>
      </c>
      <c r="J27" t="s">
        <v>95</v>
      </c>
      <c r="K27" t="s">
        <v>31</v>
      </c>
      <c r="L27" t="s">
        <v>32</v>
      </c>
      <c r="M27" t="s">
        <v>33</v>
      </c>
      <c r="P27" s="1" t="s">
        <v>155</v>
      </c>
      <c r="Q27" s="1" t="s">
        <v>27</v>
      </c>
      <c r="R27" s="1" t="s">
        <v>27</v>
      </c>
      <c r="S27" s="1"/>
      <c r="T27" s="1" t="s">
        <v>156</v>
      </c>
      <c r="U27" s="1" t="s">
        <v>157</v>
      </c>
      <c r="V27" s="1">
        <v>506.5</v>
      </c>
      <c r="W27" s="1">
        <v>506.5</v>
      </c>
      <c r="X27" s="1" t="s">
        <v>35</v>
      </c>
      <c r="Y27" s="1">
        <v>506500.0</v>
      </c>
      <c r="Z27" s="1"/>
      <c r="AA27" s="1">
        <v>506500</v>
      </c>
      <c r="AB27" s="1"/>
      <c r="AC27" s="1" t="s">
        <v>36</v>
      </c>
      <c r="AD27" s="1" t="s">
        <v>158</v>
      </c>
      <c r="AE27" s="1" t="s">
        <v>32</v>
      </c>
      <c r="AF27" s="1" t="s">
        <v>33</v>
      </c>
      <c r="AG27" s="1" t="s">
        <v>95</v>
      </c>
    </row>
    <row r="28" spans="1:33">
      <c r="A28" t="s">
        <v>159</v>
      </c>
      <c r="B28" t="s">
        <v>160</v>
      </c>
      <c r="C28" t="s">
        <v>47</v>
      </c>
      <c r="E28" t="s">
        <v>27</v>
      </c>
      <c r="F28" t="s">
        <v>28</v>
      </c>
      <c r="G28">
        <v>90.36</v>
      </c>
      <c r="H28">
        <v>90.36</v>
      </c>
      <c r="I28" t="s">
        <v>48</v>
      </c>
      <c r="J28" t="s">
        <v>49</v>
      </c>
      <c r="K28" t="s">
        <v>31</v>
      </c>
      <c r="L28" t="s">
        <v>32</v>
      </c>
      <c r="M28" t="s">
        <v>33</v>
      </c>
      <c r="P28" s="1" t="s">
        <v>161</v>
      </c>
      <c r="Q28" s="1" t="s">
        <v>27</v>
      </c>
      <c r="R28" s="1" t="s">
        <v>27</v>
      </c>
      <c r="S28" s="1"/>
      <c r="T28" s="1" t="s">
        <v>47</v>
      </c>
      <c r="U28" s="1"/>
      <c r="V28" s="1">
        <v>90.36</v>
      </c>
      <c r="W28" s="1">
        <v>90.36</v>
      </c>
      <c r="X28" s="1" t="s">
        <v>35</v>
      </c>
      <c r="Y28" s="1">
        <v>90360.0</v>
      </c>
      <c r="Z28" s="1"/>
      <c r="AA28" s="1">
        <v>90360</v>
      </c>
      <c r="AB28" s="1"/>
      <c r="AC28" s="1" t="s">
        <v>36</v>
      </c>
      <c r="AD28" s="1" t="s">
        <v>162</v>
      </c>
      <c r="AE28" s="1" t="s">
        <v>32</v>
      </c>
      <c r="AF28" s="1" t="s">
        <v>33</v>
      </c>
      <c r="AG28" s="1" t="s">
        <v>49</v>
      </c>
    </row>
    <row r="29" spans="1:33">
      <c r="A29" t="s">
        <v>163</v>
      </c>
      <c r="C29" t="s">
        <v>164</v>
      </c>
      <c r="E29" t="s">
        <v>27</v>
      </c>
      <c r="F29" t="s">
        <v>28</v>
      </c>
      <c r="G29">
        <v>717.75</v>
      </c>
      <c r="H29">
        <v>717.75</v>
      </c>
      <c r="I29" t="s">
        <v>48</v>
      </c>
      <c r="J29" t="s">
        <v>49</v>
      </c>
      <c r="K29" t="s">
        <v>31</v>
      </c>
      <c r="L29" t="s">
        <v>32</v>
      </c>
      <c r="M29" t="s">
        <v>33</v>
      </c>
      <c r="P29" s="1" t="s">
        <v>165</v>
      </c>
      <c r="Q29" s="1" t="s">
        <v>27</v>
      </c>
      <c r="R29" s="1" t="s">
        <v>27</v>
      </c>
      <c r="S29" s="1"/>
      <c r="T29" s="1" t="s">
        <v>164</v>
      </c>
      <c r="U29" s="1"/>
      <c r="V29" s="1">
        <v>717.75</v>
      </c>
      <c r="W29" s="1">
        <v>717.75</v>
      </c>
      <c r="X29" s="1" t="s">
        <v>35</v>
      </c>
      <c r="Y29" s="1">
        <v>717750.0</v>
      </c>
      <c r="Z29" s="1"/>
      <c r="AA29" s="1">
        <v>717750</v>
      </c>
      <c r="AB29" s="1"/>
      <c r="AC29" s="1" t="s">
        <v>36</v>
      </c>
      <c r="AD29" s="1" t="s">
        <v>166</v>
      </c>
      <c r="AE29" s="1" t="s">
        <v>32</v>
      </c>
      <c r="AF29" s="1" t="s">
        <v>33</v>
      </c>
      <c r="AG29" s="1" t="s">
        <v>49</v>
      </c>
    </row>
    <row r="30" spans="1:33">
      <c r="A30" t="s">
        <v>167</v>
      </c>
      <c r="B30" t="s">
        <v>168</v>
      </c>
      <c r="C30" t="s">
        <v>125</v>
      </c>
      <c r="E30" t="s">
        <v>27</v>
      </c>
      <c r="F30" t="s">
        <v>28</v>
      </c>
      <c r="G30">
        <v>16.745</v>
      </c>
      <c r="H30">
        <v>16.745</v>
      </c>
      <c r="I30" t="s">
        <v>126</v>
      </c>
      <c r="J30" t="s">
        <v>127</v>
      </c>
      <c r="K30" t="s">
        <v>31</v>
      </c>
      <c r="L30" t="s">
        <v>32</v>
      </c>
      <c r="M30" t="s">
        <v>33</v>
      </c>
      <c r="P30" s="1" t="s">
        <v>169</v>
      </c>
      <c r="Q30" s="1" t="s">
        <v>27</v>
      </c>
      <c r="R30" s="1" t="s">
        <v>27</v>
      </c>
      <c r="S30" s="1"/>
      <c r="T30" s="1" t="s">
        <v>125</v>
      </c>
      <c r="U30" s="1"/>
      <c r="V30" s="1">
        <v>16.745</v>
      </c>
      <c r="W30" s="1">
        <v>16.745</v>
      </c>
      <c r="X30" s="1" t="s">
        <v>35</v>
      </c>
      <c r="Y30" s="1">
        <v>16745.0</v>
      </c>
      <c r="Z30" s="1"/>
      <c r="AA30" s="1">
        <v>16745</v>
      </c>
      <c r="AB30" s="1"/>
      <c r="AC30" s="1" t="s">
        <v>36</v>
      </c>
      <c r="AD30" s="1" t="s">
        <v>162</v>
      </c>
      <c r="AE30" s="1" t="s">
        <v>32</v>
      </c>
      <c r="AF30" s="1" t="s">
        <v>33</v>
      </c>
      <c r="AG30" s="1" t="s">
        <v>127</v>
      </c>
    </row>
    <row r="31" spans="1:33">
      <c r="A31" t="s">
        <v>170</v>
      </c>
      <c r="B31" t="s">
        <v>171</v>
      </c>
      <c r="C31" t="s">
        <v>172</v>
      </c>
      <c r="E31" t="s">
        <v>27</v>
      </c>
      <c r="F31" t="s">
        <v>28</v>
      </c>
      <c r="G31">
        <v>24.896</v>
      </c>
      <c r="H31">
        <v>24.896</v>
      </c>
      <c r="I31" t="s">
        <v>173</v>
      </c>
      <c r="J31" t="s">
        <v>174</v>
      </c>
      <c r="K31" t="s">
        <v>31</v>
      </c>
      <c r="L31" t="s">
        <v>32</v>
      </c>
      <c r="M31" t="s">
        <v>33</v>
      </c>
      <c r="P31" s="1" t="s">
        <v>175</v>
      </c>
      <c r="Q31" s="1" t="s">
        <v>27</v>
      </c>
      <c r="R31" s="1" t="s">
        <v>27</v>
      </c>
      <c r="S31" s="1"/>
      <c r="T31" s="1" t="s">
        <v>172</v>
      </c>
      <c r="U31" s="1"/>
      <c r="V31" s="1">
        <v>24.896</v>
      </c>
      <c r="W31" s="1">
        <v>24.896</v>
      </c>
      <c r="X31" s="1" t="s">
        <v>35</v>
      </c>
      <c r="Y31" s="1">
        <v>24896.0</v>
      </c>
      <c r="Z31" s="1"/>
      <c r="AA31" s="1">
        <v>24896</v>
      </c>
      <c r="AB31" s="1"/>
      <c r="AC31" s="1" t="s">
        <v>36</v>
      </c>
      <c r="AD31" s="1" t="s">
        <v>176</v>
      </c>
      <c r="AE31" s="1" t="s">
        <v>32</v>
      </c>
      <c r="AF31" s="1" t="s">
        <v>33</v>
      </c>
      <c r="AG31" s="1" t="s">
        <v>174</v>
      </c>
    </row>
    <row r="32" spans="1:33">
      <c r="A32" t="s">
        <v>177</v>
      </c>
      <c r="C32" t="s">
        <v>178</v>
      </c>
      <c r="E32" t="s">
        <v>27</v>
      </c>
      <c r="F32" t="s">
        <v>28</v>
      </c>
      <c r="G32">
        <v>515.75</v>
      </c>
      <c r="H32">
        <v>515.75</v>
      </c>
      <c r="I32" t="s">
        <v>179</v>
      </c>
      <c r="J32" t="s">
        <v>180</v>
      </c>
      <c r="K32" t="s">
        <v>31</v>
      </c>
      <c r="L32" t="s">
        <v>32</v>
      </c>
      <c r="M32" t="s">
        <v>33</v>
      </c>
      <c r="P32" s="1" t="s">
        <v>181</v>
      </c>
      <c r="Q32" s="1" t="s">
        <v>27</v>
      </c>
      <c r="R32" s="1" t="s">
        <v>27</v>
      </c>
      <c r="S32" s="1"/>
      <c r="T32" s="1" t="s">
        <v>178</v>
      </c>
      <c r="U32" s="1"/>
      <c r="V32" s="1">
        <v>515.75</v>
      </c>
      <c r="W32" s="1">
        <v>515.75</v>
      </c>
      <c r="X32" s="1" t="s">
        <v>35</v>
      </c>
      <c r="Y32" s="1">
        <v>515750.0</v>
      </c>
      <c r="Z32" s="1"/>
      <c r="AA32" s="1">
        <v>515750</v>
      </c>
      <c r="AB32" s="1"/>
      <c r="AC32" s="1" t="s">
        <v>36</v>
      </c>
      <c r="AD32" s="1" t="s">
        <v>182</v>
      </c>
      <c r="AE32" s="1" t="s">
        <v>32</v>
      </c>
      <c r="AF32" s="1" t="s">
        <v>33</v>
      </c>
      <c r="AG32" s="1" t="s">
        <v>180</v>
      </c>
    </row>
    <row r="33" spans="1:33">
      <c r="A33" t="s">
        <v>183</v>
      </c>
      <c r="C33" t="s">
        <v>184</v>
      </c>
      <c r="E33" t="s">
        <v>27</v>
      </c>
      <c r="F33" t="s">
        <v>28</v>
      </c>
      <c r="G33">
        <v>721.6</v>
      </c>
      <c r="H33">
        <v>721.6</v>
      </c>
      <c r="I33" t="s">
        <v>136</v>
      </c>
      <c r="J33" t="s">
        <v>137</v>
      </c>
      <c r="K33" t="s">
        <v>31</v>
      </c>
      <c r="L33" t="s">
        <v>32</v>
      </c>
      <c r="M33" t="s">
        <v>33</v>
      </c>
      <c r="P33" s="1" t="s">
        <v>185</v>
      </c>
      <c r="Q33" s="1" t="s">
        <v>27</v>
      </c>
      <c r="R33" s="1" t="s">
        <v>27</v>
      </c>
      <c r="S33" s="1"/>
      <c r="T33" s="1" t="s">
        <v>184</v>
      </c>
      <c r="U33" s="1"/>
      <c r="V33" s="1">
        <v>721.6</v>
      </c>
      <c r="W33" s="1">
        <v>721.6</v>
      </c>
      <c r="X33" s="1" t="s">
        <v>35</v>
      </c>
      <c r="Y33" s="1">
        <v>721600.0</v>
      </c>
      <c r="Z33" s="1"/>
      <c r="AA33" s="1">
        <v>721600</v>
      </c>
      <c r="AB33" s="1"/>
      <c r="AC33" s="1" t="s">
        <v>36</v>
      </c>
      <c r="AD33" s="1" t="s">
        <v>182</v>
      </c>
      <c r="AE33" s="1" t="s">
        <v>32</v>
      </c>
      <c r="AF33" s="1" t="s">
        <v>33</v>
      </c>
      <c r="AG33" s="1" t="s">
        <v>137</v>
      </c>
    </row>
    <row r="34" spans="1:33">
      <c r="A34" t="s">
        <v>186</v>
      </c>
      <c r="C34" t="s">
        <v>187</v>
      </c>
      <c r="E34" t="s">
        <v>27</v>
      </c>
      <c r="F34" t="s">
        <v>28</v>
      </c>
      <c r="G34">
        <v>87.116</v>
      </c>
      <c r="H34">
        <v>87.116</v>
      </c>
      <c r="I34" t="s">
        <v>179</v>
      </c>
      <c r="J34" t="s">
        <v>180</v>
      </c>
      <c r="K34" t="s">
        <v>31</v>
      </c>
      <c r="L34" t="s">
        <v>32</v>
      </c>
      <c r="M34" t="s">
        <v>33</v>
      </c>
      <c r="P34" s="1" t="s">
        <v>188</v>
      </c>
      <c r="Q34" s="1" t="s">
        <v>27</v>
      </c>
      <c r="R34" s="1" t="s">
        <v>27</v>
      </c>
      <c r="S34" s="1"/>
      <c r="T34" s="1" t="s">
        <v>187</v>
      </c>
      <c r="U34" s="1"/>
      <c r="V34" s="1">
        <v>87.116</v>
      </c>
      <c r="W34" s="1">
        <v>87.116</v>
      </c>
      <c r="X34" s="1" t="s">
        <v>35</v>
      </c>
      <c r="Y34" s="1">
        <v>87116.0</v>
      </c>
      <c r="Z34" s="1"/>
      <c r="AA34" s="1">
        <v>87116</v>
      </c>
      <c r="AB34" s="1"/>
      <c r="AC34" s="1" t="s">
        <v>36</v>
      </c>
      <c r="AD34" s="1" t="s">
        <v>158</v>
      </c>
      <c r="AE34" s="1" t="s">
        <v>32</v>
      </c>
      <c r="AF34" s="1" t="s">
        <v>33</v>
      </c>
      <c r="AG34" s="1" t="s">
        <v>180</v>
      </c>
    </row>
    <row r="35" spans="1:33">
      <c r="A35" t="s">
        <v>189</v>
      </c>
      <c r="C35" t="s">
        <v>190</v>
      </c>
      <c r="D35" t="s">
        <v>154</v>
      </c>
      <c r="E35" t="s">
        <v>27</v>
      </c>
      <c r="F35" t="s">
        <v>28</v>
      </c>
      <c r="G35">
        <v>16.75</v>
      </c>
      <c r="H35">
        <v>16.75</v>
      </c>
      <c r="I35" t="s">
        <v>48</v>
      </c>
      <c r="J35" t="s">
        <v>49</v>
      </c>
      <c r="K35" t="s">
        <v>31</v>
      </c>
      <c r="L35" t="s">
        <v>32</v>
      </c>
      <c r="M35" t="s">
        <v>33</v>
      </c>
      <c r="P35" s="1" t="s">
        <v>191</v>
      </c>
      <c r="Q35" s="1" t="s">
        <v>27</v>
      </c>
      <c r="R35" s="1" t="s">
        <v>27</v>
      </c>
      <c r="S35" s="1"/>
      <c r="T35" s="1" t="s">
        <v>190</v>
      </c>
      <c r="U35" s="1"/>
      <c r="V35" s="1">
        <v>16.75</v>
      </c>
      <c r="W35" s="1">
        <v>16.75</v>
      </c>
      <c r="X35" s="1" t="s">
        <v>35</v>
      </c>
      <c r="Y35" s="1">
        <v>16750.0</v>
      </c>
      <c r="Z35" s="1"/>
      <c r="AA35" s="1">
        <v>16750</v>
      </c>
      <c r="AB35" s="1"/>
      <c r="AC35" s="1" t="s">
        <v>36</v>
      </c>
      <c r="AD35" s="1" t="s">
        <v>192</v>
      </c>
      <c r="AE35" s="1" t="s">
        <v>32</v>
      </c>
      <c r="AF35" s="1" t="s">
        <v>33</v>
      </c>
      <c r="AG35" s="1" t="s">
        <v>49</v>
      </c>
    </row>
    <row r="36" spans="1:33">
      <c r="A36" t="s">
        <v>193</v>
      </c>
      <c r="B36" t="s">
        <v>194</v>
      </c>
      <c r="C36" t="s">
        <v>125</v>
      </c>
      <c r="E36" t="s">
        <v>27</v>
      </c>
      <c r="F36" t="s">
        <v>28</v>
      </c>
      <c r="G36">
        <v>6.718</v>
      </c>
      <c r="H36">
        <v>6.718</v>
      </c>
      <c r="I36" t="s">
        <v>126</v>
      </c>
      <c r="J36" t="s">
        <v>127</v>
      </c>
      <c r="K36" t="s">
        <v>31</v>
      </c>
      <c r="L36" t="s">
        <v>32</v>
      </c>
      <c r="M36" t="s">
        <v>33</v>
      </c>
      <c r="P36" s="1" t="s">
        <v>195</v>
      </c>
      <c r="Q36" s="1" t="s">
        <v>27</v>
      </c>
      <c r="R36" s="1" t="s">
        <v>27</v>
      </c>
      <c r="S36" s="1"/>
      <c r="T36" s="1" t="s">
        <v>125</v>
      </c>
      <c r="U36" s="1"/>
      <c r="V36" s="1">
        <v>6.718</v>
      </c>
      <c r="W36" s="1">
        <v>6.718</v>
      </c>
      <c r="X36" s="1" t="s">
        <v>35</v>
      </c>
      <c r="Y36" s="1">
        <v>6718.0</v>
      </c>
      <c r="Z36" s="1"/>
      <c r="AA36" s="1">
        <v>6718</v>
      </c>
      <c r="AB36" s="1"/>
      <c r="AC36" s="1" t="s">
        <v>36</v>
      </c>
      <c r="AD36" s="1" t="s">
        <v>196</v>
      </c>
      <c r="AE36" s="1" t="s">
        <v>32</v>
      </c>
      <c r="AF36" s="1" t="s">
        <v>33</v>
      </c>
      <c r="AG36" s="1" t="s">
        <v>127</v>
      </c>
    </row>
    <row r="37" spans="1:33">
      <c r="A37" t="s">
        <v>197</v>
      </c>
      <c r="B37" t="s">
        <v>198</v>
      </c>
      <c r="C37" t="s">
        <v>125</v>
      </c>
      <c r="E37" t="s">
        <v>27</v>
      </c>
      <c r="F37" t="s">
        <v>28</v>
      </c>
      <c r="G37">
        <v>20.99</v>
      </c>
      <c r="H37">
        <v>20.99</v>
      </c>
      <c r="I37" t="s">
        <v>126</v>
      </c>
      <c r="J37" t="s">
        <v>127</v>
      </c>
      <c r="K37" t="s">
        <v>31</v>
      </c>
      <c r="L37" t="s">
        <v>32</v>
      </c>
      <c r="M37" t="s">
        <v>33</v>
      </c>
      <c r="P37" s="1" t="s">
        <v>199</v>
      </c>
      <c r="Q37" s="1" t="s">
        <v>27</v>
      </c>
      <c r="R37" s="1" t="s">
        <v>27</v>
      </c>
      <c r="S37" s="1"/>
      <c r="T37" s="1" t="s">
        <v>125</v>
      </c>
      <c r="U37" s="1"/>
      <c r="V37" s="1">
        <v>20.99</v>
      </c>
      <c r="W37" s="1">
        <v>20.99</v>
      </c>
      <c r="X37" s="1" t="s">
        <v>35</v>
      </c>
      <c r="Y37" s="1">
        <v>20990.0</v>
      </c>
      <c r="Z37" s="1"/>
      <c r="AA37" s="1">
        <v>20990</v>
      </c>
      <c r="AB37" s="1"/>
      <c r="AC37" s="1" t="s">
        <v>36</v>
      </c>
      <c r="AD37" s="1" t="s">
        <v>192</v>
      </c>
      <c r="AE37" s="1" t="s">
        <v>32</v>
      </c>
      <c r="AF37" s="1" t="s">
        <v>33</v>
      </c>
      <c r="AG37" s="1" t="s">
        <v>127</v>
      </c>
    </row>
    <row r="38" spans="1:33">
      <c r="A38" t="s">
        <v>200</v>
      </c>
      <c r="B38" t="s">
        <v>201</v>
      </c>
      <c r="C38" t="s">
        <v>202</v>
      </c>
      <c r="D38" t="s">
        <v>154</v>
      </c>
      <c r="E38" t="s">
        <v>27</v>
      </c>
      <c r="F38" t="s">
        <v>28</v>
      </c>
      <c r="G38">
        <v>357.5</v>
      </c>
      <c r="H38">
        <v>357.5</v>
      </c>
      <c r="I38" t="s">
        <v>59</v>
      </c>
      <c r="J38" t="s">
        <v>60</v>
      </c>
      <c r="K38" t="s">
        <v>31</v>
      </c>
      <c r="L38" t="s">
        <v>32</v>
      </c>
      <c r="M38" t="s">
        <v>33</v>
      </c>
      <c r="P38" s="1" t="s">
        <v>203</v>
      </c>
      <c r="Q38" s="1" t="s">
        <v>27</v>
      </c>
      <c r="R38" s="1" t="s">
        <v>27</v>
      </c>
      <c r="S38" s="1"/>
      <c r="T38" s="1" t="s">
        <v>202</v>
      </c>
      <c r="U38" s="1"/>
      <c r="V38" s="1">
        <v>357.5</v>
      </c>
      <c r="W38" s="1">
        <v>357.5</v>
      </c>
      <c r="X38" s="1" t="s">
        <v>35</v>
      </c>
      <c r="Y38" s="1">
        <v>357500.0</v>
      </c>
      <c r="Z38" s="1"/>
      <c r="AA38" s="1">
        <v>357500</v>
      </c>
      <c r="AB38" s="1"/>
      <c r="AC38" s="1" t="s">
        <v>36</v>
      </c>
      <c r="AD38" s="1" t="s">
        <v>204</v>
      </c>
      <c r="AE38" s="1" t="s">
        <v>32</v>
      </c>
      <c r="AF38" s="1" t="s">
        <v>33</v>
      </c>
      <c r="AG38" s="1" t="s">
        <v>60</v>
      </c>
    </row>
    <row r="39" spans="1:33">
      <c r="A39" t="s">
        <v>205</v>
      </c>
      <c r="B39" t="s">
        <v>206</v>
      </c>
      <c r="C39" t="s">
        <v>207</v>
      </c>
      <c r="E39" t="s">
        <v>27</v>
      </c>
      <c r="F39" t="s">
        <v>28</v>
      </c>
      <c r="G39">
        <v>556.5</v>
      </c>
      <c r="H39">
        <v>556.5</v>
      </c>
      <c r="I39" t="s">
        <v>59</v>
      </c>
      <c r="J39" t="s">
        <v>60</v>
      </c>
      <c r="K39" t="s">
        <v>31</v>
      </c>
      <c r="L39" t="s">
        <v>32</v>
      </c>
      <c r="M39" t="s">
        <v>33</v>
      </c>
      <c r="P39" s="1" t="s">
        <v>208</v>
      </c>
      <c r="Q39" s="1" t="s">
        <v>27</v>
      </c>
      <c r="R39" s="1" t="s">
        <v>27</v>
      </c>
      <c r="S39" s="1"/>
      <c r="T39" s="1" t="s">
        <v>207</v>
      </c>
      <c r="U39" s="1"/>
      <c r="V39" s="1">
        <v>556.5</v>
      </c>
      <c r="W39" s="1">
        <v>556.5</v>
      </c>
      <c r="X39" s="1" t="s">
        <v>35</v>
      </c>
      <c r="Y39" s="1">
        <v>556500.0</v>
      </c>
      <c r="Z39" s="1"/>
      <c r="AA39" s="1">
        <v>556500</v>
      </c>
      <c r="AB39" s="1"/>
      <c r="AC39" s="1" t="s">
        <v>36</v>
      </c>
      <c r="AD39" s="1" t="s">
        <v>209</v>
      </c>
      <c r="AE39" s="1" t="s">
        <v>32</v>
      </c>
      <c r="AF39" s="1" t="s">
        <v>33</v>
      </c>
      <c r="AG39" s="1" t="s">
        <v>60</v>
      </c>
    </row>
    <row r="40" spans="1:33">
      <c r="A40" t="s">
        <v>210</v>
      </c>
      <c r="B40" t="s">
        <v>211</v>
      </c>
      <c r="C40" t="s">
        <v>68</v>
      </c>
      <c r="E40" t="s">
        <v>27</v>
      </c>
      <c r="F40" t="s">
        <v>28</v>
      </c>
      <c r="G40">
        <v>272.44</v>
      </c>
      <c r="H40">
        <v>272.44</v>
      </c>
      <c r="I40" t="s">
        <v>59</v>
      </c>
      <c r="J40" t="s">
        <v>60</v>
      </c>
      <c r="K40" t="s">
        <v>31</v>
      </c>
      <c r="L40" t="s">
        <v>32</v>
      </c>
      <c r="M40" t="s">
        <v>33</v>
      </c>
      <c r="P40" s="1" t="s">
        <v>212</v>
      </c>
      <c r="Q40" s="1" t="s">
        <v>27</v>
      </c>
      <c r="R40" s="1" t="s">
        <v>27</v>
      </c>
      <c r="S40" s="1"/>
      <c r="T40" s="1" t="s">
        <v>68</v>
      </c>
      <c r="U40" s="1"/>
      <c r="V40" s="1">
        <v>272.44</v>
      </c>
      <c r="W40" s="1">
        <v>272.44</v>
      </c>
      <c r="X40" s="1" t="s">
        <v>35</v>
      </c>
      <c r="Y40" s="1">
        <v>272440.0</v>
      </c>
      <c r="Z40" s="1"/>
      <c r="AA40" s="1">
        <v>272440</v>
      </c>
      <c r="AB40" s="1"/>
      <c r="AC40" s="1" t="s">
        <v>36</v>
      </c>
      <c r="AD40" s="1" t="s">
        <v>213</v>
      </c>
      <c r="AE40" s="1" t="s">
        <v>32</v>
      </c>
      <c r="AF40" s="1" t="s">
        <v>33</v>
      </c>
      <c r="AG40" s="1" t="s">
        <v>60</v>
      </c>
    </row>
    <row r="41" spans="1:33">
      <c r="A41" t="s">
        <v>214</v>
      </c>
      <c r="B41" t="s">
        <v>215</v>
      </c>
      <c r="C41" t="s">
        <v>125</v>
      </c>
      <c r="E41" t="s">
        <v>27</v>
      </c>
      <c r="F41" t="s">
        <v>28</v>
      </c>
      <c r="G41">
        <v>16.99</v>
      </c>
      <c r="H41">
        <v>16.99</v>
      </c>
      <c r="I41" t="s">
        <v>126</v>
      </c>
      <c r="J41" t="s">
        <v>127</v>
      </c>
      <c r="K41" t="s">
        <v>31</v>
      </c>
      <c r="L41" t="s">
        <v>32</v>
      </c>
      <c r="M41" t="s">
        <v>33</v>
      </c>
      <c r="P41" s="1" t="s">
        <v>216</v>
      </c>
      <c r="Q41" s="1" t="s">
        <v>27</v>
      </c>
      <c r="R41" s="1" t="s">
        <v>27</v>
      </c>
      <c r="S41" s="1"/>
      <c r="T41" s="1" t="s">
        <v>125</v>
      </c>
      <c r="U41" s="1"/>
      <c r="V41" s="1">
        <v>16.99</v>
      </c>
      <c r="W41" s="1">
        <v>16.99</v>
      </c>
      <c r="X41" s="1" t="s">
        <v>35</v>
      </c>
      <c r="Y41" s="1">
        <v>16990.0</v>
      </c>
      <c r="Z41" s="1"/>
      <c r="AA41" s="1">
        <v>16990</v>
      </c>
      <c r="AB41" s="1"/>
      <c r="AC41" s="1" t="s">
        <v>36</v>
      </c>
      <c r="AD41" s="1" t="s">
        <v>217</v>
      </c>
      <c r="AE41" s="1" t="s">
        <v>32</v>
      </c>
      <c r="AF41" s="1" t="s">
        <v>33</v>
      </c>
      <c r="AG41" s="1" t="s">
        <v>127</v>
      </c>
    </row>
    <row r="42" spans="1:33">
      <c r="A42" t="s">
        <v>218</v>
      </c>
      <c r="B42" t="s">
        <v>219</v>
      </c>
      <c r="C42" t="s">
        <v>220</v>
      </c>
      <c r="D42" t="s">
        <v>114</v>
      </c>
      <c r="E42" t="s">
        <v>27</v>
      </c>
      <c r="F42" t="s">
        <v>28</v>
      </c>
      <c r="G42">
        <v>68.98</v>
      </c>
      <c r="H42">
        <v>68.98</v>
      </c>
      <c r="I42" t="s">
        <v>59</v>
      </c>
      <c r="J42" t="s">
        <v>60</v>
      </c>
      <c r="K42" t="s">
        <v>31</v>
      </c>
      <c r="L42" t="s">
        <v>32</v>
      </c>
      <c r="M42" t="s">
        <v>33</v>
      </c>
      <c r="P42" s="1" t="s">
        <v>221</v>
      </c>
      <c r="Q42" s="1" t="s">
        <v>27</v>
      </c>
      <c r="R42" s="1" t="s">
        <v>27</v>
      </c>
      <c r="S42" s="1"/>
      <c r="T42" s="1" t="s">
        <v>222</v>
      </c>
      <c r="U42" s="1" t="s">
        <v>223</v>
      </c>
      <c r="V42" s="1">
        <v>68.98</v>
      </c>
      <c r="W42" s="1">
        <v>68.98</v>
      </c>
      <c r="X42" s="1" t="s">
        <v>35</v>
      </c>
      <c r="Y42" s="1">
        <v>68980.0</v>
      </c>
      <c r="Z42" s="1"/>
      <c r="AA42" s="1">
        <v>68980</v>
      </c>
      <c r="AB42" s="1"/>
      <c r="AC42" s="1" t="s">
        <v>36</v>
      </c>
      <c r="AD42" s="1" t="s">
        <v>224</v>
      </c>
      <c r="AE42" s="1" t="s">
        <v>32</v>
      </c>
      <c r="AF42" s="1" t="s">
        <v>33</v>
      </c>
      <c r="AG42" s="1" t="s">
        <v>60</v>
      </c>
    </row>
    <row r="43" spans="1:33">
      <c r="A43" t="s">
        <v>225</v>
      </c>
      <c r="C43" t="s">
        <v>226</v>
      </c>
      <c r="E43" t="s">
        <v>27</v>
      </c>
      <c r="F43" t="s">
        <v>28</v>
      </c>
      <c r="G43">
        <v>560.4</v>
      </c>
      <c r="H43">
        <v>560.4</v>
      </c>
      <c r="I43" t="s">
        <v>227</v>
      </c>
      <c r="J43" t="s">
        <v>228</v>
      </c>
      <c r="K43" t="s">
        <v>31</v>
      </c>
      <c r="L43" t="s">
        <v>32</v>
      </c>
      <c r="M43" t="s">
        <v>33</v>
      </c>
      <c r="P43" s="1" t="s">
        <v>229</v>
      </c>
      <c r="Q43" s="1" t="s">
        <v>27</v>
      </c>
      <c r="R43" s="1" t="s">
        <v>27</v>
      </c>
      <c r="S43" s="1"/>
      <c r="T43" s="1" t="s">
        <v>226</v>
      </c>
      <c r="U43" s="1"/>
      <c r="V43" s="1">
        <v>560.4</v>
      </c>
      <c r="W43" s="1">
        <v>560.4</v>
      </c>
      <c r="X43" s="1" t="s">
        <v>35</v>
      </c>
      <c r="Y43" s="1">
        <v>560400.0</v>
      </c>
      <c r="Z43" s="1"/>
      <c r="AA43" s="1">
        <v>560400</v>
      </c>
      <c r="AB43" s="1"/>
      <c r="AC43" s="1" t="s">
        <v>36</v>
      </c>
      <c r="AD43" s="1" t="s">
        <v>230</v>
      </c>
      <c r="AE43" s="1" t="s">
        <v>32</v>
      </c>
      <c r="AF43" s="1" t="s">
        <v>33</v>
      </c>
      <c r="AG43" s="1" t="s">
        <v>228</v>
      </c>
    </row>
    <row r="44" spans="1:33">
      <c r="A44" t="s">
        <v>231</v>
      </c>
      <c r="B44" t="s">
        <v>232</v>
      </c>
      <c r="C44" t="s">
        <v>68</v>
      </c>
      <c r="E44" t="s">
        <v>27</v>
      </c>
      <c r="F44" t="s">
        <v>28</v>
      </c>
      <c r="G44">
        <v>5.0</v>
      </c>
      <c r="H44">
        <v>5.0</v>
      </c>
      <c r="I44" t="s">
        <v>59</v>
      </c>
      <c r="J44" t="s">
        <v>60</v>
      </c>
      <c r="K44" t="s">
        <v>31</v>
      </c>
      <c r="L44" t="s">
        <v>32</v>
      </c>
      <c r="M44" t="s">
        <v>33</v>
      </c>
      <c r="P44" s="1" t="s">
        <v>233</v>
      </c>
      <c r="Q44" s="1" t="s">
        <v>27</v>
      </c>
      <c r="R44" s="1" t="s">
        <v>27</v>
      </c>
      <c r="S44" s="1"/>
      <c r="T44" s="1" t="s">
        <v>68</v>
      </c>
      <c r="U44" s="1"/>
      <c r="V44" s="1">
        <v>5.0</v>
      </c>
      <c r="W44" s="1">
        <v>5.0</v>
      </c>
      <c r="X44" s="1" t="s">
        <v>35</v>
      </c>
      <c r="Y44" s="1">
        <v>5000.0</v>
      </c>
      <c r="Z44" s="1"/>
      <c r="AA44" s="1">
        <v>5000</v>
      </c>
      <c r="AB44" s="1"/>
      <c r="AC44" s="1" t="s">
        <v>36</v>
      </c>
      <c r="AD44" s="1" t="s">
        <v>217</v>
      </c>
      <c r="AE44" s="1" t="s">
        <v>32</v>
      </c>
      <c r="AF44" s="1" t="s">
        <v>33</v>
      </c>
      <c r="AG44" s="1" t="s">
        <v>60</v>
      </c>
    </row>
    <row r="45" spans="1:33">
      <c r="A45" t="s">
        <v>234</v>
      </c>
      <c r="B45" t="s">
        <v>235</v>
      </c>
      <c r="C45" t="s">
        <v>47</v>
      </c>
      <c r="E45" t="s">
        <v>27</v>
      </c>
      <c r="F45" t="s">
        <v>28</v>
      </c>
      <c r="G45">
        <v>7.678</v>
      </c>
      <c r="H45">
        <v>7.678</v>
      </c>
      <c r="I45" t="s">
        <v>48</v>
      </c>
      <c r="J45" t="s">
        <v>49</v>
      </c>
      <c r="K45" t="s">
        <v>31</v>
      </c>
      <c r="L45" t="s">
        <v>32</v>
      </c>
      <c r="M45" t="s">
        <v>33</v>
      </c>
      <c r="P45" s="1" t="s">
        <v>236</v>
      </c>
      <c r="Q45" s="1" t="s">
        <v>27</v>
      </c>
      <c r="R45" s="1" t="s">
        <v>27</v>
      </c>
      <c r="S45" s="1"/>
      <c r="T45" s="1" t="s">
        <v>47</v>
      </c>
      <c r="U45" s="1"/>
      <c r="V45" s="1">
        <v>7.678</v>
      </c>
      <c r="W45" s="1">
        <v>7.678</v>
      </c>
      <c r="X45" s="1" t="s">
        <v>35</v>
      </c>
      <c r="Y45" s="1">
        <v>7678.0</v>
      </c>
      <c r="Z45" s="1"/>
      <c r="AA45" s="1">
        <v>7678</v>
      </c>
      <c r="AB45" s="1"/>
      <c r="AC45" s="1" t="s">
        <v>36</v>
      </c>
      <c r="AD45" s="1" t="s">
        <v>237</v>
      </c>
      <c r="AE45" s="1" t="s">
        <v>32</v>
      </c>
      <c r="AF45" s="1" t="s">
        <v>33</v>
      </c>
      <c r="AG45" s="1" t="s">
        <v>49</v>
      </c>
    </row>
    <row r="46" spans="1:33">
      <c r="A46" t="s">
        <v>238</v>
      </c>
      <c r="B46" t="s">
        <v>239</v>
      </c>
      <c r="C46" t="s">
        <v>47</v>
      </c>
      <c r="E46" t="s">
        <v>27</v>
      </c>
      <c r="F46" t="s">
        <v>28</v>
      </c>
      <c r="G46">
        <v>6.098</v>
      </c>
      <c r="H46">
        <v>6.098</v>
      </c>
      <c r="I46" t="s">
        <v>48</v>
      </c>
      <c r="J46" t="s">
        <v>49</v>
      </c>
      <c r="K46" t="s">
        <v>31</v>
      </c>
      <c r="L46" t="s">
        <v>32</v>
      </c>
      <c r="M46" t="s">
        <v>33</v>
      </c>
      <c r="P46" s="1" t="s">
        <v>240</v>
      </c>
      <c r="Q46" s="1" t="s">
        <v>27</v>
      </c>
      <c r="R46" s="1" t="s">
        <v>27</v>
      </c>
      <c r="S46" s="1"/>
      <c r="T46" s="1" t="s">
        <v>47</v>
      </c>
      <c r="U46" s="1"/>
      <c r="V46" s="1">
        <v>6.098</v>
      </c>
      <c r="W46" s="1">
        <v>6.098</v>
      </c>
      <c r="X46" s="1" t="s">
        <v>35</v>
      </c>
      <c r="Y46" s="1">
        <v>6098.0</v>
      </c>
      <c r="Z46" s="1"/>
      <c r="AA46" s="1">
        <v>6098</v>
      </c>
      <c r="AB46" s="1"/>
      <c r="AC46" s="1" t="s">
        <v>36</v>
      </c>
      <c r="AD46" s="1" t="s">
        <v>241</v>
      </c>
      <c r="AE46" s="1" t="s">
        <v>32</v>
      </c>
      <c r="AF46" s="1" t="s">
        <v>33</v>
      </c>
      <c r="AG46" s="1" t="s">
        <v>49</v>
      </c>
    </row>
    <row r="47" spans="1:33">
      <c r="A47" t="s">
        <v>242</v>
      </c>
      <c r="B47" t="s">
        <v>243</v>
      </c>
      <c r="C47" t="s">
        <v>26</v>
      </c>
      <c r="E47" t="s">
        <v>27</v>
      </c>
      <c r="F47" t="s">
        <v>28</v>
      </c>
      <c r="G47">
        <v>46.27</v>
      </c>
      <c r="H47">
        <v>46.27</v>
      </c>
      <c r="I47" t="s">
        <v>29</v>
      </c>
      <c r="J47" t="s">
        <v>30</v>
      </c>
      <c r="K47" t="s">
        <v>31</v>
      </c>
      <c r="L47" t="s">
        <v>32</v>
      </c>
      <c r="M47" t="s">
        <v>33</v>
      </c>
      <c r="P47" s="1" t="s">
        <v>244</v>
      </c>
      <c r="Q47" s="1" t="s">
        <v>27</v>
      </c>
      <c r="R47" s="1" t="s">
        <v>27</v>
      </c>
      <c r="S47" s="1"/>
      <c r="T47" s="1" t="s">
        <v>26</v>
      </c>
      <c r="U47" s="1"/>
      <c r="V47" s="1">
        <v>46.27</v>
      </c>
      <c r="W47" s="1">
        <v>46.27</v>
      </c>
      <c r="X47" s="1" t="s">
        <v>35</v>
      </c>
      <c r="Y47" s="1">
        <v>46270.0</v>
      </c>
      <c r="Z47" s="1"/>
      <c r="AA47" s="1">
        <v>46270</v>
      </c>
      <c r="AB47" s="1"/>
      <c r="AC47" s="1" t="s">
        <v>36</v>
      </c>
      <c r="AD47" s="1" t="s">
        <v>245</v>
      </c>
      <c r="AE47" s="1" t="s">
        <v>32</v>
      </c>
      <c r="AF47" s="1" t="s">
        <v>33</v>
      </c>
      <c r="AG47" s="1" t="s">
        <v>30</v>
      </c>
    </row>
    <row r="48" spans="1:33">
      <c r="A48" t="s">
        <v>246</v>
      </c>
      <c r="B48" t="s">
        <v>247</v>
      </c>
      <c r="C48" t="s">
        <v>125</v>
      </c>
      <c r="E48" t="s">
        <v>27</v>
      </c>
      <c r="F48" t="s">
        <v>28</v>
      </c>
      <c r="G48">
        <v>30.75</v>
      </c>
      <c r="H48">
        <v>30.75</v>
      </c>
      <c r="I48" t="s">
        <v>126</v>
      </c>
      <c r="J48" t="s">
        <v>127</v>
      </c>
      <c r="K48" t="s">
        <v>31</v>
      </c>
      <c r="L48" t="s">
        <v>32</v>
      </c>
      <c r="M48" t="s">
        <v>33</v>
      </c>
      <c r="P48" s="1" t="s">
        <v>248</v>
      </c>
      <c r="Q48" s="1" t="s">
        <v>27</v>
      </c>
      <c r="R48" s="1" t="s">
        <v>27</v>
      </c>
      <c r="S48" s="1"/>
      <c r="T48" s="1" t="s">
        <v>125</v>
      </c>
      <c r="U48" s="1"/>
      <c r="V48" s="1">
        <v>30.75</v>
      </c>
      <c r="W48" s="1">
        <v>30.75</v>
      </c>
      <c r="X48" s="1" t="s">
        <v>35</v>
      </c>
      <c r="Y48" s="1">
        <v>30750.0</v>
      </c>
      <c r="Z48" s="1"/>
      <c r="AA48" s="1">
        <v>30750</v>
      </c>
      <c r="AB48" s="1"/>
      <c r="AC48" s="1" t="s">
        <v>36</v>
      </c>
      <c r="AD48" s="1" t="s">
        <v>249</v>
      </c>
      <c r="AE48" s="1" t="s">
        <v>32</v>
      </c>
      <c r="AF48" s="1" t="s">
        <v>33</v>
      </c>
      <c r="AG48" s="1" t="s">
        <v>127</v>
      </c>
    </row>
    <row r="49" spans="1:33">
      <c r="A49" t="s">
        <v>250</v>
      </c>
      <c r="B49" t="s">
        <v>251</v>
      </c>
      <c r="C49" t="s">
        <v>125</v>
      </c>
      <c r="E49" t="s">
        <v>27</v>
      </c>
      <c r="F49" t="s">
        <v>28</v>
      </c>
      <c r="G49">
        <v>19.445</v>
      </c>
      <c r="H49">
        <v>19.445</v>
      </c>
      <c r="I49" t="s">
        <v>126</v>
      </c>
      <c r="J49" t="s">
        <v>127</v>
      </c>
      <c r="K49" t="s">
        <v>31</v>
      </c>
      <c r="L49" t="s">
        <v>32</v>
      </c>
      <c r="M49" t="s">
        <v>33</v>
      </c>
      <c r="P49" s="1" t="s">
        <v>252</v>
      </c>
      <c r="Q49" s="1" t="s">
        <v>27</v>
      </c>
      <c r="R49" s="1" t="s">
        <v>27</v>
      </c>
      <c r="S49" s="1"/>
      <c r="T49" s="1" t="s">
        <v>125</v>
      </c>
      <c r="U49" s="1"/>
      <c r="V49" s="1">
        <v>19.445</v>
      </c>
      <c r="W49" s="1">
        <v>19.445</v>
      </c>
      <c r="X49" s="1" t="s">
        <v>35</v>
      </c>
      <c r="Y49" s="1">
        <v>19445.0</v>
      </c>
      <c r="Z49" s="1"/>
      <c r="AA49" s="1">
        <v>19445</v>
      </c>
      <c r="AB49" s="1"/>
      <c r="AC49" s="1" t="s">
        <v>36</v>
      </c>
      <c r="AD49" s="1" t="s">
        <v>253</v>
      </c>
      <c r="AE49" s="1" t="s">
        <v>32</v>
      </c>
      <c r="AF49" s="1" t="s">
        <v>33</v>
      </c>
      <c r="AG49" s="1" t="s">
        <v>127</v>
      </c>
    </row>
    <row r="50" spans="1:33">
      <c r="A50" t="s">
        <v>254</v>
      </c>
      <c r="B50" t="s">
        <v>255</v>
      </c>
      <c r="C50" t="s">
        <v>125</v>
      </c>
      <c r="E50" t="s">
        <v>27</v>
      </c>
      <c r="F50" t="s">
        <v>28</v>
      </c>
      <c r="G50">
        <v>14.495</v>
      </c>
      <c r="H50">
        <v>14.495</v>
      </c>
      <c r="I50" t="s">
        <v>126</v>
      </c>
      <c r="J50" t="s">
        <v>127</v>
      </c>
      <c r="K50" t="s">
        <v>31</v>
      </c>
      <c r="L50" t="s">
        <v>32</v>
      </c>
      <c r="M50" t="s">
        <v>33</v>
      </c>
      <c r="P50" s="1" t="s">
        <v>256</v>
      </c>
      <c r="Q50" s="1" t="s">
        <v>27</v>
      </c>
      <c r="R50" s="1" t="s">
        <v>27</v>
      </c>
      <c r="S50" s="1"/>
      <c r="T50" s="1" t="s">
        <v>125</v>
      </c>
      <c r="U50" s="1"/>
      <c r="V50" s="1">
        <v>14.495</v>
      </c>
      <c r="W50" s="1">
        <v>14.495</v>
      </c>
      <c r="X50" s="1" t="s">
        <v>35</v>
      </c>
      <c r="Y50" s="1">
        <v>14495.0</v>
      </c>
      <c r="Z50" s="1"/>
      <c r="AA50" s="1">
        <v>14495</v>
      </c>
      <c r="AB50" s="1"/>
      <c r="AC50" s="1" t="s">
        <v>36</v>
      </c>
      <c r="AD50" s="1" t="s">
        <v>257</v>
      </c>
      <c r="AE50" s="1" t="s">
        <v>32</v>
      </c>
      <c r="AF50" s="1" t="s">
        <v>33</v>
      </c>
      <c r="AG50" s="1" t="s">
        <v>127</v>
      </c>
    </row>
    <row r="51" spans="1:33">
      <c r="A51" t="s">
        <v>258</v>
      </c>
      <c r="C51" t="s">
        <v>259</v>
      </c>
      <c r="D51" t="s">
        <v>114</v>
      </c>
      <c r="E51" t="s">
        <v>27</v>
      </c>
      <c r="F51" t="s">
        <v>28</v>
      </c>
      <c r="G51">
        <v>50.0</v>
      </c>
      <c r="H51">
        <v>50.0</v>
      </c>
      <c r="I51" t="s">
        <v>173</v>
      </c>
      <c r="J51" t="s">
        <v>174</v>
      </c>
      <c r="K51" t="s">
        <v>31</v>
      </c>
      <c r="L51" t="s">
        <v>32</v>
      </c>
      <c r="M51" t="s">
        <v>33</v>
      </c>
      <c r="P51" s="1" t="s">
        <v>260</v>
      </c>
      <c r="Q51" s="1" t="s">
        <v>27</v>
      </c>
      <c r="R51" s="1" t="s">
        <v>27</v>
      </c>
      <c r="S51" s="1"/>
      <c r="T51" s="1" t="s">
        <v>259</v>
      </c>
      <c r="U51" s="1"/>
      <c r="V51" s="1">
        <v>50.0</v>
      </c>
      <c r="W51" s="1">
        <v>50.0</v>
      </c>
      <c r="X51" s="1" t="s">
        <v>35</v>
      </c>
      <c r="Y51" s="1">
        <v>50000.0</v>
      </c>
      <c r="Z51" s="1"/>
      <c r="AA51" s="1">
        <v>50000</v>
      </c>
      <c r="AB51" s="1"/>
      <c r="AC51" s="1" t="s">
        <v>36</v>
      </c>
      <c r="AD51" s="1" t="s">
        <v>261</v>
      </c>
      <c r="AE51" s="1" t="s">
        <v>32</v>
      </c>
      <c r="AF51" s="1" t="s">
        <v>33</v>
      </c>
      <c r="AG51" s="1" t="s">
        <v>174</v>
      </c>
    </row>
    <row r="52" spans="1:33">
      <c r="A52" t="s">
        <v>262</v>
      </c>
      <c r="B52" t="s">
        <v>263</v>
      </c>
      <c r="C52" t="s">
        <v>264</v>
      </c>
      <c r="E52" t="s">
        <v>27</v>
      </c>
      <c r="F52" t="s">
        <v>28</v>
      </c>
      <c r="G52">
        <v>1.12</v>
      </c>
      <c r="H52">
        <v>1.12</v>
      </c>
      <c r="I52" t="s">
        <v>40</v>
      </c>
      <c r="J52" t="s">
        <v>41</v>
      </c>
      <c r="K52" t="s">
        <v>31</v>
      </c>
      <c r="L52" t="s">
        <v>32</v>
      </c>
      <c r="M52" t="s">
        <v>33</v>
      </c>
      <c r="P52" s="1" t="s">
        <v>265</v>
      </c>
      <c r="Q52" s="1" t="s">
        <v>27</v>
      </c>
      <c r="R52" s="1" t="s">
        <v>43</v>
      </c>
      <c r="S52" s="1"/>
      <c r="T52" s="1" t="s">
        <v>264</v>
      </c>
      <c r="U52" s="1"/>
      <c r="V52" s="1">
        <v>1.12</v>
      </c>
      <c r="W52" s="1">
        <v>1.12</v>
      </c>
      <c r="X52" s="1" t="s">
        <v>35</v>
      </c>
      <c r="Y52" s="1">
        <v>1120000.0</v>
      </c>
      <c r="Z52" s="1"/>
      <c r="AA52" s="1">
        <v>1120000</v>
      </c>
      <c r="AB52" s="1"/>
      <c r="AC52" s="1" t="s">
        <v>36</v>
      </c>
      <c r="AD52" s="1" t="s">
        <v>257</v>
      </c>
      <c r="AE52" s="1" t="s">
        <v>32</v>
      </c>
      <c r="AF52" s="1" t="s">
        <v>33</v>
      </c>
      <c r="AG52" s="1" t="s">
        <v>41</v>
      </c>
    </row>
    <row r="53" spans="1:33">
      <c r="A53" t="s">
        <v>266</v>
      </c>
      <c r="B53" t="s">
        <v>267</v>
      </c>
      <c r="C53" t="s">
        <v>268</v>
      </c>
      <c r="E53" t="s">
        <v>27</v>
      </c>
      <c r="F53" t="s">
        <v>28</v>
      </c>
      <c r="G53">
        <v>116.25</v>
      </c>
      <c r="H53">
        <v>116.25</v>
      </c>
      <c r="I53" t="s">
        <v>269</v>
      </c>
      <c r="J53" t="s">
        <v>270</v>
      </c>
      <c r="K53" t="s">
        <v>31</v>
      </c>
      <c r="L53" t="s">
        <v>32</v>
      </c>
      <c r="M53" t="s">
        <v>33</v>
      </c>
      <c r="P53" s="1" t="s">
        <v>271</v>
      </c>
      <c r="Q53" s="1" t="s">
        <v>27</v>
      </c>
      <c r="R53" s="1" t="s">
        <v>27</v>
      </c>
      <c r="S53" s="1"/>
      <c r="T53" s="1" t="s">
        <v>268</v>
      </c>
      <c r="U53" s="1"/>
      <c r="V53" s="1">
        <v>116.25</v>
      </c>
      <c r="W53" s="1">
        <v>116.25</v>
      </c>
      <c r="X53" s="1" t="s">
        <v>35</v>
      </c>
      <c r="Y53" s="1">
        <v>116250.0</v>
      </c>
      <c r="Z53" s="1"/>
      <c r="AA53" s="1">
        <v>116250</v>
      </c>
      <c r="AB53" s="1"/>
      <c r="AC53" s="1" t="s">
        <v>36</v>
      </c>
      <c r="AD53" s="1" t="s">
        <v>272</v>
      </c>
      <c r="AE53" s="1" t="s">
        <v>32</v>
      </c>
      <c r="AF53" s="1" t="s">
        <v>33</v>
      </c>
      <c r="AG53" s="1" t="s">
        <v>270</v>
      </c>
    </row>
    <row r="54" spans="1:33">
      <c r="A54" t="s">
        <v>273</v>
      </c>
      <c r="C54" t="s">
        <v>274</v>
      </c>
      <c r="E54" t="s">
        <v>27</v>
      </c>
      <c r="F54" t="s">
        <v>28</v>
      </c>
      <c r="G54">
        <v>672.0</v>
      </c>
      <c r="H54">
        <v>672.0</v>
      </c>
      <c r="I54" t="s">
        <v>94</v>
      </c>
      <c r="J54" t="s">
        <v>95</v>
      </c>
      <c r="K54" t="s">
        <v>31</v>
      </c>
      <c r="L54" t="s">
        <v>32</v>
      </c>
      <c r="M54" t="s">
        <v>33</v>
      </c>
      <c r="P54" s="1" t="s">
        <v>275</v>
      </c>
      <c r="Q54" s="1" t="s">
        <v>27</v>
      </c>
      <c r="R54" s="1" t="s">
        <v>27</v>
      </c>
      <c r="S54" s="1"/>
      <c r="T54" s="1" t="s">
        <v>274</v>
      </c>
      <c r="U54" s="1"/>
      <c r="V54" s="1">
        <v>672.0</v>
      </c>
      <c r="W54" s="1">
        <v>672.0</v>
      </c>
      <c r="X54" s="1" t="s">
        <v>35</v>
      </c>
      <c r="Y54" s="1">
        <v>672000.0</v>
      </c>
      <c r="Z54" s="1"/>
      <c r="AA54" s="1">
        <v>672000</v>
      </c>
      <c r="AB54" s="1"/>
      <c r="AC54" s="1" t="s">
        <v>36</v>
      </c>
      <c r="AD54" s="1" t="s">
        <v>276</v>
      </c>
      <c r="AE54" s="1" t="s">
        <v>32</v>
      </c>
      <c r="AF54" s="1" t="s">
        <v>33</v>
      </c>
      <c r="AG54" s="1" t="s">
        <v>95</v>
      </c>
    </row>
    <row r="55" spans="1:33">
      <c r="A55" t="s">
        <v>277</v>
      </c>
      <c r="B55" t="s">
        <v>278</v>
      </c>
      <c r="C55" t="s">
        <v>68</v>
      </c>
      <c r="E55" t="s">
        <v>27</v>
      </c>
      <c r="F55" t="s">
        <v>28</v>
      </c>
      <c r="G55">
        <v>22.49</v>
      </c>
      <c r="H55">
        <v>22.49</v>
      </c>
      <c r="I55" t="s">
        <v>59</v>
      </c>
      <c r="J55" t="s">
        <v>60</v>
      </c>
      <c r="K55" t="s">
        <v>31</v>
      </c>
      <c r="L55" t="s">
        <v>32</v>
      </c>
      <c r="M55" t="s">
        <v>33</v>
      </c>
      <c r="P55" s="1" t="s">
        <v>279</v>
      </c>
      <c r="Q55" s="1" t="s">
        <v>27</v>
      </c>
      <c r="R55" s="1" t="s">
        <v>27</v>
      </c>
      <c r="S55" s="1"/>
      <c r="T55" s="1" t="s">
        <v>68</v>
      </c>
      <c r="U55" s="1"/>
      <c r="V55" s="1">
        <v>22.49</v>
      </c>
      <c r="W55" s="1">
        <v>22.49</v>
      </c>
      <c r="X55" s="1" t="s">
        <v>35</v>
      </c>
      <c r="Y55" s="1">
        <v>22490.0</v>
      </c>
      <c r="Z55" s="1"/>
      <c r="AA55" s="1">
        <v>22490</v>
      </c>
      <c r="AB55" s="1"/>
      <c r="AC55" s="1" t="s">
        <v>36</v>
      </c>
      <c r="AD55" s="1" t="s">
        <v>280</v>
      </c>
      <c r="AE55" s="1" t="s">
        <v>32</v>
      </c>
      <c r="AF55" s="1" t="s">
        <v>33</v>
      </c>
      <c r="AG55" s="1" t="s">
        <v>60</v>
      </c>
    </row>
    <row r="56" spans="1:33">
      <c r="A56" t="s">
        <v>281</v>
      </c>
      <c r="C56" t="s">
        <v>190</v>
      </c>
      <c r="D56" t="s">
        <v>154</v>
      </c>
      <c r="E56" t="s">
        <v>27</v>
      </c>
      <c r="F56" t="s">
        <v>28</v>
      </c>
      <c r="G56">
        <v>987.5</v>
      </c>
      <c r="H56">
        <v>987.5</v>
      </c>
      <c r="I56" t="s">
        <v>48</v>
      </c>
      <c r="J56" t="s">
        <v>49</v>
      </c>
      <c r="K56" t="s">
        <v>31</v>
      </c>
      <c r="L56" t="s">
        <v>32</v>
      </c>
      <c r="M56" t="s">
        <v>33</v>
      </c>
      <c r="P56" s="1" t="s">
        <v>282</v>
      </c>
      <c r="Q56" s="1" t="s">
        <v>27</v>
      </c>
      <c r="R56" s="1" t="s">
        <v>27</v>
      </c>
      <c r="S56" s="1"/>
      <c r="T56" s="1" t="s">
        <v>190</v>
      </c>
      <c r="U56" s="1"/>
      <c r="V56" s="1">
        <v>987.5</v>
      </c>
      <c r="W56" s="1">
        <v>987.5</v>
      </c>
      <c r="X56" s="1" t="s">
        <v>35</v>
      </c>
      <c r="Y56" s="1">
        <v>987500.0</v>
      </c>
      <c r="Z56" s="1"/>
      <c r="AA56" s="1">
        <v>987500</v>
      </c>
      <c r="AB56" s="1"/>
      <c r="AC56" s="1" t="s">
        <v>36</v>
      </c>
      <c r="AD56" s="1" t="s">
        <v>253</v>
      </c>
      <c r="AE56" s="1" t="s">
        <v>32</v>
      </c>
      <c r="AF56" s="1" t="s">
        <v>33</v>
      </c>
      <c r="AG56" s="1" t="s">
        <v>49</v>
      </c>
    </row>
    <row r="57" spans="1:33">
      <c r="A57" t="s">
        <v>283</v>
      </c>
      <c r="B57" t="s">
        <v>284</v>
      </c>
      <c r="C57" t="s">
        <v>68</v>
      </c>
      <c r="E57" t="s">
        <v>27</v>
      </c>
      <c r="F57" t="s">
        <v>28</v>
      </c>
      <c r="G57">
        <v>41.99</v>
      </c>
      <c r="H57">
        <v>41.99</v>
      </c>
      <c r="I57" t="s">
        <v>59</v>
      </c>
      <c r="J57" t="s">
        <v>60</v>
      </c>
      <c r="K57" t="s">
        <v>31</v>
      </c>
      <c r="L57" t="s">
        <v>32</v>
      </c>
      <c r="M57" t="s">
        <v>33</v>
      </c>
      <c r="P57" s="1" t="s">
        <v>285</v>
      </c>
      <c r="Q57" s="1" t="s">
        <v>27</v>
      </c>
      <c r="R57" s="1" t="s">
        <v>27</v>
      </c>
      <c r="S57" s="1"/>
      <c r="T57" s="1" t="s">
        <v>68</v>
      </c>
      <c r="U57" s="1"/>
      <c r="V57" s="1">
        <v>41.99</v>
      </c>
      <c r="W57" s="1">
        <v>41.99</v>
      </c>
      <c r="X57" s="1" t="s">
        <v>35</v>
      </c>
      <c r="Y57" s="1">
        <v>41990.0</v>
      </c>
      <c r="Z57" s="1"/>
      <c r="AA57" s="1">
        <v>41990</v>
      </c>
      <c r="AB57" s="1"/>
      <c r="AC57" s="1" t="s">
        <v>36</v>
      </c>
      <c r="AD57" s="1" t="s">
        <v>286</v>
      </c>
      <c r="AE57" s="1" t="s">
        <v>32</v>
      </c>
      <c r="AF57" s="1" t="s">
        <v>33</v>
      </c>
      <c r="AG57" s="1" t="s">
        <v>60</v>
      </c>
    </row>
    <row r="58" spans="1:33">
      <c r="A58" t="s">
        <v>287</v>
      </c>
      <c r="C58" t="s">
        <v>288</v>
      </c>
      <c r="D58" t="s">
        <v>114</v>
      </c>
      <c r="E58" t="s">
        <v>27</v>
      </c>
      <c r="F58" t="s">
        <v>28</v>
      </c>
      <c r="G58">
        <v>328.0</v>
      </c>
      <c r="H58">
        <v>328.0</v>
      </c>
      <c r="I58" t="s">
        <v>269</v>
      </c>
      <c r="J58" t="s">
        <v>270</v>
      </c>
      <c r="K58" t="s">
        <v>31</v>
      </c>
      <c r="L58" t="s">
        <v>32</v>
      </c>
      <c r="M58" t="s">
        <v>33</v>
      </c>
      <c r="P58" s="1" t="s">
        <v>289</v>
      </c>
      <c r="Q58" s="1" t="s">
        <v>27</v>
      </c>
      <c r="R58" s="1" t="s">
        <v>27</v>
      </c>
      <c r="S58" s="1"/>
      <c r="T58" s="1" t="s">
        <v>288</v>
      </c>
      <c r="U58" s="1"/>
      <c r="V58" s="1">
        <v>328.0</v>
      </c>
      <c r="W58" s="1">
        <v>328.0</v>
      </c>
      <c r="X58" s="1" t="s">
        <v>35</v>
      </c>
      <c r="Y58" s="1">
        <v>328000.0</v>
      </c>
      <c r="Z58" s="1"/>
      <c r="AA58" s="1">
        <v>328000</v>
      </c>
      <c r="AB58" s="1"/>
      <c r="AC58" s="1" t="s">
        <v>36</v>
      </c>
      <c r="AD58" s="1" t="s">
        <v>290</v>
      </c>
      <c r="AE58" s="1" t="s">
        <v>32</v>
      </c>
      <c r="AF58" s="1" t="s">
        <v>33</v>
      </c>
      <c r="AG58" s="1" t="s">
        <v>270</v>
      </c>
    </row>
    <row r="59" spans="1:33">
      <c r="A59" t="s">
        <v>291</v>
      </c>
      <c r="C59" t="s">
        <v>259</v>
      </c>
      <c r="D59" t="s">
        <v>114</v>
      </c>
      <c r="E59" t="s">
        <v>27</v>
      </c>
      <c r="F59" t="s">
        <v>28</v>
      </c>
      <c r="G59">
        <v>324.9</v>
      </c>
      <c r="H59">
        <v>324.9</v>
      </c>
      <c r="I59" t="s">
        <v>173</v>
      </c>
      <c r="J59" t="s">
        <v>174</v>
      </c>
      <c r="K59" t="s">
        <v>31</v>
      </c>
      <c r="L59" t="s">
        <v>32</v>
      </c>
      <c r="M59" t="s">
        <v>33</v>
      </c>
      <c r="P59" s="1" t="s">
        <v>292</v>
      </c>
      <c r="Q59" s="1" t="s">
        <v>27</v>
      </c>
      <c r="R59" s="1" t="s">
        <v>27</v>
      </c>
      <c r="S59" s="1"/>
      <c r="T59" s="1" t="s">
        <v>259</v>
      </c>
      <c r="U59" s="1"/>
      <c r="V59" s="1">
        <v>324.9</v>
      </c>
      <c r="W59" s="1">
        <v>324.9</v>
      </c>
      <c r="X59" s="1" t="s">
        <v>35</v>
      </c>
      <c r="Y59" s="1">
        <v>324900.0</v>
      </c>
      <c r="Z59" s="1"/>
      <c r="AA59" s="1">
        <v>324900</v>
      </c>
      <c r="AB59" s="1"/>
      <c r="AC59" s="1" t="s">
        <v>36</v>
      </c>
      <c r="AD59" s="1" t="s">
        <v>290</v>
      </c>
      <c r="AE59" s="1" t="s">
        <v>32</v>
      </c>
      <c r="AF59" s="1" t="s">
        <v>33</v>
      </c>
      <c r="AG59" s="1" t="s">
        <v>174</v>
      </c>
    </row>
    <row r="60" spans="1:33">
      <c r="A60" t="s">
        <v>293</v>
      </c>
      <c r="C60" t="s">
        <v>294</v>
      </c>
      <c r="E60" t="s">
        <v>27</v>
      </c>
      <c r="F60" t="s">
        <v>28</v>
      </c>
      <c r="G60">
        <v>320.0</v>
      </c>
      <c r="H60">
        <v>320.0</v>
      </c>
      <c r="I60" t="s">
        <v>48</v>
      </c>
      <c r="J60" t="s">
        <v>49</v>
      </c>
      <c r="K60" t="s">
        <v>31</v>
      </c>
      <c r="L60" t="s">
        <v>32</v>
      </c>
      <c r="M60" t="s">
        <v>33</v>
      </c>
      <c r="P60" s="1" t="s">
        <v>295</v>
      </c>
      <c r="Q60" s="1" t="s">
        <v>27</v>
      </c>
      <c r="R60" s="1" t="s">
        <v>27</v>
      </c>
      <c r="S60" s="1"/>
      <c r="T60" s="1" t="s">
        <v>294</v>
      </c>
      <c r="U60" s="1"/>
      <c r="V60" s="1">
        <v>320.0</v>
      </c>
      <c r="W60" s="1">
        <v>320.0</v>
      </c>
      <c r="X60" s="1" t="s">
        <v>35</v>
      </c>
      <c r="Y60" s="1">
        <v>320000.0</v>
      </c>
      <c r="Z60" s="1"/>
      <c r="AA60" s="1">
        <v>320000</v>
      </c>
      <c r="AB60" s="1"/>
      <c r="AC60" s="1" t="s">
        <v>36</v>
      </c>
      <c r="AD60" s="1" t="s">
        <v>245</v>
      </c>
      <c r="AE60" s="1" t="s">
        <v>32</v>
      </c>
      <c r="AF60" s="1" t="s">
        <v>33</v>
      </c>
      <c r="AG60" s="1" t="s">
        <v>49</v>
      </c>
    </row>
    <row r="61" spans="1:33">
      <c r="A61" t="s">
        <v>296</v>
      </c>
      <c r="C61" t="s">
        <v>297</v>
      </c>
      <c r="D61" t="s">
        <v>154</v>
      </c>
      <c r="E61" t="s">
        <v>27</v>
      </c>
      <c r="F61" t="s">
        <v>28</v>
      </c>
      <c r="G61">
        <v>477.5</v>
      </c>
      <c r="H61">
        <v>477.5</v>
      </c>
      <c r="I61" t="s">
        <v>40</v>
      </c>
      <c r="J61" t="s">
        <v>41</v>
      </c>
      <c r="K61" t="s">
        <v>31</v>
      </c>
      <c r="L61" t="s">
        <v>32</v>
      </c>
      <c r="M61" t="s">
        <v>33</v>
      </c>
      <c r="P61" s="1" t="s">
        <v>298</v>
      </c>
      <c r="Q61" s="1" t="s">
        <v>27</v>
      </c>
      <c r="R61" s="1" t="s">
        <v>43</v>
      </c>
      <c r="S61" s="1"/>
      <c r="T61" s="1" t="s">
        <v>297</v>
      </c>
      <c r="U61" s="1"/>
      <c r="V61" s="1">
        <v>477.5</v>
      </c>
      <c r="W61" s="1">
        <v>477.5</v>
      </c>
      <c r="X61" s="1" t="s">
        <v>35</v>
      </c>
      <c r="Y61" s="1">
        <v>477500.0</v>
      </c>
      <c r="Z61" s="1"/>
      <c r="AA61" s="1">
        <v>477500</v>
      </c>
      <c r="AB61" s="1"/>
      <c r="AC61" s="1" t="s">
        <v>36</v>
      </c>
      <c r="AD61" s="1" t="s">
        <v>253</v>
      </c>
      <c r="AE61" s="1" t="s">
        <v>32</v>
      </c>
      <c r="AF61" s="1" t="s">
        <v>33</v>
      </c>
      <c r="AG61" s="1" t="s">
        <v>41</v>
      </c>
    </row>
    <row r="62" spans="1:33">
      <c r="A62" t="s">
        <v>299</v>
      </c>
      <c r="C62" t="s">
        <v>300</v>
      </c>
      <c r="E62" t="s">
        <v>27</v>
      </c>
      <c r="F62" t="s">
        <v>28</v>
      </c>
      <c r="G62">
        <v>360.0</v>
      </c>
      <c r="H62">
        <v>360.0</v>
      </c>
      <c r="I62" t="s">
        <v>94</v>
      </c>
      <c r="J62" t="s">
        <v>95</v>
      </c>
      <c r="K62" t="s">
        <v>31</v>
      </c>
      <c r="L62" t="s">
        <v>32</v>
      </c>
      <c r="M62" t="s">
        <v>33</v>
      </c>
      <c r="P62" s="1" t="s">
        <v>301</v>
      </c>
      <c r="Q62" s="1" t="s">
        <v>27</v>
      </c>
      <c r="R62" s="1" t="s">
        <v>27</v>
      </c>
      <c r="S62" s="1"/>
      <c r="T62" s="1" t="s">
        <v>302</v>
      </c>
      <c r="U62" s="1" t="s">
        <v>303</v>
      </c>
      <c r="V62" s="1">
        <v>360.0</v>
      </c>
      <c r="W62" s="1">
        <v>360.0</v>
      </c>
      <c r="X62" s="1" t="s">
        <v>35</v>
      </c>
      <c r="Y62" s="1">
        <v>360000.0</v>
      </c>
      <c r="Z62" s="1"/>
      <c r="AA62" s="1">
        <v>360000</v>
      </c>
      <c r="AB62" s="1"/>
      <c r="AC62" s="1" t="s">
        <v>36</v>
      </c>
      <c r="AD62" s="1" t="s">
        <v>257</v>
      </c>
      <c r="AE62" s="1" t="s">
        <v>32</v>
      </c>
      <c r="AF62" s="1" t="s">
        <v>33</v>
      </c>
      <c r="AG62" s="1" t="s">
        <v>95</v>
      </c>
    </row>
    <row r="63" spans="1:33">
      <c r="A63" t="s">
        <v>304</v>
      </c>
      <c r="B63" t="s">
        <v>305</v>
      </c>
      <c r="C63" t="s">
        <v>125</v>
      </c>
      <c r="E63" t="s">
        <v>27</v>
      </c>
      <c r="F63" t="s">
        <v>28</v>
      </c>
      <c r="G63">
        <v>16.99</v>
      </c>
      <c r="H63">
        <v>16.99</v>
      </c>
      <c r="I63" t="s">
        <v>126</v>
      </c>
      <c r="J63" t="s">
        <v>127</v>
      </c>
      <c r="K63" t="s">
        <v>31</v>
      </c>
      <c r="L63" t="s">
        <v>32</v>
      </c>
      <c r="M63" t="s">
        <v>33</v>
      </c>
      <c r="P63" s="1" t="s">
        <v>306</v>
      </c>
      <c r="Q63" s="1" t="s">
        <v>27</v>
      </c>
      <c r="R63" s="1" t="s">
        <v>27</v>
      </c>
      <c r="S63" s="1"/>
      <c r="T63" s="1" t="s">
        <v>125</v>
      </c>
      <c r="U63" s="1"/>
      <c r="V63" s="1">
        <v>16.99</v>
      </c>
      <c r="W63" s="1">
        <v>16.99</v>
      </c>
      <c r="X63" s="1" t="s">
        <v>35</v>
      </c>
      <c r="Y63" s="1">
        <v>16990.0</v>
      </c>
      <c r="Z63" s="1"/>
      <c r="AA63" s="1">
        <v>16990</v>
      </c>
      <c r="AB63" s="1"/>
      <c r="AC63" s="1" t="s">
        <v>36</v>
      </c>
      <c r="AD63" s="1" t="s">
        <v>307</v>
      </c>
      <c r="AE63" s="1" t="s">
        <v>32</v>
      </c>
      <c r="AF63" s="1" t="s">
        <v>33</v>
      </c>
      <c r="AG63" s="1" t="s">
        <v>127</v>
      </c>
    </row>
    <row r="64" spans="1:33">
      <c r="A64" t="s">
        <v>308</v>
      </c>
      <c r="C64" t="s">
        <v>309</v>
      </c>
      <c r="E64" t="s">
        <v>27</v>
      </c>
      <c r="F64" t="s">
        <v>28</v>
      </c>
      <c r="G64">
        <v>146.75</v>
      </c>
      <c r="H64">
        <v>146.75</v>
      </c>
      <c r="I64" t="s">
        <v>48</v>
      </c>
      <c r="J64" t="s">
        <v>49</v>
      </c>
      <c r="K64" t="s">
        <v>31</v>
      </c>
      <c r="L64" t="s">
        <v>32</v>
      </c>
      <c r="M64" t="s">
        <v>33</v>
      </c>
      <c r="P64" s="1" t="s">
        <v>310</v>
      </c>
      <c r="Q64" s="1" t="s">
        <v>27</v>
      </c>
      <c r="R64" s="1" t="s">
        <v>27</v>
      </c>
      <c r="S64" s="1"/>
      <c r="T64" s="1" t="s">
        <v>309</v>
      </c>
      <c r="U64" s="1"/>
      <c r="V64" s="1">
        <v>146.75</v>
      </c>
      <c r="W64" s="1">
        <v>146.75</v>
      </c>
      <c r="X64" s="1" t="s">
        <v>35</v>
      </c>
      <c r="Y64" s="1">
        <v>146750.0</v>
      </c>
      <c r="Z64" s="1"/>
      <c r="AA64" s="1">
        <v>146750</v>
      </c>
      <c r="AB64" s="1"/>
      <c r="AC64" s="1" t="s">
        <v>36</v>
      </c>
      <c r="AD64" s="1" t="s">
        <v>311</v>
      </c>
      <c r="AE64" s="1" t="s">
        <v>32</v>
      </c>
      <c r="AF64" s="1" t="s">
        <v>33</v>
      </c>
      <c r="AG64" s="1" t="s">
        <v>49</v>
      </c>
    </row>
    <row r="65" spans="1:33">
      <c r="A65" t="s">
        <v>312</v>
      </c>
      <c r="B65" t="s">
        <v>313</v>
      </c>
      <c r="C65" t="s">
        <v>314</v>
      </c>
      <c r="E65" t="s">
        <v>27</v>
      </c>
      <c r="F65" t="s">
        <v>28</v>
      </c>
      <c r="G65">
        <v>8.048</v>
      </c>
      <c r="H65">
        <v>8.048</v>
      </c>
      <c r="I65" t="s">
        <v>179</v>
      </c>
      <c r="J65" t="s">
        <v>180</v>
      </c>
      <c r="K65" t="s">
        <v>31</v>
      </c>
      <c r="L65" t="s">
        <v>32</v>
      </c>
      <c r="M65" t="s">
        <v>33</v>
      </c>
      <c r="P65" s="1" t="s">
        <v>315</v>
      </c>
      <c r="Q65" s="1" t="s">
        <v>27</v>
      </c>
      <c r="R65" s="1" t="s">
        <v>27</v>
      </c>
      <c r="S65" s="1"/>
      <c r="T65" s="1" t="s">
        <v>314</v>
      </c>
      <c r="U65" s="1"/>
      <c r="V65" s="1">
        <v>8.048</v>
      </c>
      <c r="W65" s="1">
        <v>8.048</v>
      </c>
      <c r="X65" s="1" t="s">
        <v>35</v>
      </c>
      <c r="Y65" s="1">
        <v>8048.0</v>
      </c>
      <c r="Z65" s="1"/>
      <c r="AA65" s="1">
        <v>8048</v>
      </c>
      <c r="AB65" s="1"/>
      <c r="AC65" s="1" t="s">
        <v>36</v>
      </c>
      <c r="AD65" s="1" t="s">
        <v>307</v>
      </c>
      <c r="AE65" s="1" t="s">
        <v>32</v>
      </c>
      <c r="AF65" s="1" t="s">
        <v>33</v>
      </c>
      <c r="AG65" s="1" t="s">
        <v>180</v>
      </c>
    </row>
    <row r="66" spans="1:33">
      <c r="A66" t="s">
        <v>316</v>
      </c>
      <c r="B66" t="s">
        <v>317</v>
      </c>
      <c r="C66" t="s">
        <v>125</v>
      </c>
      <c r="E66" t="s">
        <v>27</v>
      </c>
      <c r="F66" t="s">
        <v>28</v>
      </c>
      <c r="G66">
        <v>9.095</v>
      </c>
      <c r="H66">
        <v>9.095</v>
      </c>
      <c r="I66" t="s">
        <v>126</v>
      </c>
      <c r="J66" t="s">
        <v>127</v>
      </c>
      <c r="K66" t="s">
        <v>31</v>
      </c>
      <c r="L66" t="s">
        <v>32</v>
      </c>
      <c r="M66" t="s">
        <v>33</v>
      </c>
      <c r="P66" s="1" t="s">
        <v>318</v>
      </c>
      <c r="Q66" s="1" t="s">
        <v>27</v>
      </c>
      <c r="R66" s="1" t="s">
        <v>27</v>
      </c>
      <c r="S66" s="1"/>
      <c r="T66" s="1" t="s">
        <v>125</v>
      </c>
      <c r="U66" s="1"/>
      <c r="V66" s="1">
        <v>9.095</v>
      </c>
      <c r="W66" s="1">
        <v>9.095</v>
      </c>
      <c r="X66" s="1" t="s">
        <v>35</v>
      </c>
      <c r="Y66" s="1">
        <v>9095.0</v>
      </c>
      <c r="Z66" s="1"/>
      <c r="AA66" s="1">
        <v>9095</v>
      </c>
      <c r="AB66" s="1"/>
      <c r="AC66" s="1" t="s">
        <v>36</v>
      </c>
      <c r="AD66" s="1" t="s">
        <v>319</v>
      </c>
      <c r="AE66" s="1" t="s">
        <v>32</v>
      </c>
      <c r="AF66" s="1" t="s">
        <v>33</v>
      </c>
      <c r="AG66" s="1" t="s">
        <v>127</v>
      </c>
    </row>
    <row r="67" spans="1:33">
      <c r="A67" t="s">
        <v>320</v>
      </c>
      <c r="B67" t="s">
        <v>321</v>
      </c>
      <c r="C67" t="s">
        <v>73</v>
      </c>
      <c r="E67" t="s">
        <v>27</v>
      </c>
      <c r="F67" t="s">
        <v>28</v>
      </c>
      <c r="G67">
        <v>6.718</v>
      </c>
      <c r="H67">
        <v>6.718</v>
      </c>
      <c r="I67" t="s">
        <v>40</v>
      </c>
      <c r="J67" t="s">
        <v>41</v>
      </c>
      <c r="K67" t="s">
        <v>31</v>
      </c>
      <c r="L67" t="s">
        <v>32</v>
      </c>
      <c r="M67" t="s">
        <v>33</v>
      </c>
      <c r="P67" s="1" t="s">
        <v>322</v>
      </c>
      <c r="Q67" s="1" t="s">
        <v>27</v>
      </c>
      <c r="R67" s="1" t="s">
        <v>43</v>
      </c>
      <c r="S67" s="1"/>
      <c r="T67" s="1" t="s">
        <v>75</v>
      </c>
      <c r="U67" s="1" t="s">
        <v>76</v>
      </c>
      <c r="V67" s="1">
        <v>6.718</v>
      </c>
      <c r="W67" s="1">
        <v>6.718</v>
      </c>
      <c r="X67" s="1" t="s">
        <v>35</v>
      </c>
      <c r="Y67" s="1">
        <v>6718.0</v>
      </c>
      <c r="Z67" s="1"/>
      <c r="AA67" s="1">
        <v>6718</v>
      </c>
      <c r="AB67" s="1"/>
      <c r="AC67" s="1" t="s">
        <v>36</v>
      </c>
      <c r="AD67" s="1" t="s">
        <v>323</v>
      </c>
      <c r="AE67" s="1" t="s">
        <v>32</v>
      </c>
      <c r="AF67" s="1" t="s">
        <v>33</v>
      </c>
      <c r="AG67" s="1" t="s">
        <v>41</v>
      </c>
    </row>
    <row r="68" spans="1:33">
      <c r="A68" t="s">
        <v>324</v>
      </c>
      <c r="C68" t="s">
        <v>325</v>
      </c>
      <c r="E68" t="s">
        <v>27</v>
      </c>
      <c r="F68" t="s">
        <v>28</v>
      </c>
      <c r="G68">
        <v>328.0</v>
      </c>
      <c r="H68">
        <v>328.0</v>
      </c>
      <c r="I68" t="s">
        <v>227</v>
      </c>
      <c r="J68" t="s">
        <v>228</v>
      </c>
      <c r="K68" t="s">
        <v>31</v>
      </c>
      <c r="L68" t="s">
        <v>32</v>
      </c>
      <c r="M68" t="s">
        <v>33</v>
      </c>
      <c r="P68" s="1" t="s">
        <v>326</v>
      </c>
      <c r="Q68" s="1" t="s">
        <v>27</v>
      </c>
      <c r="R68" s="1" t="s">
        <v>27</v>
      </c>
      <c r="S68" s="1"/>
      <c r="T68" s="1" t="s">
        <v>325</v>
      </c>
      <c r="U68" s="1"/>
      <c r="V68" s="1">
        <v>328.0</v>
      </c>
      <c r="W68" s="1">
        <v>328.0</v>
      </c>
      <c r="X68" s="1" t="s">
        <v>35</v>
      </c>
      <c r="Y68" s="1">
        <v>328000.0</v>
      </c>
      <c r="Z68" s="1"/>
      <c r="AA68" s="1">
        <v>328000</v>
      </c>
      <c r="AB68" s="1"/>
      <c r="AC68" s="1" t="s">
        <v>36</v>
      </c>
      <c r="AD68" s="1" t="s">
        <v>327</v>
      </c>
      <c r="AE68" s="1" t="s">
        <v>32</v>
      </c>
      <c r="AF68" s="1" t="s">
        <v>33</v>
      </c>
      <c r="AG68" s="1" t="s">
        <v>228</v>
      </c>
    </row>
    <row r="69" spans="1:33">
      <c r="A69" t="s">
        <v>328</v>
      </c>
      <c r="C69" t="s">
        <v>329</v>
      </c>
      <c r="E69" t="s">
        <v>27</v>
      </c>
      <c r="F69" t="s">
        <v>28</v>
      </c>
      <c r="G69">
        <v>1.084</v>
      </c>
      <c r="H69">
        <v>1.084</v>
      </c>
      <c r="I69" t="s">
        <v>94</v>
      </c>
      <c r="J69" t="s">
        <v>95</v>
      </c>
      <c r="K69" t="s">
        <v>31</v>
      </c>
      <c r="L69" t="s">
        <v>32</v>
      </c>
      <c r="M69" t="s">
        <v>33</v>
      </c>
      <c r="P69" s="1" t="s">
        <v>330</v>
      </c>
      <c r="Q69" s="1" t="s">
        <v>27</v>
      </c>
      <c r="R69" s="1" t="s">
        <v>27</v>
      </c>
      <c r="S69" s="1"/>
      <c r="T69" s="1" t="s">
        <v>331</v>
      </c>
      <c r="U69" s="1" t="s">
        <v>332</v>
      </c>
      <c r="V69" s="1">
        <v>1.084</v>
      </c>
      <c r="W69" s="1">
        <v>1.084</v>
      </c>
      <c r="X69" s="1" t="s">
        <v>35</v>
      </c>
      <c r="Y69" s="1">
        <v>1084150.0</v>
      </c>
      <c r="Z69" s="1"/>
      <c r="AA69" s="1">
        <v>1084150</v>
      </c>
      <c r="AB69" s="1"/>
      <c r="AC69" s="1" t="s">
        <v>36</v>
      </c>
      <c r="AD69" s="1" t="s">
        <v>237</v>
      </c>
      <c r="AE69" s="1" t="s">
        <v>32</v>
      </c>
      <c r="AF69" s="1" t="s">
        <v>33</v>
      </c>
      <c r="AG69" s="1" t="s">
        <v>95</v>
      </c>
    </row>
    <row r="70" spans="1:33">
      <c r="A70" t="s">
        <v>333</v>
      </c>
      <c r="B70" t="s">
        <v>334</v>
      </c>
      <c r="C70" t="s">
        <v>125</v>
      </c>
      <c r="E70" t="s">
        <v>27</v>
      </c>
      <c r="F70" t="s">
        <v>28</v>
      </c>
      <c r="G70">
        <v>14.495</v>
      </c>
      <c r="H70">
        <v>14.495</v>
      </c>
      <c r="I70" t="s">
        <v>126</v>
      </c>
      <c r="J70" t="s">
        <v>127</v>
      </c>
      <c r="K70" t="s">
        <v>31</v>
      </c>
      <c r="L70" t="s">
        <v>32</v>
      </c>
      <c r="M70" t="s">
        <v>33</v>
      </c>
      <c r="P70" s="1" t="s">
        <v>335</v>
      </c>
      <c r="Q70" s="1" t="s">
        <v>27</v>
      </c>
      <c r="R70" s="1" t="s">
        <v>27</v>
      </c>
      <c r="S70" s="1"/>
      <c r="T70" s="1" t="s">
        <v>125</v>
      </c>
      <c r="U70" s="1"/>
      <c r="V70" s="1">
        <v>14.495</v>
      </c>
      <c r="W70" s="1">
        <v>14.495</v>
      </c>
      <c r="X70" s="1" t="s">
        <v>35</v>
      </c>
      <c r="Y70" s="1">
        <v>14495.0</v>
      </c>
      <c r="Z70" s="1"/>
      <c r="AA70" s="1">
        <v>14495</v>
      </c>
      <c r="AB70" s="1"/>
      <c r="AC70" s="1" t="s">
        <v>36</v>
      </c>
      <c r="AD70" s="1" t="s">
        <v>336</v>
      </c>
      <c r="AE70" s="1" t="s">
        <v>32</v>
      </c>
      <c r="AF70" s="1" t="s">
        <v>33</v>
      </c>
      <c r="AG70" s="1" t="s">
        <v>127</v>
      </c>
    </row>
    <row r="71" spans="1:33">
      <c r="A71" t="s">
        <v>337</v>
      </c>
      <c r="C71" t="s">
        <v>338</v>
      </c>
      <c r="E71" t="s">
        <v>27</v>
      </c>
      <c r="F71" t="s">
        <v>28</v>
      </c>
      <c r="G71">
        <v>427.238</v>
      </c>
      <c r="H71">
        <v>427.238</v>
      </c>
      <c r="I71" t="s">
        <v>179</v>
      </c>
      <c r="J71" t="s">
        <v>180</v>
      </c>
      <c r="K71" t="s">
        <v>31</v>
      </c>
      <c r="L71" t="s">
        <v>32</v>
      </c>
      <c r="M71" t="s">
        <v>33</v>
      </c>
      <c r="P71" s="1" t="s">
        <v>339</v>
      </c>
      <c r="Q71" s="1" t="s">
        <v>27</v>
      </c>
      <c r="R71" s="1" t="s">
        <v>27</v>
      </c>
      <c r="S71" s="1"/>
      <c r="T71" s="1" t="s">
        <v>338</v>
      </c>
      <c r="U71" s="1"/>
      <c r="V71" s="1">
        <v>427.238</v>
      </c>
      <c r="W71" s="1">
        <v>427.238</v>
      </c>
      <c r="X71" s="1" t="s">
        <v>35</v>
      </c>
      <c r="Y71" s="1">
        <v>427238.0</v>
      </c>
      <c r="Z71" s="1"/>
      <c r="AA71" s="1">
        <v>427238</v>
      </c>
      <c r="AB71" s="1"/>
      <c r="AC71" s="1" t="s">
        <v>36</v>
      </c>
      <c r="AD71" s="1" t="s">
        <v>336</v>
      </c>
      <c r="AE71" s="1" t="s">
        <v>32</v>
      </c>
      <c r="AF71" s="1" t="s">
        <v>33</v>
      </c>
      <c r="AG71" s="1" t="s">
        <v>180</v>
      </c>
    </row>
    <row r="72" spans="1:33">
      <c r="A72" t="s">
        <v>340</v>
      </c>
      <c r="B72" t="s">
        <v>341</v>
      </c>
      <c r="C72" t="s">
        <v>26</v>
      </c>
      <c r="E72" t="s">
        <v>27</v>
      </c>
      <c r="F72" t="s">
        <v>28</v>
      </c>
      <c r="G72">
        <v>17.79</v>
      </c>
      <c r="H72">
        <v>17.79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P72" s="1" t="s">
        <v>342</v>
      </c>
      <c r="Q72" s="1" t="s">
        <v>27</v>
      </c>
      <c r="R72" s="1" t="s">
        <v>27</v>
      </c>
      <c r="S72" s="1"/>
      <c r="T72" s="1" t="s">
        <v>26</v>
      </c>
      <c r="U72" s="1"/>
      <c r="V72" s="1">
        <v>17.79</v>
      </c>
      <c r="W72" s="1">
        <v>17.79</v>
      </c>
      <c r="X72" s="1" t="s">
        <v>35</v>
      </c>
      <c r="Y72" s="1">
        <v>17790.0</v>
      </c>
      <c r="Z72" s="1"/>
      <c r="AA72" s="1">
        <v>17790</v>
      </c>
      <c r="AB72" s="1"/>
      <c r="AC72" s="1" t="s">
        <v>36</v>
      </c>
      <c r="AD72" s="1" t="s">
        <v>343</v>
      </c>
      <c r="AE72" s="1" t="s">
        <v>32</v>
      </c>
      <c r="AF72" s="1" t="s">
        <v>33</v>
      </c>
      <c r="AG72" s="1" t="s">
        <v>30</v>
      </c>
    </row>
    <row r="73" spans="1:33">
      <c r="A73" t="s">
        <v>344</v>
      </c>
      <c r="B73" t="s">
        <v>345</v>
      </c>
      <c r="C73" t="s">
        <v>68</v>
      </c>
      <c r="E73" t="s">
        <v>27</v>
      </c>
      <c r="F73" t="s">
        <v>28</v>
      </c>
      <c r="G73">
        <v>22.49</v>
      </c>
      <c r="H73">
        <v>22.49</v>
      </c>
      <c r="I73" t="s">
        <v>59</v>
      </c>
      <c r="J73" t="s">
        <v>60</v>
      </c>
      <c r="K73" t="s">
        <v>31</v>
      </c>
      <c r="L73" t="s">
        <v>32</v>
      </c>
      <c r="M73" t="s">
        <v>33</v>
      </c>
      <c r="P73" s="1" t="s">
        <v>346</v>
      </c>
      <c r="Q73" s="1" t="s">
        <v>27</v>
      </c>
      <c r="R73" s="1" t="s">
        <v>27</v>
      </c>
      <c r="S73" s="1"/>
      <c r="T73" s="1" t="s">
        <v>68</v>
      </c>
      <c r="U73" s="1"/>
      <c r="V73" s="1">
        <v>22.49</v>
      </c>
      <c r="W73" s="1">
        <v>22.49</v>
      </c>
      <c r="X73" s="1" t="s">
        <v>35</v>
      </c>
      <c r="Y73" s="1">
        <v>22490.0</v>
      </c>
      <c r="Z73" s="1"/>
      <c r="AA73" s="1">
        <v>22490</v>
      </c>
      <c r="AB73" s="1"/>
      <c r="AC73" s="1" t="s">
        <v>36</v>
      </c>
      <c r="AD73" s="1" t="s">
        <v>196</v>
      </c>
      <c r="AE73" s="1" t="s">
        <v>32</v>
      </c>
      <c r="AF73" s="1" t="s">
        <v>33</v>
      </c>
      <c r="AG73" s="1" t="s">
        <v>60</v>
      </c>
    </row>
    <row r="74" spans="1:33">
      <c r="A74" t="s">
        <v>347</v>
      </c>
      <c r="B74" t="s">
        <v>348</v>
      </c>
      <c r="C74" t="s">
        <v>125</v>
      </c>
      <c r="E74" t="s">
        <v>27</v>
      </c>
      <c r="F74" t="s">
        <v>28</v>
      </c>
      <c r="G74">
        <v>4.498</v>
      </c>
      <c r="H74">
        <v>4.498</v>
      </c>
      <c r="I74" t="s">
        <v>126</v>
      </c>
      <c r="J74" t="s">
        <v>127</v>
      </c>
      <c r="K74" t="s">
        <v>31</v>
      </c>
      <c r="L74" t="s">
        <v>32</v>
      </c>
      <c r="M74" t="s">
        <v>33</v>
      </c>
      <c r="P74" s="1" t="s">
        <v>349</v>
      </c>
      <c r="Q74" s="1" t="s">
        <v>27</v>
      </c>
      <c r="R74" s="1" t="s">
        <v>27</v>
      </c>
      <c r="S74" s="1"/>
      <c r="T74" s="1" t="s">
        <v>125</v>
      </c>
      <c r="U74" s="1"/>
      <c r="V74" s="1">
        <v>4.498</v>
      </c>
      <c r="W74" s="1">
        <v>4.498</v>
      </c>
      <c r="X74" s="1" t="s">
        <v>35</v>
      </c>
      <c r="Y74" s="1">
        <v>4498.0</v>
      </c>
      <c r="Z74" s="1"/>
      <c r="AA74" s="1">
        <v>4498</v>
      </c>
      <c r="AB74" s="1"/>
      <c r="AC74" s="1" t="s">
        <v>36</v>
      </c>
      <c r="AD74" s="1" t="s">
        <v>350</v>
      </c>
      <c r="AE74" s="1" t="s">
        <v>32</v>
      </c>
      <c r="AF74" s="1" t="s">
        <v>33</v>
      </c>
      <c r="AG74" s="1" t="s">
        <v>127</v>
      </c>
    </row>
    <row r="75" spans="1:33">
      <c r="A75" t="s">
        <v>351</v>
      </c>
      <c r="B75" t="s">
        <v>352</v>
      </c>
      <c r="C75" t="s">
        <v>125</v>
      </c>
      <c r="E75" t="s">
        <v>27</v>
      </c>
      <c r="F75" t="s">
        <v>28</v>
      </c>
      <c r="G75">
        <v>10.369</v>
      </c>
      <c r="H75">
        <v>10.369</v>
      </c>
      <c r="I75" t="s">
        <v>126</v>
      </c>
      <c r="J75" t="s">
        <v>127</v>
      </c>
      <c r="K75" t="s">
        <v>31</v>
      </c>
      <c r="L75" t="s">
        <v>32</v>
      </c>
      <c r="M75" t="s">
        <v>33</v>
      </c>
      <c r="P75" s="1" t="s">
        <v>353</v>
      </c>
      <c r="Q75" s="1" t="s">
        <v>27</v>
      </c>
      <c r="R75" s="1" t="s">
        <v>27</v>
      </c>
      <c r="S75" s="1"/>
      <c r="T75" s="1" t="s">
        <v>125</v>
      </c>
      <c r="U75" s="1"/>
      <c r="V75" s="1">
        <v>10.369</v>
      </c>
      <c r="W75" s="1">
        <v>10.369</v>
      </c>
      <c r="X75" s="1" t="s">
        <v>35</v>
      </c>
      <c r="Y75" s="1">
        <v>10369.0</v>
      </c>
      <c r="Z75" s="1"/>
      <c r="AA75" s="1">
        <v>10369</v>
      </c>
      <c r="AB75" s="1"/>
      <c r="AC75" s="1" t="s">
        <v>36</v>
      </c>
      <c r="AD75" s="1" t="s">
        <v>354</v>
      </c>
      <c r="AE75" s="1" t="s">
        <v>32</v>
      </c>
      <c r="AF75" s="1" t="s">
        <v>33</v>
      </c>
      <c r="AG75" s="1" t="s">
        <v>127</v>
      </c>
    </row>
    <row r="76" spans="1:33">
      <c r="A76" t="s">
        <v>355</v>
      </c>
      <c r="B76" t="s">
        <v>356</v>
      </c>
      <c r="C76" t="s">
        <v>47</v>
      </c>
      <c r="E76" t="s">
        <v>27</v>
      </c>
      <c r="F76" t="s">
        <v>28</v>
      </c>
      <c r="G76">
        <v>63.0</v>
      </c>
      <c r="H76">
        <v>63.0</v>
      </c>
      <c r="I76" t="s">
        <v>48</v>
      </c>
      <c r="J76" t="s">
        <v>49</v>
      </c>
      <c r="K76" t="s">
        <v>31</v>
      </c>
      <c r="L76" t="s">
        <v>32</v>
      </c>
      <c r="M76" t="s">
        <v>33</v>
      </c>
      <c r="P76" s="1" t="s">
        <v>357</v>
      </c>
      <c r="Q76" s="1" t="s">
        <v>27</v>
      </c>
      <c r="R76" s="1" t="s">
        <v>27</v>
      </c>
      <c r="S76" s="1"/>
      <c r="T76" s="1" t="s">
        <v>47</v>
      </c>
      <c r="U76" s="1"/>
      <c r="V76" s="1">
        <v>63.0</v>
      </c>
      <c r="W76" s="1">
        <v>63.0</v>
      </c>
      <c r="X76" s="1" t="s">
        <v>35</v>
      </c>
      <c r="Y76" s="1">
        <v>63000.0</v>
      </c>
      <c r="Z76" s="1"/>
      <c r="AA76" s="1">
        <v>63000</v>
      </c>
      <c r="AB76" s="1"/>
      <c r="AC76" s="1" t="s">
        <v>36</v>
      </c>
      <c r="AD76" s="1" t="s">
        <v>358</v>
      </c>
      <c r="AE76" s="1" t="s">
        <v>32</v>
      </c>
      <c r="AF76" s="1" t="s">
        <v>33</v>
      </c>
      <c r="AG76" s="1" t="s">
        <v>49</v>
      </c>
    </row>
    <row r="77" spans="1:33">
      <c r="A77" t="s">
        <v>359</v>
      </c>
      <c r="B77" t="s">
        <v>360</v>
      </c>
      <c r="C77" t="s">
        <v>68</v>
      </c>
      <c r="E77" t="s">
        <v>27</v>
      </c>
      <c r="F77" t="s">
        <v>28</v>
      </c>
      <c r="G77">
        <v>4.598</v>
      </c>
      <c r="H77">
        <v>4.598</v>
      </c>
      <c r="I77" t="s">
        <v>59</v>
      </c>
      <c r="J77" t="s">
        <v>60</v>
      </c>
      <c r="K77" t="s">
        <v>31</v>
      </c>
      <c r="L77" t="s">
        <v>32</v>
      </c>
      <c r="M77" t="s">
        <v>33</v>
      </c>
      <c r="P77" s="1" t="s">
        <v>361</v>
      </c>
      <c r="Q77" s="1" t="s">
        <v>27</v>
      </c>
      <c r="R77" s="1" t="s">
        <v>27</v>
      </c>
      <c r="S77" s="1"/>
      <c r="T77" s="1" t="s">
        <v>68</v>
      </c>
      <c r="U77" s="1"/>
      <c r="V77" s="1">
        <v>4.598</v>
      </c>
      <c r="W77" s="1">
        <v>4.598</v>
      </c>
      <c r="X77" s="1" t="s">
        <v>35</v>
      </c>
      <c r="Y77" s="1">
        <v>4598.0</v>
      </c>
      <c r="Z77" s="1"/>
      <c r="AA77" s="1">
        <v>4598</v>
      </c>
      <c r="AB77" s="1"/>
      <c r="AC77" s="1" t="s">
        <v>36</v>
      </c>
      <c r="AD77" s="1" t="s">
        <v>362</v>
      </c>
      <c r="AE77" s="1" t="s">
        <v>32</v>
      </c>
      <c r="AF77" s="1" t="s">
        <v>33</v>
      </c>
      <c r="AG77" s="1" t="s">
        <v>60</v>
      </c>
    </row>
    <row r="78" spans="1:33">
      <c r="A78" t="s">
        <v>363</v>
      </c>
      <c r="B78" t="s">
        <v>364</v>
      </c>
      <c r="C78" t="s">
        <v>73</v>
      </c>
      <c r="E78" t="s">
        <v>27</v>
      </c>
      <c r="F78" t="s">
        <v>28</v>
      </c>
      <c r="G78">
        <v>238.89</v>
      </c>
      <c r="H78">
        <v>238.89</v>
      </c>
      <c r="I78" t="s">
        <v>40</v>
      </c>
      <c r="J78" t="s">
        <v>41</v>
      </c>
      <c r="K78" t="s">
        <v>31</v>
      </c>
      <c r="L78" t="s">
        <v>32</v>
      </c>
      <c r="M78" t="s">
        <v>33</v>
      </c>
      <c r="P78" s="1" t="s">
        <v>365</v>
      </c>
      <c r="Q78" s="1" t="s">
        <v>27</v>
      </c>
      <c r="R78" s="1" t="s">
        <v>43</v>
      </c>
      <c r="S78" s="1"/>
      <c r="T78" s="1" t="s">
        <v>75</v>
      </c>
      <c r="U78" s="1" t="s">
        <v>76</v>
      </c>
      <c r="V78" s="1">
        <v>238.89</v>
      </c>
      <c r="W78" s="1">
        <v>238.89</v>
      </c>
      <c r="X78" s="1" t="s">
        <v>35</v>
      </c>
      <c r="Y78" s="1">
        <v>238890.0</v>
      </c>
      <c r="Z78" s="1"/>
      <c r="AA78" s="1">
        <v>238890</v>
      </c>
      <c r="AB78" s="1"/>
      <c r="AC78" s="1" t="s">
        <v>36</v>
      </c>
      <c r="AD78" s="1" t="s">
        <v>366</v>
      </c>
      <c r="AE78" s="1" t="s">
        <v>32</v>
      </c>
      <c r="AF78" s="1" t="s">
        <v>33</v>
      </c>
      <c r="AG78" s="1" t="s">
        <v>41</v>
      </c>
    </row>
    <row r="79" spans="1:33">
      <c r="A79" t="s">
        <v>367</v>
      </c>
      <c r="C79" t="s">
        <v>368</v>
      </c>
      <c r="E79" t="s">
        <v>27</v>
      </c>
      <c r="F79" t="s">
        <v>28</v>
      </c>
      <c r="G79">
        <v>456.4</v>
      </c>
      <c r="H79">
        <v>456.4</v>
      </c>
      <c r="I79" t="s">
        <v>136</v>
      </c>
      <c r="J79" t="s">
        <v>137</v>
      </c>
      <c r="K79" t="s">
        <v>31</v>
      </c>
      <c r="L79" t="s">
        <v>32</v>
      </c>
      <c r="M79" t="s">
        <v>33</v>
      </c>
      <c r="P79" s="1" t="s">
        <v>369</v>
      </c>
      <c r="Q79" s="1" t="s">
        <v>27</v>
      </c>
      <c r="R79" s="1" t="s">
        <v>27</v>
      </c>
      <c r="S79" s="1"/>
      <c r="T79" s="1" t="s">
        <v>370</v>
      </c>
      <c r="U79" s="1" t="s">
        <v>371</v>
      </c>
      <c r="V79" s="1">
        <v>456.4</v>
      </c>
      <c r="W79" s="1">
        <v>456.4</v>
      </c>
      <c r="X79" s="1" t="s">
        <v>35</v>
      </c>
      <c r="Y79" s="1">
        <v>456400.0</v>
      </c>
      <c r="Z79" s="1"/>
      <c r="AA79" s="1">
        <v>456400</v>
      </c>
      <c r="AB79" s="1"/>
      <c r="AC79" s="1" t="s">
        <v>36</v>
      </c>
      <c r="AD79" s="1" t="s">
        <v>372</v>
      </c>
      <c r="AE79" s="1" t="s">
        <v>32</v>
      </c>
      <c r="AF79" s="1" t="s">
        <v>33</v>
      </c>
      <c r="AG79" s="1" t="s">
        <v>137</v>
      </c>
    </row>
    <row r="80" spans="1:33">
      <c r="A80" t="s">
        <v>373</v>
      </c>
      <c r="B80" t="s">
        <v>374</v>
      </c>
      <c r="C80" t="s">
        <v>375</v>
      </c>
      <c r="D80" t="s">
        <v>154</v>
      </c>
      <c r="E80" t="s">
        <v>27</v>
      </c>
      <c r="F80" t="s">
        <v>28</v>
      </c>
      <c r="G80">
        <v>305.0</v>
      </c>
      <c r="H80">
        <v>305.0</v>
      </c>
      <c r="I80" t="s">
        <v>59</v>
      </c>
      <c r="J80" t="s">
        <v>60</v>
      </c>
      <c r="K80" t="s">
        <v>31</v>
      </c>
      <c r="L80" t="s">
        <v>32</v>
      </c>
      <c r="M80" t="s">
        <v>33</v>
      </c>
      <c r="P80" s="1" t="s">
        <v>376</v>
      </c>
      <c r="Q80" s="1" t="s">
        <v>27</v>
      </c>
      <c r="R80" s="1" t="s">
        <v>27</v>
      </c>
      <c r="S80" s="1"/>
      <c r="T80" s="1" t="s">
        <v>377</v>
      </c>
      <c r="U80" s="1" t="s">
        <v>378</v>
      </c>
      <c r="V80" s="1">
        <v>305.0</v>
      </c>
      <c r="W80" s="1">
        <v>305.0</v>
      </c>
      <c r="X80" s="1" t="s">
        <v>35</v>
      </c>
      <c r="Y80" s="1">
        <v>305000.0</v>
      </c>
      <c r="Z80" s="1"/>
      <c r="AA80" s="1">
        <v>305000</v>
      </c>
      <c r="AB80" s="1"/>
      <c r="AC80" s="1" t="s">
        <v>36</v>
      </c>
      <c r="AD80" s="1" t="s">
        <v>379</v>
      </c>
      <c r="AE80" s="1" t="s">
        <v>32</v>
      </c>
      <c r="AF80" s="1" t="s">
        <v>33</v>
      </c>
      <c r="AG80" s="1" t="s">
        <v>60</v>
      </c>
    </row>
    <row r="81" spans="1:33">
      <c r="A81" t="s">
        <v>380</v>
      </c>
      <c r="B81" t="s">
        <v>381</v>
      </c>
      <c r="C81" t="s">
        <v>382</v>
      </c>
      <c r="E81" t="s">
        <v>27</v>
      </c>
      <c r="F81" t="s">
        <v>28</v>
      </c>
      <c r="G81">
        <v>352.0</v>
      </c>
      <c r="H81">
        <v>352.0</v>
      </c>
      <c r="I81" t="s">
        <v>40</v>
      </c>
      <c r="J81" t="s">
        <v>41</v>
      </c>
      <c r="K81" t="s">
        <v>31</v>
      </c>
      <c r="L81" t="s">
        <v>32</v>
      </c>
      <c r="M81" t="s">
        <v>33</v>
      </c>
      <c r="P81" s="1" t="s">
        <v>383</v>
      </c>
      <c r="Q81" s="1" t="s">
        <v>27</v>
      </c>
      <c r="R81" s="1" t="s">
        <v>43</v>
      </c>
      <c r="S81" s="1"/>
      <c r="T81" s="1" t="s">
        <v>382</v>
      </c>
      <c r="U81" s="1"/>
      <c r="V81" s="1">
        <v>352.0</v>
      </c>
      <c r="W81" s="1">
        <v>352.0</v>
      </c>
      <c r="X81" s="1" t="s">
        <v>35</v>
      </c>
      <c r="Y81" s="1">
        <v>352000.0</v>
      </c>
      <c r="Z81" s="1"/>
      <c r="AA81" s="1">
        <v>352000</v>
      </c>
      <c r="AB81" s="1"/>
      <c r="AC81" s="1" t="s">
        <v>36</v>
      </c>
      <c r="AD81" s="1" t="s">
        <v>384</v>
      </c>
      <c r="AE81" s="1" t="s">
        <v>32</v>
      </c>
      <c r="AF81" s="1" t="s">
        <v>33</v>
      </c>
      <c r="AG81" s="1" t="s">
        <v>41</v>
      </c>
    </row>
    <row r="82" spans="1:33">
      <c r="A82" t="s">
        <v>385</v>
      </c>
      <c r="C82" t="s">
        <v>386</v>
      </c>
      <c r="E82" t="s">
        <v>27</v>
      </c>
      <c r="F82" t="s">
        <v>28</v>
      </c>
      <c r="G82">
        <v>383.0</v>
      </c>
      <c r="H82">
        <v>383.0</v>
      </c>
      <c r="I82" t="s">
        <v>126</v>
      </c>
      <c r="J82" t="s">
        <v>127</v>
      </c>
      <c r="K82" t="s">
        <v>31</v>
      </c>
      <c r="L82" t="s">
        <v>32</v>
      </c>
      <c r="M82" t="s">
        <v>33</v>
      </c>
      <c r="P82" s="1" t="s">
        <v>387</v>
      </c>
      <c r="Q82" s="1" t="s">
        <v>27</v>
      </c>
      <c r="R82" s="1" t="s">
        <v>27</v>
      </c>
      <c r="S82" s="1"/>
      <c r="T82" s="1" t="s">
        <v>388</v>
      </c>
      <c r="U82" s="1" t="s">
        <v>389</v>
      </c>
      <c r="V82" s="1">
        <v>383.0</v>
      </c>
      <c r="W82" s="1">
        <v>383.0</v>
      </c>
      <c r="X82" s="1" t="s">
        <v>35</v>
      </c>
      <c r="Y82" s="1">
        <v>383000.0</v>
      </c>
      <c r="Z82" s="1"/>
      <c r="AA82" s="1">
        <v>383000</v>
      </c>
      <c r="AB82" s="1"/>
      <c r="AC82" s="1" t="s">
        <v>36</v>
      </c>
      <c r="AD82" s="1" t="s">
        <v>390</v>
      </c>
      <c r="AE82" s="1" t="s">
        <v>32</v>
      </c>
      <c r="AF82" s="1" t="s">
        <v>33</v>
      </c>
      <c r="AG82" s="1" t="s">
        <v>127</v>
      </c>
    </row>
    <row r="83" spans="1:33">
      <c r="A83" t="s">
        <v>391</v>
      </c>
      <c r="C83" t="s">
        <v>392</v>
      </c>
      <c r="E83" t="s">
        <v>27</v>
      </c>
      <c r="F83" t="s">
        <v>28</v>
      </c>
      <c r="G83">
        <v>656.0</v>
      </c>
      <c r="H83">
        <v>656.0</v>
      </c>
      <c r="I83" t="s">
        <v>48</v>
      </c>
      <c r="J83" t="s">
        <v>49</v>
      </c>
      <c r="K83" t="s">
        <v>31</v>
      </c>
      <c r="L83" t="s">
        <v>32</v>
      </c>
      <c r="M83" t="s">
        <v>33</v>
      </c>
      <c r="P83" s="1" t="s">
        <v>393</v>
      </c>
      <c r="Q83" s="1" t="s">
        <v>27</v>
      </c>
      <c r="R83" s="1" t="s">
        <v>27</v>
      </c>
      <c r="S83" s="1"/>
      <c r="T83" s="1" t="s">
        <v>392</v>
      </c>
      <c r="U83" s="1"/>
      <c r="V83" s="1">
        <v>656.0</v>
      </c>
      <c r="W83" s="1">
        <v>656.0</v>
      </c>
      <c r="X83" s="1" t="s">
        <v>35</v>
      </c>
      <c r="Y83" s="1">
        <v>656000.0</v>
      </c>
      <c r="Z83" s="1"/>
      <c r="AA83" s="1">
        <v>656000</v>
      </c>
      <c r="AB83" s="1"/>
      <c r="AC83" s="1" t="s">
        <v>36</v>
      </c>
      <c r="AD83" s="1" t="s">
        <v>394</v>
      </c>
      <c r="AE83" s="1" t="s">
        <v>32</v>
      </c>
      <c r="AF83" s="1" t="s">
        <v>33</v>
      </c>
      <c r="AG83" s="1" t="s">
        <v>49</v>
      </c>
    </row>
    <row r="84" spans="1:33">
      <c r="A84" t="s">
        <v>395</v>
      </c>
      <c r="C84" t="s">
        <v>396</v>
      </c>
      <c r="D84" t="s">
        <v>114</v>
      </c>
      <c r="E84" t="s">
        <v>27</v>
      </c>
      <c r="F84" t="s">
        <v>28</v>
      </c>
      <c r="G84">
        <v>98.16</v>
      </c>
      <c r="H84">
        <v>98.16</v>
      </c>
      <c r="I84" t="s">
        <v>179</v>
      </c>
      <c r="J84" t="s">
        <v>180</v>
      </c>
      <c r="K84" t="s">
        <v>31</v>
      </c>
      <c r="L84" t="s">
        <v>32</v>
      </c>
      <c r="M84" t="s">
        <v>33</v>
      </c>
      <c r="P84" s="1" t="s">
        <v>397</v>
      </c>
      <c r="Q84" s="1" t="s">
        <v>27</v>
      </c>
      <c r="R84" s="1" t="s">
        <v>27</v>
      </c>
      <c r="S84" s="1"/>
      <c r="T84" s="1" t="s">
        <v>398</v>
      </c>
      <c r="U84" s="1" t="s">
        <v>399</v>
      </c>
      <c r="V84" s="1">
        <v>98.16</v>
      </c>
      <c r="W84" s="1">
        <v>98.16</v>
      </c>
      <c r="X84" s="1" t="s">
        <v>35</v>
      </c>
      <c r="Y84" s="1">
        <v>98160.0</v>
      </c>
      <c r="Z84" s="1"/>
      <c r="AA84" s="1">
        <v>98160</v>
      </c>
      <c r="AB84" s="1"/>
      <c r="AC84" s="1" t="s">
        <v>36</v>
      </c>
      <c r="AD84" s="1" t="s">
        <v>400</v>
      </c>
      <c r="AE84" s="1" t="s">
        <v>32</v>
      </c>
      <c r="AF84" s="1" t="s">
        <v>33</v>
      </c>
      <c r="AG84" s="1" t="s">
        <v>180</v>
      </c>
    </row>
    <row r="85" spans="1:33">
      <c r="A85" t="s">
        <v>401</v>
      </c>
      <c r="B85" t="s">
        <v>402</v>
      </c>
      <c r="C85" t="s">
        <v>314</v>
      </c>
      <c r="E85" t="s">
        <v>27</v>
      </c>
      <c r="F85" t="s">
        <v>28</v>
      </c>
      <c r="G85">
        <v>8.94</v>
      </c>
      <c r="H85">
        <v>8.94</v>
      </c>
      <c r="I85" t="s">
        <v>179</v>
      </c>
      <c r="J85" t="s">
        <v>180</v>
      </c>
      <c r="K85" t="s">
        <v>31</v>
      </c>
      <c r="L85" t="s">
        <v>32</v>
      </c>
      <c r="M85" t="s">
        <v>33</v>
      </c>
      <c r="P85" s="1" t="s">
        <v>403</v>
      </c>
      <c r="Q85" s="1" t="s">
        <v>27</v>
      </c>
      <c r="R85" s="1" t="s">
        <v>27</v>
      </c>
      <c r="S85" s="1"/>
      <c r="T85" s="1" t="s">
        <v>314</v>
      </c>
      <c r="U85" s="1"/>
      <c r="V85" s="1">
        <v>8.94</v>
      </c>
      <c r="W85" s="1">
        <v>8.94</v>
      </c>
      <c r="X85" s="1" t="s">
        <v>35</v>
      </c>
      <c r="Y85" s="1">
        <v>8940.0</v>
      </c>
      <c r="Z85" s="1"/>
      <c r="AA85" s="1">
        <v>8940</v>
      </c>
      <c r="AB85" s="1"/>
      <c r="AC85" s="1" t="s">
        <v>36</v>
      </c>
      <c r="AD85" s="1" t="s">
        <v>390</v>
      </c>
      <c r="AE85" s="1" t="s">
        <v>32</v>
      </c>
      <c r="AF85" s="1" t="s">
        <v>33</v>
      </c>
      <c r="AG85" s="1" t="s">
        <v>180</v>
      </c>
    </row>
    <row r="86" spans="1:33">
      <c r="A86" t="s">
        <v>404</v>
      </c>
      <c r="C86" t="s">
        <v>405</v>
      </c>
      <c r="E86" t="s">
        <v>27</v>
      </c>
      <c r="F86" t="s">
        <v>28</v>
      </c>
      <c r="G86">
        <v>1.462</v>
      </c>
      <c r="H86">
        <v>1.462</v>
      </c>
      <c r="I86" t="s">
        <v>269</v>
      </c>
      <c r="J86" t="s">
        <v>270</v>
      </c>
      <c r="K86" t="s">
        <v>31</v>
      </c>
      <c r="L86" t="s">
        <v>32</v>
      </c>
      <c r="M86" t="s">
        <v>33</v>
      </c>
      <c r="P86" s="1" t="s">
        <v>406</v>
      </c>
      <c r="Q86" s="1" t="s">
        <v>27</v>
      </c>
      <c r="R86" s="1" t="s">
        <v>27</v>
      </c>
      <c r="S86" s="1"/>
      <c r="T86" s="1" t="s">
        <v>405</v>
      </c>
      <c r="U86" s="1"/>
      <c r="V86" s="1">
        <v>1.462</v>
      </c>
      <c r="W86" s="1">
        <v>1.462</v>
      </c>
      <c r="X86" s="1" t="s">
        <v>35</v>
      </c>
      <c r="Y86" s="1">
        <v>1462000.0</v>
      </c>
      <c r="Z86" s="1"/>
      <c r="AA86" s="1">
        <v>1462000</v>
      </c>
      <c r="AB86" s="1"/>
      <c r="AC86" s="1" t="s">
        <v>36</v>
      </c>
      <c r="AD86" s="1" t="s">
        <v>407</v>
      </c>
      <c r="AE86" s="1" t="s">
        <v>32</v>
      </c>
      <c r="AF86" s="1" t="s">
        <v>33</v>
      </c>
      <c r="AG86" s="1" t="s">
        <v>270</v>
      </c>
    </row>
    <row r="87" spans="1:33">
      <c r="A87" t="s">
        <v>408</v>
      </c>
      <c r="B87" t="s">
        <v>409</v>
      </c>
      <c r="C87" t="s">
        <v>68</v>
      </c>
      <c r="E87" t="s">
        <v>27</v>
      </c>
      <c r="F87" t="s">
        <v>28</v>
      </c>
      <c r="G87">
        <v>6.698</v>
      </c>
      <c r="H87">
        <v>6.698</v>
      </c>
      <c r="I87" t="s">
        <v>59</v>
      </c>
      <c r="J87" t="s">
        <v>60</v>
      </c>
      <c r="K87" t="s">
        <v>31</v>
      </c>
      <c r="L87" t="s">
        <v>32</v>
      </c>
      <c r="M87" t="s">
        <v>33</v>
      </c>
      <c r="P87" s="1" t="s">
        <v>410</v>
      </c>
      <c r="Q87" s="1" t="s">
        <v>27</v>
      </c>
      <c r="R87" s="1" t="s">
        <v>27</v>
      </c>
      <c r="S87" s="1"/>
      <c r="T87" s="1" t="s">
        <v>68</v>
      </c>
      <c r="U87" s="1"/>
      <c r="V87" s="1">
        <v>6.698</v>
      </c>
      <c r="W87" s="1">
        <v>6.698</v>
      </c>
      <c r="X87" s="1" t="s">
        <v>35</v>
      </c>
      <c r="Y87" s="1">
        <v>6698.0</v>
      </c>
      <c r="Z87" s="1"/>
      <c r="AA87" s="1">
        <v>6698</v>
      </c>
      <c r="AB87" s="1"/>
      <c r="AC87" s="1" t="s">
        <v>36</v>
      </c>
      <c r="AD87" s="1" t="s">
        <v>411</v>
      </c>
      <c r="AE87" s="1" t="s">
        <v>32</v>
      </c>
      <c r="AF87" s="1" t="s">
        <v>33</v>
      </c>
      <c r="AG87" s="1" t="s">
        <v>60</v>
      </c>
    </row>
    <row r="88" spans="1:33">
      <c r="A88" t="s">
        <v>412</v>
      </c>
      <c r="B88" t="s">
        <v>413</v>
      </c>
      <c r="C88" t="s">
        <v>414</v>
      </c>
      <c r="E88" t="s">
        <v>27</v>
      </c>
      <c r="F88" t="s">
        <v>28</v>
      </c>
      <c r="G88">
        <v>328.0</v>
      </c>
      <c r="H88">
        <v>328.0</v>
      </c>
      <c r="I88" t="s">
        <v>136</v>
      </c>
      <c r="J88" t="s">
        <v>137</v>
      </c>
      <c r="K88" t="s">
        <v>31</v>
      </c>
      <c r="L88" t="s">
        <v>32</v>
      </c>
      <c r="M88" t="s">
        <v>33</v>
      </c>
      <c r="P88" s="1" t="s">
        <v>415</v>
      </c>
      <c r="Q88" s="1" t="s">
        <v>27</v>
      </c>
      <c r="R88" s="1" t="s">
        <v>27</v>
      </c>
      <c r="S88" s="1"/>
      <c r="T88" s="1" t="s">
        <v>414</v>
      </c>
      <c r="U88" s="1"/>
      <c r="V88" s="1">
        <v>328.0</v>
      </c>
      <c r="W88" s="1">
        <v>328.0</v>
      </c>
      <c r="X88" s="1" t="s">
        <v>35</v>
      </c>
      <c r="Y88" s="1">
        <v>328000.0</v>
      </c>
      <c r="Z88" s="1"/>
      <c r="AA88" s="1">
        <v>328000</v>
      </c>
      <c r="AB88" s="1"/>
      <c r="AC88" s="1" t="s">
        <v>36</v>
      </c>
      <c r="AD88" s="1" t="s">
        <v>416</v>
      </c>
      <c r="AE88" s="1" t="s">
        <v>32</v>
      </c>
      <c r="AF88" s="1" t="s">
        <v>33</v>
      </c>
      <c r="AG88" s="1" t="s">
        <v>137</v>
      </c>
    </row>
    <row r="89" spans="1:33">
      <c r="A89" t="s">
        <v>417</v>
      </c>
      <c r="B89" t="s">
        <v>418</v>
      </c>
      <c r="C89" t="s">
        <v>125</v>
      </c>
      <c r="E89" t="s">
        <v>27</v>
      </c>
      <c r="F89" t="s">
        <v>28</v>
      </c>
      <c r="G89">
        <v>9.095</v>
      </c>
      <c r="H89">
        <v>9.095</v>
      </c>
      <c r="I89" t="s">
        <v>126</v>
      </c>
      <c r="J89" t="s">
        <v>127</v>
      </c>
      <c r="K89" t="s">
        <v>31</v>
      </c>
      <c r="L89" t="s">
        <v>32</v>
      </c>
      <c r="M89" t="s">
        <v>33</v>
      </c>
      <c r="P89" s="1" t="s">
        <v>419</v>
      </c>
      <c r="Q89" s="1" t="s">
        <v>27</v>
      </c>
      <c r="R89" s="1" t="s">
        <v>27</v>
      </c>
      <c r="S89" s="1"/>
      <c r="T89" s="1" t="s">
        <v>125</v>
      </c>
      <c r="U89" s="1"/>
      <c r="V89" s="1">
        <v>9.095</v>
      </c>
      <c r="W89" s="1">
        <v>9.095</v>
      </c>
      <c r="X89" s="1" t="s">
        <v>35</v>
      </c>
      <c r="Y89" s="1">
        <v>9095.0</v>
      </c>
      <c r="Z89" s="1"/>
      <c r="AA89" s="1">
        <v>9095</v>
      </c>
      <c r="AB89" s="1"/>
      <c r="AC89" s="1" t="s">
        <v>36</v>
      </c>
      <c r="AD89" s="1" t="s">
        <v>420</v>
      </c>
      <c r="AE89" s="1" t="s">
        <v>32</v>
      </c>
      <c r="AF89" s="1" t="s">
        <v>33</v>
      </c>
      <c r="AG89" s="1" t="s">
        <v>127</v>
      </c>
    </row>
    <row r="90" spans="1:33">
      <c r="A90" t="s">
        <v>421</v>
      </c>
      <c r="B90" t="s">
        <v>422</v>
      </c>
      <c r="C90" t="s">
        <v>125</v>
      </c>
      <c r="E90" t="s">
        <v>27</v>
      </c>
      <c r="F90" t="s">
        <v>28</v>
      </c>
      <c r="G90">
        <v>19.49</v>
      </c>
      <c r="H90">
        <v>19.49</v>
      </c>
      <c r="I90" t="s">
        <v>126</v>
      </c>
      <c r="J90" t="s">
        <v>127</v>
      </c>
      <c r="K90" t="s">
        <v>31</v>
      </c>
      <c r="L90" t="s">
        <v>32</v>
      </c>
      <c r="M90" t="s">
        <v>33</v>
      </c>
      <c r="P90" s="1" t="s">
        <v>423</v>
      </c>
      <c r="Q90" s="1" t="s">
        <v>27</v>
      </c>
      <c r="R90" s="1" t="s">
        <v>27</v>
      </c>
      <c r="S90" s="1"/>
      <c r="T90" s="1" t="s">
        <v>125</v>
      </c>
      <c r="U90" s="1"/>
      <c r="V90" s="1">
        <v>19.49</v>
      </c>
      <c r="W90" s="1">
        <v>19.49</v>
      </c>
      <c r="X90" s="1" t="s">
        <v>35</v>
      </c>
      <c r="Y90" s="1">
        <v>19490.0</v>
      </c>
      <c r="Z90" s="1"/>
      <c r="AA90" s="1">
        <v>19490</v>
      </c>
      <c r="AB90" s="1"/>
      <c r="AC90" s="1" t="s">
        <v>36</v>
      </c>
      <c r="AD90" s="1" t="s">
        <v>424</v>
      </c>
      <c r="AE90" s="1" t="s">
        <v>32</v>
      </c>
      <c r="AF90" s="1" t="s">
        <v>33</v>
      </c>
      <c r="AG90" s="1" t="s">
        <v>127</v>
      </c>
    </row>
    <row r="91" spans="1:33">
      <c r="A91" t="s">
        <v>425</v>
      </c>
      <c r="C91" t="s">
        <v>426</v>
      </c>
      <c r="D91" t="s">
        <v>114</v>
      </c>
      <c r="E91" t="s">
        <v>27</v>
      </c>
      <c r="F91" t="s">
        <v>28</v>
      </c>
      <c r="G91">
        <v>320.0</v>
      </c>
      <c r="H91">
        <v>320.0</v>
      </c>
      <c r="I91" t="s">
        <v>40</v>
      </c>
      <c r="J91" t="s">
        <v>41</v>
      </c>
      <c r="K91" t="s">
        <v>31</v>
      </c>
      <c r="L91" t="s">
        <v>32</v>
      </c>
      <c r="M91" t="s">
        <v>33</v>
      </c>
      <c r="P91" s="1" t="s">
        <v>427</v>
      </c>
      <c r="Q91" s="1" t="s">
        <v>27</v>
      </c>
      <c r="R91" s="1" t="s">
        <v>43</v>
      </c>
      <c r="S91" s="1"/>
      <c r="T91" s="1" t="s">
        <v>426</v>
      </c>
      <c r="U91" s="1"/>
      <c r="V91" s="1">
        <v>320.0</v>
      </c>
      <c r="W91" s="1">
        <v>320.0</v>
      </c>
      <c r="X91" s="1" t="s">
        <v>35</v>
      </c>
      <c r="Y91" s="1">
        <v>320000.0</v>
      </c>
      <c r="Z91" s="1"/>
      <c r="AA91" s="1">
        <v>320000</v>
      </c>
      <c r="AB91" s="1"/>
      <c r="AC91" s="1" t="s">
        <v>36</v>
      </c>
      <c r="AD91" s="1" t="s">
        <v>428</v>
      </c>
      <c r="AE91" s="1" t="s">
        <v>32</v>
      </c>
      <c r="AF91" s="1" t="s">
        <v>33</v>
      </c>
      <c r="AG91" s="1" t="s">
        <v>41</v>
      </c>
    </row>
    <row r="92" spans="1:33">
      <c r="A92" t="s">
        <v>429</v>
      </c>
      <c r="B92" t="s">
        <v>430</v>
      </c>
      <c r="C92" t="s">
        <v>431</v>
      </c>
      <c r="E92" t="s">
        <v>27</v>
      </c>
      <c r="F92" t="s">
        <v>28</v>
      </c>
      <c r="G92">
        <v>370.0</v>
      </c>
      <c r="H92">
        <v>370.0</v>
      </c>
      <c r="I92" t="s">
        <v>59</v>
      </c>
      <c r="J92" t="s">
        <v>60</v>
      </c>
      <c r="K92" t="s">
        <v>31</v>
      </c>
      <c r="L92" t="s">
        <v>32</v>
      </c>
      <c r="M92" t="s">
        <v>33</v>
      </c>
      <c r="P92" s="1" t="s">
        <v>432</v>
      </c>
      <c r="Q92" s="1" t="s">
        <v>27</v>
      </c>
      <c r="R92" s="1" t="s">
        <v>27</v>
      </c>
      <c r="S92" s="1"/>
      <c r="T92" s="1" t="s">
        <v>431</v>
      </c>
      <c r="U92" s="1"/>
      <c r="V92" s="1">
        <v>370.0</v>
      </c>
      <c r="W92" s="1">
        <v>370.0</v>
      </c>
      <c r="X92" s="1" t="s">
        <v>35</v>
      </c>
      <c r="Y92" s="1">
        <v>370000.0</v>
      </c>
      <c r="Z92" s="1"/>
      <c r="AA92" s="1">
        <v>370000</v>
      </c>
      <c r="AB92" s="1"/>
      <c r="AC92" s="1" t="s">
        <v>36</v>
      </c>
      <c r="AD92" s="1" t="s">
        <v>433</v>
      </c>
      <c r="AE92" s="1" t="s">
        <v>32</v>
      </c>
      <c r="AF92" s="1" t="s">
        <v>33</v>
      </c>
      <c r="AG92" s="1" t="s">
        <v>60</v>
      </c>
    </row>
    <row r="93" spans="1:33">
      <c r="A93" t="s">
        <v>434</v>
      </c>
      <c r="B93" t="s">
        <v>435</v>
      </c>
      <c r="C93" t="s">
        <v>125</v>
      </c>
      <c r="E93" t="s">
        <v>27</v>
      </c>
      <c r="F93" t="s">
        <v>28</v>
      </c>
      <c r="G93">
        <v>6.668</v>
      </c>
      <c r="H93">
        <v>6.668</v>
      </c>
      <c r="I93" t="s">
        <v>126</v>
      </c>
      <c r="J93" t="s">
        <v>127</v>
      </c>
      <c r="K93" t="s">
        <v>31</v>
      </c>
      <c r="L93" t="s">
        <v>32</v>
      </c>
      <c r="M93" t="s">
        <v>33</v>
      </c>
      <c r="P93" s="1" t="s">
        <v>436</v>
      </c>
      <c r="Q93" s="1" t="s">
        <v>27</v>
      </c>
      <c r="R93" s="1" t="s">
        <v>27</v>
      </c>
      <c r="S93" s="1"/>
      <c r="T93" s="1" t="s">
        <v>125</v>
      </c>
      <c r="U93" s="1"/>
      <c r="V93" s="1">
        <v>6.668</v>
      </c>
      <c r="W93" s="1">
        <v>6.668</v>
      </c>
      <c r="X93" s="1" t="s">
        <v>35</v>
      </c>
      <c r="Y93" s="1">
        <v>6668.0</v>
      </c>
      <c r="Z93" s="1"/>
      <c r="AA93" s="1">
        <v>6668</v>
      </c>
      <c r="AB93" s="1"/>
      <c r="AC93" s="1" t="s">
        <v>36</v>
      </c>
      <c r="AD93" s="1" t="s">
        <v>437</v>
      </c>
      <c r="AE93" s="1" t="s">
        <v>32</v>
      </c>
      <c r="AF93" s="1" t="s">
        <v>33</v>
      </c>
      <c r="AG93" s="1" t="s">
        <v>127</v>
      </c>
    </row>
    <row r="94" spans="1:33">
      <c r="A94" t="s">
        <v>438</v>
      </c>
      <c r="B94" t="s">
        <v>439</v>
      </c>
      <c r="C94" t="s">
        <v>440</v>
      </c>
      <c r="E94" t="s">
        <v>27</v>
      </c>
      <c r="F94" t="s">
        <v>28</v>
      </c>
      <c r="G94">
        <v>1.85</v>
      </c>
      <c r="H94">
        <v>1.85</v>
      </c>
      <c r="I94" t="s">
        <v>59</v>
      </c>
      <c r="J94" t="s">
        <v>60</v>
      </c>
      <c r="K94" t="s">
        <v>31</v>
      </c>
      <c r="L94" t="s">
        <v>32</v>
      </c>
      <c r="M94" t="s">
        <v>33</v>
      </c>
      <c r="P94" s="1" t="s">
        <v>441</v>
      </c>
      <c r="Q94" s="1" t="s">
        <v>27</v>
      </c>
      <c r="R94" s="1" t="s">
        <v>27</v>
      </c>
      <c r="S94" s="1"/>
      <c r="T94" s="1" t="s">
        <v>440</v>
      </c>
      <c r="U94" s="1"/>
      <c r="V94" s="1">
        <v>1.85</v>
      </c>
      <c r="W94" s="1">
        <v>1.85</v>
      </c>
      <c r="X94" s="1" t="s">
        <v>35</v>
      </c>
      <c r="Y94" s="1">
        <v>1850000.0</v>
      </c>
      <c r="Z94" s="1"/>
      <c r="AA94" s="1">
        <v>1850000</v>
      </c>
      <c r="AB94" s="1"/>
      <c r="AC94" s="1" t="s">
        <v>36</v>
      </c>
      <c r="AD94" s="1" t="s">
        <v>442</v>
      </c>
      <c r="AE94" s="1" t="s">
        <v>32</v>
      </c>
      <c r="AF94" s="1" t="s">
        <v>33</v>
      </c>
      <c r="AG94" s="1" t="s">
        <v>60</v>
      </c>
    </row>
    <row r="95" spans="1:33">
      <c r="A95" t="s">
        <v>443</v>
      </c>
      <c r="B95" t="s">
        <v>444</v>
      </c>
      <c r="C95" t="s">
        <v>314</v>
      </c>
      <c r="E95" t="s">
        <v>27</v>
      </c>
      <c r="F95" t="s">
        <v>28</v>
      </c>
      <c r="G95">
        <v>74.98</v>
      </c>
      <c r="H95">
        <v>74.98</v>
      </c>
      <c r="I95" t="s">
        <v>179</v>
      </c>
      <c r="J95" t="s">
        <v>180</v>
      </c>
      <c r="K95" t="s">
        <v>31</v>
      </c>
      <c r="L95" t="s">
        <v>32</v>
      </c>
      <c r="M95" t="s">
        <v>33</v>
      </c>
      <c r="P95" s="1" t="s">
        <v>445</v>
      </c>
      <c r="Q95" s="1" t="s">
        <v>27</v>
      </c>
      <c r="R95" s="1" t="s">
        <v>27</v>
      </c>
      <c r="S95" s="1"/>
      <c r="T95" s="1" t="s">
        <v>314</v>
      </c>
      <c r="U95" s="1"/>
      <c r="V95" s="1">
        <v>74.98</v>
      </c>
      <c r="W95" s="1">
        <v>74.98</v>
      </c>
      <c r="X95" s="1" t="s">
        <v>35</v>
      </c>
      <c r="Y95" s="1">
        <v>74980.0</v>
      </c>
      <c r="Z95" s="1"/>
      <c r="AA95" s="1">
        <v>74980</v>
      </c>
      <c r="AB95" s="1"/>
      <c r="AC95" s="1" t="s">
        <v>36</v>
      </c>
      <c r="AD95" s="1" t="s">
        <v>446</v>
      </c>
      <c r="AE95" s="1" t="s">
        <v>32</v>
      </c>
      <c r="AF95" s="1" t="s">
        <v>33</v>
      </c>
      <c r="AG95" s="1" t="s">
        <v>180</v>
      </c>
    </row>
    <row r="96" spans="1:33">
      <c r="A96" t="s">
        <v>447</v>
      </c>
      <c r="B96" t="s">
        <v>448</v>
      </c>
      <c r="C96" t="s">
        <v>73</v>
      </c>
      <c r="E96" t="s">
        <v>27</v>
      </c>
      <c r="F96" t="s">
        <v>28</v>
      </c>
      <c r="G96">
        <v>19.49</v>
      </c>
      <c r="H96">
        <v>19.49</v>
      </c>
      <c r="I96" t="s">
        <v>40</v>
      </c>
      <c r="J96" t="s">
        <v>41</v>
      </c>
      <c r="K96" t="s">
        <v>31</v>
      </c>
      <c r="L96" t="s">
        <v>32</v>
      </c>
      <c r="M96" t="s">
        <v>33</v>
      </c>
      <c r="P96" s="1" t="s">
        <v>449</v>
      </c>
      <c r="Q96" s="1" t="s">
        <v>27</v>
      </c>
      <c r="R96" s="1" t="s">
        <v>43</v>
      </c>
      <c r="S96" s="1"/>
      <c r="T96" s="1" t="s">
        <v>75</v>
      </c>
      <c r="U96" s="1" t="s">
        <v>76</v>
      </c>
      <c r="V96" s="1">
        <v>19.49</v>
      </c>
      <c r="W96" s="1">
        <v>19.49</v>
      </c>
      <c r="X96" s="1" t="s">
        <v>35</v>
      </c>
      <c r="Y96" s="1">
        <v>19490.0</v>
      </c>
      <c r="Z96" s="1"/>
      <c r="AA96" s="1">
        <v>19490</v>
      </c>
      <c r="AB96" s="1"/>
      <c r="AC96" s="1" t="s">
        <v>36</v>
      </c>
      <c r="AD96" s="1" t="s">
        <v>450</v>
      </c>
      <c r="AE96" s="1" t="s">
        <v>32</v>
      </c>
      <c r="AF96" s="1" t="s">
        <v>33</v>
      </c>
      <c r="AG96" s="1" t="s">
        <v>41</v>
      </c>
    </row>
    <row r="97" spans="1:33">
      <c r="A97" t="s">
        <v>451</v>
      </c>
      <c r="B97" t="s">
        <v>452</v>
      </c>
      <c r="C97" t="s">
        <v>453</v>
      </c>
      <c r="E97" t="s">
        <v>27</v>
      </c>
      <c r="F97" t="s">
        <v>28</v>
      </c>
      <c r="G97">
        <v>1.68</v>
      </c>
      <c r="H97">
        <v>1.68</v>
      </c>
      <c r="I97" t="s">
        <v>29</v>
      </c>
      <c r="J97" t="s">
        <v>30</v>
      </c>
      <c r="K97" t="s">
        <v>31</v>
      </c>
      <c r="L97" t="s">
        <v>32</v>
      </c>
      <c r="M97" t="s">
        <v>33</v>
      </c>
      <c r="P97" s="1" t="s">
        <v>454</v>
      </c>
      <c r="Q97" s="1" t="s">
        <v>27</v>
      </c>
      <c r="R97" s="1" t="s">
        <v>27</v>
      </c>
      <c r="S97" s="1"/>
      <c r="T97" s="1" t="s">
        <v>453</v>
      </c>
      <c r="U97" s="1"/>
      <c r="V97" s="1">
        <v>1.68</v>
      </c>
      <c r="W97" s="1">
        <v>1.68</v>
      </c>
      <c r="X97" s="1" t="s">
        <v>35</v>
      </c>
      <c r="Y97" s="1">
        <v>1680000.0</v>
      </c>
      <c r="Z97" s="1"/>
      <c r="AA97" s="1">
        <v>1680000</v>
      </c>
      <c r="AB97" s="1"/>
      <c r="AC97" s="1" t="s">
        <v>36</v>
      </c>
      <c r="AD97" s="1" t="s">
        <v>446</v>
      </c>
      <c r="AE97" s="1" t="s">
        <v>32</v>
      </c>
      <c r="AF97" s="1" t="s">
        <v>33</v>
      </c>
      <c r="AG97" s="1" t="s">
        <v>30</v>
      </c>
    </row>
    <row r="98" spans="1:33">
      <c r="A98" t="s">
        <v>455</v>
      </c>
      <c r="B98" t="s">
        <v>456</v>
      </c>
      <c r="C98" t="s">
        <v>125</v>
      </c>
      <c r="E98" t="s">
        <v>27</v>
      </c>
      <c r="F98" t="s">
        <v>28</v>
      </c>
      <c r="G98">
        <v>16.99</v>
      </c>
      <c r="H98">
        <v>16.99</v>
      </c>
      <c r="I98" t="s">
        <v>126</v>
      </c>
      <c r="J98" t="s">
        <v>127</v>
      </c>
      <c r="K98" t="s">
        <v>31</v>
      </c>
      <c r="L98" t="s">
        <v>32</v>
      </c>
      <c r="M98" t="s">
        <v>33</v>
      </c>
      <c r="P98" s="1" t="s">
        <v>457</v>
      </c>
      <c r="Q98" s="1" t="s">
        <v>27</v>
      </c>
      <c r="R98" s="1" t="s">
        <v>27</v>
      </c>
      <c r="S98" s="1"/>
      <c r="T98" s="1" t="s">
        <v>125</v>
      </c>
      <c r="U98" s="1"/>
      <c r="V98" s="1">
        <v>16.99</v>
      </c>
      <c r="W98" s="1">
        <v>16.99</v>
      </c>
      <c r="X98" s="1" t="s">
        <v>35</v>
      </c>
      <c r="Y98" s="1">
        <v>16990.0</v>
      </c>
      <c r="Z98" s="1"/>
      <c r="AA98" s="1">
        <v>16990</v>
      </c>
      <c r="AB98" s="1"/>
      <c r="AC98" s="1" t="s">
        <v>36</v>
      </c>
      <c r="AD98" s="1" t="s">
        <v>458</v>
      </c>
      <c r="AE98" s="1" t="s">
        <v>32</v>
      </c>
      <c r="AF98" s="1" t="s">
        <v>33</v>
      </c>
      <c r="AG98" s="1" t="s">
        <v>127</v>
      </c>
    </row>
    <row r="99" spans="1:33">
      <c r="A99" t="s">
        <v>459</v>
      </c>
      <c r="B99" t="s">
        <v>460</v>
      </c>
      <c r="C99" t="s">
        <v>314</v>
      </c>
      <c r="E99" t="s">
        <v>27</v>
      </c>
      <c r="F99" t="s">
        <v>28</v>
      </c>
      <c r="G99">
        <v>289.9</v>
      </c>
      <c r="H99">
        <v>289.9</v>
      </c>
      <c r="I99" t="s">
        <v>179</v>
      </c>
      <c r="J99" t="s">
        <v>180</v>
      </c>
      <c r="K99" t="s">
        <v>31</v>
      </c>
      <c r="L99" t="s">
        <v>32</v>
      </c>
      <c r="M99" t="s">
        <v>33</v>
      </c>
      <c r="P99" s="1" t="s">
        <v>461</v>
      </c>
      <c r="Q99" s="1" t="s">
        <v>27</v>
      </c>
      <c r="R99" s="1" t="s">
        <v>27</v>
      </c>
      <c r="S99" s="1"/>
      <c r="T99" s="1" t="s">
        <v>314</v>
      </c>
      <c r="U99" s="1"/>
      <c r="V99" s="1">
        <v>289.9</v>
      </c>
      <c r="W99" s="1">
        <v>289.9</v>
      </c>
      <c r="X99" s="1" t="s">
        <v>35</v>
      </c>
      <c r="Y99" s="1">
        <v>289900.0</v>
      </c>
      <c r="Z99" s="1"/>
      <c r="AA99" s="1">
        <v>289900</v>
      </c>
      <c r="AB99" s="1"/>
      <c r="AC99" s="1" t="s">
        <v>36</v>
      </c>
      <c r="AD99" s="1" t="s">
        <v>462</v>
      </c>
      <c r="AE99" s="1" t="s">
        <v>32</v>
      </c>
      <c r="AF99" s="1" t="s">
        <v>33</v>
      </c>
      <c r="AG99" s="1" t="s">
        <v>180</v>
      </c>
    </row>
    <row r="100" spans="1:33">
      <c r="A100" t="s">
        <v>463</v>
      </c>
      <c r="C100" t="s">
        <v>464</v>
      </c>
      <c r="E100" t="s">
        <v>27</v>
      </c>
      <c r="F100" t="s">
        <v>28</v>
      </c>
      <c r="G100">
        <v>703.0</v>
      </c>
      <c r="H100">
        <v>703.0</v>
      </c>
      <c r="I100" t="s">
        <v>126</v>
      </c>
      <c r="J100" t="s">
        <v>127</v>
      </c>
      <c r="K100" t="s">
        <v>31</v>
      </c>
      <c r="L100" t="s">
        <v>32</v>
      </c>
      <c r="M100" t="s">
        <v>33</v>
      </c>
      <c r="P100" s="1" t="s">
        <v>465</v>
      </c>
      <c r="Q100" s="1" t="s">
        <v>27</v>
      </c>
      <c r="R100" s="1" t="s">
        <v>27</v>
      </c>
      <c r="S100" s="1"/>
      <c r="T100" s="1" t="s">
        <v>464</v>
      </c>
      <c r="U100" s="1"/>
      <c r="V100" s="1">
        <v>703.0</v>
      </c>
      <c r="W100" s="1">
        <v>703.0</v>
      </c>
      <c r="X100" s="1" t="s">
        <v>35</v>
      </c>
      <c r="Y100" s="1">
        <v>703000.0</v>
      </c>
      <c r="Z100" s="1"/>
      <c r="AA100" s="1">
        <v>703000</v>
      </c>
      <c r="AB100" s="1"/>
      <c r="AC100" s="1" t="s">
        <v>36</v>
      </c>
      <c r="AD100" s="1" t="s">
        <v>394</v>
      </c>
      <c r="AE100" s="1" t="s">
        <v>32</v>
      </c>
      <c r="AF100" s="1" t="s">
        <v>33</v>
      </c>
      <c r="AG100" s="1" t="s">
        <v>127</v>
      </c>
    </row>
    <row r="101" spans="1:33">
      <c r="A101" t="s">
        <v>466</v>
      </c>
      <c r="B101" t="s">
        <v>467</v>
      </c>
      <c r="C101" t="s">
        <v>468</v>
      </c>
      <c r="E101" t="s">
        <v>27</v>
      </c>
      <c r="F101" t="s">
        <v>28</v>
      </c>
      <c r="G101">
        <v>24.0</v>
      </c>
      <c r="H101">
        <v>24.0</v>
      </c>
      <c r="I101" t="s">
        <v>469</v>
      </c>
      <c r="J101" t="s">
        <v>470</v>
      </c>
      <c r="K101" t="s">
        <v>31</v>
      </c>
      <c r="L101" t="s">
        <v>32</v>
      </c>
      <c r="M101" t="s">
        <v>33</v>
      </c>
      <c r="P101" s="1" t="s">
        <v>471</v>
      </c>
      <c r="Q101" s="1" t="s">
        <v>27</v>
      </c>
      <c r="R101" s="1" t="s">
        <v>43</v>
      </c>
      <c r="S101" s="1"/>
      <c r="T101" s="1" t="s">
        <v>472</v>
      </c>
      <c r="U101" s="1" t="s">
        <v>473</v>
      </c>
      <c r="V101" s="1">
        <v>24.0</v>
      </c>
      <c r="W101" s="1">
        <v>24.0</v>
      </c>
      <c r="X101" s="1" t="s">
        <v>35</v>
      </c>
      <c r="Y101" s="1">
        <v>24000.0</v>
      </c>
      <c r="Z101" s="1"/>
      <c r="AA101" s="1">
        <v>24000</v>
      </c>
      <c r="AB101" s="1"/>
      <c r="AC101" s="1" t="s">
        <v>36</v>
      </c>
      <c r="AD101" s="1" t="s">
        <v>442</v>
      </c>
      <c r="AE101" s="1" t="s">
        <v>32</v>
      </c>
      <c r="AF101" s="1" t="s">
        <v>33</v>
      </c>
      <c r="AG101" s="1" t="s">
        <v>470</v>
      </c>
    </row>
    <row r="102" spans="1:33">
      <c r="A102" t="s">
        <v>474</v>
      </c>
      <c r="B102" t="s">
        <v>475</v>
      </c>
      <c r="C102" t="s">
        <v>68</v>
      </c>
      <c r="E102" t="s">
        <v>27</v>
      </c>
      <c r="F102" t="s">
        <v>28</v>
      </c>
      <c r="G102">
        <v>9.196</v>
      </c>
      <c r="H102">
        <v>9.196</v>
      </c>
      <c r="I102" t="s">
        <v>59</v>
      </c>
      <c r="J102" t="s">
        <v>60</v>
      </c>
      <c r="K102" t="s">
        <v>31</v>
      </c>
      <c r="L102" t="s">
        <v>32</v>
      </c>
      <c r="M102" t="s">
        <v>33</v>
      </c>
      <c r="P102" s="1" t="s">
        <v>476</v>
      </c>
      <c r="Q102" s="1" t="s">
        <v>27</v>
      </c>
      <c r="R102" s="1" t="s">
        <v>27</v>
      </c>
      <c r="S102" s="1"/>
      <c r="T102" s="1" t="s">
        <v>68</v>
      </c>
      <c r="U102" s="1"/>
      <c r="V102" s="1">
        <v>9.196</v>
      </c>
      <c r="W102" s="1">
        <v>9.196</v>
      </c>
      <c r="X102" s="1" t="s">
        <v>35</v>
      </c>
      <c r="Y102" s="1">
        <v>9196.0</v>
      </c>
      <c r="Z102" s="1"/>
      <c r="AA102" s="1">
        <v>9196</v>
      </c>
      <c r="AB102" s="1"/>
      <c r="AC102" s="1" t="s">
        <v>36</v>
      </c>
      <c r="AD102" s="1" t="s">
        <v>477</v>
      </c>
      <c r="AE102" s="1" t="s">
        <v>32</v>
      </c>
      <c r="AF102" s="1" t="s">
        <v>33</v>
      </c>
      <c r="AG102" s="1" t="s">
        <v>60</v>
      </c>
    </row>
    <row r="103" spans="1:33">
      <c r="A103" t="s">
        <v>478</v>
      </c>
      <c r="C103" t="s">
        <v>226</v>
      </c>
      <c r="E103" t="s">
        <v>27</v>
      </c>
      <c r="F103" t="s">
        <v>28</v>
      </c>
      <c r="G103">
        <v>550.0</v>
      </c>
      <c r="H103">
        <v>550.0</v>
      </c>
      <c r="I103" t="s">
        <v>227</v>
      </c>
      <c r="J103" t="s">
        <v>228</v>
      </c>
      <c r="K103" t="s">
        <v>31</v>
      </c>
      <c r="L103" t="s">
        <v>32</v>
      </c>
      <c r="M103" t="s">
        <v>33</v>
      </c>
      <c r="P103" s="1" t="s">
        <v>479</v>
      </c>
      <c r="Q103" s="1" t="s">
        <v>27</v>
      </c>
      <c r="R103" s="1" t="s">
        <v>27</v>
      </c>
      <c r="S103" s="1"/>
      <c r="T103" s="1" t="s">
        <v>226</v>
      </c>
      <c r="U103" s="1"/>
      <c r="V103" s="1">
        <v>550.0</v>
      </c>
      <c r="W103" s="1">
        <v>550.0</v>
      </c>
      <c r="X103" s="1" t="s">
        <v>35</v>
      </c>
      <c r="Y103" s="1">
        <v>550000.0</v>
      </c>
      <c r="Z103" s="1"/>
      <c r="AA103" s="1">
        <v>550000</v>
      </c>
      <c r="AB103" s="1"/>
      <c r="AC103" s="1" t="s">
        <v>36</v>
      </c>
      <c r="AD103" s="1" t="s">
        <v>446</v>
      </c>
      <c r="AE103" s="1" t="s">
        <v>32</v>
      </c>
      <c r="AF103" s="1" t="s">
        <v>33</v>
      </c>
      <c r="AG103" s="1" t="s">
        <v>228</v>
      </c>
    </row>
    <row r="104" spans="1:33">
      <c r="A104" t="s">
        <v>480</v>
      </c>
      <c r="B104" t="s">
        <v>481</v>
      </c>
      <c r="C104" t="s">
        <v>172</v>
      </c>
      <c r="E104" t="s">
        <v>27</v>
      </c>
      <c r="F104" t="s">
        <v>28</v>
      </c>
      <c r="G104">
        <v>20.99</v>
      </c>
      <c r="H104">
        <v>20.99</v>
      </c>
      <c r="I104" t="s">
        <v>173</v>
      </c>
      <c r="J104" t="s">
        <v>174</v>
      </c>
      <c r="K104" t="s">
        <v>31</v>
      </c>
      <c r="L104" t="s">
        <v>32</v>
      </c>
      <c r="M104" t="s">
        <v>33</v>
      </c>
      <c r="P104" s="1" t="s">
        <v>482</v>
      </c>
      <c r="Q104" s="1" t="s">
        <v>27</v>
      </c>
      <c r="R104" s="1" t="s">
        <v>27</v>
      </c>
      <c r="S104" s="1"/>
      <c r="T104" s="1" t="s">
        <v>172</v>
      </c>
      <c r="U104" s="1"/>
      <c r="V104" s="1">
        <v>20.99</v>
      </c>
      <c r="W104" s="1">
        <v>20.99</v>
      </c>
      <c r="X104" s="1" t="s">
        <v>35</v>
      </c>
      <c r="Y104" s="1">
        <v>20990.0</v>
      </c>
      <c r="Z104" s="1"/>
      <c r="AA104" s="1">
        <v>20990</v>
      </c>
      <c r="AB104" s="1"/>
      <c r="AC104" s="1" t="s">
        <v>36</v>
      </c>
      <c r="AD104" s="1" t="s">
        <v>483</v>
      </c>
      <c r="AE104" s="1" t="s">
        <v>32</v>
      </c>
      <c r="AF104" s="1" t="s">
        <v>33</v>
      </c>
      <c r="AG104" s="1" t="s">
        <v>174</v>
      </c>
    </row>
    <row r="105" spans="1:33">
      <c r="A105" t="s">
        <v>484</v>
      </c>
      <c r="B105" t="s">
        <v>485</v>
      </c>
      <c r="C105" t="s">
        <v>73</v>
      </c>
      <c r="E105" t="s">
        <v>27</v>
      </c>
      <c r="F105" t="s">
        <v>28</v>
      </c>
      <c r="G105">
        <v>16.99</v>
      </c>
      <c r="H105">
        <v>16.99</v>
      </c>
      <c r="I105" t="s">
        <v>40</v>
      </c>
      <c r="J105" t="s">
        <v>41</v>
      </c>
      <c r="K105" t="s">
        <v>31</v>
      </c>
      <c r="L105" t="s">
        <v>32</v>
      </c>
      <c r="M105" t="s">
        <v>33</v>
      </c>
      <c r="P105" s="1" t="s">
        <v>486</v>
      </c>
      <c r="Q105" s="1" t="s">
        <v>27</v>
      </c>
      <c r="R105" s="1" t="s">
        <v>43</v>
      </c>
      <c r="S105" s="1"/>
      <c r="T105" s="1" t="s">
        <v>75</v>
      </c>
      <c r="U105" s="1" t="s">
        <v>76</v>
      </c>
      <c r="V105" s="1">
        <v>16.99</v>
      </c>
      <c r="W105" s="1">
        <v>16.99</v>
      </c>
      <c r="X105" s="1" t="s">
        <v>35</v>
      </c>
      <c r="Y105" s="1">
        <v>16990.0</v>
      </c>
      <c r="Z105" s="1"/>
      <c r="AA105" s="1">
        <v>16990</v>
      </c>
      <c r="AB105" s="1"/>
      <c r="AC105" s="1" t="s">
        <v>36</v>
      </c>
      <c r="AD105" s="1" t="s">
        <v>487</v>
      </c>
      <c r="AE105" s="1" t="s">
        <v>32</v>
      </c>
      <c r="AF105" s="1" t="s">
        <v>33</v>
      </c>
      <c r="AG105" s="1" t="s">
        <v>41</v>
      </c>
    </row>
    <row r="106" spans="1:33">
      <c r="A106" t="s">
        <v>488</v>
      </c>
      <c r="C106" t="s">
        <v>489</v>
      </c>
      <c r="D106" t="s">
        <v>154</v>
      </c>
      <c r="E106" t="s">
        <v>27</v>
      </c>
      <c r="F106" t="s">
        <v>28</v>
      </c>
      <c r="G106">
        <v>773.5</v>
      </c>
      <c r="H106">
        <v>773.5</v>
      </c>
      <c r="I106" t="s">
        <v>227</v>
      </c>
      <c r="J106" t="s">
        <v>228</v>
      </c>
      <c r="K106" t="s">
        <v>31</v>
      </c>
      <c r="L106" t="s">
        <v>32</v>
      </c>
      <c r="M106" t="s">
        <v>33</v>
      </c>
      <c r="P106" s="1" t="s">
        <v>490</v>
      </c>
      <c r="Q106" s="1" t="s">
        <v>27</v>
      </c>
      <c r="R106" s="1" t="s">
        <v>27</v>
      </c>
      <c r="S106" s="1"/>
      <c r="T106" s="1" t="s">
        <v>489</v>
      </c>
      <c r="U106" s="1"/>
      <c r="V106" s="1">
        <v>773.5</v>
      </c>
      <c r="W106" s="1">
        <v>773.5</v>
      </c>
      <c r="X106" s="1" t="s">
        <v>35</v>
      </c>
      <c r="Y106" s="1">
        <v>773500.0</v>
      </c>
      <c r="Z106" s="1"/>
      <c r="AA106" s="1">
        <v>773500</v>
      </c>
      <c r="AB106" s="1"/>
      <c r="AC106" s="1" t="s">
        <v>36</v>
      </c>
      <c r="AD106" s="1" t="s">
        <v>491</v>
      </c>
      <c r="AE106" s="1" t="s">
        <v>32</v>
      </c>
      <c r="AF106" s="1" t="s">
        <v>33</v>
      </c>
      <c r="AG106" s="1" t="s">
        <v>228</v>
      </c>
    </row>
    <row r="107" spans="1:33">
      <c r="A107" t="s">
        <v>492</v>
      </c>
      <c r="B107" t="s">
        <v>493</v>
      </c>
      <c r="C107" t="s">
        <v>268</v>
      </c>
      <c r="E107" t="s">
        <v>27</v>
      </c>
      <c r="F107" t="s">
        <v>28</v>
      </c>
      <c r="G107">
        <v>16.9</v>
      </c>
      <c r="H107">
        <v>16.9</v>
      </c>
      <c r="I107" t="s">
        <v>269</v>
      </c>
      <c r="J107" t="s">
        <v>270</v>
      </c>
      <c r="K107" t="s">
        <v>31</v>
      </c>
      <c r="L107" t="s">
        <v>32</v>
      </c>
      <c r="M107" t="s">
        <v>33</v>
      </c>
      <c r="P107" s="1" t="s">
        <v>494</v>
      </c>
      <c r="Q107" s="1" t="s">
        <v>27</v>
      </c>
      <c r="R107" s="1" t="s">
        <v>27</v>
      </c>
      <c r="S107" s="1"/>
      <c r="T107" s="1" t="s">
        <v>268</v>
      </c>
      <c r="U107" s="1"/>
      <c r="V107" s="1">
        <v>16.9</v>
      </c>
      <c r="W107" s="1">
        <v>16.9</v>
      </c>
      <c r="X107" s="1" t="s">
        <v>35</v>
      </c>
      <c r="Y107" s="1">
        <v>16900.0</v>
      </c>
      <c r="Z107" s="1"/>
      <c r="AA107" s="1">
        <v>16900</v>
      </c>
      <c r="AB107" s="1"/>
      <c r="AC107" s="1" t="s">
        <v>36</v>
      </c>
      <c r="AD107" s="1" t="s">
        <v>487</v>
      </c>
      <c r="AE107" s="1" t="s">
        <v>32</v>
      </c>
      <c r="AF107" s="1" t="s">
        <v>33</v>
      </c>
      <c r="AG107" s="1" t="s">
        <v>270</v>
      </c>
    </row>
    <row r="108" spans="1:33">
      <c r="A108" t="s">
        <v>495</v>
      </c>
      <c r="B108" t="s">
        <v>496</v>
      </c>
      <c r="C108" t="s">
        <v>68</v>
      </c>
      <c r="E108" t="s">
        <v>27</v>
      </c>
      <c r="F108" t="s">
        <v>28</v>
      </c>
      <c r="G108">
        <v>80.97</v>
      </c>
      <c r="H108">
        <v>80.97</v>
      </c>
      <c r="I108" t="s">
        <v>59</v>
      </c>
      <c r="J108" t="s">
        <v>60</v>
      </c>
      <c r="K108" t="s">
        <v>31</v>
      </c>
      <c r="L108" t="s">
        <v>32</v>
      </c>
      <c r="M108" t="s">
        <v>33</v>
      </c>
      <c r="P108" s="1" t="s">
        <v>497</v>
      </c>
      <c r="Q108" s="1" t="s">
        <v>27</v>
      </c>
      <c r="R108" s="1" t="s">
        <v>27</v>
      </c>
      <c r="S108" s="1"/>
      <c r="T108" s="1" t="s">
        <v>68</v>
      </c>
      <c r="U108" s="1"/>
      <c r="V108" s="1">
        <v>80.97</v>
      </c>
      <c r="W108" s="1">
        <v>80.97</v>
      </c>
      <c r="X108" s="1" t="s">
        <v>35</v>
      </c>
      <c r="Y108" s="1">
        <v>80970.0</v>
      </c>
      <c r="Z108" s="1"/>
      <c r="AA108" s="1">
        <v>80970</v>
      </c>
      <c r="AB108" s="1"/>
      <c r="AC108" s="1" t="s">
        <v>36</v>
      </c>
      <c r="AD108" s="1" t="s">
        <v>498</v>
      </c>
      <c r="AE108" s="1" t="s">
        <v>32</v>
      </c>
      <c r="AF108" s="1" t="s">
        <v>33</v>
      </c>
      <c r="AG108" s="1" t="s">
        <v>60</v>
      </c>
    </row>
    <row r="109" spans="1:33">
      <c r="A109" t="s">
        <v>499</v>
      </c>
      <c r="C109" t="s">
        <v>500</v>
      </c>
      <c r="E109" t="s">
        <v>27</v>
      </c>
      <c r="F109" t="s">
        <v>28</v>
      </c>
      <c r="G109">
        <v>950.0</v>
      </c>
      <c r="H109">
        <v>950.0</v>
      </c>
      <c r="I109" t="s">
        <v>126</v>
      </c>
      <c r="J109" t="s">
        <v>127</v>
      </c>
      <c r="K109" t="s">
        <v>31</v>
      </c>
      <c r="L109" t="s">
        <v>32</v>
      </c>
      <c r="M109" t="s">
        <v>33</v>
      </c>
      <c r="P109" s="1" t="s">
        <v>501</v>
      </c>
      <c r="Q109" s="1" t="s">
        <v>27</v>
      </c>
      <c r="R109" s="1" t="s">
        <v>27</v>
      </c>
      <c r="S109" s="1"/>
      <c r="T109" s="1" t="s">
        <v>500</v>
      </c>
      <c r="U109" s="1"/>
      <c r="V109" s="1">
        <v>950.0</v>
      </c>
      <c r="W109" s="1">
        <v>950.0</v>
      </c>
      <c r="X109" s="1" t="s">
        <v>35</v>
      </c>
      <c r="Y109" s="1">
        <v>950000.0</v>
      </c>
      <c r="Z109" s="1"/>
      <c r="AA109" s="1">
        <v>939000</v>
      </c>
      <c r="AB109" s="1">
        <v>11000</v>
      </c>
      <c r="AC109" s="1" t="s">
        <v>36</v>
      </c>
      <c r="AD109" s="1" t="s">
        <v>502</v>
      </c>
      <c r="AE109" s="1" t="s">
        <v>32</v>
      </c>
      <c r="AF109" s="1" t="s">
        <v>33</v>
      </c>
      <c r="AG109" s="1" t="s">
        <v>127</v>
      </c>
    </row>
    <row r="110" spans="1:33">
      <c r="A110" t="s">
        <v>503</v>
      </c>
      <c r="C110" t="s">
        <v>190</v>
      </c>
      <c r="D110" t="s">
        <v>154</v>
      </c>
      <c r="E110" t="s">
        <v>27</v>
      </c>
      <c r="F110" t="s">
        <v>28</v>
      </c>
      <c r="G110">
        <v>338.5</v>
      </c>
      <c r="H110">
        <v>338.5</v>
      </c>
      <c r="I110" t="s">
        <v>48</v>
      </c>
      <c r="J110" t="s">
        <v>49</v>
      </c>
      <c r="K110" t="s">
        <v>31</v>
      </c>
      <c r="L110" t="s">
        <v>32</v>
      </c>
      <c r="M110" t="s">
        <v>33</v>
      </c>
      <c r="P110" s="1" t="s">
        <v>504</v>
      </c>
      <c r="Q110" s="1" t="s">
        <v>27</v>
      </c>
      <c r="R110" s="1" t="s">
        <v>27</v>
      </c>
      <c r="S110" s="1"/>
      <c r="T110" s="1" t="s">
        <v>190</v>
      </c>
      <c r="U110" s="1"/>
      <c r="V110" s="1">
        <v>338.5</v>
      </c>
      <c r="W110" s="1">
        <v>338.5</v>
      </c>
      <c r="X110" s="1" t="s">
        <v>35</v>
      </c>
      <c r="Y110" s="1">
        <v>338500.0</v>
      </c>
      <c r="Z110" s="1"/>
      <c r="AA110" s="1">
        <v>338500</v>
      </c>
      <c r="AB110" s="1"/>
      <c r="AC110" s="1" t="s">
        <v>36</v>
      </c>
      <c r="AD110" s="1" t="s">
        <v>491</v>
      </c>
      <c r="AE110" s="1" t="s">
        <v>32</v>
      </c>
      <c r="AF110" s="1" t="s">
        <v>33</v>
      </c>
      <c r="AG110" s="1" t="s">
        <v>49</v>
      </c>
    </row>
    <row r="111" spans="1:33">
      <c r="A111" t="s">
        <v>505</v>
      </c>
      <c r="C111" t="s">
        <v>506</v>
      </c>
      <c r="E111" t="s">
        <v>27</v>
      </c>
      <c r="F111" t="s">
        <v>28</v>
      </c>
      <c r="G111">
        <v>2.035</v>
      </c>
      <c r="H111">
        <v>2.035</v>
      </c>
      <c r="I111" t="s">
        <v>269</v>
      </c>
      <c r="J111" t="s">
        <v>270</v>
      </c>
      <c r="K111" t="s">
        <v>31</v>
      </c>
      <c r="L111" t="s">
        <v>32</v>
      </c>
      <c r="M111" t="s">
        <v>33</v>
      </c>
      <c r="P111" s="1" t="s">
        <v>507</v>
      </c>
      <c r="Q111" s="1" t="s">
        <v>27</v>
      </c>
      <c r="R111" s="1" t="s">
        <v>27</v>
      </c>
      <c r="S111" s="1"/>
      <c r="T111" s="1" t="s">
        <v>506</v>
      </c>
      <c r="U111" s="1"/>
      <c r="V111" s="1">
        <v>2.035</v>
      </c>
      <c r="W111" s="1">
        <v>2.035</v>
      </c>
      <c r="X111" s="1" t="s">
        <v>35</v>
      </c>
      <c r="Y111" s="1">
        <v>2035000.0</v>
      </c>
      <c r="Z111" s="1"/>
      <c r="AA111" s="1">
        <v>2035000</v>
      </c>
      <c r="AB111" s="1"/>
      <c r="AC111" s="1" t="s">
        <v>36</v>
      </c>
      <c r="AD111" s="1" t="s">
        <v>508</v>
      </c>
      <c r="AE111" s="1" t="s">
        <v>32</v>
      </c>
      <c r="AF111" s="1" t="s">
        <v>33</v>
      </c>
      <c r="AG111" s="1" t="s">
        <v>270</v>
      </c>
    </row>
    <row r="112" spans="1:33">
      <c r="A112" t="s">
        <v>509</v>
      </c>
      <c r="B112" t="s">
        <v>510</v>
      </c>
      <c r="C112" t="s">
        <v>125</v>
      </c>
      <c r="E112" t="s">
        <v>27</v>
      </c>
      <c r="F112" t="s">
        <v>28</v>
      </c>
      <c r="G112">
        <v>161.96</v>
      </c>
      <c r="H112">
        <v>161.96</v>
      </c>
      <c r="I112" t="s">
        <v>126</v>
      </c>
      <c r="J112" t="s">
        <v>127</v>
      </c>
      <c r="K112" t="s">
        <v>31</v>
      </c>
      <c r="L112" t="s">
        <v>32</v>
      </c>
      <c r="M112" t="s">
        <v>33</v>
      </c>
      <c r="P112" s="1" t="s">
        <v>511</v>
      </c>
      <c r="Q112" s="1" t="s">
        <v>27</v>
      </c>
      <c r="R112" s="1" t="s">
        <v>27</v>
      </c>
      <c r="S112" s="1"/>
      <c r="T112" s="1" t="s">
        <v>125</v>
      </c>
      <c r="U112" s="1"/>
      <c r="V112" s="1">
        <v>161.96</v>
      </c>
      <c r="W112" s="1">
        <v>161.96</v>
      </c>
      <c r="X112" s="1" t="s">
        <v>35</v>
      </c>
      <c r="Y112" s="1">
        <v>161960.0</v>
      </c>
      <c r="Z112" s="1"/>
      <c r="AA112" s="1">
        <v>161960</v>
      </c>
      <c r="AB112" s="1"/>
      <c r="AC112" s="1" t="s">
        <v>36</v>
      </c>
      <c r="AD112" s="1" t="s">
        <v>182</v>
      </c>
      <c r="AE112" s="1" t="s">
        <v>32</v>
      </c>
      <c r="AF112" s="1" t="s">
        <v>33</v>
      </c>
      <c r="AG112" s="1" t="s">
        <v>127</v>
      </c>
    </row>
    <row r="113" spans="1:33">
      <c r="A113" t="s">
        <v>512</v>
      </c>
      <c r="C113" t="s">
        <v>513</v>
      </c>
      <c r="E113" t="s">
        <v>27</v>
      </c>
      <c r="F113" t="s">
        <v>28</v>
      </c>
      <c r="G113">
        <v>1.05</v>
      </c>
      <c r="H113">
        <v>1.05</v>
      </c>
      <c r="I113" t="s">
        <v>48</v>
      </c>
      <c r="J113" t="s">
        <v>49</v>
      </c>
      <c r="K113" t="s">
        <v>31</v>
      </c>
      <c r="L113" t="s">
        <v>32</v>
      </c>
      <c r="M113" t="s">
        <v>33</v>
      </c>
      <c r="P113" s="1" t="s">
        <v>514</v>
      </c>
      <c r="Q113" s="1" t="s">
        <v>27</v>
      </c>
      <c r="R113" s="1" t="s">
        <v>27</v>
      </c>
      <c r="S113" s="1"/>
      <c r="T113" s="1" t="s">
        <v>513</v>
      </c>
      <c r="U113" s="1"/>
      <c r="V113" s="1">
        <v>1.05</v>
      </c>
      <c r="W113" s="1">
        <v>1.05</v>
      </c>
      <c r="X113" s="1" t="s">
        <v>35</v>
      </c>
      <c r="Y113" s="1">
        <v>1050000.0</v>
      </c>
      <c r="Z113" s="1"/>
      <c r="AA113" s="1">
        <v>1050000</v>
      </c>
      <c r="AB113" s="1"/>
      <c r="AC113" s="1" t="s">
        <v>36</v>
      </c>
      <c r="AD113" s="1" t="s">
        <v>515</v>
      </c>
      <c r="AE113" s="1" t="s">
        <v>32</v>
      </c>
      <c r="AF113" s="1" t="s">
        <v>33</v>
      </c>
      <c r="AG113" s="1" t="s">
        <v>49</v>
      </c>
    </row>
    <row r="114" spans="1:33">
      <c r="A114" t="s">
        <v>516</v>
      </c>
      <c r="C114" t="s">
        <v>517</v>
      </c>
      <c r="E114" t="s">
        <v>27</v>
      </c>
      <c r="F114" t="s">
        <v>28</v>
      </c>
      <c r="G114">
        <v>3.24</v>
      </c>
      <c r="H114">
        <v>3.24</v>
      </c>
      <c r="I114" t="s">
        <v>126</v>
      </c>
      <c r="J114" t="s">
        <v>127</v>
      </c>
      <c r="K114" t="s">
        <v>31</v>
      </c>
      <c r="L114" t="s">
        <v>32</v>
      </c>
      <c r="M114" t="s">
        <v>33</v>
      </c>
      <c r="P114" s="1" t="s">
        <v>518</v>
      </c>
      <c r="Q114" s="1" t="s">
        <v>27</v>
      </c>
      <c r="R114" s="1" t="s">
        <v>27</v>
      </c>
      <c r="S114" s="1"/>
      <c r="T114" s="1" t="s">
        <v>517</v>
      </c>
      <c r="U114" s="1"/>
      <c r="V114" s="1">
        <v>3.24</v>
      </c>
      <c r="W114" s="1">
        <v>3.24</v>
      </c>
      <c r="X114" s="1" t="s">
        <v>35</v>
      </c>
      <c r="Y114" s="1">
        <v>3240000.0</v>
      </c>
      <c r="Z114" s="1"/>
      <c r="AA114" s="1">
        <v>3240000</v>
      </c>
      <c r="AB114" s="1"/>
      <c r="AC114" s="1" t="s">
        <v>36</v>
      </c>
      <c r="AD114" s="1" t="s">
        <v>407</v>
      </c>
      <c r="AE114" s="1" t="s">
        <v>32</v>
      </c>
      <c r="AF114" s="1" t="s">
        <v>33</v>
      </c>
      <c r="AG114" s="1" t="s">
        <v>127</v>
      </c>
    </row>
    <row r="115" spans="1:33">
      <c r="A115" t="s">
        <v>519</v>
      </c>
      <c r="C115" t="s">
        <v>73</v>
      </c>
      <c r="E115" t="s">
        <v>27</v>
      </c>
      <c r="F115" t="s">
        <v>28</v>
      </c>
      <c r="G115">
        <v>100.45</v>
      </c>
      <c r="H115">
        <v>100.45</v>
      </c>
      <c r="I115" t="s">
        <v>40</v>
      </c>
      <c r="J115" t="s">
        <v>41</v>
      </c>
      <c r="K115" t="s">
        <v>31</v>
      </c>
      <c r="L115" t="s">
        <v>32</v>
      </c>
      <c r="M115" t="s">
        <v>33</v>
      </c>
      <c r="P115" s="1" t="s">
        <v>520</v>
      </c>
      <c r="Q115" s="1" t="s">
        <v>27</v>
      </c>
      <c r="R115" s="1" t="s">
        <v>43</v>
      </c>
      <c r="S115" s="1"/>
      <c r="T115" s="1" t="s">
        <v>75</v>
      </c>
      <c r="U115" s="1" t="s">
        <v>76</v>
      </c>
      <c r="V115" s="1">
        <v>100.45</v>
      </c>
      <c r="W115" s="1">
        <v>100.45</v>
      </c>
      <c r="X115" s="1" t="s">
        <v>35</v>
      </c>
      <c r="Y115" s="1">
        <v>100450.0</v>
      </c>
      <c r="Z115" s="1"/>
      <c r="AA115" s="1">
        <v>100450</v>
      </c>
      <c r="AB115" s="1"/>
      <c r="AC115" s="1" t="s">
        <v>36</v>
      </c>
      <c r="AD115" s="1" t="s">
        <v>521</v>
      </c>
      <c r="AE115" s="1" t="s">
        <v>32</v>
      </c>
      <c r="AF115" s="1" t="s">
        <v>33</v>
      </c>
      <c r="AG115" s="1" t="s">
        <v>41</v>
      </c>
    </row>
    <row r="116" spans="1:33">
      <c r="A116" t="s">
        <v>522</v>
      </c>
      <c r="B116" t="s">
        <v>523</v>
      </c>
      <c r="C116" t="s">
        <v>172</v>
      </c>
      <c r="E116" t="s">
        <v>27</v>
      </c>
      <c r="F116" t="s">
        <v>28</v>
      </c>
      <c r="G116">
        <v>41.98</v>
      </c>
      <c r="H116">
        <v>41.98</v>
      </c>
      <c r="I116" t="s">
        <v>173</v>
      </c>
      <c r="J116" t="s">
        <v>174</v>
      </c>
      <c r="K116" t="s">
        <v>31</v>
      </c>
      <c r="L116" t="s">
        <v>32</v>
      </c>
      <c r="M116" t="s">
        <v>33</v>
      </c>
      <c r="P116" s="1" t="s">
        <v>524</v>
      </c>
      <c r="Q116" s="1" t="s">
        <v>27</v>
      </c>
      <c r="R116" s="1" t="s">
        <v>27</v>
      </c>
      <c r="S116" s="1"/>
      <c r="T116" s="1" t="s">
        <v>172</v>
      </c>
      <c r="U116" s="1"/>
      <c r="V116" s="1">
        <v>41.98</v>
      </c>
      <c r="W116" s="1">
        <v>41.98</v>
      </c>
      <c r="X116" s="1" t="s">
        <v>35</v>
      </c>
      <c r="Y116" s="1">
        <v>41980.0</v>
      </c>
      <c r="Z116" s="1"/>
      <c r="AA116" s="1">
        <v>41980</v>
      </c>
      <c r="AB116" s="1"/>
      <c r="AC116" s="1" t="s">
        <v>36</v>
      </c>
      <c r="AD116" s="1" t="s">
        <v>525</v>
      </c>
      <c r="AE116" s="1" t="s">
        <v>32</v>
      </c>
      <c r="AF116" s="1" t="s">
        <v>33</v>
      </c>
      <c r="AG116" s="1" t="s">
        <v>174</v>
      </c>
    </row>
    <row r="117" spans="1:33">
      <c r="A117" t="s">
        <v>526</v>
      </c>
      <c r="B117" t="s">
        <v>527</v>
      </c>
      <c r="C117" t="s">
        <v>528</v>
      </c>
      <c r="E117" t="s">
        <v>27</v>
      </c>
      <c r="F117" t="s">
        <v>28</v>
      </c>
      <c r="G117">
        <v>730.5</v>
      </c>
      <c r="H117">
        <v>730.5</v>
      </c>
      <c r="I117" t="s">
        <v>529</v>
      </c>
      <c r="J117" t="s">
        <v>530</v>
      </c>
      <c r="K117" t="s">
        <v>31</v>
      </c>
      <c r="L117" t="s">
        <v>32</v>
      </c>
      <c r="M117" t="s">
        <v>33</v>
      </c>
      <c r="P117" s="1" t="s">
        <v>531</v>
      </c>
      <c r="Q117" s="1" t="s">
        <v>27</v>
      </c>
      <c r="R117" s="1" t="s">
        <v>43</v>
      </c>
      <c r="S117" s="1"/>
      <c r="T117" s="1" t="s">
        <v>528</v>
      </c>
      <c r="U117" s="1"/>
      <c r="V117" s="1">
        <v>730.5</v>
      </c>
      <c r="W117" s="1">
        <v>730.5</v>
      </c>
      <c r="X117" s="1" t="s">
        <v>35</v>
      </c>
      <c r="Y117" s="1">
        <v>730500</v>
      </c>
      <c r="Z117" s="1"/>
      <c r="AA117" s="1">
        <v>730500</v>
      </c>
      <c r="AB117" s="1"/>
      <c r="AC117" s="1" t="s">
        <v>36</v>
      </c>
      <c r="AD117" s="1" t="s">
        <v>532</v>
      </c>
      <c r="AE117" s="1" t="s">
        <v>32</v>
      </c>
      <c r="AF117" s="1" t="s">
        <v>33</v>
      </c>
      <c r="AG117" s="1" t="s">
        <v>530</v>
      </c>
    </row>
    <row r="118" spans="1:33">
      <c r="A118" t="s">
        <v>533</v>
      </c>
      <c r="B118" t="s">
        <v>534</v>
      </c>
      <c r="C118" t="s">
        <v>172</v>
      </c>
      <c r="E118" t="s">
        <v>27</v>
      </c>
      <c r="F118" t="s">
        <v>28</v>
      </c>
      <c r="G118">
        <v>97.47</v>
      </c>
      <c r="H118">
        <v>97.47</v>
      </c>
      <c r="I118" t="s">
        <v>173</v>
      </c>
      <c r="J118" t="s">
        <v>174</v>
      </c>
      <c r="K118" t="s">
        <v>31</v>
      </c>
      <c r="L118" t="s">
        <v>32</v>
      </c>
      <c r="M118" t="s">
        <v>33</v>
      </c>
      <c r="P118" s="1" t="s">
        <v>535</v>
      </c>
      <c r="Q118" s="1" t="s">
        <v>27</v>
      </c>
      <c r="R118" s="1" t="s">
        <v>27</v>
      </c>
      <c r="S118" s="1"/>
      <c r="T118" s="1" t="s">
        <v>172</v>
      </c>
      <c r="U118" s="1"/>
      <c r="V118" s="1">
        <v>97.47</v>
      </c>
      <c r="W118" s="1">
        <v>97.47</v>
      </c>
      <c r="X118" s="1" t="s">
        <v>35</v>
      </c>
      <c r="Y118" s="1">
        <v>97470.0</v>
      </c>
      <c r="Z118" s="1"/>
      <c r="AA118" s="1">
        <v>97470</v>
      </c>
      <c r="AB118" s="1"/>
      <c r="AC118" s="1" t="s">
        <v>36</v>
      </c>
      <c r="AD118" s="1" t="s">
        <v>536</v>
      </c>
      <c r="AE118" s="1" t="s">
        <v>32</v>
      </c>
      <c r="AF118" s="1" t="s">
        <v>33</v>
      </c>
      <c r="AG118" s="1" t="s">
        <v>174</v>
      </c>
    </row>
    <row r="119" spans="1:33">
      <c r="A119" t="s">
        <v>537</v>
      </c>
      <c r="B119" t="s">
        <v>538</v>
      </c>
      <c r="C119" t="s">
        <v>414</v>
      </c>
      <c r="E119" t="s">
        <v>27</v>
      </c>
      <c r="F119" t="s">
        <v>28</v>
      </c>
      <c r="G119">
        <v>235.0</v>
      </c>
      <c r="H119">
        <v>235.0</v>
      </c>
      <c r="I119" t="s">
        <v>539</v>
      </c>
      <c r="J119" t="s">
        <v>540</v>
      </c>
      <c r="K119" t="s">
        <v>31</v>
      </c>
      <c r="L119" t="s">
        <v>32</v>
      </c>
      <c r="M119" t="s">
        <v>33</v>
      </c>
      <c r="P119" s="1" t="s">
        <v>541</v>
      </c>
      <c r="Q119" s="1" t="s">
        <v>27</v>
      </c>
      <c r="R119" s="1" t="s">
        <v>43</v>
      </c>
      <c r="S119" s="1"/>
      <c r="T119" s="1" t="s">
        <v>414</v>
      </c>
      <c r="U119" s="1"/>
      <c r="V119" s="1">
        <v>235.0</v>
      </c>
      <c r="W119" s="1">
        <v>235.0</v>
      </c>
      <c r="X119" s="1" t="s">
        <v>35</v>
      </c>
      <c r="Y119" s="1">
        <v>235000.0</v>
      </c>
      <c r="Z119" s="1"/>
      <c r="AA119" s="1">
        <v>235000</v>
      </c>
      <c r="AB119" s="1"/>
      <c r="AC119" s="1" t="s">
        <v>36</v>
      </c>
      <c r="AD119" s="1" t="s">
        <v>542</v>
      </c>
      <c r="AE119" s="1" t="s">
        <v>32</v>
      </c>
      <c r="AF119" s="1" t="s">
        <v>33</v>
      </c>
      <c r="AG119" s="1" t="s">
        <v>540</v>
      </c>
    </row>
    <row r="120" spans="1:33">
      <c r="A120" t="s">
        <v>543</v>
      </c>
      <c r="B120" t="s">
        <v>544</v>
      </c>
      <c r="C120" t="s">
        <v>47</v>
      </c>
      <c r="E120" t="s">
        <v>27</v>
      </c>
      <c r="F120" t="s">
        <v>28</v>
      </c>
      <c r="G120">
        <v>87.96</v>
      </c>
      <c r="H120">
        <v>87.96</v>
      </c>
      <c r="I120" t="s">
        <v>48</v>
      </c>
      <c r="J120" t="s">
        <v>49</v>
      </c>
      <c r="K120" t="s">
        <v>31</v>
      </c>
      <c r="L120" t="s">
        <v>32</v>
      </c>
      <c r="M120" t="s">
        <v>33</v>
      </c>
      <c r="P120" s="1" t="s">
        <v>545</v>
      </c>
      <c r="Q120" s="1" t="s">
        <v>27</v>
      </c>
      <c r="R120" s="1" t="s">
        <v>27</v>
      </c>
      <c r="S120" s="1"/>
      <c r="T120" s="1" t="s">
        <v>47</v>
      </c>
      <c r="U120" s="1"/>
      <c r="V120" s="1">
        <v>87.96</v>
      </c>
      <c r="W120" s="1">
        <v>87.96</v>
      </c>
      <c r="X120" s="1" t="s">
        <v>35</v>
      </c>
      <c r="Y120" s="1">
        <v>87960.0</v>
      </c>
      <c r="Z120" s="1"/>
      <c r="AA120" s="1">
        <v>87960</v>
      </c>
      <c r="AB120" s="1"/>
      <c r="AC120" s="1" t="s">
        <v>36</v>
      </c>
      <c r="AD120" s="1" t="s">
        <v>546</v>
      </c>
      <c r="AE120" s="1" t="s">
        <v>32</v>
      </c>
      <c r="AF120" s="1" t="s">
        <v>33</v>
      </c>
      <c r="AG120" s="1" t="s">
        <v>49</v>
      </c>
    </row>
    <row r="121" spans="1:33">
      <c r="A121" t="s">
        <v>547</v>
      </c>
      <c r="B121" t="s">
        <v>548</v>
      </c>
      <c r="C121" t="s">
        <v>73</v>
      </c>
      <c r="E121" t="s">
        <v>27</v>
      </c>
      <c r="F121" t="s">
        <v>28</v>
      </c>
      <c r="G121">
        <v>62.476</v>
      </c>
      <c r="H121">
        <v>62.476</v>
      </c>
      <c r="I121" t="s">
        <v>40</v>
      </c>
      <c r="J121" t="s">
        <v>41</v>
      </c>
      <c r="K121" t="s">
        <v>31</v>
      </c>
      <c r="L121" t="s">
        <v>32</v>
      </c>
      <c r="M121" t="s">
        <v>33</v>
      </c>
      <c r="P121" s="1" t="s">
        <v>549</v>
      </c>
      <c r="Q121" s="1" t="s">
        <v>27</v>
      </c>
      <c r="R121" s="1" t="s">
        <v>43</v>
      </c>
      <c r="S121" s="1"/>
      <c r="T121" s="1" t="s">
        <v>75</v>
      </c>
      <c r="U121" s="1" t="s">
        <v>76</v>
      </c>
      <c r="V121" s="1">
        <v>62.476</v>
      </c>
      <c r="W121" s="1">
        <v>62.476</v>
      </c>
      <c r="X121" s="1" t="s">
        <v>35</v>
      </c>
      <c r="Y121" s="1">
        <v>62476.0</v>
      </c>
      <c r="Z121" s="1"/>
      <c r="AA121" s="1">
        <v>62476</v>
      </c>
      <c r="AB121" s="1"/>
      <c r="AC121" s="1" t="s">
        <v>36</v>
      </c>
      <c r="AD121" s="1" t="s">
        <v>550</v>
      </c>
      <c r="AE121" s="1" t="s">
        <v>32</v>
      </c>
      <c r="AF121" s="1" t="s">
        <v>33</v>
      </c>
      <c r="AG121" s="1" t="s">
        <v>41</v>
      </c>
    </row>
    <row r="122" spans="1:33">
      <c r="A122" t="s">
        <v>551</v>
      </c>
      <c r="B122" t="s">
        <v>206</v>
      </c>
      <c r="C122" t="s">
        <v>207</v>
      </c>
      <c r="E122" t="s">
        <v>27</v>
      </c>
      <c r="F122" t="s">
        <v>28</v>
      </c>
      <c r="G122">
        <v>400.0</v>
      </c>
      <c r="H122">
        <v>400.0</v>
      </c>
      <c r="I122" t="s">
        <v>59</v>
      </c>
      <c r="J122" t="s">
        <v>60</v>
      </c>
      <c r="K122" t="s">
        <v>31</v>
      </c>
      <c r="L122" t="s">
        <v>32</v>
      </c>
      <c r="M122" t="s">
        <v>33</v>
      </c>
      <c r="P122" s="1" t="s">
        <v>552</v>
      </c>
      <c r="Q122" s="1" t="s">
        <v>27</v>
      </c>
      <c r="R122" s="1" t="s">
        <v>27</v>
      </c>
      <c r="S122" s="1"/>
      <c r="T122" s="1" t="s">
        <v>207</v>
      </c>
      <c r="U122" s="1"/>
      <c r="V122" s="1">
        <v>400.0</v>
      </c>
      <c r="W122" s="1">
        <v>400.0</v>
      </c>
      <c r="X122" s="1" t="s">
        <v>35</v>
      </c>
      <c r="Y122" s="1">
        <v>400000.0</v>
      </c>
      <c r="Z122" s="1"/>
      <c r="AA122" s="1">
        <v>400000</v>
      </c>
      <c r="AB122" s="1"/>
      <c r="AC122" s="1" t="s">
        <v>36</v>
      </c>
      <c r="AD122" s="1" t="s">
        <v>536</v>
      </c>
      <c r="AE122" s="1" t="s">
        <v>32</v>
      </c>
      <c r="AF122" s="1" t="s">
        <v>33</v>
      </c>
      <c r="AG122" s="1" t="s">
        <v>60</v>
      </c>
    </row>
    <row r="123" spans="1:33">
      <c r="A123" t="s">
        <v>553</v>
      </c>
      <c r="C123" t="s">
        <v>554</v>
      </c>
      <c r="E123" t="s">
        <v>27</v>
      </c>
      <c r="F123" t="s">
        <v>28</v>
      </c>
      <c r="G123">
        <v>428.0</v>
      </c>
      <c r="H123">
        <v>428.0</v>
      </c>
      <c r="I123" t="s">
        <v>40</v>
      </c>
      <c r="J123" t="s">
        <v>41</v>
      </c>
      <c r="K123" t="s">
        <v>31</v>
      </c>
      <c r="L123" t="s">
        <v>32</v>
      </c>
      <c r="M123" t="s">
        <v>33</v>
      </c>
      <c r="P123" s="1" t="s">
        <v>555</v>
      </c>
      <c r="Q123" s="1" t="s">
        <v>27</v>
      </c>
      <c r="R123" s="1" t="s">
        <v>43</v>
      </c>
      <c r="S123" s="1"/>
      <c r="T123" s="1" t="s">
        <v>554</v>
      </c>
      <c r="U123" s="1"/>
      <c r="V123" s="1">
        <v>428.0</v>
      </c>
      <c r="W123" s="1">
        <v>428.0</v>
      </c>
      <c r="X123" s="1" t="s">
        <v>35</v>
      </c>
      <c r="Y123" s="1">
        <v>428000.0</v>
      </c>
      <c r="Z123" s="1"/>
      <c r="AA123" s="1">
        <v>428000</v>
      </c>
      <c r="AB123" s="1"/>
      <c r="AC123" s="1" t="s">
        <v>36</v>
      </c>
      <c r="AD123" s="1" t="s">
        <v>556</v>
      </c>
      <c r="AE123" s="1" t="s">
        <v>32</v>
      </c>
      <c r="AF123" s="1" t="s">
        <v>33</v>
      </c>
      <c r="AG123" s="1" t="s">
        <v>41</v>
      </c>
    </row>
    <row r="124" spans="1:33">
      <c r="A124" t="s">
        <v>557</v>
      </c>
      <c r="C124" t="s">
        <v>558</v>
      </c>
      <c r="D124" t="s">
        <v>154</v>
      </c>
      <c r="E124" t="s">
        <v>27</v>
      </c>
      <c r="F124" t="s">
        <v>28</v>
      </c>
      <c r="G124">
        <v>360.1</v>
      </c>
      <c r="H124">
        <v>360.1</v>
      </c>
      <c r="I124" t="s">
        <v>269</v>
      </c>
      <c r="J124" t="s">
        <v>270</v>
      </c>
      <c r="K124" t="s">
        <v>31</v>
      </c>
      <c r="L124" t="s">
        <v>32</v>
      </c>
      <c r="M124" t="s">
        <v>33</v>
      </c>
      <c r="P124" s="1" t="s">
        <v>559</v>
      </c>
      <c r="Q124" s="1" t="s">
        <v>27</v>
      </c>
      <c r="R124" s="1" t="s">
        <v>27</v>
      </c>
      <c r="S124" s="1"/>
      <c r="T124" s="1" t="s">
        <v>560</v>
      </c>
      <c r="U124" s="1" t="s">
        <v>561</v>
      </c>
      <c r="V124" s="1">
        <v>360.1</v>
      </c>
      <c r="W124" s="1">
        <v>360.1</v>
      </c>
      <c r="X124" s="1" t="s">
        <v>35</v>
      </c>
      <c r="Y124" s="1">
        <v>360100.0</v>
      </c>
      <c r="Z124" s="1"/>
      <c r="AA124" s="1">
        <v>360100</v>
      </c>
      <c r="AB124" s="1"/>
      <c r="AC124" s="1" t="s">
        <v>36</v>
      </c>
      <c r="AD124" s="1" t="s">
        <v>562</v>
      </c>
      <c r="AE124" s="1" t="s">
        <v>32</v>
      </c>
      <c r="AF124" s="1" t="s">
        <v>33</v>
      </c>
      <c r="AG124" s="1" t="s">
        <v>270</v>
      </c>
    </row>
    <row r="125" spans="1:33">
      <c r="A125" t="s">
        <v>563</v>
      </c>
      <c r="B125" t="s">
        <v>564</v>
      </c>
      <c r="C125" t="s">
        <v>73</v>
      </c>
      <c r="E125" t="s">
        <v>27</v>
      </c>
      <c r="F125" t="s">
        <v>28</v>
      </c>
      <c r="G125">
        <v>20.99</v>
      </c>
      <c r="H125">
        <v>20.99</v>
      </c>
      <c r="I125" t="s">
        <v>40</v>
      </c>
      <c r="J125" t="s">
        <v>41</v>
      </c>
      <c r="K125" t="s">
        <v>31</v>
      </c>
      <c r="L125" t="s">
        <v>32</v>
      </c>
      <c r="M125" t="s">
        <v>33</v>
      </c>
      <c r="P125" s="1" t="s">
        <v>565</v>
      </c>
      <c r="Q125" s="1" t="s">
        <v>27</v>
      </c>
      <c r="R125" s="1" t="s">
        <v>43</v>
      </c>
      <c r="S125" s="1"/>
      <c r="T125" s="1" t="s">
        <v>75</v>
      </c>
      <c r="U125" s="1" t="s">
        <v>76</v>
      </c>
      <c r="V125" s="1">
        <v>20.99</v>
      </c>
      <c r="W125" s="1">
        <v>20.99</v>
      </c>
      <c r="X125" s="1" t="s">
        <v>35</v>
      </c>
      <c r="Y125" s="1">
        <v>20990.0</v>
      </c>
      <c r="Z125" s="1"/>
      <c r="AA125" s="1">
        <v>20990</v>
      </c>
      <c r="AB125" s="1"/>
      <c r="AC125" s="1" t="s">
        <v>36</v>
      </c>
      <c r="AD125" s="1" t="s">
        <v>566</v>
      </c>
      <c r="AE125" s="1" t="s">
        <v>32</v>
      </c>
      <c r="AF125" s="1" t="s">
        <v>33</v>
      </c>
      <c r="AG125" s="1" t="s">
        <v>41</v>
      </c>
    </row>
    <row r="126" spans="1:33">
      <c r="A126" t="s">
        <v>567</v>
      </c>
      <c r="B126" t="s">
        <v>568</v>
      </c>
      <c r="C126" t="s">
        <v>569</v>
      </c>
      <c r="E126" t="s">
        <v>27</v>
      </c>
      <c r="F126" t="s">
        <v>28</v>
      </c>
      <c r="G126">
        <v>164.95</v>
      </c>
      <c r="H126">
        <v>164.95</v>
      </c>
      <c r="I126" t="s">
        <v>570</v>
      </c>
      <c r="J126" t="s">
        <v>571</v>
      </c>
      <c r="K126" t="s">
        <v>31</v>
      </c>
      <c r="L126" t="s">
        <v>32</v>
      </c>
      <c r="M126" t="s">
        <v>33</v>
      </c>
      <c r="P126" s="1" t="s">
        <v>572</v>
      </c>
      <c r="Q126" s="1" t="s">
        <v>27</v>
      </c>
      <c r="R126" s="1" t="s">
        <v>27</v>
      </c>
      <c r="S126" s="1"/>
      <c r="T126" s="1" t="s">
        <v>569</v>
      </c>
      <c r="U126" s="1"/>
      <c r="V126" s="1">
        <v>164.95</v>
      </c>
      <c r="W126" s="1">
        <v>164.95</v>
      </c>
      <c r="X126" s="1" t="s">
        <v>35</v>
      </c>
      <c r="Y126" s="1">
        <v>164950.0</v>
      </c>
      <c r="Z126" s="1"/>
      <c r="AA126" s="1">
        <v>164950</v>
      </c>
      <c r="AB126" s="1"/>
      <c r="AC126" s="1" t="s">
        <v>36</v>
      </c>
      <c r="AD126" s="1" t="s">
        <v>573</v>
      </c>
      <c r="AE126" s="1" t="s">
        <v>32</v>
      </c>
      <c r="AF126" s="1" t="s">
        <v>33</v>
      </c>
      <c r="AG126" s="1" t="s">
        <v>571</v>
      </c>
    </row>
    <row r="127" spans="1:33">
      <c r="A127" t="s">
        <v>574</v>
      </c>
      <c r="C127" t="s">
        <v>575</v>
      </c>
      <c r="E127" t="s">
        <v>27</v>
      </c>
      <c r="F127" t="s">
        <v>28</v>
      </c>
      <c r="G127">
        <v>336.0</v>
      </c>
      <c r="H127">
        <v>336.0</v>
      </c>
      <c r="I127" t="s">
        <v>94</v>
      </c>
      <c r="J127" t="s">
        <v>95</v>
      </c>
      <c r="K127" t="s">
        <v>31</v>
      </c>
      <c r="L127" t="s">
        <v>32</v>
      </c>
      <c r="M127" t="s">
        <v>33</v>
      </c>
      <c r="P127" s="1" t="s">
        <v>576</v>
      </c>
      <c r="Q127" s="1" t="s">
        <v>27</v>
      </c>
      <c r="R127" s="1" t="s">
        <v>27</v>
      </c>
      <c r="S127" s="1"/>
      <c r="T127" s="1" t="s">
        <v>575</v>
      </c>
      <c r="U127" s="1"/>
      <c r="V127" s="1">
        <v>336.0</v>
      </c>
      <c r="W127" s="1">
        <v>336.0</v>
      </c>
      <c r="X127" s="1" t="s">
        <v>35</v>
      </c>
      <c r="Y127" s="1">
        <v>336000.0</v>
      </c>
      <c r="Z127" s="1"/>
      <c r="AA127" s="1">
        <v>336000</v>
      </c>
      <c r="AB127" s="1"/>
      <c r="AC127" s="1" t="s">
        <v>36</v>
      </c>
      <c r="AD127" s="1" t="s">
        <v>577</v>
      </c>
      <c r="AE127" s="1" t="s">
        <v>32</v>
      </c>
      <c r="AF127" s="1" t="s">
        <v>33</v>
      </c>
      <c r="AG127" s="1" t="s">
        <v>95</v>
      </c>
    </row>
    <row r="128" spans="1:33">
      <c r="A128" t="s">
        <v>578</v>
      </c>
      <c r="B128" t="s">
        <v>579</v>
      </c>
      <c r="C128" t="s">
        <v>73</v>
      </c>
      <c r="E128" t="s">
        <v>27</v>
      </c>
      <c r="F128" t="s">
        <v>28</v>
      </c>
      <c r="G128">
        <v>18.49</v>
      </c>
      <c r="H128">
        <v>18.49</v>
      </c>
      <c r="I128" t="s">
        <v>40</v>
      </c>
      <c r="J128" t="s">
        <v>41</v>
      </c>
      <c r="K128" t="s">
        <v>31</v>
      </c>
      <c r="L128" t="s">
        <v>32</v>
      </c>
      <c r="M128" t="s">
        <v>33</v>
      </c>
      <c r="P128" s="1" t="s">
        <v>580</v>
      </c>
      <c r="Q128" s="1" t="s">
        <v>27</v>
      </c>
      <c r="R128" s="1" t="s">
        <v>43</v>
      </c>
      <c r="S128" s="1"/>
      <c r="T128" s="1" t="s">
        <v>75</v>
      </c>
      <c r="U128" s="1" t="s">
        <v>76</v>
      </c>
      <c r="V128" s="1">
        <v>18.49</v>
      </c>
      <c r="W128" s="1">
        <v>18.49</v>
      </c>
      <c r="X128" s="1" t="s">
        <v>35</v>
      </c>
      <c r="Y128" s="1">
        <v>18490.0</v>
      </c>
      <c r="Z128" s="1"/>
      <c r="AA128" s="1">
        <v>18490</v>
      </c>
      <c r="AB128" s="1"/>
      <c r="AC128" s="1" t="s">
        <v>36</v>
      </c>
      <c r="AD128" s="1" t="s">
        <v>581</v>
      </c>
      <c r="AE128" s="1" t="s">
        <v>32</v>
      </c>
      <c r="AF128" s="1" t="s">
        <v>33</v>
      </c>
      <c r="AG128" s="1" t="s">
        <v>41</v>
      </c>
    </row>
    <row r="129" spans="1:33">
      <c r="A129" t="s">
        <v>582</v>
      </c>
      <c r="B129" t="s">
        <v>583</v>
      </c>
      <c r="C129" t="s">
        <v>172</v>
      </c>
      <c r="E129" t="s">
        <v>27</v>
      </c>
      <c r="F129" t="s">
        <v>28</v>
      </c>
      <c r="G129">
        <v>42.79</v>
      </c>
      <c r="H129">
        <v>42.79</v>
      </c>
      <c r="I129" t="s">
        <v>173</v>
      </c>
      <c r="J129" t="s">
        <v>174</v>
      </c>
      <c r="K129" t="s">
        <v>31</v>
      </c>
      <c r="L129" t="s">
        <v>32</v>
      </c>
      <c r="M129" t="s">
        <v>33</v>
      </c>
      <c r="P129" s="1" t="s">
        <v>584</v>
      </c>
      <c r="Q129" s="1" t="s">
        <v>27</v>
      </c>
      <c r="R129" s="1" t="s">
        <v>27</v>
      </c>
      <c r="S129" s="1"/>
      <c r="T129" s="1" t="s">
        <v>172</v>
      </c>
      <c r="U129" s="1"/>
      <c r="V129" s="1">
        <v>42.79</v>
      </c>
      <c r="W129" s="1">
        <v>42.79</v>
      </c>
      <c r="X129" s="1" t="s">
        <v>35</v>
      </c>
      <c r="Y129" s="1">
        <v>42790.0</v>
      </c>
      <c r="Z129" s="1"/>
      <c r="AA129" s="1">
        <v>42790</v>
      </c>
      <c r="AB129" s="1"/>
      <c r="AC129" s="1" t="s">
        <v>36</v>
      </c>
      <c r="AD129" s="1" t="s">
        <v>581</v>
      </c>
      <c r="AE129" s="1" t="s">
        <v>32</v>
      </c>
      <c r="AF129" s="1" t="s">
        <v>33</v>
      </c>
      <c r="AG129" s="1" t="s">
        <v>174</v>
      </c>
    </row>
    <row r="130" spans="1:33">
      <c r="A130" t="s">
        <v>585</v>
      </c>
      <c r="C130" t="s">
        <v>586</v>
      </c>
      <c r="E130" t="s">
        <v>27</v>
      </c>
      <c r="F130" t="s">
        <v>28</v>
      </c>
      <c r="G130">
        <v>172.5</v>
      </c>
      <c r="H130">
        <v>172.5</v>
      </c>
      <c r="I130" t="s">
        <v>48</v>
      </c>
      <c r="J130" t="s">
        <v>49</v>
      </c>
      <c r="K130" t="s">
        <v>31</v>
      </c>
      <c r="L130" t="s">
        <v>32</v>
      </c>
      <c r="M130" t="s">
        <v>33</v>
      </c>
      <c r="P130" s="1" t="s">
        <v>587</v>
      </c>
      <c r="Q130" s="1" t="s">
        <v>27</v>
      </c>
      <c r="R130" s="1" t="s">
        <v>27</v>
      </c>
      <c r="S130" s="1"/>
      <c r="T130" s="1" t="s">
        <v>586</v>
      </c>
      <c r="U130" s="1"/>
      <c r="V130" s="1">
        <v>172.5</v>
      </c>
      <c r="W130" s="1">
        <v>172.5</v>
      </c>
      <c r="X130" s="1" t="s">
        <v>35</v>
      </c>
      <c r="Y130" s="1">
        <v>172500.0</v>
      </c>
      <c r="Z130" s="1"/>
      <c r="AA130" s="1">
        <v>172500</v>
      </c>
      <c r="AB130" s="1"/>
      <c r="AC130" s="1" t="s">
        <v>36</v>
      </c>
      <c r="AD130" s="1" t="s">
        <v>573</v>
      </c>
      <c r="AE130" s="1" t="s">
        <v>32</v>
      </c>
      <c r="AF130" s="1" t="s">
        <v>33</v>
      </c>
      <c r="AG130" s="1" t="s">
        <v>49</v>
      </c>
    </row>
    <row r="131" spans="1:33">
      <c r="A131" t="s">
        <v>588</v>
      </c>
      <c r="C131" t="s">
        <v>589</v>
      </c>
      <c r="D131" t="s">
        <v>154</v>
      </c>
      <c r="E131" t="s">
        <v>27</v>
      </c>
      <c r="F131" t="s">
        <v>28</v>
      </c>
      <c r="G131">
        <v>58.0</v>
      </c>
      <c r="H131">
        <v>58.0</v>
      </c>
      <c r="I131" t="s">
        <v>173</v>
      </c>
      <c r="J131" t="s">
        <v>174</v>
      </c>
      <c r="K131" t="s">
        <v>31</v>
      </c>
      <c r="L131" t="s">
        <v>32</v>
      </c>
      <c r="M131" t="s">
        <v>33</v>
      </c>
      <c r="P131" s="1" t="s">
        <v>590</v>
      </c>
      <c r="Q131" s="1" t="s">
        <v>27</v>
      </c>
      <c r="R131" s="1" t="s">
        <v>27</v>
      </c>
      <c r="S131" s="1"/>
      <c r="T131" s="1" t="s">
        <v>591</v>
      </c>
      <c r="U131" s="1" t="s">
        <v>592</v>
      </c>
      <c r="V131" s="1">
        <v>58.0</v>
      </c>
      <c r="W131" s="1">
        <v>58.0</v>
      </c>
      <c r="X131" s="1" t="s">
        <v>35</v>
      </c>
      <c r="Y131" s="1">
        <v>58000.0</v>
      </c>
      <c r="Z131" s="1"/>
      <c r="AA131" s="1">
        <v>58000</v>
      </c>
      <c r="AB131" s="1"/>
      <c r="AC131" s="1" t="s">
        <v>36</v>
      </c>
      <c r="AD131" s="1" t="s">
        <v>593</v>
      </c>
      <c r="AE131" s="1" t="s">
        <v>32</v>
      </c>
      <c r="AF131" s="1" t="s">
        <v>33</v>
      </c>
      <c r="AG131" s="1" t="s">
        <v>174</v>
      </c>
    </row>
    <row r="132" spans="1:33">
      <c r="A132" t="s">
        <v>594</v>
      </c>
      <c r="C132" t="s">
        <v>595</v>
      </c>
      <c r="E132" t="s">
        <v>27</v>
      </c>
      <c r="F132" t="s">
        <v>28</v>
      </c>
      <c r="G132">
        <v>934.0</v>
      </c>
      <c r="H132">
        <v>934.0</v>
      </c>
      <c r="I132" t="s">
        <v>269</v>
      </c>
      <c r="J132" t="s">
        <v>270</v>
      </c>
      <c r="K132" t="s">
        <v>31</v>
      </c>
      <c r="L132" t="s">
        <v>32</v>
      </c>
      <c r="M132" t="s">
        <v>33</v>
      </c>
      <c r="P132" s="1" t="s">
        <v>596</v>
      </c>
      <c r="Q132" s="1" t="s">
        <v>27</v>
      </c>
      <c r="R132" s="1" t="s">
        <v>27</v>
      </c>
      <c r="S132" s="1"/>
      <c r="T132" s="1" t="s">
        <v>595</v>
      </c>
      <c r="U132" s="1"/>
      <c r="V132" s="1">
        <v>934.0</v>
      </c>
      <c r="W132" s="1">
        <v>934.0</v>
      </c>
      <c r="X132" s="1" t="s">
        <v>35</v>
      </c>
      <c r="Y132" s="1">
        <v>934000.0</v>
      </c>
      <c r="Z132" s="1"/>
      <c r="AA132" s="1">
        <v>934000</v>
      </c>
      <c r="AB132" s="1"/>
      <c r="AC132" s="1" t="s">
        <v>36</v>
      </c>
      <c r="AD132" s="1" t="s">
        <v>597</v>
      </c>
      <c r="AE132" s="1" t="s">
        <v>32</v>
      </c>
      <c r="AF132" s="1" t="s">
        <v>33</v>
      </c>
      <c r="AG132" s="1" t="s">
        <v>270</v>
      </c>
    </row>
    <row r="133" spans="1:33">
      <c r="A133" t="s">
        <v>598</v>
      </c>
      <c r="B133" t="s">
        <v>599</v>
      </c>
      <c r="C133" t="s">
        <v>135</v>
      </c>
      <c r="E133" t="s">
        <v>27</v>
      </c>
      <c r="F133" t="s">
        <v>28</v>
      </c>
      <c r="G133">
        <v>117.04</v>
      </c>
      <c r="H133">
        <v>117.04</v>
      </c>
      <c r="I133" t="s">
        <v>136</v>
      </c>
      <c r="J133" t="s">
        <v>137</v>
      </c>
      <c r="K133" t="s">
        <v>31</v>
      </c>
      <c r="L133" t="s">
        <v>32</v>
      </c>
      <c r="M133" t="s">
        <v>33</v>
      </c>
      <c r="P133" s="1" t="s">
        <v>600</v>
      </c>
      <c r="Q133" s="1" t="s">
        <v>27</v>
      </c>
      <c r="R133" s="1" t="s">
        <v>27</v>
      </c>
      <c r="S133" s="1"/>
      <c r="T133" s="1" t="s">
        <v>135</v>
      </c>
      <c r="U133" s="1"/>
      <c r="V133" s="1">
        <v>117.04</v>
      </c>
      <c r="W133" s="1">
        <v>117.04</v>
      </c>
      <c r="X133" s="1" t="s">
        <v>35</v>
      </c>
      <c r="Y133" s="1">
        <v>117040.0</v>
      </c>
      <c r="Z133" s="1"/>
      <c r="AA133" s="1">
        <v>117040</v>
      </c>
      <c r="AB133" s="1"/>
      <c r="AC133" s="1" t="s">
        <v>36</v>
      </c>
      <c r="AD133" s="1" t="s">
        <v>597</v>
      </c>
      <c r="AE133" s="1" t="s">
        <v>32</v>
      </c>
      <c r="AF133" s="1" t="s">
        <v>33</v>
      </c>
      <c r="AG133" s="1" t="s">
        <v>137</v>
      </c>
    </row>
    <row r="134" spans="1:33">
      <c r="A134" t="s">
        <v>601</v>
      </c>
      <c r="B134" t="s">
        <v>602</v>
      </c>
      <c r="C134" t="s">
        <v>268</v>
      </c>
      <c r="E134" t="s">
        <v>27</v>
      </c>
      <c r="F134" t="s">
        <v>28</v>
      </c>
      <c r="G134">
        <v>32.85</v>
      </c>
      <c r="H134">
        <v>32.85</v>
      </c>
      <c r="I134" t="s">
        <v>269</v>
      </c>
      <c r="J134" t="s">
        <v>270</v>
      </c>
      <c r="K134" t="s">
        <v>31</v>
      </c>
      <c r="L134" t="s">
        <v>32</v>
      </c>
      <c r="M134" t="s">
        <v>33</v>
      </c>
      <c r="P134" s="1" t="s">
        <v>603</v>
      </c>
      <c r="Q134" s="1" t="s">
        <v>27</v>
      </c>
      <c r="R134" s="1" t="s">
        <v>27</v>
      </c>
      <c r="S134" s="1"/>
      <c r="T134" s="1" t="s">
        <v>268</v>
      </c>
      <c r="U134" s="1"/>
      <c r="V134" s="1">
        <v>32.85</v>
      </c>
      <c r="W134" s="1">
        <v>32.85</v>
      </c>
      <c r="X134" s="1" t="s">
        <v>35</v>
      </c>
      <c r="Y134" s="1">
        <v>32850.0</v>
      </c>
      <c r="Z134" s="1"/>
      <c r="AA134" s="1">
        <v>32850</v>
      </c>
      <c r="AB134" s="1"/>
      <c r="AC134" s="1" t="s">
        <v>36</v>
      </c>
      <c r="AD134" s="1" t="s">
        <v>604</v>
      </c>
      <c r="AE134" s="1" t="s">
        <v>32</v>
      </c>
      <c r="AF134" s="1" t="s">
        <v>33</v>
      </c>
      <c r="AG134" s="1" t="s">
        <v>270</v>
      </c>
    </row>
    <row r="135" spans="1:33">
      <c r="A135" t="s">
        <v>605</v>
      </c>
      <c r="B135" t="s">
        <v>606</v>
      </c>
      <c r="C135" t="s">
        <v>26</v>
      </c>
      <c r="E135" t="s">
        <v>27</v>
      </c>
      <c r="F135" t="s">
        <v>28</v>
      </c>
      <c r="G135">
        <v>19.49</v>
      </c>
      <c r="H135">
        <v>19.49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P135" s="1" t="s">
        <v>607</v>
      </c>
      <c r="Q135" s="1" t="s">
        <v>27</v>
      </c>
      <c r="R135" s="1" t="s">
        <v>27</v>
      </c>
      <c r="S135" s="1"/>
      <c r="T135" s="1" t="s">
        <v>26</v>
      </c>
      <c r="U135" s="1"/>
      <c r="V135" s="1">
        <v>19.49</v>
      </c>
      <c r="W135" s="1">
        <v>19.49</v>
      </c>
      <c r="X135" s="1" t="s">
        <v>35</v>
      </c>
      <c r="Y135" s="1">
        <v>19490.0</v>
      </c>
      <c r="Z135" s="1"/>
      <c r="AA135" s="1">
        <v>19490</v>
      </c>
      <c r="AB135" s="1"/>
      <c r="AC135" s="1" t="s">
        <v>36</v>
      </c>
      <c r="AD135" s="1" t="s">
        <v>319</v>
      </c>
      <c r="AE135" s="1" t="s">
        <v>32</v>
      </c>
      <c r="AF135" s="1" t="s">
        <v>33</v>
      </c>
      <c r="AG135" s="1" t="s">
        <v>30</v>
      </c>
    </row>
    <row r="136" spans="1:33">
      <c r="A136" t="s">
        <v>608</v>
      </c>
      <c r="C136" t="s">
        <v>609</v>
      </c>
      <c r="E136" t="s">
        <v>27</v>
      </c>
      <c r="F136" t="s">
        <v>28</v>
      </c>
      <c r="G136">
        <v>492.0</v>
      </c>
      <c r="H136">
        <v>492.0</v>
      </c>
      <c r="I136" t="s">
        <v>269</v>
      </c>
      <c r="J136" t="s">
        <v>270</v>
      </c>
      <c r="K136" t="s">
        <v>31</v>
      </c>
      <c r="L136" t="s">
        <v>32</v>
      </c>
      <c r="M136" t="s">
        <v>33</v>
      </c>
      <c r="P136" s="1" t="s">
        <v>610</v>
      </c>
      <c r="Q136" s="1" t="s">
        <v>27</v>
      </c>
      <c r="R136" s="1" t="s">
        <v>27</v>
      </c>
      <c r="S136" s="1"/>
      <c r="T136" s="1" t="s">
        <v>609</v>
      </c>
      <c r="U136" s="1"/>
      <c r="V136" s="1">
        <v>492.0</v>
      </c>
      <c r="W136" s="1">
        <v>492.0</v>
      </c>
      <c r="X136" s="1" t="s">
        <v>35</v>
      </c>
      <c r="Y136" s="1">
        <v>492000.0</v>
      </c>
      <c r="Z136" s="1"/>
      <c r="AA136" s="1">
        <v>492000</v>
      </c>
      <c r="AB136" s="1"/>
      <c r="AC136" s="1" t="s">
        <v>36</v>
      </c>
      <c r="AD136" s="1" t="s">
        <v>611</v>
      </c>
      <c r="AE136" s="1" t="s">
        <v>32</v>
      </c>
      <c r="AF136" s="1" t="s">
        <v>33</v>
      </c>
      <c r="AG136" s="1" t="s">
        <v>270</v>
      </c>
    </row>
    <row r="137" spans="1:33">
      <c r="A137" t="s">
        <v>612</v>
      </c>
      <c r="C137" t="s">
        <v>613</v>
      </c>
      <c r="E137" t="s">
        <v>27</v>
      </c>
      <c r="F137" t="s">
        <v>28</v>
      </c>
      <c r="G137">
        <v>45.0</v>
      </c>
      <c r="H137">
        <v>45.0</v>
      </c>
      <c r="I137" t="s">
        <v>269</v>
      </c>
      <c r="J137" t="s">
        <v>270</v>
      </c>
      <c r="K137" t="s">
        <v>31</v>
      </c>
      <c r="L137" t="s">
        <v>32</v>
      </c>
      <c r="M137" t="s">
        <v>33</v>
      </c>
      <c r="P137" s="1" t="s">
        <v>614</v>
      </c>
      <c r="Q137" s="1" t="s">
        <v>27</v>
      </c>
      <c r="R137" s="1" t="s">
        <v>27</v>
      </c>
      <c r="S137" s="1"/>
      <c r="T137" s="1" t="s">
        <v>613</v>
      </c>
      <c r="U137" s="1"/>
      <c r="V137" s="1">
        <v>45.0</v>
      </c>
      <c r="W137" s="1">
        <v>45.0</v>
      </c>
      <c r="X137" s="1" t="s">
        <v>35</v>
      </c>
      <c r="Y137" s="1">
        <v>45000.0</v>
      </c>
      <c r="Z137" s="1"/>
      <c r="AA137" s="1">
        <v>45000</v>
      </c>
      <c r="AB137" s="1"/>
      <c r="AC137" s="1" t="s">
        <v>36</v>
      </c>
      <c r="AD137" s="1" t="s">
        <v>615</v>
      </c>
      <c r="AE137" s="1" t="s">
        <v>32</v>
      </c>
      <c r="AF137" s="1" t="s">
        <v>33</v>
      </c>
      <c r="AG137" s="1" t="s">
        <v>270</v>
      </c>
    </row>
    <row r="138" spans="1:33">
      <c r="A138" t="s">
        <v>616</v>
      </c>
      <c r="C138" t="s">
        <v>617</v>
      </c>
      <c r="E138" t="s">
        <v>27</v>
      </c>
      <c r="F138" t="s">
        <v>28</v>
      </c>
      <c r="G138">
        <v>630.0</v>
      </c>
      <c r="H138">
        <v>630.0</v>
      </c>
      <c r="I138" t="s">
        <v>40</v>
      </c>
      <c r="J138" t="s">
        <v>41</v>
      </c>
      <c r="K138" t="s">
        <v>31</v>
      </c>
      <c r="L138" t="s">
        <v>32</v>
      </c>
      <c r="M138" t="s">
        <v>33</v>
      </c>
      <c r="P138" s="1" t="s">
        <v>618</v>
      </c>
      <c r="Q138" s="1" t="s">
        <v>27</v>
      </c>
      <c r="R138" s="1" t="s">
        <v>43</v>
      </c>
      <c r="S138" s="1"/>
      <c r="T138" s="1" t="s">
        <v>619</v>
      </c>
      <c r="U138" s="1" t="s">
        <v>620</v>
      </c>
      <c r="V138" s="1">
        <v>630.0</v>
      </c>
      <c r="W138" s="1">
        <v>630.0</v>
      </c>
      <c r="X138" s="1" t="s">
        <v>35</v>
      </c>
      <c r="Y138" s="1">
        <v>630000.0</v>
      </c>
      <c r="Z138" s="1"/>
      <c r="AA138" s="1">
        <v>630000</v>
      </c>
      <c r="AB138" s="1"/>
      <c r="AC138" s="1" t="s">
        <v>36</v>
      </c>
      <c r="AD138" s="1" t="s">
        <v>615</v>
      </c>
      <c r="AE138" s="1" t="s">
        <v>32</v>
      </c>
      <c r="AF138" s="1" t="s">
        <v>33</v>
      </c>
      <c r="AG138" s="1" t="s">
        <v>41</v>
      </c>
    </row>
    <row r="139" spans="1:33">
      <c r="A139" t="s">
        <v>621</v>
      </c>
      <c r="B139" t="s">
        <v>622</v>
      </c>
      <c r="C139" t="s">
        <v>314</v>
      </c>
      <c r="E139" t="s">
        <v>27</v>
      </c>
      <c r="F139" t="s">
        <v>28</v>
      </c>
      <c r="G139">
        <v>33.74</v>
      </c>
      <c r="H139">
        <v>33.74</v>
      </c>
      <c r="I139" t="s">
        <v>179</v>
      </c>
      <c r="J139" t="s">
        <v>180</v>
      </c>
      <c r="K139" t="s">
        <v>31</v>
      </c>
      <c r="L139" t="s">
        <v>32</v>
      </c>
      <c r="M139" t="s">
        <v>33</v>
      </c>
      <c r="P139" s="1" t="s">
        <v>623</v>
      </c>
      <c r="Q139" s="1" t="s">
        <v>27</v>
      </c>
      <c r="R139" s="1" t="s">
        <v>27</v>
      </c>
      <c r="S139" s="1"/>
      <c r="T139" s="1" t="s">
        <v>314</v>
      </c>
      <c r="U139" s="1"/>
      <c r="V139" s="1">
        <v>33.74</v>
      </c>
      <c r="W139" s="1">
        <v>33.74</v>
      </c>
      <c r="X139" s="1" t="s">
        <v>35</v>
      </c>
      <c r="Y139" s="1">
        <v>33740.0</v>
      </c>
      <c r="Z139" s="1"/>
      <c r="AA139" s="1">
        <v>33740</v>
      </c>
      <c r="AB139" s="1"/>
      <c r="AC139" s="1" t="s">
        <v>36</v>
      </c>
      <c r="AD139" s="1" t="s">
        <v>624</v>
      </c>
      <c r="AE139" s="1" t="s">
        <v>32</v>
      </c>
      <c r="AF139" s="1" t="s">
        <v>33</v>
      </c>
      <c r="AG139" s="1" t="s">
        <v>180</v>
      </c>
    </row>
    <row r="140" spans="1:33">
      <c r="A140" t="s">
        <v>625</v>
      </c>
      <c r="C140" t="s">
        <v>626</v>
      </c>
      <c r="D140" t="s">
        <v>114</v>
      </c>
      <c r="E140" t="s">
        <v>27</v>
      </c>
      <c r="F140" t="s">
        <v>28</v>
      </c>
      <c r="G140">
        <v>32.49</v>
      </c>
      <c r="H140">
        <v>32.49</v>
      </c>
      <c r="I140" t="s">
        <v>40</v>
      </c>
      <c r="J140" t="s">
        <v>41</v>
      </c>
      <c r="K140" t="s">
        <v>31</v>
      </c>
      <c r="L140" t="s">
        <v>32</v>
      </c>
      <c r="M140" t="s">
        <v>33</v>
      </c>
      <c r="P140" s="1" t="s">
        <v>627</v>
      </c>
      <c r="Q140" s="1" t="s">
        <v>27</v>
      </c>
      <c r="R140" s="1" t="s">
        <v>43</v>
      </c>
      <c r="S140" s="1"/>
      <c r="T140" s="1" t="s">
        <v>626</v>
      </c>
      <c r="U140" s="1"/>
      <c r="V140" s="1">
        <v>32.49</v>
      </c>
      <c r="W140" s="1">
        <v>32.49</v>
      </c>
      <c r="X140" s="1" t="s">
        <v>35</v>
      </c>
      <c r="Y140" s="1">
        <v>32490.0</v>
      </c>
      <c r="Z140" s="1"/>
      <c r="AA140" s="1">
        <v>32490</v>
      </c>
      <c r="AB140" s="1"/>
      <c r="AC140" s="1" t="s">
        <v>36</v>
      </c>
      <c r="AD140" s="1" t="s">
        <v>628</v>
      </c>
      <c r="AE140" s="1" t="s">
        <v>32</v>
      </c>
      <c r="AF140" s="1" t="s">
        <v>33</v>
      </c>
      <c r="AG140" s="1" t="s">
        <v>41</v>
      </c>
    </row>
    <row r="141" spans="1:33">
      <c r="A141" t="s">
        <v>629</v>
      </c>
      <c r="C141" t="s">
        <v>630</v>
      </c>
      <c r="E141" t="s">
        <v>27</v>
      </c>
      <c r="F141" t="s">
        <v>28</v>
      </c>
      <c r="G141">
        <v>210.0</v>
      </c>
      <c r="H141">
        <v>210.0</v>
      </c>
      <c r="I141" t="s">
        <v>269</v>
      </c>
      <c r="J141" t="s">
        <v>270</v>
      </c>
      <c r="K141" t="s">
        <v>31</v>
      </c>
      <c r="L141" t="s">
        <v>32</v>
      </c>
      <c r="M141" t="s">
        <v>33</v>
      </c>
      <c r="P141" s="1" t="s">
        <v>631</v>
      </c>
      <c r="Q141" s="1" t="s">
        <v>27</v>
      </c>
      <c r="R141" s="1" t="s">
        <v>27</v>
      </c>
      <c r="S141" s="1"/>
      <c r="T141" s="1" t="s">
        <v>630</v>
      </c>
      <c r="U141" s="1"/>
      <c r="V141" s="1">
        <v>210.0</v>
      </c>
      <c r="W141" s="1">
        <v>210.0</v>
      </c>
      <c r="X141" s="1" t="s">
        <v>35</v>
      </c>
      <c r="Y141" s="1">
        <v>210000.0</v>
      </c>
      <c r="Z141" s="1"/>
      <c r="AA141" s="1">
        <v>210000</v>
      </c>
      <c r="AB141" s="1"/>
      <c r="AC141" s="1" t="s">
        <v>36</v>
      </c>
      <c r="AD141" s="1" t="s">
        <v>632</v>
      </c>
      <c r="AE141" s="1" t="s">
        <v>32</v>
      </c>
      <c r="AF141" s="1" t="s">
        <v>33</v>
      </c>
      <c r="AG141" s="1" t="s">
        <v>270</v>
      </c>
    </row>
    <row r="142" spans="1:33">
      <c r="A142" t="s">
        <v>633</v>
      </c>
      <c r="C142" t="s">
        <v>135</v>
      </c>
      <c r="E142" t="s">
        <v>27</v>
      </c>
      <c r="F142" t="s">
        <v>634</v>
      </c>
      <c r="G142">
        <v>65.7</v>
      </c>
      <c r="H142">
        <v>65.7</v>
      </c>
      <c r="I142" t="s">
        <v>136</v>
      </c>
      <c r="J142" t="s">
        <v>137</v>
      </c>
      <c r="K142" t="s">
        <v>31</v>
      </c>
      <c r="L142" t="s">
        <v>32</v>
      </c>
      <c r="M142" t="s">
        <v>33</v>
      </c>
      <c r="P142" s="1" t="s">
        <v>635</v>
      </c>
      <c r="Q142" s="1" t="s">
        <v>27</v>
      </c>
      <c r="R142" s="1" t="s">
        <v>27</v>
      </c>
      <c r="S142" s="1"/>
      <c r="T142" s="1" t="s">
        <v>135</v>
      </c>
      <c r="U142" s="1"/>
      <c r="V142" s="1">
        <v>65.7</v>
      </c>
      <c r="W142" s="1">
        <v>65.7</v>
      </c>
      <c r="X142" s="1" t="s">
        <v>35</v>
      </c>
      <c r="Y142" s="1">
        <v>65700.0</v>
      </c>
      <c r="Z142" s="1"/>
      <c r="AA142" s="1">
        <v>65700</v>
      </c>
      <c r="AB142" s="1"/>
      <c r="AC142" s="1" t="s">
        <v>36</v>
      </c>
      <c r="AD142" s="1" t="s">
        <v>636</v>
      </c>
      <c r="AE142" s="1" t="s">
        <v>32</v>
      </c>
      <c r="AF142" s="1" t="s">
        <v>33</v>
      </c>
      <c r="AG142" s="1" t="s">
        <v>137</v>
      </c>
    </row>
    <row r="143" spans="1:33">
      <c r="A143" t="s">
        <v>637</v>
      </c>
      <c r="C143" t="s">
        <v>638</v>
      </c>
      <c r="D143" t="s">
        <v>154</v>
      </c>
      <c r="E143" t="s">
        <v>27</v>
      </c>
      <c r="F143" t="s">
        <v>28</v>
      </c>
      <c r="G143">
        <v>1.281</v>
      </c>
      <c r="H143">
        <v>1.281</v>
      </c>
      <c r="I143" t="s">
        <v>227</v>
      </c>
      <c r="J143" t="s">
        <v>228</v>
      </c>
      <c r="K143" t="s">
        <v>31</v>
      </c>
      <c r="L143" t="s">
        <v>32</v>
      </c>
      <c r="M143" t="s">
        <v>33</v>
      </c>
      <c r="P143" s="1" t="s">
        <v>639</v>
      </c>
      <c r="Q143" s="1" t="s">
        <v>27</v>
      </c>
      <c r="R143" s="1" t="s">
        <v>27</v>
      </c>
      <c r="S143" s="1"/>
      <c r="T143" s="1" t="s">
        <v>640</v>
      </c>
      <c r="U143" s="1" t="s">
        <v>641</v>
      </c>
      <c r="V143" s="1">
        <v>1.281</v>
      </c>
      <c r="W143" s="1">
        <v>1.281</v>
      </c>
      <c r="X143" s="1" t="s">
        <v>35</v>
      </c>
      <c r="Y143" s="1">
        <v>1281000.0</v>
      </c>
      <c r="Z143" s="1"/>
      <c r="AA143" s="1">
        <v>1281000</v>
      </c>
      <c r="AB143" s="1"/>
      <c r="AC143" s="1" t="s">
        <v>36</v>
      </c>
      <c r="AD143" s="1" t="s">
        <v>642</v>
      </c>
      <c r="AE143" s="1" t="s">
        <v>32</v>
      </c>
      <c r="AF143" s="1" t="s">
        <v>33</v>
      </c>
      <c r="AG143" s="1" t="s">
        <v>228</v>
      </c>
    </row>
    <row r="144" spans="1:33">
      <c r="A144" t="s">
        <v>643</v>
      </c>
      <c r="C144" t="s">
        <v>644</v>
      </c>
      <c r="E144" t="s">
        <v>27</v>
      </c>
      <c r="F144" t="s">
        <v>28</v>
      </c>
      <c r="G144">
        <v>328.0</v>
      </c>
      <c r="H144">
        <v>328.0</v>
      </c>
      <c r="I144" t="s">
        <v>227</v>
      </c>
      <c r="J144" t="s">
        <v>228</v>
      </c>
      <c r="K144" t="s">
        <v>31</v>
      </c>
      <c r="L144" t="s">
        <v>32</v>
      </c>
      <c r="M144" t="s">
        <v>33</v>
      </c>
      <c r="P144" s="1" t="s">
        <v>645</v>
      </c>
      <c r="Q144" s="1" t="s">
        <v>27</v>
      </c>
      <c r="R144" s="1" t="s">
        <v>27</v>
      </c>
      <c r="S144" s="1"/>
      <c r="T144" s="1" t="s">
        <v>644</v>
      </c>
      <c r="U144" s="1"/>
      <c r="V144" s="1">
        <v>328.0</v>
      </c>
      <c r="W144" s="1">
        <v>328.0</v>
      </c>
      <c r="X144" s="1" t="s">
        <v>35</v>
      </c>
      <c r="Y144" s="1">
        <v>328000.0</v>
      </c>
      <c r="Z144" s="1"/>
      <c r="AA144" s="1">
        <v>328000</v>
      </c>
      <c r="AB144" s="1"/>
      <c r="AC144" s="1" t="s">
        <v>36</v>
      </c>
      <c r="AD144" s="1" t="s">
        <v>597</v>
      </c>
      <c r="AE144" s="1" t="s">
        <v>32</v>
      </c>
      <c r="AF144" s="1" t="s">
        <v>33</v>
      </c>
      <c r="AG144" s="1" t="s">
        <v>228</v>
      </c>
    </row>
    <row r="145" spans="1:33">
      <c r="A145" t="s">
        <v>646</v>
      </c>
      <c r="C145" t="s">
        <v>647</v>
      </c>
      <c r="E145" t="s">
        <v>27</v>
      </c>
      <c r="F145" t="s">
        <v>28</v>
      </c>
      <c r="G145">
        <v>555.0</v>
      </c>
      <c r="H145">
        <v>555.0</v>
      </c>
      <c r="I145" t="s">
        <v>173</v>
      </c>
      <c r="J145" t="s">
        <v>174</v>
      </c>
      <c r="K145" t="s">
        <v>31</v>
      </c>
      <c r="L145" t="s">
        <v>32</v>
      </c>
      <c r="M145" t="s">
        <v>33</v>
      </c>
      <c r="P145" s="1" t="s">
        <v>648</v>
      </c>
      <c r="Q145" s="1" t="s">
        <v>27</v>
      </c>
      <c r="R145" s="1" t="s">
        <v>27</v>
      </c>
      <c r="S145" s="1"/>
      <c r="T145" s="1" t="s">
        <v>647</v>
      </c>
      <c r="U145" s="1"/>
      <c r="V145" s="1">
        <v>555.0</v>
      </c>
      <c r="W145" s="1">
        <v>555.0</v>
      </c>
      <c r="X145" s="1" t="s">
        <v>35</v>
      </c>
      <c r="Y145" s="1">
        <v>555000.0</v>
      </c>
      <c r="Z145" s="1"/>
      <c r="AA145" s="1">
        <v>555000</v>
      </c>
      <c r="AB145" s="1"/>
      <c r="AC145" s="1" t="s">
        <v>36</v>
      </c>
      <c r="AD145" s="1" t="s">
        <v>636</v>
      </c>
      <c r="AE145" s="1" t="s">
        <v>32</v>
      </c>
      <c r="AF145" s="1" t="s">
        <v>33</v>
      </c>
      <c r="AG145" s="1" t="s">
        <v>174</v>
      </c>
    </row>
    <row r="146" spans="1:33">
      <c r="A146" t="s">
        <v>649</v>
      </c>
      <c r="B146" t="s">
        <v>650</v>
      </c>
      <c r="C146" t="s">
        <v>314</v>
      </c>
      <c r="E146" t="s">
        <v>27</v>
      </c>
      <c r="F146" t="s">
        <v>28</v>
      </c>
      <c r="G146">
        <v>170.654</v>
      </c>
      <c r="H146">
        <v>170.654</v>
      </c>
      <c r="I146" t="s">
        <v>179</v>
      </c>
      <c r="J146" t="s">
        <v>180</v>
      </c>
      <c r="K146" t="s">
        <v>31</v>
      </c>
      <c r="L146" t="s">
        <v>32</v>
      </c>
      <c r="M146" t="s">
        <v>33</v>
      </c>
      <c r="P146" s="1" t="s">
        <v>651</v>
      </c>
      <c r="Q146" s="1" t="s">
        <v>27</v>
      </c>
      <c r="R146" s="1" t="s">
        <v>27</v>
      </c>
      <c r="S146" s="1"/>
      <c r="T146" s="1" t="s">
        <v>314</v>
      </c>
      <c r="U146" s="1"/>
      <c r="V146" s="1">
        <v>170.654</v>
      </c>
      <c r="W146" s="1">
        <v>170.654</v>
      </c>
      <c r="X146" s="1" t="s">
        <v>35</v>
      </c>
      <c r="Y146" s="1">
        <v>170654.0</v>
      </c>
      <c r="Z146" s="1"/>
      <c r="AA146" s="1">
        <v>170654</v>
      </c>
      <c r="AB146" s="1"/>
      <c r="AC146" s="1" t="s">
        <v>36</v>
      </c>
      <c r="AD146" s="1" t="s">
        <v>652</v>
      </c>
      <c r="AE146" s="1" t="s">
        <v>32</v>
      </c>
      <c r="AF146" s="1" t="s">
        <v>33</v>
      </c>
      <c r="AG146" s="1" t="s">
        <v>180</v>
      </c>
    </row>
    <row r="147" spans="1:33">
      <c r="A147" t="s">
        <v>653</v>
      </c>
      <c r="C147" t="s">
        <v>654</v>
      </c>
      <c r="E147" t="s">
        <v>27</v>
      </c>
      <c r="F147" t="s">
        <v>634</v>
      </c>
      <c r="G147">
        <v>895.0</v>
      </c>
      <c r="H147">
        <v>895.0</v>
      </c>
      <c r="I147" t="s">
        <v>136</v>
      </c>
      <c r="J147" t="s">
        <v>137</v>
      </c>
      <c r="K147" t="s">
        <v>31</v>
      </c>
      <c r="L147" t="s">
        <v>32</v>
      </c>
      <c r="M147" t="s">
        <v>33</v>
      </c>
      <c r="P147" s="1" t="s">
        <v>655</v>
      </c>
      <c r="Q147" s="1" t="s">
        <v>27</v>
      </c>
      <c r="R147" s="1" t="s">
        <v>27</v>
      </c>
      <c r="S147" s="1"/>
      <c r="T147" s="1" t="s">
        <v>656</v>
      </c>
      <c r="U147" s="1" t="s">
        <v>657</v>
      </c>
      <c r="V147" s="1">
        <v>895.0</v>
      </c>
      <c r="W147" s="1">
        <v>895.0</v>
      </c>
      <c r="X147" s="1" t="s">
        <v>35</v>
      </c>
      <c r="Y147" s="1">
        <v>895000.0</v>
      </c>
      <c r="Z147" s="1"/>
      <c r="AA147" s="1">
        <v>895000</v>
      </c>
      <c r="AB147" s="1"/>
      <c r="AC147" s="1" t="s">
        <v>36</v>
      </c>
      <c r="AD147" s="1" t="s">
        <v>658</v>
      </c>
      <c r="AE147" s="1" t="s">
        <v>32</v>
      </c>
      <c r="AF147" s="1" t="s">
        <v>33</v>
      </c>
      <c r="AG147" s="1" t="s">
        <v>137</v>
      </c>
    </row>
    <row r="148" spans="1:33">
      <c r="A148" t="s">
        <v>659</v>
      </c>
      <c r="C148" t="s">
        <v>660</v>
      </c>
      <c r="E148" t="s">
        <v>27</v>
      </c>
      <c r="F148" t="s">
        <v>28</v>
      </c>
      <c r="G148">
        <v>352.0</v>
      </c>
      <c r="H148">
        <v>352.0</v>
      </c>
      <c r="I148" t="s">
        <v>179</v>
      </c>
      <c r="J148" t="s">
        <v>180</v>
      </c>
      <c r="K148" t="s">
        <v>31</v>
      </c>
      <c r="L148" t="s">
        <v>32</v>
      </c>
      <c r="M148" t="s">
        <v>33</v>
      </c>
      <c r="P148" s="1" t="s">
        <v>661</v>
      </c>
      <c r="Q148" s="1" t="s">
        <v>27</v>
      </c>
      <c r="R148" s="1" t="s">
        <v>27</v>
      </c>
      <c r="S148" s="1"/>
      <c r="T148" s="1" t="s">
        <v>660</v>
      </c>
      <c r="U148" s="1"/>
      <c r="V148" s="1">
        <v>352.0</v>
      </c>
      <c r="W148" s="1">
        <v>352.0</v>
      </c>
      <c r="X148" s="1" t="s">
        <v>35</v>
      </c>
      <c r="Y148" s="1">
        <v>352000.0</v>
      </c>
      <c r="Z148" s="1"/>
      <c r="AA148" s="1">
        <v>352000</v>
      </c>
      <c r="AB148" s="1"/>
      <c r="AC148" s="1" t="s">
        <v>36</v>
      </c>
      <c r="AD148" s="1" t="s">
        <v>662</v>
      </c>
      <c r="AE148" s="1" t="s">
        <v>32</v>
      </c>
      <c r="AF148" s="1" t="s">
        <v>33</v>
      </c>
      <c r="AG148" s="1" t="s">
        <v>180</v>
      </c>
    </row>
    <row r="149" spans="1:33">
      <c r="A149" t="s">
        <v>663</v>
      </c>
      <c r="C149" t="s">
        <v>135</v>
      </c>
      <c r="E149" t="s">
        <v>27</v>
      </c>
      <c r="F149" t="s">
        <v>634</v>
      </c>
      <c r="G149">
        <v>67.6</v>
      </c>
      <c r="H149">
        <v>67.6</v>
      </c>
      <c r="I149" t="s">
        <v>136</v>
      </c>
      <c r="J149" t="s">
        <v>137</v>
      </c>
      <c r="K149" t="s">
        <v>31</v>
      </c>
      <c r="L149" t="s">
        <v>32</v>
      </c>
      <c r="M149" t="s">
        <v>33</v>
      </c>
      <c r="P149" s="1" t="s">
        <v>664</v>
      </c>
      <c r="Q149" s="1" t="s">
        <v>27</v>
      </c>
      <c r="R149" s="1" t="s">
        <v>27</v>
      </c>
      <c r="S149" s="1"/>
      <c r="T149" s="1" t="s">
        <v>135</v>
      </c>
      <c r="U149" s="1"/>
      <c r="V149" s="1">
        <v>67.6</v>
      </c>
      <c r="W149" s="1">
        <v>67.6</v>
      </c>
      <c r="X149" s="1" t="s">
        <v>35</v>
      </c>
      <c r="Y149" s="1">
        <v>67600.0</v>
      </c>
      <c r="Z149" s="1"/>
      <c r="AA149" s="1">
        <v>67600</v>
      </c>
      <c r="AB149" s="1"/>
      <c r="AC149" s="1" t="s">
        <v>36</v>
      </c>
      <c r="AD149" s="1" t="s">
        <v>665</v>
      </c>
      <c r="AE149" s="1" t="s">
        <v>32</v>
      </c>
      <c r="AF149" s="1" t="s">
        <v>33</v>
      </c>
      <c r="AG149" s="1" t="s">
        <v>137</v>
      </c>
    </row>
    <row r="150" spans="1:33">
      <c r="A150" t="s">
        <v>666</v>
      </c>
      <c r="C150" t="s">
        <v>667</v>
      </c>
      <c r="D150" t="s">
        <v>114</v>
      </c>
      <c r="E150" t="s">
        <v>27</v>
      </c>
      <c r="F150" t="s">
        <v>28</v>
      </c>
      <c r="G150">
        <v>352.0</v>
      </c>
      <c r="H150">
        <v>352.0</v>
      </c>
      <c r="I150" t="s">
        <v>179</v>
      </c>
      <c r="J150" t="s">
        <v>180</v>
      </c>
      <c r="K150" t="s">
        <v>31</v>
      </c>
      <c r="L150" t="s">
        <v>32</v>
      </c>
      <c r="M150" t="s">
        <v>33</v>
      </c>
      <c r="P150" s="1" t="s">
        <v>668</v>
      </c>
      <c r="Q150" s="1" t="s">
        <v>27</v>
      </c>
      <c r="R150" s="1" t="s">
        <v>27</v>
      </c>
      <c r="S150" s="1"/>
      <c r="T150" s="1" t="s">
        <v>667</v>
      </c>
      <c r="U150" s="1"/>
      <c r="V150" s="1">
        <v>352.0</v>
      </c>
      <c r="W150" s="1">
        <v>352.0</v>
      </c>
      <c r="X150" s="1" t="s">
        <v>35</v>
      </c>
      <c r="Y150" s="1">
        <v>352000.0</v>
      </c>
      <c r="Z150" s="1"/>
      <c r="AA150" s="1">
        <v>352000</v>
      </c>
      <c r="AB150" s="1"/>
      <c r="AC150" s="1" t="s">
        <v>36</v>
      </c>
      <c r="AD150" s="1" t="s">
        <v>658</v>
      </c>
      <c r="AE150" s="1" t="s">
        <v>32</v>
      </c>
      <c r="AF150" s="1" t="s">
        <v>33</v>
      </c>
      <c r="AG150" s="1" t="s">
        <v>180</v>
      </c>
    </row>
    <row r="151" spans="1:33">
      <c r="A151" t="s">
        <v>669</v>
      </c>
      <c r="C151" t="s">
        <v>670</v>
      </c>
      <c r="E151" t="s">
        <v>27</v>
      </c>
      <c r="F151" t="s">
        <v>28</v>
      </c>
      <c r="G151">
        <v>984.0</v>
      </c>
      <c r="H151">
        <v>984.0</v>
      </c>
      <c r="I151" t="s">
        <v>136</v>
      </c>
      <c r="J151" t="s">
        <v>137</v>
      </c>
      <c r="K151" t="s">
        <v>31</v>
      </c>
      <c r="L151" t="s">
        <v>32</v>
      </c>
      <c r="M151" t="s">
        <v>33</v>
      </c>
      <c r="P151" s="1" t="s">
        <v>671</v>
      </c>
      <c r="Q151" s="1" t="s">
        <v>27</v>
      </c>
      <c r="R151" s="1" t="s">
        <v>27</v>
      </c>
      <c r="S151" s="1"/>
      <c r="T151" s="1" t="s">
        <v>670</v>
      </c>
      <c r="U151" s="1"/>
      <c r="V151" s="1">
        <v>984.0</v>
      </c>
      <c r="W151" s="1">
        <v>984.0</v>
      </c>
      <c r="X151" s="1" t="s">
        <v>35</v>
      </c>
      <c r="Y151" s="1">
        <v>984000.0</v>
      </c>
      <c r="Z151" s="1"/>
      <c r="AA151" s="1">
        <v>984000</v>
      </c>
      <c r="AB151" s="1"/>
      <c r="AC151" s="1" t="s">
        <v>36</v>
      </c>
      <c r="AD151" s="1" t="s">
        <v>672</v>
      </c>
      <c r="AE151" s="1" t="s">
        <v>32</v>
      </c>
      <c r="AF151" s="1" t="s">
        <v>33</v>
      </c>
      <c r="AG151" s="1" t="s">
        <v>137</v>
      </c>
    </row>
    <row r="152" spans="1:33">
      <c r="A152" t="s">
        <v>673</v>
      </c>
      <c r="C152" t="s">
        <v>674</v>
      </c>
      <c r="E152" t="s">
        <v>27</v>
      </c>
      <c r="F152" t="s">
        <v>634</v>
      </c>
      <c r="G152">
        <v>1.17</v>
      </c>
      <c r="H152">
        <v>1.17</v>
      </c>
      <c r="I152" t="s">
        <v>136</v>
      </c>
      <c r="J152" t="s">
        <v>137</v>
      </c>
      <c r="K152" t="s">
        <v>31</v>
      </c>
      <c r="L152" t="s">
        <v>32</v>
      </c>
      <c r="M152" t="s">
        <v>33</v>
      </c>
      <c r="P152" s="1" t="s">
        <v>675</v>
      </c>
      <c r="Q152" s="1" t="s">
        <v>27</v>
      </c>
      <c r="R152" s="1" t="s">
        <v>27</v>
      </c>
      <c r="S152" s="1"/>
      <c r="T152" s="1" t="s">
        <v>674</v>
      </c>
      <c r="U152" s="1"/>
      <c r="V152" s="1">
        <v>1.17</v>
      </c>
      <c r="W152" s="1">
        <v>1.17</v>
      </c>
      <c r="X152" s="1" t="s">
        <v>35</v>
      </c>
      <c r="Y152" s="1">
        <v>1170000.0</v>
      </c>
      <c r="Z152" s="1"/>
      <c r="AA152" s="1">
        <v>1170000</v>
      </c>
      <c r="AB152" s="1"/>
      <c r="AC152" s="1" t="s">
        <v>36</v>
      </c>
      <c r="AD152" s="1" t="s">
        <v>676</v>
      </c>
      <c r="AE152" s="1" t="s">
        <v>32</v>
      </c>
      <c r="AF152" s="1" t="s">
        <v>33</v>
      </c>
      <c r="AG152" s="1" t="s">
        <v>137</v>
      </c>
    </row>
    <row r="153" spans="1:33">
      <c r="A153" t="s">
        <v>677</v>
      </c>
      <c r="C153" t="s">
        <v>73</v>
      </c>
      <c r="E153" t="s">
        <v>27</v>
      </c>
      <c r="F153" t="s">
        <v>28</v>
      </c>
      <c r="G153">
        <v>2.6</v>
      </c>
      <c r="H153">
        <v>2.6</v>
      </c>
      <c r="I153" t="s">
        <v>40</v>
      </c>
      <c r="J153" t="s">
        <v>41</v>
      </c>
      <c r="K153" t="s">
        <v>31</v>
      </c>
      <c r="L153" t="s">
        <v>32</v>
      </c>
      <c r="M153" t="s">
        <v>33</v>
      </c>
      <c r="P153" s="1" t="s">
        <v>678</v>
      </c>
      <c r="Q153" s="1" t="s">
        <v>27</v>
      </c>
      <c r="R153" s="1" t="s">
        <v>43</v>
      </c>
      <c r="S153" s="1"/>
      <c r="T153" s="1" t="s">
        <v>75</v>
      </c>
      <c r="U153" s="1" t="s">
        <v>76</v>
      </c>
      <c r="V153" s="1">
        <v>2.6</v>
      </c>
      <c r="W153" s="1">
        <v>2.6</v>
      </c>
      <c r="X153" s="1" t="s">
        <v>35</v>
      </c>
      <c r="Y153" s="1">
        <v>2600.0</v>
      </c>
      <c r="Z153" s="1"/>
      <c r="AA153" s="1">
        <v>2600</v>
      </c>
      <c r="AB153" s="1"/>
      <c r="AC153" s="1" t="s">
        <v>36</v>
      </c>
      <c r="AD153" s="1" t="s">
        <v>679</v>
      </c>
      <c r="AE153" s="1" t="s">
        <v>32</v>
      </c>
      <c r="AF153" s="1" t="s">
        <v>33</v>
      </c>
      <c r="AG153" s="1" t="s">
        <v>41</v>
      </c>
    </row>
    <row r="154" spans="1:33">
      <c r="A154" t="s">
        <v>680</v>
      </c>
      <c r="C154" t="s">
        <v>681</v>
      </c>
      <c r="E154" t="s">
        <v>27</v>
      </c>
      <c r="F154" t="s">
        <v>634</v>
      </c>
      <c r="G154">
        <v>746.0</v>
      </c>
      <c r="H154">
        <v>746.0</v>
      </c>
      <c r="I154" t="s">
        <v>136</v>
      </c>
      <c r="J154" t="s">
        <v>137</v>
      </c>
      <c r="K154" t="s">
        <v>31</v>
      </c>
      <c r="L154" t="s">
        <v>32</v>
      </c>
      <c r="M154" t="s">
        <v>33</v>
      </c>
      <c r="P154" s="1" t="s">
        <v>682</v>
      </c>
      <c r="Q154" s="1" t="s">
        <v>27</v>
      </c>
      <c r="R154" s="1" t="s">
        <v>27</v>
      </c>
      <c r="S154" s="1"/>
      <c r="T154" s="1" t="s">
        <v>681</v>
      </c>
      <c r="U154" s="1"/>
      <c r="V154" s="1">
        <v>746.0</v>
      </c>
      <c r="W154" s="1">
        <v>746.0</v>
      </c>
      <c r="X154" s="1" t="s">
        <v>35</v>
      </c>
      <c r="Y154" s="1">
        <v>746000.0</v>
      </c>
      <c r="Z154" s="1"/>
      <c r="AA154" s="1">
        <v>746000</v>
      </c>
      <c r="AB154" s="1"/>
      <c r="AC154" s="1" t="s">
        <v>36</v>
      </c>
      <c r="AD154" s="1" t="s">
        <v>679</v>
      </c>
      <c r="AE154" s="1" t="s">
        <v>32</v>
      </c>
      <c r="AF154" s="1" t="s">
        <v>33</v>
      </c>
      <c r="AG154" s="1" t="s">
        <v>137</v>
      </c>
    </row>
    <row r="155" spans="1:33">
      <c r="A155" t="s">
        <v>683</v>
      </c>
      <c r="B155" t="s">
        <v>684</v>
      </c>
      <c r="C155" t="s">
        <v>314</v>
      </c>
      <c r="E155" t="s">
        <v>27</v>
      </c>
      <c r="F155" t="s">
        <v>28</v>
      </c>
      <c r="G155">
        <v>20.49</v>
      </c>
      <c r="H155">
        <v>20.49</v>
      </c>
      <c r="I155" t="s">
        <v>179</v>
      </c>
      <c r="J155" t="s">
        <v>180</v>
      </c>
      <c r="K155" t="s">
        <v>31</v>
      </c>
      <c r="L155" t="s">
        <v>32</v>
      </c>
      <c r="M155" t="s">
        <v>33</v>
      </c>
      <c r="P155" s="1" t="s">
        <v>685</v>
      </c>
      <c r="Q155" s="1" t="s">
        <v>27</v>
      </c>
      <c r="R155" s="1" t="s">
        <v>27</v>
      </c>
      <c r="S155" s="1"/>
      <c r="T155" s="1" t="s">
        <v>314</v>
      </c>
      <c r="U155" s="1"/>
      <c r="V155" s="1">
        <v>20.49</v>
      </c>
      <c r="W155" s="1">
        <v>20.49</v>
      </c>
      <c r="X155" s="1" t="s">
        <v>35</v>
      </c>
      <c r="Y155" s="1">
        <v>20490.0</v>
      </c>
      <c r="Z155" s="1"/>
      <c r="AA155" s="1">
        <v>20490</v>
      </c>
      <c r="AB155" s="1"/>
      <c r="AC155" s="1" t="s">
        <v>36</v>
      </c>
      <c r="AD155" s="1" t="s">
        <v>686</v>
      </c>
      <c r="AE155" s="1" t="s">
        <v>32</v>
      </c>
      <c r="AF155" s="1" t="s">
        <v>33</v>
      </c>
      <c r="AG155" s="1" t="s">
        <v>180</v>
      </c>
    </row>
    <row r="156" spans="1:33">
      <c r="A156" t="s">
        <v>687</v>
      </c>
      <c r="C156" t="s">
        <v>688</v>
      </c>
      <c r="E156" t="s">
        <v>27</v>
      </c>
      <c r="F156" t="s">
        <v>28</v>
      </c>
      <c r="G156">
        <v>3.28</v>
      </c>
      <c r="H156">
        <v>3.28</v>
      </c>
      <c r="I156" t="s">
        <v>269</v>
      </c>
      <c r="J156" t="s">
        <v>270</v>
      </c>
      <c r="K156" t="s">
        <v>31</v>
      </c>
      <c r="L156" t="s">
        <v>32</v>
      </c>
      <c r="M156" t="s">
        <v>33</v>
      </c>
      <c r="P156" s="1" t="s">
        <v>689</v>
      </c>
      <c r="Q156" s="1" t="s">
        <v>27</v>
      </c>
      <c r="R156" s="1" t="s">
        <v>27</v>
      </c>
      <c r="S156" s="1"/>
      <c r="T156" s="1" t="s">
        <v>688</v>
      </c>
      <c r="U156" s="1"/>
      <c r="V156" s="1">
        <v>3.28</v>
      </c>
      <c r="W156" s="1">
        <v>3.28</v>
      </c>
      <c r="X156" s="1" t="s">
        <v>35</v>
      </c>
      <c r="Y156" s="1">
        <v>3280000.0</v>
      </c>
      <c r="Z156" s="1"/>
      <c r="AA156" s="1">
        <v>3280000</v>
      </c>
      <c r="AB156" s="1"/>
      <c r="AC156" s="1" t="s">
        <v>36</v>
      </c>
      <c r="AD156" s="1" t="s">
        <v>676</v>
      </c>
      <c r="AE156" s="1" t="s">
        <v>32</v>
      </c>
      <c r="AF156" s="1" t="s">
        <v>33</v>
      </c>
      <c r="AG156" s="1" t="s">
        <v>270</v>
      </c>
    </row>
    <row r="157" spans="1:33">
      <c r="A157" t="s">
        <v>690</v>
      </c>
      <c r="C157" t="s">
        <v>691</v>
      </c>
      <c r="E157" t="s">
        <v>27</v>
      </c>
      <c r="F157" t="s">
        <v>634</v>
      </c>
      <c r="G157">
        <v>1.208</v>
      </c>
      <c r="H157">
        <v>1.208</v>
      </c>
      <c r="I157" t="s">
        <v>136</v>
      </c>
      <c r="J157" t="s">
        <v>137</v>
      </c>
      <c r="K157" t="s">
        <v>31</v>
      </c>
      <c r="L157" t="s">
        <v>32</v>
      </c>
      <c r="M157" t="s">
        <v>33</v>
      </c>
      <c r="P157" s="1" t="s">
        <v>692</v>
      </c>
      <c r="Q157" s="1" t="s">
        <v>27</v>
      </c>
      <c r="R157" s="1" t="s">
        <v>27</v>
      </c>
      <c r="S157" s="1"/>
      <c r="T157" s="1" t="s">
        <v>691</v>
      </c>
      <c r="U157" s="1"/>
      <c r="V157" s="1">
        <v>1.208</v>
      </c>
      <c r="W157" s="1">
        <v>1.208</v>
      </c>
      <c r="X157" s="1" t="s">
        <v>35</v>
      </c>
      <c r="Y157" s="1">
        <v>1208450.0</v>
      </c>
      <c r="Z157" s="1"/>
      <c r="AA157" s="1">
        <v>1208450</v>
      </c>
      <c r="AB157" s="1"/>
      <c r="AC157" s="1" t="s">
        <v>36</v>
      </c>
      <c r="AD157" s="1" t="s">
        <v>693</v>
      </c>
      <c r="AE157" s="1" t="s">
        <v>32</v>
      </c>
      <c r="AF157" s="1" t="s">
        <v>33</v>
      </c>
      <c r="AG157" s="1" t="s">
        <v>137</v>
      </c>
    </row>
    <row r="158" spans="1:33">
      <c r="A158" t="s">
        <v>694</v>
      </c>
      <c r="C158" t="s">
        <v>695</v>
      </c>
      <c r="D158" t="s">
        <v>114</v>
      </c>
      <c r="E158" t="s">
        <v>27</v>
      </c>
      <c r="F158" t="s">
        <v>28</v>
      </c>
      <c r="G158">
        <v>328.0</v>
      </c>
      <c r="H158">
        <v>328.0</v>
      </c>
      <c r="I158" t="s">
        <v>269</v>
      </c>
      <c r="J158" t="s">
        <v>270</v>
      </c>
      <c r="K158" t="s">
        <v>31</v>
      </c>
      <c r="L158" t="s">
        <v>32</v>
      </c>
      <c r="M158" t="s">
        <v>33</v>
      </c>
      <c r="P158" s="1" t="s">
        <v>696</v>
      </c>
      <c r="Q158" s="1" t="s">
        <v>27</v>
      </c>
      <c r="R158" s="1" t="s">
        <v>27</v>
      </c>
      <c r="S158" s="1"/>
      <c r="T158" s="1" t="s">
        <v>695</v>
      </c>
      <c r="U158" s="1"/>
      <c r="V158" s="1">
        <v>328.0</v>
      </c>
      <c r="W158" s="1">
        <v>328.0</v>
      </c>
      <c r="X158" s="1" t="s">
        <v>35</v>
      </c>
      <c r="Y158" s="1">
        <v>328000.0</v>
      </c>
      <c r="Z158" s="1"/>
      <c r="AA158" s="1">
        <v>328000</v>
      </c>
      <c r="AB158" s="1"/>
      <c r="AC158" s="1" t="s">
        <v>36</v>
      </c>
      <c r="AD158" s="1" t="s">
        <v>697</v>
      </c>
      <c r="AE158" s="1" t="s">
        <v>32</v>
      </c>
      <c r="AF158" s="1" t="s">
        <v>33</v>
      </c>
      <c r="AG158" s="1" t="s">
        <v>270</v>
      </c>
    </row>
    <row r="159" spans="1:33">
      <c r="A159" t="s">
        <v>698</v>
      </c>
      <c r="C159" t="s">
        <v>699</v>
      </c>
      <c r="D159" t="s">
        <v>154</v>
      </c>
      <c r="E159" t="s">
        <v>27</v>
      </c>
      <c r="F159" t="s">
        <v>634</v>
      </c>
      <c r="G159">
        <v>768.5</v>
      </c>
      <c r="H159">
        <v>768.5</v>
      </c>
      <c r="I159" t="s">
        <v>136</v>
      </c>
      <c r="J159" t="s">
        <v>137</v>
      </c>
      <c r="K159" t="s">
        <v>31</v>
      </c>
      <c r="L159" t="s">
        <v>32</v>
      </c>
      <c r="M159" t="s">
        <v>33</v>
      </c>
      <c r="P159" s="1" t="s">
        <v>700</v>
      </c>
      <c r="Q159" s="1" t="s">
        <v>27</v>
      </c>
      <c r="R159" s="1" t="s">
        <v>27</v>
      </c>
      <c r="S159" s="1"/>
      <c r="T159" s="1" t="s">
        <v>699</v>
      </c>
      <c r="U159" s="1"/>
      <c r="V159" s="1">
        <v>768.5</v>
      </c>
      <c r="W159" s="1">
        <v>768.5</v>
      </c>
      <c r="X159" s="1" t="s">
        <v>35</v>
      </c>
      <c r="Y159" s="1">
        <v>768500.0</v>
      </c>
      <c r="Z159" s="1"/>
      <c r="AA159" s="1">
        <v>768500</v>
      </c>
      <c r="AB159" s="1"/>
      <c r="AC159" s="1" t="s">
        <v>36</v>
      </c>
      <c r="AD159" s="1" t="s">
        <v>701</v>
      </c>
      <c r="AE159" s="1" t="s">
        <v>32</v>
      </c>
      <c r="AF159" s="1" t="s">
        <v>33</v>
      </c>
      <c r="AG159" s="1" t="s">
        <v>137</v>
      </c>
    </row>
    <row r="160" spans="1:33">
      <c r="A160" t="s">
        <v>702</v>
      </c>
      <c r="C160" t="s">
        <v>145</v>
      </c>
      <c r="E160" t="s">
        <v>27</v>
      </c>
      <c r="F160" t="s">
        <v>634</v>
      </c>
      <c r="G160">
        <v>873.15</v>
      </c>
      <c r="H160">
        <v>873.15</v>
      </c>
      <c r="I160" t="s">
        <v>136</v>
      </c>
      <c r="J160" t="s">
        <v>137</v>
      </c>
      <c r="K160" t="s">
        <v>31</v>
      </c>
      <c r="L160" t="s">
        <v>32</v>
      </c>
      <c r="M160" t="s">
        <v>33</v>
      </c>
      <c r="P160" s="1" t="s">
        <v>703</v>
      </c>
      <c r="Q160" s="1" t="s">
        <v>27</v>
      </c>
      <c r="R160" s="1" t="s">
        <v>27</v>
      </c>
      <c r="S160" s="1"/>
      <c r="T160" s="1" t="s">
        <v>145</v>
      </c>
      <c r="U160" s="1"/>
      <c r="V160" s="1">
        <v>873.15</v>
      </c>
      <c r="W160" s="1">
        <v>873.15</v>
      </c>
      <c r="X160" s="1" t="s">
        <v>35</v>
      </c>
      <c r="Y160" s="1">
        <v>873150.0</v>
      </c>
      <c r="Z160" s="1"/>
      <c r="AA160" s="1">
        <v>873150</v>
      </c>
      <c r="AB160" s="1"/>
      <c r="AC160" s="1" t="s">
        <v>36</v>
      </c>
      <c r="AD160" s="1" t="s">
        <v>662</v>
      </c>
      <c r="AE160" s="1" t="s">
        <v>32</v>
      </c>
      <c r="AF160" s="1" t="s">
        <v>33</v>
      </c>
      <c r="AG160" s="1" t="s">
        <v>137</v>
      </c>
    </row>
    <row r="161" spans="1:33">
      <c r="A161" t="s">
        <v>704</v>
      </c>
      <c r="B161" t="s">
        <v>705</v>
      </c>
      <c r="C161" t="s">
        <v>268</v>
      </c>
      <c r="E161" t="s">
        <v>27</v>
      </c>
      <c r="F161" t="s">
        <v>28</v>
      </c>
      <c r="G161">
        <v>16.9</v>
      </c>
      <c r="H161">
        <v>16.9</v>
      </c>
      <c r="I161" t="s">
        <v>269</v>
      </c>
      <c r="J161" t="s">
        <v>270</v>
      </c>
      <c r="K161" t="s">
        <v>31</v>
      </c>
      <c r="L161" t="s">
        <v>32</v>
      </c>
      <c r="M161" t="s">
        <v>33</v>
      </c>
      <c r="P161" s="1" t="s">
        <v>706</v>
      </c>
      <c r="Q161" s="1" t="s">
        <v>27</v>
      </c>
      <c r="R161" s="1" t="s">
        <v>27</v>
      </c>
      <c r="S161" s="1"/>
      <c r="T161" s="1" t="s">
        <v>268</v>
      </c>
      <c r="U161" s="1"/>
      <c r="V161" s="1">
        <v>16.9</v>
      </c>
      <c r="W161" s="1">
        <v>16.9</v>
      </c>
      <c r="X161" s="1" t="s">
        <v>35</v>
      </c>
      <c r="Y161" s="1">
        <v>16900.0</v>
      </c>
      <c r="Z161" s="1"/>
      <c r="AA161" s="1">
        <v>16900</v>
      </c>
      <c r="AB161" s="1"/>
      <c r="AC161" s="1" t="s">
        <v>36</v>
      </c>
      <c r="AD161" s="1" t="s">
        <v>707</v>
      </c>
      <c r="AE161" s="1" t="s">
        <v>32</v>
      </c>
      <c r="AF161" s="1" t="s">
        <v>33</v>
      </c>
      <c r="AG161" s="1" t="s">
        <v>270</v>
      </c>
    </row>
    <row r="162" spans="1:33">
      <c r="A162" t="s">
        <v>708</v>
      </c>
      <c r="C162" t="s">
        <v>135</v>
      </c>
      <c r="E162" t="s">
        <v>27</v>
      </c>
      <c r="F162" t="s">
        <v>634</v>
      </c>
      <c r="G162">
        <v>73.1</v>
      </c>
      <c r="H162">
        <v>73.1</v>
      </c>
      <c r="I162" t="s">
        <v>136</v>
      </c>
      <c r="J162" t="s">
        <v>137</v>
      </c>
      <c r="K162" t="s">
        <v>31</v>
      </c>
      <c r="L162" t="s">
        <v>32</v>
      </c>
      <c r="M162" t="s">
        <v>33</v>
      </c>
      <c r="P162" s="1" t="s">
        <v>709</v>
      </c>
      <c r="Q162" s="1" t="s">
        <v>27</v>
      </c>
      <c r="R162" s="1" t="s">
        <v>27</v>
      </c>
      <c r="S162" s="1"/>
      <c r="T162" s="1" t="s">
        <v>135</v>
      </c>
      <c r="U162" s="1"/>
      <c r="V162" s="1">
        <v>73.1</v>
      </c>
      <c r="W162" s="1">
        <v>73.1</v>
      </c>
      <c r="X162" s="1" t="s">
        <v>35</v>
      </c>
      <c r="Y162" s="1">
        <v>73100.0</v>
      </c>
      <c r="Z162" s="1"/>
      <c r="AA162" s="1">
        <v>73100</v>
      </c>
      <c r="AB162" s="1"/>
      <c r="AC162" s="1" t="s">
        <v>36</v>
      </c>
      <c r="AD162" s="1" t="s">
        <v>710</v>
      </c>
      <c r="AE162" s="1" t="s">
        <v>32</v>
      </c>
      <c r="AF162" s="1" t="s">
        <v>33</v>
      </c>
      <c r="AG162" s="1" t="s">
        <v>137</v>
      </c>
    </row>
    <row r="163" spans="1:33">
      <c r="A163" t="s">
        <v>711</v>
      </c>
      <c r="B163" t="s">
        <v>712</v>
      </c>
      <c r="C163" t="s">
        <v>713</v>
      </c>
      <c r="E163" t="s">
        <v>27</v>
      </c>
      <c r="F163" t="s">
        <v>28</v>
      </c>
      <c r="G163">
        <v>140.0</v>
      </c>
      <c r="H163">
        <v>140.0</v>
      </c>
      <c r="I163" t="s">
        <v>59</v>
      </c>
      <c r="J163" t="s">
        <v>60</v>
      </c>
      <c r="K163" t="s">
        <v>31</v>
      </c>
      <c r="L163" t="s">
        <v>32</v>
      </c>
      <c r="M163" t="s">
        <v>33</v>
      </c>
      <c r="P163" s="1" t="s">
        <v>714</v>
      </c>
      <c r="Q163" s="1" t="s">
        <v>27</v>
      </c>
      <c r="R163" s="1" t="s">
        <v>27</v>
      </c>
      <c r="S163" s="1"/>
      <c r="T163" s="1" t="s">
        <v>713</v>
      </c>
      <c r="U163" s="1"/>
      <c r="V163" s="1">
        <v>140.0</v>
      </c>
      <c r="W163" s="1">
        <v>140.0</v>
      </c>
      <c r="X163" s="1" t="s">
        <v>35</v>
      </c>
      <c r="Y163" s="1">
        <v>140000.0</v>
      </c>
      <c r="Z163" s="1"/>
      <c r="AA163" s="1">
        <v>140000</v>
      </c>
      <c r="AB163" s="1"/>
      <c r="AC163" s="1" t="s">
        <v>36</v>
      </c>
      <c r="AD163" s="1" t="s">
        <v>715</v>
      </c>
      <c r="AE163" s="1" t="s">
        <v>32</v>
      </c>
      <c r="AF163" s="1" t="s">
        <v>33</v>
      </c>
      <c r="AG163" s="1" t="s">
        <v>60</v>
      </c>
    </row>
    <row r="164" spans="1:33">
      <c r="A164" t="s">
        <v>716</v>
      </c>
      <c r="B164" t="s">
        <v>717</v>
      </c>
      <c r="C164" t="s">
        <v>569</v>
      </c>
      <c r="E164" t="s">
        <v>27</v>
      </c>
      <c r="F164" t="s">
        <v>28</v>
      </c>
      <c r="G164">
        <v>16.995</v>
      </c>
      <c r="H164">
        <v>16.995</v>
      </c>
      <c r="I164" t="s">
        <v>570</v>
      </c>
      <c r="J164" t="s">
        <v>571</v>
      </c>
      <c r="K164" t="s">
        <v>31</v>
      </c>
      <c r="L164" t="s">
        <v>32</v>
      </c>
      <c r="M164" t="s">
        <v>33</v>
      </c>
      <c r="P164" s="1" t="s">
        <v>718</v>
      </c>
      <c r="Q164" s="1" t="s">
        <v>27</v>
      </c>
      <c r="R164" s="1" t="s">
        <v>27</v>
      </c>
      <c r="S164" s="1"/>
      <c r="T164" s="1" t="s">
        <v>569</v>
      </c>
      <c r="U164" s="1"/>
      <c r="V164" s="1">
        <v>16.995</v>
      </c>
      <c r="W164" s="1">
        <v>16.995</v>
      </c>
      <c r="X164" s="1" t="s">
        <v>35</v>
      </c>
      <c r="Y164" s="1">
        <v>16995.0</v>
      </c>
      <c r="Z164" s="1"/>
      <c r="AA164" s="1">
        <v>16995</v>
      </c>
      <c r="AB164" s="1"/>
      <c r="AC164" s="1" t="s">
        <v>36</v>
      </c>
      <c r="AD164" s="1" t="s">
        <v>719</v>
      </c>
      <c r="AE164" s="1" t="s">
        <v>32</v>
      </c>
      <c r="AF164" s="1" t="s">
        <v>33</v>
      </c>
      <c r="AG164" s="1" t="s">
        <v>571</v>
      </c>
    </row>
    <row r="165" spans="1:33">
      <c r="A165" t="s">
        <v>720</v>
      </c>
      <c r="C165" t="s">
        <v>721</v>
      </c>
      <c r="E165" t="s">
        <v>27</v>
      </c>
      <c r="F165" t="s">
        <v>28</v>
      </c>
      <c r="G165">
        <v>76.98</v>
      </c>
      <c r="H165">
        <v>76.98</v>
      </c>
      <c r="I165" t="s">
        <v>40</v>
      </c>
      <c r="J165" t="s">
        <v>41</v>
      </c>
      <c r="K165" t="s">
        <v>31</v>
      </c>
      <c r="L165" t="s">
        <v>32</v>
      </c>
      <c r="M165" t="s">
        <v>33</v>
      </c>
      <c r="P165" s="1" t="s">
        <v>722</v>
      </c>
      <c r="Q165" s="1" t="s">
        <v>27</v>
      </c>
      <c r="R165" s="1" t="s">
        <v>43</v>
      </c>
      <c r="S165" s="1"/>
      <c r="T165" s="1" t="s">
        <v>721</v>
      </c>
      <c r="U165" s="1"/>
      <c r="V165" s="1">
        <v>76.98</v>
      </c>
      <c r="W165" s="1">
        <v>76.98</v>
      </c>
      <c r="X165" s="1" t="s">
        <v>35</v>
      </c>
      <c r="Y165" s="1">
        <v>76980.0</v>
      </c>
      <c r="Z165" s="1"/>
      <c r="AA165" s="1">
        <v>76980</v>
      </c>
      <c r="AB165" s="1"/>
      <c r="AC165" s="1" t="s">
        <v>36</v>
      </c>
      <c r="AD165" s="1" t="s">
        <v>723</v>
      </c>
      <c r="AE165" s="1" t="s">
        <v>32</v>
      </c>
      <c r="AF165" s="1" t="s">
        <v>33</v>
      </c>
      <c r="AG165" s="1" t="s">
        <v>41</v>
      </c>
    </row>
    <row r="166" spans="1:33">
      <c r="A166" t="s">
        <v>724</v>
      </c>
      <c r="C166" t="s">
        <v>725</v>
      </c>
      <c r="E166" t="s">
        <v>27</v>
      </c>
      <c r="F166" t="s">
        <v>634</v>
      </c>
      <c r="G166">
        <v>2.176</v>
      </c>
      <c r="H166">
        <v>2.176</v>
      </c>
      <c r="I166" t="s">
        <v>136</v>
      </c>
      <c r="J166" t="s">
        <v>137</v>
      </c>
      <c r="K166" t="s">
        <v>31</v>
      </c>
      <c r="L166" t="s">
        <v>32</v>
      </c>
      <c r="M166" t="s">
        <v>33</v>
      </c>
      <c r="P166" s="1" t="s">
        <v>726</v>
      </c>
      <c r="Q166" s="1" t="s">
        <v>27</v>
      </c>
      <c r="R166" s="1" t="s">
        <v>27</v>
      </c>
      <c r="S166" s="1"/>
      <c r="T166" s="1" t="s">
        <v>725</v>
      </c>
      <c r="U166" s="1"/>
      <c r="V166" s="1">
        <v>2.176</v>
      </c>
      <c r="W166" s="1">
        <v>2.176</v>
      </c>
      <c r="X166" s="1" t="s">
        <v>35</v>
      </c>
      <c r="Y166" s="1">
        <v>2176000.0</v>
      </c>
      <c r="Z166" s="1"/>
      <c r="AA166" s="1">
        <v>2176000</v>
      </c>
      <c r="AB166" s="1"/>
      <c r="AC166" s="1" t="s">
        <v>36</v>
      </c>
      <c r="AD166" s="1" t="s">
        <v>707</v>
      </c>
      <c r="AE166" s="1" t="s">
        <v>32</v>
      </c>
      <c r="AF166" s="1" t="s">
        <v>33</v>
      </c>
      <c r="AG166" s="1" t="s">
        <v>137</v>
      </c>
    </row>
    <row r="167" spans="1:33">
      <c r="A167" t="s">
        <v>727</v>
      </c>
      <c r="B167" t="s">
        <v>728</v>
      </c>
      <c r="C167" t="s">
        <v>569</v>
      </c>
      <c r="E167" t="s">
        <v>27</v>
      </c>
      <c r="F167" t="s">
        <v>28</v>
      </c>
      <c r="G167">
        <v>4.36</v>
      </c>
      <c r="H167">
        <v>4.36</v>
      </c>
      <c r="I167" t="s">
        <v>570</v>
      </c>
      <c r="J167" t="s">
        <v>571</v>
      </c>
      <c r="K167" t="s">
        <v>31</v>
      </c>
      <c r="L167" t="s">
        <v>32</v>
      </c>
      <c r="M167" t="s">
        <v>33</v>
      </c>
      <c r="P167" s="1" t="s">
        <v>729</v>
      </c>
      <c r="Q167" s="1" t="s">
        <v>27</v>
      </c>
      <c r="R167" s="1" t="s">
        <v>27</v>
      </c>
      <c r="S167" s="1"/>
      <c r="T167" s="1" t="s">
        <v>569</v>
      </c>
      <c r="U167" s="1"/>
      <c r="V167" s="1">
        <v>4.36</v>
      </c>
      <c r="W167" s="1">
        <v>4.36</v>
      </c>
      <c r="X167" s="1" t="s">
        <v>35</v>
      </c>
      <c r="Y167" s="1">
        <v>4360.0</v>
      </c>
      <c r="Z167" s="1"/>
      <c r="AA167" s="1">
        <v>4360</v>
      </c>
      <c r="AB167" s="1"/>
      <c r="AC167" s="1" t="s">
        <v>36</v>
      </c>
      <c r="AD167" s="1" t="s">
        <v>730</v>
      </c>
      <c r="AE167" s="1" t="s">
        <v>32</v>
      </c>
      <c r="AF167" s="1" t="s">
        <v>33</v>
      </c>
      <c r="AG167" s="1" t="s">
        <v>571</v>
      </c>
    </row>
    <row r="168" spans="1:33">
      <c r="A168" t="s">
        <v>731</v>
      </c>
      <c r="C168" t="s">
        <v>732</v>
      </c>
      <c r="E168" t="s">
        <v>27</v>
      </c>
      <c r="F168" t="s">
        <v>634</v>
      </c>
      <c r="G168">
        <v>986.95</v>
      </c>
      <c r="H168">
        <v>986.95</v>
      </c>
      <c r="I168" t="s">
        <v>136</v>
      </c>
      <c r="J168" t="s">
        <v>137</v>
      </c>
      <c r="K168" t="s">
        <v>31</v>
      </c>
      <c r="L168" t="s">
        <v>32</v>
      </c>
      <c r="M168" t="s">
        <v>33</v>
      </c>
      <c r="P168" s="1" t="s">
        <v>733</v>
      </c>
      <c r="Q168" s="1" t="s">
        <v>27</v>
      </c>
      <c r="R168" s="1" t="s">
        <v>27</v>
      </c>
      <c r="S168" s="1"/>
      <c r="T168" s="1" t="s">
        <v>732</v>
      </c>
      <c r="U168" s="1"/>
      <c r="V168" s="1">
        <v>986.95</v>
      </c>
      <c r="W168" s="1">
        <v>986.95</v>
      </c>
      <c r="X168" s="1" t="s">
        <v>35</v>
      </c>
      <c r="Y168" s="1">
        <v>986950.0</v>
      </c>
      <c r="Z168" s="1"/>
      <c r="AA168" s="1">
        <v>986950</v>
      </c>
      <c r="AB168" s="1"/>
      <c r="AC168" s="1" t="s">
        <v>36</v>
      </c>
      <c r="AD168" s="1" t="s">
        <v>632</v>
      </c>
      <c r="AE168" s="1" t="s">
        <v>32</v>
      </c>
      <c r="AF168" s="1" t="s">
        <v>33</v>
      </c>
      <c r="AG168" s="1" t="s">
        <v>137</v>
      </c>
    </row>
    <row r="169" spans="1:33">
      <c r="A169" t="s">
        <v>734</v>
      </c>
      <c r="B169" t="s">
        <v>735</v>
      </c>
      <c r="C169" t="s">
        <v>736</v>
      </c>
      <c r="E169" t="s">
        <v>27</v>
      </c>
      <c r="F169" t="s">
        <v>28</v>
      </c>
      <c r="G169">
        <v>370.0</v>
      </c>
      <c r="H169">
        <v>370.0</v>
      </c>
      <c r="I169" t="s">
        <v>59</v>
      </c>
      <c r="J169" t="s">
        <v>60</v>
      </c>
      <c r="K169" t="s">
        <v>31</v>
      </c>
      <c r="L169" t="s">
        <v>32</v>
      </c>
      <c r="M169" t="s">
        <v>33</v>
      </c>
      <c r="P169" s="1" t="s">
        <v>737</v>
      </c>
      <c r="Q169" s="1" t="s">
        <v>27</v>
      </c>
      <c r="R169" s="1" t="s">
        <v>27</v>
      </c>
      <c r="S169" s="1"/>
      <c r="T169" s="1" t="s">
        <v>736</v>
      </c>
      <c r="U169" s="1"/>
      <c r="V169" s="1">
        <v>370.0</v>
      </c>
      <c r="W169" s="1">
        <v>370.0</v>
      </c>
      <c r="X169" s="1" t="s">
        <v>35</v>
      </c>
      <c r="Y169" s="1">
        <v>370000.0</v>
      </c>
      <c r="Z169" s="1"/>
      <c r="AA169" s="1">
        <v>370000</v>
      </c>
      <c r="AB169" s="1"/>
      <c r="AC169" s="1" t="s">
        <v>36</v>
      </c>
      <c r="AD169" s="1" t="s">
        <v>738</v>
      </c>
      <c r="AE169" s="1" t="s">
        <v>32</v>
      </c>
      <c r="AF169" s="1" t="s">
        <v>33</v>
      </c>
      <c r="AG169" s="1" t="s">
        <v>60</v>
      </c>
    </row>
    <row r="170" spans="1:33">
      <c r="A170" t="s">
        <v>739</v>
      </c>
      <c r="C170" t="s">
        <v>740</v>
      </c>
      <c r="D170" t="s">
        <v>114</v>
      </c>
      <c r="E170" t="s">
        <v>27</v>
      </c>
      <c r="F170" t="s">
        <v>28</v>
      </c>
      <c r="G170">
        <v>20.99</v>
      </c>
      <c r="H170">
        <v>20.99</v>
      </c>
      <c r="I170" t="s">
        <v>40</v>
      </c>
      <c r="J170" t="s">
        <v>41</v>
      </c>
      <c r="K170" t="s">
        <v>31</v>
      </c>
      <c r="L170" t="s">
        <v>32</v>
      </c>
      <c r="M170" t="s">
        <v>33</v>
      </c>
      <c r="P170" s="1" t="s">
        <v>741</v>
      </c>
      <c r="Q170" s="1" t="s">
        <v>27</v>
      </c>
      <c r="R170" s="1" t="s">
        <v>43</v>
      </c>
      <c r="S170" s="1"/>
      <c r="T170" s="1" t="s">
        <v>740</v>
      </c>
      <c r="U170" s="1"/>
      <c r="V170" s="1">
        <v>20.99</v>
      </c>
      <c r="W170" s="1">
        <v>20.99</v>
      </c>
      <c r="X170" s="1" t="s">
        <v>35</v>
      </c>
      <c r="Y170" s="1">
        <v>21000.0</v>
      </c>
      <c r="Z170" s="1">
        <v>-10</v>
      </c>
      <c r="AA170" s="1">
        <v>21000</v>
      </c>
      <c r="AB170" s="1">
        <v>-10</v>
      </c>
      <c r="AC170" s="1" t="s">
        <v>36</v>
      </c>
      <c r="AD170" s="1" t="s">
        <v>738</v>
      </c>
      <c r="AE170" s="1" t="s">
        <v>32</v>
      </c>
      <c r="AF170" s="1" t="s">
        <v>33</v>
      </c>
      <c r="AG170" s="1" t="s">
        <v>41</v>
      </c>
    </row>
    <row r="171" spans="1:33">
      <c r="A171" t="s">
        <v>742</v>
      </c>
      <c r="B171" t="s">
        <v>743</v>
      </c>
      <c r="C171" t="s">
        <v>744</v>
      </c>
      <c r="E171" t="s">
        <v>27</v>
      </c>
      <c r="F171" t="s">
        <v>28</v>
      </c>
      <c r="G171">
        <v>370.0</v>
      </c>
      <c r="H171">
        <v>370.0</v>
      </c>
      <c r="I171" t="s">
        <v>59</v>
      </c>
      <c r="J171" t="s">
        <v>60</v>
      </c>
      <c r="K171" t="s">
        <v>31</v>
      </c>
      <c r="L171" t="s">
        <v>32</v>
      </c>
      <c r="M171" t="s">
        <v>33</v>
      </c>
      <c r="P171" s="1" t="s">
        <v>745</v>
      </c>
      <c r="Q171" s="1" t="s">
        <v>27</v>
      </c>
      <c r="R171" s="1" t="s">
        <v>27</v>
      </c>
      <c r="S171" s="1"/>
      <c r="T171" s="1" t="s">
        <v>744</v>
      </c>
      <c r="U171" s="1"/>
      <c r="V171" s="1">
        <v>370.0</v>
      </c>
      <c r="W171" s="1">
        <v>370.0</v>
      </c>
      <c r="X171" s="1" t="s">
        <v>35</v>
      </c>
      <c r="Y171" s="1">
        <v>370000.0</v>
      </c>
      <c r="Z171" s="1"/>
      <c r="AA171" s="1">
        <v>370000</v>
      </c>
      <c r="AB171" s="1"/>
      <c r="AC171" s="1" t="s">
        <v>36</v>
      </c>
      <c r="AD171" s="1" t="s">
        <v>701</v>
      </c>
      <c r="AE171" s="1" t="s">
        <v>32</v>
      </c>
      <c r="AF171" s="1" t="s">
        <v>33</v>
      </c>
      <c r="AG171" s="1" t="s">
        <v>60</v>
      </c>
    </row>
    <row r="172" spans="1:33">
      <c r="A172" t="s">
        <v>746</v>
      </c>
      <c r="C172" t="s">
        <v>747</v>
      </c>
      <c r="E172" t="s">
        <v>27</v>
      </c>
      <c r="F172" t="s">
        <v>634</v>
      </c>
      <c r="G172">
        <v>820.0</v>
      </c>
      <c r="H172">
        <v>820.0</v>
      </c>
      <c r="I172" t="s">
        <v>136</v>
      </c>
      <c r="J172" t="s">
        <v>137</v>
      </c>
      <c r="K172" t="s">
        <v>31</v>
      </c>
      <c r="L172" t="s">
        <v>32</v>
      </c>
      <c r="M172" t="s">
        <v>33</v>
      </c>
      <c r="P172" s="1" t="s">
        <v>748</v>
      </c>
      <c r="Q172" s="1" t="s">
        <v>27</v>
      </c>
      <c r="R172" s="1" t="s">
        <v>27</v>
      </c>
      <c r="S172" s="1"/>
      <c r="T172" s="1" t="s">
        <v>747</v>
      </c>
      <c r="U172" s="1"/>
      <c r="V172" s="1">
        <v>820.0</v>
      </c>
      <c r="W172" s="1">
        <v>820.0</v>
      </c>
      <c r="X172" s="1" t="s">
        <v>35</v>
      </c>
      <c r="Y172" s="1">
        <v>820000.0</v>
      </c>
      <c r="Z172" s="1"/>
      <c r="AA172" s="1">
        <v>820000</v>
      </c>
      <c r="AB172" s="1"/>
      <c r="AC172" s="1" t="s">
        <v>36</v>
      </c>
      <c r="AD172" s="1" t="s">
        <v>749</v>
      </c>
      <c r="AE172" s="1" t="s">
        <v>32</v>
      </c>
      <c r="AF172" s="1" t="s">
        <v>33</v>
      </c>
      <c r="AG172" s="1" t="s">
        <v>137</v>
      </c>
    </row>
    <row r="173" spans="1:33">
      <c r="A173" t="s">
        <v>750</v>
      </c>
      <c r="C173" t="s">
        <v>751</v>
      </c>
      <c r="E173" t="s">
        <v>27</v>
      </c>
      <c r="F173" t="s">
        <v>28</v>
      </c>
      <c r="G173">
        <v>168.0</v>
      </c>
      <c r="H173">
        <v>168.0</v>
      </c>
      <c r="I173" t="s">
        <v>269</v>
      </c>
      <c r="J173" t="s">
        <v>270</v>
      </c>
      <c r="K173" t="s">
        <v>31</v>
      </c>
      <c r="L173" t="s">
        <v>32</v>
      </c>
      <c r="M173" t="s">
        <v>33</v>
      </c>
      <c r="P173" s="1" t="s">
        <v>752</v>
      </c>
      <c r="Q173" s="1" t="s">
        <v>27</v>
      </c>
      <c r="R173" s="1" t="s">
        <v>27</v>
      </c>
      <c r="S173" s="1"/>
      <c r="T173" s="1" t="s">
        <v>751</v>
      </c>
      <c r="U173" s="1"/>
      <c r="V173" s="1">
        <v>168.0</v>
      </c>
      <c r="W173" s="1">
        <v>168.0</v>
      </c>
      <c r="X173" s="1" t="s">
        <v>35</v>
      </c>
      <c r="Y173" s="1">
        <v>168000.0</v>
      </c>
      <c r="Z173" s="1"/>
      <c r="AA173" s="1">
        <v>168000</v>
      </c>
      <c r="AB173" s="1"/>
      <c r="AC173" s="1" t="s">
        <v>36</v>
      </c>
      <c r="AD173" s="1" t="s">
        <v>753</v>
      </c>
      <c r="AE173" s="1" t="s">
        <v>32</v>
      </c>
      <c r="AF173" s="1" t="s">
        <v>33</v>
      </c>
      <c r="AG173" s="1" t="s">
        <v>270</v>
      </c>
    </row>
    <row r="174" spans="1:33">
      <c r="A174" t="s">
        <v>754</v>
      </c>
      <c r="C174" t="s">
        <v>755</v>
      </c>
      <c r="E174" t="s">
        <v>27</v>
      </c>
      <c r="F174" t="s">
        <v>634</v>
      </c>
      <c r="G174">
        <v>889.5</v>
      </c>
      <c r="H174">
        <v>889.5</v>
      </c>
      <c r="I174" t="s">
        <v>136</v>
      </c>
      <c r="J174" t="s">
        <v>137</v>
      </c>
      <c r="K174" t="s">
        <v>31</v>
      </c>
      <c r="L174" t="s">
        <v>32</v>
      </c>
      <c r="M174" t="s">
        <v>33</v>
      </c>
      <c r="P174" s="1" t="s">
        <v>756</v>
      </c>
      <c r="Q174" s="1" t="s">
        <v>27</v>
      </c>
      <c r="R174" s="1" t="s">
        <v>27</v>
      </c>
      <c r="S174" s="1"/>
      <c r="T174" s="1" t="s">
        <v>757</v>
      </c>
      <c r="U174" s="1" t="s">
        <v>758</v>
      </c>
      <c r="V174" s="1">
        <v>889.5</v>
      </c>
      <c r="W174" s="1">
        <v>889.5</v>
      </c>
      <c r="X174" s="1" t="s">
        <v>35</v>
      </c>
      <c r="Y174" s="1">
        <v>889500.0</v>
      </c>
      <c r="Z174" s="1"/>
      <c r="AA174" s="1">
        <v>889500</v>
      </c>
      <c r="AB174" s="1"/>
      <c r="AC174" s="1" t="s">
        <v>36</v>
      </c>
      <c r="AD174" s="1" t="s">
        <v>738</v>
      </c>
      <c r="AE174" s="1" t="s">
        <v>32</v>
      </c>
      <c r="AF174" s="1" t="s">
        <v>33</v>
      </c>
      <c r="AG174" s="1" t="s">
        <v>137</v>
      </c>
    </row>
    <row r="175" spans="1:33">
      <c r="A175" t="s">
        <v>759</v>
      </c>
      <c r="C175" t="s">
        <v>135</v>
      </c>
      <c r="E175" t="s">
        <v>27</v>
      </c>
      <c r="F175" t="s">
        <v>28</v>
      </c>
      <c r="G175">
        <v>21.99</v>
      </c>
      <c r="H175">
        <v>21.99</v>
      </c>
      <c r="I175" t="s">
        <v>136</v>
      </c>
      <c r="J175" t="s">
        <v>137</v>
      </c>
      <c r="K175" t="s">
        <v>31</v>
      </c>
      <c r="L175" t="s">
        <v>32</v>
      </c>
      <c r="M175" t="s">
        <v>33</v>
      </c>
      <c r="P175" s="1" t="s">
        <v>760</v>
      </c>
      <c r="Q175" s="1" t="s">
        <v>27</v>
      </c>
      <c r="R175" s="1" t="s">
        <v>27</v>
      </c>
      <c r="S175" s="1"/>
      <c r="T175" s="1" t="s">
        <v>135</v>
      </c>
      <c r="U175" s="1"/>
      <c r="V175" s="1">
        <v>21.99</v>
      </c>
      <c r="W175" s="1">
        <v>21.99</v>
      </c>
      <c r="X175" s="1" t="s">
        <v>35</v>
      </c>
      <c r="Y175" s="1">
        <v>21990.0</v>
      </c>
      <c r="Z175" s="1"/>
      <c r="AA175" s="1">
        <v>21990</v>
      </c>
      <c r="AB175" s="1"/>
      <c r="AC175" s="1" t="s">
        <v>36</v>
      </c>
      <c r="AD175" s="1" t="s">
        <v>761</v>
      </c>
      <c r="AE175" s="1" t="s">
        <v>32</v>
      </c>
      <c r="AF175" s="1" t="s">
        <v>33</v>
      </c>
      <c r="AG175" s="1" t="s">
        <v>137</v>
      </c>
    </row>
    <row r="176" spans="1:33">
      <c r="A176" t="s">
        <v>762</v>
      </c>
      <c r="C176" t="s">
        <v>763</v>
      </c>
      <c r="E176" t="s">
        <v>27</v>
      </c>
      <c r="F176" t="s">
        <v>28</v>
      </c>
      <c r="G176">
        <v>2.012</v>
      </c>
      <c r="H176">
        <v>2.012</v>
      </c>
      <c r="I176" t="s">
        <v>179</v>
      </c>
      <c r="J176" t="s">
        <v>180</v>
      </c>
      <c r="K176" t="s">
        <v>31</v>
      </c>
      <c r="L176" t="s">
        <v>32</v>
      </c>
      <c r="M176" t="s">
        <v>33</v>
      </c>
      <c r="P176" s="1" t="s">
        <v>764</v>
      </c>
      <c r="Q176" s="1" t="s">
        <v>27</v>
      </c>
      <c r="R176" s="1" t="s">
        <v>27</v>
      </c>
      <c r="S176" s="1"/>
      <c r="T176" s="1" t="s">
        <v>763</v>
      </c>
      <c r="U176" s="1"/>
      <c r="V176" s="1">
        <v>2.012</v>
      </c>
      <c r="W176" s="1">
        <v>2.012</v>
      </c>
      <c r="X176" s="1" t="s">
        <v>35</v>
      </c>
      <c r="Y176" s="1">
        <v>2012200.0</v>
      </c>
      <c r="Z176" s="1"/>
      <c r="AA176" s="1">
        <v>2012200</v>
      </c>
      <c r="AB176" s="1"/>
      <c r="AC176" s="1" t="s">
        <v>36</v>
      </c>
      <c r="AD176" s="1" t="s">
        <v>765</v>
      </c>
      <c r="AE176" s="1" t="s">
        <v>32</v>
      </c>
      <c r="AF176" s="1" t="s">
        <v>33</v>
      </c>
      <c r="AG176" s="1" t="s">
        <v>180</v>
      </c>
    </row>
    <row r="177" spans="1:33">
      <c r="A177" t="s">
        <v>766</v>
      </c>
      <c r="B177" t="s">
        <v>767</v>
      </c>
      <c r="C177" t="s">
        <v>314</v>
      </c>
      <c r="E177" t="s">
        <v>27</v>
      </c>
      <c r="F177" t="s">
        <v>28</v>
      </c>
      <c r="G177">
        <v>120.5</v>
      </c>
      <c r="H177">
        <v>120.5</v>
      </c>
      <c r="I177" t="s">
        <v>179</v>
      </c>
      <c r="J177" t="s">
        <v>180</v>
      </c>
      <c r="K177" t="s">
        <v>31</v>
      </c>
      <c r="L177" t="s">
        <v>32</v>
      </c>
      <c r="M177" t="s">
        <v>33</v>
      </c>
      <c r="P177" s="1" t="s">
        <v>768</v>
      </c>
      <c r="Q177" s="1" t="s">
        <v>27</v>
      </c>
      <c r="R177" s="1" t="s">
        <v>27</v>
      </c>
      <c r="S177" s="1"/>
      <c r="T177" s="1" t="s">
        <v>314</v>
      </c>
      <c r="U177" s="1"/>
      <c r="V177" s="1">
        <v>120.5</v>
      </c>
      <c r="W177" s="1">
        <v>120.5</v>
      </c>
      <c r="X177" s="1" t="s">
        <v>35</v>
      </c>
      <c r="Y177" s="1">
        <v>120500</v>
      </c>
      <c r="Z177" s="1"/>
      <c r="AA177" s="1">
        <v>120500</v>
      </c>
      <c r="AB177" s="1"/>
      <c r="AC177" s="1" t="s">
        <v>36</v>
      </c>
      <c r="AD177" s="1" t="s">
        <v>769</v>
      </c>
      <c r="AE177" s="1" t="s">
        <v>32</v>
      </c>
      <c r="AF177" s="1" t="s">
        <v>33</v>
      </c>
      <c r="AG177" s="1" t="s">
        <v>180</v>
      </c>
    </row>
    <row r="178" spans="1:33">
      <c r="A178" t="s">
        <v>770</v>
      </c>
      <c r="C178" t="s">
        <v>771</v>
      </c>
      <c r="E178" t="s">
        <v>27</v>
      </c>
      <c r="F178" t="s">
        <v>28</v>
      </c>
      <c r="G178">
        <v>729.0</v>
      </c>
      <c r="H178">
        <v>729.0</v>
      </c>
      <c r="I178" t="s">
        <v>269</v>
      </c>
      <c r="J178" t="s">
        <v>270</v>
      </c>
      <c r="K178" t="s">
        <v>31</v>
      </c>
      <c r="L178" t="s">
        <v>32</v>
      </c>
      <c r="M178" t="s">
        <v>33</v>
      </c>
      <c r="P178" s="1" t="s">
        <v>772</v>
      </c>
      <c r="Q178" s="1" t="s">
        <v>27</v>
      </c>
      <c r="R178" s="1" t="s">
        <v>27</v>
      </c>
      <c r="S178" s="1"/>
      <c r="T178" s="1" t="s">
        <v>771</v>
      </c>
      <c r="U178" s="1"/>
      <c r="V178" s="1">
        <v>729.0</v>
      </c>
      <c r="W178" s="1">
        <v>729.0</v>
      </c>
      <c r="X178" s="1" t="s">
        <v>35</v>
      </c>
      <c r="Y178" s="1">
        <v>729000.0</v>
      </c>
      <c r="Z178" s="1"/>
      <c r="AA178" s="1">
        <v>729000</v>
      </c>
      <c r="AB178" s="1"/>
      <c r="AC178" s="1" t="s">
        <v>36</v>
      </c>
      <c r="AD178" s="1" t="s">
        <v>773</v>
      </c>
      <c r="AE178" s="1" t="s">
        <v>32</v>
      </c>
      <c r="AF178" s="1" t="s">
        <v>33</v>
      </c>
      <c r="AG178" s="1" t="s">
        <v>270</v>
      </c>
    </row>
    <row r="179" spans="1:33">
      <c r="A179" t="s">
        <v>774</v>
      </c>
      <c r="C179" t="s">
        <v>554</v>
      </c>
      <c r="E179" t="s">
        <v>27</v>
      </c>
      <c r="F179" t="s">
        <v>634</v>
      </c>
      <c r="G179">
        <v>637.5</v>
      </c>
      <c r="H179">
        <v>637.5</v>
      </c>
      <c r="I179" t="s">
        <v>136</v>
      </c>
      <c r="J179" t="s">
        <v>137</v>
      </c>
      <c r="K179" t="s">
        <v>31</v>
      </c>
      <c r="L179" t="s">
        <v>32</v>
      </c>
      <c r="M179" t="s">
        <v>33</v>
      </c>
      <c r="P179" s="1" t="s">
        <v>775</v>
      </c>
      <c r="Q179" s="1" t="s">
        <v>27</v>
      </c>
      <c r="R179" s="1" t="s">
        <v>27</v>
      </c>
      <c r="S179" s="1"/>
      <c r="T179" s="1" t="s">
        <v>554</v>
      </c>
      <c r="U179" s="1"/>
      <c r="V179" s="1">
        <v>637.5</v>
      </c>
      <c r="W179" s="1">
        <v>637.5</v>
      </c>
      <c r="X179" s="1" t="s">
        <v>35</v>
      </c>
      <c r="Y179" s="1">
        <v>637500.0</v>
      </c>
      <c r="Z179" s="1"/>
      <c r="AA179" s="1">
        <v>637500</v>
      </c>
      <c r="AB179" s="1"/>
      <c r="AC179" s="1" t="s">
        <v>36</v>
      </c>
      <c r="AD179" s="1" t="s">
        <v>776</v>
      </c>
      <c r="AE179" s="1" t="s">
        <v>32</v>
      </c>
      <c r="AF179" s="1" t="s">
        <v>33</v>
      </c>
      <c r="AG179" s="1" t="s">
        <v>137</v>
      </c>
    </row>
    <row r="180" spans="1:33">
      <c r="A180" t="s">
        <v>777</v>
      </c>
      <c r="B180" t="s">
        <v>778</v>
      </c>
      <c r="C180" t="s">
        <v>468</v>
      </c>
      <c r="E180" t="s">
        <v>27</v>
      </c>
      <c r="F180" t="s">
        <v>28</v>
      </c>
      <c r="G180">
        <v>10.4</v>
      </c>
      <c r="H180">
        <v>10.4</v>
      </c>
      <c r="I180" t="s">
        <v>469</v>
      </c>
      <c r="J180" t="s">
        <v>470</v>
      </c>
      <c r="K180" t="s">
        <v>31</v>
      </c>
      <c r="L180" t="s">
        <v>32</v>
      </c>
      <c r="M180" t="s">
        <v>33</v>
      </c>
      <c r="P180" s="1" t="s">
        <v>779</v>
      </c>
      <c r="Q180" s="1" t="s">
        <v>27</v>
      </c>
      <c r="R180" s="1" t="s">
        <v>43</v>
      </c>
      <c r="S180" s="1"/>
      <c r="T180" s="1" t="s">
        <v>472</v>
      </c>
      <c r="U180" s="1" t="s">
        <v>473</v>
      </c>
      <c r="V180" s="1">
        <v>10.4</v>
      </c>
      <c r="W180" s="1">
        <v>10.4</v>
      </c>
      <c r="X180" s="1" t="s">
        <v>35</v>
      </c>
      <c r="Y180" s="1">
        <v>10400.0</v>
      </c>
      <c r="Z180" s="1"/>
      <c r="AA180" s="1">
        <v>10400</v>
      </c>
      <c r="AB180" s="1"/>
      <c r="AC180" s="1" t="s">
        <v>36</v>
      </c>
      <c r="AD180" s="1" t="s">
        <v>780</v>
      </c>
      <c r="AE180" s="1" t="s">
        <v>32</v>
      </c>
      <c r="AF180" s="1" t="s">
        <v>33</v>
      </c>
      <c r="AG180" s="1" t="s">
        <v>470</v>
      </c>
    </row>
    <row r="181" spans="1:33">
      <c r="A181" t="s">
        <v>781</v>
      </c>
      <c r="B181" t="s">
        <v>782</v>
      </c>
      <c r="C181" t="s">
        <v>73</v>
      </c>
      <c r="E181" t="s">
        <v>27</v>
      </c>
      <c r="F181" t="s">
        <v>634</v>
      </c>
      <c r="G181">
        <v>127.96</v>
      </c>
      <c r="H181">
        <v>127.96</v>
      </c>
      <c r="I181" t="s">
        <v>40</v>
      </c>
      <c r="J181" t="s">
        <v>41</v>
      </c>
      <c r="K181" t="s">
        <v>31</v>
      </c>
      <c r="L181" t="s">
        <v>32</v>
      </c>
      <c r="M181" t="s">
        <v>33</v>
      </c>
      <c r="P181" s="1" t="s">
        <v>783</v>
      </c>
      <c r="Q181" s="1" t="s">
        <v>27</v>
      </c>
      <c r="R181" s="1" t="s">
        <v>43</v>
      </c>
      <c r="S181" s="1"/>
      <c r="T181" s="1" t="s">
        <v>75</v>
      </c>
      <c r="U181" s="1" t="s">
        <v>76</v>
      </c>
      <c r="V181" s="1">
        <v>127.96</v>
      </c>
      <c r="W181" s="1">
        <v>127.96</v>
      </c>
      <c r="X181" s="1" t="s">
        <v>35</v>
      </c>
      <c r="Y181" s="1">
        <v>127960.0</v>
      </c>
      <c r="Z181" s="1"/>
      <c r="AA181" s="1">
        <v>127960</v>
      </c>
      <c r="AB181" s="1"/>
      <c r="AC181" s="1" t="s">
        <v>36</v>
      </c>
      <c r="AD181" s="1" t="s">
        <v>784</v>
      </c>
      <c r="AE181" s="1" t="s">
        <v>32</v>
      </c>
      <c r="AF181" s="1" t="s">
        <v>33</v>
      </c>
      <c r="AG181" s="1" t="s">
        <v>41</v>
      </c>
    </row>
    <row r="182" spans="1:33">
      <c r="A182" t="s">
        <v>785</v>
      </c>
      <c r="C182" t="s">
        <v>786</v>
      </c>
      <c r="E182" t="s">
        <v>27</v>
      </c>
      <c r="F182" t="s">
        <v>28</v>
      </c>
      <c r="G182">
        <v>850.0</v>
      </c>
      <c r="H182">
        <v>850.0</v>
      </c>
      <c r="I182" t="s">
        <v>269</v>
      </c>
      <c r="J182" t="s">
        <v>270</v>
      </c>
      <c r="K182" t="s">
        <v>31</v>
      </c>
      <c r="L182" t="s">
        <v>32</v>
      </c>
      <c r="M182" t="s">
        <v>33</v>
      </c>
      <c r="P182" s="1" t="s">
        <v>787</v>
      </c>
      <c r="Q182" s="1" t="s">
        <v>27</v>
      </c>
      <c r="R182" s="1" t="s">
        <v>27</v>
      </c>
      <c r="S182" s="1"/>
      <c r="T182" s="1" t="s">
        <v>786</v>
      </c>
      <c r="U182" s="1"/>
      <c r="V182" s="1">
        <v>850.0</v>
      </c>
      <c r="W182" s="1">
        <v>850.0</v>
      </c>
      <c r="X182" s="1" t="s">
        <v>35</v>
      </c>
      <c r="Y182" s="1">
        <v>850000.0</v>
      </c>
      <c r="Z182" s="1"/>
      <c r="AA182" s="1">
        <v>850000</v>
      </c>
      <c r="AB182" s="1"/>
      <c r="AC182" s="1" t="s">
        <v>36</v>
      </c>
      <c r="AD182" s="1" t="s">
        <v>788</v>
      </c>
      <c r="AE182" s="1" t="s">
        <v>32</v>
      </c>
      <c r="AF182" s="1" t="s">
        <v>33</v>
      </c>
      <c r="AG182" s="1" t="s">
        <v>270</v>
      </c>
    </row>
    <row r="183" spans="1:33">
      <c r="A183" t="s">
        <v>789</v>
      </c>
      <c r="B183" t="s">
        <v>790</v>
      </c>
      <c r="C183" t="s">
        <v>135</v>
      </c>
      <c r="E183" t="s">
        <v>27</v>
      </c>
      <c r="F183" t="s">
        <v>28</v>
      </c>
      <c r="G183">
        <v>66.65</v>
      </c>
      <c r="H183">
        <v>66.65</v>
      </c>
      <c r="I183" t="s">
        <v>136</v>
      </c>
      <c r="J183" t="s">
        <v>137</v>
      </c>
      <c r="K183" t="s">
        <v>31</v>
      </c>
      <c r="L183" t="s">
        <v>32</v>
      </c>
      <c r="M183" t="s">
        <v>33</v>
      </c>
      <c r="P183" s="1" t="s">
        <v>791</v>
      </c>
      <c r="Q183" s="1" t="s">
        <v>27</v>
      </c>
      <c r="R183" s="1" t="s">
        <v>27</v>
      </c>
      <c r="S183" s="1"/>
      <c r="T183" s="1" t="s">
        <v>135</v>
      </c>
      <c r="U183" s="1"/>
      <c r="V183" s="1">
        <v>66.65</v>
      </c>
      <c r="W183" s="1">
        <v>66.65</v>
      </c>
      <c r="X183" s="1" t="s">
        <v>35</v>
      </c>
      <c r="Y183" s="1">
        <v>66650.0</v>
      </c>
      <c r="Z183" s="1"/>
      <c r="AA183" s="1">
        <v>66650</v>
      </c>
      <c r="AB183" s="1"/>
      <c r="AC183" s="1" t="s">
        <v>36</v>
      </c>
      <c r="AD183" s="1" t="s">
        <v>773</v>
      </c>
      <c r="AE183" s="1" t="s">
        <v>32</v>
      </c>
      <c r="AF183" s="1" t="s">
        <v>33</v>
      </c>
      <c r="AG183" s="1" t="s">
        <v>137</v>
      </c>
    </row>
    <row r="184" spans="1:33">
      <c r="A184" t="s">
        <v>792</v>
      </c>
      <c r="C184" t="s">
        <v>793</v>
      </c>
      <c r="E184" t="s">
        <v>27</v>
      </c>
      <c r="F184" t="s">
        <v>28</v>
      </c>
      <c r="G184">
        <v>410.0</v>
      </c>
      <c r="H184">
        <v>410.0</v>
      </c>
      <c r="I184" t="s">
        <v>136</v>
      </c>
      <c r="J184" t="s">
        <v>137</v>
      </c>
      <c r="K184" t="s">
        <v>31</v>
      </c>
      <c r="L184" t="s">
        <v>32</v>
      </c>
      <c r="M184" t="s">
        <v>33</v>
      </c>
      <c r="P184" s="1" t="s">
        <v>794</v>
      </c>
      <c r="Q184" s="1" t="s">
        <v>27</v>
      </c>
      <c r="R184" s="1" t="s">
        <v>27</v>
      </c>
      <c r="S184" s="1"/>
      <c r="T184" s="1" t="s">
        <v>793</v>
      </c>
      <c r="U184" s="1"/>
      <c r="V184" s="1">
        <v>410.0</v>
      </c>
      <c r="W184" s="1">
        <v>410.0</v>
      </c>
      <c r="X184" s="1" t="s">
        <v>35</v>
      </c>
      <c r="Y184" s="1">
        <v>410000.0</v>
      </c>
      <c r="Z184" s="1"/>
      <c r="AA184" s="1">
        <v>410000</v>
      </c>
      <c r="AB184" s="1"/>
      <c r="AC184" s="1" t="s">
        <v>36</v>
      </c>
      <c r="AD184" s="1" t="s">
        <v>795</v>
      </c>
      <c r="AE184" s="1" t="s">
        <v>32</v>
      </c>
      <c r="AF184" s="1" t="s">
        <v>33</v>
      </c>
      <c r="AG184" s="1" t="s">
        <v>137</v>
      </c>
    </row>
    <row r="185" spans="1:33">
      <c r="A185" t="s">
        <v>796</v>
      </c>
      <c r="C185" t="s">
        <v>797</v>
      </c>
      <c r="D185" t="s">
        <v>798</v>
      </c>
      <c r="E185" t="s">
        <v>27</v>
      </c>
      <c r="F185" t="s">
        <v>634</v>
      </c>
      <c r="G185">
        <v>1.64</v>
      </c>
      <c r="H185">
        <v>1.64</v>
      </c>
      <c r="I185" t="s">
        <v>136</v>
      </c>
      <c r="J185" t="s">
        <v>137</v>
      </c>
      <c r="K185" t="s">
        <v>31</v>
      </c>
      <c r="L185" t="s">
        <v>32</v>
      </c>
      <c r="M185" t="s">
        <v>33</v>
      </c>
      <c r="P185" s="1" t="s">
        <v>799</v>
      </c>
      <c r="Q185" s="1" t="s">
        <v>27</v>
      </c>
      <c r="R185" s="1" t="s">
        <v>27</v>
      </c>
      <c r="S185" s="1"/>
      <c r="T185" s="1" t="s">
        <v>797</v>
      </c>
      <c r="U185" s="1"/>
      <c r="V185" s="1">
        <v>1.64</v>
      </c>
      <c r="W185" s="1">
        <v>1.64</v>
      </c>
      <c r="X185" s="1" t="s">
        <v>35</v>
      </c>
      <c r="Y185" s="1">
        <v>1640000.0</v>
      </c>
      <c r="Z185" s="1"/>
      <c r="AA185" s="1">
        <v>1640000</v>
      </c>
      <c r="AB185" s="1"/>
      <c r="AC185" s="1" t="s">
        <v>36</v>
      </c>
      <c r="AD185" s="1" t="s">
        <v>800</v>
      </c>
      <c r="AE185" s="1" t="s">
        <v>32</v>
      </c>
      <c r="AF185" s="1" t="s">
        <v>33</v>
      </c>
      <c r="AG185" s="1" t="s">
        <v>137</v>
      </c>
    </row>
    <row r="186" spans="1:33">
      <c r="A186" t="s">
        <v>801</v>
      </c>
      <c r="B186" t="s">
        <v>802</v>
      </c>
      <c r="C186" t="s">
        <v>314</v>
      </c>
      <c r="E186" t="s">
        <v>27</v>
      </c>
      <c r="F186" t="s">
        <v>28</v>
      </c>
      <c r="G186">
        <v>33.74</v>
      </c>
      <c r="H186">
        <v>33.74</v>
      </c>
      <c r="I186" t="s">
        <v>179</v>
      </c>
      <c r="J186" t="s">
        <v>180</v>
      </c>
      <c r="K186" t="s">
        <v>31</v>
      </c>
      <c r="L186" t="s">
        <v>32</v>
      </c>
      <c r="M186" t="s">
        <v>33</v>
      </c>
      <c r="P186" s="1" t="s">
        <v>803</v>
      </c>
      <c r="Q186" s="1" t="s">
        <v>27</v>
      </c>
      <c r="R186" s="1" t="s">
        <v>27</v>
      </c>
      <c r="S186" s="1"/>
      <c r="T186" s="1" t="s">
        <v>314</v>
      </c>
      <c r="U186" s="1"/>
      <c r="V186" s="1">
        <v>33.74</v>
      </c>
      <c r="W186" s="1">
        <v>33.74</v>
      </c>
      <c r="X186" s="1" t="s">
        <v>35</v>
      </c>
      <c r="Y186" s="1">
        <v>33740.0</v>
      </c>
      <c r="Z186" s="1"/>
      <c r="AA186" s="1">
        <v>33740</v>
      </c>
      <c r="AB186" s="1"/>
      <c r="AC186" s="1" t="s">
        <v>36</v>
      </c>
      <c r="AD186" s="1" t="s">
        <v>804</v>
      </c>
      <c r="AE186" s="1" t="s">
        <v>32</v>
      </c>
      <c r="AF186" s="1" t="s">
        <v>33</v>
      </c>
      <c r="AG186" s="1" t="s">
        <v>180</v>
      </c>
    </row>
    <row r="187" spans="1:33">
      <c r="A187" t="s">
        <v>805</v>
      </c>
      <c r="C187" t="s">
        <v>806</v>
      </c>
      <c r="D187" t="s">
        <v>154</v>
      </c>
      <c r="E187" t="s">
        <v>27</v>
      </c>
      <c r="F187" t="s">
        <v>28</v>
      </c>
      <c r="G187">
        <v>1.118</v>
      </c>
      <c r="H187">
        <v>1.118</v>
      </c>
      <c r="I187" t="s">
        <v>269</v>
      </c>
      <c r="J187" t="s">
        <v>270</v>
      </c>
      <c r="K187" t="s">
        <v>31</v>
      </c>
      <c r="L187" t="s">
        <v>32</v>
      </c>
      <c r="M187" t="s">
        <v>33</v>
      </c>
      <c r="P187" s="1" t="s">
        <v>807</v>
      </c>
      <c r="Q187" s="1" t="s">
        <v>27</v>
      </c>
      <c r="R187" s="1" t="s">
        <v>27</v>
      </c>
      <c r="S187" s="1"/>
      <c r="T187" s="1" t="s">
        <v>806</v>
      </c>
      <c r="U187" s="1"/>
      <c r="V187" s="1">
        <v>1.118</v>
      </c>
      <c r="W187" s="1">
        <v>1.118</v>
      </c>
      <c r="X187" s="1" t="s">
        <v>35</v>
      </c>
      <c r="Y187" s="1">
        <v>1118000.0</v>
      </c>
      <c r="Z187" s="1"/>
      <c r="AA187" s="1">
        <v>1118000</v>
      </c>
      <c r="AB187" s="1"/>
      <c r="AC187" s="1" t="s">
        <v>36</v>
      </c>
      <c r="AD187" s="1" t="s">
        <v>808</v>
      </c>
      <c r="AE187" s="1" t="s">
        <v>32</v>
      </c>
      <c r="AF187" s="1" t="s">
        <v>33</v>
      </c>
      <c r="AG187" s="1" t="s">
        <v>270</v>
      </c>
    </row>
    <row r="188" spans="1:33">
      <c r="A188" t="s">
        <v>809</v>
      </c>
      <c r="C188" t="s">
        <v>810</v>
      </c>
      <c r="D188" t="s">
        <v>154</v>
      </c>
      <c r="E188" t="s">
        <v>27</v>
      </c>
      <c r="F188" t="s">
        <v>28</v>
      </c>
      <c r="G188">
        <v>2.129</v>
      </c>
      <c r="H188">
        <v>2.129</v>
      </c>
      <c r="I188" t="s">
        <v>269</v>
      </c>
      <c r="J188" t="s">
        <v>270</v>
      </c>
      <c r="K188" t="s">
        <v>31</v>
      </c>
      <c r="L188" t="s">
        <v>32</v>
      </c>
      <c r="M188" t="s">
        <v>33</v>
      </c>
      <c r="P188" s="1" t="s">
        <v>811</v>
      </c>
      <c r="Q188" s="1" t="s">
        <v>27</v>
      </c>
      <c r="R188" s="1" t="s">
        <v>27</v>
      </c>
      <c r="S188" s="1"/>
      <c r="T188" s="1" t="s">
        <v>810</v>
      </c>
      <c r="U188" s="1"/>
      <c r="V188" s="1">
        <v>2.129</v>
      </c>
      <c r="W188" s="1">
        <v>2.129</v>
      </c>
      <c r="X188" s="1" t="s">
        <v>35</v>
      </c>
      <c r="Y188" s="1">
        <v>2129500.0</v>
      </c>
      <c r="Z188" s="1"/>
      <c r="AA188" s="1">
        <v>2129500</v>
      </c>
      <c r="AB188" s="1"/>
      <c r="AC188" s="1" t="s">
        <v>36</v>
      </c>
      <c r="AD188" s="1" t="s">
        <v>812</v>
      </c>
      <c r="AE188" s="1" t="s">
        <v>32</v>
      </c>
      <c r="AF188" s="1" t="s">
        <v>33</v>
      </c>
      <c r="AG188" s="1" t="s">
        <v>270</v>
      </c>
    </row>
    <row r="189" spans="1:33">
      <c r="A189" t="s">
        <v>813</v>
      </c>
      <c r="B189" t="s">
        <v>814</v>
      </c>
      <c r="C189" t="s">
        <v>172</v>
      </c>
      <c r="E189" t="s">
        <v>27</v>
      </c>
      <c r="F189" t="s">
        <v>28</v>
      </c>
      <c r="G189">
        <v>12.6</v>
      </c>
      <c r="H189">
        <v>12.6</v>
      </c>
      <c r="I189" t="s">
        <v>173</v>
      </c>
      <c r="J189" t="s">
        <v>174</v>
      </c>
      <c r="K189" t="s">
        <v>31</v>
      </c>
      <c r="L189" t="s">
        <v>32</v>
      </c>
      <c r="M189" t="s">
        <v>33</v>
      </c>
      <c r="P189" s="1" t="s">
        <v>815</v>
      </c>
      <c r="Q189" s="1" t="s">
        <v>27</v>
      </c>
      <c r="R189" s="1" t="s">
        <v>27</v>
      </c>
      <c r="S189" s="1"/>
      <c r="T189" s="1" t="s">
        <v>172</v>
      </c>
      <c r="U189" s="1"/>
      <c r="V189" s="1">
        <v>12.6</v>
      </c>
      <c r="W189" s="1">
        <v>12.6</v>
      </c>
      <c r="X189" s="1" t="s">
        <v>35</v>
      </c>
      <c r="Y189" s="1">
        <v>12600.0</v>
      </c>
      <c r="Z189" s="1"/>
      <c r="AA189" s="1">
        <v>12600</v>
      </c>
      <c r="AB189" s="1"/>
      <c r="AC189" s="1" t="s">
        <v>36</v>
      </c>
      <c r="AD189" s="1" t="s">
        <v>816</v>
      </c>
      <c r="AE189" s="1" t="s">
        <v>32</v>
      </c>
      <c r="AF189" s="1" t="s">
        <v>33</v>
      </c>
      <c r="AG189" s="1" t="s">
        <v>174</v>
      </c>
    </row>
    <row r="190" spans="1:33">
      <c r="A190" t="s">
        <v>817</v>
      </c>
      <c r="C190" t="s">
        <v>818</v>
      </c>
      <c r="E190" t="s">
        <v>27</v>
      </c>
      <c r="F190" t="s">
        <v>28</v>
      </c>
      <c r="G190">
        <v>640.0</v>
      </c>
      <c r="H190">
        <v>640.0</v>
      </c>
      <c r="I190" t="s">
        <v>173</v>
      </c>
      <c r="J190" t="s">
        <v>174</v>
      </c>
      <c r="K190" t="s">
        <v>31</v>
      </c>
      <c r="L190" t="s">
        <v>32</v>
      </c>
      <c r="M190" t="s">
        <v>33</v>
      </c>
      <c r="P190" s="1" t="s">
        <v>819</v>
      </c>
      <c r="Q190" s="1" t="s">
        <v>27</v>
      </c>
      <c r="R190" s="1" t="s">
        <v>27</v>
      </c>
      <c r="S190" s="1"/>
      <c r="T190" s="1" t="s">
        <v>818</v>
      </c>
      <c r="U190" s="1"/>
      <c r="V190" s="1">
        <v>640.0</v>
      </c>
      <c r="W190" s="1">
        <v>640.0</v>
      </c>
      <c r="X190" s="1" t="s">
        <v>35</v>
      </c>
      <c r="Y190" s="1">
        <v>640000.0</v>
      </c>
      <c r="Z190" s="1"/>
      <c r="AA190" s="1">
        <v>640000</v>
      </c>
      <c r="AB190" s="1"/>
      <c r="AC190" s="1" t="s">
        <v>36</v>
      </c>
      <c r="AD190" s="1" t="s">
        <v>773</v>
      </c>
      <c r="AE190" s="1" t="s">
        <v>32</v>
      </c>
      <c r="AF190" s="1" t="s">
        <v>33</v>
      </c>
      <c r="AG190" s="1" t="s">
        <v>174</v>
      </c>
    </row>
    <row r="191" spans="1:33">
      <c r="A191" t="s">
        <v>820</v>
      </c>
      <c r="C191" t="s">
        <v>821</v>
      </c>
      <c r="E191" t="s">
        <v>822</v>
      </c>
      <c r="F191" t="s">
        <v>634</v>
      </c>
      <c r="G191">
        <v>13.2</v>
      </c>
      <c r="H191">
        <v>13.2</v>
      </c>
      <c r="I191" t="s">
        <v>40</v>
      </c>
      <c r="J191" t="s">
        <v>41</v>
      </c>
      <c r="K191" t="s">
        <v>31</v>
      </c>
      <c r="L191" t="s">
        <v>32</v>
      </c>
      <c r="M191" t="s">
        <v>33</v>
      </c>
      <c r="P191" s="1" t="s">
        <v>823</v>
      </c>
      <c r="Q191" s="1" t="s">
        <v>822</v>
      </c>
      <c r="R191" s="1" t="s">
        <v>27</v>
      </c>
      <c r="S191" s="1"/>
      <c r="T191" s="1" t="s">
        <v>821</v>
      </c>
      <c r="U191" s="1"/>
      <c r="V191" s="1">
        <v>13.2</v>
      </c>
      <c r="W191" s="1">
        <v>13.2</v>
      </c>
      <c r="X191" s="1" t="s">
        <v>35</v>
      </c>
      <c r="Y191" s="1">
        <v>13200000.0</v>
      </c>
      <c r="Z191" s="1"/>
      <c r="AA191" s="1">
        <v>13200000</v>
      </c>
      <c r="AB191" s="1"/>
      <c r="AC191" s="1" t="s">
        <v>36</v>
      </c>
      <c r="AD191" s="1" t="s">
        <v>824</v>
      </c>
      <c r="AE191" s="1" t="s">
        <v>32</v>
      </c>
      <c r="AF191" s="1" t="s">
        <v>33</v>
      </c>
      <c r="AG191" s="1" t="s">
        <v>41</v>
      </c>
    </row>
    <row r="192" spans="1:33">
      <c r="A192" t="s">
        <v>825</v>
      </c>
      <c r="B192" t="s">
        <v>826</v>
      </c>
      <c r="C192" t="s">
        <v>827</v>
      </c>
      <c r="D192" t="s">
        <v>154</v>
      </c>
      <c r="E192" t="s">
        <v>822</v>
      </c>
      <c r="F192" t="s">
        <v>634</v>
      </c>
      <c r="G192">
        <v>677.59</v>
      </c>
      <c r="H192">
        <v>677.59</v>
      </c>
      <c r="I192" t="s">
        <v>529</v>
      </c>
      <c r="J192" t="s">
        <v>530</v>
      </c>
      <c r="K192" t="s">
        <v>31</v>
      </c>
      <c r="L192" t="s">
        <v>32</v>
      </c>
      <c r="M192" t="s">
        <v>33</v>
      </c>
      <c r="P192" s="1" t="s">
        <v>828</v>
      </c>
      <c r="Q192" s="1" t="s">
        <v>822</v>
      </c>
      <c r="R192" s="1" t="s">
        <v>27</v>
      </c>
      <c r="S192" s="1"/>
      <c r="T192" s="1" t="s">
        <v>827</v>
      </c>
      <c r="U192" s="1"/>
      <c r="V192" s="1">
        <v>677.59</v>
      </c>
      <c r="W192" s="1">
        <v>677.59</v>
      </c>
      <c r="X192" s="1" t="s">
        <v>35</v>
      </c>
      <c r="Y192" s="1">
        <v>677590.0</v>
      </c>
      <c r="Z192" s="1"/>
      <c r="AA192" s="1">
        <v>677590</v>
      </c>
      <c r="AB192" s="1"/>
      <c r="AC192" s="1" t="s">
        <v>36</v>
      </c>
      <c r="AD192" s="1" t="s">
        <v>829</v>
      </c>
      <c r="AE192" s="1" t="s">
        <v>32</v>
      </c>
      <c r="AF192" s="1" t="s">
        <v>33</v>
      </c>
      <c r="AG192" s="1" t="s">
        <v>530</v>
      </c>
    </row>
    <row r="193" spans="1:33">
      <c r="A193" t="s">
        <v>830</v>
      </c>
      <c r="C193" t="s">
        <v>831</v>
      </c>
      <c r="D193" t="s">
        <v>114</v>
      </c>
      <c r="E193" t="s">
        <v>822</v>
      </c>
      <c r="F193" t="s">
        <v>634</v>
      </c>
      <c r="G193">
        <v>6.75</v>
      </c>
      <c r="H193">
        <v>6.75</v>
      </c>
      <c r="I193" t="s">
        <v>40</v>
      </c>
      <c r="J193" t="s">
        <v>41</v>
      </c>
      <c r="K193" t="s">
        <v>31</v>
      </c>
      <c r="L193" t="s">
        <v>32</v>
      </c>
      <c r="M193" t="s">
        <v>33</v>
      </c>
      <c r="P193" s="1" t="s">
        <v>832</v>
      </c>
      <c r="Q193" s="1" t="s">
        <v>822</v>
      </c>
      <c r="R193" s="1" t="s">
        <v>27</v>
      </c>
      <c r="S193" s="1"/>
      <c r="T193" s="1" t="s">
        <v>831</v>
      </c>
      <c r="U193" s="1"/>
      <c r="V193" s="1">
        <v>6.75</v>
      </c>
      <c r="W193" s="1">
        <v>6.75</v>
      </c>
      <c r="X193" s="1" t="s">
        <v>35</v>
      </c>
      <c r="Y193" s="1">
        <v>6750.0</v>
      </c>
      <c r="Z193" s="1"/>
      <c r="AA193" s="1">
        <v>4750</v>
      </c>
      <c r="AB193" s="1">
        <v>2000</v>
      </c>
      <c r="AC193" s="1" t="s">
        <v>36</v>
      </c>
      <c r="AD193" s="1" t="s">
        <v>428</v>
      </c>
      <c r="AE193" s="1" t="s">
        <v>32</v>
      </c>
      <c r="AF193" s="1" t="s">
        <v>33</v>
      </c>
      <c r="AG193" s="1" t="s">
        <v>41</v>
      </c>
    </row>
    <row r="194" spans="1:33">
      <c r="A194" t="s">
        <v>833</v>
      </c>
      <c r="B194" t="s">
        <v>57</v>
      </c>
      <c r="C194" t="s">
        <v>58</v>
      </c>
      <c r="E194" t="s">
        <v>822</v>
      </c>
      <c r="F194" t="s">
        <v>634</v>
      </c>
      <c r="G194">
        <v>370.0</v>
      </c>
      <c r="H194">
        <v>370.0</v>
      </c>
      <c r="I194" t="s">
        <v>59</v>
      </c>
      <c r="J194" t="s">
        <v>60</v>
      </c>
      <c r="K194" t="s">
        <v>31</v>
      </c>
      <c r="L194" t="s">
        <v>32</v>
      </c>
      <c r="M194" t="s">
        <v>33</v>
      </c>
      <c r="P194" s="1" t="s">
        <v>834</v>
      </c>
      <c r="Q194" s="1" t="s">
        <v>822</v>
      </c>
      <c r="R194" s="1" t="s">
        <v>822</v>
      </c>
      <c r="S194" s="1"/>
      <c r="T194" s="1" t="s">
        <v>58</v>
      </c>
      <c r="U194" s="1"/>
      <c r="V194" s="1">
        <v>370.0</v>
      </c>
      <c r="W194" s="1">
        <v>370.0</v>
      </c>
      <c r="X194" s="1" t="s">
        <v>35</v>
      </c>
      <c r="Y194" s="1">
        <v>370000.0</v>
      </c>
      <c r="Z194" s="1"/>
      <c r="AA194" s="1">
        <v>370000</v>
      </c>
      <c r="AB194" s="1"/>
      <c r="AC194" s="1" t="s">
        <v>36</v>
      </c>
      <c r="AD194" s="1" t="s">
        <v>835</v>
      </c>
      <c r="AE194" s="1" t="s">
        <v>32</v>
      </c>
      <c r="AF194" s="1" t="s">
        <v>33</v>
      </c>
      <c r="AG194" s="1" t="s">
        <v>60</v>
      </c>
    </row>
    <row r="195" spans="1:33">
      <c r="A195" t="s">
        <v>836</v>
      </c>
      <c r="B195" t="s">
        <v>837</v>
      </c>
      <c r="C195" t="s">
        <v>838</v>
      </c>
      <c r="E195" t="s">
        <v>822</v>
      </c>
      <c r="F195" t="s">
        <v>634</v>
      </c>
      <c r="G195">
        <v>11.716</v>
      </c>
      <c r="H195">
        <v>11.716</v>
      </c>
      <c r="I195" t="s">
        <v>59</v>
      </c>
      <c r="J195" t="s">
        <v>60</v>
      </c>
      <c r="K195" t="s">
        <v>31</v>
      </c>
      <c r="L195" t="s">
        <v>32</v>
      </c>
      <c r="M195" t="s">
        <v>33</v>
      </c>
      <c r="P195" s="1" t="s">
        <v>839</v>
      </c>
      <c r="Q195" s="1" t="s">
        <v>822</v>
      </c>
      <c r="R195" s="1" t="s">
        <v>822</v>
      </c>
      <c r="S195" s="1"/>
      <c r="T195" s="1" t="s">
        <v>838</v>
      </c>
      <c r="U195" s="1"/>
      <c r="V195" s="1">
        <v>11.716</v>
      </c>
      <c r="W195" s="1">
        <v>11.716</v>
      </c>
      <c r="X195" s="1" t="s">
        <v>35</v>
      </c>
      <c r="Y195" s="1">
        <v>11716.0</v>
      </c>
      <c r="Z195" s="1"/>
      <c r="AA195" s="1">
        <v>11716</v>
      </c>
      <c r="AB195" s="1"/>
      <c r="AC195" s="1" t="s">
        <v>36</v>
      </c>
      <c r="AD195" s="1" t="s">
        <v>840</v>
      </c>
      <c r="AE195" s="1" t="s">
        <v>32</v>
      </c>
      <c r="AF195" s="1" t="s">
        <v>33</v>
      </c>
      <c r="AG195" s="1" t="s">
        <v>60</v>
      </c>
    </row>
    <row r="196" spans="1:33">
      <c r="A196" t="s">
        <v>841</v>
      </c>
      <c r="B196" t="s">
        <v>842</v>
      </c>
      <c r="C196" t="s">
        <v>68</v>
      </c>
      <c r="E196" t="s">
        <v>822</v>
      </c>
      <c r="F196" t="s">
        <v>634</v>
      </c>
      <c r="G196">
        <v>31.0</v>
      </c>
      <c r="H196">
        <v>31.0</v>
      </c>
      <c r="I196" t="s">
        <v>59</v>
      </c>
      <c r="J196" t="s">
        <v>60</v>
      </c>
      <c r="K196" t="s">
        <v>31</v>
      </c>
      <c r="L196" t="s">
        <v>32</v>
      </c>
      <c r="M196" t="s">
        <v>33</v>
      </c>
      <c r="P196" s="1" t="s">
        <v>843</v>
      </c>
      <c r="Q196" s="1" t="s">
        <v>822</v>
      </c>
      <c r="R196" s="1" t="s">
        <v>822</v>
      </c>
      <c r="S196" s="1"/>
      <c r="T196" s="1" t="s">
        <v>68</v>
      </c>
      <c r="U196" s="1"/>
      <c r="V196" s="1">
        <v>31.0</v>
      </c>
      <c r="W196" s="1">
        <v>31.0</v>
      </c>
      <c r="X196" s="1" t="s">
        <v>35</v>
      </c>
      <c r="Y196" s="1">
        <v>31000.0</v>
      </c>
      <c r="Z196" s="1"/>
      <c r="AA196" s="1">
        <v>31000</v>
      </c>
      <c r="AB196" s="1"/>
      <c r="AC196" s="1" t="s">
        <v>36</v>
      </c>
      <c r="AD196" s="1" t="s">
        <v>844</v>
      </c>
      <c r="AE196" s="1" t="s">
        <v>32</v>
      </c>
      <c r="AF196" s="1" t="s">
        <v>33</v>
      </c>
      <c r="AG196" s="1" t="s">
        <v>60</v>
      </c>
    </row>
    <row r="197" spans="1:33">
      <c r="A197" t="s">
        <v>845</v>
      </c>
      <c r="C197" t="s">
        <v>846</v>
      </c>
      <c r="D197" t="s">
        <v>154</v>
      </c>
      <c r="E197" t="s">
        <v>822</v>
      </c>
      <c r="F197" t="s">
        <v>634</v>
      </c>
      <c r="G197">
        <v>326.0</v>
      </c>
      <c r="H197">
        <v>326.0</v>
      </c>
      <c r="I197" t="s">
        <v>847</v>
      </c>
      <c r="J197" t="s">
        <v>848</v>
      </c>
      <c r="K197" t="s">
        <v>31</v>
      </c>
      <c r="L197" t="s">
        <v>32</v>
      </c>
      <c r="M197" t="s">
        <v>33</v>
      </c>
      <c r="P197" s="1" t="s">
        <v>849</v>
      </c>
      <c r="Q197" s="1" t="s">
        <v>822</v>
      </c>
      <c r="R197" s="1" t="s">
        <v>822</v>
      </c>
      <c r="S197" s="1"/>
      <c r="T197" s="1" t="s">
        <v>846</v>
      </c>
      <c r="U197" s="1"/>
      <c r="V197" s="1">
        <v>326.0</v>
      </c>
      <c r="W197" s="1">
        <v>326.0</v>
      </c>
      <c r="X197" s="1" t="s">
        <v>35</v>
      </c>
      <c r="Y197" s="1">
        <v>326000.0</v>
      </c>
      <c r="Z197" s="1"/>
      <c r="AA197" s="1">
        <v>326000</v>
      </c>
      <c r="AB197" s="1"/>
      <c r="AC197" s="1" t="s">
        <v>36</v>
      </c>
      <c r="AD197" s="1" t="s">
        <v>850</v>
      </c>
      <c r="AE197" s="1" t="s">
        <v>32</v>
      </c>
      <c r="AF197" s="1" t="s">
        <v>33</v>
      </c>
      <c r="AG197" s="1" t="s">
        <v>848</v>
      </c>
    </row>
    <row r="198" spans="1:33">
      <c r="A198" t="s">
        <v>851</v>
      </c>
      <c r="C198" t="s">
        <v>852</v>
      </c>
      <c r="E198" t="s">
        <v>822</v>
      </c>
      <c r="F198" t="s">
        <v>634</v>
      </c>
      <c r="G198">
        <v>772.5</v>
      </c>
      <c r="H198">
        <v>772.5</v>
      </c>
      <c r="I198" t="s">
        <v>847</v>
      </c>
      <c r="J198" t="s">
        <v>848</v>
      </c>
      <c r="K198" t="s">
        <v>31</v>
      </c>
      <c r="L198" t="s">
        <v>32</v>
      </c>
      <c r="M198" t="s">
        <v>33</v>
      </c>
      <c r="P198" s="1" t="s">
        <v>853</v>
      </c>
      <c r="Q198" s="1" t="s">
        <v>822</v>
      </c>
      <c r="R198" s="1" t="s">
        <v>822</v>
      </c>
      <c r="S198" s="1"/>
      <c r="T198" s="1" t="s">
        <v>852</v>
      </c>
      <c r="U198" s="1"/>
      <c r="V198" s="1">
        <v>772.5</v>
      </c>
      <c r="W198" s="1">
        <v>772.5</v>
      </c>
      <c r="X198" s="1" t="s">
        <v>35</v>
      </c>
      <c r="Y198" s="1">
        <v>772500.0</v>
      </c>
      <c r="Z198" s="1"/>
      <c r="AA198" s="1">
        <v>772500</v>
      </c>
      <c r="AB198" s="1"/>
      <c r="AC198" s="1" t="s">
        <v>36</v>
      </c>
      <c r="AD198" s="1" t="s">
        <v>854</v>
      </c>
      <c r="AE198" s="1" t="s">
        <v>32</v>
      </c>
      <c r="AF198" s="1" t="s">
        <v>33</v>
      </c>
      <c r="AG198" s="1" t="s">
        <v>848</v>
      </c>
    </row>
    <row r="199" spans="1:33">
      <c r="A199" t="s">
        <v>855</v>
      </c>
      <c r="C199" t="s">
        <v>300</v>
      </c>
      <c r="E199" t="s">
        <v>822</v>
      </c>
      <c r="F199" t="s">
        <v>634</v>
      </c>
      <c r="G199">
        <v>1.08</v>
      </c>
      <c r="H199">
        <v>1.08</v>
      </c>
      <c r="I199" t="s">
        <v>94</v>
      </c>
      <c r="J199" t="s">
        <v>95</v>
      </c>
      <c r="K199" t="s">
        <v>31</v>
      </c>
      <c r="L199" t="s">
        <v>32</v>
      </c>
      <c r="M199" t="s">
        <v>33</v>
      </c>
      <c r="P199" s="1" t="s">
        <v>856</v>
      </c>
      <c r="Q199" s="1" t="s">
        <v>822</v>
      </c>
      <c r="R199" s="1" t="s">
        <v>822</v>
      </c>
      <c r="S199" s="1"/>
      <c r="T199" s="1" t="s">
        <v>302</v>
      </c>
      <c r="U199" s="1" t="s">
        <v>303</v>
      </c>
      <c r="V199" s="1">
        <v>1.08</v>
      </c>
      <c r="W199" s="1">
        <v>1.08</v>
      </c>
      <c r="X199" s="1" t="s">
        <v>35</v>
      </c>
      <c r="Y199" s="1">
        <v>1080000.0</v>
      </c>
      <c r="Z199" s="1"/>
      <c r="AA199" s="1">
        <v>1080000</v>
      </c>
      <c r="AB199" s="1"/>
      <c r="AC199" s="1" t="s">
        <v>36</v>
      </c>
      <c r="AD199" s="1" t="s">
        <v>857</v>
      </c>
      <c r="AE199" s="1" t="s">
        <v>32</v>
      </c>
      <c r="AF199" s="1" t="s">
        <v>33</v>
      </c>
      <c r="AG199" s="1" t="s">
        <v>95</v>
      </c>
    </row>
    <row r="200" spans="1:33">
      <c r="A200" t="s">
        <v>858</v>
      </c>
      <c r="C200" t="s">
        <v>859</v>
      </c>
      <c r="D200" t="s">
        <v>114</v>
      </c>
      <c r="E200" t="s">
        <v>822</v>
      </c>
      <c r="F200" t="s">
        <v>634</v>
      </c>
      <c r="G200">
        <v>328.0</v>
      </c>
      <c r="H200">
        <v>328.0</v>
      </c>
      <c r="I200" t="s">
        <v>269</v>
      </c>
      <c r="J200" t="s">
        <v>270</v>
      </c>
      <c r="K200" t="s">
        <v>31</v>
      </c>
      <c r="L200" t="s">
        <v>32</v>
      </c>
      <c r="M200" t="s">
        <v>33</v>
      </c>
      <c r="P200" s="1" t="s">
        <v>860</v>
      </c>
      <c r="Q200" s="1" t="s">
        <v>822</v>
      </c>
      <c r="R200" s="1" t="s">
        <v>822</v>
      </c>
      <c r="S200" s="1"/>
      <c r="T200" s="1" t="s">
        <v>859</v>
      </c>
      <c r="U200" s="1"/>
      <c r="V200" s="1">
        <v>328.0</v>
      </c>
      <c r="W200" s="1">
        <v>328.0</v>
      </c>
      <c r="X200" s="1" t="s">
        <v>35</v>
      </c>
      <c r="Y200" s="1">
        <v>328000.0</v>
      </c>
      <c r="Z200" s="1"/>
      <c r="AA200" s="1">
        <v>328000</v>
      </c>
      <c r="AB200" s="1"/>
      <c r="AC200" s="1" t="s">
        <v>36</v>
      </c>
      <c r="AD200" s="1" t="s">
        <v>861</v>
      </c>
      <c r="AE200" s="1" t="s">
        <v>32</v>
      </c>
      <c r="AF200" s="1" t="s">
        <v>33</v>
      </c>
      <c r="AG200" s="1" t="s">
        <v>270</v>
      </c>
    </row>
    <row r="201" spans="1:33">
      <c r="A201" t="s">
        <v>862</v>
      </c>
      <c r="B201" t="s">
        <v>863</v>
      </c>
      <c r="C201" t="s">
        <v>268</v>
      </c>
      <c r="E201" t="s">
        <v>822</v>
      </c>
      <c r="F201" t="s">
        <v>634</v>
      </c>
      <c r="G201">
        <v>399.9</v>
      </c>
      <c r="H201">
        <v>399.9</v>
      </c>
      <c r="I201" t="s">
        <v>269</v>
      </c>
      <c r="J201" t="s">
        <v>270</v>
      </c>
      <c r="K201" t="s">
        <v>31</v>
      </c>
      <c r="L201" t="s">
        <v>32</v>
      </c>
      <c r="M201" t="s">
        <v>33</v>
      </c>
      <c r="P201" s="1" t="s">
        <v>864</v>
      </c>
      <c r="Q201" s="1" t="s">
        <v>822</v>
      </c>
      <c r="R201" s="1" t="s">
        <v>822</v>
      </c>
      <c r="S201" s="1"/>
      <c r="T201" s="1" t="s">
        <v>268</v>
      </c>
      <c r="U201" s="1"/>
      <c r="V201" s="1">
        <v>399.9</v>
      </c>
      <c r="W201" s="1">
        <v>399.9</v>
      </c>
      <c r="X201" s="1" t="s">
        <v>35</v>
      </c>
      <c r="Y201" s="1">
        <v>399900.0</v>
      </c>
      <c r="Z201" s="1"/>
      <c r="AA201" s="1">
        <v>399900</v>
      </c>
      <c r="AB201" s="1"/>
      <c r="AC201" s="1" t="s">
        <v>36</v>
      </c>
      <c r="AD201" s="1" t="s">
        <v>861</v>
      </c>
      <c r="AE201" s="1" t="s">
        <v>32</v>
      </c>
      <c r="AF201" s="1" t="s">
        <v>33</v>
      </c>
      <c r="AG201" s="1" t="s">
        <v>270</v>
      </c>
    </row>
    <row r="202" spans="1:33">
      <c r="A202" t="s">
        <v>865</v>
      </c>
      <c r="C202" t="s">
        <v>866</v>
      </c>
      <c r="D202" t="s">
        <v>154</v>
      </c>
      <c r="E202" t="s">
        <v>822</v>
      </c>
      <c r="F202" t="s">
        <v>634</v>
      </c>
      <c r="G202">
        <v>336.0</v>
      </c>
      <c r="H202">
        <v>336.0</v>
      </c>
      <c r="I202" t="s">
        <v>48</v>
      </c>
      <c r="J202" t="s">
        <v>49</v>
      </c>
      <c r="K202" t="s">
        <v>31</v>
      </c>
      <c r="L202" t="s">
        <v>32</v>
      </c>
      <c r="M202" t="s">
        <v>33</v>
      </c>
      <c r="P202" s="1" t="s">
        <v>867</v>
      </c>
      <c r="Q202" s="1" t="s">
        <v>822</v>
      </c>
      <c r="R202" s="1" t="s">
        <v>822</v>
      </c>
      <c r="S202" s="1"/>
      <c r="T202" s="1" t="s">
        <v>868</v>
      </c>
      <c r="U202" s="1" t="s">
        <v>869</v>
      </c>
      <c r="V202" s="1">
        <v>336.0</v>
      </c>
      <c r="W202" s="1">
        <v>336.0</v>
      </c>
      <c r="X202" s="1" t="s">
        <v>35</v>
      </c>
      <c r="Y202" s="1">
        <v>336000.0</v>
      </c>
      <c r="Z202" s="1"/>
      <c r="AA202" s="1">
        <v>336000</v>
      </c>
      <c r="AB202" s="1"/>
      <c r="AC202" s="1" t="s">
        <v>36</v>
      </c>
      <c r="AD202" s="1" t="s">
        <v>870</v>
      </c>
      <c r="AE202" s="1" t="s">
        <v>32</v>
      </c>
      <c r="AF202" s="1" t="s">
        <v>33</v>
      </c>
      <c r="AG202" s="1" t="s">
        <v>49</v>
      </c>
    </row>
    <row r="203" spans="1:33">
      <c r="A203" t="s">
        <v>871</v>
      </c>
      <c r="C203" t="s">
        <v>872</v>
      </c>
      <c r="E203" t="s">
        <v>822</v>
      </c>
      <c r="F203" t="s">
        <v>634</v>
      </c>
      <c r="G203">
        <v>441.522</v>
      </c>
      <c r="H203">
        <v>441.522</v>
      </c>
      <c r="I203" t="s">
        <v>48</v>
      </c>
      <c r="J203" t="s">
        <v>49</v>
      </c>
      <c r="K203" t="s">
        <v>31</v>
      </c>
      <c r="L203" t="s">
        <v>32</v>
      </c>
      <c r="M203" t="s">
        <v>33</v>
      </c>
      <c r="P203" s="1" t="s">
        <v>873</v>
      </c>
      <c r="Q203" s="1" t="s">
        <v>822</v>
      </c>
      <c r="R203" s="1" t="s">
        <v>822</v>
      </c>
      <c r="S203" s="1"/>
      <c r="T203" s="1" t="s">
        <v>872</v>
      </c>
      <c r="U203" s="1"/>
      <c r="V203" s="1">
        <v>441.522</v>
      </c>
      <c r="W203" s="1">
        <v>441.522</v>
      </c>
      <c r="X203" s="1" t="s">
        <v>35</v>
      </c>
      <c r="Y203" s="1">
        <v>441522.0</v>
      </c>
      <c r="Z203" s="1"/>
      <c r="AA203" s="1">
        <v>441522</v>
      </c>
      <c r="AB203" s="1"/>
      <c r="AC203" s="1" t="s">
        <v>36</v>
      </c>
      <c r="AD203" s="1" t="s">
        <v>874</v>
      </c>
      <c r="AE203" s="1" t="s">
        <v>32</v>
      </c>
      <c r="AF203" s="1" t="s">
        <v>33</v>
      </c>
      <c r="AG203" s="1" t="s">
        <v>49</v>
      </c>
    </row>
    <row r="204" spans="1:33">
      <c r="A204" t="s">
        <v>875</v>
      </c>
      <c r="C204" t="s">
        <v>131</v>
      </c>
      <c r="E204" t="s">
        <v>822</v>
      </c>
      <c r="F204" t="s">
        <v>634</v>
      </c>
      <c r="G204">
        <v>71.16</v>
      </c>
      <c r="H204">
        <v>71.16</v>
      </c>
      <c r="I204" t="s">
        <v>94</v>
      </c>
      <c r="J204" t="s">
        <v>95</v>
      </c>
      <c r="K204" t="s">
        <v>31</v>
      </c>
      <c r="L204" t="s">
        <v>32</v>
      </c>
      <c r="M204" t="s">
        <v>33</v>
      </c>
      <c r="P204" s="1" t="s">
        <v>876</v>
      </c>
      <c r="Q204" s="1" t="s">
        <v>822</v>
      </c>
      <c r="R204" s="1" t="s">
        <v>822</v>
      </c>
      <c r="S204" s="1"/>
      <c r="T204" s="1" t="s">
        <v>131</v>
      </c>
      <c r="U204" s="1"/>
      <c r="V204" s="1">
        <v>71.16</v>
      </c>
      <c r="W204" s="1">
        <v>71.16</v>
      </c>
      <c r="X204" s="1" t="s">
        <v>35</v>
      </c>
      <c r="Y204" s="1">
        <v>71160.0</v>
      </c>
      <c r="Z204" s="1"/>
      <c r="AA204" s="1">
        <v>71160</v>
      </c>
      <c r="AB204" s="1"/>
      <c r="AC204" s="1" t="s">
        <v>36</v>
      </c>
      <c r="AD204" s="1" t="s">
        <v>877</v>
      </c>
      <c r="AE204" s="1" t="s">
        <v>32</v>
      </c>
      <c r="AF204" s="1" t="s">
        <v>33</v>
      </c>
      <c r="AG204" s="1" t="s">
        <v>95</v>
      </c>
    </row>
    <row r="205" spans="1:33">
      <c r="A205" t="s">
        <v>878</v>
      </c>
      <c r="C205" t="s">
        <v>879</v>
      </c>
      <c r="E205" t="s">
        <v>822</v>
      </c>
      <c r="F205" t="s">
        <v>634</v>
      </c>
      <c r="G205">
        <v>1.226</v>
      </c>
      <c r="H205">
        <v>1.226</v>
      </c>
      <c r="I205" t="s">
        <v>94</v>
      </c>
      <c r="J205" t="s">
        <v>95</v>
      </c>
      <c r="K205" t="s">
        <v>31</v>
      </c>
      <c r="L205" t="s">
        <v>32</v>
      </c>
      <c r="M205" t="s">
        <v>33</v>
      </c>
      <c r="P205" s="1" t="s">
        <v>880</v>
      </c>
      <c r="Q205" s="1" t="s">
        <v>822</v>
      </c>
      <c r="R205" s="1" t="s">
        <v>822</v>
      </c>
      <c r="S205" s="1"/>
      <c r="T205" s="1" t="s">
        <v>879</v>
      </c>
      <c r="U205" s="1"/>
      <c r="V205" s="1">
        <v>1.226</v>
      </c>
      <c r="W205" s="1">
        <v>1.226</v>
      </c>
      <c r="X205" s="1" t="s">
        <v>35</v>
      </c>
      <c r="Y205" s="1">
        <v>1226500.0</v>
      </c>
      <c r="Z205" s="1"/>
      <c r="AA205" s="1">
        <v>1226500</v>
      </c>
      <c r="AB205" s="1"/>
      <c r="AC205" s="1" t="s">
        <v>36</v>
      </c>
      <c r="AD205" s="1" t="s">
        <v>874</v>
      </c>
      <c r="AE205" s="1" t="s">
        <v>32</v>
      </c>
      <c r="AF205" s="1" t="s">
        <v>33</v>
      </c>
      <c r="AG205" s="1" t="s">
        <v>95</v>
      </c>
    </row>
    <row r="206" spans="1:33">
      <c r="A206" t="s">
        <v>881</v>
      </c>
      <c r="B206" t="s">
        <v>882</v>
      </c>
      <c r="C206" t="s">
        <v>268</v>
      </c>
      <c r="E206" t="s">
        <v>822</v>
      </c>
      <c r="F206" t="s">
        <v>634</v>
      </c>
      <c r="G206">
        <v>90.95</v>
      </c>
      <c r="H206">
        <v>90.95</v>
      </c>
      <c r="I206" t="s">
        <v>269</v>
      </c>
      <c r="J206" t="s">
        <v>270</v>
      </c>
      <c r="K206" t="s">
        <v>31</v>
      </c>
      <c r="L206" t="s">
        <v>32</v>
      </c>
      <c r="M206" t="s">
        <v>33</v>
      </c>
      <c r="P206" s="1" t="s">
        <v>883</v>
      </c>
      <c r="Q206" s="1" t="s">
        <v>822</v>
      </c>
      <c r="R206" s="1" t="s">
        <v>822</v>
      </c>
      <c r="S206" s="1"/>
      <c r="T206" s="1" t="s">
        <v>268</v>
      </c>
      <c r="U206" s="1"/>
      <c r="V206" s="1">
        <v>90.95</v>
      </c>
      <c r="W206" s="1">
        <v>90.95</v>
      </c>
      <c r="X206" s="1" t="s">
        <v>35</v>
      </c>
      <c r="Y206" s="1">
        <v>90950.0</v>
      </c>
      <c r="Z206" s="1"/>
      <c r="AA206" s="1">
        <v>90950</v>
      </c>
      <c r="AB206" s="1"/>
      <c r="AC206" s="1" t="s">
        <v>36</v>
      </c>
      <c r="AD206" s="1" t="s">
        <v>884</v>
      </c>
      <c r="AE206" s="1" t="s">
        <v>32</v>
      </c>
      <c r="AF206" s="1" t="s">
        <v>33</v>
      </c>
      <c r="AG206" s="1" t="s">
        <v>270</v>
      </c>
    </row>
    <row r="207" spans="1:33">
      <c r="A207" t="s">
        <v>885</v>
      </c>
      <c r="B207" t="s">
        <v>886</v>
      </c>
      <c r="C207" t="s">
        <v>887</v>
      </c>
      <c r="E207" t="s">
        <v>822</v>
      </c>
      <c r="F207" t="s">
        <v>634</v>
      </c>
      <c r="G207">
        <v>1.301</v>
      </c>
      <c r="H207">
        <v>1.301</v>
      </c>
      <c r="I207" t="s">
        <v>29</v>
      </c>
      <c r="J207" t="s">
        <v>30</v>
      </c>
      <c r="K207" t="s">
        <v>31</v>
      </c>
      <c r="L207" t="s">
        <v>32</v>
      </c>
      <c r="M207" t="s">
        <v>33</v>
      </c>
      <c r="P207" s="1" t="s">
        <v>888</v>
      </c>
      <c r="Q207" s="1" t="s">
        <v>822</v>
      </c>
      <c r="R207" s="1" t="s">
        <v>822</v>
      </c>
      <c r="S207" s="1"/>
      <c r="T207" s="1" t="s">
        <v>887</v>
      </c>
      <c r="U207" s="1"/>
      <c r="V207" s="1">
        <v>1.301</v>
      </c>
      <c r="W207" s="1">
        <v>1.301</v>
      </c>
      <c r="X207" s="1" t="s">
        <v>35</v>
      </c>
      <c r="Y207" s="1">
        <v>1301250.0</v>
      </c>
      <c r="Z207" s="1"/>
      <c r="AA207" s="1">
        <v>1296300</v>
      </c>
      <c r="AB207" s="1">
        <v>4950</v>
      </c>
      <c r="AC207" s="1" t="s">
        <v>36</v>
      </c>
      <c r="AD207" s="1" t="s">
        <v>889</v>
      </c>
      <c r="AE207" s="1" t="s">
        <v>32</v>
      </c>
      <c r="AF207" s="1" t="s">
        <v>33</v>
      </c>
      <c r="AG207" s="1" t="s">
        <v>30</v>
      </c>
    </row>
    <row r="208" spans="1:33">
      <c r="A208" t="s">
        <v>890</v>
      </c>
      <c r="B208" t="s">
        <v>891</v>
      </c>
      <c r="C208" t="s">
        <v>892</v>
      </c>
      <c r="E208" t="s">
        <v>822</v>
      </c>
      <c r="F208" t="s">
        <v>634</v>
      </c>
      <c r="G208">
        <v>2.235</v>
      </c>
      <c r="H208">
        <v>2.235</v>
      </c>
      <c r="I208" t="s">
        <v>29</v>
      </c>
      <c r="J208" t="s">
        <v>30</v>
      </c>
      <c r="K208" t="s">
        <v>31</v>
      </c>
      <c r="L208" t="s">
        <v>32</v>
      </c>
      <c r="M208" t="s">
        <v>33</v>
      </c>
      <c r="P208" s="1" t="s">
        <v>893</v>
      </c>
      <c r="Q208" s="1" t="s">
        <v>822</v>
      </c>
      <c r="R208" s="1" t="s">
        <v>822</v>
      </c>
      <c r="S208" s="1"/>
      <c r="T208" s="1" t="s">
        <v>894</v>
      </c>
      <c r="U208" s="1" t="s">
        <v>154</v>
      </c>
      <c r="V208" s="1">
        <v>2.235</v>
      </c>
      <c r="W208" s="1">
        <v>2.235</v>
      </c>
      <c r="X208" s="1" t="s">
        <v>35</v>
      </c>
      <c r="Y208" s="1">
        <v>2235000.0</v>
      </c>
      <c r="Z208" s="1"/>
      <c r="AA208" s="1">
        <v>2235000</v>
      </c>
      <c r="AB208" s="1"/>
      <c r="AC208" s="1" t="s">
        <v>36</v>
      </c>
      <c r="AD208" s="1" t="s">
        <v>895</v>
      </c>
      <c r="AE208" s="1" t="s">
        <v>32</v>
      </c>
      <c r="AF208" s="1" t="s">
        <v>33</v>
      </c>
      <c r="AG208" s="1" t="s">
        <v>30</v>
      </c>
    </row>
    <row r="209" spans="1:33">
      <c r="A209" t="s">
        <v>896</v>
      </c>
      <c r="B209" t="s">
        <v>897</v>
      </c>
      <c r="C209" t="s">
        <v>314</v>
      </c>
      <c r="E209" t="s">
        <v>822</v>
      </c>
      <c r="F209" t="s">
        <v>634</v>
      </c>
      <c r="G209">
        <v>18.59</v>
      </c>
      <c r="H209">
        <v>18.59</v>
      </c>
      <c r="I209" t="s">
        <v>179</v>
      </c>
      <c r="J209" t="s">
        <v>180</v>
      </c>
      <c r="K209" t="s">
        <v>31</v>
      </c>
      <c r="L209" t="s">
        <v>32</v>
      </c>
      <c r="M209" t="s">
        <v>33</v>
      </c>
      <c r="P209" s="1" t="s">
        <v>898</v>
      </c>
      <c r="Q209" s="1" t="s">
        <v>822</v>
      </c>
      <c r="R209" s="1" t="s">
        <v>822</v>
      </c>
      <c r="S209" s="1"/>
      <c r="T209" s="1" t="s">
        <v>314</v>
      </c>
      <c r="U209" s="1"/>
      <c r="V209" s="1">
        <v>18.59</v>
      </c>
      <c r="W209" s="1">
        <v>18.59</v>
      </c>
      <c r="X209" s="1" t="s">
        <v>35</v>
      </c>
      <c r="Y209" s="1">
        <v>18590.0</v>
      </c>
      <c r="Z209" s="1"/>
      <c r="AA209" s="1">
        <v>18590</v>
      </c>
      <c r="AB209" s="1"/>
      <c r="AC209" s="1" t="s">
        <v>36</v>
      </c>
      <c r="AD209" s="1" t="s">
        <v>899</v>
      </c>
      <c r="AE209" s="1" t="s">
        <v>32</v>
      </c>
      <c r="AF209" s="1" t="s">
        <v>33</v>
      </c>
      <c r="AG209" s="1" t="s">
        <v>180</v>
      </c>
    </row>
    <row r="210" spans="1:33">
      <c r="A210" t="s">
        <v>900</v>
      </c>
      <c r="C210" t="s">
        <v>901</v>
      </c>
      <c r="D210" t="s">
        <v>114</v>
      </c>
      <c r="E210" t="s">
        <v>822</v>
      </c>
      <c r="F210" t="s">
        <v>634</v>
      </c>
      <c r="G210">
        <v>688.0</v>
      </c>
      <c r="H210">
        <v>688.0</v>
      </c>
      <c r="I210" t="s">
        <v>269</v>
      </c>
      <c r="J210" t="s">
        <v>270</v>
      </c>
      <c r="K210" t="s">
        <v>31</v>
      </c>
      <c r="L210" t="s">
        <v>32</v>
      </c>
      <c r="M210" t="s">
        <v>33</v>
      </c>
      <c r="P210" s="1" t="s">
        <v>902</v>
      </c>
      <c r="Q210" s="1" t="s">
        <v>822</v>
      </c>
      <c r="R210" s="1" t="s">
        <v>822</v>
      </c>
      <c r="S210" s="1"/>
      <c r="T210" s="1" t="s">
        <v>901</v>
      </c>
      <c r="U210" s="1"/>
      <c r="V210" s="1">
        <v>688.0</v>
      </c>
      <c r="W210" s="1">
        <v>688.0</v>
      </c>
      <c r="X210" s="1" t="s">
        <v>35</v>
      </c>
      <c r="Y210" s="1">
        <v>688000.0</v>
      </c>
      <c r="Z210" s="1"/>
      <c r="AA210" s="1">
        <v>688000</v>
      </c>
      <c r="AB210" s="1"/>
      <c r="AC210" s="1" t="s">
        <v>36</v>
      </c>
      <c r="AD210" s="1" t="s">
        <v>903</v>
      </c>
      <c r="AE210" s="1" t="s">
        <v>32</v>
      </c>
      <c r="AF210" s="1" t="s">
        <v>33</v>
      </c>
      <c r="AG210" s="1" t="s">
        <v>270</v>
      </c>
    </row>
    <row r="211" spans="1:33">
      <c r="A211" t="s">
        <v>904</v>
      </c>
      <c r="B211" t="s">
        <v>905</v>
      </c>
      <c r="C211" t="s">
        <v>906</v>
      </c>
      <c r="E211" t="s">
        <v>822</v>
      </c>
      <c r="F211" t="s">
        <v>634</v>
      </c>
      <c r="G211">
        <v>356.356</v>
      </c>
      <c r="H211">
        <v>356.356</v>
      </c>
      <c r="I211" t="s">
        <v>847</v>
      </c>
      <c r="J211" t="s">
        <v>848</v>
      </c>
      <c r="K211" t="s">
        <v>31</v>
      </c>
      <c r="L211" t="s">
        <v>32</v>
      </c>
      <c r="M211" t="s">
        <v>33</v>
      </c>
      <c r="P211" s="1" t="s">
        <v>907</v>
      </c>
      <c r="Q211" s="1" t="s">
        <v>822</v>
      </c>
      <c r="R211" s="1" t="s">
        <v>822</v>
      </c>
      <c r="S211" s="1"/>
      <c r="T211" s="1" t="s">
        <v>906</v>
      </c>
      <c r="U211" s="1"/>
      <c r="V211" s="1">
        <v>356.356</v>
      </c>
      <c r="W211" s="1">
        <v>356.356</v>
      </c>
      <c r="X211" s="1" t="s">
        <v>35</v>
      </c>
      <c r="Y211" s="1">
        <v>356356.0</v>
      </c>
      <c r="Z211" s="1"/>
      <c r="AA211" s="1">
        <v>356356</v>
      </c>
      <c r="AB211" s="1"/>
      <c r="AC211" s="1" t="s">
        <v>36</v>
      </c>
      <c r="AD211" s="1" t="s">
        <v>908</v>
      </c>
      <c r="AE211" s="1" t="s">
        <v>32</v>
      </c>
      <c r="AF211" s="1" t="s">
        <v>33</v>
      </c>
      <c r="AG211" s="1" t="s">
        <v>848</v>
      </c>
    </row>
    <row r="212" spans="1:33">
      <c r="A212" t="s">
        <v>909</v>
      </c>
      <c r="B212" t="s">
        <v>910</v>
      </c>
      <c r="C212" t="s">
        <v>26</v>
      </c>
      <c r="E212" t="s">
        <v>822</v>
      </c>
      <c r="F212" t="s">
        <v>634</v>
      </c>
      <c r="G212">
        <v>19.644</v>
      </c>
      <c r="H212">
        <v>19.644</v>
      </c>
      <c r="I212" t="s">
        <v>29</v>
      </c>
      <c r="J212" t="s">
        <v>30</v>
      </c>
      <c r="K212" t="s">
        <v>31</v>
      </c>
      <c r="L212" t="s">
        <v>32</v>
      </c>
      <c r="M212" t="s">
        <v>33</v>
      </c>
      <c r="P212" s="1" t="s">
        <v>911</v>
      </c>
      <c r="Q212" s="1" t="s">
        <v>822</v>
      </c>
      <c r="R212" s="1" t="s">
        <v>822</v>
      </c>
      <c r="S212" s="1"/>
      <c r="T212" s="1" t="s">
        <v>26</v>
      </c>
      <c r="U212" s="1"/>
      <c r="V212" s="1">
        <v>19.644</v>
      </c>
      <c r="W212" s="1">
        <v>19.644</v>
      </c>
      <c r="X212" s="1" t="s">
        <v>35</v>
      </c>
      <c r="Y212" s="1">
        <v>19644.0</v>
      </c>
      <c r="Z212" s="1"/>
      <c r="AA212" s="1">
        <v>19644</v>
      </c>
      <c r="AB212" s="1"/>
      <c r="AC212" s="1" t="s">
        <v>36</v>
      </c>
      <c r="AD212" s="1" t="s">
        <v>912</v>
      </c>
      <c r="AE212" s="1" t="s">
        <v>32</v>
      </c>
      <c r="AF212" s="1" t="s">
        <v>33</v>
      </c>
      <c r="AG212" s="1" t="s">
        <v>30</v>
      </c>
    </row>
    <row r="213" spans="1:33">
      <c r="A213" t="s">
        <v>913</v>
      </c>
      <c r="B213" t="s">
        <v>914</v>
      </c>
      <c r="C213" t="s">
        <v>314</v>
      </c>
      <c r="E213" t="s">
        <v>822</v>
      </c>
      <c r="F213" t="s">
        <v>634</v>
      </c>
      <c r="G213">
        <v>60.98</v>
      </c>
      <c r="H213">
        <v>60.98</v>
      </c>
      <c r="I213" t="s">
        <v>179</v>
      </c>
      <c r="J213" t="s">
        <v>180</v>
      </c>
      <c r="K213" t="s">
        <v>31</v>
      </c>
      <c r="L213" t="s">
        <v>32</v>
      </c>
      <c r="M213" t="s">
        <v>33</v>
      </c>
      <c r="P213" s="1" t="s">
        <v>915</v>
      </c>
      <c r="Q213" s="1" t="s">
        <v>822</v>
      </c>
      <c r="R213" s="1" t="s">
        <v>822</v>
      </c>
      <c r="S213" s="1"/>
      <c r="T213" s="1" t="s">
        <v>314</v>
      </c>
      <c r="U213" s="1"/>
      <c r="V213" s="1">
        <v>60.98</v>
      </c>
      <c r="W213" s="1">
        <v>60.98</v>
      </c>
      <c r="X213" s="1" t="s">
        <v>35</v>
      </c>
      <c r="Y213" s="1">
        <v>60980.0</v>
      </c>
      <c r="Z213" s="1"/>
      <c r="AA213" s="1">
        <v>60980</v>
      </c>
      <c r="AB213" s="1"/>
      <c r="AC213" s="1" t="s">
        <v>36</v>
      </c>
      <c r="AD213" s="1" t="s">
        <v>916</v>
      </c>
      <c r="AE213" s="1" t="s">
        <v>32</v>
      </c>
      <c r="AF213" s="1" t="s">
        <v>33</v>
      </c>
      <c r="AG213" s="1" t="s">
        <v>180</v>
      </c>
    </row>
    <row r="214" spans="1:33">
      <c r="A214" t="s">
        <v>917</v>
      </c>
      <c r="C214" t="s">
        <v>918</v>
      </c>
      <c r="E214" t="s">
        <v>822</v>
      </c>
      <c r="F214" t="s">
        <v>634</v>
      </c>
      <c r="G214">
        <v>589.75</v>
      </c>
      <c r="H214">
        <v>589.75</v>
      </c>
      <c r="I214" t="s">
        <v>48</v>
      </c>
      <c r="J214" t="s">
        <v>49</v>
      </c>
      <c r="K214" t="s">
        <v>31</v>
      </c>
      <c r="L214" t="s">
        <v>32</v>
      </c>
      <c r="M214" t="s">
        <v>33</v>
      </c>
      <c r="P214" s="1" t="s">
        <v>919</v>
      </c>
      <c r="Q214" s="1" t="s">
        <v>822</v>
      </c>
      <c r="R214" s="1" t="s">
        <v>822</v>
      </c>
      <c r="S214" s="1"/>
      <c r="T214" s="1" t="s">
        <v>918</v>
      </c>
      <c r="U214" s="1"/>
      <c r="V214" s="1">
        <v>589.75</v>
      </c>
      <c r="W214" s="1">
        <v>589.75</v>
      </c>
      <c r="X214" s="1" t="s">
        <v>35</v>
      </c>
      <c r="Y214" s="1">
        <v>589750.0</v>
      </c>
      <c r="Z214" s="1"/>
      <c r="AA214" s="1">
        <v>589750</v>
      </c>
      <c r="AB214" s="1"/>
      <c r="AC214" s="1" t="s">
        <v>36</v>
      </c>
      <c r="AD214" s="1" t="s">
        <v>920</v>
      </c>
      <c r="AE214" s="1" t="s">
        <v>32</v>
      </c>
      <c r="AF214" s="1" t="s">
        <v>33</v>
      </c>
      <c r="AG214" s="1" t="s">
        <v>49</v>
      </c>
    </row>
    <row r="215" spans="1:33">
      <c r="A215" t="s">
        <v>921</v>
      </c>
      <c r="C215" t="s">
        <v>922</v>
      </c>
      <c r="E215" t="s">
        <v>822</v>
      </c>
      <c r="F215" t="s">
        <v>634</v>
      </c>
      <c r="G215">
        <v>4.92</v>
      </c>
      <c r="H215">
        <v>4.92</v>
      </c>
      <c r="I215" t="s">
        <v>227</v>
      </c>
      <c r="J215" t="s">
        <v>228</v>
      </c>
      <c r="K215" t="s">
        <v>31</v>
      </c>
      <c r="L215" t="s">
        <v>32</v>
      </c>
      <c r="M215" t="s">
        <v>33</v>
      </c>
      <c r="P215" s="1" t="s">
        <v>923</v>
      </c>
      <c r="Q215" s="1" t="s">
        <v>822</v>
      </c>
      <c r="R215" s="1" t="s">
        <v>822</v>
      </c>
      <c r="S215" s="1"/>
      <c r="T215" s="1" t="s">
        <v>922</v>
      </c>
      <c r="U215" s="1"/>
      <c r="V215" s="1">
        <v>4.92</v>
      </c>
      <c r="W215" s="1">
        <v>4.92</v>
      </c>
      <c r="X215" s="1" t="s">
        <v>35</v>
      </c>
      <c r="Y215" s="1">
        <v>4920000.0</v>
      </c>
      <c r="Z215" s="1"/>
      <c r="AA215" s="1">
        <v>4920000</v>
      </c>
      <c r="AB215" s="1"/>
      <c r="AC215" s="1" t="s">
        <v>36</v>
      </c>
      <c r="AD215" s="1" t="s">
        <v>924</v>
      </c>
      <c r="AE215" s="1" t="s">
        <v>32</v>
      </c>
      <c r="AF215" s="1" t="s">
        <v>33</v>
      </c>
      <c r="AG215" s="1" t="s">
        <v>228</v>
      </c>
    </row>
    <row r="216" spans="1:33">
      <c r="A216" t="s">
        <v>925</v>
      </c>
      <c r="C216" t="s">
        <v>926</v>
      </c>
      <c r="D216" t="s">
        <v>154</v>
      </c>
      <c r="E216" t="s">
        <v>822</v>
      </c>
      <c r="F216" t="s">
        <v>634</v>
      </c>
      <c r="G216">
        <v>585.0</v>
      </c>
      <c r="H216">
        <v>585.0</v>
      </c>
      <c r="I216" t="s">
        <v>40</v>
      </c>
      <c r="J216" t="s">
        <v>41</v>
      </c>
      <c r="K216" t="s">
        <v>31</v>
      </c>
      <c r="L216" t="s">
        <v>32</v>
      </c>
      <c r="M216" t="s">
        <v>33</v>
      </c>
      <c r="P216" s="1" t="s">
        <v>927</v>
      </c>
      <c r="Q216" s="1" t="s">
        <v>822</v>
      </c>
      <c r="R216" s="1" t="s">
        <v>27</v>
      </c>
      <c r="S216" s="1"/>
      <c r="T216" s="1" t="s">
        <v>928</v>
      </c>
      <c r="U216" s="1" t="s">
        <v>929</v>
      </c>
      <c r="V216" s="1">
        <v>585.0</v>
      </c>
      <c r="W216" s="1">
        <v>585.0</v>
      </c>
      <c r="X216" s="1" t="s">
        <v>35</v>
      </c>
      <c r="Y216" s="1">
        <v>585000.0</v>
      </c>
      <c r="Z216" s="1"/>
      <c r="AA216" s="1">
        <v>585000</v>
      </c>
      <c r="AB216" s="1"/>
      <c r="AC216" s="1" t="s">
        <v>36</v>
      </c>
      <c r="AD216" s="1" t="s">
        <v>930</v>
      </c>
      <c r="AE216" s="1" t="s">
        <v>32</v>
      </c>
      <c r="AF216" s="1" t="s">
        <v>33</v>
      </c>
      <c r="AG216" s="1" t="s">
        <v>41</v>
      </c>
    </row>
    <row r="217" spans="1:33">
      <c r="A217" t="s">
        <v>931</v>
      </c>
      <c r="C217" t="s">
        <v>932</v>
      </c>
      <c r="E217" t="s">
        <v>822</v>
      </c>
      <c r="F217" t="s">
        <v>634</v>
      </c>
      <c r="G217">
        <v>1.066</v>
      </c>
      <c r="H217">
        <v>1.066</v>
      </c>
      <c r="I217" t="s">
        <v>227</v>
      </c>
      <c r="J217" t="s">
        <v>228</v>
      </c>
      <c r="K217" t="s">
        <v>31</v>
      </c>
      <c r="L217" t="s">
        <v>32</v>
      </c>
      <c r="M217" t="s">
        <v>33</v>
      </c>
      <c r="P217" s="1" t="s">
        <v>933</v>
      </c>
      <c r="Q217" s="1" t="s">
        <v>822</v>
      </c>
      <c r="R217" s="1" t="s">
        <v>822</v>
      </c>
      <c r="S217" s="1"/>
      <c r="T217" s="1" t="s">
        <v>932</v>
      </c>
      <c r="U217" s="1"/>
      <c r="V217" s="1">
        <v>1.066</v>
      </c>
      <c r="W217" s="1">
        <v>1.066</v>
      </c>
      <c r="X217" s="1" t="s">
        <v>35</v>
      </c>
      <c r="Y217" s="1">
        <v>1066000.0</v>
      </c>
      <c r="Z217" s="1"/>
      <c r="AA217" s="1">
        <v>1066000</v>
      </c>
      <c r="AB217" s="1"/>
      <c r="AC217" s="1" t="s">
        <v>36</v>
      </c>
      <c r="AD217" s="1" t="s">
        <v>934</v>
      </c>
      <c r="AE217" s="1" t="s">
        <v>32</v>
      </c>
      <c r="AF217" s="1" t="s">
        <v>33</v>
      </c>
      <c r="AG217" s="1" t="s">
        <v>228</v>
      </c>
    </row>
    <row r="218" spans="1:33">
      <c r="A218" t="s">
        <v>935</v>
      </c>
      <c r="B218" t="s">
        <v>936</v>
      </c>
      <c r="C218" t="s">
        <v>73</v>
      </c>
      <c r="E218" t="s">
        <v>822</v>
      </c>
      <c r="F218" t="s">
        <v>634</v>
      </c>
      <c r="G218">
        <v>49.0</v>
      </c>
      <c r="H218">
        <v>49.0</v>
      </c>
      <c r="I218" t="s">
        <v>40</v>
      </c>
      <c r="J218" t="s">
        <v>41</v>
      </c>
      <c r="K218" t="s">
        <v>31</v>
      </c>
      <c r="L218" t="s">
        <v>32</v>
      </c>
      <c r="M218" t="s">
        <v>33</v>
      </c>
      <c r="P218" s="1" t="s">
        <v>937</v>
      </c>
      <c r="Q218" s="1" t="s">
        <v>822</v>
      </c>
      <c r="R218" s="1" t="s">
        <v>27</v>
      </c>
      <c r="S218" s="1"/>
      <c r="T218" s="1" t="s">
        <v>75</v>
      </c>
      <c r="U218" s="1" t="s">
        <v>76</v>
      </c>
      <c r="V218" s="1">
        <v>49.0</v>
      </c>
      <c r="W218" s="1">
        <v>49.0</v>
      </c>
      <c r="X218" s="1" t="s">
        <v>35</v>
      </c>
      <c r="Y218" s="1">
        <v>49000.0</v>
      </c>
      <c r="Z218" s="1"/>
      <c r="AA218" s="1">
        <v>49000</v>
      </c>
      <c r="AB218" s="1"/>
      <c r="AC218" s="1" t="s">
        <v>36</v>
      </c>
      <c r="AD218" s="1" t="s">
        <v>938</v>
      </c>
      <c r="AE218" s="1" t="s">
        <v>32</v>
      </c>
      <c r="AF218" s="1" t="s">
        <v>33</v>
      </c>
      <c r="AG218" s="1" t="s">
        <v>41</v>
      </c>
    </row>
    <row r="219" spans="1:33">
      <c r="A219" t="s">
        <v>939</v>
      </c>
      <c r="C219" t="s">
        <v>940</v>
      </c>
      <c r="E219" t="s">
        <v>822</v>
      </c>
      <c r="F219" t="s">
        <v>634</v>
      </c>
      <c r="G219">
        <v>717.25</v>
      </c>
      <c r="H219">
        <v>717.25</v>
      </c>
      <c r="I219" t="s">
        <v>269</v>
      </c>
      <c r="J219" t="s">
        <v>270</v>
      </c>
      <c r="K219" t="s">
        <v>31</v>
      </c>
      <c r="L219" t="s">
        <v>32</v>
      </c>
      <c r="M219" t="s">
        <v>33</v>
      </c>
      <c r="P219" s="1" t="s">
        <v>941</v>
      </c>
      <c r="Q219" s="1" t="s">
        <v>822</v>
      </c>
      <c r="R219" s="1" t="s">
        <v>822</v>
      </c>
      <c r="S219" s="1"/>
      <c r="T219" s="1" t="s">
        <v>942</v>
      </c>
      <c r="U219" s="1" t="s">
        <v>943</v>
      </c>
      <c r="V219" s="1">
        <v>717.25</v>
      </c>
      <c r="W219" s="1">
        <v>717.25</v>
      </c>
      <c r="X219" s="1" t="s">
        <v>35</v>
      </c>
      <c r="Y219" s="1">
        <v>717250.0</v>
      </c>
      <c r="Z219" s="1"/>
      <c r="AA219" s="1">
        <v>717250</v>
      </c>
      <c r="AB219" s="1"/>
      <c r="AC219" s="1" t="s">
        <v>36</v>
      </c>
      <c r="AD219" s="1" t="s">
        <v>944</v>
      </c>
      <c r="AE219" s="1" t="s">
        <v>32</v>
      </c>
      <c r="AF219" s="1" t="s">
        <v>33</v>
      </c>
      <c r="AG219" s="1" t="s">
        <v>270</v>
      </c>
    </row>
    <row r="220" spans="1:33">
      <c r="A220" t="s">
        <v>945</v>
      </c>
      <c r="B220" t="s">
        <v>946</v>
      </c>
      <c r="C220" t="s">
        <v>73</v>
      </c>
      <c r="E220" t="s">
        <v>822</v>
      </c>
      <c r="F220" t="s">
        <v>634</v>
      </c>
      <c r="G220">
        <v>3.449</v>
      </c>
      <c r="H220">
        <v>3.449</v>
      </c>
      <c r="I220" t="s">
        <v>40</v>
      </c>
      <c r="J220" t="s">
        <v>41</v>
      </c>
      <c r="K220" t="s">
        <v>31</v>
      </c>
      <c r="L220" t="s">
        <v>32</v>
      </c>
      <c r="M220" t="s">
        <v>33</v>
      </c>
      <c r="P220" s="1" t="s">
        <v>947</v>
      </c>
      <c r="Q220" s="1" t="s">
        <v>822</v>
      </c>
      <c r="R220" s="1" t="s">
        <v>27</v>
      </c>
      <c r="S220" s="1"/>
      <c r="T220" s="1" t="s">
        <v>75</v>
      </c>
      <c r="U220" s="1" t="s">
        <v>76</v>
      </c>
      <c r="V220" s="1">
        <v>3.449</v>
      </c>
      <c r="W220" s="1">
        <v>3.449</v>
      </c>
      <c r="X220" s="1" t="s">
        <v>35</v>
      </c>
      <c r="Y220" s="1">
        <v>3450.0</v>
      </c>
      <c r="Z220" s="1">
        <v>-1</v>
      </c>
      <c r="AA220" s="1">
        <v>3450</v>
      </c>
      <c r="AB220" s="1">
        <v>-1</v>
      </c>
      <c r="AC220" s="1" t="s">
        <v>36</v>
      </c>
      <c r="AD220" s="1" t="s">
        <v>948</v>
      </c>
      <c r="AE220" s="1" t="s">
        <v>32</v>
      </c>
      <c r="AF220" s="1" t="s">
        <v>33</v>
      </c>
      <c r="AG220" s="1" t="s">
        <v>41</v>
      </c>
    </row>
    <row r="221" spans="1:33">
      <c r="A221" t="s">
        <v>949</v>
      </c>
      <c r="B221" t="s">
        <v>950</v>
      </c>
      <c r="C221" t="s">
        <v>951</v>
      </c>
      <c r="E221" t="s">
        <v>822</v>
      </c>
      <c r="F221" t="s">
        <v>634</v>
      </c>
      <c r="G221">
        <v>4.98</v>
      </c>
      <c r="H221">
        <v>4.98</v>
      </c>
      <c r="I221" t="s">
        <v>59</v>
      </c>
      <c r="J221" t="s">
        <v>60</v>
      </c>
      <c r="K221" t="s">
        <v>31</v>
      </c>
      <c r="L221" t="s">
        <v>32</v>
      </c>
      <c r="M221" t="s">
        <v>33</v>
      </c>
      <c r="P221" s="1" t="s">
        <v>952</v>
      </c>
      <c r="Q221" s="1" t="s">
        <v>822</v>
      </c>
      <c r="R221" s="1" t="s">
        <v>822</v>
      </c>
      <c r="S221" s="1"/>
      <c r="T221" s="1" t="s">
        <v>951</v>
      </c>
      <c r="U221" s="1"/>
      <c r="V221" s="1">
        <v>4.98</v>
      </c>
      <c r="W221" s="1">
        <v>4.98</v>
      </c>
      <c r="X221" s="1" t="s">
        <v>35</v>
      </c>
      <c r="Y221" s="1">
        <v>4980.0</v>
      </c>
      <c r="Z221" s="1"/>
      <c r="AA221" s="1">
        <v>4980</v>
      </c>
      <c r="AB221" s="1"/>
      <c r="AC221" s="1" t="s">
        <v>36</v>
      </c>
      <c r="AD221" s="1" t="s">
        <v>953</v>
      </c>
      <c r="AE221" s="1" t="s">
        <v>32</v>
      </c>
      <c r="AF221" s="1" t="s">
        <v>33</v>
      </c>
      <c r="AG221" s="1" t="s">
        <v>60</v>
      </c>
    </row>
    <row r="222" spans="1:33">
      <c r="A222" t="s">
        <v>954</v>
      </c>
      <c r="C222" t="s">
        <v>955</v>
      </c>
      <c r="D222" t="s">
        <v>114</v>
      </c>
      <c r="E222" t="s">
        <v>822</v>
      </c>
      <c r="F222" t="s">
        <v>634</v>
      </c>
      <c r="G222">
        <v>630.0</v>
      </c>
      <c r="H222">
        <v>630.0</v>
      </c>
      <c r="I222" t="s">
        <v>40</v>
      </c>
      <c r="J222" t="s">
        <v>41</v>
      </c>
      <c r="K222" t="s">
        <v>31</v>
      </c>
      <c r="L222" t="s">
        <v>32</v>
      </c>
      <c r="M222" t="s">
        <v>33</v>
      </c>
      <c r="P222" s="1" t="s">
        <v>956</v>
      </c>
      <c r="Q222" s="1" t="s">
        <v>822</v>
      </c>
      <c r="R222" s="1" t="s">
        <v>27</v>
      </c>
      <c r="S222" s="1"/>
      <c r="T222" s="1" t="s">
        <v>955</v>
      </c>
      <c r="U222" s="1"/>
      <c r="V222" s="1">
        <v>630.0</v>
      </c>
      <c r="W222" s="1">
        <v>630.0</v>
      </c>
      <c r="X222" s="1" t="s">
        <v>35</v>
      </c>
      <c r="Y222" s="1">
        <v>630000.0</v>
      </c>
      <c r="Z222" s="1"/>
      <c r="AA222" s="1">
        <v>630000</v>
      </c>
      <c r="AB222" s="1"/>
      <c r="AC222" s="1" t="s">
        <v>36</v>
      </c>
      <c r="AD222" s="1" t="s">
        <v>953</v>
      </c>
      <c r="AE222" s="1" t="s">
        <v>32</v>
      </c>
      <c r="AF222" s="1" t="s">
        <v>33</v>
      </c>
      <c r="AG222" s="1" t="s">
        <v>41</v>
      </c>
    </row>
    <row r="223" spans="1:33">
      <c r="A223" t="s">
        <v>957</v>
      </c>
      <c r="B223" t="s">
        <v>958</v>
      </c>
      <c r="C223" t="s">
        <v>47</v>
      </c>
      <c r="E223" t="s">
        <v>822</v>
      </c>
      <c r="F223" t="s">
        <v>634</v>
      </c>
      <c r="G223">
        <v>19.49</v>
      </c>
      <c r="H223">
        <v>19.49</v>
      </c>
      <c r="I223" t="s">
        <v>48</v>
      </c>
      <c r="J223" t="s">
        <v>49</v>
      </c>
      <c r="K223" t="s">
        <v>31</v>
      </c>
      <c r="L223" t="s">
        <v>32</v>
      </c>
      <c r="M223" t="s">
        <v>33</v>
      </c>
      <c r="P223" s="1" t="s">
        <v>959</v>
      </c>
      <c r="Q223" s="1" t="s">
        <v>822</v>
      </c>
      <c r="R223" s="1" t="s">
        <v>822</v>
      </c>
      <c r="S223" s="1"/>
      <c r="T223" s="1" t="s">
        <v>47</v>
      </c>
      <c r="U223" s="1"/>
      <c r="V223" s="1">
        <v>19.49</v>
      </c>
      <c r="W223" s="1">
        <v>19.49</v>
      </c>
      <c r="X223" s="1" t="s">
        <v>35</v>
      </c>
      <c r="Y223" s="1">
        <v>19490.0</v>
      </c>
      <c r="Z223" s="1"/>
      <c r="AA223" s="1">
        <v>19490</v>
      </c>
      <c r="AB223" s="1"/>
      <c r="AC223" s="1" t="s">
        <v>36</v>
      </c>
      <c r="AD223" s="1" t="s">
        <v>953</v>
      </c>
      <c r="AE223" s="1" t="s">
        <v>32</v>
      </c>
      <c r="AF223" s="1" t="s">
        <v>33</v>
      </c>
      <c r="AG223" s="1" t="s">
        <v>49</v>
      </c>
    </row>
    <row r="224" spans="1:33">
      <c r="A224" t="s">
        <v>960</v>
      </c>
      <c r="C224" t="s">
        <v>961</v>
      </c>
      <c r="E224" t="s">
        <v>822</v>
      </c>
      <c r="F224" t="s">
        <v>634</v>
      </c>
      <c r="G224">
        <v>336.0</v>
      </c>
      <c r="H224">
        <v>336.0</v>
      </c>
      <c r="I224" t="s">
        <v>570</v>
      </c>
      <c r="J224" t="s">
        <v>571</v>
      </c>
      <c r="K224" t="s">
        <v>31</v>
      </c>
      <c r="L224" t="s">
        <v>32</v>
      </c>
      <c r="M224" t="s">
        <v>33</v>
      </c>
      <c r="P224" s="1" t="s">
        <v>962</v>
      </c>
      <c r="Q224" s="1" t="s">
        <v>822</v>
      </c>
      <c r="R224" s="1" t="s">
        <v>822</v>
      </c>
      <c r="S224" s="1"/>
      <c r="T224" s="1" t="s">
        <v>961</v>
      </c>
      <c r="U224" s="1"/>
      <c r="V224" s="1">
        <v>336.0</v>
      </c>
      <c r="W224" s="1">
        <v>336.0</v>
      </c>
      <c r="X224" s="1" t="s">
        <v>35</v>
      </c>
      <c r="Y224" s="1">
        <v>336000.0</v>
      </c>
      <c r="Z224" s="1"/>
      <c r="AA224" s="1">
        <v>336000</v>
      </c>
      <c r="AB224" s="1"/>
      <c r="AC224" s="1" t="s">
        <v>36</v>
      </c>
      <c r="AD224" s="1" t="s">
        <v>963</v>
      </c>
      <c r="AE224" s="1" t="s">
        <v>32</v>
      </c>
      <c r="AF224" s="1" t="s">
        <v>33</v>
      </c>
      <c r="AG224" s="1" t="s">
        <v>571</v>
      </c>
    </row>
    <row r="225" spans="1:33">
      <c r="A225" t="s">
        <v>964</v>
      </c>
      <c r="C225" t="s">
        <v>965</v>
      </c>
      <c r="D225" t="s">
        <v>154</v>
      </c>
      <c r="E225" t="s">
        <v>822</v>
      </c>
      <c r="F225" t="s">
        <v>634</v>
      </c>
      <c r="G225">
        <v>697.0</v>
      </c>
      <c r="H225">
        <v>697.0</v>
      </c>
      <c r="I225" t="s">
        <v>40</v>
      </c>
      <c r="J225" t="s">
        <v>41</v>
      </c>
      <c r="K225" t="s">
        <v>31</v>
      </c>
      <c r="L225" t="s">
        <v>32</v>
      </c>
      <c r="M225" t="s">
        <v>33</v>
      </c>
      <c r="P225" s="1" t="s">
        <v>966</v>
      </c>
      <c r="Q225" s="1" t="s">
        <v>822</v>
      </c>
      <c r="R225" s="1" t="s">
        <v>27</v>
      </c>
      <c r="S225" s="1"/>
      <c r="T225" s="1" t="s">
        <v>965</v>
      </c>
      <c r="U225" s="1"/>
      <c r="V225" s="1">
        <v>697.0</v>
      </c>
      <c r="W225" s="1">
        <v>697.0</v>
      </c>
      <c r="X225" s="1" t="s">
        <v>35</v>
      </c>
      <c r="Y225" s="1">
        <v>1400000.0</v>
      </c>
      <c r="Z225" s="1">
        <v>-703000</v>
      </c>
      <c r="AA225" s="1">
        <v>1400000</v>
      </c>
      <c r="AB225" s="1">
        <v>-703000</v>
      </c>
      <c r="AC225" s="1" t="s">
        <v>36</v>
      </c>
      <c r="AD225" s="1" t="s">
        <v>967</v>
      </c>
      <c r="AE225" s="1" t="s">
        <v>32</v>
      </c>
      <c r="AF225" s="1" t="s">
        <v>33</v>
      </c>
      <c r="AG225" s="1" t="s">
        <v>41</v>
      </c>
    </row>
    <row r="226" spans="1:33">
      <c r="A226" t="s">
        <v>968</v>
      </c>
      <c r="C226" t="s">
        <v>969</v>
      </c>
      <c r="E226" t="s">
        <v>822</v>
      </c>
      <c r="F226" t="s">
        <v>634</v>
      </c>
      <c r="G226">
        <v>47.0</v>
      </c>
      <c r="H226">
        <v>47.0</v>
      </c>
      <c r="I226" t="s">
        <v>126</v>
      </c>
      <c r="J226" t="s">
        <v>127</v>
      </c>
      <c r="K226" t="s">
        <v>31</v>
      </c>
      <c r="L226" t="s">
        <v>32</v>
      </c>
      <c r="M226" t="s">
        <v>33</v>
      </c>
      <c r="P226" s="1" t="s">
        <v>970</v>
      </c>
      <c r="Q226" s="1" t="s">
        <v>822</v>
      </c>
      <c r="R226" s="1" t="s">
        <v>822</v>
      </c>
      <c r="S226" s="1"/>
      <c r="T226" s="1" t="s">
        <v>969</v>
      </c>
      <c r="U226" s="1"/>
      <c r="V226" s="1">
        <v>47.0</v>
      </c>
      <c r="W226" s="1">
        <v>47.0</v>
      </c>
      <c r="X226" s="1" t="s">
        <v>35</v>
      </c>
      <c r="Y226" s="1">
        <v>47000.0</v>
      </c>
      <c r="Z226" s="1"/>
      <c r="AA226" s="1">
        <v>47000</v>
      </c>
      <c r="AB226" s="1"/>
      <c r="AC226" s="1" t="s">
        <v>36</v>
      </c>
      <c r="AD226" s="1" t="s">
        <v>963</v>
      </c>
      <c r="AE226" s="1" t="s">
        <v>32</v>
      </c>
      <c r="AF226" s="1" t="s">
        <v>33</v>
      </c>
      <c r="AG226" s="1" t="s">
        <v>127</v>
      </c>
    </row>
    <row r="227" spans="1:33">
      <c r="A227" t="s">
        <v>971</v>
      </c>
      <c r="B227" t="s">
        <v>972</v>
      </c>
      <c r="C227" t="s">
        <v>569</v>
      </c>
      <c r="E227" t="s">
        <v>822</v>
      </c>
      <c r="F227" t="s">
        <v>634</v>
      </c>
      <c r="G227">
        <v>70.47</v>
      </c>
      <c r="H227">
        <v>70.47</v>
      </c>
      <c r="I227" t="s">
        <v>570</v>
      </c>
      <c r="J227" t="s">
        <v>571</v>
      </c>
      <c r="K227" t="s">
        <v>31</v>
      </c>
      <c r="L227" t="s">
        <v>32</v>
      </c>
      <c r="M227" t="s">
        <v>33</v>
      </c>
      <c r="P227" s="1" t="s">
        <v>973</v>
      </c>
      <c r="Q227" s="1" t="s">
        <v>822</v>
      </c>
      <c r="R227" s="1" t="s">
        <v>822</v>
      </c>
      <c r="S227" s="1"/>
      <c r="T227" s="1" t="s">
        <v>569</v>
      </c>
      <c r="U227" s="1"/>
      <c r="V227" s="1">
        <v>70.47</v>
      </c>
      <c r="W227" s="1">
        <v>70.47</v>
      </c>
      <c r="X227" s="1" t="s">
        <v>35</v>
      </c>
      <c r="Y227" s="1">
        <v>70470.0</v>
      </c>
      <c r="Z227" s="1"/>
      <c r="AA227" s="1">
        <v>70470</v>
      </c>
      <c r="AB227" s="1"/>
      <c r="AC227" s="1" t="s">
        <v>36</v>
      </c>
      <c r="AD227" s="1" t="s">
        <v>974</v>
      </c>
      <c r="AE227" s="1" t="s">
        <v>32</v>
      </c>
      <c r="AF227" s="1" t="s">
        <v>33</v>
      </c>
      <c r="AG227" s="1" t="s">
        <v>571</v>
      </c>
    </row>
    <row r="228" spans="1:33">
      <c r="A228" t="s">
        <v>975</v>
      </c>
      <c r="C228" t="s">
        <v>831</v>
      </c>
      <c r="D228" t="s">
        <v>114</v>
      </c>
      <c r="E228" t="s">
        <v>822</v>
      </c>
      <c r="F228" t="s">
        <v>634</v>
      </c>
      <c r="G228">
        <v>47.0</v>
      </c>
      <c r="H228">
        <v>47.0</v>
      </c>
      <c r="I228" t="s">
        <v>40</v>
      </c>
      <c r="J228" t="s">
        <v>41</v>
      </c>
      <c r="K228" t="s">
        <v>31</v>
      </c>
      <c r="L228" t="s">
        <v>32</v>
      </c>
      <c r="M228" t="s">
        <v>33</v>
      </c>
      <c r="P228" s="1" t="s">
        <v>976</v>
      </c>
      <c r="Q228" s="1" t="s">
        <v>822</v>
      </c>
      <c r="R228" s="1" t="s">
        <v>822</v>
      </c>
      <c r="S228" s="1"/>
      <c r="T228" s="1" t="s">
        <v>831</v>
      </c>
      <c r="U228" s="1"/>
      <c r="V228" s="1">
        <v>47.0</v>
      </c>
      <c r="W228" s="1">
        <v>47.0</v>
      </c>
      <c r="X228" s="1" t="s">
        <v>35</v>
      </c>
      <c r="Y228" s="1">
        <v>49000.0</v>
      </c>
      <c r="Z228" s="1">
        <v>-2000</v>
      </c>
      <c r="AA228" s="1">
        <v>49000</v>
      </c>
      <c r="AB228" s="1">
        <v>-2000</v>
      </c>
      <c r="AC228" s="1" t="s">
        <v>36</v>
      </c>
      <c r="AD228" s="1" t="s">
        <v>977</v>
      </c>
      <c r="AE228" s="1" t="s">
        <v>32</v>
      </c>
      <c r="AF228" s="1" t="s">
        <v>33</v>
      </c>
      <c r="AG228" s="1" t="s">
        <v>41</v>
      </c>
    </row>
    <row r="229" spans="1:33">
      <c r="A229" t="s">
        <v>978</v>
      </c>
      <c r="B229" t="s">
        <v>886</v>
      </c>
      <c r="C229" t="s">
        <v>887</v>
      </c>
      <c r="E229" t="s">
        <v>822</v>
      </c>
      <c r="F229" t="s">
        <v>634</v>
      </c>
      <c r="G229">
        <v>73.98</v>
      </c>
      <c r="H229">
        <v>73.98</v>
      </c>
      <c r="I229" t="s">
        <v>29</v>
      </c>
      <c r="J229" t="s">
        <v>30</v>
      </c>
      <c r="K229" t="s">
        <v>31</v>
      </c>
      <c r="L229" t="s">
        <v>32</v>
      </c>
      <c r="M229" t="s">
        <v>33</v>
      </c>
      <c r="P229" s="1" t="s">
        <v>979</v>
      </c>
      <c r="Q229" s="1" t="s">
        <v>822</v>
      </c>
      <c r="R229" s="1" t="s">
        <v>822</v>
      </c>
      <c r="S229" s="1"/>
      <c r="T229" s="1" t="s">
        <v>887</v>
      </c>
      <c r="U229" s="1"/>
      <c r="V229" s="1">
        <v>73.98</v>
      </c>
      <c r="W229" s="1">
        <v>73.98</v>
      </c>
      <c r="X229" s="1" t="s">
        <v>35</v>
      </c>
      <c r="Y229" s="1">
        <v>73980.0</v>
      </c>
      <c r="Z229" s="1"/>
      <c r="AA229" s="1"/>
      <c r="AB229" s="1">
        <v>73980</v>
      </c>
      <c r="AC229" s="1" t="s">
        <v>36</v>
      </c>
      <c r="AD229" s="1" t="s">
        <v>944</v>
      </c>
      <c r="AE229" s="1" t="s">
        <v>32</v>
      </c>
      <c r="AF229" s="1" t="s">
        <v>33</v>
      </c>
      <c r="AG229" s="1" t="s">
        <v>30</v>
      </c>
    </row>
    <row r="230" spans="1:33">
      <c r="A230" t="s">
        <v>980</v>
      </c>
      <c r="C230" t="s">
        <v>981</v>
      </c>
      <c r="E230" t="s">
        <v>822</v>
      </c>
      <c r="F230" t="s">
        <v>634</v>
      </c>
      <c r="G230">
        <v>425.0</v>
      </c>
      <c r="H230">
        <v>425.0</v>
      </c>
      <c r="I230" t="s">
        <v>847</v>
      </c>
      <c r="J230" t="s">
        <v>848</v>
      </c>
      <c r="K230" t="s">
        <v>31</v>
      </c>
      <c r="L230" t="s">
        <v>32</v>
      </c>
      <c r="M230" t="s">
        <v>33</v>
      </c>
      <c r="P230" s="1" t="s">
        <v>982</v>
      </c>
      <c r="Q230" s="1" t="s">
        <v>822</v>
      </c>
      <c r="R230" s="1" t="s">
        <v>822</v>
      </c>
      <c r="S230" s="1"/>
      <c r="T230" s="1" t="s">
        <v>981</v>
      </c>
      <c r="U230" s="1"/>
      <c r="V230" s="1">
        <v>425.0</v>
      </c>
      <c r="W230" s="1">
        <v>425.0</v>
      </c>
      <c r="X230" s="1" t="s">
        <v>35</v>
      </c>
      <c r="Y230" s="1">
        <v>425000.0</v>
      </c>
      <c r="Z230" s="1"/>
      <c r="AA230" s="1">
        <v>425000</v>
      </c>
      <c r="AB230" s="1"/>
      <c r="AC230" s="1" t="s">
        <v>36</v>
      </c>
      <c r="AD230" s="1" t="s">
        <v>916</v>
      </c>
      <c r="AE230" s="1" t="s">
        <v>32</v>
      </c>
      <c r="AF230" s="1" t="s">
        <v>33</v>
      </c>
      <c r="AG230" s="1" t="s">
        <v>848</v>
      </c>
    </row>
    <row r="231" spans="1:33">
      <c r="A231" t="s">
        <v>983</v>
      </c>
      <c r="C231" t="s">
        <v>984</v>
      </c>
      <c r="E231" t="s">
        <v>822</v>
      </c>
      <c r="F231" t="s">
        <v>634</v>
      </c>
      <c r="G231">
        <v>1.016</v>
      </c>
      <c r="H231">
        <v>1.016</v>
      </c>
      <c r="I231" t="s">
        <v>269</v>
      </c>
      <c r="J231" t="s">
        <v>270</v>
      </c>
      <c r="K231" t="s">
        <v>31</v>
      </c>
      <c r="L231" t="s">
        <v>32</v>
      </c>
      <c r="M231" t="s">
        <v>33</v>
      </c>
      <c r="P231" s="1" t="s">
        <v>985</v>
      </c>
      <c r="Q231" s="1" t="s">
        <v>822</v>
      </c>
      <c r="R231" s="1" t="s">
        <v>822</v>
      </c>
      <c r="S231" s="1"/>
      <c r="T231" s="1" t="s">
        <v>984</v>
      </c>
      <c r="U231" s="1"/>
      <c r="V231" s="1">
        <v>1.016</v>
      </c>
      <c r="W231" s="1">
        <v>1.016</v>
      </c>
      <c r="X231" s="1" t="s">
        <v>35</v>
      </c>
      <c r="Y231" s="1">
        <v>1016000.0</v>
      </c>
      <c r="Z231" s="1"/>
      <c r="AA231" s="1">
        <v>1016000</v>
      </c>
      <c r="AB231" s="1"/>
      <c r="AC231" s="1" t="s">
        <v>36</v>
      </c>
      <c r="AD231" s="1" t="s">
        <v>986</v>
      </c>
      <c r="AE231" s="1" t="s">
        <v>32</v>
      </c>
      <c r="AF231" s="1" t="s">
        <v>33</v>
      </c>
      <c r="AG231" s="1" t="s">
        <v>270</v>
      </c>
    </row>
    <row r="232" spans="1:33">
      <c r="A232" t="s">
        <v>987</v>
      </c>
      <c r="B232" t="s">
        <v>988</v>
      </c>
      <c r="C232" t="s">
        <v>172</v>
      </c>
      <c r="E232" t="s">
        <v>822</v>
      </c>
      <c r="F232" t="s">
        <v>634</v>
      </c>
      <c r="G232">
        <v>57.49</v>
      </c>
      <c r="H232">
        <v>57.49</v>
      </c>
      <c r="I232" t="s">
        <v>173</v>
      </c>
      <c r="J232" t="s">
        <v>174</v>
      </c>
      <c r="K232" t="s">
        <v>31</v>
      </c>
      <c r="L232" t="s">
        <v>32</v>
      </c>
      <c r="M232" t="s">
        <v>33</v>
      </c>
      <c r="P232" s="1" t="s">
        <v>989</v>
      </c>
      <c r="Q232" s="1" t="s">
        <v>822</v>
      </c>
      <c r="R232" s="1" t="s">
        <v>822</v>
      </c>
      <c r="S232" s="1"/>
      <c r="T232" s="1" t="s">
        <v>172</v>
      </c>
      <c r="U232" s="1"/>
      <c r="V232" s="1">
        <v>57.49</v>
      </c>
      <c r="W232" s="1">
        <v>57.49</v>
      </c>
      <c r="X232" s="1" t="s">
        <v>35</v>
      </c>
      <c r="Y232" s="1">
        <v>57490.0</v>
      </c>
      <c r="Z232" s="1"/>
      <c r="AA232" s="1">
        <v>57490</v>
      </c>
      <c r="AB232" s="1"/>
      <c r="AC232" s="1" t="s">
        <v>36</v>
      </c>
      <c r="AD232" s="1" t="s">
        <v>990</v>
      </c>
      <c r="AE232" s="1" t="s">
        <v>32</v>
      </c>
      <c r="AF232" s="1" t="s">
        <v>33</v>
      </c>
      <c r="AG232" s="1" t="s">
        <v>174</v>
      </c>
    </row>
    <row r="233" spans="1:33">
      <c r="A233" t="s">
        <v>991</v>
      </c>
      <c r="C233" t="s">
        <v>992</v>
      </c>
      <c r="E233" t="s">
        <v>822</v>
      </c>
      <c r="F233" t="s">
        <v>634</v>
      </c>
      <c r="G233">
        <v>326.0</v>
      </c>
      <c r="H233">
        <v>326.0</v>
      </c>
      <c r="I233" t="s">
        <v>847</v>
      </c>
      <c r="J233" t="s">
        <v>848</v>
      </c>
      <c r="K233" t="s">
        <v>31</v>
      </c>
      <c r="L233" t="s">
        <v>32</v>
      </c>
      <c r="M233" t="s">
        <v>33</v>
      </c>
      <c r="P233" s="1" t="s">
        <v>993</v>
      </c>
      <c r="Q233" s="1" t="s">
        <v>822</v>
      </c>
      <c r="R233" s="1" t="s">
        <v>822</v>
      </c>
      <c r="S233" s="1"/>
      <c r="T233" s="1" t="s">
        <v>992</v>
      </c>
      <c r="U233" s="1"/>
      <c r="V233" s="1">
        <v>326.0</v>
      </c>
      <c r="W233" s="1">
        <v>326.0</v>
      </c>
      <c r="X233" s="1" t="s">
        <v>35</v>
      </c>
      <c r="Y233" s="1">
        <v>326000.0</v>
      </c>
      <c r="Z233" s="1"/>
      <c r="AA233" s="1">
        <v>326000</v>
      </c>
      <c r="AB233" s="1"/>
      <c r="AC233" s="1" t="s">
        <v>36</v>
      </c>
      <c r="AD233" s="1" t="s">
        <v>994</v>
      </c>
      <c r="AE233" s="1" t="s">
        <v>32</v>
      </c>
      <c r="AF233" s="1" t="s">
        <v>33</v>
      </c>
      <c r="AG233" s="1" t="s">
        <v>848</v>
      </c>
    </row>
    <row r="234" spans="1:33">
      <c r="A234" t="s">
        <v>995</v>
      </c>
      <c r="C234" t="s">
        <v>996</v>
      </c>
      <c r="E234" t="s">
        <v>822</v>
      </c>
      <c r="F234" t="s">
        <v>634</v>
      </c>
      <c r="G234">
        <v>326.0</v>
      </c>
      <c r="H234">
        <v>326.0</v>
      </c>
      <c r="I234" t="s">
        <v>847</v>
      </c>
      <c r="J234" t="s">
        <v>848</v>
      </c>
      <c r="K234" t="s">
        <v>31</v>
      </c>
      <c r="L234" t="s">
        <v>32</v>
      </c>
      <c r="M234" t="s">
        <v>33</v>
      </c>
      <c r="P234" s="1" t="s">
        <v>997</v>
      </c>
      <c r="Q234" s="1" t="s">
        <v>822</v>
      </c>
      <c r="R234" s="1" t="s">
        <v>822</v>
      </c>
      <c r="S234" s="1"/>
      <c r="T234" s="1" t="s">
        <v>996</v>
      </c>
      <c r="U234" s="1"/>
      <c r="V234" s="1">
        <v>326.0</v>
      </c>
      <c r="W234" s="1">
        <v>326.0</v>
      </c>
      <c r="X234" s="1" t="s">
        <v>35</v>
      </c>
      <c r="Y234" s="1">
        <v>326000.0</v>
      </c>
      <c r="Z234" s="1"/>
      <c r="AA234" s="1">
        <v>326000</v>
      </c>
      <c r="AB234" s="1"/>
      <c r="AC234" s="1" t="s">
        <v>36</v>
      </c>
      <c r="AD234" s="1" t="s">
        <v>998</v>
      </c>
      <c r="AE234" s="1" t="s">
        <v>32</v>
      </c>
      <c r="AF234" s="1" t="s">
        <v>33</v>
      </c>
      <c r="AG234" s="1" t="s">
        <v>848</v>
      </c>
    </row>
    <row r="235" spans="1:33">
      <c r="A235" t="s">
        <v>999</v>
      </c>
      <c r="B235" t="s">
        <v>1000</v>
      </c>
      <c r="C235" t="s">
        <v>314</v>
      </c>
      <c r="E235" t="s">
        <v>822</v>
      </c>
      <c r="F235" t="s">
        <v>634</v>
      </c>
      <c r="G235">
        <v>90.794</v>
      </c>
      <c r="H235">
        <v>90.794</v>
      </c>
      <c r="I235" t="s">
        <v>179</v>
      </c>
      <c r="J235" t="s">
        <v>180</v>
      </c>
      <c r="K235" t="s">
        <v>31</v>
      </c>
      <c r="L235" t="s">
        <v>32</v>
      </c>
      <c r="M235" t="s">
        <v>33</v>
      </c>
      <c r="P235" s="1" t="s">
        <v>1001</v>
      </c>
      <c r="Q235" s="1" t="s">
        <v>822</v>
      </c>
      <c r="R235" s="1" t="s">
        <v>822</v>
      </c>
      <c r="S235" s="1"/>
      <c r="T235" s="1" t="s">
        <v>314</v>
      </c>
      <c r="U235" s="1"/>
      <c r="V235" s="1">
        <v>90.794</v>
      </c>
      <c r="W235" s="1">
        <v>90.794</v>
      </c>
      <c r="X235" s="1" t="s">
        <v>35</v>
      </c>
      <c r="Y235" s="1">
        <v>90794.0</v>
      </c>
      <c r="Z235" s="1"/>
      <c r="AA235" s="1">
        <v>90794</v>
      </c>
      <c r="AB235" s="1"/>
      <c r="AC235" s="1" t="s">
        <v>36</v>
      </c>
      <c r="AD235" s="1" t="s">
        <v>1002</v>
      </c>
      <c r="AE235" s="1" t="s">
        <v>32</v>
      </c>
      <c r="AF235" s="1" t="s">
        <v>33</v>
      </c>
      <c r="AG235" s="1" t="s">
        <v>180</v>
      </c>
    </row>
    <row r="236" spans="1:33">
      <c r="A236" t="s">
        <v>1003</v>
      </c>
      <c r="C236" t="s">
        <v>1004</v>
      </c>
      <c r="D236" t="s">
        <v>114</v>
      </c>
      <c r="E236" t="s">
        <v>822</v>
      </c>
      <c r="F236" t="s">
        <v>634</v>
      </c>
      <c r="G236">
        <v>701.2</v>
      </c>
      <c r="H236">
        <v>701.2</v>
      </c>
      <c r="I236" t="s">
        <v>847</v>
      </c>
      <c r="J236" t="s">
        <v>848</v>
      </c>
      <c r="K236" t="s">
        <v>31</v>
      </c>
      <c r="L236" t="s">
        <v>32</v>
      </c>
      <c r="M236" t="s">
        <v>33</v>
      </c>
      <c r="P236" s="1" t="s">
        <v>1005</v>
      </c>
      <c r="Q236" s="1" t="s">
        <v>822</v>
      </c>
      <c r="R236" s="1" t="s">
        <v>822</v>
      </c>
      <c r="S236" s="1"/>
      <c r="T236" s="1" t="s">
        <v>1006</v>
      </c>
      <c r="U236" s="1" t="s">
        <v>1007</v>
      </c>
      <c r="V236" s="1">
        <v>701.2</v>
      </c>
      <c r="W236" s="1">
        <v>701.2</v>
      </c>
      <c r="X236" s="1" t="s">
        <v>35</v>
      </c>
      <c r="Y236" s="1">
        <v>701200.0</v>
      </c>
      <c r="Z236" s="1"/>
      <c r="AA236" s="1">
        <v>701200</v>
      </c>
      <c r="AB236" s="1"/>
      <c r="AC236" s="1" t="s">
        <v>36</v>
      </c>
      <c r="AD236" s="1" t="s">
        <v>1008</v>
      </c>
      <c r="AE236" s="1" t="s">
        <v>32</v>
      </c>
      <c r="AF236" s="1" t="s">
        <v>33</v>
      </c>
      <c r="AG236" s="1" t="s">
        <v>848</v>
      </c>
    </row>
    <row r="237" spans="1:33">
      <c r="A237" t="s">
        <v>1009</v>
      </c>
      <c r="C237" t="s">
        <v>47</v>
      </c>
      <c r="E237" t="s">
        <v>822</v>
      </c>
      <c r="F237" t="s">
        <v>634</v>
      </c>
      <c r="G237">
        <v>1.27</v>
      </c>
      <c r="H237">
        <v>1.27</v>
      </c>
      <c r="I237" t="s">
        <v>48</v>
      </c>
      <c r="J237" t="s">
        <v>49</v>
      </c>
      <c r="K237" t="s">
        <v>31</v>
      </c>
      <c r="L237" t="s">
        <v>32</v>
      </c>
      <c r="M237" t="s">
        <v>33</v>
      </c>
      <c r="P237" s="1" t="s">
        <v>1010</v>
      </c>
      <c r="Q237" s="1" t="s">
        <v>822</v>
      </c>
      <c r="R237" s="1" t="s">
        <v>822</v>
      </c>
      <c r="S237" s="1"/>
      <c r="T237" s="1" t="s">
        <v>47</v>
      </c>
      <c r="U237" s="1"/>
      <c r="V237" s="1">
        <v>1.27</v>
      </c>
      <c r="W237" s="1">
        <v>1.27</v>
      </c>
      <c r="X237" s="1" t="s">
        <v>35</v>
      </c>
      <c r="Y237" s="1">
        <v>1270.0</v>
      </c>
      <c r="Z237" s="1"/>
      <c r="AA237" s="1">
        <v>1270</v>
      </c>
      <c r="AB237" s="1"/>
      <c r="AC237" s="1" t="s">
        <v>36</v>
      </c>
      <c r="AD237" s="1" t="s">
        <v>998</v>
      </c>
      <c r="AE237" s="1" t="s">
        <v>32</v>
      </c>
      <c r="AF237" s="1" t="s">
        <v>33</v>
      </c>
      <c r="AG237" s="1" t="s">
        <v>49</v>
      </c>
    </row>
    <row r="238" spans="1:33">
      <c r="A238" t="s">
        <v>1011</v>
      </c>
      <c r="C238" t="s">
        <v>1012</v>
      </c>
      <c r="D238" t="s">
        <v>114</v>
      </c>
      <c r="E238" t="s">
        <v>822</v>
      </c>
      <c r="F238" t="s">
        <v>634</v>
      </c>
      <c r="G238">
        <v>538.7</v>
      </c>
      <c r="H238">
        <v>538.7</v>
      </c>
      <c r="I238" t="s">
        <v>847</v>
      </c>
      <c r="J238" t="s">
        <v>848</v>
      </c>
      <c r="K238" t="s">
        <v>31</v>
      </c>
      <c r="L238" t="s">
        <v>32</v>
      </c>
      <c r="M238" t="s">
        <v>33</v>
      </c>
      <c r="P238" s="1" t="s">
        <v>1013</v>
      </c>
      <c r="Q238" s="1" t="s">
        <v>822</v>
      </c>
      <c r="R238" s="1" t="s">
        <v>822</v>
      </c>
      <c r="S238" s="1"/>
      <c r="T238" s="1" t="s">
        <v>1012</v>
      </c>
      <c r="U238" s="1"/>
      <c r="V238" s="1">
        <v>538.7</v>
      </c>
      <c r="W238" s="1">
        <v>538.7</v>
      </c>
      <c r="X238" s="1" t="s">
        <v>35</v>
      </c>
      <c r="Y238" s="1">
        <v>538700.0</v>
      </c>
      <c r="Z238" s="1"/>
      <c r="AA238" s="1">
        <v>538700</v>
      </c>
      <c r="AB238" s="1"/>
      <c r="AC238" s="1" t="s">
        <v>36</v>
      </c>
      <c r="AD238" s="1" t="s">
        <v>1014</v>
      </c>
      <c r="AE238" s="1" t="s">
        <v>32</v>
      </c>
      <c r="AF238" s="1" t="s">
        <v>33</v>
      </c>
      <c r="AG238" s="1" t="s">
        <v>848</v>
      </c>
    </row>
    <row r="239" spans="1:33">
      <c r="A239" t="s">
        <v>1015</v>
      </c>
      <c r="C239" t="s">
        <v>1016</v>
      </c>
      <c r="E239" t="s">
        <v>822</v>
      </c>
      <c r="F239" t="s">
        <v>634</v>
      </c>
      <c r="G239">
        <v>18.5</v>
      </c>
      <c r="H239">
        <v>18.5</v>
      </c>
      <c r="I239" t="s">
        <v>269</v>
      </c>
      <c r="J239" t="s">
        <v>270</v>
      </c>
      <c r="K239" t="s">
        <v>31</v>
      </c>
      <c r="L239" t="s">
        <v>32</v>
      </c>
      <c r="M239" t="s">
        <v>33</v>
      </c>
      <c r="P239" s="1" t="s">
        <v>1017</v>
      </c>
      <c r="Q239" s="1" t="s">
        <v>822</v>
      </c>
      <c r="R239" s="1" t="s">
        <v>822</v>
      </c>
      <c r="S239" s="1"/>
      <c r="T239" s="1" t="s">
        <v>1016</v>
      </c>
      <c r="U239" s="1"/>
      <c r="V239" s="1">
        <v>18.5</v>
      </c>
      <c r="W239" s="1">
        <v>18.5</v>
      </c>
      <c r="X239" s="1" t="s">
        <v>35</v>
      </c>
      <c r="Y239" s="1">
        <v>18500.0</v>
      </c>
      <c r="Z239" s="1"/>
      <c r="AA239" s="1">
        <v>18500</v>
      </c>
      <c r="AB239" s="1"/>
      <c r="AC239" s="1" t="s">
        <v>36</v>
      </c>
      <c r="AD239" s="1" t="s">
        <v>1018</v>
      </c>
      <c r="AE239" s="1" t="s">
        <v>32</v>
      </c>
      <c r="AF239" s="1" t="s">
        <v>33</v>
      </c>
      <c r="AG239" s="1" t="s">
        <v>270</v>
      </c>
    </row>
    <row r="240" spans="1:33">
      <c r="A240" t="s">
        <v>1019</v>
      </c>
      <c r="C240" t="s">
        <v>1020</v>
      </c>
      <c r="E240" t="s">
        <v>822</v>
      </c>
      <c r="F240" t="s">
        <v>634</v>
      </c>
      <c r="G240">
        <v>1.381</v>
      </c>
      <c r="H240">
        <v>1.381</v>
      </c>
      <c r="I240" t="s">
        <v>847</v>
      </c>
      <c r="J240" t="s">
        <v>848</v>
      </c>
      <c r="K240" t="s">
        <v>31</v>
      </c>
      <c r="L240" t="s">
        <v>32</v>
      </c>
      <c r="M240" t="s">
        <v>33</v>
      </c>
      <c r="P240" s="1" t="s">
        <v>1021</v>
      </c>
      <c r="Q240" s="1" t="s">
        <v>822</v>
      </c>
      <c r="R240" s="1" t="s">
        <v>822</v>
      </c>
      <c r="S240" s="1"/>
      <c r="T240" s="1" t="s">
        <v>1020</v>
      </c>
      <c r="U240" s="1"/>
      <c r="V240" s="1">
        <v>1.381</v>
      </c>
      <c r="W240" s="1">
        <v>1.381</v>
      </c>
      <c r="X240" s="1" t="s">
        <v>35</v>
      </c>
      <c r="Y240" s="1">
        <v>1381100.0</v>
      </c>
      <c r="Z240" s="1"/>
      <c r="AA240" s="1">
        <v>1381100</v>
      </c>
      <c r="AB240" s="1"/>
      <c r="AC240" s="1" t="s">
        <v>36</v>
      </c>
      <c r="AD240" s="1" t="s">
        <v>1022</v>
      </c>
      <c r="AE240" s="1" t="s">
        <v>32</v>
      </c>
      <c r="AF240" s="1" t="s">
        <v>33</v>
      </c>
      <c r="AG240" s="1" t="s">
        <v>848</v>
      </c>
    </row>
    <row r="241" spans="1:33">
      <c r="A241" t="s">
        <v>1023</v>
      </c>
      <c r="C241" t="s">
        <v>1024</v>
      </c>
      <c r="E241" t="s">
        <v>822</v>
      </c>
      <c r="F241" t="s">
        <v>634</v>
      </c>
      <c r="G241">
        <v>2.525</v>
      </c>
      <c r="H241">
        <v>2.525</v>
      </c>
      <c r="I241" t="s">
        <v>847</v>
      </c>
      <c r="J241" t="s">
        <v>848</v>
      </c>
      <c r="K241" t="s">
        <v>31</v>
      </c>
      <c r="L241" t="s">
        <v>32</v>
      </c>
      <c r="M241" t="s">
        <v>33</v>
      </c>
      <c r="P241" s="1" t="s">
        <v>1025</v>
      </c>
      <c r="Q241" s="1" t="s">
        <v>822</v>
      </c>
      <c r="R241" s="1" t="s">
        <v>822</v>
      </c>
      <c r="S241" s="1"/>
      <c r="T241" s="1" t="s">
        <v>1024</v>
      </c>
      <c r="U241" s="1"/>
      <c r="V241" s="1">
        <v>2.525</v>
      </c>
      <c r="W241" s="1">
        <v>2.525</v>
      </c>
      <c r="X241" s="1" t="s">
        <v>35</v>
      </c>
      <c r="Y241" s="1">
        <v>2525200.0</v>
      </c>
      <c r="Z241" s="1"/>
      <c r="AA241" s="1">
        <v>2525200</v>
      </c>
      <c r="AB241" s="1"/>
      <c r="AC241" s="1" t="s">
        <v>36</v>
      </c>
      <c r="AD241" s="1" t="s">
        <v>1018</v>
      </c>
      <c r="AE241" s="1" t="s">
        <v>32</v>
      </c>
      <c r="AF241" s="1" t="s">
        <v>33</v>
      </c>
      <c r="AG241" s="1" t="s">
        <v>848</v>
      </c>
    </row>
    <row r="242" spans="1:33">
      <c r="A242" t="s">
        <v>1026</v>
      </c>
      <c r="B242" t="s">
        <v>1027</v>
      </c>
      <c r="C242" t="s">
        <v>73</v>
      </c>
      <c r="E242" t="s">
        <v>822</v>
      </c>
      <c r="F242" t="s">
        <v>634</v>
      </c>
      <c r="G242">
        <v>55.58</v>
      </c>
      <c r="H242">
        <v>55.58</v>
      </c>
      <c r="I242" t="s">
        <v>40</v>
      </c>
      <c r="J242" t="s">
        <v>41</v>
      </c>
      <c r="K242" t="s">
        <v>31</v>
      </c>
      <c r="L242" t="s">
        <v>32</v>
      </c>
      <c r="M242" t="s">
        <v>33</v>
      </c>
      <c r="P242" s="1" t="s">
        <v>1028</v>
      </c>
      <c r="Q242" s="1" t="s">
        <v>822</v>
      </c>
      <c r="R242" s="1" t="s">
        <v>27</v>
      </c>
      <c r="S242" s="1"/>
      <c r="T242" s="1" t="s">
        <v>75</v>
      </c>
      <c r="U242" s="1" t="s">
        <v>76</v>
      </c>
      <c r="V242" s="1">
        <v>55.58</v>
      </c>
      <c r="W242" s="1">
        <v>55.58</v>
      </c>
      <c r="X242" s="1" t="s">
        <v>35</v>
      </c>
      <c r="Y242" s="1">
        <v>55580.0</v>
      </c>
      <c r="Z242" s="1"/>
      <c r="AA242" s="1">
        <v>55580</v>
      </c>
      <c r="AB242" s="1"/>
      <c r="AC242" s="1" t="s">
        <v>36</v>
      </c>
      <c r="AD242" s="1" t="s">
        <v>1029</v>
      </c>
      <c r="AE242" s="1" t="s">
        <v>32</v>
      </c>
      <c r="AF242" s="1" t="s">
        <v>33</v>
      </c>
      <c r="AG242" s="1" t="s">
        <v>41</v>
      </c>
    </row>
    <row r="243" spans="1:33">
      <c r="A243" t="s">
        <v>1030</v>
      </c>
      <c r="B243" t="s">
        <v>1031</v>
      </c>
      <c r="C243" t="s">
        <v>1032</v>
      </c>
      <c r="E243" t="s">
        <v>822</v>
      </c>
      <c r="F243" t="s">
        <v>634</v>
      </c>
      <c r="G243">
        <v>5.0</v>
      </c>
      <c r="H243">
        <v>5.0</v>
      </c>
      <c r="I243" t="s">
        <v>40</v>
      </c>
      <c r="J243" t="s">
        <v>41</v>
      </c>
      <c r="K243" t="s">
        <v>31</v>
      </c>
      <c r="L243" t="s">
        <v>32</v>
      </c>
      <c r="M243" t="s">
        <v>33</v>
      </c>
      <c r="P243" s="1" t="s">
        <v>1033</v>
      </c>
      <c r="Q243" s="1" t="s">
        <v>822</v>
      </c>
      <c r="R243" s="1" t="s">
        <v>27</v>
      </c>
      <c r="S243" s="1"/>
      <c r="T243" s="1" t="s">
        <v>1032</v>
      </c>
      <c r="U243" s="1"/>
      <c r="V243" s="1">
        <v>5.0</v>
      </c>
      <c r="W243" s="1">
        <v>5.0</v>
      </c>
      <c r="X243" s="1" t="s">
        <v>35</v>
      </c>
      <c r="Y243" s="1">
        <v>5000.0</v>
      </c>
      <c r="Z243" s="1"/>
      <c r="AA243" s="1"/>
      <c r="AB243" s="1">
        <v>5000</v>
      </c>
      <c r="AC243" s="1" t="s">
        <v>36</v>
      </c>
      <c r="AD243" s="1" t="s">
        <v>1034</v>
      </c>
      <c r="AE243" s="1" t="s">
        <v>32</v>
      </c>
      <c r="AF243" s="1" t="s">
        <v>33</v>
      </c>
      <c r="AG243" s="1" t="s">
        <v>41</v>
      </c>
    </row>
    <row r="244" spans="1:33">
      <c r="A244" t="s">
        <v>1035</v>
      </c>
      <c r="C244" t="s">
        <v>827</v>
      </c>
      <c r="D244" t="s">
        <v>154</v>
      </c>
      <c r="E244" t="s">
        <v>822</v>
      </c>
      <c r="F244" t="s">
        <v>634</v>
      </c>
      <c r="G244">
        <v>20.0</v>
      </c>
      <c r="H244">
        <v>20.0</v>
      </c>
      <c r="I244" t="s">
        <v>269</v>
      </c>
      <c r="J244" t="s">
        <v>270</v>
      </c>
      <c r="K244" t="s">
        <v>31</v>
      </c>
      <c r="L244" t="s">
        <v>32</v>
      </c>
      <c r="M244" t="s">
        <v>33</v>
      </c>
      <c r="P244" s="1" t="s">
        <v>1036</v>
      </c>
      <c r="Q244" s="1" t="s">
        <v>822</v>
      </c>
      <c r="R244" s="1" t="s">
        <v>822</v>
      </c>
      <c r="S244" s="1"/>
      <c r="T244" s="1" t="s">
        <v>827</v>
      </c>
      <c r="U244" s="1"/>
      <c r="V244" s="1">
        <v>20.0</v>
      </c>
      <c r="W244" s="1">
        <v>20.0</v>
      </c>
      <c r="X244" s="1" t="s">
        <v>35</v>
      </c>
      <c r="Y244" s="1">
        <v>20000.0</v>
      </c>
      <c r="Z244" s="1"/>
      <c r="AA244" s="1">
        <v>20000</v>
      </c>
      <c r="AB244" s="1"/>
      <c r="AC244" s="1" t="s">
        <v>36</v>
      </c>
      <c r="AD244" s="1" t="s">
        <v>1037</v>
      </c>
      <c r="AE244" s="1" t="s">
        <v>32</v>
      </c>
      <c r="AF244" s="1" t="s">
        <v>33</v>
      </c>
      <c r="AG244" s="1" t="s">
        <v>270</v>
      </c>
    </row>
    <row r="245" spans="1:33">
      <c r="A245" t="s">
        <v>1038</v>
      </c>
      <c r="B245" t="s">
        <v>1039</v>
      </c>
      <c r="C245" t="s">
        <v>125</v>
      </c>
      <c r="E245" t="s">
        <v>822</v>
      </c>
      <c r="F245" t="s">
        <v>634</v>
      </c>
      <c r="G245">
        <v>4.298</v>
      </c>
      <c r="H245">
        <v>4.298</v>
      </c>
      <c r="I245" t="s">
        <v>126</v>
      </c>
      <c r="J245" t="s">
        <v>127</v>
      </c>
      <c r="K245" t="s">
        <v>31</v>
      </c>
      <c r="L245" t="s">
        <v>32</v>
      </c>
      <c r="M245" t="s">
        <v>33</v>
      </c>
      <c r="P245" s="1" t="s">
        <v>1040</v>
      </c>
      <c r="Q245" s="1" t="s">
        <v>822</v>
      </c>
      <c r="R245" s="1" t="s">
        <v>822</v>
      </c>
      <c r="S245" s="1"/>
      <c r="T245" s="1" t="s">
        <v>125</v>
      </c>
      <c r="U245" s="1"/>
      <c r="V245" s="1">
        <v>4.298</v>
      </c>
      <c r="W245" s="1">
        <v>4.298</v>
      </c>
      <c r="X245" s="1" t="s">
        <v>35</v>
      </c>
      <c r="Y245" s="1">
        <v>4298.0</v>
      </c>
      <c r="Z245" s="1"/>
      <c r="AA245" s="1">
        <v>4298</v>
      </c>
      <c r="AB245" s="1"/>
      <c r="AC245" s="1" t="s">
        <v>36</v>
      </c>
      <c r="AD245" s="1" t="s">
        <v>1041</v>
      </c>
      <c r="AE245" s="1" t="s">
        <v>32</v>
      </c>
      <c r="AF245" s="1" t="s">
        <v>33</v>
      </c>
      <c r="AG245" s="1" t="s">
        <v>127</v>
      </c>
    </row>
    <row r="246" spans="1:33">
      <c r="A246" t="s">
        <v>1042</v>
      </c>
      <c r="B246" t="s">
        <v>215</v>
      </c>
      <c r="C246" t="s">
        <v>125</v>
      </c>
      <c r="E246" t="s">
        <v>822</v>
      </c>
      <c r="F246" t="s">
        <v>634</v>
      </c>
      <c r="G246">
        <v>71.78</v>
      </c>
      <c r="H246">
        <v>71.78</v>
      </c>
      <c r="I246" t="s">
        <v>126</v>
      </c>
      <c r="J246" t="s">
        <v>127</v>
      </c>
      <c r="K246" t="s">
        <v>31</v>
      </c>
      <c r="L246" t="s">
        <v>32</v>
      </c>
      <c r="M246" t="s">
        <v>33</v>
      </c>
      <c r="P246" s="1" t="s">
        <v>1043</v>
      </c>
      <c r="Q246" s="1" t="s">
        <v>822</v>
      </c>
      <c r="R246" s="1" t="s">
        <v>822</v>
      </c>
      <c r="S246" s="1"/>
      <c r="T246" s="1" t="s">
        <v>125</v>
      </c>
      <c r="U246" s="1"/>
      <c r="V246" s="1">
        <v>71.78</v>
      </c>
      <c r="W246" s="1">
        <v>71.78</v>
      </c>
      <c r="X246" s="1" t="s">
        <v>35</v>
      </c>
      <c r="Y246" s="1">
        <v>71780.0</v>
      </c>
      <c r="Z246" s="1"/>
      <c r="AA246" s="1">
        <v>71780</v>
      </c>
      <c r="AB246" s="1"/>
      <c r="AC246" s="1" t="s">
        <v>36</v>
      </c>
      <c r="AD246" s="1" t="s">
        <v>1044</v>
      </c>
      <c r="AE246" s="1" t="s">
        <v>32</v>
      </c>
      <c r="AF246" s="1" t="s">
        <v>33</v>
      </c>
      <c r="AG246" s="1" t="s">
        <v>127</v>
      </c>
    </row>
    <row r="247" spans="1:33">
      <c r="A247" t="s">
        <v>1045</v>
      </c>
      <c r="B247" t="s">
        <v>1046</v>
      </c>
      <c r="C247" t="s">
        <v>47</v>
      </c>
      <c r="E247" t="s">
        <v>822</v>
      </c>
      <c r="F247" t="s">
        <v>634</v>
      </c>
      <c r="G247">
        <v>52.828</v>
      </c>
      <c r="H247">
        <v>52.828</v>
      </c>
      <c r="I247" t="s">
        <v>48</v>
      </c>
      <c r="J247" t="s">
        <v>49</v>
      </c>
      <c r="K247" t="s">
        <v>31</v>
      </c>
      <c r="L247" t="s">
        <v>32</v>
      </c>
      <c r="M247" t="s">
        <v>33</v>
      </c>
      <c r="P247" s="1" t="s">
        <v>1047</v>
      </c>
      <c r="Q247" s="1" t="s">
        <v>822</v>
      </c>
      <c r="R247" s="1" t="s">
        <v>822</v>
      </c>
      <c r="S247" s="1"/>
      <c r="T247" s="1" t="s">
        <v>47</v>
      </c>
      <c r="U247" s="1"/>
      <c r="V247" s="1">
        <v>52.828</v>
      </c>
      <c r="W247" s="1">
        <v>52.828</v>
      </c>
      <c r="X247" s="1" t="s">
        <v>35</v>
      </c>
      <c r="Y247" s="1">
        <v>52828.0</v>
      </c>
      <c r="Z247" s="1"/>
      <c r="AA247" s="1">
        <v>52828</v>
      </c>
      <c r="AB247" s="1"/>
      <c r="AC247" s="1" t="s">
        <v>36</v>
      </c>
      <c r="AD247" s="1" t="s">
        <v>994</v>
      </c>
      <c r="AE247" s="1" t="s">
        <v>32</v>
      </c>
      <c r="AF247" s="1" t="s">
        <v>33</v>
      </c>
      <c r="AG247" s="1" t="s">
        <v>49</v>
      </c>
    </row>
    <row r="248" spans="1:33">
      <c r="A248" t="s">
        <v>1048</v>
      </c>
      <c r="B248" t="s">
        <v>1049</v>
      </c>
      <c r="C248" t="s">
        <v>73</v>
      </c>
      <c r="E248" t="s">
        <v>822</v>
      </c>
      <c r="F248" t="s">
        <v>634</v>
      </c>
      <c r="G248">
        <v>182.45</v>
      </c>
      <c r="H248">
        <v>182.45</v>
      </c>
      <c r="I248" t="s">
        <v>40</v>
      </c>
      <c r="J248" t="s">
        <v>41</v>
      </c>
      <c r="K248" t="s">
        <v>31</v>
      </c>
      <c r="L248" t="s">
        <v>32</v>
      </c>
      <c r="M248" t="s">
        <v>33</v>
      </c>
      <c r="P248" s="1" t="s">
        <v>1050</v>
      </c>
      <c r="Q248" s="1" t="s">
        <v>822</v>
      </c>
      <c r="R248" s="1" t="s">
        <v>27</v>
      </c>
      <c r="S248" s="1"/>
      <c r="T248" s="1" t="s">
        <v>75</v>
      </c>
      <c r="U248" s="1" t="s">
        <v>76</v>
      </c>
      <c r="V248" s="1">
        <v>182.45</v>
      </c>
      <c r="W248" s="1">
        <v>182.45</v>
      </c>
      <c r="X248" s="1" t="s">
        <v>35</v>
      </c>
      <c r="Y248" s="1">
        <v>182450.0</v>
      </c>
      <c r="Z248" s="1"/>
      <c r="AA248" s="1">
        <v>182450</v>
      </c>
      <c r="AB248" s="1"/>
      <c r="AC248" s="1" t="s">
        <v>36</v>
      </c>
      <c r="AD248" s="1" t="s">
        <v>1051</v>
      </c>
      <c r="AE248" s="1" t="s">
        <v>32</v>
      </c>
      <c r="AF248" s="1" t="s">
        <v>33</v>
      </c>
      <c r="AG248" s="1" t="s">
        <v>41</v>
      </c>
    </row>
    <row r="249" spans="1:33">
      <c r="A249" t="s">
        <v>1052</v>
      </c>
      <c r="C249" t="s">
        <v>1053</v>
      </c>
      <c r="E249" t="s">
        <v>822</v>
      </c>
      <c r="F249" t="s">
        <v>634</v>
      </c>
      <c r="G249">
        <v>560.0</v>
      </c>
      <c r="H249">
        <v>560.0</v>
      </c>
      <c r="I249" t="s">
        <v>179</v>
      </c>
      <c r="J249" t="s">
        <v>180</v>
      </c>
      <c r="K249" t="s">
        <v>31</v>
      </c>
      <c r="L249" t="s">
        <v>32</v>
      </c>
      <c r="M249" t="s">
        <v>33</v>
      </c>
      <c r="P249" s="1" t="s">
        <v>1054</v>
      </c>
      <c r="Q249" s="1" t="s">
        <v>822</v>
      </c>
      <c r="R249" s="1" t="s">
        <v>822</v>
      </c>
      <c r="S249" s="1"/>
      <c r="T249" s="1" t="s">
        <v>1053</v>
      </c>
      <c r="U249" s="1"/>
      <c r="V249" s="1">
        <v>560.0</v>
      </c>
      <c r="W249" s="1">
        <v>560.0</v>
      </c>
      <c r="X249" s="1" t="s">
        <v>35</v>
      </c>
      <c r="Y249" s="1">
        <v>560000.0</v>
      </c>
      <c r="Z249" s="1"/>
      <c r="AA249" s="1">
        <v>560000</v>
      </c>
      <c r="AB249" s="1"/>
      <c r="AC249" s="1" t="s">
        <v>36</v>
      </c>
      <c r="AD249" s="1" t="s">
        <v>1055</v>
      </c>
      <c r="AE249" s="1" t="s">
        <v>32</v>
      </c>
      <c r="AF249" s="1" t="s">
        <v>33</v>
      </c>
      <c r="AG249" s="1" t="s">
        <v>180</v>
      </c>
    </row>
    <row r="250" spans="1:33">
      <c r="A250" t="s">
        <v>1056</v>
      </c>
      <c r="C250" t="s">
        <v>1057</v>
      </c>
      <c r="D250" t="s">
        <v>114</v>
      </c>
      <c r="E250" t="s">
        <v>822</v>
      </c>
      <c r="F250" t="s">
        <v>634</v>
      </c>
      <c r="G250">
        <v>29.25</v>
      </c>
      <c r="H250">
        <v>29.25</v>
      </c>
      <c r="I250" t="s">
        <v>227</v>
      </c>
      <c r="J250" t="s">
        <v>228</v>
      </c>
      <c r="K250" t="s">
        <v>31</v>
      </c>
      <c r="L250" t="s">
        <v>32</v>
      </c>
      <c r="M250" t="s">
        <v>33</v>
      </c>
      <c r="P250" s="1" t="s">
        <v>1058</v>
      </c>
      <c r="Q250" s="1" t="s">
        <v>822</v>
      </c>
      <c r="R250" s="1" t="s">
        <v>822</v>
      </c>
      <c r="S250" s="1"/>
      <c r="T250" s="1" t="s">
        <v>1057</v>
      </c>
      <c r="U250" s="1"/>
      <c r="V250" s="1">
        <v>29.25</v>
      </c>
      <c r="W250" s="1">
        <v>29.25</v>
      </c>
      <c r="X250" s="1" t="s">
        <v>35</v>
      </c>
      <c r="Y250" s="1">
        <v>29250.0</v>
      </c>
      <c r="Z250" s="1"/>
      <c r="AA250" s="1">
        <v>29250</v>
      </c>
      <c r="AB250" s="1"/>
      <c r="AC250" s="1" t="s">
        <v>36</v>
      </c>
      <c r="AD250" s="1" t="s">
        <v>1059</v>
      </c>
      <c r="AE250" s="1" t="s">
        <v>32</v>
      </c>
      <c r="AF250" s="1" t="s">
        <v>33</v>
      </c>
      <c r="AG250" s="1" t="s">
        <v>228</v>
      </c>
    </row>
    <row r="251" spans="1:33">
      <c r="A251" t="s">
        <v>1060</v>
      </c>
      <c r="B251" t="s">
        <v>1061</v>
      </c>
      <c r="C251" t="s">
        <v>172</v>
      </c>
      <c r="E251" t="s">
        <v>822</v>
      </c>
      <c r="F251" t="s">
        <v>634</v>
      </c>
      <c r="G251">
        <v>20.99</v>
      </c>
      <c r="H251">
        <v>20.99</v>
      </c>
      <c r="I251" t="s">
        <v>173</v>
      </c>
      <c r="J251" t="s">
        <v>174</v>
      </c>
      <c r="K251" t="s">
        <v>31</v>
      </c>
      <c r="L251" t="s">
        <v>32</v>
      </c>
      <c r="M251" t="s">
        <v>33</v>
      </c>
      <c r="P251" s="1" t="s">
        <v>1062</v>
      </c>
      <c r="Q251" s="1" t="s">
        <v>822</v>
      </c>
      <c r="R251" s="1" t="s">
        <v>822</v>
      </c>
      <c r="S251" s="1"/>
      <c r="T251" s="1" t="s">
        <v>172</v>
      </c>
      <c r="U251" s="1"/>
      <c r="V251" s="1">
        <v>20.99</v>
      </c>
      <c r="W251" s="1">
        <v>20.99</v>
      </c>
      <c r="X251" s="1" t="s">
        <v>35</v>
      </c>
      <c r="Y251" s="1">
        <v>20990.0</v>
      </c>
      <c r="Z251" s="1"/>
      <c r="AA251" s="1">
        <v>20990</v>
      </c>
      <c r="AB251" s="1"/>
      <c r="AC251" s="1" t="s">
        <v>36</v>
      </c>
      <c r="AD251" s="1" t="s">
        <v>1063</v>
      </c>
      <c r="AE251" s="1" t="s">
        <v>32</v>
      </c>
      <c r="AF251" s="1" t="s">
        <v>33</v>
      </c>
      <c r="AG251" s="1" t="s">
        <v>174</v>
      </c>
    </row>
    <row r="252" spans="1:33">
      <c r="A252" t="s">
        <v>1064</v>
      </c>
      <c r="B252" t="s">
        <v>1065</v>
      </c>
      <c r="C252" t="s">
        <v>47</v>
      </c>
      <c r="E252" t="s">
        <v>822</v>
      </c>
      <c r="F252" t="s">
        <v>634</v>
      </c>
      <c r="G252">
        <v>59.517</v>
      </c>
      <c r="H252">
        <v>59.517</v>
      </c>
      <c r="I252" t="s">
        <v>48</v>
      </c>
      <c r="J252" t="s">
        <v>49</v>
      </c>
      <c r="K252" t="s">
        <v>31</v>
      </c>
      <c r="L252" t="s">
        <v>32</v>
      </c>
      <c r="M252" t="s">
        <v>33</v>
      </c>
      <c r="P252" s="1" t="s">
        <v>1066</v>
      </c>
      <c r="Q252" s="1" t="s">
        <v>822</v>
      </c>
      <c r="R252" s="1" t="s">
        <v>822</v>
      </c>
      <c r="S252" s="1"/>
      <c r="T252" s="1" t="s">
        <v>47</v>
      </c>
      <c r="U252" s="1"/>
      <c r="V252" s="1">
        <v>59.517</v>
      </c>
      <c r="W252" s="1">
        <v>59.517</v>
      </c>
      <c r="X252" s="1" t="s">
        <v>35</v>
      </c>
      <c r="Y252" s="1">
        <v>59517.0</v>
      </c>
      <c r="Z252" s="1"/>
      <c r="AA252" s="1">
        <v>59517</v>
      </c>
      <c r="AB252" s="1"/>
      <c r="AC252" s="1" t="s">
        <v>36</v>
      </c>
      <c r="AD252" s="1" t="s">
        <v>1067</v>
      </c>
      <c r="AE252" s="1" t="s">
        <v>32</v>
      </c>
      <c r="AF252" s="1" t="s">
        <v>33</v>
      </c>
      <c r="AG252" s="1" t="s">
        <v>49</v>
      </c>
    </row>
    <row r="253" spans="1:33">
      <c r="A253" t="s">
        <v>1068</v>
      </c>
      <c r="B253" t="s">
        <v>1069</v>
      </c>
      <c r="C253" t="s">
        <v>1070</v>
      </c>
      <c r="E253" t="s">
        <v>822</v>
      </c>
      <c r="F253" t="s">
        <v>634</v>
      </c>
      <c r="G253">
        <v>94.0</v>
      </c>
      <c r="H253">
        <v>94.0</v>
      </c>
      <c r="I253" t="s">
        <v>40</v>
      </c>
      <c r="J253" t="s">
        <v>41</v>
      </c>
      <c r="K253" t="s">
        <v>31</v>
      </c>
      <c r="L253" t="s">
        <v>32</v>
      </c>
      <c r="M253" t="s">
        <v>33</v>
      </c>
      <c r="P253" s="1" t="s">
        <v>1071</v>
      </c>
      <c r="Q253" s="1" t="s">
        <v>822</v>
      </c>
      <c r="R253" s="1" t="s">
        <v>27</v>
      </c>
      <c r="S253" s="1"/>
      <c r="T253" s="1" t="s">
        <v>1070</v>
      </c>
      <c r="U253" s="1"/>
      <c r="V253" s="1">
        <v>94.0</v>
      </c>
      <c r="W253" s="1">
        <v>94.0</v>
      </c>
      <c r="X253" s="1" t="s">
        <v>35</v>
      </c>
      <c r="Y253" s="1">
        <v>94000.0</v>
      </c>
      <c r="Z253" s="1"/>
      <c r="AA253" s="1">
        <v>94000</v>
      </c>
      <c r="AB253" s="1"/>
      <c r="AC253" s="1" t="s">
        <v>36</v>
      </c>
      <c r="AD253" s="1" t="s">
        <v>1063</v>
      </c>
      <c r="AE253" s="1" t="s">
        <v>32</v>
      </c>
      <c r="AF253" s="1" t="s">
        <v>33</v>
      </c>
      <c r="AG253" s="1" t="s">
        <v>41</v>
      </c>
    </row>
    <row r="254" spans="1:33">
      <c r="A254" t="s">
        <v>1072</v>
      </c>
      <c r="B254" t="s">
        <v>1073</v>
      </c>
      <c r="C254" t="s">
        <v>268</v>
      </c>
      <c r="E254" t="s">
        <v>822</v>
      </c>
      <c r="F254" t="s">
        <v>634</v>
      </c>
      <c r="G254">
        <v>28.25</v>
      </c>
      <c r="H254">
        <v>28.25</v>
      </c>
      <c r="I254" t="s">
        <v>269</v>
      </c>
      <c r="J254" t="s">
        <v>270</v>
      </c>
      <c r="K254" t="s">
        <v>31</v>
      </c>
      <c r="L254" t="s">
        <v>32</v>
      </c>
      <c r="M254" t="s">
        <v>33</v>
      </c>
      <c r="P254" s="1" t="s">
        <v>1074</v>
      </c>
      <c r="Q254" s="1" t="s">
        <v>822</v>
      </c>
      <c r="R254" s="1" t="s">
        <v>822</v>
      </c>
      <c r="S254" s="1"/>
      <c r="T254" s="1" t="s">
        <v>268</v>
      </c>
      <c r="U254" s="1"/>
      <c r="V254" s="1">
        <v>28.25</v>
      </c>
      <c r="W254" s="1">
        <v>28.25</v>
      </c>
      <c r="X254" s="1" t="s">
        <v>35</v>
      </c>
      <c r="Y254" s="1">
        <v>28250.0</v>
      </c>
      <c r="Z254" s="1"/>
      <c r="AA254" s="1">
        <v>28250</v>
      </c>
      <c r="AB254" s="1"/>
      <c r="AC254" s="1" t="s">
        <v>36</v>
      </c>
      <c r="AD254" s="1" t="s">
        <v>1063</v>
      </c>
      <c r="AE254" s="1" t="s">
        <v>32</v>
      </c>
      <c r="AF254" s="1" t="s">
        <v>33</v>
      </c>
      <c r="AG254" s="1" t="s">
        <v>270</v>
      </c>
    </row>
    <row r="255" spans="1:33">
      <c r="A255" t="s">
        <v>1075</v>
      </c>
      <c r="B255" t="s">
        <v>381</v>
      </c>
      <c r="C255" t="s">
        <v>382</v>
      </c>
      <c r="E255" t="s">
        <v>822</v>
      </c>
      <c r="F255" t="s">
        <v>634</v>
      </c>
      <c r="G255">
        <v>352.0</v>
      </c>
      <c r="H255">
        <v>352.0</v>
      </c>
      <c r="I255" t="s">
        <v>40</v>
      </c>
      <c r="J255" t="s">
        <v>41</v>
      </c>
      <c r="K255" t="s">
        <v>31</v>
      </c>
      <c r="L255" t="s">
        <v>32</v>
      </c>
      <c r="M255" t="s">
        <v>33</v>
      </c>
      <c r="P255" s="1" t="s">
        <v>1076</v>
      </c>
      <c r="Q255" s="1" t="s">
        <v>822</v>
      </c>
      <c r="R255" s="1" t="s">
        <v>27</v>
      </c>
      <c r="S255" s="1"/>
      <c r="T255" s="1" t="s">
        <v>382</v>
      </c>
      <c r="U255" s="1"/>
      <c r="V255" s="1">
        <v>352.0</v>
      </c>
      <c r="W255" s="1">
        <v>352.0</v>
      </c>
      <c r="X255" s="1" t="s">
        <v>35</v>
      </c>
      <c r="Y255" s="1">
        <v>352000.0</v>
      </c>
      <c r="Z255" s="1"/>
      <c r="AA255" s="1">
        <v>352000</v>
      </c>
      <c r="AB255" s="1"/>
      <c r="AC255" s="1" t="s">
        <v>36</v>
      </c>
      <c r="AD255" s="1" t="s">
        <v>1077</v>
      </c>
      <c r="AE255" s="1" t="s">
        <v>32</v>
      </c>
      <c r="AF255" s="1" t="s">
        <v>33</v>
      </c>
      <c r="AG255" s="1" t="s">
        <v>41</v>
      </c>
    </row>
    <row r="256" spans="1:33">
      <c r="A256" t="s">
        <v>1078</v>
      </c>
      <c r="C256" t="s">
        <v>1079</v>
      </c>
      <c r="D256" t="s">
        <v>114</v>
      </c>
      <c r="E256" t="s">
        <v>822</v>
      </c>
      <c r="F256" t="s">
        <v>634</v>
      </c>
      <c r="G256">
        <v>47.0</v>
      </c>
      <c r="H256">
        <v>47.0</v>
      </c>
      <c r="I256" t="s">
        <v>269</v>
      </c>
      <c r="J256" t="s">
        <v>270</v>
      </c>
      <c r="K256" t="s">
        <v>31</v>
      </c>
      <c r="L256" t="s">
        <v>32</v>
      </c>
      <c r="M256" t="s">
        <v>33</v>
      </c>
      <c r="P256" s="1" t="s">
        <v>1080</v>
      </c>
      <c r="Q256" s="1" t="s">
        <v>822</v>
      </c>
      <c r="R256" s="1" t="s">
        <v>822</v>
      </c>
      <c r="S256" s="1"/>
      <c r="T256" s="1" t="s">
        <v>1079</v>
      </c>
      <c r="U256" s="1"/>
      <c r="V256" s="1">
        <v>47.0</v>
      </c>
      <c r="W256" s="1">
        <v>47.0</v>
      </c>
      <c r="X256" s="1" t="s">
        <v>35</v>
      </c>
      <c r="Y256" s="1">
        <v>47000.0</v>
      </c>
      <c r="Z256" s="1"/>
      <c r="AA256" s="1">
        <v>47000</v>
      </c>
      <c r="AB256" s="1"/>
      <c r="AC256" s="1" t="s">
        <v>36</v>
      </c>
      <c r="AD256" s="1" t="s">
        <v>1081</v>
      </c>
      <c r="AE256" s="1" t="s">
        <v>32</v>
      </c>
      <c r="AF256" s="1" t="s">
        <v>33</v>
      </c>
      <c r="AG256" s="1" t="s">
        <v>270</v>
      </c>
    </row>
    <row r="257" spans="1:33">
      <c r="A257" t="s">
        <v>1082</v>
      </c>
      <c r="B257" t="s">
        <v>1083</v>
      </c>
      <c r="C257" t="s">
        <v>314</v>
      </c>
      <c r="E257" t="s">
        <v>822</v>
      </c>
      <c r="F257" t="s">
        <v>634</v>
      </c>
      <c r="G257">
        <v>123.55</v>
      </c>
      <c r="H257">
        <v>123.55</v>
      </c>
      <c r="I257" t="s">
        <v>179</v>
      </c>
      <c r="J257" t="s">
        <v>180</v>
      </c>
      <c r="K257" t="s">
        <v>31</v>
      </c>
      <c r="L257" t="s">
        <v>32</v>
      </c>
      <c r="M257" t="s">
        <v>33</v>
      </c>
      <c r="P257" s="1" t="s">
        <v>1084</v>
      </c>
      <c r="Q257" s="1" t="s">
        <v>822</v>
      </c>
      <c r="R257" s="1" t="s">
        <v>822</v>
      </c>
      <c r="S257" s="1"/>
      <c r="T257" s="1" t="s">
        <v>314</v>
      </c>
      <c r="U257" s="1"/>
      <c r="V257" s="1">
        <v>123.55</v>
      </c>
      <c r="W257" s="1">
        <v>123.55</v>
      </c>
      <c r="X257" s="1" t="s">
        <v>35</v>
      </c>
      <c r="Y257" s="1">
        <v>123550.0</v>
      </c>
      <c r="Z257" s="1"/>
      <c r="AA257" s="1">
        <v>123550</v>
      </c>
      <c r="AB257" s="1"/>
      <c r="AC257" s="1" t="s">
        <v>36</v>
      </c>
      <c r="AD257" s="1" t="s">
        <v>1085</v>
      </c>
      <c r="AE257" s="1" t="s">
        <v>32</v>
      </c>
      <c r="AF257" s="1" t="s">
        <v>33</v>
      </c>
      <c r="AG257" s="1" t="s">
        <v>180</v>
      </c>
    </row>
    <row r="258" spans="1:33">
      <c r="A258" t="s">
        <v>1086</v>
      </c>
      <c r="C258" t="s">
        <v>1087</v>
      </c>
      <c r="E258" t="s">
        <v>822</v>
      </c>
      <c r="F258" t="s">
        <v>634</v>
      </c>
      <c r="G258">
        <v>2.255</v>
      </c>
      <c r="H258">
        <v>2.255</v>
      </c>
      <c r="I258" t="s">
        <v>269</v>
      </c>
      <c r="J258" t="s">
        <v>270</v>
      </c>
      <c r="K258" t="s">
        <v>31</v>
      </c>
      <c r="L258" t="s">
        <v>32</v>
      </c>
      <c r="M258" t="s">
        <v>33</v>
      </c>
      <c r="P258" s="1" t="s">
        <v>1088</v>
      </c>
      <c r="Q258" s="1" t="s">
        <v>822</v>
      </c>
      <c r="R258" s="1" t="s">
        <v>822</v>
      </c>
      <c r="S258" s="1"/>
      <c r="T258" s="1" t="s">
        <v>1087</v>
      </c>
      <c r="U258" s="1"/>
      <c r="V258" s="1">
        <v>2.255</v>
      </c>
      <c r="W258" s="1">
        <v>2.255</v>
      </c>
      <c r="X258" s="1" t="s">
        <v>35</v>
      </c>
      <c r="Y258" s="1">
        <v>2255500.0</v>
      </c>
      <c r="Z258" s="1"/>
      <c r="AA258" s="1">
        <v>2255500</v>
      </c>
      <c r="AB258" s="1"/>
      <c r="AC258" s="1" t="s">
        <v>36</v>
      </c>
      <c r="AD258" s="1" t="s">
        <v>1089</v>
      </c>
      <c r="AE258" s="1" t="s">
        <v>32</v>
      </c>
      <c r="AF258" s="1" t="s">
        <v>33</v>
      </c>
      <c r="AG258" s="1" t="s">
        <v>270</v>
      </c>
    </row>
    <row r="259" spans="1:33">
      <c r="A259" t="s">
        <v>1090</v>
      </c>
      <c r="C259" t="s">
        <v>638</v>
      </c>
      <c r="D259" t="s">
        <v>154</v>
      </c>
      <c r="E259" t="s">
        <v>822</v>
      </c>
      <c r="F259" t="s">
        <v>634</v>
      </c>
      <c r="G259">
        <v>1.197</v>
      </c>
      <c r="H259">
        <v>1.197</v>
      </c>
      <c r="I259" t="s">
        <v>227</v>
      </c>
      <c r="J259" t="s">
        <v>228</v>
      </c>
      <c r="K259" t="s">
        <v>31</v>
      </c>
      <c r="L259" t="s">
        <v>32</v>
      </c>
      <c r="M259" t="s">
        <v>33</v>
      </c>
      <c r="P259" s="1" t="s">
        <v>1091</v>
      </c>
      <c r="Q259" s="1" t="s">
        <v>822</v>
      </c>
      <c r="R259" s="1" t="s">
        <v>822</v>
      </c>
      <c r="S259" s="1"/>
      <c r="T259" s="1" t="s">
        <v>640</v>
      </c>
      <c r="U259" s="1" t="s">
        <v>641</v>
      </c>
      <c r="V259" s="1">
        <v>1.197</v>
      </c>
      <c r="W259" s="1">
        <v>1.197</v>
      </c>
      <c r="X259" s="1" t="s">
        <v>35</v>
      </c>
      <c r="Y259" s="1">
        <v>1197250.0</v>
      </c>
      <c r="Z259" s="1"/>
      <c r="AA259" s="1">
        <v>1197250</v>
      </c>
      <c r="AB259" s="1"/>
      <c r="AC259" s="1" t="s">
        <v>36</v>
      </c>
      <c r="AD259" s="1" t="s">
        <v>1092</v>
      </c>
      <c r="AE259" s="1" t="s">
        <v>32</v>
      </c>
      <c r="AF259" s="1" t="s">
        <v>33</v>
      </c>
      <c r="AG259" s="1" t="s">
        <v>228</v>
      </c>
    </row>
    <row r="260" spans="1:33">
      <c r="A260" t="s">
        <v>1093</v>
      </c>
      <c r="C260" t="s">
        <v>1016</v>
      </c>
      <c r="E260" t="s">
        <v>822</v>
      </c>
      <c r="F260" t="s">
        <v>634</v>
      </c>
      <c r="G260">
        <v>456.4</v>
      </c>
      <c r="H260">
        <v>456.4</v>
      </c>
      <c r="I260" t="s">
        <v>269</v>
      </c>
      <c r="J260" t="s">
        <v>270</v>
      </c>
      <c r="K260" t="s">
        <v>31</v>
      </c>
      <c r="L260" t="s">
        <v>32</v>
      </c>
      <c r="M260" t="s">
        <v>33</v>
      </c>
      <c r="P260" s="1" t="s">
        <v>1094</v>
      </c>
      <c r="Q260" s="1" t="s">
        <v>822</v>
      </c>
      <c r="R260" s="1" t="s">
        <v>822</v>
      </c>
      <c r="S260" s="1"/>
      <c r="T260" s="1" t="s">
        <v>1016</v>
      </c>
      <c r="U260" s="1"/>
      <c r="V260" s="1">
        <v>456.4</v>
      </c>
      <c r="W260" s="1">
        <v>456.4</v>
      </c>
      <c r="X260" s="1" t="s">
        <v>35</v>
      </c>
      <c r="Y260" s="1">
        <v>456400.0</v>
      </c>
      <c r="Z260" s="1"/>
      <c r="AA260" s="1">
        <v>456400</v>
      </c>
      <c r="AB260" s="1"/>
      <c r="AC260" s="1" t="s">
        <v>36</v>
      </c>
      <c r="AD260" s="1" t="s">
        <v>1095</v>
      </c>
      <c r="AE260" s="1" t="s">
        <v>32</v>
      </c>
      <c r="AF260" s="1" t="s">
        <v>33</v>
      </c>
      <c r="AG260" s="1" t="s">
        <v>270</v>
      </c>
    </row>
    <row r="261" spans="1:33">
      <c r="A261" t="s">
        <v>1096</v>
      </c>
      <c r="C261" t="s">
        <v>586</v>
      </c>
      <c r="E261" t="s">
        <v>822</v>
      </c>
      <c r="F261" t="s">
        <v>634</v>
      </c>
      <c r="G261">
        <v>36.0</v>
      </c>
      <c r="H261">
        <v>36.0</v>
      </c>
      <c r="I261" t="s">
        <v>269</v>
      </c>
      <c r="J261" t="s">
        <v>270</v>
      </c>
      <c r="K261" t="s">
        <v>31</v>
      </c>
      <c r="L261" t="s">
        <v>32</v>
      </c>
      <c r="M261" t="s">
        <v>33</v>
      </c>
      <c r="P261" s="1" t="s">
        <v>1097</v>
      </c>
      <c r="Q261" s="1" t="s">
        <v>822</v>
      </c>
      <c r="R261" s="1" t="s">
        <v>822</v>
      </c>
      <c r="S261" s="1"/>
      <c r="T261" s="1" t="s">
        <v>586</v>
      </c>
      <c r="U261" s="1"/>
      <c r="V261" s="1">
        <v>36.0</v>
      </c>
      <c r="W261" s="1">
        <v>36.0</v>
      </c>
      <c r="X261" s="1" t="s">
        <v>35</v>
      </c>
      <c r="Y261" s="1">
        <v>36000.0</v>
      </c>
      <c r="Z261" s="1"/>
      <c r="AA261" s="1">
        <v>36000</v>
      </c>
      <c r="AB261" s="1"/>
      <c r="AC261" s="1" t="s">
        <v>36</v>
      </c>
      <c r="AD261" s="1" t="s">
        <v>1098</v>
      </c>
      <c r="AE261" s="1" t="s">
        <v>32</v>
      </c>
      <c r="AF261" s="1" t="s">
        <v>33</v>
      </c>
      <c r="AG261" s="1" t="s">
        <v>270</v>
      </c>
    </row>
    <row r="262" spans="1:33">
      <c r="A262" t="s">
        <v>1099</v>
      </c>
      <c r="B262" t="s">
        <v>1100</v>
      </c>
      <c r="C262" t="s">
        <v>268</v>
      </c>
      <c r="E262" t="s">
        <v>822</v>
      </c>
      <c r="F262" t="s">
        <v>634</v>
      </c>
      <c r="G262">
        <v>28.25</v>
      </c>
      <c r="H262">
        <v>28.25</v>
      </c>
      <c r="I262" t="s">
        <v>269</v>
      </c>
      <c r="J262" t="s">
        <v>270</v>
      </c>
      <c r="K262" t="s">
        <v>31</v>
      </c>
      <c r="L262" t="s">
        <v>32</v>
      </c>
      <c r="M262" t="s">
        <v>33</v>
      </c>
      <c r="P262" s="1" t="s">
        <v>1101</v>
      </c>
      <c r="Q262" s="1" t="s">
        <v>822</v>
      </c>
      <c r="R262" s="1" t="s">
        <v>822</v>
      </c>
      <c r="S262" s="1"/>
      <c r="T262" s="1" t="s">
        <v>268</v>
      </c>
      <c r="U262" s="1"/>
      <c r="V262" s="1">
        <v>28.25</v>
      </c>
      <c r="W262" s="1">
        <v>28.25</v>
      </c>
      <c r="X262" s="1" t="s">
        <v>35</v>
      </c>
      <c r="Y262" s="1">
        <v>28250.0</v>
      </c>
      <c r="Z262" s="1"/>
      <c r="AA262" s="1">
        <v>28250</v>
      </c>
      <c r="AB262" s="1"/>
      <c r="AC262" s="1" t="s">
        <v>36</v>
      </c>
      <c r="AD262" s="1" t="s">
        <v>1102</v>
      </c>
      <c r="AE262" s="1" t="s">
        <v>32</v>
      </c>
      <c r="AF262" s="1" t="s">
        <v>33</v>
      </c>
      <c r="AG262" s="1" t="s">
        <v>270</v>
      </c>
    </row>
    <row r="263" spans="1:33">
      <c r="A263" t="s">
        <v>1103</v>
      </c>
      <c r="C263" t="s">
        <v>1104</v>
      </c>
      <c r="E263" t="s">
        <v>822</v>
      </c>
      <c r="F263" t="s">
        <v>634</v>
      </c>
      <c r="G263">
        <v>822.0</v>
      </c>
      <c r="H263">
        <v>822.0</v>
      </c>
      <c r="I263" t="s">
        <v>269</v>
      </c>
      <c r="J263" t="s">
        <v>270</v>
      </c>
      <c r="K263" t="s">
        <v>31</v>
      </c>
      <c r="L263" t="s">
        <v>32</v>
      </c>
      <c r="M263" t="s">
        <v>33</v>
      </c>
      <c r="P263" s="1" t="s">
        <v>1105</v>
      </c>
      <c r="Q263" s="1" t="s">
        <v>822</v>
      </c>
      <c r="R263" s="1" t="s">
        <v>822</v>
      </c>
      <c r="S263" s="1"/>
      <c r="T263" s="1" t="s">
        <v>1104</v>
      </c>
      <c r="U263" s="1"/>
      <c r="V263" s="1">
        <v>822.0</v>
      </c>
      <c r="W263" s="1">
        <v>822.0</v>
      </c>
      <c r="X263" s="1" t="s">
        <v>35</v>
      </c>
      <c r="Y263" s="1">
        <v>822000.0</v>
      </c>
      <c r="Z263" s="1"/>
      <c r="AA263" s="1">
        <v>822000</v>
      </c>
      <c r="AB263" s="1"/>
      <c r="AC263" s="1" t="s">
        <v>36</v>
      </c>
      <c r="AD263" s="1" t="s">
        <v>1106</v>
      </c>
      <c r="AE263" s="1" t="s">
        <v>32</v>
      </c>
      <c r="AF263" s="1" t="s">
        <v>33</v>
      </c>
      <c r="AG263" s="1" t="s">
        <v>270</v>
      </c>
    </row>
    <row r="264" spans="1:33">
      <c r="A264" t="s">
        <v>1107</v>
      </c>
      <c r="B264" t="s">
        <v>1108</v>
      </c>
      <c r="C264" t="s">
        <v>1109</v>
      </c>
      <c r="E264" t="s">
        <v>822</v>
      </c>
      <c r="F264" t="s">
        <v>634</v>
      </c>
      <c r="G264">
        <v>328.0</v>
      </c>
      <c r="H264">
        <v>328.0</v>
      </c>
      <c r="I264" t="s">
        <v>529</v>
      </c>
      <c r="J264" t="s">
        <v>530</v>
      </c>
      <c r="K264" t="s">
        <v>31</v>
      </c>
      <c r="L264" t="s">
        <v>32</v>
      </c>
      <c r="M264" t="s">
        <v>33</v>
      </c>
      <c r="P264" s="1" t="s">
        <v>1110</v>
      </c>
      <c r="Q264" s="1" t="s">
        <v>822</v>
      </c>
      <c r="R264" s="1" t="s">
        <v>27</v>
      </c>
      <c r="S264" s="1"/>
      <c r="T264" s="1" t="s">
        <v>1111</v>
      </c>
      <c r="U264" s="1" t="s">
        <v>1112</v>
      </c>
      <c r="V264" s="1">
        <v>328.0</v>
      </c>
      <c r="W264" s="1">
        <v>328.0</v>
      </c>
      <c r="X264" s="1" t="s">
        <v>35</v>
      </c>
      <c r="Y264" s="1">
        <v>328000.0</v>
      </c>
      <c r="Z264" s="1"/>
      <c r="AA264" s="1">
        <v>328000</v>
      </c>
      <c r="AB264" s="1"/>
      <c r="AC264" s="1" t="s">
        <v>36</v>
      </c>
      <c r="AD264" s="1" t="s">
        <v>1113</v>
      </c>
      <c r="AE264" s="1" t="s">
        <v>32</v>
      </c>
      <c r="AF264" s="1" t="s">
        <v>33</v>
      </c>
      <c r="AG264" s="1" t="s">
        <v>530</v>
      </c>
    </row>
    <row r="265" spans="1:33">
      <c r="A265" t="s">
        <v>1114</v>
      </c>
      <c r="C265" t="s">
        <v>309</v>
      </c>
      <c r="E265" t="s">
        <v>822</v>
      </c>
      <c r="F265" t="s">
        <v>634</v>
      </c>
      <c r="G265">
        <v>360.0</v>
      </c>
      <c r="H265">
        <v>360.0</v>
      </c>
      <c r="I265" t="s">
        <v>48</v>
      </c>
      <c r="J265" t="s">
        <v>49</v>
      </c>
      <c r="K265" t="s">
        <v>31</v>
      </c>
      <c r="L265" t="s">
        <v>32</v>
      </c>
      <c r="M265" t="s">
        <v>33</v>
      </c>
      <c r="P265" s="1" t="s">
        <v>1115</v>
      </c>
      <c r="Q265" s="1" t="s">
        <v>822</v>
      </c>
      <c r="R265" s="1" t="s">
        <v>822</v>
      </c>
      <c r="S265" s="1"/>
      <c r="T265" s="1" t="s">
        <v>309</v>
      </c>
      <c r="U265" s="1"/>
      <c r="V265" s="1">
        <v>360.0</v>
      </c>
      <c r="W265" s="1">
        <v>360.0</v>
      </c>
      <c r="X265" s="1" t="s">
        <v>35</v>
      </c>
      <c r="Y265" s="1">
        <v>360000.0</v>
      </c>
      <c r="Z265" s="1"/>
      <c r="AA265" s="1">
        <v>360000</v>
      </c>
      <c r="AB265" s="1"/>
      <c r="AC265" s="1" t="s">
        <v>36</v>
      </c>
      <c r="AD265" s="1" t="s">
        <v>1116</v>
      </c>
      <c r="AE265" s="1" t="s">
        <v>32</v>
      </c>
      <c r="AF265" s="1" t="s">
        <v>33</v>
      </c>
      <c r="AG265" s="1" t="s">
        <v>49</v>
      </c>
    </row>
    <row r="266" spans="1:33">
      <c r="A266" t="s">
        <v>1117</v>
      </c>
      <c r="C266" t="s">
        <v>47</v>
      </c>
      <c r="E266" t="s">
        <v>822</v>
      </c>
      <c r="F266" t="s">
        <v>634</v>
      </c>
      <c r="G266">
        <v>3.499</v>
      </c>
      <c r="H266">
        <v>3.499</v>
      </c>
      <c r="I266" t="s">
        <v>48</v>
      </c>
      <c r="J266" t="s">
        <v>49</v>
      </c>
      <c r="K266" t="s">
        <v>31</v>
      </c>
      <c r="L266" t="s">
        <v>32</v>
      </c>
      <c r="M266" t="s">
        <v>33</v>
      </c>
      <c r="P266" s="1" t="s">
        <v>1118</v>
      </c>
      <c r="Q266" s="1" t="s">
        <v>822</v>
      </c>
      <c r="R266" s="1" t="s">
        <v>822</v>
      </c>
      <c r="S266" s="1"/>
      <c r="T266" s="1" t="s">
        <v>47</v>
      </c>
      <c r="U266" s="1"/>
      <c r="V266" s="1">
        <v>3.499</v>
      </c>
      <c r="W266" s="1">
        <v>3.499</v>
      </c>
      <c r="X266" s="1" t="s">
        <v>35</v>
      </c>
      <c r="Y266" s="1">
        <v>3499.0</v>
      </c>
      <c r="Z266" s="1"/>
      <c r="AA266" s="1">
        <v>3499</v>
      </c>
      <c r="AB266" s="1"/>
      <c r="AC266" s="1" t="s">
        <v>36</v>
      </c>
      <c r="AD266" s="1" t="s">
        <v>1119</v>
      </c>
      <c r="AE266" s="1" t="s">
        <v>32</v>
      </c>
      <c r="AF266" s="1" t="s">
        <v>33</v>
      </c>
      <c r="AG266" s="1" t="s">
        <v>49</v>
      </c>
    </row>
    <row r="267" spans="1:33">
      <c r="A267" t="s">
        <v>1120</v>
      </c>
      <c r="B267" t="s">
        <v>1121</v>
      </c>
      <c r="C267" t="s">
        <v>314</v>
      </c>
      <c r="E267" t="s">
        <v>822</v>
      </c>
      <c r="F267" t="s">
        <v>634</v>
      </c>
      <c r="G267">
        <v>103.42</v>
      </c>
      <c r="H267">
        <v>103.42</v>
      </c>
      <c r="I267" t="s">
        <v>179</v>
      </c>
      <c r="J267" t="s">
        <v>180</v>
      </c>
      <c r="K267" t="s">
        <v>31</v>
      </c>
      <c r="L267" t="s">
        <v>32</v>
      </c>
      <c r="M267" t="s">
        <v>33</v>
      </c>
      <c r="P267" s="1" t="s">
        <v>1122</v>
      </c>
      <c r="Q267" s="1" t="s">
        <v>822</v>
      </c>
      <c r="R267" s="1" t="s">
        <v>822</v>
      </c>
      <c r="S267" s="1"/>
      <c r="T267" s="1" t="s">
        <v>314</v>
      </c>
      <c r="U267" s="1"/>
      <c r="V267" s="1">
        <v>103.42</v>
      </c>
      <c r="W267" s="1">
        <v>103.42</v>
      </c>
      <c r="X267" s="1" t="s">
        <v>35</v>
      </c>
      <c r="Y267" s="1">
        <v>103420.0</v>
      </c>
      <c r="Z267" s="1"/>
      <c r="AA267" s="1">
        <v>103420</v>
      </c>
      <c r="AB267" s="1"/>
      <c r="AC267" s="1" t="s">
        <v>36</v>
      </c>
      <c r="AD267" s="1" t="s">
        <v>1119</v>
      </c>
      <c r="AE267" s="1" t="s">
        <v>32</v>
      </c>
      <c r="AF267" s="1" t="s">
        <v>33</v>
      </c>
      <c r="AG267" s="1" t="s">
        <v>180</v>
      </c>
    </row>
    <row r="268" spans="1:33">
      <c r="A268" t="s">
        <v>1123</v>
      </c>
      <c r="B268" t="s">
        <v>1124</v>
      </c>
      <c r="C268" t="s">
        <v>1125</v>
      </c>
      <c r="E268" t="s">
        <v>822</v>
      </c>
      <c r="F268" t="s">
        <v>634</v>
      </c>
      <c r="G268">
        <v>537.316</v>
      </c>
      <c r="H268">
        <v>537.316</v>
      </c>
      <c r="I268" t="s">
        <v>529</v>
      </c>
      <c r="J268" t="s">
        <v>530</v>
      </c>
      <c r="K268" t="s">
        <v>31</v>
      </c>
      <c r="L268" t="s">
        <v>32</v>
      </c>
      <c r="M268" t="s">
        <v>33</v>
      </c>
      <c r="P268" s="1" t="s">
        <v>1126</v>
      </c>
      <c r="Q268" s="1" t="s">
        <v>822</v>
      </c>
      <c r="R268" s="1" t="s">
        <v>27</v>
      </c>
      <c r="S268" s="1"/>
      <c r="T268" s="1" t="s">
        <v>1125</v>
      </c>
      <c r="U268" s="1"/>
      <c r="V268" s="1">
        <v>537.316</v>
      </c>
      <c r="W268" s="1">
        <v>537.316</v>
      </c>
      <c r="X268" s="1" t="s">
        <v>35</v>
      </c>
      <c r="Y268" s="1">
        <v>537316.0</v>
      </c>
      <c r="Z268" s="1"/>
      <c r="AA268" s="1">
        <v>537316</v>
      </c>
      <c r="AB268" s="1"/>
      <c r="AC268" s="1" t="s">
        <v>36</v>
      </c>
      <c r="AD268" s="1" t="s">
        <v>1127</v>
      </c>
      <c r="AE268" s="1" t="s">
        <v>32</v>
      </c>
      <c r="AF268" s="1" t="s">
        <v>33</v>
      </c>
      <c r="AG268" s="1" t="s">
        <v>530</v>
      </c>
    </row>
    <row r="269" spans="1:33">
      <c r="A269" t="s">
        <v>1128</v>
      </c>
      <c r="C269" t="s">
        <v>1129</v>
      </c>
      <c r="E269" t="s">
        <v>822</v>
      </c>
      <c r="F269" t="s">
        <v>634</v>
      </c>
      <c r="G269">
        <v>336.0</v>
      </c>
      <c r="H269">
        <v>336.0</v>
      </c>
      <c r="I269" t="s">
        <v>94</v>
      </c>
      <c r="J269" t="s">
        <v>95</v>
      </c>
      <c r="K269" t="s">
        <v>31</v>
      </c>
      <c r="L269" t="s">
        <v>32</v>
      </c>
      <c r="M269" t="s">
        <v>33</v>
      </c>
      <c r="P269" s="1" t="s">
        <v>1130</v>
      </c>
      <c r="Q269" s="1" t="s">
        <v>822</v>
      </c>
      <c r="R269" s="1" t="s">
        <v>822</v>
      </c>
      <c r="S269" s="1"/>
      <c r="T269" s="1" t="s">
        <v>1129</v>
      </c>
      <c r="U269" s="1"/>
      <c r="V269" s="1">
        <v>336.0</v>
      </c>
      <c r="W269" s="1">
        <v>336.0</v>
      </c>
      <c r="X269" s="1" t="s">
        <v>35</v>
      </c>
      <c r="Y269" s="1">
        <v>336000.0</v>
      </c>
      <c r="Z269" s="1"/>
      <c r="AA269" s="1">
        <v>336000</v>
      </c>
      <c r="AB269" s="1"/>
      <c r="AC269" s="1" t="s">
        <v>36</v>
      </c>
      <c r="AD269" s="1" t="s">
        <v>1131</v>
      </c>
      <c r="AE269" s="1" t="s">
        <v>32</v>
      </c>
      <c r="AF269" s="1" t="s">
        <v>33</v>
      </c>
      <c r="AG269" s="1" t="s">
        <v>95</v>
      </c>
    </row>
    <row r="270" spans="1:33">
      <c r="A270" t="s">
        <v>1132</v>
      </c>
      <c r="B270" t="s">
        <v>1133</v>
      </c>
      <c r="C270" t="s">
        <v>47</v>
      </c>
      <c r="E270" t="s">
        <v>822</v>
      </c>
      <c r="F270" t="s">
        <v>634</v>
      </c>
      <c r="G270">
        <v>9.457</v>
      </c>
      <c r="H270">
        <v>9.457</v>
      </c>
      <c r="I270" t="s">
        <v>48</v>
      </c>
      <c r="J270" t="s">
        <v>49</v>
      </c>
      <c r="K270" t="s">
        <v>31</v>
      </c>
      <c r="L270" t="s">
        <v>32</v>
      </c>
      <c r="M270" t="s">
        <v>33</v>
      </c>
      <c r="P270" s="1" t="s">
        <v>1134</v>
      </c>
      <c r="Q270" s="1" t="s">
        <v>822</v>
      </c>
      <c r="R270" s="1" t="s">
        <v>822</v>
      </c>
      <c r="S270" s="1"/>
      <c r="T270" s="1" t="s">
        <v>47</v>
      </c>
      <c r="U270" s="1"/>
      <c r="V270" s="1">
        <v>9.457</v>
      </c>
      <c r="W270" s="1">
        <v>9.457</v>
      </c>
      <c r="X270" s="1" t="s">
        <v>35</v>
      </c>
      <c r="Y270" s="1">
        <v>9457.0</v>
      </c>
      <c r="Z270" s="1"/>
      <c r="AA270" s="1">
        <v>9457</v>
      </c>
      <c r="AB270" s="1"/>
      <c r="AC270" s="1" t="s">
        <v>36</v>
      </c>
      <c r="AD270" s="1" t="s">
        <v>1135</v>
      </c>
      <c r="AE270" s="1" t="s">
        <v>32</v>
      </c>
      <c r="AF270" s="1" t="s">
        <v>33</v>
      </c>
      <c r="AG270" s="1" t="s">
        <v>49</v>
      </c>
    </row>
    <row r="271" spans="1:33">
      <c r="A271" t="s">
        <v>1136</v>
      </c>
      <c r="C271" t="s">
        <v>1137</v>
      </c>
      <c r="E271" t="s">
        <v>822</v>
      </c>
      <c r="F271" t="s">
        <v>634</v>
      </c>
      <c r="G271">
        <v>845.6</v>
      </c>
      <c r="H271">
        <v>845.6</v>
      </c>
      <c r="I271" t="s">
        <v>269</v>
      </c>
      <c r="J271" t="s">
        <v>270</v>
      </c>
      <c r="K271" t="s">
        <v>31</v>
      </c>
      <c r="L271" t="s">
        <v>32</v>
      </c>
      <c r="M271" t="s">
        <v>33</v>
      </c>
      <c r="P271" s="1" t="s">
        <v>1138</v>
      </c>
      <c r="Q271" s="1" t="s">
        <v>822</v>
      </c>
      <c r="R271" s="1" t="s">
        <v>822</v>
      </c>
      <c r="S271" s="1"/>
      <c r="T271" s="1" t="s">
        <v>1139</v>
      </c>
      <c r="U271" s="1" t="s">
        <v>1140</v>
      </c>
      <c r="V271" s="1">
        <v>845.6</v>
      </c>
      <c r="W271" s="1">
        <v>845.6</v>
      </c>
      <c r="X271" s="1" t="s">
        <v>35</v>
      </c>
      <c r="Y271" s="1">
        <v>845600.0</v>
      </c>
      <c r="Z271" s="1"/>
      <c r="AA271" s="1">
        <v>845600</v>
      </c>
      <c r="AB271" s="1"/>
      <c r="AC271" s="1" t="s">
        <v>36</v>
      </c>
      <c r="AD271" s="1" t="s">
        <v>1141</v>
      </c>
      <c r="AE271" s="1" t="s">
        <v>32</v>
      </c>
      <c r="AF271" s="1" t="s">
        <v>33</v>
      </c>
      <c r="AG271" s="1" t="s">
        <v>270</v>
      </c>
    </row>
    <row r="272" spans="1:33">
      <c r="A272" t="s">
        <v>1142</v>
      </c>
      <c r="B272" t="s">
        <v>1143</v>
      </c>
      <c r="C272" t="s">
        <v>68</v>
      </c>
      <c r="E272" t="s">
        <v>822</v>
      </c>
      <c r="F272" t="s">
        <v>634</v>
      </c>
      <c r="G272">
        <v>3.5</v>
      </c>
      <c r="H272">
        <v>3.5</v>
      </c>
      <c r="I272" t="s">
        <v>59</v>
      </c>
      <c r="J272" t="s">
        <v>60</v>
      </c>
      <c r="K272" t="s">
        <v>31</v>
      </c>
      <c r="L272" t="s">
        <v>32</v>
      </c>
      <c r="M272" t="s">
        <v>33</v>
      </c>
      <c r="P272" s="1" t="s">
        <v>1144</v>
      </c>
      <c r="Q272" s="1" t="s">
        <v>822</v>
      </c>
      <c r="R272" s="1" t="s">
        <v>822</v>
      </c>
      <c r="S272" s="1"/>
      <c r="T272" s="1" t="s">
        <v>68</v>
      </c>
      <c r="U272" s="1"/>
      <c r="V272" s="1">
        <v>3.5</v>
      </c>
      <c r="W272" s="1">
        <v>3.5</v>
      </c>
      <c r="X272" s="1" t="s">
        <v>35</v>
      </c>
      <c r="Y272" s="1">
        <v>3500.0</v>
      </c>
      <c r="Z272" s="1"/>
      <c r="AA272" s="1">
        <v>3500</v>
      </c>
      <c r="AB272" s="1"/>
      <c r="AC272" s="1" t="s">
        <v>36</v>
      </c>
      <c r="AD272" s="1" t="s">
        <v>1145</v>
      </c>
      <c r="AE272" s="1" t="s">
        <v>32</v>
      </c>
      <c r="AF272" s="1" t="s">
        <v>33</v>
      </c>
      <c r="AG272" s="1" t="s">
        <v>60</v>
      </c>
    </row>
    <row r="273" spans="1:33">
      <c r="A273" t="s">
        <v>1146</v>
      </c>
      <c r="C273" t="s">
        <v>1147</v>
      </c>
      <c r="D273" t="s">
        <v>114</v>
      </c>
      <c r="E273" t="s">
        <v>822</v>
      </c>
      <c r="F273" t="s">
        <v>634</v>
      </c>
      <c r="G273">
        <v>99.444</v>
      </c>
      <c r="H273">
        <v>99.444</v>
      </c>
      <c r="I273" t="s">
        <v>179</v>
      </c>
      <c r="J273" t="s">
        <v>180</v>
      </c>
      <c r="K273" t="s">
        <v>31</v>
      </c>
      <c r="L273" t="s">
        <v>32</v>
      </c>
      <c r="M273" t="s">
        <v>33</v>
      </c>
      <c r="P273" s="1" t="s">
        <v>1148</v>
      </c>
      <c r="Q273" s="1" t="s">
        <v>822</v>
      </c>
      <c r="R273" s="1" t="s">
        <v>822</v>
      </c>
      <c r="S273" s="1"/>
      <c r="T273" s="1" t="s">
        <v>1147</v>
      </c>
      <c r="U273" s="1"/>
      <c r="V273" s="1">
        <v>99.444</v>
      </c>
      <c r="W273" s="1">
        <v>99.444</v>
      </c>
      <c r="X273" s="1" t="s">
        <v>35</v>
      </c>
      <c r="Y273" s="1">
        <v>99444.0</v>
      </c>
      <c r="Z273" s="1"/>
      <c r="AA273" s="1">
        <v>99444</v>
      </c>
      <c r="AB273" s="1"/>
      <c r="AC273" s="1" t="s">
        <v>36</v>
      </c>
      <c r="AD273" s="1" t="s">
        <v>1149</v>
      </c>
      <c r="AE273" s="1" t="s">
        <v>32</v>
      </c>
      <c r="AF273" s="1" t="s">
        <v>33</v>
      </c>
      <c r="AG273" s="1" t="s">
        <v>180</v>
      </c>
    </row>
    <row r="274" spans="1:33">
      <c r="A274" t="s">
        <v>1150</v>
      </c>
      <c r="C274" t="s">
        <v>1151</v>
      </c>
      <c r="E274" t="s">
        <v>822</v>
      </c>
      <c r="F274" t="s">
        <v>634</v>
      </c>
      <c r="G274">
        <v>987.5</v>
      </c>
      <c r="H274">
        <v>987.5</v>
      </c>
      <c r="I274" t="s">
        <v>227</v>
      </c>
      <c r="J274" t="s">
        <v>228</v>
      </c>
      <c r="K274" t="s">
        <v>31</v>
      </c>
      <c r="L274" t="s">
        <v>32</v>
      </c>
      <c r="M274" t="s">
        <v>33</v>
      </c>
      <c r="P274" s="1" t="s">
        <v>1152</v>
      </c>
      <c r="Q274" s="1" t="s">
        <v>822</v>
      </c>
      <c r="R274" s="1" t="s">
        <v>822</v>
      </c>
      <c r="S274" s="1"/>
      <c r="T274" s="1" t="s">
        <v>1151</v>
      </c>
      <c r="U274" s="1"/>
      <c r="V274" s="1">
        <v>987.5</v>
      </c>
      <c r="W274" s="1">
        <v>987.5</v>
      </c>
      <c r="X274" s="1" t="s">
        <v>35</v>
      </c>
      <c r="Y274" s="1">
        <v>987500.0</v>
      </c>
      <c r="Z274" s="1"/>
      <c r="AA274" s="1">
        <v>987500</v>
      </c>
      <c r="AB274" s="1"/>
      <c r="AC274" s="1" t="s">
        <v>36</v>
      </c>
      <c r="AD274" s="1" t="s">
        <v>1153</v>
      </c>
      <c r="AE274" s="1" t="s">
        <v>32</v>
      </c>
      <c r="AF274" s="1" t="s">
        <v>33</v>
      </c>
      <c r="AG274" s="1" t="s">
        <v>228</v>
      </c>
    </row>
    <row r="275" spans="1:33">
      <c r="A275" t="s">
        <v>1154</v>
      </c>
      <c r="B275" t="s">
        <v>1155</v>
      </c>
      <c r="C275" t="s">
        <v>68</v>
      </c>
      <c r="E275" t="s">
        <v>822</v>
      </c>
      <c r="F275" t="s">
        <v>634</v>
      </c>
      <c r="G275">
        <v>17.745</v>
      </c>
      <c r="H275">
        <v>17.745</v>
      </c>
      <c r="I275" t="s">
        <v>59</v>
      </c>
      <c r="J275" t="s">
        <v>60</v>
      </c>
      <c r="K275" t="s">
        <v>31</v>
      </c>
      <c r="L275" t="s">
        <v>32</v>
      </c>
      <c r="M275" t="s">
        <v>33</v>
      </c>
      <c r="P275" s="1" t="s">
        <v>1156</v>
      </c>
      <c r="Q275" s="1" t="s">
        <v>822</v>
      </c>
      <c r="R275" s="1" t="s">
        <v>822</v>
      </c>
      <c r="S275" s="1"/>
      <c r="T275" s="1" t="s">
        <v>68</v>
      </c>
      <c r="U275" s="1"/>
      <c r="V275" s="1">
        <v>17.745</v>
      </c>
      <c r="W275" s="1">
        <v>17.745</v>
      </c>
      <c r="X275" s="1" t="s">
        <v>35</v>
      </c>
      <c r="Y275" s="1">
        <v>17745.0</v>
      </c>
      <c r="Z275" s="1"/>
      <c r="AA275" s="1">
        <v>17745</v>
      </c>
      <c r="AB275" s="1"/>
      <c r="AC275" s="1" t="s">
        <v>36</v>
      </c>
      <c r="AD275" s="1" t="s">
        <v>1055</v>
      </c>
      <c r="AE275" s="1" t="s">
        <v>32</v>
      </c>
      <c r="AF275" s="1" t="s">
        <v>33</v>
      </c>
      <c r="AG275" s="1" t="s">
        <v>60</v>
      </c>
    </row>
    <row r="276" spans="1:33">
      <c r="A276" t="s">
        <v>1157</v>
      </c>
      <c r="B276" t="s">
        <v>1158</v>
      </c>
      <c r="C276" t="s">
        <v>172</v>
      </c>
      <c r="E276" t="s">
        <v>822</v>
      </c>
      <c r="F276" t="s">
        <v>634</v>
      </c>
      <c r="G276">
        <v>25.96</v>
      </c>
      <c r="H276">
        <v>25.96</v>
      </c>
      <c r="I276" t="s">
        <v>173</v>
      </c>
      <c r="J276" t="s">
        <v>174</v>
      </c>
      <c r="K276" t="s">
        <v>31</v>
      </c>
      <c r="L276" t="s">
        <v>32</v>
      </c>
      <c r="M276" t="s">
        <v>33</v>
      </c>
      <c r="P276" s="1" t="s">
        <v>1159</v>
      </c>
      <c r="Q276" s="1" t="s">
        <v>822</v>
      </c>
      <c r="R276" s="1" t="s">
        <v>822</v>
      </c>
      <c r="S276" s="1"/>
      <c r="T276" s="1" t="s">
        <v>172</v>
      </c>
      <c r="U276" s="1"/>
      <c r="V276" s="1">
        <v>25.96</v>
      </c>
      <c r="W276" s="1">
        <v>25.96</v>
      </c>
      <c r="X276" s="1" t="s">
        <v>35</v>
      </c>
      <c r="Y276" s="1">
        <v>25960.0</v>
      </c>
      <c r="Z276" s="1"/>
      <c r="AA276" s="1">
        <v>25960</v>
      </c>
      <c r="AB276" s="1"/>
      <c r="AC276" s="1" t="s">
        <v>36</v>
      </c>
      <c r="AD276" s="1" t="s">
        <v>1160</v>
      </c>
      <c r="AE276" s="1" t="s">
        <v>32</v>
      </c>
      <c r="AF276" s="1" t="s">
        <v>33</v>
      </c>
      <c r="AG276" s="1" t="s">
        <v>174</v>
      </c>
    </row>
    <row r="277" spans="1:33">
      <c r="A277" t="s">
        <v>1161</v>
      </c>
      <c r="C277" t="s">
        <v>1162</v>
      </c>
      <c r="E277" t="s">
        <v>822</v>
      </c>
      <c r="F277" t="s">
        <v>634</v>
      </c>
      <c r="G277">
        <v>47.0</v>
      </c>
      <c r="H277">
        <v>47.0</v>
      </c>
      <c r="I277" t="s">
        <v>269</v>
      </c>
      <c r="J277" t="s">
        <v>270</v>
      </c>
      <c r="K277" t="s">
        <v>31</v>
      </c>
      <c r="L277" t="s">
        <v>32</v>
      </c>
      <c r="M277" t="s">
        <v>33</v>
      </c>
      <c r="P277" s="1" t="s">
        <v>1163</v>
      </c>
      <c r="Q277" s="1" t="s">
        <v>822</v>
      </c>
      <c r="R277" s="1" t="s">
        <v>822</v>
      </c>
      <c r="S277" s="1"/>
      <c r="T277" s="1" t="s">
        <v>1162</v>
      </c>
      <c r="U277" s="1"/>
      <c r="V277" s="1">
        <v>47.0</v>
      </c>
      <c r="W277" s="1">
        <v>47.0</v>
      </c>
      <c r="X277" s="1" t="s">
        <v>35</v>
      </c>
      <c r="Y277" s="1">
        <v>47000.0</v>
      </c>
      <c r="Z277" s="1"/>
      <c r="AA277" s="1">
        <v>47000</v>
      </c>
      <c r="AB277" s="1"/>
      <c r="AC277" s="1" t="s">
        <v>36</v>
      </c>
      <c r="AD277" s="1" t="s">
        <v>1164</v>
      </c>
      <c r="AE277" s="1" t="s">
        <v>32</v>
      </c>
      <c r="AF277" s="1" t="s">
        <v>33</v>
      </c>
      <c r="AG277" s="1" t="s">
        <v>270</v>
      </c>
    </row>
    <row r="278" spans="1:33">
      <c r="A278" t="s">
        <v>1165</v>
      </c>
      <c r="C278" t="s">
        <v>1166</v>
      </c>
      <c r="E278" t="s">
        <v>822</v>
      </c>
      <c r="F278" t="s">
        <v>634</v>
      </c>
      <c r="G278">
        <v>336.0</v>
      </c>
      <c r="H278">
        <v>336.0</v>
      </c>
      <c r="I278" t="s">
        <v>94</v>
      </c>
      <c r="J278" t="s">
        <v>95</v>
      </c>
      <c r="K278" t="s">
        <v>31</v>
      </c>
      <c r="L278" t="s">
        <v>32</v>
      </c>
      <c r="M278" t="s">
        <v>33</v>
      </c>
      <c r="P278" s="1" t="s">
        <v>1167</v>
      </c>
      <c r="Q278" s="1" t="s">
        <v>822</v>
      </c>
      <c r="R278" s="1" t="s">
        <v>822</v>
      </c>
      <c r="S278" s="1"/>
      <c r="T278" s="1" t="s">
        <v>1166</v>
      </c>
      <c r="U278" s="1"/>
      <c r="V278" s="1">
        <v>336.0</v>
      </c>
      <c r="W278" s="1">
        <v>336.0</v>
      </c>
      <c r="X278" s="1" t="s">
        <v>35</v>
      </c>
      <c r="Y278" s="1">
        <v>336000.0</v>
      </c>
      <c r="Z278" s="1"/>
      <c r="AA278" s="1">
        <v>336000</v>
      </c>
      <c r="AB278" s="1"/>
      <c r="AC278" s="1" t="s">
        <v>36</v>
      </c>
      <c r="AD278" s="1" t="s">
        <v>1168</v>
      </c>
      <c r="AE278" s="1" t="s">
        <v>32</v>
      </c>
      <c r="AF278" s="1" t="s">
        <v>33</v>
      </c>
      <c r="AG278" s="1" t="s">
        <v>95</v>
      </c>
    </row>
    <row r="279" spans="1:33">
      <c r="A279" t="s">
        <v>1169</v>
      </c>
      <c r="B279" t="s">
        <v>1170</v>
      </c>
      <c r="C279" t="s">
        <v>1171</v>
      </c>
      <c r="E279" t="s">
        <v>822</v>
      </c>
      <c r="F279" t="s">
        <v>634</v>
      </c>
      <c r="G279">
        <v>966.0</v>
      </c>
      <c r="H279">
        <v>966.0</v>
      </c>
      <c r="I279" t="s">
        <v>529</v>
      </c>
      <c r="J279" t="s">
        <v>530</v>
      </c>
      <c r="K279" t="s">
        <v>31</v>
      </c>
      <c r="L279" t="s">
        <v>32</v>
      </c>
      <c r="M279" t="s">
        <v>33</v>
      </c>
      <c r="P279" s="1" t="s">
        <v>1172</v>
      </c>
      <c r="Q279" s="1" t="s">
        <v>822</v>
      </c>
      <c r="R279" s="1" t="s">
        <v>27</v>
      </c>
      <c r="S279" s="1"/>
      <c r="T279" s="1" t="s">
        <v>1171</v>
      </c>
      <c r="U279" s="1"/>
      <c r="V279" s="1">
        <v>966.0</v>
      </c>
      <c r="W279" s="1">
        <v>966.0</v>
      </c>
      <c r="X279" s="1" t="s">
        <v>35</v>
      </c>
      <c r="Y279" s="1">
        <v>966000.0</v>
      </c>
      <c r="Z279" s="1"/>
      <c r="AA279" s="1">
        <v>966000</v>
      </c>
      <c r="AB279" s="1"/>
      <c r="AC279" s="1" t="s">
        <v>36</v>
      </c>
      <c r="AD279" s="1" t="s">
        <v>1173</v>
      </c>
      <c r="AE279" s="1" t="s">
        <v>32</v>
      </c>
      <c r="AF279" s="1" t="s">
        <v>33</v>
      </c>
      <c r="AG279" s="1" t="s">
        <v>530</v>
      </c>
    </row>
    <row r="280" spans="1:33">
      <c r="A280" t="s">
        <v>1174</v>
      </c>
      <c r="B280" t="s">
        <v>735</v>
      </c>
      <c r="C280" t="s">
        <v>736</v>
      </c>
      <c r="E280" t="s">
        <v>822</v>
      </c>
      <c r="F280" t="s">
        <v>634</v>
      </c>
      <c r="G280">
        <v>43.0</v>
      </c>
      <c r="H280">
        <v>43.0</v>
      </c>
      <c r="I280" t="s">
        <v>59</v>
      </c>
      <c r="J280" t="s">
        <v>60</v>
      </c>
      <c r="K280" t="s">
        <v>31</v>
      </c>
      <c r="L280" t="s">
        <v>32</v>
      </c>
      <c r="M280" t="s">
        <v>33</v>
      </c>
      <c r="P280" s="1" t="s">
        <v>1175</v>
      </c>
      <c r="Q280" s="1" t="s">
        <v>822</v>
      </c>
      <c r="R280" s="1" t="s">
        <v>822</v>
      </c>
      <c r="S280" s="1"/>
      <c r="T280" s="1" t="s">
        <v>736</v>
      </c>
      <c r="U280" s="1"/>
      <c r="V280" s="1">
        <v>43.0</v>
      </c>
      <c r="W280" s="1">
        <v>43.0</v>
      </c>
      <c r="X280" s="1" t="s">
        <v>35</v>
      </c>
      <c r="Y280" s="1">
        <v>43000.0</v>
      </c>
      <c r="Z280" s="1"/>
      <c r="AA280" s="1">
        <v>43000</v>
      </c>
      <c r="AB280" s="1"/>
      <c r="AC280" s="1" t="s">
        <v>36</v>
      </c>
      <c r="AD280" s="1" t="s">
        <v>1176</v>
      </c>
      <c r="AE280" s="1" t="s">
        <v>32</v>
      </c>
      <c r="AF280" s="1" t="s">
        <v>33</v>
      </c>
      <c r="AG280" s="1" t="s">
        <v>60</v>
      </c>
    </row>
    <row r="281" spans="1:33">
      <c r="A281" t="s">
        <v>1177</v>
      </c>
      <c r="B281" t="s">
        <v>1178</v>
      </c>
      <c r="C281" t="s">
        <v>268</v>
      </c>
      <c r="E281" t="s">
        <v>822</v>
      </c>
      <c r="F281" t="s">
        <v>634</v>
      </c>
      <c r="G281">
        <v>33.8</v>
      </c>
      <c r="H281">
        <v>33.8</v>
      </c>
      <c r="I281" t="s">
        <v>269</v>
      </c>
      <c r="J281" t="s">
        <v>270</v>
      </c>
      <c r="K281" t="s">
        <v>31</v>
      </c>
      <c r="L281" t="s">
        <v>32</v>
      </c>
      <c r="M281" t="s">
        <v>33</v>
      </c>
      <c r="P281" s="1" t="s">
        <v>1179</v>
      </c>
      <c r="Q281" s="1" t="s">
        <v>822</v>
      </c>
      <c r="R281" s="1" t="s">
        <v>822</v>
      </c>
      <c r="S281" s="1"/>
      <c r="T281" s="1" t="s">
        <v>268</v>
      </c>
      <c r="U281" s="1"/>
      <c r="V281" s="1">
        <v>33.8</v>
      </c>
      <c r="W281" s="1">
        <v>33.8</v>
      </c>
      <c r="X281" s="1" t="s">
        <v>35</v>
      </c>
      <c r="Y281" s="1">
        <v>33800.0</v>
      </c>
      <c r="Z281" s="1"/>
      <c r="AA281" s="1">
        <v>33800</v>
      </c>
      <c r="AB281" s="1"/>
      <c r="AC281" s="1" t="s">
        <v>36</v>
      </c>
      <c r="AD281" s="1" t="s">
        <v>1180</v>
      </c>
      <c r="AE281" s="1" t="s">
        <v>32</v>
      </c>
      <c r="AF281" s="1" t="s">
        <v>33</v>
      </c>
      <c r="AG281" s="1" t="s">
        <v>270</v>
      </c>
    </row>
    <row r="282" spans="1:33">
      <c r="A282" t="s">
        <v>1181</v>
      </c>
      <c r="B282" t="s">
        <v>1182</v>
      </c>
      <c r="C282" t="s">
        <v>1183</v>
      </c>
      <c r="D282" t="s">
        <v>114</v>
      </c>
      <c r="E282" t="s">
        <v>822</v>
      </c>
      <c r="F282" t="s">
        <v>634</v>
      </c>
      <c r="G282">
        <v>336.0</v>
      </c>
      <c r="H282">
        <v>336.0</v>
      </c>
      <c r="I282" t="s">
        <v>29</v>
      </c>
      <c r="J282" t="s">
        <v>30</v>
      </c>
      <c r="K282" t="s">
        <v>31</v>
      </c>
      <c r="L282" t="s">
        <v>32</v>
      </c>
      <c r="M282" t="s">
        <v>33</v>
      </c>
      <c r="P282" s="1" t="s">
        <v>1184</v>
      </c>
      <c r="Q282" s="1" t="s">
        <v>822</v>
      </c>
      <c r="R282" s="1" t="s">
        <v>822</v>
      </c>
      <c r="S282" s="1"/>
      <c r="T282" s="1" t="s">
        <v>1185</v>
      </c>
      <c r="U282" s="1" t="s">
        <v>1186</v>
      </c>
      <c r="V282" s="1">
        <v>336.0</v>
      </c>
      <c r="W282" s="1">
        <v>336.0</v>
      </c>
      <c r="X282" s="1" t="s">
        <v>35</v>
      </c>
      <c r="Y282" s="1">
        <v>336000.0</v>
      </c>
      <c r="Z282" s="1"/>
      <c r="AA282" s="1">
        <v>336000</v>
      </c>
      <c r="AB282" s="1"/>
      <c r="AC282" s="1" t="s">
        <v>36</v>
      </c>
      <c r="AD282" s="1" t="s">
        <v>1187</v>
      </c>
      <c r="AE282" s="1" t="s">
        <v>32</v>
      </c>
      <c r="AF282" s="1" t="s">
        <v>33</v>
      </c>
      <c r="AG282" s="1" t="s">
        <v>30</v>
      </c>
    </row>
    <row r="283" spans="1:33">
      <c r="A283" t="s">
        <v>1188</v>
      </c>
      <c r="B283" t="s">
        <v>1189</v>
      </c>
      <c r="C283" t="s">
        <v>73</v>
      </c>
      <c r="E283" t="s">
        <v>822</v>
      </c>
      <c r="F283" t="s">
        <v>634</v>
      </c>
      <c r="G283">
        <v>21.354</v>
      </c>
      <c r="H283">
        <v>21.354</v>
      </c>
      <c r="I283" t="s">
        <v>40</v>
      </c>
      <c r="J283" t="s">
        <v>41</v>
      </c>
      <c r="K283" t="s">
        <v>31</v>
      </c>
      <c r="L283" t="s">
        <v>32</v>
      </c>
      <c r="M283" t="s">
        <v>33</v>
      </c>
      <c r="P283" s="1" t="s">
        <v>1190</v>
      </c>
      <c r="Q283" s="1" t="s">
        <v>822</v>
      </c>
      <c r="R283" s="1" t="s">
        <v>27</v>
      </c>
      <c r="S283" s="1"/>
      <c r="T283" s="1" t="s">
        <v>75</v>
      </c>
      <c r="U283" s="1" t="s">
        <v>76</v>
      </c>
      <c r="V283" s="1">
        <v>21.354</v>
      </c>
      <c r="W283" s="1">
        <v>21.354</v>
      </c>
      <c r="X283" s="1" t="s">
        <v>35</v>
      </c>
      <c r="Y283" s="1">
        <v>21354.0</v>
      </c>
      <c r="Z283" s="1"/>
      <c r="AA283" s="1">
        <v>21354</v>
      </c>
      <c r="AB283" s="1"/>
      <c r="AC283" s="1" t="s">
        <v>36</v>
      </c>
      <c r="AD283" s="1" t="s">
        <v>1191</v>
      </c>
      <c r="AE283" s="1" t="s">
        <v>32</v>
      </c>
      <c r="AF283" s="1" t="s">
        <v>33</v>
      </c>
      <c r="AG283" s="1" t="s">
        <v>41</v>
      </c>
    </row>
    <row r="284" spans="1:33">
      <c r="A284" t="s">
        <v>1192</v>
      </c>
      <c r="B284" t="s">
        <v>1193</v>
      </c>
      <c r="C284" t="s">
        <v>569</v>
      </c>
      <c r="E284" t="s">
        <v>822</v>
      </c>
      <c r="F284" t="s">
        <v>634</v>
      </c>
      <c r="G284">
        <v>191.95</v>
      </c>
      <c r="H284">
        <v>191.95</v>
      </c>
      <c r="I284" t="s">
        <v>570</v>
      </c>
      <c r="J284" t="s">
        <v>571</v>
      </c>
      <c r="K284" t="s">
        <v>31</v>
      </c>
      <c r="L284" t="s">
        <v>32</v>
      </c>
      <c r="M284" t="s">
        <v>33</v>
      </c>
      <c r="P284" s="1" t="s">
        <v>1194</v>
      </c>
      <c r="Q284" s="1" t="s">
        <v>822</v>
      </c>
      <c r="R284" s="1" t="s">
        <v>822</v>
      </c>
      <c r="S284" s="1"/>
      <c r="T284" s="1" t="s">
        <v>569</v>
      </c>
      <c r="U284" s="1"/>
      <c r="V284" s="1">
        <v>191.95</v>
      </c>
      <c r="W284" s="1">
        <v>191.95</v>
      </c>
      <c r="X284" s="1" t="s">
        <v>35</v>
      </c>
      <c r="Y284" s="1">
        <v>191950.0</v>
      </c>
      <c r="Z284" s="1"/>
      <c r="AA284" s="1">
        <v>191950</v>
      </c>
      <c r="AB284" s="1"/>
      <c r="AC284" s="1" t="s">
        <v>36</v>
      </c>
      <c r="AD284" s="1" t="s">
        <v>1195</v>
      </c>
      <c r="AE284" s="1" t="s">
        <v>32</v>
      </c>
      <c r="AF284" s="1" t="s">
        <v>33</v>
      </c>
      <c r="AG284" s="1" t="s">
        <v>571</v>
      </c>
    </row>
    <row r="285" spans="1:33">
      <c r="A285" t="s">
        <v>1196</v>
      </c>
      <c r="C285" t="s">
        <v>1197</v>
      </c>
      <c r="D285" t="s">
        <v>154</v>
      </c>
      <c r="E285" t="s">
        <v>822</v>
      </c>
      <c r="F285" t="s">
        <v>634</v>
      </c>
      <c r="G285">
        <v>884.0</v>
      </c>
      <c r="H285">
        <v>884.0</v>
      </c>
      <c r="I285" t="s">
        <v>269</v>
      </c>
      <c r="J285" t="s">
        <v>270</v>
      </c>
      <c r="K285" t="s">
        <v>31</v>
      </c>
      <c r="L285" t="s">
        <v>32</v>
      </c>
      <c r="M285" t="s">
        <v>33</v>
      </c>
      <c r="P285" s="1" t="s">
        <v>1198</v>
      </c>
      <c r="Q285" s="1" t="s">
        <v>822</v>
      </c>
      <c r="R285" s="1" t="s">
        <v>822</v>
      </c>
      <c r="S285" s="1"/>
      <c r="T285" s="1" t="s">
        <v>1197</v>
      </c>
      <c r="U285" s="1"/>
      <c r="V285" s="1">
        <v>884.0</v>
      </c>
      <c r="W285" s="1">
        <v>884.0</v>
      </c>
      <c r="X285" s="1" t="s">
        <v>35</v>
      </c>
      <c r="Y285" s="1">
        <v>884000.0</v>
      </c>
      <c r="Z285" s="1"/>
      <c r="AA285" s="1">
        <v>884000</v>
      </c>
      <c r="AB285" s="1"/>
      <c r="AC285" s="1" t="s">
        <v>36</v>
      </c>
      <c r="AD285" s="1" t="s">
        <v>1199</v>
      </c>
      <c r="AE285" s="1" t="s">
        <v>32</v>
      </c>
      <c r="AF285" s="1" t="s">
        <v>33</v>
      </c>
      <c r="AG285" s="1" t="s">
        <v>270</v>
      </c>
    </row>
    <row r="286" spans="1:33">
      <c r="A286" t="s">
        <v>1200</v>
      </c>
      <c r="B286" t="s">
        <v>1201</v>
      </c>
      <c r="C286" t="s">
        <v>172</v>
      </c>
      <c r="E286" t="s">
        <v>822</v>
      </c>
      <c r="F286" t="s">
        <v>634</v>
      </c>
      <c r="G286">
        <v>100.45</v>
      </c>
      <c r="H286">
        <v>100.45</v>
      </c>
      <c r="I286" t="s">
        <v>173</v>
      </c>
      <c r="J286" t="s">
        <v>174</v>
      </c>
      <c r="K286" t="s">
        <v>31</v>
      </c>
      <c r="L286" t="s">
        <v>32</v>
      </c>
      <c r="M286" t="s">
        <v>33</v>
      </c>
      <c r="P286" s="1" t="s">
        <v>1202</v>
      </c>
      <c r="Q286" s="1" t="s">
        <v>822</v>
      </c>
      <c r="R286" s="1" t="s">
        <v>822</v>
      </c>
      <c r="S286" s="1"/>
      <c r="T286" s="1" t="s">
        <v>172</v>
      </c>
      <c r="U286" s="1"/>
      <c r="V286" s="1">
        <v>100.45</v>
      </c>
      <c r="W286" s="1">
        <v>100.45</v>
      </c>
      <c r="X286" s="1" t="s">
        <v>35</v>
      </c>
      <c r="Y286" s="1">
        <v>100450.0</v>
      </c>
      <c r="Z286" s="1"/>
      <c r="AA286" s="1">
        <v>100450</v>
      </c>
      <c r="AB286" s="1"/>
      <c r="AC286" s="1" t="s">
        <v>36</v>
      </c>
      <c r="AD286" s="1" t="s">
        <v>1203</v>
      </c>
      <c r="AE286" s="1" t="s">
        <v>32</v>
      </c>
      <c r="AF286" s="1" t="s">
        <v>33</v>
      </c>
      <c r="AG286" s="1" t="s">
        <v>174</v>
      </c>
    </row>
    <row r="287" spans="1:33">
      <c r="A287" t="s">
        <v>1204</v>
      </c>
      <c r="B287" t="s">
        <v>1205</v>
      </c>
      <c r="C287" t="s">
        <v>131</v>
      </c>
      <c r="E287" t="s">
        <v>822</v>
      </c>
      <c r="F287" t="s">
        <v>634</v>
      </c>
      <c r="G287">
        <v>21.99</v>
      </c>
      <c r="H287">
        <v>21.99</v>
      </c>
      <c r="I287" t="s">
        <v>94</v>
      </c>
      <c r="J287" t="s">
        <v>95</v>
      </c>
      <c r="K287" t="s">
        <v>31</v>
      </c>
      <c r="L287" t="s">
        <v>32</v>
      </c>
      <c r="M287" t="s">
        <v>33</v>
      </c>
      <c r="P287" s="1" t="s">
        <v>1206</v>
      </c>
      <c r="Q287" s="1" t="s">
        <v>822</v>
      </c>
      <c r="R287" s="1" t="s">
        <v>822</v>
      </c>
      <c r="S287" s="1"/>
      <c r="T287" s="1" t="s">
        <v>131</v>
      </c>
      <c r="U287" s="1"/>
      <c r="V287" s="1">
        <v>21.99</v>
      </c>
      <c r="W287" s="1">
        <v>21.99</v>
      </c>
      <c r="X287" s="1" t="s">
        <v>35</v>
      </c>
      <c r="Y287" s="1">
        <v>21990.0</v>
      </c>
      <c r="Z287" s="1"/>
      <c r="AA287" s="1">
        <v>21990</v>
      </c>
      <c r="AB287" s="1"/>
      <c r="AC287" s="1" t="s">
        <v>36</v>
      </c>
      <c r="AD287" s="1" t="s">
        <v>1207</v>
      </c>
      <c r="AE287" s="1" t="s">
        <v>32</v>
      </c>
      <c r="AF287" s="1" t="s">
        <v>33</v>
      </c>
      <c r="AG287" s="1" t="s">
        <v>95</v>
      </c>
    </row>
    <row r="288" spans="1:33">
      <c r="A288" t="s">
        <v>1208</v>
      </c>
      <c r="C288" t="s">
        <v>1209</v>
      </c>
      <c r="D288" t="s">
        <v>114</v>
      </c>
      <c r="E288" t="s">
        <v>822</v>
      </c>
      <c r="F288" t="s">
        <v>634</v>
      </c>
      <c r="G288">
        <v>609.5</v>
      </c>
      <c r="H288">
        <v>609.5</v>
      </c>
      <c r="I288" t="s">
        <v>173</v>
      </c>
      <c r="J288" t="s">
        <v>174</v>
      </c>
      <c r="K288" t="s">
        <v>31</v>
      </c>
      <c r="L288" t="s">
        <v>32</v>
      </c>
      <c r="M288" t="s">
        <v>33</v>
      </c>
      <c r="P288" s="1" t="s">
        <v>1210</v>
      </c>
      <c r="Q288" s="1" t="s">
        <v>822</v>
      </c>
      <c r="R288" s="1" t="s">
        <v>822</v>
      </c>
      <c r="S288" s="1"/>
      <c r="T288" s="1" t="s">
        <v>1211</v>
      </c>
      <c r="U288" s="1" t="s">
        <v>1212</v>
      </c>
      <c r="V288" s="1">
        <v>609.5</v>
      </c>
      <c r="W288" s="1">
        <v>609.5</v>
      </c>
      <c r="X288" s="1" t="s">
        <v>35</v>
      </c>
      <c r="Y288" s="1">
        <v>609500.0</v>
      </c>
      <c r="Z288" s="1"/>
      <c r="AA288" s="1">
        <v>609500</v>
      </c>
      <c r="AB288" s="1"/>
      <c r="AC288" s="1" t="s">
        <v>36</v>
      </c>
      <c r="AD288" s="1" t="s">
        <v>1213</v>
      </c>
      <c r="AE288" s="1" t="s">
        <v>32</v>
      </c>
      <c r="AF288" s="1" t="s">
        <v>33</v>
      </c>
      <c r="AG288" s="1" t="s">
        <v>174</v>
      </c>
    </row>
    <row r="289" spans="1:33">
      <c r="A289" t="s">
        <v>1214</v>
      </c>
      <c r="B289" t="s">
        <v>1215</v>
      </c>
      <c r="C289" t="s">
        <v>1216</v>
      </c>
      <c r="D289" t="s">
        <v>114</v>
      </c>
      <c r="E289" t="s">
        <v>822</v>
      </c>
      <c r="F289" t="s">
        <v>634</v>
      </c>
      <c r="G289">
        <v>1.755</v>
      </c>
      <c r="H289">
        <v>1.755</v>
      </c>
      <c r="I289" t="s">
        <v>59</v>
      </c>
      <c r="J289" t="s">
        <v>60</v>
      </c>
      <c r="K289" t="s">
        <v>31</v>
      </c>
      <c r="L289" t="s">
        <v>32</v>
      </c>
      <c r="M289" t="s">
        <v>33</v>
      </c>
      <c r="P289" s="1" t="s">
        <v>1217</v>
      </c>
      <c r="Q289" s="1" t="s">
        <v>822</v>
      </c>
      <c r="R289" s="1" t="s">
        <v>822</v>
      </c>
      <c r="S289" s="1"/>
      <c r="T289" s="1" t="s">
        <v>1218</v>
      </c>
      <c r="U289" s="1" t="s">
        <v>1219</v>
      </c>
      <c r="V289" s="1">
        <v>1.755</v>
      </c>
      <c r="W289" s="1">
        <v>1.755</v>
      </c>
      <c r="X289" s="1" t="s">
        <v>35</v>
      </c>
      <c r="Y289" s="1">
        <v>1755000.0</v>
      </c>
      <c r="Z289" s="1"/>
      <c r="AA289" s="1">
        <v>1755000</v>
      </c>
      <c r="AB289" s="1"/>
      <c r="AC289" s="1" t="s">
        <v>36</v>
      </c>
      <c r="AD289" s="1" t="s">
        <v>1085</v>
      </c>
      <c r="AE289" s="1" t="s">
        <v>32</v>
      </c>
      <c r="AF289" s="1" t="s">
        <v>33</v>
      </c>
      <c r="AG289" s="1" t="s">
        <v>60</v>
      </c>
    </row>
    <row r="290" spans="1:33">
      <c r="A290" t="s">
        <v>1220</v>
      </c>
      <c r="B290" t="s">
        <v>1221</v>
      </c>
      <c r="C290" t="s">
        <v>68</v>
      </c>
      <c r="E290" t="s">
        <v>822</v>
      </c>
      <c r="F290" t="s">
        <v>634</v>
      </c>
      <c r="G290">
        <v>179.93</v>
      </c>
      <c r="H290">
        <v>179.93</v>
      </c>
      <c r="I290" t="s">
        <v>59</v>
      </c>
      <c r="J290" t="s">
        <v>60</v>
      </c>
      <c r="K290" t="s">
        <v>31</v>
      </c>
      <c r="L290" t="s">
        <v>32</v>
      </c>
      <c r="M290" t="s">
        <v>33</v>
      </c>
      <c r="P290" s="1" t="s">
        <v>1222</v>
      </c>
      <c r="Q290" s="1" t="s">
        <v>822</v>
      </c>
      <c r="R290" s="1" t="s">
        <v>822</v>
      </c>
      <c r="S290" s="1"/>
      <c r="T290" s="1" t="s">
        <v>68</v>
      </c>
      <c r="U290" s="1"/>
      <c r="V290" s="1">
        <v>179.93</v>
      </c>
      <c r="W290" s="1">
        <v>179.93</v>
      </c>
      <c r="X290" s="1" t="s">
        <v>35</v>
      </c>
      <c r="Y290" s="1">
        <v>179930.0</v>
      </c>
      <c r="Z290" s="1"/>
      <c r="AA290" s="1">
        <v>179930</v>
      </c>
      <c r="AB290" s="1"/>
      <c r="AC290" s="1" t="s">
        <v>36</v>
      </c>
      <c r="AD290" s="1" t="s">
        <v>1223</v>
      </c>
      <c r="AE290" s="1" t="s">
        <v>32</v>
      </c>
      <c r="AF290" s="1" t="s">
        <v>33</v>
      </c>
      <c r="AG290" s="1" t="s">
        <v>60</v>
      </c>
    </row>
    <row r="291" spans="1:33">
      <c r="A291" t="s">
        <v>1224</v>
      </c>
      <c r="B291" t="s">
        <v>1225</v>
      </c>
      <c r="C291" t="s">
        <v>47</v>
      </c>
      <c r="E291" t="s">
        <v>822</v>
      </c>
      <c r="F291" t="s">
        <v>634</v>
      </c>
      <c r="G291">
        <v>144.958</v>
      </c>
      <c r="H291">
        <v>144.958</v>
      </c>
      <c r="I291" t="s">
        <v>48</v>
      </c>
      <c r="J291" t="s">
        <v>49</v>
      </c>
      <c r="K291" t="s">
        <v>31</v>
      </c>
      <c r="L291" t="s">
        <v>32</v>
      </c>
      <c r="M291" t="s">
        <v>33</v>
      </c>
      <c r="P291" s="1" t="s">
        <v>1226</v>
      </c>
      <c r="Q291" s="1" t="s">
        <v>822</v>
      </c>
      <c r="R291" s="1" t="s">
        <v>822</v>
      </c>
      <c r="S291" s="1"/>
      <c r="T291" s="1" t="s">
        <v>47</v>
      </c>
      <c r="U291" s="1"/>
      <c r="V291" s="1">
        <v>144.958</v>
      </c>
      <c r="W291" s="1">
        <v>144.958</v>
      </c>
      <c r="X291" s="1" t="s">
        <v>35</v>
      </c>
      <c r="Y291" s="1">
        <v>144958.0</v>
      </c>
      <c r="Z291" s="1"/>
      <c r="AA291" s="1">
        <v>144958</v>
      </c>
      <c r="AB291" s="1"/>
      <c r="AC291" s="1" t="s">
        <v>36</v>
      </c>
      <c r="AD291" s="1" t="s">
        <v>1227</v>
      </c>
      <c r="AE291" s="1" t="s">
        <v>32</v>
      </c>
      <c r="AF291" s="1" t="s">
        <v>33</v>
      </c>
      <c r="AG291" s="1" t="s">
        <v>49</v>
      </c>
    </row>
    <row r="292" spans="1:33">
      <c r="A292" t="s">
        <v>1228</v>
      </c>
      <c r="C292" t="s">
        <v>827</v>
      </c>
      <c r="D292" t="s">
        <v>154</v>
      </c>
      <c r="E292" t="s">
        <v>822</v>
      </c>
      <c r="F292" t="s">
        <v>634</v>
      </c>
      <c r="G292">
        <v>924.5</v>
      </c>
      <c r="H292">
        <v>924.5</v>
      </c>
      <c r="I292" t="s">
        <v>269</v>
      </c>
      <c r="J292" t="s">
        <v>270</v>
      </c>
      <c r="K292" t="s">
        <v>31</v>
      </c>
      <c r="L292" t="s">
        <v>32</v>
      </c>
      <c r="M292" t="s">
        <v>33</v>
      </c>
      <c r="P292" s="1" t="s">
        <v>1229</v>
      </c>
      <c r="Q292" s="1" t="s">
        <v>822</v>
      </c>
      <c r="R292" s="1" t="s">
        <v>822</v>
      </c>
      <c r="S292" s="1"/>
      <c r="T292" s="1" t="s">
        <v>827</v>
      </c>
      <c r="U292" s="1"/>
      <c r="V292" s="1">
        <v>924.5</v>
      </c>
      <c r="W292" s="1">
        <v>924.5</v>
      </c>
      <c r="X292" s="1" t="s">
        <v>35</v>
      </c>
      <c r="Y292" s="1">
        <v>924500.0</v>
      </c>
      <c r="Z292" s="1"/>
      <c r="AA292" s="1">
        <v>924500</v>
      </c>
      <c r="AB292" s="1"/>
      <c r="AC292" s="1" t="s">
        <v>36</v>
      </c>
      <c r="AD292" s="1" t="s">
        <v>1230</v>
      </c>
      <c r="AE292" s="1" t="s">
        <v>32</v>
      </c>
      <c r="AF292" s="1" t="s">
        <v>33</v>
      </c>
      <c r="AG292" s="1" t="s">
        <v>270</v>
      </c>
    </row>
    <row r="293" spans="1:33">
      <c r="A293" t="s">
        <v>1231</v>
      </c>
      <c r="B293" t="s">
        <v>1232</v>
      </c>
      <c r="C293" t="s">
        <v>1233</v>
      </c>
      <c r="E293" t="s">
        <v>822</v>
      </c>
      <c r="F293" t="s">
        <v>634</v>
      </c>
      <c r="G293">
        <v>328.0</v>
      </c>
      <c r="H293">
        <v>328.0</v>
      </c>
      <c r="I293" t="s">
        <v>529</v>
      </c>
      <c r="J293" t="s">
        <v>530</v>
      </c>
      <c r="K293" t="s">
        <v>31</v>
      </c>
      <c r="L293" t="s">
        <v>32</v>
      </c>
      <c r="M293" t="s">
        <v>33</v>
      </c>
      <c r="P293" s="1" t="s">
        <v>1234</v>
      </c>
      <c r="Q293" s="1" t="s">
        <v>822</v>
      </c>
      <c r="R293" s="1" t="s">
        <v>27</v>
      </c>
      <c r="S293" s="1"/>
      <c r="T293" s="1" t="s">
        <v>1233</v>
      </c>
      <c r="U293" s="1"/>
      <c r="V293" s="1">
        <v>328.0</v>
      </c>
      <c r="W293" s="1">
        <v>328.0</v>
      </c>
      <c r="X293" s="1" t="s">
        <v>35</v>
      </c>
      <c r="Y293" s="1">
        <v>328000.0</v>
      </c>
      <c r="Z293" s="1"/>
      <c r="AA293" s="1">
        <v>328000</v>
      </c>
      <c r="AB293" s="1"/>
      <c r="AC293" s="1" t="s">
        <v>36</v>
      </c>
      <c r="AD293" s="1" t="s">
        <v>1235</v>
      </c>
      <c r="AE293" s="1" t="s">
        <v>32</v>
      </c>
      <c r="AF293" s="1" t="s">
        <v>33</v>
      </c>
      <c r="AG293" s="1" t="s">
        <v>530</v>
      </c>
    </row>
    <row r="294" spans="1:33">
      <c r="A294" t="s">
        <v>1236</v>
      </c>
      <c r="B294" t="s">
        <v>1237</v>
      </c>
      <c r="C294" t="s">
        <v>68</v>
      </c>
      <c r="E294" t="s">
        <v>822</v>
      </c>
      <c r="F294" t="s">
        <v>634</v>
      </c>
      <c r="G294">
        <v>151.952</v>
      </c>
      <c r="H294">
        <v>151.952</v>
      </c>
      <c r="I294" t="s">
        <v>59</v>
      </c>
      <c r="J294" t="s">
        <v>60</v>
      </c>
      <c r="K294" t="s">
        <v>31</v>
      </c>
      <c r="L294" t="s">
        <v>32</v>
      </c>
      <c r="M294" t="s">
        <v>33</v>
      </c>
      <c r="P294" s="1" t="s">
        <v>1238</v>
      </c>
      <c r="Q294" s="1" t="s">
        <v>822</v>
      </c>
      <c r="R294" s="1" t="s">
        <v>822</v>
      </c>
      <c r="S294" s="1"/>
      <c r="T294" s="1" t="s">
        <v>68</v>
      </c>
      <c r="U294" s="1"/>
      <c r="V294" s="1">
        <v>151.952</v>
      </c>
      <c r="W294" s="1">
        <v>151.952</v>
      </c>
      <c r="X294" s="1" t="s">
        <v>35</v>
      </c>
      <c r="Y294" s="1">
        <v>151952.0</v>
      </c>
      <c r="Z294" s="1"/>
      <c r="AA294" s="1">
        <v>151952</v>
      </c>
      <c r="AB294" s="1"/>
      <c r="AC294" s="1" t="s">
        <v>36</v>
      </c>
      <c r="AD294" s="1" t="s">
        <v>1239</v>
      </c>
      <c r="AE294" s="1" t="s">
        <v>32</v>
      </c>
      <c r="AF294" s="1" t="s">
        <v>33</v>
      </c>
      <c r="AG294" s="1" t="s">
        <v>60</v>
      </c>
    </row>
    <row r="295" spans="1:33">
      <c r="A295" t="s">
        <v>1240</v>
      </c>
      <c r="B295" t="s">
        <v>255</v>
      </c>
      <c r="C295" t="s">
        <v>125</v>
      </c>
      <c r="E295" t="s">
        <v>822</v>
      </c>
      <c r="F295" t="s">
        <v>634</v>
      </c>
      <c r="G295">
        <v>16.99</v>
      </c>
      <c r="H295">
        <v>16.99</v>
      </c>
      <c r="I295" t="s">
        <v>126</v>
      </c>
      <c r="J295" t="s">
        <v>127</v>
      </c>
      <c r="K295" t="s">
        <v>31</v>
      </c>
      <c r="L295" t="s">
        <v>32</v>
      </c>
      <c r="M295" t="s">
        <v>33</v>
      </c>
      <c r="P295" s="1" t="s">
        <v>1241</v>
      </c>
      <c r="Q295" s="1" t="s">
        <v>822</v>
      </c>
      <c r="R295" s="1" t="s">
        <v>822</v>
      </c>
      <c r="S295" s="1"/>
      <c r="T295" s="1" t="s">
        <v>125</v>
      </c>
      <c r="U295" s="1"/>
      <c r="V295" s="1">
        <v>16.99</v>
      </c>
      <c r="W295" s="1">
        <v>16.99</v>
      </c>
      <c r="X295" s="1" t="s">
        <v>35</v>
      </c>
      <c r="Y295" s="1">
        <v>16990.0</v>
      </c>
      <c r="Z295" s="1"/>
      <c r="AA295" s="1">
        <v>16990</v>
      </c>
      <c r="AB295" s="1"/>
      <c r="AC295" s="1" t="s">
        <v>36</v>
      </c>
      <c r="AD295" s="1" t="s">
        <v>1242</v>
      </c>
      <c r="AE295" s="1" t="s">
        <v>32</v>
      </c>
      <c r="AF295" s="1" t="s">
        <v>33</v>
      </c>
      <c r="AG295" s="1" t="s">
        <v>127</v>
      </c>
    </row>
    <row r="296" spans="1:33">
      <c r="A296" t="s">
        <v>1243</v>
      </c>
      <c r="C296" t="s">
        <v>1244</v>
      </c>
      <c r="E296" t="s">
        <v>822</v>
      </c>
      <c r="F296" t="s">
        <v>634</v>
      </c>
      <c r="G296">
        <v>37.18</v>
      </c>
      <c r="H296">
        <v>37.18</v>
      </c>
      <c r="I296" t="s">
        <v>179</v>
      </c>
      <c r="J296" t="s">
        <v>180</v>
      </c>
      <c r="K296" t="s">
        <v>31</v>
      </c>
      <c r="L296" t="s">
        <v>32</v>
      </c>
      <c r="M296" t="s">
        <v>33</v>
      </c>
      <c r="P296" s="1" t="s">
        <v>1245</v>
      </c>
      <c r="Q296" s="1" t="s">
        <v>822</v>
      </c>
      <c r="R296" s="1" t="s">
        <v>822</v>
      </c>
      <c r="S296" s="1"/>
      <c r="T296" s="1" t="s">
        <v>1244</v>
      </c>
      <c r="U296" s="1"/>
      <c r="V296" s="1">
        <v>37.18</v>
      </c>
      <c r="W296" s="1">
        <v>37.18</v>
      </c>
      <c r="X296" s="1" t="s">
        <v>35</v>
      </c>
      <c r="Y296" s="1">
        <v>37180.0</v>
      </c>
      <c r="Z296" s="1"/>
      <c r="AA296" s="1">
        <v>37180</v>
      </c>
      <c r="AB296" s="1"/>
      <c r="AC296" s="1" t="s">
        <v>36</v>
      </c>
      <c r="AD296" s="1" t="s">
        <v>1246</v>
      </c>
      <c r="AE296" s="1" t="s">
        <v>32</v>
      </c>
      <c r="AF296" s="1" t="s">
        <v>33</v>
      </c>
      <c r="AG296" s="1" t="s">
        <v>180</v>
      </c>
    </row>
    <row r="297" spans="1:33">
      <c r="A297" t="s">
        <v>1247</v>
      </c>
      <c r="C297" t="s">
        <v>1248</v>
      </c>
      <c r="E297" t="s">
        <v>822</v>
      </c>
      <c r="F297" t="s">
        <v>634</v>
      </c>
      <c r="G297">
        <v>84.0</v>
      </c>
      <c r="H297">
        <v>84.0</v>
      </c>
      <c r="I297" t="s">
        <v>269</v>
      </c>
      <c r="J297" t="s">
        <v>270</v>
      </c>
      <c r="K297" t="s">
        <v>31</v>
      </c>
      <c r="L297" t="s">
        <v>32</v>
      </c>
      <c r="M297" t="s">
        <v>33</v>
      </c>
      <c r="P297" s="1" t="s">
        <v>1249</v>
      </c>
      <c r="Q297" s="1" t="s">
        <v>822</v>
      </c>
      <c r="R297" s="1" t="s">
        <v>822</v>
      </c>
      <c r="S297" s="1"/>
      <c r="T297" s="1" t="s">
        <v>1250</v>
      </c>
      <c r="U297" s="1" t="s">
        <v>1251</v>
      </c>
      <c r="V297" s="1">
        <v>84.0</v>
      </c>
      <c r="W297" s="1">
        <v>84.0</v>
      </c>
      <c r="X297" s="1" t="s">
        <v>35</v>
      </c>
      <c r="Y297" s="1">
        <v>84000.0</v>
      </c>
      <c r="Z297" s="1"/>
      <c r="AA297" s="1">
        <v>84000</v>
      </c>
      <c r="AB297" s="1"/>
      <c r="AC297" s="1" t="s">
        <v>36</v>
      </c>
      <c r="AD297" s="1" t="s">
        <v>1252</v>
      </c>
      <c r="AE297" s="1" t="s">
        <v>32</v>
      </c>
      <c r="AF297" s="1" t="s">
        <v>33</v>
      </c>
      <c r="AG297" s="1" t="s">
        <v>270</v>
      </c>
    </row>
    <row r="298" spans="1:33">
      <c r="A298" t="s">
        <v>1253</v>
      </c>
      <c r="B298" t="s">
        <v>1254</v>
      </c>
      <c r="C298" t="s">
        <v>314</v>
      </c>
      <c r="E298" t="s">
        <v>822</v>
      </c>
      <c r="F298" t="s">
        <v>634</v>
      </c>
      <c r="G298">
        <v>70.92</v>
      </c>
      <c r="H298">
        <v>70.92</v>
      </c>
      <c r="I298" t="s">
        <v>179</v>
      </c>
      <c r="J298" t="s">
        <v>180</v>
      </c>
      <c r="K298" t="s">
        <v>31</v>
      </c>
      <c r="L298" t="s">
        <v>32</v>
      </c>
      <c r="M298" t="s">
        <v>33</v>
      </c>
      <c r="P298" s="1" t="s">
        <v>1255</v>
      </c>
      <c r="Q298" s="1" t="s">
        <v>822</v>
      </c>
      <c r="R298" s="1" t="s">
        <v>822</v>
      </c>
      <c r="S298" s="1"/>
      <c r="T298" s="1" t="s">
        <v>314</v>
      </c>
      <c r="U298" s="1"/>
      <c r="V298" s="1">
        <v>70.92</v>
      </c>
      <c r="W298" s="1">
        <v>70.92</v>
      </c>
      <c r="X298" s="1" t="s">
        <v>35</v>
      </c>
      <c r="Y298" s="1">
        <v>70920.0</v>
      </c>
      <c r="Z298" s="1"/>
      <c r="AA298" s="1">
        <v>70920</v>
      </c>
      <c r="AB298" s="1"/>
      <c r="AC298" s="1" t="s">
        <v>36</v>
      </c>
      <c r="AD298" s="1" t="s">
        <v>1256</v>
      </c>
      <c r="AE298" s="1" t="s">
        <v>32</v>
      </c>
      <c r="AF298" s="1" t="s">
        <v>33</v>
      </c>
      <c r="AG298" s="1" t="s">
        <v>180</v>
      </c>
    </row>
    <row r="299" spans="1:33">
      <c r="A299" t="s">
        <v>1257</v>
      </c>
      <c r="B299" t="s">
        <v>1258</v>
      </c>
      <c r="C299" t="s">
        <v>68</v>
      </c>
      <c r="E299" t="s">
        <v>822</v>
      </c>
      <c r="F299" t="s">
        <v>634</v>
      </c>
      <c r="G299">
        <v>22.49</v>
      </c>
      <c r="H299">
        <v>22.49</v>
      </c>
      <c r="I299" t="s">
        <v>59</v>
      </c>
      <c r="J299" t="s">
        <v>60</v>
      </c>
      <c r="K299" t="s">
        <v>31</v>
      </c>
      <c r="L299" t="s">
        <v>32</v>
      </c>
      <c r="M299" t="s">
        <v>33</v>
      </c>
      <c r="P299" s="1" t="s">
        <v>1259</v>
      </c>
      <c r="Q299" s="1" t="s">
        <v>822</v>
      </c>
      <c r="R299" s="1" t="s">
        <v>822</v>
      </c>
      <c r="S299" s="1"/>
      <c r="T299" s="1" t="s">
        <v>68</v>
      </c>
      <c r="U299" s="1"/>
      <c r="V299" s="1">
        <v>22.49</v>
      </c>
      <c r="W299" s="1">
        <v>22.49</v>
      </c>
      <c r="X299" s="1" t="s">
        <v>35</v>
      </c>
      <c r="Y299" s="1">
        <v>22490.0</v>
      </c>
      <c r="Z299" s="1"/>
      <c r="AA299" s="1">
        <v>22490</v>
      </c>
      <c r="AB299" s="1"/>
      <c r="AC299" s="1" t="s">
        <v>36</v>
      </c>
      <c r="AD299" s="1" t="s">
        <v>1067</v>
      </c>
      <c r="AE299" s="1" t="s">
        <v>32</v>
      </c>
      <c r="AF299" s="1" t="s">
        <v>33</v>
      </c>
      <c r="AG299" s="1" t="s">
        <v>60</v>
      </c>
    </row>
    <row r="300" spans="1:33">
      <c r="A300" t="s">
        <v>1260</v>
      </c>
      <c r="C300" t="s">
        <v>1261</v>
      </c>
      <c r="E300" t="s">
        <v>822</v>
      </c>
      <c r="F300" t="s">
        <v>634</v>
      </c>
      <c r="G300">
        <v>454.5</v>
      </c>
      <c r="H300">
        <v>454.5</v>
      </c>
      <c r="I300" t="s">
        <v>48</v>
      </c>
      <c r="J300" t="s">
        <v>49</v>
      </c>
      <c r="K300" t="s">
        <v>31</v>
      </c>
      <c r="L300" t="s">
        <v>32</v>
      </c>
      <c r="M300" t="s">
        <v>33</v>
      </c>
      <c r="P300" s="1" t="s">
        <v>1262</v>
      </c>
      <c r="Q300" s="1" t="s">
        <v>822</v>
      </c>
      <c r="R300" s="1" t="s">
        <v>822</v>
      </c>
      <c r="S300" s="1"/>
      <c r="T300" s="1" t="s">
        <v>1261</v>
      </c>
      <c r="U300" s="1"/>
      <c r="V300" s="1">
        <v>454.5</v>
      </c>
      <c r="W300" s="1">
        <v>454.5</v>
      </c>
      <c r="X300" s="1" t="s">
        <v>35</v>
      </c>
      <c r="Y300" s="1">
        <v>454500.0</v>
      </c>
      <c r="Z300" s="1"/>
      <c r="AA300" s="1">
        <v>454500</v>
      </c>
      <c r="AB300" s="1"/>
      <c r="AC300" s="1" t="s">
        <v>36</v>
      </c>
      <c r="AD300" s="1" t="s">
        <v>1263</v>
      </c>
      <c r="AE300" s="1" t="s">
        <v>32</v>
      </c>
      <c r="AF300" s="1" t="s">
        <v>33</v>
      </c>
      <c r="AG300" s="1" t="s">
        <v>49</v>
      </c>
    </row>
    <row r="301" spans="1:33">
      <c r="A301" t="s">
        <v>1264</v>
      </c>
      <c r="B301" t="s">
        <v>1265</v>
      </c>
      <c r="C301" t="s">
        <v>314</v>
      </c>
      <c r="E301" t="s">
        <v>822</v>
      </c>
      <c r="F301" t="s">
        <v>634</v>
      </c>
      <c r="G301">
        <v>33.74</v>
      </c>
      <c r="H301">
        <v>33.74</v>
      </c>
      <c r="I301" t="s">
        <v>179</v>
      </c>
      <c r="J301" t="s">
        <v>180</v>
      </c>
      <c r="K301" t="s">
        <v>31</v>
      </c>
      <c r="L301" t="s">
        <v>32</v>
      </c>
      <c r="M301" t="s">
        <v>33</v>
      </c>
      <c r="P301" s="1" t="s">
        <v>1266</v>
      </c>
      <c r="Q301" s="1" t="s">
        <v>822</v>
      </c>
      <c r="R301" s="1" t="s">
        <v>822</v>
      </c>
      <c r="S301" s="1"/>
      <c r="T301" s="1" t="s">
        <v>314</v>
      </c>
      <c r="U301" s="1"/>
      <c r="V301" s="1">
        <v>33.74</v>
      </c>
      <c r="W301" s="1">
        <v>33.74</v>
      </c>
      <c r="X301" s="1" t="s">
        <v>35</v>
      </c>
      <c r="Y301" s="1">
        <v>33740.0</v>
      </c>
      <c r="Z301" s="1"/>
      <c r="AA301" s="1">
        <v>33740</v>
      </c>
      <c r="AB301" s="1"/>
      <c r="AC301" s="1" t="s">
        <v>36</v>
      </c>
      <c r="AD301" s="1" t="s">
        <v>1267</v>
      </c>
      <c r="AE301" s="1" t="s">
        <v>32</v>
      </c>
      <c r="AF301" s="1" t="s">
        <v>33</v>
      </c>
      <c r="AG301" s="1" t="s">
        <v>180</v>
      </c>
    </row>
    <row r="302" spans="1:33">
      <c r="A302" t="s">
        <v>1268</v>
      </c>
      <c r="C302" t="s">
        <v>1269</v>
      </c>
      <c r="D302" t="s">
        <v>114</v>
      </c>
      <c r="E302" t="s">
        <v>822</v>
      </c>
      <c r="F302" t="s">
        <v>634</v>
      </c>
      <c r="G302">
        <v>879.88</v>
      </c>
      <c r="H302">
        <v>879.88</v>
      </c>
      <c r="I302" t="s">
        <v>40</v>
      </c>
      <c r="J302" t="s">
        <v>41</v>
      </c>
      <c r="K302" t="s">
        <v>31</v>
      </c>
      <c r="L302" t="s">
        <v>32</v>
      </c>
      <c r="M302" t="s">
        <v>33</v>
      </c>
      <c r="P302" s="1" t="s">
        <v>1270</v>
      </c>
      <c r="Q302" s="1" t="s">
        <v>822</v>
      </c>
      <c r="R302" s="1" t="s">
        <v>27</v>
      </c>
      <c r="S302" s="1"/>
      <c r="T302" s="1" t="s">
        <v>1269</v>
      </c>
      <c r="U302" s="1"/>
      <c r="V302" s="1">
        <v>879.88</v>
      </c>
      <c r="W302" s="1">
        <v>879.88</v>
      </c>
      <c r="X302" s="1" t="s">
        <v>35</v>
      </c>
      <c r="Y302" s="1">
        <v>879880.0</v>
      </c>
      <c r="Z302" s="1"/>
      <c r="AA302" s="1">
        <v>879880</v>
      </c>
      <c r="AB302" s="1"/>
      <c r="AC302" s="1" t="s">
        <v>36</v>
      </c>
      <c r="AD302" s="1" t="s">
        <v>1271</v>
      </c>
      <c r="AE302" s="1" t="s">
        <v>32</v>
      </c>
      <c r="AF302" s="1" t="s">
        <v>33</v>
      </c>
      <c r="AG302" s="1" t="s">
        <v>41</v>
      </c>
    </row>
    <row r="303" spans="1:33">
      <c r="A303" t="s">
        <v>1272</v>
      </c>
      <c r="B303" t="s">
        <v>1273</v>
      </c>
      <c r="C303" t="s">
        <v>314</v>
      </c>
      <c r="E303" t="s">
        <v>822</v>
      </c>
      <c r="F303" t="s">
        <v>634</v>
      </c>
      <c r="G303">
        <v>49.0</v>
      </c>
      <c r="H303">
        <v>49.0</v>
      </c>
      <c r="I303" t="s">
        <v>179</v>
      </c>
      <c r="J303" t="s">
        <v>180</v>
      </c>
      <c r="K303" t="s">
        <v>31</v>
      </c>
      <c r="L303" t="s">
        <v>32</v>
      </c>
      <c r="M303" t="s">
        <v>33</v>
      </c>
      <c r="P303" s="1" t="s">
        <v>1274</v>
      </c>
      <c r="Q303" s="1" t="s">
        <v>822</v>
      </c>
      <c r="R303" s="1" t="s">
        <v>822</v>
      </c>
      <c r="S303" s="1"/>
      <c r="T303" s="1" t="s">
        <v>314</v>
      </c>
      <c r="U303" s="1"/>
      <c r="V303" s="1">
        <v>49.0</v>
      </c>
      <c r="W303" s="1">
        <v>49.0</v>
      </c>
      <c r="X303" s="1" t="s">
        <v>35</v>
      </c>
      <c r="Y303" s="1">
        <v>49000.0</v>
      </c>
      <c r="Z303" s="1"/>
      <c r="AA303" s="1">
        <v>49000</v>
      </c>
      <c r="AB303" s="1"/>
      <c r="AC303" s="1" t="s">
        <v>36</v>
      </c>
      <c r="AD303" s="1" t="s">
        <v>1275</v>
      </c>
      <c r="AE303" s="1" t="s">
        <v>32</v>
      </c>
      <c r="AF303" s="1" t="s">
        <v>33</v>
      </c>
      <c r="AG303" s="1" t="s">
        <v>180</v>
      </c>
    </row>
    <row r="304" spans="1:33">
      <c r="A304" t="s">
        <v>1276</v>
      </c>
      <c r="C304" t="s">
        <v>827</v>
      </c>
      <c r="D304" t="s">
        <v>154</v>
      </c>
      <c r="E304" t="s">
        <v>822</v>
      </c>
      <c r="F304" t="s">
        <v>634</v>
      </c>
      <c r="G304">
        <v>45.0</v>
      </c>
      <c r="H304">
        <v>45.0</v>
      </c>
      <c r="I304" t="s">
        <v>269</v>
      </c>
      <c r="J304" t="s">
        <v>270</v>
      </c>
      <c r="K304" t="s">
        <v>31</v>
      </c>
      <c r="L304" t="s">
        <v>32</v>
      </c>
      <c r="M304" t="s">
        <v>33</v>
      </c>
      <c r="P304" s="1" t="s">
        <v>1277</v>
      </c>
      <c r="Q304" s="1" t="s">
        <v>822</v>
      </c>
      <c r="R304" s="1" t="s">
        <v>822</v>
      </c>
      <c r="S304" s="1"/>
      <c r="T304" s="1" t="s">
        <v>827</v>
      </c>
      <c r="U304" s="1"/>
      <c r="V304" s="1">
        <v>45.0</v>
      </c>
      <c r="W304" s="1">
        <v>45.0</v>
      </c>
      <c r="X304" s="1" t="s">
        <v>35</v>
      </c>
      <c r="Y304" s="1">
        <v>45000.0</v>
      </c>
      <c r="Z304" s="1"/>
      <c r="AA304" s="1">
        <v>45000</v>
      </c>
      <c r="AB304" s="1"/>
      <c r="AC304" s="1" t="s">
        <v>36</v>
      </c>
      <c r="AD304" s="1" t="s">
        <v>1278</v>
      </c>
      <c r="AE304" s="1" t="s">
        <v>32</v>
      </c>
      <c r="AF304" s="1" t="s">
        <v>33</v>
      </c>
      <c r="AG304" s="1" t="s">
        <v>270</v>
      </c>
    </row>
    <row r="305" spans="1:33">
      <c r="A305" t="s">
        <v>1279</v>
      </c>
      <c r="B305" t="s">
        <v>1280</v>
      </c>
      <c r="C305" t="s">
        <v>1281</v>
      </c>
      <c r="E305" t="s">
        <v>822</v>
      </c>
      <c r="F305" t="s">
        <v>634</v>
      </c>
      <c r="G305">
        <v>328.0</v>
      </c>
      <c r="H305">
        <v>328.0</v>
      </c>
      <c r="I305" t="s">
        <v>529</v>
      </c>
      <c r="J305" t="s">
        <v>530</v>
      </c>
      <c r="K305" t="s">
        <v>31</v>
      </c>
      <c r="L305" t="s">
        <v>32</v>
      </c>
      <c r="M305" t="s">
        <v>33</v>
      </c>
      <c r="P305" s="1" t="s">
        <v>1282</v>
      </c>
      <c r="Q305" s="1" t="s">
        <v>822</v>
      </c>
      <c r="R305" s="1" t="s">
        <v>27</v>
      </c>
      <c r="S305" s="1"/>
      <c r="T305" s="1" t="s">
        <v>1281</v>
      </c>
      <c r="U305" s="1"/>
      <c r="V305" s="1">
        <v>328.0</v>
      </c>
      <c r="W305" s="1">
        <v>328.0</v>
      </c>
      <c r="X305" s="1" t="s">
        <v>35</v>
      </c>
      <c r="Y305" s="1">
        <v>328000.0</v>
      </c>
      <c r="Z305" s="1"/>
      <c r="AA305" s="1">
        <v>328000</v>
      </c>
      <c r="AB305" s="1"/>
      <c r="AC305" s="1" t="s">
        <v>36</v>
      </c>
      <c r="AD305" s="1" t="s">
        <v>1283</v>
      </c>
      <c r="AE305" s="1" t="s">
        <v>32</v>
      </c>
      <c r="AF305" s="1" t="s">
        <v>33</v>
      </c>
      <c r="AG305" s="1" t="s">
        <v>530</v>
      </c>
    </row>
    <row r="306" spans="1:33">
      <c r="A306" t="s">
        <v>1284</v>
      </c>
      <c r="C306" t="s">
        <v>1285</v>
      </c>
      <c r="E306" t="s">
        <v>822</v>
      </c>
      <c r="F306" t="s">
        <v>634</v>
      </c>
      <c r="G306">
        <v>1.27</v>
      </c>
      <c r="H306">
        <v>1.27</v>
      </c>
      <c r="I306" t="s">
        <v>173</v>
      </c>
      <c r="J306" t="s">
        <v>174</v>
      </c>
      <c r="K306" t="s">
        <v>31</v>
      </c>
      <c r="L306" t="s">
        <v>32</v>
      </c>
      <c r="M306" t="s">
        <v>33</v>
      </c>
      <c r="P306" s="1" t="s">
        <v>1286</v>
      </c>
      <c r="Q306" s="1" t="s">
        <v>822</v>
      </c>
      <c r="R306" s="1" t="s">
        <v>822</v>
      </c>
      <c r="S306" s="1"/>
      <c r="T306" s="1" t="s">
        <v>1285</v>
      </c>
      <c r="U306" s="1"/>
      <c r="V306" s="1">
        <v>1.27</v>
      </c>
      <c r="W306" s="1">
        <v>1.27</v>
      </c>
      <c r="X306" s="1" t="s">
        <v>35</v>
      </c>
      <c r="Y306" s="1">
        <v>1270000.0</v>
      </c>
      <c r="Z306" s="1"/>
      <c r="AA306" s="1">
        <v>1270000</v>
      </c>
      <c r="AB306" s="1"/>
      <c r="AC306" s="1" t="s">
        <v>36</v>
      </c>
      <c r="AD306" s="1" t="s">
        <v>1287</v>
      </c>
      <c r="AE306" s="1" t="s">
        <v>32</v>
      </c>
      <c r="AF306" s="1" t="s">
        <v>33</v>
      </c>
      <c r="AG306" s="1" t="s">
        <v>174</v>
      </c>
    </row>
    <row r="307" spans="1:33">
      <c r="A307" t="s">
        <v>1288</v>
      </c>
      <c r="B307" t="s">
        <v>1289</v>
      </c>
      <c r="C307" t="s">
        <v>172</v>
      </c>
      <c r="E307" t="s">
        <v>822</v>
      </c>
      <c r="F307" t="s">
        <v>634</v>
      </c>
      <c r="G307">
        <v>7.44</v>
      </c>
      <c r="H307">
        <v>7.44</v>
      </c>
      <c r="I307" t="s">
        <v>173</v>
      </c>
      <c r="J307" t="s">
        <v>174</v>
      </c>
      <c r="K307" t="s">
        <v>31</v>
      </c>
      <c r="L307" t="s">
        <v>32</v>
      </c>
      <c r="M307" t="s">
        <v>33</v>
      </c>
      <c r="P307" s="1" t="s">
        <v>1290</v>
      </c>
      <c r="Q307" s="1" t="s">
        <v>822</v>
      </c>
      <c r="R307" s="1" t="s">
        <v>822</v>
      </c>
      <c r="S307" s="1"/>
      <c r="T307" s="1" t="s">
        <v>172</v>
      </c>
      <c r="U307" s="1"/>
      <c r="V307" s="1">
        <v>7.44</v>
      </c>
      <c r="W307" s="1">
        <v>7.44</v>
      </c>
      <c r="X307" s="1" t="s">
        <v>35</v>
      </c>
      <c r="Y307" s="1">
        <v>7440.0</v>
      </c>
      <c r="Z307" s="1"/>
      <c r="AA307" s="1">
        <v>7440</v>
      </c>
      <c r="AB307" s="1"/>
      <c r="AC307" s="1" t="s">
        <v>36</v>
      </c>
      <c r="AD307" s="1" t="s">
        <v>1291</v>
      </c>
      <c r="AE307" s="1" t="s">
        <v>32</v>
      </c>
      <c r="AF307" s="1" t="s">
        <v>33</v>
      </c>
      <c r="AG307" s="1" t="s">
        <v>174</v>
      </c>
    </row>
    <row r="308" spans="1:33">
      <c r="A308" t="s">
        <v>1292</v>
      </c>
      <c r="B308" t="s">
        <v>1293</v>
      </c>
      <c r="C308" t="s">
        <v>125</v>
      </c>
      <c r="E308" t="s">
        <v>822</v>
      </c>
      <c r="F308" t="s">
        <v>634</v>
      </c>
      <c r="G308">
        <v>18.49</v>
      </c>
      <c r="H308">
        <v>18.49</v>
      </c>
      <c r="I308" t="s">
        <v>126</v>
      </c>
      <c r="J308" t="s">
        <v>127</v>
      </c>
      <c r="K308" t="s">
        <v>31</v>
      </c>
      <c r="L308" t="s">
        <v>32</v>
      </c>
      <c r="M308" t="s">
        <v>33</v>
      </c>
      <c r="P308" s="1" t="s">
        <v>1294</v>
      </c>
      <c r="Q308" s="1" t="s">
        <v>822</v>
      </c>
      <c r="R308" s="1" t="s">
        <v>822</v>
      </c>
      <c r="S308" s="1"/>
      <c r="T308" s="1" t="s">
        <v>125</v>
      </c>
      <c r="U308" s="1"/>
      <c r="V308" s="1">
        <v>18.49</v>
      </c>
      <c r="W308" s="1">
        <v>18.49</v>
      </c>
      <c r="X308" s="1" t="s">
        <v>35</v>
      </c>
      <c r="Y308" s="1">
        <v>18490.0</v>
      </c>
      <c r="Z308" s="1"/>
      <c r="AA308" s="1">
        <v>18490</v>
      </c>
      <c r="AB308" s="1"/>
      <c r="AC308" s="1" t="s">
        <v>36</v>
      </c>
      <c r="AD308" s="1" t="s">
        <v>1295</v>
      </c>
      <c r="AE308" s="1" t="s">
        <v>32</v>
      </c>
      <c r="AF308" s="1" t="s">
        <v>33</v>
      </c>
      <c r="AG308" s="1" t="s">
        <v>127</v>
      </c>
    </row>
    <row r="309" spans="1:33">
      <c r="A309" t="s">
        <v>1296</v>
      </c>
      <c r="B309" t="s">
        <v>1297</v>
      </c>
      <c r="C309" t="s">
        <v>1298</v>
      </c>
      <c r="E309" t="s">
        <v>822</v>
      </c>
      <c r="F309" t="s">
        <v>634</v>
      </c>
      <c r="G309">
        <v>19.49</v>
      </c>
      <c r="H309">
        <v>19.49</v>
      </c>
      <c r="I309" t="s">
        <v>529</v>
      </c>
      <c r="J309" t="s">
        <v>530</v>
      </c>
      <c r="K309" t="s">
        <v>31</v>
      </c>
      <c r="L309" t="s">
        <v>32</v>
      </c>
      <c r="M309" t="s">
        <v>33</v>
      </c>
      <c r="P309" s="1" t="s">
        <v>1299</v>
      </c>
      <c r="Q309" s="1" t="s">
        <v>822</v>
      </c>
      <c r="R309" s="1" t="s">
        <v>27</v>
      </c>
      <c r="S309" s="1"/>
      <c r="T309" s="1" t="s">
        <v>1298</v>
      </c>
      <c r="U309" s="1"/>
      <c r="V309" s="1">
        <v>19.49</v>
      </c>
      <c r="W309" s="1">
        <v>19.49</v>
      </c>
      <c r="X309" s="1" t="s">
        <v>35</v>
      </c>
      <c r="Y309" s="1">
        <v>19490.0</v>
      </c>
      <c r="Z309" s="1"/>
      <c r="AA309" s="1">
        <v>19490</v>
      </c>
      <c r="AB309" s="1"/>
      <c r="AC309" s="1" t="s">
        <v>36</v>
      </c>
      <c r="AD309" s="1" t="s">
        <v>1300</v>
      </c>
      <c r="AE309" s="1" t="s">
        <v>32</v>
      </c>
      <c r="AF309" s="1" t="s">
        <v>33</v>
      </c>
      <c r="AG309" s="1" t="s">
        <v>530</v>
      </c>
    </row>
    <row r="310" spans="1:33">
      <c r="A310" t="s">
        <v>1301</v>
      </c>
      <c r="B310" t="s">
        <v>1302</v>
      </c>
      <c r="C310" t="s">
        <v>125</v>
      </c>
      <c r="E310" t="s">
        <v>822</v>
      </c>
      <c r="F310" t="s">
        <v>634</v>
      </c>
      <c r="G310">
        <v>19.49</v>
      </c>
      <c r="H310">
        <v>19.49</v>
      </c>
      <c r="I310" t="s">
        <v>126</v>
      </c>
      <c r="J310" t="s">
        <v>127</v>
      </c>
      <c r="K310" t="s">
        <v>31</v>
      </c>
      <c r="L310" t="s">
        <v>32</v>
      </c>
      <c r="M310" t="s">
        <v>33</v>
      </c>
      <c r="P310" s="1" t="s">
        <v>1303</v>
      </c>
      <c r="Q310" s="1" t="s">
        <v>822</v>
      </c>
      <c r="R310" s="1" t="s">
        <v>822</v>
      </c>
      <c r="S310" s="1"/>
      <c r="T310" s="1" t="s">
        <v>125</v>
      </c>
      <c r="U310" s="1"/>
      <c r="V310" s="1">
        <v>19.49</v>
      </c>
      <c r="W310" s="1">
        <v>19.49</v>
      </c>
      <c r="X310" s="1" t="s">
        <v>35</v>
      </c>
      <c r="Y310" s="1">
        <v>19490.0</v>
      </c>
      <c r="Z310" s="1"/>
      <c r="AA310" s="1">
        <v>19490</v>
      </c>
      <c r="AB310" s="1"/>
      <c r="AC310" s="1" t="s">
        <v>36</v>
      </c>
      <c r="AD310" s="1" t="s">
        <v>1304</v>
      </c>
      <c r="AE310" s="1" t="s">
        <v>32</v>
      </c>
      <c r="AF310" s="1" t="s">
        <v>33</v>
      </c>
      <c r="AG310" s="1" t="s">
        <v>127</v>
      </c>
    </row>
    <row r="311" spans="1:33">
      <c r="A311" t="s">
        <v>1305</v>
      </c>
      <c r="B311" t="s">
        <v>1306</v>
      </c>
      <c r="C311" t="s">
        <v>268</v>
      </c>
      <c r="E311" t="s">
        <v>822</v>
      </c>
      <c r="F311" t="s">
        <v>634</v>
      </c>
      <c r="G311">
        <v>84.5</v>
      </c>
      <c r="H311">
        <v>84.5</v>
      </c>
      <c r="I311" t="s">
        <v>269</v>
      </c>
      <c r="J311" t="s">
        <v>270</v>
      </c>
      <c r="K311" t="s">
        <v>31</v>
      </c>
      <c r="L311" t="s">
        <v>32</v>
      </c>
      <c r="M311" t="s">
        <v>33</v>
      </c>
      <c r="P311" s="1" t="s">
        <v>1307</v>
      </c>
      <c r="Q311" s="1" t="s">
        <v>822</v>
      </c>
      <c r="R311" s="1" t="s">
        <v>822</v>
      </c>
      <c r="S311" s="1"/>
      <c r="T311" s="1" t="s">
        <v>268</v>
      </c>
      <c r="U311" s="1"/>
      <c r="V311" s="1">
        <v>84.5</v>
      </c>
      <c r="W311" s="1">
        <v>84.5</v>
      </c>
      <c r="X311" s="1" t="s">
        <v>35</v>
      </c>
      <c r="Y311" s="1">
        <v>84500.0</v>
      </c>
      <c r="Z311" s="1"/>
      <c r="AA311" s="1">
        <v>84500</v>
      </c>
      <c r="AB311" s="1"/>
      <c r="AC311" s="1" t="s">
        <v>36</v>
      </c>
      <c r="AD311" s="1" t="s">
        <v>1308</v>
      </c>
      <c r="AE311" s="1" t="s">
        <v>32</v>
      </c>
      <c r="AF311" s="1" t="s">
        <v>33</v>
      </c>
      <c r="AG311" s="1" t="s">
        <v>270</v>
      </c>
    </row>
    <row r="312" spans="1:33">
      <c r="A312" t="s">
        <v>1309</v>
      </c>
      <c r="C312" t="s">
        <v>1310</v>
      </c>
      <c r="E312" t="s">
        <v>822</v>
      </c>
      <c r="F312" t="s">
        <v>634</v>
      </c>
      <c r="G312">
        <v>341.0</v>
      </c>
      <c r="H312">
        <v>341.0</v>
      </c>
      <c r="I312" t="s">
        <v>48</v>
      </c>
      <c r="J312" t="s">
        <v>49</v>
      </c>
      <c r="K312" t="s">
        <v>31</v>
      </c>
      <c r="L312" t="s">
        <v>32</v>
      </c>
      <c r="M312" t="s">
        <v>33</v>
      </c>
      <c r="P312" s="1" t="s">
        <v>1311</v>
      </c>
      <c r="Q312" s="1" t="s">
        <v>822</v>
      </c>
      <c r="R312" s="1" t="s">
        <v>822</v>
      </c>
      <c r="S312" s="1"/>
      <c r="T312" s="1" t="s">
        <v>1310</v>
      </c>
      <c r="U312" s="1"/>
      <c r="V312" s="1">
        <v>341.0</v>
      </c>
      <c r="W312" s="1">
        <v>341.0</v>
      </c>
      <c r="X312" s="1" t="s">
        <v>35</v>
      </c>
      <c r="Y312" s="1">
        <v>341000.0</v>
      </c>
      <c r="Z312" s="1"/>
      <c r="AA312" s="1">
        <v>341000</v>
      </c>
      <c r="AB312" s="1"/>
      <c r="AC312" s="1" t="s">
        <v>36</v>
      </c>
      <c r="AD312" s="1" t="s">
        <v>1312</v>
      </c>
      <c r="AE312" s="1" t="s">
        <v>32</v>
      </c>
      <c r="AF312" s="1" t="s">
        <v>33</v>
      </c>
      <c r="AG312" s="1" t="s">
        <v>49</v>
      </c>
    </row>
    <row r="313" spans="1:33">
      <c r="A313" t="s">
        <v>1313</v>
      </c>
      <c r="B313" t="s">
        <v>1314</v>
      </c>
      <c r="C313" t="s">
        <v>73</v>
      </c>
      <c r="E313" t="s">
        <v>822</v>
      </c>
      <c r="F313" t="s">
        <v>634</v>
      </c>
      <c r="G313">
        <v>31.99</v>
      </c>
      <c r="H313">
        <v>31.99</v>
      </c>
      <c r="I313" t="s">
        <v>40</v>
      </c>
      <c r="J313" t="s">
        <v>41</v>
      </c>
      <c r="K313" t="s">
        <v>31</v>
      </c>
      <c r="L313" t="s">
        <v>32</v>
      </c>
      <c r="M313" t="s">
        <v>33</v>
      </c>
      <c r="P313" s="1" t="s">
        <v>1315</v>
      </c>
      <c r="Q313" s="1" t="s">
        <v>822</v>
      </c>
      <c r="R313" s="1" t="s">
        <v>822</v>
      </c>
      <c r="S313" s="1"/>
      <c r="T313" s="1" t="s">
        <v>75</v>
      </c>
      <c r="U313" s="1" t="s">
        <v>76</v>
      </c>
      <c r="V313" s="1">
        <v>31.99</v>
      </c>
      <c r="W313" s="1">
        <v>31.99</v>
      </c>
      <c r="X313" s="1" t="s">
        <v>35</v>
      </c>
      <c r="Y313" s="1">
        <v>31990.0</v>
      </c>
      <c r="Z313" s="1"/>
      <c r="AA313" s="1">
        <v>31990</v>
      </c>
      <c r="AB313" s="1"/>
      <c r="AC313" s="1" t="s">
        <v>36</v>
      </c>
      <c r="AD313" s="1" t="s">
        <v>1304</v>
      </c>
      <c r="AE313" s="1" t="s">
        <v>32</v>
      </c>
      <c r="AF313" s="1" t="s">
        <v>33</v>
      </c>
      <c r="AG313" s="1" t="s">
        <v>41</v>
      </c>
    </row>
    <row r="314" spans="1:33">
      <c r="A314" t="s">
        <v>1316</v>
      </c>
      <c r="B314" t="s">
        <v>1317</v>
      </c>
      <c r="C314" t="s">
        <v>1318</v>
      </c>
      <c r="E314" t="s">
        <v>822</v>
      </c>
      <c r="F314" t="s">
        <v>634</v>
      </c>
      <c r="G314">
        <v>740.0</v>
      </c>
      <c r="H314">
        <v>740.0</v>
      </c>
      <c r="I314" t="s">
        <v>59</v>
      </c>
      <c r="J314" t="s">
        <v>60</v>
      </c>
      <c r="K314" t="s">
        <v>31</v>
      </c>
      <c r="L314" t="s">
        <v>32</v>
      </c>
      <c r="M314" t="s">
        <v>33</v>
      </c>
      <c r="P314" s="1" t="s">
        <v>1319</v>
      </c>
      <c r="Q314" s="1" t="s">
        <v>822</v>
      </c>
      <c r="R314" s="1" t="s">
        <v>822</v>
      </c>
      <c r="S314" s="1"/>
      <c r="T314" s="1" t="s">
        <v>1318</v>
      </c>
      <c r="U314" s="1"/>
      <c r="V314" s="1">
        <v>740.0</v>
      </c>
      <c r="W314" s="1">
        <v>740.0</v>
      </c>
      <c r="X314" s="1" t="s">
        <v>35</v>
      </c>
      <c r="Y314" s="1">
        <v>740000.0</v>
      </c>
      <c r="Z314" s="1"/>
      <c r="AA314" s="1">
        <v>740000</v>
      </c>
      <c r="AB314" s="1"/>
      <c r="AC314" s="1" t="s">
        <v>36</v>
      </c>
      <c r="AD314" s="1" t="s">
        <v>1320</v>
      </c>
      <c r="AE314" s="1" t="s">
        <v>32</v>
      </c>
      <c r="AF314" s="1" t="s">
        <v>33</v>
      </c>
      <c r="AG314" s="1" t="s">
        <v>60</v>
      </c>
    </row>
    <row r="315" spans="1:33">
      <c r="A315" t="s">
        <v>1321</v>
      </c>
      <c r="C315" t="s">
        <v>1057</v>
      </c>
      <c r="D315" t="s">
        <v>114</v>
      </c>
      <c r="E315" t="s">
        <v>822</v>
      </c>
      <c r="F315" t="s">
        <v>634</v>
      </c>
      <c r="G315">
        <v>33.6</v>
      </c>
      <c r="H315">
        <v>33.6</v>
      </c>
      <c r="I315" t="s">
        <v>269</v>
      </c>
      <c r="J315" t="s">
        <v>270</v>
      </c>
      <c r="K315" t="s">
        <v>31</v>
      </c>
      <c r="L315" t="s">
        <v>32</v>
      </c>
      <c r="M315" t="s">
        <v>33</v>
      </c>
      <c r="P315" s="1" t="s">
        <v>1322</v>
      </c>
      <c r="Q315" s="1" t="s">
        <v>822</v>
      </c>
      <c r="R315" s="1" t="s">
        <v>822</v>
      </c>
      <c r="S315" s="1"/>
      <c r="T315" s="1" t="s">
        <v>1057</v>
      </c>
      <c r="U315" s="1"/>
      <c r="V315" s="1">
        <v>33.6</v>
      </c>
      <c r="W315" s="1">
        <v>33.6</v>
      </c>
      <c r="X315" s="1" t="s">
        <v>35</v>
      </c>
      <c r="Y315" s="1">
        <v>33600.0</v>
      </c>
      <c r="Z315" s="1"/>
      <c r="AA315" s="1">
        <v>33600</v>
      </c>
      <c r="AB315" s="1"/>
      <c r="AC315" s="1" t="s">
        <v>36</v>
      </c>
      <c r="AD315" s="1" t="s">
        <v>1323</v>
      </c>
      <c r="AE315" s="1" t="s">
        <v>32</v>
      </c>
      <c r="AF315" s="1" t="s">
        <v>33</v>
      </c>
      <c r="AG315" s="1" t="s">
        <v>270</v>
      </c>
    </row>
    <row r="316" spans="1:33">
      <c r="A316" t="s">
        <v>1324</v>
      </c>
      <c r="C316" t="s">
        <v>1325</v>
      </c>
      <c r="E316" t="s">
        <v>822</v>
      </c>
      <c r="F316" t="s">
        <v>634</v>
      </c>
      <c r="G316">
        <v>328.0</v>
      </c>
      <c r="H316">
        <v>328.0</v>
      </c>
      <c r="I316" t="s">
        <v>269</v>
      </c>
      <c r="J316" t="s">
        <v>270</v>
      </c>
      <c r="K316" t="s">
        <v>31</v>
      </c>
      <c r="L316" t="s">
        <v>32</v>
      </c>
      <c r="M316" t="s">
        <v>33</v>
      </c>
      <c r="P316" s="1" t="s">
        <v>1326</v>
      </c>
      <c r="Q316" s="1" t="s">
        <v>822</v>
      </c>
      <c r="R316" s="1" t="s">
        <v>822</v>
      </c>
      <c r="S316" s="1"/>
      <c r="T316" s="1" t="s">
        <v>1325</v>
      </c>
      <c r="U316" s="1"/>
      <c r="V316" s="1">
        <v>328.0</v>
      </c>
      <c r="W316" s="1">
        <v>328.0</v>
      </c>
      <c r="X316" s="1" t="s">
        <v>35</v>
      </c>
      <c r="Y316" s="1">
        <v>328000.0</v>
      </c>
      <c r="Z316" s="1"/>
      <c r="AA316" s="1">
        <v>328000</v>
      </c>
      <c r="AB316" s="1"/>
      <c r="AC316" s="1" t="s">
        <v>36</v>
      </c>
      <c r="AD316" s="1" t="s">
        <v>1327</v>
      </c>
      <c r="AE316" s="1" t="s">
        <v>32</v>
      </c>
      <c r="AF316" s="1" t="s">
        <v>33</v>
      </c>
      <c r="AG316" s="1" t="s">
        <v>270</v>
      </c>
    </row>
    <row r="317" spans="1:33">
      <c r="A317" t="s">
        <v>1328</v>
      </c>
      <c r="B317" t="s">
        <v>1329</v>
      </c>
      <c r="C317" t="s">
        <v>314</v>
      </c>
      <c r="E317" t="s">
        <v>822</v>
      </c>
      <c r="F317" t="s">
        <v>634</v>
      </c>
      <c r="G317">
        <v>17.88</v>
      </c>
      <c r="H317">
        <v>17.88</v>
      </c>
      <c r="I317" t="s">
        <v>179</v>
      </c>
      <c r="J317" t="s">
        <v>180</v>
      </c>
      <c r="K317" t="s">
        <v>31</v>
      </c>
      <c r="L317" t="s">
        <v>32</v>
      </c>
      <c r="M317" t="s">
        <v>33</v>
      </c>
      <c r="P317" s="1" t="s">
        <v>1330</v>
      </c>
      <c r="Q317" s="1" t="s">
        <v>822</v>
      </c>
      <c r="R317" s="1" t="s">
        <v>822</v>
      </c>
      <c r="S317" s="1"/>
      <c r="T317" s="1" t="s">
        <v>314</v>
      </c>
      <c r="U317" s="1"/>
      <c r="V317" s="1">
        <v>17.88</v>
      </c>
      <c r="W317" s="1">
        <v>17.88</v>
      </c>
      <c r="X317" s="1" t="s">
        <v>35</v>
      </c>
      <c r="Y317" s="1">
        <v>17880.0</v>
      </c>
      <c r="Z317" s="1"/>
      <c r="AA317" s="1">
        <v>17880</v>
      </c>
      <c r="AB317" s="1"/>
      <c r="AC317" s="1" t="s">
        <v>36</v>
      </c>
      <c r="AD317" s="1" t="s">
        <v>1331</v>
      </c>
      <c r="AE317" s="1" t="s">
        <v>32</v>
      </c>
      <c r="AF317" s="1" t="s">
        <v>33</v>
      </c>
      <c r="AG317" s="1" t="s">
        <v>180</v>
      </c>
    </row>
    <row r="318" spans="1:33">
      <c r="A318" t="s">
        <v>1332</v>
      </c>
      <c r="C318" t="s">
        <v>1333</v>
      </c>
      <c r="E318" t="s">
        <v>822</v>
      </c>
      <c r="F318" t="s">
        <v>634</v>
      </c>
      <c r="G318">
        <v>146.25</v>
      </c>
      <c r="H318">
        <v>146.25</v>
      </c>
      <c r="I318" t="s">
        <v>269</v>
      </c>
      <c r="J318" t="s">
        <v>270</v>
      </c>
      <c r="K318" t="s">
        <v>31</v>
      </c>
      <c r="L318" t="s">
        <v>32</v>
      </c>
      <c r="M318" t="s">
        <v>33</v>
      </c>
      <c r="P318" s="1" t="s">
        <v>1334</v>
      </c>
      <c r="Q318" s="1" t="s">
        <v>822</v>
      </c>
      <c r="R318" s="1" t="s">
        <v>822</v>
      </c>
      <c r="S318" s="1"/>
      <c r="T318" s="1" t="s">
        <v>1333</v>
      </c>
      <c r="U318" s="1"/>
      <c r="V318" s="1">
        <v>146.25</v>
      </c>
      <c r="W318" s="1">
        <v>146.25</v>
      </c>
      <c r="X318" s="1" t="s">
        <v>35</v>
      </c>
      <c r="Y318" s="1">
        <v>146250.0</v>
      </c>
      <c r="Z318" s="1"/>
      <c r="AA318" s="1">
        <v>146250</v>
      </c>
      <c r="AB318" s="1"/>
      <c r="AC318" s="1" t="s">
        <v>36</v>
      </c>
      <c r="AD318" s="1" t="s">
        <v>1335</v>
      </c>
      <c r="AE318" s="1" t="s">
        <v>32</v>
      </c>
      <c r="AF318" s="1" t="s">
        <v>33</v>
      </c>
      <c r="AG318" s="1" t="s">
        <v>270</v>
      </c>
    </row>
    <row r="319" spans="1:33">
      <c r="A319" t="s">
        <v>1336</v>
      </c>
      <c r="B319" t="s">
        <v>1337</v>
      </c>
      <c r="C319" t="s">
        <v>314</v>
      </c>
      <c r="E319" t="s">
        <v>822</v>
      </c>
      <c r="F319" t="s">
        <v>634</v>
      </c>
      <c r="G319">
        <v>124.534</v>
      </c>
      <c r="H319">
        <v>124.534</v>
      </c>
      <c r="I319" t="s">
        <v>179</v>
      </c>
      <c r="J319" t="s">
        <v>180</v>
      </c>
      <c r="K319" t="s">
        <v>31</v>
      </c>
      <c r="L319" t="s">
        <v>32</v>
      </c>
      <c r="M319" t="s">
        <v>33</v>
      </c>
      <c r="P319" s="1" t="s">
        <v>1338</v>
      </c>
      <c r="Q319" s="1" t="s">
        <v>822</v>
      </c>
      <c r="R319" s="1" t="s">
        <v>822</v>
      </c>
      <c r="S319" s="1"/>
      <c r="T319" s="1" t="s">
        <v>314</v>
      </c>
      <c r="U319" s="1"/>
      <c r="V319" s="1">
        <v>124.534</v>
      </c>
      <c r="W319" s="1">
        <v>124.534</v>
      </c>
      <c r="X319" s="1" t="s">
        <v>35</v>
      </c>
      <c r="Y319" s="1">
        <v>124534.0</v>
      </c>
      <c r="Z319" s="1"/>
      <c r="AA319" s="1">
        <v>124534</v>
      </c>
      <c r="AB319" s="1"/>
      <c r="AC319" s="1" t="s">
        <v>36</v>
      </c>
      <c r="AD319" s="1" t="s">
        <v>1339</v>
      </c>
      <c r="AE319" s="1" t="s">
        <v>32</v>
      </c>
      <c r="AF319" s="1" t="s">
        <v>33</v>
      </c>
      <c r="AG319" s="1" t="s">
        <v>180</v>
      </c>
    </row>
    <row r="320" spans="1:33">
      <c r="A320" t="s">
        <v>1340</v>
      </c>
      <c r="B320" t="s">
        <v>1341</v>
      </c>
      <c r="C320" t="s">
        <v>68</v>
      </c>
      <c r="E320" t="s">
        <v>822</v>
      </c>
      <c r="F320" t="s">
        <v>634</v>
      </c>
      <c r="G320">
        <v>114.145</v>
      </c>
      <c r="H320">
        <v>114.145</v>
      </c>
      <c r="I320" t="s">
        <v>59</v>
      </c>
      <c r="J320" t="s">
        <v>60</v>
      </c>
      <c r="K320" t="s">
        <v>31</v>
      </c>
      <c r="L320" t="s">
        <v>32</v>
      </c>
      <c r="M320" t="s">
        <v>33</v>
      </c>
      <c r="P320" s="1" t="s">
        <v>1342</v>
      </c>
      <c r="Q320" s="1" t="s">
        <v>822</v>
      </c>
      <c r="R320" s="1" t="s">
        <v>822</v>
      </c>
      <c r="S320" s="1"/>
      <c r="T320" s="1" t="s">
        <v>68</v>
      </c>
      <c r="U320" s="1"/>
      <c r="V320" s="1">
        <v>114.145</v>
      </c>
      <c r="W320" s="1">
        <v>114.145</v>
      </c>
      <c r="X320" s="1" t="s">
        <v>35</v>
      </c>
      <c r="Y320" s="1">
        <v>114145.0</v>
      </c>
      <c r="Z320" s="1"/>
      <c r="AA320" s="1">
        <v>114145</v>
      </c>
      <c r="AB320" s="1"/>
      <c r="AC320" s="1" t="s">
        <v>36</v>
      </c>
      <c r="AD320" s="1" t="s">
        <v>1343</v>
      </c>
      <c r="AE320" s="1" t="s">
        <v>32</v>
      </c>
      <c r="AF320" s="1" t="s">
        <v>33</v>
      </c>
      <c r="AG320" s="1" t="s">
        <v>60</v>
      </c>
    </row>
    <row r="321" spans="1:33">
      <c r="A321" t="s">
        <v>1344</v>
      </c>
      <c r="B321" t="s">
        <v>1345</v>
      </c>
      <c r="C321" t="s">
        <v>125</v>
      </c>
      <c r="E321" t="s">
        <v>822</v>
      </c>
      <c r="F321" t="s">
        <v>634</v>
      </c>
      <c r="G321">
        <v>3.0</v>
      </c>
      <c r="H321">
        <v>3.0</v>
      </c>
      <c r="I321" t="s">
        <v>126</v>
      </c>
      <c r="J321" t="s">
        <v>127</v>
      </c>
      <c r="K321" t="s">
        <v>31</v>
      </c>
      <c r="L321" t="s">
        <v>32</v>
      </c>
      <c r="M321" t="s">
        <v>33</v>
      </c>
      <c r="P321" s="1" t="s">
        <v>1346</v>
      </c>
      <c r="Q321" s="1" t="s">
        <v>822</v>
      </c>
      <c r="R321" s="1" t="s">
        <v>822</v>
      </c>
      <c r="S321" s="1"/>
      <c r="T321" s="1" t="s">
        <v>125</v>
      </c>
      <c r="U321" s="1"/>
      <c r="V321" s="1">
        <v>3.0</v>
      </c>
      <c r="W321" s="1">
        <v>3.0</v>
      </c>
      <c r="X321" s="1" t="s">
        <v>35</v>
      </c>
      <c r="Y321" s="1">
        <v>3000.0</v>
      </c>
      <c r="Z321" s="1"/>
      <c r="AA321" s="1">
        <v>3000</v>
      </c>
      <c r="AB321" s="1"/>
      <c r="AC321" s="1" t="s">
        <v>36</v>
      </c>
      <c r="AD321" s="1" t="s">
        <v>1347</v>
      </c>
      <c r="AE321" s="1" t="s">
        <v>32</v>
      </c>
      <c r="AF321" s="1" t="s">
        <v>33</v>
      </c>
      <c r="AG321" s="1" t="s">
        <v>127</v>
      </c>
    </row>
    <row r="322" spans="1:33">
      <c r="A322" t="s">
        <v>1348</v>
      </c>
      <c r="B322" t="s">
        <v>1349</v>
      </c>
      <c r="C322" t="s">
        <v>314</v>
      </c>
      <c r="E322" t="s">
        <v>822</v>
      </c>
      <c r="F322" t="s">
        <v>634</v>
      </c>
      <c r="G322">
        <v>3.0</v>
      </c>
      <c r="H322">
        <v>3.0</v>
      </c>
      <c r="I322" t="s">
        <v>179</v>
      </c>
      <c r="J322" t="s">
        <v>180</v>
      </c>
      <c r="K322" t="s">
        <v>31</v>
      </c>
      <c r="L322" t="s">
        <v>32</v>
      </c>
      <c r="M322" t="s">
        <v>33</v>
      </c>
      <c r="P322" s="1" t="s">
        <v>1350</v>
      </c>
      <c r="Q322" s="1" t="s">
        <v>822</v>
      </c>
      <c r="R322" s="1" t="s">
        <v>822</v>
      </c>
      <c r="S322" s="1"/>
      <c r="T322" s="1" t="s">
        <v>314</v>
      </c>
      <c r="U322" s="1"/>
      <c r="V322" s="1">
        <v>3.0</v>
      </c>
      <c r="W322" s="1">
        <v>3.0</v>
      </c>
      <c r="X322" s="1" t="s">
        <v>35</v>
      </c>
      <c r="Y322" s="1">
        <v>3000.0</v>
      </c>
      <c r="Z322" s="1"/>
      <c r="AA322" s="1">
        <v>3000</v>
      </c>
      <c r="AB322" s="1"/>
      <c r="AC322" s="1" t="s">
        <v>36</v>
      </c>
      <c r="AD322" s="1" t="s">
        <v>1343</v>
      </c>
      <c r="AE322" s="1" t="s">
        <v>32</v>
      </c>
      <c r="AF322" s="1" t="s">
        <v>33</v>
      </c>
      <c r="AG322" s="1" t="s">
        <v>180</v>
      </c>
    </row>
    <row r="323" spans="1:33">
      <c r="A323" t="s">
        <v>1351</v>
      </c>
      <c r="C323" t="s">
        <v>1352</v>
      </c>
      <c r="E323" t="s">
        <v>822</v>
      </c>
      <c r="F323" t="s">
        <v>634</v>
      </c>
      <c r="G323">
        <v>2.46</v>
      </c>
      <c r="H323">
        <v>2.46</v>
      </c>
      <c r="I323" t="s">
        <v>269</v>
      </c>
      <c r="J323" t="s">
        <v>270</v>
      </c>
      <c r="K323" t="s">
        <v>31</v>
      </c>
      <c r="L323" t="s">
        <v>32</v>
      </c>
      <c r="M323" t="s">
        <v>33</v>
      </c>
      <c r="P323" s="1" t="s">
        <v>1353</v>
      </c>
      <c r="Q323" s="1" t="s">
        <v>822</v>
      </c>
      <c r="R323" s="1" t="s">
        <v>822</v>
      </c>
      <c r="S323" s="1"/>
      <c r="T323" s="1" t="s">
        <v>1352</v>
      </c>
      <c r="U323" s="1"/>
      <c r="V323" s="1">
        <v>2.46</v>
      </c>
      <c r="W323" s="1">
        <v>2.46</v>
      </c>
      <c r="X323" s="1" t="s">
        <v>35</v>
      </c>
      <c r="Y323" s="1">
        <v>2460000.0</v>
      </c>
      <c r="Z323" s="1"/>
      <c r="AA323" s="1">
        <v>2460000</v>
      </c>
      <c r="AB323" s="1"/>
      <c r="AC323" s="1" t="s">
        <v>36</v>
      </c>
      <c r="AD323" s="1" t="s">
        <v>1354</v>
      </c>
      <c r="AE323" s="1" t="s">
        <v>32</v>
      </c>
      <c r="AF323" s="1" t="s">
        <v>33</v>
      </c>
      <c r="AG323" s="1" t="s">
        <v>270</v>
      </c>
    </row>
    <row r="324" spans="1:33">
      <c r="A324" t="s">
        <v>1355</v>
      </c>
      <c r="C324" t="s">
        <v>586</v>
      </c>
      <c r="E324" t="s">
        <v>822</v>
      </c>
      <c r="F324" t="s">
        <v>634</v>
      </c>
      <c r="G324">
        <v>18.5</v>
      </c>
      <c r="H324">
        <v>18.5</v>
      </c>
      <c r="I324" t="s">
        <v>269</v>
      </c>
      <c r="J324" t="s">
        <v>270</v>
      </c>
      <c r="K324" t="s">
        <v>31</v>
      </c>
      <c r="L324" t="s">
        <v>32</v>
      </c>
      <c r="M324" t="s">
        <v>33</v>
      </c>
      <c r="P324" s="1" t="s">
        <v>1356</v>
      </c>
      <c r="Q324" s="1" t="s">
        <v>822</v>
      </c>
      <c r="R324" s="1" t="s">
        <v>822</v>
      </c>
      <c r="S324" s="1"/>
      <c r="T324" s="1" t="s">
        <v>586</v>
      </c>
      <c r="U324" s="1"/>
      <c r="V324" s="1">
        <v>18.5</v>
      </c>
      <c r="W324" s="1">
        <v>18.5</v>
      </c>
      <c r="X324" s="1" t="s">
        <v>35</v>
      </c>
      <c r="Y324" s="1">
        <v>18500.0</v>
      </c>
      <c r="Z324" s="1"/>
      <c r="AA324" s="1">
        <v>18500</v>
      </c>
      <c r="AB324" s="1"/>
      <c r="AC324" s="1" t="s">
        <v>36</v>
      </c>
      <c r="AD324" s="1" t="s">
        <v>1357</v>
      </c>
      <c r="AE324" s="1" t="s">
        <v>32</v>
      </c>
      <c r="AF324" s="1" t="s">
        <v>33</v>
      </c>
      <c r="AG324" s="1" t="s">
        <v>270</v>
      </c>
    </row>
    <row r="325" spans="1:33">
      <c r="A325" t="s">
        <v>1358</v>
      </c>
      <c r="B325" t="s">
        <v>1359</v>
      </c>
      <c r="C325" t="s">
        <v>73</v>
      </c>
      <c r="E325" t="s">
        <v>822</v>
      </c>
      <c r="F325" t="s">
        <v>634</v>
      </c>
      <c r="G325">
        <v>20.99</v>
      </c>
      <c r="H325">
        <v>20.99</v>
      </c>
      <c r="I325" t="s">
        <v>40</v>
      </c>
      <c r="J325" t="s">
        <v>41</v>
      </c>
      <c r="K325" t="s">
        <v>31</v>
      </c>
      <c r="L325" t="s">
        <v>32</v>
      </c>
      <c r="M325" t="s">
        <v>33</v>
      </c>
      <c r="P325" s="1" t="s">
        <v>1360</v>
      </c>
      <c r="Q325" s="1" t="s">
        <v>822</v>
      </c>
      <c r="R325" s="1" t="s">
        <v>27</v>
      </c>
      <c r="S325" s="1"/>
      <c r="T325" s="1" t="s">
        <v>75</v>
      </c>
      <c r="U325" s="1" t="s">
        <v>76</v>
      </c>
      <c r="V325" s="1">
        <v>20.99</v>
      </c>
      <c r="W325" s="1">
        <v>20.99</v>
      </c>
      <c r="X325" s="1" t="s">
        <v>35</v>
      </c>
      <c r="Y325" s="1">
        <v>20990.0</v>
      </c>
      <c r="Z325" s="1"/>
      <c r="AA325" s="1">
        <v>20990</v>
      </c>
      <c r="AB325" s="1"/>
      <c r="AC325" s="1" t="s">
        <v>36</v>
      </c>
      <c r="AD325" s="1" t="s">
        <v>1361</v>
      </c>
      <c r="AE325" s="1" t="s">
        <v>32</v>
      </c>
      <c r="AF325" s="1" t="s">
        <v>33</v>
      </c>
      <c r="AG325" s="1" t="s">
        <v>41</v>
      </c>
    </row>
    <row r="326" spans="1:33">
      <c r="A326" t="s">
        <v>1362</v>
      </c>
      <c r="B326" t="s">
        <v>1363</v>
      </c>
      <c r="C326" t="s">
        <v>73</v>
      </c>
      <c r="E326" t="s">
        <v>822</v>
      </c>
      <c r="F326" t="s">
        <v>634</v>
      </c>
      <c r="G326">
        <v>2.0</v>
      </c>
      <c r="H326">
        <v>2.0</v>
      </c>
      <c r="I326" t="s">
        <v>40</v>
      </c>
      <c r="J326" t="s">
        <v>41</v>
      </c>
      <c r="K326" t="s">
        <v>31</v>
      </c>
      <c r="L326" t="s">
        <v>32</v>
      </c>
      <c r="M326" t="s">
        <v>33</v>
      </c>
      <c r="P326" s="1" t="s">
        <v>1364</v>
      </c>
      <c r="Q326" s="1" t="s">
        <v>822</v>
      </c>
      <c r="R326" s="1" t="s">
        <v>27</v>
      </c>
      <c r="S326" s="1"/>
      <c r="T326" s="1" t="s">
        <v>75</v>
      </c>
      <c r="U326" s="1" t="s">
        <v>76</v>
      </c>
      <c r="V326" s="1">
        <v>2.0</v>
      </c>
      <c r="W326" s="1">
        <v>2.0</v>
      </c>
      <c r="X326" s="1" t="s">
        <v>35</v>
      </c>
      <c r="Y326" s="1">
        <v>2000.0</v>
      </c>
      <c r="Z326" s="1"/>
      <c r="AA326" s="1">
        <v>2000</v>
      </c>
      <c r="AB326" s="1"/>
      <c r="AC326" s="1" t="s">
        <v>36</v>
      </c>
      <c r="AD326" s="1" t="s">
        <v>1365</v>
      </c>
      <c r="AE326" s="1" t="s">
        <v>32</v>
      </c>
      <c r="AF326" s="1" t="s">
        <v>33</v>
      </c>
      <c r="AG326" s="1" t="s">
        <v>41</v>
      </c>
    </row>
    <row r="327" spans="1:33">
      <c r="A327" t="s">
        <v>1366</v>
      </c>
      <c r="B327" t="s">
        <v>1367</v>
      </c>
      <c r="C327" t="s">
        <v>73</v>
      </c>
      <c r="E327" t="s">
        <v>822</v>
      </c>
      <c r="F327" t="s">
        <v>634</v>
      </c>
      <c r="G327">
        <v>18.49</v>
      </c>
      <c r="H327">
        <v>18.49</v>
      </c>
      <c r="I327" t="s">
        <v>40</v>
      </c>
      <c r="J327" t="s">
        <v>41</v>
      </c>
      <c r="K327" t="s">
        <v>31</v>
      </c>
      <c r="L327" t="s">
        <v>32</v>
      </c>
      <c r="M327" t="s">
        <v>33</v>
      </c>
      <c r="P327" s="1" t="s">
        <v>1368</v>
      </c>
      <c r="Q327" s="1" t="s">
        <v>822</v>
      </c>
      <c r="R327" s="1" t="s">
        <v>27</v>
      </c>
      <c r="S327" s="1"/>
      <c r="T327" s="1" t="s">
        <v>75</v>
      </c>
      <c r="U327" s="1" t="s">
        <v>76</v>
      </c>
      <c r="V327" s="1">
        <v>18.49</v>
      </c>
      <c r="W327" s="1">
        <v>18.49</v>
      </c>
      <c r="X327" s="1" t="s">
        <v>35</v>
      </c>
      <c r="Y327" s="1">
        <v>18490.0</v>
      </c>
      <c r="Z327" s="1"/>
      <c r="AA327" s="1">
        <v>18490</v>
      </c>
      <c r="AB327" s="1"/>
      <c r="AC327" s="1" t="s">
        <v>36</v>
      </c>
      <c r="AD327" s="1" t="s">
        <v>1369</v>
      </c>
      <c r="AE327" s="1" t="s">
        <v>32</v>
      </c>
      <c r="AF327" s="1" t="s">
        <v>33</v>
      </c>
      <c r="AG327" s="1" t="s">
        <v>41</v>
      </c>
    </row>
    <row r="328" spans="1:33">
      <c r="A328" t="s">
        <v>1370</v>
      </c>
      <c r="C328" t="s">
        <v>569</v>
      </c>
      <c r="E328" t="s">
        <v>822</v>
      </c>
      <c r="F328" t="s">
        <v>634</v>
      </c>
      <c r="G328">
        <v>20.99</v>
      </c>
      <c r="H328">
        <v>20.99</v>
      </c>
      <c r="I328" t="s">
        <v>570</v>
      </c>
      <c r="J328" t="s">
        <v>571</v>
      </c>
      <c r="K328" t="s">
        <v>31</v>
      </c>
      <c r="L328" t="s">
        <v>32</v>
      </c>
      <c r="M328" t="s">
        <v>33</v>
      </c>
      <c r="P328" s="1" t="s">
        <v>1371</v>
      </c>
      <c r="Q328" s="1" t="s">
        <v>822</v>
      </c>
      <c r="R328" s="1" t="s">
        <v>822</v>
      </c>
      <c r="S328" s="1"/>
      <c r="T328" s="1" t="s">
        <v>569</v>
      </c>
      <c r="U328" s="1"/>
      <c r="V328" s="1">
        <v>20.99</v>
      </c>
      <c r="W328" s="1">
        <v>20.99</v>
      </c>
      <c r="X328" s="1" t="s">
        <v>35</v>
      </c>
      <c r="Y328" s="1">
        <v>20990.0</v>
      </c>
      <c r="Z328" s="1"/>
      <c r="AA328" s="1">
        <v>20990</v>
      </c>
      <c r="AB328" s="1"/>
      <c r="AC328" s="1" t="s">
        <v>36</v>
      </c>
      <c r="AD328" s="1" t="s">
        <v>1372</v>
      </c>
      <c r="AE328" s="1" t="s">
        <v>32</v>
      </c>
      <c r="AF328" s="1" t="s">
        <v>33</v>
      </c>
      <c r="AG328" s="1" t="s">
        <v>571</v>
      </c>
    </row>
    <row r="329" spans="1:33">
      <c r="A329" t="s">
        <v>1373</v>
      </c>
      <c r="B329" t="s">
        <v>622</v>
      </c>
      <c r="C329" t="s">
        <v>314</v>
      </c>
      <c r="E329" t="s">
        <v>822</v>
      </c>
      <c r="F329" t="s">
        <v>634</v>
      </c>
      <c r="G329">
        <v>6.128</v>
      </c>
      <c r="H329">
        <v>6.128</v>
      </c>
      <c r="I329" t="s">
        <v>179</v>
      </c>
      <c r="J329" t="s">
        <v>180</v>
      </c>
      <c r="K329" t="s">
        <v>31</v>
      </c>
      <c r="L329" t="s">
        <v>32</v>
      </c>
      <c r="M329" t="s">
        <v>33</v>
      </c>
      <c r="P329" s="1" t="s">
        <v>1374</v>
      </c>
      <c r="Q329" s="1" t="s">
        <v>822</v>
      </c>
      <c r="R329" s="1" t="s">
        <v>822</v>
      </c>
      <c r="S329" s="1"/>
      <c r="T329" s="1" t="s">
        <v>314</v>
      </c>
      <c r="U329" s="1"/>
      <c r="V329" s="1">
        <v>6.128</v>
      </c>
      <c r="W329" s="1">
        <v>6.128</v>
      </c>
      <c r="X329" s="1" t="s">
        <v>35</v>
      </c>
      <c r="Y329" s="1">
        <v>6128.0</v>
      </c>
      <c r="Z329" s="1"/>
      <c r="AA329" s="1">
        <v>6128</v>
      </c>
      <c r="AB329" s="1"/>
      <c r="AC329" s="1" t="s">
        <v>36</v>
      </c>
      <c r="AD329" s="1" t="s">
        <v>1369</v>
      </c>
      <c r="AE329" s="1" t="s">
        <v>32</v>
      </c>
      <c r="AF329" s="1" t="s">
        <v>33</v>
      </c>
      <c r="AG329" s="1" t="s">
        <v>180</v>
      </c>
    </row>
    <row r="330" spans="1:33">
      <c r="A330" t="s">
        <v>1375</v>
      </c>
      <c r="C330" t="s">
        <v>638</v>
      </c>
      <c r="D330" t="s">
        <v>154</v>
      </c>
      <c r="E330" t="s">
        <v>822</v>
      </c>
      <c r="F330" t="s">
        <v>634</v>
      </c>
      <c r="G330">
        <v>1.713</v>
      </c>
      <c r="H330">
        <v>1.713</v>
      </c>
      <c r="I330" t="s">
        <v>227</v>
      </c>
      <c r="J330" t="s">
        <v>228</v>
      </c>
      <c r="K330" t="s">
        <v>31</v>
      </c>
      <c r="L330" t="s">
        <v>32</v>
      </c>
      <c r="M330" t="s">
        <v>33</v>
      </c>
      <c r="P330" s="1" t="s">
        <v>1376</v>
      </c>
      <c r="Q330" s="1" t="s">
        <v>822</v>
      </c>
      <c r="R330" s="1" t="s">
        <v>822</v>
      </c>
      <c r="S330" s="1"/>
      <c r="T330" s="1" t="s">
        <v>640</v>
      </c>
      <c r="U330" s="1" t="s">
        <v>641</v>
      </c>
      <c r="V330" s="1">
        <v>1.713</v>
      </c>
      <c r="W330" s="1">
        <v>1.713</v>
      </c>
      <c r="X330" s="1" t="s">
        <v>35</v>
      </c>
      <c r="Y330" s="1">
        <v>1713500.0</v>
      </c>
      <c r="Z330" s="1"/>
      <c r="AA330" s="1">
        <v>1713500</v>
      </c>
      <c r="AB330" s="1"/>
      <c r="AC330" s="1" t="s">
        <v>36</v>
      </c>
      <c r="AD330" s="1" t="s">
        <v>1377</v>
      </c>
      <c r="AE330" s="1" t="s">
        <v>32</v>
      </c>
      <c r="AF330" s="1" t="s">
        <v>33</v>
      </c>
      <c r="AG330" s="1" t="s">
        <v>228</v>
      </c>
    </row>
    <row r="331" spans="1:33">
      <c r="A331" t="s">
        <v>1378</v>
      </c>
      <c r="C331" t="s">
        <v>1379</v>
      </c>
      <c r="D331" t="s">
        <v>154</v>
      </c>
      <c r="E331" t="s">
        <v>822</v>
      </c>
      <c r="F331" t="s">
        <v>634</v>
      </c>
      <c r="G331">
        <v>351.5</v>
      </c>
      <c r="H331">
        <v>351.5</v>
      </c>
      <c r="I331" t="s">
        <v>173</v>
      </c>
      <c r="J331" t="s">
        <v>174</v>
      </c>
      <c r="K331" t="s">
        <v>31</v>
      </c>
      <c r="L331" t="s">
        <v>32</v>
      </c>
      <c r="M331" t="s">
        <v>33</v>
      </c>
      <c r="P331" s="1" t="s">
        <v>1380</v>
      </c>
      <c r="Q331" s="1" t="s">
        <v>822</v>
      </c>
      <c r="R331" s="1" t="s">
        <v>822</v>
      </c>
      <c r="S331" s="1"/>
      <c r="T331" s="1" t="s">
        <v>1379</v>
      </c>
      <c r="U331" s="1"/>
      <c r="V331" s="1">
        <v>351.5</v>
      </c>
      <c r="W331" s="1">
        <v>351.5</v>
      </c>
      <c r="X331" s="1" t="s">
        <v>35</v>
      </c>
      <c r="Y331" s="1">
        <v>351500.0</v>
      </c>
      <c r="Z331" s="1"/>
      <c r="AA331" s="1">
        <v>351500</v>
      </c>
      <c r="AB331" s="1"/>
      <c r="AC331" s="1" t="s">
        <v>36</v>
      </c>
      <c r="AD331" s="1" t="s">
        <v>1377</v>
      </c>
      <c r="AE331" s="1" t="s">
        <v>32</v>
      </c>
      <c r="AF331" s="1" t="s">
        <v>33</v>
      </c>
      <c r="AG331" s="1" t="s">
        <v>174</v>
      </c>
    </row>
    <row r="332" spans="1:33">
      <c r="A332" t="s">
        <v>1381</v>
      </c>
      <c r="B332" t="s">
        <v>1382</v>
      </c>
      <c r="C332" t="s">
        <v>73</v>
      </c>
      <c r="E332" t="s">
        <v>822</v>
      </c>
      <c r="F332" t="s">
        <v>634</v>
      </c>
      <c r="G332">
        <v>40.49</v>
      </c>
      <c r="H332">
        <v>40.49</v>
      </c>
      <c r="I332" t="s">
        <v>40</v>
      </c>
      <c r="J332" t="s">
        <v>41</v>
      </c>
      <c r="K332" t="s">
        <v>31</v>
      </c>
      <c r="L332" t="s">
        <v>32</v>
      </c>
      <c r="M332" t="s">
        <v>33</v>
      </c>
      <c r="P332" s="1" t="s">
        <v>1383</v>
      </c>
      <c r="Q332" s="1" t="s">
        <v>822</v>
      </c>
      <c r="R332" s="1" t="s">
        <v>27</v>
      </c>
      <c r="S332" s="1"/>
      <c r="T332" s="1" t="s">
        <v>75</v>
      </c>
      <c r="U332" s="1" t="s">
        <v>76</v>
      </c>
      <c r="V332" s="1">
        <v>40.49</v>
      </c>
      <c r="W332" s="1">
        <v>40.49</v>
      </c>
      <c r="X332" s="1" t="s">
        <v>35</v>
      </c>
      <c r="Y332" s="1">
        <v>40490.0</v>
      </c>
      <c r="Z332" s="1"/>
      <c r="AA332" s="1">
        <v>40490</v>
      </c>
      <c r="AB332" s="1"/>
      <c r="AC332" s="1" t="s">
        <v>36</v>
      </c>
      <c r="AD332" s="1" t="s">
        <v>1384</v>
      </c>
      <c r="AE332" s="1" t="s">
        <v>32</v>
      </c>
      <c r="AF332" s="1" t="s">
        <v>33</v>
      </c>
      <c r="AG332" s="1" t="s">
        <v>41</v>
      </c>
    </row>
    <row r="333" spans="1:33">
      <c r="A333" t="s">
        <v>1385</v>
      </c>
      <c r="C333" t="s">
        <v>1386</v>
      </c>
      <c r="D333" t="s">
        <v>154</v>
      </c>
      <c r="E333" t="s">
        <v>822</v>
      </c>
      <c r="F333" t="s">
        <v>634</v>
      </c>
      <c r="G333">
        <v>1.017</v>
      </c>
      <c r="H333">
        <v>1.017</v>
      </c>
      <c r="I333" t="s">
        <v>173</v>
      </c>
      <c r="J333" t="s">
        <v>174</v>
      </c>
      <c r="K333" t="s">
        <v>31</v>
      </c>
      <c r="L333" t="s">
        <v>32</v>
      </c>
      <c r="M333" t="s">
        <v>33</v>
      </c>
      <c r="P333" s="1" t="s">
        <v>1387</v>
      </c>
      <c r="Q333" s="1" t="s">
        <v>822</v>
      </c>
      <c r="R333" s="1" t="s">
        <v>822</v>
      </c>
      <c r="S333" s="1"/>
      <c r="T333" s="1" t="s">
        <v>1386</v>
      </c>
      <c r="U333" s="1"/>
      <c r="V333" s="1">
        <v>1.017</v>
      </c>
      <c r="W333" s="1">
        <v>1.017</v>
      </c>
      <c r="X333" s="1" t="s">
        <v>35</v>
      </c>
      <c r="Y333" s="1">
        <v>1017000.0</v>
      </c>
      <c r="Z333" s="1"/>
      <c r="AA333" s="1">
        <v>1017000</v>
      </c>
      <c r="AB333" s="1"/>
      <c r="AC333" s="1" t="s">
        <v>36</v>
      </c>
      <c r="AD333" s="1" t="s">
        <v>1388</v>
      </c>
      <c r="AE333" s="1" t="s">
        <v>32</v>
      </c>
      <c r="AF333" s="1" t="s">
        <v>33</v>
      </c>
      <c r="AG333" s="1" t="s">
        <v>174</v>
      </c>
    </row>
    <row r="334" spans="1:33">
      <c r="A334" t="s">
        <v>1389</v>
      </c>
      <c r="B334" t="s">
        <v>1390</v>
      </c>
      <c r="C334" t="s">
        <v>125</v>
      </c>
      <c r="E334" t="s">
        <v>822</v>
      </c>
      <c r="F334" t="s">
        <v>634</v>
      </c>
      <c r="G334">
        <v>4.298</v>
      </c>
      <c r="H334">
        <v>4.298</v>
      </c>
      <c r="I334" t="s">
        <v>126</v>
      </c>
      <c r="J334" t="s">
        <v>127</v>
      </c>
      <c r="K334" t="s">
        <v>31</v>
      </c>
      <c r="L334" t="s">
        <v>32</v>
      </c>
      <c r="M334" t="s">
        <v>33</v>
      </c>
      <c r="P334" s="1" t="s">
        <v>1391</v>
      </c>
      <c r="Q334" s="1" t="s">
        <v>822</v>
      </c>
      <c r="R334" s="1" t="s">
        <v>822</v>
      </c>
      <c r="S334" s="1"/>
      <c r="T334" s="1" t="s">
        <v>125</v>
      </c>
      <c r="U334" s="1"/>
      <c r="V334" s="1">
        <v>4.298</v>
      </c>
      <c r="W334" s="1">
        <v>4.298</v>
      </c>
      <c r="X334" s="1" t="s">
        <v>35</v>
      </c>
      <c r="Y334" s="1">
        <v>4298.0</v>
      </c>
      <c r="Z334" s="1"/>
      <c r="AA334" s="1">
        <v>4298</v>
      </c>
      <c r="AB334" s="1"/>
      <c r="AC334" s="1" t="s">
        <v>36</v>
      </c>
      <c r="AD334" s="1" t="s">
        <v>1392</v>
      </c>
      <c r="AE334" s="1" t="s">
        <v>32</v>
      </c>
      <c r="AF334" s="1" t="s">
        <v>33</v>
      </c>
      <c r="AG334" s="1" t="s">
        <v>127</v>
      </c>
    </row>
    <row r="335" spans="1:33">
      <c r="A335" t="s">
        <v>1393</v>
      </c>
      <c r="B335" t="s">
        <v>57</v>
      </c>
      <c r="C335" t="s">
        <v>58</v>
      </c>
      <c r="E335" t="s">
        <v>822</v>
      </c>
      <c r="F335" t="s">
        <v>634</v>
      </c>
      <c r="G335">
        <v>370.0</v>
      </c>
      <c r="H335">
        <v>370.0</v>
      </c>
      <c r="I335" t="s">
        <v>59</v>
      </c>
      <c r="J335" t="s">
        <v>60</v>
      </c>
      <c r="K335" t="s">
        <v>31</v>
      </c>
      <c r="L335" t="s">
        <v>32</v>
      </c>
      <c r="M335" t="s">
        <v>33</v>
      </c>
      <c r="P335" s="1" t="s">
        <v>1394</v>
      </c>
      <c r="Q335" s="1" t="s">
        <v>822</v>
      </c>
      <c r="R335" s="1" t="s">
        <v>822</v>
      </c>
      <c r="S335" s="1"/>
      <c r="T335" s="1" t="s">
        <v>58</v>
      </c>
      <c r="U335" s="1"/>
      <c r="V335" s="1">
        <v>370.0</v>
      </c>
      <c r="W335" s="1">
        <v>370.0</v>
      </c>
      <c r="X335" s="1" t="s">
        <v>35</v>
      </c>
      <c r="Y335" s="1">
        <v>370000.0</v>
      </c>
      <c r="Z335" s="1"/>
      <c r="AA335" s="1">
        <v>370000</v>
      </c>
      <c r="AB335" s="1"/>
      <c r="AC335" s="1" t="s">
        <v>36</v>
      </c>
      <c r="AD335" s="1" t="s">
        <v>1392</v>
      </c>
      <c r="AE335" s="1" t="s">
        <v>32</v>
      </c>
      <c r="AF335" s="1" t="s">
        <v>33</v>
      </c>
      <c r="AG335" s="1" t="s">
        <v>60</v>
      </c>
    </row>
    <row r="336" spans="1:33">
      <c r="A336" t="s">
        <v>1395</v>
      </c>
      <c r="B336" t="s">
        <v>1396</v>
      </c>
      <c r="C336" t="s">
        <v>569</v>
      </c>
      <c r="E336" t="s">
        <v>822</v>
      </c>
      <c r="F336" t="s">
        <v>634</v>
      </c>
      <c r="G336">
        <v>65.98</v>
      </c>
      <c r="H336">
        <v>65.98</v>
      </c>
      <c r="I336" t="s">
        <v>570</v>
      </c>
      <c r="J336" t="s">
        <v>571</v>
      </c>
      <c r="K336" t="s">
        <v>31</v>
      </c>
      <c r="L336" t="s">
        <v>32</v>
      </c>
      <c r="M336" t="s">
        <v>33</v>
      </c>
      <c r="P336" s="1" t="s">
        <v>1397</v>
      </c>
      <c r="Q336" s="1" t="s">
        <v>822</v>
      </c>
      <c r="R336" s="1" t="s">
        <v>822</v>
      </c>
      <c r="S336" s="1"/>
      <c r="T336" s="1" t="s">
        <v>569</v>
      </c>
      <c r="U336" s="1"/>
      <c r="V336" s="1">
        <v>65.98</v>
      </c>
      <c r="W336" s="1">
        <v>65.98</v>
      </c>
      <c r="X336" s="1" t="s">
        <v>35</v>
      </c>
      <c r="Y336" s="1">
        <v>65980.0</v>
      </c>
      <c r="Z336" s="1"/>
      <c r="AA336" s="1">
        <v>65980</v>
      </c>
      <c r="AB336" s="1"/>
      <c r="AC336" s="1" t="s">
        <v>36</v>
      </c>
      <c r="AD336" s="1" t="s">
        <v>1398</v>
      </c>
      <c r="AE336" s="1" t="s">
        <v>32</v>
      </c>
      <c r="AF336" s="1" t="s">
        <v>33</v>
      </c>
      <c r="AG336" s="1" t="s">
        <v>571</v>
      </c>
    </row>
    <row r="337" spans="1:33">
      <c r="A337" t="s">
        <v>1399</v>
      </c>
      <c r="B337" t="s">
        <v>1400</v>
      </c>
      <c r="C337" t="s">
        <v>125</v>
      </c>
      <c r="E337" t="s">
        <v>822</v>
      </c>
      <c r="F337" t="s">
        <v>1401</v>
      </c>
      <c r="G337">
        <v>43.98</v>
      </c>
      <c r="H337">
        <v>43.98</v>
      </c>
      <c r="I337" t="s">
        <v>126</v>
      </c>
      <c r="J337" t="s">
        <v>127</v>
      </c>
      <c r="K337" t="s">
        <v>31</v>
      </c>
      <c r="L337" t="s">
        <v>32</v>
      </c>
      <c r="M337" t="s">
        <v>33</v>
      </c>
      <c r="P337" s="1" t="s">
        <v>1402</v>
      </c>
      <c r="Q337" s="1" t="s">
        <v>822</v>
      </c>
      <c r="R337" s="1" t="s">
        <v>822</v>
      </c>
      <c r="S337" s="1"/>
      <c r="T337" s="1" t="s">
        <v>125</v>
      </c>
      <c r="U337" s="1"/>
      <c r="V337" s="1">
        <v>43.98</v>
      </c>
      <c r="W337" s="1">
        <v>43.98</v>
      </c>
      <c r="X337" s="1" t="s">
        <v>35</v>
      </c>
      <c r="Y337" s="1">
        <v>43980.0</v>
      </c>
      <c r="Z337" s="1"/>
      <c r="AA337" s="1">
        <v>43980</v>
      </c>
      <c r="AB337" s="1"/>
      <c r="AC337" s="1" t="s">
        <v>36</v>
      </c>
      <c r="AD337" s="1" t="s">
        <v>1384</v>
      </c>
      <c r="AE337" s="1" t="s">
        <v>32</v>
      </c>
      <c r="AF337" s="1" t="s">
        <v>33</v>
      </c>
      <c r="AG337" s="1" t="s">
        <v>127</v>
      </c>
    </row>
    <row r="338" spans="1:33">
      <c r="A338" t="s">
        <v>1403</v>
      </c>
      <c r="B338" t="s">
        <v>1404</v>
      </c>
      <c r="C338" t="s">
        <v>268</v>
      </c>
      <c r="E338" t="s">
        <v>822</v>
      </c>
      <c r="F338" t="s">
        <v>634</v>
      </c>
      <c r="G338">
        <v>33.8</v>
      </c>
      <c r="H338">
        <v>33.8</v>
      </c>
      <c r="I338" t="s">
        <v>269</v>
      </c>
      <c r="J338" t="s">
        <v>270</v>
      </c>
      <c r="K338" t="s">
        <v>31</v>
      </c>
      <c r="L338" t="s">
        <v>32</v>
      </c>
      <c r="M338" t="s">
        <v>33</v>
      </c>
      <c r="P338" s="1" t="s">
        <v>1405</v>
      </c>
      <c r="Q338" s="1" t="s">
        <v>822</v>
      </c>
      <c r="R338" s="1" t="s">
        <v>822</v>
      </c>
      <c r="S338" s="1"/>
      <c r="T338" s="1" t="s">
        <v>268</v>
      </c>
      <c r="U338" s="1"/>
      <c r="V338" s="1">
        <v>33.8</v>
      </c>
      <c r="W338" s="1">
        <v>33.8</v>
      </c>
      <c r="X338" s="1" t="s">
        <v>35</v>
      </c>
      <c r="Y338" s="1">
        <v>33800.0</v>
      </c>
      <c r="Z338" s="1"/>
      <c r="AA338" s="1">
        <v>33800</v>
      </c>
      <c r="AB338" s="1"/>
      <c r="AC338" s="1" t="s">
        <v>36</v>
      </c>
      <c r="AD338" s="1" t="s">
        <v>1406</v>
      </c>
      <c r="AE338" s="1" t="s">
        <v>32</v>
      </c>
      <c r="AF338" s="1" t="s">
        <v>33</v>
      </c>
      <c r="AG338" s="1" t="s">
        <v>270</v>
      </c>
    </row>
    <row r="339" spans="1:33">
      <c r="A339" t="s">
        <v>1407</v>
      </c>
      <c r="C339" t="s">
        <v>1408</v>
      </c>
      <c r="E339" t="s">
        <v>822</v>
      </c>
      <c r="F339" t="s">
        <v>634</v>
      </c>
      <c r="G339">
        <v>336.0</v>
      </c>
      <c r="H339">
        <v>336.0</v>
      </c>
      <c r="I339" t="s">
        <v>48</v>
      </c>
      <c r="J339" t="s">
        <v>49</v>
      </c>
      <c r="K339" t="s">
        <v>31</v>
      </c>
      <c r="L339" t="s">
        <v>32</v>
      </c>
      <c r="M339" t="s">
        <v>33</v>
      </c>
      <c r="P339" s="1" t="s">
        <v>1409</v>
      </c>
      <c r="Q339" s="1" t="s">
        <v>822</v>
      </c>
      <c r="R339" s="1" t="s">
        <v>822</v>
      </c>
      <c r="S339" s="1"/>
      <c r="T339" s="1" t="s">
        <v>1408</v>
      </c>
      <c r="U339" s="1"/>
      <c r="V339" s="1">
        <v>336.0</v>
      </c>
      <c r="W339" s="1">
        <v>336.0</v>
      </c>
      <c r="X339" s="1" t="s">
        <v>35</v>
      </c>
      <c r="Y339" s="1">
        <v>336000.0</v>
      </c>
      <c r="Z339" s="1"/>
      <c r="AA339" s="1">
        <v>336000</v>
      </c>
      <c r="AB339" s="1"/>
      <c r="AC339" s="1" t="s">
        <v>36</v>
      </c>
      <c r="AD339" s="1" t="s">
        <v>1410</v>
      </c>
      <c r="AE339" s="1" t="s">
        <v>32</v>
      </c>
      <c r="AF339" s="1" t="s">
        <v>33</v>
      </c>
      <c r="AG339" s="1" t="s">
        <v>49</v>
      </c>
    </row>
    <row r="340" spans="1:33">
      <c r="A340" t="s">
        <v>1411</v>
      </c>
      <c r="C340" t="s">
        <v>1412</v>
      </c>
      <c r="D340" t="s">
        <v>154</v>
      </c>
      <c r="E340" t="s">
        <v>822</v>
      </c>
      <c r="F340" t="s">
        <v>634</v>
      </c>
      <c r="G340">
        <v>635.0</v>
      </c>
      <c r="H340">
        <v>635.0</v>
      </c>
      <c r="I340" t="s">
        <v>40</v>
      </c>
      <c r="J340" t="s">
        <v>41</v>
      </c>
      <c r="K340" t="s">
        <v>31</v>
      </c>
      <c r="L340" t="s">
        <v>32</v>
      </c>
      <c r="M340" t="s">
        <v>33</v>
      </c>
      <c r="P340" s="1" t="s">
        <v>1413</v>
      </c>
      <c r="Q340" s="1" t="s">
        <v>822</v>
      </c>
      <c r="R340" s="1" t="s">
        <v>27</v>
      </c>
      <c r="S340" s="1"/>
      <c r="T340" s="1" t="s">
        <v>1412</v>
      </c>
      <c r="U340" s="1"/>
      <c r="V340" s="1">
        <v>635.0</v>
      </c>
      <c r="W340" s="1">
        <v>635.0</v>
      </c>
      <c r="X340" s="1" t="s">
        <v>35</v>
      </c>
      <c r="Y340" s="1">
        <v>635000.0</v>
      </c>
      <c r="Z340" s="1"/>
      <c r="AA340" s="1">
        <v>635000</v>
      </c>
      <c r="AB340" s="1"/>
      <c r="AC340" s="1" t="s">
        <v>36</v>
      </c>
      <c r="AD340" s="1" t="s">
        <v>1414</v>
      </c>
      <c r="AE340" s="1" t="s">
        <v>32</v>
      </c>
      <c r="AF340" s="1" t="s">
        <v>33</v>
      </c>
      <c r="AG340" s="1" t="s">
        <v>41</v>
      </c>
    </row>
    <row r="341" spans="1:33">
      <c r="A341" t="s">
        <v>1415</v>
      </c>
      <c r="C341" t="s">
        <v>1416</v>
      </c>
      <c r="E341" t="s">
        <v>822</v>
      </c>
      <c r="F341" t="s">
        <v>634</v>
      </c>
      <c r="G341">
        <v>630.0</v>
      </c>
      <c r="H341">
        <v>630.0</v>
      </c>
      <c r="I341" t="s">
        <v>40</v>
      </c>
      <c r="J341" t="s">
        <v>41</v>
      </c>
      <c r="K341" t="s">
        <v>31</v>
      </c>
      <c r="L341" t="s">
        <v>32</v>
      </c>
      <c r="M341" t="s">
        <v>33</v>
      </c>
      <c r="P341" s="1" t="s">
        <v>1417</v>
      </c>
      <c r="Q341" s="1" t="s">
        <v>822</v>
      </c>
      <c r="R341" s="1" t="s">
        <v>822</v>
      </c>
      <c r="S341" s="1"/>
      <c r="T341" s="1" t="s">
        <v>1416</v>
      </c>
      <c r="U341" s="1"/>
      <c r="V341" s="1">
        <v>630.0</v>
      </c>
      <c r="W341" s="1">
        <v>630.0</v>
      </c>
      <c r="X341" s="1" t="s">
        <v>35</v>
      </c>
      <c r="Y341" s="1">
        <v>630000.0</v>
      </c>
      <c r="Z341" s="1"/>
      <c r="AA341" s="1">
        <v>630000</v>
      </c>
      <c r="AB341" s="1"/>
      <c r="AC341" s="1" t="s">
        <v>36</v>
      </c>
      <c r="AD341" s="1" t="s">
        <v>1418</v>
      </c>
      <c r="AE341" s="1" t="s">
        <v>32</v>
      </c>
      <c r="AF341" s="1" t="s">
        <v>33</v>
      </c>
      <c r="AG341" s="1" t="s">
        <v>41</v>
      </c>
    </row>
    <row r="342" spans="1:33">
      <c r="A342" t="s">
        <v>1419</v>
      </c>
      <c r="C342" t="s">
        <v>1420</v>
      </c>
      <c r="E342" t="s">
        <v>822</v>
      </c>
      <c r="F342" t="s">
        <v>634</v>
      </c>
      <c r="G342">
        <v>320.0</v>
      </c>
      <c r="H342">
        <v>320.0</v>
      </c>
      <c r="I342" t="s">
        <v>40</v>
      </c>
      <c r="J342" t="s">
        <v>41</v>
      </c>
      <c r="K342" t="s">
        <v>31</v>
      </c>
      <c r="L342" t="s">
        <v>32</v>
      </c>
      <c r="M342" t="s">
        <v>33</v>
      </c>
      <c r="P342" s="1" t="s">
        <v>1421</v>
      </c>
      <c r="Q342" s="1" t="s">
        <v>822</v>
      </c>
      <c r="R342" s="1" t="s">
        <v>27</v>
      </c>
      <c r="S342" s="1"/>
      <c r="T342" s="1" t="s">
        <v>1420</v>
      </c>
      <c r="U342" s="1"/>
      <c r="V342" s="1">
        <v>320.0</v>
      </c>
      <c r="W342" s="1">
        <v>320.0</v>
      </c>
      <c r="X342" s="1" t="s">
        <v>35</v>
      </c>
      <c r="Y342" s="1">
        <v>320000.0</v>
      </c>
      <c r="Z342" s="1"/>
      <c r="AA342" s="1">
        <v>320000</v>
      </c>
      <c r="AB342" s="1"/>
      <c r="AC342" s="1" t="s">
        <v>36</v>
      </c>
      <c r="AD342" s="1" t="s">
        <v>1422</v>
      </c>
      <c r="AE342" s="1" t="s">
        <v>32</v>
      </c>
      <c r="AF342" s="1" t="s">
        <v>33</v>
      </c>
      <c r="AG342" s="1" t="s">
        <v>41</v>
      </c>
    </row>
    <row r="343" spans="1:33">
      <c r="A343" t="s">
        <v>1423</v>
      </c>
      <c r="C343" t="s">
        <v>1424</v>
      </c>
      <c r="E343" t="s">
        <v>822</v>
      </c>
      <c r="F343" t="s">
        <v>634</v>
      </c>
      <c r="G343">
        <v>400.0</v>
      </c>
      <c r="H343">
        <v>400.0</v>
      </c>
      <c r="I343" t="s">
        <v>126</v>
      </c>
      <c r="J343" t="s">
        <v>127</v>
      </c>
      <c r="K343" t="s">
        <v>31</v>
      </c>
      <c r="L343" t="s">
        <v>32</v>
      </c>
      <c r="M343" t="s">
        <v>33</v>
      </c>
      <c r="P343" s="1" t="s">
        <v>1425</v>
      </c>
      <c r="Q343" s="1" t="s">
        <v>822</v>
      </c>
      <c r="R343" s="1" t="s">
        <v>822</v>
      </c>
      <c r="S343" s="1"/>
      <c r="T343" s="1" t="s">
        <v>1424</v>
      </c>
      <c r="U343" s="1"/>
      <c r="V343" s="1">
        <v>400.0</v>
      </c>
      <c r="W343" s="1">
        <v>400.0</v>
      </c>
      <c r="X343" s="1" t="s">
        <v>35</v>
      </c>
      <c r="Y343" s="1">
        <v>400000.0</v>
      </c>
      <c r="Z343" s="1"/>
      <c r="AA343" s="1">
        <v>400000</v>
      </c>
      <c r="AB343" s="1"/>
      <c r="AC343" s="1" t="s">
        <v>36</v>
      </c>
      <c r="AD343" s="1" t="s">
        <v>1426</v>
      </c>
      <c r="AE343" s="1" t="s">
        <v>32</v>
      </c>
      <c r="AF343" s="1" t="s">
        <v>33</v>
      </c>
      <c r="AG343" s="1" t="s">
        <v>127</v>
      </c>
    </row>
    <row r="344" spans="1:33">
      <c r="A344" t="s">
        <v>1427</v>
      </c>
      <c r="B344" t="s">
        <v>1428</v>
      </c>
      <c r="C344" t="s">
        <v>26</v>
      </c>
      <c r="E344" t="s">
        <v>822</v>
      </c>
      <c r="F344" t="s">
        <v>634</v>
      </c>
      <c r="G344">
        <v>3.0</v>
      </c>
      <c r="H344">
        <v>3.0</v>
      </c>
      <c r="I344" t="s">
        <v>29</v>
      </c>
      <c r="J344" t="s">
        <v>30</v>
      </c>
      <c r="K344" t="s">
        <v>31</v>
      </c>
      <c r="L344" t="s">
        <v>32</v>
      </c>
      <c r="M344" t="s">
        <v>33</v>
      </c>
      <c r="P344" s="1" t="s">
        <v>1429</v>
      </c>
      <c r="Q344" s="1" t="s">
        <v>822</v>
      </c>
      <c r="R344" s="1" t="s">
        <v>822</v>
      </c>
      <c r="S344" s="1"/>
      <c r="T344" s="1" t="s">
        <v>26</v>
      </c>
      <c r="U344" s="1"/>
      <c r="V344" s="1">
        <v>3.0</v>
      </c>
      <c r="W344" s="1">
        <v>3.0</v>
      </c>
      <c r="X344" s="1" t="s">
        <v>35</v>
      </c>
      <c r="Y344" s="1">
        <v>3000.0</v>
      </c>
      <c r="Z344" s="1"/>
      <c r="AA344" s="1">
        <v>3000</v>
      </c>
      <c r="AB344" s="1"/>
      <c r="AC344" s="1" t="s">
        <v>36</v>
      </c>
      <c r="AD344" s="1" t="s">
        <v>1430</v>
      </c>
      <c r="AE344" s="1" t="s">
        <v>32</v>
      </c>
      <c r="AF344" s="1" t="s">
        <v>33</v>
      </c>
      <c r="AG344" s="1" t="s">
        <v>30</v>
      </c>
    </row>
    <row r="345" spans="1:33">
      <c r="A345" t="s">
        <v>1431</v>
      </c>
      <c r="C345" t="s">
        <v>1432</v>
      </c>
      <c r="D345" t="s">
        <v>114</v>
      </c>
      <c r="E345" t="s">
        <v>822</v>
      </c>
      <c r="F345" t="s">
        <v>634</v>
      </c>
      <c r="G345">
        <v>720.2</v>
      </c>
      <c r="H345">
        <v>720.2</v>
      </c>
      <c r="I345" t="s">
        <v>227</v>
      </c>
      <c r="J345" t="s">
        <v>228</v>
      </c>
      <c r="K345" t="s">
        <v>31</v>
      </c>
      <c r="L345" t="s">
        <v>32</v>
      </c>
      <c r="M345" t="s">
        <v>33</v>
      </c>
      <c r="P345" s="1" t="s">
        <v>1433</v>
      </c>
      <c r="Q345" s="1" t="s">
        <v>822</v>
      </c>
      <c r="R345" s="1" t="s">
        <v>822</v>
      </c>
      <c r="S345" s="1"/>
      <c r="T345" s="1" t="s">
        <v>1432</v>
      </c>
      <c r="U345" s="1"/>
      <c r="V345" s="1">
        <v>720.2</v>
      </c>
      <c r="W345" s="1">
        <v>720.2</v>
      </c>
      <c r="X345" s="1" t="s">
        <v>35</v>
      </c>
      <c r="Y345" s="1">
        <v>720200.0</v>
      </c>
      <c r="Z345" s="1"/>
      <c r="AA345" s="1">
        <v>720200</v>
      </c>
      <c r="AB345" s="1"/>
      <c r="AC345" s="1" t="s">
        <v>36</v>
      </c>
      <c r="AD345" s="1" t="s">
        <v>1434</v>
      </c>
      <c r="AE345" s="1" t="s">
        <v>32</v>
      </c>
      <c r="AF345" s="1" t="s">
        <v>33</v>
      </c>
      <c r="AG345" s="1" t="s">
        <v>228</v>
      </c>
    </row>
    <row r="346" spans="1:33">
      <c r="A346" t="s">
        <v>1435</v>
      </c>
      <c r="C346" t="s">
        <v>1057</v>
      </c>
      <c r="D346" t="s">
        <v>114</v>
      </c>
      <c r="E346" t="s">
        <v>822</v>
      </c>
      <c r="F346" t="s">
        <v>634</v>
      </c>
      <c r="G346">
        <v>586.0</v>
      </c>
      <c r="H346">
        <v>586.0</v>
      </c>
      <c r="I346" t="s">
        <v>227</v>
      </c>
      <c r="J346" t="s">
        <v>228</v>
      </c>
      <c r="K346" t="s">
        <v>31</v>
      </c>
      <c r="L346" t="s">
        <v>32</v>
      </c>
      <c r="M346" t="s">
        <v>33</v>
      </c>
      <c r="P346" s="1" t="s">
        <v>1436</v>
      </c>
      <c r="Q346" s="1" t="s">
        <v>822</v>
      </c>
      <c r="R346" s="1" t="s">
        <v>822</v>
      </c>
      <c r="S346" s="1"/>
      <c r="T346" s="1" t="s">
        <v>1057</v>
      </c>
      <c r="U346" s="1"/>
      <c r="V346" s="1">
        <v>586.0</v>
      </c>
      <c r="W346" s="1">
        <v>586.0</v>
      </c>
      <c r="X346" s="1" t="s">
        <v>35</v>
      </c>
      <c r="Y346" s="1">
        <v>586000.0</v>
      </c>
      <c r="Z346" s="1"/>
      <c r="AA346" s="1">
        <v>586000</v>
      </c>
      <c r="AB346" s="1"/>
      <c r="AC346" s="1" t="s">
        <v>36</v>
      </c>
      <c r="AD346" s="1" t="s">
        <v>1437</v>
      </c>
      <c r="AE346" s="1" t="s">
        <v>32</v>
      </c>
      <c r="AF346" s="1" t="s">
        <v>33</v>
      </c>
      <c r="AG346" s="1" t="s">
        <v>228</v>
      </c>
    </row>
    <row r="347" spans="1:33">
      <c r="A347" t="s">
        <v>1438</v>
      </c>
      <c r="B347" t="s">
        <v>1439</v>
      </c>
      <c r="C347" t="s">
        <v>125</v>
      </c>
      <c r="E347" t="s">
        <v>822</v>
      </c>
      <c r="F347" t="s">
        <v>634</v>
      </c>
      <c r="G347">
        <v>16.99</v>
      </c>
      <c r="H347">
        <v>16.99</v>
      </c>
      <c r="I347" t="s">
        <v>126</v>
      </c>
      <c r="J347" t="s">
        <v>127</v>
      </c>
      <c r="K347" t="s">
        <v>31</v>
      </c>
      <c r="L347" t="s">
        <v>32</v>
      </c>
      <c r="M347" t="s">
        <v>33</v>
      </c>
      <c r="P347" s="1" t="s">
        <v>1440</v>
      </c>
      <c r="Q347" s="1" t="s">
        <v>822</v>
      </c>
      <c r="R347" s="1" t="s">
        <v>822</v>
      </c>
      <c r="S347" s="1"/>
      <c r="T347" s="1" t="s">
        <v>125</v>
      </c>
      <c r="U347" s="1"/>
      <c r="V347" s="1">
        <v>16.99</v>
      </c>
      <c r="W347" s="1">
        <v>16.99</v>
      </c>
      <c r="X347" s="1" t="s">
        <v>35</v>
      </c>
      <c r="Y347" s="1">
        <v>16990.0</v>
      </c>
      <c r="Z347" s="1"/>
      <c r="AA347" s="1">
        <v>16990</v>
      </c>
      <c r="AB347" s="1"/>
      <c r="AC347" s="1" t="s">
        <v>36</v>
      </c>
      <c r="AD347" s="1" t="s">
        <v>1441</v>
      </c>
      <c r="AE347" s="1" t="s">
        <v>32</v>
      </c>
      <c r="AF347" s="1" t="s">
        <v>33</v>
      </c>
      <c r="AG347" s="1" t="s">
        <v>127</v>
      </c>
    </row>
    <row r="348" spans="1:33">
      <c r="A348" t="s">
        <v>1442</v>
      </c>
      <c r="C348" t="s">
        <v>1443</v>
      </c>
      <c r="E348" t="s">
        <v>822</v>
      </c>
      <c r="F348" t="s">
        <v>634</v>
      </c>
      <c r="G348">
        <v>80.0</v>
      </c>
      <c r="H348">
        <v>80.0</v>
      </c>
      <c r="I348" t="s">
        <v>94</v>
      </c>
      <c r="J348" t="s">
        <v>95</v>
      </c>
      <c r="K348" t="s">
        <v>31</v>
      </c>
      <c r="L348" t="s">
        <v>32</v>
      </c>
      <c r="M348" t="s">
        <v>33</v>
      </c>
      <c r="P348" s="1" t="s">
        <v>1444</v>
      </c>
      <c r="Q348" s="1" t="s">
        <v>822</v>
      </c>
      <c r="R348" s="1" t="s">
        <v>822</v>
      </c>
      <c r="S348" s="1"/>
      <c r="T348" s="1" t="s">
        <v>1443</v>
      </c>
      <c r="U348" s="1"/>
      <c r="V348" s="1">
        <v>80.0</v>
      </c>
      <c r="W348" s="1">
        <v>80.0</v>
      </c>
      <c r="X348" s="1" t="s">
        <v>35</v>
      </c>
      <c r="Y348" s="1">
        <v>80000.0</v>
      </c>
      <c r="Z348" s="1"/>
      <c r="AA348" s="1">
        <v>80000</v>
      </c>
      <c r="AB348" s="1"/>
      <c r="AC348" s="1" t="s">
        <v>36</v>
      </c>
      <c r="AD348" s="1" t="s">
        <v>1445</v>
      </c>
      <c r="AE348" s="1" t="s">
        <v>32</v>
      </c>
      <c r="AF348" s="1" t="s">
        <v>33</v>
      </c>
      <c r="AG348" s="1" t="s">
        <v>95</v>
      </c>
    </row>
    <row r="349" spans="1:33">
      <c r="A349" t="s">
        <v>1446</v>
      </c>
      <c r="C349" t="s">
        <v>1447</v>
      </c>
      <c r="D349" t="s">
        <v>114</v>
      </c>
      <c r="E349" t="s">
        <v>822</v>
      </c>
      <c r="F349" t="s">
        <v>634</v>
      </c>
      <c r="G349">
        <v>814.75</v>
      </c>
      <c r="H349">
        <v>814.75</v>
      </c>
      <c r="I349" t="s">
        <v>269</v>
      </c>
      <c r="J349" t="s">
        <v>270</v>
      </c>
      <c r="K349" t="s">
        <v>31</v>
      </c>
      <c r="L349" t="s">
        <v>32</v>
      </c>
      <c r="M349" t="s">
        <v>33</v>
      </c>
      <c r="P349" s="1" t="s">
        <v>1448</v>
      </c>
      <c r="Q349" s="1" t="s">
        <v>822</v>
      </c>
      <c r="R349" s="1" t="s">
        <v>822</v>
      </c>
      <c r="S349" s="1"/>
      <c r="T349" s="1" t="s">
        <v>1449</v>
      </c>
      <c r="U349" s="1" t="s">
        <v>1450</v>
      </c>
      <c r="V349" s="1">
        <v>814.75</v>
      </c>
      <c r="W349" s="1">
        <v>814.75</v>
      </c>
      <c r="X349" s="1" t="s">
        <v>35</v>
      </c>
      <c r="Y349" s="1">
        <v>814750.0</v>
      </c>
      <c r="Z349" s="1"/>
      <c r="AA349" s="1">
        <v>814750</v>
      </c>
      <c r="AB349" s="1"/>
      <c r="AC349" s="1" t="s">
        <v>36</v>
      </c>
      <c r="AD349" s="1" t="s">
        <v>1451</v>
      </c>
      <c r="AE349" s="1" t="s">
        <v>32</v>
      </c>
      <c r="AF349" s="1" t="s">
        <v>33</v>
      </c>
      <c r="AG349" s="1" t="s">
        <v>270</v>
      </c>
    </row>
    <row r="350" spans="1:33">
      <c r="A350" t="s">
        <v>1452</v>
      </c>
      <c r="B350" t="s">
        <v>1453</v>
      </c>
      <c r="C350" t="s">
        <v>314</v>
      </c>
      <c r="E350" t="s">
        <v>822</v>
      </c>
      <c r="F350" t="s">
        <v>634</v>
      </c>
      <c r="G350">
        <v>28.99</v>
      </c>
      <c r="H350">
        <v>28.99</v>
      </c>
      <c r="I350" t="s">
        <v>179</v>
      </c>
      <c r="J350" t="s">
        <v>180</v>
      </c>
      <c r="K350" t="s">
        <v>31</v>
      </c>
      <c r="L350" t="s">
        <v>32</v>
      </c>
      <c r="M350" t="s">
        <v>33</v>
      </c>
      <c r="P350" s="1" t="s">
        <v>1454</v>
      </c>
      <c r="Q350" s="1" t="s">
        <v>822</v>
      </c>
      <c r="R350" s="1" t="s">
        <v>822</v>
      </c>
      <c r="S350" s="1"/>
      <c r="T350" s="1" t="s">
        <v>314</v>
      </c>
      <c r="U350" s="1"/>
      <c r="V350" s="1">
        <v>28.99</v>
      </c>
      <c r="W350" s="1">
        <v>28.99</v>
      </c>
      <c r="X350" s="1" t="s">
        <v>35</v>
      </c>
      <c r="Y350" s="1">
        <v>28990.0</v>
      </c>
      <c r="Z350" s="1"/>
      <c r="AA350" s="1">
        <v>28990</v>
      </c>
      <c r="AB350" s="1"/>
      <c r="AC350" s="1" t="s">
        <v>36</v>
      </c>
      <c r="AD350" s="1" t="s">
        <v>1455</v>
      </c>
      <c r="AE350" s="1" t="s">
        <v>32</v>
      </c>
      <c r="AF350" s="1" t="s">
        <v>33</v>
      </c>
      <c r="AG350" s="1" t="s">
        <v>180</v>
      </c>
    </row>
    <row r="351" spans="1:33">
      <c r="A351" t="s">
        <v>1456</v>
      </c>
      <c r="C351" t="s">
        <v>613</v>
      </c>
      <c r="E351" t="s">
        <v>822</v>
      </c>
      <c r="F351" t="s">
        <v>634</v>
      </c>
      <c r="G351">
        <v>940.0</v>
      </c>
      <c r="H351">
        <v>940.0</v>
      </c>
      <c r="I351" t="s">
        <v>269</v>
      </c>
      <c r="J351" t="s">
        <v>270</v>
      </c>
      <c r="K351" t="s">
        <v>31</v>
      </c>
      <c r="L351" t="s">
        <v>32</v>
      </c>
      <c r="M351" t="s">
        <v>33</v>
      </c>
      <c r="P351" s="1" t="s">
        <v>1457</v>
      </c>
      <c r="Q351" s="1" t="s">
        <v>822</v>
      </c>
      <c r="R351" s="1" t="s">
        <v>822</v>
      </c>
      <c r="S351" s="1"/>
      <c r="T351" s="1" t="s">
        <v>613</v>
      </c>
      <c r="U351" s="1"/>
      <c r="V351" s="1">
        <v>940.0</v>
      </c>
      <c r="W351" s="1">
        <v>940.0</v>
      </c>
      <c r="X351" s="1" t="s">
        <v>35</v>
      </c>
      <c r="Y351" s="1">
        <v>940000.0</v>
      </c>
      <c r="Z351" s="1"/>
      <c r="AA351" s="1">
        <v>940000</v>
      </c>
      <c r="AB351" s="1"/>
      <c r="AC351" s="1" t="s">
        <v>36</v>
      </c>
      <c r="AD351" s="1" t="s">
        <v>1458</v>
      </c>
      <c r="AE351" s="1" t="s">
        <v>32</v>
      </c>
      <c r="AF351" s="1" t="s">
        <v>33</v>
      </c>
      <c r="AG351" s="1" t="s">
        <v>270</v>
      </c>
    </row>
    <row r="352" spans="1:33">
      <c r="A352" t="s">
        <v>1459</v>
      </c>
      <c r="B352" t="s">
        <v>1460</v>
      </c>
      <c r="C352" t="s">
        <v>468</v>
      </c>
      <c r="E352" t="s">
        <v>822</v>
      </c>
      <c r="F352" t="s">
        <v>634</v>
      </c>
      <c r="G352">
        <v>5.0</v>
      </c>
      <c r="H352">
        <v>5.0</v>
      </c>
      <c r="I352" t="s">
        <v>469</v>
      </c>
      <c r="J352" t="s">
        <v>470</v>
      </c>
      <c r="K352" t="s">
        <v>31</v>
      </c>
      <c r="L352" t="s">
        <v>32</v>
      </c>
      <c r="M352" t="s">
        <v>33</v>
      </c>
      <c r="P352" s="1" t="s">
        <v>1461</v>
      </c>
      <c r="Q352" s="1" t="s">
        <v>822</v>
      </c>
      <c r="R352" s="1" t="s">
        <v>27</v>
      </c>
      <c r="S352" s="1"/>
      <c r="T352" s="1" t="s">
        <v>472</v>
      </c>
      <c r="U352" s="1" t="s">
        <v>473</v>
      </c>
      <c r="V352" s="1">
        <v>5.0</v>
      </c>
      <c r="W352" s="1">
        <v>5.0</v>
      </c>
      <c r="X352" s="1" t="s">
        <v>35</v>
      </c>
      <c r="Y352" s="1">
        <v>5000.0</v>
      </c>
      <c r="Z352" s="1"/>
      <c r="AA352" s="1">
        <v>5000</v>
      </c>
      <c r="AB352" s="1"/>
      <c r="AC352" s="1" t="s">
        <v>36</v>
      </c>
      <c r="AD352" s="1" t="s">
        <v>1462</v>
      </c>
      <c r="AE352" s="1" t="s">
        <v>32</v>
      </c>
      <c r="AF352" s="1" t="s">
        <v>33</v>
      </c>
      <c r="AG352" s="1" t="s">
        <v>470</v>
      </c>
    </row>
    <row r="353" spans="1:33">
      <c r="A353" t="s">
        <v>1463</v>
      </c>
      <c r="C353" t="s">
        <v>1464</v>
      </c>
      <c r="E353" t="s">
        <v>822</v>
      </c>
      <c r="F353" t="s">
        <v>634</v>
      </c>
      <c r="G353">
        <v>505.45</v>
      </c>
      <c r="H353">
        <v>505.45</v>
      </c>
      <c r="I353" t="s">
        <v>269</v>
      </c>
      <c r="J353" t="s">
        <v>270</v>
      </c>
      <c r="K353" t="s">
        <v>31</v>
      </c>
      <c r="L353" t="s">
        <v>32</v>
      </c>
      <c r="M353" t="s">
        <v>33</v>
      </c>
      <c r="P353" s="1" t="s">
        <v>1465</v>
      </c>
      <c r="Q353" s="1" t="s">
        <v>822</v>
      </c>
      <c r="R353" s="1" t="s">
        <v>822</v>
      </c>
      <c r="S353" s="1"/>
      <c r="T353" s="1" t="s">
        <v>1464</v>
      </c>
      <c r="U353" s="1"/>
      <c r="V353" s="1">
        <v>505.45</v>
      </c>
      <c r="W353" s="1">
        <v>505.45</v>
      </c>
      <c r="X353" s="1" t="s">
        <v>35</v>
      </c>
      <c r="Y353" s="1">
        <v>505450.0</v>
      </c>
      <c r="Z353" s="1"/>
      <c r="AA353" s="1">
        <v>505450</v>
      </c>
      <c r="AB353" s="1"/>
      <c r="AC353" s="1" t="s">
        <v>36</v>
      </c>
      <c r="AD353" s="1" t="s">
        <v>1466</v>
      </c>
      <c r="AE353" s="1" t="s">
        <v>32</v>
      </c>
      <c r="AF353" s="1" t="s">
        <v>33</v>
      </c>
      <c r="AG353" s="1" t="s">
        <v>270</v>
      </c>
    </row>
    <row r="354" spans="1:33">
      <c r="A354" t="s">
        <v>1467</v>
      </c>
      <c r="C354" t="s">
        <v>1468</v>
      </c>
      <c r="E354" t="s">
        <v>822</v>
      </c>
      <c r="F354" t="s">
        <v>634</v>
      </c>
      <c r="G354">
        <v>328.0</v>
      </c>
      <c r="H354">
        <v>328.0</v>
      </c>
      <c r="I354" t="s">
        <v>269</v>
      </c>
      <c r="J354" t="s">
        <v>270</v>
      </c>
      <c r="K354" t="s">
        <v>31</v>
      </c>
      <c r="L354" t="s">
        <v>32</v>
      </c>
      <c r="M354" t="s">
        <v>33</v>
      </c>
      <c r="P354" s="1" t="s">
        <v>1469</v>
      </c>
      <c r="Q354" s="1" t="s">
        <v>822</v>
      </c>
      <c r="R354" s="1" t="s">
        <v>822</v>
      </c>
      <c r="S354" s="1"/>
      <c r="T354" s="1" t="s">
        <v>1468</v>
      </c>
      <c r="U354" s="1"/>
      <c r="V354" s="1">
        <v>328.0</v>
      </c>
      <c r="W354" s="1">
        <v>328.0</v>
      </c>
      <c r="X354" s="1" t="s">
        <v>35</v>
      </c>
      <c r="Y354" s="1">
        <v>328000.0</v>
      </c>
      <c r="Z354" s="1"/>
      <c r="AA354" s="1">
        <v>328000</v>
      </c>
      <c r="AB354" s="1"/>
      <c r="AC354" s="1" t="s">
        <v>36</v>
      </c>
      <c r="AD354" s="1" t="s">
        <v>1470</v>
      </c>
      <c r="AE354" s="1" t="s">
        <v>32</v>
      </c>
      <c r="AF354" s="1" t="s">
        <v>33</v>
      </c>
      <c r="AG354" s="1" t="s">
        <v>270</v>
      </c>
    </row>
    <row r="355" spans="1:33">
      <c r="A355" t="s">
        <v>1471</v>
      </c>
      <c r="B355" t="s">
        <v>1472</v>
      </c>
      <c r="C355" t="s">
        <v>73</v>
      </c>
      <c r="E355" t="s">
        <v>822</v>
      </c>
      <c r="F355" t="s">
        <v>634</v>
      </c>
      <c r="G355">
        <v>33.75</v>
      </c>
      <c r="H355">
        <v>33.75</v>
      </c>
      <c r="I355" t="s">
        <v>40</v>
      </c>
      <c r="J355" t="s">
        <v>41</v>
      </c>
      <c r="K355" t="s">
        <v>31</v>
      </c>
      <c r="L355" t="s">
        <v>32</v>
      </c>
      <c r="M355" t="s">
        <v>33</v>
      </c>
      <c r="P355" s="1" t="s">
        <v>1473</v>
      </c>
      <c r="Q355" s="1" t="s">
        <v>822</v>
      </c>
      <c r="R355" s="1" t="s">
        <v>822</v>
      </c>
      <c r="S355" s="1"/>
      <c r="T355" s="1" t="s">
        <v>75</v>
      </c>
      <c r="U355" s="1" t="s">
        <v>76</v>
      </c>
      <c r="V355" s="1">
        <v>33.75</v>
      </c>
      <c r="W355" s="1">
        <v>33.75</v>
      </c>
      <c r="X355" s="1" t="s">
        <v>35</v>
      </c>
      <c r="Y355" s="1">
        <v>33750.0</v>
      </c>
      <c r="Z355" s="1"/>
      <c r="AA355" s="1">
        <v>33750</v>
      </c>
      <c r="AB355" s="1"/>
      <c r="AC355" s="1" t="s">
        <v>36</v>
      </c>
      <c r="AD355" s="1" t="s">
        <v>1474</v>
      </c>
      <c r="AE355" s="1" t="s">
        <v>32</v>
      </c>
      <c r="AF355" s="1" t="s">
        <v>33</v>
      </c>
      <c r="AG355" s="1" t="s">
        <v>41</v>
      </c>
    </row>
    <row r="356" spans="1:33">
      <c r="A356" t="s">
        <v>1475</v>
      </c>
      <c r="C356" t="s">
        <v>1476</v>
      </c>
      <c r="E356" t="s">
        <v>822</v>
      </c>
      <c r="F356" t="s">
        <v>634</v>
      </c>
      <c r="G356">
        <v>630.0</v>
      </c>
      <c r="H356">
        <v>630.0</v>
      </c>
      <c r="I356" t="s">
        <v>126</v>
      </c>
      <c r="J356" t="s">
        <v>127</v>
      </c>
      <c r="K356" t="s">
        <v>31</v>
      </c>
      <c r="L356" t="s">
        <v>32</v>
      </c>
      <c r="M356" t="s">
        <v>33</v>
      </c>
      <c r="P356" s="1" t="s">
        <v>1477</v>
      </c>
      <c r="Q356" s="1" t="s">
        <v>822</v>
      </c>
      <c r="R356" s="1" t="s">
        <v>822</v>
      </c>
      <c r="S356" s="1"/>
      <c r="T356" s="1" t="s">
        <v>1476</v>
      </c>
      <c r="U356" s="1"/>
      <c r="V356" s="1">
        <v>630.0</v>
      </c>
      <c r="W356" s="1">
        <v>630.0</v>
      </c>
      <c r="X356" s="1" t="s">
        <v>35</v>
      </c>
      <c r="Y356" s="1">
        <v>630000.0</v>
      </c>
      <c r="Z356" s="1"/>
      <c r="AA356" s="1">
        <v>630000</v>
      </c>
      <c r="AB356" s="1"/>
      <c r="AC356" s="1" t="s">
        <v>36</v>
      </c>
      <c r="AD356" s="1" t="s">
        <v>1478</v>
      </c>
      <c r="AE356" s="1" t="s">
        <v>32</v>
      </c>
      <c r="AF356" s="1" t="s">
        <v>33</v>
      </c>
      <c r="AG356" s="1" t="s">
        <v>127</v>
      </c>
    </row>
    <row r="357" spans="1:33">
      <c r="A357" t="s">
        <v>1479</v>
      </c>
      <c r="B357" t="s">
        <v>1480</v>
      </c>
      <c r="C357" t="s">
        <v>172</v>
      </c>
      <c r="E357" t="s">
        <v>822</v>
      </c>
      <c r="F357" t="s">
        <v>634</v>
      </c>
      <c r="G357">
        <v>75.17</v>
      </c>
      <c r="H357">
        <v>75.17</v>
      </c>
      <c r="I357" t="s">
        <v>173</v>
      </c>
      <c r="J357" t="s">
        <v>174</v>
      </c>
      <c r="K357" t="s">
        <v>31</v>
      </c>
      <c r="L357" t="s">
        <v>32</v>
      </c>
      <c r="M357" t="s">
        <v>33</v>
      </c>
      <c r="P357" s="1" t="s">
        <v>1481</v>
      </c>
      <c r="Q357" s="1" t="s">
        <v>822</v>
      </c>
      <c r="R357" s="1" t="s">
        <v>822</v>
      </c>
      <c r="S357" s="1"/>
      <c r="T357" s="1" t="s">
        <v>172</v>
      </c>
      <c r="U357" s="1"/>
      <c r="V357" s="1">
        <v>75.17</v>
      </c>
      <c r="W357" s="1">
        <v>75.17</v>
      </c>
      <c r="X357" s="1" t="s">
        <v>35</v>
      </c>
      <c r="Y357" s="1">
        <v>75170.0</v>
      </c>
      <c r="Z357" s="1"/>
      <c r="AA357" s="1">
        <v>75170</v>
      </c>
      <c r="AB357" s="1"/>
      <c r="AC357" s="1" t="s">
        <v>36</v>
      </c>
      <c r="AD357" s="1" t="s">
        <v>1482</v>
      </c>
      <c r="AE357" s="1" t="s">
        <v>32</v>
      </c>
      <c r="AF357" s="1" t="s">
        <v>33</v>
      </c>
      <c r="AG357" s="1" t="s">
        <v>174</v>
      </c>
    </row>
    <row r="358" spans="1:33">
      <c r="A358" t="s">
        <v>1483</v>
      </c>
      <c r="B358" t="s">
        <v>1484</v>
      </c>
      <c r="C358" t="s">
        <v>314</v>
      </c>
      <c r="E358" t="s">
        <v>822</v>
      </c>
      <c r="F358" t="s">
        <v>634</v>
      </c>
      <c r="G358">
        <v>18.59</v>
      </c>
      <c r="H358">
        <v>18.59</v>
      </c>
      <c r="I358" t="s">
        <v>179</v>
      </c>
      <c r="J358" t="s">
        <v>180</v>
      </c>
      <c r="K358" t="s">
        <v>31</v>
      </c>
      <c r="L358" t="s">
        <v>32</v>
      </c>
      <c r="M358" t="s">
        <v>33</v>
      </c>
      <c r="P358" s="1" t="s">
        <v>1485</v>
      </c>
      <c r="Q358" s="1" t="s">
        <v>822</v>
      </c>
      <c r="R358" s="1" t="s">
        <v>822</v>
      </c>
      <c r="S358" s="1"/>
      <c r="T358" s="1" t="s">
        <v>314</v>
      </c>
      <c r="U358" s="1"/>
      <c r="V358" s="1">
        <v>18.59</v>
      </c>
      <c r="W358" s="1">
        <v>18.59</v>
      </c>
      <c r="X358" s="1" t="s">
        <v>35</v>
      </c>
      <c r="Y358" s="1">
        <v>18590.0</v>
      </c>
      <c r="Z358" s="1"/>
      <c r="AA358" s="1">
        <v>18590</v>
      </c>
      <c r="AB358" s="1"/>
      <c r="AC358" s="1" t="s">
        <v>36</v>
      </c>
      <c r="AD358" s="1" t="s">
        <v>1482</v>
      </c>
      <c r="AE358" s="1" t="s">
        <v>32</v>
      </c>
      <c r="AF358" s="1" t="s">
        <v>33</v>
      </c>
      <c r="AG358" s="1" t="s">
        <v>180</v>
      </c>
    </row>
    <row r="359" spans="1:33">
      <c r="A359" t="s">
        <v>1486</v>
      </c>
      <c r="B359" t="s">
        <v>1487</v>
      </c>
      <c r="C359" t="s">
        <v>1488</v>
      </c>
      <c r="E359" t="s">
        <v>822</v>
      </c>
      <c r="F359" t="s">
        <v>634</v>
      </c>
      <c r="G359">
        <v>322.07</v>
      </c>
      <c r="H359">
        <v>322.07</v>
      </c>
      <c r="I359" t="s">
        <v>40</v>
      </c>
      <c r="J359" t="s">
        <v>41</v>
      </c>
      <c r="K359" t="s">
        <v>31</v>
      </c>
      <c r="L359" t="s">
        <v>32</v>
      </c>
      <c r="M359" t="s">
        <v>33</v>
      </c>
      <c r="P359" s="1" t="s">
        <v>1489</v>
      </c>
      <c r="Q359" s="1" t="s">
        <v>822</v>
      </c>
      <c r="R359" s="1" t="s">
        <v>27</v>
      </c>
      <c r="S359" s="1"/>
      <c r="T359" s="1" t="s">
        <v>1488</v>
      </c>
      <c r="U359" s="1"/>
      <c r="V359" s="1">
        <v>322.07</v>
      </c>
      <c r="W359" s="1">
        <v>322.07</v>
      </c>
      <c r="X359" s="1" t="s">
        <v>35</v>
      </c>
      <c r="Y359" s="1">
        <v>322070.0</v>
      </c>
      <c r="Z359" s="1"/>
      <c r="AA359" s="1">
        <v>320070</v>
      </c>
      <c r="AB359" s="1">
        <v>2000</v>
      </c>
      <c r="AC359" s="1" t="s">
        <v>36</v>
      </c>
      <c r="AD359" s="1" t="s">
        <v>840</v>
      </c>
      <c r="AE359" s="1" t="s">
        <v>32</v>
      </c>
      <c r="AF359" s="1" t="s">
        <v>33</v>
      </c>
      <c r="AG359" s="1" t="s">
        <v>41</v>
      </c>
    </row>
    <row r="360" spans="1:33">
      <c r="A360" t="s">
        <v>1490</v>
      </c>
      <c r="B360" t="s">
        <v>1491</v>
      </c>
      <c r="C360" t="s">
        <v>125</v>
      </c>
      <c r="E360" t="s">
        <v>822</v>
      </c>
      <c r="F360" t="s">
        <v>634</v>
      </c>
      <c r="G360">
        <v>21.99</v>
      </c>
      <c r="H360">
        <v>21.99</v>
      </c>
      <c r="I360" t="s">
        <v>126</v>
      </c>
      <c r="J360" t="s">
        <v>127</v>
      </c>
      <c r="K360" t="s">
        <v>31</v>
      </c>
      <c r="L360" t="s">
        <v>32</v>
      </c>
      <c r="M360" t="s">
        <v>33</v>
      </c>
      <c r="P360" s="1" t="s">
        <v>1492</v>
      </c>
      <c r="Q360" s="1" t="s">
        <v>822</v>
      </c>
      <c r="R360" s="1" t="s">
        <v>822</v>
      </c>
      <c r="S360" s="1"/>
      <c r="T360" s="1" t="s">
        <v>125</v>
      </c>
      <c r="U360" s="1"/>
      <c r="V360" s="1">
        <v>21.99</v>
      </c>
      <c r="W360" s="1">
        <v>21.99</v>
      </c>
      <c r="X360" s="1" t="s">
        <v>35</v>
      </c>
      <c r="Y360" s="1">
        <v>21990.0</v>
      </c>
      <c r="Z360" s="1"/>
      <c r="AA360" s="1">
        <v>21990</v>
      </c>
      <c r="AB360" s="1"/>
      <c r="AC360" s="1" t="s">
        <v>36</v>
      </c>
      <c r="AD360" s="1" t="s">
        <v>1493</v>
      </c>
      <c r="AE360" s="1" t="s">
        <v>32</v>
      </c>
      <c r="AF360" s="1" t="s">
        <v>33</v>
      </c>
      <c r="AG360" s="1" t="s">
        <v>127</v>
      </c>
    </row>
    <row r="361" spans="1:33">
      <c r="A361" t="s">
        <v>1494</v>
      </c>
      <c r="B361" t="s">
        <v>1495</v>
      </c>
      <c r="C361" t="s">
        <v>47</v>
      </c>
      <c r="E361" t="s">
        <v>822</v>
      </c>
      <c r="F361" t="s">
        <v>634</v>
      </c>
      <c r="G361">
        <v>174.69</v>
      </c>
      <c r="H361">
        <v>174.69</v>
      </c>
      <c r="I361" t="s">
        <v>48</v>
      </c>
      <c r="J361" t="s">
        <v>49</v>
      </c>
      <c r="K361" t="s">
        <v>31</v>
      </c>
      <c r="L361" t="s">
        <v>32</v>
      </c>
      <c r="M361" t="s">
        <v>33</v>
      </c>
      <c r="P361" s="1" t="s">
        <v>1496</v>
      </c>
      <c r="Q361" s="1" t="s">
        <v>822</v>
      </c>
      <c r="R361" s="1" t="s">
        <v>822</v>
      </c>
      <c r="S361" s="1"/>
      <c r="T361" s="1" t="s">
        <v>47</v>
      </c>
      <c r="U361" s="1"/>
      <c r="V361" s="1">
        <v>174.69</v>
      </c>
      <c r="W361" s="1">
        <v>174.69</v>
      </c>
      <c r="X361" s="1" t="s">
        <v>35</v>
      </c>
      <c r="Y361" s="1">
        <v>174690.0</v>
      </c>
      <c r="Z361" s="1"/>
      <c r="AA361" s="1">
        <v>174690</v>
      </c>
      <c r="AB361" s="1"/>
      <c r="AC361" s="1" t="s">
        <v>36</v>
      </c>
      <c r="AD361" s="1" t="s">
        <v>1497</v>
      </c>
      <c r="AE361" s="1" t="s">
        <v>32</v>
      </c>
      <c r="AF361" s="1" t="s">
        <v>33</v>
      </c>
      <c r="AG361" s="1" t="s">
        <v>49</v>
      </c>
    </row>
    <row r="362" spans="1:33">
      <c r="A362" t="s">
        <v>1498</v>
      </c>
      <c r="C362" t="s">
        <v>1087</v>
      </c>
      <c r="E362" t="s">
        <v>822</v>
      </c>
      <c r="F362" t="s">
        <v>634</v>
      </c>
      <c r="G362">
        <v>610.5</v>
      </c>
      <c r="H362">
        <v>610.5</v>
      </c>
      <c r="I362" t="s">
        <v>269</v>
      </c>
      <c r="J362" t="s">
        <v>270</v>
      </c>
      <c r="K362" t="s">
        <v>31</v>
      </c>
      <c r="L362" t="s">
        <v>32</v>
      </c>
      <c r="M362" t="s">
        <v>33</v>
      </c>
      <c r="P362" s="1" t="s">
        <v>1499</v>
      </c>
      <c r="Q362" s="1" t="s">
        <v>822</v>
      </c>
      <c r="R362" s="1" t="s">
        <v>822</v>
      </c>
      <c r="S362" s="1"/>
      <c r="T362" s="1" t="s">
        <v>1087</v>
      </c>
      <c r="U362" s="1"/>
      <c r="V362" s="1">
        <v>610.5</v>
      </c>
      <c r="W362" s="1">
        <v>610.5</v>
      </c>
      <c r="X362" s="1" t="s">
        <v>35</v>
      </c>
      <c r="Y362" s="1">
        <v>610500.0</v>
      </c>
      <c r="Z362" s="1"/>
      <c r="AA362" s="1">
        <v>610500</v>
      </c>
      <c r="AB362" s="1"/>
      <c r="AC362" s="1" t="s">
        <v>36</v>
      </c>
      <c r="AD362" s="1" t="s">
        <v>1500</v>
      </c>
      <c r="AE362" s="1" t="s">
        <v>32</v>
      </c>
      <c r="AF362" s="1" t="s">
        <v>33</v>
      </c>
      <c r="AG362" s="1" t="s">
        <v>270</v>
      </c>
    </row>
    <row r="363" spans="1:33">
      <c r="A363" t="s">
        <v>1501</v>
      </c>
      <c r="B363" t="s">
        <v>1502</v>
      </c>
      <c r="C363" t="s">
        <v>26</v>
      </c>
      <c r="E363" t="s">
        <v>822</v>
      </c>
      <c r="F363" t="s">
        <v>634</v>
      </c>
      <c r="G363">
        <v>210.51</v>
      </c>
      <c r="H363">
        <v>210.51</v>
      </c>
      <c r="I363" t="s">
        <v>29</v>
      </c>
      <c r="J363" t="s">
        <v>30</v>
      </c>
      <c r="K363" t="s">
        <v>31</v>
      </c>
      <c r="L363" t="s">
        <v>32</v>
      </c>
      <c r="M363" t="s">
        <v>33</v>
      </c>
      <c r="P363" s="1" t="s">
        <v>1503</v>
      </c>
      <c r="Q363" s="1" t="s">
        <v>822</v>
      </c>
      <c r="R363" s="1" t="s">
        <v>822</v>
      </c>
      <c r="S363" s="1"/>
      <c r="T363" s="1" t="s">
        <v>26</v>
      </c>
      <c r="U363" s="1"/>
      <c r="V363" s="1">
        <v>210.51</v>
      </c>
      <c r="W363" s="1">
        <v>210.51</v>
      </c>
      <c r="X363" s="1" t="s">
        <v>35</v>
      </c>
      <c r="Y363" s="1">
        <v>210510</v>
      </c>
      <c r="Z363" s="1"/>
      <c r="AA363" s="1">
        <v>210510</v>
      </c>
      <c r="AB363" s="1"/>
      <c r="AC363" s="1" t="s">
        <v>36</v>
      </c>
      <c r="AD363" s="1" t="s">
        <v>1504</v>
      </c>
      <c r="AE363" s="1" t="s">
        <v>32</v>
      </c>
      <c r="AF363" s="1" t="s">
        <v>33</v>
      </c>
      <c r="AG363" s="1" t="s">
        <v>30</v>
      </c>
    </row>
    <row r="364" spans="1:33">
      <c r="A364" t="s">
        <v>1505</v>
      </c>
      <c r="B364" t="s">
        <v>1506</v>
      </c>
      <c r="C364" t="s">
        <v>268</v>
      </c>
      <c r="E364" t="s">
        <v>822</v>
      </c>
      <c r="F364" t="s">
        <v>634</v>
      </c>
      <c r="G364">
        <v>150.2</v>
      </c>
      <c r="H364">
        <v>150.2</v>
      </c>
      <c r="I364" t="s">
        <v>269</v>
      </c>
      <c r="J364" t="s">
        <v>270</v>
      </c>
      <c r="K364" t="s">
        <v>31</v>
      </c>
      <c r="L364" t="s">
        <v>32</v>
      </c>
      <c r="M364" t="s">
        <v>33</v>
      </c>
      <c r="P364" s="1" t="s">
        <v>1507</v>
      </c>
      <c r="Q364" s="1" t="s">
        <v>822</v>
      </c>
      <c r="R364" s="1" t="s">
        <v>822</v>
      </c>
      <c r="S364" s="1"/>
      <c r="T364" s="1" t="s">
        <v>268</v>
      </c>
      <c r="U364" s="1"/>
      <c r="V364" s="1">
        <v>150.2</v>
      </c>
      <c r="W364" s="1">
        <v>150.2</v>
      </c>
      <c r="X364" s="1" t="s">
        <v>35</v>
      </c>
      <c r="Y364" s="1">
        <v>150200.0</v>
      </c>
      <c r="Z364" s="1"/>
      <c r="AA364" s="1">
        <v>150200</v>
      </c>
      <c r="AB364" s="1"/>
      <c r="AC364" s="1" t="s">
        <v>36</v>
      </c>
      <c r="AD364" s="1" t="s">
        <v>1508</v>
      </c>
      <c r="AE364" s="1" t="s">
        <v>32</v>
      </c>
      <c r="AF364" s="1" t="s">
        <v>33</v>
      </c>
      <c r="AG364" s="1" t="s">
        <v>270</v>
      </c>
    </row>
    <row r="365" spans="1:33">
      <c r="A365" t="s">
        <v>1509</v>
      </c>
      <c r="B365" t="s">
        <v>1510</v>
      </c>
      <c r="C365" t="s">
        <v>73</v>
      </c>
      <c r="E365" t="s">
        <v>822</v>
      </c>
      <c r="F365" t="s">
        <v>634</v>
      </c>
      <c r="G365">
        <v>4.498</v>
      </c>
      <c r="H365">
        <v>4.498</v>
      </c>
      <c r="I365" t="s">
        <v>40</v>
      </c>
      <c r="J365" t="s">
        <v>41</v>
      </c>
      <c r="K365" t="s">
        <v>31</v>
      </c>
      <c r="L365" t="s">
        <v>32</v>
      </c>
      <c r="M365" t="s">
        <v>33</v>
      </c>
      <c r="P365" s="1" t="s">
        <v>1511</v>
      </c>
      <c r="Q365" s="1" t="s">
        <v>822</v>
      </c>
      <c r="R365" s="1" t="s">
        <v>27</v>
      </c>
      <c r="S365" s="1"/>
      <c r="T365" s="1" t="s">
        <v>75</v>
      </c>
      <c r="U365" s="1" t="s">
        <v>76</v>
      </c>
      <c r="V365" s="1">
        <v>4.498</v>
      </c>
      <c r="W365" s="1">
        <v>4.498</v>
      </c>
      <c r="X365" s="1" t="s">
        <v>35</v>
      </c>
      <c r="Y365" s="1">
        <v>4498.0</v>
      </c>
      <c r="Z365" s="1"/>
      <c r="AA365" s="1">
        <v>4498</v>
      </c>
      <c r="AB365" s="1"/>
      <c r="AC365" s="1" t="s">
        <v>36</v>
      </c>
      <c r="AD365" s="1" t="s">
        <v>1512</v>
      </c>
      <c r="AE365" s="1" t="s">
        <v>32</v>
      </c>
      <c r="AF365" s="1" t="s">
        <v>33</v>
      </c>
      <c r="AG365" s="1" t="s">
        <v>41</v>
      </c>
    </row>
    <row r="366" spans="1:33">
      <c r="A366" t="s">
        <v>1513</v>
      </c>
      <c r="C366" t="s">
        <v>1514</v>
      </c>
      <c r="E366" t="s">
        <v>822</v>
      </c>
      <c r="F366" t="s">
        <v>634</v>
      </c>
      <c r="G366">
        <v>353.5</v>
      </c>
      <c r="H366">
        <v>353.5</v>
      </c>
      <c r="I366" t="s">
        <v>48</v>
      </c>
      <c r="J366" t="s">
        <v>49</v>
      </c>
      <c r="K366" t="s">
        <v>31</v>
      </c>
      <c r="L366" t="s">
        <v>32</v>
      </c>
      <c r="M366" t="s">
        <v>33</v>
      </c>
      <c r="P366" s="1" t="s">
        <v>1515</v>
      </c>
      <c r="Q366" s="1" t="s">
        <v>822</v>
      </c>
      <c r="R366" s="1" t="s">
        <v>822</v>
      </c>
      <c r="S366" s="1"/>
      <c r="T366" s="1" t="s">
        <v>1514</v>
      </c>
      <c r="U366" s="1"/>
      <c r="V366" s="1">
        <v>353.5</v>
      </c>
      <c r="W366" s="1">
        <v>353.5</v>
      </c>
      <c r="X366" s="1" t="s">
        <v>35</v>
      </c>
      <c r="Y366" s="1">
        <v>353500.0</v>
      </c>
      <c r="Z366" s="1"/>
      <c r="AA366" s="1">
        <v>353500</v>
      </c>
      <c r="AB366" s="1"/>
      <c r="AC366" s="1" t="s">
        <v>36</v>
      </c>
      <c r="AD366" s="1" t="s">
        <v>1516</v>
      </c>
      <c r="AE366" s="1" t="s">
        <v>32</v>
      </c>
      <c r="AF366" s="1" t="s">
        <v>33</v>
      </c>
      <c r="AG366" s="1" t="s">
        <v>49</v>
      </c>
    </row>
    <row r="367" spans="1:33">
      <c r="A367" t="s">
        <v>1517</v>
      </c>
      <c r="C367" t="s">
        <v>1518</v>
      </c>
      <c r="E367" t="s">
        <v>822</v>
      </c>
      <c r="F367" t="s">
        <v>634</v>
      </c>
      <c r="G367">
        <v>389.8</v>
      </c>
      <c r="H367">
        <v>389.8</v>
      </c>
      <c r="I367" t="s">
        <v>40</v>
      </c>
      <c r="J367" t="s">
        <v>41</v>
      </c>
      <c r="K367" t="s">
        <v>31</v>
      </c>
      <c r="L367" t="s">
        <v>32</v>
      </c>
      <c r="M367" t="s">
        <v>33</v>
      </c>
      <c r="P367" s="1" t="s">
        <v>1519</v>
      </c>
      <c r="Q367" s="1" t="s">
        <v>822</v>
      </c>
      <c r="R367" s="1" t="s">
        <v>27</v>
      </c>
      <c r="S367" s="1"/>
      <c r="T367" s="1" t="s">
        <v>1518</v>
      </c>
      <c r="U367" s="1"/>
      <c r="V367" s="1">
        <v>389.8</v>
      </c>
      <c r="W367" s="1">
        <v>389.8</v>
      </c>
      <c r="X367" s="1" t="s">
        <v>35</v>
      </c>
      <c r="Y367" s="1">
        <v>389800.0</v>
      </c>
      <c r="Z367" s="1"/>
      <c r="AA367" s="1">
        <v>389800</v>
      </c>
      <c r="AB367" s="1"/>
      <c r="AC367" s="1" t="s">
        <v>36</v>
      </c>
      <c r="AD367" s="1" t="s">
        <v>1520</v>
      </c>
      <c r="AE367" s="1" t="s">
        <v>32</v>
      </c>
      <c r="AF367" s="1" t="s">
        <v>33</v>
      </c>
      <c r="AG367" s="1" t="s">
        <v>41</v>
      </c>
    </row>
    <row r="368" spans="1:33">
      <c r="A368" t="s">
        <v>1521</v>
      </c>
      <c r="C368" t="s">
        <v>1522</v>
      </c>
      <c r="E368" t="s">
        <v>822</v>
      </c>
      <c r="F368" t="s">
        <v>634</v>
      </c>
      <c r="G368">
        <v>1.312</v>
      </c>
      <c r="H368">
        <v>1.312</v>
      </c>
      <c r="I368" t="s">
        <v>227</v>
      </c>
      <c r="J368" t="s">
        <v>228</v>
      </c>
      <c r="K368" t="s">
        <v>31</v>
      </c>
      <c r="L368" t="s">
        <v>32</v>
      </c>
      <c r="M368" t="s">
        <v>33</v>
      </c>
      <c r="P368" s="1" t="s">
        <v>1523</v>
      </c>
      <c r="Q368" s="1" t="s">
        <v>822</v>
      </c>
      <c r="R368" s="1" t="s">
        <v>822</v>
      </c>
      <c r="S368" s="1"/>
      <c r="T368" s="1" t="s">
        <v>1522</v>
      </c>
      <c r="U368" s="1"/>
      <c r="V368" s="1">
        <v>1.312</v>
      </c>
      <c r="W368" s="1">
        <v>1.312</v>
      </c>
      <c r="X368" s="1" t="s">
        <v>35</v>
      </c>
      <c r="Y368" s="1">
        <v>1312000.0</v>
      </c>
      <c r="Z368" s="1"/>
      <c r="AA368" s="1">
        <v>1312000</v>
      </c>
      <c r="AB368" s="1"/>
      <c r="AC368" s="1" t="s">
        <v>36</v>
      </c>
      <c r="AD368" s="1" t="s">
        <v>1508</v>
      </c>
      <c r="AE368" s="1" t="s">
        <v>32</v>
      </c>
      <c r="AF368" s="1" t="s">
        <v>33</v>
      </c>
      <c r="AG368" s="1" t="s">
        <v>228</v>
      </c>
    </row>
    <row r="369" spans="1:33">
      <c r="A369" t="s">
        <v>1524</v>
      </c>
      <c r="B369" t="s">
        <v>1525</v>
      </c>
      <c r="C369" t="s">
        <v>314</v>
      </c>
      <c r="E369" t="s">
        <v>822</v>
      </c>
      <c r="F369" t="s">
        <v>634</v>
      </c>
      <c r="G369">
        <v>32.5</v>
      </c>
      <c r="H369">
        <v>32.5</v>
      </c>
      <c r="I369" t="s">
        <v>179</v>
      </c>
      <c r="J369" t="s">
        <v>180</v>
      </c>
      <c r="K369" t="s">
        <v>31</v>
      </c>
      <c r="L369" t="s">
        <v>32</v>
      </c>
      <c r="M369" t="s">
        <v>33</v>
      </c>
      <c r="P369" s="1" t="s">
        <v>1526</v>
      </c>
      <c r="Q369" s="1" t="s">
        <v>822</v>
      </c>
      <c r="R369" s="1" t="s">
        <v>822</v>
      </c>
      <c r="S369" s="1"/>
      <c r="T369" s="1" t="s">
        <v>314</v>
      </c>
      <c r="U369" s="1"/>
      <c r="V369" s="1">
        <v>32.5</v>
      </c>
      <c r="W369" s="1">
        <v>32.5</v>
      </c>
      <c r="X369" s="1" t="s">
        <v>35</v>
      </c>
      <c r="Y369" s="1">
        <v>32500.0</v>
      </c>
      <c r="Z369" s="1"/>
      <c r="AA369" s="1">
        <v>32500</v>
      </c>
      <c r="AB369" s="1"/>
      <c r="AC369" s="1" t="s">
        <v>36</v>
      </c>
      <c r="AD369" s="1" t="s">
        <v>1527</v>
      </c>
      <c r="AE369" s="1" t="s">
        <v>32</v>
      </c>
      <c r="AF369" s="1" t="s">
        <v>33</v>
      </c>
      <c r="AG369" s="1" t="s">
        <v>180</v>
      </c>
    </row>
    <row r="370" spans="1:33">
      <c r="A370" t="s">
        <v>1528</v>
      </c>
      <c r="B370" t="s">
        <v>1529</v>
      </c>
      <c r="C370" t="s">
        <v>1530</v>
      </c>
      <c r="D370" t="s">
        <v>114</v>
      </c>
      <c r="E370" t="s">
        <v>822</v>
      </c>
      <c r="F370" t="s">
        <v>634</v>
      </c>
      <c r="G370">
        <v>43.0</v>
      </c>
      <c r="H370">
        <v>43.0</v>
      </c>
      <c r="I370" t="s">
        <v>59</v>
      </c>
      <c r="J370" t="s">
        <v>60</v>
      </c>
      <c r="K370" t="s">
        <v>31</v>
      </c>
      <c r="L370" t="s">
        <v>32</v>
      </c>
      <c r="M370" t="s">
        <v>33</v>
      </c>
      <c r="P370" s="1" t="s">
        <v>1531</v>
      </c>
      <c r="Q370" s="1" t="s">
        <v>822</v>
      </c>
      <c r="R370" s="1" t="s">
        <v>822</v>
      </c>
      <c r="S370" s="1"/>
      <c r="T370" s="1" t="s">
        <v>1532</v>
      </c>
      <c r="U370" s="1" t="s">
        <v>1533</v>
      </c>
      <c r="V370" s="1">
        <v>43.0</v>
      </c>
      <c r="W370" s="1">
        <v>43.0</v>
      </c>
      <c r="X370" s="1" t="s">
        <v>35</v>
      </c>
      <c r="Y370" s="1">
        <v>43000.0</v>
      </c>
      <c r="Z370" s="1"/>
      <c r="AA370" s="1">
        <v>43000</v>
      </c>
      <c r="AB370" s="1"/>
      <c r="AC370" s="1" t="s">
        <v>36</v>
      </c>
      <c r="AD370" s="1" t="s">
        <v>1534</v>
      </c>
      <c r="AE370" s="1" t="s">
        <v>32</v>
      </c>
      <c r="AF370" s="1" t="s">
        <v>33</v>
      </c>
      <c r="AG370" s="1" t="s">
        <v>60</v>
      </c>
    </row>
    <row r="371" spans="1:33">
      <c r="A371" t="s">
        <v>1535</v>
      </c>
      <c r="B371" t="s">
        <v>1536</v>
      </c>
      <c r="C371" t="s">
        <v>569</v>
      </c>
      <c r="E371" t="s">
        <v>822</v>
      </c>
      <c r="F371" t="s">
        <v>634</v>
      </c>
      <c r="G371">
        <v>118.6</v>
      </c>
      <c r="H371">
        <v>118.6</v>
      </c>
      <c r="I371" t="s">
        <v>570</v>
      </c>
      <c r="J371" t="s">
        <v>571</v>
      </c>
      <c r="K371" t="s">
        <v>31</v>
      </c>
      <c r="L371" t="s">
        <v>32</v>
      </c>
      <c r="M371" t="s">
        <v>33</v>
      </c>
      <c r="P371" s="1" t="s">
        <v>1537</v>
      </c>
      <c r="Q371" s="1" t="s">
        <v>822</v>
      </c>
      <c r="R371" s="1" t="s">
        <v>822</v>
      </c>
      <c r="S371" s="1"/>
      <c r="T371" s="1" t="s">
        <v>569</v>
      </c>
      <c r="U371" s="1"/>
      <c r="V371" s="1">
        <v>118.6</v>
      </c>
      <c r="W371" s="1">
        <v>118.6</v>
      </c>
      <c r="X371" s="1" t="s">
        <v>35</v>
      </c>
      <c r="Y371" s="1">
        <v>118600.0</v>
      </c>
      <c r="Z371" s="1"/>
      <c r="AA371" s="1">
        <v>118600</v>
      </c>
      <c r="AB371" s="1"/>
      <c r="AC371" s="1" t="s">
        <v>36</v>
      </c>
      <c r="AD371" s="1" t="s">
        <v>1538</v>
      </c>
      <c r="AE371" s="1" t="s">
        <v>32</v>
      </c>
      <c r="AF371" s="1" t="s">
        <v>33</v>
      </c>
      <c r="AG371" s="1" t="s">
        <v>571</v>
      </c>
    </row>
    <row r="372" spans="1:33">
      <c r="A372" t="s">
        <v>1539</v>
      </c>
      <c r="C372" t="s">
        <v>1540</v>
      </c>
      <c r="E372" t="s">
        <v>822</v>
      </c>
      <c r="F372" t="s">
        <v>634</v>
      </c>
      <c r="G372">
        <v>893.65</v>
      </c>
      <c r="H372">
        <v>893.65</v>
      </c>
      <c r="I372" t="s">
        <v>269</v>
      </c>
      <c r="J372" t="s">
        <v>270</v>
      </c>
      <c r="K372" t="s">
        <v>31</v>
      </c>
      <c r="L372" t="s">
        <v>32</v>
      </c>
      <c r="M372" t="s">
        <v>33</v>
      </c>
      <c r="P372" s="1" t="s">
        <v>1541</v>
      </c>
      <c r="Q372" s="1" t="s">
        <v>822</v>
      </c>
      <c r="R372" s="1" t="s">
        <v>822</v>
      </c>
      <c r="S372" s="1"/>
      <c r="T372" s="1" t="s">
        <v>1540</v>
      </c>
      <c r="U372" s="1"/>
      <c r="V372" s="1">
        <v>893.65</v>
      </c>
      <c r="W372" s="1">
        <v>893.65</v>
      </c>
      <c r="X372" s="1" t="s">
        <v>35</v>
      </c>
      <c r="Y372" s="1">
        <v>893650.0</v>
      </c>
      <c r="Z372" s="1"/>
      <c r="AA372" s="1">
        <v>893650</v>
      </c>
      <c r="AB372" s="1"/>
      <c r="AC372" s="1" t="s">
        <v>36</v>
      </c>
      <c r="AD372" s="1" t="s">
        <v>1542</v>
      </c>
      <c r="AE372" s="1" t="s">
        <v>32</v>
      </c>
      <c r="AF372" s="1" t="s">
        <v>33</v>
      </c>
      <c r="AG372" s="1" t="s">
        <v>270</v>
      </c>
    </row>
    <row r="373" spans="1:33">
      <c r="A373" t="s">
        <v>1543</v>
      </c>
      <c r="C373" t="s">
        <v>1544</v>
      </c>
      <c r="E373" t="s">
        <v>822</v>
      </c>
      <c r="F373" t="s">
        <v>634</v>
      </c>
      <c r="G373">
        <v>532.0</v>
      </c>
      <c r="H373">
        <v>532.0</v>
      </c>
      <c r="I373" t="s">
        <v>173</v>
      </c>
      <c r="J373" t="s">
        <v>174</v>
      </c>
      <c r="K373" t="s">
        <v>31</v>
      </c>
      <c r="L373" t="s">
        <v>32</v>
      </c>
      <c r="M373" t="s">
        <v>33</v>
      </c>
      <c r="P373" s="1" t="s">
        <v>1545</v>
      </c>
      <c r="Q373" s="1" t="s">
        <v>822</v>
      </c>
      <c r="R373" s="1" t="s">
        <v>822</v>
      </c>
      <c r="S373" s="1"/>
      <c r="T373" s="1" t="s">
        <v>1544</v>
      </c>
      <c r="U373" s="1"/>
      <c r="V373" s="1">
        <v>532.0</v>
      </c>
      <c r="W373" s="1">
        <v>532.0</v>
      </c>
      <c r="X373" s="1" t="s">
        <v>35</v>
      </c>
      <c r="Y373" s="1">
        <v>532000.0</v>
      </c>
      <c r="Z373" s="1"/>
      <c r="AA373" s="1">
        <v>532000</v>
      </c>
      <c r="AB373" s="1"/>
      <c r="AC373" s="1" t="s">
        <v>36</v>
      </c>
      <c r="AD373" s="1" t="s">
        <v>1546</v>
      </c>
      <c r="AE373" s="1" t="s">
        <v>32</v>
      </c>
      <c r="AF373" s="1" t="s">
        <v>33</v>
      </c>
      <c r="AG373" s="1" t="s">
        <v>174</v>
      </c>
    </row>
    <row r="374" spans="1:33">
      <c r="A374" t="s">
        <v>1547</v>
      </c>
      <c r="B374" t="s">
        <v>1548</v>
      </c>
      <c r="C374" t="s">
        <v>73</v>
      </c>
      <c r="E374" t="s">
        <v>822</v>
      </c>
      <c r="F374" t="s">
        <v>634</v>
      </c>
      <c r="G374">
        <v>4.498</v>
      </c>
      <c r="H374">
        <v>4.498</v>
      </c>
      <c r="I374" t="s">
        <v>40</v>
      </c>
      <c r="J374" t="s">
        <v>41</v>
      </c>
      <c r="K374" t="s">
        <v>31</v>
      </c>
      <c r="L374" t="s">
        <v>32</v>
      </c>
      <c r="M374" t="s">
        <v>33</v>
      </c>
      <c r="P374" s="1" t="s">
        <v>1549</v>
      </c>
      <c r="Q374" s="1" t="s">
        <v>822</v>
      </c>
      <c r="R374" s="1" t="s">
        <v>27</v>
      </c>
      <c r="S374" s="1"/>
      <c r="T374" s="1" t="s">
        <v>75</v>
      </c>
      <c r="U374" s="1" t="s">
        <v>76</v>
      </c>
      <c r="V374" s="1">
        <v>4.498</v>
      </c>
      <c r="W374" s="1">
        <v>4.498</v>
      </c>
      <c r="X374" s="1" t="s">
        <v>35</v>
      </c>
      <c r="Y374" s="1">
        <v>4498.0</v>
      </c>
      <c r="Z374" s="1"/>
      <c r="AA374" s="1">
        <v>4498</v>
      </c>
      <c r="AB374" s="1"/>
      <c r="AC374" s="1" t="s">
        <v>36</v>
      </c>
      <c r="AD374" s="1" t="s">
        <v>1550</v>
      </c>
      <c r="AE374" s="1" t="s">
        <v>32</v>
      </c>
      <c r="AF374" s="1" t="s">
        <v>33</v>
      </c>
      <c r="AG374" s="1" t="s">
        <v>41</v>
      </c>
    </row>
    <row r="375" spans="1:33">
      <c r="A375" t="s">
        <v>1551</v>
      </c>
      <c r="B375" t="s">
        <v>1552</v>
      </c>
      <c r="C375" t="s">
        <v>172</v>
      </c>
      <c r="E375" t="s">
        <v>822</v>
      </c>
      <c r="F375" t="s">
        <v>634</v>
      </c>
      <c r="G375">
        <v>26.488</v>
      </c>
      <c r="H375">
        <v>26.488</v>
      </c>
      <c r="I375" t="s">
        <v>173</v>
      </c>
      <c r="J375" t="s">
        <v>174</v>
      </c>
      <c r="K375" t="s">
        <v>31</v>
      </c>
      <c r="L375" t="s">
        <v>32</v>
      </c>
      <c r="M375" t="s">
        <v>33</v>
      </c>
      <c r="P375" s="1" t="s">
        <v>1553</v>
      </c>
      <c r="Q375" s="1" t="s">
        <v>822</v>
      </c>
      <c r="R375" s="1" t="s">
        <v>822</v>
      </c>
      <c r="S375" s="1"/>
      <c r="T375" s="1" t="s">
        <v>172</v>
      </c>
      <c r="U375" s="1"/>
      <c r="V375" s="1">
        <v>26.488</v>
      </c>
      <c r="W375" s="1">
        <v>26.488</v>
      </c>
      <c r="X375" s="1" t="s">
        <v>35</v>
      </c>
      <c r="Y375" s="1">
        <v>26488.0</v>
      </c>
      <c r="Z375" s="1"/>
      <c r="AA375" s="1">
        <v>26488</v>
      </c>
      <c r="AB375" s="1"/>
      <c r="AC375" s="1" t="s">
        <v>36</v>
      </c>
      <c r="AD375" s="1" t="s">
        <v>1554</v>
      </c>
      <c r="AE375" s="1" t="s">
        <v>32</v>
      </c>
      <c r="AF375" s="1" t="s">
        <v>33</v>
      </c>
      <c r="AG375" s="1" t="s">
        <v>174</v>
      </c>
    </row>
    <row r="376" spans="1:33">
      <c r="A376" t="s">
        <v>1555</v>
      </c>
      <c r="B376" t="s">
        <v>1556</v>
      </c>
      <c r="C376" t="s">
        <v>172</v>
      </c>
      <c r="E376" t="s">
        <v>822</v>
      </c>
      <c r="F376" t="s">
        <v>634</v>
      </c>
      <c r="G376">
        <v>21.99</v>
      </c>
      <c r="H376">
        <v>21.99</v>
      </c>
      <c r="I376" t="s">
        <v>173</v>
      </c>
      <c r="J376" t="s">
        <v>174</v>
      </c>
      <c r="K376" t="s">
        <v>31</v>
      </c>
      <c r="L376" t="s">
        <v>32</v>
      </c>
      <c r="M376" t="s">
        <v>33</v>
      </c>
      <c r="P376" s="1" t="s">
        <v>1557</v>
      </c>
      <c r="Q376" s="1" t="s">
        <v>822</v>
      </c>
      <c r="R376" s="1" t="s">
        <v>822</v>
      </c>
      <c r="S376" s="1"/>
      <c r="T376" s="1" t="s">
        <v>172</v>
      </c>
      <c r="U376" s="1"/>
      <c r="V376" s="1">
        <v>21.99</v>
      </c>
      <c r="W376" s="1">
        <v>21.99</v>
      </c>
      <c r="X376" s="1" t="s">
        <v>35</v>
      </c>
      <c r="Y376" s="1">
        <v>21990.0</v>
      </c>
      <c r="Z376" s="1"/>
      <c r="AA376" s="1">
        <v>21990</v>
      </c>
      <c r="AB376" s="1"/>
      <c r="AC376" s="1" t="s">
        <v>36</v>
      </c>
      <c r="AD376" s="1" t="s">
        <v>1558</v>
      </c>
      <c r="AE376" s="1" t="s">
        <v>32</v>
      </c>
      <c r="AF376" s="1" t="s">
        <v>33</v>
      </c>
      <c r="AG376" s="1" t="s">
        <v>174</v>
      </c>
    </row>
    <row r="377" spans="1:33">
      <c r="A377" t="s">
        <v>1559</v>
      </c>
      <c r="B377" t="s">
        <v>1560</v>
      </c>
      <c r="C377" t="s">
        <v>1561</v>
      </c>
      <c r="D377" t="s">
        <v>154</v>
      </c>
      <c r="E377" t="s">
        <v>1562</v>
      </c>
      <c r="F377" t="s">
        <v>634</v>
      </c>
      <c r="G377">
        <v>425.5</v>
      </c>
      <c r="H377">
        <v>425.5</v>
      </c>
      <c r="I377" t="s">
        <v>529</v>
      </c>
      <c r="J377" t="s">
        <v>530</v>
      </c>
      <c r="K377" t="s">
        <v>31</v>
      </c>
      <c r="L377" t="s">
        <v>32</v>
      </c>
      <c r="M377" t="s">
        <v>33</v>
      </c>
      <c r="P377" s="1" t="s">
        <v>1563</v>
      </c>
      <c r="Q377" s="1" t="s">
        <v>1562</v>
      </c>
      <c r="R377" s="1" t="s">
        <v>822</v>
      </c>
      <c r="S377" s="1"/>
      <c r="T377" s="1" t="s">
        <v>1564</v>
      </c>
      <c r="U377" s="1" t="s">
        <v>1565</v>
      </c>
      <c r="V377" s="1">
        <v>425.5</v>
      </c>
      <c r="W377" s="1">
        <v>425.5</v>
      </c>
      <c r="X377" s="1" t="s">
        <v>35</v>
      </c>
      <c r="Y377" s="1">
        <v>425500.0</v>
      </c>
      <c r="Z377" s="1"/>
      <c r="AA377" s="1">
        <v>425500</v>
      </c>
      <c r="AB377" s="1"/>
      <c r="AC377" s="1" t="s">
        <v>36</v>
      </c>
      <c r="AD377" s="1" t="s">
        <v>1291</v>
      </c>
      <c r="AE377" s="1" t="s">
        <v>32</v>
      </c>
      <c r="AF377" s="1" t="s">
        <v>33</v>
      </c>
      <c r="AG377" s="1" t="s">
        <v>530</v>
      </c>
    </row>
    <row r="378" spans="1:33">
      <c r="A378" t="s">
        <v>1566</v>
      </c>
      <c r="B378" t="s">
        <v>1567</v>
      </c>
      <c r="C378" t="s">
        <v>26</v>
      </c>
      <c r="E378" t="s">
        <v>1562</v>
      </c>
      <c r="F378" t="s">
        <v>1568</v>
      </c>
      <c r="G378">
        <v>29.265</v>
      </c>
      <c r="H378">
        <v>29.265</v>
      </c>
      <c r="I378" t="s">
        <v>29</v>
      </c>
      <c r="J378" t="s">
        <v>30</v>
      </c>
      <c r="K378" t="s">
        <v>31</v>
      </c>
      <c r="L378" t="s">
        <v>32</v>
      </c>
      <c r="M378" t="s">
        <v>33</v>
      </c>
      <c r="P378" s="1" t="s">
        <v>1569</v>
      </c>
      <c r="Q378" s="1" t="s">
        <v>1562</v>
      </c>
      <c r="R378" s="1" t="s">
        <v>1562</v>
      </c>
      <c r="S378" s="1"/>
      <c r="T378" s="1" t="s">
        <v>26</v>
      </c>
      <c r="U378" s="1"/>
      <c r="V378" s="1">
        <v>29.265</v>
      </c>
      <c r="W378" s="1">
        <v>29.265</v>
      </c>
      <c r="X378" s="1" t="s">
        <v>35</v>
      </c>
      <c r="Y378" s="1">
        <v>29265.0</v>
      </c>
      <c r="Z378" s="1"/>
      <c r="AA378" s="1">
        <v>29265</v>
      </c>
      <c r="AB378" s="1"/>
      <c r="AC378" s="1" t="s">
        <v>36</v>
      </c>
      <c r="AD378" s="1" t="s">
        <v>1570</v>
      </c>
      <c r="AE378" s="1" t="s">
        <v>32</v>
      </c>
      <c r="AF378" s="1" t="s">
        <v>33</v>
      </c>
      <c r="AG378" s="1" t="s">
        <v>30</v>
      </c>
    </row>
    <row r="379" spans="1:33">
      <c r="A379" t="s">
        <v>1571</v>
      </c>
      <c r="B379" t="s">
        <v>1572</v>
      </c>
      <c r="C379" t="s">
        <v>47</v>
      </c>
      <c r="E379" t="s">
        <v>1562</v>
      </c>
      <c r="F379" t="s">
        <v>1568</v>
      </c>
      <c r="G379">
        <v>17.79</v>
      </c>
      <c r="H379">
        <v>17.79</v>
      </c>
      <c r="I379" t="s">
        <v>48</v>
      </c>
      <c r="J379" t="s">
        <v>49</v>
      </c>
      <c r="K379" t="s">
        <v>31</v>
      </c>
      <c r="L379" t="s">
        <v>32</v>
      </c>
      <c r="M379" t="s">
        <v>33</v>
      </c>
      <c r="P379" s="1" t="s">
        <v>1573</v>
      </c>
      <c r="Q379" s="1" t="s">
        <v>1562</v>
      </c>
      <c r="R379" s="1" t="s">
        <v>1562</v>
      </c>
      <c r="S379" s="1"/>
      <c r="T379" s="1" t="s">
        <v>47</v>
      </c>
      <c r="U379" s="1"/>
      <c r="V379" s="1">
        <v>17.79</v>
      </c>
      <c r="W379" s="1">
        <v>17.79</v>
      </c>
      <c r="X379" s="1" t="s">
        <v>35</v>
      </c>
      <c r="Y379" s="1">
        <v>17790.0</v>
      </c>
      <c r="Z379" s="1"/>
      <c r="AA379" s="1">
        <v>17790</v>
      </c>
      <c r="AB379" s="1"/>
      <c r="AC379" s="1" t="s">
        <v>36</v>
      </c>
      <c r="AD379" s="1" t="s">
        <v>1574</v>
      </c>
      <c r="AE379" s="1" t="s">
        <v>32</v>
      </c>
      <c r="AF379" s="1" t="s">
        <v>33</v>
      </c>
      <c r="AG379" s="1" t="s">
        <v>49</v>
      </c>
    </row>
    <row r="380" spans="1:33">
      <c r="A380" t="s">
        <v>1575</v>
      </c>
      <c r="B380" t="s">
        <v>1576</v>
      </c>
      <c r="C380" t="s">
        <v>47</v>
      </c>
      <c r="E380" t="s">
        <v>1562</v>
      </c>
      <c r="F380" t="s">
        <v>1568</v>
      </c>
      <c r="G380">
        <v>39.78</v>
      </c>
      <c r="H380">
        <v>39.78</v>
      </c>
      <c r="I380" t="s">
        <v>48</v>
      </c>
      <c r="J380" t="s">
        <v>49</v>
      </c>
      <c r="K380" t="s">
        <v>31</v>
      </c>
      <c r="L380" t="s">
        <v>32</v>
      </c>
      <c r="M380" t="s">
        <v>33</v>
      </c>
      <c r="P380" s="1" t="s">
        <v>1577</v>
      </c>
      <c r="Q380" s="1" t="s">
        <v>1562</v>
      </c>
      <c r="R380" s="1" t="s">
        <v>1562</v>
      </c>
      <c r="S380" s="1"/>
      <c r="T380" s="1" t="s">
        <v>47</v>
      </c>
      <c r="U380" s="1"/>
      <c r="V380" s="1">
        <v>39.78</v>
      </c>
      <c r="W380" s="1">
        <v>39.78</v>
      </c>
      <c r="X380" s="1" t="s">
        <v>35</v>
      </c>
      <c r="Y380" s="1">
        <v>39780.0</v>
      </c>
      <c r="Z380" s="1"/>
      <c r="AA380" s="1">
        <v>39780</v>
      </c>
      <c r="AB380" s="1"/>
      <c r="AC380" s="1" t="s">
        <v>36</v>
      </c>
      <c r="AD380" s="1" t="s">
        <v>1578</v>
      </c>
      <c r="AE380" s="1" t="s">
        <v>32</v>
      </c>
      <c r="AF380" s="1" t="s">
        <v>33</v>
      </c>
      <c r="AG380" s="1" t="s">
        <v>49</v>
      </c>
    </row>
    <row r="381" spans="1:33">
      <c r="A381" t="s">
        <v>1579</v>
      </c>
      <c r="B381" t="s">
        <v>735</v>
      </c>
      <c r="C381" t="s">
        <v>736</v>
      </c>
      <c r="E381" t="s">
        <v>1562</v>
      </c>
      <c r="F381" t="s">
        <v>1568</v>
      </c>
      <c r="G381">
        <v>370.0</v>
      </c>
      <c r="H381">
        <v>370.0</v>
      </c>
      <c r="I381" t="s">
        <v>59</v>
      </c>
      <c r="J381" t="s">
        <v>60</v>
      </c>
      <c r="K381" t="s">
        <v>31</v>
      </c>
      <c r="L381" t="s">
        <v>32</v>
      </c>
      <c r="M381" t="s">
        <v>33</v>
      </c>
      <c r="P381" s="1" t="s">
        <v>1580</v>
      </c>
      <c r="Q381" s="1" t="s">
        <v>1562</v>
      </c>
      <c r="R381" s="1" t="s">
        <v>1562</v>
      </c>
      <c r="S381" s="1"/>
      <c r="T381" s="1" t="s">
        <v>736</v>
      </c>
      <c r="U381" s="1"/>
      <c r="V381" s="1">
        <v>370.0</v>
      </c>
      <c r="W381" s="1">
        <v>370.0</v>
      </c>
      <c r="X381" s="1" t="s">
        <v>35</v>
      </c>
      <c r="Y381" s="1">
        <v>370000.0</v>
      </c>
      <c r="Z381" s="1"/>
      <c r="AA381" s="1">
        <v>370000</v>
      </c>
      <c r="AB381" s="1"/>
      <c r="AC381" s="1" t="s">
        <v>36</v>
      </c>
      <c r="AD381" s="1" t="s">
        <v>1581</v>
      </c>
      <c r="AE381" s="1" t="s">
        <v>32</v>
      </c>
      <c r="AF381" s="1" t="s">
        <v>33</v>
      </c>
      <c r="AG381" s="1" t="s">
        <v>60</v>
      </c>
    </row>
    <row r="382" spans="1:33">
      <c r="A382" t="s">
        <v>1582</v>
      </c>
      <c r="B382" t="s">
        <v>1583</v>
      </c>
      <c r="C382" t="s">
        <v>47</v>
      </c>
      <c r="E382" t="s">
        <v>1562</v>
      </c>
      <c r="F382" t="s">
        <v>1568</v>
      </c>
      <c r="G382">
        <v>43.98</v>
      </c>
      <c r="H382">
        <v>43.98</v>
      </c>
      <c r="I382" t="s">
        <v>48</v>
      </c>
      <c r="J382" t="s">
        <v>49</v>
      </c>
      <c r="K382" t="s">
        <v>31</v>
      </c>
      <c r="L382" t="s">
        <v>32</v>
      </c>
      <c r="M382" t="s">
        <v>33</v>
      </c>
      <c r="P382" s="1" t="s">
        <v>1584</v>
      </c>
      <c r="Q382" s="1" t="s">
        <v>1562</v>
      </c>
      <c r="R382" s="1" t="s">
        <v>1562</v>
      </c>
      <c r="S382" s="1"/>
      <c r="T382" s="1" t="s">
        <v>47</v>
      </c>
      <c r="U382" s="1"/>
      <c r="V382" s="1">
        <v>43.98</v>
      </c>
      <c r="W382" s="1">
        <v>43.98</v>
      </c>
      <c r="X382" s="1" t="s">
        <v>35</v>
      </c>
      <c r="Y382" s="1">
        <v>43980.0</v>
      </c>
      <c r="Z382" s="1"/>
      <c r="AA382" s="1">
        <v>43980</v>
      </c>
      <c r="AB382" s="1"/>
      <c r="AC382" s="1" t="s">
        <v>36</v>
      </c>
      <c r="AD382" s="1" t="s">
        <v>1585</v>
      </c>
      <c r="AE382" s="1" t="s">
        <v>32</v>
      </c>
      <c r="AF382" s="1" t="s">
        <v>33</v>
      </c>
      <c r="AG382" s="1" t="s">
        <v>49</v>
      </c>
    </row>
    <row r="383" spans="1:33">
      <c r="A383" t="s">
        <v>1586</v>
      </c>
      <c r="C383" t="s">
        <v>1587</v>
      </c>
      <c r="D383" t="s">
        <v>154</v>
      </c>
      <c r="E383" t="s">
        <v>1562</v>
      </c>
      <c r="F383" t="s">
        <v>1568</v>
      </c>
      <c r="G383">
        <v>3.147</v>
      </c>
      <c r="H383">
        <v>3.147</v>
      </c>
      <c r="I383" t="s">
        <v>48</v>
      </c>
      <c r="J383" t="s">
        <v>49</v>
      </c>
      <c r="K383" t="s">
        <v>31</v>
      </c>
      <c r="L383" t="s">
        <v>32</v>
      </c>
      <c r="M383" t="s">
        <v>33</v>
      </c>
      <c r="P383" s="1" t="s">
        <v>1588</v>
      </c>
      <c r="Q383" s="1" t="s">
        <v>1562</v>
      </c>
      <c r="R383" s="1" t="s">
        <v>1562</v>
      </c>
      <c r="S383" s="1"/>
      <c r="T383" s="1" t="s">
        <v>1587</v>
      </c>
      <c r="U383" s="1"/>
      <c r="V383" s="1">
        <v>3.147</v>
      </c>
      <c r="W383" s="1">
        <v>3.147</v>
      </c>
      <c r="X383" s="1" t="s">
        <v>35</v>
      </c>
      <c r="Y383" s="1">
        <v>3147250.0</v>
      </c>
      <c r="Z383" s="1"/>
      <c r="AA383" s="1">
        <v>3147250</v>
      </c>
      <c r="AB383" s="1"/>
      <c r="AC383" s="1" t="s">
        <v>36</v>
      </c>
      <c r="AD383" s="1" t="s">
        <v>1589</v>
      </c>
      <c r="AE383" s="1" t="s">
        <v>32</v>
      </c>
      <c r="AF383" s="1" t="s">
        <v>33</v>
      </c>
      <c r="AG383" s="1" t="s">
        <v>49</v>
      </c>
    </row>
    <row r="384" spans="1:33">
      <c r="A384" t="s">
        <v>1590</v>
      </c>
      <c r="B384" t="s">
        <v>886</v>
      </c>
      <c r="C384" t="s">
        <v>887</v>
      </c>
      <c r="E384" t="s">
        <v>1562</v>
      </c>
      <c r="F384" t="s">
        <v>1568</v>
      </c>
      <c r="G384">
        <v>420.0</v>
      </c>
      <c r="H384">
        <v>420.0</v>
      </c>
      <c r="I384" t="s">
        <v>29</v>
      </c>
      <c r="J384" t="s">
        <v>30</v>
      </c>
      <c r="K384" t="s">
        <v>31</v>
      </c>
      <c r="L384" t="s">
        <v>32</v>
      </c>
      <c r="M384" t="s">
        <v>33</v>
      </c>
      <c r="P384" s="1" t="s">
        <v>1591</v>
      </c>
      <c r="Q384" s="1" t="s">
        <v>1562</v>
      </c>
      <c r="R384" s="1" t="s">
        <v>1562</v>
      </c>
      <c r="S384" s="1"/>
      <c r="T384" s="1" t="s">
        <v>887</v>
      </c>
      <c r="U384" s="1"/>
      <c r="V384" s="1">
        <v>420.0</v>
      </c>
      <c r="W384" s="1">
        <v>420.0</v>
      </c>
      <c r="X384" s="1" t="s">
        <v>35</v>
      </c>
      <c r="Y384" s="1">
        <v>498930.0</v>
      </c>
      <c r="Z384" s="1">
        <v>-78930</v>
      </c>
      <c r="AA384" s="1">
        <v>498930</v>
      </c>
      <c r="AB384" s="1">
        <v>-78930</v>
      </c>
      <c r="AC384" s="1" t="s">
        <v>36</v>
      </c>
      <c r="AD384" s="1" t="s">
        <v>1592</v>
      </c>
      <c r="AE384" s="1" t="s">
        <v>32</v>
      </c>
      <c r="AF384" s="1" t="s">
        <v>33</v>
      </c>
      <c r="AG384" s="1" t="s">
        <v>30</v>
      </c>
    </row>
    <row r="385" spans="1:33">
      <c r="A385" t="s">
        <v>1593</v>
      </c>
      <c r="C385" t="s">
        <v>1594</v>
      </c>
      <c r="E385" t="s">
        <v>1562</v>
      </c>
      <c r="F385" t="s">
        <v>1568</v>
      </c>
      <c r="G385">
        <v>384.75</v>
      </c>
      <c r="H385">
        <v>384.75</v>
      </c>
      <c r="I385" t="s">
        <v>179</v>
      </c>
      <c r="J385" t="s">
        <v>180</v>
      </c>
      <c r="K385" t="s">
        <v>31</v>
      </c>
      <c r="L385" t="s">
        <v>32</v>
      </c>
      <c r="M385" t="s">
        <v>33</v>
      </c>
      <c r="P385" s="1" t="s">
        <v>1595</v>
      </c>
      <c r="Q385" s="1" t="s">
        <v>1562</v>
      </c>
      <c r="R385" s="1" t="s">
        <v>1562</v>
      </c>
      <c r="S385" s="1"/>
      <c r="T385" s="1" t="s">
        <v>1594</v>
      </c>
      <c r="U385" s="1"/>
      <c r="V385" s="1">
        <v>384.75</v>
      </c>
      <c r="W385" s="1">
        <v>384.75</v>
      </c>
      <c r="X385" s="1" t="s">
        <v>35</v>
      </c>
      <c r="Y385" s="1">
        <v>384750.0</v>
      </c>
      <c r="Z385" s="1"/>
      <c r="AA385" s="1">
        <v>384750</v>
      </c>
      <c r="AB385" s="1"/>
      <c r="AC385" s="1" t="s">
        <v>36</v>
      </c>
      <c r="AD385" s="1" t="s">
        <v>1596</v>
      </c>
      <c r="AE385" s="1" t="s">
        <v>32</v>
      </c>
      <c r="AF385" s="1" t="s">
        <v>33</v>
      </c>
      <c r="AG385" s="1" t="s">
        <v>180</v>
      </c>
    </row>
    <row r="386" spans="1:33">
      <c r="A386" t="s">
        <v>1597</v>
      </c>
      <c r="B386" t="s">
        <v>1598</v>
      </c>
      <c r="C386" t="s">
        <v>827</v>
      </c>
      <c r="D386" t="s">
        <v>154</v>
      </c>
      <c r="E386" t="s">
        <v>1562</v>
      </c>
      <c r="F386" t="s">
        <v>1568</v>
      </c>
      <c r="G386">
        <v>1.073</v>
      </c>
      <c r="H386">
        <v>1.073</v>
      </c>
      <c r="I386" t="s">
        <v>529</v>
      </c>
      <c r="J386" t="s">
        <v>530</v>
      </c>
      <c r="K386" t="s">
        <v>31</v>
      </c>
      <c r="L386" t="s">
        <v>32</v>
      </c>
      <c r="M386" t="s">
        <v>33</v>
      </c>
      <c r="P386" s="1" t="s">
        <v>1599</v>
      </c>
      <c r="Q386" s="1" t="s">
        <v>1562</v>
      </c>
      <c r="R386" s="1" t="s">
        <v>822</v>
      </c>
      <c r="S386" s="1"/>
      <c r="T386" s="1" t="s">
        <v>827</v>
      </c>
      <c r="U386" s="1"/>
      <c r="V386" s="1">
        <v>1.073</v>
      </c>
      <c r="W386" s="1">
        <v>1.073</v>
      </c>
      <c r="X386" s="1" t="s">
        <v>35</v>
      </c>
      <c r="Y386" s="1">
        <v>1073300.0</v>
      </c>
      <c r="Z386" s="1"/>
      <c r="AA386" s="1">
        <v>1073300</v>
      </c>
      <c r="AB386" s="1"/>
      <c r="AC386" s="1" t="s">
        <v>36</v>
      </c>
      <c r="AD386" s="1" t="s">
        <v>1600</v>
      </c>
      <c r="AE386" s="1" t="s">
        <v>32</v>
      </c>
      <c r="AF386" s="1" t="s">
        <v>33</v>
      </c>
      <c r="AG386" s="1" t="s">
        <v>530</v>
      </c>
    </row>
    <row r="387" spans="1:33">
      <c r="A387" t="s">
        <v>1601</v>
      </c>
      <c r="B387" t="s">
        <v>1602</v>
      </c>
      <c r="C387" t="s">
        <v>906</v>
      </c>
      <c r="E387" t="s">
        <v>1562</v>
      </c>
      <c r="F387" t="s">
        <v>1568</v>
      </c>
      <c r="G387">
        <v>78.04</v>
      </c>
      <c r="H387">
        <v>78.04</v>
      </c>
      <c r="I387" t="s">
        <v>847</v>
      </c>
      <c r="J387" t="s">
        <v>848</v>
      </c>
      <c r="K387" t="s">
        <v>31</v>
      </c>
      <c r="L387" t="s">
        <v>32</v>
      </c>
      <c r="M387" t="s">
        <v>33</v>
      </c>
      <c r="P387" s="1" t="s">
        <v>1603</v>
      </c>
      <c r="Q387" s="1" t="s">
        <v>1562</v>
      </c>
      <c r="R387" s="1" t="s">
        <v>1562</v>
      </c>
      <c r="S387" s="1"/>
      <c r="T387" s="1" t="s">
        <v>906</v>
      </c>
      <c r="U387" s="1"/>
      <c r="V387" s="1">
        <v>78.04</v>
      </c>
      <c r="W387" s="1">
        <v>78.04</v>
      </c>
      <c r="X387" s="1" t="s">
        <v>35</v>
      </c>
      <c r="Y387" s="1">
        <v>78040.0</v>
      </c>
      <c r="Z387" s="1"/>
      <c r="AA387" s="1">
        <v>78040</v>
      </c>
      <c r="AB387" s="1"/>
      <c r="AC387" s="1" t="s">
        <v>36</v>
      </c>
      <c r="AD387" s="1" t="s">
        <v>1604</v>
      </c>
      <c r="AE387" s="1" t="s">
        <v>32</v>
      </c>
      <c r="AF387" s="1" t="s">
        <v>33</v>
      </c>
      <c r="AG387" s="1" t="s">
        <v>848</v>
      </c>
    </row>
    <row r="388" spans="1:33">
      <c r="A388" t="s">
        <v>1605</v>
      </c>
      <c r="B388" t="s">
        <v>1606</v>
      </c>
      <c r="C388" t="s">
        <v>125</v>
      </c>
      <c r="E388" t="s">
        <v>1562</v>
      </c>
      <c r="F388" t="s">
        <v>1568</v>
      </c>
      <c r="G388">
        <v>6.499</v>
      </c>
      <c r="H388">
        <v>6.499</v>
      </c>
      <c r="I388" t="s">
        <v>126</v>
      </c>
      <c r="J388" t="s">
        <v>127</v>
      </c>
      <c r="K388" t="s">
        <v>31</v>
      </c>
      <c r="L388" t="s">
        <v>32</v>
      </c>
      <c r="M388" t="s">
        <v>33</v>
      </c>
      <c r="P388" s="1" t="s">
        <v>1607</v>
      </c>
      <c r="Q388" s="1" t="s">
        <v>1562</v>
      </c>
      <c r="R388" s="1" t="s">
        <v>1562</v>
      </c>
      <c r="S388" s="1"/>
      <c r="T388" s="1" t="s">
        <v>125</v>
      </c>
      <c r="U388" s="1"/>
      <c r="V388" s="1">
        <v>6.499</v>
      </c>
      <c r="W388" s="1">
        <v>6.499</v>
      </c>
      <c r="X388" s="1" t="s">
        <v>35</v>
      </c>
      <c r="Y388" s="1">
        <v>6499.0</v>
      </c>
      <c r="Z388" s="1"/>
      <c r="AA388" s="1">
        <v>6499</v>
      </c>
      <c r="AB388" s="1"/>
      <c r="AC388" s="1" t="s">
        <v>36</v>
      </c>
      <c r="AD388" s="1" t="s">
        <v>1596</v>
      </c>
      <c r="AE388" s="1" t="s">
        <v>32</v>
      </c>
      <c r="AF388" s="1" t="s">
        <v>33</v>
      </c>
      <c r="AG388" s="1" t="s">
        <v>127</v>
      </c>
    </row>
    <row r="389" spans="1:33">
      <c r="A389" t="s">
        <v>1608</v>
      </c>
      <c r="B389" t="s">
        <v>1609</v>
      </c>
      <c r="C389" t="s">
        <v>906</v>
      </c>
      <c r="E389" t="s">
        <v>1562</v>
      </c>
      <c r="F389" t="s">
        <v>1568</v>
      </c>
      <c r="G389">
        <v>1.264</v>
      </c>
      <c r="H389">
        <v>1.264</v>
      </c>
      <c r="I389" t="s">
        <v>847</v>
      </c>
      <c r="J389" t="s">
        <v>848</v>
      </c>
      <c r="K389" t="s">
        <v>31</v>
      </c>
      <c r="L389" t="s">
        <v>32</v>
      </c>
      <c r="M389" t="s">
        <v>33</v>
      </c>
      <c r="P389" s="1" t="s">
        <v>1610</v>
      </c>
      <c r="Q389" s="1" t="s">
        <v>1562</v>
      </c>
      <c r="R389" s="1" t="s">
        <v>1562</v>
      </c>
      <c r="S389" s="1"/>
      <c r="T389" s="1" t="s">
        <v>906</v>
      </c>
      <c r="U389" s="1"/>
      <c r="V389" s="1">
        <v>1.264</v>
      </c>
      <c r="W389" s="1">
        <v>1.264</v>
      </c>
      <c r="X389" s="1" t="s">
        <v>35</v>
      </c>
      <c r="Y389" s="1">
        <v>1264.0</v>
      </c>
      <c r="Z389" s="1"/>
      <c r="AA389" s="1">
        <v>1264</v>
      </c>
      <c r="AB389" s="1"/>
      <c r="AC389" s="1" t="s">
        <v>36</v>
      </c>
      <c r="AD389" s="1" t="s">
        <v>1611</v>
      </c>
      <c r="AE389" s="1" t="s">
        <v>32</v>
      </c>
      <c r="AF389" s="1" t="s">
        <v>33</v>
      </c>
      <c r="AG389" s="1" t="s">
        <v>848</v>
      </c>
    </row>
    <row r="390" spans="1:33">
      <c r="A390" t="s">
        <v>1612</v>
      </c>
      <c r="B390" t="s">
        <v>1613</v>
      </c>
      <c r="C390" t="s">
        <v>569</v>
      </c>
      <c r="E390" t="s">
        <v>1562</v>
      </c>
      <c r="F390" t="s">
        <v>1568</v>
      </c>
      <c r="G390">
        <v>8.0</v>
      </c>
      <c r="H390">
        <v>8.0</v>
      </c>
      <c r="I390" t="s">
        <v>570</v>
      </c>
      <c r="J390" t="s">
        <v>571</v>
      </c>
      <c r="K390" t="s">
        <v>31</v>
      </c>
      <c r="L390" t="s">
        <v>32</v>
      </c>
      <c r="M390" t="s">
        <v>33</v>
      </c>
      <c r="P390" s="1" t="s">
        <v>1614</v>
      </c>
      <c r="Q390" s="1" t="s">
        <v>1562</v>
      </c>
      <c r="R390" s="1" t="s">
        <v>1562</v>
      </c>
      <c r="S390" s="1"/>
      <c r="T390" s="1" t="s">
        <v>569</v>
      </c>
      <c r="U390" s="1"/>
      <c r="V390" s="1">
        <v>8.0</v>
      </c>
      <c r="W390" s="1">
        <v>8.0</v>
      </c>
      <c r="X390" s="1" t="s">
        <v>35</v>
      </c>
      <c r="Y390" s="1">
        <v>8000.0</v>
      </c>
      <c r="Z390" s="1"/>
      <c r="AA390" s="1">
        <v>8000</v>
      </c>
      <c r="AB390" s="1"/>
      <c r="AC390" s="1" t="s">
        <v>36</v>
      </c>
      <c r="AD390" s="1" t="s">
        <v>1615</v>
      </c>
      <c r="AE390" s="1" t="s">
        <v>32</v>
      </c>
      <c r="AF390" s="1" t="s">
        <v>33</v>
      </c>
      <c r="AG390" s="1" t="s">
        <v>571</v>
      </c>
    </row>
    <row r="391" spans="1:33">
      <c r="A391" t="s">
        <v>1616</v>
      </c>
      <c r="C391" t="s">
        <v>1617</v>
      </c>
      <c r="E391" t="s">
        <v>1562</v>
      </c>
      <c r="F391" t="s">
        <v>1568</v>
      </c>
      <c r="G391">
        <v>741.4</v>
      </c>
      <c r="H391">
        <v>741.4</v>
      </c>
      <c r="I391" t="s">
        <v>847</v>
      </c>
      <c r="J391" t="s">
        <v>848</v>
      </c>
      <c r="K391" t="s">
        <v>31</v>
      </c>
      <c r="L391" t="s">
        <v>32</v>
      </c>
      <c r="M391" t="s">
        <v>33</v>
      </c>
      <c r="P391" s="1" t="s">
        <v>1618</v>
      </c>
      <c r="Q391" s="1" t="s">
        <v>1562</v>
      </c>
      <c r="R391" s="1" t="s">
        <v>1562</v>
      </c>
      <c r="S391" s="1"/>
      <c r="T391" s="1" t="s">
        <v>1617</v>
      </c>
      <c r="U391" s="1"/>
      <c r="V391" s="1">
        <v>741.4</v>
      </c>
      <c r="W391" s="1">
        <v>741.4</v>
      </c>
      <c r="X391" s="1" t="s">
        <v>35</v>
      </c>
      <c r="Y391" s="1">
        <v>741400.0</v>
      </c>
      <c r="Z391" s="1"/>
      <c r="AA391" s="1">
        <v>741400</v>
      </c>
      <c r="AB391" s="1"/>
      <c r="AC391" s="1" t="s">
        <v>36</v>
      </c>
      <c r="AD391" s="1" t="s">
        <v>1619</v>
      </c>
      <c r="AE391" s="1" t="s">
        <v>32</v>
      </c>
      <c r="AF391" s="1" t="s">
        <v>33</v>
      </c>
      <c r="AG391" s="1" t="s">
        <v>848</v>
      </c>
    </row>
    <row r="392" spans="1:33">
      <c r="A392" t="s">
        <v>1620</v>
      </c>
      <c r="C392" t="s">
        <v>131</v>
      </c>
      <c r="E392" t="s">
        <v>1562</v>
      </c>
      <c r="F392" t="s">
        <v>1568</v>
      </c>
      <c r="G392">
        <v>32.99</v>
      </c>
      <c r="H392">
        <v>32.99</v>
      </c>
      <c r="I392" t="s">
        <v>94</v>
      </c>
      <c r="J392" t="s">
        <v>95</v>
      </c>
      <c r="K392" t="s">
        <v>31</v>
      </c>
      <c r="L392" t="s">
        <v>32</v>
      </c>
      <c r="M392" t="s">
        <v>33</v>
      </c>
      <c r="P392" s="1" t="s">
        <v>1621</v>
      </c>
      <c r="Q392" s="1" t="s">
        <v>1562</v>
      </c>
      <c r="R392" s="1" t="s">
        <v>1562</v>
      </c>
      <c r="S392" s="1"/>
      <c r="T392" s="1" t="s">
        <v>131</v>
      </c>
      <c r="U392" s="1"/>
      <c r="V392" s="1">
        <v>32.99</v>
      </c>
      <c r="W392" s="1">
        <v>32.99</v>
      </c>
      <c r="X392" s="1" t="s">
        <v>35</v>
      </c>
      <c r="Y392" s="1">
        <v>32990.0</v>
      </c>
      <c r="Z392" s="1"/>
      <c r="AA392" s="1">
        <v>32990</v>
      </c>
      <c r="AB392" s="1"/>
      <c r="AC392" s="1" t="s">
        <v>36</v>
      </c>
      <c r="AD392" s="1" t="s">
        <v>1622</v>
      </c>
      <c r="AE392" s="1" t="s">
        <v>32</v>
      </c>
      <c r="AF392" s="1" t="s">
        <v>33</v>
      </c>
      <c r="AG392" s="1" t="s">
        <v>95</v>
      </c>
    </row>
    <row r="393" spans="1:33">
      <c r="A393" t="s">
        <v>1623</v>
      </c>
      <c r="B393" t="s">
        <v>1624</v>
      </c>
      <c r="C393" t="s">
        <v>1625</v>
      </c>
      <c r="E393" t="s">
        <v>1562</v>
      </c>
      <c r="F393" t="s">
        <v>1568</v>
      </c>
      <c r="G393">
        <v>465.5</v>
      </c>
      <c r="H393">
        <v>465.5</v>
      </c>
      <c r="I393" t="s">
        <v>529</v>
      </c>
      <c r="J393" t="s">
        <v>530</v>
      </c>
      <c r="K393" t="s">
        <v>31</v>
      </c>
      <c r="L393" t="s">
        <v>32</v>
      </c>
      <c r="M393" t="s">
        <v>33</v>
      </c>
      <c r="P393" s="1" t="s">
        <v>1626</v>
      </c>
      <c r="Q393" s="1" t="s">
        <v>1562</v>
      </c>
      <c r="R393" s="1" t="s">
        <v>822</v>
      </c>
      <c r="S393" s="1"/>
      <c r="T393" s="1" t="s">
        <v>1625</v>
      </c>
      <c r="U393" s="1"/>
      <c r="V393" s="1">
        <v>465.5</v>
      </c>
      <c r="W393" s="1">
        <v>465.5</v>
      </c>
      <c r="X393" s="1" t="s">
        <v>35</v>
      </c>
      <c r="Y393" s="1">
        <v>465500.0</v>
      </c>
      <c r="Z393" s="1"/>
      <c r="AA393" s="1">
        <v>465500</v>
      </c>
      <c r="AB393" s="1"/>
      <c r="AC393" s="1" t="s">
        <v>36</v>
      </c>
      <c r="AD393" s="1" t="s">
        <v>1627</v>
      </c>
      <c r="AE393" s="1" t="s">
        <v>32</v>
      </c>
      <c r="AF393" s="1" t="s">
        <v>33</v>
      </c>
      <c r="AG393" s="1" t="s">
        <v>530</v>
      </c>
    </row>
    <row r="394" spans="1:33">
      <c r="A394" t="s">
        <v>1628</v>
      </c>
      <c r="B394" t="s">
        <v>1629</v>
      </c>
      <c r="C394" t="s">
        <v>172</v>
      </c>
      <c r="E394" t="s">
        <v>1562</v>
      </c>
      <c r="F394" t="s">
        <v>1568</v>
      </c>
      <c r="G394">
        <v>54.48</v>
      </c>
      <c r="H394">
        <v>54.48</v>
      </c>
      <c r="I394" t="s">
        <v>173</v>
      </c>
      <c r="J394" t="s">
        <v>174</v>
      </c>
      <c r="K394" t="s">
        <v>31</v>
      </c>
      <c r="L394" t="s">
        <v>32</v>
      </c>
      <c r="M394" t="s">
        <v>33</v>
      </c>
      <c r="P394" s="1" t="s">
        <v>1630</v>
      </c>
      <c r="Q394" s="1" t="s">
        <v>1562</v>
      </c>
      <c r="R394" s="1" t="s">
        <v>1562</v>
      </c>
      <c r="S394" s="1"/>
      <c r="T394" s="1" t="s">
        <v>172</v>
      </c>
      <c r="U394" s="1"/>
      <c r="V394" s="1">
        <v>54.48</v>
      </c>
      <c r="W394" s="1">
        <v>54.48</v>
      </c>
      <c r="X394" s="1" t="s">
        <v>35</v>
      </c>
      <c r="Y394" s="1">
        <v>54480.0</v>
      </c>
      <c r="Z394" s="1"/>
      <c r="AA394" s="1">
        <v>54480</v>
      </c>
      <c r="AB394" s="1"/>
      <c r="AC394" s="1" t="s">
        <v>36</v>
      </c>
      <c r="AD394" s="1" t="s">
        <v>1631</v>
      </c>
      <c r="AE394" s="1" t="s">
        <v>32</v>
      </c>
      <c r="AF394" s="1" t="s">
        <v>33</v>
      </c>
      <c r="AG394" s="1" t="s">
        <v>174</v>
      </c>
    </row>
    <row r="395" spans="1:33">
      <c r="A395" t="s">
        <v>1632</v>
      </c>
      <c r="B395" t="s">
        <v>1633</v>
      </c>
      <c r="C395" t="s">
        <v>414</v>
      </c>
      <c r="E395" t="s">
        <v>1562</v>
      </c>
      <c r="F395" t="s">
        <v>1568</v>
      </c>
      <c r="G395">
        <v>90.0</v>
      </c>
      <c r="H395">
        <v>90.0</v>
      </c>
      <c r="I395" t="s">
        <v>539</v>
      </c>
      <c r="J395" t="s">
        <v>540</v>
      </c>
      <c r="K395" t="s">
        <v>31</v>
      </c>
      <c r="L395" t="s">
        <v>32</v>
      </c>
      <c r="M395" t="s">
        <v>33</v>
      </c>
      <c r="P395" s="1" t="s">
        <v>1634</v>
      </c>
      <c r="Q395" s="1" t="s">
        <v>1562</v>
      </c>
      <c r="R395" s="1" t="s">
        <v>822</v>
      </c>
      <c r="S395" s="1"/>
      <c r="T395" s="1" t="s">
        <v>414</v>
      </c>
      <c r="U395" s="1"/>
      <c r="V395" s="1">
        <v>90.0</v>
      </c>
      <c r="W395" s="1">
        <v>90.0</v>
      </c>
      <c r="X395" s="1" t="s">
        <v>35</v>
      </c>
      <c r="Y395" s="1">
        <v>90000.0</v>
      </c>
      <c r="Z395" s="1"/>
      <c r="AA395" s="1">
        <v>90000</v>
      </c>
      <c r="AB395" s="1"/>
      <c r="AC395" s="1" t="s">
        <v>36</v>
      </c>
      <c r="AD395" s="1" t="s">
        <v>1635</v>
      </c>
      <c r="AE395" s="1" t="s">
        <v>1636</v>
      </c>
      <c r="AF395" s="1" t="s">
        <v>33</v>
      </c>
      <c r="AG395" s="1" t="s">
        <v>540</v>
      </c>
    </row>
    <row r="396" spans="1:33">
      <c r="A396" t="s">
        <v>1637</v>
      </c>
      <c r="B396" t="s">
        <v>1638</v>
      </c>
      <c r="C396" t="s">
        <v>125</v>
      </c>
      <c r="E396" t="s">
        <v>1562</v>
      </c>
      <c r="F396" t="s">
        <v>1568</v>
      </c>
      <c r="G396">
        <v>89.958</v>
      </c>
      <c r="H396">
        <v>89.958</v>
      </c>
      <c r="I396" t="s">
        <v>126</v>
      </c>
      <c r="J396" t="s">
        <v>127</v>
      </c>
      <c r="K396" t="s">
        <v>31</v>
      </c>
      <c r="L396" t="s">
        <v>32</v>
      </c>
      <c r="M396" t="s">
        <v>33</v>
      </c>
      <c r="P396" s="1" t="s">
        <v>1639</v>
      </c>
      <c r="Q396" s="1" t="s">
        <v>1562</v>
      </c>
      <c r="R396" s="1" t="s">
        <v>1562</v>
      </c>
      <c r="S396" s="1"/>
      <c r="T396" s="1" t="s">
        <v>125</v>
      </c>
      <c r="U396" s="1"/>
      <c r="V396" s="1">
        <v>89.958</v>
      </c>
      <c r="W396" s="1">
        <v>89.958</v>
      </c>
      <c r="X396" s="1" t="s">
        <v>35</v>
      </c>
      <c r="Y396" s="1">
        <v>89958.0</v>
      </c>
      <c r="Z396" s="1"/>
      <c r="AA396" s="1">
        <v>89958</v>
      </c>
      <c r="AB396" s="1"/>
      <c r="AC396" s="1" t="s">
        <v>36</v>
      </c>
      <c r="AD396" s="1" t="s">
        <v>1640</v>
      </c>
      <c r="AE396" s="1" t="s">
        <v>32</v>
      </c>
      <c r="AF396" s="1" t="s">
        <v>33</v>
      </c>
      <c r="AG396" s="1" t="s">
        <v>127</v>
      </c>
    </row>
    <row r="397" spans="1:33">
      <c r="A397" t="s">
        <v>1641</v>
      </c>
      <c r="C397" t="s">
        <v>1613</v>
      </c>
      <c r="E397" t="s">
        <v>1562</v>
      </c>
      <c r="F397" t="s">
        <v>1568</v>
      </c>
      <c r="G397">
        <v>329.5</v>
      </c>
      <c r="H397">
        <v>329.5</v>
      </c>
      <c r="I397" t="s">
        <v>570</v>
      </c>
      <c r="J397" t="s">
        <v>571</v>
      </c>
      <c r="K397" t="s">
        <v>31</v>
      </c>
      <c r="L397" t="s">
        <v>32</v>
      </c>
      <c r="M397" t="s">
        <v>33</v>
      </c>
      <c r="P397" s="1" t="s">
        <v>1642</v>
      </c>
      <c r="Q397" s="1" t="s">
        <v>1562</v>
      </c>
      <c r="R397" s="1" t="s">
        <v>1562</v>
      </c>
      <c r="S397" s="1"/>
      <c r="T397" s="1" t="s">
        <v>1613</v>
      </c>
      <c r="U397" s="1"/>
      <c r="V397" s="1">
        <v>329.5</v>
      </c>
      <c r="W397" s="1">
        <v>329.5</v>
      </c>
      <c r="X397" s="1" t="s">
        <v>35</v>
      </c>
      <c r="Y397" s="1">
        <v>329500.0</v>
      </c>
      <c r="Z397" s="1"/>
      <c r="AA397" s="1">
        <v>329500</v>
      </c>
      <c r="AB397" s="1"/>
      <c r="AC397" s="1" t="s">
        <v>36</v>
      </c>
      <c r="AD397" s="1" t="s">
        <v>1643</v>
      </c>
      <c r="AE397" s="1" t="s">
        <v>32</v>
      </c>
      <c r="AF397" s="1" t="s">
        <v>33</v>
      </c>
      <c r="AG397" s="1" t="s">
        <v>571</v>
      </c>
    </row>
    <row r="398" spans="1:33">
      <c r="A398" t="s">
        <v>1644</v>
      </c>
      <c r="B398" t="s">
        <v>1645</v>
      </c>
      <c r="C398" t="s">
        <v>414</v>
      </c>
      <c r="E398" t="s">
        <v>1562</v>
      </c>
      <c r="F398" t="s">
        <v>1568</v>
      </c>
      <c r="G398">
        <v>483.0</v>
      </c>
      <c r="H398">
        <v>483.0</v>
      </c>
      <c r="I398" t="s">
        <v>539</v>
      </c>
      <c r="J398" t="s">
        <v>540</v>
      </c>
      <c r="K398" t="s">
        <v>31</v>
      </c>
      <c r="L398" t="s">
        <v>32</v>
      </c>
      <c r="M398" t="s">
        <v>33</v>
      </c>
      <c r="P398" s="1" t="s">
        <v>1646</v>
      </c>
      <c r="Q398" s="1" t="s">
        <v>1562</v>
      </c>
      <c r="R398" s="1" t="s">
        <v>822</v>
      </c>
      <c r="S398" s="1"/>
      <c r="T398" s="1" t="s">
        <v>414</v>
      </c>
      <c r="U398" s="1"/>
      <c r="V398" s="1">
        <v>483.0</v>
      </c>
      <c r="W398" s="1">
        <v>483.0</v>
      </c>
      <c r="X398" s="1" t="s">
        <v>35</v>
      </c>
      <c r="Y398" s="1">
        <v>483000.0</v>
      </c>
      <c r="Z398" s="1"/>
      <c r="AA398" s="1">
        <v>483000</v>
      </c>
      <c r="AB398" s="1"/>
      <c r="AC398" s="1" t="s">
        <v>36</v>
      </c>
      <c r="AD398" s="1" t="s">
        <v>1647</v>
      </c>
      <c r="AE398" s="1" t="s">
        <v>32</v>
      </c>
      <c r="AF398" s="1" t="s">
        <v>33</v>
      </c>
      <c r="AG398" s="1" t="s">
        <v>540</v>
      </c>
    </row>
    <row r="399" spans="1:33">
      <c r="A399" t="s">
        <v>1648</v>
      </c>
      <c r="B399" t="s">
        <v>1649</v>
      </c>
      <c r="C399" t="s">
        <v>1408</v>
      </c>
      <c r="E399" t="s">
        <v>1562</v>
      </c>
      <c r="F399" t="s">
        <v>1568</v>
      </c>
      <c r="G399">
        <v>696.3</v>
      </c>
      <c r="H399">
        <v>696.3</v>
      </c>
      <c r="I399" t="s">
        <v>529</v>
      </c>
      <c r="J399" t="s">
        <v>530</v>
      </c>
      <c r="K399" t="s">
        <v>31</v>
      </c>
      <c r="L399" t="s">
        <v>32</v>
      </c>
      <c r="M399" t="s">
        <v>33</v>
      </c>
      <c r="P399" s="1" t="s">
        <v>1650</v>
      </c>
      <c r="Q399" s="1" t="s">
        <v>1562</v>
      </c>
      <c r="R399" s="1" t="s">
        <v>822</v>
      </c>
      <c r="S399" s="1"/>
      <c r="T399" s="1" t="s">
        <v>1408</v>
      </c>
      <c r="U399" s="1"/>
      <c r="V399" s="1">
        <v>696.3</v>
      </c>
      <c r="W399" s="1">
        <v>696.3</v>
      </c>
      <c r="X399" s="1" t="s">
        <v>35</v>
      </c>
      <c r="Y399" s="1">
        <v>696300.0</v>
      </c>
      <c r="Z399" s="1"/>
      <c r="AA399" s="1">
        <v>696300</v>
      </c>
      <c r="AB399" s="1"/>
      <c r="AC399" s="1" t="s">
        <v>36</v>
      </c>
      <c r="AD399" s="1" t="s">
        <v>1647</v>
      </c>
      <c r="AE399" s="1" t="s">
        <v>32</v>
      </c>
      <c r="AF399" s="1" t="s">
        <v>33</v>
      </c>
      <c r="AG399" s="1" t="s">
        <v>530</v>
      </c>
    </row>
    <row r="400" spans="1:33">
      <c r="A400" t="s">
        <v>1651</v>
      </c>
      <c r="C400" t="s">
        <v>1652</v>
      </c>
      <c r="D400" t="s">
        <v>114</v>
      </c>
      <c r="E400" t="s">
        <v>1562</v>
      </c>
      <c r="F400" t="s">
        <v>1568</v>
      </c>
      <c r="G400">
        <v>221.0</v>
      </c>
      <c r="H400">
        <v>221.0</v>
      </c>
      <c r="I400" t="s">
        <v>94</v>
      </c>
      <c r="J400" t="s">
        <v>95</v>
      </c>
      <c r="K400" t="s">
        <v>31</v>
      </c>
      <c r="L400" t="s">
        <v>32</v>
      </c>
      <c r="M400" t="s">
        <v>33</v>
      </c>
      <c r="P400" s="1" t="s">
        <v>1653</v>
      </c>
      <c r="Q400" s="1" t="s">
        <v>1562</v>
      </c>
      <c r="R400" s="1" t="s">
        <v>1562</v>
      </c>
      <c r="S400" s="1"/>
      <c r="T400" s="1" t="s">
        <v>1652</v>
      </c>
      <c r="U400" s="1"/>
      <c r="V400" s="1">
        <v>221.0</v>
      </c>
      <c r="W400" s="1">
        <v>221.0</v>
      </c>
      <c r="X400" s="1" t="s">
        <v>35</v>
      </c>
      <c r="Y400" s="1">
        <v>221000.0</v>
      </c>
      <c r="Z400" s="1"/>
      <c r="AA400" s="1">
        <v>221000</v>
      </c>
      <c r="AB400" s="1"/>
      <c r="AC400" s="1" t="s">
        <v>36</v>
      </c>
      <c r="AD400" s="1" t="s">
        <v>1654</v>
      </c>
      <c r="AE400" s="1" t="s">
        <v>32</v>
      </c>
      <c r="AF400" s="1" t="s">
        <v>33</v>
      </c>
      <c r="AG400" s="1" t="s">
        <v>95</v>
      </c>
    </row>
    <row r="401" spans="1:33">
      <c r="A401" t="s">
        <v>1655</v>
      </c>
      <c r="B401" t="s">
        <v>1656</v>
      </c>
      <c r="C401" t="s">
        <v>135</v>
      </c>
      <c r="E401" t="s">
        <v>1562</v>
      </c>
      <c r="F401" t="s">
        <v>1568</v>
      </c>
      <c r="G401">
        <v>130.55</v>
      </c>
      <c r="H401">
        <v>130.55</v>
      </c>
      <c r="I401" t="s">
        <v>136</v>
      </c>
      <c r="J401" t="s">
        <v>137</v>
      </c>
      <c r="K401" t="s">
        <v>31</v>
      </c>
      <c r="L401" t="s">
        <v>32</v>
      </c>
      <c r="M401" t="s">
        <v>33</v>
      </c>
      <c r="P401" s="1" t="s">
        <v>1657</v>
      </c>
      <c r="Q401" s="1" t="s">
        <v>1562</v>
      </c>
      <c r="R401" s="1" t="s">
        <v>1562</v>
      </c>
      <c r="S401" s="1"/>
      <c r="T401" s="1" t="s">
        <v>135</v>
      </c>
      <c r="U401" s="1"/>
      <c r="V401" s="1">
        <v>130.55</v>
      </c>
      <c r="W401" s="1">
        <v>130.55</v>
      </c>
      <c r="X401" s="1" t="s">
        <v>35</v>
      </c>
      <c r="Y401" s="1">
        <v>130550.0</v>
      </c>
      <c r="Z401" s="1"/>
      <c r="AA401" s="1">
        <v>130550</v>
      </c>
      <c r="AB401" s="1"/>
      <c r="AC401" s="1" t="s">
        <v>36</v>
      </c>
      <c r="AD401" s="1" t="s">
        <v>1658</v>
      </c>
      <c r="AE401" s="1" t="s">
        <v>32</v>
      </c>
      <c r="AF401" s="1" t="s">
        <v>33</v>
      </c>
      <c r="AG401" s="1" t="s">
        <v>137</v>
      </c>
    </row>
    <row r="402" spans="1:33">
      <c r="A402" t="s">
        <v>1659</v>
      </c>
      <c r="B402" t="s">
        <v>583</v>
      </c>
      <c r="C402" t="s">
        <v>172</v>
      </c>
      <c r="E402" t="s">
        <v>1562</v>
      </c>
      <c r="F402" t="s">
        <v>1568</v>
      </c>
      <c r="G402">
        <v>97.47</v>
      </c>
      <c r="H402">
        <v>97.47</v>
      </c>
      <c r="I402" t="s">
        <v>173</v>
      </c>
      <c r="J402" t="s">
        <v>174</v>
      </c>
      <c r="K402" t="s">
        <v>31</v>
      </c>
      <c r="L402" t="s">
        <v>32</v>
      </c>
      <c r="M402" t="s">
        <v>33</v>
      </c>
      <c r="P402" s="1" t="s">
        <v>1660</v>
      </c>
      <c r="Q402" s="1" t="s">
        <v>1562</v>
      </c>
      <c r="R402" s="1" t="s">
        <v>1562</v>
      </c>
      <c r="S402" s="1"/>
      <c r="T402" s="1" t="s">
        <v>172</v>
      </c>
      <c r="U402" s="1"/>
      <c r="V402" s="1">
        <v>97.47</v>
      </c>
      <c r="W402" s="1">
        <v>97.47</v>
      </c>
      <c r="X402" s="1" t="s">
        <v>35</v>
      </c>
      <c r="Y402" s="1">
        <v>97470.0</v>
      </c>
      <c r="Z402" s="1"/>
      <c r="AA402" s="1">
        <v>97470</v>
      </c>
      <c r="AB402" s="1"/>
      <c r="AC402" s="1" t="s">
        <v>36</v>
      </c>
      <c r="AD402" s="1" t="s">
        <v>1661</v>
      </c>
      <c r="AE402" s="1" t="s">
        <v>32</v>
      </c>
      <c r="AF402" s="1" t="s">
        <v>33</v>
      </c>
      <c r="AG402" s="1" t="s">
        <v>174</v>
      </c>
    </row>
    <row r="403" spans="1:33">
      <c r="A403" t="s">
        <v>1662</v>
      </c>
      <c r="B403" t="s">
        <v>1663</v>
      </c>
      <c r="C403" t="s">
        <v>26</v>
      </c>
      <c r="E403" t="s">
        <v>1562</v>
      </c>
      <c r="F403" t="s">
        <v>1568</v>
      </c>
      <c r="G403">
        <v>202.45</v>
      </c>
      <c r="H403">
        <v>202.45</v>
      </c>
      <c r="I403" t="s">
        <v>29</v>
      </c>
      <c r="J403" t="s">
        <v>30</v>
      </c>
      <c r="K403" t="s">
        <v>31</v>
      </c>
      <c r="L403" t="s">
        <v>32</v>
      </c>
      <c r="M403" t="s">
        <v>33</v>
      </c>
      <c r="P403" s="1" t="s">
        <v>1664</v>
      </c>
      <c r="Q403" s="1" t="s">
        <v>1562</v>
      </c>
      <c r="R403" s="1" t="s">
        <v>1562</v>
      </c>
      <c r="S403" s="1"/>
      <c r="T403" s="1" t="s">
        <v>26</v>
      </c>
      <c r="U403" s="1"/>
      <c r="V403" s="1">
        <v>202.45</v>
      </c>
      <c r="W403" s="1">
        <v>202.45</v>
      </c>
      <c r="X403" s="1" t="s">
        <v>35</v>
      </c>
      <c r="Y403" s="1">
        <v>202450.0</v>
      </c>
      <c r="Z403" s="1"/>
      <c r="AA403" s="1">
        <v>202450</v>
      </c>
      <c r="AB403" s="1"/>
      <c r="AC403" s="1" t="s">
        <v>36</v>
      </c>
      <c r="AD403" s="1" t="s">
        <v>1658</v>
      </c>
      <c r="AE403" s="1" t="s">
        <v>32</v>
      </c>
      <c r="AF403" s="1" t="s">
        <v>33</v>
      </c>
      <c r="AG403" s="1" t="s">
        <v>30</v>
      </c>
    </row>
    <row r="404" spans="1:33">
      <c r="A404" t="s">
        <v>1665</v>
      </c>
      <c r="B404" t="s">
        <v>1666</v>
      </c>
      <c r="C404" t="s">
        <v>26</v>
      </c>
      <c r="E404" t="s">
        <v>1562</v>
      </c>
      <c r="F404" t="s">
        <v>1568</v>
      </c>
      <c r="G404">
        <v>21.392</v>
      </c>
      <c r="H404">
        <v>21.392</v>
      </c>
      <c r="I404" t="s">
        <v>29</v>
      </c>
      <c r="J404" t="s">
        <v>30</v>
      </c>
      <c r="K404" t="s">
        <v>31</v>
      </c>
      <c r="L404" t="s">
        <v>32</v>
      </c>
      <c r="M404" t="s">
        <v>33</v>
      </c>
      <c r="P404" s="1" t="s">
        <v>1667</v>
      </c>
      <c r="Q404" s="1" t="s">
        <v>1562</v>
      </c>
      <c r="R404" s="1" t="s">
        <v>1562</v>
      </c>
      <c r="S404" s="1"/>
      <c r="T404" s="1" t="s">
        <v>26</v>
      </c>
      <c r="U404" s="1"/>
      <c r="V404" s="1">
        <v>21.392</v>
      </c>
      <c r="W404" s="1">
        <v>21.392</v>
      </c>
      <c r="X404" s="1" t="s">
        <v>35</v>
      </c>
      <c r="Y404" s="1">
        <v>21392.0</v>
      </c>
      <c r="Z404" s="1"/>
      <c r="AA404" s="1">
        <v>21392</v>
      </c>
      <c r="AB404" s="1"/>
      <c r="AC404" s="1" t="s">
        <v>36</v>
      </c>
      <c r="AD404" s="1" t="s">
        <v>1661</v>
      </c>
      <c r="AE404" s="1" t="s">
        <v>32</v>
      </c>
      <c r="AF404" s="1" t="s">
        <v>33</v>
      </c>
      <c r="AG404" s="1" t="s">
        <v>30</v>
      </c>
    </row>
    <row r="405" spans="1:33">
      <c r="A405" t="s">
        <v>1668</v>
      </c>
      <c r="B405" t="s">
        <v>1669</v>
      </c>
      <c r="C405" t="s">
        <v>26</v>
      </c>
      <c r="E405" t="s">
        <v>1562</v>
      </c>
      <c r="F405" t="s">
        <v>1568</v>
      </c>
      <c r="G405">
        <v>11.0</v>
      </c>
      <c r="H405">
        <v>11.0</v>
      </c>
      <c r="I405" t="s">
        <v>29</v>
      </c>
      <c r="J405" t="s">
        <v>30</v>
      </c>
      <c r="K405" t="s">
        <v>31</v>
      </c>
      <c r="L405" t="s">
        <v>32</v>
      </c>
      <c r="M405" t="s">
        <v>33</v>
      </c>
      <c r="P405" s="1" t="s">
        <v>1670</v>
      </c>
      <c r="Q405" s="1" t="s">
        <v>1562</v>
      </c>
      <c r="R405" s="1" t="s">
        <v>1562</v>
      </c>
      <c r="S405" s="1"/>
      <c r="T405" s="1" t="s">
        <v>26</v>
      </c>
      <c r="U405" s="1"/>
      <c r="V405" s="1">
        <v>11.0</v>
      </c>
      <c r="W405" s="1">
        <v>11.0</v>
      </c>
      <c r="X405" s="1" t="s">
        <v>35</v>
      </c>
      <c r="Y405" s="1">
        <v>11000.0</v>
      </c>
      <c r="Z405" s="1"/>
      <c r="AA405" s="1">
        <v>11000</v>
      </c>
      <c r="AB405" s="1"/>
      <c r="AC405" s="1" t="s">
        <v>36</v>
      </c>
      <c r="AD405" s="1" t="s">
        <v>1671</v>
      </c>
      <c r="AE405" s="1" t="s">
        <v>32</v>
      </c>
      <c r="AF405" s="1" t="s">
        <v>33</v>
      </c>
      <c r="AG405" s="1" t="s">
        <v>30</v>
      </c>
    </row>
    <row r="406" spans="1:33">
      <c r="A406" t="s">
        <v>1672</v>
      </c>
      <c r="C406" t="s">
        <v>1673</v>
      </c>
      <c r="E406" t="s">
        <v>1562</v>
      </c>
      <c r="F406" t="s">
        <v>1568</v>
      </c>
      <c r="G406">
        <v>790.0</v>
      </c>
      <c r="H406">
        <v>790.0</v>
      </c>
      <c r="I406" t="s">
        <v>269</v>
      </c>
      <c r="J406" t="s">
        <v>270</v>
      </c>
      <c r="K406" t="s">
        <v>31</v>
      </c>
      <c r="L406" t="s">
        <v>32</v>
      </c>
      <c r="M406" t="s">
        <v>33</v>
      </c>
      <c r="P406" s="1" t="s">
        <v>1674</v>
      </c>
      <c r="Q406" s="1" t="s">
        <v>1562</v>
      </c>
      <c r="R406" s="1" t="s">
        <v>1562</v>
      </c>
      <c r="S406" s="1"/>
      <c r="T406" s="1" t="s">
        <v>1673</v>
      </c>
      <c r="U406" s="1"/>
      <c r="V406" s="1">
        <v>790.0</v>
      </c>
      <c r="W406" s="1">
        <v>790.0</v>
      </c>
      <c r="X406" s="1" t="s">
        <v>35</v>
      </c>
      <c r="Y406" s="1">
        <v>790000.0</v>
      </c>
      <c r="Z406" s="1"/>
      <c r="AA406" s="1">
        <v>790000</v>
      </c>
      <c r="AB406" s="1"/>
      <c r="AC406" s="1" t="s">
        <v>36</v>
      </c>
      <c r="AD406" s="1" t="s">
        <v>1675</v>
      </c>
      <c r="AE406" s="1" t="s">
        <v>32</v>
      </c>
      <c r="AF406" s="1" t="s">
        <v>33</v>
      </c>
      <c r="AG406" s="1" t="s">
        <v>270</v>
      </c>
    </row>
    <row r="407" spans="1:33">
      <c r="A407" t="s">
        <v>1676</v>
      </c>
      <c r="C407" t="s">
        <v>1677</v>
      </c>
      <c r="E407" t="s">
        <v>1562</v>
      </c>
      <c r="F407" t="s">
        <v>1568</v>
      </c>
      <c r="G407">
        <v>42.0</v>
      </c>
      <c r="H407">
        <v>42.0</v>
      </c>
      <c r="I407" t="s">
        <v>269</v>
      </c>
      <c r="J407" t="s">
        <v>270</v>
      </c>
      <c r="K407" t="s">
        <v>31</v>
      </c>
      <c r="L407" t="s">
        <v>32</v>
      </c>
      <c r="M407" t="s">
        <v>33</v>
      </c>
      <c r="P407" s="1" t="s">
        <v>1678</v>
      </c>
      <c r="Q407" s="1" t="s">
        <v>1562</v>
      </c>
      <c r="R407" s="1" t="s">
        <v>1562</v>
      </c>
      <c r="S407" s="1"/>
      <c r="T407" s="1" t="s">
        <v>1677</v>
      </c>
      <c r="U407" s="1"/>
      <c r="V407" s="1">
        <v>42.0</v>
      </c>
      <c r="W407" s="1">
        <v>42.0</v>
      </c>
      <c r="X407" s="1" t="s">
        <v>35</v>
      </c>
      <c r="Y407" s="1">
        <v>42000.0</v>
      </c>
      <c r="Z407" s="1"/>
      <c r="AA407" s="1">
        <v>42000</v>
      </c>
      <c r="AB407" s="1"/>
      <c r="AC407" s="1" t="s">
        <v>36</v>
      </c>
      <c r="AD407" s="1" t="s">
        <v>1679</v>
      </c>
      <c r="AE407" s="1" t="s">
        <v>32</v>
      </c>
      <c r="AF407" s="1" t="s">
        <v>33</v>
      </c>
      <c r="AG407" s="1" t="s">
        <v>270</v>
      </c>
    </row>
    <row r="408" spans="1:33">
      <c r="A408" t="s">
        <v>1680</v>
      </c>
      <c r="C408" t="s">
        <v>1594</v>
      </c>
      <c r="E408" t="s">
        <v>1562</v>
      </c>
      <c r="F408" t="s">
        <v>634</v>
      </c>
      <c r="G408">
        <v>669.25</v>
      </c>
      <c r="H408">
        <v>669.25</v>
      </c>
      <c r="I408" t="s">
        <v>179</v>
      </c>
      <c r="J408" t="s">
        <v>180</v>
      </c>
      <c r="K408" t="s">
        <v>31</v>
      </c>
      <c r="L408" t="s">
        <v>32</v>
      </c>
      <c r="M408" t="s">
        <v>33</v>
      </c>
      <c r="P408" s="1" t="s">
        <v>1681</v>
      </c>
      <c r="Q408" s="1" t="s">
        <v>1562</v>
      </c>
      <c r="R408" s="1" t="s">
        <v>1562</v>
      </c>
      <c r="S408" s="1"/>
      <c r="T408" s="1" t="s">
        <v>1594</v>
      </c>
      <c r="U408" s="1"/>
      <c r="V408" s="1">
        <v>669.25</v>
      </c>
      <c r="W408" s="1">
        <v>669.25</v>
      </c>
      <c r="X408" s="1" t="s">
        <v>35</v>
      </c>
      <c r="Y408" s="1">
        <v>669250.0</v>
      </c>
      <c r="Z408" s="1"/>
      <c r="AA408" s="1">
        <v>669250</v>
      </c>
      <c r="AB408" s="1"/>
      <c r="AC408" s="1" t="s">
        <v>36</v>
      </c>
      <c r="AD408" s="1" t="s">
        <v>1682</v>
      </c>
      <c r="AE408" s="1" t="s">
        <v>32</v>
      </c>
      <c r="AF408" s="1" t="s">
        <v>33</v>
      </c>
      <c r="AG408" s="1" t="s">
        <v>180</v>
      </c>
    </row>
    <row r="409" spans="1:33">
      <c r="A409" t="s">
        <v>1683</v>
      </c>
      <c r="B409" t="s">
        <v>1684</v>
      </c>
      <c r="C409" t="s">
        <v>125</v>
      </c>
      <c r="E409" t="s">
        <v>1562</v>
      </c>
      <c r="F409" t="s">
        <v>1568</v>
      </c>
      <c r="G409">
        <v>32.49</v>
      </c>
      <c r="H409">
        <v>32.49</v>
      </c>
      <c r="I409" t="s">
        <v>126</v>
      </c>
      <c r="J409" t="s">
        <v>127</v>
      </c>
      <c r="K409" t="s">
        <v>31</v>
      </c>
      <c r="L409" t="s">
        <v>32</v>
      </c>
      <c r="M409" t="s">
        <v>33</v>
      </c>
      <c r="P409" s="1" t="s">
        <v>1685</v>
      </c>
      <c r="Q409" s="1" t="s">
        <v>1562</v>
      </c>
      <c r="R409" s="1" t="s">
        <v>1562</v>
      </c>
      <c r="S409" s="1"/>
      <c r="T409" s="1" t="s">
        <v>125</v>
      </c>
      <c r="U409" s="1"/>
      <c r="V409" s="1">
        <v>32.49</v>
      </c>
      <c r="W409" s="1">
        <v>32.49</v>
      </c>
      <c r="X409" s="1" t="s">
        <v>35</v>
      </c>
      <c r="Y409" s="1">
        <v>32490.0</v>
      </c>
      <c r="Z409" s="1"/>
      <c r="AA409" s="1">
        <v>32490</v>
      </c>
      <c r="AB409" s="1"/>
      <c r="AC409" s="1" t="s">
        <v>36</v>
      </c>
      <c r="AD409" s="1" t="s">
        <v>1686</v>
      </c>
      <c r="AE409" s="1" t="s">
        <v>32</v>
      </c>
      <c r="AF409" s="1" t="s">
        <v>33</v>
      </c>
      <c r="AG409" s="1" t="s">
        <v>127</v>
      </c>
    </row>
    <row r="410" spans="1:33">
      <c r="A410" t="s">
        <v>1687</v>
      </c>
      <c r="C410" t="s">
        <v>1688</v>
      </c>
      <c r="E410" t="s">
        <v>1562</v>
      </c>
      <c r="F410" t="s">
        <v>1568</v>
      </c>
      <c r="G410">
        <v>1.906</v>
      </c>
      <c r="H410">
        <v>1.906</v>
      </c>
      <c r="I410" t="s">
        <v>48</v>
      </c>
      <c r="J410" t="s">
        <v>49</v>
      </c>
      <c r="K410" t="s">
        <v>31</v>
      </c>
      <c r="L410" t="s">
        <v>32</v>
      </c>
      <c r="M410" t="s">
        <v>33</v>
      </c>
      <c r="P410" s="1" t="s">
        <v>1689</v>
      </c>
      <c r="Q410" s="1" t="s">
        <v>1562</v>
      </c>
      <c r="R410" s="1" t="s">
        <v>1562</v>
      </c>
      <c r="S410" s="1"/>
      <c r="T410" s="1" t="s">
        <v>1688</v>
      </c>
      <c r="U410" s="1"/>
      <c r="V410" s="1">
        <v>1.906</v>
      </c>
      <c r="W410" s="1">
        <v>1.906</v>
      </c>
      <c r="X410" s="1" t="s">
        <v>35</v>
      </c>
      <c r="Y410" s="1">
        <v>1906750.0</v>
      </c>
      <c r="Z410" s="1"/>
      <c r="AA410" s="1">
        <v>1906750</v>
      </c>
      <c r="AB410" s="1"/>
      <c r="AC410" s="1" t="s">
        <v>36</v>
      </c>
      <c r="AD410" s="1" t="s">
        <v>1690</v>
      </c>
      <c r="AE410" s="1" t="s">
        <v>32</v>
      </c>
      <c r="AF410" s="1" t="s">
        <v>33</v>
      </c>
      <c r="AG410" s="1" t="s">
        <v>49</v>
      </c>
    </row>
    <row r="411" spans="1:33">
      <c r="A411" t="s">
        <v>1691</v>
      </c>
      <c r="C411" t="s">
        <v>1692</v>
      </c>
      <c r="E411" t="s">
        <v>1562</v>
      </c>
      <c r="F411" t="s">
        <v>1568</v>
      </c>
      <c r="G411">
        <v>2.257</v>
      </c>
      <c r="H411">
        <v>2.257</v>
      </c>
      <c r="I411" t="s">
        <v>179</v>
      </c>
      <c r="J411" t="s">
        <v>180</v>
      </c>
      <c r="K411" t="s">
        <v>31</v>
      </c>
      <c r="L411" t="s">
        <v>32</v>
      </c>
      <c r="M411" t="s">
        <v>33</v>
      </c>
      <c r="P411" s="1" t="s">
        <v>1693</v>
      </c>
      <c r="Q411" s="1" t="s">
        <v>1562</v>
      </c>
      <c r="R411" s="1" t="s">
        <v>1562</v>
      </c>
      <c r="S411" s="1"/>
      <c r="T411" s="1" t="s">
        <v>1692</v>
      </c>
      <c r="U411" s="1"/>
      <c r="V411" s="1">
        <v>2.257</v>
      </c>
      <c r="W411" s="1">
        <v>2.257</v>
      </c>
      <c r="X411" s="1" t="s">
        <v>35</v>
      </c>
      <c r="Y411" s="1">
        <v>2257350.0</v>
      </c>
      <c r="Z411" s="1"/>
      <c r="AA411" s="1">
        <v>2257350</v>
      </c>
      <c r="AB411" s="1"/>
      <c r="AC411" s="1" t="s">
        <v>36</v>
      </c>
      <c r="AD411" s="1" t="s">
        <v>1631</v>
      </c>
      <c r="AE411" s="1" t="s">
        <v>32</v>
      </c>
      <c r="AF411" s="1" t="s">
        <v>33</v>
      </c>
      <c r="AG411" s="1" t="s">
        <v>180</v>
      </c>
    </row>
    <row r="412" spans="1:33">
      <c r="A412" t="s">
        <v>1694</v>
      </c>
      <c r="C412" t="s">
        <v>1695</v>
      </c>
      <c r="E412" t="s">
        <v>1562</v>
      </c>
      <c r="F412" t="s">
        <v>1568</v>
      </c>
      <c r="G412">
        <v>1.209</v>
      </c>
      <c r="H412">
        <v>1.209</v>
      </c>
      <c r="I412" t="s">
        <v>48</v>
      </c>
      <c r="J412" t="s">
        <v>49</v>
      </c>
      <c r="K412" t="s">
        <v>31</v>
      </c>
      <c r="L412" t="s">
        <v>32</v>
      </c>
      <c r="M412" t="s">
        <v>33</v>
      </c>
      <c r="P412" s="1" t="s">
        <v>1696</v>
      </c>
      <c r="Q412" s="1" t="s">
        <v>1562</v>
      </c>
      <c r="R412" s="1" t="s">
        <v>1562</v>
      </c>
      <c r="S412" s="1"/>
      <c r="T412" s="1" t="s">
        <v>1695</v>
      </c>
      <c r="U412" s="1"/>
      <c r="V412" s="1">
        <v>1.209</v>
      </c>
      <c r="W412" s="1">
        <v>1.209</v>
      </c>
      <c r="X412" s="1" t="s">
        <v>35</v>
      </c>
      <c r="Y412" s="1">
        <v>1209000.0</v>
      </c>
      <c r="Z412" s="1"/>
      <c r="AA412" s="1">
        <v>1209000</v>
      </c>
      <c r="AB412" s="1"/>
      <c r="AC412" s="1" t="s">
        <v>36</v>
      </c>
      <c r="AD412" s="1" t="s">
        <v>1697</v>
      </c>
      <c r="AE412" s="1" t="s">
        <v>32</v>
      </c>
      <c r="AF412" s="1" t="s">
        <v>33</v>
      </c>
      <c r="AG412" s="1" t="s">
        <v>49</v>
      </c>
    </row>
    <row r="413" spans="1:33">
      <c r="A413" t="s">
        <v>1698</v>
      </c>
      <c r="B413" t="s">
        <v>1699</v>
      </c>
      <c r="C413" t="s">
        <v>1700</v>
      </c>
      <c r="E413" t="s">
        <v>1562</v>
      </c>
      <c r="F413" t="s">
        <v>1568</v>
      </c>
      <c r="G413">
        <v>5.0</v>
      </c>
      <c r="H413">
        <v>5.0</v>
      </c>
      <c r="I413" t="s">
        <v>1701</v>
      </c>
      <c r="J413" t="s">
        <v>1702</v>
      </c>
      <c r="K413" t="s">
        <v>31</v>
      </c>
      <c r="L413" t="s">
        <v>32</v>
      </c>
      <c r="M413" t="s">
        <v>33</v>
      </c>
      <c r="P413" s="1" t="s">
        <v>1703</v>
      </c>
      <c r="Q413" s="1" t="s">
        <v>1562</v>
      </c>
      <c r="R413" s="1" t="s">
        <v>1562</v>
      </c>
      <c r="S413" s="1"/>
      <c r="T413" s="1" t="s">
        <v>1700</v>
      </c>
      <c r="U413" s="1"/>
      <c r="V413" s="1">
        <v>5.0</v>
      </c>
      <c r="W413" s="1">
        <v>5.0</v>
      </c>
      <c r="X413" s="1" t="s">
        <v>35</v>
      </c>
      <c r="Y413" s="1">
        <v>5000.0</v>
      </c>
      <c r="Z413" s="1"/>
      <c r="AA413" s="1">
        <v>5000</v>
      </c>
      <c r="AB413" s="1"/>
      <c r="AC413" s="1" t="s">
        <v>36</v>
      </c>
      <c r="AD413" s="1" t="s">
        <v>1704</v>
      </c>
      <c r="AE413" s="1" t="s">
        <v>32</v>
      </c>
      <c r="AF413" s="1" t="s">
        <v>33</v>
      </c>
      <c r="AG413" s="1" t="s">
        <v>1702</v>
      </c>
    </row>
    <row r="414" spans="1:33">
      <c r="A414" t="s">
        <v>1705</v>
      </c>
      <c r="B414" t="s">
        <v>1656</v>
      </c>
      <c r="C414" t="s">
        <v>1298</v>
      </c>
      <c r="E414" t="s">
        <v>1562</v>
      </c>
      <c r="F414" t="s">
        <v>1568</v>
      </c>
      <c r="G414">
        <v>50.48</v>
      </c>
      <c r="H414">
        <v>50.48</v>
      </c>
      <c r="I414" t="s">
        <v>529</v>
      </c>
      <c r="J414" t="s">
        <v>530</v>
      </c>
      <c r="K414" t="s">
        <v>31</v>
      </c>
      <c r="L414" t="s">
        <v>32</v>
      </c>
      <c r="M414" t="s">
        <v>33</v>
      </c>
      <c r="P414" s="1" t="s">
        <v>1706</v>
      </c>
      <c r="Q414" s="1" t="s">
        <v>1562</v>
      </c>
      <c r="R414" s="1" t="s">
        <v>822</v>
      </c>
      <c r="S414" s="1"/>
      <c r="T414" s="1" t="s">
        <v>1298</v>
      </c>
      <c r="U414" s="1"/>
      <c r="V414" s="1">
        <v>50.48</v>
      </c>
      <c r="W414" s="1">
        <v>50.48</v>
      </c>
      <c r="X414" s="1" t="s">
        <v>35</v>
      </c>
      <c r="Y414" s="1">
        <v>50480.0</v>
      </c>
      <c r="Z414" s="1"/>
      <c r="AA414" s="1">
        <v>50480</v>
      </c>
      <c r="AB414" s="1"/>
      <c r="AC414" s="1" t="s">
        <v>36</v>
      </c>
      <c r="AD414" s="1" t="s">
        <v>1707</v>
      </c>
      <c r="AE414" s="1" t="s">
        <v>32</v>
      </c>
      <c r="AF414" s="1" t="s">
        <v>33</v>
      </c>
      <c r="AG414" s="1" t="s">
        <v>530</v>
      </c>
    </row>
    <row r="415" spans="1:33">
      <c r="A415" t="s">
        <v>1708</v>
      </c>
      <c r="B415" t="s">
        <v>1709</v>
      </c>
      <c r="C415" t="s">
        <v>569</v>
      </c>
      <c r="E415" t="s">
        <v>1562</v>
      </c>
      <c r="F415" t="s">
        <v>1568</v>
      </c>
      <c r="G415">
        <v>43.98</v>
      </c>
      <c r="H415">
        <v>43.98</v>
      </c>
      <c r="I415" t="s">
        <v>570</v>
      </c>
      <c r="J415" t="s">
        <v>571</v>
      </c>
      <c r="K415" t="s">
        <v>31</v>
      </c>
      <c r="L415" t="s">
        <v>32</v>
      </c>
      <c r="M415" t="s">
        <v>33</v>
      </c>
      <c r="P415" s="1" t="s">
        <v>1710</v>
      </c>
      <c r="Q415" s="1" t="s">
        <v>1562</v>
      </c>
      <c r="R415" s="1" t="s">
        <v>1562</v>
      </c>
      <c r="S415" s="1"/>
      <c r="T415" s="1" t="s">
        <v>569</v>
      </c>
      <c r="U415" s="1"/>
      <c r="V415" s="1">
        <v>43.98</v>
      </c>
      <c r="W415" s="1">
        <v>43.98</v>
      </c>
      <c r="X415" s="1" t="s">
        <v>35</v>
      </c>
      <c r="Y415" s="1">
        <v>43980.0</v>
      </c>
      <c r="Z415" s="1"/>
      <c r="AA415" s="1">
        <v>43980</v>
      </c>
      <c r="AB415" s="1"/>
      <c r="AC415" s="1" t="s">
        <v>36</v>
      </c>
      <c r="AD415" s="1" t="s">
        <v>1711</v>
      </c>
      <c r="AE415" s="1" t="s">
        <v>32</v>
      </c>
      <c r="AF415" s="1" t="s">
        <v>33</v>
      </c>
      <c r="AG415" s="1" t="s">
        <v>571</v>
      </c>
    </row>
    <row r="416" spans="1:33">
      <c r="A416" t="s">
        <v>1712</v>
      </c>
      <c r="C416" t="s">
        <v>558</v>
      </c>
      <c r="D416" t="s">
        <v>154</v>
      </c>
      <c r="E416" t="s">
        <v>1562</v>
      </c>
      <c r="F416" t="s">
        <v>1568</v>
      </c>
      <c r="G416">
        <v>328.0</v>
      </c>
      <c r="H416">
        <v>328.0</v>
      </c>
      <c r="I416" t="s">
        <v>269</v>
      </c>
      <c r="J416" t="s">
        <v>270</v>
      </c>
      <c r="K416" t="s">
        <v>31</v>
      </c>
      <c r="L416" t="s">
        <v>32</v>
      </c>
      <c r="M416" t="s">
        <v>33</v>
      </c>
      <c r="P416" s="1" t="s">
        <v>1713</v>
      </c>
      <c r="Q416" s="1" t="s">
        <v>1562</v>
      </c>
      <c r="R416" s="1" t="s">
        <v>1562</v>
      </c>
      <c r="S416" s="1"/>
      <c r="T416" s="1" t="s">
        <v>560</v>
      </c>
      <c r="U416" s="1" t="s">
        <v>561</v>
      </c>
      <c r="V416" s="1">
        <v>328.0</v>
      </c>
      <c r="W416" s="1">
        <v>328.0</v>
      </c>
      <c r="X416" s="1" t="s">
        <v>35</v>
      </c>
      <c r="Y416" s="1">
        <v>328000.0</v>
      </c>
      <c r="Z416" s="1"/>
      <c r="AA416" s="1">
        <v>328000</v>
      </c>
      <c r="AB416" s="1"/>
      <c r="AC416" s="1" t="s">
        <v>36</v>
      </c>
      <c r="AD416" s="1" t="s">
        <v>1714</v>
      </c>
      <c r="AE416" s="1" t="s">
        <v>32</v>
      </c>
      <c r="AF416" s="1" t="s">
        <v>33</v>
      </c>
      <c r="AG416" s="1" t="s">
        <v>270</v>
      </c>
    </row>
    <row r="417" spans="1:33">
      <c r="A417" t="s">
        <v>1715</v>
      </c>
      <c r="C417" t="s">
        <v>1716</v>
      </c>
      <c r="E417" t="s">
        <v>1562</v>
      </c>
      <c r="F417" t="s">
        <v>1568</v>
      </c>
      <c r="G417">
        <v>29.25</v>
      </c>
      <c r="H417">
        <v>29.25</v>
      </c>
      <c r="I417" t="s">
        <v>136</v>
      </c>
      <c r="J417" t="s">
        <v>137</v>
      </c>
      <c r="K417" t="s">
        <v>31</v>
      </c>
      <c r="L417" t="s">
        <v>32</v>
      </c>
      <c r="M417" t="s">
        <v>33</v>
      </c>
      <c r="P417" s="1" t="s">
        <v>1717</v>
      </c>
      <c r="Q417" s="1" t="s">
        <v>1562</v>
      </c>
      <c r="R417" s="1" t="s">
        <v>1562</v>
      </c>
      <c r="S417" s="1"/>
      <c r="T417" s="1" t="s">
        <v>1716</v>
      </c>
      <c r="U417" s="1"/>
      <c r="V417" s="1">
        <v>29.25</v>
      </c>
      <c r="W417" s="1">
        <v>29.25</v>
      </c>
      <c r="X417" s="1" t="s">
        <v>35</v>
      </c>
      <c r="Y417" s="1">
        <v>29250.0</v>
      </c>
      <c r="Z417" s="1"/>
      <c r="AA417" s="1">
        <v>29250</v>
      </c>
      <c r="AB417" s="1"/>
      <c r="AC417" s="1" t="s">
        <v>36</v>
      </c>
      <c r="AD417" s="1" t="s">
        <v>1718</v>
      </c>
      <c r="AE417" s="1" t="s">
        <v>32</v>
      </c>
      <c r="AF417" s="1" t="s">
        <v>33</v>
      </c>
      <c r="AG417" s="1" t="s">
        <v>137</v>
      </c>
    </row>
    <row r="418" spans="1:33">
      <c r="A418" t="s">
        <v>1719</v>
      </c>
      <c r="C418" t="s">
        <v>1720</v>
      </c>
      <c r="E418" t="s">
        <v>1562</v>
      </c>
      <c r="F418" t="s">
        <v>1568</v>
      </c>
      <c r="G418">
        <v>400.0</v>
      </c>
      <c r="H418">
        <v>400.0</v>
      </c>
      <c r="I418" t="s">
        <v>173</v>
      </c>
      <c r="J418" t="s">
        <v>174</v>
      </c>
      <c r="K418" t="s">
        <v>31</v>
      </c>
      <c r="L418" t="s">
        <v>32</v>
      </c>
      <c r="M418" t="s">
        <v>33</v>
      </c>
      <c r="P418" s="1" t="s">
        <v>1721</v>
      </c>
      <c r="Q418" s="1" t="s">
        <v>1562</v>
      </c>
      <c r="R418" s="1" t="s">
        <v>1562</v>
      </c>
      <c r="S418" s="1"/>
      <c r="T418" s="1" t="s">
        <v>1720</v>
      </c>
      <c r="U418" s="1"/>
      <c r="V418" s="1">
        <v>400.0</v>
      </c>
      <c r="W418" s="1">
        <v>400.0</v>
      </c>
      <c r="X418" s="1" t="s">
        <v>35</v>
      </c>
      <c r="Y418" s="1">
        <v>400000.0</v>
      </c>
      <c r="Z418" s="1"/>
      <c r="AA418" s="1">
        <v>400000</v>
      </c>
      <c r="AB418" s="1"/>
      <c r="AC418" s="1" t="s">
        <v>36</v>
      </c>
      <c r="AD418" s="1" t="s">
        <v>1722</v>
      </c>
      <c r="AE418" s="1" t="s">
        <v>32</v>
      </c>
      <c r="AF418" s="1" t="s">
        <v>33</v>
      </c>
      <c r="AG418" s="1" t="s">
        <v>174</v>
      </c>
    </row>
    <row r="419" spans="1:33">
      <c r="A419" t="s">
        <v>1723</v>
      </c>
      <c r="B419" t="s">
        <v>1724</v>
      </c>
      <c r="C419" t="s">
        <v>314</v>
      </c>
      <c r="E419" t="s">
        <v>1562</v>
      </c>
      <c r="F419" t="s">
        <v>1568</v>
      </c>
      <c r="G419">
        <v>30.16</v>
      </c>
      <c r="H419">
        <v>30.16</v>
      </c>
      <c r="I419" t="s">
        <v>179</v>
      </c>
      <c r="J419" t="s">
        <v>180</v>
      </c>
      <c r="K419" t="s">
        <v>31</v>
      </c>
      <c r="L419" t="s">
        <v>32</v>
      </c>
      <c r="M419" t="s">
        <v>33</v>
      </c>
      <c r="P419" s="1" t="s">
        <v>1725</v>
      </c>
      <c r="Q419" s="1" t="s">
        <v>1562</v>
      </c>
      <c r="R419" s="1" t="s">
        <v>1562</v>
      </c>
      <c r="S419" s="1"/>
      <c r="T419" s="1" t="s">
        <v>314</v>
      </c>
      <c r="U419" s="1"/>
      <c r="V419" s="1">
        <v>30.16</v>
      </c>
      <c r="W419" s="1">
        <v>30.16</v>
      </c>
      <c r="X419" s="1" t="s">
        <v>35</v>
      </c>
      <c r="Y419" s="1">
        <v>30160.0</v>
      </c>
      <c r="Z419" s="1"/>
      <c r="AA419" s="1">
        <v>30160</v>
      </c>
      <c r="AB419" s="1"/>
      <c r="AC419" s="1" t="s">
        <v>36</v>
      </c>
      <c r="AD419" s="1" t="s">
        <v>1726</v>
      </c>
      <c r="AE419" s="1" t="s">
        <v>32</v>
      </c>
      <c r="AF419" s="1" t="s">
        <v>33</v>
      </c>
      <c r="AG419" s="1" t="s">
        <v>180</v>
      </c>
    </row>
    <row r="420" spans="1:33">
      <c r="A420" t="s">
        <v>1727</v>
      </c>
      <c r="C420" t="s">
        <v>1728</v>
      </c>
      <c r="E420" t="s">
        <v>1562</v>
      </c>
      <c r="F420" t="s">
        <v>1568</v>
      </c>
      <c r="G420">
        <v>2.428</v>
      </c>
      <c r="H420">
        <v>2.428</v>
      </c>
      <c r="I420" t="s">
        <v>94</v>
      </c>
      <c r="J420" t="s">
        <v>95</v>
      </c>
      <c r="K420" t="s">
        <v>31</v>
      </c>
      <c r="L420" t="s">
        <v>32</v>
      </c>
      <c r="M420" t="s">
        <v>33</v>
      </c>
      <c r="P420" s="1" t="s">
        <v>1729</v>
      </c>
      <c r="Q420" s="1" t="s">
        <v>1562</v>
      </c>
      <c r="R420" s="1" t="s">
        <v>1562</v>
      </c>
      <c r="S420" s="1"/>
      <c r="T420" s="1" t="s">
        <v>1728</v>
      </c>
      <c r="U420" s="1"/>
      <c r="V420" s="1">
        <v>2.428</v>
      </c>
      <c r="W420" s="1">
        <v>2.428</v>
      </c>
      <c r="X420" s="1" t="s">
        <v>35</v>
      </c>
      <c r="Y420" s="1">
        <v>2428630.0</v>
      </c>
      <c r="Z420" s="1"/>
      <c r="AA420" s="1">
        <v>2428630</v>
      </c>
      <c r="AB420" s="1"/>
      <c r="AC420" s="1" t="s">
        <v>36</v>
      </c>
      <c r="AD420" s="1" t="s">
        <v>1730</v>
      </c>
      <c r="AE420" s="1" t="s">
        <v>32</v>
      </c>
      <c r="AF420" s="1" t="s">
        <v>33</v>
      </c>
      <c r="AG420" s="1" t="s">
        <v>95</v>
      </c>
    </row>
    <row r="421" spans="1:33">
      <c r="A421" t="s">
        <v>1731</v>
      </c>
      <c r="C421" t="s">
        <v>1732</v>
      </c>
      <c r="E421" t="s">
        <v>1562</v>
      </c>
      <c r="F421" t="s">
        <v>1568</v>
      </c>
      <c r="G421">
        <v>2.15</v>
      </c>
      <c r="H421">
        <v>2.15</v>
      </c>
      <c r="I421" t="s">
        <v>94</v>
      </c>
      <c r="J421" t="s">
        <v>95</v>
      </c>
      <c r="K421" t="s">
        <v>31</v>
      </c>
      <c r="L421" t="s">
        <v>32</v>
      </c>
      <c r="M421" t="s">
        <v>33</v>
      </c>
      <c r="P421" s="1" t="s">
        <v>1733</v>
      </c>
      <c r="Q421" s="1" t="s">
        <v>1562</v>
      </c>
      <c r="R421" s="1" t="s">
        <v>1562</v>
      </c>
      <c r="S421" s="1"/>
      <c r="T421" s="1" t="s">
        <v>1732</v>
      </c>
      <c r="U421" s="1"/>
      <c r="V421" s="1">
        <v>2.15</v>
      </c>
      <c r="W421" s="1">
        <v>2.15</v>
      </c>
      <c r="X421" s="1" t="s">
        <v>35</v>
      </c>
      <c r="Y421" s="1">
        <v>2150000.0</v>
      </c>
      <c r="Z421" s="1"/>
      <c r="AA421" s="1">
        <v>2150000</v>
      </c>
      <c r="AB421" s="1"/>
      <c r="AC421" s="1" t="s">
        <v>36</v>
      </c>
      <c r="AD421" s="1" t="s">
        <v>1718</v>
      </c>
      <c r="AE421" s="1" t="s">
        <v>32</v>
      </c>
      <c r="AF421" s="1" t="s">
        <v>33</v>
      </c>
      <c r="AG421" s="1" t="s">
        <v>95</v>
      </c>
    </row>
    <row r="422" spans="1:33">
      <c r="A422" t="s">
        <v>1734</v>
      </c>
      <c r="C422" t="s">
        <v>1735</v>
      </c>
      <c r="E422" t="s">
        <v>1562</v>
      </c>
      <c r="F422" t="s">
        <v>1568</v>
      </c>
      <c r="G422">
        <v>407.0</v>
      </c>
      <c r="H422">
        <v>407.0</v>
      </c>
      <c r="I422" t="s">
        <v>269</v>
      </c>
      <c r="J422" t="s">
        <v>270</v>
      </c>
      <c r="K422" t="s">
        <v>31</v>
      </c>
      <c r="L422" t="s">
        <v>32</v>
      </c>
      <c r="M422" t="s">
        <v>33</v>
      </c>
      <c r="P422" s="1" t="s">
        <v>1736</v>
      </c>
      <c r="Q422" s="1" t="s">
        <v>1562</v>
      </c>
      <c r="R422" s="1" t="s">
        <v>1562</v>
      </c>
      <c r="S422" s="1"/>
      <c r="T422" s="1" t="s">
        <v>1735</v>
      </c>
      <c r="U422" s="1"/>
      <c r="V422" s="1">
        <v>407.0</v>
      </c>
      <c r="W422" s="1">
        <v>407.0</v>
      </c>
      <c r="X422" s="1" t="s">
        <v>35</v>
      </c>
      <c r="Y422" s="1">
        <v>407000.0</v>
      </c>
      <c r="Z422" s="1"/>
      <c r="AA422" s="1">
        <v>407000</v>
      </c>
      <c r="AB422" s="1"/>
      <c r="AC422" s="1" t="s">
        <v>36</v>
      </c>
      <c r="AD422" s="1" t="s">
        <v>1737</v>
      </c>
      <c r="AE422" s="1" t="s">
        <v>32</v>
      </c>
      <c r="AF422" s="1" t="s">
        <v>33</v>
      </c>
      <c r="AG422" s="1" t="s">
        <v>270</v>
      </c>
    </row>
    <row r="423" spans="1:33">
      <c r="A423" t="s">
        <v>1738</v>
      </c>
      <c r="C423" t="s">
        <v>1739</v>
      </c>
      <c r="E423" t="s">
        <v>1562</v>
      </c>
      <c r="F423" t="s">
        <v>1568</v>
      </c>
      <c r="G423">
        <v>859.0</v>
      </c>
      <c r="H423">
        <v>859.0</v>
      </c>
      <c r="I423" t="s">
        <v>48</v>
      </c>
      <c r="J423" t="s">
        <v>49</v>
      </c>
      <c r="K423" t="s">
        <v>31</v>
      </c>
      <c r="L423" t="s">
        <v>32</v>
      </c>
      <c r="M423" t="s">
        <v>33</v>
      </c>
      <c r="P423" s="1" t="s">
        <v>1740</v>
      </c>
      <c r="Q423" s="1" t="s">
        <v>1562</v>
      </c>
      <c r="R423" s="1" t="s">
        <v>1562</v>
      </c>
      <c r="S423" s="1"/>
      <c r="T423" s="1" t="s">
        <v>1739</v>
      </c>
      <c r="U423" s="1"/>
      <c r="V423" s="1">
        <v>859.0</v>
      </c>
      <c r="W423" s="1">
        <v>859.0</v>
      </c>
      <c r="X423" s="1" t="s">
        <v>35</v>
      </c>
      <c r="Y423" s="1">
        <v>859000.0</v>
      </c>
      <c r="Z423" s="1"/>
      <c r="AA423" s="1">
        <v>859000</v>
      </c>
      <c r="AB423" s="1"/>
      <c r="AC423" s="1" t="s">
        <v>36</v>
      </c>
      <c r="AD423" s="1" t="s">
        <v>1741</v>
      </c>
      <c r="AE423" s="1" t="s">
        <v>32</v>
      </c>
      <c r="AF423" s="1" t="s">
        <v>33</v>
      </c>
      <c r="AG423" s="1" t="s">
        <v>49</v>
      </c>
    </row>
    <row r="424" spans="1:33">
      <c r="A424" t="s">
        <v>1742</v>
      </c>
      <c r="C424" t="s">
        <v>93</v>
      </c>
      <c r="E424" t="s">
        <v>1562</v>
      </c>
      <c r="F424" t="s">
        <v>1568</v>
      </c>
      <c r="G424">
        <v>241.0</v>
      </c>
      <c r="H424">
        <v>241.0</v>
      </c>
      <c r="I424" t="s">
        <v>94</v>
      </c>
      <c r="J424" t="s">
        <v>95</v>
      </c>
      <c r="K424" t="s">
        <v>31</v>
      </c>
      <c r="L424" t="s">
        <v>32</v>
      </c>
      <c r="M424" t="s">
        <v>33</v>
      </c>
      <c r="P424" s="1" t="s">
        <v>1743</v>
      </c>
      <c r="Q424" s="1" t="s">
        <v>1562</v>
      </c>
      <c r="R424" s="1" t="s">
        <v>1562</v>
      </c>
      <c r="S424" s="1"/>
      <c r="T424" s="1" t="s">
        <v>93</v>
      </c>
      <c r="U424" s="1"/>
      <c r="V424" s="1">
        <v>241.0</v>
      </c>
      <c r="W424" s="1">
        <v>241.0</v>
      </c>
      <c r="X424" s="1" t="s">
        <v>35</v>
      </c>
      <c r="Y424" s="1">
        <v>241000.0</v>
      </c>
      <c r="Z424" s="1"/>
      <c r="AA424" s="1">
        <v>241000</v>
      </c>
      <c r="AB424" s="1"/>
      <c r="AC424" s="1" t="s">
        <v>36</v>
      </c>
      <c r="AD424" s="1" t="s">
        <v>1744</v>
      </c>
      <c r="AE424" s="1" t="s">
        <v>32</v>
      </c>
      <c r="AF424" s="1" t="s">
        <v>33</v>
      </c>
      <c r="AG424" s="1" t="s">
        <v>95</v>
      </c>
    </row>
    <row r="425" spans="1:33">
      <c r="A425" t="s">
        <v>1745</v>
      </c>
      <c r="C425" t="s">
        <v>1746</v>
      </c>
      <c r="E425" t="s">
        <v>1562</v>
      </c>
      <c r="F425" t="s">
        <v>1568</v>
      </c>
      <c r="G425">
        <v>284.75</v>
      </c>
      <c r="H425">
        <v>284.75</v>
      </c>
      <c r="I425" t="s">
        <v>94</v>
      </c>
      <c r="J425" t="s">
        <v>95</v>
      </c>
      <c r="K425" t="s">
        <v>31</v>
      </c>
      <c r="L425" t="s">
        <v>32</v>
      </c>
      <c r="M425" t="s">
        <v>33</v>
      </c>
      <c r="P425" s="1" t="s">
        <v>1747</v>
      </c>
      <c r="Q425" s="1" t="s">
        <v>1562</v>
      </c>
      <c r="R425" s="1" t="s">
        <v>1562</v>
      </c>
      <c r="S425" s="1"/>
      <c r="T425" s="1" t="s">
        <v>1746</v>
      </c>
      <c r="U425" s="1"/>
      <c r="V425" s="1">
        <v>284.75</v>
      </c>
      <c r="W425" s="1">
        <v>284.75</v>
      </c>
      <c r="X425" s="1" t="s">
        <v>35</v>
      </c>
      <c r="Y425" s="1">
        <v>284750.0</v>
      </c>
      <c r="Z425" s="1"/>
      <c r="AA425" s="1">
        <v>284750</v>
      </c>
      <c r="AB425" s="1"/>
      <c r="AC425" s="1" t="s">
        <v>36</v>
      </c>
      <c r="AD425" s="1" t="s">
        <v>1748</v>
      </c>
      <c r="AE425" s="1" t="s">
        <v>32</v>
      </c>
      <c r="AF425" s="1" t="s">
        <v>33</v>
      </c>
      <c r="AG425" s="1" t="s">
        <v>95</v>
      </c>
    </row>
    <row r="426" spans="1:33">
      <c r="A426" t="s">
        <v>1749</v>
      </c>
      <c r="B426" t="s">
        <v>1750</v>
      </c>
      <c r="C426" t="s">
        <v>569</v>
      </c>
      <c r="E426" t="s">
        <v>1562</v>
      </c>
      <c r="F426" t="s">
        <v>1568</v>
      </c>
      <c r="G426">
        <v>155.95</v>
      </c>
      <c r="H426">
        <v>155.95</v>
      </c>
      <c r="I426" t="s">
        <v>570</v>
      </c>
      <c r="J426" t="s">
        <v>571</v>
      </c>
      <c r="K426" t="s">
        <v>31</v>
      </c>
      <c r="L426" t="s">
        <v>32</v>
      </c>
      <c r="M426" t="s">
        <v>33</v>
      </c>
      <c r="P426" s="1" t="s">
        <v>1751</v>
      </c>
      <c r="Q426" s="1" t="s">
        <v>1562</v>
      </c>
      <c r="R426" s="1" t="s">
        <v>1562</v>
      </c>
      <c r="S426" s="1"/>
      <c r="T426" s="1" t="s">
        <v>569</v>
      </c>
      <c r="U426" s="1"/>
      <c r="V426" s="1">
        <v>155.95</v>
      </c>
      <c r="W426" s="1">
        <v>155.95</v>
      </c>
      <c r="X426" s="1" t="s">
        <v>35</v>
      </c>
      <c r="Y426" s="1">
        <v>155950.0</v>
      </c>
      <c r="Z426" s="1"/>
      <c r="AA426" s="1">
        <v>155950</v>
      </c>
      <c r="AB426" s="1"/>
      <c r="AC426" s="1" t="s">
        <v>36</v>
      </c>
      <c r="AD426" s="1" t="s">
        <v>1675</v>
      </c>
      <c r="AE426" s="1" t="s">
        <v>32</v>
      </c>
      <c r="AF426" s="1" t="s">
        <v>33</v>
      </c>
      <c r="AG426" s="1" t="s">
        <v>571</v>
      </c>
    </row>
    <row r="427" spans="1:33">
      <c r="A427" t="s">
        <v>1752</v>
      </c>
      <c r="B427" t="s">
        <v>1753</v>
      </c>
      <c r="C427" t="s">
        <v>47</v>
      </c>
      <c r="E427" t="s">
        <v>1562</v>
      </c>
      <c r="F427" t="s">
        <v>1568</v>
      </c>
      <c r="G427">
        <v>40.49</v>
      </c>
      <c r="H427">
        <v>40.49</v>
      </c>
      <c r="I427" t="s">
        <v>48</v>
      </c>
      <c r="J427" t="s">
        <v>49</v>
      </c>
      <c r="K427" t="s">
        <v>31</v>
      </c>
      <c r="L427" t="s">
        <v>32</v>
      </c>
      <c r="M427" t="s">
        <v>33</v>
      </c>
      <c r="P427" s="1" t="s">
        <v>1754</v>
      </c>
      <c r="Q427" s="1" t="s">
        <v>1562</v>
      </c>
      <c r="R427" s="1" t="s">
        <v>1562</v>
      </c>
      <c r="S427" s="1"/>
      <c r="T427" s="1" t="s">
        <v>47</v>
      </c>
      <c r="U427" s="1"/>
      <c r="V427" s="1">
        <v>40.49</v>
      </c>
      <c r="W427" s="1">
        <v>40.49</v>
      </c>
      <c r="X427" s="1" t="s">
        <v>35</v>
      </c>
      <c r="Y427" s="1">
        <v>40490.0</v>
      </c>
      <c r="Z427" s="1"/>
      <c r="AA427" s="1">
        <v>40490</v>
      </c>
      <c r="AB427" s="1"/>
      <c r="AC427" s="1" t="s">
        <v>36</v>
      </c>
      <c r="AD427" s="1" t="s">
        <v>1755</v>
      </c>
      <c r="AE427" s="1" t="s">
        <v>32</v>
      </c>
      <c r="AF427" s="1" t="s">
        <v>33</v>
      </c>
      <c r="AG427" s="1" t="s">
        <v>49</v>
      </c>
    </row>
    <row r="428" spans="1:33">
      <c r="A428" t="s">
        <v>1756</v>
      </c>
      <c r="B428" t="s">
        <v>1757</v>
      </c>
      <c r="C428" t="s">
        <v>1758</v>
      </c>
      <c r="E428" t="s">
        <v>1562</v>
      </c>
      <c r="F428" t="s">
        <v>1568</v>
      </c>
      <c r="G428">
        <v>448.302</v>
      </c>
      <c r="H428">
        <v>448.302</v>
      </c>
      <c r="I428" t="s">
        <v>529</v>
      </c>
      <c r="J428" t="s">
        <v>530</v>
      </c>
      <c r="K428" t="s">
        <v>31</v>
      </c>
      <c r="L428" t="s">
        <v>32</v>
      </c>
      <c r="M428" t="s">
        <v>33</v>
      </c>
      <c r="P428" s="1" t="s">
        <v>1759</v>
      </c>
      <c r="Q428" s="1" t="s">
        <v>1562</v>
      </c>
      <c r="R428" s="1" t="s">
        <v>822</v>
      </c>
      <c r="S428" s="1"/>
      <c r="T428" s="1" t="s">
        <v>1758</v>
      </c>
      <c r="U428" s="1"/>
      <c r="V428" s="1">
        <v>448.302</v>
      </c>
      <c r="W428" s="1">
        <v>448.302</v>
      </c>
      <c r="X428" s="1" t="s">
        <v>35</v>
      </c>
      <c r="Y428" s="1">
        <v>448302.0</v>
      </c>
      <c r="Z428" s="1"/>
      <c r="AA428" s="1">
        <v>448302</v>
      </c>
      <c r="AB428" s="1"/>
      <c r="AC428" s="1" t="s">
        <v>36</v>
      </c>
      <c r="AD428" s="1" t="s">
        <v>1704</v>
      </c>
      <c r="AE428" s="1" t="s">
        <v>32</v>
      </c>
      <c r="AF428" s="1" t="s">
        <v>33</v>
      </c>
      <c r="AG428" s="1" t="s">
        <v>530</v>
      </c>
    </row>
    <row r="429" spans="1:33">
      <c r="A429" t="s">
        <v>1760</v>
      </c>
      <c r="C429" t="s">
        <v>1761</v>
      </c>
      <c r="E429" t="s">
        <v>1562</v>
      </c>
      <c r="F429" t="s">
        <v>1568</v>
      </c>
      <c r="G429">
        <v>450.25</v>
      </c>
      <c r="H429">
        <v>450.25</v>
      </c>
      <c r="I429" t="s">
        <v>179</v>
      </c>
      <c r="J429" t="s">
        <v>180</v>
      </c>
      <c r="K429" t="s">
        <v>31</v>
      </c>
      <c r="L429" t="s">
        <v>32</v>
      </c>
      <c r="M429" t="s">
        <v>33</v>
      </c>
      <c r="P429" s="1" t="s">
        <v>1762</v>
      </c>
      <c r="Q429" s="1" t="s">
        <v>1562</v>
      </c>
      <c r="R429" s="1" t="s">
        <v>1562</v>
      </c>
      <c r="S429" s="1"/>
      <c r="T429" s="1" t="s">
        <v>1761</v>
      </c>
      <c r="U429" s="1"/>
      <c r="V429" s="1">
        <v>450.25</v>
      </c>
      <c r="W429" s="1">
        <v>450.25</v>
      </c>
      <c r="X429" s="1" t="s">
        <v>35</v>
      </c>
      <c r="Y429" s="1">
        <v>450250.0</v>
      </c>
      <c r="Z429" s="1"/>
      <c r="AA429" s="1">
        <v>450250</v>
      </c>
      <c r="AB429" s="1"/>
      <c r="AC429" s="1" t="s">
        <v>36</v>
      </c>
      <c r="AD429" s="1" t="s">
        <v>1763</v>
      </c>
      <c r="AE429" s="1" t="s">
        <v>32</v>
      </c>
      <c r="AF429" s="1" t="s">
        <v>33</v>
      </c>
      <c r="AG429" s="1" t="s">
        <v>180</v>
      </c>
    </row>
    <row r="430" spans="1:33">
      <c r="A430" t="s">
        <v>1764</v>
      </c>
      <c r="B430" t="s">
        <v>263</v>
      </c>
      <c r="C430" t="s">
        <v>264</v>
      </c>
      <c r="E430" t="s">
        <v>1562</v>
      </c>
      <c r="F430" t="s">
        <v>1568</v>
      </c>
      <c r="G430">
        <v>320.0</v>
      </c>
      <c r="H430">
        <v>320.0</v>
      </c>
      <c r="I430" t="s">
        <v>40</v>
      </c>
      <c r="J430" t="s">
        <v>41</v>
      </c>
      <c r="K430" t="s">
        <v>31</v>
      </c>
      <c r="L430" t="s">
        <v>32</v>
      </c>
      <c r="M430" t="s">
        <v>33</v>
      </c>
      <c r="P430" s="1" t="s">
        <v>1765</v>
      </c>
      <c r="Q430" s="1" t="s">
        <v>1562</v>
      </c>
      <c r="R430" s="1" t="s">
        <v>822</v>
      </c>
      <c r="S430" s="1"/>
      <c r="T430" s="1" t="s">
        <v>264</v>
      </c>
      <c r="U430" s="1"/>
      <c r="V430" s="1">
        <v>320.0</v>
      </c>
      <c r="W430" s="1">
        <v>320.0</v>
      </c>
      <c r="X430" s="1" t="s">
        <v>35</v>
      </c>
      <c r="Y430" s="1">
        <v>320000.0</v>
      </c>
      <c r="Z430" s="1"/>
      <c r="AA430" s="1">
        <v>320000</v>
      </c>
      <c r="AB430" s="1"/>
      <c r="AC430" s="1" t="s">
        <v>36</v>
      </c>
      <c r="AD430" s="1" t="s">
        <v>1766</v>
      </c>
      <c r="AE430" s="1" t="s">
        <v>32</v>
      </c>
      <c r="AF430" s="1" t="s">
        <v>33</v>
      </c>
      <c r="AG430" s="1" t="s">
        <v>41</v>
      </c>
    </row>
    <row r="431" spans="1:33">
      <c r="A431" t="s">
        <v>1767</v>
      </c>
      <c r="B431" t="s">
        <v>1768</v>
      </c>
      <c r="C431" t="s">
        <v>314</v>
      </c>
      <c r="E431" t="s">
        <v>1562</v>
      </c>
      <c r="F431" t="s">
        <v>1568</v>
      </c>
      <c r="G431">
        <v>73.51</v>
      </c>
      <c r="H431">
        <v>73.51</v>
      </c>
      <c r="I431" t="s">
        <v>179</v>
      </c>
      <c r="J431" t="s">
        <v>180</v>
      </c>
      <c r="K431" t="s">
        <v>31</v>
      </c>
      <c r="L431" t="s">
        <v>32</v>
      </c>
      <c r="M431" t="s">
        <v>33</v>
      </c>
      <c r="P431" s="1" t="s">
        <v>1769</v>
      </c>
      <c r="Q431" s="1" t="s">
        <v>1562</v>
      </c>
      <c r="R431" s="1" t="s">
        <v>1562</v>
      </c>
      <c r="S431" s="1"/>
      <c r="T431" s="1" t="s">
        <v>314</v>
      </c>
      <c r="U431" s="1"/>
      <c r="V431" s="1">
        <v>73.51</v>
      </c>
      <c r="W431" s="1">
        <v>73.51</v>
      </c>
      <c r="X431" s="1" t="s">
        <v>35</v>
      </c>
      <c r="Y431" s="1">
        <v>73510.0</v>
      </c>
      <c r="Z431" s="1"/>
      <c r="AA431" s="1">
        <v>73510</v>
      </c>
      <c r="AB431" s="1"/>
      <c r="AC431" s="1" t="s">
        <v>36</v>
      </c>
      <c r="AD431" s="1" t="s">
        <v>1770</v>
      </c>
      <c r="AE431" s="1" t="s">
        <v>32</v>
      </c>
      <c r="AF431" s="1" t="s">
        <v>33</v>
      </c>
      <c r="AG431" s="1" t="s">
        <v>180</v>
      </c>
    </row>
    <row r="432" spans="1:33">
      <c r="A432" t="s">
        <v>1771</v>
      </c>
      <c r="B432" t="s">
        <v>1772</v>
      </c>
      <c r="C432" t="s">
        <v>1773</v>
      </c>
      <c r="D432" t="s">
        <v>154</v>
      </c>
      <c r="E432" t="s">
        <v>1562</v>
      </c>
      <c r="F432" t="s">
        <v>1568</v>
      </c>
      <c r="G432">
        <v>2.055</v>
      </c>
      <c r="H432">
        <v>2.055</v>
      </c>
      <c r="I432" t="s">
        <v>29</v>
      </c>
      <c r="J432" t="s">
        <v>30</v>
      </c>
      <c r="K432" t="s">
        <v>31</v>
      </c>
      <c r="L432" t="s">
        <v>32</v>
      </c>
      <c r="M432" t="s">
        <v>33</v>
      </c>
      <c r="P432" s="1" t="s">
        <v>1774</v>
      </c>
      <c r="Q432" s="1" t="s">
        <v>1562</v>
      </c>
      <c r="R432" s="1" t="s">
        <v>1562</v>
      </c>
      <c r="S432" s="1"/>
      <c r="T432" s="1" t="s">
        <v>1773</v>
      </c>
      <c r="U432" s="1"/>
      <c r="V432" s="1">
        <v>2.055</v>
      </c>
      <c r="W432" s="1">
        <v>2.055</v>
      </c>
      <c r="X432" s="1" t="s">
        <v>35</v>
      </c>
      <c r="Y432" s="1">
        <v>2055000.0</v>
      </c>
      <c r="Z432" s="1"/>
      <c r="AA432" s="1">
        <v>2055000</v>
      </c>
      <c r="AB432" s="1"/>
      <c r="AC432" s="1" t="s">
        <v>36</v>
      </c>
      <c r="AD432" s="1" t="s">
        <v>1775</v>
      </c>
      <c r="AE432" s="1" t="s">
        <v>32</v>
      </c>
      <c r="AF432" s="1" t="s">
        <v>33</v>
      </c>
      <c r="AG432" s="1" t="s">
        <v>30</v>
      </c>
    </row>
    <row r="433" spans="1:33">
      <c r="A433" t="s">
        <v>1776</v>
      </c>
      <c r="C433" t="s">
        <v>1777</v>
      </c>
      <c r="E433" t="s">
        <v>1562</v>
      </c>
      <c r="F433" t="s">
        <v>1568</v>
      </c>
      <c r="G433">
        <v>697.0</v>
      </c>
      <c r="H433">
        <v>697.0</v>
      </c>
      <c r="I433" t="s">
        <v>40</v>
      </c>
      <c r="J433" t="s">
        <v>41</v>
      </c>
      <c r="K433" t="s">
        <v>31</v>
      </c>
      <c r="L433" t="s">
        <v>32</v>
      </c>
      <c r="M433" t="s">
        <v>33</v>
      </c>
      <c r="P433" s="1" t="s">
        <v>1778</v>
      </c>
      <c r="Q433" s="1" t="s">
        <v>1562</v>
      </c>
      <c r="R433" s="1" t="s">
        <v>822</v>
      </c>
      <c r="S433" s="1"/>
      <c r="T433" s="1" t="s">
        <v>1777</v>
      </c>
      <c r="U433" s="1"/>
      <c r="V433" s="1">
        <v>697.0</v>
      </c>
      <c r="W433" s="1">
        <v>697.0</v>
      </c>
      <c r="X433" s="1" t="s">
        <v>35</v>
      </c>
      <c r="Y433" s="1">
        <v>697000.0</v>
      </c>
      <c r="Z433" s="1"/>
      <c r="AA433" s="1">
        <v>697000</v>
      </c>
      <c r="AB433" s="1"/>
      <c r="AC433" s="1" t="s">
        <v>36</v>
      </c>
      <c r="AD433" s="1" t="s">
        <v>1779</v>
      </c>
      <c r="AE433" s="1" t="s">
        <v>32</v>
      </c>
      <c r="AF433" s="1" t="s">
        <v>33</v>
      </c>
      <c r="AG433" s="1" t="s">
        <v>41</v>
      </c>
    </row>
    <row r="434" spans="1:33">
      <c r="A434" t="s">
        <v>1780</v>
      </c>
      <c r="B434" t="s">
        <v>1781</v>
      </c>
      <c r="C434" t="s">
        <v>73</v>
      </c>
      <c r="E434" t="s">
        <v>1562</v>
      </c>
      <c r="F434" t="s">
        <v>1568</v>
      </c>
      <c r="G434">
        <v>49.274</v>
      </c>
      <c r="H434">
        <v>49.274</v>
      </c>
      <c r="I434" t="s">
        <v>40</v>
      </c>
      <c r="J434" t="s">
        <v>41</v>
      </c>
      <c r="K434" t="s">
        <v>31</v>
      </c>
      <c r="L434" t="s">
        <v>32</v>
      </c>
      <c r="M434" t="s">
        <v>33</v>
      </c>
      <c r="P434" s="1" t="s">
        <v>1782</v>
      </c>
      <c r="Q434" s="1" t="s">
        <v>1562</v>
      </c>
      <c r="R434" s="1" t="s">
        <v>1562</v>
      </c>
      <c r="S434" s="1"/>
      <c r="T434" s="1" t="s">
        <v>75</v>
      </c>
      <c r="U434" s="1" t="s">
        <v>76</v>
      </c>
      <c r="V434" s="1">
        <v>49.274</v>
      </c>
      <c r="W434" s="1">
        <v>49.274</v>
      </c>
      <c r="X434" s="1" t="s">
        <v>35</v>
      </c>
      <c r="Y434" s="1">
        <v>49274.0</v>
      </c>
      <c r="Z434" s="1"/>
      <c r="AA434" s="1">
        <v>49274</v>
      </c>
      <c r="AB434" s="1"/>
      <c r="AC434" s="1" t="s">
        <v>36</v>
      </c>
      <c r="AD434" s="1" t="s">
        <v>1783</v>
      </c>
      <c r="AE434" s="1" t="s">
        <v>32</v>
      </c>
      <c r="AF434" s="1" t="s">
        <v>33</v>
      </c>
      <c r="AG434" s="1" t="s">
        <v>41</v>
      </c>
    </row>
    <row r="435" spans="1:33">
      <c r="A435" t="s">
        <v>1784</v>
      </c>
      <c r="C435" t="s">
        <v>1785</v>
      </c>
      <c r="E435" t="s">
        <v>1562</v>
      </c>
      <c r="F435" t="s">
        <v>1568</v>
      </c>
      <c r="G435">
        <v>5.035</v>
      </c>
      <c r="H435">
        <v>5.035</v>
      </c>
      <c r="I435" t="s">
        <v>847</v>
      </c>
      <c r="J435" t="s">
        <v>848</v>
      </c>
      <c r="K435" t="s">
        <v>31</v>
      </c>
      <c r="L435" t="s">
        <v>32</v>
      </c>
      <c r="M435" t="s">
        <v>33</v>
      </c>
      <c r="P435" s="1" t="s">
        <v>1786</v>
      </c>
      <c r="Q435" s="1" t="s">
        <v>1562</v>
      </c>
      <c r="R435" s="1" t="s">
        <v>1562</v>
      </c>
      <c r="S435" s="1"/>
      <c r="T435" s="1" t="s">
        <v>1785</v>
      </c>
      <c r="U435" s="1"/>
      <c r="V435" s="1">
        <v>5.035</v>
      </c>
      <c r="W435" s="1">
        <v>5.035</v>
      </c>
      <c r="X435" s="1" t="s">
        <v>35</v>
      </c>
      <c r="Y435" s="1">
        <v>5035000.0</v>
      </c>
      <c r="Z435" s="1"/>
      <c r="AA435" s="1">
        <v>5035000</v>
      </c>
      <c r="AB435" s="1"/>
      <c r="AC435" s="1" t="s">
        <v>36</v>
      </c>
      <c r="AD435" s="1" t="s">
        <v>1787</v>
      </c>
      <c r="AE435" s="1" t="s">
        <v>32</v>
      </c>
      <c r="AF435" s="1" t="s">
        <v>33</v>
      </c>
      <c r="AG435" s="1" t="s">
        <v>848</v>
      </c>
    </row>
    <row r="436" spans="1:33">
      <c r="A436" t="s">
        <v>1788</v>
      </c>
      <c r="B436" t="s">
        <v>1789</v>
      </c>
      <c r="C436" t="s">
        <v>1790</v>
      </c>
      <c r="E436" t="s">
        <v>1562</v>
      </c>
      <c r="F436" t="s">
        <v>1568</v>
      </c>
      <c r="G436">
        <v>789.4</v>
      </c>
      <c r="H436">
        <v>789.4</v>
      </c>
      <c r="I436" t="s">
        <v>529</v>
      </c>
      <c r="J436" t="s">
        <v>530</v>
      </c>
      <c r="K436" t="s">
        <v>31</v>
      </c>
      <c r="L436" t="s">
        <v>32</v>
      </c>
      <c r="M436" t="s">
        <v>33</v>
      </c>
      <c r="P436" s="1" t="s">
        <v>1791</v>
      </c>
      <c r="Q436" s="1" t="s">
        <v>1562</v>
      </c>
      <c r="R436" s="1" t="s">
        <v>822</v>
      </c>
      <c r="S436" s="1"/>
      <c r="T436" s="1" t="s">
        <v>1790</v>
      </c>
      <c r="U436" s="1"/>
      <c r="V436" s="1">
        <v>789.4</v>
      </c>
      <c r="W436" s="1">
        <v>789.4</v>
      </c>
      <c r="X436" s="1" t="s">
        <v>35</v>
      </c>
      <c r="Y436" s="1">
        <v>789400.0</v>
      </c>
      <c r="Z436" s="1"/>
      <c r="AA436" s="1">
        <v>789400</v>
      </c>
      <c r="AB436" s="1"/>
      <c r="AC436" s="1" t="s">
        <v>36</v>
      </c>
      <c r="AD436" s="1" t="s">
        <v>1779</v>
      </c>
      <c r="AE436" s="1" t="s">
        <v>32</v>
      </c>
      <c r="AF436" s="1" t="s">
        <v>33</v>
      </c>
      <c r="AG436" s="1" t="s">
        <v>530</v>
      </c>
    </row>
    <row r="437" spans="1:33">
      <c r="A437" t="s">
        <v>1792</v>
      </c>
      <c r="B437" t="s">
        <v>1793</v>
      </c>
      <c r="C437" t="s">
        <v>569</v>
      </c>
      <c r="E437" t="s">
        <v>1562</v>
      </c>
      <c r="F437" t="s">
        <v>1568</v>
      </c>
      <c r="G437">
        <v>3.0</v>
      </c>
      <c r="H437">
        <v>3.0</v>
      </c>
      <c r="I437" t="s">
        <v>570</v>
      </c>
      <c r="J437" t="s">
        <v>571</v>
      </c>
      <c r="K437" t="s">
        <v>31</v>
      </c>
      <c r="L437" t="s">
        <v>32</v>
      </c>
      <c r="M437" t="s">
        <v>33</v>
      </c>
      <c r="P437" s="1" t="s">
        <v>1794</v>
      </c>
      <c r="Q437" s="1" t="s">
        <v>1562</v>
      </c>
      <c r="R437" s="1" t="s">
        <v>1562</v>
      </c>
      <c r="S437" s="1"/>
      <c r="T437" s="1" t="s">
        <v>569</v>
      </c>
      <c r="U437" s="1"/>
      <c r="V437" s="1">
        <v>3.0</v>
      </c>
      <c r="W437" s="1">
        <v>3.0</v>
      </c>
      <c r="X437" s="1" t="s">
        <v>35</v>
      </c>
      <c r="Y437" s="1">
        <v>3000.0</v>
      </c>
      <c r="Z437" s="1"/>
      <c r="AA437" s="1">
        <v>3000</v>
      </c>
      <c r="AB437" s="1"/>
      <c r="AC437" s="1" t="s">
        <v>36</v>
      </c>
      <c r="AD437" s="1" t="s">
        <v>1795</v>
      </c>
      <c r="AE437" s="1" t="s">
        <v>32</v>
      </c>
      <c r="AF437" s="1" t="s">
        <v>33</v>
      </c>
      <c r="AG437" s="1" t="s">
        <v>571</v>
      </c>
    </row>
    <row r="438" spans="1:33">
      <c r="A438" t="s">
        <v>1796</v>
      </c>
      <c r="B438" t="s">
        <v>1797</v>
      </c>
      <c r="C438" t="s">
        <v>172</v>
      </c>
      <c r="E438" t="s">
        <v>1562</v>
      </c>
      <c r="F438" t="s">
        <v>1568</v>
      </c>
      <c r="G438">
        <v>7.758</v>
      </c>
      <c r="H438">
        <v>7.758</v>
      </c>
      <c r="I438" t="s">
        <v>173</v>
      </c>
      <c r="J438" t="s">
        <v>174</v>
      </c>
      <c r="K438" t="s">
        <v>31</v>
      </c>
      <c r="L438" t="s">
        <v>32</v>
      </c>
      <c r="M438" t="s">
        <v>33</v>
      </c>
      <c r="P438" s="1" t="s">
        <v>1798</v>
      </c>
      <c r="Q438" s="1" t="s">
        <v>1562</v>
      </c>
      <c r="R438" s="1" t="s">
        <v>1562</v>
      </c>
      <c r="S438" s="1"/>
      <c r="T438" s="1" t="s">
        <v>172</v>
      </c>
      <c r="U438" s="1"/>
      <c r="V438" s="1">
        <v>7.758</v>
      </c>
      <c r="W438" s="1">
        <v>7.758</v>
      </c>
      <c r="X438" s="1" t="s">
        <v>35</v>
      </c>
      <c r="Y438" s="1">
        <v>7758.0</v>
      </c>
      <c r="Z438" s="1"/>
      <c r="AA438" s="1">
        <v>7758</v>
      </c>
      <c r="AB438" s="1"/>
      <c r="AC438" s="1" t="s">
        <v>36</v>
      </c>
      <c r="AD438" s="1" t="s">
        <v>1795</v>
      </c>
      <c r="AE438" s="1" t="s">
        <v>32</v>
      </c>
      <c r="AF438" s="1" t="s">
        <v>33</v>
      </c>
      <c r="AG438" s="1" t="s">
        <v>174</v>
      </c>
    </row>
    <row r="439" spans="1:33">
      <c r="A439" t="s">
        <v>1799</v>
      </c>
      <c r="B439" t="s">
        <v>1800</v>
      </c>
      <c r="C439" t="s">
        <v>906</v>
      </c>
      <c r="E439" t="s">
        <v>1562</v>
      </c>
      <c r="F439" t="s">
        <v>1568</v>
      </c>
      <c r="G439">
        <v>1.358</v>
      </c>
      <c r="H439">
        <v>1.358</v>
      </c>
      <c r="I439" t="s">
        <v>847</v>
      </c>
      <c r="J439" t="s">
        <v>848</v>
      </c>
      <c r="K439" t="s">
        <v>31</v>
      </c>
      <c r="L439" t="s">
        <v>32</v>
      </c>
      <c r="M439" t="s">
        <v>33</v>
      </c>
      <c r="P439" s="1" t="s">
        <v>1801</v>
      </c>
      <c r="Q439" s="1" t="s">
        <v>1562</v>
      </c>
      <c r="R439" s="1" t="s">
        <v>1562</v>
      </c>
      <c r="S439" s="1"/>
      <c r="T439" s="1" t="s">
        <v>906</v>
      </c>
      <c r="U439" s="1"/>
      <c r="V439" s="1">
        <v>1.358</v>
      </c>
      <c r="W439" s="1">
        <v>1.358</v>
      </c>
      <c r="X439" s="1" t="s">
        <v>35</v>
      </c>
      <c r="Y439" s="1">
        <v>1358.0</v>
      </c>
      <c r="Z439" s="1"/>
      <c r="AA439" s="1">
        <v>1358</v>
      </c>
      <c r="AB439" s="1"/>
      <c r="AC439" s="1" t="s">
        <v>36</v>
      </c>
      <c r="AD439" s="1" t="s">
        <v>1802</v>
      </c>
      <c r="AE439" s="1" t="s">
        <v>32</v>
      </c>
      <c r="AF439" s="1" t="s">
        <v>33</v>
      </c>
      <c r="AG439" s="1" t="s">
        <v>848</v>
      </c>
    </row>
    <row r="440" spans="1:33">
      <c r="A440" t="s">
        <v>1803</v>
      </c>
      <c r="B440" t="s">
        <v>1280</v>
      </c>
      <c r="C440" t="s">
        <v>1281</v>
      </c>
      <c r="E440" t="s">
        <v>1562</v>
      </c>
      <c r="F440" t="s">
        <v>1568</v>
      </c>
      <c r="G440">
        <v>700.4</v>
      </c>
      <c r="H440">
        <v>700.4</v>
      </c>
      <c r="I440" t="s">
        <v>529</v>
      </c>
      <c r="J440" t="s">
        <v>530</v>
      </c>
      <c r="K440" t="s">
        <v>31</v>
      </c>
      <c r="L440" t="s">
        <v>32</v>
      </c>
      <c r="M440" t="s">
        <v>33</v>
      </c>
      <c r="P440" s="1" t="s">
        <v>1804</v>
      </c>
      <c r="Q440" s="1" t="s">
        <v>1562</v>
      </c>
      <c r="R440" s="1" t="s">
        <v>822</v>
      </c>
      <c r="S440" s="1"/>
      <c r="T440" s="1" t="s">
        <v>1281</v>
      </c>
      <c r="U440" s="1"/>
      <c r="V440" s="1">
        <v>700.4</v>
      </c>
      <c r="W440" s="1">
        <v>700.4</v>
      </c>
      <c r="X440" s="1" t="s">
        <v>35</v>
      </c>
      <c r="Y440" s="1">
        <v>700400.0</v>
      </c>
      <c r="Z440" s="1"/>
      <c r="AA440" s="1">
        <v>700400</v>
      </c>
      <c r="AB440" s="1"/>
      <c r="AC440" s="1" t="s">
        <v>36</v>
      </c>
      <c r="AD440" s="1" t="s">
        <v>1805</v>
      </c>
      <c r="AE440" s="1" t="s">
        <v>32</v>
      </c>
      <c r="AF440" s="1" t="s">
        <v>33</v>
      </c>
      <c r="AG440" s="1" t="s">
        <v>530</v>
      </c>
    </row>
    <row r="441" spans="1:33">
      <c r="A441" t="s">
        <v>1806</v>
      </c>
      <c r="C441" t="s">
        <v>1807</v>
      </c>
      <c r="E441" t="s">
        <v>1562</v>
      </c>
      <c r="F441" t="s">
        <v>1568</v>
      </c>
      <c r="G441">
        <v>328.0</v>
      </c>
      <c r="H441">
        <v>328.0</v>
      </c>
      <c r="I441" t="s">
        <v>269</v>
      </c>
      <c r="J441" t="s">
        <v>270</v>
      </c>
      <c r="K441" t="s">
        <v>31</v>
      </c>
      <c r="L441" t="s">
        <v>32</v>
      </c>
      <c r="M441" t="s">
        <v>33</v>
      </c>
      <c r="P441" s="1" t="s">
        <v>1808</v>
      </c>
      <c r="Q441" s="1" t="s">
        <v>1562</v>
      </c>
      <c r="R441" s="1" t="s">
        <v>1562</v>
      </c>
      <c r="S441" s="1"/>
      <c r="T441" s="1" t="s">
        <v>1807</v>
      </c>
      <c r="U441" s="1"/>
      <c r="V441" s="1">
        <v>328.0</v>
      </c>
      <c r="W441" s="1">
        <v>328.0</v>
      </c>
      <c r="X441" s="1" t="s">
        <v>35</v>
      </c>
      <c r="Y441" s="1">
        <v>328000.0</v>
      </c>
      <c r="Z441" s="1"/>
      <c r="AA441" s="1">
        <v>328000</v>
      </c>
      <c r="AB441" s="1"/>
      <c r="AC441" s="1" t="s">
        <v>36</v>
      </c>
      <c r="AD441" s="1" t="s">
        <v>1795</v>
      </c>
      <c r="AE441" s="1" t="s">
        <v>32</v>
      </c>
      <c r="AF441" s="1" t="s">
        <v>33</v>
      </c>
      <c r="AG441" s="1" t="s">
        <v>270</v>
      </c>
    </row>
    <row r="442" spans="1:33">
      <c r="A442" t="s">
        <v>1809</v>
      </c>
      <c r="C442" t="s">
        <v>1024</v>
      </c>
      <c r="E442" t="s">
        <v>1562</v>
      </c>
      <c r="F442" t="s">
        <v>1568</v>
      </c>
      <c r="G442">
        <v>326.0</v>
      </c>
      <c r="H442">
        <v>326.0</v>
      </c>
      <c r="I442" t="s">
        <v>847</v>
      </c>
      <c r="J442" t="s">
        <v>848</v>
      </c>
      <c r="K442" t="s">
        <v>31</v>
      </c>
      <c r="L442" t="s">
        <v>32</v>
      </c>
      <c r="M442" t="s">
        <v>33</v>
      </c>
      <c r="P442" s="1" t="s">
        <v>1810</v>
      </c>
      <c r="Q442" s="1" t="s">
        <v>1562</v>
      </c>
      <c r="R442" s="1" t="s">
        <v>1562</v>
      </c>
      <c r="S442" s="1"/>
      <c r="T442" s="1" t="s">
        <v>1024</v>
      </c>
      <c r="U442" s="1"/>
      <c r="V442" s="1">
        <v>326.0</v>
      </c>
      <c r="W442" s="1">
        <v>326.0</v>
      </c>
      <c r="X442" s="1" t="s">
        <v>35</v>
      </c>
      <c r="Y442" s="1">
        <v>326000.0</v>
      </c>
      <c r="Z442" s="1"/>
      <c r="AA442" s="1">
        <v>326000</v>
      </c>
      <c r="AB442" s="1"/>
      <c r="AC442" s="1" t="s">
        <v>36</v>
      </c>
      <c r="AD442" s="1" t="s">
        <v>1811</v>
      </c>
      <c r="AE442" s="1" t="s">
        <v>32</v>
      </c>
      <c r="AF442" s="1" t="s">
        <v>33</v>
      </c>
      <c r="AG442" s="1" t="s">
        <v>848</v>
      </c>
    </row>
    <row r="443" spans="1:33">
      <c r="A443" t="s">
        <v>1812</v>
      </c>
      <c r="C443" t="s">
        <v>1104</v>
      </c>
      <c r="E443" t="s">
        <v>1562</v>
      </c>
      <c r="F443" t="s">
        <v>1568</v>
      </c>
      <c r="G443">
        <v>328.0</v>
      </c>
      <c r="H443">
        <v>328.0</v>
      </c>
      <c r="I443" t="s">
        <v>269</v>
      </c>
      <c r="J443" t="s">
        <v>270</v>
      </c>
      <c r="K443" t="s">
        <v>31</v>
      </c>
      <c r="L443" t="s">
        <v>32</v>
      </c>
      <c r="M443" t="s">
        <v>33</v>
      </c>
      <c r="P443" s="1" t="s">
        <v>1813</v>
      </c>
      <c r="Q443" s="1" t="s">
        <v>1562</v>
      </c>
      <c r="R443" s="1" t="s">
        <v>1562</v>
      </c>
      <c r="S443" s="1"/>
      <c r="T443" s="1" t="s">
        <v>1104</v>
      </c>
      <c r="U443" s="1"/>
      <c r="V443" s="1">
        <v>328.0</v>
      </c>
      <c r="W443" s="1">
        <v>328.0</v>
      </c>
      <c r="X443" s="1" t="s">
        <v>35</v>
      </c>
      <c r="Y443" s="1">
        <v>328000.0</v>
      </c>
      <c r="Z443" s="1"/>
      <c r="AA443" s="1">
        <v>328000</v>
      </c>
      <c r="AB443" s="1"/>
      <c r="AC443" s="1" t="s">
        <v>36</v>
      </c>
      <c r="AD443" s="1" t="s">
        <v>1805</v>
      </c>
      <c r="AE443" s="1" t="s">
        <v>32</v>
      </c>
      <c r="AF443" s="1" t="s">
        <v>33</v>
      </c>
      <c r="AG443" s="1" t="s">
        <v>270</v>
      </c>
    </row>
    <row r="444" spans="1:33">
      <c r="A444" t="s">
        <v>1814</v>
      </c>
      <c r="C444" t="s">
        <v>1815</v>
      </c>
      <c r="E444" t="s">
        <v>1562</v>
      </c>
      <c r="F444" t="s">
        <v>1568</v>
      </c>
      <c r="G444">
        <v>2.234</v>
      </c>
      <c r="H444">
        <v>2.234</v>
      </c>
      <c r="I444" t="s">
        <v>847</v>
      </c>
      <c r="J444" t="s">
        <v>848</v>
      </c>
      <c r="K444" t="s">
        <v>31</v>
      </c>
      <c r="L444" t="s">
        <v>32</v>
      </c>
      <c r="M444" t="s">
        <v>33</v>
      </c>
      <c r="P444" s="1" t="s">
        <v>1816</v>
      </c>
      <c r="Q444" s="1" t="s">
        <v>1562</v>
      </c>
      <c r="R444" s="1" t="s">
        <v>1562</v>
      </c>
      <c r="S444" s="1"/>
      <c r="T444" s="1" t="s">
        <v>1815</v>
      </c>
      <c r="U444" s="1"/>
      <c r="V444" s="1">
        <v>2.234</v>
      </c>
      <c r="W444" s="1">
        <v>2.234</v>
      </c>
      <c r="X444" s="1" t="s">
        <v>35</v>
      </c>
      <c r="Y444" s="1">
        <v>2234300.0</v>
      </c>
      <c r="Z444" s="1"/>
      <c r="AA444" s="1">
        <v>2234300</v>
      </c>
      <c r="AB444" s="1"/>
      <c r="AC444" s="1" t="s">
        <v>36</v>
      </c>
      <c r="AD444" s="1" t="s">
        <v>1766</v>
      </c>
      <c r="AE444" s="1" t="s">
        <v>32</v>
      </c>
      <c r="AF444" s="1" t="s">
        <v>33</v>
      </c>
      <c r="AG444" s="1" t="s">
        <v>848</v>
      </c>
    </row>
    <row r="445" spans="1:33">
      <c r="A445" t="s">
        <v>1817</v>
      </c>
      <c r="B445" t="s">
        <v>1818</v>
      </c>
      <c r="C445" t="s">
        <v>68</v>
      </c>
      <c r="E445" t="s">
        <v>1562</v>
      </c>
      <c r="F445" t="s">
        <v>1568</v>
      </c>
      <c r="G445">
        <v>26.225</v>
      </c>
      <c r="H445">
        <v>26.225</v>
      </c>
      <c r="I445" t="s">
        <v>59</v>
      </c>
      <c r="J445" t="s">
        <v>60</v>
      </c>
      <c r="K445" t="s">
        <v>31</v>
      </c>
      <c r="L445" t="s">
        <v>32</v>
      </c>
      <c r="M445" t="s">
        <v>33</v>
      </c>
      <c r="P445" s="1" t="s">
        <v>1819</v>
      </c>
      <c r="Q445" s="1" t="s">
        <v>1562</v>
      </c>
      <c r="R445" s="1" t="s">
        <v>1562</v>
      </c>
      <c r="S445" s="1"/>
      <c r="T445" s="1" t="s">
        <v>68</v>
      </c>
      <c r="U445" s="1"/>
      <c r="V445" s="1">
        <v>26.225</v>
      </c>
      <c r="W445" s="1">
        <v>26.225</v>
      </c>
      <c r="X445" s="1" t="s">
        <v>35</v>
      </c>
      <c r="Y445" s="1">
        <v>26225.0</v>
      </c>
      <c r="Z445" s="1"/>
      <c r="AA445" s="1">
        <v>26225</v>
      </c>
      <c r="AB445" s="1"/>
      <c r="AC445" s="1" t="s">
        <v>36</v>
      </c>
      <c r="AD445" s="1" t="s">
        <v>1820</v>
      </c>
      <c r="AE445" s="1" t="s">
        <v>32</v>
      </c>
      <c r="AF445" s="1" t="s">
        <v>33</v>
      </c>
      <c r="AG445" s="1" t="s">
        <v>60</v>
      </c>
    </row>
    <row r="446" spans="1:33">
      <c r="A446" t="s">
        <v>1821</v>
      </c>
      <c r="B446" t="s">
        <v>1822</v>
      </c>
      <c r="C446" t="s">
        <v>172</v>
      </c>
      <c r="E446" t="s">
        <v>1562</v>
      </c>
      <c r="F446" t="s">
        <v>1568</v>
      </c>
      <c r="G446">
        <v>67.96</v>
      </c>
      <c r="H446">
        <v>67.96</v>
      </c>
      <c r="I446" t="s">
        <v>173</v>
      </c>
      <c r="J446" t="s">
        <v>174</v>
      </c>
      <c r="K446" t="s">
        <v>31</v>
      </c>
      <c r="L446" t="s">
        <v>32</v>
      </c>
      <c r="M446" t="s">
        <v>33</v>
      </c>
      <c r="P446" s="1" t="s">
        <v>1823</v>
      </c>
      <c r="Q446" s="1" t="s">
        <v>1562</v>
      </c>
      <c r="R446" s="1" t="s">
        <v>1562</v>
      </c>
      <c r="S446" s="1"/>
      <c r="T446" s="1" t="s">
        <v>172</v>
      </c>
      <c r="U446" s="1"/>
      <c r="V446" s="1">
        <v>67.96</v>
      </c>
      <c r="W446" s="1">
        <v>67.96</v>
      </c>
      <c r="X446" s="1" t="s">
        <v>35</v>
      </c>
      <c r="Y446" s="1">
        <v>67960.0</v>
      </c>
      <c r="Z446" s="1"/>
      <c r="AA446" s="1">
        <v>67960</v>
      </c>
      <c r="AB446" s="1"/>
      <c r="AC446" s="1" t="s">
        <v>36</v>
      </c>
      <c r="AD446" s="1" t="s">
        <v>1824</v>
      </c>
      <c r="AE446" s="1" t="s">
        <v>32</v>
      </c>
      <c r="AF446" s="1" t="s">
        <v>33</v>
      </c>
      <c r="AG446" s="1" t="s">
        <v>174</v>
      </c>
    </row>
    <row r="447" spans="1:33">
      <c r="A447" t="s">
        <v>1825</v>
      </c>
      <c r="B447" t="s">
        <v>1826</v>
      </c>
      <c r="C447" t="s">
        <v>68</v>
      </c>
      <c r="E447" t="s">
        <v>1562</v>
      </c>
      <c r="F447" t="s">
        <v>1568</v>
      </c>
      <c r="G447">
        <v>18.49</v>
      </c>
      <c r="H447">
        <v>18.49</v>
      </c>
      <c r="I447" t="s">
        <v>59</v>
      </c>
      <c r="J447" t="s">
        <v>60</v>
      </c>
      <c r="K447" t="s">
        <v>31</v>
      </c>
      <c r="L447" t="s">
        <v>32</v>
      </c>
      <c r="M447" t="s">
        <v>33</v>
      </c>
      <c r="P447" s="1" t="s">
        <v>1827</v>
      </c>
      <c r="Q447" s="1" t="s">
        <v>1562</v>
      </c>
      <c r="R447" s="1" t="s">
        <v>1562</v>
      </c>
      <c r="S447" s="1"/>
      <c r="T447" s="1" t="s">
        <v>68</v>
      </c>
      <c r="U447" s="1"/>
      <c r="V447" s="1">
        <v>18.49</v>
      </c>
      <c r="W447" s="1">
        <v>18.49</v>
      </c>
      <c r="X447" s="1" t="s">
        <v>35</v>
      </c>
      <c r="Y447" s="1">
        <v>18490.0</v>
      </c>
      <c r="Z447" s="1"/>
      <c r="AA447" s="1">
        <v>18490</v>
      </c>
      <c r="AB447" s="1"/>
      <c r="AC447" s="1" t="s">
        <v>36</v>
      </c>
      <c r="AD447" s="1" t="s">
        <v>1828</v>
      </c>
      <c r="AE447" s="1" t="s">
        <v>32</v>
      </c>
      <c r="AF447" s="1" t="s">
        <v>33</v>
      </c>
      <c r="AG447" s="1" t="s">
        <v>60</v>
      </c>
    </row>
    <row r="448" spans="1:33">
      <c r="A448" t="s">
        <v>1829</v>
      </c>
      <c r="B448" t="s">
        <v>1830</v>
      </c>
      <c r="C448" t="s">
        <v>125</v>
      </c>
      <c r="E448" t="s">
        <v>1562</v>
      </c>
      <c r="F448" t="s">
        <v>1568</v>
      </c>
      <c r="G448">
        <v>8.01</v>
      </c>
      <c r="H448">
        <v>8.01</v>
      </c>
      <c r="I448" t="s">
        <v>126</v>
      </c>
      <c r="J448" t="s">
        <v>127</v>
      </c>
      <c r="K448" t="s">
        <v>31</v>
      </c>
      <c r="L448" t="s">
        <v>32</v>
      </c>
      <c r="M448" t="s">
        <v>33</v>
      </c>
      <c r="P448" s="1" t="s">
        <v>1831</v>
      </c>
      <c r="Q448" s="1" t="s">
        <v>1562</v>
      </c>
      <c r="R448" s="1" t="s">
        <v>1562</v>
      </c>
      <c r="S448" s="1"/>
      <c r="T448" s="1" t="s">
        <v>125</v>
      </c>
      <c r="U448" s="1"/>
      <c r="V448" s="1">
        <v>8.01</v>
      </c>
      <c r="W448" s="1">
        <v>8.01</v>
      </c>
      <c r="X448" s="1" t="s">
        <v>35</v>
      </c>
      <c r="Y448" s="1">
        <v>8010.0</v>
      </c>
      <c r="Z448" s="1"/>
      <c r="AA448" s="1">
        <v>8010</v>
      </c>
      <c r="AB448" s="1"/>
      <c r="AC448" s="1" t="s">
        <v>36</v>
      </c>
      <c r="AD448" s="1" t="s">
        <v>1832</v>
      </c>
      <c r="AE448" s="1" t="s">
        <v>32</v>
      </c>
      <c r="AF448" s="1" t="s">
        <v>33</v>
      </c>
      <c r="AG448" s="1" t="s">
        <v>127</v>
      </c>
    </row>
    <row r="449" spans="1:33">
      <c r="A449" t="s">
        <v>1833</v>
      </c>
      <c r="B449" t="s">
        <v>1834</v>
      </c>
      <c r="C449" t="s">
        <v>314</v>
      </c>
      <c r="E449" t="s">
        <v>1562</v>
      </c>
      <c r="F449" t="s">
        <v>1568</v>
      </c>
      <c r="G449">
        <v>9.468</v>
      </c>
      <c r="H449">
        <v>9.468</v>
      </c>
      <c r="I449" t="s">
        <v>179</v>
      </c>
      <c r="J449" t="s">
        <v>180</v>
      </c>
      <c r="K449" t="s">
        <v>31</v>
      </c>
      <c r="L449" t="s">
        <v>32</v>
      </c>
      <c r="M449" t="s">
        <v>33</v>
      </c>
      <c r="P449" s="1" t="s">
        <v>1835</v>
      </c>
      <c r="Q449" s="1" t="s">
        <v>1562</v>
      </c>
      <c r="R449" s="1" t="s">
        <v>1562</v>
      </c>
      <c r="S449" s="1"/>
      <c r="T449" s="1" t="s">
        <v>314</v>
      </c>
      <c r="U449" s="1"/>
      <c r="V449" s="1">
        <v>9.468</v>
      </c>
      <c r="W449" s="1">
        <v>9.468</v>
      </c>
      <c r="X449" s="1" t="s">
        <v>35</v>
      </c>
      <c r="Y449" s="1">
        <v>9468.0</v>
      </c>
      <c r="Z449" s="1"/>
      <c r="AA449" s="1">
        <v>9468</v>
      </c>
      <c r="AB449" s="1"/>
      <c r="AC449" s="1" t="s">
        <v>36</v>
      </c>
      <c r="AD449" s="1" t="s">
        <v>1836</v>
      </c>
      <c r="AE449" s="1" t="s">
        <v>32</v>
      </c>
      <c r="AF449" s="1" t="s">
        <v>33</v>
      </c>
      <c r="AG449" s="1" t="s">
        <v>180</v>
      </c>
    </row>
    <row r="450" spans="1:33">
      <c r="A450" t="s">
        <v>1837</v>
      </c>
      <c r="C450" t="s">
        <v>309</v>
      </c>
      <c r="E450" t="s">
        <v>1562</v>
      </c>
      <c r="F450" t="s">
        <v>1568</v>
      </c>
      <c r="G450">
        <v>336.0</v>
      </c>
      <c r="H450">
        <v>336.0</v>
      </c>
      <c r="I450" t="s">
        <v>48</v>
      </c>
      <c r="J450" t="s">
        <v>49</v>
      </c>
      <c r="K450" t="s">
        <v>31</v>
      </c>
      <c r="L450" t="s">
        <v>32</v>
      </c>
      <c r="M450" t="s">
        <v>33</v>
      </c>
      <c r="P450" s="1" t="s">
        <v>1838</v>
      </c>
      <c r="Q450" s="1" t="s">
        <v>1562</v>
      </c>
      <c r="R450" s="1" t="s">
        <v>1562</v>
      </c>
      <c r="S450" s="1"/>
      <c r="T450" s="1" t="s">
        <v>309</v>
      </c>
      <c r="U450" s="1"/>
      <c r="V450" s="1">
        <v>336.0</v>
      </c>
      <c r="W450" s="1">
        <v>336.0</v>
      </c>
      <c r="X450" s="1" t="s">
        <v>35</v>
      </c>
      <c r="Y450" s="1">
        <v>336000.0</v>
      </c>
      <c r="Z450" s="1"/>
      <c r="AA450" s="1">
        <v>336000</v>
      </c>
      <c r="AB450" s="1"/>
      <c r="AC450" s="1" t="s">
        <v>36</v>
      </c>
      <c r="AD450" s="1" t="s">
        <v>1839</v>
      </c>
      <c r="AE450" s="1" t="s">
        <v>32</v>
      </c>
      <c r="AF450" s="1" t="s">
        <v>33</v>
      </c>
      <c r="AG450" s="1" t="s">
        <v>49</v>
      </c>
    </row>
    <row r="451" spans="1:33">
      <c r="A451" t="s">
        <v>1840</v>
      </c>
      <c r="B451" t="s">
        <v>1841</v>
      </c>
      <c r="C451" t="s">
        <v>68</v>
      </c>
      <c r="E451" t="s">
        <v>1562</v>
      </c>
      <c r="F451" t="s">
        <v>1568</v>
      </c>
      <c r="G451">
        <v>59.98</v>
      </c>
      <c r="H451">
        <v>59.98</v>
      </c>
      <c r="I451" t="s">
        <v>59</v>
      </c>
      <c r="J451" t="s">
        <v>60</v>
      </c>
      <c r="K451" t="s">
        <v>31</v>
      </c>
      <c r="L451" t="s">
        <v>32</v>
      </c>
      <c r="M451" t="s">
        <v>33</v>
      </c>
      <c r="P451" s="1" t="s">
        <v>1842</v>
      </c>
      <c r="Q451" s="1" t="s">
        <v>1562</v>
      </c>
      <c r="R451" s="1" t="s">
        <v>1562</v>
      </c>
      <c r="S451" s="1"/>
      <c r="T451" s="1" t="s">
        <v>68</v>
      </c>
      <c r="U451" s="1"/>
      <c r="V451" s="1">
        <v>59.98</v>
      </c>
      <c r="W451" s="1">
        <v>59.98</v>
      </c>
      <c r="X451" s="1" t="s">
        <v>35</v>
      </c>
      <c r="Y451" s="1">
        <v>59980.0</v>
      </c>
      <c r="Z451" s="1"/>
      <c r="AA451" s="1">
        <v>59980</v>
      </c>
      <c r="AB451" s="1"/>
      <c r="AC451" s="1" t="s">
        <v>36</v>
      </c>
      <c r="AD451" s="1" t="s">
        <v>1843</v>
      </c>
      <c r="AE451" s="1" t="s">
        <v>32</v>
      </c>
      <c r="AF451" s="1" t="s">
        <v>33</v>
      </c>
      <c r="AG451" s="1" t="s">
        <v>60</v>
      </c>
    </row>
    <row r="452" spans="1:33">
      <c r="A452" t="s">
        <v>1844</v>
      </c>
      <c r="B452" t="s">
        <v>1845</v>
      </c>
      <c r="C452" t="s">
        <v>26</v>
      </c>
      <c r="E452" t="s">
        <v>1562</v>
      </c>
      <c r="F452" t="s">
        <v>1568</v>
      </c>
      <c r="G452">
        <v>32.99</v>
      </c>
      <c r="H452">
        <v>32.99</v>
      </c>
      <c r="I452" t="s">
        <v>29</v>
      </c>
      <c r="J452" t="s">
        <v>30</v>
      </c>
      <c r="K452" t="s">
        <v>31</v>
      </c>
      <c r="L452" t="s">
        <v>32</v>
      </c>
      <c r="M452" t="s">
        <v>33</v>
      </c>
      <c r="P452" s="1" t="s">
        <v>1846</v>
      </c>
      <c r="Q452" s="1" t="s">
        <v>1562</v>
      </c>
      <c r="R452" s="1" t="s">
        <v>1562</v>
      </c>
      <c r="S452" s="1"/>
      <c r="T452" s="1" t="s">
        <v>26</v>
      </c>
      <c r="U452" s="1"/>
      <c r="V452" s="1">
        <v>32.99</v>
      </c>
      <c r="W452" s="1">
        <v>32.99</v>
      </c>
      <c r="X452" s="1" t="s">
        <v>35</v>
      </c>
      <c r="Y452" s="1">
        <v>32990.0</v>
      </c>
      <c r="Z452" s="1"/>
      <c r="AA452" s="1">
        <v>32990</v>
      </c>
      <c r="AB452" s="1"/>
      <c r="AC452" s="1" t="s">
        <v>36</v>
      </c>
      <c r="AD452" s="1" t="s">
        <v>1824</v>
      </c>
      <c r="AE452" s="1" t="s">
        <v>32</v>
      </c>
      <c r="AF452" s="1" t="s">
        <v>33</v>
      </c>
      <c r="AG452" s="1" t="s">
        <v>30</v>
      </c>
    </row>
    <row r="453" spans="1:33">
      <c r="A453" t="s">
        <v>1847</v>
      </c>
      <c r="B453" t="s">
        <v>1826</v>
      </c>
      <c r="C453" t="s">
        <v>68</v>
      </c>
      <c r="E453" t="s">
        <v>1562</v>
      </c>
      <c r="F453" t="s">
        <v>1568</v>
      </c>
      <c r="G453">
        <v>18.49</v>
      </c>
      <c r="H453">
        <v>18.49</v>
      </c>
      <c r="I453" t="s">
        <v>59</v>
      </c>
      <c r="J453" t="s">
        <v>60</v>
      </c>
      <c r="K453" t="s">
        <v>31</v>
      </c>
      <c r="L453" t="s">
        <v>32</v>
      </c>
      <c r="M453" t="s">
        <v>33</v>
      </c>
      <c r="P453" s="1" t="s">
        <v>1848</v>
      </c>
      <c r="Q453" s="1" t="s">
        <v>1562</v>
      </c>
      <c r="R453" s="1" t="s">
        <v>1562</v>
      </c>
      <c r="S453" s="1"/>
      <c r="T453" s="1" t="s">
        <v>68</v>
      </c>
      <c r="U453" s="1"/>
      <c r="V453" s="1">
        <v>18.49</v>
      </c>
      <c r="W453" s="1">
        <v>18.49</v>
      </c>
      <c r="X453" s="1" t="s">
        <v>35</v>
      </c>
      <c r="Y453" s="1">
        <v>18490.0</v>
      </c>
      <c r="Z453" s="1"/>
      <c r="AA453" s="1">
        <v>18490</v>
      </c>
      <c r="AB453" s="1"/>
      <c r="AC453" s="1" t="s">
        <v>36</v>
      </c>
      <c r="AD453" s="1" t="s">
        <v>1849</v>
      </c>
      <c r="AE453" s="1" t="s">
        <v>32</v>
      </c>
      <c r="AF453" s="1" t="s">
        <v>33</v>
      </c>
      <c r="AG453" s="1" t="s">
        <v>60</v>
      </c>
    </row>
    <row r="454" spans="1:33">
      <c r="A454" t="s">
        <v>1850</v>
      </c>
      <c r="B454" t="s">
        <v>1851</v>
      </c>
      <c r="C454" t="s">
        <v>569</v>
      </c>
      <c r="E454" t="s">
        <v>1562</v>
      </c>
      <c r="F454" t="s">
        <v>1568</v>
      </c>
      <c r="G454">
        <v>170.94</v>
      </c>
      <c r="H454">
        <v>170.94</v>
      </c>
      <c r="I454" t="s">
        <v>570</v>
      </c>
      <c r="J454" t="s">
        <v>571</v>
      </c>
      <c r="K454" t="s">
        <v>31</v>
      </c>
      <c r="L454" t="s">
        <v>32</v>
      </c>
      <c r="M454" t="s">
        <v>33</v>
      </c>
      <c r="P454" s="1" t="s">
        <v>1852</v>
      </c>
      <c r="Q454" s="1" t="s">
        <v>1562</v>
      </c>
      <c r="R454" s="1" t="s">
        <v>1562</v>
      </c>
      <c r="S454" s="1"/>
      <c r="T454" s="1" t="s">
        <v>569</v>
      </c>
      <c r="U454" s="1"/>
      <c r="V454" s="1">
        <v>170.94</v>
      </c>
      <c r="W454" s="1">
        <v>170.94</v>
      </c>
      <c r="X454" s="1" t="s">
        <v>35</v>
      </c>
      <c r="Y454" s="1">
        <v>170940.0</v>
      </c>
      <c r="Z454" s="1"/>
      <c r="AA454" s="1">
        <v>170940</v>
      </c>
      <c r="AB454" s="1"/>
      <c r="AC454" s="1" t="s">
        <v>36</v>
      </c>
      <c r="AD454" s="1" t="s">
        <v>1849</v>
      </c>
      <c r="AE454" s="1" t="s">
        <v>32</v>
      </c>
      <c r="AF454" s="1" t="s">
        <v>33</v>
      </c>
      <c r="AG454" s="1" t="s">
        <v>571</v>
      </c>
    </row>
    <row r="455" spans="1:33">
      <c r="A455" t="s">
        <v>1853</v>
      </c>
      <c r="C455" t="s">
        <v>1854</v>
      </c>
      <c r="D455" t="s">
        <v>154</v>
      </c>
      <c r="E455" t="s">
        <v>1562</v>
      </c>
      <c r="F455" t="s">
        <v>1568</v>
      </c>
      <c r="G455">
        <v>328.0</v>
      </c>
      <c r="H455">
        <v>328.0</v>
      </c>
      <c r="I455" t="s">
        <v>227</v>
      </c>
      <c r="J455" t="s">
        <v>228</v>
      </c>
      <c r="K455" t="s">
        <v>31</v>
      </c>
      <c r="L455" t="s">
        <v>32</v>
      </c>
      <c r="M455" t="s">
        <v>33</v>
      </c>
      <c r="P455" s="1" t="s">
        <v>1855</v>
      </c>
      <c r="Q455" s="1" t="s">
        <v>1562</v>
      </c>
      <c r="R455" s="1" t="s">
        <v>1562</v>
      </c>
      <c r="S455" s="1"/>
      <c r="T455" s="1" t="s">
        <v>1854</v>
      </c>
      <c r="U455" s="1"/>
      <c r="V455" s="1">
        <v>328.0</v>
      </c>
      <c r="W455" s="1">
        <v>328.0</v>
      </c>
      <c r="X455" s="1" t="s">
        <v>35</v>
      </c>
      <c r="Y455" s="1">
        <v>328000.0</v>
      </c>
      <c r="Z455" s="1"/>
      <c r="AA455" s="1">
        <v>328000</v>
      </c>
      <c r="AB455" s="1"/>
      <c r="AC455" s="1" t="s">
        <v>36</v>
      </c>
      <c r="AD455" s="1" t="s">
        <v>1856</v>
      </c>
      <c r="AE455" s="1" t="s">
        <v>32</v>
      </c>
      <c r="AF455" s="1" t="s">
        <v>33</v>
      </c>
      <c r="AG455" s="1" t="s">
        <v>228</v>
      </c>
    </row>
    <row r="456" spans="1:33">
      <c r="A456" t="s">
        <v>1857</v>
      </c>
      <c r="C456" t="s">
        <v>1858</v>
      </c>
      <c r="E456" t="s">
        <v>1562</v>
      </c>
      <c r="F456" t="s">
        <v>1568</v>
      </c>
      <c r="G456">
        <v>668.5</v>
      </c>
      <c r="H456">
        <v>668.5</v>
      </c>
      <c r="I456" t="s">
        <v>227</v>
      </c>
      <c r="J456" t="s">
        <v>228</v>
      </c>
      <c r="K456" t="s">
        <v>31</v>
      </c>
      <c r="L456" t="s">
        <v>32</v>
      </c>
      <c r="M456" t="s">
        <v>33</v>
      </c>
      <c r="P456" s="1" t="s">
        <v>1859</v>
      </c>
      <c r="Q456" s="1" t="s">
        <v>1562</v>
      </c>
      <c r="R456" s="1" t="s">
        <v>1562</v>
      </c>
      <c r="S456" s="1"/>
      <c r="T456" s="1" t="s">
        <v>1858</v>
      </c>
      <c r="U456" s="1"/>
      <c r="V456" s="1">
        <v>668.5</v>
      </c>
      <c r="W456" s="1">
        <v>668.5</v>
      </c>
      <c r="X456" s="1" t="s">
        <v>35</v>
      </c>
      <c r="Y456" s="1">
        <v>668500.0</v>
      </c>
      <c r="Z456" s="1"/>
      <c r="AA456" s="1">
        <v>668500</v>
      </c>
      <c r="AB456" s="1"/>
      <c r="AC456" s="1" t="s">
        <v>36</v>
      </c>
      <c r="AD456" s="1" t="s">
        <v>1860</v>
      </c>
      <c r="AE456" s="1" t="s">
        <v>32</v>
      </c>
      <c r="AF456" s="1" t="s">
        <v>33</v>
      </c>
      <c r="AG456" s="1" t="s">
        <v>228</v>
      </c>
    </row>
    <row r="457" spans="1:33">
      <c r="A457" t="s">
        <v>1861</v>
      </c>
      <c r="B457" t="s">
        <v>1862</v>
      </c>
      <c r="C457" t="s">
        <v>47</v>
      </c>
      <c r="E457" t="s">
        <v>1562</v>
      </c>
      <c r="F457" t="s">
        <v>1568</v>
      </c>
      <c r="G457">
        <v>50.78</v>
      </c>
      <c r="H457">
        <v>50.78</v>
      </c>
      <c r="I457" t="s">
        <v>48</v>
      </c>
      <c r="J457" t="s">
        <v>49</v>
      </c>
      <c r="K457" t="s">
        <v>31</v>
      </c>
      <c r="L457" t="s">
        <v>32</v>
      </c>
      <c r="M457" t="s">
        <v>33</v>
      </c>
      <c r="P457" s="1" t="s">
        <v>1863</v>
      </c>
      <c r="Q457" s="1" t="s">
        <v>1562</v>
      </c>
      <c r="R457" s="1" t="s">
        <v>1562</v>
      </c>
      <c r="S457" s="1"/>
      <c r="T457" s="1" t="s">
        <v>47</v>
      </c>
      <c r="U457" s="1"/>
      <c r="V457" s="1">
        <v>50.78</v>
      </c>
      <c r="W457" s="1">
        <v>50.78</v>
      </c>
      <c r="X457" s="1" t="s">
        <v>35</v>
      </c>
      <c r="Y457" s="1">
        <v>50780.0</v>
      </c>
      <c r="Z457" s="1"/>
      <c r="AA457" s="1">
        <v>50780</v>
      </c>
      <c r="AB457" s="1"/>
      <c r="AC457" s="1" t="s">
        <v>36</v>
      </c>
      <c r="AD457" s="1" t="s">
        <v>1864</v>
      </c>
      <c r="AE457" s="1" t="s">
        <v>32</v>
      </c>
      <c r="AF457" s="1" t="s">
        <v>33</v>
      </c>
      <c r="AG457" s="1" t="s">
        <v>49</v>
      </c>
    </row>
    <row r="458" spans="1:33">
      <c r="A458" t="s">
        <v>1865</v>
      </c>
      <c r="C458" t="s">
        <v>1866</v>
      </c>
      <c r="E458" t="s">
        <v>1562</v>
      </c>
      <c r="F458" t="s">
        <v>1568</v>
      </c>
      <c r="G458">
        <v>328.0</v>
      </c>
      <c r="H458">
        <v>328.0</v>
      </c>
      <c r="I458" t="s">
        <v>269</v>
      </c>
      <c r="J458" t="s">
        <v>270</v>
      </c>
      <c r="K458" t="s">
        <v>31</v>
      </c>
      <c r="L458" t="s">
        <v>32</v>
      </c>
      <c r="M458" t="s">
        <v>33</v>
      </c>
      <c r="P458" s="1" t="s">
        <v>1867</v>
      </c>
      <c r="Q458" s="1" t="s">
        <v>1562</v>
      </c>
      <c r="R458" s="1" t="s">
        <v>1562</v>
      </c>
      <c r="S458" s="1"/>
      <c r="T458" s="1" t="s">
        <v>1866</v>
      </c>
      <c r="U458" s="1"/>
      <c r="V458" s="1">
        <v>328.0</v>
      </c>
      <c r="W458" s="1">
        <v>328.0</v>
      </c>
      <c r="X458" s="1" t="s">
        <v>35</v>
      </c>
      <c r="Y458" s="1">
        <v>328000.0</v>
      </c>
      <c r="Z458" s="1"/>
      <c r="AA458" s="1">
        <v>328000</v>
      </c>
      <c r="AB458" s="1"/>
      <c r="AC458" s="1" t="s">
        <v>36</v>
      </c>
      <c r="AD458" s="1" t="s">
        <v>1868</v>
      </c>
      <c r="AE458" s="1" t="s">
        <v>32</v>
      </c>
      <c r="AF458" s="1" t="s">
        <v>33</v>
      </c>
      <c r="AG458" s="1" t="s">
        <v>270</v>
      </c>
    </row>
    <row r="459" spans="1:33">
      <c r="A459" t="s">
        <v>1869</v>
      </c>
      <c r="B459" t="s">
        <v>1870</v>
      </c>
      <c r="C459" t="s">
        <v>314</v>
      </c>
      <c r="E459" t="s">
        <v>1562</v>
      </c>
      <c r="F459" t="s">
        <v>1568</v>
      </c>
      <c r="G459">
        <v>28.814</v>
      </c>
      <c r="H459">
        <v>28.814</v>
      </c>
      <c r="I459" t="s">
        <v>179</v>
      </c>
      <c r="J459" t="s">
        <v>180</v>
      </c>
      <c r="K459" t="s">
        <v>31</v>
      </c>
      <c r="L459" t="s">
        <v>32</v>
      </c>
      <c r="M459" t="s">
        <v>33</v>
      </c>
      <c r="P459" s="1" t="s">
        <v>1871</v>
      </c>
      <c r="Q459" s="1" t="s">
        <v>1562</v>
      </c>
      <c r="R459" s="1" t="s">
        <v>1562</v>
      </c>
      <c r="S459" s="1"/>
      <c r="T459" s="1" t="s">
        <v>314</v>
      </c>
      <c r="U459" s="1"/>
      <c r="V459" s="1">
        <v>28.814</v>
      </c>
      <c r="W459" s="1">
        <v>28.814</v>
      </c>
      <c r="X459" s="1" t="s">
        <v>35</v>
      </c>
      <c r="Y459" s="1">
        <v>28814.0</v>
      </c>
      <c r="Z459" s="1"/>
      <c r="AA459" s="1">
        <v>28814</v>
      </c>
      <c r="AB459" s="1"/>
      <c r="AC459" s="1" t="s">
        <v>36</v>
      </c>
      <c r="AD459" s="1" t="s">
        <v>1872</v>
      </c>
      <c r="AE459" s="1" t="s">
        <v>32</v>
      </c>
      <c r="AF459" s="1" t="s">
        <v>33</v>
      </c>
      <c r="AG459" s="1" t="s">
        <v>180</v>
      </c>
    </row>
    <row r="460" spans="1:33">
      <c r="A460" t="s">
        <v>1873</v>
      </c>
      <c r="B460" t="s">
        <v>1874</v>
      </c>
      <c r="C460" t="s">
        <v>314</v>
      </c>
      <c r="E460" t="s">
        <v>1562</v>
      </c>
      <c r="F460" t="s">
        <v>1568</v>
      </c>
      <c r="G460">
        <v>10.581</v>
      </c>
      <c r="H460">
        <v>10.581</v>
      </c>
      <c r="I460" t="s">
        <v>179</v>
      </c>
      <c r="J460" t="s">
        <v>180</v>
      </c>
      <c r="K460" t="s">
        <v>31</v>
      </c>
      <c r="L460" t="s">
        <v>32</v>
      </c>
      <c r="M460" t="s">
        <v>33</v>
      </c>
      <c r="P460" s="1" t="s">
        <v>1875</v>
      </c>
      <c r="Q460" s="1" t="s">
        <v>1562</v>
      </c>
      <c r="R460" s="1" t="s">
        <v>1562</v>
      </c>
      <c r="S460" s="1"/>
      <c r="T460" s="1" t="s">
        <v>314</v>
      </c>
      <c r="U460" s="1"/>
      <c r="V460" s="1">
        <v>10.581</v>
      </c>
      <c r="W460" s="1">
        <v>10.581</v>
      </c>
      <c r="X460" s="1" t="s">
        <v>35</v>
      </c>
      <c r="Y460" s="1">
        <v>10581.0</v>
      </c>
      <c r="Z460" s="1"/>
      <c r="AA460" s="1">
        <v>10581</v>
      </c>
      <c r="AB460" s="1"/>
      <c r="AC460" s="1" t="s">
        <v>36</v>
      </c>
      <c r="AD460" s="1" t="s">
        <v>1876</v>
      </c>
      <c r="AE460" s="1" t="s">
        <v>32</v>
      </c>
      <c r="AF460" s="1" t="s">
        <v>33</v>
      </c>
      <c r="AG460" s="1" t="s">
        <v>180</v>
      </c>
    </row>
    <row r="461" spans="1:33">
      <c r="A461" t="s">
        <v>1877</v>
      </c>
      <c r="C461" t="s">
        <v>226</v>
      </c>
      <c r="E461" t="s">
        <v>1562</v>
      </c>
      <c r="F461" t="s">
        <v>1568</v>
      </c>
      <c r="G461">
        <v>1.266</v>
      </c>
      <c r="H461">
        <v>1.266</v>
      </c>
      <c r="I461" t="s">
        <v>227</v>
      </c>
      <c r="J461" t="s">
        <v>228</v>
      </c>
      <c r="K461" t="s">
        <v>31</v>
      </c>
      <c r="L461" t="s">
        <v>32</v>
      </c>
      <c r="M461" t="s">
        <v>33</v>
      </c>
      <c r="P461" s="1" t="s">
        <v>1878</v>
      </c>
      <c r="Q461" s="1" t="s">
        <v>1562</v>
      </c>
      <c r="R461" s="1" t="s">
        <v>1562</v>
      </c>
      <c r="S461" s="1"/>
      <c r="T461" s="1" t="s">
        <v>226</v>
      </c>
      <c r="U461" s="1"/>
      <c r="V461" s="1">
        <v>1.266</v>
      </c>
      <c r="W461" s="1">
        <v>1.266</v>
      </c>
      <c r="X461" s="1" t="s">
        <v>35</v>
      </c>
      <c r="Y461" s="1">
        <v>1266000.0</v>
      </c>
      <c r="Z461" s="1"/>
      <c r="AA461" s="1">
        <v>1266000</v>
      </c>
      <c r="AB461" s="1"/>
      <c r="AC461" s="1" t="s">
        <v>36</v>
      </c>
      <c r="AD461" s="1" t="s">
        <v>1879</v>
      </c>
      <c r="AE461" s="1" t="s">
        <v>32</v>
      </c>
      <c r="AF461" s="1" t="s">
        <v>33</v>
      </c>
      <c r="AG461" s="1" t="s">
        <v>228</v>
      </c>
    </row>
    <row r="462" spans="1:33">
      <c r="A462" t="s">
        <v>1880</v>
      </c>
      <c r="B462" t="s">
        <v>206</v>
      </c>
      <c r="C462" t="s">
        <v>207</v>
      </c>
      <c r="E462" t="s">
        <v>1562</v>
      </c>
      <c r="F462" t="s">
        <v>1568</v>
      </c>
      <c r="G462">
        <v>598.5</v>
      </c>
      <c r="H462">
        <v>598.5</v>
      </c>
      <c r="I462" t="s">
        <v>59</v>
      </c>
      <c r="J462" t="s">
        <v>60</v>
      </c>
      <c r="K462" t="s">
        <v>31</v>
      </c>
      <c r="L462" t="s">
        <v>32</v>
      </c>
      <c r="M462" t="s">
        <v>33</v>
      </c>
      <c r="P462" s="1" t="s">
        <v>1881</v>
      </c>
      <c r="Q462" s="1" t="s">
        <v>1562</v>
      </c>
      <c r="R462" s="1" t="s">
        <v>1562</v>
      </c>
      <c r="S462" s="1"/>
      <c r="T462" s="1" t="s">
        <v>207</v>
      </c>
      <c r="U462" s="1"/>
      <c r="V462" s="1">
        <v>598.5</v>
      </c>
      <c r="W462" s="1">
        <v>598.5</v>
      </c>
      <c r="X462" s="1" t="s">
        <v>35</v>
      </c>
      <c r="Y462" s="1">
        <v>598500.0</v>
      </c>
      <c r="Z462" s="1"/>
      <c r="AA462" s="1">
        <v>598500</v>
      </c>
      <c r="AB462" s="1"/>
      <c r="AC462" s="1" t="s">
        <v>36</v>
      </c>
      <c r="AD462" s="1" t="s">
        <v>1872</v>
      </c>
      <c r="AE462" s="1" t="s">
        <v>32</v>
      </c>
      <c r="AF462" s="1" t="s">
        <v>33</v>
      </c>
      <c r="AG462" s="1" t="s">
        <v>60</v>
      </c>
    </row>
    <row r="463" spans="1:33">
      <c r="A463" t="s">
        <v>1882</v>
      </c>
      <c r="C463" t="s">
        <v>226</v>
      </c>
      <c r="E463" t="s">
        <v>1562</v>
      </c>
      <c r="F463" t="s">
        <v>1568</v>
      </c>
      <c r="G463">
        <v>16.8</v>
      </c>
      <c r="H463">
        <v>16.8</v>
      </c>
      <c r="I463" t="s">
        <v>227</v>
      </c>
      <c r="J463" t="s">
        <v>228</v>
      </c>
      <c r="K463" t="s">
        <v>31</v>
      </c>
      <c r="L463" t="s">
        <v>32</v>
      </c>
      <c r="M463" t="s">
        <v>33</v>
      </c>
      <c r="P463" s="1" t="s">
        <v>1883</v>
      </c>
      <c r="Q463" s="1" t="s">
        <v>1562</v>
      </c>
      <c r="R463" s="1" t="s">
        <v>1562</v>
      </c>
      <c r="S463" s="1"/>
      <c r="T463" s="1" t="s">
        <v>226</v>
      </c>
      <c r="U463" s="1"/>
      <c r="V463" s="1">
        <v>16.8</v>
      </c>
      <c r="W463" s="1">
        <v>16.8</v>
      </c>
      <c r="X463" s="1" t="s">
        <v>35</v>
      </c>
      <c r="Y463" s="1">
        <v>16800.0</v>
      </c>
      <c r="Z463" s="1"/>
      <c r="AA463" s="1">
        <v>16800</v>
      </c>
      <c r="AB463" s="1"/>
      <c r="AC463" s="1" t="s">
        <v>36</v>
      </c>
      <c r="AD463" s="1" t="s">
        <v>1884</v>
      </c>
      <c r="AE463" s="1" t="s">
        <v>32</v>
      </c>
      <c r="AF463" s="1" t="s">
        <v>33</v>
      </c>
      <c r="AG463" s="1" t="s">
        <v>228</v>
      </c>
    </row>
    <row r="464" spans="1:33">
      <c r="A464" t="s">
        <v>1885</v>
      </c>
      <c r="C464" t="s">
        <v>1053</v>
      </c>
      <c r="E464" t="s">
        <v>1562</v>
      </c>
      <c r="F464" t="s">
        <v>1568</v>
      </c>
      <c r="G464">
        <v>704.0</v>
      </c>
      <c r="H464">
        <v>704.0</v>
      </c>
      <c r="I464" t="s">
        <v>179</v>
      </c>
      <c r="J464" t="s">
        <v>180</v>
      </c>
      <c r="K464" t="s">
        <v>31</v>
      </c>
      <c r="L464" t="s">
        <v>32</v>
      </c>
      <c r="M464" t="s">
        <v>33</v>
      </c>
      <c r="P464" s="1" t="s">
        <v>1886</v>
      </c>
      <c r="Q464" s="1" t="s">
        <v>1562</v>
      </c>
      <c r="R464" s="1" t="s">
        <v>1562</v>
      </c>
      <c r="S464" s="1"/>
      <c r="T464" s="1" t="s">
        <v>1053</v>
      </c>
      <c r="U464" s="1"/>
      <c r="V464" s="1">
        <v>704.0</v>
      </c>
      <c r="W464" s="1">
        <v>704.0</v>
      </c>
      <c r="X464" s="1" t="s">
        <v>35</v>
      </c>
      <c r="Y464" s="1">
        <v>704000.0</v>
      </c>
      <c r="Z464" s="1"/>
      <c r="AA464" s="1">
        <v>704000</v>
      </c>
      <c r="AB464" s="1"/>
      <c r="AC464" s="1" t="s">
        <v>36</v>
      </c>
      <c r="AD464" s="1" t="s">
        <v>1884</v>
      </c>
      <c r="AE464" s="1" t="s">
        <v>32</v>
      </c>
      <c r="AF464" s="1" t="s">
        <v>33</v>
      </c>
      <c r="AG464" s="1" t="s">
        <v>180</v>
      </c>
    </row>
    <row r="465" spans="1:33">
      <c r="A465" t="s">
        <v>1887</v>
      </c>
      <c r="C465" t="s">
        <v>1692</v>
      </c>
      <c r="E465" t="s">
        <v>1562</v>
      </c>
      <c r="F465" t="s">
        <v>1568</v>
      </c>
      <c r="G465">
        <v>352.0</v>
      </c>
      <c r="H465">
        <v>352.0</v>
      </c>
      <c r="I465" t="s">
        <v>179</v>
      </c>
      <c r="J465" t="s">
        <v>180</v>
      </c>
      <c r="K465" t="s">
        <v>31</v>
      </c>
      <c r="L465" t="s">
        <v>32</v>
      </c>
      <c r="M465" t="s">
        <v>33</v>
      </c>
      <c r="P465" s="1" t="s">
        <v>1888</v>
      </c>
      <c r="Q465" s="1" t="s">
        <v>1562</v>
      </c>
      <c r="R465" s="1" t="s">
        <v>1562</v>
      </c>
      <c r="S465" s="1"/>
      <c r="T465" s="1" t="s">
        <v>1692</v>
      </c>
      <c r="U465" s="1"/>
      <c r="V465" s="1">
        <v>352.0</v>
      </c>
      <c r="W465" s="1">
        <v>352.0</v>
      </c>
      <c r="X465" s="1" t="s">
        <v>35</v>
      </c>
      <c r="Y465" s="1">
        <v>352000.0</v>
      </c>
      <c r="Z465" s="1"/>
      <c r="AA465" s="1">
        <v>352000</v>
      </c>
      <c r="AB465" s="1"/>
      <c r="AC465" s="1" t="s">
        <v>36</v>
      </c>
      <c r="AD465" s="1" t="s">
        <v>1889</v>
      </c>
      <c r="AE465" s="1" t="s">
        <v>32</v>
      </c>
      <c r="AF465" s="1" t="s">
        <v>33</v>
      </c>
      <c r="AG465" s="1" t="s">
        <v>180</v>
      </c>
    </row>
    <row r="466" spans="1:33">
      <c r="A466" t="s">
        <v>1890</v>
      </c>
      <c r="B466" t="s">
        <v>1891</v>
      </c>
      <c r="C466" t="s">
        <v>1892</v>
      </c>
      <c r="E466" t="s">
        <v>1562</v>
      </c>
      <c r="F466" t="s">
        <v>1568</v>
      </c>
      <c r="G466">
        <v>1.107</v>
      </c>
      <c r="H466">
        <v>1.107</v>
      </c>
      <c r="I466" t="s">
        <v>40</v>
      </c>
      <c r="J466" t="s">
        <v>41</v>
      </c>
      <c r="K466" t="s">
        <v>31</v>
      </c>
      <c r="L466" t="s">
        <v>32</v>
      </c>
      <c r="M466" t="s">
        <v>33</v>
      </c>
      <c r="P466" s="1" t="s">
        <v>1893</v>
      </c>
      <c r="Q466" s="1" t="s">
        <v>1562</v>
      </c>
      <c r="R466" s="1" t="s">
        <v>822</v>
      </c>
      <c r="S466" s="1"/>
      <c r="T466" s="1" t="s">
        <v>1892</v>
      </c>
      <c r="U466" s="1"/>
      <c r="V466" s="1">
        <v>1.107</v>
      </c>
      <c r="W466" s="1">
        <v>1.107</v>
      </c>
      <c r="X466" s="1" t="s">
        <v>35</v>
      </c>
      <c r="Y466" s="1">
        <v>1107000.0</v>
      </c>
      <c r="Z466" s="1"/>
      <c r="AA466" s="1">
        <v>1107000</v>
      </c>
      <c r="AB466" s="1"/>
      <c r="AC466" s="1" t="s">
        <v>36</v>
      </c>
      <c r="AD466" s="1" t="s">
        <v>1894</v>
      </c>
      <c r="AE466" s="1" t="s">
        <v>32</v>
      </c>
      <c r="AF466" s="1" t="s">
        <v>33</v>
      </c>
      <c r="AG466" s="1" t="s">
        <v>41</v>
      </c>
    </row>
    <row r="467" spans="1:33">
      <c r="A467" t="s">
        <v>1895</v>
      </c>
      <c r="C467" t="s">
        <v>1244</v>
      </c>
      <c r="E467" t="s">
        <v>1562</v>
      </c>
      <c r="F467" t="s">
        <v>1568</v>
      </c>
      <c r="G467">
        <v>64.322</v>
      </c>
      <c r="H467">
        <v>64.322</v>
      </c>
      <c r="I467" t="s">
        <v>179</v>
      </c>
      <c r="J467" t="s">
        <v>180</v>
      </c>
      <c r="K467" t="s">
        <v>31</v>
      </c>
      <c r="L467" t="s">
        <v>32</v>
      </c>
      <c r="M467" t="s">
        <v>33</v>
      </c>
      <c r="P467" s="1" t="s">
        <v>1896</v>
      </c>
      <c r="Q467" s="1" t="s">
        <v>1562</v>
      </c>
      <c r="R467" s="1" t="s">
        <v>1562</v>
      </c>
      <c r="S467" s="1"/>
      <c r="T467" s="1" t="s">
        <v>1244</v>
      </c>
      <c r="U467" s="1"/>
      <c r="V467" s="1">
        <v>64.322</v>
      </c>
      <c r="W467" s="1">
        <v>64.322</v>
      </c>
      <c r="X467" s="1" t="s">
        <v>35</v>
      </c>
      <c r="Y467" s="1">
        <v>64322.0</v>
      </c>
      <c r="Z467" s="1"/>
      <c r="AA467" s="1">
        <v>64322</v>
      </c>
      <c r="AB467" s="1"/>
      <c r="AC467" s="1" t="s">
        <v>36</v>
      </c>
      <c r="AD467" s="1" t="s">
        <v>1897</v>
      </c>
      <c r="AE467" s="1" t="s">
        <v>32</v>
      </c>
      <c r="AF467" s="1" t="s">
        <v>33</v>
      </c>
      <c r="AG467" s="1" t="s">
        <v>180</v>
      </c>
    </row>
    <row r="468" spans="1:33">
      <c r="A468" t="s">
        <v>1898</v>
      </c>
      <c r="B468" t="s">
        <v>1899</v>
      </c>
      <c r="C468" t="s">
        <v>1900</v>
      </c>
      <c r="D468" t="s">
        <v>114</v>
      </c>
      <c r="E468" t="s">
        <v>1562</v>
      </c>
      <c r="F468" t="s">
        <v>1568</v>
      </c>
      <c r="G468">
        <v>492.0</v>
      </c>
      <c r="H468">
        <v>492.0</v>
      </c>
      <c r="I468" t="s">
        <v>529</v>
      </c>
      <c r="J468" t="s">
        <v>530</v>
      </c>
      <c r="K468" t="s">
        <v>31</v>
      </c>
      <c r="L468" t="s">
        <v>32</v>
      </c>
      <c r="M468" t="s">
        <v>33</v>
      </c>
      <c r="P468" s="1" t="s">
        <v>1901</v>
      </c>
      <c r="Q468" s="1" t="s">
        <v>1562</v>
      </c>
      <c r="R468" s="1" t="s">
        <v>822</v>
      </c>
      <c r="S468" s="1"/>
      <c r="T468" s="1" t="s">
        <v>1900</v>
      </c>
      <c r="U468" s="1"/>
      <c r="V468" s="1">
        <v>492.0</v>
      </c>
      <c r="W468" s="1">
        <v>492.0</v>
      </c>
      <c r="X468" s="1" t="s">
        <v>35</v>
      </c>
      <c r="Y468" s="1">
        <v>492000.0</v>
      </c>
      <c r="Z468" s="1"/>
      <c r="AA468" s="1">
        <v>492000</v>
      </c>
      <c r="AB468" s="1"/>
      <c r="AC468" s="1" t="s">
        <v>36</v>
      </c>
      <c r="AD468" s="1" t="s">
        <v>1902</v>
      </c>
      <c r="AE468" s="1" t="s">
        <v>32</v>
      </c>
      <c r="AF468" s="1" t="s">
        <v>33</v>
      </c>
      <c r="AG468" s="1" t="s">
        <v>530</v>
      </c>
    </row>
    <row r="469" spans="1:33">
      <c r="A469" t="s">
        <v>1903</v>
      </c>
      <c r="C469" t="s">
        <v>1904</v>
      </c>
      <c r="E469" t="s">
        <v>1562</v>
      </c>
      <c r="F469" t="s">
        <v>1568</v>
      </c>
      <c r="G469">
        <v>328.0</v>
      </c>
      <c r="H469">
        <v>328.0</v>
      </c>
      <c r="I469" t="s">
        <v>269</v>
      </c>
      <c r="J469" t="s">
        <v>270</v>
      </c>
      <c r="K469" t="s">
        <v>31</v>
      </c>
      <c r="L469" t="s">
        <v>32</v>
      </c>
      <c r="M469" t="s">
        <v>33</v>
      </c>
      <c r="P469" s="1" t="s">
        <v>1905</v>
      </c>
      <c r="Q469" s="1" t="s">
        <v>1562</v>
      </c>
      <c r="R469" s="1" t="s">
        <v>1562</v>
      </c>
      <c r="S469" s="1"/>
      <c r="T469" s="1" t="s">
        <v>1904</v>
      </c>
      <c r="U469" s="1"/>
      <c r="V469" s="1">
        <v>328.0</v>
      </c>
      <c r="W469" s="1">
        <v>328.0</v>
      </c>
      <c r="X469" s="1" t="s">
        <v>35</v>
      </c>
      <c r="Y469" s="1">
        <v>328000.0</v>
      </c>
      <c r="Z469" s="1"/>
      <c r="AA469" s="1">
        <v>328000</v>
      </c>
      <c r="AB469" s="1"/>
      <c r="AC469" s="1" t="s">
        <v>36</v>
      </c>
      <c r="AD469" s="1" t="s">
        <v>1906</v>
      </c>
      <c r="AE469" s="1" t="s">
        <v>32</v>
      </c>
      <c r="AF469" s="1" t="s">
        <v>33</v>
      </c>
      <c r="AG469" s="1" t="s">
        <v>270</v>
      </c>
    </row>
    <row r="470" spans="1:33">
      <c r="A470" t="s">
        <v>1907</v>
      </c>
      <c r="B470" t="s">
        <v>1908</v>
      </c>
      <c r="C470" t="s">
        <v>73</v>
      </c>
      <c r="E470" t="s">
        <v>1562</v>
      </c>
      <c r="F470" t="s">
        <v>1568</v>
      </c>
      <c r="G470">
        <v>72.968</v>
      </c>
      <c r="H470">
        <v>72.968</v>
      </c>
      <c r="I470" t="s">
        <v>40</v>
      </c>
      <c r="J470" t="s">
        <v>41</v>
      </c>
      <c r="K470" t="s">
        <v>31</v>
      </c>
      <c r="L470" t="s">
        <v>32</v>
      </c>
      <c r="M470" t="s">
        <v>33</v>
      </c>
      <c r="P470" s="1" t="s">
        <v>1909</v>
      </c>
      <c r="Q470" s="1" t="s">
        <v>1562</v>
      </c>
      <c r="R470" s="1" t="s">
        <v>822</v>
      </c>
      <c r="S470" s="1"/>
      <c r="T470" s="1" t="s">
        <v>75</v>
      </c>
      <c r="U470" s="1" t="s">
        <v>76</v>
      </c>
      <c r="V470" s="1">
        <v>72.968</v>
      </c>
      <c r="W470" s="1">
        <v>72.968</v>
      </c>
      <c r="X470" s="1" t="s">
        <v>35</v>
      </c>
      <c r="Y470" s="1">
        <v>72968.0</v>
      </c>
      <c r="Z470" s="1"/>
      <c r="AA470" s="1">
        <v>72968</v>
      </c>
      <c r="AB470" s="1"/>
      <c r="AC470" s="1" t="s">
        <v>36</v>
      </c>
      <c r="AD470" s="1" t="s">
        <v>1910</v>
      </c>
      <c r="AE470" s="1" t="s">
        <v>32</v>
      </c>
      <c r="AF470" s="1" t="s">
        <v>33</v>
      </c>
      <c r="AG470" s="1" t="s">
        <v>41</v>
      </c>
    </row>
    <row r="471" spans="1:33">
      <c r="A471" t="s">
        <v>1911</v>
      </c>
      <c r="C471" t="s">
        <v>1912</v>
      </c>
      <c r="E471" t="s">
        <v>1562</v>
      </c>
      <c r="F471" t="s">
        <v>1568</v>
      </c>
      <c r="G471">
        <v>446.0</v>
      </c>
      <c r="H471">
        <v>446.0</v>
      </c>
      <c r="I471" t="s">
        <v>126</v>
      </c>
      <c r="J471" t="s">
        <v>127</v>
      </c>
      <c r="K471" t="s">
        <v>31</v>
      </c>
      <c r="L471" t="s">
        <v>32</v>
      </c>
      <c r="M471" t="s">
        <v>33</v>
      </c>
      <c r="P471" s="1" t="s">
        <v>1913</v>
      </c>
      <c r="Q471" s="1" t="s">
        <v>1562</v>
      </c>
      <c r="R471" s="1" t="s">
        <v>1562</v>
      </c>
      <c r="S471" s="1"/>
      <c r="T471" s="1" t="s">
        <v>1912</v>
      </c>
      <c r="U471" s="1"/>
      <c r="V471" s="1">
        <v>446.0</v>
      </c>
      <c r="W471" s="1">
        <v>446.0</v>
      </c>
      <c r="X471" s="1" t="s">
        <v>35</v>
      </c>
      <c r="Y471" s="1">
        <v>446000.0</v>
      </c>
      <c r="Z471" s="1"/>
      <c r="AA471" s="1">
        <v>446000</v>
      </c>
      <c r="AB471" s="1"/>
      <c r="AC471" s="1" t="s">
        <v>36</v>
      </c>
      <c r="AD471" s="1" t="s">
        <v>1914</v>
      </c>
      <c r="AE471" s="1" t="s">
        <v>32</v>
      </c>
      <c r="AF471" s="1" t="s">
        <v>33</v>
      </c>
      <c r="AG471" s="1" t="s">
        <v>127</v>
      </c>
    </row>
    <row r="472" spans="1:33">
      <c r="A472" t="s">
        <v>1915</v>
      </c>
      <c r="C472" t="s">
        <v>1916</v>
      </c>
      <c r="D472" t="s">
        <v>114</v>
      </c>
      <c r="E472" t="s">
        <v>1562</v>
      </c>
      <c r="F472" t="s">
        <v>1568</v>
      </c>
      <c r="G472">
        <v>842.0</v>
      </c>
      <c r="H472">
        <v>842.0</v>
      </c>
      <c r="I472" t="s">
        <v>40</v>
      </c>
      <c r="J472" t="s">
        <v>41</v>
      </c>
      <c r="K472" t="s">
        <v>31</v>
      </c>
      <c r="L472" t="s">
        <v>32</v>
      </c>
      <c r="M472" t="s">
        <v>33</v>
      </c>
      <c r="P472" s="1" t="s">
        <v>1917</v>
      </c>
      <c r="Q472" s="1" t="s">
        <v>1562</v>
      </c>
      <c r="R472" s="1" t="s">
        <v>822</v>
      </c>
      <c r="S472" s="1"/>
      <c r="T472" s="1" t="s">
        <v>1916</v>
      </c>
      <c r="U472" s="1"/>
      <c r="V472" s="1">
        <v>842.0</v>
      </c>
      <c r="W472" s="1">
        <v>842.0</v>
      </c>
      <c r="X472" s="1" t="s">
        <v>35</v>
      </c>
      <c r="Y472" s="1">
        <v>842000.0</v>
      </c>
      <c r="Z472" s="1"/>
      <c r="AA472" s="1">
        <v>842000</v>
      </c>
      <c r="AB472" s="1"/>
      <c r="AC472" s="1" t="s">
        <v>36</v>
      </c>
      <c r="AD472" s="1" t="s">
        <v>1918</v>
      </c>
      <c r="AE472" s="1" t="s">
        <v>32</v>
      </c>
      <c r="AF472" s="1" t="s">
        <v>33</v>
      </c>
      <c r="AG472" s="1" t="s">
        <v>41</v>
      </c>
    </row>
    <row r="473" spans="1:33">
      <c r="A473" t="s">
        <v>1919</v>
      </c>
      <c r="C473" t="s">
        <v>1920</v>
      </c>
      <c r="E473" t="s">
        <v>1562</v>
      </c>
      <c r="F473" t="s">
        <v>1568</v>
      </c>
      <c r="G473">
        <v>1.074</v>
      </c>
      <c r="H473">
        <v>1.074</v>
      </c>
      <c r="I473" t="s">
        <v>40</v>
      </c>
      <c r="J473" t="s">
        <v>41</v>
      </c>
      <c r="K473" t="s">
        <v>31</v>
      </c>
      <c r="L473" t="s">
        <v>32</v>
      </c>
      <c r="M473" t="s">
        <v>33</v>
      </c>
      <c r="P473" s="1" t="s">
        <v>1921</v>
      </c>
      <c r="Q473" s="1" t="s">
        <v>1562</v>
      </c>
      <c r="R473" s="1" t="s">
        <v>822</v>
      </c>
      <c r="S473" s="1"/>
      <c r="T473" s="1" t="s">
        <v>1920</v>
      </c>
      <c r="U473" s="1"/>
      <c r="V473" s="1">
        <v>1.074</v>
      </c>
      <c r="W473" s="1">
        <v>1.074</v>
      </c>
      <c r="X473" s="1" t="s">
        <v>35</v>
      </c>
      <c r="Y473" s="1">
        <v>1074000.0</v>
      </c>
      <c r="Z473" s="1"/>
      <c r="AA473" s="1">
        <v>1074000</v>
      </c>
      <c r="AB473" s="1"/>
      <c r="AC473" s="1" t="s">
        <v>36</v>
      </c>
      <c r="AD473" s="1" t="s">
        <v>1922</v>
      </c>
      <c r="AE473" s="1" t="s">
        <v>32</v>
      </c>
      <c r="AF473" s="1" t="s">
        <v>33</v>
      </c>
      <c r="AG473" s="1" t="s">
        <v>41</v>
      </c>
    </row>
    <row r="474" spans="1:33">
      <c r="A474" t="s">
        <v>1923</v>
      </c>
      <c r="B474" t="s">
        <v>1924</v>
      </c>
      <c r="C474" t="s">
        <v>268</v>
      </c>
      <c r="E474" t="s">
        <v>1562</v>
      </c>
      <c r="F474" t="s">
        <v>1568</v>
      </c>
      <c r="G474">
        <v>62.05</v>
      </c>
      <c r="H474">
        <v>62.05</v>
      </c>
      <c r="I474" t="s">
        <v>269</v>
      </c>
      <c r="J474" t="s">
        <v>270</v>
      </c>
      <c r="K474" t="s">
        <v>31</v>
      </c>
      <c r="L474" t="s">
        <v>32</v>
      </c>
      <c r="M474" t="s">
        <v>33</v>
      </c>
      <c r="P474" s="1" t="s">
        <v>1925</v>
      </c>
      <c r="Q474" s="1" t="s">
        <v>1562</v>
      </c>
      <c r="R474" s="1" t="s">
        <v>1562</v>
      </c>
      <c r="S474" s="1"/>
      <c r="T474" s="1" t="s">
        <v>268</v>
      </c>
      <c r="U474" s="1"/>
      <c r="V474" s="1">
        <v>62.05</v>
      </c>
      <c r="W474" s="1">
        <v>62.05</v>
      </c>
      <c r="X474" s="1" t="s">
        <v>35</v>
      </c>
      <c r="Y474" s="1">
        <v>62050.0</v>
      </c>
      <c r="Z474" s="1"/>
      <c r="AA474" s="1">
        <v>62050</v>
      </c>
      <c r="AB474" s="1"/>
      <c r="AC474" s="1" t="s">
        <v>36</v>
      </c>
      <c r="AD474" s="1" t="s">
        <v>1926</v>
      </c>
      <c r="AE474" s="1" t="s">
        <v>32</v>
      </c>
      <c r="AF474" s="1" t="s">
        <v>33</v>
      </c>
      <c r="AG474" s="1" t="s">
        <v>270</v>
      </c>
    </row>
    <row r="475" spans="1:33">
      <c r="A475" t="s">
        <v>1927</v>
      </c>
      <c r="C475" t="s">
        <v>1928</v>
      </c>
      <c r="E475" t="s">
        <v>1562</v>
      </c>
      <c r="F475" t="s">
        <v>1568</v>
      </c>
      <c r="G475">
        <v>660.63</v>
      </c>
      <c r="H475">
        <v>660.63</v>
      </c>
      <c r="I475" t="s">
        <v>179</v>
      </c>
      <c r="J475" t="s">
        <v>180</v>
      </c>
      <c r="K475" t="s">
        <v>31</v>
      </c>
      <c r="L475" t="s">
        <v>32</v>
      </c>
      <c r="M475" t="s">
        <v>33</v>
      </c>
      <c r="P475" s="1" t="s">
        <v>1929</v>
      </c>
      <c r="Q475" s="1" t="s">
        <v>1562</v>
      </c>
      <c r="R475" s="1" t="s">
        <v>1562</v>
      </c>
      <c r="S475" s="1"/>
      <c r="T475" s="1" t="s">
        <v>1928</v>
      </c>
      <c r="U475" s="1"/>
      <c r="V475" s="1">
        <v>660.63</v>
      </c>
      <c r="W475" s="1">
        <v>660.63</v>
      </c>
      <c r="X475" s="1" t="s">
        <v>35</v>
      </c>
      <c r="Y475" s="1">
        <v>660630.0</v>
      </c>
      <c r="Z475" s="1"/>
      <c r="AA475" s="1">
        <v>660630</v>
      </c>
      <c r="AB475" s="1"/>
      <c r="AC475" s="1" t="s">
        <v>36</v>
      </c>
      <c r="AD475" s="1" t="s">
        <v>1930</v>
      </c>
      <c r="AE475" s="1" t="s">
        <v>32</v>
      </c>
      <c r="AF475" s="1" t="s">
        <v>33</v>
      </c>
      <c r="AG475" s="1" t="s">
        <v>180</v>
      </c>
    </row>
    <row r="476" spans="1:33">
      <c r="A476" t="s">
        <v>1931</v>
      </c>
      <c r="B476" t="s">
        <v>1932</v>
      </c>
      <c r="C476" t="s">
        <v>1933</v>
      </c>
      <c r="E476" t="s">
        <v>1562</v>
      </c>
      <c r="F476" t="s">
        <v>1568</v>
      </c>
      <c r="G476">
        <v>320.0</v>
      </c>
      <c r="H476">
        <v>320.0</v>
      </c>
      <c r="I476" t="s">
        <v>40</v>
      </c>
      <c r="J476" t="s">
        <v>41</v>
      </c>
      <c r="K476" t="s">
        <v>31</v>
      </c>
      <c r="L476" t="s">
        <v>32</v>
      </c>
      <c r="M476" t="s">
        <v>33</v>
      </c>
      <c r="P476" s="1" t="s">
        <v>1934</v>
      </c>
      <c r="Q476" s="1" t="s">
        <v>1562</v>
      </c>
      <c r="R476" s="1" t="s">
        <v>822</v>
      </c>
      <c r="S476" s="1"/>
      <c r="T476" s="1" t="s">
        <v>1933</v>
      </c>
      <c r="U476" s="1"/>
      <c r="V476" s="1">
        <v>320.0</v>
      </c>
      <c r="W476" s="1">
        <v>320.0</v>
      </c>
      <c r="X476" s="1" t="s">
        <v>35</v>
      </c>
      <c r="Y476" s="1">
        <v>320000.0</v>
      </c>
      <c r="Z476" s="1"/>
      <c r="AA476" s="1">
        <v>320000</v>
      </c>
      <c r="AB476" s="1"/>
      <c r="AC476" s="1" t="s">
        <v>36</v>
      </c>
      <c r="AD476" s="1" t="s">
        <v>1935</v>
      </c>
      <c r="AE476" s="1" t="s">
        <v>32</v>
      </c>
      <c r="AF476" s="1" t="s">
        <v>33</v>
      </c>
      <c r="AG476" s="1" t="s">
        <v>41</v>
      </c>
    </row>
    <row r="477" spans="1:33">
      <c r="A477" t="s">
        <v>1936</v>
      </c>
      <c r="B477" t="s">
        <v>1937</v>
      </c>
      <c r="C477" t="s">
        <v>314</v>
      </c>
      <c r="E477" t="s">
        <v>1562</v>
      </c>
      <c r="F477" t="s">
        <v>1568</v>
      </c>
      <c r="G477">
        <v>55.77</v>
      </c>
      <c r="H477">
        <v>55.77</v>
      </c>
      <c r="I477" t="s">
        <v>179</v>
      </c>
      <c r="J477" t="s">
        <v>180</v>
      </c>
      <c r="K477" t="s">
        <v>31</v>
      </c>
      <c r="L477" t="s">
        <v>32</v>
      </c>
      <c r="M477" t="s">
        <v>33</v>
      </c>
      <c r="P477" s="1" t="s">
        <v>1938</v>
      </c>
      <c r="Q477" s="1" t="s">
        <v>1562</v>
      </c>
      <c r="R477" s="1" t="s">
        <v>1562</v>
      </c>
      <c r="S477" s="1"/>
      <c r="T477" s="1" t="s">
        <v>314</v>
      </c>
      <c r="U477" s="1"/>
      <c r="V477" s="1">
        <v>55.77</v>
      </c>
      <c r="W477" s="1">
        <v>55.77</v>
      </c>
      <c r="X477" s="1" t="s">
        <v>35</v>
      </c>
      <c r="Y477" s="1">
        <v>55770.0</v>
      </c>
      <c r="Z477" s="1"/>
      <c r="AA477" s="1">
        <v>55770</v>
      </c>
      <c r="AB477" s="1"/>
      <c r="AC477" s="1" t="s">
        <v>36</v>
      </c>
      <c r="AD477" s="1" t="s">
        <v>1918</v>
      </c>
      <c r="AE477" s="1" t="s">
        <v>32</v>
      </c>
      <c r="AF477" s="1" t="s">
        <v>33</v>
      </c>
      <c r="AG477" s="1" t="s">
        <v>180</v>
      </c>
    </row>
    <row r="478" spans="1:33">
      <c r="A478" t="s">
        <v>1939</v>
      </c>
      <c r="C478" t="s">
        <v>1940</v>
      </c>
      <c r="E478" t="s">
        <v>1562</v>
      </c>
      <c r="F478" t="s">
        <v>1568</v>
      </c>
      <c r="G478">
        <v>328.0</v>
      </c>
      <c r="H478">
        <v>328.0</v>
      </c>
      <c r="I478" t="s">
        <v>269</v>
      </c>
      <c r="J478" t="s">
        <v>270</v>
      </c>
      <c r="K478" t="s">
        <v>31</v>
      </c>
      <c r="L478" t="s">
        <v>32</v>
      </c>
      <c r="M478" t="s">
        <v>33</v>
      </c>
      <c r="P478" s="1" t="s">
        <v>1941</v>
      </c>
      <c r="Q478" s="1" t="s">
        <v>1562</v>
      </c>
      <c r="R478" s="1" t="s">
        <v>1562</v>
      </c>
      <c r="S478" s="1"/>
      <c r="T478" s="1" t="s">
        <v>1940</v>
      </c>
      <c r="U478" s="1"/>
      <c r="V478" s="1">
        <v>328.0</v>
      </c>
      <c r="W478" s="1">
        <v>328.0</v>
      </c>
      <c r="X478" s="1" t="s">
        <v>35</v>
      </c>
      <c r="Y478" s="1">
        <v>328000.0</v>
      </c>
      <c r="Z478" s="1"/>
      <c r="AA478" s="1">
        <v>328000</v>
      </c>
      <c r="AB478" s="1"/>
      <c r="AC478" s="1" t="s">
        <v>36</v>
      </c>
      <c r="AD478" s="1" t="s">
        <v>1942</v>
      </c>
      <c r="AE478" s="1" t="s">
        <v>32</v>
      </c>
      <c r="AF478" s="1" t="s">
        <v>33</v>
      </c>
      <c r="AG478" s="1" t="s">
        <v>270</v>
      </c>
    </row>
    <row r="479" spans="1:33">
      <c r="A479" t="s">
        <v>1943</v>
      </c>
      <c r="C479" t="s">
        <v>827</v>
      </c>
      <c r="D479" t="s">
        <v>154</v>
      </c>
      <c r="E479" t="s">
        <v>1562</v>
      </c>
      <c r="F479" t="s">
        <v>1568</v>
      </c>
      <c r="G479">
        <v>60.0</v>
      </c>
      <c r="H479">
        <v>60.0</v>
      </c>
      <c r="I479" t="s">
        <v>269</v>
      </c>
      <c r="J479" t="s">
        <v>270</v>
      </c>
      <c r="K479" t="s">
        <v>31</v>
      </c>
      <c r="L479" t="s">
        <v>32</v>
      </c>
      <c r="M479" t="s">
        <v>33</v>
      </c>
      <c r="P479" s="1" t="s">
        <v>1944</v>
      </c>
      <c r="Q479" s="1" t="s">
        <v>1562</v>
      </c>
      <c r="R479" s="1" t="s">
        <v>1562</v>
      </c>
      <c r="S479" s="1"/>
      <c r="T479" s="1" t="s">
        <v>827</v>
      </c>
      <c r="U479" s="1"/>
      <c r="V479" s="1">
        <v>60.0</v>
      </c>
      <c r="W479" s="1">
        <v>60.0</v>
      </c>
      <c r="X479" s="1" t="s">
        <v>35</v>
      </c>
      <c r="Y479" s="1">
        <v>60000.0</v>
      </c>
      <c r="Z479" s="1"/>
      <c r="AA479" s="1">
        <v>60000</v>
      </c>
      <c r="AB479" s="1"/>
      <c r="AC479" s="1" t="s">
        <v>36</v>
      </c>
      <c r="AD479" s="1" t="s">
        <v>1945</v>
      </c>
      <c r="AE479" s="1" t="s">
        <v>32</v>
      </c>
      <c r="AF479" s="1" t="s">
        <v>33</v>
      </c>
      <c r="AG479" s="1" t="s">
        <v>270</v>
      </c>
    </row>
    <row r="480" spans="1:33">
      <c r="A480" t="s">
        <v>1946</v>
      </c>
      <c r="C480" t="s">
        <v>1947</v>
      </c>
      <c r="D480" t="s">
        <v>154</v>
      </c>
      <c r="E480" t="s">
        <v>1562</v>
      </c>
      <c r="F480" t="s">
        <v>1568</v>
      </c>
      <c r="G480">
        <v>2.763</v>
      </c>
      <c r="H480">
        <v>2.763</v>
      </c>
      <c r="I480" t="s">
        <v>227</v>
      </c>
      <c r="J480" t="s">
        <v>228</v>
      </c>
      <c r="K480" t="s">
        <v>31</v>
      </c>
      <c r="L480" t="s">
        <v>32</v>
      </c>
      <c r="M480" t="s">
        <v>33</v>
      </c>
      <c r="P480" s="1" t="s">
        <v>1948</v>
      </c>
      <c r="Q480" s="1" t="s">
        <v>1562</v>
      </c>
      <c r="R480" s="1" t="s">
        <v>1562</v>
      </c>
      <c r="S480" s="1"/>
      <c r="T480" s="1" t="s">
        <v>1947</v>
      </c>
      <c r="U480" s="1"/>
      <c r="V480" s="1">
        <v>2.763</v>
      </c>
      <c r="W480" s="1">
        <v>2.763</v>
      </c>
      <c r="X480" s="1" t="s">
        <v>35</v>
      </c>
      <c r="Y480" s="1">
        <v>2763500.0</v>
      </c>
      <c r="Z480" s="1"/>
      <c r="AA480" s="1">
        <v>2763500</v>
      </c>
      <c r="AB480" s="1"/>
      <c r="AC480" s="1" t="s">
        <v>36</v>
      </c>
      <c r="AD480" s="1" t="s">
        <v>1910</v>
      </c>
      <c r="AE480" s="1" t="s">
        <v>32</v>
      </c>
      <c r="AF480" s="1" t="s">
        <v>33</v>
      </c>
      <c r="AG480" s="1" t="s">
        <v>228</v>
      </c>
    </row>
    <row r="481" spans="1:33">
      <c r="A481" t="s">
        <v>1949</v>
      </c>
      <c r="B481" t="s">
        <v>1950</v>
      </c>
      <c r="C481" t="s">
        <v>172</v>
      </c>
      <c r="E481" t="s">
        <v>1562</v>
      </c>
      <c r="F481" t="s">
        <v>1568</v>
      </c>
      <c r="G481">
        <v>39.93</v>
      </c>
      <c r="H481">
        <v>39.93</v>
      </c>
      <c r="I481" t="s">
        <v>173</v>
      </c>
      <c r="J481" t="s">
        <v>174</v>
      </c>
      <c r="K481" t="s">
        <v>31</v>
      </c>
      <c r="L481" t="s">
        <v>32</v>
      </c>
      <c r="M481" t="s">
        <v>33</v>
      </c>
      <c r="P481" s="1" t="s">
        <v>1951</v>
      </c>
      <c r="Q481" s="1" t="s">
        <v>1562</v>
      </c>
      <c r="R481" s="1" t="s">
        <v>1562</v>
      </c>
      <c r="S481" s="1"/>
      <c r="T481" s="1" t="s">
        <v>172</v>
      </c>
      <c r="U481" s="1"/>
      <c r="V481" s="1">
        <v>39.93</v>
      </c>
      <c r="W481" s="1">
        <v>39.93</v>
      </c>
      <c r="X481" s="1" t="s">
        <v>35</v>
      </c>
      <c r="Y481" s="1">
        <v>39930.0</v>
      </c>
      <c r="Z481" s="1"/>
      <c r="AA481" s="1">
        <v>39930</v>
      </c>
      <c r="AB481" s="1"/>
      <c r="AC481" s="1" t="s">
        <v>36</v>
      </c>
      <c r="AD481" s="1" t="s">
        <v>1952</v>
      </c>
      <c r="AE481" s="1" t="s">
        <v>32</v>
      </c>
      <c r="AF481" s="1" t="s">
        <v>33</v>
      </c>
      <c r="AG481" s="1" t="s">
        <v>174</v>
      </c>
    </row>
    <row r="482" spans="1:33">
      <c r="A482" t="s">
        <v>1953</v>
      </c>
      <c r="B482" t="s">
        <v>57</v>
      </c>
      <c r="C482" t="s">
        <v>58</v>
      </c>
      <c r="E482" t="s">
        <v>1562</v>
      </c>
      <c r="F482" t="s">
        <v>1568</v>
      </c>
      <c r="G482">
        <v>375.0</v>
      </c>
      <c r="H482">
        <v>375.0</v>
      </c>
      <c r="I482" t="s">
        <v>59</v>
      </c>
      <c r="J482" t="s">
        <v>60</v>
      </c>
      <c r="K482" t="s">
        <v>31</v>
      </c>
      <c r="L482" t="s">
        <v>32</v>
      </c>
      <c r="M482" t="s">
        <v>33</v>
      </c>
      <c r="P482" s="1" t="s">
        <v>1954</v>
      </c>
      <c r="Q482" s="1" t="s">
        <v>1562</v>
      </c>
      <c r="R482" s="1" t="s">
        <v>1562</v>
      </c>
      <c r="S482" s="1"/>
      <c r="T482" s="1" t="s">
        <v>58</v>
      </c>
      <c r="U482" s="1"/>
      <c r="V482" s="1">
        <v>375.0</v>
      </c>
      <c r="W482" s="1">
        <v>375.0</v>
      </c>
      <c r="X482" s="1" t="s">
        <v>35</v>
      </c>
      <c r="Y482" s="1">
        <v>375000.0</v>
      </c>
      <c r="Z482" s="1"/>
      <c r="AA482" s="1">
        <v>375000</v>
      </c>
      <c r="AB482" s="1"/>
      <c r="AC482" s="1" t="s">
        <v>36</v>
      </c>
      <c r="AD482" s="1" t="s">
        <v>1955</v>
      </c>
      <c r="AE482" s="1" t="s">
        <v>32</v>
      </c>
      <c r="AF482" s="1" t="s">
        <v>33</v>
      </c>
      <c r="AG482" s="1" t="s">
        <v>60</v>
      </c>
    </row>
    <row r="483" spans="1:33">
      <c r="A483" t="s">
        <v>1956</v>
      </c>
      <c r="C483" t="s">
        <v>1957</v>
      </c>
      <c r="D483" t="s">
        <v>154</v>
      </c>
      <c r="E483" t="s">
        <v>1562</v>
      </c>
      <c r="F483" t="s">
        <v>1568</v>
      </c>
      <c r="G483">
        <v>520.0</v>
      </c>
      <c r="H483">
        <v>520.0</v>
      </c>
      <c r="I483" t="s">
        <v>227</v>
      </c>
      <c r="J483" t="s">
        <v>228</v>
      </c>
      <c r="K483" t="s">
        <v>31</v>
      </c>
      <c r="L483" t="s">
        <v>32</v>
      </c>
      <c r="M483" t="s">
        <v>33</v>
      </c>
      <c r="P483" s="1" t="s">
        <v>1958</v>
      </c>
      <c r="Q483" s="1" t="s">
        <v>1562</v>
      </c>
      <c r="R483" s="1" t="s">
        <v>1562</v>
      </c>
      <c r="S483" s="1"/>
      <c r="T483" s="1" t="s">
        <v>1957</v>
      </c>
      <c r="U483" s="1"/>
      <c r="V483" s="1">
        <v>520.0</v>
      </c>
      <c r="W483" s="1">
        <v>520.0</v>
      </c>
      <c r="X483" s="1" t="s">
        <v>35</v>
      </c>
      <c r="Y483" s="1">
        <v>520000.0</v>
      </c>
      <c r="Z483" s="1"/>
      <c r="AA483" s="1">
        <v>520000</v>
      </c>
      <c r="AB483" s="1"/>
      <c r="AC483" s="1" t="s">
        <v>36</v>
      </c>
      <c r="AD483" s="1" t="s">
        <v>1959</v>
      </c>
      <c r="AE483" s="1" t="s">
        <v>32</v>
      </c>
      <c r="AF483" s="1" t="s">
        <v>33</v>
      </c>
      <c r="AG483" s="1" t="s">
        <v>228</v>
      </c>
    </row>
    <row r="484" spans="1:33">
      <c r="A484" t="s">
        <v>1960</v>
      </c>
      <c r="B484" t="s">
        <v>1961</v>
      </c>
      <c r="C484" t="s">
        <v>68</v>
      </c>
      <c r="E484" t="s">
        <v>1562</v>
      </c>
      <c r="F484" t="s">
        <v>1568</v>
      </c>
      <c r="G484">
        <v>22.49</v>
      </c>
      <c r="H484">
        <v>22.49</v>
      </c>
      <c r="I484" t="s">
        <v>59</v>
      </c>
      <c r="J484" t="s">
        <v>60</v>
      </c>
      <c r="K484" t="s">
        <v>31</v>
      </c>
      <c r="L484" t="s">
        <v>32</v>
      </c>
      <c r="M484" t="s">
        <v>33</v>
      </c>
      <c r="P484" s="1" t="s">
        <v>1962</v>
      </c>
      <c r="Q484" s="1" t="s">
        <v>1562</v>
      </c>
      <c r="R484" s="1" t="s">
        <v>1562</v>
      </c>
      <c r="S484" s="1"/>
      <c r="T484" s="1" t="s">
        <v>68</v>
      </c>
      <c r="U484" s="1"/>
      <c r="V484" s="1">
        <v>22.49</v>
      </c>
      <c r="W484" s="1">
        <v>22.49</v>
      </c>
      <c r="X484" s="1" t="s">
        <v>35</v>
      </c>
      <c r="Y484" s="1">
        <v>22490.0</v>
      </c>
      <c r="Z484" s="1"/>
      <c r="AA484" s="1">
        <v>22490</v>
      </c>
      <c r="AB484" s="1"/>
      <c r="AC484" s="1" t="s">
        <v>36</v>
      </c>
      <c r="AD484" s="1" t="s">
        <v>1963</v>
      </c>
      <c r="AE484" s="1" t="s">
        <v>32</v>
      </c>
      <c r="AF484" s="1" t="s">
        <v>33</v>
      </c>
      <c r="AG484" s="1" t="s">
        <v>60</v>
      </c>
    </row>
    <row r="485" spans="1:33">
      <c r="A485" t="s">
        <v>1964</v>
      </c>
      <c r="B485" t="s">
        <v>1965</v>
      </c>
      <c r="C485" t="s">
        <v>314</v>
      </c>
      <c r="E485" t="s">
        <v>1562</v>
      </c>
      <c r="F485" t="s">
        <v>1568</v>
      </c>
      <c r="G485">
        <v>37.49</v>
      </c>
      <c r="H485">
        <v>37.49</v>
      </c>
      <c r="I485" t="s">
        <v>179</v>
      </c>
      <c r="J485" t="s">
        <v>180</v>
      </c>
      <c r="K485" t="s">
        <v>31</v>
      </c>
      <c r="L485" t="s">
        <v>32</v>
      </c>
      <c r="M485" t="s">
        <v>33</v>
      </c>
      <c r="P485" s="1" t="s">
        <v>1966</v>
      </c>
      <c r="Q485" s="1" t="s">
        <v>1562</v>
      </c>
      <c r="R485" s="1" t="s">
        <v>1562</v>
      </c>
      <c r="S485" s="1"/>
      <c r="T485" s="1" t="s">
        <v>314</v>
      </c>
      <c r="U485" s="1"/>
      <c r="V485" s="1">
        <v>37.49</v>
      </c>
      <c r="W485" s="1">
        <v>37.49</v>
      </c>
      <c r="X485" s="1" t="s">
        <v>35</v>
      </c>
      <c r="Y485" s="1">
        <v>37490.0</v>
      </c>
      <c r="Z485" s="1"/>
      <c r="AA485" s="1">
        <v>37490</v>
      </c>
      <c r="AB485" s="1"/>
      <c r="AC485" s="1" t="s">
        <v>36</v>
      </c>
      <c r="AD485" s="1" t="s">
        <v>1967</v>
      </c>
      <c r="AE485" s="1" t="s">
        <v>32</v>
      </c>
      <c r="AF485" s="1" t="s">
        <v>33</v>
      </c>
      <c r="AG485" s="1" t="s">
        <v>180</v>
      </c>
    </row>
    <row r="486" spans="1:33">
      <c r="A486" t="s">
        <v>1968</v>
      </c>
      <c r="B486" t="s">
        <v>1969</v>
      </c>
      <c r="C486" t="s">
        <v>569</v>
      </c>
      <c r="E486" t="s">
        <v>1562</v>
      </c>
      <c r="F486" t="s">
        <v>1568</v>
      </c>
      <c r="G486">
        <v>20.99</v>
      </c>
      <c r="H486">
        <v>20.99</v>
      </c>
      <c r="I486" t="s">
        <v>570</v>
      </c>
      <c r="J486" t="s">
        <v>571</v>
      </c>
      <c r="K486" t="s">
        <v>31</v>
      </c>
      <c r="L486" t="s">
        <v>32</v>
      </c>
      <c r="M486" t="s">
        <v>33</v>
      </c>
      <c r="P486" s="1" t="s">
        <v>1970</v>
      </c>
      <c r="Q486" s="1" t="s">
        <v>1562</v>
      </c>
      <c r="R486" s="1" t="s">
        <v>1562</v>
      </c>
      <c r="S486" s="1"/>
      <c r="T486" s="1" t="s">
        <v>569</v>
      </c>
      <c r="U486" s="1"/>
      <c r="V486" s="1">
        <v>20.99</v>
      </c>
      <c r="W486" s="1">
        <v>20.99</v>
      </c>
      <c r="X486" s="1" t="s">
        <v>35</v>
      </c>
      <c r="Y486" s="1">
        <v>20990.0</v>
      </c>
      <c r="Z486" s="1"/>
      <c r="AA486" s="1">
        <v>20990</v>
      </c>
      <c r="AB486" s="1"/>
      <c r="AC486" s="1" t="s">
        <v>36</v>
      </c>
      <c r="AD486" s="1" t="s">
        <v>1971</v>
      </c>
      <c r="AE486" s="1" t="s">
        <v>32</v>
      </c>
      <c r="AF486" s="1" t="s">
        <v>33</v>
      </c>
      <c r="AG486" s="1" t="s">
        <v>571</v>
      </c>
    </row>
    <row r="487" spans="1:33">
      <c r="A487" t="s">
        <v>1972</v>
      </c>
      <c r="B487" t="s">
        <v>1973</v>
      </c>
      <c r="C487" t="s">
        <v>314</v>
      </c>
      <c r="E487" t="s">
        <v>1562</v>
      </c>
      <c r="F487" t="s">
        <v>1568</v>
      </c>
      <c r="G487">
        <v>40.99</v>
      </c>
      <c r="H487">
        <v>40.99</v>
      </c>
      <c r="I487" t="s">
        <v>179</v>
      </c>
      <c r="J487" t="s">
        <v>180</v>
      </c>
      <c r="K487" t="s">
        <v>31</v>
      </c>
      <c r="L487" t="s">
        <v>32</v>
      </c>
      <c r="M487" t="s">
        <v>33</v>
      </c>
      <c r="P487" s="1" t="s">
        <v>1974</v>
      </c>
      <c r="Q487" s="1" t="s">
        <v>1562</v>
      </c>
      <c r="R487" s="1" t="s">
        <v>1562</v>
      </c>
      <c r="S487" s="1"/>
      <c r="T487" s="1" t="s">
        <v>314</v>
      </c>
      <c r="U487" s="1"/>
      <c r="V487" s="1">
        <v>40.99</v>
      </c>
      <c r="W487" s="1">
        <v>40.99</v>
      </c>
      <c r="X487" s="1" t="s">
        <v>35</v>
      </c>
      <c r="Y487" s="1">
        <v>40990.0</v>
      </c>
      <c r="Z487" s="1"/>
      <c r="AA487" s="1">
        <v>40990</v>
      </c>
      <c r="AB487" s="1"/>
      <c r="AC487" s="1" t="s">
        <v>36</v>
      </c>
      <c r="AD487" s="1" t="s">
        <v>1963</v>
      </c>
      <c r="AE487" s="1" t="s">
        <v>32</v>
      </c>
      <c r="AF487" s="1" t="s">
        <v>33</v>
      </c>
      <c r="AG487" s="1" t="s">
        <v>180</v>
      </c>
    </row>
    <row r="488" spans="1:33">
      <c r="A488" t="s">
        <v>1975</v>
      </c>
      <c r="B488" t="s">
        <v>1976</v>
      </c>
      <c r="C488" t="s">
        <v>314</v>
      </c>
      <c r="E488" t="s">
        <v>1562</v>
      </c>
      <c r="F488" t="s">
        <v>1568</v>
      </c>
      <c r="G488">
        <v>55.77</v>
      </c>
      <c r="H488">
        <v>55.77</v>
      </c>
      <c r="I488" t="s">
        <v>179</v>
      </c>
      <c r="J488" t="s">
        <v>180</v>
      </c>
      <c r="K488" t="s">
        <v>31</v>
      </c>
      <c r="L488" t="s">
        <v>32</v>
      </c>
      <c r="M488" t="s">
        <v>33</v>
      </c>
      <c r="P488" s="1" t="s">
        <v>1977</v>
      </c>
      <c r="Q488" s="1" t="s">
        <v>1562</v>
      </c>
      <c r="R488" s="1" t="s">
        <v>1562</v>
      </c>
      <c r="S488" s="1"/>
      <c r="T488" s="1" t="s">
        <v>314</v>
      </c>
      <c r="U488" s="1"/>
      <c r="V488" s="1">
        <v>55.77</v>
      </c>
      <c r="W488" s="1">
        <v>55.77</v>
      </c>
      <c r="X488" s="1" t="s">
        <v>35</v>
      </c>
      <c r="Y488" s="1">
        <v>55770.0</v>
      </c>
      <c r="Z488" s="1"/>
      <c r="AA488" s="1">
        <v>55770</v>
      </c>
      <c r="AB488" s="1"/>
      <c r="AC488" s="1" t="s">
        <v>36</v>
      </c>
      <c r="AD488" s="1" t="s">
        <v>1978</v>
      </c>
      <c r="AE488" s="1" t="s">
        <v>32</v>
      </c>
      <c r="AF488" s="1" t="s">
        <v>33</v>
      </c>
      <c r="AG488" s="1" t="s">
        <v>180</v>
      </c>
    </row>
    <row r="489" spans="1:33">
      <c r="A489" t="s">
        <v>1979</v>
      </c>
      <c r="B489" t="s">
        <v>1980</v>
      </c>
      <c r="C489" t="s">
        <v>314</v>
      </c>
      <c r="E489" t="s">
        <v>1562</v>
      </c>
      <c r="F489" t="s">
        <v>1568</v>
      </c>
      <c r="G489">
        <v>33.74</v>
      </c>
      <c r="H489">
        <v>33.74</v>
      </c>
      <c r="I489" t="s">
        <v>179</v>
      </c>
      <c r="J489" t="s">
        <v>180</v>
      </c>
      <c r="K489" t="s">
        <v>31</v>
      </c>
      <c r="L489" t="s">
        <v>32</v>
      </c>
      <c r="M489" t="s">
        <v>33</v>
      </c>
      <c r="P489" s="1" t="s">
        <v>1981</v>
      </c>
      <c r="Q489" s="1" t="s">
        <v>1562</v>
      </c>
      <c r="R489" s="1" t="s">
        <v>1562</v>
      </c>
      <c r="S489" s="1"/>
      <c r="T489" s="1" t="s">
        <v>314</v>
      </c>
      <c r="U489" s="1"/>
      <c r="V489" s="1">
        <v>33.74</v>
      </c>
      <c r="W489" s="1">
        <v>33.74</v>
      </c>
      <c r="X489" s="1" t="s">
        <v>35</v>
      </c>
      <c r="Y489" s="1">
        <v>33740.0</v>
      </c>
      <c r="Z489" s="1"/>
      <c r="AA489" s="1">
        <v>33740</v>
      </c>
      <c r="AB489" s="1"/>
      <c r="AC489" s="1" t="s">
        <v>36</v>
      </c>
      <c r="AD489" s="1" t="s">
        <v>1982</v>
      </c>
      <c r="AE489" s="1" t="s">
        <v>32</v>
      </c>
      <c r="AF489" s="1" t="s">
        <v>33</v>
      </c>
      <c r="AG489" s="1" t="s">
        <v>180</v>
      </c>
    </row>
    <row r="490" spans="1:33">
      <c r="A490" t="s">
        <v>1983</v>
      </c>
      <c r="B490" t="s">
        <v>1984</v>
      </c>
      <c r="C490" t="s">
        <v>314</v>
      </c>
      <c r="E490" t="s">
        <v>1562</v>
      </c>
      <c r="F490" t="s">
        <v>1568</v>
      </c>
      <c r="G490">
        <v>21.24</v>
      </c>
      <c r="H490">
        <v>21.24</v>
      </c>
      <c r="I490" t="s">
        <v>179</v>
      </c>
      <c r="J490" t="s">
        <v>180</v>
      </c>
      <c r="K490" t="s">
        <v>31</v>
      </c>
      <c r="L490" t="s">
        <v>32</v>
      </c>
      <c r="M490" t="s">
        <v>33</v>
      </c>
      <c r="P490" s="1" t="s">
        <v>1985</v>
      </c>
      <c r="Q490" s="1" t="s">
        <v>1562</v>
      </c>
      <c r="R490" s="1" t="s">
        <v>1562</v>
      </c>
      <c r="S490" s="1"/>
      <c r="T490" s="1" t="s">
        <v>314</v>
      </c>
      <c r="U490" s="1"/>
      <c r="V490" s="1">
        <v>21.24</v>
      </c>
      <c r="W490" s="1">
        <v>21.24</v>
      </c>
      <c r="X490" s="1" t="s">
        <v>35</v>
      </c>
      <c r="Y490" s="1">
        <v>21240.0</v>
      </c>
      <c r="Z490" s="1"/>
      <c r="AA490" s="1">
        <v>21240</v>
      </c>
      <c r="AB490" s="1"/>
      <c r="AC490" s="1" t="s">
        <v>36</v>
      </c>
      <c r="AD490" s="1" t="s">
        <v>1986</v>
      </c>
      <c r="AE490" s="1" t="s">
        <v>32</v>
      </c>
      <c r="AF490" s="1" t="s">
        <v>33</v>
      </c>
      <c r="AG490" s="1" t="s">
        <v>180</v>
      </c>
    </row>
    <row r="491" spans="1:33">
      <c r="A491" t="s">
        <v>1987</v>
      </c>
      <c r="B491" t="s">
        <v>1988</v>
      </c>
      <c r="C491" t="s">
        <v>47</v>
      </c>
      <c r="E491" t="s">
        <v>1562</v>
      </c>
      <c r="F491" t="s">
        <v>1568</v>
      </c>
      <c r="G491">
        <v>21.99</v>
      </c>
      <c r="H491">
        <v>21.99</v>
      </c>
      <c r="I491" t="s">
        <v>48</v>
      </c>
      <c r="J491" t="s">
        <v>49</v>
      </c>
      <c r="K491" t="s">
        <v>31</v>
      </c>
      <c r="L491" t="s">
        <v>32</v>
      </c>
      <c r="M491" t="s">
        <v>33</v>
      </c>
      <c r="P491" s="1" t="s">
        <v>1989</v>
      </c>
      <c r="Q491" s="1" t="s">
        <v>1562</v>
      </c>
      <c r="R491" s="1" t="s">
        <v>1562</v>
      </c>
      <c r="S491" s="1"/>
      <c r="T491" s="1" t="s">
        <v>47</v>
      </c>
      <c r="U491" s="1"/>
      <c r="V491" s="1">
        <v>21.99</v>
      </c>
      <c r="W491" s="1">
        <v>21.99</v>
      </c>
      <c r="X491" s="1" t="s">
        <v>35</v>
      </c>
      <c r="Y491" s="1">
        <v>21990.0</v>
      </c>
      <c r="Z491" s="1"/>
      <c r="AA491" s="1">
        <v>21990</v>
      </c>
      <c r="AB491" s="1"/>
      <c r="AC491" s="1" t="s">
        <v>36</v>
      </c>
      <c r="AD491" s="1" t="s">
        <v>1990</v>
      </c>
      <c r="AE491" s="1" t="s">
        <v>32</v>
      </c>
      <c r="AF491" s="1" t="s">
        <v>33</v>
      </c>
      <c r="AG491" s="1" t="s">
        <v>49</v>
      </c>
    </row>
    <row r="492" spans="1:33">
      <c r="A492" t="s">
        <v>1991</v>
      </c>
      <c r="C492" t="s">
        <v>1992</v>
      </c>
      <c r="E492" t="s">
        <v>1562</v>
      </c>
      <c r="F492" t="s">
        <v>1568</v>
      </c>
      <c r="G492">
        <v>708.0</v>
      </c>
      <c r="H492">
        <v>708.0</v>
      </c>
      <c r="I492" t="s">
        <v>269</v>
      </c>
      <c r="J492" t="s">
        <v>270</v>
      </c>
      <c r="K492" t="s">
        <v>31</v>
      </c>
      <c r="L492" t="s">
        <v>32</v>
      </c>
      <c r="M492" t="s">
        <v>33</v>
      </c>
      <c r="P492" s="1" t="s">
        <v>1993</v>
      </c>
      <c r="Q492" s="1" t="s">
        <v>1562</v>
      </c>
      <c r="R492" s="1" t="s">
        <v>1562</v>
      </c>
      <c r="S492" s="1"/>
      <c r="T492" s="1" t="s">
        <v>1994</v>
      </c>
      <c r="U492" s="1" t="s">
        <v>1995</v>
      </c>
      <c r="V492" s="1">
        <v>708.0</v>
      </c>
      <c r="W492" s="1">
        <v>708.0</v>
      </c>
      <c r="X492" s="1" t="s">
        <v>35</v>
      </c>
      <c r="Y492" s="1">
        <v>708000.0</v>
      </c>
      <c r="Z492" s="1"/>
      <c r="AA492" s="1">
        <v>708000</v>
      </c>
      <c r="AB492" s="1"/>
      <c r="AC492" s="1" t="s">
        <v>36</v>
      </c>
      <c r="AD492" s="1" t="s">
        <v>1996</v>
      </c>
      <c r="AE492" s="1" t="s">
        <v>32</v>
      </c>
      <c r="AF492" s="1" t="s">
        <v>33</v>
      </c>
      <c r="AG492" s="1" t="s">
        <v>270</v>
      </c>
    </row>
    <row r="493" spans="1:33">
      <c r="A493" t="s">
        <v>1997</v>
      </c>
      <c r="C493" t="s">
        <v>1998</v>
      </c>
      <c r="E493" t="s">
        <v>1562</v>
      </c>
      <c r="F493" t="s">
        <v>1568</v>
      </c>
      <c r="G493">
        <v>744.7</v>
      </c>
      <c r="H493">
        <v>744.7</v>
      </c>
      <c r="I493" t="s">
        <v>269</v>
      </c>
      <c r="J493" t="s">
        <v>270</v>
      </c>
      <c r="K493" t="s">
        <v>31</v>
      </c>
      <c r="L493" t="s">
        <v>32</v>
      </c>
      <c r="M493" t="s">
        <v>33</v>
      </c>
      <c r="P493" s="1" t="s">
        <v>1999</v>
      </c>
      <c r="Q493" s="1" t="s">
        <v>1562</v>
      </c>
      <c r="R493" s="1" t="s">
        <v>1562</v>
      </c>
      <c r="S493" s="1"/>
      <c r="T493" s="1" t="s">
        <v>2000</v>
      </c>
      <c r="U493" s="1" t="s">
        <v>2001</v>
      </c>
      <c r="V493" s="1">
        <v>744.7</v>
      </c>
      <c r="W493" s="1">
        <v>744.7</v>
      </c>
      <c r="X493" s="1" t="s">
        <v>35</v>
      </c>
      <c r="Y493" s="1">
        <v>744700.0</v>
      </c>
      <c r="Z493" s="1"/>
      <c r="AA493" s="1">
        <v>744700</v>
      </c>
      <c r="AB493" s="1"/>
      <c r="AC493" s="1" t="s">
        <v>36</v>
      </c>
      <c r="AD493" s="1" t="s">
        <v>2002</v>
      </c>
      <c r="AE493" s="1" t="s">
        <v>32</v>
      </c>
      <c r="AF493" s="1" t="s">
        <v>33</v>
      </c>
      <c r="AG493" s="1" t="s">
        <v>270</v>
      </c>
    </row>
    <row r="494" spans="1:33">
      <c r="A494" t="s">
        <v>2003</v>
      </c>
      <c r="B494" t="s">
        <v>2004</v>
      </c>
      <c r="C494" t="s">
        <v>135</v>
      </c>
      <c r="E494" t="s">
        <v>1562</v>
      </c>
      <c r="F494" t="s">
        <v>1568</v>
      </c>
      <c r="G494">
        <v>68.5</v>
      </c>
      <c r="H494">
        <v>68.5</v>
      </c>
      <c r="I494" t="s">
        <v>136</v>
      </c>
      <c r="J494" t="s">
        <v>137</v>
      </c>
      <c r="K494" t="s">
        <v>31</v>
      </c>
      <c r="L494" t="s">
        <v>32</v>
      </c>
      <c r="M494" t="s">
        <v>33</v>
      </c>
      <c r="P494" s="1" t="s">
        <v>2005</v>
      </c>
      <c r="Q494" s="1" t="s">
        <v>1562</v>
      </c>
      <c r="R494" s="1" t="s">
        <v>1562</v>
      </c>
      <c r="S494" s="1"/>
      <c r="T494" s="1" t="s">
        <v>135</v>
      </c>
      <c r="U494" s="1"/>
      <c r="V494" s="1">
        <v>68.5</v>
      </c>
      <c r="W494" s="1">
        <v>68.5</v>
      </c>
      <c r="X494" s="1" t="s">
        <v>35</v>
      </c>
      <c r="Y494" s="1">
        <v>68500.0</v>
      </c>
      <c r="Z494" s="1"/>
      <c r="AA494" s="1">
        <v>68500</v>
      </c>
      <c r="AB494" s="1"/>
      <c r="AC494" s="1" t="s">
        <v>36</v>
      </c>
      <c r="AD494" s="1" t="s">
        <v>2006</v>
      </c>
      <c r="AE494" s="1" t="s">
        <v>32</v>
      </c>
      <c r="AF494" s="1" t="s">
        <v>33</v>
      </c>
      <c r="AG494" s="1" t="s">
        <v>137</v>
      </c>
    </row>
    <row r="495" spans="1:33">
      <c r="A495" t="s">
        <v>2007</v>
      </c>
      <c r="B495" t="s">
        <v>2008</v>
      </c>
      <c r="C495" t="s">
        <v>47</v>
      </c>
      <c r="E495" t="s">
        <v>1562</v>
      </c>
      <c r="F495" t="s">
        <v>1568</v>
      </c>
      <c r="G495">
        <v>235.0</v>
      </c>
      <c r="H495">
        <v>235.0</v>
      </c>
      <c r="I495" t="s">
        <v>48</v>
      </c>
      <c r="J495" t="s">
        <v>49</v>
      </c>
      <c r="K495" t="s">
        <v>31</v>
      </c>
      <c r="L495" t="s">
        <v>32</v>
      </c>
      <c r="M495" t="s">
        <v>33</v>
      </c>
      <c r="P495" s="1" t="s">
        <v>2009</v>
      </c>
      <c r="Q495" s="1" t="s">
        <v>1562</v>
      </c>
      <c r="R495" s="1" t="s">
        <v>1562</v>
      </c>
      <c r="S495" s="1"/>
      <c r="T495" s="1" t="s">
        <v>47</v>
      </c>
      <c r="U495" s="1"/>
      <c r="V495" s="1">
        <v>235.0</v>
      </c>
      <c r="W495" s="1">
        <v>235.0</v>
      </c>
      <c r="X495" s="1" t="s">
        <v>35</v>
      </c>
      <c r="Y495" s="1">
        <v>235000.0</v>
      </c>
      <c r="Z495" s="1"/>
      <c r="AA495" s="1">
        <v>235000</v>
      </c>
      <c r="AB495" s="1"/>
      <c r="AC495" s="1" t="s">
        <v>36</v>
      </c>
      <c r="AD495" s="1" t="s">
        <v>2010</v>
      </c>
      <c r="AE495" s="1" t="s">
        <v>32</v>
      </c>
      <c r="AF495" s="1" t="s">
        <v>33</v>
      </c>
      <c r="AG495" s="1" t="s">
        <v>49</v>
      </c>
    </row>
    <row r="496" spans="1:33">
      <c r="A496" t="s">
        <v>2011</v>
      </c>
      <c r="B496" t="s">
        <v>2012</v>
      </c>
      <c r="C496" t="s">
        <v>2013</v>
      </c>
      <c r="E496" t="s">
        <v>1562</v>
      </c>
      <c r="F496" t="s">
        <v>1568</v>
      </c>
      <c r="G496">
        <v>372.0</v>
      </c>
      <c r="H496">
        <v>372.0</v>
      </c>
      <c r="I496" t="s">
        <v>59</v>
      </c>
      <c r="J496" t="s">
        <v>60</v>
      </c>
      <c r="K496" t="s">
        <v>31</v>
      </c>
      <c r="L496" t="s">
        <v>32</v>
      </c>
      <c r="M496" t="s">
        <v>33</v>
      </c>
      <c r="P496" s="1" t="s">
        <v>2014</v>
      </c>
      <c r="Q496" s="1" t="s">
        <v>1562</v>
      </c>
      <c r="R496" s="1" t="s">
        <v>1562</v>
      </c>
      <c r="S496" s="1"/>
      <c r="T496" s="1" t="s">
        <v>2013</v>
      </c>
      <c r="U496" s="1"/>
      <c r="V496" s="1">
        <v>372.0</v>
      </c>
      <c r="W496" s="1">
        <v>372.0</v>
      </c>
      <c r="X496" s="1" t="s">
        <v>35</v>
      </c>
      <c r="Y496" s="1">
        <v>372000.0</v>
      </c>
      <c r="Z496" s="1"/>
      <c r="AA496" s="1">
        <v>372000</v>
      </c>
      <c r="AB496" s="1"/>
      <c r="AC496" s="1" t="s">
        <v>36</v>
      </c>
      <c r="AD496" s="1" t="s">
        <v>2015</v>
      </c>
      <c r="AE496" s="1" t="s">
        <v>32</v>
      </c>
      <c r="AF496" s="1" t="s">
        <v>33</v>
      </c>
      <c r="AG496" s="1" t="s">
        <v>60</v>
      </c>
    </row>
    <row r="497" spans="1:33">
      <c r="A497" t="s">
        <v>2016</v>
      </c>
      <c r="B497" t="s">
        <v>2017</v>
      </c>
      <c r="C497" t="s">
        <v>2018</v>
      </c>
      <c r="D497" t="s">
        <v>154</v>
      </c>
      <c r="E497" t="s">
        <v>1562</v>
      </c>
      <c r="F497" t="s">
        <v>1568</v>
      </c>
      <c r="G497">
        <v>810.0</v>
      </c>
      <c r="H497">
        <v>810.0</v>
      </c>
      <c r="I497" t="s">
        <v>59</v>
      </c>
      <c r="J497" t="s">
        <v>60</v>
      </c>
      <c r="K497" t="s">
        <v>31</v>
      </c>
      <c r="L497" t="s">
        <v>32</v>
      </c>
      <c r="M497" t="s">
        <v>33</v>
      </c>
      <c r="P497" s="1" t="s">
        <v>2019</v>
      </c>
      <c r="Q497" s="1" t="s">
        <v>1562</v>
      </c>
      <c r="R497" s="1" t="s">
        <v>1562</v>
      </c>
      <c r="S497" s="1"/>
      <c r="T497" s="1" t="s">
        <v>2018</v>
      </c>
      <c r="U497" s="1"/>
      <c r="V497" s="1">
        <v>810.0</v>
      </c>
      <c r="W497" s="1">
        <v>810.0</v>
      </c>
      <c r="X497" s="1" t="s">
        <v>35</v>
      </c>
      <c r="Y497" s="1">
        <v>810000.0</v>
      </c>
      <c r="Z497" s="1"/>
      <c r="AA497" s="1">
        <v>810000</v>
      </c>
      <c r="AB497" s="1"/>
      <c r="AC497" s="1" t="s">
        <v>36</v>
      </c>
      <c r="AD497" s="1" t="s">
        <v>2020</v>
      </c>
      <c r="AE497" s="1" t="s">
        <v>32</v>
      </c>
      <c r="AF497" s="1" t="s">
        <v>33</v>
      </c>
      <c r="AG497" s="1" t="s">
        <v>60</v>
      </c>
    </row>
    <row r="498" spans="1:33">
      <c r="A498" t="s">
        <v>2021</v>
      </c>
      <c r="C498" t="s">
        <v>2022</v>
      </c>
      <c r="E498" t="s">
        <v>1562</v>
      </c>
      <c r="F498" t="s">
        <v>1568</v>
      </c>
      <c r="G498">
        <v>630.0</v>
      </c>
      <c r="H498">
        <v>630.0</v>
      </c>
      <c r="I498" t="s">
        <v>173</v>
      </c>
      <c r="J498" t="s">
        <v>174</v>
      </c>
      <c r="K498" t="s">
        <v>31</v>
      </c>
      <c r="L498" t="s">
        <v>32</v>
      </c>
      <c r="M498" t="s">
        <v>33</v>
      </c>
      <c r="P498" s="1" t="s">
        <v>2023</v>
      </c>
      <c r="Q498" s="1" t="s">
        <v>1562</v>
      </c>
      <c r="R498" s="1" t="s">
        <v>1562</v>
      </c>
      <c r="S498" s="1"/>
      <c r="T498" s="1" t="s">
        <v>2022</v>
      </c>
      <c r="U498" s="1"/>
      <c r="V498" s="1">
        <v>630.0</v>
      </c>
      <c r="W498" s="1">
        <v>630.0</v>
      </c>
      <c r="X498" s="1" t="s">
        <v>35</v>
      </c>
      <c r="Y498" s="1">
        <v>630000.0</v>
      </c>
      <c r="Z498" s="1"/>
      <c r="AA498" s="1">
        <v>630000</v>
      </c>
      <c r="AB498" s="1"/>
      <c r="AC498" s="1" t="s">
        <v>36</v>
      </c>
      <c r="AD498" s="1" t="s">
        <v>2024</v>
      </c>
      <c r="AE498" s="1" t="s">
        <v>32</v>
      </c>
      <c r="AF498" s="1" t="s">
        <v>33</v>
      </c>
      <c r="AG498" s="1" t="s">
        <v>174</v>
      </c>
    </row>
    <row r="499" spans="1:33">
      <c r="A499" t="s">
        <v>2025</v>
      </c>
      <c r="B499" t="s">
        <v>2026</v>
      </c>
      <c r="C499" t="s">
        <v>268</v>
      </c>
      <c r="E499" t="s">
        <v>1562</v>
      </c>
      <c r="F499" t="s">
        <v>1568</v>
      </c>
      <c r="G499">
        <v>132.35</v>
      </c>
      <c r="H499">
        <v>132.35</v>
      </c>
      <c r="I499" t="s">
        <v>269</v>
      </c>
      <c r="J499" t="s">
        <v>270</v>
      </c>
      <c r="K499" t="s">
        <v>31</v>
      </c>
      <c r="L499" t="s">
        <v>32</v>
      </c>
      <c r="M499" t="s">
        <v>33</v>
      </c>
      <c r="P499" s="1" t="s">
        <v>2027</v>
      </c>
      <c r="Q499" s="1" t="s">
        <v>1562</v>
      </c>
      <c r="R499" s="1" t="s">
        <v>1562</v>
      </c>
      <c r="S499" s="1"/>
      <c r="T499" s="1" t="s">
        <v>268</v>
      </c>
      <c r="U499" s="1"/>
      <c r="V499" s="1">
        <v>132.35</v>
      </c>
      <c r="W499" s="1">
        <v>132.35</v>
      </c>
      <c r="X499" s="1" t="s">
        <v>35</v>
      </c>
      <c r="Y499" s="1">
        <v>132350.0</v>
      </c>
      <c r="Z499" s="1"/>
      <c r="AA499" s="1">
        <v>132350</v>
      </c>
      <c r="AB499" s="1"/>
      <c r="AC499" s="1" t="s">
        <v>36</v>
      </c>
      <c r="AD499" s="1" t="s">
        <v>2028</v>
      </c>
      <c r="AE499" s="1" t="s">
        <v>32</v>
      </c>
      <c r="AF499" s="1" t="s">
        <v>33</v>
      </c>
      <c r="AG499" s="1" t="s">
        <v>270</v>
      </c>
    </row>
    <row r="500" spans="1:33">
      <c r="A500" t="s">
        <v>2029</v>
      </c>
      <c r="B500" t="s">
        <v>2030</v>
      </c>
      <c r="C500" t="s">
        <v>47</v>
      </c>
      <c r="E500" t="s">
        <v>1562</v>
      </c>
      <c r="F500" t="s">
        <v>1568</v>
      </c>
      <c r="G500">
        <v>173.99</v>
      </c>
      <c r="H500">
        <v>173.99</v>
      </c>
      <c r="I500" t="s">
        <v>48</v>
      </c>
      <c r="J500" t="s">
        <v>49</v>
      </c>
      <c r="K500" t="s">
        <v>31</v>
      </c>
      <c r="L500" t="s">
        <v>32</v>
      </c>
      <c r="M500" t="s">
        <v>33</v>
      </c>
      <c r="P500" s="1" t="s">
        <v>2031</v>
      </c>
      <c r="Q500" s="1" t="s">
        <v>1562</v>
      </c>
      <c r="R500" s="1" t="s">
        <v>1562</v>
      </c>
      <c r="S500" s="1"/>
      <c r="T500" s="1" t="s">
        <v>47</v>
      </c>
      <c r="U500" s="1"/>
      <c r="V500" s="1">
        <v>173.99</v>
      </c>
      <c r="W500" s="1">
        <v>173.99</v>
      </c>
      <c r="X500" s="1" t="s">
        <v>35</v>
      </c>
      <c r="Y500" s="1">
        <v>173990.0</v>
      </c>
      <c r="Z500" s="1"/>
      <c r="AA500" s="1">
        <v>173990</v>
      </c>
      <c r="AB500" s="1"/>
      <c r="AC500" s="1" t="s">
        <v>36</v>
      </c>
      <c r="AD500" s="1" t="s">
        <v>2032</v>
      </c>
      <c r="AE500" s="1" t="s">
        <v>32</v>
      </c>
      <c r="AF500" s="1" t="s">
        <v>33</v>
      </c>
      <c r="AG500" s="1" t="s">
        <v>49</v>
      </c>
    </row>
    <row r="501" spans="1:33">
      <c r="A501" t="s">
        <v>2033</v>
      </c>
      <c r="B501" t="s">
        <v>2034</v>
      </c>
      <c r="C501" t="s">
        <v>314</v>
      </c>
      <c r="E501" t="s">
        <v>1562</v>
      </c>
      <c r="F501" t="s">
        <v>1568</v>
      </c>
      <c r="G501">
        <v>4.844</v>
      </c>
      <c r="H501">
        <v>4.844</v>
      </c>
      <c r="I501" t="s">
        <v>179</v>
      </c>
      <c r="J501" t="s">
        <v>180</v>
      </c>
      <c r="K501" t="s">
        <v>31</v>
      </c>
      <c r="L501" t="s">
        <v>32</v>
      </c>
      <c r="M501" t="s">
        <v>33</v>
      </c>
      <c r="P501" s="1" t="s">
        <v>2035</v>
      </c>
      <c r="Q501" s="1" t="s">
        <v>1562</v>
      </c>
      <c r="R501" s="1" t="s">
        <v>1562</v>
      </c>
      <c r="S501" s="1"/>
      <c r="T501" s="1" t="s">
        <v>314</v>
      </c>
      <c r="U501" s="1"/>
      <c r="V501" s="1">
        <v>4.844</v>
      </c>
      <c r="W501" s="1">
        <v>4.844</v>
      </c>
      <c r="X501" s="1" t="s">
        <v>35</v>
      </c>
      <c r="Y501" s="1">
        <v>4844.0</v>
      </c>
      <c r="Z501" s="1"/>
      <c r="AA501" s="1">
        <v>4844</v>
      </c>
      <c r="AB501" s="1"/>
      <c r="AC501" s="1" t="s">
        <v>36</v>
      </c>
      <c r="AD501" s="1" t="s">
        <v>2036</v>
      </c>
      <c r="AE501" s="1" t="s">
        <v>32</v>
      </c>
      <c r="AF501" s="1" t="s">
        <v>33</v>
      </c>
      <c r="AG501" s="1" t="s">
        <v>180</v>
      </c>
    </row>
    <row r="502" spans="1:33">
      <c r="A502" t="s">
        <v>2037</v>
      </c>
      <c r="C502" t="s">
        <v>2038</v>
      </c>
      <c r="E502" t="s">
        <v>1562</v>
      </c>
      <c r="F502" t="s">
        <v>1568</v>
      </c>
      <c r="G502">
        <v>328.0</v>
      </c>
      <c r="H502">
        <v>328.0</v>
      </c>
      <c r="I502" t="s">
        <v>269</v>
      </c>
      <c r="J502" t="s">
        <v>270</v>
      </c>
      <c r="K502" t="s">
        <v>31</v>
      </c>
      <c r="L502" t="s">
        <v>32</v>
      </c>
      <c r="M502" t="s">
        <v>33</v>
      </c>
      <c r="P502" s="1" t="s">
        <v>2039</v>
      </c>
      <c r="Q502" s="1" t="s">
        <v>1562</v>
      </c>
      <c r="R502" s="1" t="s">
        <v>1562</v>
      </c>
      <c r="S502" s="1"/>
      <c r="T502" s="1" t="s">
        <v>2040</v>
      </c>
      <c r="U502" s="1" t="s">
        <v>2041</v>
      </c>
      <c r="V502" s="1">
        <v>328.0</v>
      </c>
      <c r="W502" s="1">
        <v>328.0</v>
      </c>
      <c r="X502" s="1" t="s">
        <v>35</v>
      </c>
      <c r="Y502" s="1">
        <v>328000.0</v>
      </c>
      <c r="Z502" s="1"/>
      <c r="AA502" s="1">
        <v>328000</v>
      </c>
      <c r="AB502" s="1"/>
      <c r="AC502" s="1" t="s">
        <v>36</v>
      </c>
      <c r="AD502" s="1" t="s">
        <v>2024</v>
      </c>
      <c r="AE502" s="1" t="s">
        <v>32</v>
      </c>
      <c r="AF502" s="1" t="s">
        <v>33</v>
      </c>
      <c r="AG502" s="1" t="s">
        <v>270</v>
      </c>
    </row>
    <row r="503" spans="1:33">
      <c r="A503" t="s">
        <v>2042</v>
      </c>
      <c r="B503" t="s">
        <v>2043</v>
      </c>
      <c r="C503" t="s">
        <v>125</v>
      </c>
      <c r="E503" t="s">
        <v>1562</v>
      </c>
      <c r="F503" t="s">
        <v>1568</v>
      </c>
      <c r="G503">
        <v>19.49</v>
      </c>
      <c r="H503">
        <v>19.49</v>
      </c>
      <c r="I503" t="s">
        <v>126</v>
      </c>
      <c r="J503" t="s">
        <v>127</v>
      </c>
      <c r="K503" t="s">
        <v>31</v>
      </c>
      <c r="L503" t="s">
        <v>32</v>
      </c>
      <c r="M503" t="s">
        <v>33</v>
      </c>
      <c r="P503" s="1" t="s">
        <v>2044</v>
      </c>
      <c r="Q503" s="1" t="s">
        <v>1562</v>
      </c>
      <c r="R503" s="1" t="s">
        <v>1562</v>
      </c>
      <c r="S503" s="1"/>
      <c r="T503" s="1" t="s">
        <v>125</v>
      </c>
      <c r="U503" s="1"/>
      <c r="V503" s="1">
        <v>19.49</v>
      </c>
      <c r="W503" s="1">
        <v>19.49</v>
      </c>
      <c r="X503" s="1" t="s">
        <v>35</v>
      </c>
      <c r="Y503" s="1">
        <v>19490.0</v>
      </c>
      <c r="Z503" s="1"/>
      <c r="AA503" s="1">
        <v>19490</v>
      </c>
      <c r="AB503" s="1"/>
      <c r="AC503" s="1" t="s">
        <v>36</v>
      </c>
      <c r="AD503" s="1" t="s">
        <v>2045</v>
      </c>
      <c r="AE503" s="1" t="s">
        <v>32</v>
      </c>
      <c r="AF503" s="1" t="s">
        <v>33</v>
      </c>
      <c r="AG503" s="1" t="s">
        <v>127</v>
      </c>
    </row>
    <row r="504" spans="1:33">
      <c r="A504" t="s">
        <v>2046</v>
      </c>
      <c r="C504" t="s">
        <v>644</v>
      </c>
      <c r="E504" t="s">
        <v>1562</v>
      </c>
      <c r="F504" t="s">
        <v>1568</v>
      </c>
      <c r="G504">
        <v>642.0</v>
      </c>
      <c r="H504">
        <v>642.0</v>
      </c>
      <c r="I504" t="s">
        <v>227</v>
      </c>
      <c r="J504" t="s">
        <v>228</v>
      </c>
      <c r="K504" t="s">
        <v>31</v>
      </c>
      <c r="L504" t="s">
        <v>32</v>
      </c>
      <c r="M504" t="s">
        <v>33</v>
      </c>
      <c r="P504" s="1" t="s">
        <v>2047</v>
      </c>
      <c r="Q504" s="1" t="s">
        <v>1562</v>
      </c>
      <c r="R504" s="1" t="s">
        <v>1562</v>
      </c>
      <c r="S504" s="1"/>
      <c r="T504" s="1" t="s">
        <v>644</v>
      </c>
      <c r="U504" s="1"/>
      <c r="V504" s="1">
        <v>642.0</v>
      </c>
      <c r="W504" s="1">
        <v>642.0</v>
      </c>
      <c r="X504" s="1" t="s">
        <v>35</v>
      </c>
      <c r="Y504" s="1">
        <v>642000.0</v>
      </c>
      <c r="Z504" s="1"/>
      <c r="AA504" s="1">
        <v>642000</v>
      </c>
      <c r="AB504" s="1"/>
      <c r="AC504" s="1" t="s">
        <v>36</v>
      </c>
      <c r="AD504" s="1" t="s">
        <v>2048</v>
      </c>
      <c r="AE504" s="1" t="s">
        <v>32</v>
      </c>
      <c r="AF504" s="1" t="s">
        <v>33</v>
      </c>
      <c r="AG504" s="1" t="s">
        <v>228</v>
      </c>
    </row>
    <row r="505" spans="1:33">
      <c r="A505" t="s">
        <v>2049</v>
      </c>
      <c r="B505" t="s">
        <v>717</v>
      </c>
      <c r="C505" t="s">
        <v>569</v>
      </c>
      <c r="E505" t="s">
        <v>1562</v>
      </c>
      <c r="F505" t="s">
        <v>1568</v>
      </c>
      <c r="G505">
        <v>14.745</v>
      </c>
      <c r="H505">
        <v>14.745</v>
      </c>
      <c r="I505" t="s">
        <v>570</v>
      </c>
      <c r="J505" t="s">
        <v>571</v>
      </c>
      <c r="K505" t="s">
        <v>31</v>
      </c>
      <c r="L505" t="s">
        <v>32</v>
      </c>
      <c r="M505" t="s">
        <v>33</v>
      </c>
      <c r="P505" s="1" t="s">
        <v>2050</v>
      </c>
      <c r="Q505" s="1" t="s">
        <v>1562</v>
      </c>
      <c r="R505" s="1" t="s">
        <v>1562</v>
      </c>
      <c r="S505" s="1"/>
      <c r="T505" s="1" t="s">
        <v>569</v>
      </c>
      <c r="U505" s="1"/>
      <c r="V505" s="1">
        <v>14.745</v>
      </c>
      <c r="W505" s="1">
        <v>14.745</v>
      </c>
      <c r="X505" s="1" t="s">
        <v>35</v>
      </c>
      <c r="Y505" s="1">
        <v>14745.0</v>
      </c>
      <c r="Z505" s="1"/>
      <c r="AA505" s="1">
        <v>14745</v>
      </c>
      <c r="AB505" s="1"/>
      <c r="AC505" s="1" t="s">
        <v>36</v>
      </c>
      <c r="AD505" s="1" t="s">
        <v>2051</v>
      </c>
      <c r="AE505" s="1" t="s">
        <v>32</v>
      </c>
      <c r="AF505" s="1" t="s">
        <v>33</v>
      </c>
      <c r="AG505" s="1" t="s">
        <v>571</v>
      </c>
    </row>
    <row r="506" spans="1:33">
      <c r="A506" t="s">
        <v>2052</v>
      </c>
      <c r="B506" t="s">
        <v>2053</v>
      </c>
      <c r="C506" t="s">
        <v>26</v>
      </c>
      <c r="E506" t="s">
        <v>1562</v>
      </c>
      <c r="F506" t="s">
        <v>1568</v>
      </c>
      <c r="G506">
        <v>6.548</v>
      </c>
      <c r="H506">
        <v>6.548</v>
      </c>
      <c r="I506" t="s">
        <v>29</v>
      </c>
      <c r="J506" t="s">
        <v>30</v>
      </c>
      <c r="K506" t="s">
        <v>31</v>
      </c>
      <c r="L506" t="s">
        <v>32</v>
      </c>
      <c r="M506" t="s">
        <v>33</v>
      </c>
      <c r="P506" s="1" t="s">
        <v>2054</v>
      </c>
      <c r="Q506" s="1" t="s">
        <v>1562</v>
      </c>
      <c r="R506" s="1" t="s">
        <v>1562</v>
      </c>
      <c r="S506" s="1"/>
      <c r="T506" s="1" t="s">
        <v>26</v>
      </c>
      <c r="U506" s="1"/>
      <c r="V506" s="1">
        <v>6.548</v>
      </c>
      <c r="W506" s="1">
        <v>6.548</v>
      </c>
      <c r="X506" s="1" t="s">
        <v>35</v>
      </c>
      <c r="Y506" s="1">
        <v>6548.0</v>
      </c>
      <c r="Z506" s="1"/>
      <c r="AA506" s="1">
        <v>6548</v>
      </c>
      <c r="AB506" s="1"/>
      <c r="AC506" s="1" t="s">
        <v>36</v>
      </c>
      <c r="AD506" s="1" t="s">
        <v>2055</v>
      </c>
      <c r="AE506" s="1" t="s">
        <v>32</v>
      </c>
      <c r="AF506" s="1" t="s">
        <v>33</v>
      </c>
      <c r="AG506" s="1" t="s">
        <v>30</v>
      </c>
    </row>
    <row r="507" spans="1:33">
      <c r="A507" t="s">
        <v>2056</v>
      </c>
      <c r="C507" t="s">
        <v>2057</v>
      </c>
      <c r="E507" t="s">
        <v>1562</v>
      </c>
      <c r="F507" t="s">
        <v>1568</v>
      </c>
      <c r="G507">
        <v>2.952</v>
      </c>
      <c r="H507">
        <v>2.952</v>
      </c>
      <c r="I507" t="s">
        <v>269</v>
      </c>
      <c r="J507" t="s">
        <v>270</v>
      </c>
      <c r="K507" t="s">
        <v>31</v>
      </c>
      <c r="L507" t="s">
        <v>32</v>
      </c>
      <c r="M507" t="s">
        <v>33</v>
      </c>
      <c r="P507" s="1" t="s">
        <v>2058</v>
      </c>
      <c r="Q507" s="1" t="s">
        <v>1562</v>
      </c>
      <c r="R507" s="1" t="s">
        <v>1562</v>
      </c>
      <c r="S507" s="1"/>
      <c r="T507" s="1" t="s">
        <v>2057</v>
      </c>
      <c r="U507" s="1"/>
      <c r="V507" s="1">
        <v>2.952</v>
      </c>
      <c r="W507" s="1">
        <v>2.952</v>
      </c>
      <c r="X507" s="1" t="s">
        <v>35</v>
      </c>
      <c r="Y507" s="1">
        <v>2952000.0</v>
      </c>
      <c r="Z507" s="1"/>
      <c r="AA507" s="1">
        <v>2952000</v>
      </c>
      <c r="AB507" s="1"/>
      <c r="AC507" s="1" t="s">
        <v>36</v>
      </c>
      <c r="AD507" s="1" t="s">
        <v>2059</v>
      </c>
      <c r="AE507" s="1" t="s">
        <v>32</v>
      </c>
      <c r="AF507" s="1" t="s">
        <v>33</v>
      </c>
      <c r="AG507" s="1" t="s">
        <v>270</v>
      </c>
    </row>
    <row r="508" spans="1:33">
      <c r="A508" t="s">
        <v>2060</v>
      </c>
      <c r="C508" t="s">
        <v>2061</v>
      </c>
      <c r="D508" t="s">
        <v>154</v>
      </c>
      <c r="E508" t="s">
        <v>1562</v>
      </c>
      <c r="F508" t="s">
        <v>1568</v>
      </c>
      <c r="G508">
        <v>328.0</v>
      </c>
      <c r="H508">
        <v>328.0</v>
      </c>
      <c r="I508" t="s">
        <v>269</v>
      </c>
      <c r="J508" t="s">
        <v>270</v>
      </c>
      <c r="K508" t="s">
        <v>31</v>
      </c>
      <c r="L508" t="s">
        <v>32</v>
      </c>
      <c r="M508" t="s">
        <v>33</v>
      </c>
      <c r="P508" s="1" t="s">
        <v>2062</v>
      </c>
      <c r="Q508" s="1" t="s">
        <v>1562</v>
      </c>
      <c r="R508" s="1" t="s">
        <v>1562</v>
      </c>
      <c r="S508" s="1"/>
      <c r="T508" s="1" t="s">
        <v>2061</v>
      </c>
      <c r="U508" s="1"/>
      <c r="V508" s="1">
        <v>328.0</v>
      </c>
      <c r="W508" s="1">
        <v>328.0</v>
      </c>
      <c r="X508" s="1" t="s">
        <v>35</v>
      </c>
      <c r="Y508" s="1">
        <v>328000.0</v>
      </c>
      <c r="Z508" s="1"/>
      <c r="AA508" s="1">
        <v>328000</v>
      </c>
      <c r="AB508" s="1"/>
      <c r="AC508" s="1" t="s">
        <v>36</v>
      </c>
      <c r="AD508" s="1" t="s">
        <v>2063</v>
      </c>
      <c r="AE508" s="1" t="s">
        <v>32</v>
      </c>
      <c r="AF508" s="1" t="s">
        <v>33</v>
      </c>
      <c r="AG508" s="1" t="s">
        <v>270</v>
      </c>
    </row>
    <row r="509" spans="1:33">
      <c r="A509" t="s">
        <v>2064</v>
      </c>
      <c r="B509" t="s">
        <v>2065</v>
      </c>
      <c r="C509" t="s">
        <v>73</v>
      </c>
      <c r="E509" t="s">
        <v>1562</v>
      </c>
      <c r="F509" t="s">
        <v>1568</v>
      </c>
      <c r="G509">
        <v>83.97</v>
      </c>
      <c r="H509">
        <v>83.97</v>
      </c>
      <c r="I509" t="s">
        <v>40</v>
      </c>
      <c r="J509" t="s">
        <v>41</v>
      </c>
      <c r="K509" t="s">
        <v>31</v>
      </c>
      <c r="L509" t="s">
        <v>32</v>
      </c>
      <c r="M509" t="s">
        <v>33</v>
      </c>
      <c r="P509" s="1" t="s">
        <v>2066</v>
      </c>
      <c r="Q509" s="1" t="s">
        <v>1562</v>
      </c>
      <c r="R509" s="1" t="s">
        <v>822</v>
      </c>
      <c r="S509" s="1"/>
      <c r="T509" s="1" t="s">
        <v>75</v>
      </c>
      <c r="U509" s="1" t="s">
        <v>76</v>
      </c>
      <c r="V509" s="1">
        <v>83.97</v>
      </c>
      <c r="W509" s="1">
        <v>83.97</v>
      </c>
      <c r="X509" s="1" t="s">
        <v>35</v>
      </c>
      <c r="Y509" s="1">
        <v>83970.0</v>
      </c>
      <c r="Z509" s="1"/>
      <c r="AA509" s="1">
        <v>83970</v>
      </c>
      <c r="AB509" s="1"/>
      <c r="AC509" s="1" t="s">
        <v>36</v>
      </c>
      <c r="AD509" s="1" t="s">
        <v>2067</v>
      </c>
      <c r="AE509" s="1" t="s">
        <v>32</v>
      </c>
      <c r="AF509" s="1" t="s">
        <v>33</v>
      </c>
      <c r="AG509" s="1" t="s">
        <v>41</v>
      </c>
    </row>
    <row r="510" spans="1:33">
      <c r="A510" t="s">
        <v>2068</v>
      </c>
      <c r="B510" t="s">
        <v>2069</v>
      </c>
      <c r="C510" t="s">
        <v>125</v>
      </c>
      <c r="E510" t="s">
        <v>1562</v>
      </c>
      <c r="F510" t="s">
        <v>1568</v>
      </c>
      <c r="G510">
        <v>20.99</v>
      </c>
      <c r="H510">
        <v>20.99</v>
      </c>
      <c r="I510" t="s">
        <v>126</v>
      </c>
      <c r="J510" t="s">
        <v>127</v>
      </c>
      <c r="K510" t="s">
        <v>31</v>
      </c>
      <c r="L510" t="s">
        <v>32</v>
      </c>
      <c r="M510" t="s">
        <v>33</v>
      </c>
      <c r="P510" s="1" t="s">
        <v>2070</v>
      </c>
      <c r="Q510" s="1" t="s">
        <v>1562</v>
      </c>
      <c r="R510" s="1" t="s">
        <v>1562</v>
      </c>
      <c r="S510" s="1"/>
      <c r="T510" s="1" t="s">
        <v>125</v>
      </c>
      <c r="U510" s="1"/>
      <c r="V510" s="1">
        <v>20.99</v>
      </c>
      <c r="W510" s="1">
        <v>20.99</v>
      </c>
      <c r="X510" s="1" t="s">
        <v>35</v>
      </c>
      <c r="Y510" s="1">
        <v>20990.0</v>
      </c>
      <c r="Z510" s="1"/>
      <c r="AA510" s="1">
        <v>20990</v>
      </c>
      <c r="AB510" s="1"/>
      <c r="AC510" s="1" t="s">
        <v>36</v>
      </c>
      <c r="AD510" s="1" t="s">
        <v>2071</v>
      </c>
      <c r="AE510" s="1" t="s">
        <v>32</v>
      </c>
      <c r="AF510" s="1" t="s">
        <v>33</v>
      </c>
      <c r="AG510" s="1" t="s">
        <v>127</v>
      </c>
    </row>
    <row r="511" spans="1:33">
      <c r="A511" t="s">
        <v>2072</v>
      </c>
      <c r="C511" t="s">
        <v>617</v>
      </c>
      <c r="E511" t="s">
        <v>1562</v>
      </c>
      <c r="F511" t="s">
        <v>1568</v>
      </c>
      <c r="G511">
        <v>632.0</v>
      </c>
      <c r="H511">
        <v>632.0</v>
      </c>
      <c r="I511" t="s">
        <v>40</v>
      </c>
      <c r="J511" t="s">
        <v>41</v>
      </c>
      <c r="K511" t="s">
        <v>31</v>
      </c>
      <c r="L511" t="s">
        <v>32</v>
      </c>
      <c r="M511" t="s">
        <v>33</v>
      </c>
      <c r="P511" s="1" t="s">
        <v>2073</v>
      </c>
      <c r="Q511" s="1" t="s">
        <v>1562</v>
      </c>
      <c r="R511" s="1" t="s">
        <v>822</v>
      </c>
      <c r="S511" s="1"/>
      <c r="T511" s="1" t="s">
        <v>619</v>
      </c>
      <c r="U511" s="1" t="s">
        <v>620</v>
      </c>
      <c r="V511" s="1">
        <v>632.0</v>
      </c>
      <c r="W511" s="1">
        <v>632.0</v>
      </c>
      <c r="X511" s="1" t="s">
        <v>35</v>
      </c>
      <c r="Y511" s="1">
        <v>632000.0</v>
      </c>
      <c r="Z511" s="1"/>
      <c r="AA511" s="1">
        <v>632000</v>
      </c>
      <c r="AB511" s="1"/>
      <c r="AC511" s="1" t="s">
        <v>36</v>
      </c>
      <c r="AD511" s="1" t="s">
        <v>2074</v>
      </c>
      <c r="AE511" s="1" t="s">
        <v>32</v>
      </c>
      <c r="AF511" s="1" t="s">
        <v>33</v>
      </c>
      <c r="AG511" s="1" t="s">
        <v>41</v>
      </c>
    </row>
    <row r="512" spans="1:33">
      <c r="A512" t="s">
        <v>2075</v>
      </c>
      <c r="B512" t="s">
        <v>2076</v>
      </c>
      <c r="C512" t="s">
        <v>73</v>
      </c>
      <c r="E512" t="s">
        <v>1562</v>
      </c>
      <c r="F512" t="s">
        <v>1568</v>
      </c>
      <c r="G512">
        <v>8.637</v>
      </c>
      <c r="H512">
        <v>8.637</v>
      </c>
      <c r="I512" t="s">
        <v>40</v>
      </c>
      <c r="J512" t="s">
        <v>41</v>
      </c>
      <c r="K512" t="s">
        <v>31</v>
      </c>
      <c r="L512" t="s">
        <v>32</v>
      </c>
      <c r="M512" t="s">
        <v>33</v>
      </c>
      <c r="P512" s="1" t="s">
        <v>2077</v>
      </c>
      <c r="Q512" s="1" t="s">
        <v>1562</v>
      </c>
      <c r="R512" s="1" t="s">
        <v>822</v>
      </c>
      <c r="S512" s="1"/>
      <c r="T512" s="1" t="s">
        <v>75</v>
      </c>
      <c r="U512" s="1" t="s">
        <v>76</v>
      </c>
      <c r="V512" s="1">
        <v>8.637</v>
      </c>
      <c r="W512" s="1">
        <v>8.637</v>
      </c>
      <c r="X512" s="1" t="s">
        <v>35</v>
      </c>
      <c r="Y512" s="1">
        <v>8637.0</v>
      </c>
      <c r="Z512" s="1"/>
      <c r="AA512" s="1">
        <v>8637</v>
      </c>
      <c r="AB512" s="1"/>
      <c r="AC512" s="1" t="s">
        <v>36</v>
      </c>
      <c r="AD512" s="1" t="s">
        <v>2078</v>
      </c>
      <c r="AE512" s="1" t="s">
        <v>32</v>
      </c>
      <c r="AF512" s="1" t="s">
        <v>33</v>
      </c>
      <c r="AG512" s="1" t="s">
        <v>41</v>
      </c>
    </row>
    <row r="513" spans="1:33">
      <c r="A513" t="s">
        <v>2079</v>
      </c>
      <c r="B513" t="s">
        <v>2080</v>
      </c>
      <c r="C513" t="s">
        <v>47</v>
      </c>
      <c r="E513" t="s">
        <v>1562</v>
      </c>
      <c r="F513" t="s">
        <v>1568</v>
      </c>
      <c r="G513">
        <v>22.0</v>
      </c>
      <c r="H513">
        <v>22.0</v>
      </c>
      <c r="I513" t="s">
        <v>48</v>
      </c>
      <c r="J513" t="s">
        <v>49</v>
      </c>
      <c r="K513" t="s">
        <v>31</v>
      </c>
      <c r="L513" t="s">
        <v>32</v>
      </c>
      <c r="M513" t="s">
        <v>33</v>
      </c>
      <c r="P513" s="1" t="s">
        <v>2081</v>
      </c>
      <c r="Q513" s="1" t="s">
        <v>1562</v>
      </c>
      <c r="R513" s="1" t="s">
        <v>1562</v>
      </c>
      <c r="S513" s="1"/>
      <c r="T513" s="1" t="s">
        <v>47</v>
      </c>
      <c r="U513" s="1"/>
      <c r="V513" s="1">
        <v>22.0</v>
      </c>
      <c r="W513" s="1">
        <v>22.0</v>
      </c>
      <c r="X513" s="1" t="s">
        <v>35</v>
      </c>
      <c r="Y513" s="1">
        <v>22000.0</v>
      </c>
      <c r="Z513" s="1"/>
      <c r="AA513" s="1">
        <v>22000</v>
      </c>
      <c r="AB513" s="1"/>
      <c r="AC513" s="1" t="s">
        <v>36</v>
      </c>
      <c r="AD513" s="1" t="s">
        <v>2028</v>
      </c>
      <c r="AE513" s="1" t="s">
        <v>32</v>
      </c>
      <c r="AF513" s="1" t="s">
        <v>33</v>
      </c>
      <c r="AG513" s="1" t="s">
        <v>49</v>
      </c>
    </row>
    <row r="514" spans="1:33">
      <c r="A514" t="s">
        <v>2082</v>
      </c>
      <c r="C514" t="s">
        <v>725</v>
      </c>
      <c r="E514" t="s">
        <v>1562</v>
      </c>
      <c r="F514" t="s">
        <v>1568</v>
      </c>
      <c r="G514">
        <v>1.926</v>
      </c>
      <c r="H514">
        <v>1.926</v>
      </c>
      <c r="I514" t="s">
        <v>269</v>
      </c>
      <c r="J514" t="s">
        <v>270</v>
      </c>
      <c r="K514" t="s">
        <v>31</v>
      </c>
      <c r="L514" t="s">
        <v>32</v>
      </c>
      <c r="M514" t="s">
        <v>33</v>
      </c>
      <c r="P514" s="1" t="s">
        <v>2083</v>
      </c>
      <c r="Q514" s="1" t="s">
        <v>1562</v>
      </c>
      <c r="R514" s="1" t="s">
        <v>1562</v>
      </c>
      <c r="S514" s="1"/>
      <c r="T514" s="1" t="s">
        <v>725</v>
      </c>
      <c r="U514" s="1"/>
      <c r="V514" s="1">
        <v>1.926</v>
      </c>
      <c r="W514" s="1">
        <v>1.926</v>
      </c>
      <c r="X514" s="1" t="s">
        <v>35</v>
      </c>
      <c r="Y514" s="1">
        <v>1926000.0</v>
      </c>
      <c r="Z514" s="1"/>
      <c r="AA514" s="1">
        <v>1926000</v>
      </c>
      <c r="AB514" s="1"/>
      <c r="AC514" s="1" t="s">
        <v>36</v>
      </c>
      <c r="AD514" s="1" t="s">
        <v>2084</v>
      </c>
      <c r="AE514" s="1" t="s">
        <v>32</v>
      </c>
      <c r="AF514" s="1" t="s">
        <v>33</v>
      </c>
      <c r="AG514" s="1" t="s">
        <v>270</v>
      </c>
    </row>
    <row r="515" spans="1:33">
      <c r="A515" t="s">
        <v>2085</v>
      </c>
      <c r="B515" t="s">
        <v>2086</v>
      </c>
      <c r="C515" t="s">
        <v>47</v>
      </c>
      <c r="E515" t="s">
        <v>1562</v>
      </c>
      <c r="F515" t="s">
        <v>1568</v>
      </c>
      <c r="G515">
        <v>11.0</v>
      </c>
      <c r="H515">
        <v>11.0</v>
      </c>
      <c r="I515" t="s">
        <v>48</v>
      </c>
      <c r="J515" t="s">
        <v>49</v>
      </c>
      <c r="K515" t="s">
        <v>31</v>
      </c>
      <c r="L515" t="s">
        <v>32</v>
      </c>
      <c r="M515" t="s">
        <v>33</v>
      </c>
      <c r="P515" s="1" t="s">
        <v>2087</v>
      </c>
      <c r="Q515" s="1" t="s">
        <v>1562</v>
      </c>
      <c r="R515" s="1" t="s">
        <v>1562</v>
      </c>
      <c r="S515" s="1"/>
      <c r="T515" s="1" t="s">
        <v>47</v>
      </c>
      <c r="U515" s="1"/>
      <c r="V515" s="1">
        <v>11.0</v>
      </c>
      <c r="W515" s="1">
        <v>11.0</v>
      </c>
      <c r="X515" s="1" t="s">
        <v>35</v>
      </c>
      <c r="Y515" s="1">
        <v>11000.0</v>
      </c>
      <c r="Z515" s="1"/>
      <c r="AA515" s="1">
        <v>11000</v>
      </c>
      <c r="AB515" s="1"/>
      <c r="AC515" s="1" t="s">
        <v>36</v>
      </c>
      <c r="AD515" s="1" t="s">
        <v>2088</v>
      </c>
      <c r="AE515" s="1" t="s">
        <v>32</v>
      </c>
      <c r="AF515" s="1" t="s">
        <v>33</v>
      </c>
      <c r="AG515" s="1" t="s">
        <v>49</v>
      </c>
    </row>
    <row r="516" spans="1:33">
      <c r="A516" t="s">
        <v>2089</v>
      </c>
      <c r="B516" t="s">
        <v>2090</v>
      </c>
      <c r="C516" t="s">
        <v>47</v>
      </c>
      <c r="E516" t="s">
        <v>1562</v>
      </c>
      <c r="F516" t="s">
        <v>1568</v>
      </c>
      <c r="G516">
        <v>111.65</v>
      </c>
      <c r="H516">
        <v>111.65</v>
      </c>
      <c r="I516" t="s">
        <v>48</v>
      </c>
      <c r="J516" t="s">
        <v>49</v>
      </c>
      <c r="K516" t="s">
        <v>31</v>
      </c>
      <c r="L516" t="s">
        <v>32</v>
      </c>
      <c r="M516" t="s">
        <v>33</v>
      </c>
      <c r="P516" s="1" t="s">
        <v>2091</v>
      </c>
      <c r="Q516" s="1" t="s">
        <v>1562</v>
      </c>
      <c r="R516" s="1" t="s">
        <v>1562</v>
      </c>
      <c r="S516" s="1"/>
      <c r="T516" s="1" t="s">
        <v>47</v>
      </c>
      <c r="U516" s="1"/>
      <c r="V516" s="1">
        <v>111.65</v>
      </c>
      <c r="W516" s="1">
        <v>111.65</v>
      </c>
      <c r="X516" s="1" t="s">
        <v>35</v>
      </c>
      <c r="Y516" s="1">
        <v>111650.0</v>
      </c>
      <c r="Z516" s="1"/>
      <c r="AA516" s="1">
        <v>111650</v>
      </c>
      <c r="AB516" s="1"/>
      <c r="AC516" s="1" t="s">
        <v>36</v>
      </c>
      <c r="AD516" s="1" t="s">
        <v>2078</v>
      </c>
      <c r="AE516" s="1" t="s">
        <v>32</v>
      </c>
      <c r="AF516" s="1" t="s">
        <v>33</v>
      </c>
      <c r="AG516" s="1" t="s">
        <v>49</v>
      </c>
    </row>
    <row r="517" spans="1:33">
      <c r="A517" t="s">
        <v>2092</v>
      </c>
      <c r="B517" t="s">
        <v>2093</v>
      </c>
      <c r="C517" t="s">
        <v>135</v>
      </c>
      <c r="E517" t="s">
        <v>1562</v>
      </c>
      <c r="F517" t="s">
        <v>1568</v>
      </c>
      <c r="G517">
        <v>20.99</v>
      </c>
      <c r="H517">
        <v>20.99</v>
      </c>
      <c r="I517" t="s">
        <v>136</v>
      </c>
      <c r="J517" t="s">
        <v>137</v>
      </c>
      <c r="K517" t="s">
        <v>31</v>
      </c>
      <c r="L517" t="s">
        <v>32</v>
      </c>
      <c r="M517" t="s">
        <v>33</v>
      </c>
      <c r="P517" s="1" t="s">
        <v>2094</v>
      </c>
      <c r="Q517" s="1" t="s">
        <v>1562</v>
      </c>
      <c r="R517" s="1" t="s">
        <v>1562</v>
      </c>
      <c r="S517" s="1"/>
      <c r="T517" s="1" t="s">
        <v>135</v>
      </c>
      <c r="U517" s="1"/>
      <c r="V517" s="1">
        <v>20.99</v>
      </c>
      <c r="W517" s="1">
        <v>20.99</v>
      </c>
      <c r="X517" s="1" t="s">
        <v>35</v>
      </c>
      <c r="Y517" s="1">
        <v>20990.0</v>
      </c>
      <c r="Z517" s="1"/>
      <c r="AA517" s="1">
        <v>20990</v>
      </c>
      <c r="AB517" s="1"/>
      <c r="AC517" s="1" t="s">
        <v>36</v>
      </c>
      <c r="AD517" s="1" t="s">
        <v>2095</v>
      </c>
      <c r="AE517" s="1" t="s">
        <v>32</v>
      </c>
      <c r="AF517" s="1" t="s">
        <v>33</v>
      </c>
      <c r="AG517" s="1" t="s">
        <v>137</v>
      </c>
    </row>
    <row r="518" spans="1:33">
      <c r="A518" t="s">
        <v>2096</v>
      </c>
      <c r="B518" t="s">
        <v>2097</v>
      </c>
      <c r="C518" t="s">
        <v>47</v>
      </c>
      <c r="E518" t="s">
        <v>1562</v>
      </c>
      <c r="F518" t="s">
        <v>1568</v>
      </c>
      <c r="G518">
        <v>20.99</v>
      </c>
      <c r="H518">
        <v>20.99</v>
      </c>
      <c r="I518" t="s">
        <v>48</v>
      </c>
      <c r="J518" t="s">
        <v>49</v>
      </c>
      <c r="K518" t="s">
        <v>31</v>
      </c>
      <c r="L518" t="s">
        <v>32</v>
      </c>
      <c r="M518" t="s">
        <v>33</v>
      </c>
      <c r="P518" s="1" t="s">
        <v>2098</v>
      </c>
      <c r="Q518" s="1" t="s">
        <v>1562</v>
      </c>
      <c r="R518" s="1" t="s">
        <v>1562</v>
      </c>
      <c r="S518" s="1"/>
      <c r="T518" s="1" t="s">
        <v>47</v>
      </c>
      <c r="U518" s="1"/>
      <c r="V518" s="1">
        <v>20.99</v>
      </c>
      <c r="W518" s="1">
        <v>20.99</v>
      </c>
      <c r="X518" s="1" t="s">
        <v>35</v>
      </c>
      <c r="Y518" s="1">
        <v>20990.0</v>
      </c>
      <c r="Z518" s="1"/>
      <c r="AA518" s="1">
        <v>20990</v>
      </c>
      <c r="AB518" s="1"/>
      <c r="AC518" s="1" t="s">
        <v>36</v>
      </c>
      <c r="AD518" s="1" t="s">
        <v>2099</v>
      </c>
      <c r="AE518" s="1" t="s">
        <v>32</v>
      </c>
      <c r="AF518" s="1" t="s">
        <v>33</v>
      </c>
      <c r="AG518" s="1" t="s">
        <v>49</v>
      </c>
    </row>
    <row r="519" spans="1:33">
      <c r="A519" t="s">
        <v>2100</v>
      </c>
      <c r="C519" t="s">
        <v>2101</v>
      </c>
      <c r="E519" t="s">
        <v>1562</v>
      </c>
      <c r="F519" t="s">
        <v>1568</v>
      </c>
      <c r="G519">
        <v>410.0</v>
      </c>
      <c r="H519">
        <v>410.0</v>
      </c>
      <c r="I519" t="s">
        <v>269</v>
      </c>
      <c r="J519" t="s">
        <v>270</v>
      </c>
      <c r="K519" t="s">
        <v>31</v>
      </c>
      <c r="L519" t="s">
        <v>32</v>
      </c>
      <c r="M519" t="s">
        <v>33</v>
      </c>
      <c r="P519" s="1" t="s">
        <v>2102</v>
      </c>
      <c r="Q519" s="1" t="s">
        <v>1562</v>
      </c>
      <c r="R519" s="1" t="s">
        <v>1562</v>
      </c>
      <c r="S519" s="1"/>
      <c r="T519" s="1" t="s">
        <v>2103</v>
      </c>
      <c r="U519" s="1" t="s">
        <v>2104</v>
      </c>
      <c r="V519" s="1">
        <v>410.0</v>
      </c>
      <c r="W519" s="1">
        <v>410.0</v>
      </c>
      <c r="X519" s="1" t="s">
        <v>35</v>
      </c>
      <c r="Y519" s="1">
        <v>410000.0</v>
      </c>
      <c r="Z519" s="1"/>
      <c r="AA519" s="1">
        <v>410000</v>
      </c>
      <c r="AB519" s="1"/>
      <c r="AC519" s="1" t="s">
        <v>36</v>
      </c>
      <c r="AD519" s="1" t="s">
        <v>2105</v>
      </c>
      <c r="AE519" s="1" t="s">
        <v>32</v>
      </c>
      <c r="AF519" s="1" t="s">
        <v>33</v>
      </c>
      <c r="AG519" s="1" t="s">
        <v>270</v>
      </c>
    </row>
    <row r="520" spans="1:33">
      <c r="A520" t="s">
        <v>2106</v>
      </c>
      <c r="C520" t="s">
        <v>2107</v>
      </c>
      <c r="E520" t="s">
        <v>1562</v>
      </c>
      <c r="F520" t="s">
        <v>1568</v>
      </c>
      <c r="G520">
        <v>2.784</v>
      </c>
      <c r="H520">
        <v>2.784</v>
      </c>
      <c r="I520" t="s">
        <v>48</v>
      </c>
      <c r="J520" t="s">
        <v>49</v>
      </c>
      <c r="K520" t="s">
        <v>31</v>
      </c>
      <c r="L520" t="s">
        <v>32</v>
      </c>
      <c r="M520" t="s">
        <v>33</v>
      </c>
      <c r="P520" s="1" t="s">
        <v>2108</v>
      </c>
      <c r="Q520" s="1" t="s">
        <v>1562</v>
      </c>
      <c r="R520" s="1" t="s">
        <v>1562</v>
      </c>
      <c r="S520" s="1"/>
      <c r="T520" s="1" t="s">
        <v>2107</v>
      </c>
      <c r="U520" s="1"/>
      <c r="V520" s="1">
        <v>2.784</v>
      </c>
      <c r="W520" s="1">
        <v>2.784</v>
      </c>
      <c r="X520" s="1" t="s">
        <v>35</v>
      </c>
      <c r="Y520" s="1">
        <v>2784500.0</v>
      </c>
      <c r="Z520" s="1"/>
      <c r="AA520" s="1">
        <v>2784500</v>
      </c>
      <c r="AB520" s="1"/>
      <c r="AC520" s="1" t="s">
        <v>36</v>
      </c>
      <c r="AD520" s="1" t="s">
        <v>2109</v>
      </c>
      <c r="AE520" s="1" t="s">
        <v>32</v>
      </c>
      <c r="AF520" s="1" t="s">
        <v>33</v>
      </c>
      <c r="AG520" s="1" t="s">
        <v>49</v>
      </c>
    </row>
    <row r="521" spans="1:33">
      <c r="A521" t="s">
        <v>2110</v>
      </c>
      <c r="B521" t="s">
        <v>2111</v>
      </c>
      <c r="C521" t="s">
        <v>26</v>
      </c>
      <c r="E521" t="s">
        <v>1562</v>
      </c>
      <c r="F521" t="s">
        <v>1568</v>
      </c>
      <c r="G521">
        <v>68.57</v>
      </c>
      <c r="H521">
        <v>68.57</v>
      </c>
      <c r="I521" t="s">
        <v>29</v>
      </c>
      <c r="J521" t="s">
        <v>30</v>
      </c>
      <c r="K521" t="s">
        <v>31</v>
      </c>
      <c r="L521" t="s">
        <v>32</v>
      </c>
      <c r="M521" t="s">
        <v>33</v>
      </c>
      <c r="P521" s="1" t="s">
        <v>2112</v>
      </c>
      <c r="Q521" s="1" t="s">
        <v>1562</v>
      </c>
      <c r="R521" s="1" t="s">
        <v>1562</v>
      </c>
      <c r="S521" s="1"/>
      <c r="T521" s="1" t="s">
        <v>26</v>
      </c>
      <c r="U521" s="1"/>
      <c r="V521" s="1">
        <v>68.57</v>
      </c>
      <c r="W521" s="1">
        <v>68.57</v>
      </c>
      <c r="X521" s="1" t="s">
        <v>35</v>
      </c>
      <c r="Y521" s="1">
        <v>68570.0</v>
      </c>
      <c r="Z521" s="1"/>
      <c r="AA521" s="1">
        <v>68570</v>
      </c>
      <c r="AB521" s="1"/>
      <c r="AC521" s="1" t="s">
        <v>36</v>
      </c>
      <c r="AD521" s="1" t="s">
        <v>1868</v>
      </c>
      <c r="AE521" s="1" t="s">
        <v>32</v>
      </c>
      <c r="AF521" s="1" t="s">
        <v>33</v>
      </c>
      <c r="AG521" s="1" t="s">
        <v>30</v>
      </c>
    </row>
    <row r="522" spans="1:33">
      <c r="A522" t="s">
        <v>2113</v>
      </c>
      <c r="C522" t="s">
        <v>827</v>
      </c>
      <c r="D522" t="s">
        <v>154</v>
      </c>
      <c r="E522" t="s">
        <v>1562</v>
      </c>
      <c r="F522" t="s">
        <v>1568</v>
      </c>
      <c r="G522">
        <v>20.0</v>
      </c>
      <c r="H522">
        <v>20.0</v>
      </c>
      <c r="I522" t="s">
        <v>269</v>
      </c>
      <c r="J522" t="s">
        <v>270</v>
      </c>
      <c r="K522" t="s">
        <v>31</v>
      </c>
      <c r="L522" t="s">
        <v>32</v>
      </c>
      <c r="M522" t="s">
        <v>33</v>
      </c>
      <c r="P522" s="1" t="s">
        <v>2114</v>
      </c>
      <c r="Q522" s="1" t="s">
        <v>1562</v>
      </c>
      <c r="R522" s="1" t="s">
        <v>1562</v>
      </c>
      <c r="S522" s="1"/>
      <c r="T522" s="1" t="s">
        <v>827</v>
      </c>
      <c r="U522" s="1"/>
      <c r="V522" s="1">
        <v>20.0</v>
      </c>
      <c r="W522" s="1">
        <v>20.0</v>
      </c>
      <c r="X522" s="1" t="s">
        <v>35</v>
      </c>
      <c r="Y522" s="1">
        <v>20000.0</v>
      </c>
      <c r="Z522" s="1"/>
      <c r="AA522" s="1">
        <v>20000</v>
      </c>
      <c r="AB522" s="1"/>
      <c r="AC522" s="1" t="s">
        <v>36</v>
      </c>
      <c r="AD522" s="1" t="s">
        <v>2115</v>
      </c>
      <c r="AE522" s="1" t="s">
        <v>32</v>
      </c>
      <c r="AF522" s="1" t="s">
        <v>33</v>
      </c>
      <c r="AG522" s="1" t="s">
        <v>270</v>
      </c>
    </row>
    <row r="523" spans="1:33">
      <c r="A523" t="s">
        <v>2116</v>
      </c>
      <c r="B523" t="s">
        <v>2117</v>
      </c>
      <c r="C523" t="s">
        <v>314</v>
      </c>
      <c r="E523" t="s">
        <v>1562</v>
      </c>
      <c r="F523" t="s">
        <v>1568</v>
      </c>
      <c r="G523">
        <v>18.59</v>
      </c>
      <c r="H523">
        <v>18.59</v>
      </c>
      <c r="I523" t="s">
        <v>179</v>
      </c>
      <c r="J523" t="s">
        <v>180</v>
      </c>
      <c r="K523" t="s">
        <v>31</v>
      </c>
      <c r="L523" t="s">
        <v>32</v>
      </c>
      <c r="M523" t="s">
        <v>33</v>
      </c>
      <c r="P523" s="1" t="s">
        <v>2118</v>
      </c>
      <c r="Q523" s="1" t="s">
        <v>1562</v>
      </c>
      <c r="R523" s="1" t="s">
        <v>1562</v>
      </c>
      <c r="S523" s="1"/>
      <c r="T523" s="1" t="s">
        <v>314</v>
      </c>
      <c r="U523" s="1"/>
      <c r="V523" s="1">
        <v>18.59</v>
      </c>
      <c r="W523" s="1">
        <v>18.59</v>
      </c>
      <c r="X523" s="1" t="s">
        <v>35</v>
      </c>
      <c r="Y523" s="1">
        <v>18590.0</v>
      </c>
      <c r="Z523" s="1"/>
      <c r="AA523" s="1">
        <v>18590</v>
      </c>
      <c r="AB523" s="1"/>
      <c r="AC523" s="1" t="s">
        <v>36</v>
      </c>
      <c r="AD523" s="1" t="s">
        <v>2119</v>
      </c>
      <c r="AE523" s="1" t="s">
        <v>32</v>
      </c>
      <c r="AF523" s="1" t="s">
        <v>33</v>
      </c>
      <c r="AG523" s="1" t="s">
        <v>180</v>
      </c>
    </row>
    <row r="524" spans="1:33">
      <c r="A524" t="s">
        <v>2120</v>
      </c>
      <c r="B524" t="s">
        <v>2121</v>
      </c>
      <c r="C524" t="s">
        <v>47</v>
      </c>
      <c r="E524" t="s">
        <v>1562</v>
      </c>
      <c r="F524" t="s">
        <v>1568</v>
      </c>
      <c r="G524">
        <v>213.95</v>
      </c>
      <c r="H524">
        <v>213.95</v>
      </c>
      <c r="I524" t="s">
        <v>48</v>
      </c>
      <c r="J524" t="s">
        <v>49</v>
      </c>
      <c r="K524" t="s">
        <v>31</v>
      </c>
      <c r="L524" t="s">
        <v>32</v>
      </c>
      <c r="M524" t="s">
        <v>33</v>
      </c>
      <c r="P524" s="1" t="s">
        <v>2122</v>
      </c>
      <c r="Q524" s="1" t="s">
        <v>1562</v>
      </c>
      <c r="R524" s="1" t="s">
        <v>1562</v>
      </c>
      <c r="S524" s="1"/>
      <c r="T524" s="1" t="s">
        <v>47</v>
      </c>
      <c r="U524" s="1"/>
      <c r="V524" s="1">
        <v>213.95</v>
      </c>
      <c r="W524" s="1">
        <v>213.95</v>
      </c>
      <c r="X524" s="1" t="s">
        <v>35</v>
      </c>
      <c r="Y524" s="1">
        <v>213950.0</v>
      </c>
      <c r="Z524" s="1"/>
      <c r="AA524" s="1">
        <v>213950</v>
      </c>
      <c r="AB524" s="1"/>
      <c r="AC524" s="1" t="s">
        <v>36</v>
      </c>
      <c r="AD524" s="1" t="s">
        <v>2123</v>
      </c>
      <c r="AE524" s="1" t="s">
        <v>32</v>
      </c>
      <c r="AF524" s="1" t="s">
        <v>33</v>
      </c>
      <c r="AG524" s="1" t="s">
        <v>49</v>
      </c>
    </row>
    <row r="525" spans="1:33">
      <c r="A525" t="s">
        <v>2124</v>
      </c>
      <c r="B525" t="s">
        <v>891</v>
      </c>
      <c r="C525" t="s">
        <v>892</v>
      </c>
      <c r="E525" t="s">
        <v>1562</v>
      </c>
      <c r="F525" t="s">
        <v>1568</v>
      </c>
      <c r="G525">
        <v>336.0</v>
      </c>
      <c r="H525">
        <v>336.0</v>
      </c>
      <c r="I525" t="s">
        <v>29</v>
      </c>
      <c r="J525" t="s">
        <v>30</v>
      </c>
      <c r="K525" t="s">
        <v>31</v>
      </c>
      <c r="L525" t="s">
        <v>32</v>
      </c>
      <c r="M525" t="s">
        <v>33</v>
      </c>
      <c r="P525" s="1" t="s">
        <v>2125</v>
      </c>
      <c r="Q525" s="1" t="s">
        <v>1562</v>
      </c>
      <c r="R525" s="1" t="s">
        <v>1562</v>
      </c>
      <c r="S525" s="1"/>
      <c r="T525" s="1" t="s">
        <v>894</v>
      </c>
      <c r="U525" s="1" t="s">
        <v>154</v>
      </c>
      <c r="V525" s="1">
        <v>336.0</v>
      </c>
      <c r="W525" s="1">
        <v>336.0</v>
      </c>
      <c r="X525" s="1" t="s">
        <v>35</v>
      </c>
      <c r="Y525" s="1">
        <v>336000.0</v>
      </c>
      <c r="Z525" s="1"/>
      <c r="AA525" s="1">
        <v>336000</v>
      </c>
      <c r="AB525" s="1"/>
      <c r="AC525" s="1" t="s">
        <v>36</v>
      </c>
      <c r="AD525" s="1" t="s">
        <v>2126</v>
      </c>
      <c r="AE525" s="1" t="s">
        <v>32</v>
      </c>
      <c r="AF525" s="1" t="s">
        <v>33</v>
      </c>
      <c r="AG525" s="1" t="s">
        <v>30</v>
      </c>
    </row>
    <row r="526" spans="1:33">
      <c r="A526" t="s">
        <v>2127</v>
      </c>
      <c r="C526" t="s">
        <v>135</v>
      </c>
      <c r="E526" t="s">
        <v>1562</v>
      </c>
      <c r="F526" t="s">
        <v>1568</v>
      </c>
      <c r="G526">
        <v>120.75</v>
      </c>
      <c r="H526">
        <v>120.75</v>
      </c>
      <c r="I526" t="s">
        <v>136</v>
      </c>
      <c r="J526" t="s">
        <v>137</v>
      </c>
      <c r="K526" t="s">
        <v>31</v>
      </c>
      <c r="L526" t="s">
        <v>32</v>
      </c>
      <c r="M526" t="s">
        <v>33</v>
      </c>
      <c r="P526" s="1" t="s">
        <v>2128</v>
      </c>
      <c r="Q526" s="1" t="s">
        <v>1562</v>
      </c>
      <c r="R526" s="1" t="s">
        <v>1562</v>
      </c>
      <c r="S526" s="1"/>
      <c r="T526" s="1" t="s">
        <v>135</v>
      </c>
      <c r="U526" s="1"/>
      <c r="V526" s="1">
        <v>120.75</v>
      </c>
      <c r="W526" s="1">
        <v>120.75</v>
      </c>
      <c r="X526" s="1" t="s">
        <v>35</v>
      </c>
      <c r="Y526" s="1">
        <v>120750.0</v>
      </c>
      <c r="Z526" s="1"/>
      <c r="AA526" s="1">
        <v>120750</v>
      </c>
      <c r="AB526" s="1"/>
      <c r="AC526" s="1" t="s">
        <v>36</v>
      </c>
      <c r="AD526" s="1" t="s">
        <v>2129</v>
      </c>
      <c r="AE526" s="1" t="s">
        <v>32</v>
      </c>
      <c r="AF526" s="1" t="s">
        <v>33</v>
      </c>
      <c r="AG526" s="1" t="s">
        <v>137</v>
      </c>
    </row>
    <row r="527" spans="1:33">
      <c r="A527" t="s">
        <v>2130</v>
      </c>
      <c r="C527" t="s">
        <v>1016</v>
      </c>
      <c r="E527" t="s">
        <v>1562</v>
      </c>
      <c r="F527" t="s">
        <v>1568</v>
      </c>
      <c r="G527">
        <v>574.0</v>
      </c>
      <c r="H527">
        <v>574.0</v>
      </c>
      <c r="I527" t="s">
        <v>269</v>
      </c>
      <c r="J527" t="s">
        <v>270</v>
      </c>
      <c r="K527" t="s">
        <v>31</v>
      </c>
      <c r="L527" t="s">
        <v>32</v>
      </c>
      <c r="M527" t="s">
        <v>33</v>
      </c>
      <c r="P527" s="1" t="s">
        <v>2131</v>
      </c>
      <c r="Q527" s="1" t="s">
        <v>1562</v>
      </c>
      <c r="R527" s="1" t="s">
        <v>1562</v>
      </c>
      <c r="S527" s="1"/>
      <c r="T527" s="1" t="s">
        <v>1016</v>
      </c>
      <c r="U527" s="1"/>
      <c r="V527" s="1">
        <v>574.0</v>
      </c>
      <c r="W527" s="1">
        <v>574.0</v>
      </c>
      <c r="X527" s="1" t="s">
        <v>35</v>
      </c>
      <c r="Y527" s="1">
        <v>574000.0</v>
      </c>
      <c r="Z527" s="1"/>
      <c r="AA527" s="1">
        <v>574000</v>
      </c>
      <c r="AB527" s="1"/>
      <c r="AC527" s="1" t="s">
        <v>36</v>
      </c>
      <c r="AD527" s="1" t="s">
        <v>2132</v>
      </c>
      <c r="AE527" s="1" t="s">
        <v>32</v>
      </c>
      <c r="AF527" s="1" t="s">
        <v>33</v>
      </c>
      <c r="AG527" s="1" t="s">
        <v>270</v>
      </c>
    </row>
    <row r="528" spans="1:33">
      <c r="A528" t="s">
        <v>2133</v>
      </c>
      <c r="B528" t="s">
        <v>2134</v>
      </c>
      <c r="C528" t="s">
        <v>314</v>
      </c>
      <c r="E528" t="s">
        <v>1562</v>
      </c>
      <c r="F528" t="s">
        <v>1568</v>
      </c>
      <c r="G528">
        <v>18.59</v>
      </c>
      <c r="H528">
        <v>18.59</v>
      </c>
      <c r="I528" t="s">
        <v>179</v>
      </c>
      <c r="J528" t="s">
        <v>180</v>
      </c>
      <c r="K528" t="s">
        <v>31</v>
      </c>
      <c r="L528" t="s">
        <v>32</v>
      </c>
      <c r="M528" t="s">
        <v>33</v>
      </c>
      <c r="P528" s="1" t="s">
        <v>2135</v>
      </c>
      <c r="Q528" s="1" t="s">
        <v>1562</v>
      </c>
      <c r="R528" s="1" t="s">
        <v>1562</v>
      </c>
      <c r="S528" s="1"/>
      <c r="T528" s="1" t="s">
        <v>314</v>
      </c>
      <c r="U528" s="1"/>
      <c r="V528" s="1">
        <v>18.59</v>
      </c>
      <c r="W528" s="1">
        <v>18.59</v>
      </c>
      <c r="X528" s="1" t="s">
        <v>35</v>
      </c>
      <c r="Y528" s="1">
        <v>18590.0</v>
      </c>
      <c r="Z528" s="1"/>
      <c r="AA528" s="1">
        <v>18590</v>
      </c>
      <c r="AB528" s="1"/>
      <c r="AC528" s="1" t="s">
        <v>36</v>
      </c>
      <c r="AD528" s="1" t="s">
        <v>2129</v>
      </c>
      <c r="AE528" s="1" t="s">
        <v>32</v>
      </c>
      <c r="AF528" s="1" t="s">
        <v>33</v>
      </c>
      <c r="AG528" s="1" t="s">
        <v>180</v>
      </c>
    </row>
    <row r="529" spans="1:33">
      <c r="A529" t="s">
        <v>2136</v>
      </c>
      <c r="B529" t="s">
        <v>2137</v>
      </c>
      <c r="C529" t="s">
        <v>73</v>
      </c>
      <c r="E529" t="s">
        <v>1562</v>
      </c>
      <c r="F529" t="s">
        <v>1568</v>
      </c>
      <c r="G529">
        <v>91.46</v>
      </c>
      <c r="H529">
        <v>91.46</v>
      </c>
      <c r="I529" t="s">
        <v>40</v>
      </c>
      <c r="J529" t="s">
        <v>41</v>
      </c>
      <c r="K529" t="s">
        <v>31</v>
      </c>
      <c r="L529" t="s">
        <v>32</v>
      </c>
      <c r="M529" t="s">
        <v>33</v>
      </c>
      <c r="P529" s="1" t="s">
        <v>2138</v>
      </c>
      <c r="Q529" s="1" t="s">
        <v>1562</v>
      </c>
      <c r="R529" s="1" t="s">
        <v>822</v>
      </c>
      <c r="S529" s="1"/>
      <c r="T529" s="1" t="s">
        <v>75</v>
      </c>
      <c r="U529" s="1" t="s">
        <v>76</v>
      </c>
      <c r="V529" s="1">
        <v>91.46</v>
      </c>
      <c r="W529" s="1">
        <v>91.46</v>
      </c>
      <c r="X529" s="1" t="s">
        <v>35</v>
      </c>
      <c r="Y529" s="1">
        <v>91460.0</v>
      </c>
      <c r="Z529" s="1"/>
      <c r="AA529" s="1">
        <v>91460</v>
      </c>
      <c r="AB529" s="1"/>
      <c r="AC529" s="1" t="s">
        <v>36</v>
      </c>
      <c r="AD529" s="1" t="s">
        <v>2139</v>
      </c>
      <c r="AE529" s="1" t="s">
        <v>32</v>
      </c>
      <c r="AF529" s="1" t="s">
        <v>33</v>
      </c>
      <c r="AG529" s="1" t="s">
        <v>41</v>
      </c>
    </row>
    <row r="530" spans="1:33">
      <c r="A530" t="s">
        <v>2140</v>
      </c>
      <c r="B530" t="s">
        <v>1337</v>
      </c>
      <c r="C530" t="s">
        <v>314</v>
      </c>
      <c r="E530" t="s">
        <v>1562</v>
      </c>
      <c r="F530" t="s">
        <v>1568</v>
      </c>
      <c r="G530">
        <v>75.644</v>
      </c>
      <c r="H530">
        <v>75.644</v>
      </c>
      <c r="I530" t="s">
        <v>179</v>
      </c>
      <c r="J530" t="s">
        <v>180</v>
      </c>
      <c r="K530" t="s">
        <v>31</v>
      </c>
      <c r="L530" t="s">
        <v>32</v>
      </c>
      <c r="M530" t="s">
        <v>33</v>
      </c>
      <c r="P530" s="1" t="s">
        <v>2141</v>
      </c>
      <c r="Q530" s="1" t="s">
        <v>1562</v>
      </c>
      <c r="R530" s="1" t="s">
        <v>1562</v>
      </c>
      <c r="S530" s="1"/>
      <c r="T530" s="1" t="s">
        <v>314</v>
      </c>
      <c r="U530" s="1"/>
      <c r="V530" s="1">
        <v>75.644</v>
      </c>
      <c r="W530" s="1">
        <v>75.644</v>
      </c>
      <c r="X530" s="1" t="s">
        <v>35</v>
      </c>
      <c r="Y530" s="1">
        <v>75644.0</v>
      </c>
      <c r="Z530" s="1"/>
      <c r="AA530" s="1">
        <v>75644</v>
      </c>
      <c r="AB530" s="1"/>
      <c r="AC530" s="1" t="s">
        <v>36</v>
      </c>
      <c r="AD530" s="1" t="s">
        <v>2139</v>
      </c>
      <c r="AE530" s="1" t="s">
        <v>32</v>
      </c>
      <c r="AF530" s="1" t="s">
        <v>33</v>
      </c>
      <c r="AG530" s="1" t="s">
        <v>180</v>
      </c>
    </row>
    <row r="531" spans="1:33">
      <c r="A531" t="s">
        <v>2142</v>
      </c>
      <c r="B531" t="s">
        <v>1487</v>
      </c>
      <c r="C531" t="s">
        <v>1488</v>
      </c>
      <c r="E531" t="s">
        <v>1562</v>
      </c>
      <c r="F531" t="s">
        <v>1568</v>
      </c>
      <c r="G531">
        <v>1.568</v>
      </c>
      <c r="H531">
        <v>1.568</v>
      </c>
      <c r="I531" t="s">
        <v>40</v>
      </c>
      <c r="J531" t="s">
        <v>41</v>
      </c>
      <c r="K531" t="s">
        <v>31</v>
      </c>
      <c r="L531" t="s">
        <v>32</v>
      </c>
      <c r="M531" t="s">
        <v>33</v>
      </c>
      <c r="P531" s="1" t="s">
        <v>2143</v>
      </c>
      <c r="Q531" s="1" t="s">
        <v>1562</v>
      </c>
      <c r="R531" s="1" t="s">
        <v>822</v>
      </c>
      <c r="S531" s="1"/>
      <c r="T531" s="1" t="s">
        <v>1488</v>
      </c>
      <c r="U531" s="1"/>
      <c r="V531" s="1">
        <v>1.568</v>
      </c>
      <c r="W531" s="1">
        <v>1.568</v>
      </c>
      <c r="X531" s="1" t="s">
        <v>35</v>
      </c>
      <c r="Y531" s="1">
        <v>1570000.0</v>
      </c>
      <c r="Z531" s="1">
        <v>-2000.0</v>
      </c>
      <c r="AA531" s="1">
        <v>1570000</v>
      </c>
      <c r="AB531" s="1">
        <v>-2000</v>
      </c>
      <c r="AC531" s="1" t="s">
        <v>36</v>
      </c>
      <c r="AD531" s="1" t="s">
        <v>2144</v>
      </c>
      <c r="AE531" s="1" t="s">
        <v>32</v>
      </c>
      <c r="AF531" s="1" t="s">
        <v>33</v>
      </c>
      <c r="AG531" s="1" t="s">
        <v>41</v>
      </c>
    </row>
    <row r="532" spans="1:33">
      <c r="A532" t="s">
        <v>2145</v>
      </c>
      <c r="C532" t="s">
        <v>2146</v>
      </c>
      <c r="E532" t="s">
        <v>1562</v>
      </c>
      <c r="F532" t="s">
        <v>1568</v>
      </c>
      <c r="G532">
        <v>320.0</v>
      </c>
      <c r="H532">
        <v>320.0</v>
      </c>
      <c r="I532" t="s">
        <v>40</v>
      </c>
      <c r="J532" t="s">
        <v>41</v>
      </c>
      <c r="K532" t="s">
        <v>31</v>
      </c>
      <c r="L532" t="s">
        <v>32</v>
      </c>
      <c r="M532" t="s">
        <v>33</v>
      </c>
      <c r="P532" s="1" t="s">
        <v>2147</v>
      </c>
      <c r="Q532" s="1" t="s">
        <v>1562</v>
      </c>
      <c r="R532" s="1" t="s">
        <v>822</v>
      </c>
      <c r="S532" s="1"/>
      <c r="T532" s="1" t="s">
        <v>2146</v>
      </c>
      <c r="U532" s="1"/>
      <c r="V532" s="1">
        <v>320.0</v>
      </c>
      <c r="W532" s="1">
        <v>320.0</v>
      </c>
      <c r="X532" s="1" t="s">
        <v>35</v>
      </c>
      <c r="Y532" s="1">
        <v>320000.0</v>
      </c>
      <c r="Z532" s="1"/>
      <c r="AA532" s="1">
        <v>320000</v>
      </c>
      <c r="AB532" s="1"/>
      <c r="AC532" s="1" t="s">
        <v>36</v>
      </c>
      <c r="AD532" s="1" t="s">
        <v>2148</v>
      </c>
      <c r="AE532" s="1" t="s">
        <v>32</v>
      </c>
      <c r="AF532" s="1" t="s">
        <v>33</v>
      </c>
      <c r="AG532" s="1" t="s">
        <v>41</v>
      </c>
    </row>
    <row r="533" spans="1:33">
      <c r="A533" t="s">
        <v>2149</v>
      </c>
      <c r="C533" t="s">
        <v>558</v>
      </c>
      <c r="D533" t="s">
        <v>154</v>
      </c>
      <c r="E533" t="s">
        <v>1562</v>
      </c>
      <c r="F533" t="s">
        <v>1568</v>
      </c>
      <c r="G533">
        <v>84.0</v>
      </c>
      <c r="H533">
        <v>84.0</v>
      </c>
      <c r="I533" t="s">
        <v>269</v>
      </c>
      <c r="J533" t="s">
        <v>270</v>
      </c>
      <c r="K533" t="s">
        <v>31</v>
      </c>
      <c r="L533" t="s">
        <v>32</v>
      </c>
      <c r="M533" t="s">
        <v>33</v>
      </c>
      <c r="P533" s="1" t="s">
        <v>2150</v>
      </c>
      <c r="Q533" s="1" t="s">
        <v>1562</v>
      </c>
      <c r="R533" s="1" t="s">
        <v>1562</v>
      </c>
      <c r="S533" s="1"/>
      <c r="T533" s="1" t="s">
        <v>560</v>
      </c>
      <c r="U533" s="1" t="s">
        <v>561</v>
      </c>
      <c r="V533" s="1">
        <v>84.0</v>
      </c>
      <c r="W533" s="1">
        <v>84.0</v>
      </c>
      <c r="X533" s="1" t="s">
        <v>35</v>
      </c>
      <c r="Y533" s="1">
        <v>84000.0</v>
      </c>
      <c r="Z533" s="1"/>
      <c r="AA533" s="1">
        <v>84000</v>
      </c>
      <c r="AB533" s="1"/>
      <c r="AC533" s="1" t="s">
        <v>36</v>
      </c>
      <c r="AD533" s="1" t="s">
        <v>2151</v>
      </c>
      <c r="AE533" s="1" t="s">
        <v>32</v>
      </c>
      <c r="AF533" s="1" t="s">
        <v>33</v>
      </c>
      <c r="AG533" s="1" t="s">
        <v>270</v>
      </c>
    </row>
    <row r="534" spans="1:33">
      <c r="A534" t="s">
        <v>2152</v>
      </c>
      <c r="B534" t="s">
        <v>2153</v>
      </c>
      <c r="C534" t="s">
        <v>172</v>
      </c>
      <c r="E534" t="s">
        <v>1562</v>
      </c>
      <c r="F534" t="s">
        <v>1568</v>
      </c>
      <c r="G534">
        <v>40.49</v>
      </c>
      <c r="H534">
        <v>40.49</v>
      </c>
      <c r="I534" t="s">
        <v>173</v>
      </c>
      <c r="J534" t="s">
        <v>174</v>
      </c>
      <c r="K534" t="s">
        <v>31</v>
      </c>
      <c r="L534" t="s">
        <v>32</v>
      </c>
      <c r="M534" t="s">
        <v>33</v>
      </c>
      <c r="P534" s="1" t="s">
        <v>2154</v>
      </c>
      <c r="Q534" s="1" t="s">
        <v>1562</v>
      </c>
      <c r="R534" s="1" t="s">
        <v>1562</v>
      </c>
      <c r="S534" s="1"/>
      <c r="T534" s="1" t="s">
        <v>172</v>
      </c>
      <c r="U534" s="1"/>
      <c r="V534" s="1">
        <v>40.49</v>
      </c>
      <c r="W534" s="1">
        <v>40.49</v>
      </c>
      <c r="X534" s="1" t="s">
        <v>35</v>
      </c>
      <c r="Y534" s="1">
        <v>40490.0</v>
      </c>
      <c r="Z534" s="1"/>
      <c r="AA534" s="1">
        <v>40490</v>
      </c>
      <c r="AB534" s="1"/>
      <c r="AC534" s="1" t="s">
        <v>36</v>
      </c>
      <c r="AD534" s="1" t="s">
        <v>2155</v>
      </c>
      <c r="AE534" s="1" t="s">
        <v>32</v>
      </c>
      <c r="AF534" s="1" t="s">
        <v>33</v>
      </c>
      <c r="AG534" s="1" t="s">
        <v>174</v>
      </c>
    </row>
    <row r="535" spans="1:33">
      <c r="A535" t="s">
        <v>2156</v>
      </c>
      <c r="B535" t="s">
        <v>2157</v>
      </c>
      <c r="C535" t="s">
        <v>131</v>
      </c>
      <c r="E535" t="s">
        <v>1562</v>
      </c>
      <c r="F535" t="s">
        <v>1568</v>
      </c>
      <c r="G535">
        <v>82.68</v>
      </c>
      <c r="H535">
        <v>82.68</v>
      </c>
      <c r="I535" t="s">
        <v>94</v>
      </c>
      <c r="J535" t="s">
        <v>95</v>
      </c>
      <c r="K535" t="s">
        <v>31</v>
      </c>
      <c r="L535" t="s">
        <v>32</v>
      </c>
      <c r="M535" t="s">
        <v>33</v>
      </c>
      <c r="P535" s="1" t="s">
        <v>2158</v>
      </c>
      <c r="Q535" s="1" t="s">
        <v>1562</v>
      </c>
      <c r="R535" s="1" t="s">
        <v>1562</v>
      </c>
      <c r="S535" s="1"/>
      <c r="T535" s="1" t="s">
        <v>131</v>
      </c>
      <c r="U535" s="1"/>
      <c r="V535" s="1">
        <v>82.68</v>
      </c>
      <c r="W535" s="1">
        <v>82.68</v>
      </c>
      <c r="X535" s="1" t="s">
        <v>35</v>
      </c>
      <c r="Y535" s="1">
        <v>82680.0</v>
      </c>
      <c r="Z535" s="1"/>
      <c r="AA535" s="1">
        <v>82680</v>
      </c>
      <c r="AB535" s="1"/>
      <c r="AC535" s="1" t="s">
        <v>36</v>
      </c>
      <c r="AD535" s="1" t="s">
        <v>2159</v>
      </c>
      <c r="AE535" s="1" t="s">
        <v>32</v>
      </c>
      <c r="AF535" s="1" t="s">
        <v>33</v>
      </c>
      <c r="AG535" s="1" t="s">
        <v>95</v>
      </c>
    </row>
    <row r="536" spans="1:33">
      <c r="A536" t="s">
        <v>2160</v>
      </c>
      <c r="B536" t="s">
        <v>2161</v>
      </c>
      <c r="C536" t="s">
        <v>314</v>
      </c>
      <c r="E536" t="s">
        <v>1562</v>
      </c>
      <c r="F536" t="s">
        <v>1568</v>
      </c>
      <c r="G536">
        <v>39.98</v>
      </c>
      <c r="H536">
        <v>39.98</v>
      </c>
      <c r="I536" t="s">
        <v>179</v>
      </c>
      <c r="J536" t="s">
        <v>180</v>
      </c>
      <c r="K536" t="s">
        <v>31</v>
      </c>
      <c r="L536" t="s">
        <v>32</v>
      </c>
      <c r="M536" t="s">
        <v>33</v>
      </c>
      <c r="P536" s="1" t="s">
        <v>2162</v>
      </c>
      <c r="Q536" s="1" t="s">
        <v>1562</v>
      </c>
      <c r="R536" s="1" t="s">
        <v>1562</v>
      </c>
      <c r="S536" s="1"/>
      <c r="T536" s="1" t="s">
        <v>314</v>
      </c>
      <c r="U536" s="1"/>
      <c r="V536" s="1">
        <v>39.98</v>
      </c>
      <c r="W536" s="1">
        <v>39.98</v>
      </c>
      <c r="X536" s="1" t="s">
        <v>35</v>
      </c>
      <c r="Y536" s="1">
        <v>39980.0</v>
      </c>
      <c r="Z536" s="1"/>
      <c r="AA536" s="1">
        <v>39980</v>
      </c>
      <c r="AB536" s="1"/>
      <c r="AC536" s="1" t="s">
        <v>36</v>
      </c>
      <c r="AD536" s="1" t="s">
        <v>2163</v>
      </c>
      <c r="AE536" s="1" t="s">
        <v>32</v>
      </c>
      <c r="AF536" s="1" t="s">
        <v>33</v>
      </c>
      <c r="AG536" s="1" t="s">
        <v>180</v>
      </c>
    </row>
    <row r="537" spans="1:33">
      <c r="A537" t="s">
        <v>2164</v>
      </c>
      <c r="B537" t="s">
        <v>2165</v>
      </c>
      <c r="C537" t="s">
        <v>47</v>
      </c>
      <c r="E537" t="s">
        <v>1562</v>
      </c>
      <c r="F537" t="s">
        <v>1568</v>
      </c>
      <c r="G537">
        <v>76.07</v>
      </c>
      <c r="H537">
        <v>76.07</v>
      </c>
      <c r="I537" t="s">
        <v>48</v>
      </c>
      <c r="J537" t="s">
        <v>49</v>
      </c>
      <c r="K537" t="s">
        <v>31</v>
      </c>
      <c r="L537" t="s">
        <v>32</v>
      </c>
      <c r="M537" t="s">
        <v>33</v>
      </c>
      <c r="P537" s="1" t="s">
        <v>2166</v>
      </c>
      <c r="Q537" s="1" t="s">
        <v>1562</v>
      </c>
      <c r="R537" s="1" t="s">
        <v>1562</v>
      </c>
      <c r="S537" s="1"/>
      <c r="T537" s="1" t="s">
        <v>47</v>
      </c>
      <c r="U537" s="1"/>
      <c r="V537" s="1">
        <v>76.07</v>
      </c>
      <c r="W537" s="1">
        <v>76.07</v>
      </c>
      <c r="X537" s="1" t="s">
        <v>35</v>
      </c>
      <c r="Y537" s="1">
        <v>76070.0</v>
      </c>
      <c r="Z537" s="1"/>
      <c r="AA537" s="1">
        <v>76070</v>
      </c>
      <c r="AB537" s="1"/>
      <c r="AC537" s="1" t="s">
        <v>36</v>
      </c>
      <c r="AD537" s="1" t="s">
        <v>2155</v>
      </c>
      <c r="AE537" s="1" t="s">
        <v>32</v>
      </c>
      <c r="AF537" s="1" t="s">
        <v>33</v>
      </c>
      <c r="AG537" s="1" t="s">
        <v>49</v>
      </c>
    </row>
    <row r="538" spans="1:33">
      <c r="A538" t="s">
        <v>2167</v>
      </c>
      <c r="B538" t="s">
        <v>2168</v>
      </c>
      <c r="C538" t="s">
        <v>314</v>
      </c>
      <c r="E538" t="s">
        <v>1562</v>
      </c>
      <c r="F538" t="s">
        <v>1568</v>
      </c>
      <c r="G538">
        <v>33.74</v>
      </c>
      <c r="H538">
        <v>33.74</v>
      </c>
      <c r="I538" t="s">
        <v>179</v>
      </c>
      <c r="J538" t="s">
        <v>180</v>
      </c>
      <c r="K538" t="s">
        <v>31</v>
      </c>
      <c r="L538" t="s">
        <v>32</v>
      </c>
      <c r="M538" t="s">
        <v>33</v>
      </c>
      <c r="P538" s="1" t="s">
        <v>2169</v>
      </c>
      <c r="Q538" s="1" t="s">
        <v>1562</v>
      </c>
      <c r="R538" s="1" t="s">
        <v>1562</v>
      </c>
      <c r="S538" s="1"/>
      <c r="T538" s="1" t="s">
        <v>314</v>
      </c>
      <c r="U538" s="1"/>
      <c r="V538" s="1">
        <v>33.74</v>
      </c>
      <c r="W538" s="1">
        <v>33.74</v>
      </c>
      <c r="X538" s="1" t="s">
        <v>35</v>
      </c>
      <c r="Y538" s="1">
        <v>33740.0</v>
      </c>
      <c r="Z538" s="1"/>
      <c r="AA538" s="1">
        <v>33740</v>
      </c>
      <c r="AB538" s="1"/>
      <c r="AC538" s="1" t="s">
        <v>36</v>
      </c>
      <c r="AD538" s="1" t="s">
        <v>2170</v>
      </c>
      <c r="AE538" s="1" t="s">
        <v>32</v>
      </c>
      <c r="AF538" s="1" t="s">
        <v>33</v>
      </c>
      <c r="AG538" s="1" t="s">
        <v>180</v>
      </c>
    </row>
    <row r="539" spans="1:33">
      <c r="A539" t="s">
        <v>2171</v>
      </c>
      <c r="B539" t="s">
        <v>2172</v>
      </c>
      <c r="C539" t="s">
        <v>2173</v>
      </c>
      <c r="E539" t="s">
        <v>1562</v>
      </c>
      <c r="F539" t="s">
        <v>1568</v>
      </c>
      <c r="G539">
        <v>682.0</v>
      </c>
      <c r="H539">
        <v>682.0</v>
      </c>
      <c r="I539" t="s">
        <v>529</v>
      </c>
      <c r="J539" t="s">
        <v>530</v>
      </c>
      <c r="K539" t="s">
        <v>31</v>
      </c>
      <c r="L539" t="s">
        <v>32</v>
      </c>
      <c r="M539" t="s">
        <v>33</v>
      </c>
      <c r="P539" s="1" t="s">
        <v>2174</v>
      </c>
      <c r="Q539" s="1" t="s">
        <v>1562</v>
      </c>
      <c r="R539" s="1" t="s">
        <v>822</v>
      </c>
      <c r="S539" s="1"/>
      <c r="T539" s="1" t="s">
        <v>2173</v>
      </c>
      <c r="U539" s="1"/>
      <c r="V539" s="1">
        <v>682.0</v>
      </c>
      <c r="W539" s="1">
        <v>682.0</v>
      </c>
      <c r="X539" s="1" t="s">
        <v>35</v>
      </c>
      <c r="Y539" s="1">
        <v>682000.0</v>
      </c>
      <c r="Z539" s="1"/>
      <c r="AA539" s="1">
        <v>682000</v>
      </c>
      <c r="AB539" s="1"/>
      <c r="AC539" s="1" t="s">
        <v>36</v>
      </c>
      <c r="AD539" s="1" t="s">
        <v>2175</v>
      </c>
      <c r="AE539" s="1" t="s">
        <v>32</v>
      </c>
      <c r="AF539" s="1" t="s">
        <v>33</v>
      </c>
      <c r="AG539" s="1" t="s">
        <v>530</v>
      </c>
    </row>
    <row r="540" spans="1:33">
      <c r="A540" t="s">
        <v>2176</v>
      </c>
      <c r="C540" t="s">
        <v>827</v>
      </c>
      <c r="D540" t="s">
        <v>154</v>
      </c>
      <c r="E540" t="s">
        <v>1562</v>
      </c>
      <c r="F540" t="s">
        <v>1568</v>
      </c>
      <c r="G540">
        <v>20.0</v>
      </c>
      <c r="H540">
        <v>20.0</v>
      </c>
      <c r="I540" t="s">
        <v>269</v>
      </c>
      <c r="J540" t="s">
        <v>270</v>
      </c>
      <c r="K540" t="s">
        <v>31</v>
      </c>
      <c r="L540" t="s">
        <v>32</v>
      </c>
      <c r="M540" t="s">
        <v>33</v>
      </c>
      <c r="P540" s="1" t="s">
        <v>2177</v>
      </c>
      <c r="Q540" s="1" t="s">
        <v>1562</v>
      </c>
      <c r="R540" s="1" t="s">
        <v>1562</v>
      </c>
      <c r="S540" s="1"/>
      <c r="T540" s="1" t="s">
        <v>827</v>
      </c>
      <c r="U540" s="1"/>
      <c r="V540" s="1">
        <v>20.0</v>
      </c>
      <c r="W540" s="1">
        <v>20.0</v>
      </c>
      <c r="X540" s="1" t="s">
        <v>35</v>
      </c>
      <c r="Y540" s="1">
        <v>20000.0</v>
      </c>
      <c r="Z540" s="1"/>
      <c r="AA540" s="1">
        <v>20000</v>
      </c>
      <c r="AB540" s="1"/>
      <c r="AC540" s="1" t="s">
        <v>36</v>
      </c>
      <c r="AD540" s="1" t="s">
        <v>2178</v>
      </c>
      <c r="AE540" s="1" t="s">
        <v>32</v>
      </c>
      <c r="AF540" s="1" t="s">
        <v>33</v>
      </c>
      <c r="AG540" s="1" t="s">
        <v>270</v>
      </c>
    </row>
    <row r="541" spans="1:33">
      <c r="A541" t="s">
        <v>2179</v>
      </c>
      <c r="C541" t="s">
        <v>131</v>
      </c>
      <c r="E541" t="s">
        <v>1562</v>
      </c>
      <c r="F541" t="s">
        <v>1568</v>
      </c>
      <c r="G541">
        <v>68.57</v>
      </c>
      <c r="H541">
        <v>68.57</v>
      </c>
      <c r="I541" t="s">
        <v>94</v>
      </c>
      <c r="J541" t="s">
        <v>95</v>
      </c>
      <c r="K541" t="s">
        <v>31</v>
      </c>
      <c r="L541" t="s">
        <v>32</v>
      </c>
      <c r="M541" t="s">
        <v>33</v>
      </c>
      <c r="P541" s="1" t="s">
        <v>2180</v>
      </c>
      <c r="Q541" s="1" t="s">
        <v>1562</v>
      </c>
      <c r="R541" s="1" t="s">
        <v>1562</v>
      </c>
      <c r="S541" s="1"/>
      <c r="T541" s="1" t="s">
        <v>131</v>
      </c>
      <c r="U541" s="1"/>
      <c r="V541" s="1">
        <v>68.57</v>
      </c>
      <c r="W541" s="1">
        <v>68.57</v>
      </c>
      <c r="X541" s="1" t="s">
        <v>35</v>
      </c>
      <c r="Y541" s="1">
        <v>68570.0</v>
      </c>
      <c r="Z541" s="1"/>
      <c r="AA541" s="1">
        <v>68570</v>
      </c>
      <c r="AB541" s="1"/>
      <c r="AC541" s="1" t="s">
        <v>36</v>
      </c>
      <c r="AD541" s="1" t="s">
        <v>2071</v>
      </c>
      <c r="AE541" s="1" t="s">
        <v>32</v>
      </c>
      <c r="AF541" s="1" t="s">
        <v>33</v>
      </c>
      <c r="AG541" s="1" t="s">
        <v>95</v>
      </c>
    </row>
    <row r="542" spans="1:33">
      <c r="A542" t="s">
        <v>2181</v>
      </c>
      <c r="B542" t="s">
        <v>2182</v>
      </c>
      <c r="C542" t="s">
        <v>47</v>
      </c>
      <c r="E542" t="s">
        <v>1562</v>
      </c>
      <c r="F542" t="s">
        <v>1568</v>
      </c>
      <c r="G542">
        <v>14.745</v>
      </c>
      <c r="H542">
        <v>14.745</v>
      </c>
      <c r="I542" t="s">
        <v>48</v>
      </c>
      <c r="J542" t="s">
        <v>49</v>
      </c>
      <c r="K542" t="s">
        <v>31</v>
      </c>
      <c r="L542" t="s">
        <v>32</v>
      </c>
      <c r="M542" t="s">
        <v>33</v>
      </c>
      <c r="P542" s="1" t="s">
        <v>2183</v>
      </c>
      <c r="Q542" s="1" t="s">
        <v>1562</v>
      </c>
      <c r="R542" s="1" t="s">
        <v>1562</v>
      </c>
      <c r="S542" s="1"/>
      <c r="T542" s="1" t="s">
        <v>47</v>
      </c>
      <c r="U542" s="1"/>
      <c r="V542" s="1">
        <v>14.745</v>
      </c>
      <c r="W542" s="1">
        <v>14.745</v>
      </c>
      <c r="X542" s="1" t="s">
        <v>35</v>
      </c>
      <c r="Y542" s="1">
        <v>14745.0</v>
      </c>
      <c r="Z542" s="1"/>
      <c r="AA542" s="1">
        <v>14745</v>
      </c>
      <c r="AB542" s="1"/>
      <c r="AC542" s="1" t="s">
        <v>36</v>
      </c>
      <c r="AD542" s="1" t="s">
        <v>2184</v>
      </c>
      <c r="AE542" s="1" t="s">
        <v>32</v>
      </c>
      <c r="AF542" s="1" t="s">
        <v>33</v>
      </c>
      <c r="AG542" s="1" t="s">
        <v>49</v>
      </c>
    </row>
    <row r="543" spans="1:33">
      <c r="A543" t="s">
        <v>2185</v>
      </c>
      <c r="C543" t="s">
        <v>131</v>
      </c>
      <c r="E543" t="s">
        <v>1562</v>
      </c>
      <c r="F543" t="s">
        <v>1568</v>
      </c>
      <c r="G543">
        <v>39.98</v>
      </c>
      <c r="H543">
        <v>39.98</v>
      </c>
      <c r="I543" t="s">
        <v>94</v>
      </c>
      <c r="J543" t="s">
        <v>95</v>
      </c>
      <c r="K543" t="s">
        <v>31</v>
      </c>
      <c r="L543" t="s">
        <v>32</v>
      </c>
      <c r="M543" t="s">
        <v>33</v>
      </c>
      <c r="P543" s="1" t="s">
        <v>2186</v>
      </c>
      <c r="Q543" s="1" t="s">
        <v>1562</v>
      </c>
      <c r="R543" s="1" t="s">
        <v>1562</v>
      </c>
      <c r="S543" s="1"/>
      <c r="T543" s="1" t="s">
        <v>131</v>
      </c>
      <c r="U543" s="1"/>
      <c r="V543" s="1">
        <v>39.98</v>
      </c>
      <c r="W543" s="1">
        <v>39.98</v>
      </c>
      <c r="X543" s="1" t="s">
        <v>35</v>
      </c>
      <c r="Y543" s="1">
        <v>39980.0</v>
      </c>
      <c r="Z543" s="1"/>
      <c r="AA543" s="1">
        <v>39980</v>
      </c>
      <c r="AB543" s="1"/>
      <c r="AC543" s="1" t="s">
        <v>36</v>
      </c>
      <c r="AD543" s="1" t="s">
        <v>2187</v>
      </c>
      <c r="AE543" s="1" t="s">
        <v>32</v>
      </c>
      <c r="AF543" s="1" t="s">
        <v>33</v>
      </c>
      <c r="AG543" s="1" t="s">
        <v>95</v>
      </c>
    </row>
    <row r="544" spans="1:33">
      <c r="A544" t="s">
        <v>2188</v>
      </c>
      <c r="B544" t="s">
        <v>2189</v>
      </c>
      <c r="C544" t="s">
        <v>68</v>
      </c>
      <c r="E544" t="s">
        <v>1562</v>
      </c>
      <c r="F544" t="s">
        <v>1568</v>
      </c>
      <c r="G544">
        <v>96.57</v>
      </c>
      <c r="H544">
        <v>96.57</v>
      </c>
      <c r="I544" t="s">
        <v>59</v>
      </c>
      <c r="J544" t="s">
        <v>60</v>
      </c>
      <c r="K544" t="s">
        <v>31</v>
      </c>
      <c r="L544" t="s">
        <v>32</v>
      </c>
      <c r="M544" t="s">
        <v>33</v>
      </c>
      <c r="P544" s="1" t="s">
        <v>2190</v>
      </c>
      <c r="Q544" s="1" t="s">
        <v>1562</v>
      </c>
      <c r="R544" s="1" t="s">
        <v>1562</v>
      </c>
      <c r="S544" s="1"/>
      <c r="T544" s="1" t="s">
        <v>68</v>
      </c>
      <c r="U544" s="1"/>
      <c r="V544" s="1">
        <v>96.57</v>
      </c>
      <c r="W544" s="1">
        <v>96.57</v>
      </c>
      <c r="X544" s="1" t="s">
        <v>35</v>
      </c>
      <c r="Y544" s="1">
        <v>96570.0</v>
      </c>
      <c r="Z544" s="1"/>
      <c r="AA544" s="1">
        <v>96570</v>
      </c>
      <c r="AB544" s="1"/>
      <c r="AC544" s="1" t="s">
        <v>36</v>
      </c>
      <c r="AD544" s="1" t="s">
        <v>2191</v>
      </c>
      <c r="AE544" s="1" t="s">
        <v>32</v>
      </c>
      <c r="AF544" s="1" t="s">
        <v>33</v>
      </c>
      <c r="AG544" s="1" t="s">
        <v>60</v>
      </c>
    </row>
    <row r="545" spans="1:33">
      <c r="A545" t="s">
        <v>2192</v>
      </c>
      <c r="C545" t="s">
        <v>2193</v>
      </c>
      <c r="E545" t="s">
        <v>1562</v>
      </c>
      <c r="F545" t="s">
        <v>1568</v>
      </c>
      <c r="G545">
        <v>29.25</v>
      </c>
      <c r="H545">
        <v>29.25</v>
      </c>
      <c r="I545" t="s">
        <v>269</v>
      </c>
      <c r="J545" t="s">
        <v>270</v>
      </c>
      <c r="K545" t="s">
        <v>31</v>
      </c>
      <c r="L545" t="s">
        <v>32</v>
      </c>
      <c r="M545" t="s">
        <v>33</v>
      </c>
      <c r="P545" s="1" t="s">
        <v>2194</v>
      </c>
      <c r="Q545" s="1" t="s">
        <v>1562</v>
      </c>
      <c r="R545" s="1" t="s">
        <v>1562</v>
      </c>
      <c r="S545" s="1"/>
      <c r="T545" s="1" t="s">
        <v>2193</v>
      </c>
      <c r="U545" s="1"/>
      <c r="V545" s="1">
        <v>29.25</v>
      </c>
      <c r="W545" s="1">
        <v>29.25</v>
      </c>
      <c r="X545" s="1" t="s">
        <v>35</v>
      </c>
      <c r="Y545" s="1">
        <v>29250.0</v>
      </c>
      <c r="Z545" s="1"/>
      <c r="AA545" s="1">
        <v>29250</v>
      </c>
      <c r="AB545" s="1"/>
      <c r="AC545" s="1" t="s">
        <v>36</v>
      </c>
      <c r="AD545" s="1" t="s">
        <v>2195</v>
      </c>
      <c r="AE545" s="1" t="s">
        <v>32</v>
      </c>
      <c r="AF545" s="1" t="s">
        <v>33</v>
      </c>
      <c r="AG545" s="1" t="s">
        <v>270</v>
      </c>
    </row>
    <row r="546" spans="1:33">
      <c r="A546" t="s">
        <v>2196</v>
      </c>
      <c r="C546" t="s">
        <v>2197</v>
      </c>
      <c r="E546" t="s">
        <v>1562</v>
      </c>
      <c r="F546" t="s">
        <v>1568</v>
      </c>
      <c r="G546">
        <v>640.0</v>
      </c>
      <c r="H546">
        <v>640.0</v>
      </c>
      <c r="I546" t="s">
        <v>570</v>
      </c>
      <c r="J546" t="s">
        <v>571</v>
      </c>
      <c r="K546" t="s">
        <v>31</v>
      </c>
      <c r="L546" t="s">
        <v>32</v>
      </c>
      <c r="M546" t="s">
        <v>33</v>
      </c>
      <c r="P546" s="1" t="s">
        <v>2198</v>
      </c>
      <c r="Q546" s="1" t="s">
        <v>1562</v>
      </c>
      <c r="R546" s="1" t="s">
        <v>1562</v>
      </c>
      <c r="S546" s="1"/>
      <c r="T546" s="1" t="s">
        <v>2197</v>
      </c>
      <c r="U546" s="1"/>
      <c r="V546" s="1">
        <v>640.0</v>
      </c>
      <c r="W546" s="1">
        <v>640.0</v>
      </c>
      <c r="X546" s="1" t="s">
        <v>35</v>
      </c>
      <c r="Y546" s="1">
        <v>640000.0</v>
      </c>
      <c r="Z546" s="1"/>
      <c r="AA546" s="1">
        <v>640000</v>
      </c>
      <c r="AB546" s="1"/>
      <c r="AC546" s="1" t="s">
        <v>36</v>
      </c>
      <c r="AD546" s="1" t="s">
        <v>2199</v>
      </c>
      <c r="AE546" s="1" t="s">
        <v>32</v>
      </c>
      <c r="AF546" s="1" t="s">
        <v>33</v>
      </c>
      <c r="AG546" s="1" t="s">
        <v>571</v>
      </c>
    </row>
    <row r="547" spans="1:33">
      <c r="A547" t="s">
        <v>2200</v>
      </c>
      <c r="B547" t="s">
        <v>2137</v>
      </c>
      <c r="C547" t="s">
        <v>2201</v>
      </c>
      <c r="E547" t="s">
        <v>1562</v>
      </c>
      <c r="F547" t="s">
        <v>1568</v>
      </c>
      <c r="G547">
        <v>767.0</v>
      </c>
      <c r="H547">
        <v>767.0</v>
      </c>
      <c r="I547" t="s">
        <v>529</v>
      </c>
      <c r="J547" t="s">
        <v>530</v>
      </c>
      <c r="K547" t="s">
        <v>31</v>
      </c>
      <c r="L547" t="s">
        <v>32</v>
      </c>
      <c r="M547" t="s">
        <v>33</v>
      </c>
      <c r="P547" s="1" t="s">
        <v>2202</v>
      </c>
      <c r="Q547" s="1" t="s">
        <v>1562</v>
      </c>
      <c r="R547" s="1" t="s">
        <v>822</v>
      </c>
      <c r="S547" s="1"/>
      <c r="T547" s="1" t="s">
        <v>2201</v>
      </c>
      <c r="U547" s="1"/>
      <c r="V547" s="1">
        <v>767.0</v>
      </c>
      <c r="W547" s="1">
        <v>767.0</v>
      </c>
      <c r="X547" s="1" t="s">
        <v>35</v>
      </c>
      <c r="Y547" s="1">
        <v>767000.0</v>
      </c>
      <c r="Z547" s="1"/>
      <c r="AA547" s="1">
        <v>767000</v>
      </c>
      <c r="AB547" s="1"/>
      <c r="AC547" s="1" t="s">
        <v>36</v>
      </c>
      <c r="AD547" s="1" t="s">
        <v>2203</v>
      </c>
      <c r="AE547" s="1" t="s">
        <v>32</v>
      </c>
      <c r="AF547" s="1" t="s">
        <v>33</v>
      </c>
      <c r="AG547" s="1" t="s">
        <v>530</v>
      </c>
    </row>
    <row r="548" spans="1:33">
      <c r="A548" t="s">
        <v>2204</v>
      </c>
      <c r="B548" t="s">
        <v>2205</v>
      </c>
      <c r="C548" t="s">
        <v>47</v>
      </c>
      <c r="E548" t="s">
        <v>1562</v>
      </c>
      <c r="F548" t="s">
        <v>1568</v>
      </c>
      <c r="G548">
        <v>50.78</v>
      </c>
      <c r="H548">
        <v>50.78</v>
      </c>
      <c r="I548" t="s">
        <v>2206</v>
      </c>
      <c r="J548" t="s">
        <v>49</v>
      </c>
      <c r="K548" t="s">
        <v>31</v>
      </c>
      <c r="L548" t="s">
        <v>32</v>
      </c>
      <c r="M548" t="s">
        <v>33</v>
      </c>
      <c r="P548" s="1" t="s">
        <v>2207</v>
      </c>
      <c r="Q548" s="1" t="s">
        <v>1562</v>
      </c>
      <c r="R548" s="1" t="s">
        <v>1562</v>
      </c>
      <c r="S548" s="1"/>
      <c r="T548" s="1" t="s">
        <v>47</v>
      </c>
      <c r="U548" s="1"/>
      <c r="V548" s="1">
        <v>50.78</v>
      </c>
      <c r="W548" s="1">
        <v>50.78</v>
      </c>
      <c r="X548" s="1" t="s">
        <v>35</v>
      </c>
      <c r="Y548" s="1">
        <v>50780.0</v>
      </c>
      <c r="Z548" s="1"/>
      <c r="AA548" s="1">
        <v>50780</v>
      </c>
      <c r="AB548" s="1"/>
      <c r="AC548" s="1" t="s">
        <v>36</v>
      </c>
      <c r="AD548" s="1" t="s">
        <v>2208</v>
      </c>
      <c r="AE548" s="1" t="s">
        <v>32</v>
      </c>
      <c r="AF548" s="1" t="s">
        <v>33</v>
      </c>
      <c r="AG548" s="1" t="s">
        <v>49</v>
      </c>
    </row>
    <row r="549" spans="1:33">
      <c r="A549" t="s">
        <v>2209</v>
      </c>
      <c r="C549" t="s">
        <v>2210</v>
      </c>
      <c r="D549" t="s">
        <v>114</v>
      </c>
      <c r="E549" t="s">
        <v>1562</v>
      </c>
      <c r="F549" t="s">
        <v>1568</v>
      </c>
      <c r="G549">
        <v>183.5</v>
      </c>
      <c r="H549">
        <v>183.5</v>
      </c>
      <c r="I549" t="s">
        <v>2206</v>
      </c>
      <c r="J549" t="s">
        <v>49</v>
      </c>
      <c r="K549" t="s">
        <v>31</v>
      </c>
      <c r="L549" t="s">
        <v>32</v>
      </c>
      <c r="M549" t="s">
        <v>33</v>
      </c>
      <c r="P549" s="1" t="s">
        <v>2211</v>
      </c>
      <c r="Q549" s="1" t="s">
        <v>1562</v>
      </c>
      <c r="R549" s="1" t="s">
        <v>1562</v>
      </c>
      <c r="S549" s="1"/>
      <c r="T549" s="1" t="s">
        <v>2212</v>
      </c>
      <c r="U549" s="1" t="s">
        <v>2213</v>
      </c>
      <c r="V549" s="1">
        <v>183.5</v>
      </c>
      <c r="W549" s="1">
        <v>183.5</v>
      </c>
      <c r="X549" s="1" t="s">
        <v>35</v>
      </c>
      <c r="Y549" s="1">
        <v>183500.0</v>
      </c>
      <c r="Z549" s="1"/>
      <c r="AA549" s="1">
        <v>183500</v>
      </c>
      <c r="AB549" s="1"/>
      <c r="AC549" s="1" t="s">
        <v>36</v>
      </c>
      <c r="AD549" s="1" t="s">
        <v>2214</v>
      </c>
      <c r="AE549" s="1" t="s">
        <v>32</v>
      </c>
      <c r="AF549" s="1" t="s">
        <v>33</v>
      </c>
      <c r="AG549" s="1" t="s">
        <v>49</v>
      </c>
    </row>
    <row r="550" spans="1:33">
      <c r="A550" t="s">
        <v>2215</v>
      </c>
      <c r="C550" t="s">
        <v>2216</v>
      </c>
      <c r="E550" t="s">
        <v>1562</v>
      </c>
      <c r="F550" t="s">
        <v>1568</v>
      </c>
      <c r="G550">
        <v>574.5</v>
      </c>
      <c r="H550">
        <v>574.5</v>
      </c>
      <c r="I550" t="s">
        <v>227</v>
      </c>
      <c r="J550" t="s">
        <v>228</v>
      </c>
      <c r="K550" t="s">
        <v>31</v>
      </c>
      <c r="L550" t="s">
        <v>32</v>
      </c>
      <c r="M550" t="s">
        <v>33</v>
      </c>
      <c r="P550" s="1" t="s">
        <v>2217</v>
      </c>
      <c r="Q550" s="1" t="s">
        <v>1562</v>
      </c>
      <c r="R550" s="1" t="s">
        <v>1562</v>
      </c>
      <c r="S550" s="1"/>
      <c r="T550" s="1" t="s">
        <v>2216</v>
      </c>
      <c r="U550" s="1"/>
      <c r="V550" s="1">
        <v>574.5</v>
      </c>
      <c r="W550" s="1">
        <v>574.5</v>
      </c>
      <c r="X550" s="1" t="s">
        <v>35</v>
      </c>
      <c r="Y550" s="1">
        <v>574500.0</v>
      </c>
      <c r="Z550" s="1"/>
      <c r="AA550" s="1">
        <v>574500</v>
      </c>
      <c r="AB550" s="1"/>
      <c r="AC550" s="1" t="s">
        <v>36</v>
      </c>
      <c r="AD550" s="1" t="s">
        <v>2218</v>
      </c>
      <c r="AE550" s="1" t="s">
        <v>32</v>
      </c>
      <c r="AF550" s="1" t="s">
        <v>33</v>
      </c>
      <c r="AG550" s="1" t="s">
        <v>228</v>
      </c>
    </row>
    <row r="551" spans="1:33">
      <c r="A551" t="s">
        <v>2219</v>
      </c>
      <c r="C551" t="s">
        <v>226</v>
      </c>
      <c r="E551" t="s">
        <v>1562</v>
      </c>
      <c r="F551" t="s">
        <v>1568</v>
      </c>
      <c r="G551">
        <v>1.07</v>
      </c>
      <c r="H551">
        <v>1.07</v>
      </c>
      <c r="I551" t="s">
        <v>227</v>
      </c>
      <c r="J551" t="s">
        <v>228</v>
      </c>
      <c r="K551" t="s">
        <v>31</v>
      </c>
      <c r="L551" t="s">
        <v>32</v>
      </c>
      <c r="M551" t="s">
        <v>33</v>
      </c>
      <c r="P551" s="1" t="s">
        <v>2220</v>
      </c>
      <c r="Q551" s="1" t="s">
        <v>1562</v>
      </c>
      <c r="R551" s="1" t="s">
        <v>1562</v>
      </c>
      <c r="S551" s="1"/>
      <c r="T551" s="1" t="s">
        <v>226</v>
      </c>
      <c r="U551" s="1"/>
      <c r="V551" s="1">
        <v>1.07</v>
      </c>
      <c r="W551" s="1">
        <v>1.07</v>
      </c>
      <c r="X551" s="1" t="s">
        <v>35</v>
      </c>
      <c r="Y551" s="1">
        <v>1070800.0</v>
      </c>
      <c r="Z551" s="1"/>
      <c r="AA551" s="1">
        <v>1070800</v>
      </c>
      <c r="AB551" s="1"/>
      <c r="AC551" s="1" t="s">
        <v>36</v>
      </c>
      <c r="AD551" s="1" t="s">
        <v>2221</v>
      </c>
      <c r="AE551" s="1" t="s">
        <v>32</v>
      </c>
      <c r="AF551" s="1" t="s">
        <v>33</v>
      </c>
      <c r="AG551" s="1" t="s">
        <v>228</v>
      </c>
    </row>
    <row r="552" spans="1:33">
      <c r="A552" t="s">
        <v>2222</v>
      </c>
      <c r="C552" t="s">
        <v>2223</v>
      </c>
      <c r="E552" t="s">
        <v>1562</v>
      </c>
      <c r="F552" t="s">
        <v>1568</v>
      </c>
      <c r="G552">
        <v>492.0</v>
      </c>
      <c r="H552">
        <v>492.0</v>
      </c>
      <c r="I552" t="s">
        <v>269</v>
      </c>
      <c r="J552" t="s">
        <v>270</v>
      </c>
      <c r="K552" t="s">
        <v>31</v>
      </c>
      <c r="L552" t="s">
        <v>32</v>
      </c>
      <c r="M552" t="s">
        <v>33</v>
      </c>
      <c r="P552" s="1" t="s">
        <v>2224</v>
      </c>
      <c r="Q552" s="1" t="s">
        <v>1562</v>
      </c>
      <c r="R552" s="1" t="s">
        <v>1562</v>
      </c>
      <c r="S552" s="1"/>
      <c r="T552" s="1" t="s">
        <v>2225</v>
      </c>
      <c r="U552" s="1" t="s">
        <v>2226</v>
      </c>
      <c r="V552" s="1">
        <v>492.0</v>
      </c>
      <c r="W552" s="1">
        <v>492.0</v>
      </c>
      <c r="X552" s="1" t="s">
        <v>35</v>
      </c>
      <c r="Y552" s="1">
        <v>492000.0</v>
      </c>
      <c r="Z552" s="1"/>
      <c r="AA552" s="1">
        <v>492000</v>
      </c>
      <c r="AB552" s="1"/>
      <c r="AC552" s="1" t="s">
        <v>36</v>
      </c>
      <c r="AD552" s="1" t="s">
        <v>2227</v>
      </c>
      <c r="AE552" s="1" t="s">
        <v>32</v>
      </c>
      <c r="AF552" s="1" t="s">
        <v>33</v>
      </c>
      <c r="AG552" s="1" t="s">
        <v>270</v>
      </c>
    </row>
    <row r="553" spans="1:33">
      <c r="A553" t="s">
        <v>2228</v>
      </c>
      <c r="C553" t="s">
        <v>1137</v>
      </c>
      <c r="E553" t="s">
        <v>1562</v>
      </c>
      <c r="F553" t="s">
        <v>1568</v>
      </c>
      <c r="G553">
        <v>790.0</v>
      </c>
      <c r="H553">
        <v>790.0</v>
      </c>
      <c r="I553" t="s">
        <v>269</v>
      </c>
      <c r="J553" t="s">
        <v>270</v>
      </c>
      <c r="K553" t="s">
        <v>31</v>
      </c>
      <c r="L553" t="s">
        <v>32</v>
      </c>
      <c r="M553" t="s">
        <v>33</v>
      </c>
      <c r="P553" s="1" t="s">
        <v>2229</v>
      </c>
      <c r="Q553" s="1" t="s">
        <v>1562</v>
      </c>
      <c r="R553" s="1" t="s">
        <v>1562</v>
      </c>
      <c r="S553" s="1"/>
      <c r="T553" s="1" t="s">
        <v>1139</v>
      </c>
      <c r="U553" s="1" t="s">
        <v>1140</v>
      </c>
      <c r="V553" s="1">
        <v>790.0</v>
      </c>
      <c r="W553" s="1">
        <v>790.0</v>
      </c>
      <c r="X553" s="1" t="s">
        <v>35</v>
      </c>
      <c r="Y553" s="1">
        <v>790000.0</v>
      </c>
      <c r="Z553" s="1"/>
      <c r="AA553" s="1">
        <v>790000</v>
      </c>
      <c r="AB553" s="1"/>
      <c r="AC553" s="1" t="s">
        <v>36</v>
      </c>
      <c r="AD553" s="1" t="s">
        <v>2230</v>
      </c>
      <c r="AE553" s="1" t="s">
        <v>32</v>
      </c>
      <c r="AF553" s="1" t="s">
        <v>33</v>
      </c>
      <c r="AG553" s="1" t="s">
        <v>270</v>
      </c>
    </row>
    <row r="554" spans="1:33">
      <c r="A554" t="s">
        <v>2231</v>
      </c>
      <c r="C554" t="s">
        <v>2232</v>
      </c>
      <c r="E554" t="s">
        <v>1562</v>
      </c>
      <c r="F554" t="s">
        <v>1568</v>
      </c>
      <c r="G554">
        <v>656.0</v>
      </c>
      <c r="H554">
        <v>656.0</v>
      </c>
      <c r="I554" t="s">
        <v>269</v>
      </c>
      <c r="J554" t="s">
        <v>270</v>
      </c>
      <c r="K554" t="s">
        <v>31</v>
      </c>
      <c r="L554" t="s">
        <v>32</v>
      </c>
      <c r="M554" t="s">
        <v>33</v>
      </c>
      <c r="P554" s="1" t="s">
        <v>2233</v>
      </c>
      <c r="Q554" s="1" t="s">
        <v>1562</v>
      </c>
      <c r="R554" s="1" t="s">
        <v>1562</v>
      </c>
      <c r="S554" s="1"/>
      <c r="T554" s="1" t="s">
        <v>2232</v>
      </c>
      <c r="U554" s="1"/>
      <c r="V554" s="1">
        <v>656.0</v>
      </c>
      <c r="W554" s="1">
        <v>656.0</v>
      </c>
      <c r="X554" s="1" t="s">
        <v>35</v>
      </c>
      <c r="Y554" s="1">
        <v>656000.0</v>
      </c>
      <c r="Z554" s="1"/>
      <c r="AA554" s="1">
        <v>656000</v>
      </c>
      <c r="AB554" s="1"/>
      <c r="AC554" s="1" t="s">
        <v>36</v>
      </c>
      <c r="AD554" s="1" t="s">
        <v>2234</v>
      </c>
      <c r="AE554" s="1" t="s">
        <v>32</v>
      </c>
      <c r="AF554" s="1" t="s">
        <v>33</v>
      </c>
      <c r="AG554" s="1" t="s">
        <v>270</v>
      </c>
    </row>
    <row r="555" spans="1:33">
      <c r="A555" t="s">
        <v>2235</v>
      </c>
      <c r="C555" t="s">
        <v>2236</v>
      </c>
      <c r="E555" t="s">
        <v>1562</v>
      </c>
      <c r="F555" t="s">
        <v>1568</v>
      </c>
      <c r="G555">
        <v>695.6</v>
      </c>
      <c r="H555">
        <v>695.6</v>
      </c>
      <c r="I555" t="s">
        <v>269</v>
      </c>
      <c r="J555" t="s">
        <v>270</v>
      </c>
      <c r="K555" t="s">
        <v>31</v>
      </c>
      <c r="L555" t="s">
        <v>32</v>
      </c>
      <c r="M555" t="s">
        <v>33</v>
      </c>
      <c r="P555" s="1" t="s">
        <v>2237</v>
      </c>
      <c r="Q555" s="1" t="s">
        <v>1562</v>
      </c>
      <c r="R555" s="1" t="s">
        <v>1562</v>
      </c>
      <c r="S555" s="1"/>
      <c r="T555" s="1" t="s">
        <v>2236</v>
      </c>
      <c r="U555" s="1"/>
      <c r="V555" s="1">
        <v>695.6</v>
      </c>
      <c r="W555" s="1">
        <v>695.6</v>
      </c>
      <c r="X555" s="1" t="s">
        <v>35</v>
      </c>
      <c r="Y555" s="1">
        <v>695600.0</v>
      </c>
      <c r="Z555" s="1"/>
      <c r="AA555" s="1">
        <v>695600</v>
      </c>
      <c r="AB555" s="1"/>
      <c r="AC555" s="1" t="s">
        <v>36</v>
      </c>
      <c r="AD555" s="1" t="s">
        <v>2238</v>
      </c>
      <c r="AE555" s="1" t="s">
        <v>32</v>
      </c>
      <c r="AF555" s="1" t="s">
        <v>33</v>
      </c>
      <c r="AG555" s="1" t="s">
        <v>270</v>
      </c>
    </row>
    <row r="556" spans="1:33">
      <c r="A556" t="s">
        <v>2239</v>
      </c>
      <c r="C556" t="s">
        <v>2240</v>
      </c>
      <c r="E556" t="s">
        <v>1562</v>
      </c>
      <c r="F556" t="s">
        <v>1568</v>
      </c>
      <c r="G556">
        <v>328.0</v>
      </c>
      <c r="H556">
        <v>328.0</v>
      </c>
      <c r="I556" t="s">
        <v>269</v>
      </c>
      <c r="J556" t="s">
        <v>270</v>
      </c>
      <c r="K556" t="s">
        <v>31</v>
      </c>
      <c r="L556" t="s">
        <v>32</v>
      </c>
      <c r="M556" t="s">
        <v>33</v>
      </c>
      <c r="P556" s="1" t="s">
        <v>2241</v>
      </c>
      <c r="Q556" s="1" t="s">
        <v>1562</v>
      </c>
      <c r="R556" s="1" t="s">
        <v>1562</v>
      </c>
      <c r="S556" s="1"/>
      <c r="T556" s="1" t="s">
        <v>2240</v>
      </c>
      <c r="U556" s="1"/>
      <c r="V556" s="1">
        <v>328.0</v>
      </c>
      <c r="W556" s="1">
        <v>328.0</v>
      </c>
      <c r="X556" s="1" t="s">
        <v>35</v>
      </c>
      <c r="Y556" s="1">
        <v>328000.0</v>
      </c>
      <c r="Z556" s="1"/>
      <c r="AA556" s="1">
        <v>328000</v>
      </c>
      <c r="AB556" s="1"/>
      <c r="AC556" s="1" t="s">
        <v>36</v>
      </c>
      <c r="AD556" s="1" t="s">
        <v>2242</v>
      </c>
      <c r="AE556" s="1" t="s">
        <v>32</v>
      </c>
      <c r="AF556" s="1" t="s">
        <v>33</v>
      </c>
      <c r="AG556" s="1" t="s">
        <v>270</v>
      </c>
    </row>
    <row r="557" spans="1:33">
      <c r="A557" t="s">
        <v>2243</v>
      </c>
      <c r="C557" t="s">
        <v>1197</v>
      </c>
      <c r="D557" t="s">
        <v>154</v>
      </c>
      <c r="E557" t="s">
        <v>1562</v>
      </c>
      <c r="F557" t="s">
        <v>1568</v>
      </c>
      <c r="G557">
        <v>1.191</v>
      </c>
      <c r="H557">
        <v>1.191</v>
      </c>
      <c r="I557" t="s">
        <v>269</v>
      </c>
      <c r="J557" t="s">
        <v>270</v>
      </c>
      <c r="K557" t="s">
        <v>31</v>
      </c>
      <c r="L557" t="s">
        <v>32</v>
      </c>
      <c r="M557" t="s">
        <v>33</v>
      </c>
      <c r="P557" s="1" t="s">
        <v>2244</v>
      </c>
      <c r="Q557" s="1" t="s">
        <v>1562</v>
      </c>
      <c r="R557" s="1" t="s">
        <v>1562</v>
      </c>
      <c r="S557" s="1"/>
      <c r="T557" s="1" t="s">
        <v>1197</v>
      </c>
      <c r="U557" s="1"/>
      <c r="V557" s="1">
        <v>1.191</v>
      </c>
      <c r="W557" s="1">
        <v>1.191</v>
      </c>
      <c r="X557" s="1" t="s">
        <v>35</v>
      </c>
      <c r="Y557" s="1">
        <v>1191300.0</v>
      </c>
      <c r="Z557" s="1"/>
      <c r="AA557" s="1">
        <v>1191300</v>
      </c>
      <c r="AB557" s="1"/>
      <c r="AC557" s="1" t="s">
        <v>36</v>
      </c>
      <c r="AD557" s="1" t="s">
        <v>2245</v>
      </c>
      <c r="AE557" s="1" t="s">
        <v>32</v>
      </c>
      <c r="AF557" s="1" t="s">
        <v>33</v>
      </c>
      <c r="AG557" s="1" t="s">
        <v>270</v>
      </c>
    </row>
    <row r="558" spans="1:33">
      <c r="A558" t="s">
        <v>2246</v>
      </c>
      <c r="C558" t="s">
        <v>2247</v>
      </c>
      <c r="D558" t="s">
        <v>154</v>
      </c>
      <c r="E558" t="s">
        <v>1562</v>
      </c>
      <c r="F558" t="s">
        <v>1568</v>
      </c>
      <c r="G558">
        <v>873.0</v>
      </c>
      <c r="H558">
        <v>873.0</v>
      </c>
      <c r="I558" t="s">
        <v>269</v>
      </c>
      <c r="J558" t="s">
        <v>270</v>
      </c>
      <c r="K558" t="s">
        <v>31</v>
      </c>
      <c r="L558" t="s">
        <v>32</v>
      </c>
      <c r="M558" t="s">
        <v>33</v>
      </c>
      <c r="P558" s="1" t="s">
        <v>2248</v>
      </c>
      <c r="Q558" s="1" t="s">
        <v>1562</v>
      </c>
      <c r="R558" s="1" t="s">
        <v>1562</v>
      </c>
      <c r="S558" s="1"/>
      <c r="T558" s="1" t="s">
        <v>2247</v>
      </c>
      <c r="U558" s="1"/>
      <c r="V558" s="1">
        <v>873.0</v>
      </c>
      <c r="W558" s="1">
        <v>873.0</v>
      </c>
      <c r="X558" s="1" t="s">
        <v>35</v>
      </c>
      <c r="Y558" s="1">
        <v>873000.0</v>
      </c>
      <c r="Z558" s="1"/>
      <c r="AA558" s="1">
        <v>873000</v>
      </c>
      <c r="AB558" s="1"/>
      <c r="AC558" s="1" t="s">
        <v>36</v>
      </c>
      <c r="AD558" s="1" t="s">
        <v>2249</v>
      </c>
      <c r="AE558" s="1" t="s">
        <v>32</v>
      </c>
      <c r="AF558" s="1" t="s">
        <v>33</v>
      </c>
      <c r="AG558" s="1" t="s">
        <v>270</v>
      </c>
    </row>
    <row r="559" spans="1:33">
      <c r="A559" t="s">
        <v>2250</v>
      </c>
      <c r="B559" t="s">
        <v>2251</v>
      </c>
      <c r="C559" t="s">
        <v>268</v>
      </c>
      <c r="E559" t="s">
        <v>1562</v>
      </c>
      <c r="F559" t="s">
        <v>1568</v>
      </c>
      <c r="G559">
        <v>386.55</v>
      </c>
      <c r="H559">
        <v>386.55</v>
      </c>
      <c r="I559" t="s">
        <v>269</v>
      </c>
      <c r="J559" t="s">
        <v>270</v>
      </c>
      <c r="K559" t="s">
        <v>31</v>
      </c>
      <c r="L559" t="s">
        <v>32</v>
      </c>
      <c r="M559" t="s">
        <v>33</v>
      </c>
      <c r="P559" s="1" t="s">
        <v>2252</v>
      </c>
      <c r="Q559" s="1" t="s">
        <v>1562</v>
      </c>
      <c r="R559" s="1" t="s">
        <v>1562</v>
      </c>
      <c r="S559" s="1"/>
      <c r="T559" s="1" t="s">
        <v>268</v>
      </c>
      <c r="U559" s="1"/>
      <c r="V559" s="1">
        <v>386.55</v>
      </c>
      <c r="W559" s="1">
        <v>386.55</v>
      </c>
      <c r="X559" s="1" t="s">
        <v>35</v>
      </c>
      <c r="Y559" s="1">
        <v>386550.0</v>
      </c>
      <c r="Z559" s="1"/>
      <c r="AA559" s="1">
        <v>386550</v>
      </c>
      <c r="AB559" s="1"/>
      <c r="AC559" s="1" t="s">
        <v>36</v>
      </c>
      <c r="AD559" s="1" t="s">
        <v>2253</v>
      </c>
      <c r="AE559" s="1" t="s">
        <v>32</v>
      </c>
      <c r="AF559" s="1" t="s">
        <v>33</v>
      </c>
      <c r="AG559" s="1" t="s">
        <v>270</v>
      </c>
    </row>
    <row r="560" spans="1:33">
      <c r="A560" t="s">
        <v>2254</v>
      </c>
      <c r="B560" t="s">
        <v>2255</v>
      </c>
      <c r="C560" t="s">
        <v>268</v>
      </c>
      <c r="E560" t="s">
        <v>1562</v>
      </c>
      <c r="F560" t="s">
        <v>1568</v>
      </c>
      <c r="G560">
        <v>74.05</v>
      </c>
      <c r="H560">
        <v>74.05</v>
      </c>
      <c r="I560" t="s">
        <v>269</v>
      </c>
      <c r="J560" t="s">
        <v>270</v>
      </c>
      <c r="K560" t="s">
        <v>31</v>
      </c>
      <c r="L560" t="s">
        <v>32</v>
      </c>
      <c r="M560" t="s">
        <v>33</v>
      </c>
      <c r="P560" s="1" t="s">
        <v>2256</v>
      </c>
      <c r="Q560" s="1" t="s">
        <v>1562</v>
      </c>
      <c r="R560" s="1" t="s">
        <v>1562</v>
      </c>
      <c r="S560" s="1"/>
      <c r="T560" s="1" t="s">
        <v>268</v>
      </c>
      <c r="U560" s="1"/>
      <c r="V560" s="1">
        <v>74.05</v>
      </c>
      <c r="W560" s="1">
        <v>74.05</v>
      </c>
      <c r="X560" s="1" t="s">
        <v>35</v>
      </c>
      <c r="Y560" s="1">
        <v>74050.0</v>
      </c>
      <c r="Z560" s="1"/>
      <c r="AA560" s="1">
        <v>74050</v>
      </c>
      <c r="AB560" s="1"/>
      <c r="AC560" s="1" t="s">
        <v>36</v>
      </c>
      <c r="AD560" s="1" t="s">
        <v>2257</v>
      </c>
      <c r="AE560" s="1" t="s">
        <v>32</v>
      </c>
      <c r="AF560" s="1" t="s">
        <v>33</v>
      </c>
      <c r="AG560" s="1" t="s">
        <v>270</v>
      </c>
    </row>
    <row r="561" spans="1:33">
      <c r="A561" t="s">
        <v>2258</v>
      </c>
      <c r="C561" t="s">
        <v>609</v>
      </c>
      <c r="E561" t="s">
        <v>1562</v>
      </c>
      <c r="F561" t="s">
        <v>1568</v>
      </c>
      <c r="G561">
        <v>508.0</v>
      </c>
      <c r="H561">
        <v>508.0</v>
      </c>
      <c r="I561" t="s">
        <v>269</v>
      </c>
      <c r="J561" t="s">
        <v>270</v>
      </c>
      <c r="K561" t="s">
        <v>31</v>
      </c>
      <c r="L561" t="s">
        <v>32</v>
      </c>
      <c r="M561" t="s">
        <v>33</v>
      </c>
      <c r="P561" s="1" t="s">
        <v>2259</v>
      </c>
      <c r="Q561" s="1" t="s">
        <v>1562</v>
      </c>
      <c r="R561" s="1" t="s">
        <v>1562</v>
      </c>
      <c r="S561" s="1"/>
      <c r="T561" s="1" t="s">
        <v>609</v>
      </c>
      <c r="U561" s="1"/>
      <c r="V561" s="1">
        <v>508.0</v>
      </c>
      <c r="W561" s="1">
        <v>508.0</v>
      </c>
      <c r="X561" s="1" t="s">
        <v>35</v>
      </c>
      <c r="Y561" s="1">
        <v>508000.0</v>
      </c>
      <c r="Z561" s="1"/>
      <c r="AA561" s="1">
        <v>508000</v>
      </c>
      <c r="AB561" s="1"/>
      <c r="AC561" s="1" t="s">
        <v>36</v>
      </c>
      <c r="AD561" s="1" t="s">
        <v>2260</v>
      </c>
      <c r="AE561" s="1" t="s">
        <v>32</v>
      </c>
      <c r="AF561" s="1" t="s">
        <v>33</v>
      </c>
      <c r="AG561" s="1" t="s">
        <v>270</v>
      </c>
    </row>
    <row r="562" spans="1:33">
      <c r="A562" t="s">
        <v>2261</v>
      </c>
      <c r="C562" t="s">
        <v>2262</v>
      </c>
      <c r="E562" t="s">
        <v>1562</v>
      </c>
      <c r="F562" t="s">
        <v>1568</v>
      </c>
      <c r="G562">
        <v>1.954</v>
      </c>
      <c r="H562">
        <v>1.954</v>
      </c>
      <c r="I562" t="s">
        <v>269</v>
      </c>
      <c r="J562" t="s">
        <v>270</v>
      </c>
      <c r="K562" t="s">
        <v>31</v>
      </c>
      <c r="L562" t="s">
        <v>32</v>
      </c>
      <c r="M562" t="s">
        <v>33</v>
      </c>
      <c r="P562" s="1" t="s">
        <v>2263</v>
      </c>
      <c r="Q562" s="1" t="s">
        <v>1562</v>
      </c>
      <c r="R562" s="1" t="s">
        <v>1562</v>
      </c>
      <c r="S562" s="1"/>
      <c r="T562" s="1" t="s">
        <v>2262</v>
      </c>
      <c r="U562" s="1"/>
      <c r="V562" s="1">
        <v>1.954</v>
      </c>
      <c r="W562" s="1">
        <v>1.954</v>
      </c>
      <c r="X562" s="1" t="s">
        <v>35</v>
      </c>
      <c r="Y562" s="1">
        <v>1954000.0</v>
      </c>
      <c r="Z562" s="1"/>
      <c r="AA562" s="1">
        <v>1954000</v>
      </c>
      <c r="AB562" s="1"/>
      <c r="AC562" s="1" t="s">
        <v>36</v>
      </c>
      <c r="AD562" s="1" t="s">
        <v>2264</v>
      </c>
      <c r="AE562" s="1" t="s">
        <v>32</v>
      </c>
      <c r="AF562" s="1" t="s">
        <v>33</v>
      </c>
      <c r="AG562" s="1" t="s">
        <v>270</v>
      </c>
    </row>
    <row r="563" spans="1:33">
      <c r="A563" t="s">
        <v>2265</v>
      </c>
      <c r="C563" t="s">
        <v>2266</v>
      </c>
      <c r="E563" t="s">
        <v>1562</v>
      </c>
      <c r="F563" t="s">
        <v>1568</v>
      </c>
      <c r="G563">
        <v>1.027</v>
      </c>
      <c r="H563">
        <v>1.027</v>
      </c>
      <c r="I563" t="s">
        <v>269</v>
      </c>
      <c r="J563" t="s">
        <v>270</v>
      </c>
      <c r="K563" t="s">
        <v>31</v>
      </c>
      <c r="L563" t="s">
        <v>32</v>
      </c>
      <c r="M563" t="s">
        <v>33</v>
      </c>
      <c r="P563" s="1" t="s">
        <v>2267</v>
      </c>
      <c r="Q563" s="1" t="s">
        <v>1562</v>
      </c>
      <c r="R563" s="1" t="s">
        <v>1562</v>
      </c>
      <c r="S563" s="1"/>
      <c r="T563" s="1" t="s">
        <v>2266</v>
      </c>
      <c r="U563" s="1"/>
      <c r="V563" s="1">
        <v>1.027</v>
      </c>
      <c r="W563" s="1">
        <v>1.027</v>
      </c>
      <c r="X563" s="1" t="s">
        <v>35</v>
      </c>
      <c r="Y563" s="1">
        <v>1027000.0</v>
      </c>
      <c r="Z563" s="1"/>
      <c r="AA563" s="1">
        <v>1027000</v>
      </c>
      <c r="AB563" s="1"/>
      <c r="AC563" s="1" t="s">
        <v>36</v>
      </c>
      <c r="AD563" s="1" t="s">
        <v>2268</v>
      </c>
      <c r="AE563" s="1" t="s">
        <v>32</v>
      </c>
      <c r="AF563" s="1" t="s">
        <v>33</v>
      </c>
      <c r="AG563" s="1" t="s">
        <v>270</v>
      </c>
    </row>
    <row r="564" spans="1:33">
      <c r="A564" t="s">
        <v>2269</v>
      </c>
      <c r="C564" t="s">
        <v>2270</v>
      </c>
      <c r="E564" t="s">
        <v>1562</v>
      </c>
      <c r="F564" t="s">
        <v>1568</v>
      </c>
      <c r="G564">
        <v>17.5</v>
      </c>
      <c r="H564">
        <v>17.5</v>
      </c>
      <c r="I564" t="s">
        <v>269</v>
      </c>
      <c r="J564" t="s">
        <v>270</v>
      </c>
      <c r="K564" t="s">
        <v>31</v>
      </c>
      <c r="L564" t="s">
        <v>32</v>
      </c>
      <c r="M564" t="s">
        <v>33</v>
      </c>
      <c r="P564" s="1" t="s">
        <v>2271</v>
      </c>
      <c r="Q564" s="1" t="s">
        <v>1562</v>
      </c>
      <c r="R564" s="1" t="s">
        <v>1562</v>
      </c>
      <c r="S564" s="1"/>
      <c r="T564" s="1" t="s">
        <v>2270</v>
      </c>
      <c r="U564" s="1"/>
      <c r="V564" s="1">
        <v>17.5</v>
      </c>
      <c r="W564" s="1">
        <v>17.5</v>
      </c>
      <c r="X564" s="1" t="s">
        <v>35</v>
      </c>
      <c r="Y564" s="1">
        <v>17500.0</v>
      </c>
      <c r="Z564" s="1"/>
      <c r="AA564" s="1">
        <v>17500</v>
      </c>
      <c r="AB564" s="1"/>
      <c r="AC564" s="1" t="s">
        <v>36</v>
      </c>
      <c r="AD564" s="1" t="s">
        <v>2272</v>
      </c>
      <c r="AE564" s="1" t="s">
        <v>32</v>
      </c>
      <c r="AF564" s="1" t="s">
        <v>33</v>
      </c>
      <c r="AG564" s="1" t="s">
        <v>270</v>
      </c>
    </row>
    <row r="565" spans="1:33">
      <c r="A565" t="s">
        <v>2273</v>
      </c>
      <c r="C565" t="s">
        <v>338</v>
      </c>
      <c r="E565" t="s">
        <v>1562</v>
      </c>
      <c r="F565" t="s">
        <v>1568</v>
      </c>
      <c r="G565">
        <v>352.0</v>
      </c>
      <c r="H565">
        <v>352.0</v>
      </c>
      <c r="I565" t="s">
        <v>179</v>
      </c>
      <c r="J565" t="s">
        <v>180</v>
      </c>
      <c r="K565" t="s">
        <v>31</v>
      </c>
      <c r="L565" t="s">
        <v>32</v>
      </c>
      <c r="M565" t="s">
        <v>33</v>
      </c>
      <c r="P565" s="1" t="s">
        <v>2274</v>
      </c>
      <c r="Q565" s="1" t="s">
        <v>1562</v>
      </c>
      <c r="R565" s="1" t="s">
        <v>1562</v>
      </c>
      <c r="S565" s="1"/>
      <c r="T565" s="1" t="s">
        <v>338</v>
      </c>
      <c r="U565" s="1"/>
      <c r="V565" s="1">
        <v>352.0</v>
      </c>
      <c r="W565" s="1">
        <v>352.0</v>
      </c>
      <c r="X565" s="1" t="s">
        <v>35</v>
      </c>
      <c r="Y565" s="1">
        <v>352000.0</v>
      </c>
      <c r="Z565" s="1"/>
      <c r="AA565" s="1">
        <v>352000</v>
      </c>
      <c r="AB565" s="1"/>
      <c r="AC565" s="1" t="s">
        <v>36</v>
      </c>
      <c r="AD565" s="1" t="s">
        <v>2275</v>
      </c>
      <c r="AE565" s="1" t="s">
        <v>32</v>
      </c>
      <c r="AF565" s="1" t="s">
        <v>33</v>
      </c>
      <c r="AG565" s="1" t="s">
        <v>180</v>
      </c>
    </row>
    <row r="566" spans="1:33">
      <c r="A566" t="s">
        <v>2276</v>
      </c>
      <c r="C566" t="s">
        <v>771</v>
      </c>
      <c r="E566" t="s">
        <v>1562</v>
      </c>
      <c r="F566" t="s">
        <v>1568</v>
      </c>
      <c r="G566">
        <v>1.168</v>
      </c>
      <c r="H566">
        <v>1.168</v>
      </c>
      <c r="I566" t="s">
        <v>269</v>
      </c>
      <c r="J566" t="s">
        <v>270</v>
      </c>
      <c r="K566" t="s">
        <v>31</v>
      </c>
      <c r="L566" t="s">
        <v>32</v>
      </c>
      <c r="M566" t="s">
        <v>33</v>
      </c>
      <c r="P566" s="1" t="s">
        <v>2277</v>
      </c>
      <c r="Q566" s="1" t="s">
        <v>1562</v>
      </c>
      <c r="R566" s="1" t="s">
        <v>1562</v>
      </c>
      <c r="S566" s="1"/>
      <c r="T566" s="1" t="s">
        <v>771</v>
      </c>
      <c r="U566" s="1"/>
      <c r="V566" s="1">
        <v>1.168</v>
      </c>
      <c r="W566" s="1">
        <v>1.168</v>
      </c>
      <c r="X566" s="1" t="s">
        <v>35</v>
      </c>
      <c r="Y566" s="1">
        <v>1168000.0</v>
      </c>
      <c r="Z566" s="1"/>
      <c r="AA566" s="1">
        <v>1168000</v>
      </c>
      <c r="AB566" s="1"/>
      <c r="AC566" s="1" t="s">
        <v>36</v>
      </c>
      <c r="AD566" s="1" t="s">
        <v>2278</v>
      </c>
      <c r="AE566" s="1" t="s">
        <v>32</v>
      </c>
      <c r="AF566" s="1" t="s">
        <v>33</v>
      </c>
      <c r="AG566" s="1" t="s">
        <v>270</v>
      </c>
    </row>
    <row r="567" spans="1:33">
      <c r="A567" t="s">
        <v>2279</v>
      </c>
      <c r="C567" t="s">
        <v>2280</v>
      </c>
      <c r="E567" t="s">
        <v>1562</v>
      </c>
      <c r="F567" t="s">
        <v>1568</v>
      </c>
      <c r="G567">
        <v>902.5</v>
      </c>
      <c r="H567">
        <v>902.5</v>
      </c>
      <c r="I567" t="s">
        <v>269</v>
      </c>
      <c r="J567" t="s">
        <v>270</v>
      </c>
      <c r="K567" t="s">
        <v>31</v>
      </c>
      <c r="L567" t="s">
        <v>32</v>
      </c>
      <c r="M567" t="s">
        <v>33</v>
      </c>
      <c r="P567" s="1" t="s">
        <v>2281</v>
      </c>
      <c r="Q567" s="1" t="s">
        <v>1562</v>
      </c>
      <c r="R567" s="1" t="s">
        <v>1562</v>
      </c>
      <c r="S567" s="1"/>
      <c r="T567" s="1" t="s">
        <v>2280</v>
      </c>
      <c r="U567" s="1"/>
      <c r="V567" s="1">
        <v>902.5</v>
      </c>
      <c r="W567" s="1">
        <v>902.5</v>
      </c>
      <c r="X567" s="1" t="s">
        <v>35</v>
      </c>
      <c r="Y567" s="1">
        <v>902500.0</v>
      </c>
      <c r="Z567" s="1"/>
      <c r="AA567" s="1">
        <v>902500</v>
      </c>
      <c r="AB567" s="1"/>
      <c r="AC567" s="1" t="s">
        <v>36</v>
      </c>
      <c r="AD567" s="1" t="s">
        <v>2282</v>
      </c>
      <c r="AE567" s="1" t="s">
        <v>32</v>
      </c>
      <c r="AF567" s="1" t="s">
        <v>33</v>
      </c>
      <c r="AG567" s="1" t="s">
        <v>270</v>
      </c>
    </row>
    <row r="568" spans="1:33">
      <c r="A568" t="s">
        <v>2283</v>
      </c>
      <c r="C568" t="s">
        <v>2284</v>
      </c>
      <c r="E568" t="s">
        <v>1562</v>
      </c>
      <c r="F568" t="s">
        <v>1568</v>
      </c>
      <c r="G568">
        <v>2.848</v>
      </c>
      <c r="H568">
        <v>2.848</v>
      </c>
      <c r="I568" t="s">
        <v>269</v>
      </c>
      <c r="J568" t="s">
        <v>270</v>
      </c>
      <c r="K568" t="s">
        <v>31</v>
      </c>
      <c r="L568" t="s">
        <v>32</v>
      </c>
      <c r="M568" t="s">
        <v>33</v>
      </c>
      <c r="P568" s="1" t="s">
        <v>2285</v>
      </c>
      <c r="Q568" s="1" t="s">
        <v>1562</v>
      </c>
      <c r="R568" s="1" t="s">
        <v>1562</v>
      </c>
      <c r="S568" s="1"/>
      <c r="T568" s="1" t="s">
        <v>2284</v>
      </c>
      <c r="U568" s="1"/>
      <c r="V568" s="1">
        <v>2.848</v>
      </c>
      <c r="W568" s="1">
        <v>2.848</v>
      </c>
      <c r="X568" s="1" t="s">
        <v>35</v>
      </c>
      <c r="Y568" s="1">
        <v>2848000.0</v>
      </c>
      <c r="Z568" s="1"/>
      <c r="AA568" s="1">
        <v>2848000</v>
      </c>
      <c r="AB568" s="1"/>
      <c r="AC568" s="1" t="s">
        <v>36</v>
      </c>
      <c r="AD568" s="1" t="s">
        <v>2286</v>
      </c>
      <c r="AE568" s="1" t="s">
        <v>32</v>
      </c>
      <c r="AF568" s="1" t="s">
        <v>33</v>
      </c>
      <c r="AG568" s="1" t="s">
        <v>270</v>
      </c>
    </row>
    <row r="569" spans="1:33">
      <c r="A569" t="s">
        <v>2287</v>
      </c>
      <c r="C569" t="s">
        <v>558</v>
      </c>
      <c r="D569" t="s">
        <v>154</v>
      </c>
      <c r="E569" t="s">
        <v>1562</v>
      </c>
      <c r="F569" t="s">
        <v>1568</v>
      </c>
      <c r="G569">
        <v>42.0</v>
      </c>
      <c r="H569">
        <v>42.0</v>
      </c>
      <c r="I569" t="s">
        <v>269</v>
      </c>
      <c r="J569" t="s">
        <v>270</v>
      </c>
      <c r="K569" t="s">
        <v>31</v>
      </c>
      <c r="L569" t="s">
        <v>32</v>
      </c>
      <c r="M569" t="s">
        <v>33</v>
      </c>
      <c r="P569" s="1" t="s">
        <v>2288</v>
      </c>
      <c r="Q569" s="1" t="s">
        <v>1562</v>
      </c>
      <c r="R569" s="1" t="s">
        <v>1562</v>
      </c>
      <c r="S569" s="1"/>
      <c r="T569" s="1" t="s">
        <v>560</v>
      </c>
      <c r="U569" s="1" t="s">
        <v>561</v>
      </c>
      <c r="V569" s="1">
        <v>42.0</v>
      </c>
      <c r="W569" s="1">
        <v>42.0</v>
      </c>
      <c r="X569" s="1" t="s">
        <v>35</v>
      </c>
      <c r="Y569" s="1">
        <v>42000.0</v>
      </c>
      <c r="Z569" s="1"/>
      <c r="AA569" s="1">
        <v>42000</v>
      </c>
      <c r="AB569" s="1"/>
      <c r="AC569" s="1" t="s">
        <v>36</v>
      </c>
      <c r="AD569" s="1" t="s">
        <v>2289</v>
      </c>
      <c r="AE569" s="1" t="s">
        <v>32</v>
      </c>
      <c r="AF569" s="1" t="s">
        <v>33</v>
      </c>
      <c r="AG569" s="1" t="s">
        <v>270</v>
      </c>
    </row>
    <row r="570" spans="1:33">
      <c r="A570" t="s">
        <v>2290</v>
      </c>
      <c r="B570" t="s">
        <v>2291</v>
      </c>
      <c r="C570" t="s">
        <v>73</v>
      </c>
      <c r="E570" t="s">
        <v>2292</v>
      </c>
      <c r="F570" t="s">
        <v>2293</v>
      </c>
      <c r="G570">
        <v>8.069</v>
      </c>
      <c r="H570">
        <v>8.069</v>
      </c>
      <c r="I570" t="s">
        <v>40</v>
      </c>
      <c r="J570" t="s">
        <v>41</v>
      </c>
      <c r="K570" t="s">
        <v>31</v>
      </c>
      <c r="L570" t="s">
        <v>32</v>
      </c>
      <c r="M570" t="s">
        <v>33</v>
      </c>
      <c r="P570" s="1" t="s">
        <v>2294</v>
      </c>
      <c r="Q570" s="1" t="s">
        <v>2292</v>
      </c>
      <c r="R570" s="1" t="s">
        <v>1562</v>
      </c>
      <c r="S570" s="1"/>
      <c r="T570" s="1" t="s">
        <v>75</v>
      </c>
      <c r="U570" s="1" t="s">
        <v>76</v>
      </c>
      <c r="V570" s="1">
        <v>8.069</v>
      </c>
      <c r="W570" s="1">
        <v>8.069</v>
      </c>
      <c r="X570" s="1" t="s">
        <v>35</v>
      </c>
      <c r="Y570" s="1">
        <v>8069.0</v>
      </c>
      <c r="Z570" s="1"/>
      <c r="AA570" s="1">
        <v>8069</v>
      </c>
      <c r="AB570" s="1"/>
      <c r="AC570" s="1" t="s">
        <v>36</v>
      </c>
      <c r="AD570" s="1" t="s">
        <v>761</v>
      </c>
      <c r="AE570" s="1" t="s">
        <v>32</v>
      </c>
      <c r="AF570" s="1" t="s">
        <v>33</v>
      </c>
      <c r="AG570" s="1" t="s">
        <v>41</v>
      </c>
    </row>
    <row r="571" spans="1:33">
      <c r="A571" t="s">
        <v>2295</v>
      </c>
      <c r="B571" t="s">
        <v>2296</v>
      </c>
      <c r="C571" t="s">
        <v>172</v>
      </c>
      <c r="E571" t="s">
        <v>2292</v>
      </c>
      <c r="F571" t="s">
        <v>2293</v>
      </c>
      <c r="G571">
        <v>18.176</v>
      </c>
      <c r="H571">
        <v>18.176</v>
      </c>
      <c r="I571" t="s">
        <v>173</v>
      </c>
      <c r="J571" t="s">
        <v>174</v>
      </c>
      <c r="K571" t="s">
        <v>31</v>
      </c>
      <c r="L571" t="s">
        <v>32</v>
      </c>
      <c r="M571" t="s">
        <v>33</v>
      </c>
      <c r="P571" s="1" t="s">
        <v>2297</v>
      </c>
      <c r="Q571" s="1" t="s">
        <v>2292</v>
      </c>
      <c r="R571" s="1" t="s">
        <v>2292</v>
      </c>
      <c r="S571" s="1"/>
      <c r="T571" s="1" t="s">
        <v>172</v>
      </c>
      <c r="U571" s="1"/>
      <c r="V571" s="1">
        <v>18.176</v>
      </c>
      <c r="W571" s="1">
        <v>18.176</v>
      </c>
      <c r="X571" s="1" t="s">
        <v>35</v>
      </c>
      <c r="Y571" s="1">
        <v>18176.0</v>
      </c>
      <c r="Z571" s="1"/>
      <c r="AA571" s="1">
        <v>18176</v>
      </c>
      <c r="AB571" s="1"/>
      <c r="AC571" s="1" t="s">
        <v>36</v>
      </c>
      <c r="AD571" s="1" t="s">
        <v>2298</v>
      </c>
      <c r="AE571" s="1" t="s">
        <v>32</v>
      </c>
      <c r="AF571" s="1" t="s">
        <v>33</v>
      </c>
      <c r="AG571" s="1" t="s">
        <v>174</v>
      </c>
    </row>
    <row r="572" spans="1:33">
      <c r="A572" t="s">
        <v>2299</v>
      </c>
      <c r="B572" t="s">
        <v>2300</v>
      </c>
      <c r="C572" t="s">
        <v>26</v>
      </c>
      <c r="E572" t="s">
        <v>2292</v>
      </c>
      <c r="F572" t="s">
        <v>2293</v>
      </c>
      <c r="G572">
        <v>8.33</v>
      </c>
      <c r="H572">
        <v>8.33</v>
      </c>
      <c r="I572" t="s">
        <v>29</v>
      </c>
      <c r="J572" t="s">
        <v>30</v>
      </c>
      <c r="K572" t="s">
        <v>31</v>
      </c>
      <c r="L572" t="s">
        <v>32</v>
      </c>
      <c r="M572" t="s">
        <v>33</v>
      </c>
      <c r="P572" s="1" t="s">
        <v>2301</v>
      </c>
      <c r="Q572" s="1" t="s">
        <v>2292</v>
      </c>
      <c r="R572" s="1" t="s">
        <v>2292</v>
      </c>
      <c r="S572" s="1"/>
      <c r="T572" s="1" t="s">
        <v>26</v>
      </c>
      <c r="U572" s="1"/>
      <c r="V572" s="1">
        <v>8.33</v>
      </c>
      <c r="W572" s="1">
        <v>8.33</v>
      </c>
      <c r="X572" s="1" t="s">
        <v>35</v>
      </c>
      <c r="Y572" s="1">
        <v>8330.0</v>
      </c>
      <c r="Z572" s="1"/>
      <c r="AA572" s="1">
        <v>8330</v>
      </c>
      <c r="AB572" s="1"/>
      <c r="AC572" s="1" t="s">
        <v>36</v>
      </c>
      <c r="AD572" s="1" t="s">
        <v>2302</v>
      </c>
      <c r="AE572" s="1" t="s">
        <v>32</v>
      </c>
      <c r="AF572" s="1" t="s">
        <v>33</v>
      </c>
      <c r="AG572" s="1" t="s">
        <v>30</v>
      </c>
    </row>
    <row r="573" spans="1:33">
      <c r="A573" t="s">
        <v>2303</v>
      </c>
      <c r="B573" t="s">
        <v>2304</v>
      </c>
      <c r="C573" t="s">
        <v>68</v>
      </c>
      <c r="E573" t="s">
        <v>2292</v>
      </c>
      <c r="F573" t="s">
        <v>2293</v>
      </c>
      <c r="G573">
        <v>37.235</v>
      </c>
      <c r="H573">
        <v>37.235</v>
      </c>
      <c r="I573" t="s">
        <v>59</v>
      </c>
      <c r="J573" t="s">
        <v>60</v>
      </c>
      <c r="K573" t="s">
        <v>31</v>
      </c>
      <c r="L573" t="s">
        <v>32</v>
      </c>
      <c r="M573" t="s">
        <v>33</v>
      </c>
      <c r="P573" s="1" t="s">
        <v>2305</v>
      </c>
      <c r="Q573" s="1" t="s">
        <v>2292</v>
      </c>
      <c r="R573" s="1" t="s">
        <v>2292</v>
      </c>
      <c r="S573" s="1"/>
      <c r="T573" s="1" t="s">
        <v>68</v>
      </c>
      <c r="U573" s="1"/>
      <c r="V573" s="1">
        <v>37.235</v>
      </c>
      <c r="W573" s="1">
        <v>37.235</v>
      </c>
      <c r="X573" s="1" t="s">
        <v>35</v>
      </c>
      <c r="Y573" s="1">
        <v>37235.0</v>
      </c>
      <c r="Z573" s="1"/>
      <c r="AA573" s="1">
        <v>37235</v>
      </c>
      <c r="AB573" s="1"/>
      <c r="AC573" s="1" t="s">
        <v>36</v>
      </c>
      <c r="AD573" s="1" t="s">
        <v>2306</v>
      </c>
      <c r="AE573" s="1" t="s">
        <v>32</v>
      </c>
      <c r="AF573" s="1" t="s">
        <v>33</v>
      </c>
      <c r="AG573" s="1" t="s">
        <v>60</v>
      </c>
    </row>
    <row r="574" spans="1:33">
      <c r="A574" t="s">
        <v>2307</v>
      </c>
      <c r="B574" t="s">
        <v>826</v>
      </c>
      <c r="C574" t="s">
        <v>827</v>
      </c>
      <c r="D574" t="s">
        <v>154</v>
      </c>
      <c r="E574" t="s">
        <v>2292</v>
      </c>
      <c r="F574" t="s">
        <v>2293</v>
      </c>
      <c r="G574">
        <v>106.224</v>
      </c>
      <c r="H574">
        <v>106.224</v>
      </c>
      <c r="I574" t="s">
        <v>529</v>
      </c>
      <c r="J574" t="s">
        <v>530</v>
      </c>
      <c r="K574" t="s">
        <v>31</v>
      </c>
      <c r="L574" t="s">
        <v>32</v>
      </c>
      <c r="M574" t="s">
        <v>33</v>
      </c>
      <c r="P574" s="1" t="s">
        <v>2308</v>
      </c>
      <c r="Q574" s="1" t="s">
        <v>2292</v>
      </c>
      <c r="R574" s="1" t="s">
        <v>1562</v>
      </c>
      <c r="S574" s="1"/>
      <c r="T574" s="1" t="s">
        <v>827</v>
      </c>
      <c r="U574" s="1"/>
      <c r="V574" s="1">
        <v>106.224</v>
      </c>
      <c r="W574" s="1">
        <v>106.224</v>
      </c>
      <c r="X574" s="1" t="s">
        <v>35</v>
      </c>
      <c r="Y574" s="1">
        <v>106224.0</v>
      </c>
      <c r="Z574" s="1"/>
      <c r="AA574" s="1">
        <v>106224</v>
      </c>
      <c r="AB574" s="1"/>
      <c r="AC574" s="1" t="s">
        <v>36</v>
      </c>
      <c r="AD574" s="1" t="s">
        <v>2309</v>
      </c>
      <c r="AE574" s="1" t="s">
        <v>32</v>
      </c>
      <c r="AF574" s="1" t="s">
        <v>33</v>
      </c>
      <c r="AG574" s="1" t="s">
        <v>530</v>
      </c>
    </row>
    <row r="575" spans="1:33">
      <c r="A575" t="s">
        <v>2310</v>
      </c>
      <c r="C575" t="s">
        <v>2311</v>
      </c>
      <c r="E575" t="s">
        <v>2292</v>
      </c>
      <c r="F575" t="s">
        <v>2293</v>
      </c>
      <c r="G575">
        <v>2.0</v>
      </c>
      <c r="H575">
        <v>2.0</v>
      </c>
      <c r="I575" t="s">
        <v>269</v>
      </c>
      <c r="J575" t="s">
        <v>270</v>
      </c>
      <c r="K575" t="s">
        <v>31</v>
      </c>
      <c r="L575" t="s">
        <v>32</v>
      </c>
      <c r="M575" t="s">
        <v>33</v>
      </c>
      <c r="P575" s="1" t="s">
        <v>2312</v>
      </c>
      <c r="Q575" s="1" t="s">
        <v>2292</v>
      </c>
      <c r="R575" s="1" t="s">
        <v>2292</v>
      </c>
      <c r="S575" s="1"/>
      <c r="T575" s="1" t="s">
        <v>2313</v>
      </c>
      <c r="U575" s="1" t="s">
        <v>2314</v>
      </c>
      <c r="V575" s="1">
        <v>2.0</v>
      </c>
      <c r="W575" s="1">
        <v>2.0</v>
      </c>
      <c r="X575" s="1" t="s">
        <v>35</v>
      </c>
      <c r="Y575" s="1">
        <v>2000800.0</v>
      </c>
      <c r="Z575" s="1"/>
      <c r="AA575" s="1">
        <v>2000800</v>
      </c>
      <c r="AB575" s="1"/>
      <c r="AC575" s="1" t="s">
        <v>36</v>
      </c>
      <c r="AD575" s="1" t="s">
        <v>2315</v>
      </c>
      <c r="AE575" s="1" t="s">
        <v>32</v>
      </c>
      <c r="AF575" s="1" t="s">
        <v>33</v>
      </c>
      <c r="AG575" s="1" t="s">
        <v>270</v>
      </c>
    </row>
    <row r="576" spans="1:33">
      <c r="A576" t="s">
        <v>2316</v>
      </c>
      <c r="B576" t="s">
        <v>2317</v>
      </c>
      <c r="C576" t="s">
        <v>2318</v>
      </c>
      <c r="E576" t="s">
        <v>2292</v>
      </c>
      <c r="F576" t="s">
        <v>2293</v>
      </c>
      <c r="G576">
        <v>1.737</v>
      </c>
      <c r="H576">
        <v>1.737</v>
      </c>
      <c r="I576" t="s">
        <v>40</v>
      </c>
      <c r="J576" t="s">
        <v>41</v>
      </c>
      <c r="K576" t="s">
        <v>31</v>
      </c>
      <c r="L576" t="s">
        <v>32</v>
      </c>
      <c r="M576" t="s">
        <v>33</v>
      </c>
      <c r="P576" s="1" t="s">
        <v>2319</v>
      </c>
      <c r="Q576" s="1" t="s">
        <v>2292</v>
      </c>
      <c r="R576" s="1" t="s">
        <v>1562</v>
      </c>
      <c r="S576" s="1"/>
      <c r="T576" s="1" t="s">
        <v>2318</v>
      </c>
      <c r="U576" s="1"/>
      <c r="V576" s="1">
        <v>1.737</v>
      </c>
      <c r="W576" s="1">
        <v>1.737</v>
      </c>
      <c r="X576" s="1" t="s">
        <v>35</v>
      </c>
      <c r="Y576" s="1">
        <v>1737500.0</v>
      </c>
      <c r="Z576" s="1"/>
      <c r="AA576" s="1">
        <v>1737500</v>
      </c>
      <c r="AB576" s="1"/>
      <c r="AC576" s="1" t="s">
        <v>36</v>
      </c>
      <c r="AD576" s="1" t="s">
        <v>2320</v>
      </c>
      <c r="AE576" s="1" t="s">
        <v>32</v>
      </c>
      <c r="AF576" s="1" t="s">
        <v>33</v>
      </c>
      <c r="AG576" s="1" t="s">
        <v>41</v>
      </c>
    </row>
    <row r="577" spans="1:33">
      <c r="A577" t="s">
        <v>2321</v>
      </c>
      <c r="C577" t="s">
        <v>638</v>
      </c>
      <c r="D577" t="s">
        <v>154</v>
      </c>
      <c r="E577" t="s">
        <v>2292</v>
      </c>
      <c r="F577" t="s">
        <v>2293</v>
      </c>
      <c r="G577">
        <v>439.25</v>
      </c>
      <c r="H577">
        <v>439.25</v>
      </c>
      <c r="I577" t="s">
        <v>227</v>
      </c>
      <c r="J577" t="s">
        <v>228</v>
      </c>
      <c r="K577" t="s">
        <v>31</v>
      </c>
      <c r="L577" t="s">
        <v>32</v>
      </c>
      <c r="M577" t="s">
        <v>33</v>
      </c>
      <c r="P577" s="1" t="s">
        <v>2322</v>
      </c>
      <c r="Q577" s="1" t="s">
        <v>2292</v>
      </c>
      <c r="R577" s="1" t="s">
        <v>2292</v>
      </c>
      <c r="S577" s="1"/>
      <c r="T577" s="1" t="s">
        <v>640</v>
      </c>
      <c r="U577" s="1" t="s">
        <v>641</v>
      </c>
      <c r="V577" s="1">
        <v>439.25</v>
      </c>
      <c r="W577" s="1">
        <v>439.25</v>
      </c>
      <c r="X577" s="1" t="s">
        <v>35</v>
      </c>
      <c r="Y577" s="1">
        <v>439250.0</v>
      </c>
      <c r="Z577" s="1"/>
      <c r="AA577" s="1">
        <v>439250</v>
      </c>
      <c r="AB577" s="1"/>
      <c r="AC577" s="1" t="s">
        <v>36</v>
      </c>
      <c r="AD577" s="1" t="s">
        <v>2323</v>
      </c>
      <c r="AE577" s="1" t="s">
        <v>32</v>
      </c>
      <c r="AF577" s="1" t="s">
        <v>33</v>
      </c>
      <c r="AG577" s="1" t="s">
        <v>228</v>
      </c>
    </row>
    <row r="578" spans="1:33">
      <c r="A578" t="s">
        <v>2324</v>
      </c>
      <c r="B578" t="s">
        <v>2325</v>
      </c>
      <c r="C578" t="s">
        <v>68</v>
      </c>
      <c r="E578" t="s">
        <v>2292</v>
      </c>
      <c r="F578" t="s">
        <v>2293</v>
      </c>
      <c r="G578">
        <v>16.298</v>
      </c>
      <c r="H578">
        <v>16.298</v>
      </c>
      <c r="I578" t="s">
        <v>59</v>
      </c>
      <c r="J578" t="s">
        <v>60</v>
      </c>
      <c r="K578" t="s">
        <v>31</v>
      </c>
      <c r="L578" t="s">
        <v>32</v>
      </c>
      <c r="M578" t="s">
        <v>33</v>
      </c>
      <c r="P578" s="1" t="s">
        <v>2326</v>
      </c>
      <c r="Q578" s="1" t="s">
        <v>2292</v>
      </c>
      <c r="R578" s="1" t="s">
        <v>2292</v>
      </c>
      <c r="S578" s="1"/>
      <c r="T578" s="1" t="s">
        <v>68</v>
      </c>
      <c r="U578" s="1"/>
      <c r="V578" s="1">
        <v>16.298</v>
      </c>
      <c r="W578" s="1">
        <v>16.298</v>
      </c>
      <c r="X578" s="1" t="s">
        <v>35</v>
      </c>
      <c r="Y578" s="1">
        <v>16298.0</v>
      </c>
      <c r="Z578" s="1"/>
      <c r="AA578" s="1">
        <v>16298</v>
      </c>
      <c r="AB578" s="1"/>
      <c r="AC578" s="1" t="s">
        <v>36</v>
      </c>
      <c r="AD578" s="1" t="s">
        <v>2327</v>
      </c>
      <c r="AE578" s="1" t="s">
        <v>32</v>
      </c>
      <c r="AF578" s="1" t="s">
        <v>33</v>
      </c>
      <c r="AG578" s="1" t="s">
        <v>60</v>
      </c>
    </row>
    <row r="579" spans="1:33">
      <c r="A579" t="s">
        <v>2328</v>
      </c>
      <c r="C579" t="s">
        <v>806</v>
      </c>
      <c r="D579" t="s">
        <v>154</v>
      </c>
      <c r="E579" t="s">
        <v>2292</v>
      </c>
      <c r="F579" t="s">
        <v>2293</v>
      </c>
      <c r="G579">
        <v>574.0</v>
      </c>
      <c r="H579">
        <v>574.0</v>
      </c>
      <c r="I579" t="s">
        <v>269</v>
      </c>
      <c r="J579" t="s">
        <v>270</v>
      </c>
      <c r="K579" t="s">
        <v>31</v>
      </c>
      <c r="L579" t="s">
        <v>32</v>
      </c>
      <c r="M579" t="s">
        <v>33</v>
      </c>
      <c r="P579" s="1" t="s">
        <v>2329</v>
      </c>
      <c r="Q579" s="1" t="s">
        <v>2292</v>
      </c>
      <c r="R579" s="1" t="s">
        <v>2292</v>
      </c>
      <c r="S579" s="1"/>
      <c r="T579" s="1" t="s">
        <v>806</v>
      </c>
      <c r="U579" s="1"/>
      <c r="V579" s="1">
        <v>574.0</v>
      </c>
      <c r="W579" s="1">
        <v>574.0</v>
      </c>
      <c r="X579" s="1" t="s">
        <v>35</v>
      </c>
      <c r="Y579" s="1">
        <v>574000.0</v>
      </c>
      <c r="Z579" s="1"/>
      <c r="AA579" s="1">
        <v>574000</v>
      </c>
      <c r="AB579" s="1"/>
      <c r="AC579" s="1" t="s">
        <v>36</v>
      </c>
      <c r="AD579" s="1" t="s">
        <v>2330</v>
      </c>
      <c r="AE579" s="1" t="s">
        <v>32</v>
      </c>
      <c r="AF579" s="1" t="s">
        <v>33</v>
      </c>
      <c r="AG579" s="1" t="s">
        <v>270</v>
      </c>
    </row>
    <row r="580" spans="1:33">
      <c r="A580" t="s">
        <v>2331</v>
      </c>
      <c r="B580" t="s">
        <v>2332</v>
      </c>
      <c r="C580" t="s">
        <v>68</v>
      </c>
      <c r="E580" t="s">
        <v>2292</v>
      </c>
      <c r="F580" t="s">
        <v>2293</v>
      </c>
      <c r="G580">
        <v>86.866</v>
      </c>
      <c r="H580">
        <v>86.866</v>
      </c>
      <c r="I580" t="s">
        <v>59</v>
      </c>
      <c r="J580" t="s">
        <v>60</v>
      </c>
      <c r="K580" t="s">
        <v>31</v>
      </c>
      <c r="L580" t="s">
        <v>32</v>
      </c>
      <c r="M580" t="s">
        <v>33</v>
      </c>
      <c r="P580" s="1" t="s">
        <v>2333</v>
      </c>
      <c r="Q580" s="1" t="s">
        <v>2292</v>
      </c>
      <c r="R580" s="1" t="s">
        <v>2292</v>
      </c>
      <c r="S580" s="1"/>
      <c r="T580" s="1" t="s">
        <v>68</v>
      </c>
      <c r="U580" s="1"/>
      <c r="V580" s="1">
        <v>86.866</v>
      </c>
      <c r="W580" s="1">
        <v>86.866</v>
      </c>
      <c r="X580" s="1" t="s">
        <v>35</v>
      </c>
      <c r="Y580" s="1">
        <v>86866.0</v>
      </c>
      <c r="Z580" s="1"/>
      <c r="AA580" s="1">
        <v>86866</v>
      </c>
      <c r="AB580" s="1"/>
      <c r="AC580" s="1" t="s">
        <v>36</v>
      </c>
      <c r="AD580" s="1" t="s">
        <v>2334</v>
      </c>
      <c r="AE580" s="1" t="s">
        <v>32</v>
      </c>
      <c r="AF580" s="1" t="s">
        <v>33</v>
      </c>
      <c r="AG580" s="1" t="s">
        <v>60</v>
      </c>
    </row>
    <row r="581" spans="1:33">
      <c r="A581" t="s">
        <v>2335</v>
      </c>
      <c r="C581" t="s">
        <v>2336</v>
      </c>
      <c r="E581" t="s">
        <v>2292</v>
      </c>
      <c r="F581" t="s">
        <v>2293</v>
      </c>
      <c r="G581">
        <v>352.0</v>
      </c>
      <c r="H581">
        <v>352.0</v>
      </c>
      <c r="I581" t="s">
        <v>179</v>
      </c>
      <c r="J581" t="s">
        <v>180</v>
      </c>
      <c r="K581" t="s">
        <v>31</v>
      </c>
      <c r="L581" t="s">
        <v>32</v>
      </c>
      <c r="M581" t="s">
        <v>33</v>
      </c>
      <c r="P581" s="1" t="s">
        <v>2337</v>
      </c>
      <c r="Q581" s="1" t="s">
        <v>2292</v>
      </c>
      <c r="R581" s="1" t="s">
        <v>2292</v>
      </c>
      <c r="S581" s="1"/>
      <c r="T581" s="1" t="s">
        <v>2336</v>
      </c>
      <c r="U581" s="1"/>
      <c r="V581" s="1">
        <v>352.0</v>
      </c>
      <c r="W581" s="1">
        <v>352.0</v>
      </c>
      <c r="X581" s="1" t="s">
        <v>35</v>
      </c>
      <c r="Y581" s="1">
        <v>352000.0</v>
      </c>
      <c r="Z581" s="1"/>
      <c r="AA581" s="1">
        <v>352000</v>
      </c>
      <c r="AB581" s="1"/>
      <c r="AC581" s="1" t="s">
        <v>36</v>
      </c>
      <c r="AD581" s="1" t="s">
        <v>2338</v>
      </c>
      <c r="AE581" s="1" t="s">
        <v>32</v>
      </c>
      <c r="AF581" s="1" t="s">
        <v>33</v>
      </c>
      <c r="AG581" s="1" t="s">
        <v>180</v>
      </c>
    </row>
    <row r="582" spans="1:33">
      <c r="A582" t="s">
        <v>2339</v>
      </c>
      <c r="C582" t="s">
        <v>1020</v>
      </c>
      <c r="E582" t="s">
        <v>2292</v>
      </c>
      <c r="F582" t="s">
        <v>2293</v>
      </c>
      <c r="G582">
        <v>525.5</v>
      </c>
      <c r="H582">
        <v>525.5</v>
      </c>
      <c r="I582" t="s">
        <v>847</v>
      </c>
      <c r="J582" t="s">
        <v>848</v>
      </c>
      <c r="K582" t="s">
        <v>31</v>
      </c>
      <c r="L582" t="s">
        <v>32</v>
      </c>
      <c r="M582" t="s">
        <v>33</v>
      </c>
      <c r="P582" s="1" t="s">
        <v>2340</v>
      </c>
      <c r="Q582" s="1" t="s">
        <v>2292</v>
      </c>
      <c r="R582" s="1" t="s">
        <v>2292</v>
      </c>
      <c r="S582" s="1"/>
      <c r="T582" s="1" t="s">
        <v>1020</v>
      </c>
      <c r="U582" s="1"/>
      <c r="V582" s="1">
        <v>525.5</v>
      </c>
      <c r="W582" s="1">
        <v>525.5</v>
      </c>
      <c r="X582" s="1" t="s">
        <v>35</v>
      </c>
      <c r="Y582" s="1">
        <v>525500.0</v>
      </c>
      <c r="Z582" s="1"/>
      <c r="AA582" s="1">
        <v>525500</v>
      </c>
      <c r="AB582" s="1"/>
      <c r="AC582" s="1" t="s">
        <v>36</v>
      </c>
      <c r="AD582" s="1" t="s">
        <v>2306</v>
      </c>
      <c r="AE582" s="1" t="s">
        <v>32</v>
      </c>
      <c r="AF582" s="1" t="s">
        <v>33</v>
      </c>
      <c r="AG582" s="1" t="s">
        <v>848</v>
      </c>
    </row>
    <row r="583" spans="1:33">
      <c r="A583" t="s">
        <v>2341</v>
      </c>
      <c r="B583" t="s">
        <v>2342</v>
      </c>
      <c r="C583" t="s">
        <v>47</v>
      </c>
      <c r="E583" t="s">
        <v>2292</v>
      </c>
      <c r="F583" t="s">
        <v>2293</v>
      </c>
      <c r="G583">
        <v>63.366</v>
      </c>
      <c r="H583">
        <v>63.366</v>
      </c>
      <c r="I583" t="s">
        <v>48</v>
      </c>
      <c r="J583" t="s">
        <v>49</v>
      </c>
      <c r="K583" t="s">
        <v>31</v>
      </c>
      <c r="L583" t="s">
        <v>32</v>
      </c>
      <c r="M583" t="s">
        <v>33</v>
      </c>
      <c r="P583" s="1" t="s">
        <v>2343</v>
      </c>
      <c r="Q583" s="1" t="s">
        <v>2292</v>
      </c>
      <c r="R583" s="1" t="s">
        <v>2292</v>
      </c>
      <c r="S583" s="1"/>
      <c r="T583" s="1" t="s">
        <v>47</v>
      </c>
      <c r="U583" s="1"/>
      <c r="V583" s="1">
        <v>63.366</v>
      </c>
      <c r="W583" s="1">
        <v>63.366</v>
      </c>
      <c r="X583" s="1" t="s">
        <v>35</v>
      </c>
      <c r="Y583" s="1">
        <v>63366.0</v>
      </c>
      <c r="Z583" s="1"/>
      <c r="AA583" s="1">
        <v>63366</v>
      </c>
      <c r="AB583" s="1"/>
      <c r="AC583" s="1" t="s">
        <v>36</v>
      </c>
      <c r="AD583" s="1" t="s">
        <v>2344</v>
      </c>
      <c r="AE583" s="1" t="s">
        <v>32</v>
      </c>
      <c r="AF583" s="1" t="s">
        <v>33</v>
      </c>
      <c r="AG583" s="1" t="s">
        <v>49</v>
      </c>
    </row>
    <row r="584" spans="1:33">
      <c r="A584" t="s">
        <v>2345</v>
      </c>
      <c r="C584" t="s">
        <v>2346</v>
      </c>
      <c r="E584" t="s">
        <v>2292</v>
      </c>
      <c r="F584" t="s">
        <v>2293</v>
      </c>
      <c r="G584">
        <v>168.0</v>
      </c>
      <c r="H584">
        <v>168.0</v>
      </c>
      <c r="I584" t="s">
        <v>269</v>
      </c>
      <c r="J584" t="s">
        <v>270</v>
      </c>
      <c r="K584" t="s">
        <v>31</v>
      </c>
      <c r="L584" t="s">
        <v>32</v>
      </c>
      <c r="M584" t="s">
        <v>33</v>
      </c>
      <c r="P584" s="1" t="s">
        <v>2347</v>
      </c>
      <c r="Q584" s="1" t="s">
        <v>2292</v>
      </c>
      <c r="R584" s="1" t="s">
        <v>2292</v>
      </c>
      <c r="S584" s="1"/>
      <c r="T584" s="1" t="s">
        <v>2346</v>
      </c>
      <c r="U584" s="1"/>
      <c r="V584" s="1">
        <v>168.0</v>
      </c>
      <c r="W584" s="1">
        <v>168.0</v>
      </c>
      <c r="X584" s="1" t="s">
        <v>35</v>
      </c>
      <c r="Y584" s="1">
        <v>168000.0</v>
      </c>
      <c r="Z584" s="1"/>
      <c r="AA584" s="1">
        <v>168000</v>
      </c>
      <c r="AB584" s="1"/>
      <c r="AC584" s="1" t="s">
        <v>36</v>
      </c>
      <c r="AD584" s="1" t="s">
        <v>2348</v>
      </c>
      <c r="AE584" s="1" t="s">
        <v>32</v>
      </c>
      <c r="AF584" s="1" t="s">
        <v>33</v>
      </c>
      <c r="AG584" s="1" t="s">
        <v>270</v>
      </c>
    </row>
    <row r="585" spans="1:33">
      <c r="A585" t="s">
        <v>2349</v>
      </c>
      <c r="B585" t="s">
        <v>1965</v>
      </c>
      <c r="C585" t="s">
        <v>314</v>
      </c>
      <c r="E585" t="s">
        <v>2292</v>
      </c>
      <c r="F585" t="s">
        <v>2293</v>
      </c>
      <c r="G585">
        <v>40.99</v>
      </c>
      <c r="H585">
        <v>40.99</v>
      </c>
      <c r="I585" t="s">
        <v>179</v>
      </c>
      <c r="J585" t="s">
        <v>180</v>
      </c>
      <c r="K585" t="s">
        <v>31</v>
      </c>
      <c r="L585" t="s">
        <v>32</v>
      </c>
      <c r="M585" t="s">
        <v>33</v>
      </c>
      <c r="P585" s="1" t="s">
        <v>2350</v>
      </c>
      <c r="Q585" s="1" t="s">
        <v>2292</v>
      </c>
      <c r="R585" s="1" t="s">
        <v>2292</v>
      </c>
      <c r="S585" s="1"/>
      <c r="T585" s="1" t="s">
        <v>314</v>
      </c>
      <c r="U585" s="1"/>
      <c r="V585" s="1">
        <v>40.99</v>
      </c>
      <c r="W585" s="1">
        <v>40.99</v>
      </c>
      <c r="X585" s="1" t="s">
        <v>35</v>
      </c>
      <c r="Y585" s="1">
        <v>40990.0</v>
      </c>
      <c r="Z585" s="1"/>
      <c r="AA585" s="1">
        <v>40990</v>
      </c>
      <c r="AB585" s="1"/>
      <c r="AC585" s="1" t="s">
        <v>36</v>
      </c>
      <c r="AD585" s="1" t="s">
        <v>2351</v>
      </c>
      <c r="AE585" s="1" t="s">
        <v>32</v>
      </c>
      <c r="AF585" s="1" t="s">
        <v>33</v>
      </c>
      <c r="AG585" s="1" t="s">
        <v>180</v>
      </c>
    </row>
    <row r="586" spans="1:33">
      <c r="A586" t="s">
        <v>2352</v>
      </c>
      <c r="B586" t="s">
        <v>2353</v>
      </c>
      <c r="C586" t="s">
        <v>68</v>
      </c>
      <c r="E586" t="s">
        <v>2292</v>
      </c>
      <c r="F586" t="s">
        <v>2293</v>
      </c>
      <c r="G586">
        <v>25.0</v>
      </c>
      <c r="H586">
        <v>25.0</v>
      </c>
      <c r="I586" t="s">
        <v>59</v>
      </c>
      <c r="J586" t="s">
        <v>60</v>
      </c>
      <c r="K586" t="s">
        <v>31</v>
      </c>
      <c r="L586" t="s">
        <v>32</v>
      </c>
      <c r="M586" t="s">
        <v>33</v>
      </c>
      <c r="P586" s="1" t="s">
        <v>2354</v>
      </c>
      <c r="Q586" s="1" t="s">
        <v>2292</v>
      </c>
      <c r="R586" s="1" t="s">
        <v>2292</v>
      </c>
      <c r="S586" s="1"/>
      <c r="T586" s="1" t="s">
        <v>68</v>
      </c>
      <c r="U586" s="1"/>
      <c r="V586" s="1">
        <v>25.0</v>
      </c>
      <c r="W586" s="1">
        <v>25.0</v>
      </c>
      <c r="X586" s="1" t="s">
        <v>35</v>
      </c>
      <c r="Y586" s="1">
        <v>25000.0</v>
      </c>
      <c r="Z586" s="1"/>
      <c r="AA586" s="1">
        <v>25000</v>
      </c>
      <c r="AB586" s="1"/>
      <c r="AC586" s="1" t="s">
        <v>36</v>
      </c>
      <c r="AD586" s="1" t="s">
        <v>2355</v>
      </c>
      <c r="AE586" s="1" t="s">
        <v>32</v>
      </c>
      <c r="AF586" s="1" t="s">
        <v>33</v>
      </c>
      <c r="AG586" s="1" t="s">
        <v>60</v>
      </c>
    </row>
    <row r="587" spans="1:33">
      <c r="A587" t="s">
        <v>2356</v>
      </c>
      <c r="B587" t="s">
        <v>2357</v>
      </c>
      <c r="C587" t="s">
        <v>47</v>
      </c>
      <c r="E587" t="s">
        <v>2292</v>
      </c>
      <c r="F587" t="s">
        <v>2293</v>
      </c>
      <c r="G587">
        <v>20.99</v>
      </c>
      <c r="H587">
        <v>20.99</v>
      </c>
      <c r="I587" t="s">
        <v>48</v>
      </c>
      <c r="J587" t="s">
        <v>49</v>
      </c>
      <c r="K587" t="s">
        <v>31</v>
      </c>
      <c r="L587" t="s">
        <v>32</v>
      </c>
      <c r="M587" t="s">
        <v>33</v>
      </c>
      <c r="P587" s="1" t="s">
        <v>2358</v>
      </c>
      <c r="Q587" s="1" t="s">
        <v>2292</v>
      </c>
      <c r="R587" s="1" t="s">
        <v>2292</v>
      </c>
      <c r="S587" s="1"/>
      <c r="T587" s="1" t="s">
        <v>47</v>
      </c>
      <c r="U587" s="1"/>
      <c r="V587" s="1">
        <v>20.99</v>
      </c>
      <c r="W587" s="1">
        <v>20.99</v>
      </c>
      <c r="X587" s="1" t="s">
        <v>35</v>
      </c>
      <c r="Y587" s="1">
        <v>20990.0</v>
      </c>
      <c r="Z587" s="1"/>
      <c r="AA587" s="1">
        <v>20990</v>
      </c>
      <c r="AB587" s="1"/>
      <c r="AC587" s="1" t="s">
        <v>36</v>
      </c>
      <c r="AD587" s="1" t="s">
        <v>2359</v>
      </c>
      <c r="AE587" s="1" t="s">
        <v>32</v>
      </c>
      <c r="AF587" s="1" t="s">
        <v>33</v>
      </c>
      <c r="AG587" s="1" t="s">
        <v>49</v>
      </c>
    </row>
    <row r="588" spans="1:33">
      <c r="A588" t="s">
        <v>2360</v>
      </c>
      <c r="C588" t="s">
        <v>866</v>
      </c>
      <c r="D588" t="s">
        <v>154</v>
      </c>
      <c r="E588" t="s">
        <v>2292</v>
      </c>
      <c r="F588" t="s">
        <v>2293</v>
      </c>
      <c r="G588">
        <v>1.1</v>
      </c>
      <c r="H588">
        <v>1.1</v>
      </c>
      <c r="I588" t="s">
        <v>48</v>
      </c>
      <c r="J588" t="s">
        <v>49</v>
      </c>
      <c r="K588" t="s">
        <v>31</v>
      </c>
      <c r="L588" t="s">
        <v>32</v>
      </c>
      <c r="M588" t="s">
        <v>33</v>
      </c>
      <c r="P588" s="1" t="s">
        <v>2361</v>
      </c>
      <c r="Q588" s="1" t="s">
        <v>2292</v>
      </c>
      <c r="R588" s="1" t="s">
        <v>2292</v>
      </c>
      <c r="S588" s="1"/>
      <c r="T588" s="1" t="s">
        <v>868</v>
      </c>
      <c r="U588" s="1" t="s">
        <v>869</v>
      </c>
      <c r="V588" s="1">
        <v>1.1</v>
      </c>
      <c r="W588" s="1">
        <v>1.1</v>
      </c>
      <c r="X588" s="1" t="s">
        <v>35</v>
      </c>
      <c r="Y588" s="1">
        <v>1100000.0</v>
      </c>
      <c r="Z588" s="1"/>
      <c r="AA588" s="1">
        <v>1100000</v>
      </c>
      <c r="AB588" s="1"/>
      <c r="AC588" s="1" t="s">
        <v>36</v>
      </c>
      <c r="AD588" s="1" t="s">
        <v>2362</v>
      </c>
      <c r="AE588" s="1" t="s">
        <v>32</v>
      </c>
      <c r="AF588" s="1" t="s">
        <v>33</v>
      </c>
      <c r="AG588" s="1" t="s">
        <v>49</v>
      </c>
    </row>
    <row r="589" spans="1:33">
      <c r="A589" t="s">
        <v>2363</v>
      </c>
      <c r="B589" t="s">
        <v>2364</v>
      </c>
      <c r="C589" t="s">
        <v>314</v>
      </c>
      <c r="E589" t="s">
        <v>2292</v>
      </c>
      <c r="F589" t="s">
        <v>2293</v>
      </c>
      <c r="G589">
        <v>26.724</v>
      </c>
      <c r="H589">
        <v>26.724</v>
      </c>
      <c r="I589" t="s">
        <v>179</v>
      </c>
      <c r="J589" t="s">
        <v>180</v>
      </c>
      <c r="K589" t="s">
        <v>31</v>
      </c>
      <c r="L589" t="s">
        <v>32</v>
      </c>
      <c r="M589" t="s">
        <v>33</v>
      </c>
      <c r="P589" s="1" t="s">
        <v>2365</v>
      </c>
      <c r="Q589" s="1" t="s">
        <v>2292</v>
      </c>
      <c r="R589" s="1" t="s">
        <v>2292</v>
      </c>
      <c r="S589" s="1"/>
      <c r="T589" s="1" t="s">
        <v>314</v>
      </c>
      <c r="U589" s="1"/>
      <c r="V589" s="1">
        <v>26.724</v>
      </c>
      <c r="W589" s="1">
        <v>26.724</v>
      </c>
      <c r="X589" s="1" t="s">
        <v>35</v>
      </c>
      <c r="Y589" s="1">
        <v>26724.0</v>
      </c>
      <c r="Z589" s="1"/>
      <c r="AA589" s="1">
        <v>26724</v>
      </c>
      <c r="AB589" s="1"/>
      <c r="AC589" s="1" t="s">
        <v>36</v>
      </c>
      <c r="AD589" s="1" t="s">
        <v>2362</v>
      </c>
      <c r="AE589" s="1" t="s">
        <v>32</v>
      </c>
      <c r="AF589" s="1" t="s">
        <v>33</v>
      </c>
      <c r="AG589" s="1" t="s">
        <v>180</v>
      </c>
    </row>
    <row r="590" spans="1:33">
      <c r="A590" t="s">
        <v>2366</v>
      </c>
      <c r="B590" t="s">
        <v>2367</v>
      </c>
      <c r="C590" t="s">
        <v>314</v>
      </c>
      <c r="E590" t="s">
        <v>2292</v>
      </c>
      <c r="F590" t="s">
        <v>2293</v>
      </c>
      <c r="G590">
        <v>44.7</v>
      </c>
      <c r="H590">
        <v>44.7</v>
      </c>
      <c r="I590" t="s">
        <v>179</v>
      </c>
      <c r="J590" t="s">
        <v>180</v>
      </c>
      <c r="K590" t="s">
        <v>31</v>
      </c>
      <c r="L590" t="s">
        <v>32</v>
      </c>
      <c r="M590" t="s">
        <v>33</v>
      </c>
      <c r="P590" s="1" t="s">
        <v>2368</v>
      </c>
      <c r="Q590" s="1" t="s">
        <v>2292</v>
      </c>
      <c r="R590" s="1" t="s">
        <v>2292</v>
      </c>
      <c r="S590" s="1"/>
      <c r="T590" s="1" t="s">
        <v>314</v>
      </c>
      <c r="U590" s="1"/>
      <c r="V590" s="1">
        <v>44.7</v>
      </c>
      <c r="W590" s="1">
        <v>44.7</v>
      </c>
      <c r="X590" s="1" t="s">
        <v>35</v>
      </c>
      <c r="Y590" s="1">
        <v>44700.0</v>
      </c>
      <c r="Z590" s="1"/>
      <c r="AA590" s="1">
        <v>44700</v>
      </c>
      <c r="AB590" s="1"/>
      <c r="AC590" s="1" t="s">
        <v>36</v>
      </c>
      <c r="AD590" s="1" t="s">
        <v>2369</v>
      </c>
      <c r="AE590" s="1" t="s">
        <v>32</v>
      </c>
      <c r="AF590" s="1" t="s">
        <v>33</v>
      </c>
      <c r="AG590" s="1" t="s">
        <v>180</v>
      </c>
    </row>
    <row r="591" spans="1:33">
      <c r="A591" t="s">
        <v>2370</v>
      </c>
      <c r="C591" t="s">
        <v>2371</v>
      </c>
      <c r="E591" t="s">
        <v>2292</v>
      </c>
      <c r="F591" t="s">
        <v>2293</v>
      </c>
      <c r="G591">
        <v>3.386</v>
      </c>
      <c r="H591">
        <v>3.386</v>
      </c>
      <c r="I591" t="s">
        <v>570</v>
      </c>
      <c r="J591" t="s">
        <v>571</v>
      </c>
      <c r="K591" t="s">
        <v>31</v>
      </c>
      <c r="L591" t="s">
        <v>32</v>
      </c>
      <c r="M591" t="s">
        <v>33</v>
      </c>
      <c r="P591" s="1" t="s">
        <v>2372</v>
      </c>
      <c r="Q591" s="1" t="s">
        <v>2292</v>
      </c>
      <c r="R591" s="1" t="s">
        <v>2292</v>
      </c>
      <c r="S591" s="1"/>
      <c r="T591" s="1" t="s">
        <v>2371</v>
      </c>
      <c r="U591" s="1"/>
      <c r="V591" s="1">
        <v>3.386</v>
      </c>
      <c r="W591" s="1">
        <v>3.386</v>
      </c>
      <c r="X591" s="1" t="s">
        <v>35</v>
      </c>
      <c r="Y591" s="1">
        <v>3386250.0</v>
      </c>
      <c r="Z591" s="1"/>
      <c r="AA591" s="1">
        <v>3386250</v>
      </c>
      <c r="AB591" s="1"/>
      <c r="AC591" s="1" t="s">
        <v>36</v>
      </c>
      <c r="AD591" s="1" t="s">
        <v>2373</v>
      </c>
      <c r="AE591" s="1" t="s">
        <v>32</v>
      </c>
      <c r="AF591" s="1" t="s">
        <v>33</v>
      </c>
      <c r="AG591" s="1" t="s">
        <v>571</v>
      </c>
    </row>
    <row r="592" spans="1:33">
      <c r="A592" t="s">
        <v>2374</v>
      </c>
      <c r="B592" t="s">
        <v>2375</v>
      </c>
      <c r="C592" t="s">
        <v>268</v>
      </c>
      <c r="E592" t="s">
        <v>2292</v>
      </c>
      <c r="F592" t="s">
        <v>2293</v>
      </c>
      <c r="G592">
        <v>16.9</v>
      </c>
      <c r="H592">
        <v>16.9</v>
      </c>
      <c r="I592" t="s">
        <v>269</v>
      </c>
      <c r="J592" t="s">
        <v>270</v>
      </c>
      <c r="K592" t="s">
        <v>31</v>
      </c>
      <c r="L592" t="s">
        <v>32</v>
      </c>
      <c r="M592" t="s">
        <v>33</v>
      </c>
      <c r="P592" s="1" t="s">
        <v>2376</v>
      </c>
      <c r="Q592" s="1" t="s">
        <v>2292</v>
      </c>
      <c r="R592" s="1" t="s">
        <v>2292</v>
      </c>
      <c r="S592" s="1"/>
      <c r="T592" s="1" t="s">
        <v>268</v>
      </c>
      <c r="U592" s="1"/>
      <c r="V592" s="1">
        <v>16.9</v>
      </c>
      <c r="W592" s="1">
        <v>16.9</v>
      </c>
      <c r="X592" s="1" t="s">
        <v>35</v>
      </c>
      <c r="Y592" s="1">
        <v>16900.0</v>
      </c>
      <c r="Z592" s="1"/>
      <c r="AA592" s="1">
        <v>16900</v>
      </c>
      <c r="AB592" s="1"/>
      <c r="AC592" s="1" t="s">
        <v>36</v>
      </c>
      <c r="AD592" s="1" t="s">
        <v>2377</v>
      </c>
      <c r="AE592" s="1" t="s">
        <v>32</v>
      </c>
      <c r="AF592" s="1" t="s">
        <v>33</v>
      </c>
      <c r="AG592" s="1" t="s">
        <v>270</v>
      </c>
    </row>
    <row r="593" spans="1:33">
      <c r="A593" t="s">
        <v>2378</v>
      </c>
      <c r="B593" t="s">
        <v>2379</v>
      </c>
      <c r="C593" t="s">
        <v>131</v>
      </c>
      <c r="E593" t="s">
        <v>2292</v>
      </c>
      <c r="F593" t="s">
        <v>2293</v>
      </c>
      <c r="G593">
        <v>21.99</v>
      </c>
      <c r="H593">
        <v>21.99</v>
      </c>
      <c r="I593" t="s">
        <v>94</v>
      </c>
      <c r="J593" t="s">
        <v>95</v>
      </c>
      <c r="K593" t="s">
        <v>31</v>
      </c>
      <c r="L593" t="s">
        <v>32</v>
      </c>
      <c r="M593" t="s">
        <v>33</v>
      </c>
      <c r="P593" s="1" t="s">
        <v>2380</v>
      </c>
      <c r="Q593" s="1" t="s">
        <v>2292</v>
      </c>
      <c r="R593" s="1" t="s">
        <v>2292</v>
      </c>
      <c r="S593" s="1"/>
      <c r="T593" s="1" t="s">
        <v>131</v>
      </c>
      <c r="U593" s="1"/>
      <c r="V593" s="1">
        <v>21.99</v>
      </c>
      <c r="W593" s="1">
        <v>21.99</v>
      </c>
      <c r="X593" s="1" t="s">
        <v>35</v>
      </c>
      <c r="Y593" s="1">
        <v>21990.0</v>
      </c>
      <c r="Z593" s="1"/>
      <c r="AA593" s="1">
        <v>21990</v>
      </c>
      <c r="AB593" s="1"/>
      <c r="AC593" s="1" t="s">
        <v>36</v>
      </c>
      <c r="AD593" s="1" t="s">
        <v>2381</v>
      </c>
      <c r="AE593" s="1" t="s">
        <v>32</v>
      </c>
      <c r="AF593" s="1" t="s">
        <v>33</v>
      </c>
      <c r="AG593" s="1" t="s">
        <v>95</v>
      </c>
    </row>
    <row r="594" spans="1:33">
      <c r="A594" t="s">
        <v>2382</v>
      </c>
      <c r="B594" t="s">
        <v>2383</v>
      </c>
      <c r="C594" t="s">
        <v>906</v>
      </c>
      <c r="E594" t="s">
        <v>2292</v>
      </c>
      <c r="F594" t="s">
        <v>2293</v>
      </c>
      <c r="G594">
        <v>8.798</v>
      </c>
      <c r="H594">
        <v>8.798</v>
      </c>
      <c r="I594" t="s">
        <v>847</v>
      </c>
      <c r="J594" t="s">
        <v>848</v>
      </c>
      <c r="K594" t="s">
        <v>31</v>
      </c>
      <c r="L594" t="s">
        <v>32</v>
      </c>
      <c r="M594" t="s">
        <v>33</v>
      </c>
      <c r="P594" s="1" t="s">
        <v>2384</v>
      </c>
      <c r="Q594" s="1" t="s">
        <v>2292</v>
      </c>
      <c r="R594" s="1" t="s">
        <v>2292</v>
      </c>
      <c r="S594" s="1"/>
      <c r="T594" s="1" t="s">
        <v>906</v>
      </c>
      <c r="U594" s="1"/>
      <c r="V594" s="1">
        <v>8.798</v>
      </c>
      <c r="W594" s="1">
        <v>8.798</v>
      </c>
      <c r="X594" s="1" t="s">
        <v>35</v>
      </c>
      <c r="Y594" s="1">
        <v>8798.0</v>
      </c>
      <c r="Z594" s="1"/>
      <c r="AA594" s="1">
        <v>8798</v>
      </c>
      <c r="AB594" s="1"/>
      <c r="AC594" s="1" t="s">
        <v>36</v>
      </c>
      <c r="AD594" s="1" t="s">
        <v>2385</v>
      </c>
      <c r="AE594" s="1" t="s">
        <v>32</v>
      </c>
      <c r="AF594" s="1" t="s">
        <v>33</v>
      </c>
      <c r="AG594" s="1" t="s">
        <v>848</v>
      </c>
    </row>
    <row r="595" spans="1:33">
      <c r="A595" t="s">
        <v>2386</v>
      </c>
      <c r="B595" t="s">
        <v>2387</v>
      </c>
      <c r="C595" t="s">
        <v>125</v>
      </c>
      <c r="E595" t="s">
        <v>2292</v>
      </c>
      <c r="F595" t="s">
        <v>2293</v>
      </c>
      <c r="G595">
        <v>18.693</v>
      </c>
      <c r="H595">
        <v>18.693</v>
      </c>
      <c r="I595" t="s">
        <v>126</v>
      </c>
      <c r="J595" t="s">
        <v>127</v>
      </c>
      <c r="K595" t="s">
        <v>31</v>
      </c>
      <c r="L595" t="s">
        <v>32</v>
      </c>
      <c r="M595" t="s">
        <v>33</v>
      </c>
      <c r="P595" s="1" t="s">
        <v>2388</v>
      </c>
      <c r="Q595" s="1" t="s">
        <v>2292</v>
      </c>
      <c r="R595" s="1" t="s">
        <v>2292</v>
      </c>
      <c r="S595" s="1"/>
      <c r="T595" s="1" t="s">
        <v>125</v>
      </c>
      <c r="U595" s="1"/>
      <c r="V595" s="1">
        <v>18.693</v>
      </c>
      <c r="W595" s="1">
        <v>18.693</v>
      </c>
      <c r="X595" s="1" t="s">
        <v>35</v>
      </c>
      <c r="Y595" s="1">
        <v>18693.0</v>
      </c>
      <c r="Z595" s="1"/>
      <c r="AA595" s="1">
        <v>18693</v>
      </c>
      <c r="AB595" s="1"/>
      <c r="AC595" s="1" t="s">
        <v>36</v>
      </c>
      <c r="AD595" s="1" t="s">
        <v>2389</v>
      </c>
      <c r="AE595" s="1" t="s">
        <v>32</v>
      </c>
      <c r="AF595" s="1" t="s">
        <v>33</v>
      </c>
      <c r="AG595" s="1" t="s">
        <v>127</v>
      </c>
    </row>
    <row r="596" spans="1:33">
      <c r="A596" t="s">
        <v>2390</v>
      </c>
      <c r="C596" t="s">
        <v>586</v>
      </c>
      <c r="E596" t="s">
        <v>2292</v>
      </c>
      <c r="F596" t="s">
        <v>2293</v>
      </c>
      <c r="G596">
        <v>37.0</v>
      </c>
      <c r="H596">
        <v>37.0</v>
      </c>
      <c r="I596" t="s">
        <v>269</v>
      </c>
      <c r="J596" t="s">
        <v>270</v>
      </c>
      <c r="K596" t="s">
        <v>31</v>
      </c>
      <c r="L596" t="s">
        <v>32</v>
      </c>
      <c r="M596" t="s">
        <v>33</v>
      </c>
      <c r="P596" s="1" t="s">
        <v>2391</v>
      </c>
      <c r="Q596" s="1" t="s">
        <v>2292</v>
      </c>
      <c r="R596" s="1" t="s">
        <v>2292</v>
      </c>
      <c r="S596" s="1"/>
      <c r="T596" s="1" t="s">
        <v>586</v>
      </c>
      <c r="U596" s="1"/>
      <c r="V596" s="1">
        <v>37.0</v>
      </c>
      <c r="W596" s="1">
        <v>37.0</v>
      </c>
      <c r="X596" s="1" t="s">
        <v>35</v>
      </c>
      <c r="Y596" s="1">
        <v>37000.0</v>
      </c>
      <c r="Z596" s="1"/>
      <c r="AA596" s="1">
        <v>37000</v>
      </c>
      <c r="AB596" s="1"/>
      <c r="AC596" s="1" t="s">
        <v>36</v>
      </c>
      <c r="AD596" s="1" t="s">
        <v>2392</v>
      </c>
      <c r="AE596" s="1" t="s">
        <v>32</v>
      </c>
      <c r="AF596" s="1" t="s">
        <v>33</v>
      </c>
      <c r="AG596" s="1" t="s">
        <v>270</v>
      </c>
    </row>
    <row r="597" spans="1:33">
      <c r="A597" t="s">
        <v>2393</v>
      </c>
      <c r="B597" t="s">
        <v>2394</v>
      </c>
      <c r="C597" t="s">
        <v>2395</v>
      </c>
      <c r="E597" t="s">
        <v>2292</v>
      </c>
      <c r="F597" t="s">
        <v>2293</v>
      </c>
      <c r="G597">
        <v>791.3</v>
      </c>
      <c r="H597">
        <v>791.3</v>
      </c>
      <c r="I597" t="s">
        <v>40</v>
      </c>
      <c r="J597" t="s">
        <v>41</v>
      </c>
      <c r="K597" t="s">
        <v>31</v>
      </c>
      <c r="L597" t="s">
        <v>32</v>
      </c>
      <c r="M597" t="s">
        <v>33</v>
      </c>
      <c r="P597" s="1" t="s">
        <v>2396</v>
      </c>
      <c r="Q597" s="1" t="s">
        <v>2292</v>
      </c>
      <c r="R597" s="1" t="s">
        <v>1562</v>
      </c>
      <c r="S597" s="1"/>
      <c r="T597" s="1" t="s">
        <v>2397</v>
      </c>
      <c r="U597" s="1" t="s">
        <v>2398</v>
      </c>
      <c r="V597" s="1">
        <v>791.3</v>
      </c>
      <c r="W597" s="1">
        <v>791.3</v>
      </c>
      <c r="X597" s="1" t="s">
        <v>35</v>
      </c>
      <c r="Y597" s="1">
        <v>791500.0</v>
      </c>
      <c r="Z597" s="1">
        <v>-200</v>
      </c>
      <c r="AA597" s="1">
        <v>791500</v>
      </c>
      <c r="AB597" s="1">
        <v>-200</v>
      </c>
      <c r="AC597" s="1" t="s">
        <v>36</v>
      </c>
      <c r="AD597" s="1" t="s">
        <v>2399</v>
      </c>
      <c r="AE597" s="1" t="s">
        <v>32</v>
      </c>
      <c r="AF597" s="1" t="s">
        <v>33</v>
      </c>
      <c r="AG597" s="1" t="s">
        <v>41</v>
      </c>
    </row>
    <row r="598" spans="1:33">
      <c r="A598" t="s">
        <v>2400</v>
      </c>
      <c r="B598" t="s">
        <v>1280</v>
      </c>
      <c r="C598" t="s">
        <v>1281</v>
      </c>
      <c r="E598" t="s">
        <v>2292</v>
      </c>
      <c r="F598" t="s">
        <v>2293</v>
      </c>
      <c r="G598">
        <v>484.0</v>
      </c>
      <c r="H598">
        <v>484.0</v>
      </c>
      <c r="I598" t="s">
        <v>529</v>
      </c>
      <c r="J598" t="s">
        <v>530</v>
      </c>
      <c r="K598" t="s">
        <v>31</v>
      </c>
      <c r="L598" t="s">
        <v>32</v>
      </c>
      <c r="M598" t="s">
        <v>33</v>
      </c>
      <c r="P598" s="1" t="s">
        <v>2401</v>
      </c>
      <c r="Q598" s="1" t="s">
        <v>2292</v>
      </c>
      <c r="R598" s="1" t="s">
        <v>1562</v>
      </c>
      <c r="S598" s="1"/>
      <c r="T598" s="1" t="s">
        <v>1281</v>
      </c>
      <c r="U598" s="1"/>
      <c r="V598" s="1">
        <v>484.0</v>
      </c>
      <c r="W598" s="1">
        <v>484.0</v>
      </c>
      <c r="X598" s="1" t="s">
        <v>35</v>
      </c>
      <c r="Y598" s="1">
        <v>484000.0</v>
      </c>
      <c r="Z598" s="1"/>
      <c r="AA598" s="1">
        <v>484000</v>
      </c>
      <c r="AB598" s="1"/>
      <c r="AC598" s="1" t="s">
        <v>36</v>
      </c>
      <c r="AD598" s="1" t="s">
        <v>2399</v>
      </c>
      <c r="AE598" s="1" t="s">
        <v>32</v>
      </c>
      <c r="AF598" s="1" t="s">
        <v>33</v>
      </c>
      <c r="AG598" s="1" t="s">
        <v>530</v>
      </c>
    </row>
    <row r="599" spans="1:33">
      <c r="A599" t="s">
        <v>2402</v>
      </c>
      <c r="B599" t="s">
        <v>206</v>
      </c>
      <c r="C599" t="s">
        <v>207</v>
      </c>
      <c r="E599" t="s">
        <v>2292</v>
      </c>
      <c r="F599" t="s">
        <v>2293</v>
      </c>
      <c r="G599">
        <v>402.0</v>
      </c>
      <c r="H599">
        <v>402.0</v>
      </c>
      <c r="I599" t="s">
        <v>59</v>
      </c>
      <c r="J599" t="s">
        <v>60</v>
      </c>
      <c r="K599" t="s">
        <v>31</v>
      </c>
      <c r="L599" t="s">
        <v>32</v>
      </c>
      <c r="M599" t="s">
        <v>33</v>
      </c>
      <c r="P599" s="1" t="s">
        <v>2403</v>
      </c>
      <c r="Q599" s="1" t="s">
        <v>2292</v>
      </c>
      <c r="R599" s="1" t="s">
        <v>2292</v>
      </c>
      <c r="S599" s="1"/>
      <c r="T599" s="1" t="s">
        <v>207</v>
      </c>
      <c r="U599" s="1"/>
      <c r="V599" s="1">
        <v>402.0</v>
      </c>
      <c r="W599" s="1">
        <v>402.0</v>
      </c>
      <c r="X599" s="1" t="s">
        <v>35</v>
      </c>
      <c r="Y599" s="1">
        <v>402000.0</v>
      </c>
      <c r="Z599" s="1"/>
      <c r="AA599" s="1">
        <v>402000</v>
      </c>
      <c r="AB599" s="1"/>
      <c r="AC599" s="1" t="s">
        <v>36</v>
      </c>
      <c r="AD599" s="1" t="s">
        <v>2404</v>
      </c>
      <c r="AE599" s="1" t="s">
        <v>32</v>
      </c>
      <c r="AF599" s="1" t="s">
        <v>33</v>
      </c>
      <c r="AG599" s="1" t="s">
        <v>60</v>
      </c>
    </row>
    <row r="600" spans="1:33">
      <c r="A600" t="s">
        <v>2405</v>
      </c>
      <c r="B600" t="s">
        <v>2406</v>
      </c>
      <c r="C600" t="s">
        <v>68</v>
      </c>
      <c r="E600" t="s">
        <v>2292</v>
      </c>
      <c r="F600" t="s">
        <v>2293</v>
      </c>
      <c r="G600">
        <v>17.745</v>
      </c>
      <c r="H600">
        <v>17.745</v>
      </c>
      <c r="I600" t="s">
        <v>59</v>
      </c>
      <c r="J600" t="s">
        <v>60</v>
      </c>
      <c r="K600" t="s">
        <v>31</v>
      </c>
      <c r="L600" t="s">
        <v>32</v>
      </c>
      <c r="M600" t="s">
        <v>33</v>
      </c>
      <c r="P600" s="1" t="s">
        <v>2407</v>
      </c>
      <c r="Q600" s="1" t="s">
        <v>2292</v>
      </c>
      <c r="R600" s="1" t="s">
        <v>2292</v>
      </c>
      <c r="S600" s="1"/>
      <c r="T600" s="1" t="s">
        <v>68</v>
      </c>
      <c r="U600" s="1"/>
      <c r="V600" s="1">
        <v>17.745</v>
      </c>
      <c r="W600" s="1">
        <v>17.745</v>
      </c>
      <c r="X600" s="1" t="s">
        <v>35</v>
      </c>
      <c r="Y600" s="1">
        <v>17745.0</v>
      </c>
      <c r="Z600" s="1"/>
      <c r="AA600" s="1">
        <v>17745</v>
      </c>
      <c r="AB600" s="1"/>
      <c r="AC600" s="1" t="s">
        <v>36</v>
      </c>
      <c r="AD600" s="1" t="s">
        <v>2408</v>
      </c>
      <c r="AE600" s="1" t="s">
        <v>32</v>
      </c>
      <c r="AF600" s="1" t="s">
        <v>33</v>
      </c>
      <c r="AG600" s="1" t="s">
        <v>60</v>
      </c>
    </row>
    <row r="601" spans="1:33">
      <c r="A601" t="s">
        <v>2409</v>
      </c>
      <c r="C601" t="s">
        <v>2410</v>
      </c>
      <c r="E601" t="s">
        <v>2292</v>
      </c>
      <c r="F601" t="s">
        <v>2293</v>
      </c>
      <c r="G601">
        <v>1.376</v>
      </c>
      <c r="H601">
        <v>1.376</v>
      </c>
      <c r="I601" t="s">
        <v>269</v>
      </c>
      <c r="J601" t="s">
        <v>270</v>
      </c>
      <c r="K601" t="s">
        <v>31</v>
      </c>
      <c r="L601" t="s">
        <v>32</v>
      </c>
      <c r="M601" t="s">
        <v>33</v>
      </c>
      <c r="P601" s="1" t="s">
        <v>2411</v>
      </c>
      <c r="Q601" s="1" t="s">
        <v>2292</v>
      </c>
      <c r="R601" s="1" t="s">
        <v>2292</v>
      </c>
      <c r="S601" s="1"/>
      <c r="T601" s="1" t="s">
        <v>2410</v>
      </c>
      <c r="U601" s="1"/>
      <c r="V601" s="1">
        <v>1.376</v>
      </c>
      <c r="W601" s="1">
        <v>1.376</v>
      </c>
      <c r="X601" s="1" t="s">
        <v>35</v>
      </c>
      <c r="Y601" s="1">
        <v>1376000.0</v>
      </c>
      <c r="Z601" s="1"/>
      <c r="AA601" s="1">
        <v>1376000</v>
      </c>
      <c r="AB601" s="1"/>
      <c r="AC601" s="1" t="s">
        <v>36</v>
      </c>
      <c r="AD601" s="1" t="s">
        <v>2408</v>
      </c>
      <c r="AE601" s="1" t="s">
        <v>32</v>
      </c>
      <c r="AF601" s="1" t="s">
        <v>33</v>
      </c>
      <c r="AG601" s="1" t="s">
        <v>270</v>
      </c>
    </row>
    <row r="602" spans="1:33">
      <c r="A602" t="s">
        <v>2412</v>
      </c>
      <c r="B602" t="s">
        <v>2413</v>
      </c>
      <c r="C602" t="s">
        <v>172</v>
      </c>
      <c r="E602" t="s">
        <v>2292</v>
      </c>
      <c r="F602" t="s">
        <v>2293</v>
      </c>
      <c r="G602">
        <v>27.337</v>
      </c>
      <c r="H602">
        <v>27.337</v>
      </c>
      <c r="I602" t="s">
        <v>173</v>
      </c>
      <c r="J602" t="s">
        <v>174</v>
      </c>
      <c r="K602" t="s">
        <v>31</v>
      </c>
      <c r="L602" t="s">
        <v>32</v>
      </c>
      <c r="M602" t="s">
        <v>33</v>
      </c>
      <c r="P602" s="1" t="s">
        <v>2414</v>
      </c>
      <c r="Q602" s="1" t="s">
        <v>2292</v>
      </c>
      <c r="R602" s="1" t="s">
        <v>2292</v>
      </c>
      <c r="S602" s="1"/>
      <c r="T602" s="1" t="s">
        <v>172</v>
      </c>
      <c r="U602" s="1"/>
      <c r="V602" s="1">
        <v>27.337</v>
      </c>
      <c r="W602" s="1">
        <v>27.337</v>
      </c>
      <c r="X602" s="1" t="s">
        <v>35</v>
      </c>
      <c r="Y602" s="1">
        <v>27337.0</v>
      </c>
      <c r="Z602" s="1"/>
      <c r="AA602" s="1">
        <v>27337</v>
      </c>
      <c r="AB602" s="1"/>
      <c r="AC602" s="1" t="s">
        <v>36</v>
      </c>
      <c r="AD602" s="1" t="s">
        <v>2415</v>
      </c>
      <c r="AE602" s="1" t="s">
        <v>32</v>
      </c>
      <c r="AF602" s="1" t="s">
        <v>33</v>
      </c>
      <c r="AG602" s="1" t="s">
        <v>174</v>
      </c>
    </row>
    <row r="603" spans="1:33">
      <c r="A603" t="s">
        <v>2416</v>
      </c>
      <c r="C603" t="s">
        <v>2417</v>
      </c>
      <c r="E603" t="s">
        <v>2292</v>
      </c>
      <c r="F603" t="s">
        <v>2293</v>
      </c>
      <c r="G603">
        <v>820.0</v>
      </c>
      <c r="H603">
        <v>820.0</v>
      </c>
      <c r="I603" t="s">
        <v>269</v>
      </c>
      <c r="J603" t="s">
        <v>270</v>
      </c>
      <c r="K603" t="s">
        <v>31</v>
      </c>
      <c r="L603" t="s">
        <v>32</v>
      </c>
      <c r="M603" t="s">
        <v>33</v>
      </c>
      <c r="P603" s="1" t="s">
        <v>2418</v>
      </c>
      <c r="Q603" s="1" t="s">
        <v>2292</v>
      </c>
      <c r="R603" s="1" t="s">
        <v>2292</v>
      </c>
      <c r="S603" s="1"/>
      <c r="T603" s="1" t="s">
        <v>2419</v>
      </c>
      <c r="U603" s="1" t="s">
        <v>2420</v>
      </c>
      <c r="V603" s="1">
        <v>820.0</v>
      </c>
      <c r="W603" s="1">
        <v>820.0</v>
      </c>
      <c r="X603" s="1" t="s">
        <v>35</v>
      </c>
      <c r="Y603" s="1">
        <v>820000.0</v>
      </c>
      <c r="Z603" s="1"/>
      <c r="AA603" s="1">
        <v>820000</v>
      </c>
      <c r="AB603" s="1"/>
      <c r="AC603" s="1" t="s">
        <v>36</v>
      </c>
      <c r="AD603" s="1" t="s">
        <v>2415</v>
      </c>
      <c r="AE603" s="1" t="s">
        <v>32</v>
      </c>
      <c r="AF603" s="1" t="s">
        <v>33</v>
      </c>
      <c r="AG603" s="1" t="s">
        <v>270</v>
      </c>
    </row>
    <row r="604" spans="1:33">
      <c r="A604" t="s">
        <v>2421</v>
      </c>
      <c r="B604" t="s">
        <v>2422</v>
      </c>
      <c r="C604" t="s">
        <v>314</v>
      </c>
      <c r="E604" t="s">
        <v>2292</v>
      </c>
      <c r="F604" t="s">
        <v>2293</v>
      </c>
      <c r="G604">
        <v>37.49</v>
      </c>
      <c r="H604">
        <v>37.49</v>
      </c>
      <c r="I604" t="s">
        <v>179</v>
      </c>
      <c r="J604" t="s">
        <v>180</v>
      </c>
      <c r="K604" t="s">
        <v>31</v>
      </c>
      <c r="L604" t="s">
        <v>32</v>
      </c>
      <c r="M604" t="s">
        <v>33</v>
      </c>
      <c r="P604" s="1" t="s">
        <v>2423</v>
      </c>
      <c r="Q604" s="1" t="s">
        <v>2292</v>
      </c>
      <c r="R604" s="1" t="s">
        <v>2292</v>
      </c>
      <c r="S604" s="1"/>
      <c r="T604" s="1" t="s">
        <v>314</v>
      </c>
      <c r="U604" s="1"/>
      <c r="V604" s="1">
        <v>37.49</v>
      </c>
      <c r="W604" s="1">
        <v>37.49</v>
      </c>
      <c r="X604" s="1" t="s">
        <v>35</v>
      </c>
      <c r="Y604" s="1">
        <v>37490.0</v>
      </c>
      <c r="Z604" s="1"/>
      <c r="AA604" s="1">
        <v>37490</v>
      </c>
      <c r="AB604" s="1"/>
      <c r="AC604" s="1" t="s">
        <v>36</v>
      </c>
      <c r="AD604" s="1" t="s">
        <v>2424</v>
      </c>
      <c r="AE604" s="1" t="s">
        <v>32</v>
      </c>
      <c r="AF604" s="1" t="s">
        <v>33</v>
      </c>
      <c r="AG604" s="1" t="s">
        <v>180</v>
      </c>
    </row>
    <row r="605" spans="1:33">
      <c r="A605" t="s">
        <v>2425</v>
      </c>
      <c r="B605" t="s">
        <v>2426</v>
      </c>
      <c r="C605" t="s">
        <v>2223</v>
      </c>
      <c r="E605" t="s">
        <v>2292</v>
      </c>
      <c r="F605" t="s">
        <v>2293</v>
      </c>
      <c r="G605">
        <v>711.8</v>
      </c>
      <c r="H605">
        <v>711.8</v>
      </c>
      <c r="I605" t="s">
        <v>529</v>
      </c>
      <c r="J605" t="s">
        <v>530</v>
      </c>
      <c r="K605" t="s">
        <v>31</v>
      </c>
      <c r="L605" t="s">
        <v>32</v>
      </c>
      <c r="M605" t="s">
        <v>33</v>
      </c>
      <c r="P605" s="1" t="s">
        <v>2427</v>
      </c>
      <c r="Q605" s="1" t="s">
        <v>2292</v>
      </c>
      <c r="R605" s="1" t="s">
        <v>1562</v>
      </c>
      <c r="S605" s="1"/>
      <c r="T605" s="1" t="s">
        <v>2225</v>
      </c>
      <c r="U605" s="1" t="s">
        <v>2226</v>
      </c>
      <c r="V605" s="1">
        <v>711.8</v>
      </c>
      <c r="W605" s="1">
        <v>711.8</v>
      </c>
      <c r="X605" s="1" t="s">
        <v>35</v>
      </c>
      <c r="Y605" s="1">
        <v>711800.0</v>
      </c>
      <c r="Z605" s="1"/>
      <c r="AA605" s="1">
        <v>711800</v>
      </c>
      <c r="AB605" s="1"/>
      <c r="AC605" s="1" t="s">
        <v>36</v>
      </c>
      <c r="AD605" s="1" t="s">
        <v>2428</v>
      </c>
      <c r="AE605" s="1" t="s">
        <v>32</v>
      </c>
      <c r="AF605" s="1" t="s">
        <v>33</v>
      </c>
      <c r="AG605" s="1" t="s">
        <v>530</v>
      </c>
    </row>
    <row r="606" spans="1:33">
      <c r="A606" t="s">
        <v>2429</v>
      </c>
      <c r="B606" t="s">
        <v>2430</v>
      </c>
      <c r="C606" t="s">
        <v>172</v>
      </c>
      <c r="E606" t="s">
        <v>2292</v>
      </c>
      <c r="F606" t="s">
        <v>2293</v>
      </c>
      <c r="G606">
        <v>40.233</v>
      </c>
      <c r="H606">
        <v>40.233</v>
      </c>
      <c r="I606" t="s">
        <v>173</v>
      </c>
      <c r="J606" t="s">
        <v>174</v>
      </c>
      <c r="K606" t="s">
        <v>31</v>
      </c>
      <c r="L606" t="s">
        <v>32</v>
      </c>
      <c r="M606" t="s">
        <v>33</v>
      </c>
      <c r="P606" s="1" t="s">
        <v>2431</v>
      </c>
      <c r="Q606" s="1" t="s">
        <v>2292</v>
      </c>
      <c r="R606" s="1" t="s">
        <v>2292</v>
      </c>
      <c r="S606" s="1"/>
      <c r="T606" s="1" t="s">
        <v>172</v>
      </c>
      <c r="U606" s="1"/>
      <c r="V606" s="1">
        <v>40.233</v>
      </c>
      <c r="W606" s="1">
        <v>40.233</v>
      </c>
      <c r="X606" s="1" t="s">
        <v>35</v>
      </c>
      <c r="Y606" s="1">
        <v>40233.0</v>
      </c>
      <c r="Z606" s="1"/>
      <c r="AA606" s="1">
        <v>40233</v>
      </c>
      <c r="AB606" s="1"/>
      <c r="AC606" s="1" t="s">
        <v>36</v>
      </c>
      <c r="AD606" s="1" t="s">
        <v>2432</v>
      </c>
      <c r="AE606" s="1" t="s">
        <v>32</v>
      </c>
      <c r="AF606" s="1" t="s">
        <v>33</v>
      </c>
      <c r="AG606" s="1" t="s">
        <v>174</v>
      </c>
    </row>
    <row r="607" spans="1:33">
      <c r="A607" t="s">
        <v>2433</v>
      </c>
      <c r="C607" t="s">
        <v>2434</v>
      </c>
      <c r="D607" t="s">
        <v>154</v>
      </c>
      <c r="E607" t="s">
        <v>2292</v>
      </c>
      <c r="F607" t="s">
        <v>2293</v>
      </c>
      <c r="G607">
        <v>320.0</v>
      </c>
      <c r="H607">
        <v>320.0</v>
      </c>
      <c r="I607" t="s">
        <v>126</v>
      </c>
      <c r="J607" t="s">
        <v>127</v>
      </c>
      <c r="K607" t="s">
        <v>31</v>
      </c>
      <c r="L607" t="s">
        <v>32</v>
      </c>
      <c r="M607" t="s">
        <v>33</v>
      </c>
      <c r="P607" s="1" t="s">
        <v>2435</v>
      </c>
      <c r="Q607" s="1" t="s">
        <v>2292</v>
      </c>
      <c r="R607" s="1" t="s">
        <v>2292</v>
      </c>
      <c r="S607" s="1"/>
      <c r="T607" s="1" t="s">
        <v>2436</v>
      </c>
      <c r="U607" s="1" t="s">
        <v>2437</v>
      </c>
      <c r="V607" s="1">
        <v>320.0</v>
      </c>
      <c r="W607" s="1">
        <v>320.0</v>
      </c>
      <c r="X607" s="1" t="s">
        <v>35</v>
      </c>
      <c r="Y607" s="1">
        <v>320000.0</v>
      </c>
      <c r="Z607" s="1"/>
      <c r="AA607" s="1">
        <v>320000</v>
      </c>
      <c r="AB607" s="1"/>
      <c r="AC607" s="1" t="s">
        <v>36</v>
      </c>
      <c r="AD607" s="1" t="s">
        <v>2438</v>
      </c>
      <c r="AE607" s="1" t="s">
        <v>32</v>
      </c>
      <c r="AF607" s="1" t="s">
        <v>33</v>
      </c>
      <c r="AG607" s="1" t="s">
        <v>127</v>
      </c>
    </row>
    <row r="608" spans="1:33">
      <c r="A608" t="s">
        <v>2439</v>
      </c>
      <c r="C608" t="s">
        <v>1129</v>
      </c>
      <c r="E608" t="s">
        <v>2292</v>
      </c>
      <c r="F608" t="s">
        <v>2293</v>
      </c>
      <c r="G608">
        <v>336.0</v>
      </c>
      <c r="H608">
        <v>336.0</v>
      </c>
      <c r="I608" t="s">
        <v>48</v>
      </c>
      <c r="J608" t="s">
        <v>49</v>
      </c>
      <c r="K608" t="s">
        <v>31</v>
      </c>
      <c r="L608" t="s">
        <v>32</v>
      </c>
      <c r="M608" t="s">
        <v>33</v>
      </c>
      <c r="P608" s="1" t="s">
        <v>2440</v>
      </c>
      <c r="Q608" s="1" t="s">
        <v>2292</v>
      </c>
      <c r="R608" s="1" t="s">
        <v>2292</v>
      </c>
      <c r="S608" s="1"/>
      <c r="T608" s="1" t="s">
        <v>1129</v>
      </c>
      <c r="U608" s="1"/>
      <c r="V608" s="1">
        <v>336.0</v>
      </c>
      <c r="W608" s="1">
        <v>336.0</v>
      </c>
      <c r="X608" s="1" t="s">
        <v>35</v>
      </c>
      <c r="Y608" s="1">
        <v>336000.0</v>
      </c>
      <c r="Z608" s="1"/>
      <c r="AA608" s="1">
        <v>336000</v>
      </c>
      <c r="AB608" s="1"/>
      <c r="AC608" s="1" t="s">
        <v>36</v>
      </c>
      <c r="AD608" s="1" t="s">
        <v>2441</v>
      </c>
      <c r="AE608" s="1" t="s">
        <v>32</v>
      </c>
      <c r="AF608" s="1" t="s">
        <v>33</v>
      </c>
      <c r="AG608" s="1" t="s">
        <v>49</v>
      </c>
    </row>
    <row r="609" spans="1:33">
      <c r="A609" t="s">
        <v>2442</v>
      </c>
      <c r="B609" t="s">
        <v>510</v>
      </c>
      <c r="C609" t="s">
        <v>125</v>
      </c>
      <c r="E609" t="s">
        <v>2292</v>
      </c>
      <c r="F609" t="s">
        <v>2293</v>
      </c>
      <c r="G609">
        <v>109.95</v>
      </c>
      <c r="H609">
        <v>109.95</v>
      </c>
      <c r="I609" t="s">
        <v>126</v>
      </c>
      <c r="J609" t="s">
        <v>127</v>
      </c>
      <c r="K609" t="s">
        <v>31</v>
      </c>
      <c r="L609" t="s">
        <v>32</v>
      </c>
      <c r="M609" t="s">
        <v>33</v>
      </c>
      <c r="P609" s="1" t="s">
        <v>2443</v>
      </c>
      <c r="Q609" s="1" t="s">
        <v>2292</v>
      </c>
      <c r="R609" s="1" t="s">
        <v>2292</v>
      </c>
      <c r="S609" s="1"/>
      <c r="T609" s="1" t="s">
        <v>125</v>
      </c>
      <c r="U609" s="1"/>
      <c r="V609" s="1">
        <v>109.95</v>
      </c>
      <c r="W609" s="1">
        <v>109.95</v>
      </c>
      <c r="X609" s="1" t="s">
        <v>35</v>
      </c>
      <c r="Y609" s="1">
        <v>109950.0</v>
      </c>
      <c r="Z609" s="1"/>
      <c r="AA609" s="1">
        <v>109950</v>
      </c>
      <c r="AB609" s="1"/>
      <c r="AC609" s="1" t="s">
        <v>36</v>
      </c>
      <c r="AD609" s="1" t="s">
        <v>2444</v>
      </c>
      <c r="AE609" s="1" t="s">
        <v>32</v>
      </c>
      <c r="AF609" s="1" t="s">
        <v>33</v>
      </c>
      <c r="AG609" s="1" t="s">
        <v>127</v>
      </c>
    </row>
    <row r="610" spans="1:33">
      <c r="A610" t="s">
        <v>2445</v>
      </c>
      <c r="C610" t="s">
        <v>1012</v>
      </c>
      <c r="D610" t="s">
        <v>114</v>
      </c>
      <c r="E610" t="s">
        <v>2292</v>
      </c>
      <c r="F610" t="s">
        <v>2293</v>
      </c>
      <c r="G610">
        <v>461.0</v>
      </c>
      <c r="H610">
        <v>461.0</v>
      </c>
      <c r="I610" t="s">
        <v>847</v>
      </c>
      <c r="J610" t="s">
        <v>848</v>
      </c>
      <c r="K610" t="s">
        <v>31</v>
      </c>
      <c r="L610" t="s">
        <v>32</v>
      </c>
      <c r="M610" t="s">
        <v>33</v>
      </c>
      <c r="P610" s="1" t="s">
        <v>2446</v>
      </c>
      <c r="Q610" s="1" t="s">
        <v>2292</v>
      </c>
      <c r="R610" s="1" t="s">
        <v>2292</v>
      </c>
      <c r="S610" s="1"/>
      <c r="T610" s="1" t="s">
        <v>1012</v>
      </c>
      <c r="U610" s="1"/>
      <c r="V610" s="1">
        <v>461.0</v>
      </c>
      <c r="W610" s="1">
        <v>461.0</v>
      </c>
      <c r="X610" s="1" t="s">
        <v>35</v>
      </c>
      <c r="Y610" s="1">
        <v>461000.0</v>
      </c>
      <c r="Z610" s="1"/>
      <c r="AA610" s="1">
        <v>461000</v>
      </c>
      <c r="AB610" s="1"/>
      <c r="AC610" s="1" t="s">
        <v>36</v>
      </c>
      <c r="AD610" s="1" t="s">
        <v>2447</v>
      </c>
      <c r="AE610" s="1" t="s">
        <v>32</v>
      </c>
      <c r="AF610" s="1" t="s">
        <v>33</v>
      </c>
      <c r="AG610" s="1" t="s">
        <v>848</v>
      </c>
    </row>
    <row r="611" spans="1:33">
      <c r="A611" t="s">
        <v>2448</v>
      </c>
      <c r="B611" t="s">
        <v>2449</v>
      </c>
      <c r="C611" t="s">
        <v>268</v>
      </c>
      <c r="E611" t="s">
        <v>2292</v>
      </c>
      <c r="F611" t="s">
        <v>2293</v>
      </c>
      <c r="G611">
        <v>66.65</v>
      </c>
      <c r="H611">
        <v>66.65</v>
      </c>
      <c r="I611" t="s">
        <v>269</v>
      </c>
      <c r="J611" t="s">
        <v>270</v>
      </c>
      <c r="K611" t="s">
        <v>31</v>
      </c>
      <c r="L611" t="s">
        <v>32</v>
      </c>
      <c r="M611" t="s">
        <v>33</v>
      </c>
      <c r="P611" s="1" t="s">
        <v>2450</v>
      </c>
      <c r="Q611" s="1" t="s">
        <v>2292</v>
      </c>
      <c r="R611" s="1" t="s">
        <v>2292</v>
      </c>
      <c r="S611" s="1"/>
      <c r="T611" s="1" t="s">
        <v>268</v>
      </c>
      <c r="U611" s="1"/>
      <c r="V611" s="1">
        <v>66.65</v>
      </c>
      <c r="W611" s="1">
        <v>66.65</v>
      </c>
      <c r="X611" s="1" t="s">
        <v>35</v>
      </c>
      <c r="Y611" s="1">
        <v>66650.0</v>
      </c>
      <c r="Z611" s="1"/>
      <c r="AA611" s="1">
        <v>66650</v>
      </c>
      <c r="AB611" s="1"/>
      <c r="AC611" s="1" t="s">
        <v>36</v>
      </c>
      <c r="AD611" s="1" t="s">
        <v>2451</v>
      </c>
      <c r="AE611" s="1" t="s">
        <v>32</v>
      </c>
      <c r="AF611" s="1" t="s">
        <v>33</v>
      </c>
      <c r="AG611" s="1" t="s">
        <v>270</v>
      </c>
    </row>
    <row r="612" spans="1:33">
      <c r="A612" t="s">
        <v>2452</v>
      </c>
      <c r="B612" t="s">
        <v>2453</v>
      </c>
      <c r="C612" t="s">
        <v>906</v>
      </c>
      <c r="E612" t="s">
        <v>2292</v>
      </c>
      <c r="F612" t="s">
        <v>2293</v>
      </c>
      <c r="G612">
        <v>7.5</v>
      </c>
      <c r="H612">
        <v>7.5</v>
      </c>
      <c r="I612" t="s">
        <v>847</v>
      </c>
      <c r="J612" t="s">
        <v>848</v>
      </c>
      <c r="K612" t="s">
        <v>31</v>
      </c>
      <c r="L612" t="s">
        <v>32</v>
      </c>
      <c r="M612" t="s">
        <v>33</v>
      </c>
      <c r="P612" s="1" t="s">
        <v>2454</v>
      </c>
      <c r="Q612" s="1" t="s">
        <v>2292</v>
      </c>
      <c r="R612" s="1" t="s">
        <v>2292</v>
      </c>
      <c r="S612" s="1"/>
      <c r="T612" s="1" t="s">
        <v>906</v>
      </c>
      <c r="U612" s="1"/>
      <c r="V612" s="1">
        <v>7.5</v>
      </c>
      <c r="W612" s="1">
        <v>7.5</v>
      </c>
      <c r="X612" s="1" t="s">
        <v>35</v>
      </c>
      <c r="Y612" s="1">
        <v>7500.0</v>
      </c>
      <c r="Z612" s="1"/>
      <c r="AA612" s="1">
        <v>7500</v>
      </c>
      <c r="AB612" s="1"/>
      <c r="AC612" s="1" t="s">
        <v>36</v>
      </c>
      <c r="AD612" s="1" t="s">
        <v>2455</v>
      </c>
      <c r="AE612" s="1" t="s">
        <v>32</v>
      </c>
      <c r="AF612" s="1" t="s">
        <v>33</v>
      </c>
      <c r="AG612" s="1" t="s">
        <v>848</v>
      </c>
    </row>
    <row r="613" spans="1:33">
      <c r="A613" t="s">
        <v>2456</v>
      </c>
      <c r="B613" t="s">
        <v>1800</v>
      </c>
      <c r="C613" t="s">
        <v>906</v>
      </c>
      <c r="E613" t="s">
        <v>2292</v>
      </c>
      <c r="F613" t="s">
        <v>2293</v>
      </c>
      <c r="G613">
        <v>4.3</v>
      </c>
      <c r="H613">
        <v>4.3</v>
      </c>
      <c r="I613" t="s">
        <v>847</v>
      </c>
      <c r="J613" t="s">
        <v>848</v>
      </c>
      <c r="K613" t="s">
        <v>31</v>
      </c>
      <c r="L613" t="s">
        <v>32</v>
      </c>
      <c r="M613" t="s">
        <v>33</v>
      </c>
      <c r="P613" s="1" t="s">
        <v>2457</v>
      </c>
      <c r="Q613" s="1" t="s">
        <v>2292</v>
      </c>
      <c r="R613" s="1" t="s">
        <v>2292</v>
      </c>
      <c r="S613" s="1"/>
      <c r="T613" s="1" t="s">
        <v>906</v>
      </c>
      <c r="U613" s="1"/>
      <c r="V613" s="1">
        <v>4.3</v>
      </c>
      <c r="W613" s="1">
        <v>4.3</v>
      </c>
      <c r="X613" s="1" t="s">
        <v>35</v>
      </c>
      <c r="Y613" s="1">
        <v>4300.0</v>
      </c>
      <c r="Z613" s="1"/>
      <c r="AA613" s="1">
        <v>4300</v>
      </c>
      <c r="AB613" s="1"/>
      <c r="AC613" s="1" t="s">
        <v>36</v>
      </c>
      <c r="AD613" s="1" t="s">
        <v>2451</v>
      </c>
      <c r="AE613" s="1" t="s">
        <v>32</v>
      </c>
      <c r="AF613" s="1" t="s">
        <v>33</v>
      </c>
      <c r="AG613" s="1" t="s">
        <v>848</v>
      </c>
    </row>
    <row r="614" spans="1:33">
      <c r="A614" t="s">
        <v>2458</v>
      </c>
      <c r="B614" t="s">
        <v>2459</v>
      </c>
      <c r="C614" t="s">
        <v>125</v>
      </c>
      <c r="E614" t="s">
        <v>2292</v>
      </c>
      <c r="F614" t="s">
        <v>2293</v>
      </c>
      <c r="G614">
        <v>16.454</v>
      </c>
      <c r="H614">
        <v>16.454</v>
      </c>
      <c r="I614" t="s">
        <v>126</v>
      </c>
      <c r="J614" t="s">
        <v>127</v>
      </c>
      <c r="K614" t="s">
        <v>31</v>
      </c>
      <c r="L614" t="s">
        <v>32</v>
      </c>
      <c r="M614" t="s">
        <v>33</v>
      </c>
      <c r="P614" s="1" t="s">
        <v>2460</v>
      </c>
      <c r="Q614" s="1" t="s">
        <v>2292</v>
      </c>
      <c r="R614" s="1" t="s">
        <v>2292</v>
      </c>
      <c r="S614" s="1"/>
      <c r="T614" s="1" t="s">
        <v>125</v>
      </c>
      <c r="U614" s="1"/>
      <c r="V614" s="1">
        <v>16.454</v>
      </c>
      <c r="W614" s="1">
        <v>16.454</v>
      </c>
      <c r="X614" s="1" t="s">
        <v>35</v>
      </c>
      <c r="Y614" s="1">
        <v>16454.0</v>
      </c>
      <c r="Z614" s="1"/>
      <c r="AA614" s="1">
        <v>16454</v>
      </c>
      <c r="AB614" s="1"/>
      <c r="AC614" s="1" t="s">
        <v>36</v>
      </c>
      <c r="AD614" s="1" t="s">
        <v>2461</v>
      </c>
      <c r="AE614" s="1" t="s">
        <v>32</v>
      </c>
      <c r="AF614" s="1" t="s">
        <v>33</v>
      </c>
      <c r="AG614" s="1" t="s">
        <v>127</v>
      </c>
    </row>
    <row r="615" spans="1:33">
      <c r="A615" t="s">
        <v>2462</v>
      </c>
      <c r="B615" t="s">
        <v>2463</v>
      </c>
      <c r="C615" t="s">
        <v>125</v>
      </c>
      <c r="E615" t="s">
        <v>2292</v>
      </c>
      <c r="F615" t="s">
        <v>2293</v>
      </c>
      <c r="G615">
        <v>28.6</v>
      </c>
      <c r="H615">
        <v>28.6</v>
      </c>
      <c r="I615" t="s">
        <v>126</v>
      </c>
      <c r="J615" t="s">
        <v>127</v>
      </c>
      <c r="K615" t="s">
        <v>31</v>
      </c>
      <c r="L615" t="s">
        <v>32</v>
      </c>
      <c r="M615" t="s">
        <v>33</v>
      </c>
      <c r="P615" s="1" t="s">
        <v>2464</v>
      </c>
      <c r="Q615" s="1" t="s">
        <v>2292</v>
      </c>
      <c r="R615" s="1" t="s">
        <v>2292</v>
      </c>
      <c r="S615" s="1"/>
      <c r="T615" s="1" t="s">
        <v>125</v>
      </c>
      <c r="U615" s="1"/>
      <c r="V615" s="1">
        <v>28.6</v>
      </c>
      <c r="W615" s="1">
        <v>28.6</v>
      </c>
      <c r="X615" s="1" t="s">
        <v>35</v>
      </c>
      <c r="Y615" s="1">
        <v>28600.0</v>
      </c>
      <c r="Z615" s="1"/>
      <c r="AA615" s="1">
        <v>28600</v>
      </c>
      <c r="AB615" s="1"/>
      <c r="AC615" s="1" t="s">
        <v>36</v>
      </c>
      <c r="AD615" s="1" t="s">
        <v>2465</v>
      </c>
      <c r="AE615" s="1" t="s">
        <v>32</v>
      </c>
      <c r="AF615" s="1" t="s">
        <v>33</v>
      </c>
      <c r="AG615" s="1" t="s">
        <v>127</v>
      </c>
    </row>
    <row r="616" spans="1:33">
      <c r="A616" t="s">
        <v>2466</v>
      </c>
      <c r="C616" t="s">
        <v>2467</v>
      </c>
      <c r="E616" t="s">
        <v>2292</v>
      </c>
      <c r="F616" t="s">
        <v>2293</v>
      </c>
      <c r="G616">
        <v>642.0</v>
      </c>
      <c r="H616">
        <v>642.0</v>
      </c>
      <c r="I616" t="s">
        <v>227</v>
      </c>
      <c r="J616" t="s">
        <v>228</v>
      </c>
      <c r="K616" t="s">
        <v>31</v>
      </c>
      <c r="L616" t="s">
        <v>32</v>
      </c>
      <c r="M616" t="s">
        <v>33</v>
      </c>
      <c r="P616" s="1" t="s">
        <v>2468</v>
      </c>
      <c r="Q616" s="1" t="s">
        <v>2292</v>
      </c>
      <c r="R616" s="1" t="s">
        <v>2292</v>
      </c>
      <c r="S616" s="1"/>
      <c r="T616" s="1" t="s">
        <v>2467</v>
      </c>
      <c r="U616" s="1"/>
      <c r="V616" s="1">
        <v>642.0</v>
      </c>
      <c r="W616" s="1">
        <v>642.0</v>
      </c>
      <c r="X616" s="1" t="s">
        <v>35</v>
      </c>
      <c r="Y616" s="1">
        <v>642000.0</v>
      </c>
      <c r="Z616" s="1"/>
      <c r="AA616" s="1">
        <v>642000</v>
      </c>
      <c r="AB616" s="1"/>
      <c r="AC616" s="1" t="s">
        <v>36</v>
      </c>
      <c r="AD616" s="1" t="s">
        <v>2469</v>
      </c>
      <c r="AE616" s="1" t="s">
        <v>32</v>
      </c>
      <c r="AF616" s="1" t="s">
        <v>33</v>
      </c>
      <c r="AG616" s="1" t="s">
        <v>228</v>
      </c>
    </row>
    <row r="617" spans="1:33">
      <c r="A617" t="s">
        <v>2470</v>
      </c>
      <c r="C617" t="s">
        <v>725</v>
      </c>
      <c r="E617" t="s">
        <v>2292</v>
      </c>
      <c r="F617" t="s">
        <v>2293</v>
      </c>
      <c r="G617">
        <v>2.06</v>
      </c>
      <c r="H617">
        <v>2.06</v>
      </c>
      <c r="I617" t="s">
        <v>136</v>
      </c>
      <c r="J617" t="s">
        <v>137</v>
      </c>
      <c r="K617" t="s">
        <v>31</v>
      </c>
      <c r="L617" t="s">
        <v>32</v>
      </c>
      <c r="M617" t="s">
        <v>33</v>
      </c>
      <c r="P617" s="1" t="s">
        <v>2471</v>
      </c>
      <c r="Q617" s="1" t="s">
        <v>2292</v>
      </c>
      <c r="R617" s="1" t="s">
        <v>2292</v>
      </c>
      <c r="S617" s="1"/>
      <c r="T617" s="1" t="s">
        <v>725</v>
      </c>
      <c r="U617" s="1"/>
      <c r="V617" s="1">
        <v>2.06</v>
      </c>
      <c r="W617" s="1">
        <v>2.06</v>
      </c>
      <c r="X617" s="1" t="s">
        <v>35</v>
      </c>
      <c r="Y617" s="1">
        <v>2060000.0</v>
      </c>
      <c r="Z617" s="1"/>
      <c r="AA617" s="1">
        <v>2060000</v>
      </c>
      <c r="AB617" s="1"/>
      <c r="AC617" s="1" t="s">
        <v>36</v>
      </c>
      <c r="AD617" s="1" t="s">
        <v>2472</v>
      </c>
      <c r="AE617" s="1" t="s">
        <v>32</v>
      </c>
      <c r="AF617" s="1" t="s">
        <v>33</v>
      </c>
      <c r="AG617" s="1" t="s">
        <v>137</v>
      </c>
    </row>
    <row r="618" spans="1:33">
      <c r="A618" t="s">
        <v>2473</v>
      </c>
      <c r="C618" t="s">
        <v>2474</v>
      </c>
      <c r="E618" t="s">
        <v>2292</v>
      </c>
      <c r="F618" t="s">
        <v>2293</v>
      </c>
      <c r="G618">
        <v>712.25</v>
      </c>
      <c r="H618">
        <v>712.25</v>
      </c>
      <c r="I618" t="s">
        <v>179</v>
      </c>
      <c r="J618" t="s">
        <v>180</v>
      </c>
      <c r="K618" t="s">
        <v>31</v>
      </c>
      <c r="L618" t="s">
        <v>32</v>
      </c>
      <c r="M618" t="s">
        <v>33</v>
      </c>
      <c r="P618" s="1" t="s">
        <v>2475</v>
      </c>
      <c r="Q618" s="1" t="s">
        <v>2292</v>
      </c>
      <c r="R618" s="1" t="s">
        <v>2292</v>
      </c>
      <c r="S618" s="1"/>
      <c r="T618" s="1" t="s">
        <v>2474</v>
      </c>
      <c r="U618" s="1"/>
      <c r="V618" s="1">
        <v>712.25</v>
      </c>
      <c r="W618" s="1">
        <v>712.25</v>
      </c>
      <c r="X618" s="1" t="s">
        <v>35</v>
      </c>
      <c r="Y618" s="1">
        <v>712250.0</v>
      </c>
      <c r="Z618" s="1"/>
      <c r="AA618" s="1">
        <v>712250</v>
      </c>
      <c r="AB618" s="1"/>
      <c r="AC618" s="1" t="s">
        <v>36</v>
      </c>
      <c r="AD618" s="1" t="s">
        <v>2476</v>
      </c>
      <c r="AE618" s="1" t="s">
        <v>32</v>
      </c>
      <c r="AF618" s="1" t="s">
        <v>33</v>
      </c>
      <c r="AG618" s="1" t="s">
        <v>180</v>
      </c>
    </row>
    <row r="619" spans="1:33">
      <c r="A619" t="s">
        <v>2477</v>
      </c>
      <c r="B619" t="s">
        <v>2478</v>
      </c>
      <c r="C619" t="s">
        <v>569</v>
      </c>
      <c r="E619" t="s">
        <v>2292</v>
      </c>
      <c r="F619" t="s">
        <v>2293</v>
      </c>
      <c r="G619">
        <v>17.79</v>
      </c>
      <c r="H619">
        <v>17.79</v>
      </c>
      <c r="I619" t="s">
        <v>570</v>
      </c>
      <c r="J619" t="s">
        <v>571</v>
      </c>
      <c r="K619" t="s">
        <v>31</v>
      </c>
      <c r="L619" t="s">
        <v>32</v>
      </c>
      <c r="M619" t="s">
        <v>33</v>
      </c>
      <c r="P619" s="1" t="s">
        <v>2479</v>
      </c>
      <c r="Q619" s="1" t="s">
        <v>2292</v>
      </c>
      <c r="R619" s="1" t="s">
        <v>2292</v>
      </c>
      <c r="S619" s="1"/>
      <c r="T619" s="1" t="s">
        <v>569</v>
      </c>
      <c r="U619" s="1"/>
      <c r="V619" s="1">
        <v>17.79</v>
      </c>
      <c r="W619" s="1">
        <v>17.79</v>
      </c>
      <c r="X619" s="1" t="s">
        <v>35</v>
      </c>
      <c r="Y619" s="1">
        <v>17790.0</v>
      </c>
      <c r="Z619" s="1"/>
      <c r="AA619" s="1">
        <v>17790</v>
      </c>
      <c r="AB619" s="1"/>
      <c r="AC619" s="1" t="s">
        <v>36</v>
      </c>
      <c r="AD619" s="1" t="s">
        <v>2480</v>
      </c>
      <c r="AE619" s="1" t="s">
        <v>32</v>
      </c>
      <c r="AF619" s="1" t="s">
        <v>33</v>
      </c>
      <c r="AG619" s="1" t="s">
        <v>571</v>
      </c>
    </row>
    <row r="620" spans="1:33">
      <c r="A620" t="s">
        <v>2481</v>
      </c>
      <c r="B620" t="s">
        <v>1649</v>
      </c>
      <c r="C620" t="s">
        <v>1408</v>
      </c>
      <c r="E620" t="s">
        <v>2292</v>
      </c>
      <c r="F620" t="s">
        <v>2293</v>
      </c>
      <c r="G620">
        <v>672.946</v>
      </c>
      <c r="H620">
        <v>672.946</v>
      </c>
      <c r="I620" t="s">
        <v>529</v>
      </c>
      <c r="J620" t="s">
        <v>530</v>
      </c>
      <c r="K620" t="s">
        <v>31</v>
      </c>
      <c r="L620" t="s">
        <v>32</v>
      </c>
      <c r="M620" t="s">
        <v>33</v>
      </c>
      <c r="P620" s="1" t="s">
        <v>2482</v>
      </c>
      <c r="Q620" s="1" t="s">
        <v>2292</v>
      </c>
      <c r="R620" s="1" t="s">
        <v>1562</v>
      </c>
      <c r="S620" s="1"/>
      <c r="T620" s="1" t="s">
        <v>1408</v>
      </c>
      <c r="U620" s="1"/>
      <c r="V620" s="1">
        <v>672.946</v>
      </c>
      <c r="W620" s="1">
        <v>672.946</v>
      </c>
      <c r="X620" s="1" t="s">
        <v>35</v>
      </c>
      <c r="Y620" s="1">
        <v>672946.0</v>
      </c>
      <c r="Z620" s="1"/>
      <c r="AA620" s="1">
        <v>672946</v>
      </c>
      <c r="AB620" s="1"/>
      <c r="AC620" s="1" t="s">
        <v>36</v>
      </c>
      <c r="AD620" s="1" t="s">
        <v>2483</v>
      </c>
      <c r="AE620" s="1" t="s">
        <v>32</v>
      </c>
      <c r="AF620" s="1" t="s">
        <v>33</v>
      </c>
      <c r="AG620" s="1" t="s">
        <v>530</v>
      </c>
    </row>
    <row r="621" spans="1:33">
      <c r="A621" t="s">
        <v>2484</v>
      </c>
      <c r="C621" t="s">
        <v>2485</v>
      </c>
      <c r="E621" t="s">
        <v>2292</v>
      </c>
      <c r="F621" t="s">
        <v>2293</v>
      </c>
      <c r="G621">
        <v>790.0</v>
      </c>
      <c r="H621">
        <v>790.0</v>
      </c>
      <c r="I621" t="s">
        <v>136</v>
      </c>
      <c r="J621" t="s">
        <v>137</v>
      </c>
      <c r="K621" t="s">
        <v>31</v>
      </c>
      <c r="L621" t="s">
        <v>32</v>
      </c>
      <c r="M621" t="s">
        <v>33</v>
      </c>
      <c r="P621" s="1" t="s">
        <v>2486</v>
      </c>
      <c r="Q621" s="1" t="s">
        <v>2292</v>
      </c>
      <c r="R621" s="1" t="s">
        <v>2292</v>
      </c>
      <c r="S621" s="1"/>
      <c r="T621" s="1" t="s">
        <v>2485</v>
      </c>
      <c r="U621" s="1"/>
      <c r="V621" s="1">
        <v>790.0</v>
      </c>
      <c r="W621" s="1">
        <v>790.0</v>
      </c>
      <c r="X621" s="1" t="s">
        <v>35</v>
      </c>
      <c r="Y621" s="1">
        <v>790000.0</v>
      </c>
      <c r="Z621" s="1"/>
      <c r="AA621" s="1">
        <v>790000</v>
      </c>
      <c r="AB621" s="1"/>
      <c r="AC621" s="1" t="s">
        <v>36</v>
      </c>
      <c r="AD621" s="1" t="s">
        <v>2487</v>
      </c>
      <c r="AE621" s="1" t="s">
        <v>32</v>
      </c>
      <c r="AF621" s="1" t="s">
        <v>33</v>
      </c>
      <c r="AG621" s="1" t="s">
        <v>137</v>
      </c>
    </row>
    <row r="622" spans="1:33">
      <c r="A622" t="s">
        <v>2488</v>
      </c>
      <c r="B622" t="s">
        <v>2489</v>
      </c>
      <c r="C622" t="s">
        <v>2490</v>
      </c>
      <c r="D622" t="s">
        <v>154</v>
      </c>
      <c r="E622" t="s">
        <v>2292</v>
      </c>
      <c r="F622" t="s">
        <v>2293</v>
      </c>
      <c r="G622">
        <v>425.3</v>
      </c>
      <c r="H622">
        <v>425.3</v>
      </c>
      <c r="I622" t="s">
        <v>529</v>
      </c>
      <c r="J622" t="s">
        <v>530</v>
      </c>
      <c r="K622" t="s">
        <v>31</v>
      </c>
      <c r="L622" t="s">
        <v>32</v>
      </c>
      <c r="M622" t="s">
        <v>33</v>
      </c>
      <c r="P622" s="1" t="s">
        <v>2491</v>
      </c>
      <c r="Q622" s="1" t="s">
        <v>2292</v>
      </c>
      <c r="R622" s="1" t="s">
        <v>1562</v>
      </c>
      <c r="S622" s="1"/>
      <c r="T622" s="1" t="s">
        <v>2490</v>
      </c>
      <c r="U622" s="1"/>
      <c r="V622" s="1">
        <v>425.3</v>
      </c>
      <c r="W622" s="1">
        <v>425.3</v>
      </c>
      <c r="X622" s="1" t="s">
        <v>35</v>
      </c>
      <c r="Y622" s="1">
        <v>425300.0</v>
      </c>
      <c r="Z622" s="1"/>
      <c r="AA622" s="1">
        <v>425300</v>
      </c>
      <c r="AB622" s="1"/>
      <c r="AC622" s="1" t="s">
        <v>36</v>
      </c>
      <c r="AD622" s="1" t="s">
        <v>2492</v>
      </c>
      <c r="AE622" s="1" t="s">
        <v>32</v>
      </c>
      <c r="AF622" s="1" t="s">
        <v>33</v>
      </c>
      <c r="AG622" s="1" t="s">
        <v>530</v>
      </c>
    </row>
    <row r="623" spans="1:33">
      <c r="A623" t="s">
        <v>2493</v>
      </c>
      <c r="B623" t="s">
        <v>2494</v>
      </c>
      <c r="C623" t="s">
        <v>125</v>
      </c>
      <c r="E623" t="s">
        <v>2292</v>
      </c>
      <c r="F623" t="s">
        <v>2293</v>
      </c>
      <c r="G623">
        <v>66.47</v>
      </c>
      <c r="H623">
        <v>66.47</v>
      </c>
      <c r="I623" t="s">
        <v>126</v>
      </c>
      <c r="J623" t="s">
        <v>127</v>
      </c>
      <c r="K623" t="s">
        <v>31</v>
      </c>
      <c r="L623" t="s">
        <v>32</v>
      </c>
      <c r="M623" t="s">
        <v>33</v>
      </c>
      <c r="P623" s="1" t="s">
        <v>2495</v>
      </c>
      <c r="Q623" s="1" t="s">
        <v>2292</v>
      </c>
      <c r="R623" s="1" t="s">
        <v>2292</v>
      </c>
      <c r="S623" s="1"/>
      <c r="T623" s="1" t="s">
        <v>125</v>
      </c>
      <c r="U623" s="1"/>
      <c r="V623" s="1">
        <v>66.47</v>
      </c>
      <c r="W623" s="1">
        <v>66.47</v>
      </c>
      <c r="X623" s="1" t="s">
        <v>35</v>
      </c>
      <c r="Y623" s="1">
        <v>66470.0</v>
      </c>
      <c r="Z623" s="1"/>
      <c r="AA623" s="1">
        <v>66470</v>
      </c>
      <c r="AB623" s="1"/>
      <c r="AC623" s="1" t="s">
        <v>36</v>
      </c>
      <c r="AD623" s="1" t="s">
        <v>2496</v>
      </c>
      <c r="AE623" s="1" t="s">
        <v>32</v>
      </c>
      <c r="AF623" s="1" t="s">
        <v>33</v>
      </c>
      <c r="AG623" s="1" t="s">
        <v>127</v>
      </c>
    </row>
    <row r="624" spans="1:33">
      <c r="A624" t="s">
        <v>2497</v>
      </c>
      <c r="C624" t="s">
        <v>2498</v>
      </c>
      <c r="E624" t="s">
        <v>2292</v>
      </c>
      <c r="F624" t="s">
        <v>2293</v>
      </c>
      <c r="G624">
        <v>104.0</v>
      </c>
      <c r="H624">
        <v>104.0</v>
      </c>
      <c r="I624" t="s">
        <v>269</v>
      </c>
      <c r="J624" t="s">
        <v>270</v>
      </c>
      <c r="K624" t="s">
        <v>31</v>
      </c>
      <c r="L624" t="s">
        <v>32</v>
      </c>
      <c r="M624" t="s">
        <v>33</v>
      </c>
      <c r="P624" s="1" t="s">
        <v>2499</v>
      </c>
      <c r="Q624" s="1" t="s">
        <v>2292</v>
      </c>
      <c r="R624" s="1" t="s">
        <v>2292</v>
      </c>
      <c r="S624" s="1"/>
      <c r="T624" s="1" t="s">
        <v>2500</v>
      </c>
      <c r="U624" s="1" t="s">
        <v>2501</v>
      </c>
      <c r="V624" s="1">
        <v>104.0</v>
      </c>
      <c r="W624" s="1">
        <v>104.0</v>
      </c>
      <c r="X624" s="1" t="s">
        <v>35</v>
      </c>
      <c r="Y624" s="1">
        <v>104000.0</v>
      </c>
      <c r="Z624" s="1"/>
      <c r="AA624" s="1">
        <v>104000</v>
      </c>
      <c r="AB624" s="1"/>
      <c r="AC624" s="1" t="s">
        <v>36</v>
      </c>
      <c r="AD624" s="1" t="s">
        <v>2502</v>
      </c>
      <c r="AE624" s="1" t="s">
        <v>32</v>
      </c>
      <c r="AF624" s="1" t="s">
        <v>33</v>
      </c>
      <c r="AG624" s="1" t="s">
        <v>270</v>
      </c>
    </row>
    <row r="625" spans="1:33">
      <c r="A625" t="s">
        <v>2503</v>
      </c>
      <c r="B625" t="s">
        <v>2504</v>
      </c>
      <c r="C625" t="s">
        <v>268</v>
      </c>
      <c r="E625" t="s">
        <v>2292</v>
      </c>
      <c r="F625" t="s">
        <v>2293</v>
      </c>
      <c r="G625">
        <v>306.65</v>
      </c>
      <c r="H625">
        <v>306.65</v>
      </c>
      <c r="I625" t="s">
        <v>269</v>
      </c>
      <c r="J625" t="s">
        <v>270</v>
      </c>
      <c r="K625" t="s">
        <v>31</v>
      </c>
      <c r="L625" t="s">
        <v>32</v>
      </c>
      <c r="M625" t="s">
        <v>33</v>
      </c>
      <c r="P625" s="1" t="s">
        <v>2505</v>
      </c>
      <c r="Q625" s="1" t="s">
        <v>2292</v>
      </c>
      <c r="R625" s="1" t="s">
        <v>2292</v>
      </c>
      <c r="S625" s="1"/>
      <c r="T625" s="1" t="s">
        <v>268</v>
      </c>
      <c r="U625" s="1"/>
      <c r="V625" s="1">
        <v>306.65</v>
      </c>
      <c r="W625" s="1">
        <v>306.65</v>
      </c>
      <c r="X625" s="1" t="s">
        <v>35</v>
      </c>
      <c r="Y625" s="1">
        <v>306650.0</v>
      </c>
      <c r="Z625" s="1"/>
      <c r="AA625" s="1">
        <v>306650</v>
      </c>
      <c r="AB625" s="1"/>
      <c r="AC625" s="1" t="s">
        <v>36</v>
      </c>
      <c r="AD625" s="1" t="s">
        <v>2506</v>
      </c>
      <c r="AE625" s="1" t="s">
        <v>32</v>
      </c>
      <c r="AF625" s="1" t="s">
        <v>33</v>
      </c>
      <c r="AG625" s="1" t="s">
        <v>270</v>
      </c>
    </row>
    <row r="626" spans="1:33">
      <c r="A626" t="s">
        <v>2507</v>
      </c>
      <c r="C626" t="s">
        <v>2508</v>
      </c>
      <c r="E626" t="s">
        <v>2292</v>
      </c>
      <c r="F626" t="s">
        <v>2293</v>
      </c>
      <c r="G626">
        <v>328.0</v>
      </c>
      <c r="H626">
        <v>328.0</v>
      </c>
      <c r="I626" t="s">
        <v>269</v>
      </c>
      <c r="J626" t="s">
        <v>270</v>
      </c>
      <c r="K626" t="s">
        <v>31</v>
      </c>
      <c r="L626" t="s">
        <v>32</v>
      </c>
      <c r="M626" t="s">
        <v>33</v>
      </c>
      <c r="P626" s="1" t="s">
        <v>2509</v>
      </c>
      <c r="Q626" s="1" t="s">
        <v>2292</v>
      </c>
      <c r="R626" s="1" t="s">
        <v>2292</v>
      </c>
      <c r="S626" s="1"/>
      <c r="T626" s="1" t="s">
        <v>2508</v>
      </c>
      <c r="U626" s="1"/>
      <c r="V626" s="1">
        <v>328.0</v>
      </c>
      <c r="W626" s="1">
        <v>328.0</v>
      </c>
      <c r="X626" s="1" t="s">
        <v>35</v>
      </c>
      <c r="Y626" s="1">
        <v>328000.0</v>
      </c>
      <c r="Z626" s="1"/>
      <c r="AA626" s="1">
        <v>328000</v>
      </c>
      <c r="AB626" s="1"/>
      <c r="AC626" s="1" t="s">
        <v>36</v>
      </c>
      <c r="AD626" s="1" t="s">
        <v>2506</v>
      </c>
      <c r="AE626" s="1" t="s">
        <v>32</v>
      </c>
      <c r="AF626" s="1" t="s">
        <v>33</v>
      </c>
      <c r="AG626" s="1" t="s">
        <v>270</v>
      </c>
    </row>
    <row r="627" spans="1:33">
      <c r="A627" t="s">
        <v>2510</v>
      </c>
      <c r="C627" t="s">
        <v>2511</v>
      </c>
      <c r="E627" t="s">
        <v>2292</v>
      </c>
      <c r="F627" t="s">
        <v>2293</v>
      </c>
      <c r="G627">
        <v>328.0</v>
      </c>
      <c r="H627">
        <v>328.0</v>
      </c>
      <c r="I627" t="s">
        <v>269</v>
      </c>
      <c r="J627" t="s">
        <v>270</v>
      </c>
      <c r="K627" t="s">
        <v>31</v>
      </c>
      <c r="L627" t="s">
        <v>32</v>
      </c>
      <c r="M627" t="s">
        <v>33</v>
      </c>
      <c r="P627" s="1" t="s">
        <v>2512</v>
      </c>
      <c r="Q627" s="1" t="s">
        <v>2292</v>
      </c>
      <c r="R627" s="1" t="s">
        <v>2292</v>
      </c>
      <c r="S627" s="1"/>
      <c r="T627" s="1" t="s">
        <v>2511</v>
      </c>
      <c r="U627" s="1"/>
      <c r="V627" s="1">
        <v>328.0</v>
      </c>
      <c r="W627" s="1">
        <v>328.0</v>
      </c>
      <c r="X627" s="1" t="s">
        <v>35</v>
      </c>
      <c r="Y627" s="1">
        <v>328000.0</v>
      </c>
      <c r="Z627" s="1"/>
      <c r="AA627" s="1">
        <v>328000</v>
      </c>
      <c r="AB627" s="1"/>
      <c r="AC627" s="1" t="s">
        <v>36</v>
      </c>
      <c r="AD627" s="1" t="s">
        <v>2513</v>
      </c>
      <c r="AE627" s="1" t="s">
        <v>32</v>
      </c>
      <c r="AF627" s="1" t="s">
        <v>33</v>
      </c>
      <c r="AG627" s="1" t="s">
        <v>270</v>
      </c>
    </row>
    <row r="628" spans="1:33">
      <c r="A628" t="s">
        <v>2514</v>
      </c>
      <c r="B628" t="s">
        <v>1965</v>
      </c>
      <c r="C628" t="s">
        <v>314</v>
      </c>
      <c r="E628" t="s">
        <v>2292</v>
      </c>
      <c r="F628" t="s">
        <v>2293</v>
      </c>
      <c r="G628">
        <v>74.23</v>
      </c>
      <c r="H628">
        <v>74.23</v>
      </c>
      <c r="I628" t="s">
        <v>179</v>
      </c>
      <c r="J628" t="s">
        <v>180</v>
      </c>
      <c r="K628" t="s">
        <v>31</v>
      </c>
      <c r="L628" t="s">
        <v>32</v>
      </c>
      <c r="M628" t="s">
        <v>33</v>
      </c>
      <c r="P628" s="1" t="s">
        <v>2515</v>
      </c>
      <c r="Q628" s="1" t="s">
        <v>2292</v>
      </c>
      <c r="R628" s="1" t="s">
        <v>2292</v>
      </c>
      <c r="S628" s="1"/>
      <c r="T628" s="1" t="s">
        <v>314</v>
      </c>
      <c r="U628" s="1"/>
      <c r="V628" s="1">
        <v>74.23</v>
      </c>
      <c r="W628" s="1">
        <v>74.23</v>
      </c>
      <c r="X628" s="1" t="s">
        <v>35</v>
      </c>
      <c r="Y628" s="1">
        <v>74230.0</v>
      </c>
      <c r="Z628" s="1"/>
      <c r="AA628" s="1">
        <v>74230</v>
      </c>
      <c r="AB628" s="1"/>
      <c r="AC628" s="1" t="s">
        <v>36</v>
      </c>
      <c r="AD628" s="1" t="s">
        <v>2516</v>
      </c>
      <c r="AE628" s="1" t="s">
        <v>32</v>
      </c>
      <c r="AF628" s="1" t="s">
        <v>33</v>
      </c>
      <c r="AG628" s="1" t="s">
        <v>180</v>
      </c>
    </row>
    <row r="629" spans="1:33">
      <c r="A629" t="s">
        <v>2517</v>
      </c>
      <c r="B629" t="s">
        <v>2518</v>
      </c>
      <c r="C629" t="s">
        <v>268</v>
      </c>
      <c r="E629" t="s">
        <v>2292</v>
      </c>
      <c r="F629" t="s">
        <v>2293</v>
      </c>
      <c r="G629">
        <v>62.05</v>
      </c>
      <c r="H629">
        <v>62.05</v>
      </c>
      <c r="I629" t="s">
        <v>269</v>
      </c>
      <c r="J629" t="s">
        <v>270</v>
      </c>
      <c r="K629" t="s">
        <v>31</v>
      </c>
      <c r="L629" t="s">
        <v>32</v>
      </c>
      <c r="M629" t="s">
        <v>33</v>
      </c>
      <c r="P629" s="1" t="s">
        <v>2519</v>
      </c>
      <c r="Q629" s="1" t="s">
        <v>2292</v>
      </c>
      <c r="R629" s="1" t="s">
        <v>2292</v>
      </c>
      <c r="S629" s="1"/>
      <c r="T629" s="1" t="s">
        <v>268</v>
      </c>
      <c r="U629" s="1"/>
      <c r="V629" s="1">
        <v>62.05</v>
      </c>
      <c r="W629" s="1">
        <v>62.05</v>
      </c>
      <c r="X629" s="1" t="s">
        <v>35</v>
      </c>
      <c r="Y629" s="1">
        <v>62050.0</v>
      </c>
      <c r="Z629" s="1"/>
      <c r="AA629" s="1">
        <v>62050</v>
      </c>
      <c r="AB629" s="1"/>
      <c r="AC629" s="1" t="s">
        <v>36</v>
      </c>
      <c r="AD629" s="1" t="s">
        <v>2520</v>
      </c>
      <c r="AE629" s="1" t="s">
        <v>32</v>
      </c>
      <c r="AF629" s="1" t="s">
        <v>33</v>
      </c>
      <c r="AG629" s="1" t="s">
        <v>270</v>
      </c>
    </row>
    <row r="630" spans="1:33">
      <c r="A630" t="s">
        <v>2521</v>
      </c>
      <c r="C630" t="s">
        <v>1957</v>
      </c>
      <c r="D630" t="s">
        <v>154</v>
      </c>
      <c r="E630" t="s">
        <v>2292</v>
      </c>
      <c r="F630" t="s">
        <v>2293</v>
      </c>
      <c r="G630">
        <v>1.376</v>
      </c>
      <c r="H630">
        <v>1.376</v>
      </c>
      <c r="I630" t="s">
        <v>227</v>
      </c>
      <c r="J630" t="s">
        <v>228</v>
      </c>
      <c r="K630" t="s">
        <v>31</v>
      </c>
      <c r="L630" t="s">
        <v>32</v>
      </c>
      <c r="M630" t="s">
        <v>33</v>
      </c>
      <c r="P630" s="1" t="s">
        <v>2522</v>
      </c>
      <c r="Q630" s="1" t="s">
        <v>2292</v>
      </c>
      <c r="R630" s="1" t="s">
        <v>2292</v>
      </c>
      <c r="S630" s="1"/>
      <c r="T630" s="1" t="s">
        <v>1957</v>
      </c>
      <c r="U630" s="1"/>
      <c r="V630" s="1">
        <v>1.376</v>
      </c>
      <c r="W630" s="1">
        <v>1.376</v>
      </c>
      <c r="X630" s="1" t="s">
        <v>35</v>
      </c>
      <c r="Y630" s="1">
        <v>1376000.0</v>
      </c>
      <c r="Z630" s="1"/>
      <c r="AA630" s="1">
        <v>1376000</v>
      </c>
      <c r="AB630" s="1"/>
      <c r="AC630" s="1" t="s">
        <v>36</v>
      </c>
      <c r="AD630" s="1" t="s">
        <v>2523</v>
      </c>
      <c r="AE630" s="1" t="s">
        <v>32</v>
      </c>
      <c r="AF630" s="1" t="s">
        <v>33</v>
      </c>
      <c r="AG630" s="1" t="s">
        <v>228</v>
      </c>
    </row>
    <row r="631" spans="1:33">
      <c r="A631" t="s">
        <v>2524</v>
      </c>
      <c r="C631" t="s">
        <v>2525</v>
      </c>
      <c r="E631" t="s">
        <v>2292</v>
      </c>
      <c r="F631" t="s">
        <v>2293</v>
      </c>
      <c r="G631">
        <v>328.0</v>
      </c>
      <c r="H631">
        <v>328.0</v>
      </c>
      <c r="I631" t="s">
        <v>269</v>
      </c>
      <c r="J631" t="s">
        <v>270</v>
      </c>
      <c r="K631" t="s">
        <v>31</v>
      </c>
      <c r="L631" t="s">
        <v>32</v>
      </c>
      <c r="M631" t="s">
        <v>33</v>
      </c>
      <c r="P631" s="1" t="s">
        <v>2526</v>
      </c>
      <c r="Q631" s="1" t="s">
        <v>2292</v>
      </c>
      <c r="R631" s="1" t="s">
        <v>2292</v>
      </c>
      <c r="S631" s="1"/>
      <c r="T631" s="1" t="s">
        <v>2525</v>
      </c>
      <c r="U631" s="1"/>
      <c r="V631" s="1">
        <v>328.0</v>
      </c>
      <c r="W631" s="1">
        <v>328.0</v>
      </c>
      <c r="X631" s="1" t="s">
        <v>35</v>
      </c>
      <c r="Y631" s="1">
        <v>328000.0</v>
      </c>
      <c r="Z631" s="1"/>
      <c r="AA631" s="1">
        <v>328000</v>
      </c>
      <c r="AB631" s="1"/>
      <c r="AC631" s="1" t="s">
        <v>36</v>
      </c>
      <c r="AD631" s="1" t="s">
        <v>2527</v>
      </c>
      <c r="AE631" s="1" t="s">
        <v>32</v>
      </c>
      <c r="AF631" s="1" t="s">
        <v>33</v>
      </c>
      <c r="AG631" s="1" t="s">
        <v>270</v>
      </c>
    </row>
    <row r="632" spans="1:33">
      <c r="A632" t="s">
        <v>2528</v>
      </c>
      <c r="B632" t="s">
        <v>2529</v>
      </c>
      <c r="C632" t="s">
        <v>314</v>
      </c>
      <c r="E632" t="s">
        <v>2292</v>
      </c>
      <c r="F632" t="s">
        <v>2293</v>
      </c>
      <c r="G632">
        <v>44.48</v>
      </c>
      <c r="H632">
        <v>44.48</v>
      </c>
      <c r="I632" t="s">
        <v>179</v>
      </c>
      <c r="J632" t="s">
        <v>180</v>
      </c>
      <c r="K632" t="s">
        <v>31</v>
      </c>
      <c r="L632" t="s">
        <v>32</v>
      </c>
      <c r="M632" t="s">
        <v>33</v>
      </c>
      <c r="P632" s="1" t="s">
        <v>2530</v>
      </c>
      <c r="Q632" s="1" t="s">
        <v>2292</v>
      </c>
      <c r="R632" s="1" t="s">
        <v>2292</v>
      </c>
      <c r="S632" s="1"/>
      <c r="T632" s="1" t="s">
        <v>314</v>
      </c>
      <c r="U632" s="1"/>
      <c r="V632" s="1">
        <v>44.48</v>
      </c>
      <c r="W632" s="1">
        <v>44.48</v>
      </c>
      <c r="X632" s="1" t="s">
        <v>35</v>
      </c>
      <c r="Y632" s="1">
        <v>44480.0</v>
      </c>
      <c r="Z632" s="1"/>
      <c r="AA632" s="1">
        <v>44480</v>
      </c>
      <c r="AB632" s="1"/>
      <c r="AC632" s="1" t="s">
        <v>36</v>
      </c>
      <c r="AD632" s="1" t="s">
        <v>2531</v>
      </c>
      <c r="AE632" s="1" t="s">
        <v>32</v>
      </c>
      <c r="AF632" s="1" t="s">
        <v>33</v>
      </c>
      <c r="AG632" s="1" t="s">
        <v>180</v>
      </c>
    </row>
    <row r="633" spans="1:33">
      <c r="A633" t="s">
        <v>2532</v>
      </c>
      <c r="B633" t="s">
        <v>2533</v>
      </c>
      <c r="C633" t="s">
        <v>569</v>
      </c>
      <c r="E633" t="s">
        <v>2292</v>
      </c>
      <c r="F633" t="s">
        <v>2293</v>
      </c>
      <c r="G633">
        <v>32.99</v>
      </c>
      <c r="H633">
        <v>32.99</v>
      </c>
      <c r="I633" t="s">
        <v>570</v>
      </c>
      <c r="J633" t="s">
        <v>571</v>
      </c>
      <c r="K633" t="s">
        <v>31</v>
      </c>
      <c r="L633" t="s">
        <v>32</v>
      </c>
      <c r="M633" t="s">
        <v>33</v>
      </c>
      <c r="P633" s="1" t="s">
        <v>2534</v>
      </c>
      <c r="Q633" s="1" t="s">
        <v>2292</v>
      </c>
      <c r="R633" s="1" t="s">
        <v>2292</v>
      </c>
      <c r="S633" s="1"/>
      <c r="T633" s="1" t="s">
        <v>569</v>
      </c>
      <c r="U633" s="1"/>
      <c r="V633" s="1">
        <v>32.99</v>
      </c>
      <c r="W633" s="1">
        <v>32.99</v>
      </c>
      <c r="X633" s="1" t="s">
        <v>35</v>
      </c>
      <c r="Y633" s="1">
        <v>32990.0</v>
      </c>
      <c r="Z633" s="1"/>
      <c r="AA633" s="1">
        <v>32990</v>
      </c>
      <c r="AB633" s="1"/>
      <c r="AC633" s="1" t="s">
        <v>36</v>
      </c>
      <c r="AD633" s="1" t="s">
        <v>2535</v>
      </c>
      <c r="AE633" s="1" t="s">
        <v>32</v>
      </c>
      <c r="AF633" s="1" t="s">
        <v>33</v>
      </c>
      <c r="AG633" s="1" t="s">
        <v>571</v>
      </c>
    </row>
    <row r="634" spans="1:33">
      <c r="A634" t="s">
        <v>2536</v>
      </c>
      <c r="B634" t="s">
        <v>2537</v>
      </c>
      <c r="C634" t="s">
        <v>1125</v>
      </c>
      <c r="E634" t="s">
        <v>2292</v>
      </c>
      <c r="F634" t="s">
        <v>2293</v>
      </c>
      <c r="G634">
        <v>414.55</v>
      </c>
      <c r="H634">
        <v>414.55</v>
      </c>
      <c r="I634" t="s">
        <v>529</v>
      </c>
      <c r="J634" t="s">
        <v>530</v>
      </c>
      <c r="K634" t="s">
        <v>31</v>
      </c>
      <c r="L634" t="s">
        <v>32</v>
      </c>
      <c r="M634" t="s">
        <v>33</v>
      </c>
      <c r="P634" s="1" t="s">
        <v>2538</v>
      </c>
      <c r="Q634" s="1" t="s">
        <v>2292</v>
      </c>
      <c r="R634" s="1" t="s">
        <v>1562</v>
      </c>
      <c r="S634" s="1"/>
      <c r="T634" s="1" t="s">
        <v>1125</v>
      </c>
      <c r="U634" s="1"/>
      <c r="V634" s="1">
        <v>414.55</v>
      </c>
      <c r="W634" s="1">
        <v>414.55</v>
      </c>
      <c r="X634" s="1" t="s">
        <v>35</v>
      </c>
      <c r="Y634" s="1">
        <v>414550.0</v>
      </c>
      <c r="Z634" s="1"/>
      <c r="AA634" s="1">
        <v>414550</v>
      </c>
      <c r="AB634" s="1"/>
      <c r="AC634" s="1" t="s">
        <v>36</v>
      </c>
      <c r="AD634" s="1" t="s">
        <v>2539</v>
      </c>
      <c r="AE634" s="1" t="s">
        <v>32</v>
      </c>
      <c r="AF634" s="1" t="s">
        <v>33</v>
      </c>
      <c r="AG634" s="1" t="s">
        <v>530</v>
      </c>
    </row>
    <row r="635" spans="1:33">
      <c r="A635" t="s">
        <v>2540</v>
      </c>
      <c r="B635" t="s">
        <v>2426</v>
      </c>
      <c r="C635" t="s">
        <v>268</v>
      </c>
      <c r="E635" t="s">
        <v>2292</v>
      </c>
      <c r="F635" t="s">
        <v>2293</v>
      </c>
      <c r="G635">
        <v>14.625</v>
      </c>
      <c r="H635">
        <v>14.625</v>
      </c>
      <c r="I635" t="s">
        <v>269</v>
      </c>
      <c r="J635" t="s">
        <v>270</v>
      </c>
      <c r="K635" t="s">
        <v>31</v>
      </c>
      <c r="L635" t="s">
        <v>32</v>
      </c>
      <c r="M635" t="s">
        <v>33</v>
      </c>
      <c r="P635" s="1" t="s">
        <v>2541</v>
      </c>
      <c r="Q635" s="1" t="s">
        <v>2292</v>
      </c>
      <c r="R635" s="1" t="s">
        <v>2292</v>
      </c>
      <c r="S635" s="1"/>
      <c r="T635" s="1" t="s">
        <v>268</v>
      </c>
      <c r="U635" s="1"/>
      <c r="V635" s="1">
        <v>14.625</v>
      </c>
      <c r="W635" s="1">
        <v>14.625</v>
      </c>
      <c r="X635" s="1" t="s">
        <v>35</v>
      </c>
      <c r="Y635" s="1">
        <v>14625.0</v>
      </c>
      <c r="Z635" s="1"/>
      <c r="AA635" s="1">
        <v>14625</v>
      </c>
      <c r="AB635" s="1"/>
      <c r="AC635" s="1" t="s">
        <v>36</v>
      </c>
      <c r="AD635" s="1" t="s">
        <v>2542</v>
      </c>
      <c r="AE635" s="1" t="s">
        <v>32</v>
      </c>
      <c r="AF635" s="1" t="s">
        <v>33</v>
      </c>
      <c r="AG635" s="1" t="s">
        <v>270</v>
      </c>
    </row>
    <row r="636" spans="1:33">
      <c r="A636" t="s">
        <v>2543</v>
      </c>
      <c r="C636" t="s">
        <v>2544</v>
      </c>
      <c r="E636" t="s">
        <v>2292</v>
      </c>
      <c r="F636" t="s">
        <v>2293</v>
      </c>
      <c r="G636">
        <v>5.513</v>
      </c>
      <c r="H636">
        <v>5.513</v>
      </c>
      <c r="I636" t="s">
        <v>847</v>
      </c>
      <c r="J636" t="s">
        <v>848</v>
      </c>
      <c r="K636" t="s">
        <v>31</v>
      </c>
      <c r="L636" t="s">
        <v>32</v>
      </c>
      <c r="M636" t="s">
        <v>33</v>
      </c>
      <c r="P636" s="1" t="s">
        <v>2545</v>
      </c>
      <c r="Q636" s="1" t="s">
        <v>2292</v>
      </c>
      <c r="R636" s="1" t="s">
        <v>2292</v>
      </c>
      <c r="S636" s="1"/>
      <c r="T636" s="1" t="s">
        <v>2544</v>
      </c>
      <c r="U636" s="1"/>
      <c r="V636" s="1">
        <v>5.513</v>
      </c>
      <c r="W636" s="1">
        <v>5.513</v>
      </c>
      <c r="X636" s="1" t="s">
        <v>35</v>
      </c>
      <c r="Y636" s="1">
        <v>5513200.0</v>
      </c>
      <c r="Z636" s="1">
        <v>-10</v>
      </c>
      <c r="AA636" s="1">
        <v>5513200</v>
      </c>
      <c r="AB636" s="1">
        <v>-10</v>
      </c>
      <c r="AC636" s="1" t="s">
        <v>36</v>
      </c>
      <c r="AD636" s="1" t="s">
        <v>2546</v>
      </c>
      <c r="AE636" s="1" t="s">
        <v>32</v>
      </c>
      <c r="AF636" s="1" t="s">
        <v>33</v>
      </c>
      <c r="AG636" s="1" t="s">
        <v>848</v>
      </c>
    </row>
    <row r="637" spans="1:33">
      <c r="A637" t="s">
        <v>2547</v>
      </c>
      <c r="C637" t="s">
        <v>2548</v>
      </c>
      <c r="D637" t="s">
        <v>154</v>
      </c>
      <c r="E637" t="s">
        <v>2292</v>
      </c>
      <c r="F637" t="s">
        <v>2293</v>
      </c>
      <c r="G637">
        <v>656.0</v>
      </c>
      <c r="H637">
        <v>656.0</v>
      </c>
      <c r="I637" t="s">
        <v>269</v>
      </c>
      <c r="J637" t="s">
        <v>270</v>
      </c>
      <c r="K637" t="s">
        <v>31</v>
      </c>
      <c r="L637" t="s">
        <v>32</v>
      </c>
      <c r="M637" t="s">
        <v>33</v>
      </c>
      <c r="P637" s="1" t="s">
        <v>2549</v>
      </c>
      <c r="Q637" s="1" t="s">
        <v>2292</v>
      </c>
      <c r="R637" s="1" t="s">
        <v>2292</v>
      </c>
      <c r="S637" s="1"/>
      <c r="T637" s="1" t="s">
        <v>2548</v>
      </c>
      <c r="U637" s="1"/>
      <c r="V637" s="1">
        <v>656.0</v>
      </c>
      <c r="W637" s="1">
        <v>656.0</v>
      </c>
      <c r="X637" s="1" t="s">
        <v>35</v>
      </c>
      <c r="Y637" s="1">
        <v>656000.0</v>
      </c>
      <c r="Z637" s="1"/>
      <c r="AA637" s="1">
        <v>656000</v>
      </c>
      <c r="AB637" s="1"/>
      <c r="AC637" s="1" t="s">
        <v>36</v>
      </c>
      <c r="AD637" s="1" t="s">
        <v>2550</v>
      </c>
      <c r="AE637" s="1" t="s">
        <v>32</v>
      </c>
      <c r="AF637" s="1" t="s">
        <v>33</v>
      </c>
      <c r="AG637" s="1" t="s">
        <v>270</v>
      </c>
    </row>
    <row r="638" spans="1:33">
      <c r="A638" t="s">
        <v>2551</v>
      </c>
      <c r="B638" t="s">
        <v>2552</v>
      </c>
      <c r="C638" t="s">
        <v>1298</v>
      </c>
      <c r="E638" t="s">
        <v>2292</v>
      </c>
      <c r="F638" t="s">
        <v>2293</v>
      </c>
      <c r="G638">
        <v>4.498</v>
      </c>
      <c r="H638">
        <v>4.498</v>
      </c>
      <c r="I638" t="s">
        <v>529</v>
      </c>
      <c r="J638" t="s">
        <v>530</v>
      </c>
      <c r="K638" t="s">
        <v>31</v>
      </c>
      <c r="L638" t="s">
        <v>32</v>
      </c>
      <c r="M638" t="s">
        <v>33</v>
      </c>
      <c r="P638" s="1" t="s">
        <v>2553</v>
      </c>
      <c r="Q638" s="1" t="s">
        <v>2292</v>
      </c>
      <c r="R638" s="1" t="s">
        <v>1562</v>
      </c>
      <c r="S638" s="1"/>
      <c r="T638" s="1" t="s">
        <v>1298</v>
      </c>
      <c r="U638" s="1"/>
      <c r="V638" s="1">
        <v>4.498</v>
      </c>
      <c r="W638" s="1">
        <v>4.498</v>
      </c>
      <c r="X638" s="1" t="s">
        <v>35</v>
      </c>
      <c r="Y638" s="1">
        <v>4498.0</v>
      </c>
      <c r="Z638" s="1"/>
      <c r="AA638" s="1">
        <v>4498</v>
      </c>
      <c r="AB638" s="1"/>
      <c r="AC638" s="1" t="s">
        <v>36</v>
      </c>
      <c r="AD638" s="1" t="s">
        <v>2554</v>
      </c>
      <c r="AE638" s="1" t="s">
        <v>32</v>
      </c>
      <c r="AF638" s="1" t="s">
        <v>33</v>
      </c>
      <c r="AG638" s="1" t="s">
        <v>530</v>
      </c>
    </row>
    <row r="639" spans="1:33">
      <c r="A639" t="s">
        <v>2555</v>
      </c>
      <c r="B639" t="s">
        <v>2556</v>
      </c>
      <c r="C639" t="s">
        <v>2557</v>
      </c>
      <c r="E639" t="s">
        <v>2292</v>
      </c>
      <c r="F639" t="s">
        <v>2293</v>
      </c>
      <c r="G639">
        <v>410.0</v>
      </c>
      <c r="H639">
        <v>410.0</v>
      </c>
      <c r="I639" t="s">
        <v>59</v>
      </c>
      <c r="J639" t="s">
        <v>60</v>
      </c>
      <c r="K639" t="s">
        <v>31</v>
      </c>
      <c r="L639" t="s">
        <v>32</v>
      </c>
      <c r="M639" t="s">
        <v>33</v>
      </c>
      <c r="P639" s="1" t="s">
        <v>2558</v>
      </c>
      <c r="Q639" s="1" t="s">
        <v>2292</v>
      </c>
      <c r="R639" s="1" t="s">
        <v>2292</v>
      </c>
      <c r="S639" s="1"/>
      <c r="T639" s="1" t="s">
        <v>2557</v>
      </c>
      <c r="U639" s="1"/>
      <c r="V639" s="1">
        <v>410.0</v>
      </c>
      <c r="W639" s="1">
        <v>410.0</v>
      </c>
      <c r="X639" s="1" t="s">
        <v>35</v>
      </c>
      <c r="Y639" s="1">
        <v>410000.0</v>
      </c>
      <c r="Z639" s="1"/>
      <c r="AA639" s="1">
        <v>410000</v>
      </c>
      <c r="AB639" s="1"/>
      <c r="AC639" s="1" t="s">
        <v>36</v>
      </c>
      <c r="AD639" s="1" t="s">
        <v>2559</v>
      </c>
      <c r="AE639" s="1" t="s">
        <v>32</v>
      </c>
      <c r="AF639" s="1" t="s">
        <v>33</v>
      </c>
      <c r="AG639" s="1" t="s">
        <v>60</v>
      </c>
    </row>
    <row r="640" spans="1:33">
      <c r="A640" t="s">
        <v>2560</v>
      </c>
      <c r="B640" t="s">
        <v>2561</v>
      </c>
      <c r="C640" t="s">
        <v>68</v>
      </c>
      <c r="E640" t="s">
        <v>2292</v>
      </c>
      <c r="F640" t="s">
        <v>2293</v>
      </c>
      <c r="G640">
        <v>194.9</v>
      </c>
      <c r="H640">
        <v>194.9</v>
      </c>
      <c r="I640" t="s">
        <v>59</v>
      </c>
      <c r="J640" t="s">
        <v>60</v>
      </c>
      <c r="K640" t="s">
        <v>31</v>
      </c>
      <c r="L640" t="s">
        <v>32</v>
      </c>
      <c r="M640" t="s">
        <v>33</v>
      </c>
      <c r="P640" s="1" t="s">
        <v>2562</v>
      </c>
      <c r="Q640" s="1" t="s">
        <v>2292</v>
      </c>
      <c r="R640" s="1" t="s">
        <v>2292</v>
      </c>
      <c r="S640" s="1"/>
      <c r="T640" s="1" t="s">
        <v>68</v>
      </c>
      <c r="U640" s="1"/>
      <c r="V640" s="1">
        <v>194.9</v>
      </c>
      <c r="W640" s="1">
        <v>194.9</v>
      </c>
      <c r="X640" s="1" t="s">
        <v>35</v>
      </c>
      <c r="Y640" s="1">
        <v>194900.0</v>
      </c>
      <c r="Z640" s="1"/>
      <c r="AA640" s="1">
        <v>194900</v>
      </c>
      <c r="AB640" s="1"/>
      <c r="AC640" s="1" t="s">
        <v>36</v>
      </c>
      <c r="AD640" s="1" t="s">
        <v>2563</v>
      </c>
      <c r="AE640" s="1" t="s">
        <v>32</v>
      </c>
      <c r="AF640" s="1" t="s">
        <v>33</v>
      </c>
      <c r="AG640" s="1" t="s">
        <v>60</v>
      </c>
    </row>
    <row r="641" spans="1:33">
      <c r="A641" t="s">
        <v>2564</v>
      </c>
      <c r="C641" t="s">
        <v>2565</v>
      </c>
      <c r="E641" t="s">
        <v>2292</v>
      </c>
      <c r="F641" t="s">
        <v>2293</v>
      </c>
      <c r="G641">
        <v>328.0</v>
      </c>
      <c r="H641">
        <v>328.0</v>
      </c>
      <c r="I641" t="s">
        <v>269</v>
      </c>
      <c r="J641" t="s">
        <v>270</v>
      </c>
      <c r="K641" t="s">
        <v>31</v>
      </c>
      <c r="L641" t="s">
        <v>32</v>
      </c>
      <c r="M641" t="s">
        <v>33</v>
      </c>
      <c r="P641" s="1" t="s">
        <v>2566</v>
      </c>
      <c r="Q641" s="1" t="s">
        <v>2292</v>
      </c>
      <c r="R641" s="1" t="s">
        <v>2292</v>
      </c>
      <c r="S641" s="1"/>
      <c r="T641" s="1" t="s">
        <v>2567</v>
      </c>
      <c r="U641" s="1" t="s">
        <v>2568</v>
      </c>
      <c r="V641" s="1">
        <v>328.0</v>
      </c>
      <c r="W641" s="1">
        <v>328.0</v>
      </c>
      <c r="X641" s="1" t="s">
        <v>35</v>
      </c>
      <c r="Y641" s="1">
        <v>328000.0</v>
      </c>
      <c r="Z641" s="1"/>
      <c r="AA641" s="1">
        <v>328000</v>
      </c>
      <c r="AB641" s="1"/>
      <c r="AC641" s="1" t="s">
        <v>36</v>
      </c>
      <c r="AD641" s="1" t="s">
        <v>2569</v>
      </c>
      <c r="AE641" s="1" t="s">
        <v>32</v>
      </c>
      <c r="AF641" s="1" t="s">
        <v>33</v>
      </c>
      <c r="AG641" s="1" t="s">
        <v>270</v>
      </c>
    </row>
    <row r="642" spans="1:33">
      <c r="A642" t="s">
        <v>2570</v>
      </c>
      <c r="B642" t="s">
        <v>2571</v>
      </c>
      <c r="C642" t="s">
        <v>268</v>
      </c>
      <c r="E642" t="s">
        <v>2292</v>
      </c>
      <c r="F642" t="s">
        <v>2293</v>
      </c>
      <c r="G642">
        <v>16.9</v>
      </c>
      <c r="H642">
        <v>16.9</v>
      </c>
      <c r="I642" t="s">
        <v>269</v>
      </c>
      <c r="J642" t="s">
        <v>270</v>
      </c>
      <c r="K642" t="s">
        <v>31</v>
      </c>
      <c r="L642" t="s">
        <v>32</v>
      </c>
      <c r="M642" t="s">
        <v>33</v>
      </c>
      <c r="P642" s="1" t="s">
        <v>2572</v>
      </c>
      <c r="Q642" s="1" t="s">
        <v>2292</v>
      </c>
      <c r="R642" s="1" t="s">
        <v>2292</v>
      </c>
      <c r="S642" s="1"/>
      <c r="T642" s="1" t="s">
        <v>268</v>
      </c>
      <c r="U642" s="1"/>
      <c r="V642" s="1">
        <v>16.9</v>
      </c>
      <c r="W642" s="1">
        <v>16.9</v>
      </c>
      <c r="X642" s="1" t="s">
        <v>35</v>
      </c>
      <c r="Y642" s="1">
        <v>16900.0</v>
      </c>
      <c r="Z642" s="1"/>
      <c r="AA642" s="1">
        <v>16900</v>
      </c>
      <c r="AB642" s="1"/>
      <c r="AC642" s="1" t="s">
        <v>36</v>
      </c>
      <c r="AD642" s="1" t="s">
        <v>2573</v>
      </c>
      <c r="AE642" s="1" t="s">
        <v>32</v>
      </c>
      <c r="AF642" s="1" t="s">
        <v>33</v>
      </c>
      <c r="AG642" s="1" t="s">
        <v>270</v>
      </c>
    </row>
    <row r="643" spans="1:33">
      <c r="A643" t="s">
        <v>2574</v>
      </c>
      <c r="B643" t="s">
        <v>2575</v>
      </c>
      <c r="C643" t="s">
        <v>1298</v>
      </c>
      <c r="E643" t="s">
        <v>2292</v>
      </c>
      <c r="F643" t="s">
        <v>2293</v>
      </c>
      <c r="G643">
        <v>34.335</v>
      </c>
      <c r="H643">
        <v>34.335</v>
      </c>
      <c r="I643" t="s">
        <v>529</v>
      </c>
      <c r="J643" t="s">
        <v>530</v>
      </c>
      <c r="K643" t="s">
        <v>31</v>
      </c>
      <c r="L643" t="s">
        <v>32</v>
      </c>
      <c r="M643" t="s">
        <v>33</v>
      </c>
      <c r="P643" s="1" t="s">
        <v>2576</v>
      </c>
      <c r="Q643" s="1" t="s">
        <v>2292</v>
      </c>
      <c r="R643" s="1" t="s">
        <v>1562</v>
      </c>
      <c r="S643" s="1"/>
      <c r="T643" s="1" t="s">
        <v>1298</v>
      </c>
      <c r="U643" s="1"/>
      <c r="V643" s="1">
        <v>34.335</v>
      </c>
      <c r="W643" s="1">
        <v>34.335</v>
      </c>
      <c r="X643" s="1" t="s">
        <v>35</v>
      </c>
      <c r="Y643" s="1">
        <v>34335.0</v>
      </c>
      <c r="Z643" s="1"/>
      <c r="AA643" s="1">
        <v>34335</v>
      </c>
      <c r="AB643" s="1"/>
      <c r="AC643" s="1" t="s">
        <v>36</v>
      </c>
      <c r="AD643" s="1" t="s">
        <v>2577</v>
      </c>
      <c r="AE643" s="1" t="s">
        <v>32</v>
      </c>
      <c r="AF643" s="1" t="s">
        <v>33</v>
      </c>
      <c r="AG643" s="1" t="s">
        <v>530</v>
      </c>
    </row>
    <row r="644" spans="1:33">
      <c r="A644" t="s">
        <v>2578</v>
      </c>
      <c r="C644" t="s">
        <v>1079</v>
      </c>
      <c r="D644" t="s">
        <v>114</v>
      </c>
      <c r="E644" t="s">
        <v>2292</v>
      </c>
      <c r="F644" t="s">
        <v>2293</v>
      </c>
      <c r="G644">
        <v>2.81</v>
      </c>
      <c r="H644">
        <v>2.81</v>
      </c>
      <c r="I644" t="s">
        <v>269</v>
      </c>
      <c r="J644" t="s">
        <v>270</v>
      </c>
      <c r="K644" t="s">
        <v>31</v>
      </c>
      <c r="L644" t="s">
        <v>32</v>
      </c>
      <c r="M644" t="s">
        <v>33</v>
      </c>
      <c r="P644" s="1" t="s">
        <v>2579</v>
      </c>
      <c r="Q644" s="1" t="s">
        <v>2292</v>
      </c>
      <c r="R644" s="1" t="s">
        <v>2292</v>
      </c>
      <c r="S644" s="1"/>
      <c r="T644" s="1" t="s">
        <v>1079</v>
      </c>
      <c r="U644" s="1"/>
      <c r="V644" s="1">
        <v>2.81</v>
      </c>
      <c r="W644" s="1">
        <v>2.81</v>
      </c>
      <c r="X644" s="1" t="s">
        <v>35</v>
      </c>
      <c r="Y644" s="1">
        <v>2810500.0</v>
      </c>
      <c r="Z644" s="1"/>
      <c r="AA644" s="1">
        <v>2810500</v>
      </c>
      <c r="AB644" s="1"/>
      <c r="AC644" s="1" t="s">
        <v>36</v>
      </c>
      <c r="AD644" s="1" t="s">
        <v>2580</v>
      </c>
      <c r="AE644" s="1" t="s">
        <v>32</v>
      </c>
      <c r="AF644" s="1" t="s">
        <v>33</v>
      </c>
      <c r="AG644" s="1" t="s">
        <v>270</v>
      </c>
    </row>
    <row r="645" spans="1:33">
      <c r="A645" t="s">
        <v>2581</v>
      </c>
      <c r="C645" t="s">
        <v>940</v>
      </c>
      <c r="E645" t="s">
        <v>2292</v>
      </c>
      <c r="F645" t="s">
        <v>2293</v>
      </c>
      <c r="G645">
        <v>743.0</v>
      </c>
      <c r="H645">
        <v>743.0</v>
      </c>
      <c r="I645" t="s">
        <v>269</v>
      </c>
      <c r="J645" t="s">
        <v>270</v>
      </c>
      <c r="K645" t="s">
        <v>31</v>
      </c>
      <c r="L645" t="s">
        <v>32</v>
      </c>
      <c r="M645" t="s">
        <v>33</v>
      </c>
      <c r="P645" s="1" t="s">
        <v>2582</v>
      </c>
      <c r="Q645" s="1" t="s">
        <v>2292</v>
      </c>
      <c r="R645" s="1" t="s">
        <v>2292</v>
      </c>
      <c r="S645" s="1"/>
      <c r="T645" s="1" t="s">
        <v>942</v>
      </c>
      <c r="U645" s="1" t="s">
        <v>943</v>
      </c>
      <c r="V645" s="1">
        <v>743.0</v>
      </c>
      <c r="W645" s="1">
        <v>743.0</v>
      </c>
      <c r="X645" s="1" t="s">
        <v>35</v>
      </c>
      <c r="Y645" s="1">
        <v>743000.0</v>
      </c>
      <c r="Z645" s="1"/>
      <c r="AA645" s="1">
        <v>743000</v>
      </c>
      <c r="AB645" s="1"/>
      <c r="AC645" s="1" t="s">
        <v>36</v>
      </c>
      <c r="AD645" s="1" t="s">
        <v>2583</v>
      </c>
      <c r="AE645" s="1" t="s">
        <v>32</v>
      </c>
      <c r="AF645" s="1" t="s">
        <v>33</v>
      </c>
      <c r="AG645" s="1" t="s">
        <v>270</v>
      </c>
    </row>
    <row r="646" spans="1:33">
      <c r="A646" t="s">
        <v>2584</v>
      </c>
      <c r="C646" t="s">
        <v>644</v>
      </c>
      <c r="E646" t="s">
        <v>2292</v>
      </c>
      <c r="F646" t="s">
        <v>2293</v>
      </c>
      <c r="G646">
        <v>328.0</v>
      </c>
      <c r="H646">
        <v>328.0</v>
      </c>
      <c r="I646" t="s">
        <v>227</v>
      </c>
      <c r="J646" t="s">
        <v>228</v>
      </c>
      <c r="K646" t="s">
        <v>31</v>
      </c>
      <c r="L646" t="s">
        <v>32</v>
      </c>
      <c r="M646" t="s">
        <v>33</v>
      </c>
      <c r="P646" s="1" t="s">
        <v>2585</v>
      </c>
      <c r="Q646" s="1" t="s">
        <v>2292</v>
      </c>
      <c r="R646" s="1" t="s">
        <v>2292</v>
      </c>
      <c r="S646" s="1"/>
      <c r="T646" s="1" t="s">
        <v>644</v>
      </c>
      <c r="U646" s="1"/>
      <c r="V646" s="1">
        <v>328.0</v>
      </c>
      <c r="W646" s="1">
        <v>328.0</v>
      </c>
      <c r="X646" s="1" t="s">
        <v>35</v>
      </c>
      <c r="Y646" s="1">
        <v>328000.0</v>
      </c>
      <c r="Z646" s="1"/>
      <c r="AA646" s="1">
        <v>328000</v>
      </c>
      <c r="AB646" s="1"/>
      <c r="AC646" s="1" t="s">
        <v>36</v>
      </c>
      <c r="AD646" s="1" t="s">
        <v>2586</v>
      </c>
      <c r="AE646" s="1" t="s">
        <v>32</v>
      </c>
      <c r="AF646" s="1" t="s">
        <v>33</v>
      </c>
      <c r="AG646" s="1" t="s">
        <v>228</v>
      </c>
    </row>
    <row r="647" spans="1:33">
      <c r="A647" t="s">
        <v>2587</v>
      </c>
      <c r="C647" t="s">
        <v>2588</v>
      </c>
      <c r="E647" t="s">
        <v>2292</v>
      </c>
      <c r="F647" t="s">
        <v>2293</v>
      </c>
      <c r="G647">
        <v>508.0</v>
      </c>
      <c r="H647">
        <v>508.0</v>
      </c>
      <c r="I647" t="s">
        <v>269</v>
      </c>
      <c r="J647" t="s">
        <v>270</v>
      </c>
      <c r="K647" t="s">
        <v>31</v>
      </c>
      <c r="L647" t="s">
        <v>32</v>
      </c>
      <c r="M647" t="s">
        <v>33</v>
      </c>
      <c r="P647" s="1" t="s">
        <v>2589</v>
      </c>
      <c r="Q647" s="1" t="s">
        <v>2292</v>
      </c>
      <c r="R647" s="1" t="s">
        <v>2292</v>
      </c>
      <c r="S647" s="1"/>
      <c r="T647" s="1" t="s">
        <v>2588</v>
      </c>
      <c r="U647" s="1"/>
      <c r="V647" s="1">
        <v>508.0</v>
      </c>
      <c r="W647" s="1">
        <v>508.0</v>
      </c>
      <c r="X647" s="1" t="s">
        <v>35</v>
      </c>
      <c r="Y647" s="1">
        <v>508000.0</v>
      </c>
      <c r="Z647" s="1"/>
      <c r="AA647" s="1">
        <v>508000</v>
      </c>
      <c r="AB647" s="1"/>
      <c r="AC647" s="1" t="s">
        <v>36</v>
      </c>
      <c r="AD647" s="1" t="s">
        <v>2590</v>
      </c>
      <c r="AE647" s="1" t="s">
        <v>32</v>
      </c>
      <c r="AF647" s="1" t="s">
        <v>33</v>
      </c>
      <c r="AG647" s="1" t="s">
        <v>270</v>
      </c>
    </row>
    <row r="648" spans="1:33">
      <c r="A648" t="s">
        <v>2591</v>
      </c>
      <c r="B648" t="s">
        <v>2592</v>
      </c>
      <c r="C648" t="s">
        <v>569</v>
      </c>
      <c r="E648" t="s">
        <v>2292</v>
      </c>
      <c r="F648" t="s">
        <v>2293</v>
      </c>
      <c r="G648">
        <v>13.096</v>
      </c>
      <c r="H648">
        <v>13.096</v>
      </c>
      <c r="I648" t="s">
        <v>570</v>
      </c>
      <c r="J648" t="s">
        <v>571</v>
      </c>
      <c r="K648" t="s">
        <v>31</v>
      </c>
      <c r="L648" t="s">
        <v>32</v>
      </c>
      <c r="M648" t="s">
        <v>33</v>
      </c>
      <c r="P648" s="1" t="s">
        <v>2593</v>
      </c>
      <c r="Q648" s="1" t="s">
        <v>2292</v>
      </c>
      <c r="R648" s="1" t="s">
        <v>2292</v>
      </c>
      <c r="S648" s="1"/>
      <c r="T648" s="1" t="s">
        <v>569</v>
      </c>
      <c r="U648" s="1"/>
      <c r="V648" s="1">
        <v>13.096</v>
      </c>
      <c r="W648" s="1">
        <v>13.096</v>
      </c>
      <c r="X648" s="1" t="s">
        <v>35</v>
      </c>
      <c r="Y648" s="1">
        <v>13096.0</v>
      </c>
      <c r="Z648" s="1"/>
      <c r="AA648" s="1">
        <v>13096</v>
      </c>
      <c r="AB648" s="1"/>
      <c r="AC648" s="1" t="s">
        <v>36</v>
      </c>
      <c r="AD648" s="1" t="s">
        <v>2594</v>
      </c>
      <c r="AE648" s="1" t="s">
        <v>32</v>
      </c>
      <c r="AF648" s="1" t="s">
        <v>33</v>
      </c>
      <c r="AG648" s="1" t="s">
        <v>571</v>
      </c>
    </row>
    <row r="649" spans="1:33">
      <c r="A649" t="s">
        <v>2595</v>
      </c>
      <c r="B649" t="s">
        <v>2596</v>
      </c>
      <c r="C649" t="s">
        <v>47</v>
      </c>
      <c r="E649" t="s">
        <v>2292</v>
      </c>
      <c r="F649" t="s">
        <v>2293</v>
      </c>
      <c r="G649">
        <v>73.98</v>
      </c>
      <c r="H649">
        <v>73.98</v>
      </c>
      <c r="I649" t="s">
        <v>48</v>
      </c>
      <c r="J649" t="s">
        <v>49</v>
      </c>
      <c r="K649" t="s">
        <v>31</v>
      </c>
      <c r="L649" t="s">
        <v>32</v>
      </c>
      <c r="M649" t="s">
        <v>33</v>
      </c>
      <c r="P649" s="1" t="s">
        <v>2597</v>
      </c>
      <c r="Q649" s="1" t="s">
        <v>2292</v>
      </c>
      <c r="R649" s="1" t="s">
        <v>2292</v>
      </c>
      <c r="S649" s="1"/>
      <c r="T649" s="1" t="s">
        <v>47</v>
      </c>
      <c r="U649" s="1"/>
      <c r="V649" s="1">
        <v>73.98</v>
      </c>
      <c r="W649" s="1">
        <v>73.98</v>
      </c>
      <c r="X649" s="1" t="s">
        <v>35</v>
      </c>
      <c r="Y649" s="1">
        <v>73980.0</v>
      </c>
      <c r="Z649" s="1"/>
      <c r="AA649" s="1">
        <v>73980</v>
      </c>
      <c r="AB649" s="1"/>
      <c r="AC649" s="1" t="s">
        <v>36</v>
      </c>
      <c r="AD649" s="1" t="s">
        <v>2598</v>
      </c>
      <c r="AE649" s="1" t="s">
        <v>32</v>
      </c>
      <c r="AF649" s="1" t="s">
        <v>33</v>
      </c>
      <c r="AG649" s="1" t="s">
        <v>49</v>
      </c>
    </row>
    <row r="650" spans="1:33">
      <c r="A650" t="s">
        <v>2599</v>
      </c>
      <c r="B650" t="s">
        <v>2600</v>
      </c>
      <c r="C650" t="s">
        <v>47</v>
      </c>
      <c r="E650" t="s">
        <v>2292</v>
      </c>
      <c r="F650" t="s">
        <v>2293</v>
      </c>
      <c r="G650">
        <v>11.0</v>
      </c>
      <c r="H650">
        <v>11.0</v>
      </c>
      <c r="I650" t="s">
        <v>48</v>
      </c>
      <c r="J650" t="s">
        <v>49</v>
      </c>
      <c r="K650" t="s">
        <v>31</v>
      </c>
      <c r="L650" t="s">
        <v>32</v>
      </c>
      <c r="M650" t="s">
        <v>33</v>
      </c>
      <c r="P650" s="1" t="s">
        <v>2601</v>
      </c>
      <c r="Q650" s="1" t="s">
        <v>2292</v>
      </c>
      <c r="R650" s="1" t="s">
        <v>2292</v>
      </c>
      <c r="S650" s="1"/>
      <c r="T650" s="1" t="s">
        <v>47</v>
      </c>
      <c r="U650" s="1"/>
      <c r="V650" s="1">
        <v>11.0</v>
      </c>
      <c r="W650" s="1">
        <v>11.0</v>
      </c>
      <c r="X650" s="1" t="s">
        <v>35</v>
      </c>
      <c r="Y650" s="1">
        <v>11000.0</v>
      </c>
      <c r="Z650" s="1"/>
      <c r="AA650" s="1">
        <v>11000</v>
      </c>
      <c r="AB650" s="1"/>
      <c r="AC650" s="1" t="s">
        <v>36</v>
      </c>
      <c r="AD650" s="1" t="s">
        <v>2602</v>
      </c>
      <c r="AE650" s="1" t="s">
        <v>32</v>
      </c>
      <c r="AF650" s="1" t="s">
        <v>33</v>
      </c>
      <c r="AG650" s="1" t="s">
        <v>49</v>
      </c>
    </row>
    <row r="651" spans="1:33">
      <c r="A651" t="s">
        <v>2603</v>
      </c>
      <c r="C651" t="s">
        <v>1087</v>
      </c>
      <c r="E651" t="s">
        <v>2292</v>
      </c>
      <c r="F651" t="s">
        <v>2293</v>
      </c>
      <c r="G651">
        <v>62.5</v>
      </c>
      <c r="H651">
        <v>62.5</v>
      </c>
      <c r="I651" t="s">
        <v>269</v>
      </c>
      <c r="J651" t="s">
        <v>270</v>
      </c>
      <c r="K651" t="s">
        <v>31</v>
      </c>
      <c r="L651" t="s">
        <v>32</v>
      </c>
      <c r="M651" t="s">
        <v>33</v>
      </c>
      <c r="P651" s="1" t="s">
        <v>2604</v>
      </c>
      <c r="Q651" s="1" t="s">
        <v>2292</v>
      </c>
      <c r="R651" s="1" t="s">
        <v>2292</v>
      </c>
      <c r="S651" s="1"/>
      <c r="T651" s="1" t="s">
        <v>1087</v>
      </c>
      <c r="U651" s="1"/>
      <c r="V651" s="1">
        <v>62.5</v>
      </c>
      <c r="W651" s="1">
        <v>62.5</v>
      </c>
      <c r="X651" s="1" t="s">
        <v>35</v>
      </c>
      <c r="Y651" s="1">
        <v>62500.0</v>
      </c>
      <c r="Z651" s="1"/>
      <c r="AA651" s="1">
        <v>62500</v>
      </c>
      <c r="AB651" s="1"/>
      <c r="AC651" s="1" t="s">
        <v>36</v>
      </c>
      <c r="AD651" s="1" t="s">
        <v>2605</v>
      </c>
      <c r="AE651" s="1" t="s">
        <v>32</v>
      </c>
      <c r="AF651" s="1" t="s">
        <v>33</v>
      </c>
      <c r="AG651" s="1" t="s">
        <v>270</v>
      </c>
    </row>
    <row r="652" spans="1:33">
      <c r="A652" t="s">
        <v>2606</v>
      </c>
      <c r="C652" t="s">
        <v>2607</v>
      </c>
      <c r="E652" t="s">
        <v>2292</v>
      </c>
      <c r="F652" t="s">
        <v>2293</v>
      </c>
      <c r="G652">
        <v>336.0</v>
      </c>
      <c r="H652">
        <v>336.0</v>
      </c>
      <c r="I652" t="s">
        <v>570</v>
      </c>
      <c r="J652" t="s">
        <v>571</v>
      </c>
      <c r="K652" t="s">
        <v>31</v>
      </c>
      <c r="L652" t="s">
        <v>32</v>
      </c>
      <c r="M652" t="s">
        <v>33</v>
      </c>
      <c r="P652" s="1" t="s">
        <v>2608</v>
      </c>
      <c r="Q652" s="1" t="s">
        <v>2292</v>
      </c>
      <c r="R652" s="1" t="s">
        <v>2292</v>
      </c>
      <c r="S652" s="1"/>
      <c r="T652" s="1" t="s">
        <v>2607</v>
      </c>
      <c r="U652" s="1"/>
      <c r="V652" s="1">
        <v>336.0</v>
      </c>
      <c r="W652" s="1">
        <v>336.0</v>
      </c>
      <c r="X652" s="1" t="s">
        <v>35</v>
      </c>
      <c r="Y652" s="1">
        <v>336000.0</v>
      </c>
      <c r="Z652" s="1"/>
      <c r="AA652" s="1">
        <v>336000</v>
      </c>
      <c r="AB652" s="1"/>
      <c r="AC652" s="1" t="s">
        <v>36</v>
      </c>
      <c r="AD652" s="1" t="s">
        <v>2609</v>
      </c>
      <c r="AE652" s="1" t="s">
        <v>32</v>
      </c>
      <c r="AF652" s="1" t="s">
        <v>33</v>
      </c>
      <c r="AG652" s="1" t="s">
        <v>571</v>
      </c>
    </row>
    <row r="653" spans="1:33">
      <c r="A653" t="s">
        <v>2610</v>
      </c>
      <c r="B653" t="s">
        <v>2611</v>
      </c>
      <c r="C653" t="s">
        <v>2612</v>
      </c>
      <c r="E653" t="s">
        <v>2292</v>
      </c>
      <c r="F653" t="s">
        <v>2293</v>
      </c>
      <c r="G653">
        <v>1.56</v>
      </c>
      <c r="H653">
        <v>1.56</v>
      </c>
      <c r="I653" t="s">
        <v>29</v>
      </c>
      <c r="J653" t="s">
        <v>30</v>
      </c>
      <c r="K653" t="s">
        <v>31</v>
      </c>
      <c r="L653" t="s">
        <v>32</v>
      </c>
      <c r="M653" t="s">
        <v>33</v>
      </c>
      <c r="P653" s="1" t="s">
        <v>2613</v>
      </c>
      <c r="Q653" s="1" t="s">
        <v>2292</v>
      </c>
      <c r="R653" s="1" t="s">
        <v>2292</v>
      </c>
      <c r="S653" s="1"/>
      <c r="T653" s="1" t="s">
        <v>2614</v>
      </c>
      <c r="U653" s="1" t="s">
        <v>154</v>
      </c>
      <c r="V653" s="1">
        <v>1.56</v>
      </c>
      <c r="W653" s="1">
        <v>1.56</v>
      </c>
      <c r="X653" s="1" t="s">
        <v>35</v>
      </c>
      <c r="Y653" s="1">
        <v>1560000.0</v>
      </c>
      <c r="Z653" s="1"/>
      <c r="AA653" s="1">
        <v>1560000</v>
      </c>
      <c r="AB653" s="1"/>
      <c r="AC653" s="1" t="s">
        <v>36</v>
      </c>
      <c r="AD653" s="1" t="s">
        <v>2615</v>
      </c>
      <c r="AE653" s="1" t="s">
        <v>32</v>
      </c>
      <c r="AF653" s="1" t="s">
        <v>33</v>
      </c>
      <c r="AG653" s="1" t="s">
        <v>30</v>
      </c>
    </row>
    <row r="654" spans="1:33">
      <c r="A654" t="s">
        <v>2616</v>
      </c>
      <c r="C654" t="s">
        <v>2617</v>
      </c>
      <c r="E654" t="s">
        <v>2292</v>
      </c>
      <c r="F654" t="s">
        <v>2293</v>
      </c>
      <c r="G654">
        <v>982.5</v>
      </c>
      <c r="H654">
        <v>982.5</v>
      </c>
      <c r="I654" t="s">
        <v>179</v>
      </c>
      <c r="J654" t="s">
        <v>180</v>
      </c>
      <c r="K654" t="s">
        <v>31</v>
      </c>
      <c r="L654" t="s">
        <v>32</v>
      </c>
      <c r="M654" t="s">
        <v>33</v>
      </c>
      <c r="P654" s="1" t="s">
        <v>2618</v>
      </c>
      <c r="Q654" s="1" t="s">
        <v>2292</v>
      </c>
      <c r="R654" s="1" t="s">
        <v>2292</v>
      </c>
      <c r="S654" s="1"/>
      <c r="T654" s="1" t="s">
        <v>2617</v>
      </c>
      <c r="U654" s="1"/>
      <c r="V654" s="1">
        <v>982.5</v>
      </c>
      <c r="W654" s="1">
        <v>982.5</v>
      </c>
      <c r="X654" s="1" t="s">
        <v>35</v>
      </c>
      <c r="Y654" s="1">
        <v>982500.0</v>
      </c>
      <c r="Z654" s="1"/>
      <c r="AA654" s="1">
        <v>982500</v>
      </c>
      <c r="AB654" s="1"/>
      <c r="AC654" s="1" t="s">
        <v>36</v>
      </c>
      <c r="AD654" s="1" t="s">
        <v>2619</v>
      </c>
      <c r="AE654" s="1" t="s">
        <v>32</v>
      </c>
      <c r="AF654" s="1" t="s">
        <v>33</v>
      </c>
      <c r="AG654" s="1" t="s">
        <v>180</v>
      </c>
    </row>
    <row r="655" spans="1:33">
      <c r="A655" t="s">
        <v>2620</v>
      </c>
      <c r="C655" t="s">
        <v>2621</v>
      </c>
      <c r="E655" t="s">
        <v>2292</v>
      </c>
      <c r="F655" t="s">
        <v>2293</v>
      </c>
      <c r="G655">
        <v>328.0</v>
      </c>
      <c r="H655">
        <v>328.0</v>
      </c>
      <c r="I655" t="s">
        <v>269</v>
      </c>
      <c r="J655" t="s">
        <v>270</v>
      </c>
      <c r="K655" t="s">
        <v>31</v>
      </c>
      <c r="L655" t="s">
        <v>32</v>
      </c>
      <c r="M655" t="s">
        <v>33</v>
      </c>
      <c r="P655" s="1" t="s">
        <v>2622</v>
      </c>
      <c r="Q655" s="1" t="s">
        <v>2292</v>
      </c>
      <c r="R655" s="1" t="s">
        <v>2292</v>
      </c>
      <c r="S655" s="1"/>
      <c r="T655" s="1" t="s">
        <v>2621</v>
      </c>
      <c r="U655" s="1"/>
      <c r="V655" s="1">
        <v>328.0</v>
      </c>
      <c r="W655" s="1">
        <v>328.0</v>
      </c>
      <c r="X655" s="1" t="s">
        <v>35</v>
      </c>
      <c r="Y655" s="1">
        <v>328000.0</v>
      </c>
      <c r="Z655" s="1"/>
      <c r="AA655" s="1">
        <v>328000</v>
      </c>
      <c r="AB655" s="1"/>
      <c r="AC655" s="1" t="s">
        <v>36</v>
      </c>
      <c r="AD655" s="1" t="s">
        <v>2623</v>
      </c>
      <c r="AE655" s="1" t="s">
        <v>32</v>
      </c>
      <c r="AF655" s="1" t="s">
        <v>33</v>
      </c>
      <c r="AG655" s="1" t="s">
        <v>270</v>
      </c>
    </row>
    <row r="656" spans="1:33">
      <c r="A656" t="s">
        <v>2624</v>
      </c>
      <c r="C656" t="s">
        <v>2625</v>
      </c>
      <c r="E656" t="s">
        <v>2292</v>
      </c>
      <c r="F656" t="s">
        <v>2293</v>
      </c>
      <c r="G656">
        <v>686.0</v>
      </c>
      <c r="H656">
        <v>686.0</v>
      </c>
      <c r="I656" t="s">
        <v>269</v>
      </c>
      <c r="J656" t="s">
        <v>270</v>
      </c>
      <c r="K656" t="s">
        <v>31</v>
      </c>
      <c r="L656" t="s">
        <v>32</v>
      </c>
      <c r="M656" t="s">
        <v>33</v>
      </c>
      <c r="P656" s="1" t="s">
        <v>2626</v>
      </c>
      <c r="Q656" s="1" t="s">
        <v>2292</v>
      </c>
      <c r="R656" s="1" t="s">
        <v>2292</v>
      </c>
      <c r="S656" s="1"/>
      <c r="T656" s="1" t="s">
        <v>2627</v>
      </c>
      <c r="U656" s="1" t="s">
        <v>2628</v>
      </c>
      <c r="V656" s="1">
        <v>686.0</v>
      </c>
      <c r="W656" s="1">
        <v>686.0</v>
      </c>
      <c r="X656" s="1" t="s">
        <v>35</v>
      </c>
      <c r="Y656" s="1">
        <v>686000.0</v>
      </c>
      <c r="Z656" s="1"/>
      <c r="AA656" s="1">
        <v>686000</v>
      </c>
      <c r="AB656" s="1"/>
      <c r="AC656" s="1" t="s">
        <v>36</v>
      </c>
      <c r="AD656" s="1" t="s">
        <v>2629</v>
      </c>
      <c r="AE656" s="1" t="s">
        <v>32</v>
      </c>
      <c r="AF656" s="1" t="s">
        <v>33</v>
      </c>
      <c r="AG656" s="1" t="s">
        <v>270</v>
      </c>
    </row>
    <row r="657" spans="1:33">
      <c r="A657" t="s">
        <v>2630</v>
      </c>
      <c r="B657" t="s">
        <v>2631</v>
      </c>
      <c r="C657" t="s">
        <v>2632</v>
      </c>
      <c r="E657" t="s">
        <v>2292</v>
      </c>
      <c r="F657" t="s">
        <v>2293</v>
      </c>
      <c r="G657">
        <v>17.5</v>
      </c>
      <c r="H657">
        <v>17.5</v>
      </c>
      <c r="I657" t="s">
        <v>29</v>
      </c>
      <c r="J657" t="s">
        <v>30</v>
      </c>
      <c r="K657" t="s">
        <v>31</v>
      </c>
      <c r="L657" t="s">
        <v>32</v>
      </c>
      <c r="M657" t="s">
        <v>33</v>
      </c>
      <c r="P657" s="1" t="s">
        <v>2633</v>
      </c>
      <c r="Q657" s="1" t="s">
        <v>2292</v>
      </c>
      <c r="R657" s="1" t="s">
        <v>2292</v>
      </c>
      <c r="S657" s="1"/>
      <c r="T657" s="1" t="s">
        <v>2632</v>
      </c>
      <c r="U657" s="1"/>
      <c r="V657" s="1">
        <v>17.5</v>
      </c>
      <c r="W657" s="1">
        <v>17.5</v>
      </c>
      <c r="X657" s="1" t="s">
        <v>35</v>
      </c>
      <c r="Y657" s="1">
        <v>17500.0</v>
      </c>
      <c r="Z657" s="1"/>
      <c r="AA657" s="1">
        <v>17500</v>
      </c>
      <c r="AB657" s="1"/>
      <c r="AC657" s="1" t="s">
        <v>36</v>
      </c>
      <c r="AD657" s="1" t="s">
        <v>2351</v>
      </c>
      <c r="AE657" s="1" t="s">
        <v>32</v>
      </c>
      <c r="AF657" s="1" t="s">
        <v>33</v>
      </c>
      <c r="AG657" s="1" t="s">
        <v>30</v>
      </c>
    </row>
    <row r="658" spans="1:33">
      <c r="A658" t="s">
        <v>2634</v>
      </c>
      <c r="C658" t="s">
        <v>2635</v>
      </c>
      <c r="E658" t="s">
        <v>2292</v>
      </c>
      <c r="F658" t="s">
        <v>2293</v>
      </c>
      <c r="G658">
        <v>504.0</v>
      </c>
      <c r="H658">
        <v>504.0</v>
      </c>
      <c r="I658" t="s">
        <v>48</v>
      </c>
      <c r="J658" t="s">
        <v>49</v>
      </c>
      <c r="K658" t="s">
        <v>31</v>
      </c>
      <c r="L658" t="s">
        <v>32</v>
      </c>
      <c r="M658" t="s">
        <v>33</v>
      </c>
      <c r="P658" s="1" t="s">
        <v>2636</v>
      </c>
      <c r="Q658" s="1" t="s">
        <v>2292</v>
      </c>
      <c r="R658" s="1" t="s">
        <v>2292</v>
      </c>
      <c r="S658" s="1"/>
      <c r="T658" s="1" t="s">
        <v>2635</v>
      </c>
      <c r="U658" s="1"/>
      <c r="V658" s="1">
        <v>504.0</v>
      </c>
      <c r="W658" s="1">
        <v>504.0</v>
      </c>
      <c r="X658" s="1" t="s">
        <v>35</v>
      </c>
      <c r="Y658" s="1">
        <v>504000.0</v>
      </c>
      <c r="Z658" s="1"/>
      <c r="AA658" s="1">
        <v>504000</v>
      </c>
      <c r="AB658" s="1"/>
      <c r="AC658" s="1" t="s">
        <v>36</v>
      </c>
      <c r="AD658" s="1" t="s">
        <v>2637</v>
      </c>
      <c r="AE658" s="1" t="s">
        <v>32</v>
      </c>
      <c r="AF658" s="1" t="s">
        <v>33</v>
      </c>
      <c r="AG658" s="1" t="s">
        <v>49</v>
      </c>
    </row>
    <row r="659" spans="1:33">
      <c r="A659" t="s">
        <v>2638</v>
      </c>
      <c r="B659" t="s">
        <v>2639</v>
      </c>
      <c r="C659" t="s">
        <v>68</v>
      </c>
      <c r="E659" t="s">
        <v>2292</v>
      </c>
      <c r="F659" t="s">
        <v>2293</v>
      </c>
      <c r="G659">
        <v>17.745</v>
      </c>
      <c r="H659">
        <v>17.745</v>
      </c>
      <c r="I659" t="s">
        <v>59</v>
      </c>
      <c r="J659" t="s">
        <v>60</v>
      </c>
      <c r="K659" t="s">
        <v>31</v>
      </c>
      <c r="L659" t="s">
        <v>32</v>
      </c>
      <c r="M659" t="s">
        <v>33</v>
      </c>
      <c r="P659" s="1" t="s">
        <v>2640</v>
      </c>
      <c r="Q659" s="1" t="s">
        <v>2292</v>
      </c>
      <c r="R659" s="1" t="s">
        <v>2292</v>
      </c>
      <c r="S659" s="1"/>
      <c r="T659" s="1" t="s">
        <v>68</v>
      </c>
      <c r="U659" s="1"/>
      <c r="V659" s="1">
        <v>17.745</v>
      </c>
      <c r="W659" s="1">
        <v>17.745</v>
      </c>
      <c r="X659" s="1" t="s">
        <v>35</v>
      </c>
      <c r="Y659" s="1">
        <v>17745.0</v>
      </c>
      <c r="Z659" s="1"/>
      <c r="AA659" s="1">
        <v>17745</v>
      </c>
      <c r="AB659" s="1"/>
      <c r="AC659" s="1" t="s">
        <v>36</v>
      </c>
      <c r="AD659" s="1" t="s">
        <v>2641</v>
      </c>
      <c r="AE659" s="1" t="s">
        <v>32</v>
      </c>
      <c r="AF659" s="1" t="s">
        <v>33</v>
      </c>
      <c r="AG659" s="1" t="s">
        <v>60</v>
      </c>
    </row>
    <row r="660" spans="1:33">
      <c r="A660" t="s">
        <v>2642</v>
      </c>
      <c r="B660" t="s">
        <v>2643</v>
      </c>
      <c r="C660" t="s">
        <v>2644</v>
      </c>
      <c r="E660" t="s">
        <v>2292</v>
      </c>
      <c r="F660" t="s">
        <v>2293</v>
      </c>
      <c r="G660">
        <v>955.0</v>
      </c>
      <c r="H660">
        <v>955.0</v>
      </c>
      <c r="I660" t="s">
        <v>40</v>
      </c>
      <c r="J660" t="s">
        <v>41</v>
      </c>
      <c r="K660" t="s">
        <v>31</v>
      </c>
      <c r="L660" t="s">
        <v>32</v>
      </c>
      <c r="M660" t="s">
        <v>33</v>
      </c>
      <c r="P660" s="1" t="s">
        <v>2645</v>
      </c>
      <c r="Q660" s="1" t="s">
        <v>2292</v>
      </c>
      <c r="R660" s="1" t="s">
        <v>1562</v>
      </c>
      <c r="S660" s="1"/>
      <c r="T660" s="1" t="s">
        <v>2644</v>
      </c>
      <c r="U660" s="1"/>
      <c r="V660" s="1">
        <v>955.0</v>
      </c>
      <c r="W660" s="1">
        <v>955.0</v>
      </c>
      <c r="X660" s="1" t="s">
        <v>35</v>
      </c>
      <c r="Y660" s="1">
        <v>955000.0</v>
      </c>
      <c r="Z660" s="1"/>
      <c r="AA660" s="1">
        <v>955000</v>
      </c>
      <c r="AB660" s="1"/>
      <c r="AC660" s="1" t="s">
        <v>36</v>
      </c>
      <c r="AD660" s="1" t="s">
        <v>2646</v>
      </c>
      <c r="AE660" s="1" t="s">
        <v>32</v>
      </c>
      <c r="AF660" s="1" t="s">
        <v>33</v>
      </c>
      <c r="AG660" s="1" t="s">
        <v>41</v>
      </c>
    </row>
    <row r="661" spans="1:33">
      <c r="A661" t="s">
        <v>2647</v>
      </c>
      <c r="B661" t="s">
        <v>2648</v>
      </c>
      <c r="C661" t="s">
        <v>569</v>
      </c>
      <c r="E661" t="s">
        <v>2292</v>
      </c>
      <c r="F661" t="s">
        <v>2293</v>
      </c>
      <c r="G661">
        <v>46.28</v>
      </c>
      <c r="H661">
        <v>46.28</v>
      </c>
      <c r="I661" t="s">
        <v>570</v>
      </c>
      <c r="J661" t="s">
        <v>571</v>
      </c>
      <c r="K661" t="s">
        <v>31</v>
      </c>
      <c r="L661" t="s">
        <v>32</v>
      </c>
      <c r="M661" t="s">
        <v>33</v>
      </c>
      <c r="P661" s="1" t="s">
        <v>2649</v>
      </c>
      <c r="Q661" s="1" t="s">
        <v>2292</v>
      </c>
      <c r="R661" s="1" t="s">
        <v>2292</v>
      </c>
      <c r="S661" s="1"/>
      <c r="T661" s="1" t="s">
        <v>569</v>
      </c>
      <c r="U661" s="1"/>
      <c r="V661" s="1">
        <v>46.28</v>
      </c>
      <c r="W661" s="1">
        <v>46.28</v>
      </c>
      <c r="X661" s="1" t="s">
        <v>35</v>
      </c>
      <c r="Y661" s="1">
        <v>46280.0</v>
      </c>
      <c r="Z661" s="1"/>
      <c r="AA661" s="1">
        <v>46280</v>
      </c>
      <c r="AB661" s="1"/>
      <c r="AC661" s="1" t="s">
        <v>36</v>
      </c>
      <c r="AD661" s="1" t="s">
        <v>2650</v>
      </c>
      <c r="AE661" s="1" t="s">
        <v>32</v>
      </c>
      <c r="AF661" s="1" t="s">
        <v>33</v>
      </c>
      <c r="AG661" s="1" t="s">
        <v>571</v>
      </c>
    </row>
    <row r="662" spans="1:33">
      <c r="A662" t="s">
        <v>2651</v>
      </c>
      <c r="C662" t="s">
        <v>135</v>
      </c>
      <c r="E662" t="s">
        <v>2292</v>
      </c>
      <c r="F662" t="s">
        <v>2293</v>
      </c>
      <c r="G662">
        <v>28.25</v>
      </c>
      <c r="H662">
        <v>28.25</v>
      </c>
      <c r="I662" t="s">
        <v>136</v>
      </c>
      <c r="J662" t="s">
        <v>137</v>
      </c>
      <c r="K662" t="s">
        <v>31</v>
      </c>
      <c r="L662" t="s">
        <v>32</v>
      </c>
      <c r="M662" t="s">
        <v>33</v>
      </c>
      <c r="P662" s="1" t="s">
        <v>2652</v>
      </c>
      <c r="Q662" s="1" t="s">
        <v>2292</v>
      </c>
      <c r="R662" s="1" t="s">
        <v>2292</v>
      </c>
      <c r="S662" s="1"/>
      <c r="T662" s="1" t="s">
        <v>135</v>
      </c>
      <c r="U662" s="1"/>
      <c r="V662" s="1">
        <v>28.25</v>
      </c>
      <c r="W662" s="1">
        <v>28.25</v>
      </c>
      <c r="X662" s="1" t="s">
        <v>35</v>
      </c>
      <c r="Y662" s="1">
        <v>28250.0</v>
      </c>
      <c r="Z662" s="1"/>
      <c r="AA662" s="1">
        <v>28250</v>
      </c>
      <c r="AB662" s="1"/>
      <c r="AC662" s="1" t="s">
        <v>36</v>
      </c>
      <c r="AD662" s="1" t="s">
        <v>2653</v>
      </c>
      <c r="AE662" s="1" t="s">
        <v>32</v>
      </c>
      <c r="AF662" s="1" t="s">
        <v>33</v>
      </c>
      <c r="AG662" s="1" t="s">
        <v>137</v>
      </c>
    </row>
    <row r="663" spans="1:33">
      <c r="A663" t="s">
        <v>2654</v>
      </c>
      <c r="B663" t="s">
        <v>2291</v>
      </c>
      <c r="C663" t="s">
        <v>73</v>
      </c>
      <c r="E663" t="s">
        <v>2292</v>
      </c>
      <c r="F663" t="s">
        <v>2293</v>
      </c>
      <c r="G663">
        <v>18.49</v>
      </c>
      <c r="H663">
        <v>18.49</v>
      </c>
      <c r="I663" t="s">
        <v>40</v>
      </c>
      <c r="J663" t="s">
        <v>41</v>
      </c>
      <c r="K663" t="s">
        <v>31</v>
      </c>
      <c r="L663" t="s">
        <v>32</v>
      </c>
      <c r="M663" t="s">
        <v>33</v>
      </c>
      <c r="P663" s="1" t="s">
        <v>2655</v>
      </c>
      <c r="Q663" s="1" t="s">
        <v>2292</v>
      </c>
      <c r="R663" s="1" t="s">
        <v>1562</v>
      </c>
      <c r="S663" s="1"/>
      <c r="T663" s="1" t="s">
        <v>75</v>
      </c>
      <c r="U663" s="1" t="s">
        <v>76</v>
      </c>
      <c r="V663" s="1">
        <v>18.49</v>
      </c>
      <c r="W663" s="1">
        <v>18.49</v>
      </c>
      <c r="X663" s="1" t="s">
        <v>35</v>
      </c>
      <c r="Y663" s="1">
        <v>18490.0</v>
      </c>
      <c r="Z663" s="1"/>
      <c r="AA663" s="1">
        <v>18490</v>
      </c>
      <c r="AB663" s="1"/>
      <c r="AC663" s="1" t="s">
        <v>36</v>
      </c>
      <c r="AD663" s="1" t="s">
        <v>2656</v>
      </c>
      <c r="AE663" s="1" t="s">
        <v>32</v>
      </c>
      <c r="AF663" s="1" t="s">
        <v>33</v>
      </c>
      <c r="AG663" s="1" t="s">
        <v>41</v>
      </c>
    </row>
    <row r="664" spans="1:33">
      <c r="A664" t="s">
        <v>2657</v>
      </c>
      <c r="B664" t="s">
        <v>2658</v>
      </c>
      <c r="C664" t="s">
        <v>172</v>
      </c>
      <c r="E664" t="s">
        <v>2292</v>
      </c>
      <c r="F664" t="s">
        <v>2293</v>
      </c>
      <c r="G664">
        <v>65.97</v>
      </c>
      <c r="H664">
        <v>65.97</v>
      </c>
      <c r="I664" t="s">
        <v>173</v>
      </c>
      <c r="J664" t="s">
        <v>174</v>
      </c>
      <c r="K664" t="s">
        <v>31</v>
      </c>
      <c r="L664" t="s">
        <v>32</v>
      </c>
      <c r="M664" t="s">
        <v>33</v>
      </c>
      <c r="P664" s="1" t="s">
        <v>2659</v>
      </c>
      <c r="Q664" s="1" t="s">
        <v>2292</v>
      </c>
      <c r="R664" s="1" t="s">
        <v>2292</v>
      </c>
      <c r="S664" s="1"/>
      <c r="T664" s="1" t="s">
        <v>172</v>
      </c>
      <c r="U664" s="1"/>
      <c r="V664" s="1">
        <v>65.97</v>
      </c>
      <c r="W664" s="1">
        <v>65.97</v>
      </c>
      <c r="X664" s="1" t="s">
        <v>35</v>
      </c>
      <c r="Y664" s="1">
        <v>65970.0</v>
      </c>
      <c r="Z664" s="1"/>
      <c r="AA664" s="1">
        <v>65970</v>
      </c>
      <c r="AB664" s="1"/>
      <c r="AC664" s="1" t="s">
        <v>36</v>
      </c>
      <c r="AD664" s="1" t="s">
        <v>2660</v>
      </c>
      <c r="AE664" s="1" t="s">
        <v>32</v>
      </c>
      <c r="AF664" s="1" t="s">
        <v>33</v>
      </c>
      <c r="AG664" s="1" t="s">
        <v>174</v>
      </c>
    </row>
    <row r="665" spans="1:33">
      <c r="A665" t="s">
        <v>2661</v>
      </c>
      <c r="C665" t="s">
        <v>2662</v>
      </c>
      <c r="E665" t="s">
        <v>2292</v>
      </c>
      <c r="F665" t="s">
        <v>2293</v>
      </c>
      <c r="G665">
        <v>916.5</v>
      </c>
      <c r="H665">
        <v>916.5</v>
      </c>
      <c r="I665" t="s">
        <v>48</v>
      </c>
      <c r="J665" t="s">
        <v>49</v>
      </c>
      <c r="K665" t="s">
        <v>31</v>
      </c>
      <c r="L665" t="s">
        <v>32</v>
      </c>
      <c r="M665" t="s">
        <v>33</v>
      </c>
      <c r="P665" s="1" t="s">
        <v>2663</v>
      </c>
      <c r="Q665" s="1" t="s">
        <v>2292</v>
      </c>
      <c r="R665" s="1" t="s">
        <v>2292</v>
      </c>
      <c r="S665" s="1"/>
      <c r="T665" s="1" t="s">
        <v>2662</v>
      </c>
      <c r="U665" s="1"/>
      <c r="V665" s="1">
        <v>916.5</v>
      </c>
      <c r="W665" s="1">
        <v>916.5</v>
      </c>
      <c r="X665" s="1" t="s">
        <v>35</v>
      </c>
      <c r="Y665" s="1">
        <v>916500.0</v>
      </c>
      <c r="Z665" s="1"/>
      <c r="AA665" s="1">
        <v>916500</v>
      </c>
      <c r="AB665" s="1"/>
      <c r="AC665" s="1" t="s">
        <v>36</v>
      </c>
      <c r="AD665" s="1" t="s">
        <v>2664</v>
      </c>
      <c r="AE665" s="1" t="s">
        <v>32</v>
      </c>
      <c r="AF665" s="1" t="s">
        <v>33</v>
      </c>
      <c r="AG665" s="1" t="s">
        <v>49</v>
      </c>
    </row>
    <row r="666" spans="1:33">
      <c r="A666" t="s">
        <v>2665</v>
      </c>
      <c r="B666" t="s">
        <v>219</v>
      </c>
      <c r="C666" t="s">
        <v>220</v>
      </c>
      <c r="D666" t="s">
        <v>114</v>
      </c>
      <c r="E666" t="s">
        <v>2292</v>
      </c>
      <c r="F666" t="s">
        <v>2293</v>
      </c>
      <c r="G666">
        <v>103.27</v>
      </c>
      <c r="H666">
        <v>103.27</v>
      </c>
      <c r="I666" t="s">
        <v>59</v>
      </c>
      <c r="J666" t="s">
        <v>60</v>
      </c>
      <c r="K666" t="s">
        <v>31</v>
      </c>
      <c r="L666" t="s">
        <v>32</v>
      </c>
      <c r="M666" t="s">
        <v>33</v>
      </c>
      <c r="P666" s="1" t="s">
        <v>2666</v>
      </c>
      <c r="Q666" s="1" t="s">
        <v>2292</v>
      </c>
      <c r="R666" s="1" t="s">
        <v>2292</v>
      </c>
      <c r="S666" s="1"/>
      <c r="T666" s="1" t="s">
        <v>222</v>
      </c>
      <c r="U666" s="1" t="s">
        <v>223</v>
      </c>
      <c r="V666" s="1">
        <v>103.27</v>
      </c>
      <c r="W666" s="1">
        <v>103.27</v>
      </c>
      <c r="X666" s="1" t="s">
        <v>35</v>
      </c>
      <c r="Y666" s="1">
        <v>103270.0</v>
      </c>
      <c r="Z666" s="1"/>
      <c r="AA666" s="1">
        <v>103270</v>
      </c>
      <c r="AB666" s="1"/>
      <c r="AC666" s="1" t="s">
        <v>36</v>
      </c>
      <c r="AD666" s="1" t="s">
        <v>2667</v>
      </c>
      <c r="AE666" s="1" t="s">
        <v>32</v>
      </c>
      <c r="AF666" s="1" t="s">
        <v>33</v>
      </c>
      <c r="AG666" s="1" t="s">
        <v>60</v>
      </c>
    </row>
    <row r="667" spans="1:33">
      <c r="A667" t="s">
        <v>2668</v>
      </c>
      <c r="B667" t="s">
        <v>743</v>
      </c>
      <c r="C667" t="s">
        <v>68</v>
      </c>
      <c r="E667" t="s">
        <v>2292</v>
      </c>
      <c r="F667" t="s">
        <v>2293</v>
      </c>
      <c r="G667">
        <v>233.88</v>
      </c>
      <c r="H667">
        <v>233.88</v>
      </c>
      <c r="I667" t="s">
        <v>59</v>
      </c>
      <c r="J667" t="s">
        <v>60</v>
      </c>
      <c r="K667" t="s">
        <v>31</v>
      </c>
      <c r="L667" t="s">
        <v>32</v>
      </c>
      <c r="M667" t="s">
        <v>33</v>
      </c>
      <c r="P667" s="1" t="s">
        <v>2669</v>
      </c>
      <c r="Q667" s="1" t="s">
        <v>2292</v>
      </c>
      <c r="R667" s="1" t="s">
        <v>2292</v>
      </c>
      <c r="S667" s="1"/>
      <c r="T667" s="1" t="s">
        <v>68</v>
      </c>
      <c r="U667" s="1"/>
      <c r="V667" s="1">
        <v>233.88</v>
      </c>
      <c r="W667" s="1">
        <v>233.88</v>
      </c>
      <c r="X667" s="1" t="s">
        <v>35</v>
      </c>
      <c r="Y667" s="1">
        <v>234000.0</v>
      </c>
      <c r="Z667" s="1">
        <v>-120</v>
      </c>
      <c r="AA667" s="1">
        <v>234000</v>
      </c>
      <c r="AB667" s="1">
        <v>-120</v>
      </c>
      <c r="AC667" s="1" t="s">
        <v>36</v>
      </c>
      <c r="AD667" s="1" t="s">
        <v>2670</v>
      </c>
      <c r="AE667" s="1" t="s">
        <v>32</v>
      </c>
      <c r="AF667" s="1" t="s">
        <v>33</v>
      </c>
      <c r="AG667" s="1" t="s">
        <v>60</v>
      </c>
    </row>
    <row r="668" spans="1:33">
      <c r="A668" t="s">
        <v>2671</v>
      </c>
      <c r="B668" t="s">
        <v>2672</v>
      </c>
      <c r="C668" t="s">
        <v>2673</v>
      </c>
      <c r="E668" t="s">
        <v>2292</v>
      </c>
      <c r="F668" t="s">
        <v>2674</v>
      </c>
      <c r="G668">
        <v>861.5</v>
      </c>
      <c r="H668">
        <v>861.5</v>
      </c>
      <c r="I668" t="s">
        <v>40</v>
      </c>
      <c r="J668" t="s">
        <v>41</v>
      </c>
      <c r="K668" t="s">
        <v>31</v>
      </c>
      <c r="L668" t="s">
        <v>32</v>
      </c>
      <c r="M668" t="s">
        <v>33</v>
      </c>
      <c r="P668" s="1" t="s">
        <v>2675</v>
      </c>
      <c r="Q668" s="1" t="s">
        <v>2292</v>
      </c>
      <c r="R668" s="1" t="s">
        <v>2292</v>
      </c>
      <c r="S668" s="1"/>
      <c r="T668" s="1" t="s">
        <v>2673</v>
      </c>
      <c r="U668" s="1"/>
      <c r="V668" s="1">
        <v>861.5</v>
      </c>
      <c r="W668" s="1">
        <v>861.5</v>
      </c>
      <c r="X668" s="1" t="s">
        <v>35</v>
      </c>
      <c r="Y668" s="1">
        <v>861500.0</v>
      </c>
      <c r="Z668" s="1"/>
      <c r="AA668" s="1">
        <v>861500</v>
      </c>
      <c r="AB668" s="1"/>
      <c r="AC668" s="1" t="s">
        <v>36</v>
      </c>
      <c r="AD668" s="1" t="s">
        <v>2676</v>
      </c>
      <c r="AE668" s="1" t="s">
        <v>32</v>
      </c>
      <c r="AF668" s="1" t="s">
        <v>33</v>
      </c>
      <c r="AG668" s="1" t="s">
        <v>41</v>
      </c>
    </row>
    <row r="669" spans="1:33">
      <c r="A669" t="s">
        <v>2677</v>
      </c>
      <c r="B669" t="s">
        <v>2678</v>
      </c>
      <c r="C669" t="s">
        <v>47</v>
      </c>
      <c r="E669" t="s">
        <v>2292</v>
      </c>
      <c r="F669" t="s">
        <v>2293</v>
      </c>
      <c r="G669">
        <v>6.663</v>
      </c>
      <c r="H669">
        <v>6.663</v>
      </c>
      <c r="I669" t="s">
        <v>48</v>
      </c>
      <c r="J669" t="s">
        <v>49</v>
      </c>
      <c r="K669" t="s">
        <v>31</v>
      </c>
      <c r="L669" t="s">
        <v>32</v>
      </c>
      <c r="M669" t="s">
        <v>33</v>
      </c>
      <c r="P669" s="1" t="s">
        <v>2679</v>
      </c>
      <c r="Q669" s="1" t="s">
        <v>2292</v>
      </c>
      <c r="R669" s="1" t="s">
        <v>2292</v>
      </c>
      <c r="S669" s="1"/>
      <c r="T669" s="1" t="s">
        <v>47</v>
      </c>
      <c r="U669" s="1"/>
      <c r="V669" s="1">
        <v>6.663</v>
      </c>
      <c r="W669" s="1">
        <v>6.663</v>
      </c>
      <c r="X669" s="1" t="s">
        <v>35</v>
      </c>
      <c r="Y669" s="1">
        <v>6663.0</v>
      </c>
      <c r="Z669" s="1"/>
      <c r="AA669" s="1">
        <v>6663</v>
      </c>
      <c r="AB669" s="1"/>
      <c r="AC669" s="1" t="s">
        <v>36</v>
      </c>
      <c r="AD669" s="1" t="s">
        <v>2676</v>
      </c>
      <c r="AE669" s="1" t="s">
        <v>32</v>
      </c>
      <c r="AF669" s="1" t="s">
        <v>33</v>
      </c>
      <c r="AG669" s="1" t="s">
        <v>49</v>
      </c>
    </row>
    <row r="670" spans="1:33">
      <c r="A670" t="s">
        <v>2680</v>
      </c>
      <c r="B670" t="s">
        <v>57</v>
      </c>
      <c r="C670" t="s">
        <v>58</v>
      </c>
      <c r="E670" t="s">
        <v>2292</v>
      </c>
      <c r="F670" t="s">
        <v>2293</v>
      </c>
      <c r="G670">
        <v>462.5</v>
      </c>
      <c r="H670">
        <v>462.5</v>
      </c>
      <c r="I670" t="s">
        <v>59</v>
      </c>
      <c r="J670" t="s">
        <v>60</v>
      </c>
      <c r="K670" t="s">
        <v>31</v>
      </c>
      <c r="L670" t="s">
        <v>32</v>
      </c>
      <c r="M670" t="s">
        <v>33</v>
      </c>
      <c r="P670" s="1" t="s">
        <v>2681</v>
      </c>
      <c r="Q670" s="1" t="s">
        <v>2292</v>
      </c>
      <c r="R670" s="1" t="s">
        <v>2292</v>
      </c>
      <c r="S670" s="1"/>
      <c r="T670" s="1" t="s">
        <v>58</v>
      </c>
      <c r="U670" s="1"/>
      <c r="V670" s="1">
        <v>462.5</v>
      </c>
      <c r="W670" s="1">
        <v>462.5</v>
      </c>
      <c r="X670" s="1" t="s">
        <v>35</v>
      </c>
      <c r="Y670" s="1">
        <v>462500.0</v>
      </c>
      <c r="Z670" s="1"/>
      <c r="AA670" s="1">
        <v>462500</v>
      </c>
      <c r="AB670" s="1"/>
      <c r="AC670" s="1" t="s">
        <v>36</v>
      </c>
      <c r="AD670" s="1" t="s">
        <v>2682</v>
      </c>
      <c r="AE670" s="1" t="s">
        <v>32</v>
      </c>
      <c r="AF670" s="1" t="s">
        <v>33</v>
      </c>
      <c r="AG670" s="1" t="s">
        <v>60</v>
      </c>
    </row>
    <row r="671" spans="1:33">
      <c r="A671" t="s">
        <v>2683</v>
      </c>
      <c r="B671" t="s">
        <v>2684</v>
      </c>
      <c r="C671" t="s">
        <v>268</v>
      </c>
      <c r="E671" t="s">
        <v>2292</v>
      </c>
      <c r="F671" t="s">
        <v>2293</v>
      </c>
      <c r="G671">
        <v>211.65</v>
      </c>
      <c r="H671">
        <v>211.65</v>
      </c>
      <c r="I671" t="s">
        <v>269</v>
      </c>
      <c r="J671" t="s">
        <v>270</v>
      </c>
      <c r="K671" t="s">
        <v>31</v>
      </c>
      <c r="L671" t="s">
        <v>32</v>
      </c>
      <c r="M671" t="s">
        <v>33</v>
      </c>
      <c r="P671" s="1" t="s">
        <v>2685</v>
      </c>
      <c r="Q671" s="1" t="s">
        <v>2292</v>
      </c>
      <c r="R671" s="1" t="s">
        <v>2292</v>
      </c>
      <c r="S671" s="1"/>
      <c r="T671" s="1" t="s">
        <v>268</v>
      </c>
      <c r="U671" s="1"/>
      <c r="V671" s="1">
        <v>211.65</v>
      </c>
      <c r="W671" s="1">
        <v>211.65</v>
      </c>
      <c r="X671" s="1" t="s">
        <v>35</v>
      </c>
      <c r="Y671" s="1">
        <v>211650.0</v>
      </c>
      <c r="Z671" s="1"/>
      <c r="AA671" s="1">
        <v>211650</v>
      </c>
      <c r="AB671" s="1"/>
      <c r="AC671" s="1" t="s">
        <v>36</v>
      </c>
      <c r="AD671" s="1" t="s">
        <v>2686</v>
      </c>
      <c r="AE671" s="1" t="s">
        <v>32</v>
      </c>
      <c r="AF671" s="1" t="s">
        <v>33</v>
      </c>
      <c r="AG671" s="1" t="s">
        <v>270</v>
      </c>
    </row>
    <row r="672" spans="1:33">
      <c r="A672" t="s">
        <v>2687</v>
      </c>
      <c r="C672" t="s">
        <v>2688</v>
      </c>
      <c r="E672" t="s">
        <v>2292</v>
      </c>
      <c r="F672" t="s">
        <v>2293</v>
      </c>
      <c r="G672">
        <v>1.559</v>
      </c>
      <c r="H672">
        <v>1.559</v>
      </c>
      <c r="I672" t="s">
        <v>269</v>
      </c>
      <c r="J672" t="s">
        <v>270</v>
      </c>
      <c r="K672" t="s">
        <v>31</v>
      </c>
      <c r="L672" t="s">
        <v>32</v>
      </c>
      <c r="M672" t="s">
        <v>33</v>
      </c>
      <c r="P672" s="1" t="s">
        <v>2689</v>
      </c>
      <c r="Q672" s="1" t="s">
        <v>2292</v>
      </c>
      <c r="R672" s="1" t="s">
        <v>2292</v>
      </c>
      <c r="S672" s="1"/>
      <c r="T672" s="1" t="s">
        <v>2688</v>
      </c>
      <c r="U672" s="1"/>
      <c r="V672" s="1">
        <v>1.559</v>
      </c>
      <c r="W672" s="1">
        <v>1.559</v>
      </c>
      <c r="X672" s="1" t="s">
        <v>35</v>
      </c>
      <c r="Y672" s="1">
        <v>1559000.0</v>
      </c>
      <c r="Z672" s="1"/>
      <c r="AA672" s="1">
        <v>1559000</v>
      </c>
      <c r="AB672" s="1"/>
      <c r="AC672" s="1" t="s">
        <v>36</v>
      </c>
      <c r="AD672" s="1" t="s">
        <v>2682</v>
      </c>
      <c r="AE672" s="1" t="s">
        <v>32</v>
      </c>
      <c r="AF672" s="1" t="s">
        <v>33</v>
      </c>
      <c r="AG672" s="1" t="s">
        <v>270</v>
      </c>
    </row>
    <row r="673" spans="1:33">
      <c r="A673" t="s">
        <v>2690</v>
      </c>
      <c r="B673" t="s">
        <v>2691</v>
      </c>
      <c r="C673" t="s">
        <v>569</v>
      </c>
      <c r="E673" t="s">
        <v>2292</v>
      </c>
      <c r="F673" t="s">
        <v>2293</v>
      </c>
      <c r="G673">
        <v>46.28</v>
      </c>
      <c r="H673">
        <v>46.28</v>
      </c>
      <c r="I673" t="s">
        <v>570</v>
      </c>
      <c r="J673" t="s">
        <v>571</v>
      </c>
      <c r="K673" t="s">
        <v>31</v>
      </c>
      <c r="L673" t="s">
        <v>32</v>
      </c>
      <c r="M673" t="s">
        <v>33</v>
      </c>
      <c r="P673" s="1" t="s">
        <v>2692</v>
      </c>
      <c r="Q673" s="1" t="s">
        <v>2292</v>
      </c>
      <c r="R673" s="1" t="s">
        <v>2292</v>
      </c>
      <c r="S673" s="1"/>
      <c r="T673" s="1" t="s">
        <v>569</v>
      </c>
      <c r="U673" s="1"/>
      <c r="V673" s="1">
        <v>46.28</v>
      </c>
      <c r="W673" s="1">
        <v>46.28</v>
      </c>
      <c r="X673" s="1" t="s">
        <v>35</v>
      </c>
      <c r="Y673" s="1">
        <v>46280.0</v>
      </c>
      <c r="Z673" s="1"/>
      <c r="AA673" s="1">
        <v>46280</v>
      </c>
      <c r="AB673" s="1"/>
      <c r="AC673" s="1" t="s">
        <v>36</v>
      </c>
      <c r="AD673" s="1" t="s">
        <v>2693</v>
      </c>
      <c r="AE673" s="1" t="s">
        <v>32</v>
      </c>
      <c r="AF673" s="1" t="s">
        <v>33</v>
      </c>
      <c r="AG673" s="1" t="s">
        <v>571</v>
      </c>
    </row>
    <row r="674" spans="1:33">
      <c r="A674" t="s">
        <v>2694</v>
      </c>
      <c r="C674" t="s">
        <v>2695</v>
      </c>
      <c r="E674" t="s">
        <v>2292</v>
      </c>
      <c r="F674" t="s">
        <v>2293</v>
      </c>
      <c r="G674">
        <v>515.75</v>
      </c>
      <c r="H674">
        <v>515.75</v>
      </c>
      <c r="I674" t="s">
        <v>179</v>
      </c>
      <c r="J674" t="s">
        <v>180</v>
      </c>
      <c r="K674" t="s">
        <v>31</v>
      </c>
      <c r="L674" t="s">
        <v>32</v>
      </c>
      <c r="M674" t="s">
        <v>33</v>
      </c>
      <c r="P674" s="1" t="s">
        <v>2696</v>
      </c>
      <c r="Q674" s="1" t="s">
        <v>2292</v>
      </c>
      <c r="R674" s="1" t="s">
        <v>2292</v>
      </c>
      <c r="S674" s="1"/>
      <c r="T674" s="1" t="s">
        <v>2697</v>
      </c>
      <c r="U674" s="1" t="s">
        <v>2698</v>
      </c>
      <c r="V674" s="1">
        <v>515.75</v>
      </c>
      <c r="W674" s="1">
        <v>515.75</v>
      </c>
      <c r="X674" s="1" t="s">
        <v>35</v>
      </c>
      <c r="Y674" s="1">
        <v>515750.0</v>
      </c>
      <c r="Z674" s="1"/>
      <c r="AA674" s="1">
        <v>515750</v>
      </c>
      <c r="AB674" s="1"/>
      <c r="AC674" s="1" t="s">
        <v>36</v>
      </c>
      <c r="AD674" s="1" t="s">
        <v>2586</v>
      </c>
      <c r="AE674" s="1" t="s">
        <v>32</v>
      </c>
      <c r="AF674" s="1" t="s">
        <v>33</v>
      </c>
      <c r="AG674" s="1" t="s">
        <v>180</v>
      </c>
    </row>
    <row r="675" spans="1:33">
      <c r="A675" t="s">
        <v>2699</v>
      </c>
      <c r="B675" t="s">
        <v>2700</v>
      </c>
      <c r="C675" t="s">
        <v>131</v>
      </c>
      <c r="E675" t="s">
        <v>2292</v>
      </c>
      <c r="F675" t="s">
        <v>2293</v>
      </c>
      <c r="G675">
        <v>20.99</v>
      </c>
      <c r="H675">
        <v>20.99</v>
      </c>
      <c r="I675" t="s">
        <v>94</v>
      </c>
      <c r="J675" t="s">
        <v>95</v>
      </c>
      <c r="K675" t="s">
        <v>31</v>
      </c>
      <c r="L675" t="s">
        <v>32</v>
      </c>
      <c r="M675" t="s">
        <v>33</v>
      </c>
      <c r="P675" s="1" t="s">
        <v>2701</v>
      </c>
      <c r="Q675" s="1" t="s">
        <v>2292</v>
      </c>
      <c r="R675" s="1" t="s">
        <v>2292</v>
      </c>
      <c r="S675" s="1"/>
      <c r="T675" s="1" t="s">
        <v>131</v>
      </c>
      <c r="U675" s="1"/>
      <c r="V675" s="1">
        <v>20.99</v>
      </c>
      <c r="W675" s="1">
        <v>20.99</v>
      </c>
      <c r="X675" s="1" t="s">
        <v>35</v>
      </c>
      <c r="Y675" s="1">
        <v>20990.0</v>
      </c>
      <c r="Z675" s="1"/>
      <c r="AA675" s="1">
        <v>20990</v>
      </c>
      <c r="AB675" s="1"/>
      <c r="AC675" s="1" t="s">
        <v>36</v>
      </c>
      <c r="AD675" s="1" t="s">
        <v>2702</v>
      </c>
      <c r="AE675" s="1" t="s">
        <v>32</v>
      </c>
      <c r="AF675" s="1" t="s">
        <v>33</v>
      </c>
      <c r="AG675" s="1" t="s">
        <v>95</v>
      </c>
    </row>
    <row r="676" spans="1:33">
      <c r="A676" t="s">
        <v>2703</v>
      </c>
      <c r="C676" t="s">
        <v>2704</v>
      </c>
      <c r="E676" t="s">
        <v>2292</v>
      </c>
      <c r="F676" t="s">
        <v>2293</v>
      </c>
      <c r="G676">
        <v>146.25</v>
      </c>
      <c r="H676">
        <v>146.25</v>
      </c>
      <c r="I676" t="s">
        <v>94</v>
      </c>
      <c r="J676" t="s">
        <v>95</v>
      </c>
      <c r="K676" t="s">
        <v>31</v>
      </c>
      <c r="L676" t="s">
        <v>32</v>
      </c>
      <c r="M676" t="s">
        <v>33</v>
      </c>
      <c r="P676" s="1" t="s">
        <v>2705</v>
      </c>
      <c r="Q676" s="1" t="s">
        <v>2292</v>
      </c>
      <c r="R676" s="1" t="s">
        <v>2292</v>
      </c>
      <c r="S676" s="1"/>
      <c r="T676" s="1" t="s">
        <v>2704</v>
      </c>
      <c r="U676" s="1"/>
      <c r="V676" s="1">
        <v>146.25</v>
      </c>
      <c r="W676" s="1">
        <v>146.25</v>
      </c>
      <c r="X676" s="1" t="s">
        <v>35</v>
      </c>
      <c r="Y676" s="1">
        <v>146250.0</v>
      </c>
      <c r="Z676" s="1"/>
      <c r="AA676" s="1">
        <v>146250</v>
      </c>
      <c r="AB676" s="1"/>
      <c r="AC676" s="1" t="s">
        <v>36</v>
      </c>
      <c r="AD676" s="1" t="s">
        <v>2706</v>
      </c>
      <c r="AE676" s="1" t="s">
        <v>32</v>
      </c>
      <c r="AF676" s="1" t="s">
        <v>33</v>
      </c>
      <c r="AG676" s="1" t="s">
        <v>95</v>
      </c>
    </row>
    <row r="677" spans="1:33">
      <c r="A677" t="s">
        <v>2707</v>
      </c>
      <c r="C677" t="s">
        <v>2708</v>
      </c>
      <c r="E677" t="s">
        <v>2292</v>
      </c>
      <c r="F677" t="s">
        <v>2293</v>
      </c>
      <c r="G677">
        <v>320.0</v>
      </c>
      <c r="H677">
        <v>320.0</v>
      </c>
      <c r="I677" t="s">
        <v>40</v>
      </c>
      <c r="J677" t="s">
        <v>41</v>
      </c>
      <c r="K677" t="s">
        <v>31</v>
      </c>
      <c r="L677" t="s">
        <v>32</v>
      </c>
      <c r="M677" t="s">
        <v>33</v>
      </c>
      <c r="P677" s="1" t="s">
        <v>2709</v>
      </c>
      <c r="Q677" s="1" t="s">
        <v>2292</v>
      </c>
      <c r="R677" s="1" t="s">
        <v>1562</v>
      </c>
      <c r="S677" s="1"/>
      <c r="T677" s="1" t="s">
        <v>2708</v>
      </c>
      <c r="U677" s="1"/>
      <c r="V677" s="1">
        <v>320.0</v>
      </c>
      <c r="W677" s="1">
        <v>320.0</v>
      </c>
      <c r="X677" s="1" t="s">
        <v>35</v>
      </c>
      <c r="Y677" s="1">
        <v>320000.0</v>
      </c>
      <c r="Z677" s="1"/>
      <c r="AA677" s="1">
        <v>320000</v>
      </c>
      <c r="AB677" s="1"/>
      <c r="AC677" s="1" t="s">
        <v>36</v>
      </c>
      <c r="AD677" s="1" t="s">
        <v>2710</v>
      </c>
      <c r="AE677" s="1" t="s">
        <v>32</v>
      </c>
      <c r="AF677" s="1" t="s">
        <v>33</v>
      </c>
      <c r="AG677" s="1" t="s">
        <v>41</v>
      </c>
    </row>
    <row r="678" spans="1:33">
      <c r="A678" t="s">
        <v>2711</v>
      </c>
      <c r="B678" t="s">
        <v>2712</v>
      </c>
      <c r="C678" t="s">
        <v>125</v>
      </c>
      <c r="E678" t="s">
        <v>2292</v>
      </c>
      <c r="F678" t="s">
        <v>2293</v>
      </c>
      <c r="G678">
        <v>5.368</v>
      </c>
      <c r="H678">
        <v>5.368</v>
      </c>
      <c r="I678" t="s">
        <v>126</v>
      </c>
      <c r="J678" t="s">
        <v>127</v>
      </c>
      <c r="K678" t="s">
        <v>31</v>
      </c>
      <c r="L678" t="s">
        <v>32</v>
      </c>
      <c r="M678" t="s">
        <v>33</v>
      </c>
      <c r="P678" s="1" t="s">
        <v>2713</v>
      </c>
      <c r="Q678" s="1" t="s">
        <v>2292</v>
      </c>
      <c r="R678" s="1" t="s">
        <v>2292</v>
      </c>
      <c r="S678" s="1"/>
      <c r="T678" s="1" t="s">
        <v>125</v>
      </c>
      <c r="U678" s="1"/>
      <c r="V678" s="1">
        <v>5.368</v>
      </c>
      <c r="W678" s="1">
        <v>5.368</v>
      </c>
      <c r="X678" s="1" t="s">
        <v>35</v>
      </c>
      <c r="Y678" s="1">
        <v>5368.0</v>
      </c>
      <c r="Z678" s="1"/>
      <c r="AA678" s="1">
        <v>5368</v>
      </c>
      <c r="AB678" s="1"/>
      <c r="AC678" s="1" t="s">
        <v>36</v>
      </c>
      <c r="AD678" s="1" t="s">
        <v>2714</v>
      </c>
      <c r="AE678" s="1" t="s">
        <v>32</v>
      </c>
      <c r="AF678" s="1" t="s">
        <v>33</v>
      </c>
      <c r="AG678" s="1" t="s">
        <v>127</v>
      </c>
    </row>
    <row r="679" spans="1:33">
      <c r="A679" t="s">
        <v>2715</v>
      </c>
      <c r="B679" t="s">
        <v>2716</v>
      </c>
      <c r="C679" t="s">
        <v>125</v>
      </c>
      <c r="E679" t="s">
        <v>2292</v>
      </c>
      <c r="F679" t="s">
        <v>2293</v>
      </c>
      <c r="G679">
        <v>27.99</v>
      </c>
      <c r="H679">
        <v>27.99</v>
      </c>
      <c r="I679" t="s">
        <v>126</v>
      </c>
      <c r="J679" t="s">
        <v>127</v>
      </c>
      <c r="K679" t="s">
        <v>31</v>
      </c>
      <c r="L679" t="s">
        <v>32</v>
      </c>
      <c r="M679" t="s">
        <v>33</v>
      </c>
      <c r="P679" s="1" t="s">
        <v>2717</v>
      </c>
      <c r="Q679" s="1" t="s">
        <v>2292</v>
      </c>
      <c r="R679" s="1" t="s">
        <v>2292</v>
      </c>
      <c r="S679" s="1"/>
      <c r="T679" s="1" t="s">
        <v>125</v>
      </c>
      <c r="U679" s="1"/>
      <c r="V679" s="1">
        <v>27.99</v>
      </c>
      <c r="W679" s="1">
        <v>27.99</v>
      </c>
      <c r="X679" s="1" t="s">
        <v>35</v>
      </c>
      <c r="Y679" s="1">
        <v>27990.0</v>
      </c>
      <c r="Z679" s="1"/>
      <c r="AA679" s="1">
        <v>27990</v>
      </c>
      <c r="AB679" s="1"/>
      <c r="AC679" s="1" t="s">
        <v>36</v>
      </c>
      <c r="AD679" s="1" t="s">
        <v>2710</v>
      </c>
      <c r="AE679" s="1" t="s">
        <v>32</v>
      </c>
      <c r="AF679" s="1" t="s">
        <v>33</v>
      </c>
      <c r="AG679" s="1" t="s">
        <v>127</v>
      </c>
    </row>
    <row r="680" spans="1:33">
      <c r="A680" t="s">
        <v>2718</v>
      </c>
      <c r="C680" t="s">
        <v>866</v>
      </c>
      <c r="D680" t="s">
        <v>154</v>
      </c>
      <c r="E680" t="s">
        <v>2292</v>
      </c>
      <c r="F680" t="s">
        <v>2293</v>
      </c>
      <c r="G680">
        <v>962.5</v>
      </c>
      <c r="H680">
        <v>962.5</v>
      </c>
      <c r="I680" t="s">
        <v>48</v>
      </c>
      <c r="J680" t="s">
        <v>49</v>
      </c>
      <c r="K680" t="s">
        <v>31</v>
      </c>
      <c r="L680" t="s">
        <v>32</v>
      </c>
      <c r="M680" t="s">
        <v>33</v>
      </c>
      <c r="P680" s="1" t="s">
        <v>2719</v>
      </c>
      <c r="Q680" s="1" t="s">
        <v>2292</v>
      </c>
      <c r="R680" s="1" t="s">
        <v>2292</v>
      </c>
      <c r="S680" s="1"/>
      <c r="T680" s="1" t="s">
        <v>868</v>
      </c>
      <c r="U680" s="1" t="s">
        <v>869</v>
      </c>
      <c r="V680" s="1">
        <v>962.5</v>
      </c>
      <c r="W680" s="1">
        <v>962.5</v>
      </c>
      <c r="X680" s="1" t="s">
        <v>35</v>
      </c>
      <c r="Y680" s="1">
        <v>962500.0</v>
      </c>
      <c r="Z680" s="1"/>
      <c r="AA680" s="1">
        <v>962500</v>
      </c>
      <c r="AB680" s="1"/>
      <c r="AC680" s="1" t="s">
        <v>36</v>
      </c>
      <c r="AD680" s="1" t="s">
        <v>2720</v>
      </c>
      <c r="AE680" s="1" t="s">
        <v>32</v>
      </c>
      <c r="AF680" s="1" t="s">
        <v>33</v>
      </c>
      <c r="AG680" s="1" t="s">
        <v>49</v>
      </c>
    </row>
    <row r="681" spans="1:33">
      <c r="A681" t="s">
        <v>2721</v>
      </c>
      <c r="B681" t="s">
        <v>2722</v>
      </c>
      <c r="C681" t="s">
        <v>172</v>
      </c>
      <c r="E681" t="s">
        <v>2292</v>
      </c>
      <c r="F681" t="s">
        <v>2293</v>
      </c>
      <c r="G681">
        <v>41.98</v>
      </c>
      <c r="H681">
        <v>41.98</v>
      </c>
      <c r="I681" t="s">
        <v>173</v>
      </c>
      <c r="J681" t="s">
        <v>174</v>
      </c>
      <c r="K681" t="s">
        <v>31</v>
      </c>
      <c r="L681" t="s">
        <v>32</v>
      </c>
      <c r="M681" t="s">
        <v>33</v>
      </c>
      <c r="P681" s="1" t="s">
        <v>2723</v>
      </c>
      <c r="Q681" s="1" t="s">
        <v>2292</v>
      </c>
      <c r="R681" s="1" t="s">
        <v>2292</v>
      </c>
      <c r="S681" s="1"/>
      <c r="T681" s="1" t="s">
        <v>172</v>
      </c>
      <c r="U681" s="1"/>
      <c r="V681" s="1">
        <v>41.98</v>
      </c>
      <c r="W681" s="1">
        <v>41.98</v>
      </c>
      <c r="X681" s="1" t="s">
        <v>35</v>
      </c>
      <c r="Y681" s="1">
        <v>41980.0</v>
      </c>
      <c r="Z681" s="1"/>
      <c r="AA681" s="1">
        <v>41980</v>
      </c>
      <c r="AB681" s="1"/>
      <c r="AC681" s="1" t="s">
        <v>36</v>
      </c>
      <c r="AD681" s="1" t="s">
        <v>2724</v>
      </c>
      <c r="AE681" s="1" t="s">
        <v>32</v>
      </c>
      <c r="AF681" s="1" t="s">
        <v>33</v>
      </c>
      <c r="AG681" s="1" t="s">
        <v>174</v>
      </c>
    </row>
    <row r="682" spans="1:33">
      <c r="A682" t="s">
        <v>2725</v>
      </c>
      <c r="C682" t="s">
        <v>806</v>
      </c>
      <c r="D682" t="s">
        <v>154</v>
      </c>
      <c r="E682" t="s">
        <v>2292</v>
      </c>
      <c r="F682" t="s">
        <v>2293</v>
      </c>
      <c r="G682">
        <v>62.5</v>
      </c>
      <c r="H682">
        <v>62.5</v>
      </c>
      <c r="I682" t="s">
        <v>269</v>
      </c>
      <c r="J682" t="s">
        <v>270</v>
      </c>
      <c r="K682" t="s">
        <v>31</v>
      </c>
      <c r="L682" t="s">
        <v>32</v>
      </c>
      <c r="M682" t="s">
        <v>33</v>
      </c>
      <c r="P682" s="1" t="s">
        <v>2726</v>
      </c>
      <c r="Q682" s="1" t="s">
        <v>2292</v>
      </c>
      <c r="R682" s="1" t="s">
        <v>2292</v>
      </c>
      <c r="S682" s="1"/>
      <c r="T682" s="1" t="s">
        <v>806</v>
      </c>
      <c r="U682" s="1"/>
      <c r="V682" s="1">
        <v>62.5</v>
      </c>
      <c r="W682" s="1">
        <v>62.5</v>
      </c>
      <c r="X682" s="1" t="s">
        <v>35</v>
      </c>
      <c r="Y682" s="1">
        <v>62500.0</v>
      </c>
      <c r="Z682" s="1"/>
      <c r="AA682" s="1">
        <v>62500</v>
      </c>
      <c r="AB682" s="1"/>
      <c r="AC682" s="1" t="s">
        <v>36</v>
      </c>
      <c r="AD682" s="1" t="s">
        <v>2727</v>
      </c>
      <c r="AE682" s="1" t="s">
        <v>32</v>
      </c>
      <c r="AF682" s="1" t="s">
        <v>33</v>
      </c>
      <c r="AG682" s="1" t="s">
        <v>270</v>
      </c>
    </row>
    <row r="683" spans="1:33">
      <c r="A683" t="s">
        <v>2728</v>
      </c>
      <c r="B683" t="s">
        <v>2729</v>
      </c>
      <c r="C683" t="s">
        <v>314</v>
      </c>
      <c r="E683" t="s">
        <v>2292</v>
      </c>
      <c r="F683" t="s">
        <v>2293</v>
      </c>
      <c r="G683">
        <v>47.58</v>
      </c>
      <c r="H683">
        <v>47.58</v>
      </c>
      <c r="I683" t="s">
        <v>179</v>
      </c>
      <c r="J683" t="s">
        <v>180</v>
      </c>
      <c r="K683" t="s">
        <v>31</v>
      </c>
      <c r="L683" t="s">
        <v>32</v>
      </c>
      <c r="M683" t="s">
        <v>33</v>
      </c>
      <c r="P683" s="1" t="s">
        <v>2730</v>
      </c>
      <c r="Q683" s="1" t="s">
        <v>2292</v>
      </c>
      <c r="R683" s="1" t="s">
        <v>2292</v>
      </c>
      <c r="S683" s="1"/>
      <c r="T683" s="1" t="s">
        <v>314</v>
      </c>
      <c r="U683" s="1"/>
      <c r="V683" s="1">
        <v>47.58</v>
      </c>
      <c r="W683" s="1">
        <v>47.58</v>
      </c>
      <c r="X683" s="1" t="s">
        <v>35</v>
      </c>
      <c r="Y683" s="1">
        <v>47580.0</v>
      </c>
      <c r="Z683" s="1"/>
      <c r="AA683" s="1">
        <v>47580</v>
      </c>
      <c r="AB683" s="1"/>
      <c r="AC683" s="1" t="s">
        <v>36</v>
      </c>
      <c r="AD683" s="1" t="s">
        <v>2731</v>
      </c>
      <c r="AE683" s="1" t="s">
        <v>32</v>
      </c>
      <c r="AF683" s="1" t="s">
        <v>33</v>
      </c>
      <c r="AG683" s="1" t="s">
        <v>180</v>
      </c>
    </row>
    <row r="684" spans="1:33">
      <c r="A684" t="s">
        <v>2732</v>
      </c>
      <c r="B684" t="s">
        <v>2733</v>
      </c>
      <c r="C684" t="s">
        <v>172</v>
      </c>
      <c r="E684" t="s">
        <v>2292</v>
      </c>
      <c r="F684" t="s">
        <v>2293</v>
      </c>
      <c r="G684">
        <v>90.9</v>
      </c>
      <c r="H684">
        <v>90.9</v>
      </c>
      <c r="I684" t="s">
        <v>173</v>
      </c>
      <c r="J684" t="s">
        <v>174</v>
      </c>
      <c r="K684" t="s">
        <v>31</v>
      </c>
      <c r="L684" t="s">
        <v>32</v>
      </c>
      <c r="M684" t="s">
        <v>33</v>
      </c>
      <c r="P684" s="1" t="s">
        <v>2734</v>
      </c>
      <c r="Q684" s="1" t="s">
        <v>2292</v>
      </c>
      <c r="R684" s="1" t="s">
        <v>2292</v>
      </c>
      <c r="S684" s="1"/>
      <c r="T684" s="1" t="s">
        <v>172</v>
      </c>
      <c r="U684" s="1"/>
      <c r="V684" s="1">
        <v>90.9</v>
      </c>
      <c r="W684" s="1">
        <v>90.9</v>
      </c>
      <c r="X684" s="1" t="s">
        <v>35</v>
      </c>
      <c r="Y684" s="1">
        <v>90900.0</v>
      </c>
      <c r="Z684" s="1"/>
      <c r="AA684" s="1">
        <v>90900</v>
      </c>
      <c r="AB684" s="1"/>
      <c r="AC684" s="1" t="s">
        <v>36</v>
      </c>
      <c r="AD684" s="1" t="s">
        <v>2735</v>
      </c>
      <c r="AE684" s="1" t="s">
        <v>32</v>
      </c>
      <c r="AF684" s="1" t="s">
        <v>33</v>
      </c>
      <c r="AG684" s="1" t="s">
        <v>174</v>
      </c>
    </row>
    <row r="685" spans="1:33">
      <c r="A685" t="s">
        <v>2736</v>
      </c>
      <c r="C685" t="s">
        <v>2737</v>
      </c>
      <c r="E685" t="s">
        <v>2292</v>
      </c>
      <c r="F685" t="s">
        <v>2293</v>
      </c>
      <c r="G685">
        <v>1.698</v>
      </c>
      <c r="H685">
        <v>1.698</v>
      </c>
      <c r="I685" t="s">
        <v>136</v>
      </c>
      <c r="J685" t="s">
        <v>137</v>
      </c>
      <c r="K685" t="s">
        <v>31</v>
      </c>
      <c r="L685" t="s">
        <v>32</v>
      </c>
      <c r="M685" t="s">
        <v>33</v>
      </c>
      <c r="P685" s="1" t="s">
        <v>2738</v>
      </c>
      <c r="Q685" s="1" t="s">
        <v>2292</v>
      </c>
      <c r="R685" s="1" t="s">
        <v>2292</v>
      </c>
      <c r="S685" s="1"/>
      <c r="T685" s="1" t="s">
        <v>2737</v>
      </c>
      <c r="U685" s="1"/>
      <c r="V685" s="1">
        <v>1.698</v>
      </c>
      <c r="W685" s="1">
        <v>1.698</v>
      </c>
      <c r="X685" s="1" t="s">
        <v>35</v>
      </c>
      <c r="Y685" s="1">
        <v>1698000.0</v>
      </c>
      <c r="Z685" s="1"/>
      <c r="AA685" s="1">
        <v>1698000</v>
      </c>
      <c r="AB685" s="1"/>
      <c r="AC685" s="1" t="s">
        <v>36</v>
      </c>
      <c r="AD685" s="1" t="s">
        <v>2724</v>
      </c>
      <c r="AE685" s="1" t="s">
        <v>32</v>
      </c>
      <c r="AF685" s="1" t="s">
        <v>33</v>
      </c>
      <c r="AG685" s="1" t="s">
        <v>137</v>
      </c>
    </row>
    <row r="686" spans="1:33">
      <c r="A686" t="s">
        <v>2739</v>
      </c>
      <c r="B686" t="s">
        <v>2740</v>
      </c>
      <c r="C686" t="s">
        <v>2741</v>
      </c>
      <c r="E686" t="s">
        <v>2292</v>
      </c>
      <c r="F686" t="s">
        <v>2293</v>
      </c>
      <c r="G686">
        <v>10.0</v>
      </c>
      <c r="H686">
        <v>10.0</v>
      </c>
      <c r="I686" t="s">
        <v>2742</v>
      </c>
      <c r="J686" t="s">
        <v>2743</v>
      </c>
      <c r="K686" t="s">
        <v>31</v>
      </c>
      <c r="L686" t="s">
        <v>32</v>
      </c>
      <c r="M686" t="s">
        <v>33</v>
      </c>
      <c r="P686" s="1" t="s">
        <v>2744</v>
      </c>
      <c r="Q686" s="1" t="s">
        <v>2292</v>
      </c>
      <c r="R686" s="1" t="s">
        <v>2292</v>
      </c>
      <c r="S686" s="1"/>
      <c r="T686" s="1" t="s">
        <v>2741</v>
      </c>
      <c r="U686" s="1"/>
      <c r="V686" s="1">
        <v>10.0</v>
      </c>
      <c r="W686" s="1">
        <v>10.0</v>
      </c>
      <c r="X686" s="1" t="s">
        <v>35</v>
      </c>
      <c r="Y686" s="1">
        <v>10000.0</v>
      </c>
      <c r="Z686" s="1"/>
      <c r="AA686" s="1">
        <v>10000</v>
      </c>
      <c r="AB686" s="1"/>
      <c r="AC686" s="1" t="s">
        <v>36</v>
      </c>
      <c r="AD686" s="1" t="s">
        <v>2745</v>
      </c>
      <c r="AE686" s="1" t="s">
        <v>32</v>
      </c>
      <c r="AF686" s="1" t="s">
        <v>33</v>
      </c>
      <c r="AG686" s="1" t="s">
        <v>2743</v>
      </c>
    </row>
    <row r="687" spans="1:33">
      <c r="A687" t="s">
        <v>2746</v>
      </c>
      <c r="C687" t="s">
        <v>2747</v>
      </c>
      <c r="E687" t="s">
        <v>2292</v>
      </c>
      <c r="F687" t="s">
        <v>2293</v>
      </c>
      <c r="G687">
        <v>328.0</v>
      </c>
      <c r="H687">
        <v>328.0</v>
      </c>
      <c r="I687" t="s">
        <v>269</v>
      </c>
      <c r="J687" t="s">
        <v>270</v>
      </c>
      <c r="K687" t="s">
        <v>31</v>
      </c>
      <c r="L687" t="s">
        <v>32</v>
      </c>
      <c r="M687" t="s">
        <v>33</v>
      </c>
      <c r="P687" s="1" t="s">
        <v>2748</v>
      </c>
      <c r="Q687" s="1" t="s">
        <v>2292</v>
      </c>
      <c r="R687" s="1" t="s">
        <v>2292</v>
      </c>
      <c r="S687" s="1"/>
      <c r="T687" s="1" t="s">
        <v>2747</v>
      </c>
      <c r="U687" s="1"/>
      <c r="V687" s="1">
        <v>328.0</v>
      </c>
      <c r="W687" s="1">
        <v>328.0</v>
      </c>
      <c r="X687" s="1" t="s">
        <v>35</v>
      </c>
      <c r="Y687" s="1">
        <v>328000.0</v>
      </c>
      <c r="Z687" s="1"/>
      <c r="AA687" s="1">
        <v>328000</v>
      </c>
      <c r="AB687" s="1"/>
      <c r="AC687" s="1" t="s">
        <v>36</v>
      </c>
      <c r="AD687" s="1" t="s">
        <v>2724</v>
      </c>
      <c r="AE687" s="1" t="s">
        <v>32</v>
      </c>
      <c r="AF687" s="1" t="s">
        <v>33</v>
      </c>
      <c r="AG687" s="1" t="s">
        <v>270</v>
      </c>
    </row>
    <row r="688" spans="1:33">
      <c r="A688" t="s">
        <v>2749</v>
      </c>
      <c r="C688" t="s">
        <v>2107</v>
      </c>
      <c r="E688" t="s">
        <v>2292</v>
      </c>
      <c r="F688" t="s">
        <v>2293</v>
      </c>
      <c r="G688">
        <v>168.0</v>
      </c>
      <c r="H688">
        <v>168.0</v>
      </c>
      <c r="I688" t="s">
        <v>48</v>
      </c>
      <c r="J688" t="s">
        <v>49</v>
      </c>
      <c r="K688" t="s">
        <v>31</v>
      </c>
      <c r="L688" t="s">
        <v>32</v>
      </c>
      <c r="M688" t="s">
        <v>33</v>
      </c>
      <c r="P688" s="1" t="s">
        <v>2750</v>
      </c>
      <c r="Q688" s="1" t="s">
        <v>2292</v>
      </c>
      <c r="R688" s="1" t="s">
        <v>2292</v>
      </c>
      <c r="S688" s="1"/>
      <c r="T688" s="1" t="s">
        <v>2107</v>
      </c>
      <c r="U688" s="1"/>
      <c r="V688" s="1">
        <v>168.0</v>
      </c>
      <c r="W688" s="1">
        <v>168.0</v>
      </c>
      <c r="X688" s="1" t="s">
        <v>35</v>
      </c>
      <c r="Y688" s="1">
        <v>168000.0</v>
      </c>
      <c r="Z688" s="1"/>
      <c r="AA688" s="1">
        <v>168000</v>
      </c>
      <c r="AB688" s="1"/>
      <c r="AC688" s="1" t="s">
        <v>36</v>
      </c>
      <c r="AD688" s="1" t="s">
        <v>2751</v>
      </c>
      <c r="AE688" s="1" t="s">
        <v>32</v>
      </c>
      <c r="AF688" s="1" t="s">
        <v>33</v>
      </c>
      <c r="AG688" s="1" t="s">
        <v>49</v>
      </c>
    </row>
    <row r="689" spans="1:33">
      <c r="A689" t="s">
        <v>2752</v>
      </c>
      <c r="B689" t="s">
        <v>2753</v>
      </c>
      <c r="C689" t="s">
        <v>47</v>
      </c>
      <c r="E689" t="s">
        <v>2292</v>
      </c>
      <c r="F689" t="s">
        <v>2293</v>
      </c>
      <c r="G689">
        <v>37.488</v>
      </c>
      <c r="H689">
        <v>37.488</v>
      </c>
      <c r="I689" t="s">
        <v>48</v>
      </c>
      <c r="J689" t="s">
        <v>49</v>
      </c>
      <c r="K689" t="s">
        <v>31</v>
      </c>
      <c r="L689" t="s">
        <v>32</v>
      </c>
      <c r="M689" t="s">
        <v>33</v>
      </c>
      <c r="P689" s="1" t="s">
        <v>2754</v>
      </c>
      <c r="Q689" s="1" t="s">
        <v>2292</v>
      </c>
      <c r="R689" s="1" t="s">
        <v>2292</v>
      </c>
      <c r="S689" s="1"/>
      <c r="T689" s="1" t="s">
        <v>47</v>
      </c>
      <c r="U689" s="1"/>
      <c r="V689" s="1">
        <v>37.488</v>
      </c>
      <c r="W689" s="1">
        <v>37.488</v>
      </c>
      <c r="X689" s="1" t="s">
        <v>35</v>
      </c>
      <c r="Y689" s="1">
        <v>37488.0</v>
      </c>
      <c r="Z689" s="1"/>
      <c r="AA689" s="1">
        <v>37488</v>
      </c>
      <c r="AB689" s="1"/>
      <c r="AC689" s="1" t="s">
        <v>36</v>
      </c>
      <c r="AD689" s="1" t="s">
        <v>2735</v>
      </c>
      <c r="AE689" s="1" t="s">
        <v>32</v>
      </c>
      <c r="AF689" s="1" t="s">
        <v>33</v>
      </c>
      <c r="AG689" s="1" t="s">
        <v>49</v>
      </c>
    </row>
    <row r="690" spans="1:33">
      <c r="A690" t="s">
        <v>2755</v>
      </c>
      <c r="C690" t="s">
        <v>2756</v>
      </c>
      <c r="E690" t="s">
        <v>2292</v>
      </c>
      <c r="F690" t="s">
        <v>2293</v>
      </c>
      <c r="G690">
        <v>790.0</v>
      </c>
      <c r="H690">
        <v>790.0</v>
      </c>
      <c r="I690" t="s">
        <v>269</v>
      </c>
      <c r="J690" t="s">
        <v>270</v>
      </c>
      <c r="K690" t="s">
        <v>31</v>
      </c>
      <c r="L690" t="s">
        <v>32</v>
      </c>
      <c r="M690" t="s">
        <v>33</v>
      </c>
      <c r="P690" s="1" t="s">
        <v>2757</v>
      </c>
      <c r="Q690" s="1" t="s">
        <v>2292</v>
      </c>
      <c r="R690" s="1" t="s">
        <v>2292</v>
      </c>
      <c r="S690" s="1"/>
      <c r="T690" s="1" t="s">
        <v>2756</v>
      </c>
      <c r="U690" s="1"/>
      <c r="V690" s="1">
        <v>790.0</v>
      </c>
      <c r="W690" s="1">
        <v>790.0</v>
      </c>
      <c r="X690" s="1" t="s">
        <v>35</v>
      </c>
      <c r="Y690" s="1">
        <v>790000.0</v>
      </c>
      <c r="Z690" s="1"/>
      <c r="AA690" s="1">
        <v>790000</v>
      </c>
      <c r="AB690" s="1"/>
      <c r="AC690" s="1" t="s">
        <v>36</v>
      </c>
      <c r="AD690" s="1" t="s">
        <v>2758</v>
      </c>
      <c r="AE690" s="1" t="s">
        <v>32</v>
      </c>
      <c r="AF690" s="1" t="s">
        <v>33</v>
      </c>
      <c r="AG690" s="1" t="s">
        <v>270</v>
      </c>
    </row>
    <row r="691" spans="1:33">
      <c r="A691" t="s">
        <v>2759</v>
      </c>
      <c r="C691" t="s">
        <v>2760</v>
      </c>
      <c r="E691" t="s">
        <v>2292</v>
      </c>
      <c r="F691" t="s">
        <v>2293</v>
      </c>
      <c r="G691">
        <v>477.5</v>
      </c>
      <c r="H691">
        <v>477.5</v>
      </c>
      <c r="I691" t="s">
        <v>173</v>
      </c>
      <c r="J691" t="s">
        <v>174</v>
      </c>
      <c r="K691" t="s">
        <v>31</v>
      </c>
      <c r="L691" t="s">
        <v>32</v>
      </c>
      <c r="M691" t="s">
        <v>33</v>
      </c>
      <c r="P691" s="1" t="s">
        <v>2761</v>
      </c>
      <c r="Q691" s="1" t="s">
        <v>2292</v>
      </c>
      <c r="R691" s="1" t="s">
        <v>2292</v>
      </c>
      <c r="S691" s="1"/>
      <c r="T691" s="1" t="s">
        <v>2760</v>
      </c>
      <c r="U691" s="1"/>
      <c r="V691" s="1">
        <v>477.5</v>
      </c>
      <c r="W691" s="1">
        <v>477.5</v>
      </c>
      <c r="X691" s="1" t="s">
        <v>35</v>
      </c>
      <c r="Y691" s="1">
        <v>477500.0</v>
      </c>
      <c r="Z691" s="1"/>
      <c r="AA691" s="1">
        <v>477500</v>
      </c>
      <c r="AB691" s="1"/>
      <c r="AC691" s="1" t="s">
        <v>36</v>
      </c>
      <c r="AD691" s="1" t="s">
        <v>2762</v>
      </c>
      <c r="AE691" s="1" t="s">
        <v>32</v>
      </c>
      <c r="AF691" s="1" t="s">
        <v>33</v>
      </c>
      <c r="AG691" s="1" t="s">
        <v>174</v>
      </c>
    </row>
    <row r="692" spans="1:33">
      <c r="A692" t="s">
        <v>2763</v>
      </c>
      <c r="C692" t="s">
        <v>2764</v>
      </c>
      <c r="E692" t="s">
        <v>2292</v>
      </c>
      <c r="F692" t="s">
        <v>2293</v>
      </c>
      <c r="G692">
        <v>993.3</v>
      </c>
      <c r="H692">
        <v>993.3</v>
      </c>
      <c r="I692" t="s">
        <v>126</v>
      </c>
      <c r="J692" t="s">
        <v>127</v>
      </c>
      <c r="K692" t="s">
        <v>31</v>
      </c>
      <c r="L692" t="s">
        <v>32</v>
      </c>
      <c r="M692" t="s">
        <v>33</v>
      </c>
      <c r="P692" s="1" t="s">
        <v>2765</v>
      </c>
      <c r="Q692" s="1" t="s">
        <v>2292</v>
      </c>
      <c r="R692" s="1" t="s">
        <v>2292</v>
      </c>
      <c r="S692" s="1"/>
      <c r="T692" s="1" t="s">
        <v>2766</v>
      </c>
      <c r="U692" s="1" t="s">
        <v>2767</v>
      </c>
      <c r="V692" s="1">
        <v>993.3</v>
      </c>
      <c r="W692" s="1">
        <v>993.3</v>
      </c>
      <c r="X692" s="1" t="s">
        <v>35</v>
      </c>
      <c r="Y692" s="1">
        <v>993300.0</v>
      </c>
      <c r="Z692" s="1"/>
      <c r="AA692" s="1">
        <v>993300</v>
      </c>
      <c r="AB692" s="1"/>
      <c r="AC692" s="1" t="s">
        <v>36</v>
      </c>
      <c r="AD692" s="1" t="s">
        <v>2724</v>
      </c>
      <c r="AE692" s="1" t="s">
        <v>32</v>
      </c>
      <c r="AF692" s="1" t="s">
        <v>33</v>
      </c>
      <c r="AG692" s="1" t="s">
        <v>127</v>
      </c>
    </row>
    <row r="693" spans="1:33">
      <c r="A693" t="s">
        <v>2768</v>
      </c>
      <c r="C693" t="s">
        <v>2548</v>
      </c>
      <c r="D693" t="s">
        <v>154</v>
      </c>
      <c r="E693" t="s">
        <v>2292</v>
      </c>
      <c r="F693" t="s">
        <v>2293</v>
      </c>
      <c r="G693">
        <v>2.908</v>
      </c>
      <c r="H693">
        <v>2.908</v>
      </c>
      <c r="I693" t="s">
        <v>269</v>
      </c>
      <c r="J693" t="s">
        <v>270</v>
      </c>
      <c r="K693" t="s">
        <v>31</v>
      </c>
      <c r="L693" t="s">
        <v>32</v>
      </c>
      <c r="M693" t="s">
        <v>33</v>
      </c>
      <c r="P693" s="1" t="s">
        <v>2769</v>
      </c>
      <c r="Q693" s="1" t="s">
        <v>2292</v>
      </c>
      <c r="R693" s="1" t="s">
        <v>2292</v>
      </c>
      <c r="S693" s="1"/>
      <c r="T693" s="1" t="s">
        <v>2548</v>
      </c>
      <c r="U693" s="1"/>
      <c r="V693" s="1">
        <v>2.908</v>
      </c>
      <c r="W693" s="1">
        <v>2.908</v>
      </c>
      <c r="X693" s="1" t="s">
        <v>35</v>
      </c>
      <c r="Y693" s="1">
        <v>2908000.0</v>
      </c>
      <c r="Z693" s="1"/>
      <c r="AA693" s="1">
        <v>2908000</v>
      </c>
      <c r="AB693" s="1"/>
      <c r="AC693" s="1" t="s">
        <v>36</v>
      </c>
      <c r="AD693" s="1" t="s">
        <v>2770</v>
      </c>
      <c r="AE693" s="1" t="s">
        <v>32</v>
      </c>
      <c r="AF693" s="1" t="s">
        <v>33</v>
      </c>
      <c r="AG693" s="1" t="s">
        <v>270</v>
      </c>
    </row>
    <row r="694" spans="1:33">
      <c r="A694" t="s">
        <v>2771</v>
      </c>
      <c r="B694" t="s">
        <v>2772</v>
      </c>
      <c r="C694" t="s">
        <v>47</v>
      </c>
      <c r="E694" t="s">
        <v>2292</v>
      </c>
      <c r="F694" t="s">
        <v>2293</v>
      </c>
      <c r="G694">
        <v>19.5</v>
      </c>
      <c r="H694">
        <v>19.5</v>
      </c>
      <c r="I694" t="s">
        <v>48</v>
      </c>
      <c r="J694" t="s">
        <v>49</v>
      </c>
      <c r="K694" t="s">
        <v>31</v>
      </c>
      <c r="L694" t="s">
        <v>32</v>
      </c>
      <c r="M694" t="s">
        <v>33</v>
      </c>
      <c r="P694" s="1" t="s">
        <v>2773</v>
      </c>
      <c r="Q694" s="1" t="s">
        <v>2292</v>
      </c>
      <c r="R694" s="1" t="s">
        <v>2292</v>
      </c>
      <c r="S694" s="1"/>
      <c r="T694" s="1" t="s">
        <v>47</v>
      </c>
      <c r="U694" s="1"/>
      <c r="V694" s="1">
        <v>19.5</v>
      </c>
      <c r="W694" s="1">
        <v>19.5</v>
      </c>
      <c r="X694" s="1" t="s">
        <v>35</v>
      </c>
      <c r="Y694" s="1">
        <v>19500.0</v>
      </c>
      <c r="Z694" s="1"/>
      <c r="AA694" s="1">
        <v>19500</v>
      </c>
      <c r="AB694" s="1"/>
      <c r="AC694" s="1" t="s">
        <v>36</v>
      </c>
      <c r="AD694" s="1" t="s">
        <v>2774</v>
      </c>
      <c r="AE694" s="1" t="s">
        <v>32</v>
      </c>
      <c r="AF694" s="1" t="s">
        <v>33</v>
      </c>
      <c r="AG694" s="1" t="s">
        <v>49</v>
      </c>
    </row>
    <row r="695" spans="1:33">
      <c r="A695" t="s">
        <v>2775</v>
      </c>
      <c r="B695" t="s">
        <v>743</v>
      </c>
      <c r="C695" t="s">
        <v>68</v>
      </c>
      <c r="E695" t="s">
        <v>2292</v>
      </c>
      <c r="F695" t="s">
        <v>2293</v>
      </c>
      <c r="G695">
        <v>167.96</v>
      </c>
      <c r="H695">
        <v>167.96</v>
      </c>
      <c r="I695" t="s">
        <v>59</v>
      </c>
      <c r="J695" t="s">
        <v>60</v>
      </c>
      <c r="K695" t="s">
        <v>31</v>
      </c>
      <c r="L695" t="s">
        <v>32</v>
      </c>
      <c r="M695" t="s">
        <v>33</v>
      </c>
      <c r="P695" s="1" t="s">
        <v>2776</v>
      </c>
      <c r="Q695" s="1" t="s">
        <v>2292</v>
      </c>
      <c r="R695" s="1" t="s">
        <v>2292</v>
      </c>
      <c r="S695" s="1"/>
      <c r="T695" s="1" t="s">
        <v>68</v>
      </c>
      <c r="U695" s="1"/>
      <c r="V695" s="1">
        <v>167.96</v>
      </c>
      <c r="W695" s="1">
        <v>167.96</v>
      </c>
      <c r="X695" s="1" t="s">
        <v>35</v>
      </c>
      <c r="Y695" s="1">
        <v>167960.0</v>
      </c>
      <c r="Z695" s="1"/>
      <c r="AA695" s="1">
        <v>167960</v>
      </c>
      <c r="AB695" s="1"/>
      <c r="AC695" s="1" t="s">
        <v>36</v>
      </c>
      <c r="AD695" s="1" t="s">
        <v>2706</v>
      </c>
      <c r="AE695" s="1" t="s">
        <v>32</v>
      </c>
      <c r="AF695" s="1" t="s">
        <v>33</v>
      </c>
      <c r="AG695" s="1" t="s">
        <v>60</v>
      </c>
    </row>
    <row r="696" spans="1:33">
      <c r="A696" t="s">
        <v>2777</v>
      </c>
      <c r="C696" t="s">
        <v>1735</v>
      </c>
      <c r="E696" t="s">
        <v>2292</v>
      </c>
      <c r="F696" t="s">
        <v>2293</v>
      </c>
      <c r="G696">
        <v>399.6</v>
      </c>
      <c r="H696">
        <v>399.6</v>
      </c>
      <c r="I696" t="s">
        <v>269</v>
      </c>
      <c r="J696" t="s">
        <v>270</v>
      </c>
      <c r="K696" t="s">
        <v>31</v>
      </c>
      <c r="L696" t="s">
        <v>32</v>
      </c>
      <c r="M696" t="s">
        <v>33</v>
      </c>
      <c r="P696" s="1" t="s">
        <v>2778</v>
      </c>
      <c r="Q696" s="1" t="s">
        <v>2292</v>
      </c>
      <c r="R696" s="1" t="s">
        <v>2292</v>
      </c>
      <c r="S696" s="1"/>
      <c r="T696" s="1" t="s">
        <v>1735</v>
      </c>
      <c r="U696" s="1"/>
      <c r="V696" s="1">
        <v>399.6</v>
      </c>
      <c r="W696" s="1">
        <v>399.6</v>
      </c>
      <c r="X696" s="1" t="s">
        <v>35</v>
      </c>
      <c r="Y696" s="1">
        <v>399600.0</v>
      </c>
      <c r="Z696" s="1"/>
      <c r="AA696" s="1">
        <v>399600</v>
      </c>
      <c r="AB696" s="1"/>
      <c r="AC696" s="1" t="s">
        <v>36</v>
      </c>
      <c r="AD696" s="1" t="s">
        <v>2779</v>
      </c>
      <c r="AE696" s="1" t="s">
        <v>32</v>
      </c>
      <c r="AF696" s="1" t="s">
        <v>33</v>
      </c>
      <c r="AG696" s="1" t="s">
        <v>270</v>
      </c>
    </row>
    <row r="697" spans="1:33">
      <c r="A697" t="s">
        <v>2780</v>
      </c>
      <c r="C697" t="s">
        <v>2781</v>
      </c>
      <c r="E697" t="s">
        <v>2292</v>
      </c>
      <c r="F697" t="s">
        <v>2293</v>
      </c>
      <c r="G697">
        <v>714.0</v>
      </c>
      <c r="H697">
        <v>714.0</v>
      </c>
      <c r="I697" t="s">
        <v>173</v>
      </c>
      <c r="J697" t="s">
        <v>174</v>
      </c>
      <c r="K697" t="s">
        <v>31</v>
      </c>
      <c r="L697" t="s">
        <v>32</v>
      </c>
      <c r="M697" t="s">
        <v>33</v>
      </c>
      <c r="P697" s="1" t="s">
        <v>2782</v>
      </c>
      <c r="Q697" s="1" t="s">
        <v>2292</v>
      </c>
      <c r="R697" s="1" t="s">
        <v>2292</v>
      </c>
      <c r="S697" s="1"/>
      <c r="T697" s="1" t="s">
        <v>2783</v>
      </c>
      <c r="U697" s="1" t="s">
        <v>2784</v>
      </c>
      <c r="V697" s="1">
        <v>714.0</v>
      </c>
      <c r="W697" s="1">
        <v>714.0</v>
      </c>
      <c r="X697" s="1" t="s">
        <v>35</v>
      </c>
      <c r="Y697" s="1">
        <v>714000.0</v>
      </c>
      <c r="Z697" s="1"/>
      <c r="AA697" s="1">
        <v>714000</v>
      </c>
      <c r="AB697" s="1"/>
      <c r="AC697" s="1" t="s">
        <v>36</v>
      </c>
      <c r="AD697" s="1" t="s">
        <v>2785</v>
      </c>
      <c r="AE697" s="1" t="s">
        <v>32</v>
      </c>
      <c r="AF697" s="1" t="s">
        <v>33</v>
      </c>
      <c r="AG697" s="1" t="s">
        <v>174</v>
      </c>
    </row>
    <row r="698" spans="1:33">
      <c r="A698" t="s">
        <v>2786</v>
      </c>
      <c r="C698" t="s">
        <v>2787</v>
      </c>
      <c r="E698" t="s">
        <v>2292</v>
      </c>
      <c r="F698" t="s">
        <v>2293</v>
      </c>
      <c r="G698">
        <v>540.0</v>
      </c>
      <c r="H698">
        <v>540.0</v>
      </c>
      <c r="I698" t="s">
        <v>173</v>
      </c>
      <c r="J698" t="s">
        <v>174</v>
      </c>
      <c r="K698" t="s">
        <v>31</v>
      </c>
      <c r="L698" t="s">
        <v>32</v>
      </c>
      <c r="M698" t="s">
        <v>33</v>
      </c>
      <c r="P698" s="1" t="s">
        <v>2788</v>
      </c>
      <c r="Q698" s="1" t="s">
        <v>2292</v>
      </c>
      <c r="R698" s="1" t="s">
        <v>2292</v>
      </c>
      <c r="S698" s="1"/>
      <c r="T698" s="1" t="s">
        <v>2789</v>
      </c>
      <c r="U698" s="1" t="s">
        <v>2790</v>
      </c>
      <c r="V698" s="1">
        <v>540.0</v>
      </c>
      <c r="W698" s="1">
        <v>540.0</v>
      </c>
      <c r="X698" s="1" t="s">
        <v>35</v>
      </c>
      <c r="Y698" s="1">
        <v>540000.0</v>
      </c>
      <c r="Z698" s="1"/>
      <c r="AA698" s="1">
        <v>540000</v>
      </c>
      <c r="AB698" s="1"/>
      <c r="AC698" s="1" t="s">
        <v>36</v>
      </c>
      <c r="AD698" s="1" t="s">
        <v>2791</v>
      </c>
      <c r="AE698" s="1" t="s">
        <v>32</v>
      </c>
      <c r="AF698" s="1" t="s">
        <v>33</v>
      </c>
      <c r="AG698" s="1" t="s">
        <v>174</v>
      </c>
    </row>
    <row r="699" spans="1:33">
      <c r="A699" t="s">
        <v>2792</v>
      </c>
      <c r="C699" t="s">
        <v>226</v>
      </c>
      <c r="E699" t="s">
        <v>2292</v>
      </c>
      <c r="F699" t="s">
        <v>2293</v>
      </c>
      <c r="G699">
        <v>642.0</v>
      </c>
      <c r="H699">
        <v>642.0</v>
      </c>
      <c r="I699" t="s">
        <v>227</v>
      </c>
      <c r="J699" t="s">
        <v>228</v>
      </c>
      <c r="K699" t="s">
        <v>31</v>
      </c>
      <c r="L699" t="s">
        <v>32</v>
      </c>
      <c r="M699" t="s">
        <v>33</v>
      </c>
      <c r="P699" s="1" t="s">
        <v>2793</v>
      </c>
      <c r="Q699" s="1" t="s">
        <v>2292</v>
      </c>
      <c r="R699" s="1" t="s">
        <v>2292</v>
      </c>
      <c r="S699" s="1"/>
      <c r="T699" s="1" t="s">
        <v>226</v>
      </c>
      <c r="U699" s="1"/>
      <c r="V699" s="1">
        <v>642.0</v>
      </c>
      <c r="W699" s="1">
        <v>642.0</v>
      </c>
      <c r="X699" s="1" t="s">
        <v>35</v>
      </c>
      <c r="Y699" s="1">
        <v>642000.0</v>
      </c>
      <c r="Z699" s="1"/>
      <c r="AA699" s="1">
        <v>642000</v>
      </c>
      <c r="AB699" s="1"/>
      <c r="AC699" s="1" t="s">
        <v>36</v>
      </c>
      <c r="AD699" s="1" t="s">
        <v>2794</v>
      </c>
      <c r="AE699" s="1" t="s">
        <v>32</v>
      </c>
      <c r="AF699" s="1" t="s">
        <v>33</v>
      </c>
      <c r="AG699" s="1" t="s">
        <v>228</v>
      </c>
    </row>
    <row r="700" spans="1:33">
      <c r="A700" t="s">
        <v>2795</v>
      </c>
      <c r="B700" t="s">
        <v>2796</v>
      </c>
      <c r="C700" t="s">
        <v>569</v>
      </c>
      <c r="E700" t="s">
        <v>2292</v>
      </c>
      <c r="F700" t="s">
        <v>2293</v>
      </c>
      <c r="G700">
        <v>20.99</v>
      </c>
      <c r="H700">
        <v>20.99</v>
      </c>
      <c r="I700" t="s">
        <v>570</v>
      </c>
      <c r="J700" t="s">
        <v>571</v>
      </c>
      <c r="K700" t="s">
        <v>31</v>
      </c>
      <c r="L700" t="s">
        <v>32</v>
      </c>
      <c r="M700" t="s">
        <v>33</v>
      </c>
      <c r="P700" s="1" t="s">
        <v>2797</v>
      </c>
      <c r="Q700" s="1" t="s">
        <v>2292</v>
      </c>
      <c r="R700" s="1" t="s">
        <v>2292</v>
      </c>
      <c r="S700" s="1"/>
      <c r="T700" s="1" t="s">
        <v>569</v>
      </c>
      <c r="U700" s="1"/>
      <c r="V700" s="1">
        <v>20.99</v>
      </c>
      <c r="W700" s="1">
        <v>20.99</v>
      </c>
      <c r="X700" s="1" t="s">
        <v>35</v>
      </c>
      <c r="Y700" s="1">
        <v>20990.0</v>
      </c>
      <c r="Z700" s="1"/>
      <c r="AA700" s="1">
        <v>20990</v>
      </c>
      <c r="AB700" s="1"/>
      <c r="AC700" s="1" t="s">
        <v>36</v>
      </c>
      <c r="AD700" s="1" t="s">
        <v>2798</v>
      </c>
      <c r="AE700" s="1" t="s">
        <v>32</v>
      </c>
      <c r="AF700" s="1" t="s">
        <v>33</v>
      </c>
      <c r="AG700" s="1" t="s">
        <v>571</v>
      </c>
    </row>
    <row r="701" spans="1:33">
      <c r="A701" t="s">
        <v>2799</v>
      </c>
      <c r="C701" t="s">
        <v>2800</v>
      </c>
      <c r="D701" t="s">
        <v>114</v>
      </c>
      <c r="E701" t="s">
        <v>2292</v>
      </c>
      <c r="F701" t="s">
        <v>2293</v>
      </c>
      <c r="G701">
        <v>840.0</v>
      </c>
      <c r="H701">
        <v>840.0</v>
      </c>
      <c r="I701" t="s">
        <v>94</v>
      </c>
      <c r="J701" t="s">
        <v>95</v>
      </c>
      <c r="K701" t="s">
        <v>31</v>
      </c>
      <c r="L701" t="s">
        <v>32</v>
      </c>
      <c r="M701" t="s">
        <v>33</v>
      </c>
      <c r="P701" s="1" t="s">
        <v>2801</v>
      </c>
      <c r="Q701" s="1" t="s">
        <v>2292</v>
      </c>
      <c r="R701" s="1" t="s">
        <v>2292</v>
      </c>
      <c r="S701" s="1"/>
      <c r="T701" s="1" t="s">
        <v>2800</v>
      </c>
      <c r="U701" s="1"/>
      <c r="V701" s="1">
        <v>840.0</v>
      </c>
      <c r="W701" s="1">
        <v>840.0</v>
      </c>
      <c r="X701" s="1" t="s">
        <v>35</v>
      </c>
      <c r="Y701" s="1">
        <v>840000.0</v>
      </c>
      <c r="Z701" s="1"/>
      <c r="AA701" s="1">
        <v>840000</v>
      </c>
      <c r="AB701" s="1"/>
      <c r="AC701" s="1" t="s">
        <v>36</v>
      </c>
      <c r="AD701" s="1" t="s">
        <v>2802</v>
      </c>
      <c r="AE701" s="1" t="s">
        <v>32</v>
      </c>
      <c r="AF701" s="1" t="s">
        <v>33</v>
      </c>
      <c r="AG701" s="1" t="s">
        <v>95</v>
      </c>
    </row>
    <row r="702" spans="1:33">
      <c r="A702" t="s">
        <v>2803</v>
      </c>
      <c r="C702" t="s">
        <v>2804</v>
      </c>
      <c r="E702" t="s">
        <v>2292</v>
      </c>
      <c r="F702" t="s">
        <v>2293</v>
      </c>
      <c r="G702">
        <v>328.0</v>
      </c>
      <c r="H702">
        <v>328.0</v>
      </c>
      <c r="I702" t="s">
        <v>269</v>
      </c>
      <c r="J702" t="s">
        <v>270</v>
      </c>
      <c r="K702" t="s">
        <v>31</v>
      </c>
      <c r="L702" t="s">
        <v>32</v>
      </c>
      <c r="M702" t="s">
        <v>33</v>
      </c>
      <c r="P702" s="1" t="s">
        <v>2805</v>
      </c>
      <c r="Q702" s="1" t="s">
        <v>2292</v>
      </c>
      <c r="R702" s="1" t="s">
        <v>2292</v>
      </c>
      <c r="S702" s="1"/>
      <c r="T702" s="1" t="s">
        <v>2804</v>
      </c>
      <c r="U702" s="1"/>
      <c r="V702" s="1">
        <v>328.0</v>
      </c>
      <c r="W702" s="1">
        <v>328.0</v>
      </c>
      <c r="X702" s="1" t="s">
        <v>35</v>
      </c>
      <c r="Y702" s="1">
        <v>328000.0</v>
      </c>
      <c r="Z702" s="1"/>
      <c r="AA702" s="1">
        <v>328000</v>
      </c>
      <c r="AB702" s="1"/>
      <c r="AC702" s="1" t="s">
        <v>36</v>
      </c>
      <c r="AD702" s="1" t="s">
        <v>2806</v>
      </c>
      <c r="AE702" s="1" t="s">
        <v>32</v>
      </c>
      <c r="AF702" s="1" t="s">
        <v>33</v>
      </c>
      <c r="AG702" s="1" t="s">
        <v>270</v>
      </c>
    </row>
    <row r="703" spans="1:33">
      <c r="A703" t="s">
        <v>2807</v>
      </c>
      <c r="C703" t="s">
        <v>2787</v>
      </c>
      <c r="E703" t="s">
        <v>2292</v>
      </c>
      <c r="F703" t="s">
        <v>2293</v>
      </c>
      <c r="G703">
        <v>630.0</v>
      </c>
      <c r="H703">
        <v>630.0</v>
      </c>
      <c r="I703" t="s">
        <v>173</v>
      </c>
      <c r="J703" t="s">
        <v>174</v>
      </c>
      <c r="K703" t="s">
        <v>31</v>
      </c>
      <c r="L703" t="s">
        <v>32</v>
      </c>
      <c r="M703" t="s">
        <v>33</v>
      </c>
      <c r="P703" s="1" t="s">
        <v>2808</v>
      </c>
      <c r="Q703" s="1" t="s">
        <v>2292</v>
      </c>
      <c r="R703" s="1" t="s">
        <v>2292</v>
      </c>
      <c r="S703" s="1"/>
      <c r="T703" s="1" t="s">
        <v>2789</v>
      </c>
      <c r="U703" s="1" t="s">
        <v>2790</v>
      </c>
      <c r="V703" s="1">
        <v>630.0</v>
      </c>
      <c r="W703" s="1">
        <v>630.0</v>
      </c>
      <c r="X703" s="1" t="s">
        <v>35</v>
      </c>
      <c r="Y703" s="1">
        <v>630000.0</v>
      </c>
      <c r="Z703" s="1"/>
      <c r="AA703" s="1">
        <v>630000</v>
      </c>
      <c r="AB703" s="1"/>
      <c r="AC703" s="1" t="s">
        <v>36</v>
      </c>
      <c r="AD703" s="1" t="s">
        <v>2806</v>
      </c>
      <c r="AE703" s="1" t="s">
        <v>32</v>
      </c>
      <c r="AF703" s="1" t="s">
        <v>33</v>
      </c>
      <c r="AG703" s="1" t="s">
        <v>174</v>
      </c>
    </row>
    <row r="704" spans="1:33">
      <c r="A704" t="s">
        <v>2809</v>
      </c>
      <c r="B704" t="s">
        <v>2810</v>
      </c>
      <c r="C704" t="s">
        <v>172</v>
      </c>
      <c r="E704" t="s">
        <v>2292</v>
      </c>
      <c r="F704" t="s">
        <v>2293</v>
      </c>
      <c r="G704">
        <v>38.195</v>
      </c>
      <c r="H704">
        <v>38.195</v>
      </c>
      <c r="I704" t="s">
        <v>173</v>
      </c>
      <c r="J704" t="s">
        <v>174</v>
      </c>
      <c r="K704" t="s">
        <v>31</v>
      </c>
      <c r="L704" t="s">
        <v>32</v>
      </c>
      <c r="M704" t="s">
        <v>33</v>
      </c>
      <c r="P704" s="1" t="s">
        <v>2811</v>
      </c>
      <c r="Q704" s="1" t="s">
        <v>2292</v>
      </c>
      <c r="R704" s="1" t="s">
        <v>2292</v>
      </c>
      <c r="S704" s="1"/>
      <c r="T704" s="1" t="s">
        <v>172</v>
      </c>
      <c r="U704" s="1"/>
      <c r="V704" s="1">
        <v>38.195</v>
      </c>
      <c r="W704" s="1">
        <v>38.195</v>
      </c>
      <c r="X704" s="1" t="s">
        <v>35</v>
      </c>
      <c r="Y704" s="1">
        <v>38195.0</v>
      </c>
      <c r="Z704" s="1"/>
      <c r="AA704" s="1">
        <v>38195</v>
      </c>
      <c r="AB704" s="1"/>
      <c r="AC704" s="1" t="s">
        <v>36</v>
      </c>
      <c r="AD704" s="1" t="s">
        <v>2812</v>
      </c>
      <c r="AE704" s="1" t="s">
        <v>32</v>
      </c>
      <c r="AF704" s="1" t="s">
        <v>33</v>
      </c>
      <c r="AG704" s="1" t="s">
        <v>174</v>
      </c>
    </row>
    <row r="705" spans="1:33">
      <c r="A705" t="s">
        <v>2813</v>
      </c>
      <c r="B705" t="s">
        <v>2814</v>
      </c>
      <c r="C705" t="s">
        <v>569</v>
      </c>
      <c r="E705" t="s">
        <v>2292</v>
      </c>
      <c r="F705" t="s">
        <v>2293</v>
      </c>
      <c r="G705">
        <v>62.97</v>
      </c>
      <c r="H705">
        <v>62.97</v>
      </c>
      <c r="I705" t="s">
        <v>570</v>
      </c>
      <c r="J705" t="s">
        <v>571</v>
      </c>
      <c r="K705" t="s">
        <v>31</v>
      </c>
      <c r="L705" t="s">
        <v>32</v>
      </c>
      <c r="M705" t="s">
        <v>33</v>
      </c>
      <c r="P705" s="1" t="s">
        <v>2815</v>
      </c>
      <c r="Q705" s="1" t="s">
        <v>2292</v>
      </c>
      <c r="R705" s="1" t="s">
        <v>2292</v>
      </c>
      <c r="S705" s="1"/>
      <c r="T705" s="1" t="s">
        <v>569</v>
      </c>
      <c r="U705" s="1"/>
      <c r="V705" s="1">
        <v>62.97</v>
      </c>
      <c r="W705" s="1">
        <v>62.97</v>
      </c>
      <c r="X705" s="1" t="s">
        <v>35</v>
      </c>
      <c r="Y705" s="1">
        <v>62970.0</v>
      </c>
      <c r="Z705" s="1"/>
      <c r="AA705" s="1">
        <v>62970</v>
      </c>
      <c r="AB705" s="1"/>
      <c r="AC705" s="1" t="s">
        <v>36</v>
      </c>
      <c r="AD705" s="1" t="s">
        <v>2816</v>
      </c>
      <c r="AE705" s="1" t="s">
        <v>32</v>
      </c>
      <c r="AF705" s="1" t="s">
        <v>33</v>
      </c>
      <c r="AG705" s="1" t="s">
        <v>571</v>
      </c>
    </row>
    <row r="706" spans="1:33">
      <c r="A706" t="s">
        <v>2817</v>
      </c>
      <c r="B706" t="s">
        <v>2818</v>
      </c>
      <c r="C706" t="s">
        <v>131</v>
      </c>
      <c r="E706" t="s">
        <v>2292</v>
      </c>
      <c r="F706" t="s">
        <v>2293</v>
      </c>
      <c r="G706">
        <v>119.35</v>
      </c>
      <c r="H706">
        <v>119.35</v>
      </c>
      <c r="I706" t="s">
        <v>94</v>
      </c>
      <c r="J706" t="s">
        <v>95</v>
      </c>
      <c r="K706" t="s">
        <v>31</v>
      </c>
      <c r="L706" t="s">
        <v>32</v>
      </c>
      <c r="M706" t="s">
        <v>33</v>
      </c>
      <c r="P706" s="1" t="s">
        <v>2819</v>
      </c>
      <c r="Q706" s="1" t="s">
        <v>2292</v>
      </c>
      <c r="R706" s="1" t="s">
        <v>2292</v>
      </c>
      <c r="S706" s="1"/>
      <c r="T706" s="1" t="s">
        <v>131</v>
      </c>
      <c r="U706" s="1"/>
      <c r="V706" s="1">
        <v>119.35</v>
      </c>
      <c r="W706" s="1">
        <v>119.35</v>
      </c>
      <c r="X706" s="1" t="s">
        <v>35</v>
      </c>
      <c r="Y706" s="1">
        <v>119350.0</v>
      </c>
      <c r="Z706" s="1"/>
      <c r="AA706" s="1">
        <v>119350</v>
      </c>
      <c r="AB706" s="1"/>
      <c r="AC706" s="1" t="s">
        <v>36</v>
      </c>
      <c r="AD706" s="1" t="s">
        <v>2820</v>
      </c>
      <c r="AE706" s="1" t="s">
        <v>32</v>
      </c>
      <c r="AF706" s="1" t="s">
        <v>33</v>
      </c>
      <c r="AG706" s="1" t="s">
        <v>95</v>
      </c>
    </row>
    <row r="707" spans="1:33">
      <c r="A707" t="s">
        <v>2821</v>
      </c>
      <c r="B707" t="s">
        <v>1317</v>
      </c>
      <c r="C707" t="s">
        <v>1318</v>
      </c>
      <c r="E707" t="s">
        <v>2292</v>
      </c>
      <c r="F707" t="s">
        <v>2293</v>
      </c>
      <c r="G707">
        <v>740.0</v>
      </c>
      <c r="H707">
        <v>740.0</v>
      </c>
      <c r="I707" t="s">
        <v>59</v>
      </c>
      <c r="J707" t="s">
        <v>60</v>
      </c>
      <c r="K707" t="s">
        <v>31</v>
      </c>
      <c r="L707" t="s">
        <v>32</v>
      </c>
      <c r="M707" t="s">
        <v>33</v>
      </c>
      <c r="P707" s="1" t="s">
        <v>2822</v>
      </c>
      <c r="Q707" s="1" t="s">
        <v>2292</v>
      </c>
      <c r="R707" s="1" t="s">
        <v>2292</v>
      </c>
      <c r="S707" s="1"/>
      <c r="T707" s="1" t="s">
        <v>1318</v>
      </c>
      <c r="U707" s="1"/>
      <c r="V707" s="1">
        <v>740.0</v>
      </c>
      <c r="W707" s="1">
        <v>740.0</v>
      </c>
      <c r="X707" s="1" t="s">
        <v>35</v>
      </c>
      <c r="Y707" s="1">
        <v>740000.0</v>
      </c>
      <c r="Z707" s="1"/>
      <c r="AA707" s="1">
        <v>740000</v>
      </c>
      <c r="AB707" s="1"/>
      <c r="AC707" s="1" t="s">
        <v>36</v>
      </c>
      <c r="AD707" s="1" t="s">
        <v>2823</v>
      </c>
      <c r="AE707" s="1" t="s">
        <v>32</v>
      </c>
      <c r="AF707" s="1" t="s">
        <v>33</v>
      </c>
      <c r="AG707" s="1" t="s">
        <v>60</v>
      </c>
    </row>
    <row r="708" spans="1:33">
      <c r="A708" t="s">
        <v>2824</v>
      </c>
      <c r="C708" t="s">
        <v>2825</v>
      </c>
      <c r="E708" t="s">
        <v>2292</v>
      </c>
      <c r="F708" t="s">
        <v>2293</v>
      </c>
      <c r="G708">
        <v>3.2</v>
      </c>
      <c r="H708">
        <v>3.2</v>
      </c>
      <c r="I708" t="s">
        <v>126</v>
      </c>
      <c r="J708" t="s">
        <v>127</v>
      </c>
      <c r="K708" t="s">
        <v>31</v>
      </c>
      <c r="L708" t="s">
        <v>32</v>
      </c>
      <c r="M708" t="s">
        <v>33</v>
      </c>
      <c r="P708" s="1" t="s">
        <v>2826</v>
      </c>
      <c r="Q708" s="1" t="s">
        <v>2292</v>
      </c>
      <c r="R708" s="1" t="s">
        <v>2292</v>
      </c>
      <c r="S708" s="1"/>
      <c r="T708" s="1" t="s">
        <v>2825</v>
      </c>
      <c r="U708" s="1"/>
      <c r="V708" s="1">
        <v>3.2</v>
      </c>
      <c r="W708" s="1">
        <v>3.2</v>
      </c>
      <c r="X708" s="1" t="s">
        <v>35</v>
      </c>
      <c r="Y708" s="1">
        <v>3200000.0</v>
      </c>
      <c r="Z708" s="1"/>
      <c r="AA708" s="1">
        <v>3200000</v>
      </c>
      <c r="AB708" s="1"/>
      <c r="AC708" s="1" t="s">
        <v>36</v>
      </c>
      <c r="AD708" s="1" t="s">
        <v>2827</v>
      </c>
      <c r="AE708" s="1" t="s">
        <v>32</v>
      </c>
      <c r="AF708" s="1" t="s">
        <v>33</v>
      </c>
      <c r="AG708" s="1" t="s">
        <v>127</v>
      </c>
    </row>
    <row r="709" spans="1:33">
      <c r="A709" t="s">
        <v>2828</v>
      </c>
      <c r="B709" t="s">
        <v>2829</v>
      </c>
      <c r="C709" t="s">
        <v>1298</v>
      </c>
      <c r="E709" t="s">
        <v>2292</v>
      </c>
      <c r="F709" t="s">
        <v>2293</v>
      </c>
      <c r="G709">
        <v>3.049</v>
      </c>
      <c r="H709">
        <v>3.049</v>
      </c>
      <c r="I709" t="s">
        <v>529</v>
      </c>
      <c r="J709" t="s">
        <v>530</v>
      </c>
      <c r="K709" t="s">
        <v>31</v>
      </c>
      <c r="L709" t="s">
        <v>32</v>
      </c>
      <c r="M709" t="s">
        <v>33</v>
      </c>
      <c r="P709" s="1" t="s">
        <v>2830</v>
      </c>
      <c r="Q709" s="1" t="s">
        <v>2292</v>
      </c>
      <c r="R709" s="1" t="s">
        <v>1562</v>
      </c>
      <c r="S709" s="1"/>
      <c r="T709" s="1" t="s">
        <v>1298</v>
      </c>
      <c r="U709" s="1"/>
      <c r="V709" s="1">
        <v>3.049</v>
      </c>
      <c r="W709" s="1">
        <v>3.049</v>
      </c>
      <c r="X709" s="1" t="s">
        <v>35</v>
      </c>
      <c r="Y709" s="1">
        <v>3049.0</v>
      </c>
      <c r="Z709" s="1"/>
      <c r="AA709" s="1">
        <v>3049</v>
      </c>
      <c r="AB709" s="1"/>
      <c r="AC709" s="1" t="s">
        <v>36</v>
      </c>
      <c r="AD709" s="1" t="s">
        <v>2831</v>
      </c>
      <c r="AE709" s="1" t="s">
        <v>32</v>
      </c>
      <c r="AF709" s="1" t="s">
        <v>33</v>
      </c>
      <c r="AG709" s="1" t="s">
        <v>530</v>
      </c>
    </row>
    <row r="710" spans="1:33">
      <c r="A710" t="s">
        <v>2832</v>
      </c>
      <c r="C710" t="s">
        <v>2833</v>
      </c>
      <c r="E710" t="s">
        <v>2292</v>
      </c>
      <c r="F710" t="s">
        <v>2293</v>
      </c>
      <c r="G710">
        <v>436.0</v>
      </c>
      <c r="H710">
        <v>436.0</v>
      </c>
      <c r="I710" t="s">
        <v>227</v>
      </c>
      <c r="J710" t="s">
        <v>228</v>
      </c>
      <c r="K710" t="s">
        <v>31</v>
      </c>
      <c r="L710" t="s">
        <v>32</v>
      </c>
      <c r="M710" t="s">
        <v>33</v>
      </c>
      <c r="P710" s="1" t="s">
        <v>2834</v>
      </c>
      <c r="Q710" s="1" t="s">
        <v>2292</v>
      </c>
      <c r="R710" s="1" t="s">
        <v>2292</v>
      </c>
      <c r="S710" s="1"/>
      <c r="T710" s="1" t="s">
        <v>2833</v>
      </c>
      <c r="U710" s="1"/>
      <c r="V710" s="1">
        <v>436.0</v>
      </c>
      <c r="W710" s="1">
        <v>436.0</v>
      </c>
      <c r="X710" s="1" t="s">
        <v>35</v>
      </c>
      <c r="Y710" s="1">
        <v>436000.0</v>
      </c>
      <c r="Z710" s="1"/>
      <c r="AA710" s="1">
        <v>436000</v>
      </c>
      <c r="AB710" s="1"/>
      <c r="AC710" s="1" t="s">
        <v>36</v>
      </c>
      <c r="AD710" s="1" t="s">
        <v>2714</v>
      </c>
      <c r="AE710" s="1" t="s">
        <v>32</v>
      </c>
      <c r="AF710" s="1" t="s">
        <v>33</v>
      </c>
      <c r="AG710" s="1" t="s">
        <v>228</v>
      </c>
    </row>
    <row r="711" spans="1:33">
      <c r="A711" t="s">
        <v>2835</v>
      </c>
      <c r="B711" t="s">
        <v>452</v>
      </c>
      <c r="C711" t="s">
        <v>453</v>
      </c>
      <c r="E711" t="s">
        <v>2292</v>
      </c>
      <c r="F711" t="s">
        <v>2293</v>
      </c>
      <c r="G711">
        <v>1.68</v>
      </c>
      <c r="H711">
        <v>1.68</v>
      </c>
      <c r="I711" t="s">
        <v>29</v>
      </c>
      <c r="J711" t="s">
        <v>30</v>
      </c>
      <c r="K711" t="s">
        <v>31</v>
      </c>
      <c r="L711" t="s">
        <v>32</v>
      </c>
      <c r="M711" t="s">
        <v>33</v>
      </c>
      <c r="P711" s="1" t="s">
        <v>2836</v>
      </c>
      <c r="Q711" s="1" t="s">
        <v>2292</v>
      </c>
      <c r="R711" s="1" t="s">
        <v>2292</v>
      </c>
      <c r="S711" s="1"/>
      <c r="T711" s="1" t="s">
        <v>453</v>
      </c>
      <c r="U711" s="1"/>
      <c r="V711" s="1">
        <v>1.68</v>
      </c>
      <c r="W711" s="1">
        <v>1.68</v>
      </c>
      <c r="X711" s="1" t="s">
        <v>35</v>
      </c>
      <c r="Y711" s="1">
        <v>1680000.0</v>
      </c>
      <c r="Z711" s="1"/>
      <c r="AA711" s="1">
        <v>1680000</v>
      </c>
      <c r="AB711" s="1"/>
      <c r="AC711" s="1" t="s">
        <v>36</v>
      </c>
      <c r="AD711" s="1" t="s">
        <v>2837</v>
      </c>
      <c r="AE711" s="1" t="s">
        <v>32</v>
      </c>
      <c r="AF711" s="1" t="s">
        <v>33</v>
      </c>
      <c r="AG711" s="1" t="s">
        <v>30</v>
      </c>
    </row>
    <row r="712" spans="1:33">
      <c r="A712" t="s">
        <v>2838</v>
      </c>
      <c r="C712" t="s">
        <v>806</v>
      </c>
      <c r="D712" t="s">
        <v>154</v>
      </c>
      <c r="E712" t="s">
        <v>2292</v>
      </c>
      <c r="F712" t="s">
        <v>2293</v>
      </c>
      <c r="G712">
        <v>328.0</v>
      </c>
      <c r="H712">
        <v>328.0</v>
      </c>
      <c r="I712" t="s">
        <v>269</v>
      </c>
      <c r="J712" t="s">
        <v>270</v>
      </c>
      <c r="K712" t="s">
        <v>31</v>
      </c>
      <c r="L712" t="s">
        <v>32</v>
      </c>
      <c r="M712" t="s">
        <v>33</v>
      </c>
      <c r="P712" s="1" t="s">
        <v>2839</v>
      </c>
      <c r="Q712" s="1" t="s">
        <v>2292</v>
      </c>
      <c r="R712" s="1" t="s">
        <v>2292</v>
      </c>
      <c r="S712" s="1"/>
      <c r="T712" s="1" t="s">
        <v>806</v>
      </c>
      <c r="U712" s="1"/>
      <c r="V712" s="1">
        <v>328.0</v>
      </c>
      <c r="W712" s="1">
        <v>328.0</v>
      </c>
      <c r="X712" s="1" t="s">
        <v>35</v>
      </c>
      <c r="Y712" s="1">
        <v>328000.0</v>
      </c>
      <c r="Z712" s="1"/>
      <c r="AA712" s="1">
        <v>328000</v>
      </c>
      <c r="AB712" s="1"/>
      <c r="AC712" s="1" t="s">
        <v>36</v>
      </c>
      <c r="AD712" s="1" t="s">
        <v>2840</v>
      </c>
      <c r="AE712" s="1" t="s">
        <v>32</v>
      </c>
      <c r="AF712" s="1" t="s">
        <v>33</v>
      </c>
      <c r="AG712" s="1" t="s">
        <v>270</v>
      </c>
    </row>
    <row r="713" spans="1:33">
      <c r="A713" t="s">
        <v>2841</v>
      </c>
      <c r="C713" t="s">
        <v>2842</v>
      </c>
      <c r="E713" t="s">
        <v>2292</v>
      </c>
      <c r="F713" t="s">
        <v>2293</v>
      </c>
      <c r="G713">
        <v>320.0</v>
      </c>
      <c r="H713">
        <v>320.0</v>
      </c>
      <c r="I713" t="s">
        <v>48</v>
      </c>
      <c r="J713" t="s">
        <v>49</v>
      </c>
      <c r="K713" t="s">
        <v>31</v>
      </c>
      <c r="L713" t="s">
        <v>32</v>
      </c>
      <c r="M713" t="s">
        <v>33</v>
      </c>
      <c r="P713" s="1" t="s">
        <v>2843</v>
      </c>
      <c r="Q713" s="1" t="s">
        <v>2292</v>
      </c>
      <c r="R713" s="1" t="s">
        <v>2292</v>
      </c>
      <c r="S713" s="1"/>
      <c r="T713" s="1" t="s">
        <v>2842</v>
      </c>
      <c r="U713" s="1"/>
      <c r="V713" s="1">
        <v>320.0</v>
      </c>
      <c r="W713" s="1">
        <v>320.0</v>
      </c>
      <c r="X713" s="1" t="s">
        <v>35</v>
      </c>
      <c r="Y713" s="1">
        <v>320000.0</v>
      </c>
      <c r="Z713" s="1"/>
      <c r="AA713" s="1">
        <v>320000</v>
      </c>
      <c r="AB713" s="1"/>
      <c r="AC713" s="1" t="s">
        <v>36</v>
      </c>
      <c r="AD713" s="1" t="s">
        <v>2840</v>
      </c>
      <c r="AE713" s="1" t="s">
        <v>32</v>
      </c>
      <c r="AF713" s="1" t="s">
        <v>33</v>
      </c>
      <c r="AG713" s="1" t="s">
        <v>49</v>
      </c>
    </row>
    <row r="714" spans="1:33">
      <c r="A714" t="s">
        <v>2844</v>
      </c>
      <c r="C714" t="s">
        <v>575</v>
      </c>
      <c r="E714" t="s">
        <v>2292</v>
      </c>
      <c r="F714" t="s">
        <v>2293</v>
      </c>
      <c r="G714">
        <v>336.0</v>
      </c>
      <c r="H714">
        <v>336.0</v>
      </c>
      <c r="I714" t="s">
        <v>94</v>
      </c>
      <c r="J714" t="s">
        <v>95</v>
      </c>
      <c r="K714" t="s">
        <v>31</v>
      </c>
      <c r="L714" t="s">
        <v>32</v>
      </c>
      <c r="M714" t="s">
        <v>33</v>
      </c>
      <c r="P714" s="1" t="s">
        <v>2845</v>
      </c>
      <c r="Q714" s="1" t="s">
        <v>2292</v>
      </c>
      <c r="R714" s="1" t="s">
        <v>2292</v>
      </c>
      <c r="S714" s="1"/>
      <c r="T714" s="1" t="s">
        <v>575</v>
      </c>
      <c r="U714" s="1"/>
      <c r="V714" s="1">
        <v>336.0</v>
      </c>
      <c r="W714" s="1">
        <v>336.0</v>
      </c>
      <c r="X714" s="1" t="s">
        <v>35</v>
      </c>
      <c r="Y714" s="1">
        <v>336000.0</v>
      </c>
      <c r="Z714" s="1"/>
      <c r="AA714" s="1">
        <v>336000</v>
      </c>
      <c r="AB714" s="1"/>
      <c r="AC714" s="1" t="s">
        <v>36</v>
      </c>
      <c r="AD714" s="1" t="s">
        <v>2840</v>
      </c>
      <c r="AE714" s="1" t="s">
        <v>32</v>
      </c>
      <c r="AF714" s="1" t="s">
        <v>33</v>
      </c>
      <c r="AG714" s="1" t="s">
        <v>95</v>
      </c>
    </row>
    <row r="715" spans="1:33">
      <c r="A715" t="s">
        <v>2846</v>
      </c>
      <c r="B715" t="s">
        <v>2847</v>
      </c>
      <c r="C715" t="s">
        <v>125</v>
      </c>
      <c r="E715" t="s">
        <v>2292</v>
      </c>
      <c r="F715" t="s">
        <v>2293</v>
      </c>
      <c r="G715">
        <v>117.0</v>
      </c>
      <c r="H715">
        <v>117.0</v>
      </c>
      <c r="I715" t="s">
        <v>126</v>
      </c>
      <c r="J715" t="s">
        <v>127</v>
      </c>
      <c r="K715" t="s">
        <v>31</v>
      </c>
      <c r="L715" t="s">
        <v>32</v>
      </c>
      <c r="M715" t="s">
        <v>33</v>
      </c>
      <c r="P715" s="1" t="s">
        <v>2848</v>
      </c>
      <c r="Q715" s="1" t="s">
        <v>2292</v>
      </c>
      <c r="R715" s="1" t="s">
        <v>2292</v>
      </c>
      <c r="S715" s="1"/>
      <c r="T715" s="1" t="s">
        <v>125</v>
      </c>
      <c r="U715" s="1"/>
      <c r="V715" s="1">
        <v>117.0</v>
      </c>
      <c r="W715" s="1">
        <v>117.0</v>
      </c>
      <c r="X715" s="1" t="s">
        <v>35</v>
      </c>
      <c r="Y715" s="1">
        <v>117000.0</v>
      </c>
      <c r="Z715" s="1"/>
      <c r="AA715" s="1">
        <v>117000</v>
      </c>
      <c r="AB715" s="1"/>
      <c r="AC715" s="1" t="s">
        <v>36</v>
      </c>
      <c r="AD715" s="1" t="s">
        <v>2849</v>
      </c>
      <c r="AE715" s="1" t="s">
        <v>32</v>
      </c>
      <c r="AF715" s="1" t="s">
        <v>33</v>
      </c>
      <c r="AG715" s="1" t="s">
        <v>127</v>
      </c>
    </row>
    <row r="716" spans="1:33">
      <c r="A716" t="s">
        <v>2850</v>
      </c>
      <c r="C716" t="s">
        <v>2851</v>
      </c>
      <c r="E716" t="s">
        <v>2292</v>
      </c>
      <c r="F716" t="s">
        <v>2293</v>
      </c>
      <c r="G716">
        <v>328.0</v>
      </c>
      <c r="H716">
        <v>328.0</v>
      </c>
      <c r="I716" t="s">
        <v>136</v>
      </c>
      <c r="J716" t="s">
        <v>137</v>
      </c>
      <c r="K716" t="s">
        <v>31</v>
      </c>
      <c r="L716" t="s">
        <v>32</v>
      </c>
      <c r="M716" t="s">
        <v>33</v>
      </c>
      <c r="P716" s="1" t="s">
        <v>2852</v>
      </c>
      <c r="Q716" s="1" t="s">
        <v>2292</v>
      </c>
      <c r="R716" s="1" t="s">
        <v>2292</v>
      </c>
      <c r="S716" s="1"/>
      <c r="T716" s="1" t="s">
        <v>2853</v>
      </c>
      <c r="U716" s="1" t="s">
        <v>2854</v>
      </c>
      <c r="V716" s="1">
        <v>328.0</v>
      </c>
      <c r="W716" s="1">
        <v>328.0</v>
      </c>
      <c r="X716" s="1" t="s">
        <v>35</v>
      </c>
      <c r="Y716" s="1">
        <v>328000.0</v>
      </c>
      <c r="Z716" s="1"/>
      <c r="AA716" s="1">
        <v>328000</v>
      </c>
      <c r="AB716" s="1"/>
      <c r="AC716" s="1" t="s">
        <v>36</v>
      </c>
      <c r="AD716" s="1" t="s">
        <v>2855</v>
      </c>
      <c r="AE716" s="1" t="s">
        <v>32</v>
      </c>
      <c r="AF716" s="1" t="s">
        <v>33</v>
      </c>
      <c r="AG716" s="1" t="s">
        <v>137</v>
      </c>
    </row>
    <row r="717" spans="1:33">
      <c r="A717" t="s">
        <v>2856</v>
      </c>
      <c r="C717" t="s">
        <v>2857</v>
      </c>
      <c r="E717" t="s">
        <v>2292</v>
      </c>
      <c r="F717" t="s">
        <v>2293</v>
      </c>
      <c r="G717">
        <v>2.027</v>
      </c>
      <c r="H717">
        <v>2.027</v>
      </c>
      <c r="I717" t="s">
        <v>48</v>
      </c>
      <c r="J717" t="s">
        <v>49</v>
      </c>
      <c r="K717" t="s">
        <v>31</v>
      </c>
      <c r="L717" t="s">
        <v>32</v>
      </c>
      <c r="M717" t="s">
        <v>33</v>
      </c>
      <c r="P717" s="1" t="s">
        <v>2858</v>
      </c>
      <c r="Q717" s="1" t="s">
        <v>2292</v>
      </c>
      <c r="R717" s="1" t="s">
        <v>2292</v>
      </c>
      <c r="S717" s="1"/>
      <c r="T717" s="1" t="s">
        <v>2859</v>
      </c>
      <c r="U717" s="1" t="s">
        <v>2255</v>
      </c>
      <c r="V717" s="1">
        <v>2.027</v>
      </c>
      <c r="W717" s="1">
        <v>2.027</v>
      </c>
      <c r="X717" s="1" t="s">
        <v>35</v>
      </c>
      <c r="Y717" s="1">
        <v>2027000.0</v>
      </c>
      <c r="Z717" s="1"/>
      <c r="AA717" s="1">
        <v>2027000</v>
      </c>
      <c r="AB717" s="1"/>
      <c r="AC717" s="1" t="s">
        <v>36</v>
      </c>
      <c r="AD717" s="1" t="s">
        <v>2860</v>
      </c>
      <c r="AE717" s="1" t="s">
        <v>32</v>
      </c>
      <c r="AF717" s="1" t="s">
        <v>33</v>
      </c>
      <c r="AG717" s="1" t="s">
        <v>49</v>
      </c>
    </row>
    <row r="718" spans="1:33">
      <c r="A718" t="s">
        <v>2861</v>
      </c>
      <c r="C718" t="s">
        <v>226</v>
      </c>
      <c r="E718" t="s">
        <v>2292</v>
      </c>
      <c r="F718" t="s">
        <v>2293</v>
      </c>
      <c r="G718">
        <v>557.55</v>
      </c>
      <c r="H718">
        <v>557.55</v>
      </c>
      <c r="I718" t="s">
        <v>227</v>
      </c>
      <c r="J718" t="s">
        <v>228</v>
      </c>
      <c r="K718" t="s">
        <v>31</v>
      </c>
      <c r="L718" t="s">
        <v>32</v>
      </c>
      <c r="M718" t="s">
        <v>33</v>
      </c>
      <c r="P718" s="1" t="s">
        <v>2862</v>
      </c>
      <c r="Q718" s="1" t="s">
        <v>2292</v>
      </c>
      <c r="R718" s="1" t="s">
        <v>2292</v>
      </c>
      <c r="S718" s="1"/>
      <c r="T718" s="1" t="s">
        <v>226</v>
      </c>
      <c r="U718" s="1"/>
      <c r="V718" s="1">
        <v>557.55</v>
      </c>
      <c r="W718" s="1">
        <v>557.55</v>
      </c>
      <c r="X718" s="1" t="s">
        <v>35</v>
      </c>
      <c r="Y718" s="1">
        <v>557550.0</v>
      </c>
      <c r="Z718" s="1"/>
      <c r="AA718" s="1">
        <v>557550</v>
      </c>
      <c r="AB718" s="1"/>
      <c r="AC718" s="1" t="s">
        <v>36</v>
      </c>
      <c r="AD718" s="1" t="s">
        <v>2863</v>
      </c>
      <c r="AE718" s="1" t="s">
        <v>32</v>
      </c>
      <c r="AF718" s="1" t="s">
        <v>33</v>
      </c>
      <c r="AG718" s="1" t="s">
        <v>228</v>
      </c>
    </row>
    <row r="719" spans="1:33">
      <c r="A719" t="s">
        <v>2864</v>
      </c>
      <c r="B719" t="s">
        <v>2865</v>
      </c>
      <c r="C719" t="s">
        <v>569</v>
      </c>
      <c r="E719" t="s">
        <v>2292</v>
      </c>
      <c r="F719" t="s">
        <v>2293</v>
      </c>
      <c r="G719">
        <v>40.135</v>
      </c>
      <c r="H719">
        <v>40.135</v>
      </c>
      <c r="I719" t="s">
        <v>570</v>
      </c>
      <c r="J719" t="s">
        <v>571</v>
      </c>
      <c r="K719" t="s">
        <v>31</v>
      </c>
      <c r="L719" t="s">
        <v>32</v>
      </c>
      <c r="M719" t="s">
        <v>33</v>
      </c>
      <c r="P719" s="1" t="s">
        <v>2866</v>
      </c>
      <c r="Q719" s="1" t="s">
        <v>2292</v>
      </c>
      <c r="R719" s="1" t="s">
        <v>2292</v>
      </c>
      <c r="S719" s="1"/>
      <c r="T719" s="1" t="s">
        <v>569</v>
      </c>
      <c r="U719" s="1"/>
      <c r="V719" s="1">
        <v>40.135</v>
      </c>
      <c r="W719" s="1">
        <v>40.135</v>
      </c>
      <c r="X719" s="1" t="s">
        <v>35</v>
      </c>
      <c r="Y719" s="1">
        <v>40135.0</v>
      </c>
      <c r="Z719" s="1"/>
      <c r="AA719" s="1">
        <v>40135</v>
      </c>
      <c r="AB719" s="1"/>
      <c r="AC719" s="1" t="s">
        <v>36</v>
      </c>
      <c r="AD719" s="1" t="s">
        <v>2867</v>
      </c>
      <c r="AE719" s="1" t="s">
        <v>32</v>
      </c>
      <c r="AF719" s="1" t="s">
        <v>33</v>
      </c>
      <c r="AG719" s="1" t="s">
        <v>571</v>
      </c>
    </row>
    <row r="720" spans="1:33">
      <c r="A720" t="s">
        <v>2868</v>
      </c>
      <c r="C720" t="s">
        <v>2869</v>
      </c>
      <c r="E720" t="s">
        <v>2292</v>
      </c>
      <c r="F720" t="s">
        <v>2293</v>
      </c>
      <c r="G720">
        <v>2.063</v>
      </c>
      <c r="H720">
        <v>2.063</v>
      </c>
      <c r="I720" t="s">
        <v>269</v>
      </c>
      <c r="J720" t="s">
        <v>270</v>
      </c>
      <c r="K720" t="s">
        <v>31</v>
      </c>
      <c r="L720" t="s">
        <v>32</v>
      </c>
      <c r="M720" t="s">
        <v>33</v>
      </c>
      <c r="P720" s="1" t="s">
        <v>2870</v>
      </c>
      <c r="Q720" s="1" t="s">
        <v>2292</v>
      </c>
      <c r="R720" s="1" t="s">
        <v>2292</v>
      </c>
      <c r="S720" s="1"/>
      <c r="T720" s="1" t="s">
        <v>2869</v>
      </c>
      <c r="U720" s="1"/>
      <c r="V720" s="1">
        <v>2.063</v>
      </c>
      <c r="W720" s="1">
        <v>2.063</v>
      </c>
      <c r="X720" s="1" t="s">
        <v>35</v>
      </c>
      <c r="Y720" s="1">
        <v>2063000.0</v>
      </c>
      <c r="Z720" s="1"/>
      <c r="AA720" s="1">
        <v>2063000</v>
      </c>
      <c r="AB720" s="1"/>
      <c r="AC720" s="1" t="s">
        <v>36</v>
      </c>
      <c r="AD720" s="1" t="s">
        <v>2867</v>
      </c>
      <c r="AE720" s="1" t="s">
        <v>32</v>
      </c>
      <c r="AF720" s="1" t="s">
        <v>33</v>
      </c>
      <c r="AG720" s="1" t="s">
        <v>270</v>
      </c>
    </row>
    <row r="721" spans="1:33">
      <c r="A721" t="s">
        <v>2871</v>
      </c>
      <c r="C721" t="s">
        <v>2872</v>
      </c>
      <c r="E721" t="s">
        <v>2292</v>
      </c>
      <c r="F721" t="s">
        <v>2293</v>
      </c>
      <c r="G721">
        <v>976.0</v>
      </c>
      <c r="H721">
        <v>976.0</v>
      </c>
      <c r="I721" t="s">
        <v>48</v>
      </c>
      <c r="J721" t="s">
        <v>49</v>
      </c>
      <c r="K721" t="s">
        <v>31</v>
      </c>
      <c r="L721" t="s">
        <v>32</v>
      </c>
      <c r="M721" t="s">
        <v>33</v>
      </c>
      <c r="P721" s="1" t="s">
        <v>2873</v>
      </c>
      <c r="Q721" s="1" t="s">
        <v>2292</v>
      </c>
      <c r="R721" s="1" t="s">
        <v>2292</v>
      </c>
      <c r="S721" s="1"/>
      <c r="T721" s="1" t="s">
        <v>2872</v>
      </c>
      <c r="U721" s="1"/>
      <c r="V721" s="1">
        <v>976.0</v>
      </c>
      <c r="W721" s="1">
        <v>976.0</v>
      </c>
      <c r="X721" s="1" t="s">
        <v>35</v>
      </c>
      <c r="Y721" s="1">
        <v>976000.0</v>
      </c>
      <c r="Z721" s="1"/>
      <c r="AA721" s="1">
        <v>976000</v>
      </c>
      <c r="AB721" s="1"/>
      <c r="AC721" s="1" t="s">
        <v>36</v>
      </c>
      <c r="AD721" s="1" t="s">
        <v>2874</v>
      </c>
      <c r="AE721" s="1" t="s">
        <v>32</v>
      </c>
      <c r="AF721" s="1" t="s">
        <v>33</v>
      </c>
      <c r="AG721" s="1" t="s">
        <v>49</v>
      </c>
    </row>
    <row r="722" spans="1:33">
      <c r="A722" t="s">
        <v>2875</v>
      </c>
      <c r="C722" t="s">
        <v>2876</v>
      </c>
      <c r="E722" t="s">
        <v>2292</v>
      </c>
      <c r="F722" t="s">
        <v>2293</v>
      </c>
      <c r="G722">
        <v>656.0</v>
      </c>
      <c r="H722">
        <v>656.0</v>
      </c>
      <c r="I722" t="s">
        <v>269</v>
      </c>
      <c r="J722" t="s">
        <v>270</v>
      </c>
      <c r="K722" t="s">
        <v>31</v>
      </c>
      <c r="L722" t="s">
        <v>32</v>
      </c>
      <c r="M722" t="s">
        <v>33</v>
      </c>
      <c r="P722" s="1" t="s">
        <v>2877</v>
      </c>
      <c r="Q722" s="1" t="s">
        <v>2292</v>
      </c>
      <c r="R722" s="1" t="s">
        <v>2292</v>
      </c>
      <c r="S722" s="1"/>
      <c r="T722" s="1" t="s">
        <v>2876</v>
      </c>
      <c r="U722" s="1"/>
      <c r="V722" s="1">
        <v>656.0</v>
      </c>
      <c r="W722" s="1">
        <v>656.0</v>
      </c>
      <c r="X722" s="1" t="s">
        <v>35</v>
      </c>
      <c r="Y722" s="1">
        <v>656000.0</v>
      </c>
      <c r="Z722" s="1"/>
      <c r="AA722" s="1">
        <v>656000</v>
      </c>
      <c r="AB722" s="1"/>
      <c r="AC722" s="1" t="s">
        <v>36</v>
      </c>
      <c r="AD722" s="1" t="s">
        <v>2878</v>
      </c>
      <c r="AE722" s="1" t="s">
        <v>32</v>
      </c>
      <c r="AF722" s="1" t="s">
        <v>33</v>
      </c>
      <c r="AG722" s="1" t="s">
        <v>270</v>
      </c>
    </row>
    <row r="723" spans="1:33">
      <c r="A723" t="s">
        <v>2879</v>
      </c>
      <c r="B723" t="s">
        <v>2880</v>
      </c>
      <c r="C723" t="s">
        <v>314</v>
      </c>
      <c r="E723" t="s">
        <v>2292</v>
      </c>
      <c r="F723" t="s">
        <v>2293</v>
      </c>
      <c r="G723">
        <v>67.48</v>
      </c>
      <c r="H723">
        <v>67.48</v>
      </c>
      <c r="I723" t="s">
        <v>179</v>
      </c>
      <c r="J723" t="s">
        <v>180</v>
      </c>
      <c r="K723" t="s">
        <v>31</v>
      </c>
      <c r="L723" t="s">
        <v>32</v>
      </c>
      <c r="M723" t="s">
        <v>33</v>
      </c>
      <c r="P723" s="1" t="s">
        <v>2881</v>
      </c>
      <c r="Q723" s="1" t="s">
        <v>2292</v>
      </c>
      <c r="R723" s="1" t="s">
        <v>2292</v>
      </c>
      <c r="S723" s="1"/>
      <c r="T723" s="1" t="s">
        <v>314</v>
      </c>
      <c r="U723" s="1"/>
      <c r="V723" s="1">
        <v>67.48</v>
      </c>
      <c r="W723" s="1">
        <v>67.48</v>
      </c>
      <c r="X723" s="1" t="s">
        <v>35</v>
      </c>
      <c r="Y723" s="1">
        <v>67480.0</v>
      </c>
      <c r="Z723" s="1"/>
      <c r="AA723" s="1">
        <v>67480</v>
      </c>
      <c r="AB723" s="1"/>
      <c r="AC723" s="1" t="s">
        <v>36</v>
      </c>
      <c r="AD723" s="1" t="s">
        <v>2882</v>
      </c>
      <c r="AE723" s="1" t="s">
        <v>32</v>
      </c>
      <c r="AF723" s="1" t="s">
        <v>33</v>
      </c>
      <c r="AG723" s="1" t="s">
        <v>180</v>
      </c>
    </row>
    <row r="724" spans="1:33">
      <c r="A724" t="s">
        <v>2883</v>
      </c>
      <c r="C724" t="s">
        <v>131</v>
      </c>
      <c r="E724" t="s">
        <v>2292</v>
      </c>
      <c r="F724" t="s">
        <v>2293</v>
      </c>
      <c r="G724">
        <v>36.99</v>
      </c>
      <c r="H724">
        <v>36.99</v>
      </c>
      <c r="I724" t="s">
        <v>94</v>
      </c>
      <c r="J724" t="s">
        <v>95</v>
      </c>
      <c r="K724" t="s">
        <v>31</v>
      </c>
      <c r="L724" t="s">
        <v>32</v>
      </c>
      <c r="M724" t="s">
        <v>33</v>
      </c>
      <c r="P724" s="1" t="s">
        <v>2884</v>
      </c>
      <c r="Q724" s="1" t="s">
        <v>2292</v>
      </c>
      <c r="R724" s="1" t="s">
        <v>2292</v>
      </c>
      <c r="S724" s="1"/>
      <c r="T724" s="1" t="s">
        <v>131</v>
      </c>
      <c r="U724" s="1"/>
      <c r="V724" s="1">
        <v>36.99</v>
      </c>
      <c r="W724" s="1">
        <v>36.99</v>
      </c>
      <c r="X724" s="1" t="s">
        <v>35</v>
      </c>
      <c r="Y724" s="1">
        <v>36990.0</v>
      </c>
      <c r="Z724" s="1"/>
      <c r="AA724" s="1">
        <v>36990</v>
      </c>
      <c r="AB724" s="1"/>
      <c r="AC724" s="1" t="s">
        <v>36</v>
      </c>
      <c r="AD724" s="1" t="s">
        <v>2885</v>
      </c>
      <c r="AE724" s="1" t="s">
        <v>32</v>
      </c>
      <c r="AF724" s="1" t="s">
        <v>33</v>
      </c>
      <c r="AG724" s="1" t="s">
        <v>95</v>
      </c>
    </row>
    <row r="725" spans="1:33">
      <c r="A725" t="s">
        <v>2886</v>
      </c>
      <c r="C725" t="s">
        <v>2887</v>
      </c>
      <c r="D725" t="s">
        <v>154</v>
      </c>
      <c r="E725" t="s">
        <v>2292</v>
      </c>
      <c r="F725" t="s">
        <v>2293</v>
      </c>
      <c r="G725">
        <v>320.0</v>
      </c>
      <c r="H725">
        <v>320.0</v>
      </c>
      <c r="I725" t="s">
        <v>94</v>
      </c>
      <c r="J725" t="s">
        <v>95</v>
      </c>
      <c r="K725" t="s">
        <v>31</v>
      </c>
      <c r="L725" t="s">
        <v>32</v>
      </c>
      <c r="M725" t="s">
        <v>33</v>
      </c>
      <c r="P725" s="1" t="s">
        <v>2888</v>
      </c>
      <c r="Q725" s="1" t="s">
        <v>2292</v>
      </c>
      <c r="R725" s="1" t="s">
        <v>2292</v>
      </c>
      <c r="S725" s="1"/>
      <c r="T725" s="1" t="s">
        <v>2889</v>
      </c>
      <c r="U725" s="1" t="s">
        <v>2890</v>
      </c>
      <c r="V725" s="1">
        <v>320.0</v>
      </c>
      <c r="W725" s="1">
        <v>320.0</v>
      </c>
      <c r="X725" s="1" t="s">
        <v>35</v>
      </c>
      <c r="Y725" s="1">
        <v>320000.0</v>
      </c>
      <c r="Z725" s="1"/>
      <c r="AA725" s="1">
        <v>320000</v>
      </c>
      <c r="AB725" s="1"/>
      <c r="AC725" s="1" t="s">
        <v>36</v>
      </c>
      <c r="AD725" s="1" t="s">
        <v>2891</v>
      </c>
      <c r="AE725" s="1" t="s">
        <v>32</v>
      </c>
      <c r="AF725" s="1" t="s">
        <v>33</v>
      </c>
      <c r="AG725" s="1" t="s">
        <v>95</v>
      </c>
    </row>
    <row r="726" spans="1:33">
      <c r="A726" t="s">
        <v>2892</v>
      </c>
      <c r="B726" t="s">
        <v>2893</v>
      </c>
      <c r="C726" t="s">
        <v>73</v>
      </c>
      <c r="E726" t="s">
        <v>2292</v>
      </c>
      <c r="F726" t="s">
        <v>2293</v>
      </c>
      <c r="G726">
        <v>88.966</v>
      </c>
      <c r="H726">
        <v>88.966</v>
      </c>
      <c r="I726" t="s">
        <v>40</v>
      </c>
      <c r="J726" t="s">
        <v>41</v>
      </c>
      <c r="K726" t="s">
        <v>31</v>
      </c>
      <c r="L726" t="s">
        <v>32</v>
      </c>
      <c r="M726" t="s">
        <v>33</v>
      </c>
      <c r="P726" s="1" t="s">
        <v>2894</v>
      </c>
      <c r="Q726" s="1" t="s">
        <v>2292</v>
      </c>
      <c r="R726" s="1" t="s">
        <v>1562</v>
      </c>
      <c r="S726" s="1"/>
      <c r="T726" s="1" t="s">
        <v>75</v>
      </c>
      <c r="U726" s="1" t="s">
        <v>76</v>
      </c>
      <c r="V726" s="1">
        <v>88.966</v>
      </c>
      <c r="W726" s="1">
        <v>88.966</v>
      </c>
      <c r="X726" s="1" t="s">
        <v>35</v>
      </c>
      <c r="Y726" s="1">
        <v>88966.0</v>
      </c>
      <c r="Z726" s="1"/>
      <c r="AA726" s="1">
        <v>88966</v>
      </c>
      <c r="AB726" s="1"/>
      <c r="AC726" s="1" t="s">
        <v>36</v>
      </c>
      <c r="AD726" s="1" t="s">
        <v>2882</v>
      </c>
      <c r="AE726" s="1" t="s">
        <v>32</v>
      </c>
      <c r="AF726" s="1" t="s">
        <v>33</v>
      </c>
      <c r="AG726" s="1" t="s">
        <v>41</v>
      </c>
    </row>
    <row r="727" spans="1:33">
      <c r="A727" t="s">
        <v>2895</v>
      </c>
      <c r="C727" t="s">
        <v>2887</v>
      </c>
      <c r="D727" t="s">
        <v>154</v>
      </c>
      <c r="E727" t="s">
        <v>2292</v>
      </c>
      <c r="F727" t="s">
        <v>2293</v>
      </c>
      <c r="G727">
        <v>336.0</v>
      </c>
      <c r="H727">
        <v>336.0</v>
      </c>
      <c r="I727" t="s">
        <v>94</v>
      </c>
      <c r="J727" t="s">
        <v>95</v>
      </c>
      <c r="K727" t="s">
        <v>31</v>
      </c>
      <c r="L727" t="s">
        <v>32</v>
      </c>
      <c r="M727" t="s">
        <v>33</v>
      </c>
      <c r="P727" s="1" t="s">
        <v>2896</v>
      </c>
      <c r="Q727" s="1" t="s">
        <v>2292</v>
      </c>
      <c r="R727" s="1" t="s">
        <v>2292</v>
      </c>
      <c r="S727" s="1"/>
      <c r="T727" s="1" t="s">
        <v>2889</v>
      </c>
      <c r="U727" s="1" t="s">
        <v>2890</v>
      </c>
      <c r="V727" s="1">
        <v>336.0</v>
      </c>
      <c r="W727" s="1">
        <v>336.0</v>
      </c>
      <c r="X727" s="1" t="s">
        <v>35</v>
      </c>
      <c r="Y727" s="1">
        <v>336000.0</v>
      </c>
      <c r="Z727" s="1"/>
      <c r="AA727" s="1">
        <v>336000</v>
      </c>
      <c r="AB727" s="1"/>
      <c r="AC727" s="1" t="s">
        <v>36</v>
      </c>
      <c r="AD727" s="1" t="s">
        <v>2897</v>
      </c>
      <c r="AE727" s="1" t="s">
        <v>32</v>
      </c>
      <c r="AF727" s="1" t="s">
        <v>33</v>
      </c>
      <c r="AG727" s="1" t="s">
        <v>95</v>
      </c>
    </row>
    <row r="728" spans="1:33">
      <c r="A728" t="s">
        <v>2898</v>
      </c>
      <c r="B728" t="s">
        <v>2899</v>
      </c>
      <c r="C728" t="s">
        <v>314</v>
      </c>
      <c r="E728" t="s">
        <v>2292</v>
      </c>
      <c r="F728" t="s">
        <v>2293</v>
      </c>
      <c r="G728">
        <v>88.96</v>
      </c>
      <c r="H728">
        <v>88.96</v>
      </c>
      <c r="I728" t="s">
        <v>179</v>
      </c>
      <c r="J728" t="s">
        <v>180</v>
      </c>
      <c r="K728" t="s">
        <v>31</v>
      </c>
      <c r="L728" t="s">
        <v>32</v>
      </c>
      <c r="M728" t="s">
        <v>33</v>
      </c>
      <c r="P728" s="1" t="s">
        <v>2900</v>
      </c>
      <c r="Q728" s="1" t="s">
        <v>2292</v>
      </c>
      <c r="R728" s="1" t="s">
        <v>2292</v>
      </c>
      <c r="S728" s="1"/>
      <c r="T728" s="1" t="s">
        <v>314</v>
      </c>
      <c r="U728" s="1"/>
      <c r="V728" s="1">
        <v>88.96</v>
      </c>
      <c r="W728" s="1">
        <v>88.96</v>
      </c>
      <c r="X728" s="1" t="s">
        <v>35</v>
      </c>
      <c r="Y728" s="1">
        <v>88960.0</v>
      </c>
      <c r="Z728" s="1"/>
      <c r="AA728" s="1">
        <v>88960</v>
      </c>
      <c r="AB728" s="1"/>
      <c r="AC728" s="1" t="s">
        <v>36</v>
      </c>
      <c r="AD728" s="1" t="s">
        <v>2901</v>
      </c>
      <c r="AE728" s="1" t="s">
        <v>32</v>
      </c>
      <c r="AF728" s="1" t="s">
        <v>33</v>
      </c>
      <c r="AG728" s="1" t="s">
        <v>180</v>
      </c>
    </row>
    <row r="729" spans="1:33">
      <c r="A729" t="s">
        <v>2902</v>
      </c>
      <c r="B729" t="s">
        <v>1932</v>
      </c>
      <c r="C729" t="s">
        <v>1933</v>
      </c>
      <c r="E729" t="s">
        <v>2292</v>
      </c>
      <c r="F729" t="s">
        <v>2293</v>
      </c>
      <c r="G729">
        <v>200.0</v>
      </c>
      <c r="H729">
        <v>200.0</v>
      </c>
      <c r="I729" t="s">
        <v>40</v>
      </c>
      <c r="J729" t="s">
        <v>41</v>
      </c>
      <c r="K729" t="s">
        <v>31</v>
      </c>
      <c r="L729" t="s">
        <v>32</v>
      </c>
      <c r="M729" t="s">
        <v>33</v>
      </c>
      <c r="P729" s="1" t="s">
        <v>2903</v>
      </c>
      <c r="Q729" s="1" t="s">
        <v>2292</v>
      </c>
      <c r="R729" s="1" t="s">
        <v>1562</v>
      </c>
      <c r="S729" s="1"/>
      <c r="T729" s="1" t="s">
        <v>1933</v>
      </c>
      <c r="U729" s="1"/>
      <c r="V729" s="1">
        <v>200.0</v>
      </c>
      <c r="W729" s="1">
        <v>200.0</v>
      </c>
      <c r="X729" s="1" t="s">
        <v>35</v>
      </c>
      <c r="Y729" s="1">
        <v>200000.0</v>
      </c>
      <c r="Z729" s="1"/>
      <c r="AA729" s="1">
        <v>200000</v>
      </c>
      <c r="AB729" s="1"/>
      <c r="AC729" s="1" t="s">
        <v>36</v>
      </c>
      <c r="AD729" s="1" t="s">
        <v>2867</v>
      </c>
      <c r="AE729" s="1" t="s">
        <v>32</v>
      </c>
      <c r="AF729" s="1" t="s">
        <v>33</v>
      </c>
      <c r="AG729" s="1" t="s">
        <v>41</v>
      </c>
    </row>
    <row r="730" spans="1:33">
      <c r="A730" t="s">
        <v>2904</v>
      </c>
      <c r="C730" t="s">
        <v>2905</v>
      </c>
      <c r="E730" t="s">
        <v>2292</v>
      </c>
      <c r="F730" t="s">
        <v>2293</v>
      </c>
      <c r="G730">
        <v>872.0</v>
      </c>
      <c r="H730">
        <v>872.0</v>
      </c>
      <c r="I730" t="s">
        <v>269</v>
      </c>
      <c r="J730" t="s">
        <v>270</v>
      </c>
      <c r="K730" t="s">
        <v>31</v>
      </c>
      <c r="L730" t="s">
        <v>32</v>
      </c>
      <c r="M730" t="s">
        <v>33</v>
      </c>
      <c r="P730" s="1" t="s">
        <v>2906</v>
      </c>
      <c r="Q730" s="1" t="s">
        <v>2292</v>
      </c>
      <c r="R730" s="1" t="s">
        <v>2292</v>
      </c>
      <c r="S730" s="1"/>
      <c r="T730" s="1" t="s">
        <v>2905</v>
      </c>
      <c r="U730" s="1"/>
      <c r="V730" s="1">
        <v>872.0</v>
      </c>
      <c r="W730" s="1">
        <v>872.0</v>
      </c>
      <c r="X730" s="1" t="s">
        <v>35</v>
      </c>
      <c r="Y730" s="1">
        <v>872000.0</v>
      </c>
      <c r="Z730" s="1"/>
      <c r="AA730" s="1">
        <v>872000</v>
      </c>
      <c r="AB730" s="1"/>
      <c r="AC730" s="1" t="s">
        <v>36</v>
      </c>
      <c r="AD730" s="1" t="s">
        <v>2907</v>
      </c>
      <c r="AE730" s="1" t="s">
        <v>32</v>
      </c>
      <c r="AF730" s="1" t="s">
        <v>33</v>
      </c>
      <c r="AG730" s="1" t="s">
        <v>270</v>
      </c>
    </row>
    <row r="731" spans="1:33">
      <c r="A731" t="s">
        <v>2908</v>
      </c>
      <c r="B731" t="s">
        <v>2909</v>
      </c>
      <c r="C731" t="s">
        <v>2910</v>
      </c>
      <c r="D731" t="s">
        <v>154</v>
      </c>
      <c r="E731" t="s">
        <v>2292</v>
      </c>
      <c r="F731" t="s">
        <v>2293</v>
      </c>
      <c r="G731">
        <v>635.0</v>
      </c>
      <c r="H731">
        <v>635.0</v>
      </c>
      <c r="I731" t="s">
        <v>40</v>
      </c>
      <c r="J731" t="s">
        <v>41</v>
      </c>
      <c r="K731" t="s">
        <v>31</v>
      </c>
      <c r="L731" t="s">
        <v>32</v>
      </c>
      <c r="M731" t="s">
        <v>33</v>
      </c>
      <c r="P731" s="1" t="s">
        <v>2911</v>
      </c>
      <c r="Q731" s="1" t="s">
        <v>2292</v>
      </c>
      <c r="R731" s="1" t="s">
        <v>1562</v>
      </c>
      <c r="S731" s="1"/>
      <c r="T731" s="1" t="s">
        <v>2912</v>
      </c>
      <c r="U731" s="1" t="s">
        <v>2913</v>
      </c>
      <c r="V731" s="1">
        <v>635.0</v>
      </c>
      <c r="W731" s="1">
        <v>635.0</v>
      </c>
      <c r="X731" s="1" t="s">
        <v>35</v>
      </c>
      <c r="Y731" s="1">
        <v>635000.0</v>
      </c>
      <c r="Z731" s="1"/>
      <c r="AA731" s="1">
        <v>635000</v>
      </c>
      <c r="AB731" s="1"/>
      <c r="AC731" s="1" t="s">
        <v>36</v>
      </c>
      <c r="AD731" s="1" t="s">
        <v>2914</v>
      </c>
      <c r="AE731" s="1" t="s">
        <v>32</v>
      </c>
      <c r="AF731" s="1" t="s">
        <v>33</v>
      </c>
      <c r="AG731" s="1" t="s">
        <v>41</v>
      </c>
    </row>
    <row r="732" spans="1:33">
      <c r="A732" t="s">
        <v>2915</v>
      </c>
      <c r="C732" t="s">
        <v>2916</v>
      </c>
      <c r="E732" t="s">
        <v>2292</v>
      </c>
      <c r="F732" t="s">
        <v>2293</v>
      </c>
      <c r="G732">
        <v>969.3</v>
      </c>
      <c r="H732">
        <v>969.3</v>
      </c>
      <c r="I732" t="s">
        <v>269</v>
      </c>
      <c r="J732" t="s">
        <v>270</v>
      </c>
      <c r="K732" t="s">
        <v>31</v>
      </c>
      <c r="L732" t="s">
        <v>32</v>
      </c>
      <c r="M732" t="s">
        <v>33</v>
      </c>
      <c r="P732" s="1" t="s">
        <v>2917</v>
      </c>
      <c r="Q732" s="1" t="s">
        <v>2292</v>
      </c>
      <c r="R732" s="1" t="s">
        <v>2292</v>
      </c>
      <c r="S732" s="1"/>
      <c r="T732" s="1" t="s">
        <v>2916</v>
      </c>
      <c r="U732" s="1"/>
      <c r="V732" s="1">
        <v>969.3</v>
      </c>
      <c r="W732" s="1">
        <v>969.3</v>
      </c>
      <c r="X732" s="1" t="s">
        <v>35</v>
      </c>
      <c r="Y732" s="1">
        <v>969300.0</v>
      </c>
      <c r="Z732" s="1"/>
      <c r="AA732" s="1">
        <v>969300</v>
      </c>
      <c r="AB732" s="1"/>
      <c r="AC732" s="1" t="s">
        <v>36</v>
      </c>
      <c r="AD732" s="1" t="s">
        <v>2918</v>
      </c>
      <c r="AE732" s="1" t="s">
        <v>32</v>
      </c>
      <c r="AF732" s="1" t="s">
        <v>33</v>
      </c>
      <c r="AG732" s="1" t="s">
        <v>270</v>
      </c>
    </row>
    <row r="733" spans="1:33">
      <c r="A733" t="s">
        <v>2919</v>
      </c>
      <c r="B733" t="s">
        <v>2920</v>
      </c>
      <c r="C733" t="s">
        <v>2921</v>
      </c>
      <c r="E733" t="s">
        <v>2292</v>
      </c>
      <c r="F733" t="s">
        <v>2293</v>
      </c>
      <c r="G733">
        <v>942.0</v>
      </c>
      <c r="H733">
        <v>942.0</v>
      </c>
      <c r="I733" t="s">
        <v>40</v>
      </c>
      <c r="J733" t="s">
        <v>41</v>
      </c>
      <c r="K733" t="s">
        <v>31</v>
      </c>
      <c r="L733" t="s">
        <v>32</v>
      </c>
      <c r="M733" t="s">
        <v>33</v>
      </c>
      <c r="P733" s="1" t="s">
        <v>2922</v>
      </c>
      <c r="Q733" s="1" t="s">
        <v>2292</v>
      </c>
      <c r="R733" s="1" t="s">
        <v>1562</v>
      </c>
      <c r="S733" s="1"/>
      <c r="T733" s="1" t="s">
        <v>2921</v>
      </c>
      <c r="U733" s="1"/>
      <c r="V733" s="1">
        <v>942.0</v>
      </c>
      <c r="W733" s="1">
        <v>942.0</v>
      </c>
      <c r="X733" s="1" t="s">
        <v>35</v>
      </c>
      <c r="Y733" s="1">
        <v>942000.0</v>
      </c>
      <c r="Z733" s="1"/>
      <c r="AA733" s="1">
        <v>942000</v>
      </c>
      <c r="AB733" s="1"/>
      <c r="AC733" s="1" t="s">
        <v>36</v>
      </c>
      <c r="AD733" s="1" t="s">
        <v>2923</v>
      </c>
      <c r="AE733" s="1" t="s">
        <v>32</v>
      </c>
      <c r="AF733" s="1" t="s">
        <v>33</v>
      </c>
      <c r="AG733" s="1" t="s">
        <v>41</v>
      </c>
    </row>
    <row r="734" spans="1:33">
      <c r="A734" t="s">
        <v>2924</v>
      </c>
      <c r="B734" t="s">
        <v>2925</v>
      </c>
      <c r="C734" t="s">
        <v>268</v>
      </c>
      <c r="E734" t="s">
        <v>2292</v>
      </c>
      <c r="F734" t="s">
        <v>2293</v>
      </c>
      <c r="G734">
        <v>74.05</v>
      </c>
      <c r="H734">
        <v>74.05</v>
      </c>
      <c r="I734" t="s">
        <v>269</v>
      </c>
      <c r="J734" t="s">
        <v>270</v>
      </c>
      <c r="K734" t="s">
        <v>31</v>
      </c>
      <c r="L734" t="s">
        <v>32</v>
      </c>
      <c r="M734" t="s">
        <v>33</v>
      </c>
      <c r="P734" s="1" t="s">
        <v>2926</v>
      </c>
      <c r="Q734" s="1" t="s">
        <v>2292</v>
      </c>
      <c r="R734" s="1" t="s">
        <v>2292</v>
      </c>
      <c r="S734" s="1"/>
      <c r="T734" s="1" t="s">
        <v>268</v>
      </c>
      <c r="U734" s="1"/>
      <c r="V734" s="1">
        <v>74.05</v>
      </c>
      <c r="W734" s="1">
        <v>74.05</v>
      </c>
      <c r="X734" s="1" t="s">
        <v>35</v>
      </c>
      <c r="Y734" s="1">
        <v>74050.0</v>
      </c>
      <c r="Z734" s="1"/>
      <c r="AA734" s="1">
        <v>74050</v>
      </c>
      <c r="AB734" s="1"/>
      <c r="AC734" s="1" t="s">
        <v>36</v>
      </c>
      <c r="AD734" s="1" t="s">
        <v>2927</v>
      </c>
      <c r="AE734" s="1" t="s">
        <v>32</v>
      </c>
      <c r="AF734" s="1" t="s">
        <v>33</v>
      </c>
      <c r="AG734" s="1" t="s">
        <v>270</v>
      </c>
    </row>
    <row r="735" spans="1:33">
      <c r="A735" t="s">
        <v>2928</v>
      </c>
      <c r="B735" t="s">
        <v>444</v>
      </c>
      <c r="C735" t="s">
        <v>314</v>
      </c>
      <c r="E735" t="s">
        <v>2292</v>
      </c>
      <c r="F735" t="s">
        <v>2293</v>
      </c>
      <c r="G735">
        <v>37.49</v>
      </c>
      <c r="H735">
        <v>37.49</v>
      </c>
      <c r="I735" t="s">
        <v>179</v>
      </c>
      <c r="J735" t="s">
        <v>180</v>
      </c>
      <c r="K735" t="s">
        <v>31</v>
      </c>
      <c r="L735" t="s">
        <v>32</v>
      </c>
      <c r="M735" t="s">
        <v>33</v>
      </c>
      <c r="P735" s="1" t="s">
        <v>2929</v>
      </c>
      <c r="Q735" s="1" t="s">
        <v>2292</v>
      </c>
      <c r="R735" s="1" t="s">
        <v>2292</v>
      </c>
      <c r="S735" s="1"/>
      <c r="T735" s="1" t="s">
        <v>314</v>
      </c>
      <c r="U735" s="1"/>
      <c r="V735" s="1">
        <v>37.49</v>
      </c>
      <c r="W735" s="1">
        <v>37.49</v>
      </c>
      <c r="X735" s="1" t="s">
        <v>35</v>
      </c>
      <c r="Y735" s="1">
        <v>37490.0</v>
      </c>
      <c r="Z735" s="1"/>
      <c r="AA735" s="1">
        <v>37490</v>
      </c>
      <c r="AB735" s="1"/>
      <c r="AC735" s="1" t="s">
        <v>36</v>
      </c>
      <c r="AD735" s="1" t="s">
        <v>2930</v>
      </c>
      <c r="AE735" s="1" t="s">
        <v>32</v>
      </c>
      <c r="AF735" s="1" t="s">
        <v>33</v>
      </c>
      <c r="AG735" s="1" t="s">
        <v>180</v>
      </c>
    </row>
    <row r="736" spans="1:33">
      <c r="A736" t="s">
        <v>2931</v>
      </c>
      <c r="B736" t="s">
        <v>2932</v>
      </c>
      <c r="C736" t="s">
        <v>73</v>
      </c>
      <c r="E736" t="s">
        <v>2292</v>
      </c>
      <c r="F736" t="s">
        <v>2293</v>
      </c>
      <c r="G736">
        <v>17.245</v>
      </c>
      <c r="H736">
        <v>17.245</v>
      </c>
      <c r="I736" t="s">
        <v>40</v>
      </c>
      <c r="J736" t="s">
        <v>41</v>
      </c>
      <c r="K736" t="s">
        <v>31</v>
      </c>
      <c r="L736" t="s">
        <v>32</v>
      </c>
      <c r="M736" t="s">
        <v>33</v>
      </c>
      <c r="P736" s="1" t="s">
        <v>2933</v>
      </c>
      <c r="Q736" s="1" t="s">
        <v>2292</v>
      </c>
      <c r="R736" s="1" t="s">
        <v>1562</v>
      </c>
      <c r="S736" s="1"/>
      <c r="T736" s="1" t="s">
        <v>75</v>
      </c>
      <c r="U736" s="1" t="s">
        <v>76</v>
      </c>
      <c r="V736" s="1">
        <v>17.245</v>
      </c>
      <c r="W736" s="1">
        <v>17.245</v>
      </c>
      <c r="X736" s="1" t="s">
        <v>35</v>
      </c>
      <c r="Y736" s="1">
        <v>17245.0</v>
      </c>
      <c r="Z736" s="1"/>
      <c r="AA736" s="1">
        <v>17245</v>
      </c>
      <c r="AB736" s="1"/>
      <c r="AC736" s="1" t="s">
        <v>36</v>
      </c>
      <c r="AD736" s="1" t="s">
        <v>2934</v>
      </c>
      <c r="AE736" s="1" t="s">
        <v>32</v>
      </c>
      <c r="AF736" s="1" t="s">
        <v>33</v>
      </c>
      <c r="AG736" s="1" t="s">
        <v>41</v>
      </c>
    </row>
    <row r="737" spans="1:33">
      <c r="A737" t="s">
        <v>2935</v>
      </c>
      <c r="C737" t="s">
        <v>489</v>
      </c>
      <c r="D737" t="s">
        <v>154</v>
      </c>
      <c r="E737" t="s">
        <v>2292</v>
      </c>
      <c r="F737" t="s">
        <v>2293</v>
      </c>
      <c r="G737">
        <v>1.015</v>
      </c>
      <c r="H737">
        <v>1.015</v>
      </c>
      <c r="I737" t="s">
        <v>227</v>
      </c>
      <c r="J737" t="s">
        <v>228</v>
      </c>
      <c r="K737" t="s">
        <v>31</v>
      </c>
      <c r="L737" t="s">
        <v>32</v>
      </c>
      <c r="M737" t="s">
        <v>33</v>
      </c>
      <c r="P737" s="1" t="s">
        <v>2936</v>
      </c>
      <c r="Q737" s="1" t="s">
        <v>2292</v>
      </c>
      <c r="R737" s="1" t="s">
        <v>2292</v>
      </c>
      <c r="S737" s="1"/>
      <c r="T737" s="1" t="s">
        <v>489</v>
      </c>
      <c r="U737" s="1"/>
      <c r="V737" s="1">
        <v>1.015</v>
      </c>
      <c r="W737" s="1">
        <v>1.015</v>
      </c>
      <c r="X737" s="1" t="s">
        <v>35</v>
      </c>
      <c r="Y737" s="1">
        <v>1015250.0</v>
      </c>
      <c r="Z737" s="1"/>
      <c r="AA737" s="1">
        <v>1015250</v>
      </c>
      <c r="AB737" s="1"/>
      <c r="AC737" s="1" t="s">
        <v>36</v>
      </c>
      <c r="AD737" s="1" t="s">
        <v>2667</v>
      </c>
      <c r="AE737" s="1" t="s">
        <v>32</v>
      </c>
      <c r="AF737" s="1" t="s">
        <v>33</v>
      </c>
      <c r="AG737" s="1" t="s">
        <v>228</v>
      </c>
    </row>
    <row r="738" spans="1:33">
      <c r="A738" t="s">
        <v>2937</v>
      </c>
      <c r="C738" t="s">
        <v>2938</v>
      </c>
      <c r="E738" t="s">
        <v>2292</v>
      </c>
      <c r="F738" t="s">
        <v>2293</v>
      </c>
      <c r="G738">
        <v>1.208</v>
      </c>
      <c r="H738">
        <v>1.208</v>
      </c>
      <c r="I738" t="s">
        <v>269</v>
      </c>
      <c r="J738" t="s">
        <v>270</v>
      </c>
      <c r="K738" t="s">
        <v>31</v>
      </c>
      <c r="L738" t="s">
        <v>32</v>
      </c>
      <c r="M738" t="s">
        <v>33</v>
      </c>
      <c r="P738" s="1" t="s">
        <v>2939</v>
      </c>
      <c r="Q738" s="1" t="s">
        <v>2292</v>
      </c>
      <c r="R738" s="1" t="s">
        <v>2292</v>
      </c>
      <c r="S738" s="1"/>
      <c r="T738" s="1" t="s">
        <v>2938</v>
      </c>
      <c r="U738" s="1"/>
      <c r="V738" s="1">
        <v>1.208</v>
      </c>
      <c r="W738" s="1">
        <v>1.208</v>
      </c>
      <c r="X738" s="1" t="s">
        <v>35</v>
      </c>
      <c r="Y738" s="1">
        <v>1208000.0</v>
      </c>
      <c r="Z738" s="1"/>
      <c r="AA738" s="1">
        <v>1208000</v>
      </c>
      <c r="AB738" s="1"/>
      <c r="AC738" s="1" t="s">
        <v>36</v>
      </c>
      <c r="AD738" s="1" t="s">
        <v>2940</v>
      </c>
      <c r="AE738" s="1" t="s">
        <v>32</v>
      </c>
      <c r="AF738" s="1" t="s">
        <v>33</v>
      </c>
      <c r="AG738" s="1" t="s">
        <v>270</v>
      </c>
    </row>
    <row r="739" spans="1:33">
      <c r="A739" t="s">
        <v>2941</v>
      </c>
      <c r="C739" t="s">
        <v>1412</v>
      </c>
      <c r="D739" t="s">
        <v>154</v>
      </c>
      <c r="E739" t="s">
        <v>2292</v>
      </c>
      <c r="F739" t="s">
        <v>2293</v>
      </c>
      <c r="G739">
        <v>477.0</v>
      </c>
      <c r="H739">
        <v>477.0</v>
      </c>
      <c r="I739" t="s">
        <v>40</v>
      </c>
      <c r="J739" t="s">
        <v>41</v>
      </c>
      <c r="K739" t="s">
        <v>31</v>
      </c>
      <c r="L739" t="s">
        <v>32</v>
      </c>
      <c r="M739" t="s">
        <v>33</v>
      </c>
      <c r="P739" s="1" t="s">
        <v>2942</v>
      </c>
      <c r="Q739" s="1" t="s">
        <v>2292</v>
      </c>
      <c r="R739" s="1" t="s">
        <v>1562</v>
      </c>
      <c r="S739" s="1"/>
      <c r="T739" s="1" t="s">
        <v>1412</v>
      </c>
      <c r="U739" s="1"/>
      <c r="V739" s="1">
        <v>477.0</v>
      </c>
      <c r="W739" s="1">
        <v>477.0</v>
      </c>
      <c r="X739" s="1" t="s">
        <v>35</v>
      </c>
      <c r="Y739" s="1">
        <v>477000.0</v>
      </c>
      <c r="Z739" s="1"/>
      <c r="AA739" s="1">
        <v>477000</v>
      </c>
      <c r="AB739" s="1"/>
      <c r="AC739" s="1" t="s">
        <v>36</v>
      </c>
      <c r="AD739" s="1" t="s">
        <v>2943</v>
      </c>
      <c r="AE739" s="1" t="s">
        <v>32</v>
      </c>
      <c r="AF739" s="1" t="s">
        <v>33</v>
      </c>
      <c r="AG739" s="1" t="s">
        <v>41</v>
      </c>
    </row>
    <row r="740" spans="1:33">
      <c r="A740" t="s">
        <v>2944</v>
      </c>
      <c r="B740" t="s">
        <v>2945</v>
      </c>
      <c r="C740" t="s">
        <v>131</v>
      </c>
      <c r="E740" t="s">
        <v>2292</v>
      </c>
      <c r="F740" t="s">
        <v>2293</v>
      </c>
      <c r="G740">
        <v>20.99</v>
      </c>
      <c r="H740">
        <v>20.99</v>
      </c>
      <c r="I740" t="s">
        <v>94</v>
      </c>
      <c r="J740" t="s">
        <v>95</v>
      </c>
      <c r="K740" t="s">
        <v>31</v>
      </c>
      <c r="L740" t="s">
        <v>32</v>
      </c>
      <c r="M740" t="s">
        <v>33</v>
      </c>
      <c r="P740" s="1" t="s">
        <v>2946</v>
      </c>
      <c r="Q740" s="1" t="s">
        <v>2292</v>
      </c>
      <c r="R740" s="1" t="s">
        <v>2292</v>
      </c>
      <c r="S740" s="1"/>
      <c r="T740" s="1" t="s">
        <v>131</v>
      </c>
      <c r="U740" s="1"/>
      <c r="V740" s="1">
        <v>20.99</v>
      </c>
      <c r="W740" s="1">
        <v>20.99</v>
      </c>
      <c r="X740" s="1" t="s">
        <v>35</v>
      </c>
      <c r="Y740" s="1">
        <v>20990.0</v>
      </c>
      <c r="Z740" s="1"/>
      <c r="AA740" s="1">
        <v>20990</v>
      </c>
      <c r="AB740" s="1"/>
      <c r="AC740" s="1" t="s">
        <v>36</v>
      </c>
      <c r="AD740" s="1" t="s">
        <v>2947</v>
      </c>
      <c r="AE740" s="1" t="s">
        <v>32</v>
      </c>
      <c r="AF740" s="1" t="s">
        <v>33</v>
      </c>
      <c r="AG740" s="1" t="s">
        <v>95</v>
      </c>
    </row>
    <row r="741" spans="1:33">
      <c r="A741" t="s">
        <v>2948</v>
      </c>
      <c r="B741" t="s">
        <v>2949</v>
      </c>
      <c r="C741" t="s">
        <v>314</v>
      </c>
      <c r="E741" t="s">
        <v>2292</v>
      </c>
      <c r="F741" t="s">
        <v>2293</v>
      </c>
      <c r="G741">
        <v>160.74</v>
      </c>
      <c r="H741">
        <v>160.74</v>
      </c>
      <c r="I741" t="s">
        <v>179</v>
      </c>
      <c r="J741" t="s">
        <v>180</v>
      </c>
      <c r="K741" t="s">
        <v>31</v>
      </c>
      <c r="L741" t="s">
        <v>32</v>
      </c>
      <c r="M741" t="s">
        <v>33</v>
      </c>
      <c r="P741" s="1" t="s">
        <v>2950</v>
      </c>
      <c r="Q741" s="1" t="s">
        <v>2292</v>
      </c>
      <c r="R741" s="1" t="s">
        <v>2292</v>
      </c>
      <c r="S741" s="1"/>
      <c r="T741" s="1" t="s">
        <v>314</v>
      </c>
      <c r="U741" s="1"/>
      <c r="V741" s="1">
        <v>160.74</v>
      </c>
      <c r="W741" s="1">
        <v>160.74</v>
      </c>
      <c r="X741" s="1" t="s">
        <v>35</v>
      </c>
      <c r="Y741" s="1">
        <v>160740.0</v>
      </c>
      <c r="Z741" s="1"/>
      <c r="AA741" s="1">
        <v>160740</v>
      </c>
      <c r="AB741" s="1"/>
      <c r="AC741" s="1" t="s">
        <v>36</v>
      </c>
      <c r="AD741" s="1" t="s">
        <v>2951</v>
      </c>
      <c r="AE741" s="1" t="s">
        <v>32</v>
      </c>
      <c r="AF741" s="1" t="s">
        <v>33</v>
      </c>
      <c r="AG741" s="1" t="s">
        <v>180</v>
      </c>
    </row>
    <row r="742" spans="1:33">
      <c r="A742" t="s">
        <v>2952</v>
      </c>
      <c r="C742" t="s">
        <v>2851</v>
      </c>
      <c r="E742" t="s">
        <v>2292</v>
      </c>
      <c r="F742" t="s">
        <v>2293</v>
      </c>
      <c r="G742">
        <v>465.5</v>
      </c>
      <c r="H742">
        <v>465.5</v>
      </c>
      <c r="I742" t="s">
        <v>136</v>
      </c>
      <c r="J742" t="s">
        <v>137</v>
      </c>
      <c r="K742" t="s">
        <v>31</v>
      </c>
      <c r="L742" t="s">
        <v>32</v>
      </c>
      <c r="M742" t="s">
        <v>33</v>
      </c>
      <c r="P742" s="1" t="s">
        <v>2953</v>
      </c>
      <c r="Q742" s="1" t="s">
        <v>2292</v>
      </c>
      <c r="R742" s="1" t="s">
        <v>2292</v>
      </c>
      <c r="S742" s="1"/>
      <c r="T742" s="1" t="s">
        <v>2853</v>
      </c>
      <c r="U742" s="1" t="s">
        <v>2854</v>
      </c>
      <c r="V742" s="1">
        <v>465.5</v>
      </c>
      <c r="W742" s="1">
        <v>465.5</v>
      </c>
      <c r="X742" s="1" t="s">
        <v>35</v>
      </c>
      <c r="Y742" s="1">
        <v>465500.0</v>
      </c>
      <c r="Z742" s="1"/>
      <c r="AA742" s="1">
        <v>465500</v>
      </c>
      <c r="AB742" s="1"/>
      <c r="AC742" s="1" t="s">
        <v>36</v>
      </c>
      <c r="AD742" s="1" t="s">
        <v>2940</v>
      </c>
      <c r="AE742" s="1" t="s">
        <v>32</v>
      </c>
      <c r="AF742" s="1" t="s">
        <v>33</v>
      </c>
      <c r="AG742" s="1" t="s">
        <v>137</v>
      </c>
    </row>
    <row r="743" spans="1:33">
      <c r="A743" t="s">
        <v>2954</v>
      </c>
      <c r="C743" t="s">
        <v>2955</v>
      </c>
      <c r="E743" t="s">
        <v>2292</v>
      </c>
      <c r="F743" t="s">
        <v>2293</v>
      </c>
      <c r="G743">
        <v>963.0</v>
      </c>
      <c r="H743">
        <v>963.0</v>
      </c>
      <c r="I743" t="s">
        <v>269</v>
      </c>
      <c r="J743" t="s">
        <v>270</v>
      </c>
      <c r="K743" t="s">
        <v>31</v>
      </c>
      <c r="L743" t="s">
        <v>32</v>
      </c>
      <c r="M743" t="s">
        <v>33</v>
      </c>
      <c r="P743" s="1" t="s">
        <v>2956</v>
      </c>
      <c r="Q743" s="1" t="s">
        <v>2292</v>
      </c>
      <c r="R743" s="1" t="s">
        <v>2292</v>
      </c>
      <c r="S743" s="1"/>
      <c r="T743" s="1" t="s">
        <v>2955</v>
      </c>
      <c r="U743" s="1"/>
      <c r="V743" s="1">
        <v>963.0</v>
      </c>
      <c r="W743" s="1">
        <v>963.0</v>
      </c>
      <c r="X743" s="1" t="s">
        <v>35</v>
      </c>
      <c r="Y743" s="1">
        <v>963000.0</v>
      </c>
      <c r="Z743" s="1"/>
      <c r="AA743" s="1">
        <v>963000</v>
      </c>
      <c r="AB743" s="1"/>
      <c r="AC743" s="1" t="s">
        <v>36</v>
      </c>
      <c r="AD743" s="1" t="s">
        <v>2957</v>
      </c>
      <c r="AE743" s="1" t="s">
        <v>32</v>
      </c>
      <c r="AF743" s="1" t="s">
        <v>33</v>
      </c>
      <c r="AG743" s="1" t="s">
        <v>270</v>
      </c>
    </row>
    <row r="744" spans="1:33">
      <c r="A744" t="s">
        <v>2958</v>
      </c>
      <c r="B744" t="s">
        <v>2959</v>
      </c>
      <c r="C744" t="s">
        <v>314</v>
      </c>
      <c r="E744" t="s">
        <v>2292</v>
      </c>
      <c r="F744" t="s">
        <v>2293</v>
      </c>
      <c r="G744">
        <v>149.96</v>
      </c>
      <c r="H744">
        <v>149.96</v>
      </c>
      <c r="I744" t="s">
        <v>179</v>
      </c>
      <c r="J744" t="s">
        <v>180</v>
      </c>
      <c r="K744" t="s">
        <v>31</v>
      </c>
      <c r="L744" t="s">
        <v>32</v>
      </c>
      <c r="M744" t="s">
        <v>33</v>
      </c>
      <c r="P744" s="1" t="s">
        <v>2960</v>
      </c>
      <c r="Q744" s="1" t="s">
        <v>2292</v>
      </c>
      <c r="R744" s="1" t="s">
        <v>2292</v>
      </c>
      <c r="S744" s="1"/>
      <c r="T744" s="1" t="s">
        <v>314</v>
      </c>
      <c r="U744" s="1"/>
      <c r="V744" s="1">
        <v>149.96</v>
      </c>
      <c r="W744" s="1">
        <v>149.96</v>
      </c>
      <c r="X744" s="1" t="s">
        <v>35</v>
      </c>
      <c r="Y744" s="1">
        <v>149960.0</v>
      </c>
      <c r="Z744" s="1"/>
      <c r="AA744" s="1">
        <v>149960</v>
      </c>
      <c r="AB744" s="1"/>
      <c r="AC744" s="1" t="s">
        <v>36</v>
      </c>
      <c r="AD744" s="1" t="s">
        <v>2961</v>
      </c>
      <c r="AE744" s="1" t="s">
        <v>32</v>
      </c>
      <c r="AF744" s="1" t="s">
        <v>33</v>
      </c>
      <c r="AG744" s="1" t="s">
        <v>180</v>
      </c>
    </row>
    <row r="745" spans="1:33">
      <c r="A745" t="s">
        <v>2962</v>
      </c>
      <c r="C745" t="s">
        <v>793</v>
      </c>
      <c r="E745" t="s">
        <v>2292</v>
      </c>
      <c r="F745" t="s">
        <v>2293</v>
      </c>
      <c r="G745">
        <v>492.0</v>
      </c>
      <c r="H745">
        <v>492.0</v>
      </c>
      <c r="I745" t="s">
        <v>136</v>
      </c>
      <c r="J745" t="s">
        <v>137</v>
      </c>
      <c r="K745" t="s">
        <v>31</v>
      </c>
      <c r="L745" t="s">
        <v>32</v>
      </c>
      <c r="M745" t="s">
        <v>33</v>
      </c>
      <c r="P745" s="1" t="s">
        <v>2963</v>
      </c>
      <c r="Q745" s="1" t="s">
        <v>2292</v>
      </c>
      <c r="R745" s="1" t="s">
        <v>2292</v>
      </c>
      <c r="S745" s="1"/>
      <c r="T745" s="1" t="s">
        <v>793</v>
      </c>
      <c r="U745" s="1"/>
      <c r="V745" s="1">
        <v>492.0</v>
      </c>
      <c r="W745" s="1">
        <v>492.0</v>
      </c>
      <c r="X745" s="1" t="s">
        <v>35</v>
      </c>
      <c r="Y745" s="1">
        <v>492000.0</v>
      </c>
      <c r="Z745" s="1"/>
      <c r="AA745" s="1">
        <v>492000</v>
      </c>
      <c r="AB745" s="1"/>
      <c r="AC745" s="1" t="s">
        <v>36</v>
      </c>
      <c r="AD745" s="1" t="s">
        <v>2964</v>
      </c>
      <c r="AE745" s="1" t="s">
        <v>32</v>
      </c>
      <c r="AF745" s="1" t="s">
        <v>33</v>
      </c>
      <c r="AG745" s="1" t="s">
        <v>137</v>
      </c>
    </row>
    <row r="746" spans="1:33">
      <c r="A746" t="s">
        <v>2965</v>
      </c>
      <c r="C746" t="s">
        <v>93</v>
      </c>
      <c r="E746" t="s">
        <v>2292</v>
      </c>
      <c r="F746" t="s">
        <v>2293</v>
      </c>
      <c r="G746">
        <v>790.0</v>
      </c>
      <c r="H746">
        <v>790.0</v>
      </c>
      <c r="I746" t="s">
        <v>94</v>
      </c>
      <c r="J746" t="s">
        <v>95</v>
      </c>
      <c r="K746" t="s">
        <v>31</v>
      </c>
      <c r="L746" t="s">
        <v>32</v>
      </c>
      <c r="M746" t="s">
        <v>33</v>
      </c>
      <c r="P746" s="1" t="s">
        <v>2966</v>
      </c>
      <c r="Q746" s="1" t="s">
        <v>2292</v>
      </c>
      <c r="R746" s="1" t="s">
        <v>2292</v>
      </c>
      <c r="S746" s="1"/>
      <c r="T746" s="1" t="s">
        <v>93</v>
      </c>
      <c r="U746" s="1"/>
      <c r="V746" s="1">
        <v>790.0</v>
      </c>
      <c r="W746" s="1">
        <v>790.0</v>
      </c>
      <c r="X746" s="1" t="s">
        <v>35</v>
      </c>
      <c r="Y746" s="1">
        <v>790000.0</v>
      </c>
      <c r="Z746" s="1"/>
      <c r="AA746" s="1">
        <v>790000</v>
      </c>
      <c r="AB746" s="1"/>
      <c r="AC746" s="1" t="s">
        <v>36</v>
      </c>
      <c r="AD746" s="1" t="s">
        <v>2967</v>
      </c>
      <c r="AE746" s="1" t="s">
        <v>32</v>
      </c>
      <c r="AF746" s="1" t="s">
        <v>33</v>
      </c>
      <c r="AG746" s="1" t="s">
        <v>95</v>
      </c>
    </row>
    <row r="747" spans="1:33">
      <c r="A747" t="s">
        <v>2968</v>
      </c>
      <c r="B747" t="s">
        <v>2969</v>
      </c>
      <c r="C747" t="s">
        <v>125</v>
      </c>
      <c r="E747" t="s">
        <v>2292</v>
      </c>
      <c r="F747" t="s">
        <v>2293</v>
      </c>
      <c r="G747">
        <v>33.98</v>
      </c>
      <c r="H747">
        <v>33.98</v>
      </c>
      <c r="I747" t="s">
        <v>126</v>
      </c>
      <c r="J747" t="s">
        <v>127</v>
      </c>
      <c r="K747" t="s">
        <v>31</v>
      </c>
      <c r="L747" t="s">
        <v>32</v>
      </c>
      <c r="M747" t="s">
        <v>33</v>
      </c>
      <c r="P747" s="1" t="s">
        <v>2970</v>
      </c>
      <c r="Q747" s="1" t="s">
        <v>2292</v>
      </c>
      <c r="R747" s="1" t="s">
        <v>2292</v>
      </c>
      <c r="S747" s="1"/>
      <c r="T747" s="1" t="s">
        <v>125</v>
      </c>
      <c r="U747" s="1"/>
      <c r="V747" s="1">
        <v>33.98</v>
      </c>
      <c r="W747" s="1">
        <v>33.98</v>
      </c>
      <c r="X747" s="1" t="s">
        <v>35</v>
      </c>
      <c r="Y747" s="1">
        <v>33980.0</v>
      </c>
      <c r="Z747" s="1"/>
      <c r="AA747" s="1">
        <v>33980</v>
      </c>
      <c r="AB747" s="1"/>
      <c r="AC747" s="1" t="s">
        <v>36</v>
      </c>
      <c r="AD747" s="1" t="s">
        <v>2971</v>
      </c>
      <c r="AE747" s="1" t="s">
        <v>32</v>
      </c>
      <c r="AF747" s="1" t="s">
        <v>33</v>
      </c>
      <c r="AG747" s="1" t="s">
        <v>127</v>
      </c>
    </row>
    <row r="748" spans="1:33">
      <c r="A748" t="s">
        <v>2972</v>
      </c>
      <c r="B748" t="s">
        <v>2973</v>
      </c>
      <c r="C748" t="s">
        <v>125</v>
      </c>
      <c r="E748" t="s">
        <v>2292</v>
      </c>
      <c r="F748" t="s">
        <v>2293</v>
      </c>
      <c r="G748">
        <v>16.99</v>
      </c>
      <c r="H748">
        <v>16.99</v>
      </c>
      <c r="I748" t="s">
        <v>126</v>
      </c>
      <c r="J748" t="s">
        <v>127</v>
      </c>
      <c r="K748" t="s">
        <v>31</v>
      </c>
      <c r="L748" t="s">
        <v>32</v>
      </c>
      <c r="M748" t="s">
        <v>33</v>
      </c>
      <c r="P748" s="1" t="s">
        <v>2974</v>
      </c>
      <c r="Q748" s="1" t="s">
        <v>2292</v>
      </c>
      <c r="R748" s="1" t="s">
        <v>2292</v>
      </c>
      <c r="S748" s="1"/>
      <c r="T748" s="1" t="s">
        <v>125</v>
      </c>
      <c r="U748" s="1"/>
      <c r="V748" s="1">
        <v>16.99</v>
      </c>
      <c r="W748" s="1">
        <v>16.99</v>
      </c>
      <c r="X748" s="1" t="s">
        <v>35</v>
      </c>
      <c r="Y748" s="1">
        <v>16990.0</v>
      </c>
      <c r="Z748" s="1"/>
      <c r="AA748" s="1">
        <v>16990</v>
      </c>
      <c r="AB748" s="1"/>
      <c r="AC748" s="1" t="s">
        <v>36</v>
      </c>
      <c r="AD748" s="1" t="s">
        <v>2971</v>
      </c>
      <c r="AE748" s="1" t="s">
        <v>32</v>
      </c>
      <c r="AF748" s="1" t="s">
        <v>33</v>
      </c>
      <c r="AG748" s="1" t="s">
        <v>127</v>
      </c>
    </row>
    <row r="749" spans="1:33">
      <c r="A749" t="s">
        <v>2975</v>
      </c>
      <c r="B749" t="s">
        <v>2976</v>
      </c>
      <c r="C749" t="s">
        <v>73</v>
      </c>
      <c r="E749" t="s">
        <v>2292</v>
      </c>
      <c r="F749" t="s">
        <v>2293</v>
      </c>
      <c r="G749">
        <v>4.39</v>
      </c>
      <c r="H749">
        <v>4.39</v>
      </c>
      <c r="I749" t="s">
        <v>40</v>
      </c>
      <c r="J749" t="s">
        <v>41</v>
      </c>
      <c r="K749" t="s">
        <v>31</v>
      </c>
      <c r="L749" t="s">
        <v>32</v>
      </c>
      <c r="M749" t="s">
        <v>33</v>
      </c>
      <c r="P749" s="1" t="s">
        <v>2977</v>
      </c>
      <c r="Q749" s="1" t="s">
        <v>2292</v>
      </c>
      <c r="R749" s="1" t="s">
        <v>1562</v>
      </c>
      <c r="S749" s="1"/>
      <c r="T749" s="1" t="s">
        <v>75</v>
      </c>
      <c r="U749" s="1" t="s">
        <v>76</v>
      </c>
      <c r="V749" s="1">
        <v>4.39</v>
      </c>
      <c r="W749" s="1">
        <v>4.39</v>
      </c>
      <c r="X749" s="1" t="s">
        <v>35</v>
      </c>
      <c r="Y749" s="1">
        <v>4390.0</v>
      </c>
      <c r="Z749" s="1"/>
      <c r="AA749" s="1">
        <v>4390</v>
      </c>
      <c r="AB749" s="1"/>
      <c r="AC749" s="1" t="s">
        <v>36</v>
      </c>
      <c r="AD749" s="1" t="s">
        <v>2978</v>
      </c>
      <c r="AE749" s="1" t="s">
        <v>32</v>
      </c>
      <c r="AF749" s="1" t="s">
        <v>33</v>
      </c>
      <c r="AG749" s="1" t="s">
        <v>41</v>
      </c>
    </row>
    <row r="750" spans="1:33">
      <c r="A750" t="s">
        <v>2979</v>
      </c>
      <c r="B750" t="s">
        <v>2980</v>
      </c>
      <c r="C750" t="s">
        <v>47</v>
      </c>
      <c r="E750" t="s">
        <v>2292</v>
      </c>
      <c r="F750" t="s">
        <v>2293</v>
      </c>
      <c r="G750">
        <v>17.79</v>
      </c>
      <c r="H750">
        <v>17.79</v>
      </c>
      <c r="I750" t="s">
        <v>48</v>
      </c>
      <c r="J750" t="s">
        <v>49</v>
      </c>
      <c r="K750" t="s">
        <v>31</v>
      </c>
      <c r="L750" t="s">
        <v>32</v>
      </c>
      <c r="M750" t="s">
        <v>33</v>
      </c>
      <c r="P750" s="1" t="s">
        <v>2981</v>
      </c>
      <c r="Q750" s="1" t="s">
        <v>2292</v>
      </c>
      <c r="R750" s="1" t="s">
        <v>2292</v>
      </c>
      <c r="S750" s="1"/>
      <c r="T750" s="1" t="s">
        <v>47</v>
      </c>
      <c r="U750" s="1"/>
      <c r="V750" s="1">
        <v>17.79</v>
      </c>
      <c r="W750" s="1">
        <v>17.79</v>
      </c>
      <c r="X750" s="1" t="s">
        <v>35</v>
      </c>
      <c r="Y750" s="1">
        <v>17790.0</v>
      </c>
      <c r="Z750" s="1"/>
      <c r="AA750" s="1">
        <v>17790</v>
      </c>
      <c r="AB750" s="1"/>
      <c r="AC750" s="1" t="s">
        <v>36</v>
      </c>
      <c r="AD750" s="1" t="s">
        <v>2971</v>
      </c>
      <c r="AE750" s="1" t="s">
        <v>32</v>
      </c>
      <c r="AF750" s="1" t="s">
        <v>33</v>
      </c>
      <c r="AG750" s="1" t="s">
        <v>49</v>
      </c>
    </row>
    <row r="751" spans="1:33">
      <c r="A751" t="s">
        <v>2982</v>
      </c>
      <c r="B751" t="s">
        <v>2983</v>
      </c>
      <c r="C751" t="s">
        <v>314</v>
      </c>
      <c r="E751" t="s">
        <v>2984</v>
      </c>
      <c r="F751" t="s">
        <v>2985</v>
      </c>
      <c r="G751">
        <v>37.49</v>
      </c>
      <c r="H751">
        <v>37.49</v>
      </c>
      <c r="I751" t="s">
        <v>179</v>
      </c>
      <c r="J751" t="s">
        <v>180</v>
      </c>
      <c r="K751" t="s">
        <v>31</v>
      </c>
      <c r="L751" t="s">
        <v>32</v>
      </c>
      <c r="M751" t="s">
        <v>33</v>
      </c>
      <c r="P751" s="1" t="s">
        <v>2986</v>
      </c>
      <c r="Q751" s="1" t="s">
        <v>2292</v>
      </c>
      <c r="R751" s="1" t="s">
        <v>2292</v>
      </c>
      <c r="S751" s="1"/>
      <c r="T751" s="1" t="s">
        <v>314</v>
      </c>
      <c r="U751" s="1"/>
      <c r="V751" s="1">
        <v>37.49</v>
      </c>
      <c r="W751" s="1">
        <v>37.49</v>
      </c>
      <c r="X751" s="1" t="s">
        <v>35</v>
      </c>
      <c r="Y751" s="1">
        <v>37490.0</v>
      </c>
      <c r="Z751" s="1"/>
      <c r="AA751" s="1">
        <v>37490</v>
      </c>
      <c r="AB751" s="1"/>
      <c r="AC751" s="1" t="s">
        <v>36</v>
      </c>
      <c r="AD751" s="1" t="s">
        <v>2987</v>
      </c>
      <c r="AE751" s="1" t="s">
        <v>32</v>
      </c>
      <c r="AF751" s="1" t="s">
        <v>33</v>
      </c>
      <c r="AG751" s="1" t="s">
        <v>180</v>
      </c>
    </row>
    <row r="752" spans="1:33">
      <c r="A752" t="s">
        <v>2988</v>
      </c>
      <c r="C752" t="s">
        <v>2989</v>
      </c>
      <c r="E752" t="s">
        <v>2292</v>
      </c>
      <c r="F752" t="s">
        <v>2293</v>
      </c>
      <c r="G752">
        <v>63.0</v>
      </c>
      <c r="H752">
        <v>63.0</v>
      </c>
      <c r="I752" t="s">
        <v>136</v>
      </c>
      <c r="J752" t="s">
        <v>137</v>
      </c>
      <c r="K752" t="s">
        <v>31</v>
      </c>
      <c r="L752" t="s">
        <v>32</v>
      </c>
      <c r="M752" t="s">
        <v>33</v>
      </c>
      <c r="P752" s="1" t="s">
        <v>2990</v>
      </c>
      <c r="Q752" s="1" t="s">
        <v>2292</v>
      </c>
      <c r="R752" s="1" t="s">
        <v>2292</v>
      </c>
      <c r="S752" s="1"/>
      <c r="T752" s="1" t="s">
        <v>2991</v>
      </c>
      <c r="U752" s="1" t="s">
        <v>2992</v>
      </c>
      <c r="V752" s="1">
        <v>63.0</v>
      </c>
      <c r="W752" s="1">
        <v>63.0</v>
      </c>
      <c r="X752" s="1" t="s">
        <v>35</v>
      </c>
      <c r="Y752" s="1">
        <v>63000.0</v>
      </c>
      <c r="Z752" s="1"/>
      <c r="AA752" s="1">
        <v>63000</v>
      </c>
      <c r="AB752" s="1"/>
      <c r="AC752" s="1" t="s">
        <v>36</v>
      </c>
      <c r="AD752" s="1" t="s">
        <v>2993</v>
      </c>
      <c r="AE752" s="1" t="s">
        <v>32</v>
      </c>
      <c r="AF752" s="1" t="s">
        <v>33</v>
      </c>
      <c r="AG752" s="1" t="s">
        <v>137</v>
      </c>
    </row>
    <row r="753" spans="1:33">
      <c r="A753" t="s">
        <v>2994</v>
      </c>
      <c r="C753" t="s">
        <v>2995</v>
      </c>
      <c r="E753" t="s">
        <v>2292</v>
      </c>
      <c r="F753" t="s">
        <v>2293</v>
      </c>
      <c r="G753">
        <v>29.5</v>
      </c>
      <c r="H753">
        <v>29.5</v>
      </c>
      <c r="I753" t="s">
        <v>269</v>
      </c>
      <c r="J753" t="s">
        <v>270</v>
      </c>
      <c r="K753" t="s">
        <v>31</v>
      </c>
      <c r="L753" t="s">
        <v>32</v>
      </c>
      <c r="M753" t="s">
        <v>33</v>
      </c>
      <c r="P753" s="1" t="s">
        <v>2996</v>
      </c>
      <c r="Q753" s="1" t="s">
        <v>2292</v>
      </c>
      <c r="R753" s="1" t="s">
        <v>2292</v>
      </c>
      <c r="S753" s="1"/>
      <c r="T753" s="1" t="s">
        <v>2995</v>
      </c>
      <c r="U753" s="1"/>
      <c r="V753" s="1">
        <v>29.5</v>
      </c>
      <c r="W753" s="1">
        <v>29.5</v>
      </c>
      <c r="X753" s="1" t="s">
        <v>35</v>
      </c>
      <c r="Y753" s="1">
        <v>29500.0</v>
      </c>
      <c r="Z753" s="1"/>
      <c r="AA753" s="1">
        <v>29500</v>
      </c>
      <c r="AB753" s="1"/>
      <c r="AC753" s="1" t="s">
        <v>36</v>
      </c>
      <c r="AD753" s="1" t="s">
        <v>2997</v>
      </c>
      <c r="AE753" s="1" t="s">
        <v>32</v>
      </c>
      <c r="AF753" s="1" t="s">
        <v>33</v>
      </c>
      <c r="AG753" s="1" t="s">
        <v>270</v>
      </c>
    </row>
    <row r="754" spans="1:33">
      <c r="A754" t="s">
        <v>2998</v>
      </c>
      <c r="B754" t="s">
        <v>2999</v>
      </c>
      <c r="C754" t="s">
        <v>268</v>
      </c>
      <c r="E754" t="s">
        <v>2292</v>
      </c>
      <c r="F754" t="s">
        <v>2293</v>
      </c>
      <c r="G754">
        <v>49.75</v>
      </c>
      <c r="H754">
        <v>49.75</v>
      </c>
      <c r="I754" t="s">
        <v>269</v>
      </c>
      <c r="J754" t="s">
        <v>270</v>
      </c>
      <c r="K754" t="s">
        <v>31</v>
      </c>
      <c r="L754" t="s">
        <v>32</v>
      </c>
      <c r="M754" t="s">
        <v>33</v>
      </c>
      <c r="P754" s="1" t="s">
        <v>3000</v>
      </c>
      <c r="Q754" s="1" t="s">
        <v>2292</v>
      </c>
      <c r="R754" s="1" t="s">
        <v>2292</v>
      </c>
      <c r="S754" s="1"/>
      <c r="T754" s="1" t="s">
        <v>268</v>
      </c>
      <c r="U754" s="1"/>
      <c r="V754" s="1">
        <v>49.75</v>
      </c>
      <c r="W754" s="1">
        <v>49.75</v>
      </c>
      <c r="X754" s="1" t="s">
        <v>35</v>
      </c>
      <c r="Y754" s="1">
        <v>49750.0</v>
      </c>
      <c r="Z754" s="1"/>
      <c r="AA754" s="1">
        <v>49750</v>
      </c>
      <c r="AB754" s="1"/>
      <c r="AC754" s="1" t="s">
        <v>36</v>
      </c>
      <c r="AD754" s="1" t="s">
        <v>3001</v>
      </c>
      <c r="AE754" s="1" t="s">
        <v>32</v>
      </c>
      <c r="AF754" s="1" t="s">
        <v>33</v>
      </c>
      <c r="AG754" s="1" t="s">
        <v>270</v>
      </c>
    </row>
    <row r="755" spans="1:33">
      <c r="A755" t="s">
        <v>3002</v>
      </c>
      <c r="C755" t="s">
        <v>558</v>
      </c>
      <c r="D755" t="s">
        <v>154</v>
      </c>
      <c r="E755" t="s">
        <v>2292</v>
      </c>
      <c r="F755" t="s">
        <v>2293</v>
      </c>
      <c r="G755">
        <v>571.0</v>
      </c>
      <c r="H755">
        <v>571.0</v>
      </c>
      <c r="I755" t="s">
        <v>269</v>
      </c>
      <c r="J755" t="s">
        <v>270</v>
      </c>
      <c r="K755" t="s">
        <v>31</v>
      </c>
      <c r="L755" t="s">
        <v>32</v>
      </c>
      <c r="M755" t="s">
        <v>33</v>
      </c>
      <c r="P755" s="1" t="s">
        <v>3003</v>
      </c>
      <c r="Q755" s="1" t="s">
        <v>2292</v>
      </c>
      <c r="R755" s="1" t="s">
        <v>2292</v>
      </c>
      <c r="S755" s="1"/>
      <c r="T755" s="1" t="s">
        <v>560</v>
      </c>
      <c r="U755" s="1" t="s">
        <v>561</v>
      </c>
      <c r="V755" s="1">
        <v>571.0</v>
      </c>
      <c r="W755" s="1">
        <v>571.0</v>
      </c>
      <c r="X755" s="1" t="s">
        <v>35</v>
      </c>
      <c r="Y755" s="1">
        <v>571000.0</v>
      </c>
      <c r="Z755" s="1"/>
      <c r="AA755" s="1">
        <v>571000</v>
      </c>
      <c r="AB755" s="1"/>
      <c r="AC755" s="1" t="s">
        <v>36</v>
      </c>
      <c r="AD755" s="1" t="s">
        <v>2971</v>
      </c>
      <c r="AE755" s="1" t="s">
        <v>32</v>
      </c>
      <c r="AF755" s="1" t="s">
        <v>33</v>
      </c>
      <c r="AG755" s="1" t="s">
        <v>270</v>
      </c>
    </row>
    <row r="756" spans="1:33">
      <c r="A756" t="s">
        <v>3004</v>
      </c>
      <c r="C756" t="s">
        <v>3005</v>
      </c>
      <c r="E756" t="s">
        <v>2292</v>
      </c>
      <c r="F756" t="s">
        <v>2293</v>
      </c>
      <c r="G756">
        <v>820.0</v>
      </c>
      <c r="H756">
        <v>820.0</v>
      </c>
      <c r="I756" t="s">
        <v>269</v>
      </c>
      <c r="J756" t="s">
        <v>270</v>
      </c>
      <c r="K756" t="s">
        <v>31</v>
      </c>
      <c r="L756" t="s">
        <v>32</v>
      </c>
      <c r="M756" t="s">
        <v>33</v>
      </c>
      <c r="P756" s="1" t="s">
        <v>3006</v>
      </c>
      <c r="Q756" s="1" t="s">
        <v>2292</v>
      </c>
      <c r="R756" s="1" t="s">
        <v>2292</v>
      </c>
      <c r="S756" s="1"/>
      <c r="T756" s="1" t="s">
        <v>3005</v>
      </c>
      <c r="U756" s="1"/>
      <c r="V756" s="1">
        <v>820.0</v>
      </c>
      <c r="W756" s="1">
        <v>820.0</v>
      </c>
      <c r="X756" s="1" t="s">
        <v>35</v>
      </c>
      <c r="Y756" s="1">
        <v>820000.0</v>
      </c>
      <c r="Z756" s="1"/>
      <c r="AA756" s="1">
        <v>820000</v>
      </c>
      <c r="AB756" s="1"/>
      <c r="AC756" s="1" t="s">
        <v>36</v>
      </c>
      <c r="AD756" s="1" t="s">
        <v>3007</v>
      </c>
      <c r="AE756" s="1" t="s">
        <v>32</v>
      </c>
      <c r="AF756" s="1" t="s">
        <v>33</v>
      </c>
      <c r="AG756" s="1" t="s">
        <v>270</v>
      </c>
    </row>
    <row r="757" spans="1:33">
      <c r="A757" t="s">
        <v>3008</v>
      </c>
      <c r="C757" t="s">
        <v>1087</v>
      </c>
      <c r="E757" t="s">
        <v>2292</v>
      </c>
      <c r="F757" t="s">
        <v>2293</v>
      </c>
      <c r="G757">
        <v>328.0</v>
      </c>
      <c r="H757">
        <v>328.0</v>
      </c>
      <c r="I757" t="s">
        <v>269</v>
      </c>
      <c r="J757" t="s">
        <v>270</v>
      </c>
      <c r="K757" t="s">
        <v>31</v>
      </c>
      <c r="L757" t="s">
        <v>32</v>
      </c>
      <c r="M757" t="s">
        <v>33</v>
      </c>
      <c r="P757" s="1" t="s">
        <v>3009</v>
      </c>
      <c r="Q757" s="1" t="s">
        <v>2292</v>
      </c>
      <c r="R757" s="1" t="s">
        <v>2292</v>
      </c>
      <c r="S757" s="1"/>
      <c r="T757" s="1" t="s">
        <v>1087</v>
      </c>
      <c r="U757" s="1"/>
      <c r="V757" s="1">
        <v>328.0</v>
      </c>
      <c r="W757" s="1">
        <v>328.0</v>
      </c>
      <c r="X757" s="1" t="s">
        <v>35</v>
      </c>
      <c r="Y757" s="1">
        <v>328000.0</v>
      </c>
      <c r="Z757" s="1"/>
      <c r="AA757" s="1">
        <v>328000</v>
      </c>
      <c r="AB757" s="1"/>
      <c r="AC757" s="1" t="s">
        <v>36</v>
      </c>
      <c r="AD757" s="1" t="s">
        <v>2987</v>
      </c>
      <c r="AE757" s="1" t="s">
        <v>32</v>
      </c>
      <c r="AF757" s="1" t="s">
        <v>33</v>
      </c>
      <c r="AG757" s="1" t="s">
        <v>270</v>
      </c>
    </row>
    <row r="758" spans="1:33">
      <c r="A758" t="s">
        <v>3010</v>
      </c>
      <c r="C758" t="s">
        <v>1739</v>
      </c>
      <c r="E758" t="s">
        <v>2292</v>
      </c>
      <c r="F758" t="s">
        <v>2293</v>
      </c>
      <c r="G758">
        <v>19.75</v>
      </c>
      <c r="H758">
        <v>19.75</v>
      </c>
      <c r="I758" t="s">
        <v>48</v>
      </c>
      <c r="J758" t="s">
        <v>49</v>
      </c>
      <c r="K758" t="s">
        <v>31</v>
      </c>
      <c r="L758" t="s">
        <v>32</v>
      </c>
      <c r="M758" t="s">
        <v>33</v>
      </c>
      <c r="P758" s="1" t="s">
        <v>3011</v>
      </c>
      <c r="Q758" s="1" t="s">
        <v>2292</v>
      </c>
      <c r="R758" s="1" t="s">
        <v>2292</v>
      </c>
      <c r="S758" s="1"/>
      <c r="T758" s="1" t="s">
        <v>1739</v>
      </c>
      <c r="U758" s="1"/>
      <c r="V758" s="1">
        <v>19.75</v>
      </c>
      <c r="W758" s="1">
        <v>19.75</v>
      </c>
      <c r="X758" s="1" t="s">
        <v>35</v>
      </c>
      <c r="Y758" s="1">
        <v>19750.0</v>
      </c>
      <c r="Z758" s="1"/>
      <c r="AA758" s="1">
        <v>19750</v>
      </c>
      <c r="AB758" s="1"/>
      <c r="AC758" s="1" t="s">
        <v>36</v>
      </c>
      <c r="AD758" s="1" t="s">
        <v>3012</v>
      </c>
      <c r="AE758" s="1" t="s">
        <v>32</v>
      </c>
      <c r="AF758" s="1" t="s">
        <v>33</v>
      </c>
      <c r="AG758" s="1" t="s">
        <v>49</v>
      </c>
    </row>
    <row r="759" spans="1:33">
      <c r="A759" t="s">
        <v>3013</v>
      </c>
      <c r="B759" t="s">
        <v>1439</v>
      </c>
      <c r="C759" t="s">
        <v>125</v>
      </c>
      <c r="E759" t="s">
        <v>2292</v>
      </c>
      <c r="F759" t="s">
        <v>2293</v>
      </c>
      <c r="G759">
        <v>3.7</v>
      </c>
      <c r="H759">
        <v>3.7</v>
      </c>
      <c r="I759" t="s">
        <v>126</v>
      </c>
      <c r="J759" t="s">
        <v>127</v>
      </c>
      <c r="K759" t="s">
        <v>31</v>
      </c>
      <c r="L759" t="s">
        <v>32</v>
      </c>
      <c r="M759" t="s">
        <v>33</v>
      </c>
      <c r="P759" s="1" t="s">
        <v>3014</v>
      </c>
      <c r="Q759" s="1" t="s">
        <v>2292</v>
      </c>
      <c r="R759" s="1" t="s">
        <v>2292</v>
      </c>
      <c r="S759" s="1"/>
      <c r="T759" s="1" t="s">
        <v>125</v>
      </c>
      <c r="U759" s="1"/>
      <c r="V759" s="1">
        <v>3.7</v>
      </c>
      <c r="W759" s="1">
        <v>3.7</v>
      </c>
      <c r="X759" s="1" t="s">
        <v>35</v>
      </c>
      <c r="Y759" s="1">
        <v>3700.0</v>
      </c>
      <c r="Z759" s="1"/>
      <c r="AA759" s="1">
        <v>3700</v>
      </c>
      <c r="AB759" s="1"/>
      <c r="AC759" s="1" t="s">
        <v>36</v>
      </c>
      <c r="AD759" s="1" t="s">
        <v>2993</v>
      </c>
      <c r="AE759" s="1" t="s">
        <v>32</v>
      </c>
      <c r="AF759" s="1" t="s">
        <v>33</v>
      </c>
      <c r="AG759" s="1" t="s">
        <v>127</v>
      </c>
    </row>
    <row r="760" spans="1:33">
      <c r="A760" t="s">
        <v>3015</v>
      </c>
      <c r="B760" t="s">
        <v>3016</v>
      </c>
      <c r="C760" t="s">
        <v>47</v>
      </c>
      <c r="E760" t="s">
        <v>2292</v>
      </c>
      <c r="F760" t="s">
        <v>2293</v>
      </c>
      <c r="G760">
        <v>121.47</v>
      </c>
      <c r="H760">
        <v>121.47</v>
      </c>
      <c r="I760" t="s">
        <v>48</v>
      </c>
      <c r="J760" t="s">
        <v>49</v>
      </c>
      <c r="K760" t="s">
        <v>31</v>
      </c>
      <c r="L760" t="s">
        <v>32</v>
      </c>
      <c r="M760" t="s">
        <v>33</v>
      </c>
      <c r="P760" s="1" t="s">
        <v>3017</v>
      </c>
      <c r="Q760" s="1" t="s">
        <v>2292</v>
      </c>
      <c r="R760" s="1" t="s">
        <v>2292</v>
      </c>
      <c r="S760" s="1"/>
      <c r="T760" s="1" t="s">
        <v>47</v>
      </c>
      <c r="U760" s="1"/>
      <c r="V760" s="1">
        <v>121.47</v>
      </c>
      <c r="W760" s="1">
        <v>121.47</v>
      </c>
      <c r="X760" s="1" t="s">
        <v>35</v>
      </c>
      <c r="Y760" s="1">
        <v>121470.0</v>
      </c>
      <c r="Z760" s="1"/>
      <c r="AA760" s="1">
        <v>121470</v>
      </c>
      <c r="AB760" s="1"/>
      <c r="AC760" s="1" t="s">
        <v>36</v>
      </c>
      <c r="AD760" s="1" t="s">
        <v>3018</v>
      </c>
      <c r="AE760" s="1" t="s">
        <v>32</v>
      </c>
      <c r="AF760" s="1" t="s">
        <v>33</v>
      </c>
      <c r="AG760" s="1" t="s">
        <v>49</v>
      </c>
    </row>
    <row r="761" spans="1:33">
      <c r="A761" t="s">
        <v>3019</v>
      </c>
      <c r="C761" t="s">
        <v>1732</v>
      </c>
      <c r="E761" t="s">
        <v>2292</v>
      </c>
      <c r="F761" t="s">
        <v>2293</v>
      </c>
      <c r="G761">
        <v>900.0</v>
      </c>
      <c r="H761">
        <v>900.0</v>
      </c>
      <c r="I761" t="s">
        <v>94</v>
      </c>
      <c r="J761" t="s">
        <v>95</v>
      </c>
      <c r="K761" t="s">
        <v>31</v>
      </c>
      <c r="L761" t="s">
        <v>32</v>
      </c>
      <c r="M761" t="s">
        <v>33</v>
      </c>
      <c r="P761" s="1" t="s">
        <v>3020</v>
      </c>
      <c r="Q761" s="1" t="s">
        <v>2292</v>
      </c>
      <c r="R761" s="1" t="s">
        <v>2292</v>
      </c>
      <c r="S761" s="1"/>
      <c r="T761" s="1" t="s">
        <v>1732</v>
      </c>
      <c r="U761" s="1"/>
      <c r="V761" s="1">
        <v>900.0</v>
      </c>
      <c r="W761" s="1">
        <v>900.0</v>
      </c>
      <c r="X761" s="1" t="s">
        <v>35</v>
      </c>
      <c r="Y761" s="1">
        <v>900000.0</v>
      </c>
      <c r="Z761" s="1"/>
      <c r="AA761" s="1">
        <v>900000</v>
      </c>
      <c r="AB761" s="1"/>
      <c r="AC761" s="1" t="s">
        <v>36</v>
      </c>
      <c r="AD761" s="1" t="s">
        <v>3007</v>
      </c>
      <c r="AE761" s="1" t="s">
        <v>32</v>
      </c>
      <c r="AF761" s="1" t="s">
        <v>33</v>
      </c>
      <c r="AG761" s="1" t="s">
        <v>95</v>
      </c>
    </row>
    <row r="762" spans="1:33">
      <c r="A762" t="s">
        <v>3021</v>
      </c>
      <c r="B762" t="s">
        <v>2973</v>
      </c>
      <c r="C762" t="s">
        <v>125</v>
      </c>
      <c r="E762" t="s">
        <v>2292</v>
      </c>
      <c r="F762" t="s">
        <v>2293</v>
      </c>
      <c r="G762">
        <v>12.447</v>
      </c>
      <c r="H762">
        <v>12.447</v>
      </c>
      <c r="I762" t="s">
        <v>126</v>
      </c>
      <c r="J762" t="s">
        <v>127</v>
      </c>
      <c r="K762" t="s">
        <v>31</v>
      </c>
      <c r="L762" t="s">
        <v>32</v>
      </c>
      <c r="M762" t="s">
        <v>33</v>
      </c>
      <c r="P762" s="1" t="s">
        <v>3022</v>
      </c>
      <c r="Q762" s="1" t="s">
        <v>2292</v>
      </c>
      <c r="R762" s="1" t="s">
        <v>2292</v>
      </c>
      <c r="S762" s="1"/>
      <c r="T762" s="1" t="s">
        <v>125</v>
      </c>
      <c r="U762" s="1"/>
      <c r="V762" s="1">
        <v>12.447</v>
      </c>
      <c r="W762" s="1">
        <v>12.447</v>
      </c>
      <c r="X762" s="1" t="s">
        <v>35</v>
      </c>
      <c r="Y762" s="1">
        <v>12447.0</v>
      </c>
      <c r="Z762" s="1"/>
      <c r="AA762" s="1">
        <v>12447</v>
      </c>
      <c r="AB762" s="1"/>
      <c r="AC762" s="1" t="s">
        <v>36</v>
      </c>
      <c r="AD762" s="1" t="s">
        <v>3018</v>
      </c>
      <c r="AE762" s="1" t="s">
        <v>32</v>
      </c>
      <c r="AF762" s="1" t="s">
        <v>33</v>
      </c>
      <c r="AG762" s="1" t="s">
        <v>127</v>
      </c>
    </row>
    <row r="763" spans="1:33">
      <c r="A763" t="s">
        <v>3023</v>
      </c>
      <c r="B763" t="s">
        <v>57</v>
      </c>
      <c r="C763" t="s">
        <v>58</v>
      </c>
      <c r="E763" t="s">
        <v>2292</v>
      </c>
      <c r="F763" t="s">
        <v>2293</v>
      </c>
      <c r="G763">
        <v>555.0</v>
      </c>
      <c r="H763">
        <v>555.0</v>
      </c>
      <c r="I763" t="s">
        <v>59</v>
      </c>
      <c r="J763" t="s">
        <v>60</v>
      </c>
      <c r="K763" t="s">
        <v>31</v>
      </c>
      <c r="L763" t="s">
        <v>32</v>
      </c>
      <c r="M763" t="s">
        <v>33</v>
      </c>
      <c r="P763" s="1" t="s">
        <v>3024</v>
      </c>
      <c r="Q763" s="1" t="s">
        <v>2292</v>
      </c>
      <c r="R763" s="1" t="s">
        <v>2292</v>
      </c>
      <c r="S763" s="1"/>
      <c r="T763" s="1" t="s">
        <v>58</v>
      </c>
      <c r="U763" s="1"/>
      <c r="V763" s="1">
        <v>555.0</v>
      </c>
      <c r="W763" s="1">
        <v>555.0</v>
      </c>
      <c r="X763" s="1" t="s">
        <v>35</v>
      </c>
      <c r="Y763" s="1">
        <v>555000.0</v>
      </c>
      <c r="Z763" s="1"/>
      <c r="AA763" s="1">
        <v>555000</v>
      </c>
      <c r="AB763" s="1"/>
      <c r="AC763" s="1" t="s">
        <v>36</v>
      </c>
      <c r="AD763" s="1" t="s">
        <v>3025</v>
      </c>
      <c r="AE763" s="1" t="s">
        <v>32</v>
      </c>
      <c r="AF763" s="1" t="s">
        <v>33</v>
      </c>
      <c r="AG763" s="1" t="s">
        <v>60</v>
      </c>
    </row>
    <row r="764" spans="1:33">
      <c r="A764" t="s">
        <v>3026</v>
      </c>
      <c r="B764" t="s">
        <v>3027</v>
      </c>
      <c r="C764" t="s">
        <v>172</v>
      </c>
      <c r="E764" t="s">
        <v>2292</v>
      </c>
      <c r="F764" t="s">
        <v>2293</v>
      </c>
      <c r="G764">
        <v>1.919</v>
      </c>
      <c r="H764">
        <v>1.919</v>
      </c>
      <c r="I764" t="s">
        <v>173</v>
      </c>
      <c r="J764" t="s">
        <v>174</v>
      </c>
      <c r="K764" t="s">
        <v>31</v>
      </c>
      <c r="L764" t="s">
        <v>32</v>
      </c>
      <c r="M764" t="s">
        <v>33</v>
      </c>
      <c r="P764" s="1" t="s">
        <v>3028</v>
      </c>
      <c r="Q764" s="1" t="s">
        <v>2292</v>
      </c>
      <c r="R764" s="1" t="s">
        <v>2292</v>
      </c>
      <c r="S764" s="1"/>
      <c r="T764" s="1" t="s">
        <v>172</v>
      </c>
      <c r="U764" s="1"/>
      <c r="V764" s="1">
        <v>1.919</v>
      </c>
      <c r="W764" s="1">
        <v>1.919</v>
      </c>
      <c r="X764" s="1" t="s">
        <v>35</v>
      </c>
      <c r="Y764" s="1">
        <v>1919.0</v>
      </c>
      <c r="Z764" s="1"/>
      <c r="AA764" s="1">
        <v>1919</v>
      </c>
      <c r="AB764" s="1"/>
      <c r="AC764" s="1" t="s">
        <v>36</v>
      </c>
      <c r="AD764" s="1" t="s">
        <v>3029</v>
      </c>
      <c r="AE764" s="1" t="s">
        <v>32</v>
      </c>
      <c r="AF764" s="1" t="s">
        <v>33</v>
      </c>
      <c r="AG764" s="1" t="s">
        <v>174</v>
      </c>
    </row>
    <row r="765" spans="1:33">
      <c r="A765" t="s">
        <v>3030</v>
      </c>
      <c r="B765" t="s">
        <v>3031</v>
      </c>
      <c r="C765" t="s">
        <v>3032</v>
      </c>
      <c r="E765" t="s">
        <v>2292</v>
      </c>
      <c r="F765" t="s">
        <v>2293</v>
      </c>
      <c r="G765">
        <v>17.243</v>
      </c>
      <c r="H765">
        <v>17.243</v>
      </c>
      <c r="I765" t="s">
        <v>59</v>
      </c>
      <c r="J765" t="s">
        <v>60</v>
      </c>
      <c r="K765" t="s">
        <v>31</v>
      </c>
      <c r="L765" t="s">
        <v>32</v>
      </c>
      <c r="M765" t="s">
        <v>33</v>
      </c>
      <c r="P765" s="1" t="s">
        <v>3033</v>
      </c>
      <c r="Q765" s="1" t="s">
        <v>2292</v>
      </c>
      <c r="R765" s="1" t="s">
        <v>2292</v>
      </c>
      <c r="S765" s="1"/>
      <c r="T765" s="1" t="s">
        <v>3032</v>
      </c>
      <c r="U765" s="1"/>
      <c r="V765" s="1">
        <v>17.243</v>
      </c>
      <c r="W765" s="1">
        <v>17.243</v>
      </c>
      <c r="X765" s="1" t="s">
        <v>35</v>
      </c>
      <c r="Y765" s="1">
        <v>17243.0</v>
      </c>
      <c r="Z765" s="1"/>
      <c r="AA765" s="1">
        <v>17243</v>
      </c>
      <c r="AB765" s="1"/>
      <c r="AC765" s="1" t="s">
        <v>36</v>
      </c>
      <c r="AD765" s="1" t="s">
        <v>3034</v>
      </c>
      <c r="AE765" s="1" t="s">
        <v>32</v>
      </c>
      <c r="AF765" s="1" t="s">
        <v>33</v>
      </c>
      <c r="AG765" s="1" t="s">
        <v>60</v>
      </c>
    </row>
    <row r="766" spans="1:33">
      <c r="A766" t="s">
        <v>3035</v>
      </c>
      <c r="B766" t="s">
        <v>3036</v>
      </c>
      <c r="C766" t="s">
        <v>73</v>
      </c>
      <c r="E766" t="s">
        <v>2292</v>
      </c>
      <c r="F766" t="s">
        <v>2293</v>
      </c>
      <c r="G766">
        <v>130.0</v>
      </c>
      <c r="H766">
        <v>130.0</v>
      </c>
      <c r="I766" t="s">
        <v>40</v>
      </c>
      <c r="J766" t="s">
        <v>41</v>
      </c>
      <c r="K766" t="s">
        <v>31</v>
      </c>
      <c r="L766" t="s">
        <v>32</v>
      </c>
      <c r="M766" t="s">
        <v>33</v>
      </c>
      <c r="P766" s="1" t="s">
        <v>3037</v>
      </c>
      <c r="Q766" s="1" t="s">
        <v>2292</v>
      </c>
      <c r="R766" s="1" t="s">
        <v>1562</v>
      </c>
      <c r="S766" s="1"/>
      <c r="T766" s="1" t="s">
        <v>75</v>
      </c>
      <c r="U766" s="1" t="s">
        <v>76</v>
      </c>
      <c r="V766" s="1">
        <v>130.0</v>
      </c>
      <c r="W766" s="1">
        <v>130.0</v>
      </c>
      <c r="X766" s="1" t="s">
        <v>35</v>
      </c>
      <c r="Y766" s="1">
        <v>130000.0</v>
      </c>
      <c r="Z766" s="1"/>
      <c r="AA766" s="1">
        <v>130000</v>
      </c>
      <c r="AB766" s="1"/>
      <c r="AC766" s="1" t="s">
        <v>36</v>
      </c>
      <c r="AD766" s="1" t="s">
        <v>3029</v>
      </c>
      <c r="AE766" s="1" t="s">
        <v>32</v>
      </c>
      <c r="AF766" s="1" t="s">
        <v>33</v>
      </c>
      <c r="AG766" s="1" t="s">
        <v>41</v>
      </c>
    </row>
    <row r="767" spans="1:33">
      <c r="A767" t="s">
        <v>3038</v>
      </c>
      <c r="B767" t="s">
        <v>3039</v>
      </c>
      <c r="C767" t="s">
        <v>68</v>
      </c>
      <c r="E767" t="s">
        <v>2292</v>
      </c>
      <c r="F767" t="s">
        <v>2293</v>
      </c>
      <c r="G767">
        <v>17.745</v>
      </c>
      <c r="H767">
        <v>17.745</v>
      </c>
      <c r="I767" t="s">
        <v>59</v>
      </c>
      <c r="J767" t="s">
        <v>60</v>
      </c>
      <c r="K767" t="s">
        <v>31</v>
      </c>
      <c r="L767" t="s">
        <v>32</v>
      </c>
      <c r="M767" t="s">
        <v>33</v>
      </c>
      <c r="P767" s="1" t="s">
        <v>3040</v>
      </c>
      <c r="Q767" s="1" t="s">
        <v>2292</v>
      </c>
      <c r="R767" s="1" t="s">
        <v>2292</v>
      </c>
      <c r="S767" s="1"/>
      <c r="T767" s="1" t="s">
        <v>68</v>
      </c>
      <c r="U767" s="1"/>
      <c r="V767" s="1">
        <v>17.745</v>
      </c>
      <c r="W767" s="1">
        <v>17.745</v>
      </c>
      <c r="X767" s="1" t="s">
        <v>35</v>
      </c>
      <c r="Y767" s="1">
        <v>17745.0</v>
      </c>
      <c r="Z767" s="1"/>
      <c r="AA767" s="1">
        <v>17745</v>
      </c>
      <c r="AB767" s="1"/>
      <c r="AC767" s="1" t="s">
        <v>36</v>
      </c>
      <c r="AD767" s="1" t="s">
        <v>3041</v>
      </c>
      <c r="AE767" s="1" t="s">
        <v>32</v>
      </c>
      <c r="AF767" s="1" t="s">
        <v>33</v>
      </c>
      <c r="AG767" s="1" t="s">
        <v>60</v>
      </c>
    </row>
    <row r="768" spans="1:33">
      <c r="A768" t="s">
        <v>3042</v>
      </c>
      <c r="B768" t="s">
        <v>3027</v>
      </c>
      <c r="C768" t="s">
        <v>172</v>
      </c>
      <c r="E768" t="s">
        <v>2292</v>
      </c>
      <c r="F768" t="s">
        <v>2293</v>
      </c>
      <c r="G768">
        <v>17.343</v>
      </c>
      <c r="H768">
        <v>17.343</v>
      </c>
      <c r="I768" t="s">
        <v>173</v>
      </c>
      <c r="J768" t="s">
        <v>174</v>
      </c>
      <c r="K768" t="s">
        <v>31</v>
      </c>
      <c r="L768" t="s">
        <v>32</v>
      </c>
      <c r="M768" t="s">
        <v>33</v>
      </c>
      <c r="P768" s="1" t="s">
        <v>3043</v>
      </c>
      <c r="Q768" s="1" t="s">
        <v>2292</v>
      </c>
      <c r="R768" s="1" t="s">
        <v>2292</v>
      </c>
      <c r="S768" s="1"/>
      <c r="T768" s="1" t="s">
        <v>172</v>
      </c>
      <c r="U768" s="1"/>
      <c r="V768" s="1">
        <v>17.343</v>
      </c>
      <c r="W768" s="1">
        <v>17.343</v>
      </c>
      <c r="X768" s="1" t="s">
        <v>35</v>
      </c>
      <c r="Y768" s="1">
        <v>17343.0</v>
      </c>
      <c r="Z768" s="1"/>
      <c r="AA768" s="1">
        <v>17343</v>
      </c>
      <c r="AB768" s="1"/>
      <c r="AC768" s="1" t="s">
        <v>36</v>
      </c>
      <c r="AD768" s="1" t="s">
        <v>3044</v>
      </c>
      <c r="AE768" s="1" t="s">
        <v>32</v>
      </c>
      <c r="AF768" s="1" t="s">
        <v>33</v>
      </c>
      <c r="AG768" s="1" t="s">
        <v>174</v>
      </c>
    </row>
    <row r="769" spans="1:33">
      <c r="A769" t="s">
        <v>3045</v>
      </c>
      <c r="B769" t="s">
        <v>3046</v>
      </c>
      <c r="C769" t="s">
        <v>131</v>
      </c>
      <c r="E769" t="s">
        <v>2292</v>
      </c>
      <c r="F769" t="s">
        <v>2293</v>
      </c>
      <c r="G769">
        <v>142.45</v>
      </c>
      <c r="H769">
        <v>142.45</v>
      </c>
      <c r="I769" t="s">
        <v>94</v>
      </c>
      <c r="J769" t="s">
        <v>95</v>
      </c>
      <c r="K769" t="s">
        <v>31</v>
      </c>
      <c r="L769" t="s">
        <v>32</v>
      </c>
      <c r="M769" t="s">
        <v>33</v>
      </c>
      <c r="P769" s="1" t="s">
        <v>3047</v>
      </c>
      <c r="Q769" s="1" t="s">
        <v>2292</v>
      </c>
      <c r="R769" s="1" t="s">
        <v>2292</v>
      </c>
      <c r="S769" s="1"/>
      <c r="T769" s="1" t="s">
        <v>131</v>
      </c>
      <c r="U769" s="1"/>
      <c r="V769" s="1">
        <v>142.45</v>
      </c>
      <c r="W769" s="1">
        <v>142.45</v>
      </c>
      <c r="X769" s="1" t="s">
        <v>35</v>
      </c>
      <c r="Y769" s="1">
        <v>142450.0</v>
      </c>
      <c r="Z769" s="1"/>
      <c r="AA769" s="1">
        <v>142450</v>
      </c>
      <c r="AB769" s="1"/>
      <c r="AC769" s="1" t="s">
        <v>36</v>
      </c>
      <c r="AD769" s="1" t="s">
        <v>3044</v>
      </c>
      <c r="AE769" s="1" t="s">
        <v>32</v>
      </c>
      <c r="AF769" s="1" t="s">
        <v>33</v>
      </c>
      <c r="AG769" s="1" t="s">
        <v>95</v>
      </c>
    </row>
    <row r="770" spans="1:33">
      <c r="A770" t="s">
        <v>3048</v>
      </c>
      <c r="C770" t="s">
        <v>3049</v>
      </c>
      <c r="D770" t="s">
        <v>154</v>
      </c>
      <c r="E770" t="s">
        <v>2292</v>
      </c>
      <c r="F770" t="s">
        <v>2293</v>
      </c>
      <c r="G770">
        <v>400.0</v>
      </c>
      <c r="H770">
        <v>400.0</v>
      </c>
      <c r="I770" t="s">
        <v>48</v>
      </c>
      <c r="J770" t="s">
        <v>49</v>
      </c>
      <c r="K770" t="s">
        <v>31</v>
      </c>
      <c r="L770" t="s">
        <v>32</v>
      </c>
      <c r="M770" t="s">
        <v>33</v>
      </c>
      <c r="P770" s="1" t="s">
        <v>3050</v>
      </c>
      <c r="Q770" s="1" t="s">
        <v>2292</v>
      </c>
      <c r="R770" s="1" t="s">
        <v>2292</v>
      </c>
      <c r="S770" s="1"/>
      <c r="T770" s="1" t="s">
        <v>3049</v>
      </c>
      <c r="U770" s="1"/>
      <c r="V770" s="1">
        <v>400.0</v>
      </c>
      <c r="W770" s="1">
        <v>400.0</v>
      </c>
      <c r="X770" s="1" t="s">
        <v>35</v>
      </c>
      <c r="Y770" s="1">
        <v>400000.0</v>
      </c>
      <c r="Z770" s="1"/>
      <c r="AA770" s="1">
        <v>400000</v>
      </c>
      <c r="AB770" s="1"/>
      <c r="AC770" s="1" t="s">
        <v>36</v>
      </c>
      <c r="AD770" s="1" t="s">
        <v>2923</v>
      </c>
      <c r="AE770" s="1" t="s">
        <v>32</v>
      </c>
      <c r="AF770" s="1" t="s">
        <v>33</v>
      </c>
      <c r="AG770" s="1" t="s">
        <v>49</v>
      </c>
    </row>
    <row r="771" spans="1:33">
      <c r="A771" t="s">
        <v>3051</v>
      </c>
      <c r="B771" t="s">
        <v>3052</v>
      </c>
      <c r="C771" t="s">
        <v>314</v>
      </c>
      <c r="E771" t="s">
        <v>2292</v>
      </c>
      <c r="F771" t="s">
        <v>2293</v>
      </c>
      <c r="G771">
        <v>22.24</v>
      </c>
      <c r="H771">
        <v>22.24</v>
      </c>
      <c r="I771" t="s">
        <v>179</v>
      </c>
      <c r="J771" t="s">
        <v>180</v>
      </c>
      <c r="K771" t="s">
        <v>31</v>
      </c>
      <c r="L771" t="s">
        <v>32</v>
      </c>
      <c r="M771" t="s">
        <v>33</v>
      </c>
      <c r="P771" s="1" t="s">
        <v>3053</v>
      </c>
      <c r="Q771" s="1" t="s">
        <v>2292</v>
      </c>
      <c r="R771" s="1" t="s">
        <v>2292</v>
      </c>
      <c r="S771" s="1"/>
      <c r="T771" s="1" t="s">
        <v>314</v>
      </c>
      <c r="U771" s="1"/>
      <c r="V771" s="1">
        <v>22.24</v>
      </c>
      <c r="W771" s="1">
        <v>22.24</v>
      </c>
      <c r="X771" s="1" t="s">
        <v>35</v>
      </c>
      <c r="Y771" s="1">
        <v>22240.0</v>
      </c>
      <c r="Z771" s="1"/>
      <c r="AA771" s="1">
        <v>22240</v>
      </c>
      <c r="AB771" s="1"/>
      <c r="AC771" s="1" t="s">
        <v>36</v>
      </c>
      <c r="AD771" s="1" t="s">
        <v>3054</v>
      </c>
      <c r="AE771" s="1" t="s">
        <v>32</v>
      </c>
      <c r="AF771" s="1" t="s">
        <v>33</v>
      </c>
      <c r="AG771" s="1" t="s">
        <v>180</v>
      </c>
    </row>
    <row r="772" spans="1:33">
      <c r="A772" t="s">
        <v>3055</v>
      </c>
      <c r="C772" t="s">
        <v>3056</v>
      </c>
      <c r="E772" t="s">
        <v>2292</v>
      </c>
      <c r="F772" t="s">
        <v>2293</v>
      </c>
      <c r="G772">
        <v>945.0</v>
      </c>
      <c r="H772">
        <v>945.0</v>
      </c>
      <c r="I772" t="s">
        <v>173</v>
      </c>
      <c r="J772" t="s">
        <v>174</v>
      </c>
      <c r="K772" t="s">
        <v>31</v>
      </c>
      <c r="L772" t="s">
        <v>32</v>
      </c>
      <c r="M772" t="s">
        <v>33</v>
      </c>
      <c r="P772" s="1" t="s">
        <v>3057</v>
      </c>
      <c r="Q772" s="1" t="s">
        <v>2292</v>
      </c>
      <c r="R772" s="1" t="s">
        <v>2292</v>
      </c>
      <c r="S772" s="1"/>
      <c r="T772" s="1" t="s">
        <v>3056</v>
      </c>
      <c r="U772" s="1"/>
      <c r="V772" s="1">
        <v>945.0</v>
      </c>
      <c r="W772" s="1">
        <v>945.0</v>
      </c>
      <c r="X772" s="1" t="s">
        <v>35</v>
      </c>
      <c r="Y772" s="1">
        <v>945000.0</v>
      </c>
      <c r="Z772" s="1"/>
      <c r="AA772" s="1">
        <v>945000</v>
      </c>
      <c r="AB772" s="1"/>
      <c r="AC772" s="1" t="s">
        <v>36</v>
      </c>
      <c r="AD772" s="1" t="s">
        <v>3058</v>
      </c>
      <c r="AE772" s="1" t="s">
        <v>32</v>
      </c>
      <c r="AF772" s="1" t="s">
        <v>33</v>
      </c>
      <c r="AG772" s="1" t="s">
        <v>174</v>
      </c>
    </row>
    <row r="773" spans="1:33">
      <c r="A773" t="s">
        <v>3059</v>
      </c>
      <c r="C773" t="s">
        <v>827</v>
      </c>
      <c r="D773" t="s">
        <v>154</v>
      </c>
      <c r="E773" t="s">
        <v>2292</v>
      </c>
      <c r="F773" t="s">
        <v>2293</v>
      </c>
      <c r="G773">
        <v>1.041</v>
      </c>
      <c r="H773">
        <v>1.041</v>
      </c>
      <c r="I773" t="s">
        <v>269</v>
      </c>
      <c r="J773" t="s">
        <v>270</v>
      </c>
      <c r="K773" t="s">
        <v>31</v>
      </c>
      <c r="L773" t="s">
        <v>32</v>
      </c>
      <c r="M773" t="s">
        <v>33</v>
      </c>
      <c r="P773" s="1" t="s">
        <v>3060</v>
      </c>
      <c r="Q773" s="1" t="s">
        <v>2292</v>
      </c>
      <c r="R773" s="1" t="s">
        <v>2292</v>
      </c>
      <c r="S773" s="1"/>
      <c r="T773" s="1" t="s">
        <v>827</v>
      </c>
      <c r="U773" s="1"/>
      <c r="V773" s="1">
        <v>1.041</v>
      </c>
      <c r="W773" s="1">
        <v>1.041</v>
      </c>
      <c r="X773" s="1" t="s">
        <v>35</v>
      </c>
      <c r="Y773" s="1">
        <v>1041000.0</v>
      </c>
      <c r="Z773" s="1"/>
      <c r="AA773" s="1">
        <v>1041000</v>
      </c>
      <c r="AB773" s="1"/>
      <c r="AC773" s="1" t="s">
        <v>36</v>
      </c>
      <c r="AD773" s="1" t="s">
        <v>3061</v>
      </c>
      <c r="AE773" s="1" t="s">
        <v>32</v>
      </c>
      <c r="AF773" s="1" t="s">
        <v>33</v>
      </c>
      <c r="AG773" s="1" t="s">
        <v>270</v>
      </c>
    </row>
    <row r="774" spans="1:33">
      <c r="A774" t="s">
        <v>3062</v>
      </c>
      <c r="B774" t="s">
        <v>3063</v>
      </c>
      <c r="C774" t="s">
        <v>47</v>
      </c>
      <c r="E774" t="s">
        <v>2292</v>
      </c>
      <c r="F774" t="s">
        <v>2293</v>
      </c>
      <c r="G774">
        <v>19.49</v>
      </c>
      <c r="H774">
        <v>19.49</v>
      </c>
      <c r="I774" t="s">
        <v>48</v>
      </c>
      <c r="J774" t="s">
        <v>49</v>
      </c>
      <c r="K774" t="s">
        <v>31</v>
      </c>
      <c r="L774" t="s">
        <v>32</v>
      </c>
      <c r="M774" t="s">
        <v>33</v>
      </c>
      <c r="P774" s="1" t="s">
        <v>3064</v>
      </c>
      <c r="Q774" s="1" t="s">
        <v>2292</v>
      </c>
      <c r="R774" s="1" t="s">
        <v>2292</v>
      </c>
      <c r="S774" s="1"/>
      <c r="T774" s="1" t="s">
        <v>47</v>
      </c>
      <c r="U774" s="1"/>
      <c r="V774" s="1">
        <v>19.49</v>
      </c>
      <c r="W774" s="1">
        <v>19.49</v>
      </c>
      <c r="X774" s="1" t="s">
        <v>35</v>
      </c>
      <c r="Y774" s="1">
        <v>19490.0</v>
      </c>
      <c r="Z774" s="1"/>
      <c r="AA774" s="1">
        <v>19490</v>
      </c>
      <c r="AB774" s="1"/>
      <c r="AC774" s="1" t="s">
        <v>36</v>
      </c>
      <c r="AD774" s="1" t="s">
        <v>3058</v>
      </c>
      <c r="AE774" s="1" t="s">
        <v>32</v>
      </c>
      <c r="AF774" s="1" t="s">
        <v>33</v>
      </c>
      <c r="AG774" s="1" t="s">
        <v>49</v>
      </c>
    </row>
    <row r="775" spans="1:33">
      <c r="A775" t="s">
        <v>3065</v>
      </c>
      <c r="B775" t="s">
        <v>3066</v>
      </c>
      <c r="C775" t="s">
        <v>569</v>
      </c>
      <c r="E775" t="s">
        <v>2292</v>
      </c>
      <c r="F775" t="s">
        <v>2293</v>
      </c>
      <c r="G775">
        <v>50.78</v>
      </c>
      <c r="H775">
        <v>50.78</v>
      </c>
      <c r="I775" t="s">
        <v>570</v>
      </c>
      <c r="J775" t="s">
        <v>571</v>
      </c>
      <c r="K775" t="s">
        <v>31</v>
      </c>
      <c r="L775" t="s">
        <v>32</v>
      </c>
      <c r="M775" t="s">
        <v>33</v>
      </c>
      <c r="P775" s="1" t="s">
        <v>3067</v>
      </c>
      <c r="Q775" s="1" t="s">
        <v>2292</v>
      </c>
      <c r="R775" s="1" t="s">
        <v>2292</v>
      </c>
      <c r="S775" s="1"/>
      <c r="T775" s="1" t="s">
        <v>569</v>
      </c>
      <c r="U775" s="1"/>
      <c r="V775" s="1">
        <v>50.78</v>
      </c>
      <c r="W775" s="1">
        <v>50.78</v>
      </c>
      <c r="X775" s="1" t="s">
        <v>35</v>
      </c>
      <c r="Y775" s="1">
        <v>50780.0</v>
      </c>
      <c r="Z775" s="1"/>
      <c r="AA775" s="1">
        <v>50780</v>
      </c>
      <c r="AB775" s="1"/>
      <c r="AC775" s="1" t="s">
        <v>36</v>
      </c>
      <c r="AD775" s="1" t="s">
        <v>3068</v>
      </c>
      <c r="AE775" s="1" t="s">
        <v>32</v>
      </c>
      <c r="AF775" s="1" t="s">
        <v>33</v>
      </c>
      <c r="AG775" s="1" t="s">
        <v>571</v>
      </c>
    </row>
    <row r="776" spans="1:33">
      <c r="A776" t="s">
        <v>3069</v>
      </c>
      <c r="C776" t="s">
        <v>1739</v>
      </c>
      <c r="E776" t="s">
        <v>2292</v>
      </c>
      <c r="F776" t="s">
        <v>2293</v>
      </c>
      <c r="G776">
        <v>336.0</v>
      </c>
      <c r="H776">
        <v>336.0</v>
      </c>
      <c r="I776" t="s">
        <v>48</v>
      </c>
      <c r="J776" t="s">
        <v>49</v>
      </c>
      <c r="K776" t="s">
        <v>31</v>
      </c>
      <c r="L776" t="s">
        <v>32</v>
      </c>
      <c r="M776" t="s">
        <v>33</v>
      </c>
      <c r="P776" s="1" t="s">
        <v>3070</v>
      </c>
      <c r="Q776" s="1" t="s">
        <v>2292</v>
      </c>
      <c r="R776" s="1" t="s">
        <v>2292</v>
      </c>
      <c r="S776" s="1"/>
      <c r="T776" s="1" t="s">
        <v>1739</v>
      </c>
      <c r="U776" s="1"/>
      <c r="V776" s="1">
        <v>336.0</v>
      </c>
      <c r="W776" s="1">
        <v>336.0</v>
      </c>
      <c r="X776" s="1" t="s">
        <v>35</v>
      </c>
      <c r="Y776" s="1">
        <v>336000.0</v>
      </c>
      <c r="Z776" s="1"/>
      <c r="AA776" s="1">
        <v>336000</v>
      </c>
      <c r="AB776" s="1"/>
      <c r="AC776" s="1" t="s">
        <v>36</v>
      </c>
      <c r="AD776" s="1" t="s">
        <v>3071</v>
      </c>
      <c r="AE776" s="1" t="s">
        <v>32</v>
      </c>
      <c r="AF776" s="1" t="s">
        <v>33</v>
      </c>
      <c r="AG776" s="1" t="s">
        <v>49</v>
      </c>
    </row>
    <row r="777" spans="1:33">
      <c r="A777" t="s">
        <v>3072</v>
      </c>
      <c r="C777" t="s">
        <v>73</v>
      </c>
      <c r="E777" t="s">
        <v>2292</v>
      </c>
      <c r="F777" t="s">
        <v>2674</v>
      </c>
      <c r="G777">
        <v>36.49</v>
      </c>
      <c r="H777">
        <v>36.49</v>
      </c>
      <c r="I777" t="s">
        <v>40</v>
      </c>
      <c r="J777" t="s">
        <v>41</v>
      </c>
      <c r="K777" t="s">
        <v>31</v>
      </c>
      <c r="L777" t="s">
        <v>32</v>
      </c>
      <c r="M777" t="s">
        <v>33</v>
      </c>
      <c r="P777" s="1" t="s">
        <v>3073</v>
      </c>
      <c r="Q777" s="1" t="s">
        <v>2292</v>
      </c>
      <c r="R777" s="1" t="s">
        <v>1562</v>
      </c>
      <c r="S777" s="1"/>
      <c r="T777" s="1" t="s">
        <v>75</v>
      </c>
      <c r="U777" s="1" t="s">
        <v>76</v>
      </c>
      <c r="V777" s="1">
        <v>36.49</v>
      </c>
      <c r="W777" s="1">
        <v>36.49</v>
      </c>
      <c r="X777" s="1" t="s">
        <v>35</v>
      </c>
      <c r="Y777" s="1">
        <v>36490.0</v>
      </c>
      <c r="Z777" s="1"/>
      <c r="AA777" s="1">
        <v>36490</v>
      </c>
      <c r="AB777" s="1"/>
      <c r="AC777" s="1" t="s">
        <v>36</v>
      </c>
      <c r="AD777" s="1" t="s">
        <v>3074</v>
      </c>
      <c r="AE777" s="1" t="s">
        <v>32</v>
      </c>
      <c r="AF777" s="1" t="s">
        <v>33</v>
      </c>
      <c r="AG777" s="1" t="s">
        <v>41</v>
      </c>
    </row>
    <row r="778" spans="1:33">
      <c r="A778" t="s">
        <v>3075</v>
      </c>
      <c r="C778" t="s">
        <v>1739</v>
      </c>
      <c r="E778" t="s">
        <v>2292</v>
      </c>
      <c r="F778" t="s">
        <v>2293</v>
      </c>
      <c r="G778">
        <v>656.0</v>
      </c>
      <c r="H778">
        <v>656.0</v>
      </c>
      <c r="I778" t="s">
        <v>48</v>
      </c>
      <c r="J778" t="s">
        <v>49</v>
      </c>
      <c r="K778" t="s">
        <v>31</v>
      </c>
      <c r="L778" t="s">
        <v>32</v>
      </c>
      <c r="M778" t="s">
        <v>33</v>
      </c>
      <c r="P778" s="1" t="s">
        <v>3076</v>
      </c>
      <c r="Q778" s="1" t="s">
        <v>2292</v>
      </c>
      <c r="R778" s="1" t="s">
        <v>2292</v>
      </c>
      <c r="S778" s="1"/>
      <c r="T778" s="1" t="s">
        <v>1739</v>
      </c>
      <c r="U778" s="1"/>
      <c r="V778" s="1">
        <v>656.0</v>
      </c>
      <c r="W778" s="1">
        <v>656.0</v>
      </c>
      <c r="X778" s="1" t="s">
        <v>35</v>
      </c>
      <c r="Y778" s="1">
        <v>656000.0</v>
      </c>
      <c r="Z778" s="1"/>
      <c r="AA778" s="1">
        <v>656000</v>
      </c>
      <c r="AB778" s="1"/>
      <c r="AC778" s="1" t="s">
        <v>36</v>
      </c>
      <c r="AD778" s="1" t="s">
        <v>3077</v>
      </c>
      <c r="AE778" s="1" t="s">
        <v>32</v>
      </c>
      <c r="AF778" s="1" t="s">
        <v>33</v>
      </c>
      <c r="AG778" s="1" t="s">
        <v>49</v>
      </c>
    </row>
    <row r="779" spans="1:33">
      <c r="A779" t="s">
        <v>3078</v>
      </c>
      <c r="C779" t="s">
        <v>3079</v>
      </c>
      <c r="D779" t="s">
        <v>154</v>
      </c>
      <c r="E779" t="s">
        <v>2292</v>
      </c>
      <c r="F779" t="s">
        <v>2293</v>
      </c>
      <c r="G779">
        <v>1.168</v>
      </c>
      <c r="H779">
        <v>1.168</v>
      </c>
      <c r="I779" t="s">
        <v>227</v>
      </c>
      <c r="J779" t="s">
        <v>228</v>
      </c>
      <c r="K779" t="s">
        <v>31</v>
      </c>
      <c r="L779" t="s">
        <v>32</v>
      </c>
      <c r="M779" t="s">
        <v>33</v>
      </c>
      <c r="P779" s="1" t="s">
        <v>3080</v>
      </c>
      <c r="Q779" s="1" t="s">
        <v>2292</v>
      </c>
      <c r="R779" s="1" t="s">
        <v>2292</v>
      </c>
      <c r="S779" s="1"/>
      <c r="T779" s="1" t="s">
        <v>3079</v>
      </c>
      <c r="U779" s="1"/>
      <c r="V779" s="1">
        <v>1.168</v>
      </c>
      <c r="W779" s="1">
        <v>1.168</v>
      </c>
      <c r="X779" s="1" t="s">
        <v>35</v>
      </c>
      <c r="Y779" s="1">
        <v>1168000.0</v>
      </c>
      <c r="Z779" s="1"/>
      <c r="AA779" s="1">
        <v>1168000</v>
      </c>
      <c r="AB779" s="1"/>
      <c r="AC779" s="1" t="s">
        <v>36</v>
      </c>
      <c r="AD779" s="1" t="s">
        <v>3081</v>
      </c>
      <c r="AE779" s="1" t="s">
        <v>32</v>
      </c>
      <c r="AF779" s="1" t="s">
        <v>33</v>
      </c>
      <c r="AG779" s="1" t="s">
        <v>228</v>
      </c>
    </row>
    <row r="780" spans="1:33">
      <c r="A780" t="s">
        <v>3082</v>
      </c>
      <c r="C780" t="s">
        <v>3083</v>
      </c>
      <c r="E780" t="s">
        <v>2292</v>
      </c>
      <c r="F780" t="s">
        <v>2293</v>
      </c>
      <c r="G780">
        <v>3.15</v>
      </c>
      <c r="H780">
        <v>3.15</v>
      </c>
      <c r="I780" t="s">
        <v>126</v>
      </c>
      <c r="J780" t="s">
        <v>127</v>
      </c>
      <c r="K780" t="s">
        <v>31</v>
      </c>
      <c r="L780" t="s">
        <v>32</v>
      </c>
      <c r="M780" t="s">
        <v>33</v>
      </c>
      <c r="P780" s="1" t="s">
        <v>3084</v>
      </c>
      <c r="Q780" s="1" t="s">
        <v>2292</v>
      </c>
      <c r="R780" s="1" t="s">
        <v>2292</v>
      </c>
      <c r="S780" s="1"/>
      <c r="T780" s="1" t="s">
        <v>3083</v>
      </c>
      <c r="U780" s="1"/>
      <c r="V780" s="1">
        <v>3.15</v>
      </c>
      <c r="W780" s="1">
        <v>3.15</v>
      </c>
      <c r="X780" s="1" t="s">
        <v>35</v>
      </c>
      <c r="Y780" s="1">
        <v>3150000.0</v>
      </c>
      <c r="Z780" s="1"/>
      <c r="AA780" s="1">
        <v>3150000</v>
      </c>
      <c r="AB780" s="1"/>
      <c r="AC780" s="1" t="s">
        <v>36</v>
      </c>
      <c r="AD780" s="1" t="s">
        <v>3085</v>
      </c>
      <c r="AE780" s="1" t="s">
        <v>32</v>
      </c>
      <c r="AF780" s="1" t="s">
        <v>33</v>
      </c>
      <c r="AG780" s="1" t="s">
        <v>127</v>
      </c>
    </row>
    <row r="781" spans="1:33">
      <c r="A781" t="s">
        <v>3086</v>
      </c>
      <c r="C781" t="s">
        <v>3087</v>
      </c>
      <c r="D781" t="s">
        <v>154</v>
      </c>
      <c r="E781" t="s">
        <v>2292</v>
      </c>
      <c r="F781" t="s">
        <v>2293</v>
      </c>
      <c r="G781">
        <v>640.0</v>
      </c>
      <c r="H781">
        <v>640.0</v>
      </c>
      <c r="I781" t="s">
        <v>48</v>
      </c>
      <c r="J781" t="s">
        <v>49</v>
      </c>
      <c r="K781" t="s">
        <v>31</v>
      </c>
      <c r="L781" t="s">
        <v>32</v>
      </c>
      <c r="M781" t="s">
        <v>33</v>
      </c>
      <c r="P781" s="1" t="s">
        <v>3088</v>
      </c>
      <c r="Q781" s="1" t="s">
        <v>2292</v>
      </c>
      <c r="R781" s="1" t="s">
        <v>2292</v>
      </c>
      <c r="S781" s="1"/>
      <c r="T781" s="1" t="s">
        <v>3087</v>
      </c>
      <c r="U781" s="1"/>
      <c r="V781" s="1">
        <v>640.0</v>
      </c>
      <c r="W781" s="1">
        <v>640.0</v>
      </c>
      <c r="X781" s="1" t="s">
        <v>35</v>
      </c>
      <c r="Y781" s="1">
        <v>640000.0</v>
      </c>
      <c r="Z781" s="1"/>
      <c r="AA781" s="1">
        <v>640000</v>
      </c>
      <c r="AB781" s="1"/>
      <c r="AC781" s="1" t="s">
        <v>36</v>
      </c>
      <c r="AD781" s="1" t="s">
        <v>3085</v>
      </c>
      <c r="AE781" s="1" t="s">
        <v>32</v>
      </c>
      <c r="AF781" s="1" t="s">
        <v>33</v>
      </c>
      <c r="AG781" s="1" t="s">
        <v>49</v>
      </c>
    </row>
    <row r="782" spans="1:33">
      <c r="A782" t="s">
        <v>3089</v>
      </c>
      <c r="B782" t="s">
        <v>3090</v>
      </c>
      <c r="C782" t="s">
        <v>268</v>
      </c>
      <c r="E782" t="s">
        <v>2292</v>
      </c>
      <c r="F782" t="s">
        <v>2293</v>
      </c>
      <c r="G782">
        <v>84.5</v>
      </c>
      <c r="H782">
        <v>84.5</v>
      </c>
      <c r="I782" t="s">
        <v>269</v>
      </c>
      <c r="J782" t="s">
        <v>270</v>
      </c>
      <c r="K782" t="s">
        <v>31</v>
      </c>
      <c r="L782" t="s">
        <v>32</v>
      </c>
      <c r="M782" t="s">
        <v>33</v>
      </c>
      <c r="P782" s="1" t="s">
        <v>3091</v>
      </c>
      <c r="Q782" s="1" t="s">
        <v>2292</v>
      </c>
      <c r="R782" s="1" t="s">
        <v>2292</v>
      </c>
      <c r="S782" s="1"/>
      <c r="T782" s="1" t="s">
        <v>268</v>
      </c>
      <c r="U782" s="1"/>
      <c r="V782" s="1">
        <v>84.5</v>
      </c>
      <c r="W782" s="1">
        <v>84.5</v>
      </c>
      <c r="X782" s="1" t="s">
        <v>35</v>
      </c>
      <c r="Y782" s="1">
        <v>84500.0</v>
      </c>
      <c r="Z782" s="1"/>
      <c r="AA782" s="1">
        <v>84500</v>
      </c>
      <c r="AB782" s="1"/>
      <c r="AC782" s="1" t="s">
        <v>36</v>
      </c>
      <c r="AD782" s="1" t="s">
        <v>3092</v>
      </c>
      <c r="AE782" s="1" t="s">
        <v>32</v>
      </c>
      <c r="AF782" s="1" t="s">
        <v>33</v>
      </c>
      <c r="AG782" s="1" t="s">
        <v>270</v>
      </c>
    </row>
    <row r="783" spans="1:33">
      <c r="A783" t="s">
        <v>3093</v>
      </c>
      <c r="B783" t="s">
        <v>3094</v>
      </c>
      <c r="C783" t="s">
        <v>314</v>
      </c>
      <c r="E783" t="s">
        <v>2292</v>
      </c>
      <c r="F783" t="s">
        <v>2293</v>
      </c>
      <c r="G783">
        <v>18.59</v>
      </c>
      <c r="H783">
        <v>18.59</v>
      </c>
      <c r="I783" t="s">
        <v>179</v>
      </c>
      <c r="J783" t="s">
        <v>180</v>
      </c>
      <c r="K783" t="s">
        <v>31</v>
      </c>
      <c r="L783" t="s">
        <v>32</v>
      </c>
      <c r="M783" t="s">
        <v>33</v>
      </c>
      <c r="P783" s="1" t="s">
        <v>3095</v>
      </c>
      <c r="Q783" s="1" t="s">
        <v>2292</v>
      </c>
      <c r="R783" s="1" t="s">
        <v>2292</v>
      </c>
      <c r="S783" s="1"/>
      <c r="T783" s="1" t="s">
        <v>314</v>
      </c>
      <c r="U783" s="1"/>
      <c r="V783" s="1">
        <v>18.59</v>
      </c>
      <c r="W783" s="1">
        <v>18.59</v>
      </c>
      <c r="X783" s="1" t="s">
        <v>35</v>
      </c>
      <c r="Y783" s="1">
        <v>18590.0</v>
      </c>
      <c r="Z783" s="1"/>
      <c r="AA783" s="1">
        <v>18590</v>
      </c>
      <c r="AB783" s="1"/>
      <c r="AC783" s="1" t="s">
        <v>36</v>
      </c>
      <c r="AD783" s="1" t="s">
        <v>3096</v>
      </c>
      <c r="AE783" s="1" t="s">
        <v>32</v>
      </c>
      <c r="AF783" s="1" t="s">
        <v>33</v>
      </c>
      <c r="AG783" s="1" t="s">
        <v>180</v>
      </c>
    </row>
    <row r="784" spans="1:33">
      <c r="A784" t="s">
        <v>3097</v>
      </c>
      <c r="C784" t="s">
        <v>586</v>
      </c>
      <c r="E784" t="s">
        <v>2292</v>
      </c>
      <c r="F784" t="s">
        <v>2293</v>
      </c>
      <c r="G784">
        <v>35.0</v>
      </c>
      <c r="H784">
        <v>35.0</v>
      </c>
      <c r="I784" t="s">
        <v>269</v>
      </c>
      <c r="J784" t="s">
        <v>270</v>
      </c>
      <c r="K784" t="s">
        <v>31</v>
      </c>
      <c r="L784" t="s">
        <v>32</v>
      </c>
      <c r="M784" t="s">
        <v>33</v>
      </c>
      <c r="P784" s="1" t="s">
        <v>3098</v>
      </c>
      <c r="Q784" s="1" t="s">
        <v>2292</v>
      </c>
      <c r="R784" s="1" t="s">
        <v>2292</v>
      </c>
      <c r="S784" s="1"/>
      <c r="T784" s="1" t="s">
        <v>586</v>
      </c>
      <c r="U784" s="1"/>
      <c r="V784" s="1">
        <v>35.0</v>
      </c>
      <c r="W784" s="1">
        <v>35.0</v>
      </c>
      <c r="X784" s="1" t="s">
        <v>35</v>
      </c>
      <c r="Y784" s="1">
        <v>35000.0</v>
      </c>
      <c r="Z784" s="1"/>
      <c r="AA784" s="1">
        <v>35000</v>
      </c>
      <c r="AB784" s="1"/>
      <c r="AC784" s="1" t="s">
        <v>36</v>
      </c>
      <c r="AD784" s="1" t="s">
        <v>3099</v>
      </c>
      <c r="AE784" s="1" t="s">
        <v>32</v>
      </c>
      <c r="AF784" s="1" t="s">
        <v>33</v>
      </c>
      <c r="AG784" s="1" t="s">
        <v>270</v>
      </c>
    </row>
    <row r="785" spans="1:33">
      <c r="A785" t="s">
        <v>3100</v>
      </c>
      <c r="B785" t="s">
        <v>3101</v>
      </c>
      <c r="C785" t="s">
        <v>314</v>
      </c>
      <c r="E785" t="s">
        <v>2292</v>
      </c>
      <c r="F785" t="s">
        <v>2293</v>
      </c>
      <c r="G785">
        <v>20.49</v>
      </c>
      <c r="H785">
        <v>20.49</v>
      </c>
      <c r="I785" t="s">
        <v>179</v>
      </c>
      <c r="J785" t="s">
        <v>180</v>
      </c>
      <c r="K785" t="s">
        <v>31</v>
      </c>
      <c r="L785" t="s">
        <v>32</v>
      </c>
      <c r="M785" t="s">
        <v>33</v>
      </c>
      <c r="P785" s="1" t="s">
        <v>3102</v>
      </c>
      <c r="Q785" s="1" t="s">
        <v>2292</v>
      </c>
      <c r="R785" s="1" t="s">
        <v>2292</v>
      </c>
      <c r="S785" s="1"/>
      <c r="T785" s="1" t="s">
        <v>314</v>
      </c>
      <c r="U785" s="1"/>
      <c r="V785" s="1">
        <v>20.49</v>
      </c>
      <c r="W785" s="1">
        <v>20.49</v>
      </c>
      <c r="X785" s="1" t="s">
        <v>35</v>
      </c>
      <c r="Y785" s="1">
        <v>20490.0</v>
      </c>
      <c r="Z785" s="1"/>
      <c r="AA785" s="1">
        <v>20490</v>
      </c>
      <c r="AB785" s="1"/>
      <c r="AC785" s="1" t="s">
        <v>36</v>
      </c>
      <c r="AD785" s="1" t="s">
        <v>3099</v>
      </c>
      <c r="AE785" s="1" t="s">
        <v>32</v>
      </c>
      <c r="AF785" s="1" t="s">
        <v>33</v>
      </c>
      <c r="AG785" s="1" t="s">
        <v>180</v>
      </c>
    </row>
    <row r="786" spans="1:33">
      <c r="A786" t="s">
        <v>3103</v>
      </c>
      <c r="C786" t="s">
        <v>3104</v>
      </c>
      <c r="E786" t="s">
        <v>2292</v>
      </c>
      <c r="F786" t="s">
        <v>2293</v>
      </c>
      <c r="G786">
        <v>587.55</v>
      </c>
      <c r="H786">
        <v>587.55</v>
      </c>
      <c r="I786" t="s">
        <v>136</v>
      </c>
      <c r="J786" t="s">
        <v>137</v>
      </c>
      <c r="K786" t="s">
        <v>31</v>
      </c>
      <c r="L786" t="s">
        <v>32</v>
      </c>
      <c r="M786" t="s">
        <v>33</v>
      </c>
      <c r="P786" s="1" t="s">
        <v>3105</v>
      </c>
      <c r="Q786" s="1" t="s">
        <v>2292</v>
      </c>
      <c r="R786" s="1" t="s">
        <v>2292</v>
      </c>
      <c r="S786" s="1"/>
      <c r="T786" s="1" t="s">
        <v>3104</v>
      </c>
      <c r="U786" s="1"/>
      <c r="V786" s="1">
        <v>587.55</v>
      </c>
      <c r="W786" s="1">
        <v>587.55</v>
      </c>
      <c r="X786" s="1" t="s">
        <v>35</v>
      </c>
      <c r="Y786" s="1">
        <v>587550.0</v>
      </c>
      <c r="Z786" s="1"/>
      <c r="AA786" s="1">
        <v>587550</v>
      </c>
      <c r="AB786" s="1"/>
      <c r="AC786" s="1" t="s">
        <v>36</v>
      </c>
      <c r="AD786" s="1" t="s">
        <v>3106</v>
      </c>
      <c r="AE786" s="1" t="s">
        <v>32</v>
      </c>
      <c r="AF786" s="1" t="s">
        <v>33</v>
      </c>
      <c r="AG786" s="1" t="s">
        <v>137</v>
      </c>
    </row>
    <row r="787" spans="1:33">
      <c r="A787" t="s">
        <v>3107</v>
      </c>
      <c r="B787" t="s">
        <v>3108</v>
      </c>
      <c r="C787" t="s">
        <v>314</v>
      </c>
      <c r="E787" t="s">
        <v>2292</v>
      </c>
      <c r="F787" t="s">
        <v>2293</v>
      </c>
      <c r="G787">
        <v>18.59</v>
      </c>
      <c r="H787">
        <v>18.59</v>
      </c>
      <c r="I787" t="s">
        <v>179</v>
      </c>
      <c r="J787" t="s">
        <v>180</v>
      </c>
      <c r="K787" t="s">
        <v>31</v>
      </c>
      <c r="L787" t="s">
        <v>32</v>
      </c>
      <c r="M787" t="s">
        <v>33</v>
      </c>
      <c r="P787" s="1" t="s">
        <v>3109</v>
      </c>
      <c r="Q787" s="1" t="s">
        <v>2292</v>
      </c>
      <c r="R787" s="1" t="s">
        <v>2292</v>
      </c>
      <c r="S787" s="1"/>
      <c r="T787" s="1" t="s">
        <v>314</v>
      </c>
      <c r="U787" s="1"/>
      <c r="V787" s="1">
        <v>18.59</v>
      </c>
      <c r="W787" s="1">
        <v>18.59</v>
      </c>
      <c r="X787" s="1" t="s">
        <v>35</v>
      </c>
      <c r="Y787" s="1">
        <v>18590.0</v>
      </c>
      <c r="Z787" s="1"/>
      <c r="AA787" s="1">
        <v>18590</v>
      </c>
      <c r="AB787" s="1"/>
      <c r="AC787" s="1" t="s">
        <v>36</v>
      </c>
      <c r="AD787" s="1" t="s">
        <v>3110</v>
      </c>
      <c r="AE787" s="1" t="s">
        <v>32</v>
      </c>
      <c r="AF787" s="1" t="s">
        <v>33</v>
      </c>
      <c r="AG787" s="1" t="s">
        <v>180</v>
      </c>
    </row>
    <row r="788" spans="1:33">
      <c r="A788" t="s">
        <v>3111</v>
      </c>
      <c r="B788" t="s">
        <v>3112</v>
      </c>
      <c r="C788" t="s">
        <v>125</v>
      </c>
      <c r="E788" t="s">
        <v>2292</v>
      </c>
      <c r="F788" t="s">
        <v>2293</v>
      </c>
      <c r="G788">
        <v>20.99</v>
      </c>
      <c r="H788">
        <v>20.99</v>
      </c>
      <c r="I788" t="s">
        <v>126</v>
      </c>
      <c r="J788" t="s">
        <v>127</v>
      </c>
      <c r="K788" t="s">
        <v>31</v>
      </c>
      <c r="L788" t="s">
        <v>32</v>
      </c>
      <c r="M788" t="s">
        <v>33</v>
      </c>
      <c r="P788" s="1" t="s">
        <v>3113</v>
      </c>
      <c r="Q788" s="1" t="s">
        <v>2292</v>
      </c>
      <c r="R788" s="1" t="s">
        <v>2292</v>
      </c>
      <c r="S788" s="1"/>
      <c r="T788" s="1" t="s">
        <v>125</v>
      </c>
      <c r="U788" s="1"/>
      <c r="V788" s="1">
        <v>20.99</v>
      </c>
      <c r="W788" s="1">
        <v>20.99</v>
      </c>
      <c r="X788" s="1" t="s">
        <v>35</v>
      </c>
      <c r="Y788" s="1">
        <v>20990.0</v>
      </c>
      <c r="Z788" s="1"/>
      <c r="AA788" s="1">
        <v>20990</v>
      </c>
      <c r="AB788" s="1"/>
      <c r="AC788" s="1" t="s">
        <v>36</v>
      </c>
      <c r="AD788" s="1" t="s">
        <v>3110</v>
      </c>
      <c r="AE788" s="1" t="s">
        <v>32</v>
      </c>
      <c r="AF788" s="1" t="s">
        <v>33</v>
      </c>
      <c r="AG788" s="1" t="s">
        <v>127</v>
      </c>
    </row>
    <row r="789" spans="1:33">
      <c r="A789" t="s">
        <v>3114</v>
      </c>
      <c r="C789" t="s">
        <v>859</v>
      </c>
      <c r="D789" t="s">
        <v>114</v>
      </c>
      <c r="E789" t="s">
        <v>2292</v>
      </c>
      <c r="F789" t="s">
        <v>2293</v>
      </c>
      <c r="G789">
        <v>656.0</v>
      </c>
      <c r="H789">
        <v>656.0</v>
      </c>
      <c r="I789" t="s">
        <v>269</v>
      </c>
      <c r="J789" t="s">
        <v>270</v>
      </c>
      <c r="K789" t="s">
        <v>31</v>
      </c>
      <c r="L789" t="s">
        <v>32</v>
      </c>
      <c r="M789" t="s">
        <v>33</v>
      </c>
      <c r="P789" s="1" t="s">
        <v>3115</v>
      </c>
      <c r="Q789" s="1" t="s">
        <v>2292</v>
      </c>
      <c r="R789" s="1" t="s">
        <v>2292</v>
      </c>
      <c r="S789" s="1"/>
      <c r="T789" s="1" t="s">
        <v>859</v>
      </c>
      <c r="U789" s="1"/>
      <c r="V789" s="1">
        <v>656.0</v>
      </c>
      <c r="W789" s="1">
        <v>656.0</v>
      </c>
      <c r="X789" s="1" t="s">
        <v>35</v>
      </c>
      <c r="Y789" s="1">
        <v>656000.0</v>
      </c>
      <c r="Z789" s="1"/>
      <c r="AA789" s="1">
        <v>656000</v>
      </c>
      <c r="AB789" s="1"/>
      <c r="AC789" s="1" t="s">
        <v>36</v>
      </c>
      <c r="AD789" s="1" t="s">
        <v>3116</v>
      </c>
      <c r="AE789" s="1" t="s">
        <v>32</v>
      </c>
      <c r="AF789" s="1" t="s">
        <v>33</v>
      </c>
      <c r="AG789" s="1" t="s">
        <v>270</v>
      </c>
    </row>
    <row r="790" spans="1:33">
      <c r="A790" t="s">
        <v>3117</v>
      </c>
      <c r="C790" t="s">
        <v>810</v>
      </c>
      <c r="D790" t="s">
        <v>154</v>
      </c>
      <c r="E790" t="s">
        <v>2292</v>
      </c>
      <c r="F790" t="s">
        <v>2293</v>
      </c>
      <c r="G790">
        <v>1.185</v>
      </c>
      <c r="H790">
        <v>1.185</v>
      </c>
      <c r="I790" t="s">
        <v>269</v>
      </c>
      <c r="J790" t="s">
        <v>270</v>
      </c>
      <c r="K790" t="s">
        <v>31</v>
      </c>
      <c r="L790" t="s">
        <v>32</v>
      </c>
      <c r="M790" t="s">
        <v>33</v>
      </c>
      <c r="P790" s="1" t="s">
        <v>3118</v>
      </c>
      <c r="Q790" s="1" t="s">
        <v>2292</v>
      </c>
      <c r="R790" s="1" t="s">
        <v>2292</v>
      </c>
      <c r="S790" s="1"/>
      <c r="T790" s="1" t="s">
        <v>810</v>
      </c>
      <c r="U790" s="1"/>
      <c r="V790" s="1">
        <v>1.185</v>
      </c>
      <c r="W790" s="1">
        <v>1.185</v>
      </c>
      <c r="X790" s="1" t="s">
        <v>35</v>
      </c>
      <c r="Y790" s="1">
        <v>1185000.0</v>
      </c>
      <c r="Z790" s="1"/>
      <c r="AA790" s="1">
        <v>1185000</v>
      </c>
      <c r="AB790" s="1"/>
      <c r="AC790" s="1" t="s">
        <v>36</v>
      </c>
      <c r="AD790" s="1" t="s">
        <v>3119</v>
      </c>
      <c r="AE790" s="1" t="s">
        <v>32</v>
      </c>
      <c r="AF790" s="1" t="s">
        <v>33</v>
      </c>
      <c r="AG790" s="1" t="s">
        <v>270</v>
      </c>
    </row>
    <row r="791" spans="1:33">
      <c r="A791" t="s">
        <v>3120</v>
      </c>
      <c r="B791" t="s">
        <v>3121</v>
      </c>
      <c r="C791" t="s">
        <v>47</v>
      </c>
      <c r="E791" t="s">
        <v>2292</v>
      </c>
      <c r="F791" t="s">
        <v>2293</v>
      </c>
      <c r="G791">
        <v>21.99</v>
      </c>
      <c r="H791">
        <v>21.99</v>
      </c>
      <c r="I791" t="s">
        <v>48</v>
      </c>
      <c r="J791" t="s">
        <v>49</v>
      </c>
      <c r="K791" t="s">
        <v>31</v>
      </c>
      <c r="L791" t="s">
        <v>32</v>
      </c>
      <c r="M791" t="s">
        <v>33</v>
      </c>
      <c r="P791" s="1" t="s">
        <v>3122</v>
      </c>
      <c r="Q791" s="1" t="s">
        <v>2292</v>
      </c>
      <c r="R791" s="1" t="s">
        <v>2292</v>
      </c>
      <c r="S791" s="1"/>
      <c r="T791" s="1" t="s">
        <v>47</v>
      </c>
      <c r="U791" s="1"/>
      <c r="V791" s="1">
        <v>21.99</v>
      </c>
      <c r="W791" s="1">
        <v>21.99</v>
      </c>
      <c r="X791" s="1" t="s">
        <v>35</v>
      </c>
      <c r="Y791" s="1">
        <v>21990.0</v>
      </c>
      <c r="Z791" s="1"/>
      <c r="AA791" s="1">
        <v>21990</v>
      </c>
      <c r="AB791" s="1"/>
      <c r="AC791" s="1" t="s">
        <v>36</v>
      </c>
      <c r="AD791" s="1" t="s">
        <v>3123</v>
      </c>
      <c r="AE791" s="1" t="s">
        <v>32</v>
      </c>
      <c r="AF791" s="1" t="s">
        <v>33</v>
      </c>
      <c r="AG791" s="1" t="s">
        <v>49</v>
      </c>
    </row>
    <row r="792" spans="1:33">
      <c r="A792" t="s">
        <v>3124</v>
      </c>
      <c r="B792" t="s">
        <v>3125</v>
      </c>
      <c r="C792" t="s">
        <v>569</v>
      </c>
      <c r="E792" t="s">
        <v>2292</v>
      </c>
      <c r="F792" t="s">
        <v>2293</v>
      </c>
      <c r="G792">
        <v>40.388</v>
      </c>
      <c r="H792">
        <v>40.388</v>
      </c>
      <c r="I792" t="s">
        <v>570</v>
      </c>
      <c r="J792" t="s">
        <v>571</v>
      </c>
      <c r="K792" t="s">
        <v>31</v>
      </c>
      <c r="L792" t="s">
        <v>32</v>
      </c>
      <c r="M792" t="s">
        <v>33</v>
      </c>
      <c r="P792" s="1" t="s">
        <v>3126</v>
      </c>
      <c r="Q792" s="1" t="s">
        <v>2292</v>
      </c>
      <c r="R792" s="1" t="s">
        <v>2292</v>
      </c>
      <c r="S792" s="1"/>
      <c r="T792" s="1" t="s">
        <v>569</v>
      </c>
      <c r="U792" s="1"/>
      <c r="V792" s="1">
        <v>40.388</v>
      </c>
      <c r="W792" s="1">
        <v>40.388</v>
      </c>
      <c r="X792" s="1" t="s">
        <v>35</v>
      </c>
      <c r="Y792" s="1">
        <v>40388.0</v>
      </c>
      <c r="Z792" s="1"/>
      <c r="AA792" s="1">
        <v>40388</v>
      </c>
      <c r="AB792" s="1"/>
      <c r="AC792" s="1" t="s">
        <v>36</v>
      </c>
      <c r="AD792" s="1" t="s">
        <v>3127</v>
      </c>
      <c r="AE792" s="1" t="s">
        <v>32</v>
      </c>
      <c r="AF792" s="1" t="s">
        <v>33</v>
      </c>
      <c r="AG792" s="1" t="s">
        <v>571</v>
      </c>
    </row>
    <row r="793" spans="1:33">
      <c r="A793" t="s">
        <v>3128</v>
      </c>
      <c r="C793" t="s">
        <v>3129</v>
      </c>
      <c r="E793" t="s">
        <v>2292</v>
      </c>
      <c r="F793" t="s">
        <v>2293</v>
      </c>
      <c r="G793">
        <v>360.8</v>
      </c>
      <c r="H793">
        <v>360.8</v>
      </c>
      <c r="I793" t="s">
        <v>269</v>
      </c>
      <c r="J793" t="s">
        <v>270</v>
      </c>
      <c r="K793" t="s">
        <v>31</v>
      </c>
      <c r="L793" t="s">
        <v>32</v>
      </c>
      <c r="M793" t="s">
        <v>33</v>
      </c>
      <c r="P793" s="1" t="s">
        <v>3130</v>
      </c>
      <c r="Q793" s="1" t="s">
        <v>2292</v>
      </c>
      <c r="R793" s="1" t="s">
        <v>2292</v>
      </c>
      <c r="S793" s="1"/>
      <c r="T793" s="1" t="s">
        <v>3129</v>
      </c>
      <c r="U793" s="1"/>
      <c r="V793" s="1">
        <v>360.8</v>
      </c>
      <c r="W793" s="1">
        <v>360.8</v>
      </c>
      <c r="X793" s="1" t="s">
        <v>35</v>
      </c>
      <c r="Y793" s="1">
        <v>360800.0</v>
      </c>
      <c r="Z793" s="1"/>
      <c r="AA793" s="1">
        <v>360800</v>
      </c>
      <c r="AB793" s="1"/>
      <c r="AC793" s="1" t="s">
        <v>36</v>
      </c>
      <c r="AD793" s="1" t="s">
        <v>3131</v>
      </c>
      <c r="AE793" s="1" t="s">
        <v>32</v>
      </c>
      <c r="AF793" s="1" t="s">
        <v>33</v>
      </c>
      <c r="AG793" s="1" t="s">
        <v>270</v>
      </c>
    </row>
    <row r="794" spans="1:33">
      <c r="A794" t="s">
        <v>3132</v>
      </c>
      <c r="C794" t="s">
        <v>3133</v>
      </c>
      <c r="E794" t="s">
        <v>2292</v>
      </c>
      <c r="F794" t="s">
        <v>2293</v>
      </c>
      <c r="G794">
        <v>2.02</v>
      </c>
      <c r="H794">
        <v>2.02</v>
      </c>
      <c r="I794" t="s">
        <v>269</v>
      </c>
      <c r="J794" t="s">
        <v>270</v>
      </c>
      <c r="K794" t="s">
        <v>31</v>
      </c>
      <c r="L794" t="s">
        <v>32</v>
      </c>
      <c r="M794" t="s">
        <v>33</v>
      </c>
      <c r="P794" s="1" t="s">
        <v>3134</v>
      </c>
      <c r="Q794" s="1" t="s">
        <v>2292</v>
      </c>
      <c r="R794" s="1" t="s">
        <v>2292</v>
      </c>
      <c r="S794" s="1"/>
      <c r="T794" s="1" t="s">
        <v>3133</v>
      </c>
      <c r="U794" s="1"/>
      <c r="V794" s="1">
        <v>2.02</v>
      </c>
      <c r="W794" s="1">
        <v>2.02</v>
      </c>
      <c r="X794" s="1" t="s">
        <v>35</v>
      </c>
      <c r="Y794" s="1">
        <v>2020000.0</v>
      </c>
      <c r="Z794" s="1"/>
      <c r="AA794" s="1">
        <v>2020000</v>
      </c>
      <c r="AB794" s="1"/>
      <c r="AC794" s="1" t="s">
        <v>36</v>
      </c>
      <c r="AD794" s="1" t="s">
        <v>3135</v>
      </c>
      <c r="AE794" s="1" t="s">
        <v>32</v>
      </c>
      <c r="AF794" s="1" t="s">
        <v>33</v>
      </c>
      <c r="AG794" s="1" t="s">
        <v>270</v>
      </c>
    </row>
    <row r="795" spans="1:33">
      <c r="A795" t="s">
        <v>3136</v>
      </c>
      <c r="C795" t="s">
        <v>338</v>
      </c>
      <c r="E795" t="s">
        <v>2292</v>
      </c>
      <c r="F795" t="s">
        <v>2293</v>
      </c>
      <c r="G795">
        <v>1.007</v>
      </c>
      <c r="H795">
        <v>1.007</v>
      </c>
      <c r="I795" t="s">
        <v>179</v>
      </c>
      <c r="J795" t="s">
        <v>180</v>
      </c>
      <c r="K795" t="s">
        <v>31</v>
      </c>
      <c r="L795" t="s">
        <v>32</v>
      </c>
      <c r="M795" t="s">
        <v>33</v>
      </c>
      <c r="P795" s="1" t="s">
        <v>3137</v>
      </c>
      <c r="Q795" s="1" t="s">
        <v>2292</v>
      </c>
      <c r="R795" s="1" t="s">
        <v>2292</v>
      </c>
      <c r="S795" s="1"/>
      <c r="T795" s="1" t="s">
        <v>338</v>
      </c>
      <c r="U795" s="1"/>
      <c r="V795" s="1">
        <v>1.007</v>
      </c>
      <c r="W795" s="1">
        <v>1.007</v>
      </c>
      <c r="X795" s="1" t="s">
        <v>35</v>
      </c>
      <c r="Y795" s="1">
        <v>1007000.0</v>
      </c>
      <c r="Z795" s="1"/>
      <c r="AA795" s="1">
        <v>1007000</v>
      </c>
      <c r="AB795" s="1"/>
      <c r="AC795" s="1" t="s">
        <v>36</v>
      </c>
      <c r="AD795" s="1" t="s">
        <v>3138</v>
      </c>
      <c r="AE795" s="1" t="s">
        <v>32</v>
      </c>
      <c r="AF795" s="1" t="s">
        <v>33</v>
      </c>
      <c r="AG795" s="1" t="s">
        <v>180</v>
      </c>
    </row>
    <row r="796" spans="1:33">
      <c r="A796" t="s">
        <v>3139</v>
      </c>
      <c r="C796" t="s">
        <v>3140</v>
      </c>
      <c r="E796" t="s">
        <v>2292</v>
      </c>
      <c r="F796" t="s">
        <v>2293</v>
      </c>
      <c r="G796">
        <v>65.98</v>
      </c>
      <c r="H796">
        <v>65.98</v>
      </c>
      <c r="I796" t="s">
        <v>48</v>
      </c>
      <c r="J796" t="s">
        <v>49</v>
      </c>
      <c r="K796" t="s">
        <v>31</v>
      </c>
      <c r="L796" t="s">
        <v>32</v>
      </c>
      <c r="M796" t="s">
        <v>33</v>
      </c>
      <c r="P796" s="1" t="s">
        <v>3141</v>
      </c>
      <c r="Q796" s="1" t="s">
        <v>2292</v>
      </c>
      <c r="R796" s="1" t="s">
        <v>2292</v>
      </c>
      <c r="S796" s="1"/>
      <c r="T796" s="1" t="s">
        <v>3140</v>
      </c>
      <c r="U796" s="1"/>
      <c r="V796" s="1">
        <v>65.98</v>
      </c>
      <c r="W796" s="1">
        <v>65.98</v>
      </c>
      <c r="X796" s="1" t="s">
        <v>35</v>
      </c>
      <c r="Y796" s="1">
        <v>65980.0</v>
      </c>
      <c r="Z796" s="1"/>
      <c r="AA796" s="1">
        <v>65980</v>
      </c>
      <c r="AB796" s="1"/>
      <c r="AC796" s="1" t="s">
        <v>36</v>
      </c>
      <c r="AD796" s="1" t="s">
        <v>3142</v>
      </c>
      <c r="AE796" s="1" t="s">
        <v>32</v>
      </c>
      <c r="AF796" s="1" t="s">
        <v>33</v>
      </c>
      <c r="AG796" s="1" t="s">
        <v>49</v>
      </c>
    </row>
    <row r="797" spans="1:33">
      <c r="A797" t="s">
        <v>3143</v>
      </c>
      <c r="C797" t="s">
        <v>226</v>
      </c>
      <c r="E797" t="s">
        <v>2292</v>
      </c>
      <c r="F797" t="s">
        <v>2293</v>
      </c>
      <c r="G797">
        <v>21.0</v>
      </c>
      <c r="H797">
        <v>21.0</v>
      </c>
      <c r="I797" t="s">
        <v>227</v>
      </c>
      <c r="J797" t="s">
        <v>228</v>
      </c>
      <c r="K797" t="s">
        <v>31</v>
      </c>
      <c r="L797" t="s">
        <v>32</v>
      </c>
      <c r="M797" t="s">
        <v>33</v>
      </c>
      <c r="P797" s="1" t="s">
        <v>3144</v>
      </c>
      <c r="Q797" s="1" t="s">
        <v>2292</v>
      </c>
      <c r="R797" s="1" t="s">
        <v>2292</v>
      </c>
      <c r="S797" s="1"/>
      <c r="T797" s="1" t="s">
        <v>226</v>
      </c>
      <c r="U797" s="1"/>
      <c r="V797" s="1">
        <v>21.0</v>
      </c>
      <c r="W797" s="1">
        <v>21.0</v>
      </c>
      <c r="X797" s="1" t="s">
        <v>35</v>
      </c>
      <c r="Y797" s="1">
        <v>21000.0</v>
      </c>
      <c r="Z797" s="1"/>
      <c r="AA797" s="1">
        <v>21000</v>
      </c>
      <c r="AB797" s="1"/>
      <c r="AC797" s="1" t="s">
        <v>36</v>
      </c>
      <c r="AD797" s="1" t="s">
        <v>2702</v>
      </c>
      <c r="AE797" s="1" t="s">
        <v>32</v>
      </c>
      <c r="AF797" s="1" t="s">
        <v>33</v>
      </c>
      <c r="AG797" s="1" t="s">
        <v>228</v>
      </c>
    </row>
    <row r="798" spans="1:33">
      <c r="A798" t="s">
        <v>3145</v>
      </c>
      <c r="B798" t="s">
        <v>3146</v>
      </c>
      <c r="C798" t="s">
        <v>3147</v>
      </c>
      <c r="E798" t="s">
        <v>2984</v>
      </c>
      <c r="F798" t="s">
        <v>2985</v>
      </c>
      <c r="G798">
        <v>840.0</v>
      </c>
      <c r="H798">
        <v>840.0</v>
      </c>
      <c r="I798" t="s">
        <v>29</v>
      </c>
      <c r="J798" t="s">
        <v>30</v>
      </c>
      <c r="K798" t="s">
        <v>31</v>
      </c>
      <c r="L798" t="s">
        <v>32</v>
      </c>
      <c r="M798" t="s">
        <v>33</v>
      </c>
      <c r="P798" s="1" t="s">
        <v>3148</v>
      </c>
      <c r="Q798" s="1" t="s">
        <v>2984</v>
      </c>
      <c r="R798" s="1" t="s">
        <v>2984</v>
      </c>
      <c r="S798" s="1"/>
      <c r="T798" s="1" t="s">
        <v>3147</v>
      </c>
      <c r="U798" s="1"/>
      <c r="V798" s="1">
        <v>840.0</v>
      </c>
      <c r="W798" s="1">
        <v>840.0</v>
      </c>
      <c r="X798" s="1" t="s">
        <v>35</v>
      </c>
      <c r="Y798" s="1">
        <v>840000.0</v>
      </c>
      <c r="Z798" s="1"/>
      <c r="AA798" s="1">
        <v>840000</v>
      </c>
      <c r="AB798" s="1"/>
      <c r="AC798" s="1" t="s">
        <v>36</v>
      </c>
      <c r="AD798" s="1" t="s">
        <v>3149</v>
      </c>
      <c r="AE798" s="1" t="s">
        <v>32</v>
      </c>
      <c r="AF798" s="1" t="s">
        <v>33</v>
      </c>
      <c r="AG798" s="1" t="s">
        <v>30</v>
      </c>
    </row>
    <row r="799" spans="1:33">
      <c r="A799" t="s">
        <v>3150</v>
      </c>
      <c r="B799" t="s">
        <v>3151</v>
      </c>
      <c r="C799" t="s">
        <v>3152</v>
      </c>
      <c r="E799" t="s">
        <v>2984</v>
      </c>
      <c r="F799" t="s">
        <v>2985</v>
      </c>
      <c r="G799">
        <v>115.75</v>
      </c>
      <c r="H799">
        <v>115.75</v>
      </c>
      <c r="I799" t="s">
        <v>29</v>
      </c>
      <c r="J799" t="s">
        <v>30</v>
      </c>
      <c r="K799" t="s">
        <v>31</v>
      </c>
      <c r="L799" t="s">
        <v>32</v>
      </c>
      <c r="M799" t="s">
        <v>33</v>
      </c>
      <c r="P799" s="1" t="s">
        <v>3153</v>
      </c>
      <c r="Q799" s="1" t="s">
        <v>2984</v>
      </c>
      <c r="R799" s="1" t="s">
        <v>2984</v>
      </c>
      <c r="S799" s="1"/>
      <c r="T799" s="1" t="s">
        <v>3152</v>
      </c>
      <c r="U799" s="1"/>
      <c r="V799" s="1">
        <v>115.75</v>
      </c>
      <c r="W799" s="1">
        <v>115.75</v>
      </c>
      <c r="X799" s="1" t="s">
        <v>35</v>
      </c>
      <c r="Y799" s="1">
        <v>115750.0</v>
      </c>
      <c r="Z799" s="1"/>
      <c r="AA799" s="1">
        <v>115750</v>
      </c>
      <c r="AB799" s="1"/>
      <c r="AC799" s="1" t="s">
        <v>36</v>
      </c>
      <c r="AD799" s="1" t="s">
        <v>3154</v>
      </c>
      <c r="AE799" s="1" t="s">
        <v>32</v>
      </c>
      <c r="AF799" s="1" t="s">
        <v>33</v>
      </c>
      <c r="AG799" s="1" t="s">
        <v>30</v>
      </c>
    </row>
    <row r="800" spans="1:33">
      <c r="A800" t="s">
        <v>3155</v>
      </c>
      <c r="B800" t="s">
        <v>3156</v>
      </c>
      <c r="C800" t="s">
        <v>131</v>
      </c>
      <c r="E800" t="s">
        <v>2984</v>
      </c>
      <c r="F800" t="s">
        <v>2985</v>
      </c>
      <c r="G800">
        <v>54.98</v>
      </c>
      <c r="H800">
        <v>54.98</v>
      </c>
      <c r="I800" t="s">
        <v>94</v>
      </c>
      <c r="J800" t="s">
        <v>95</v>
      </c>
      <c r="K800" t="s">
        <v>31</v>
      </c>
      <c r="L800" t="s">
        <v>32</v>
      </c>
      <c r="M800" t="s">
        <v>33</v>
      </c>
      <c r="P800" s="1" t="s">
        <v>3157</v>
      </c>
      <c r="Q800" s="1" t="s">
        <v>2984</v>
      </c>
      <c r="R800" s="1" t="s">
        <v>2984</v>
      </c>
      <c r="S800" s="1"/>
      <c r="T800" s="1" t="s">
        <v>131</v>
      </c>
      <c r="U800" s="1"/>
      <c r="V800" s="1">
        <v>54.98</v>
      </c>
      <c r="W800" s="1">
        <v>54.98</v>
      </c>
      <c r="X800" s="1" t="s">
        <v>35</v>
      </c>
      <c r="Y800" s="1">
        <v>54980.0</v>
      </c>
      <c r="Z800" s="1"/>
      <c r="AA800" s="1">
        <v>54980</v>
      </c>
      <c r="AB800" s="1"/>
      <c r="AC800" s="1" t="s">
        <v>36</v>
      </c>
      <c r="AD800" s="1" t="s">
        <v>3158</v>
      </c>
      <c r="AE800" s="1" t="s">
        <v>32</v>
      </c>
      <c r="AF800" s="1" t="s">
        <v>33</v>
      </c>
      <c r="AG800" s="1" t="s">
        <v>95</v>
      </c>
    </row>
    <row r="801" spans="1:33">
      <c r="A801" t="s">
        <v>3159</v>
      </c>
      <c r="B801" t="s">
        <v>3160</v>
      </c>
      <c r="C801" t="s">
        <v>68</v>
      </c>
      <c r="E801" t="s">
        <v>2984</v>
      </c>
      <c r="F801" t="s">
        <v>2985</v>
      </c>
      <c r="G801">
        <v>19.49</v>
      </c>
      <c r="H801">
        <v>19.49</v>
      </c>
      <c r="I801" t="s">
        <v>59</v>
      </c>
      <c r="J801" t="s">
        <v>60</v>
      </c>
      <c r="K801" t="s">
        <v>31</v>
      </c>
      <c r="L801" t="s">
        <v>32</v>
      </c>
      <c r="M801" t="s">
        <v>33</v>
      </c>
      <c r="P801" s="1" t="s">
        <v>3161</v>
      </c>
      <c r="Q801" s="1" t="s">
        <v>2984</v>
      </c>
      <c r="R801" s="1" t="s">
        <v>2984</v>
      </c>
      <c r="S801" s="1"/>
      <c r="T801" s="1" t="s">
        <v>68</v>
      </c>
      <c r="U801" s="1"/>
      <c r="V801" s="1">
        <v>19.49</v>
      </c>
      <c r="W801" s="1">
        <v>19.49</v>
      </c>
      <c r="X801" s="1" t="s">
        <v>35</v>
      </c>
      <c r="Y801" s="1">
        <v>19490.0</v>
      </c>
      <c r="Z801" s="1"/>
      <c r="AA801" s="1">
        <v>19490</v>
      </c>
      <c r="AB801" s="1"/>
      <c r="AC801" s="1" t="s">
        <v>36</v>
      </c>
      <c r="AD801" s="1" t="s">
        <v>3162</v>
      </c>
      <c r="AE801" s="1" t="s">
        <v>32</v>
      </c>
      <c r="AF801" s="1" t="s">
        <v>33</v>
      </c>
      <c r="AG801" s="1" t="s">
        <v>60</v>
      </c>
    </row>
    <row r="802" spans="1:33">
      <c r="A802" t="s">
        <v>3163</v>
      </c>
      <c r="B802" t="s">
        <v>3164</v>
      </c>
      <c r="C802" t="s">
        <v>47</v>
      </c>
      <c r="E802" t="s">
        <v>2984</v>
      </c>
      <c r="F802" t="s">
        <v>2985</v>
      </c>
      <c r="G802">
        <v>20.99</v>
      </c>
      <c r="H802">
        <v>20.99</v>
      </c>
      <c r="I802" t="s">
        <v>48</v>
      </c>
      <c r="J802" t="s">
        <v>49</v>
      </c>
      <c r="K802" t="s">
        <v>31</v>
      </c>
      <c r="L802" t="s">
        <v>32</v>
      </c>
      <c r="M802" t="s">
        <v>33</v>
      </c>
      <c r="P802" s="1" t="s">
        <v>3165</v>
      </c>
      <c r="Q802" s="1" t="s">
        <v>2984</v>
      </c>
      <c r="R802" s="1" t="s">
        <v>2984</v>
      </c>
      <c r="S802" s="1"/>
      <c r="T802" s="1" t="s">
        <v>47</v>
      </c>
      <c r="U802" s="1"/>
      <c r="V802" s="1">
        <v>20.99</v>
      </c>
      <c r="W802" s="1">
        <v>20.99</v>
      </c>
      <c r="X802" s="1" t="s">
        <v>35</v>
      </c>
      <c r="Y802" s="1">
        <v>20990.0</v>
      </c>
      <c r="Z802" s="1"/>
      <c r="AA802" s="1">
        <v>20990</v>
      </c>
      <c r="AB802" s="1"/>
      <c r="AC802" s="1" t="s">
        <v>36</v>
      </c>
      <c r="AD802" s="1" t="s">
        <v>3166</v>
      </c>
      <c r="AE802" s="1" t="s">
        <v>32</v>
      </c>
      <c r="AF802" s="1" t="s">
        <v>33</v>
      </c>
      <c r="AG802" s="1" t="s">
        <v>49</v>
      </c>
    </row>
    <row r="803" spans="1:33">
      <c r="A803" t="s">
        <v>3167</v>
      </c>
      <c r="B803" t="s">
        <v>3168</v>
      </c>
      <c r="C803" t="s">
        <v>3169</v>
      </c>
      <c r="E803" t="s">
        <v>2984</v>
      </c>
      <c r="F803" t="s">
        <v>2985</v>
      </c>
      <c r="G803">
        <v>1.335</v>
      </c>
      <c r="H803">
        <v>1.335</v>
      </c>
      <c r="I803" t="s">
        <v>529</v>
      </c>
      <c r="J803" t="s">
        <v>530</v>
      </c>
      <c r="K803" t="s">
        <v>31</v>
      </c>
      <c r="L803" t="s">
        <v>32</v>
      </c>
      <c r="M803" t="s">
        <v>33</v>
      </c>
      <c r="P803" s="1" t="s">
        <v>3170</v>
      </c>
      <c r="Q803" s="1" t="s">
        <v>2984</v>
      </c>
      <c r="R803" s="1" t="s">
        <v>2292</v>
      </c>
      <c r="S803" s="1"/>
      <c r="T803" s="1" t="s">
        <v>3169</v>
      </c>
      <c r="U803" s="1"/>
      <c r="V803" s="1">
        <v>1.335</v>
      </c>
      <c r="W803" s="1">
        <v>1.335</v>
      </c>
      <c r="X803" s="1" t="s">
        <v>35</v>
      </c>
      <c r="Y803" s="1">
        <v>1335046.0</v>
      </c>
      <c r="Z803" s="1"/>
      <c r="AA803" s="1">
        <v>1335046</v>
      </c>
      <c r="AB803" s="1"/>
      <c r="AC803" s="1" t="s">
        <v>36</v>
      </c>
      <c r="AD803" s="1" t="s">
        <v>3171</v>
      </c>
      <c r="AE803" s="1" t="s">
        <v>32</v>
      </c>
      <c r="AF803" s="1" t="s">
        <v>33</v>
      </c>
      <c r="AG803" s="1" t="s">
        <v>530</v>
      </c>
    </row>
    <row r="804" spans="1:33">
      <c r="A804" t="s">
        <v>3172</v>
      </c>
      <c r="B804" t="s">
        <v>3173</v>
      </c>
      <c r="C804" t="s">
        <v>68</v>
      </c>
      <c r="E804" t="s">
        <v>2984</v>
      </c>
      <c r="F804" t="s">
        <v>2985</v>
      </c>
      <c r="G804">
        <v>9.698</v>
      </c>
      <c r="H804">
        <v>9.698</v>
      </c>
      <c r="I804" t="s">
        <v>59</v>
      </c>
      <c r="J804" t="s">
        <v>60</v>
      </c>
      <c r="K804" t="s">
        <v>31</v>
      </c>
      <c r="L804" t="s">
        <v>32</v>
      </c>
      <c r="M804" t="s">
        <v>33</v>
      </c>
      <c r="P804" s="1" t="s">
        <v>3174</v>
      </c>
      <c r="Q804" s="1" t="s">
        <v>2984</v>
      </c>
      <c r="R804" s="1" t="s">
        <v>2984</v>
      </c>
      <c r="S804" s="1"/>
      <c r="T804" s="1" t="s">
        <v>68</v>
      </c>
      <c r="U804" s="1"/>
      <c r="V804" s="1">
        <v>9.698</v>
      </c>
      <c r="W804" s="1">
        <v>9.698</v>
      </c>
      <c r="X804" s="1" t="s">
        <v>35</v>
      </c>
      <c r="Y804" s="1">
        <v>9698.0</v>
      </c>
      <c r="Z804" s="1"/>
      <c r="AA804" s="1">
        <v>9698</v>
      </c>
      <c r="AB804" s="1"/>
      <c r="AC804" s="1" t="s">
        <v>36</v>
      </c>
      <c r="AD804" s="1" t="s">
        <v>3175</v>
      </c>
      <c r="AE804" s="1" t="s">
        <v>32</v>
      </c>
      <c r="AF804" s="1" t="s">
        <v>33</v>
      </c>
      <c r="AG804" s="1" t="s">
        <v>60</v>
      </c>
    </row>
    <row r="805" spans="1:33">
      <c r="A805" t="s">
        <v>3176</v>
      </c>
      <c r="B805" t="s">
        <v>1280</v>
      </c>
      <c r="C805" t="s">
        <v>1281</v>
      </c>
      <c r="E805" t="s">
        <v>2984</v>
      </c>
      <c r="F805" t="s">
        <v>2985</v>
      </c>
      <c r="G805">
        <v>423.2</v>
      </c>
      <c r="H805">
        <v>423.2</v>
      </c>
      <c r="I805" t="s">
        <v>529</v>
      </c>
      <c r="J805" t="s">
        <v>530</v>
      </c>
      <c r="K805" t="s">
        <v>31</v>
      </c>
      <c r="L805" t="s">
        <v>32</v>
      </c>
      <c r="M805" t="s">
        <v>33</v>
      </c>
      <c r="P805" s="1" t="s">
        <v>3177</v>
      </c>
      <c r="Q805" s="1" t="s">
        <v>2984</v>
      </c>
      <c r="R805" s="1" t="s">
        <v>2292</v>
      </c>
      <c r="S805" s="1"/>
      <c r="T805" s="1" t="s">
        <v>1281</v>
      </c>
      <c r="U805" s="1"/>
      <c r="V805" s="1">
        <v>423.2</v>
      </c>
      <c r="W805" s="1">
        <v>423.2</v>
      </c>
      <c r="X805" s="1" t="s">
        <v>35</v>
      </c>
      <c r="Y805" s="1">
        <v>423200.0</v>
      </c>
      <c r="Z805" s="1"/>
      <c r="AA805" s="1">
        <v>423200</v>
      </c>
      <c r="AB805" s="1"/>
      <c r="AC805" s="1" t="s">
        <v>36</v>
      </c>
      <c r="AD805" s="1" t="s">
        <v>3178</v>
      </c>
      <c r="AE805" s="1" t="s">
        <v>32</v>
      </c>
      <c r="AF805" s="1" t="s">
        <v>33</v>
      </c>
      <c r="AG805" s="1" t="s">
        <v>530</v>
      </c>
    </row>
    <row r="806" spans="1:33">
      <c r="A806" t="s">
        <v>3179</v>
      </c>
      <c r="B806" t="s">
        <v>3180</v>
      </c>
      <c r="C806" t="s">
        <v>73</v>
      </c>
      <c r="E806" t="s">
        <v>2984</v>
      </c>
      <c r="F806" t="s">
        <v>2985</v>
      </c>
      <c r="G806">
        <v>127.96</v>
      </c>
      <c r="H806">
        <v>127.96</v>
      </c>
      <c r="I806" t="s">
        <v>40</v>
      </c>
      <c r="J806" t="s">
        <v>41</v>
      </c>
      <c r="K806" t="s">
        <v>31</v>
      </c>
      <c r="L806" t="s">
        <v>32</v>
      </c>
      <c r="M806" t="s">
        <v>33</v>
      </c>
      <c r="P806" s="1" t="s">
        <v>3181</v>
      </c>
      <c r="Q806" s="1" t="s">
        <v>2984</v>
      </c>
      <c r="R806" s="1" t="s">
        <v>2292</v>
      </c>
      <c r="S806" s="1"/>
      <c r="T806" s="1" t="s">
        <v>75</v>
      </c>
      <c r="U806" s="1" t="s">
        <v>76</v>
      </c>
      <c r="V806" s="1">
        <v>127.96</v>
      </c>
      <c r="W806" s="1">
        <v>127.96</v>
      </c>
      <c r="X806" s="1" t="s">
        <v>35</v>
      </c>
      <c r="Y806" s="1">
        <v>127960.0</v>
      </c>
      <c r="Z806" s="1"/>
      <c r="AA806" s="1">
        <v>127960</v>
      </c>
      <c r="AB806" s="1"/>
      <c r="AC806" s="1" t="s">
        <v>36</v>
      </c>
      <c r="AD806" s="1" t="s">
        <v>3178</v>
      </c>
      <c r="AE806" s="1" t="s">
        <v>32</v>
      </c>
      <c r="AF806" s="1" t="s">
        <v>33</v>
      </c>
      <c r="AG806" s="1" t="s">
        <v>41</v>
      </c>
    </row>
    <row r="807" spans="1:33">
      <c r="A807" t="s">
        <v>3182</v>
      </c>
      <c r="B807" t="s">
        <v>3183</v>
      </c>
      <c r="C807" t="s">
        <v>125</v>
      </c>
      <c r="E807" t="s">
        <v>2984</v>
      </c>
      <c r="F807" t="s">
        <v>2985</v>
      </c>
      <c r="G807">
        <v>4.709</v>
      </c>
      <c r="H807">
        <v>4.709</v>
      </c>
      <c r="I807" t="s">
        <v>126</v>
      </c>
      <c r="J807" t="s">
        <v>127</v>
      </c>
      <c r="K807" t="s">
        <v>31</v>
      </c>
      <c r="L807" t="s">
        <v>32</v>
      </c>
      <c r="M807" t="s">
        <v>33</v>
      </c>
      <c r="P807" s="1" t="s">
        <v>3184</v>
      </c>
      <c r="Q807" s="1" t="s">
        <v>2984</v>
      </c>
      <c r="R807" s="1" t="s">
        <v>2984</v>
      </c>
      <c r="S807" s="1"/>
      <c r="T807" s="1" t="s">
        <v>125</v>
      </c>
      <c r="U807" s="1"/>
      <c r="V807" s="1">
        <v>4.709</v>
      </c>
      <c r="W807" s="1">
        <v>4.709</v>
      </c>
      <c r="X807" s="1" t="s">
        <v>35</v>
      </c>
      <c r="Y807" s="1">
        <v>4709.0</v>
      </c>
      <c r="Z807" s="1"/>
      <c r="AA807" s="1">
        <v>4709</v>
      </c>
      <c r="AB807" s="1"/>
      <c r="AC807" s="1" t="s">
        <v>36</v>
      </c>
      <c r="AD807" s="1" t="s">
        <v>3185</v>
      </c>
      <c r="AE807" s="1" t="s">
        <v>32</v>
      </c>
      <c r="AF807" s="1" t="s">
        <v>33</v>
      </c>
      <c r="AG807" s="1" t="s">
        <v>127</v>
      </c>
    </row>
    <row r="808" spans="1:33">
      <c r="A808" t="s">
        <v>3186</v>
      </c>
      <c r="C808" t="s">
        <v>131</v>
      </c>
      <c r="E808" t="s">
        <v>2984</v>
      </c>
      <c r="F808" t="s">
        <v>2985</v>
      </c>
      <c r="G808">
        <v>21.99</v>
      </c>
      <c r="H808">
        <v>21.99</v>
      </c>
      <c r="I808" t="s">
        <v>94</v>
      </c>
      <c r="J808" t="s">
        <v>95</v>
      </c>
      <c r="K808" t="s">
        <v>31</v>
      </c>
      <c r="L808" t="s">
        <v>32</v>
      </c>
      <c r="M808" t="s">
        <v>33</v>
      </c>
      <c r="P808" s="1" t="s">
        <v>3187</v>
      </c>
      <c r="Q808" s="1" t="s">
        <v>2984</v>
      </c>
      <c r="R808" s="1" t="s">
        <v>2984</v>
      </c>
      <c r="S808" s="1"/>
      <c r="T808" s="1" t="s">
        <v>131</v>
      </c>
      <c r="U808" s="1"/>
      <c r="V808" s="1">
        <v>21.99</v>
      </c>
      <c r="W808" s="1">
        <v>21.99</v>
      </c>
      <c r="X808" s="1" t="s">
        <v>35</v>
      </c>
      <c r="Y808" s="1">
        <v>21990.0</v>
      </c>
      <c r="Z808" s="1"/>
      <c r="AA808" s="1">
        <v>21990</v>
      </c>
      <c r="AB808" s="1"/>
      <c r="AC808" s="1" t="s">
        <v>36</v>
      </c>
      <c r="AD808" s="1" t="s">
        <v>3188</v>
      </c>
      <c r="AE808" s="1" t="s">
        <v>32</v>
      </c>
      <c r="AF808" s="1" t="s">
        <v>33</v>
      </c>
      <c r="AG808" s="1" t="s">
        <v>95</v>
      </c>
    </row>
    <row r="809" spans="1:33">
      <c r="A809" t="s">
        <v>3189</v>
      </c>
      <c r="C809" t="s">
        <v>93</v>
      </c>
      <c r="E809" t="s">
        <v>2984</v>
      </c>
      <c r="F809" t="s">
        <v>2985</v>
      </c>
      <c r="G809">
        <v>1.985</v>
      </c>
      <c r="H809">
        <v>1.985</v>
      </c>
      <c r="I809" t="s">
        <v>94</v>
      </c>
      <c r="J809" t="s">
        <v>95</v>
      </c>
      <c r="K809" t="s">
        <v>31</v>
      </c>
      <c r="L809" t="s">
        <v>32</v>
      </c>
      <c r="M809" t="s">
        <v>33</v>
      </c>
      <c r="P809" s="1" t="s">
        <v>3190</v>
      </c>
      <c r="Q809" s="1" t="s">
        <v>2984</v>
      </c>
      <c r="R809" s="1" t="s">
        <v>2984</v>
      </c>
      <c r="S809" s="1"/>
      <c r="T809" s="1" t="s">
        <v>93</v>
      </c>
      <c r="U809" s="1"/>
      <c r="V809" s="1">
        <v>1.985</v>
      </c>
      <c r="W809" s="1">
        <v>1.985</v>
      </c>
      <c r="X809" s="1" t="s">
        <v>35</v>
      </c>
      <c r="Y809" s="1">
        <v>1985250.0</v>
      </c>
      <c r="Z809" s="1"/>
      <c r="AA809" s="1">
        <v>1985250</v>
      </c>
      <c r="AB809" s="1"/>
      <c r="AC809" s="1" t="s">
        <v>36</v>
      </c>
      <c r="AD809" s="1" t="s">
        <v>1820</v>
      </c>
      <c r="AE809" s="1" t="s">
        <v>32</v>
      </c>
      <c r="AF809" s="1" t="s">
        <v>33</v>
      </c>
      <c r="AG809" s="1" t="s">
        <v>95</v>
      </c>
    </row>
    <row r="810" spans="1:33">
      <c r="A810" t="s">
        <v>3191</v>
      </c>
      <c r="B810" t="s">
        <v>3192</v>
      </c>
      <c r="C810" t="s">
        <v>47</v>
      </c>
      <c r="E810" t="s">
        <v>2984</v>
      </c>
      <c r="F810" t="s">
        <v>2985</v>
      </c>
      <c r="G810">
        <v>20.99</v>
      </c>
      <c r="H810">
        <v>20.99</v>
      </c>
      <c r="I810" t="s">
        <v>48</v>
      </c>
      <c r="J810" t="s">
        <v>49</v>
      </c>
      <c r="K810" t="s">
        <v>31</v>
      </c>
      <c r="L810" t="s">
        <v>32</v>
      </c>
      <c r="M810" t="s">
        <v>33</v>
      </c>
      <c r="P810" s="1" t="s">
        <v>3193</v>
      </c>
      <c r="Q810" s="1" t="s">
        <v>2984</v>
      </c>
      <c r="R810" s="1" t="s">
        <v>2984</v>
      </c>
      <c r="S810" s="1"/>
      <c r="T810" s="1" t="s">
        <v>47</v>
      </c>
      <c r="U810" s="1"/>
      <c r="V810" s="1">
        <v>20.99</v>
      </c>
      <c r="W810" s="1">
        <v>20.99</v>
      </c>
      <c r="X810" s="1" t="s">
        <v>35</v>
      </c>
      <c r="Y810" s="1">
        <v>20990.0</v>
      </c>
      <c r="Z810" s="1"/>
      <c r="AA810" s="1">
        <v>20990</v>
      </c>
      <c r="AB810" s="1"/>
      <c r="AC810" s="1" t="s">
        <v>36</v>
      </c>
      <c r="AD810" s="1" t="s">
        <v>3194</v>
      </c>
      <c r="AE810" s="1" t="s">
        <v>32</v>
      </c>
      <c r="AF810" s="1" t="s">
        <v>33</v>
      </c>
      <c r="AG810" s="1" t="s">
        <v>49</v>
      </c>
    </row>
    <row r="811" spans="1:33">
      <c r="A811" t="s">
        <v>3195</v>
      </c>
      <c r="C811" t="s">
        <v>3196</v>
      </c>
      <c r="E811" t="s">
        <v>2984</v>
      </c>
      <c r="F811" t="s">
        <v>2985</v>
      </c>
      <c r="G811">
        <v>614.9</v>
      </c>
      <c r="H811">
        <v>614.9</v>
      </c>
      <c r="I811" t="s">
        <v>847</v>
      </c>
      <c r="J811" t="s">
        <v>848</v>
      </c>
      <c r="K811" t="s">
        <v>31</v>
      </c>
      <c r="L811" t="s">
        <v>32</v>
      </c>
      <c r="M811" t="s">
        <v>33</v>
      </c>
      <c r="P811" s="1" t="s">
        <v>3197</v>
      </c>
      <c r="Q811" s="1" t="s">
        <v>2984</v>
      </c>
      <c r="R811" s="1" t="s">
        <v>2984</v>
      </c>
      <c r="S811" s="1"/>
      <c r="T811" s="1" t="s">
        <v>3196</v>
      </c>
      <c r="U811" s="1"/>
      <c r="V811" s="1">
        <v>614.9</v>
      </c>
      <c r="W811" s="1">
        <v>614.9</v>
      </c>
      <c r="X811" s="1" t="s">
        <v>35</v>
      </c>
      <c r="Y811" s="1">
        <v>614900.0</v>
      </c>
      <c r="Z811" s="1"/>
      <c r="AA811" s="1">
        <v>614900</v>
      </c>
      <c r="AB811" s="1"/>
      <c r="AC811" s="1" t="s">
        <v>36</v>
      </c>
      <c r="AD811" s="1" t="s">
        <v>3198</v>
      </c>
      <c r="AE811" s="1" t="s">
        <v>32</v>
      </c>
      <c r="AF811" s="1" t="s">
        <v>33</v>
      </c>
      <c r="AG811" s="1" t="s">
        <v>848</v>
      </c>
    </row>
    <row r="812" spans="1:33">
      <c r="A812" t="s">
        <v>3199</v>
      </c>
      <c r="B812" t="s">
        <v>3200</v>
      </c>
      <c r="C812" t="s">
        <v>569</v>
      </c>
      <c r="E812" t="s">
        <v>2984</v>
      </c>
      <c r="F812" t="s">
        <v>2985</v>
      </c>
      <c r="G812">
        <v>65.97</v>
      </c>
      <c r="H812">
        <v>65.97</v>
      </c>
      <c r="I812" t="s">
        <v>570</v>
      </c>
      <c r="J812" t="s">
        <v>571</v>
      </c>
      <c r="K812" t="s">
        <v>31</v>
      </c>
      <c r="L812" t="s">
        <v>32</v>
      </c>
      <c r="M812" t="s">
        <v>33</v>
      </c>
      <c r="P812" s="1" t="s">
        <v>3201</v>
      </c>
      <c r="Q812" s="1" t="s">
        <v>2984</v>
      </c>
      <c r="R812" s="1" t="s">
        <v>2984</v>
      </c>
      <c r="S812" s="1"/>
      <c r="T812" s="1" t="s">
        <v>569</v>
      </c>
      <c r="U812" s="1"/>
      <c r="V812" s="1">
        <v>65.97</v>
      </c>
      <c r="W812" s="1">
        <v>65.97</v>
      </c>
      <c r="X812" s="1" t="s">
        <v>35</v>
      </c>
      <c r="Y812" s="1">
        <v>65970.0</v>
      </c>
      <c r="Z812" s="1"/>
      <c r="AA812" s="1">
        <v>65970</v>
      </c>
      <c r="AB812" s="1"/>
      <c r="AC812" s="1" t="s">
        <v>36</v>
      </c>
      <c r="AD812" s="1" t="s">
        <v>3202</v>
      </c>
      <c r="AE812" s="1" t="s">
        <v>32</v>
      </c>
      <c r="AF812" s="1" t="s">
        <v>33</v>
      </c>
      <c r="AG812" s="1" t="s">
        <v>571</v>
      </c>
    </row>
    <row r="813" spans="1:33">
      <c r="A813" t="s">
        <v>3203</v>
      </c>
      <c r="B813" t="s">
        <v>3204</v>
      </c>
      <c r="C813" t="s">
        <v>125</v>
      </c>
      <c r="E813" t="s">
        <v>2984</v>
      </c>
      <c r="F813" t="s">
        <v>2985</v>
      </c>
      <c r="G813">
        <v>4.72</v>
      </c>
      <c r="H813">
        <v>4.72</v>
      </c>
      <c r="I813" t="s">
        <v>126</v>
      </c>
      <c r="J813" t="s">
        <v>127</v>
      </c>
      <c r="K813" t="s">
        <v>31</v>
      </c>
      <c r="L813" t="s">
        <v>32</v>
      </c>
      <c r="M813" t="s">
        <v>33</v>
      </c>
      <c r="P813" s="1" t="s">
        <v>3205</v>
      </c>
      <c r="Q813" s="1" t="s">
        <v>2984</v>
      </c>
      <c r="R813" s="1" t="s">
        <v>2984</v>
      </c>
      <c r="S813" s="1"/>
      <c r="T813" s="1" t="s">
        <v>125</v>
      </c>
      <c r="U813" s="1"/>
      <c r="V813" s="1">
        <v>4.72</v>
      </c>
      <c r="W813" s="1">
        <v>4.72</v>
      </c>
      <c r="X813" s="1" t="s">
        <v>35</v>
      </c>
      <c r="Y813" s="1">
        <v>4720.0</v>
      </c>
      <c r="Z813" s="1"/>
      <c r="AA813" s="1">
        <v>4720</v>
      </c>
      <c r="AB813" s="1"/>
      <c r="AC813" s="1" t="s">
        <v>36</v>
      </c>
      <c r="AD813" s="1" t="s">
        <v>3206</v>
      </c>
      <c r="AE813" s="1" t="s">
        <v>32</v>
      </c>
      <c r="AF813" s="1" t="s">
        <v>33</v>
      </c>
      <c r="AG813" s="1" t="s">
        <v>127</v>
      </c>
    </row>
    <row r="814" spans="1:33">
      <c r="A814" t="s">
        <v>3207</v>
      </c>
      <c r="B814" t="s">
        <v>3208</v>
      </c>
      <c r="C814" t="s">
        <v>68</v>
      </c>
      <c r="E814" t="s">
        <v>2984</v>
      </c>
      <c r="F814" t="s">
        <v>2985</v>
      </c>
      <c r="G814">
        <v>3.0</v>
      </c>
      <c r="H814">
        <v>3.0</v>
      </c>
      <c r="I814" t="s">
        <v>59</v>
      </c>
      <c r="J814" t="s">
        <v>60</v>
      </c>
      <c r="K814" t="s">
        <v>31</v>
      </c>
      <c r="L814" t="s">
        <v>32</v>
      </c>
      <c r="M814" t="s">
        <v>33</v>
      </c>
      <c r="P814" s="1" t="s">
        <v>3209</v>
      </c>
      <c r="Q814" s="1" t="s">
        <v>2984</v>
      </c>
      <c r="R814" s="1" t="s">
        <v>2984</v>
      </c>
      <c r="S814" s="1"/>
      <c r="T814" s="1" t="s">
        <v>68</v>
      </c>
      <c r="U814" s="1"/>
      <c r="V814" s="1">
        <v>3.0</v>
      </c>
      <c r="W814" s="1">
        <v>3.0</v>
      </c>
      <c r="X814" s="1" t="s">
        <v>35</v>
      </c>
      <c r="Y814" s="1">
        <v>3000.0</v>
      </c>
      <c r="Z814" s="1"/>
      <c r="AA814" s="1">
        <v>3000</v>
      </c>
      <c r="AB814" s="1"/>
      <c r="AC814" s="1" t="s">
        <v>36</v>
      </c>
      <c r="AD814" s="1" t="s">
        <v>3202</v>
      </c>
      <c r="AE814" s="1" t="s">
        <v>32</v>
      </c>
      <c r="AF814" s="1" t="s">
        <v>33</v>
      </c>
      <c r="AG814" s="1" t="s">
        <v>60</v>
      </c>
    </row>
    <row r="815" spans="1:33">
      <c r="A815" t="s">
        <v>3210</v>
      </c>
      <c r="B815" t="s">
        <v>3211</v>
      </c>
      <c r="C815" t="s">
        <v>314</v>
      </c>
      <c r="E815" t="s">
        <v>2984</v>
      </c>
      <c r="F815" t="s">
        <v>2985</v>
      </c>
      <c r="G815">
        <v>18.59</v>
      </c>
      <c r="H815">
        <v>18.59</v>
      </c>
      <c r="I815" t="s">
        <v>179</v>
      </c>
      <c r="J815" t="s">
        <v>180</v>
      </c>
      <c r="K815" t="s">
        <v>31</v>
      </c>
      <c r="L815" t="s">
        <v>32</v>
      </c>
      <c r="M815" t="s">
        <v>33</v>
      </c>
      <c r="P815" s="1" t="s">
        <v>3212</v>
      </c>
      <c r="Q815" s="1" t="s">
        <v>2984</v>
      </c>
      <c r="R815" s="1" t="s">
        <v>2984</v>
      </c>
      <c r="S815" s="1"/>
      <c r="T815" s="1" t="s">
        <v>314</v>
      </c>
      <c r="U815" s="1"/>
      <c r="V815" s="1">
        <v>18.59</v>
      </c>
      <c r="W815" s="1">
        <v>18.59</v>
      </c>
      <c r="X815" s="1" t="s">
        <v>35</v>
      </c>
      <c r="Y815" s="1">
        <v>18590.0</v>
      </c>
      <c r="Z815" s="1"/>
      <c r="AA815" s="1">
        <v>18590</v>
      </c>
      <c r="AB815" s="1"/>
      <c r="AC815" s="1" t="s">
        <v>36</v>
      </c>
      <c r="AD815" s="1" t="s">
        <v>3213</v>
      </c>
      <c r="AE815" s="1" t="s">
        <v>32</v>
      </c>
      <c r="AF815" s="1" t="s">
        <v>33</v>
      </c>
      <c r="AG815" s="1" t="s">
        <v>180</v>
      </c>
    </row>
    <row r="816" spans="1:33">
      <c r="A816" t="s">
        <v>3214</v>
      </c>
      <c r="C816" t="s">
        <v>131</v>
      </c>
      <c r="E816" t="s">
        <v>2984</v>
      </c>
      <c r="F816" t="s">
        <v>2985</v>
      </c>
      <c r="G816">
        <v>369.9</v>
      </c>
      <c r="H816">
        <v>369.9</v>
      </c>
      <c r="I816" t="s">
        <v>94</v>
      </c>
      <c r="J816" t="s">
        <v>95</v>
      </c>
      <c r="K816" t="s">
        <v>31</v>
      </c>
      <c r="L816" t="s">
        <v>32</v>
      </c>
      <c r="M816" t="s">
        <v>33</v>
      </c>
      <c r="P816" s="1" t="s">
        <v>3215</v>
      </c>
      <c r="Q816" s="1" t="s">
        <v>2984</v>
      </c>
      <c r="R816" s="1" t="s">
        <v>2984</v>
      </c>
      <c r="S816" s="1"/>
      <c r="T816" s="1" t="s">
        <v>131</v>
      </c>
      <c r="U816" s="1"/>
      <c r="V816" s="1">
        <v>369.9</v>
      </c>
      <c r="W816" s="1">
        <v>369.9</v>
      </c>
      <c r="X816" s="1" t="s">
        <v>35</v>
      </c>
      <c r="Y816" s="1">
        <v>369900.0</v>
      </c>
      <c r="Z816" s="1"/>
      <c r="AA816" s="1">
        <v>369900</v>
      </c>
      <c r="AB816" s="1"/>
      <c r="AC816" s="1" t="s">
        <v>36</v>
      </c>
      <c r="AD816" s="1" t="s">
        <v>3216</v>
      </c>
      <c r="AE816" s="1" t="s">
        <v>32</v>
      </c>
      <c r="AF816" s="1" t="s">
        <v>33</v>
      </c>
      <c r="AG816" s="1" t="s">
        <v>95</v>
      </c>
    </row>
    <row r="817" spans="1:33">
      <c r="A817" t="s">
        <v>3217</v>
      </c>
      <c r="B817" t="s">
        <v>3218</v>
      </c>
      <c r="C817" t="s">
        <v>47</v>
      </c>
      <c r="E817" t="s">
        <v>2984</v>
      </c>
      <c r="F817" t="s">
        <v>2985</v>
      </c>
      <c r="G817">
        <v>21.99</v>
      </c>
      <c r="H817">
        <v>21.99</v>
      </c>
      <c r="I817" t="s">
        <v>48</v>
      </c>
      <c r="J817" t="s">
        <v>49</v>
      </c>
      <c r="K817" t="s">
        <v>31</v>
      </c>
      <c r="L817" t="s">
        <v>32</v>
      </c>
      <c r="M817" t="s">
        <v>33</v>
      </c>
      <c r="P817" s="1" t="s">
        <v>3219</v>
      </c>
      <c r="Q817" s="1" t="s">
        <v>2984</v>
      </c>
      <c r="R817" s="1" t="s">
        <v>2984</v>
      </c>
      <c r="S817" s="1"/>
      <c r="T817" s="1" t="s">
        <v>47</v>
      </c>
      <c r="U817" s="1"/>
      <c r="V817" s="1">
        <v>21.99</v>
      </c>
      <c r="W817" s="1">
        <v>21.99</v>
      </c>
      <c r="X817" s="1" t="s">
        <v>35</v>
      </c>
      <c r="Y817" s="1">
        <v>21990.0</v>
      </c>
      <c r="Z817" s="1"/>
      <c r="AA817" s="1">
        <v>21990</v>
      </c>
      <c r="AB817" s="1"/>
      <c r="AC817" s="1" t="s">
        <v>36</v>
      </c>
      <c r="AD817" s="1" t="s">
        <v>3220</v>
      </c>
      <c r="AE817" s="1" t="s">
        <v>32</v>
      </c>
      <c r="AF817" s="1" t="s">
        <v>33</v>
      </c>
      <c r="AG817" s="1" t="s">
        <v>49</v>
      </c>
    </row>
    <row r="818" spans="1:33">
      <c r="A818" t="s">
        <v>3221</v>
      </c>
      <c r="B818" t="s">
        <v>1583</v>
      </c>
      <c r="C818" t="s">
        <v>47</v>
      </c>
      <c r="E818" t="s">
        <v>2984</v>
      </c>
      <c r="F818" t="s">
        <v>2985</v>
      </c>
      <c r="G818">
        <v>52.351</v>
      </c>
      <c r="H818">
        <v>52.351</v>
      </c>
      <c r="I818" t="s">
        <v>48</v>
      </c>
      <c r="J818" t="s">
        <v>49</v>
      </c>
      <c r="K818" t="s">
        <v>31</v>
      </c>
      <c r="L818" t="s">
        <v>32</v>
      </c>
      <c r="M818" t="s">
        <v>33</v>
      </c>
      <c r="P818" s="1" t="s">
        <v>3222</v>
      </c>
      <c r="Q818" s="1" t="s">
        <v>2984</v>
      </c>
      <c r="R818" s="1" t="s">
        <v>2984</v>
      </c>
      <c r="S818" s="1"/>
      <c r="T818" s="1" t="s">
        <v>47</v>
      </c>
      <c r="U818" s="1"/>
      <c r="V818" s="1">
        <v>52.351</v>
      </c>
      <c r="W818" s="1">
        <v>52.351</v>
      </c>
      <c r="X818" s="1" t="s">
        <v>35</v>
      </c>
      <c r="Y818" s="1">
        <v>52351.0</v>
      </c>
      <c r="Z818" s="1"/>
      <c r="AA818" s="1">
        <v>52351</v>
      </c>
      <c r="AB818" s="1"/>
      <c r="AC818" s="1" t="s">
        <v>36</v>
      </c>
      <c r="AD818" s="1" t="s">
        <v>3213</v>
      </c>
      <c r="AE818" s="1" t="s">
        <v>32</v>
      </c>
      <c r="AF818" s="1" t="s">
        <v>33</v>
      </c>
      <c r="AG818" s="1" t="s">
        <v>49</v>
      </c>
    </row>
    <row r="819" spans="1:33">
      <c r="A819" t="s">
        <v>3223</v>
      </c>
      <c r="B819" t="s">
        <v>3224</v>
      </c>
      <c r="C819" t="s">
        <v>3225</v>
      </c>
      <c r="D819" t="s">
        <v>114</v>
      </c>
      <c r="E819" t="s">
        <v>2984</v>
      </c>
      <c r="F819" t="s">
        <v>2985</v>
      </c>
      <c r="G819">
        <v>740.0</v>
      </c>
      <c r="H819">
        <v>740.0</v>
      </c>
      <c r="I819" t="s">
        <v>59</v>
      </c>
      <c r="J819" t="s">
        <v>60</v>
      </c>
      <c r="K819" t="s">
        <v>31</v>
      </c>
      <c r="L819" t="s">
        <v>32</v>
      </c>
      <c r="M819" t="s">
        <v>33</v>
      </c>
      <c r="P819" s="1" t="s">
        <v>3226</v>
      </c>
      <c r="Q819" s="1" t="s">
        <v>2984</v>
      </c>
      <c r="R819" s="1" t="s">
        <v>2984</v>
      </c>
      <c r="S819" s="1"/>
      <c r="T819" s="1" t="s">
        <v>3227</v>
      </c>
      <c r="U819" s="1" t="s">
        <v>3228</v>
      </c>
      <c r="V819" s="1">
        <v>740.0</v>
      </c>
      <c r="W819" s="1">
        <v>740.0</v>
      </c>
      <c r="X819" s="1" t="s">
        <v>35</v>
      </c>
      <c r="Y819" s="1">
        <v>740000.0</v>
      </c>
      <c r="Z819" s="1"/>
      <c r="AA819" s="1">
        <v>740000</v>
      </c>
      <c r="AB819" s="1"/>
      <c r="AC819" s="1" t="s">
        <v>36</v>
      </c>
      <c r="AD819" s="1" t="s">
        <v>3229</v>
      </c>
      <c r="AE819" s="1" t="s">
        <v>32</v>
      </c>
      <c r="AF819" s="1" t="s">
        <v>33</v>
      </c>
      <c r="AG819" s="1" t="s">
        <v>60</v>
      </c>
    </row>
    <row r="820" spans="1:33">
      <c r="A820" t="s">
        <v>3230</v>
      </c>
      <c r="B820" t="s">
        <v>3231</v>
      </c>
      <c r="C820" t="s">
        <v>906</v>
      </c>
      <c r="E820" t="s">
        <v>2984</v>
      </c>
      <c r="F820" t="s">
        <v>2985</v>
      </c>
      <c r="G820">
        <v>910.0</v>
      </c>
      <c r="H820">
        <v>910.0</v>
      </c>
      <c r="I820" t="s">
        <v>847</v>
      </c>
      <c r="J820" t="s">
        <v>848</v>
      </c>
      <c r="K820" t="s">
        <v>31</v>
      </c>
      <c r="L820" t="s">
        <v>32</v>
      </c>
      <c r="M820" t="s">
        <v>33</v>
      </c>
      <c r="P820" s="1" t="s">
        <v>3232</v>
      </c>
      <c r="Q820" s="1" t="s">
        <v>2984</v>
      </c>
      <c r="R820" s="1" t="s">
        <v>2984</v>
      </c>
      <c r="S820" s="1"/>
      <c r="T820" s="1" t="s">
        <v>906</v>
      </c>
      <c r="U820" s="1"/>
      <c r="V820" s="1">
        <v>910.0</v>
      </c>
      <c r="W820" s="1">
        <v>910.0</v>
      </c>
      <c r="X820" s="1" t="s">
        <v>35</v>
      </c>
      <c r="Y820" s="1">
        <v>910000.0</v>
      </c>
      <c r="Z820" s="1"/>
      <c r="AA820" s="1">
        <v>910000</v>
      </c>
      <c r="AB820" s="1"/>
      <c r="AC820" s="1" t="s">
        <v>36</v>
      </c>
      <c r="AD820" s="1" t="s">
        <v>3213</v>
      </c>
      <c r="AE820" s="1" t="s">
        <v>32</v>
      </c>
      <c r="AF820" s="1" t="s">
        <v>33</v>
      </c>
      <c r="AG820" s="1" t="s">
        <v>848</v>
      </c>
    </row>
    <row r="821" spans="1:33">
      <c r="A821" t="s">
        <v>3233</v>
      </c>
      <c r="C821" t="s">
        <v>3234</v>
      </c>
      <c r="D821" t="s">
        <v>114</v>
      </c>
      <c r="E821" t="s">
        <v>2984</v>
      </c>
      <c r="F821" t="s">
        <v>2985</v>
      </c>
      <c r="G821">
        <v>704.0</v>
      </c>
      <c r="H821">
        <v>704.0</v>
      </c>
      <c r="I821" t="s">
        <v>179</v>
      </c>
      <c r="J821" t="s">
        <v>180</v>
      </c>
      <c r="K821" t="s">
        <v>31</v>
      </c>
      <c r="L821" t="s">
        <v>32</v>
      </c>
      <c r="M821" t="s">
        <v>33</v>
      </c>
      <c r="P821" s="1" t="s">
        <v>3235</v>
      </c>
      <c r="Q821" s="1" t="s">
        <v>2984</v>
      </c>
      <c r="R821" s="1" t="s">
        <v>2984</v>
      </c>
      <c r="S821" s="1"/>
      <c r="T821" s="1" t="s">
        <v>3234</v>
      </c>
      <c r="U821" s="1"/>
      <c r="V821" s="1">
        <v>704.0</v>
      </c>
      <c r="W821" s="1">
        <v>704.0</v>
      </c>
      <c r="X821" s="1" t="s">
        <v>35</v>
      </c>
      <c r="Y821" s="1">
        <v>704000.0</v>
      </c>
      <c r="Z821" s="1"/>
      <c r="AA821" s="1">
        <v>704000</v>
      </c>
      <c r="AB821" s="1"/>
      <c r="AC821" s="1" t="s">
        <v>36</v>
      </c>
      <c r="AD821" s="1" t="s">
        <v>3236</v>
      </c>
      <c r="AE821" s="1" t="s">
        <v>32</v>
      </c>
      <c r="AF821" s="1" t="s">
        <v>33</v>
      </c>
      <c r="AG821" s="1" t="s">
        <v>180</v>
      </c>
    </row>
    <row r="822" spans="1:33">
      <c r="A822" t="s">
        <v>3237</v>
      </c>
      <c r="B822" t="s">
        <v>2422</v>
      </c>
      <c r="C822" t="s">
        <v>314</v>
      </c>
      <c r="E822" t="s">
        <v>3238</v>
      </c>
      <c r="F822" t="s">
        <v>3239</v>
      </c>
      <c r="G822">
        <v>37.49</v>
      </c>
      <c r="H822">
        <v>37.49</v>
      </c>
      <c r="I822" t="s">
        <v>179</v>
      </c>
      <c r="J822" t="s">
        <v>180</v>
      </c>
      <c r="K822" t="s">
        <v>31</v>
      </c>
      <c r="L822" t="s">
        <v>32</v>
      </c>
      <c r="M822" t="s">
        <v>33</v>
      </c>
      <c r="P822" s="1" t="s">
        <v>3240</v>
      </c>
      <c r="Q822" s="1" t="s">
        <v>2984</v>
      </c>
      <c r="R822" s="1" t="s">
        <v>2984</v>
      </c>
      <c r="S822" s="1"/>
      <c r="T822" s="1" t="s">
        <v>314</v>
      </c>
      <c r="U822" s="1"/>
      <c r="V822" s="1">
        <v>37.49</v>
      </c>
      <c r="W822" s="1">
        <v>37.49</v>
      </c>
      <c r="X822" s="1" t="s">
        <v>35</v>
      </c>
      <c r="Y822" s="1">
        <v>37490.0</v>
      </c>
      <c r="Z822" s="1"/>
      <c r="AA822" s="1">
        <v>37490</v>
      </c>
      <c r="AB822" s="1"/>
      <c r="AC822" s="1" t="s">
        <v>36</v>
      </c>
      <c r="AD822" s="1" t="s">
        <v>3241</v>
      </c>
      <c r="AE822" s="1" t="s">
        <v>32</v>
      </c>
      <c r="AF822" s="1" t="s">
        <v>33</v>
      </c>
      <c r="AG822" s="1" t="s">
        <v>180</v>
      </c>
    </row>
    <row r="823" spans="1:33">
      <c r="A823" t="s">
        <v>3242</v>
      </c>
      <c r="B823" t="s">
        <v>3243</v>
      </c>
      <c r="C823" t="s">
        <v>3244</v>
      </c>
      <c r="E823" t="s">
        <v>2984</v>
      </c>
      <c r="F823" t="s">
        <v>2985</v>
      </c>
      <c r="G823">
        <v>370.0</v>
      </c>
      <c r="H823">
        <v>370.0</v>
      </c>
      <c r="I823" t="s">
        <v>59</v>
      </c>
      <c r="J823" t="s">
        <v>60</v>
      </c>
      <c r="K823" t="s">
        <v>31</v>
      </c>
      <c r="L823" t="s">
        <v>32</v>
      </c>
      <c r="M823" t="s">
        <v>33</v>
      </c>
      <c r="P823" s="1" t="s">
        <v>3245</v>
      </c>
      <c r="Q823" s="1" t="s">
        <v>2984</v>
      </c>
      <c r="R823" s="1" t="s">
        <v>2984</v>
      </c>
      <c r="S823" s="1"/>
      <c r="T823" s="1" t="s">
        <v>3246</v>
      </c>
      <c r="U823" s="1" t="s">
        <v>3247</v>
      </c>
      <c r="V823" s="1">
        <v>370.0</v>
      </c>
      <c r="W823" s="1">
        <v>370.0</v>
      </c>
      <c r="X823" s="1" t="s">
        <v>35</v>
      </c>
      <c r="Y823" s="1">
        <v>370000.0</v>
      </c>
      <c r="Z823" s="1"/>
      <c r="AA823" s="1">
        <v>370000</v>
      </c>
      <c r="AB823" s="1"/>
      <c r="AC823" s="1" t="s">
        <v>36</v>
      </c>
      <c r="AD823" s="1" t="s">
        <v>3248</v>
      </c>
      <c r="AE823" s="1" t="s">
        <v>32</v>
      </c>
      <c r="AF823" s="1" t="s">
        <v>33</v>
      </c>
      <c r="AG823" s="1" t="s">
        <v>60</v>
      </c>
    </row>
    <row r="824" spans="1:33">
      <c r="A824" t="s">
        <v>3249</v>
      </c>
      <c r="C824" t="s">
        <v>3250</v>
      </c>
      <c r="E824" t="s">
        <v>2984</v>
      </c>
      <c r="F824" t="s">
        <v>2985</v>
      </c>
      <c r="G824">
        <v>3.156</v>
      </c>
      <c r="H824">
        <v>3.156</v>
      </c>
      <c r="I824" t="s">
        <v>269</v>
      </c>
      <c r="J824" t="s">
        <v>270</v>
      </c>
      <c r="K824" t="s">
        <v>31</v>
      </c>
      <c r="L824" t="s">
        <v>32</v>
      </c>
      <c r="M824" t="s">
        <v>33</v>
      </c>
      <c r="P824" s="1" t="s">
        <v>3251</v>
      </c>
      <c r="Q824" s="1" t="s">
        <v>2984</v>
      </c>
      <c r="R824" s="1" t="s">
        <v>2984</v>
      </c>
      <c r="S824" s="1"/>
      <c r="T824" s="1" t="s">
        <v>3252</v>
      </c>
      <c r="U824" s="1" t="s">
        <v>3253</v>
      </c>
      <c r="V824" s="1">
        <v>3.156</v>
      </c>
      <c r="W824" s="1">
        <v>3.156</v>
      </c>
      <c r="X824" s="1" t="s">
        <v>35</v>
      </c>
      <c r="Y824" s="1">
        <v>3156000.0</v>
      </c>
      <c r="Z824" s="1"/>
      <c r="AA824" s="1">
        <v>3156000</v>
      </c>
      <c r="AB824" s="1"/>
      <c r="AC824" s="1" t="s">
        <v>36</v>
      </c>
      <c r="AD824" s="1" t="s">
        <v>3254</v>
      </c>
      <c r="AE824" s="1" t="s">
        <v>32</v>
      </c>
      <c r="AF824" s="1" t="s">
        <v>33</v>
      </c>
      <c r="AG824" s="1" t="s">
        <v>270</v>
      </c>
    </row>
    <row r="825" spans="1:33">
      <c r="A825" t="s">
        <v>3255</v>
      </c>
      <c r="C825" t="s">
        <v>329</v>
      </c>
      <c r="E825" t="s">
        <v>2984</v>
      </c>
      <c r="F825" t="s">
        <v>2985</v>
      </c>
      <c r="G825">
        <v>779.45</v>
      </c>
      <c r="H825">
        <v>779.45</v>
      </c>
      <c r="I825" t="s">
        <v>94</v>
      </c>
      <c r="J825" t="s">
        <v>95</v>
      </c>
      <c r="K825" t="s">
        <v>31</v>
      </c>
      <c r="L825" t="s">
        <v>32</v>
      </c>
      <c r="M825" t="s">
        <v>33</v>
      </c>
      <c r="P825" s="1" t="s">
        <v>3256</v>
      </c>
      <c r="Q825" s="1" t="s">
        <v>2984</v>
      </c>
      <c r="R825" s="1" t="s">
        <v>2984</v>
      </c>
      <c r="S825" s="1"/>
      <c r="T825" s="1" t="s">
        <v>331</v>
      </c>
      <c r="U825" s="1" t="s">
        <v>332</v>
      </c>
      <c r="V825" s="1">
        <v>779.45</v>
      </c>
      <c r="W825" s="1">
        <v>779.45</v>
      </c>
      <c r="X825" s="1" t="s">
        <v>35</v>
      </c>
      <c r="Y825" s="1">
        <v>779450.0</v>
      </c>
      <c r="Z825" s="1"/>
      <c r="AA825" s="1">
        <v>779450</v>
      </c>
      <c r="AB825" s="1"/>
      <c r="AC825" s="1" t="s">
        <v>36</v>
      </c>
      <c r="AD825" s="1" t="s">
        <v>3198</v>
      </c>
      <c r="AE825" s="1" t="s">
        <v>32</v>
      </c>
      <c r="AF825" s="1" t="s">
        <v>33</v>
      </c>
      <c r="AG825" s="1" t="s">
        <v>95</v>
      </c>
    </row>
    <row r="826" spans="1:33">
      <c r="A826" t="s">
        <v>3257</v>
      </c>
      <c r="C826" t="s">
        <v>288</v>
      </c>
      <c r="D826" t="s">
        <v>114</v>
      </c>
      <c r="E826" t="s">
        <v>2984</v>
      </c>
      <c r="F826" t="s">
        <v>2985</v>
      </c>
      <c r="G826">
        <v>328.0</v>
      </c>
      <c r="H826">
        <v>328.0</v>
      </c>
      <c r="I826" t="s">
        <v>269</v>
      </c>
      <c r="J826" t="s">
        <v>270</v>
      </c>
      <c r="K826" t="s">
        <v>31</v>
      </c>
      <c r="L826" t="s">
        <v>32</v>
      </c>
      <c r="M826" t="s">
        <v>33</v>
      </c>
      <c r="P826" s="1" t="s">
        <v>3258</v>
      </c>
      <c r="Q826" s="1" t="s">
        <v>2984</v>
      </c>
      <c r="R826" s="1" t="s">
        <v>2984</v>
      </c>
      <c r="S826" s="1"/>
      <c r="T826" s="1" t="s">
        <v>288</v>
      </c>
      <c r="U826" s="1"/>
      <c r="V826" s="1">
        <v>328.0</v>
      </c>
      <c r="W826" s="1">
        <v>328.0</v>
      </c>
      <c r="X826" s="1" t="s">
        <v>35</v>
      </c>
      <c r="Y826" s="1">
        <v>328000.0</v>
      </c>
      <c r="Z826" s="1"/>
      <c r="AA826" s="1">
        <v>328000</v>
      </c>
      <c r="AB826" s="1"/>
      <c r="AC826" s="1" t="s">
        <v>36</v>
      </c>
      <c r="AD826" s="1" t="s">
        <v>3241</v>
      </c>
      <c r="AE826" s="1" t="s">
        <v>32</v>
      </c>
      <c r="AF826" s="1" t="s">
        <v>33</v>
      </c>
      <c r="AG826" s="1" t="s">
        <v>270</v>
      </c>
    </row>
    <row r="827" spans="1:33">
      <c r="A827" t="s">
        <v>3259</v>
      </c>
      <c r="C827" t="s">
        <v>3260</v>
      </c>
      <c r="D827" t="s">
        <v>114</v>
      </c>
      <c r="E827" t="s">
        <v>2984</v>
      </c>
      <c r="F827" t="s">
        <v>2985</v>
      </c>
      <c r="G827">
        <v>596.2</v>
      </c>
      <c r="H827">
        <v>596.2</v>
      </c>
      <c r="I827" t="s">
        <v>269</v>
      </c>
      <c r="J827" t="s">
        <v>270</v>
      </c>
      <c r="K827" t="s">
        <v>31</v>
      </c>
      <c r="L827" t="s">
        <v>32</v>
      </c>
      <c r="M827" t="s">
        <v>33</v>
      </c>
      <c r="P827" s="1" t="s">
        <v>3261</v>
      </c>
      <c r="Q827" s="1" t="s">
        <v>2984</v>
      </c>
      <c r="R827" s="1" t="s">
        <v>2984</v>
      </c>
      <c r="S827" s="1"/>
      <c r="T827" s="1" t="s">
        <v>3260</v>
      </c>
      <c r="U827" s="1"/>
      <c r="V827" s="1">
        <v>596.2</v>
      </c>
      <c r="W827" s="1">
        <v>596.2</v>
      </c>
      <c r="X827" s="1" t="s">
        <v>35</v>
      </c>
      <c r="Y827" s="1">
        <v>596200.0</v>
      </c>
      <c r="Z827" s="1"/>
      <c r="AA827" s="1">
        <v>596200</v>
      </c>
      <c r="AB827" s="1"/>
      <c r="AC827" s="1" t="s">
        <v>36</v>
      </c>
      <c r="AD827" s="1" t="s">
        <v>3262</v>
      </c>
      <c r="AE827" s="1" t="s">
        <v>32</v>
      </c>
      <c r="AF827" s="1" t="s">
        <v>33</v>
      </c>
      <c r="AG827" s="1" t="s">
        <v>270</v>
      </c>
    </row>
    <row r="828" spans="1:33">
      <c r="A828" t="s">
        <v>3263</v>
      </c>
      <c r="B828" t="s">
        <v>3264</v>
      </c>
      <c r="C828" t="s">
        <v>73</v>
      </c>
      <c r="E828" t="s">
        <v>2984</v>
      </c>
      <c r="F828" t="s">
        <v>2985</v>
      </c>
      <c r="G828">
        <v>20.99</v>
      </c>
      <c r="H828">
        <v>20.99</v>
      </c>
      <c r="I828" t="s">
        <v>40</v>
      </c>
      <c r="J828" t="s">
        <v>41</v>
      </c>
      <c r="K828" t="s">
        <v>31</v>
      </c>
      <c r="L828" t="s">
        <v>32</v>
      </c>
      <c r="M828" t="s">
        <v>33</v>
      </c>
      <c r="P828" s="1" t="s">
        <v>3265</v>
      </c>
      <c r="Q828" s="1" t="s">
        <v>2984</v>
      </c>
      <c r="R828" s="1" t="s">
        <v>2292</v>
      </c>
      <c r="S828" s="1"/>
      <c r="T828" s="1" t="s">
        <v>75</v>
      </c>
      <c r="U828" s="1" t="s">
        <v>76</v>
      </c>
      <c r="V828" s="1">
        <v>20.99</v>
      </c>
      <c r="W828" s="1">
        <v>20.99</v>
      </c>
      <c r="X828" s="1" t="s">
        <v>35</v>
      </c>
      <c r="Y828" s="1">
        <v>21000.0</v>
      </c>
      <c r="Z828" s="1">
        <v>-10</v>
      </c>
      <c r="AA828" s="1">
        <v>21000</v>
      </c>
      <c r="AB828" s="1">
        <v>-10</v>
      </c>
      <c r="AC828" s="1" t="s">
        <v>36</v>
      </c>
      <c r="AD828" s="1" t="s">
        <v>3266</v>
      </c>
      <c r="AE828" s="1" t="s">
        <v>32</v>
      </c>
      <c r="AF828" s="1" t="s">
        <v>33</v>
      </c>
      <c r="AG828" s="1" t="s">
        <v>41</v>
      </c>
    </row>
    <row r="829" spans="1:33">
      <c r="A829" t="s">
        <v>3267</v>
      </c>
      <c r="B829" t="s">
        <v>3268</v>
      </c>
      <c r="C829" t="s">
        <v>314</v>
      </c>
      <c r="E829" t="s">
        <v>2984</v>
      </c>
      <c r="F829" t="s">
        <v>2985</v>
      </c>
      <c r="G829">
        <v>5.6</v>
      </c>
      <c r="H829">
        <v>5.6</v>
      </c>
      <c r="I829" t="s">
        <v>179</v>
      </c>
      <c r="J829" t="s">
        <v>180</v>
      </c>
      <c r="K829" t="s">
        <v>31</v>
      </c>
      <c r="L829" t="s">
        <v>32</v>
      </c>
      <c r="M829" t="s">
        <v>33</v>
      </c>
      <c r="P829" s="1" t="s">
        <v>3269</v>
      </c>
      <c r="Q829" s="1" t="s">
        <v>2984</v>
      </c>
      <c r="R829" s="1" t="s">
        <v>2984</v>
      </c>
      <c r="S829" s="1"/>
      <c r="T829" s="1" t="s">
        <v>314</v>
      </c>
      <c r="U829" s="1"/>
      <c r="V829" s="1">
        <v>5.6</v>
      </c>
      <c r="W829" s="1">
        <v>5.6</v>
      </c>
      <c r="X829" s="1" t="s">
        <v>35</v>
      </c>
      <c r="Y829" s="1">
        <v>5600.0</v>
      </c>
      <c r="Z829" s="1"/>
      <c r="AA829" s="1">
        <v>5600</v>
      </c>
      <c r="AB829" s="1"/>
      <c r="AC829" s="1" t="s">
        <v>36</v>
      </c>
      <c r="AD829" s="1" t="s">
        <v>3266</v>
      </c>
      <c r="AE829" s="1" t="s">
        <v>32</v>
      </c>
      <c r="AF829" s="1" t="s">
        <v>33</v>
      </c>
      <c r="AG829" s="1" t="s">
        <v>180</v>
      </c>
    </row>
    <row r="830" spans="1:33">
      <c r="A830" t="s">
        <v>3270</v>
      </c>
      <c r="B830" t="s">
        <v>3271</v>
      </c>
      <c r="C830" t="s">
        <v>26</v>
      </c>
      <c r="E830" t="s">
        <v>2984</v>
      </c>
      <c r="F830" t="s">
        <v>2985</v>
      </c>
      <c r="G830">
        <v>28.49</v>
      </c>
      <c r="H830">
        <v>28.49</v>
      </c>
      <c r="I830" t="s">
        <v>29</v>
      </c>
      <c r="J830" t="s">
        <v>30</v>
      </c>
      <c r="K830" t="s">
        <v>31</v>
      </c>
      <c r="L830" t="s">
        <v>32</v>
      </c>
      <c r="M830" t="s">
        <v>33</v>
      </c>
      <c r="P830" s="1" t="s">
        <v>3272</v>
      </c>
      <c r="Q830" s="1" t="s">
        <v>2984</v>
      </c>
      <c r="R830" s="1" t="s">
        <v>2984</v>
      </c>
      <c r="S830" s="1"/>
      <c r="T830" s="1" t="s">
        <v>26</v>
      </c>
      <c r="U830" s="1"/>
      <c r="V830" s="1">
        <v>28.49</v>
      </c>
      <c r="W830" s="1">
        <v>28.49</v>
      </c>
      <c r="X830" s="1" t="s">
        <v>35</v>
      </c>
      <c r="Y830" s="1">
        <v>28490.0</v>
      </c>
      <c r="Z830" s="1"/>
      <c r="AA830" s="1">
        <v>28490</v>
      </c>
      <c r="AB830" s="1"/>
      <c r="AC830" s="1" t="s">
        <v>36</v>
      </c>
      <c r="AD830" s="1" t="s">
        <v>3198</v>
      </c>
      <c r="AE830" s="1" t="s">
        <v>32</v>
      </c>
      <c r="AF830" s="1" t="s">
        <v>33</v>
      </c>
      <c r="AG830" s="1" t="s">
        <v>30</v>
      </c>
    </row>
    <row r="831" spans="1:33">
      <c r="A831" t="s">
        <v>3273</v>
      </c>
      <c r="C831" t="s">
        <v>3274</v>
      </c>
      <c r="E831" t="s">
        <v>2984</v>
      </c>
      <c r="F831" t="s">
        <v>2985</v>
      </c>
      <c r="G831">
        <v>1.897</v>
      </c>
      <c r="H831">
        <v>1.897</v>
      </c>
      <c r="I831" t="s">
        <v>269</v>
      </c>
      <c r="J831" t="s">
        <v>270</v>
      </c>
      <c r="K831" t="s">
        <v>31</v>
      </c>
      <c r="L831" t="s">
        <v>32</v>
      </c>
      <c r="M831" t="s">
        <v>33</v>
      </c>
      <c r="P831" s="1" t="s">
        <v>3275</v>
      </c>
      <c r="Q831" s="1" t="s">
        <v>2984</v>
      </c>
      <c r="R831" s="1" t="s">
        <v>2984</v>
      </c>
      <c r="S831" s="1"/>
      <c r="T831" s="1" t="s">
        <v>3274</v>
      </c>
      <c r="U831" s="1"/>
      <c r="V831" s="1">
        <v>1.897</v>
      </c>
      <c r="W831" s="1">
        <v>1.897</v>
      </c>
      <c r="X831" s="1" t="s">
        <v>35</v>
      </c>
      <c r="Y831" s="1">
        <v>1897000.0</v>
      </c>
      <c r="Z831" s="1"/>
      <c r="AA831" s="1">
        <v>1897000</v>
      </c>
      <c r="AB831" s="1"/>
      <c r="AC831" s="1" t="s">
        <v>36</v>
      </c>
      <c r="AD831" s="1" t="s">
        <v>3276</v>
      </c>
      <c r="AE831" s="1" t="s">
        <v>32</v>
      </c>
      <c r="AF831" s="1" t="s">
        <v>33</v>
      </c>
      <c r="AG831" s="1" t="s">
        <v>270</v>
      </c>
    </row>
    <row r="832" spans="1:33">
      <c r="A832" t="s">
        <v>3277</v>
      </c>
      <c r="C832" t="s">
        <v>3278</v>
      </c>
      <c r="D832" t="s">
        <v>154</v>
      </c>
      <c r="E832" t="s">
        <v>2984</v>
      </c>
      <c r="F832" t="s">
        <v>2985</v>
      </c>
      <c r="G832">
        <v>635.318</v>
      </c>
      <c r="H832">
        <v>635.318</v>
      </c>
      <c r="I832" t="s">
        <v>847</v>
      </c>
      <c r="J832" t="s">
        <v>848</v>
      </c>
      <c r="K832" t="s">
        <v>31</v>
      </c>
      <c r="L832" t="s">
        <v>32</v>
      </c>
      <c r="M832" t="s">
        <v>33</v>
      </c>
      <c r="P832" s="1" t="s">
        <v>3279</v>
      </c>
      <c r="Q832" s="1" t="s">
        <v>2984</v>
      </c>
      <c r="R832" s="1" t="s">
        <v>2984</v>
      </c>
      <c r="S832" s="1"/>
      <c r="T832" s="1" t="s">
        <v>3280</v>
      </c>
      <c r="U832" s="1" t="s">
        <v>3281</v>
      </c>
      <c r="V832" s="1">
        <v>635.318</v>
      </c>
      <c r="W832" s="1">
        <v>635.318</v>
      </c>
      <c r="X832" s="1" t="s">
        <v>35</v>
      </c>
      <c r="Y832" s="1">
        <v>635318.0</v>
      </c>
      <c r="Z832" s="1"/>
      <c r="AA832" s="1">
        <v>635318</v>
      </c>
      <c r="AB832" s="1"/>
      <c r="AC832" s="1" t="s">
        <v>36</v>
      </c>
      <c r="AD832" s="1" t="s">
        <v>3282</v>
      </c>
      <c r="AE832" s="1" t="s">
        <v>32</v>
      </c>
      <c r="AF832" s="1" t="s">
        <v>33</v>
      </c>
      <c r="AG832" s="1" t="s">
        <v>848</v>
      </c>
    </row>
    <row r="833" spans="1:33">
      <c r="A833" t="s">
        <v>3283</v>
      </c>
      <c r="C833" t="s">
        <v>3284</v>
      </c>
      <c r="D833" t="s">
        <v>114</v>
      </c>
      <c r="E833" t="s">
        <v>2984</v>
      </c>
      <c r="F833" t="s">
        <v>2985</v>
      </c>
      <c r="G833">
        <v>1.968</v>
      </c>
      <c r="H833">
        <v>1.968</v>
      </c>
      <c r="I833" t="s">
        <v>269</v>
      </c>
      <c r="J833" t="s">
        <v>270</v>
      </c>
      <c r="K833" t="s">
        <v>31</v>
      </c>
      <c r="L833" t="s">
        <v>32</v>
      </c>
      <c r="M833" t="s">
        <v>33</v>
      </c>
      <c r="P833" s="1" t="s">
        <v>3285</v>
      </c>
      <c r="Q833" s="1" t="s">
        <v>2984</v>
      </c>
      <c r="R833" s="1" t="s">
        <v>2984</v>
      </c>
      <c r="S833" s="1"/>
      <c r="T833" s="1" t="s">
        <v>3284</v>
      </c>
      <c r="U833" s="1"/>
      <c r="V833" s="1">
        <v>1.968</v>
      </c>
      <c r="W833" s="1">
        <v>1.968</v>
      </c>
      <c r="X833" s="1" t="s">
        <v>35</v>
      </c>
      <c r="Y833" s="1">
        <v>1968000.0</v>
      </c>
      <c r="Z833" s="1"/>
      <c r="AA833" s="1">
        <v>1968000</v>
      </c>
      <c r="AB833" s="1"/>
      <c r="AC833" s="1" t="s">
        <v>36</v>
      </c>
      <c r="AD833" s="1" t="s">
        <v>3286</v>
      </c>
      <c r="AE833" s="1" t="s">
        <v>32</v>
      </c>
      <c r="AF833" s="1" t="s">
        <v>33</v>
      </c>
      <c r="AG833" s="1" t="s">
        <v>270</v>
      </c>
    </row>
    <row r="834" spans="1:33">
      <c r="A834" t="s">
        <v>3287</v>
      </c>
      <c r="B834" t="s">
        <v>3288</v>
      </c>
      <c r="C834" t="s">
        <v>68</v>
      </c>
      <c r="E834" t="s">
        <v>2984</v>
      </c>
      <c r="F834" t="s">
        <v>2985</v>
      </c>
      <c r="G834">
        <v>37.235</v>
      </c>
      <c r="H834">
        <v>37.235</v>
      </c>
      <c r="I834" t="s">
        <v>59</v>
      </c>
      <c r="J834" t="s">
        <v>60</v>
      </c>
      <c r="K834" t="s">
        <v>31</v>
      </c>
      <c r="L834" t="s">
        <v>32</v>
      </c>
      <c r="M834" t="s">
        <v>33</v>
      </c>
      <c r="P834" s="1" t="s">
        <v>3289</v>
      </c>
      <c r="Q834" s="1" t="s">
        <v>2984</v>
      </c>
      <c r="R834" s="1" t="s">
        <v>2984</v>
      </c>
      <c r="S834" s="1"/>
      <c r="T834" s="1" t="s">
        <v>68</v>
      </c>
      <c r="U834" s="1"/>
      <c r="V834" s="1">
        <v>37.235</v>
      </c>
      <c r="W834" s="1">
        <v>37.235</v>
      </c>
      <c r="X834" s="1" t="s">
        <v>35</v>
      </c>
      <c r="Y834" s="1">
        <v>37235.0</v>
      </c>
      <c r="Z834" s="1"/>
      <c r="AA834" s="1">
        <v>37235</v>
      </c>
      <c r="AB834" s="1"/>
      <c r="AC834" s="1" t="s">
        <v>36</v>
      </c>
      <c r="AD834" s="1" t="s">
        <v>3171</v>
      </c>
      <c r="AE834" s="1" t="s">
        <v>32</v>
      </c>
      <c r="AF834" s="1" t="s">
        <v>33</v>
      </c>
      <c r="AG834" s="1" t="s">
        <v>60</v>
      </c>
    </row>
    <row r="835" spans="1:33">
      <c r="A835" t="s">
        <v>3290</v>
      </c>
      <c r="B835" t="s">
        <v>3291</v>
      </c>
      <c r="C835" t="s">
        <v>268</v>
      </c>
      <c r="E835" t="s">
        <v>2984</v>
      </c>
      <c r="F835" t="s">
        <v>2985</v>
      </c>
      <c r="G835">
        <v>116.25</v>
      </c>
      <c r="H835">
        <v>116.25</v>
      </c>
      <c r="I835" t="s">
        <v>269</v>
      </c>
      <c r="J835" t="s">
        <v>270</v>
      </c>
      <c r="K835" t="s">
        <v>31</v>
      </c>
      <c r="L835" t="s">
        <v>32</v>
      </c>
      <c r="M835" t="s">
        <v>33</v>
      </c>
      <c r="P835" s="1" t="s">
        <v>3292</v>
      </c>
      <c r="Q835" s="1" t="s">
        <v>2984</v>
      </c>
      <c r="R835" s="1" t="s">
        <v>2984</v>
      </c>
      <c r="S835" s="1"/>
      <c r="T835" s="1" t="s">
        <v>268</v>
      </c>
      <c r="U835" s="1"/>
      <c r="V835" s="1">
        <v>116.25</v>
      </c>
      <c r="W835" s="1">
        <v>116.25</v>
      </c>
      <c r="X835" s="1" t="s">
        <v>35</v>
      </c>
      <c r="Y835" s="1">
        <v>116250.0</v>
      </c>
      <c r="Z835" s="1"/>
      <c r="AA835" s="1">
        <v>116250</v>
      </c>
      <c r="AB835" s="1"/>
      <c r="AC835" s="1" t="s">
        <v>36</v>
      </c>
      <c r="AD835" s="1" t="s">
        <v>3293</v>
      </c>
      <c r="AE835" s="1" t="s">
        <v>32</v>
      </c>
      <c r="AF835" s="1" t="s">
        <v>33</v>
      </c>
      <c r="AG835" s="1" t="s">
        <v>270</v>
      </c>
    </row>
    <row r="836" spans="1:33">
      <c r="A836" t="s">
        <v>3294</v>
      </c>
      <c r="B836" t="s">
        <v>3295</v>
      </c>
      <c r="C836" t="s">
        <v>569</v>
      </c>
      <c r="E836" t="s">
        <v>2984</v>
      </c>
      <c r="F836" t="s">
        <v>2985</v>
      </c>
      <c r="G836">
        <v>8.0</v>
      </c>
      <c r="H836">
        <v>8.0</v>
      </c>
      <c r="I836" t="s">
        <v>570</v>
      </c>
      <c r="J836" t="s">
        <v>571</v>
      </c>
      <c r="K836" t="s">
        <v>31</v>
      </c>
      <c r="L836" t="s">
        <v>32</v>
      </c>
      <c r="M836" t="s">
        <v>33</v>
      </c>
      <c r="P836" s="1" t="s">
        <v>3296</v>
      </c>
      <c r="Q836" s="1" t="s">
        <v>2984</v>
      </c>
      <c r="R836" s="1" t="s">
        <v>2984</v>
      </c>
      <c r="S836" s="1"/>
      <c r="T836" s="1" t="s">
        <v>569</v>
      </c>
      <c r="U836" s="1"/>
      <c r="V836" s="1">
        <v>8.0</v>
      </c>
      <c r="W836" s="1">
        <v>8.0</v>
      </c>
      <c r="X836" s="1" t="s">
        <v>35</v>
      </c>
      <c r="Y836" s="1">
        <v>8000.0</v>
      </c>
      <c r="Z836" s="1"/>
      <c r="AA836" s="1">
        <v>8000</v>
      </c>
      <c r="AB836" s="1"/>
      <c r="AC836" s="1" t="s">
        <v>36</v>
      </c>
      <c r="AD836" s="1" t="s">
        <v>3293</v>
      </c>
      <c r="AE836" s="1" t="s">
        <v>32</v>
      </c>
      <c r="AF836" s="1" t="s">
        <v>33</v>
      </c>
      <c r="AG836" s="1" t="s">
        <v>571</v>
      </c>
    </row>
    <row r="837" spans="1:33">
      <c r="A837" t="s">
        <v>3297</v>
      </c>
      <c r="B837" t="s">
        <v>3298</v>
      </c>
      <c r="C837" t="s">
        <v>47</v>
      </c>
      <c r="E837" t="s">
        <v>2984</v>
      </c>
      <c r="F837" t="s">
        <v>2985</v>
      </c>
      <c r="G837">
        <v>32.24</v>
      </c>
      <c r="H837">
        <v>32.24</v>
      </c>
      <c r="I837" t="s">
        <v>48</v>
      </c>
      <c r="J837" t="s">
        <v>49</v>
      </c>
      <c r="K837" t="s">
        <v>31</v>
      </c>
      <c r="L837" t="s">
        <v>32</v>
      </c>
      <c r="M837" t="s">
        <v>33</v>
      </c>
      <c r="P837" s="1" t="s">
        <v>3299</v>
      </c>
      <c r="Q837" s="1" t="s">
        <v>2984</v>
      </c>
      <c r="R837" s="1" t="s">
        <v>2984</v>
      </c>
      <c r="S837" s="1"/>
      <c r="T837" s="1" t="s">
        <v>47</v>
      </c>
      <c r="U837" s="1"/>
      <c r="V837" s="1">
        <v>32.24</v>
      </c>
      <c r="W837" s="1">
        <v>32.24</v>
      </c>
      <c r="X837" s="1" t="s">
        <v>35</v>
      </c>
      <c r="Y837" s="1">
        <v>32240.0</v>
      </c>
      <c r="Z837" s="1"/>
      <c r="AA837" s="1">
        <v>32240</v>
      </c>
      <c r="AB837" s="1"/>
      <c r="AC837" s="1" t="s">
        <v>36</v>
      </c>
      <c r="AD837" s="1" t="s">
        <v>3300</v>
      </c>
      <c r="AE837" s="1" t="s">
        <v>32</v>
      </c>
      <c r="AF837" s="1" t="s">
        <v>33</v>
      </c>
      <c r="AG837" s="1" t="s">
        <v>49</v>
      </c>
    </row>
    <row r="838" spans="1:33">
      <c r="A838" t="s">
        <v>3301</v>
      </c>
      <c r="C838" t="s">
        <v>3302</v>
      </c>
      <c r="E838" t="s">
        <v>2984</v>
      </c>
      <c r="F838" t="s">
        <v>2985</v>
      </c>
      <c r="G838">
        <v>1.041</v>
      </c>
      <c r="H838">
        <v>1.041</v>
      </c>
      <c r="I838" t="s">
        <v>847</v>
      </c>
      <c r="J838" t="s">
        <v>848</v>
      </c>
      <c r="K838" t="s">
        <v>31</v>
      </c>
      <c r="L838" t="s">
        <v>32</v>
      </c>
      <c r="M838" t="s">
        <v>33</v>
      </c>
      <c r="P838" s="1" t="s">
        <v>3303</v>
      </c>
      <c r="Q838" s="1" t="s">
        <v>2984</v>
      </c>
      <c r="R838" s="1" t="s">
        <v>2984</v>
      </c>
      <c r="S838" s="1"/>
      <c r="T838" s="1" t="s">
        <v>3302</v>
      </c>
      <c r="U838" s="1"/>
      <c r="V838" s="1">
        <v>1.041</v>
      </c>
      <c r="W838" s="1">
        <v>1.041</v>
      </c>
      <c r="X838" s="1" t="s">
        <v>35</v>
      </c>
      <c r="Y838" s="1">
        <v>1041500.0</v>
      </c>
      <c r="Z838" s="1"/>
      <c r="AA838" s="1">
        <v>1041500</v>
      </c>
      <c r="AB838" s="1"/>
      <c r="AC838" s="1" t="s">
        <v>36</v>
      </c>
      <c r="AD838" s="1" t="s">
        <v>3304</v>
      </c>
      <c r="AE838" s="1" t="s">
        <v>32</v>
      </c>
      <c r="AF838" s="1" t="s">
        <v>33</v>
      </c>
      <c r="AG838" s="1" t="s">
        <v>848</v>
      </c>
    </row>
    <row r="839" spans="1:33">
      <c r="A839" t="s">
        <v>3305</v>
      </c>
      <c r="B839" t="s">
        <v>735</v>
      </c>
      <c r="C839" t="s">
        <v>736</v>
      </c>
      <c r="E839" t="s">
        <v>2984</v>
      </c>
      <c r="F839" t="s">
        <v>2985</v>
      </c>
      <c r="G839">
        <v>370.0</v>
      </c>
      <c r="H839">
        <v>370.0</v>
      </c>
      <c r="I839" t="s">
        <v>59</v>
      </c>
      <c r="J839" t="s">
        <v>60</v>
      </c>
      <c r="K839" t="s">
        <v>31</v>
      </c>
      <c r="L839" t="s">
        <v>32</v>
      </c>
      <c r="M839" t="s">
        <v>33</v>
      </c>
      <c r="P839" s="1" t="s">
        <v>3306</v>
      </c>
      <c r="Q839" s="1" t="s">
        <v>2984</v>
      </c>
      <c r="R839" s="1" t="s">
        <v>2984</v>
      </c>
      <c r="S839" s="1"/>
      <c r="T839" s="1" t="s">
        <v>736</v>
      </c>
      <c r="U839" s="1"/>
      <c r="V839" s="1">
        <v>370.0</v>
      </c>
      <c r="W839" s="1">
        <v>370.0</v>
      </c>
      <c r="X839" s="1" t="s">
        <v>35</v>
      </c>
      <c r="Y839" s="1">
        <v>370000.0</v>
      </c>
      <c r="Z839" s="1"/>
      <c r="AA839" s="1">
        <v>370000</v>
      </c>
      <c r="AB839" s="1"/>
      <c r="AC839" s="1" t="s">
        <v>36</v>
      </c>
      <c r="AD839" s="1" t="s">
        <v>3307</v>
      </c>
      <c r="AE839" s="1" t="s">
        <v>32</v>
      </c>
      <c r="AF839" s="1" t="s">
        <v>33</v>
      </c>
      <c r="AG839" s="1" t="s">
        <v>60</v>
      </c>
    </row>
    <row r="840" spans="1:33">
      <c r="A840" t="s">
        <v>3308</v>
      </c>
      <c r="B840" t="s">
        <v>3309</v>
      </c>
      <c r="C840" t="s">
        <v>314</v>
      </c>
      <c r="E840" t="s">
        <v>2984</v>
      </c>
      <c r="F840" t="s">
        <v>2985</v>
      </c>
      <c r="G840">
        <v>63.72</v>
      </c>
      <c r="H840">
        <v>63.72</v>
      </c>
      <c r="I840" t="s">
        <v>179</v>
      </c>
      <c r="J840" t="s">
        <v>180</v>
      </c>
      <c r="K840" t="s">
        <v>31</v>
      </c>
      <c r="L840" t="s">
        <v>32</v>
      </c>
      <c r="M840" t="s">
        <v>33</v>
      </c>
      <c r="P840" s="1" t="s">
        <v>3310</v>
      </c>
      <c r="Q840" s="1" t="s">
        <v>2984</v>
      </c>
      <c r="R840" s="1" t="s">
        <v>2984</v>
      </c>
      <c r="S840" s="1"/>
      <c r="T840" s="1" t="s">
        <v>314</v>
      </c>
      <c r="U840" s="1"/>
      <c r="V840" s="1">
        <v>63.72</v>
      </c>
      <c r="W840" s="1">
        <v>63.72</v>
      </c>
      <c r="X840" s="1" t="s">
        <v>35</v>
      </c>
      <c r="Y840" s="1">
        <v>63720.0</v>
      </c>
      <c r="Z840" s="1"/>
      <c r="AA840" s="1">
        <v>63720</v>
      </c>
      <c r="AB840" s="1"/>
      <c r="AC840" s="1" t="s">
        <v>36</v>
      </c>
      <c r="AD840" s="1" t="s">
        <v>3311</v>
      </c>
      <c r="AE840" s="1" t="s">
        <v>32</v>
      </c>
      <c r="AF840" s="1" t="s">
        <v>33</v>
      </c>
      <c r="AG840" s="1" t="s">
        <v>180</v>
      </c>
    </row>
    <row r="841" spans="1:33">
      <c r="A841" t="s">
        <v>3312</v>
      </c>
      <c r="B841" t="s">
        <v>3313</v>
      </c>
      <c r="C841" t="s">
        <v>3314</v>
      </c>
      <c r="E841" t="s">
        <v>2984</v>
      </c>
      <c r="F841" t="s">
        <v>2985</v>
      </c>
      <c r="G841">
        <v>3.102</v>
      </c>
      <c r="H841">
        <v>3.102</v>
      </c>
      <c r="I841" t="s">
        <v>29</v>
      </c>
      <c r="J841" t="s">
        <v>30</v>
      </c>
      <c r="K841" t="s">
        <v>31</v>
      </c>
      <c r="L841" t="s">
        <v>32</v>
      </c>
      <c r="M841" t="s">
        <v>33</v>
      </c>
      <c r="P841" s="1" t="s">
        <v>3315</v>
      </c>
      <c r="Q841" s="1" t="s">
        <v>2984</v>
      </c>
      <c r="R841" s="1" t="s">
        <v>2984</v>
      </c>
      <c r="S841" s="1"/>
      <c r="T841" s="1" t="s">
        <v>3314</v>
      </c>
      <c r="U841" s="1"/>
      <c r="V841" s="1">
        <v>3.102</v>
      </c>
      <c r="W841" s="1">
        <v>3.102</v>
      </c>
      <c r="X841" s="1" t="s">
        <v>35</v>
      </c>
      <c r="Y841" s="1">
        <v>3102000.0</v>
      </c>
      <c r="Z841" s="1"/>
      <c r="AA841" s="1">
        <v>3102000</v>
      </c>
      <c r="AB841" s="1"/>
      <c r="AC841" s="1" t="s">
        <v>36</v>
      </c>
      <c r="AD841" s="1" t="s">
        <v>3316</v>
      </c>
      <c r="AE841" s="1" t="s">
        <v>32</v>
      </c>
      <c r="AF841" s="1" t="s">
        <v>33</v>
      </c>
      <c r="AG841" s="1" t="s">
        <v>30</v>
      </c>
    </row>
    <row r="842" spans="1:33">
      <c r="A842" t="s">
        <v>3317</v>
      </c>
      <c r="C842" t="s">
        <v>3079</v>
      </c>
      <c r="D842" t="s">
        <v>154</v>
      </c>
      <c r="E842" t="s">
        <v>2984</v>
      </c>
      <c r="F842" t="s">
        <v>2985</v>
      </c>
      <c r="G842">
        <v>120.0</v>
      </c>
      <c r="H842">
        <v>120.0</v>
      </c>
      <c r="I842" t="s">
        <v>227</v>
      </c>
      <c r="J842" t="s">
        <v>228</v>
      </c>
      <c r="K842" t="s">
        <v>31</v>
      </c>
      <c r="L842" t="s">
        <v>32</v>
      </c>
      <c r="M842" t="s">
        <v>33</v>
      </c>
      <c r="P842" s="1" t="s">
        <v>3318</v>
      </c>
      <c r="Q842" s="1" t="s">
        <v>2984</v>
      </c>
      <c r="R842" s="1" t="s">
        <v>2984</v>
      </c>
      <c r="S842" s="1"/>
      <c r="T842" s="1" t="s">
        <v>3079</v>
      </c>
      <c r="U842" s="1"/>
      <c r="V842" s="1">
        <v>120.0</v>
      </c>
      <c r="W842" s="1">
        <v>120.0</v>
      </c>
      <c r="X842" s="1" t="s">
        <v>35</v>
      </c>
      <c r="Y842" s="1">
        <v>120000.0</v>
      </c>
      <c r="Z842" s="1"/>
      <c r="AA842" s="1">
        <v>120000</v>
      </c>
      <c r="AB842" s="1"/>
      <c r="AC842" s="1" t="s">
        <v>36</v>
      </c>
      <c r="AD842" s="1" t="s">
        <v>3319</v>
      </c>
      <c r="AE842" s="1" t="s">
        <v>32</v>
      </c>
      <c r="AF842" s="1" t="s">
        <v>33</v>
      </c>
      <c r="AG842" s="1" t="s">
        <v>228</v>
      </c>
    </row>
    <row r="843" spans="1:33">
      <c r="A843" t="s">
        <v>3320</v>
      </c>
      <c r="C843" t="s">
        <v>131</v>
      </c>
      <c r="E843" t="s">
        <v>2984</v>
      </c>
      <c r="F843" t="s">
        <v>2985</v>
      </c>
      <c r="G843">
        <v>136.39</v>
      </c>
      <c r="H843">
        <v>136.39</v>
      </c>
      <c r="I843" t="s">
        <v>94</v>
      </c>
      <c r="J843" t="s">
        <v>95</v>
      </c>
      <c r="K843" t="s">
        <v>31</v>
      </c>
      <c r="L843" t="s">
        <v>32</v>
      </c>
      <c r="M843" t="s">
        <v>33</v>
      </c>
      <c r="P843" s="1" t="s">
        <v>3321</v>
      </c>
      <c r="Q843" s="1" t="s">
        <v>2984</v>
      </c>
      <c r="R843" s="1" t="s">
        <v>2984</v>
      </c>
      <c r="S843" s="1"/>
      <c r="T843" s="1" t="s">
        <v>131</v>
      </c>
      <c r="U843" s="1"/>
      <c r="V843" s="1">
        <v>136.39</v>
      </c>
      <c r="W843" s="1">
        <v>136.39</v>
      </c>
      <c r="X843" s="1" t="s">
        <v>35</v>
      </c>
      <c r="Y843" s="1">
        <v>136390.0</v>
      </c>
      <c r="Z843" s="1"/>
      <c r="AA843" s="1">
        <v>136390</v>
      </c>
      <c r="AB843" s="1"/>
      <c r="AC843" s="1" t="s">
        <v>36</v>
      </c>
      <c r="AD843" s="1" t="s">
        <v>3322</v>
      </c>
      <c r="AE843" s="1" t="s">
        <v>32</v>
      </c>
      <c r="AF843" s="1" t="s">
        <v>33</v>
      </c>
      <c r="AG843" s="1" t="s">
        <v>95</v>
      </c>
    </row>
    <row r="844" spans="1:33">
      <c r="A844" t="s">
        <v>3323</v>
      </c>
      <c r="B844" t="s">
        <v>1757</v>
      </c>
      <c r="C844" t="s">
        <v>1758</v>
      </c>
      <c r="E844" t="s">
        <v>2984</v>
      </c>
      <c r="F844" t="s">
        <v>2985</v>
      </c>
      <c r="G844">
        <v>385.236</v>
      </c>
      <c r="H844">
        <v>385.236</v>
      </c>
      <c r="I844" t="s">
        <v>529</v>
      </c>
      <c r="J844" t="s">
        <v>530</v>
      </c>
      <c r="K844" t="s">
        <v>31</v>
      </c>
      <c r="L844" t="s">
        <v>32</v>
      </c>
      <c r="M844" t="s">
        <v>33</v>
      </c>
      <c r="P844" s="1" t="s">
        <v>3324</v>
      </c>
      <c r="Q844" s="1" t="s">
        <v>2984</v>
      </c>
      <c r="R844" s="1" t="s">
        <v>2292</v>
      </c>
      <c r="S844" s="1"/>
      <c r="T844" s="1" t="s">
        <v>1758</v>
      </c>
      <c r="U844" s="1"/>
      <c r="V844" s="1">
        <v>385.236</v>
      </c>
      <c r="W844" s="1">
        <v>385.236</v>
      </c>
      <c r="X844" s="1" t="s">
        <v>35</v>
      </c>
      <c r="Y844" s="1">
        <v>385236.0</v>
      </c>
      <c r="Z844" s="1"/>
      <c r="AA844" s="1">
        <v>385236</v>
      </c>
      <c r="AB844" s="1"/>
      <c r="AC844" s="1" t="s">
        <v>36</v>
      </c>
      <c r="AD844" s="1" t="s">
        <v>3325</v>
      </c>
      <c r="AE844" s="1" t="s">
        <v>32</v>
      </c>
      <c r="AF844" s="1" t="s">
        <v>33</v>
      </c>
      <c r="AG844" s="1" t="s">
        <v>530</v>
      </c>
    </row>
    <row r="845" spans="1:33">
      <c r="A845" t="s">
        <v>3326</v>
      </c>
      <c r="B845" t="s">
        <v>3327</v>
      </c>
      <c r="C845" t="s">
        <v>125</v>
      </c>
      <c r="E845" t="s">
        <v>2984</v>
      </c>
      <c r="F845" t="s">
        <v>2985</v>
      </c>
      <c r="G845">
        <v>94.46</v>
      </c>
      <c r="H845">
        <v>94.46</v>
      </c>
      <c r="I845" t="s">
        <v>126</v>
      </c>
      <c r="J845" t="s">
        <v>127</v>
      </c>
      <c r="K845" t="s">
        <v>31</v>
      </c>
      <c r="L845" t="s">
        <v>32</v>
      </c>
      <c r="M845" t="s">
        <v>33</v>
      </c>
      <c r="P845" s="1" t="s">
        <v>3328</v>
      </c>
      <c r="Q845" s="1" t="s">
        <v>2984</v>
      </c>
      <c r="R845" s="1" t="s">
        <v>2984</v>
      </c>
      <c r="S845" s="1"/>
      <c r="T845" s="1" t="s">
        <v>125</v>
      </c>
      <c r="U845" s="1"/>
      <c r="V845" s="1">
        <v>94.46</v>
      </c>
      <c r="W845" s="1">
        <v>94.46</v>
      </c>
      <c r="X845" s="1" t="s">
        <v>35</v>
      </c>
      <c r="Y845" s="1">
        <v>94460.0</v>
      </c>
      <c r="Z845" s="1"/>
      <c r="AA845" s="1">
        <v>94460</v>
      </c>
      <c r="AB845" s="1"/>
      <c r="AC845" s="1" t="s">
        <v>36</v>
      </c>
      <c r="AD845" s="1" t="s">
        <v>3329</v>
      </c>
      <c r="AE845" s="1" t="s">
        <v>32</v>
      </c>
      <c r="AF845" s="1" t="s">
        <v>33</v>
      </c>
      <c r="AG845" s="1" t="s">
        <v>127</v>
      </c>
    </row>
    <row r="846" spans="1:33">
      <c r="A846" t="s">
        <v>3330</v>
      </c>
      <c r="B846" t="s">
        <v>826</v>
      </c>
      <c r="C846" t="s">
        <v>827</v>
      </c>
      <c r="D846" t="s">
        <v>154</v>
      </c>
      <c r="E846" t="s">
        <v>2984</v>
      </c>
      <c r="F846" t="s">
        <v>2985</v>
      </c>
      <c r="G846">
        <v>3.272</v>
      </c>
      <c r="H846">
        <v>3.272</v>
      </c>
      <c r="I846" t="s">
        <v>529</v>
      </c>
      <c r="J846" t="s">
        <v>530</v>
      </c>
      <c r="K846" t="s">
        <v>31</v>
      </c>
      <c r="L846" t="s">
        <v>32</v>
      </c>
      <c r="M846" t="s">
        <v>33</v>
      </c>
      <c r="P846" s="1" t="s">
        <v>3331</v>
      </c>
      <c r="Q846" s="1" t="s">
        <v>2984</v>
      </c>
      <c r="R846" s="1" t="s">
        <v>2292</v>
      </c>
      <c r="S846" s="1"/>
      <c r="T846" s="1" t="s">
        <v>827</v>
      </c>
      <c r="U846" s="1"/>
      <c r="V846" s="1">
        <v>3.272</v>
      </c>
      <c r="W846" s="1">
        <v>3.272</v>
      </c>
      <c r="X846" s="1" t="s">
        <v>35</v>
      </c>
      <c r="Y846" s="1">
        <v>3272400.0</v>
      </c>
      <c r="Z846" s="1"/>
      <c r="AA846" s="1">
        <v>3272400</v>
      </c>
      <c r="AB846" s="1"/>
      <c r="AC846" s="1" t="s">
        <v>36</v>
      </c>
      <c r="AD846" s="1" t="s">
        <v>3332</v>
      </c>
      <c r="AE846" s="1" t="s">
        <v>32</v>
      </c>
      <c r="AF846" s="1" t="s">
        <v>33</v>
      </c>
      <c r="AG846" s="1" t="s">
        <v>530</v>
      </c>
    </row>
    <row r="847" spans="1:33">
      <c r="A847" t="s">
        <v>3333</v>
      </c>
      <c r="C847" t="s">
        <v>827</v>
      </c>
      <c r="D847" t="s">
        <v>154</v>
      </c>
      <c r="E847" t="s">
        <v>2984</v>
      </c>
      <c r="F847" t="s">
        <v>2985</v>
      </c>
      <c r="G847">
        <v>20.0</v>
      </c>
      <c r="H847">
        <v>20.0</v>
      </c>
      <c r="I847" t="s">
        <v>269</v>
      </c>
      <c r="J847" t="s">
        <v>270</v>
      </c>
      <c r="K847" t="s">
        <v>31</v>
      </c>
      <c r="L847" t="s">
        <v>32</v>
      </c>
      <c r="M847" t="s">
        <v>33</v>
      </c>
      <c r="P847" s="1" t="s">
        <v>3334</v>
      </c>
      <c r="Q847" s="1" t="s">
        <v>2984</v>
      </c>
      <c r="R847" s="1" t="s">
        <v>2984</v>
      </c>
      <c r="S847" s="1"/>
      <c r="T847" s="1" t="s">
        <v>827</v>
      </c>
      <c r="U847" s="1"/>
      <c r="V847" s="1">
        <v>20.0</v>
      </c>
      <c r="W847" s="1">
        <v>20.0</v>
      </c>
      <c r="X847" s="1" t="s">
        <v>35</v>
      </c>
      <c r="Y847" s="1">
        <v>20000.0</v>
      </c>
      <c r="Z847" s="1"/>
      <c r="AA847" s="1">
        <v>20000</v>
      </c>
      <c r="AB847" s="1"/>
      <c r="AC847" s="1" t="s">
        <v>36</v>
      </c>
      <c r="AD847" s="1" t="s">
        <v>3335</v>
      </c>
      <c r="AE847" s="1" t="s">
        <v>32</v>
      </c>
      <c r="AF847" s="1" t="s">
        <v>33</v>
      </c>
      <c r="AG847" s="1" t="s">
        <v>270</v>
      </c>
    </row>
    <row r="848" spans="1:33">
      <c r="A848" t="s">
        <v>3336</v>
      </c>
      <c r="C848" t="s">
        <v>2525</v>
      </c>
      <c r="E848" t="s">
        <v>2984</v>
      </c>
      <c r="F848" t="s">
        <v>2985</v>
      </c>
      <c r="G848">
        <v>328.0</v>
      </c>
      <c r="H848">
        <v>328.0</v>
      </c>
      <c r="I848" t="s">
        <v>269</v>
      </c>
      <c r="J848" t="s">
        <v>270</v>
      </c>
      <c r="K848" t="s">
        <v>31</v>
      </c>
      <c r="L848" t="s">
        <v>32</v>
      </c>
      <c r="M848" t="s">
        <v>33</v>
      </c>
      <c r="P848" s="1" t="s">
        <v>3337</v>
      </c>
      <c r="Q848" s="1" t="s">
        <v>2984</v>
      </c>
      <c r="R848" s="1" t="s">
        <v>2984</v>
      </c>
      <c r="S848" s="1"/>
      <c r="T848" s="1" t="s">
        <v>2525</v>
      </c>
      <c r="U848" s="1"/>
      <c r="V848" s="1">
        <v>328.0</v>
      </c>
      <c r="W848" s="1">
        <v>328.0</v>
      </c>
      <c r="X848" s="1" t="s">
        <v>35</v>
      </c>
      <c r="Y848" s="1">
        <v>328000.0</v>
      </c>
      <c r="Z848" s="1"/>
      <c r="AA848" s="1">
        <v>328000</v>
      </c>
      <c r="AB848" s="1"/>
      <c r="AC848" s="1" t="s">
        <v>36</v>
      </c>
      <c r="AD848" s="1" t="s">
        <v>3338</v>
      </c>
      <c r="AE848" s="1" t="s">
        <v>32</v>
      </c>
      <c r="AF848" s="1" t="s">
        <v>33</v>
      </c>
      <c r="AG848" s="1" t="s">
        <v>270</v>
      </c>
    </row>
    <row r="849" spans="1:33">
      <c r="A849" t="s">
        <v>3339</v>
      </c>
      <c r="B849" t="s">
        <v>3146</v>
      </c>
      <c r="C849" t="s">
        <v>3147</v>
      </c>
      <c r="E849" t="s">
        <v>2984</v>
      </c>
      <c r="F849" t="s">
        <v>2985</v>
      </c>
      <c r="G849">
        <v>69.5</v>
      </c>
      <c r="H849">
        <v>69.5</v>
      </c>
      <c r="I849" t="s">
        <v>29</v>
      </c>
      <c r="J849" t="s">
        <v>30</v>
      </c>
      <c r="K849" t="s">
        <v>31</v>
      </c>
      <c r="L849" t="s">
        <v>32</v>
      </c>
      <c r="M849" t="s">
        <v>33</v>
      </c>
      <c r="P849" s="1" t="s">
        <v>3340</v>
      </c>
      <c r="Q849" s="1" t="s">
        <v>2984</v>
      </c>
      <c r="R849" s="1" t="s">
        <v>2984</v>
      </c>
      <c r="S849" s="1"/>
      <c r="T849" s="1" t="s">
        <v>3147</v>
      </c>
      <c r="U849" s="1"/>
      <c r="V849" s="1">
        <v>69.5</v>
      </c>
      <c r="W849" s="1">
        <v>69.5</v>
      </c>
      <c r="X849" s="1" t="s">
        <v>35</v>
      </c>
      <c r="Y849" s="1">
        <v>69500.0</v>
      </c>
      <c r="Z849" s="1"/>
      <c r="AA849" s="1">
        <v>69500</v>
      </c>
      <c r="AB849" s="1"/>
      <c r="AC849" s="1" t="s">
        <v>36</v>
      </c>
      <c r="AD849" s="1" t="s">
        <v>3341</v>
      </c>
      <c r="AE849" s="1" t="s">
        <v>32</v>
      </c>
      <c r="AF849" s="1" t="s">
        <v>33</v>
      </c>
      <c r="AG849" s="1" t="s">
        <v>30</v>
      </c>
    </row>
    <row r="850" spans="1:33">
      <c r="A850" t="s">
        <v>3342</v>
      </c>
      <c r="C850" t="s">
        <v>859</v>
      </c>
      <c r="D850" t="s">
        <v>114</v>
      </c>
      <c r="E850" t="s">
        <v>2984</v>
      </c>
      <c r="F850" t="s">
        <v>2985</v>
      </c>
      <c r="G850">
        <v>359.25</v>
      </c>
      <c r="H850">
        <v>359.25</v>
      </c>
      <c r="I850" t="s">
        <v>269</v>
      </c>
      <c r="J850" t="s">
        <v>270</v>
      </c>
      <c r="K850" t="s">
        <v>31</v>
      </c>
      <c r="L850" t="s">
        <v>32</v>
      </c>
      <c r="M850" t="s">
        <v>33</v>
      </c>
      <c r="P850" s="1" t="s">
        <v>3343</v>
      </c>
      <c r="Q850" s="1" t="s">
        <v>2984</v>
      </c>
      <c r="R850" s="1" t="s">
        <v>2984</v>
      </c>
      <c r="S850" s="1"/>
      <c r="T850" s="1" t="s">
        <v>859</v>
      </c>
      <c r="U850" s="1"/>
      <c r="V850" s="1">
        <v>359.25</v>
      </c>
      <c r="W850" s="1">
        <v>359.25</v>
      </c>
      <c r="X850" s="1" t="s">
        <v>35</v>
      </c>
      <c r="Y850" s="1">
        <v>359250.0</v>
      </c>
      <c r="Z850" s="1"/>
      <c r="AA850" s="1">
        <v>359250</v>
      </c>
      <c r="AB850" s="1"/>
      <c r="AC850" s="1" t="s">
        <v>36</v>
      </c>
      <c r="AD850" s="1" t="s">
        <v>3344</v>
      </c>
      <c r="AE850" s="1" t="s">
        <v>32</v>
      </c>
      <c r="AF850" s="1" t="s">
        <v>33</v>
      </c>
      <c r="AG850" s="1" t="s">
        <v>270</v>
      </c>
    </row>
    <row r="851" spans="1:33">
      <c r="A851" t="s">
        <v>3345</v>
      </c>
      <c r="B851" t="s">
        <v>3346</v>
      </c>
      <c r="C851" t="s">
        <v>3347</v>
      </c>
      <c r="E851" t="s">
        <v>2984</v>
      </c>
      <c r="F851" t="s">
        <v>2985</v>
      </c>
      <c r="G851">
        <v>85.47</v>
      </c>
      <c r="H851">
        <v>85.47</v>
      </c>
      <c r="I851" t="s">
        <v>29</v>
      </c>
      <c r="J851" t="s">
        <v>30</v>
      </c>
      <c r="K851" t="s">
        <v>31</v>
      </c>
      <c r="L851" t="s">
        <v>32</v>
      </c>
      <c r="M851" t="s">
        <v>33</v>
      </c>
      <c r="P851" s="1" t="s">
        <v>3348</v>
      </c>
      <c r="Q851" s="1" t="s">
        <v>2984</v>
      </c>
      <c r="R851" s="1" t="s">
        <v>2984</v>
      </c>
      <c r="S851" s="1"/>
      <c r="T851" s="1" t="s">
        <v>3347</v>
      </c>
      <c r="U851" s="1"/>
      <c r="V851" s="1">
        <v>85.47</v>
      </c>
      <c r="W851" s="1">
        <v>85.47</v>
      </c>
      <c r="X851" s="1" t="s">
        <v>35</v>
      </c>
      <c r="Y851" s="1">
        <v>85470.0</v>
      </c>
      <c r="Z851" s="1"/>
      <c r="AA851" s="1"/>
      <c r="AB851" s="1">
        <v>85470</v>
      </c>
      <c r="AC851" s="1" t="s">
        <v>36</v>
      </c>
      <c r="AD851" s="1" t="s">
        <v>3349</v>
      </c>
      <c r="AE851" s="1" t="s">
        <v>32</v>
      </c>
      <c r="AF851" s="1" t="s">
        <v>33</v>
      </c>
      <c r="AG851" s="1" t="s">
        <v>30</v>
      </c>
    </row>
    <row r="852" spans="1:33">
      <c r="A852" t="s">
        <v>3350</v>
      </c>
      <c r="B852" t="s">
        <v>3351</v>
      </c>
      <c r="C852" t="s">
        <v>47</v>
      </c>
      <c r="E852" t="s">
        <v>2984</v>
      </c>
      <c r="F852" t="s">
        <v>2985</v>
      </c>
      <c r="G852">
        <v>11.0</v>
      </c>
      <c r="H852">
        <v>11.0</v>
      </c>
      <c r="I852" t="s">
        <v>48</v>
      </c>
      <c r="J852" t="s">
        <v>49</v>
      </c>
      <c r="K852" t="s">
        <v>31</v>
      </c>
      <c r="L852" t="s">
        <v>32</v>
      </c>
      <c r="M852" t="s">
        <v>33</v>
      </c>
      <c r="P852" s="1" t="s">
        <v>3352</v>
      </c>
      <c r="Q852" s="1" t="s">
        <v>2984</v>
      </c>
      <c r="R852" s="1" t="s">
        <v>2984</v>
      </c>
      <c r="S852" s="1"/>
      <c r="T852" s="1" t="s">
        <v>47</v>
      </c>
      <c r="U852" s="1"/>
      <c r="V852" s="1">
        <v>11.0</v>
      </c>
      <c r="W852" s="1">
        <v>11.0</v>
      </c>
      <c r="X852" s="1" t="s">
        <v>35</v>
      </c>
      <c r="Y852" s="1">
        <v>11000.0</v>
      </c>
      <c r="Z852" s="1"/>
      <c r="AA852" s="1">
        <v>11000</v>
      </c>
      <c r="AB852" s="1"/>
      <c r="AC852" s="1" t="s">
        <v>36</v>
      </c>
      <c r="AD852" s="1" t="s">
        <v>3353</v>
      </c>
      <c r="AE852" s="1" t="s">
        <v>32</v>
      </c>
      <c r="AF852" s="1" t="s">
        <v>33</v>
      </c>
      <c r="AG852" s="1" t="s">
        <v>49</v>
      </c>
    </row>
    <row r="853" spans="1:33">
      <c r="A853" t="s">
        <v>3354</v>
      </c>
      <c r="C853" t="s">
        <v>131</v>
      </c>
      <c r="E853" t="s">
        <v>2984</v>
      </c>
      <c r="F853" t="s">
        <v>2985</v>
      </c>
      <c r="G853">
        <v>121.47</v>
      </c>
      <c r="H853">
        <v>121.47</v>
      </c>
      <c r="I853" t="s">
        <v>94</v>
      </c>
      <c r="J853" t="s">
        <v>95</v>
      </c>
      <c r="K853" t="s">
        <v>31</v>
      </c>
      <c r="L853" t="s">
        <v>32</v>
      </c>
      <c r="M853" t="s">
        <v>33</v>
      </c>
      <c r="P853" s="1" t="s">
        <v>3355</v>
      </c>
      <c r="Q853" s="1" t="s">
        <v>2984</v>
      </c>
      <c r="R853" s="1" t="s">
        <v>2984</v>
      </c>
      <c r="S853" s="1"/>
      <c r="T853" s="1" t="s">
        <v>131</v>
      </c>
      <c r="U853" s="1"/>
      <c r="V853" s="1">
        <v>121.47</v>
      </c>
      <c r="W853" s="1">
        <v>121.47</v>
      </c>
      <c r="X853" s="1" t="s">
        <v>35</v>
      </c>
      <c r="Y853" s="1">
        <v>121470.0</v>
      </c>
      <c r="Z853" s="1"/>
      <c r="AA853" s="1">
        <v>121470</v>
      </c>
      <c r="AB853" s="1"/>
      <c r="AC853" s="1" t="s">
        <v>36</v>
      </c>
      <c r="AD853" s="1" t="s">
        <v>3356</v>
      </c>
      <c r="AE853" s="1" t="s">
        <v>32</v>
      </c>
      <c r="AF853" s="1" t="s">
        <v>33</v>
      </c>
      <c r="AG853" s="1" t="s">
        <v>95</v>
      </c>
    </row>
    <row r="854" spans="1:33">
      <c r="A854" t="s">
        <v>3357</v>
      </c>
      <c r="C854" t="s">
        <v>3358</v>
      </c>
      <c r="E854" t="s">
        <v>2984</v>
      </c>
      <c r="F854" t="s">
        <v>2985</v>
      </c>
      <c r="G854">
        <v>137.0</v>
      </c>
      <c r="H854">
        <v>137.0</v>
      </c>
      <c r="I854" t="s">
        <v>94</v>
      </c>
      <c r="J854" t="s">
        <v>95</v>
      </c>
      <c r="K854" t="s">
        <v>31</v>
      </c>
      <c r="L854" t="s">
        <v>32</v>
      </c>
      <c r="M854" t="s">
        <v>33</v>
      </c>
      <c r="P854" s="1" t="s">
        <v>3359</v>
      </c>
      <c r="Q854" s="1" t="s">
        <v>2984</v>
      </c>
      <c r="R854" s="1" t="s">
        <v>2984</v>
      </c>
      <c r="S854" s="1"/>
      <c r="T854" s="1" t="s">
        <v>3360</v>
      </c>
      <c r="U854" s="1" t="s">
        <v>3361</v>
      </c>
      <c r="V854" s="1">
        <v>137.0</v>
      </c>
      <c r="W854" s="1">
        <v>137.0</v>
      </c>
      <c r="X854" s="1" t="s">
        <v>35</v>
      </c>
      <c r="Y854" s="1">
        <v>137000.0</v>
      </c>
      <c r="Z854" s="1"/>
      <c r="AA854" s="1">
        <v>137000</v>
      </c>
      <c r="AB854" s="1"/>
      <c r="AC854" s="1" t="s">
        <v>36</v>
      </c>
      <c r="AD854" s="1" t="s">
        <v>3362</v>
      </c>
      <c r="AE854" s="1" t="s">
        <v>32</v>
      </c>
      <c r="AF854" s="1" t="s">
        <v>33</v>
      </c>
      <c r="AG854" s="1" t="s">
        <v>95</v>
      </c>
    </row>
    <row r="855" spans="1:33">
      <c r="A855" t="s">
        <v>3363</v>
      </c>
      <c r="C855" t="s">
        <v>558</v>
      </c>
      <c r="D855" t="s">
        <v>154</v>
      </c>
      <c r="E855" t="s">
        <v>2984</v>
      </c>
      <c r="F855" t="s">
        <v>2985</v>
      </c>
      <c r="G855">
        <v>110.5</v>
      </c>
      <c r="H855">
        <v>110.5</v>
      </c>
      <c r="I855" t="s">
        <v>269</v>
      </c>
      <c r="J855" t="s">
        <v>270</v>
      </c>
      <c r="K855" t="s">
        <v>31</v>
      </c>
      <c r="L855" t="s">
        <v>32</v>
      </c>
      <c r="M855" t="s">
        <v>33</v>
      </c>
      <c r="P855" s="1" t="s">
        <v>3364</v>
      </c>
      <c r="Q855" s="1" t="s">
        <v>2984</v>
      </c>
      <c r="R855" s="1" t="s">
        <v>2984</v>
      </c>
      <c r="S855" s="1"/>
      <c r="T855" s="1" t="s">
        <v>560</v>
      </c>
      <c r="U855" s="1" t="s">
        <v>561</v>
      </c>
      <c r="V855" s="1">
        <v>110.5</v>
      </c>
      <c r="W855" s="1">
        <v>110.5</v>
      </c>
      <c r="X855" s="1" t="s">
        <v>35</v>
      </c>
      <c r="Y855" s="1">
        <v>110500.0</v>
      </c>
      <c r="Z855" s="1"/>
      <c r="AA855" s="1">
        <v>110500</v>
      </c>
      <c r="AB855" s="1"/>
      <c r="AC855" s="1" t="s">
        <v>36</v>
      </c>
      <c r="AD855" s="1" t="s">
        <v>3365</v>
      </c>
      <c r="AE855" s="1" t="s">
        <v>32</v>
      </c>
      <c r="AF855" s="1" t="s">
        <v>33</v>
      </c>
      <c r="AG855" s="1" t="s">
        <v>270</v>
      </c>
    </row>
    <row r="856" spans="1:33">
      <c r="A856" t="s">
        <v>3366</v>
      </c>
      <c r="C856" t="s">
        <v>2688</v>
      </c>
      <c r="E856" t="s">
        <v>2984</v>
      </c>
      <c r="F856" t="s">
        <v>2985</v>
      </c>
      <c r="G856">
        <v>580.0</v>
      </c>
      <c r="H856">
        <v>580.0</v>
      </c>
      <c r="I856" t="s">
        <v>269</v>
      </c>
      <c r="J856" t="s">
        <v>270</v>
      </c>
      <c r="K856" t="s">
        <v>31</v>
      </c>
      <c r="L856" t="s">
        <v>32</v>
      </c>
      <c r="M856" t="s">
        <v>33</v>
      </c>
      <c r="P856" s="1" t="s">
        <v>3367</v>
      </c>
      <c r="Q856" s="1" t="s">
        <v>2984</v>
      </c>
      <c r="R856" s="1" t="s">
        <v>2984</v>
      </c>
      <c r="S856" s="1"/>
      <c r="T856" s="1" t="s">
        <v>2688</v>
      </c>
      <c r="U856" s="1"/>
      <c r="V856" s="1">
        <v>580.0</v>
      </c>
      <c r="W856" s="1">
        <v>580.0</v>
      </c>
      <c r="X856" s="1" t="s">
        <v>35</v>
      </c>
      <c r="Y856" s="1">
        <v>580000.0</v>
      </c>
      <c r="Z856" s="1"/>
      <c r="AA856" s="1">
        <v>580000</v>
      </c>
      <c r="AB856" s="1"/>
      <c r="AC856" s="1" t="s">
        <v>36</v>
      </c>
      <c r="AD856" s="1" t="s">
        <v>3368</v>
      </c>
      <c r="AE856" s="1" t="s">
        <v>32</v>
      </c>
      <c r="AF856" s="1" t="s">
        <v>33</v>
      </c>
      <c r="AG856" s="1" t="s">
        <v>270</v>
      </c>
    </row>
    <row r="857" spans="1:33">
      <c r="A857" t="s">
        <v>3369</v>
      </c>
      <c r="C857" t="s">
        <v>866</v>
      </c>
      <c r="D857" t="s">
        <v>154</v>
      </c>
      <c r="E857" t="s">
        <v>2984</v>
      </c>
      <c r="F857" t="s">
        <v>2985</v>
      </c>
      <c r="G857">
        <v>336.0</v>
      </c>
      <c r="H857">
        <v>336.0</v>
      </c>
      <c r="I857" t="s">
        <v>48</v>
      </c>
      <c r="J857" t="s">
        <v>49</v>
      </c>
      <c r="K857" t="s">
        <v>31</v>
      </c>
      <c r="L857" t="s">
        <v>32</v>
      </c>
      <c r="M857" t="s">
        <v>33</v>
      </c>
      <c r="P857" s="1" t="s">
        <v>3370</v>
      </c>
      <c r="Q857" s="1" t="s">
        <v>2984</v>
      </c>
      <c r="R857" s="1" t="s">
        <v>2984</v>
      </c>
      <c r="S857" s="1"/>
      <c r="T857" s="1" t="s">
        <v>868</v>
      </c>
      <c r="U857" s="1" t="s">
        <v>869</v>
      </c>
      <c r="V857" s="1">
        <v>336.0</v>
      </c>
      <c r="W857" s="1">
        <v>336.0</v>
      </c>
      <c r="X857" s="1" t="s">
        <v>35</v>
      </c>
      <c r="Y857" s="1">
        <v>336000.0</v>
      </c>
      <c r="Z857" s="1"/>
      <c r="AA857" s="1">
        <v>336000</v>
      </c>
      <c r="AB857" s="1"/>
      <c r="AC857" s="1" t="s">
        <v>36</v>
      </c>
      <c r="AD857" s="1" t="s">
        <v>3371</v>
      </c>
      <c r="AE857" s="1" t="s">
        <v>32</v>
      </c>
      <c r="AF857" s="1" t="s">
        <v>33</v>
      </c>
      <c r="AG857" s="1" t="s">
        <v>49</v>
      </c>
    </row>
    <row r="858" spans="1:33">
      <c r="A858" t="s">
        <v>3372</v>
      </c>
      <c r="C858" t="s">
        <v>879</v>
      </c>
      <c r="E858" t="s">
        <v>2984</v>
      </c>
      <c r="F858" t="s">
        <v>2985</v>
      </c>
      <c r="G858">
        <v>882.6</v>
      </c>
      <c r="H858">
        <v>882.6</v>
      </c>
      <c r="I858" t="s">
        <v>136</v>
      </c>
      <c r="J858" t="s">
        <v>137</v>
      </c>
      <c r="K858" t="s">
        <v>31</v>
      </c>
      <c r="L858" t="s">
        <v>32</v>
      </c>
      <c r="M858" t="s">
        <v>33</v>
      </c>
      <c r="P858" s="1" t="s">
        <v>3373</v>
      </c>
      <c r="Q858" s="1" t="s">
        <v>2984</v>
      </c>
      <c r="R858" s="1" t="s">
        <v>2984</v>
      </c>
      <c r="S858" s="1"/>
      <c r="T858" s="1" t="s">
        <v>879</v>
      </c>
      <c r="U858" s="1"/>
      <c r="V858" s="1">
        <v>882.6</v>
      </c>
      <c r="W858" s="1">
        <v>882.6</v>
      </c>
      <c r="X858" s="1" t="s">
        <v>35</v>
      </c>
      <c r="Y858" s="1">
        <v>882600.0</v>
      </c>
      <c r="Z858" s="1"/>
      <c r="AA858" s="1">
        <v>882600</v>
      </c>
      <c r="AB858" s="1"/>
      <c r="AC858" s="1" t="s">
        <v>36</v>
      </c>
      <c r="AD858" s="1" t="s">
        <v>3368</v>
      </c>
      <c r="AE858" s="1" t="s">
        <v>32</v>
      </c>
      <c r="AF858" s="1" t="s">
        <v>33</v>
      </c>
      <c r="AG858" s="1" t="s">
        <v>137</v>
      </c>
    </row>
    <row r="859" spans="1:33">
      <c r="A859" t="s">
        <v>3374</v>
      </c>
      <c r="B859" t="s">
        <v>3375</v>
      </c>
      <c r="C859" t="s">
        <v>125</v>
      </c>
      <c r="E859" t="s">
        <v>2984</v>
      </c>
      <c r="F859" t="s">
        <v>2985</v>
      </c>
      <c r="G859">
        <v>42.98</v>
      </c>
      <c r="H859">
        <v>42.98</v>
      </c>
      <c r="I859" t="s">
        <v>126</v>
      </c>
      <c r="J859" t="s">
        <v>127</v>
      </c>
      <c r="K859" t="s">
        <v>31</v>
      </c>
      <c r="L859" t="s">
        <v>32</v>
      </c>
      <c r="M859" t="s">
        <v>33</v>
      </c>
      <c r="P859" s="1" t="s">
        <v>3376</v>
      </c>
      <c r="Q859" s="1" t="s">
        <v>2984</v>
      </c>
      <c r="R859" s="1" t="s">
        <v>2984</v>
      </c>
      <c r="S859" s="1"/>
      <c r="T859" s="1" t="s">
        <v>125</v>
      </c>
      <c r="U859" s="1"/>
      <c r="V859" s="1">
        <v>42.98</v>
      </c>
      <c r="W859" s="1">
        <v>42.98</v>
      </c>
      <c r="X859" s="1" t="s">
        <v>35</v>
      </c>
      <c r="Y859" s="1">
        <v>42980.0</v>
      </c>
      <c r="Z859" s="1"/>
      <c r="AA859" s="1">
        <v>42980</v>
      </c>
      <c r="AB859" s="1"/>
      <c r="AC859" s="1" t="s">
        <v>36</v>
      </c>
      <c r="AD859" s="1" t="s">
        <v>3356</v>
      </c>
      <c r="AE859" s="1" t="s">
        <v>32</v>
      </c>
      <c r="AF859" s="1" t="s">
        <v>33</v>
      </c>
      <c r="AG859" s="1" t="s">
        <v>127</v>
      </c>
    </row>
    <row r="860" spans="1:33">
      <c r="A860" t="s">
        <v>3377</v>
      </c>
      <c r="C860" t="s">
        <v>2346</v>
      </c>
      <c r="E860" t="s">
        <v>2984</v>
      </c>
      <c r="F860" t="s">
        <v>2985</v>
      </c>
      <c r="G860">
        <v>84.0</v>
      </c>
      <c r="H860">
        <v>84.0</v>
      </c>
      <c r="I860" t="s">
        <v>269</v>
      </c>
      <c r="J860" t="s">
        <v>270</v>
      </c>
      <c r="K860" t="s">
        <v>31</v>
      </c>
      <c r="L860" t="s">
        <v>32</v>
      </c>
      <c r="M860" t="s">
        <v>33</v>
      </c>
      <c r="P860" s="1" t="s">
        <v>3378</v>
      </c>
      <c r="Q860" s="1" t="s">
        <v>2984</v>
      </c>
      <c r="R860" s="1" t="s">
        <v>2984</v>
      </c>
      <c r="S860" s="1"/>
      <c r="T860" s="1" t="s">
        <v>2346</v>
      </c>
      <c r="U860" s="1"/>
      <c r="V860" s="1">
        <v>84.0</v>
      </c>
      <c r="W860" s="1">
        <v>84.0</v>
      </c>
      <c r="X860" s="1" t="s">
        <v>35</v>
      </c>
      <c r="Y860" s="1">
        <v>84000.0</v>
      </c>
      <c r="Z860" s="1"/>
      <c r="AA860" s="1">
        <v>84000</v>
      </c>
      <c r="AB860" s="1"/>
      <c r="AC860" s="1" t="s">
        <v>36</v>
      </c>
      <c r="AD860" s="1" t="s">
        <v>3379</v>
      </c>
      <c r="AE860" s="1" t="s">
        <v>32</v>
      </c>
      <c r="AF860" s="1" t="s">
        <v>33</v>
      </c>
      <c r="AG860" s="1" t="s">
        <v>270</v>
      </c>
    </row>
    <row r="861" spans="1:33">
      <c r="A861" t="s">
        <v>3380</v>
      </c>
      <c r="C861" t="s">
        <v>3381</v>
      </c>
      <c r="E861" t="s">
        <v>2984</v>
      </c>
      <c r="F861" t="s">
        <v>2985</v>
      </c>
      <c r="G861">
        <v>790.0</v>
      </c>
      <c r="H861">
        <v>790.0</v>
      </c>
      <c r="I861" t="s">
        <v>94</v>
      </c>
      <c r="J861" t="s">
        <v>95</v>
      </c>
      <c r="K861" t="s">
        <v>31</v>
      </c>
      <c r="L861" t="s">
        <v>32</v>
      </c>
      <c r="M861" t="s">
        <v>33</v>
      </c>
      <c r="P861" s="1" t="s">
        <v>3382</v>
      </c>
      <c r="Q861" s="1" t="s">
        <v>2984</v>
      </c>
      <c r="R861" s="1" t="s">
        <v>2984</v>
      </c>
      <c r="S861" s="1"/>
      <c r="T861" s="1" t="s">
        <v>3381</v>
      </c>
      <c r="U861" s="1"/>
      <c r="V861" s="1">
        <v>790.0</v>
      </c>
      <c r="W861" s="1">
        <v>790.0</v>
      </c>
      <c r="X861" s="1" t="s">
        <v>35</v>
      </c>
      <c r="Y861" s="1">
        <v>790000.0</v>
      </c>
      <c r="Z861" s="1"/>
      <c r="AA861" s="1">
        <v>790000</v>
      </c>
      <c r="AB861" s="1"/>
      <c r="AC861" s="1" t="s">
        <v>36</v>
      </c>
      <c r="AD861" s="1" t="s">
        <v>3383</v>
      </c>
      <c r="AE861" s="1" t="s">
        <v>32</v>
      </c>
      <c r="AF861" s="1" t="s">
        <v>33</v>
      </c>
      <c r="AG861" s="1" t="s">
        <v>95</v>
      </c>
    </row>
    <row r="862" spans="1:33">
      <c r="A862" t="s">
        <v>3384</v>
      </c>
      <c r="C862" t="s">
        <v>3385</v>
      </c>
      <c r="E862" t="s">
        <v>2984</v>
      </c>
      <c r="F862" t="s">
        <v>2985</v>
      </c>
      <c r="G862">
        <v>424.7</v>
      </c>
      <c r="H862">
        <v>424.7</v>
      </c>
      <c r="I862" t="s">
        <v>847</v>
      </c>
      <c r="J862" t="s">
        <v>848</v>
      </c>
      <c r="K862" t="s">
        <v>31</v>
      </c>
      <c r="L862" t="s">
        <v>32</v>
      </c>
      <c r="M862" t="s">
        <v>33</v>
      </c>
      <c r="P862" s="1" t="s">
        <v>3386</v>
      </c>
      <c r="Q862" s="1" t="s">
        <v>2984</v>
      </c>
      <c r="R862" s="1" t="s">
        <v>2984</v>
      </c>
      <c r="S862" s="1"/>
      <c r="T862" s="1" t="s">
        <v>3385</v>
      </c>
      <c r="U862" s="1"/>
      <c r="V862" s="1">
        <v>424.7</v>
      </c>
      <c r="W862" s="1">
        <v>424.7</v>
      </c>
      <c r="X862" s="1" t="s">
        <v>35</v>
      </c>
      <c r="Y862" s="1">
        <v>424700.0</v>
      </c>
      <c r="Z862" s="1"/>
      <c r="AA862" s="1">
        <v>424700</v>
      </c>
      <c r="AB862" s="1"/>
      <c r="AC862" s="1" t="s">
        <v>36</v>
      </c>
      <c r="AD862" s="1" t="s">
        <v>3387</v>
      </c>
      <c r="AE862" s="1" t="s">
        <v>32</v>
      </c>
      <c r="AF862" s="1" t="s">
        <v>33</v>
      </c>
      <c r="AG862" s="1" t="s">
        <v>848</v>
      </c>
    </row>
    <row r="863" spans="1:33">
      <c r="A863" t="s">
        <v>3388</v>
      </c>
      <c r="B863" t="s">
        <v>3389</v>
      </c>
      <c r="C863" t="s">
        <v>47</v>
      </c>
      <c r="E863" t="s">
        <v>2984</v>
      </c>
      <c r="F863" t="s">
        <v>2985</v>
      </c>
      <c r="G863">
        <v>20.99</v>
      </c>
      <c r="H863">
        <v>20.99</v>
      </c>
      <c r="I863" t="s">
        <v>48</v>
      </c>
      <c r="J863" t="s">
        <v>49</v>
      </c>
      <c r="K863" t="s">
        <v>31</v>
      </c>
      <c r="L863" t="s">
        <v>32</v>
      </c>
      <c r="M863" t="s">
        <v>33</v>
      </c>
      <c r="P863" s="1" t="s">
        <v>3390</v>
      </c>
      <c r="Q863" s="1" t="s">
        <v>2984</v>
      </c>
      <c r="R863" s="1" t="s">
        <v>2984</v>
      </c>
      <c r="S863" s="1"/>
      <c r="T863" s="1" t="s">
        <v>47</v>
      </c>
      <c r="U863" s="1"/>
      <c r="V863" s="1">
        <v>20.99</v>
      </c>
      <c r="W863" s="1">
        <v>20.99</v>
      </c>
      <c r="X863" s="1" t="s">
        <v>35</v>
      </c>
      <c r="Y863" s="1">
        <v>20990.0</v>
      </c>
      <c r="Z863" s="1"/>
      <c r="AA863" s="1">
        <v>20990</v>
      </c>
      <c r="AB863" s="1"/>
      <c r="AC863" s="1" t="s">
        <v>36</v>
      </c>
      <c r="AD863" s="1" t="s">
        <v>3383</v>
      </c>
      <c r="AE863" s="1" t="s">
        <v>32</v>
      </c>
      <c r="AF863" s="1" t="s">
        <v>33</v>
      </c>
      <c r="AG863" s="1" t="s">
        <v>49</v>
      </c>
    </row>
    <row r="864" spans="1:33">
      <c r="A864" t="s">
        <v>3391</v>
      </c>
      <c r="C864" t="s">
        <v>569</v>
      </c>
      <c r="E864" t="s">
        <v>2984</v>
      </c>
      <c r="F864" t="s">
        <v>2985</v>
      </c>
      <c r="G864">
        <v>80.42</v>
      </c>
      <c r="H864">
        <v>80.42</v>
      </c>
      <c r="I864" t="s">
        <v>570</v>
      </c>
      <c r="J864" t="s">
        <v>571</v>
      </c>
      <c r="K864" t="s">
        <v>31</v>
      </c>
      <c r="L864" t="s">
        <v>32</v>
      </c>
      <c r="M864" t="s">
        <v>33</v>
      </c>
      <c r="P864" s="1" t="s">
        <v>3392</v>
      </c>
      <c r="Q864" s="1" t="s">
        <v>2984</v>
      </c>
      <c r="R864" s="1" t="s">
        <v>2984</v>
      </c>
      <c r="S864" s="1"/>
      <c r="T864" s="1" t="s">
        <v>569</v>
      </c>
      <c r="U864" s="1"/>
      <c r="V864" s="1">
        <v>80.42</v>
      </c>
      <c r="W864" s="1">
        <v>80.42</v>
      </c>
      <c r="X864" s="1" t="s">
        <v>35</v>
      </c>
      <c r="Y864" s="1">
        <v>80420.0</v>
      </c>
      <c r="Z864" s="1"/>
      <c r="AA864" s="1">
        <v>80420</v>
      </c>
      <c r="AB864" s="1"/>
      <c r="AC864" s="1" t="s">
        <v>36</v>
      </c>
      <c r="AD864" s="1" t="s">
        <v>3393</v>
      </c>
      <c r="AE864" s="1" t="s">
        <v>32</v>
      </c>
      <c r="AF864" s="1" t="s">
        <v>33</v>
      </c>
      <c r="AG864" s="1" t="s">
        <v>571</v>
      </c>
    </row>
    <row r="865" spans="1:33">
      <c r="A865" t="s">
        <v>3394</v>
      </c>
      <c r="C865" t="s">
        <v>3395</v>
      </c>
      <c r="E865" t="s">
        <v>2984</v>
      </c>
      <c r="F865" t="s">
        <v>2985</v>
      </c>
      <c r="G865">
        <v>834.25</v>
      </c>
      <c r="H865">
        <v>834.25</v>
      </c>
      <c r="I865" t="s">
        <v>269</v>
      </c>
      <c r="J865" t="s">
        <v>270</v>
      </c>
      <c r="K865" t="s">
        <v>31</v>
      </c>
      <c r="L865" t="s">
        <v>32</v>
      </c>
      <c r="M865" t="s">
        <v>33</v>
      </c>
      <c r="P865" s="1" t="s">
        <v>3396</v>
      </c>
      <c r="Q865" s="1" t="s">
        <v>2984</v>
      </c>
      <c r="R865" s="1" t="s">
        <v>2984</v>
      </c>
      <c r="S865" s="1"/>
      <c r="T865" s="1" t="s">
        <v>3395</v>
      </c>
      <c r="U865" s="1"/>
      <c r="V865" s="1">
        <v>834.25</v>
      </c>
      <c r="W865" s="1">
        <v>834.25</v>
      </c>
      <c r="X865" s="1" t="s">
        <v>35</v>
      </c>
      <c r="Y865" s="1">
        <v>834250.0</v>
      </c>
      <c r="Z865" s="1"/>
      <c r="AA865" s="1">
        <v>834250</v>
      </c>
      <c r="AB865" s="1"/>
      <c r="AC865" s="1" t="s">
        <v>36</v>
      </c>
      <c r="AD865" s="1" t="s">
        <v>3397</v>
      </c>
      <c r="AE865" s="1" t="s">
        <v>32</v>
      </c>
      <c r="AF865" s="1" t="s">
        <v>33</v>
      </c>
      <c r="AG865" s="1" t="s">
        <v>270</v>
      </c>
    </row>
    <row r="866" spans="1:33">
      <c r="A866" t="s">
        <v>3398</v>
      </c>
      <c r="C866" t="s">
        <v>3399</v>
      </c>
      <c r="E866" t="s">
        <v>2984</v>
      </c>
      <c r="F866" t="s">
        <v>2985</v>
      </c>
      <c r="G866">
        <v>320.0</v>
      </c>
      <c r="H866">
        <v>320.0</v>
      </c>
      <c r="I866" t="s">
        <v>40</v>
      </c>
      <c r="J866" t="s">
        <v>41</v>
      </c>
      <c r="K866" t="s">
        <v>31</v>
      </c>
      <c r="L866" t="s">
        <v>32</v>
      </c>
      <c r="M866" t="s">
        <v>33</v>
      </c>
      <c r="P866" s="1" t="s">
        <v>3400</v>
      </c>
      <c r="Q866" s="1" t="s">
        <v>2984</v>
      </c>
      <c r="R866" s="1" t="s">
        <v>2292</v>
      </c>
      <c r="S866" s="1"/>
      <c r="T866" s="1" t="s">
        <v>3399</v>
      </c>
      <c r="U866" s="1"/>
      <c r="V866" s="1">
        <v>320.0</v>
      </c>
      <c r="W866" s="1">
        <v>320.0</v>
      </c>
      <c r="X866" s="1" t="s">
        <v>35</v>
      </c>
      <c r="Y866" s="1">
        <v>320000.0</v>
      </c>
      <c r="Z866" s="1"/>
      <c r="AA866" s="1">
        <v>320000</v>
      </c>
      <c r="AB866" s="1"/>
      <c r="AC866" s="1" t="s">
        <v>36</v>
      </c>
      <c r="AD866" s="1" t="s">
        <v>3401</v>
      </c>
      <c r="AE866" s="1" t="s">
        <v>32</v>
      </c>
      <c r="AF866" s="1" t="s">
        <v>33</v>
      </c>
      <c r="AG866" s="1" t="s">
        <v>41</v>
      </c>
    </row>
    <row r="867" spans="1:33">
      <c r="A867" t="s">
        <v>3402</v>
      </c>
      <c r="B867" t="s">
        <v>897</v>
      </c>
      <c r="C867" t="s">
        <v>314</v>
      </c>
      <c r="E867" t="s">
        <v>2984</v>
      </c>
      <c r="F867" t="s">
        <v>2985</v>
      </c>
      <c r="G867">
        <v>33.74</v>
      </c>
      <c r="H867">
        <v>33.74</v>
      </c>
      <c r="I867" t="s">
        <v>179</v>
      </c>
      <c r="J867" t="s">
        <v>180</v>
      </c>
      <c r="K867" t="s">
        <v>31</v>
      </c>
      <c r="L867" t="s">
        <v>32</v>
      </c>
      <c r="M867" t="s">
        <v>33</v>
      </c>
      <c r="P867" s="1" t="s">
        <v>3403</v>
      </c>
      <c r="Q867" s="1" t="s">
        <v>2984</v>
      </c>
      <c r="R867" s="1" t="s">
        <v>2984</v>
      </c>
      <c r="S867" s="1"/>
      <c r="T867" s="1" t="s">
        <v>314</v>
      </c>
      <c r="U867" s="1"/>
      <c r="V867" s="1">
        <v>33.74</v>
      </c>
      <c r="W867" s="1">
        <v>33.74</v>
      </c>
      <c r="X867" s="1" t="s">
        <v>35</v>
      </c>
      <c r="Y867" s="1">
        <v>33740.0</v>
      </c>
      <c r="Z867" s="1"/>
      <c r="AA867" s="1">
        <v>33740</v>
      </c>
      <c r="AB867" s="1"/>
      <c r="AC867" s="1" t="s">
        <v>36</v>
      </c>
      <c r="AD867" s="1" t="s">
        <v>3404</v>
      </c>
      <c r="AE867" s="1" t="s">
        <v>32</v>
      </c>
      <c r="AF867" s="1" t="s">
        <v>33</v>
      </c>
      <c r="AG867" s="1" t="s">
        <v>180</v>
      </c>
    </row>
    <row r="868" spans="1:33">
      <c r="A868" t="s">
        <v>3405</v>
      </c>
      <c r="B868" t="s">
        <v>3406</v>
      </c>
      <c r="C868" t="s">
        <v>68</v>
      </c>
      <c r="E868" t="s">
        <v>2984</v>
      </c>
      <c r="F868" t="s">
        <v>2985</v>
      </c>
      <c r="G868">
        <v>22.49</v>
      </c>
      <c r="H868">
        <v>22.49</v>
      </c>
      <c r="I868" t="s">
        <v>59</v>
      </c>
      <c r="J868" t="s">
        <v>60</v>
      </c>
      <c r="K868" t="s">
        <v>31</v>
      </c>
      <c r="L868" t="s">
        <v>32</v>
      </c>
      <c r="M868" t="s">
        <v>33</v>
      </c>
      <c r="P868" s="1" t="s">
        <v>3407</v>
      </c>
      <c r="Q868" s="1" t="s">
        <v>2984</v>
      </c>
      <c r="R868" s="1" t="s">
        <v>2984</v>
      </c>
      <c r="S868" s="1"/>
      <c r="T868" s="1" t="s">
        <v>68</v>
      </c>
      <c r="U868" s="1"/>
      <c r="V868" s="1">
        <v>22.49</v>
      </c>
      <c r="W868" s="1">
        <v>22.49</v>
      </c>
      <c r="X868" s="1" t="s">
        <v>35</v>
      </c>
      <c r="Y868" s="1">
        <v>22490.0</v>
      </c>
      <c r="Z868" s="1"/>
      <c r="AA868" s="1">
        <v>22490</v>
      </c>
      <c r="AB868" s="1"/>
      <c r="AC868" s="1" t="s">
        <v>36</v>
      </c>
      <c r="AD868" s="1" t="s">
        <v>3408</v>
      </c>
      <c r="AE868" s="1" t="s">
        <v>32</v>
      </c>
      <c r="AF868" s="1" t="s">
        <v>33</v>
      </c>
      <c r="AG868" s="1" t="s">
        <v>60</v>
      </c>
    </row>
    <row r="869" spans="1:33">
      <c r="A869" t="s">
        <v>3409</v>
      </c>
      <c r="C869" t="s">
        <v>3410</v>
      </c>
      <c r="E869" t="s">
        <v>2984</v>
      </c>
      <c r="F869" t="s">
        <v>2985</v>
      </c>
      <c r="G869">
        <v>362.5</v>
      </c>
      <c r="H869">
        <v>362.5</v>
      </c>
      <c r="I869" t="s">
        <v>48</v>
      </c>
      <c r="J869" t="s">
        <v>49</v>
      </c>
      <c r="K869" t="s">
        <v>31</v>
      </c>
      <c r="L869" t="s">
        <v>32</v>
      </c>
      <c r="M869" t="s">
        <v>33</v>
      </c>
      <c r="P869" s="1" t="s">
        <v>3411</v>
      </c>
      <c r="Q869" s="1" t="s">
        <v>2984</v>
      </c>
      <c r="R869" s="1" t="s">
        <v>2984</v>
      </c>
      <c r="S869" s="1"/>
      <c r="T869" s="1" t="s">
        <v>3410</v>
      </c>
      <c r="U869" s="1"/>
      <c r="V869" s="1">
        <v>362.5</v>
      </c>
      <c r="W869" s="1">
        <v>362.5</v>
      </c>
      <c r="X869" s="1" t="s">
        <v>35</v>
      </c>
      <c r="Y869" s="1">
        <v>362500.0</v>
      </c>
      <c r="Z869" s="1"/>
      <c r="AA869" s="1">
        <v>362500</v>
      </c>
      <c r="AB869" s="1"/>
      <c r="AC869" s="1" t="s">
        <v>36</v>
      </c>
      <c r="AD869" s="1" t="s">
        <v>3412</v>
      </c>
      <c r="AE869" s="1" t="s">
        <v>32</v>
      </c>
      <c r="AF869" s="1" t="s">
        <v>33</v>
      </c>
      <c r="AG869" s="1" t="s">
        <v>49</v>
      </c>
    </row>
    <row r="870" spans="1:33">
      <c r="A870" t="s">
        <v>3413</v>
      </c>
      <c r="C870" t="s">
        <v>2485</v>
      </c>
      <c r="E870" t="s">
        <v>2984</v>
      </c>
      <c r="F870" t="s">
        <v>2985</v>
      </c>
      <c r="G870">
        <v>687.5</v>
      </c>
      <c r="H870">
        <v>687.5</v>
      </c>
      <c r="I870" t="s">
        <v>136</v>
      </c>
      <c r="J870" t="s">
        <v>137</v>
      </c>
      <c r="K870" t="s">
        <v>31</v>
      </c>
      <c r="L870" t="s">
        <v>32</v>
      </c>
      <c r="M870" t="s">
        <v>33</v>
      </c>
      <c r="P870" s="1" t="s">
        <v>3414</v>
      </c>
      <c r="Q870" s="1" t="s">
        <v>2984</v>
      </c>
      <c r="R870" s="1" t="s">
        <v>2984</v>
      </c>
      <c r="S870" s="1"/>
      <c r="T870" s="1" t="s">
        <v>2485</v>
      </c>
      <c r="U870" s="1"/>
      <c r="V870" s="1">
        <v>687.5</v>
      </c>
      <c r="W870" s="1">
        <v>687.5</v>
      </c>
      <c r="X870" s="1" t="s">
        <v>35</v>
      </c>
      <c r="Y870" s="1">
        <v>687500.0</v>
      </c>
      <c r="Z870" s="1"/>
      <c r="AA870" s="1">
        <v>687500</v>
      </c>
      <c r="AB870" s="1"/>
      <c r="AC870" s="1" t="s">
        <v>36</v>
      </c>
      <c r="AD870" s="1" t="s">
        <v>3415</v>
      </c>
      <c r="AE870" s="1" t="s">
        <v>32</v>
      </c>
      <c r="AF870" s="1" t="s">
        <v>33</v>
      </c>
      <c r="AG870" s="1" t="s">
        <v>137</v>
      </c>
    </row>
    <row r="871" spans="1:33">
      <c r="A871" t="s">
        <v>3416</v>
      </c>
      <c r="C871" t="s">
        <v>3417</v>
      </c>
      <c r="D871" t="s">
        <v>114</v>
      </c>
      <c r="E871" t="s">
        <v>2984</v>
      </c>
      <c r="F871" t="s">
        <v>2985</v>
      </c>
      <c r="G871">
        <v>328.0</v>
      </c>
      <c r="H871">
        <v>328.0</v>
      </c>
      <c r="I871" t="s">
        <v>136</v>
      </c>
      <c r="J871" t="s">
        <v>137</v>
      </c>
      <c r="K871" t="s">
        <v>31</v>
      </c>
      <c r="L871" t="s">
        <v>32</v>
      </c>
      <c r="M871" t="s">
        <v>33</v>
      </c>
      <c r="P871" s="1" t="s">
        <v>3418</v>
      </c>
      <c r="Q871" s="1" t="s">
        <v>2984</v>
      </c>
      <c r="R871" s="1" t="s">
        <v>2984</v>
      </c>
      <c r="S871" s="1"/>
      <c r="T871" s="1" t="s">
        <v>3417</v>
      </c>
      <c r="U871" s="1"/>
      <c r="V871" s="1">
        <v>328.0</v>
      </c>
      <c r="W871" s="1">
        <v>328.0</v>
      </c>
      <c r="X871" s="1" t="s">
        <v>35</v>
      </c>
      <c r="Y871" s="1">
        <v>328000.0</v>
      </c>
      <c r="Z871" s="1"/>
      <c r="AA871" s="1">
        <v>328000</v>
      </c>
      <c r="AB871" s="1"/>
      <c r="AC871" s="1" t="s">
        <v>36</v>
      </c>
      <c r="AD871" s="1" t="s">
        <v>3412</v>
      </c>
      <c r="AE871" s="1" t="s">
        <v>32</v>
      </c>
      <c r="AF871" s="1" t="s">
        <v>33</v>
      </c>
      <c r="AG871" s="1" t="s">
        <v>137</v>
      </c>
    </row>
    <row r="872" spans="1:33">
      <c r="A872" t="s">
        <v>3419</v>
      </c>
      <c r="B872" t="s">
        <v>3420</v>
      </c>
      <c r="C872" t="s">
        <v>314</v>
      </c>
      <c r="E872" t="s">
        <v>2984</v>
      </c>
      <c r="F872" t="s">
        <v>2985</v>
      </c>
      <c r="G872">
        <v>70.92</v>
      </c>
      <c r="H872">
        <v>70.92</v>
      </c>
      <c r="I872" t="s">
        <v>179</v>
      </c>
      <c r="J872" t="s">
        <v>180</v>
      </c>
      <c r="K872" t="s">
        <v>31</v>
      </c>
      <c r="L872" t="s">
        <v>32</v>
      </c>
      <c r="M872" t="s">
        <v>33</v>
      </c>
      <c r="P872" s="1" t="s">
        <v>3421</v>
      </c>
      <c r="Q872" s="1" t="s">
        <v>2984</v>
      </c>
      <c r="R872" s="1" t="s">
        <v>2984</v>
      </c>
      <c r="S872" s="1"/>
      <c r="T872" s="1" t="s">
        <v>314</v>
      </c>
      <c r="U872" s="1"/>
      <c r="V872" s="1">
        <v>70.92</v>
      </c>
      <c r="W872" s="1">
        <v>70.92</v>
      </c>
      <c r="X872" s="1" t="s">
        <v>35</v>
      </c>
      <c r="Y872" s="1">
        <v>70920.0</v>
      </c>
      <c r="Z872" s="1"/>
      <c r="AA872" s="1">
        <v>70920</v>
      </c>
      <c r="AB872" s="1"/>
      <c r="AC872" s="1" t="s">
        <v>36</v>
      </c>
      <c r="AD872" s="1" t="s">
        <v>3422</v>
      </c>
      <c r="AE872" s="1" t="s">
        <v>32</v>
      </c>
      <c r="AF872" s="1" t="s">
        <v>33</v>
      </c>
      <c r="AG872" s="1" t="s">
        <v>180</v>
      </c>
    </row>
    <row r="873" spans="1:33">
      <c r="A873" t="s">
        <v>3423</v>
      </c>
      <c r="C873" t="s">
        <v>558</v>
      </c>
      <c r="D873" t="s">
        <v>154</v>
      </c>
      <c r="E873" t="s">
        <v>2984</v>
      </c>
      <c r="F873" t="s">
        <v>2985</v>
      </c>
      <c r="G873">
        <v>16.8</v>
      </c>
      <c r="H873">
        <v>16.8</v>
      </c>
      <c r="I873" t="s">
        <v>269</v>
      </c>
      <c r="J873" t="s">
        <v>270</v>
      </c>
      <c r="K873" t="s">
        <v>31</v>
      </c>
      <c r="L873" t="s">
        <v>32</v>
      </c>
      <c r="M873" t="s">
        <v>33</v>
      </c>
      <c r="P873" s="1" t="s">
        <v>3424</v>
      </c>
      <c r="Q873" s="1" t="s">
        <v>2984</v>
      </c>
      <c r="R873" s="1" t="s">
        <v>2984</v>
      </c>
      <c r="S873" s="1"/>
      <c r="T873" s="1" t="s">
        <v>560</v>
      </c>
      <c r="U873" s="1" t="s">
        <v>561</v>
      </c>
      <c r="V873" s="1">
        <v>16.8</v>
      </c>
      <c r="W873" s="1">
        <v>16.8</v>
      </c>
      <c r="X873" s="1" t="s">
        <v>35</v>
      </c>
      <c r="Y873" s="1">
        <v>16800.0</v>
      </c>
      <c r="Z873" s="1"/>
      <c r="AA873" s="1">
        <v>16800</v>
      </c>
      <c r="AB873" s="1"/>
      <c r="AC873" s="1" t="s">
        <v>36</v>
      </c>
      <c r="AD873" s="1" t="s">
        <v>3425</v>
      </c>
      <c r="AE873" s="1" t="s">
        <v>32</v>
      </c>
      <c r="AF873" s="1" t="s">
        <v>33</v>
      </c>
      <c r="AG873" s="1" t="s">
        <v>270</v>
      </c>
    </row>
    <row r="874" spans="1:33">
      <c r="A874" t="s">
        <v>3426</v>
      </c>
      <c r="B874" t="s">
        <v>3427</v>
      </c>
      <c r="C874" t="s">
        <v>3428</v>
      </c>
      <c r="E874" t="s">
        <v>2984</v>
      </c>
      <c r="F874" t="s">
        <v>2985</v>
      </c>
      <c r="G874">
        <v>3.46</v>
      </c>
      <c r="H874">
        <v>3.46</v>
      </c>
      <c r="I874" t="s">
        <v>529</v>
      </c>
      <c r="J874" t="s">
        <v>530</v>
      </c>
      <c r="K874" t="s">
        <v>31</v>
      </c>
      <c r="L874" t="s">
        <v>32</v>
      </c>
      <c r="M874" t="s">
        <v>33</v>
      </c>
      <c r="P874" s="1" t="s">
        <v>3429</v>
      </c>
      <c r="Q874" s="1" t="s">
        <v>2984</v>
      </c>
      <c r="R874" s="1" t="s">
        <v>2292</v>
      </c>
      <c r="S874" s="1"/>
      <c r="T874" s="1" t="s">
        <v>3428</v>
      </c>
      <c r="U874" s="1"/>
      <c r="V874" s="1">
        <v>3.46</v>
      </c>
      <c r="W874" s="1">
        <v>3.46</v>
      </c>
      <c r="X874" s="1" t="s">
        <v>35</v>
      </c>
      <c r="Y874" s="1">
        <v>3460400.0</v>
      </c>
      <c r="Z874" s="1"/>
      <c r="AA874" s="1">
        <v>3460400</v>
      </c>
      <c r="AB874" s="1"/>
      <c r="AC874" s="1" t="s">
        <v>36</v>
      </c>
      <c r="AD874" s="1" t="s">
        <v>3430</v>
      </c>
      <c r="AE874" s="1" t="s">
        <v>32</v>
      </c>
      <c r="AF874" s="1" t="s">
        <v>33</v>
      </c>
      <c r="AG874" s="1" t="s">
        <v>530</v>
      </c>
    </row>
    <row r="875" spans="1:33">
      <c r="A875" t="s">
        <v>3431</v>
      </c>
      <c r="B875" t="s">
        <v>2168</v>
      </c>
      <c r="C875" t="s">
        <v>314</v>
      </c>
      <c r="E875" t="s">
        <v>2984</v>
      </c>
      <c r="F875" t="s">
        <v>2985</v>
      </c>
      <c r="G875">
        <v>30.49</v>
      </c>
      <c r="H875">
        <v>30.49</v>
      </c>
      <c r="I875" t="s">
        <v>179</v>
      </c>
      <c r="J875" t="s">
        <v>180</v>
      </c>
      <c r="K875" t="s">
        <v>31</v>
      </c>
      <c r="L875" t="s">
        <v>32</v>
      </c>
      <c r="M875" t="s">
        <v>33</v>
      </c>
      <c r="P875" s="1" t="s">
        <v>3432</v>
      </c>
      <c r="Q875" s="1" t="s">
        <v>2984</v>
      </c>
      <c r="R875" s="1" t="s">
        <v>2984</v>
      </c>
      <c r="S875" s="1"/>
      <c r="T875" s="1" t="s">
        <v>314</v>
      </c>
      <c r="U875" s="1"/>
      <c r="V875" s="1">
        <v>30.49</v>
      </c>
      <c r="W875" s="1">
        <v>30.49</v>
      </c>
      <c r="X875" s="1" t="s">
        <v>35</v>
      </c>
      <c r="Y875" s="1">
        <v>30490.0</v>
      </c>
      <c r="Z875" s="1"/>
      <c r="AA875" s="1">
        <v>30490</v>
      </c>
      <c r="AB875" s="1"/>
      <c r="AC875" s="1" t="s">
        <v>36</v>
      </c>
      <c r="AD875" s="1" t="s">
        <v>3433</v>
      </c>
      <c r="AE875" s="1" t="s">
        <v>32</v>
      </c>
      <c r="AF875" s="1" t="s">
        <v>33</v>
      </c>
      <c r="AG875" s="1" t="s">
        <v>180</v>
      </c>
    </row>
    <row r="876" spans="1:33">
      <c r="A876" t="s">
        <v>3434</v>
      </c>
      <c r="C876" t="s">
        <v>827</v>
      </c>
      <c r="D876" t="s">
        <v>154</v>
      </c>
      <c r="E876" t="s">
        <v>2984</v>
      </c>
      <c r="F876" t="s">
        <v>2985</v>
      </c>
      <c r="G876">
        <v>31.25</v>
      </c>
      <c r="H876">
        <v>31.25</v>
      </c>
      <c r="I876" t="s">
        <v>269</v>
      </c>
      <c r="J876" t="s">
        <v>270</v>
      </c>
      <c r="K876" t="s">
        <v>31</v>
      </c>
      <c r="L876" t="s">
        <v>32</v>
      </c>
      <c r="M876" t="s">
        <v>33</v>
      </c>
      <c r="P876" s="1" t="s">
        <v>3435</v>
      </c>
      <c r="Q876" s="1" t="s">
        <v>2984</v>
      </c>
      <c r="R876" s="1" t="s">
        <v>2984</v>
      </c>
      <c r="S876" s="1"/>
      <c r="T876" s="1" t="s">
        <v>827</v>
      </c>
      <c r="U876" s="1"/>
      <c r="V876" s="1">
        <v>31.25</v>
      </c>
      <c r="W876" s="1">
        <v>31.25</v>
      </c>
      <c r="X876" s="1" t="s">
        <v>35</v>
      </c>
      <c r="Y876" s="1">
        <v>31250.0</v>
      </c>
      <c r="Z876" s="1"/>
      <c r="AA876" s="1">
        <v>31250</v>
      </c>
      <c r="AB876" s="1"/>
      <c r="AC876" s="1" t="s">
        <v>36</v>
      </c>
      <c r="AD876" s="1" t="s">
        <v>3436</v>
      </c>
      <c r="AE876" s="1" t="s">
        <v>32</v>
      </c>
      <c r="AF876" s="1" t="s">
        <v>33</v>
      </c>
      <c r="AG876" s="1" t="s">
        <v>270</v>
      </c>
    </row>
    <row r="877" spans="1:33">
      <c r="A877" t="s">
        <v>3437</v>
      </c>
      <c r="B877" t="s">
        <v>3438</v>
      </c>
      <c r="C877" t="s">
        <v>1298</v>
      </c>
      <c r="E877" t="s">
        <v>2984</v>
      </c>
      <c r="F877" t="s">
        <v>2985</v>
      </c>
      <c r="G877">
        <v>20.49</v>
      </c>
      <c r="H877">
        <v>20.49</v>
      </c>
      <c r="I877" t="s">
        <v>529</v>
      </c>
      <c r="J877" t="s">
        <v>530</v>
      </c>
      <c r="K877" t="s">
        <v>31</v>
      </c>
      <c r="L877" t="s">
        <v>32</v>
      </c>
      <c r="M877" t="s">
        <v>33</v>
      </c>
      <c r="P877" s="1" t="s">
        <v>3439</v>
      </c>
      <c r="Q877" s="1" t="s">
        <v>2984</v>
      </c>
      <c r="R877" s="1" t="s">
        <v>2292</v>
      </c>
      <c r="S877" s="1"/>
      <c r="T877" s="1" t="s">
        <v>1298</v>
      </c>
      <c r="U877" s="1"/>
      <c r="V877" s="1">
        <v>20.49</v>
      </c>
      <c r="W877" s="1">
        <v>20.49</v>
      </c>
      <c r="X877" s="1" t="s">
        <v>35</v>
      </c>
      <c r="Y877" s="1">
        <v>20490.0</v>
      </c>
      <c r="Z877" s="1"/>
      <c r="AA877" s="1">
        <v>20490</v>
      </c>
      <c r="AB877" s="1"/>
      <c r="AC877" s="1" t="s">
        <v>36</v>
      </c>
      <c r="AD877" s="1" t="s">
        <v>3440</v>
      </c>
      <c r="AE877" s="1" t="s">
        <v>32</v>
      </c>
      <c r="AF877" s="1" t="s">
        <v>33</v>
      </c>
      <c r="AG877" s="1" t="s">
        <v>530</v>
      </c>
    </row>
    <row r="878" spans="1:33">
      <c r="A878" t="s">
        <v>3441</v>
      </c>
      <c r="C878" t="s">
        <v>3442</v>
      </c>
      <c r="E878" t="s">
        <v>2984</v>
      </c>
      <c r="F878" t="s">
        <v>2985</v>
      </c>
      <c r="G878">
        <v>1.286</v>
      </c>
      <c r="H878">
        <v>1.286</v>
      </c>
      <c r="I878" t="s">
        <v>847</v>
      </c>
      <c r="J878" t="s">
        <v>848</v>
      </c>
      <c r="K878" t="s">
        <v>31</v>
      </c>
      <c r="L878" t="s">
        <v>32</v>
      </c>
      <c r="M878" t="s">
        <v>33</v>
      </c>
      <c r="P878" s="1" t="s">
        <v>3443</v>
      </c>
      <c r="Q878" s="1" t="s">
        <v>2984</v>
      </c>
      <c r="R878" s="1" t="s">
        <v>2984</v>
      </c>
      <c r="S878" s="1"/>
      <c r="T878" s="1" t="s">
        <v>3442</v>
      </c>
      <c r="U878" s="1"/>
      <c r="V878" s="1">
        <v>1.286</v>
      </c>
      <c r="W878" s="1">
        <v>1.286</v>
      </c>
      <c r="X878" s="1" t="s">
        <v>35</v>
      </c>
      <c r="Y878" s="1">
        <v>1286000.0</v>
      </c>
      <c r="Z878" s="1"/>
      <c r="AA878" s="1">
        <v>1286000</v>
      </c>
      <c r="AB878" s="1"/>
      <c r="AC878" s="1" t="s">
        <v>36</v>
      </c>
      <c r="AD878" s="1" t="s">
        <v>3444</v>
      </c>
      <c r="AE878" s="1" t="s">
        <v>32</v>
      </c>
      <c r="AF878" s="1" t="s">
        <v>33</v>
      </c>
      <c r="AG878" s="1" t="s">
        <v>848</v>
      </c>
    </row>
    <row r="879" spans="1:33">
      <c r="A879" t="s">
        <v>3445</v>
      </c>
      <c r="C879" t="s">
        <v>996</v>
      </c>
      <c r="E879" t="s">
        <v>2984</v>
      </c>
      <c r="F879" t="s">
        <v>2985</v>
      </c>
      <c r="G879">
        <v>862.5</v>
      </c>
      <c r="H879">
        <v>862.5</v>
      </c>
      <c r="I879" t="s">
        <v>847</v>
      </c>
      <c r="J879" t="s">
        <v>848</v>
      </c>
      <c r="K879" t="s">
        <v>31</v>
      </c>
      <c r="L879" t="s">
        <v>32</v>
      </c>
      <c r="M879" t="s">
        <v>33</v>
      </c>
      <c r="P879" s="1" t="s">
        <v>3446</v>
      </c>
      <c r="Q879" s="1" t="s">
        <v>2984</v>
      </c>
      <c r="R879" s="1" t="s">
        <v>2984</v>
      </c>
      <c r="S879" s="1"/>
      <c r="T879" s="1" t="s">
        <v>996</v>
      </c>
      <c r="U879" s="1"/>
      <c r="V879" s="1">
        <v>862.5</v>
      </c>
      <c r="W879" s="1">
        <v>862.5</v>
      </c>
      <c r="X879" s="1" t="s">
        <v>35</v>
      </c>
      <c r="Y879" s="1">
        <v>862500.0</v>
      </c>
      <c r="Z879" s="1"/>
      <c r="AA879" s="1">
        <v>862500</v>
      </c>
      <c r="AB879" s="1"/>
      <c r="AC879" s="1" t="s">
        <v>36</v>
      </c>
      <c r="AD879" s="1" t="s">
        <v>3447</v>
      </c>
      <c r="AE879" s="1" t="s">
        <v>32</v>
      </c>
      <c r="AF879" s="1" t="s">
        <v>33</v>
      </c>
      <c r="AG879" s="1" t="s">
        <v>848</v>
      </c>
    </row>
    <row r="880" spans="1:33">
      <c r="A880" t="s">
        <v>3448</v>
      </c>
      <c r="C880" t="s">
        <v>3449</v>
      </c>
      <c r="E880" t="s">
        <v>2984</v>
      </c>
      <c r="F880" t="s">
        <v>2985</v>
      </c>
      <c r="G880">
        <v>584.1</v>
      </c>
      <c r="H880">
        <v>584.1</v>
      </c>
      <c r="I880" t="s">
        <v>847</v>
      </c>
      <c r="J880" t="s">
        <v>848</v>
      </c>
      <c r="K880" t="s">
        <v>31</v>
      </c>
      <c r="L880" t="s">
        <v>32</v>
      </c>
      <c r="M880" t="s">
        <v>33</v>
      </c>
      <c r="P880" s="1" t="s">
        <v>3450</v>
      </c>
      <c r="Q880" s="1" t="s">
        <v>2984</v>
      </c>
      <c r="R880" s="1" t="s">
        <v>2984</v>
      </c>
      <c r="S880" s="1"/>
      <c r="T880" s="1" t="s">
        <v>3449</v>
      </c>
      <c r="U880" s="1"/>
      <c r="V880" s="1">
        <v>584.1</v>
      </c>
      <c r="W880" s="1">
        <v>584.1</v>
      </c>
      <c r="X880" s="1" t="s">
        <v>35</v>
      </c>
      <c r="Y880" s="1">
        <v>584100.0</v>
      </c>
      <c r="Z880" s="1"/>
      <c r="AA880" s="1">
        <v>584100</v>
      </c>
      <c r="AB880" s="1"/>
      <c r="AC880" s="1" t="s">
        <v>36</v>
      </c>
      <c r="AD880" s="1" t="s">
        <v>3451</v>
      </c>
      <c r="AE880" s="1" t="s">
        <v>32</v>
      </c>
      <c r="AF880" s="1" t="s">
        <v>33</v>
      </c>
      <c r="AG880" s="1" t="s">
        <v>848</v>
      </c>
    </row>
    <row r="881" spans="1:33">
      <c r="A881" t="s">
        <v>3452</v>
      </c>
      <c r="B881" t="s">
        <v>1232</v>
      </c>
      <c r="C881" t="s">
        <v>1233</v>
      </c>
      <c r="E881" t="s">
        <v>2984</v>
      </c>
      <c r="F881" t="s">
        <v>2985</v>
      </c>
      <c r="G881">
        <v>328.0</v>
      </c>
      <c r="H881">
        <v>328.0</v>
      </c>
      <c r="I881" t="s">
        <v>529</v>
      </c>
      <c r="J881" t="s">
        <v>530</v>
      </c>
      <c r="K881" t="s">
        <v>31</v>
      </c>
      <c r="L881" t="s">
        <v>32</v>
      </c>
      <c r="M881" t="s">
        <v>33</v>
      </c>
      <c r="P881" s="1" t="s">
        <v>3453</v>
      </c>
      <c r="Q881" s="1" t="s">
        <v>2984</v>
      </c>
      <c r="R881" s="1" t="s">
        <v>2292</v>
      </c>
      <c r="S881" s="1"/>
      <c r="T881" s="1" t="s">
        <v>1233</v>
      </c>
      <c r="U881" s="1"/>
      <c r="V881" s="1">
        <v>328.0</v>
      </c>
      <c r="W881" s="1">
        <v>328.0</v>
      </c>
      <c r="X881" s="1" t="s">
        <v>35</v>
      </c>
      <c r="Y881" s="1">
        <v>328000.0</v>
      </c>
      <c r="Z881" s="1"/>
      <c r="AA881" s="1">
        <v>328000</v>
      </c>
      <c r="AB881" s="1"/>
      <c r="AC881" s="1" t="s">
        <v>36</v>
      </c>
      <c r="AD881" s="1" t="s">
        <v>3454</v>
      </c>
      <c r="AE881" s="1" t="s">
        <v>32</v>
      </c>
      <c r="AF881" s="1" t="s">
        <v>33</v>
      </c>
      <c r="AG881" s="1" t="s">
        <v>530</v>
      </c>
    </row>
    <row r="882" spans="1:33">
      <c r="A882" t="s">
        <v>3455</v>
      </c>
      <c r="B882" t="s">
        <v>3456</v>
      </c>
      <c r="C882" t="s">
        <v>47</v>
      </c>
      <c r="E882" t="s">
        <v>2984</v>
      </c>
      <c r="F882" t="s">
        <v>2985</v>
      </c>
      <c r="G882">
        <v>14.467</v>
      </c>
      <c r="H882">
        <v>14.467</v>
      </c>
      <c r="I882" t="s">
        <v>48</v>
      </c>
      <c r="J882" t="s">
        <v>49</v>
      </c>
      <c r="K882" t="s">
        <v>31</v>
      </c>
      <c r="L882" t="s">
        <v>32</v>
      </c>
      <c r="M882" t="s">
        <v>33</v>
      </c>
      <c r="P882" s="1" t="s">
        <v>3457</v>
      </c>
      <c r="Q882" s="1" t="s">
        <v>2984</v>
      </c>
      <c r="R882" s="1" t="s">
        <v>2984</v>
      </c>
      <c r="S882" s="1"/>
      <c r="T882" s="1" t="s">
        <v>47</v>
      </c>
      <c r="U882" s="1"/>
      <c r="V882" s="1">
        <v>14.467</v>
      </c>
      <c r="W882" s="1">
        <v>14.467</v>
      </c>
      <c r="X882" s="1" t="s">
        <v>35</v>
      </c>
      <c r="Y882" s="1">
        <v>14467.0</v>
      </c>
      <c r="Z882" s="1"/>
      <c r="AA882" s="1">
        <v>14467</v>
      </c>
      <c r="AB882" s="1"/>
      <c r="AC882" s="1" t="s">
        <v>36</v>
      </c>
      <c r="AD882" s="1" t="s">
        <v>3458</v>
      </c>
      <c r="AE882" s="1" t="s">
        <v>32</v>
      </c>
      <c r="AF882" s="1" t="s">
        <v>33</v>
      </c>
      <c r="AG882" s="1" t="s">
        <v>49</v>
      </c>
    </row>
    <row r="883" spans="1:33">
      <c r="A883" t="s">
        <v>3459</v>
      </c>
      <c r="B883" t="s">
        <v>1560</v>
      </c>
      <c r="C883" t="s">
        <v>1561</v>
      </c>
      <c r="D883" t="s">
        <v>154</v>
      </c>
      <c r="E883" t="s">
        <v>2984</v>
      </c>
      <c r="F883" t="s">
        <v>2985</v>
      </c>
      <c r="G883">
        <v>1.022</v>
      </c>
      <c r="H883">
        <v>1.022</v>
      </c>
      <c r="I883" t="s">
        <v>529</v>
      </c>
      <c r="J883" t="s">
        <v>530</v>
      </c>
      <c r="K883" t="s">
        <v>31</v>
      </c>
      <c r="L883" t="s">
        <v>32</v>
      </c>
      <c r="M883" t="s">
        <v>33</v>
      </c>
      <c r="P883" s="1" t="s">
        <v>3460</v>
      </c>
      <c r="Q883" s="1" t="s">
        <v>2984</v>
      </c>
      <c r="R883" s="1" t="s">
        <v>2292</v>
      </c>
      <c r="S883" s="1"/>
      <c r="T883" s="1" t="s">
        <v>1564</v>
      </c>
      <c r="U883" s="1" t="s">
        <v>1565</v>
      </c>
      <c r="V883" s="1">
        <v>1.022</v>
      </c>
      <c r="W883" s="1">
        <v>1.022</v>
      </c>
      <c r="X883" s="1" t="s">
        <v>35</v>
      </c>
      <c r="Y883" s="1">
        <v>1022600.0</v>
      </c>
      <c r="Z883" s="1"/>
      <c r="AA883" s="1">
        <v>1022600</v>
      </c>
      <c r="AB883" s="1"/>
      <c r="AC883" s="1" t="s">
        <v>36</v>
      </c>
      <c r="AD883" s="1" t="s">
        <v>3461</v>
      </c>
      <c r="AE883" s="1" t="s">
        <v>32</v>
      </c>
      <c r="AF883" s="1" t="s">
        <v>33</v>
      </c>
      <c r="AG883" s="1" t="s">
        <v>530</v>
      </c>
    </row>
    <row r="884" spans="1:33">
      <c r="A884" t="s">
        <v>3462</v>
      </c>
      <c r="C884" t="s">
        <v>688</v>
      </c>
      <c r="E884" t="s">
        <v>2984</v>
      </c>
      <c r="F884" t="s">
        <v>2985</v>
      </c>
      <c r="G884">
        <v>3.28</v>
      </c>
      <c r="H884">
        <v>3.28</v>
      </c>
      <c r="I884" t="s">
        <v>269</v>
      </c>
      <c r="J884" t="s">
        <v>270</v>
      </c>
      <c r="K884" t="s">
        <v>31</v>
      </c>
      <c r="L884" t="s">
        <v>32</v>
      </c>
      <c r="M884" t="s">
        <v>33</v>
      </c>
      <c r="P884" s="1" t="s">
        <v>3463</v>
      </c>
      <c r="Q884" s="1" t="s">
        <v>2984</v>
      </c>
      <c r="R884" s="1" t="s">
        <v>2984</v>
      </c>
      <c r="S884" s="1"/>
      <c r="T884" s="1" t="s">
        <v>688</v>
      </c>
      <c r="U884" s="1"/>
      <c r="V884" s="1">
        <v>3.28</v>
      </c>
      <c r="W884" s="1">
        <v>3.28</v>
      </c>
      <c r="X884" s="1" t="s">
        <v>35</v>
      </c>
      <c r="Y884" s="1">
        <v>3280000.0</v>
      </c>
      <c r="Z884" s="1"/>
      <c r="AA884" s="1">
        <v>3280000</v>
      </c>
      <c r="AB884" s="1"/>
      <c r="AC884" s="1" t="s">
        <v>36</v>
      </c>
      <c r="AD884" s="1" t="s">
        <v>3464</v>
      </c>
      <c r="AE884" s="1" t="s">
        <v>32</v>
      </c>
      <c r="AF884" s="1" t="s">
        <v>33</v>
      </c>
      <c r="AG884" s="1" t="s">
        <v>270</v>
      </c>
    </row>
    <row r="885" spans="1:33">
      <c r="A885" t="s">
        <v>3465</v>
      </c>
      <c r="B885" t="s">
        <v>3466</v>
      </c>
      <c r="C885" t="s">
        <v>268</v>
      </c>
      <c r="E885" t="s">
        <v>2984</v>
      </c>
      <c r="F885" t="s">
        <v>2985</v>
      </c>
      <c r="G885">
        <v>97.45</v>
      </c>
      <c r="H885">
        <v>97.45</v>
      </c>
      <c r="I885" t="s">
        <v>269</v>
      </c>
      <c r="J885" t="s">
        <v>270</v>
      </c>
      <c r="K885" t="s">
        <v>31</v>
      </c>
      <c r="L885" t="s">
        <v>32</v>
      </c>
      <c r="M885" t="s">
        <v>33</v>
      </c>
      <c r="P885" s="1" t="s">
        <v>3467</v>
      </c>
      <c r="Q885" s="1" t="s">
        <v>2984</v>
      </c>
      <c r="R885" s="1" t="s">
        <v>2984</v>
      </c>
      <c r="S885" s="1"/>
      <c r="T885" s="1" t="s">
        <v>268</v>
      </c>
      <c r="U885" s="1"/>
      <c r="V885" s="1">
        <v>97.45</v>
      </c>
      <c r="W885" s="1">
        <v>97.45</v>
      </c>
      <c r="X885" s="1" t="s">
        <v>35</v>
      </c>
      <c r="Y885" s="1">
        <v>97450.0</v>
      </c>
      <c r="Z885" s="1"/>
      <c r="AA885" s="1">
        <v>97450</v>
      </c>
      <c r="AB885" s="1"/>
      <c r="AC885" s="1" t="s">
        <v>36</v>
      </c>
      <c r="AD885" s="1" t="s">
        <v>3468</v>
      </c>
      <c r="AE885" s="1" t="s">
        <v>32</v>
      </c>
      <c r="AF885" s="1" t="s">
        <v>33</v>
      </c>
      <c r="AG885" s="1" t="s">
        <v>270</v>
      </c>
    </row>
    <row r="886" spans="1:33">
      <c r="A886" t="s">
        <v>3469</v>
      </c>
      <c r="B886" t="s">
        <v>3470</v>
      </c>
      <c r="C886" t="s">
        <v>172</v>
      </c>
      <c r="E886" t="s">
        <v>2984</v>
      </c>
      <c r="F886" t="s">
        <v>2985</v>
      </c>
      <c r="G886">
        <v>6.0</v>
      </c>
      <c r="H886">
        <v>6.0</v>
      </c>
      <c r="I886" t="s">
        <v>173</v>
      </c>
      <c r="J886" t="s">
        <v>174</v>
      </c>
      <c r="K886" t="s">
        <v>31</v>
      </c>
      <c r="L886" t="s">
        <v>32</v>
      </c>
      <c r="M886" t="s">
        <v>33</v>
      </c>
      <c r="P886" s="1" t="s">
        <v>3471</v>
      </c>
      <c r="Q886" s="1" t="s">
        <v>2984</v>
      </c>
      <c r="R886" s="1" t="s">
        <v>2984</v>
      </c>
      <c r="S886" s="1"/>
      <c r="T886" s="1" t="s">
        <v>172</v>
      </c>
      <c r="U886" s="1"/>
      <c r="V886" s="1">
        <v>6.0</v>
      </c>
      <c r="W886" s="1">
        <v>6.0</v>
      </c>
      <c r="X886" s="1" t="s">
        <v>35</v>
      </c>
      <c r="Y886" s="1">
        <v>6000.0</v>
      </c>
      <c r="Z886" s="1"/>
      <c r="AA886" s="1">
        <v>6000</v>
      </c>
      <c r="AB886" s="1"/>
      <c r="AC886" s="1" t="s">
        <v>36</v>
      </c>
      <c r="AD886" s="1" t="s">
        <v>3472</v>
      </c>
      <c r="AE886" s="1" t="s">
        <v>32</v>
      </c>
      <c r="AF886" s="1" t="s">
        <v>33</v>
      </c>
      <c r="AG886" s="1" t="s">
        <v>174</v>
      </c>
    </row>
    <row r="887" spans="1:33">
      <c r="A887" t="s">
        <v>3473</v>
      </c>
      <c r="B887" t="s">
        <v>3474</v>
      </c>
      <c r="C887" t="s">
        <v>314</v>
      </c>
      <c r="E887" t="s">
        <v>2984</v>
      </c>
      <c r="F887" t="s">
        <v>2985</v>
      </c>
      <c r="G887">
        <v>81.98</v>
      </c>
      <c r="H887">
        <v>81.98</v>
      </c>
      <c r="I887" t="s">
        <v>179</v>
      </c>
      <c r="J887" t="s">
        <v>180</v>
      </c>
      <c r="K887" t="s">
        <v>31</v>
      </c>
      <c r="L887" t="s">
        <v>32</v>
      </c>
      <c r="M887" t="s">
        <v>33</v>
      </c>
      <c r="P887" s="1" t="s">
        <v>3475</v>
      </c>
      <c r="Q887" s="1" t="s">
        <v>2984</v>
      </c>
      <c r="R887" s="1" t="s">
        <v>2984</v>
      </c>
      <c r="S887" s="1"/>
      <c r="T887" s="1" t="s">
        <v>314</v>
      </c>
      <c r="U887" s="1"/>
      <c r="V887" s="1">
        <v>81.98</v>
      </c>
      <c r="W887" s="1">
        <v>81.98</v>
      </c>
      <c r="X887" s="1" t="s">
        <v>35</v>
      </c>
      <c r="Y887" s="1">
        <v>81980.0</v>
      </c>
      <c r="Z887" s="1"/>
      <c r="AA887" s="1">
        <v>81980</v>
      </c>
      <c r="AB887" s="1"/>
      <c r="AC887" s="1" t="s">
        <v>36</v>
      </c>
      <c r="AD887" s="1" t="s">
        <v>3476</v>
      </c>
      <c r="AE887" s="1" t="s">
        <v>32</v>
      </c>
      <c r="AF887" s="1" t="s">
        <v>33</v>
      </c>
      <c r="AG887" s="1" t="s">
        <v>180</v>
      </c>
    </row>
    <row r="888" spans="1:33">
      <c r="A888" t="s">
        <v>3477</v>
      </c>
      <c r="C888" t="s">
        <v>3478</v>
      </c>
      <c r="E888" t="s">
        <v>2984</v>
      </c>
      <c r="F888" t="s">
        <v>2985</v>
      </c>
      <c r="G888">
        <v>320.0</v>
      </c>
      <c r="H888">
        <v>320.0</v>
      </c>
      <c r="I888" t="s">
        <v>173</v>
      </c>
      <c r="J888" t="s">
        <v>174</v>
      </c>
      <c r="K888" t="s">
        <v>31</v>
      </c>
      <c r="L888" t="s">
        <v>32</v>
      </c>
      <c r="M888" t="s">
        <v>33</v>
      </c>
      <c r="P888" s="1" t="s">
        <v>3479</v>
      </c>
      <c r="Q888" s="1" t="s">
        <v>2984</v>
      </c>
      <c r="R888" s="1" t="s">
        <v>2984</v>
      </c>
      <c r="S888" s="1"/>
      <c r="T888" s="1" t="s">
        <v>3478</v>
      </c>
      <c r="U888" s="1"/>
      <c r="V888" s="1">
        <v>320.0</v>
      </c>
      <c r="W888" s="1">
        <v>320.0</v>
      </c>
      <c r="X888" s="1" t="s">
        <v>35</v>
      </c>
      <c r="Y888" s="1">
        <v>320000.0</v>
      </c>
      <c r="Z888" s="1"/>
      <c r="AA888" s="1">
        <v>320000</v>
      </c>
      <c r="AB888" s="1"/>
      <c r="AC888" s="1" t="s">
        <v>36</v>
      </c>
      <c r="AD888" s="1" t="s">
        <v>3480</v>
      </c>
      <c r="AE888" s="1" t="s">
        <v>32</v>
      </c>
      <c r="AF888" s="1" t="s">
        <v>33</v>
      </c>
      <c r="AG888" s="1" t="s">
        <v>174</v>
      </c>
    </row>
    <row r="889" spans="1:33">
      <c r="A889" t="s">
        <v>3481</v>
      </c>
      <c r="C889" t="s">
        <v>3482</v>
      </c>
      <c r="E889" t="s">
        <v>2984</v>
      </c>
      <c r="F889" t="s">
        <v>2985</v>
      </c>
      <c r="G889">
        <v>352.0</v>
      </c>
      <c r="H889">
        <v>352.0</v>
      </c>
      <c r="I889" t="s">
        <v>179</v>
      </c>
      <c r="J889" t="s">
        <v>180</v>
      </c>
      <c r="K889" t="s">
        <v>31</v>
      </c>
      <c r="L889" t="s">
        <v>32</v>
      </c>
      <c r="M889" t="s">
        <v>33</v>
      </c>
      <c r="P889" s="1" t="s">
        <v>3483</v>
      </c>
      <c r="Q889" s="1" t="s">
        <v>2984</v>
      </c>
      <c r="R889" s="1" t="s">
        <v>2984</v>
      </c>
      <c r="S889" s="1"/>
      <c r="T889" s="1" t="s">
        <v>3482</v>
      </c>
      <c r="U889" s="1"/>
      <c r="V889" s="1">
        <v>352.0</v>
      </c>
      <c r="W889" s="1">
        <v>352.0</v>
      </c>
      <c r="X889" s="1" t="s">
        <v>35</v>
      </c>
      <c r="Y889" s="1">
        <v>352000.0</v>
      </c>
      <c r="Z889" s="1"/>
      <c r="AA889" s="1">
        <v>352000</v>
      </c>
      <c r="AB889" s="1"/>
      <c r="AC889" s="1" t="s">
        <v>36</v>
      </c>
      <c r="AD889" s="1" t="s">
        <v>3472</v>
      </c>
      <c r="AE889" s="1" t="s">
        <v>32</v>
      </c>
      <c r="AF889" s="1" t="s">
        <v>33</v>
      </c>
      <c r="AG889" s="1" t="s">
        <v>180</v>
      </c>
    </row>
    <row r="890" spans="1:33">
      <c r="A890" t="s">
        <v>3484</v>
      </c>
      <c r="C890" t="s">
        <v>3485</v>
      </c>
      <c r="E890" t="s">
        <v>2984</v>
      </c>
      <c r="F890" t="s">
        <v>2985</v>
      </c>
      <c r="G890">
        <v>210.0</v>
      </c>
      <c r="H890">
        <v>210.0</v>
      </c>
      <c r="I890" t="s">
        <v>48</v>
      </c>
      <c r="J890" t="s">
        <v>49</v>
      </c>
      <c r="K890" t="s">
        <v>31</v>
      </c>
      <c r="L890" t="s">
        <v>32</v>
      </c>
      <c r="M890" t="s">
        <v>33</v>
      </c>
      <c r="P890" s="1" t="s">
        <v>3486</v>
      </c>
      <c r="Q890" s="1" t="s">
        <v>2984</v>
      </c>
      <c r="R890" s="1" t="s">
        <v>2984</v>
      </c>
      <c r="S890" s="1"/>
      <c r="T890" s="1" t="s">
        <v>3485</v>
      </c>
      <c r="U890" s="1"/>
      <c r="V890" s="1">
        <v>210.0</v>
      </c>
      <c r="W890" s="1">
        <v>210.0</v>
      </c>
      <c r="X890" s="1" t="s">
        <v>35</v>
      </c>
      <c r="Y890" s="1">
        <v>210000.0</v>
      </c>
      <c r="Z890" s="1"/>
      <c r="AA890" s="1">
        <v>210000</v>
      </c>
      <c r="AB890" s="1"/>
      <c r="AC890" s="1" t="s">
        <v>36</v>
      </c>
      <c r="AD890" s="1" t="s">
        <v>3487</v>
      </c>
      <c r="AE890" s="1" t="s">
        <v>32</v>
      </c>
      <c r="AF890" s="1" t="s">
        <v>33</v>
      </c>
      <c r="AG890" s="1" t="s">
        <v>49</v>
      </c>
    </row>
    <row r="891" spans="1:33">
      <c r="A891" t="s">
        <v>3488</v>
      </c>
      <c r="B891" t="s">
        <v>3346</v>
      </c>
      <c r="C891" t="s">
        <v>3347</v>
      </c>
      <c r="E891" t="s">
        <v>2984</v>
      </c>
      <c r="F891" t="s">
        <v>2985</v>
      </c>
      <c r="G891">
        <v>336.0</v>
      </c>
      <c r="H891">
        <v>336.0</v>
      </c>
      <c r="I891" t="s">
        <v>29</v>
      </c>
      <c r="J891" t="s">
        <v>30</v>
      </c>
      <c r="K891" t="s">
        <v>31</v>
      </c>
      <c r="L891" t="s">
        <v>32</v>
      </c>
      <c r="M891" t="s">
        <v>33</v>
      </c>
      <c r="P891" s="1" t="s">
        <v>3489</v>
      </c>
      <c r="Q891" s="1" t="s">
        <v>2984</v>
      </c>
      <c r="R891" s="1" t="s">
        <v>2984</v>
      </c>
      <c r="S891" s="1"/>
      <c r="T891" s="1" t="s">
        <v>3347</v>
      </c>
      <c r="U891" s="1"/>
      <c r="V891" s="1">
        <v>336.0</v>
      </c>
      <c r="W891" s="1">
        <v>336.0</v>
      </c>
      <c r="X891" s="1" t="s">
        <v>35</v>
      </c>
      <c r="Y891" s="1">
        <v>421470.0</v>
      </c>
      <c r="Z891" s="1">
        <v>-85470</v>
      </c>
      <c r="AA891" s="1">
        <v>421470</v>
      </c>
      <c r="AB891" s="1">
        <v>-85470</v>
      </c>
      <c r="AC891" s="1" t="s">
        <v>36</v>
      </c>
      <c r="AD891" s="1" t="s">
        <v>3490</v>
      </c>
      <c r="AE891" s="1" t="s">
        <v>32</v>
      </c>
      <c r="AF891" s="1" t="s">
        <v>33</v>
      </c>
      <c r="AG891" s="1" t="s">
        <v>30</v>
      </c>
    </row>
    <row r="892" spans="1:33">
      <c r="A892" t="s">
        <v>3491</v>
      </c>
      <c r="B892" t="s">
        <v>3492</v>
      </c>
      <c r="C892" t="s">
        <v>569</v>
      </c>
      <c r="E892" t="s">
        <v>2984</v>
      </c>
      <c r="F892" t="s">
        <v>2985</v>
      </c>
      <c r="G892">
        <v>208.3</v>
      </c>
      <c r="H892">
        <v>208.3</v>
      </c>
      <c r="I892" t="s">
        <v>570</v>
      </c>
      <c r="J892" t="s">
        <v>571</v>
      </c>
      <c r="K892" t="s">
        <v>31</v>
      </c>
      <c r="L892" t="s">
        <v>32</v>
      </c>
      <c r="M892" t="s">
        <v>33</v>
      </c>
      <c r="P892" s="1" t="s">
        <v>3493</v>
      </c>
      <c r="Q892" s="1" t="s">
        <v>2984</v>
      </c>
      <c r="R892" s="1" t="s">
        <v>2984</v>
      </c>
      <c r="S892" s="1"/>
      <c r="T892" s="1" t="s">
        <v>569</v>
      </c>
      <c r="U892" s="1"/>
      <c r="V892" s="1">
        <v>208.3</v>
      </c>
      <c r="W892" s="1">
        <v>208.3</v>
      </c>
      <c r="X892" s="1" t="s">
        <v>35</v>
      </c>
      <c r="Y892" s="1">
        <v>208300.0</v>
      </c>
      <c r="Z892" s="1"/>
      <c r="AA892" s="1">
        <v>208300</v>
      </c>
      <c r="AB892" s="1"/>
      <c r="AC892" s="1" t="s">
        <v>36</v>
      </c>
      <c r="AD892" s="1" t="s">
        <v>3494</v>
      </c>
      <c r="AE892" s="1" t="s">
        <v>32</v>
      </c>
      <c r="AF892" s="1" t="s">
        <v>33</v>
      </c>
      <c r="AG892" s="1" t="s">
        <v>571</v>
      </c>
    </row>
    <row r="893" spans="1:33">
      <c r="A893" t="s">
        <v>3495</v>
      </c>
      <c r="B893" t="s">
        <v>3496</v>
      </c>
      <c r="C893" t="s">
        <v>314</v>
      </c>
      <c r="E893" t="s">
        <v>2984</v>
      </c>
      <c r="F893" t="s">
        <v>2985</v>
      </c>
      <c r="G893">
        <v>61.47</v>
      </c>
      <c r="H893">
        <v>61.47</v>
      </c>
      <c r="I893" t="s">
        <v>179</v>
      </c>
      <c r="J893" t="s">
        <v>180</v>
      </c>
      <c r="K893" t="s">
        <v>31</v>
      </c>
      <c r="L893" t="s">
        <v>32</v>
      </c>
      <c r="M893" t="s">
        <v>33</v>
      </c>
      <c r="P893" s="1" t="s">
        <v>3497</v>
      </c>
      <c r="Q893" s="1" t="s">
        <v>2984</v>
      </c>
      <c r="R893" s="1" t="s">
        <v>2984</v>
      </c>
      <c r="S893" s="1"/>
      <c r="T893" s="1" t="s">
        <v>314</v>
      </c>
      <c r="U893" s="1"/>
      <c r="V893" s="1">
        <v>61.47</v>
      </c>
      <c r="W893" s="1">
        <v>61.47</v>
      </c>
      <c r="X893" s="1" t="s">
        <v>35</v>
      </c>
      <c r="Y893" s="1">
        <v>62000.0</v>
      </c>
      <c r="Z893" s="1">
        <v>-530</v>
      </c>
      <c r="AA893" s="1">
        <v>62000</v>
      </c>
      <c r="AB893" s="1">
        <v>-530</v>
      </c>
      <c r="AC893" s="1" t="s">
        <v>36</v>
      </c>
      <c r="AD893" s="1" t="s">
        <v>3498</v>
      </c>
      <c r="AE893" s="1" t="s">
        <v>32</v>
      </c>
      <c r="AF893" s="1" t="s">
        <v>33</v>
      </c>
      <c r="AG893" s="1" t="s">
        <v>180</v>
      </c>
    </row>
    <row r="894" spans="1:33">
      <c r="A894" t="s">
        <v>3499</v>
      </c>
      <c r="C894" t="s">
        <v>3500</v>
      </c>
      <c r="E894" t="s">
        <v>2984</v>
      </c>
      <c r="F894" t="s">
        <v>2985</v>
      </c>
      <c r="G894">
        <v>630.0</v>
      </c>
      <c r="H894">
        <v>630.0</v>
      </c>
      <c r="I894" t="s">
        <v>173</v>
      </c>
      <c r="J894" t="s">
        <v>174</v>
      </c>
      <c r="K894" t="s">
        <v>31</v>
      </c>
      <c r="L894" t="s">
        <v>32</v>
      </c>
      <c r="M894" t="s">
        <v>33</v>
      </c>
      <c r="P894" s="1" t="s">
        <v>3501</v>
      </c>
      <c r="Q894" s="1" t="s">
        <v>2984</v>
      </c>
      <c r="R894" s="1" t="s">
        <v>2984</v>
      </c>
      <c r="S894" s="1"/>
      <c r="T894" s="1" t="s">
        <v>3502</v>
      </c>
      <c r="U894" s="1" t="s">
        <v>3503</v>
      </c>
      <c r="V894" s="1">
        <v>630.0</v>
      </c>
      <c r="W894" s="1">
        <v>630.0</v>
      </c>
      <c r="X894" s="1" t="s">
        <v>35</v>
      </c>
      <c r="Y894" s="1">
        <v>630000.0</v>
      </c>
      <c r="Z894" s="1"/>
      <c r="AA894" s="1">
        <v>630000</v>
      </c>
      <c r="AB894" s="1"/>
      <c r="AC894" s="1" t="s">
        <v>36</v>
      </c>
      <c r="AD894" s="1" t="s">
        <v>3504</v>
      </c>
      <c r="AE894" s="1" t="s">
        <v>32</v>
      </c>
      <c r="AF894" s="1" t="s">
        <v>33</v>
      </c>
      <c r="AG894" s="1" t="s">
        <v>174</v>
      </c>
    </row>
    <row r="895" spans="1:33">
      <c r="A895" t="s">
        <v>3505</v>
      </c>
      <c r="C895" t="s">
        <v>558</v>
      </c>
      <c r="D895" t="s">
        <v>154</v>
      </c>
      <c r="E895" t="s">
        <v>2984</v>
      </c>
      <c r="F895" t="s">
        <v>2985</v>
      </c>
      <c r="G895">
        <v>19.5</v>
      </c>
      <c r="H895">
        <v>19.5</v>
      </c>
      <c r="I895" t="s">
        <v>269</v>
      </c>
      <c r="J895" t="s">
        <v>270</v>
      </c>
      <c r="K895" t="s">
        <v>31</v>
      </c>
      <c r="L895" t="s">
        <v>32</v>
      </c>
      <c r="M895" t="s">
        <v>33</v>
      </c>
      <c r="P895" s="1" t="s">
        <v>3506</v>
      </c>
      <c r="Q895" s="1" t="s">
        <v>2984</v>
      </c>
      <c r="R895" s="1" t="s">
        <v>2984</v>
      </c>
      <c r="S895" s="1"/>
      <c r="T895" s="1" t="s">
        <v>560</v>
      </c>
      <c r="U895" s="1" t="s">
        <v>561</v>
      </c>
      <c r="V895" s="1">
        <v>19.5</v>
      </c>
      <c r="W895" s="1">
        <v>19.5</v>
      </c>
      <c r="X895" s="1" t="s">
        <v>35</v>
      </c>
      <c r="Y895" s="1">
        <v>19500.0</v>
      </c>
      <c r="Z895" s="1"/>
      <c r="AA895" s="1">
        <v>19500</v>
      </c>
      <c r="AB895" s="1"/>
      <c r="AC895" s="1" t="s">
        <v>36</v>
      </c>
      <c r="AD895" s="1" t="s">
        <v>3507</v>
      </c>
      <c r="AE895" s="1" t="s">
        <v>32</v>
      </c>
      <c r="AF895" s="1" t="s">
        <v>33</v>
      </c>
      <c r="AG895" s="1" t="s">
        <v>270</v>
      </c>
    </row>
    <row r="896" spans="1:33">
      <c r="A896" t="s">
        <v>3508</v>
      </c>
      <c r="C896" t="s">
        <v>3509</v>
      </c>
      <c r="E896" t="s">
        <v>2984</v>
      </c>
      <c r="F896" t="s">
        <v>2985</v>
      </c>
      <c r="G896">
        <v>508.0</v>
      </c>
      <c r="H896">
        <v>508.0</v>
      </c>
      <c r="I896" t="s">
        <v>136</v>
      </c>
      <c r="J896" t="s">
        <v>137</v>
      </c>
      <c r="K896" t="s">
        <v>31</v>
      </c>
      <c r="L896" t="s">
        <v>32</v>
      </c>
      <c r="M896" t="s">
        <v>33</v>
      </c>
      <c r="P896" s="1" t="s">
        <v>3510</v>
      </c>
      <c r="Q896" s="1" t="s">
        <v>2984</v>
      </c>
      <c r="R896" s="1" t="s">
        <v>2984</v>
      </c>
      <c r="S896" s="1"/>
      <c r="T896" s="1" t="s">
        <v>3509</v>
      </c>
      <c r="U896" s="1"/>
      <c r="V896" s="1">
        <v>508.0</v>
      </c>
      <c r="W896" s="1">
        <v>508.0</v>
      </c>
      <c r="X896" s="1" t="s">
        <v>35</v>
      </c>
      <c r="Y896" s="1">
        <v>508000.0</v>
      </c>
      <c r="Z896" s="1"/>
      <c r="AA896" s="1">
        <v>508000</v>
      </c>
      <c r="AB896" s="1"/>
      <c r="AC896" s="1" t="s">
        <v>36</v>
      </c>
      <c r="AD896" s="1" t="s">
        <v>3511</v>
      </c>
      <c r="AE896" s="1" t="s">
        <v>32</v>
      </c>
      <c r="AF896" s="1" t="s">
        <v>33</v>
      </c>
      <c r="AG896" s="1" t="s">
        <v>137</v>
      </c>
    </row>
    <row r="897" spans="1:33">
      <c r="A897" t="s">
        <v>3512</v>
      </c>
      <c r="C897" t="s">
        <v>3513</v>
      </c>
      <c r="D897" t="s">
        <v>154</v>
      </c>
      <c r="E897" t="s">
        <v>2984</v>
      </c>
      <c r="F897" t="s">
        <v>2985</v>
      </c>
      <c r="G897">
        <v>62.264</v>
      </c>
      <c r="H897">
        <v>62.264</v>
      </c>
      <c r="I897" t="s">
        <v>179</v>
      </c>
      <c r="J897" t="s">
        <v>180</v>
      </c>
      <c r="K897" t="s">
        <v>31</v>
      </c>
      <c r="L897" t="s">
        <v>32</v>
      </c>
      <c r="M897" t="s">
        <v>33</v>
      </c>
      <c r="P897" s="1" t="s">
        <v>3514</v>
      </c>
      <c r="Q897" s="1" t="s">
        <v>2984</v>
      </c>
      <c r="R897" s="1" t="s">
        <v>2984</v>
      </c>
      <c r="S897" s="1"/>
      <c r="T897" s="1" t="s">
        <v>3513</v>
      </c>
      <c r="U897" s="1"/>
      <c r="V897" s="1">
        <v>62.264</v>
      </c>
      <c r="W897" s="1">
        <v>62.264</v>
      </c>
      <c r="X897" s="1" t="s">
        <v>35</v>
      </c>
      <c r="Y897" s="1">
        <v>62264.0</v>
      </c>
      <c r="Z897" s="1"/>
      <c r="AA897" s="1">
        <v>62264</v>
      </c>
      <c r="AB897" s="1"/>
      <c r="AC897" s="1" t="s">
        <v>36</v>
      </c>
      <c r="AD897" s="1" t="s">
        <v>3515</v>
      </c>
      <c r="AE897" s="1" t="s">
        <v>32</v>
      </c>
      <c r="AF897" s="1" t="s">
        <v>33</v>
      </c>
      <c r="AG897" s="1" t="s">
        <v>180</v>
      </c>
    </row>
    <row r="898" spans="1:33">
      <c r="A898" t="s">
        <v>3516</v>
      </c>
      <c r="B898" t="s">
        <v>3517</v>
      </c>
      <c r="C898" t="s">
        <v>314</v>
      </c>
      <c r="E898" t="s">
        <v>2984</v>
      </c>
      <c r="F898" t="s">
        <v>2985</v>
      </c>
      <c r="G898">
        <v>19.49</v>
      </c>
      <c r="H898">
        <v>19.49</v>
      </c>
      <c r="I898" t="s">
        <v>179</v>
      </c>
      <c r="J898" t="s">
        <v>180</v>
      </c>
      <c r="K898" t="s">
        <v>31</v>
      </c>
      <c r="L898" t="s">
        <v>32</v>
      </c>
      <c r="M898" t="s">
        <v>33</v>
      </c>
      <c r="P898" s="1" t="s">
        <v>3518</v>
      </c>
      <c r="Q898" s="1" t="s">
        <v>2984</v>
      </c>
      <c r="R898" s="1" t="s">
        <v>2984</v>
      </c>
      <c r="S898" s="1"/>
      <c r="T898" s="1" t="s">
        <v>314</v>
      </c>
      <c r="U898" s="1"/>
      <c r="V898" s="1">
        <v>19.49</v>
      </c>
      <c r="W898" s="1">
        <v>19.49</v>
      </c>
      <c r="X898" s="1" t="s">
        <v>35</v>
      </c>
      <c r="Y898" s="1">
        <v>19490.0</v>
      </c>
      <c r="Z898" s="1"/>
      <c r="AA898" s="1">
        <v>19490</v>
      </c>
      <c r="AB898" s="1"/>
      <c r="AC898" s="1" t="s">
        <v>36</v>
      </c>
      <c r="AD898" s="1" t="s">
        <v>3519</v>
      </c>
      <c r="AE898" s="1" t="s">
        <v>32</v>
      </c>
      <c r="AF898" s="1" t="s">
        <v>33</v>
      </c>
      <c r="AG898" s="1" t="s">
        <v>180</v>
      </c>
    </row>
    <row r="899" spans="1:33">
      <c r="A899" t="s">
        <v>3520</v>
      </c>
      <c r="C899" t="s">
        <v>3521</v>
      </c>
      <c r="D899" t="s">
        <v>114</v>
      </c>
      <c r="E899" t="s">
        <v>2984</v>
      </c>
      <c r="F899" t="s">
        <v>2985</v>
      </c>
      <c r="G899">
        <v>855.5</v>
      </c>
      <c r="H899">
        <v>855.5</v>
      </c>
      <c r="I899" t="s">
        <v>2206</v>
      </c>
      <c r="J899" t="s">
        <v>49</v>
      </c>
      <c r="K899" t="s">
        <v>31</v>
      </c>
      <c r="L899" t="s">
        <v>32</v>
      </c>
      <c r="M899" t="s">
        <v>33</v>
      </c>
      <c r="P899" s="1" t="s">
        <v>3522</v>
      </c>
      <c r="Q899" s="1" t="s">
        <v>2984</v>
      </c>
      <c r="R899" s="1" t="s">
        <v>2984</v>
      </c>
      <c r="S899" s="1"/>
      <c r="T899" s="1" t="s">
        <v>3523</v>
      </c>
      <c r="U899" s="1" t="s">
        <v>3524</v>
      </c>
      <c r="V899" s="1">
        <v>855.5</v>
      </c>
      <c r="W899" s="1">
        <v>855.5</v>
      </c>
      <c r="X899" s="1" t="s">
        <v>35</v>
      </c>
      <c r="Y899" s="1">
        <v>855500.0</v>
      </c>
      <c r="Z899" s="1"/>
      <c r="AA899" s="1">
        <v>855500</v>
      </c>
      <c r="AB899" s="1"/>
      <c r="AC899" s="1" t="s">
        <v>36</v>
      </c>
      <c r="AD899" s="1" t="s">
        <v>3525</v>
      </c>
      <c r="AE899" s="1" t="s">
        <v>32</v>
      </c>
      <c r="AF899" s="1" t="s">
        <v>33</v>
      </c>
      <c r="AG899" s="1" t="s">
        <v>49</v>
      </c>
    </row>
    <row r="900" spans="1:33">
      <c r="A900" t="s">
        <v>3526</v>
      </c>
      <c r="C900" t="s">
        <v>375</v>
      </c>
      <c r="D900" t="s">
        <v>154</v>
      </c>
      <c r="E900" t="s">
        <v>2984</v>
      </c>
      <c r="F900" t="s">
        <v>2985</v>
      </c>
      <c r="G900">
        <v>640.0</v>
      </c>
      <c r="H900">
        <v>640.0</v>
      </c>
      <c r="I900" t="s">
        <v>126</v>
      </c>
      <c r="J900" t="s">
        <v>127</v>
      </c>
      <c r="K900" t="s">
        <v>31</v>
      </c>
      <c r="L900" t="s">
        <v>32</v>
      </c>
      <c r="M900" t="s">
        <v>33</v>
      </c>
      <c r="P900" s="1" t="s">
        <v>3527</v>
      </c>
      <c r="Q900" s="1" t="s">
        <v>2984</v>
      </c>
      <c r="R900" s="1" t="s">
        <v>2984</v>
      </c>
      <c r="S900" s="1"/>
      <c r="T900" s="1" t="s">
        <v>377</v>
      </c>
      <c r="U900" s="1" t="s">
        <v>378</v>
      </c>
      <c r="V900" s="1">
        <v>640.0</v>
      </c>
      <c r="W900" s="1">
        <v>640.0</v>
      </c>
      <c r="X900" s="1" t="s">
        <v>35</v>
      </c>
      <c r="Y900" s="1">
        <v>640000.0</v>
      </c>
      <c r="Z900" s="1"/>
      <c r="AA900" s="1">
        <v>640000</v>
      </c>
      <c r="AB900" s="1"/>
      <c r="AC900" s="1" t="s">
        <v>36</v>
      </c>
      <c r="AD900" s="1" t="s">
        <v>3528</v>
      </c>
      <c r="AE900" s="1" t="s">
        <v>32</v>
      </c>
      <c r="AF900" s="1" t="s">
        <v>33</v>
      </c>
      <c r="AG900" s="1" t="s">
        <v>127</v>
      </c>
    </row>
    <row r="901" spans="1:33">
      <c r="A901" t="s">
        <v>3529</v>
      </c>
      <c r="B901" t="s">
        <v>3530</v>
      </c>
      <c r="C901" t="s">
        <v>73</v>
      </c>
      <c r="E901" t="s">
        <v>2984</v>
      </c>
      <c r="F901" t="s">
        <v>2985</v>
      </c>
      <c r="G901">
        <v>20.99</v>
      </c>
      <c r="H901">
        <v>20.99</v>
      </c>
      <c r="I901" t="s">
        <v>40</v>
      </c>
      <c r="J901" t="s">
        <v>41</v>
      </c>
      <c r="K901" t="s">
        <v>31</v>
      </c>
      <c r="L901" t="s">
        <v>32</v>
      </c>
      <c r="M901" t="s">
        <v>33</v>
      </c>
      <c r="P901" s="1" t="s">
        <v>3531</v>
      </c>
      <c r="Q901" s="1" t="s">
        <v>2984</v>
      </c>
      <c r="R901" s="1" t="s">
        <v>2292</v>
      </c>
      <c r="S901" s="1"/>
      <c r="T901" s="1" t="s">
        <v>75</v>
      </c>
      <c r="U901" s="1" t="s">
        <v>76</v>
      </c>
      <c r="V901" s="1">
        <v>20.99</v>
      </c>
      <c r="W901" s="1">
        <v>20.99</v>
      </c>
      <c r="X901" s="1" t="s">
        <v>35</v>
      </c>
      <c r="Y901" s="1">
        <v>20990.0</v>
      </c>
      <c r="Z901" s="1"/>
      <c r="AA901" s="1">
        <v>20990</v>
      </c>
      <c r="AB901" s="1"/>
      <c r="AC901" s="1" t="s">
        <v>36</v>
      </c>
      <c r="AD901" s="1" t="s">
        <v>3532</v>
      </c>
      <c r="AE901" s="1" t="s">
        <v>32</v>
      </c>
      <c r="AF901" s="1" t="s">
        <v>33</v>
      </c>
      <c r="AG901" s="1" t="s">
        <v>41</v>
      </c>
    </row>
    <row r="902" spans="1:33">
      <c r="A902" t="s">
        <v>3533</v>
      </c>
      <c r="B902" t="s">
        <v>3534</v>
      </c>
      <c r="C902" t="s">
        <v>314</v>
      </c>
      <c r="E902" t="s">
        <v>2984</v>
      </c>
      <c r="F902" t="s">
        <v>2985</v>
      </c>
      <c r="G902">
        <v>59.58</v>
      </c>
      <c r="H902">
        <v>59.58</v>
      </c>
      <c r="I902" t="s">
        <v>179</v>
      </c>
      <c r="J902" t="s">
        <v>180</v>
      </c>
      <c r="K902" t="s">
        <v>31</v>
      </c>
      <c r="L902" t="s">
        <v>32</v>
      </c>
      <c r="M902" t="s">
        <v>33</v>
      </c>
      <c r="P902" s="1" t="s">
        <v>3535</v>
      </c>
      <c r="Q902" s="1" t="s">
        <v>2984</v>
      </c>
      <c r="R902" s="1" t="s">
        <v>2984</v>
      </c>
      <c r="S902" s="1"/>
      <c r="T902" s="1" t="s">
        <v>314</v>
      </c>
      <c r="U902" s="1"/>
      <c r="V902" s="1">
        <v>59.58</v>
      </c>
      <c r="W902" s="1">
        <v>59.58</v>
      </c>
      <c r="X902" s="1" t="s">
        <v>35</v>
      </c>
      <c r="Y902" s="1">
        <v>59580.0</v>
      </c>
      <c r="Z902" s="1"/>
      <c r="AA902" s="1">
        <v>59580</v>
      </c>
      <c r="AB902" s="1"/>
      <c r="AC902" s="1" t="s">
        <v>36</v>
      </c>
      <c r="AD902" s="1" t="s">
        <v>3532</v>
      </c>
      <c r="AE902" s="1" t="s">
        <v>32</v>
      </c>
      <c r="AF902" s="1" t="s">
        <v>33</v>
      </c>
      <c r="AG902" s="1" t="s">
        <v>180</v>
      </c>
    </row>
    <row r="903" spans="1:33">
      <c r="A903" t="s">
        <v>3536</v>
      </c>
      <c r="B903" t="s">
        <v>3537</v>
      </c>
      <c r="C903" t="s">
        <v>125</v>
      </c>
      <c r="E903" t="s">
        <v>2984</v>
      </c>
      <c r="F903" t="s">
        <v>2985</v>
      </c>
      <c r="G903">
        <v>79.86</v>
      </c>
      <c r="H903">
        <v>79.86</v>
      </c>
      <c r="I903" t="s">
        <v>126</v>
      </c>
      <c r="J903" t="s">
        <v>127</v>
      </c>
      <c r="K903" t="s">
        <v>31</v>
      </c>
      <c r="L903" t="s">
        <v>32</v>
      </c>
      <c r="M903" t="s">
        <v>33</v>
      </c>
      <c r="P903" s="1" t="s">
        <v>3538</v>
      </c>
      <c r="Q903" s="1" t="s">
        <v>2984</v>
      </c>
      <c r="R903" s="1" t="s">
        <v>2984</v>
      </c>
      <c r="S903" s="1"/>
      <c r="T903" s="1" t="s">
        <v>125</v>
      </c>
      <c r="U903" s="1"/>
      <c r="V903" s="1">
        <v>79.86</v>
      </c>
      <c r="W903" s="1">
        <v>79.86</v>
      </c>
      <c r="X903" s="1" t="s">
        <v>35</v>
      </c>
      <c r="Y903" s="1">
        <v>79860.0</v>
      </c>
      <c r="Z903" s="1"/>
      <c r="AA903" s="1">
        <v>79860</v>
      </c>
      <c r="AB903" s="1"/>
      <c r="AC903" s="1" t="s">
        <v>36</v>
      </c>
      <c r="AD903" s="1" t="s">
        <v>3519</v>
      </c>
      <c r="AE903" s="1" t="s">
        <v>32</v>
      </c>
      <c r="AF903" s="1" t="s">
        <v>33</v>
      </c>
      <c r="AG903" s="1" t="s">
        <v>127</v>
      </c>
    </row>
    <row r="904" spans="1:33">
      <c r="A904" t="s">
        <v>3539</v>
      </c>
      <c r="B904" t="s">
        <v>3540</v>
      </c>
      <c r="C904" t="s">
        <v>268</v>
      </c>
      <c r="E904" t="s">
        <v>2984</v>
      </c>
      <c r="F904" t="s">
        <v>2985</v>
      </c>
      <c r="G904">
        <v>28.25</v>
      </c>
      <c r="H904">
        <v>28.25</v>
      </c>
      <c r="I904" t="s">
        <v>269</v>
      </c>
      <c r="J904" t="s">
        <v>270</v>
      </c>
      <c r="K904" t="s">
        <v>31</v>
      </c>
      <c r="L904" t="s">
        <v>32</v>
      </c>
      <c r="M904" t="s">
        <v>33</v>
      </c>
      <c r="P904" s="1" t="s">
        <v>3541</v>
      </c>
      <c r="Q904" s="1" t="s">
        <v>2984</v>
      </c>
      <c r="R904" s="1" t="s">
        <v>2984</v>
      </c>
      <c r="S904" s="1"/>
      <c r="T904" s="1" t="s">
        <v>268</v>
      </c>
      <c r="U904" s="1"/>
      <c r="V904" s="1">
        <v>28.25</v>
      </c>
      <c r="W904" s="1">
        <v>28.25</v>
      </c>
      <c r="X904" s="1" t="s">
        <v>35</v>
      </c>
      <c r="Y904" s="1">
        <v>28250.0</v>
      </c>
      <c r="Z904" s="1"/>
      <c r="AA904" s="1">
        <v>28250</v>
      </c>
      <c r="AB904" s="1"/>
      <c r="AC904" s="1" t="s">
        <v>36</v>
      </c>
      <c r="AD904" s="1" t="s">
        <v>3542</v>
      </c>
      <c r="AE904" s="1" t="s">
        <v>32</v>
      </c>
      <c r="AF904" s="1" t="s">
        <v>33</v>
      </c>
      <c r="AG904" s="1" t="s">
        <v>270</v>
      </c>
    </row>
    <row r="905" spans="1:33">
      <c r="A905" t="s">
        <v>3543</v>
      </c>
      <c r="C905" t="s">
        <v>3399</v>
      </c>
      <c r="E905" t="s">
        <v>2984</v>
      </c>
      <c r="F905" t="s">
        <v>2985</v>
      </c>
      <c r="G905">
        <v>1.26</v>
      </c>
      <c r="H905">
        <v>1.26</v>
      </c>
      <c r="I905" t="s">
        <v>40</v>
      </c>
      <c r="J905" t="s">
        <v>41</v>
      </c>
      <c r="K905" t="s">
        <v>31</v>
      </c>
      <c r="L905" t="s">
        <v>32</v>
      </c>
      <c r="M905" t="s">
        <v>33</v>
      </c>
      <c r="P905" s="1" t="s">
        <v>3544</v>
      </c>
      <c r="Q905" s="1" t="s">
        <v>2984</v>
      </c>
      <c r="R905" s="1" t="s">
        <v>2292</v>
      </c>
      <c r="S905" s="1"/>
      <c r="T905" s="1" t="s">
        <v>3399</v>
      </c>
      <c r="U905" s="1"/>
      <c r="V905" s="1">
        <v>1.26</v>
      </c>
      <c r="W905" s="1">
        <v>1.26</v>
      </c>
      <c r="X905" s="1" t="s">
        <v>35</v>
      </c>
      <c r="Y905" s="1">
        <v>1260000.0</v>
      </c>
      <c r="Z905" s="1"/>
      <c r="AA905" s="1">
        <v>1260000</v>
      </c>
      <c r="AB905" s="1"/>
      <c r="AC905" s="1" t="s">
        <v>36</v>
      </c>
      <c r="AD905" s="1" t="s">
        <v>3545</v>
      </c>
      <c r="AE905" s="1" t="s">
        <v>32</v>
      </c>
      <c r="AF905" s="1" t="s">
        <v>33</v>
      </c>
      <c r="AG905" s="1" t="s">
        <v>41</v>
      </c>
    </row>
    <row r="906" spans="1:33">
      <c r="A906" t="s">
        <v>3546</v>
      </c>
      <c r="B906" t="s">
        <v>3547</v>
      </c>
      <c r="C906" t="s">
        <v>3548</v>
      </c>
      <c r="D906" t="s">
        <v>114</v>
      </c>
      <c r="E906" t="s">
        <v>2984</v>
      </c>
      <c r="F906" t="s">
        <v>2985</v>
      </c>
      <c r="G906">
        <v>328.0</v>
      </c>
      <c r="H906">
        <v>328.0</v>
      </c>
      <c r="I906" t="s">
        <v>529</v>
      </c>
      <c r="J906" t="s">
        <v>530</v>
      </c>
      <c r="K906" t="s">
        <v>31</v>
      </c>
      <c r="L906" t="s">
        <v>32</v>
      </c>
      <c r="M906" t="s">
        <v>33</v>
      </c>
      <c r="P906" s="1" t="s">
        <v>3549</v>
      </c>
      <c r="Q906" s="1" t="s">
        <v>2984</v>
      </c>
      <c r="R906" s="1" t="s">
        <v>2292</v>
      </c>
      <c r="S906" s="1"/>
      <c r="T906" s="1" t="s">
        <v>3548</v>
      </c>
      <c r="U906" s="1"/>
      <c r="V906" s="1">
        <v>328.0</v>
      </c>
      <c r="W906" s="1">
        <v>328.0</v>
      </c>
      <c r="X906" s="1" t="s">
        <v>35</v>
      </c>
      <c r="Y906" s="1">
        <v>328000.0</v>
      </c>
      <c r="Z906" s="1"/>
      <c r="AA906" s="1">
        <v>328000</v>
      </c>
      <c r="AB906" s="1"/>
      <c r="AC906" s="1" t="s">
        <v>36</v>
      </c>
      <c r="AD906" s="1" t="s">
        <v>3550</v>
      </c>
      <c r="AE906" s="1" t="s">
        <v>32</v>
      </c>
      <c r="AF906" s="1" t="s">
        <v>33</v>
      </c>
      <c r="AG906" s="1" t="s">
        <v>530</v>
      </c>
    </row>
    <row r="907" spans="1:33">
      <c r="A907" t="s">
        <v>3551</v>
      </c>
      <c r="C907" t="s">
        <v>3552</v>
      </c>
      <c r="E907" t="s">
        <v>2984</v>
      </c>
      <c r="F907" t="s">
        <v>2985</v>
      </c>
      <c r="G907">
        <v>320.0</v>
      </c>
      <c r="H907">
        <v>320.0</v>
      </c>
      <c r="I907" t="s">
        <v>40</v>
      </c>
      <c r="J907" t="s">
        <v>41</v>
      </c>
      <c r="K907" t="s">
        <v>31</v>
      </c>
      <c r="L907" t="s">
        <v>32</v>
      </c>
      <c r="M907" t="s">
        <v>33</v>
      </c>
      <c r="P907" s="1" t="s">
        <v>3553</v>
      </c>
      <c r="Q907" s="1" t="s">
        <v>2984</v>
      </c>
      <c r="R907" s="1" t="s">
        <v>2292</v>
      </c>
      <c r="S907" s="1"/>
      <c r="T907" s="1" t="s">
        <v>3554</v>
      </c>
      <c r="U907" s="1" t="s">
        <v>3555</v>
      </c>
      <c r="V907" s="1">
        <v>320.0</v>
      </c>
      <c r="W907" s="1">
        <v>320.0</v>
      </c>
      <c r="X907" s="1" t="s">
        <v>35</v>
      </c>
      <c r="Y907" s="1">
        <v>320000.0</v>
      </c>
      <c r="Z907" s="1"/>
      <c r="AA907" s="1">
        <v>320000</v>
      </c>
      <c r="AB907" s="1"/>
      <c r="AC907" s="1" t="s">
        <v>36</v>
      </c>
      <c r="AD907" s="1" t="s">
        <v>3556</v>
      </c>
      <c r="AE907" s="1" t="s">
        <v>32</v>
      </c>
      <c r="AF907" s="1" t="s">
        <v>33</v>
      </c>
      <c r="AG907" s="1" t="s">
        <v>41</v>
      </c>
    </row>
    <row r="908" spans="1:33">
      <c r="A908" t="s">
        <v>3557</v>
      </c>
      <c r="B908" t="s">
        <v>3558</v>
      </c>
      <c r="C908" t="s">
        <v>73</v>
      </c>
      <c r="E908" t="s">
        <v>2984</v>
      </c>
      <c r="F908" t="s">
        <v>2985</v>
      </c>
      <c r="G908">
        <v>17.567</v>
      </c>
      <c r="H908">
        <v>17.567</v>
      </c>
      <c r="I908" t="s">
        <v>40</v>
      </c>
      <c r="J908" t="s">
        <v>41</v>
      </c>
      <c r="K908" t="s">
        <v>31</v>
      </c>
      <c r="L908" t="s">
        <v>32</v>
      </c>
      <c r="M908" t="s">
        <v>33</v>
      </c>
      <c r="P908" s="1" t="s">
        <v>3559</v>
      </c>
      <c r="Q908" s="1" t="s">
        <v>2984</v>
      </c>
      <c r="R908" s="1" t="s">
        <v>2292</v>
      </c>
      <c r="S908" s="1"/>
      <c r="T908" s="1" t="s">
        <v>75</v>
      </c>
      <c r="U908" s="1" t="s">
        <v>76</v>
      </c>
      <c r="V908" s="1">
        <v>17.567</v>
      </c>
      <c r="W908" s="1">
        <v>17.567</v>
      </c>
      <c r="X908" s="1" t="s">
        <v>35</v>
      </c>
      <c r="Y908" s="1">
        <v>17567.0</v>
      </c>
      <c r="Z908" s="1"/>
      <c r="AA908" s="1">
        <v>17567</v>
      </c>
      <c r="AB908" s="1"/>
      <c r="AC908" s="1" t="s">
        <v>36</v>
      </c>
      <c r="AD908" s="1" t="s">
        <v>3560</v>
      </c>
      <c r="AE908" s="1" t="s">
        <v>32</v>
      </c>
      <c r="AF908" s="1" t="s">
        <v>33</v>
      </c>
      <c r="AG908" s="1" t="s">
        <v>41</v>
      </c>
    </row>
    <row r="909" spans="1:33">
      <c r="A909" t="s">
        <v>3561</v>
      </c>
      <c r="B909" t="s">
        <v>3562</v>
      </c>
      <c r="C909" t="s">
        <v>73</v>
      </c>
      <c r="E909" t="s">
        <v>2984</v>
      </c>
      <c r="F909" t="s">
        <v>2985</v>
      </c>
      <c r="G909">
        <v>13.494</v>
      </c>
      <c r="H909">
        <v>13.494</v>
      </c>
      <c r="I909" t="s">
        <v>40</v>
      </c>
      <c r="J909" t="s">
        <v>41</v>
      </c>
      <c r="K909" t="s">
        <v>31</v>
      </c>
      <c r="L909" t="s">
        <v>32</v>
      </c>
      <c r="M909" t="s">
        <v>33</v>
      </c>
      <c r="P909" s="1" t="s">
        <v>3563</v>
      </c>
      <c r="Q909" s="1" t="s">
        <v>2984</v>
      </c>
      <c r="R909" s="1" t="s">
        <v>2292</v>
      </c>
      <c r="S909" s="1"/>
      <c r="T909" s="1" t="s">
        <v>75</v>
      </c>
      <c r="U909" s="1" t="s">
        <v>76</v>
      </c>
      <c r="V909" s="1">
        <v>13.494</v>
      </c>
      <c r="W909" s="1">
        <v>13.494</v>
      </c>
      <c r="X909" s="1" t="s">
        <v>35</v>
      </c>
      <c r="Y909" s="1">
        <v>13494.0</v>
      </c>
      <c r="Z909" s="1"/>
      <c r="AA909" s="1">
        <v>13494</v>
      </c>
      <c r="AB909" s="1"/>
      <c r="AC909" s="1" t="s">
        <v>36</v>
      </c>
      <c r="AD909" s="1" t="s">
        <v>3564</v>
      </c>
      <c r="AE909" s="1" t="s">
        <v>32</v>
      </c>
      <c r="AF909" s="1" t="s">
        <v>33</v>
      </c>
      <c r="AG909" s="1" t="s">
        <v>41</v>
      </c>
    </row>
    <row r="910" spans="1:33">
      <c r="A910" t="s">
        <v>3565</v>
      </c>
      <c r="B910" t="s">
        <v>3566</v>
      </c>
      <c r="C910" t="s">
        <v>3567</v>
      </c>
      <c r="E910" t="s">
        <v>2984</v>
      </c>
      <c r="F910" t="s">
        <v>2985</v>
      </c>
      <c r="G910">
        <v>4.598</v>
      </c>
      <c r="H910">
        <v>4.598</v>
      </c>
      <c r="I910" t="s">
        <v>59</v>
      </c>
      <c r="J910" t="s">
        <v>60</v>
      </c>
      <c r="K910" t="s">
        <v>31</v>
      </c>
      <c r="L910" t="s">
        <v>32</v>
      </c>
      <c r="M910" t="s">
        <v>33</v>
      </c>
      <c r="P910" s="1" t="s">
        <v>3568</v>
      </c>
      <c r="Q910" s="1" t="s">
        <v>2984</v>
      </c>
      <c r="R910" s="1" t="s">
        <v>2984</v>
      </c>
      <c r="S910" s="1"/>
      <c r="T910" s="1" t="s">
        <v>3567</v>
      </c>
      <c r="U910" s="1"/>
      <c r="V910" s="1">
        <v>4.598</v>
      </c>
      <c r="W910" s="1">
        <v>4.598</v>
      </c>
      <c r="X910" s="1" t="s">
        <v>35</v>
      </c>
      <c r="Y910" s="1">
        <v>4598.0</v>
      </c>
      <c r="Z910" s="1"/>
      <c r="AA910" s="1">
        <v>4598</v>
      </c>
      <c r="AB910" s="1"/>
      <c r="AC910" s="1" t="s">
        <v>36</v>
      </c>
      <c r="AD910" s="1" t="s">
        <v>3569</v>
      </c>
      <c r="AE910" s="1" t="s">
        <v>32</v>
      </c>
      <c r="AF910" s="1" t="s">
        <v>33</v>
      </c>
      <c r="AG910" s="1" t="s">
        <v>60</v>
      </c>
    </row>
    <row r="911" spans="1:33">
      <c r="A911" t="s">
        <v>3570</v>
      </c>
      <c r="B911" t="s">
        <v>3571</v>
      </c>
      <c r="C911" t="s">
        <v>47</v>
      </c>
      <c r="E911" t="s">
        <v>2984</v>
      </c>
      <c r="F911" t="s">
        <v>2985</v>
      </c>
      <c r="G911">
        <v>442.0</v>
      </c>
      <c r="H911">
        <v>442.0</v>
      </c>
      <c r="I911" t="s">
        <v>48</v>
      </c>
      <c r="J911" t="s">
        <v>49</v>
      </c>
      <c r="K911" t="s">
        <v>31</v>
      </c>
      <c r="L911" t="s">
        <v>32</v>
      </c>
      <c r="M911" t="s">
        <v>33</v>
      </c>
      <c r="P911" s="1" t="s">
        <v>3572</v>
      </c>
      <c r="Q911" s="1" t="s">
        <v>2984</v>
      </c>
      <c r="R911" s="1" t="s">
        <v>2984</v>
      </c>
      <c r="S911" s="1"/>
      <c r="T911" s="1" t="s">
        <v>47</v>
      </c>
      <c r="U911" s="1"/>
      <c r="V911" s="1">
        <v>442.0</v>
      </c>
      <c r="W911" s="1">
        <v>442.0</v>
      </c>
      <c r="X911" s="1" t="s">
        <v>35</v>
      </c>
      <c r="Y911" s="1">
        <v>442000.0</v>
      </c>
      <c r="Z911" s="1"/>
      <c r="AA911" s="1">
        <v>442000</v>
      </c>
      <c r="AB911" s="1"/>
      <c r="AC911" s="1" t="s">
        <v>36</v>
      </c>
      <c r="AD911" s="1" t="s">
        <v>3573</v>
      </c>
      <c r="AE911" s="1" t="s">
        <v>32</v>
      </c>
      <c r="AF911" s="1" t="s">
        <v>33</v>
      </c>
      <c r="AG911" s="1" t="s">
        <v>49</v>
      </c>
    </row>
    <row r="912" spans="1:33">
      <c r="A912" t="s">
        <v>3574</v>
      </c>
      <c r="B912" t="s">
        <v>3575</v>
      </c>
      <c r="C912" t="s">
        <v>172</v>
      </c>
      <c r="E912" t="s">
        <v>2984</v>
      </c>
      <c r="F912" t="s">
        <v>2985</v>
      </c>
      <c r="G912">
        <v>43.98</v>
      </c>
      <c r="H912">
        <v>43.98</v>
      </c>
      <c r="I912" t="s">
        <v>173</v>
      </c>
      <c r="J912" t="s">
        <v>174</v>
      </c>
      <c r="K912" t="s">
        <v>31</v>
      </c>
      <c r="L912" t="s">
        <v>32</v>
      </c>
      <c r="M912" t="s">
        <v>33</v>
      </c>
      <c r="P912" s="1" t="s">
        <v>3576</v>
      </c>
      <c r="Q912" s="1" t="s">
        <v>2984</v>
      </c>
      <c r="R912" s="1" t="s">
        <v>2984</v>
      </c>
      <c r="S912" s="1"/>
      <c r="T912" s="1" t="s">
        <v>172</v>
      </c>
      <c r="U912" s="1"/>
      <c r="V912" s="1">
        <v>43.98</v>
      </c>
      <c r="W912" s="1">
        <v>43.98</v>
      </c>
      <c r="X912" s="1" t="s">
        <v>35</v>
      </c>
      <c r="Y912" s="1">
        <v>43980.0</v>
      </c>
      <c r="Z912" s="1"/>
      <c r="AA912" s="1">
        <v>43980</v>
      </c>
      <c r="AB912" s="1"/>
      <c r="AC912" s="1" t="s">
        <v>36</v>
      </c>
      <c r="AD912" s="1" t="s">
        <v>3577</v>
      </c>
      <c r="AE912" s="1" t="s">
        <v>32</v>
      </c>
      <c r="AF912" s="1" t="s">
        <v>33</v>
      </c>
      <c r="AG912" s="1" t="s">
        <v>174</v>
      </c>
    </row>
    <row r="913" spans="1:33">
      <c r="A913" t="s">
        <v>3578</v>
      </c>
      <c r="C913" t="s">
        <v>3579</v>
      </c>
      <c r="E913" t="s">
        <v>2984</v>
      </c>
      <c r="F913" t="s">
        <v>2985</v>
      </c>
      <c r="G913">
        <v>640.0</v>
      </c>
      <c r="H913">
        <v>640.0</v>
      </c>
      <c r="I913" t="s">
        <v>126</v>
      </c>
      <c r="J913" t="s">
        <v>127</v>
      </c>
      <c r="K913" t="s">
        <v>31</v>
      </c>
      <c r="L913" t="s">
        <v>32</v>
      </c>
      <c r="M913" t="s">
        <v>33</v>
      </c>
      <c r="P913" s="1" t="s">
        <v>3580</v>
      </c>
      <c r="Q913" s="1" t="s">
        <v>2984</v>
      </c>
      <c r="R913" s="1" t="s">
        <v>2984</v>
      </c>
      <c r="S913" s="1"/>
      <c r="T913" s="1" t="s">
        <v>3579</v>
      </c>
      <c r="U913" s="1"/>
      <c r="V913" s="1">
        <v>640.0</v>
      </c>
      <c r="W913" s="1">
        <v>640.0</v>
      </c>
      <c r="X913" s="1" t="s">
        <v>35</v>
      </c>
      <c r="Y913" s="1">
        <v>640000.0</v>
      </c>
      <c r="Z913" s="1"/>
      <c r="AA913" s="1">
        <v>640000</v>
      </c>
      <c r="AB913" s="1"/>
      <c r="AC913" s="1" t="s">
        <v>36</v>
      </c>
      <c r="AD913" s="1" t="s">
        <v>3564</v>
      </c>
      <c r="AE913" s="1" t="s">
        <v>32</v>
      </c>
      <c r="AF913" s="1" t="s">
        <v>33</v>
      </c>
      <c r="AG913" s="1" t="s">
        <v>127</v>
      </c>
    </row>
    <row r="914" spans="1:33">
      <c r="A914" t="s">
        <v>3581</v>
      </c>
      <c r="C914" t="s">
        <v>3582</v>
      </c>
      <c r="E914" t="s">
        <v>2984</v>
      </c>
      <c r="F914" t="s">
        <v>3239</v>
      </c>
      <c r="G914">
        <v>1.136</v>
      </c>
      <c r="H914">
        <v>1.136</v>
      </c>
      <c r="I914" t="s">
        <v>570</v>
      </c>
      <c r="J914" t="s">
        <v>571</v>
      </c>
      <c r="K914" t="s">
        <v>31</v>
      </c>
      <c r="L914" t="s">
        <v>32</v>
      </c>
      <c r="M914" t="s">
        <v>33</v>
      </c>
      <c r="P914" s="1" t="s">
        <v>3583</v>
      </c>
      <c r="Q914" s="1" t="s">
        <v>2984</v>
      </c>
      <c r="R914" s="1" t="s">
        <v>2984</v>
      </c>
      <c r="S914" s="1"/>
      <c r="T914" s="1" t="s">
        <v>3582</v>
      </c>
      <c r="U914" s="1"/>
      <c r="V914" s="1">
        <v>1.136</v>
      </c>
      <c r="W914" s="1">
        <v>1.136</v>
      </c>
      <c r="X914" s="1" t="s">
        <v>35</v>
      </c>
      <c r="Y914" s="1">
        <v>1136500.0</v>
      </c>
      <c r="Z914" s="1"/>
      <c r="AA914" s="1">
        <v>1136500</v>
      </c>
      <c r="AB914" s="1"/>
      <c r="AC914" s="1" t="s">
        <v>36</v>
      </c>
      <c r="AD914" s="1" t="s">
        <v>3584</v>
      </c>
      <c r="AE914" s="1" t="s">
        <v>32</v>
      </c>
      <c r="AF914" s="1" t="s">
        <v>33</v>
      </c>
      <c r="AG914" s="1" t="s">
        <v>571</v>
      </c>
    </row>
    <row r="915" spans="1:33">
      <c r="A915" t="s">
        <v>3585</v>
      </c>
      <c r="B915" t="s">
        <v>3586</v>
      </c>
      <c r="C915" t="s">
        <v>73</v>
      </c>
      <c r="E915" t="s">
        <v>2984</v>
      </c>
      <c r="F915" t="s">
        <v>2985</v>
      </c>
      <c r="G915">
        <v>4.498</v>
      </c>
      <c r="H915">
        <v>4.498</v>
      </c>
      <c r="I915" t="s">
        <v>40</v>
      </c>
      <c r="J915" t="s">
        <v>41</v>
      </c>
      <c r="K915" t="s">
        <v>31</v>
      </c>
      <c r="L915" t="s">
        <v>32</v>
      </c>
      <c r="M915" t="s">
        <v>33</v>
      </c>
      <c r="P915" s="1" t="s">
        <v>3587</v>
      </c>
      <c r="Q915" s="1" t="s">
        <v>2984</v>
      </c>
      <c r="R915" s="1" t="s">
        <v>2292</v>
      </c>
      <c r="S915" s="1"/>
      <c r="T915" s="1" t="s">
        <v>75</v>
      </c>
      <c r="U915" s="1" t="s">
        <v>76</v>
      </c>
      <c r="V915" s="1">
        <v>4.498</v>
      </c>
      <c r="W915" s="1">
        <v>4.498</v>
      </c>
      <c r="X915" s="1" t="s">
        <v>35</v>
      </c>
      <c r="Y915" s="1">
        <v>4498.0</v>
      </c>
      <c r="Z915" s="1"/>
      <c r="AA915" s="1">
        <v>4498</v>
      </c>
      <c r="AB915" s="1"/>
      <c r="AC915" s="1" t="s">
        <v>36</v>
      </c>
      <c r="AD915" s="1" t="s">
        <v>3588</v>
      </c>
      <c r="AE915" s="1" t="s">
        <v>32</v>
      </c>
      <c r="AF915" s="1" t="s">
        <v>33</v>
      </c>
      <c r="AG915" s="1" t="s">
        <v>41</v>
      </c>
    </row>
    <row r="916" spans="1:33">
      <c r="A916" t="s">
        <v>3589</v>
      </c>
      <c r="B916" t="s">
        <v>1108</v>
      </c>
      <c r="C916" t="s">
        <v>1109</v>
      </c>
      <c r="E916" t="s">
        <v>2984</v>
      </c>
      <c r="F916" t="s">
        <v>2985</v>
      </c>
      <c r="G916">
        <v>1.842</v>
      </c>
      <c r="H916">
        <v>1.842</v>
      </c>
      <c r="I916" t="s">
        <v>529</v>
      </c>
      <c r="J916" t="s">
        <v>530</v>
      </c>
      <c r="K916" t="s">
        <v>31</v>
      </c>
      <c r="L916" t="s">
        <v>32</v>
      </c>
      <c r="M916" t="s">
        <v>33</v>
      </c>
      <c r="P916" s="1" t="s">
        <v>3590</v>
      </c>
      <c r="Q916" s="1" t="s">
        <v>2984</v>
      </c>
      <c r="R916" s="1" t="s">
        <v>2292</v>
      </c>
      <c r="S916" s="1"/>
      <c r="T916" s="1" t="s">
        <v>1111</v>
      </c>
      <c r="U916" s="1" t="s">
        <v>1112</v>
      </c>
      <c r="V916" s="1">
        <v>1.842</v>
      </c>
      <c r="W916" s="1">
        <v>1.842</v>
      </c>
      <c r="X916" s="1" t="s">
        <v>35</v>
      </c>
      <c r="Y916" s="1">
        <v>1842000.0</v>
      </c>
      <c r="Z916" s="1"/>
      <c r="AA916" s="1">
        <v>1842000</v>
      </c>
      <c r="AB916" s="1"/>
      <c r="AC916" s="1" t="s">
        <v>36</v>
      </c>
      <c r="AD916" s="1" t="s">
        <v>3588</v>
      </c>
      <c r="AE916" s="1" t="s">
        <v>32</v>
      </c>
      <c r="AF916" s="1" t="s">
        <v>33</v>
      </c>
      <c r="AG916" s="1" t="s">
        <v>530</v>
      </c>
    </row>
    <row r="917" spans="1:33">
      <c r="A917" t="s">
        <v>3591</v>
      </c>
      <c r="B917" t="s">
        <v>1969</v>
      </c>
      <c r="C917" t="s">
        <v>569</v>
      </c>
      <c r="E917" t="s">
        <v>2984</v>
      </c>
      <c r="F917" t="s">
        <v>2985</v>
      </c>
      <c r="G917">
        <v>113.55</v>
      </c>
      <c r="H917">
        <v>113.55</v>
      </c>
      <c r="I917" t="s">
        <v>570</v>
      </c>
      <c r="J917" t="s">
        <v>571</v>
      </c>
      <c r="K917" t="s">
        <v>31</v>
      </c>
      <c r="L917" t="s">
        <v>32</v>
      </c>
      <c r="M917" t="s">
        <v>33</v>
      </c>
      <c r="P917" s="1" t="s">
        <v>3592</v>
      </c>
      <c r="Q917" s="1" t="s">
        <v>2984</v>
      </c>
      <c r="R917" s="1" t="s">
        <v>2984</v>
      </c>
      <c r="S917" s="1"/>
      <c r="T917" s="1" t="s">
        <v>569</v>
      </c>
      <c r="U917" s="1"/>
      <c r="V917" s="1">
        <v>113.55</v>
      </c>
      <c r="W917" s="1">
        <v>113.55</v>
      </c>
      <c r="X917" s="1" t="s">
        <v>35</v>
      </c>
      <c r="Y917" s="1">
        <v>113550.0</v>
      </c>
      <c r="Z917" s="1"/>
      <c r="AA917" s="1">
        <v>113550</v>
      </c>
      <c r="AB917" s="1"/>
      <c r="AC917" s="1" t="s">
        <v>36</v>
      </c>
      <c r="AD917" s="1" t="s">
        <v>3593</v>
      </c>
      <c r="AE917" s="1" t="s">
        <v>32</v>
      </c>
      <c r="AF917" s="1" t="s">
        <v>33</v>
      </c>
      <c r="AG917" s="1" t="s">
        <v>571</v>
      </c>
    </row>
    <row r="918" spans="1:33">
      <c r="A918" t="s">
        <v>3594</v>
      </c>
      <c r="B918" t="s">
        <v>3595</v>
      </c>
      <c r="C918" t="s">
        <v>3596</v>
      </c>
      <c r="E918" t="s">
        <v>2984</v>
      </c>
      <c r="F918" t="s">
        <v>2985</v>
      </c>
      <c r="G918">
        <v>1.069</v>
      </c>
      <c r="H918">
        <v>1.069</v>
      </c>
      <c r="I918" t="s">
        <v>40</v>
      </c>
      <c r="J918" t="s">
        <v>41</v>
      </c>
      <c r="K918" t="s">
        <v>31</v>
      </c>
      <c r="L918" t="s">
        <v>32</v>
      </c>
      <c r="M918" t="s">
        <v>33</v>
      </c>
      <c r="P918" s="1" t="s">
        <v>3597</v>
      </c>
      <c r="Q918" s="1" t="s">
        <v>2984</v>
      </c>
      <c r="R918" s="1" t="s">
        <v>2292</v>
      </c>
      <c r="S918" s="1"/>
      <c r="T918" s="1" t="s">
        <v>3596</v>
      </c>
      <c r="U918" s="1"/>
      <c r="V918" s="1">
        <v>1.069</v>
      </c>
      <c r="W918" s="1">
        <v>1.069</v>
      </c>
      <c r="X918" s="1" t="s">
        <v>35</v>
      </c>
      <c r="Y918" s="1">
        <v>1069500.0</v>
      </c>
      <c r="Z918" s="1"/>
      <c r="AA918" s="1">
        <v>1069500</v>
      </c>
      <c r="AB918" s="1"/>
      <c r="AC918" s="1" t="s">
        <v>36</v>
      </c>
      <c r="AD918" s="1" t="s">
        <v>3598</v>
      </c>
      <c r="AE918" s="1" t="s">
        <v>32</v>
      </c>
      <c r="AF918" s="1" t="s">
        <v>33</v>
      </c>
      <c r="AG918" s="1" t="s">
        <v>41</v>
      </c>
    </row>
    <row r="919" spans="1:33">
      <c r="A919" t="s">
        <v>3599</v>
      </c>
      <c r="B919" t="s">
        <v>3600</v>
      </c>
      <c r="C919" t="s">
        <v>569</v>
      </c>
      <c r="E919" t="s">
        <v>2984</v>
      </c>
      <c r="F919" t="s">
        <v>2985</v>
      </c>
      <c r="G919">
        <v>109.226</v>
      </c>
      <c r="H919">
        <v>109.226</v>
      </c>
      <c r="I919" t="s">
        <v>570</v>
      </c>
      <c r="J919" t="s">
        <v>571</v>
      </c>
      <c r="K919" t="s">
        <v>31</v>
      </c>
      <c r="L919" t="s">
        <v>32</v>
      </c>
      <c r="M919" t="s">
        <v>33</v>
      </c>
      <c r="P919" s="1" t="s">
        <v>3601</v>
      </c>
      <c r="Q919" s="1" t="s">
        <v>2984</v>
      </c>
      <c r="R919" s="1" t="s">
        <v>2984</v>
      </c>
      <c r="S919" s="1"/>
      <c r="T919" s="1" t="s">
        <v>569</v>
      </c>
      <c r="U919" s="1"/>
      <c r="V919" s="1">
        <v>109.226</v>
      </c>
      <c r="W919" s="1">
        <v>109.226</v>
      </c>
      <c r="X919" s="1" t="s">
        <v>35</v>
      </c>
      <c r="Y919" s="1">
        <v>109226.0</v>
      </c>
      <c r="Z919" s="1"/>
      <c r="AA919" s="1">
        <v>109226</v>
      </c>
      <c r="AB919" s="1"/>
      <c r="AC919" s="1" t="s">
        <v>36</v>
      </c>
      <c r="AD919" s="1" t="s">
        <v>3602</v>
      </c>
      <c r="AE919" s="1" t="s">
        <v>32</v>
      </c>
      <c r="AF919" s="1" t="s">
        <v>33</v>
      </c>
      <c r="AG919" s="1" t="s">
        <v>571</v>
      </c>
    </row>
    <row r="920" spans="1:33">
      <c r="A920" t="s">
        <v>3603</v>
      </c>
      <c r="B920" t="s">
        <v>3604</v>
      </c>
      <c r="C920" t="s">
        <v>73</v>
      </c>
      <c r="E920" t="s">
        <v>2984</v>
      </c>
      <c r="F920" t="s">
        <v>2985</v>
      </c>
      <c r="G920">
        <v>14.81</v>
      </c>
      <c r="H920">
        <v>14.81</v>
      </c>
      <c r="I920" t="s">
        <v>40</v>
      </c>
      <c r="J920" t="s">
        <v>41</v>
      </c>
      <c r="K920" t="s">
        <v>31</v>
      </c>
      <c r="L920" t="s">
        <v>32</v>
      </c>
      <c r="M920" t="s">
        <v>33</v>
      </c>
      <c r="P920" s="1" t="s">
        <v>3605</v>
      </c>
      <c r="Q920" s="1" t="s">
        <v>2984</v>
      </c>
      <c r="R920" s="1" t="s">
        <v>2292</v>
      </c>
      <c r="S920" s="1"/>
      <c r="T920" s="1" t="s">
        <v>75</v>
      </c>
      <c r="U920" s="1" t="s">
        <v>76</v>
      </c>
      <c r="V920" s="1">
        <v>14.81</v>
      </c>
      <c r="W920" s="1">
        <v>14.81</v>
      </c>
      <c r="X920" s="1" t="s">
        <v>35</v>
      </c>
      <c r="Y920" s="1">
        <v>14810.0</v>
      </c>
      <c r="Z920" s="1"/>
      <c r="AA920" s="1">
        <v>14810</v>
      </c>
      <c r="AB920" s="1"/>
      <c r="AC920" s="1" t="s">
        <v>36</v>
      </c>
      <c r="AD920" s="1" t="s">
        <v>3606</v>
      </c>
      <c r="AE920" s="1" t="s">
        <v>32</v>
      </c>
      <c r="AF920" s="1" t="s">
        <v>33</v>
      </c>
      <c r="AG920" s="1" t="s">
        <v>41</v>
      </c>
    </row>
    <row r="921" spans="1:33">
      <c r="A921" t="s">
        <v>3607</v>
      </c>
      <c r="B921" t="s">
        <v>3608</v>
      </c>
      <c r="C921" t="s">
        <v>125</v>
      </c>
      <c r="E921" t="s">
        <v>2984</v>
      </c>
      <c r="F921" t="s">
        <v>2985</v>
      </c>
      <c r="G921">
        <v>19.445</v>
      </c>
      <c r="H921">
        <v>19.445</v>
      </c>
      <c r="I921" t="s">
        <v>126</v>
      </c>
      <c r="J921" t="s">
        <v>127</v>
      </c>
      <c r="K921" t="s">
        <v>31</v>
      </c>
      <c r="L921" t="s">
        <v>32</v>
      </c>
      <c r="M921" t="s">
        <v>33</v>
      </c>
      <c r="P921" s="1" t="s">
        <v>3609</v>
      </c>
      <c r="Q921" s="1" t="s">
        <v>2984</v>
      </c>
      <c r="R921" s="1" t="s">
        <v>2984</v>
      </c>
      <c r="S921" s="1"/>
      <c r="T921" s="1" t="s">
        <v>125</v>
      </c>
      <c r="U921" s="1"/>
      <c r="V921" s="1">
        <v>19.445</v>
      </c>
      <c r="W921" s="1">
        <v>19.445</v>
      </c>
      <c r="X921" s="1" t="s">
        <v>35</v>
      </c>
      <c r="Y921" s="1">
        <v>19445.0</v>
      </c>
      <c r="Z921" s="1"/>
      <c r="AA921" s="1">
        <v>19445</v>
      </c>
      <c r="AB921" s="1"/>
      <c r="AC921" s="1" t="s">
        <v>36</v>
      </c>
      <c r="AD921" s="1" t="s">
        <v>3610</v>
      </c>
      <c r="AE921" s="1" t="s">
        <v>32</v>
      </c>
      <c r="AF921" s="1" t="s">
        <v>33</v>
      </c>
      <c r="AG921" s="1" t="s">
        <v>127</v>
      </c>
    </row>
    <row r="922" spans="1:33">
      <c r="A922" t="s">
        <v>3611</v>
      </c>
      <c r="C922" t="s">
        <v>3612</v>
      </c>
      <c r="E922" t="s">
        <v>2984</v>
      </c>
      <c r="F922" t="s">
        <v>2985</v>
      </c>
      <c r="G922">
        <v>574.5</v>
      </c>
      <c r="H922">
        <v>574.5</v>
      </c>
      <c r="I922" t="s">
        <v>136</v>
      </c>
      <c r="J922" t="s">
        <v>137</v>
      </c>
      <c r="K922" t="s">
        <v>31</v>
      </c>
      <c r="L922" t="s">
        <v>32</v>
      </c>
      <c r="M922" t="s">
        <v>33</v>
      </c>
      <c r="P922" s="1" t="s">
        <v>3613</v>
      </c>
      <c r="Q922" s="1" t="s">
        <v>2984</v>
      </c>
      <c r="R922" s="1" t="s">
        <v>2984</v>
      </c>
      <c r="S922" s="1"/>
      <c r="T922" s="1" t="s">
        <v>3614</v>
      </c>
      <c r="U922" s="1" t="s">
        <v>3615</v>
      </c>
      <c r="V922" s="1">
        <v>574.5</v>
      </c>
      <c r="W922" s="1">
        <v>574.5</v>
      </c>
      <c r="X922" s="1" t="s">
        <v>35</v>
      </c>
      <c r="Y922" s="1">
        <v>574500.0</v>
      </c>
      <c r="Z922" s="1"/>
      <c r="AA922" s="1">
        <v>574500</v>
      </c>
      <c r="AB922" s="1"/>
      <c r="AC922" s="1" t="s">
        <v>36</v>
      </c>
      <c r="AD922" s="1" t="s">
        <v>3610</v>
      </c>
      <c r="AE922" s="1" t="s">
        <v>32</v>
      </c>
      <c r="AF922" s="1" t="s">
        <v>33</v>
      </c>
      <c r="AG922" s="1" t="s">
        <v>137</v>
      </c>
    </row>
    <row r="923" spans="1:33">
      <c r="A923" t="s">
        <v>3616</v>
      </c>
      <c r="B923" t="s">
        <v>3617</v>
      </c>
      <c r="C923" t="s">
        <v>172</v>
      </c>
      <c r="E923" t="s">
        <v>2984</v>
      </c>
      <c r="F923" t="s">
        <v>2985</v>
      </c>
      <c r="G923">
        <v>89.96</v>
      </c>
      <c r="H923">
        <v>89.96</v>
      </c>
      <c r="I923" t="s">
        <v>173</v>
      </c>
      <c r="J923" t="s">
        <v>174</v>
      </c>
      <c r="K923" t="s">
        <v>31</v>
      </c>
      <c r="L923" t="s">
        <v>32</v>
      </c>
      <c r="M923" t="s">
        <v>33</v>
      </c>
      <c r="P923" s="1" t="s">
        <v>3618</v>
      </c>
      <c r="Q923" s="1" t="s">
        <v>2984</v>
      </c>
      <c r="R923" s="1" t="s">
        <v>2984</v>
      </c>
      <c r="S923" s="1"/>
      <c r="T923" s="1" t="s">
        <v>172</v>
      </c>
      <c r="U923" s="1"/>
      <c r="V923" s="1">
        <v>89.96</v>
      </c>
      <c r="W923" s="1">
        <v>89.96</v>
      </c>
      <c r="X923" s="1" t="s">
        <v>35</v>
      </c>
      <c r="Y923" s="1">
        <v>89960.0</v>
      </c>
      <c r="Z923" s="1"/>
      <c r="AA923" s="1">
        <v>89960</v>
      </c>
      <c r="AB923" s="1"/>
      <c r="AC923" s="1" t="s">
        <v>36</v>
      </c>
      <c r="AD923" s="1" t="s">
        <v>3619</v>
      </c>
      <c r="AE923" s="1" t="s">
        <v>32</v>
      </c>
      <c r="AF923" s="1" t="s">
        <v>33</v>
      </c>
      <c r="AG923" s="1" t="s">
        <v>174</v>
      </c>
    </row>
    <row r="924" spans="1:33">
      <c r="A924" t="s">
        <v>3620</v>
      </c>
      <c r="C924" t="s">
        <v>3621</v>
      </c>
      <c r="E924" t="s">
        <v>2984</v>
      </c>
      <c r="F924" t="s">
        <v>2985</v>
      </c>
      <c r="G924">
        <v>630.0</v>
      </c>
      <c r="H924">
        <v>630.0</v>
      </c>
      <c r="I924" t="s">
        <v>173</v>
      </c>
      <c r="J924" t="s">
        <v>174</v>
      </c>
      <c r="K924" t="s">
        <v>31</v>
      </c>
      <c r="L924" t="s">
        <v>32</v>
      </c>
      <c r="M924" t="s">
        <v>33</v>
      </c>
      <c r="P924" s="1" t="s">
        <v>3622</v>
      </c>
      <c r="Q924" s="1" t="s">
        <v>2984</v>
      </c>
      <c r="R924" s="1" t="s">
        <v>2984</v>
      </c>
      <c r="S924" s="1"/>
      <c r="T924" s="1" t="s">
        <v>3621</v>
      </c>
      <c r="U924" s="1"/>
      <c r="V924" s="1">
        <v>630.0</v>
      </c>
      <c r="W924" s="1">
        <v>630.0</v>
      </c>
      <c r="X924" s="1" t="s">
        <v>35</v>
      </c>
      <c r="Y924" s="1">
        <v>630000.0</v>
      </c>
      <c r="Z924" s="1"/>
      <c r="AA924" s="1">
        <v>630000</v>
      </c>
      <c r="AB924" s="1"/>
      <c r="AC924" s="1" t="s">
        <v>36</v>
      </c>
      <c r="AD924" s="1" t="s">
        <v>3623</v>
      </c>
      <c r="AE924" s="1" t="s">
        <v>32</v>
      </c>
      <c r="AF924" s="1" t="s">
        <v>33</v>
      </c>
      <c r="AG924" s="1" t="s">
        <v>174</v>
      </c>
    </row>
    <row r="925" spans="1:33">
      <c r="A925" t="s">
        <v>3624</v>
      </c>
      <c r="C925" t="s">
        <v>670</v>
      </c>
      <c r="E925" t="s">
        <v>2984</v>
      </c>
      <c r="F925" t="s">
        <v>2985</v>
      </c>
      <c r="G925">
        <v>813.0</v>
      </c>
      <c r="H925">
        <v>813.0</v>
      </c>
      <c r="I925" t="s">
        <v>136</v>
      </c>
      <c r="J925" t="s">
        <v>137</v>
      </c>
      <c r="K925" t="s">
        <v>31</v>
      </c>
      <c r="L925" t="s">
        <v>32</v>
      </c>
      <c r="M925" t="s">
        <v>33</v>
      </c>
      <c r="P925" s="1" t="s">
        <v>3625</v>
      </c>
      <c r="Q925" s="1" t="s">
        <v>2984</v>
      </c>
      <c r="R925" s="1" t="s">
        <v>2984</v>
      </c>
      <c r="S925" s="1"/>
      <c r="T925" s="1" t="s">
        <v>670</v>
      </c>
      <c r="U925" s="1"/>
      <c r="V925" s="1">
        <v>813.0</v>
      </c>
      <c r="W925" s="1">
        <v>813.0</v>
      </c>
      <c r="X925" s="1" t="s">
        <v>35</v>
      </c>
      <c r="Y925" s="1">
        <v>813000.0</v>
      </c>
      <c r="Z925" s="1"/>
      <c r="AA925" s="1">
        <v>813000</v>
      </c>
      <c r="AB925" s="1"/>
      <c r="AC925" s="1" t="s">
        <v>36</v>
      </c>
      <c r="AD925" s="1" t="s">
        <v>3602</v>
      </c>
      <c r="AE925" s="1" t="s">
        <v>32</v>
      </c>
      <c r="AF925" s="1" t="s">
        <v>33</v>
      </c>
      <c r="AG925" s="1" t="s">
        <v>137</v>
      </c>
    </row>
    <row r="926" spans="1:33">
      <c r="A926" t="s">
        <v>3626</v>
      </c>
      <c r="C926" t="s">
        <v>595</v>
      </c>
      <c r="E926" t="s">
        <v>2984</v>
      </c>
      <c r="F926" t="s">
        <v>2985</v>
      </c>
      <c r="G926">
        <v>1.288</v>
      </c>
      <c r="H926">
        <v>1.288</v>
      </c>
      <c r="I926" t="s">
        <v>269</v>
      </c>
      <c r="J926" t="s">
        <v>270</v>
      </c>
      <c r="K926" t="s">
        <v>31</v>
      </c>
      <c r="L926" t="s">
        <v>32</v>
      </c>
      <c r="M926" t="s">
        <v>33</v>
      </c>
      <c r="P926" s="1" t="s">
        <v>3627</v>
      </c>
      <c r="Q926" s="1" t="s">
        <v>2984</v>
      </c>
      <c r="R926" s="1" t="s">
        <v>2984</v>
      </c>
      <c r="S926" s="1"/>
      <c r="T926" s="1" t="s">
        <v>595</v>
      </c>
      <c r="U926" s="1"/>
      <c r="V926" s="1">
        <v>1.288</v>
      </c>
      <c r="W926" s="1">
        <v>1.288</v>
      </c>
      <c r="X926" s="1" t="s">
        <v>35</v>
      </c>
      <c r="Y926" s="1">
        <v>1288400.0</v>
      </c>
      <c r="Z926" s="1"/>
      <c r="AA926" s="1">
        <v>1288400</v>
      </c>
      <c r="AB926" s="1"/>
      <c r="AC926" s="1" t="s">
        <v>36</v>
      </c>
      <c r="AD926" s="1" t="s">
        <v>3628</v>
      </c>
      <c r="AE926" s="1" t="s">
        <v>32</v>
      </c>
      <c r="AF926" s="1" t="s">
        <v>33</v>
      </c>
      <c r="AG926" s="1" t="s">
        <v>270</v>
      </c>
    </row>
    <row r="927" spans="1:33">
      <c r="A927" t="s">
        <v>3629</v>
      </c>
      <c r="C927" t="s">
        <v>226</v>
      </c>
      <c r="E927" t="s">
        <v>2984</v>
      </c>
      <c r="F927" t="s">
        <v>2985</v>
      </c>
      <c r="G927">
        <v>328.0</v>
      </c>
      <c r="H927">
        <v>328.0</v>
      </c>
      <c r="I927" t="s">
        <v>227</v>
      </c>
      <c r="J927" t="s">
        <v>228</v>
      </c>
      <c r="K927" t="s">
        <v>31</v>
      </c>
      <c r="L927" t="s">
        <v>32</v>
      </c>
      <c r="M927" t="s">
        <v>33</v>
      </c>
      <c r="P927" s="1" t="s">
        <v>3630</v>
      </c>
      <c r="Q927" s="1" t="s">
        <v>2984</v>
      </c>
      <c r="R927" s="1" t="s">
        <v>2984</v>
      </c>
      <c r="S927" s="1"/>
      <c r="T927" s="1" t="s">
        <v>226</v>
      </c>
      <c r="U927" s="1"/>
      <c r="V927" s="1">
        <v>328.0</v>
      </c>
      <c r="W927" s="1">
        <v>328.0</v>
      </c>
      <c r="X927" s="1" t="s">
        <v>35</v>
      </c>
      <c r="Y927" s="1">
        <v>328000.0</v>
      </c>
      <c r="Z927" s="1"/>
      <c r="AA927" s="1">
        <v>328000</v>
      </c>
      <c r="AB927" s="1"/>
      <c r="AC927" s="1" t="s">
        <v>36</v>
      </c>
      <c r="AD927" s="1" t="s">
        <v>3631</v>
      </c>
      <c r="AE927" s="1" t="s">
        <v>32</v>
      </c>
      <c r="AF927" s="1" t="s">
        <v>33</v>
      </c>
      <c r="AG927" s="1" t="s">
        <v>228</v>
      </c>
    </row>
    <row r="928" spans="1:33">
      <c r="A928" t="s">
        <v>3632</v>
      </c>
      <c r="C928" t="s">
        <v>732</v>
      </c>
      <c r="E928" t="s">
        <v>2984</v>
      </c>
      <c r="F928" t="s">
        <v>2985</v>
      </c>
      <c r="G928">
        <v>1.908</v>
      </c>
      <c r="H928">
        <v>1.908</v>
      </c>
      <c r="I928" t="s">
        <v>136</v>
      </c>
      <c r="J928" t="s">
        <v>137</v>
      </c>
      <c r="K928" t="s">
        <v>31</v>
      </c>
      <c r="L928" t="s">
        <v>32</v>
      </c>
      <c r="M928" t="s">
        <v>33</v>
      </c>
      <c r="P928" s="1" t="s">
        <v>3633</v>
      </c>
      <c r="Q928" s="1" t="s">
        <v>2984</v>
      </c>
      <c r="R928" s="1" t="s">
        <v>2984</v>
      </c>
      <c r="S928" s="1"/>
      <c r="T928" s="1" t="s">
        <v>732</v>
      </c>
      <c r="U928" s="1"/>
      <c r="V928" s="1">
        <v>1.908</v>
      </c>
      <c r="W928" s="1">
        <v>1.908</v>
      </c>
      <c r="X928" s="1" t="s">
        <v>35</v>
      </c>
      <c r="Y928" s="1">
        <v>1908700.0</v>
      </c>
      <c r="Z928" s="1"/>
      <c r="AA928" s="1">
        <v>1908700</v>
      </c>
      <c r="AB928" s="1"/>
      <c r="AC928" s="1" t="s">
        <v>36</v>
      </c>
      <c r="AD928" s="1" t="s">
        <v>3634</v>
      </c>
      <c r="AE928" s="1" t="s">
        <v>32</v>
      </c>
      <c r="AF928" s="1" t="s">
        <v>33</v>
      </c>
      <c r="AG928" s="1" t="s">
        <v>137</v>
      </c>
    </row>
    <row r="929" spans="1:33">
      <c r="A929" t="s">
        <v>3635</v>
      </c>
      <c r="B929" t="s">
        <v>3636</v>
      </c>
      <c r="C929" t="s">
        <v>68</v>
      </c>
      <c r="E929" t="s">
        <v>2984</v>
      </c>
      <c r="F929" t="s">
        <v>2985</v>
      </c>
      <c r="G929">
        <v>59.98</v>
      </c>
      <c r="H929">
        <v>59.98</v>
      </c>
      <c r="I929" t="s">
        <v>59</v>
      </c>
      <c r="J929" t="s">
        <v>60</v>
      </c>
      <c r="K929" t="s">
        <v>31</v>
      </c>
      <c r="L929" t="s">
        <v>32</v>
      </c>
      <c r="M929" t="s">
        <v>33</v>
      </c>
      <c r="P929" s="1" t="s">
        <v>3637</v>
      </c>
      <c r="Q929" s="1" t="s">
        <v>2984</v>
      </c>
      <c r="R929" s="1" t="s">
        <v>2984</v>
      </c>
      <c r="S929" s="1"/>
      <c r="T929" s="1" t="s">
        <v>68</v>
      </c>
      <c r="U929" s="1"/>
      <c r="V929" s="1">
        <v>59.98</v>
      </c>
      <c r="W929" s="1">
        <v>59.98</v>
      </c>
      <c r="X929" s="1" t="s">
        <v>35</v>
      </c>
      <c r="Y929" s="1">
        <v>59980.0</v>
      </c>
      <c r="Z929" s="1"/>
      <c r="AA929" s="1">
        <v>59980</v>
      </c>
      <c r="AB929" s="1"/>
      <c r="AC929" s="1" t="s">
        <v>36</v>
      </c>
      <c r="AD929" s="1" t="s">
        <v>3638</v>
      </c>
      <c r="AE929" s="1" t="s">
        <v>32</v>
      </c>
      <c r="AF929" s="1" t="s">
        <v>33</v>
      </c>
      <c r="AG929" s="1" t="s">
        <v>60</v>
      </c>
    </row>
    <row r="930" spans="1:33">
      <c r="A930" t="s">
        <v>3639</v>
      </c>
      <c r="B930" t="s">
        <v>3640</v>
      </c>
      <c r="C930" t="s">
        <v>26</v>
      </c>
      <c r="E930" t="s">
        <v>2984</v>
      </c>
      <c r="F930" t="s">
        <v>2985</v>
      </c>
      <c r="G930">
        <v>4.409</v>
      </c>
      <c r="H930">
        <v>4.409</v>
      </c>
      <c r="I930" t="s">
        <v>29</v>
      </c>
      <c r="J930" t="s">
        <v>30</v>
      </c>
      <c r="K930" t="s">
        <v>31</v>
      </c>
      <c r="L930" t="s">
        <v>32</v>
      </c>
      <c r="M930" t="s">
        <v>33</v>
      </c>
      <c r="P930" s="1" t="s">
        <v>3641</v>
      </c>
      <c r="Q930" s="1" t="s">
        <v>2984</v>
      </c>
      <c r="R930" s="1" t="s">
        <v>2984</v>
      </c>
      <c r="S930" s="1"/>
      <c r="T930" s="1" t="s">
        <v>26</v>
      </c>
      <c r="U930" s="1"/>
      <c r="V930" s="1">
        <v>4.409</v>
      </c>
      <c r="W930" s="1">
        <v>4.409</v>
      </c>
      <c r="X930" s="1" t="s">
        <v>35</v>
      </c>
      <c r="Y930" s="1">
        <v>4409.0</v>
      </c>
      <c r="Z930" s="1"/>
      <c r="AA930" s="1">
        <v>4409</v>
      </c>
      <c r="AB930" s="1"/>
      <c r="AC930" s="1" t="s">
        <v>36</v>
      </c>
      <c r="AD930" s="1" t="s">
        <v>3560</v>
      </c>
      <c r="AE930" s="1" t="s">
        <v>32</v>
      </c>
      <c r="AF930" s="1" t="s">
        <v>33</v>
      </c>
      <c r="AG930" s="1" t="s">
        <v>30</v>
      </c>
    </row>
    <row r="931" spans="1:33">
      <c r="A931" t="s">
        <v>3642</v>
      </c>
      <c r="C931" t="s">
        <v>3643</v>
      </c>
      <c r="E931" t="s">
        <v>2984</v>
      </c>
      <c r="F931" t="s">
        <v>2985</v>
      </c>
      <c r="G931">
        <v>1.295</v>
      </c>
      <c r="H931">
        <v>1.295</v>
      </c>
      <c r="I931" t="s">
        <v>269</v>
      </c>
      <c r="J931" t="s">
        <v>270</v>
      </c>
      <c r="K931" t="s">
        <v>31</v>
      </c>
      <c r="L931" t="s">
        <v>32</v>
      </c>
      <c r="M931" t="s">
        <v>33</v>
      </c>
      <c r="P931" s="1" t="s">
        <v>3644</v>
      </c>
      <c r="Q931" s="1" t="s">
        <v>2984</v>
      </c>
      <c r="R931" s="1" t="s">
        <v>2984</v>
      </c>
      <c r="S931" s="1"/>
      <c r="T931" s="1" t="s">
        <v>3643</v>
      </c>
      <c r="U931" s="1"/>
      <c r="V931" s="1">
        <v>1.295</v>
      </c>
      <c r="W931" s="1">
        <v>1.295</v>
      </c>
      <c r="X931" s="1" t="s">
        <v>35</v>
      </c>
      <c r="Y931" s="1">
        <v>1295600.0</v>
      </c>
      <c r="Z931" s="1"/>
      <c r="AA931" s="1">
        <v>1295600</v>
      </c>
      <c r="AB931" s="1"/>
      <c r="AC931" s="1" t="s">
        <v>36</v>
      </c>
      <c r="AD931" s="1" t="s">
        <v>3645</v>
      </c>
      <c r="AE931" s="1" t="s">
        <v>32</v>
      </c>
      <c r="AF931" s="1" t="s">
        <v>33</v>
      </c>
      <c r="AG931" s="1" t="s">
        <v>270</v>
      </c>
    </row>
    <row r="932" spans="1:33">
      <c r="A932" t="s">
        <v>3646</v>
      </c>
      <c r="C932" t="s">
        <v>517</v>
      </c>
      <c r="E932" t="s">
        <v>2984</v>
      </c>
      <c r="F932" t="s">
        <v>2985</v>
      </c>
      <c r="G932">
        <v>749.0</v>
      </c>
      <c r="H932">
        <v>749.0</v>
      </c>
      <c r="I932" t="s">
        <v>126</v>
      </c>
      <c r="J932" t="s">
        <v>127</v>
      </c>
      <c r="K932" t="s">
        <v>31</v>
      </c>
      <c r="L932" t="s">
        <v>32</v>
      </c>
      <c r="M932" t="s">
        <v>33</v>
      </c>
      <c r="P932" s="1" t="s">
        <v>3647</v>
      </c>
      <c r="Q932" s="1" t="s">
        <v>2984</v>
      </c>
      <c r="R932" s="1" t="s">
        <v>2984</v>
      </c>
      <c r="S932" s="1"/>
      <c r="T932" s="1" t="s">
        <v>517</v>
      </c>
      <c r="U932" s="1"/>
      <c r="V932" s="1">
        <v>749.0</v>
      </c>
      <c r="W932" s="1">
        <v>749.0</v>
      </c>
      <c r="X932" s="1" t="s">
        <v>35</v>
      </c>
      <c r="Y932" s="1">
        <v>749000.0</v>
      </c>
      <c r="Z932" s="1"/>
      <c r="AA932" s="1">
        <v>749000</v>
      </c>
      <c r="AB932" s="1"/>
      <c r="AC932" s="1" t="s">
        <v>36</v>
      </c>
      <c r="AD932" s="1" t="s">
        <v>3634</v>
      </c>
      <c r="AE932" s="1" t="s">
        <v>32</v>
      </c>
      <c r="AF932" s="1" t="s">
        <v>33</v>
      </c>
      <c r="AG932" s="1" t="s">
        <v>127</v>
      </c>
    </row>
    <row r="933" spans="1:33">
      <c r="A933" t="s">
        <v>3648</v>
      </c>
      <c r="B933" t="s">
        <v>3090</v>
      </c>
      <c r="C933" t="s">
        <v>268</v>
      </c>
      <c r="E933" t="s">
        <v>2984</v>
      </c>
      <c r="F933" t="s">
        <v>2985</v>
      </c>
      <c r="G933">
        <v>16.9</v>
      </c>
      <c r="H933">
        <v>16.9</v>
      </c>
      <c r="I933" t="s">
        <v>269</v>
      </c>
      <c r="J933" t="s">
        <v>270</v>
      </c>
      <c r="K933" t="s">
        <v>31</v>
      </c>
      <c r="L933" t="s">
        <v>32</v>
      </c>
      <c r="M933" t="s">
        <v>33</v>
      </c>
      <c r="P933" s="1" t="s">
        <v>3649</v>
      </c>
      <c r="Q933" s="1" t="s">
        <v>2984</v>
      </c>
      <c r="R933" s="1" t="s">
        <v>2984</v>
      </c>
      <c r="S933" s="1"/>
      <c r="T933" s="1" t="s">
        <v>268</v>
      </c>
      <c r="U933" s="1"/>
      <c r="V933" s="1">
        <v>16.9</v>
      </c>
      <c r="W933" s="1">
        <v>16.9</v>
      </c>
      <c r="X933" s="1" t="s">
        <v>35</v>
      </c>
      <c r="Y933" s="1">
        <v>16900.0</v>
      </c>
      <c r="Z933" s="1"/>
      <c r="AA933" s="1">
        <v>16900</v>
      </c>
      <c r="AB933" s="1"/>
      <c r="AC933" s="1" t="s">
        <v>36</v>
      </c>
      <c r="AD933" s="1" t="s">
        <v>3650</v>
      </c>
      <c r="AE933" s="1" t="s">
        <v>32</v>
      </c>
      <c r="AF933" s="1" t="s">
        <v>33</v>
      </c>
      <c r="AG933" s="1" t="s">
        <v>270</v>
      </c>
    </row>
    <row r="934" spans="1:33">
      <c r="A934" t="s">
        <v>3651</v>
      </c>
      <c r="B934" t="s">
        <v>3652</v>
      </c>
      <c r="C934" t="s">
        <v>314</v>
      </c>
      <c r="E934" t="s">
        <v>2984</v>
      </c>
      <c r="F934" t="s">
        <v>2985</v>
      </c>
      <c r="G934">
        <v>19.874</v>
      </c>
      <c r="H934">
        <v>19.874</v>
      </c>
      <c r="I934" t="s">
        <v>179</v>
      </c>
      <c r="J934" t="s">
        <v>180</v>
      </c>
      <c r="K934" t="s">
        <v>31</v>
      </c>
      <c r="L934" t="s">
        <v>32</v>
      </c>
      <c r="M934" t="s">
        <v>33</v>
      </c>
      <c r="P934" s="1" t="s">
        <v>3653</v>
      </c>
      <c r="Q934" s="1" t="s">
        <v>2984</v>
      </c>
      <c r="R934" s="1" t="s">
        <v>2984</v>
      </c>
      <c r="S934" s="1"/>
      <c r="T934" s="1" t="s">
        <v>314</v>
      </c>
      <c r="U934" s="1"/>
      <c r="V934" s="1">
        <v>19.874</v>
      </c>
      <c r="W934" s="1">
        <v>19.874</v>
      </c>
      <c r="X934" s="1" t="s">
        <v>35</v>
      </c>
      <c r="Y934" s="1">
        <v>19874.0</v>
      </c>
      <c r="Z934" s="1"/>
      <c r="AA934" s="1">
        <v>19874</v>
      </c>
      <c r="AB934" s="1"/>
      <c r="AC934" s="1" t="s">
        <v>36</v>
      </c>
      <c r="AD934" s="1" t="s">
        <v>3654</v>
      </c>
      <c r="AE934" s="1" t="s">
        <v>32</v>
      </c>
      <c r="AF934" s="1" t="s">
        <v>33</v>
      </c>
      <c r="AG934" s="1" t="s">
        <v>180</v>
      </c>
    </row>
    <row r="935" spans="1:33">
      <c r="A935" t="s">
        <v>3655</v>
      </c>
      <c r="B935" t="s">
        <v>3656</v>
      </c>
      <c r="C935" t="s">
        <v>314</v>
      </c>
      <c r="E935" t="s">
        <v>2984</v>
      </c>
      <c r="F935" t="s">
        <v>2985</v>
      </c>
      <c r="G935">
        <v>97.694</v>
      </c>
      <c r="H935">
        <v>97.694</v>
      </c>
      <c r="I935" t="s">
        <v>179</v>
      </c>
      <c r="J935" t="s">
        <v>180</v>
      </c>
      <c r="K935" t="s">
        <v>31</v>
      </c>
      <c r="L935" t="s">
        <v>32</v>
      </c>
      <c r="M935" t="s">
        <v>33</v>
      </c>
      <c r="P935" s="1" t="s">
        <v>3657</v>
      </c>
      <c r="Q935" s="1" t="s">
        <v>2984</v>
      </c>
      <c r="R935" s="1" t="s">
        <v>2984</v>
      </c>
      <c r="S935" s="1"/>
      <c r="T935" s="1" t="s">
        <v>314</v>
      </c>
      <c r="U935" s="1"/>
      <c r="V935" s="1">
        <v>97.694</v>
      </c>
      <c r="W935" s="1">
        <v>97.694</v>
      </c>
      <c r="X935" s="1" t="s">
        <v>35</v>
      </c>
      <c r="Y935" s="1">
        <v>97694.0</v>
      </c>
      <c r="Z935" s="1"/>
      <c r="AA935" s="1">
        <v>97694</v>
      </c>
      <c r="AB935" s="1"/>
      <c r="AC935" s="1" t="s">
        <v>36</v>
      </c>
      <c r="AD935" s="1" t="s">
        <v>3658</v>
      </c>
      <c r="AE935" s="1" t="s">
        <v>32</v>
      </c>
      <c r="AF935" s="1" t="s">
        <v>33</v>
      </c>
      <c r="AG935" s="1" t="s">
        <v>180</v>
      </c>
    </row>
    <row r="936" spans="1:33">
      <c r="A936" t="s">
        <v>3659</v>
      </c>
      <c r="C936" t="s">
        <v>145</v>
      </c>
      <c r="E936" t="s">
        <v>2984</v>
      </c>
      <c r="F936" t="s">
        <v>2985</v>
      </c>
      <c r="G936">
        <v>709.6</v>
      </c>
      <c r="H936">
        <v>709.6</v>
      </c>
      <c r="I936" t="s">
        <v>136</v>
      </c>
      <c r="J936" t="s">
        <v>137</v>
      </c>
      <c r="K936" t="s">
        <v>31</v>
      </c>
      <c r="L936" t="s">
        <v>32</v>
      </c>
      <c r="M936" t="s">
        <v>33</v>
      </c>
      <c r="P936" s="1" t="s">
        <v>3660</v>
      </c>
      <c r="Q936" s="1" t="s">
        <v>2984</v>
      </c>
      <c r="R936" s="1" t="s">
        <v>2984</v>
      </c>
      <c r="S936" s="1"/>
      <c r="T936" s="1" t="s">
        <v>145</v>
      </c>
      <c r="U936" s="1"/>
      <c r="V936" s="1">
        <v>709.6</v>
      </c>
      <c r="W936" s="1">
        <v>709.6</v>
      </c>
      <c r="X936" s="1" t="s">
        <v>35</v>
      </c>
      <c r="Y936" s="1">
        <v>709600.0</v>
      </c>
      <c r="Z936" s="1"/>
      <c r="AA936" s="1">
        <v>709600</v>
      </c>
      <c r="AB936" s="1"/>
      <c r="AC936" s="1" t="s">
        <v>36</v>
      </c>
      <c r="AD936" s="1" t="s">
        <v>3661</v>
      </c>
      <c r="AE936" s="1" t="s">
        <v>32</v>
      </c>
      <c r="AF936" s="1" t="s">
        <v>33</v>
      </c>
      <c r="AG936" s="1" t="s">
        <v>137</v>
      </c>
    </row>
    <row r="937" spans="1:33">
      <c r="A937" t="s">
        <v>3662</v>
      </c>
      <c r="C937" t="s">
        <v>3663</v>
      </c>
      <c r="E937" t="s">
        <v>2984</v>
      </c>
      <c r="F937" t="s">
        <v>2985</v>
      </c>
      <c r="G937">
        <v>3.8</v>
      </c>
      <c r="H937">
        <v>3.8</v>
      </c>
      <c r="I937" t="s">
        <v>269</v>
      </c>
      <c r="J937" t="s">
        <v>270</v>
      </c>
      <c r="K937" t="s">
        <v>31</v>
      </c>
      <c r="L937" t="s">
        <v>32</v>
      </c>
      <c r="M937" t="s">
        <v>33</v>
      </c>
      <c r="P937" s="1" t="s">
        <v>3664</v>
      </c>
      <c r="Q937" s="1" t="s">
        <v>2984</v>
      </c>
      <c r="R937" s="1" t="s">
        <v>2984</v>
      </c>
      <c r="S937" s="1"/>
      <c r="T937" s="1" t="s">
        <v>3663</v>
      </c>
      <c r="U937" s="1"/>
      <c r="V937" s="1">
        <v>3.8</v>
      </c>
      <c r="W937" s="1">
        <v>3.8</v>
      </c>
      <c r="X937" s="1" t="s">
        <v>35</v>
      </c>
      <c r="Y937" s="1">
        <v>3800000.0</v>
      </c>
      <c r="Z937" s="1"/>
      <c r="AA937" s="1">
        <v>3800000</v>
      </c>
      <c r="AB937" s="1"/>
      <c r="AC937" s="1" t="s">
        <v>36</v>
      </c>
      <c r="AD937" s="1" t="s">
        <v>3665</v>
      </c>
      <c r="AE937" s="1" t="s">
        <v>32</v>
      </c>
      <c r="AF937" s="1" t="s">
        <v>33</v>
      </c>
      <c r="AG937" s="1" t="s">
        <v>270</v>
      </c>
    </row>
    <row r="938" spans="1:33">
      <c r="A938" t="s">
        <v>3666</v>
      </c>
      <c r="C938" t="s">
        <v>1732</v>
      </c>
      <c r="E938" t="s">
        <v>2984</v>
      </c>
      <c r="F938" t="s">
        <v>2985</v>
      </c>
      <c r="G938">
        <v>336.0</v>
      </c>
      <c r="H938">
        <v>336.0</v>
      </c>
      <c r="I938" t="s">
        <v>48</v>
      </c>
      <c r="J938" t="s">
        <v>49</v>
      </c>
      <c r="K938" t="s">
        <v>31</v>
      </c>
      <c r="L938" t="s">
        <v>32</v>
      </c>
      <c r="M938" t="s">
        <v>33</v>
      </c>
      <c r="P938" s="1" t="s">
        <v>3667</v>
      </c>
      <c r="Q938" s="1" t="s">
        <v>2984</v>
      </c>
      <c r="R938" s="1" t="s">
        <v>2984</v>
      </c>
      <c r="S938" s="1"/>
      <c r="T938" s="1" t="s">
        <v>1732</v>
      </c>
      <c r="U938" s="1"/>
      <c r="V938" s="1">
        <v>336.0</v>
      </c>
      <c r="W938" s="1">
        <v>336.0</v>
      </c>
      <c r="X938" s="1" t="s">
        <v>35</v>
      </c>
      <c r="Y938" s="1">
        <v>336000.0</v>
      </c>
      <c r="Z938" s="1"/>
      <c r="AA938" s="1">
        <v>336000</v>
      </c>
      <c r="AB938" s="1"/>
      <c r="AC938" s="1" t="s">
        <v>36</v>
      </c>
      <c r="AD938" s="1" t="s">
        <v>3668</v>
      </c>
      <c r="AE938" s="1" t="s">
        <v>32</v>
      </c>
      <c r="AF938" s="1" t="s">
        <v>33</v>
      </c>
      <c r="AG938" s="1" t="s">
        <v>49</v>
      </c>
    </row>
    <row r="939" spans="1:33">
      <c r="A939" t="s">
        <v>3669</v>
      </c>
      <c r="B939" t="s">
        <v>3670</v>
      </c>
      <c r="C939" t="s">
        <v>125</v>
      </c>
      <c r="E939" t="s">
        <v>2984</v>
      </c>
      <c r="F939" t="s">
        <v>2985</v>
      </c>
      <c r="G939">
        <v>41.98</v>
      </c>
      <c r="H939">
        <v>41.98</v>
      </c>
      <c r="I939" t="s">
        <v>126</v>
      </c>
      <c r="J939" t="s">
        <v>127</v>
      </c>
      <c r="K939" t="s">
        <v>31</v>
      </c>
      <c r="L939" t="s">
        <v>32</v>
      </c>
      <c r="M939" t="s">
        <v>33</v>
      </c>
      <c r="P939" s="1" t="s">
        <v>3671</v>
      </c>
      <c r="Q939" s="1" t="s">
        <v>2984</v>
      </c>
      <c r="R939" s="1" t="s">
        <v>2984</v>
      </c>
      <c r="S939" s="1"/>
      <c r="T939" s="1" t="s">
        <v>125</v>
      </c>
      <c r="U939" s="1"/>
      <c r="V939" s="1">
        <v>41.98</v>
      </c>
      <c r="W939" s="1">
        <v>41.98</v>
      </c>
      <c r="X939" s="1" t="s">
        <v>35</v>
      </c>
      <c r="Y939" s="1">
        <v>41980.0</v>
      </c>
      <c r="Z939" s="1"/>
      <c r="AA939" s="1">
        <v>41980</v>
      </c>
      <c r="AB939" s="1"/>
      <c r="AC939" s="1" t="s">
        <v>36</v>
      </c>
      <c r="AD939" s="1" t="s">
        <v>3672</v>
      </c>
      <c r="AE939" s="1" t="s">
        <v>32</v>
      </c>
      <c r="AF939" s="1" t="s">
        <v>33</v>
      </c>
      <c r="AG939" s="1" t="s">
        <v>127</v>
      </c>
    </row>
    <row r="940" spans="1:33">
      <c r="A940" t="s">
        <v>3673</v>
      </c>
      <c r="B940" t="s">
        <v>3674</v>
      </c>
      <c r="C940" t="s">
        <v>47</v>
      </c>
      <c r="E940" t="s">
        <v>2984</v>
      </c>
      <c r="F940" t="s">
        <v>2985</v>
      </c>
      <c r="G940">
        <v>251.88</v>
      </c>
      <c r="H940">
        <v>251.88</v>
      </c>
      <c r="I940" t="s">
        <v>48</v>
      </c>
      <c r="J940" t="s">
        <v>49</v>
      </c>
      <c r="K940" t="s">
        <v>31</v>
      </c>
      <c r="L940" t="s">
        <v>32</v>
      </c>
      <c r="M940" t="s">
        <v>33</v>
      </c>
      <c r="P940" s="1" t="s">
        <v>3675</v>
      </c>
      <c r="Q940" s="1" t="s">
        <v>2984</v>
      </c>
      <c r="R940" s="1" t="s">
        <v>2984</v>
      </c>
      <c r="S940" s="1"/>
      <c r="T940" s="1" t="s">
        <v>47</v>
      </c>
      <c r="U940" s="1"/>
      <c r="V940" s="1">
        <v>251.88</v>
      </c>
      <c r="W940" s="1">
        <v>251.88</v>
      </c>
      <c r="X940" s="1" t="s">
        <v>35</v>
      </c>
      <c r="Y940" s="1">
        <v>251880.0</v>
      </c>
      <c r="Z940" s="1"/>
      <c r="AA940" s="1">
        <v>251880</v>
      </c>
      <c r="AB940" s="1"/>
      <c r="AC940" s="1" t="s">
        <v>36</v>
      </c>
      <c r="AD940" s="1" t="s">
        <v>3676</v>
      </c>
      <c r="AE940" s="1" t="s">
        <v>32</v>
      </c>
      <c r="AF940" s="1" t="s">
        <v>33</v>
      </c>
      <c r="AG940" s="1" t="s">
        <v>49</v>
      </c>
    </row>
    <row r="941" spans="1:33">
      <c r="A941" t="s">
        <v>3677</v>
      </c>
      <c r="C941" t="s">
        <v>3678</v>
      </c>
      <c r="E941" t="s">
        <v>2984</v>
      </c>
      <c r="F941" t="s">
        <v>2985</v>
      </c>
      <c r="G941">
        <v>950.8</v>
      </c>
      <c r="H941">
        <v>950.8</v>
      </c>
      <c r="I941" t="s">
        <v>227</v>
      </c>
      <c r="J941" t="s">
        <v>228</v>
      </c>
      <c r="K941" t="s">
        <v>31</v>
      </c>
      <c r="L941" t="s">
        <v>32</v>
      </c>
      <c r="M941" t="s">
        <v>33</v>
      </c>
      <c r="P941" s="1" t="s">
        <v>3679</v>
      </c>
      <c r="Q941" s="1" t="s">
        <v>2984</v>
      </c>
      <c r="R941" s="1" t="s">
        <v>2984</v>
      </c>
      <c r="S941" s="1"/>
      <c r="T941" s="1" t="s">
        <v>3678</v>
      </c>
      <c r="U941" s="1"/>
      <c r="V941" s="1">
        <v>950.8</v>
      </c>
      <c r="W941" s="1">
        <v>950.8</v>
      </c>
      <c r="X941" s="1" t="s">
        <v>35</v>
      </c>
      <c r="Y941" s="1">
        <v>950800.0</v>
      </c>
      <c r="Z941" s="1"/>
      <c r="AA941" s="1">
        <v>950800</v>
      </c>
      <c r="AB941" s="1"/>
      <c r="AC941" s="1" t="s">
        <v>36</v>
      </c>
      <c r="AD941" s="1" t="s">
        <v>3680</v>
      </c>
      <c r="AE941" s="1" t="s">
        <v>32</v>
      </c>
      <c r="AF941" s="1" t="s">
        <v>33</v>
      </c>
      <c r="AG941" s="1" t="s">
        <v>228</v>
      </c>
    </row>
    <row r="942" spans="1:33">
      <c r="A942" t="s">
        <v>3681</v>
      </c>
      <c r="B942" t="s">
        <v>3682</v>
      </c>
      <c r="C942" t="s">
        <v>125</v>
      </c>
      <c r="E942" t="s">
        <v>2984</v>
      </c>
      <c r="F942" t="s">
        <v>2985</v>
      </c>
      <c r="G942">
        <v>62.97</v>
      </c>
      <c r="H942">
        <v>62.97</v>
      </c>
      <c r="I942" t="s">
        <v>126</v>
      </c>
      <c r="J942" t="s">
        <v>127</v>
      </c>
      <c r="K942" t="s">
        <v>31</v>
      </c>
      <c r="L942" t="s">
        <v>32</v>
      </c>
      <c r="M942" t="s">
        <v>33</v>
      </c>
      <c r="P942" s="1" t="s">
        <v>3683</v>
      </c>
      <c r="Q942" s="1" t="s">
        <v>2984</v>
      </c>
      <c r="R942" s="1" t="s">
        <v>2984</v>
      </c>
      <c r="S942" s="1"/>
      <c r="T942" s="1" t="s">
        <v>125</v>
      </c>
      <c r="U942" s="1"/>
      <c r="V942" s="1">
        <v>62.97</v>
      </c>
      <c r="W942" s="1">
        <v>62.97</v>
      </c>
      <c r="X942" s="1" t="s">
        <v>35</v>
      </c>
      <c r="Y942" s="1">
        <v>62970.0</v>
      </c>
      <c r="Z942" s="1"/>
      <c r="AA942" s="1">
        <v>62970</v>
      </c>
      <c r="AB942" s="1"/>
      <c r="AC942" s="1" t="s">
        <v>36</v>
      </c>
      <c r="AD942" s="1" t="s">
        <v>3684</v>
      </c>
      <c r="AE942" s="1" t="s">
        <v>32</v>
      </c>
      <c r="AF942" s="1" t="s">
        <v>33</v>
      </c>
      <c r="AG942" s="1" t="s">
        <v>127</v>
      </c>
    </row>
    <row r="943" spans="1:33">
      <c r="A943" t="s">
        <v>3685</v>
      </c>
      <c r="C943" t="s">
        <v>2747</v>
      </c>
      <c r="E943" t="s">
        <v>2984</v>
      </c>
      <c r="F943" t="s">
        <v>2985</v>
      </c>
      <c r="G943">
        <v>1.193</v>
      </c>
      <c r="H943">
        <v>1.193</v>
      </c>
      <c r="I943" t="s">
        <v>269</v>
      </c>
      <c r="J943" t="s">
        <v>270</v>
      </c>
      <c r="K943" t="s">
        <v>31</v>
      </c>
      <c r="L943" t="s">
        <v>32</v>
      </c>
      <c r="M943" t="s">
        <v>33</v>
      </c>
      <c r="P943" s="1" t="s">
        <v>3686</v>
      </c>
      <c r="Q943" s="1" t="s">
        <v>2984</v>
      </c>
      <c r="R943" s="1" t="s">
        <v>2984</v>
      </c>
      <c r="S943" s="1"/>
      <c r="T943" s="1" t="s">
        <v>2747</v>
      </c>
      <c r="U943" s="1"/>
      <c r="V943" s="1">
        <v>1.193</v>
      </c>
      <c r="W943" s="1">
        <v>1.193</v>
      </c>
      <c r="X943" s="1" t="s">
        <v>35</v>
      </c>
      <c r="Y943" s="1">
        <v>1193300.0</v>
      </c>
      <c r="Z943" s="1"/>
      <c r="AA943" s="1">
        <v>1193300</v>
      </c>
      <c r="AB943" s="1"/>
      <c r="AC943" s="1" t="s">
        <v>36</v>
      </c>
      <c r="AD943" s="1" t="s">
        <v>3687</v>
      </c>
      <c r="AE943" s="1" t="s">
        <v>32</v>
      </c>
      <c r="AF943" s="1" t="s">
        <v>33</v>
      </c>
      <c r="AG943" s="1" t="s">
        <v>270</v>
      </c>
    </row>
    <row r="944" spans="1:33">
      <c r="A944" t="s">
        <v>3688</v>
      </c>
      <c r="C944" t="s">
        <v>3689</v>
      </c>
      <c r="E944" t="s">
        <v>2984</v>
      </c>
      <c r="F944" t="s">
        <v>2985</v>
      </c>
      <c r="G944">
        <v>369.0</v>
      </c>
      <c r="H944">
        <v>369.0</v>
      </c>
      <c r="I944" t="s">
        <v>179</v>
      </c>
      <c r="J944" t="s">
        <v>180</v>
      </c>
      <c r="K944" t="s">
        <v>31</v>
      </c>
      <c r="L944" t="s">
        <v>32</v>
      </c>
      <c r="M944" t="s">
        <v>33</v>
      </c>
      <c r="P944" s="1" t="s">
        <v>3690</v>
      </c>
      <c r="Q944" s="1" t="s">
        <v>2984</v>
      </c>
      <c r="R944" s="1" t="s">
        <v>2984</v>
      </c>
      <c r="S944" s="1"/>
      <c r="T944" s="1" t="s">
        <v>3689</v>
      </c>
      <c r="U944" s="1"/>
      <c r="V944" s="1">
        <v>369.0</v>
      </c>
      <c r="W944" s="1">
        <v>369.0</v>
      </c>
      <c r="X944" s="1" t="s">
        <v>35</v>
      </c>
      <c r="Y944" s="1">
        <v>369000.0</v>
      </c>
      <c r="Z944" s="1"/>
      <c r="AA944" s="1">
        <v>369000</v>
      </c>
      <c r="AB944" s="1"/>
      <c r="AC944" s="1" t="s">
        <v>36</v>
      </c>
      <c r="AD944" s="1" t="s">
        <v>3691</v>
      </c>
      <c r="AE944" s="1" t="s">
        <v>32</v>
      </c>
      <c r="AF944" s="1" t="s">
        <v>33</v>
      </c>
      <c r="AG944" s="1" t="s">
        <v>180</v>
      </c>
    </row>
    <row r="945" spans="1:33">
      <c r="A945" t="s">
        <v>3692</v>
      </c>
      <c r="B945" t="s">
        <v>57</v>
      </c>
      <c r="C945" t="s">
        <v>58</v>
      </c>
      <c r="E945" t="s">
        <v>2984</v>
      </c>
      <c r="F945" t="s">
        <v>2985</v>
      </c>
      <c r="G945">
        <v>982.5</v>
      </c>
      <c r="H945">
        <v>982.5</v>
      </c>
      <c r="I945" t="s">
        <v>59</v>
      </c>
      <c r="J945" t="s">
        <v>60</v>
      </c>
      <c r="K945" t="s">
        <v>31</v>
      </c>
      <c r="L945" t="s">
        <v>32</v>
      </c>
      <c r="M945" t="s">
        <v>33</v>
      </c>
      <c r="P945" s="1" t="s">
        <v>3693</v>
      </c>
      <c r="Q945" s="1" t="s">
        <v>2984</v>
      </c>
      <c r="R945" s="1" t="s">
        <v>2984</v>
      </c>
      <c r="S945" s="1"/>
      <c r="T945" s="1" t="s">
        <v>58</v>
      </c>
      <c r="U945" s="1"/>
      <c r="V945" s="1">
        <v>982.5</v>
      </c>
      <c r="W945" s="1">
        <v>982.5</v>
      </c>
      <c r="X945" s="1" t="s">
        <v>35</v>
      </c>
      <c r="Y945" s="1">
        <v>982500.0</v>
      </c>
      <c r="Z945" s="1"/>
      <c r="AA945" s="1">
        <v>982500</v>
      </c>
      <c r="AB945" s="1"/>
      <c r="AC945" s="1" t="s">
        <v>36</v>
      </c>
      <c r="AD945" s="1" t="s">
        <v>3694</v>
      </c>
      <c r="AE945" s="1" t="s">
        <v>32</v>
      </c>
      <c r="AF945" s="1" t="s">
        <v>33</v>
      </c>
      <c r="AG945" s="1" t="s">
        <v>60</v>
      </c>
    </row>
    <row r="946" spans="1:33">
      <c r="A946" t="s">
        <v>3695</v>
      </c>
      <c r="C946" t="s">
        <v>3696</v>
      </c>
      <c r="D946" t="s">
        <v>114</v>
      </c>
      <c r="E946" t="s">
        <v>2984</v>
      </c>
      <c r="F946" t="s">
        <v>2985</v>
      </c>
      <c r="G946">
        <v>11.951</v>
      </c>
      <c r="H946">
        <v>11.951</v>
      </c>
      <c r="I946" t="s">
        <v>40</v>
      </c>
      <c r="J946" t="s">
        <v>41</v>
      </c>
      <c r="K946" t="s">
        <v>31</v>
      </c>
      <c r="L946" t="s">
        <v>32</v>
      </c>
      <c r="M946" t="s">
        <v>33</v>
      </c>
      <c r="P946" s="1" t="s">
        <v>3697</v>
      </c>
      <c r="Q946" s="1" t="s">
        <v>2984</v>
      </c>
      <c r="R946" s="1" t="s">
        <v>2292</v>
      </c>
      <c r="S946" s="1"/>
      <c r="T946" s="1" t="s">
        <v>3696</v>
      </c>
      <c r="U946" s="1"/>
      <c r="V946" s="1">
        <v>11.951</v>
      </c>
      <c r="W946" s="1">
        <v>11.951</v>
      </c>
      <c r="X946" s="1" t="s">
        <v>35</v>
      </c>
      <c r="Y946" s="1">
        <v>11951.0</v>
      </c>
      <c r="Z946" s="1"/>
      <c r="AA946" s="1">
        <v>11951</v>
      </c>
      <c r="AB946" s="1"/>
      <c r="AC946" s="1" t="s">
        <v>36</v>
      </c>
      <c r="AD946" s="1" t="s">
        <v>3698</v>
      </c>
      <c r="AE946" s="1" t="s">
        <v>32</v>
      </c>
      <c r="AF946" s="1" t="s">
        <v>33</v>
      </c>
      <c r="AG946" s="1" t="s">
        <v>41</v>
      </c>
    </row>
    <row r="947" spans="1:33">
      <c r="A947" t="s">
        <v>3699</v>
      </c>
      <c r="B947" t="s">
        <v>2168</v>
      </c>
      <c r="C947" t="s">
        <v>314</v>
      </c>
      <c r="E947" t="s">
        <v>2984</v>
      </c>
      <c r="F947" t="s">
        <v>2985</v>
      </c>
      <c r="G947">
        <v>52.32</v>
      </c>
      <c r="H947">
        <v>52.32</v>
      </c>
      <c r="I947" t="s">
        <v>179</v>
      </c>
      <c r="J947" t="s">
        <v>180</v>
      </c>
      <c r="K947" t="s">
        <v>31</v>
      </c>
      <c r="L947" t="s">
        <v>32</v>
      </c>
      <c r="M947" t="s">
        <v>33</v>
      </c>
      <c r="P947" s="1" t="s">
        <v>3700</v>
      </c>
      <c r="Q947" s="1" t="s">
        <v>2984</v>
      </c>
      <c r="R947" s="1" t="s">
        <v>2984</v>
      </c>
      <c r="S947" s="1"/>
      <c r="T947" s="1" t="s">
        <v>314</v>
      </c>
      <c r="U947" s="1"/>
      <c r="V947" s="1">
        <v>52.32</v>
      </c>
      <c r="W947" s="1">
        <v>52.32</v>
      </c>
      <c r="X947" s="1" t="s">
        <v>35</v>
      </c>
      <c r="Y947" s="1">
        <v>52320.0</v>
      </c>
      <c r="Z947" s="1"/>
      <c r="AA947" s="1">
        <v>52320</v>
      </c>
      <c r="AB947" s="1"/>
      <c r="AC947" s="1" t="s">
        <v>36</v>
      </c>
      <c r="AD947" s="1" t="s">
        <v>3701</v>
      </c>
      <c r="AE947" s="1" t="s">
        <v>32</v>
      </c>
      <c r="AF947" s="1" t="s">
        <v>33</v>
      </c>
      <c r="AG947" s="1" t="s">
        <v>180</v>
      </c>
    </row>
    <row r="948" spans="1:33">
      <c r="A948" t="s">
        <v>3702</v>
      </c>
      <c r="C948" t="s">
        <v>617</v>
      </c>
      <c r="E948" t="s">
        <v>2984</v>
      </c>
      <c r="F948" t="s">
        <v>2985</v>
      </c>
      <c r="G948">
        <v>320.0</v>
      </c>
      <c r="H948">
        <v>320.0</v>
      </c>
      <c r="I948" t="s">
        <v>40</v>
      </c>
      <c r="J948" t="s">
        <v>41</v>
      </c>
      <c r="K948" t="s">
        <v>31</v>
      </c>
      <c r="L948" t="s">
        <v>32</v>
      </c>
      <c r="M948" t="s">
        <v>33</v>
      </c>
      <c r="P948" s="1" t="s">
        <v>3703</v>
      </c>
      <c r="Q948" s="1" t="s">
        <v>2984</v>
      </c>
      <c r="R948" s="1" t="s">
        <v>2292</v>
      </c>
      <c r="S948" s="1"/>
      <c r="T948" s="1" t="s">
        <v>619</v>
      </c>
      <c r="U948" s="1" t="s">
        <v>620</v>
      </c>
      <c r="V948" s="1">
        <v>320.0</v>
      </c>
      <c r="W948" s="1">
        <v>320.0</v>
      </c>
      <c r="X948" s="1" t="s">
        <v>35</v>
      </c>
      <c r="Y948" s="1">
        <v>320000.0</v>
      </c>
      <c r="Z948" s="1"/>
      <c r="AA948" s="1">
        <v>320000</v>
      </c>
      <c r="AB948" s="1"/>
      <c r="AC948" s="1" t="s">
        <v>36</v>
      </c>
      <c r="AD948" s="1" t="s">
        <v>3704</v>
      </c>
      <c r="AE948" s="1" t="s">
        <v>32</v>
      </c>
      <c r="AF948" s="1" t="s">
        <v>33</v>
      </c>
      <c r="AG948" s="1" t="s">
        <v>41</v>
      </c>
    </row>
    <row r="949" spans="1:33">
      <c r="A949" t="s">
        <v>3705</v>
      </c>
      <c r="C949" t="s">
        <v>73</v>
      </c>
      <c r="E949" t="s">
        <v>2984</v>
      </c>
      <c r="F949" t="s">
        <v>2985</v>
      </c>
      <c r="G949">
        <v>3.0</v>
      </c>
      <c r="H949">
        <v>3.0</v>
      </c>
      <c r="I949" t="s">
        <v>40</v>
      </c>
      <c r="J949" t="s">
        <v>41</v>
      </c>
      <c r="K949" t="s">
        <v>31</v>
      </c>
      <c r="L949" t="s">
        <v>32</v>
      </c>
      <c r="M949" t="s">
        <v>33</v>
      </c>
      <c r="P949" s="1" t="s">
        <v>3706</v>
      </c>
      <c r="Q949" s="1" t="s">
        <v>2984</v>
      </c>
      <c r="R949" s="1" t="s">
        <v>2292</v>
      </c>
      <c r="S949" s="1"/>
      <c r="T949" s="1" t="s">
        <v>75</v>
      </c>
      <c r="U949" s="1" t="s">
        <v>76</v>
      </c>
      <c r="V949" s="1">
        <v>3.0</v>
      </c>
      <c r="W949" s="1">
        <v>3.0</v>
      </c>
      <c r="X949" s="1" t="s">
        <v>35</v>
      </c>
      <c r="Y949" s="1">
        <v>3000.0</v>
      </c>
      <c r="Z949" s="1"/>
      <c r="AA949" s="1">
        <v>3000</v>
      </c>
      <c r="AB949" s="1"/>
      <c r="AC949" s="1" t="s">
        <v>36</v>
      </c>
      <c r="AD949" s="1" t="s">
        <v>3707</v>
      </c>
      <c r="AE949" s="1" t="s">
        <v>32</v>
      </c>
      <c r="AF949" s="1" t="s">
        <v>33</v>
      </c>
      <c r="AG949" s="1" t="s">
        <v>41</v>
      </c>
    </row>
    <row r="950" spans="1:33">
      <c r="A950" t="s">
        <v>3708</v>
      </c>
      <c r="B950" t="s">
        <v>206</v>
      </c>
      <c r="C950" t="s">
        <v>207</v>
      </c>
      <c r="E950" t="s">
        <v>2984</v>
      </c>
      <c r="F950" t="s">
        <v>2985</v>
      </c>
      <c r="G950">
        <v>538.5</v>
      </c>
      <c r="H950">
        <v>538.5</v>
      </c>
      <c r="I950" t="s">
        <v>59</v>
      </c>
      <c r="J950" t="s">
        <v>60</v>
      </c>
      <c r="K950" t="s">
        <v>31</v>
      </c>
      <c r="L950" t="s">
        <v>32</v>
      </c>
      <c r="M950" t="s">
        <v>33</v>
      </c>
      <c r="P950" s="1" t="s">
        <v>3709</v>
      </c>
      <c r="Q950" s="1" t="s">
        <v>2984</v>
      </c>
      <c r="R950" s="1" t="s">
        <v>2984</v>
      </c>
      <c r="S950" s="1"/>
      <c r="T950" s="1" t="s">
        <v>207</v>
      </c>
      <c r="U950" s="1"/>
      <c r="V950" s="1">
        <v>538.5</v>
      </c>
      <c r="W950" s="1">
        <v>538.5</v>
      </c>
      <c r="X950" s="1" t="s">
        <v>35</v>
      </c>
      <c r="Y950" s="1">
        <v>538500.0</v>
      </c>
      <c r="Z950" s="1"/>
      <c r="AA950" s="1">
        <v>538500</v>
      </c>
      <c r="AB950" s="1"/>
      <c r="AC950" s="1" t="s">
        <v>36</v>
      </c>
      <c r="AD950" s="1" t="s">
        <v>3710</v>
      </c>
      <c r="AE950" s="1" t="s">
        <v>32</v>
      </c>
      <c r="AF950" s="1" t="s">
        <v>33</v>
      </c>
      <c r="AG950" s="1" t="s">
        <v>60</v>
      </c>
    </row>
    <row r="951" spans="1:33">
      <c r="A951" t="s">
        <v>3711</v>
      </c>
      <c r="C951" t="s">
        <v>3712</v>
      </c>
      <c r="E951" t="s">
        <v>2984</v>
      </c>
      <c r="F951" t="s">
        <v>2985</v>
      </c>
      <c r="G951">
        <v>320.0</v>
      </c>
      <c r="H951">
        <v>320.0</v>
      </c>
      <c r="I951" t="s">
        <v>40</v>
      </c>
      <c r="J951" t="s">
        <v>41</v>
      </c>
      <c r="K951" t="s">
        <v>31</v>
      </c>
      <c r="L951" t="s">
        <v>32</v>
      </c>
      <c r="M951" t="s">
        <v>33</v>
      </c>
      <c r="P951" s="1" t="s">
        <v>3713</v>
      </c>
      <c r="Q951" s="1" t="s">
        <v>2984</v>
      </c>
      <c r="R951" s="1" t="s">
        <v>2292</v>
      </c>
      <c r="S951" s="1"/>
      <c r="T951" s="1" t="s">
        <v>3712</v>
      </c>
      <c r="U951" s="1"/>
      <c r="V951" s="1">
        <v>320.0</v>
      </c>
      <c r="W951" s="1">
        <v>320.0</v>
      </c>
      <c r="X951" s="1" t="s">
        <v>35</v>
      </c>
      <c r="Y951" s="1">
        <v>320000.0</v>
      </c>
      <c r="Z951" s="1"/>
      <c r="AA951" s="1">
        <v>320000</v>
      </c>
      <c r="AB951" s="1"/>
      <c r="AC951" s="1" t="s">
        <v>36</v>
      </c>
      <c r="AD951" s="1" t="s">
        <v>3714</v>
      </c>
      <c r="AE951" s="1" t="s">
        <v>32</v>
      </c>
      <c r="AF951" s="1" t="s">
        <v>33</v>
      </c>
      <c r="AG951" s="1" t="s">
        <v>41</v>
      </c>
    </row>
    <row r="952" spans="1:33">
      <c r="A952" t="s">
        <v>3715</v>
      </c>
      <c r="B952" t="s">
        <v>3716</v>
      </c>
      <c r="C952" t="s">
        <v>314</v>
      </c>
      <c r="E952" t="s">
        <v>2984</v>
      </c>
      <c r="F952" t="s">
        <v>2985</v>
      </c>
      <c r="G952">
        <v>101.58</v>
      </c>
      <c r="H952">
        <v>101.58</v>
      </c>
      <c r="I952" t="s">
        <v>179</v>
      </c>
      <c r="J952" t="s">
        <v>180</v>
      </c>
      <c r="K952" t="s">
        <v>31</v>
      </c>
      <c r="L952" t="s">
        <v>32</v>
      </c>
      <c r="M952" t="s">
        <v>33</v>
      </c>
      <c r="P952" s="1" t="s">
        <v>3717</v>
      </c>
      <c r="Q952" s="1" t="s">
        <v>2984</v>
      </c>
      <c r="R952" s="1" t="s">
        <v>2984</v>
      </c>
      <c r="S952" s="1"/>
      <c r="T952" s="1" t="s">
        <v>314</v>
      </c>
      <c r="U952" s="1"/>
      <c r="V952" s="1">
        <v>101.58</v>
      </c>
      <c r="W952" s="1">
        <v>101.58</v>
      </c>
      <c r="X952" s="1" t="s">
        <v>35</v>
      </c>
      <c r="Y952" s="1">
        <v>101580.0</v>
      </c>
      <c r="Z952" s="1"/>
      <c r="AA952" s="1">
        <v>101580</v>
      </c>
      <c r="AB952" s="1"/>
      <c r="AC952" s="1" t="s">
        <v>36</v>
      </c>
      <c r="AD952" s="1" t="s">
        <v>3718</v>
      </c>
      <c r="AE952" s="1" t="s">
        <v>32</v>
      </c>
      <c r="AF952" s="1" t="s">
        <v>33</v>
      </c>
      <c r="AG952" s="1" t="s">
        <v>180</v>
      </c>
    </row>
    <row r="953" spans="1:33">
      <c r="A953" t="s">
        <v>3719</v>
      </c>
      <c r="C953" t="s">
        <v>300</v>
      </c>
      <c r="E953" t="s">
        <v>2984</v>
      </c>
      <c r="F953" t="s">
        <v>2985</v>
      </c>
      <c r="G953">
        <v>1.51</v>
      </c>
      <c r="H953">
        <v>1.51</v>
      </c>
      <c r="I953" t="s">
        <v>94</v>
      </c>
      <c r="J953" t="s">
        <v>95</v>
      </c>
      <c r="K953" t="s">
        <v>31</v>
      </c>
      <c r="L953" t="s">
        <v>32</v>
      </c>
      <c r="M953" t="s">
        <v>33</v>
      </c>
      <c r="P953" s="1" t="s">
        <v>3720</v>
      </c>
      <c r="Q953" s="1" t="s">
        <v>2984</v>
      </c>
      <c r="R953" s="1" t="s">
        <v>2984</v>
      </c>
      <c r="S953" s="1"/>
      <c r="T953" s="1" t="s">
        <v>302</v>
      </c>
      <c r="U953" s="1" t="s">
        <v>303</v>
      </c>
      <c r="V953" s="1">
        <v>1.51</v>
      </c>
      <c r="W953" s="1">
        <v>1.51</v>
      </c>
      <c r="X953" s="1" t="s">
        <v>35</v>
      </c>
      <c r="Y953" s="1">
        <v>1510000.0</v>
      </c>
      <c r="Z953" s="1"/>
      <c r="AA953" s="1">
        <v>1510000</v>
      </c>
      <c r="AB953" s="1"/>
      <c r="AC953" s="1" t="s">
        <v>36</v>
      </c>
      <c r="AD953" s="1" t="s">
        <v>3721</v>
      </c>
      <c r="AE953" s="1" t="s">
        <v>32</v>
      </c>
      <c r="AF953" s="1" t="s">
        <v>33</v>
      </c>
      <c r="AG953" s="1" t="s">
        <v>95</v>
      </c>
    </row>
    <row r="954" spans="1:33">
      <c r="A954" t="s">
        <v>3722</v>
      </c>
      <c r="C954" t="s">
        <v>747</v>
      </c>
      <c r="E954" t="s">
        <v>2984</v>
      </c>
      <c r="F954" t="s">
        <v>2985</v>
      </c>
      <c r="G954">
        <v>984.0</v>
      </c>
      <c r="H954">
        <v>984.0</v>
      </c>
      <c r="I954" t="s">
        <v>136</v>
      </c>
      <c r="J954" t="s">
        <v>137</v>
      </c>
      <c r="K954" t="s">
        <v>31</v>
      </c>
      <c r="L954" t="s">
        <v>32</v>
      </c>
      <c r="M954" t="s">
        <v>33</v>
      </c>
      <c r="P954" s="1" t="s">
        <v>3723</v>
      </c>
      <c r="Q954" s="1" t="s">
        <v>2984</v>
      </c>
      <c r="R954" s="1" t="s">
        <v>2984</v>
      </c>
      <c r="S954" s="1"/>
      <c r="T954" s="1" t="s">
        <v>747</v>
      </c>
      <c r="U954" s="1"/>
      <c r="V954" s="1">
        <v>984.0</v>
      </c>
      <c r="W954" s="1">
        <v>984.0</v>
      </c>
      <c r="X954" s="1" t="s">
        <v>35</v>
      </c>
      <c r="Y954" s="1">
        <v>984000.0</v>
      </c>
      <c r="Z954" s="1"/>
      <c r="AA954" s="1">
        <v>984000</v>
      </c>
      <c r="AB954" s="1"/>
      <c r="AC954" s="1" t="s">
        <v>36</v>
      </c>
      <c r="AD954" s="1" t="s">
        <v>3724</v>
      </c>
      <c r="AE954" s="1" t="s">
        <v>32</v>
      </c>
      <c r="AF954" s="1" t="s">
        <v>33</v>
      </c>
      <c r="AG954" s="1" t="s">
        <v>137</v>
      </c>
    </row>
    <row r="955" spans="1:33">
      <c r="A955" t="s">
        <v>3725</v>
      </c>
      <c r="C955" t="s">
        <v>2336</v>
      </c>
      <c r="E955" t="s">
        <v>2984</v>
      </c>
      <c r="F955" t="s">
        <v>2985</v>
      </c>
      <c r="G955">
        <v>352.0</v>
      </c>
      <c r="H955">
        <v>352.0</v>
      </c>
      <c r="I955" t="s">
        <v>179</v>
      </c>
      <c r="J955" t="s">
        <v>180</v>
      </c>
      <c r="K955" t="s">
        <v>31</v>
      </c>
      <c r="L955" t="s">
        <v>32</v>
      </c>
      <c r="M955" t="s">
        <v>33</v>
      </c>
      <c r="P955" s="1" t="s">
        <v>3726</v>
      </c>
      <c r="Q955" s="1" t="s">
        <v>2984</v>
      </c>
      <c r="R955" s="1" t="s">
        <v>2984</v>
      </c>
      <c r="S955" s="1"/>
      <c r="T955" s="1" t="s">
        <v>2336</v>
      </c>
      <c r="U955" s="1"/>
      <c r="V955" s="1">
        <v>352.0</v>
      </c>
      <c r="W955" s="1">
        <v>352.0</v>
      </c>
      <c r="X955" s="1" t="s">
        <v>35</v>
      </c>
      <c r="Y955" s="1">
        <v>352000.0</v>
      </c>
      <c r="Z955" s="1"/>
      <c r="AA955" s="1">
        <v>352000</v>
      </c>
      <c r="AB955" s="1"/>
      <c r="AC955" s="1" t="s">
        <v>36</v>
      </c>
      <c r="AD955" s="1" t="s">
        <v>3727</v>
      </c>
      <c r="AE955" s="1" t="s">
        <v>32</v>
      </c>
      <c r="AF955" s="1" t="s">
        <v>33</v>
      </c>
      <c r="AG955" s="1" t="s">
        <v>180</v>
      </c>
    </row>
    <row r="956" spans="1:33">
      <c r="A956" t="s">
        <v>3728</v>
      </c>
      <c r="C956" t="s">
        <v>3729</v>
      </c>
      <c r="D956" t="s">
        <v>154</v>
      </c>
      <c r="E956" t="s">
        <v>2984</v>
      </c>
      <c r="F956" t="s">
        <v>2985</v>
      </c>
      <c r="G956">
        <v>670.1</v>
      </c>
      <c r="H956">
        <v>670.1</v>
      </c>
      <c r="I956" t="s">
        <v>269</v>
      </c>
      <c r="J956" t="s">
        <v>270</v>
      </c>
      <c r="K956" t="s">
        <v>31</v>
      </c>
      <c r="L956" t="s">
        <v>32</v>
      </c>
      <c r="M956" t="s">
        <v>33</v>
      </c>
      <c r="P956" s="1" t="s">
        <v>3730</v>
      </c>
      <c r="Q956" s="1" t="s">
        <v>2984</v>
      </c>
      <c r="R956" s="1" t="s">
        <v>2984</v>
      </c>
      <c r="S956" s="1"/>
      <c r="T956" s="1" t="s">
        <v>3729</v>
      </c>
      <c r="U956" s="1"/>
      <c r="V956" s="1">
        <v>670.1</v>
      </c>
      <c r="W956" s="1">
        <v>670.1</v>
      </c>
      <c r="X956" s="1" t="s">
        <v>35</v>
      </c>
      <c r="Y956" s="1">
        <v>670100.0</v>
      </c>
      <c r="Z956" s="1"/>
      <c r="AA956" s="1">
        <v>670100</v>
      </c>
      <c r="AB956" s="1"/>
      <c r="AC956" s="1" t="s">
        <v>36</v>
      </c>
      <c r="AD956" s="1" t="s">
        <v>3731</v>
      </c>
      <c r="AE956" s="1" t="s">
        <v>32</v>
      </c>
      <c r="AF956" s="1" t="s">
        <v>33</v>
      </c>
      <c r="AG956" s="1" t="s">
        <v>270</v>
      </c>
    </row>
    <row r="957" spans="1:33">
      <c r="A957" t="s">
        <v>3732</v>
      </c>
      <c r="B957" t="s">
        <v>3733</v>
      </c>
      <c r="C957" t="s">
        <v>135</v>
      </c>
      <c r="E957" t="s">
        <v>2984</v>
      </c>
      <c r="F957" t="s">
        <v>2985</v>
      </c>
      <c r="G957">
        <v>90.0</v>
      </c>
      <c r="H957">
        <v>90.0</v>
      </c>
      <c r="I957" t="s">
        <v>136</v>
      </c>
      <c r="J957" t="s">
        <v>137</v>
      </c>
      <c r="K957" t="s">
        <v>31</v>
      </c>
      <c r="L957" t="s">
        <v>32</v>
      </c>
      <c r="M957" t="s">
        <v>33</v>
      </c>
      <c r="P957" s="1" t="s">
        <v>3734</v>
      </c>
      <c r="Q957" s="1" t="s">
        <v>2984</v>
      </c>
      <c r="R957" s="1" t="s">
        <v>2984</v>
      </c>
      <c r="S957" s="1"/>
      <c r="T957" s="1" t="s">
        <v>135</v>
      </c>
      <c r="U957" s="1"/>
      <c r="V957" s="1">
        <v>90.0</v>
      </c>
      <c r="W957" s="1">
        <v>90.0</v>
      </c>
      <c r="X957" s="1" t="s">
        <v>35</v>
      </c>
      <c r="Y957" s="1">
        <v>90000.0</v>
      </c>
      <c r="Z957" s="1"/>
      <c r="AA957" s="1">
        <v>90000</v>
      </c>
      <c r="AB957" s="1"/>
      <c r="AC957" s="1" t="s">
        <v>36</v>
      </c>
      <c r="AD957" s="1" t="s">
        <v>3735</v>
      </c>
      <c r="AE957" s="1" t="s">
        <v>32</v>
      </c>
      <c r="AF957" s="1" t="s">
        <v>33</v>
      </c>
      <c r="AG957" s="1" t="s">
        <v>137</v>
      </c>
    </row>
    <row r="958" spans="1:33">
      <c r="A958" t="s">
        <v>3736</v>
      </c>
      <c r="B958" t="s">
        <v>3737</v>
      </c>
      <c r="C958" t="s">
        <v>3738</v>
      </c>
      <c r="E958" t="s">
        <v>2984</v>
      </c>
      <c r="F958" t="s">
        <v>2985</v>
      </c>
      <c r="G958">
        <v>450.0</v>
      </c>
      <c r="H958">
        <v>450.0</v>
      </c>
      <c r="I958" t="s">
        <v>59</v>
      </c>
      <c r="J958" t="s">
        <v>60</v>
      </c>
      <c r="K958" t="s">
        <v>31</v>
      </c>
      <c r="L958" t="s">
        <v>32</v>
      </c>
      <c r="M958" t="s">
        <v>33</v>
      </c>
      <c r="P958" s="1" t="s">
        <v>3739</v>
      </c>
      <c r="Q958" s="1" t="s">
        <v>2984</v>
      </c>
      <c r="R958" s="1" t="s">
        <v>2984</v>
      </c>
      <c r="S958" s="1"/>
      <c r="T958" s="1" t="s">
        <v>3740</v>
      </c>
      <c r="U958" s="1" t="s">
        <v>3741</v>
      </c>
      <c r="V958" s="1">
        <v>450.0</v>
      </c>
      <c r="W958" s="1">
        <v>450.0</v>
      </c>
      <c r="X958" s="1" t="s">
        <v>35</v>
      </c>
      <c r="Y958" s="1">
        <v>450000.0</v>
      </c>
      <c r="Z958" s="1"/>
      <c r="AA958" s="1">
        <v>450000</v>
      </c>
      <c r="AB958" s="1"/>
      <c r="AC958" s="1" t="s">
        <v>36</v>
      </c>
      <c r="AD958" s="1" t="s">
        <v>3742</v>
      </c>
      <c r="AE958" s="1" t="s">
        <v>32</v>
      </c>
      <c r="AF958" s="1" t="s">
        <v>33</v>
      </c>
      <c r="AG958" s="1" t="s">
        <v>60</v>
      </c>
    </row>
    <row r="959" spans="1:33">
      <c r="A959" t="s">
        <v>3743</v>
      </c>
      <c r="C959" t="s">
        <v>1151</v>
      </c>
      <c r="E959" t="s">
        <v>2984</v>
      </c>
      <c r="F959" t="s">
        <v>2985</v>
      </c>
      <c r="G959">
        <v>2.272</v>
      </c>
      <c r="H959">
        <v>2.272</v>
      </c>
      <c r="I959" t="s">
        <v>227</v>
      </c>
      <c r="J959" t="s">
        <v>228</v>
      </c>
      <c r="K959" t="s">
        <v>31</v>
      </c>
      <c r="L959" t="s">
        <v>32</v>
      </c>
      <c r="M959" t="s">
        <v>33</v>
      </c>
      <c r="P959" s="1" t="s">
        <v>3744</v>
      </c>
      <c r="Q959" s="1" t="s">
        <v>2984</v>
      </c>
      <c r="R959" s="1" t="s">
        <v>2984</v>
      </c>
      <c r="S959" s="1"/>
      <c r="T959" s="1" t="s">
        <v>1151</v>
      </c>
      <c r="U959" s="1"/>
      <c r="V959" s="1">
        <v>2.272</v>
      </c>
      <c r="W959" s="1">
        <v>2.272</v>
      </c>
      <c r="X959" s="1" t="s">
        <v>35</v>
      </c>
      <c r="Y959" s="1">
        <v>2272000.0</v>
      </c>
      <c r="Z959" s="1"/>
      <c r="AA959" s="1">
        <v>2272000</v>
      </c>
      <c r="AB959" s="1"/>
      <c r="AC959" s="1" t="s">
        <v>36</v>
      </c>
      <c r="AD959" s="1" t="s">
        <v>3745</v>
      </c>
      <c r="AE959" s="1" t="s">
        <v>32</v>
      </c>
      <c r="AF959" s="1" t="s">
        <v>33</v>
      </c>
      <c r="AG959" s="1" t="s">
        <v>228</v>
      </c>
    </row>
    <row r="960" spans="1:33">
      <c r="A960" t="s">
        <v>3746</v>
      </c>
      <c r="B960" t="s">
        <v>3747</v>
      </c>
      <c r="C960" t="s">
        <v>68</v>
      </c>
      <c r="E960" t="s">
        <v>2984</v>
      </c>
      <c r="F960" t="s">
        <v>2985</v>
      </c>
      <c r="G960">
        <v>146.94</v>
      </c>
      <c r="H960">
        <v>146.94</v>
      </c>
      <c r="I960" t="s">
        <v>59</v>
      </c>
      <c r="J960" t="s">
        <v>60</v>
      </c>
      <c r="K960" t="s">
        <v>31</v>
      </c>
      <c r="L960" t="s">
        <v>32</v>
      </c>
      <c r="M960" t="s">
        <v>33</v>
      </c>
      <c r="P960" s="1" t="s">
        <v>3748</v>
      </c>
      <c r="Q960" s="1" t="s">
        <v>2984</v>
      </c>
      <c r="R960" s="1" t="s">
        <v>2984</v>
      </c>
      <c r="S960" s="1"/>
      <c r="T960" s="1" t="s">
        <v>68</v>
      </c>
      <c r="U960" s="1"/>
      <c r="V960" s="1">
        <v>146.94</v>
      </c>
      <c r="W960" s="1">
        <v>146.94</v>
      </c>
      <c r="X960" s="1" t="s">
        <v>35</v>
      </c>
      <c r="Y960" s="1">
        <v>146940.0</v>
      </c>
      <c r="Z960" s="1"/>
      <c r="AA960" s="1">
        <v>146940</v>
      </c>
      <c r="AB960" s="1"/>
      <c r="AC960" s="1" t="s">
        <v>36</v>
      </c>
      <c r="AD960" s="1" t="s">
        <v>3749</v>
      </c>
      <c r="AE960" s="1" t="s">
        <v>32</v>
      </c>
      <c r="AF960" s="1" t="s">
        <v>33</v>
      </c>
      <c r="AG960" s="1" t="s">
        <v>60</v>
      </c>
    </row>
    <row r="961" spans="1:33">
      <c r="A961" t="s">
        <v>3750</v>
      </c>
      <c r="C961" t="s">
        <v>3751</v>
      </c>
      <c r="E961" t="s">
        <v>2984</v>
      </c>
      <c r="F961" t="s">
        <v>2985</v>
      </c>
      <c r="G961">
        <v>2.46</v>
      </c>
      <c r="H961">
        <v>2.46</v>
      </c>
      <c r="I961" t="s">
        <v>269</v>
      </c>
      <c r="J961" t="s">
        <v>270</v>
      </c>
      <c r="K961" t="s">
        <v>31</v>
      </c>
      <c r="L961" t="s">
        <v>32</v>
      </c>
      <c r="M961" t="s">
        <v>33</v>
      </c>
      <c r="P961" s="1" t="s">
        <v>3752</v>
      </c>
      <c r="Q961" s="1" t="s">
        <v>2984</v>
      </c>
      <c r="R961" s="1" t="s">
        <v>2984</v>
      </c>
      <c r="S961" s="1"/>
      <c r="T961" s="1" t="s">
        <v>3751</v>
      </c>
      <c r="U961" s="1"/>
      <c r="V961" s="1">
        <v>2.46</v>
      </c>
      <c r="W961" s="1">
        <v>2.46</v>
      </c>
      <c r="X961" s="1" t="s">
        <v>35</v>
      </c>
      <c r="Y961" s="1">
        <v>2460000.0</v>
      </c>
      <c r="Z961" s="1"/>
      <c r="AA961" s="1">
        <v>2460000</v>
      </c>
      <c r="AB961" s="1"/>
      <c r="AC961" s="1" t="s">
        <v>36</v>
      </c>
      <c r="AD961" s="1" t="s">
        <v>3753</v>
      </c>
      <c r="AE961" s="1" t="s">
        <v>32</v>
      </c>
      <c r="AF961" s="1" t="s">
        <v>33</v>
      </c>
      <c r="AG961" s="1" t="s">
        <v>270</v>
      </c>
    </row>
    <row r="962" spans="1:33">
      <c r="A962" t="s">
        <v>3754</v>
      </c>
      <c r="B962" t="s">
        <v>3755</v>
      </c>
      <c r="C962" t="s">
        <v>268</v>
      </c>
      <c r="E962" t="s">
        <v>2984</v>
      </c>
      <c r="F962" t="s">
        <v>2985</v>
      </c>
      <c r="G962">
        <v>49.75</v>
      </c>
      <c r="H962">
        <v>49.75</v>
      </c>
      <c r="I962" t="s">
        <v>269</v>
      </c>
      <c r="J962" t="s">
        <v>270</v>
      </c>
      <c r="K962" t="s">
        <v>31</v>
      </c>
      <c r="L962" t="s">
        <v>32</v>
      </c>
      <c r="M962" t="s">
        <v>33</v>
      </c>
      <c r="P962" s="1" t="s">
        <v>3756</v>
      </c>
      <c r="Q962" s="1" t="s">
        <v>2984</v>
      </c>
      <c r="R962" s="1" t="s">
        <v>2984</v>
      </c>
      <c r="S962" s="1"/>
      <c r="T962" s="1" t="s">
        <v>268</v>
      </c>
      <c r="U962" s="1"/>
      <c r="V962" s="1">
        <v>49.75</v>
      </c>
      <c r="W962" s="1">
        <v>49.75</v>
      </c>
      <c r="X962" s="1" t="s">
        <v>35</v>
      </c>
      <c r="Y962" s="1">
        <v>49750.0</v>
      </c>
      <c r="Z962" s="1"/>
      <c r="AA962" s="1">
        <v>49750</v>
      </c>
      <c r="AB962" s="1"/>
      <c r="AC962" s="1" t="s">
        <v>36</v>
      </c>
      <c r="AD962" s="1" t="s">
        <v>3731</v>
      </c>
      <c r="AE962" s="1" t="s">
        <v>32</v>
      </c>
      <c r="AF962" s="1" t="s">
        <v>33</v>
      </c>
      <c r="AG962" s="1" t="s">
        <v>270</v>
      </c>
    </row>
    <row r="963" spans="1:33">
      <c r="A963" t="s">
        <v>3757</v>
      </c>
      <c r="B963" t="s">
        <v>3758</v>
      </c>
      <c r="C963" t="s">
        <v>172</v>
      </c>
      <c r="E963" t="s">
        <v>2984</v>
      </c>
      <c r="F963" t="s">
        <v>2985</v>
      </c>
      <c r="G963">
        <v>40.985</v>
      </c>
      <c r="H963">
        <v>40.985</v>
      </c>
      <c r="I963" t="s">
        <v>173</v>
      </c>
      <c r="J963" t="s">
        <v>174</v>
      </c>
      <c r="K963" t="s">
        <v>31</v>
      </c>
      <c r="L963" t="s">
        <v>32</v>
      </c>
      <c r="M963" t="s">
        <v>33</v>
      </c>
      <c r="P963" s="1" t="s">
        <v>3759</v>
      </c>
      <c r="Q963" s="1" t="s">
        <v>2984</v>
      </c>
      <c r="R963" s="1" t="s">
        <v>2984</v>
      </c>
      <c r="S963" s="1"/>
      <c r="T963" s="1" t="s">
        <v>172</v>
      </c>
      <c r="U963" s="1"/>
      <c r="V963" s="1">
        <v>40.985</v>
      </c>
      <c r="W963" s="1">
        <v>40.985</v>
      </c>
      <c r="X963" s="1" t="s">
        <v>35</v>
      </c>
      <c r="Y963" s="1">
        <v>40985.0</v>
      </c>
      <c r="Z963" s="1"/>
      <c r="AA963" s="1">
        <v>40985</v>
      </c>
      <c r="AB963" s="1"/>
      <c r="AC963" s="1" t="s">
        <v>36</v>
      </c>
      <c r="AD963" s="1" t="s">
        <v>3760</v>
      </c>
      <c r="AE963" s="1" t="s">
        <v>32</v>
      </c>
      <c r="AF963" s="1" t="s">
        <v>33</v>
      </c>
      <c r="AG963" s="1" t="s">
        <v>174</v>
      </c>
    </row>
    <row r="964" spans="1:33">
      <c r="A964" t="s">
        <v>3761</v>
      </c>
      <c r="B964" t="s">
        <v>3762</v>
      </c>
      <c r="C964" t="s">
        <v>73</v>
      </c>
      <c r="E964" t="s">
        <v>2984</v>
      </c>
      <c r="F964" t="s">
        <v>2985</v>
      </c>
      <c r="G964">
        <v>31.99</v>
      </c>
      <c r="H964">
        <v>31.99</v>
      </c>
      <c r="I964" t="s">
        <v>40</v>
      </c>
      <c r="J964" t="s">
        <v>41</v>
      </c>
      <c r="K964" t="s">
        <v>31</v>
      </c>
      <c r="L964" t="s">
        <v>32</v>
      </c>
      <c r="M964" t="s">
        <v>33</v>
      </c>
      <c r="P964" s="1" t="s">
        <v>3763</v>
      </c>
      <c r="Q964" s="1" t="s">
        <v>2984</v>
      </c>
      <c r="R964" s="1" t="s">
        <v>2292</v>
      </c>
      <c r="S964" s="1"/>
      <c r="T964" s="1" t="s">
        <v>75</v>
      </c>
      <c r="U964" s="1" t="s">
        <v>76</v>
      </c>
      <c r="V964" s="1">
        <v>31.99</v>
      </c>
      <c r="W964" s="1">
        <v>31.99</v>
      </c>
      <c r="X964" s="1" t="s">
        <v>35</v>
      </c>
      <c r="Y964" s="1">
        <v>31990.0</v>
      </c>
      <c r="Z964" s="1"/>
      <c r="AA964" s="1">
        <v>31990</v>
      </c>
      <c r="AB964" s="1"/>
      <c r="AC964" s="1" t="s">
        <v>36</v>
      </c>
      <c r="AD964" s="1" t="s">
        <v>3672</v>
      </c>
      <c r="AE964" s="1" t="s">
        <v>32</v>
      </c>
      <c r="AF964" s="1" t="s">
        <v>33</v>
      </c>
      <c r="AG964" s="1" t="s">
        <v>41</v>
      </c>
    </row>
    <row r="965" spans="1:33">
      <c r="A965" t="s">
        <v>3764</v>
      </c>
      <c r="C965" t="s">
        <v>1957</v>
      </c>
      <c r="D965" t="s">
        <v>154</v>
      </c>
      <c r="E965" t="s">
        <v>2984</v>
      </c>
      <c r="F965" t="s">
        <v>2985</v>
      </c>
      <c r="G965">
        <v>597.0</v>
      </c>
      <c r="H965">
        <v>597.0</v>
      </c>
      <c r="I965" t="s">
        <v>227</v>
      </c>
      <c r="J965" t="s">
        <v>228</v>
      </c>
      <c r="K965" t="s">
        <v>31</v>
      </c>
      <c r="L965" t="s">
        <v>32</v>
      </c>
      <c r="M965" t="s">
        <v>33</v>
      </c>
      <c r="P965" s="1" t="s">
        <v>3765</v>
      </c>
      <c r="Q965" s="1" t="s">
        <v>2984</v>
      </c>
      <c r="R965" s="1" t="s">
        <v>2984</v>
      </c>
      <c r="S965" s="1"/>
      <c r="T965" s="1" t="s">
        <v>1957</v>
      </c>
      <c r="U965" s="1"/>
      <c r="V965" s="1">
        <v>597.0</v>
      </c>
      <c r="W965" s="1">
        <v>597.0</v>
      </c>
      <c r="X965" s="1" t="s">
        <v>35</v>
      </c>
      <c r="Y965" s="1">
        <v>597000.0</v>
      </c>
      <c r="Z965" s="1"/>
      <c r="AA965" s="1">
        <v>597000</v>
      </c>
      <c r="AB965" s="1"/>
      <c r="AC965" s="1" t="s">
        <v>36</v>
      </c>
      <c r="AD965" s="1" t="s">
        <v>3766</v>
      </c>
      <c r="AE965" s="1" t="s">
        <v>32</v>
      </c>
      <c r="AF965" s="1" t="s">
        <v>33</v>
      </c>
      <c r="AG965" s="1" t="s">
        <v>228</v>
      </c>
    </row>
    <row r="966" spans="1:33">
      <c r="A966" t="s">
        <v>3767</v>
      </c>
      <c r="C966" t="s">
        <v>2804</v>
      </c>
      <c r="E966" t="s">
        <v>2984</v>
      </c>
      <c r="F966" t="s">
        <v>2985</v>
      </c>
      <c r="G966">
        <v>508.0</v>
      </c>
      <c r="H966">
        <v>508.0</v>
      </c>
      <c r="I966" t="s">
        <v>136</v>
      </c>
      <c r="J966" t="s">
        <v>137</v>
      </c>
      <c r="K966" t="s">
        <v>31</v>
      </c>
      <c r="L966" t="s">
        <v>32</v>
      </c>
      <c r="M966" t="s">
        <v>33</v>
      </c>
      <c r="P966" s="1" t="s">
        <v>3768</v>
      </c>
      <c r="Q966" s="1" t="s">
        <v>2984</v>
      </c>
      <c r="R966" s="1" t="s">
        <v>2984</v>
      </c>
      <c r="S966" s="1"/>
      <c r="T966" s="1" t="s">
        <v>2804</v>
      </c>
      <c r="U966" s="1"/>
      <c r="V966" s="1">
        <v>508.0</v>
      </c>
      <c r="W966" s="1">
        <v>508.0</v>
      </c>
      <c r="X966" s="1" t="s">
        <v>35</v>
      </c>
      <c r="Y966" s="1">
        <v>508000.0</v>
      </c>
      <c r="Z966" s="1"/>
      <c r="AA966" s="1">
        <v>508000</v>
      </c>
      <c r="AB966" s="1"/>
      <c r="AC966" s="1" t="s">
        <v>36</v>
      </c>
      <c r="AD966" s="1" t="s">
        <v>3769</v>
      </c>
      <c r="AE966" s="1" t="s">
        <v>32</v>
      </c>
      <c r="AF966" s="1" t="s">
        <v>33</v>
      </c>
      <c r="AG966" s="1" t="s">
        <v>137</v>
      </c>
    </row>
    <row r="967" spans="1:33">
      <c r="A967" t="s">
        <v>3770</v>
      </c>
      <c r="C967" t="s">
        <v>1514</v>
      </c>
      <c r="E967" t="s">
        <v>2984</v>
      </c>
      <c r="F967" t="s">
        <v>2985</v>
      </c>
      <c r="G967">
        <v>344.0</v>
      </c>
      <c r="H967">
        <v>344.0</v>
      </c>
      <c r="I967" t="s">
        <v>2206</v>
      </c>
      <c r="J967" t="s">
        <v>49</v>
      </c>
      <c r="K967" t="s">
        <v>31</v>
      </c>
      <c r="L967" t="s">
        <v>32</v>
      </c>
      <c r="M967" t="s">
        <v>33</v>
      </c>
      <c r="P967" s="1" t="s">
        <v>3771</v>
      </c>
      <c r="Q967" s="1" t="s">
        <v>2984</v>
      </c>
      <c r="R967" s="1" t="s">
        <v>2984</v>
      </c>
      <c r="S967" s="1"/>
      <c r="T967" s="1" t="s">
        <v>1514</v>
      </c>
      <c r="U967" s="1"/>
      <c r="V967" s="1">
        <v>344.0</v>
      </c>
      <c r="W967" s="1">
        <v>344.0</v>
      </c>
      <c r="X967" s="1" t="s">
        <v>35</v>
      </c>
      <c r="Y967" s="1">
        <v>344000.0</v>
      </c>
      <c r="Z967" s="1"/>
      <c r="AA967" s="1">
        <v>344000</v>
      </c>
      <c r="AB967" s="1"/>
      <c r="AC967" s="1" t="s">
        <v>36</v>
      </c>
      <c r="AD967" s="1" t="s">
        <v>3769</v>
      </c>
      <c r="AE967" s="1" t="s">
        <v>32</v>
      </c>
      <c r="AF967" s="1" t="s">
        <v>33</v>
      </c>
      <c r="AG967" s="1" t="s">
        <v>49</v>
      </c>
    </row>
    <row r="968" spans="1:33">
      <c r="A968" t="s">
        <v>3772</v>
      </c>
      <c r="B968" t="s">
        <v>57</v>
      </c>
      <c r="C968" t="s">
        <v>58</v>
      </c>
      <c r="E968" t="s">
        <v>2984</v>
      </c>
      <c r="F968" t="s">
        <v>2985</v>
      </c>
      <c r="G968">
        <v>370.0</v>
      </c>
      <c r="H968">
        <v>370.0</v>
      </c>
      <c r="I968" t="s">
        <v>59</v>
      </c>
      <c r="J968" t="s">
        <v>60</v>
      </c>
      <c r="K968" t="s">
        <v>31</v>
      </c>
      <c r="L968" t="s">
        <v>32</v>
      </c>
      <c r="M968" t="s">
        <v>33</v>
      </c>
      <c r="P968" s="1" t="s">
        <v>3773</v>
      </c>
      <c r="Q968" s="1" t="s">
        <v>2984</v>
      </c>
      <c r="R968" s="1" t="s">
        <v>2984</v>
      </c>
      <c r="S968" s="1"/>
      <c r="T968" s="1" t="s">
        <v>58</v>
      </c>
      <c r="U968" s="1"/>
      <c r="V968" s="1">
        <v>370.0</v>
      </c>
      <c r="W968" s="1">
        <v>370.0</v>
      </c>
      <c r="X968" s="1" t="s">
        <v>35</v>
      </c>
      <c r="Y968" s="1">
        <v>370000.0</v>
      </c>
      <c r="Z968" s="1"/>
      <c r="AA968" s="1">
        <v>370000</v>
      </c>
      <c r="AB968" s="1"/>
      <c r="AC968" s="1" t="s">
        <v>36</v>
      </c>
      <c r="AD968" s="1" t="s">
        <v>3774</v>
      </c>
      <c r="AE968" s="1" t="s">
        <v>32</v>
      </c>
      <c r="AF968" s="1" t="s">
        <v>33</v>
      </c>
      <c r="AG968" s="1" t="s">
        <v>60</v>
      </c>
    </row>
    <row r="969" spans="1:33">
      <c r="A969" t="s">
        <v>3775</v>
      </c>
      <c r="B969" t="s">
        <v>3776</v>
      </c>
      <c r="C969" t="s">
        <v>47</v>
      </c>
      <c r="E969" t="s">
        <v>2984</v>
      </c>
      <c r="F969" t="s">
        <v>2985</v>
      </c>
      <c r="G969">
        <v>143.688</v>
      </c>
      <c r="H969">
        <v>143.688</v>
      </c>
      <c r="I969" t="s">
        <v>2206</v>
      </c>
      <c r="J969" t="s">
        <v>49</v>
      </c>
      <c r="K969" t="s">
        <v>31</v>
      </c>
      <c r="L969" t="s">
        <v>32</v>
      </c>
      <c r="M969" t="s">
        <v>33</v>
      </c>
      <c r="P969" s="1" t="s">
        <v>3777</v>
      </c>
      <c r="Q969" s="1" t="s">
        <v>2984</v>
      </c>
      <c r="R969" s="1" t="s">
        <v>2984</v>
      </c>
      <c r="S969" s="1"/>
      <c r="T969" s="1" t="s">
        <v>47</v>
      </c>
      <c r="U969" s="1"/>
      <c r="V969" s="1">
        <v>143.688</v>
      </c>
      <c r="W969" s="1">
        <v>143.688</v>
      </c>
      <c r="X969" s="1" t="s">
        <v>35</v>
      </c>
      <c r="Y969" s="1">
        <v>143688.0</v>
      </c>
      <c r="Z969" s="1"/>
      <c r="AA969" s="1">
        <v>143688</v>
      </c>
      <c r="AB969" s="1"/>
      <c r="AC969" s="1" t="s">
        <v>36</v>
      </c>
      <c r="AD969" s="1" t="s">
        <v>3778</v>
      </c>
      <c r="AE969" s="1" t="s">
        <v>32</v>
      </c>
      <c r="AF969" s="1" t="s">
        <v>33</v>
      </c>
      <c r="AG969" s="1" t="s">
        <v>49</v>
      </c>
    </row>
    <row r="970" spans="1:33">
      <c r="A970" t="s">
        <v>3779</v>
      </c>
      <c r="C970" t="s">
        <v>1692</v>
      </c>
      <c r="E970" t="s">
        <v>2984</v>
      </c>
      <c r="F970" t="s">
        <v>2985</v>
      </c>
      <c r="G970">
        <v>730.0</v>
      </c>
      <c r="H970">
        <v>730.0</v>
      </c>
      <c r="I970" t="s">
        <v>179</v>
      </c>
      <c r="J970" t="s">
        <v>180</v>
      </c>
      <c r="K970" t="s">
        <v>31</v>
      </c>
      <c r="L970" t="s">
        <v>32</v>
      </c>
      <c r="M970" t="s">
        <v>33</v>
      </c>
      <c r="P970" s="1" t="s">
        <v>3780</v>
      </c>
      <c r="Q970" s="1" t="s">
        <v>2984</v>
      </c>
      <c r="R970" s="1" t="s">
        <v>2984</v>
      </c>
      <c r="S970" s="1"/>
      <c r="T970" s="1" t="s">
        <v>1692</v>
      </c>
      <c r="U970" s="1"/>
      <c r="V970" s="1">
        <v>730.0</v>
      </c>
      <c r="W970" s="1">
        <v>730.0</v>
      </c>
      <c r="X970" s="1" t="s">
        <v>35</v>
      </c>
      <c r="Y970" s="1">
        <v>730000.0</v>
      </c>
      <c r="Z970" s="1"/>
      <c r="AA970" s="1">
        <v>730000</v>
      </c>
      <c r="AB970" s="1"/>
      <c r="AC970" s="1" t="s">
        <v>36</v>
      </c>
      <c r="AD970" s="1" t="s">
        <v>3781</v>
      </c>
      <c r="AE970" s="1" t="s">
        <v>32</v>
      </c>
      <c r="AF970" s="1" t="s">
        <v>33</v>
      </c>
      <c r="AG970" s="1" t="s">
        <v>180</v>
      </c>
    </row>
    <row r="971" spans="1:33">
      <c r="A971" t="s">
        <v>3782</v>
      </c>
      <c r="C971" t="s">
        <v>3783</v>
      </c>
      <c r="E971" t="s">
        <v>2984</v>
      </c>
      <c r="F971" t="s">
        <v>2985</v>
      </c>
      <c r="G971">
        <v>656.0</v>
      </c>
      <c r="H971">
        <v>656.0</v>
      </c>
      <c r="I971" t="s">
        <v>136</v>
      </c>
      <c r="J971" t="s">
        <v>137</v>
      </c>
      <c r="K971" t="s">
        <v>31</v>
      </c>
      <c r="L971" t="s">
        <v>32</v>
      </c>
      <c r="M971" t="s">
        <v>33</v>
      </c>
      <c r="P971" s="1" t="s">
        <v>3784</v>
      </c>
      <c r="Q971" s="1" t="s">
        <v>2984</v>
      </c>
      <c r="R971" s="1" t="s">
        <v>2984</v>
      </c>
      <c r="S971" s="1"/>
      <c r="T971" s="1" t="s">
        <v>3785</v>
      </c>
      <c r="U971" s="1" t="s">
        <v>3786</v>
      </c>
      <c r="V971" s="1">
        <v>656.0</v>
      </c>
      <c r="W971" s="1">
        <v>656.0</v>
      </c>
      <c r="X971" s="1" t="s">
        <v>35</v>
      </c>
      <c r="Y971" s="1">
        <v>656000.0</v>
      </c>
      <c r="Z971" s="1"/>
      <c r="AA971" s="1">
        <v>656000</v>
      </c>
      <c r="AB971" s="1"/>
      <c r="AC971" s="1" t="s">
        <v>36</v>
      </c>
      <c r="AD971" s="1" t="s">
        <v>3787</v>
      </c>
      <c r="AE971" s="1" t="s">
        <v>32</v>
      </c>
      <c r="AF971" s="1" t="s">
        <v>33</v>
      </c>
      <c r="AG971" s="1" t="s">
        <v>137</v>
      </c>
    </row>
    <row r="972" spans="1:33">
      <c r="A972" t="s">
        <v>3788</v>
      </c>
      <c r="C972" t="s">
        <v>3783</v>
      </c>
      <c r="E972" t="s">
        <v>2984</v>
      </c>
      <c r="F972" t="s">
        <v>2985</v>
      </c>
      <c r="G972">
        <v>1.048</v>
      </c>
      <c r="H972">
        <v>1.048</v>
      </c>
      <c r="I972" t="s">
        <v>136</v>
      </c>
      <c r="J972" t="s">
        <v>137</v>
      </c>
      <c r="K972" t="s">
        <v>31</v>
      </c>
      <c r="L972" t="s">
        <v>32</v>
      </c>
      <c r="M972" t="s">
        <v>33</v>
      </c>
      <c r="P972" s="1" t="s">
        <v>3789</v>
      </c>
      <c r="Q972" s="1" t="s">
        <v>2984</v>
      </c>
      <c r="R972" s="1" t="s">
        <v>2984</v>
      </c>
      <c r="S972" s="1"/>
      <c r="T972" s="1" t="s">
        <v>3785</v>
      </c>
      <c r="U972" s="1" t="s">
        <v>3786</v>
      </c>
      <c r="V972" s="1">
        <v>1.048</v>
      </c>
      <c r="W972" s="1">
        <v>1.048</v>
      </c>
      <c r="X972" s="1" t="s">
        <v>35</v>
      </c>
      <c r="Y972" s="1">
        <v>1048200.0</v>
      </c>
      <c r="Z972" s="1"/>
      <c r="AA972" s="1">
        <v>1048200</v>
      </c>
      <c r="AB972" s="1"/>
      <c r="AC972" s="1" t="s">
        <v>36</v>
      </c>
      <c r="AD972" s="1" t="s">
        <v>3731</v>
      </c>
      <c r="AE972" s="1" t="s">
        <v>32</v>
      </c>
      <c r="AF972" s="1" t="s">
        <v>33</v>
      </c>
      <c r="AG972" s="1" t="s">
        <v>137</v>
      </c>
    </row>
    <row r="973" spans="1:33">
      <c r="A973" t="s">
        <v>3790</v>
      </c>
      <c r="B973" t="s">
        <v>3791</v>
      </c>
      <c r="C973" t="s">
        <v>172</v>
      </c>
      <c r="E973" t="s">
        <v>2984</v>
      </c>
      <c r="F973" t="s">
        <v>2985</v>
      </c>
      <c r="G973">
        <v>10.556</v>
      </c>
      <c r="H973">
        <v>10.556</v>
      </c>
      <c r="I973" t="s">
        <v>173</v>
      </c>
      <c r="J973" t="s">
        <v>174</v>
      </c>
      <c r="K973" t="s">
        <v>31</v>
      </c>
      <c r="L973" t="s">
        <v>32</v>
      </c>
      <c r="M973" t="s">
        <v>33</v>
      </c>
      <c r="P973" s="1" t="s">
        <v>3792</v>
      </c>
      <c r="Q973" s="1" t="s">
        <v>2984</v>
      </c>
      <c r="R973" s="1" t="s">
        <v>2984</v>
      </c>
      <c r="S973" s="1"/>
      <c r="T973" s="1" t="s">
        <v>172</v>
      </c>
      <c r="U973" s="1"/>
      <c r="V973" s="1">
        <v>10.556</v>
      </c>
      <c r="W973" s="1">
        <v>10.556</v>
      </c>
      <c r="X973" s="1" t="s">
        <v>35</v>
      </c>
      <c r="Y973" s="1">
        <v>10556.0</v>
      </c>
      <c r="Z973" s="1"/>
      <c r="AA973" s="1">
        <v>10556</v>
      </c>
      <c r="AB973" s="1"/>
      <c r="AC973" s="1" t="s">
        <v>36</v>
      </c>
      <c r="AD973" s="1" t="s">
        <v>3793</v>
      </c>
      <c r="AE973" s="1" t="s">
        <v>32</v>
      </c>
      <c r="AF973" s="1" t="s">
        <v>33</v>
      </c>
      <c r="AG973" s="1" t="s">
        <v>174</v>
      </c>
    </row>
    <row r="974" spans="1:33">
      <c r="A974" t="s">
        <v>3794</v>
      </c>
      <c r="B974" t="s">
        <v>3795</v>
      </c>
      <c r="C974" t="s">
        <v>26</v>
      </c>
      <c r="E974" t="s">
        <v>2984</v>
      </c>
      <c r="F974" t="s">
        <v>2985</v>
      </c>
      <c r="G974">
        <v>83.96</v>
      </c>
      <c r="H974">
        <v>83.96</v>
      </c>
      <c r="I974" t="s">
        <v>29</v>
      </c>
      <c r="J974" t="s">
        <v>30</v>
      </c>
      <c r="K974" t="s">
        <v>31</v>
      </c>
      <c r="L974" t="s">
        <v>32</v>
      </c>
      <c r="M974" t="s">
        <v>33</v>
      </c>
      <c r="P974" s="1" t="s">
        <v>3796</v>
      </c>
      <c r="Q974" s="1" t="s">
        <v>2984</v>
      </c>
      <c r="R974" s="1" t="s">
        <v>2984</v>
      </c>
      <c r="S974" s="1"/>
      <c r="T974" s="1" t="s">
        <v>26</v>
      </c>
      <c r="U974" s="1"/>
      <c r="V974" s="1">
        <v>83.96</v>
      </c>
      <c r="W974" s="1">
        <v>83.96</v>
      </c>
      <c r="X974" s="1" t="s">
        <v>35</v>
      </c>
      <c r="Y974" s="1">
        <v>83960.0</v>
      </c>
      <c r="Z974" s="1"/>
      <c r="AA974" s="1">
        <v>83960</v>
      </c>
      <c r="AB974" s="1"/>
      <c r="AC974" s="1" t="s">
        <v>36</v>
      </c>
      <c r="AD974" s="1" t="s">
        <v>3797</v>
      </c>
      <c r="AE974" s="1" t="s">
        <v>32</v>
      </c>
      <c r="AF974" s="1" t="s">
        <v>33</v>
      </c>
      <c r="AG974" s="1" t="s">
        <v>30</v>
      </c>
    </row>
    <row r="975" spans="1:33">
      <c r="A975" t="s">
        <v>3798</v>
      </c>
      <c r="B975" t="s">
        <v>3799</v>
      </c>
      <c r="C975" t="s">
        <v>172</v>
      </c>
      <c r="E975" t="s">
        <v>2984</v>
      </c>
      <c r="F975" t="s">
        <v>2985</v>
      </c>
      <c r="G975">
        <v>1.26</v>
      </c>
      <c r="H975">
        <v>1.26</v>
      </c>
      <c r="I975" t="s">
        <v>173</v>
      </c>
      <c r="J975" t="s">
        <v>174</v>
      </c>
      <c r="K975" t="s">
        <v>31</v>
      </c>
      <c r="L975" t="s">
        <v>32</v>
      </c>
      <c r="M975" t="s">
        <v>33</v>
      </c>
      <c r="P975" s="1" t="s">
        <v>3800</v>
      </c>
      <c r="Q975" s="1" t="s">
        <v>2984</v>
      </c>
      <c r="R975" s="1" t="s">
        <v>2984</v>
      </c>
      <c r="S975" s="1"/>
      <c r="T975" s="1" t="s">
        <v>172</v>
      </c>
      <c r="U975" s="1"/>
      <c r="V975" s="1">
        <v>1.26</v>
      </c>
      <c r="W975" s="1">
        <v>1.26</v>
      </c>
      <c r="X975" s="1" t="s">
        <v>35</v>
      </c>
      <c r="Y975" s="1">
        <v>1260.0</v>
      </c>
      <c r="Z975" s="1"/>
      <c r="AA975" s="1">
        <v>1260</v>
      </c>
      <c r="AB975" s="1"/>
      <c r="AC975" s="1" t="s">
        <v>36</v>
      </c>
      <c r="AD975" s="1" t="s">
        <v>3801</v>
      </c>
      <c r="AE975" s="1" t="s">
        <v>32</v>
      </c>
      <c r="AF975" s="1" t="s">
        <v>33</v>
      </c>
      <c r="AG975" s="1" t="s">
        <v>174</v>
      </c>
    </row>
    <row r="976" spans="1:33">
      <c r="A976" t="s">
        <v>3802</v>
      </c>
      <c r="C976" t="s">
        <v>3803</v>
      </c>
      <c r="E976" t="s">
        <v>2984</v>
      </c>
      <c r="F976" t="s">
        <v>2985</v>
      </c>
      <c r="G976">
        <v>540.5</v>
      </c>
      <c r="H976">
        <v>540.5</v>
      </c>
      <c r="I976" t="s">
        <v>173</v>
      </c>
      <c r="J976" t="s">
        <v>174</v>
      </c>
      <c r="K976" t="s">
        <v>31</v>
      </c>
      <c r="L976" t="s">
        <v>32</v>
      </c>
      <c r="M976" t="s">
        <v>33</v>
      </c>
      <c r="P976" s="1" t="s">
        <v>3804</v>
      </c>
      <c r="Q976" s="1" t="s">
        <v>2984</v>
      </c>
      <c r="R976" s="1" t="s">
        <v>2984</v>
      </c>
      <c r="S976" s="1"/>
      <c r="T976" s="1" t="s">
        <v>3803</v>
      </c>
      <c r="U976" s="1"/>
      <c r="V976" s="1">
        <v>540.5</v>
      </c>
      <c r="W976" s="1">
        <v>540.5</v>
      </c>
      <c r="X976" s="1" t="s">
        <v>35</v>
      </c>
      <c r="Y976" s="1">
        <v>540500.0</v>
      </c>
      <c r="Z976" s="1"/>
      <c r="AA976" s="1">
        <v>540500</v>
      </c>
      <c r="AB976" s="1"/>
      <c r="AC976" s="1" t="s">
        <v>36</v>
      </c>
      <c r="AD976" s="1" t="s">
        <v>3797</v>
      </c>
      <c r="AE976" s="1" t="s">
        <v>32</v>
      </c>
      <c r="AF976" s="1" t="s">
        <v>33</v>
      </c>
      <c r="AG976" s="1" t="s">
        <v>174</v>
      </c>
    </row>
    <row r="977" spans="1:33">
      <c r="A977" t="s">
        <v>3805</v>
      </c>
      <c r="B977" t="s">
        <v>3806</v>
      </c>
      <c r="C977" t="s">
        <v>268</v>
      </c>
      <c r="E977" t="s">
        <v>2984</v>
      </c>
      <c r="F977" t="s">
        <v>2985</v>
      </c>
      <c r="G977">
        <v>66.65</v>
      </c>
      <c r="H977">
        <v>66.65</v>
      </c>
      <c r="I977" t="s">
        <v>269</v>
      </c>
      <c r="J977" t="s">
        <v>270</v>
      </c>
      <c r="K977" t="s">
        <v>31</v>
      </c>
      <c r="L977" t="s">
        <v>32</v>
      </c>
      <c r="M977" t="s">
        <v>33</v>
      </c>
      <c r="P977" s="1" t="s">
        <v>3807</v>
      </c>
      <c r="Q977" s="1" t="s">
        <v>2984</v>
      </c>
      <c r="R977" s="1" t="s">
        <v>2984</v>
      </c>
      <c r="S977" s="1"/>
      <c r="T977" s="1" t="s">
        <v>268</v>
      </c>
      <c r="U977" s="1"/>
      <c r="V977" s="1">
        <v>66.65</v>
      </c>
      <c r="W977" s="1">
        <v>66.65</v>
      </c>
      <c r="X977" s="1" t="s">
        <v>35</v>
      </c>
      <c r="Y977" s="1">
        <v>66650.0</v>
      </c>
      <c r="Z977" s="1"/>
      <c r="AA977" s="1">
        <v>66650</v>
      </c>
      <c r="AB977" s="1"/>
      <c r="AC977" s="1" t="s">
        <v>36</v>
      </c>
      <c r="AD977" s="1" t="s">
        <v>3808</v>
      </c>
      <c r="AE977" s="1" t="s">
        <v>32</v>
      </c>
      <c r="AF977" s="1" t="s">
        <v>33</v>
      </c>
      <c r="AG977" s="1" t="s">
        <v>270</v>
      </c>
    </row>
    <row r="978" spans="1:33">
      <c r="A978" t="s">
        <v>3809</v>
      </c>
      <c r="B978" t="s">
        <v>3810</v>
      </c>
      <c r="C978" t="s">
        <v>172</v>
      </c>
      <c r="E978" t="s">
        <v>2984</v>
      </c>
      <c r="F978" t="s">
        <v>2985</v>
      </c>
      <c r="G978">
        <v>9.018</v>
      </c>
      <c r="H978">
        <v>9.018</v>
      </c>
      <c r="I978" t="s">
        <v>173</v>
      </c>
      <c r="J978" t="s">
        <v>174</v>
      </c>
      <c r="K978" t="s">
        <v>31</v>
      </c>
      <c r="L978" t="s">
        <v>32</v>
      </c>
      <c r="M978" t="s">
        <v>33</v>
      </c>
      <c r="P978" s="1" t="s">
        <v>3811</v>
      </c>
      <c r="Q978" s="1" t="s">
        <v>2984</v>
      </c>
      <c r="R978" s="1" t="s">
        <v>2984</v>
      </c>
      <c r="S978" s="1"/>
      <c r="T978" s="1" t="s">
        <v>172</v>
      </c>
      <c r="U978" s="1"/>
      <c r="V978" s="1">
        <v>9.018</v>
      </c>
      <c r="W978" s="1">
        <v>9.018</v>
      </c>
      <c r="X978" s="1" t="s">
        <v>35</v>
      </c>
      <c r="Y978" s="1">
        <v>9018.0</v>
      </c>
      <c r="Z978" s="1"/>
      <c r="AA978" s="1">
        <v>9018</v>
      </c>
      <c r="AB978" s="1"/>
      <c r="AC978" s="1" t="s">
        <v>36</v>
      </c>
      <c r="AD978" s="1" t="s">
        <v>3812</v>
      </c>
      <c r="AE978" s="1" t="s">
        <v>32</v>
      </c>
      <c r="AF978" s="1" t="s">
        <v>33</v>
      </c>
      <c r="AG978" s="1" t="s">
        <v>174</v>
      </c>
    </row>
    <row r="979" spans="1:33">
      <c r="A979" t="s">
        <v>3813</v>
      </c>
      <c r="C979" t="s">
        <v>644</v>
      </c>
      <c r="E979" t="s">
        <v>2984</v>
      </c>
      <c r="F979" t="s">
        <v>2985</v>
      </c>
      <c r="G979">
        <v>550.0</v>
      </c>
      <c r="H979">
        <v>550.0</v>
      </c>
      <c r="I979" t="s">
        <v>227</v>
      </c>
      <c r="J979" t="s">
        <v>228</v>
      </c>
      <c r="K979" t="s">
        <v>31</v>
      </c>
      <c r="L979" t="s">
        <v>32</v>
      </c>
      <c r="M979" t="s">
        <v>33</v>
      </c>
      <c r="P979" s="1" t="s">
        <v>3814</v>
      </c>
      <c r="Q979" s="1" t="s">
        <v>2984</v>
      </c>
      <c r="R979" s="1" t="s">
        <v>2984</v>
      </c>
      <c r="S979" s="1"/>
      <c r="T979" s="1" t="s">
        <v>644</v>
      </c>
      <c r="U979" s="1"/>
      <c r="V979" s="1">
        <v>550.0</v>
      </c>
      <c r="W979" s="1">
        <v>550.0</v>
      </c>
      <c r="X979" s="1" t="s">
        <v>35</v>
      </c>
      <c r="Y979" s="1">
        <v>550000.0</v>
      </c>
      <c r="Z979" s="1"/>
      <c r="AA979" s="1">
        <v>550000</v>
      </c>
      <c r="AB979" s="1"/>
      <c r="AC979" s="1" t="s">
        <v>36</v>
      </c>
      <c r="AD979" s="1" t="s">
        <v>3808</v>
      </c>
      <c r="AE979" s="1" t="s">
        <v>32</v>
      </c>
      <c r="AF979" s="1" t="s">
        <v>33</v>
      </c>
      <c r="AG979" s="1" t="s">
        <v>228</v>
      </c>
    </row>
    <row r="980" spans="1:33">
      <c r="A980" t="s">
        <v>3815</v>
      </c>
      <c r="B980" t="s">
        <v>3816</v>
      </c>
      <c r="C980" t="s">
        <v>73</v>
      </c>
      <c r="E980" t="s">
        <v>2984</v>
      </c>
      <c r="F980" t="s">
        <v>2985</v>
      </c>
      <c r="G980">
        <v>23.488</v>
      </c>
      <c r="H980">
        <v>23.488</v>
      </c>
      <c r="I980" t="s">
        <v>40</v>
      </c>
      <c r="J980" t="s">
        <v>41</v>
      </c>
      <c r="K980" t="s">
        <v>31</v>
      </c>
      <c r="L980" t="s">
        <v>32</v>
      </c>
      <c r="M980" t="s">
        <v>33</v>
      </c>
      <c r="P980" s="1" t="s">
        <v>3817</v>
      </c>
      <c r="Q980" s="1" t="s">
        <v>2984</v>
      </c>
      <c r="R980" s="1" t="s">
        <v>2292</v>
      </c>
      <c r="S980" s="1"/>
      <c r="T980" s="1" t="s">
        <v>75</v>
      </c>
      <c r="U980" s="1" t="s">
        <v>76</v>
      </c>
      <c r="V980" s="1">
        <v>23.488</v>
      </c>
      <c r="W980" s="1">
        <v>23.488</v>
      </c>
      <c r="X980" s="1" t="s">
        <v>35</v>
      </c>
      <c r="Y980" s="1">
        <v>23488.0</v>
      </c>
      <c r="Z980" s="1"/>
      <c r="AA980" s="1">
        <v>23488</v>
      </c>
      <c r="AB980" s="1"/>
      <c r="AC980" s="1" t="s">
        <v>36</v>
      </c>
      <c r="AD980" s="1" t="s">
        <v>3818</v>
      </c>
      <c r="AE980" s="1" t="s">
        <v>32</v>
      </c>
      <c r="AF980" s="1" t="s">
        <v>33</v>
      </c>
      <c r="AG980" s="1" t="s">
        <v>41</v>
      </c>
    </row>
    <row r="981" spans="1:33">
      <c r="A981" t="s">
        <v>3819</v>
      </c>
      <c r="C981" t="s">
        <v>3820</v>
      </c>
      <c r="E981" t="s">
        <v>2984</v>
      </c>
      <c r="F981" t="s">
        <v>2985</v>
      </c>
      <c r="G981">
        <v>395.0</v>
      </c>
      <c r="H981">
        <v>395.0</v>
      </c>
      <c r="I981" t="s">
        <v>2206</v>
      </c>
      <c r="J981" t="s">
        <v>49</v>
      </c>
      <c r="K981" t="s">
        <v>31</v>
      </c>
      <c r="L981" t="s">
        <v>32</v>
      </c>
      <c r="M981" t="s">
        <v>33</v>
      </c>
      <c r="P981" s="1" t="s">
        <v>3821</v>
      </c>
      <c r="Q981" s="1" t="s">
        <v>2984</v>
      </c>
      <c r="R981" s="1" t="s">
        <v>2984</v>
      </c>
      <c r="S981" s="1"/>
      <c r="T981" s="1" t="s">
        <v>3820</v>
      </c>
      <c r="U981" s="1"/>
      <c r="V981" s="1">
        <v>395.0</v>
      </c>
      <c r="W981" s="1">
        <v>395.0</v>
      </c>
      <c r="X981" s="1" t="s">
        <v>35</v>
      </c>
      <c r="Y981" s="1">
        <v>395000.0</v>
      </c>
      <c r="Z981" s="1"/>
      <c r="AA981" s="1">
        <v>395000</v>
      </c>
      <c r="AB981" s="1"/>
      <c r="AC981" s="1" t="s">
        <v>36</v>
      </c>
      <c r="AD981" s="1" t="s">
        <v>3822</v>
      </c>
      <c r="AE981" s="1" t="s">
        <v>32</v>
      </c>
      <c r="AF981" s="1" t="s">
        <v>33</v>
      </c>
      <c r="AG981" s="1" t="s">
        <v>49</v>
      </c>
    </row>
    <row r="982" spans="1:33">
      <c r="A982" t="s">
        <v>3823</v>
      </c>
      <c r="B982" t="s">
        <v>3824</v>
      </c>
      <c r="C982" t="s">
        <v>314</v>
      </c>
      <c r="E982" t="s">
        <v>2984</v>
      </c>
      <c r="F982" t="s">
        <v>2985</v>
      </c>
      <c r="G982">
        <v>74.98</v>
      </c>
      <c r="H982">
        <v>74.98</v>
      </c>
      <c r="I982" t="s">
        <v>179</v>
      </c>
      <c r="J982" t="s">
        <v>180</v>
      </c>
      <c r="K982" t="s">
        <v>31</v>
      </c>
      <c r="L982" t="s">
        <v>32</v>
      </c>
      <c r="M982" t="s">
        <v>33</v>
      </c>
      <c r="P982" s="1" t="s">
        <v>3825</v>
      </c>
      <c r="Q982" s="1" t="s">
        <v>2984</v>
      </c>
      <c r="R982" s="1" t="s">
        <v>2984</v>
      </c>
      <c r="S982" s="1"/>
      <c r="T982" s="1" t="s">
        <v>314</v>
      </c>
      <c r="U982" s="1"/>
      <c r="V982" s="1">
        <v>74.98</v>
      </c>
      <c r="W982" s="1">
        <v>74.98</v>
      </c>
      <c r="X982" s="1" t="s">
        <v>35</v>
      </c>
      <c r="Y982" s="1">
        <v>74980.0</v>
      </c>
      <c r="Z982" s="1"/>
      <c r="AA982" s="1">
        <v>74980</v>
      </c>
      <c r="AB982" s="1"/>
      <c r="AC982" s="1" t="s">
        <v>36</v>
      </c>
      <c r="AD982" s="1" t="s">
        <v>3826</v>
      </c>
      <c r="AE982" s="1" t="s">
        <v>32</v>
      </c>
      <c r="AF982" s="1" t="s">
        <v>33</v>
      </c>
      <c r="AG982" s="1" t="s">
        <v>180</v>
      </c>
    </row>
    <row r="983" spans="1:33">
      <c r="A983" t="s">
        <v>3827</v>
      </c>
      <c r="C983" t="s">
        <v>786</v>
      </c>
      <c r="E983" t="s">
        <v>2984</v>
      </c>
      <c r="F983" t="s">
        <v>2985</v>
      </c>
      <c r="G983">
        <v>635.0</v>
      </c>
      <c r="H983">
        <v>635.0</v>
      </c>
      <c r="I983" t="s">
        <v>269</v>
      </c>
      <c r="J983" t="s">
        <v>270</v>
      </c>
      <c r="K983" t="s">
        <v>31</v>
      </c>
      <c r="L983" t="s">
        <v>32</v>
      </c>
      <c r="M983" t="s">
        <v>33</v>
      </c>
      <c r="P983" s="1" t="s">
        <v>3828</v>
      </c>
      <c r="Q983" s="1" t="s">
        <v>2984</v>
      </c>
      <c r="R983" s="1" t="s">
        <v>2984</v>
      </c>
      <c r="S983" s="1"/>
      <c r="T983" s="1" t="s">
        <v>786</v>
      </c>
      <c r="U983" s="1"/>
      <c r="V983" s="1">
        <v>635.0</v>
      </c>
      <c r="W983" s="1">
        <v>635.0</v>
      </c>
      <c r="X983" s="1" t="s">
        <v>35</v>
      </c>
      <c r="Y983" s="1">
        <v>635000.0</v>
      </c>
      <c r="Z983" s="1"/>
      <c r="AA983" s="1">
        <v>635000</v>
      </c>
      <c r="AB983" s="1"/>
      <c r="AC983" s="1" t="s">
        <v>36</v>
      </c>
      <c r="AD983" s="1" t="s">
        <v>3829</v>
      </c>
      <c r="AE983" s="1" t="s">
        <v>32</v>
      </c>
      <c r="AF983" s="1" t="s">
        <v>33</v>
      </c>
      <c r="AG983" s="1" t="s">
        <v>270</v>
      </c>
    </row>
    <row r="984" spans="1:33">
      <c r="A984" t="s">
        <v>3830</v>
      </c>
      <c r="B984" t="s">
        <v>3831</v>
      </c>
      <c r="C984" t="s">
        <v>73</v>
      </c>
      <c r="E984" t="s">
        <v>2984</v>
      </c>
      <c r="F984" t="s">
        <v>2985</v>
      </c>
      <c r="G984">
        <v>5.169</v>
      </c>
      <c r="H984">
        <v>5.169</v>
      </c>
      <c r="I984" t="s">
        <v>40</v>
      </c>
      <c r="J984" t="s">
        <v>41</v>
      </c>
      <c r="K984" t="s">
        <v>31</v>
      </c>
      <c r="L984" t="s">
        <v>32</v>
      </c>
      <c r="M984" t="s">
        <v>33</v>
      </c>
      <c r="P984" s="1" t="s">
        <v>3832</v>
      </c>
      <c r="Q984" s="1" t="s">
        <v>2984</v>
      </c>
      <c r="R984" s="1" t="s">
        <v>2292</v>
      </c>
      <c r="S984" s="1"/>
      <c r="T984" s="1" t="s">
        <v>75</v>
      </c>
      <c r="U984" s="1" t="s">
        <v>76</v>
      </c>
      <c r="V984" s="1">
        <v>5.169</v>
      </c>
      <c r="W984" s="1">
        <v>5.169</v>
      </c>
      <c r="X984" s="1" t="s">
        <v>35</v>
      </c>
      <c r="Y984" s="1">
        <v>5169.0</v>
      </c>
      <c r="Z984" s="1"/>
      <c r="AA984" s="1">
        <v>5169</v>
      </c>
      <c r="AB984" s="1"/>
      <c r="AC984" s="1" t="s">
        <v>36</v>
      </c>
      <c r="AD984" s="1" t="s">
        <v>3691</v>
      </c>
      <c r="AE984" s="1" t="s">
        <v>32</v>
      </c>
      <c r="AF984" s="1" t="s">
        <v>33</v>
      </c>
      <c r="AG984" s="1" t="s">
        <v>41</v>
      </c>
    </row>
    <row r="985" spans="1:33">
      <c r="A985" t="s">
        <v>3833</v>
      </c>
      <c r="C985" t="s">
        <v>2236</v>
      </c>
      <c r="E985" t="s">
        <v>2984</v>
      </c>
      <c r="F985" t="s">
        <v>2985</v>
      </c>
      <c r="G985">
        <v>727.1</v>
      </c>
      <c r="H985">
        <v>727.1</v>
      </c>
      <c r="I985" t="s">
        <v>269</v>
      </c>
      <c r="J985" t="s">
        <v>270</v>
      </c>
      <c r="K985" t="s">
        <v>31</v>
      </c>
      <c r="L985" t="s">
        <v>32</v>
      </c>
      <c r="M985" t="s">
        <v>33</v>
      </c>
      <c r="P985" s="1" t="s">
        <v>3834</v>
      </c>
      <c r="Q985" s="1" t="s">
        <v>2984</v>
      </c>
      <c r="R985" s="1" t="s">
        <v>2984</v>
      </c>
      <c r="S985" s="1"/>
      <c r="T985" s="1" t="s">
        <v>2236</v>
      </c>
      <c r="U985" s="1"/>
      <c r="V985" s="1">
        <v>727.1</v>
      </c>
      <c r="W985" s="1">
        <v>727.1</v>
      </c>
      <c r="X985" s="1" t="s">
        <v>35</v>
      </c>
      <c r="Y985" s="1">
        <v>727100.0</v>
      </c>
      <c r="Z985" s="1"/>
      <c r="AA985" s="1">
        <v>727100</v>
      </c>
      <c r="AB985" s="1"/>
      <c r="AC985" s="1" t="s">
        <v>36</v>
      </c>
      <c r="AD985" s="1" t="s">
        <v>3835</v>
      </c>
      <c r="AE985" s="1" t="s">
        <v>32</v>
      </c>
      <c r="AF985" s="1" t="s">
        <v>33</v>
      </c>
      <c r="AG985" s="1" t="s">
        <v>270</v>
      </c>
    </row>
    <row r="986" spans="1:33">
      <c r="A986" t="s">
        <v>3836</v>
      </c>
      <c r="C986" t="s">
        <v>1587</v>
      </c>
      <c r="D986" t="s">
        <v>154</v>
      </c>
      <c r="E986" t="s">
        <v>2984</v>
      </c>
      <c r="F986" t="s">
        <v>2985</v>
      </c>
      <c r="G986">
        <v>6.273</v>
      </c>
      <c r="H986">
        <v>6.273</v>
      </c>
      <c r="I986" t="s">
        <v>2206</v>
      </c>
      <c r="J986" t="s">
        <v>49</v>
      </c>
      <c r="K986" t="s">
        <v>31</v>
      </c>
      <c r="L986" t="s">
        <v>32</v>
      </c>
      <c r="M986" t="s">
        <v>33</v>
      </c>
      <c r="P986" s="1" t="s">
        <v>3837</v>
      </c>
      <c r="Q986" s="1" t="s">
        <v>2984</v>
      </c>
      <c r="R986" s="1" t="s">
        <v>2984</v>
      </c>
      <c r="S986" s="1"/>
      <c r="T986" s="1" t="s">
        <v>1587</v>
      </c>
      <c r="U986" s="1"/>
      <c r="V986" s="1">
        <v>6.273</v>
      </c>
      <c r="W986" s="1">
        <v>6.273</v>
      </c>
      <c r="X986" s="1" t="s">
        <v>35</v>
      </c>
      <c r="Y986" s="1">
        <v>6273200.0</v>
      </c>
      <c r="Z986" s="1"/>
      <c r="AA986" s="1">
        <v>6273200</v>
      </c>
      <c r="AB986" s="1"/>
      <c r="AC986" s="1" t="s">
        <v>36</v>
      </c>
      <c r="AD986" s="1" t="s">
        <v>3838</v>
      </c>
      <c r="AE986" s="1" t="s">
        <v>32</v>
      </c>
      <c r="AF986" s="1" t="s">
        <v>33</v>
      </c>
      <c r="AG986" s="1" t="s">
        <v>49</v>
      </c>
    </row>
    <row r="987" spans="1:33">
      <c r="A987" t="s">
        <v>3839</v>
      </c>
      <c r="C987" t="s">
        <v>1732</v>
      </c>
      <c r="E987" t="s">
        <v>2984</v>
      </c>
      <c r="F987" t="s">
        <v>2985</v>
      </c>
      <c r="G987">
        <v>336.0</v>
      </c>
      <c r="H987">
        <v>336.0</v>
      </c>
      <c r="I987" t="s">
        <v>94</v>
      </c>
      <c r="J987" t="s">
        <v>95</v>
      </c>
      <c r="K987" t="s">
        <v>31</v>
      </c>
      <c r="L987" t="s">
        <v>32</v>
      </c>
      <c r="M987" t="s">
        <v>33</v>
      </c>
      <c r="P987" s="1" t="s">
        <v>3840</v>
      </c>
      <c r="Q987" s="1" t="s">
        <v>2984</v>
      </c>
      <c r="R987" s="1" t="s">
        <v>2984</v>
      </c>
      <c r="S987" s="1"/>
      <c r="T987" s="1" t="s">
        <v>1732</v>
      </c>
      <c r="U987" s="1"/>
      <c r="V987" s="1">
        <v>336.0</v>
      </c>
      <c r="W987" s="1">
        <v>336.0</v>
      </c>
      <c r="X987" s="1" t="s">
        <v>35</v>
      </c>
      <c r="Y987" s="1">
        <v>336000.0</v>
      </c>
      <c r="Z987" s="1"/>
      <c r="AA987" s="1">
        <v>336000</v>
      </c>
      <c r="AB987" s="1"/>
      <c r="AC987" s="1" t="s">
        <v>36</v>
      </c>
      <c r="AD987" s="1" t="s">
        <v>3841</v>
      </c>
      <c r="AE987" s="1" t="s">
        <v>32</v>
      </c>
      <c r="AF987" s="1" t="s">
        <v>33</v>
      </c>
      <c r="AG987" s="1" t="s">
        <v>95</v>
      </c>
    </row>
    <row r="988" spans="1:33">
      <c r="A988" t="s">
        <v>3842</v>
      </c>
      <c r="B988" t="s">
        <v>3843</v>
      </c>
      <c r="C988" t="s">
        <v>26</v>
      </c>
      <c r="E988" t="s">
        <v>2984</v>
      </c>
      <c r="F988" t="s">
        <v>2985</v>
      </c>
      <c r="G988">
        <v>122.942</v>
      </c>
      <c r="H988">
        <v>122.942</v>
      </c>
      <c r="I988" t="s">
        <v>29</v>
      </c>
      <c r="J988" t="s">
        <v>30</v>
      </c>
      <c r="K988" t="s">
        <v>31</v>
      </c>
      <c r="L988" t="s">
        <v>32</v>
      </c>
      <c r="M988" t="s">
        <v>33</v>
      </c>
      <c r="P988" s="1" t="s">
        <v>3844</v>
      </c>
      <c r="Q988" s="1" t="s">
        <v>2984</v>
      </c>
      <c r="R988" s="1" t="s">
        <v>2984</v>
      </c>
      <c r="S988" s="1"/>
      <c r="T988" s="1" t="s">
        <v>26</v>
      </c>
      <c r="U988" s="1"/>
      <c r="V988" s="1">
        <v>122.942</v>
      </c>
      <c r="W988" s="1">
        <v>122.942</v>
      </c>
      <c r="X988" s="1" t="s">
        <v>35</v>
      </c>
      <c r="Y988" s="1">
        <v>122942.0</v>
      </c>
      <c r="Z988" s="1"/>
      <c r="AA988" s="1">
        <v>122942</v>
      </c>
      <c r="AB988" s="1"/>
      <c r="AC988" s="1" t="s">
        <v>36</v>
      </c>
      <c r="AD988" s="1" t="s">
        <v>3845</v>
      </c>
      <c r="AE988" s="1" t="s">
        <v>32</v>
      </c>
      <c r="AF988" s="1" t="s">
        <v>33</v>
      </c>
      <c r="AG988" s="1" t="s">
        <v>30</v>
      </c>
    </row>
    <row r="989" spans="1:33">
      <c r="A989" t="s">
        <v>3846</v>
      </c>
      <c r="B989" t="s">
        <v>3847</v>
      </c>
      <c r="C989" t="s">
        <v>73</v>
      </c>
      <c r="E989" t="s">
        <v>2984</v>
      </c>
      <c r="F989" t="s">
        <v>2985</v>
      </c>
      <c r="G989">
        <v>235.0</v>
      </c>
      <c r="H989">
        <v>235.0</v>
      </c>
      <c r="I989" t="s">
        <v>40</v>
      </c>
      <c r="J989" t="s">
        <v>41</v>
      </c>
      <c r="K989" t="s">
        <v>31</v>
      </c>
      <c r="L989" t="s">
        <v>32</v>
      </c>
      <c r="M989" t="s">
        <v>33</v>
      </c>
      <c r="P989" s="1" t="s">
        <v>3848</v>
      </c>
      <c r="Q989" s="1" t="s">
        <v>2984</v>
      </c>
      <c r="R989" s="1" t="s">
        <v>2292</v>
      </c>
      <c r="S989" s="1"/>
      <c r="T989" s="1" t="s">
        <v>75</v>
      </c>
      <c r="U989" s="1" t="s">
        <v>76</v>
      </c>
      <c r="V989" s="1">
        <v>235.0</v>
      </c>
      <c r="W989" s="1">
        <v>235.0</v>
      </c>
      <c r="X989" s="1" t="s">
        <v>35</v>
      </c>
      <c r="Y989" s="1">
        <v>235000.0</v>
      </c>
      <c r="Z989" s="1"/>
      <c r="AA989" s="1">
        <v>235000</v>
      </c>
      <c r="AB989" s="1"/>
      <c r="AC989" s="1" t="s">
        <v>36</v>
      </c>
      <c r="AD989" s="1" t="s">
        <v>3849</v>
      </c>
      <c r="AE989" s="1" t="s">
        <v>32</v>
      </c>
      <c r="AF989" s="1" t="s">
        <v>33</v>
      </c>
      <c r="AG989" s="1" t="s">
        <v>41</v>
      </c>
    </row>
    <row r="990" spans="1:33">
      <c r="A990" t="s">
        <v>3850</v>
      </c>
      <c r="C990" t="s">
        <v>131</v>
      </c>
      <c r="E990" t="s">
        <v>2984</v>
      </c>
      <c r="F990" t="s">
        <v>2985</v>
      </c>
      <c r="G990">
        <v>12.4</v>
      </c>
      <c r="H990">
        <v>12.4</v>
      </c>
      <c r="I990" t="s">
        <v>94</v>
      </c>
      <c r="J990" t="s">
        <v>95</v>
      </c>
      <c r="K990" t="s">
        <v>31</v>
      </c>
      <c r="L990" t="s">
        <v>32</v>
      </c>
      <c r="M990" t="s">
        <v>33</v>
      </c>
      <c r="P990" s="1" t="s">
        <v>3851</v>
      </c>
      <c r="Q990" s="1" t="s">
        <v>2984</v>
      </c>
      <c r="R990" s="1" t="s">
        <v>2984</v>
      </c>
      <c r="S990" s="1"/>
      <c r="T990" s="1" t="s">
        <v>131</v>
      </c>
      <c r="U990" s="1"/>
      <c r="V990" s="1">
        <v>12.4</v>
      </c>
      <c r="W990" s="1">
        <v>12.4</v>
      </c>
      <c r="X990" s="1" t="s">
        <v>35</v>
      </c>
      <c r="Y990" s="1">
        <v>12400.0</v>
      </c>
      <c r="Z990" s="1"/>
      <c r="AA990" s="1">
        <v>12400</v>
      </c>
      <c r="AB990" s="1"/>
      <c r="AC990" s="1" t="s">
        <v>36</v>
      </c>
      <c r="AD990" s="1" t="s">
        <v>3852</v>
      </c>
      <c r="AE990" s="1" t="s">
        <v>32</v>
      </c>
      <c r="AF990" s="1" t="s">
        <v>33</v>
      </c>
      <c r="AG990" s="1" t="s">
        <v>95</v>
      </c>
    </row>
    <row r="991" spans="1:33">
      <c r="A991" t="s">
        <v>3853</v>
      </c>
      <c r="C991" t="s">
        <v>786</v>
      </c>
      <c r="E991" t="s">
        <v>2984</v>
      </c>
      <c r="F991" t="s">
        <v>2985</v>
      </c>
      <c r="G991">
        <v>42.0</v>
      </c>
      <c r="H991">
        <v>42.0</v>
      </c>
      <c r="I991" t="s">
        <v>269</v>
      </c>
      <c r="J991" t="s">
        <v>270</v>
      </c>
      <c r="K991" t="s">
        <v>31</v>
      </c>
      <c r="L991" t="s">
        <v>32</v>
      </c>
      <c r="M991" t="s">
        <v>33</v>
      </c>
      <c r="P991" s="1" t="s">
        <v>3854</v>
      </c>
      <c r="Q991" s="1" t="s">
        <v>2984</v>
      </c>
      <c r="R991" s="1" t="s">
        <v>2984</v>
      </c>
      <c r="S991" s="1"/>
      <c r="T991" s="1" t="s">
        <v>786</v>
      </c>
      <c r="U991" s="1"/>
      <c r="V991" s="1">
        <v>42.0</v>
      </c>
      <c r="W991" s="1">
        <v>42.0</v>
      </c>
      <c r="X991" s="1" t="s">
        <v>35</v>
      </c>
      <c r="Y991" s="1">
        <v>42000.0</v>
      </c>
      <c r="Z991" s="1"/>
      <c r="AA991" s="1">
        <v>42000</v>
      </c>
      <c r="AB991" s="1"/>
      <c r="AC991" s="1" t="s">
        <v>36</v>
      </c>
      <c r="AD991" s="1" t="s">
        <v>3855</v>
      </c>
      <c r="AE991" s="1" t="s">
        <v>32</v>
      </c>
      <c r="AF991" s="1" t="s">
        <v>33</v>
      </c>
      <c r="AG991" s="1" t="s">
        <v>270</v>
      </c>
    </row>
    <row r="992" spans="1:33">
      <c r="A992" t="s">
        <v>3856</v>
      </c>
      <c r="C992" t="s">
        <v>1248</v>
      </c>
      <c r="E992" t="s">
        <v>2984</v>
      </c>
      <c r="F992" t="s">
        <v>2985</v>
      </c>
      <c r="G992">
        <v>820.0</v>
      </c>
      <c r="H992">
        <v>820.0</v>
      </c>
      <c r="I992" t="s">
        <v>136</v>
      </c>
      <c r="J992" t="s">
        <v>137</v>
      </c>
      <c r="K992" t="s">
        <v>31</v>
      </c>
      <c r="L992" t="s">
        <v>32</v>
      </c>
      <c r="M992" t="s">
        <v>33</v>
      </c>
      <c r="P992" s="1" t="s">
        <v>3857</v>
      </c>
      <c r="Q992" s="1" t="s">
        <v>2984</v>
      </c>
      <c r="R992" s="1" t="s">
        <v>2984</v>
      </c>
      <c r="S992" s="1"/>
      <c r="T992" s="1" t="s">
        <v>1250</v>
      </c>
      <c r="U992" s="1" t="s">
        <v>1251</v>
      </c>
      <c r="V992" s="1">
        <v>820.0</v>
      </c>
      <c r="W992" s="1">
        <v>820.0</v>
      </c>
      <c r="X992" s="1" t="s">
        <v>35</v>
      </c>
      <c r="Y992" s="1">
        <v>820000.0</v>
      </c>
      <c r="Z992" s="1"/>
      <c r="AA992" s="1">
        <v>820000</v>
      </c>
      <c r="AB992" s="1"/>
      <c r="AC992" s="1" t="s">
        <v>36</v>
      </c>
      <c r="AD992" s="1" t="s">
        <v>3858</v>
      </c>
      <c r="AE992" s="1" t="s">
        <v>32</v>
      </c>
      <c r="AF992" s="1" t="s">
        <v>33</v>
      </c>
      <c r="AG992" s="1" t="s">
        <v>137</v>
      </c>
    </row>
    <row r="993" spans="1:33">
      <c r="A993" t="s">
        <v>3859</v>
      </c>
      <c r="B993" t="s">
        <v>3860</v>
      </c>
      <c r="C993" t="s">
        <v>125</v>
      </c>
      <c r="E993" t="s">
        <v>2984</v>
      </c>
      <c r="F993" t="s">
        <v>2293</v>
      </c>
      <c r="G993">
        <v>44.27</v>
      </c>
      <c r="H993">
        <v>44.27</v>
      </c>
      <c r="I993" t="s">
        <v>126</v>
      </c>
      <c r="J993" t="s">
        <v>127</v>
      </c>
      <c r="K993" t="s">
        <v>31</v>
      </c>
      <c r="L993" t="s">
        <v>32</v>
      </c>
      <c r="M993" t="s">
        <v>33</v>
      </c>
      <c r="P993" s="1" t="s">
        <v>3861</v>
      </c>
      <c r="Q993" s="1" t="s">
        <v>2984</v>
      </c>
      <c r="R993" s="1" t="s">
        <v>2984</v>
      </c>
      <c r="S993" s="1"/>
      <c r="T993" s="1" t="s">
        <v>125</v>
      </c>
      <c r="U993" s="1"/>
      <c r="V993" s="1">
        <v>44.27</v>
      </c>
      <c r="W993" s="1">
        <v>44.27</v>
      </c>
      <c r="X993" s="1" t="s">
        <v>35</v>
      </c>
      <c r="Y993" s="1">
        <v>44270.0</v>
      </c>
      <c r="Z993" s="1"/>
      <c r="AA993" s="1">
        <v>44270</v>
      </c>
      <c r="AB993" s="1"/>
      <c r="AC993" s="1" t="s">
        <v>36</v>
      </c>
      <c r="AD993" s="1" t="s">
        <v>3862</v>
      </c>
      <c r="AE993" s="1" t="s">
        <v>32</v>
      </c>
      <c r="AF993" s="1" t="s">
        <v>33</v>
      </c>
      <c r="AG993" s="1" t="s">
        <v>127</v>
      </c>
    </row>
    <row r="994" spans="1:33">
      <c r="A994" t="s">
        <v>3863</v>
      </c>
      <c r="C994" t="s">
        <v>1447</v>
      </c>
      <c r="D994" t="s">
        <v>114</v>
      </c>
      <c r="E994" t="s">
        <v>2984</v>
      </c>
      <c r="F994" t="s">
        <v>2985</v>
      </c>
      <c r="G994">
        <v>852.0</v>
      </c>
      <c r="H994">
        <v>852.0</v>
      </c>
      <c r="I994" t="s">
        <v>269</v>
      </c>
      <c r="J994" t="s">
        <v>270</v>
      </c>
      <c r="K994" t="s">
        <v>31</v>
      </c>
      <c r="L994" t="s">
        <v>32</v>
      </c>
      <c r="M994" t="s">
        <v>33</v>
      </c>
      <c r="P994" s="1" t="s">
        <v>3864</v>
      </c>
      <c r="Q994" s="1" t="s">
        <v>2984</v>
      </c>
      <c r="R994" s="1" t="s">
        <v>2984</v>
      </c>
      <c r="S994" s="1"/>
      <c r="T994" s="1" t="s">
        <v>1449</v>
      </c>
      <c r="U994" s="1" t="s">
        <v>1450</v>
      </c>
      <c r="V994" s="1">
        <v>852.0</v>
      </c>
      <c r="W994" s="1">
        <v>852.0</v>
      </c>
      <c r="X994" s="1" t="s">
        <v>35</v>
      </c>
      <c r="Y994" s="1">
        <v>852000.0</v>
      </c>
      <c r="Z994" s="1"/>
      <c r="AA994" s="1">
        <v>852000</v>
      </c>
      <c r="AB994" s="1"/>
      <c r="AC994" s="1" t="s">
        <v>36</v>
      </c>
      <c r="AD994" s="1" t="s">
        <v>3865</v>
      </c>
      <c r="AE994" s="1" t="s">
        <v>32</v>
      </c>
      <c r="AF994" s="1" t="s">
        <v>33</v>
      </c>
      <c r="AG994" s="1" t="s">
        <v>270</v>
      </c>
    </row>
    <row r="995" spans="1:33">
      <c r="A995" t="s">
        <v>3866</v>
      </c>
      <c r="B995" t="s">
        <v>3867</v>
      </c>
      <c r="C995" t="s">
        <v>314</v>
      </c>
      <c r="E995" t="s">
        <v>2984</v>
      </c>
      <c r="F995" t="s">
        <v>2985</v>
      </c>
      <c r="G995">
        <v>59.58</v>
      </c>
      <c r="H995">
        <v>59.58</v>
      </c>
      <c r="I995" t="s">
        <v>179</v>
      </c>
      <c r="J995" t="s">
        <v>180</v>
      </c>
      <c r="K995" t="s">
        <v>31</v>
      </c>
      <c r="L995" t="s">
        <v>32</v>
      </c>
      <c r="M995" t="s">
        <v>33</v>
      </c>
      <c r="P995" s="1" t="s">
        <v>3868</v>
      </c>
      <c r="Q995" s="1" t="s">
        <v>2984</v>
      </c>
      <c r="R995" s="1" t="s">
        <v>2984</v>
      </c>
      <c r="S995" s="1"/>
      <c r="T995" s="1" t="s">
        <v>314</v>
      </c>
      <c r="U995" s="1"/>
      <c r="V995" s="1">
        <v>59.58</v>
      </c>
      <c r="W995" s="1">
        <v>59.58</v>
      </c>
      <c r="X995" s="1" t="s">
        <v>35</v>
      </c>
      <c r="Y995" s="1">
        <v>59580.0</v>
      </c>
      <c r="Z995" s="1"/>
      <c r="AA995" s="1">
        <v>59580</v>
      </c>
      <c r="AB995" s="1"/>
      <c r="AC995" s="1" t="s">
        <v>36</v>
      </c>
      <c r="AD995" s="1" t="s">
        <v>3869</v>
      </c>
      <c r="AE995" s="1" t="s">
        <v>32</v>
      </c>
      <c r="AF995" s="1" t="s">
        <v>33</v>
      </c>
      <c r="AG995" s="1" t="s">
        <v>180</v>
      </c>
    </row>
    <row r="996" spans="1:33">
      <c r="A996" t="s">
        <v>3870</v>
      </c>
      <c r="C996" t="s">
        <v>3871</v>
      </c>
      <c r="E996" t="s">
        <v>2984</v>
      </c>
      <c r="F996" t="s">
        <v>3239</v>
      </c>
      <c r="G996">
        <v>443.5</v>
      </c>
      <c r="H996">
        <v>443.5</v>
      </c>
      <c r="I996" t="s">
        <v>570</v>
      </c>
      <c r="J996" t="s">
        <v>571</v>
      </c>
      <c r="K996" t="s">
        <v>31</v>
      </c>
      <c r="L996" t="s">
        <v>32</v>
      </c>
      <c r="M996" t="s">
        <v>33</v>
      </c>
      <c r="P996" s="1" t="s">
        <v>3872</v>
      </c>
      <c r="Q996" s="1" t="s">
        <v>2984</v>
      </c>
      <c r="R996" s="1" t="s">
        <v>2984</v>
      </c>
      <c r="S996" s="1"/>
      <c r="T996" s="1" t="s">
        <v>3871</v>
      </c>
      <c r="U996" s="1"/>
      <c r="V996" s="1">
        <v>443.5</v>
      </c>
      <c r="W996" s="1">
        <v>443.5</v>
      </c>
      <c r="X996" s="1" t="s">
        <v>35</v>
      </c>
      <c r="Y996" s="1">
        <v>443500.0</v>
      </c>
      <c r="Z996" s="1"/>
      <c r="AA996" s="1">
        <v>443500</v>
      </c>
      <c r="AB996" s="1"/>
      <c r="AC996" s="1" t="s">
        <v>36</v>
      </c>
      <c r="AD996" s="1" t="s">
        <v>3873</v>
      </c>
      <c r="AE996" s="1" t="s">
        <v>32</v>
      </c>
      <c r="AF996" s="1" t="s">
        <v>33</v>
      </c>
      <c r="AG996" s="1" t="s">
        <v>571</v>
      </c>
    </row>
    <row r="997" spans="1:33">
      <c r="A997" t="s">
        <v>3874</v>
      </c>
      <c r="B997" t="s">
        <v>3875</v>
      </c>
      <c r="C997" t="s">
        <v>268</v>
      </c>
      <c r="E997" t="s">
        <v>2984</v>
      </c>
      <c r="F997" t="s">
        <v>2985</v>
      </c>
      <c r="G997">
        <v>255.95</v>
      </c>
      <c r="H997">
        <v>255.95</v>
      </c>
      <c r="I997" t="s">
        <v>269</v>
      </c>
      <c r="J997" t="s">
        <v>270</v>
      </c>
      <c r="K997" t="s">
        <v>31</v>
      </c>
      <c r="L997" t="s">
        <v>32</v>
      </c>
      <c r="M997" t="s">
        <v>33</v>
      </c>
      <c r="P997" s="1" t="s">
        <v>3876</v>
      </c>
      <c r="Q997" s="1" t="s">
        <v>2984</v>
      </c>
      <c r="R997" s="1" t="s">
        <v>2984</v>
      </c>
      <c r="S997" s="1"/>
      <c r="T997" s="1" t="s">
        <v>268</v>
      </c>
      <c r="U997" s="1"/>
      <c r="V997" s="1">
        <v>255.95</v>
      </c>
      <c r="W997" s="1">
        <v>255.95</v>
      </c>
      <c r="X997" s="1" t="s">
        <v>35</v>
      </c>
      <c r="Y997" s="1">
        <v>255950.0</v>
      </c>
      <c r="Z997" s="1"/>
      <c r="AA997" s="1">
        <v>255950</v>
      </c>
      <c r="AB997" s="1"/>
      <c r="AC997" s="1" t="s">
        <v>36</v>
      </c>
      <c r="AD997" s="1" t="s">
        <v>3877</v>
      </c>
      <c r="AE997" s="1" t="s">
        <v>32</v>
      </c>
      <c r="AF997" s="1" t="s">
        <v>33</v>
      </c>
      <c r="AG997" s="1" t="s">
        <v>270</v>
      </c>
    </row>
    <row r="998" spans="1:33">
      <c r="A998" t="s">
        <v>3878</v>
      </c>
      <c r="B998" t="s">
        <v>3879</v>
      </c>
      <c r="C998" t="s">
        <v>125</v>
      </c>
      <c r="E998" t="s">
        <v>2984</v>
      </c>
      <c r="F998" t="s">
        <v>2985</v>
      </c>
      <c r="G998">
        <v>20.99</v>
      </c>
      <c r="H998">
        <v>20.99</v>
      </c>
      <c r="I998" t="s">
        <v>126</v>
      </c>
      <c r="J998" t="s">
        <v>127</v>
      </c>
      <c r="K998" t="s">
        <v>31</v>
      </c>
      <c r="L998" t="s">
        <v>32</v>
      </c>
      <c r="M998" t="s">
        <v>33</v>
      </c>
      <c r="P998" s="1" t="s">
        <v>3880</v>
      </c>
      <c r="Q998" s="1" t="s">
        <v>2984</v>
      </c>
      <c r="R998" s="1" t="s">
        <v>2984</v>
      </c>
      <c r="S998" s="1"/>
      <c r="T998" s="1" t="s">
        <v>125</v>
      </c>
      <c r="U998" s="1"/>
      <c r="V998" s="1">
        <v>20.99</v>
      </c>
      <c r="W998" s="1">
        <v>20.99</v>
      </c>
      <c r="X998" s="1" t="s">
        <v>35</v>
      </c>
      <c r="Y998" s="1">
        <v>20990.0</v>
      </c>
      <c r="Z998" s="1"/>
      <c r="AA998" s="1">
        <v>20990</v>
      </c>
      <c r="AB998" s="1"/>
      <c r="AC998" s="1" t="s">
        <v>36</v>
      </c>
      <c r="AD998" s="1" t="s">
        <v>3661</v>
      </c>
      <c r="AE998" s="1" t="s">
        <v>32</v>
      </c>
      <c r="AF998" s="1" t="s">
        <v>33</v>
      </c>
      <c r="AG998" s="1" t="s">
        <v>127</v>
      </c>
    </row>
    <row r="999" spans="1:33">
      <c r="A999" t="s">
        <v>3881</v>
      </c>
      <c r="B999" t="s">
        <v>3882</v>
      </c>
      <c r="C999" t="s">
        <v>68</v>
      </c>
      <c r="E999" t="s">
        <v>2984</v>
      </c>
      <c r="F999" t="s">
        <v>2985</v>
      </c>
      <c r="G999">
        <v>119.95</v>
      </c>
      <c r="H999">
        <v>119.95</v>
      </c>
      <c r="I999" t="s">
        <v>59</v>
      </c>
      <c r="J999" t="s">
        <v>60</v>
      </c>
      <c r="K999" t="s">
        <v>31</v>
      </c>
      <c r="L999" t="s">
        <v>32</v>
      </c>
      <c r="M999" t="s">
        <v>33</v>
      </c>
      <c r="P999" s="1" t="s">
        <v>3883</v>
      </c>
      <c r="Q999" s="1" t="s">
        <v>2984</v>
      </c>
      <c r="R999" s="1" t="s">
        <v>2984</v>
      </c>
      <c r="S999" s="1"/>
      <c r="T999" s="1" t="s">
        <v>68</v>
      </c>
      <c r="U999" s="1"/>
      <c r="V999" s="1">
        <v>119.95</v>
      </c>
      <c r="W999" s="1">
        <v>119.95</v>
      </c>
      <c r="X999" s="1" t="s">
        <v>35</v>
      </c>
      <c r="Y999" s="1">
        <v>119950.0</v>
      </c>
      <c r="Z999" s="1"/>
      <c r="AA999" s="1">
        <v>119950</v>
      </c>
      <c r="AB999" s="1"/>
      <c r="AC999" s="1" t="s">
        <v>36</v>
      </c>
      <c r="AD999" s="1" t="s">
        <v>3884</v>
      </c>
      <c r="AE999" s="1" t="s">
        <v>32</v>
      </c>
      <c r="AF999" s="1" t="s">
        <v>33</v>
      </c>
      <c r="AG999" s="1" t="s">
        <v>60</v>
      </c>
    </row>
    <row r="1000" spans="1:33">
      <c r="A1000" t="s">
        <v>3885</v>
      </c>
      <c r="B1000" t="s">
        <v>263</v>
      </c>
      <c r="C1000" t="s">
        <v>264</v>
      </c>
      <c r="E1000" t="s">
        <v>2984</v>
      </c>
      <c r="F1000" t="s">
        <v>2985</v>
      </c>
      <c r="G1000">
        <v>320.0</v>
      </c>
      <c r="H1000">
        <v>320.0</v>
      </c>
      <c r="I1000" t="s">
        <v>40</v>
      </c>
      <c r="J1000" t="s">
        <v>41</v>
      </c>
      <c r="K1000" t="s">
        <v>31</v>
      </c>
      <c r="L1000" t="s">
        <v>32</v>
      </c>
      <c r="M1000" t="s">
        <v>33</v>
      </c>
      <c r="P1000" s="1" t="s">
        <v>3886</v>
      </c>
      <c r="Q1000" s="1" t="s">
        <v>2984</v>
      </c>
      <c r="R1000" s="1" t="s">
        <v>2292</v>
      </c>
      <c r="S1000" s="1"/>
      <c r="T1000" s="1" t="s">
        <v>264</v>
      </c>
      <c r="U1000" s="1"/>
      <c r="V1000" s="1">
        <v>320.0</v>
      </c>
      <c r="W1000" s="1">
        <v>320.0</v>
      </c>
      <c r="X1000" s="1" t="s">
        <v>35</v>
      </c>
      <c r="Y1000" s="1">
        <v>320000.0</v>
      </c>
      <c r="Z1000" s="1"/>
      <c r="AA1000" s="1">
        <v>320000</v>
      </c>
      <c r="AB1000" s="1"/>
      <c r="AC1000" s="1" t="s">
        <v>36</v>
      </c>
      <c r="AD1000" s="1" t="s">
        <v>3887</v>
      </c>
      <c r="AE1000" s="1" t="s">
        <v>32</v>
      </c>
      <c r="AF1000" s="1" t="s">
        <v>33</v>
      </c>
      <c r="AG1000" s="1" t="s">
        <v>41</v>
      </c>
    </row>
    <row r="1001" spans="1:33">
      <c r="A1001" t="s">
        <v>3888</v>
      </c>
      <c r="B1001" t="s">
        <v>3889</v>
      </c>
      <c r="C1001" t="s">
        <v>268</v>
      </c>
      <c r="E1001" t="s">
        <v>2984</v>
      </c>
      <c r="F1001" t="s">
        <v>2985</v>
      </c>
      <c r="G1001">
        <v>80.5</v>
      </c>
      <c r="H1001">
        <v>80.5</v>
      </c>
      <c r="I1001" t="s">
        <v>269</v>
      </c>
      <c r="J1001" t="s">
        <v>270</v>
      </c>
      <c r="K1001" t="s">
        <v>31</v>
      </c>
      <c r="L1001" t="s">
        <v>32</v>
      </c>
      <c r="M1001" t="s">
        <v>33</v>
      </c>
      <c r="P1001" s="1" t="s">
        <v>3890</v>
      </c>
      <c r="Q1001" s="1" t="s">
        <v>2984</v>
      </c>
      <c r="R1001" s="1" t="s">
        <v>2984</v>
      </c>
      <c r="S1001" s="1"/>
      <c r="T1001" s="1" t="s">
        <v>268</v>
      </c>
      <c r="U1001" s="1"/>
      <c r="V1001" s="1">
        <v>80.5</v>
      </c>
      <c r="W1001" s="1">
        <v>80.5</v>
      </c>
      <c r="X1001" s="1" t="s">
        <v>35</v>
      </c>
      <c r="Y1001" s="1">
        <v>80500.0</v>
      </c>
      <c r="Z1001" s="1"/>
      <c r="AA1001" s="1">
        <v>80500</v>
      </c>
      <c r="AB1001" s="1"/>
      <c r="AC1001" s="1" t="s">
        <v>36</v>
      </c>
      <c r="AD1001" s="1" t="s">
        <v>3891</v>
      </c>
      <c r="AE1001" s="1" t="s">
        <v>32</v>
      </c>
      <c r="AF1001" s="1" t="s">
        <v>33</v>
      </c>
      <c r="AG1001" s="1" t="s">
        <v>270</v>
      </c>
    </row>
    <row r="1002" spans="1:33">
      <c r="A1002" t="s">
        <v>3892</v>
      </c>
      <c r="C1002" t="s">
        <v>3893</v>
      </c>
      <c r="E1002" t="s">
        <v>2984</v>
      </c>
      <c r="F1002" t="s">
        <v>2985</v>
      </c>
      <c r="G1002">
        <v>328.0</v>
      </c>
      <c r="H1002">
        <v>328.0</v>
      </c>
      <c r="I1002" t="s">
        <v>136</v>
      </c>
      <c r="J1002" t="s">
        <v>137</v>
      </c>
      <c r="K1002" t="s">
        <v>31</v>
      </c>
      <c r="L1002" t="s">
        <v>32</v>
      </c>
      <c r="M1002" t="s">
        <v>33</v>
      </c>
      <c r="P1002" s="1" t="s">
        <v>3894</v>
      </c>
      <c r="Q1002" s="1" t="s">
        <v>2984</v>
      </c>
      <c r="R1002" s="1" t="s">
        <v>2984</v>
      </c>
      <c r="S1002" s="1"/>
      <c r="T1002" s="1" t="s">
        <v>3893</v>
      </c>
      <c r="U1002" s="1"/>
      <c r="V1002" s="1">
        <v>328.0</v>
      </c>
      <c r="W1002" s="1">
        <v>328.0</v>
      </c>
      <c r="X1002" s="1" t="s">
        <v>35</v>
      </c>
      <c r="Y1002" s="1">
        <v>328000.0</v>
      </c>
      <c r="Z1002" s="1"/>
      <c r="AA1002" s="1">
        <v>328000</v>
      </c>
      <c r="AB1002" s="1"/>
      <c r="AC1002" s="1" t="s">
        <v>36</v>
      </c>
      <c r="AD1002" s="1" t="s">
        <v>3895</v>
      </c>
      <c r="AE1002" s="1" t="s">
        <v>32</v>
      </c>
      <c r="AF1002" s="1" t="s">
        <v>33</v>
      </c>
      <c r="AG1002" s="1" t="s">
        <v>137</v>
      </c>
    </row>
    <row r="1003" spans="1:33">
      <c r="A1003" t="s">
        <v>3896</v>
      </c>
      <c r="C1003" t="s">
        <v>3897</v>
      </c>
      <c r="D1003" t="s">
        <v>114</v>
      </c>
      <c r="E1003" t="s">
        <v>2984</v>
      </c>
      <c r="F1003" t="s">
        <v>2985</v>
      </c>
      <c r="G1003">
        <v>486.0</v>
      </c>
      <c r="H1003">
        <v>486.0</v>
      </c>
      <c r="I1003" t="s">
        <v>269</v>
      </c>
      <c r="J1003" t="s">
        <v>270</v>
      </c>
      <c r="K1003" t="s">
        <v>31</v>
      </c>
      <c r="L1003" t="s">
        <v>32</v>
      </c>
      <c r="M1003" t="s">
        <v>33</v>
      </c>
      <c r="P1003" s="1" t="s">
        <v>3898</v>
      </c>
      <c r="Q1003" s="1" t="s">
        <v>2984</v>
      </c>
      <c r="R1003" s="1" t="s">
        <v>2984</v>
      </c>
      <c r="S1003" s="1"/>
      <c r="T1003" s="1" t="s">
        <v>3897</v>
      </c>
      <c r="U1003" s="1"/>
      <c r="V1003" s="1">
        <v>486.0</v>
      </c>
      <c r="W1003" s="1">
        <v>486.0</v>
      </c>
      <c r="X1003" s="1" t="s">
        <v>35</v>
      </c>
      <c r="Y1003" s="1">
        <v>486000.0</v>
      </c>
      <c r="Z1003" s="1"/>
      <c r="AA1003" s="1">
        <v>486000</v>
      </c>
      <c r="AB1003" s="1"/>
      <c r="AC1003" s="1" t="s">
        <v>36</v>
      </c>
      <c r="AD1003" s="1" t="s">
        <v>3899</v>
      </c>
      <c r="AE1003" s="1" t="s">
        <v>32</v>
      </c>
      <c r="AF1003" s="1" t="s">
        <v>33</v>
      </c>
      <c r="AG1003" s="1" t="s">
        <v>270</v>
      </c>
    </row>
    <row r="1004" spans="1:33">
      <c r="A1004" t="s">
        <v>3900</v>
      </c>
      <c r="C1004" t="s">
        <v>3901</v>
      </c>
      <c r="D1004" t="s">
        <v>114</v>
      </c>
      <c r="E1004" t="s">
        <v>2984</v>
      </c>
      <c r="F1004" t="s">
        <v>2985</v>
      </c>
      <c r="G1004">
        <v>1.64</v>
      </c>
      <c r="H1004">
        <v>1.64</v>
      </c>
      <c r="I1004" t="s">
        <v>269</v>
      </c>
      <c r="J1004" t="s">
        <v>270</v>
      </c>
      <c r="K1004" t="s">
        <v>31</v>
      </c>
      <c r="L1004" t="s">
        <v>32</v>
      </c>
      <c r="M1004" t="s">
        <v>33</v>
      </c>
      <c r="P1004" s="1" t="s">
        <v>3902</v>
      </c>
      <c r="Q1004" s="1" t="s">
        <v>2984</v>
      </c>
      <c r="R1004" s="1" t="s">
        <v>2984</v>
      </c>
      <c r="S1004" s="1"/>
      <c r="T1004" s="1" t="s">
        <v>3901</v>
      </c>
      <c r="U1004" s="1"/>
      <c r="V1004" s="1">
        <v>1.64</v>
      </c>
      <c r="W1004" s="1">
        <v>1.64</v>
      </c>
      <c r="X1004" s="1" t="s">
        <v>35</v>
      </c>
      <c r="Y1004" s="1">
        <v>1640000.0</v>
      </c>
      <c r="Z1004" s="1"/>
      <c r="AA1004" s="1">
        <v>1640000</v>
      </c>
      <c r="AB1004" s="1"/>
      <c r="AC1004" s="1" t="s">
        <v>36</v>
      </c>
      <c r="AD1004" s="1" t="s">
        <v>3873</v>
      </c>
      <c r="AE1004" s="1" t="s">
        <v>32</v>
      </c>
      <c r="AF1004" s="1" t="s">
        <v>33</v>
      </c>
      <c r="AG1004" s="1" t="s">
        <v>270</v>
      </c>
    </row>
    <row r="1005" spans="1:33">
      <c r="A1005" t="s">
        <v>3903</v>
      </c>
      <c r="B1005" t="s">
        <v>3904</v>
      </c>
      <c r="C1005" t="s">
        <v>314</v>
      </c>
      <c r="E1005" t="s">
        <v>2984</v>
      </c>
      <c r="F1005" t="s">
        <v>2985</v>
      </c>
      <c r="G1005">
        <v>232.93</v>
      </c>
      <c r="H1005">
        <v>232.93</v>
      </c>
      <c r="I1005" t="s">
        <v>179</v>
      </c>
      <c r="J1005" t="s">
        <v>180</v>
      </c>
      <c r="K1005" t="s">
        <v>31</v>
      </c>
      <c r="L1005" t="s">
        <v>32</v>
      </c>
      <c r="M1005" t="s">
        <v>33</v>
      </c>
      <c r="P1005" s="1" t="s">
        <v>3905</v>
      </c>
      <c r="Q1005" s="1" t="s">
        <v>2984</v>
      </c>
      <c r="R1005" s="1" t="s">
        <v>2984</v>
      </c>
      <c r="S1005" s="1"/>
      <c r="T1005" s="1" t="s">
        <v>314</v>
      </c>
      <c r="U1005" s="1"/>
      <c r="V1005" s="1">
        <v>232.93</v>
      </c>
      <c r="W1005" s="1">
        <v>232.93</v>
      </c>
      <c r="X1005" s="1" t="s">
        <v>35</v>
      </c>
      <c r="Y1005" s="1">
        <v>232930.0</v>
      </c>
      <c r="Z1005" s="1"/>
      <c r="AA1005" s="1">
        <v>232930</v>
      </c>
      <c r="AB1005" s="1"/>
      <c r="AC1005" s="1" t="s">
        <v>36</v>
      </c>
      <c r="AD1005" s="1" t="s">
        <v>3906</v>
      </c>
      <c r="AE1005" s="1" t="s">
        <v>32</v>
      </c>
      <c r="AF1005" s="1" t="s">
        <v>33</v>
      </c>
      <c r="AG1005" s="1" t="s">
        <v>180</v>
      </c>
    </row>
    <row r="1006" spans="1:33">
      <c r="A1006" t="s">
        <v>3907</v>
      </c>
      <c r="B1006" t="s">
        <v>3908</v>
      </c>
      <c r="C1006" t="s">
        <v>73</v>
      </c>
      <c r="E1006" t="s">
        <v>2984</v>
      </c>
      <c r="F1006" t="s">
        <v>2985</v>
      </c>
      <c r="G1006">
        <v>21.99</v>
      </c>
      <c r="H1006">
        <v>21.99</v>
      </c>
      <c r="I1006" t="s">
        <v>40</v>
      </c>
      <c r="J1006" t="s">
        <v>41</v>
      </c>
      <c r="K1006" t="s">
        <v>31</v>
      </c>
      <c r="L1006" t="s">
        <v>32</v>
      </c>
      <c r="M1006" t="s">
        <v>33</v>
      </c>
      <c r="P1006" s="1" t="s">
        <v>3909</v>
      </c>
      <c r="Q1006" s="1" t="s">
        <v>2984</v>
      </c>
      <c r="R1006" s="1" t="s">
        <v>2292</v>
      </c>
      <c r="S1006" s="1"/>
      <c r="T1006" s="1" t="s">
        <v>75</v>
      </c>
      <c r="U1006" s="1" t="s">
        <v>76</v>
      </c>
      <c r="V1006" s="1">
        <v>21.99</v>
      </c>
      <c r="W1006" s="1">
        <v>21.99</v>
      </c>
      <c r="X1006" s="1" t="s">
        <v>35</v>
      </c>
      <c r="Y1006" s="1">
        <v>21990.0</v>
      </c>
      <c r="Z1006" s="1"/>
      <c r="AA1006" s="1">
        <v>21990</v>
      </c>
      <c r="AB1006" s="1"/>
      <c r="AC1006" s="1" t="s">
        <v>36</v>
      </c>
      <c r="AD1006" s="1" t="s">
        <v>3910</v>
      </c>
      <c r="AE1006" s="1" t="s">
        <v>32</v>
      </c>
      <c r="AF1006" s="1" t="s">
        <v>33</v>
      </c>
      <c r="AG1006" s="1" t="s">
        <v>41</v>
      </c>
    </row>
    <row r="1007" spans="1:33">
      <c r="A1007" t="s">
        <v>3911</v>
      </c>
      <c r="B1007" t="s">
        <v>3912</v>
      </c>
      <c r="C1007" t="s">
        <v>125</v>
      </c>
      <c r="E1007" t="s">
        <v>2984</v>
      </c>
      <c r="F1007" t="s">
        <v>2985</v>
      </c>
      <c r="G1007">
        <v>154.95</v>
      </c>
      <c r="H1007">
        <v>154.95</v>
      </c>
      <c r="I1007" t="s">
        <v>126</v>
      </c>
      <c r="J1007" t="s">
        <v>127</v>
      </c>
      <c r="K1007" t="s">
        <v>31</v>
      </c>
      <c r="L1007" t="s">
        <v>32</v>
      </c>
      <c r="M1007" t="s">
        <v>33</v>
      </c>
      <c r="P1007" s="1" t="s">
        <v>3913</v>
      </c>
      <c r="Q1007" s="1" t="s">
        <v>2984</v>
      </c>
      <c r="R1007" s="1" t="s">
        <v>2984</v>
      </c>
      <c r="S1007" s="1"/>
      <c r="T1007" s="1" t="s">
        <v>125</v>
      </c>
      <c r="U1007" s="1"/>
      <c r="V1007" s="1">
        <v>154.95</v>
      </c>
      <c r="W1007" s="1">
        <v>154.95</v>
      </c>
      <c r="X1007" s="1" t="s">
        <v>35</v>
      </c>
      <c r="Y1007" s="1">
        <v>154950.0</v>
      </c>
      <c r="Z1007" s="1"/>
      <c r="AA1007" s="1">
        <v>154950</v>
      </c>
      <c r="AB1007" s="1"/>
      <c r="AC1007" s="1" t="s">
        <v>36</v>
      </c>
      <c r="AD1007" s="1" t="s">
        <v>3914</v>
      </c>
      <c r="AE1007" s="1" t="s">
        <v>32</v>
      </c>
      <c r="AF1007" s="1" t="s">
        <v>33</v>
      </c>
      <c r="AG1007" s="1" t="s">
        <v>127</v>
      </c>
    </row>
    <row r="1008" spans="1:33">
      <c r="A1008" t="s">
        <v>3915</v>
      </c>
      <c r="B1008" t="s">
        <v>3916</v>
      </c>
      <c r="C1008" t="s">
        <v>47</v>
      </c>
      <c r="E1008" t="s">
        <v>2984</v>
      </c>
      <c r="F1008" t="s">
        <v>2985</v>
      </c>
      <c r="G1008">
        <v>3.0</v>
      </c>
      <c r="H1008">
        <v>3.0</v>
      </c>
      <c r="I1008" t="s">
        <v>2206</v>
      </c>
      <c r="J1008" t="s">
        <v>49</v>
      </c>
      <c r="K1008" t="s">
        <v>31</v>
      </c>
      <c r="L1008" t="s">
        <v>32</v>
      </c>
      <c r="M1008" t="s">
        <v>33</v>
      </c>
      <c r="P1008" s="1" t="s">
        <v>3917</v>
      </c>
      <c r="Q1008" s="1" t="s">
        <v>2984</v>
      </c>
      <c r="R1008" s="1" t="s">
        <v>2984</v>
      </c>
      <c r="S1008" s="1"/>
      <c r="T1008" s="1" t="s">
        <v>47</v>
      </c>
      <c r="U1008" s="1"/>
      <c r="V1008" s="1">
        <v>3.0</v>
      </c>
      <c r="W1008" s="1">
        <v>3.0</v>
      </c>
      <c r="X1008" s="1" t="s">
        <v>35</v>
      </c>
      <c r="Y1008" s="1">
        <v>3000.0</v>
      </c>
      <c r="Z1008" s="1"/>
      <c r="AA1008" s="1">
        <v>3000</v>
      </c>
      <c r="AB1008" s="1"/>
      <c r="AC1008" s="1" t="s">
        <v>36</v>
      </c>
      <c r="AD1008" s="1" t="s">
        <v>3918</v>
      </c>
      <c r="AE1008" s="1" t="s">
        <v>32</v>
      </c>
      <c r="AF1008" s="1" t="s">
        <v>33</v>
      </c>
      <c r="AG1008" s="1" t="s">
        <v>49</v>
      </c>
    </row>
    <row r="1009" spans="1:33">
      <c r="A1009" t="s">
        <v>3919</v>
      </c>
      <c r="B1009" t="s">
        <v>2814</v>
      </c>
      <c r="C1009" t="s">
        <v>569</v>
      </c>
      <c r="E1009" t="s">
        <v>2984</v>
      </c>
      <c r="F1009" t="s">
        <v>3239</v>
      </c>
      <c r="G1009">
        <v>20.99</v>
      </c>
      <c r="H1009">
        <v>20.99</v>
      </c>
      <c r="I1009" t="s">
        <v>570</v>
      </c>
      <c r="J1009" t="s">
        <v>571</v>
      </c>
      <c r="K1009" t="s">
        <v>31</v>
      </c>
      <c r="L1009" t="s">
        <v>32</v>
      </c>
      <c r="M1009" t="s">
        <v>33</v>
      </c>
      <c r="P1009" s="1" t="s">
        <v>3920</v>
      </c>
      <c r="Q1009" s="1" t="s">
        <v>2984</v>
      </c>
      <c r="R1009" s="1" t="s">
        <v>2984</v>
      </c>
      <c r="S1009" s="1"/>
      <c r="T1009" s="1" t="s">
        <v>569</v>
      </c>
      <c r="U1009" s="1"/>
      <c r="V1009" s="1">
        <v>20.99</v>
      </c>
      <c r="W1009" s="1">
        <v>20.99</v>
      </c>
      <c r="X1009" s="1" t="s">
        <v>35</v>
      </c>
      <c r="Y1009" s="1">
        <v>20990.0</v>
      </c>
      <c r="Z1009" s="1"/>
      <c r="AA1009" s="1">
        <v>20990</v>
      </c>
      <c r="AB1009" s="1"/>
      <c r="AC1009" s="1" t="s">
        <v>36</v>
      </c>
      <c r="AD1009" s="1" t="s">
        <v>3921</v>
      </c>
      <c r="AE1009" s="1" t="s">
        <v>32</v>
      </c>
      <c r="AF1009" s="1" t="s">
        <v>33</v>
      </c>
      <c r="AG1009" s="1" t="s">
        <v>571</v>
      </c>
    </row>
    <row r="1010" spans="1:33">
      <c r="A1010" t="s">
        <v>3922</v>
      </c>
      <c r="B1010" t="s">
        <v>2631</v>
      </c>
      <c r="C1010" t="s">
        <v>2632</v>
      </c>
      <c r="E1010" t="s">
        <v>2984</v>
      </c>
      <c r="F1010" t="s">
        <v>2985</v>
      </c>
      <c r="G1010">
        <v>35.0</v>
      </c>
      <c r="H1010">
        <v>35.0</v>
      </c>
      <c r="I1010" t="s">
        <v>29</v>
      </c>
      <c r="J1010" t="s">
        <v>30</v>
      </c>
      <c r="K1010" t="s">
        <v>31</v>
      </c>
      <c r="L1010" t="s">
        <v>32</v>
      </c>
      <c r="M1010" t="s">
        <v>33</v>
      </c>
      <c r="P1010" s="1" t="s">
        <v>3923</v>
      </c>
      <c r="Q1010" s="1" t="s">
        <v>2984</v>
      </c>
      <c r="R1010" s="1" t="s">
        <v>2984</v>
      </c>
      <c r="S1010" s="1"/>
      <c r="T1010" s="1" t="s">
        <v>2632</v>
      </c>
      <c r="U1010" s="1"/>
      <c r="V1010" s="1">
        <v>35.0</v>
      </c>
      <c r="W1010" s="1">
        <v>35.0</v>
      </c>
      <c r="X1010" s="1" t="s">
        <v>35</v>
      </c>
      <c r="Y1010" s="1">
        <v>35000.0</v>
      </c>
      <c r="Z1010" s="1"/>
      <c r="AA1010" s="1">
        <v>35000</v>
      </c>
      <c r="AB1010" s="1"/>
      <c r="AC1010" s="1" t="s">
        <v>36</v>
      </c>
      <c r="AD1010" s="1" t="s">
        <v>3924</v>
      </c>
      <c r="AE1010" s="1" t="s">
        <v>32</v>
      </c>
      <c r="AF1010" s="1" t="s">
        <v>33</v>
      </c>
      <c r="AG1010" s="1" t="s">
        <v>30</v>
      </c>
    </row>
    <row r="1011" spans="1:33">
      <c r="A1011" t="s">
        <v>3925</v>
      </c>
      <c r="B1011" t="s">
        <v>1932</v>
      </c>
      <c r="C1011" t="s">
        <v>1933</v>
      </c>
      <c r="E1011" t="s">
        <v>2984</v>
      </c>
      <c r="F1011" t="s">
        <v>2985</v>
      </c>
      <c r="G1011">
        <v>320.0</v>
      </c>
      <c r="H1011">
        <v>320.0</v>
      </c>
      <c r="I1011" t="s">
        <v>40</v>
      </c>
      <c r="J1011" t="s">
        <v>41</v>
      </c>
      <c r="K1011" t="s">
        <v>31</v>
      </c>
      <c r="L1011" t="s">
        <v>32</v>
      </c>
      <c r="M1011" t="s">
        <v>33</v>
      </c>
      <c r="P1011" s="1" t="s">
        <v>3926</v>
      </c>
      <c r="Q1011" s="1" t="s">
        <v>2984</v>
      </c>
      <c r="R1011" s="1" t="s">
        <v>2292</v>
      </c>
      <c r="S1011" s="1"/>
      <c r="T1011" s="1" t="s">
        <v>1933</v>
      </c>
      <c r="U1011" s="1"/>
      <c r="V1011" s="1">
        <v>320.0</v>
      </c>
      <c r="W1011" s="1">
        <v>320.0</v>
      </c>
      <c r="X1011" s="1" t="s">
        <v>35</v>
      </c>
      <c r="Y1011" s="1">
        <v>320000.0</v>
      </c>
      <c r="Z1011" s="1"/>
      <c r="AA1011" s="1">
        <v>320000</v>
      </c>
      <c r="AB1011" s="1"/>
      <c r="AC1011" s="1" t="s">
        <v>36</v>
      </c>
      <c r="AD1011" s="1" t="s">
        <v>3862</v>
      </c>
      <c r="AE1011" s="1" t="s">
        <v>32</v>
      </c>
      <c r="AF1011" s="1" t="s">
        <v>33</v>
      </c>
      <c r="AG1011" s="1" t="s">
        <v>41</v>
      </c>
    </row>
    <row r="1012" spans="1:33">
      <c r="A1012" t="s">
        <v>3927</v>
      </c>
      <c r="B1012" t="s">
        <v>3928</v>
      </c>
      <c r="C1012" t="s">
        <v>47</v>
      </c>
      <c r="E1012" t="s">
        <v>2984</v>
      </c>
      <c r="F1012" t="s">
        <v>2985</v>
      </c>
      <c r="G1012">
        <v>167.56</v>
      </c>
      <c r="H1012">
        <v>167.56</v>
      </c>
      <c r="I1012" t="s">
        <v>2206</v>
      </c>
      <c r="J1012" t="s">
        <v>49</v>
      </c>
      <c r="K1012" t="s">
        <v>31</v>
      </c>
      <c r="L1012" t="s">
        <v>32</v>
      </c>
      <c r="M1012" t="s">
        <v>33</v>
      </c>
      <c r="P1012" s="1" t="s">
        <v>3929</v>
      </c>
      <c r="Q1012" s="1" t="s">
        <v>2984</v>
      </c>
      <c r="R1012" s="1" t="s">
        <v>2984</v>
      </c>
      <c r="S1012" s="1"/>
      <c r="T1012" s="1" t="s">
        <v>47</v>
      </c>
      <c r="U1012" s="1"/>
      <c r="V1012" s="1">
        <v>167.56</v>
      </c>
      <c r="W1012" s="1">
        <v>167.56</v>
      </c>
      <c r="X1012" s="1" t="s">
        <v>35</v>
      </c>
      <c r="Y1012" s="1">
        <v>167560.0</v>
      </c>
      <c r="Z1012" s="1"/>
      <c r="AA1012" s="1">
        <v>167560</v>
      </c>
      <c r="AB1012" s="1"/>
      <c r="AC1012" s="1" t="s">
        <v>36</v>
      </c>
      <c r="AD1012" s="1" t="s">
        <v>3930</v>
      </c>
      <c r="AE1012" s="1" t="s">
        <v>32</v>
      </c>
      <c r="AF1012" s="1" t="s">
        <v>33</v>
      </c>
      <c r="AG1012" s="1" t="s">
        <v>49</v>
      </c>
    </row>
    <row r="1013" spans="1:33">
      <c r="A1013" t="s">
        <v>3931</v>
      </c>
      <c r="C1013" t="s">
        <v>3932</v>
      </c>
      <c r="D1013" t="s">
        <v>114</v>
      </c>
      <c r="E1013" t="s">
        <v>2984</v>
      </c>
      <c r="F1013" t="s">
        <v>2985</v>
      </c>
      <c r="G1013">
        <v>887.0</v>
      </c>
      <c r="H1013">
        <v>887.0</v>
      </c>
      <c r="I1013" t="s">
        <v>269</v>
      </c>
      <c r="J1013" t="s">
        <v>270</v>
      </c>
      <c r="K1013" t="s">
        <v>31</v>
      </c>
      <c r="L1013" t="s">
        <v>32</v>
      </c>
      <c r="M1013" t="s">
        <v>33</v>
      </c>
      <c r="P1013" s="1" t="s">
        <v>3933</v>
      </c>
      <c r="Q1013" s="1" t="s">
        <v>2984</v>
      </c>
      <c r="R1013" s="1" t="s">
        <v>2984</v>
      </c>
      <c r="S1013" s="1"/>
      <c r="T1013" s="1" t="s">
        <v>3932</v>
      </c>
      <c r="U1013" s="1"/>
      <c r="V1013" s="1">
        <v>887.0</v>
      </c>
      <c r="W1013" s="1">
        <v>887.0</v>
      </c>
      <c r="X1013" s="1" t="s">
        <v>35</v>
      </c>
      <c r="Y1013" s="1">
        <v>887000.0</v>
      </c>
      <c r="Z1013" s="1"/>
      <c r="AA1013" s="1">
        <v>887000</v>
      </c>
      <c r="AB1013" s="1"/>
      <c r="AC1013" s="1" t="s">
        <v>36</v>
      </c>
      <c r="AD1013" s="1" t="s">
        <v>3934</v>
      </c>
      <c r="AE1013" s="1" t="s">
        <v>32</v>
      </c>
      <c r="AF1013" s="1" t="s">
        <v>33</v>
      </c>
      <c r="AG1013" s="1" t="s">
        <v>270</v>
      </c>
    </row>
    <row r="1014" spans="1:33">
      <c r="A1014" t="s">
        <v>3935</v>
      </c>
      <c r="B1014" t="s">
        <v>3936</v>
      </c>
      <c r="C1014" t="s">
        <v>47</v>
      </c>
      <c r="E1014" t="s">
        <v>2984</v>
      </c>
      <c r="F1014" t="s">
        <v>2985</v>
      </c>
      <c r="G1014">
        <v>46.28</v>
      </c>
      <c r="H1014">
        <v>46.28</v>
      </c>
      <c r="I1014" t="s">
        <v>2206</v>
      </c>
      <c r="J1014" t="s">
        <v>49</v>
      </c>
      <c r="K1014" t="s">
        <v>31</v>
      </c>
      <c r="L1014" t="s">
        <v>32</v>
      </c>
      <c r="M1014" t="s">
        <v>33</v>
      </c>
      <c r="P1014" s="1" t="s">
        <v>3937</v>
      </c>
      <c r="Q1014" s="1" t="s">
        <v>2984</v>
      </c>
      <c r="R1014" s="1" t="s">
        <v>2984</v>
      </c>
      <c r="S1014" s="1"/>
      <c r="T1014" s="1" t="s">
        <v>47</v>
      </c>
      <c r="U1014" s="1"/>
      <c r="V1014" s="1">
        <v>46.28</v>
      </c>
      <c r="W1014" s="1">
        <v>46.28</v>
      </c>
      <c r="X1014" s="1" t="s">
        <v>35</v>
      </c>
      <c r="Y1014" s="1">
        <v>46280.0</v>
      </c>
      <c r="Z1014" s="1"/>
      <c r="AA1014" s="1">
        <v>46280</v>
      </c>
      <c r="AB1014" s="1"/>
      <c r="AC1014" s="1" t="s">
        <v>36</v>
      </c>
      <c r="AD1014" s="1" t="s">
        <v>3938</v>
      </c>
      <c r="AE1014" s="1" t="s">
        <v>32</v>
      </c>
      <c r="AF1014" s="1" t="s">
        <v>33</v>
      </c>
      <c r="AG1014" s="1" t="s">
        <v>49</v>
      </c>
    </row>
    <row r="1015" spans="1:33">
      <c r="A1015" t="s">
        <v>3939</v>
      </c>
      <c r="C1015" t="s">
        <v>338</v>
      </c>
      <c r="E1015" t="s">
        <v>2984</v>
      </c>
      <c r="F1015" t="s">
        <v>2985</v>
      </c>
      <c r="G1015">
        <v>425.0</v>
      </c>
      <c r="H1015">
        <v>425.0</v>
      </c>
      <c r="I1015" t="s">
        <v>179</v>
      </c>
      <c r="J1015" t="s">
        <v>180</v>
      </c>
      <c r="K1015" t="s">
        <v>31</v>
      </c>
      <c r="L1015" t="s">
        <v>32</v>
      </c>
      <c r="M1015" t="s">
        <v>33</v>
      </c>
      <c r="P1015" s="1" t="s">
        <v>3940</v>
      </c>
      <c r="Q1015" s="1" t="s">
        <v>2984</v>
      </c>
      <c r="R1015" s="1" t="s">
        <v>2984</v>
      </c>
      <c r="S1015" s="1"/>
      <c r="T1015" s="1" t="s">
        <v>338</v>
      </c>
      <c r="U1015" s="1"/>
      <c r="V1015" s="1">
        <v>425.0</v>
      </c>
      <c r="W1015" s="1">
        <v>425.0</v>
      </c>
      <c r="X1015" s="1" t="s">
        <v>35</v>
      </c>
      <c r="Y1015" s="1">
        <v>425000.0</v>
      </c>
      <c r="Z1015" s="1"/>
      <c r="AA1015" s="1">
        <v>425000</v>
      </c>
      <c r="AB1015" s="1"/>
      <c r="AC1015" s="1" t="s">
        <v>36</v>
      </c>
      <c r="AD1015" s="1" t="s">
        <v>3941</v>
      </c>
      <c r="AE1015" s="1" t="s">
        <v>32</v>
      </c>
      <c r="AF1015" s="1" t="s">
        <v>33</v>
      </c>
      <c r="AG1015" s="1" t="s">
        <v>180</v>
      </c>
    </row>
    <row r="1016" spans="1:33">
      <c r="A1016" t="s">
        <v>3942</v>
      </c>
      <c r="C1016" t="s">
        <v>3943</v>
      </c>
      <c r="E1016" t="s">
        <v>2984</v>
      </c>
      <c r="F1016" t="s">
        <v>2985</v>
      </c>
      <c r="G1016">
        <v>1.6</v>
      </c>
      <c r="H1016">
        <v>1.6</v>
      </c>
      <c r="I1016" t="s">
        <v>173</v>
      </c>
      <c r="J1016" t="s">
        <v>174</v>
      </c>
      <c r="K1016" t="s">
        <v>31</v>
      </c>
      <c r="L1016" t="s">
        <v>32</v>
      </c>
      <c r="M1016" t="s">
        <v>33</v>
      </c>
      <c r="P1016" s="1" t="s">
        <v>3944</v>
      </c>
      <c r="Q1016" s="1" t="s">
        <v>2984</v>
      </c>
      <c r="R1016" s="1" t="s">
        <v>2984</v>
      </c>
      <c r="S1016" s="1"/>
      <c r="T1016" s="1" t="s">
        <v>3943</v>
      </c>
      <c r="U1016" s="1"/>
      <c r="V1016" s="1">
        <v>1.6</v>
      </c>
      <c r="W1016" s="1">
        <v>1.6</v>
      </c>
      <c r="X1016" s="1" t="s">
        <v>35</v>
      </c>
      <c r="Y1016" s="1">
        <v>1600000.0</v>
      </c>
      <c r="Z1016" s="1"/>
      <c r="AA1016" s="1">
        <v>1600000</v>
      </c>
      <c r="AB1016" s="1"/>
      <c r="AC1016" s="1" t="s">
        <v>36</v>
      </c>
      <c r="AD1016" s="1" t="s">
        <v>3945</v>
      </c>
      <c r="AE1016" s="1" t="s">
        <v>32</v>
      </c>
      <c r="AF1016" s="1" t="s">
        <v>33</v>
      </c>
      <c r="AG1016" s="1" t="s">
        <v>174</v>
      </c>
    </row>
    <row r="1017" spans="1:33">
      <c r="A1017" t="s">
        <v>3946</v>
      </c>
      <c r="C1017" t="s">
        <v>3947</v>
      </c>
      <c r="E1017" t="s">
        <v>2984</v>
      </c>
      <c r="F1017" t="s">
        <v>2985</v>
      </c>
      <c r="G1017">
        <v>492.0</v>
      </c>
      <c r="H1017">
        <v>492.0</v>
      </c>
      <c r="I1017" t="s">
        <v>269</v>
      </c>
      <c r="J1017" t="s">
        <v>270</v>
      </c>
      <c r="K1017" t="s">
        <v>31</v>
      </c>
      <c r="L1017" t="s">
        <v>32</v>
      </c>
      <c r="M1017" t="s">
        <v>33</v>
      </c>
      <c r="P1017" s="1" t="s">
        <v>3948</v>
      </c>
      <c r="Q1017" s="1" t="s">
        <v>2984</v>
      </c>
      <c r="R1017" s="1" t="s">
        <v>2984</v>
      </c>
      <c r="S1017" s="1"/>
      <c r="T1017" s="1" t="s">
        <v>3947</v>
      </c>
      <c r="U1017" s="1"/>
      <c r="V1017" s="1">
        <v>492.0</v>
      </c>
      <c r="W1017" s="1">
        <v>492.0</v>
      </c>
      <c r="X1017" s="1" t="s">
        <v>35</v>
      </c>
      <c r="Y1017" s="1">
        <v>492000.0</v>
      </c>
      <c r="Z1017" s="1"/>
      <c r="AA1017" s="1">
        <v>492000</v>
      </c>
      <c r="AB1017" s="1"/>
      <c r="AC1017" s="1" t="s">
        <v>36</v>
      </c>
      <c r="AD1017" s="1" t="s">
        <v>3949</v>
      </c>
      <c r="AE1017" s="1" t="s">
        <v>32</v>
      </c>
      <c r="AF1017" s="1" t="s">
        <v>33</v>
      </c>
      <c r="AG1017" s="1" t="s">
        <v>270</v>
      </c>
    </row>
    <row r="1018" spans="1:33">
      <c r="A1018" t="s">
        <v>3950</v>
      </c>
      <c r="B1018" t="s">
        <v>3951</v>
      </c>
      <c r="C1018" t="s">
        <v>314</v>
      </c>
      <c r="E1018" t="s">
        <v>2984</v>
      </c>
      <c r="F1018" t="s">
        <v>2985</v>
      </c>
      <c r="G1018">
        <v>67.48</v>
      </c>
      <c r="H1018">
        <v>67.48</v>
      </c>
      <c r="I1018" t="s">
        <v>179</v>
      </c>
      <c r="J1018" t="s">
        <v>180</v>
      </c>
      <c r="K1018" t="s">
        <v>31</v>
      </c>
      <c r="L1018" t="s">
        <v>32</v>
      </c>
      <c r="M1018" t="s">
        <v>33</v>
      </c>
      <c r="P1018" s="1" t="s">
        <v>3952</v>
      </c>
      <c r="Q1018" s="1" t="s">
        <v>2984</v>
      </c>
      <c r="R1018" s="1" t="s">
        <v>2984</v>
      </c>
      <c r="S1018" s="1"/>
      <c r="T1018" s="1" t="s">
        <v>314</v>
      </c>
      <c r="U1018" s="1"/>
      <c r="V1018" s="1">
        <v>67.48</v>
      </c>
      <c r="W1018" s="1">
        <v>67.48</v>
      </c>
      <c r="X1018" s="1" t="s">
        <v>35</v>
      </c>
      <c r="Y1018" s="1">
        <v>67480.0</v>
      </c>
      <c r="Z1018" s="1"/>
      <c r="AA1018" s="1">
        <v>67480</v>
      </c>
      <c r="AB1018" s="1"/>
      <c r="AC1018" s="1" t="s">
        <v>36</v>
      </c>
      <c r="AD1018" s="1" t="s">
        <v>3949</v>
      </c>
      <c r="AE1018" s="1" t="s">
        <v>32</v>
      </c>
      <c r="AF1018" s="1" t="s">
        <v>33</v>
      </c>
      <c r="AG1018" s="1" t="s">
        <v>180</v>
      </c>
    </row>
    <row r="1019" spans="1:33">
      <c r="A1019" t="s">
        <v>3953</v>
      </c>
      <c r="C1019" t="s">
        <v>2857</v>
      </c>
      <c r="E1019" t="s">
        <v>2984</v>
      </c>
      <c r="F1019" t="s">
        <v>2985</v>
      </c>
      <c r="G1019">
        <v>1.374</v>
      </c>
      <c r="H1019">
        <v>1.374</v>
      </c>
      <c r="I1019" t="s">
        <v>2206</v>
      </c>
      <c r="J1019" t="s">
        <v>49</v>
      </c>
      <c r="K1019" t="s">
        <v>31</v>
      </c>
      <c r="L1019" t="s">
        <v>32</v>
      </c>
      <c r="M1019" t="s">
        <v>33</v>
      </c>
      <c r="P1019" s="1" t="s">
        <v>3954</v>
      </c>
      <c r="Q1019" s="1" t="s">
        <v>2984</v>
      </c>
      <c r="R1019" s="1" t="s">
        <v>2984</v>
      </c>
      <c r="S1019" s="1"/>
      <c r="T1019" s="1" t="s">
        <v>2859</v>
      </c>
      <c r="U1019" s="1" t="s">
        <v>2255</v>
      </c>
      <c r="V1019" s="1">
        <v>1.374</v>
      </c>
      <c r="W1019" s="1">
        <v>1.374</v>
      </c>
      <c r="X1019" s="1" t="s">
        <v>35</v>
      </c>
      <c r="Y1019" s="1">
        <v>1374000.0</v>
      </c>
      <c r="Z1019" s="1"/>
      <c r="AA1019" s="1">
        <v>1374000</v>
      </c>
      <c r="AB1019" s="1"/>
      <c r="AC1019" s="1" t="s">
        <v>36</v>
      </c>
      <c r="AD1019" s="1" t="s">
        <v>3955</v>
      </c>
      <c r="AE1019" s="1" t="s">
        <v>32</v>
      </c>
      <c r="AF1019" s="1" t="s">
        <v>33</v>
      </c>
      <c r="AG1019" s="1" t="s">
        <v>49</v>
      </c>
    </row>
    <row r="1020" spans="1:33">
      <c r="A1020" t="s">
        <v>3956</v>
      </c>
      <c r="B1020" t="s">
        <v>3957</v>
      </c>
      <c r="C1020" t="s">
        <v>125</v>
      </c>
      <c r="E1020" t="s">
        <v>2984</v>
      </c>
      <c r="F1020" t="s">
        <v>2985</v>
      </c>
      <c r="G1020">
        <v>9.586</v>
      </c>
      <c r="H1020">
        <v>9.586</v>
      </c>
      <c r="I1020" t="s">
        <v>126</v>
      </c>
      <c r="J1020" t="s">
        <v>127</v>
      </c>
      <c r="K1020" t="s">
        <v>31</v>
      </c>
      <c r="L1020" t="s">
        <v>32</v>
      </c>
      <c r="M1020" t="s">
        <v>33</v>
      </c>
      <c r="P1020" s="1" t="s">
        <v>3958</v>
      </c>
      <c r="Q1020" s="1" t="s">
        <v>2984</v>
      </c>
      <c r="R1020" s="1" t="s">
        <v>2984</v>
      </c>
      <c r="S1020" s="1"/>
      <c r="T1020" s="1" t="s">
        <v>125</v>
      </c>
      <c r="U1020" s="1"/>
      <c r="V1020" s="1">
        <v>9.586</v>
      </c>
      <c r="W1020" s="1">
        <v>9.586</v>
      </c>
      <c r="X1020" s="1" t="s">
        <v>35</v>
      </c>
      <c r="Y1020" s="1">
        <v>9586.0</v>
      </c>
      <c r="Z1020" s="1"/>
      <c r="AA1020" s="1">
        <v>9586</v>
      </c>
      <c r="AB1020" s="1"/>
      <c r="AC1020" s="1" t="s">
        <v>36</v>
      </c>
      <c r="AD1020" s="1" t="s">
        <v>3941</v>
      </c>
      <c r="AE1020" s="1" t="s">
        <v>32</v>
      </c>
      <c r="AF1020" s="1" t="s">
        <v>33</v>
      </c>
      <c r="AG1020" s="1" t="s">
        <v>127</v>
      </c>
    </row>
    <row r="1021" spans="1:33">
      <c r="A1021" t="s">
        <v>3959</v>
      </c>
      <c r="B1021" t="s">
        <v>3960</v>
      </c>
      <c r="C1021" t="s">
        <v>73</v>
      </c>
      <c r="E1021" t="s">
        <v>2984</v>
      </c>
      <c r="F1021" t="s">
        <v>2985</v>
      </c>
      <c r="G1021">
        <v>66.47</v>
      </c>
      <c r="H1021">
        <v>66.47</v>
      </c>
      <c r="I1021" t="s">
        <v>40</v>
      </c>
      <c r="J1021" t="s">
        <v>41</v>
      </c>
      <c r="K1021" t="s">
        <v>31</v>
      </c>
      <c r="L1021" t="s">
        <v>32</v>
      </c>
      <c r="M1021" t="s">
        <v>33</v>
      </c>
      <c r="P1021" s="1" t="s">
        <v>3961</v>
      </c>
      <c r="Q1021" s="1" t="s">
        <v>2984</v>
      </c>
      <c r="R1021" s="1" t="s">
        <v>2292</v>
      </c>
      <c r="S1021" s="1"/>
      <c r="T1021" s="1" t="s">
        <v>75</v>
      </c>
      <c r="U1021" s="1" t="s">
        <v>76</v>
      </c>
      <c r="V1021" s="1">
        <v>66.47</v>
      </c>
      <c r="W1021" s="1">
        <v>66.47</v>
      </c>
      <c r="X1021" s="1" t="s">
        <v>35</v>
      </c>
      <c r="Y1021" s="1">
        <v>66470.0</v>
      </c>
      <c r="Z1021" s="1"/>
      <c r="AA1021" s="1">
        <v>66470</v>
      </c>
      <c r="AB1021" s="1"/>
      <c r="AC1021" s="1" t="s">
        <v>36</v>
      </c>
      <c r="AD1021" s="1" t="s">
        <v>3661</v>
      </c>
      <c r="AE1021" s="1" t="s">
        <v>32</v>
      </c>
      <c r="AF1021" s="1" t="s">
        <v>33</v>
      </c>
      <c r="AG1021" s="1" t="s">
        <v>41</v>
      </c>
    </row>
    <row r="1022" spans="1:33">
      <c r="A1022" t="s">
        <v>3962</v>
      </c>
      <c r="B1022" t="s">
        <v>3963</v>
      </c>
      <c r="C1022" t="s">
        <v>125</v>
      </c>
      <c r="E1022" t="s">
        <v>2984</v>
      </c>
      <c r="F1022" t="s">
        <v>2985</v>
      </c>
      <c r="G1022">
        <v>21.99</v>
      </c>
      <c r="H1022">
        <v>21.99</v>
      </c>
      <c r="I1022" t="s">
        <v>126</v>
      </c>
      <c r="J1022" t="s">
        <v>127</v>
      </c>
      <c r="K1022" t="s">
        <v>31</v>
      </c>
      <c r="L1022" t="s">
        <v>32</v>
      </c>
      <c r="M1022" t="s">
        <v>33</v>
      </c>
      <c r="P1022" s="1" t="s">
        <v>3964</v>
      </c>
      <c r="Q1022" s="1" t="s">
        <v>2984</v>
      </c>
      <c r="R1022" s="1" t="s">
        <v>2984</v>
      </c>
      <c r="S1022" s="1"/>
      <c r="T1022" s="1" t="s">
        <v>125</v>
      </c>
      <c r="U1022" s="1"/>
      <c r="V1022" s="1">
        <v>21.99</v>
      </c>
      <c r="W1022" s="1">
        <v>21.99</v>
      </c>
      <c r="X1022" s="1" t="s">
        <v>35</v>
      </c>
      <c r="Y1022" s="1">
        <v>21990.0</v>
      </c>
      <c r="Z1022" s="1"/>
      <c r="AA1022" s="1">
        <v>21990</v>
      </c>
      <c r="AB1022" s="1"/>
      <c r="AC1022" s="1" t="s">
        <v>36</v>
      </c>
      <c r="AD1022" s="1" t="s">
        <v>3965</v>
      </c>
      <c r="AE1022" s="1" t="s">
        <v>32</v>
      </c>
      <c r="AF1022" s="1" t="s">
        <v>33</v>
      </c>
      <c r="AG1022" s="1" t="s">
        <v>127</v>
      </c>
    </row>
    <row r="1023" spans="1:33">
      <c r="A1023" t="s">
        <v>3966</v>
      </c>
      <c r="C1023" t="s">
        <v>1087</v>
      </c>
      <c r="E1023" t="s">
        <v>2984</v>
      </c>
      <c r="F1023" t="s">
        <v>2985</v>
      </c>
      <c r="G1023">
        <v>906.8</v>
      </c>
      <c r="H1023">
        <v>906.8</v>
      </c>
      <c r="I1023" t="s">
        <v>269</v>
      </c>
      <c r="J1023" t="s">
        <v>270</v>
      </c>
      <c r="K1023" t="s">
        <v>31</v>
      </c>
      <c r="L1023" t="s">
        <v>32</v>
      </c>
      <c r="M1023" t="s">
        <v>33</v>
      </c>
      <c r="P1023" s="1" t="s">
        <v>3967</v>
      </c>
      <c r="Q1023" s="1" t="s">
        <v>2984</v>
      </c>
      <c r="R1023" s="1" t="s">
        <v>2984</v>
      </c>
      <c r="S1023" s="1"/>
      <c r="T1023" s="1" t="s">
        <v>1087</v>
      </c>
      <c r="U1023" s="1"/>
      <c r="V1023" s="1">
        <v>906.8</v>
      </c>
      <c r="W1023" s="1">
        <v>906.8</v>
      </c>
      <c r="X1023" s="1" t="s">
        <v>35</v>
      </c>
      <c r="Y1023" s="1">
        <v>906800.0</v>
      </c>
      <c r="Z1023" s="1"/>
      <c r="AA1023" s="1">
        <v>906800</v>
      </c>
      <c r="AB1023" s="1"/>
      <c r="AC1023" s="1" t="s">
        <v>36</v>
      </c>
      <c r="AD1023" s="1" t="s">
        <v>3968</v>
      </c>
      <c r="AE1023" s="1" t="s">
        <v>32</v>
      </c>
      <c r="AF1023" s="1" t="s">
        <v>33</v>
      </c>
      <c r="AG1023" s="1" t="s">
        <v>270</v>
      </c>
    </row>
    <row r="1024" spans="1:33">
      <c r="A1024" t="s">
        <v>3969</v>
      </c>
      <c r="C1024" t="s">
        <v>131</v>
      </c>
      <c r="E1024" t="s">
        <v>2984</v>
      </c>
      <c r="F1024" t="s">
        <v>2985</v>
      </c>
      <c r="G1024">
        <v>76.07</v>
      </c>
      <c r="H1024">
        <v>76.07</v>
      </c>
      <c r="I1024" t="s">
        <v>94</v>
      </c>
      <c r="J1024" t="s">
        <v>95</v>
      </c>
      <c r="K1024" t="s">
        <v>31</v>
      </c>
      <c r="L1024" t="s">
        <v>32</v>
      </c>
      <c r="M1024" t="s">
        <v>33</v>
      </c>
      <c r="P1024" s="1" t="s">
        <v>3970</v>
      </c>
      <c r="Q1024" s="1" t="s">
        <v>2984</v>
      </c>
      <c r="R1024" s="1" t="s">
        <v>2984</v>
      </c>
      <c r="S1024" s="1"/>
      <c r="T1024" s="1" t="s">
        <v>131</v>
      </c>
      <c r="U1024" s="1"/>
      <c r="V1024" s="1">
        <v>76.07</v>
      </c>
      <c r="W1024" s="1">
        <v>76.07</v>
      </c>
      <c r="X1024" s="1" t="s">
        <v>35</v>
      </c>
      <c r="Y1024" s="1">
        <v>76070.0</v>
      </c>
      <c r="Z1024" s="1"/>
      <c r="AA1024" s="1">
        <v>76070</v>
      </c>
      <c r="AB1024" s="1"/>
      <c r="AC1024" s="1" t="s">
        <v>36</v>
      </c>
      <c r="AD1024" s="1" t="s">
        <v>3971</v>
      </c>
      <c r="AE1024" s="1" t="s">
        <v>32</v>
      </c>
      <c r="AF1024" s="1" t="s">
        <v>33</v>
      </c>
      <c r="AG1024" s="1" t="s">
        <v>95</v>
      </c>
    </row>
    <row r="1025" spans="1:33">
      <c r="A1025" t="s">
        <v>3972</v>
      </c>
      <c r="B1025" t="s">
        <v>3951</v>
      </c>
      <c r="C1025" t="s">
        <v>314</v>
      </c>
      <c r="E1025" t="s">
        <v>2984</v>
      </c>
      <c r="F1025" t="s">
        <v>2985</v>
      </c>
      <c r="G1025">
        <v>37.18</v>
      </c>
      <c r="H1025">
        <v>37.18</v>
      </c>
      <c r="I1025" t="s">
        <v>179</v>
      </c>
      <c r="J1025" t="s">
        <v>180</v>
      </c>
      <c r="K1025" t="s">
        <v>31</v>
      </c>
      <c r="L1025" t="s">
        <v>32</v>
      </c>
      <c r="M1025" t="s">
        <v>33</v>
      </c>
      <c r="P1025" s="1" t="s">
        <v>3973</v>
      </c>
      <c r="Q1025" s="1" t="s">
        <v>2984</v>
      </c>
      <c r="R1025" s="1" t="s">
        <v>2984</v>
      </c>
      <c r="S1025" s="1"/>
      <c r="T1025" s="1" t="s">
        <v>314</v>
      </c>
      <c r="U1025" s="1"/>
      <c r="V1025" s="1">
        <v>37.18</v>
      </c>
      <c r="W1025" s="1">
        <v>37.18</v>
      </c>
      <c r="X1025" s="1" t="s">
        <v>35</v>
      </c>
      <c r="Y1025" s="1">
        <v>37180.0</v>
      </c>
      <c r="Z1025" s="1"/>
      <c r="AA1025" s="1">
        <v>37180</v>
      </c>
      <c r="AB1025" s="1"/>
      <c r="AC1025" s="1" t="s">
        <v>36</v>
      </c>
      <c r="AD1025" s="1" t="s">
        <v>3974</v>
      </c>
      <c r="AE1025" s="1" t="s">
        <v>32</v>
      </c>
      <c r="AF1025" s="1" t="s">
        <v>33</v>
      </c>
      <c r="AG1025" s="1" t="s">
        <v>180</v>
      </c>
    </row>
    <row r="1026" spans="1:33">
      <c r="A1026" t="s">
        <v>3975</v>
      </c>
      <c r="C1026" t="s">
        <v>131</v>
      </c>
      <c r="E1026" t="s">
        <v>2984</v>
      </c>
      <c r="F1026" t="s">
        <v>2985</v>
      </c>
      <c r="G1026">
        <v>21.99</v>
      </c>
      <c r="H1026">
        <v>21.99</v>
      </c>
      <c r="I1026" t="s">
        <v>94</v>
      </c>
      <c r="J1026" t="s">
        <v>95</v>
      </c>
      <c r="K1026" t="s">
        <v>31</v>
      </c>
      <c r="L1026" t="s">
        <v>32</v>
      </c>
      <c r="M1026" t="s">
        <v>33</v>
      </c>
      <c r="P1026" s="1" t="s">
        <v>3976</v>
      </c>
      <c r="Q1026" s="1" t="s">
        <v>2984</v>
      </c>
      <c r="R1026" s="1" t="s">
        <v>2984</v>
      </c>
      <c r="S1026" s="1"/>
      <c r="T1026" s="1" t="s">
        <v>131</v>
      </c>
      <c r="U1026" s="1"/>
      <c r="V1026" s="1">
        <v>21.99</v>
      </c>
      <c r="W1026" s="1">
        <v>21.99</v>
      </c>
      <c r="X1026" s="1" t="s">
        <v>35</v>
      </c>
      <c r="Y1026" s="1">
        <v>21990.0</v>
      </c>
      <c r="Z1026" s="1"/>
      <c r="AA1026" s="1">
        <v>21990</v>
      </c>
      <c r="AB1026" s="1"/>
      <c r="AC1026" s="1" t="s">
        <v>36</v>
      </c>
      <c r="AD1026" s="1" t="s">
        <v>3977</v>
      </c>
      <c r="AE1026" s="1" t="s">
        <v>32</v>
      </c>
      <c r="AF1026" s="1" t="s">
        <v>33</v>
      </c>
      <c r="AG1026" s="1" t="s">
        <v>95</v>
      </c>
    </row>
    <row r="1027" spans="1:33">
      <c r="A1027" t="s">
        <v>3978</v>
      </c>
      <c r="C1027" t="s">
        <v>3979</v>
      </c>
      <c r="E1027" t="s">
        <v>2984</v>
      </c>
      <c r="F1027" t="s">
        <v>2985</v>
      </c>
      <c r="G1027">
        <v>526.0</v>
      </c>
      <c r="H1027">
        <v>526.0</v>
      </c>
      <c r="I1027" t="s">
        <v>173</v>
      </c>
      <c r="J1027" t="s">
        <v>174</v>
      </c>
      <c r="K1027" t="s">
        <v>31</v>
      </c>
      <c r="L1027" t="s">
        <v>32</v>
      </c>
      <c r="M1027" t="s">
        <v>33</v>
      </c>
      <c r="P1027" s="1" t="s">
        <v>3980</v>
      </c>
      <c r="Q1027" s="1" t="s">
        <v>2984</v>
      </c>
      <c r="R1027" s="1" t="s">
        <v>2984</v>
      </c>
      <c r="S1027" s="1"/>
      <c r="T1027" s="1" t="s">
        <v>3979</v>
      </c>
      <c r="U1027" s="1"/>
      <c r="V1027" s="1">
        <v>526.0</v>
      </c>
      <c r="W1027" s="1">
        <v>526.0</v>
      </c>
      <c r="X1027" s="1" t="s">
        <v>35</v>
      </c>
      <c r="Y1027" s="1">
        <v>526000.0</v>
      </c>
      <c r="Z1027" s="1"/>
      <c r="AA1027" s="1">
        <v>526000</v>
      </c>
      <c r="AB1027" s="1"/>
      <c r="AC1027" s="1" t="s">
        <v>36</v>
      </c>
      <c r="AD1027" s="1" t="s">
        <v>3981</v>
      </c>
      <c r="AE1027" s="1" t="s">
        <v>32</v>
      </c>
      <c r="AF1027" s="1" t="s">
        <v>33</v>
      </c>
      <c r="AG1027" s="1" t="s">
        <v>174</v>
      </c>
    </row>
    <row r="1028" spans="1:33">
      <c r="A1028" t="s">
        <v>3982</v>
      </c>
      <c r="C1028" t="s">
        <v>131</v>
      </c>
      <c r="E1028" t="s">
        <v>2984</v>
      </c>
      <c r="F1028" t="s">
        <v>2985</v>
      </c>
      <c r="G1028">
        <v>199.43</v>
      </c>
      <c r="H1028">
        <v>199.43</v>
      </c>
      <c r="I1028" t="s">
        <v>94</v>
      </c>
      <c r="J1028" t="s">
        <v>95</v>
      </c>
      <c r="K1028" t="s">
        <v>31</v>
      </c>
      <c r="L1028" t="s">
        <v>32</v>
      </c>
      <c r="M1028" t="s">
        <v>33</v>
      </c>
      <c r="P1028" s="1" t="s">
        <v>3983</v>
      </c>
      <c r="Q1028" s="1" t="s">
        <v>2984</v>
      </c>
      <c r="R1028" s="1" t="s">
        <v>2984</v>
      </c>
      <c r="S1028" s="1"/>
      <c r="T1028" s="1" t="s">
        <v>131</v>
      </c>
      <c r="U1028" s="1"/>
      <c r="V1028" s="1">
        <v>199.43</v>
      </c>
      <c r="W1028" s="1">
        <v>199.43</v>
      </c>
      <c r="X1028" s="1" t="s">
        <v>35</v>
      </c>
      <c r="Y1028" s="1">
        <v>199430.0</v>
      </c>
      <c r="Z1028" s="1"/>
      <c r="AA1028" s="1">
        <v>199430</v>
      </c>
      <c r="AB1028" s="1"/>
      <c r="AC1028" s="1" t="s">
        <v>36</v>
      </c>
      <c r="AD1028" s="1" t="s">
        <v>3984</v>
      </c>
      <c r="AE1028" s="1" t="s">
        <v>32</v>
      </c>
      <c r="AF1028" s="1" t="s">
        <v>33</v>
      </c>
      <c r="AG1028" s="1" t="s">
        <v>95</v>
      </c>
    </row>
    <row r="1029" spans="1:33">
      <c r="A1029" t="s">
        <v>3985</v>
      </c>
      <c r="B1029" t="s">
        <v>3986</v>
      </c>
      <c r="C1029" t="s">
        <v>314</v>
      </c>
      <c r="E1029" t="s">
        <v>2984</v>
      </c>
      <c r="F1029" t="s">
        <v>2985</v>
      </c>
      <c r="G1029">
        <v>18.59</v>
      </c>
      <c r="H1029">
        <v>18.59</v>
      </c>
      <c r="I1029" t="s">
        <v>179</v>
      </c>
      <c r="J1029" t="s">
        <v>180</v>
      </c>
      <c r="K1029" t="s">
        <v>31</v>
      </c>
      <c r="L1029" t="s">
        <v>32</v>
      </c>
      <c r="M1029" t="s">
        <v>33</v>
      </c>
      <c r="P1029" s="1" t="s">
        <v>3987</v>
      </c>
      <c r="Q1029" s="1" t="s">
        <v>2984</v>
      </c>
      <c r="R1029" s="1" t="s">
        <v>2984</v>
      </c>
      <c r="S1029" s="1"/>
      <c r="T1029" s="1" t="s">
        <v>314</v>
      </c>
      <c r="U1029" s="1"/>
      <c r="V1029" s="1">
        <v>18.59</v>
      </c>
      <c r="W1029" s="1">
        <v>18.59</v>
      </c>
      <c r="X1029" s="1" t="s">
        <v>35</v>
      </c>
      <c r="Y1029" s="1">
        <v>18590.0</v>
      </c>
      <c r="Z1029" s="1"/>
      <c r="AA1029" s="1">
        <v>18590</v>
      </c>
      <c r="AB1029" s="1"/>
      <c r="AC1029" s="1" t="s">
        <v>36</v>
      </c>
      <c r="AD1029" s="1" t="s">
        <v>3988</v>
      </c>
      <c r="AE1029" s="1" t="s">
        <v>32</v>
      </c>
      <c r="AF1029" s="1" t="s">
        <v>33</v>
      </c>
      <c r="AG1029" s="1" t="s">
        <v>180</v>
      </c>
    </row>
    <row r="1030" spans="1:33">
      <c r="A1030" t="s">
        <v>3989</v>
      </c>
      <c r="C1030" t="s">
        <v>1079</v>
      </c>
      <c r="D1030" t="s">
        <v>114</v>
      </c>
      <c r="E1030" t="s">
        <v>2984</v>
      </c>
      <c r="F1030" t="s">
        <v>2985</v>
      </c>
      <c r="G1030">
        <v>3.848</v>
      </c>
      <c r="H1030">
        <v>3.848</v>
      </c>
      <c r="I1030" t="s">
        <v>269</v>
      </c>
      <c r="J1030" t="s">
        <v>270</v>
      </c>
      <c r="K1030" t="s">
        <v>31</v>
      </c>
      <c r="L1030" t="s">
        <v>32</v>
      </c>
      <c r="M1030" t="s">
        <v>33</v>
      </c>
      <c r="P1030" s="1" t="s">
        <v>3990</v>
      </c>
      <c r="Q1030" s="1" t="s">
        <v>2984</v>
      </c>
      <c r="R1030" s="1" t="s">
        <v>2984</v>
      </c>
      <c r="S1030" s="1"/>
      <c r="T1030" s="1" t="s">
        <v>1079</v>
      </c>
      <c r="U1030" s="1"/>
      <c r="V1030" s="1">
        <v>3.848</v>
      </c>
      <c r="W1030" s="1">
        <v>3.848</v>
      </c>
      <c r="X1030" s="1" t="s">
        <v>35</v>
      </c>
      <c r="Y1030" s="1">
        <v>3848600.0</v>
      </c>
      <c r="Z1030" s="1"/>
      <c r="AA1030" s="1">
        <v>3848600</v>
      </c>
      <c r="AB1030" s="1"/>
      <c r="AC1030" s="1" t="s">
        <v>36</v>
      </c>
      <c r="AD1030" s="1" t="s">
        <v>3991</v>
      </c>
      <c r="AE1030" s="1" t="s">
        <v>32</v>
      </c>
      <c r="AF1030" s="1" t="s">
        <v>33</v>
      </c>
      <c r="AG1030" s="1" t="s">
        <v>270</v>
      </c>
    </row>
    <row r="1031" spans="1:33">
      <c r="A1031" t="s">
        <v>3992</v>
      </c>
      <c r="B1031" t="s">
        <v>3993</v>
      </c>
      <c r="C1031" t="s">
        <v>47</v>
      </c>
      <c r="E1031" t="s">
        <v>3238</v>
      </c>
      <c r="F1031" t="s">
        <v>3239</v>
      </c>
      <c r="G1031">
        <v>705.0</v>
      </c>
      <c r="H1031">
        <v>705.0</v>
      </c>
      <c r="I1031" t="s">
        <v>2206</v>
      </c>
      <c r="J1031" t="s">
        <v>49</v>
      </c>
      <c r="K1031" t="s">
        <v>31</v>
      </c>
      <c r="L1031" t="s">
        <v>32</v>
      </c>
      <c r="M1031" t="s">
        <v>33</v>
      </c>
      <c r="P1031" s="1" t="s">
        <v>3994</v>
      </c>
      <c r="Q1031" s="1" t="s">
        <v>3238</v>
      </c>
      <c r="R1031" s="1" t="s">
        <v>3238</v>
      </c>
      <c r="S1031" s="1"/>
      <c r="T1031" s="1" t="s">
        <v>47</v>
      </c>
      <c r="U1031" s="1"/>
      <c r="V1031" s="1">
        <v>705.0</v>
      </c>
      <c r="W1031" s="1">
        <v>705.0</v>
      </c>
      <c r="X1031" s="1" t="s">
        <v>35</v>
      </c>
      <c r="Y1031" s="1">
        <v>705000.0</v>
      </c>
      <c r="Z1031" s="1"/>
      <c r="AA1031" s="1">
        <v>705000</v>
      </c>
      <c r="AB1031" s="1"/>
      <c r="AC1031" s="1" t="s">
        <v>36</v>
      </c>
      <c r="AD1031" s="1" t="s">
        <v>3995</v>
      </c>
      <c r="AE1031" s="1" t="s">
        <v>32</v>
      </c>
      <c r="AF1031" s="1" t="s">
        <v>33</v>
      </c>
      <c r="AG1031" s="1" t="s">
        <v>49</v>
      </c>
    </row>
    <row r="1032" spans="1:33">
      <c r="A1032" t="s">
        <v>3996</v>
      </c>
      <c r="C1032" t="s">
        <v>392</v>
      </c>
      <c r="E1032" t="s">
        <v>3238</v>
      </c>
      <c r="F1032" t="s">
        <v>3239</v>
      </c>
      <c r="G1032">
        <v>357.0</v>
      </c>
      <c r="H1032">
        <v>357.0</v>
      </c>
      <c r="I1032" t="s">
        <v>2206</v>
      </c>
      <c r="J1032" t="s">
        <v>49</v>
      </c>
      <c r="K1032" t="s">
        <v>31</v>
      </c>
      <c r="L1032" t="s">
        <v>32</v>
      </c>
      <c r="M1032" t="s">
        <v>33</v>
      </c>
      <c r="P1032" s="1" t="s">
        <v>3997</v>
      </c>
      <c r="Q1032" s="1" t="s">
        <v>3238</v>
      </c>
      <c r="R1032" s="1" t="s">
        <v>3238</v>
      </c>
      <c r="S1032" s="1"/>
      <c r="T1032" s="1" t="s">
        <v>392</v>
      </c>
      <c r="U1032" s="1"/>
      <c r="V1032" s="1">
        <v>357.0</v>
      </c>
      <c r="W1032" s="1">
        <v>357.0</v>
      </c>
      <c r="X1032" s="1" t="s">
        <v>35</v>
      </c>
      <c r="Y1032" s="1">
        <v>357000.0</v>
      </c>
      <c r="Z1032" s="1"/>
      <c r="AA1032" s="1">
        <v>357000</v>
      </c>
      <c r="AB1032" s="1"/>
      <c r="AC1032" s="1" t="s">
        <v>36</v>
      </c>
      <c r="AD1032" s="1" t="s">
        <v>3998</v>
      </c>
      <c r="AE1032" s="1" t="s">
        <v>32</v>
      </c>
      <c r="AF1032" s="1" t="s">
        <v>33</v>
      </c>
      <c r="AG1032" s="1" t="s">
        <v>49</v>
      </c>
    </row>
    <row r="1033" spans="1:33">
      <c r="A1033" t="s">
        <v>3999</v>
      </c>
      <c r="C1033" t="s">
        <v>866</v>
      </c>
      <c r="D1033" t="s">
        <v>154</v>
      </c>
      <c r="E1033" t="s">
        <v>3238</v>
      </c>
      <c r="F1033" t="s">
        <v>3239</v>
      </c>
      <c r="G1033">
        <v>336.0</v>
      </c>
      <c r="H1033">
        <v>336.0</v>
      </c>
      <c r="I1033" t="s">
        <v>2206</v>
      </c>
      <c r="J1033" t="s">
        <v>49</v>
      </c>
      <c r="K1033" t="s">
        <v>31</v>
      </c>
      <c r="L1033" t="s">
        <v>32</v>
      </c>
      <c r="M1033" t="s">
        <v>33</v>
      </c>
      <c r="P1033" s="1" t="s">
        <v>4000</v>
      </c>
      <c r="Q1033" s="1" t="s">
        <v>3238</v>
      </c>
      <c r="R1033" s="1" t="s">
        <v>3238</v>
      </c>
      <c r="S1033" s="1"/>
      <c r="T1033" s="1" t="s">
        <v>868</v>
      </c>
      <c r="U1033" s="1" t="s">
        <v>869</v>
      </c>
      <c r="V1033" s="1">
        <v>336.0</v>
      </c>
      <c r="W1033" s="1">
        <v>336.0</v>
      </c>
      <c r="X1033" s="1" t="s">
        <v>35</v>
      </c>
      <c r="Y1033" s="1">
        <v>336000.0</v>
      </c>
      <c r="Z1033" s="1"/>
      <c r="AA1033" s="1">
        <v>336000</v>
      </c>
      <c r="AB1033" s="1"/>
      <c r="AC1033" s="1" t="s">
        <v>36</v>
      </c>
      <c r="AD1033" s="1" t="s">
        <v>4001</v>
      </c>
      <c r="AE1033" s="1" t="s">
        <v>32</v>
      </c>
      <c r="AF1033" s="1" t="s">
        <v>33</v>
      </c>
      <c r="AG1033" s="1" t="s">
        <v>49</v>
      </c>
    </row>
    <row r="1034" spans="1:33">
      <c r="A1034" t="s">
        <v>4002</v>
      </c>
      <c r="C1034" t="s">
        <v>1732</v>
      </c>
      <c r="E1034" t="s">
        <v>3238</v>
      </c>
      <c r="F1034" t="s">
        <v>3239</v>
      </c>
      <c r="G1034">
        <v>378.2</v>
      </c>
      <c r="H1034">
        <v>378.2</v>
      </c>
      <c r="I1034" t="s">
        <v>94</v>
      </c>
      <c r="J1034" t="s">
        <v>95</v>
      </c>
      <c r="K1034" t="s">
        <v>31</v>
      </c>
      <c r="L1034" t="s">
        <v>32</v>
      </c>
      <c r="M1034" t="s">
        <v>33</v>
      </c>
      <c r="P1034" s="1" t="s">
        <v>4003</v>
      </c>
      <c r="Q1034" s="1" t="s">
        <v>3238</v>
      </c>
      <c r="R1034" s="1" t="s">
        <v>3238</v>
      </c>
      <c r="S1034" s="1"/>
      <c r="T1034" s="1" t="s">
        <v>1732</v>
      </c>
      <c r="U1034" s="1"/>
      <c r="V1034" s="1">
        <v>378.2</v>
      </c>
      <c r="W1034" s="1">
        <v>378.2</v>
      </c>
      <c r="X1034" s="1" t="s">
        <v>35</v>
      </c>
      <c r="Y1034" s="1">
        <v>378200.0</v>
      </c>
      <c r="Z1034" s="1"/>
      <c r="AA1034" s="1">
        <v>378200</v>
      </c>
      <c r="AB1034" s="1"/>
      <c r="AC1034" s="1" t="s">
        <v>36</v>
      </c>
      <c r="AD1034" s="1" t="s">
        <v>4004</v>
      </c>
      <c r="AE1034" s="1" t="s">
        <v>32</v>
      </c>
      <c r="AF1034" s="1" t="s">
        <v>33</v>
      </c>
      <c r="AG1034" s="1" t="s">
        <v>95</v>
      </c>
    </row>
    <row r="1035" spans="1:33">
      <c r="A1035" t="s">
        <v>4005</v>
      </c>
      <c r="C1035" t="s">
        <v>725</v>
      </c>
      <c r="E1035" t="s">
        <v>3238</v>
      </c>
      <c r="F1035" t="s">
        <v>3239</v>
      </c>
      <c r="G1035">
        <v>856.0</v>
      </c>
      <c r="H1035">
        <v>856.0</v>
      </c>
      <c r="I1035" t="s">
        <v>136</v>
      </c>
      <c r="J1035" t="s">
        <v>137</v>
      </c>
      <c r="K1035" t="s">
        <v>31</v>
      </c>
      <c r="L1035" t="s">
        <v>32</v>
      </c>
      <c r="M1035" t="s">
        <v>33</v>
      </c>
      <c r="P1035" s="1" t="s">
        <v>4006</v>
      </c>
      <c r="Q1035" s="1" t="s">
        <v>3238</v>
      </c>
      <c r="R1035" s="1" t="s">
        <v>3238</v>
      </c>
      <c r="S1035" s="1"/>
      <c r="T1035" s="1" t="s">
        <v>725</v>
      </c>
      <c r="U1035" s="1"/>
      <c r="V1035" s="1">
        <v>856.0</v>
      </c>
      <c r="W1035" s="1">
        <v>856.0</v>
      </c>
      <c r="X1035" s="1" t="s">
        <v>35</v>
      </c>
      <c r="Y1035" s="1">
        <v>856000.0</v>
      </c>
      <c r="Z1035" s="1"/>
      <c r="AA1035" s="1">
        <v>856000</v>
      </c>
      <c r="AB1035" s="1"/>
      <c r="AC1035" s="1" t="s">
        <v>36</v>
      </c>
      <c r="AD1035" s="1" t="s">
        <v>4007</v>
      </c>
      <c r="AE1035" s="1" t="s">
        <v>32</v>
      </c>
      <c r="AF1035" s="1" t="s">
        <v>33</v>
      </c>
      <c r="AG1035" s="1" t="s">
        <v>137</v>
      </c>
    </row>
    <row r="1036" spans="1:33">
      <c r="A1036" t="s">
        <v>4008</v>
      </c>
      <c r="B1036" t="s">
        <v>4009</v>
      </c>
      <c r="C1036" t="s">
        <v>68</v>
      </c>
      <c r="E1036" t="s">
        <v>3238</v>
      </c>
      <c r="F1036" t="s">
        <v>3239</v>
      </c>
      <c r="G1036">
        <v>19.49</v>
      </c>
      <c r="H1036">
        <v>19.49</v>
      </c>
      <c r="I1036" t="s">
        <v>59</v>
      </c>
      <c r="J1036" t="s">
        <v>60</v>
      </c>
      <c r="K1036" t="s">
        <v>31</v>
      </c>
      <c r="L1036" t="s">
        <v>32</v>
      </c>
      <c r="M1036" t="s">
        <v>33</v>
      </c>
      <c r="P1036" s="1" t="s">
        <v>4010</v>
      </c>
      <c r="Q1036" s="1" t="s">
        <v>3238</v>
      </c>
      <c r="R1036" s="1" t="s">
        <v>3238</v>
      </c>
      <c r="S1036" s="1"/>
      <c r="T1036" s="1" t="s">
        <v>68</v>
      </c>
      <c r="U1036" s="1"/>
      <c r="V1036" s="1">
        <v>19.49</v>
      </c>
      <c r="W1036" s="1">
        <v>19.49</v>
      </c>
      <c r="X1036" s="1" t="s">
        <v>35</v>
      </c>
      <c r="Y1036" s="1">
        <v>19490.0</v>
      </c>
      <c r="Z1036" s="1"/>
      <c r="AA1036" s="1">
        <v>19490</v>
      </c>
      <c r="AB1036" s="1"/>
      <c r="AC1036" s="1" t="s">
        <v>36</v>
      </c>
      <c r="AD1036" s="1" t="s">
        <v>4011</v>
      </c>
      <c r="AE1036" s="1" t="s">
        <v>32</v>
      </c>
      <c r="AF1036" s="1" t="s">
        <v>33</v>
      </c>
      <c r="AG1036" s="1" t="s">
        <v>60</v>
      </c>
    </row>
    <row r="1037" spans="1:33">
      <c r="A1037" t="s">
        <v>4012</v>
      </c>
      <c r="B1037" t="s">
        <v>4013</v>
      </c>
      <c r="C1037" t="s">
        <v>68</v>
      </c>
      <c r="E1037" t="s">
        <v>3238</v>
      </c>
      <c r="F1037" t="s">
        <v>3239</v>
      </c>
      <c r="G1037">
        <v>80.97</v>
      </c>
      <c r="H1037">
        <v>80.97</v>
      </c>
      <c r="I1037" t="s">
        <v>59</v>
      </c>
      <c r="J1037" t="s">
        <v>60</v>
      </c>
      <c r="K1037" t="s">
        <v>31</v>
      </c>
      <c r="L1037" t="s">
        <v>32</v>
      </c>
      <c r="M1037" t="s">
        <v>33</v>
      </c>
      <c r="P1037" s="1" t="s">
        <v>4014</v>
      </c>
      <c r="Q1037" s="1" t="s">
        <v>3238</v>
      </c>
      <c r="R1037" s="1" t="s">
        <v>3238</v>
      </c>
      <c r="S1037" s="1"/>
      <c r="T1037" s="1" t="s">
        <v>68</v>
      </c>
      <c r="U1037" s="1"/>
      <c r="V1037" s="1">
        <v>80.97</v>
      </c>
      <c r="W1037" s="1">
        <v>80.97</v>
      </c>
      <c r="X1037" s="1" t="s">
        <v>35</v>
      </c>
      <c r="Y1037" s="1">
        <v>80970.0</v>
      </c>
      <c r="Z1037" s="1"/>
      <c r="AA1037" s="1">
        <v>80970</v>
      </c>
      <c r="AB1037" s="1"/>
      <c r="AC1037" s="1" t="s">
        <v>36</v>
      </c>
      <c r="AD1037" s="1" t="s">
        <v>4015</v>
      </c>
      <c r="AE1037" s="1" t="s">
        <v>32</v>
      </c>
      <c r="AF1037" s="1" t="s">
        <v>33</v>
      </c>
      <c r="AG1037" s="1" t="s">
        <v>60</v>
      </c>
    </row>
    <row r="1038" spans="1:33">
      <c r="A1038" t="s">
        <v>4016</v>
      </c>
      <c r="B1038" t="s">
        <v>4017</v>
      </c>
      <c r="C1038" t="s">
        <v>73</v>
      </c>
      <c r="E1038" t="s">
        <v>3238</v>
      </c>
      <c r="F1038" t="s">
        <v>3239</v>
      </c>
      <c r="G1038">
        <v>2.0</v>
      </c>
      <c r="H1038">
        <v>2.0</v>
      </c>
      <c r="I1038" t="s">
        <v>40</v>
      </c>
      <c r="J1038" t="s">
        <v>41</v>
      </c>
      <c r="K1038" t="s">
        <v>31</v>
      </c>
      <c r="L1038" t="s">
        <v>32</v>
      </c>
      <c r="M1038" t="s">
        <v>33</v>
      </c>
      <c r="P1038" s="1" t="s">
        <v>4018</v>
      </c>
      <c r="Q1038" s="1" t="s">
        <v>3238</v>
      </c>
      <c r="R1038" s="1" t="s">
        <v>2984</v>
      </c>
      <c r="S1038" s="1"/>
      <c r="T1038" s="1" t="s">
        <v>75</v>
      </c>
      <c r="U1038" s="1" t="s">
        <v>76</v>
      </c>
      <c r="V1038" s="1">
        <v>2.0</v>
      </c>
      <c r="W1038" s="1">
        <v>2.0</v>
      </c>
      <c r="X1038" s="1" t="s">
        <v>35</v>
      </c>
      <c r="Y1038" s="1">
        <v>2000</v>
      </c>
      <c r="Z1038" s="1"/>
      <c r="AA1038" s="1">
        <v>2000</v>
      </c>
      <c r="AB1038" s="1"/>
      <c r="AC1038" s="1" t="s">
        <v>36</v>
      </c>
      <c r="AD1038" s="1" t="s">
        <v>4019</v>
      </c>
      <c r="AE1038" s="1" t="s">
        <v>32</v>
      </c>
      <c r="AF1038" s="1" t="s">
        <v>33</v>
      </c>
      <c r="AG1038" s="1" t="s">
        <v>41</v>
      </c>
    </row>
    <row r="1039" spans="1:33">
      <c r="A1039" t="s">
        <v>4020</v>
      </c>
      <c r="B1039" t="s">
        <v>4021</v>
      </c>
      <c r="C1039" t="s">
        <v>26</v>
      </c>
      <c r="E1039" t="s">
        <v>3238</v>
      </c>
      <c r="F1039" t="s">
        <v>3239</v>
      </c>
      <c r="G1039">
        <v>38.764</v>
      </c>
      <c r="H1039">
        <v>38.764</v>
      </c>
      <c r="I1039" t="s">
        <v>29</v>
      </c>
      <c r="J1039" t="s">
        <v>30</v>
      </c>
      <c r="K1039" t="s">
        <v>31</v>
      </c>
      <c r="L1039" t="s">
        <v>32</v>
      </c>
      <c r="M1039" t="s">
        <v>33</v>
      </c>
      <c r="P1039" s="1" t="s">
        <v>4022</v>
      </c>
      <c r="Q1039" s="1" t="s">
        <v>3238</v>
      </c>
      <c r="R1039" s="1" t="s">
        <v>3238</v>
      </c>
      <c r="S1039" s="1"/>
      <c r="T1039" s="1" t="s">
        <v>26</v>
      </c>
      <c r="U1039" s="1"/>
      <c r="V1039" s="1">
        <v>38.764</v>
      </c>
      <c r="W1039" s="1">
        <v>38.764</v>
      </c>
      <c r="X1039" s="1" t="s">
        <v>35</v>
      </c>
      <c r="Y1039" s="1">
        <v>38764.0</v>
      </c>
      <c r="Z1039" s="1"/>
      <c r="AA1039" s="1">
        <v>38764</v>
      </c>
      <c r="AB1039" s="1"/>
      <c r="AC1039" s="1" t="s">
        <v>36</v>
      </c>
      <c r="AD1039" s="1" t="s">
        <v>4023</v>
      </c>
      <c r="AE1039" s="1" t="s">
        <v>32</v>
      </c>
      <c r="AF1039" s="1" t="s">
        <v>33</v>
      </c>
      <c r="AG1039" s="1" t="s">
        <v>30</v>
      </c>
    </row>
    <row r="1040" spans="1:33">
      <c r="A1040" t="s">
        <v>4024</v>
      </c>
      <c r="B1040" t="s">
        <v>4025</v>
      </c>
      <c r="C1040" t="s">
        <v>4026</v>
      </c>
      <c r="D1040" t="s">
        <v>114</v>
      </c>
      <c r="E1040" t="s">
        <v>3238</v>
      </c>
      <c r="F1040" t="s">
        <v>3239</v>
      </c>
      <c r="G1040">
        <v>58.25</v>
      </c>
      <c r="H1040">
        <v>58.25</v>
      </c>
      <c r="I1040" t="s">
        <v>59</v>
      </c>
      <c r="J1040" t="s">
        <v>60</v>
      </c>
      <c r="K1040" t="s">
        <v>31</v>
      </c>
      <c r="L1040" t="s">
        <v>32</v>
      </c>
      <c r="M1040" t="s">
        <v>33</v>
      </c>
      <c r="P1040" s="1" t="s">
        <v>4027</v>
      </c>
      <c r="Q1040" s="1" t="s">
        <v>3238</v>
      </c>
      <c r="R1040" s="1" t="s">
        <v>3238</v>
      </c>
      <c r="S1040" s="1"/>
      <c r="T1040" s="1" t="s">
        <v>4026</v>
      </c>
      <c r="U1040" s="1"/>
      <c r="V1040" s="1">
        <v>58.25</v>
      </c>
      <c r="W1040" s="1">
        <v>58.25</v>
      </c>
      <c r="X1040" s="1" t="s">
        <v>35</v>
      </c>
      <c r="Y1040" s="1">
        <v>58250.0</v>
      </c>
      <c r="Z1040" s="1"/>
      <c r="AA1040" s="1">
        <v>58250</v>
      </c>
      <c r="AB1040" s="1"/>
      <c r="AC1040" s="1" t="s">
        <v>36</v>
      </c>
      <c r="AD1040" s="1" t="s">
        <v>4019</v>
      </c>
      <c r="AE1040" s="1" t="s">
        <v>32</v>
      </c>
      <c r="AF1040" s="1" t="s">
        <v>33</v>
      </c>
      <c r="AG1040" s="1" t="s">
        <v>60</v>
      </c>
    </row>
    <row r="1041" spans="1:33">
      <c r="A1041" t="s">
        <v>4028</v>
      </c>
      <c r="C1041" t="s">
        <v>131</v>
      </c>
      <c r="E1041" t="s">
        <v>3238</v>
      </c>
      <c r="F1041" t="s">
        <v>3239</v>
      </c>
      <c r="G1041">
        <v>119.97</v>
      </c>
      <c r="H1041">
        <v>119.97</v>
      </c>
      <c r="I1041" t="s">
        <v>94</v>
      </c>
      <c r="J1041" t="s">
        <v>95</v>
      </c>
      <c r="K1041" t="s">
        <v>31</v>
      </c>
      <c r="L1041" t="s">
        <v>32</v>
      </c>
      <c r="M1041" t="s">
        <v>33</v>
      </c>
      <c r="P1041" s="1" t="s">
        <v>4029</v>
      </c>
      <c r="Q1041" s="1" t="s">
        <v>3238</v>
      </c>
      <c r="R1041" s="1" t="s">
        <v>3238</v>
      </c>
      <c r="S1041" s="1"/>
      <c r="T1041" s="1" t="s">
        <v>131</v>
      </c>
      <c r="U1041" s="1"/>
      <c r="V1041" s="1">
        <v>119.97</v>
      </c>
      <c r="W1041" s="1">
        <v>119.97</v>
      </c>
      <c r="X1041" s="1" t="s">
        <v>35</v>
      </c>
      <c r="Y1041" s="1">
        <v>119970.0</v>
      </c>
      <c r="Z1041" s="1"/>
      <c r="AA1041" s="1">
        <v>119970</v>
      </c>
      <c r="AB1041" s="1"/>
      <c r="AC1041" s="1" t="s">
        <v>36</v>
      </c>
      <c r="AD1041" s="1" t="s">
        <v>4030</v>
      </c>
      <c r="AE1041" s="1" t="s">
        <v>32</v>
      </c>
      <c r="AF1041" s="1" t="s">
        <v>33</v>
      </c>
      <c r="AG1041" s="1" t="s">
        <v>95</v>
      </c>
    </row>
    <row r="1042" spans="1:33">
      <c r="A1042" t="s">
        <v>4031</v>
      </c>
      <c r="C1042" t="s">
        <v>4032</v>
      </c>
      <c r="E1042" t="s">
        <v>3238</v>
      </c>
      <c r="F1042" t="s">
        <v>3239</v>
      </c>
      <c r="G1042">
        <v>297.5</v>
      </c>
      <c r="H1042">
        <v>297.5</v>
      </c>
      <c r="I1042" t="s">
        <v>94</v>
      </c>
      <c r="J1042" t="s">
        <v>95</v>
      </c>
      <c r="K1042" t="s">
        <v>31</v>
      </c>
      <c r="L1042" t="s">
        <v>32</v>
      </c>
      <c r="M1042" t="s">
        <v>33</v>
      </c>
      <c r="P1042" s="1" t="s">
        <v>4033</v>
      </c>
      <c r="Q1042" s="1" t="s">
        <v>3238</v>
      </c>
      <c r="R1042" s="1" t="s">
        <v>3238</v>
      </c>
      <c r="S1042" s="1"/>
      <c r="T1042" s="1" t="s">
        <v>4032</v>
      </c>
      <c r="U1042" s="1"/>
      <c r="V1042" s="1">
        <v>297.5</v>
      </c>
      <c r="W1042" s="1">
        <v>297.5</v>
      </c>
      <c r="X1042" s="1" t="s">
        <v>35</v>
      </c>
      <c r="Y1042" s="1">
        <v>297500.0</v>
      </c>
      <c r="Z1042" s="1"/>
      <c r="AA1042" s="1">
        <v>297500</v>
      </c>
      <c r="AB1042" s="1"/>
      <c r="AC1042" s="1" t="s">
        <v>36</v>
      </c>
      <c r="AD1042" s="1" t="s">
        <v>4034</v>
      </c>
      <c r="AE1042" s="1" t="s">
        <v>32</v>
      </c>
      <c r="AF1042" s="1" t="s">
        <v>33</v>
      </c>
      <c r="AG1042" s="1" t="s">
        <v>95</v>
      </c>
    </row>
    <row r="1043" spans="1:33">
      <c r="A1043" t="s">
        <v>4035</v>
      </c>
      <c r="C1043" t="s">
        <v>4036</v>
      </c>
      <c r="E1043" t="s">
        <v>3238</v>
      </c>
      <c r="F1043" t="s">
        <v>3239</v>
      </c>
      <c r="G1043">
        <v>656.0</v>
      </c>
      <c r="H1043">
        <v>656.0</v>
      </c>
      <c r="I1043" t="s">
        <v>94</v>
      </c>
      <c r="J1043" t="s">
        <v>95</v>
      </c>
      <c r="K1043" t="s">
        <v>31</v>
      </c>
      <c r="L1043" t="s">
        <v>32</v>
      </c>
      <c r="M1043" t="s">
        <v>33</v>
      </c>
      <c r="P1043" s="1" t="s">
        <v>4037</v>
      </c>
      <c r="Q1043" s="1" t="s">
        <v>3238</v>
      </c>
      <c r="R1043" s="1" t="s">
        <v>3238</v>
      </c>
      <c r="S1043" s="1"/>
      <c r="T1043" s="1" t="s">
        <v>4036</v>
      </c>
      <c r="U1043" s="1"/>
      <c r="V1043" s="1">
        <v>656.0</v>
      </c>
      <c r="W1043" s="1">
        <v>656.0</v>
      </c>
      <c r="X1043" s="1" t="s">
        <v>35</v>
      </c>
      <c r="Y1043" s="1">
        <v>656000.0</v>
      </c>
      <c r="Z1043" s="1"/>
      <c r="AA1043" s="1">
        <v>656000</v>
      </c>
      <c r="AB1043" s="1"/>
      <c r="AC1043" s="1" t="s">
        <v>36</v>
      </c>
      <c r="AD1043" s="1" t="s">
        <v>4038</v>
      </c>
      <c r="AE1043" s="1" t="s">
        <v>32</v>
      </c>
      <c r="AF1043" s="1" t="s">
        <v>33</v>
      </c>
      <c r="AG1043" s="1" t="s">
        <v>95</v>
      </c>
    </row>
    <row r="1044" spans="1:33">
      <c r="A1044" t="s">
        <v>4039</v>
      </c>
      <c r="B1044" t="s">
        <v>4040</v>
      </c>
      <c r="C1044" t="s">
        <v>4041</v>
      </c>
      <c r="E1044" t="s">
        <v>3238</v>
      </c>
      <c r="F1044" t="s">
        <v>3239</v>
      </c>
      <c r="G1044">
        <v>7.298</v>
      </c>
      <c r="H1044">
        <v>7.298</v>
      </c>
      <c r="I1044" t="s">
        <v>59</v>
      </c>
      <c r="J1044" t="s">
        <v>60</v>
      </c>
      <c r="K1044" t="s">
        <v>31</v>
      </c>
      <c r="L1044" t="s">
        <v>32</v>
      </c>
      <c r="M1044" t="s">
        <v>33</v>
      </c>
      <c r="P1044" s="1" t="s">
        <v>4042</v>
      </c>
      <c r="Q1044" s="1" t="s">
        <v>3238</v>
      </c>
      <c r="R1044" s="1" t="s">
        <v>3238</v>
      </c>
      <c r="S1044" s="1"/>
      <c r="T1044" s="1" t="s">
        <v>4041</v>
      </c>
      <c r="U1044" s="1"/>
      <c r="V1044" s="1">
        <v>7.298</v>
      </c>
      <c r="W1044" s="1">
        <v>7.298</v>
      </c>
      <c r="X1044" s="1" t="s">
        <v>35</v>
      </c>
      <c r="Y1044" s="1">
        <v>7298.0</v>
      </c>
      <c r="Z1044" s="1"/>
      <c r="AA1044" s="1">
        <v>7298</v>
      </c>
      <c r="AB1044" s="1"/>
      <c r="AC1044" s="1" t="s">
        <v>36</v>
      </c>
      <c r="AD1044" s="1" t="s">
        <v>4043</v>
      </c>
      <c r="AE1044" s="1" t="s">
        <v>32</v>
      </c>
      <c r="AF1044" s="1" t="s">
        <v>33</v>
      </c>
      <c r="AG1044" s="1" t="s">
        <v>60</v>
      </c>
    </row>
    <row r="1045" spans="1:33">
      <c r="A1045" t="s">
        <v>4044</v>
      </c>
      <c r="C1045" t="s">
        <v>4045</v>
      </c>
      <c r="E1045" t="s">
        <v>3238</v>
      </c>
      <c r="F1045" t="s">
        <v>3239</v>
      </c>
      <c r="G1045">
        <v>1.464</v>
      </c>
      <c r="H1045">
        <v>1.464</v>
      </c>
      <c r="I1045" t="s">
        <v>94</v>
      </c>
      <c r="J1045" t="s">
        <v>95</v>
      </c>
      <c r="K1045" t="s">
        <v>31</v>
      </c>
      <c r="L1045" t="s">
        <v>32</v>
      </c>
      <c r="M1045" t="s">
        <v>33</v>
      </c>
      <c r="P1045" s="1" t="s">
        <v>4046</v>
      </c>
      <c r="Q1045" s="1" t="s">
        <v>3238</v>
      </c>
      <c r="R1045" s="1" t="s">
        <v>3238</v>
      </c>
      <c r="S1045" s="1"/>
      <c r="T1045" s="1" t="s">
        <v>4047</v>
      </c>
      <c r="U1045" s="1" t="s">
        <v>4048</v>
      </c>
      <c r="V1045" s="1">
        <v>1.464</v>
      </c>
      <c r="W1045" s="1">
        <v>1.464</v>
      </c>
      <c r="X1045" s="1" t="s">
        <v>35</v>
      </c>
      <c r="Y1045" s="1">
        <v>1464500.0</v>
      </c>
      <c r="Z1045" s="1"/>
      <c r="AA1045" s="1">
        <v>1464500</v>
      </c>
      <c r="AB1045" s="1"/>
      <c r="AC1045" s="1" t="s">
        <v>36</v>
      </c>
      <c r="AD1045" s="1" t="s">
        <v>4049</v>
      </c>
      <c r="AE1045" s="1" t="s">
        <v>32</v>
      </c>
      <c r="AF1045" s="1" t="s">
        <v>33</v>
      </c>
      <c r="AG1045" s="1" t="s">
        <v>95</v>
      </c>
    </row>
    <row r="1046" spans="1:33">
      <c r="A1046" t="s">
        <v>4050</v>
      </c>
      <c r="C1046" t="s">
        <v>1129</v>
      </c>
      <c r="E1046" t="s">
        <v>3238</v>
      </c>
      <c r="F1046" t="s">
        <v>3239</v>
      </c>
      <c r="G1046">
        <v>386.4</v>
      </c>
      <c r="H1046">
        <v>386.4</v>
      </c>
      <c r="I1046" t="s">
        <v>94</v>
      </c>
      <c r="J1046" t="s">
        <v>95</v>
      </c>
      <c r="K1046" t="s">
        <v>31</v>
      </c>
      <c r="L1046" t="s">
        <v>32</v>
      </c>
      <c r="M1046" t="s">
        <v>33</v>
      </c>
      <c r="P1046" s="1" t="s">
        <v>4051</v>
      </c>
      <c r="Q1046" s="1" t="s">
        <v>3238</v>
      </c>
      <c r="R1046" s="1" t="s">
        <v>3238</v>
      </c>
      <c r="S1046" s="1"/>
      <c r="T1046" s="1" t="s">
        <v>1129</v>
      </c>
      <c r="U1046" s="1"/>
      <c r="V1046" s="1">
        <v>386.4</v>
      </c>
      <c r="W1046" s="1">
        <v>386.4</v>
      </c>
      <c r="X1046" s="1" t="s">
        <v>35</v>
      </c>
      <c r="Y1046" s="1">
        <v>386400.0</v>
      </c>
      <c r="Z1046" s="1"/>
      <c r="AA1046" s="1">
        <v>386400</v>
      </c>
      <c r="AB1046" s="1"/>
      <c r="AC1046" s="1" t="s">
        <v>36</v>
      </c>
      <c r="AD1046" s="1" t="s">
        <v>4043</v>
      </c>
      <c r="AE1046" s="1" t="s">
        <v>32</v>
      </c>
      <c r="AF1046" s="1" t="s">
        <v>33</v>
      </c>
      <c r="AG1046" s="1" t="s">
        <v>95</v>
      </c>
    </row>
    <row r="1047" spans="1:33">
      <c r="A1047" t="s">
        <v>4052</v>
      </c>
      <c r="B1047" t="s">
        <v>4053</v>
      </c>
      <c r="C1047" t="s">
        <v>4054</v>
      </c>
      <c r="E1047" t="s">
        <v>3238</v>
      </c>
      <c r="F1047" t="s">
        <v>3239</v>
      </c>
      <c r="G1047">
        <v>26.788</v>
      </c>
      <c r="H1047">
        <v>26.788</v>
      </c>
      <c r="I1047" t="s">
        <v>59</v>
      </c>
      <c r="J1047" t="s">
        <v>60</v>
      </c>
      <c r="K1047" t="s">
        <v>31</v>
      </c>
      <c r="L1047" t="s">
        <v>32</v>
      </c>
      <c r="M1047" t="s">
        <v>33</v>
      </c>
      <c r="P1047" s="1" t="s">
        <v>4055</v>
      </c>
      <c r="Q1047" s="1" t="s">
        <v>3238</v>
      </c>
      <c r="R1047" s="1" t="s">
        <v>3238</v>
      </c>
      <c r="S1047" s="1"/>
      <c r="T1047" s="1" t="s">
        <v>4054</v>
      </c>
      <c r="U1047" s="1"/>
      <c r="V1047" s="1">
        <v>26.788</v>
      </c>
      <c r="W1047" s="1">
        <v>26.788</v>
      </c>
      <c r="X1047" s="1" t="s">
        <v>35</v>
      </c>
      <c r="Y1047" s="1">
        <v>26788.0</v>
      </c>
      <c r="Z1047" s="1"/>
      <c r="AA1047" s="1">
        <v>26788</v>
      </c>
      <c r="AB1047" s="1"/>
      <c r="AC1047" s="1" t="s">
        <v>36</v>
      </c>
      <c r="AD1047" s="1" t="s">
        <v>4056</v>
      </c>
      <c r="AE1047" s="1" t="s">
        <v>32</v>
      </c>
      <c r="AF1047" s="1" t="s">
        <v>33</v>
      </c>
      <c r="AG1047" s="1" t="s">
        <v>60</v>
      </c>
    </row>
    <row r="1048" spans="1:33">
      <c r="A1048" t="s">
        <v>4057</v>
      </c>
      <c r="B1048" t="s">
        <v>4058</v>
      </c>
      <c r="C1048" t="s">
        <v>4059</v>
      </c>
      <c r="E1048" t="s">
        <v>3238</v>
      </c>
      <c r="F1048" t="s">
        <v>3239</v>
      </c>
      <c r="G1048">
        <v>166.25</v>
      </c>
      <c r="H1048">
        <v>166.25</v>
      </c>
      <c r="I1048" t="s">
        <v>29</v>
      </c>
      <c r="J1048" t="s">
        <v>30</v>
      </c>
      <c r="K1048" t="s">
        <v>31</v>
      </c>
      <c r="L1048" t="s">
        <v>32</v>
      </c>
      <c r="M1048" t="s">
        <v>33</v>
      </c>
      <c r="P1048" s="1" t="s">
        <v>4060</v>
      </c>
      <c r="Q1048" s="1" t="s">
        <v>3238</v>
      </c>
      <c r="R1048" s="1" t="s">
        <v>3238</v>
      </c>
      <c r="S1048" s="1"/>
      <c r="T1048" s="1" t="s">
        <v>4059</v>
      </c>
      <c r="U1048" s="1"/>
      <c r="V1048" s="1">
        <v>166.25</v>
      </c>
      <c r="W1048" s="1">
        <v>166.25</v>
      </c>
      <c r="X1048" s="1" t="s">
        <v>35</v>
      </c>
      <c r="Y1048" s="1">
        <v>166250.0</v>
      </c>
      <c r="Z1048" s="1"/>
      <c r="AA1048" s="1">
        <v>166250</v>
      </c>
      <c r="AB1048" s="1"/>
      <c r="AC1048" s="1" t="s">
        <v>36</v>
      </c>
      <c r="AD1048" s="1" t="s">
        <v>4061</v>
      </c>
      <c r="AE1048" s="1" t="s">
        <v>32</v>
      </c>
      <c r="AF1048" s="1" t="s">
        <v>33</v>
      </c>
      <c r="AG1048" s="1" t="s">
        <v>30</v>
      </c>
    </row>
    <row r="1049" spans="1:33">
      <c r="A1049" t="s">
        <v>4062</v>
      </c>
      <c r="B1049" t="s">
        <v>57</v>
      </c>
      <c r="C1049" t="s">
        <v>58</v>
      </c>
      <c r="E1049" t="s">
        <v>3238</v>
      </c>
      <c r="F1049" t="s">
        <v>3239</v>
      </c>
      <c r="G1049">
        <v>375.0</v>
      </c>
      <c r="H1049">
        <v>375.0</v>
      </c>
      <c r="I1049" t="s">
        <v>59</v>
      </c>
      <c r="J1049" t="s">
        <v>60</v>
      </c>
      <c r="K1049" t="s">
        <v>31</v>
      </c>
      <c r="L1049" t="s">
        <v>32</v>
      </c>
      <c r="M1049" t="s">
        <v>33</v>
      </c>
      <c r="P1049" s="1" t="s">
        <v>4063</v>
      </c>
      <c r="Q1049" s="1" t="s">
        <v>3238</v>
      </c>
      <c r="R1049" s="1" t="s">
        <v>3238</v>
      </c>
      <c r="S1049" s="1"/>
      <c r="T1049" s="1" t="s">
        <v>58</v>
      </c>
      <c r="U1049" s="1"/>
      <c r="V1049" s="1">
        <v>375.0</v>
      </c>
      <c r="W1049" s="1">
        <v>375.0</v>
      </c>
      <c r="X1049" s="1" t="s">
        <v>35</v>
      </c>
      <c r="Y1049" s="1">
        <v>375000.0</v>
      </c>
      <c r="Z1049" s="1"/>
      <c r="AA1049" s="1">
        <v>375000</v>
      </c>
      <c r="AB1049" s="1"/>
      <c r="AC1049" s="1" t="s">
        <v>36</v>
      </c>
      <c r="AD1049" s="1" t="s">
        <v>4064</v>
      </c>
      <c r="AE1049" s="1" t="s">
        <v>32</v>
      </c>
      <c r="AF1049" s="1" t="s">
        <v>33</v>
      </c>
      <c r="AG1049" s="1" t="s">
        <v>60</v>
      </c>
    </row>
    <row r="1050" spans="1:33">
      <c r="A1050" t="s">
        <v>4065</v>
      </c>
      <c r="B1050" t="s">
        <v>4066</v>
      </c>
      <c r="C1050" t="s">
        <v>68</v>
      </c>
      <c r="E1050" t="s">
        <v>3238</v>
      </c>
      <c r="F1050" t="s">
        <v>3239</v>
      </c>
      <c r="G1050">
        <v>51.733</v>
      </c>
      <c r="H1050">
        <v>51.733</v>
      </c>
      <c r="I1050" t="s">
        <v>59</v>
      </c>
      <c r="J1050" t="s">
        <v>60</v>
      </c>
      <c r="K1050" t="s">
        <v>31</v>
      </c>
      <c r="L1050" t="s">
        <v>32</v>
      </c>
      <c r="M1050" t="s">
        <v>33</v>
      </c>
      <c r="P1050" s="1" t="s">
        <v>4067</v>
      </c>
      <c r="Q1050" s="1" t="s">
        <v>3238</v>
      </c>
      <c r="R1050" s="1" t="s">
        <v>3238</v>
      </c>
      <c r="S1050" s="1"/>
      <c r="T1050" s="1" t="s">
        <v>68</v>
      </c>
      <c r="U1050" s="1"/>
      <c r="V1050" s="1">
        <v>51.733</v>
      </c>
      <c r="W1050" s="1">
        <v>51.733</v>
      </c>
      <c r="X1050" s="1" t="s">
        <v>35</v>
      </c>
      <c r="Y1050" s="1">
        <v>51733.0</v>
      </c>
      <c r="Z1050" s="1"/>
      <c r="AA1050" s="1">
        <v>51733</v>
      </c>
      <c r="AB1050" s="1"/>
      <c r="AC1050" s="1" t="s">
        <v>36</v>
      </c>
      <c r="AD1050" s="1" t="s">
        <v>4068</v>
      </c>
      <c r="AE1050" s="1" t="s">
        <v>32</v>
      </c>
      <c r="AF1050" s="1" t="s">
        <v>33</v>
      </c>
      <c r="AG1050" s="1" t="s">
        <v>60</v>
      </c>
    </row>
    <row r="1051" spans="1:33">
      <c r="A1051" t="s">
        <v>4069</v>
      </c>
      <c r="B1051" t="s">
        <v>4070</v>
      </c>
      <c r="C1051" t="s">
        <v>26</v>
      </c>
      <c r="E1051" t="s">
        <v>3238</v>
      </c>
      <c r="F1051" t="s">
        <v>3239</v>
      </c>
      <c r="G1051">
        <v>65.98</v>
      </c>
      <c r="H1051">
        <v>65.98</v>
      </c>
      <c r="I1051" t="s">
        <v>29</v>
      </c>
      <c r="J1051" t="s">
        <v>30</v>
      </c>
      <c r="K1051" t="s">
        <v>31</v>
      </c>
      <c r="L1051" t="s">
        <v>32</v>
      </c>
      <c r="M1051" t="s">
        <v>33</v>
      </c>
      <c r="P1051" s="1" t="s">
        <v>4071</v>
      </c>
      <c r="Q1051" s="1" t="s">
        <v>3238</v>
      </c>
      <c r="R1051" s="1" t="s">
        <v>3238</v>
      </c>
      <c r="S1051" s="1"/>
      <c r="T1051" s="1" t="s">
        <v>26</v>
      </c>
      <c r="U1051" s="1"/>
      <c r="V1051" s="1">
        <v>65.98</v>
      </c>
      <c r="W1051" s="1">
        <v>65.98</v>
      </c>
      <c r="X1051" s="1" t="s">
        <v>35</v>
      </c>
      <c r="Y1051" s="1">
        <v>65980.0</v>
      </c>
      <c r="Z1051" s="1"/>
      <c r="AA1051" s="1">
        <v>65980</v>
      </c>
      <c r="AB1051" s="1"/>
      <c r="AC1051" s="1" t="s">
        <v>36</v>
      </c>
      <c r="AD1051" s="1" t="s">
        <v>4072</v>
      </c>
      <c r="AE1051" s="1" t="s">
        <v>32</v>
      </c>
      <c r="AF1051" s="1" t="s">
        <v>33</v>
      </c>
      <c r="AG1051" s="1" t="s">
        <v>30</v>
      </c>
    </row>
    <row r="1052" spans="1:33">
      <c r="A1052" t="s">
        <v>4073</v>
      </c>
      <c r="B1052" t="s">
        <v>3200</v>
      </c>
      <c r="C1052" t="s">
        <v>569</v>
      </c>
      <c r="E1052" t="s">
        <v>3238</v>
      </c>
      <c r="F1052" t="s">
        <v>3239</v>
      </c>
      <c r="G1052">
        <v>144.66</v>
      </c>
      <c r="H1052">
        <v>144.66</v>
      </c>
      <c r="I1052" t="s">
        <v>570</v>
      </c>
      <c r="J1052" t="s">
        <v>571</v>
      </c>
      <c r="K1052" t="s">
        <v>31</v>
      </c>
      <c r="L1052" t="s">
        <v>32</v>
      </c>
      <c r="M1052" t="s">
        <v>33</v>
      </c>
      <c r="P1052" s="1" t="s">
        <v>4074</v>
      </c>
      <c r="Q1052" s="1" t="s">
        <v>3238</v>
      </c>
      <c r="R1052" s="1" t="s">
        <v>3238</v>
      </c>
      <c r="S1052" s="1"/>
      <c r="T1052" s="1" t="s">
        <v>569</v>
      </c>
      <c r="U1052" s="1"/>
      <c r="V1052" s="1">
        <v>144.66</v>
      </c>
      <c r="W1052" s="1">
        <v>144.66</v>
      </c>
      <c r="X1052" s="1" t="s">
        <v>35</v>
      </c>
      <c r="Y1052" s="1">
        <v>144660.0</v>
      </c>
      <c r="Z1052" s="1"/>
      <c r="AA1052" s="1">
        <v>144660</v>
      </c>
      <c r="AB1052" s="1"/>
      <c r="AC1052" s="1" t="s">
        <v>36</v>
      </c>
      <c r="AD1052" s="1" t="s">
        <v>4075</v>
      </c>
      <c r="AE1052" s="1" t="s">
        <v>32</v>
      </c>
      <c r="AF1052" s="1" t="s">
        <v>33</v>
      </c>
      <c r="AG1052" s="1" t="s">
        <v>571</v>
      </c>
    </row>
    <row r="1053" spans="1:33">
      <c r="A1053" t="s">
        <v>4076</v>
      </c>
      <c r="B1053" t="s">
        <v>4077</v>
      </c>
      <c r="C1053" t="s">
        <v>172</v>
      </c>
      <c r="E1053" t="s">
        <v>3238</v>
      </c>
      <c r="F1053" t="s">
        <v>3239</v>
      </c>
      <c r="G1053">
        <v>21.99</v>
      </c>
      <c r="H1053">
        <v>21.99</v>
      </c>
      <c r="I1053" t="s">
        <v>173</v>
      </c>
      <c r="J1053" t="s">
        <v>174</v>
      </c>
      <c r="K1053" t="s">
        <v>31</v>
      </c>
      <c r="L1053" t="s">
        <v>32</v>
      </c>
      <c r="M1053" t="s">
        <v>33</v>
      </c>
      <c r="P1053" s="1" t="s">
        <v>4078</v>
      </c>
      <c r="Q1053" s="1" t="s">
        <v>3238</v>
      </c>
      <c r="R1053" s="1" t="s">
        <v>3238</v>
      </c>
      <c r="S1053" s="1"/>
      <c r="T1053" s="1" t="s">
        <v>172</v>
      </c>
      <c r="U1053" s="1"/>
      <c r="V1053" s="1">
        <v>21.99</v>
      </c>
      <c r="W1053" s="1">
        <v>21.99</v>
      </c>
      <c r="X1053" s="1" t="s">
        <v>35</v>
      </c>
      <c r="Y1053" s="1">
        <v>21990.0</v>
      </c>
      <c r="Z1053" s="1"/>
      <c r="AA1053" s="1">
        <v>21990</v>
      </c>
      <c r="AB1053" s="1"/>
      <c r="AC1053" s="1" t="s">
        <v>36</v>
      </c>
      <c r="AD1053" s="1" t="s">
        <v>4079</v>
      </c>
      <c r="AE1053" s="1" t="s">
        <v>32</v>
      </c>
      <c r="AF1053" s="1" t="s">
        <v>33</v>
      </c>
      <c r="AG1053" s="1" t="s">
        <v>174</v>
      </c>
    </row>
    <row r="1054" spans="1:33">
      <c r="A1054" t="s">
        <v>4080</v>
      </c>
      <c r="C1054" t="s">
        <v>4081</v>
      </c>
      <c r="E1054" t="s">
        <v>3238</v>
      </c>
      <c r="F1054" t="s">
        <v>3239</v>
      </c>
      <c r="G1054">
        <v>477.5</v>
      </c>
      <c r="H1054">
        <v>477.5</v>
      </c>
      <c r="I1054" t="s">
        <v>173</v>
      </c>
      <c r="J1054" t="s">
        <v>174</v>
      </c>
      <c r="K1054" t="s">
        <v>31</v>
      </c>
      <c r="L1054" t="s">
        <v>32</v>
      </c>
      <c r="M1054" t="s">
        <v>33</v>
      </c>
      <c r="P1054" s="1" t="s">
        <v>4082</v>
      </c>
      <c r="Q1054" s="1" t="s">
        <v>3238</v>
      </c>
      <c r="R1054" s="1" t="s">
        <v>3238</v>
      </c>
      <c r="S1054" s="1"/>
      <c r="T1054" s="1" t="s">
        <v>4083</v>
      </c>
      <c r="U1054" s="1" t="s">
        <v>4084</v>
      </c>
      <c r="V1054" s="1">
        <v>477.5</v>
      </c>
      <c r="W1054" s="1">
        <v>477.5</v>
      </c>
      <c r="X1054" s="1" t="s">
        <v>35</v>
      </c>
      <c r="Y1054" s="1">
        <v>477500.0</v>
      </c>
      <c r="Z1054" s="1"/>
      <c r="AA1054" s="1">
        <v>477500</v>
      </c>
      <c r="AB1054" s="1"/>
      <c r="AC1054" s="1" t="s">
        <v>36</v>
      </c>
      <c r="AD1054" s="1" t="s">
        <v>4085</v>
      </c>
      <c r="AE1054" s="1" t="s">
        <v>32</v>
      </c>
      <c r="AF1054" s="1" t="s">
        <v>33</v>
      </c>
      <c r="AG1054" s="1" t="s">
        <v>174</v>
      </c>
    </row>
    <row r="1055" spans="1:33">
      <c r="A1055" t="s">
        <v>4086</v>
      </c>
      <c r="C1055" t="s">
        <v>4087</v>
      </c>
      <c r="E1055" t="s">
        <v>3238</v>
      </c>
      <c r="F1055" t="s">
        <v>3239</v>
      </c>
      <c r="G1055">
        <v>763.0</v>
      </c>
      <c r="H1055">
        <v>763.0</v>
      </c>
      <c r="I1055" t="s">
        <v>40</v>
      </c>
      <c r="J1055" t="s">
        <v>41</v>
      </c>
      <c r="K1055" t="s">
        <v>31</v>
      </c>
      <c r="L1055" t="s">
        <v>32</v>
      </c>
      <c r="M1055" t="s">
        <v>33</v>
      </c>
      <c r="P1055" s="1" t="s">
        <v>4088</v>
      </c>
      <c r="Q1055" s="1" t="s">
        <v>3238</v>
      </c>
      <c r="R1055" s="1" t="s">
        <v>2984</v>
      </c>
      <c r="S1055" s="1"/>
      <c r="T1055" s="1" t="s">
        <v>4087</v>
      </c>
      <c r="U1055" s="1"/>
      <c r="V1055" s="1">
        <v>763.0</v>
      </c>
      <c r="W1055" s="1">
        <v>763.0</v>
      </c>
      <c r="X1055" s="1" t="s">
        <v>35</v>
      </c>
      <c r="Y1055" s="1">
        <v>763000.0</v>
      </c>
      <c r="Z1055" s="1"/>
      <c r="AA1055" s="1">
        <v>763000</v>
      </c>
      <c r="AB1055" s="1"/>
      <c r="AC1055" s="1" t="s">
        <v>36</v>
      </c>
      <c r="AD1055" s="1" t="s">
        <v>4085</v>
      </c>
      <c r="AE1055" s="1" t="s">
        <v>32</v>
      </c>
      <c r="AF1055" s="1" t="s">
        <v>33</v>
      </c>
      <c r="AG1055" s="1" t="s">
        <v>41</v>
      </c>
    </row>
    <row r="1056" spans="1:33">
      <c r="A1056" t="s">
        <v>4089</v>
      </c>
      <c r="B1056" t="s">
        <v>4090</v>
      </c>
      <c r="C1056" t="s">
        <v>172</v>
      </c>
      <c r="E1056" t="s">
        <v>3238</v>
      </c>
      <c r="F1056" t="s">
        <v>3239</v>
      </c>
      <c r="G1056">
        <v>30.0</v>
      </c>
      <c r="H1056">
        <v>30.0</v>
      </c>
      <c r="I1056" t="s">
        <v>173</v>
      </c>
      <c r="J1056" t="s">
        <v>174</v>
      </c>
      <c r="K1056" t="s">
        <v>31</v>
      </c>
      <c r="L1056" t="s">
        <v>32</v>
      </c>
      <c r="M1056" t="s">
        <v>33</v>
      </c>
      <c r="P1056" s="1" t="s">
        <v>4091</v>
      </c>
      <c r="Q1056" s="1" t="s">
        <v>3238</v>
      </c>
      <c r="R1056" s="1" t="s">
        <v>3238</v>
      </c>
      <c r="S1056" s="1"/>
      <c r="T1056" s="1" t="s">
        <v>172</v>
      </c>
      <c r="U1056" s="1"/>
      <c r="V1056" s="1">
        <v>30.0</v>
      </c>
      <c r="W1056" s="1">
        <v>30.0</v>
      </c>
      <c r="X1056" s="1" t="s">
        <v>35</v>
      </c>
      <c r="Y1056" s="1">
        <v>30000.0</v>
      </c>
      <c r="Z1056" s="1"/>
      <c r="AA1056" s="1">
        <v>30000</v>
      </c>
      <c r="AB1056" s="1"/>
      <c r="AC1056" s="1" t="s">
        <v>36</v>
      </c>
      <c r="AD1056" s="1" t="s">
        <v>4092</v>
      </c>
      <c r="AE1056" s="1" t="s">
        <v>32</v>
      </c>
      <c r="AF1056" s="1" t="s">
        <v>33</v>
      </c>
      <c r="AG1056" s="1" t="s">
        <v>174</v>
      </c>
    </row>
    <row r="1057" spans="1:33">
      <c r="A1057" t="s">
        <v>4093</v>
      </c>
      <c r="B1057" t="s">
        <v>4094</v>
      </c>
      <c r="C1057" t="s">
        <v>145</v>
      </c>
      <c r="E1057" t="s">
        <v>3238</v>
      </c>
      <c r="F1057" t="s">
        <v>3239</v>
      </c>
      <c r="G1057">
        <v>629.25</v>
      </c>
      <c r="H1057">
        <v>629.25</v>
      </c>
      <c r="I1057" t="s">
        <v>136</v>
      </c>
      <c r="J1057" t="s">
        <v>137</v>
      </c>
      <c r="K1057" t="s">
        <v>31</v>
      </c>
      <c r="L1057" t="s">
        <v>32</v>
      </c>
      <c r="M1057" t="s">
        <v>33</v>
      </c>
      <c r="P1057" s="1" t="s">
        <v>4095</v>
      </c>
      <c r="Q1057" s="1" t="s">
        <v>3238</v>
      </c>
      <c r="R1057" s="1" t="s">
        <v>3238</v>
      </c>
      <c r="S1057" s="1"/>
      <c r="T1057" s="1" t="s">
        <v>145</v>
      </c>
      <c r="U1057" s="1"/>
      <c r="V1057" s="1">
        <v>629.25</v>
      </c>
      <c r="W1057" s="1">
        <v>629.25</v>
      </c>
      <c r="X1057" s="1" t="s">
        <v>35</v>
      </c>
      <c r="Y1057" s="1">
        <v>629250.0</v>
      </c>
      <c r="Z1057" s="1"/>
      <c r="AA1057" s="1">
        <v>629250</v>
      </c>
      <c r="AB1057" s="1"/>
      <c r="AC1057" s="1" t="s">
        <v>36</v>
      </c>
      <c r="AD1057" s="1" t="s">
        <v>4085</v>
      </c>
      <c r="AE1057" s="1" t="s">
        <v>32</v>
      </c>
      <c r="AF1057" s="1" t="s">
        <v>33</v>
      </c>
      <c r="AG1057" s="1" t="s">
        <v>137</v>
      </c>
    </row>
    <row r="1058" spans="1:33">
      <c r="A1058" t="s">
        <v>4096</v>
      </c>
      <c r="C1058" t="s">
        <v>626</v>
      </c>
      <c r="D1058" t="s">
        <v>114</v>
      </c>
      <c r="E1058" t="s">
        <v>3238</v>
      </c>
      <c r="F1058" t="s">
        <v>3239</v>
      </c>
      <c r="G1058">
        <v>43.98</v>
      </c>
      <c r="H1058">
        <v>43.98</v>
      </c>
      <c r="I1058" t="s">
        <v>40</v>
      </c>
      <c r="J1058" t="s">
        <v>41</v>
      </c>
      <c r="K1058" t="s">
        <v>31</v>
      </c>
      <c r="L1058" t="s">
        <v>32</v>
      </c>
      <c r="M1058" t="s">
        <v>33</v>
      </c>
      <c r="P1058" s="1" t="s">
        <v>4097</v>
      </c>
      <c r="Q1058" s="1" t="s">
        <v>3238</v>
      </c>
      <c r="R1058" s="1" t="s">
        <v>2984</v>
      </c>
      <c r="S1058" s="1"/>
      <c r="T1058" s="1" t="s">
        <v>626</v>
      </c>
      <c r="U1058" s="1"/>
      <c r="V1058" s="1">
        <v>43.98</v>
      </c>
      <c r="W1058" s="1">
        <v>43.98</v>
      </c>
      <c r="X1058" s="1" t="s">
        <v>35</v>
      </c>
      <c r="Y1058" s="1">
        <v>43980.0</v>
      </c>
      <c r="Z1058" s="1"/>
      <c r="AA1058" s="1">
        <v>43980</v>
      </c>
      <c r="AB1058" s="1"/>
      <c r="AC1058" s="1" t="s">
        <v>36</v>
      </c>
      <c r="AD1058" s="1" t="s">
        <v>4098</v>
      </c>
      <c r="AE1058" s="1" t="s">
        <v>32</v>
      </c>
      <c r="AF1058" s="1" t="s">
        <v>33</v>
      </c>
      <c r="AG1058" s="1" t="s">
        <v>41</v>
      </c>
    </row>
    <row r="1059" spans="1:33">
      <c r="A1059" t="s">
        <v>4099</v>
      </c>
      <c r="C1059" t="s">
        <v>4100</v>
      </c>
      <c r="D1059" t="s">
        <v>114</v>
      </c>
      <c r="E1059" t="s">
        <v>3238</v>
      </c>
      <c r="F1059" t="s">
        <v>3239</v>
      </c>
      <c r="G1059">
        <v>690.5</v>
      </c>
      <c r="H1059">
        <v>690.5</v>
      </c>
      <c r="I1059" t="s">
        <v>269</v>
      </c>
      <c r="J1059" t="s">
        <v>270</v>
      </c>
      <c r="K1059" t="s">
        <v>31</v>
      </c>
      <c r="L1059" t="s">
        <v>32</v>
      </c>
      <c r="M1059" t="s">
        <v>33</v>
      </c>
      <c r="P1059" s="1" t="s">
        <v>4101</v>
      </c>
      <c r="Q1059" s="1" t="s">
        <v>3238</v>
      </c>
      <c r="R1059" s="1" t="s">
        <v>3238</v>
      </c>
      <c r="S1059" s="1"/>
      <c r="T1059" s="1" t="s">
        <v>4100</v>
      </c>
      <c r="U1059" s="1"/>
      <c r="V1059" s="1">
        <v>690.5</v>
      </c>
      <c r="W1059" s="1">
        <v>690.5</v>
      </c>
      <c r="X1059" s="1" t="s">
        <v>35</v>
      </c>
      <c r="Y1059" s="1">
        <v>690500.0</v>
      </c>
      <c r="Z1059" s="1"/>
      <c r="AA1059" s="1">
        <v>690500</v>
      </c>
      <c r="AB1059" s="1"/>
      <c r="AC1059" s="1" t="s">
        <v>36</v>
      </c>
      <c r="AD1059" s="1" t="s">
        <v>4102</v>
      </c>
      <c r="AE1059" s="1" t="s">
        <v>32</v>
      </c>
      <c r="AF1059" s="1" t="s">
        <v>33</v>
      </c>
      <c r="AG1059" s="1" t="s">
        <v>270</v>
      </c>
    </row>
    <row r="1060" spans="1:33">
      <c r="A1060" t="s">
        <v>4103</v>
      </c>
      <c r="B1060" t="s">
        <v>4104</v>
      </c>
      <c r="C1060" t="s">
        <v>1298</v>
      </c>
      <c r="E1060" t="s">
        <v>3238</v>
      </c>
      <c r="F1060" t="s">
        <v>3239</v>
      </c>
      <c r="G1060">
        <v>9.366</v>
      </c>
      <c r="H1060">
        <v>9.366</v>
      </c>
      <c r="I1060" t="s">
        <v>529</v>
      </c>
      <c r="J1060" t="s">
        <v>530</v>
      </c>
      <c r="K1060" t="s">
        <v>31</v>
      </c>
      <c r="L1060" t="s">
        <v>32</v>
      </c>
      <c r="M1060" t="s">
        <v>33</v>
      </c>
      <c r="P1060" s="1" t="s">
        <v>4105</v>
      </c>
      <c r="Q1060" s="1" t="s">
        <v>3238</v>
      </c>
      <c r="R1060" s="1" t="s">
        <v>2984</v>
      </c>
      <c r="S1060" s="1"/>
      <c r="T1060" s="1" t="s">
        <v>1298</v>
      </c>
      <c r="U1060" s="1"/>
      <c r="V1060" s="1">
        <v>9.366</v>
      </c>
      <c r="W1060" s="1">
        <v>9.366</v>
      </c>
      <c r="X1060" s="1" t="s">
        <v>35</v>
      </c>
      <c r="Y1060" s="1">
        <v>9366.0</v>
      </c>
      <c r="Z1060" s="1"/>
      <c r="AA1060" s="1">
        <v>9366</v>
      </c>
      <c r="AB1060" s="1"/>
      <c r="AC1060" s="1" t="s">
        <v>36</v>
      </c>
      <c r="AD1060" s="1" t="s">
        <v>4106</v>
      </c>
      <c r="AE1060" s="1" t="s">
        <v>32</v>
      </c>
      <c r="AF1060" s="1" t="s">
        <v>33</v>
      </c>
      <c r="AG1060" s="1" t="s">
        <v>530</v>
      </c>
    </row>
    <row r="1061" spans="1:33">
      <c r="A1061" t="s">
        <v>4107</v>
      </c>
      <c r="B1061" t="s">
        <v>4108</v>
      </c>
      <c r="C1061" t="s">
        <v>4109</v>
      </c>
      <c r="D1061" t="s">
        <v>154</v>
      </c>
      <c r="E1061" t="s">
        <v>3238</v>
      </c>
      <c r="F1061" t="s">
        <v>3239</v>
      </c>
      <c r="G1061">
        <v>575.5</v>
      </c>
      <c r="H1061">
        <v>575.5</v>
      </c>
      <c r="I1061" t="s">
        <v>40</v>
      </c>
      <c r="J1061" t="s">
        <v>41</v>
      </c>
      <c r="K1061" t="s">
        <v>31</v>
      </c>
      <c r="L1061" t="s">
        <v>32</v>
      </c>
      <c r="M1061" t="s">
        <v>33</v>
      </c>
      <c r="P1061" s="1" t="s">
        <v>4110</v>
      </c>
      <c r="Q1061" s="1" t="s">
        <v>3238</v>
      </c>
      <c r="R1061" s="1" t="s">
        <v>2984</v>
      </c>
      <c r="S1061" s="1"/>
      <c r="T1061" s="1" t="s">
        <v>4109</v>
      </c>
      <c r="U1061" s="1"/>
      <c r="V1061" s="1">
        <v>575.5</v>
      </c>
      <c r="W1061" s="1">
        <v>575.5</v>
      </c>
      <c r="X1061" s="1" t="s">
        <v>35</v>
      </c>
      <c r="Y1061" s="1">
        <v>575500.0</v>
      </c>
      <c r="Z1061" s="1"/>
      <c r="AA1061" s="1">
        <v>575500</v>
      </c>
      <c r="AB1061" s="1"/>
      <c r="AC1061" s="1" t="s">
        <v>36</v>
      </c>
      <c r="AD1061" s="1" t="s">
        <v>4111</v>
      </c>
      <c r="AE1061" s="1" t="s">
        <v>32</v>
      </c>
      <c r="AF1061" s="1" t="s">
        <v>33</v>
      </c>
      <c r="AG1061" s="1" t="s">
        <v>41</v>
      </c>
    </row>
    <row r="1062" spans="1:33">
      <c r="A1062" t="s">
        <v>4112</v>
      </c>
      <c r="B1062" t="s">
        <v>4113</v>
      </c>
      <c r="C1062" t="s">
        <v>125</v>
      </c>
      <c r="E1062" t="s">
        <v>3238</v>
      </c>
      <c r="F1062" t="s">
        <v>3239</v>
      </c>
      <c r="G1062">
        <v>43.98</v>
      </c>
      <c r="H1062">
        <v>43.98</v>
      </c>
      <c r="I1062" t="s">
        <v>126</v>
      </c>
      <c r="J1062" t="s">
        <v>127</v>
      </c>
      <c r="K1062" t="s">
        <v>31</v>
      </c>
      <c r="L1062" t="s">
        <v>32</v>
      </c>
      <c r="M1062" t="s">
        <v>33</v>
      </c>
      <c r="P1062" s="1" t="s">
        <v>4114</v>
      </c>
      <c r="Q1062" s="1" t="s">
        <v>3238</v>
      </c>
      <c r="R1062" s="1" t="s">
        <v>3238</v>
      </c>
      <c r="S1062" s="1"/>
      <c r="T1062" s="1" t="s">
        <v>125</v>
      </c>
      <c r="U1062" s="1"/>
      <c r="V1062" s="1">
        <v>43.98</v>
      </c>
      <c r="W1062" s="1">
        <v>43.98</v>
      </c>
      <c r="X1062" s="1" t="s">
        <v>35</v>
      </c>
      <c r="Y1062" s="1">
        <v>43980.0</v>
      </c>
      <c r="Z1062" s="1"/>
      <c r="AA1062" s="1">
        <v>43980</v>
      </c>
      <c r="AB1062" s="1"/>
      <c r="AC1062" s="1" t="s">
        <v>36</v>
      </c>
      <c r="AD1062" s="1" t="s">
        <v>4115</v>
      </c>
      <c r="AE1062" s="1" t="s">
        <v>32</v>
      </c>
      <c r="AF1062" s="1" t="s">
        <v>33</v>
      </c>
      <c r="AG1062" s="1" t="s">
        <v>127</v>
      </c>
    </row>
    <row r="1063" spans="1:33">
      <c r="A1063" t="s">
        <v>4116</v>
      </c>
      <c r="B1063" t="s">
        <v>3168</v>
      </c>
      <c r="C1063" t="s">
        <v>3169</v>
      </c>
      <c r="E1063" t="s">
        <v>3238</v>
      </c>
      <c r="F1063" t="s">
        <v>3239</v>
      </c>
      <c r="G1063">
        <v>638.0</v>
      </c>
      <c r="H1063">
        <v>638.0</v>
      </c>
      <c r="I1063" t="s">
        <v>529</v>
      </c>
      <c r="J1063" t="s">
        <v>530</v>
      </c>
      <c r="K1063" t="s">
        <v>31</v>
      </c>
      <c r="L1063" t="s">
        <v>32</v>
      </c>
      <c r="M1063" t="s">
        <v>33</v>
      </c>
      <c r="P1063" s="1" t="s">
        <v>4117</v>
      </c>
      <c r="Q1063" s="1" t="s">
        <v>3238</v>
      </c>
      <c r="R1063" s="1" t="s">
        <v>2984</v>
      </c>
      <c r="S1063" s="1"/>
      <c r="T1063" s="1" t="s">
        <v>3169</v>
      </c>
      <c r="U1063" s="1"/>
      <c r="V1063" s="1">
        <v>638.0</v>
      </c>
      <c r="W1063" s="1">
        <v>638.0</v>
      </c>
      <c r="X1063" s="1" t="s">
        <v>35</v>
      </c>
      <c r="Y1063" s="1">
        <v>638000.0</v>
      </c>
      <c r="Z1063" s="1"/>
      <c r="AA1063" s="1">
        <v>638000</v>
      </c>
      <c r="AB1063" s="1"/>
      <c r="AC1063" s="1" t="s">
        <v>36</v>
      </c>
      <c r="AD1063" s="1" t="s">
        <v>4118</v>
      </c>
      <c r="AE1063" s="1" t="s">
        <v>32</v>
      </c>
      <c r="AF1063" s="1" t="s">
        <v>33</v>
      </c>
      <c r="AG1063" s="1" t="s">
        <v>530</v>
      </c>
    </row>
    <row r="1064" spans="1:33">
      <c r="A1064" t="s">
        <v>4119</v>
      </c>
      <c r="C1064" t="s">
        <v>4120</v>
      </c>
      <c r="E1064" t="s">
        <v>3238</v>
      </c>
      <c r="F1064" t="s">
        <v>3239</v>
      </c>
      <c r="G1064">
        <v>2.343</v>
      </c>
      <c r="H1064">
        <v>2.343</v>
      </c>
      <c r="I1064" t="s">
        <v>269</v>
      </c>
      <c r="J1064" t="s">
        <v>270</v>
      </c>
      <c r="K1064" t="s">
        <v>31</v>
      </c>
      <c r="L1064" t="s">
        <v>32</v>
      </c>
      <c r="M1064" t="s">
        <v>33</v>
      </c>
      <c r="P1064" s="1" t="s">
        <v>4121</v>
      </c>
      <c r="Q1064" s="1" t="s">
        <v>3238</v>
      </c>
      <c r="R1064" s="1" t="s">
        <v>3238</v>
      </c>
      <c r="S1064" s="1"/>
      <c r="T1064" s="1" t="s">
        <v>4120</v>
      </c>
      <c r="U1064" s="1"/>
      <c r="V1064" s="1">
        <v>2.343</v>
      </c>
      <c r="W1064" s="1">
        <v>2.343</v>
      </c>
      <c r="X1064" s="1" t="s">
        <v>35</v>
      </c>
      <c r="Y1064" s="1">
        <v>2343600.0</v>
      </c>
      <c r="Z1064" s="1"/>
      <c r="AA1064" s="1">
        <v>2343600</v>
      </c>
      <c r="AB1064" s="1"/>
      <c r="AC1064" s="1" t="s">
        <v>36</v>
      </c>
      <c r="AD1064" s="1" t="s">
        <v>4122</v>
      </c>
      <c r="AE1064" s="1" t="s">
        <v>32</v>
      </c>
      <c r="AF1064" s="1" t="s">
        <v>33</v>
      </c>
      <c r="AG1064" s="1" t="s">
        <v>270</v>
      </c>
    </row>
    <row r="1065" spans="1:33">
      <c r="A1065" t="s">
        <v>4123</v>
      </c>
      <c r="B1065" t="s">
        <v>4124</v>
      </c>
      <c r="C1065" t="s">
        <v>314</v>
      </c>
      <c r="E1065" t="s">
        <v>3238</v>
      </c>
      <c r="F1065" t="s">
        <v>3239</v>
      </c>
      <c r="G1065">
        <v>40.99</v>
      </c>
      <c r="H1065">
        <v>40.99</v>
      </c>
      <c r="I1065" t="s">
        <v>179</v>
      </c>
      <c r="J1065" t="s">
        <v>180</v>
      </c>
      <c r="K1065" t="s">
        <v>31</v>
      </c>
      <c r="L1065" t="s">
        <v>32</v>
      </c>
      <c r="M1065" t="s">
        <v>33</v>
      </c>
      <c r="P1065" s="1" t="s">
        <v>4125</v>
      </c>
      <c r="Q1065" s="1" t="s">
        <v>3238</v>
      </c>
      <c r="R1065" s="1" t="s">
        <v>3238</v>
      </c>
      <c r="S1065" s="1"/>
      <c r="T1065" s="1" t="s">
        <v>314</v>
      </c>
      <c r="U1065" s="1"/>
      <c r="V1065" s="1">
        <v>40.99</v>
      </c>
      <c r="W1065" s="1">
        <v>40.99</v>
      </c>
      <c r="X1065" s="1" t="s">
        <v>35</v>
      </c>
      <c r="Y1065" s="1">
        <v>40990.0</v>
      </c>
      <c r="Z1065" s="1"/>
      <c r="AA1065" s="1">
        <v>40990</v>
      </c>
      <c r="AB1065" s="1"/>
      <c r="AC1065" s="1" t="s">
        <v>36</v>
      </c>
      <c r="AD1065" s="1" t="s">
        <v>4126</v>
      </c>
      <c r="AE1065" s="1" t="s">
        <v>32</v>
      </c>
      <c r="AF1065" s="1" t="s">
        <v>33</v>
      </c>
      <c r="AG1065" s="1" t="s">
        <v>180</v>
      </c>
    </row>
    <row r="1066" spans="1:33">
      <c r="A1066" t="s">
        <v>4127</v>
      </c>
      <c r="C1066" t="s">
        <v>1992</v>
      </c>
      <c r="E1066" t="s">
        <v>3238</v>
      </c>
      <c r="F1066" t="s">
        <v>3239</v>
      </c>
      <c r="G1066">
        <v>328.0</v>
      </c>
      <c r="H1066">
        <v>328.0</v>
      </c>
      <c r="I1066" t="s">
        <v>136</v>
      </c>
      <c r="J1066" t="s">
        <v>137</v>
      </c>
      <c r="K1066" t="s">
        <v>31</v>
      </c>
      <c r="L1066" t="s">
        <v>32</v>
      </c>
      <c r="M1066" t="s">
        <v>33</v>
      </c>
      <c r="P1066" s="1" t="s">
        <v>4128</v>
      </c>
      <c r="Q1066" s="1" t="s">
        <v>3238</v>
      </c>
      <c r="R1066" s="1" t="s">
        <v>3238</v>
      </c>
      <c r="S1066" s="1"/>
      <c r="T1066" s="1" t="s">
        <v>1994</v>
      </c>
      <c r="U1066" s="1" t="s">
        <v>1995</v>
      </c>
      <c r="V1066" s="1">
        <v>328.0</v>
      </c>
      <c r="W1066" s="1">
        <v>328.0</v>
      </c>
      <c r="X1066" s="1" t="s">
        <v>35</v>
      </c>
      <c r="Y1066" s="1">
        <v>328000.0</v>
      </c>
      <c r="Z1066" s="1"/>
      <c r="AA1066" s="1">
        <v>328000</v>
      </c>
      <c r="AB1066" s="1"/>
      <c r="AC1066" s="1" t="s">
        <v>36</v>
      </c>
      <c r="AD1066" s="1" t="s">
        <v>4129</v>
      </c>
      <c r="AE1066" s="1" t="s">
        <v>32</v>
      </c>
      <c r="AF1066" s="1" t="s">
        <v>33</v>
      </c>
      <c r="AG1066" s="1" t="s">
        <v>137</v>
      </c>
    </row>
    <row r="1067" spans="1:33">
      <c r="A1067" t="s">
        <v>4130</v>
      </c>
      <c r="B1067" t="s">
        <v>4131</v>
      </c>
      <c r="C1067" t="s">
        <v>268</v>
      </c>
      <c r="E1067" t="s">
        <v>3238</v>
      </c>
      <c r="F1067" t="s">
        <v>3239</v>
      </c>
      <c r="G1067">
        <v>16.9</v>
      </c>
      <c r="H1067">
        <v>16.9</v>
      </c>
      <c r="I1067" t="s">
        <v>269</v>
      </c>
      <c r="J1067" t="s">
        <v>270</v>
      </c>
      <c r="K1067" t="s">
        <v>31</v>
      </c>
      <c r="L1067" t="s">
        <v>32</v>
      </c>
      <c r="M1067" t="s">
        <v>33</v>
      </c>
      <c r="P1067" s="1" t="s">
        <v>4132</v>
      </c>
      <c r="Q1067" s="1" t="s">
        <v>3238</v>
      </c>
      <c r="R1067" s="1" t="s">
        <v>3238</v>
      </c>
      <c r="S1067" s="1"/>
      <c r="T1067" s="1" t="s">
        <v>268</v>
      </c>
      <c r="U1067" s="1"/>
      <c r="V1067" s="1">
        <v>16.9</v>
      </c>
      <c r="W1067" s="1">
        <v>16.9</v>
      </c>
      <c r="X1067" s="1" t="s">
        <v>35</v>
      </c>
      <c r="Y1067" s="1">
        <v>16900.0</v>
      </c>
      <c r="Z1067" s="1"/>
      <c r="AA1067" s="1">
        <v>16900</v>
      </c>
      <c r="AB1067" s="1"/>
      <c r="AC1067" s="1" t="s">
        <v>36</v>
      </c>
      <c r="AD1067" s="1" t="s">
        <v>4133</v>
      </c>
      <c r="AE1067" s="1" t="s">
        <v>32</v>
      </c>
      <c r="AF1067" s="1" t="s">
        <v>33</v>
      </c>
      <c r="AG1067" s="1" t="s">
        <v>270</v>
      </c>
    </row>
    <row r="1068" spans="1:33">
      <c r="A1068" t="s">
        <v>4134</v>
      </c>
      <c r="B1068" t="s">
        <v>4135</v>
      </c>
      <c r="C1068" t="s">
        <v>268</v>
      </c>
      <c r="E1068" t="s">
        <v>3238</v>
      </c>
      <c r="F1068" t="s">
        <v>3239</v>
      </c>
      <c r="G1068">
        <v>40.25</v>
      </c>
      <c r="H1068">
        <v>40.25</v>
      </c>
      <c r="I1068" t="s">
        <v>269</v>
      </c>
      <c r="J1068" t="s">
        <v>270</v>
      </c>
      <c r="K1068" t="s">
        <v>31</v>
      </c>
      <c r="L1068" t="s">
        <v>32</v>
      </c>
      <c r="M1068" t="s">
        <v>33</v>
      </c>
      <c r="P1068" s="1" t="s">
        <v>4136</v>
      </c>
      <c r="Q1068" s="1" t="s">
        <v>3238</v>
      </c>
      <c r="R1068" s="1" t="s">
        <v>3238</v>
      </c>
      <c r="S1068" s="1"/>
      <c r="T1068" s="1" t="s">
        <v>268</v>
      </c>
      <c r="U1068" s="1"/>
      <c r="V1068" s="1">
        <v>40.25</v>
      </c>
      <c r="W1068" s="1">
        <v>40.25</v>
      </c>
      <c r="X1068" s="1" t="s">
        <v>35</v>
      </c>
      <c r="Y1068" s="1">
        <v>40250.0</v>
      </c>
      <c r="Z1068" s="1"/>
      <c r="AA1068" s="1">
        <v>40250</v>
      </c>
      <c r="AB1068" s="1"/>
      <c r="AC1068" s="1" t="s">
        <v>36</v>
      </c>
      <c r="AD1068" s="1" t="s">
        <v>4137</v>
      </c>
      <c r="AE1068" s="1" t="s">
        <v>32</v>
      </c>
      <c r="AF1068" s="1" t="s">
        <v>33</v>
      </c>
      <c r="AG1068" s="1" t="s">
        <v>270</v>
      </c>
    </row>
    <row r="1069" spans="1:33">
      <c r="A1069" t="s">
        <v>4138</v>
      </c>
      <c r="B1069" t="s">
        <v>4139</v>
      </c>
      <c r="C1069" t="s">
        <v>314</v>
      </c>
      <c r="E1069" t="s">
        <v>3238</v>
      </c>
      <c r="F1069" t="s">
        <v>3239</v>
      </c>
      <c r="G1069">
        <v>37.18</v>
      </c>
      <c r="H1069">
        <v>37.18</v>
      </c>
      <c r="I1069" t="s">
        <v>179</v>
      </c>
      <c r="J1069" t="s">
        <v>180</v>
      </c>
      <c r="K1069" t="s">
        <v>31</v>
      </c>
      <c r="L1069" t="s">
        <v>32</v>
      </c>
      <c r="M1069" t="s">
        <v>33</v>
      </c>
      <c r="P1069" s="1" t="s">
        <v>4140</v>
      </c>
      <c r="Q1069" s="1" t="s">
        <v>3238</v>
      </c>
      <c r="R1069" s="1" t="s">
        <v>3238</v>
      </c>
      <c r="S1069" s="1"/>
      <c r="T1069" s="1" t="s">
        <v>314</v>
      </c>
      <c r="U1069" s="1"/>
      <c r="V1069" s="1">
        <v>37.18</v>
      </c>
      <c r="W1069" s="1">
        <v>37.18</v>
      </c>
      <c r="X1069" s="1" t="s">
        <v>35</v>
      </c>
      <c r="Y1069" s="1">
        <v>37180.0</v>
      </c>
      <c r="Z1069" s="1"/>
      <c r="AA1069" s="1">
        <v>37180</v>
      </c>
      <c r="AB1069" s="1"/>
      <c r="AC1069" s="1" t="s">
        <v>36</v>
      </c>
      <c r="AD1069" s="1" t="s">
        <v>4141</v>
      </c>
      <c r="AE1069" s="1" t="s">
        <v>32</v>
      </c>
      <c r="AF1069" s="1" t="s">
        <v>33</v>
      </c>
      <c r="AG1069" s="1" t="s">
        <v>180</v>
      </c>
    </row>
    <row r="1070" spans="1:33">
      <c r="A1070" t="s">
        <v>4142</v>
      </c>
      <c r="B1070" t="s">
        <v>4143</v>
      </c>
      <c r="C1070" t="s">
        <v>68</v>
      </c>
      <c r="E1070" t="s">
        <v>3238</v>
      </c>
      <c r="F1070" t="s">
        <v>3239</v>
      </c>
      <c r="G1070">
        <v>15.495</v>
      </c>
      <c r="H1070">
        <v>15.495</v>
      </c>
      <c r="I1070" t="s">
        <v>59</v>
      </c>
      <c r="J1070" t="s">
        <v>60</v>
      </c>
      <c r="K1070" t="s">
        <v>31</v>
      </c>
      <c r="L1070" t="s">
        <v>32</v>
      </c>
      <c r="M1070" t="s">
        <v>33</v>
      </c>
      <c r="P1070" s="1" t="s">
        <v>4144</v>
      </c>
      <c r="Q1070" s="1" t="s">
        <v>3238</v>
      </c>
      <c r="R1070" s="1" t="s">
        <v>3238</v>
      </c>
      <c r="S1070" s="1"/>
      <c r="T1070" s="1" t="s">
        <v>68</v>
      </c>
      <c r="U1070" s="1"/>
      <c r="V1070" s="1">
        <v>15.495</v>
      </c>
      <c r="W1070" s="1">
        <v>15.495</v>
      </c>
      <c r="X1070" s="1" t="s">
        <v>35</v>
      </c>
      <c r="Y1070" s="1">
        <v>15495.0</v>
      </c>
      <c r="Z1070" s="1"/>
      <c r="AA1070" s="1">
        <v>15495</v>
      </c>
      <c r="AB1070" s="1"/>
      <c r="AC1070" s="1" t="s">
        <v>36</v>
      </c>
      <c r="AD1070" s="1" t="s">
        <v>4129</v>
      </c>
      <c r="AE1070" s="1" t="s">
        <v>32</v>
      </c>
      <c r="AF1070" s="1" t="s">
        <v>33</v>
      </c>
      <c r="AG1070" s="1" t="s">
        <v>60</v>
      </c>
    </row>
    <row r="1071" spans="1:33">
      <c r="A1071" t="s">
        <v>4145</v>
      </c>
      <c r="B1071" t="s">
        <v>313</v>
      </c>
      <c r="C1071" t="s">
        <v>314</v>
      </c>
      <c r="E1071" t="s">
        <v>3238</v>
      </c>
      <c r="F1071" t="s">
        <v>3239</v>
      </c>
      <c r="G1071">
        <v>55.66</v>
      </c>
      <c r="H1071">
        <v>55.66</v>
      </c>
      <c r="I1071" t="s">
        <v>179</v>
      </c>
      <c r="J1071" t="s">
        <v>180</v>
      </c>
      <c r="K1071" t="s">
        <v>31</v>
      </c>
      <c r="L1071" t="s">
        <v>32</v>
      </c>
      <c r="M1071" t="s">
        <v>33</v>
      </c>
      <c r="P1071" s="1" t="s">
        <v>4146</v>
      </c>
      <c r="Q1071" s="1" t="s">
        <v>3238</v>
      </c>
      <c r="R1071" s="1" t="s">
        <v>3238</v>
      </c>
      <c r="S1071" s="1"/>
      <c r="T1071" s="1" t="s">
        <v>314</v>
      </c>
      <c r="U1071" s="1"/>
      <c r="V1071" s="1">
        <v>55.66</v>
      </c>
      <c r="W1071" s="1">
        <v>55.66</v>
      </c>
      <c r="X1071" s="1" t="s">
        <v>35</v>
      </c>
      <c r="Y1071" s="1">
        <v>55660.0</v>
      </c>
      <c r="Z1071" s="1"/>
      <c r="AA1071" s="1">
        <v>55660</v>
      </c>
      <c r="AB1071" s="1"/>
      <c r="AC1071" s="1" t="s">
        <v>36</v>
      </c>
      <c r="AD1071" s="1" t="s">
        <v>4147</v>
      </c>
      <c r="AE1071" s="1" t="s">
        <v>32</v>
      </c>
      <c r="AF1071" s="1" t="s">
        <v>33</v>
      </c>
      <c r="AG1071" s="1" t="s">
        <v>180</v>
      </c>
    </row>
    <row r="1072" spans="1:33">
      <c r="A1072" t="s">
        <v>4148</v>
      </c>
      <c r="B1072" t="s">
        <v>4149</v>
      </c>
      <c r="C1072" t="s">
        <v>172</v>
      </c>
      <c r="E1072" t="s">
        <v>3238</v>
      </c>
      <c r="F1072" t="s">
        <v>3239</v>
      </c>
      <c r="G1072">
        <v>259.92</v>
      </c>
      <c r="H1072">
        <v>259.92</v>
      </c>
      <c r="I1072" t="s">
        <v>173</v>
      </c>
      <c r="J1072" t="s">
        <v>174</v>
      </c>
      <c r="K1072" t="s">
        <v>31</v>
      </c>
      <c r="L1072" t="s">
        <v>32</v>
      </c>
      <c r="M1072" t="s">
        <v>33</v>
      </c>
      <c r="P1072" s="1" t="s">
        <v>4150</v>
      </c>
      <c r="Q1072" s="1" t="s">
        <v>3238</v>
      </c>
      <c r="R1072" s="1" t="s">
        <v>3238</v>
      </c>
      <c r="S1072" s="1"/>
      <c r="T1072" s="1" t="s">
        <v>172</v>
      </c>
      <c r="U1072" s="1"/>
      <c r="V1072" s="1">
        <v>259.92</v>
      </c>
      <c r="W1072" s="1">
        <v>259.92</v>
      </c>
      <c r="X1072" s="1" t="s">
        <v>35</v>
      </c>
      <c r="Y1072" s="1">
        <v>259920.0</v>
      </c>
      <c r="Z1072" s="1"/>
      <c r="AA1072" s="1">
        <v>259920</v>
      </c>
      <c r="AB1072" s="1"/>
      <c r="AC1072" s="1" t="s">
        <v>36</v>
      </c>
      <c r="AD1072" s="1" t="s">
        <v>4141</v>
      </c>
      <c r="AE1072" s="1" t="s">
        <v>32</v>
      </c>
      <c r="AF1072" s="1" t="s">
        <v>33</v>
      </c>
      <c r="AG1072" s="1" t="s">
        <v>174</v>
      </c>
    </row>
    <row r="1073" spans="1:33">
      <c r="A1073" t="s">
        <v>4151</v>
      </c>
      <c r="B1073" t="s">
        <v>4152</v>
      </c>
      <c r="C1073" t="s">
        <v>172</v>
      </c>
      <c r="E1073" t="s">
        <v>3238</v>
      </c>
      <c r="F1073" t="s">
        <v>3239</v>
      </c>
      <c r="G1073">
        <v>20.99</v>
      </c>
      <c r="H1073">
        <v>20.99</v>
      </c>
      <c r="I1073" t="s">
        <v>173</v>
      </c>
      <c r="J1073" t="s">
        <v>174</v>
      </c>
      <c r="K1073" t="s">
        <v>31</v>
      </c>
      <c r="L1073" t="s">
        <v>32</v>
      </c>
      <c r="M1073" t="s">
        <v>33</v>
      </c>
      <c r="P1073" s="1" t="s">
        <v>4153</v>
      </c>
      <c r="Q1073" s="1" t="s">
        <v>3238</v>
      </c>
      <c r="R1073" s="1" t="s">
        <v>3238</v>
      </c>
      <c r="S1073" s="1"/>
      <c r="T1073" s="1" t="s">
        <v>172</v>
      </c>
      <c r="U1073" s="1"/>
      <c r="V1073" s="1">
        <v>20.99</v>
      </c>
      <c r="W1073" s="1">
        <v>20.99</v>
      </c>
      <c r="X1073" s="1" t="s">
        <v>35</v>
      </c>
      <c r="Y1073" s="1">
        <v>20990.0</v>
      </c>
      <c r="Z1073" s="1"/>
      <c r="AA1073" s="1">
        <v>20990</v>
      </c>
      <c r="AB1073" s="1"/>
      <c r="AC1073" s="1" t="s">
        <v>36</v>
      </c>
      <c r="AD1073" s="1" t="s">
        <v>4154</v>
      </c>
      <c r="AE1073" s="1" t="s">
        <v>32</v>
      </c>
      <c r="AF1073" s="1" t="s">
        <v>33</v>
      </c>
      <c r="AG1073" s="1" t="s">
        <v>174</v>
      </c>
    </row>
    <row r="1074" spans="1:33">
      <c r="A1074" t="s">
        <v>4155</v>
      </c>
      <c r="B1074" t="s">
        <v>1757</v>
      </c>
      <c r="C1074" t="s">
        <v>1758</v>
      </c>
      <c r="E1074" t="s">
        <v>3238</v>
      </c>
      <c r="F1074" t="s">
        <v>3239</v>
      </c>
      <c r="G1074">
        <v>1.21</v>
      </c>
      <c r="H1074">
        <v>1.21</v>
      </c>
      <c r="I1074" t="s">
        <v>529</v>
      </c>
      <c r="J1074" t="s">
        <v>530</v>
      </c>
      <c r="K1074" t="s">
        <v>31</v>
      </c>
      <c r="L1074" t="s">
        <v>32</v>
      </c>
      <c r="M1074" t="s">
        <v>33</v>
      </c>
      <c r="P1074" s="1" t="s">
        <v>4156</v>
      </c>
      <c r="Q1074" s="1" t="s">
        <v>3238</v>
      </c>
      <c r="R1074" s="1" t="s">
        <v>2984</v>
      </c>
      <c r="S1074" s="1"/>
      <c r="T1074" s="1" t="s">
        <v>1758</v>
      </c>
      <c r="U1074" s="1"/>
      <c r="V1074" s="1">
        <v>1.21</v>
      </c>
      <c r="W1074" s="1">
        <v>1.21</v>
      </c>
      <c r="X1074" s="1" t="s">
        <v>35</v>
      </c>
      <c r="Y1074" s="1">
        <v>1210900.0</v>
      </c>
      <c r="Z1074" s="1"/>
      <c r="AA1074" s="1">
        <v>1210900</v>
      </c>
      <c r="AB1074" s="1"/>
      <c r="AC1074" s="1" t="s">
        <v>36</v>
      </c>
      <c r="AD1074" s="1" t="s">
        <v>4056</v>
      </c>
      <c r="AE1074" s="1" t="s">
        <v>32</v>
      </c>
      <c r="AF1074" s="1" t="s">
        <v>33</v>
      </c>
      <c r="AG1074" s="1" t="s">
        <v>530</v>
      </c>
    </row>
    <row r="1075" spans="1:33">
      <c r="A1075" t="s">
        <v>4157</v>
      </c>
      <c r="C1075" t="s">
        <v>1244</v>
      </c>
      <c r="E1075" t="s">
        <v>3238</v>
      </c>
      <c r="F1075" t="s">
        <v>3239</v>
      </c>
      <c r="G1075">
        <v>80.27</v>
      </c>
      <c r="H1075">
        <v>80.27</v>
      </c>
      <c r="I1075" t="s">
        <v>179</v>
      </c>
      <c r="J1075" t="s">
        <v>180</v>
      </c>
      <c r="K1075" t="s">
        <v>31</v>
      </c>
      <c r="L1075" t="s">
        <v>32</v>
      </c>
      <c r="M1075" t="s">
        <v>33</v>
      </c>
      <c r="P1075" s="1" t="s">
        <v>4158</v>
      </c>
      <c r="Q1075" s="1" t="s">
        <v>3238</v>
      </c>
      <c r="R1075" s="1" t="s">
        <v>3238</v>
      </c>
      <c r="S1075" s="1"/>
      <c r="T1075" s="1" t="s">
        <v>1244</v>
      </c>
      <c r="U1075" s="1"/>
      <c r="V1075" s="1">
        <v>80.27</v>
      </c>
      <c r="W1075" s="1">
        <v>80.27</v>
      </c>
      <c r="X1075" s="1" t="s">
        <v>35</v>
      </c>
      <c r="Y1075" s="1">
        <v>80270.0</v>
      </c>
      <c r="Z1075" s="1"/>
      <c r="AA1075" s="1">
        <v>80270</v>
      </c>
      <c r="AB1075" s="1"/>
      <c r="AC1075" s="1" t="s">
        <v>36</v>
      </c>
      <c r="AD1075" s="1" t="s">
        <v>4159</v>
      </c>
      <c r="AE1075" s="1" t="s">
        <v>32</v>
      </c>
      <c r="AF1075" s="1" t="s">
        <v>33</v>
      </c>
      <c r="AG1075" s="1" t="s">
        <v>180</v>
      </c>
    </row>
    <row r="1076" spans="1:33">
      <c r="A1076" t="s">
        <v>4160</v>
      </c>
      <c r="B1076" t="s">
        <v>4161</v>
      </c>
      <c r="C1076" t="s">
        <v>68</v>
      </c>
      <c r="E1076" t="s">
        <v>3238</v>
      </c>
      <c r="F1076" t="s">
        <v>3239</v>
      </c>
      <c r="G1076">
        <v>25.91</v>
      </c>
      <c r="H1076">
        <v>25.91</v>
      </c>
      <c r="I1076" t="s">
        <v>59</v>
      </c>
      <c r="J1076" t="s">
        <v>60</v>
      </c>
      <c r="K1076" t="s">
        <v>31</v>
      </c>
      <c r="L1076" t="s">
        <v>32</v>
      </c>
      <c r="M1076" t="s">
        <v>33</v>
      </c>
      <c r="P1076" s="1" t="s">
        <v>4162</v>
      </c>
      <c r="Q1076" s="1" t="s">
        <v>3238</v>
      </c>
      <c r="R1076" s="1" t="s">
        <v>3238</v>
      </c>
      <c r="S1076" s="1"/>
      <c r="T1076" s="1" t="s">
        <v>68</v>
      </c>
      <c r="U1076" s="1"/>
      <c r="V1076" s="1">
        <v>25.91</v>
      </c>
      <c r="W1076" s="1">
        <v>25.91</v>
      </c>
      <c r="X1076" s="1" t="s">
        <v>35</v>
      </c>
      <c r="Y1076" s="1">
        <v>25910.0</v>
      </c>
      <c r="Z1076" s="1"/>
      <c r="AA1076" s="1">
        <v>25910</v>
      </c>
      <c r="AB1076" s="1"/>
      <c r="AC1076" s="1" t="s">
        <v>36</v>
      </c>
      <c r="AD1076" s="1" t="s">
        <v>4163</v>
      </c>
      <c r="AE1076" s="1" t="s">
        <v>32</v>
      </c>
      <c r="AF1076" s="1" t="s">
        <v>33</v>
      </c>
      <c r="AG1076" s="1" t="s">
        <v>60</v>
      </c>
    </row>
    <row r="1077" spans="1:33">
      <c r="A1077" t="s">
        <v>4164</v>
      </c>
      <c r="B1077" t="s">
        <v>4165</v>
      </c>
      <c r="C1077" t="s">
        <v>125</v>
      </c>
      <c r="E1077" t="s">
        <v>3238</v>
      </c>
      <c r="F1077" t="s">
        <v>3239</v>
      </c>
      <c r="G1077">
        <v>4.298</v>
      </c>
      <c r="H1077">
        <v>4.298</v>
      </c>
      <c r="I1077" t="s">
        <v>126</v>
      </c>
      <c r="J1077" t="s">
        <v>127</v>
      </c>
      <c r="K1077" t="s">
        <v>31</v>
      </c>
      <c r="L1077" t="s">
        <v>32</v>
      </c>
      <c r="M1077" t="s">
        <v>33</v>
      </c>
      <c r="P1077" s="1" t="s">
        <v>4166</v>
      </c>
      <c r="Q1077" s="1" t="s">
        <v>3238</v>
      </c>
      <c r="R1077" s="1" t="s">
        <v>3238</v>
      </c>
      <c r="S1077" s="1"/>
      <c r="T1077" s="1" t="s">
        <v>125</v>
      </c>
      <c r="U1077" s="1"/>
      <c r="V1077" s="1">
        <v>4.298</v>
      </c>
      <c r="W1077" s="1">
        <v>4.298</v>
      </c>
      <c r="X1077" s="1" t="s">
        <v>35</v>
      </c>
      <c r="Y1077" s="1">
        <v>4298.0</v>
      </c>
      <c r="Z1077" s="1"/>
      <c r="AA1077" s="1">
        <v>4298</v>
      </c>
      <c r="AB1077" s="1"/>
      <c r="AC1077" s="1" t="s">
        <v>36</v>
      </c>
      <c r="AD1077" s="1" t="s">
        <v>4167</v>
      </c>
      <c r="AE1077" s="1" t="s">
        <v>32</v>
      </c>
      <c r="AF1077" s="1" t="s">
        <v>33</v>
      </c>
      <c r="AG1077" s="1" t="s">
        <v>127</v>
      </c>
    </row>
    <row r="1078" spans="1:33">
      <c r="A1078" t="s">
        <v>4168</v>
      </c>
      <c r="B1078" t="s">
        <v>1772</v>
      </c>
      <c r="C1078" t="s">
        <v>1773</v>
      </c>
      <c r="D1078" t="s">
        <v>154</v>
      </c>
      <c r="E1078" t="s">
        <v>3238</v>
      </c>
      <c r="F1078" t="s">
        <v>3239</v>
      </c>
      <c r="G1078">
        <v>2.055</v>
      </c>
      <c r="H1078">
        <v>2.055</v>
      </c>
      <c r="I1078" t="s">
        <v>29</v>
      </c>
      <c r="J1078" t="s">
        <v>30</v>
      </c>
      <c r="K1078" t="s">
        <v>31</v>
      </c>
      <c r="L1078" t="s">
        <v>32</v>
      </c>
      <c r="M1078" t="s">
        <v>33</v>
      </c>
      <c r="P1078" s="1" t="s">
        <v>4169</v>
      </c>
      <c r="Q1078" s="1" t="s">
        <v>3238</v>
      </c>
      <c r="R1078" s="1" t="s">
        <v>3238</v>
      </c>
      <c r="S1078" s="1"/>
      <c r="T1078" s="1" t="s">
        <v>1773</v>
      </c>
      <c r="U1078" s="1"/>
      <c r="V1078" s="1">
        <v>2.055</v>
      </c>
      <c r="W1078" s="1">
        <v>2.055</v>
      </c>
      <c r="X1078" s="1" t="s">
        <v>35</v>
      </c>
      <c r="Y1078" s="1">
        <v>2055000.0</v>
      </c>
      <c r="Z1078" s="1"/>
      <c r="AA1078" s="1">
        <v>2055000</v>
      </c>
      <c r="AB1078" s="1"/>
      <c r="AC1078" s="1" t="s">
        <v>36</v>
      </c>
      <c r="AD1078" s="1" t="s">
        <v>4137</v>
      </c>
      <c r="AE1078" s="1" t="s">
        <v>32</v>
      </c>
      <c r="AF1078" s="1" t="s">
        <v>33</v>
      </c>
      <c r="AG1078" s="1" t="s">
        <v>30</v>
      </c>
    </row>
    <row r="1079" spans="1:33">
      <c r="A1079" t="s">
        <v>4170</v>
      </c>
      <c r="B1079" t="s">
        <v>4171</v>
      </c>
      <c r="C1079" t="s">
        <v>414</v>
      </c>
      <c r="E1079" t="s">
        <v>3238</v>
      </c>
      <c r="F1079" t="s">
        <v>3239</v>
      </c>
      <c r="G1079">
        <v>62.5</v>
      </c>
      <c r="H1079">
        <v>62.5</v>
      </c>
      <c r="I1079" t="s">
        <v>539</v>
      </c>
      <c r="J1079" t="s">
        <v>540</v>
      </c>
      <c r="K1079" t="s">
        <v>31</v>
      </c>
      <c r="L1079" t="s">
        <v>32</v>
      </c>
      <c r="M1079" t="s">
        <v>33</v>
      </c>
      <c r="P1079" s="1" t="s">
        <v>4172</v>
      </c>
      <c r="Q1079" s="1" t="s">
        <v>3238</v>
      </c>
      <c r="R1079" s="1" t="s">
        <v>2984</v>
      </c>
      <c r="S1079" s="1"/>
      <c r="T1079" s="1" t="s">
        <v>414</v>
      </c>
      <c r="U1079" s="1"/>
      <c r="V1079" s="1">
        <v>62.5</v>
      </c>
      <c r="W1079" s="1">
        <v>62.5</v>
      </c>
      <c r="X1079" s="1" t="s">
        <v>35</v>
      </c>
      <c r="Y1079" s="1">
        <v>62500.0</v>
      </c>
      <c r="Z1079" s="1"/>
      <c r="AA1079" s="1">
        <v>62500</v>
      </c>
      <c r="AB1079" s="1"/>
      <c r="AC1079" s="1" t="s">
        <v>36</v>
      </c>
      <c r="AD1079" s="1" t="s">
        <v>4173</v>
      </c>
      <c r="AE1079" s="1" t="s">
        <v>32</v>
      </c>
      <c r="AF1079" s="1" t="s">
        <v>33</v>
      </c>
      <c r="AG1079" s="1" t="s">
        <v>540</v>
      </c>
    </row>
    <row r="1080" spans="1:33">
      <c r="A1080" t="s">
        <v>4174</v>
      </c>
      <c r="C1080" t="s">
        <v>2708</v>
      </c>
      <c r="E1080" t="s">
        <v>3238</v>
      </c>
      <c r="F1080" t="s">
        <v>3239</v>
      </c>
      <c r="G1080">
        <v>320.0</v>
      </c>
      <c r="H1080">
        <v>320.0</v>
      </c>
      <c r="I1080" t="s">
        <v>40</v>
      </c>
      <c r="J1080" t="s">
        <v>41</v>
      </c>
      <c r="K1080" t="s">
        <v>31</v>
      </c>
      <c r="L1080" t="s">
        <v>32</v>
      </c>
      <c r="M1080" t="s">
        <v>33</v>
      </c>
      <c r="P1080" s="1" t="s">
        <v>4175</v>
      </c>
      <c r="Q1080" s="1" t="s">
        <v>3238</v>
      </c>
      <c r="R1080" s="1" t="s">
        <v>2984</v>
      </c>
      <c r="S1080" s="1"/>
      <c r="T1080" s="1" t="s">
        <v>2708</v>
      </c>
      <c r="U1080" s="1"/>
      <c r="V1080" s="1">
        <v>320.0</v>
      </c>
      <c r="W1080" s="1">
        <v>320.0</v>
      </c>
      <c r="X1080" s="1" t="s">
        <v>35</v>
      </c>
      <c r="Y1080" s="1">
        <v>320000.0</v>
      </c>
      <c r="Z1080" s="1"/>
      <c r="AA1080" s="1">
        <v>320000</v>
      </c>
      <c r="AB1080" s="1"/>
      <c r="AC1080" s="1" t="s">
        <v>36</v>
      </c>
      <c r="AD1080" s="1" t="s">
        <v>4176</v>
      </c>
      <c r="AE1080" s="1" t="s">
        <v>32</v>
      </c>
      <c r="AF1080" s="1" t="s">
        <v>33</v>
      </c>
      <c r="AG1080" s="1" t="s">
        <v>41</v>
      </c>
    </row>
    <row r="1081" spans="1:33">
      <c r="A1081" t="s">
        <v>4177</v>
      </c>
      <c r="B1081" t="s">
        <v>4178</v>
      </c>
      <c r="C1081" t="s">
        <v>4179</v>
      </c>
      <c r="E1081" t="s">
        <v>3238</v>
      </c>
      <c r="F1081" t="s">
        <v>3239</v>
      </c>
      <c r="G1081">
        <v>536.762</v>
      </c>
      <c r="H1081">
        <v>536.762</v>
      </c>
      <c r="I1081" t="s">
        <v>529</v>
      </c>
      <c r="J1081" t="s">
        <v>530</v>
      </c>
      <c r="K1081" t="s">
        <v>31</v>
      </c>
      <c r="L1081" t="s">
        <v>32</v>
      </c>
      <c r="M1081" t="s">
        <v>33</v>
      </c>
      <c r="P1081" s="1" t="s">
        <v>4180</v>
      </c>
      <c r="Q1081" s="1" t="s">
        <v>3238</v>
      </c>
      <c r="R1081" s="1" t="s">
        <v>2984</v>
      </c>
      <c r="S1081" s="1"/>
      <c r="T1081" s="1" t="s">
        <v>4179</v>
      </c>
      <c r="U1081" s="1"/>
      <c r="V1081" s="1">
        <v>536.762</v>
      </c>
      <c r="W1081" s="1">
        <v>536.762</v>
      </c>
      <c r="X1081" s="1" t="s">
        <v>35</v>
      </c>
      <c r="Y1081" s="1">
        <v>536762.0</v>
      </c>
      <c r="Z1081" s="1"/>
      <c r="AA1081" s="1">
        <v>536762</v>
      </c>
      <c r="AB1081" s="1"/>
      <c r="AC1081" s="1" t="s">
        <v>36</v>
      </c>
      <c r="AD1081" s="1" t="s">
        <v>4181</v>
      </c>
      <c r="AE1081" s="1" t="s">
        <v>32</v>
      </c>
      <c r="AF1081" s="1" t="s">
        <v>33</v>
      </c>
      <c r="AG1081" s="1" t="s">
        <v>530</v>
      </c>
    </row>
    <row r="1082" spans="1:33">
      <c r="A1082" t="s">
        <v>4182</v>
      </c>
      <c r="C1082" t="s">
        <v>1053</v>
      </c>
      <c r="E1082" t="s">
        <v>3238</v>
      </c>
      <c r="F1082" t="s">
        <v>2985</v>
      </c>
      <c r="G1082">
        <v>157.5</v>
      </c>
      <c r="H1082">
        <v>157.5</v>
      </c>
      <c r="I1082" t="s">
        <v>179</v>
      </c>
      <c r="J1082" t="s">
        <v>180</v>
      </c>
      <c r="K1082" t="s">
        <v>31</v>
      </c>
      <c r="L1082" t="s">
        <v>32</v>
      </c>
      <c r="M1082" t="s">
        <v>33</v>
      </c>
      <c r="P1082" s="1" t="s">
        <v>4183</v>
      </c>
      <c r="Q1082" s="1" t="s">
        <v>3238</v>
      </c>
      <c r="R1082" s="1" t="s">
        <v>3238</v>
      </c>
      <c r="S1082" s="1"/>
      <c r="T1082" s="1" t="s">
        <v>1053</v>
      </c>
      <c r="U1082" s="1"/>
      <c r="V1082" s="1">
        <v>157.5</v>
      </c>
      <c r="W1082" s="1">
        <v>157.5</v>
      </c>
      <c r="X1082" s="1" t="s">
        <v>35</v>
      </c>
      <c r="Y1082" s="1">
        <v>157500.0</v>
      </c>
      <c r="Z1082" s="1"/>
      <c r="AA1082" s="1">
        <v>157500</v>
      </c>
      <c r="AB1082" s="1"/>
      <c r="AC1082" s="1" t="s">
        <v>36</v>
      </c>
      <c r="AD1082" s="1" t="s">
        <v>4184</v>
      </c>
      <c r="AE1082" s="1" t="s">
        <v>32</v>
      </c>
      <c r="AF1082" s="1" t="s">
        <v>33</v>
      </c>
      <c r="AG1082" s="1" t="s">
        <v>180</v>
      </c>
    </row>
    <row r="1083" spans="1:33">
      <c r="A1083" t="s">
        <v>4185</v>
      </c>
      <c r="C1083" t="s">
        <v>569</v>
      </c>
      <c r="E1083" t="s">
        <v>3238</v>
      </c>
      <c r="F1083" t="s">
        <v>3239</v>
      </c>
      <c r="G1083">
        <v>20.99</v>
      </c>
      <c r="H1083">
        <v>20.99</v>
      </c>
      <c r="I1083" t="s">
        <v>570</v>
      </c>
      <c r="J1083" t="s">
        <v>571</v>
      </c>
      <c r="K1083" t="s">
        <v>31</v>
      </c>
      <c r="L1083" t="s">
        <v>32</v>
      </c>
      <c r="M1083" t="s">
        <v>33</v>
      </c>
      <c r="P1083" s="1" t="s">
        <v>4186</v>
      </c>
      <c r="Q1083" s="1" t="s">
        <v>3238</v>
      </c>
      <c r="R1083" s="1" t="s">
        <v>3238</v>
      </c>
      <c r="S1083" s="1"/>
      <c r="T1083" s="1" t="s">
        <v>569</v>
      </c>
      <c r="U1083" s="1"/>
      <c r="V1083" s="1">
        <v>20.99</v>
      </c>
      <c r="W1083" s="1">
        <v>20.99</v>
      </c>
      <c r="X1083" s="1" t="s">
        <v>35</v>
      </c>
      <c r="Y1083" s="1">
        <v>20990.0</v>
      </c>
      <c r="Z1083" s="1"/>
      <c r="AA1083" s="1">
        <v>20990</v>
      </c>
      <c r="AB1083" s="1"/>
      <c r="AC1083" s="1" t="s">
        <v>36</v>
      </c>
      <c r="AD1083" s="1" t="s">
        <v>4187</v>
      </c>
      <c r="AE1083" s="1" t="s">
        <v>32</v>
      </c>
      <c r="AF1083" s="1" t="s">
        <v>33</v>
      </c>
      <c r="AG1083" s="1" t="s">
        <v>571</v>
      </c>
    </row>
    <row r="1084" spans="1:33">
      <c r="A1084" t="s">
        <v>4188</v>
      </c>
      <c r="B1084" t="s">
        <v>4189</v>
      </c>
      <c r="C1084" t="s">
        <v>414</v>
      </c>
      <c r="E1084" t="s">
        <v>3238</v>
      </c>
      <c r="F1084" t="s">
        <v>3239</v>
      </c>
      <c r="G1084">
        <v>45.0</v>
      </c>
      <c r="H1084">
        <v>45.0</v>
      </c>
      <c r="I1084" t="s">
        <v>539</v>
      </c>
      <c r="J1084" t="s">
        <v>540</v>
      </c>
      <c r="K1084" t="s">
        <v>31</v>
      </c>
      <c r="L1084" t="s">
        <v>32</v>
      </c>
      <c r="M1084" t="s">
        <v>33</v>
      </c>
      <c r="P1084" s="1" t="s">
        <v>4190</v>
      </c>
      <c r="Q1084" s="1" t="s">
        <v>3238</v>
      </c>
      <c r="R1084" s="1" t="s">
        <v>2984</v>
      </c>
      <c r="S1084" s="1"/>
      <c r="T1084" s="1" t="s">
        <v>414</v>
      </c>
      <c r="U1084" s="1"/>
      <c r="V1084" s="1">
        <v>45.0</v>
      </c>
      <c r="W1084" s="1">
        <v>45.0</v>
      </c>
      <c r="X1084" s="1" t="s">
        <v>35</v>
      </c>
      <c r="Y1084" s="1">
        <v>45000.0</v>
      </c>
      <c r="Z1084" s="1"/>
      <c r="AA1084" s="1">
        <v>45000</v>
      </c>
      <c r="AB1084" s="1"/>
      <c r="AC1084" s="1" t="s">
        <v>36</v>
      </c>
      <c r="AD1084" s="1" t="s">
        <v>4191</v>
      </c>
      <c r="AE1084" s="1" t="s">
        <v>32</v>
      </c>
      <c r="AF1084" s="1" t="s">
        <v>33</v>
      </c>
      <c r="AG1084" s="1" t="s">
        <v>540</v>
      </c>
    </row>
    <row r="1085" spans="1:33">
      <c r="A1085" t="s">
        <v>4192</v>
      </c>
      <c r="B1085" t="s">
        <v>444</v>
      </c>
      <c r="C1085" t="s">
        <v>314</v>
      </c>
      <c r="E1085" t="s">
        <v>3238</v>
      </c>
      <c r="F1085" t="s">
        <v>3239</v>
      </c>
      <c r="G1085">
        <v>37.49</v>
      </c>
      <c r="H1085">
        <v>37.49</v>
      </c>
      <c r="I1085" t="s">
        <v>179</v>
      </c>
      <c r="J1085" t="s">
        <v>180</v>
      </c>
      <c r="K1085" t="s">
        <v>31</v>
      </c>
      <c r="L1085" t="s">
        <v>32</v>
      </c>
      <c r="M1085" t="s">
        <v>33</v>
      </c>
      <c r="P1085" s="1" t="s">
        <v>4193</v>
      </c>
      <c r="Q1085" s="1" t="s">
        <v>3238</v>
      </c>
      <c r="R1085" s="1" t="s">
        <v>3238</v>
      </c>
      <c r="S1085" s="1"/>
      <c r="T1085" s="1" t="s">
        <v>314</v>
      </c>
      <c r="U1085" s="1"/>
      <c r="V1085" s="1">
        <v>37.49</v>
      </c>
      <c r="W1085" s="1">
        <v>37.49</v>
      </c>
      <c r="X1085" s="1" t="s">
        <v>35</v>
      </c>
      <c r="Y1085" s="1">
        <v>37490.0</v>
      </c>
      <c r="Z1085" s="1"/>
      <c r="AA1085" s="1">
        <v>37490</v>
      </c>
      <c r="AB1085" s="1"/>
      <c r="AC1085" s="1" t="s">
        <v>36</v>
      </c>
      <c r="AD1085" s="1" t="s">
        <v>4194</v>
      </c>
      <c r="AE1085" s="1" t="s">
        <v>32</v>
      </c>
      <c r="AF1085" s="1" t="s">
        <v>33</v>
      </c>
      <c r="AG1085" s="1" t="s">
        <v>180</v>
      </c>
    </row>
    <row r="1086" spans="1:33">
      <c r="A1086" t="s">
        <v>4195</v>
      </c>
      <c r="C1086" t="s">
        <v>2216</v>
      </c>
      <c r="E1086" t="s">
        <v>3238</v>
      </c>
      <c r="F1086" t="s">
        <v>3239</v>
      </c>
      <c r="G1086">
        <v>697.6</v>
      </c>
      <c r="H1086">
        <v>697.6</v>
      </c>
      <c r="I1086" t="s">
        <v>227</v>
      </c>
      <c r="J1086" t="s">
        <v>228</v>
      </c>
      <c r="K1086" t="s">
        <v>31</v>
      </c>
      <c r="L1086" t="s">
        <v>32</v>
      </c>
      <c r="M1086" t="s">
        <v>33</v>
      </c>
      <c r="P1086" s="1" t="s">
        <v>4196</v>
      </c>
      <c r="Q1086" s="1" t="s">
        <v>3238</v>
      </c>
      <c r="R1086" s="1" t="s">
        <v>3238</v>
      </c>
      <c r="S1086" s="1"/>
      <c r="T1086" s="1" t="s">
        <v>2216</v>
      </c>
      <c r="U1086" s="1"/>
      <c r="V1086" s="1">
        <v>697.6</v>
      </c>
      <c r="W1086" s="1">
        <v>697.6</v>
      </c>
      <c r="X1086" s="1" t="s">
        <v>35</v>
      </c>
      <c r="Y1086" s="1">
        <v>697600.0</v>
      </c>
      <c r="Z1086" s="1"/>
      <c r="AA1086" s="1">
        <v>697600</v>
      </c>
      <c r="AB1086" s="1"/>
      <c r="AC1086" s="1" t="s">
        <v>36</v>
      </c>
      <c r="AD1086" s="1" t="s">
        <v>4197</v>
      </c>
      <c r="AE1086" s="1" t="s">
        <v>32</v>
      </c>
      <c r="AF1086" s="1" t="s">
        <v>33</v>
      </c>
      <c r="AG1086" s="1" t="s">
        <v>228</v>
      </c>
    </row>
    <row r="1087" spans="1:33">
      <c r="A1087" t="s">
        <v>4198</v>
      </c>
      <c r="B1087" t="s">
        <v>4199</v>
      </c>
      <c r="C1087" t="s">
        <v>4200</v>
      </c>
      <c r="E1087" t="s">
        <v>3238</v>
      </c>
      <c r="F1087" t="s">
        <v>3239</v>
      </c>
      <c r="G1087">
        <v>272.5</v>
      </c>
      <c r="H1087">
        <v>272.5</v>
      </c>
      <c r="I1087" t="s">
        <v>29</v>
      </c>
      <c r="J1087" t="s">
        <v>30</v>
      </c>
      <c r="K1087" t="s">
        <v>31</v>
      </c>
      <c r="L1087" t="s">
        <v>32</v>
      </c>
      <c r="M1087" t="s">
        <v>33</v>
      </c>
      <c r="P1087" s="1" t="s">
        <v>4201</v>
      </c>
      <c r="Q1087" s="1" t="s">
        <v>3238</v>
      </c>
      <c r="R1087" s="1" t="s">
        <v>3238</v>
      </c>
      <c r="S1087" s="1"/>
      <c r="T1087" s="1" t="s">
        <v>4200</v>
      </c>
      <c r="U1087" s="1"/>
      <c r="V1087" s="1">
        <v>272.5</v>
      </c>
      <c r="W1087" s="1">
        <v>272.5</v>
      </c>
      <c r="X1087" s="1" t="s">
        <v>35</v>
      </c>
      <c r="Y1087" s="1">
        <v>272500.0</v>
      </c>
      <c r="Z1087" s="1"/>
      <c r="AA1087" s="1">
        <v>272500</v>
      </c>
      <c r="AB1087" s="1"/>
      <c r="AC1087" s="1" t="s">
        <v>36</v>
      </c>
      <c r="AD1087" s="1" t="s">
        <v>4202</v>
      </c>
      <c r="AE1087" s="1" t="s">
        <v>32</v>
      </c>
      <c r="AF1087" s="1" t="s">
        <v>33</v>
      </c>
      <c r="AG1087" s="1" t="s">
        <v>30</v>
      </c>
    </row>
    <row r="1088" spans="1:33">
      <c r="A1088" t="s">
        <v>4203</v>
      </c>
      <c r="B1088" t="s">
        <v>4204</v>
      </c>
      <c r="C1088" t="s">
        <v>125</v>
      </c>
      <c r="E1088" t="s">
        <v>3238</v>
      </c>
      <c r="F1088" t="s">
        <v>3239</v>
      </c>
      <c r="G1088">
        <v>3.449</v>
      </c>
      <c r="H1088">
        <v>3.449</v>
      </c>
      <c r="I1088" t="s">
        <v>126</v>
      </c>
      <c r="J1088" t="s">
        <v>127</v>
      </c>
      <c r="K1088" t="s">
        <v>31</v>
      </c>
      <c r="L1088" t="s">
        <v>32</v>
      </c>
      <c r="M1088" t="s">
        <v>33</v>
      </c>
      <c r="P1088" s="1" t="s">
        <v>4205</v>
      </c>
      <c r="Q1088" s="1" t="s">
        <v>3238</v>
      </c>
      <c r="R1088" s="1" t="s">
        <v>3238</v>
      </c>
      <c r="S1088" s="1"/>
      <c r="T1088" s="1" t="s">
        <v>125</v>
      </c>
      <c r="U1088" s="1"/>
      <c r="V1088" s="1">
        <v>3.449</v>
      </c>
      <c r="W1088" s="1">
        <v>3.449</v>
      </c>
      <c r="X1088" s="1" t="s">
        <v>35</v>
      </c>
      <c r="Y1088" s="1">
        <v>3449.0</v>
      </c>
      <c r="Z1088" s="1"/>
      <c r="AA1088" s="1">
        <v>3449</v>
      </c>
      <c r="AB1088" s="1"/>
      <c r="AC1088" s="1" t="s">
        <v>36</v>
      </c>
      <c r="AD1088" s="1" t="s">
        <v>4206</v>
      </c>
      <c r="AE1088" s="1" t="s">
        <v>32</v>
      </c>
      <c r="AF1088" s="1" t="s">
        <v>33</v>
      </c>
      <c r="AG1088" s="1" t="s">
        <v>127</v>
      </c>
    </row>
    <row r="1089" spans="1:33">
      <c r="A1089" t="s">
        <v>4207</v>
      </c>
      <c r="B1089" t="s">
        <v>4208</v>
      </c>
      <c r="C1089" t="s">
        <v>125</v>
      </c>
      <c r="E1089" t="s">
        <v>3238</v>
      </c>
      <c r="F1089" t="s">
        <v>3239</v>
      </c>
      <c r="G1089">
        <v>20.99</v>
      </c>
      <c r="H1089">
        <v>20.99</v>
      </c>
      <c r="I1089" t="s">
        <v>126</v>
      </c>
      <c r="J1089" t="s">
        <v>127</v>
      </c>
      <c r="K1089" t="s">
        <v>31</v>
      </c>
      <c r="L1089" t="s">
        <v>32</v>
      </c>
      <c r="M1089" t="s">
        <v>33</v>
      </c>
      <c r="P1089" s="1" t="s">
        <v>4209</v>
      </c>
      <c r="Q1089" s="1" t="s">
        <v>3238</v>
      </c>
      <c r="R1089" s="1" t="s">
        <v>3238</v>
      </c>
      <c r="S1089" s="1"/>
      <c r="T1089" s="1" t="s">
        <v>125</v>
      </c>
      <c r="U1089" s="1"/>
      <c r="V1089" s="1">
        <v>20.99</v>
      </c>
      <c r="W1089" s="1">
        <v>20.99</v>
      </c>
      <c r="X1089" s="1" t="s">
        <v>35</v>
      </c>
      <c r="Y1089" s="1">
        <v>20990.0</v>
      </c>
      <c r="Z1089" s="1"/>
      <c r="AA1089" s="1">
        <v>20990</v>
      </c>
      <c r="AB1089" s="1"/>
      <c r="AC1089" s="1" t="s">
        <v>36</v>
      </c>
      <c r="AD1089" s="1" t="s">
        <v>4210</v>
      </c>
      <c r="AE1089" s="1" t="s">
        <v>32</v>
      </c>
      <c r="AF1089" s="1" t="s">
        <v>33</v>
      </c>
      <c r="AG1089" s="1" t="s">
        <v>127</v>
      </c>
    </row>
    <row r="1090" spans="1:33">
      <c r="A1090" t="s">
        <v>4211</v>
      </c>
      <c r="B1090" t="s">
        <v>4212</v>
      </c>
      <c r="C1090" t="s">
        <v>125</v>
      </c>
      <c r="E1090" t="s">
        <v>3238</v>
      </c>
      <c r="F1090" t="s">
        <v>3239</v>
      </c>
      <c r="G1090">
        <v>64.98</v>
      </c>
      <c r="H1090">
        <v>64.98</v>
      </c>
      <c r="I1090" t="s">
        <v>126</v>
      </c>
      <c r="J1090" t="s">
        <v>127</v>
      </c>
      <c r="K1090" t="s">
        <v>31</v>
      </c>
      <c r="L1090" t="s">
        <v>32</v>
      </c>
      <c r="M1090" t="s">
        <v>33</v>
      </c>
      <c r="P1090" s="1" t="s">
        <v>4213</v>
      </c>
      <c r="Q1090" s="1" t="s">
        <v>3238</v>
      </c>
      <c r="R1090" s="1" t="s">
        <v>3238</v>
      </c>
      <c r="S1090" s="1"/>
      <c r="T1090" s="1" t="s">
        <v>125</v>
      </c>
      <c r="U1090" s="1"/>
      <c r="V1090" s="1">
        <v>64.98</v>
      </c>
      <c r="W1090" s="1">
        <v>64.98</v>
      </c>
      <c r="X1090" s="1" t="s">
        <v>35</v>
      </c>
      <c r="Y1090" s="1">
        <v>64980.0</v>
      </c>
      <c r="Z1090" s="1"/>
      <c r="AA1090" s="1">
        <v>64980</v>
      </c>
      <c r="AB1090" s="1"/>
      <c r="AC1090" s="1" t="s">
        <v>36</v>
      </c>
      <c r="AD1090" s="1" t="s">
        <v>4176</v>
      </c>
      <c r="AE1090" s="1" t="s">
        <v>32</v>
      </c>
      <c r="AF1090" s="1" t="s">
        <v>33</v>
      </c>
      <c r="AG1090" s="1" t="s">
        <v>127</v>
      </c>
    </row>
    <row r="1091" spans="1:33">
      <c r="A1091" t="s">
        <v>4214</v>
      </c>
      <c r="B1091" t="s">
        <v>4215</v>
      </c>
      <c r="C1091" t="s">
        <v>125</v>
      </c>
      <c r="E1091" t="s">
        <v>3238</v>
      </c>
      <c r="F1091" t="s">
        <v>3239</v>
      </c>
      <c r="G1091">
        <v>29.49</v>
      </c>
      <c r="H1091">
        <v>29.49</v>
      </c>
      <c r="I1091" t="s">
        <v>126</v>
      </c>
      <c r="J1091" t="s">
        <v>127</v>
      </c>
      <c r="K1091" t="s">
        <v>31</v>
      </c>
      <c r="L1091" t="s">
        <v>32</v>
      </c>
      <c r="M1091" t="s">
        <v>33</v>
      </c>
      <c r="P1091" s="1" t="s">
        <v>4216</v>
      </c>
      <c r="Q1091" s="1" t="s">
        <v>3238</v>
      </c>
      <c r="R1091" s="1" t="s">
        <v>3238</v>
      </c>
      <c r="S1091" s="1"/>
      <c r="T1091" s="1" t="s">
        <v>125</v>
      </c>
      <c r="U1091" s="1"/>
      <c r="V1091" s="1">
        <v>29.49</v>
      </c>
      <c r="W1091" s="1">
        <v>29.49</v>
      </c>
      <c r="X1091" s="1" t="s">
        <v>35</v>
      </c>
      <c r="Y1091" s="1">
        <v>29490.0</v>
      </c>
      <c r="Z1091" s="1"/>
      <c r="AA1091" s="1">
        <v>29490</v>
      </c>
      <c r="AB1091" s="1"/>
      <c r="AC1091" s="1" t="s">
        <v>36</v>
      </c>
      <c r="AD1091" s="1" t="s">
        <v>4217</v>
      </c>
      <c r="AE1091" s="1" t="s">
        <v>32</v>
      </c>
      <c r="AF1091" s="1" t="s">
        <v>33</v>
      </c>
      <c r="AG1091" s="1" t="s">
        <v>127</v>
      </c>
    </row>
    <row r="1092" spans="1:33">
      <c r="A1092" t="s">
        <v>4218</v>
      </c>
      <c r="C1092" t="s">
        <v>1866</v>
      </c>
      <c r="E1092" t="s">
        <v>3238</v>
      </c>
      <c r="F1092" t="s">
        <v>3239</v>
      </c>
      <c r="G1092">
        <v>345.5</v>
      </c>
      <c r="H1092">
        <v>345.5</v>
      </c>
      <c r="I1092" t="s">
        <v>269</v>
      </c>
      <c r="J1092" t="s">
        <v>270</v>
      </c>
      <c r="K1092" t="s">
        <v>31</v>
      </c>
      <c r="L1092" t="s">
        <v>32</v>
      </c>
      <c r="M1092" t="s">
        <v>33</v>
      </c>
      <c r="P1092" s="1" t="s">
        <v>4219</v>
      </c>
      <c r="Q1092" s="1" t="s">
        <v>3238</v>
      </c>
      <c r="R1092" s="1" t="s">
        <v>3238</v>
      </c>
      <c r="S1092" s="1"/>
      <c r="T1092" s="1" t="s">
        <v>1866</v>
      </c>
      <c r="U1092" s="1"/>
      <c r="V1092" s="1">
        <v>345.5</v>
      </c>
      <c r="W1092" s="1">
        <v>345.5</v>
      </c>
      <c r="X1092" s="1" t="s">
        <v>35</v>
      </c>
      <c r="Y1092" s="1">
        <v>345500.0</v>
      </c>
      <c r="Z1092" s="1"/>
      <c r="AA1092" s="1">
        <v>345500</v>
      </c>
      <c r="AB1092" s="1"/>
      <c r="AC1092" s="1" t="s">
        <v>36</v>
      </c>
      <c r="AD1092" s="1" t="s">
        <v>4220</v>
      </c>
      <c r="AE1092" s="1" t="s">
        <v>32</v>
      </c>
      <c r="AF1092" s="1" t="s">
        <v>33</v>
      </c>
      <c r="AG1092" s="1" t="s">
        <v>270</v>
      </c>
    </row>
    <row r="1093" spans="1:33">
      <c r="A1093" t="s">
        <v>4221</v>
      </c>
      <c r="B1093" t="s">
        <v>4222</v>
      </c>
      <c r="C1093" t="s">
        <v>125</v>
      </c>
      <c r="E1093" t="s">
        <v>3238</v>
      </c>
      <c r="F1093" t="s">
        <v>3239</v>
      </c>
      <c r="G1093">
        <v>33.98</v>
      </c>
      <c r="H1093">
        <v>33.98</v>
      </c>
      <c r="I1093" t="s">
        <v>126</v>
      </c>
      <c r="J1093" t="s">
        <v>127</v>
      </c>
      <c r="K1093" t="s">
        <v>31</v>
      </c>
      <c r="L1093" t="s">
        <v>32</v>
      </c>
      <c r="M1093" t="s">
        <v>33</v>
      </c>
      <c r="P1093" s="1" t="s">
        <v>4223</v>
      </c>
      <c r="Q1093" s="1" t="s">
        <v>3238</v>
      </c>
      <c r="R1093" s="1" t="s">
        <v>3238</v>
      </c>
      <c r="S1093" s="1"/>
      <c r="T1093" s="1" t="s">
        <v>125</v>
      </c>
      <c r="U1093" s="1"/>
      <c r="V1093" s="1">
        <v>33.98</v>
      </c>
      <c r="W1093" s="1">
        <v>33.98</v>
      </c>
      <c r="X1093" s="1" t="s">
        <v>35</v>
      </c>
      <c r="Y1093" s="1">
        <v>33980.0</v>
      </c>
      <c r="Z1093" s="1"/>
      <c r="AA1093" s="1">
        <v>33980</v>
      </c>
      <c r="AB1093" s="1"/>
      <c r="AC1093" s="1" t="s">
        <v>36</v>
      </c>
      <c r="AD1093" s="1" t="s">
        <v>4220</v>
      </c>
      <c r="AE1093" s="1" t="s">
        <v>32</v>
      </c>
      <c r="AF1093" s="1" t="s">
        <v>33</v>
      </c>
      <c r="AG1093" s="1" t="s">
        <v>127</v>
      </c>
    </row>
    <row r="1094" spans="1:33">
      <c r="A1094" t="s">
        <v>4224</v>
      </c>
      <c r="B1094" t="s">
        <v>4225</v>
      </c>
      <c r="C1094" t="s">
        <v>172</v>
      </c>
      <c r="E1094" t="s">
        <v>3238</v>
      </c>
      <c r="F1094" t="s">
        <v>3239</v>
      </c>
      <c r="G1094">
        <v>72.98</v>
      </c>
      <c r="H1094">
        <v>72.98</v>
      </c>
      <c r="I1094" t="s">
        <v>173</v>
      </c>
      <c r="J1094" t="s">
        <v>174</v>
      </c>
      <c r="K1094" t="s">
        <v>31</v>
      </c>
      <c r="L1094" t="s">
        <v>32</v>
      </c>
      <c r="M1094" t="s">
        <v>33</v>
      </c>
      <c r="P1094" s="1" t="s">
        <v>4226</v>
      </c>
      <c r="Q1094" s="1" t="s">
        <v>3238</v>
      </c>
      <c r="R1094" s="1" t="s">
        <v>3238</v>
      </c>
      <c r="S1094" s="1"/>
      <c r="T1094" s="1" t="s">
        <v>172</v>
      </c>
      <c r="U1094" s="1"/>
      <c r="V1094" s="1">
        <v>72.98</v>
      </c>
      <c r="W1094" s="1">
        <v>72.98</v>
      </c>
      <c r="X1094" s="1" t="s">
        <v>35</v>
      </c>
      <c r="Y1094" s="1">
        <v>72980.0</v>
      </c>
      <c r="Z1094" s="1"/>
      <c r="AA1094" s="1">
        <v>72980</v>
      </c>
      <c r="AB1094" s="1"/>
      <c r="AC1094" s="1" t="s">
        <v>36</v>
      </c>
      <c r="AD1094" s="1" t="s">
        <v>4227</v>
      </c>
      <c r="AE1094" s="1" t="s">
        <v>32</v>
      </c>
      <c r="AF1094" s="1" t="s">
        <v>33</v>
      </c>
      <c r="AG1094" s="1" t="s">
        <v>174</v>
      </c>
    </row>
    <row r="1095" spans="1:33">
      <c r="A1095" t="s">
        <v>4228</v>
      </c>
      <c r="C1095" t="s">
        <v>3478</v>
      </c>
      <c r="E1095" t="s">
        <v>3238</v>
      </c>
      <c r="F1095" t="s">
        <v>3239</v>
      </c>
      <c r="G1095">
        <v>957.5</v>
      </c>
      <c r="H1095">
        <v>957.5</v>
      </c>
      <c r="I1095" t="s">
        <v>173</v>
      </c>
      <c r="J1095" t="s">
        <v>174</v>
      </c>
      <c r="K1095" t="s">
        <v>31</v>
      </c>
      <c r="L1095" t="s">
        <v>32</v>
      </c>
      <c r="M1095" t="s">
        <v>33</v>
      </c>
      <c r="P1095" s="1" t="s">
        <v>4229</v>
      </c>
      <c r="Q1095" s="1" t="s">
        <v>3238</v>
      </c>
      <c r="R1095" s="1" t="s">
        <v>3238</v>
      </c>
      <c r="S1095" s="1"/>
      <c r="T1095" s="1" t="s">
        <v>3478</v>
      </c>
      <c r="U1095" s="1"/>
      <c r="V1095" s="1">
        <v>957.5</v>
      </c>
      <c r="W1095" s="1">
        <v>957.5</v>
      </c>
      <c r="X1095" s="1" t="s">
        <v>35</v>
      </c>
      <c r="Y1095" s="1">
        <v>957500.0</v>
      </c>
      <c r="Z1095" s="1"/>
      <c r="AA1095" s="1">
        <v>957500</v>
      </c>
      <c r="AB1095" s="1"/>
      <c r="AC1095" s="1" t="s">
        <v>36</v>
      </c>
      <c r="AD1095" s="1" t="s">
        <v>4230</v>
      </c>
      <c r="AE1095" s="1" t="s">
        <v>32</v>
      </c>
      <c r="AF1095" s="1" t="s">
        <v>33</v>
      </c>
      <c r="AG1095" s="1" t="s">
        <v>174</v>
      </c>
    </row>
    <row r="1096" spans="1:33">
      <c r="A1096" t="s">
        <v>4231</v>
      </c>
      <c r="B1096" t="s">
        <v>4232</v>
      </c>
      <c r="C1096" t="s">
        <v>68</v>
      </c>
      <c r="E1096" t="s">
        <v>3238</v>
      </c>
      <c r="F1096" t="s">
        <v>3239</v>
      </c>
      <c r="G1096">
        <v>2.0</v>
      </c>
      <c r="H1096">
        <v>2.0</v>
      </c>
      <c r="I1096" t="s">
        <v>59</v>
      </c>
      <c r="J1096" t="s">
        <v>60</v>
      </c>
      <c r="K1096" t="s">
        <v>31</v>
      </c>
      <c r="L1096" t="s">
        <v>32</v>
      </c>
      <c r="M1096" t="s">
        <v>33</v>
      </c>
      <c r="P1096" s="1" t="s">
        <v>4233</v>
      </c>
      <c r="Q1096" s="1" t="s">
        <v>3238</v>
      </c>
      <c r="R1096" s="1" t="s">
        <v>3238</v>
      </c>
      <c r="S1096" s="1"/>
      <c r="T1096" s="1" t="s">
        <v>68</v>
      </c>
      <c r="U1096" s="1"/>
      <c r="V1096" s="1">
        <v>2.0</v>
      </c>
      <c r="W1096" s="1">
        <v>2.0</v>
      </c>
      <c r="X1096" s="1" t="s">
        <v>35</v>
      </c>
      <c r="Y1096" s="1">
        <v>2000.0</v>
      </c>
      <c r="Z1096" s="1"/>
      <c r="AA1096" s="1">
        <v>2000</v>
      </c>
      <c r="AB1096" s="1"/>
      <c r="AC1096" s="1" t="s">
        <v>36</v>
      </c>
      <c r="AD1096" s="1" t="s">
        <v>4234</v>
      </c>
      <c r="AE1096" s="1" t="s">
        <v>32</v>
      </c>
      <c r="AF1096" s="1" t="s">
        <v>33</v>
      </c>
      <c r="AG1096" s="1" t="s">
        <v>60</v>
      </c>
    </row>
    <row r="1097" spans="1:33">
      <c r="A1097" t="s">
        <v>4235</v>
      </c>
      <c r="C1097" t="s">
        <v>4236</v>
      </c>
      <c r="E1097" t="s">
        <v>3238</v>
      </c>
      <c r="F1097" t="s">
        <v>3239</v>
      </c>
      <c r="G1097">
        <v>514.5</v>
      </c>
      <c r="H1097">
        <v>514.5</v>
      </c>
      <c r="I1097" t="s">
        <v>179</v>
      </c>
      <c r="J1097" t="s">
        <v>180</v>
      </c>
      <c r="K1097" t="s">
        <v>31</v>
      </c>
      <c r="L1097" t="s">
        <v>32</v>
      </c>
      <c r="M1097" t="s">
        <v>33</v>
      </c>
      <c r="P1097" s="1" t="s">
        <v>4237</v>
      </c>
      <c r="Q1097" s="1" t="s">
        <v>3238</v>
      </c>
      <c r="R1097" s="1" t="s">
        <v>3238</v>
      </c>
      <c r="S1097" s="1"/>
      <c r="T1097" s="1" t="s">
        <v>4236</v>
      </c>
      <c r="U1097" s="1"/>
      <c r="V1097" s="1">
        <v>514.5</v>
      </c>
      <c r="W1097" s="1">
        <v>514.5</v>
      </c>
      <c r="X1097" s="1" t="s">
        <v>35</v>
      </c>
      <c r="Y1097" s="1">
        <v>514500.0</v>
      </c>
      <c r="Z1097" s="1"/>
      <c r="AA1097" s="1">
        <v>514500</v>
      </c>
      <c r="AB1097" s="1"/>
      <c r="AC1097" s="1" t="s">
        <v>36</v>
      </c>
      <c r="AD1097" s="1" t="s">
        <v>4230</v>
      </c>
      <c r="AE1097" s="1" t="s">
        <v>32</v>
      </c>
      <c r="AF1097" s="1" t="s">
        <v>33</v>
      </c>
      <c r="AG1097" s="1" t="s">
        <v>180</v>
      </c>
    </row>
    <row r="1098" spans="1:33">
      <c r="A1098" t="s">
        <v>4238</v>
      </c>
      <c r="B1098" t="s">
        <v>4239</v>
      </c>
      <c r="C1098" t="s">
        <v>314</v>
      </c>
      <c r="E1098" t="s">
        <v>3238</v>
      </c>
      <c r="F1098" t="s">
        <v>3239</v>
      </c>
      <c r="G1098">
        <v>15.58</v>
      </c>
      <c r="H1098">
        <v>15.58</v>
      </c>
      <c r="I1098" t="s">
        <v>179</v>
      </c>
      <c r="J1098" t="s">
        <v>180</v>
      </c>
      <c r="K1098" t="s">
        <v>31</v>
      </c>
      <c r="L1098" t="s">
        <v>32</v>
      </c>
      <c r="M1098" t="s">
        <v>33</v>
      </c>
      <c r="P1098" s="1" t="s">
        <v>4240</v>
      </c>
      <c r="Q1098" s="1" t="s">
        <v>3238</v>
      </c>
      <c r="R1098" s="1" t="s">
        <v>3238</v>
      </c>
      <c r="S1098" s="1"/>
      <c r="T1098" s="1" t="s">
        <v>314</v>
      </c>
      <c r="U1098" s="1"/>
      <c r="V1098" s="1">
        <v>15.58</v>
      </c>
      <c r="W1098" s="1">
        <v>15.58</v>
      </c>
      <c r="X1098" s="1" t="s">
        <v>35</v>
      </c>
      <c r="Y1098" s="1">
        <v>15580.0</v>
      </c>
      <c r="Z1098" s="1"/>
      <c r="AA1098" s="1">
        <v>15580</v>
      </c>
      <c r="AB1098" s="1"/>
      <c r="AC1098" s="1" t="s">
        <v>36</v>
      </c>
      <c r="AD1098" s="1" t="s">
        <v>4227</v>
      </c>
      <c r="AE1098" s="1" t="s">
        <v>32</v>
      </c>
      <c r="AF1098" s="1" t="s">
        <v>33</v>
      </c>
      <c r="AG1098" s="1" t="s">
        <v>180</v>
      </c>
    </row>
    <row r="1099" spans="1:33">
      <c r="A1099" t="s">
        <v>4241</v>
      </c>
      <c r="B1099" t="s">
        <v>4242</v>
      </c>
      <c r="C1099" t="s">
        <v>314</v>
      </c>
      <c r="E1099" t="s">
        <v>3238</v>
      </c>
      <c r="F1099" t="s">
        <v>3239</v>
      </c>
      <c r="G1099">
        <v>10.446</v>
      </c>
      <c r="H1099">
        <v>10.446</v>
      </c>
      <c r="I1099" t="s">
        <v>179</v>
      </c>
      <c r="J1099" t="s">
        <v>180</v>
      </c>
      <c r="K1099" t="s">
        <v>31</v>
      </c>
      <c r="L1099" t="s">
        <v>32</v>
      </c>
      <c r="M1099" t="s">
        <v>33</v>
      </c>
      <c r="P1099" s="1" t="s">
        <v>4243</v>
      </c>
      <c r="Q1099" s="1" t="s">
        <v>3238</v>
      </c>
      <c r="R1099" s="1" t="s">
        <v>3238</v>
      </c>
      <c r="S1099" s="1"/>
      <c r="T1099" s="1" t="s">
        <v>314</v>
      </c>
      <c r="U1099" s="1"/>
      <c r="V1099" s="1">
        <v>10.446</v>
      </c>
      <c r="W1099" s="1">
        <v>10.446</v>
      </c>
      <c r="X1099" s="1" t="s">
        <v>35</v>
      </c>
      <c r="Y1099" s="1">
        <v>10446.0</v>
      </c>
      <c r="Z1099" s="1"/>
      <c r="AA1099" s="1">
        <v>10446</v>
      </c>
      <c r="AB1099" s="1"/>
      <c r="AC1099" s="1" t="s">
        <v>36</v>
      </c>
      <c r="AD1099" s="1" t="s">
        <v>4244</v>
      </c>
      <c r="AE1099" s="1" t="s">
        <v>32</v>
      </c>
      <c r="AF1099" s="1" t="s">
        <v>33</v>
      </c>
      <c r="AG1099" s="1" t="s">
        <v>180</v>
      </c>
    </row>
    <row r="1100" spans="1:33">
      <c r="A1100" t="s">
        <v>4245</v>
      </c>
      <c r="B1100" t="s">
        <v>4246</v>
      </c>
      <c r="C1100" t="s">
        <v>172</v>
      </c>
      <c r="E1100" t="s">
        <v>3238</v>
      </c>
      <c r="F1100" t="s">
        <v>3239</v>
      </c>
      <c r="G1100">
        <v>41.98</v>
      </c>
      <c r="H1100">
        <v>41.98</v>
      </c>
      <c r="I1100" t="s">
        <v>173</v>
      </c>
      <c r="J1100" t="s">
        <v>174</v>
      </c>
      <c r="K1100" t="s">
        <v>31</v>
      </c>
      <c r="L1100" t="s">
        <v>32</v>
      </c>
      <c r="M1100" t="s">
        <v>33</v>
      </c>
      <c r="P1100" s="1" t="s">
        <v>4247</v>
      </c>
      <c r="Q1100" s="1" t="s">
        <v>3238</v>
      </c>
      <c r="R1100" s="1" t="s">
        <v>3238</v>
      </c>
      <c r="S1100" s="1"/>
      <c r="T1100" s="1" t="s">
        <v>172</v>
      </c>
      <c r="U1100" s="1"/>
      <c r="V1100" s="1">
        <v>41.98</v>
      </c>
      <c r="W1100" s="1">
        <v>41.98</v>
      </c>
      <c r="X1100" s="1" t="s">
        <v>35</v>
      </c>
      <c r="Y1100" s="1">
        <v>41980.0</v>
      </c>
      <c r="Z1100" s="1"/>
      <c r="AA1100" s="1">
        <v>41980</v>
      </c>
      <c r="AB1100" s="1"/>
      <c r="AC1100" s="1" t="s">
        <v>36</v>
      </c>
      <c r="AD1100" s="1" t="s">
        <v>4248</v>
      </c>
      <c r="AE1100" s="1" t="s">
        <v>32</v>
      </c>
      <c r="AF1100" s="1" t="s">
        <v>33</v>
      </c>
      <c r="AG1100" s="1" t="s">
        <v>174</v>
      </c>
    </row>
    <row r="1101" spans="1:33">
      <c r="A1101" t="s">
        <v>4249</v>
      </c>
      <c r="C1101" t="s">
        <v>3689</v>
      </c>
      <c r="E1101" t="s">
        <v>3238</v>
      </c>
      <c r="F1101" t="s">
        <v>3239</v>
      </c>
      <c r="G1101">
        <v>1.565</v>
      </c>
      <c r="H1101">
        <v>1.565</v>
      </c>
      <c r="I1101" t="s">
        <v>179</v>
      </c>
      <c r="J1101" t="s">
        <v>180</v>
      </c>
      <c r="K1101" t="s">
        <v>31</v>
      </c>
      <c r="L1101" t="s">
        <v>32</v>
      </c>
      <c r="M1101" t="s">
        <v>33</v>
      </c>
      <c r="P1101" s="1" t="s">
        <v>4250</v>
      </c>
      <c r="Q1101" s="1" t="s">
        <v>3238</v>
      </c>
      <c r="R1101" s="1" t="s">
        <v>3238</v>
      </c>
      <c r="S1101" s="1"/>
      <c r="T1101" s="1" t="s">
        <v>3689</v>
      </c>
      <c r="U1101" s="1"/>
      <c r="V1101" s="1">
        <v>1.565</v>
      </c>
      <c r="W1101" s="1">
        <v>1.565</v>
      </c>
      <c r="X1101" s="1" t="s">
        <v>35</v>
      </c>
      <c r="Y1101" s="1">
        <v>1565500.0</v>
      </c>
      <c r="Z1101" s="1"/>
      <c r="AA1101" s="1">
        <v>1565500</v>
      </c>
      <c r="AB1101" s="1"/>
      <c r="AC1101" s="1" t="s">
        <v>36</v>
      </c>
      <c r="AD1101" s="1" t="s">
        <v>4251</v>
      </c>
      <c r="AE1101" s="1" t="s">
        <v>32</v>
      </c>
      <c r="AF1101" s="1" t="s">
        <v>33</v>
      </c>
      <c r="AG1101" s="1" t="s">
        <v>180</v>
      </c>
    </row>
    <row r="1102" spans="1:33">
      <c r="A1102" t="s">
        <v>4252</v>
      </c>
      <c r="C1102" t="s">
        <v>763</v>
      </c>
      <c r="E1102" t="s">
        <v>3238</v>
      </c>
      <c r="F1102" t="s">
        <v>3239</v>
      </c>
      <c r="G1102">
        <v>761.09</v>
      </c>
      <c r="H1102">
        <v>761.09</v>
      </c>
      <c r="I1102" t="s">
        <v>179</v>
      </c>
      <c r="J1102" t="s">
        <v>180</v>
      </c>
      <c r="K1102" t="s">
        <v>31</v>
      </c>
      <c r="L1102" t="s">
        <v>32</v>
      </c>
      <c r="M1102" t="s">
        <v>33</v>
      </c>
      <c r="P1102" s="1" t="s">
        <v>4253</v>
      </c>
      <c r="Q1102" s="1" t="s">
        <v>3238</v>
      </c>
      <c r="R1102" s="1" t="s">
        <v>3238</v>
      </c>
      <c r="S1102" s="1"/>
      <c r="T1102" s="1" t="s">
        <v>763</v>
      </c>
      <c r="U1102" s="1"/>
      <c r="V1102" s="1">
        <v>761.09</v>
      </c>
      <c r="W1102" s="1">
        <v>761.09</v>
      </c>
      <c r="X1102" s="1" t="s">
        <v>35</v>
      </c>
      <c r="Y1102" s="1">
        <v>761090.0</v>
      </c>
      <c r="Z1102" s="1"/>
      <c r="AA1102" s="1">
        <v>761090</v>
      </c>
      <c r="AB1102" s="1"/>
      <c r="AC1102" s="1" t="s">
        <v>36</v>
      </c>
      <c r="AD1102" s="1" t="s">
        <v>4254</v>
      </c>
      <c r="AE1102" s="1" t="s">
        <v>32</v>
      </c>
      <c r="AF1102" s="1" t="s">
        <v>33</v>
      </c>
      <c r="AG1102" s="1" t="s">
        <v>180</v>
      </c>
    </row>
    <row r="1103" spans="1:33">
      <c r="A1103" t="s">
        <v>4255</v>
      </c>
      <c r="C1103" t="s">
        <v>4256</v>
      </c>
      <c r="E1103" t="s">
        <v>3238</v>
      </c>
      <c r="F1103" t="s">
        <v>3239</v>
      </c>
      <c r="G1103">
        <v>320.0</v>
      </c>
      <c r="H1103">
        <v>320.0</v>
      </c>
      <c r="I1103" t="s">
        <v>40</v>
      </c>
      <c r="J1103" t="s">
        <v>41</v>
      </c>
      <c r="K1103" t="s">
        <v>31</v>
      </c>
      <c r="L1103" t="s">
        <v>32</v>
      </c>
      <c r="M1103" t="s">
        <v>33</v>
      </c>
      <c r="P1103" s="1" t="s">
        <v>4257</v>
      </c>
      <c r="Q1103" s="1" t="s">
        <v>3238</v>
      </c>
      <c r="R1103" s="1" t="s">
        <v>2984</v>
      </c>
      <c r="S1103" s="1"/>
      <c r="T1103" s="1" t="s">
        <v>4258</v>
      </c>
      <c r="U1103" s="1" t="s">
        <v>4259</v>
      </c>
      <c r="V1103" s="1">
        <v>320.0</v>
      </c>
      <c r="W1103" s="1">
        <v>320.0</v>
      </c>
      <c r="X1103" s="1" t="s">
        <v>35</v>
      </c>
      <c r="Y1103" s="1">
        <v>320000.0</v>
      </c>
      <c r="Z1103" s="1"/>
      <c r="AA1103" s="1">
        <v>320000</v>
      </c>
      <c r="AB1103" s="1"/>
      <c r="AC1103" s="1" t="s">
        <v>36</v>
      </c>
      <c r="AD1103" s="1" t="s">
        <v>4260</v>
      </c>
      <c r="AE1103" s="1" t="s">
        <v>32</v>
      </c>
      <c r="AF1103" s="1" t="s">
        <v>33</v>
      </c>
      <c r="AG1103" s="1" t="s">
        <v>41</v>
      </c>
    </row>
    <row r="1104" spans="1:33">
      <c r="A1104" t="s">
        <v>4261</v>
      </c>
      <c r="C1104" t="s">
        <v>513</v>
      </c>
      <c r="E1104" t="s">
        <v>3238</v>
      </c>
      <c r="F1104" t="s">
        <v>3239</v>
      </c>
      <c r="G1104">
        <v>462.0</v>
      </c>
      <c r="H1104">
        <v>462.0</v>
      </c>
      <c r="I1104" t="s">
        <v>2206</v>
      </c>
      <c r="J1104" t="s">
        <v>49</v>
      </c>
      <c r="K1104" t="s">
        <v>31</v>
      </c>
      <c r="L1104" t="s">
        <v>32</v>
      </c>
      <c r="M1104" t="s">
        <v>33</v>
      </c>
      <c r="P1104" s="1" t="s">
        <v>4262</v>
      </c>
      <c r="Q1104" s="1" t="s">
        <v>3238</v>
      </c>
      <c r="R1104" s="1" t="s">
        <v>3238</v>
      </c>
      <c r="S1104" s="1"/>
      <c r="T1104" s="1" t="s">
        <v>513</v>
      </c>
      <c r="U1104" s="1"/>
      <c r="V1104" s="1">
        <v>462.0</v>
      </c>
      <c r="W1104" s="1">
        <v>462.0</v>
      </c>
      <c r="X1104" s="1" t="s">
        <v>35</v>
      </c>
      <c r="Y1104" s="1">
        <v>462000.0</v>
      </c>
      <c r="Z1104" s="1"/>
      <c r="AA1104" s="1">
        <v>462000</v>
      </c>
      <c r="AB1104" s="1"/>
      <c r="AC1104" s="1" t="s">
        <v>36</v>
      </c>
      <c r="AD1104" s="1" t="s">
        <v>4015</v>
      </c>
      <c r="AE1104" s="1" t="s">
        <v>32</v>
      </c>
      <c r="AF1104" s="1" t="s">
        <v>33</v>
      </c>
      <c r="AG1104" s="1" t="s">
        <v>49</v>
      </c>
    </row>
    <row r="1105" spans="1:33">
      <c r="A1105" t="s">
        <v>4263</v>
      </c>
      <c r="C1105" t="s">
        <v>1432</v>
      </c>
      <c r="D1105" t="s">
        <v>114</v>
      </c>
      <c r="E1105" t="s">
        <v>3238</v>
      </c>
      <c r="F1105" t="s">
        <v>3239</v>
      </c>
      <c r="G1105">
        <v>656.0</v>
      </c>
      <c r="H1105">
        <v>656.0</v>
      </c>
      <c r="I1105" t="s">
        <v>227</v>
      </c>
      <c r="J1105" t="s">
        <v>228</v>
      </c>
      <c r="K1105" t="s">
        <v>31</v>
      </c>
      <c r="L1105" t="s">
        <v>32</v>
      </c>
      <c r="M1105" t="s">
        <v>33</v>
      </c>
      <c r="P1105" s="1" t="s">
        <v>4264</v>
      </c>
      <c r="Q1105" s="1" t="s">
        <v>3238</v>
      </c>
      <c r="R1105" s="1" t="s">
        <v>3238</v>
      </c>
      <c r="S1105" s="1"/>
      <c r="T1105" s="1" t="s">
        <v>1432</v>
      </c>
      <c r="U1105" s="1"/>
      <c r="V1105" s="1">
        <v>656.0</v>
      </c>
      <c r="W1105" s="1">
        <v>656.0</v>
      </c>
      <c r="X1105" s="1" t="s">
        <v>35</v>
      </c>
      <c r="Y1105" s="1">
        <v>656000.0</v>
      </c>
      <c r="Z1105" s="1"/>
      <c r="AA1105" s="1">
        <v>656000</v>
      </c>
      <c r="AB1105" s="1"/>
      <c r="AC1105" s="1" t="s">
        <v>36</v>
      </c>
      <c r="AD1105" s="1" t="s">
        <v>4206</v>
      </c>
      <c r="AE1105" s="1" t="s">
        <v>32</v>
      </c>
      <c r="AF1105" s="1" t="s">
        <v>33</v>
      </c>
      <c r="AG1105" s="1" t="s">
        <v>228</v>
      </c>
    </row>
    <row r="1106" spans="1:33">
      <c r="A1106" t="s">
        <v>4265</v>
      </c>
      <c r="B1106" t="s">
        <v>4266</v>
      </c>
      <c r="C1106" t="s">
        <v>172</v>
      </c>
      <c r="E1106" t="s">
        <v>3238</v>
      </c>
      <c r="F1106" t="s">
        <v>3239</v>
      </c>
      <c r="G1106">
        <v>33.98</v>
      </c>
      <c r="H1106">
        <v>33.98</v>
      </c>
      <c r="I1106" t="s">
        <v>173</v>
      </c>
      <c r="J1106" t="s">
        <v>174</v>
      </c>
      <c r="K1106" t="s">
        <v>31</v>
      </c>
      <c r="L1106" t="s">
        <v>32</v>
      </c>
      <c r="M1106" t="s">
        <v>33</v>
      </c>
      <c r="P1106" s="1" t="s">
        <v>4267</v>
      </c>
      <c r="Q1106" s="1" t="s">
        <v>3238</v>
      </c>
      <c r="R1106" s="1" t="s">
        <v>3238</v>
      </c>
      <c r="S1106" s="1"/>
      <c r="T1106" s="1" t="s">
        <v>172</v>
      </c>
      <c r="U1106" s="1"/>
      <c r="V1106" s="1">
        <v>33.98</v>
      </c>
      <c r="W1106" s="1">
        <v>33.98</v>
      </c>
      <c r="X1106" s="1" t="s">
        <v>35</v>
      </c>
      <c r="Y1106" s="1">
        <v>33980.0</v>
      </c>
      <c r="Z1106" s="1"/>
      <c r="AA1106" s="1">
        <v>33980</v>
      </c>
      <c r="AB1106" s="1"/>
      <c r="AC1106" s="1" t="s">
        <v>36</v>
      </c>
      <c r="AD1106" s="1" t="s">
        <v>4268</v>
      </c>
      <c r="AE1106" s="1" t="s">
        <v>32</v>
      </c>
      <c r="AF1106" s="1" t="s">
        <v>33</v>
      </c>
      <c r="AG1106" s="1" t="s">
        <v>174</v>
      </c>
    </row>
    <row r="1107" spans="1:33">
      <c r="A1107" t="s">
        <v>4269</v>
      </c>
      <c r="B1107" t="s">
        <v>381</v>
      </c>
      <c r="C1107" t="s">
        <v>382</v>
      </c>
      <c r="E1107" t="s">
        <v>3238</v>
      </c>
      <c r="F1107" t="s">
        <v>3239</v>
      </c>
      <c r="G1107">
        <v>630.0</v>
      </c>
      <c r="H1107">
        <v>630.0</v>
      </c>
      <c r="I1107" t="s">
        <v>40</v>
      </c>
      <c r="J1107" t="s">
        <v>41</v>
      </c>
      <c r="K1107" t="s">
        <v>31</v>
      </c>
      <c r="L1107" t="s">
        <v>32</v>
      </c>
      <c r="M1107" t="s">
        <v>33</v>
      </c>
      <c r="P1107" s="1" t="s">
        <v>4270</v>
      </c>
      <c r="Q1107" s="1" t="s">
        <v>3238</v>
      </c>
      <c r="R1107" s="1" t="s">
        <v>2984</v>
      </c>
      <c r="S1107" s="1"/>
      <c r="T1107" s="1" t="s">
        <v>382</v>
      </c>
      <c r="U1107" s="1"/>
      <c r="V1107" s="1">
        <v>630.0</v>
      </c>
      <c r="W1107" s="1">
        <v>630.0</v>
      </c>
      <c r="X1107" s="1" t="s">
        <v>35</v>
      </c>
      <c r="Y1107" s="1">
        <v>630000.0</v>
      </c>
      <c r="Z1107" s="1"/>
      <c r="AA1107" s="1">
        <v>630000</v>
      </c>
      <c r="AB1107" s="1"/>
      <c r="AC1107" s="1" t="s">
        <v>36</v>
      </c>
      <c r="AD1107" s="1" t="s">
        <v>4271</v>
      </c>
      <c r="AE1107" s="1" t="s">
        <v>32</v>
      </c>
      <c r="AF1107" s="1" t="s">
        <v>33</v>
      </c>
      <c r="AG1107" s="1" t="s">
        <v>41</v>
      </c>
    </row>
    <row r="1108" spans="1:33">
      <c r="A1108" t="s">
        <v>4272</v>
      </c>
      <c r="C1108" t="s">
        <v>135</v>
      </c>
      <c r="E1108" t="s">
        <v>3238</v>
      </c>
      <c r="F1108" t="s">
        <v>3239</v>
      </c>
      <c r="G1108">
        <v>21.99</v>
      </c>
      <c r="H1108">
        <v>21.99</v>
      </c>
      <c r="I1108" t="s">
        <v>136</v>
      </c>
      <c r="J1108" t="s">
        <v>137</v>
      </c>
      <c r="K1108" t="s">
        <v>31</v>
      </c>
      <c r="L1108" t="s">
        <v>32</v>
      </c>
      <c r="M1108" t="s">
        <v>33</v>
      </c>
      <c r="P1108" s="1" t="s">
        <v>4273</v>
      </c>
      <c r="Q1108" s="1" t="s">
        <v>3238</v>
      </c>
      <c r="R1108" s="1" t="s">
        <v>3238</v>
      </c>
      <c r="S1108" s="1"/>
      <c r="T1108" s="1" t="s">
        <v>135</v>
      </c>
      <c r="U1108" s="1"/>
      <c r="V1108" s="1">
        <v>21.99</v>
      </c>
      <c r="W1108" s="1">
        <v>21.99</v>
      </c>
      <c r="X1108" s="1" t="s">
        <v>35</v>
      </c>
      <c r="Y1108" s="1">
        <v>21990.0</v>
      </c>
      <c r="Z1108" s="1"/>
      <c r="AA1108" s="1">
        <v>21990</v>
      </c>
      <c r="AB1108" s="1"/>
      <c r="AC1108" s="1" t="s">
        <v>36</v>
      </c>
      <c r="AD1108" s="1" t="s">
        <v>4274</v>
      </c>
      <c r="AE1108" s="1" t="s">
        <v>32</v>
      </c>
      <c r="AF1108" s="1" t="s">
        <v>33</v>
      </c>
      <c r="AG1108" s="1" t="s">
        <v>137</v>
      </c>
    </row>
    <row r="1109" spans="1:33">
      <c r="A1109" t="s">
        <v>4275</v>
      </c>
      <c r="C1109" t="s">
        <v>955</v>
      </c>
      <c r="D1109" t="s">
        <v>114</v>
      </c>
      <c r="E1109" t="s">
        <v>3238</v>
      </c>
      <c r="F1109" t="s">
        <v>3239</v>
      </c>
      <c r="G1109">
        <v>630.0</v>
      </c>
      <c r="H1109">
        <v>630.0</v>
      </c>
      <c r="I1109" t="s">
        <v>40</v>
      </c>
      <c r="J1109" t="s">
        <v>41</v>
      </c>
      <c r="K1109" t="s">
        <v>31</v>
      </c>
      <c r="L1109" t="s">
        <v>32</v>
      </c>
      <c r="M1109" t="s">
        <v>33</v>
      </c>
      <c r="P1109" s="1" t="s">
        <v>4276</v>
      </c>
      <c r="Q1109" s="1" t="s">
        <v>3238</v>
      </c>
      <c r="R1109" s="1" t="s">
        <v>2984</v>
      </c>
      <c r="S1109" s="1"/>
      <c r="T1109" s="1" t="s">
        <v>955</v>
      </c>
      <c r="U1109" s="1"/>
      <c r="V1109" s="1">
        <v>630.0</v>
      </c>
      <c r="W1109" s="1">
        <v>630.0</v>
      </c>
      <c r="X1109" s="1" t="s">
        <v>35</v>
      </c>
      <c r="Y1109" s="1">
        <v>630000.0</v>
      </c>
      <c r="Z1109" s="1"/>
      <c r="AA1109" s="1">
        <v>630000</v>
      </c>
      <c r="AB1109" s="1"/>
      <c r="AC1109" s="1" t="s">
        <v>36</v>
      </c>
      <c r="AD1109" s="1" t="s">
        <v>4277</v>
      </c>
      <c r="AE1109" s="1" t="s">
        <v>32</v>
      </c>
      <c r="AF1109" s="1" t="s">
        <v>33</v>
      </c>
      <c r="AG1109" s="1" t="s">
        <v>41</v>
      </c>
    </row>
    <row r="1110" spans="1:33">
      <c r="A1110" t="s">
        <v>4278</v>
      </c>
      <c r="B1110" t="s">
        <v>4279</v>
      </c>
      <c r="C1110" t="s">
        <v>47</v>
      </c>
      <c r="E1110" t="s">
        <v>3238</v>
      </c>
      <c r="F1110" t="s">
        <v>3239</v>
      </c>
      <c r="G1110">
        <v>20.99</v>
      </c>
      <c r="H1110">
        <v>20.99</v>
      </c>
      <c r="I1110" t="s">
        <v>2206</v>
      </c>
      <c r="J1110" t="s">
        <v>49</v>
      </c>
      <c r="K1110" t="s">
        <v>31</v>
      </c>
      <c r="L1110" t="s">
        <v>32</v>
      </c>
      <c r="M1110" t="s">
        <v>33</v>
      </c>
      <c r="P1110" s="1" t="s">
        <v>4280</v>
      </c>
      <c r="Q1110" s="1" t="s">
        <v>3238</v>
      </c>
      <c r="R1110" s="1" t="s">
        <v>3238</v>
      </c>
      <c r="S1110" s="1"/>
      <c r="T1110" s="1" t="s">
        <v>47</v>
      </c>
      <c r="U1110" s="1"/>
      <c r="V1110" s="1">
        <v>20.99</v>
      </c>
      <c r="W1110" s="1">
        <v>20.99</v>
      </c>
      <c r="X1110" s="1" t="s">
        <v>35</v>
      </c>
      <c r="Y1110" s="1">
        <v>20990.0</v>
      </c>
      <c r="Z1110" s="1"/>
      <c r="AA1110" s="1">
        <v>20990</v>
      </c>
      <c r="AB1110" s="1"/>
      <c r="AC1110" s="1" t="s">
        <v>36</v>
      </c>
      <c r="AD1110" s="1" t="s">
        <v>4281</v>
      </c>
      <c r="AE1110" s="1" t="s">
        <v>32</v>
      </c>
      <c r="AF1110" s="1" t="s">
        <v>33</v>
      </c>
      <c r="AG1110" s="1" t="s">
        <v>49</v>
      </c>
    </row>
    <row r="1111" spans="1:33">
      <c r="A1111" t="s">
        <v>4282</v>
      </c>
      <c r="B1111" t="s">
        <v>4283</v>
      </c>
      <c r="C1111" t="s">
        <v>314</v>
      </c>
      <c r="E1111" t="s">
        <v>3238</v>
      </c>
      <c r="F1111" t="s">
        <v>3239</v>
      </c>
      <c r="G1111">
        <v>6.764</v>
      </c>
      <c r="H1111">
        <v>6.764</v>
      </c>
      <c r="I1111" t="s">
        <v>179</v>
      </c>
      <c r="J1111" t="s">
        <v>180</v>
      </c>
      <c r="K1111" t="s">
        <v>31</v>
      </c>
      <c r="L1111" t="s">
        <v>32</v>
      </c>
      <c r="M1111" t="s">
        <v>33</v>
      </c>
      <c r="P1111" s="1" t="s">
        <v>4284</v>
      </c>
      <c r="Q1111" s="1" t="s">
        <v>3238</v>
      </c>
      <c r="R1111" s="1" t="s">
        <v>3238</v>
      </c>
      <c r="S1111" s="1"/>
      <c r="T1111" s="1" t="s">
        <v>314</v>
      </c>
      <c r="U1111" s="1"/>
      <c r="V1111" s="1">
        <v>6.764</v>
      </c>
      <c r="W1111" s="1">
        <v>6.764</v>
      </c>
      <c r="X1111" s="1" t="s">
        <v>35</v>
      </c>
      <c r="Y1111" s="1">
        <v>6764.0</v>
      </c>
      <c r="Z1111" s="1"/>
      <c r="AA1111" s="1">
        <v>6764</v>
      </c>
      <c r="AB1111" s="1"/>
      <c r="AC1111" s="1" t="s">
        <v>36</v>
      </c>
      <c r="AD1111" s="1" t="s">
        <v>4285</v>
      </c>
      <c r="AE1111" s="1" t="s">
        <v>32</v>
      </c>
      <c r="AF1111" s="1" t="s">
        <v>33</v>
      </c>
      <c r="AG1111" s="1" t="s">
        <v>180</v>
      </c>
    </row>
    <row r="1112" spans="1:33">
      <c r="A1112" t="s">
        <v>4286</v>
      </c>
      <c r="C1112" t="s">
        <v>1447</v>
      </c>
      <c r="D1112" t="s">
        <v>114</v>
      </c>
      <c r="E1112" t="s">
        <v>3238</v>
      </c>
      <c r="F1112" t="s">
        <v>3239</v>
      </c>
      <c r="G1112">
        <v>427.1</v>
      </c>
      <c r="H1112">
        <v>427.1</v>
      </c>
      <c r="I1112" t="s">
        <v>269</v>
      </c>
      <c r="J1112" t="s">
        <v>270</v>
      </c>
      <c r="K1112" t="s">
        <v>31</v>
      </c>
      <c r="L1112" t="s">
        <v>32</v>
      </c>
      <c r="M1112" t="s">
        <v>33</v>
      </c>
      <c r="P1112" s="1" t="s">
        <v>4287</v>
      </c>
      <c r="Q1112" s="1" t="s">
        <v>3238</v>
      </c>
      <c r="R1112" s="1" t="s">
        <v>3238</v>
      </c>
      <c r="S1112" s="1"/>
      <c r="T1112" s="1" t="s">
        <v>1449</v>
      </c>
      <c r="U1112" s="1" t="s">
        <v>1450</v>
      </c>
      <c r="V1112" s="1">
        <v>427.1</v>
      </c>
      <c r="W1112" s="1">
        <v>427.1</v>
      </c>
      <c r="X1112" s="1" t="s">
        <v>35</v>
      </c>
      <c r="Y1112" s="1">
        <v>427100.0</v>
      </c>
      <c r="Z1112" s="1"/>
      <c r="AA1112" s="1">
        <v>427100</v>
      </c>
      <c r="AB1112" s="1"/>
      <c r="AC1112" s="1" t="s">
        <v>36</v>
      </c>
      <c r="AD1112" s="1" t="s">
        <v>4288</v>
      </c>
      <c r="AE1112" s="1" t="s">
        <v>32</v>
      </c>
      <c r="AF1112" s="1" t="s">
        <v>33</v>
      </c>
      <c r="AG1112" s="1" t="s">
        <v>270</v>
      </c>
    </row>
    <row r="1113" spans="1:33">
      <c r="A1113" t="s">
        <v>4289</v>
      </c>
      <c r="B1113" t="s">
        <v>1289</v>
      </c>
      <c r="C1113" t="s">
        <v>172</v>
      </c>
      <c r="E1113" t="s">
        <v>3238</v>
      </c>
      <c r="F1113" t="s">
        <v>3239</v>
      </c>
      <c r="G1113">
        <v>7.44</v>
      </c>
      <c r="H1113">
        <v>7.44</v>
      </c>
      <c r="I1113" t="s">
        <v>173</v>
      </c>
      <c r="J1113" t="s">
        <v>174</v>
      </c>
      <c r="K1113" t="s">
        <v>31</v>
      </c>
      <c r="L1113" t="s">
        <v>32</v>
      </c>
      <c r="M1113" t="s">
        <v>33</v>
      </c>
      <c r="P1113" s="1" t="s">
        <v>4290</v>
      </c>
      <c r="Q1113" s="1" t="s">
        <v>3238</v>
      </c>
      <c r="R1113" s="1" t="s">
        <v>3238</v>
      </c>
      <c r="S1113" s="1"/>
      <c r="T1113" s="1" t="s">
        <v>172</v>
      </c>
      <c r="U1113" s="1"/>
      <c r="V1113" s="1">
        <v>7.44</v>
      </c>
      <c r="W1113" s="1">
        <v>7.44</v>
      </c>
      <c r="X1113" s="1" t="s">
        <v>35</v>
      </c>
      <c r="Y1113" s="1">
        <v>7440.0</v>
      </c>
      <c r="Z1113" s="1"/>
      <c r="AA1113" s="1">
        <v>7440</v>
      </c>
      <c r="AB1113" s="1"/>
      <c r="AC1113" s="1" t="s">
        <v>36</v>
      </c>
      <c r="AD1113" s="1" t="s">
        <v>4291</v>
      </c>
      <c r="AE1113" s="1" t="s">
        <v>32</v>
      </c>
      <c r="AF1113" s="1" t="s">
        <v>33</v>
      </c>
      <c r="AG1113" s="1" t="s">
        <v>174</v>
      </c>
    </row>
    <row r="1114" spans="1:33">
      <c r="A1114" t="s">
        <v>4292</v>
      </c>
      <c r="B1114" t="s">
        <v>57</v>
      </c>
      <c r="C1114" t="s">
        <v>58</v>
      </c>
      <c r="E1114" t="s">
        <v>3238</v>
      </c>
      <c r="F1114" t="s">
        <v>3239</v>
      </c>
      <c r="G1114">
        <v>370.0</v>
      </c>
      <c r="H1114">
        <v>370.0</v>
      </c>
      <c r="I1114" t="s">
        <v>59</v>
      </c>
      <c r="J1114" t="s">
        <v>60</v>
      </c>
      <c r="K1114" t="s">
        <v>31</v>
      </c>
      <c r="L1114" t="s">
        <v>32</v>
      </c>
      <c r="M1114" t="s">
        <v>33</v>
      </c>
      <c r="P1114" s="1" t="s">
        <v>4293</v>
      </c>
      <c r="Q1114" s="1" t="s">
        <v>3238</v>
      </c>
      <c r="R1114" s="1" t="s">
        <v>3238</v>
      </c>
      <c r="S1114" s="1"/>
      <c r="T1114" s="1" t="s">
        <v>58</v>
      </c>
      <c r="U1114" s="1"/>
      <c r="V1114" s="1">
        <v>370.0</v>
      </c>
      <c r="W1114" s="1">
        <v>370.0</v>
      </c>
      <c r="X1114" s="1" t="s">
        <v>35</v>
      </c>
      <c r="Y1114" s="1">
        <v>370000.0</v>
      </c>
      <c r="Z1114" s="1"/>
      <c r="AA1114" s="1">
        <v>370000</v>
      </c>
      <c r="AB1114" s="1"/>
      <c r="AC1114" s="1" t="s">
        <v>36</v>
      </c>
      <c r="AD1114" s="1" t="s">
        <v>4288</v>
      </c>
      <c r="AE1114" s="1" t="s">
        <v>32</v>
      </c>
      <c r="AF1114" s="1" t="s">
        <v>33</v>
      </c>
      <c r="AG1114" s="1" t="s">
        <v>60</v>
      </c>
    </row>
    <row r="1115" spans="1:33">
      <c r="A1115" t="s">
        <v>4294</v>
      </c>
      <c r="B1115" t="s">
        <v>4295</v>
      </c>
      <c r="C1115" t="s">
        <v>314</v>
      </c>
      <c r="E1115" t="s">
        <v>3238</v>
      </c>
      <c r="F1115" t="s">
        <v>3239</v>
      </c>
      <c r="G1115">
        <v>5.48</v>
      </c>
      <c r="H1115">
        <v>5.48</v>
      </c>
      <c r="I1115" t="s">
        <v>179</v>
      </c>
      <c r="J1115" t="s">
        <v>180</v>
      </c>
      <c r="K1115" t="s">
        <v>31</v>
      </c>
      <c r="L1115" t="s">
        <v>32</v>
      </c>
      <c r="M1115" t="s">
        <v>33</v>
      </c>
      <c r="P1115" s="1" t="s">
        <v>4296</v>
      </c>
      <c r="Q1115" s="1" t="s">
        <v>3238</v>
      </c>
      <c r="R1115" s="1" t="s">
        <v>3238</v>
      </c>
      <c r="S1115" s="1"/>
      <c r="T1115" s="1" t="s">
        <v>314</v>
      </c>
      <c r="U1115" s="1"/>
      <c r="V1115" s="1">
        <v>5.48</v>
      </c>
      <c r="W1115" s="1">
        <v>5.48</v>
      </c>
      <c r="X1115" s="1" t="s">
        <v>35</v>
      </c>
      <c r="Y1115" s="1">
        <v>5480.0</v>
      </c>
      <c r="Z1115" s="1"/>
      <c r="AA1115" s="1">
        <v>5480</v>
      </c>
      <c r="AB1115" s="1"/>
      <c r="AC1115" s="1" t="s">
        <v>36</v>
      </c>
      <c r="AD1115" s="1" t="s">
        <v>4297</v>
      </c>
      <c r="AE1115" s="1" t="s">
        <v>32</v>
      </c>
      <c r="AF1115" s="1" t="s">
        <v>33</v>
      </c>
      <c r="AG1115" s="1" t="s">
        <v>180</v>
      </c>
    </row>
    <row r="1116" spans="1:33">
      <c r="A1116" t="s">
        <v>4298</v>
      </c>
      <c r="B1116" t="s">
        <v>4299</v>
      </c>
      <c r="C1116" t="s">
        <v>125</v>
      </c>
      <c r="E1116" t="s">
        <v>3238</v>
      </c>
      <c r="F1116" t="s">
        <v>3239</v>
      </c>
      <c r="G1116">
        <v>27.99</v>
      </c>
      <c r="H1116">
        <v>27.99</v>
      </c>
      <c r="I1116" t="s">
        <v>126</v>
      </c>
      <c r="J1116" t="s">
        <v>127</v>
      </c>
      <c r="K1116" t="s">
        <v>31</v>
      </c>
      <c r="L1116" t="s">
        <v>32</v>
      </c>
      <c r="M1116" t="s">
        <v>33</v>
      </c>
      <c r="P1116" s="1" t="s">
        <v>4300</v>
      </c>
      <c r="Q1116" s="1" t="s">
        <v>3238</v>
      </c>
      <c r="R1116" s="1" t="s">
        <v>3238</v>
      </c>
      <c r="S1116" s="1"/>
      <c r="T1116" s="1" t="s">
        <v>125</v>
      </c>
      <c r="U1116" s="1"/>
      <c r="V1116" s="1">
        <v>27.99</v>
      </c>
      <c r="W1116" s="1">
        <v>27.99</v>
      </c>
      <c r="X1116" s="1" t="s">
        <v>35</v>
      </c>
      <c r="Y1116" s="1">
        <v>27990.0</v>
      </c>
      <c r="Z1116" s="1"/>
      <c r="AA1116" s="1">
        <v>27990</v>
      </c>
      <c r="AB1116" s="1"/>
      <c r="AC1116" s="1" t="s">
        <v>36</v>
      </c>
      <c r="AD1116" s="1" t="s">
        <v>4274</v>
      </c>
      <c r="AE1116" s="1" t="s">
        <v>32</v>
      </c>
      <c r="AF1116" s="1" t="s">
        <v>33</v>
      </c>
      <c r="AG1116" s="1" t="s">
        <v>127</v>
      </c>
    </row>
    <row r="1117" spans="1:33">
      <c r="A1117" t="s">
        <v>4301</v>
      </c>
      <c r="C1117" t="s">
        <v>1720</v>
      </c>
      <c r="E1117" t="s">
        <v>3238</v>
      </c>
      <c r="F1117" t="s">
        <v>3239</v>
      </c>
      <c r="G1117">
        <v>400.0</v>
      </c>
      <c r="H1117">
        <v>400.0</v>
      </c>
      <c r="I1117" t="s">
        <v>173</v>
      </c>
      <c r="J1117" t="s">
        <v>174</v>
      </c>
      <c r="K1117" t="s">
        <v>31</v>
      </c>
      <c r="L1117" t="s">
        <v>32</v>
      </c>
      <c r="M1117" t="s">
        <v>33</v>
      </c>
      <c r="P1117" s="1" t="s">
        <v>4302</v>
      </c>
      <c r="Q1117" s="1" t="s">
        <v>3238</v>
      </c>
      <c r="R1117" s="1" t="s">
        <v>3238</v>
      </c>
      <c r="S1117" s="1"/>
      <c r="T1117" s="1" t="s">
        <v>1720</v>
      </c>
      <c r="U1117" s="1"/>
      <c r="V1117" s="1">
        <v>400.0</v>
      </c>
      <c r="W1117" s="1">
        <v>400.0</v>
      </c>
      <c r="X1117" s="1" t="s">
        <v>35</v>
      </c>
      <c r="Y1117" s="1">
        <v>400000.0</v>
      </c>
      <c r="Z1117" s="1"/>
      <c r="AA1117" s="1">
        <v>400000</v>
      </c>
      <c r="AB1117" s="1"/>
      <c r="AC1117" s="1" t="s">
        <v>36</v>
      </c>
      <c r="AD1117" s="1" t="s">
        <v>4303</v>
      </c>
      <c r="AE1117" s="1" t="s">
        <v>32</v>
      </c>
      <c r="AF1117" s="1" t="s">
        <v>33</v>
      </c>
      <c r="AG1117" s="1" t="s">
        <v>174</v>
      </c>
    </row>
    <row r="1118" spans="1:33">
      <c r="A1118" t="s">
        <v>4304</v>
      </c>
      <c r="B1118" t="s">
        <v>4305</v>
      </c>
      <c r="C1118" t="s">
        <v>172</v>
      </c>
      <c r="E1118" t="s">
        <v>3238</v>
      </c>
      <c r="F1118" t="s">
        <v>3239</v>
      </c>
      <c r="G1118">
        <v>132.94</v>
      </c>
      <c r="H1118">
        <v>132.94</v>
      </c>
      <c r="I1118" t="s">
        <v>173</v>
      </c>
      <c r="J1118" t="s">
        <v>174</v>
      </c>
      <c r="K1118" t="s">
        <v>31</v>
      </c>
      <c r="L1118" t="s">
        <v>32</v>
      </c>
      <c r="M1118" t="s">
        <v>33</v>
      </c>
      <c r="P1118" s="1" t="s">
        <v>4306</v>
      </c>
      <c r="Q1118" s="1" t="s">
        <v>3238</v>
      </c>
      <c r="R1118" s="1" t="s">
        <v>3238</v>
      </c>
      <c r="S1118" s="1"/>
      <c r="T1118" s="1" t="s">
        <v>172</v>
      </c>
      <c r="U1118" s="1"/>
      <c r="V1118" s="1">
        <v>132.94</v>
      </c>
      <c r="W1118" s="1">
        <v>132.94</v>
      </c>
      <c r="X1118" s="1" t="s">
        <v>35</v>
      </c>
      <c r="Y1118" s="1">
        <v>132940.0</v>
      </c>
      <c r="Z1118" s="1"/>
      <c r="AA1118" s="1">
        <v>132940</v>
      </c>
      <c r="AB1118" s="1"/>
      <c r="AC1118" s="1" t="s">
        <v>36</v>
      </c>
      <c r="AD1118" s="1" t="s">
        <v>4307</v>
      </c>
      <c r="AE1118" s="1" t="s">
        <v>32</v>
      </c>
      <c r="AF1118" s="1" t="s">
        <v>33</v>
      </c>
      <c r="AG1118" s="1" t="s">
        <v>174</v>
      </c>
    </row>
    <row r="1119" spans="1:33">
      <c r="A1119" t="s">
        <v>4308</v>
      </c>
      <c r="C1119" t="s">
        <v>1197</v>
      </c>
      <c r="D1119" t="s">
        <v>154</v>
      </c>
      <c r="E1119" t="s">
        <v>3238</v>
      </c>
      <c r="F1119" t="s">
        <v>3239</v>
      </c>
      <c r="G1119">
        <v>884.0</v>
      </c>
      <c r="H1119">
        <v>884.0</v>
      </c>
      <c r="I1119" t="s">
        <v>269</v>
      </c>
      <c r="J1119" t="s">
        <v>270</v>
      </c>
      <c r="K1119" t="s">
        <v>31</v>
      </c>
      <c r="L1119" t="s">
        <v>32</v>
      </c>
      <c r="M1119" t="s">
        <v>33</v>
      </c>
      <c r="P1119" s="1" t="s">
        <v>4309</v>
      </c>
      <c r="Q1119" s="1" t="s">
        <v>3238</v>
      </c>
      <c r="R1119" s="1" t="s">
        <v>3238</v>
      </c>
      <c r="S1119" s="1"/>
      <c r="T1119" s="1" t="s">
        <v>1197</v>
      </c>
      <c r="U1119" s="1"/>
      <c r="V1119" s="1">
        <v>884.0</v>
      </c>
      <c r="W1119" s="1">
        <v>884.0</v>
      </c>
      <c r="X1119" s="1" t="s">
        <v>35</v>
      </c>
      <c r="Y1119" s="1">
        <v>884000.0</v>
      </c>
      <c r="Z1119" s="1"/>
      <c r="AA1119" s="1">
        <v>884000</v>
      </c>
      <c r="AB1119" s="1"/>
      <c r="AC1119" s="1" t="s">
        <v>36</v>
      </c>
      <c r="AD1119" s="1" t="s">
        <v>4310</v>
      </c>
      <c r="AE1119" s="1" t="s">
        <v>32</v>
      </c>
      <c r="AF1119" s="1" t="s">
        <v>33</v>
      </c>
      <c r="AG1119" s="1" t="s">
        <v>270</v>
      </c>
    </row>
    <row r="1120" spans="1:33">
      <c r="A1120" t="s">
        <v>4311</v>
      </c>
      <c r="B1120" t="s">
        <v>4312</v>
      </c>
      <c r="C1120" t="s">
        <v>268</v>
      </c>
      <c r="E1120" t="s">
        <v>3238</v>
      </c>
      <c r="F1120" t="s">
        <v>3239</v>
      </c>
      <c r="G1120">
        <v>33.8</v>
      </c>
      <c r="H1120">
        <v>33.8</v>
      </c>
      <c r="I1120" t="s">
        <v>269</v>
      </c>
      <c r="J1120" t="s">
        <v>270</v>
      </c>
      <c r="K1120" t="s">
        <v>31</v>
      </c>
      <c r="L1120" t="s">
        <v>32</v>
      </c>
      <c r="M1120" t="s">
        <v>33</v>
      </c>
      <c r="P1120" s="1" t="s">
        <v>4313</v>
      </c>
      <c r="Q1120" s="1" t="s">
        <v>3238</v>
      </c>
      <c r="R1120" s="1" t="s">
        <v>3238</v>
      </c>
      <c r="S1120" s="1"/>
      <c r="T1120" s="1" t="s">
        <v>268</v>
      </c>
      <c r="U1120" s="1"/>
      <c r="V1120" s="1">
        <v>33.8</v>
      </c>
      <c r="W1120" s="1">
        <v>33.8</v>
      </c>
      <c r="X1120" s="1" t="s">
        <v>35</v>
      </c>
      <c r="Y1120" s="1">
        <v>33800.0</v>
      </c>
      <c r="Z1120" s="1"/>
      <c r="AA1120" s="1">
        <v>33800</v>
      </c>
      <c r="AB1120" s="1"/>
      <c r="AC1120" s="1" t="s">
        <v>36</v>
      </c>
      <c r="AD1120" s="1" t="s">
        <v>4314</v>
      </c>
      <c r="AE1120" s="1" t="s">
        <v>32</v>
      </c>
      <c r="AF1120" s="1" t="s">
        <v>33</v>
      </c>
      <c r="AG1120" s="1" t="s">
        <v>270</v>
      </c>
    </row>
    <row r="1121" spans="1:33">
      <c r="A1121" t="s">
        <v>4315</v>
      </c>
      <c r="C1121" t="s">
        <v>1053</v>
      </c>
      <c r="E1121" t="s">
        <v>3238</v>
      </c>
      <c r="F1121" t="s">
        <v>3239</v>
      </c>
      <c r="G1121">
        <v>655.0</v>
      </c>
      <c r="H1121">
        <v>655.0</v>
      </c>
      <c r="I1121" t="s">
        <v>179</v>
      </c>
      <c r="J1121" t="s">
        <v>180</v>
      </c>
      <c r="K1121" t="s">
        <v>31</v>
      </c>
      <c r="L1121" t="s">
        <v>32</v>
      </c>
      <c r="M1121" t="s">
        <v>33</v>
      </c>
      <c r="P1121" s="1" t="s">
        <v>4316</v>
      </c>
      <c r="Q1121" s="1" t="s">
        <v>3238</v>
      </c>
      <c r="R1121" s="1" t="s">
        <v>3238</v>
      </c>
      <c r="S1121" s="1"/>
      <c r="T1121" s="1" t="s">
        <v>1053</v>
      </c>
      <c r="U1121" s="1"/>
      <c r="V1121" s="1">
        <v>655.0</v>
      </c>
      <c r="W1121" s="1">
        <v>655.0</v>
      </c>
      <c r="X1121" s="1" t="s">
        <v>35</v>
      </c>
      <c r="Y1121" s="1">
        <v>655000.0</v>
      </c>
      <c r="Z1121" s="1"/>
      <c r="AA1121" s="1">
        <v>655000</v>
      </c>
      <c r="AB1121" s="1"/>
      <c r="AC1121" s="1" t="s">
        <v>36</v>
      </c>
      <c r="AD1121" s="1" t="s">
        <v>4317</v>
      </c>
      <c r="AE1121" s="1" t="s">
        <v>32</v>
      </c>
      <c r="AF1121" s="1" t="s">
        <v>33</v>
      </c>
      <c r="AG1121" s="1" t="s">
        <v>180</v>
      </c>
    </row>
    <row r="1122" spans="1:33">
      <c r="A1122" t="s">
        <v>4318</v>
      </c>
      <c r="B1122" t="s">
        <v>4319</v>
      </c>
      <c r="C1122" t="s">
        <v>4320</v>
      </c>
      <c r="D1122" t="s">
        <v>114</v>
      </c>
      <c r="E1122" t="s">
        <v>3238</v>
      </c>
      <c r="F1122" t="s">
        <v>3239</v>
      </c>
      <c r="G1122">
        <v>61.48</v>
      </c>
      <c r="H1122">
        <v>61.48</v>
      </c>
      <c r="I1122" t="s">
        <v>59</v>
      </c>
      <c r="J1122" t="s">
        <v>60</v>
      </c>
      <c r="K1122" t="s">
        <v>31</v>
      </c>
      <c r="L1122" t="s">
        <v>32</v>
      </c>
      <c r="M1122" t="s">
        <v>33</v>
      </c>
      <c r="P1122" s="1" t="s">
        <v>4321</v>
      </c>
      <c r="Q1122" s="1" t="s">
        <v>3238</v>
      </c>
      <c r="R1122" s="1" t="s">
        <v>3238</v>
      </c>
      <c r="S1122" s="1"/>
      <c r="T1122" s="1" t="s">
        <v>4322</v>
      </c>
      <c r="U1122" s="1" t="s">
        <v>4323</v>
      </c>
      <c r="V1122" s="1">
        <v>61.48</v>
      </c>
      <c r="W1122" s="1">
        <v>61.48</v>
      </c>
      <c r="X1122" s="1" t="s">
        <v>35</v>
      </c>
      <c r="Y1122" s="1">
        <v>61480.0</v>
      </c>
      <c r="Z1122" s="1"/>
      <c r="AA1122" s="1">
        <v>61480</v>
      </c>
      <c r="AB1122" s="1"/>
      <c r="AC1122" s="1" t="s">
        <v>36</v>
      </c>
      <c r="AD1122" s="1" t="s">
        <v>4324</v>
      </c>
      <c r="AE1122" s="1" t="s">
        <v>32</v>
      </c>
      <c r="AF1122" s="1" t="s">
        <v>33</v>
      </c>
      <c r="AG1122" s="1" t="s">
        <v>60</v>
      </c>
    </row>
    <row r="1123" spans="1:33">
      <c r="A1123" t="s">
        <v>4325</v>
      </c>
      <c r="B1123" t="s">
        <v>4326</v>
      </c>
      <c r="C1123" t="s">
        <v>68</v>
      </c>
      <c r="E1123" t="s">
        <v>3238</v>
      </c>
      <c r="F1123" t="s">
        <v>3239</v>
      </c>
      <c r="G1123">
        <v>52.531</v>
      </c>
      <c r="H1123">
        <v>52.531</v>
      </c>
      <c r="I1123" t="s">
        <v>59</v>
      </c>
      <c r="J1123" t="s">
        <v>60</v>
      </c>
      <c r="K1123" t="s">
        <v>31</v>
      </c>
      <c r="L1123" t="s">
        <v>32</v>
      </c>
      <c r="M1123" t="s">
        <v>33</v>
      </c>
      <c r="P1123" s="1" t="s">
        <v>4327</v>
      </c>
      <c r="Q1123" s="1" t="s">
        <v>3238</v>
      </c>
      <c r="R1123" s="1" t="s">
        <v>3238</v>
      </c>
      <c r="S1123" s="1"/>
      <c r="T1123" s="1" t="s">
        <v>68</v>
      </c>
      <c r="U1123" s="1"/>
      <c r="V1123" s="1">
        <v>52.531</v>
      </c>
      <c r="W1123" s="1">
        <v>52.531</v>
      </c>
      <c r="X1123" s="1" t="s">
        <v>35</v>
      </c>
      <c r="Y1123" s="1">
        <v>52531.0</v>
      </c>
      <c r="Z1123" s="1"/>
      <c r="AA1123" s="1">
        <v>52531</v>
      </c>
      <c r="AB1123" s="1"/>
      <c r="AC1123" s="1" t="s">
        <v>36</v>
      </c>
      <c r="AD1123" s="1" t="s">
        <v>4328</v>
      </c>
      <c r="AE1123" s="1" t="s">
        <v>32</v>
      </c>
      <c r="AF1123" s="1" t="s">
        <v>33</v>
      </c>
      <c r="AG1123" s="1" t="s">
        <v>60</v>
      </c>
    </row>
    <row r="1124" spans="1:33">
      <c r="A1124" t="s">
        <v>4329</v>
      </c>
      <c r="C1124" t="s">
        <v>4330</v>
      </c>
      <c r="E1124" t="s">
        <v>3238</v>
      </c>
      <c r="F1124" t="s">
        <v>3239</v>
      </c>
      <c r="G1124">
        <v>116.5</v>
      </c>
      <c r="H1124">
        <v>116.5</v>
      </c>
      <c r="I1124" t="s">
        <v>2206</v>
      </c>
      <c r="J1124" t="s">
        <v>49</v>
      </c>
      <c r="K1124" t="s">
        <v>31</v>
      </c>
      <c r="L1124" t="s">
        <v>32</v>
      </c>
      <c r="M1124" t="s">
        <v>33</v>
      </c>
      <c r="P1124" s="1" t="s">
        <v>4331</v>
      </c>
      <c r="Q1124" s="1" t="s">
        <v>3238</v>
      </c>
      <c r="R1124" s="1" t="s">
        <v>3238</v>
      </c>
      <c r="S1124" s="1"/>
      <c r="T1124" s="1" t="s">
        <v>4330</v>
      </c>
      <c r="U1124" s="1"/>
      <c r="V1124" s="1">
        <v>116.5</v>
      </c>
      <c r="W1124" s="1">
        <v>116.5</v>
      </c>
      <c r="X1124" s="1" t="s">
        <v>35</v>
      </c>
      <c r="Y1124" s="1">
        <v>116500.0</v>
      </c>
      <c r="Z1124" s="1"/>
      <c r="AA1124" s="1">
        <v>116500</v>
      </c>
      <c r="AB1124" s="1"/>
      <c r="AC1124" s="1" t="s">
        <v>36</v>
      </c>
      <c r="AD1124" s="1" t="s">
        <v>4332</v>
      </c>
      <c r="AE1124" s="1" t="s">
        <v>32</v>
      </c>
      <c r="AF1124" s="1" t="s">
        <v>33</v>
      </c>
      <c r="AG1124" s="1" t="s">
        <v>49</v>
      </c>
    </row>
    <row r="1125" spans="1:33">
      <c r="A1125" t="s">
        <v>4333</v>
      </c>
      <c r="C1125" t="s">
        <v>2621</v>
      </c>
      <c r="E1125" t="s">
        <v>3238</v>
      </c>
      <c r="F1125" t="s">
        <v>3239</v>
      </c>
      <c r="G1125">
        <v>1.107</v>
      </c>
      <c r="H1125">
        <v>1.107</v>
      </c>
      <c r="I1125" t="s">
        <v>269</v>
      </c>
      <c r="J1125" t="s">
        <v>270</v>
      </c>
      <c r="K1125" t="s">
        <v>31</v>
      </c>
      <c r="L1125" t="s">
        <v>32</v>
      </c>
      <c r="M1125" t="s">
        <v>33</v>
      </c>
      <c r="P1125" s="1" t="s">
        <v>4334</v>
      </c>
      <c r="Q1125" s="1" t="s">
        <v>3238</v>
      </c>
      <c r="R1125" s="1" t="s">
        <v>3238</v>
      </c>
      <c r="S1125" s="1"/>
      <c r="T1125" s="1" t="s">
        <v>2621</v>
      </c>
      <c r="U1125" s="1"/>
      <c r="V1125" s="1">
        <v>1.107</v>
      </c>
      <c r="W1125" s="1">
        <v>1.107</v>
      </c>
      <c r="X1125" s="1" t="s">
        <v>35</v>
      </c>
      <c r="Y1125" s="1">
        <v>1107250.0</v>
      </c>
      <c r="Z1125" s="1"/>
      <c r="AA1125" s="1">
        <v>1107250</v>
      </c>
      <c r="AB1125" s="1"/>
      <c r="AC1125" s="1" t="s">
        <v>36</v>
      </c>
      <c r="AD1125" s="1" t="s">
        <v>4332</v>
      </c>
      <c r="AE1125" s="1" t="s">
        <v>32</v>
      </c>
      <c r="AF1125" s="1" t="s">
        <v>33</v>
      </c>
      <c r="AG1125" s="1" t="s">
        <v>270</v>
      </c>
    </row>
    <row r="1126" spans="1:33">
      <c r="A1126" t="s">
        <v>4335</v>
      </c>
      <c r="C1126" t="s">
        <v>644</v>
      </c>
      <c r="E1126" t="s">
        <v>3238</v>
      </c>
      <c r="F1126" t="s">
        <v>3239</v>
      </c>
      <c r="G1126">
        <v>156.25</v>
      </c>
      <c r="H1126">
        <v>156.25</v>
      </c>
      <c r="I1126" t="s">
        <v>227</v>
      </c>
      <c r="J1126" t="s">
        <v>228</v>
      </c>
      <c r="K1126" t="s">
        <v>31</v>
      </c>
      <c r="L1126" t="s">
        <v>32</v>
      </c>
      <c r="M1126" t="s">
        <v>33</v>
      </c>
      <c r="P1126" s="1" t="s">
        <v>4336</v>
      </c>
      <c r="Q1126" s="1" t="s">
        <v>3238</v>
      </c>
      <c r="R1126" s="1" t="s">
        <v>3238</v>
      </c>
      <c r="S1126" s="1"/>
      <c r="T1126" s="1" t="s">
        <v>644</v>
      </c>
      <c r="U1126" s="1"/>
      <c r="V1126" s="1">
        <v>156.25</v>
      </c>
      <c r="W1126" s="1">
        <v>156.25</v>
      </c>
      <c r="X1126" s="1" t="s">
        <v>35</v>
      </c>
      <c r="Y1126" s="1">
        <v>156250.0</v>
      </c>
      <c r="Z1126" s="1"/>
      <c r="AA1126" s="1">
        <v>156250</v>
      </c>
      <c r="AB1126" s="1"/>
      <c r="AC1126" s="1" t="s">
        <v>36</v>
      </c>
      <c r="AD1126" s="1" t="s">
        <v>4337</v>
      </c>
      <c r="AE1126" s="1" t="s">
        <v>32</v>
      </c>
      <c r="AF1126" s="1" t="s">
        <v>33</v>
      </c>
      <c r="AG1126" s="1" t="s">
        <v>228</v>
      </c>
    </row>
    <row r="1127" spans="1:33">
      <c r="A1127" t="s">
        <v>4338</v>
      </c>
      <c r="B1127" t="s">
        <v>4339</v>
      </c>
      <c r="C1127" t="s">
        <v>268</v>
      </c>
      <c r="E1127" t="s">
        <v>3238</v>
      </c>
      <c r="F1127" t="s">
        <v>3239</v>
      </c>
      <c r="G1127">
        <v>40.25</v>
      </c>
      <c r="H1127">
        <v>40.25</v>
      </c>
      <c r="I1127" t="s">
        <v>269</v>
      </c>
      <c r="J1127" t="s">
        <v>270</v>
      </c>
      <c r="K1127" t="s">
        <v>31</v>
      </c>
      <c r="L1127" t="s">
        <v>32</v>
      </c>
      <c r="M1127" t="s">
        <v>33</v>
      </c>
      <c r="P1127" s="1" t="s">
        <v>4340</v>
      </c>
      <c r="Q1127" s="1" t="s">
        <v>3238</v>
      </c>
      <c r="R1127" s="1" t="s">
        <v>3238</v>
      </c>
      <c r="S1127" s="1"/>
      <c r="T1127" s="1" t="s">
        <v>268</v>
      </c>
      <c r="U1127" s="1"/>
      <c r="V1127" s="1">
        <v>40.25</v>
      </c>
      <c r="W1127" s="1">
        <v>40.25</v>
      </c>
      <c r="X1127" s="1" t="s">
        <v>35</v>
      </c>
      <c r="Y1127" s="1">
        <v>40250.0</v>
      </c>
      <c r="Z1127" s="1"/>
      <c r="AA1127" s="1">
        <v>40250</v>
      </c>
      <c r="AB1127" s="1"/>
      <c r="AC1127" s="1" t="s">
        <v>36</v>
      </c>
      <c r="AD1127" s="1" t="s">
        <v>4341</v>
      </c>
      <c r="AE1127" s="1" t="s">
        <v>32</v>
      </c>
      <c r="AF1127" s="1" t="s">
        <v>33</v>
      </c>
      <c r="AG1127" s="1" t="s">
        <v>270</v>
      </c>
    </row>
    <row r="1128" spans="1:33">
      <c r="A1128" t="s">
        <v>4342</v>
      </c>
      <c r="C1128" t="s">
        <v>644</v>
      </c>
      <c r="E1128" t="s">
        <v>3238</v>
      </c>
      <c r="F1128" t="s">
        <v>3239</v>
      </c>
      <c r="G1128">
        <v>790.0</v>
      </c>
      <c r="H1128">
        <v>790.0</v>
      </c>
      <c r="I1128" t="s">
        <v>227</v>
      </c>
      <c r="J1128" t="s">
        <v>228</v>
      </c>
      <c r="K1128" t="s">
        <v>31</v>
      </c>
      <c r="L1128" t="s">
        <v>32</v>
      </c>
      <c r="M1128" t="s">
        <v>33</v>
      </c>
      <c r="P1128" s="1" t="s">
        <v>4343</v>
      </c>
      <c r="Q1128" s="1" t="s">
        <v>3238</v>
      </c>
      <c r="R1128" s="1" t="s">
        <v>3238</v>
      </c>
      <c r="S1128" s="1"/>
      <c r="T1128" s="1" t="s">
        <v>644</v>
      </c>
      <c r="U1128" s="1"/>
      <c r="V1128" s="1">
        <v>790.0</v>
      </c>
      <c r="W1128" s="1">
        <v>790.0</v>
      </c>
      <c r="X1128" s="1" t="s">
        <v>35</v>
      </c>
      <c r="Y1128" s="1">
        <v>790000.0</v>
      </c>
      <c r="Z1128" s="1"/>
      <c r="AA1128" s="1">
        <v>790000</v>
      </c>
      <c r="AB1128" s="1"/>
      <c r="AC1128" s="1" t="s">
        <v>36</v>
      </c>
      <c r="AD1128" s="1" t="s">
        <v>4344</v>
      </c>
      <c r="AE1128" s="1" t="s">
        <v>32</v>
      </c>
      <c r="AF1128" s="1" t="s">
        <v>33</v>
      </c>
      <c r="AG1128" s="1" t="s">
        <v>228</v>
      </c>
    </row>
    <row r="1129" spans="1:33">
      <c r="A1129" t="s">
        <v>4345</v>
      </c>
      <c r="C1129" t="s">
        <v>654</v>
      </c>
      <c r="E1129" t="s">
        <v>3238</v>
      </c>
      <c r="F1129" t="s">
        <v>3239</v>
      </c>
      <c r="G1129">
        <v>1.166</v>
      </c>
      <c r="H1129">
        <v>1.166</v>
      </c>
      <c r="I1129" t="s">
        <v>136</v>
      </c>
      <c r="J1129" t="s">
        <v>137</v>
      </c>
      <c r="K1129" t="s">
        <v>31</v>
      </c>
      <c r="L1129" t="s">
        <v>32</v>
      </c>
      <c r="M1129" t="s">
        <v>33</v>
      </c>
      <c r="P1129" s="1" t="s">
        <v>4346</v>
      </c>
      <c r="Q1129" s="1" t="s">
        <v>3238</v>
      </c>
      <c r="R1129" s="1" t="s">
        <v>3238</v>
      </c>
      <c r="S1129" s="1"/>
      <c r="T1129" s="1" t="s">
        <v>656</v>
      </c>
      <c r="U1129" s="1" t="s">
        <v>657</v>
      </c>
      <c r="V1129" s="1">
        <v>1.166</v>
      </c>
      <c r="W1129" s="1">
        <v>1.166</v>
      </c>
      <c r="X1129" s="1" t="s">
        <v>35</v>
      </c>
      <c r="Y1129" s="1">
        <v>1166500.0</v>
      </c>
      <c r="Z1129" s="1"/>
      <c r="AA1129" s="1">
        <v>1166500</v>
      </c>
      <c r="AB1129" s="1"/>
      <c r="AC1129" s="1" t="s">
        <v>36</v>
      </c>
      <c r="AD1129" s="1" t="s">
        <v>4347</v>
      </c>
      <c r="AE1129" s="1" t="s">
        <v>32</v>
      </c>
      <c r="AF1129" s="1" t="s">
        <v>33</v>
      </c>
      <c r="AG1129" s="1" t="s">
        <v>137</v>
      </c>
    </row>
    <row r="1130" spans="1:33">
      <c r="A1130" t="s">
        <v>4348</v>
      </c>
      <c r="B1130" t="s">
        <v>4349</v>
      </c>
      <c r="C1130" t="s">
        <v>68</v>
      </c>
      <c r="E1130" t="s">
        <v>3238</v>
      </c>
      <c r="F1130" t="s">
        <v>3239</v>
      </c>
      <c r="G1130">
        <v>49.48</v>
      </c>
      <c r="H1130">
        <v>49.48</v>
      </c>
      <c r="I1130" t="s">
        <v>59</v>
      </c>
      <c r="J1130" t="s">
        <v>60</v>
      </c>
      <c r="K1130" t="s">
        <v>31</v>
      </c>
      <c r="L1130" t="s">
        <v>32</v>
      </c>
      <c r="M1130" t="s">
        <v>33</v>
      </c>
      <c r="P1130" s="1" t="s">
        <v>4350</v>
      </c>
      <c r="Q1130" s="1" t="s">
        <v>3238</v>
      </c>
      <c r="R1130" s="1" t="s">
        <v>3238</v>
      </c>
      <c r="S1130" s="1"/>
      <c r="T1130" s="1" t="s">
        <v>68</v>
      </c>
      <c r="U1130" s="1"/>
      <c r="V1130" s="1">
        <v>49.48</v>
      </c>
      <c r="W1130" s="1">
        <v>49.48</v>
      </c>
      <c r="X1130" s="1" t="s">
        <v>35</v>
      </c>
      <c r="Y1130" s="1">
        <v>49480.0</v>
      </c>
      <c r="Z1130" s="1"/>
      <c r="AA1130" s="1">
        <v>49480</v>
      </c>
      <c r="AB1130" s="1"/>
      <c r="AC1130" s="1" t="s">
        <v>36</v>
      </c>
      <c r="AD1130" s="1" t="s">
        <v>4351</v>
      </c>
      <c r="AE1130" s="1" t="s">
        <v>32</v>
      </c>
      <c r="AF1130" s="1" t="s">
        <v>33</v>
      </c>
      <c r="AG1130" s="1" t="s">
        <v>60</v>
      </c>
    </row>
    <row r="1131" spans="1:33">
      <c r="A1131" t="s">
        <v>4352</v>
      </c>
      <c r="B1131" t="s">
        <v>4353</v>
      </c>
      <c r="C1131" t="s">
        <v>569</v>
      </c>
      <c r="E1131" t="s">
        <v>3238</v>
      </c>
      <c r="F1131" t="s">
        <v>3239</v>
      </c>
      <c r="G1131">
        <v>21.99</v>
      </c>
      <c r="H1131">
        <v>21.99</v>
      </c>
      <c r="I1131" t="s">
        <v>570</v>
      </c>
      <c r="J1131" t="s">
        <v>571</v>
      </c>
      <c r="K1131" t="s">
        <v>31</v>
      </c>
      <c r="L1131" t="s">
        <v>32</v>
      </c>
      <c r="M1131" t="s">
        <v>33</v>
      </c>
      <c r="P1131" s="1" t="s">
        <v>4354</v>
      </c>
      <c r="Q1131" s="1" t="s">
        <v>3238</v>
      </c>
      <c r="R1131" s="1" t="s">
        <v>3238</v>
      </c>
      <c r="S1131" s="1"/>
      <c r="T1131" s="1" t="s">
        <v>569</v>
      </c>
      <c r="U1131" s="1"/>
      <c r="V1131" s="1">
        <v>21.99</v>
      </c>
      <c r="W1131" s="1">
        <v>21.99</v>
      </c>
      <c r="X1131" s="1" t="s">
        <v>35</v>
      </c>
      <c r="Y1131" s="1">
        <v>21990.0</v>
      </c>
      <c r="Z1131" s="1"/>
      <c r="AA1131" s="1">
        <v>21990</v>
      </c>
      <c r="AB1131" s="1"/>
      <c r="AC1131" s="1" t="s">
        <v>36</v>
      </c>
      <c r="AD1131" s="1" t="s">
        <v>4355</v>
      </c>
      <c r="AE1131" s="1" t="s">
        <v>32</v>
      </c>
      <c r="AF1131" s="1" t="s">
        <v>33</v>
      </c>
      <c r="AG1131" s="1" t="s">
        <v>571</v>
      </c>
    </row>
    <row r="1132" spans="1:33">
      <c r="A1132" t="s">
        <v>4356</v>
      </c>
      <c r="C1132" t="s">
        <v>1692</v>
      </c>
      <c r="E1132" t="s">
        <v>3238</v>
      </c>
      <c r="F1132" t="s">
        <v>3239</v>
      </c>
      <c r="G1132">
        <v>704.0</v>
      </c>
      <c r="H1132">
        <v>704.0</v>
      </c>
      <c r="I1132" t="s">
        <v>179</v>
      </c>
      <c r="J1132" t="s">
        <v>180</v>
      </c>
      <c r="K1132" t="s">
        <v>31</v>
      </c>
      <c r="L1132" t="s">
        <v>32</v>
      </c>
      <c r="M1132" t="s">
        <v>33</v>
      </c>
      <c r="P1132" s="1" t="s">
        <v>4357</v>
      </c>
      <c r="Q1132" s="1" t="s">
        <v>3238</v>
      </c>
      <c r="R1132" s="1" t="s">
        <v>3238</v>
      </c>
      <c r="S1132" s="1"/>
      <c r="T1132" s="1" t="s">
        <v>1692</v>
      </c>
      <c r="U1132" s="1"/>
      <c r="V1132" s="1">
        <v>704.0</v>
      </c>
      <c r="W1132" s="1">
        <v>704.0</v>
      </c>
      <c r="X1132" s="1" t="s">
        <v>35</v>
      </c>
      <c r="Y1132" s="1">
        <v>704000.0</v>
      </c>
      <c r="Z1132" s="1"/>
      <c r="AA1132" s="1">
        <v>704000</v>
      </c>
      <c r="AB1132" s="1"/>
      <c r="AC1132" s="1" t="s">
        <v>36</v>
      </c>
      <c r="AD1132" s="1" t="s">
        <v>4358</v>
      </c>
      <c r="AE1132" s="1" t="s">
        <v>32</v>
      </c>
      <c r="AF1132" s="1" t="s">
        <v>33</v>
      </c>
      <c r="AG1132" s="1" t="s">
        <v>180</v>
      </c>
    </row>
    <row r="1133" spans="1:33">
      <c r="A1133" t="s">
        <v>4359</v>
      </c>
      <c r="B1133" t="s">
        <v>4360</v>
      </c>
      <c r="C1133" t="s">
        <v>268</v>
      </c>
      <c r="E1133" t="s">
        <v>3238</v>
      </c>
      <c r="F1133" t="s">
        <v>3239</v>
      </c>
      <c r="G1133">
        <v>147.0</v>
      </c>
      <c r="H1133">
        <v>147.0</v>
      </c>
      <c r="I1133" t="s">
        <v>269</v>
      </c>
      <c r="J1133" t="s">
        <v>270</v>
      </c>
      <c r="K1133" t="s">
        <v>31</v>
      </c>
      <c r="L1133" t="s">
        <v>32</v>
      </c>
      <c r="M1133" t="s">
        <v>33</v>
      </c>
      <c r="P1133" s="1" t="s">
        <v>4361</v>
      </c>
      <c r="Q1133" s="1" t="s">
        <v>3238</v>
      </c>
      <c r="R1133" s="1" t="s">
        <v>3238</v>
      </c>
      <c r="S1133" s="1"/>
      <c r="T1133" s="1" t="s">
        <v>268</v>
      </c>
      <c r="U1133" s="1"/>
      <c r="V1133" s="1">
        <v>147.0</v>
      </c>
      <c r="W1133" s="1">
        <v>147.0</v>
      </c>
      <c r="X1133" s="1" t="s">
        <v>35</v>
      </c>
      <c r="Y1133" s="1">
        <v>147000.0</v>
      </c>
      <c r="Z1133" s="1"/>
      <c r="AA1133" s="1">
        <v>147000</v>
      </c>
      <c r="AB1133" s="1"/>
      <c r="AC1133" s="1" t="s">
        <v>36</v>
      </c>
      <c r="AD1133" s="1" t="s">
        <v>4362</v>
      </c>
      <c r="AE1133" s="1" t="s">
        <v>32</v>
      </c>
      <c r="AF1133" s="1" t="s">
        <v>33</v>
      </c>
      <c r="AG1133" s="1" t="s">
        <v>270</v>
      </c>
    </row>
    <row r="1134" spans="1:33">
      <c r="A1134" t="s">
        <v>4363</v>
      </c>
      <c r="C1134" t="s">
        <v>2548</v>
      </c>
      <c r="D1134" t="s">
        <v>154</v>
      </c>
      <c r="E1134" t="s">
        <v>3238</v>
      </c>
      <c r="F1134" t="s">
        <v>3239</v>
      </c>
      <c r="G1134">
        <v>2.104</v>
      </c>
      <c r="H1134">
        <v>2.104</v>
      </c>
      <c r="I1134" t="s">
        <v>269</v>
      </c>
      <c r="J1134" t="s">
        <v>270</v>
      </c>
      <c r="K1134" t="s">
        <v>31</v>
      </c>
      <c r="L1134" t="s">
        <v>32</v>
      </c>
      <c r="M1134" t="s">
        <v>33</v>
      </c>
      <c r="P1134" s="1" t="s">
        <v>4364</v>
      </c>
      <c r="Q1134" s="1" t="s">
        <v>3238</v>
      </c>
      <c r="R1134" s="1" t="s">
        <v>3238</v>
      </c>
      <c r="S1134" s="1"/>
      <c r="T1134" s="1" t="s">
        <v>2548</v>
      </c>
      <c r="U1134" s="1"/>
      <c r="V1134" s="1">
        <v>2.104</v>
      </c>
      <c r="W1134" s="1">
        <v>2.104</v>
      </c>
      <c r="X1134" s="1" t="s">
        <v>35</v>
      </c>
      <c r="Y1134" s="1">
        <v>2104000.0</v>
      </c>
      <c r="Z1134" s="1"/>
      <c r="AA1134" s="1">
        <v>2104000</v>
      </c>
      <c r="AB1134" s="1"/>
      <c r="AC1134" s="1" t="s">
        <v>36</v>
      </c>
      <c r="AD1134" s="1" t="s">
        <v>4365</v>
      </c>
      <c r="AE1134" s="1" t="s">
        <v>32</v>
      </c>
      <c r="AF1134" s="1" t="s">
        <v>33</v>
      </c>
      <c r="AG1134" s="1" t="s">
        <v>270</v>
      </c>
    </row>
    <row r="1135" spans="1:33">
      <c r="A1135" t="s">
        <v>4366</v>
      </c>
      <c r="B1135" t="s">
        <v>4367</v>
      </c>
      <c r="C1135" t="s">
        <v>47</v>
      </c>
      <c r="E1135" t="s">
        <v>3238</v>
      </c>
      <c r="F1135" t="s">
        <v>3239</v>
      </c>
      <c r="G1135">
        <v>75.96</v>
      </c>
      <c r="H1135">
        <v>75.96</v>
      </c>
      <c r="I1135" t="s">
        <v>2206</v>
      </c>
      <c r="J1135" t="s">
        <v>49</v>
      </c>
      <c r="K1135" t="s">
        <v>31</v>
      </c>
      <c r="L1135" t="s">
        <v>32</v>
      </c>
      <c r="M1135" t="s">
        <v>33</v>
      </c>
      <c r="P1135" s="1" t="s">
        <v>4368</v>
      </c>
      <c r="Q1135" s="1" t="s">
        <v>3238</v>
      </c>
      <c r="R1135" s="1" t="s">
        <v>3238</v>
      </c>
      <c r="S1135" s="1"/>
      <c r="T1135" s="1" t="s">
        <v>47</v>
      </c>
      <c r="U1135" s="1"/>
      <c r="V1135" s="1">
        <v>75.96</v>
      </c>
      <c r="W1135" s="1">
        <v>75.96</v>
      </c>
      <c r="X1135" s="1" t="s">
        <v>35</v>
      </c>
      <c r="Y1135" s="1">
        <v>75960.0</v>
      </c>
      <c r="Z1135" s="1"/>
      <c r="AA1135" s="1">
        <v>75960</v>
      </c>
      <c r="AB1135" s="1"/>
      <c r="AC1135" s="1" t="s">
        <v>36</v>
      </c>
      <c r="AD1135" s="1" t="s">
        <v>4369</v>
      </c>
      <c r="AE1135" s="1" t="s">
        <v>32</v>
      </c>
      <c r="AF1135" s="1" t="s">
        <v>33</v>
      </c>
      <c r="AG1135" s="1" t="s">
        <v>49</v>
      </c>
    </row>
    <row r="1136" spans="1:33">
      <c r="A1136" t="s">
        <v>4370</v>
      </c>
      <c r="B1136" t="s">
        <v>4371</v>
      </c>
      <c r="C1136" t="s">
        <v>47</v>
      </c>
      <c r="E1136" t="s">
        <v>3238</v>
      </c>
      <c r="F1136" t="s">
        <v>3239</v>
      </c>
      <c r="G1136">
        <v>90.788</v>
      </c>
      <c r="H1136">
        <v>90.788</v>
      </c>
      <c r="I1136" t="s">
        <v>2206</v>
      </c>
      <c r="J1136" t="s">
        <v>49</v>
      </c>
      <c r="K1136" t="s">
        <v>31</v>
      </c>
      <c r="L1136" t="s">
        <v>32</v>
      </c>
      <c r="M1136" t="s">
        <v>33</v>
      </c>
      <c r="P1136" s="1" t="s">
        <v>4372</v>
      </c>
      <c r="Q1136" s="1" t="s">
        <v>3238</v>
      </c>
      <c r="R1136" s="1" t="s">
        <v>3238</v>
      </c>
      <c r="S1136" s="1"/>
      <c r="T1136" s="1" t="s">
        <v>47</v>
      </c>
      <c r="U1136" s="1"/>
      <c r="V1136" s="1">
        <v>90.788</v>
      </c>
      <c r="W1136" s="1">
        <v>90.788</v>
      </c>
      <c r="X1136" s="1" t="s">
        <v>35</v>
      </c>
      <c r="Y1136" s="1">
        <v>90788.0</v>
      </c>
      <c r="Z1136" s="1"/>
      <c r="AA1136" s="1">
        <v>90788</v>
      </c>
      <c r="AB1136" s="1"/>
      <c r="AC1136" s="1" t="s">
        <v>36</v>
      </c>
      <c r="AD1136" s="1" t="s">
        <v>4373</v>
      </c>
      <c r="AE1136" s="1" t="s">
        <v>32</v>
      </c>
      <c r="AF1136" s="1" t="s">
        <v>33</v>
      </c>
      <c r="AG1136" s="1" t="s">
        <v>49</v>
      </c>
    </row>
    <row r="1137" spans="1:33">
      <c r="A1137" t="s">
        <v>4374</v>
      </c>
      <c r="B1137" t="s">
        <v>4375</v>
      </c>
      <c r="C1137" t="s">
        <v>172</v>
      </c>
      <c r="E1137" t="s">
        <v>3238</v>
      </c>
      <c r="F1137" t="s">
        <v>3239</v>
      </c>
      <c r="G1137">
        <v>24.84</v>
      </c>
      <c r="H1137">
        <v>24.84</v>
      </c>
      <c r="I1137" t="s">
        <v>173</v>
      </c>
      <c r="J1137" t="s">
        <v>174</v>
      </c>
      <c r="K1137" t="s">
        <v>31</v>
      </c>
      <c r="L1137" t="s">
        <v>32</v>
      </c>
      <c r="M1137" t="s">
        <v>33</v>
      </c>
      <c r="P1137" s="1" t="s">
        <v>4376</v>
      </c>
      <c r="Q1137" s="1" t="s">
        <v>3238</v>
      </c>
      <c r="R1137" s="1" t="s">
        <v>3238</v>
      </c>
      <c r="S1137" s="1"/>
      <c r="T1137" s="1" t="s">
        <v>172</v>
      </c>
      <c r="U1137" s="1"/>
      <c r="V1137" s="1">
        <v>24.84</v>
      </c>
      <c r="W1137" s="1">
        <v>24.84</v>
      </c>
      <c r="X1137" s="1" t="s">
        <v>35</v>
      </c>
      <c r="Y1137" s="1">
        <v>24840.0</v>
      </c>
      <c r="Z1137" s="1"/>
      <c r="AA1137" s="1">
        <v>24840</v>
      </c>
      <c r="AB1137" s="1"/>
      <c r="AC1137" s="1" t="s">
        <v>36</v>
      </c>
      <c r="AD1137" s="1" t="s">
        <v>4377</v>
      </c>
      <c r="AE1137" s="1" t="s">
        <v>32</v>
      </c>
      <c r="AF1137" s="1" t="s">
        <v>33</v>
      </c>
      <c r="AG1137" s="1" t="s">
        <v>174</v>
      </c>
    </row>
    <row r="1138" spans="1:33">
      <c r="A1138" t="s">
        <v>4378</v>
      </c>
      <c r="B1138" t="s">
        <v>4379</v>
      </c>
      <c r="C1138" t="s">
        <v>47</v>
      </c>
      <c r="E1138" t="s">
        <v>3238</v>
      </c>
      <c r="F1138" t="s">
        <v>3239</v>
      </c>
      <c r="G1138">
        <v>32.99</v>
      </c>
      <c r="H1138">
        <v>32.99</v>
      </c>
      <c r="I1138" t="s">
        <v>2206</v>
      </c>
      <c r="J1138" t="s">
        <v>49</v>
      </c>
      <c r="K1138" t="s">
        <v>31</v>
      </c>
      <c r="L1138" t="s">
        <v>32</v>
      </c>
      <c r="M1138" t="s">
        <v>33</v>
      </c>
      <c r="P1138" s="1" t="s">
        <v>4380</v>
      </c>
      <c r="Q1138" s="1" t="s">
        <v>3238</v>
      </c>
      <c r="R1138" s="1" t="s">
        <v>3238</v>
      </c>
      <c r="S1138" s="1"/>
      <c r="T1138" s="1" t="s">
        <v>47</v>
      </c>
      <c r="U1138" s="1"/>
      <c r="V1138" s="1">
        <v>32.99</v>
      </c>
      <c r="W1138" s="1">
        <v>32.99</v>
      </c>
      <c r="X1138" s="1" t="s">
        <v>35</v>
      </c>
      <c r="Y1138" s="1">
        <v>32990.0</v>
      </c>
      <c r="Z1138" s="1"/>
      <c r="AA1138" s="1">
        <v>32990</v>
      </c>
      <c r="AB1138" s="1"/>
      <c r="AC1138" s="1" t="s">
        <v>36</v>
      </c>
      <c r="AD1138" s="1" t="s">
        <v>4381</v>
      </c>
      <c r="AE1138" s="1" t="s">
        <v>32</v>
      </c>
      <c r="AF1138" s="1" t="s">
        <v>33</v>
      </c>
      <c r="AG1138" s="1" t="s">
        <v>49</v>
      </c>
    </row>
    <row r="1139" spans="1:33">
      <c r="A1139" t="s">
        <v>4382</v>
      </c>
      <c r="B1139" t="s">
        <v>3737</v>
      </c>
      <c r="C1139" t="s">
        <v>3738</v>
      </c>
      <c r="E1139" t="s">
        <v>3238</v>
      </c>
      <c r="F1139" t="s">
        <v>3239</v>
      </c>
      <c r="G1139">
        <v>32.0</v>
      </c>
      <c r="H1139">
        <v>32.0</v>
      </c>
      <c r="I1139" t="s">
        <v>59</v>
      </c>
      <c r="J1139" t="s">
        <v>60</v>
      </c>
      <c r="K1139" t="s">
        <v>31</v>
      </c>
      <c r="L1139" t="s">
        <v>32</v>
      </c>
      <c r="M1139" t="s">
        <v>33</v>
      </c>
      <c r="P1139" s="1" t="s">
        <v>4383</v>
      </c>
      <c r="Q1139" s="1" t="s">
        <v>3238</v>
      </c>
      <c r="R1139" s="1" t="s">
        <v>3238</v>
      </c>
      <c r="S1139" s="1"/>
      <c r="T1139" s="1" t="s">
        <v>3740</v>
      </c>
      <c r="U1139" s="1" t="s">
        <v>3741</v>
      </c>
      <c r="V1139" s="1">
        <v>32.0</v>
      </c>
      <c r="W1139" s="1">
        <v>32.0</v>
      </c>
      <c r="X1139" s="1" t="s">
        <v>35</v>
      </c>
      <c r="Y1139" s="1">
        <v>32000.0</v>
      </c>
      <c r="Z1139" s="1"/>
      <c r="AA1139" s="1">
        <v>32000</v>
      </c>
      <c r="AB1139" s="1"/>
      <c r="AC1139" s="1" t="s">
        <v>36</v>
      </c>
      <c r="AD1139" s="1" t="s">
        <v>4341</v>
      </c>
      <c r="AE1139" s="1" t="s">
        <v>32</v>
      </c>
      <c r="AF1139" s="1" t="s">
        <v>33</v>
      </c>
      <c r="AG1139" s="1" t="s">
        <v>60</v>
      </c>
    </row>
    <row r="1140" spans="1:33">
      <c r="A1140" t="s">
        <v>4384</v>
      </c>
      <c r="B1140" t="s">
        <v>4385</v>
      </c>
      <c r="C1140" t="s">
        <v>314</v>
      </c>
      <c r="E1140" t="s">
        <v>3238</v>
      </c>
      <c r="F1140" t="s">
        <v>3239</v>
      </c>
      <c r="G1140">
        <v>18.59</v>
      </c>
      <c r="H1140">
        <v>18.59</v>
      </c>
      <c r="I1140" t="s">
        <v>179</v>
      </c>
      <c r="J1140" t="s">
        <v>180</v>
      </c>
      <c r="K1140" t="s">
        <v>31</v>
      </c>
      <c r="L1140" t="s">
        <v>32</v>
      </c>
      <c r="M1140" t="s">
        <v>33</v>
      </c>
      <c r="P1140" s="1" t="s">
        <v>4386</v>
      </c>
      <c r="Q1140" s="1" t="s">
        <v>3238</v>
      </c>
      <c r="R1140" s="1" t="s">
        <v>3238</v>
      </c>
      <c r="S1140" s="1"/>
      <c r="T1140" s="1" t="s">
        <v>314</v>
      </c>
      <c r="U1140" s="1"/>
      <c r="V1140" s="1">
        <v>18.59</v>
      </c>
      <c r="W1140" s="1">
        <v>18.59</v>
      </c>
      <c r="X1140" s="1" t="s">
        <v>35</v>
      </c>
      <c r="Y1140" s="1">
        <v>18590.0</v>
      </c>
      <c r="Z1140" s="1"/>
      <c r="AA1140" s="1">
        <v>18590</v>
      </c>
      <c r="AB1140" s="1"/>
      <c r="AC1140" s="1" t="s">
        <v>36</v>
      </c>
      <c r="AD1140" s="1" t="s">
        <v>4377</v>
      </c>
      <c r="AE1140" s="1" t="s">
        <v>32</v>
      </c>
      <c r="AF1140" s="1" t="s">
        <v>33</v>
      </c>
      <c r="AG1140" s="1" t="s">
        <v>180</v>
      </c>
    </row>
    <row r="1141" spans="1:33">
      <c r="A1141" t="s">
        <v>4387</v>
      </c>
      <c r="C1141" t="s">
        <v>4388</v>
      </c>
      <c r="E1141" t="s">
        <v>3238</v>
      </c>
      <c r="F1141" t="s">
        <v>3239</v>
      </c>
      <c r="G1141">
        <v>2.824</v>
      </c>
      <c r="H1141">
        <v>2.824</v>
      </c>
      <c r="I1141" t="s">
        <v>227</v>
      </c>
      <c r="J1141" t="s">
        <v>228</v>
      </c>
      <c r="K1141" t="s">
        <v>31</v>
      </c>
      <c r="L1141" t="s">
        <v>32</v>
      </c>
      <c r="M1141" t="s">
        <v>33</v>
      </c>
      <c r="P1141" s="1" t="s">
        <v>4389</v>
      </c>
      <c r="Q1141" s="1" t="s">
        <v>3238</v>
      </c>
      <c r="R1141" s="1" t="s">
        <v>3238</v>
      </c>
      <c r="S1141" s="1"/>
      <c r="T1141" s="1" t="s">
        <v>4390</v>
      </c>
      <c r="U1141" s="1" t="s">
        <v>4391</v>
      </c>
      <c r="V1141" s="1">
        <v>2.824</v>
      </c>
      <c r="W1141" s="1">
        <v>2.824</v>
      </c>
      <c r="X1141" s="1" t="s">
        <v>35</v>
      </c>
      <c r="Y1141" s="1">
        <v>2824000.0</v>
      </c>
      <c r="Z1141" s="1"/>
      <c r="AA1141" s="1">
        <v>2824000</v>
      </c>
      <c r="AB1141" s="1"/>
      <c r="AC1141" s="1" t="s">
        <v>36</v>
      </c>
      <c r="AD1141" s="1" t="s">
        <v>4392</v>
      </c>
      <c r="AE1141" s="1" t="s">
        <v>32</v>
      </c>
      <c r="AF1141" s="1" t="s">
        <v>33</v>
      </c>
      <c r="AG1141" s="1" t="s">
        <v>228</v>
      </c>
    </row>
    <row r="1142" spans="1:33">
      <c r="A1142" t="s">
        <v>4393</v>
      </c>
      <c r="B1142" t="s">
        <v>4394</v>
      </c>
      <c r="C1142" t="s">
        <v>47</v>
      </c>
      <c r="E1142" t="s">
        <v>3238</v>
      </c>
      <c r="F1142" t="s">
        <v>3239</v>
      </c>
      <c r="G1142">
        <v>20.99</v>
      </c>
      <c r="H1142">
        <v>20.99</v>
      </c>
      <c r="I1142" t="s">
        <v>2206</v>
      </c>
      <c r="J1142" t="s">
        <v>49</v>
      </c>
      <c r="K1142" t="s">
        <v>31</v>
      </c>
      <c r="L1142" t="s">
        <v>32</v>
      </c>
      <c r="M1142" t="s">
        <v>33</v>
      </c>
      <c r="P1142" s="1" t="s">
        <v>4395</v>
      </c>
      <c r="Q1142" s="1" t="s">
        <v>3238</v>
      </c>
      <c r="R1142" s="1" t="s">
        <v>3238</v>
      </c>
      <c r="S1142" s="1"/>
      <c r="T1142" s="1" t="s">
        <v>47</v>
      </c>
      <c r="U1142" s="1"/>
      <c r="V1142" s="1">
        <v>20.99</v>
      </c>
      <c r="W1142" s="1">
        <v>20.99</v>
      </c>
      <c r="X1142" s="1" t="s">
        <v>35</v>
      </c>
      <c r="Y1142" s="1">
        <v>20990.0</v>
      </c>
      <c r="Z1142" s="1"/>
      <c r="AA1142" s="1">
        <v>20990</v>
      </c>
      <c r="AB1142" s="1"/>
      <c r="AC1142" s="1" t="s">
        <v>36</v>
      </c>
      <c r="AD1142" s="1" t="s">
        <v>4396</v>
      </c>
      <c r="AE1142" s="1" t="s">
        <v>32</v>
      </c>
      <c r="AF1142" s="1" t="s">
        <v>33</v>
      </c>
      <c r="AG1142" s="1" t="s">
        <v>49</v>
      </c>
    </row>
    <row r="1143" spans="1:33">
      <c r="A1143" t="s">
        <v>4397</v>
      </c>
      <c r="B1143" t="s">
        <v>4398</v>
      </c>
      <c r="C1143" t="s">
        <v>268</v>
      </c>
      <c r="E1143" t="s">
        <v>3238</v>
      </c>
      <c r="F1143" t="s">
        <v>3239</v>
      </c>
      <c r="G1143">
        <v>40.25</v>
      </c>
      <c r="H1143">
        <v>40.25</v>
      </c>
      <c r="I1143" t="s">
        <v>269</v>
      </c>
      <c r="J1143" t="s">
        <v>270</v>
      </c>
      <c r="K1143" t="s">
        <v>31</v>
      </c>
      <c r="L1143" t="s">
        <v>32</v>
      </c>
      <c r="M1143" t="s">
        <v>33</v>
      </c>
      <c r="P1143" s="1" t="s">
        <v>4399</v>
      </c>
      <c r="Q1143" s="1" t="s">
        <v>3238</v>
      </c>
      <c r="R1143" s="1" t="s">
        <v>3238</v>
      </c>
      <c r="S1143" s="1"/>
      <c r="T1143" s="1" t="s">
        <v>268</v>
      </c>
      <c r="U1143" s="1"/>
      <c r="V1143" s="1">
        <v>40.25</v>
      </c>
      <c r="W1143" s="1">
        <v>40.25</v>
      </c>
      <c r="X1143" s="1" t="s">
        <v>35</v>
      </c>
      <c r="Y1143" s="1">
        <v>40250.0</v>
      </c>
      <c r="Z1143" s="1"/>
      <c r="AA1143" s="1">
        <v>40250</v>
      </c>
      <c r="AB1143" s="1"/>
      <c r="AC1143" s="1" t="s">
        <v>36</v>
      </c>
      <c r="AD1143" s="1" t="s">
        <v>4400</v>
      </c>
      <c r="AE1143" s="1" t="s">
        <v>32</v>
      </c>
      <c r="AF1143" s="1" t="s">
        <v>33</v>
      </c>
      <c r="AG1143" s="1" t="s">
        <v>270</v>
      </c>
    </row>
    <row r="1144" spans="1:33">
      <c r="A1144" t="s">
        <v>4401</v>
      </c>
      <c r="B1144" t="s">
        <v>3737</v>
      </c>
      <c r="C1144" t="s">
        <v>3738</v>
      </c>
      <c r="E1144" t="s">
        <v>3238</v>
      </c>
      <c r="F1144" t="s">
        <v>3239</v>
      </c>
      <c r="G1144">
        <v>832.5</v>
      </c>
      <c r="H1144">
        <v>832.5</v>
      </c>
      <c r="I1144" t="s">
        <v>59</v>
      </c>
      <c r="J1144" t="s">
        <v>60</v>
      </c>
      <c r="K1144" t="s">
        <v>31</v>
      </c>
      <c r="L1144" t="s">
        <v>32</v>
      </c>
      <c r="M1144" t="s">
        <v>33</v>
      </c>
      <c r="P1144" s="1" t="s">
        <v>4402</v>
      </c>
      <c r="Q1144" s="1" t="s">
        <v>3238</v>
      </c>
      <c r="R1144" s="1" t="s">
        <v>3238</v>
      </c>
      <c r="S1144" s="1"/>
      <c r="T1144" s="1" t="s">
        <v>3740</v>
      </c>
      <c r="U1144" s="1" t="s">
        <v>3741</v>
      </c>
      <c r="V1144" s="1">
        <v>832.5</v>
      </c>
      <c r="W1144" s="1">
        <v>832.5</v>
      </c>
      <c r="X1144" s="1" t="s">
        <v>35</v>
      </c>
      <c r="Y1144" s="1">
        <v>832500.0</v>
      </c>
      <c r="Z1144" s="1"/>
      <c r="AA1144" s="1">
        <v>832500</v>
      </c>
      <c r="AB1144" s="1"/>
      <c r="AC1144" s="1" t="s">
        <v>36</v>
      </c>
      <c r="AD1144" s="1" t="s">
        <v>4403</v>
      </c>
      <c r="AE1144" s="1" t="s">
        <v>32</v>
      </c>
      <c r="AF1144" s="1" t="s">
        <v>33</v>
      </c>
      <c r="AG1144" s="1" t="s">
        <v>60</v>
      </c>
    </row>
    <row r="1145" spans="1:33">
      <c r="A1145" t="s">
        <v>4404</v>
      </c>
      <c r="B1145" t="s">
        <v>4405</v>
      </c>
      <c r="C1145" t="s">
        <v>47</v>
      </c>
      <c r="E1145" t="s">
        <v>3238</v>
      </c>
      <c r="F1145" t="s">
        <v>3239</v>
      </c>
      <c r="G1145">
        <v>22.366</v>
      </c>
      <c r="H1145">
        <v>22.366</v>
      </c>
      <c r="I1145" t="s">
        <v>2206</v>
      </c>
      <c r="J1145" t="s">
        <v>49</v>
      </c>
      <c r="K1145" t="s">
        <v>31</v>
      </c>
      <c r="L1145" t="s">
        <v>32</v>
      </c>
      <c r="M1145" t="s">
        <v>33</v>
      </c>
      <c r="P1145" s="1" t="s">
        <v>4406</v>
      </c>
      <c r="Q1145" s="1" t="s">
        <v>3238</v>
      </c>
      <c r="R1145" s="1" t="s">
        <v>3238</v>
      </c>
      <c r="S1145" s="1"/>
      <c r="T1145" s="1" t="s">
        <v>47</v>
      </c>
      <c r="U1145" s="1"/>
      <c r="V1145" s="1">
        <v>22.366</v>
      </c>
      <c r="W1145" s="1">
        <v>22.366</v>
      </c>
      <c r="X1145" s="1" t="s">
        <v>35</v>
      </c>
      <c r="Y1145" s="1">
        <v>22366.0</v>
      </c>
      <c r="Z1145" s="1"/>
      <c r="AA1145" s="1">
        <v>22366</v>
      </c>
      <c r="AB1145" s="1"/>
      <c r="AC1145" s="1" t="s">
        <v>36</v>
      </c>
      <c r="AD1145" s="1" t="s">
        <v>4407</v>
      </c>
      <c r="AE1145" s="1" t="s">
        <v>32</v>
      </c>
      <c r="AF1145" s="1" t="s">
        <v>33</v>
      </c>
      <c r="AG1145" s="1" t="s">
        <v>49</v>
      </c>
    </row>
    <row r="1146" spans="1:33">
      <c r="A1146" t="s">
        <v>4408</v>
      </c>
      <c r="B1146" t="s">
        <v>4398</v>
      </c>
      <c r="C1146" t="s">
        <v>268</v>
      </c>
      <c r="E1146" t="s">
        <v>3238</v>
      </c>
      <c r="F1146" t="s">
        <v>3239</v>
      </c>
      <c r="G1146">
        <v>28.25</v>
      </c>
      <c r="H1146">
        <v>28.25</v>
      </c>
      <c r="I1146" t="s">
        <v>269</v>
      </c>
      <c r="J1146" t="s">
        <v>270</v>
      </c>
      <c r="K1146" t="s">
        <v>31</v>
      </c>
      <c r="L1146" t="s">
        <v>32</v>
      </c>
      <c r="M1146" t="s">
        <v>33</v>
      </c>
      <c r="P1146" s="1" t="s">
        <v>4409</v>
      </c>
      <c r="Q1146" s="1" t="s">
        <v>3238</v>
      </c>
      <c r="R1146" s="1" t="s">
        <v>3238</v>
      </c>
      <c r="S1146" s="1"/>
      <c r="T1146" s="1" t="s">
        <v>268</v>
      </c>
      <c r="U1146" s="1"/>
      <c r="V1146" s="1">
        <v>28.25</v>
      </c>
      <c r="W1146" s="1">
        <v>28.25</v>
      </c>
      <c r="X1146" s="1" t="s">
        <v>35</v>
      </c>
      <c r="Y1146" s="1">
        <v>28250.0</v>
      </c>
      <c r="Z1146" s="1"/>
      <c r="AA1146" s="1">
        <v>28250</v>
      </c>
      <c r="AB1146" s="1"/>
      <c r="AC1146" s="1" t="s">
        <v>36</v>
      </c>
      <c r="AD1146" s="1" t="s">
        <v>4410</v>
      </c>
      <c r="AE1146" s="1" t="s">
        <v>32</v>
      </c>
      <c r="AF1146" s="1" t="s">
        <v>33</v>
      </c>
      <c r="AG1146" s="1" t="s">
        <v>270</v>
      </c>
    </row>
    <row r="1147" spans="1:33">
      <c r="A1147" t="s">
        <v>4411</v>
      </c>
      <c r="C1147" t="s">
        <v>866</v>
      </c>
      <c r="D1147" t="s">
        <v>154</v>
      </c>
      <c r="E1147" t="s">
        <v>3238</v>
      </c>
      <c r="F1147" t="s">
        <v>3239</v>
      </c>
      <c r="G1147">
        <v>716.25</v>
      </c>
      <c r="H1147">
        <v>716.25</v>
      </c>
      <c r="I1147" t="s">
        <v>2206</v>
      </c>
      <c r="J1147" t="s">
        <v>49</v>
      </c>
      <c r="K1147" t="s">
        <v>31</v>
      </c>
      <c r="L1147" t="s">
        <v>32</v>
      </c>
      <c r="M1147" t="s">
        <v>33</v>
      </c>
      <c r="P1147" s="1" t="s">
        <v>4412</v>
      </c>
      <c r="Q1147" s="1" t="s">
        <v>3238</v>
      </c>
      <c r="R1147" s="1" t="s">
        <v>3238</v>
      </c>
      <c r="S1147" s="1"/>
      <c r="T1147" s="1" t="s">
        <v>868</v>
      </c>
      <c r="U1147" s="1" t="s">
        <v>869</v>
      </c>
      <c r="V1147" s="1">
        <v>716.25</v>
      </c>
      <c r="W1147" s="1">
        <v>716.25</v>
      </c>
      <c r="X1147" s="1" t="s">
        <v>35</v>
      </c>
      <c r="Y1147" s="1">
        <v>716250.0</v>
      </c>
      <c r="Z1147" s="1"/>
      <c r="AA1147" s="1">
        <v>716250</v>
      </c>
      <c r="AB1147" s="1"/>
      <c r="AC1147" s="1" t="s">
        <v>36</v>
      </c>
      <c r="AD1147" s="1" t="s">
        <v>4413</v>
      </c>
      <c r="AE1147" s="1" t="s">
        <v>32</v>
      </c>
      <c r="AF1147" s="1" t="s">
        <v>33</v>
      </c>
      <c r="AG1147" s="1" t="s">
        <v>49</v>
      </c>
    </row>
    <row r="1148" spans="1:33">
      <c r="A1148" t="s">
        <v>4414</v>
      </c>
      <c r="C1148" t="s">
        <v>2548</v>
      </c>
      <c r="D1148" t="s">
        <v>154</v>
      </c>
      <c r="E1148" t="s">
        <v>3238</v>
      </c>
      <c r="F1148" t="s">
        <v>3239</v>
      </c>
      <c r="G1148">
        <v>328.0</v>
      </c>
      <c r="H1148">
        <v>328.0</v>
      </c>
      <c r="I1148" t="s">
        <v>269</v>
      </c>
      <c r="J1148" t="s">
        <v>270</v>
      </c>
      <c r="K1148" t="s">
        <v>31</v>
      </c>
      <c r="L1148" t="s">
        <v>32</v>
      </c>
      <c r="M1148" t="s">
        <v>33</v>
      </c>
      <c r="P1148" s="1" t="s">
        <v>4415</v>
      </c>
      <c r="Q1148" s="1" t="s">
        <v>3238</v>
      </c>
      <c r="R1148" s="1" t="s">
        <v>3238</v>
      </c>
      <c r="S1148" s="1"/>
      <c r="T1148" s="1" t="s">
        <v>2548</v>
      </c>
      <c r="U1148" s="1"/>
      <c r="V1148" s="1">
        <v>328.0</v>
      </c>
      <c r="W1148" s="1">
        <v>328.0</v>
      </c>
      <c r="X1148" s="1" t="s">
        <v>35</v>
      </c>
      <c r="Y1148" s="1">
        <v>328000.0</v>
      </c>
      <c r="Z1148" s="1"/>
      <c r="AA1148" s="1">
        <v>328000</v>
      </c>
      <c r="AB1148" s="1"/>
      <c r="AC1148" s="1" t="s">
        <v>36</v>
      </c>
      <c r="AD1148" s="1" t="s">
        <v>4416</v>
      </c>
      <c r="AE1148" s="1" t="s">
        <v>32</v>
      </c>
      <c r="AF1148" s="1" t="s">
        <v>33</v>
      </c>
      <c r="AG1148" s="1" t="s">
        <v>270</v>
      </c>
    </row>
    <row r="1149" spans="1:33">
      <c r="A1149" t="s">
        <v>4417</v>
      </c>
      <c r="C1149" t="s">
        <v>3871</v>
      </c>
      <c r="E1149" t="s">
        <v>3238</v>
      </c>
      <c r="F1149" t="s">
        <v>3239</v>
      </c>
      <c r="G1149">
        <v>1.296</v>
      </c>
      <c r="H1149">
        <v>1.296</v>
      </c>
      <c r="I1149" t="s">
        <v>570</v>
      </c>
      <c r="J1149" t="s">
        <v>571</v>
      </c>
      <c r="K1149" t="s">
        <v>31</v>
      </c>
      <c r="L1149" t="s">
        <v>32</v>
      </c>
      <c r="M1149" t="s">
        <v>33</v>
      </c>
      <c r="P1149" s="1" t="s">
        <v>4418</v>
      </c>
      <c r="Q1149" s="1" t="s">
        <v>3238</v>
      </c>
      <c r="R1149" s="1" t="s">
        <v>3238</v>
      </c>
      <c r="S1149" s="1"/>
      <c r="T1149" s="1" t="s">
        <v>3871</v>
      </c>
      <c r="U1149" s="1"/>
      <c r="V1149" s="1">
        <v>1.296</v>
      </c>
      <c r="W1149" s="1">
        <v>1.296</v>
      </c>
      <c r="X1149" s="1" t="s">
        <v>35</v>
      </c>
      <c r="Y1149" s="1">
        <v>1296000.0</v>
      </c>
      <c r="Z1149" s="1"/>
      <c r="AA1149" s="1">
        <v>1296000</v>
      </c>
      <c r="AB1149" s="1"/>
      <c r="AC1149" s="1" t="s">
        <v>36</v>
      </c>
      <c r="AD1149" s="1" t="s">
        <v>4419</v>
      </c>
      <c r="AE1149" s="1" t="s">
        <v>32</v>
      </c>
      <c r="AF1149" s="1" t="s">
        <v>33</v>
      </c>
      <c r="AG1149" s="1" t="s">
        <v>571</v>
      </c>
    </row>
    <row r="1150" spans="1:33">
      <c r="A1150" t="s">
        <v>4420</v>
      </c>
      <c r="C1150" t="s">
        <v>4421</v>
      </c>
      <c r="E1150" t="s">
        <v>3238</v>
      </c>
      <c r="F1150" t="s">
        <v>3239</v>
      </c>
      <c r="G1150">
        <v>328.0</v>
      </c>
      <c r="H1150">
        <v>328.0</v>
      </c>
      <c r="I1150" t="s">
        <v>269</v>
      </c>
      <c r="J1150" t="s">
        <v>270</v>
      </c>
      <c r="K1150" t="s">
        <v>31</v>
      </c>
      <c r="L1150" t="s">
        <v>32</v>
      </c>
      <c r="M1150" t="s">
        <v>33</v>
      </c>
      <c r="P1150" s="1" t="s">
        <v>4422</v>
      </c>
      <c r="Q1150" s="1" t="s">
        <v>3238</v>
      </c>
      <c r="R1150" s="1" t="s">
        <v>3238</v>
      </c>
      <c r="S1150" s="1"/>
      <c r="T1150" s="1" t="s">
        <v>4421</v>
      </c>
      <c r="U1150" s="1"/>
      <c r="V1150" s="1">
        <v>328.0</v>
      </c>
      <c r="W1150" s="1">
        <v>328.0</v>
      </c>
      <c r="X1150" s="1" t="s">
        <v>35</v>
      </c>
      <c r="Y1150" s="1">
        <v>328000.0</v>
      </c>
      <c r="Z1150" s="1"/>
      <c r="AA1150" s="1">
        <v>328000</v>
      </c>
      <c r="AB1150" s="1"/>
      <c r="AC1150" s="1" t="s">
        <v>36</v>
      </c>
      <c r="AD1150" s="1" t="s">
        <v>4423</v>
      </c>
      <c r="AE1150" s="1" t="s">
        <v>32</v>
      </c>
      <c r="AF1150" s="1" t="s">
        <v>33</v>
      </c>
      <c r="AG1150" s="1" t="s">
        <v>270</v>
      </c>
    </row>
    <row r="1151" spans="1:33">
      <c r="A1151" t="s">
        <v>4424</v>
      </c>
      <c r="B1151" t="s">
        <v>4425</v>
      </c>
      <c r="C1151" t="s">
        <v>73</v>
      </c>
      <c r="E1151" t="s">
        <v>3238</v>
      </c>
      <c r="F1151" t="s">
        <v>3239</v>
      </c>
      <c r="G1151">
        <v>7.912</v>
      </c>
      <c r="H1151">
        <v>7.912</v>
      </c>
      <c r="I1151" t="s">
        <v>40</v>
      </c>
      <c r="J1151" t="s">
        <v>41</v>
      </c>
      <c r="K1151" t="s">
        <v>31</v>
      </c>
      <c r="L1151" t="s">
        <v>32</v>
      </c>
      <c r="M1151" t="s">
        <v>33</v>
      </c>
      <c r="P1151" s="1" t="s">
        <v>4426</v>
      </c>
      <c r="Q1151" s="1" t="s">
        <v>3238</v>
      </c>
      <c r="R1151" s="1" t="s">
        <v>2984</v>
      </c>
      <c r="S1151" s="1"/>
      <c r="T1151" s="1" t="s">
        <v>75</v>
      </c>
      <c r="U1151" s="1" t="s">
        <v>76</v>
      </c>
      <c r="V1151" s="1">
        <v>7.912</v>
      </c>
      <c r="W1151" s="1">
        <v>7.912</v>
      </c>
      <c r="X1151" s="1" t="s">
        <v>35</v>
      </c>
      <c r="Y1151" s="1">
        <v>7912.0</v>
      </c>
      <c r="Z1151" s="1"/>
      <c r="AA1151" s="1">
        <v>7912</v>
      </c>
      <c r="AB1151" s="1"/>
      <c r="AC1151" s="1" t="s">
        <v>36</v>
      </c>
      <c r="AD1151" s="1" t="s">
        <v>4423</v>
      </c>
      <c r="AE1151" s="1" t="s">
        <v>32</v>
      </c>
      <c r="AF1151" s="1" t="s">
        <v>33</v>
      </c>
      <c r="AG1151" s="1" t="s">
        <v>41</v>
      </c>
    </row>
    <row r="1152" spans="1:33">
      <c r="A1152" t="s">
        <v>4427</v>
      </c>
      <c r="B1152" t="s">
        <v>4428</v>
      </c>
      <c r="C1152" t="s">
        <v>268</v>
      </c>
      <c r="E1152" t="s">
        <v>3238</v>
      </c>
      <c r="F1152" t="s">
        <v>3239</v>
      </c>
      <c r="G1152">
        <v>16.9</v>
      </c>
      <c r="H1152">
        <v>16.9</v>
      </c>
      <c r="I1152" t="s">
        <v>269</v>
      </c>
      <c r="J1152" t="s">
        <v>270</v>
      </c>
      <c r="K1152" t="s">
        <v>31</v>
      </c>
      <c r="L1152" t="s">
        <v>32</v>
      </c>
      <c r="M1152" t="s">
        <v>33</v>
      </c>
      <c r="P1152" s="1" t="s">
        <v>4429</v>
      </c>
      <c r="Q1152" s="1" t="s">
        <v>3238</v>
      </c>
      <c r="R1152" s="1" t="s">
        <v>3238</v>
      </c>
      <c r="S1152" s="1"/>
      <c r="T1152" s="1" t="s">
        <v>268</v>
      </c>
      <c r="U1152" s="1"/>
      <c r="V1152" s="1">
        <v>16.9</v>
      </c>
      <c r="W1152" s="1">
        <v>16.9</v>
      </c>
      <c r="X1152" s="1" t="s">
        <v>35</v>
      </c>
      <c r="Y1152" s="1">
        <v>16900.0</v>
      </c>
      <c r="Z1152" s="1"/>
      <c r="AA1152" s="1">
        <v>16900</v>
      </c>
      <c r="AB1152" s="1"/>
      <c r="AC1152" s="1" t="s">
        <v>36</v>
      </c>
      <c r="AD1152" s="1" t="s">
        <v>4430</v>
      </c>
      <c r="AE1152" s="1" t="s">
        <v>32</v>
      </c>
      <c r="AF1152" s="1" t="s">
        <v>33</v>
      </c>
      <c r="AG1152" s="1" t="s">
        <v>270</v>
      </c>
    </row>
    <row r="1153" spans="1:33">
      <c r="A1153" t="s">
        <v>4431</v>
      </c>
      <c r="C1153" t="s">
        <v>2467</v>
      </c>
      <c r="E1153" t="s">
        <v>3238</v>
      </c>
      <c r="F1153" t="s">
        <v>3239</v>
      </c>
      <c r="G1153">
        <v>656.0</v>
      </c>
      <c r="H1153">
        <v>656.0</v>
      </c>
      <c r="I1153" t="s">
        <v>227</v>
      </c>
      <c r="J1153" t="s">
        <v>228</v>
      </c>
      <c r="K1153" t="s">
        <v>31</v>
      </c>
      <c r="L1153" t="s">
        <v>32</v>
      </c>
      <c r="M1153" t="s">
        <v>33</v>
      </c>
      <c r="P1153" s="1" t="s">
        <v>4432</v>
      </c>
      <c r="Q1153" s="1" t="s">
        <v>3238</v>
      </c>
      <c r="R1153" s="1" t="s">
        <v>3238</v>
      </c>
      <c r="S1153" s="1"/>
      <c r="T1153" s="1" t="s">
        <v>2467</v>
      </c>
      <c r="U1153" s="1"/>
      <c r="V1153" s="1">
        <v>656.0</v>
      </c>
      <c r="W1153" s="1">
        <v>656.0</v>
      </c>
      <c r="X1153" s="1" t="s">
        <v>35</v>
      </c>
      <c r="Y1153" s="1">
        <v>656000.0</v>
      </c>
      <c r="Z1153" s="1"/>
      <c r="AA1153" s="1">
        <v>656000</v>
      </c>
      <c r="AB1153" s="1"/>
      <c r="AC1153" s="1" t="s">
        <v>36</v>
      </c>
      <c r="AD1153" s="1" t="s">
        <v>4433</v>
      </c>
      <c r="AE1153" s="1" t="s">
        <v>32</v>
      </c>
      <c r="AF1153" s="1" t="s">
        <v>33</v>
      </c>
      <c r="AG1153" s="1" t="s">
        <v>228</v>
      </c>
    </row>
    <row r="1154" spans="1:33">
      <c r="A1154" t="s">
        <v>4434</v>
      </c>
      <c r="B1154" t="s">
        <v>4435</v>
      </c>
      <c r="C1154" t="s">
        <v>47</v>
      </c>
      <c r="E1154" t="s">
        <v>3238</v>
      </c>
      <c r="F1154" t="s">
        <v>3239</v>
      </c>
      <c r="G1154">
        <v>81.18</v>
      </c>
      <c r="H1154">
        <v>81.18</v>
      </c>
      <c r="I1154" t="s">
        <v>2206</v>
      </c>
      <c r="J1154" t="s">
        <v>49</v>
      </c>
      <c r="K1154" t="s">
        <v>31</v>
      </c>
      <c r="L1154" t="s">
        <v>32</v>
      </c>
      <c r="M1154" t="s">
        <v>33</v>
      </c>
      <c r="P1154" s="1" t="s">
        <v>4436</v>
      </c>
      <c r="Q1154" s="1" t="s">
        <v>3238</v>
      </c>
      <c r="R1154" s="1" t="s">
        <v>3238</v>
      </c>
      <c r="S1154" s="1"/>
      <c r="T1154" s="1" t="s">
        <v>47</v>
      </c>
      <c r="U1154" s="1"/>
      <c r="V1154" s="1">
        <v>81.18</v>
      </c>
      <c r="W1154" s="1">
        <v>81.18</v>
      </c>
      <c r="X1154" s="1" t="s">
        <v>35</v>
      </c>
      <c r="Y1154" s="1">
        <v>81180.0</v>
      </c>
      <c r="Z1154" s="1"/>
      <c r="AA1154" s="1">
        <v>81180</v>
      </c>
      <c r="AB1154" s="1"/>
      <c r="AC1154" s="1" t="s">
        <v>36</v>
      </c>
      <c r="AD1154" s="1" t="s">
        <v>4437</v>
      </c>
      <c r="AE1154" s="1" t="s">
        <v>32</v>
      </c>
      <c r="AF1154" s="1" t="s">
        <v>33</v>
      </c>
      <c r="AG1154" s="1" t="s">
        <v>49</v>
      </c>
    </row>
    <row r="1155" spans="1:33">
      <c r="A1155" t="s">
        <v>4438</v>
      </c>
      <c r="B1155" t="s">
        <v>2533</v>
      </c>
      <c r="C1155" t="s">
        <v>569</v>
      </c>
      <c r="E1155" t="s">
        <v>3238</v>
      </c>
      <c r="F1155" t="s">
        <v>3239</v>
      </c>
      <c r="G1155">
        <v>32.99</v>
      </c>
      <c r="H1155">
        <v>32.99</v>
      </c>
      <c r="I1155" t="s">
        <v>570</v>
      </c>
      <c r="J1155" t="s">
        <v>571</v>
      </c>
      <c r="K1155" t="s">
        <v>31</v>
      </c>
      <c r="L1155" t="s">
        <v>32</v>
      </c>
      <c r="M1155" t="s">
        <v>33</v>
      </c>
      <c r="P1155" s="1" t="s">
        <v>4439</v>
      </c>
      <c r="Q1155" s="1" t="s">
        <v>3238</v>
      </c>
      <c r="R1155" s="1" t="s">
        <v>3238</v>
      </c>
      <c r="S1155" s="1"/>
      <c r="T1155" s="1" t="s">
        <v>569</v>
      </c>
      <c r="U1155" s="1"/>
      <c r="V1155" s="1">
        <v>32.99</v>
      </c>
      <c r="W1155" s="1">
        <v>32.99</v>
      </c>
      <c r="X1155" s="1" t="s">
        <v>35</v>
      </c>
      <c r="Y1155" s="1">
        <v>32990.0</v>
      </c>
      <c r="Z1155" s="1"/>
      <c r="AA1155" s="1">
        <v>32990</v>
      </c>
      <c r="AB1155" s="1"/>
      <c r="AC1155" s="1" t="s">
        <v>36</v>
      </c>
      <c r="AD1155" s="1" t="s">
        <v>4437</v>
      </c>
      <c r="AE1155" s="1" t="s">
        <v>32</v>
      </c>
      <c r="AF1155" s="1" t="s">
        <v>33</v>
      </c>
      <c r="AG1155" s="1" t="s">
        <v>571</v>
      </c>
    </row>
    <row r="1156" spans="1:33">
      <c r="A1156" t="s">
        <v>4440</v>
      </c>
      <c r="C1156" t="s">
        <v>4441</v>
      </c>
      <c r="E1156" t="s">
        <v>3238</v>
      </c>
      <c r="F1156" t="s">
        <v>3239</v>
      </c>
      <c r="G1156">
        <v>328.0</v>
      </c>
      <c r="H1156">
        <v>328.0</v>
      </c>
      <c r="I1156" t="s">
        <v>136</v>
      </c>
      <c r="J1156" t="s">
        <v>137</v>
      </c>
      <c r="K1156" t="s">
        <v>31</v>
      </c>
      <c r="L1156" t="s">
        <v>32</v>
      </c>
      <c r="M1156" t="s">
        <v>33</v>
      </c>
      <c r="P1156" s="1" t="s">
        <v>4442</v>
      </c>
      <c r="Q1156" s="1" t="s">
        <v>3238</v>
      </c>
      <c r="R1156" s="1" t="s">
        <v>3238</v>
      </c>
      <c r="S1156" s="1"/>
      <c r="T1156" s="1" t="s">
        <v>4443</v>
      </c>
      <c r="U1156" s="1" t="s">
        <v>4444</v>
      </c>
      <c r="V1156" s="1">
        <v>328.0</v>
      </c>
      <c r="W1156" s="1">
        <v>328.0</v>
      </c>
      <c r="X1156" s="1" t="s">
        <v>35</v>
      </c>
      <c r="Y1156" s="1">
        <v>328000.0</v>
      </c>
      <c r="Z1156" s="1"/>
      <c r="AA1156" s="1">
        <v>328000</v>
      </c>
      <c r="AB1156" s="1"/>
      <c r="AC1156" s="1" t="s">
        <v>36</v>
      </c>
      <c r="AD1156" s="1" t="s">
        <v>4445</v>
      </c>
      <c r="AE1156" s="1" t="s">
        <v>32</v>
      </c>
      <c r="AF1156" s="1" t="s">
        <v>33</v>
      </c>
      <c r="AG1156" s="1" t="s">
        <v>137</v>
      </c>
    </row>
    <row r="1157" spans="1:33">
      <c r="A1157" t="s">
        <v>4446</v>
      </c>
      <c r="C1157" t="s">
        <v>4447</v>
      </c>
      <c r="D1157" t="s">
        <v>154</v>
      </c>
      <c r="E1157" t="s">
        <v>3238</v>
      </c>
      <c r="F1157" t="s">
        <v>3239</v>
      </c>
      <c r="G1157">
        <v>410.0</v>
      </c>
      <c r="H1157">
        <v>410.0</v>
      </c>
      <c r="I1157" t="s">
        <v>269</v>
      </c>
      <c r="J1157" t="s">
        <v>270</v>
      </c>
      <c r="K1157" t="s">
        <v>31</v>
      </c>
      <c r="L1157" t="s">
        <v>32</v>
      </c>
      <c r="M1157" t="s">
        <v>33</v>
      </c>
      <c r="P1157" s="1" t="s">
        <v>4448</v>
      </c>
      <c r="Q1157" s="1" t="s">
        <v>3238</v>
      </c>
      <c r="R1157" s="1" t="s">
        <v>3238</v>
      </c>
      <c r="S1157" s="1"/>
      <c r="T1157" s="1" t="s">
        <v>4449</v>
      </c>
      <c r="U1157" s="1" t="s">
        <v>4450</v>
      </c>
      <c r="V1157" s="1">
        <v>410.0</v>
      </c>
      <c r="W1157" s="1">
        <v>410.0</v>
      </c>
      <c r="X1157" s="1" t="s">
        <v>35</v>
      </c>
      <c r="Y1157" s="1">
        <v>410000.0</v>
      </c>
      <c r="Z1157" s="1"/>
      <c r="AA1157" s="1">
        <v>410000</v>
      </c>
      <c r="AB1157" s="1"/>
      <c r="AC1157" s="1" t="s">
        <v>36</v>
      </c>
      <c r="AD1157" s="1" t="s">
        <v>4437</v>
      </c>
      <c r="AE1157" s="1" t="s">
        <v>32</v>
      </c>
      <c r="AF1157" s="1" t="s">
        <v>33</v>
      </c>
      <c r="AG1157" s="1" t="s">
        <v>270</v>
      </c>
    </row>
    <row r="1158" spans="1:33">
      <c r="A1158" t="s">
        <v>4451</v>
      </c>
      <c r="B1158" t="s">
        <v>1656</v>
      </c>
      <c r="C1158" t="s">
        <v>135</v>
      </c>
      <c r="E1158" t="s">
        <v>3238</v>
      </c>
      <c r="F1158" t="s">
        <v>3239</v>
      </c>
      <c r="G1158">
        <v>36.75</v>
      </c>
      <c r="H1158">
        <v>36.75</v>
      </c>
      <c r="I1158" t="s">
        <v>136</v>
      </c>
      <c r="J1158" t="s">
        <v>137</v>
      </c>
      <c r="K1158" t="s">
        <v>31</v>
      </c>
      <c r="L1158" t="s">
        <v>32</v>
      </c>
      <c r="M1158" t="s">
        <v>33</v>
      </c>
      <c r="P1158" s="1" t="s">
        <v>4452</v>
      </c>
      <c r="Q1158" s="1" t="s">
        <v>3238</v>
      </c>
      <c r="R1158" s="1" t="s">
        <v>3238</v>
      </c>
      <c r="S1158" s="1"/>
      <c r="T1158" s="1" t="s">
        <v>135</v>
      </c>
      <c r="U1158" s="1"/>
      <c r="V1158" s="1">
        <v>36.75</v>
      </c>
      <c r="W1158" s="1">
        <v>36.75</v>
      </c>
      <c r="X1158" s="1" t="s">
        <v>35</v>
      </c>
      <c r="Y1158" s="1">
        <v>36750.0</v>
      </c>
      <c r="Z1158" s="1"/>
      <c r="AA1158" s="1">
        <v>36750</v>
      </c>
      <c r="AB1158" s="1"/>
      <c r="AC1158" s="1" t="s">
        <v>36</v>
      </c>
      <c r="AD1158" s="1" t="s">
        <v>4453</v>
      </c>
      <c r="AE1158" s="1" t="s">
        <v>32</v>
      </c>
      <c r="AF1158" s="1" t="s">
        <v>33</v>
      </c>
      <c r="AG1158" s="1" t="s">
        <v>137</v>
      </c>
    </row>
    <row r="1159" spans="1:33">
      <c r="A1159" t="s">
        <v>4454</v>
      </c>
      <c r="B1159" t="s">
        <v>4455</v>
      </c>
      <c r="C1159" t="s">
        <v>73</v>
      </c>
      <c r="E1159" t="s">
        <v>3238</v>
      </c>
      <c r="F1159" t="s">
        <v>3239</v>
      </c>
      <c r="G1159">
        <v>32.49</v>
      </c>
      <c r="H1159">
        <v>32.49</v>
      </c>
      <c r="I1159" t="s">
        <v>40</v>
      </c>
      <c r="J1159" t="s">
        <v>41</v>
      </c>
      <c r="K1159" t="s">
        <v>31</v>
      </c>
      <c r="L1159" t="s">
        <v>32</v>
      </c>
      <c r="M1159" t="s">
        <v>33</v>
      </c>
      <c r="P1159" s="1" t="s">
        <v>4456</v>
      </c>
      <c r="Q1159" s="1" t="s">
        <v>3238</v>
      </c>
      <c r="R1159" s="1" t="s">
        <v>2984</v>
      </c>
      <c r="S1159" s="1"/>
      <c r="T1159" s="1" t="s">
        <v>75</v>
      </c>
      <c r="U1159" s="1" t="s">
        <v>76</v>
      </c>
      <c r="V1159" s="1">
        <v>32.49</v>
      </c>
      <c r="W1159" s="1">
        <v>32.49</v>
      </c>
      <c r="X1159" s="1" t="s">
        <v>35</v>
      </c>
      <c r="Y1159" s="1">
        <v>32490.0</v>
      </c>
      <c r="Z1159" s="1"/>
      <c r="AA1159" s="1">
        <v>32490</v>
      </c>
      <c r="AB1159" s="1"/>
      <c r="AC1159" s="1" t="s">
        <v>36</v>
      </c>
      <c r="AD1159" s="1" t="s">
        <v>4457</v>
      </c>
      <c r="AE1159" s="1" t="s">
        <v>32</v>
      </c>
      <c r="AF1159" s="1" t="s">
        <v>33</v>
      </c>
      <c r="AG1159" s="1" t="s">
        <v>41</v>
      </c>
    </row>
    <row r="1160" spans="1:33">
      <c r="A1160" t="s">
        <v>4458</v>
      </c>
      <c r="B1160" t="s">
        <v>4459</v>
      </c>
      <c r="C1160" t="s">
        <v>135</v>
      </c>
      <c r="E1160" t="s">
        <v>3238</v>
      </c>
      <c r="F1160" t="s">
        <v>3239</v>
      </c>
      <c r="G1160">
        <v>65.7</v>
      </c>
      <c r="H1160">
        <v>65.7</v>
      </c>
      <c r="I1160" t="s">
        <v>136</v>
      </c>
      <c r="J1160" t="s">
        <v>137</v>
      </c>
      <c r="K1160" t="s">
        <v>31</v>
      </c>
      <c r="L1160" t="s">
        <v>32</v>
      </c>
      <c r="M1160" t="s">
        <v>33</v>
      </c>
      <c r="P1160" s="1" t="s">
        <v>4460</v>
      </c>
      <c r="Q1160" s="1" t="s">
        <v>3238</v>
      </c>
      <c r="R1160" s="1" t="s">
        <v>3238</v>
      </c>
      <c r="S1160" s="1"/>
      <c r="T1160" s="1" t="s">
        <v>135</v>
      </c>
      <c r="U1160" s="1"/>
      <c r="V1160" s="1">
        <v>65.7</v>
      </c>
      <c r="W1160" s="1">
        <v>65.7</v>
      </c>
      <c r="X1160" s="1" t="s">
        <v>35</v>
      </c>
      <c r="Y1160" s="1">
        <v>65700.0</v>
      </c>
      <c r="Z1160" s="1"/>
      <c r="AA1160" s="1">
        <v>65700</v>
      </c>
      <c r="AB1160" s="1"/>
      <c r="AC1160" s="1" t="s">
        <v>36</v>
      </c>
      <c r="AD1160" s="1" t="s">
        <v>4461</v>
      </c>
      <c r="AE1160" s="1" t="s">
        <v>32</v>
      </c>
      <c r="AF1160" s="1" t="s">
        <v>33</v>
      </c>
      <c r="AG1160" s="1" t="s">
        <v>137</v>
      </c>
    </row>
    <row r="1161" spans="1:33">
      <c r="A1161" t="s">
        <v>4462</v>
      </c>
      <c r="B1161" t="s">
        <v>4463</v>
      </c>
      <c r="C1161" t="s">
        <v>569</v>
      </c>
      <c r="E1161" t="s">
        <v>3238</v>
      </c>
      <c r="F1161" t="s">
        <v>3239</v>
      </c>
      <c r="G1161">
        <v>68.57</v>
      </c>
      <c r="H1161">
        <v>68.57</v>
      </c>
      <c r="I1161" t="s">
        <v>570</v>
      </c>
      <c r="J1161" t="s">
        <v>571</v>
      </c>
      <c r="K1161" t="s">
        <v>31</v>
      </c>
      <c r="L1161" t="s">
        <v>32</v>
      </c>
      <c r="M1161" t="s">
        <v>33</v>
      </c>
      <c r="P1161" s="1" t="s">
        <v>4464</v>
      </c>
      <c r="Q1161" s="1" t="s">
        <v>3238</v>
      </c>
      <c r="R1161" s="1" t="s">
        <v>3238</v>
      </c>
      <c r="S1161" s="1"/>
      <c r="T1161" s="1" t="s">
        <v>569</v>
      </c>
      <c r="U1161" s="1"/>
      <c r="V1161" s="1">
        <v>68.57</v>
      </c>
      <c r="W1161" s="1">
        <v>68.57</v>
      </c>
      <c r="X1161" s="1" t="s">
        <v>35</v>
      </c>
      <c r="Y1161" s="1">
        <v>68570.0</v>
      </c>
      <c r="Z1161" s="1"/>
      <c r="AA1161" s="1">
        <v>68570</v>
      </c>
      <c r="AB1161" s="1"/>
      <c r="AC1161" s="1" t="s">
        <v>36</v>
      </c>
      <c r="AD1161" s="1" t="s">
        <v>4465</v>
      </c>
      <c r="AE1161" s="1" t="s">
        <v>32</v>
      </c>
      <c r="AF1161" s="1" t="s">
        <v>33</v>
      </c>
      <c r="AG1161" s="1" t="s">
        <v>571</v>
      </c>
    </row>
    <row r="1162" spans="1:33">
      <c r="A1162" t="s">
        <v>4466</v>
      </c>
      <c r="C1162" t="s">
        <v>644</v>
      </c>
      <c r="E1162" t="s">
        <v>3238</v>
      </c>
      <c r="F1162" t="s">
        <v>3239</v>
      </c>
      <c r="G1162">
        <v>328.0</v>
      </c>
      <c r="H1162">
        <v>328.0</v>
      </c>
      <c r="I1162" t="s">
        <v>227</v>
      </c>
      <c r="J1162" t="s">
        <v>228</v>
      </c>
      <c r="K1162" t="s">
        <v>31</v>
      </c>
      <c r="L1162" t="s">
        <v>32</v>
      </c>
      <c r="M1162" t="s">
        <v>33</v>
      </c>
      <c r="P1162" s="1" t="s">
        <v>4467</v>
      </c>
      <c r="Q1162" s="1" t="s">
        <v>3238</v>
      </c>
      <c r="R1162" s="1" t="s">
        <v>3238</v>
      </c>
      <c r="S1162" s="1"/>
      <c r="T1162" s="1" t="s">
        <v>644</v>
      </c>
      <c r="U1162" s="1"/>
      <c r="V1162" s="1">
        <v>328.0</v>
      </c>
      <c r="W1162" s="1">
        <v>328.0</v>
      </c>
      <c r="X1162" s="1" t="s">
        <v>35</v>
      </c>
      <c r="Y1162" s="1">
        <v>328000.0</v>
      </c>
      <c r="Z1162" s="1"/>
      <c r="AA1162" s="1">
        <v>328000</v>
      </c>
      <c r="AB1162" s="1"/>
      <c r="AC1162" s="1" t="s">
        <v>36</v>
      </c>
      <c r="AD1162" s="1" t="s">
        <v>4468</v>
      </c>
      <c r="AE1162" s="1" t="s">
        <v>32</v>
      </c>
      <c r="AF1162" s="1" t="s">
        <v>33</v>
      </c>
      <c r="AG1162" s="1" t="s">
        <v>228</v>
      </c>
    </row>
    <row r="1163" spans="1:33">
      <c r="A1163" t="s">
        <v>4469</v>
      </c>
      <c r="C1163" t="s">
        <v>153</v>
      </c>
      <c r="D1163" t="s">
        <v>154</v>
      </c>
      <c r="E1163" t="s">
        <v>3238</v>
      </c>
      <c r="F1163" t="s">
        <v>3239</v>
      </c>
      <c r="G1163">
        <v>390.0</v>
      </c>
      <c r="H1163">
        <v>390.0</v>
      </c>
      <c r="I1163" t="s">
        <v>94</v>
      </c>
      <c r="J1163" t="s">
        <v>95</v>
      </c>
      <c r="K1163" t="s">
        <v>31</v>
      </c>
      <c r="L1163" t="s">
        <v>32</v>
      </c>
      <c r="M1163" t="s">
        <v>33</v>
      </c>
      <c r="P1163" s="1" t="s">
        <v>4470</v>
      </c>
      <c r="Q1163" s="1" t="s">
        <v>3238</v>
      </c>
      <c r="R1163" s="1" t="s">
        <v>3238</v>
      </c>
      <c r="S1163" s="1"/>
      <c r="T1163" s="1" t="s">
        <v>156</v>
      </c>
      <c r="U1163" s="1" t="s">
        <v>157</v>
      </c>
      <c r="V1163" s="1">
        <v>390.0</v>
      </c>
      <c r="W1163" s="1">
        <v>390.0</v>
      </c>
      <c r="X1163" s="1" t="s">
        <v>35</v>
      </c>
      <c r="Y1163" s="1">
        <v>390000.0</v>
      </c>
      <c r="Z1163" s="1"/>
      <c r="AA1163" s="1">
        <v>390000</v>
      </c>
      <c r="AB1163" s="1"/>
      <c r="AC1163" s="1" t="s">
        <v>36</v>
      </c>
      <c r="AD1163" s="1" t="s">
        <v>4445</v>
      </c>
      <c r="AE1163" s="1" t="s">
        <v>32</v>
      </c>
      <c r="AF1163" s="1" t="s">
        <v>33</v>
      </c>
      <c r="AG1163" s="1" t="s">
        <v>95</v>
      </c>
    </row>
    <row r="1164" spans="1:33">
      <c r="A1164" t="s">
        <v>4471</v>
      </c>
      <c r="C1164" t="s">
        <v>2525</v>
      </c>
      <c r="E1164" t="s">
        <v>3238</v>
      </c>
      <c r="F1164" t="s">
        <v>3239</v>
      </c>
      <c r="G1164">
        <v>328.0</v>
      </c>
      <c r="H1164">
        <v>328.0</v>
      </c>
      <c r="I1164" t="s">
        <v>269</v>
      </c>
      <c r="J1164" t="s">
        <v>270</v>
      </c>
      <c r="K1164" t="s">
        <v>31</v>
      </c>
      <c r="L1164" t="s">
        <v>32</v>
      </c>
      <c r="M1164" t="s">
        <v>33</v>
      </c>
      <c r="P1164" s="1" t="s">
        <v>4472</v>
      </c>
      <c r="Q1164" s="1" t="s">
        <v>3238</v>
      </c>
      <c r="R1164" s="1" t="s">
        <v>3238</v>
      </c>
      <c r="S1164" s="1"/>
      <c r="T1164" s="1" t="s">
        <v>2525</v>
      </c>
      <c r="U1164" s="1"/>
      <c r="V1164" s="1">
        <v>328.0</v>
      </c>
      <c r="W1164" s="1">
        <v>328.0</v>
      </c>
      <c r="X1164" s="1" t="s">
        <v>35</v>
      </c>
      <c r="Y1164" s="1">
        <v>328000.0</v>
      </c>
      <c r="Z1164" s="1"/>
      <c r="AA1164" s="1">
        <v>328000</v>
      </c>
      <c r="AB1164" s="1"/>
      <c r="AC1164" s="1" t="s">
        <v>36</v>
      </c>
      <c r="AD1164" s="1" t="s">
        <v>4453</v>
      </c>
      <c r="AE1164" s="1" t="s">
        <v>32</v>
      </c>
      <c r="AF1164" s="1" t="s">
        <v>33</v>
      </c>
      <c r="AG1164" s="1" t="s">
        <v>270</v>
      </c>
    </row>
    <row r="1165" spans="1:33">
      <c r="A1165" t="s">
        <v>4473</v>
      </c>
      <c r="B1165" t="s">
        <v>4474</v>
      </c>
      <c r="C1165" t="s">
        <v>268</v>
      </c>
      <c r="E1165" t="s">
        <v>3238</v>
      </c>
      <c r="F1165" t="s">
        <v>3239</v>
      </c>
      <c r="G1165">
        <v>67.6</v>
      </c>
      <c r="H1165">
        <v>67.6</v>
      </c>
      <c r="I1165" t="s">
        <v>269</v>
      </c>
      <c r="J1165" t="s">
        <v>270</v>
      </c>
      <c r="K1165" t="s">
        <v>31</v>
      </c>
      <c r="L1165" t="s">
        <v>32</v>
      </c>
      <c r="M1165" t="s">
        <v>33</v>
      </c>
      <c r="P1165" s="1" t="s">
        <v>4475</v>
      </c>
      <c r="Q1165" s="1" t="s">
        <v>3238</v>
      </c>
      <c r="R1165" s="1" t="s">
        <v>3238</v>
      </c>
      <c r="S1165" s="1"/>
      <c r="T1165" s="1" t="s">
        <v>268</v>
      </c>
      <c r="U1165" s="1"/>
      <c r="V1165" s="1">
        <v>67.6</v>
      </c>
      <c r="W1165" s="1">
        <v>67.6</v>
      </c>
      <c r="X1165" s="1" t="s">
        <v>35</v>
      </c>
      <c r="Y1165" s="1">
        <v>67600.0</v>
      </c>
      <c r="Z1165" s="1"/>
      <c r="AA1165" s="1">
        <v>67600</v>
      </c>
      <c r="AB1165" s="1"/>
      <c r="AC1165" s="1" t="s">
        <v>36</v>
      </c>
      <c r="AD1165" s="1" t="s">
        <v>4445</v>
      </c>
      <c r="AE1165" s="1" t="s">
        <v>32</v>
      </c>
      <c r="AF1165" s="1" t="s">
        <v>33</v>
      </c>
      <c r="AG1165" s="1" t="s">
        <v>270</v>
      </c>
    </row>
    <row r="1166" spans="1:33">
      <c r="A1166" t="s">
        <v>4476</v>
      </c>
      <c r="C1166" t="s">
        <v>1957</v>
      </c>
      <c r="D1166" t="s">
        <v>154</v>
      </c>
      <c r="E1166" t="s">
        <v>3238</v>
      </c>
      <c r="F1166" t="s">
        <v>3239</v>
      </c>
      <c r="G1166">
        <v>720.0</v>
      </c>
      <c r="H1166">
        <v>720.0</v>
      </c>
      <c r="I1166" t="s">
        <v>227</v>
      </c>
      <c r="J1166" t="s">
        <v>228</v>
      </c>
      <c r="K1166" t="s">
        <v>31</v>
      </c>
      <c r="L1166" t="s">
        <v>32</v>
      </c>
      <c r="M1166" t="s">
        <v>33</v>
      </c>
      <c r="P1166" s="1" t="s">
        <v>4477</v>
      </c>
      <c r="Q1166" s="1" t="s">
        <v>3238</v>
      </c>
      <c r="R1166" s="1" t="s">
        <v>3238</v>
      </c>
      <c r="S1166" s="1"/>
      <c r="T1166" s="1" t="s">
        <v>1957</v>
      </c>
      <c r="U1166" s="1"/>
      <c r="V1166" s="1">
        <v>720.0</v>
      </c>
      <c r="W1166" s="1">
        <v>720.0</v>
      </c>
      <c r="X1166" s="1" t="s">
        <v>35</v>
      </c>
      <c r="Y1166" s="1">
        <v>720000.0</v>
      </c>
      <c r="Z1166" s="1"/>
      <c r="AA1166" s="1">
        <v>720000</v>
      </c>
      <c r="AB1166" s="1"/>
      <c r="AC1166" s="1" t="s">
        <v>36</v>
      </c>
      <c r="AD1166" s="1" t="s">
        <v>4478</v>
      </c>
      <c r="AE1166" s="1" t="s">
        <v>32</v>
      </c>
      <c r="AF1166" s="1" t="s">
        <v>33</v>
      </c>
      <c r="AG1166" s="1" t="s">
        <v>228</v>
      </c>
    </row>
    <row r="1167" spans="1:33">
      <c r="A1167" t="s">
        <v>4479</v>
      </c>
      <c r="B1167" t="s">
        <v>4480</v>
      </c>
      <c r="C1167" t="s">
        <v>172</v>
      </c>
      <c r="E1167" t="s">
        <v>3238</v>
      </c>
      <c r="F1167" t="s">
        <v>3239</v>
      </c>
      <c r="G1167">
        <v>21.99</v>
      </c>
      <c r="H1167">
        <v>21.99</v>
      </c>
      <c r="I1167" t="s">
        <v>173</v>
      </c>
      <c r="J1167" t="s">
        <v>174</v>
      </c>
      <c r="K1167" t="s">
        <v>31</v>
      </c>
      <c r="L1167" t="s">
        <v>32</v>
      </c>
      <c r="M1167" t="s">
        <v>33</v>
      </c>
      <c r="P1167" s="1" t="s">
        <v>4481</v>
      </c>
      <c r="Q1167" s="1" t="s">
        <v>3238</v>
      </c>
      <c r="R1167" s="1" t="s">
        <v>3238</v>
      </c>
      <c r="S1167" s="1"/>
      <c r="T1167" s="1" t="s">
        <v>172</v>
      </c>
      <c r="U1167" s="1"/>
      <c r="V1167" s="1">
        <v>21.99</v>
      </c>
      <c r="W1167" s="1">
        <v>21.99</v>
      </c>
      <c r="X1167" s="1" t="s">
        <v>35</v>
      </c>
      <c r="Y1167" s="1">
        <v>21990.0</v>
      </c>
      <c r="Z1167" s="1"/>
      <c r="AA1167" s="1">
        <v>21990</v>
      </c>
      <c r="AB1167" s="1"/>
      <c r="AC1167" s="1" t="s">
        <v>36</v>
      </c>
      <c r="AD1167" s="1" t="s">
        <v>4482</v>
      </c>
      <c r="AE1167" s="1" t="s">
        <v>32</v>
      </c>
      <c r="AF1167" s="1" t="s">
        <v>33</v>
      </c>
      <c r="AG1167" s="1" t="s">
        <v>174</v>
      </c>
    </row>
    <row r="1168" spans="1:33">
      <c r="A1168" t="s">
        <v>4483</v>
      </c>
      <c r="C1168" t="s">
        <v>4484</v>
      </c>
      <c r="E1168" t="s">
        <v>3238</v>
      </c>
      <c r="F1168" t="s">
        <v>3239</v>
      </c>
      <c r="G1168">
        <v>640.0</v>
      </c>
      <c r="H1168">
        <v>640.0</v>
      </c>
      <c r="I1168" t="s">
        <v>126</v>
      </c>
      <c r="J1168" t="s">
        <v>127</v>
      </c>
      <c r="K1168" t="s">
        <v>31</v>
      </c>
      <c r="L1168" t="s">
        <v>32</v>
      </c>
      <c r="M1168" t="s">
        <v>33</v>
      </c>
      <c r="P1168" s="1" t="s">
        <v>4485</v>
      </c>
      <c r="Q1168" s="1" t="s">
        <v>3238</v>
      </c>
      <c r="R1168" s="1" t="s">
        <v>3238</v>
      </c>
      <c r="S1168" s="1"/>
      <c r="T1168" s="1" t="s">
        <v>4484</v>
      </c>
      <c r="U1168" s="1"/>
      <c r="V1168" s="1">
        <v>640.0</v>
      </c>
      <c r="W1168" s="1">
        <v>640.0</v>
      </c>
      <c r="X1168" s="1" t="s">
        <v>35</v>
      </c>
      <c r="Y1168" s="1">
        <v>640000.0</v>
      </c>
      <c r="Z1168" s="1"/>
      <c r="AA1168" s="1">
        <v>640000</v>
      </c>
      <c r="AB1168" s="1"/>
      <c r="AC1168" s="1" t="s">
        <v>36</v>
      </c>
      <c r="AD1168" s="1" t="s">
        <v>4486</v>
      </c>
      <c r="AE1168" s="1" t="s">
        <v>32</v>
      </c>
      <c r="AF1168" s="1" t="s">
        <v>33</v>
      </c>
      <c r="AG1168" s="1" t="s">
        <v>127</v>
      </c>
    </row>
    <row r="1169" spans="1:33">
      <c r="A1169" t="s">
        <v>4487</v>
      </c>
      <c r="C1169" t="s">
        <v>338</v>
      </c>
      <c r="E1169" t="s">
        <v>3238</v>
      </c>
      <c r="F1169" t="s">
        <v>3239</v>
      </c>
      <c r="G1169">
        <v>655.0</v>
      </c>
      <c r="H1169">
        <v>655.0</v>
      </c>
      <c r="I1169" t="s">
        <v>179</v>
      </c>
      <c r="J1169" t="s">
        <v>180</v>
      </c>
      <c r="K1169" t="s">
        <v>31</v>
      </c>
      <c r="L1169" t="s">
        <v>32</v>
      </c>
      <c r="M1169" t="s">
        <v>33</v>
      </c>
      <c r="P1169" s="1" t="s">
        <v>4488</v>
      </c>
      <c r="Q1169" s="1" t="s">
        <v>3238</v>
      </c>
      <c r="R1169" s="1" t="s">
        <v>3238</v>
      </c>
      <c r="S1169" s="1"/>
      <c r="T1169" s="1" t="s">
        <v>338</v>
      </c>
      <c r="U1169" s="1"/>
      <c r="V1169" s="1">
        <v>655.0</v>
      </c>
      <c r="W1169" s="1">
        <v>655.0</v>
      </c>
      <c r="X1169" s="1" t="s">
        <v>35</v>
      </c>
      <c r="Y1169" s="1">
        <v>655000.0</v>
      </c>
      <c r="Z1169" s="1"/>
      <c r="AA1169" s="1">
        <v>655000</v>
      </c>
      <c r="AB1169" s="1"/>
      <c r="AC1169" s="1" t="s">
        <v>36</v>
      </c>
      <c r="AD1169" s="1" t="s">
        <v>4489</v>
      </c>
      <c r="AE1169" s="1" t="s">
        <v>32</v>
      </c>
      <c r="AF1169" s="1" t="s">
        <v>33</v>
      </c>
      <c r="AG1169" s="1" t="s">
        <v>180</v>
      </c>
    </row>
    <row r="1170" spans="1:33">
      <c r="A1170" t="s">
        <v>4490</v>
      </c>
      <c r="B1170" t="s">
        <v>4491</v>
      </c>
      <c r="C1170" t="s">
        <v>47</v>
      </c>
      <c r="E1170" t="s">
        <v>3238</v>
      </c>
      <c r="F1170" t="s">
        <v>3239</v>
      </c>
      <c r="G1170">
        <v>19.49</v>
      </c>
      <c r="H1170">
        <v>19.49</v>
      </c>
      <c r="I1170" t="s">
        <v>2206</v>
      </c>
      <c r="J1170" t="s">
        <v>49</v>
      </c>
      <c r="K1170" t="s">
        <v>31</v>
      </c>
      <c r="L1170" t="s">
        <v>32</v>
      </c>
      <c r="M1170" t="s">
        <v>33</v>
      </c>
      <c r="P1170" s="1" t="s">
        <v>4492</v>
      </c>
      <c r="Q1170" s="1" t="s">
        <v>3238</v>
      </c>
      <c r="R1170" s="1" t="s">
        <v>3238</v>
      </c>
      <c r="S1170" s="1"/>
      <c r="T1170" s="1" t="s">
        <v>47</v>
      </c>
      <c r="U1170" s="1"/>
      <c r="V1170" s="1">
        <v>19.49</v>
      </c>
      <c r="W1170" s="1">
        <v>19.49</v>
      </c>
      <c r="X1170" s="1" t="s">
        <v>35</v>
      </c>
      <c r="Y1170" s="1">
        <v>19490.0</v>
      </c>
      <c r="Z1170" s="1"/>
      <c r="AA1170" s="1">
        <v>19490</v>
      </c>
      <c r="AB1170" s="1"/>
      <c r="AC1170" s="1" t="s">
        <v>36</v>
      </c>
      <c r="AD1170" s="1" t="s">
        <v>4493</v>
      </c>
      <c r="AE1170" s="1" t="s">
        <v>32</v>
      </c>
      <c r="AF1170" s="1" t="s">
        <v>33</v>
      </c>
      <c r="AG1170" s="1" t="s">
        <v>49</v>
      </c>
    </row>
    <row r="1171" spans="1:33">
      <c r="A1171" t="s">
        <v>4494</v>
      </c>
      <c r="B1171" t="s">
        <v>4495</v>
      </c>
      <c r="C1171" t="s">
        <v>47</v>
      </c>
      <c r="E1171" t="s">
        <v>3238</v>
      </c>
      <c r="F1171" t="s">
        <v>3239</v>
      </c>
      <c r="G1171">
        <v>3.499</v>
      </c>
      <c r="H1171">
        <v>3.499</v>
      </c>
      <c r="I1171" t="s">
        <v>2206</v>
      </c>
      <c r="J1171" t="s">
        <v>49</v>
      </c>
      <c r="K1171" t="s">
        <v>31</v>
      </c>
      <c r="L1171" t="s">
        <v>32</v>
      </c>
      <c r="M1171" t="s">
        <v>33</v>
      </c>
      <c r="P1171" s="1" t="s">
        <v>4496</v>
      </c>
      <c r="Q1171" s="1" t="s">
        <v>3238</v>
      </c>
      <c r="R1171" s="1" t="s">
        <v>3238</v>
      </c>
      <c r="S1171" s="1"/>
      <c r="T1171" s="1" t="s">
        <v>47</v>
      </c>
      <c r="U1171" s="1"/>
      <c r="V1171" s="1">
        <v>3.499</v>
      </c>
      <c r="W1171" s="1">
        <v>3.499</v>
      </c>
      <c r="X1171" s="1" t="s">
        <v>35</v>
      </c>
      <c r="Y1171" s="1">
        <v>3499.0</v>
      </c>
      <c r="Z1171" s="1"/>
      <c r="AA1171" s="1">
        <v>3499</v>
      </c>
      <c r="AB1171" s="1"/>
      <c r="AC1171" s="1" t="s">
        <v>36</v>
      </c>
      <c r="AD1171" s="1" t="s">
        <v>4497</v>
      </c>
      <c r="AE1171" s="1" t="s">
        <v>32</v>
      </c>
      <c r="AF1171" s="1" t="s">
        <v>33</v>
      </c>
      <c r="AG1171" s="1" t="s">
        <v>49</v>
      </c>
    </row>
    <row r="1172" spans="1:33">
      <c r="A1172" t="s">
        <v>4498</v>
      </c>
      <c r="B1172" t="s">
        <v>4499</v>
      </c>
      <c r="C1172" t="s">
        <v>47</v>
      </c>
      <c r="E1172" t="s">
        <v>3238</v>
      </c>
      <c r="F1172" t="s">
        <v>3239</v>
      </c>
      <c r="G1172">
        <v>152.154</v>
      </c>
      <c r="H1172">
        <v>152.154</v>
      </c>
      <c r="I1172" t="s">
        <v>2206</v>
      </c>
      <c r="J1172" t="s">
        <v>49</v>
      </c>
      <c r="K1172" t="s">
        <v>31</v>
      </c>
      <c r="L1172" t="s">
        <v>32</v>
      </c>
      <c r="M1172" t="s">
        <v>33</v>
      </c>
      <c r="P1172" s="1" t="s">
        <v>4500</v>
      </c>
      <c r="Q1172" s="1" t="s">
        <v>3238</v>
      </c>
      <c r="R1172" s="1" t="s">
        <v>3238</v>
      </c>
      <c r="S1172" s="1"/>
      <c r="T1172" s="1" t="s">
        <v>47</v>
      </c>
      <c r="U1172" s="1"/>
      <c r="V1172" s="1">
        <v>152.154</v>
      </c>
      <c r="W1172" s="1">
        <v>152.154</v>
      </c>
      <c r="X1172" s="1" t="s">
        <v>35</v>
      </c>
      <c r="Y1172" s="1">
        <v>152154.0</v>
      </c>
      <c r="Z1172" s="1"/>
      <c r="AA1172" s="1">
        <v>152154</v>
      </c>
      <c r="AB1172" s="1"/>
      <c r="AC1172" s="1" t="s">
        <v>36</v>
      </c>
      <c r="AD1172" s="1" t="s">
        <v>4501</v>
      </c>
      <c r="AE1172" s="1" t="s">
        <v>32</v>
      </c>
      <c r="AF1172" s="1" t="s">
        <v>33</v>
      </c>
      <c r="AG1172" s="1" t="s">
        <v>49</v>
      </c>
    </row>
    <row r="1173" spans="1:33">
      <c r="A1173" t="s">
        <v>4502</v>
      </c>
      <c r="C1173" t="s">
        <v>786</v>
      </c>
      <c r="E1173" t="s">
        <v>3238</v>
      </c>
      <c r="F1173" t="s">
        <v>3239</v>
      </c>
      <c r="G1173">
        <v>997.6</v>
      </c>
      <c r="H1173">
        <v>997.6</v>
      </c>
      <c r="I1173" t="s">
        <v>269</v>
      </c>
      <c r="J1173" t="s">
        <v>270</v>
      </c>
      <c r="K1173" t="s">
        <v>31</v>
      </c>
      <c r="L1173" t="s">
        <v>32</v>
      </c>
      <c r="M1173" t="s">
        <v>33</v>
      </c>
      <c r="P1173" s="1" t="s">
        <v>4503</v>
      </c>
      <c r="Q1173" s="1" t="s">
        <v>3238</v>
      </c>
      <c r="R1173" s="1" t="s">
        <v>3238</v>
      </c>
      <c r="S1173" s="1"/>
      <c r="T1173" s="1" t="s">
        <v>786</v>
      </c>
      <c r="U1173" s="1"/>
      <c r="V1173" s="1">
        <v>997.6</v>
      </c>
      <c r="W1173" s="1">
        <v>997.6</v>
      </c>
      <c r="X1173" s="1" t="s">
        <v>35</v>
      </c>
      <c r="Y1173" s="1">
        <v>997600.0</v>
      </c>
      <c r="Z1173" s="1"/>
      <c r="AA1173" s="1">
        <v>997600</v>
      </c>
      <c r="AB1173" s="1"/>
      <c r="AC1173" s="1" t="s">
        <v>36</v>
      </c>
      <c r="AD1173" s="1" t="s">
        <v>4504</v>
      </c>
      <c r="AE1173" s="1" t="s">
        <v>32</v>
      </c>
      <c r="AF1173" s="1" t="s">
        <v>33</v>
      </c>
      <c r="AG1173" s="1" t="s">
        <v>270</v>
      </c>
    </row>
    <row r="1174" spans="1:33">
      <c r="A1174" t="s">
        <v>4505</v>
      </c>
      <c r="C1174" t="s">
        <v>1285</v>
      </c>
      <c r="E1174" t="s">
        <v>3238</v>
      </c>
      <c r="F1174" t="s">
        <v>3239</v>
      </c>
      <c r="G1174">
        <v>1.386</v>
      </c>
      <c r="H1174">
        <v>1.386</v>
      </c>
      <c r="I1174" t="s">
        <v>173</v>
      </c>
      <c r="J1174" t="s">
        <v>174</v>
      </c>
      <c r="K1174" t="s">
        <v>31</v>
      </c>
      <c r="L1174" t="s">
        <v>32</v>
      </c>
      <c r="M1174" t="s">
        <v>33</v>
      </c>
      <c r="P1174" s="1" t="s">
        <v>4506</v>
      </c>
      <c r="Q1174" s="1" t="s">
        <v>3238</v>
      </c>
      <c r="R1174" s="1" t="s">
        <v>3238</v>
      </c>
      <c r="S1174" s="1"/>
      <c r="T1174" s="1" t="s">
        <v>1285</v>
      </c>
      <c r="U1174" s="1"/>
      <c r="V1174" s="1">
        <v>1.386</v>
      </c>
      <c r="W1174" s="1">
        <v>1.386</v>
      </c>
      <c r="X1174" s="1" t="s">
        <v>35</v>
      </c>
      <c r="Y1174" s="1">
        <v>1386500.0</v>
      </c>
      <c r="Z1174" s="1"/>
      <c r="AA1174" s="1">
        <v>1386500</v>
      </c>
      <c r="AB1174" s="1"/>
      <c r="AC1174" s="1" t="s">
        <v>36</v>
      </c>
      <c r="AD1174" s="1" t="s">
        <v>4445</v>
      </c>
      <c r="AE1174" s="1" t="s">
        <v>32</v>
      </c>
      <c r="AF1174" s="1" t="s">
        <v>33</v>
      </c>
      <c r="AG1174" s="1" t="s">
        <v>174</v>
      </c>
    </row>
    <row r="1175" spans="1:33">
      <c r="A1175" t="s">
        <v>4507</v>
      </c>
      <c r="B1175" t="s">
        <v>4508</v>
      </c>
      <c r="C1175" t="s">
        <v>268</v>
      </c>
      <c r="E1175" t="s">
        <v>3238</v>
      </c>
      <c r="F1175" t="s">
        <v>3239</v>
      </c>
      <c r="G1175">
        <v>45.15</v>
      </c>
      <c r="H1175">
        <v>45.15</v>
      </c>
      <c r="I1175" t="s">
        <v>269</v>
      </c>
      <c r="J1175" t="s">
        <v>270</v>
      </c>
      <c r="K1175" t="s">
        <v>31</v>
      </c>
      <c r="L1175" t="s">
        <v>32</v>
      </c>
      <c r="M1175" t="s">
        <v>33</v>
      </c>
      <c r="P1175" s="1" t="s">
        <v>4509</v>
      </c>
      <c r="Q1175" s="1" t="s">
        <v>3238</v>
      </c>
      <c r="R1175" s="1" t="s">
        <v>3238</v>
      </c>
      <c r="S1175" s="1"/>
      <c r="T1175" s="1" t="s">
        <v>268</v>
      </c>
      <c r="U1175" s="1"/>
      <c r="V1175" s="1">
        <v>45.15</v>
      </c>
      <c r="W1175" s="1">
        <v>45.15</v>
      </c>
      <c r="X1175" s="1" t="s">
        <v>35</v>
      </c>
      <c r="Y1175" s="1">
        <v>45150.0</v>
      </c>
      <c r="Z1175" s="1"/>
      <c r="AA1175" s="1">
        <v>45150</v>
      </c>
      <c r="AB1175" s="1"/>
      <c r="AC1175" s="1" t="s">
        <v>36</v>
      </c>
      <c r="AD1175" s="1" t="s">
        <v>4497</v>
      </c>
      <c r="AE1175" s="1" t="s">
        <v>32</v>
      </c>
      <c r="AF1175" s="1" t="s">
        <v>33</v>
      </c>
      <c r="AG1175" s="1" t="s">
        <v>270</v>
      </c>
    </row>
    <row r="1176" spans="1:33">
      <c r="A1176" t="s">
        <v>4510</v>
      </c>
      <c r="B1176" t="s">
        <v>4511</v>
      </c>
      <c r="C1176" t="s">
        <v>135</v>
      </c>
      <c r="E1176" t="s">
        <v>3238</v>
      </c>
      <c r="F1176" t="s">
        <v>3239</v>
      </c>
      <c r="G1176">
        <v>32.85</v>
      </c>
      <c r="H1176">
        <v>32.85</v>
      </c>
      <c r="I1176" t="s">
        <v>136</v>
      </c>
      <c r="J1176" t="s">
        <v>137</v>
      </c>
      <c r="K1176" t="s">
        <v>31</v>
      </c>
      <c r="L1176" t="s">
        <v>32</v>
      </c>
      <c r="M1176" t="s">
        <v>33</v>
      </c>
      <c r="P1176" s="1" t="s">
        <v>4512</v>
      </c>
      <c r="Q1176" s="1" t="s">
        <v>3238</v>
      </c>
      <c r="R1176" s="1" t="s">
        <v>3238</v>
      </c>
      <c r="S1176" s="1"/>
      <c r="T1176" s="1" t="s">
        <v>135</v>
      </c>
      <c r="U1176" s="1"/>
      <c r="V1176" s="1">
        <v>32.85</v>
      </c>
      <c r="W1176" s="1">
        <v>32.85</v>
      </c>
      <c r="X1176" s="1" t="s">
        <v>35</v>
      </c>
      <c r="Y1176" s="1">
        <v>32850.0</v>
      </c>
      <c r="Z1176" s="1"/>
      <c r="AA1176" s="1">
        <v>32850</v>
      </c>
      <c r="AB1176" s="1"/>
      <c r="AC1176" s="1" t="s">
        <v>36</v>
      </c>
      <c r="AD1176" s="1" t="s">
        <v>4513</v>
      </c>
      <c r="AE1176" s="1" t="s">
        <v>32</v>
      </c>
      <c r="AF1176" s="1" t="s">
        <v>33</v>
      </c>
      <c r="AG1176" s="1" t="s">
        <v>137</v>
      </c>
    </row>
    <row r="1177" spans="1:33">
      <c r="A1177" t="s">
        <v>4514</v>
      </c>
      <c r="B1177" t="s">
        <v>4515</v>
      </c>
      <c r="C1177" t="s">
        <v>2395</v>
      </c>
      <c r="E1177" t="s">
        <v>3238</v>
      </c>
      <c r="F1177" t="s">
        <v>3239</v>
      </c>
      <c r="G1177">
        <v>1.425</v>
      </c>
      <c r="H1177">
        <v>1.425</v>
      </c>
      <c r="I1177" t="s">
        <v>40</v>
      </c>
      <c r="J1177" t="s">
        <v>41</v>
      </c>
      <c r="K1177" t="s">
        <v>31</v>
      </c>
      <c r="L1177" t="s">
        <v>32</v>
      </c>
      <c r="M1177" t="s">
        <v>33</v>
      </c>
      <c r="P1177" s="1" t="s">
        <v>4516</v>
      </c>
      <c r="Q1177" s="1" t="s">
        <v>3238</v>
      </c>
      <c r="R1177" s="1" t="s">
        <v>2984</v>
      </c>
      <c r="S1177" s="1"/>
      <c r="T1177" s="1" t="s">
        <v>2397</v>
      </c>
      <c r="U1177" s="1" t="s">
        <v>2398</v>
      </c>
      <c r="V1177" s="1">
        <v>1.425</v>
      </c>
      <c r="W1177" s="1">
        <v>1.425</v>
      </c>
      <c r="X1177" s="1" t="s">
        <v>35</v>
      </c>
      <c r="Y1177" s="1">
        <v>1425000.0</v>
      </c>
      <c r="Z1177" s="1"/>
      <c r="AA1177" s="1">
        <v>1425000</v>
      </c>
      <c r="AB1177" s="1"/>
      <c r="AC1177" s="1" t="s">
        <v>36</v>
      </c>
      <c r="AD1177" s="1" t="s">
        <v>4517</v>
      </c>
      <c r="AE1177" s="1" t="s">
        <v>32</v>
      </c>
      <c r="AF1177" s="1" t="s">
        <v>33</v>
      </c>
      <c r="AG1177" s="1" t="s">
        <v>41</v>
      </c>
    </row>
    <row r="1178" spans="1:33">
      <c r="A1178" t="s">
        <v>4518</v>
      </c>
      <c r="B1178" t="s">
        <v>4519</v>
      </c>
      <c r="C1178" t="s">
        <v>125</v>
      </c>
      <c r="E1178" t="s">
        <v>3238</v>
      </c>
      <c r="F1178" t="s">
        <v>3239</v>
      </c>
      <c r="G1178">
        <v>20.49</v>
      </c>
      <c r="H1178">
        <v>20.49</v>
      </c>
      <c r="I1178" t="s">
        <v>126</v>
      </c>
      <c r="J1178" t="s">
        <v>127</v>
      </c>
      <c r="K1178" t="s">
        <v>31</v>
      </c>
      <c r="L1178" t="s">
        <v>32</v>
      </c>
      <c r="M1178" t="s">
        <v>33</v>
      </c>
      <c r="P1178" s="1" t="s">
        <v>4520</v>
      </c>
      <c r="Q1178" s="1" t="s">
        <v>3238</v>
      </c>
      <c r="R1178" s="1" t="s">
        <v>3238</v>
      </c>
      <c r="S1178" s="1"/>
      <c r="T1178" s="1" t="s">
        <v>125</v>
      </c>
      <c r="U1178" s="1"/>
      <c r="V1178" s="1">
        <v>20.49</v>
      </c>
      <c r="W1178" s="1">
        <v>20.49</v>
      </c>
      <c r="X1178" s="1" t="s">
        <v>35</v>
      </c>
      <c r="Y1178" s="1">
        <v>20490.0</v>
      </c>
      <c r="Z1178" s="1"/>
      <c r="AA1178" s="1">
        <v>20490</v>
      </c>
      <c r="AB1178" s="1"/>
      <c r="AC1178" s="1" t="s">
        <v>36</v>
      </c>
      <c r="AD1178" s="1" t="s">
        <v>4521</v>
      </c>
      <c r="AE1178" s="1" t="s">
        <v>32</v>
      </c>
      <c r="AF1178" s="1" t="s">
        <v>33</v>
      </c>
      <c r="AG1178" s="1" t="s">
        <v>127</v>
      </c>
    </row>
    <row r="1179" spans="1:33">
      <c r="A1179" t="s">
        <v>4522</v>
      </c>
      <c r="B1179" t="s">
        <v>4523</v>
      </c>
      <c r="C1179" t="s">
        <v>125</v>
      </c>
      <c r="E1179" t="s">
        <v>3238</v>
      </c>
      <c r="F1179" t="s">
        <v>3239</v>
      </c>
      <c r="G1179">
        <v>4.298</v>
      </c>
      <c r="H1179">
        <v>4.298</v>
      </c>
      <c r="I1179" t="s">
        <v>126</v>
      </c>
      <c r="J1179" t="s">
        <v>127</v>
      </c>
      <c r="K1179" t="s">
        <v>31</v>
      </c>
      <c r="L1179" t="s">
        <v>32</v>
      </c>
      <c r="M1179" t="s">
        <v>33</v>
      </c>
      <c r="P1179" s="1" t="s">
        <v>4524</v>
      </c>
      <c r="Q1179" s="1" t="s">
        <v>3238</v>
      </c>
      <c r="R1179" s="1" t="s">
        <v>3238</v>
      </c>
      <c r="S1179" s="1"/>
      <c r="T1179" s="1" t="s">
        <v>125</v>
      </c>
      <c r="U1179" s="1"/>
      <c r="V1179" s="1">
        <v>4.298</v>
      </c>
      <c r="W1179" s="1">
        <v>4.298</v>
      </c>
      <c r="X1179" s="1" t="s">
        <v>35</v>
      </c>
      <c r="Y1179" s="1">
        <v>4298.0</v>
      </c>
      <c r="Z1179" s="1"/>
      <c r="AA1179" s="1">
        <v>4298</v>
      </c>
      <c r="AB1179" s="1"/>
      <c r="AC1179" s="1" t="s">
        <v>36</v>
      </c>
      <c r="AD1179" s="1" t="s">
        <v>4525</v>
      </c>
      <c r="AE1179" s="1" t="s">
        <v>32</v>
      </c>
      <c r="AF1179" s="1" t="s">
        <v>33</v>
      </c>
      <c r="AG1179" s="1" t="s">
        <v>127</v>
      </c>
    </row>
    <row r="1180" spans="1:33">
      <c r="A1180" t="s">
        <v>4526</v>
      </c>
      <c r="B1180" t="s">
        <v>4527</v>
      </c>
      <c r="C1180" t="s">
        <v>68</v>
      </c>
      <c r="E1180" t="s">
        <v>3238</v>
      </c>
      <c r="F1180" t="s">
        <v>3239</v>
      </c>
      <c r="G1180">
        <v>8.598</v>
      </c>
      <c r="H1180">
        <v>8.598</v>
      </c>
      <c r="I1180" t="s">
        <v>59</v>
      </c>
      <c r="J1180" t="s">
        <v>60</v>
      </c>
      <c r="K1180" t="s">
        <v>31</v>
      </c>
      <c r="L1180" t="s">
        <v>32</v>
      </c>
      <c r="M1180" t="s">
        <v>33</v>
      </c>
      <c r="P1180" s="1" t="s">
        <v>4528</v>
      </c>
      <c r="Q1180" s="1" t="s">
        <v>3238</v>
      </c>
      <c r="R1180" s="1" t="s">
        <v>3238</v>
      </c>
      <c r="S1180" s="1"/>
      <c r="T1180" s="1" t="s">
        <v>68</v>
      </c>
      <c r="U1180" s="1"/>
      <c r="V1180" s="1">
        <v>8.598</v>
      </c>
      <c r="W1180" s="1">
        <v>8.598</v>
      </c>
      <c r="X1180" s="1" t="s">
        <v>35</v>
      </c>
      <c r="Y1180" s="1">
        <v>8598.0</v>
      </c>
      <c r="Z1180" s="1"/>
      <c r="AA1180" s="1">
        <v>8598</v>
      </c>
      <c r="AB1180" s="1"/>
      <c r="AC1180" s="1" t="s">
        <v>36</v>
      </c>
      <c r="AD1180" s="1" t="s">
        <v>4529</v>
      </c>
      <c r="AE1180" s="1" t="s">
        <v>32</v>
      </c>
      <c r="AF1180" s="1" t="s">
        <v>33</v>
      </c>
      <c r="AG1180" s="1" t="s">
        <v>60</v>
      </c>
    </row>
    <row r="1181" spans="1:33">
      <c r="A1181" t="s">
        <v>4530</v>
      </c>
      <c r="C1181" t="s">
        <v>4531</v>
      </c>
      <c r="E1181" t="s">
        <v>3238</v>
      </c>
      <c r="F1181" t="s">
        <v>3239</v>
      </c>
      <c r="G1181">
        <v>320.0</v>
      </c>
      <c r="H1181">
        <v>320.0</v>
      </c>
      <c r="I1181" t="s">
        <v>126</v>
      </c>
      <c r="J1181" t="s">
        <v>127</v>
      </c>
      <c r="K1181" t="s">
        <v>31</v>
      </c>
      <c r="L1181" t="s">
        <v>32</v>
      </c>
      <c r="M1181" t="s">
        <v>33</v>
      </c>
      <c r="P1181" s="1" t="s">
        <v>4532</v>
      </c>
      <c r="Q1181" s="1" t="s">
        <v>3238</v>
      </c>
      <c r="R1181" s="1" t="s">
        <v>3238</v>
      </c>
      <c r="S1181" s="1"/>
      <c r="T1181" s="1" t="s">
        <v>4533</v>
      </c>
      <c r="U1181" s="1" t="s">
        <v>4534</v>
      </c>
      <c r="V1181" s="1">
        <v>320.0</v>
      </c>
      <c r="W1181" s="1">
        <v>320.0</v>
      </c>
      <c r="X1181" s="1" t="s">
        <v>35</v>
      </c>
      <c r="Y1181" s="1">
        <v>320000.0</v>
      </c>
      <c r="Z1181" s="1"/>
      <c r="AA1181" s="1">
        <v>320000</v>
      </c>
      <c r="AB1181" s="1"/>
      <c r="AC1181" s="1" t="s">
        <v>36</v>
      </c>
      <c r="AD1181" s="1" t="s">
        <v>4535</v>
      </c>
      <c r="AE1181" s="1" t="s">
        <v>32</v>
      </c>
      <c r="AF1181" s="1" t="s">
        <v>33</v>
      </c>
      <c r="AG1181" s="1" t="s">
        <v>127</v>
      </c>
    </row>
    <row r="1182" spans="1:33">
      <c r="A1182" t="s">
        <v>4536</v>
      </c>
      <c r="C1182" t="s">
        <v>810</v>
      </c>
      <c r="D1182" t="s">
        <v>154</v>
      </c>
      <c r="E1182" t="s">
        <v>3238</v>
      </c>
      <c r="F1182" t="s">
        <v>3239</v>
      </c>
      <c r="G1182">
        <v>1.844</v>
      </c>
      <c r="H1182">
        <v>1.844</v>
      </c>
      <c r="I1182" t="s">
        <v>269</v>
      </c>
      <c r="J1182" t="s">
        <v>270</v>
      </c>
      <c r="K1182" t="s">
        <v>31</v>
      </c>
      <c r="L1182" t="s">
        <v>32</v>
      </c>
      <c r="M1182" t="s">
        <v>33</v>
      </c>
      <c r="P1182" s="1" t="s">
        <v>4537</v>
      </c>
      <c r="Q1182" s="1" t="s">
        <v>3238</v>
      </c>
      <c r="R1182" s="1" t="s">
        <v>3238</v>
      </c>
      <c r="S1182" s="1"/>
      <c r="T1182" s="1" t="s">
        <v>810</v>
      </c>
      <c r="U1182" s="1"/>
      <c r="V1182" s="1">
        <v>1.844</v>
      </c>
      <c r="W1182" s="1">
        <v>1.844</v>
      </c>
      <c r="X1182" s="1" t="s">
        <v>35</v>
      </c>
      <c r="Y1182" s="1">
        <v>1844750</v>
      </c>
      <c r="Z1182" s="1"/>
      <c r="AA1182" s="1">
        <v>1844750</v>
      </c>
      <c r="AB1182" s="1"/>
      <c r="AC1182" s="1" t="s">
        <v>36</v>
      </c>
      <c r="AD1182" s="1" t="s">
        <v>4525</v>
      </c>
      <c r="AE1182" s="1" t="s">
        <v>32</v>
      </c>
      <c r="AF1182" s="1" t="s">
        <v>33</v>
      </c>
      <c r="AG1182" s="1" t="s">
        <v>270</v>
      </c>
    </row>
    <row r="1183" spans="1:33">
      <c r="A1183" t="s">
        <v>4538</v>
      </c>
      <c r="C1183" t="s">
        <v>4539</v>
      </c>
      <c r="E1183" t="s">
        <v>3238</v>
      </c>
      <c r="F1183" t="s">
        <v>3239</v>
      </c>
      <c r="G1183">
        <v>2.15</v>
      </c>
      <c r="H1183">
        <v>2.15</v>
      </c>
      <c r="I1183" t="s">
        <v>94</v>
      </c>
      <c r="J1183" t="s">
        <v>95</v>
      </c>
      <c r="K1183" t="s">
        <v>31</v>
      </c>
      <c r="L1183" t="s">
        <v>32</v>
      </c>
      <c r="M1183" t="s">
        <v>33</v>
      </c>
      <c r="P1183" s="1" t="s">
        <v>4540</v>
      </c>
      <c r="Q1183" s="1" t="s">
        <v>3238</v>
      </c>
      <c r="R1183" s="1" t="s">
        <v>3238</v>
      </c>
      <c r="S1183" s="1"/>
      <c r="T1183" s="1" t="s">
        <v>4539</v>
      </c>
      <c r="U1183" s="1"/>
      <c r="V1183" s="1">
        <v>2.15</v>
      </c>
      <c r="W1183" s="1">
        <v>2.15</v>
      </c>
      <c r="X1183" s="1" t="s">
        <v>35</v>
      </c>
      <c r="Y1183" s="1">
        <v>2150000.0</v>
      </c>
      <c r="Z1183" s="1"/>
      <c r="AA1183" s="1">
        <v>2150000</v>
      </c>
      <c r="AB1183" s="1"/>
      <c r="AC1183" s="1" t="s">
        <v>36</v>
      </c>
      <c r="AD1183" s="1" t="s">
        <v>4541</v>
      </c>
      <c r="AE1183" s="1" t="s">
        <v>32</v>
      </c>
      <c r="AF1183" s="1" t="s">
        <v>33</v>
      </c>
      <c r="AG1183" s="1" t="s">
        <v>95</v>
      </c>
    </row>
    <row r="1184" spans="1:33">
      <c r="A1184" t="s">
        <v>4542</v>
      </c>
      <c r="B1184" t="s">
        <v>4543</v>
      </c>
      <c r="C1184" t="s">
        <v>125</v>
      </c>
      <c r="E1184" t="s">
        <v>3238</v>
      </c>
      <c r="F1184" t="s">
        <v>3239</v>
      </c>
      <c r="G1184">
        <v>50.97</v>
      </c>
      <c r="H1184">
        <v>50.97</v>
      </c>
      <c r="I1184" t="s">
        <v>126</v>
      </c>
      <c r="J1184" t="s">
        <v>127</v>
      </c>
      <c r="K1184" t="s">
        <v>31</v>
      </c>
      <c r="L1184" t="s">
        <v>32</v>
      </c>
      <c r="M1184" t="s">
        <v>33</v>
      </c>
      <c r="P1184" s="1" t="s">
        <v>4544</v>
      </c>
      <c r="Q1184" s="1" t="s">
        <v>3238</v>
      </c>
      <c r="R1184" s="1" t="s">
        <v>3238</v>
      </c>
      <c r="S1184" s="1"/>
      <c r="T1184" s="1" t="s">
        <v>125</v>
      </c>
      <c r="U1184" s="1"/>
      <c r="V1184" s="1">
        <v>50.97</v>
      </c>
      <c r="W1184" s="1">
        <v>50.97</v>
      </c>
      <c r="X1184" s="1" t="s">
        <v>35</v>
      </c>
      <c r="Y1184" s="1">
        <v>50970.0</v>
      </c>
      <c r="Z1184" s="1"/>
      <c r="AA1184" s="1">
        <v>50970</v>
      </c>
      <c r="AB1184" s="1"/>
      <c r="AC1184" s="1" t="s">
        <v>36</v>
      </c>
      <c r="AD1184" s="1" t="s">
        <v>4545</v>
      </c>
      <c r="AE1184" s="1" t="s">
        <v>32</v>
      </c>
      <c r="AF1184" s="1" t="s">
        <v>33</v>
      </c>
      <c r="AG1184" s="1" t="s">
        <v>127</v>
      </c>
    </row>
    <row r="1185" spans="1:33">
      <c r="A1185" t="s">
        <v>4546</v>
      </c>
      <c r="B1185" t="s">
        <v>4547</v>
      </c>
      <c r="C1185" t="s">
        <v>4548</v>
      </c>
      <c r="E1185" t="s">
        <v>3238</v>
      </c>
      <c r="F1185" t="s">
        <v>3239</v>
      </c>
      <c r="G1185">
        <v>60.678</v>
      </c>
      <c r="H1185">
        <v>60.678</v>
      </c>
      <c r="I1185" t="s">
        <v>59</v>
      </c>
      <c r="J1185" t="s">
        <v>60</v>
      </c>
      <c r="K1185" t="s">
        <v>31</v>
      </c>
      <c r="L1185" t="s">
        <v>32</v>
      </c>
      <c r="M1185" t="s">
        <v>33</v>
      </c>
      <c r="P1185" s="1" t="s">
        <v>4549</v>
      </c>
      <c r="Q1185" s="1" t="s">
        <v>3238</v>
      </c>
      <c r="R1185" s="1" t="s">
        <v>3238</v>
      </c>
      <c r="S1185" s="1"/>
      <c r="T1185" s="1" t="s">
        <v>4548</v>
      </c>
      <c r="U1185" s="1"/>
      <c r="V1185" s="1">
        <v>60.678</v>
      </c>
      <c r="W1185" s="1">
        <v>60.678</v>
      </c>
      <c r="X1185" s="1" t="s">
        <v>35</v>
      </c>
      <c r="Y1185" s="1">
        <v>60678.0</v>
      </c>
      <c r="Z1185" s="1"/>
      <c r="AA1185" s="1">
        <v>60678</v>
      </c>
      <c r="AB1185" s="1"/>
      <c r="AC1185" s="1" t="s">
        <v>36</v>
      </c>
      <c r="AD1185" s="1" t="s">
        <v>4521</v>
      </c>
      <c r="AE1185" s="1" t="s">
        <v>32</v>
      </c>
      <c r="AF1185" s="1" t="s">
        <v>33</v>
      </c>
      <c r="AG1185" s="1" t="s">
        <v>60</v>
      </c>
    </row>
    <row r="1186" spans="1:33">
      <c r="A1186" t="s">
        <v>4550</v>
      </c>
      <c r="B1186" t="s">
        <v>4551</v>
      </c>
      <c r="C1186" t="s">
        <v>125</v>
      </c>
      <c r="E1186" t="s">
        <v>3238</v>
      </c>
      <c r="F1186" t="s">
        <v>3239</v>
      </c>
      <c r="G1186">
        <v>37.221</v>
      </c>
      <c r="H1186">
        <v>37.221</v>
      </c>
      <c r="I1186" t="s">
        <v>126</v>
      </c>
      <c r="J1186" t="s">
        <v>127</v>
      </c>
      <c r="K1186" t="s">
        <v>31</v>
      </c>
      <c r="L1186" t="s">
        <v>32</v>
      </c>
      <c r="M1186" t="s">
        <v>33</v>
      </c>
      <c r="P1186" s="1" t="s">
        <v>4552</v>
      </c>
      <c r="Q1186" s="1" t="s">
        <v>3238</v>
      </c>
      <c r="R1186" s="1" t="s">
        <v>3238</v>
      </c>
      <c r="S1186" s="1"/>
      <c r="T1186" s="1" t="s">
        <v>125</v>
      </c>
      <c r="U1186" s="1"/>
      <c r="V1186" s="1">
        <v>37.221</v>
      </c>
      <c r="W1186" s="1">
        <v>37.221</v>
      </c>
      <c r="X1186" s="1" t="s">
        <v>35</v>
      </c>
      <c r="Y1186" s="1">
        <v>37221.0</v>
      </c>
      <c r="Z1186" s="1"/>
      <c r="AA1186" s="1">
        <v>37221</v>
      </c>
      <c r="AB1186" s="1"/>
      <c r="AC1186" s="1" t="s">
        <v>36</v>
      </c>
      <c r="AD1186" s="1" t="s">
        <v>4553</v>
      </c>
      <c r="AE1186" s="1" t="s">
        <v>32</v>
      </c>
      <c r="AF1186" s="1" t="s">
        <v>33</v>
      </c>
      <c r="AG1186" s="1" t="s">
        <v>127</v>
      </c>
    </row>
    <row r="1187" spans="1:33">
      <c r="A1187" t="s">
        <v>4554</v>
      </c>
      <c r="C1187" t="s">
        <v>4555</v>
      </c>
      <c r="E1187" t="s">
        <v>3238</v>
      </c>
      <c r="F1187" t="s">
        <v>3239</v>
      </c>
      <c r="G1187">
        <v>352.0</v>
      </c>
      <c r="H1187">
        <v>352.0</v>
      </c>
      <c r="I1187" t="s">
        <v>179</v>
      </c>
      <c r="J1187" t="s">
        <v>180</v>
      </c>
      <c r="K1187" t="s">
        <v>31</v>
      </c>
      <c r="L1187" t="s">
        <v>32</v>
      </c>
      <c r="M1187" t="s">
        <v>33</v>
      </c>
      <c r="P1187" s="1" t="s">
        <v>4556</v>
      </c>
      <c r="Q1187" s="1" t="s">
        <v>3238</v>
      </c>
      <c r="R1187" s="1" t="s">
        <v>3238</v>
      </c>
      <c r="S1187" s="1"/>
      <c r="T1187" s="1" t="s">
        <v>4555</v>
      </c>
      <c r="U1187" s="1"/>
      <c r="V1187" s="1">
        <v>352.0</v>
      </c>
      <c r="W1187" s="1">
        <v>352.0</v>
      </c>
      <c r="X1187" s="1" t="s">
        <v>35</v>
      </c>
      <c r="Y1187" s="1">
        <v>352000.0</v>
      </c>
      <c r="Z1187" s="1"/>
      <c r="AA1187" s="1">
        <v>352000</v>
      </c>
      <c r="AB1187" s="1"/>
      <c r="AC1187" s="1" t="s">
        <v>36</v>
      </c>
      <c r="AD1187" s="1" t="s">
        <v>4545</v>
      </c>
      <c r="AE1187" s="1" t="s">
        <v>32</v>
      </c>
      <c r="AF1187" s="1" t="s">
        <v>33</v>
      </c>
      <c r="AG1187" s="1" t="s">
        <v>180</v>
      </c>
    </row>
    <row r="1188" spans="1:33">
      <c r="A1188" t="s">
        <v>4557</v>
      </c>
      <c r="B1188" t="s">
        <v>4558</v>
      </c>
      <c r="C1188" t="s">
        <v>125</v>
      </c>
      <c r="E1188" t="s">
        <v>3238</v>
      </c>
      <c r="F1188" t="s">
        <v>3239</v>
      </c>
      <c r="G1188">
        <v>9.018</v>
      </c>
      <c r="H1188">
        <v>9.018</v>
      </c>
      <c r="I1188" t="s">
        <v>126</v>
      </c>
      <c r="J1188" t="s">
        <v>127</v>
      </c>
      <c r="K1188" t="s">
        <v>31</v>
      </c>
      <c r="L1188" t="s">
        <v>32</v>
      </c>
      <c r="M1188" t="s">
        <v>33</v>
      </c>
      <c r="P1188" s="1" t="s">
        <v>4559</v>
      </c>
      <c r="Q1188" s="1" t="s">
        <v>3238</v>
      </c>
      <c r="R1188" s="1" t="s">
        <v>3238</v>
      </c>
      <c r="S1188" s="1"/>
      <c r="T1188" s="1" t="s">
        <v>125</v>
      </c>
      <c r="U1188" s="1"/>
      <c r="V1188" s="1">
        <v>9.018</v>
      </c>
      <c r="W1188" s="1">
        <v>9.018</v>
      </c>
      <c r="X1188" s="1" t="s">
        <v>35</v>
      </c>
      <c r="Y1188" s="1">
        <v>9018.0</v>
      </c>
      <c r="Z1188" s="1"/>
      <c r="AA1188" s="1">
        <v>9018</v>
      </c>
      <c r="AB1188" s="1"/>
      <c r="AC1188" s="1" t="s">
        <v>36</v>
      </c>
      <c r="AD1188" s="1" t="s">
        <v>4560</v>
      </c>
      <c r="AE1188" s="1" t="s">
        <v>32</v>
      </c>
      <c r="AF1188" s="1" t="s">
        <v>33</v>
      </c>
      <c r="AG1188" s="1" t="s">
        <v>127</v>
      </c>
    </row>
    <row r="1189" spans="1:33">
      <c r="A1189" t="s">
        <v>4561</v>
      </c>
      <c r="B1189" t="s">
        <v>4562</v>
      </c>
      <c r="C1189" t="s">
        <v>47</v>
      </c>
      <c r="E1189" t="s">
        <v>3238</v>
      </c>
      <c r="F1189" t="s">
        <v>3239</v>
      </c>
      <c r="G1189">
        <v>46.28</v>
      </c>
      <c r="H1189">
        <v>46.28</v>
      </c>
      <c r="I1189" t="s">
        <v>2206</v>
      </c>
      <c r="J1189" t="s">
        <v>49</v>
      </c>
      <c r="K1189" t="s">
        <v>31</v>
      </c>
      <c r="L1189" t="s">
        <v>32</v>
      </c>
      <c r="M1189" t="s">
        <v>33</v>
      </c>
      <c r="P1189" s="1" t="s">
        <v>4563</v>
      </c>
      <c r="Q1189" s="1" t="s">
        <v>3238</v>
      </c>
      <c r="R1189" s="1" t="s">
        <v>3238</v>
      </c>
      <c r="S1189" s="1"/>
      <c r="T1189" s="1" t="s">
        <v>47</v>
      </c>
      <c r="U1189" s="1"/>
      <c r="V1189" s="1">
        <v>46.28</v>
      </c>
      <c r="W1189" s="1">
        <v>46.28</v>
      </c>
      <c r="X1189" s="1" t="s">
        <v>35</v>
      </c>
      <c r="Y1189" s="1">
        <v>46280.0</v>
      </c>
      <c r="Z1189" s="1"/>
      <c r="AA1189" s="1">
        <v>46280</v>
      </c>
      <c r="AB1189" s="1"/>
      <c r="AC1189" s="1" t="s">
        <v>36</v>
      </c>
      <c r="AD1189" s="1" t="s">
        <v>4564</v>
      </c>
      <c r="AE1189" s="1" t="s">
        <v>32</v>
      </c>
      <c r="AF1189" s="1" t="s">
        <v>33</v>
      </c>
      <c r="AG1189" s="1" t="s">
        <v>49</v>
      </c>
    </row>
    <row r="1190" spans="1:33">
      <c r="A1190" t="s">
        <v>4565</v>
      </c>
      <c r="C1190" t="s">
        <v>4566</v>
      </c>
      <c r="E1190" t="s">
        <v>3238</v>
      </c>
      <c r="F1190" t="s">
        <v>3239</v>
      </c>
      <c r="G1190">
        <v>446.0</v>
      </c>
      <c r="H1190">
        <v>446.0</v>
      </c>
      <c r="I1190" t="s">
        <v>173</v>
      </c>
      <c r="J1190" t="s">
        <v>174</v>
      </c>
      <c r="K1190" t="s">
        <v>31</v>
      </c>
      <c r="L1190" t="s">
        <v>32</v>
      </c>
      <c r="M1190" t="s">
        <v>33</v>
      </c>
      <c r="P1190" s="1" t="s">
        <v>4567</v>
      </c>
      <c r="Q1190" s="1" t="s">
        <v>3238</v>
      </c>
      <c r="R1190" s="1" t="s">
        <v>3238</v>
      </c>
      <c r="S1190" s="1"/>
      <c r="T1190" s="1" t="s">
        <v>4566</v>
      </c>
      <c r="U1190" s="1"/>
      <c r="V1190" s="1">
        <v>446.0</v>
      </c>
      <c r="W1190" s="1">
        <v>446.0</v>
      </c>
      <c r="X1190" s="1" t="s">
        <v>35</v>
      </c>
      <c r="Y1190" s="1">
        <v>446000.0</v>
      </c>
      <c r="Z1190" s="1"/>
      <c r="AA1190" s="1">
        <v>446000</v>
      </c>
      <c r="AB1190" s="1"/>
      <c r="AC1190" s="1" t="s">
        <v>36</v>
      </c>
      <c r="AD1190" s="1" t="s">
        <v>4568</v>
      </c>
      <c r="AE1190" s="1" t="s">
        <v>32</v>
      </c>
      <c r="AF1190" s="1" t="s">
        <v>33</v>
      </c>
      <c r="AG1190" s="1" t="s">
        <v>174</v>
      </c>
    </row>
    <row r="1191" spans="1:33">
      <c r="A1191" t="s">
        <v>4569</v>
      </c>
      <c r="C1191" t="s">
        <v>405</v>
      </c>
      <c r="E1191" t="s">
        <v>3238</v>
      </c>
      <c r="F1191" t="s">
        <v>3239</v>
      </c>
      <c r="G1191">
        <v>1.429</v>
      </c>
      <c r="H1191">
        <v>1.429</v>
      </c>
      <c r="I1191" t="s">
        <v>269</v>
      </c>
      <c r="J1191" t="s">
        <v>270</v>
      </c>
      <c r="K1191" t="s">
        <v>31</v>
      </c>
      <c r="L1191" t="s">
        <v>32</v>
      </c>
      <c r="M1191" t="s">
        <v>33</v>
      </c>
      <c r="P1191" s="1" t="s">
        <v>4570</v>
      </c>
      <c r="Q1191" s="1" t="s">
        <v>3238</v>
      </c>
      <c r="R1191" s="1" t="s">
        <v>3238</v>
      </c>
      <c r="S1191" s="1"/>
      <c r="T1191" s="1" t="s">
        <v>405</v>
      </c>
      <c r="U1191" s="1"/>
      <c r="V1191" s="1">
        <v>1.429</v>
      </c>
      <c r="W1191" s="1">
        <v>1.429</v>
      </c>
      <c r="X1191" s="1" t="s">
        <v>35</v>
      </c>
      <c r="Y1191" s="1">
        <v>1429200.0</v>
      </c>
      <c r="Z1191" s="1"/>
      <c r="AA1191" s="1">
        <v>1429200</v>
      </c>
      <c r="AB1191" s="1"/>
      <c r="AC1191" s="1" t="s">
        <v>36</v>
      </c>
      <c r="AD1191" s="1" t="s">
        <v>4564</v>
      </c>
      <c r="AE1191" s="1" t="s">
        <v>32</v>
      </c>
      <c r="AF1191" s="1" t="s">
        <v>33</v>
      </c>
      <c r="AG1191" s="1" t="s">
        <v>270</v>
      </c>
    </row>
    <row r="1192" spans="1:33">
      <c r="A1192" t="s">
        <v>4571</v>
      </c>
      <c r="C1192" t="s">
        <v>2022</v>
      </c>
      <c r="E1192" t="s">
        <v>3238</v>
      </c>
      <c r="F1192" t="s">
        <v>3239</v>
      </c>
      <c r="G1192">
        <v>320.0</v>
      </c>
      <c r="H1192">
        <v>320.0</v>
      </c>
      <c r="I1192" t="s">
        <v>173</v>
      </c>
      <c r="J1192" t="s">
        <v>174</v>
      </c>
      <c r="K1192" t="s">
        <v>31</v>
      </c>
      <c r="L1192" t="s">
        <v>32</v>
      </c>
      <c r="M1192" t="s">
        <v>33</v>
      </c>
      <c r="P1192" s="1" t="s">
        <v>4572</v>
      </c>
      <c r="Q1192" s="1" t="s">
        <v>3238</v>
      </c>
      <c r="R1192" s="1" t="s">
        <v>3238</v>
      </c>
      <c r="S1192" s="1"/>
      <c r="T1192" s="1" t="s">
        <v>2022</v>
      </c>
      <c r="U1192" s="1"/>
      <c r="V1192" s="1">
        <v>320.0</v>
      </c>
      <c r="W1192" s="1">
        <v>320.0</v>
      </c>
      <c r="X1192" s="1" t="s">
        <v>35</v>
      </c>
      <c r="Y1192" s="1">
        <v>320000.0</v>
      </c>
      <c r="Z1192" s="1"/>
      <c r="AA1192" s="1">
        <v>320000</v>
      </c>
      <c r="AB1192" s="1"/>
      <c r="AC1192" s="1" t="s">
        <v>36</v>
      </c>
      <c r="AD1192" s="1" t="s">
        <v>4573</v>
      </c>
      <c r="AE1192" s="1" t="s">
        <v>32</v>
      </c>
      <c r="AF1192" s="1" t="s">
        <v>33</v>
      </c>
      <c r="AG1192" s="1" t="s">
        <v>174</v>
      </c>
    </row>
    <row r="1193" spans="1:33">
      <c r="A1193" t="s">
        <v>4574</v>
      </c>
      <c r="C1193" t="s">
        <v>4575</v>
      </c>
      <c r="E1193" t="s">
        <v>3238</v>
      </c>
      <c r="F1193" t="s">
        <v>3239</v>
      </c>
      <c r="G1193">
        <v>385.0</v>
      </c>
      <c r="H1193">
        <v>385.0</v>
      </c>
      <c r="I1193" t="s">
        <v>2206</v>
      </c>
      <c r="J1193" t="s">
        <v>49</v>
      </c>
      <c r="K1193" t="s">
        <v>31</v>
      </c>
      <c r="L1193" t="s">
        <v>32</v>
      </c>
      <c r="M1193" t="s">
        <v>33</v>
      </c>
      <c r="P1193" s="1" t="s">
        <v>4576</v>
      </c>
      <c r="Q1193" s="1" t="s">
        <v>3238</v>
      </c>
      <c r="R1193" s="1" t="s">
        <v>3238</v>
      </c>
      <c r="S1193" s="1"/>
      <c r="T1193" s="1" t="s">
        <v>4575</v>
      </c>
      <c r="U1193" s="1"/>
      <c r="V1193" s="1">
        <v>385.0</v>
      </c>
      <c r="W1193" s="1">
        <v>385.0</v>
      </c>
      <c r="X1193" s="1" t="s">
        <v>35</v>
      </c>
      <c r="Y1193" s="1">
        <v>385000.0</v>
      </c>
      <c r="Z1193" s="1"/>
      <c r="AA1193" s="1">
        <v>385000</v>
      </c>
      <c r="AB1193" s="1"/>
      <c r="AC1193" s="1" t="s">
        <v>36</v>
      </c>
      <c r="AD1193" s="1" t="s">
        <v>4577</v>
      </c>
      <c r="AE1193" s="1" t="s">
        <v>32</v>
      </c>
      <c r="AF1193" s="1" t="s">
        <v>33</v>
      </c>
      <c r="AG1193" s="1" t="s">
        <v>49</v>
      </c>
    </row>
    <row r="1194" spans="1:33">
      <c r="A1194" t="s">
        <v>4578</v>
      </c>
      <c r="C1194" t="s">
        <v>1587</v>
      </c>
      <c r="D1194" t="s">
        <v>154</v>
      </c>
      <c r="E1194" t="s">
        <v>3238</v>
      </c>
      <c r="F1194" t="s">
        <v>3239</v>
      </c>
      <c r="G1194">
        <v>216.0</v>
      </c>
      <c r="H1194">
        <v>216.0</v>
      </c>
      <c r="I1194" t="s">
        <v>2206</v>
      </c>
      <c r="J1194" t="s">
        <v>49</v>
      </c>
      <c r="K1194" t="s">
        <v>31</v>
      </c>
      <c r="L1194" t="s">
        <v>32</v>
      </c>
      <c r="M1194" t="s">
        <v>33</v>
      </c>
      <c r="P1194" s="1" t="s">
        <v>4579</v>
      </c>
      <c r="Q1194" s="1" t="s">
        <v>3238</v>
      </c>
      <c r="R1194" s="1" t="s">
        <v>3238</v>
      </c>
      <c r="S1194" s="1"/>
      <c r="T1194" s="1" t="s">
        <v>1587</v>
      </c>
      <c r="U1194" s="1"/>
      <c r="V1194" s="1">
        <v>216.0</v>
      </c>
      <c r="W1194" s="1">
        <v>216.0</v>
      </c>
      <c r="X1194" s="1" t="s">
        <v>35</v>
      </c>
      <c r="Y1194" s="1">
        <v>216000.0</v>
      </c>
      <c r="Z1194" s="1"/>
      <c r="AA1194" s="1">
        <v>216000</v>
      </c>
      <c r="AB1194" s="1"/>
      <c r="AC1194" s="1" t="s">
        <v>36</v>
      </c>
      <c r="AD1194" s="1" t="s">
        <v>4580</v>
      </c>
      <c r="AE1194" s="1" t="s">
        <v>32</v>
      </c>
      <c r="AF1194" s="1" t="s">
        <v>33</v>
      </c>
      <c r="AG1194" s="1" t="s">
        <v>49</v>
      </c>
    </row>
    <row r="1195" spans="1:33">
      <c r="A1195" t="s">
        <v>4581</v>
      </c>
      <c r="C1195" t="s">
        <v>2688</v>
      </c>
      <c r="E1195" t="s">
        <v>3238</v>
      </c>
      <c r="F1195" t="s">
        <v>3239</v>
      </c>
      <c r="G1195">
        <v>784.4</v>
      </c>
      <c r="H1195">
        <v>784.4</v>
      </c>
      <c r="I1195" t="s">
        <v>269</v>
      </c>
      <c r="J1195" t="s">
        <v>270</v>
      </c>
      <c r="K1195" t="s">
        <v>31</v>
      </c>
      <c r="L1195" t="s">
        <v>32</v>
      </c>
      <c r="M1195" t="s">
        <v>33</v>
      </c>
      <c r="P1195" s="1" t="s">
        <v>4582</v>
      </c>
      <c r="Q1195" s="1" t="s">
        <v>3238</v>
      </c>
      <c r="R1195" s="1" t="s">
        <v>3238</v>
      </c>
      <c r="S1195" s="1"/>
      <c r="T1195" s="1" t="s">
        <v>2688</v>
      </c>
      <c r="U1195" s="1"/>
      <c r="V1195" s="1">
        <v>784.4</v>
      </c>
      <c r="W1195" s="1">
        <v>784.4</v>
      </c>
      <c r="X1195" s="1" t="s">
        <v>35</v>
      </c>
      <c r="Y1195" s="1">
        <v>784400.0</v>
      </c>
      <c r="Z1195" s="1"/>
      <c r="AA1195" s="1">
        <v>784400</v>
      </c>
      <c r="AB1195" s="1"/>
      <c r="AC1195" s="1" t="s">
        <v>36</v>
      </c>
      <c r="AD1195" s="1" t="s">
        <v>4583</v>
      </c>
      <c r="AE1195" s="1" t="s">
        <v>32</v>
      </c>
      <c r="AF1195" s="1" t="s">
        <v>33</v>
      </c>
      <c r="AG1195" s="1" t="s">
        <v>270</v>
      </c>
    </row>
    <row r="1196" spans="1:33">
      <c r="A1196" t="s">
        <v>4584</v>
      </c>
      <c r="C1196" t="s">
        <v>4585</v>
      </c>
      <c r="E1196" t="s">
        <v>3238</v>
      </c>
      <c r="F1196" t="s">
        <v>3239</v>
      </c>
      <c r="G1196">
        <v>991.75</v>
      </c>
      <c r="H1196">
        <v>991.75</v>
      </c>
      <c r="I1196" t="s">
        <v>269</v>
      </c>
      <c r="J1196" t="s">
        <v>270</v>
      </c>
      <c r="K1196" t="s">
        <v>31</v>
      </c>
      <c r="L1196" t="s">
        <v>32</v>
      </c>
      <c r="M1196" t="s">
        <v>33</v>
      </c>
      <c r="P1196" s="1" t="s">
        <v>4586</v>
      </c>
      <c r="Q1196" s="1" t="s">
        <v>3238</v>
      </c>
      <c r="R1196" s="1" t="s">
        <v>3238</v>
      </c>
      <c r="S1196" s="1"/>
      <c r="T1196" s="1" t="s">
        <v>4585</v>
      </c>
      <c r="U1196" s="1"/>
      <c r="V1196" s="1">
        <v>991.75</v>
      </c>
      <c r="W1196" s="1">
        <v>991.75</v>
      </c>
      <c r="X1196" s="1" t="s">
        <v>35</v>
      </c>
      <c r="Y1196" s="1">
        <v>991750.0</v>
      </c>
      <c r="Z1196" s="1"/>
      <c r="AA1196" s="1">
        <v>991750</v>
      </c>
      <c r="AB1196" s="1"/>
      <c r="AC1196" s="1" t="s">
        <v>36</v>
      </c>
      <c r="AD1196" s="1" t="s">
        <v>4587</v>
      </c>
      <c r="AE1196" s="1" t="s">
        <v>32</v>
      </c>
      <c r="AF1196" s="1" t="s">
        <v>33</v>
      </c>
      <c r="AG1196" s="1" t="s">
        <v>270</v>
      </c>
    </row>
    <row r="1197" spans="1:33">
      <c r="A1197" t="s">
        <v>4588</v>
      </c>
      <c r="B1197" t="s">
        <v>201</v>
      </c>
      <c r="C1197" t="s">
        <v>202</v>
      </c>
      <c r="D1197" t="s">
        <v>154</v>
      </c>
      <c r="E1197" t="s">
        <v>3238</v>
      </c>
      <c r="F1197" t="s">
        <v>3239</v>
      </c>
      <c r="G1197">
        <v>454.0</v>
      </c>
      <c r="H1197">
        <v>454.0</v>
      </c>
      <c r="I1197" t="s">
        <v>59</v>
      </c>
      <c r="J1197" t="s">
        <v>60</v>
      </c>
      <c r="K1197" t="s">
        <v>31</v>
      </c>
      <c r="L1197" t="s">
        <v>32</v>
      </c>
      <c r="M1197" t="s">
        <v>33</v>
      </c>
      <c r="P1197" s="1" t="s">
        <v>4589</v>
      </c>
      <c r="Q1197" s="1" t="s">
        <v>3238</v>
      </c>
      <c r="R1197" s="1" t="s">
        <v>3238</v>
      </c>
      <c r="S1197" s="1"/>
      <c r="T1197" s="1" t="s">
        <v>202</v>
      </c>
      <c r="U1197" s="1"/>
      <c r="V1197" s="1">
        <v>454.0</v>
      </c>
      <c r="W1197" s="1">
        <v>454.0</v>
      </c>
      <c r="X1197" s="1" t="s">
        <v>35</v>
      </c>
      <c r="Y1197" s="1">
        <v>454000.0</v>
      </c>
      <c r="Z1197" s="1"/>
      <c r="AA1197" s="1">
        <v>454000</v>
      </c>
      <c r="AB1197" s="1"/>
      <c r="AC1197" s="1" t="s">
        <v>36</v>
      </c>
      <c r="AD1197" s="1" t="s">
        <v>4590</v>
      </c>
      <c r="AE1197" s="1" t="s">
        <v>32</v>
      </c>
      <c r="AF1197" s="1" t="s">
        <v>33</v>
      </c>
      <c r="AG1197" s="1" t="s">
        <v>60</v>
      </c>
    </row>
    <row r="1198" spans="1:33">
      <c r="A1198" t="s">
        <v>4591</v>
      </c>
      <c r="B1198" t="s">
        <v>4592</v>
      </c>
      <c r="C1198" t="s">
        <v>125</v>
      </c>
      <c r="E1198" t="s">
        <v>3238</v>
      </c>
      <c r="F1198" t="s">
        <v>3239</v>
      </c>
      <c r="G1198">
        <v>10.556</v>
      </c>
      <c r="H1198">
        <v>10.556</v>
      </c>
      <c r="I1198" t="s">
        <v>126</v>
      </c>
      <c r="J1198" t="s">
        <v>127</v>
      </c>
      <c r="K1198" t="s">
        <v>31</v>
      </c>
      <c r="L1198" t="s">
        <v>32</v>
      </c>
      <c r="M1198" t="s">
        <v>33</v>
      </c>
      <c r="P1198" s="1" t="s">
        <v>4593</v>
      </c>
      <c r="Q1198" s="1" t="s">
        <v>3238</v>
      </c>
      <c r="R1198" s="1" t="s">
        <v>3238</v>
      </c>
      <c r="S1198" s="1"/>
      <c r="T1198" s="1" t="s">
        <v>125</v>
      </c>
      <c r="U1198" s="1"/>
      <c r="V1198" s="1">
        <v>10.556</v>
      </c>
      <c r="W1198" s="1">
        <v>10.556</v>
      </c>
      <c r="X1198" s="1" t="s">
        <v>35</v>
      </c>
      <c r="Y1198" s="1">
        <v>10556.0</v>
      </c>
      <c r="Z1198" s="1"/>
      <c r="AA1198" s="1">
        <v>10556</v>
      </c>
      <c r="AB1198" s="1"/>
      <c r="AC1198" s="1" t="s">
        <v>36</v>
      </c>
      <c r="AD1198" s="1" t="s">
        <v>4594</v>
      </c>
      <c r="AE1198" s="1" t="s">
        <v>32</v>
      </c>
      <c r="AF1198" s="1" t="s">
        <v>33</v>
      </c>
      <c r="AG1198" s="1" t="s">
        <v>127</v>
      </c>
    </row>
    <row r="1199" spans="1:33">
      <c r="A1199" t="s">
        <v>4595</v>
      </c>
      <c r="C1199" t="s">
        <v>4596</v>
      </c>
      <c r="D1199" t="s">
        <v>154</v>
      </c>
      <c r="E1199" t="s">
        <v>3238</v>
      </c>
      <c r="F1199" t="s">
        <v>3239</v>
      </c>
      <c r="G1199">
        <v>2.705</v>
      </c>
      <c r="H1199">
        <v>2.705</v>
      </c>
      <c r="I1199" t="s">
        <v>269</v>
      </c>
      <c r="J1199" t="s">
        <v>270</v>
      </c>
      <c r="K1199" t="s">
        <v>31</v>
      </c>
      <c r="L1199" t="s">
        <v>32</v>
      </c>
      <c r="M1199" t="s">
        <v>33</v>
      </c>
      <c r="P1199" s="1" t="s">
        <v>4597</v>
      </c>
      <c r="Q1199" s="1" t="s">
        <v>3238</v>
      </c>
      <c r="R1199" s="1" t="s">
        <v>3238</v>
      </c>
      <c r="S1199" s="1"/>
      <c r="T1199" s="1" t="s">
        <v>4596</v>
      </c>
      <c r="U1199" s="1"/>
      <c r="V1199" s="1">
        <v>2.705</v>
      </c>
      <c r="W1199" s="1">
        <v>2.705</v>
      </c>
      <c r="X1199" s="1" t="s">
        <v>35</v>
      </c>
      <c r="Y1199" s="1">
        <v>2705000.0</v>
      </c>
      <c r="Z1199" s="1"/>
      <c r="AA1199" s="1">
        <v>2705000</v>
      </c>
      <c r="AB1199" s="1"/>
      <c r="AC1199" s="1" t="s">
        <v>36</v>
      </c>
      <c r="AD1199" s="1" t="s">
        <v>4573</v>
      </c>
      <c r="AE1199" s="1" t="s">
        <v>32</v>
      </c>
      <c r="AF1199" s="1" t="s">
        <v>33</v>
      </c>
      <c r="AG1199" s="1" t="s">
        <v>270</v>
      </c>
    </row>
    <row r="1200" spans="1:33">
      <c r="A1200" t="s">
        <v>4598</v>
      </c>
      <c r="B1200" t="s">
        <v>735</v>
      </c>
      <c r="C1200" t="s">
        <v>736</v>
      </c>
      <c r="E1200" t="s">
        <v>3238</v>
      </c>
      <c r="F1200" t="s">
        <v>3239</v>
      </c>
      <c r="G1200">
        <v>370.0</v>
      </c>
      <c r="H1200">
        <v>370.0</v>
      </c>
      <c r="I1200" t="s">
        <v>59</v>
      </c>
      <c r="J1200" t="s">
        <v>60</v>
      </c>
      <c r="K1200" t="s">
        <v>31</v>
      </c>
      <c r="L1200" t="s">
        <v>32</v>
      </c>
      <c r="M1200" t="s">
        <v>33</v>
      </c>
      <c r="P1200" s="1" t="s">
        <v>4599</v>
      </c>
      <c r="Q1200" s="1" t="s">
        <v>3238</v>
      </c>
      <c r="R1200" s="1" t="s">
        <v>3238</v>
      </c>
      <c r="S1200" s="1"/>
      <c r="T1200" s="1" t="s">
        <v>736</v>
      </c>
      <c r="U1200" s="1"/>
      <c r="V1200" s="1">
        <v>370.0</v>
      </c>
      <c r="W1200" s="1">
        <v>370.0</v>
      </c>
      <c r="X1200" s="1" t="s">
        <v>35</v>
      </c>
      <c r="Y1200" s="1">
        <v>370000.0</v>
      </c>
      <c r="Z1200" s="1"/>
      <c r="AA1200" s="1">
        <v>370000</v>
      </c>
      <c r="AB1200" s="1"/>
      <c r="AC1200" s="1" t="s">
        <v>36</v>
      </c>
      <c r="AD1200" s="1" t="s">
        <v>4600</v>
      </c>
      <c r="AE1200" s="1" t="s">
        <v>32</v>
      </c>
      <c r="AF1200" s="1" t="s">
        <v>33</v>
      </c>
      <c r="AG1200" s="1" t="s">
        <v>60</v>
      </c>
    </row>
    <row r="1201" spans="1:33">
      <c r="A1201" t="s">
        <v>4601</v>
      </c>
      <c r="B1201" t="s">
        <v>4602</v>
      </c>
      <c r="C1201" t="s">
        <v>314</v>
      </c>
      <c r="E1201" t="s">
        <v>3238</v>
      </c>
      <c r="F1201" t="s">
        <v>3239</v>
      </c>
      <c r="G1201">
        <v>151.774</v>
      </c>
      <c r="H1201">
        <v>151.774</v>
      </c>
      <c r="I1201" t="s">
        <v>179</v>
      </c>
      <c r="J1201" t="s">
        <v>180</v>
      </c>
      <c r="K1201" t="s">
        <v>31</v>
      </c>
      <c r="L1201" t="s">
        <v>32</v>
      </c>
      <c r="M1201" t="s">
        <v>33</v>
      </c>
      <c r="P1201" s="1" t="s">
        <v>4603</v>
      </c>
      <c r="Q1201" s="1" t="s">
        <v>3238</v>
      </c>
      <c r="R1201" s="1" t="s">
        <v>3238</v>
      </c>
      <c r="S1201" s="1"/>
      <c r="T1201" s="1" t="s">
        <v>314</v>
      </c>
      <c r="U1201" s="1"/>
      <c r="V1201" s="1">
        <v>151.774</v>
      </c>
      <c r="W1201" s="1">
        <v>151.774</v>
      </c>
      <c r="X1201" s="1" t="s">
        <v>35</v>
      </c>
      <c r="Y1201" s="1">
        <v>151774.0</v>
      </c>
      <c r="Z1201" s="1"/>
      <c r="AA1201" s="1">
        <v>151774</v>
      </c>
      <c r="AB1201" s="1"/>
      <c r="AC1201" s="1" t="s">
        <v>36</v>
      </c>
      <c r="AD1201" s="1" t="s">
        <v>4604</v>
      </c>
      <c r="AE1201" s="1" t="s">
        <v>32</v>
      </c>
      <c r="AF1201" s="1" t="s">
        <v>33</v>
      </c>
      <c r="AG1201" s="1" t="s">
        <v>180</v>
      </c>
    </row>
    <row r="1202" spans="1:33">
      <c r="A1202" t="s">
        <v>4605</v>
      </c>
      <c r="B1202" t="s">
        <v>4606</v>
      </c>
      <c r="C1202" t="s">
        <v>125</v>
      </c>
      <c r="E1202" t="s">
        <v>3238</v>
      </c>
      <c r="F1202" t="s">
        <v>3239</v>
      </c>
      <c r="G1202">
        <v>3.0</v>
      </c>
      <c r="H1202">
        <v>3.0</v>
      </c>
      <c r="I1202" t="s">
        <v>126</v>
      </c>
      <c r="J1202" t="s">
        <v>127</v>
      </c>
      <c r="K1202" t="s">
        <v>31</v>
      </c>
      <c r="L1202" t="s">
        <v>32</v>
      </c>
      <c r="M1202" t="s">
        <v>33</v>
      </c>
      <c r="P1202" s="1" t="s">
        <v>4607</v>
      </c>
      <c r="Q1202" s="1" t="s">
        <v>3238</v>
      </c>
      <c r="R1202" s="1" t="s">
        <v>3238</v>
      </c>
      <c r="S1202" s="1"/>
      <c r="T1202" s="1" t="s">
        <v>125</v>
      </c>
      <c r="U1202" s="1"/>
      <c r="V1202" s="1">
        <v>3.0</v>
      </c>
      <c r="W1202" s="1">
        <v>3.0</v>
      </c>
      <c r="X1202" s="1" t="s">
        <v>35</v>
      </c>
      <c r="Y1202" s="1">
        <v>3000.0</v>
      </c>
      <c r="Z1202" s="1"/>
      <c r="AA1202" s="1">
        <v>3000</v>
      </c>
      <c r="AB1202" s="1"/>
      <c r="AC1202" s="1" t="s">
        <v>36</v>
      </c>
      <c r="AD1202" s="1" t="s">
        <v>4608</v>
      </c>
      <c r="AE1202" s="1" t="s">
        <v>32</v>
      </c>
      <c r="AF1202" s="1" t="s">
        <v>33</v>
      </c>
      <c r="AG1202" s="1" t="s">
        <v>127</v>
      </c>
    </row>
    <row r="1203" spans="1:33">
      <c r="A1203" t="s">
        <v>4609</v>
      </c>
      <c r="C1203" t="s">
        <v>4610</v>
      </c>
      <c r="E1203" t="s">
        <v>3238</v>
      </c>
      <c r="F1203" t="s">
        <v>3239</v>
      </c>
      <c r="G1203">
        <v>58.0</v>
      </c>
      <c r="H1203">
        <v>58.0</v>
      </c>
      <c r="I1203" t="s">
        <v>126</v>
      </c>
      <c r="J1203" t="s">
        <v>127</v>
      </c>
      <c r="K1203" t="s">
        <v>31</v>
      </c>
      <c r="L1203" t="s">
        <v>32</v>
      </c>
      <c r="M1203" t="s">
        <v>33</v>
      </c>
      <c r="P1203" s="1" t="s">
        <v>4611</v>
      </c>
      <c r="Q1203" s="1" t="s">
        <v>3238</v>
      </c>
      <c r="R1203" s="1" t="s">
        <v>3238</v>
      </c>
      <c r="S1203" s="1"/>
      <c r="T1203" s="1" t="s">
        <v>4612</v>
      </c>
      <c r="U1203" s="1" t="s">
        <v>4613</v>
      </c>
      <c r="V1203" s="1">
        <v>58.0</v>
      </c>
      <c r="W1203" s="1">
        <v>58.0</v>
      </c>
      <c r="X1203" s="1" t="s">
        <v>35</v>
      </c>
      <c r="Y1203" s="1">
        <v>58000.0</v>
      </c>
      <c r="Z1203" s="1"/>
      <c r="AA1203" s="1">
        <v>58000</v>
      </c>
      <c r="AB1203" s="1"/>
      <c r="AC1203" s="1" t="s">
        <v>36</v>
      </c>
      <c r="AD1203" s="1" t="s">
        <v>4614</v>
      </c>
      <c r="AE1203" s="1" t="s">
        <v>32</v>
      </c>
      <c r="AF1203" s="1" t="s">
        <v>33</v>
      </c>
      <c r="AG1203" s="1" t="s">
        <v>127</v>
      </c>
    </row>
    <row r="1204" spans="1:33">
      <c r="A1204" t="s">
        <v>4615</v>
      </c>
      <c r="C1204" t="s">
        <v>2916</v>
      </c>
      <c r="E1204" t="s">
        <v>3238</v>
      </c>
      <c r="F1204" t="s">
        <v>3239</v>
      </c>
      <c r="G1204">
        <v>929.7</v>
      </c>
      <c r="H1204">
        <v>929.7</v>
      </c>
      <c r="I1204" t="s">
        <v>269</v>
      </c>
      <c r="J1204" t="s">
        <v>270</v>
      </c>
      <c r="K1204" t="s">
        <v>31</v>
      </c>
      <c r="L1204" t="s">
        <v>32</v>
      </c>
      <c r="M1204" t="s">
        <v>33</v>
      </c>
      <c r="P1204" s="1" t="s">
        <v>4616</v>
      </c>
      <c r="Q1204" s="1" t="s">
        <v>3238</v>
      </c>
      <c r="R1204" s="1" t="s">
        <v>3238</v>
      </c>
      <c r="S1204" s="1"/>
      <c r="T1204" s="1" t="s">
        <v>2916</v>
      </c>
      <c r="U1204" s="1"/>
      <c r="V1204" s="1">
        <v>929.7</v>
      </c>
      <c r="W1204" s="1">
        <v>929.7</v>
      </c>
      <c r="X1204" s="1" t="s">
        <v>35</v>
      </c>
      <c r="Y1204" s="1">
        <v>929700.0</v>
      </c>
      <c r="Z1204" s="1"/>
      <c r="AA1204" s="1">
        <v>929700</v>
      </c>
      <c r="AB1204" s="1"/>
      <c r="AC1204" s="1" t="s">
        <v>36</v>
      </c>
      <c r="AD1204" s="1" t="s">
        <v>4617</v>
      </c>
      <c r="AE1204" s="1" t="s">
        <v>32</v>
      </c>
      <c r="AF1204" s="1" t="s">
        <v>33</v>
      </c>
      <c r="AG1204" s="1" t="s">
        <v>270</v>
      </c>
    </row>
    <row r="1205" spans="1:33">
      <c r="A1205" t="s">
        <v>4618</v>
      </c>
      <c r="B1205" t="s">
        <v>4619</v>
      </c>
      <c r="C1205" t="s">
        <v>4620</v>
      </c>
      <c r="E1205" t="s">
        <v>3238</v>
      </c>
      <c r="F1205" t="s">
        <v>3239</v>
      </c>
      <c r="G1205">
        <v>560.0</v>
      </c>
      <c r="H1205">
        <v>560.0</v>
      </c>
      <c r="I1205" t="s">
        <v>529</v>
      </c>
      <c r="J1205" t="s">
        <v>530</v>
      </c>
      <c r="K1205" t="s">
        <v>31</v>
      </c>
      <c r="L1205" t="s">
        <v>32</v>
      </c>
      <c r="M1205" t="s">
        <v>33</v>
      </c>
      <c r="P1205" s="1" t="s">
        <v>4621</v>
      </c>
      <c r="Q1205" s="1" t="s">
        <v>3238</v>
      </c>
      <c r="R1205" s="1" t="s">
        <v>2984</v>
      </c>
      <c r="S1205" s="1"/>
      <c r="T1205" s="1" t="s">
        <v>4620</v>
      </c>
      <c r="U1205" s="1"/>
      <c r="V1205" s="1">
        <v>560.0</v>
      </c>
      <c r="W1205" s="1">
        <v>560.0</v>
      </c>
      <c r="X1205" s="1" t="s">
        <v>35</v>
      </c>
      <c r="Y1205" s="1">
        <v>560000.0</v>
      </c>
      <c r="Z1205" s="1"/>
      <c r="AA1205" s="1">
        <v>560000</v>
      </c>
      <c r="AB1205" s="1"/>
      <c r="AC1205" s="1" t="s">
        <v>36</v>
      </c>
      <c r="AD1205" s="1" t="s">
        <v>4622</v>
      </c>
      <c r="AE1205" s="1" t="s">
        <v>32</v>
      </c>
      <c r="AF1205" s="1" t="s">
        <v>33</v>
      </c>
      <c r="AG1205" s="1" t="s">
        <v>530</v>
      </c>
    </row>
    <row r="1206" spans="1:33">
      <c r="A1206" t="s">
        <v>4623</v>
      </c>
      <c r="C1206" t="s">
        <v>4624</v>
      </c>
      <c r="E1206" t="s">
        <v>3238</v>
      </c>
      <c r="F1206" t="s">
        <v>3239</v>
      </c>
      <c r="G1206">
        <v>945.0</v>
      </c>
      <c r="H1206">
        <v>945.0</v>
      </c>
      <c r="I1206" t="s">
        <v>126</v>
      </c>
      <c r="J1206" t="s">
        <v>127</v>
      </c>
      <c r="K1206" t="s">
        <v>31</v>
      </c>
      <c r="L1206" t="s">
        <v>32</v>
      </c>
      <c r="M1206" t="s">
        <v>33</v>
      </c>
      <c r="P1206" s="1" t="s">
        <v>4625</v>
      </c>
      <c r="Q1206" s="1" t="s">
        <v>3238</v>
      </c>
      <c r="R1206" s="1" t="s">
        <v>3238</v>
      </c>
      <c r="S1206" s="1"/>
      <c r="T1206" s="1" t="s">
        <v>4624</v>
      </c>
      <c r="U1206" s="1"/>
      <c r="V1206" s="1">
        <v>945.0</v>
      </c>
      <c r="W1206" s="1">
        <v>945.0</v>
      </c>
      <c r="X1206" s="1" t="s">
        <v>35</v>
      </c>
      <c r="Y1206" s="1">
        <v>945000.0</v>
      </c>
      <c r="Z1206" s="1"/>
      <c r="AA1206" s="1">
        <v>945000</v>
      </c>
      <c r="AB1206" s="1"/>
      <c r="AC1206" s="1" t="s">
        <v>36</v>
      </c>
      <c r="AD1206" s="1" t="s">
        <v>4626</v>
      </c>
      <c r="AE1206" s="1" t="s">
        <v>32</v>
      </c>
      <c r="AF1206" s="1" t="s">
        <v>33</v>
      </c>
      <c r="AG1206" s="1" t="s">
        <v>127</v>
      </c>
    </row>
    <row r="1207" spans="1:33">
      <c r="A1207" t="s">
        <v>4627</v>
      </c>
      <c r="B1207">
        <v>672863706</v>
      </c>
      <c r="C1207" t="s">
        <v>73</v>
      </c>
      <c r="E1207" t="s">
        <v>3238</v>
      </c>
      <c r="F1207" t="s">
        <v>3239</v>
      </c>
      <c r="G1207">
        <v>146.0</v>
      </c>
      <c r="H1207">
        <v>146.0</v>
      </c>
      <c r="I1207" t="s">
        <v>40</v>
      </c>
      <c r="J1207" t="s">
        <v>41</v>
      </c>
      <c r="K1207" t="s">
        <v>31</v>
      </c>
      <c r="L1207" t="s">
        <v>32</v>
      </c>
      <c r="M1207" t="s">
        <v>33</v>
      </c>
      <c r="P1207" s="1" t="s">
        <v>4628</v>
      </c>
      <c r="Q1207" s="1" t="s">
        <v>3238</v>
      </c>
      <c r="R1207" s="1" t="s">
        <v>2984</v>
      </c>
      <c r="S1207" s="1"/>
      <c r="T1207" s="1" t="s">
        <v>75</v>
      </c>
      <c r="U1207" s="1" t="s">
        <v>76</v>
      </c>
      <c r="V1207" s="1">
        <v>146.0</v>
      </c>
      <c r="W1207" s="1">
        <v>146.0</v>
      </c>
      <c r="X1207" s="1" t="s">
        <v>35</v>
      </c>
      <c r="Y1207" s="1">
        <v>146000.0</v>
      </c>
      <c r="Z1207" s="1"/>
      <c r="AA1207" s="1">
        <v>146000</v>
      </c>
      <c r="AB1207" s="1"/>
      <c r="AC1207" s="1" t="s">
        <v>36</v>
      </c>
      <c r="AD1207" s="1" t="s">
        <v>4629</v>
      </c>
      <c r="AE1207" s="1" t="s">
        <v>32</v>
      </c>
      <c r="AF1207" s="1" t="s">
        <v>33</v>
      </c>
      <c r="AG1207" s="1" t="s">
        <v>41</v>
      </c>
    </row>
    <row r="1208" spans="1:33">
      <c r="A1208" t="s">
        <v>4630</v>
      </c>
      <c r="C1208" t="s">
        <v>688</v>
      </c>
      <c r="E1208" t="s">
        <v>3238</v>
      </c>
      <c r="F1208" t="s">
        <v>3239</v>
      </c>
      <c r="G1208">
        <v>3.28</v>
      </c>
      <c r="H1208">
        <v>3.28</v>
      </c>
      <c r="I1208" t="s">
        <v>269</v>
      </c>
      <c r="J1208" t="s">
        <v>270</v>
      </c>
      <c r="K1208" t="s">
        <v>31</v>
      </c>
      <c r="L1208" t="s">
        <v>32</v>
      </c>
      <c r="M1208" t="s">
        <v>33</v>
      </c>
      <c r="P1208" s="1" t="s">
        <v>4631</v>
      </c>
      <c r="Q1208" s="1" t="s">
        <v>3238</v>
      </c>
      <c r="R1208" s="1" t="s">
        <v>3238</v>
      </c>
      <c r="S1208" s="1"/>
      <c r="T1208" s="1" t="s">
        <v>688</v>
      </c>
      <c r="U1208" s="1"/>
      <c r="V1208" s="1">
        <v>3.28</v>
      </c>
      <c r="W1208" s="1">
        <v>3.28</v>
      </c>
      <c r="X1208" s="1" t="s">
        <v>35</v>
      </c>
      <c r="Y1208" s="1">
        <v>3280000.0</v>
      </c>
      <c r="Z1208" s="1"/>
      <c r="AA1208" s="1">
        <v>3280000</v>
      </c>
      <c r="AB1208" s="1"/>
      <c r="AC1208" s="1" t="s">
        <v>36</v>
      </c>
      <c r="AD1208" s="1" t="s">
        <v>4632</v>
      </c>
      <c r="AE1208" s="1" t="s">
        <v>32</v>
      </c>
      <c r="AF1208" s="1" t="s">
        <v>33</v>
      </c>
      <c r="AG1208" s="1" t="s">
        <v>270</v>
      </c>
    </row>
    <row r="1209" spans="1:33">
      <c r="A1209" t="s">
        <v>4633</v>
      </c>
      <c r="C1209" t="s">
        <v>4634</v>
      </c>
      <c r="E1209" t="s">
        <v>3238</v>
      </c>
      <c r="F1209" t="s">
        <v>3239</v>
      </c>
      <c r="G1209">
        <v>138.15</v>
      </c>
      <c r="H1209">
        <v>138.15</v>
      </c>
      <c r="I1209" t="s">
        <v>269</v>
      </c>
      <c r="J1209" t="s">
        <v>270</v>
      </c>
      <c r="K1209" t="s">
        <v>31</v>
      </c>
      <c r="L1209" t="s">
        <v>32</v>
      </c>
      <c r="M1209" t="s">
        <v>33</v>
      </c>
      <c r="P1209" s="1" t="s">
        <v>4635</v>
      </c>
      <c r="Q1209" s="1" t="s">
        <v>3238</v>
      </c>
      <c r="R1209" s="1" t="s">
        <v>3238</v>
      </c>
      <c r="S1209" s="1"/>
      <c r="T1209" s="1" t="s">
        <v>4634</v>
      </c>
      <c r="U1209" s="1"/>
      <c r="V1209" s="1">
        <v>138.15</v>
      </c>
      <c r="W1209" s="1">
        <v>138.15</v>
      </c>
      <c r="X1209" s="1" t="s">
        <v>35</v>
      </c>
      <c r="Y1209" s="1">
        <v>138150.0</v>
      </c>
      <c r="Z1209" s="1"/>
      <c r="AA1209" s="1">
        <v>138150</v>
      </c>
      <c r="AB1209" s="1"/>
      <c r="AC1209" s="1" t="s">
        <v>36</v>
      </c>
      <c r="AD1209" s="1" t="s">
        <v>4636</v>
      </c>
      <c r="AE1209" s="1" t="s">
        <v>32</v>
      </c>
      <c r="AF1209" s="1" t="s">
        <v>33</v>
      </c>
      <c r="AG1209" s="1" t="s">
        <v>270</v>
      </c>
    </row>
    <row r="1210" spans="1:33">
      <c r="A1210" t="s">
        <v>4637</v>
      </c>
      <c r="B1210" t="s">
        <v>4638</v>
      </c>
      <c r="C1210" t="s">
        <v>47</v>
      </c>
      <c r="E1210" t="s">
        <v>3238</v>
      </c>
      <c r="F1210" t="s">
        <v>3239</v>
      </c>
      <c r="G1210">
        <v>255.12</v>
      </c>
      <c r="H1210">
        <v>255.12</v>
      </c>
      <c r="I1210" t="s">
        <v>2206</v>
      </c>
      <c r="J1210" t="s">
        <v>49</v>
      </c>
      <c r="K1210" t="s">
        <v>31</v>
      </c>
      <c r="L1210" t="s">
        <v>32</v>
      </c>
      <c r="M1210" t="s">
        <v>33</v>
      </c>
      <c r="P1210" s="1" t="s">
        <v>4639</v>
      </c>
      <c r="Q1210" s="1" t="s">
        <v>3238</v>
      </c>
      <c r="R1210" s="1" t="s">
        <v>3238</v>
      </c>
      <c r="S1210" s="1"/>
      <c r="T1210" s="1" t="s">
        <v>47</v>
      </c>
      <c r="U1210" s="1"/>
      <c r="V1210" s="1">
        <v>255.12</v>
      </c>
      <c r="W1210" s="1">
        <v>255.12</v>
      </c>
      <c r="X1210" s="1" t="s">
        <v>35</v>
      </c>
      <c r="Y1210" s="1">
        <v>255120.0</v>
      </c>
      <c r="Z1210" s="1"/>
      <c r="AA1210" s="1">
        <v>255120</v>
      </c>
      <c r="AB1210" s="1"/>
      <c r="AC1210" s="1" t="s">
        <v>36</v>
      </c>
      <c r="AD1210" s="1" t="s">
        <v>4640</v>
      </c>
      <c r="AE1210" s="1" t="s">
        <v>32</v>
      </c>
      <c r="AF1210" s="1" t="s">
        <v>33</v>
      </c>
      <c r="AG1210" s="1" t="s">
        <v>49</v>
      </c>
    </row>
    <row r="1211" spans="1:33">
      <c r="A1211" t="s">
        <v>4641</v>
      </c>
      <c r="C1211" t="s">
        <v>2061</v>
      </c>
      <c r="D1211" t="s">
        <v>154</v>
      </c>
      <c r="E1211" t="s">
        <v>3238</v>
      </c>
      <c r="F1211" t="s">
        <v>3239</v>
      </c>
      <c r="G1211">
        <v>393.6</v>
      </c>
      <c r="H1211">
        <v>393.6</v>
      </c>
      <c r="I1211" t="s">
        <v>269</v>
      </c>
      <c r="J1211" t="s">
        <v>270</v>
      </c>
      <c r="K1211" t="s">
        <v>31</v>
      </c>
      <c r="L1211" t="s">
        <v>32</v>
      </c>
      <c r="M1211" t="s">
        <v>33</v>
      </c>
      <c r="P1211" s="1" t="s">
        <v>4642</v>
      </c>
      <c r="Q1211" s="1" t="s">
        <v>3238</v>
      </c>
      <c r="R1211" s="1" t="s">
        <v>3238</v>
      </c>
      <c r="S1211" s="1"/>
      <c r="T1211" s="1" t="s">
        <v>2061</v>
      </c>
      <c r="U1211" s="1"/>
      <c r="V1211" s="1">
        <v>393.6</v>
      </c>
      <c r="W1211" s="1">
        <v>393.6</v>
      </c>
      <c r="X1211" s="1" t="s">
        <v>35</v>
      </c>
      <c r="Y1211" s="1">
        <v>393600.0</v>
      </c>
      <c r="Z1211" s="1"/>
      <c r="AA1211" s="1">
        <v>393600</v>
      </c>
      <c r="AB1211" s="1"/>
      <c r="AC1211" s="1" t="s">
        <v>36</v>
      </c>
      <c r="AD1211" s="1" t="s">
        <v>4643</v>
      </c>
      <c r="AE1211" s="1" t="s">
        <v>32</v>
      </c>
      <c r="AF1211" s="1" t="s">
        <v>33</v>
      </c>
      <c r="AG1211" s="1" t="s">
        <v>270</v>
      </c>
    </row>
    <row r="1212" spans="1:33">
      <c r="A1212" t="s">
        <v>4644</v>
      </c>
      <c r="C1212" t="s">
        <v>4645</v>
      </c>
      <c r="E1212" t="s">
        <v>3238</v>
      </c>
      <c r="F1212" t="s">
        <v>3239</v>
      </c>
      <c r="G1212">
        <v>320.0</v>
      </c>
      <c r="H1212">
        <v>320.0</v>
      </c>
      <c r="I1212" t="s">
        <v>126</v>
      </c>
      <c r="J1212" t="s">
        <v>127</v>
      </c>
      <c r="K1212" t="s">
        <v>31</v>
      </c>
      <c r="L1212" t="s">
        <v>32</v>
      </c>
      <c r="M1212" t="s">
        <v>33</v>
      </c>
      <c r="P1212" s="1" t="s">
        <v>4646</v>
      </c>
      <c r="Q1212" s="1" t="s">
        <v>3238</v>
      </c>
      <c r="R1212" s="1" t="s">
        <v>3238</v>
      </c>
      <c r="S1212" s="1"/>
      <c r="T1212" s="1" t="s">
        <v>4645</v>
      </c>
      <c r="U1212" s="1"/>
      <c r="V1212" s="1">
        <v>320.0</v>
      </c>
      <c r="W1212" s="1">
        <v>320.0</v>
      </c>
      <c r="X1212" s="1" t="s">
        <v>35</v>
      </c>
      <c r="Y1212" s="1">
        <v>320000.0</v>
      </c>
      <c r="Z1212" s="1"/>
      <c r="AA1212" s="1">
        <v>320000</v>
      </c>
      <c r="AB1212" s="1"/>
      <c r="AC1212" s="1" t="s">
        <v>36</v>
      </c>
      <c r="AD1212" s="1" t="s">
        <v>4647</v>
      </c>
      <c r="AE1212" s="1" t="s">
        <v>32</v>
      </c>
      <c r="AF1212" s="1" t="s">
        <v>33</v>
      </c>
      <c r="AG1212" s="1" t="s">
        <v>127</v>
      </c>
    </row>
    <row r="1213" spans="1:33">
      <c r="A1213" t="s">
        <v>4648</v>
      </c>
      <c r="B1213" t="s">
        <v>4649</v>
      </c>
      <c r="C1213" t="s">
        <v>125</v>
      </c>
      <c r="E1213" t="s">
        <v>3238</v>
      </c>
      <c r="F1213" t="s">
        <v>3239</v>
      </c>
      <c r="G1213">
        <v>6.5</v>
      </c>
      <c r="H1213">
        <v>6.5</v>
      </c>
      <c r="I1213" t="s">
        <v>126</v>
      </c>
      <c r="J1213" t="s">
        <v>127</v>
      </c>
      <c r="K1213" t="s">
        <v>31</v>
      </c>
      <c r="L1213" t="s">
        <v>32</v>
      </c>
      <c r="M1213" t="s">
        <v>33</v>
      </c>
      <c r="P1213" s="1" t="s">
        <v>4650</v>
      </c>
      <c r="Q1213" s="1" t="s">
        <v>3238</v>
      </c>
      <c r="R1213" s="1" t="s">
        <v>3238</v>
      </c>
      <c r="S1213" s="1"/>
      <c r="T1213" s="1" t="s">
        <v>125</v>
      </c>
      <c r="U1213" s="1"/>
      <c r="V1213" s="1">
        <v>6.5</v>
      </c>
      <c r="W1213" s="1">
        <v>6.5</v>
      </c>
      <c r="X1213" s="1" t="s">
        <v>35</v>
      </c>
      <c r="Y1213" s="1">
        <v>6500.0</v>
      </c>
      <c r="Z1213" s="1"/>
      <c r="AA1213" s="1">
        <v>6500</v>
      </c>
      <c r="AB1213" s="1"/>
      <c r="AC1213" s="1" t="s">
        <v>36</v>
      </c>
      <c r="AD1213" s="1" t="s">
        <v>4651</v>
      </c>
      <c r="AE1213" s="1" t="s">
        <v>32</v>
      </c>
      <c r="AF1213" s="1" t="s">
        <v>33</v>
      </c>
      <c r="AG1213" s="1" t="s">
        <v>127</v>
      </c>
    </row>
    <row r="1214" spans="1:33">
      <c r="A1214" t="s">
        <v>4652</v>
      </c>
      <c r="C1214" t="s">
        <v>2588</v>
      </c>
      <c r="E1214" t="s">
        <v>3238</v>
      </c>
      <c r="F1214" t="s">
        <v>3239</v>
      </c>
      <c r="G1214">
        <v>515.0</v>
      </c>
      <c r="H1214">
        <v>515.0</v>
      </c>
      <c r="I1214" t="s">
        <v>269</v>
      </c>
      <c r="J1214" t="s">
        <v>270</v>
      </c>
      <c r="K1214" t="s">
        <v>31</v>
      </c>
      <c r="L1214" t="s">
        <v>32</v>
      </c>
      <c r="M1214" t="s">
        <v>33</v>
      </c>
      <c r="P1214" s="1" t="s">
        <v>4653</v>
      </c>
      <c r="Q1214" s="1" t="s">
        <v>3238</v>
      </c>
      <c r="R1214" s="1" t="s">
        <v>3238</v>
      </c>
      <c r="S1214" s="1"/>
      <c r="T1214" s="1" t="s">
        <v>2588</v>
      </c>
      <c r="U1214" s="1"/>
      <c r="V1214" s="1">
        <v>515.0</v>
      </c>
      <c r="W1214" s="1">
        <v>515.0</v>
      </c>
      <c r="X1214" s="1" t="s">
        <v>35</v>
      </c>
      <c r="Y1214" s="1">
        <v>515000.0</v>
      </c>
      <c r="Z1214" s="1"/>
      <c r="AA1214" s="1">
        <v>515000</v>
      </c>
      <c r="AB1214" s="1"/>
      <c r="AC1214" s="1" t="s">
        <v>36</v>
      </c>
      <c r="AD1214" s="1" t="s">
        <v>4654</v>
      </c>
      <c r="AE1214" s="1" t="s">
        <v>32</v>
      </c>
      <c r="AF1214" s="1" t="s">
        <v>33</v>
      </c>
      <c r="AG1214" s="1" t="s">
        <v>270</v>
      </c>
    </row>
    <row r="1215" spans="1:33">
      <c r="A1215" t="s">
        <v>4655</v>
      </c>
      <c r="B1215" t="s">
        <v>57</v>
      </c>
      <c r="C1215" t="s">
        <v>58</v>
      </c>
      <c r="E1215" t="s">
        <v>3238</v>
      </c>
      <c r="F1215" t="s">
        <v>3239</v>
      </c>
      <c r="G1215">
        <v>370.0</v>
      </c>
      <c r="H1215">
        <v>370.0</v>
      </c>
      <c r="I1215" t="s">
        <v>59</v>
      </c>
      <c r="J1215" t="s">
        <v>60</v>
      </c>
      <c r="K1215" t="s">
        <v>31</v>
      </c>
      <c r="L1215" t="s">
        <v>32</v>
      </c>
      <c r="M1215" t="s">
        <v>33</v>
      </c>
      <c r="P1215" s="1" t="s">
        <v>4656</v>
      </c>
      <c r="Q1215" s="1" t="s">
        <v>3238</v>
      </c>
      <c r="R1215" s="1" t="s">
        <v>3238</v>
      </c>
      <c r="S1215" s="1"/>
      <c r="T1215" s="1" t="s">
        <v>58</v>
      </c>
      <c r="U1215" s="1"/>
      <c r="V1215" s="1">
        <v>370.0</v>
      </c>
      <c r="W1215" s="1">
        <v>370.0</v>
      </c>
      <c r="X1215" s="1" t="s">
        <v>35</v>
      </c>
      <c r="Y1215" s="1">
        <v>370000.0</v>
      </c>
      <c r="Z1215" s="1"/>
      <c r="AA1215" s="1">
        <v>370000</v>
      </c>
      <c r="AB1215" s="1"/>
      <c r="AC1215" s="1" t="s">
        <v>36</v>
      </c>
      <c r="AD1215" s="1" t="s">
        <v>4629</v>
      </c>
      <c r="AE1215" s="1" t="s">
        <v>32</v>
      </c>
      <c r="AF1215" s="1" t="s">
        <v>33</v>
      </c>
      <c r="AG1215" s="1" t="s">
        <v>60</v>
      </c>
    </row>
    <row r="1216" spans="1:33">
      <c r="A1216" t="s">
        <v>4657</v>
      </c>
      <c r="C1216" t="s">
        <v>4658</v>
      </c>
      <c r="D1216" t="s">
        <v>154</v>
      </c>
      <c r="E1216" t="s">
        <v>3238</v>
      </c>
      <c r="F1216" t="s">
        <v>3239</v>
      </c>
      <c r="G1216">
        <v>70.0</v>
      </c>
      <c r="H1216">
        <v>70.0</v>
      </c>
      <c r="I1216" t="s">
        <v>94</v>
      </c>
      <c r="J1216" t="s">
        <v>95</v>
      </c>
      <c r="K1216" t="s">
        <v>31</v>
      </c>
      <c r="L1216" t="s">
        <v>32</v>
      </c>
      <c r="M1216" t="s">
        <v>33</v>
      </c>
      <c r="P1216" s="1" t="s">
        <v>4659</v>
      </c>
      <c r="Q1216" s="1" t="s">
        <v>3238</v>
      </c>
      <c r="R1216" s="1" t="s">
        <v>3238</v>
      </c>
      <c r="S1216" s="1"/>
      <c r="T1216" s="1" t="s">
        <v>4658</v>
      </c>
      <c r="U1216" s="1"/>
      <c r="V1216" s="1">
        <v>70.0</v>
      </c>
      <c r="W1216" s="1">
        <v>70.0</v>
      </c>
      <c r="X1216" s="1" t="s">
        <v>35</v>
      </c>
      <c r="Y1216" s="1">
        <v>70000.0</v>
      </c>
      <c r="Z1216" s="1"/>
      <c r="AA1216" s="1">
        <v>70000</v>
      </c>
      <c r="AB1216" s="1"/>
      <c r="AC1216" s="1" t="s">
        <v>36</v>
      </c>
      <c r="AD1216" s="1" t="s">
        <v>4643</v>
      </c>
      <c r="AE1216" s="1" t="s">
        <v>32</v>
      </c>
      <c r="AF1216" s="1" t="s">
        <v>33</v>
      </c>
      <c r="AG1216" s="1" t="s">
        <v>95</v>
      </c>
    </row>
    <row r="1217" spans="1:33">
      <c r="A1217" t="s">
        <v>4660</v>
      </c>
      <c r="B1217" t="s">
        <v>57</v>
      </c>
      <c r="C1217" t="s">
        <v>58</v>
      </c>
      <c r="E1217" t="s">
        <v>3238</v>
      </c>
      <c r="F1217" t="s">
        <v>3239</v>
      </c>
      <c r="G1217">
        <v>315.0</v>
      </c>
      <c r="H1217">
        <v>315.0</v>
      </c>
      <c r="I1217" t="s">
        <v>59</v>
      </c>
      <c r="J1217" t="s">
        <v>60</v>
      </c>
      <c r="K1217" t="s">
        <v>31</v>
      </c>
      <c r="L1217" t="s">
        <v>32</v>
      </c>
      <c r="M1217" t="s">
        <v>33</v>
      </c>
      <c r="P1217" s="1" t="s">
        <v>4661</v>
      </c>
      <c r="Q1217" s="1" t="s">
        <v>3238</v>
      </c>
      <c r="R1217" s="1" t="s">
        <v>3238</v>
      </c>
      <c r="S1217" s="1"/>
      <c r="T1217" s="1" t="s">
        <v>58</v>
      </c>
      <c r="U1217" s="1"/>
      <c r="V1217" s="1">
        <v>315.0</v>
      </c>
      <c r="W1217" s="1">
        <v>315.0</v>
      </c>
      <c r="X1217" s="1" t="s">
        <v>35</v>
      </c>
      <c r="Y1217" s="1">
        <v>315000.0</v>
      </c>
      <c r="Z1217" s="1"/>
      <c r="AA1217" s="1">
        <v>315000</v>
      </c>
      <c r="AB1217" s="1"/>
      <c r="AC1217" s="1" t="s">
        <v>36</v>
      </c>
      <c r="AD1217" s="1" t="s">
        <v>4662</v>
      </c>
      <c r="AE1217" s="1" t="s">
        <v>32</v>
      </c>
      <c r="AF1217" s="1" t="s">
        <v>33</v>
      </c>
      <c r="AG1217" s="1" t="s">
        <v>60</v>
      </c>
    </row>
    <row r="1218" spans="1:33">
      <c r="A1218" t="s">
        <v>4663</v>
      </c>
      <c r="C1218" t="s">
        <v>4664</v>
      </c>
      <c r="D1218" t="s">
        <v>154</v>
      </c>
      <c r="E1218" t="s">
        <v>3238</v>
      </c>
      <c r="F1218" t="s">
        <v>3239</v>
      </c>
      <c r="G1218">
        <v>687.5</v>
      </c>
      <c r="H1218">
        <v>687.5</v>
      </c>
      <c r="I1218" t="s">
        <v>126</v>
      </c>
      <c r="J1218" t="s">
        <v>127</v>
      </c>
      <c r="K1218" t="s">
        <v>31</v>
      </c>
      <c r="L1218" t="s">
        <v>32</v>
      </c>
      <c r="M1218" t="s">
        <v>33</v>
      </c>
      <c r="P1218" s="1" t="s">
        <v>4665</v>
      </c>
      <c r="Q1218" s="1" t="s">
        <v>3238</v>
      </c>
      <c r="R1218" s="1" t="s">
        <v>3238</v>
      </c>
      <c r="S1218" s="1"/>
      <c r="T1218" s="1" t="s">
        <v>4664</v>
      </c>
      <c r="U1218" s="1"/>
      <c r="V1218" s="1">
        <v>687.5</v>
      </c>
      <c r="W1218" s="1">
        <v>687.5</v>
      </c>
      <c r="X1218" s="1" t="s">
        <v>35</v>
      </c>
      <c r="Y1218" s="1">
        <v>687500.0</v>
      </c>
      <c r="Z1218" s="1"/>
      <c r="AA1218" s="1">
        <v>687500</v>
      </c>
      <c r="AB1218" s="1"/>
      <c r="AC1218" s="1" t="s">
        <v>36</v>
      </c>
      <c r="AD1218" s="1" t="s">
        <v>4643</v>
      </c>
      <c r="AE1218" s="1" t="s">
        <v>32</v>
      </c>
      <c r="AF1218" s="1" t="s">
        <v>33</v>
      </c>
      <c r="AG1218" s="1" t="s">
        <v>127</v>
      </c>
    </row>
    <row r="1219" spans="1:33">
      <c r="A1219" t="s">
        <v>4666</v>
      </c>
      <c r="B1219" t="s">
        <v>1317</v>
      </c>
      <c r="C1219" t="s">
        <v>1318</v>
      </c>
      <c r="E1219" t="s">
        <v>3238</v>
      </c>
      <c r="F1219" t="s">
        <v>3239</v>
      </c>
      <c r="G1219">
        <v>740.0</v>
      </c>
      <c r="H1219">
        <v>740.0</v>
      </c>
      <c r="I1219" t="s">
        <v>59</v>
      </c>
      <c r="J1219" t="s">
        <v>60</v>
      </c>
      <c r="K1219" t="s">
        <v>31</v>
      </c>
      <c r="L1219" t="s">
        <v>32</v>
      </c>
      <c r="M1219" t="s">
        <v>33</v>
      </c>
      <c r="P1219" s="1" t="s">
        <v>4667</v>
      </c>
      <c r="Q1219" s="1" t="s">
        <v>3238</v>
      </c>
      <c r="R1219" s="1" t="s">
        <v>3238</v>
      </c>
      <c r="S1219" s="1"/>
      <c r="T1219" s="1" t="s">
        <v>1318</v>
      </c>
      <c r="U1219" s="1"/>
      <c r="V1219" s="1">
        <v>740.0</v>
      </c>
      <c r="W1219" s="1">
        <v>740.0</v>
      </c>
      <c r="X1219" s="1" t="s">
        <v>35</v>
      </c>
      <c r="Y1219" s="1">
        <v>740000.0</v>
      </c>
      <c r="Z1219" s="1"/>
      <c r="AA1219" s="1">
        <v>740000</v>
      </c>
      <c r="AB1219" s="1"/>
      <c r="AC1219" s="1" t="s">
        <v>36</v>
      </c>
      <c r="AD1219" s="1" t="s">
        <v>4668</v>
      </c>
      <c r="AE1219" s="1" t="s">
        <v>32</v>
      </c>
      <c r="AF1219" s="1" t="s">
        <v>33</v>
      </c>
      <c r="AG1219" s="1" t="s">
        <v>60</v>
      </c>
    </row>
    <row r="1220" spans="1:33">
      <c r="A1220" t="s">
        <v>4669</v>
      </c>
      <c r="C1220" t="s">
        <v>4670</v>
      </c>
      <c r="E1220" t="s">
        <v>3238</v>
      </c>
      <c r="F1220" t="s">
        <v>2985</v>
      </c>
      <c r="G1220">
        <v>554.13</v>
      </c>
      <c r="H1220">
        <v>554.13</v>
      </c>
      <c r="I1220" t="s">
        <v>179</v>
      </c>
      <c r="J1220" t="s">
        <v>180</v>
      </c>
      <c r="K1220" t="s">
        <v>31</v>
      </c>
      <c r="L1220" t="s">
        <v>32</v>
      </c>
      <c r="M1220" t="s">
        <v>33</v>
      </c>
      <c r="P1220" s="1" t="s">
        <v>4671</v>
      </c>
      <c r="Q1220" s="1" t="s">
        <v>3238</v>
      </c>
      <c r="R1220" s="1" t="s">
        <v>3238</v>
      </c>
      <c r="S1220" s="1"/>
      <c r="T1220" s="1" t="s">
        <v>4670</v>
      </c>
      <c r="U1220" s="1"/>
      <c r="V1220" s="1">
        <v>554.13</v>
      </c>
      <c r="W1220" s="1">
        <v>554.13</v>
      </c>
      <c r="X1220" s="1" t="s">
        <v>35</v>
      </c>
      <c r="Y1220" s="1">
        <v>554130.0</v>
      </c>
      <c r="Z1220" s="1"/>
      <c r="AA1220" s="1">
        <v>554130</v>
      </c>
      <c r="AB1220" s="1"/>
      <c r="AC1220" s="1" t="s">
        <v>36</v>
      </c>
      <c r="AD1220" s="1" t="s">
        <v>4672</v>
      </c>
      <c r="AE1220" s="1" t="s">
        <v>32</v>
      </c>
      <c r="AF1220" s="1" t="s">
        <v>33</v>
      </c>
      <c r="AG1220" s="1" t="s">
        <v>180</v>
      </c>
    </row>
    <row r="1221" spans="1:33">
      <c r="A1221" t="s">
        <v>4673</v>
      </c>
      <c r="B1221" t="s">
        <v>4674</v>
      </c>
      <c r="C1221" t="s">
        <v>47</v>
      </c>
      <c r="E1221" t="s">
        <v>3238</v>
      </c>
      <c r="F1221" t="s">
        <v>3239</v>
      </c>
      <c r="G1221">
        <v>21.99</v>
      </c>
      <c r="H1221">
        <v>21.99</v>
      </c>
      <c r="I1221" t="s">
        <v>2206</v>
      </c>
      <c r="J1221" t="s">
        <v>49</v>
      </c>
      <c r="K1221" t="s">
        <v>31</v>
      </c>
      <c r="L1221" t="s">
        <v>32</v>
      </c>
      <c r="M1221" t="s">
        <v>33</v>
      </c>
      <c r="P1221" s="1" t="s">
        <v>4675</v>
      </c>
      <c r="Q1221" s="1" t="s">
        <v>3238</v>
      </c>
      <c r="R1221" s="1" t="s">
        <v>3238</v>
      </c>
      <c r="S1221" s="1"/>
      <c r="T1221" s="1" t="s">
        <v>47</v>
      </c>
      <c r="U1221" s="1"/>
      <c r="V1221" s="1">
        <v>21.99</v>
      </c>
      <c r="W1221" s="1">
        <v>21.99</v>
      </c>
      <c r="X1221" s="1" t="s">
        <v>35</v>
      </c>
      <c r="Y1221" s="1">
        <v>21990.0</v>
      </c>
      <c r="Z1221" s="1"/>
      <c r="AA1221" s="1">
        <v>21990</v>
      </c>
      <c r="AB1221" s="1"/>
      <c r="AC1221" s="1" t="s">
        <v>36</v>
      </c>
      <c r="AD1221" s="1" t="s">
        <v>4643</v>
      </c>
      <c r="AE1221" s="1" t="s">
        <v>32</v>
      </c>
      <c r="AF1221" s="1" t="s">
        <v>33</v>
      </c>
      <c r="AG1221" s="1" t="s">
        <v>49</v>
      </c>
    </row>
    <row r="1222" spans="1:33">
      <c r="A1222" t="s">
        <v>4676</v>
      </c>
      <c r="C1222" t="s">
        <v>575</v>
      </c>
      <c r="E1222" t="s">
        <v>3238</v>
      </c>
      <c r="F1222" t="s">
        <v>3239</v>
      </c>
      <c r="G1222">
        <v>421.0</v>
      </c>
      <c r="H1222">
        <v>421.0</v>
      </c>
      <c r="I1222" t="s">
        <v>94</v>
      </c>
      <c r="J1222" t="s">
        <v>95</v>
      </c>
      <c r="K1222" t="s">
        <v>31</v>
      </c>
      <c r="L1222" t="s">
        <v>32</v>
      </c>
      <c r="M1222" t="s">
        <v>33</v>
      </c>
      <c r="P1222" s="1" t="s">
        <v>4677</v>
      </c>
      <c r="Q1222" s="1" t="s">
        <v>3238</v>
      </c>
      <c r="R1222" s="1" t="s">
        <v>3238</v>
      </c>
      <c r="S1222" s="1"/>
      <c r="T1222" s="1" t="s">
        <v>575</v>
      </c>
      <c r="U1222" s="1"/>
      <c r="V1222" s="1">
        <v>421.0</v>
      </c>
      <c r="W1222" s="1">
        <v>421.0</v>
      </c>
      <c r="X1222" s="1" t="s">
        <v>35</v>
      </c>
      <c r="Y1222" s="1">
        <v>421000.0</v>
      </c>
      <c r="Z1222" s="1"/>
      <c r="AA1222" s="1">
        <v>421000</v>
      </c>
      <c r="AB1222" s="1"/>
      <c r="AC1222" s="1" t="s">
        <v>36</v>
      </c>
      <c r="AD1222" s="1" t="s">
        <v>4678</v>
      </c>
      <c r="AE1222" s="1" t="s">
        <v>32</v>
      </c>
      <c r="AF1222" s="1" t="s">
        <v>33</v>
      </c>
      <c r="AG1222" s="1" t="s">
        <v>95</v>
      </c>
    </row>
    <row r="1223" spans="1:33">
      <c r="A1223" t="s">
        <v>4679</v>
      </c>
      <c r="C1223" t="s">
        <v>4680</v>
      </c>
      <c r="E1223" t="s">
        <v>3238</v>
      </c>
      <c r="F1223" t="s">
        <v>3239</v>
      </c>
      <c r="G1223">
        <v>2.8</v>
      </c>
      <c r="H1223">
        <v>2.8</v>
      </c>
      <c r="I1223" t="s">
        <v>126</v>
      </c>
      <c r="J1223" t="s">
        <v>127</v>
      </c>
      <c r="K1223" t="s">
        <v>31</v>
      </c>
      <c r="L1223" t="s">
        <v>32</v>
      </c>
      <c r="M1223" t="s">
        <v>33</v>
      </c>
      <c r="P1223" s="1" t="s">
        <v>4681</v>
      </c>
      <c r="Q1223" s="1" t="s">
        <v>3238</v>
      </c>
      <c r="R1223" s="1" t="s">
        <v>3238</v>
      </c>
      <c r="S1223" s="1"/>
      <c r="T1223" s="1" t="s">
        <v>4680</v>
      </c>
      <c r="U1223" s="1"/>
      <c r="V1223" s="1">
        <v>2.8</v>
      </c>
      <c r="W1223" s="1">
        <v>2.8</v>
      </c>
      <c r="X1223" s="1" t="s">
        <v>35</v>
      </c>
      <c r="Y1223" s="1">
        <v>2800000.0</v>
      </c>
      <c r="Z1223" s="1"/>
      <c r="AA1223" s="1">
        <v>2800000</v>
      </c>
      <c r="AB1223" s="1"/>
      <c r="AC1223" s="1" t="s">
        <v>36</v>
      </c>
      <c r="AD1223" s="1" t="s">
        <v>4632</v>
      </c>
      <c r="AE1223" s="1" t="s">
        <v>32</v>
      </c>
      <c r="AF1223" s="1" t="s">
        <v>33</v>
      </c>
      <c r="AG1223" s="1" t="s">
        <v>127</v>
      </c>
    </row>
    <row r="1224" spans="1:33">
      <c r="A1224" t="s">
        <v>4682</v>
      </c>
      <c r="C1224" t="s">
        <v>4683</v>
      </c>
      <c r="E1224" t="s">
        <v>3238</v>
      </c>
      <c r="F1224" t="s">
        <v>3239</v>
      </c>
      <c r="G1224">
        <v>328.0</v>
      </c>
      <c r="H1224">
        <v>328.0</v>
      </c>
      <c r="I1224" t="s">
        <v>136</v>
      </c>
      <c r="J1224" t="s">
        <v>137</v>
      </c>
      <c r="K1224" t="s">
        <v>31</v>
      </c>
      <c r="L1224" t="s">
        <v>32</v>
      </c>
      <c r="M1224" t="s">
        <v>33</v>
      </c>
      <c r="P1224" s="1" t="s">
        <v>4684</v>
      </c>
      <c r="Q1224" s="1" t="s">
        <v>3238</v>
      </c>
      <c r="R1224" s="1" t="s">
        <v>3238</v>
      </c>
      <c r="S1224" s="1"/>
      <c r="T1224" s="1" t="s">
        <v>4683</v>
      </c>
      <c r="U1224" s="1"/>
      <c r="V1224" s="1">
        <v>328.0</v>
      </c>
      <c r="W1224" s="1">
        <v>328.0</v>
      </c>
      <c r="X1224" s="1" t="s">
        <v>35</v>
      </c>
      <c r="Y1224" s="1">
        <v>328000.0</v>
      </c>
      <c r="Z1224" s="1"/>
      <c r="AA1224" s="1">
        <v>328000</v>
      </c>
      <c r="AB1224" s="1"/>
      <c r="AC1224" s="1" t="s">
        <v>36</v>
      </c>
      <c r="AD1224" s="1" t="s">
        <v>4685</v>
      </c>
      <c r="AE1224" s="1" t="s">
        <v>32</v>
      </c>
      <c r="AF1224" s="1" t="s">
        <v>33</v>
      </c>
      <c r="AG1224" s="1" t="s">
        <v>137</v>
      </c>
    </row>
    <row r="1225" spans="1:33">
      <c r="A1225" t="s">
        <v>4686</v>
      </c>
      <c r="C1225" t="s">
        <v>135</v>
      </c>
      <c r="E1225" t="s">
        <v>3238</v>
      </c>
      <c r="F1225" t="s">
        <v>3239</v>
      </c>
      <c r="G1225">
        <v>78.0</v>
      </c>
      <c r="H1225">
        <v>78.0</v>
      </c>
      <c r="I1225" t="s">
        <v>136</v>
      </c>
      <c r="J1225" t="s">
        <v>137</v>
      </c>
      <c r="K1225" t="s">
        <v>31</v>
      </c>
      <c r="L1225" t="s">
        <v>32</v>
      </c>
      <c r="M1225" t="s">
        <v>33</v>
      </c>
      <c r="P1225" s="1" t="s">
        <v>4687</v>
      </c>
      <c r="Q1225" s="1" t="s">
        <v>3238</v>
      </c>
      <c r="R1225" s="1" t="s">
        <v>3238</v>
      </c>
      <c r="S1225" s="1"/>
      <c r="T1225" s="1" t="s">
        <v>135</v>
      </c>
      <c r="U1225" s="1"/>
      <c r="V1225" s="1">
        <v>78.0</v>
      </c>
      <c r="W1225" s="1">
        <v>78.0</v>
      </c>
      <c r="X1225" s="1" t="s">
        <v>35</v>
      </c>
      <c r="Y1225" s="1">
        <v>78000.0</v>
      </c>
      <c r="Z1225" s="1"/>
      <c r="AA1225" s="1">
        <v>78000</v>
      </c>
      <c r="AB1225" s="1"/>
      <c r="AC1225" s="1" t="s">
        <v>36</v>
      </c>
      <c r="AD1225" s="1" t="s">
        <v>4654</v>
      </c>
      <c r="AE1225" s="1" t="s">
        <v>32</v>
      </c>
      <c r="AF1225" s="1" t="s">
        <v>33</v>
      </c>
      <c r="AG1225" s="1" t="s">
        <v>137</v>
      </c>
    </row>
    <row r="1226" spans="1:33">
      <c r="A1226" t="s">
        <v>4688</v>
      </c>
      <c r="C1226" t="s">
        <v>609</v>
      </c>
      <c r="E1226" t="s">
        <v>3238</v>
      </c>
      <c r="F1226" t="s">
        <v>3239</v>
      </c>
      <c r="G1226">
        <v>688.0</v>
      </c>
      <c r="H1226">
        <v>688.0</v>
      </c>
      <c r="I1226" t="s">
        <v>269</v>
      </c>
      <c r="J1226" t="s">
        <v>270</v>
      </c>
      <c r="K1226" t="s">
        <v>31</v>
      </c>
      <c r="L1226" t="s">
        <v>32</v>
      </c>
      <c r="M1226" t="s">
        <v>33</v>
      </c>
      <c r="P1226" s="1" t="s">
        <v>4689</v>
      </c>
      <c r="Q1226" s="1" t="s">
        <v>3238</v>
      </c>
      <c r="R1226" s="1" t="s">
        <v>3238</v>
      </c>
      <c r="S1226" s="1"/>
      <c r="T1226" s="1" t="s">
        <v>609</v>
      </c>
      <c r="U1226" s="1"/>
      <c r="V1226" s="1">
        <v>688.0</v>
      </c>
      <c r="W1226" s="1">
        <v>688.0</v>
      </c>
      <c r="X1226" s="1" t="s">
        <v>35</v>
      </c>
      <c r="Y1226" s="1">
        <v>688000.0</v>
      </c>
      <c r="Z1226" s="1"/>
      <c r="AA1226" s="1">
        <v>688000</v>
      </c>
      <c r="AB1226" s="1"/>
      <c r="AC1226" s="1" t="s">
        <v>36</v>
      </c>
      <c r="AD1226" s="1" t="s">
        <v>4690</v>
      </c>
      <c r="AE1226" s="1" t="s">
        <v>32</v>
      </c>
      <c r="AF1226" s="1" t="s">
        <v>33</v>
      </c>
      <c r="AG1226" s="1" t="s">
        <v>270</v>
      </c>
    </row>
    <row r="1227" spans="1:33">
      <c r="A1227" t="s">
        <v>4691</v>
      </c>
      <c r="C1227" t="s">
        <v>4692</v>
      </c>
      <c r="E1227" t="s">
        <v>3238</v>
      </c>
      <c r="F1227" t="s">
        <v>3239</v>
      </c>
      <c r="G1227">
        <v>620.5</v>
      </c>
      <c r="H1227">
        <v>620.5</v>
      </c>
      <c r="I1227" t="s">
        <v>40</v>
      </c>
      <c r="J1227" t="s">
        <v>41</v>
      </c>
      <c r="K1227" t="s">
        <v>31</v>
      </c>
      <c r="L1227" t="s">
        <v>32</v>
      </c>
      <c r="M1227" t="s">
        <v>33</v>
      </c>
      <c r="P1227" s="1" t="s">
        <v>4693</v>
      </c>
      <c r="Q1227" s="1" t="s">
        <v>3238</v>
      </c>
      <c r="R1227" s="1" t="s">
        <v>2984</v>
      </c>
      <c r="S1227" s="1"/>
      <c r="T1227" s="1" t="s">
        <v>4692</v>
      </c>
      <c r="U1227" s="1"/>
      <c r="V1227" s="1">
        <v>620.5</v>
      </c>
      <c r="W1227" s="1">
        <v>620.5</v>
      </c>
      <c r="X1227" s="1" t="s">
        <v>35</v>
      </c>
      <c r="Y1227" s="1">
        <v>620500.0</v>
      </c>
      <c r="Z1227" s="1"/>
      <c r="AA1227" s="1">
        <v>620500</v>
      </c>
      <c r="AB1227" s="1"/>
      <c r="AC1227" s="1" t="s">
        <v>36</v>
      </c>
      <c r="AD1227" s="1" t="s">
        <v>4694</v>
      </c>
      <c r="AE1227" s="1" t="s">
        <v>32</v>
      </c>
      <c r="AF1227" s="1" t="s">
        <v>33</v>
      </c>
      <c r="AG1227" s="1" t="s">
        <v>41</v>
      </c>
    </row>
    <row r="1228" spans="1:33">
      <c r="A1228" t="s">
        <v>4695</v>
      </c>
      <c r="C1228" t="s">
        <v>506</v>
      </c>
      <c r="E1228" t="s">
        <v>3238</v>
      </c>
      <c r="F1228" t="s">
        <v>3239</v>
      </c>
      <c r="G1228">
        <v>1.509</v>
      </c>
      <c r="H1228">
        <v>1.509</v>
      </c>
      <c r="I1228" t="s">
        <v>269</v>
      </c>
      <c r="J1228" t="s">
        <v>270</v>
      </c>
      <c r="K1228" t="s">
        <v>31</v>
      </c>
      <c r="L1228" t="s">
        <v>32</v>
      </c>
      <c r="M1228" t="s">
        <v>33</v>
      </c>
      <c r="P1228" s="1" t="s">
        <v>4696</v>
      </c>
      <c r="Q1228" s="1" t="s">
        <v>3238</v>
      </c>
      <c r="R1228" s="1" t="s">
        <v>3238</v>
      </c>
      <c r="S1228" s="1"/>
      <c r="T1228" s="1" t="s">
        <v>506</v>
      </c>
      <c r="U1228" s="1"/>
      <c r="V1228" s="1">
        <v>1.509</v>
      </c>
      <c r="W1228" s="1">
        <v>1.509</v>
      </c>
      <c r="X1228" s="1" t="s">
        <v>35</v>
      </c>
      <c r="Y1228" s="1">
        <v>1509500.0</v>
      </c>
      <c r="Z1228" s="1"/>
      <c r="AA1228" s="1">
        <v>1509500</v>
      </c>
      <c r="AB1228" s="1"/>
      <c r="AC1228" s="1" t="s">
        <v>36</v>
      </c>
      <c r="AD1228" s="1" t="s">
        <v>4697</v>
      </c>
      <c r="AE1228" s="1" t="s">
        <v>32</v>
      </c>
      <c r="AF1228" s="1" t="s">
        <v>33</v>
      </c>
      <c r="AG1228" s="1" t="s">
        <v>270</v>
      </c>
    </row>
    <row r="1229" spans="1:33">
      <c r="A1229" t="s">
        <v>4698</v>
      </c>
      <c r="C1229" t="s">
        <v>2989</v>
      </c>
      <c r="E1229" t="s">
        <v>3238</v>
      </c>
      <c r="F1229" t="s">
        <v>3239</v>
      </c>
      <c r="G1229">
        <v>3.704</v>
      </c>
      <c r="H1229">
        <v>3.704</v>
      </c>
      <c r="I1229" t="s">
        <v>136</v>
      </c>
      <c r="J1229" t="s">
        <v>137</v>
      </c>
      <c r="K1229" t="s">
        <v>31</v>
      </c>
      <c r="L1229" t="s">
        <v>32</v>
      </c>
      <c r="M1229" t="s">
        <v>33</v>
      </c>
      <c r="P1229" s="1" t="s">
        <v>4699</v>
      </c>
      <c r="Q1229" s="1" t="s">
        <v>3238</v>
      </c>
      <c r="R1229" s="1" t="s">
        <v>3238</v>
      </c>
      <c r="S1229" s="1"/>
      <c r="T1229" s="1" t="s">
        <v>2991</v>
      </c>
      <c r="U1229" s="1" t="s">
        <v>2992</v>
      </c>
      <c r="V1229" s="1">
        <v>3.704</v>
      </c>
      <c r="W1229" s="1">
        <v>3.704</v>
      </c>
      <c r="X1229" s="1" t="s">
        <v>35</v>
      </c>
      <c r="Y1229" s="1">
        <v>3704000.0</v>
      </c>
      <c r="Z1229" s="1"/>
      <c r="AA1229" s="1">
        <v>3704000</v>
      </c>
      <c r="AB1229" s="1"/>
      <c r="AC1229" s="1" t="s">
        <v>36</v>
      </c>
      <c r="AD1229" s="1" t="s">
        <v>4668</v>
      </c>
      <c r="AE1229" s="1" t="s">
        <v>32</v>
      </c>
      <c r="AF1229" s="1" t="s">
        <v>33</v>
      </c>
      <c r="AG1229" s="1" t="s">
        <v>137</v>
      </c>
    </row>
    <row r="1230" spans="1:33">
      <c r="A1230" t="s">
        <v>4700</v>
      </c>
      <c r="C1230" t="s">
        <v>558</v>
      </c>
      <c r="D1230" t="s">
        <v>154</v>
      </c>
      <c r="E1230" t="s">
        <v>3238</v>
      </c>
      <c r="F1230" t="s">
        <v>3239</v>
      </c>
      <c r="G1230">
        <v>90.0</v>
      </c>
      <c r="H1230">
        <v>90.0</v>
      </c>
      <c r="I1230" t="s">
        <v>269</v>
      </c>
      <c r="J1230" t="s">
        <v>270</v>
      </c>
      <c r="K1230" t="s">
        <v>31</v>
      </c>
      <c r="L1230" t="s">
        <v>32</v>
      </c>
      <c r="M1230" t="s">
        <v>33</v>
      </c>
      <c r="P1230" s="1" t="s">
        <v>4701</v>
      </c>
      <c r="Q1230" s="1" t="s">
        <v>3238</v>
      </c>
      <c r="R1230" s="1" t="s">
        <v>3238</v>
      </c>
      <c r="S1230" s="1"/>
      <c r="T1230" s="1" t="s">
        <v>560</v>
      </c>
      <c r="U1230" s="1" t="s">
        <v>561</v>
      </c>
      <c r="V1230" s="1">
        <v>90.0</v>
      </c>
      <c r="W1230" s="1">
        <v>90.0</v>
      </c>
      <c r="X1230" s="1" t="s">
        <v>35</v>
      </c>
      <c r="Y1230" s="1">
        <v>90000.0</v>
      </c>
      <c r="Z1230" s="1"/>
      <c r="AA1230" s="1">
        <v>90000</v>
      </c>
      <c r="AB1230" s="1"/>
      <c r="AC1230" s="1" t="s">
        <v>36</v>
      </c>
      <c r="AD1230" s="1" t="s">
        <v>4702</v>
      </c>
      <c r="AE1230" s="1" t="s">
        <v>32</v>
      </c>
      <c r="AF1230" s="1" t="s">
        <v>33</v>
      </c>
      <c r="AG1230" s="1" t="s">
        <v>270</v>
      </c>
    </row>
    <row r="1231" spans="1:33">
      <c r="A1231" t="s">
        <v>4703</v>
      </c>
      <c r="B1231" t="s">
        <v>215</v>
      </c>
      <c r="C1231" t="s">
        <v>125</v>
      </c>
      <c r="E1231" t="s">
        <v>3238</v>
      </c>
      <c r="F1231" t="s">
        <v>3239</v>
      </c>
      <c r="G1231">
        <v>49.48</v>
      </c>
      <c r="H1231">
        <v>49.48</v>
      </c>
      <c r="I1231" t="s">
        <v>126</v>
      </c>
      <c r="J1231" t="s">
        <v>127</v>
      </c>
      <c r="K1231" t="s">
        <v>31</v>
      </c>
      <c r="L1231" t="s">
        <v>32</v>
      </c>
      <c r="M1231" t="s">
        <v>33</v>
      </c>
      <c r="P1231" s="1" t="s">
        <v>4704</v>
      </c>
      <c r="Q1231" s="1" t="s">
        <v>3238</v>
      </c>
      <c r="R1231" s="1" t="s">
        <v>3238</v>
      </c>
      <c r="S1231" s="1"/>
      <c r="T1231" s="1" t="s">
        <v>125</v>
      </c>
      <c r="U1231" s="1"/>
      <c r="V1231" s="1">
        <v>49.48</v>
      </c>
      <c r="W1231" s="1">
        <v>49.48</v>
      </c>
      <c r="X1231" s="1" t="s">
        <v>35</v>
      </c>
      <c r="Y1231" s="1">
        <v>49480.0</v>
      </c>
      <c r="Z1231" s="1"/>
      <c r="AA1231" s="1">
        <v>49480</v>
      </c>
      <c r="AB1231" s="1"/>
      <c r="AC1231" s="1" t="s">
        <v>36</v>
      </c>
      <c r="AD1231" s="1" t="s">
        <v>4705</v>
      </c>
      <c r="AE1231" s="1" t="s">
        <v>32</v>
      </c>
      <c r="AF1231" s="1" t="s">
        <v>33</v>
      </c>
      <c r="AG1231" s="1" t="s">
        <v>127</v>
      </c>
    </row>
    <row r="1232" spans="1:33">
      <c r="A1232" t="s">
        <v>4706</v>
      </c>
      <c r="B1232" t="s">
        <v>583</v>
      </c>
      <c r="C1232" t="s">
        <v>172</v>
      </c>
      <c r="E1232" t="s">
        <v>3238</v>
      </c>
      <c r="F1232" t="s">
        <v>3239</v>
      </c>
      <c r="G1232">
        <v>69.99</v>
      </c>
      <c r="H1232">
        <v>69.99</v>
      </c>
      <c r="I1232" t="s">
        <v>173</v>
      </c>
      <c r="J1232" t="s">
        <v>174</v>
      </c>
      <c r="K1232" t="s">
        <v>31</v>
      </c>
      <c r="L1232" t="s">
        <v>32</v>
      </c>
      <c r="M1232" t="s">
        <v>33</v>
      </c>
      <c r="P1232" s="1" t="s">
        <v>4707</v>
      </c>
      <c r="Q1232" s="1" t="s">
        <v>3238</v>
      </c>
      <c r="R1232" s="1" t="s">
        <v>3238</v>
      </c>
      <c r="S1232" s="1"/>
      <c r="T1232" s="1" t="s">
        <v>172</v>
      </c>
      <c r="U1232" s="1"/>
      <c r="V1232" s="1">
        <v>69.99</v>
      </c>
      <c r="W1232" s="1">
        <v>69.99</v>
      </c>
      <c r="X1232" s="1" t="s">
        <v>35</v>
      </c>
      <c r="Y1232" s="1">
        <v>69990.0</v>
      </c>
      <c r="Z1232" s="1"/>
      <c r="AA1232" s="1">
        <v>69990</v>
      </c>
      <c r="AB1232" s="1"/>
      <c r="AC1232" s="1" t="s">
        <v>36</v>
      </c>
      <c r="AD1232" s="1" t="s">
        <v>4705</v>
      </c>
      <c r="AE1232" s="1" t="s">
        <v>32</v>
      </c>
      <c r="AF1232" s="1" t="s">
        <v>33</v>
      </c>
      <c r="AG1232" s="1" t="s">
        <v>174</v>
      </c>
    </row>
    <row r="1233" spans="1:33">
      <c r="A1233" t="s">
        <v>4708</v>
      </c>
      <c r="B1233" t="s">
        <v>802</v>
      </c>
      <c r="C1233" t="s">
        <v>314</v>
      </c>
      <c r="E1233" t="s">
        <v>3238</v>
      </c>
      <c r="F1233" t="s">
        <v>3239</v>
      </c>
      <c r="G1233">
        <v>96.76</v>
      </c>
      <c r="H1233">
        <v>96.76</v>
      </c>
      <c r="I1233" t="s">
        <v>179</v>
      </c>
      <c r="J1233" t="s">
        <v>180</v>
      </c>
      <c r="K1233" t="s">
        <v>31</v>
      </c>
      <c r="L1233" t="s">
        <v>32</v>
      </c>
      <c r="M1233" t="s">
        <v>33</v>
      </c>
      <c r="P1233" s="1" t="s">
        <v>4709</v>
      </c>
      <c r="Q1233" s="1" t="s">
        <v>3238</v>
      </c>
      <c r="R1233" s="1" t="s">
        <v>3238</v>
      </c>
      <c r="S1233" s="1"/>
      <c r="T1233" s="1" t="s">
        <v>314</v>
      </c>
      <c r="U1233" s="1"/>
      <c r="V1233" s="1">
        <v>96.76</v>
      </c>
      <c r="W1233" s="1">
        <v>96.76</v>
      </c>
      <c r="X1233" s="1" t="s">
        <v>35</v>
      </c>
      <c r="Y1233" s="1">
        <v>96760.0</v>
      </c>
      <c r="Z1233" s="1"/>
      <c r="AA1233" s="1">
        <v>96760</v>
      </c>
      <c r="AB1233" s="1"/>
      <c r="AC1233" s="1" t="s">
        <v>36</v>
      </c>
      <c r="AD1233" s="1" t="s">
        <v>4710</v>
      </c>
      <c r="AE1233" s="1" t="s">
        <v>32</v>
      </c>
      <c r="AF1233" s="1" t="s">
        <v>33</v>
      </c>
      <c r="AG1233" s="1" t="s">
        <v>180</v>
      </c>
    </row>
    <row r="1234" spans="1:33">
      <c r="A1234" t="s">
        <v>4711</v>
      </c>
      <c r="C1234" t="s">
        <v>4712</v>
      </c>
      <c r="D1234" t="s">
        <v>154</v>
      </c>
      <c r="E1234" t="s">
        <v>3238</v>
      </c>
      <c r="F1234" t="s">
        <v>3239</v>
      </c>
      <c r="G1234">
        <v>320.0</v>
      </c>
      <c r="H1234">
        <v>320.0</v>
      </c>
      <c r="I1234" t="s">
        <v>126</v>
      </c>
      <c r="J1234" t="s">
        <v>127</v>
      </c>
      <c r="K1234" t="s">
        <v>31</v>
      </c>
      <c r="L1234" t="s">
        <v>32</v>
      </c>
      <c r="M1234" t="s">
        <v>33</v>
      </c>
      <c r="P1234" s="1" t="s">
        <v>4713</v>
      </c>
      <c r="Q1234" s="1" t="s">
        <v>3238</v>
      </c>
      <c r="R1234" s="1" t="s">
        <v>3238</v>
      </c>
      <c r="S1234" s="1"/>
      <c r="T1234" s="1" t="s">
        <v>4712</v>
      </c>
      <c r="U1234" s="1"/>
      <c r="V1234" s="1">
        <v>320.0</v>
      </c>
      <c r="W1234" s="1">
        <v>320.0</v>
      </c>
      <c r="X1234" s="1" t="s">
        <v>35</v>
      </c>
      <c r="Y1234" s="1">
        <v>320000.0</v>
      </c>
      <c r="Z1234" s="1"/>
      <c r="AA1234" s="1">
        <v>320000</v>
      </c>
      <c r="AB1234" s="1"/>
      <c r="AC1234" s="1" t="s">
        <v>36</v>
      </c>
      <c r="AD1234" s="1" t="s">
        <v>4714</v>
      </c>
      <c r="AE1234" s="1" t="s">
        <v>32</v>
      </c>
      <c r="AF1234" s="1" t="s">
        <v>33</v>
      </c>
      <c r="AG1234" s="1" t="s">
        <v>127</v>
      </c>
    </row>
    <row r="1235" spans="1:33">
      <c r="A1235" t="s">
        <v>4715</v>
      </c>
      <c r="B1235" t="s">
        <v>4716</v>
      </c>
      <c r="C1235" t="s">
        <v>569</v>
      </c>
      <c r="E1235" t="s">
        <v>3238</v>
      </c>
      <c r="F1235" t="s">
        <v>3239</v>
      </c>
      <c r="G1235">
        <v>3.0</v>
      </c>
      <c r="H1235">
        <v>3.0</v>
      </c>
      <c r="I1235" t="s">
        <v>570</v>
      </c>
      <c r="J1235" t="s">
        <v>571</v>
      </c>
      <c r="K1235" t="s">
        <v>31</v>
      </c>
      <c r="L1235" t="s">
        <v>32</v>
      </c>
      <c r="M1235" t="s">
        <v>33</v>
      </c>
      <c r="P1235" s="1" t="s">
        <v>4717</v>
      </c>
      <c r="Q1235" s="1" t="s">
        <v>3238</v>
      </c>
      <c r="R1235" s="1" t="s">
        <v>3238</v>
      </c>
      <c r="S1235" s="1"/>
      <c r="T1235" s="1" t="s">
        <v>569</v>
      </c>
      <c r="U1235" s="1"/>
      <c r="V1235" s="1">
        <v>3.0</v>
      </c>
      <c r="W1235" s="1">
        <v>3.0</v>
      </c>
      <c r="X1235" s="1" t="s">
        <v>35</v>
      </c>
      <c r="Y1235" s="1">
        <v>3000.0</v>
      </c>
      <c r="Z1235" s="1"/>
      <c r="AA1235" s="1">
        <v>3000</v>
      </c>
      <c r="AB1235" s="1"/>
      <c r="AC1235" s="1" t="s">
        <v>36</v>
      </c>
      <c r="AD1235" s="1" t="s">
        <v>4718</v>
      </c>
      <c r="AE1235" s="1" t="s">
        <v>32</v>
      </c>
      <c r="AF1235" s="1" t="s">
        <v>33</v>
      </c>
      <c r="AG1235" s="1" t="s">
        <v>571</v>
      </c>
    </row>
    <row r="1236" spans="1:33">
      <c r="A1236" t="s">
        <v>4719</v>
      </c>
      <c r="C1236" t="s">
        <v>1087</v>
      </c>
      <c r="E1236" t="s">
        <v>3238</v>
      </c>
      <c r="F1236" t="s">
        <v>3239</v>
      </c>
      <c r="G1236">
        <v>489.0</v>
      </c>
      <c r="H1236">
        <v>489.0</v>
      </c>
      <c r="I1236" t="s">
        <v>269</v>
      </c>
      <c r="J1236" t="s">
        <v>270</v>
      </c>
      <c r="K1236" t="s">
        <v>31</v>
      </c>
      <c r="L1236" t="s">
        <v>32</v>
      </c>
      <c r="M1236" t="s">
        <v>33</v>
      </c>
      <c r="P1236" s="1" t="s">
        <v>4720</v>
      </c>
      <c r="Q1236" s="1" t="s">
        <v>3238</v>
      </c>
      <c r="R1236" s="1" t="s">
        <v>3238</v>
      </c>
      <c r="S1236" s="1"/>
      <c r="T1236" s="1" t="s">
        <v>1087</v>
      </c>
      <c r="U1236" s="1"/>
      <c r="V1236" s="1">
        <v>489.0</v>
      </c>
      <c r="W1236" s="1">
        <v>489.0</v>
      </c>
      <c r="X1236" s="1" t="s">
        <v>35</v>
      </c>
      <c r="Y1236" s="1">
        <v>489000.0</v>
      </c>
      <c r="Z1236" s="1"/>
      <c r="AA1236" s="1">
        <v>489000</v>
      </c>
      <c r="AB1236" s="1"/>
      <c r="AC1236" s="1" t="s">
        <v>36</v>
      </c>
      <c r="AD1236" s="1" t="s">
        <v>4718</v>
      </c>
      <c r="AE1236" s="1" t="s">
        <v>32</v>
      </c>
      <c r="AF1236" s="1" t="s">
        <v>33</v>
      </c>
      <c r="AG1236" s="1" t="s">
        <v>270</v>
      </c>
    </row>
    <row r="1237" spans="1:33">
      <c r="A1237" t="s">
        <v>4721</v>
      </c>
      <c r="B1237" t="s">
        <v>4722</v>
      </c>
      <c r="C1237" t="s">
        <v>73</v>
      </c>
      <c r="E1237" t="s">
        <v>3238</v>
      </c>
      <c r="F1237" t="s">
        <v>3239</v>
      </c>
      <c r="G1237">
        <v>15.18</v>
      </c>
      <c r="H1237">
        <v>15.18</v>
      </c>
      <c r="I1237" t="s">
        <v>40</v>
      </c>
      <c r="J1237" t="s">
        <v>41</v>
      </c>
      <c r="K1237" t="s">
        <v>31</v>
      </c>
      <c r="L1237" t="s">
        <v>32</v>
      </c>
      <c r="M1237" t="s">
        <v>33</v>
      </c>
      <c r="P1237" s="1" t="s">
        <v>4723</v>
      </c>
      <c r="Q1237" s="1" t="s">
        <v>3238</v>
      </c>
      <c r="R1237" s="1" t="s">
        <v>2984</v>
      </c>
      <c r="S1237" s="1"/>
      <c r="T1237" s="1" t="s">
        <v>75</v>
      </c>
      <c r="U1237" s="1" t="s">
        <v>76</v>
      </c>
      <c r="V1237" s="1">
        <v>15.18</v>
      </c>
      <c r="W1237" s="1">
        <v>15.18</v>
      </c>
      <c r="X1237" s="1" t="s">
        <v>35</v>
      </c>
      <c r="Y1237" s="1">
        <v>15180.0</v>
      </c>
      <c r="Z1237" s="1"/>
      <c r="AA1237" s="1">
        <v>15180</v>
      </c>
      <c r="AB1237" s="1"/>
      <c r="AC1237" s="1" t="s">
        <v>36</v>
      </c>
      <c r="AD1237" s="1" t="s">
        <v>4724</v>
      </c>
      <c r="AE1237" s="1" t="s">
        <v>32</v>
      </c>
      <c r="AF1237" s="1" t="s">
        <v>33</v>
      </c>
      <c r="AG1237" s="1" t="s">
        <v>41</v>
      </c>
    </row>
    <row r="1238" spans="1:33">
      <c r="A1238" t="s">
        <v>4725</v>
      </c>
      <c r="C1238" t="s">
        <v>4726</v>
      </c>
      <c r="E1238" t="s">
        <v>3238</v>
      </c>
      <c r="F1238" t="s">
        <v>3239</v>
      </c>
      <c r="G1238">
        <v>650.0</v>
      </c>
      <c r="H1238">
        <v>650.0</v>
      </c>
      <c r="I1238" t="s">
        <v>269</v>
      </c>
      <c r="J1238" t="s">
        <v>270</v>
      </c>
      <c r="K1238" t="s">
        <v>31</v>
      </c>
      <c r="L1238" t="s">
        <v>32</v>
      </c>
      <c r="M1238" t="s">
        <v>33</v>
      </c>
      <c r="P1238" s="1" t="s">
        <v>4727</v>
      </c>
      <c r="Q1238" s="1" t="s">
        <v>3238</v>
      </c>
      <c r="R1238" s="1" t="s">
        <v>3238</v>
      </c>
      <c r="S1238" s="1"/>
      <c r="T1238" s="1" t="s">
        <v>4726</v>
      </c>
      <c r="U1238" s="1"/>
      <c r="V1238" s="1">
        <v>650.0</v>
      </c>
      <c r="W1238" s="1">
        <v>650.0</v>
      </c>
      <c r="X1238" s="1" t="s">
        <v>35</v>
      </c>
      <c r="Y1238" s="1">
        <v>650000.0</v>
      </c>
      <c r="Z1238" s="1"/>
      <c r="AA1238" s="1">
        <v>650000</v>
      </c>
      <c r="AB1238" s="1"/>
      <c r="AC1238" s="1" t="s">
        <v>36</v>
      </c>
      <c r="AD1238" s="1" t="s">
        <v>4728</v>
      </c>
      <c r="AE1238" s="1" t="s">
        <v>32</v>
      </c>
      <c r="AF1238" s="1" t="s">
        <v>33</v>
      </c>
      <c r="AG1238" s="1" t="s">
        <v>270</v>
      </c>
    </row>
    <row r="1239" spans="1:33">
      <c r="A1239" t="s">
        <v>4729</v>
      </c>
      <c r="B1239" t="s">
        <v>4730</v>
      </c>
      <c r="C1239" t="s">
        <v>569</v>
      </c>
      <c r="E1239" t="s">
        <v>3238</v>
      </c>
      <c r="F1239" t="s">
        <v>3239</v>
      </c>
      <c r="G1239">
        <v>73.23</v>
      </c>
      <c r="H1239">
        <v>73.23</v>
      </c>
      <c r="I1239" t="s">
        <v>570</v>
      </c>
      <c r="J1239" t="s">
        <v>571</v>
      </c>
      <c r="K1239" t="s">
        <v>31</v>
      </c>
      <c r="L1239" t="s">
        <v>32</v>
      </c>
      <c r="M1239" t="s">
        <v>33</v>
      </c>
      <c r="P1239" s="1" t="s">
        <v>4731</v>
      </c>
      <c r="Q1239" s="1" t="s">
        <v>3238</v>
      </c>
      <c r="R1239" s="1" t="s">
        <v>3238</v>
      </c>
      <c r="S1239" s="1"/>
      <c r="T1239" s="1" t="s">
        <v>569</v>
      </c>
      <c r="U1239" s="1"/>
      <c r="V1239" s="1">
        <v>73.23</v>
      </c>
      <c r="W1239" s="1">
        <v>73.23</v>
      </c>
      <c r="X1239" s="1" t="s">
        <v>35</v>
      </c>
      <c r="Y1239" s="1">
        <v>73230.0</v>
      </c>
      <c r="Z1239" s="1"/>
      <c r="AA1239" s="1">
        <v>73230</v>
      </c>
      <c r="AB1239" s="1"/>
      <c r="AC1239" s="1" t="s">
        <v>36</v>
      </c>
      <c r="AD1239" s="1" t="s">
        <v>4732</v>
      </c>
      <c r="AE1239" s="1" t="s">
        <v>32</v>
      </c>
      <c r="AF1239" s="1" t="s">
        <v>33</v>
      </c>
      <c r="AG1239" s="1" t="s">
        <v>571</v>
      </c>
    </row>
    <row r="1240" spans="1:33">
      <c r="A1240" t="s">
        <v>4733</v>
      </c>
      <c r="B1240" t="s">
        <v>4734</v>
      </c>
      <c r="C1240" t="s">
        <v>268</v>
      </c>
      <c r="E1240" t="s">
        <v>3238</v>
      </c>
      <c r="F1240" t="s">
        <v>3239</v>
      </c>
      <c r="G1240">
        <v>49.75</v>
      </c>
      <c r="H1240">
        <v>49.75</v>
      </c>
      <c r="I1240" t="s">
        <v>269</v>
      </c>
      <c r="J1240" t="s">
        <v>270</v>
      </c>
      <c r="K1240" t="s">
        <v>31</v>
      </c>
      <c r="L1240" t="s">
        <v>32</v>
      </c>
      <c r="M1240" t="s">
        <v>33</v>
      </c>
      <c r="P1240" s="1" t="s">
        <v>4735</v>
      </c>
      <c r="Q1240" s="1" t="s">
        <v>3238</v>
      </c>
      <c r="R1240" s="1" t="s">
        <v>3238</v>
      </c>
      <c r="S1240" s="1"/>
      <c r="T1240" s="1" t="s">
        <v>268</v>
      </c>
      <c r="U1240" s="1"/>
      <c r="V1240" s="1">
        <v>49.75</v>
      </c>
      <c r="W1240" s="1">
        <v>49.75</v>
      </c>
      <c r="X1240" s="1" t="s">
        <v>35</v>
      </c>
      <c r="Y1240" s="1">
        <v>49750</v>
      </c>
      <c r="Z1240" s="1"/>
      <c r="AA1240" s="1">
        <v>49750</v>
      </c>
      <c r="AB1240" s="1"/>
      <c r="AC1240" s="1" t="s">
        <v>36</v>
      </c>
      <c r="AD1240" s="1" t="s">
        <v>4736</v>
      </c>
      <c r="AE1240" s="1" t="s">
        <v>32</v>
      </c>
      <c r="AF1240" s="1" t="s">
        <v>33</v>
      </c>
      <c r="AG1240" s="1" t="s">
        <v>270</v>
      </c>
    </row>
    <row r="1241" spans="1:33">
      <c r="A1241" t="s">
        <v>4737</v>
      </c>
      <c r="C1241" t="s">
        <v>4738</v>
      </c>
      <c r="E1241" t="s">
        <v>3238</v>
      </c>
      <c r="F1241" t="s">
        <v>3239</v>
      </c>
      <c r="G1241">
        <v>655.0</v>
      </c>
      <c r="H1241">
        <v>655.0</v>
      </c>
      <c r="I1241" t="s">
        <v>179</v>
      </c>
      <c r="J1241" t="s">
        <v>180</v>
      </c>
      <c r="K1241" t="s">
        <v>31</v>
      </c>
      <c r="L1241" t="s">
        <v>32</v>
      </c>
      <c r="M1241" t="s">
        <v>33</v>
      </c>
      <c r="P1241" s="1" t="s">
        <v>4739</v>
      </c>
      <c r="Q1241" s="1" t="s">
        <v>3238</v>
      </c>
      <c r="R1241" s="1" t="s">
        <v>3238</v>
      </c>
      <c r="S1241" s="1"/>
      <c r="T1241" s="1" t="s">
        <v>4738</v>
      </c>
      <c r="U1241" s="1"/>
      <c r="V1241" s="1">
        <v>655.0</v>
      </c>
      <c r="W1241" s="1">
        <v>655.0</v>
      </c>
      <c r="X1241" s="1" t="s">
        <v>35</v>
      </c>
      <c r="Y1241" s="1">
        <v>655000</v>
      </c>
      <c r="Z1241" s="1"/>
      <c r="AA1241" s="1">
        <v>655000</v>
      </c>
      <c r="AB1241" s="1"/>
      <c r="AC1241" s="1" t="s">
        <v>36</v>
      </c>
      <c r="AD1241" s="1" t="s">
        <v>4740</v>
      </c>
      <c r="AE1241" s="1" t="s">
        <v>32</v>
      </c>
      <c r="AF1241" s="1" t="s">
        <v>33</v>
      </c>
      <c r="AG1241" s="1" t="s">
        <v>180</v>
      </c>
    </row>
    <row r="1242" spans="1:33">
      <c r="A1242" t="s">
        <v>4741</v>
      </c>
      <c r="B1242" t="s">
        <v>4742</v>
      </c>
      <c r="C1242" t="s">
        <v>73</v>
      </c>
      <c r="E1242" t="s">
        <v>3238</v>
      </c>
      <c r="F1242" t="s">
        <v>3239</v>
      </c>
      <c r="G1242">
        <v>21.99</v>
      </c>
      <c r="H1242">
        <v>21.99</v>
      </c>
      <c r="I1242" t="s">
        <v>40</v>
      </c>
      <c r="J1242" t="s">
        <v>41</v>
      </c>
      <c r="K1242" t="s">
        <v>31</v>
      </c>
      <c r="L1242" t="s">
        <v>32</v>
      </c>
      <c r="M1242" t="s">
        <v>33</v>
      </c>
      <c r="P1242" s="1" t="s">
        <v>4743</v>
      </c>
      <c r="Q1242" s="1" t="s">
        <v>3238</v>
      </c>
      <c r="R1242" s="1" t="s">
        <v>2984</v>
      </c>
      <c r="S1242" s="1"/>
      <c r="T1242" s="1" t="s">
        <v>75</v>
      </c>
      <c r="U1242" s="1" t="s">
        <v>76</v>
      </c>
      <c r="V1242" s="1">
        <v>21.99</v>
      </c>
      <c r="W1242" s="1">
        <v>21.99</v>
      </c>
      <c r="X1242" s="1" t="s">
        <v>35</v>
      </c>
      <c r="Y1242" s="1">
        <v>21990</v>
      </c>
      <c r="Z1242" s="1"/>
      <c r="AA1242" s="1">
        <v>21990</v>
      </c>
      <c r="AB1242" s="1"/>
      <c r="AC1242" s="1" t="s">
        <v>36</v>
      </c>
      <c r="AD1242" s="1" t="s">
        <v>4744</v>
      </c>
      <c r="AE1242" s="1" t="s">
        <v>32</v>
      </c>
      <c r="AF1242" s="1" t="s">
        <v>33</v>
      </c>
      <c r="AG1242" s="1" t="s">
        <v>41</v>
      </c>
    </row>
    <row r="1243" spans="1:33">
      <c r="A1243" t="s">
        <v>4745</v>
      </c>
      <c r="C1243" t="s">
        <v>4746</v>
      </c>
      <c r="E1243" t="s">
        <v>3238</v>
      </c>
      <c r="F1243" t="s">
        <v>3239</v>
      </c>
      <c r="G1243">
        <v>635.0</v>
      </c>
      <c r="H1243">
        <v>635.0</v>
      </c>
      <c r="I1243" t="s">
        <v>173</v>
      </c>
      <c r="J1243" t="s">
        <v>174</v>
      </c>
      <c r="K1243" t="s">
        <v>31</v>
      </c>
      <c r="L1243" t="s">
        <v>32</v>
      </c>
      <c r="M1243" t="s">
        <v>33</v>
      </c>
      <c r="P1243" s="1" t="s">
        <v>4747</v>
      </c>
      <c r="Q1243" s="1" t="s">
        <v>3238</v>
      </c>
      <c r="R1243" s="1" t="s">
        <v>3238</v>
      </c>
      <c r="S1243" s="1"/>
      <c r="T1243" s="1" t="s">
        <v>4746</v>
      </c>
      <c r="U1243" s="1"/>
      <c r="V1243" s="1">
        <v>635.0</v>
      </c>
      <c r="W1243" s="1">
        <v>635.0</v>
      </c>
      <c r="X1243" s="1" t="s">
        <v>35</v>
      </c>
      <c r="Y1243" s="1">
        <v>635000</v>
      </c>
      <c r="Z1243" s="1"/>
      <c r="AA1243" s="1">
        <v>635000</v>
      </c>
      <c r="AB1243" s="1"/>
      <c r="AC1243" s="1" t="s">
        <v>36</v>
      </c>
      <c r="AD1243" s="1" t="s">
        <v>4748</v>
      </c>
      <c r="AE1243" s="1" t="s">
        <v>32</v>
      </c>
      <c r="AF1243" s="1" t="s">
        <v>33</v>
      </c>
      <c r="AG1243" s="1" t="s">
        <v>174</v>
      </c>
    </row>
    <row r="1244" spans="1:33">
      <c r="A1244" t="s">
        <v>4749</v>
      </c>
      <c r="C1244" t="s">
        <v>2216</v>
      </c>
      <c r="E1244" t="s">
        <v>3238</v>
      </c>
      <c r="F1244" t="s">
        <v>3239</v>
      </c>
      <c r="G1244">
        <v>1.565</v>
      </c>
      <c r="H1244">
        <v>1.565</v>
      </c>
      <c r="I1244" t="s">
        <v>227</v>
      </c>
      <c r="J1244" t="s">
        <v>228</v>
      </c>
      <c r="K1244" t="s">
        <v>31</v>
      </c>
      <c r="L1244" t="s">
        <v>32</v>
      </c>
      <c r="M1244" t="s">
        <v>33</v>
      </c>
      <c r="P1244" s="1" t="s">
        <v>4750</v>
      </c>
      <c r="Q1244" s="1" t="s">
        <v>3238</v>
      </c>
      <c r="R1244" s="1" t="s">
        <v>3238</v>
      </c>
      <c r="S1244" s="1"/>
      <c r="T1244" s="1" t="s">
        <v>2216</v>
      </c>
      <c r="U1244" s="1"/>
      <c r="V1244" s="1">
        <v>1.565</v>
      </c>
      <c r="W1244" s="1">
        <v>1.565</v>
      </c>
      <c r="X1244" s="1" t="s">
        <v>35</v>
      </c>
      <c r="Y1244" s="1">
        <v>1565250</v>
      </c>
      <c r="Z1244" s="1"/>
      <c r="AA1244" s="1">
        <v>1565250</v>
      </c>
      <c r="AB1244" s="1"/>
      <c r="AC1244" s="1" t="s">
        <v>36</v>
      </c>
      <c r="AD1244" s="1" t="s">
        <v>4751</v>
      </c>
      <c r="AE1244" s="1" t="s">
        <v>32</v>
      </c>
      <c r="AF1244" s="1" t="s">
        <v>33</v>
      </c>
      <c r="AG1244" s="1" t="s">
        <v>228</v>
      </c>
    </row>
    <row r="1245" spans="1:33">
      <c r="A1245" t="s">
        <v>4752</v>
      </c>
      <c r="C1245" t="s">
        <v>901</v>
      </c>
      <c r="D1245" t="s">
        <v>114</v>
      </c>
      <c r="E1245" t="s">
        <v>3238</v>
      </c>
      <c r="F1245" t="s">
        <v>3239</v>
      </c>
      <c r="G1245">
        <v>767.0</v>
      </c>
      <c r="H1245">
        <v>767.0</v>
      </c>
      <c r="I1245" t="s">
        <v>269</v>
      </c>
      <c r="J1245" t="s">
        <v>270</v>
      </c>
      <c r="K1245" t="s">
        <v>31</v>
      </c>
      <c r="L1245" t="s">
        <v>32</v>
      </c>
      <c r="M1245" t="s">
        <v>33</v>
      </c>
      <c r="P1245" s="1" t="s">
        <v>4753</v>
      </c>
      <c r="Q1245" s="1" t="s">
        <v>3238</v>
      </c>
      <c r="R1245" s="1" t="s">
        <v>3238</v>
      </c>
      <c r="S1245" s="1"/>
      <c r="T1245" s="1" t="s">
        <v>901</v>
      </c>
      <c r="U1245" s="1"/>
      <c r="V1245" s="1">
        <v>767.0</v>
      </c>
      <c r="W1245" s="1">
        <v>767.0</v>
      </c>
      <c r="X1245" s="1" t="s">
        <v>35</v>
      </c>
      <c r="Y1245" s="1">
        <v>767000</v>
      </c>
      <c r="Z1245" s="1"/>
      <c r="AA1245" s="1">
        <v>767000</v>
      </c>
      <c r="AB1245" s="1"/>
      <c r="AC1245" s="1" t="s">
        <v>36</v>
      </c>
      <c r="AD1245" s="1" t="s">
        <v>4754</v>
      </c>
      <c r="AE1245" s="1" t="s">
        <v>32</v>
      </c>
      <c r="AF1245" s="1" t="s">
        <v>33</v>
      </c>
      <c r="AG1245" s="1" t="s">
        <v>270</v>
      </c>
    </row>
    <row r="1246" spans="1:33">
      <c r="A1246" t="s">
        <v>4755</v>
      </c>
      <c r="B1246" t="s">
        <v>4756</v>
      </c>
      <c r="C1246" t="s">
        <v>314</v>
      </c>
      <c r="E1246" t="s">
        <v>3238</v>
      </c>
      <c r="F1246" t="s">
        <v>3239</v>
      </c>
      <c r="G1246">
        <v>18.59</v>
      </c>
      <c r="H1246">
        <v>18.59</v>
      </c>
      <c r="I1246" t="s">
        <v>179</v>
      </c>
      <c r="J1246" t="s">
        <v>180</v>
      </c>
      <c r="K1246" t="s">
        <v>31</v>
      </c>
      <c r="L1246" t="s">
        <v>32</v>
      </c>
      <c r="M1246" t="s">
        <v>33</v>
      </c>
      <c r="P1246" s="1" t="s">
        <v>4757</v>
      </c>
      <c r="Q1246" s="1" t="s">
        <v>3238</v>
      </c>
      <c r="R1246" s="1" t="s">
        <v>3238</v>
      </c>
      <c r="S1246" s="1"/>
      <c r="T1246" s="1" t="s">
        <v>314</v>
      </c>
      <c r="U1246" s="1"/>
      <c r="V1246" s="1">
        <v>18.59</v>
      </c>
      <c r="W1246" s="1">
        <v>18.59</v>
      </c>
      <c r="X1246" s="1" t="s">
        <v>35</v>
      </c>
      <c r="Y1246" s="1">
        <v>18590</v>
      </c>
      <c r="Z1246" s="1"/>
      <c r="AA1246" s="1">
        <v>18590</v>
      </c>
      <c r="AB1246" s="1"/>
      <c r="AC1246" s="1" t="s">
        <v>36</v>
      </c>
      <c r="AD1246" s="1" t="s">
        <v>4758</v>
      </c>
      <c r="AE1246" s="1" t="s">
        <v>32</v>
      </c>
      <c r="AF1246" s="1" t="s">
        <v>33</v>
      </c>
      <c r="AG1246" s="1" t="s">
        <v>180</v>
      </c>
    </row>
    <row r="1247" spans="1:33">
      <c r="A1247" t="s">
        <v>4759</v>
      </c>
      <c r="B1247" t="s">
        <v>4760</v>
      </c>
      <c r="C1247" t="s">
        <v>125</v>
      </c>
      <c r="E1247" t="s">
        <v>3238</v>
      </c>
      <c r="F1247" t="s">
        <v>3239</v>
      </c>
      <c r="G1247">
        <v>71.54</v>
      </c>
      <c r="H1247">
        <v>71.54</v>
      </c>
      <c r="I1247" t="s">
        <v>126</v>
      </c>
      <c r="J1247" t="s">
        <v>127</v>
      </c>
      <c r="K1247" t="s">
        <v>31</v>
      </c>
      <c r="L1247" t="s">
        <v>32</v>
      </c>
      <c r="M1247" t="s">
        <v>33</v>
      </c>
      <c r="P1247" s="1" t="s">
        <v>4761</v>
      </c>
      <c r="Q1247" s="1" t="s">
        <v>3238</v>
      </c>
      <c r="R1247" s="1" t="s">
        <v>3238</v>
      </c>
      <c r="S1247" s="1"/>
      <c r="T1247" s="1" t="s">
        <v>125</v>
      </c>
      <c r="U1247" s="1"/>
      <c r="V1247" s="1">
        <v>71.54</v>
      </c>
      <c r="W1247" s="1">
        <v>71.54</v>
      </c>
      <c r="X1247" s="1" t="s">
        <v>35</v>
      </c>
      <c r="Y1247" s="1">
        <v>71540</v>
      </c>
      <c r="Z1247" s="1"/>
      <c r="AA1247" s="1">
        <v>71540</v>
      </c>
      <c r="AB1247" s="1"/>
      <c r="AC1247" s="1" t="s">
        <v>36</v>
      </c>
      <c r="AD1247" s="1" t="s">
        <v>4758</v>
      </c>
      <c r="AE1247" s="1" t="s">
        <v>32</v>
      </c>
      <c r="AF1247" s="1" t="s">
        <v>33</v>
      </c>
      <c r="AG1247" s="1" t="s">
        <v>127</v>
      </c>
    </row>
    <row r="1248" spans="1:33">
      <c r="A1248" t="s">
        <v>4762</v>
      </c>
      <c r="C1248" t="s">
        <v>4763</v>
      </c>
      <c r="E1248" t="s">
        <v>3238</v>
      </c>
      <c r="F1248" t="s">
        <v>3239</v>
      </c>
      <c r="G1248">
        <v>328.0</v>
      </c>
      <c r="H1248">
        <v>328.0</v>
      </c>
      <c r="I1248" t="s">
        <v>136</v>
      </c>
      <c r="J1248" t="s">
        <v>137</v>
      </c>
      <c r="K1248" t="s">
        <v>31</v>
      </c>
      <c r="L1248" t="s">
        <v>32</v>
      </c>
      <c r="M1248" t="s">
        <v>33</v>
      </c>
      <c r="P1248" s="1" t="s">
        <v>4764</v>
      </c>
      <c r="Q1248" s="1" t="s">
        <v>3238</v>
      </c>
      <c r="R1248" s="1" t="s">
        <v>3238</v>
      </c>
      <c r="S1248" s="1"/>
      <c r="T1248" s="1" t="s">
        <v>4765</v>
      </c>
      <c r="U1248" s="1" t="s">
        <v>4766</v>
      </c>
      <c r="V1248" s="1">
        <v>328.0</v>
      </c>
      <c r="W1248" s="1">
        <v>328.0</v>
      </c>
      <c r="X1248" s="1" t="s">
        <v>35</v>
      </c>
      <c r="Y1248" s="1">
        <v>328000</v>
      </c>
      <c r="Z1248" s="1"/>
      <c r="AA1248" s="1">
        <v>328000</v>
      </c>
      <c r="AB1248" s="1"/>
      <c r="AC1248" s="1" t="s">
        <v>36</v>
      </c>
      <c r="AD1248" s="1" t="s">
        <v>4767</v>
      </c>
      <c r="AE1248" s="1" t="s">
        <v>32</v>
      </c>
      <c r="AF1248" s="1" t="s">
        <v>33</v>
      </c>
      <c r="AG1248" s="1" t="s">
        <v>137</v>
      </c>
    </row>
    <row r="1249" spans="1:33">
      <c r="A1249" t="s">
        <v>4768</v>
      </c>
      <c r="C1249" t="s">
        <v>375</v>
      </c>
      <c r="D1249" t="s">
        <v>154</v>
      </c>
      <c r="E1249" t="s">
        <v>3238</v>
      </c>
      <c r="F1249" t="s">
        <v>3239</v>
      </c>
      <c r="G1249">
        <v>6.92</v>
      </c>
      <c r="H1249">
        <v>6.92</v>
      </c>
      <c r="I1249" t="s">
        <v>126</v>
      </c>
      <c r="J1249" t="s">
        <v>127</v>
      </c>
      <c r="K1249" t="s">
        <v>31</v>
      </c>
      <c r="L1249" t="s">
        <v>32</v>
      </c>
      <c r="M1249" t="s">
        <v>33</v>
      </c>
      <c r="P1249" s="1" t="s">
        <v>4769</v>
      </c>
      <c r="Q1249" s="1" t="s">
        <v>3238</v>
      </c>
      <c r="R1249" s="1" t="s">
        <v>3238</v>
      </c>
      <c r="S1249" s="1"/>
      <c r="T1249" s="1" t="s">
        <v>377</v>
      </c>
      <c r="U1249" s="1" t="s">
        <v>378</v>
      </c>
      <c r="V1249" s="1">
        <v>6.92</v>
      </c>
      <c r="W1249" s="1">
        <v>6.92</v>
      </c>
      <c r="X1249" s="1" t="s">
        <v>35</v>
      </c>
      <c r="Y1249" s="1">
        <v>6920000</v>
      </c>
      <c r="Z1249" s="1"/>
      <c r="AA1249" s="1">
        <v>6920000</v>
      </c>
      <c r="AB1249" s="1"/>
      <c r="AC1249" s="1" t="s">
        <v>36</v>
      </c>
      <c r="AD1249" s="1" t="s">
        <v>4770</v>
      </c>
      <c r="AE1249" s="1" t="s">
        <v>32</v>
      </c>
      <c r="AF1249" s="1" t="s">
        <v>33</v>
      </c>
      <c r="AG1249" s="1" t="s">
        <v>127</v>
      </c>
    </row>
    <row r="1250" spans="1:33">
      <c r="A1250" t="s">
        <v>4771</v>
      </c>
      <c r="C1250" t="s">
        <v>4772</v>
      </c>
      <c r="D1250" t="s">
        <v>154</v>
      </c>
      <c r="E1250" t="s">
        <v>3238</v>
      </c>
      <c r="F1250" t="s">
        <v>3239</v>
      </c>
      <c r="G1250">
        <v>811.0</v>
      </c>
      <c r="H1250">
        <v>811.0</v>
      </c>
      <c r="I1250" t="s">
        <v>269</v>
      </c>
      <c r="J1250" t="s">
        <v>270</v>
      </c>
      <c r="K1250" t="s">
        <v>31</v>
      </c>
      <c r="L1250" t="s">
        <v>32</v>
      </c>
      <c r="M1250" t="s">
        <v>33</v>
      </c>
      <c r="P1250" s="1" t="s">
        <v>4773</v>
      </c>
      <c r="Q1250" s="1" t="s">
        <v>3238</v>
      </c>
      <c r="R1250" s="1" t="s">
        <v>3238</v>
      </c>
      <c r="S1250" s="1"/>
      <c r="T1250" s="1" t="s">
        <v>4772</v>
      </c>
      <c r="U1250" s="1"/>
      <c r="V1250" s="1">
        <v>811.0</v>
      </c>
      <c r="W1250" s="1">
        <v>811.0</v>
      </c>
      <c r="X1250" s="1" t="s">
        <v>35</v>
      </c>
      <c r="Y1250" s="1">
        <v>811000</v>
      </c>
      <c r="Z1250" s="1"/>
      <c r="AA1250" s="1">
        <v>811000</v>
      </c>
      <c r="AB1250" s="1"/>
      <c r="AC1250" s="1" t="s">
        <v>36</v>
      </c>
      <c r="AD1250" s="1" t="s">
        <v>4774</v>
      </c>
      <c r="AE1250" s="1" t="s">
        <v>32</v>
      </c>
      <c r="AF1250" s="1" t="s">
        <v>33</v>
      </c>
      <c r="AG1250" s="1" t="s">
        <v>270</v>
      </c>
    </row>
    <row r="1251" spans="1:33">
      <c r="A1251" t="s">
        <v>4775</v>
      </c>
      <c r="C1251" t="s">
        <v>2240</v>
      </c>
      <c r="E1251" t="s">
        <v>3238</v>
      </c>
      <c r="F1251" t="s">
        <v>3239</v>
      </c>
      <c r="G1251">
        <v>424.3</v>
      </c>
      <c r="H1251">
        <v>424.3</v>
      </c>
      <c r="I1251" t="s">
        <v>269</v>
      </c>
      <c r="J1251" t="s">
        <v>270</v>
      </c>
      <c r="K1251" t="s">
        <v>31</v>
      </c>
      <c r="L1251" t="s">
        <v>32</v>
      </c>
      <c r="M1251" t="s">
        <v>33</v>
      </c>
      <c r="P1251" s="1" t="s">
        <v>4776</v>
      </c>
      <c r="Q1251" s="1" t="s">
        <v>3238</v>
      </c>
      <c r="R1251" s="1" t="s">
        <v>3238</v>
      </c>
      <c r="S1251" s="1"/>
      <c r="T1251" s="1" t="s">
        <v>2240</v>
      </c>
      <c r="U1251" s="1"/>
      <c r="V1251" s="1">
        <v>424.3</v>
      </c>
      <c r="W1251" s="1">
        <v>424.3</v>
      </c>
      <c r="X1251" s="1" t="s">
        <v>35</v>
      </c>
      <c r="Y1251" s="1">
        <v>424300</v>
      </c>
      <c r="Z1251" s="1"/>
      <c r="AA1251" s="1">
        <v>424300</v>
      </c>
      <c r="AB1251" s="1"/>
      <c r="AC1251" s="1" t="s">
        <v>36</v>
      </c>
      <c r="AD1251" s="1" t="s">
        <v>4767</v>
      </c>
      <c r="AE1251" s="1" t="s">
        <v>32</v>
      </c>
      <c r="AF1251" s="1" t="s">
        <v>33</v>
      </c>
      <c r="AG1251" s="1" t="s">
        <v>270</v>
      </c>
    </row>
    <row r="1252" spans="1:33">
      <c r="A1252" t="s">
        <v>4777</v>
      </c>
      <c r="B1252" t="s">
        <v>206</v>
      </c>
      <c r="C1252" t="s">
        <v>207</v>
      </c>
      <c r="E1252" t="s">
        <v>3238</v>
      </c>
      <c r="F1252" t="s">
        <v>3239</v>
      </c>
      <c r="G1252">
        <v>370.0</v>
      </c>
      <c r="H1252">
        <v>370.0</v>
      </c>
      <c r="I1252" t="s">
        <v>59</v>
      </c>
      <c r="J1252" t="s">
        <v>60</v>
      </c>
      <c r="K1252" t="s">
        <v>31</v>
      </c>
      <c r="L1252" t="s">
        <v>32</v>
      </c>
      <c r="M1252" t="s">
        <v>33</v>
      </c>
      <c r="P1252" s="1" t="s">
        <v>4778</v>
      </c>
      <c r="Q1252" s="1" t="s">
        <v>3238</v>
      </c>
      <c r="R1252" s="1" t="s">
        <v>3238</v>
      </c>
      <c r="S1252" s="1"/>
      <c r="T1252" s="1" t="s">
        <v>207</v>
      </c>
      <c r="U1252" s="1"/>
      <c r="V1252" s="1">
        <v>370.0</v>
      </c>
      <c r="W1252" s="1">
        <v>370.0</v>
      </c>
      <c r="X1252" s="1" t="s">
        <v>35</v>
      </c>
      <c r="Y1252" s="1">
        <v>370000</v>
      </c>
      <c r="Z1252" s="1"/>
      <c r="AA1252" s="1">
        <v>370000</v>
      </c>
      <c r="AB1252" s="1"/>
      <c r="AC1252" s="1" t="s">
        <v>36</v>
      </c>
      <c r="AD1252" s="1" t="s">
        <v>4779</v>
      </c>
      <c r="AE1252" s="1" t="s">
        <v>32</v>
      </c>
      <c r="AF1252" s="1" t="s">
        <v>33</v>
      </c>
      <c r="AG1252" s="1" t="s">
        <v>60</v>
      </c>
    </row>
    <row r="1253" spans="1:33">
      <c r="A1253" t="s">
        <v>4780</v>
      </c>
      <c r="C1253" t="s">
        <v>1468</v>
      </c>
      <c r="E1253" t="s">
        <v>3238</v>
      </c>
      <c r="F1253" t="s">
        <v>3239</v>
      </c>
      <c r="G1253">
        <v>328.0</v>
      </c>
      <c r="H1253">
        <v>328.0</v>
      </c>
      <c r="I1253" t="s">
        <v>269</v>
      </c>
      <c r="J1253" t="s">
        <v>270</v>
      </c>
      <c r="K1253" t="s">
        <v>31</v>
      </c>
      <c r="L1253" t="s">
        <v>32</v>
      </c>
      <c r="M1253" t="s">
        <v>33</v>
      </c>
      <c r="P1253" s="1" t="s">
        <v>4781</v>
      </c>
      <c r="Q1253" s="1" t="s">
        <v>3238</v>
      </c>
      <c r="R1253" s="1" t="s">
        <v>3238</v>
      </c>
      <c r="S1253" s="1"/>
      <c r="T1253" s="1" t="s">
        <v>1468</v>
      </c>
      <c r="U1253" s="1"/>
      <c r="V1253" s="1">
        <v>328.0</v>
      </c>
      <c r="W1253" s="1">
        <v>328.0</v>
      </c>
      <c r="X1253" s="1" t="s">
        <v>35</v>
      </c>
      <c r="Y1253" s="1">
        <v>328000</v>
      </c>
      <c r="Z1253" s="1"/>
      <c r="AA1253" s="1">
        <v>328000</v>
      </c>
      <c r="AB1253" s="1"/>
      <c r="AC1253" s="1" t="s">
        <v>36</v>
      </c>
      <c r="AD1253" s="1" t="s">
        <v>4767</v>
      </c>
      <c r="AE1253" s="1" t="s">
        <v>32</v>
      </c>
      <c r="AF1253" s="1" t="s">
        <v>33</v>
      </c>
      <c r="AG1253" s="1" t="s">
        <v>270</v>
      </c>
    </row>
    <row r="1254" spans="1:33">
      <c r="A1254" t="s">
        <v>4782</v>
      </c>
      <c r="B1254" t="s">
        <v>4783</v>
      </c>
      <c r="C1254" t="s">
        <v>268</v>
      </c>
      <c r="E1254" t="s">
        <v>3238</v>
      </c>
      <c r="F1254" t="s">
        <v>3239</v>
      </c>
      <c r="G1254">
        <v>322.0</v>
      </c>
      <c r="H1254">
        <v>322.0</v>
      </c>
      <c r="I1254" t="s">
        <v>269</v>
      </c>
      <c r="J1254" t="s">
        <v>270</v>
      </c>
      <c r="K1254" t="s">
        <v>31</v>
      </c>
      <c r="L1254" t="s">
        <v>32</v>
      </c>
      <c r="M1254" t="s">
        <v>33</v>
      </c>
      <c r="P1254" s="1" t="s">
        <v>4784</v>
      </c>
      <c r="Q1254" s="1" t="s">
        <v>3238</v>
      </c>
      <c r="R1254" s="1" t="s">
        <v>3238</v>
      </c>
      <c r="S1254" s="1"/>
      <c r="T1254" s="1" t="s">
        <v>268</v>
      </c>
      <c r="U1254" s="1"/>
      <c r="V1254" s="1">
        <v>322.0</v>
      </c>
      <c r="W1254" s="1">
        <v>322.0</v>
      </c>
      <c r="X1254" s="1" t="s">
        <v>35</v>
      </c>
      <c r="Y1254" s="1">
        <v>322000</v>
      </c>
      <c r="Z1254" s="1"/>
      <c r="AA1254" s="1">
        <v>322000</v>
      </c>
      <c r="AB1254" s="1"/>
      <c r="AC1254" s="1" t="s">
        <v>36</v>
      </c>
      <c r="AD1254" s="1" t="s">
        <v>4785</v>
      </c>
      <c r="AE1254" s="1" t="s">
        <v>32</v>
      </c>
      <c r="AF1254" s="1" t="s">
        <v>33</v>
      </c>
      <c r="AG1254" s="1" t="s">
        <v>270</v>
      </c>
    </row>
    <row r="1255" spans="1:33">
      <c r="A1255" t="s">
        <v>4786</v>
      </c>
      <c r="C1255" t="s">
        <v>595</v>
      </c>
      <c r="E1255" t="s">
        <v>3238</v>
      </c>
      <c r="F1255" t="s">
        <v>3239</v>
      </c>
      <c r="G1255">
        <v>1.118</v>
      </c>
      <c r="H1255">
        <v>1.118</v>
      </c>
      <c r="I1255" t="s">
        <v>269</v>
      </c>
      <c r="J1255" t="s">
        <v>270</v>
      </c>
      <c r="K1255" t="s">
        <v>31</v>
      </c>
      <c r="L1255" t="s">
        <v>32</v>
      </c>
      <c r="M1255" t="s">
        <v>33</v>
      </c>
      <c r="P1255" s="1" t="s">
        <v>4787</v>
      </c>
      <c r="Q1255" s="1" t="s">
        <v>3238</v>
      </c>
      <c r="R1255" s="1" t="s">
        <v>3238</v>
      </c>
      <c r="S1255" s="1"/>
      <c r="T1255" s="1" t="s">
        <v>595</v>
      </c>
      <c r="U1255" s="1"/>
      <c r="V1255" s="1">
        <v>1.118</v>
      </c>
      <c r="W1255" s="1">
        <v>1.118</v>
      </c>
      <c r="X1255" s="1" t="s">
        <v>35</v>
      </c>
      <c r="Y1255" s="1">
        <v>1118000</v>
      </c>
      <c r="Z1255" s="1"/>
      <c r="AA1255" s="1">
        <v>1118000</v>
      </c>
      <c r="AB1255" s="1"/>
      <c r="AC1255" s="1" t="s">
        <v>36</v>
      </c>
      <c r="AD1255" s="1" t="s">
        <v>4788</v>
      </c>
      <c r="AE1255" s="1" t="s">
        <v>32</v>
      </c>
      <c r="AF1255" s="1" t="s">
        <v>33</v>
      </c>
      <c r="AG1255" s="1" t="s">
        <v>270</v>
      </c>
    </row>
    <row r="1256" spans="1:33">
      <c r="A1256" t="s">
        <v>4789</v>
      </c>
      <c r="B1256" t="s">
        <v>4790</v>
      </c>
      <c r="C1256" t="s">
        <v>73</v>
      </c>
      <c r="E1256" t="s">
        <v>3238</v>
      </c>
      <c r="F1256" t="s">
        <v>3239</v>
      </c>
      <c r="G1256">
        <v>65.97</v>
      </c>
      <c r="H1256">
        <v>65.97</v>
      </c>
      <c r="I1256" t="s">
        <v>40</v>
      </c>
      <c r="J1256" t="s">
        <v>41</v>
      </c>
      <c r="K1256" t="s">
        <v>31</v>
      </c>
      <c r="L1256" t="s">
        <v>32</v>
      </c>
      <c r="M1256" t="s">
        <v>33</v>
      </c>
      <c r="P1256" s="1" t="s">
        <v>4791</v>
      </c>
      <c r="Q1256" s="1" t="s">
        <v>3238</v>
      </c>
      <c r="R1256" s="1" t="s">
        <v>2984</v>
      </c>
      <c r="S1256" s="1"/>
      <c r="T1256" s="1" t="s">
        <v>75</v>
      </c>
      <c r="U1256" s="1" t="s">
        <v>76</v>
      </c>
      <c r="V1256" s="1">
        <v>65.97</v>
      </c>
      <c r="W1256" s="1">
        <v>65.97</v>
      </c>
      <c r="X1256" s="1" t="s">
        <v>35</v>
      </c>
      <c r="Y1256" s="1">
        <v>65970</v>
      </c>
      <c r="Z1256" s="1"/>
      <c r="AA1256" s="1">
        <v>65970</v>
      </c>
      <c r="AB1256" s="1"/>
      <c r="AC1256" s="1" t="s">
        <v>36</v>
      </c>
      <c r="AD1256" s="1" t="s">
        <v>4788</v>
      </c>
      <c r="AE1256" s="1" t="s">
        <v>32</v>
      </c>
      <c r="AF1256" s="1" t="s">
        <v>33</v>
      </c>
      <c r="AG1256" s="1" t="s">
        <v>41</v>
      </c>
    </row>
    <row r="1257" spans="1:33">
      <c r="A1257" t="s">
        <v>4792</v>
      </c>
      <c r="B1257" t="s">
        <v>168</v>
      </c>
      <c r="C1257" t="s">
        <v>125</v>
      </c>
      <c r="E1257" t="s">
        <v>3238</v>
      </c>
      <c r="F1257" t="s">
        <v>3239</v>
      </c>
      <c r="G1257">
        <v>23.387</v>
      </c>
      <c r="H1257">
        <v>23.387</v>
      </c>
      <c r="I1257" t="s">
        <v>126</v>
      </c>
      <c r="J1257" t="s">
        <v>127</v>
      </c>
      <c r="K1257" t="s">
        <v>31</v>
      </c>
      <c r="L1257" t="s">
        <v>32</v>
      </c>
      <c r="M1257" t="s">
        <v>33</v>
      </c>
      <c r="P1257" s="1" t="s">
        <v>4793</v>
      </c>
      <c r="Q1257" s="1" t="s">
        <v>3238</v>
      </c>
      <c r="R1257" s="1" t="s">
        <v>3238</v>
      </c>
      <c r="S1257" s="1"/>
      <c r="T1257" s="1" t="s">
        <v>125</v>
      </c>
      <c r="U1257" s="1"/>
      <c r="V1257" s="1">
        <v>23.387</v>
      </c>
      <c r="W1257" s="1">
        <v>23.387</v>
      </c>
      <c r="X1257" s="1" t="s">
        <v>35</v>
      </c>
      <c r="Y1257" s="1">
        <v>23387</v>
      </c>
      <c r="Z1257" s="1"/>
      <c r="AA1257" s="1">
        <v>23387.0</v>
      </c>
      <c r="AB1257" s="1"/>
      <c r="AC1257" s="1" t="s">
        <v>36</v>
      </c>
      <c r="AD1257" s="1" t="s">
        <v>4794</v>
      </c>
      <c r="AE1257" s="1" t="s">
        <v>32</v>
      </c>
      <c r="AF1257" s="1" t="s">
        <v>33</v>
      </c>
      <c r="AG1257" s="1" t="s">
        <v>127</v>
      </c>
    </row>
    <row r="1258" spans="1:33">
      <c r="A1258" t="s">
        <v>4795</v>
      </c>
      <c r="C1258" t="s">
        <v>4796</v>
      </c>
      <c r="E1258" t="s">
        <v>3238</v>
      </c>
      <c r="F1258" t="s">
        <v>3239</v>
      </c>
      <c r="G1258">
        <v>1.171</v>
      </c>
      <c r="H1258">
        <v>1.171</v>
      </c>
      <c r="I1258" t="s">
        <v>2206</v>
      </c>
      <c r="J1258" t="s">
        <v>49</v>
      </c>
      <c r="K1258" t="s">
        <v>31</v>
      </c>
      <c r="L1258" t="s">
        <v>32</v>
      </c>
      <c r="M1258" t="s">
        <v>33</v>
      </c>
      <c r="P1258" s="1" t="s">
        <v>4797</v>
      </c>
      <c r="Q1258" s="1" t="s">
        <v>3238</v>
      </c>
      <c r="R1258" s="1" t="s">
        <v>3238</v>
      </c>
      <c r="S1258" s="1"/>
      <c r="T1258" s="1" t="s">
        <v>4796</v>
      </c>
      <c r="U1258" s="1"/>
      <c r="V1258" s="1">
        <v>1.171</v>
      </c>
      <c r="W1258" s="1">
        <v>1.171</v>
      </c>
      <c r="X1258" s="1" t="s">
        <v>35</v>
      </c>
      <c r="Y1258" s="1">
        <v>1171750</v>
      </c>
      <c r="Z1258" s="1"/>
      <c r="AA1258" s="1">
        <v>1171750</v>
      </c>
      <c r="AB1258" s="1"/>
      <c r="AC1258" s="1" t="s">
        <v>36</v>
      </c>
      <c r="AD1258" s="1" t="s">
        <v>4788</v>
      </c>
      <c r="AE1258" s="1" t="s">
        <v>32</v>
      </c>
      <c r="AF1258" s="1" t="s">
        <v>33</v>
      </c>
      <c r="AG1258" s="1" t="s">
        <v>49</v>
      </c>
    </row>
    <row r="1259" spans="1:33">
      <c r="A1259" t="s">
        <v>4798</v>
      </c>
      <c r="B1259" t="s">
        <v>4799</v>
      </c>
      <c r="C1259" t="s">
        <v>172</v>
      </c>
      <c r="E1259" t="s">
        <v>3238</v>
      </c>
      <c r="F1259" t="s">
        <v>3239</v>
      </c>
      <c r="G1259">
        <v>49.48</v>
      </c>
      <c r="H1259">
        <v>49.48</v>
      </c>
      <c r="I1259" t="s">
        <v>173</v>
      </c>
      <c r="J1259" t="s">
        <v>174</v>
      </c>
      <c r="K1259" t="s">
        <v>31</v>
      </c>
      <c r="L1259" t="s">
        <v>32</v>
      </c>
      <c r="M1259" t="s">
        <v>33</v>
      </c>
      <c r="P1259" s="1" t="s">
        <v>4800</v>
      </c>
      <c r="Q1259" s="1" t="s">
        <v>3238</v>
      </c>
      <c r="R1259" s="1" t="s">
        <v>3238</v>
      </c>
      <c r="S1259" s="1"/>
      <c r="T1259" s="1" t="s">
        <v>172</v>
      </c>
      <c r="U1259" s="1"/>
      <c r="V1259" s="1">
        <v>49.48</v>
      </c>
      <c r="W1259" s="1">
        <v>49.48</v>
      </c>
      <c r="X1259" s="1" t="s">
        <v>35</v>
      </c>
      <c r="Y1259" s="1">
        <v>49480</v>
      </c>
      <c r="Z1259" s="1"/>
      <c r="AA1259" s="1">
        <v>49480</v>
      </c>
      <c r="AB1259" s="1"/>
      <c r="AC1259" s="1" t="s">
        <v>36</v>
      </c>
      <c r="AD1259" s="1" t="s">
        <v>4801</v>
      </c>
      <c r="AE1259" s="1" t="s">
        <v>32</v>
      </c>
      <c r="AF1259" s="1" t="s">
        <v>33</v>
      </c>
      <c r="AG1259" s="1" t="s">
        <v>174</v>
      </c>
    </row>
    <row r="1260" spans="1:33">
      <c r="A1260" t="s">
        <v>4802</v>
      </c>
      <c r="B1260" t="s">
        <v>4803</v>
      </c>
      <c r="C1260" t="s">
        <v>125</v>
      </c>
      <c r="E1260" t="s">
        <v>3238</v>
      </c>
      <c r="F1260" t="s">
        <v>3239</v>
      </c>
      <c r="G1260">
        <v>14.88</v>
      </c>
      <c r="H1260">
        <v>14.88</v>
      </c>
      <c r="I1260" t="s">
        <v>126</v>
      </c>
      <c r="J1260" t="s">
        <v>127</v>
      </c>
      <c r="K1260" t="s">
        <v>31</v>
      </c>
      <c r="L1260" t="s">
        <v>32</v>
      </c>
      <c r="M1260" t="s">
        <v>33</v>
      </c>
      <c r="P1260" s="1" t="s">
        <v>4804</v>
      </c>
      <c r="Q1260" s="1" t="s">
        <v>3238</v>
      </c>
      <c r="R1260" s="1" t="s">
        <v>3238</v>
      </c>
      <c r="S1260" s="1"/>
      <c r="T1260" s="1" t="s">
        <v>125</v>
      </c>
      <c r="U1260" s="1"/>
      <c r="V1260" s="1">
        <v>14.88</v>
      </c>
      <c r="W1260" s="1">
        <v>14.88</v>
      </c>
      <c r="X1260" s="1" t="s">
        <v>35</v>
      </c>
      <c r="Y1260" s="1">
        <v>14880</v>
      </c>
      <c r="Z1260" s="1"/>
      <c r="AA1260" s="1">
        <v>14880</v>
      </c>
      <c r="AB1260" s="1"/>
      <c r="AC1260" s="1" t="s">
        <v>36</v>
      </c>
      <c r="AD1260" s="1" t="s">
        <v>4805</v>
      </c>
      <c r="AE1260" s="1" t="s">
        <v>32</v>
      </c>
      <c r="AF1260" s="1" t="s">
        <v>33</v>
      </c>
      <c r="AG1260" s="1" t="s">
        <v>127</v>
      </c>
    </row>
    <row r="1261" spans="1:33">
      <c r="A1261" t="s">
        <v>4806</v>
      </c>
      <c r="B1261" t="s">
        <v>4807</v>
      </c>
      <c r="C1261" t="s">
        <v>73</v>
      </c>
      <c r="E1261" t="s">
        <v>3238</v>
      </c>
      <c r="F1261" t="s">
        <v>3239</v>
      </c>
      <c r="G1261">
        <v>89.98</v>
      </c>
      <c r="H1261">
        <v>89.98</v>
      </c>
      <c r="I1261" t="s">
        <v>40</v>
      </c>
      <c r="J1261" t="s">
        <v>41</v>
      </c>
      <c r="K1261" t="s">
        <v>31</v>
      </c>
      <c r="L1261" t="s">
        <v>32</v>
      </c>
      <c r="M1261" t="s">
        <v>33</v>
      </c>
      <c r="P1261" s="1" t="s">
        <v>4808</v>
      </c>
      <c r="Q1261" s="1" t="s">
        <v>3238</v>
      </c>
      <c r="R1261" s="1" t="s">
        <v>2984</v>
      </c>
      <c r="S1261" s="1"/>
      <c r="T1261" s="1" t="s">
        <v>75</v>
      </c>
      <c r="U1261" s="1" t="s">
        <v>76</v>
      </c>
      <c r="V1261" s="1">
        <v>89.98</v>
      </c>
      <c r="W1261" s="1">
        <v>89.98</v>
      </c>
      <c r="X1261" s="1" t="s">
        <v>35</v>
      </c>
      <c r="Y1261" s="1">
        <v>89980</v>
      </c>
      <c r="Z1261" s="1"/>
      <c r="AA1261" s="1">
        <v>89980</v>
      </c>
      <c r="AB1261" s="1"/>
      <c r="AC1261" s="1" t="s">
        <v>36</v>
      </c>
      <c r="AD1261" s="1" t="s">
        <v>4809</v>
      </c>
      <c r="AE1261" s="1" t="s">
        <v>32</v>
      </c>
      <c r="AF1261" s="1" t="s">
        <v>33</v>
      </c>
      <c r="AG1261" s="1" t="s">
        <v>41</v>
      </c>
    </row>
    <row r="1262" spans="1:33">
      <c r="A1262" t="s">
        <v>4810</v>
      </c>
      <c r="B1262" t="s">
        <v>4811</v>
      </c>
      <c r="C1262" t="s">
        <v>414</v>
      </c>
      <c r="E1262" t="s">
        <v>3238</v>
      </c>
      <c r="F1262" t="s">
        <v>3239</v>
      </c>
      <c r="G1262">
        <v>45.0</v>
      </c>
      <c r="H1262">
        <v>45.0</v>
      </c>
      <c r="I1262" t="s">
        <v>539</v>
      </c>
      <c r="J1262" t="s">
        <v>540</v>
      </c>
      <c r="K1262" t="s">
        <v>31</v>
      </c>
      <c r="L1262" t="s">
        <v>32</v>
      </c>
      <c r="M1262" t="s">
        <v>33</v>
      </c>
      <c r="P1262" s="1" t="s">
        <v>4812</v>
      </c>
      <c r="Q1262" s="1" t="s">
        <v>3238</v>
      </c>
      <c r="R1262" s="1" t="s">
        <v>2984</v>
      </c>
      <c r="S1262" s="1"/>
      <c r="T1262" s="1" t="s">
        <v>414</v>
      </c>
      <c r="U1262" s="1"/>
      <c r="V1262" s="1">
        <v>45.0</v>
      </c>
      <c r="W1262" s="1">
        <v>45.0</v>
      </c>
      <c r="X1262" s="1" t="s">
        <v>35</v>
      </c>
      <c r="Y1262" s="1">
        <v>45000</v>
      </c>
      <c r="Z1262" s="1"/>
      <c r="AA1262" s="1">
        <v>45000</v>
      </c>
      <c r="AB1262" s="1"/>
      <c r="AC1262" s="1" t="s">
        <v>36</v>
      </c>
      <c r="AD1262" s="1" t="s">
        <v>4813</v>
      </c>
      <c r="AE1262" s="1" t="s">
        <v>32</v>
      </c>
      <c r="AF1262" s="1" t="s">
        <v>33</v>
      </c>
      <c r="AG1262" s="1" t="s">
        <v>540</v>
      </c>
    </row>
    <row r="1263" spans="1:33">
      <c r="A1263" t="s">
        <v>4814</v>
      </c>
      <c r="B1263" t="s">
        <v>4815</v>
      </c>
      <c r="C1263" t="s">
        <v>131</v>
      </c>
      <c r="E1263" t="s">
        <v>3238</v>
      </c>
      <c r="F1263" t="s">
        <v>3239</v>
      </c>
      <c r="G1263">
        <v>18.49</v>
      </c>
      <c r="H1263">
        <v>18.49</v>
      </c>
      <c r="I1263" t="s">
        <v>94</v>
      </c>
      <c r="J1263" t="s">
        <v>95</v>
      </c>
      <c r="K1263" t="s">
        <v>31</v>
      </c>
      <c r="L1263" t="s">
        <v>32</v>
      </c>
      <c r="M1263" t="s">
        <v>33</v>
      </c>
      <c r="P1263" s="1" t="s">
        <v>4816</v>
      </c>
      <c r="Q1263" s="1" t="s">
        <v>3238</v>
      </c>
      <c r="R1263" s="1" t="s">
        <v>3238</v>
      </c>
      <c r="S1263" s="1"/>
      <c r="T1263" s="1" t="s">
        <v>131</v>
      </c>
      <c r="U1263" s="1"/>
      <c r="V1263" s="1">
        <v>18.49</v>
      </c>
      <c r="W1263" s="1">
        <v>18.49</v>
      </c>
      <c r="X1263" s="1" t="s">
        <v>35</v>
      </c>
      <c r="Y1263" s="1">
        <v>18490</v>
      </c>
      <c r="Z1263" s="1"/>
      <c r="AA1263" s="1">
        <v>18490</v>
      </c>
      <c r="AB1263" s="1"/>
      <c r="AC1263" s="1" t="s">
        <v>36</v>
      </c>
      <c r="AD1263" s="1" t="s">
        <v>4801</v>
      </c>
      <c r="AE1263" s="1" t="s">
        <v>32</v>
      </c>
      <c r="AF1263" s="1" t="s">
        <v>33</v>
      </c>
      <c r="AG1263" s="1" t="s">
        <v>95</v>
      </c>
    </row>
    <row r="1264" spans="1:33">
      <c r="A1264" t="s">
        <v>4817</v>
      </c>
      <c r="C1264" t="s">
        <v>2284</v>
      </c>
      <c r="E1264" t="s">
        <v>3238</v>
      </c>
      <c r="F1264" t="s">
        <v>3239</v>
      </c>
      <c r="G1264">
        <v>565.0</v>
      </c>
      <c r="H1264">
        <v>565.0</v>
      </c>
      <c r="I1264" t="s">
        <v>136</v>
      </c>
      <c r="J1264" t="s">
        <v>137</v>
      </c>
      <c r="K1264" t="s">
        <v>31</v>
      </c>
      <c r="L1264" t="s">
        <v>32</v>
      </c>
      <c r="M1264" t="s">
        <v>33</v>
      </c>
      <c r="P1264" s="1" t="s">
        <v>4818</v>
      </c>
      <c r="Q1264" s="1" t="s">
        <v>3238</v>
      </c>
      <c r="R1264" s="1" t="s">
        <v>3238</v>
      </c>
      <c r="S1264" s="1"/>
      <c r="T1264" s="1" t="s">
        <v>2284</v>
      </c>
      <c r="U1264" s="1"/>
      <c r="V1264" s="1">
        <v>565.0</v>
      </c>
      <c r="W1264" s="1">
        <v>565.0</v>
      </c>
      <c r="X1264" s="1" t="s">
        <v>35</v>
      </c>
      <c r="Y1264" s="1">
        <v>565000</v>
      </c>
      <c r="Z1264" s="1"/>
      <c r="AA1264" s="1">
        <v>565000</v>
      </c>
      <c r="AB1264" s="1"/>
      <c r="AC1264" s="1" t="s">
        <v>36</v>
      </c>
      <c r="AD1264" s="1" t="s">
        <v>4809</v>
      </c>
      <c r="AE1264" s="1" t="s">
        <v>32</v>
      </c>
      <c r="AF1264" s="1" t="s">
        <v>33</v>
      </c>
      <c r="AG1264" s="1" t="s">
        <v>137</v>
      </c>
    </row>
    <row r="1265" spans="1:33">
      <c r="A1265" t="s">
        <v>4819</v>
      </c>
      <c r="B1265" t="s">
        <v>4820</v>
      </c>
      <c r="C1265" t="s">
        <v>125</v>
      </c>
      <c r="E1265" t="s">
        <v>3238</v>
      </c>
      <c r="F1265" t="s">
        <v>3239</v>
      </c>
      <c r="G1265">
        <v>69.17</v>
      </c>
      <c r="H1265">
        <v>69.17</v>
      </c>
      <c r="I1265" t="s">
        <v>126</v>
      </c>
      <c r="J1265" t="s">
        <v>127</v>
      </c>
      <c r="K1265" t="s">
        <v>31</v>
      </c>
      <c r="L1265" t="s">
        <v>32</v>
      </c>
      <c r="M1265" t="s">
        <v>33</v>
      </c>
      <c r="P1265" s="1" t="s">
        <v>4821</v>
      </c>
      <c r="Q1265" s="1" t="s">
        <v>3238</v>
      </c>
      <c r="R1265" s="1" t="s">
        <v>3238</v>
      </c>
      <c r="S1265" s="1"/>
      <c r="T1265" s="1" t="s">
        <v>125</v>
      </c>
      <c r="U1265" s="1"/>
      <c r="V1265" s="1">
        <v>69.17</v>
      </c>
      <c r="W1265" s="1">
        <v>69.17</v>
      </c>
      <c r="X1265" s="1" t="s">
        <v>35</v>
      </c>
      <c r="Y1265" s="1">
        <v>69170</v>
      </c>
      <c r="Z1265" s="1"/>
      <c r="AA1265" s="1">
        <v>69170</v>
      </c>
      <c r="AB1265" s="1"/>
      <c r="AC1265" s="1" t="s">
        <v>36</v>
      </c>
      <c r="AD1265" s="1" t="s">
        <v>4822</v>
      </c>
      <c r="AE1265" s="1" t="s">
        <v>32</v>
      </c>
      <c r="AF1265" s="1" t="s">
        <v>33</v>
      </c>
      <c r="AG1265" s="1" t="s">
        <v>127</v>
      </c>
    </row>
    <row r="1266" spans="1:33">
      <c r="A1266" t="s">
        <v>4823</v>
      </c>
      <c r="B1266" t="s">
        <v>4824</v>
      </c>
      <c r="C1266" t="s">
        <v>314</v>
      </c>
      <c r="E1266" t="s">
        <v>2292</v>
      </c>
      <c r="F1266" t="s">
        <v>2293</v>
      </c>
      <c r="G1266">
        <v>37.49</v>
      </c>
      <c r="H1266">
        <v>37.49</v>
      </c>
      <c r="I1266" t="s">
        <v>179</v>
      </c>
      <c r="J1266" t="s">
        <v>180</v>
      </c>
      <c r="K1266" t="s">
        <v>31</v>
      </c>
      <c r="L1266" t="s">
        <v>32</v>
      </c>
      <c r="M1266" t="s">
        <v>33</v>
      </c>
      <c r="P1266" s="1" t="s">
        <v>4825</v>
      </c>
      <c r="Q1266" s="1" t="s">
        <v>3238</v>
      </c>
      <c r="R1266" s="1" t="s">
        <v>3238</v>
      </c>
      <c r="S1266" s="1"/>
      <c r="T1266" s="1" t="s">
        <v>314</v>
      </c>
      <c r="U1266" s="1"/>
      <c r="V1266" s="1">
        <v>37.49</v>
      </c>
      <c r="W1266" s="1">
        <v>37.49</v>
      </c>
      <c r="X1266" s="1" t="s">
        <v>35</v>
      </c>
      <c r="Y1266" s="1">
        <v>37490</v>
      </c>
      <c r="Z1266" s="1"/>
      <c r="AA1266" s="1">
        <v>37490</v>
      </c>
      <c r="AB1266" s="1"/>
      <c r="AC1266" s="1" t="s">
        <v>36</v>
      </c>
      <c r="AD1266" s="1" t="s">
        <v>4826</v>
      </c>
      <c r="AE1266" s="1" t="s">
        <v>32</v>
      </c>
      <c r="AF1266" s="1" t="s">
        <v>33</v>
      </c>
      <c r="AG1266" s="1" t="s">
        <v>180</v>
      </c>
    </row>
    <row r="1267" spans="1:33">
      <c r="A1267" t="s">
        <v>4827</v>
      </c>
      <c r="B1267" t="s">
        <v>4828</v>
      </c>
      <c r="C1267" t="s">
        <v>47</v>
      </c>
      <c r="E1267" t="s">
        <v>3238</v>
      </c>
      <c r="F1267" t="s">
        <v>3239</v>
      </c>
      <c r="G1267">
        <v>20.99</v>
      </c>
      <c r="H1267">
        <v>20.99</v>
      </c>
      <c r="I1267" t="s">
        <v>2206</v>
      </c>
      <c r="J1267" t="s">
        <v>49</v>
      </c>
      <c r="K1267" t="s">
        <v>31</v>
      </c>
      <c r="L1267" t="s">
        <v>32</v>
      </c>
      <c r="M1267" t="s">
        <v>33</v>
      </c>
      <c r="P1267" s="1" t="s">
        <v>4829</v>
      </c>
      <c r="Q1267" s="1" t="s">
        <v>3238</v>
      </c>
      <c r="R1267" s="1" t="s">
        <v>3238</v>
      </c>
      <c r="S1267" s="1"/>
      <c r="T1267" s="1" t="s">
        <v>47</v>
      </c>
      <c r="U1267" s="1"/>
      <c r="V1267" s="1">
        <v>20.99</v>
      </c>
      <c r="W1267" s="1">
        <v>20.99</v>
      </c>
      <c r="X1267" s="1" t="s">
        <v>35</v>
      </c>
      <c r="Y1267" s="1">
        <v>20990</v>
      </c>
      <c r="Z1267" s="1"/>
      <c r="AA1267" s="1">
        <v>20990</v>
      </c>
      <c r="AB1267" s="1"/>
      <c r="AC1267" s="1" t="s">
        <v>36</v>
      </c>
      <c r="AD1267" s="1" t="s">
        <v>4830</v>
      </c>
      <c r="AE1267" s="1" t="s">
        <v>32</v>
      </c>
      <c r="AF1267" s="1" t="s">
        <v>33</v>
      </c>
      <c r="AG1267" s="1" t="s">
        <v>49</v>
      </c>
    </row>
    <row r="1268" spans="1:33">
      <c r="A1268" t="s">
        <v>4831</v>
      </c>
      <c r="B1268" t="s">
        <v>1870</v>
      </c>
      <c r="C1268" t="s">
        <v>314</v>
      </c>
      <c r="E1268" t="s">
        <v>3238</v>
      </c>
      <c r="F1268" t="s">
        <v>3239</v>
      </c>
      <c r="G1268">
        <v>18.59</v>
      </c>
      <c r="H1268">
        <v>18.59</v>
      </c>
      <c r="I1268" t="s">
        <v>179</v>
      </c>
      <c r="J1268" t="s">
        <v>180</v>
      </c>
      <c r="K1268" t="s">
        <v>31</v>
      </c>
      <c r="L1268" t="s">
        <v>32</v>
      </c>
      <c r="M1268" t="s">
        <v>33</v>
      </c>
      <c r="P1268" s="1" t="s">
        <v>4832</v>
      </c>
      <c r="Q1268" s="1" t="s">
        <v>3238</v>
      </c>
      <c r="R1268" s="1" t="s">
        <v>3238</v>
      </c>
      <c r="S1268" s="1"/>
      <c r="T1268" s="1" t="s">
        <v>314</v>
      </c>
      <c r="U1268" s="1"/>
      <c r="V1268" s="1">
        <v>18.59</v>
      </c>
      <c r="W1268" s="1">
        <v>18.59</v>
      </c>
      <c r="X1268" s="1" t="s">
        <v>35</v>
      </c>
      <c r="Y1268" s="1">
        <v>18590</v>
      </c>
      <c r="Z1268" s="1"/>
      <c r="AA1268" s="1">
        <v>18590</v>
      </c>
      <c r="AB1268" s="1"/>
      <c r="AC1268" s="1" t="s">
        <v>36</v>
      </c>
      <c r="AD1268" s="1" t="s">
        <v>4833</v>
      </c>
      <c r="AE1268" s="1" t="s">
        <v>32</v>
      </c>
      <c r="AF1268" s="1" t="s">
        <v>33</v>
      </c>
      <c r="AG1268" s="1" t="s">
        <v>180</v>
      </c>
    </row>
    <row r="1269" spans="1:33">
      <c r="A1269" t="s">
        <v>4834</v>
      </c>
      <c r="C1269" t="s">
        <v>4763</v>
      </c>
      <c r="E1269" t="s">
        <v>3238</v>
      </c>
      <c r="F1269" t="s">
        <v>3239</v>
      </c>
      <c r="G1269">
        <v>642.0</v>
      </c>
      <c r="H1269">
        <v>642.0</v>
      </c>
      <c r="I1269" t="s">
        <v>136</v>
      </c>
      <c r="J1269" t="s">
        <v>137</v>
      </c>
      <c r="K1269" t="s">
        <v>31</v>
      </c>
      <c r="L1269" t="s">
        <v>32</v>
      </c>
      <c r="M1269" t="s">
        <v>33</v>
      </c>
      <c r="P1269" s="1" t="s">
        <v>4835</v>
      </c>
      <c r="Q1269" s="1" t="s">
        <v>3238</v>
      </c>
      <c r="R1269" s="1" t="s">
        <v>3238</v>
      </c>
      <c r="S1269" s="1"/>
      <c r="T1269" s="1" t="s">
        <v>4765</v>
      </c>
      <c r="U1269" s="1" t="s">
        <v>4766</v>
      </c>
      <c r="V1269" s="1">
        <v>642.0</v>
      </c>
      <c r="W1269" s="1">
        <v>642.0</v>
      </c>
      <c r="X1269" s="1" t="s">
        <v>35</v>
      </c>
      <c r="Y1269" s="1">
        <v>642000</v>
      </c>
      <c r="Z1269" s="1"/>
      <c r="AA1269" s="1">
        <v>642000</v>
      </c>
      <c r="AB1269" s="1"/>
      <c r="AC1269" s="1" t="s">
        <v>36</v>
      </c>
      <c r="AD1269" s="1" t="s">
        <v>4836</v>
      </c>
      <c r="AE1269" s="1" t="s">
        <v>32</v>
      </c>
      <c r="AF1269" s="1" t="s">
        <v>33</v>
      </c>
      <c r="AG1269" s="1" t="s">
        <v>137</v>
      </c>
    </row>
    <row r="1270" spans="1:33">
      <c r="A1270" t="s">
        <v>4837</v>
      </c>
      <c r="B1270" t="s">
        <v>4838</v>
      </c>
      <c r="C1270" t="s">
        <v>47</v>
      </c>
      <c r="E1270" t="s">
        <v>3238</v>
      </c>
      <c r="F1270" t="s">
        <v>3239</v>
      </c>
      <c r="G1270">
        <v>20.99</v>
      </c>
      <c r="H1270">
        <v>20.99</v>
      </c>
      <c r="I1270" t="s">
        <v>2206</v>
      </c>
      <c r="J1270" t="s">
        <v>49</v>
      </c>
      <c r="K1270" t="s">
        <v>31</v>
      </c>
      <c r="L1270" t="s">
        <v>32</v>
      </c>
      <c r="M1270" t="s">
        <v>33</v>
      </c>
      <c r="P1270" s="1" t="s">
        <v>4839</v>
      </c>
      <c r="Q1270" s="1" t="s">
        <v>3238</v>
      </c>
      <c r="R1270" s="1" t="s">
        <v>3238</v>
      </c>
      <c r="S1270" s="1"/>
      <c r="T1270" s="1" t="s">
        <v>47</v>
      </c>
      <c r="U1270" s="1"/>
      <c r="V1270" s="1">
        <v>20.99</v>
      </c>
      <c r="W1270" s="1">
        <v>20.99</v>
      </c>
      <c r="X1270" s="1" t="s">
        <v>35</v>
      </c>
      <c r="Y1270" s="1">
        <v>20990</v>
      </c>
      <c r="Z1270" s="1"/>
      <c r="AA1270" s="1">
        <v>20990</v>
      </c>
      <c r="AB1270" s="1"/>
      <c r="AC1270" s="1" t="s">
        <v>36</v>
      </c>
      <c r="AD1270" s="1" t="s">
        <v>4805</v>
      </c>
      <c r="AE1270" s="1" t="s">
        <v>32</v>
      </c>
      <c r="AF1270" s="1" t="s">
        <v>33</v>
      </c>
      <c r="AG1270" s="1" t="s">
        <v>49</v>
      </c>
    </row>
    <row r="1271" spans="1:33">
      <c r="A1271" t="s">
        <v>4840</v>
      </c>
      <c r="C1271" t="s">
        <v>135</v>
      </c>
      <c r="E1271" t="s">
        <v>3238</v>
      </c>
      <c r="F1271" t="s">
        <v>3239</v>
      </c>
      <c r="G1271">
        <v>74.83</v>
      </c>
      <c r="H1271">
        <v>74.83</v>
      </c>
      <c r="I1271" t="s">
        <v>136</v>
      </c>
      <c r="J1271" t="s">
        <v>137</v>
      </c>
      <c r="K1271" t="s">
        <v>31</v>
      </c>
      <c r="L1271" t="s">
        <v>32</v>
      </c>
      <c r="M1271" t="s">
        <v>33</v>
      </c>
      <c r="P1271" s="1" t="s">
        <v>4841</v>
      </c>
      <c r="Q1271" s="1" t="s">
        <v>3238</v>
      </c>
      <c r="R1271" s="1" t="s">
        <v>3238</v>
      </c>
      <c r="S1271" s="1"/>
      <c r="T1271" s="1" t="s">
        <v>135</v>
      </c>
      <c r="U1271" s="1"/>
      <c r="V1271" s="1">
        <v>74.83</v>
      </c>
      <c r="W1271" s="1">
        <v>74.83</v>
      </c>
      <c r="X1271" s="1" t="s">
        <v>35</v>
      </c>
      <c r="Y1271" s="1">
        <v>74830</v>
      </c>
      <c r="Z1271" s="1"/>
      <c r="AA1271" s="1">
        <v>74830</v>
      </c>
      <c r="AB1271" s="1"/>
      <c r="AC1271" s="1" t="s">
        <v>36</v>
      </c>
      <c r="AD1271" s="1" t="s">
        <v>4842</v>
      </c>
      <c r="AE1271" s="1" t="s">
        <v>32</v>
      </c>
      <c r="AF1271" s="1" t="s">
        <v>33</v>
      </c>
      <c r="AG1271" s="1" t="s">
        <v>137</v>
      </c>
    </row>
    <row r="1272" spans="1:33">
      <c r="A1272" t="s">
        <v>4843</v>
      </c>
      <c r="C1272" t="s">
        <v>4844</v>
      </c>
      <c r="E1272" t="s">
        <v>3238</v>
      </c>
      <c r="F1272" t="s">
        <v>3239</v>
      </c>
      <c r="G1272">
        <v>1.54</v>
      </c>
      <c r="H1272">
        <v>1.54</v>
      </c>
      <c r="I1272" t="s">
        <v>269</v>
      </c>
      <c r="J1272" t="s">
        <v>270</v>
      </c>
      <c r="K1272" t="s">
        <v>31</v>
      </c>
      <c r="L1272" t="s">
        <v>32</v>
      </c>
      <c r="M1272" t="s">
        <v>33</v>
      </c>
      <c r="P1272" s="1" t="s">
        <v>4845</v>
      </c>
      <c r="Q1272" s="1" t="s">
        <v>3238</v>
      </c>
      <c r="R1272" s="1" t="s">
        <v>3238</v>
      </c>
      <c r="S1272" s="1"/>
      <c r="T1272" s="1" t="s">
        <v>4844</v>
      </c>
      <c r="U1272" s="1"/>
      <c r="V1272" s="1">
        <v>1.54</v>
      </c>
      <c r="W1272" s="1">
        <v>1.54</v>
      </c>
      <c r="X1272" s="1" t="s">
        <v>35</v>
      </c>
      <c r="Y1272" s="1">
        <v>1540000</v>
      </c>
      <c r="Z1272" s="1"/>
      <c r="AA1272" s="1">
        <v>1540000.0</v>
      </c>
      <c r="AB1272" s="1"/>
      <c r="AC1272" s="1" t="s">
        <v>36</v>
      </c>
      <c r="AD1272" s="1" t="s">
        <v>4822</v>
      </c>
      <c r="AE1272" s="1" t="s">
        <v>32</v>
      </c>
      <c r="AF1272" s="1" t="s">
        <v>33</v>
      </c>
      <c r="AG1272" s="1" t="s">
        <v>270</v>
      </c>
    </row>
    <row r="1273" spans="1:33">
      <c r="A1273" t="s">
        <v>4846</v>
      </c>
      <c r="B1273" t="s">
        <v>4847</v>
      </c>
      <c r="C1273" t="s">
        <v>47</v>
      </c>
      <c r="E1273" t="s">
        <v>3238</v>
      </c>
      <c r="F1273" t="s">
        <v>3239</v>
      </c>
      <c r="G1273">
        <v>20.49</v>
      </c>
      <c r="H1273">
        <v>20.49</v>
      </c>
      <c r="I1273" t="s">
        <v>2206</v>
      </c>
      <c r="J1273" t="s">
        <v>49</v>
      </c>
      <c r="K1273" t="s">
        <v>31</v>
      </c>
      <c r="L1273" t="s">
        <v>32</v>
      </c>
      <c r="M1273" t="s">
        <v>33</v>
      </c>
      <c r="P1273" s="1" t="s">
        <v>4848</v>
      </c>
      <c r="Q1273" s="1" t="s">
        <v>3238</v>
      </c>
      <c r="R1273" s="1" t="s">
        <v>3238</v>
      </c>
      <c r="S1273" s="1"/>
      <c r="T1273" s="1" t="s">
        <v>47</v>
      </c>
      <c r="U1273" s="1"/>
      <c r="V1273" s="1">
        <v>20.49</v>
      </c>
      <c r="W1273" s="1">
        <v>20.49</v>
      </c>
      <c r="X1273" s="1" t="s">
        <v>35</v>
      </c>
      <c r="Y1273" s="1">
        <v>20490</v>
      </c>
      <c r="Z1273" s="1"/>
      <c r="AA1273" s="1">
        <v>20490</v>
      </c>
      <c r="AB1273" s="1"/>
      <c r="AC1273" s="1" t="s">
        <v>36</v>
      </c>
      <c r="AD1273" s="1" t="s">
        <v>4822</v>
      </c>
      <c r="AE1273" s="1" t="s">
        <v>32</v>
      </c>
      <c r="AF1273" s="1" t="s">
        <v>33</v>
      </c>
      <c r="AG1273" s="1" t="s">
        <v>49</v>
      </c>
    </row>
    <row r="1274" spans="1:33">
      <c r="A1274" t="s">
        <v>4849</v>
      </c>
      <c r="C1274" t="s">
        <v>4850</v>
      </c>
      <c r="E1274" t="s">
        <v>3238</v>
      </c>
      <c r="F1274" t="s">
        <v>3239</v>
      </c>
      <c r="G1274">
        <v>635.0</v>
      </c>
      <c r="H1274">
        <v>635.0</v>
      </c>
      <c r="I1274" t="s">
        <v>126</v>
      </c>
      <c r="J1274" t="s">
        <v>127</v>
      </c>
      <c r="K1274" t="s">
        <v>31</v>
      </c>
      <c r="L1274" t="s">
        <v>32</v>
      </c>
      <c r="M1274" t="s">
        <v>33</v>
      </c>
      <c r="P1274" s="1" t="s">
        <v>4851</v>
      </c>
      <c r="Q1274" s="1" t="s">
        <v>3238</v>
      </c>
      <c r="R1274" s="1" t="s">
        <v>3238</v>
      </c>
      <c r="S1274" s="1"/>
      <c r="T1274" s="1" t="s">
        <v>4850</v>
      </c>
      <c r="U1274" s="1"/>
      <c r="V1274" s="1">
        <v>635.0</v>
      </c>
      <c r="W1274" s="1">
        <v>635.0</v>
      </c>
      <c r="X1274" s="1" t="s">
        <v>35</v>
      </c>
      <c r="Y1274" s="1">
        <v>635000</v>
      </c>
      <c r="Z1274" s="1"/>
      <c r="AA1274" s="1">
        <v>635000</v>
      </c>
      <c r="AB1274" s="1"/>
      <c r="AC1274" s="1" t="s">
        <v>36</v>
      </c>
      <c r="AD1274" s="1" t="s">
        <v>4833</v>
      </c>
      <c r="AE1274" s="1" t="s">
        <v>32</v>
      </c>
      <c r="AF1274" s="1" t="s">
        <v>33</v>
      </c>
      <c r="AG1274" s="1" t="s">
        <v>127</v>
      </c>
    </row>
    <row r="1275" spans="1:33">
      <c r="A1275" t="s">
        <v>4852</v>
      </c>
      <c r="B1275" t="s">
        <v>4853</v>
      </c>
      <c r="C1275" t="s">
        <v>268</v>
      </c>
      <c r="E1275" t="s">
        <v>3238</v>
      </c>
      <c r="F1275" t="s">
        <v>3239</v>
      </c>
      <c r="G1275">
        <v>150.2</v>
      </c>
      <c r="H1275">
        <v>150.2</v>
      </c>
      <c r="I1275" t="s">
        <v>269</v>
      </c>
      <c r="J1275" t="s">
        <v>270</v>
      </c>
      <c r="K1275" t="s">
        <v>31</v>
      </c>
      <c r="L1275" t="s">
        <v>32</v>
      </c>
      <c r="M1275" t="s">
        <v>33</v>
      </c>
      <c r="P1275" s="1" t="s">
        <v>4854</v>
      </c>
      <c r="Q1275" s="1" t="s">
        <v>3238</v>
      </c>
      <c r="R1275" s="1" t="s">
        <v>3238</v>
      </c>
      <c r="S1275" s="1"/>
      <c r="T1275" s="1" t="s">
        <v>268</v>
      </c>
      <c r="U1275" s="1"/>
      <c r="V1275" s="1">
        <v>150.2</v>
      </c>
      <c r="W1275" s="1">
        <v>150.2</v>
      </c>
      <c r="X1275" s="1" t="s">
        <v>35</v>
      </c>
      <c r="Y1275" s="1">
        <v>150200.0</v>
      </c>
      <c r="Z1275" s="1"/>
      <c r="AA1275" s="1">
        <v>150200.0</v>
      </c>
      <c r="AB1275" s="1"/>
      <c r="AC1275" s="1" t="s">
        <v>36</v>
      </c>
      <c r="AD1275" s="1" t="s">
        <v>4855</v>
      </c>
      <c r="AE1275" s="1" t="s">
        <v>32</v>
      </c>
      <c r="AF1275" s="1" t="s">
        <v>33</v>
      </c>
      <c r="AG1275" s="1" t="s">
        <v>270</v>
      </c>
    </row>
    <row r="1276" spans="1:33">
      <c r="A1276" t="s">
        <v>4856</v>
      </c>
      <c r="C1276" t="s">
        <v>4857</v>
      </c>
      <c r="E1276" t="s">
        <v>3238</v>
      </c>
      <c r="F1276" t="s">
        <v>3239</v>
      </c>
      <c r="G1276">
        <v>320.0</v>
      </c>
      <c r="H1276">
        <v>320.0</v>
      </c>
      <c r="I1276" t="s">
        <v>126</v>
      </c>
      <c r="J1276" t="s">
        <v>127</v>
      </c>
      <c r="K1276" t="s">
        <v>31</v>
      </c>
      <c r="L1276" t="s">
        <v>32</v>
      </c>
      <c r="M1276" t="s">
        <v>33</v>
      </c>
      <c r="P1276" s="1" t="s">
        <v>4858</v>
      </c>
      <c r="Q1276" s="1" t="s">
        <v>3238</v>
      </c>
      <c r="R1276" s="1" t="s">
        <v>3238</v>
      </c>
      <c r="S1276" s="1"/>
      <c r="T1276" s="1" t="s">
        <v>4857</v>
      </c>
      <c r="U1276" s="1"/>
      <c r="V1276" s="1">
        <v>320.0</v>
      </c>
      <c r="W1276" s="1">
        <v>320.0</v>
      </c>
      <c r="X1276" s="1" t="s">
        <v>35</v>
      </c>
      <c r="Y1276" s="1">
        <v>320000</v>
      </c>
      <c r="Z1276" s="1"/>
      <c r="AA1276" s="1">
        <v>320000</v>
      </c>
      <c r="AB1276" s="1"/>
      <c r="AC1276" s="1" t="s">
        <v>36</v>
      </c>
      <c r="AD1276" s="1" t="s">
        <v>4859</v>
      </c>
      <c r="AE1276" s="1" t="s">
        <v>32</v>
      </c>
      <c r="AF1276" s="1" t="s">
        <v>33</v>
      </c>
      <c r="AG1276" s="1" t="s">
        <v>127</v>
      </c>
    </row>
    <row r="1277" spans="1:33">
      <c r="A1277" t="s">
        <v>4860</v>
      </c>
      <c r="C1277" t="s">
        <v>609</v>
      </c>
      <c r="E1277" t="s">
        <v>3238</v>
      </c>
      <c r="F1277" t="s">
        <v>3239</v>
      </c>
      <c r="G1277">
        <v>1.494</v>
      </c>
      <c r="H1277">
        <v>1.494</v>
      </c>
      <c r="I1277" t="s">
        <v>269</v>
      </c>
      <c r="J1277" t="s">
        <v>270</v>
      </c>
      <c r="K1277" t="s">
        <v>31</v>
      </c>
      <c r="L1277" t="s">
        <v>32</v>
      </c>
      <c r="M1277" t="s">
        <v>33</v>
      </c>
      <c r="P1277" s="1" t="s">
        <v>4861</v>
      </c>
      <c r="Q1277" s="1" t="s">
        <v>3238</v>
      </c>
      <c r="R1277" s="1" t="s">
        <v>3238</v>
      </c>
      <c r="S1277" s="1"/>
      <c r="T1277" s="1" t="s">
        <v>609</v>
      </c>
      <c r="U1277" s="1"/>
      <c r="V1277" s="1">
        <v>1.494</v>
      </c>
      <c r="W1277" s="1">
        <v>1.494</v>
      </c>
      <c r="X1277" s="1" t="s">
        <v>35</v>
      </c>
      <c r="Y1277" s="1">
        <v>1494000</v>
      </c>
      <c r="Z1277" s="1"/>
      <c r="AA1277" s="1">
        <v>1494000</v>
      </c>
      <c r="AB1277" s="1"/>
      <c r="AC1277" s="1" t="s">
        <v>36</v>
      </c>
      <c r="AD1277" s="1" t="s">
        <v>4862</v>
      </c>
      <c r="AE1277" s="1" t="s">
        <v>32</v>
      </c>
      <c r="AF1277" s="1" t="s">
        <v>33</v>
      </c>
      <c r="AG1277" s="1" t="s">
        <v>270</v>
      </c>
    </row>
    <row r="1278" spans="1:33">
      <c r="A1278" t="s">
        <v>4863</v>
      </c>
      <c r="C1278" t="s">
        <v>3663</v>
      </c>
      <c r="E1278" t="s">
        <v>3238</v>
      </c>
      <c r="F1278" t="s">
        <v>3239</v>
      </c>
      <c r="G1278">
        <v>29.25</v>
      </c>
      <c r="H1278">
        <v>29.25</v>
      </c>
      <c r="I1278" t="s">
        <v>269</v>
      </c>
      <c r="J1278" t="s">
        <v>270</v>
      </c>
      <c r="K1278" t="s">
        <v>31</v>
      </c>
      <c r="L1278" t="s">
        <v>32</v>
      </c>
      <c r="M1278" t="s">
        <v>33</v>
      </c>
      <c r="P1278" s="1" t="s">
        <v>4864</v>
      </c>
      <c r="Q1278" s="1" t="s">
        <v>3238</v>
      </c>
      <c r="R1278" s="1" t="s">
        <v>3238</v>
      </c>
      <c r="S1278" s="1"/>
      <c r="T1278" s="1" t="s">
        <v>3663</v>
      </c>
      <c r="U1278" s="1"/>
      <c r="V1278" s="1">
        <v>29.25</v>
      </c>
      <c r="W1278" s="1">
        <v>29.25</v>
      </c>
      <c r="X1278" s="1" t="s">
        <v>35</v>
      </c>
      <c r="Y1278" s="1">
        <v>29250</v>
      </c>
      <c r="Z1278" s="1"/>
      <c r="AA1278" s="1">
        <v>29250</v>
      </c>
      <c r="AB1278" s="1"/>
      <c r="AC1278" s="1" t="s">
        <v>36</v>
      </c>
      <c r="AD1278" s="1" t="s">
        <v>4862</v>
      </c>
      <c r="AE1278" s="1" t="s">
        <v>32</v>
      </c>
      <c r="AF1278" s="1" t="s">
        <v>33</v>
      </c>
      <c r="AG1278" s="1" t="s">
        <v>270</v>
      </c>
    </row>
    <row r="1279" spans="1:33">
      <c r="A1279" t="s">
        <v>4865</v>
      </c>
      <c r="B1279" t="s">
        <v>4866</v>
      </c>
      <c r="C1279" t="s">
        <v>125</v>
      </c>
      <c r="E1279" t="s">
        <v>3238</v>
      </c>
      <c r="F1279" t="s">
        <v>3239</v>
      </c>
      <c r="G1279">
        <v>9.525</v>
      </c>
      <c r="H1279">
        <v>9.525</v>
      </c>
      <c r="I1279" t="s">
        <v>126</v>
      </c>
      <c r="J1279" t="s">
        <v>127</v>
      </c>
      <c r="K1279" t="s">
        <v>31</v>
      </c>
      <c r="L1279" t="s">
        <v>32</v>
      </c>
      <c r="M1279" t="s">
        <v>33</v>
      </c>
      <c r="P1279" s="1" t="s">
        <v>4867</v>
      </c>
      <c r="Q1279" s="1" t="s">
        <v>3238</v>
      </c>
      <c r="R1279" s="1" t="s">
        <v>3238</v>
      </c>
      <c r="S1279" s="1"/>
      <c r="T1279" s="1" t="s">
        <v>125</v>
      </c>
      <c r="U1279" s="1"/>
      <c r="V1279" s="1">
        <v>9.525</v>
      </c>
      <c r="W1279" s="1">
        <v>9.525</v>
      </c>
      <c r="X1279" s="1" t="s">
        <v>35</v>
      </c>
      <c r="Y1279" s="1">
        <v>9525.0</v>
      </c>
      <c r="Z1279" s="1"/>
      <c r="AA1279" s="1">
        <v>9525.0</v>
      </c>
      <c r="AB1279" s="1"/>
      <c r="AC1279" s="1" t="s">
        <v>36</v>
      </c>
      <c r="AD1279" s="1" t="s">
        <v>4855</v>
      </c>
      <c r="AE1279" s="1" t="s">
        <v>32</v>
      </c>
      <c r="AF1279" s="1" t="s">
        <v>33</v>
      </c>
      <c r="AG1279" s="1" t="s">
        <v>127</v>
      </c>
    </row>
    <row r="1280" spans="1:33">
      <c r="A1280" t="s">
        <v>4868</v>
      </c>
      <c r="B1280" t="s">
        <v>510</v>
      </c>
      <c r="C1280" t="s">
        <v>125</v>
      </c>
      <c r="E1280" t="s">
        <v>3238</v>
      </c>
      <c r="F1280" t="s">
        <v>3239</v>
      </c>
      <c r="G1280">
        <v>151.47</v>
      </c>
      <c r="H1280">
        <v>151.47</v>
      </c>
      <c r="I1280" t="s">
        <v>126</v>
      </c>
      <c r="J1280" t="s">
        <v>127</v>
      </c>
      <c r="K1280" t="s">
        <v>31</v>
      </c>
      <c r="L1280" t="s">
        <v>32</v>
      </c>
      <c r="M1280" t="s">
        <v>33</v>
      </c>
      <c r="P1280" s="1" t="s">
        <v>4869</v>
      </c>
      <c r="Q1280" s="1" t="s">
        <v>3238</v>
      </c>
      <c r="R1280" s="1" t="s">
        <v>3238</v>
      </c>
      <c r="S1280" s="1"/>
      <c r="T1280" s="1" t="s">
        <v>125</v>
      </c>
      <c r="U1280" s="1"/>
      <c r="V1280" s="1">
        <v>151.47</v>
      </c>
      <c r="W1280" s="1">
        <v>151.47</v>
      </c>
      <c r="X1280" s="1" t="s">
        <v>35</v>
      </c>
      <c r="Y1280" s="1">
        <v>151470.0</v>
      </c>
      <c r="Z1280" s="1"/>
      <c r="AA1280" s="1">
        <v>151470.0</v>
      </c>
      <c r="AB1280" s="1"/>
      <c r="AC1280" s="1" t="s">
        <v>36</v>
      </c>
      <c r="AD1280" s="1" t="s">
        <v>4836</v>
      </c>
      <c r="AE1280" s="1" t="s">
        <v>32</v>
      </c>
      <c r="AF1280" s="1" t="s">
        <v>33</v>
      </c>
      <c r="AG1280" s="1" t="s">
        <v>127</v>
      </c>
    </row>
    <row r="1281" spans="1:33">
      <c r="A1281" t="s">
        <v>4870</v>
      </c>
      <c r="C1281" t="s">
        <v>2485</v>
      </c>
      <c r="E1281" t="s">
        <v>3238</v>
      </c>
      <c r="F1281" t="s">
        <v>3239</v>
      </c>
      <c r="G1281">
        <v>984.0</v>
      </c>
      <c r="H1281">
        <v>984.0</v>
      </c>
      <c r="I1281" t="s">
        <v>269</v>
      </c>
      <c r="J1281" t="s">
        <v>270</v>
      </c>
      <c r="K1281" t="s">
        <v>31</v>
      </c>
      <c r="L1281" t="s">
        <v>32</v>
      </c>
      <c r="M1281" t="s">
        <v>33</v>
      </c>
      <c r="P1281" s="1" t="s">
        <v>4871</v>
      </c>
      <c r="Q1281" s="1" t="s">
        <v>3238</v>
      </c>
      <c r="R1281" s="1" t="s">
        <v>3238</v>
      </c>
      <c r="S1281" s="1"/>
      <c r="T1281" s="1" t="s">
        <v>2485</v>
      </c>
      <c r="U1281" s="1"/>
      <c r="V1281" s="1">
        <v>984.0</v>
      </c>
      <c r="W1281" s="1">
        <v>984.0</v>
      </c>
      <c r="X1281" s="1" t="s">
        <v>35</v>
      </c>
      <c r="Y1281" s="1">
        <v>984000.0</v>
      </c>
      <c r="Z1281" s="1"/>
      <c r="AA1281" s="1">
        <v>984000.0</v>
      </c>
      <c r="AB1281" s="1"/>
      <c r="AC1281" s="1" t="s">
        <v>36</v>
      </c>
      <c r="AD1281" s="1" t="s">
        <v>4872</v>
      </c>
      <c r="AE1281" s="1" t="s">
        <v>32</v>
      </c>
      <c r="AF1281" s="1" t="s">
        <v>33</v>
      </c>
      <c r="AG1281" s="1" t="s">
        <v>270</v>
      </c>
    </row>
    <row r="1282" spans="1:33">
      <c r="A1282" t="s">
        <v>4873</v>
      </c>
      <c r="C1282" t="s">
        <v>4874</v>
      </c>
      <c r="E1282" t="s">
        <v>3238</v>
      </c>
      <c r="F1282" t="s">
        <v>3239</v>
      </c>
      <c r="G1282">
        <v>856.8</v>
      </c>
      <c r="H1282">
        <v>856.8</v>
      </c>
      <c r="I1282" t="s">
        <v>269</v>
      </c>
      <c r="J1282" t="s">
        <v>270</v>
      </c>
      <c r="K1282" t="s">
        <v>31</v>
      </c>
      <c r="L1282" t="s">
        <v>32</v>
      </c>
      <c r="M1282" t="s">
        <v>33</v>
      </c>
      <c r="P1282" s="1" t="s">
        <v>4875</v>
      </c>
      <c r="Q1282" s="1" t="s">
        <v>3238</v>
      </c>
      <c r="R1282" s="1" t="s">
        <v>3238</v>
      </c>
      <c r="S1282" s="1"/>
      <c r="T1282" s="1" t="s">
        <v>4874</v>
      </c>
      <c r="U1282" s="1"/>
      <c r="V1282" s="1">
        <v>856.8</v>
      </c>
      <c r="W1282" s="1">
        <v>856.8</v>
      </c>
      <c r="X1282" s="1" t="s">
        <v>35</v>
      </c>
      <c r="Y1282" s="1">
        <v>856800.0</v>
      </c>
      <c r="Z1282" s="1"/>
      <c r="AA1282" s="1">
        <v>856800.0</v>
      </c>
      <c r="AB1282" s="1"/>
      <c r="AC1282" s="1" t="s">
        <v>36</v>
      </c>
      <c r="AD1282" s="1" t="s">
        <v>4876</v>
      </c>
      <c r="AE1282" s="1" t="s">
        <v>32</v>
      </c>
      <c r="AF1282" s="1" t="s">
        <v>33</v>
      </c>
      <c r="AG1282" s="1" t="s">
        <v>270</v>
      </c>
    </row>
    <row r="1283" spans="1:33">
      <c r="A1283" t="s">
        <v>4877</v>
      </c>
      <c r="C1283" t="s">
        <v>2284</v>
      </c>
      <c r="E1283" t="s">
        <v>3238</v>
      </c>
      <c r="F1283" t="s">
        <v>3239</v>
      </c>
      <c r="G1283">
        <v>2.594</v>
      </c>
      <c r="H1283">
        <v>2.594</v>
      </c>
      <c r="I1283" t="s">
        <v>269</v>
      </c>
      <c r="J1283" t="s">
        <v>270</v>
      </c>
      <c r="K1283" t="s">
        <v>31</v>
      </c>
      <c r="L1283" t="s">
        <v>32</v>
      </c>
      <c r="M1283" t="s">
        <v>33</v>
      </c>
      <c r="P1283" s="1" t="s">
        <v>4878</v>
      </c>
      <c r="Q1283" s="1" t="s">
        <v>3238</v>
      </c>
      <c r="R1283" s="1" t="s">
        <v>3238</v>
      </c>
      <c r="S1283" s="1"/>
      <c r="T1283" s="1" t="s">
        <v>2284</v>
      </c>
      <c r="U1283" s="1"/>
      <c r="V1283" s="1">
        <v>2.594</v>
      </c>
      <c r="W1283" s="1">
        <v>2.594</v>
      </c>
      <c r="X1283" s="1" t="s">
        <v>35</v>
      </c>
      <c r="Y1283" s="1">
        <v>2594000.0</v>
      </c>
      <c r="Z1283" s="1"/>
      <c r="AA1283" s="1">
        <v>2594000.0</v>
      </c>
      <c r="AB1283" s="1"/>
      <c r="AC1283" s="1" t="s">
        <v>36</v>
      </c>
      <c r="AD1283" s="1" t="s">
        <v>4833</v>
      </c>
      <c r="AE1283" s="1" t="s">
        <v>32</v>
      </c>
      <c r="AF1283" s="1" t="s">
        <v>33</v>
      </c>
      <c r="AG1283" s="1" t="s">
        <v>270</v>
      </c>
    </row>
    <row r="1284" spans="1:33">
      <c r="A1284" t="s">
        <v>4879</v>
      </c>
      <c r="B1284" t="s">
        <v>4880</v>
      </c>
      <c r="C1284" t="s">
        <v>47</v>
      </c>
      <c r="E1284" t="s">
        <v>3238</v>
      </c>
      <c r="F1284" t="s">
        <v>3239</v>
      </c>
      <c r="G1284">
        <v>35.58</v>
      </c>
      <c r="H1284">
        <v>35.58</v>
      </c>
      <c r="I1284" t="s">
        <v>2206</v>
      </c>
      <c r="J1284" t="s">
        <v>49</v>
      </c>
      <c r="K1284" t="s">
        <v>31</v>
      </c>
      <c r="L1284" t="s">
        <v>32</v>
      </c>
      <c r="M1284" t="s">
        <v>33</v>
      </c>
      <c r="P1284" s="1" t="s">
        <v>4881</v>
      </c>
      <c r="Q1284" s="1" t="s">
        <v>3238</v>
      </c>
      <c r="R1284" s="1" t="s">
        <v>3238</v>
      </c>
      <c r="S1284" s="1"/>
      <c r="T1284" s="1" t="s">
        <v>47</v>
      </c>
      <c r="U1284" s="1"/>
      <c r="V1284" s="1">
        <v>35.58</v>
      </c>
      <c r="W1284" s="1">
        <v>35.58</v>
      </c>
      <c r="X1284" s="1" t="s">
        <v>35</v>
      </c>
      <c r="Y1284" s="1">
        <v>35580.0</v>
      </c>
      <c r="Z1284" s="1"/>
      <c r="AA1284" s="1">
        <v>35580.0</v>
      </c>
      <c r="AB1284" s="1"/>
      <c r="AC1284" s="1" t="s">
        <v>36</v>
      </c>
      <c r="AD1284" s="1" t="s">
        <v>4876</v>
      </c>
      <c r="AE1284" s="1" t="s">
        <v>32</v>
      </c>
      <c r="AF1284" s="1" t="s">
        <v>33</v>
      </c>
      <c r="AG1284" s="1" t="s">
        <v>49</v>
      </c>
    </row>
    <row r="1285" spans="1:33">
      <c r="A1285" t="s">
        <v>4882</v>
      </c>
      <c r="C1285" t="s">
        <v>2280</v>
      </c>
      <c r="E1285" t="s">
        <v>3238</v>
      </c>
      <c r="F1285" t="s">
        <v>3239</v>
      </c>
      <c r="G1285">
        <v>1.744</v>
      </c>
      <c r="H1285">
        <v>1.744</v>
      </c>
      <c r="I1285" t="s">
        <v>269</v>
      </c>
      <c r="J1285" t="s">
        <v>270</v>
      </c>
      <c r="K1285" t="s">
        <v>31</v>
      </c>
      <c r="L1285" t="s">
        <v>32</v>
      </c>
      <c r="M1285" t="s">
        <v>33</v>
      </c>
      <c r="P1285" s="1" t="s">
        <v>4883</v>
      </c>
      <c r="Q1285" s="1" t="s">
        <v>3238</v>
      </c>
      <c r="R1285" s="1" t="s">
        <v>3238</v>
      </c>
      <c r="S1285" s="1"/>
      <c r="T1285" s="1" t="s">
        <v>2280</v>
      </c>
      <c r="U1285" s="1"/>
      <c r="V1285" s="1">
        <v>1.744</v>
      </c>
      <c r="W1285" s="1">
        <v>1.744</v>
      </c>
      <c r="X1285" s="1" t="s">
        <v>35</v>
      </c>
      <c r="Y1285" s="1">
        <v>1745100.0</v>
      </c>
      <c r="Z1285" s="1">
        <v>-550</v>
      </c>
      <c r="AA1285" s="1">
        <v>1745100.0</v>
      </c>
      <c r="AB1285" s="1">
        <v>-550</v>
      </c>
      <c r="AC1285" s="1" t="s">
        <v>36</v>
      </c>
      <c r="AD1285" s="1" t="s">
        <v>4884</v>
      </c>
      <c r="AE1285" s="1" t="s">
        <v>32</v>
      </c>
      <c r="AF1285" s="1" t="s">
        <v>33</v>
      </c>
      <c r="AG1285" s="1" t="s">
        <v>270</v>
      </c>
    </row>
    <row r="1286" spans="1:33">
      <c r="A1286" t="s">
        <v>4885</v>
      </c>
      <c r="B1286" t="s">
        <v>4886</v>
      </c>
      <c r="C1286" t="s">
        <v>47</v>
      </c>
      <c r="E1286" t="s">
        <v>3238</v>
      </c>
      <c r="F1286" t="s">
        <v>3239</v>
      </c>
      <c r="G1286">
        <v>35.58</v>
      </c>
      <c r="H1286">
        <v>35.58</v>
      </c>
      <c r="I1286" t="s">
        <v>2206</v>
      </c>
      <c r="J1286" t="s">
        <v>49</v>
      </c>
      <c r="K1286" t="s">
        <v>31</v>
      </c>
      <c r="L1286" t="s">
        <v>32</v>
      </c>
      <c r="M1286" t="s">
        <v>33</v>
      </c>
      <c r="P1286" s="1" t="s">
        <v>4887</v>
      </c>
      <c r="Q1286" s="1" t="s">
        <v>3238</v>
      </c>
      <c r="R1286" s="1" t="s">
        <v>3238</v>
      </c>
      <c r="S1286" s="1"/>
      <c r="T1286" s="1" t="s">
        <v>47</v>
      </c>
      <c r="U1286" s="1"/>
      <c r="V1286" s="1">
        <v>35.58</v>
      </c>
      <c r="W1286" s="1">
        <v>35.58</v>
      </c>
      <c r="X1286" s="1" t="s">
        <v>35</v>
      </c>
      <c r="Y1286" s="1">
        <v>35580.0</v>
      </c>
      <c r="Z1286" s="1"/>
      <c r="AA1286" s="1">
        <v>35580.0</v>
      </c>
      <c r="AB1286" s="1"/>
      <c r="AC1286" s="1" t="s">
        <v>36</v>
      </c>
      <c r="AD1286" s="1" t="s">
        <v>4876</v>
      </c>
      <c r="AE1286" s="1" t="s">
        <v>32</v>
      </c>
      <c r="AF1286" s="1" t="s">
        <v>33</v>
      </c>
      <c r="AG1286" s="1" t="s">
        <v>49</v>
      </c>
    </row>
    <row r="1287" spans="1:33">
      <c r="A1287" t="s">
        <v>4888</v>
      </c>
      <c r="C1287" t="s">
        <v>586</v>
      </c>
      <c r="E1287" t="s">
        <v>3238</v>
      </c>
      <c r="F1287" t="s">
        <v>3239</v>
      </c>
      <c r="G1287">
        <v>18.5</v>
      </c>
      <c r="H1287">
        <v>18.5</v>
      </c>
      <c r="I1287" t="s">
        <v>269</v>
      </c>
      <c r="J1287" t="s">
        <v>270</v>
      </c>
      <c r="K1287" t="s">
        <v>31</v>
      </c>
      <c r="L1287" t="s">
        <v>32</v>
      </c>
      <c r="M1287" t="s">
        <v>33</v>
      </c>
      <c r="P1287" s="1" t="s">
        <v>4889</v>
      </c>
      <c r="Q1287" s="1" t="s">
        <v>3238</v>
      </c>
      <c r="R1287" s="1" t="s">
        <v>3238</v>
      </c>
      <c r="S1287" s="1"/>
      <c r="T1287" s="1" t="s">
        <v>586</v>
      </c>
      <c r="U1287" s="1"/>
      <c r="V1287" s="1">
        <v>18.5</v>
      </c>
      <c r="W1287" s="1">
        <v>18.5</v>
      </c>
      <c r="X1287" s="1" t="s">
        <v>35</v>
      </c>
      <c r="Y1287" s="1">
        <v>18500.0</v>
      </c>
      <c r="Z1287" s="1"/>
      <c r="AA1287" s="1">
        <v>18500.0</v>
      </c>
      <c r="AB1287" s="1"/>
      <c r="AC1287" s="1" t="s">
        <v>36</v>
      </c>
      <c r="AD1287" s="1" t="s">
        <v>4890</v>
      </c>
      <c r="AE1287" s="1" t="s">
        <v>32</v>
      </c>
      <c r="AF1287" s="1" t="s">
        <v>33</v>
      </c>
      <c r="AG1287" s="1" t="s">
        <v>270</v>
      </c>
    </row>
    <row r="1288" spans="1:33">
      <c r="A1288" t="s">
        <v>4891</v>
      </c>
      <c r="C1288" t="s">
        <v>2872</v>
      </c>
      <c r="E1288" t="s">
        <v>3238</v>
      </c>
      <c r="F1288" t="s">
        <v>3239</v>
      </c>
      <c r="G1288">
        <v>320.0</v>
      </c>
      <c r="H1288">
        <v>320.0</v>
      </c>
      <c r="I1288" t="s">
        <v>2206</v>
      </c>
      <c r="J1288" t="s">
        <v>49</v>
      </c>
      <c r="K1288" t="s">
        <v>31</v>
      </c>
      <c r="L1288" t="s">
        <v>32</v>
      </c>
      <c r="M1288" t="s">
        <v>33</v>
      </c>
      <c r="P1288" s="1" t="s">
        <v>4892</v>
      </c>
      <c r="Q1288" s="1" t="s">
        <v>3238</v>
      </c>
      <c r="R1288" s="1" t="s">
        <v>3238</v>
      </c>
      <c r="S1288" s="1"/>
      <c r="T1288" s="1" t="s">
        <v>2872</v>
      </c>
      <c r="U1288" s="1"/>
      <c r="V1288" s="1">
        <v>320.0</v>
      </c>
      <c r="W1288" s="1">
        <v>320.0</v>
      </c>
      <c r="X1288" s="1" t="s">
        <v>35</v>
      </c>
      <c r="Y1288" s="1">
        <v>320000.0</v>
      </c>
      <c r="Z1288" s="1"/>
      <c r="AA1288" s="1">
        <v>320000.0</v>
      </c>
      <c r="AB1288" s="1"/>
      <c r="AC1288" s="1" t="s">
        <v>36</v>
      </c>
      <c r="AD1288" s="1" t="s">
        <v>4893</v>
      </c>
      <c r="AE1288" s="1" t="s">
        <v>32</v>
      </c>
      <c r="AF1288" s="1" t="s">
        <v>33</v>
      </c>
      <c r="AG1288" s="1" t="s">
        <v>49</v>
      </c>
    </row>
    <row r="1289" spans="1:33">
      <c r="A1289" t="s">
        <v>4894</v>
      </c>
      <c r="B1289" t="s">
        <v>4895</v>
      </c>
      <c r="C1289" t="s">
        <v>314</v>
      </c>
      <c r="E1289" t="s">
        <v>3238</v>
      </c>
      <c r="F1289" t="s">
        <v>3239</v>
      </c>
      <c r="G1289">
        <v>89.51</v>
      </c>
      <c r="H1289">
        <v>89.51</v>
      </c>
      <c r="I1289" t="s">
        <v>179</v>
      </c>
      <c r="J1289" t="s">
        <v>180</v>
      </c>
      <c r="K1289" t="s">
        <v>31</v>
      </c>
      <c r="L1289" t="s">
        <v>32</v>
      </c>
      <c r="M1289" t="s">
        <v>33</v>
      </c>
      <c r="P1289" s="1" t="s">
        <v>4896</v>
      </c>
      <c r="Q1289" s="1" t="s">
        <v>3238</v>
      </c>
      <c r="R1289" s="1" t="s">
        <v>3238</v>
      </c>
      <c r="S1289" s="1"/>
      <c r="T1289" s="1" t="s">
        <v>314</v>
      </c>
      <c r="U1289" s="1"/>
      <c r="V1289" s="1">
        <v>89.51</v>
      </c>
      <c r="W1289" s="1">
        <v>89.51</v>
      </c>
      <c r="X1289" s="1" t="s">
        <v>35</v>
      </c>
      <c r="Y1289" s="1">
        <v>89510.0</v>
      </c>
      <c r="Z1289" s="1"/>
      <c r="AA1289" s="1">
        <v>89510.0</v>
      </c>
      <c r="AB1289" s="1"/>
      <c r="AC1289" s="1" t="s">
        <v>36</v>
      </c>
      <c r="AD1289" s="1" t="s">
        <v>4897</v>
      </c>
      <c r="AE1289" s="1" t="s">
        <v>32</v>
      </c>
      <c r="AF1289" s="1" t="s">
        <v>33</v>
      </c>
      <c r="AG1289" s="1" t="s">
        <v>180</v>
      </c>
    </row>
    <row r="1290" spans="1:33">
      <c r="A1290" t="s">
        <v>4898</v>
      </c>
      <c r="B1290" t="s">
        <v>2999</v>
      </c>
      <c r="C1290" t="s">
        <v>268</v>
      </c>
      <c r="E1290" t="s">
        <v>3238</v>
      </c>
      <c r="F1290" t="s">
        <v>3239</v>
      </c>
      <c r="G1290">
        <v>45.15</v>
      </c>
      <c r="H1290">
        <v>45.15</v>
      </c>
      <c r="I1290" t="s">
        <v>269</v>
      </c>
      <c r="J1290" t="s">
        <v>270</v>
      </c>
      <c r="K1290" t="s">
        <v>31</v>
      </c>
      <c r="L1290" t="s">
        <v>32</v>
      </c>
      <c r="M1290" t="s">
        <v>33</v>
      </c>
      <c r="P1290" s="1" t="s">
        <v>4899</v>
      </c>
      <c r="Q1290" s="1" t="s">
        <v>3238</v>
      </c>
      <c r="R1290" s="1" t="s">
        <v>3238</v>
      </c>
      <c r="S1290" s="1"/>
      <c r="T1290" s="1" t="s">
        <v>268</v>
      </c>
      <c r="U1290" s="1"/>
      <c r="V1290" s="1">
        <v>45.15</v>
      </c>
      <c r="W1290" s="1">
        <v>45.15</v>
      </c>
      <c r="X1290" s="1" t="s">
        <v>35</v>
      </c>
      <c r="Y1290" s="1">
        <v>45150.0</v>
      </c>
      <c r="Z1290" s="1"/>
      <c r="AA1290" s="1">
        <v>45150.0</v>
      </c>
      <c r="AB1290" s="1"/>
      <c r="AC1290" s="1" t="s">
        <v>36</v>
      </c>
      <c r="AD1290" s="1" t="s">
        <v>4900</v>
      </c>
      <c r="AE1290" s="1" t="s">
        <v>32</v>
      </c>
      <c r="AF1290" s="1" t="s">
        <v>33</v>
      </c>
      <c r="AG1290" s="1" t="s">
        <v>270</v>
      </c>
    </row>
    <row r="1291" spans="1:33">
      <c r="A1291" t="s">
        <v>4901</v>
      </c>
      <c r="C1291" t="s">
        <v>325</v>
      </c>
      <c r="E1291" t="s">
        <v>3238</v>
      </c>
      <c r="F1291" t="s">
        <v>3239</v>
      </c>
      <c r="G1291">
        <v>1.016</v>
      </c>
      <c r="H1291">
        <v>1.016</v>
      </c>
      <c r="I1291" t="s">
        <v>227</v>
      </c>
      <c r="J1291" t="s">
        <v>228</v>
      </c>
      <c r="K1291" t="s">
        <v>31</v>
      </c>
      <c r="L1291" t="s">
        <v>32</v>
      </c>
      <c r="M1291" t="s">
        <v>33</v>
      </c>
      <c r="P1291" s="1" t="s">
        <v>4902</v>
      </c>
      <c r="Q1291" s="1" t="s">
        <v>3238</v>
      </c>
      <c r="R1291" s="1" t="s">
        <v>3238</v>
      </c>
      <c r="S1291" s="1"/>
      <c r="T1291" s="1" t="s">
        <v>325</v>
      </c>
      <c r="U1291" s="1"/>
      <c r="V1291" s="1">
        <v>1.016</v>
      </c>
      <c r="W1291" s="1">
        <v>1.016</v>
      </c>
      <c r="X1291" s="1" t="s">
        <v>35</v>
      </c>
      <c r="Y1291" s="1">
        <v>1016000.0</v>
      </c>
      <c r="Z1291" s="1"/>
      <c r="AA1291" s="1">
        <v>1016000.0</v>
      </c>
      <c r="AB1291" s="1"/>
      <c r="AC1291" s="1" t="s">
        <v>36</v>
      </c>
      <c r="AD1291" s="1" t="s">
        <v>4903</v>
      </c>
      <c r="AE1291" s="1" t="s">
        <v>32</v>
      </c>
      <c r="AF1291" s="1" t="s">
        <v>33</v>
      </c>
      <c r="AG1291" s="1" t="s">
        <v>228</v>
      </c>
    </row>
    <row r="1292" spans="1:33">
      <c r="A1292" t="s">
        <v>4904</v>
      </c>
      <c r="B1292" t="s">
        <v>4905</v>
      </c>
      <c r="C1292" t="s">
        <v>73</v>
      </c>
      <c r="E1292" t="s">
        <v>3238</v>
      </c>
      <c r="F1292" t="s">
        <v>3239</v>
      </c>
      <c r="G1292">
        <v>45.0</v>
      </c>
      <c r="H1292">
        <v>45.0</v>
      </c>
      <c r="I1292" t="s">
        <v>40</v>
      </c>
      <c r="J1292" t="s">
        <v>41</v>
      </c>
      <c r="K1292" t="s">
        <v>31</v>
      </c>
      <c r="L1292" t="s">
        <v>32</v>
      </c>
      <c r="M1292" t="s">
        <v>33</v>
      </c>
      <c r="P1292" s="1" t="s">
        <v>4906</v>
      </c>
      <c r="Q1292" s="1" t="s">
        <v>3238</v>
      </c>
      <c r="R1292" s="1" t="s">
        <v>2984</v>
      </c>
      <c r="S1292" s="1"/>
      <c r="T1292" s="1" t="s">
        <v>75</v>
      </c>
      <c r="U1292" s="1" t="s">
        <v>76</v>
      </c>
      <c r="V1292" s="1">
        <v>45.0</v>
      </c>
      <c r="W1292" s="1">
        <v>45.0</v>
      </c>
      <c r="X1292" s="1" t="s">
        <v>35</v>
      </c>
      <c r="Y1292" s="1">
        <v>45000.0</v>
      </c>
      <c r="Z1292" s="1"/>
      <c r="AA1292" s="1">
        <v>45000.0</v>
      </c>
      <c r="AB1292" s="1"/>
      <c r="AC1292" s="1" t="s">
        <v>36</v>
      </c>
      <c r="AD1292" s="1" t="s">
        <v>4897</v>
      </c>
      <c r="AE1292" s="1" t="s">
        <v>32</v>
      </c>
      <c r="AF1292" s="1" t="s">
        <v>33</v>
      </c>
      <c r="AG1292" s="1" t="s">
        <v>41</v>
      </c>
    </row>
    <row r="1293" spans="1:33">
      <c r="A1293" t="s">
        <v>4907</v>
      </c>
      <c r="B1293" t="s">
        <v>4908</v>
      </c>
      <c r="C1293" t="s">
        <v>26</v>
      </c>
      <c r="E1293" t="s">
        <v>3238</v>
      </c>
      <c r="F1293" t="s">
        <v>3239</v>
      </c>
      <c r="G1293">
        <v>67.25</v>
      </c>
      <c r="H1293">
        <v>67.25</v>
      </c>
      <c r="I1293" t="s">
        <v>29</v>
      </c>
      <c r="J1293" t="s">
        <v>30</v>
      </c>
      <c r="K1293" t="s">
        <v>31</v>
      </c>
      <c r="L1293" t="s">
        <v>32</v>
      </c>
      <c r="M1293" t="s">
        <v>33</v>
      </c>
      <c r="P1293" s="1" t="s">
        <v>4909</v>
      </c>
      <c r="Q1293" s="1" t="s">
        <v>3238</v>
      </c>
      <c r="R1293" s="1" t="s">
        <v>3238</v>
      </c>
      <c r="S1293" s="1"/>
      <c r="T1293" s="1" t="s">
        <v>26</v>
      </c>
      <c r="U1293" s="1"/>
      <c r="V1293" s="1">
        <v>67.25</v>
      </c>
      <c r="W1293" s="1">
        <v>67.25</v>
      </c>
      <c r="X1293" s="1" t="s">
        <v>35</v>
      </c>
      <c r="Y1293" s="1">
        <v>67250.0</v>
      </c>
      <c r="Z1293" s="1"/>
      <c r="AA1293" s="1">
        <v>67250.0</v>
      </c>
      <c r="AB1293" s="1"/>
      <c r="AC1293" s="1" t="s">
        <v>36</v>
      </c>
      <c r="AD1293" s="1" t="s">
        <v>4910</v>
      </c>
      <c r="AE1293" s="1" t="s">
        <v>32</v>
      </c>
      <c r="AF1293" s="1" t="s">
        <v>33</v>
      </c>
      <c r="AG1293" s="1" t="s">
        <v>30</v>
      </c>
    </row>
    <row r="1294" spans="1:33">
      <c r="A1294" t="s">
        <v>4911</v>
      </c>
      <c r="B1294" t="s">
        <v>1932</v>
      </c>
      <c r="C1294" t="s">
        <v>1933</v>
      </c>
      <c r="E1294" t="s">
        <v>3238</v>
      </c>
      <c r="F1294" t="s">
        <v>3239</v>
      </c>
      <c r="G1294">
        <v>1.596</v>
      </c>
      <c r="H1294">
        <v>1.596</v>
      </c>
      <c r="I1294" t="s">
        <v>40</v>
      </c>
      <c r="J1294" t="s">
        <v>41</v>
      </c>
      <c r="K1294" t="s">
        <v>31</v>
      </c>
      <c r="L1294" t="s">
        <v>32</v>
      </c>
      <c r="M1294" t="s">
        <v>33</v>
      </c>
      <c r="P1294" s="1" t="s">
        <v>4912</v>
      </c>
      <c r="Q1294" s="1" t="s">
        <v>3238</v>
      </c>
      <c r="R1294" s="1" t="s">
        <v>2984</v>
      </c>
      <c r="S1294" s="1"/>
      <c r="T1294" s="1" t="s">
        <v>1933</v>
      </c>
      <c r="U1294" s="1"/>
      <c r="V1294" s="1">
        <v>1.596</v>
      </c>
      <c r="W1294" s="1">
        <v>1.596</v>
      </c>
      <c r="X1294" s="1" t="s">
        <v>35</v>
      </c>
      <c r="Y1294" s="1">
        <v>1596500.0</v>
      </c>
      <c r="Z1294" s="1"/>
      <c r="AA1294" s="1">
        <v>1596500.0</v>
      </c>
      <c r="AB1294" s="1"/>
      <c r="AC1294" s="1" t="s">
        <v>36</v>
      </c>
      <c r="AD1294" s="1" t="s">
        <v>4913</v>
      </c>
      <c r="AE1294" s="1" t="s">
        <v>32</v>
      </c>
      <c r="AF1294" s="1" t="s">
        <v>33</v>
      </c>
      <c r="AG1294" s="1" t="s">
        <v>41</v>
      </c>
    </row>
    <row r="1295" spans="1:33">
      <c r="A1295" t="s">
        <v>4914</v>
      </c>
      <c r="B1295" t="s">
        <v>4915</v>
      </c>
      <c r="C1295" t="s">
        <v>26</v>
      </c>
      <c r="E1295" t="s">
        <v>3238</v>
      </c>
      <c r="F1295" t="s">
        <v>3239</v>
      </c>
      <c r="G1295">
        <v>35.58</v>
      </c>
      <c r="H1295">
        <v>35.58</v>
      </c>
      <c r="I1295" t="s">
        <v>29</v>
      </c>
      <c r="J1295" t="s">
        <v>30</v>
      </c>
      <c r="K1295" t="s">
        <v>31</v>
      </c>
      <c r="L1295" t="s">
        <v>32</v>
      </c>
      <c r="M1295" t="s">
        <v>33</v>
      </c>
      <c r="P1295" s="1" t="s">
        <v>4916</v>
      </c>
      <c r="Q1295" s="1" t="s">
        <v>3238</v>
      </c>
      <c r="R1295" s="1" t="s">
        <v>3238</v>
      </c>
      <c r="S1295" s="1"/>
      <c r="T1295" s="1" t="s">
        <v>26</v>
      </c>
      <c r="U1295" s="1"/>
      <c r="V1295" s="1">
        <v>35.58</v>
      </c>
      <c r="W1295" s="1">
        <v>35.58</v>
      </c>
      <c r="X1295" s="1" t="s">
        <v>35</v>
      </c>
      <c r="Y1295" s="1">
        <v>36000.0</v>
      </c>
      <c r="Z1295" s="1">
        <v>-420</v>
      </c>
      <c r="AA1295" s="1">
        <v>36000.0</v>
      </c>
      <c r="AB1295" s="1">
        <v>-420</v>
      </c>
      <c r="AC1295" s="1" t="s">
        <v>36</v>
      </c>
      <c r="AD1295" s="1" t="s">
        <v>4917</v>
      </c>
      <c r="AE1295" s="1" t="s">
        <v>32</v>
      </c>
      <c r="AF1295" s="1" t="s">
        <v>33</v>
      </c>
      <c r="AG1295" s="1" t="s">
        <v>30</v>
      </c>
    </row>
    <row r="1296" spans="1:33">
      <c r="A1296" t="s">
        <v>4918</v>
      </c>
      <c r="C1296" t="s">
        <v>1352</v>
      </c>
      <c r="E1296" t="s">
        <v>3238</v>
      </c>
      <c r="F1296" t="s">
        <v>3239</v>
      </c>
      <c r="G1296">
        <v>2.46</v>
      </c>
      <c r="H1296">
        <v>2.46</v>
      </c>
      <c r="I1296" t="s">
        <v>269</v>
      </c>
      <c r="J1296" t="s">
        <v>270</v>
      </c>
      <c r="K1296" t="s">
        <v>31</v>
      </c>
      <c r="L1296" t="s">
        <v>32</v>
      </c>
      <c r="M1296" t="s">
        <v>33</v>
      </c>
      <c r="P1296" s="1" t="s">
        <v>4919</v>
      </c>
      <c r="Q1296" s="1" t="s">
        <v>3238</v>
      </c>
      <c r="R1296" s="1" t="s">
        <v>3238</v>
      </c>
      <c r="S1296" s="1"/>
      <c r="T1296" s="1" t="s">
        <v>1352</v>
      </c>
      <c r="U1296" s="1"/>
      <c r="V1296" s="1">
        <v>2.46</v>
      </c>
      <c r="W1296" s="1">
        <v>2.46</v>
      </c>
      <c r="X1296" s="1" t="s">
        <v>35</v>
      </c>
      <c r="Y1296" s="1">
        <v>2460000.0</v>
      </c>
      <c r="Z1296" s="1"/>
      <c r="AA1296" s="1">
        <v>2460000.0</v>
      </c>
      <c r="AB1296" s="1"/>
      <c r="AC1296" s="1" t="s">
        <v>36</v>
      </c>
      <c r="AD1296" s="1" t="s">
        <v>4920</v>
      </c>
      <c r="AE1296" s="1" t="s">
        <v>32</v>
      </c>
      <c r="AF1296" s="1" t="s">
        <v>33</v>
      </c>
      <c r="AG1296" s="1" t="s">
        <v>270</v>
      </c>
    </row>
    <row r="1297" spans="1:33">
      <c r="A1297" t="s">
        <v>4921</v>
      </c>
      <c r="B1297" t="s">
        <v>4922</v>
      </c>
      <c r="C1297" t="s">
        <v>268</v>
      </c>
      <c r="E1297" t="s">
        <v>3238</v>
      </c>
      <c r="F1297" t="s">
        <v>3239</v>
      </c>
      <c r="G1297">
        <v>65.7</v>
      </c>
      <c r="H1297">
        <v>65.7</v>
      </c>
      <c r="I1297" t="s">
        <v>269</v>
      </c>
      <c r="J1297" t="s">
        <v>270</v>
      </c>
      <c r="K1297" t="s">
        <v>31</v>
      </c>
      <c r="L1297" t="s">
        <v>32</v>
      </c>
      <c r="M1297" t="s">
        <v>33</v>
      </c>
      <c r="P1297" s="1" t="s">
        <v>4923</v>
      </c>
      <c r="Q1297" s="1" t="s">
        <v>3238</v>
      </c>
      <c r="R1297" s="1" t="s">
        <v>3238</v>
      </c>
      <c r="S1297" s="1"/>
      <c r="T1297" s="1" t="s">
        <v>268</v>
      </c>
      <c r="U1297" s="1"/>
      <c r="V1297" s="1">
        <v>65.7</v>
      </c>
      <c r="W1297" s="1">
        <v>65.7</v>
      </c>
      <c r="X1297" s="1" t="s">
        <v>35</v>
      </c>
      <c r="Y1297" s="1">
        <v>65700.0</v>
      </c>
      <c r="Z1297" s="1"/>
      <c r="AA1297" s="1">
        <v>65700.0</v>
      </c>
      <c r="AB1297" s="1"/>
      <c r="AC1297" s="1" t="s">
        <v>36</v>
      </c>
      <c r="AD1297" s="1" t="s">
        <v>4924</v>
      </c>
      <c r="AE1297" s="1" t="s">
        <v>32</v>
      </c>
      <c r="AF1297" s="1" t="s">
        <v>33</v>
      </c>
      <c r="AG1297" s="1" t="s">
        <v>270</v>
      </c>
    </row>
    <row r="1298" spans="1:33">
      <c r="A1298" t="s">
        <v>4925</v>
      </c>
      <c r="C1298" t="s">
        <v>4926</v>
      </c>
      <c r="D1298" t="s">
        <v>154</v>
      </c>
      <c r="E1298" t="s">
        <v>3238</v>
      </c>
      <c r="F1298" t="s">
        <v>3239</v>
      </c>
      <c r="G1298">
        <v>538.5</v>
      </c>
      <c r="H1298">
        <v>538.5</v>
      </c>
      <c r="I1298" t="s">
        <v>570</v>
      </c>
      <c r="J1298" t="s">
        <v>571</v>
      </c>
      <c r="K1298" t="s">
        <v>31</v>
      </c>
      <c r="L1298" t="s">
        <v>32</v>
      </c>
      <c r="M1298" t="s">
        <v>33</v>
      </c>
      <c r="P1298" s="1" t="s">
        <v>4927</v>
      </c>
      <c r="Q1298" s="1" t="s">
        <v>3238</v>
      </c>
      <c r="R1298" s="1" t="s">
        <v>3238</v>
      </c>
      <c r="S1298" s="1"/>
      <c r="T1298" s="1" t="s">
        <v>4926</v>
      </c>
      <c r="U1298" s="1"/>
      <c r="V1298" s="1">
        <v>538.5</v>
      </c>
      <c r="W1298" s="1">
        <v>538.5</v>
      </c>
      <c r="X1298" s="1" t="s">
        <v>35</v>
      </c>
      <c r="Y1298" s="1">
        <v>538500.0</v>
      </c>
      <c r="Z1298" s="1"/>
      <c r="AA1298" s="1">
        <v>538500.0</v>
      </c>
      <c r="AB1298" s="1"/>
      <c r="AC1298" s="1" t="s">
        <v>36</v>
      </c>
      <c r="AD1298" s="1" t="s">
        <v>4924</v>
      </c>
      <c r="AE1298" s="1" t="s">
        <v>32</v>
      </c>
      <c r="AF1298" s="1" t="s">
        <v>33</v>
      </c>
      <c r="AG1298" s="1" t="s">
        <v>571</v>
      </c>
    </row>
    <row r="1299" spans="1:33">
      <c r="A1299" t="s">
        <v>4928</v>
      </c>
      <c r="C1299" t="s">
        <v>660</v>
      </c>
      <c r="E1299" t="s">
        <v>3238</v>
      </c>
      <c r="F1299" t="s">
        <v>3239</v>
      </c>
      <c r="G1299">
        <v>318.75</v>
      </c>
      <c r="H1299">
        <v>318.75</v>
      </c>
      <c r="I1299" t="s">
        <v>179</v>
      </c>
      <c r="J1299" t="s">
        <v>180</v>
      </c>
      <c r="K1299" t="s">
        <v>31</v>
      </c>
      <c r="L1299" t="s">
        <v>32</v>
      </c>
      <c r="M1299" t="s">
        <v>33</v>
      </c>
      <c r="P1299" s="1" t="s">
        <v>4929</v>
      </c>
      <c r="Q1299" s="1" t="s">
        <v>3238</v>
      </c>
      <c r="R1299" s="1" t="s">
        <v>3238</v>
      </c>
      <c r="S1299" s="1"/>
      <c r="T1299" s="1" t="s">
        <v>660</v>
      </c>
      <c r="U1299" s="1"/>
      <c r="V1299" s="1">
        <v>318.75</v>
      </c>
      <c r="W1299" s="1">
        <v>318.75</v>
      </c>
      <c r="X1299" s="1" t="s">
        <v>35</v>
      </c>
      <c r="Y1299" s="1">
        <v>318750.0</v>
      </c>
      <c r="Z1299" s="1"/>
      <c r="AA1299" s="1">
        <v>318750.0</v>
      </c>
      <c r="AB1299" s="1"/>
      <c r="AC1299" s="1" t="s">
        <v>36</v>
      </c>
      <c r="AD1299" s="1" t="s">
        <v>4930</v>
      </c>
      <c r="AE1299" s="1" t="s">
        <v>32</v>
      </c>
      <c r="AF1299" s="1" t="s">
        <v>33</v>
      </c>
      <c r="AG1299" s="1" t="s">
        <v>180</v>
      </c>
    </row>
    <row r="1300" spans="1:33">
      <c r="A1300" t="s">
        <v>4931</v>
      </c>
      <c r="C1300" t="s">
        <v>695</v>
      </c>
      <c r="D1300" t="s">
        <v>114</v>
      </c>
      <c r="E1300" t="s">
        <v>3238</v>
      </c>
      <c r="F1300" t="s">
        <v>3239</v>
      </c>
      <c r="G1300">
        <v>1.626</v>
      </c>
      <c r="H1300">
        <v>1.626</v>
      </c>
      <c r="I1300" t="s">
        <v>269</v>
      </c>
      <c r="J1300" t="s">
        <v>270</v>
      </c>
      <c r="K1300" t="s">
        <v>31</v>
      </c>
      <c r="L1300" t="s">
        <v>32</v>
      </c>
      <c r="M1300" t="s">
        <v>33</v>
      </c>
      <c r="P1300" s="1" t="s">
        <v>4932</v>
      </c>
      <c r="Q1300" s="1" t="s">
        <v>3238</v>
      </c>
      <c r="R1300" s="1" t="s">
        <v>3238</v>
      </c>
      <c r="S1300" s="1"/>
      <c r="T1300" s="1" t="s">
        <v>695</v>
      </c>
      <c r="U1300" s="1"/>
      <c r="V1300" s="1">
        <v>1.626</v>
      </c>
      <c r="W1300" s="1">
        <v>1.626</v>
      </c>
      <c r="X1300" s="1" t="s">
        <v>35</v>
      </c>
      <c r="Y1300" s="1">
        <v>1626000.0</v>
      </c>
      <c r="Z1300" s="1"/>
      <c r="AA1300" s="1">
        <v>1626000.0</v>
      </c>
      <c r="AB1300" s="1"/>
      <c r="AC1300" s="1" t="s">
        <v>36</v>
      </c>
      <c r="AD1300" s="1" t="s">
        <v>4930</v>
      </c>
      <c r="AE1300" s="1" t="s">
        <v>32</v>
      </c>
      <c r="AF1300" s="1" t="s">
        <v>33</v>
      </c>
      <c r="AG1300" s="1" t="s">
        <v>270</v>
      </c>
    </row>
    <row r="1301" spans="1:33">
      <c r="A1301" t="s">
        <v>4933</v>
      </c>
      <c r="C1301" t="s">
        <v>4934</v>
      </c>
      <c r="E1301" t="s">
        <v>3238</v>
      </c>
      <c r="F1301" t="s">
        <v>3239</v>
      </c>
      <c r="G1301">
        <v>446.5</v>
      </c>
      <c r="H1301">
        <v>446.5</v>
      </c>
      <c r="I1301" t="s">
        <v>269</v>
      </c>
      <c r="J1301" t="s">
        <v>270</v>
      </c>
      <c r="K1301" t="s">
        <v>31</v>
      </c>
      <c r="L1301" t="s">
        <v>32</v>
      </c>
      <c r="M1301" t="s">
        <v>33</v>
      </c>
      <c r="P1301" s="1" t="s">
        <v>4935</v>
      </c>
      <c r="Q1301" s="1" t="s">
        <v>3238</v>
      </c>
      <c r="R1301" s="1" t="s">
        <v>3238</v>
      </c>
      <c r="S1301" s="1"/>
      <c r="T1301" s="1" t="s">
        <v>4936</v>
      </c>
      <c r="U1301" s="1" t="s">
        <v>4937</v>
      </c>
      <c r="V1301" s="1">
        <v>446.5</v>
      </c>
      <c r="W1301" s="1">
        <v>446.5</v>
      </c>
      <c r="X1301" s="1" t="s">
        <v>35</v>
      </c>
      <c r="Y1301" s="1">
        <v>446500.0</v>
      </c>
      <c r="Z1301" s="1"/>
      <c r="AA1301" s="1">
        <v>446500.0</v>
      </c>
      <c r="AB1301" s="1"/>
      <c r="AC1301" s="1" t="s">
        <v>36</v>
      </c>
      <c r="AD1301" s="1" t="s">
        <v>4938</v>
      </c>
      <c r="AE1301" s="1" t="s">
        <v>32</v>
      </c>
      <c r="AF1301" s="1" t="s">
        <v>33</v>
      </c>
      <c r="AG1301" s="1" t="s">
        <v>270</v>
      </c>
    </row>
    <row r="1302" spans="1:33">
      <c r="A1302" t="s">
        <v>4939</v>
      </c>
      <c r="B1302" t="s">
        <v>4940</v>
      </c>
      <c r="C1302" t="s">
        <v>131</v>
      </c>
      <c r="E1302" t="s">
        <v>3238</v>
      </c>
      <c r="F1302" t="s">
        <v>3239</v>
      </c>
      <c r="G1302">
        <v>20.99</v>
      </c>
      <c r="H1302">
        <v>20.99</v>
      </c>
      <c r="I1302" t="s">
        <v>94</v>
      </c>
      <c r="J1302" t="s">
        <v>95</v>
      </c>
      <c r="K1302" t="s">
        <v>31</v>
      </c>
      <c r="L1302" t="s">
        <v>32</v>
      </c>
      <c r="M1302" t="s">
        <v>33</v>
      </c>
      <c r="P1302" s="1" t="s">
        <v>4941</v>
      </c>
      <c r="Q1302" s="1" t="s">
        <v>3238</v>
      </c>
      <c r="R1302" s="1" t="s">
        <v>3238</v>
      </c>
      <c r="S1302" s="1"/>
      <c r="T1302" s="1" t="s">
        <v>131</v>
      </c>
      <c r="U1302" s="1"/>
      <c r="V1302" s="1">
        <v>20.99</v>
      </c>
      <c r="W1302" s="1">
        <v>20.99</v>
      </c>
      <c r="X1302" s="1" t="s">
        <v>35</v>
      </c>
      <c r="Y1302" s="1">
        <v>20990.0</v>
      </c>
      <c r="Z1302" s="1"/>
      <c r="AA1302" s="1">
        <v>20990.0</v>
      </c>
      <c r="AB1302" s="1"/>
      <c r="AC1302" s="1" t="s">
        <v>36</v>
      </c>
      <c r="AD1302" s="1" t="s">
        <v>4942</v>
      </c>
      <c r="AE1302" s="1" t="s">
        <v>32</v>
      </c>
      <c r="AF1302" s="1" t="s">
        <v>33</v>
      </c>
      <c r="AG1302" s="1" t="s">
        <v>95</v>
      </c>
    </row>
    <row r="1303" spans="1:33">
      <c r="A1303" t="s">
        <v>4943</v>
      </c>
      <c r="B1303" t="s">
        <v>4944</v>
      </c>
      <c r="C1303" t="s">
        <v>4945</v>
      </c>
      <c r="E1303" t="s">
        <v>3238</v>
      </c>
      <c r="F1303" t="s">
        <v>3239</v>
      </c>
      <c r="G1303">
        <v>597.5</v>
      </c>
      <c r="H1303">
        <v>597.5</v>
      </c>
      <c r="I1303" t="s">
        <v>40</v>
      </c>
      <c r="J1303" t="s">
        <v>41</v>
      </c>
      <c r="K1303" t="s">
        <v>31</v>
      </c>
      <c r="L1303" t="s">
        <v>32</v>
      </c>
      <c r="M1303" t="s">
        <v>33</v>
      </c>
      <c r="P1303" s="1" t="s">
        <v>4946</v>
      </c>
      <c r="Q1303" s="1" t="s">
        <v>3238</v>
      </c>
      <c r="R1303" s="1" t="s">
        <v>2984</v>
      </c>
      <c r="S1303" s="1"/>
      <c r="T1303" s="1" t="s">
        <v>4945</v>
      </c>
      <c r="U1303" s="1"/>
      <c r="V1303" s="1">
        <v>597.5</v>
      </c>
      <c r="W1303" s="1">
        <v>597.5</v>
      </c>
      <c r="X1303" s="1" t="s">
        <v>35</v>
      </c>
      <c r="Y1303" s="1">
        <v>597500.0</v>
      </c>
      <c r="Z1303" s="1"/>
      <c r="AA1303" s="1">
        <v>597500.0</v>
      </c>
      <c r="AB1303" s="1"/>
      <c r="AC1303" s="1" t="s">
        <v>36</v>
      </c>
      <c r="AD1303" s="1" t="s">
        <v>4947</v>
      </c>
      <c r="AE1303" s="1" t="s">
        <v>32</v>
      </c>
      <c r="AF1303" s="1" t="s">
        <v>33</v>
      </c>
      <c r="AG1303" s="1" t="s">
        <v>41</v>
      </c>
    </row>
    <row r="1304" spans="1:33">
      <c r="A1304" t="s">
        <v>4948</v>
      </c>
      <c r="B1304" t="s">
        <v>4949</v>
      </c>
      <c r="C1304" t="s">
        <v>47</v>
      </c>
      <c r="E1304" t="s">
        <v>3238</v>
      </c>
      <c r="F1304" t="s">
        <v>3239</v>
      </c>
      <c r="G1304">
        <v>65.98</v>
      </c>
      <c r="H1304">
        <v>65.98</v>
      </c>
      <c r="I1304" t="s">
        <v>2206</v>
      </c>
      <c r="J1304" t="s">
        <v>49</v>
      </c>
      <c r="K1304" t="s">
        <v>31</v>
      </c>
      <c r="L1304" t="s">
        <v>32</v>
      </c>
      <c r="M1304" t="s">
        <v>33</v>
      </c>
      <c r="P1304" s="1" t="s">
        <v>4950</v>
      </c>
      <c r="Q1304" s="1" t="s">
        <v>3238</v>
      </c>
      <c r="R1304" s="1" t="s">
        <v>3238</v>
      </c>
      <c r="S1304" s="1"/>
      <c r="T1304" s="1" t="s">
        <v>47</v>
      </c>
      <c r="U1304" s="1"/>
      <c r="V1304" s="1">
        <v>65.98</v>
      </c>
      <c r="W1304" s="1">
        <v>65.98</v>
      </c>
      <c r="X1304" s="1" t="s">
        <v>35</v>
      </c>
      <c r="Y1304" s="1">
        <v>65980.0</v>
      </c>
      <c r="Z1304" s="1"/>
      <c r="AA1304" s="1">
        <v>65980.0</v>
      </c>
      <c r="AB1304" s="1"/>
      <c r="AC1304" s="1" t="s">
        <v>36</v>
      </c>
      <c r="AD1304" s="1" t="s">
        <v>4951</v>
      </c>
      <c r="AE1304" s="1" t="s">
        <v>32</v>
      </c>
      <c r="AF1304" s="1" t="s">
        <v>33</v>
      </c>
      <c r="AG1304" s="1" t="s">
        <v>49</v>
      </c>
    </row>
    <row r="1305" spans="1:33">
      <c r="A1305" t="s">
        <v>4952</v>
      </c>
      <c r="C1305" t="s">
        <v>4555</v>
      </c>
      <c r="E1305" t="s">
        <v>3238</v>
      </c>
      <c r="F1305" t="s">
        <v>3239</v>
      </c>
      <c r="G1305">
        <v>1.007</v>
      </c>
      <c r="H1305">
        <v>1.007</v>
      </c>
      <c r="I1305" t="s">
        <v>179</v>
      </c>
      <c r="J1305" t="s">
        <v>180</v>
      </c>
      <c r="K1305" t="s">
        <v>31</v>
      </c>
      <c r="L1305" t="s">
        <v>32</v>
      </c>
      <c r="M1305" t="s">
        <v>33</v>
      </c>
      <c r="P1305" s="1" t="s">
        <v>4953</v>
      </c>
      <c r="Q1305" s="1" t="s">
        <v>3238</v>
      </c>
      <c r="R1305" s="1" t="s">
        <v>3238</v>
      </c>
      <c r="S1305" s="1"/>
      <c r="T1305" s="1" t="s">
        <v>4555</v>
      </c>
      <c r="U1305" s="1"/>
      <c r="V1305" s="1">
        <v>1.007</v>
      </c>
      <c r="W1305" s="1">
        <v>1.007</v>
      </c>
      <c r="X1305" s="1" t="s">
        <v>35</v>
      </c>
      <c r="Y1305" s="1">
        <v>1007000.0</v>
      </c>
      <c r="Z1305" s="1"/>
      <c r="AA1305" s="1">
        <v>1007000.0</v>
      </c>
      <c r="AB1305" s="1"/>
      <c r="AC1305" s="1" t="s">
        <v>36</v>
      </c>
      <c r="AD1305" s="1" t="s">
        <v>4954</v>
      </c>
      <c r="AE1305" s="1" t="s">
        <v>32</v>
      </c>
      <c r="AF1305" s="1" t="s">
        <v>33</v>
      </c>
      <c r="AG1305" s="1" t="s">
        <v>180</v>
      </c>
    </row>
    <row r="1306" spans="1:33">
      <c r="A1306" t="s">
        <v>4955</v>
      </c>
      <c r="B1306" t="s">
        <v>4956</v>
      </c>
      <c r="C1306" t="s">
        <v>172</v>
      </c>
      <c r="E1306" t="s">
        <v>3238</v>
      </c>
      <c r="F1306" t="s">
        <v>3239</v>
      </c>
      <c r="G1306">
        <v>33.98</v>
      </c>
      <c r="H1306">
        <v>33.98</v>
      </c>
      <c r="I1306" t="s">
        <v>173</v>
      </c>
      <c r="J1306" t="s">
        <v>174</v>
      </c>
      <c r="K1306" t="s">
        <v>31</v>
      </c>
      <c r="L1306" t="s">
        <v>32</v>
      </c>
      <c r="M1306" t="s">
        <v>33</v>
      </c>
      <c r="P1306" s="1" t="s">
        <v>4957</v>
      </c>
      <c r="Q1306" s="1" t="s">
        <v>3238</v>
      </c>
      <c r="R1306" s="1" t="s">
        <v>3238</v>
      </c>
      <c r="S1306" s="1"/>
      <c r="T1306" s="1" t="s">
        <v>172</v>
      </c>
      <c r="U1306" s="1"/>
      <c r="V1306" s="1">
        <v>33.98</v>
      </c>
      <c r="W1306" s="1">
        <v>33.98</v>
      </c>
      <c r="X1306" s="1" t="s">
        <v>35</v>
      </c>
      <c r="Y1306" s="1">
        <v>33980.0</v>
      </c>
      <c r="Z1306" s="1"/>
      <c r="AA1306" s="1">
        <v>33980.0</v>
      </c>
      <c r="AB1306" s="1"/>
      <c r="AC1306" s="1" t="s">
        <v>36</v>
      </c>
      <c r="AD1306" s="1" t="s">
        <v>4958</v>
      </c>
      <c r="AE1306" s="1" t="s">
        <v>32</v>
      </c>
      <c r="AF1306" s="1" t="s">
        <v>33</v>
      </c>
      <c r="AG1306" s="1" t="s">
        <v>174</v>
      </c>
    </row>
    <row r="1307" spans="1:33">
      <c r="A1307" t="s">
        <v>4959</v>
      </c>
      <c r="C1307" t="s">
        <v>3712</v>
      </c>
      <c r="E1307" t="s">
        <v>4960</v>
      </c>
      <c r="F1307" t="s">
        <v>4961</v>
      </c>
      <c r="G1307">
        <v>933.6</v>
      </c>
      <c r="H1307">
        <v>933.6</v>
      </c>
      <c r="I1307" t="s">
        <v>2206</v>
      </c>
      <c r="J1307" t="s">
        <v>49</v>
      </c>
      <c r="K1307" t="s">
        <v>31</v>
      </c>
      <c r="L1307" t="s">
        <v>32</v>
      </c>
      <c r="M1307" t="s">
        <v>33</v>
      </c>
      <c r="P1307" s="1" t="s">
        <v>4962</v>
      </c>
      <c r="Q1307" s="1" t="s">
        <v>4960</v>
      </c>
      <c r="R1307" s="1" t="s">
        <v>4960</v>
      </c>
      <c r="S1307" s="1"/>
      <c r="T1307" s="1" t="s">
        <v>3712</v>
      </c>
      <c r="U1307" s="1"/>
      <c r="V1307" s="1">
        <v>933.6</v>
      </c>
      <c r="W1307" s="1">
        <v>933.6</v>
      </c>
      <c r="X1307" s="1" t="s">
        <v>35</v>
      </c>
      <c r="Y1307" s="1">
        <v>933600.0</v>
      </c>
      <c r="Z1307" s="1"/>
      <c r="AA1307" s="1">
        <v>933600.0</v>
      </c>
      <c r="AB1307" s="1"/>
      <c r="AC1307" s="1" t="s">
        <v>36</v>
      </c>
      <c r="AD1307" s="1" t="s">
        <v>4963</v>
      </c>
      <c r="AE1307" s="1" t="s">
        <v>32</v>
      </c>
      <c r="AF1307" s="1" t="s">
        <v>33</v>
      </c>
      <c r="AG1307" s="1" t="s">
        <v>49</v>
      </c>
    </row>
    <row r="1308" spans="1:33">
      <c r="A1308" t="s">
        <v>4964</v>
      </c>
      <c r="B1308" t="s">
        <v>4965</v>
      </c>
      <c r="C1308" t="s">
        <v>172</v>
      </c>
      <c r="E1308" t="s">
        <v>4960</v>
      </c>
      <c r="F1308" t="s">
        <v>4961</v>
      </c>
      <c r="G1308">
        <v>8.098</v>
      </c>
      <c r="H1308">
        <v>8.098</v>
      </c>
      <c r="I1308" t="s">
        <v>173</v>
      </c>
      <c r="J1308" t="s">
        <v>174</v>
      </c>
      <c r="K1308" t="s">
        <v>31</v>
      </c>
      <c r="L1308" t="s">
        <v>32</v>
      </c>
      <c r="M1308" t="s">
        <v>33</v>
      </c>
      <c r="P1308" s="1" t="s">
        <v>4966</v>
      </c>
      <c r="Q1308" s="1" t="s">
        <v>4960</v>
      </c>
      <c r="R1308" s="1" t="s">
        <v>4960</v>
      </c>
      <c r="S1308" s="1"/>
      <c r="T1308" s="1" t="s">
        <v>172</v>
      </c>
      <c r="U1308" s="1"/>
      <c r="V1308" s="1">
        <v>8.098</v>
      </c>
      <c r="W1308" s="1">
        <v>8.098</v>
      </c>
      <c r="X1308" s="1" t="s">
        <v>35</v>
      </c>
      <c r="Y1308" s="1">
        <v>8098.0</v>
      </c>
      <c r="Z1308" s="1"/>
      <c r="AA1308" s="1">
        <v>8098.0</v>
      </c>
      <c r="AB1308" s="1"/>
      <c r="AC1308" s="1" t="s">
        <v>36</v>
      </c>
      <c r="AD1308" s="1" t="s">
        <v>4967</v>
      </c>
      <c r="AE1308" s="1" t="s">
        <v>32</v>
      </c>
      <c r="AF1308" s="1" t="s">
        <v>33</v>
      </c>
      <c r="AG1308" s="1" t="s">
        <v>174</v>
      </c>
    </row>
    <row r="1309" spans="1:33">
      <c r="A1309" t="s">
        <v>4968</v>
      </c>
      <c r="B1309" t="s">
        <v>4969</v>
      </c>
      <c r="C1309" t="s">
        <v>906</v>
      </c>
      <c r="E1309" t="s">
        <v>4960</v>
      </c>
      <c r="F1309" t="s">
        <v>4961</v>
      </c>
      <c r="G1309">
        <v>17.29</v>
      </c>
      <c r="H1309">
        <v>17.29</v>
      </c>
      <c r="I1309" t="s">
        <v>847</v>
      </c>
      <c r="J1309" t="s">
        <v>848</v>
      </c>
      <c r="K1309" t="s">
        <v>31</v>
      </c>
      <c r="L1309" t="s">
        <v>32</v>
      </c>
      <c r="M1309" t="s">
        <v>33</v>
      </c>
      <c r="P1309" s="1" t="s">
        <v>4970</v>
      </c>
      <c r="Q1309" s="1" t="s">
        <v>4960</v>
      </c>
      <c r="R1309" s="1" t="s">
        <v>4960</v>
      </c>
      <c r="S1309" s="1"/>
      <c r="T1309" s="1" t="s">
        <v>906</v>
      </c>
      <c r="U1309" s="1"/>
      <c r="V1309" s="1">
        <v>17.29</v>
      </c>
      <c r="W1309" s="1">
        <v>17.29</v>
      </c>
      <c r="X1309" s="1" t="s">
        <v>35</v>
      </c>
      <c r="Y1309" s="1">
        <v>17290.0</v>
      </c>
      <c r="Z1309" s="1"/>
      <c r="AA1309" s="1">
        <v>17290.0</v>
      </c>
      <c r="AB1309" s="1"/>
      <c r="AC1309" s="1" t="s">
        <v>36</v>
      </c>
      <c r="AD1309" s="1" t="s">
        <v>4971</v>
      </c>
      <c r="AE1309" s="1" t="s">
        <v>32</v>
      </c>
      <c r="AF1309" s="1" t="s">
        <v>33</v>
      </c>
      <c r="AG1309" s="1" t="s">
        <v>848</v>
      </c>
    </row>
    <row r="1310" spans="1:33">
      <c r="A1310" t="s">
        <v>4972</v>
      </c>
      <c r="C1310" t="s">
        <v>3381</v>
      </c>
      <c r="E1310" t="s">
        <v>4960</v>
      </c>
      <c r="F1310" t="s">
        <v>4961</v>
      </c>
      <c r="G1310">
        <v>550.0</v>
      </c>
      <c r="H1310">
        <v>550.0</v>
      </c>
      <c r="I1310" t="s">
        <v>94</v>
      </c>
      <c r="J1310" t="s">
        <v>95</v>
      </c>
      <c r="K1310" t="s">
        <v>31</v>
      </c>
      <c r="L1310" t="s">
        <v>32</v>
      </c>
      <c r="M1310" t="s">
        <v>33</v>
      </c>
      <c r="P1310" s="1" t="s">
        <v>4973</v>
      </c>
      <c r="Q1310" s="1" t="s">
        <v>4960</v>
      </c>
      <c r="R1310" s="1" t="s">
        <v>4960</v>
      </c>
      <c r="S1310" s="1"/>
      <c r="T1310" s="1" t="s">
        <v>3381</v>
      </c>
      <c r="U1310" s="1"/>
      <c r="V1310" s="1">
        <v>550.0</v>
      </c>
      <c r="W1310" s="1">
        <v>550.0</v>
      </c>
      <c r="X1310" s="1" t="s">
        <v>35</v>
      </c>
      <c r="Y1310" s="1">
        <v>550000.0</v>
      </c>
      <c r="Z1310" s="1"/>
      <c r="AA1310" s="1">
        <v>550000.0</v>
      </c>
      <c r="AB1310" s="1"/>
      <c r="AC1310" s="1" t="s">
        <v>36</v>
      </c>
      <c r="AD1310" s="1" t="s">
        <v>3353</v>
      </c>
      <c r="AE1310" s="1" t="s">
        <v>32</v>
      </c>
      <c r="AF1310" s="1" t="s">
        <v>33</v>
      </c>
      <c r="AG1310" s="1" t="s">
        <v>95</v>
      </c>
    </row>
    <row r="1311" spans="1:33">
      <c r="A1311" t="s">
        <v>4974</v>
      </c>
      <c r="C1311" t="s">
        <v>4975</v>
      </c>
      <c r="E1311" t="s">
        <v>4960</v>
      </c>
      <c r="F1311" t="s">
        <v>4961</v>
      </c>
      <c r="G1311">
        <v>950.1</v>
      </c>
      <c r="H1311">
        <v>950.1</v>
      </c>
      <c r="I1311" t="s">
        <v>847</v>
      </c>
      <c r="J1311" t="s">
        <v>848</v>
      </c>
      <c r="K1311" t="s">
        <v>31</v>
      </c>
      <c r="L1311" t="s">
        <v>32</v>
      </c>
      <c r="M1311" t="s">
        <v>33</v>
      </c>
      <c r="P1311" s="1" t="s">
        <v>4976</v>
      </c>
      <c r="Q1311" s="1" t="s">
        <v>4960</v>
      </c>
      <c r="R1311" s="1" t="s">
        <v>4960</v>
      </c>
      <c r="S1311" s="1"/>
      <c r="T1311" s="1" t="s">
        <v>4975</v>
      </c>
      <c r="U1311" s="1"/>
      <c r="V1311" s="1">
        <v>950.1</v>
      </c>
      <c r="W1311" s="1">
        <v>950.1</v>
      </c>
      <c r="X1311" s="1" t="s">
        <v>35</v>
      </c>
      <c r="Y1311" s="1">
        <v>950100.0</v>
      </c>
      <c r="Z1311" s="1"/>
      <c r="AA1311" s="1">
        <v>950100.0</v>
      </c>
      <c r="AB1311" s="1"/>
      <c r="AC1311" s="1" t="s">
        <v>36</v>
      </c>
      <c r="AD1311" s="1" t="s">
        <v>4977</v>
      </c>
      <c r="AE1311" s="1" t="s">
        <v>32</v>
      </c>
      <c r="AF1311" s="1" t="s">
        <v>33</v>
      </c>
      <c r="AG1311" s="1" t="s">
        <v>848</v>
      </c>
    </row>
    <row r="1312" spans="1:33">
      <c r="A1312" t="s">
        <v>4978</v>
      </c>
      <c r="B1312" t="s">
        <v>4979</v>
      </c>
      <c r="C1312" t="s">
        <v>26</v>
      </c>
      <c r="E1312" t="s">
        <v>4960</v>
      </c>
      <c r="F1312" t="s">
        <v>4961</v>
      </c>
      <c r="G1312">
        <v>104.0</v>
      </c>
      <c r="H1312">
        <v>104.0</v>
      </c>
      <c r="I1312" t="s">
        <v>29</v>
      </c>
      <c r="J1312" t="s">
        <v>30</v>
      </c>
      <c r="K1312" t="s">
        <v>31</v>
      </c>
      <c r="L1312" t="s">
        <v>32</v>
      </c>
      <c r="M1312" t="s">
        <v>33</v>
      </c>
      <c r="P1312" s="1" t="s">
        <v>4980</v>
      </c>
      <c r="Q1312" s="1" t="s">
        <v>4960</v>
      </c>
      <c r="R1312" s="1" t="s">
        <v>4960</v>
      </c>
      <c r="S1312" s="1"/>
      <c r="T1312" s="1" t="s">
        <v>26</v>
      </c>
      <c r="U1312" s="1"/>
      <c r="V1312" s="1">
        <v>104.0</v>
      </c>
      <c r="W1312" s="1">
        <v>104.0</v>
      </c>
      <c r="X1312" s="1" t="s">
        <v>35</v>
      </c>
      <c r="Y1312" s="1">
        <v>104000.0</v>
      </c>
      <c r="Z1312" s="1"/>
      <c r="AA1312" s="1">
        <v>104000.0</v>
      </c>
      <c r="AB1312" s="1"/>
      <c r="AC1312" s="1" t="s">
        <v>36</v>
      </c>
      <c r="AD1312" s="1" t="s">
        <v>4981</v>
      </c>
      <c r="AE1312" s="1" t="s">
        <v>32</v>
      </c>
      <c r="AF1312" s="1" t="s">
        <v>33</v>
      </c>
      <c r="AG1312" s="1" t="s">
        <v>30</v>
      </c>
    </row>
    <row r="1313" spans="1:33">
      <c r="A1313" t="s">
        <v>4982</v>
      </c>
      <c r="B1313" t="s">
        <v>4983</v>
      </c>
      <c r="C1313" t="s">
        <v>68</v>
      </c>
      <c r="E1313" t="s">
        <v>4960</v>
      </c>
      <c r="F1313" t="s">
        <v>4961</v>
      </c>
      <c r="G1313">
        <v>22.49</v>
      </c>
      <c r="H1313">
        <v>22.49</v>
      </c>
      <c r="I1313" t="s">
        <v>59</v>
      </c>
      <c r="J1313" t="s">
        <v>60</v>
      </c>
      <c r="K1313" t="s">
        <v>31</v>
      </c>
      <c r="L1313" t="s">
        <v>32</v>
      </c>
      <c r="M1313" t="s">
        <v>33</v>
      </c>
      <c r="P1313" s="1" t="s">
        <v>4984</v>
      </c>
      <c r="Q1313" s="1" t="s">
        <v>4960</v>
      </c>
      <c r="R1313" s="1" t="s">
        <v>4960</v>
      </c>
      <c r="S1313" s="1"/>
      <c r="T1313" s="1" t="s">
        <v>68</v>
      </c>
      <c r="U1313" s="1"/>
      <c r="V1313" s="1">
        <v>22.49</v>
      </c>
      <c r="W1313" s="1">
        <v>22.49</v>
      </c>
      <c r="X1313" s="1" t="s">
        <v>35</v>
      </c>
      <c r="Y1313" s="1">
        <v>22490.0</v>
      </c>
      <c r="Z1313" s="1"/>
      <c r="AA1313" s="1">
        <v>22490.0</v>
      </c>
      <c r="AB1313" s="1"/>
      <c r="AC1313" s="1" t="s">
        <v>36</v>
      </c>
      <c r="AD1313" s="1" t="s">
        <v>4985</v>
      </c>
      <c r="AE1313" s="1" t="s">
        <v>32</v>
      </c>
      <c r="AF1313" s="1" t="s">
        <v>33</v>
      </c>
      <c r="AG1313" s="1" t="s">
        <v>60</v>
      </c>
    </row>
    <row r="1314" spans="1:33">
      <c r="A1314" t="s">
        <v>4986</v>
      </c>
      <c r="B1314" t="s">
        <v>4987</v>
      </c>
      <c r="C1314" t="s">
        <v>314</v>
      </c>
      <c r="E1314" t="s">
        <v>4960</v>
      </c>
      <c r="F1314" t="s">
        <v>4961</v>
      </c>
      <c r="G1314">
        <v>22.24</v>
      </c>
      <c r="H1314">
        <v>22.24</v>
      </c>
      <c r="I1314" t="s">
        <v>179</v>
      </c>
      <c r="J1314" t="s">
        <v>180</v>
      </c>
      <c r="K1314" t="s">
        <v>31</v>
      </c>
      <c r="L1314" t="s">
        <v>32</v>
      </c>
      <c r="M1314" t="s">
        <v>33</v>
      </c>
      <c r="P1314" s="1" t="s">
        <v>4988</v>
      </c>
      <c r="Q1314" s="1" t="s">
        <v>4960</v>
      </c>
      <c r="R1314" s="1" t="s">
        <v>4960</v>
      </c>
      <c r="S1314" s="1"/>
      <c r="T1314" s="1" t="s">
        <v>314</v>
      </c>
      <c r="U1314" s="1"/>
      <c r="V1314" s="1">
        <v>22.24</v>
      </c>
      <c r="W1314" s="1">
        <v>22.24</v>
      </c>
      <c r="X1314" s="1" t="s">
        <v>35</v>
      </c>
      <c r="Y1314" s="1">
        <v>22240.0</v>
      </c>
      <c r="Z1314" s="1"/>
      <c r="AA1314" s="1">
        <v>22240.0</v>
      </c>
      <c r="AB1314" s="1"/>
      <c r="AC1314" s="1" t="s">
        <v>36</v>
      </c>
      <c r="AD1314" s="1" t="s">
        <v>4989</v>
      </c>
      <c r="AE1314" s="1" t="s">
        <v>32</v>
      </c>
      <c r="AF1314" s="1" t="s">
        <v>33</v>
      </c>
      <c r="AG1314" s="1" t="s">
        <v>180</v>
      </c>
    </row>
    <row r="1315" spans="1:33">
      <c r="A1315" t="s">
        <v>4990</v>
      </c>
      <c r="B1315" t="s">
        <v>4991</v>
      </c>
      <c r="C1315" t="s">
        <v>125</v>
      </c>
      <c r="E1315" t="s">
        <v>4960</v>
      </c>
      <c r="F1315" t="s">
        <v>4961</v>
      </c>
      <c r="G1315">
        <v>38.98</v>
      </c>
      <c r="H1315">
        <v>38.98</v>
      </c>
      <c r="I1315" t="s">
        <v>126</v>
      </c>
      <c r="J1315" t="s">
        <v>127</v>
      </c>
      <c r="K1315" t="s">
        <v>31</v>
      </c>
      <c r="L1315" t="s">
        <v>32</v>
      </c>
      <c r="M1315" t="s">
        <v>33</v>
      </c>
      <c r="P1315" s="1" t="s">
        <v>4992</v>
      </c>
      <c r="Q1315" s="1" t="s">
        <v>4960</v>
      </c>
      <c r="R1315" s="1" t="s">
        <v>4960</v>
      </c>
      <c r="S1315" s="1"/>
      <c r="T1315" s="1" t="s">
        <v>125</v>
      </c>
      <c r="U1315" s="1"/>
      <c r="V1315" s="1">
        <v>38.98</v>
      </c>
      <c r="W1315" s="1">
        <v>38.98</v>
      </c>
      <c r="X1315" s="1" t="s">
        <v>35</v>
      </c>
      <c r="Y1315" s="1">
        <v>38980.0</v>
      </c>
      <c r="Z1315" s="1"/>
      <c r="AA1315" s="1">
        <v>38980.0</v>
      </c>
      <c r="AB1315" s="1"/>
      <c r="AC1315" s="1" t="s">
        <v>36</v>
      </c>
      <c r="AD1315" s="1" t="s">
        <v>4993</v>
      </c>
      <c r="AE1315" s="1" t="s">
        <v>32</v>
      </c>
      <c r="AF1315" s="1" t="s">
        <v>33</v>
      </c>
      <c r="AG1315" s="1" t="s">
        <v>127</v>
      </c>
    </row>
    <row r="1316" spans="1:33">
      <c r="A1316" t="s">
        <v>4994</v>
      </c>
      <c r="B1316" t="s">
        <v>4995</v>
      </c>
      <c r="C1316" t="s">
        <v>68</v>
      </c>
      <c r="E1316" t="s">
        <v>4960</v>
      </c>
      <c r="F1316" t="s">
        <v>4961</v>
      </c>
      <c r="G1316">
        <v>17.745</v>
      </c>
      <c r="H1316">
        <v>17.745</v>
      </c>
      <c r="I1316" t="s">
        <v>59</v>
      </c>
      <c r="J1316" t="s">
        <v>60</v>
      </c>
      <c r="K1316" t="s">
        <v>31</v>
      </c>
      <c r="L1316" t="s">
        <v>32</v>
      </c>
      <c r="M1316" t="s">
        <v>33</v>
      </c>
      <c r="P1316" s="1" t="s">
        <v>4996</v>
      </c>
      <c r="Q1316" s="1" t="s">
        <v>4960</v>
      </c>
      <c r="R1316" s="1" t="s">
        <v>4960</v>
      </c>
      <c r="S1316" s="1"/>
      <c r="T1316" s="1" t="s">
        <v>68</v>
      </c>
      <c r="U1316" s="1"/>
      <c r="V1316" s="1">
        <v>17.745</v>
      </c>
      <c r="W1316" s="1">
        <v>17.745</v>
      </c>
      <c r="X1316" s="1" t="s">
        <v>35</v>
      </c>
      <c r="Y1316" s="1">
        <v>17745.0</v>
      </c>
      <c r="Z1316" s="1"/>
      <c r="AA1316" s="1">
        <v>17745.0</v>
      </c>
      <c r="AB1316" s="1"/>
      <c r="AC1316" s="1" t="s">
        <v>36</v>
      </c>
      <c r="AD1316" s="1" t="s">
        <v>4997</v>
      </c>
      <c r="AE1316" s="1" t="s">
        <v>32</v>
      </c>
      <c r="AF1316" s="1" t="s">
        <v>33</v>
      </c>
      <c r="AG1316" s="1" t="s">
        <v>60</v>
      </c>
    </row>
    <row r="1317" spans="1:33">
      <c r="A1317" t="s">
        <v>4998</v>
      </c>
      <c r="B1317" t="s">
        <v>4999</v>
      </c>
      <c r="C1317" t="s">
        <v>125</v>
      </c>
      <c r="E1317" t="s">
        <v>4960</v>
      </c>
      <c r="F1317" t="s">
        <v>4961</v>
      </c>
      <c r="G1317">
        <v>36.243</v>
      </c>
      <c r="H1317">
        <v>36.243</v>
      </c>
      <c r="I1317" t="s">
        <v>126</v>
      </c>
      <c r="J1317" t="s">
        <v>127</v>
      </c>
      <c r="K1317" t="s">
        <v>31</v>
      </c>
      <c r="L1317" t="s">
        <v>32</v>
      </c>
      <c r="M1317" t="s">
        <v>33</v>
      </c>
      <c r="P1317" s="1" t="s">
        <v>5000</v>
      </c>
      <c r="Q1317" s="1" t="s">
        <v>4960</v>
      </c>
      <c r="R1317" s="1" t="s">
        <v>4960</v>
      </c>
      <c r="S1317" s="1"/>
      <c r="T1317" s="1" t="s">
        <v>125</v>
      </c>
      <c r="U1317" s="1"/>
      <c r="V1317" s="1">
        <v>36.243</v>
      </c>
      <c r="W1317" s="1">
        <v>36.243</v>
      </c>
      <c r="X1317" s="1" t="s">
        <v>35</v>
      </c>
      <c r="Y1317" s="1">
        <v>36243.0</v>
      </c>
      <c r="Z1317" s="1"/>
      <c r="AA1317" s="1">
        <v>36243.0</v>
      </c>
      <c r="AB1317" s="1"/>
      <c r="AC1317" s="1" t="s">
        <v>36</v>
      </c>
      <c r="AD1317" s="1" t="s">
        <v>5001</v>
      </c>
      <c r="AE1317" s="1" t="s">
        <v>32</v>
      </c>
      <c r="AF1317" s="1" t="s">
        <v>33</v>
      </c>
      <c r="AG1317" s="1" t="s">
        <v>127</v>
      </c>
    </row>
    <row r="1318" spans="1:33">
      <c r="A1318" t="s">
        <v>5002</v>
      </c>
      <c r="B1318" t="s">
        <v>5003</v>
      </c>
      <c r="C1318" t="s">
        <v>26</v>
      </c>
      <c r="E1318" t="s">
        <v>4960</v>
      </c>
      <c r="F1318" t="s">
        <v>4961</v>
      </c>
      <c r="G1318">
        <v>2.72</v>
      </c>
      <c r="H1318">
        <v>2.72</v>
      </c>
      <c r="I1318" t="s">
        <v>29</v>
      </c>
      <c r="J1318" t="s">
        <v>30</v>
      </c>
      <c r="K1318" t="s">
        <v>31</v>
      </c>
      <c r="L1318" t="s">
        <v>32</v>
      </c>
      <c r="M1318" t="s">
        <v>33</v>
      </c>
      <c r="P1318" s="1" t="s">
        <v>5004</v>
      </c>
      <c r="Q1318" s="1" t="s">
        <v>4960</v>
      </c>
      <c r="R1318" s="1" t="s">
        <v>4960</v>
      </c>
      <c r="S1318" s="1"/>
      <c r="T1318" s="1" t="s">
        <v>26</v>
      </c>
      <c r="U1318" s="1"/>
      <c r="V1318" s="1">
        <v>2.72</v>
      </c>
      <c r="W1318" s="1">
        <v>2.72</v>
      </c>
      <c r="X1318" s="1" t="s">
        <v>35</v>
      </c>
      <c r="Y1318" s="1">
        <v>2720.0</v>
      </c>
      <c r="Z1318" s="1"/>
      <c r="AA1318" s="1">
        <v>2720.0</v>
      </c>
      <c r="AB1318" s="1"/>
      <c r="AC1318" s="1" t="s">
        <v>36</v>
      </c>
      <c r="AD1318" s="1" t="s">
        <v>5005</v>
      </c>
      <c r="AE1318" s="1" t="s">
        <v>32</v>
      </c>
      <c r="AF1318" s="1" t="s">
        <v>33</v>
      </c>
      <c r="AG1318" s="1" t="s">
        <v>30</v>
      </c>
    </row>
    <row r="1319" spans="1:33">
      <c r="A1319" t="s">
        <v>5006</v>
      </c>
      <c r="C1319" t="s">
        <v>309</v>
      </c>
      <c r="E1319" t="s">
        <v>4960</v>
      </c>
      <c r="F1319" t="s">
        <v>4961</v>
      </c>
      <c r="G1319">
        <v>336.0</v>
      </c>
      <c r="H1319">
        <v>336.0</v>
      </c>
      <c r="I1319" t="s">
        <v>2206</v>
      </c>
      <c r="J1319" t="s">
        <v>49</v>
      </c>
      <c r="K1319" t="s">
        <v>31</v>
      </c>
      <c r="L1319" t="s">
        <v>32</v>
      </c>
      <c r="M1319" t="s">
        <v>33</v>
      </c>
      <c r="P1319" s="1" t="s">
        <v>5007</v>
      </c>
      <c r="Q1319" s="1" t="s">
        <v>4960</v>
      </c>
      <c r="R1319" s="1" t="s">
        <v>4960</v>
      </c>
      <c r="S1319" s="1"/>
      <c r="T1319" s="1" t="s">
        <v>309</v>
      </c>
      <c r="U1319" s="1"/>
      <c r="V1319" s="1">
        <v>336.0</v>
      </c>
      <c r="W1319" s="1">
        <v>336.0</v>
      </c>
      <c r="X1319" s="1" t="s">
        <v>35</v>
      </c>
      <c r="Y1319" s="1">
        <v>336000.0</v>
      </c>
      <c r="Z1319" s="1"/>
      <c r="AA1319" s="1">
        <v>336000.0</v>
      </c>
      <c r="AB1319" s="1"/>
      <c r="AC1319" s="1" t="s">
        <v>36</v>
      </c>
      <c r="AD1319" s="1" t="s">
        <v>5008</v>
      </c>
      <c r="AE1319" s="1" t="s">
        <v>32</v>
      </c>
      <c r="AF1319" s="1" t="s">
        <v>33</v>
      </c>
      <c r="AG1319" s="1" t="s">
        <v>49</v>
      </c>
    </row>
    <row r="1320" spans="1:33">
      <c r="A1320" t="s">
        <v>5009</v>
      </c>
      <c r="C1320" t="s">
        <v>93</v>
      </c>
      <c r="E1320" t="s">
        <v>4960</v>
      </c>
      <c r="F1320" t="s">
        <v>4961</v>
      </c>
      <c r="G1320">
        <v>640.0</v>
      </c>
      <c r="H1320">
        <v>640.0</v>
      </c>
      <c r="I1320" t="s">
        <v>94</v>
      </c>
      <c r="J1320" t="s">
        <v>95</v>
      </c>
      <c r="K1320" t="s">
        <v>31</v>
      </c>
      <c r="L1320" t="s">
        <v>32</v>
      </c>
      <c r="M1320" t="s">
        <v>33</v>
      </c>
      <c r="P1320" s="1" t="s">
        <v>5010</v>
      </c>
      <c r="Q1320" s="1" t="s">
        <v>4960</v>
      </c>
      <c r="R1320" s="1" t="s">
        <v>4960</v>
      </c>
      <c r="S1320" s="1"/>
      <c r="T1320" s="1" t="s">
        <v>93</v>
      </c>
      <c r="U1320" s="1"/>
      <c r="V1320" s="1">
        <v>640.0</v>
      </c>
      <c r="W1320" s="1">
        <v>640.0</v>
      </c>
      <c r="X1320" s="1" t="s">
        <v>35</v>
      </c>
      <c r="Y1320" s="1">
        <v>640000.0</v>
      </c>
      <c r="Z1320" s="1"/>
      <c r="AA1320" s="1">
        <v>640000.0</v>
      </c>
      <c r="AB1320" s="1"/>
      <c r="AC1320" s="1" t="s">
        <v>36</v>
      </c>
      <c r="AD1320" s="1" t="s">
        <v>5011</v>
      </c>
      <c r="AE1320" s="1" t="s">
        <v>32</v>
      </c>
      <c r="AF1320" s="1" t="s">
        <v>33</v>
      </c>
      <c r="AG1320" s="1" t="s">
        <v>95</v>
      </c>
    </row>
    <row r="1321" spans="1:33">
      <c r="A1321" t="s">
        <v>5012</v>
      </c>
      <c r="B1321" t="s">
        <v>5013</v>
      </c>
      <c r="C1321" t="s">
        <v>906</v>
      </c>
      <c r="E1321" t="s">
        <v>4960</v>
      </c>
      <c r="F1321" t="s">
        <v>4961</v>
      </c>
      <c r="G1321">
        <v>7.44</v>
      </c>
      <c r="H1321">
        <v>7.44</v>
      </c>
      <c r="I1321" t="s">
        <v>847</v>
      </c>
      <c r="J1321" t="s">
        <v>848</v>
      </c>
      <c r="K1321" t="s">
        <v>31</v>
      </c>
      <c r="L1321" t="s">
        <v>32</v>
      </c>
      <c r="M1321" t="s">
        <v>33</v>
      </c>
      <c r="P1321" s="1" t="s">
        <v>5014</v>
      </c>
      <c r="Q1321" s="1" t="s">
        <v>4960</v>
      </c>
      <c r="R1321" s="1" t="s">
        <v>4960</v>
      </c>
      <c r="S1321" s="1"/>
      <c r="T1321" s="1" t="s">
        <v>906</v>
      </c>
      <c r="U1321" s="1"/>
      <c r="V1321" s="1">
        <v>7.44</v>
      </c>
      <c r="W1321" s="1">
        <v>7.44</v>
      </c>
      <c r="X1321" s="1" t="s">
        <v>35</v>
      </c>
      <c r="Y1321" s="1">
        <v>7440.0</v>
      </c>
      <c r="Z1321" s="1"/>
      <c r="AA1321" s="1">
        <v>7440.0</v>
      </c>
      <c r="AB1321" s="1"/>
      <c r="AC1321" s="1" t="s">
        <v>36</v>
      </c>
      <c r="AD1321" s="1" t="s">
        <v>5015</v>
      </c>
      <c r="AE1321" s="1" t="s">
        <v>32</v>
      </c>
      <c r="AF1321" s="1" t="s">
        <v>33</v>
      </c>
      <c r="AG1321" s="1" t="s">
        <v>848</v>
      </c>
    </row>
    <row r="1322" spans="1:33">
      <c r="A1322" t="s">
        <v>5016</v>
      </c>
      <c r="B1322" t="s">
        <v>5017</v>
      </c>
      <c r="C1322" t="s">
        <v>68</v>
      </c>
      <c r="E1322" t="s">
        <v>4960</v>
      </c>
      <c r="F1322" t="s">
        <v>4961</v>
      </c>
      <c r="G1322">
        <v>15.495</v>
      </c>
      <c r="H1322">
        <v>15.495</v>
      </c>
      <c r="I1322" t="s">
        <v>59</v>
      </c>
      <c r="J1322" t="s">
        <v>60</v>
      </c>
      <c r="K1322" t="s">
        <v>31</v>
      </c>
      <c r="L1322" t="s">
        <v>32</v>
      </c>
      <c r="M1322" t="s">
        <v>33</v>
      </c>
      <c r="P1322" s="1" t="s">
        <v>5018</v>
      </c>
      <c r="Q1322" s="1" t="s">
        <v>4960</v>
      </c>
      <c r="R1322" s="1" t="s">
        <v>4960</v>
      </c>
      <c r="S1322" s="1"/>
      <c r="T1322" s="1" t="s">
        <v>68</v>
      </c>
      <c r="U1322" s="1"/>
      <c r="V1322" s="1">
        <v>15.495</v>
      </c>
      <c r="W1322" s="1">
        <v>15.495</v>
      </c>
      <c r="X1322" s="1" t="s">
        <v>35</v>
      </c>
      <c r="Y1322" s="1">
        <v>15495.0</v>
      </c>
      <c r="Z1322" s="1"/>
      <c r="AA1322" s="1">
        <v>15495.0</v>
      </c>
      <c r="AB1322" s="1"/>
      <c r="AC1322" s="1" t="s">
        <v>36</v>
      </c>
      <c r="AD1322" s="1" t="s">
        <v>5019</v>
      </c>
      <c r="AE1322" s="1" t="s">
        <v>32</v>
      </c>
      <c r="AF1322" s="1" t="s">
        <v>33</v>
      </c>
      <c r="AG1322" s="1" t="s">
        <v>60</v>
      </c>
    </row>
    <row r="1323" spans="1:33">
      <c r="A1323" t="s">
        <v>5020</v>
      </c>
      <c r="C1323" t="s">
        <v>5021</v>
      </c>
      <c r="D1323" t="s">
        <v>114</v>
      </c>
      <c r="E1323" t="s">
        <v>4960</v>
      </c>
      <c r="F1323" t="s">
        <v>4961</v>
      </c>
      <c r="G1323">
        <v>614.0</v>
      </c>
      <c r="H1323">
        <v>614.0</v>
      </c>
      <c r="I1323" t="s">
        <v>179</v>
      </c>
      <c r="J1323" t="s">
        <v>180</v>
      </c>
      <c r="K1323" t="s">
        <v>31</v>
      </c>
      <c r="L1323" t="s">
        <v>32</v>
      </c>
      <c r="M1323" t="s">
        <v>33</v>
      </c>
      <c r="P1323" s="1" t="s">
        <v>5022</v>
      </c>
      <c r="Q1323" s="1" t="s">
        <v>4960</v>
      </c>
      <c r="R1323" s="1" t="s">
        <v>4960</v>
      </c>
      <c r="S1323" s="1"/>
      <c r="T1323" s="1" t="s">
        <v>5021</v>
      </c>
      <c r="U1323" s="1"/>
      <c r="V1323" s="1">
        <v>614.0</v>
      </c>
      <c r="W1323" s="1">
        <v>614.0</v>
      </c>
      <c r="X1323" s="1" t="s">
        <v>35</v>
      </c>
      <c r="Y1323" s="1">
        <v>614000.0</v>
      </c>
      <c r="Z1323" s="1"/>
      <c r="AA1323" s="1">
        <v>614000.0</v>
      </c>
      <c r="AB1323" s="1"/>
      <c r="AC1323" s="1" t="s">
        <v>36</v>
      </c>
      <c r="AD1323" s="1" t="s">
        <v>5023</v>
      </c>
      <c r="AE1323" s="1" t="s">
        <v>32</v>
      </c>
      <c r="AF1323" s="1" t="s">
        <v>33</v>
      </c>
      <c r="AG1323" s="1" t="s">
        <v>180</v>
      </c>
    </row>
    <row r="1324" spans="1:33">
      <c r="A1324" t="s">
        <v>5024</v>
      </c>
      <c r="B1324" t="s">
        <v>5025</v>
      </c>
      <c r="C1324" t="s">
        <v>314</v>
      </c>
      <c r="E1324" t="s">
        <v>4960</v>
      </c>
      <c r="F1324" t="s">
        <v>4961</v>
      </c>
      <c r="G1324">
        <v>8.94</v>
      </c>
      <c r="H1324">
        <v>8.94</v>
      </c>
      <c r="I1324" t="s">
        <v>179</v>
      </c>
      <c r="J1324" t="s">
        <v>180</v>
      </c>
      <c r="K1324" t="s">
        <v>31</v>
      </c>
      <c r="L1324" t="s">
        <v>32</v>
      </c>
      <c r="M1324" t="s">
        <v>33</v>
      </c>
      <c r="P1324" s="1" t="s">
        <v>5026</v>
      </c>
      <c r="Q1324" s="1" t="s">
        <v>4960</v>
      </c>
      <c r="R1324" s="1" t="s">
        <v>4960</v>
      </c>
      <c r="S1324" s="1"/>
      <c r="T1324" s="1" t="s">
        <v>314</v>
      </c>
      <c r="U1324" s="1"/>
      <c r="V1324" s="1">
        <v>8.94</v>
      </c>
      <c r="W1324" s="1">
        <v>8.94</v>
      </c>
      <c r="X1324" s="1" t="s">
        <v>35</v>
      </c>
      <c r="Y1324" s="1">
        <v>8940.0</v>
      </c>
      <c r="Z1324" s="1"/>
      <c r="AA1324" s="1">
        <v>8940.0</v>
      </c>
      <c r="AB1324" s="1"/>
      <c r="AC1324" s="1" t="s">
        <v>36</v>
      </c>
      <c r="AD1324" s="1" t="s">
        <v>5027</v>
      </c>
      <c r="AE1324" s="1" t="s">
        <v>32</v>
      </c>
      <c r="AF1324" s="1" t="s">
        <v>33</v>
      </c>
      <c r="AG1324" s="1" t="s">
        <v>180</v>
      </c>
    </row>
    <row r="1325" spans="1:33">
      <c r="A1325" t="s">
        <v>5028</v>
      </c>
      <c r="C1325" t="s">
        <v>2756</v>
      </c>
      <c r="E1325" t="s">
        <v>4960</v>
      </c>
      <c r="F1325" t="s">
        <v>4961</v>
      </c>
      <c r="G1325">
        <v>1.968</v>
      </c>
      <c r="H1325">
        <v>1.968</v>
      </c>
      <c r="I1325" t="s">
        <v>5029</v>
      </c>
      <c r="J1325" t="s">
        <v>270</v>
      </c>
      <c r="K1325" t="s">
        <v>31</v>
      </c>
      <c r="L1325" t="s">
        <v>32</v>
      </c>
      <c r="M1325" t="s">
        <v>33</v>
      </c>
      <c r="P1325" s="1" t="s">
        <v>5030</v>
      </c>
      <c r="Q1325" s="1" t="s">
        <v>4960</v>
      </c>
      <c r="R1325" s="1" t="s">
        <v>4960</v>
      </c>
      <c r="S1325" s="1"/>
      <c r="T1325" s="1" t="s">
        <v>2756</v>
      </c>
      <c r="U1325" s="1"/>
      <c r="V1325" s="1">
        <v>1.968</v>
      </c>
      <c r="W1325" s="1">
        <v>1.968</v>
      </c>
      <c r="X1325" s="1" t="s">
        <v>35</v>
      </c>
      <c r="Y1325" s="1">
        <v>1968000.0</v>
      </c>
      <c r="Z1325" s="1"/>
      <c r="AA1325" s="1">
        <v>1968000.0</v>
      </c>
      <c r="AB1325" s="1"/>
      <c r="AC1325" s="1" t="s">
        <v>36</v>
      </c>
      <c r="AD1325" s="1" t="s">
        <v>5027</v>
      </c>
      <c r="AE1325" s="1" t="s">
        <v>32</v>
      </c>
      <c r="AF1325" s="1" t="s">
        <v>33</v>
      </c>
      <c r="AG1325" s="1" t="s">
        <v>270</v>
      </c>
    </row>
    <row r="1326" spans="1:33">
      <c r="A1326" t="s">
        <v>5031</v>
      </c>
      <c r="C1326" t="s">
        <v>1024</v>
      </c>
      <c r="E1326" t="s">
        <v>4960</v>
      </c>
      <c r="F1326" t="s">
        <v>4961</v>
      </c>
      <c r="G1326">
        <v>489.0</v>
      </c>
      <c r="H1326">
        <v>489.0</v>
      </c>
      <c r="I1326" t="s">
        <v>847</v>
      </c>
      <c r="J1326" t="s">
        <v>848</v>
      </c>
      <c r="K1326" t="s">
        <v>31</v>
      </c>
      <c r="L1326" t="s">
        <v>32</v>
      </c>
      <c r="M1326" t="s">
        <v>33</v>
      </c>
      <c r="P1326" s="1" t="s">
        <v>5032</v>
      </c>
      <c r="Q1326" s="1" t="s">
        <v>4960</v>
      </c>
      <c r="R1326" s="1" t="s">
        <v>4960</v>
      </c>
      <c r="S1326" s="1"/>
      <c r="T1326" s="1" t="s">
        <v>1024</v>
      </c>
      <c r="U1326" s="1"/>
      <c r="V1326" s="1">
        <v>489.0</v>
      </c>
      <c r="W1326" s="1">
        <v>489.0</v>
      </c>
      <c r="X1326" s="1" t="s">
        <v>35</v>
      </c>
      <c r="Y1326" s="1">
        <v>489000.0</v>
      </c>
      <c r="Z1326" s="1"/>
      <c r="AA1326" s="1">
        <v>489000.0</v>
      </c>
      <c r="AB1326" s="1"/>
      <c r="AC1326" s="1" t="s">
        <v>36</v>
      </c>
      <c r="AD1326" s="1" t="s">
        <v>5033</v>
      </c>
      <c r="AE1326" s="1" t="s">
        <v>32</v>
      </c>
      <c r="AF1326" s="1" t="s">
        <v>33</v>
      </c>
      <c r="AG1326" s="1" t="s">
        <v>848</v>
      </c>
    </row>
    <row r="1327" spans="1:33">
      <c r="A1327" t="s">
        <v>5034</v>
      </c>
      <c r="B1327" t="s">
        <v>5035</v>
      </c>
      <c r="C1327" t="s">
        <v>131</v>
      </c>
      <c r="E1327" t="s">
        <v>4960</v>
      </c>
      <c r="F1327" t="s">
        <v>4961</v>
      </c>
      <c r="G1327">
        <v>50.84</v>
      </c>
      <c r="H1327">
        <v>50.84</v>
      </c>
      <c r="I1327" t="s">
        <v>94</v>
      </c>
      <c r="J1327" t="s">
        <v>95</v>
      </c>
      <c r="K1327" t="s">
        <v>31</v>
      </c>
      <c r="L1327" t="s">
        <v>32</v>
      </c>
      <c r="M1327" t="s">
        <v>33</v>
      </c>
      <c r="P1327" s="1" t="s">
        <v>5036</v>
      </c>
      <c r="Q1327" s="1" t="s">
        <v>4960</v>
      </c>
      <c r="R1327" s="1" t="s">
        <v>4960</v>
      </c>
      <c r="S1327" s="1"/>
      <c r="T1327" s="1" t="s">
        <v>131</v>
      </c>
      <c r="U1327" s="1"/>
      <c r="V1327" s="1">
        <v>50.84</v>
      </c>
      <c r="W1327" s="1">
        <v>50.84</v>
      </c>
      <c r="X1327" s="1" t="s">
        <v>35</v>
      </c>
      <c r="Y1327" s="1">
        <v>50840.0</v>
      </c>
      <c r="Z1327" s="1"/>
      <c r="AA1327" s="1">
        <v>50840.0</v>
      </c>
      <c r="AB1327" s="1"/>
      <c r="AC1327" s="1" t="s">
        <v>36</v>
      </c>
      <c r="AD1327" s="1" t="s">
        <v>5037</v>
      </c>
      <c r="AE1327" s="1" t="s">
        <v>32</v>
      </c>
      <c r="AF1327" s="1" t="s">
        <v>33</v>
      </c>
      <c r="AG1327" s="1" t="s">
        <v>95</v>
      </c>
    </row>
    <row r="1328" spans="1:33">
      <c r="A1328" t="s">
        <v>5038</v>
      </c>
      <c r="B1328" t="s">
        <v>5039</v>
      </c>
      <c r="C1328" t="s">
        <v>131</v>
      </c>
      <c r="E1328" t="s">
        <v>4960</v>
      </c>
      <c r="F1328" t="s">
        <v>4961</v>
      </c>
      <c r="G1328">
        <v>235.0</v>
      </c>
      <c r="H1328">
        <v>235.0</v>
      </c>
      <c r="I1328" t="s">
        <v>94</v>
      </c>
      <c r="J1328" t="s">
        <v>95</v>
      </c>
      <c r="K1328" t="s">
        <v>31</v>
      </c>
      <c r="L1328" t="s">
        <v>32</v>
      </c>
      <c r="M1328" t="s">
        <v>33</v>
      </c>
      <c r="P1328" s="1" t="s">
        <v>5040</v>
      </c>
      <c r="Q1328" s="1" t="s">
        <v>4960</v>
      </c>
      <c r="R1328" s="1" t="s">
        <v>4960</v>
      </c>
      <c r="S1328" s="1"/>
      <c r="T1328" s="1" t="s">
        <v>131</v>
      </c>
      <c r="U1328" s="1"/>
      <c r="V1328" s="1">
        <v>235.0</v>
      </c>
      <c r="W1328" s="1">
        <v>235.0</v>
      </c>
      <c r="X1328" s="1" t="s">
        <v>35</v>
      </c>
      <c r="Y1328" s="1">
        <v>235000.0</v>
      </c>
      <c r="Z1328" s="1"/>
      <c r="AA1328" s="1">
        <v>235000.0</v>
      </c>
      <c r="AB1328" s="1"/>
      <c r="AC1328" s="1" t="s">
        <v>36</v>
      </c>
      <c r="AD1328" s="1" t="s">
        <v>5041</v>
      </c>
      <c r="AE1328" s="1" t="s">
        <v>32</v>
      </c>
      <c r="AF1328" s="1" t="s">
        <v>33</v>
      </c>
      <c r="AG1328" s="1" t="s">
        <v>95</v>
      </c>
    </row>
    <row r="1329" spans="1:33">
      <c r="A1329" t="s">
        <v>5042</v>
      </c>
      <c r="C1329" t="s">
        <v>1732</v>
      </c>
      <c r="E1329" t="s">
        <v>4960</v>
      </c>
      <c r="F1329" t="s">
        <v>4961</v>
      </c>
      <c r="G1329">
        <v>686.7</v>
      </c>
      <c r="H1329">
        <v>686.7</v>
      </c>
      <c r="I1329" t="s">
        <v>94</v>
      </c>
      <c r="J1329" t="s">
        <v>95</v>
      </c>
      <c r="K1329" t="s">
        <v>31</v>
      </c>
      <c r="L1329" t="s">
        <v>32</v>
      </c>
      <c r="M1329" t="s">
        <v>33</v>
      </c>
      <c r="P1329" s="1" t="s">
        <v>5043</v>
      </c>
      <c r="Q1329" s="1" t="s">
        <v>4960</v>
      </c>
      <c r="R1329" s="1" t="s">
        <v>4960</v>
      </c>
      <c r="S1329" s="1"/>
      <c r="T1329" s="1" t="s">
        <v>1732</v>
      </c>
      <c r="U1329" s="1"/>
      <c r="V1329" s="1">
        <v>686.7</v>
      </c>
      <c r="W1329" s="1">
        <v>686.7</v>
      </c>
      <c r="X1329" s="1" t="s">
        <v>35</v>
      </c>
      <c r="Y1329" s="1">
        <v>686700.0</v>
      </c>
      <c r="Z1329" s="1"/>
      <c r="AA1329" s="1">
        <v>686700.0</v>
      </c>
      <c r="AB1329" s="1"/>
      <c r="AC1329" s="1" t="s">
        <v>36</v>
      </c>
      <c r="AD1329" s="1" t="s">
        <v>5044</v>
      </c>
      <c r="AE1329" s="1" t="s">
        <v>32</v>
      </c>
      <c r="AF1329" s="1" t="s">
        <v>33</v>
      </c>
      <c r="AG1329" s="1" t="s">
        <v>95</v>
      </c>
    </row>
    <row r="1330" spans="1:33">
      <c r="A1330" t="s">
        <v>5045</v>
      </c>
      <c r="B1330" t="s">
        <v>5046</v>
      </c>
      <c r="C1330" t="s">
        <v>5047</v>
      </c>
      <c r="E1330" t="s">
        <v>4960</v>
      </c>
      <c r="F1330" t="s">
        <v>4961</v>
      </c>
      <c r="G1330">
        <v>780.0</v>
      </c>
      <c r="H1330">
        <v>780.0</v>
      </c>
      <c r="I1330" t="s">
        <v>59</v>
      </c>
      <c r="J1330" t="s">
        <v>60</v>
      </c>
      <c r="K1330" t="s">
        <v>31</v>
      </c>
      <c r="L1330" t="s">
        <v>32</v>
      </c>
      <c r="M1330" t="s">
        <v>33</v>
      </c>
      <c r="P1330" s="1" t="s">
        <v>5048</v>
      </c>
      <c r="Q1330" s="1" t="s">
        <v>4960</v>
      </c>
      <c r="R1330" s="1" t="s">
        <v>4960</v>
      </c>
      <c r="S1330" s="1"/>
      <c r="T1330" s="1" t="s">
        <v>5047</v>
      </c>
      <c r="U1330" s="1"/>
      <c r="V1330" s="1">
        <v>780.0</v>
      </c>
      <c r="W1330" s="1">
        <v>780.0</v>
      </c>
      <c r="X1330" s="1" t="s">
        <v>35</v>
      </c>
      <c r="Y1330" s="1">
        <v>780000.0</v>
      </c>
      <c r="Z1330" s="1"/>
      <c r="AA1330" s="1">
        <v>630000.0</v>
      </c>
      <c r="AB1330" s="1">
        <v>150000</v>
      </c>
      <c r="AC1330" s="1" t="s">
        <v>36</v>
      </c>
      <c r="AD1330" s="1" t="s">
        <v>5049</v>
      </c>
      <c r="AE1330" s="1" t="s">
        <v>32</v>
      </c>
      <c r="AF1330" s="1" t="s">
        <v>33</v>
      </c>
      <c r="AG1330" s="1" t="s">
        <v>60</v>
      </c>
    </row>
    <row r="1331" spans="1:33">
      <c r="A1331" t="s">
        <v>5050</v>
      </c>
      <c r="B1331" t="s">
        <v>1649</v>
      </c>
      <c r="C1331" t="s">
        <v>1408</v>
      </c>
      <c r="E1331" t="s">
        <v>4960</v>
      </c>
      <c r="F1331" t="s">
        <v>4961</v>
      </c>
      <c r="G1331">
        <v>770.9</v>
      </c>
      <c r="H1331">
        <v>770.9</v>
      </c>
      <c r="I1331" t="s">
        <v>529</v>
      </c>
      <c r="J1331" t="s">
        <v>530</v>
      </c>
      <c r="K1331" t="s">
        <v>31</v>
      </c>
      <c r="L1331" t="s">
        <v>32</v>
      </c>
      <c r="M1331" t="s">
        <v>33</v>
      </c>
      <c r="P1331" s="1" t="s">
        <v>5051</v>
      </c>
      <c r="Q1331" s="1" t="s">
        <v>4960</v>
      </c>
      <c r="R1331" s="1" t="s">
        <v>5052</v>
      </c>
      <c r="S1331" s="1"/>
      <c r="T1331" s="1" t="s">
        <v>1408</v>
      </c>
      <c r="U1331" s="1"/>
      <c r="V1331" s="1">
        <v>770.9</v>
      </c>
      <c r="W1331" s="1">
        <v>770.9</v>
      </c>
      <c r="X1331" s="1" t="s">
        <v>35</v>
      </c>
      <c r="Y1331" s="1">
        <v>770900.0</v>
      </c>
      <c r="Z1331" s="1"/>
      <c r="AA1331" s="1">
        <v>770900.0</v>
      </c>
      <c r="AB1331" s="1"/>
      <c r="AC1331" s="1" t="s">
        <v>36</v>
      </c>
      <c r="AD1331" s="1" t="s">
        <v>5053</v>
      </c>
      <c r="AE1331" s="1" t="s">
        <v>32</v>
      </c>
      <c r="AF1331" s="1" t="s">
        <v>33</v>
      </c>
      <c r="AG1331" s="1" t="s">
        <v>530</v>
      </c>
    </row>
    <row r="1332" spans="1:33">
      <c r="A1332" t="s">
        <v>5054</v>
      </c>
      <c r="C1332" t="s">
        <v>866</v>
      </c>
      <c r="D1332" t="s">
        <v>154</v>
      </c>
      <c r="E1332" t="s">
        <v>4960</v>
      </c>
      <c r="F1332" t="s">
        <v>4961</v>
      </c>
      <c r="G1332">
        <v>578.5</v>
      </c>
      <c r="H1332">
        <v>578.5</v>
      </c>
      <c r="I1332" t="s">
        <v>2206</v>
      </c>
      <c r="J1332" t="s">
        <v>49</v>
      </c>
      <c r="K1332" t="s">
        <v>31</v>
      </c>
      <c r="L1332" t="s">
        <v>32</v>
      </c>
      <c r="M1332" t="s">
        <v>33</v>
      </c>
      <c r="P1332" s="1" t="s">
        <v>5055</v>
      </c>
      <c r="Q1332" s="1" t="s">
        <v>4960</v>
      </c>
      <c r="R1332" s="1" t="s">
        <v>4960</v>
      </c>
      <c r="S1332" s="1"/>
      <c r="T1332" s="1" t="s">
        <v>868</v>
      </c>
      <c r="U1332" s="1" t="s">
        <v>869</v>
      </c>
      <c r="V1332" s="1">
        <v>578.5</v>
      </c>
      <c r="W1332" s="1">
        <v>578.5</v>
      </c>
      <c r="X1332" s="1" t="s">
        <v>35</v>
      </c>
      <c r="Y1332" s="1">
        <v>578500.0</v>
      </c>
      <c r="Z1332" s="1"/>
      <c r="AA1332" s="1">
        <v>578500.0</v>
      </c>
      <c r="AB1332" s="1"/>
      <c r="AC1332" s="1" t="s">
        <v>36</v>
      </c>
      <c r="AD1332" s="1" t="s">
        <v>5056</v>
      </c>
      <c r="AE1332" s="1" t="s">
        <v>32</v>
      </c>
      <c r="AF1332" s="1" t="s">
        <v>33</v>
      </c>
      <c r="AG1332" s="1" t="s">
        <v>49</v>
      </c>
    </row>
    <row r="1333" spans="1:33">
      <c r="A1333" t="s">
        <v>5057</v>
      </c>
      <c r="B1333" t="s">
        <v>1280</v>
      </c>
      <c r="C1333" t="s">
        <v>1281</v>
      </c>
      <c r="E1333" t="s">
        <v>4960</v>
      </c>
      <c r="F1333" t="s">
        <v>4961</v>
      </c>
      <c r="G1333">
        <v>423.2</v>
      </c>
      <c r="H1333">
        <v>423.2</v>
      </c>
      <c r="I1333" t="s">
        <v>529</v>
      </c>
      <c r="J1333" t="s">
        <v>530</v>
      </c>
      <c r="K1333" t="s">
        <v>31</v>
      </c>
      <c r="L1333" t="s">
        <v>32</v>
      </c>
      <c r="M1333" t="s">
        <v>33</v>
      </c>
      <c r="P1333" s="1" t="s">
        <v>5058</v>
      </c>
      <c r="Q1333" s="1" t="s">
        <v>4960</v>
      </c>
      <c r="R1333" s="1" t="s">
        <v>5052</v>
      </c>
      <c r="S1333" s="1"/>
      <c r="T1333" s="1" t="s">
        <v>1281</v>
      </c>
      <c r="U1333" s="1"/>
      <c r="V1333" s="1">
        <v>423.2</v>
      </c>
      <c r="W1333" s="1">
        <v>423.2</v>
      </c>
      <c r="X1333" s="1" t="s">
        <v>35</v>
      </c>
      <c r="Y1333" s="1">
        <v>423200.0</v>
      </c>
      <c r="Z1333" s="1"/>
      <c r="AA1333" s="1">
        <v>423200.0</v>
      </c>
      <c r="AB1333" s="1"/>
      <c r="AC1333" s="1" t="s">
        <v>36</v>
      </c>
      <c r="AD1333" s="1" t="s">
        <v>5059</v>
      </c>
      <c r="AE1333" s="1" t="s">
        <v>32</v>
      </c>
      <c r="AF1333" s="1" t="s">
        <v>33</v>
      </c>
      <c r="AG1333" s="1" t="s">
        <v>530</v>
      </c>
    </row>
    <row r="1334" spans="1:33">
      <c r="A1334" t="s">
        <v>5060</v>
      </c>
      <c r="B1334" t="s">
        <v>485</v>
      </c>
      <c r="C1334" t="s">
        <v>73</v>
      </c>
      <c r="E1334" t="s">
        <v>4960</v>
      </c>
      <c r="F1334" t="s">
        <v>4961</v>
      </c>
      <c r="G1334">
        <v>2.22</v>
      </c>
      <c r="H1334">
        <v>2.22</v>
      </c>
      <c r="I1334" t="s">
        <v>40</v>
      </c>
      <c r="J1334" t="s">
        <v>41</v>
      </c>
      <c r="K1334" t="s">
        <v>31</v>
      </c>
      <c r="L1334" t="s">
        <v>32</v>
      </c>
      <c r="M1334" t="s">
        <v>33</v>
      </c>
      <c r="P1334" s="1" t="s">
        <v>5061</v>
      </c>
      <c r="Q1334" s="1" t="s">
        <v>4960</v>
      </c>
      <c r="R1334" s="1" t="s">
        <v>5052</v>
      </c>
      <c r="S1334" s="1"/>
      <c r="T1334" s="1" t="s">
        <v>75</v>
      </c>
      <c r="U1334" s="1" t="s">
        <v>76</v>
      </c>
      <c r="V1334" s="1">
        <v>2.22</v>
      </c>
      <c r="W1334" s="1">
        <v>2.22</v>
      </c>
      <c r="X1334" s="1" t="s">
        <v>35</v>
      </c>
      <c r="Y1334" s="1">
        <v>2220.0</v>
      </c>
      <c r="Z1334" s="1"/>
      <c r="AA1334" s="1">
        <v>2220.0</v>
      </c>
      <c r="AB1334" s="1"/>
      <c r="AC1334" s="1" t="s">
        <v>36</v>
      </c>
      <c r="AD1334" s="1" t="s">
        <v>5062</v>
      </c>
      <c r="AE1334" s="1" t="s">
        <v>32</v>
      </c>
      <c r="AF1334" s="1" t="s">
        <v>33</v>
      </c>
      <c r="AG1334" s="1" t="s">
        <v>41</v>
      </c>
    </row>
    <row r="1335" spans="1:33">
      <c r="A1335" t="s">
        <v>5063</v>
      </c>
      <c r="B1335" t="s">
        <v>5064</v>
      </c>
      <c r="C1335" t="s">
        <v>47</v>
      </c>
      <c r="E1335" t="s">
        <v>4960</v>
      </c>
      <c r="F1335" t="s">
        <v>4961</v>
      </c>
      <c r="G1335">
        <v>175.7</v>
      </c>
      <c r="H1335">
        <v>175.7</v>
      </c>
      <c r="I1335" t="s">
        <v>2206</v>
      </c>
      <c r="J1335" t="s">
        <v>49</v>
      </c>
      <c r="K1335" t="s">
        <v>31</v>
      </c>
      <c r="L1335" t="s">
        <v>32</v>
      </c>
      <c r="M1335" t="s">
        <v>33</v>
      </c>
      <c r="P1335" s="1" t="s">
        <v>5065</v>
      </c>
      <c r="Q1335" s="1" t="s">
        <v>4960</v>
      </c>
      <c r="R1335" s="1" t="s">
        <v>4960</v>
      </c>
      <c r="S1335" s="1"/>
      <c r="T1335" s="1" t="s">
        <v>47</v>
      </c>
      <c r="U1335" s="1"/>
      <c r="V1335" s="1">
        <v>175.7</v>
      </c>
      <c r="W1335" s="1">
        <v>175.7</v>
      </c>
      <c r="X1335" s="1" t="s">
        <v>35</v>
      </c>
      <c r="Y1335" s="1">
        <v>175700.0</v>
      </c>
      <c r="Z1335" s="1"/>
      <c r="AA1335" s="1">
        <v>175700.0</v>
      </c>
      <c r="AB1335" s="1"/>
      <c r="AC1335" s="1" t="s">
        <v>36</v>
      </c>
      <c r="AD1335" s="1" t="s">
        <v>5066</v>
      </c>
      <c r="AE1335" s="1" t="s">
        <v>32</v>
      </c>
      <c r="AF1335" s="1" t="s">
        <v>33</v>
      </c>
      <c r="AG1335" s="1" t="s">
        <v>49</v>
      </c>
    </row>
    <row r="1336" spans="1:33">
      <c r="A1336" t="s">
        <v>5067</v>
      </c>
      <c r="B1336" t="s">
        <v>485</v>
      </c>
      <c r="C1336" t="s">
        <v>73</v>
      </c>
      <c r="E1336" t="s">
        <v>4960</v>
      </c>
      <c r="F1336" t="s">
        <v>4961</v>
      </c>
      <c r="G1336">
        <v>2.22</v>
      </c>
      <c r="H1336">
        <v>2.22</v>
      </c>
      <c r="I1336" t="s">
        <v>40</v>
      </c>
      <c r="J1336" t="s">
        <v>41</v>
      </c>
      <c r="K1336" t="s">
        <v>31</v>
      </c>
      <c r="L1336" t="s">
        <v>32</v>
      </c>
      <c r="M1336" t="s">
        <v>33</v>
      </c>
      <c r="P1336" s="1" t="s">
        <v>5068</v>
      </c>
      <c r="Q1336" s="1" t="s">
        <v>4960</v>
      </c>
      <c r="R1336" s="1" t="s">
        <v>5052</v>
      </c>
      <c r="S1336" s="1"/>
      <c r="T1336" s="1" t="s">
        <v>75</v>
      </c>
      <c r="U1336" s="1" t="s">
        <v>76</v>
      </c>
      <c r="V1336" s="1">
        <v>2.22</v>
      </c>
      <c r="W1336" s="1">
        <v>2.22</v>
      </c>
      <c r="X1336" s="1" t="s">
        <v>35</v>
      </c>
      <c r="Y1336" s="1">
        <v>2220.0</v>
      </c>
      <c r="Z1336" s="1"/>
      <c r="AA1336" s="1">
        <v>2220.0</v>
      </c>
      <c r="AB1336" s="1"/>
      <c r="AC1336" s="1" t="s">
        <v>36</v>
      </c>
      <c r="AD1336" s="1" t="s">
        <v>5069</v>
      </c>
      <c r="AE1336" s="1" t="s">
        <v>32</v>
      </c>
      <c r="AF1336" s="1" t="s">
        <v>33</v>
      </c>
      <c r="AG1336" s="1" t="s">
        <v>41</v>
      </c>
    </row>
    <row r="1337" spans="1:33">
      <c r="A1337" t="s">
        <v>5070</v>
      </c>
      <c r="C1337" t="s">
        <v>500</v>
      </c>
      <c r="E1337" t="s">
        <v>4960</v>
      </c>
      <c r="F1337" t="s">
        <v>4961</v>
      </c>
      <c r="G1337">
        <v>779.0</v>
      </c>
      <c r="H1337">
        <v>779.0</v>
      </c>
      <c r="I1337" t="s">
        <v>126</v>
      </c>
      <c r="J1337" t="s">
        <v>127</v>
      </c>
      <c r="K1337" t="s">
        <v>31</v>
      </c>
      <c r="L1337" t="s">
        <v>32</v>
      </c>
      <c r="M1337" t="s">
        <v>33</v>
      </c>
      <c r="P1337" s="1" t="s">
        <v>5071</v>
      </c>
      <c r="Q1337" s="1" t="s">
        <v>4960</v>
      </c>
      <c r="R1337" s="1" t="s">
        <v>4960</v>
      </c>
      <c r="S1337" s="1"/>
      <c r="T1337" s="1" t="s">
        <v>500</v>
      </c>
      <c r="U1337" s="1"/>
      <c r="V1337" s="1">
        <v>779.0</v>
      </c>
      <c r="W1337" s="1">
        <v>779.0</v>
      </c>
      <c r="X1337" s="1" t="s">
        <v>35</v>
      </c>
      <c r="Y1337" s="1">
        <v>790000.0</v>
      </c>
      <c r="Z1337" s="1">
        <v>-11000</v>
      </c>
      <c r="AA1337" s="1">
        <v>790000.0</v>
      </c>
      <c r="AB1337" s="1">
        <v>-11000</v>
      </c>
      <c r="AC1337" s="1" t="s">
        <v>36</v>
      </c>
      <c r="AD1337" s="1" t="s">
        <v>5066</v>
      </c>
      <c r="AE1337" s="1" t="s">
        <v>32</v>
      </c>
      <c r="AF1337" s="1" t="s">
        <v>33</v>
      </c>
      <c r="AG1337" s="1" t="s">
        <v>127</v>
      </c>
    </row>
    <row r="1338" spans="1:33">
      <c r="A1338" t="s">
        <v>5072</v>
      </c>
      <c r="B1338" t="s">
        <v>5073</v>
      </c>
      <c r="C1338" t="s">
        <v>68</v>
      </c>
      <c r="E1338" t="s">
        <v>4960</v>
      </c>
      <c r="F1338" t="s">
        <v>4961</v>
      </c>
      <c r="G1338">
        <v>41.99</v>
      </c>
      <c r="H1338">
        <v>41.99</v>
      </c>
      <c r="I1338" t="s">
        <v>59</v>
      </c>
      <c r="J1338" t="s">
        <v>60</v>
      </c>
      <c r="K1338" t="s">
        <v>31</v>
      </c>
      <c r="L1338" t="s">
        <v>32</v>
      </c>
      <c r="M1338" t="s">
        <v>33</v>
      </c>
      <c r="P1338" s="1" t="s">
        <v>5074</v>
      </c>
      <c r="Q1338" s="1" t="s">
        <v>4960</v>
      </c>
      <c r="R1338" s="1" t="s">
        <v>4960</v>
      </c>
      <c r="S1338" s="1"/>
      <c r="T1338" s="1" t="s">
        <v>68</v>
      </c>
      <c r="U1338" s="1"/>
      <c r="V1338" s="1">
        <v>41.99</v>
      </c>
      <c r="W1338" s="1">
        <v>41.99</v>
      </c>
      <c r="X1338" s="1" t="s">
        <v>35</v>
      </c>
      <c r="Y1338" s="1">
        <v>41990.0</v>
      </c>
      <c r="Z1338" s="1"/>
      <c r="AA1338" s="1">
        <v>41990.0</v>
      </c>
      <c r="AB1338" s="1"/>
      <c r="AC1338" s="1" t="s">
        <v>36</v>
      </c>
      <c r="AD1338" s="1" t="s">
        <v>5075</v>
      </c>
      <c r="AE1338" s="1" t="s">
        <v>32</v>
      </c>
      <c r="AF1338" s="1" t="s">
        <v>33</v>
      </c>
      <c r="AG1338" s="1" t="s">
        <v>60</v>
      </c>
    </row>
    <row r="1339" spans="1:33">
      <c r="A1339" t="s">
        <v>5076</v>
      </c>
      <c r="B1339" t="s">
        <v>5077</v>
      </c>
      <c r="C1339" t="s">
        <v>172</v>
      </c>
      <c r="E1339" t="s">
        <v>4960</v>
      </c>
      <c r="F1339" t="s">
        <v>4961</v>
      </c>
      <c r="G1339">
        <v>24.896</v>
      </c>
      <c r="H1339">
        <v>24.896</v>
      </c>
      <c r="I1339" t="s">
        <v>173</v>
      </c>
      <c r="J1339" t="s">
        <v>174</v>
      </c>
      <c r="K1339" t="s">
        <v>31</v>
      </c>
      <c r="L1339" t="s">
        <v>32</v>
      </c>
      <c r="M1339" t="s">
        <v>33</v>
      </c>
      <c r="P1339" s="1" t="s">
        <v>5078</v>
      </c>
      <c r="Q1339" s="1" t="s">
        <v>4960</v>
      </c>
      <c r="R1339" s="1" t="s">
        <v>4960</v>
      </c>
      <c r="S1339" s="1"/>
      <c r="T1339" s="1" t="s">
        <v>172</v>
      </c>
      <c r="U1339" s="1"/>
      <c r="V1339" s="1">
        <v>24.896</v>
      </c>
      <c r="W1339" s="1">
        <v>24.896</v>
      </c>
      <c r="X1339" s="1" t="s">
        <v>35</v>
      </c>
      <c r="Y1339" s="1">
        <v>24896.0</v>
      </c>
      <c r="Z1339" s="1"/>
      <c r="AA1339" s="1">
        <v>24896.0</v>
      </c>
      <c r="AB1339" s="1"/>
      <c r="AC1339" s="1" t="s">
        <v>36</v>
      </c>
      <c r="AD1339" s="1" t="s">
        <v>5079</v>
      </c>
      <c r="AE1339" s="1" t="s">
        <v>32</v>
      </c>
      <c r="AF1339" s="1" t="s">
        <v>33</v>
      </c>
      <c r="AG1339" s="1" t="s">
        <v>174</v>
      </c>
    </row>
    <row r="1340" spans="1:33">
      <c r="A1340" t="s">
        <v>5080</v>
      </c>
      <c r="B1340" t="s">
        <v>5081</v>
      </c>
      <c r="C1340" t="s">
        <v>5082</v>
      </c>
      <c r="D1340" t="s">
        <v>154</v>
      </c>
      <c r="E1340" t="s">
        <v>4960</v>
      </c>
      <c r="F1340" t="s">
        <v>4961</v>
      </c>
      <c r="G1340">
        <v>1.616</v>
      </c>
      <c r="H1340">
        <v>1.616</v>
      </c>
      <c r="I1340" t="s">
        <v>29</v>
      </c>
      <c r="J1340" t="s">
        <v>30</v>
      </c>
      <c r="K1340" t="s">
        <v>31</v>
      </c>
      <c r="L1340" t="s">
        <v>32</v>
      </c>
      <c r="M1340" t="s">
        <v>33</v>
      </c>
      <c r="P1340" s="1" t="s">
        <v>5083</v>
      </c>
      <c r="Q1340" s="1" t="s">
        <v>4960</v>
      </c>
      <c r="R1340" s="1" t="s">
        <v>4960</v>
      </c>
      <c r="S1340" s="1"/>
      <c r="T1340" s="1" t="s">
        <v>5084</v>
      </c>
      <c r="U1340" s="1" t="s">
        <v>5085</v>
      </c>
      <c r="V1340" s="1">
        <v>1.616</v>
      </c>
      <c r="W1340" s="1">
        <v>1.616</v>
      </c>
      <c r="X1340" s="1" t="s">
        <v>35</v>
      </c>
      <c r="Y1340" s="1">
        <v>1616250.0</v>
      </c>
      <c r="Z1340" s="1"/>
      <c r="AA1340" s="1">
        <v>1616250.0</v>
      </c>
      <c r="AB1340" s="1"/>
      <c r="AC1340" s="1" t="s">
        <v>36</v>
      </c>
      <c r="AD1340" s="1" t="s">
        <v>5086</v>
      </c>
      <c r="AE1340" s="1" t="s">
        <v>32</v>
      </c>
      <c r="AF1340" s="1" t="s">
        <v>33</v>
      </c>
      <c r="AG1340" s="1" t="s">
        <v>30</v>
      </c>
    </row>
    <row r="1341" spans="1:33">
      <c r="A1341" t="s">
        <v>5087</v>
      </c>
      <c r="B1341" t="s">
        <v>206</v>
      </c>
      <c r="C1341" t="s">
        <v>207</v>
      </c>
      <c r="E1341" t="s">
        <v>4960</v>
      </c>
      <c r="F1341" t="s">
        <v>4961</v>
      </c>
      <c r="G1341">
        <v>509.0</v>
      </c>
      <c r="H1341">
        <v>509.0</v>
      </c>
      <c r="I1341" t="s">
        <v>59</v>
      </c>
      <c r="J1341" t="s">
        <v>60</v>
      </c>
      <c r="K1341" t="s">
        <v>31</v>
      </c>
      <c r="L1341" t="s">
        <v>32</v>
      </c>
      <c r="M1341" t="s">
        <v>33</v>
      </c>
      <c r="P1341" s="1" t="s">
        <v>5088</v>
      </c>
      <c r="Q1341" s="1" t="s">
        <v>4960</v>
      </c>
      <c r="R1341" s="1" t="s">
        <v>4960</v>
      </c>
      <c r="S1341" s="1"/>
      <c r="T1341" s="1" t="s">
        <v>207</v>
      </c>
      <c r="U1341" s="1"/>
      <c r="V1341" s="1">
        <v>509.0</v>
      </c>
      <c r="W1341" s="1">
        <v>509.0</v>
      </c>
      <c r="X1341" s="1" t="s">
        <v>35</v>
      </c>
      <c r="Y1341" s="1">
        <v>509000.0</v>
      </c>
      <c r="Z1341" s="1"/>
      <c r="AA1341" s="1">
        <v>509000.0</v>
      </c>
      <c r="AB1341" s="1"/>
      <c r="AC1341" s="1" t="s">
        <v>36</v>
      </c>
      <c r="AD1341" s="1" t="s">
        <v>5089</v>
      </c>
      <c r="AE1341" s="1" t="s">
        <v>32</v>
      </c>
      <c r="AF1341" s="1" t="s">
        <v>33</v>
      </c>
      <c r="AG1341" s="1" t="s">
        <v>60</v>
      </c>
    </row>
    <row r="1342" spans="1:33">
      <c r="A1342" t="s">
        <v>5090</v>
      </c>
      <c r="C1342" t="s">
        <v>2197</v>
      </c>
      <c r="E1342" t="s">
        <v>4960</v>
      </c>
      <c r="F1342" t="s">
        <v>4961</v>
      </c>
      <c r="G1342">
        <v>336.0</v>
      </c>
      <c r="H1342">
        <v>336.0</v>
      </c>
      <c r="I1342" t="s">
        <v>570</v>
      </c>
      <c r="J1342" t="s">
        <v>571</v>
      </c>
      <c r="K1342" t="s">
        <v>31</v>
      </c>
      <c r="L1342" t="s">
        <v>32</v>
      </c>
      <c r="M1342" t="s">
        <v>33</v>
      </c>
      <c r="P1342" s="1" t="s">
        <v>5091</v>
      </c>
      <c r="Q1342" s="1" t="s">
        <v>4960</v>
      </c>
      <c r="R1342" s="1" t="s">
        <v>4960</v>
      </c>
      <c r="S1342" s="1"/>
      <c r="T1342" s="1" t="s">
        <v>2197</v>
      </c>
      <c r="U1342" s="1"/>
      <c r="V1342" s="1">
        <v>336.0</v>
      </c>
      <c r="W1342" s="1">
        <v>336.0</v>
      </c>
      <c r="X1342" s="1" t="s">
        <v>35</v>
      </c>
      <c r="Y1342" s="1">
        <v>336000</v>
      </c>
      <c r="Z1342" s="1"/>
      <c r="AA1342" s="1">
        <v>336000</v>
      </c>
      <c r="AB1342" s="1"/>
      <c r="AC1342" s="1" t="s">
        <v>36</v>
      </c>
      <c r="AD1342" s="1" t="s">
        <v>5089</v>
      </c>
      <c r="AE1342" s="1" t="s">
        <v>32</v>
      </c>
      <c r="AF1342" s="1" t="s">
        <v>33</v>
      </c>
      <c r="AG1342" s="1" t="s">
        <v>571</v>
      </c>
    </row>
    <row r="1343" spans="1:33">
      <c r="A1343" t="s">
        <v>5092</v>
      </c>
      <c r="B1343" t="s">
        <v>5093</v>
      </c>
      <c r="C1343" t="s">
        <v>26</v>
      </c>
      <c r="E1343" t="s">
        <v>4960</v>
      </c>
      <c r="F1343" t="s">
        <v>4961</v>
      </c>
      <c r="G1343">
        <v>3.0</v>
      </c>
      <c r="H1343">
        <v>3.0</v>
      </c>
      <c r="I1343" t="s">
        <v>29</v>
      </c>
      <c r="J1343" t="s">
        <v>30</v>
      </c>
      <c r="K1343" t="s">
        <v>31</v>
      </c>
      <c r="L1343" t="s">
        <v>32</v>
      </c>
      <c r="M1343" t="s">
        <v>33</v>
      </c>
      <c r="P1343" s="1" t="s">
        <v>5094</v>
      </c>
      <c r="Q1343" s="1" t="s">
        <v>4960</v>
      </c>
      <c r="R1343" s="1" t="s">
        <v>4960</v>
      </c>
      <c r="S1343" s="1"/>
      <c r="T1343" s="1" t="s">
        <v>26</v>
      </c>
      <c r="U1343" s="1"/>
      <c r="V1343" s="1">
        <v>3.0</v>
      </c>
      <c r="W1343" s="1">
        <v>3.0</v>
      </c>
      <c r="X1343" s="1" t="s">
        <v>35</v>
      </c>
      <c r="Y1343" s="1">
        <v>3000.0</v>
      </c>
      <c r="Z1343" s="1"/>
      <c r="AA1343" s="1">
        <v>3000.0</v>
      </c>
      <c r="AB1343" s="1"/>
      <c r="AC1343" s="1" t="s">
        <v>36</v>
      </c>
      <c r="AD1343" s="1" t="s">
        <v>5095</v>
      </c>
      <c r="AE1343" s="1" t="s">
        <v>32</v>
      </c>
      <c r="AF1343" s="1" t="s">
        <v>33</v>
      </c>
      <c r="AG1343" s="1" t="s">
        <v>30</v>
      </c>
    </row>
    <row r="1344" spans="1:33">
      <c r="A1344" t="s">
        <v>5096</v>
      </c>
      <c r="C1344" t="s">
        <v>368</v>
      </c>
      <c r="E1344" t="s">
        <v>4960</v>
      </c>
      <c r="F1344" t="s">
        <v>4961</v>
      </c>
      <c r="G1344">
        <v>328.0</v>
      </c>
      <c r="H1344">
        <v>328.0</v>
      </c>
      <c r="I1344" t="s">
        <v>5029</v>
      </c>
      <c r="J1344" t="s">
        <v>270</v>
      </c>
      <c r="K1344" t="s">
        <v>31</v>
      </c>
      <c r="L1344" t="s">
        <v>32</v>
      </c>
      <c r="M1344" t="s">
        <v>33</v>
      </c>
      <c r="P1344" s="1" t="s">
        <v>5097</v>
      </c>
      <c r="Q1344" s="1" t="s">
        <v>4960</v>
      </c>
      <c r="R1344" s="1" t="s">
        <v>4960</v>
      </c>
      <c r="S1344" s="1"/>
      <c r="T1344" s="1" t="s">
        <v>370</v>
      </c>
      <c r="U1344" s="1" t="s">
        <v>371</v>
      </c>
      <c r="V1344" s="1">
        <v>328.0</v>
      </c>
      <c r="W1344" s="1">
        <v>328.0</v>
      </c>
      <c r="X1344" s="1" t="s">
        <v>35</v>
      </c>
      <c r="Y1344" s="1">
        <v>328000.0</v>
      </c>
      <c r="Z1344" s="1"/>
      <c r="AA1344" s="1">
        <v>328000.0</v>
      </c>
      <c r="AB1344" s="1"/>
      <c r="AC1344" s="1" t="s">
        <v>36</v>
      </c>
      <c r="AD1344" s="1" t="s">
        <v>5098</v>
      </c>
      <c r="AE1344" s="1" t="s">
        <v>32</v>
      </c>
      <c r="AF1344" s="1" t="s">
        <v>33</v>
      </c>
      <c r="AG1344" s="1" t="s">
        <v>270</v>
      </c>
    </row>
    <row r="1345" spans="1:33">
      <c r="A1345" t="s">
        <v>5099</v>
      </c>
      <c r="B1345" t="s">
        <v>5100</v>
      </c>
      <c r="C1345" t="s">
        <v>314</v>
      </c>
      <c r="E1345" t="s">
        <v>4960</v>
      </c>
      <c r="F1345" t="s">
        <v>4961</v>
      </c>
      <c r="G1345">
        <v>18.49</v>
      </c>
      <c r="H1345">
        <v>18.49</v>
      </c>
      <c r="I1345" t="s">
        <v>179</v>
      </c>
      <c r="J1345" t="s">
        <v>180</v>
      </c>
      <c r="K1345" t="s">
        <v>31</v>
      </c>
      <c r="L1345" t="s">
        <v>32</v>
      </c>
      <c r="M1345" t="s">
        <v>33</v>
      </c>
      <c r="P1345" s="1" t="s">
        <v>5101</v>
      </c>
      <c r="Q1345" s="1" t="s">
        <v>4960</v>
      </c>
      <c r="R1345" s="1" t="s">
        <v>4960</v>
      </c>
      <c r="S1345" s="1"/>
      <c r="T1345" s="1" t="s">
        <v>314</v>
      </c>
      <c r="U1345" s="1"/>
      <c r="V1345" s="1">
        <v>18.49</v>
      </c>
      <c r="W1345" s="1">
        <v>18.49</v>
      </c>
      <c r="X1345" s="1" t="s">
        <v>35</v>
      </c>
      <c r="Y1345" s="1">
        <v>18490.0</v>
      </c>
      <c r="Z1345" s="1"/>
      <c r="AA1345" s="1">
        <v>18490.0</v>
      </c>
      <c r="AB1345" s="1"/>
      <c r="AC1345" s="1" t="s">
        <v>36</v>
      </c>
      <c r="AD1345" s="1" t="s">
        <v>5102</v>
      </c>
      <c r="AE1345" s="1" t="s">
        <v>32</v>
      </c>
      <c r="AF1345" s="1" t="s">
        <v>33</v>
      </c>
      <c r="AG1345" s="1" t="s">
        <v>180</v>
      </c>
    </row>
    <row r="1346" spans="1:33">
      <c r="A1346" t="s">
        <v>5103</v>
      </c>
      <c r="B1346" t="s">
        <v>5104</v>
      </c>
      <c r="C1346" t="s">
        <v>172</v>
      </c>
      <c r="E1346" t="s">
        <v>4960</v>
      </c>
      <c r="F1346" t="s">
        <v>4961</v>
      </c>
      <c r="G1346">
        <v>23.093</v>
      </c>
      <c r="H1346">
        <v>23.093</v>
      </c>
      <c r="I1346" t="s">
        <v>173</v>
      </c>
      <c r="J1346" t="s">
        <v>174</v>
      </c>
      <c r="K1346" t="s">
        <v>31</v>
      </c>
      <c r="L1346" t="s">
        <v>32</v>
      </c>
      <c r="M1346" t="s">
        <v>33</v>
      </c>
      <c r="P1346" s="1" t="s">
        <v>5105</v>
      </c>
      <c r="Q1346" s="1" t="s">
        <v>4960</v>
      </c>
      <c r="R1346" s="1" t="s">
        <v>4960</v>
      </c>
      <c r="S1346" s="1"/>
      <c r="T1346" s="1" t="s">
        <v>172</v>
      </c>
      <c r="U1346" s="1"/>
      <c r="V1346" s="1">
        <v>23.093</v>
      </c>
      <c r="W1346" s="1">
        <v>23.093</v>
      </c>
      <c r="X1346" s="1" t="s">
        <v>35</v>
      </c>
      <c r="Y1346" s="1">
        <v>23093.0</v>
      </c>
      <c r="Z1346" s="1"/>
      <c r="AA1346" s="1">
        <v>23093.0</v>
      </c>
      <c r="AB1346" s="1"/>
      <c r="AC1346" s="1" t="s">
        <v>36</v>
      </c>
      <c r="AD1346" s="1" t="s">
        <v>5106</v>
      </c>
      <c r="AE1346" s="1" t="s">
        <v>32</v>
      </c>
      <c r="AF1346" s="1" t="s">
        <v>33</v>
      </c>
      <c r="AG1346" s="1" t="s">
        <v>174</v>
      </c>
    </row>
    <row r="1347" spans="1:33">
      <c r="A1347" t="s">
        <v>5107</v>
      </c>
      <c r="B1347" t="s">
        <v>3889</v>
      </c>
      <c r="C1347" t="s">
        <v>268</v>
      </c>
      <c r="E1347" t="s">
        <v>4960</v>
      </c>
      <c r="F1347" t="s">
        <v>4961</v>
      </c>
      <c r="G1347">
        <v>153.0</v>
      </c>
      <c r="H1347">
        <v>153.0</v>
      </c>
      <c r="I1347" t="s">
        <v>5029</v>
      </c>
      <c r="J1347" t="s">
        <v>270</v>
      </c>
      <c r="K1347" t="s">
        <v>31</v>
      </c>
      <c r="L1347" t="s">
        <v>32</v>
      </c>
      <c r="M1347" t="s">
        <v>33</v>
      </c>
      <c r="P1347" s="1" t="s">
        <v>5108</v>
      </c>
      <c r="Q1347" s="1" t="s">
        <v>4960</v>
      </c>
      <c r="R1347" s="1" t="s">
        <v>4960</v>
      </c>
      <c r="S1347" s="1"/>
      <c r="T1347" s="1" t="s">
        <v>268</v>
      </c>
      <c r="U1347" s="1"/>
      <c r="V1347" s="1">
        <v>153.0</v>
      </c>
      <c r="W1347" s="1">
        <v>153.0</v>
      </c>
      <c r="X1347" s="1" t="s">
        <v>35</v>
      </c>
      <c r="Y1347" s="1">
        <v>153000.0</v>
      </c>
      <c r="Z1347" s="1"/>
      <c r="AA1347" s="1">
        <v>153000.0</v>
      </c>
      <c r="AB1347" s="1"/>
      <c r="AC1347" s="1" t="s">
        <v>36</v>
      </c>
      <c r="AD1347" s="1" t="s">
        <v>5109</v>
      </c>
      <c r="AE1347" s="1" t="s">
        <v>32</v>
      </c>
      <c r="AF1347" s="1" t="s">
        <v>33</v>
      </c>
      <c r="AG1347" s="1" t="s">
        <v>270</v>
      </c>
    </row>
    <row r="1348" spans="1:33">
      <c r="A1348" t="s">
        <v>5110</v>
      </c>
      <c r="B1348" t="s">
        <v>712</v>
      </c>
      <c r="C1348" t="s">
        <v>713</v>
      </c>
      <c r="E1348" t="s">
        <v>4960</v>
      </c>
      <c r="F1348" t="s">
        <v>4961</v>
      </c>
      <c r="G1348">
        <v>186.0</v>
      </c>
      <c r="H1348">
        <v>186.0</v>
      </c>
      <c r="I1348" t="s">
        <v>59</v>
      </c>
      <c r="J1348" t="s">
        <v>60</v>
      </c>
      <c r="K1348" t="s">
        <v>31</v>
      </c>
      <c r="L1348" t="s">
        <v>32</v>
      </c>
      <c r="M1348" t="s">
        <v>33</v>
      </c>
      <c r="P1348" s="1" t="s">
        <v>5111</v>
      </c>
      <c r="Q1348" s="1" t="s">
        <v>4960</v>
      </c>
      <c r="R1348" s="1" t="s">
        <v>4960</v>
      </c>
      <c r="S1348" s="1"/>
      <c r="T1348" s="1" t="s">
        <v>713</v>
      </c>
      <c r="U1348" s="1"/>
      <c r="V1348" s="1">
        <v>186.0</v>
      </c>
      <c r="W1348" s="1">
        <v>186.0</v>
      </c>
      <c r="X1348" s="1" t="s">
        <v>35</v>
      </c>
      <c r="Y1348" s="1">
        <v>186000.0</v>
      </c>
      <c r="Z1348" s="1"/>
      <c r="AA1348" s="1">
        <v>186000.0</v>
      </c>
      <c r="AB1348" s="1"/>
      <c r="AC1348" s="1" t="s">
        <v>36</v>
      </c>
      <c r="AD1348" s="1" t="s">
        <v>5112</v>
      </c>
      <c r="AE1348" s="1" t="s">
        <v>32</v>
      </c>
      <c r="AF1348" s="1" t="s">
        <v>33</v>
      </c>
      <c r="AG1348" s="1" t="s">
        <v>60</v>
      </c>
    </row>
    <row r="1349" spans="1:33">
      <c r="A1349" t="s">
        <v>5113</v>
      </c>
      <c r="C1349" t="s">
        <v>586</v>
      </c>
      <c r="E1349" t="s">
        <v>4960</v>
      </c>
      <c r="F1349" t="s">
        <v>4961</v>
      </c>
      <c r="G1349">
        <v>20.0</v>
      </c>
      <c r="H1349">
        <v>20.0</v>
      </c>
      <c r="I1349" t="s">
        <v>5029</v>
      </c>
      <c r="J1349" t="s">
        <v>270</v>
      </c>
      <c r="K1349" t="s">
        <v>31</v>
      </c>
      <c r="L1349" t="s">
        <v>32</v>
      </c>
      <c r="M1349" t="s">
        <v>33</v>
      </c>
      <c r="P1349" s="1" t="s">
        <v>5114</v>
      </c>
      <c r="Q1349" s="1" t="s">
        <v>4960</v>
      </c>
      <c r="R1349" s="1" t="s">
        <v>4960</v>
      </c>
      <c r="S1349" s="1"/>
      <c r="T1349" s="1" t="s">
        <v>586</v>
      </c>
      <c r="U1349" s="1"/>
      <c r="V1349" s="1">
        <v>20.0</v>
      </c>
      <c r="W1349" s="1">
        <v>20.0</v>
      </c>
      <c r="X1349" s="1" t="s">
        <v>35</v>
      </c>
      <c r="Y1349" s="1">
        <v>20000.0</v>
      </c>
      <c r="Z1349" s="1"/>
      <c r="AA1349" s="1">
        <v>20000.0</v>
      </c>
      <c r="AB1349" s="1"/>
      <c r="AC1349" s="1" t="s">
        <v>36</v>
      </c>
      <c r="AD1349" s="1" t="s">
        <v>5115</v>
      </c>
      <c r="AE1349" s="1" t="s">
        <v>32</v>
      </c>
      <c r="AF1349" s="1" t="s">
        <v>33</v>
      </c>
      <c r="AG1349" s="1" t="s">
        <v>270</v>
      </c>
    </row>
    <row r="1350" spans="1:33">
      <c r="A1350" t="s">
        <v>5116</v>
      </c>
      <c r="B1350" t="s">
        <v>5117</v>
      </c>
      <c r="C1350" t="s">
        <v>68</v>
      </c>
      <c r="E1350" t="s">
        <v>4960</v>
      </c>
      <c r="F1350" t="s">
        <v>4961</v>
      </c>
      <c r="G1350">
        <v>4.598</v>
      </c>
      <c r="H1350">
        <v>4.598</v>
      </c>
      <c r="I1350" t="s">
        <v>59</v>
      </c>
      <c r="J1350" t="s">
        <v>60</v>
      </c>
      <c r="K1350" t="s">
        <v>31</v>
      </c>
      <c r="L1350" t="s">
        <v>32</v>
      </c>
      <c r="M1350" t="s">
        <v>33</v>
      </c>
      <c r="P1350" s="1" t="s">
        <v>5118</v>
      </c>
      <c r="Q1350" s="1" t="s">
        <v>4960</v>
      </c>
      <c r="R1350" s="1" t="s">
        <v>4960</v>
      </c>
      <c r="S1350" s="1"/>
      <c r="T1350" s="1" t="s">
        <v>68</v>
      </c>
      <c r="U1350" s="1"/>
      <c r="V1350" s="1">
        <v>4.598</v>
      </c>
      <c r="W1350" s="1">
        <v>4.598</v>
      </c>
      <c r="X1350" s="1" t="s">
        <v>35</v>
      </c>
      <c r="Y1350" s="1">
        <v>4598.0</v>
      </c>
      <c r="Z1350" s="1"/>
      <c r="AA1350" s="1">
        <v>4598.0</v>
      </c>
      <c r="AB1350" s="1"/>
      <c r="AC1350" s="1" t="s">
        <v>36</v>
      </c>
      <c r="AD1350" s="1" t="s">
        <v>5115</v>
      </c>
      <c r="AE1350" s="1" t="s">
        <v>32</v>
      </c>
      <c r="AF1350" s="1" t="s">
        <v>33</v>
      </c>
      <c r="AG1350" s="1" t="s">
        <v>60</v>
      </c>
    </row>
    <row r="1351" spans="1:33">
      <c r="A1351" t="s">
        <v>5119</v>
      </c>
      <c r="C1351" t="s">
        <v>5120</v>
      </c>
      <c r="D1351" t="s">
        <v>154</v>
      </c>
      <c r="E1351" t="s">
        <v>4960</v>
      </c>
      <c r="F1351" t="s">
        <v>4961</v>
      </c>
      <c r="G1351">
        <v>640.0</v>
      </c>
      <c r="H1351">
        <v>640.0</v>
      </c>
      <c r="I1351" t="s">
        <v>2206</v>
      </c>
      <c r="J1351" t="s">
        <v>49</v>
      </c>
      <c r="K1351" t="s">
        <v>31</v>
      </c>
      <c r="L1351" t="s">
        <v>32</v>
      </c>
      <c r="M1351" t="s">
        <v>33</v>
      </c>
      <c r="P1351" s="1" t="s">
        <v>5121</v>
      </c>
      <c r="Q1351" s="1" t="s">
        <v>4960</v>
      </c>
      <c r="R1351" s="1" t="s">
        <v>4960</v>
      </c>
      <c r="S1351" s="1"/>
      <c r="T1351" s="1" t="s">
        <v>5122</v>
      </c>
      <c r="U1351" s="1" t="s">
        <v>5123</v>
      </c>
      <c r="V1351" s="1">
        <v>640.0</v>
      </c>
      <c r="W1351" s="1">
        <v>640.0</v>
      </c>
      <c r="X1351" s="1" t="s">
        <v>35</v>
      </c>
      <c r="Y1351" s="1">
        <v>640000.0</v>
      </c>
      <c r="Z1351" s="1"/>
      <c r="AA1351" s="1">
        <v>640000.0</v>
      </c>
      <c r="AB1351" s="1"/>
      <c r="AC1351" s="1" t="s">
        <v>36</v>
      </c>
      <c r="AD1351" s="1" t="s">
        <v>5124</v>
      </c>
      <c r="AE1351" s="1" t="s">
        <v>32</v>
      </c>
      <c r="AF1351" s="1" t="s">
        <v>33</v>
      </c>
      <c r="AG1351" s="1" t="s">
        <v>49</v>
      </c>
    </row>
    <row r="1352" spans="1:33">
      <c r="A1352" t="s">
        <v>5125</v>
      </c>
      <c r="C1352" t="s">
        <v>1692</v>
      </c>
      <c r="E1352" t="s">
        <v>4960</v>
      </c>
      <c r="F1352" t="s">
        <v>4961</v>
      </c>
      <c r="G1352">
        <v>730.0</v>
      </c>
      <c r="H1352">
        <v>730.0</v>
      </c>
      <c r="I1352" t="s">
        <v>179</v>
      </c>
      <c r="J1352" t="s">
        <v>180</v>
      </c>
      <c r="K1352" t="s">
        <v>31</v>
      </c>
      <c r="L1352" t="s">
        <v>32</v>
      </c>
      <c r="M1352" t="s">
        <v>33</v>
      </c>
      <c r="P1352" s="1" t="s">
        <v>5126</v>
      </c>
      <c r="Q1352" s="1" t="s">
        <v>4960</v>
      </c>
      <c r="R1352" s="1" t="s">
        <v>4960</v>
      </c>
      <c r="S1352" s="1"/>
      <c r="T1352" s="1" t="s">
        <v>1692</v>
      </c>
      <c r="U1352" s="1"/>
      <c r="V1352" s="1">
        <v>730.0</v>
      </c>
      <c r="W1352" s="1">
        <v>730.0</v>
      </c>
      <c r="X1352" s="1" t="s">
        <v>35</v>
      </c>
      <c r="Y1352" s="1">
        <v>730000.0</v>
      </c>
      <c r="Z1352" s="1"/>
      <c r="AA1352" s="1">
        <v>730000.0</v>
      </c>
      <c r="AB1352" s="1"/>
      <c r="AC1352" s="1" t="s">
        <v>36</v>
      </c>
      <c r="AD1352" s="1" t="s">
        <v>5127</v>
      </c>
      <c r="AE1352" s="1" t="s">
        <v>32</v>
      </c>
      <c r="AF1352" s="1" t="s">
        <v>33</v>
      </c>
      <c r="AG1352" s="1" t="s">
        <v>180</v>
      </c>
    </row>
    <row r="1353" spans="1:33">
      <c r="A1353" t="s">
        <v>5128</v>
      </c>
      <c r="C1353" t="s">
        <v>5129</v>
      </c>
      <c r="D1353" t="s">
        <v>154</v>
      </c>
      <c r="E1353" t="s">
        <v>4960</v>
      </c>
      <c r="F1353" t="s">
        <v>3239</v>
      </c>
      <c r="G1353">
        <v>1.346</v>
      </c>
      <c r="H1353">
        <v>1.346</v>
      </c>
      <c r="I1353" t="s">
        <v>179</v>
      </c>
      <c r="J1353" t="s">
        <v>180</v>
      </c>
      <c r="K1353" t="s">
        <v>31</v>
      </c>
      <c r="L1353" t="s">
        <v>32</v>
      </c>
      <c r="M1353" t="s">
        <v>33</v>
      </c>
      <c r="P1353" s="1" t="s">
        <v>5130</v>
      </c>
      <c r="Q1353" s="1" t="s">
        <v>4960</v>
      </c>
      <c r="R1353" s="1" t="s">
        <v>4960</v>
      </c>
      <c r="S1353" s="1"/>
      <c r="T1353" s="1" t="s">
        <v>5131</v>
      </c>
      <c r="U1353" s="1" t="s">
        <v>5132</v>
      </c>
      <c r="V1353" s="1">
        <v>1.346</v>
      </c>
      <c r="W1353" s="1">
        <v>1.346</v>
      </c>
      <c r="X1353" s="1" t="s">
        <v>35</v>
      </c>
      <c r="Y1353" s="1">
        <v>1346750.0</v>
      </c>
      <c r="Z1353" s="1"/>
      <c r="AA1353" s="1">
        <v>1346750.0</v>
      </c>
      <c r="AB1353" s="1"/>
      <c r="AC1353" s="1" t="s">
        <v>36</v>
      </c>
      <c r="AD1353" s="1" t="s">
        <v>5133</v>
      </c>
      <c r="AE1353" s="1" t="s">
        <v>32</v>
      </c>
      <c r="AF1353" s="1" t="s">
        <v>33</v>
      </c>
      <c r="AG1353" s="1" t="s">
        <v>180</v>
      </c>
    </row>
    <row r="1354" spans="1:33">
      <c r="A1354" t="s">
        <v>5134</v>
      </c>
      <c r="B1354" t="s">
        <v>5135</v>
      </c>
      <c r="C1354" t="s">
        <v>125</v>
      </c>
      <c r="E1354" t="s">
        <v>4960</v>
      </c>
      <c r="F1354" t="s">
        <v>4961</v>
      </c>
      <c r="G1354">
        <v>4.05</v>
      </c>
      <c r="H1354">
        <v>4.05</v>
      </c>
      <c r="I1354" t="s">
        <v>126</v>
      </c>
      <c r="J1354" t="s">
        <v>127</v>
      </c>
      <c r="K1354" t="s">
        <v>31</v>
      </c>
      <c r="L1354" t="s">
        <v>32</v>
      </c>
      <c r="M1354" t="s">
        <v>33</v>
      </c>
      <c r="P1354" s="1" t="s">
        <v>5136</v>
      </c>
      <c r="Q1354" s="1" t="s">
        <v>4960</v>
      </c>
      <c r="R1354" s="1" t="s">
        <v>4960</v>
      </c>
      <c r="S1354" s="1"/>
      <c r="T1354" s="1" t="s">
        <v>125</v>
      </c>
      <c r="U1354" s="1"/>
      <c r="V1354" s="1">
        <v>4.05</v>
      </c>
      <c r="W1354" s="1">
        <v>4.05</v>
      </c>
      <c r="X1354" s="1" t="s">
        <v>35</v>
      </c>
      <c r="Y1354" s="1">
        <v>4050.0</v>
      </c>
      <c r="Z1354" s="1"/>
      <c r="AA1354" s="1">
        <v>4050.0</v>
      </c>
      <c r="AB1354" s="1"/>
      <c r="AC1354" s="1" t="s">
        <v>36</v>
      </c>
      <c r="AD1354" s="1" t="s">
        <v>5137</v>
      </c>
      <c r="AE1354" s="1" t="s">
        <v>32</v>
      </c>
      <c r="AF1354" s="1" t="s">
        <v>33</v>
      </c>
      <c r="AG1354" s="1" t="s">
        <v>127</v>
      </c>
    </row>
    <row r="1355" spans="1:33">
      <c r="A1355" t="s">
        <v>5138</v>
      </c>
      <c r="B1355" t="s">
        <v>602</v>
      </c>
      <c r="C1355" t="s">
        <v>569</v>
      </c>
      <c r="E1355" t="s">
        <v>4960</v>
      </c>
      <c r="F1355" t="s">
        <v>4961</v>
      </c>
      <c r="G1355">
        <v>58.633</v>
      </c>
      <c r="H1355">
        <v>58.633</v>
      </c>
      <c r="I1355" t="s">
        <v>570</v>
      </c>
      <c r="J1355" t="s">
        <v>571</v>
      </c>
      <c r="K1355" t="s">
        <v>31</v>
      </c>
      <c r="L1355" t="s">
        <v>32</v>
      </c>
      <c r="M1355" t="s">
        <v>33</v>
      </c>
      <c r="P1355" s="1" t="s">
        <v>5139</v>
      </c>
      <c r="Q1355" s="1" t="s">
        <v>4960</v>
      </c>
      <c r="R1355" s="1" t="s">
        <v>4960</v>
      </c>
      <c r="S1355" s="1"/>
      <c r="T1355" s="1" t="s">
        <v>569</v>
      </c>
      <c r="U1355" s="1"/>
      <c r="V1355" s="1">
        <v>58.633</v>
      </c>
      <c r="W1355" s="1">
        <v>58.633</v>
      </c>
      <c r="X1355" s="1" t="s">
        <v>35</v>
      </c>
      <c r="Y1355" s="1">
        <v>58633.0</v>
      </c>
      <c r="Z1355" s="1"/>
      <c r="AA1355" s="1">
        <v>58633.0</v>
      </c>
      <c r="AB1355" s="1"/>
      <c r="AC1355" s="1" t="s">
        <v>36</v>
      </c>
      <c r="AD1355" s="1" t="s">
        <v>5140</v>
      </c>
      <c r="AE1355" s="1" t="s">
        <v>32</v>
      </c>
      <c r="AF1355" s="1" t="s">
        <v>33</v>
      </c>
      <c r="AG1355" s="1" t="s">
        <v>571</v>
      </c>
    </row>
    <row r="1356" spans="1:33">
      <c r="A1356" t="s">
        <v>5141</v>
      </c>
      <c r="C1356" t="s">
        <v>3410</v>
      </c>
      <c r="E1356" t="s">
        <v>4960</v>
      </c>
      <c r="F1356" t="s">
        <v>4961</v>
      </c>
      <c r="G1356">
        <v>4.0</v>
      </c>
      <c r="H1356">
        <v>4.0</v>
      </c>
      <c r="I1356" t="s">
        <v>2206</v>
      </c>
      <c r="J1356" t="s">
        <v>49</v>
      </c>
      <c r="K1356" t="s">
        <v>31</v>
      </c>
      <c r="L1356" t="s">
        <v>32</v>
      </c>
      <c r="M1356" t="s">
        <v>33</v>
      </c>
      <c r="P1356" s="1" t="s">
        <v>5142</v>
      </c>
      <c r="Q1356" s="1" t="s">
        <v>4960</v>
      </c>
      <c r="R1356" s="1" t="s">
        <v>4960</v>
      </c>
      <c r="S1356" s="1"/>
      <c r="T1356" s="1" t="s">
        <v>3410</v>
      </c>
      <c r="U1356" s="1"/>
      <c r="V1356" s="1">
        <v>4.0</v>
      </c>
      <c r="W1356" s="1">
        <v>4.0</v>
      </c>
      <c r="X1356" s="1" t="s">
        <v>35</v>
      </c>
      <c r="Y1356" s="1">
        <v>4000000.0</v>
      </c>
      <c r="Z1356" s="1"/>
      <c r="AA1356" s="1">
        <v>4000000.0</v>
      </c>
      <c r="AB1356" s="1"/>
      <c r="AC1356" s="1" t="s">
        <v>36</v>
      </c>
      <c r="AD1356" s="1" t="s">
        <v>5143</v>
      </c>
      <c r="AE1356" s="1" t="s">
        <v>32</v>
      </c>
      <c r="AF1356" s="1" t="s">
        <v>33</v>
      </c>
      <c r="AG1356" s="1" t="s">
        <v>49</v>
      </c>
    </row>
    <row r="1357" spans="1:33">
      <c r="A1357" t="s">
        <v>5144</v>
      </c>
      <c r="C1357" t="s">
        <v>131</v>
      </c>
      <c r="E1357" t="s">
        <v>4960</v>
      </c>
      <c r="F1357" t="s">
        <v>4961</v>
      </c>
      <c r="G1357">
        <v>19.49</v>
      </c>
      <c r="H1357">
        <v>19.49</v>
      </c>
      <c r="I1357" t="s">
        <v>94</v>
      </c>
      <c r="J1357" t="s">
        <v>95</v>
      </c>
      <c r="K1357" t="s">
        <v>31</v>
      </c>
      <c r="L1357" t="s">
        <v>32</v>
      </c>
      <c r="M1357" t="s">
        <v>33</v>
      </c>
      <c r="P1357" s="1" t="s">
        <v>5145</v>
      </c>
      <c r="Q1357" s="1" t="s">
        <v>4960</v>
      </c>
      <c r="R1357" s="1" t="s">
        <v>4960</v>
      </c>
      <c r="S1357" s="1"/>
      <c r="T1357" s="1" t="s">
        <v>131</v>
      </c>
      <c r="U1357" s="1"/>
      <c r="V1357" s="1">
        <v>19.49</v>
      </c>
      <c r="W1357" s="1">
        <v>19.49</v>
      </c>
      <c r="X1357" s="1" t="s">
        <v>35</v>
      </c>
      <c r="Y1357" s="1">
        <v>19490.0</v>
      </c>
      <c r="Z1357" s="1"/>
      <c r="AA1357" s="1">
        <v>19490.0</v>
      </c>
      <c r="AB1357" s="1"/>
      <c r="AC1357" s="1" t="s">
        <v>36</v>
      </c>
      <c r="AD1357" s="1" t="s">
        <v>5140</v>
      </c>
      <c r="AE1357" s="1" t="s">
        <v>32</v>
      </c>
      <c r="AF1357" s="1" t="s">
        <v>33</v>
      </c>
      <c r="AG1357" s="1" t="s">
        <v>95</v>
      </c>
    </row>
    <row r="1358" spans="1:33">
      <c r="A1358" t="s">
        <v>5146</v>
      </c>
      <c r="B1358" t="s">
        <v>5147</v>
      </c>
      <c r="C1358" t="s">
        <v>268</v>
      </c>
      <c r="E1358" t="s">
        <v>4960</v>
      </c>
      <c r="F1358" t="s">
        <v>4961</v>
      </c>
      <c r="G1358">
        <v>33.75</v>
      </c>
      <c r="H1358">
        <v>33.75</v>
      </c>
      <c r="I1358" t="s">
        <v>5029</v>
      </c>
      <c r="J1358" t="s">
        <v>270</v>
      </c>
      <c r="K1358" t="s">
        <v>31</v>
      </c>
      <c r="L1358" t="s">
        <v>32</v>
      </c>
      <c r="M1358" t="s">
        <v>33</v>
      </c>
      <c r="P1358" s="1" t="s">
        <v>5148</v>
      </c>
      <c r="Q1358" s="1" t="s">
        <v>4960</v>
      </c>
      <c r="R1358" s="1" t="s">
        <v>4960</v>
      </c>
      <c r="S1358" s="1"/>
      <c r="T1358" s="1" t="s">
        <v>268</v>
      </c>
      <c r="U1358" s="1"/>
      <c r="V1358" s="1">
        <v>33.75</v>
      </c>
      <c r="W1358" s="1">
        <v>33.75</v>
      </c>
      <c r="X1358" s="1" t="s">
        <v>35</v>
      </c>
      <c r="Y1358" s="1">
        <v>33750.0</v>
      </c>
      <c r="Z1358" s="1"/>
      <c r="AA1358" s="1">
        <v>33750.0</v>
      </c>
      <c r="AB1358" s="1"/>
      <c r="AC1358" s="1" t="s">
        <v>36</v>
      </c>
      <c r="AD1358" s="1" t="s">
        <v>5140</v>
      </c>
      <c r="AE1358" s="1" t="s">
        <v>32</v>
      </c>
      <c r="AF1358" s="1" t="s">
        <v>33</v>
      </c>
      <c r="AG1358" s="1" t="s">
        <v>270</v>
      </c>
    </row>
    <row r="1359" spans="1:33">
      <c r="A1359" t="s">
        <v>5149</v>
      </c>
      <c r="C1359" t="s">
        <v>1443</v>
      </c>
      <c r="E1359" t="s">
        <v>4960</v>
      </c>
      <c r="F1359" t="s">
        <v>4961</v>
      </c>
      <c r="G1359">
        <v>40.0</v>
      </c>
      <c r="H1359">
        <v>40.0</v>
      </c>
      <c r="I1359" t="s">
        <v>94</v>
      </c>
      <c r="J1359" t="s">
        <v>95</v>
      </c>
      <c r="K1359" t="s">
        <v>31</v>
      </c>
      <c r="L1359" t="s">
        <v>32</v>
      </c>
      <c r="M1359" t="s">
        <v>33</v>
      </c>
      <c r="P1359" s="1" t="s">
        <v>5150</v>
      </c>
      <c r="Q1359" s="1" t="s">
        <v>4960</v>
      </c>
      <c r="R1359" s="1" t="s">
        <v>4960</v>
      </c>
      <c r="S1359" s="1"/>
      <c r="T1359" s="1" t="s">
        <v>1443</v>
      </c>
      <c r="U1359" s="1"/>
      <c r="V1359" s="1">
        <v>40.0</v>
      </c>
      <c r="W1359" s="1">
        <v>40.0</v>
      </c>
      <c r="X1359" s="1" t="s">
        <v>35</v>
      </c>
      <c r="Y1359" s="1">
        <v>40000.0</v>
      </c>
      <c r="Z1359" s="1"/>
      <c r="AA1359" s="1">
        <v>40000.0</v>
      </c>
      <c r="AB1359" s="1"/>
      <c r="AC1359" s="1" t="s">
        <v>36</v>
      </c>
      <c r="AD1359" s="1" t="s">
        <v>5151</v>
      </c>
      <c r="AE1359" s="1" t="s">
        <v>32</v>
      </c>
      <c r="AF1359" s="1" t="s">
        <v>33</v>
      </c>
      <c r="AG1359" s="1" t="s">
        <v>95</v>
      </c>
    </row>
    <row r="1360" spans="1:33">
      <c r="A1360" t="s">
        <v>5152</v>
      </c>
      <c r="C1360" t="s">
        <v>5153</v>
      </c>
      <c r="D1360" t="s">
        <v>114</v>
      </c>
      <c r="E1360" t="s">
        <v>4960</v>
      </c>
      <c r="F1360" t="s">
        <v>4961</v>
      </c>
      <c r="G1360">
        <v>109.95</v>
      </c>
      <c r="H1360">
        <v>109.95</v>
      </c>
      <c r="I1360" t="s">
        <v>40</v>
      </c>
      <c r="J1360" t="s">
        <v>41</v>
      </c>
      <c r="K1360" t="s">
        <v>31</v>
      </c>
      <c r="L1360" t="s">
        <v>32</v>
      </c>
      <c r="M1360" t="s">
        <v>33</v>
      </c>
      <c r="P1360" s="1" t="s">
        <v>5154</v>
      </c>
      <c r="Q1360" s="1" t="s">
        <v>4960</v>
      </c>
      <c r="R1360" s="1" t="s">
        <v>5052</v>
      </c>
      <c r="S1360" s="1"/>
      <c r="T1360" s="1" t="s">
        <v>5153</v>
      </c>
      <c r="U1360" s="1"/>
      <c r="V1360" s="1">
        <v>109.95</v>
      </c>
      <c r="W1360" s="1">
        <v>109.95</v>
      </c>
      <c r="X1360" s="1" t="s">
        <v>35</v>
      </c>
      <c r="Y1360" s="1">
        <v>109950.0</v>
      </c>
      <c r="Z1360" s="1"/>
      <c r="AA1360" s="1">
        <v>109950.0</v>
      </c>
      <c r="AB1360" s="1"/>
      <c r="AC1360" s="1" t="s">
        <v>36</v>
      </c>
      <c r="AD1360" s="1" t="s">
        <v>5140</v>
      </c>
      <c r="AE1360" s="1" t="s">
        <v>32</v>
      </c>
      <c r="AF1360" s="1" t="s">
        <v>33</v>
      </c>
      <c r="AG1360" s="1" t="s">
        <v>41</v>
      </c>
    </row>
    <row r="1361" spans="1:33">
      <c r="A1361" t="s">
        <v>5155</v>
      </c>
      <c r="B1361" t="s">
        <v>5156</v>
      </c>
      <c r="C1361" t="s">
        <v>268</v>
      </c>
      <c r="E1361" t="s">
        <v>4960</v>
      </c>
      <c r="F1361" t="s">
        <v>4961</v>
      </c>
      <c r="G1361">
        <v>40.25</v>
      </c>
      <c r="H1361">
        <v>40.25</v>
      </c>
      <c r="I1361" t="s">
        <v>5029</v>
      </c>
      <c r="J1361" t="s">
        <v>270</v>
      </c>
      <c r="K1361" t="s">
        <v>31</v>
      </c>
      <c r="L1361" t="s">
        <v>32</v>
      </c>
      <c r="M1361" t="s">
        <v>33</v>
      </c>
      <c r="P1361" s="1" t="s">
        <v>5157</v>
      </c>
      <c r="Q1361" s="1" t="s">
        <v>4960</v>
      </c>
      <c r="R1361" s="1" t="s">
        <v>4960</v>
      </c>
      <c r="S1361" s="1"/>
      <c r="T1361" s="1" t="s">
        <v>268</v>
      </c>
      <c r="U1361" s="1"/>
      <c r="V1361" s="1">
        <v>40.25</v>
      </c>
      <c r="W1361" s="1">
        <v>40.25</v>
      </c>
      <c r="X1361" s="1" t="s">
        <v>35</v>
      </c>
      <c r="Y1361" s="1">
        <v>40250.0</v>
      </c>
      <c r="Z1361" s="1"/>
      <c r="AA1361" s="1">
        <v>40250.0</v>
      </c>
      <c r="AB1361" s="1"/>
      <c r="AC1361" s="1" t="s">
        <v>36</v>
      </c>
      <c r="AD1361" s="1" t="s">
        <v>5151</v>
      </c>
      <c r="AE1361" s="1" t="s">
        <v>32</v>
      </c>
      <c r="AF1361" s="1" t="s">
        <v>33</v>
      </c>
      <c r="AG1361" s="1" t="s">
        <v>270</v>
      </c>
    </row>
    <row r="1362" spans="1:33">
      <c r="A1362" t="s">
        <v>5158</v>
      </c>
      <c r="B1362" t="s">
        <v>418</v>
      </c>
      <c r="C1362" t="s">
        <v>125</v>
      </c>
      <c r="E1362" t="s">
        <v>4960</v>
      </c>
      <c r="F1362" t="s">
        <v>4961</v>
      </c>
      <c r="G1362">
        <v>6.498</v>
      </c>
      <c r="H1362">
        <v>6.498</v>
      </c>
      <c r="I1362" t="s">
        <v>126</v>
      </c>
      <c r="J1362" t="s">
        <v>127</v>
      </c>
      <c r="K1362" t="s">
        <v>31</v>
      </c>
      <c r="L1362" t="s">
        <v>32</v>
      </c>
      <c r="M1362" t="s">
        <v>33</v>
      </c>
      <c r="P1362" s="1" t="s">
        <v>5159</v>
      </c>
      <c r="Q1362" s="1" t="s">
        <v>4960</v>
      </c>
      <c r="R1362" s="1" t="s">
        <v>4960</v>
      </c>
      <c r="S1362" s="1"/>
      <c r="T1362" s="1" t="s">
        <v>125</v>
      </c>
      <c r="U1362" s="1"/>
      <c r="V1362" s="1">
        <v>6.498</v>
      </c>
      <c r="W1362" s="1">
        <v>6.498</v>
      </c>
      <c r="X1362" s="1" t="s">
        <v>35</v>
      </c>
      <c r="Y1362" s="1">
        <v>6498.0</v>
      </c>
      <c r="Z1362" s="1"/>
      <c r="AA1362" s="1">
        <v>6498.0</v>
      </c>
      <c r="AB1362" s="1"/>
      <c r="AC1362" s="1" t="s">
        <v>36</v>
      </c>
      <c r="AD1362" s="1" t="s">
        <v>5143</v>
      </c>
      <c r="AE1362" s="1" t="s">
        <v>32</v>
      </c>
      <c r="AF1362" s="1" t="s">
        <v>33</v>
      </c>
      <c r="AG1362" s="1" t="s">
        <v>127</v>
      </c>
    </row>
    <row r="1363" spans="1:33">
      <c r="A1363" t="s">
        <v>5160</v>
      </c>
      <c r="C1363" t="s">
        <v>5161</v>
      </c>
      <c r="E1363" t="s">
        <v>4960</v>
      </c>
      <c r="F1363" t="s">
        <v>4961</v>
      </c>
      <c r="G1363">
        <v>1.374</v>
      </c>
      <c r="H1363">
        <v>1.374</v>
      </c>
      <c r="I1363" t="s">
        <v>5029</v>
      </c>
      <c r="J1363" t="s">
        <v>270</v>
      </c>
      <c r="K1363" t="s">
        <v>31</v>
      </c>
      <c r="L1363" t="s">
        <v>32</v>
      </c>
      <c r="M1363" t="s">
        <v>33</v>
      </c>
      <c r="P1363" s="1" t="s">
        <v>5162</v>
      </c>
      <c r="Q1363" s="1" t="s">
        <v>4960</v>
      </c>
      <c r="R1363" s="1" t="s">
        <v>4960</v>
      </c>
      <c r="S1363" s="1"/>
      <c r="T1363" s="1" t="s">
        <v>5161</v>
      </c>
      <c r="U1363" s="1"/>
      <c r="V1363" s="1">
        <v>1.374</v>
      </c>
      <c r="W1363" s="1">
        <v>1.374</v>
      </c>
      <c r="X1363" s="1" t="s">
        <v>35</v>
      </c>
      <c r="Y1363" s="1">
        <v>1374000.0</v>
      </c>
      <c r="Z1363" s="1"/>
      <c r="AA1363" s="1">
        <v>1374000.0</v>
      </c>
      <c r="AB1363" s="1"/>
      <c r="AC1363" s="1" t="s">
        <v>36</v>
      </c>
      <c r="AD1363" s="1" t="s">
        <v>5163</v>
      </c>
      <c r="AE1363" s="1" t="s">
        <v>32</v>
      </c>
      <c r="AF1363" s="1" t="s">
        <v>33</v>
      </c>
      <c r="AG1363" s="1" t="s">
        <v>270</v>
      </c>
    </row>
    <row r="1364" spans="1:33">
      <c r="A1364" t="s">
        <v>5164</v>
      </c>
      <c r="C1364" t="s">
        <v>2280</v>
      </c>
      <c r="E1364" t="s">
        <v>4960</v>
      </c>
      <c r="F1364" t="s">
        <v>4961</v>
      </c>
      <c r="G1364">
        <v>40.0</v>
      </c>
      <c r="H1364">
        <v>40.0</v>
      </c>
      <c r="I1364" t="s">
        <v>5029</v>
      </c>
      <c r="J1364" t="s">
        <v>270</v>
      </c>
      <c r="K1364" t="s">
        <v>31</v>
      </c>
      <c r="L1364" t="s">
        <v>32</v>
      </c>
      <c r="M1364" t="s">
        <v>33</v>
      </c>
      <c r="P1364" s="1" t="s">
        <v>5165</v>
      </c>
      <c r="Q1364" s="1" t="s">
        <v>4960</v>
      </c>
      <c r="R1364" s="1" t="s">
        <v>4960</v>
      </c>
      <c r="S1364" s="1"/>
      <c r="T1364" s="1" t="s">
        <v>2280</v>
      </c>
      <c r="U1364" s="1"/>
      <c r="V1364" s="1">
        <v>40.0</v>
      </c>
      <c r="W1364" s="1">
        <v>40.0</v>
      </c>
      <c r="X1364" s="1" t="s">
        <v>35</v>
      </c>
      <c r="Y1364" s="1">
        <v>40000.0</v>
      </c>
      <c r="Z1364" s="1"/>
      <c r="AA1364" s="1">
        <v>40000.0</v>
      </c>
      <c r="AB1364" s="1"/>
      <c r="AC1364" s="1" t="s">
        <v>36</v>
      </c>
      <c r="AD1364" s="1" t="s">
        <v>5166</v>
      </c>
      <c r="AE1364" s="1" t="s">
        <v>32</v>
      </c>
      <c r="AF1364" s="1" t="s">
        <v>33</v>
      </c>
      <c r="AG1364" s="1" t="s">
        <v>270</v>
      </c>
    </row>
    <row r="1365" spans="1:33">
      <c r="A1365" t="s">
        <v>5167</v>
      </c>
      <c r="B1365" t="s">
        <v>5168</v>
      </c>
      <c r="C1365" t="s">
        <v>906</v>
      </c>
      <c r="E1365" t="s">
        <v>4960</v>
      </c>
      <c r="F1365" t="s">
        <v>4961</v>
      </c>
      <c r="G1365">
        <v>29.2</v>
      </c>
      <c r="H1365">
        <v>29.2</v>
      </c>
      <c r="I1365" t="s">
        <v>847</v>
      </c>
      <c r="J1365" t="s">
        <v>848</v>
      </c>
      <c r="K1365" t="s">
        <v>31</v>
      </c>
      <c r="L1365" t="s">
        <v>32</v>
      </c>
      <c r="M1365" t="s">
        <v>33</v>
      </c>
      <c r="P1365" s="1" t="s">
        <v>5169</v>
      </c>
      <c r="Q1365" s="1" t="s">
        <v>4960</v>
      </c>
      <c r="R1365" s="1" t="s">
        <v>4960</v>
      </c>
      <c r="S1365" s="1"/>
      <c r="T1365" s="1" t="s">
        <v>906</v>
      </c>
      <c r="U1365" s="1"/>
      <c r="V1365" s="1">
        <v>29.2</v>
      </c>
      <c r="W1365" s="1">
        <v>29.2</v>
      </c>
      <c r="X1365" s="1" t="s">
        <v>35</v>
      </c>
      <c r="Y1365" s="1">
        <v>29200.0</v>
      </c>
      <c r="Z1365" s="1"/>
      <c r="AA1365" s="1">
        <v>29200.0</v>
      </c>
      <c r="AB1365" s="1"/>
      <c r="AC1365" s="1" t="s">
        <v>36</v>
      </c>
      <c r="AD1365" s="1" t="s">
        <v>5170</v>
      </c>
      <c r="AE1365" s="1" t="s">
        <v>32</v>
      </c>
      <c r="AF1365" s="1" t="s">
        <v>33</v>
      </c>
      <c r="AG1365" s="1" t="s">
        <v>848</v>
      </c>
    </row>
    <row r="1366" spans="1:33">
      <c r="A1366" t="s">
        <v>5171</v>
      </c>
      <c r="B1366" t="s">
        <v>5172</v>
      </c>
      <c r="C1366" t="s">
        <v>569</v>
      </c>
      <c r="E1366" t="s">
        <v>4960</v>
      </c>
      <c r="F1366" t="s">
        <v>4961</v>
      </c>
      <c r="G1366">
        <v>2.72</v>
      </c>
      <c r="H1366">
        <v>2.72</v>
      </c>
      <c r="I1366" t="s">
        <v>570</v>
      </c>
      <c r="J1366" t="s">
        <v>571</v>
      </c>
      <c r="K1366" t="s">
        <v>31</v>
      </c>
      <c r="L1366" t="s">
        <v>32</v>
      </c>
      <c r="M1366" t="s">
        <v>33</v>
      </c>
      <c r="P1366" s="1" t="s">
        <v>5173</v>
      </c>
      <c r="Q1366" s="1" t="s">
        <v>4960</v>
      </c>
      <c r="R1366" s="1" t="s">
        <v>4960</v>
      </c>
      <c r="S1366" s="1"/>
      <c r="T1366" s="1" t="s">
        <v>569</v>
      </c>
      <c r="U1366" s="1"/>
      <c r="V1366" s="1">
        <v>2.72</v>
      </c>
      <c r="W1366" s="1">
        <v>2.72</v>
      </c>
      <c r="X1366" s="1" t="s">
        <v>35</v>
      </c>
      <c r="Y1366" s="1">
        <v>2720.0</v>
      </c>
      <c r="Z1366" s="1"/>
      <c r="AA1366" s="1">
        <v>2720.0</v>
      </c>
      <c r="AB1366" s="1"/>
      <c r="AC1366" s="1" t="s">
        <v>36</v>
      </c>
      <c r="AD1366" s="1" t="s">
        <v>5174</v>
      </c>
      <c r="AE1366" s="1" t="s">
        <v>32</v>
      </c>
      <c r="AF1366" s="1" t="s">
        <v>33</v>
      </c>
      <c r="AG1366" s="1" t="s">
        <v>571</v>
      </c>
    </row>
    <row r="1367" spans="1:33">
      <c r="A1367" t="s">
        <v>5175</v>
      </c>
      <c r="C1367" t="s">
        <v>5176</v>
      </c>
      <c r="E1367" t="s">
        <v>4960</v>
      </c>
      <c r="F1367" t="s">
        <v>4961</v>
      </c>
      <c r="G1367">
        <v>2.28</v>
      </c>
      <c r="H1367">
        <v>2.28</v>
      </c>
      <c r="I1367" t="s">
        <v>2206</v>
      </c>
      <c r="J1367" t="s">
        <v>49</v>
      </c>
      <c r="K1367" t="s">
        <v>31</v>
      </c>
      <c r="L1367" t="s">
        <v>32</v>
      </c>
      <c r="M1367" t="s">
        <v>33</v>
      </c>
      <c r="P1367" s="1" t="s">
        <v>5177</v>
      </c>
      <c r="Q1367" s="1" t="s">
        <v>4960</v>
      </c>
      <c r="R1367" s="1" t="s">
        <v>4960</v>
      </c>
      <c r="S1367" s="1"/>
      <c r="T1367" s="1" t="s">
        <v>5176</v>
      </c>
      <c r="U1367" s="1"/>
      <c r="V1367" s="1">
        <v>2.28</v>
      </c>
      <c r="W1367" s="1">
        <v>2.28</v>
      </c>
      <c r="X1367" s="1" t="s">
        <v>35</v>
      </c>
      <c r="Y1367" s="1">
        <v>2280000.0</v>
      </c>
      <c r="Z1367" s="1"/>
      <c r="AA1367" s="1">
        <v>2280000.0</v>
      </c>
      <c r="AB1367" s="1"/>
      <c r="AC1367" s="1" t="s">
        <v>36</v>
      </c>
      <c r="AD1367" s="1" t="s">
        <v>5178</v>
      </c>
      <c r="AE1367" s="1" t="s">
        <v>32</v>
      </c>
      <c r="AF1367" s="1" t="s">
        <v>33</v>
      </c>
      <c r="AG1367" s="1" t="s">
        <v>49</v>
      </c>
    </row>
    <row r="1368" spans="1:33">
      <c r="A1368" t="s">
        <v>5179</v>
      </c>
      <c r="C1368" t="s">
        <v>4575</v>
      </c>
      <c r="E1368" t="s">
        <v>4960</v>
      </c>
      <c r="F1368" t="s">
        <v>4961</v>
      </c>
      <c r="G1368">
        <v>750.0</v>
      </c>
      <c r="H1368">
        <v>750.0</v>
      </c>
      <c r="I1368" t="s">
        <v>2206</v>
      </c>
      <c r="J1368" t="s">
        <v>49</v>
      </c>
      <c r="K1368" t="s">
        <v>31</v>
      </c>
      <c r="L1368" t="s">
        <v>32</v>
      </c>
      <c r="M1368" t="s">
        <v>33</v>
      </c>
      <c r="P1368" s="1" t="s">
        <v>5180</v>
      </c>
      <c r="Q1368" s="1" t="s">
        <v>4960</v>
      </c>
      <c r="R1368" s="1" t="s">
        <v>4960</v>
      </c>
      <c r="S1368" s="1"/>
      <c r="T1368" s="1" t="s">
        <v>4575</v>
      </c>
      <c r="U1368" s="1"/>
      <c r="V1368" s="1">
        <v>750.0</v>
      </c>
      <c r="W1368" s="1">
        <v>750.0</v>
      </c>
      <c r="X1368" s="1" t="s">
        <v>35</v>
      </c>
      <c r="Y1368" s="1">
        <v>750000.0</v>
      </c>
      <c r="Z1368" s="1"/>
      <c r="AA1368" s="1">
        <v>750000.0</v>
      </c>
      <c r="AB1368" s="1"/>
      <c r="AC1368" s="1" t="s">
        <v>36</v>
      </c>
      <c r="AD1368" s="1" t="s">
        <v>5181</v>
      </c>
      <c r="AE1368" s="1" t="s">
        <v>32</v>
      </c>
      <c r="AF1368" s="1" t="s">
        <v>33</v>
      </c>
      <c r="AG1368" s="1" t="s">
        <v>49</v>
      </c>
    </row>
    <row r="1369" spans="1:33">
      <c r="A1369" t="s">
        <v>5182</v>
      </c>
      <c r="C1369" t="s">
        <v>810</v>
      </c>
      <c r="D1369" t="s">
        <v>154</v>
      </c>
      <c r="E1369" t="s">
        <v>4960</v>
      </c>
      <c r="F1369" t="s">
        <v>4961</v>
      </c>
      <c r="G1369">
        <v>1.506</v>
      </c>
      <c r="H1369">
        <v>1.506</v>
      </c>
      <c r="I1369" t="s">
        <v>5029</v>
      </c>
      <c r="J1369" t="s">
        <v>270</v>
      </c>
      <c r="K1369" t="s">
        <v>31</v>
      </c>
      <c r="L1369" t="s">
        <v>32</v>
      </c>
      <c r="M1369" t="s">
        <v>33</v>
      </c>
      <c r="P1369" s="1" t="s">
        <v>5183</v>
      </c>
      <c r="Q1369" s="1" t="s">
        <v>4960</v>
      </c>
      <c r="R1369" s="1" t="s">
        <v>4960</v>
      </c>
      <c r="S1369" s="1"/>
      <c r="T1369" s="1" t="s">
        <v>810</v>
      </c>
      <c r="U1369" s="1"/>
      <c r="V1369" s="1">
        <v>1.506</v>
      </c>
      <c r="W1369" s="1">
        <v>1.506</v>
      </c>
      <c r="X1369" s="1" t="s">
        <v>35</v>
      </c>
      <c r="Y1369" s="1">
        <v>1506000.0</v>
      </c>
      <c r="Z1369" s="1"/>
      <c r="AA1369" s="1">
        <v>1506000.0</v>
      </c>
      <c r="AB1369" s="1"/>
      <c r="AC1369" s="1" t="s">
        <v>36</v>
      </c>
      <c r="AD1369" s="1" t="s">
        <v>5184</v>
      </c>
      <c r="AE1369" s="1" t="s">
        <v>32</v>
      </c>
      <c r="AF1369" s="1" t="s">
        <v>33</v>
      </c>
      <c r="AG1369" s="1" t="s">
        <v>270</v>
      </c>
    </row>
    <row r="1370" spans="1:33">
      <c r="A1370" t="s">
        <v>5185</v>
      </c>
      <c r="B1370" t="s">
        <v>5186</v>
      </c>
      <c r="C1370" t="s">
        <v>569</v>
      </c>
      <c r="E1370" t="s">
        <v>4960</v>
      </c>
      <c r="F1370" t="s">
        <v>4961</v>
      </c>
      <c r="G1370">
        <v>58.28</v>
      </c>
      <c r="H1370">
        <v>58.28</v>
      </c>
      <c r="I1370" t="s">
        <v>570</v>
      </c>
      <c r="J1370" t="s">
        <v>571</v>
      </c>
      <c r="K1370" t="s">
        <v>31</v>
      </c>
      <c r="L1370" t="s">
        <v>32</v>
      </c>
      <c r="M1370" t="s">
        <v>33</v>
      </c>
      <c r="P1370" s="1" t="s">
        <v>5187</v>
      </c>
      <c r="Q1370" s="1" t="s">
        <v>4960</v>
      </c>
      <c r="R1370" s="1" t="s">
        <v>4960</v>
      </c>
      <c r="S1370" s="1"/>
      <c r="T1370" s="1" t="s">
        <v>569</v>
      </c>
      <c r="U1370" s="1"/>
      <c r="V1370" s="1">
        <v>58.28</v>
      </c>
      <c r="W1370" s="1">
        <v>58.28</v>
      </c>
      <c r="X1370" s="1" t="s">
        <v>35</v>
      </c>
      <c r="Y1370" s="1">
        <v>58280.0</v>
      </c>
      <c r="Z1370" s="1"/>
      <c r="AA1370" s="1">
        <v>58280.0</v>
      </c>
      <c r="AB1370" s="1"/>
      <c r="AC1370" s="1" t="s">
        <v>36</v>
      </c>
      <c r="AD1370" s="1" t="s">
        <v>5188</v>
      </c>
      <c r="AE1370" s="1" t="s">
        <v>32</v>
      </c>
      <c r="AF1370" s="1" t="s">
        <v>33</v>
      </c>
      <c r="AG1370" s="1" t="s">
        <v>571</v>
      </c>
    </row>
    <row r="1371" spans="1:33">
      <c r="A1371" t="s">
        <v>5189</v>
      </c>
      <c r="C1371" t="s">
        <v>187</v>
      </c>
      <c r="E1371" t="s">
        <v>4960</v>
      </c>
      <c r="F1371" t="s">
        <v>4961</v>
      </c>
      <c r="G1371">
        <v>81.98</v>
      </c>
      <c r="H1371">
        <v>81.98</v>
      </c>
      <c r="I1371" t="s">
        <v>179</v>
      </c>
      <c r="J1371" t="s">
        <v>180</v>
      </c>
      <c r="K1371" t="s">
        <v>31</v>
      </c>
      <c r="L1371" t="s">
        <v>32</v>
      </c>
      <c r="M1371" t="s">
        <v>33</v>
      </c>
      <c r="P1371" s="1" t="s">
        <v>5190</v>
      </c>
      <c r="Q1371" s="1" t="s">
        <v>4960</v>
      </c>
      <c r="R1371" s="1" t="s">
        <v>4960</v>
      </c>
      <c r="S1371" s="1"/>
      <c r="T1371" s="1" t="s">
        <v>187</v>
      </c>
      <c r="U1371" s="1"/>
      <c r="V1371" s="1">
        <v>81.98</v>
      </c>
      <c r="W1371" s="1">
        <v>81.98</v>
      </c>
      <c r="X1371" s="1" t="s">
        <v>35</v>
      </c>
      <c r="Y1371" s="1">
        <v>81980.0</v>
      </c>
      <c r="Z1371" s="1"/>
      <c r="AA1371" s="1">
        <v>81980.0</v>
      </c>
      <c r="AB1371" s="1"/>
      <c r="AC1371" s="1" t="s">
        <v>36</v>
      </c>
      <c r="AD1371" s="1" t="s">
        <v>5184</v>
      </c>
      <c r="AE1371" s="1" t="s">
        <v>32</v>
      </c>
      <c r="AF1371" s="1" t="s">
        <v>33</v>
      </c>
      <c r="AG1371" s="1" t="s">
        <v>180</v>
      </c>
    </row>
    <row r="1372" spans="1:33">
      <c r="A1372" t="s">
        <v>5191</v>
      </c>
      <c r="B1372" t="s">
        <v>5192</v>
      </c>
      <c r="C1372" t="s">
        <v>906</v>
      </c>
      <c r="E1372" t="s">
        <v>4960</v>
      </c>
      <c r="F1372" t="s">
        <v>4961</v>
      </c>
      <c r="G1372">
        <v>238.0</v>
      </c>
      <c r="H1372">
        <v>238.0</v>
      </c>
      <c r="I1372" t="s">
        <v>847</v>
      </c>
      <c r="J1372" t="s">
        <v>848</v>
      </c>
      <c r="K1372" t="s">
        <v>31</v>
      </c>
      <c r="L1372" t="s">
        <v>32</v>
      </c>
      <c r="M1372" t="s">
        <v>33</v>
      </c>
      <c r="P1372" s="1" t="s">
        <v>5193</v>
      </c>
      <c r="Q1372" s="1" t="s">
        <v>4960</v>
      </c>
      <c r="R1372" s="1" t="s">
        <v>4960</v>
      </c>
      <c r="S1372" s="1"/>
      <c r="T1372" s="1" t="s">
        <v>906</v>
      </c>
      <c r="U1372" s="1"/>
      <c r="V1372" s="1">
        <v>238.0</v>
      </c>
      <c r="W1372" s="1">
        <v>238.0</v>
      </c>
      <c r="X1372" s="1" t="s">
        <v>35</v>
      </c>
      <c r="Y1372" s="1">
        <v>238000.0</v>
      </c>
      <c r="Z1372" s="1"/>
      <c r="AA1372" s="1">
        <v>238000.0</v>
      </c>
      <c r="AB1372" s="1"/>
      <c r="AC1372" s="1" t="s">
        <v>36</v>
      </c>
      <c r="AD1372" s="1" t="s">
        <v>5194</v>
      </c>
      <c r="AE1372" s="1" t="s">
        <v>32</v>
      </c>
      <c r="AF1372" s="1" t="s">
        <v>33</v>
      </c>
      <c r="AG1372" s="1" t="s">
        <v>848</v>
      </c>
    </row>
    <row r="1373" spans="1:33">
      <c r="A1373" t="s">
        <v>5195</v>
      </c>
      <c r="B1373" t="s">
        <v>360</v>
      </c>
      <c r="C1373" t="s">
        <v>68</v>
      </c>
      <c r="E1373" t="s">
        <v>4960</v>
      </c>
      <c r="F1373" t="s">
        <v>4961</v>
      </c>
      <c r="G1373">
        <v>4.598</v>
      </c>
      <c r="H1373">
        <v>4.598</v>
      </c>
      <c r="I1373" t="s">
        <v>59</v>
      </c>
      <c r="J1373" t="s">
        <v>60</v>
      </c>
      <c r="K1373" t="s">
        <v>31</v>
      </c>
      <c r="L1373" t="s">
        <v>32</v>
      </c>
      <c r="M1373" t="s">
        <v>33</v>
      </c>
      <c r="P1373" s="1" t="s">
        <v>5196</v>
      </c>
      <c r="Q1373" s="1" t="s">
        <v>4960</v>
      </c>
      <c r="R1373" s="1" t="s">
        <v>4960</v>
      </c>
      <c r="S1373" s="1"/>
      <c r="T1373" s="1" t="s">
        <v>68</v>
      </c>
      <c r="U1373" s="1"/>
      <c r="V1373" s="1">
        <v>4.598</v>
      </c>
      <c r="W1373" s="1">
        <v>4.598</v>
      </c>
      <c r="X1373" s="1" t="s">
        <v>35</v>
      </c>
      <c r="Y1373" s="1">
        <v>4598.0</v>
      </c>
      <c r="Z1373" s="1"/>
      <c r="AA1373" s="1">
        <v>4598.0</v>
      </c>
      <c r="AB1373" s="1"/>
      <c r="AC1373" s="1" t="s">
        <v>36</v>
      </c>
      <c r="AD1373" s="1" t="s">
        <v>5197</v>
      </c>
      <c r="AE1373" s="1" t="s">
        <v>32</v>
      </c>
      <c r="AF1373" s="1" t="s">
        <v>33</v>
      </c>
      <c r="AG1373" s="1" t="s">
        <v>60</v>
      </c>
    </row>
    <row r="1374" spans="1:33">
      <c r="A1374" t="s">
        <v>5198</v>
      </c>
      <c r="C1374" t="s">
        <v>872</v>
      </c>
      <c r="E1374" t="s">
        <v>4960</v>
      </c>
      <c r="F1374" t="s">
        <v>4961</v>
      </c>
      <c r="G1374">
        <v>235.057</v>
      </c>
      <c r="H1374">
        <v>235.057</v>
      </c>
      <c r="I1374" t="s">
        <v>2206</v>
      </c>
      <c r="J1374" t="s">
        <v>49</v>
      </c>
      <c r="K1374" t="s">
        <v>31</v>
      </c>
      <c r="L1374" t="s">
        <v>32</v>
      </c>
      <c r="M1374" t="s">
        <v>33</v>
      </c>
      <c r="P1374" s="1" t="s">
        <v>5199</v>
      </c>
      <c r="Q1374" s="1" t="s">
        <v>4960</v>
      </c>
      <c r="R1374" s="1" t="s">
        <v>4960</v>
      </c>
      <c r="S1374" s="1"/>
      <c r="T1374" s="1" t="s">
        <v>872</v>
      </c>
      <c r="U1374" s="1"/>
      <c r="V1374" s="1">
        <v>235.057</v>
      </c>
      <c r="W1374" s="1">
        <v>235.057</v>
      </c>
      <c r="X1374" s="1" t="s">
        <v>35</v>
      </c>
      <c r="Y1374" s="1">
        <v>235057.0</v>
      </c>
      <c r="Z1374" s="1"/>
      <c r="AA1374" s="1">
        <v>235057.0</v>
      </c>
      <c r="AB1374" s="1"/>
      <c r="AC1374" s="1" t="s">
        <v>36</v>
      </c>
      <c r="AD1374" s="1" t="s">
        <v>5200</v>
      </c>
      <c r="AE1374" s="1" t="s">
        <v>32</v>
      </c>
      <c r="AF1374" s="1" t="s">
        <v>33</v>
      </c>
      <c r="AG1374" s="1" t="s">
        <v>49</v>
      </c>
    </row>
    <row r="1375" spans="1:33">
      <c r="A1375" t="s">
        <v>5201</v>
      </c>
      <c r="B1375" t="s">
        <v>5202</v>
      </c>
      <c r="C1375" t="s">
        <v>314</v>
      </c>
      <c r="E1375" t="s">
        <v>4960</v>
      </c>
      <c r="F1375" t="s">
        <v>4961</v>
      </c>
      <c r="G1375">
        <v>40.99</v>
      </c>
      <c r="H1375">
        <v>40.99</v>
      </c>
      <c r="I1375" t="s">
        <v>179</v>
      </c>
      <c r="J1375" t="s">
        <v>180</v>
      </c>
      <c r="K1375" t="s">
        <v>31</v>
      </c>
      <c r="L1375" t="s">
        <v>32</v>
      </c>
      <c r="M1375" t="s">
        <v>33</v>
      </c>
      <c r="P1375" s="1" t="s">
        <v>5203</v>
      </c>
      <c r="Q1375" s="1" t="s">
        <v>4960</v>
      </c>
      <c r="R1375" s="1" t="s">
        <v>4960</v>
      </c>
      <c r="S1375" s="1"/>
      <c r="T1375" s="1" t="s">
        <v>314</v>
      </c>
      <c r="U1375" s="1"/>
      <c r="V1375" s="1">
        <v>40.99</v>
      </c>
      <c r="W1375" s="1">
        <v>40.99</v>
      </c>
      <c r="X1375" s="1" t="s">
        <v>35</v>
      </c>
      <c r="Y1375" s="1">
        <v>40990.0</v>
      </c>
      <c r="Z1375" s="1"/>
      <c r="AA1375" s="1">
        <v>40990.0</v>
      </c>
      <c r="AB1375" s="1"/>
      <c r="AC1375" s="1" t="s">
        <v>36</v>
      </c>
      <c r="AD1375" s="1" t="s">
        <v>5204</v>
      </c>
      <c r="AE1375" s="1" t="s">
        <v>32</v>
      </c>
      <c r="AF1375" s="1" t="s">
        <v>33</v>
      </c>
      <c r="AG1375" s="1" t="s">
        <v>180</v>
      </c>
    </row>
    <row r="1376" spans="1:33">
      <c r="A1376" t="s">
        <v>5205</v>
      </c>
      <c r="B1376" t="s">
        <v>5206</v>
      </c>
      <c r="C1376" t="s">
        <v>1298</v>
      </c>
      <c r="E1376" t="s">
        <v>4960</v>
      </c>
      <c r="F1376" t="s">
        <v>4961</v>
      </c>
      <c r="G1376">
        <v>4.298</v>
      </c>
      <c r="H1376">
        <v>4.298</v>
      </c>
      <c r="I1376" t="s">
        <v>529</v>
      </c>
      <c r="J1376" t="s">
        <v>530</v>
      </c>
      <c r="K1376" t="s">
        <v>31</v>
      </c>
      <c r="L1376" t="s">
        <v>32</v>
      </c>
      <c r="M1376" t="s">
        <v>33</v>
      </c>
      <c r="P1376" s="1" t="s">
        <v>5207</v>
      </c>
      <c r="Q1376" s="1" t="s">
        <v>4960</v>
      </c>
      <c r="R1376" s="1" t="s">
        <v>5052</v>
      </c>
      <c r="S1376" s="1"/>
      <c r="T1376" s="1" t="s">
        <v>1298</v>
      </c>
      <c r="U1376" s="1"/>
      <c r="V1376" s="1">
        <v>4.298</v>
      </c>
      <c r="W1376" s="1">
        <v>4.298</v>
      </c>
      <c r="X1376" s="1" t="s">
        <v>35</v>
      </c>
      <c r="Y1376" s="1">
        <v>4298.0</v>
      </c>
      <c r="Z1376" s="1"/>
      <c r="AA1376" s="1">
        <v>4298.0</v>
      </c>
      <c r="AB1376" s="1"/>
      <c r="AC1376" s="1" t="s">
        <v>36</v>
      </c>
      <c r="AD1376" s="1" t="s">
        <v>5208</v>
      </c>
      <c r="AE1376" s="1" t="s">
        <v>32</v>
      </c>
      <c r="AF1376" s="1" t="s">
        <v>33</v>
      </c>
      <c r="AG1376" s="1" t="s">
        <v>530</v>
      </c>
    </row>
    <row r="1377" spans="1:33">
      <c r="A1377" t="s">
        <v>5209</v>
      </c>
      <c r="B1377" t="s">
        <v>5210</v>
      </c>
      <c r="C1377" t="s">
        <v>68</v>
      </c>
      <c r="E1377" t="s">
        <v>4960</v>
      </c>
      <c r="F1377" t="s">
        <v>4961</v>
      </c>
      <c r="G1377">
        <v>31.6</v>
      </c>
      <c r="H1377">
        <v>31.6</v>
      </c>
      <c r="I1377" t="s">
        <v>59</v>
      </c>
      <c r="J1377" t="s">
        <v>60</v>
      </c>
      <c r="K1377" t="s">
        <v>31</v>
      </c>
      <c r="L1377" t="s">
        <v>32</v>
      </c>
      <c r="M1377" t="s">
        <v>33</v>
      </c>
      <c r="P1377" s="1" t="s">
        <v>5211</v>
      </c>
      <c r="Q1377" s="1" t="s">
        <v>4960</v>
      </c>
      <c r="R1377" s="1" t="s">
        <v>4960</v>
      </c>
      <c r="S1377" s="1"/>
      <c r="T1377" s="1" t="s">
        <v>68</v>
      </c>
      <c r="U1377" s="1"/>
      <c r="V1377" s="1">
        <v>31.6</v>
      </c>
      <c r="W1377" s="1">
        <v>31.6</v>
      </c>
      <c r="X1377" s="1" t="s">
        <v>35</v>
      </c>
      <c r="Y1377" s="1">
        <v>31600</v>
      </c>
      <c r="Z1377" s="1"/>
      <c r="AA1377" s="1">
        <v>31600</v>
      </c>
      <c r="AB1377" s="1"/>
      <c r="AC1377" s="1" t="s">
        <v>36</v>
      </c>
      <c r="AD1377" s="1" t="s">
        <v>5212</v>
      </c>
      <c r="AE1377" s="1" t="s">
        <v>32</v>
      </c>
      <c r="AF1377" s="1" t="s">
        <v>33</v>
      </c>
      <c r="AG1377" s="1" t="s">
        <v>60</v>
      </c>
    </row>
    <row r="1378" spans="1:33">
      <c r="A1378" t="s">
        <v>5213</v>
      </c>
      <c r="B1378" t="s">
        <v>2168</v>
      </c>
      <c r="C1378" t="s">
        <v>314</v>
      </c>
      <c r="E1378" t="s">
        <v>4960</v>
      </c>
      <c r="F1378" t="s">
        <v>4961</v>
      </c>
      <c r="G1378">
        <v>37.18</v>
      </c>
      <c r="H1378">
        <v>37.18</v>
      </c>
      <c r="I1378" t="s">
        <v>179</v>
      </c>
      <c r="J1378" t="s">
        <v>180</v>
      </c>
      <c r="K1378" t="s">
        <v>31</v>
      </c>
      <c r="L1378" t="s">
        <v>32</v>
      </c>
      <c r="M1378" t="s">
        <v>33</v>
      </c>
      <c r="P1378" s="1" t="s">
        <v>5214</v>
      </c>
      <c r="Q1378" s="1" t="s">
        <v>4960</v>
      </c>
      <c r="R1378" s="1" t="s">
        <v>4960</v>
      </c>
      <c r="S1378" s="1"/>
      <c r="T1378" s="1" t="s">
        <v>314</v>
      </c>
      <c r="U1378" s="1"/>
      <c r="V1378" s="1">
        <v>37.18</v>
      </c>
      <c r="W1378" s="1">
        <v>37.18</v>
      </c>
      <c r="X1378" s="1" t="s">
        <v>35</v>
      </c>
      <c r="Y1378" s="1">
        <v>37180.0</v>
      </c>
      <c r="Z1378" s="1"/>
      <c r="AA1378" s="1">
        <v>37180.0</v>
      </c>
      <c r="AB1378" s="1"/>
      <c r="AC1378" s="1" t="s">
        <v>36</v>
      </c>
      <c r="AD1378" s="1" t="s">
        <v>5215</v>
      </c>
      <c r="AE1378" s="1" t="s">
        <v>32</v>
      </c>
      <c r="AF1378" s="1" t="s">
        <v>33</v>
      </c>
      <c r="AG1378" s="1" t="s">
        <v>180</v>
      </c>
    </row>
    <row r="1379" spans="1:33">
      <c r="A1379" t="s">
        <v>5216</v>
      </c>
      <c r="B1379" t="s">
        <v>5217</v>
      </c>
      <c r="C1379" t="s">
        <v>268</v>
      </c>
      <c r="E1379" t="s">
        <v>4960</v>
      </c>
      <c r="F1379" t="s">
        <v>4961</v>
      </c>
      <c r="G1379">
        <v>28.25</v>
      </c>
      <c r="H1379">
        <v>28.25</v>
      </c>
      <c r="I1379" t="s">
        <v>5029</v>
      </c>
      <c r="J1379" t="s">
        <v>270</v>
      </c>
      <c r="K1379" t="s">
        <v>31</v>
      </c>
      <c r="L1379" t="s">
        <v>32</v>
      </c>
      <c r="M1379" t="s">
        <v>33</v>
      </c>
      <c r="P1379" s="1" t="s">
        <v>5218</v>
      </c>
      <c r="Q1379" s="1" t="s">
        <v>4960</v>
      </c>
      <c r="R1379" s="1" t="s">
        <v>4960</v>
      </c>
      <c r="S1379" s="1"/>
      <c r="T1379" s="1" t="s">
        <v>268</v>
      </c>
      <c r="U1379" s="1"/>
      <c r="V1379" s="1">
        <v>28.25</v>
      </c>
      <c r="W1379" s="1">
        <v>28.25</v>
      </c>
      <c r="X1379" s="1" t="s">
        <v>35</v>
      </c>
      <c r="Y1379" s="1">
        <v>28250.0</v>
      </c>
      <c r="Z1379" s="1"/>
      <c r="AA1379" s="1">
        <v>28250.0</v>
      </c>
      <c r="AB1379" s="1"/>
      <c r="AC1379" s="1" t="s">
        <v>36</v>
      </c>
      <c r="AD1379" s="1" t="s">
        <v>5219</v>
      </c>
      <c r="AE1379" s="1" t="s">
        <v>32</v>
      </c>
      <c r="AF1379" s="1" t="s">
        <v>33</v>
      </c>
      <c r="AG1379" s="1" t="s">
        <v>270</v>
      </c>
    </row>
    <row r="1380" spans="1:33">
      <c r="A1380" t="s">
        <v>5220</v>
      </c>
      <c r="B1380" t="s">
        <v>2012</v>
      </c>
      <c r="C1380" t="s">
        <v>2013</v>
      </c>
      <c r="E1380" t="s">
        <v>4960</v>
      </c>
      <c r="F1380" t="s">
        <v>4961</v>
      </c>
      <c r="G1380">
        <v>721.0</v>
      </c>
      <c r="H1380">
        <v>721.0</v>
      </c>
      <c r="I1380" t="s">
        <v>59</v>
      </c>
      <c r="J1380" t="s">
        <v>60</v>
      </c>
      <c r="K1380" t="s">
        <v>31</v>
      </c>
      <c r="L1380" t="s">
        <v>32</v>
      </c>
      <c r="M1380" t="s">
        <v>33</v>
      </c>
      <c r="P1380" s="1" t="s">
        <v>5221</v>
      </c>
      <c r="Q1380" s="1" t="s">
        <v>4960</v>
      </c>
      <c r="R1380" s="1" t="s">
        <v>4960</v>
      </c>
      <c r="S1380" s="1"/>
      <c r="T1380" s="1" t="s">
        <v>2013</v>
      </c>
      <c r="U1380" s="1"/>
      <c r="V1380" s="1">
        <v>721.0</v>
      </c>
      <c r="W1380" s="1">
        <v>721.0</v>
      </c>
      <c r="X1380" s="1" t="s">
        <v>35</v>
      </c>
      <c r="Y1380" s="1">
        <v>721000.0</v>
      </c>
      <c r="Z1380" s="1"/>
      <c r="AA1380" s="1">
        <v>721000.0</v>
      </c>
      <c r="AB1380" s="1"/>
      <c r="AC1380" s="1" t="s">
        <v>36</v>
      </c>
      <c r="AD1380" s="1" t="s">
        <v>5222</v>
      </c>
      <c r="AE1380" s="1" t="s">
        <v>32</v>
      </c>
      <c r="AF1380" s="1" t="s">
        <v>33</v>
      </c>
      <c r="AG1380" s="1" t="s">
        <v>60</v>
      </c>
    </row>
    <row r="1381" spans="1:33">
      <c r="A1381" t="s">
        <v>5223</v>
      </c>
      <c r="B1381" t="s">
        <v>430</v>
      </c>
      <c r="C1381" t="s">
        <v>431</v>
      </c>
      <c r="E1381" t="s">
        <v>4960</v>
      </c>
      <c r="F1381" t="s">
        <v>4961</v>
      </c>
      <c r="G1381">
        <v>820.0</v>
      </c>
      <c r="H1381">
        <v>820.0</v>
      </c>
      <c r="I1381" t="s">
        <v>59</v>
      </c>
      <c r="J1381" t="s">
        <v>60</v>
      </c>
      <c r="K1381" t="s">
        <v>31</v>
      </c>
      <c r="L1381" t="s">
        <v>32</v>
      </c>
      <c r="M1381" t="s">
        <v>33</v>
      </c>
      <c r="P1381" s="1" t="s">
        <v>5224</v>
      </c>
      <c r="Q1381" s="1" t="s">
        <v>4960</v>
      </c>
      <c r="R1381" s="1" t="s">
        <v>4960</v>
      </c>
      <c r="S1381" s="1"/>
      <c r="T1381" s="1" t="s">
        <v>431</v>
      </c>
      <c r="U1381" s="1"/>
      <c r="V1381" s="1">
        <v>820.0</v>
      </c>
      <c r="W1381" s="1">
        <v>820.0</v>
      </c>
      <c r="X1381" s="1" t="s">
        <v>35</v>
      </c>
      <c r="Y1381" s="1">
        <v>820000.0</v>
      </c>
      <c r="Z1381" s="1"/>
      <c r="AA1381" s="1">
        <v>820000.0</v>
      </c>
      <c r="AB1381" s="1"/>
      <c r="AC1381" s="1" t="s">
        <v>36</v>
      </c>
      <c r="AD1381" s="1" t="s">
        <v>5225</v>
      </c>
      <c r="AE1381" s="1" t="s">
        <v>32</v>
      </c>
      <c r="AF1381" s="1" t="s">
        <v>33</v>
      </c>
      <c r="AG1381" s="1" t="s">
        <v>60</v>
      </c>
    </row>
    <row r="1382" spans="1:33">
      <c r="A1382" t="s">
        <v>5226</v>
      </c>
      <c r="B1382" t="s">
        <v>5227</v>
      </c>
      <c r="C1382" t="s">
        <v>47</v>
      </c>
      <c r="E1382" t="s">
        <v>4960</v>
      </c>
      <c r="F1382" t="s">
        <v>4961</v>
      </c>
      <c r="G1382">
        <v>62.49</v>
      </c>
      <c r="H1382">
        <v>62.49</v>
      </c>
      <c r="I1382" t="s">
        <v>2206</v>
      </c>
      <c r="J1382" t="s">
        <v>49</v>
      </c>
      <c r="K1382" t="s">
        <v>31</v>
      </c>
      <c r="L1382" t="s">
        <v>32</v>
      </c>
      <c r="M1382" t="s">
        <v>33</v>
      </c>
      <c r="P1382" s="1" t="s">
        <v>5228</v>
      </c>
      <c r="Q1382" s="1" t="s">
        <v>4960</v>
      </c>
      <c r="R1382" s="1" t="s">
        <v>4960</v>
      </c>
      <c r="S1382" s="1"/>
      <c r="T1382" s="1" t="s">
        <v>47</v>
      </c>
      <c r="U1382" s="1"/>
      <c r="V1382" s="1">
        <v>62.49</v>
      </c>
      <c r="W1382" s="1">
        <v>62.49</v>
      </c>
      <c r="X1382" s="1" t="s">
        <v>35</v>
      </c>
      <c r="Y1382" s="1">
        <v>62490.0</v>
      </c>
      <c r="Z1382" s="1"/>
      <c r="AA1382" s="1">
        <v>62490.0</v>
      </c>
      <c r="AB1382" s="1"/>
      <c r="AC1382" s="1" t="s">
        <v>36</v>
      </c>
      <c r="AD1382" s="1" t="s">
        <v>5225</v>
      </c>
      <c r="AE1382" s="1" t="s">
        <v>32</v>
      </c>
      <c r="AF1382" s="1" t="s">
        <v>33</v>
      </c>
      <c r="AG1382" s="1" t="s">
        <v>49</v>
      </c>
    </row>
    <row r="1383" spans="1:33">
      <c r="A1383" t="s">
        <v>5229</v>
      </c>
      <c r="C1383" t="s">
        <v>586</v>
      </c>
      <c r="E1383" t="s">
        <v>4960</v>
      </c>
      <c r="F1383" t="s">
        <v>4961</v>
      </c>
      <c r="G1383">
        <v>35.0</v>
      </c>
      <c r="H1383">
        <v>35.0</v>
      </c>
      <c r="I1383" t="s">
        <v>5029</v>
      </c>
      <c r="J1383" t="s">
        <v>270</v>
      </c>
      <c r="K1383" t="s">
        <v>31</v>
      </c>
      <c r="L1383" t="s">
        <v>32</v>
      </c>
      <c r="M1383" t="s">
        <v>33</v>
      </c>
      <c r="P1383" s="1" t="s">
        <v>5230</v>
      </c>
      <c r="Q1383" s="1" t="s">
        <v>4960</v>
      </c>
      <c r="R1383" s="1" t="s">
        <v>4960</v>
      </c>
      <c r="S1383" s="1"/>
      <c r="T1383" s="1" t="s">
        <v>586</v>
      </c>
      <c r="U1383" s="1"/>
      <c r="V1383" s="1">
        <v>35.0</v>
      </c>
      <c r="W1383" s="1">
        <v>35.0</v>
      </c>
      <c r="X1383" s="1" t="s">
        <v>35</v>
      </c>
      <c r="Y1383" s="1">
        <v>35000.0</v>
      </c>
      <c r="Z1383" s="1"/>
      <c r="AA1383" s="1">
        <v>35000.0</v>
      </c>
      <c r="AB1383" s="1"/>
      <c r="AC1383" s="1" t="s">
        <v>36</v>
      </c>
      <c r="AD1383" s="1" t="s">
        <v>5225</v>
      </c>
      <c r="AE1383" s="1" t="s">
        <v>32</v>
      </c>
      <c r="AF1383" s="1" t="s">
        <v>33</v>
      </c>
      <c r="AG1383" s="1" t="s">
        <v>270</v>
      </c>
    </row>
    <row r="1384" spans="1:33">
      <c r="A1384" t="s">
        <v>5231</v>
      </c>
      <c r="B1384" t="s">
        <v>5232</v>
      </c>
      <c r="C1384" t="s">
        <v>47</v>
      </c>
      <c r="E1384" t="s">
        <v>4960</v>
      </c>
      <c r="F1384" t="s">
        <v>4961</v>
      </c>
      <c r="G1384">
        <v>92.56</v>
      </c>
      <c r="H1384">
        <v>92.56</v>
      </c>
      <c r="I1384" t="s">
        <v>2206</v>
      </c>
      <c r="J1384" t="s">
        <v>49</v>
      </c>
      <c r="K1384" t="s">
        <v>31</v>
      </c>
      <c r="L1384" t="s">
        <v>32</v>
      </c>
      <c r="M1384" t="s">
        <v>33</v>
      </c>
      <c r="P1384" s="1" t="s">
        <v>5233</v>
      </c>
      <c r="Q1384" s="1" t="s">
        <v>4960</v>
      </c>
      <c r="R1384" s="1" t="s">
        <v>4960</v>
      </c>
      <c r="S1384" s="1"/>
      <c r="T1384" s="1" t="s">
        <v>47</v>
      </c>
      <c r="U1384" s="1"/>
      <c r="V1384" s="1">
        <v>92.56</v>
      </c>
      <c r="W1384" s="1">
        <v>92.56</v>
      </c>
      <c r="X1384" s="1" t="s">
        <v>35</v>
      </c>
      <c r="Y1384" s="1">
        <v>92560.0</v>
      </c>
      <c r="Z1384" s="1"/>
      <c r="AA1384" s="1">
        <v>92560.0</v>
      </c>
      <c r="AB1384" s="1"/>
      <c r="AC1384" s="1" t="s">
        <v>36</v>
      </c>
      <c r="AD1384" s="1" t="s">
        <v>5234</v>
      </c>
      <c r="AE1384" s="1" t="s">
        <v>32</v>
      </c>
      <c r="AF1384" s="1" t="s">
        <v>33</v>
      </c>
      <c r="AG1384" s="1" t="s">
        <v>49</v>
      </c>
    </row>
    <row r="1385" spans="1:33">
      <c r="A1385" t="s">
        <v>5235</v>
      </c>
      <c r="B1385" t="s">
        <v>5236</v>
      </c>
      <c r="C1385" t="s">
        <v>47</v>
      </c>
      <c r="E1385" t="s">
        <v>4960</v>
      </c>
      <c r="F1385" t="s">
        <v>4961</v>
      </c>
      <c r="G1385">
        <v>20.99</v>
      </c>
      <c r="H1385">
        <v>20.99</v>
      </c>
      <c r="I1385" t="s">
        <v>2206</v>
      </c>
      <c r="J1385" t="s">
        <v>49</v>
      </c>
      <c r="K1385" t="s">
        <v>31</v>
      </c>
      <c r="L1385" t="s">
        <v>32</v>
      </c>
      <c r="M1385" t="s">
        <v>33</v>
      </c>
      <c r="P1385" s="1" t="s">
        <v>5237</v>
      </c>
      <c r="Q1385" s="1" t="s">
        <v>4960</v>
      </c>
      <c r="R1385" s="1" t="s">
        <v>4960</v>
      </c>
      <c r="S1385" s="1"/>
      <c r="T1385" s="1" t="s">
        <v>47</v>
      </c>
      <c r="U1385" s="1"/>
      <c r="V1385" s="1">
        <v>20.99</v>
      </c>
      <c r="W1385" s="1">
        <v>20.99</v>
      </c>
      <c r="X1385" s="1" t="s">
        <v>35</v>
      </c>
      <c r="Y1385" s="1">
        <v>20990.0</v>
      </c>
      <c r="Z1385" s="1"/>
      <c r="AA1385" s="1">
        <v>20990.0</v>
      </c>
      <c r="AB1385" s="1"/>
      <c r="AC1385" s="1" t="s">
        <v>36</v>
      </c>
      <c r="AD1385" s="1" t="s">
        <v>5238</v>
      </c>
      <c r="AE1385" s="1" t="s">
        <v>32</v>
      </c>
      <c r="AF1385" s="1" t="s">
        <v>33</v>
      </c>
      <c r="AG1385" s="1" t="s">
        <v>49</v>
      </c>
    </row>
    <row r="1386" spans="1:33">
      <c r="A1386" t="s">
        <v>5239</v>
      </c>
      <c r="C1386" t="s">
        <v>3612</v>
      </c>
      <c r="E1386" t="s">
        <v>4960</v>
      </c>
      <c r="F1386" t="s">
        <v>4961</v>
      </c>
      <c r="G1386">
        <v>889.7</v>
      </c>
      <c r="H1386">
        <v>889.7</v>
      </c>
      <c r="I1386" t="s">
        <v>136</v>
      </c>
      <c r="J1386" t="s">
        <v>137</v>
      </c>
      <c r="K1386" t="s">
        <v>31</v>
      </c>
      <c r="L1386" t="s">
        <v>32</v>
      </c>
      <c r="M1386" t="s">
        <v>33</v>
      </c>
      <c r="P1386" s="1" t="s">
        <v>5240</v>
      </c>
      <c r="Q1386" s="1" t="s">
        <v>4960</v>
      </c>
      <c r="R1386" s="1" t="s">
        <v>4960</v>
      </c>
      <c r="S1386" s="1"/>
      <c r="T1386" s="1" t="s">
        <v>3614</v>
      </c>
      <c r="U1386" s="1" t="s">
        <v>3615</v>
      </c>
      <c r="V1386" s="1">
        <v>889.7</v>
      </c>
      <c r="W1386" s="1">
        <v>889.7</v>
      </c>
      <c r="X1386" s="1" t="s">
        <v>35</v>
      </c>
      <c r="Y1386" s="1">
        <v>889700.0</v>
      </c>
      <c r="Z1386" s="1"/>
      <c r="AA1386" s="1">
        <v>889700.0</v>
      </c>
      <c r="AB1386" s="1"/>
      <c r="AC1386" s="1" t="s">
        <v>36</v>
      </c>
      <c r="AD1386" s="1" t="s">
        <v>5241</v>
      </c>
      <c r="AE1386" s="1" t="s">
        <v>32</v>
      </c>
      <c r="AF1386" s="1" t="s">
        <v>33</v>
      </c>
      <c r="AG1386" s="1" t="s">
        <v>137</v>
      </c>
    </row>
    <row r="1387" spans="1:33">
      <c r="A1387" t="s">
        <v>5242</v>
      </c>
      <c r="C1387" t="s">
        <v>1920</v>
      </c>
      <c r="E1387" t="s">
        <v>4960</v>
      </c>
      <c r="F1387" t="s">
        <v>4961</v>
      </c>
      <c r="G1387">
        <v>754.0</v>
      </c>
      <c r="H1387">
        <v>754.0</v>
      </c>
      <c r="I1387" t="s">
        <v>40</v>
      </c>
      <c r="J1387" t="s">
        <v>41</v>
      </c>
      <c r="K1387" t="s">
        <v>31</v>
      </c>
      <c r="L1387" t="s">
        <v>32</v>
      </c>
      <c r="M1387" t="s">
        <v>33</v>
      </c>
      <c r="P1387" s="1" t="s">
        <v>5243</v>
      </c>
      <c r="Q1387" s="1" t="s">
        <v>4960</v>
      </c>
      <c r="R1387" s="1" t="s">
        <v>5052</v>
      </c>
      <c r="S1387" s="1"/>
      <c r="T1387" s="1" t="s">
        <v>1920</v>
      </c>
      <c r="U1387" s="1"/>
      <c r="V1387" s="1">
        <v>754.0</v>
      </c>
      <c r="W1387" s="1">
        <v>754.0</v>
      </c>
      <c r="X1387" s="1" t="s">
        <v>35</v>
      </c>
      <c r="Y1387" s="1">
        <v>754000.0</v>
      </c>
      <c r="Z1387" s="1"/>
      <c r="AA1387" s="1">
        <v>754000.0</v>
      </c>
      <c r="AB1387" s="1"/>
      <c r="AC1387" s="1" t="s">
        <v>36</v>
      </c>
      <c r="AD1387" s="1" t="s">
        <v>5244</v>
      </c>
      <c r="AE1387" s="1" t="s">
        <v>32</v>
      </c>
      <c r="AF1387" s="1" t="s">
        <v>33</v>
      </c>
      <c r="AG1387" s="1" t="s">
        <v>41</v>
      </c>
    </row>
    <row r="1388" spans="1:33">
      <c r="A1388" t="s">
        <v>5245</v>
      </c>
      <c r="B1388" t="s">
        <v>5246</v>
      </c>
      <c r="C1388" t="s">
        <v>68</v>
      </c>
      <c r="E1388" t="s">
        <v>4960</v>
      </c>
      <c r="F1388" t="s">
        <v>4961</v>
      </c>
      <c r="G1388">
        <v>22.49</v>
      </c>
      <c r="H1388">
        <v>22.49</v>
      </c>
      <c r="I1388" t="s">
        <v>59</v>
      </c>
      <c r="J1388" t="s">
        <v>60</v>
      </c>
      <c r="K1388" t="s">
        <v>31</v>
      </c>
      <c r="L1388" t="s">
        <v>32</v>
      </c>
      <c r="M1388" t="s">
        <v>33</v>
      </c>
      <c r="P1388" s="1" t="s">
        <v>5247</v>
      </c>
      <c r="Q1388" s="1" t="s">
        <v>4960</v>
      </c>
      <c r="R1388" s="1" t="s">
        <v>4960</v>
      </c>
      <c r="S1388" s="1"/>
      <c r="T1388" s="1" t="s">
        <v>68</v>
      </c>
      <c r="U1388" s="1"/>
      <c r="V1388" s="1">
        <v>22.49</v>
      </c>
      <c r="W1388" s="1">
        <v>22.49</v>
      </c>
      <c r="X1388" s="1" t="s">
        <v>35</v>
      </c>
      <c r="Y1388" s="1">
        <v>22490.0</v>
      </c>
      <c r="Z1388" s="1"/>
      <c r="AA1388" s="1">
        <v>22490.0</v>
      </c>
      <c r="AB1388" s="1"/>
      <c r="AC1388" s="1" t="s">
        <v>36</v>
      </c>
      <c r="AD1388" s="1" t="s">
        <v>5244</v>
      </c>
      <c r="AE1388" s="1" t="s">
        <v>32</v>
      </c>
      <c r="AF1388" s="1" t="s">
        <v>33</v>
      </c>
      <c r="AG1388" s="1" t="s">
        <v>60</v>
      </c>
    </row>
    <row r="1389" spans="1:33">
      <c r="A1389" t="s">
        <v>5248</v>
      </c>
      <c r="B1389" t="s">
        <v>5249</v>
      </c>
      <c r="C1389" t="s">
        <v>47</v>
      </c>
      <c r="E1389" t="s">
        <v>4960</v>
      </c>
      <c r="F1389" t="s">
        <v>4961</v>
      </c>
      <c r="G1389">
        <v>7.047</v>
      </c>
      <c r="H1389">
        <v>7.047</v>
      </c>
      <c r="I1389" t="s">
        <v>2206</v>
      </c>
      <c r="J1389" t="s">
        <v>49</v>
      </c>
      <c r="K1389" t="s">
        <v>31</v>
      </c>
      <c r="L1389" t="s">
        <v>32</v>
      </c>
      <c r="M1389" t="s">
        <v>33</v>
      </c>
      <c r="P1389" s="1" t="s">
        <v>5250</v>
      </c>
      <c r="Q1389" s="1" t="s">
        <v>4960</v>
      </c>
      <c r="R1389" s="1" t="s">
        <v>4960</v>
      </c>
      <c r="S1389" s="1"/>
      <c r="T1389" s="1" t="s">
        <v>47</v>
      </c>
      <c r="U1389" s="1"/>
      <c r="V1389" s="1">
        <v>7.047</v>
      </c>
      <c r="W1389" s="1">
        <v>7.047</v>
      </c>
      <c r="X1389" s="1" t="s">
        <v>35</v>
      </c>
      <c r="Y1389" s="1">
        <v>7047.0</v>
      </c>
      <c r="Z1389" s="1"/>
      <c r="AA1389" s="1">
        <v>7047.0</v>
      </c>
      <c r="AB1389" s="1"/>
      <c r="AC1389" s="1" t="s">
        <v>36</v>
      </c>
      <c r="AD1389" s="1" t="s">
        <v>5251</v>
      </c>
      <c r="AE1389" s="1" t="s">
        <v>32</v>
      </c>
      <c r="AF1389" s="1" t="s">
        <v>33</v>
      </c>
      <c r="AG1389" s="1" t="s">
        <v>49</v>
      </c>
    </row>
    <row r="1390" spans="1:33">
      <c r="A1390" t="s">
        <v>5252</v>
      </c>
      <c r="B1390" t="s">
        <v>5253</v>
      </c>
      <c r="C1390" t="s">
        <v>172</v>
      </c>
      <c r="E1390" t="s">
        <v>4960</v>
      </c>
      <c r="F1390" t="s">
        <v>4961</v>
      </c>
      <c r="G1390">
        <v>33.75</v>
      </c>
      <c r="H1390">
        <v>33.75</v>
      </c>
      <c r="I1390" t="s">
        <v>173</v>
      </c>
      <c r="J1390" t="s">
        <v>174</v>
      </c>
      <c r="K1390" t="s">
        <v>31</v>
      </c>
      <c r="L1390" t="s">
        <v>32</v>
      </c>
      <c r="M1390" t="s">
        <v>33</v>
      </c>
      <c r="P1390" s="1" t="s">
        <v>5254</v>
      </c>
      <c r="Q1390" s="1" t="s">
        <v>4960</v>
      </c>
      <c r="R1390" s="1" t="s">
        <v>4960</v>
      </c>
      <c r="S1390" s="1"/>
      <c r="T1390" s="1" t="s">
        <v>172</v>
      </c>
      <c r="U1390" s="1"/>
      <c r="V1390" s="1">
        <v>33.75</v>
      </c>
      <c r="W1390" s="1">
        <v>33.75</v>
      </c>
      <c r="X1390" s="1" t="s">
        <v>35</v>
      </c>
      <c r="Y1390" s="1">
        <v>33750.0</v>
      </c>
      <c r="Z1390" s="1"/>
      <c r="AA1390" s="1">
        <v>33750.0</v>
      </c>
      <c r="AB1390" s="1"/>
      <c r="AC1390" s="1" t="s">
        <v>36</v>
      </c>
      <c r="AD1390" s="1" t="s">
        <v>5255</v>
      </c>
      <c r="AE1390" s="1" t="s">
        <v>32</v>
      </c>
      <c r="AF1390" s="1" t="s">
        <v>33</v>
      </c>
      <c r="AG1390" s="1" t="s">
        <v>174</v>
      </c>
    </row>
    <row r="1391" spans="1:33">
      <c r="A1391" t="s">
        <v>5256</v>
      </c>
      <c r="B1391" t="s">
        <v>5257</v>
      </c>
      <c r="C1391" t="s">
        <v>314</v>
      </c>
      <c r="E1391" t="s">
        <v>4960</v>
      </c>
      <c r="F1391" t="s">
        <v>4961</v>
      </c>
      <c r="G1391">
        <v>37.18</v>
      </c>
      <c r="H1391">
        <v>37.18</v>
      </c>
      <c r="I1391" t="s">
        <v>179</v>
      </c>
      <c r="J1391" t="s">
        <v>180</v>
      </c>
      <c r="K1391" t="s">
        <v>31</v>
      </c>
      <c r="L1391" t="s">
        <v>32</v>
      </c>
      <c r="M1391" t="s">
        <v>33</v>
      </c>
      <c r="P1391" s="1" t="s">
        <v>5258</v>
      </c>
      <c r="Q1391" s="1" t="s">
        <v>4960</v>
      </c>
      <c r="R1391" s="1" t="s">
        <v>4960</v>
      </c>
      <c r="S1391" s="1"/>
      <c r="T1391" s="1" t="s">
        <v>314</v>
      </c>
      <c r="U1391" s="1"/>
      <c r="V1391" s="1">
        <v>37.18</v>
      </c>
      <c r="W1391" s="1">
        <v>37.18</v>
      </c>
      <c r="X1391" s="1" t="s">
        <v>35</v>
      </c>
      <c r="Y1391" s="1">
        <v>37180.0</v>
      </c>
      <c r="Z1391" s="1"/>
      <c r="AA1391" s="1">
        <v>37180.0</v>
      </c>
      <c r="AB1391" s="1"/>
      <c r="AC1391" s="1" t="s">
        <v>36</v>
      </c>
      <c r="AD1391" s="1" t="s">
        <v>5259</v>
      </c>
      <c r="AE1391" s="1" t="s">
        <v>32</v>
      </c>
      <c r="AF1391" s="1" t="s">
        <v>33</v>
      </c>
      <c r="AG1391" s="1" t="s">
        <v>180</v>
      </c>
    </row>
    <row r="1392" spans="1:33">
      <c r="A1392" t="s">
        <v>5260</v>
      </c>
      <c r="B1392" t="s">
        <v>1841</v>
      </c>
      <c r="C1392" t="s">
        <v>68</v>
      </c>
      <c r="E1392" t="s">
        <v>4960</v>
      </c>
      <c r="F1392" t="s">
        <v>4961</v>
      </c>
      <c r="G1392">
        <v>59.98</v>
      </c>
      <c r="H1392">
        <v>59.98</v>
      </c>
      <c r="I1392" t="s">
        <v>59</v>
      </c>
      <c r="J1392" t="s">
        <v>60</v>
      </c>
      <c r="K1392" t="s">
        <v>31</v>
      </c>
      <c r="L1392" t="s">
        <v>32</v>
      </c>
      <c r="M1392" t="s">
        <v>33</v>
      </c>
      <c r="P1392" s="1" t="s">
        <v>5261</v>
      </c>
      <c r="Q1392" s="1" t="s">
        <v>4960</v>
      </c>
      <c r="R1392" s="1" t="s">
        <v>4960</v>
      </c>
      <c r="S1392" s="1"/>
      <c r="T1392" s="1" t="s">
        <v>68</v>
      </c>
      <c r="U1392" s="1"/>
      <c r="V1392" s="1">
        <v>59.98</v>
      </c>
      <c r="W1392" s="1">
        <v>59.98</v>
      </c>
      <c r="X1392" s="1" t="s">
        <v>35</v>
      </c>
      <c r="Y1392" s="1">
        <v>59980.0</v>
      </c>
      <c r="Z1392" s="1"/>
      <c r="AA1392" s="1">
        <v>59980.0</v>
      </c>
      <c r="AB1392" s="1"/>
      <c r="AC1392" s="1" t="s">
        <v>36</v>
      </c>
      <c r="AD1392" s="1" t="s">
        <v>5262</v>
      </c>
      <c r="AE1392" s="1" t="s">
        <v>32</v>
      </c>
      <c r="AF1392" s="1" t="s">
        <v>33</v>
      </c>
      <c r="AG1392" s="1" t="s">
        <v>60</v>
      </c>
    </row>
    <row r="1393" spans="1:33">
      <c r="A1393" t="s">
        <v>5263</v>
      </c>
      <c r="C1393" t="s">
        <v>1053</v>
      </c>
      <c r="E1393" t="s">
        <v>4960</v>
      </c>
      <c r="F1393" t="s">
        <v>4961</v>
      </c>
      <c r="G1393">
        <v>704.0</v>
      </c>
      <c r="H1393">
        <v>704.0</v>
      </c>
      <c r="I1393" t="s">
        <v>179</v>
      </c>
      <c r="J1393" t="s">
        <v>180</v>
      </c>
      <c r="K1393" t="s">
        <v>31</v>
      </c>
      <c r="L1393" t="s">
        <v>32</v>
      </c>
      <c r="M1393" t="s">
        <v>33</v>
      </c>
      <c r="P1393" s="1" t="s">
        <v>5264</v>
      </c>
      <c r="Q1393" s="1" t="s">
        <v>4960</v>
      </c>
      <c r="R1393" s="1" t="s">
        <v>4960</v>
      </c>
      <c r="S1393" s="1"/>
      <c r="T1393" s="1" t="s">
        <v>1053</v>
      </c>
      <c r="U1393" s="1"/>
      <c r="V1393" s="1">
        <v>704.0</v>
      </c>
      <c r="W1393" s="1">
        <v>704.0</v>
      </c>
      <c r="X1393" s="1" t="s">
        <v>35</v>
      </c>
      <c r="Y1393" s="1">
        <v>704000.0</v>
      </c>
      <c r="Z1393" s="1"/>
      <c r="AA1393" s="1">
        <v>704000.0</v>
      </c>
      <c r="AB1393" s="1"/>
      <c r="AC1393" s="1" t="s">
        <v>36</v>
      </c>
      <c r="AD1393" s="1" t="s">
        <v>5265</v>
      </c>
      <c r="AE1393" s="1" t="s">
        <v>32</v>
      </c>
      <c r="AF1393" s="1" t="s">
        <v>33</v>
      </c>
      <c r="AG1393" s="1" t="s">
        <v>180</v>
      </c>
    </row>
    <row r="1394" spans="1:33">
      <c r="A1394" t="s">
        <v>5266</v>
      </c>
      <c r="C1394" t="s">
        <v>1016</v>
      </c>
      <c r="E1394" t="s">
        <v>4960</v>
      </c>
      <c r="F1394" t="s">
        <v>4961</v>
      </c>
      <c r="G1394">
        <v>125.0</v>
      </c>
      <c r="H1394">
        <v>125.0</v>
      </c>
      <c r="I1394" t="s">
        <v>5029</v>
      </c>
      <c r="J1394" t="s">
        <v>270</v>
      </c>
      <c r="K1394" t="s">
        <v>31</v>
      </c>
      <c r="L1394" t="s">
        <v>32</v>
      </c>
      <c r="M1394" t="s">
        <v>33</v>
      </c>
      <c r="P1394" s="1" t="s">
        <v>5267</v>
      </c>
      <c r="Q1394" s="1" t="s">
        <v>4960</v>
      </c>
      <c r="R1394" s="1" t="s">
        <v>4960</v>
      </c>
      <c r="S1394" s="1"/>
      <c r="T1394" s="1" t="s">
        <v>1016</v>
      </c>
      <c r="U1394" s="1"/>
      <c r="V1394" s="1">
        <v>125.0</v>
      </c>
      <c r="W1394" s="1">
        <v>125.0</v>
      </c>
      <c r="X1394" s="1" t="s">
        <v>35</v>
      </c>
      <c r="Y1394" s="1">
        <v>125000.0</v>
      </c>
      <c r="Z1394" s="1"/>
      <c r="AA1394" s="1">
        <v>125000.0</v>
      </c>
      <c r="AB1394" s="1"/>
      <c r="AC1394" s="1" t="s">
        <v>36</v>
      </c>
      <c r="AD1394" s="1" t="s">
        <v>5262</v>
      </c>
      <c r="AE1394" s="1" t="s">
        <v>32</v>
      </c>
      <c r="AF1394" s="1" t="s">
        <v>33</v>
      </c>
      <c r="AG1394" s="1" t="s">
        <v>270</v>
      </c>
    </row>
    <row r="1395" spans="1:33">
      <c r="A1395" t="s">
        <v>5268</v>
      </c>
      <c r="B1395" t="s">
        <v>863</v>
      </c>
      <c r="C1395" t="s">
        <v>268</v>
      </c>
      <c r="E1395" t="s">
        <v>4960</v>
      </c>
      <c r="F1395" t="s">
        <v>4961</v>
      </c>
      <c r="G1395">
        <v>300.4</v>
      </c>
      <c r="H1395">
        <v>300.4</v>
      </c>
      <c r="I1395" t="s">
        <v>5029</v>
      </c>
      <c r="J1395" t="s">
        <v>270</v>
      </c>
      <c r="K1395" t="s">
        <v>31</v>
      </c>
      <c r="L1395" t="s">
        <v>32</v>
      </c>
      <c r="M1395" t="s">
        <v>33</v>
      </c>
      <c r="P1395" s="1" t="s">
        <v>5269</v>
      </c>
      <c r="Q1395" s="1" t="s">
        <v>4960</v>
      </c>
      <c r="R1395" s="1" t="s">
        <v>4960</v>
      </c>
      <c r="S1395" s="1"/>
      <c r="T1395" s="1" t="s">
        <v>268</v>
      </c>
      <c r="U1395" s="1"/>
      <c r="V1395" s="1">
        <v>300.4</v>
      </c>
      <c r="W1395" s="1">
        <v>300.4</v>
      </c>
      <c r="X1395" s="1" t="s">
        <v>35</v>
      </c>
      <c r="Y1395" s="1">
        <v>300400.0</v>
      </c>
      <c r="Z1395" s="1"/>
      <c r="AA1395" s="1">
        <v>300400.0</v>
      </c>
      <c r="AB1395" s="1"/>
      <c r="AC1395" s="1" t="s">
        <v>36</v>
      </c>
      <c r="AD1395" s="1" t="s">
        <v>5259</v>
      </c>
      <c r="AE1395" s="1" t="s">
        <v>32</v>
      </c>
      <c r="AF1395" s="1" t="s">
        <v>33</v>
      </c>
      <c r="AG1395" s="1" t="s">
        <v>270</v>
      </c>
    </row>
    <row r="1396" spans="1:33">
      <c r="A1396" t="s">
        <v>5270</v>
      </c>
      <c r="B1396" t="s">
        <v>5271</v>
      </c>
      <c r="C1396" t="s">
        <v>125</v>
      </c>
      <c r="E1396" t="s">
        <v>4960</v>
      </c>
      <c r="F1396" t="s">
        <v>4961</v>
      </c>
      <c r="G1396">
        <v>41.98</v>
      </c>
      <c r="H1396">
        <v>41.98</v>
      </c>
      <c r="I1396" t="s">
        <v>126</v>
      </c>
      <c r="J1396" t="s">
        <v>127</v>
      </c>
      <c r="K1396" t="s">
        <v>31</v>
      </c>
      <c r="L1396" t="s">
        <v>32</v>
      </c>
      <c r="M1396" t="s">
        <v>33</v>
      </c>
      <c r="P1396" s="1" t="s">
        <v>5272</v>
      </c>
      <c r="Q1396" s="1" t="s">
        <v>4960</v>
      </c>
      <c r="R1396" s="1" t="s">
        <v>4960</v>
      </c>
      <c r="S1396" s="1"/>
      <c r="T1396" s="1" t="s">
        <v>125</v>
      </c>
      <c r="U1396" s="1"/>
      <c r="V1396" s="1">
        <v>41.98</v>
      </c>
      <c r="W1396" s="1">
        <v>41.98</v>
      </c>
      <c r="X1396" s="1" t="s">
        <v>35</v>
      </c>
      <c r="Y1396" s="1">
        <v>41980.0</v>
      </c>
      <c r="Z1396" s="1"/>
      <c r="AA1396" s="1">
        <v>41980.0</v>
      </c>
      <c r="AB1396" s="1"/>
      <c r="AC1396" s="1" t="s">
        <v>36</v>
      </c>
      <c r="AD1396" s="1" t="s">
        <v>5265</v>
      </c>
      <c r="AE1396" s="1" t="s">
        <v>32</v>
      </c>
      <c r="AF1396" s="1" t="s">
        <v>33</v>
      </c>
      <c r="AG1396" s="1" t="s">
        <v>127</v>
      </c>
    </row>
    <row r="1397" spans="1:33">
      <c r="A1397" t="s">
        <v>5273</v>
      </c>
      <c r="B1397" t="s">
        <v>5274</v>
      </c>
      <c r="C1397" t="s">
        <v>47</v>
      </c>
      <c r="E1397" t="s">
        <v>4960</v>
      </c>
      <c r="F1397" t="s">
        <v>4961</v>
      </c>
      <c r="G1397">
        <v>61.404</v>
      </c>
      <c r="H1397">
        <v>61.404</v>
      </c>
      <c r="I1397" t="s">
        <v>2206</v>
      </c>
      <c r="J1397" t="s">
        <v>49</v>
      </c>
      <c r="K1397" t="s">
        <v>31</v>
      </c>
      <c r="L1397" t="s">
        <v>32</v>
      </c>
      <c r="M1397" t="s">
        <v>33</v>
      </c>
      <c r="P1397" s="1" t="s">
        <v>5275</v>
      </c>
      <c r="Q1397" s="1" t="s">
        <v>4960</v>
      </c>
      <c r="R1397" s="1" t="s">
        <v>4960</v>
      </c>
      <c r="S1397" s="1"/>
      <c r="T1397" s="1" t="s">
        <v>47</v>
      </c>
      <c r="U1397" s="1"/>
      <c r="V1397" s="1">
        <v>61.404</v>
      </c>
      <c r="W1397" s="1">
        <v>61.404</v>
      </c>
      <c r="X1397" s="1" t="s">
        <v>35</v>
      </c>
      <c r="Y1397" s="1">
        <v>61404.0</v>
      </c>
      <c r="Z1397" s="1"/>
      <c r="AA1397" s="1">
        <v>61404.0</v>
      </c>
      <c r="AB1397" s="1"/>
      <c r="AC1397" s="1" t="s">
        <v>36</v>
      </c>
      <c r="AD1397" s="1" t="s">
        <v>5265</v>
      </c>
      <c r="AE1397" s="1" t="s">
        <v>32</v>
      </c>
      <c r="AF1397" s="1" t="s">
        <v>33</v>
      </c>
      <c r="AG1397" s="1" t="s">
        <v>49</v>
      </c>
    </row>
    <row r="1398" spans="1:33">
      <c r="A1398" t="s">
        <v>5276</v>
      </c>
      <c r="B1398" t="s">
        <v>215</v>
      </c>
      <c r="C1398" t="s">
        <v>125</v>
      </c>
      <c r="E1398" t="s">
        <v>4960</v>
      </c>
      <c r="F1398" t="s">
        <v>4961</v>
      </c>
      <c r="G1398">
        <v>16.99</v>
      </c>
      <c r="H1398">
        <v>16.99</v>
      </c>
      <c r="I1398" t="s">
        <v>126</v>
      </c>
      <c r="J1398" t="s">
        <v>127</v>
      </c>
      <c r="K1398" t="s">
        <v>31</v>
      </c>
      <c r="L1398" t="s">
        <v>32</v>
      </c>
      <c r="M1398" t="s">
        <v>33</v>
      </c>
      <c r="P1398" s="1" t="s">
        <v>5277</v>
      </c>
      <c r="Q1398" s="1" t="s">
        <v>4960</v>
      </c>
      <c r="R1398" s="1" t="s">
        <v>4960</v>
      </c>
      <c r="S1398" s="1"/>
      <c r="T1398" s="1" t="s">
        <v>125</v>
      </c>
      <c r="U1398" s="1"/>
      <c r="V1398" s="1">
        <v>16.99</v>
      </c>
      <c r="W1398" s="1">
        <v>16.99</v>
      </c>
      <c r="X1398" s="1" t="s">
        <v>35</v>
      </c>
      <c r="Y1398" s="1">
        <v>16990.0</v>
      </c>
      <c r="Z1398" s="1"/>
      <c r="AA1398" s="1">
        <v>16990.0</v>
      </c>
      <c r="AB1398" s="1"/>
      <c r="AC1398" s="1" t="s">
        <v>36</v>
      </c>
      <c r="AD1398" s="1" t="s">
        <v>5278</v>
      </c>
      <c r="AE1398" s="1" t="s">
        <v>32</v>
      </c>
      <c r="AF1398" s="1" t="s">
        <v>33</v>
      </c>
      <c r="AG1398" s="1" t="s">
        <v>127</v>
      </c>
    </row>
    <row r="1399" spans="1:33">
      <c r="A1399" t="s">
        <v>5279</v>
      </c>
      <c r="B1399" t="s">
        <v>5280</v>
      </c>
      <c r="C1399" t="s">
        <v>268</v>
      </c>
      <c r="E1399" t="s">
        <v>4960</v>
      </c>
      <c r="F1399" t="s">
        <v>4961</v>
      </c>
      <c r="G1399">
        <v>14.625</v>
      </c>
      <c r="H1399">
        <v>14.625</v>
      </c>
      <c r="I1399" t="s">
        <v>5029</v>
      </c>
      <c r="J1399" t="s">
        <v>270</v>
      </c>
      <c r="K1399" t="s">
        <v>31</v>
      </c>
      <c r="L1399" t="s">
        <v>32</v>
      </c>
      <c r="M1399" t="s">
        <v>33</v>
      </c>
      <c r="P1399" s="1" t="s">
        <v>5281</v>
      </c>
      <c r="Q1399" s="1" t="s">
        <v>4960</v>
      </c>
      <c r="R1399" s="1" t="s">
        <v>4960</v>
      </c>
      <c r="S1399" s="1"/>
      <c r="T1399" s="1" t="s">
        <v>268</v>
      </c>
      <c r="U1399" s="1"/>
      <c r="V1399" s="1">
        <v>14.625</v>
      </c>
      <c r="W1399" s="1">
        <v>14.625</v>
      </c>
      <c r="X1399" s="1" t="s">
        <v>35</v>
      </c>
      <c r="Y1399" s="1">
        <v>14625.0</v>
      </c>
      <c r="Z1399" s="1"/>
      <c r="AA1399" s="1">
        <v>14625.0</v>
      </c>
      <c r="AB1399" s="1"/>
      <c r="AC1399" s="1" t="s">
        <v>36</v>
      </c>
      <c r="AD1399" s="1" t="s">
        <v>5282</v>
      </c>
      <c r="AE1399" s="1" t="s">
        <v>32</v>
      </c>
      <c r="AF1399" s="1" t="s">
        <v>33</v>
      </c>
      <c r="AG1399" s="1" t="s">
        <v>270</v>
      </c>
    </row>
    <row r="1400" spans="1:33">
      <c r="A1400" t="s">
        <v>5283</v>
      </c>
      <c r="C1400" t="s">
        <v>1408</v>
      </c>
      <c r="E1400" t="s">
        <v>4960</v>
      </c>
      <c r="F1400" t="s">
        <v>4961</v>
      </c>
      <c r="G1400">
        <v>1.098</v>
      </c>
      <c r="H1400">
        <v>1.098</v>
      </c>
      <c r="I1400" t="s">
        <v>2206</v>
      </c>
      <c r="J1400" t="s">
        <v>49</v>
      </c>
      <c r="K1400" t="s">
        <v>31</v>
      </c>
      <c r="L1400" t="s">
        <v>32</v>
      </c>
      <c r="M1400" t="s">
        <v>33</v>
      </c>
      <c r="P1400" s="1" t="s">
        <v>5284</v>
      </c>
      <c r="Q1400" s="1" t="s">
        <v>4960</v>
      </c>
      <c r="R1400" s="1" t="s">
        <v>4960</v>
      </c>
      <c r="S1400" s="1"/>
      <c r="T1400" s="1" t="s">
        <v>1408</v>
      </c>
      <c r="U1400" s="1"/>
      <c r="V1400" s="1">
        <v>1.098</v>
      </c>
      <c r="W1400" s="1">
        <v>1.098</v>
      </c>
      <c r="X1400" s="1" t="s">
        <v>35</v>
      </c>
      <c r="Y1400" s="1">
        <v>1098000.0</v>
      </c>
      <c r="Z1400" s="1"/>
      <c r="AA1400" s="1">
        <v>1098000.0</v>
      </c>
      <c r="AB1400" s="1"/>
      <c r="AC1400" s="1" t="s">
        <v>36</v>
      </c>
      <c r="AD1400" s="1" t="s">
        <v>5219</v>
      </c>
      <c r="AE1400" s="1" t="s">
        <v>32</v>
      </c>
      <c r="AF1400" s="1" t="s">
        <v>33</v>
      </c>
      <c r="AG1400" s="1" t="s">
        <v>49</v>
      </c>
    </row>
    <row r="1401" spans="1:33">
      <c r="A1401" t="s">
        <v>5285</v>
      </c>
      <c r="B1401" t="s">
        <v>5286</v>
      </c>
      <c r="C1401" t="s">
        <v>68</v>
      </c>
      <c r="E1401" t="s">
        <v>4960</v>
      </c>
      <c r="F1401" t="s">
        <v>4961</v>
      </c>
      <c r="G1401">
        <v>22.49</v>
      </c>
      <c r="H1401">
        <v>22.49</v>
      </c>
      <c r="I1401" t="s">
        <v>59</v>
      </c>
      <c r="J1401" t="s">
        <v>60</v>
      </c>
      <c r="K1401" t="s">
        <v>31</v>
      </c>
      <c r="L1401" t="s">
        <v>32</v>
      </c>
      <c r="M1401" t="s">
        <v>33</v>
      </c>
      <c r="P1401" s="1" t="s">
        <v>5287</v>
      </c>
      <c r="Q1401" s="1" t="s">
        <v>4960</v>
      </c>
      <c r="R1401" s="1" t="s">
        <v>4960</v>
      </c>
      <c r="S1401" s="1"/>
      <c r="T1401" s="1" t="s">
        <v>68</v>
      </c>
      <c r="U1401" s="1"/>
      <c r="V1401" s="1">
        <v>22.49</v>
      </c>
      <c r="W1401" s="1">
        <v>22.49</v>
      </c>
      <c r="X1401" s="1" t="s">
        <v>35</v>
      </c>
      <c r="Y1401" s="1">
        <v>22490.0</v>
      </c>
      <c r="Z1401" s="1"/>
      <c r="AA1401" s="1">
        <v>22490.0</v>
      </c>
      <c r="AB1401" s="1"/>
      <c r="AC1401" s="1" t="s">
        <v>36</v>
      </c>
      <c r="AD1401" s="1" t="s">
        <v>5288</v>
      </c>
      <c r="AE1401" s="1" t="s">
        <v>32</v>
      </c>
      <c r="AF1401" s="1" t="s">
        <v>33</v>
      </c>
      <c r="AG1401" s="1" t="s">
        <v>60</v>
      </c>
    </row>
    <row r="1402" spans="1:33">
      <c r="A1402" t="s">
        <v>5289</v>
      </c>
      <c r="B1402" t="s">
        <v>255</v>
      </c>
      <c r="C1402" t="s">
        <v>125</v>
      </c>
      <c r="E1402" t="s">
        <v>4960</v>
      </c>
      <c r="F1402" t="s">
        <v>4961</v>
      </c>
      <c r="G1402">
        <v>14.495</v>
      </c>
      <c r="H1402">
        <v>14.495</v>
      </c>
      <c r="I1402" t="s">
        <v>126</v>
      </c>
      <c r="J1402" t="s">
        <v>127</v>
      </c>
      <c r="K1402" t="s">
        <v>31</v>
      </c>
      <c r="L1402" t="s">
        <v>32</v>
      </c>
      <c r="M1402" t="s">
        <v>33</v>
      </c>
      <c r="P1402" s="1" t="s">
        <v>5290</v>
      </c>
      <c r="Q1402" s="1" t="s">
        <v>4960</v>
      </c>
      <c r="R1402" s="1" t="s">
        <v>4960</v>
      </c>
      <c r="S1402" s="1"/>
      <c r="T1402" s="1" t="s">
        <v>125</v>
      </c>
      <c r="U1402" s="1"/>
      <c r="V1402" s="1">
        <v>14.495</v>
      </c>
      <c r="W1402" s="1">
        <v>14.495</v>
      </c>
      <c r="X1402" s="1" t="s">
        <v>35</v>
      </c>
      <c r="Y1402" s="1">
        <v>14495.0</v>
      </c>
      <c r="Z1402" s="1"/>
      <c r="AA1402" s="1">
        <v>14495.0</v>
      </c>
      <c r="AB1402" s="1"/>
      <c r="AC1402" s="1" t="s">
        <v>36</v>
      </c>
      <c r="AD1402" s="1" t="s">
        <v>5291</v>
      </c>
      <c r="AE1402" s="1" t="s">
        <v>32</v>
      </c>
      <c r="AF1402" s="1" t="s">
        <v>33</v>
      </c>
      <c r="AG1402" s="1" t="s">
        <v>127</v>
      </c>
    </row>
    <row r="1403" spans="1:33">
      <c r="A1403" t="s">
        <v>5292</v>
      </c>
      <c r="B1403" t="s">
        <v>2899</v>
      </c>
      <c r="C1403" t="s">
        <v>314</v>
      </c>
      <c r="E1403" t="s">
        <v>4960</v>
      </c>
      <c r="F1403" t="s">
        <v>4961</v>
      </c>
      <c r="G1403">
        <v>44.48</v>
      </c>
      <c r="H1403">
        <v>44.48</v>
      </c>
      <c r="I1403" t="s">
        <v>179</v>
      </c>
      <c r="J1403" t="s">
        <v>180</v>
      </c>
      <c r="K1403" t="s">
        <v>31</v>
      </c>
      <c r="L1403" t="s">
        <v>32</v>
      </c>
      <c r="M1403" t="s">
        <v>33</v>
      </c>
      <c r="P1403" s="1" t="s">
        <v>5293</v>
      </c>
      <c r="Q1403" s="1" t="s">
        <v>4960</v>
      </c>
      <c r="R1403" s="1" t="s">
        <v>4960</v>
      </c>
      <c r="S1403" s="1"/>
      <c r="T1403" s="1" t="s">
        <v>314</v>
      </c>
      <c r="U1403" s="1"/>
      <c r="V1403" s="1">
        <v>44.48</v>
      </c>
      <c r="W1403" s="1">
        <v>44.48</v>
      </c>
      <c r="X1403" s="1" t="s">
        <v>35</v>
      </c>
      <c r="Y1403" s="1">
        <v>44480.0</v>
      </c>
      <c r="Z1403" s="1"/>
      <c r="AA1403" s="1">
        <v>44480.0</v>
      </c>
      <c r="AB1403" s="1"/>
      <c r="AC1403" s="1" t="s">
        <v>36</v>
      </c>
      <c r="AD1403" s="1" t="s">
        <v>5294</v>
      </c>
      <c r="AE1403" s="1" t="s">
        <v>32</v>
      </c>
      <c r="AF1403" s="1" t="s">
        <v>33</v>
      </c>
      <c r="AG1403" s="1" t="s">
        <v>180</v>
      </c>
    </row>
    <row r="1404" spans="1:33">
      <c r="A1404" t="s">
        <v>5295</v>
      </c>
      <c r="B1404" t="s">
        <v>5296</v>
      </c>
      <c r="C1404" t="s">
        <v>3567</v>
      </c>
      <c r="E1404" t="s">
        <v>4960</v>
      </c>
      <c r="F1404" t="s">
        <v>4961</v>
      </c>
      <c r="G1404">
        <v>4.598</v>
      </c>
      <c r="H1404">
        <v>4.598</v>
      </c>
      <c r="I1404" t="s">
        <v>59</v>
      </c>
      <c r="J1404" t="s">
        <v>60</v>
      </c>
      <c r="K1404" t="s">
        <v>31</v>
      </c>
      <c r="L1404" t="s">
        <v>32</v>
      </c>
      <c r="M1404" t="s">
        <v>33</v>
      </c>
      <c r="P1404" s="1" t="s">
        <v>5297</v>
      </c>
      <c r="Q1404" s="1" t="s">
        <v>4960</v>
      </c>
      <c r="R1404" s="1" t="s">
        <v>4960</v>
      </c>
      <c r="S1404" s="1"/>
      <c r="T1404" s="1" t="s">
        <v>3567</v>
      </c>
      <c r="U1404" s="1"/>
      <c r="V1404" s="1">
        <v>4.598</v>
      </c>
      <c r="W1404" s="1">
        <v>4.598</v>
      </c>
      <c r="X1404" s="1" t="s">
        <v>35</v>
      </c>
      <c r="Y1404" s="1">
        <v>4598.0</v>
      </c>
      <c r="Z1404" s="1"/>
      <c r="AA1404" s="1">
        <v>4598.0</v>
      </c>
      <c r="AB1404" s="1"/>
      <c r="AC1404" s="1" t="s">
        <v>36</v>
      </c>
      <c r="AD1404" s="1" t="s">
        <v>5288</v>
      </c>
      <c r="AE1404" s="1" t="s">
        <v>32</v>
      </c>
      <c r="AF1404" s="1" t="s">
        <v>33</v>
      </c>
      <c r="AG1404" s="1" t="s">
        <v>60</v>
      </c>
    </row>
    <row r="1405" spans="1:33">
      <c r="A1405" t="s">
        <v>5298</v>
      </c>
      <c r="C1405" t="s">
        <v>1016</v>
      </c>
      <c r="E1405" t="s">
        <v>4960</v>
      </c>
      <c r="F1405" t="s">
        <v>4961</v>
      </c>
      <c r="G1405">
        <v>31.25</v>
      </c>
      <c r="H1405">
        <v>31.25</v>
      </c>
      <c r="I1405" t="s">
        <v>5029</v>
      </c>
      <c r="J1405" t="s">
        <v>270</v>
      </c>
      <c r="K1405" t="s">
        <v>31</v>
      </c>
      <c r="L1405" t="s">
        <v>32</v>
      </c>
      <c r="M1405" t="s">
        <v>33</v>
      </c>
      <c r="P1405" s="1" t="s">
        <v>5299</v>
      </c>
      <c r="Q1405" s="1" t="s">
        <v>4960</v>
      </c>
      <c r="R1405" s="1" t="s">
        <v>4960</v>
      </c>
      <c r="S1405" s="1"/>
      <c r="T1405" s="1" t="s">
        <v>1016</v>
      </c>
      <c r="U1405" s="1"/>
      <c r="V1405" s="1">
        <v>31.25</v>
      </c>
      <c r="W1405" s="1">
        <v>31.25</v>
      </c>
      <c r="X1405" s="1" t="s">
        <v>35</v>
      </c>
      <c r="Y1405" s="1">
        <v>31250.0</v>
      </c>
      <c r="Z1405" s="1"/>
      <c r="AA1405" s="1">
        <v>31250.0</v>
      </c>
      <c r="AB1405" s="1"/>
      <c r="AC1405" s="1" t="s">
        <v>36</v>
      </c>
      <c r="AD1405" s="1" t="s">
        <v>5300</v>
      </c>
      <c r="AE1405" s="1" t="s">
        <v>32</v>
      </c>
      <c r="AF1405" s="1" t="s">
        <v>33</v>
      </c>
      <c r="AG1405" s="1" t="s">
        <v>270</v>
      </c>
    </row>
    <row r="1406" spans="1:33">
      <c r="A1406" t="s">
        <v>5301</v>
      </c>
      <c r="B1406" t="s">
        <v>5302</v>
      </c>
      <c r="C1406" t="s">
        <v>172</v>
      </c>
      <c r="E1406" t="s">
        <v>4960</v>
      </c>
      <c r="F1406" t="s">
        <v>4961</v>
      </c>
      <c r="G1406">
        <v>55.98</v>
      </c>
      <c r="H1406">
        <v>55.98</v>
      </c>
      <c r="I1406" t="s">
        <v>173</v>
      </c>
      <c r="J1406" t="s">
        <v>174</v>
      </c>
      <c r="K1406" t="s">
        <v>31</v>
      </c>
      <c r="L1406" t="s">
        <v>32</v>
      </c>
      <c r="M1406" t="s">
        <v>33</v>
      </c>
      <c r="P1406" s="1" t="s">
        <v>5303</v>
      </c>
      <c r="Q1406" s="1" t="s">
        <v>4960</v>
      </c>
      <c r="R1406" s="1" t="s">
        <v>4960</v>
      </c>
      <c r="S1406" s="1"/>
      <c r="T1406" s="1" t="s">
        <v>172</v>
      </c>
      <c r="U1406" s="1"/>
      <c r="V1406" s="1">
        <v>55.98</v>
      </c>
      <c r="W1406" s="1">
        <v>55.98</v>
      </c>
      <c r="X1406" s="1" t="s">
        <v>35</v>
      </c>
      <c r="Y1406" s="1">
        <v>55980.0</v>
      </c>
      <c r="Z1406" s="1"/>
      <c r="AA1406" s="1">
        <v>55980.0</v>
      </c>
      <c r="AB1406" s="1"/>
      <c r="AC1406" s="1" t="s">
        <v>36</v>
      </c>
      <c r="AD1406" s="1" t="s">
        <v>5304</v>
      </c>
      <c r="AE1406" s="1" t="s">
        <v>32</v>
      </c>
      <c r="AF1406" s="1" t="s">
        <v>33</v>
      </c>
      <c r="AG1406" s="1" t="s">
        <v>174</v>
      </c>
    </row>
    <row r="1407" spans="1:33">
      <c r="A1407" t="s">
        <v>5305</v>
      </c>
      <c r="C1407" t="s">
        <v>5306</v>
      </c>
      <c r="E1407" t="s">
        <v>4960</v>
      </c>
      <c r="F1407" t="s">
        <v>4961</v>
      </c>
      <c r="G1407">
        <v>1.64</v>
      </c>
      <c r="H1407">
        <v>1.64</v>
      </c>
      <c r="I1407" t="s">
        <v>227</v>
      </c>
      <c r="J1407" t="s">
        <v>228</v>
      </c>
      <c r="K1407" t="s">
        <v>31</v>
      </c>
      <c r="L1407" t="s">
        <v>32</v>
      </c>
      <c r="M1407" t="s">
        <v>33</v>
      </c>
      <c r="P1407" s="1" t="s">
        <v>5307</v>
      </c>
      <c r="Q1407" s="1" t="s">
        <v>4960</v>
      </c>
      <c r="R1407" s="1" t="s">
        <v>4960</v>
      </c>
      <c r="S1407" s="1"/>
      <c r="T1407" s="1" t="s">
        <v>5306</v>
      </c>
      <c r="U1407" s="1"/>
      <c r="V1407" s="1">
        <v>1.64</v>
      </c>
      <c r="W1407" s="1">
        <v>1.64</v>
      </c>
      <c r="X1407" s="1" t="s">
        <v>35</v>
      </c>
      <c r="Y1407" s="1">
        <v>1640000.0</v>
      </c>
      <c r="Z1407" s="1"/>
      <c r="AA1407" s="1">
        <v>1640000.0</v>
      </c>
      <c r="AB1407" s="1"/>
      <c r="AC1407" s="1" t="s">
        <v>36</v>
      </c>
      <c r="AD1407" s="1" t="s">
        <v>5308</v>
      </c>
      <c r="AE1407" s="1" t="s">
        <v>32</v>
      </c>
      <c r="AF1407" s="1" t="s">
        <v>33</v>
      </c>
      <c r="AG1407" s="1" t="s">
        <v>228</v>
      </c>
    </row>
    <row r="1408" spans="1:33">
      <c r="A1408" t="s">
        <v>5309</v>
      </c>
      <c r="C1408" t="s">
        <v>135</v>
      </c>
      <c r="E1408" t="s">
        <v>4960</v>
      </c>
      <c r="F1408" t="s">
        <v>4961</v>
      </c>
      <c r="G1408">
        <v>117.35</v>
      </c>
      <c r="H1408">
        <v>117.35</v>
      </c>
      <c r="I1408" t="s">
        <v>136</v>
      </c>
      <c r="J1408" t="s">
        <v>137</v>
      </c>
      <c r="K1408" t="s">
        <v>31</v>
      </c>
      <c r="L1408" t="s">
        <v>32</v>
      </c>
      <c r="M1408" t="s">
        <v>33</v>
      </c>
      <c r="P1408" s="1" t="s">
        <v>5310</v>
      </c>
      <c r="Q1408" s="1" t="s">
        <v>4960</v>
      </c>
      <c r="R1408" s="1" t="s">
        <v>4960</v>
      </c>
      <c r="S1408" s="1"/>
      <c r="T1408" s="1" t="s">
        <v>135</v>
      </c>
      <c r="U1408" s="1"/>
      <c r="V1408" s="1">
        <v>117.35</v>
      </c>
      <c r="W1408" s="1">
        <v>117.35</v>
      </c>
      <c r="X1408" s="1" t="s">
        <v>35</v>
      </c>
      <c r="Y1408" s="1">
        <v>117350.0</v>
      </c>
      <c r="Z1408" s="1"/>
      <c r="AA1408" s="1">
        <v>117350.0</v>
      </c>
      <c r="AB1408" s="1"/>
      <c r="AC1408" s="1" t="s">
        <v>36</v>
      </c>
      <c r="AD1408" s="1" t="s">
        <v>5311</v>
      </c>
      <c r="AE1408" s="1" t="s">
        <v>32</v>
      </c>
      <c r="AF1408" s="1" t="s">
        <v>33</v>
      </c>
      <c r="AG1408" s="1" t="s">
        <v>137</v>
      </c>
    </row>
    <row r="1409" spans="1:33">
      <c r="A1409" t="s">
        <v>5312</v>
      </c>
      <c r="B1409" t="s">
        <v>5313</v>
      </c>
      <c r="C1409" t="s">
        <v>4041</v>
      </c>
      <c r="E1409" t="s">
        <v>4960</v>
      </c>
      <c r="F1409" t="s">
        <v>4961</v>
      </c>
      <c r="G1409">
        <v>22.49</v>
      </c>
      <c r="H1409">
        <v>22.49</v>
      </c>
      <c r="I1409" t="s">
        <v>59</v>
      </c>
      <c r="J1409" t="s">
        <v>60</v>
      </c>
      <c r="K1409" t="s">
        <v>31</v>
      </c>
      <c r="L1409" t="s">
        <v>32</v>
      </c>
      <c r="M1409" t="s">
        <v>33</v>
      </c>
      <c r="P1409" s="1" t="s">
        <v>5314</v>
      </c>
      <c r="Q1409" s="1" t="s">
        <v>4960</v>
      </c>
      <c r="R1409" s="1" t="s">
        <v>4960</v>
      </c>
      <c r="S1409" s="1"/>
      <c r="T1409" s="1" t="s">
        <v>4041</v>
      </c>
      <c r="U1409" s="1"/>
      <c r="V1409" s="1">
        <v>22.49</v>
      </c>
      <c r="W1409" s="1">
        <v>22.49</v>
      </c>
      <c r="X1409" s="1" t="s">
        <v>35</v>
      </c>
      <c r="Y1409" s="1">
        <v>22490.0</v>
      </c>
      <c r="Z1409" s="1"/>
      <c r="AA1409" s="1">
        <v>22490.0</v>
      </c>
      <c r="AB1409" s="1"/>
      <c r="AC1409" s="1" t="s">
        <v>36</v>
      </c>
      <c r="AD1409" s="1" t="s">
        <v>5304</v>
      </c>
      <c r="AE1409" s="1" t="s">
        <v>32</v>
      </c>
      <c r="AF1409" s="1" t="s">
        <v>33</v>
      </c>
      <c r="AG1409" s="1" t="s">
        <v>60</v>
      </c>
    </row>
    <row r="1410" spans="1:33">
      <c r="A1410" t="s">
        <v>5315</v>
      </c>
      <c r="C1410" t="s">
        <v>5316</v>
      </c>
      <c r="D1410" t="s">
        <v>154</v>
      </c>
      <c r="E1410" t="s">
        <v>4960</v>
      </c>
      <c r="F1410" t="s">
        <v>4961</v>
      </c>
      <c r="G1410">
        <v>235.0</v>
      </c>
      <c r="H1410">
        <v>235.0</v>
      </c>
      <c r="I1410" t="s">
        <v>126</v>
      </c>
      <c r="J1410" t="s">
        <v>127</v>
      </c>
      <c r="K1410" t="s">
        <v>31</v>
      </c>
      <c r="L1410" t="s">
        <v>32</v>
      </c>
      <c r="M1410" t="s">
        <v>33</v>
      </c>
      <c r="P1410" s="1" t="s">
        <v>5317</v>
      </c>
      <c r="Q1410" s="1" t="s">
        <v>4960</v>
      </c>
      <c r="R1410" s="1" t="s">
        <v>4960</v>
      </c>
      <c r="S1410" s="1"/>
      <c r="T1410" s="1" t="s">
        <v>5316</v>
      </c>
      <c r="U1410" s="1"/>
      <c r="V1410" s="1">
        <v>235.0</v>
      </c>
      <c r="W1410" s="1">
        <v>235.0</v>
      </c>
      <c r="X1410" s="1" t="s">
        <v>35</v>
      </c>
      <c r="Y1410" s="1">
        <v>235000.0</v>
      </c>
      <c r="Z1410" s="1"/>
      <c r="AA1410" s="1"/>
      <c r="AB1410" s="1">
        <v>235000</v>
      </c>
      <c r="AC1410" s="1" t="s">
        <v>36</v>
      </c>
      <c r="AD1410" s="1" t="s">
        <v>5174</v>
      </c>
      <c r="AE1410" s="1" t="s">
        <v>32</v>
      </c>
      <c r="AF1410" s="1" t="s">
        <v>33</v>
      </c>
      <c r="AG1410" s="1" t="s">
        <v>127</v>
      </c>
    </row>
    <row r="1411" spans="1:33">
      <c r="A1411" t="s">
        <v>5318</v>
      </c>
      <c r="B1411" t="s">
        <v>5319</v>
      </c>
      <c r="C1411" t="s">
        <v>131</v>
      </c>
      <c r="E1411" t="s">
        <v>4960</v>
      </c>
      <c r="F1411" t="s">
        <v>4961</v>
      </c>
      <c r="G1411">
        <v>235.0</v>
      </c>
      <c r="H1411">
        <v>235.0</v>
      </c>
      <c r="I1411" t="s">
        <v>94</v>
      </c>
      <c r="J1411" t="s">
        <v>95</v>
      </c>
      <c r="K1411" t="s">
        <v>31</v>
      </c>
      <c r="L1411" t="s">
        <v>32</v>
      </c>
      <c r="M1411" t="s">
        <v>33</v>
      </c>
      <c r="P1411" s="1" t="s">
        <v>5320</v>
      </c>
      <c r="Q1411" s="1" t="s">
        <v>4960</v>
      </c>
      <c r="R1411" s="1" t="s">
        <v>4960</v>
      </c>
      <c r="S1411" s="1"/>
      <c r="T1411" s="1" t="s">
        <v>131</v>
      </c>
      <c r="U1411" s="1"/>
      <c r="V1411" s="1">
        <v>235.0</v>
      </c>
      <c r="W1411" s="1">
        <v>235.0</v>
      </c>
      <c r="X1411" s="1" t="s">
        <v>35</v>
      </c>
      <c r="Y1411" s="1">
        <v>235000.0</v>
      </c>
      <c r="Z1411" s="1"/>
      <c r="AA1411" s="1">
        <v>235000.0</v>
      </c>
      <c r="AB1411" s="1"/>
      <c r="AC1411" s="1" t="s">
        <v>36</v>
      </c>
      <c r="AD1411" s="1" t="s">
        <v>5321</v>
      </c>
      <c r="AE1411" s="1" t="s">
        <v>32</v>
      </c>
      <c r="AF1411" s="1" t="s">
        <v>33</v>
      </c>
      <c r="AG1411" s="1" t="s">
        <v>95</v>
      </c>
    </row>
    <row r="1412" spans="1:33">
      <c r="A1412" t="s">
        <v>5322</v>
      </c>
      <c r="C1412" t="s">
        <v>5323</v>
      </c>
      <c r="E1412" t="s">
        <v>4960</v>
      </c>
      <c r="F1412" t="s">
        <v>4961</v>
      </c>
      <c r="G1412">
        <v>599.0</v>
      </c>
      <c r="H1412">
        <v>599.0</v>
      </c>
      <c r="I1412" t="s">
        <v>136</v>
      </c>
      <c r="J1412" t="s">
        <v>137</v>
      </c>
      <c r="K1412" t="s">
        <v>31</v>
      </c>
      <c r="L1412" t="s">
        <v>32</v>
      </c>
      <c r="M1412" t="s">
        <v>33</v>
      </c>
      <c r="P1412" s="1" t="s">
        <v>5324</v>
      </c>
      <c r="Q1412" s="1" t="s">
        <v>4960</v>
      </c>
      <c r="R1412" s="1" t="s">
        <v>4960</v>
      </c>
      <c r="S1412" s="1"/>
      <c r="T1412" s="1" t="s">
        <v>5323</v>
      </c>
      <c r="U1412" s="1"/>
      <c r="V1412" s="1">
        <v>599.0</v>
      </c>
      <c r="W1412" s="1">
        <v>599.0</v>
      </c>
      <c r="X1412" s="1" t="s">
        <v>35</v>
      </c>
      <c r="Y1412" s="1">
        <v>599000.0</v>
      </c>
      <c r="Z1412" s="1"/>
      <c r="AA1412" s="1">
        <v>599000.0</v>
      </c>
      <c r="AB1412" s="1"/>
      <c r="AC1412" s="1" t="s">
        <v>36</v>
      </c>
      <c r="AD1412" s="1" t="s">
        <v>5325</v>
      </c>
      <c r="AE1412" s="1" t="s">
        <v>32</v>
      </c>
      <c r="AF1412" s="1" t="s">
        <v>33</v>
      </c>
      <c r="AG1412" s="1" t="s">
        <v>137</v>
      </c>
    </row>
    <row r="1413" spans="1:33">
      <c r="A1413" t="s">
        <v>5326</v>
      </c>
      <c r="B1413" t="s">
        <v>5327</v>
      </c>
      <c r="C1413" t="s">
        <v>47</v>
      </c>
      <c r="E1413" t="s">
        <v>4960</v>
      </c>
      <c r="F1413" t="s">
        <v>4961</v>
      </c>
      <c r="G1413">
        <v>35.58</v>
      </c>
      <c r="H1413">
        <v>35.58</v>
      </c>
      <c r="I1413" t="s">
        <v>2206</v>
      </c>
      <c r="J1413" t="s">
        <v>49</v>
      </c>
      <c r="K1413" t="s">
        <v>31</v>
      </c>
      <c r="L1413" t="s">
        <v>32</v>
      </c>
      <c r="M1413" t="s">
        <v>33</v>
      </c>
      <c r="P1413" s="1" t="s">
        <v>5328</v>
      </c>
      <c r="Q1413" s="1" t="s">
        <v>4960</v>
      </c>
      <c r="R1413" s="1" t="s">
        <v>4960</v>
      </c>
      <c r="S1413" s="1"/>
      <c r="T1413" s="1" t="s">
        <v>47</v>
      </c>
      <c r="U1413" s="1"/>
      <c r="V1413" s="1">
        <v>35.58</v>
      </c>
      <c r="W1413" s="1">
        <v>35.58</v>
      </c>
      <c r="X1413" s="1" t="s">
        <v>35</v>
      </c>
      <c r="Y1413" s="1">
        <v>35580.0</v>
      </c>
      <c r="Z1413" s="1"/>
      <c r="AA1413" s="1">
        <v>35580.0</v>
      </c>
      <c r="AB1413" s="1"/>
      <c r="AC1413" s="1" t="s">
        <v>36</v>
      </c>
      <c r="AD1413" s="1" t="s">
        <v>5329</v>
      </c>
      <c r="AE1413" s="1" t="s">
        <v>32</v>
      </c>
      <c r="AF1413" s="1" t="s">
        <v>33</v>
      </c>
      <c r="AG1413" s="1" t="s">
        <v>49</v>
      </c>
    </row>
    <row r="1414" spans="1:33">
      <c r="A1414" t="s">
        <v>5330</v>
      </c>
      <c r="B1414" t="s">
        <v>5331</v>
      </c>
      <c r="C1414" t="s">
        <v>268</v>
      </c>
      <c r="E1414" t="s">
        <v>4960</v>
      </c>
      <c r="F1414" t="s">
        <v>4961</v>
      </c>
      <c r="G1414">
        <v>33.75</v>
      </c>
      <c r="H1414">
        <v>33.75</v>
      </c>
      <c r="I1414" t="s">
        <v>5029</v>
      </c>
      <c r="J1414" t="s">
        <v>270</v>
      </c>
      <c r="K1414" t="s">
        <v>31</v>
      </c>
      <c r="L1414" t="s">
        <v>32</v>
      </c>
      <c r="M1414" t="s">
        <v>33</v>
      </c>
      <c r="P1414" s="1" t="s">
        <v>5332</v>
      </c>
      <c r="Q1414" s="1" t="s">
        <v>4960</v>
      </c>
      <c r="R1414" s="1" t="s">
        <v>4960</v>
      </c>
      <c r="S1414" s="1"/>
      <c r="T1414" s="1" t="s">
        <v>268</v>
      </c>
      <c r="U1414" s="1"/>
      <c r="V1414" s="1">
        <v>33.75</v>
      </c>
      <c r="W1414" s="1">
        <v>33.75</v>
      </c>
      <c r="X1414" s="1" t="s">
        <v>35</v>
      </c>
      <c r="Y1414" s="1">
        <v>33750.0</v>
      </c>
      <c r="Z1414" s="1"/>
      <c r="AA1414" s="1">
        <v>33750.0</v>
      </c>
      <c r="AB1414" s="1"/>
      <c r="AC1414" s="1" t="s">
        <v>36</v>
      </c>
      <c r="AD1414" s="1" t="s">
        <v>5333</v>
      </c>
      <c r="AE1414" s="1" t="s">
        <v>32</v>
      </c>
      <c r="AF1414" s="1" t="s">
        <v>33</v>
      </c>
      <c r="AG1414" s="1" t="s">
        <v>270</v>
      </c>
    </row>
    <row r="1415" spans="1:33">
      <c r="A1415" t="s">
        <v>5334</v>
      </c>
      <c r="B1415" t="s">
        <v>5335</v>
      </c>
      <c r="C1415" t="s">
        <v>314</v>
      </c>
      <c r="E1415" t="s">
        <v>4960</v>
      </c>
      <c r="F1415" t="s">
        <v>4961</v>
      </c>
      <c r="G1415">
        <v>18.49</v>
      </c>
      <c r="H1415">
        <v>18.49</v>
      </c>
      <c r="I1415" t="s">
        <v>179</v>
      </c>
      <c r="J1415" t="s">
        <v>180</v>
      </c>
      <c r="K1415" t="s">
        <v>31</v>
      </c>
      <c r="L1415" t="s">
        <v>32</v>
      </c>
      <c r="M1415" t="s">
        <v>33</v>
      </c>
      <c r="P1415" s="1" t="s">
        <v>5336</v>
      </c>
      <c r="Q1415" s="1" t="s">
        <v>4960</v>
      </c>
      <c r="R1415" s="1" t="s">
        <v>4960</v>
      </c>
      <c r="S1415" s="1"/>
      <c r="T1415" s="1" t="s">
        <v>314</v>
      </c>
      <c r="U1415" s="1"/>
      <c r="V1415" s="1">
        <v>18.49</v>
      </c>
      <c r="W1415" s="1">
        <v>18.49</v>
      </c>
      <c r="X1415" s="1" t="s">
        <v>35</v>
      </c>
      <c r="Y1415" s="1">
        <v>18490.0</v>
      </c>
      <c r="Z1415" s="1"/>
      <c r="AA1415" s="1">
        <v>18490.0</v>
      </c>
      <c r="AB1415" s="1"/>
      <c r="AC1415" s="1" t="s">
        <v>36</v>
      </c>
      <c r="AD1415" s="1" t="s">
        <v>5333</v>
      </c>
      <c r="AE1415" s="1" t="s">
        <v>32</v>
      </c>
      <c r="AF1415" s="1" t="s">
        <v>33</v>
      </c>
      <c r="AG1415" s="1" t="s">
        <v>180</v>
      </c>
    </row>
    <row r="1416" spans="1:33">
      <c r="A1416" t="s">
        <v>5337</v>
      </c>
      <c r="B1416" t="s">
        <v>5338</v>
      </c>
      <c r="C1416" t="s">
        <v>569</v>
      </c>
      <c r="E1416" t="s">
        <v>4960</v>
      </c>
      <c r="F1416" t="s">
        <v>4961</v>
      </c>
      <c r="G1416">
        <v>47.356</v>
      </c>
      <c r="H1416">
        <v>47.356</v>
      </c>
      <c r="I1416" t="s">
        <v>570</v>
      </c>
      <c r="J1416" t="s">
        <v>571</v>
      </c>
      <c r="K1416" t="s">
        <v>31</v>
      </c>
      <c r="L1416" t="s">
        <v>32</v>
      </c>
      <c r="M1416" t="s">
        <v>33</v>
      </c>
      <c r="P1416" s="1" t="s">
        <v>5339</v>
      </c>
      <c r="Q1416" s="1" t="s">
        <v>4960</v>
      </c>
      <c r="R1416" s="1" t="s">
        <v>4960</v>
      </c>
      <c r="S1416" s="1"/>
      <c r="T1416" s="1" t="s">
        <v>569</v>
      </c>
      <c r="U1416" s="1"/>
      <c r="V1416" s="1">
        <v>47.356</v>
      </c>
      <c r="W1416" s="1">
        <v>47.356</v>
      </c>
      <c r="X1416" s="1" t="s">
        <v>35</v>
      </c>
      <c r="Y1416" s="1">
        <v>47356.0</v>
      </c>
      <c r="Z1416" s="1"/>
      <c r="AA1416" s="1">
        <v>47356.0</v>
      </c>
      <c r="AB1416" s="1"/>
      <c r="AC1416" s="1" t="s">
        <v>36</v>
      </c>
      <c r="AD1416" s="1" t="s">
        <v>5340</v>
      </c>
      <c r="AE1416" s="1" t="s">
        <v>32</v>
      </c>
      <c r="AF1416" s="1" t="s">
        <v>33</v>
      </c>
      <c r="AG1416" s="1" t="s">
        <v>571</v>
      </c>
    </row>
    <row r="1417" spans="1:33">
      <c r="A1417" t="s">
        <v>5341</v>
      </c>
      <c r="C1417" t="s">
        <v>827</v>
      </c>
      <c r="D1417" t="s">
        <v>154</v>
      </c>
      <c r="E1417" t="s">
        <v>4960</v>
      </c>
      <c r="F1417" t="s">
        <v>4961</v>
      </c>
      <c r="G1417">
        <v>984.8</v>
      </c>
      <c r="H1417">
        <v>984.8</v>
      </c>
      <c r="I1417" t="s">
        <v>5029</v>
      </c>
      <c r="J1417" t="s">
        <v>270</v>
      </c>
      <c r="K1417" t="s">
        <v>31</v>
      </c>
      <c r="L1417" t="s">
        <v>32</v>
      </c>
      <c r="M1417" t="s">
        <v>33</v>
      </c>
      <c r="P1417" s="1" t="s">
        <v>5342</v>
      </c>
      <c r="Q1417" s="1" t="s">
        <v>4960</v>
      </c>
      <c r="R1417" s="1" t="s">
        <v>4960</v>
      </c>
      <c r="S1417" s="1"/>
      <c r="T1417" s="1" t="s">
        <v>827</v>
      </c>
      <c r="U1417" s="1"/>
      <c r="V1417" s="1">
        <v>984.8</v>
      </c>
      <c r="W1417" s="1">
        <v>984.8</v>
      </c>
      <c r="X1417" s="1" t="s">
        <v>35</v>
      </c>
      <c r="Y1417" s="1">
        <v>984800.0</v>
      </c>
      <c r="Z1417" s="1"/>
      <c r="AA1417" s="1">
        <v>984800.0</v>
      </c>
      <c r="AB1417" s="1"/>
      <c r="AC1417" s="1" t="s">
        <v>36</v>
      </c>
      <c r="AD1417" s="1" t="s">
        <v>5343</v>
      </c>
      <c r="AE1417" s="1" t="s">
        <v>32</v>
      </c>
      <c r="AF1417" s="1" t="s">
        <v>33</v>
      </c>
      <c r="AG1417" s="1" t="s">
        <v>270</v>
      </c>
    </row>
    <row r="1418" spans="1:33">
      <c r="A1418" t="s">
        <v>5344</v>
      </c>
      <c r="B1418" t="s">
        <v>1924</v>
      </c>
      <c r="C1418" t="s">
        <v>268</v>
      </c>
      <c r="E1418" t="s">
        <v>4960</v>
      </c>
      <c r="F1418" t="s">
        <v>4961</v>
      </c>
      <c r="G1418">
        <v>14.625</v>
      </c>
      <c r="H1418">
        <v>14.625</v>
      </c>
      <c r="I1418" t="s">
        <v>5029</v>
      </c>
      <c r="J1418" t="s">
        <v>270</v>
      </c>
      <c r="K1418" t="s">
        <v>31</v>
      </c>
      <c r="L1418" t="s">
        <v>32</v>
      </c>
      <c r="M1418" t="s">
        <v>33</v>
      </c>
      <c r="P1418" s="1" t="s">
        <v>5345</v>
      </c>
      <c r="Q1418" s="1" t="s">
        <v>4960</v>
      </c>
      <c r="R1418" s="1" t="s">
        <v>4960</v>
      </c>
      <c r="S1418" s="1"/>
      <c r="T1418" s="1" t="s">
        <v>268</v>
      </c>
      <c r="U1418" s="1"/>
      <c r="V1418" s="1">
        <v>14.625</v>
      </c>
      <c r="W1418" s="1">
        <v>14.625</v>
      </c>
      <c r="X1418" s="1" t="s">
        <v>35</v>
      </c>
      <c r="Y1418" s="1">
        <v>14625.0</v>
      </c>
      <c r="Z1418" s="1"/>
      <c r="AA1418" s="1">
        <v>14625.0</v>
      </c>
      <c r="AB1418" s="1"/>
      <c r="AC1418" s="1" t="s">
        <v>36</v>
      </c>
      <c r="AD1418" s="1" t="s">
        <v>5346</v>
      </c>
      <c r="AE1418" s="1" t="s">
        <v>32</v>
      </c>
      <c r="AF1418" s="1" t="s">
        <v>33</v>
      </c>
      <c r="AG1418" s="1" t="s">
        <v>270</v>
      </c>
    </row>
    <row r="1419" spans="1:33">
      <c r="A1419" t="s">
        <v>5347</v>
      </c>
      <c r="C1419" t="s">
        <v>2842</v>
      </c>
      <c r="E1419" t="s">
        <v>4960</v>
      </c>
      <c r="F1419" t="s">
        <v>4961</v>
      </c>
      <c r="G1419">
        <v>360.0</v>
      </c>
      <c r="H1419">
        <v>360.0</v>
      </c>
      <c r="I1419" t="s">
        <v>2206</v>
      </c>
      <c r="J1419" t="s">
        <v>49</v>
      </c>
      <c r="K1419" t="s">
        <v>31</v>
      </c>
      <c r="L1419" t="s">
        <v>32</v>
      </c>
      <c r="M1419" t="s">
        <v>33</v>
      </c>
      <c r="P1419" s="1" t="s">
        <v>5348</v>
      </c>
      <c r="Q1419" s="1" t="s">
        <v>4960</v>
      </c>
      <c r="R1419" s="1" t="s">
        <v>4960</v>
      </c>
      <c r="S1419" s="1"/>
      <c r="T1419" s="1" t="s">
        <v>2842</v>
      </c>
      <c r="U1419" s="1"/>
      <c r="V1419" s="1">
        <v>360.0</v>
      </c>
      <c r="W1419" s="1">
        <v>360.0</v>
      </c>
      <c r="X1419" s="1" t="s">
        <v>35</v>
      </c>
      <c r="Y1419" s="1">
        <v>360000.0</v>
      </c>
      <c r="Z1419" s="1"/>
      <c r="AA1419" s="1">
        <v>360000.0</v>
      </c>
      <c r="AB1419" s="1"/>
      <c r="AC1419" s="1" t="s">
        <v>36</v>
      </c>
      <c r="AD1419" s="1" t="s">
        <v>5349</v>
      </c>
      <c r="AE1419" s="1" t="s">
        <v>32</v>
      </c>
      <c r="AF1419" s="1" t="s">
        <v>33</v>
      </c>
      <c r="AG1419" s="1" t="s">
        <v>49</v>
      </c>
    </row>
    <row r="1420" spans="1:33">
      <c r="A1420" t="s">
        <v>5350</v>
      </c>
      <c r="B1420" t="s">
        <v>5351</v>
      </c>
      <c r="C1420" t="s">
        <v>125</v>
      </c>
      <c r="E1420" t="s">
        <v>4960</v>
      </c>
      <c r="F1420" t="s">
        <v>4961</v>
      </c>
      <c r="G1420">
        <v>33.98</v>
      </c>
      <c r="H1420">
        <v>33.98</v>
      </c>
      <c r="I1420" t="s">
        <v>126</v>
      </c>
      <c r="J1420" t="s">
        <v>127</v>
      </c>
      <c r="K1420" t="s">
        <v>31</v>
      </c>
      <c r="L1420" t="s">
        <v>32</v>
      </c>
      <c r="M1420" t="s">
        <v>33</v>
      </c>
      <c r="P1420" s="1" t="s">
        <v>5352</v>
      </c>
      <c r="Q1420" s="1" t="s">
        <v>4960</v>
      </c>
      <c r="R1420" s="1" t="s">
        <v>4960</v>
      </c>
      <c r="S1420" s="1"/>
      <c r="T1420" s="1" t="s">
        <v>125</v>
      </c>
      <c r="U1420" s="1"/>
      <c r="V1420" s="1">
        <v>33.98</v>
      </c>
      <c r="W1420" s="1">
        <v>33.98</v>
      </c>
      <c r="X1420" s="1" t="s">
        <v>35</v>
      </c>
      <c r="Y1420" s="1">
        <v>33980.0</v>
      </c>
      <c r="Z1420" s="1"/>
      <c r="AA1420" s="1">
        <v>33980.0</v>
      </c>
      <c r="AB1420" s="1"/>
      <c r="AC1420" s="1" t="s">
        <v>36</v>
      </c>
      <c r="AD1420" s="1" t="s">
        <v>5353</v>
      </c>
      <c r="AE1420" s="1" t="s">
        <v>32</v>
      </c>
      <c r="AF1420" s="1" t="s">
        <v>33</v>
      </c>
      <c r="AG1420" s="1" t="s">
        <v>127</v>
      </c>
    </row>
    <row r="1421" spans="1:33">
      <c r="A1421" t="s">
        <v>5354</v>
      </c>
      <c r="C1421" t="s">
        <v>3140</v>
      </c>
      <c r="E1421" t="s">
        <v>4960</v>
      </c>
      <c r="F1421" t="s">
        <v>4961</v>
      </c>
      <c r="G1421">
        <v>131.96</v>
      </c>
      <c r="H1421">
        <v>131.96</v>
      </c>
      <c r="I1421" t="s">
        <v>2206</v>
      </c>
      <c r="J1421" t="s">
        <v>49</v>
      </c>
      <c r="K1421" t="s">
        <v>31</v>
      </c>
      <c r="L1421" t="s">
        <v>32</v>
      </c>
      <c r="M1421" t="s">
        <v>33</v>
      </c>
      <c r="P1421" s="1" t="s">
        <v>5355</v>
      </c>
      <c r="Q1421" s="1" t="s">
        <v>4960</v>
      </c>
      <c r="R1421" s="1" t="s">
        <v>4960</v>
      </c>
      <c r="S1421" s="1"/>
      <c r="T1421" s="1" t="s">
        <v>3140</v>
      </c>
      <c r="U1421" s="1"/>
      <c r="V1421" s="1">
        <v>131.96</v>
      </c>
      <c r="W1421" s="1">
        <v>131.96</v>
      </c>
      <c r="X1421" s="1" t="s">
        <v>35</v>
      </c>
      <c r="Y1421" s="1">
        <v>131960.0</v>
      </c>
      <c r="Z1421" s="1"/>
      <c r="AA1421" s="1">
        <v>131960.0</v>
      </c>
      <c r="AB1421" s="1"/>
      <c r="AC1421" s="1" t="s">
        <v>36</v>
      </c>
      <c r="AD1421" s="1" t="s">
        <v>5356</v>
      </c>
      <c r="AE1421" s="1" t="s">
        <v>32</v>
      </c>
      <c r="AF1421" s="1" t="s">
        <v>33</v>
      </c>
      <c r="AG1421" s="1" t="s">
        <v>49</v>
      </c>
    </row>
    <row r="1422" spans="1:33">
      <c r="A1422" t="s">
        <v>5357</v>
      </c>
      <c r="C1422" t="s">
        <v>866</v>
      </c>
      <c r="D1422" t="s">
        <v>154</v>
      </c>
      <c r="E1422" t="s">
        <v>4960</v>
      </c>
      <c r="F1422" t="s">
        <v>4961</v>
      </c>
      <c r="G1422">
        <v>336.0</v>
      </c>
      <c r="H1422">
        <v>336.0</v>
      </c>
      <c r="I1422" t="s">
        <v>2206</v>
      </c>
      <c r="J1422" t="s">
        <v>49</v>
      </c>
      <c r="K1422" t="s">
        <v>31</v>
      </c>
      <c r="L1422" t="s">
        <v>32</v>
      </c>
      <c r="M1422" t="s">
        <v>33</v>
      </c>
      <c r="P1422" s="1" t="s">
        <v>5358</v>
      </c>
      <c r="Q1422" s="1" t="s">
        <v>4960</v>
      </c>
      <c r="R1422" s="1" t="s">
        <v>4960</v>
      </c>
      <c r="S1422" s="1"/>
      <c r="T1422" s="1" t="s">
        <v>868</v>
      </c>
      <c r="U1422" s="1" t="s">
        <v>869</v>
      </c>
      <c r="V1422" s="1">
        <v>336.0</v>
      </c>
      <c r="W1422" s="1">
        <v>336.0</v>
      </c>
      <c r="X1422" s="1" t="s">
        <v>35</v>
      </c>
      <c r="Y1422" s="1">
        <v>336000.0</v>
      </c>
      <c r="Z1422" s="1"/>
      <c r="AA1422" s="1">
        <v>336000.0</v>
      </c>
      <c r="AB1422" s="1"/>
      <c r="AC1422" s="1" t="s">
        <v>36</v>
      </c>
      <c r="AD1422" s="1" t="s">
        <v>5359</v>
      </c>
      <c r="AE1422" s="1" t="s">
        <v>32</v>
      </c>
      <c r="AF1422" s="1" t="s">
        <v>33</v>
      </c>
      <c r="AG1422" s="1" t="s">
        <v>49</v>
      </c>
    </row>
    <row r="1423" spans="1:33">
      <c r="A1423" t="s">
        <v>5360</v>
      </c>
      <c r="C1423" t="s">
        <v>5361</v>
      </c>
      <c r="E1423" t="s">
        <v>4960</v>
      </c>
      <c r="F1423" t="s">
        <v>4961</v>
      </c>
      <c r="G1423">
        <v>632.0</v>
      </c>
      <c r="H1423">
        <v>632.0</v>
      </c>
      <c r="I1423" t="s">
        <v>126</v>
      </c>
      <c r="J1423" t="s">
        <v>127</v>
      </c>
      <c r="K1423" t="s">
        <v>31</v>
      </c>
      <c r="L1423" t="s">
        <v>32</v>
      </c>
      <c r="M1423" t="s">
        <v>33</v>
      </c>
      <c r="P1423" s="1" t="s">
        <v>5362</v>
      </c>
      <c r="Q1423" s="1" t="s">
        <v>4960</v>
      </c>
      <c r="R1423" s="1" t="s">
        <v>4960</v>
      </c>
      <c r="S1423" s="1"/>
      <c r="T1423" s="1" t="s">
        <v>5361</v>
      </c>
      <c r="U1423" s="1"/>
      <c r="V1423" s="1">
        <v>632.0</v>
      </c>
      <c r="W1423" s="1">
        <v>632.0</v>
      </c>
      <c r="X1423" s="1" t="s">
        <v>35</v>
      </c>
      <c r="Y1423" s="1">
        <v>632000.0</v>
      </c>
      <c r="Z1423" s="1"/>
      <c r="AA1423" s="1">
        <v>632000.0</v>
      </c>
      <c r="AB1423" s="1"/>
      <c r="AC1423" s="1" t="s">
        <v>36</v>
      </c>
      <c r="AD1423" s="1" t="s">
        <v>5363</v>
      </c>
      <c r="AE1423" s="1" t="s">
        <v>32</v>
      </c>
      <c r="AF1423" s="1" t="s">
        <v>33</v>
      </c>
      <c r="AG1423" s="1" t="s">
        <v>127</v>
      </c>
    </row>
    <row r="1424" spans="1:33">
      <c r="A1424" t="s">
        <v>5364</v>
      </c>
      <c r="B1424" t="s">
        <v>57</v>
      </c>
      <c r="C1424" t="s">
        <v>58</v>
      </c>
      <c r="E1424" t="s">
        <v>4960</v>
      </c>
      <c r="F1424" t="s">
        <v>4961</v>
      </c>
      <c r="G1424">
        <v>424.0</v>
      </c>
      <c r="H1424">
        <v>424.0</v>
      </c>
      <c r="I1424" t="s">
        <v>59</v>
      </c>
      <c r="J1424" t="s">
        <v>60</v>
      </c>
      <c r="K1424" t="s">
        <v>31</v>
      </c>
      <c r="L1424" t="s">
        <v>32</v>
      </c>
      <c r="M1424" t="s">
        <v>33</v>
      </c>
      <c r="P1424" s="1" t="s">
        <v>5365</v>
      </c>
      <c r="Q1424" s="1" t="s">
        <v>4960</v>
      </c>
      <c r="R1424" s="1" t="s">
        <v>4960</v>
      </c>
      <c r="S1424" s="1"/>
      <c r="T1424" s="1" t="s">
        <v>58</v>
      </c>
      <c r="U1424" s="1"/>
      <c r="V1424" s="1">
        <v>424.0</v>
      </c>
      <c r="W1424" s="1">
        <v>424.0</v>
      </c>
      <c r="X1424" s="1" t="s">
        <v>35</v>
      </c>
      <c r="Y1424" s="1">
        <v>424000.0</v>
      </c>
      <c r="Z1424" s="1"/>
      <c r="AA1424" s="1">
        <v>424000.0</v>
      </c>
      <c r="AB1424" s="1"/>
      <c r="AC1424" s="1" t="s">
        <v>36</v>
      </c>
      <c r="AD1424" s="1" t="s">
        <v>5343</v>
      </c>
      <c r="AE1424" s="1" t="s">
        <v>32</v>
      </c>
      <c r="AF1424" s="1" t="s">
        <v>33</v>
      </c>
      <c r="AG1424" s="1" t="s">
        <v>60</v>
      </c>
    </row>
    <row r="1425" spans="1:33">
      <c r="A1425" t="s">
        <v>5366</v>
      </c>
      <c r="B1425" t="s">
        <v>5367</v>
      </c>
      <c r="C1425" t="s">
        <v>125</v>
      </c>
      <c r="E1425" t="s">
        <v>4960</v>
      </c>
      <c r="F1425" t="s">
        <v>4961</v>
      </c>
      <c r="G1425">
        <v>129.96</v>
      </c>
      <c r="H1425">
        <v>129.96</v>
      </c>
      <c r="I1425" t="s">
        <v>126</v>
      </c>
      <c r="J1425" t="s">
        <v>127</v>
      </c>
      <c r="K1425" t="s">
        <v>31</v>
      </c>
      <c r="L1425" t="s">
        <v>32</v>
      </c>
      <c r="M1425" t="s">
        <v>33</v>
      </c>
      <c r="P1425" s="1" t="s">
        <v>5368</v>
      </c>
      <c r="Q1425" s="1" t="s">
        <v>4960</v>
      </c>
      <c r="R1425" s="1" t="s">
        <v>4960</v>
      </c>
      <c r="S1425" s="1"/>
      <c r="T1425" s="1" t="s">
        <v>125</v>
      </c>
      <c r="U1425" s="1"/>
      <c r="V1425" s="1">
        <v>129.96</v>
      </c>
      <c r="W1425" s="1">
        <v>129.96</v>
      </c>
      <c r="X1425" s="1" t="s">
        <v>35</v>
      </c>
      <c r="Y1425" s="1">
        <v>130000.0</v>
      </c>
      <c r="Z1425" s="1">
        <v>-40</v>
      </c>
      <c r="AA1425" s="1">
        <v>130000.0</v>
      </c>
      <c r="AB1425" s="1">
        <v>-40</v>
      </c>
      <c r="AC1425" s="1" t="s">
        <v>36</v>
      </c>
      <c r="AD1425" s="1" t="s">
        <v>5251</v>
      </c>
      <c r="AE1425" s="1" t="s">
        <v>32</v>
      </c>
      <c r="AF1425" s="1" t="s">
        <v>33</v>
      </c>
      <c r="AG1425" s="1" t="s">
        <v>127</v>
      </c>
    </row>
    <row r="1426" spans="1:33">
      <c r="A1426" t="s">
        <v>5369</v>
      </c>
      <c r="C1426" t="s">
        <v>131</v>
      </c>
      <c r="E1426" t="s">
        <v>4960</v>
      </c>
      <c r="F1426" t="s">
        <v>4961</v>
      </c>
      <c r="G1426">
        <v>470.0</v>
      </c>
      <c r="H1426">
        <v>470.0</v>
      </c>
      <c r="I1426" t="s">
        <v>94</v>
      </c>
      <c r="J1426" t="s">
        <v>95</v>
      </c>
      <c r="K1426" t="s">
        <v>31</v>
      </c>
      <c r="L1426" t="s">
        <v>32</v>
      </c>
      <c r="M1426" t="s">
        <v>33</v>
      </c>
      <c r="P1426" s="1" t="s">
        <v>5370</v>
      </c>
      <c r="Q1426" s="1" t="s">
        <v>4960</v>
      </c>
      <c r="R1426" s="1" t="s">
        <v>4960</v>
      </c>
      <c r="S1426" s="1"/>
      <c r="T1426" s="1" t="s">
        <v>131</v>
      </c>
      <c r="U1426" s="1"/>
      <c r="V1426" s="1">
        <v>470.0</v>
      </c>
      <c r="W1426" s="1">
        <v>470.0</v>
      </c>
      <c r="X1426" s="1" t="s">
        <v>35</v>
      </c>
      <c r="Y1426" s="1">
        <v>470000.0</v>
      </c>
      <c r="Z1426" s="1"/>
      <c r="AA1426" s="1">
        <v>470000.0</v>
      </c>
      <c r="AB1426" s="1"/>
      <c r="AC1426" s="1" t="s">
        <v>36</v>
      </c>
      <c r="AD1426" s="1" t="s">
        <v>5371</v>
      </c>
      <c r="AE1426" s="1" t="s">
        <v>32</v>
      </c>
      <c r="AF1426" s="1" t="s">
        <v>33</v>
      </c>
      <c r="AG1426" s="1" t="s">
        <v>95</v>
      </c>
    </row>
    <row r="1427" spans="1:33">
      <c r="A1427" t="s">
        <v>5372</v>
      </c>
      <c r="C1427" t="s">
        <v>2474</v>
      </c>
      <c r="E1427" t="s">
        <v>4960</v>
      </c>
      <c r="F1427" t="s">
        <v>4961</v>
      </c>
      <c r="G1427">
        <v>1.012</v>
      </c>
      <c r="H1427">
        <v>1.012</v>
      </c>
      <c r="I1427" t="s">
        <v>179</v>
      </c>
      <c r="J1427" t="s">
        <v>180</v>
      </c>
      <c r="K1427" t="s">
        <v>31</v>
      </c>
      <c r="L1427" t="s">
        <v>32</v>
      </c>
      <c r="M1427" t="s">
        <v>33</v>
      </c>
      <c r="P1427" s="1" t="s">
        <v>5373</v>
      </c>
      <c r="Q1427" s="1" t="s">
        <v>4960</v>
      </c>
      <c r="R1427" s="1" t="s">
        <v>4960</v>
      </c>
      <c r="S1427" s="1"/>
      <c r="T1427" s="1" t="s">
        <v>2474</v>
      </c>
      <c r="U1427" s="1"/>
      <c r="V1427" s="1">
        <v>1.012</v>
      </c>
      <c r="W1427" s="1">
        <v>1.012</v>
      </c>
      <c r="X1427" s="1" t="s">
        <v>35</v>
      </c>
      <c r="Y1427" s="1">
        <v>1012700.0</v>
      </c>
      <c r="Z1427" s="1"/>
      <c r="AA1427" s="1">
        <v>1012700.0</v>
      </c>
      <c r="AB1427" s="1"/>
      <c r="AC1427" s="1" t="s">
        <v>36</v>
      </c>
      <c r="AD1427" s="1" t="s">
        <v>5374</v>
      </c>
      <c r="AE1427" s="1" t="s">
        <v>32</v>
      </c>
      <c r="AF1427" s="1" t="s">
        <v>33</v>
      </c>
      <c r="AG1427" s="1" t="s">
        <v>180</v>
      </c>
    </row>
    <row r="1428" spans="1:33">
      <c r="A1428" t="s">
        <v>5375</v>
      </c>
      <c r="C1428" t="s">
        <v>5376</v>
      </c>
      <c r="D1428" t="s">
        <v>154</v>
      </c>
      <c r="E1428" t="s">
        <v>4960</v>
      </c>
      <c r="F1428" t="s">
        <v>4961</v>
      </c>
      <c r="G1428">
        <v>320.0</v>
      </c>
      <c r="H1428">
        <v>320.0</v>
      </c>
      <c r="I1428" t="s">
        <v>40</v>
      </c>
      <c r="J1428" t="s">
        <v>41</v>
      </c>
      <c r="K1428" t="s">
        <v>31</v>
      </c>
      <c r="L1428" t="s">
        <v>32</v>
      </c>
      <c r="M1428" t="s">
        <v>33</v>
      </c>
      <c r="P1428" s="1" t="s">
        <v>5377</v>
      </c>
      <c r="Q1428" s="1" t="s">
        <v>4960</v>
      </c>
      <c r="R1428" s="1" t="s">
        <v>5052</v>
      </c>
      <c r="S1428" s="1"/>
      <c r="T1428" s="1" t="s">
        <v>5376</v>
      </c>
      <c r="U1428" s="1"/>
      <c r="V1428" s="1">
        <v>320.0</v>
      </c>
      <c r="W1428" s="1">
        <v>320.0</v>
      </c>
      <c r="X1428" s="1" t="s">
        <v>35</v>
      </c>
      <c r="Y1428" s="1">
        <v>320000.0</v>
      </c>
      <c r="Z1428" s="1"/>
      <c r="AA1428" s="1">
        <v>320000.0</v>
      </c>
      <c r="AB1428" s="1"/>
      <c r="AC1428" s="1" t="s">
        <v>36</v>
      </c>
      <c r="AD1428" s="1" t="s">
        <v>5378</v>
      </c>
      <c r="AE1428" s="1" t="s">
        <v>32</v>
      </c>
      <c r="AF1428" s="1" t="s">
        <v>33</v>
      </c>
      <c r="AG1428" s="1" t="s">
        <v>41</v>
      </c>
    </row>
    <row r="1429" spans="1:33">
      <c r="A1429" t="s">
        <v>5379</v>
      </c>
      <c r="C1429" t="s">
        <v>558</v>
      </c>
      <c r="D1429" t="s">
        <v>154</v>
      </c>
      <c r="E1429" t="s">
        <v>4960</v>
      </c>
      <c r="F1429" t="s">
        <v>4961</v>
      </c>
      <c r="G1429">
        <v>31.25</v>
      </c>
      <c r="H1429">
        <v>31.25</v>
      </c>
      <c r="I1429" t="s">
        <v>5029</v>
      </c>
      <c r="J1429" t="s">
        <v>270</v>
      </c>
      <c r="K1429" t="s">
        <v>31</v>
      </c>
      <c r="L1429" t="s">
        <v>32</v>
      </c>
      <c r="M1429" t="s">
        <v>33</v>
      </c>
      <c r="P1429" s="1" t="s">
        <v>5380</v>
      </c>
      <c r="Q1429" s="1" t="s">
        <v>4960</v>
      </c>
      <c r="R1429" s="1" t="s">
        <v>4960</v>
      </c>
      <c r="S1429" s="1"/>
      <c r="T1429" s="1" t="s">
        <v>560</v>
      </c>
      <c r="U1429" s="1" t="s">
        <v>561</v>
      </c>
      <c r="V1429" s="1">
        <v>31.25</v>
      </c>
      <c r="W1429" s="1">
        <v>31.25</v>
      </c>
      <c r="X1429" s="1" t="s">
        <v>35</v>
      </c>
      <c r="Y1429" s="1">
        <v>31250.0</v>
      </c>
      <c r="Z1429" s="1"/>
      <c r="AA1429" s="1">
        <v>31250.0</v>
      </c>
      <c r="AB1429" s="1"/>
      <c r="AC1429" s="1" t="s">
        <v>36</v>
      </c>
      <c r="AD1429" s="1" t="s">
        <v>5381</v>
      </c>
      <c r="AE1429" s="1" t="s">
        <v>32</v>
      </c>
      <c r="AF1429" s="1" t="s">
        <v>33</v>
      </c>
      <c r="AG1429" s="1" t="s">
        <v>270</v>
      </c>
    </row>
    <row r="1430" spans="1:33">
      <c r="A1430" t="s">
        <v>5382</v>
      </c>
      <c r="B1430" t="s">
        <v>5383</v>
      </c>
      <c r="C1430" t="s">
        <v>268</v>
      </c>
      <c r="E1430" t="s">
        <v>4960</v>
      </c>
      <c r="F1430" t="s">
        <v>4961</v>
      </c>
      <c r="G1430">
        <v>32.85</v>
      </c>
      <c r="H1430">
        <v>32.85</v>
      </c>
      <c r="I1430" t="s">
        <v>5029</v>
      </c>
      <c r="J1430" t="s">
        <v>270</v>
      </c>
      <c r="K1430" t="s">
        <v>31</v>
      </c>
      <c r="L1430" t="s">
        <v>32</v>
      </c>
      <c r="M1430" t="s">
        <v>33</v>
      </c>
      <c r="P1430" s="1" t="s">
        <v>5384</v>
      </c>
      <c r="Q1430" s="1" t="s">
        <v>4960</v>
      </c>
      <c r="R1430" s="1" t="s">
        <v>4960</v>
      </c>
      <c r="S1430" s="1"/>
      <c r="T1430" s="1" t="s">
        <v>268</v>
      </c>
      <c r="U1430" s="1"/>
      <c r="V1430" s="1">
        <v>32.85</v>
      </c>
      <c r="W1430" s="1">
        <v>32.85</v>
      </c>
      <c r="X1430" s="1" t="s">
        <v>35</v>
      </c>
      <c r="Y1430" s="1">
        <v>32850.0</v>
      </c>
      <c r="Z1430" s="1"/>
      <c r="AA1430" s="1">
        <v>32850.0</v>
      </c>
      <c r="AB1430" s="1"/>
      <c r="AC1430" s="1" t="s">
        <v>36</v>
      </c>
      <c r="AD1430" s="1" t="s">
        <v>5385</v>
      </c>
      <c r="AE1430" s="1" t="s">
        <v>32</v>
      </c>
      <c r="AF1430" s="1" t="s">
        <v>33</v>
      </c>
      <c r="AG1430" s="1" t="s">
        <v>270</v>
      </c>
    </row>
    <row r="1431" spans="1:33">
      <c r="A1431" t="s">
        <v>5386</v>
      </c>
      <c r="B1431" t="s">
        <v>5387</v>
      </c>
      <c r="C1431" t="s">
        <v>131</v>
      </c>
      <c r="E1431" t="s">
        <v>4960</v>
      </c>
      <c r="F1431" t="s">
        <v>4961</v>
      </c>
      <c r="G1431">
        <v>28.49</v>
      </c>
      <c r="H1431">
        <v>28.49</v>
      </c>
      <c r="I1431" t="s">
        <v>94</v>
      </c>
      <c r="J1431" t="s">
        <v>95</v>
      </c>
      <c r="K1431" t="s">
        <v>31</v>
      </c>
      <c r="L1431" t="s">
        <v>32</v>
      </c>
      <c r="M1431" t="s">
        <v>33</v>
      </c>
      <c r="P1431" s="1" t="s">
        <v>5388</v>
      </c>
      <c r="Q1431" s="1" t="s">
        <v>4960</v>
      </c>
      <c r="R1431" s="1" t="s">
        <v>4960</v>
      </c>
      <c r="S1431" s="1"/>
      <c r="T1431" s="1" t="s">
        <v>131</v>
      </c>
      <c r="U1431" s="1"/>
      <c r="V1431" s="1">
        <v>28.49</v>
      </c>
      <c r="W1431" s="1">
        <v>28.49</v>
      </c>
      <c r="X1431" s="1" t="s">
        <v>35</v>
      </c>
      <c r="Y1431" s="1">
        <v>28490.0</v>
      </c>
      <c r="Z1431" s="1"/>
      <c r="AA1431" s="1">
        <v>28490.0</v>
      </c>
      <c r="AB1431" s="1"/>
      <c r="AC1431" s="1" t="s">
        <v>36</v>
      </c>
      <c r="AD1431" s="1" t="s">
        <v>5389</v>
      </c>
      <c r="AE1431" s="1" t="s">
        <v>32</v>
      </c>
      <c r="AF1431" s="1" t="s">
        <v>33</v>
      </c>
      <c r="AG1431" s="1" t="s">
        <v>95</v>
      </c>
    </row>
    <row r="1432" spans="1:33">
      <c r="A1432" t="s">
        <v>5390</v>
      </c>
      <c r="B1432" t="s">
        <v>5391</v>
      </c>
      <c r="C1432" t="s">
        <v>131</v>
      </c>
      <c r="E1432" t="s">
        <v>4960</v>
      </c>
      <c r="F1432" t="s">
        <v>4961</v>
      </c>
      <c r="G1432">
        <v>20.99</v>
      </c>
      <c r="H1432">
        <v>20.99</v>
      </c>
      <c r="I1432" t="s">
        <v>94</v>
      </c>
      <c r="J1432" t="s">
        <v>95</v>
      </c>
      <c r="K1432" t="s">
        <v>31</v>
      </c>
      <c r="L1432" t="s">
        <v>32</v>
      </c>
      <c r="M1432" t="s">
        <v>33</v>
      </c>
      <c r="P1432" s="1" t="s">
        <v>5392</v>
      </c>
      <c r="Q1432" s="1" t="s">
        <v>4960</v>
      </c>
      <c r="R1432" s="1" t="s">
        <v>4960</v>
      </c>
      <c r="S1432" s="1"/>
      <c r="T1432" s="1" t="s">
        <v>131</v>
      </c>
      <c r="U1432" s="1"/>
      <c r="V1432" s="1">
        <v>20.99</v>
      </c>
      <c r="W1432" s="1">
        <v>20.99</v>
      </c>
      <c r="X1432" s="1" t="s">
        <v>35</v>
      </c>
      <c r="Y1432" s="1">
        <v>20990.0</v>
      </c>
      <c r="Z1432" s="1"/>
      <c r="AA1432" s="1">
        <v>20990.0</v>
      </c>
      <c r="AB1432" s="1"/>
      <c r="AC1432" s="1" t="s">
        <v>36</v>
      </c>
      <c r="AD1432" s="1" t="s">
        <v>5393</v>
      </c>
      <c r="AE1432" s="1" t="s">
        <v>32</v>
      </c>
      <c r="AF1432" s="1" t="s">
        <v>33</v>
      </c>
      <c r="AG1432" s="1" t="s">
        <v>95</v>
      </c>
    </row>
    <row r="1433" spans="1:33">
      <c r="A1433" t="s">
        <v>5394</v>
      </c>
      <c r="B1433" t="s">
        <v>5395</v>
      </c>
      <c r="C1433" t="s">
        <v>125</v>
      </c>
      <c r="E1433" t="s">
        <v>4960</v>
      </c>
      <c r="F1433" t="s">
        <v>4961</v>
      </c>
      <c r="G1433">
        <v>230.9</v>
      </c>
      <c r="H1433">
        <v>230.9</v>
      </c>
      <c r="I1433" t="s">
        <v>126</v>
      </c>
      <c r="J1433" t="s">
        <v>127</v>
      </c>
      <c r="K1433" t="s">
        <v>31</v>
      </c>
      <c r="L1433" t="s">
        <v>32</v>
      </c>
      <c r="M1433" t="s">
        <v>33</v>
      </c>
      <c r="P1433" s="1" t="s">
        <v>5396</v>
      </c>
      <c r="Q1433" s="1" t="s">
        <v>4960</v>
      </c>
      <c r="R1433" s="1" t="s">
        <v>4960</v>
      </c>
      <c r="S1433" s="1"/>
      <c r="T1433" s="1" t="s">
        <v>125</v>
      </c>
      <c r="U1433" s="1"/>
      <c r="V1433" s="1">
        <v>230.9</v>
      </c>
      <c r="W1433" s="1">
        <v>230.9</v>
      </c>
      <c r="X1433" s="1" t="s">
        <v>35</v>
      </c>
      <c r="Y1433" s="1">
        <v>230900.0</v>
      </c>
      <c r="Z1433" s="1"/>
      <c r="AA1433" s="1">
        <v>230900.0</v>
      </c>
      <c r="AB1433" s="1"/>
      <c r="AC1433" s="1" t="s">
        <v>36</v>
      </c>
      <c r="AD1433" s="1" t="s">
        <v>5397</v>
      </c>
      <c r="AE1433" s="1" t="s">
        <v>32</v>
      </c>
      <c r="AF1433" s="1" t="s">
        <v>33</v>
      </c>
      <c r="AG1433" s="1" t="s">
        <v>127</v>
      </c>
    </row>
    <row r="1434" spans="1:33">
      <c r="A1434" t="s">
        <v>5398</v>
      </c>
      <c r="C1434" t="s">
        <v>984</v>
      </c>
      <c r="E1434" t="s">
        <v>4960</v>
      </c>
      <c r="F1434" t="s">
        <v>4961</v>
      </c>
      <c r="G1434">
        <v>492.0</v>
      </c>
      <c r="H1434">
        <v>492.0</v>
      </c>
      <c r="I1434" t="s">
        <v>5029</v>
      </c>
      <c r="J1434" t="s">
        <v>270</v>
      </c>
      <c r="K1434" t="s">
        <v>31</v>
      </c>
      <c r="L1434" t="s">
        <v>32</v>
      </c>
      <c r="M1434" t="s">
        <v>33</v>
      </c>
      <c r="P1434" s="1" t="s">
        <v>5399</v>
      </c>
      <c r="Q1434" s="1" t="s">
        <v>4960</v>
      </c>
      <c r="R1434" s="1" t="s">
        <v>4960</v>
      </c>
      <c r="S1434" s="1"/>
      <c r="T1434" s="1" t="s">
        <v>984</v>
      </c>
      <c r="U1434" s="1"/>
      <c r="V1434" s="1">
        <v>492.0</v>
      </c>
      <c r="W1434" s="1">
        <v>492.0</v>
      </c>
      <c r="X1434" s="1" t="s">
        <v>35</v>
      </c>
      <c r="Y1434" s="1">
        <v>492000.0</v>
      </c>
      <c r="Z1434" s="1"/>
      <c r="AA1434" s="1">
        <v>492000.0</v>
      </c>
      <c r="AB1434" s="1"/>
      <c r="AC1434" s="1" t="s">
        <v>36</v>
      </c>
      <c r="AD1434" s="1" t="s">
        <v>5400</v>
      </c>
      <c r="AE1434" s="1" t="s">
        <v>32</v>
      </c>
      <c r="AF1434" s="1" t="s">
        <v>33</v>
      </c>
      <c r="AG1434" s="1" t="s">
        <v>270</v>
      </c>
    </row>
    <row r="1435" spans="1:33">
      <c r="A1435" t="s">
        <v>5401</v>
      </c>
      <c r="C1435" t="s">
        <v>763</v>
      </c>
      <c r="E1435" t="s">
        <v>4960</v>
      </c>
      <c r="F1435" t="s">
        <v>4961</v>
      </c>
      <c r="G1435">
        <v>748.0</v>
      </c>
      <c r="H1435">
        <v>748.0</v>
      </c>
      <c r="I1435" t="s">
        <v>179</v>
      </c>
      <c r="J1435" t="s">
        <v>180</v>
      </c>
      <c r="K1435" t="s">
        <v>31</v>
      </c>
      <c r="L1435" t="s">
        <v>32</v>
      </c>
      <c r="M1435" t="s">
        <v>33</v>
      </c>
      <c r="P1435" s="1" t="s">
        <v>5402</v>
      </c>
      <c r="Q1435" s="1" t="s">
        <v>4960</v>
      </c>
      <c r="R1435" s="1" t="s">
        <v>4960</v>
      </c>
      <c r="S1435" s="1"/>
      <c r="T1435" s="1" t="s">
        <v>763</v>
      </c>
      <c r="U1435" s="1"/>
      <c r="V1435" s="1">
        <v>748.0</v>
      </c>
      <c r="W1435" s="1">
        <v>748.0</v>
      </c>
      <c r="X1435" s="1" t="s">
        <v>35</v>
      </c>
      <c r="Y1435" s="1">
        <v>748000.0</v>
      </c>
      <c r="Z1435" s="1"/>
      <c r="AA1435" s="1">
        <v>748000.0</v>
      </c>
      <c r="AB1435" s="1"/>
      <c r="AC1435" s="1" t="s">
        <v>36</v>
      </c>
      <c r="AD1435" s="1" t="s">
        <v>5403</v>
      </c>
      <c r="AE1435" s="1" t="s">
        <v>32</v>
      </c>
      <c r="AF1435" s="1" t="s">
        <v>33</v>
      </c>
      <c r="AG1435" s="1" t="s">
        <v>180</v>
      </c>
    </row>
    <row r="1436" spans="1:33">
      <c r="A1436" t="s">
        <v>5404</v>
      </c>
      <c r="B1436" t="s">
        <v>5405</v>
      </c>
      <c r="C1436" t="s">
        <v>314</v>
      </c>
      <c r="E1436" t="s">
        <v>4960</v>
      </c>
      <c r="F1436" t="s">
        <v>4961</v>
      </c>
      <c r="G1436">
        <v>155.64</v>
      </c>
      <c r="H1436">
        <v>155.64</v>
      </c>
      <c r="I1436" t="s">
        <v>179</v>
      </c>
      <c r="J1436" t="s">
        <v>180</v>
      </c>
      <c r="K1436" t="s">
        <v>31</v>
      </c>
      <c r="L1436" t="s">
        <v>32</v>
      </c>
      <c r="M1436" t="s">
        <v>33</v>
      </c>
      <c r="P1436" s="1" t="s">
        <v>5406</v>
      </c>
      <c r="Q1436" s="1" t="s">
        <v>4960</v>
      </c>
      <c r="R1436" s="1" t="s">
        <v>4960</v>
      </c>
      <c r="S1436" s="1"/>
      <c r="T1436" s="1" t="s">
        <v>314</v>
      </c>
      <c r="U1436" s="1"/>
      <c r="V1436" s="1">
        <v>155.64</v>
      </c>
      <c r="W1436" s="1">
        <v>155.64</v>
      </c>
      <c r="X1436" s="1" t="s">
        <v>35</v>
      </c>
      <c r="Y1436" s="1">
        <v>155640.0</v>
      </c>
      <c r="Z1436" s="1"/>
      <c r="AA1436" s="1">
        <v>155640.0</v>
      </c>
      <c r="AB1436" s="1"/>
      <c r="AC1436" s="1" t="s">
        <v>36</v>
      </c>
      <c r="AD1436" s="1" t="s">
        <v>5407</v>
      </c>
      <c r="AE1436" s="1" t="s">
        <v>32</v>
      </c>
      <c r="AF1436" s="1" t="s">
        <v>33</v>
      </c>
      <c r="AG1436" s="1" t="s">
        <v>180</v>
      </c>
    </row>
    <row r="1437" spans="1:33">
      <c r="A1437" t="s">
        <v>5408</v>
      </c>
      <c r="C1437" t="s">
        <v>617</v>
      </c>
      <c r="E1437" t="s">
        <v>4960</v>
      </c>
      <c r="F1437" t="s">
        <v>4961</v>
      </c>
      <c r="G1437">
        <v>630.0</v>
      </c>
      <c r="H1437">
        <v>630.0</v>
      </c>
      <c r="I1437" t="s">
        <v>40</v>
      </c>
      <c r="J1437" t="s">
        <v>41</v>
      </c>
      <c r="K1437" t="s">
        <v>31</v>
      </c>
      <c r="L1437" t="s">
        <v>32</v>
      </c>
      <c r="M1437" t="s">
        <v>33</v>
      </c>
      <c r="P1437" s="1" t="s">
        <v>5409</v>
      </c>
      <c r="Q1437" s="1" t="s">
        <v>4960</v>
      </c>
      <c r="R1437" s="1" t="s">
        <v>5052</v>
      </c>
      <c r="S1437" s="1"/>
      <c r="T1437" s="1" t="s">
        <v>619</v>
      </c>
      <c r="U1437" s="1" t="s">
        <v>620</v>
      </c>
      <c r="V1437" s="1">
        <v>630.0</v>
      </c>
      <c r="W1437" s="1">
        <v>630.0</v>
      </c>
      <c r="X1437" s="1" t="s">
        <v>35</v>
      </c>
      <c r="Y1437" s="1">
        <v>630000.0</v>
      </c>
      <c r="Z1437" s="1"/>
      <c r="AA1437" s="1">
        <v>630000.0</v>
      </c>
      <c r="AB1437" s="1"/>
      <c r="AC1437" s="1" t="s">
        <v>36</v>
      </c>
      <c r="AD1437" s="1" t="s">
        <v>5410</v>
      </c>
      <c r="AE1437" s="1" t="s">
        <v>32</v>
      </c>
      <c r="AF1437" s="1" t="s">
        <v>33</v>
      </c>
      <c r="AG1437" s="1" t="s">
        <v>41</v>
      </c>
    </row>
    <row r="1438" spans="1:33">
      <c r="A1438" t="s">
        <v>5411</v>
      </c>
      <c r="C1438" t="s">
        <v>5412</v>
      </c>
      <c r="E1438" t="s">
        <v>4960</v>
      </c>
      <c r="F1438" t="s">
        <v>4961</v>
      </c>
      <c r="G1438">
        <v>706.5</v>
      </c>
      <c r="H1438">
        <v>706.5</v>
      </c>
      <c r="I1438" t="s">
        <v>126</v>
      </c>
      <c r="J1438" t="s">
        <v>127</v>
      </c>
      <c r="K1438" t="s">
        <v>31</v>
      </c>
      <c r="L1438" t="s">
        <v>32</v>
      </c>
      <c r="M1438" t="s">
        <v>33</v>
      </c>
      <c r="P1438" s="1" t="s">
        <v>5413</v>
      </c>
      <c r="Q1438" s="1" t="s">
        <v>4960</v>
      </c>
      <c r="R1438" s="1" t="s">
        <v>4960</v>
      </c>
      <c r="S1438" s="1"/>
      <c r="T1438" s="1" t="s">
        <v>5414</v>
      </c>
      <c r="U1438" s="1" t="s">
        <v>5415</v>
      </c>
      <c r="V1438" s="1">
        <v>706.5</v>
      </c>
      <c r="W1438" s="1">
        <v>706.5</v>
      </c>
      <c r="X1438" s="1" t="s">
        <v>35</v>
      </c>
      <c r="Y1438" s="1">
        <v>706500.0</v>
      </c>
      <c r="Z1438" s="1"/>
      <c r="AA1438" s="1">
        <v>706500.0</v>
      </c>
      <c r="AB1438" s="1"/>
      <c r="AC1438" s="1" t="s">
        <v>36</v>
      </c>
      <c r="AD1438" s="1" t="s">
        <v>5416</v>
      </c>
      <c r="AE1438" s="1" t="s">
        <v>32</v>
      </c>
      <c r="AF1438" s="1" t="s">
        <v>33</v>
      </c>
      <c r="AG1438" s="1" t="s">
        <v>127</v>
      </c>
    </row>
    <row r="1439" spans="1:33">
      <c r="A1439" t="s">
        <v>5417</v>
      </c>
      <c r="B1439" t="s">
        <v>5418</v>
      </c>
      <c r="C1439" t="s">
        <v>73</v>
      </c>
      <c r="E1439" t="s">
        <v>4960</v>
      </c>
      <c r="F1439" t="s">
        <v>4961</v>
      </c>
      <c r="G1439">
        <v>11.816</v>
      </c>
      <c r="H1439">
        <v>11.816</v>
      </c>
      <c r="I1439" t="s">
        <v>40</v>
      </c>
      <c r="J1439" t="s">
        <v>41</v>
      </c>
      <c r="K1439" t="s">
        <v>31</v>
      </c>
      <c r="L1439" t="s">
        <v>32</v>
      </c>
      <c r="M1439" t="s">
        <v>33</v>
      </c>
      <c r="P1439" s="1" t="s">
        <v>5419</v>
      </c>
      <c r="Q1439" s="1" t="s">
        <v>4960</v>
      </c>
      <c r="R1439" s="1" t="s">
        <v>5052</v>
      </c>
      <c r="S1439" s="1"/>
      <c r="T1439" s="1" t="s">
        <v>75</v>
      </c>
      <c r="U1439" s="1" t="s">
        <v>76</v>
      </c>
      <c r="V1439" s="1">
        <v>11.816</v>
      </c>
      <c r="W1439" s="1">
        <v>11.816</v>
      </c>
      <c r="X1439" s="1" t="s">
        <v>35</v>
      </c>
      <c r="Y1439" s="1">
        <v>11816.0</v>
      </c>
      <c r="Z1439" s="1"/>
      <c r="AA1439" s="1">
        <v>11816.0</v>
      </c>
      <c r="AB1439" s="1"/>
      <c r="AC1439" s="1" t="s">
        <v>36</v>
      </c>
      <c r="AD1439" s="1" t="s">
        <v>5403</v>
      </c>
      <c r="AE1439" s="1" t="s">
        <v>32</v>
      </c>
      <c r="AF1439" s="1" t="s">
        <v>33</v>
      </c>
      <c r="AG1439" s="1" t="s">
        <v>41</v>
      </c>
    </row>
    <row r="1440" spans="1:33">
      <c r="A1440" t="s">
        <v>5420</v>
      </c>
      <c r="C1440" t="s">
        <v>1197</v>
      </c>
      <c r="D1440" t="s">
        <v>154</v>
      </c>
      <c r="E1440" t="s">
        <v>4960</v>
      </c>
      <c r="F1440" t="s">
        <v>4961</v>
      </c>
      <c r="G1440">
        <v>652.0</v>
      </c>
      <c r="H1440">
        <v>652.0</v>
      </c>
      <c r="I1440" t="s">
        <v>5029</v>
      </c>
      <c r="J1440" t="s">
        <v>270</v>
      </c>
      <c r="K1440" t="s">
        <v>31</v>
      </c>
      <c r="L1440" t="s">
        <v>32</v>
      </c>
      <c r="M1440" t="s">
        <v>33</v>
      </c>
      <c r="P1440" s="1" t="s">
        <v>5421</v>
      </c>
      <c r="Q1440" s="1" t="s">
        <v>4960</v>
      </c>
      <c r="R1440" s="1" t="s">
        <v>4960</v>
      </c>
      <c r="S1440" s="1"/>
      <c r="T1440" s="1" t="s">
        <v>1197</v>
      </c>
      <c r="U1440" s="1"/>
      <c r="V1440" s="1">
        <v>652.0</v>
      </c>
      <c r="W1440" s="1">
        <v>652.0</v>
      </c>
      <c r="X1440" s="1" t="s">
        <v>35</v>
      </c>
      <c r="Y1440" s="1">
        <v>652000.0</v>
      </c>
      <c r="Z1440" s="1"/>
      <c r="AA1440" s="1">
        <v>652000.0</v>
      </c>
      <c r="AB1440" s="1"/>
      <c r="AC1440" s="1" t="s">
        <v>36</v>
      </c>
      <c r="AD1440" s="1" t="s">
        <v>5422</v>
      </c>
      <c r="AE1440" s="1" t="s">
        <v>32</v>
      </c>
      <c r="AF1440" s="1" t="s">
        <v>33</v>
      </c>
      <c r="AG1440" s="1" t="s">
        <v>270</v>
      </c>
    </row>
    <row r="1441" spans="1:33">
      <c r="A1441" t="s">
        <v>5423</v>
      </c>
      <c r="C1441" t="s">
        <v>831</v>
      </c>
      <c r="D1441" t="s">
        <v>114</v>
      </c>
      <c r="E1441" t="s">
        <v>4960</v>
      </c>
      <c r="F1441" t="s">
        <v>4961</v>
      </c>
      <c r="G1441">
        <v>40.49</v>
      </c>
      <c r="H1441">
        <v>40.49</v>
      </c>
      <c r="I1441" t="s">
        <v>40</v>
      </c>
      <c r="J1441" t="s">
        <v>41</v>
      </c>
      <c r="K1441" t="s">
        <v>31</v>
      </c>
      <c r="L1441" t="s">
        <v>32</v>
      </c>
      <c r="M1441" t="s">
        <v>33</v>
      </c>
      <c r="P1441" s="1" t="s">
        <v>5424</v>
      </c>
      <c r="Q1441" s="1" t="s">
        <v>4960</v>
      </c>
      <c r="R1441" s="1" t="s">
        <v>5052</v>
      </c>
      <c r="S1441" s="1"/>
      <c r="T1441" s="1" t="s">
        <v>831</v>
      </c>
      <c r="U1441" s="1"/>
      <c r="V1441" s="1">
        <v>40.49</v>
      </c>
      <c r="W1441" s="1">
        <v>40.49</v>
      </c>
      <c r="X1441" s="1" t="s">
        <v>35</v>
      </c>
      <c r="Y1441" s="1">
        <v>40490.0</v>
      </c>
      <c r="Z1441" s="1"/>
      <c r="AA1441" s="1">
        <v>40490.0</v>
      </c>
      <c r="AB1441" s="1"/>
      <c r="AC1441" s="1" t="s">
        <v>36</v>
      </c>
      <c r="AD1441" s="1" t="s">
        <v>5407</v>
      </c>
      <c r="AE1441" s="1" t="s">
        <v>32</v>
      </c>
      <c r="AF1441" s="1" t="s">
        <v>33</v>
      </c>
      <c r="AG1441" s="1" t="s">
        <v>41</v>
      </c>
    </row>
    <row r="1442" spans="1:33">
      <c r="A1442" t="s">
        <v>5425</v>
      </c>
      <c r="B1442" t="s">
        <v>5426</v>
      </c>
      <c r="C1442" t="s">
        <v>125</v>
      </c>
      <c r="E1442" t="s">
        <v>4960</v>
      </c>
      <c r="F1442" t="s">
        <v>4961</v>
      </c>
      <c r="G1442">
        <v>9.095</v>
      </c>
      <c r="H1442">
        <v>9.095</v>
      </c>
      <c r="I1442" t="s">
        <v>126</v>
      </c>
      <c r="J1442" t="s">
        <v>127</v>
      </c>
      <c r="K1442" t="s">
        <v>31</v>
      </c>
      <c r="L1442" t="s">
        <v>32</v>
      </c>
      <c r="M1442" t="s">
        <v>33</v>
      </c>
      <c r="P1442" s="1" t="s">
        <v>5427</v>
      </c>
      <c r="Q1442" s="1" t="s">
        <v>4960</v>
      </c>
      <c r="R1442" s="1" t="s">
        <v>4960</v>
      </c>
      <c r="S1442" s="1"/>
      <c r="T1442" s="1" t="s">
        <v>125</v>
      </c>
      <c r="U1442" s="1"/>
      <c r="V1442" s="1">
        <v>9.095</v>
      </c>
      <c r="W1442" s="1">
        <v>9.095</v>
      </c>
      <c r="X1442" s="1" t="s">
        <v>35</v>
      </c>
      <c r="Y1442" s="1">
        <v>9095.0</v>
      </c>
      <c r="Z1442" s="1"/>
      <c r="AA1442" s="1">
        <v>9095.0</v>
      </c>
      <c r="AB1442" s="1"/>
      <c r="AC1442" s="1" t="s">
        <v>36</v>
      </c>
      <c r="AD1442" s="1" t="s">
        <v>5428</v>
      </c>
      <c r="AE1442" s="1" t="s">
        <v>32</v>
      </c>
      <c r="AF1442" s="1" t="s">
        <v>33</v>
      </c>
      <c r="AG1442" s="1" t="s">
        <v>127</v>
      </c>
    </row>
    <row r="1443" spans="1:33">
      <c r="A1443" t="s">
        <v>5429</v>
      </c>
      <c r="B1443" t="s">
        <v>5430</v>
      </c>
      <c r="C1443" t="s">
        <v>2673</v>
      </c>
      <c r="E1443" t="s">
        <v>4960</v>
      </c>
      <c r="F1443" t="s">
        <v>4961</v>
      </c>
      <c r="G1443">
        <v>1.091</v>
      </c>
      <c r="H1443">
        <v>1.091</v>
      </c>
      <c r="I1443" t="s">
        <v>40</v>
      </c>
      <c r="J1443" t="s">
        <v>41</v>
      </c>
      <c r="K1443" t="s">
        <v>31</v>
      </c>
      <c r="L1443" t="s">
        <v>32</v>
      </c>
      <c r="M1443" t="s">
        <v>33</v>
      </c>
      <c r="P1443" s="1" t="s">
        <v>5431</v>
      </c>
      <c r="Q1443" s="1" t="s">
        <v>4960</v>
      </c>
      <c r="R1443" s="1" t="s">
        <v>5052</v>
      </c>
      <c r="S1443" s="1"/>
      <c r="T1443" s="1" t="s">
        <v>2673</v>
      </c>
      <c r="U1443" s="1"/>
      <c r="V1443" s="1">
        <v>1.091</v>
      </c>
      <c r="W1443" s="1">
        <v>1.091</v>
      </c>
      <c r="X1443" s="1" t="s">
        <v>35</v>
      </c>
      <c r="Y1443" s="1">
        <v>1091500.0</v>
      </c>
      <c r="Z1443" s="1"/>
      <c r="AA1443" s="1">
        <v>1091500.0</v>
      </c>
      <c r="AB1443" s="1"/>
      <c r="AC1443" s="1" t="s">
        <v>36</v>
      </c>
      <c r="AD1443" s="1" t="s">
        <v>5432</v>
      </c>
      <c r="AE1443" s="1" t="s">
        <v>32</v>
      </c>
      <c r="AF1443" s="1" t="s">
        <v>33</v>
      </c>
      <c r="AG1443" s="1" t="s">
        <v>41</v>
      </c>
    </row>
    <row r="1444" spans="1:33">
      <c r="A1444" t="s">
        <v>5433</v>
      </c>
      <c r="C1444" t="s">
        <v>3643</v>
      </c>
      <c r="E1444" t="s">
        <v>4960</v>
      </c>
      <c r="F1444" t="s">
        <v>4961</v>
      </c>
      <c r="G1444">
        <v>410.0</v>
      </c>
      <c r="H1444">
        <v>410.0</v>
      </c>
      <c r="I1444" t="s">
        <v>5029</v>
      </c>
      <c r="J1444" t="s">
        <v>270</v>
      </c>
      <c r="K1444" t="s">
        <v>31</v>
      </c>
      <c r="L1444" t="s">
        <v>32</v>
      </c>
      <c r="M1444" t="s">
        <v>33</v>
      </c>
      <c r="P1444" s="1" t="s">
        <v>5434</v>
      </c>
      <c r="Q1444" s="1" t="s">
        <v>4960</v>
      </c>
      <c r="R1444" s="1" t="s">
        <v>4960</v>
      </c>
      <c r="S1444" s="1"/>
      <c r="T1444" s="1" t="s">
        <v>3643</v>
      </c>
      <c r="U1444" s="1"/>
      <c r="V1444" s="1">
        <v>410.0</v>
      </c>
      <c r="W1444" s="1">
        <v>410.0</v>
      </c>
      <c r="X1444" s="1" t="s">
        <v>35</v>
      </c>
      <c r="Y1444" s="1">
        <v>410000.0</v>
      </c>
      <c r="Z1444" s="1"/>
      <c r="AA1444" s="1">
        <v>410000.0</v>
      </c>
      <c r="AB1444" s="1"/>
      <c r="AC1444" s="1" t="s">
        <v>36</v>
      </c>
      <c r="AD1444" s="1" t="s">
        <v>5435</v>
      </c>
      <c r="AE1444" s="1" t="s">
        <v>32</v>
      </c>
      <c r="AF1444" s="1" t="s">
        <v>33</v>
      </c>
      <c r="AG1444" s="1" t="s">
        <v>270</v>
      </c>
    </row>
    <row r="1445" spans="1:33">
      <c r="A1445" t="s">
        <v>5436</v>
      </c>
      <c r="B1445" t="s">
        <v>5437</v>
      </c>
      <c r="C1445" t="s">
        <v>5438</v>
      </c>
      <c r="E1445" t="s">
        <v>4960</v>
      </c>
      <c r="F1445" t="s">
        <v>4961</v>
      </c>
      <c r="G1445">
        <v>2.407</v>
      </c>
      <c r="H1445">
        <v>2.407</v>
      </c>
      <c r="I1445" t="s">
        <v>40</v>
      </c>
      <c r="J1445" t="s">
        <v>41</v>
      </c>
      <c r="K1445" t="s">
        <v>31</v>
      </c>
      <c r="L1445" t="s">
        <v>32</v>
      </c>
      <c r="M1445" t="s">
        <v>33</v>
      </c>
      <c r="P1445" s="1" t="s">
        <v>5439</v>
      </c>
      <c r="Q1445" s="1" t="s">
        <v>4960</v>
      </c>
      <c r="R1445" s="1" t="s">
        <v>5052</v>
      </c>
      <c r="S1445" s="1"/>
      <c r="T1445" s="1" t="s">
        <v>5438</v>
      </c>
      <c r="U1445" s="1"/>
      <c r="V1445" s="1">
        <v>2.407</v>
      </c>
      <c r="W1445" s="1">
        <v>2.407</v>
      </c>
      <c r="X1445" s="1" t="s">
        <v>35</v>
      </c>
      <c r="Y1445" s="1">
        <v>2407000.0</v>
      </c>
      <c r="Z1445" s="1"/>
      <c r="AA1445" s="1">
        <v>2407000.0</v>
      </c>
      <c r="AB1445" s="1"/>
      <c r="AC1445" s="1" t="s">
        <v>36</v>
      </c>
      <c r="AD1445" s="1" t="s">
        <v>5389</v>
      </c>
      <c r="AE1445" s="1" t="s">
        <v>32</v>
      </c>
      <c r="AF1445" s="1" t="s">
        <v>33</v>
      </c>
      <c r="AG1445" s="1" t="s">
        <v>41</v>
      </c>
    </row>
    <row r="1446" spans="1:33">
      <c r="A1446" t="s">
        <v>5440</v>
      </c>
      <c r="C1446" t="s">
        <v>5441</v>
      </c>
      <c r="E1446" t="s">
        <v>4960</v>
      </c>
      <c r="F1446" t="s">
        <v>4961</v>
      </c>
      <c r="G1446">
        <v>602.0</v>
      </c>
      <c r="H1446">
        <v>602.0</v>
      </c>
      <c r="I1446" t="s">
        <v>173</v>
      </c>
      <c r="J1446" t="s">
        <v>174</v>
      </c>
      <c r="K1446" t="s">
        <v>31</v>
      </c>
      <c r="L1446" t="s">
        <v>32</v>
      </c>
      <c r="M1446" t="s">
        <v>33</v>
      </c>
      <c r="P1446" s="1" t="s">
        <v>5442</v>
      </c>
      <c r="Q1446" s="1" t="s">
        <v>4960</v>
      </c>
      <c r="R1446" s="1" t="s">
        <v>4960</v>
      </c>
      <c r="S1446" s="1"/>
      <c r="T1446" s="1" t="s">
        <v>5441</v>
      </c>
      <c r="U1446" s="1"/>
      <c r="V1446" s="1">
        <v>602.0</v>
      </c>
      <c r="W1446" s="1">
        <v>602.0</v>
      </c>
      <c r="X1446" s="1" t="s">
        <v>35</v>
      </c>
      <c r="Y1446" s="1">
        <v>602000.0</v>
      </c>
      <c r="Z1446" s="1"/>
      <c r="AA1446" s="1">
        <v>602000.0</v>
      </c>
      <c r="AB1446" s="1"/>
      <c r="AC1446" s="1" t="s">
        <v>36</v>
      </c>
      <c r="AD1446" s="1" t="s">
        <v>5435</v>
      </c>
      <c r="AE1446" s="1" t="s">
        <v>32</v>
      </c>
      <c r="AF1446" s="1" t="s">
        <v>33</v>
      </c>
      <c r="AG1446" s="1" t="s">
        <v>174</v>
      </c>
    </row>
    <row r="1447" spans="1:33">
      <c r="A1447" t="s">
        <v>5443</v>
      </c>
      <c r="B1447" t="s">
        <v>5444</v>
      </c>
      <c r="C1447" t="s">
        <v>135</v>
      </c>
      <c r="E1447" t="s">
        <v>4960</v>
      </c>
      <c r="F1447" t="s">
        <v>4961</v>
      </c>
      <c r="G1447">
        <v>33.8</v>
      </c>
      <c r="H1447">
        <v>33.8</v>
      </c>
      <c r="I1447" t="s">
        <v>136</v>
      </c>
      <c r="J1447" t="s">
        <v>137</v>
      </c>
      <c r="K1447" t="s">
        <v>31</v>
      </c>
      <c r="L1447" t="s">
        <v>32</v>
      </c>
      <c r="M1447" t="s">
        <v>33</v>
      </c>
      <c r="P1447" s="1" t="s">
        <v>5445</v>
      </c>
      <c r="Q1447" s="1" t="s">
        <v>4960</v>
      </c>
      <c r="R1447" s="1" t="s">
        <v>4960</v>
      </c>
      <c r="S1447" s="1"/>
      <c r="T1447" s="1" t="s">
        <v>135</v>
      </c>
      <c r="U1447" s="1"/>
      <c r="V1447" s="1">
        <v>33.8</v>
      </c>
      <c r="W1447" s="1">
        <v>33.8</v>
      </c>
      <c r="X1447" s="1" t="s">
        <v>35</v>
      </c>
      <c r="Y1447" s="1">
        <v>33800.0</v>
      </c>
      <c r="Z1447" s="1"/>
      <c r="AA1447" s="1">
        <v>33800.0</v>
      </c>
      <c r="AB1447" s="1"/>
      <c r="AC1447" s="1" t="s">
        <v>36</v>
      </c>
      <c r="AD1447" s="1" t="s">
        <v>5446</v>
      </c>
      <c r="AE1447" s="1" t="s">
        <v>32</v>
      </c>
      <c r="AF1447" s="1" t="s">
        <v>33</v>
      </c>
      <c r="AG1447" s="1" t="s">
        <v>137</v>
      </c>
    </row>
    <row r="1448" spans="1:33">
      <c r="A1448" t="s">
        <v>5447</v>
      </c>
      <c r="C1448" t="s">
        <v>2284</v>
      </c>
      <c r="E1448" t="s">
        <v>4960</v>
      </c>
      <c r="F1448" t="s">
        <v>4961</v>
      </c>
      <c r="G1448">
        <v>820.0</v>
      </c>
      <c r="H1448">
        <v>820.0</v>
      </c>
      <c r="I1448" t="s">
        <v>5029</v>
      </c>
      <c r="J1448" t="s">
        <v>270</v>
      </c>
      <c r="K1448" t="s">
        <v>31</v>
      </c>
      <c r="L1448" t="s">
        <v>32</v>
      </c>
      <c r="M1448" t="s">
        <v>33</v>
      </c>
      <c r="P1448" s="1" t="s">
        <v>5448</v>
      </c>
      <c r="Q1448" s="1" t="s">
        <v>4960</v>
      </c>
      <c r="R1448" s="1" t="s">
        <v>4960</v>
      </c>
      <c r="S1448" s="1"/>
      <c r="T1448" s="1" t="s">
        <v>2284</v>
      </c>
      <c r="U1448" s="1"/>
      <c r="V1448" s="1">
        <v>820.0</v>
      </c>
      <c r="W1448" s="1">
        <v>820.0</v>
      </c>
      <c r="X1448" s="1" t="s">
        <v>35</v>
      </c>
      <c r="Y1448" s="1">
        <v>820000.0</v>
      </c>
      <c r="Z1448" s="1"/>
      <c r="AA1448" s="1">
        <v>820000.0</v>
      </c>
      <c r="AB1448" s="1"/>
      <c r="AC1448" s="1" t="s">
        <v>36</v>
      </c>
      <c r="AD1448" s="1" t="s">
        <v>5449</v>
      </c>
      <c r="AE1448" s="1" t="s">
        <v>32</v>
      </c>
      <c r="AF1448" s="1" t="s">
        <v>33</v>
      </c>
      <c r="AG1448" s="1" t="s">
        <v>270</v>
      </c>
    </row>
    <row r="1449" spans="1:33">
      <c r="A1449" t="s">
        <v>5450</v>
      </c>
      <c r="B1449" t="s">
        <v>5451</v>
      </c>
      <c r="C1449" t="s">
        <v>125</v>
      </c>
      <c r="E1449" t="s">
        <v>4960</v>
      </c>
      <c r="F1449" t="s">
        <v>4961</v>
      </c>
      <c r="G1449">
        <v>109.94</v>
      </c>
      <c r="H1449">
        <v>109.94</v>
      </c>
      <c r="I1449" t="s">
        <v>126</v>
      </c>
      <c r="J1449" t="s">
        <v>127</v>
      </c>
      <c r="K1449" t="s">
        <v>31</v>
      </c>
      <c r="L1449" t="s">
        <v>32</v>
      </c>
      <c r="M1449" t="s">
        <v>33</v>
      </c>
      <c r="P1449" s="1" t="s">
        <v>5452</v>
      </c>
      <c r="Q1449" s="1" t="s">
        <v>4960</v>
      </c>
      <c r="R1449" s="1" t="s">
        <v>4960</v>
      </c>
      <c r="S1449" s="1"/>
      <c r="T1449" s="1" t="s">
        <v>125</v>
      </c>
      <c r="U1449" s="1"/>
      <c r="V1449" s="1">
        <v>109.94</v>
      </c>
      <c r="W1449" s="1">
        <v>109.94</v>
      </c>
      <c r="X1449" s="1" t="s">
        <v>35</v>
      </c>
      <c r="Y1449" s="1">
        <v>109940.0</v>
      </c>
      <c r="Z1449" s="1"/>
      <c r="AA1449" s="1">
        <v>109940.0</v>
      </c>
      <c r="AB1449" s="1"/>
      <c r="AC1449" s="1" t="s">
        <v>36</v>
      </c>
      <c r="AD1449" s="1" t="s">
        <v>5225</v>
      </c>
      <c r="AE1449" s="1" t="s">
        <v>32</v>
      </c>
      <c r="AF1449" s="1" t="s">
        <v>33</v>
      </c>
      <c r="AG1449" s="1" t="s">
        <v>127</v>
      </c>
    </row>
    <row r="1450" spans="1:33">
      <c r="A1450" t="s">
        <v>5453</v>
      </c>
      <c r="B1450" t="s">
        <v>5454</v>
      </c>
      <c r="C1450" t="s">
        <v>268</v>
      </c>
      <c r="E1450" t="s">
        <v>4960</v>
      </c>
      <c r="F1450" t="s">
        <v>4961</v>
      </c>
      <c r="G1450">
        <v>32.85</v>
      </c>
      <c r="H1450">
        <v>32.85</v>
      </c>
      <c r="I1450" t="s">
        <v>5029</v>
      </c>
      <c r="J1450" t="s">
        <v>270</v>
      </c>
      <c r="K1450" t="s">
        <v>31</v>
      </c>
      <c r="L1450" t="s">
        <v>32</v>
      </c>
      <c r="M1450" t="s">
        <v>33</v>
      </c>
      <c r="P1450" s="1" t="s">
        <v>5455</v>
      </c>
      <c r="Q1450" s="1" t="s">
        <v>4960</v>
      </c>
      <c r="R1450" s="1" t="s">
        <v>4960</v>
      </c>
      <c r="S1450" s="1"/>
      <c r="T1450" s="1" t="s">
        <v>268</v>
      </c>
      <c r="U1450" s="1"/>
      <c r="V1450" s="1">
        <v>32.85</v>
      </c>
      <c r="W1450" s="1">
        <v>32.85</v>
      </c>
      <c r="X1450" s="1" t="s">
        <v>35</v>
      </c>
      <c r="Y1450" s="1">
        <v>32850.0</v>
      </c>
      <c r="Z1450" s="1"/>
      <c r="AA1450" s="1">
        <v>32850.0</v>
      </c>
      <c r="AB1450" s="1"/>
      <c r="AC1450" s="1" t="s">
        <v>36</v>
      </c>
      <c r="AD1450" s="1" t="s">
        <v>5456</v>
      </c>
      <c r="AE1450" s="1" t="s">
        <v>32</v>
      </c>
      <c r="AF1450" s="1" t="s">
        <v>33</v>
      </c>
      <c r="AG1450" s="1" t="s">
        <v>270</v>
      </c>
    </row>
    <row r="1451" spans="1:33">
      <c r="A1451" t="s">
        <v>5457</v>
      </c>
      <c r="C1451" t="s">
        <v>5458</v>
      </c>
      <c r="E1451" t="s">
        <v>4960</v>
      </c>
      <c r="F1451" t="s">
        <v>4961</v>
      </c>
      <c r="G1451">
        <v>18.5</v>
      </c>
      <c r="H1451">
        <v>18.5</v>
      </c>
      <c r="I1451" t="s">
        <v>5029</v>
      </c>
      <c r="J1451" t="s">
        <v>270</v>
      </c>
      <c r="K1451" t="s">
        <v>31</v>
      </c>
      <c r="L1451" t="s">
        <v>32</v>
      </c>
      <c r="M1451" t="s">
        <v>33</v>
      </c>
      <c r="P1451" s="1" t="s">
        <v>5459</v>
      </c>
      <c r="Q1451" s="1" t="s">
        <v>4960</v>
      </c>
      <c r="R1451" s="1" t="s">
        <v>4960</v>
      </c>
      <c r="S1451" s="1"/>
      <c r="T1451" s="1" t="s">
        <v>5458</v>
      </c>
      <c r="U1451" s="1"/>
      <c r="V1451" s="1">
        <v>18.5</v>
      </c>
      <c r="W1451" s="1">
        <v>18.5</v>
      </c>
      <c r="X1451" s="1" t="s">
        <v>35</v>
      </c>
      <c r="Y1451" s="1">
        <v>18500.0</v>
      </c>
      <c r="Z1451" s="1"/>
      <c r="AA1451" s="1">
        <v>18500.0</v>
      </c>
      <c r="AB1451" s="1"/>
      <c r="AC1451" s="1" t="s">
        <v>36</v>
      </c>
      <c r="AD1451" s="1" t="s">
        <v>5460</v>
      </c>
      <c r="AE1451" s="1" t="s">
        <v>32</v>
      </c>
      <c r="AF1451" s="1" t="s">
        <v>33</v>
      </c>
      <c r="AG1451" s="1" t="s">
        <v>270</v>
      </c>
    </row>
    <row r="1452" spans="1:33">
      <c r="A1452" t="s">
        <v>5461</v>
      </c>
      <c r="C1452" t="s">
        <v>3079</v>
      </c>
      <c r="D1452" t="s">
        <v>154</v>
      </c>
      <c r="E1452" t="s">
        <v>4960</v>
      </c>
      <c r="F1452" t="s">
        <v>4961</v>
      </c>
      <c r="G1452">
        <v>1.003</v>
      </c>
      <c r="H1452">
        <v>1.003</v>
      </c>
      <c r="I1452" t="s">
        <v>227</v>
      </c>
      <c r="J1452" t="s">
        <v>228</v>
      </c>
      <c r="K1452" t="s">
        <v>31</v>
      </c>
      <c r="L1452" t="s">
        <v>32</v>
      </c>
      <c r="M1452" t="s">
        <v>33</v>
      </c>
      <c r="P1452" s="1" t="s">
        <v>5462</v>
      </c>
      <c r="Q1452" s="1" t="s">
        <v>4960</v>
      </c>
      <c r="R1452" s="1" t="s">
        <v>4960</v>
      </c>
      <c r="S1452" s="1"/>
      <c r="T1452" s="1" t="s">
        <v>3079</v>
      </c>
      <c r="U1452" s="1"/>
      <c r="V1452" s="1">
        <v>1.003</v>
      </c>
      <c r="W1452" s="1">
        <v>1.003</v>
      </c>
      <c r="X1452" s="1" t="s">
        <v>35</v>
      </c>
      <c r="Y1452" s="1">
        <v>1003000.0</v>
      </c>
      <c r="Z1452" s="1"/>
      <c r="AA1452" s="1">
        <v>1003000.0</v>
      </c>
      <c r="AB1452" s="1"/>
      <c r="AC1452" s="1" t="s">
        <v>36</v>
      </c>
      <c r="AD1452" s="1" t="s">
        <v>5463</v>
      </c>
      <c r="AE1452" s="1" t="s">
        <v>32</v>
      </c>
      <c r="AF1452" s="1" t="s">
        <v>33</v>
      </c>
      <c r="AG1452" s="1" t="s">
        <v>228</v>
      </c>
    </row>
    <row r="1453" spans="1:33">
      <c r="A1453" t="s">
        <v>5464</v>
      </c>
      <c r="C1453" t="s">
        <v>827</v>
      </c>
      <c r="D1453" t="s">
        <v>154</v>
      </c>
      <c r="E1453" t="s">
        <v>4960</v>
      </c>
      <c r="F1453" t="s">
        <v>4961</v>
      </c>
      <c r="G1453">
        <v>21.0</v>
      </c>
      <c r="H1453">
        <v>21.0</v>
      </c>
      <c r="I1453" t="s">
        <v>5029</v>
      </c>
      <c r="J1453" t="s">
        <v>270</v>
      </c>
      <c r="K1453" t="s">
        <v>31</v>
      </c>
      <c r="L1453" t="s">
        <v>32</v>
      </c>
      <c r="M1453" t="s">
        <v>33</v>
      </c>
      <c r="P1453" s="1" t="s">
        <v>5465</v>
      </c>
      <c r="Q1453" s="1" t="s">
        <v>4960</v>
      </c>
      <c r="R1453" s="1" t="s">
        <v>4960</v>
      </c>
      <c r="S1453" s="1"/>
      <c r="T1453" s="1" t="s">
        <v>827</v>
      </c>
      <c r="U1453" s="1"/>
      <c r="V1453" s="1">
        <v>21.0</v>
      </c>
      <c r="W1453" s="1">
        <v>21.0</v>
      </c>
      <c r="X1453" s="1" t="s">
        <v>35</v>
      </c>
      <c r="Y1453" s="1">
        <v>21000.0</v>
      </c>
      <c r="Z1453" s="1"/>
      <c r="AA1453" s="1">
        <v>21000.0</v>
      </c>
      <c r="AB1453" s="1"/>
      <c r="AC1453" s="1" t="s">
        <v>36</v>
      </c>
      <c r="AD1453" s="1" t="s">
        <v>5466</v>
      </c>
      <c r="AE1453" s="1" t="s">
        <v>32</v>
      </c>
      <c r="AF1453" s="1" t="s">
        <v>33</v>
      </c>
      <c r="AG1453" s="1" t="s">
        <v>270</v>
      </c>
    </row>
    <row r="1454" spans="1:33">
      <c r="A1454" t="s">
        <v>5467</v>
      </c>
      <c r="B1454" t="s">
        <v>5468</v>
      </c>
      <c r="C1454" t="s">
        <v>26</v>
      </c>
      <c r="E1454" t="s">
        <v>5469</v>
      </c>
      <c r="F1454" t="s">
        <v>1401</v>
      </c>
      <c r="G1454">
        <v>20.99</v>
      </c>
      <c r="H1454">
        <v>20.99</v>
      </c>
      <c r="I1454" t="s">
        <v>29</v>
      </c>
      <c r="J1454" t="s">
        <v>30</v>
      </c>
      <c r="K1454" t="s">
        <v>31</v>
      </c>
      <c r="L1454" t="s">
        <v>32</v>
      </c>
      <c r="M1454" t="s">
        <v>33</v>
      </c>
      <c r="P1454" s="1" t="s">
        <v>5470</v>
      </c>
      <c r="Q1454" s="1" t="s">
        <v>5469</v>
      </c>
      <c r="R1454" s="1" t="s">
        <v>5469</v>
      </c>
      <c r="S1454" s="1"/>
      <c r="T1454" s="1" t="s">
        <v>26</v>
      </c>
      <c r="U1454" s="1"/>
      <c r="V1454" s="1">
        <v>20.99</v>
      </c>
      <c r="W1454" s="1">
        <v>20.99</v>
      </c>
      <c r="X1454" s="1" t="s">
        <v>35</v>
      </c>
      <c r="Y1454" s="1">
        <v>20990.0</v>
      </c>
      <c r="Z1454" s="1"/>
      <c r="AA1454" s="1">
        <v>20990.0</v>
      </c>
      <c r="AB1454" s="1"/>
      <c r="AC1454" s="1" t="s">
        <v>36</v>
      </c>
      <c r="AD1454" s="1" t="s">
        <v>5056</v>
      </c>
      <c r="AE1454" s="1" t="s">
        <v>32</v>
      </c>
      <c r="AF1454" s="1" t="s">
        <v>33</v>
      </c>
      <c r="AG1454" s="1" t="s">
        <v>30</v>
      </c>
    </row>
    <row r="1455" spans="1:33">
      <c r="A1455" t="s">
        <v>5471</v>
      </c>
      <c r="B1455" t="s">
        <v>5472</v>
      </c>
      <c r="C1455" t="s">
        <v>125</v>
      </c>
      <c r="E1455" t="s">
        <v>5469</v>
      </c>
      <c r="F1455" t="s">
        <v>1401</v>
      </c>
      <c r="G1455">
        <v>21.99</v>
      </c>
      <c r="H1455">
        <v>21.99</v>
      </c>
      <c r="I1455" t="s">
        <v>126</v>
      </c>
      <c r="J1455" t="s">
        <v>127</v>
      </c>
      <c r="K1455" t="s">
        <v>31</v>
      </c>
      <c r="L1455" t="s">
        <v>32</v>
      </c>
      <c r="M1455" t="s">
        <v>33</v>
      </c>
      <c r="P1455" s="1" t="s">
        <v>5473</v>
      </c>
      <c r="Q1455" s="1" t="s">
        <v>5469</v>
      </c>
      <c r="R1455" s="1" t="s">
        <v>5469</v>
      </c>
      <c r="S1455" s="1"/>
      <c r="T1455" s="1" t="s">
        <v>125</v>
      </c>
      <c r="U1455" s="1"/>
      <c r="V1455" s="1">
        <v>21.99</v>
      </c>
      <c r="W1455" s="1">
        <v>21.99</v>
      </c>
      <c r="X1455" s="1" t="s">
        <v>35</v>
      </c>
      <c r="Y1455" s="1">
        <v>22000.0</v>
      </c>
      <c r="Z1455" s="1">
        <v>-10</v>
      </c>
      <c r="AA1455" s="1">
        <v>22000.0</v>
      </c>
      <c r="AB1455" s="1">
        <v>-10</v>
      </c>
      <c r="AC1455" s="1" t="s">
        <v>36</v>
      </c>
      <c r="AD1455" s="1" t="s">
        <v>5474</v>
      </c>
      <c r="AE1455" s="1" t="s">
        <v>32</v>
      </c>
      <c r="AF1455" s="1" t="s">
        <v>33</v>
      </c>
      <c r="AG1455" s="1" t="s">
        <v>127</v>
      </c>
    </row>
    <row r="1456" spans="1:33">
      <c r="A1456" t="s">
        <v>5475</v>
      </c>
      <c r="C1456" t="s">
        <v>725</v>
      </c>
      <c r="E1456" t="s">
        <v>5469</v>
      </c>
      <c r="F1456" t="s">
        <v>1401</v>
      </c>
      <c r="G1456">
        <v>2.152</v>
      </c>
      <c r="H1456">
        <v>2.152</v>
      </c>
      <c r="I1456" t="s">
        <v>136</v>
      </c>
      <c r="J1456" t="s">
        <v>137</v>
      </c>
      <c r="K1456" t="s">
        <v>31</v>
      </c>
      <c r="L1456" t="s">
        <v>32</v>
      </c>
      <c r="M1456" t="s">
        <v>33</v>
      </c>
      <c r="P1456" s="1" t="s">
        <v>5476</v>
      </c>
      <c r="Q1456" s="1" t="s">
        <v>5469</v>
      </c>
      <c r="R1456" s="1" t="s">
        <v>5469</v>
      </c>
      <c r="S1456" s="1"/>
      <c r="T1456" s="1" t="s">
        <v>725</v>
      </c>
      <c r="U1456" s="1"/>
      <c r="V1456" s="1">
        <v>2.152</v>
      </c>
      <c r="W1456" s="1">
        <v>2.152</v>
      </c>
      <c r="X1456" s="1" t="s">
        <v>35</v>
      </c>
      <c r="Y1456" s="1">
        <v>2152000.0</v>
      </c>
      <c r="Z1456" s="1"/>
      <c r="AA1456" s="1">
        <v>2152000.0</v>
      </c>
      <c r="AB1456" s="1"/>
      <c r="AC1456" s="1" t="s">
        <v>36</v>
      </c>
      <c r="AD1456" s="1" t="s">
        <v>5477</v>
      </c>
      <c r="AE1456" s="1" t="s">
        <v>32</v>
      </c>
      <c r="AF1456" s="1" t="s">
        <v>33</v>
      </c>
      <c r="AG1456" s="1" t="s">
        <v>137</v>
      </c>
    </row>
    <row r="1457" spans="1:33">
      <c r="A1457" t="s">
        <v>5478</v>
      </c>
      <c r="C1457" t="s">
        <v>859</v>
      </c>
      <c r="D1457" t="s">
        <v>114</v>
      </c>
      <c r="E1457" t="s">
        <v>5469</v>
      </c>
      <c r="F1457" t="s">
        <v>1401</v>
      </c>
      <c r="G1457">
        <v>1.051</v>
      </c>
      <c r="H1457">
        <v>1.051</v>
      </c>
      <c r="I1457" t="s">
        <v>269</v>
      </c>
      <c r="J1457" t="s">
        <v>270</v>
      </c>
      <c r="K1457" t="s">
        <v>31</v>
      </c>
      <c r="L1457" t="s">
        <v>32</v>
      </c>
      <c r="M1457" t="s">
        <v>33</v>
      </c>
      <c r="P1457" s="1" t="s">
        <v>5479</v>
      </c>
      <c r="Q1457" s="1" t="s">
        <v>5469</v>
      </c>
      <c r="R1457" s="1" t="s">
        <v>5469</v>
      </c>
      <c r="S1457" s="1"/>
      <c r="T1457" s="1" t="s">
        <v>859</v>
      </c>
      <c r="U1457" s="1"/>
      <c r="V1457" s="1">
        <v>1.051</v>
      </c>
      <c r="W1457" s="1">
        <v>1.051</v>
      </c>
      <c r="X1457" s="1" t="s">
        <v>35</v>
      </c>
      <c r="Y1457" s="1">
        <v>1051000.0</v>
      </c>
      <c r="Z1457" s="1"/>
      <c r="AA1457" s="1">
        <v>1051000.0</v>
      </c>
      <c r="AB1457" s="1"/>
      <c r="AC1457" s="1" t="s">
        <v>36</v>
      </c>
      <c r="AD1457" s="1" t="s">
        <v>5480</v>
      </c>
      <c r="AE1457" s="1" t="s">
        <v>32</v>
      </c>
      <c r="AF1457" s="1" t="s">
        <v>33</v>
      </c>
      <c r="AG1457" s="1" t="s">
        <v>270</v>
      </c>
    </row>
    <row r="1458" spans="1:33">
      <c r="A1458" t="s">
        <v>5481</v>
      </c>
      <c r="C1458" t="s">
        <v>153</v>
      </c>
      <c r="D1458" t="s">
        <v>154</v>
      </c>
      <c r="E1458" t="s">
        <v>5469</v>
      </c>
      <c r="F1458" t="s">
        <v>1401</v>
      </c>
      <c r="G1458">
        <v>33.5</v>
      </c>
      <c r="H1458">
        <v>33.5</v>
      </c>
      <c r="I1458" t="s">
        <v>94</v>
      </c>
      <c r="J1458" t="s">
        <v>95</v>
      </c>
      <c r="K1458" t="s">
        <v>31</v>
      </c>
      <c r="L1458" t="s">
        <v>32</v>
      </c>
      <c r="M1458" t="s">
        <v>33</v>
      </c>
      <c r="P1458" s="1" t="s">
        <v>5482</v>
      </c>
      <c r="Q1458" s="1" t="s">
        <v>5469</v>
      </c>
      <c r="R1458" s="1" t="s">
        <v>5469</v>
      </c>
      <c r="S1458" s="1"/>
      <c r="T1458" s="1" t="s">
        <v>156</v>
      </c>
      <c r="U1458" s="1" t="s">
        <v>157</v>
      </c>
      <c r="V1458" s="1">
        <v>33.5</v>
      </c>
      <c r="W1458" s="1">
        <v>33.5</v>
      </c>
      <c r="X1458" s="1" t="s">
        <v>35</v>
      </c>
      <c r="Y1458" s="1">
        <v>33500.0</v>
      </c>
      <c r="Z1458" s="1"/>
      <c r="AA1458" s="1">
        <v>33500.0</v>
      </c>
      <c r="AB1458" s="1"/>
      <c r="AC1458" s="1" t="s">
        <v>36</v>
      </c>
      <c r="AD1458" s="1" t="s">
        <v>5483</v>
      </c>
      <c r="AE1458" s="1" t="s">
        <v>32</v>
      </c>
      <c r="AF1458" s="1" t="s">
        <v>33</v>
      </c>
      <c r="AG1458" s="1" t="s">
        <v>95</v>
      </c>
    </row>
    <row r="1459" spans="1:33">
      <c r="A1459" t="s">
        <v>5484</v>
      </c>
      <c r="B1459" t="s">
        <v>5485</v>
      </c>
      <c r="C1459" t="s">
        <v>125</v>
      </c>
      <c r="E1459" t="s">
        <v>5469</v>
      </c>
      <c r="F1459" t="s">
        <v>1401</v>
      </c>
      <c r="G1459">
        <v>41.98</v>
      </c>
      <c r="H1459">
        <v>41.98</v>
      </c>
      <c r="I1459" t="s">
        <v>126</v>
      </c>
      <c r="J1459" t="s">
        <v>127</v>
      </c>
      <c r="K1459" t="s">
        <v>31</v>
      </c>
      <c r="L1459" t="s">
        <v>32</v>
      </c>
      <c r="M1459" t="s">
        <v>33</v>
      </c>
      <c r="P1459" s="1" t="s">
        <v>5486</v>
      </c>
      <c r="Q1459" s="1" t="s">
        <v>5469</v>
      </c>
      <c r="R1459" s="1" t="s">
        <v>5469</v>
      </c>
      <c r="S1459" s="1"/>
      <c r="T1459" s="1" t="s">
        <v>125</v>
      </c>
      <c r="U1459" s="1"/>
      <c r="V1459" s="1">
        <v>41.98</v>
      </c>
      <c r="W1459" s="1">
        <v>41.98</v>
      </c>
      <c r="X1459" s="1" t="s">
        <v>35</v>
      </c>
      <c r="Y1459" s="1">
        <v>41980.0</v>
      </c>
      <c r="Z1459" s="1"/>
      <c r="AA1459" s="1">
        <v>41980.0</v>
      </c>
      <c r="AB1459" s="1"/>
      <c r="AC1459" s="1" t="s">
        <v>36</v>
      </c>
      <c r="AD1459" s="1" t="s">
        <v>5487</v>
      </c>
      <c r="AE1459" s="1" t="s">
        <v>32</v>
      </c>
      <c r="AF1459" s="1" t="s">
        <v>33</v>
      </c>
      <c r="AG1459" s="1" t="s">
        <v>127</v>
      </c>
    </row>
    <row r="1460" spans="1:33">
      <c r="A1460" t="s">
        <v>5488</v>
      </c>
      <c r="B1460" t="s">
        <v>485</v>
      </c>
      <c r="C1460" t="s">
        <v>73</v>
      </c>
      <c r="E1460" t="s">
        <v>5469</v>
      </c>
      <c r="F1460" t="s">
        <v>1401</v>
      </c>
      <c r="G1460">
        <v>72.98</v>
      </c>
      <c r="H1460">
        <v>72.98</v>
      </c>
      <c r="I1460" t="s">
        <v>40</v>
      </c>
      <c r="J1460" t="s">
        <v>41</v>
      </c>
      <c r="K1460" t="s">
        <v>31</v>
      </c>
      <c r="L1460" t="s">
        <v>32</v>
      </c>
      <c r="M1460" t="s">
        <v>33</v>
      </c>
      <c r="P1460" s="1" t="s">
        <v>5489</v>
      </c>
      <c r="Q1460" s="1" t="s">
        <v>5469</v>
      </c>
      <c r="R1460" s="1" t="s">
        <v>4960</v>
      </c>
      <c r="S1460" s="1"/>
      <c r="T1460" s="1" t="s">
        <v>75</v>
      </c>
      <c r="U1460" s="1" t="s">
        <v>76</v>
      </c>
      <c r="V1460" s="1">
        <v>72.98</v>
      </c>
      <c r="W1460" s="1">
        <v>72.98</v>
      </c>
      <c r="X1460" s="1" t="s">
        <v>35</v>
      </c>
      <c r="Y1460" s="1">
        <v>72980.0</v>
      </c>
      <c r="Z1460" s="1"/>
      <c r="AA1460" s="1">
        <v>72980.0</v>
      </c>
      <c r="AB1460" s="1"/>
      <c r="AC1460" s="1" t="s">
        <v>36</v>
      </c>
      <c r="AD1460" s="1" t="s">
        <v>5487</v>
      </c>
      <c r="AE1460" s="1" t="s">
        <v>32</v>
      </c>
      <c r="AF1460" s="1" t="s">
        <v>33</v>
      </c>
      <c r="AG1460" s="1" t="s">
        <v>41</v>
      </c>
    </row>
    <row r="1461" spans="1:33">
      <c r="A1461" t="s">
        <v>5490</v>
      </c>
      <c r="B1461" t="s">
        <v>5491</v>
      </c>
      <c r="C1461" t="s">
        <v>906</v>
      </c>
      <c r="E1461" t="s">
        <v>5469</v>
      </c>
      <c r="F1461" t="s">
        <v>1401</v>
      </c>
      <c r="G1461">
        <v>17.29</v>
      </c>
      <c r="H1461">
        <v>17.29</v>
      </c>
      <c r="I1461" t="s">
        <v>847</v>
      </c>
      <c r="J1461" t="s">
        <v>848</v>
      </c>
      <c r="K1461" t="s">
        <v>31</v>
      </c>
      <c r="L1461" t="s">
        <v>32</v>
      </c>
      <c r="M1461" t="s">
        <v>33</v>
      </c>
      <c r="P1461" s="1" t="s">
        <v>5492</v>
      </c>
      <c r="Q1461" s="1" t="s">
        <v>5469</v>
      </c>
      <c r="R1461" s="1" t="s">
        <v>5469</v>
      </c>
      <c r="S1461" s="1"/>
      <c r="T1461" s="1" t="s">
        <v>906</v>
      </c>
      <c r="U1461" s="1"/>
      <c r="V1461" s="1">
        <v>17.29</v>
      </c>
      <c r="W1461" s="1">
        <v>17.29</v>
      </c>
      <c r="X1461" s="1" t="s">
        <v>35</v>
      </c>
      <c r="Y1461" s="1">
        <v>17290.0</v>
      </c>
      <c r="Z1461" s="1"/>
      <c r="AA1461" s="1">
        <v>17290.0</v>
      </c>
      <c r="AB1461" s="1"/>
      <c r="AC1461" s="1" t="s">
        <v>36</v>
      </c>
      <c r="AD1461" s="1" t="s">
        <v>5493</v>
      </c>
      <c r="AE1461" s="1" t="s">
        <v>32</v>
      </c>
      <c r="AF1461" s="1" t="s">
        <v>33</v>
      </c>
      <c r="AG1461" s="1" t="s">
        <v>848</v>
      </c>
    </row>
    <row r="1462" spans="1:33">
      <c r="A1462" t="s">
        <v>5494</v>
      </c>
      <c r="B1462" t="s">
        <v>5495</v>
      </c>
      <c r="C1462" t="s">
        <v>47</v>
      </c>
      <c r="E1462" t="s">
        <v>5469</v>
      </c>
      <c r="F1462" t="s">
        <v>1401</v>
      </c>
      <c r="G1462">
        <v>75.118</v>
      </c>
      <c r="H1462">
        <v>75.118</v>
      </c>
      <c r="I1462" t="s">
        <v>48</v>
      </c>
      <c r="J1462" t="s">
        <v>49</v>
      </c>
      <c r="K1462" t="s">
        <v>31</v>
      </c>
      <c r="L1462" t="s">
        <v>32</v>
      </c>
      <c r="M1462" t="s">
        <v>33</v>
      </c>
      <c r="P1462" s="1" t="s">
        <v>5496</v>
      </c>
      <c r="Q1462" s="1" t="s">
        <v>5469</v>
      </c>
      <c r="R1462" s="1" t="s">
        <v>5469</v>
      </c>
      <c r="S1462" s="1"/>
      <c r="T1462" s="1" t="s">
        <v>47</v>
      </c>
      <c r="U1462" s="1"/>
      <c r="V1462" s="1">
        <v>75.118</v>
      </c>
      <c r="W1462" s="1">
        <v>75.118</v>
      </c>
      <c r="X1462" s="1" t="s">
        <v>35</v>
      </c>
      <c r="Y1462" s="1">
        <v>75118.0</v>
      </c>
      <c r="Z1462" s="1"/>
      <c r="AA1462" s="1">
        <v>75118.0</v>
      </c>
      <c r="AB1462" s="1"/>
      <c r="AC1462" s="1" t="s">
        <v>36</v>
      </c>
      <c r="AD1462" s="1" t="s">
        <v>5497</v>
      </c>
      <c r="AE1462" s="1" t="s">
        <v>32</v>
      </c>
      <c r="AF1462" s="1" t="s">
        <v>33</v>
      </c>
      <c r="AG1462" s="1" t="s">
        <v>49</v>
      </c>
    </row>
    <row r="1463" spans="1:33">
      <c r="A1463" t="s">
        <v>5498</v>
      </c>
      <c r="B1463" t="s">
        <v>5499</v>
      </c>
      <c r="C1463" t="s">
        <v>125</v>
      </c>
      <c r="E1463" t="s">
        <v>5469</v>
      </c>
      <c r="F1463" t="s">
        <v>1401</v>
      </c>
      <c r="G1463">
        <v>4.706</v>
      </c>
      <c r="H1463">
        <v>4.706</v>
      </c>
      <c r="I1463" t="s">
        <v>126</v>
      </c>
      <c r="J1463" t="s">
        <v>127</v>
      </c>
      <c r="K1463" t="s">
        <v>31</v>
      </c>
      <c r="L1463" t="s">
        <v>32</v>
      </c>
      <c r="M1463" t="s">
        <v>33</v>
      </c>
      <c r="P1463" s="1" t="s">
        <v>5500</v>
      </c>
      <c r="Q1463" s="1" t="s">
        <v>5469</v>
      </c>
      <c r="R1463" s="1" t="s">
        <v>5469</v>
      </c>
      <c r="S1463" s="1"/>
      <c r="T1463" s="1" t="s">
        <v>125</v>
      </c>
      <c r="U1463" s="1"/>
      <c r="V1463" s="1">
        <v>4.706</v>
      </c>
      <c r="W1463" s="1">
        <v>4.706</v>
      </c>
      <c r="X1463" s="1" t="s">
        <v>35</v>
      </c>
      <c r="Y1463" s="1">
        <v>4706.0</v>
      </c>
      <c r="Z1463" s="1"/>
      <c r="AA1463" s="1">
        <v>4706.0</v>
      </c>
      <c r="AB1463" s="1"/>
      <c r="AC1463" s="1" t="s">
        <v>36</v>
      </c>
      <c r="AD1463" s="1" t="s">
        <v>5501</v>
      </c>
      <c r="AE1463" s="1" t="s">
        <v>32</v>
      </c>
      <c r="AF1463" s="1" t="s">
        <v>33</v>
      </c>
      <c r="AG1463" s="1" t="s">
        <v>127</v>
      </c>
    </row>
    <row r="1464" spans="1:33">
      <c r="A1464" t="s">
        <v>5502</v>
      </c>
      <c r="B1464" t="s">
        <v>5503</v>
      </c>
      <c r="C1464" t="s">
        <v>906</v>
      </c>
      <c r="E1464" t="s">
        <v>5469</v>
      </c>
      <c r="F1464" t="s">
        <v>1401</v>
      </c>
      <c r="G1464">
        <v>126.614</v>
      </c>
      <c r="H1464">
        <v>126.614</v>
      </c>
      <c r="I1464" t="s">
        <v>847</v>
      </c>
      <c r="J1464" t="s">
        <v>848</v>
      </c>
      <c r="K1464" t="s">
        <v>31</v>
      </c>
      <c r="L1464" t="s">
        <v>32</v>
      </c>
      <c r="M1464" t="s">
        <v>33</v>
      </c>
      <c r="P1464" s="1" t="s">
        <v>5504</v>
      </c>
      <c r="Q1464" s="1" t="s">
        <v>5469</v>
      </c>
      <c r="R1464" s="1" t="s">
        <v>5469</v>
      </c>
      <c r="S1464" s="1"/>
      <c r="T1464" s="1" t="s">
        <v>906</v>
      </c>
      <c r="U1464" s="1"/>
      <c r="V1464" s="1">
        <v>126.614</v>
      </c>
      <c r="W1464" s="1">
        <v>126.614</v>
      </c>
      <c r="X1464" s="1" t="s">
        <v>35</v>
      </c>
      <c r="Y1464" s="1">
        <v>126614.0</v>
      </c>
      <c r="Z1464" s="1"/>
      <c r="AA1464" s="1">
        <v>126614.0</v>
      </c>
      <c r="AB1464" s="1"/>
      <c r="AC1464" s="1" t="s">
        <v>36</v>
      </c>
      <c r="AD1464" s="1" t="s">
        <v>5505</v>
      </c>
      <c r="AE1464" s="1" t="s">
        <v>32</v>
      </c>
      <c r="AF1464" s="1" t="s">
        <v>33</v>
      </c>
      <c r="AG1464" s="1" t="s">
        <v>848</v>
      </c>
    </row>
    <row r="1465" spans="1:33">
      <c r="A1465" t="s">
        <v>5506</v>
      </c>
      <c r="B1465" t="s">
        <v>5507</v>
      </c>
      <c r="C1465" t="s">
        <v>47</v>
      </c>
      <c r="E1465" t="s">
        <v>5469</v>
      </c>
      <c r="F1465" t="s">
        <v>1401</v>
      </c>
      <c r="G1465">
        <v>43.98</v>
      </c>
      <c r="H1465">
        <v>43.98</v>
      </c>
      <c r="I1465" t="s">
        <v>48</v>
      </c>
      <c r="J1465" t="s">
        <v>49</v>
      </c>
      <c r="K1465" t="s">
        <v>31</v>
      </c>
      <c r="L1465" t="s">
        <v>32</v>
      </c>
      <c r="M1465" t="s">
        <v>33</v>
      </c>
      <c r="P1465" s="1" t="s">
        <v>5508</v>
      </c>
      <c r="Q1465" s="1" t="s">
        <v>5469</v>
      </c>
      <c r="R1465" s="1" t="s">
        <v>5469</v>
      </c>
      <c r="S1465" s="1"/>
      <c r="T1465" s="1" t="s">
        <v>47</v>
      </c>
      <c r="U1465" s="1"/>
      <c r="V1465" s="1">
        <v>43.98</v>
      </c>
      <c r="W1465" s="1">
        <v>43.98</v>
      </c>
      <c r="X1465" s="1" t="s">
        <v>35</v>
      </c>
      <c r="Y1465" s="1">
        <v>43980.0</v>
      </c>
      <c r="Z1465" s="1"/>
      <c r="AA1465" s="1">
        <v>43980.0</v>
      </c>
      <c r="AB1465" s="1"/>
      <c r="AC1465" s="1" t="s">
        <v>36</v>
      </c>
      <c r="AD1465" s="1" t="s">
        <v>5505</v>
      </c>
      <c r="AE1465" s="1" t="s">
        <v>32</v>
      </c>
      <c r="AF1465" s="1" t="s">
        <v>33</v>
      </c>
      <c r="AG1465" s="1" t="s">
        <v>49</v>
      </c>
    </row>
    <row r="1466" spans="1:33">
      <c r="A1466" t="s">
        <v>5509</v>
      </c>
      <c r="B1466" t="s">
        <v>5510</v>
      </c>
      <c r="C1466" t="s">
        <v>5511</v>
      </c>
      <c r="D1466" t="s">
        <v>114</v>
      </c>
      <c r="E1466" t="s">
        <v>5469</v>
      </c>
      <c r="F1466" t="s">
        <v>1401</v>
      </c>
      <c r="G1466">
        <v>168.0</v>
      </c>
      <c r="H1466">
        <v>168.0</v>
      </c>
      <c r="I1466" t="s">
        <v>29</v>
      </c>
      <c r="J1466" t="s">
        <v>30</v>
      </c>
      <c r="K1466" t="s">
        <v>31</v>
      </c>
      <c r="L1466" t="s">
        <v>32</v>
      </c>
      <c r="M1466" t="s">
        <v>33</v>
      </c>
      <c r="P1466" s="1" t="s">
        <v>5512</v>
      </c>
      <c r="Q1466" s="1" t="s">
        <v>5469</v>
      </c>
      <c r="R1466" s="1" t="s">
        <v>5469</v>
      </c>
      <c r="S1466" s="1"/>
      <c r="T1466" s="1" t="s">
        <v>5513</v>
      </c>
      <c r="U1466" s="1" t="s">
        <v>5514</v>
      </c>
      <c r="V1466" s="1">
        <v>168.0</v>
      </c>
      <c r="W1466" s="1">
        <v>168.0</v>
      </c>
      <c r="X1466" s="1" t="s">
        <v>35</v>
      </c>
      <c r="Y1466" s="1">
        <v>168000.0</v>
      </c>
      <c r="Z1466" s="1"/>
      <c r="AA1466" s="1">
        <v>168000.0</v>
      </c>
      <c r="AB1466" s="1"/>
      <c r="AC1466" s="1" t="s">
        <v>36</v>
      </c>
      <c r="AD1466" s="1" t="s">
        <v>5515</v>
      </c>
      <c r="AE1466" s="1" t="s">
        <v>32</v>
      </c>
      <c r="AF1466" s="1" t="s">
        <v>33</v>
      </c>
      <c r="AG1466" s="1" t="s">
        <v>30</v>
      </c>
    </row>
    <row r="1467" spans="1:33">
      <c r="A1467" t="s">
        <v>5516</v>
      </c>
      <c r="B1467" t="s">
        <v>5517</v>
      </c>
      <c r="C1467" t="s">
        <v>131</v>
      </c>
      <c r="E1467" t="s">
        <v>5469</v>
      </c>
      <c r="F1467" t="s">
        <v>1401</v>
      </c>
      <c r="G1467">
        <v>110.97</v>
      </c>
      <c r="H1467">
        <v>110.97</v>
      </c>
      <c r="I1467" t="s">
        <v>94</v>
      </c>
      <c r="J1467" t="s">
        <v>95</v>
      </c>
      <c r="K1467" t="s">
        <v>31</v>
      </c>
      <c r="L1467" t="s">
        <v>32</v>
      </c>
      <c r="M1467" t="s">
        <v>33</v>
      </c>
      <c r="P1467" s="1" t="s">
        <v>5518</v>
      </c>
      <c r="Q1467" s="1" t="s">
        <v>5469</v>
      </c>
      <c r="R1467" s="1" t="s">
        <v>5469</v>
      </c>
      <c r="S1467" s="1"/>
      <c r="T1467" s="1" t="s">
        <v>131</v>
      </c>
      <c r="U1467" s="1"/>
      <c r="V1467" s="1">
        <v>110.97</v>
      </c>
      <c r="W1467" s="1">
        <v>110.97</v>
      </c>
      <c r="X1467" s="1" t="s">
        <v>35</v>
      </c>
      <c r="Y1467" s="1">
        <v>110970.0</v>
      </c>
      <c r="Z1467" s="1"/>
      <c r="AA1467" s="1">
        <v>110970.0</v>
      </c>
      <c r="AB1467" s="1"/>
      <c r="AC1467" s="1" t="s">
        <v>36</v>
      </c>
      <c r="AD1467" s="1" t="s">
        <v>5519</v>
      </c>
      <c r="AE1467" s="1" t="s">
        <v>32</v>
      </c>
      <c r="AF1467" s="1" t="s">
        <v>33</v>
      </c>
      <c r="AG1467" s="1" t="s">
        <v>95</v>
      </c>
    </row>
    <row r="1468" spans="1:33">
      <c r="A1468" t="s">
        <v>5520</v>
      </c>
      <c r="C1468" t="s">
        <v>3449</v>
      </c>
      <c r="E1468" t="s">
        <v>5469</v>
      </c>
      <c r="F1468" t="s">
        <v>1401</v>
      </c>
      <c r="G1468">
        <v>486.3</v>
      </c>
      <c r="H1468">
        <v>486.3</v>
      </c>
      <c r="I1468" t="s">
        <v>847</v>
      </c>
      <c r="J1468" t="s">
        <v>848</v>
      </c>
      <c r="K1468" t="s">
        <v>31</v>
      </c>
      <c r="L1468" t="s">
        <v>32</v>
      </c>
      <c r="M1468" t="s">
        <v>33</v>
      </c>
      <c r="P1468" s="1" t="s">
        <v>5521</v>
      </c>
      <c r="Q1468" s="1" t="s">
        <v>5469</v>
      </c>
      <c r="R1468" s="1" t="s">
        <v>5469</v>
      </c>
      <c r="S1468" s="1"/>
      <c r="T1468" s="1" t="s">
        <v>3449</v>
      </c>
      <c r="U1468" s="1"/>
      <c r="V1468" s="1">
        <v>486.3</v>
      </c>
      <c r="W1468" s="1">
        <v>486.3</v>
      </c>
      <c r="X1468" s="1" t="s">
        <v>35</v>
      </c>
      <c r="Y1468" s="1">
        <v>486300.0</v>
      </c>
      <c r="Z1468" s="1"/>
      <c r="AA1468" s="1">
        <v>486300.0</v>
      </c>
      <c r="AB1468" s="1"/>
      <c r="AC1468" s="1" t="s">
        <v>36</v>
      </c>
      <c r="AD1468" s="1" t="s">
        <v>5522</v>
      </c>
      <c r="AE1468" s="1" t="s">
        <v>32</v>
      </c>
      <c r="AF1468" s="1" t="s">
        <v>33</v>
      </c>
      <c r="AG1468" s="1" t="s">
        <v>848</v>
      </c>
    </row>
    <row r="1469" spans="1:33">
      <c r="A1469" t="s">
        <v>5523</v>
      </c>
      <c r="C1469" t="s">
        <v>660</v>
      </c>
      <c r="E1469" t="s">
        <v>5469</v>
      </c>
      <c r="F1469" t="s">
        <v>1401</v>
      </c>
      <c r="G1469">
        <v>425.0</v>
      </c>
      <c r="H1469">
        <v>425.0</v>
      </c>
      <c r="I1469" t="s">
        <v>179</v>
      </c>
      <c r="J1469" t="s">
        <v>180</v>
      </c>
      <c r="K1469" t="s">
        <v>31</v>
      </c>
      <c r="L1469" t="s">
        <v>32</v>
      </c>
      <c r="M1469" t="s">
        <v>33</v>
      </c>
      <c r="P1469" s="1" t="s">
        <v>5524</v>
      </c>
      <c r="Q1469" s="1" t="s">
        <v>5469</v>
      </c>
      <c r="R1469" s="1" t="s">
        <v>5469</v>
      </c>
      <c r="S1469" s="1"/>
      <c r="T1469" s="1" t="s">
        <v>660</v>
      </c>
      <c r="U1469" s="1"/>
      <c r="V1469" s="1">
        <v>425.0</v>
      </c>
      <c r="W1469" s="1">
        <v>425.0</v>
      </c>
      <c r="X1469" s="1" t="s">
        <v>35</v>
      </c>
      <c r="Y1469" s="1">
        <v>425000.0</v>
      </c>
      <c r="Z1469" s="1"/>
      <c r="AA1469" s="1">
        <v>425000.0</v>
      </c>
      <c r="AB1469" s="1"/>
      <c r="AC1469" s="1" t="s">
        <v>36</v>
      </c>
      <c r="AD1469" s="1" t="s">
        <v>5525</v>
      </c>
      <c r="AE1469" s="1" t="s">
        <v>32</v>
      </c>
      <c r="AF1469" s="1" t="s">
        <v>33</v>
      </c>
      <c r="AG1469" s="1" t="s">
        <v>180</v>
      </c>
    </row>
    <row r="1470" spans="1:33">
      <c r="A1470" t="s">
        <v>5526</v>
      </c>
      <c r="C1470" t="s">
        <v>226</v>
      </c>
      <c r="E1470" t="s">
        <v>5469</v>
      </c>
      <c r="F1470" t="s">
        <v>1401</v>
      </c>
      <c r="G1470">
        <v>720.0</v>
      </c>
      <c r="H1470">
        <v>720.0</v>
      </c>
      <c r="I1470" t="s">
        <v>227</v>
      </c>
      <c r="J1470" t="s">
        <v>228</v>
      </c>
      <c r="K1470" t="s">
        <v>31</v>
      </c>
      <c r="L1470" t="s">
        <v>32</v>
      </c>
      <c r="M1470" t="s">
        <v>33</v>
      </c>
      <c r="P1470" s="1" t="s">
        <v>5527</v>
      </c>
      <c r="Q1470" s="1" t="s">
        <v>5469</v>
      </c>
      <c r="R1470" s="1" t="s">
        <v>5469</v>
      </c>
      <c r="S1470" s="1"/>
      <c r="T1470" s="1" t="s">
        <v>226</v>
      </c>
      <c r="U1470" s="1"/>
      <c r="V1470" s="1">
        <v>720.0</v>
      </c>
      <c r="W1470" s="1">
        <v>720.0</v>
      </c>
      <c r="X1470" s="1" t="s">
        <v>35</v>
      </c>
      <c r="Y1470" s="1">
        <v>720000.0</v>
      </c>
      <c r="Z1470" s="1"/>
      <c r="AA1470" s="1">
        <v>720000.0</v>
      </c>
      <c r="AB1470" s="1"/>
      <c r="AC1470" s="1" t="s">
        <v>36</v>
      </c>
      <c r="AD1470" s="1" t="s">
        <v>5528</v>
      </c>
      <c r="AE1470" s="1" t="s">
        <v>32</v>
      </c>
      <c r="AF1470" s="1" t="s">
        <v>33</v>
      </c>
      <c r="AG1470" s="1" t="s">
        <v>228</v>
      </c>
    </row>
    <row r="1471" spans="1:33">
      <c r="A1471" t="s">
        <v>5529</v>
      </c>
      <c r="B1471" t="s">
        <v>2533</v>
      </c>
      <c r="C1471" t="s">
        <v>569</v>
      </c>
      <c r="E1471" t="s">
        <v>5469</v>
      </c>
      <c r="F1471" t="s">
        <v>1401</v>
      </c>
      <c r="G1471">
        <v>50.78</v>
      </c>
      <c r="H1471">
        <v>50.78</v>
      </c>
      <c r="I1471" t="s">
        <v>570</v>
      </c>
      <c r="J1471" t="s">
        <v>571</v>
      </c>
      <c r="K1471" t="s">
        <v>31</v>
      </c>
      <c r="L1471" t="s">
        <v>32</v>
      </c>
      <c r="M1471" t="s">
        <v>33</v>
      </c>
      <c r="P1471" s="1" t="s">
        <v>5530</v>
      </c>
      <c r="Q1471" s="1" t="s">
        <v>5469</v>
      </c>
      <c r="R1471" s="1" t="s">
        <v>5469</v>
      </c>
      <c r="S1471" s="1"/>
      <c r="T1471" s="1" t="s">
        <v>569</v>
      </c>
      <c r="U1471" s="1"/>
      <c r="V1471" s="1">
        <v>50.78</v>
      </c>
      <c r="W1471" s="1">
        <v>50.78</v>
      </c>
      <c r="X1471" s="1" t="s">
        <v>35</v>
      </c>
      <c r="Y1471" s="1">
        <v>50780.0</v>
      </c>
      <c r="Z1471" s="1"/>
      <c r="AA1471" s="1">
        <v>50780.0</v>
      </c>
      <c r="AB1471" s="1"/>
      <c r="AC1471" s="1" t="s">
        <v>36</v>
      </c>
      <c r="AD1471" s="1" t="s">
        <v>5531</v>
      </c>
      <c r="AE1471" s="1" t="s">
        <v>32</v>
      </c>
      <c r="AF1471" s="1" t="s">
        <v>33</v>
      </c>
      <c r="AG1471" s="1" t="s">
        <v>571</v>
      </c>
    </row>
    <row r="1472" spans="1:33">
      <c r="A1472" t="s">
        <v>5532</v>
      </c>
      <c r="B1472" t="s">
        <v>201</v>
      </c>
      <c r="C1472" t="s">
        <v>202</v>
      </c>
      <c r="D1472" t="s">
        <v>154</v>
      </c>
      <c r="E1472" t="s">
        <v>5469</v>
      </c>
      <c r="F1472" t="s">
        <v>1401</v>
      </c>
      <c r="G1472">
        <v>443.5</v>
      </c>
      <c r="H1472">
        <v>443.5</v>
      </c>
      <c r="I1472" t="s">
        <v>59</v>
      </c>
      <c r="J1472" t="s">
        <v>60</v>
      </c>
      <c r="K1472" t="s">
        <v>31</v>
      </c>
      <c r="L1472" t="s">
        <v>32</v>
      </c>
      <c r="M1472" t="s">
        <v>33</v>
      </c>
      <c r="P1472" s="1" t="s">
        <v>5533</v>
      </c>
      <c r="Q1472" s="1" t="s">
        <v>5469</v>
      </c>
      <c r="R1472" s="1" t="s">
        <v>5469</v>
      </c>
      <c r="S1472" s="1"/>
      <c r="T1472" s="1" t="s">
        <v>202</v>
      </c>
      <c r="U1472" s="1"/>
      <c r="V1472" s="1">
        <v>443.5</v>
      </c>
      <c r="W1472" s="1">
        <v>443.5</v>
      </c>
      <c r="X1472" s="1" t="s">
        <v>35</v>
      </c>
      <c r="Y1472" s="1">
        <v>443500.0</v>
      </c>
      <c r="Z1472" s="1"/>
      <c r="AA1472" s="1">
        <v>443500.0</v>
      </c>
      <c r="AB1472" s="1"/>
      <c r="AC1472" s="1" t="s">
        <v>36</v>
      </c>
      <c r="AD1472" s="1" t="s">
        <v>5534</v>
      </c>
      <c r="AE1472" s="1" t="s">
        <v>32</v>
      </c>
      <c r="AF1472" s="1" t="s">
        <v>33</v>
      </c>
      <c r="AG1472" s="1" t="s">
        <v>60</v>
      </c>
    </row>
    <row r="1473" spans="1:33">
      <c r="A1473" t="s">
        <v>5535</v>
      </c>
      <c r="B1473" t="s">
        <v>5536</v>
      </c>
      <c r="C1473" t="s">
        <v>68</v>
      </c>
      <c r="E1473" t="s">
        <v>5469</v>
      </c>
      <c r="F1473" t="s">
        <v>1401</v>
      </c>
      <c r="G1473">
        <v>1.77</v>
      </c>
      <c r="H1473">
        <v>1.77</v>
      </c>
      <c r="I1473" t="s">
        <v>59</v>
      </c>
      <c r="J1473" t="s">
        <v>60</v>
      </c>
      <c r="K1473" t="s">
        <v>31</v>
      </c>
      <c r="L1473" t="s">
        <v>32</v>
      </c>
      <c r="M1473" t="s">
        <v>33</v>
      </c>
      <c r="P1473" s="1" t="s">
        <v>5537</v>
      </c>
      <c r="Q1473" s="1" t="s">
        <v>5469</v>
      </c>
      <c r="R1473" s="1" t="s">
        <v>5469</v>
      </c>
      <c r="S1473" s="1"/>
      <c r="T1473" s="1" t="s">
        <v>68</v>
      </c>
      <c r="U1473" s="1"/>
      <c r="V1473" s="1">
        <v>1.77</v>
      </c>
      <c r="W1473" s="1">
        <v>1.77</v>
      </c>
      <c r="X1473" s="1" t="s">
        <v>35</v>
      </c>
      <c r="Y1473" s="1">
        <v>1770.0</v>
      </c>
      <c r="Z1473" s="1"/>
      <c r="AA1473" s="1">
        <v>1770.0</v>
      </c>
      <c r="AB1473" s="1"/>
      <c r="AC1473" s="1" t="s">
        <v>36</v>
      </c>
      <c r="AD1473" s="1" t="s">
        <v>5534</v>
      </c>
      <c r="AE1473" s="1" t="s">
        <v>32</v>
      </c>
      <c r="AF1473" s="1" t="s">
        <v>33</v>
      </c>
      <c r="AG1473" s="1" t="s">
        <v>60</v>
      </c>
    </row>
    <row r="1474" spans="1:33">
      <c r="A1474" t="s">
        <v>5538</v>
      </c>
      <c r="C1474" t="s">
        <v>5539</v>
      </c>
      <c r="E1474" t="s">
        <v>5469</v>
      </c>
      <c r="F1474" t="s">
        <v>1401</v>
      </c>
      <c r="G1474">
        <v>357.25</v>
      </c>
      <c r="H1474">
        <v>357.25</v>
      </c>
      <c r="I1474" t="s">
        <v>269</v>
      </c>
      <c r="J1474" t="s">
        <v>270</v>
      </c>
      <c r="K1474" t="s">
        <v>31</v>
      </c>
      <c r="L1474" t="s">
        <v>32</v>
      </c>
      <c r="M1474" t="s">
        <v>33</v>
      </c>
      <c r="P1474" s="1" t="s">
        <v>5540</v>
      </c>
      <c r="Q1474" s="1" t="s">
        <v>5469</v>
      </c>
      <c r="R1474" s="1" t="s">
        <v>5469</v>
      </c>
      <c r="S1474" s="1"/>
      <c r="T1474" s="1" t="s">
        <v>5539</v>
      </c>
      <c r="U1474" s="1"/>
      <c r="V1474" s="1">
        <v>357.25</v>
      </c>
      <c r="W1474" s="1">
        <v>357.25</v>
      </c>
      <c r="X1474" s="1" t="s">
        <v>35</v>
      </c>
      <c r="Y1474" s="1">
        <v>357250.0</v>
      </c>
      <c r="Z1474" s="1"/>
      <c r="AA1474" s="1">
        <v>357250.0</v>
      </c>
      <c r="AB1474" s="1"/>
      <c r="AC1474" s="1" t="s">
        <v>36</v>
      </c>
      <c r="AD1474" s="1" t="s">
        <v>5541</v>
      </c>
      <c r="AE1474" s="1" t="s">
        <v>32</v>
      </c>
      <c r="AF1474" s="1" t="s">
        <v>33</v>
      </c>
      <c r="AG1474" s="1" t="s">
        <v>270</v>
      </c>
    </row>
    <row r="1475" spans="1:33">
      <c r="A1475" t="s">
        <v>5542</v>
      </c>
      <c r="B1475" t="s">
        <v>5543</v>
      </c>
      <c r="C1475" t="s">
        <v>47</v>
      </c>
      <c r="E1475" t="s">
        <v>5469</v>
      </c>
      <c r="F1475" t="s">
        <v>1401</v>
      </c>
      <c r="G1475">
        <v>32.24</v>
      </c>
      <c r="H1475">
        <v>32.24</v>
      </c>
      <c r="I1475" t="s">
        <v>48</v>
      </c>
      <c r="J1475" t="s">
        <v>49</v>
      </c>
      <c r="K1475" t="s">
        <v>31</v>
      </c>
      <c r="L1475" t="s">
        <v>32</v>
      </c>
      <c r="M1475" t="s">
        <v>33</v>
      </c>
      <c r="P1475" s="1" t="s">
        <v>5544</v>
      </c>
      <c r="Q1475" s="1" t="s">
        <v>5469</v>
      </c>
      <c r="R1475" s="1" t="s">
        <v>5469</v>
      </c>
      <c r="S1475" s="1"/>
      <c r="T1475" s="1" t="s">
        <v>47</v>
      </c>
      <c r="U1475" s="1"/>
      <c r="V1475" s="1">
        <v>32.24</v>
      </c>
      <c r="W1475" s="1">
        <v>32.24</v>
      </c>
      <c r="X1475" s="1" t="s">
        <v>35</v>
      </c>
      <c r="Y1475" s="1">
        <v>32240.0</v>
      </c>
      <c r="Z1475" s="1"/>
      <c r="AA1475" s="1">
        <v>32240.0</v>
      </c>
      <c r="AB1475" s="1"/>
      <c r="AC1475" s="1" t="s">
        <v>36</v>
      </c>
      <c r="AD1475" s="1" t="s">
        <v>5545</v>
      </c>
      <c r="AE1475" s="1" t="s">
        <v>32</v>
      </c>
      <c r="AF1475" s="1" t="s">
        <v>33</v>
      </c>
      <c r="AG1475" s="1" t="s">
        <v>49</v>
      </c>
    </row>
    <row r="1476" spans="1:33">
      <c r="A1476" t="s">
        <v>5546</v>
      </c>
      <c r="C1476" t="s">
        <v>5547</v>
      </c>
      <c r="E1476" t="s">
        <v>5469</v>
      </c>
      <c r="F1476" t="s">
        <v>1401</v>
      </c>
      <c r="G1476">
        <v>610.0</v>
      </c>
      <c r="H1476">
        <v>610.0</v>
      </c>
      <c r="I1476" t="s">
        <v>48</v>
      </c>
      <c r="J1476" t="s">
        <v>49</v>
      </c>
      <c r="K1476" t="s">
        <v>31</v>
      </c>
      <c r="L1476" t="s">
        <v>32</v>
      </c>
      <c r="M1476" t="s">
        <v>33</v>
      </c>
      <c r="P1476" s="1" t="s">
        <v>5548</v>
      </c>
      <c r="Q1476" s="1" t="s">
        <v>5469</v>
      </c>
      <c r="R1476" s="1" t="s">
        <v>5469</v>
      </c>
      <c r="S1476" s="1"/>
      <c r="T1476" s="1" t="s">
        <v>5547</v>
      </c>
      <c r="U1476" s="1"/>
      <c r="V1476" s="1">
        <v>610.0</v>
      </c>
      <c r="W1476" s="1">
        <v>610.0</v>
      </c>
      <c r="X1476" s="1" t="s">
        <v>35</v>
      </c>
      <c r="Y1476" s="1">
        <v>610000.0</v>
      </c>
      <c r="Z1476" s="1"/>
      <c r="AA1476" s="1">
        <v>610000.0</v>
      </c>
      <c r="AB1476" s="1"/>
      <c r="AC1476" s="1" t="s">
        <v>36</v>
      </c>
      <c r="AD1476" s="1" t="s">
        <v>5549</v>
      </c>
      <c r="AE1476" s="1" t="s">
        <v>32</v>
      </c>
      <c r="AF1476" s="1" t="s">
        <v>33</v>
      </c>
      <c r="AG1476" s="1" t="s">
        <v>49</v>
      </c>
    </row>
    <row r="1477" spans="1:33">
      <c r="A1477" t="s">
        <v>5550</v>
      </c>
      <c r="B1477" t="s">
        <v>837</v>
      </c>
      <c r="C1477" t="s">
        <v>838</v>
      </c>
      <c r="E1477" t="s">
        <v>5469</v>
      </c>
      <c r="F1477" t="s">
        <v>1401</v>
      </c>
      <c r="G1477">
        <v>15.495</v>
      </c>
      <c r="H1477">
        <v>15.495</v>
      </c>
      <c r="I1477" t="s">
        <v>59</v>
      </c>
      <c r="J1477" t="s">
        <v>60</v>
      </c>
      <c r="K1477" t="s">
        <v>31</v>
      </c>
      <c r="L1477" t="s">
        <v>32</v>
      </c>
      <c r="M1477" t="s">
        <v>33</v>
      </c>
      <c r="P1477" s="1" t="s">
        <v>5551</v>
      </c>
      <c r="Q1477" s="1" t="s">
        <v>5469</v>
      </c>
      <c r="R1477" s="1" t="s">
        <v>5469</v>
      </c>
      <c r="S1477" s="1"/>
      <c r="T1477" s="1" t="s">
        <v>838</v>
      </c>
      <c r="U1477" s="1"/>
      <c r="V1477" s="1">
        <v>15.495</v>
      </c>
      <c r="W1477" s="1">
        <v>15.495</v>
      </c>
      <c r="X1477" s="1" t="s">
        <v>35</v>
      </c>
      <c r="Y1477" s="1">
        <v>15495.0</v>
      </c>
      <c r="Z1477" s="1"/>
      <c r="AA1477" s="1">
        <v>15495.0</v>
      </c>
      <c r="AB1477" s="1"/>
      <c r="AC1477" s="1" t="s">
        <v>36</v>
      </c>
      <c r="AD1477" s="1" t="s">
        <v>5552</v>
      </c>
      <c r="AE1477" s="1" t="s">
        <v>32</v>
      </c>
      <c r="AF1477" s="1" t="s">
        <v>33</v>
      </c>
      <c r="AG1477" s="1" t="s">
        <v>60</v>
      </c>
    </row>
    <row r="1478" spans="1:33">
      <c r="A1478" t="s">
        <v>5553</v>
      </c>
      <c r="B1478" t="s">
        <v>5426</v>
      </c>
      <c r="C1478" t="s">
        <v>125</v>
      </c>
      <c r="E1478" t="s">
        <v>5469</v>
      </c>
      <c r="F1478" t="s">
        <v>1401</v>
      </c>
      <c r="G1478">
        <v>25.84</v>
      </c>
      <c r="H1478">
        <v>25.84</v>
      </c>
      <c r="I1478" t="s">
        <v>126</v>
      </c>
      <c r="J1478" t="s">
        <v>127</v>
      </c>
      <c r="K1478" t="s">
        <v>31</v>
      </c>
      <c r="L1478" t="s">
        <v>32</v>
      </c>
      <c r="M1478" t="s">
        <v>33</v>
      </c>
      <c r="P1478" s="1" t="s">
        <v>5554</v>
      </c>
      <c r="Q1478" s="1" t="s">
        <v>5469</v>
      </c>
      <c r="R1478" s="1" t="s">
        <v>5469</v>
      </c>
      <c r="S1478" s="1"/>
      <c r="T1478" s="1" t="s">
        <v>125</v>
      </c>
      <c r="U1478" s="1"/>
      <c r="V1478" s="1">
        <v>25.84</v>
      </c>
      <c r="W1478" s="1">
        <v>25.84</v>
      </c>
      <c r="X1478" s="1" t="s">
        <v>35</v>
      </c>
      <c r="Y1478" s="1">
        <v>25840.0</v>
      </c>
      <c r="Z1478" s="1"/>
      <c r="AA1478" s="1">
        <v>25840.0</v>
      </c>
      <c r="AB1478" s="1"/>
      <c r="AC1478" s="1" t="s">
        <v>36</v>
      </c>
      <c r="AD1478" s="1" t="s">
        <v>5555</v>
      </c>
      <c r="AE1478" s="1" t="s">
        <v>1636</v>
      </c>
      <c r="AF1478" s="1" t="s">
        <v>33</v>
      </c>
      <c r="AG1478" s="1" t="s">
        <v>127</v>
      </c>
    </row>
    <row r="1479" spans="1:33">
      <c r="A1479" t="s">
        <v>5556</v>
      </c>
      <c r="C1479" t="s">
        <v>5557</v>
      </c>
      <c r="E1479" t="s">
        <v>5469</v>
      </c>
      <c r="F1479" t="s">
        <v>1401</v>
      </c>
      <c r="G1479">
        <v>372.0</v>
      </c>
      <c r="H1479">
        <v>372.0</v>
      </c>
      <c r="I1479" t="s">
        <v>126</v>
      </c>
      <c r="J1479" t="s">
        <v>127</v>
      </c>
      <c r="K1479" t="s">
        <v>31</v>
      </c>
      <c r="L1479" t="s">
        <v>32</v>
      </c>
      <c r="M1479" t="s">
        <v>33</v>
      </c>
      <c r="P1479" s="1" t="s">
        <v>5558</v>
      </c>
      <c r="Q1479" s="1" t="s">
        <v>5469</v>
      </c>
      <c r="R1479" s="1" t="s">
        <v>5469</v>
      </c>
      <c r="S1479" s="1"/>
      <c r="T1479" s="1" t="s">
        <v>5557</v>
      </c>
      <c r="U1479" s="1"/>
      <c r="V1479" s="1">
        <v>372.0</v>
      </c>
      <c r="W1479" s="1">
        <v>372.0</v>
      </c>
      <c r="X1479" s="1" t="s">
        <v>35</v>
      </c>
      <c r="Y1479" s="1">
        <v>372000.0</v>
      </c>
      <c r="Z1479" s="1"/>
      <c r="AA1479" s="1">
        <v>372000.0</v>
      </c>
      <c r="AB1479" s="1"/>
      <c r="AC1479" s="1" t="s">
        <v>36</v>
      </c>
      <c r="AD1479" s="1" t="s">
        <v>5541</v>
      </c>
      <c r="AE1479" s="1" t="s">
        <v>32</v>
      </c>
      <c r="AF1479" s="1" t="s">
        <v>33</v>
      </c>
      <c r="AG1479" s="1" t="s">
        <v>127</v>
      </c>
    </row>
    <row r="1480" spans="1:33">
      <c r="A1480" t="s">
        <v>5559</v>
      </c>
      <c r="B1480" t="s">
        <v>3183</v>
      </c>
      <c r="C1480" t="s">
        <v>125</v>
      </c>
      <c r="E1480" t="s">
        <v>5469</v>
      </c>
      <c r="F1480" t="s">
        <v>1401</v>
      </c>
      <c r="G1480">
        <v>33.735</v>
      </c>
      <c r="H1480">
        <v>33.735</v>
      </c>
      <c r="I1480" t="s">
        <v>126</v>
      </c>
      <c r="J1480" t="s">
        <v>127</v>
      </c>
      <c r="K1480" t="s">
        <v>31</v>
      </c>
      <c r="L1480" t="s">
        <v>32</v>
      </c>
      <c r="M1480" t="s">
        <v>33</v>
      </c>
      <c r="P1480" s="1" t="s">
        <v>5560</v>
      </c>
      <c r="Q1480" s="1" t="s">
        <v>5469</v>
      </c>
      <c r="R1480" s="1" t="s">
        <v>5469</v>
      </c>
      <c r="S1480" s="1"/>
      <c r="T1480" s="1" t="s">
        <v>125</v>
      </c>
      <c r="U1480" s="1"/>
      <c r="V1480" s="1">
        <v>33.735</v>
      </c>
      <c r="W1480" s="1">
        <v>33.735</v>
      </c>
      <c r="X1480" s="1" t="s">
        <v>35</v>
      </c>
      <c r="Y1480" s="1">
        <v>33735.0</v>
      </c>
      <c r="Z1480" s="1"/>
      <c r="AA1480" s="1">
        <v>33735.0</v>
      </c>
      <c r="AB1480" s="1"/>
      <c r="AC1480" s="1" t="s">
        <v>36</v>
      </c>
      <c r="AD1480" s="1" t="s">
        <v>5561</v>
      </c>
      <c r="AE1480" s="1" t="s">
        <v>32</v>
      </c>
      <c r="AF1480" s="1" t="s">
        <v>33</v>
      </c>
      <c r="AG1480" s="1" t="s">
        <v>127</v>
      </c>
    </row>
    <row r="1481" spans="1:33">
      <c r="A1481" t="s">
        <v>5562</v>
      </c>
      <c r="B1481" t="s">
        <v>5563</v>
      </c>
      <c r="C1481" t="s">
        <v>47</v>
      </c>
      <c r="E1481" t="s">
        <v>5469</v>
      </c>
      <c r="F1481" t="s">
        <v>1401</v>
      </c>
      <c r="G1481">
        <v>80.98</v>
      </c>
      <c r="H1481">
        <v>80.98</v>
      </c>
      <c r="I1481" t="s">
        <v>48</v>
      </c>
      <c r="J1481" t="s">
        <v>49</v>
      </c>
      <c r="K1481" t="s">
        <v>31</v>
      </c>
      <c r="L1481" t="s">
        <v>32</v>
      </c>
      <c r="M1481" t="s">
        <v>33</v>
      </c>
      <c r="P1481" s="1" t="s">
        <v>5564</v>
      </c>
      <c r="Q1481" s="1" t="s">
        <v>5469</v>
      </c>
      <c r="R1481" s="1" t="s">
        <v>5469</v>
      </c>
      <c r="S1481" s="1"/>
      <c r="T1481" s="1" t="s">
        <v>47</v>
      </c>
      <c r="U1481" s="1"/>
      <c r="V1481" s="1">
        <v>80.98</v>
      </c>
      <c r="W1481" s="1">
        <v>80.98</v>
      </c>
      <c r="X1481" s="1" t="s">
        <v>35</v>
      </c>
      <c r="Y1481" s="1">
        <v>80980.0</v>
      </c>
      <c r="Z1481" s="1"/>
      <c r="AA1481" s="1">
        <v>80980.0</v>
      </c>
      <c r="AB1481" s="1"/>
      <c r="AC1481" s="1" t="s">
        <v>36</v>
      </c>
      <c r="AD1481" s="1" t="s">
        <v>5565</v>
      </c>
      <c r="AE1481" s="1" t="s">
        <v>32</v>
      </c>
      <c r="AF1481" s="1" t="s">
        <v>33</v>
      </c>
      <c r="AG1481" s="1" t="s">
        <v>49</v>
      </c>
    </row>
    <row r="1482" spans="1:33">
      <c r="A1482" t="s">
        <v>5566</v>
      </c>
      <c r="C1482" t="s">
        <v>5567</v>
      </c>
      <c r="D1482" t="s">
        <v>114</v>
      </c>
      <c r="E1482" t="s">
        <v>5469</v>
      </c>
      <c r="F1482" t="s">
        <v>1401</v>
      </c>
      <c r="G1482">
        <v>1.968</v>
      </c>
      <c r="H1482">
        <v>1.968</v>
      </c>
      <c r="I1482" t="s">
        <v>269</v>
      </c>
      <c r="J1482" t="s">
        <v>270</v>
      </c>
      <c r="K1482" t="s">
        <v>31</v>
      </c>
      <c r="L1482" t="s">
        <v>32</v>
      </c>
      <c r="M1482" t="s">
        <v>33</v>
      </c>
      <c r="P1482" s="1" t="s">
        <v>5568</v>
      </c>
      <c r="Q1482" s="1" t="s">
        <v>5469</v>
      </c>
      <c r="R1482" s="1" t="s">
        <v>5469</v>
      </c>
      <c r="S1482" s="1"/>
      <c r="T1482" s="1" t="s">
        <v>5567</v>
      </c>
      <c r="U1482" s="1"/>
      <c r="V1482" s="1">
        <v>1.968</v>
      </c>
      <c r="W1482" s="1">
        <v>1.968</v>
      </c>
      <c r="X1482" s="1" t="s">
        <v>35</v>
      </c>
      <c r="Y1482" s="1">
        <v>1968000.0</v>
      </c>
      <c r="Z1482" s="1"/>
      <c r="AA1482" s="1">
        <v>1968000.0</v>
      </c>
      <c r="AB1482" s="1"/>
      <c r="AC1482" s="1" t="s">
        <v>36</v>
      </c>
      <c r="AD1482" s="1" t="s">
        <v>5569</v>
      </c>
      <c r="AE1482" s="1" t="s">
        <v>32</v>
      </c>
      <c r="AF1482" s="1" t="s">
        <v>33</v>
      </c>
      <c r="AG1482" s="1" t="s">
        <v>270</v>
      </c>
    </row>
    <row r="1483" spans="1:33">
      <c r="A1483" t="s">
        <v>5570</v>
      </c>
      <c r="B1483" t="s">
        <v>5571</v>
      </c>
      <c r="C1483" t="s">
        <v>131</v>
      </c>
      <c r="E1483" t="s">
        <v>5469</v>
      </c>
      <c r="F1483" t="s">
        <v>1401</v>
      </c>
      <c r="G1483">
        <v>32.99</v>
      </c>
      <c r="H1483">
        <v>32.99</v>
      </c>
      <c r="I1483" t="s">
        <v>94</v>
      </c>
      <c r="J1483" t="s">
        <v>95</v>
      </c>
      <c r="K1483" t="s">
        <v>31</v>
      </c>
      <c r="L1483" t="s">
        <v>32</v>
      </c>
      <c r="M1483" t="s">
        <v>33</v>
      </c>
      <c r="P1483" s="1" t="s">
        <v>5572</v>
      </c>
      <c r="Q1483" s="1" t="s">
        <v>5469</v>
      </c>
      <c r="R1483" s="1" t="s">
        <v>5469</v>
      </c>
      <c r="S1483" s="1"/>
      <c r="T1483" s="1" t="s">
        <v>131</v>
      </c>
      <c r="U1483" s="1"/>
      <c r="V1483" s="1">
        <v>32.99</v>
      </c>
      <c r="W1483" s="1">
        <v>32.99</v>
      </c>
      <c r="X1483" s="1" t="s">
        <v>35</v>
      </c>
      <c r="Y1483" s="1">
        <v>32990.0</v>
      </c>
      <c r="Z1483" s="1"/>
      <c r="AA1483" s="1">
        <v>32990.0</v>
      </c>
      <c r="AB1483" s="1"/>
      <c r="AC1483" s="1" t="s">
        <v>36</v>
      </c>
      <c r="AD1483" s="1" t="s">
        <v>5573</v>
      </c>
      <c r="AE1483" s="1" t="s">
        <v>32</v>
      </c>
      <c r="AF1483" s="1" t="s">
        <v>33</v>
      </c>
      <c r="AG1483" s="1" t="s">
        <v>95</v>
      </c>
    </row>
    <row r="1484" spans="1:33">
      <c r="A1484" t="s">
        <v>5574</v>
      </c>
      <c r="B1484" t="s">
        <v>5575</v>
      </c>
      <c r="C1484" t="s">
        <v>5576</v>
      </c>
      <c r="E1484" t="s">
        <v>5469</v>
      </c>
      <c r="F1484" t="s">
        <v>1401</v>
      </c>
      <c r="G1484">
        <v>4.598</v>
      </c>
      <c r="H1484">
        <v>4.598</v>
      </c>
      <c r="I1484" t="s">
        <v>59</v>
      </c>
      <c r="J1484" t="s">
        <v>60</v>
      </c>
      <c r="K1484" t="s">
        <v>31</v>
      </c>
      <c r="L1484" t="s">
        <v>32</v>
      </c>
      <c r="M1484" t="s">
        <v>33</v>
      </c>
      <c r="P1484" s="1" t="s">
        <v>5577</v>
      </c>
      <c r="Q1484" s="1" t="s">
        <v>5469</v>
      </c>
      <c r="R1484" s="1" t="s">
        <v>5469</v>
      </c>
      <c r="S1484" s="1"/>
      <c r="T1484" s="1" t="s">
        <v>5576</v>
      </c>
      <c r="U1484" s="1"/>
      <c r="V1484" s="1">
        <v>4.598</v>
      </c>
      <c r="W1484" s="1">
        <v>4.598</v>
      </c>
      <c r="X1484" s="1" t="s">
        <v>35</v>
      </c>
      <c r="Y1484" s="1">
        <v>4598.0</v>
      </c>
      <c r="Z1484" s="1"/>
      <c r="AA1484" s="1">
        <v>4598.0</v>
      </c>
      <c r="AB1484" s="1"/>
      <c r="AC1484" s="1" t="s">
        <v>36</v>
      </c>
      <c r="AD1484" s="1" t="s">
        <v>5578</v>
      </c>
      <c r="AE1484" s="1" t="s">
        <v>32</v>
      </c>
      <c r="AF1484" s="1" t="s">
        <v>33</v>
      </c>
      <c r="AG1484" s="1" t="s">
        <v>60</v>
      </c>
    </row>
    <row r="1485" spans="1:33">
      <c r="A1485" t="s">
        <v>5579</v>
      </c>
      <c r="C1485" t="s">
        <v>5580</v>
      </c>
      <c r="E1485" t="s">
        <v>5469</v>
      </c>
      <c r="F1485" t="s">
        <v>1401</v>
      </c>
      <c r="G1485">
        <v>416.4</v>
      </c>
      <c r="H1485">
        <v>416.4</v>
      </c>
      <c r="I1485" t="s">
        <v>94</v>
      </c>
      <c r="J1485" t="s">
        <v>95</v>
      </c>
      <c r="K1485" t="s">
        <v>31</v>
      </c>
      <c r="L1485" t="s">
        <v>32</v>
      </c>
      <c r="M1485" t="s">
        <v>33</v>
      </c>
      <c r="P1485" s="1" t="s">
        <v>5581</v>
      </c>
      <c r="Q1485" s="1" t="s">
        <v>5469</v>
      </c>
      <c r="R1485" s="1" t="s">
        <v>5469</v>
      </c>
      <c r="S1485" s="1"/>
      <c r="T1485" s="1" t="s">
        <v>5582</v>
      </c>
      <c r="U1485" s="1" t="s">
        <v>5583</v>
      </c>
      <c r="V1485" s="1">
        <v>416.4</v>
      </c>
      <c r="W1485" s="1">
        <v>416.4</v>
      </c>
      <c r="X1485" s="1" t="s">
        <v>35</v>
      </c>
      <c r="Y1485" s="1">
        <v>416400.0</v>
      </c>
      <c r="Z1485" s="1"/>
      <c r="AA1485" s="1">
        <v>416400.0</v>
      </c>
      <c r="AB1485" s="1"/>
      <c r="AC1485" s="1" t="s">
        <v>36</v>
      </c>
      <c r="AD1485" s="1" t="s">
        <v>5584</v>
      </c>
      <c r="AE1485" s="1" t="s">
        <v>32</v>
      </c>
      <c r="AF1485" s="1" t="s">
        <v>33</v>
      </c>
      <c r="AG1485" s="1" t="s">
        <v>95</v>
      </c>
    </row>
    <row r="1486" spans="1:33">
      <c r="A1486" t="s">
        <v>5585</v>
      </c>
      <c r="C1486" t="s">
        <v>866</v>
      </c>
      <c r="D1486" t="s">
        <v>154</v>
      </c>
      <c r="E1486" t="s">
        <v>5469</v>
      </c>
      <c r="F1486" t="s">
        <v>1401</v>
      </c>
      <c r="G1486">
        <v>550.0</v>
      </c>
      <c r="H1486">
        <v>550.0</v>
      </c>
      <c r="I1486" t="s">
        <v>48</v>
      </c>
      <c r="J1486" t="s">
        <v>49</v>
      </c>
      <c r="K1486" t="s">
        <v>31</v>
      </c>
      <c r="L1486" t="s">
        <v>32</v>
      </c>
      <c r="M1486" t="s">
        <v>33</v>
      </c>
      <c r="P1486" s="1" t="s">
        <v>5586</v>
      </c>
      <c r="Q1486" s="1" t="s">
        <v>5469</v>
      </c>
      <c r="R1486" s="1" t="s">
        <v>5469</v>
      </c>
      <c r="S1486" s="1"/>
      <c r="T1486" s="1" t="s">
        <v>868</v>
      </c>
      <c r="U1486" s="1" t="s">
        <v>869</v>
      </c>
      <c r="V1486" s="1">
        <v>550.0</v>
      </c>
      <c r="W1486" s="1">
        <v>550.0</v>
      </c>
      <c r="X1486" s="1" t="s">
        <v>35</v>
      </c>
      <c r="Y1486" s="1">
        <v>550000.0</v>
      </c>
      <c r="Z1486" s="1"/>
      <c r="AA1486" s="1">
        <v>550000.0</v>
      </c>
      <c r="AB1486" s="1"/>
      <c r="AC1486" s="1" t="s">
        <v>36</v>
      </c>
      <c r="AD1486" s="1" t="s">
        <v>5587</v>
      </c>
      <c r="AE1486" s="1" t="s">
        <v>32</v>
      </c>
      <c r="AF1486" s="1" t="s">
        <v>33</v>
      </c>
      <c r="AG1486" s="1" t="s">
        <v>49</v>
      </c>
    </row>
    <row r="1487" spans="1:33">
      <c r="A1487" t="s">
        <v>5588</v>
      </c>
      <c r="C1487" t="s">
        <v>1129</v>
      </c>
      <c r="E1487" t="s">
        <v>5469</v>
      </c>
      <c r="F1487" t="s">
        <v>1401</v>
      </c>
      <c r="G1487">
        <v>336.0</v>
      </c>
      <c r="H1487">
        <v>336.0</v>
      </c>
      <c r="I1487" t="s">
        <v>94</v>
      </c>
      <c r="J1487" t="s">
        <v>95</v>
      </c>
      <c r="K1487" t="s">
        <v>31</v>
      </c>
      <c r="L1487" t="s">
        <v>32</v>
      </c>
      <c r="M1487" t="s">
        <v>33</v>
      </c>
      <c r="P1487" s="1" t="s">
        <v>5589</v>
      </c>
      <c r="Q1487" s="1" t="s">
        <v>5469</v>
      </c>
      <c r="R1487" s="1" t="s">
        <v>5469</v>
      </c>
      <c r="S1487" s="1"/>
      <c r="T1487" s="1" t="s">
        <v>1129</v>
      </c>
      <c r="U1487" s="1"/>
      <c r="V1487" s="1">
        <v>336.0</v>
      </c>
      <c r="W1487" s="1">
        <v>336.0</v>
      </c>
      <c r="X1487" s="1" t="s">
        <v>35</v>
      </c>
      <c r="Y1487" s="1">
        <v>336000.0</v>
      </c>
      <c r="Z1487" s="1"/>
      <c r="AA1487" s="1">
        <v>336000.0</v>
      </c>
      <c r="AB1487" s="1"/>
      <c r="AC1487" s="1" t="s">
        <v>36</v>
      </c>
      <c r="AD1487" s="1" t="s">
        <v>5590</v>
      </c>
      <c r="AE1487" s="1" t="s">
        <v>32</v>
      </c>
      <c r="AF1487" s="1" t="s">
        <v>33</v>
      </c>
      <c r="AG1487" s="1" t="s">
        <v>95</v>
      </c>
    </row>
    <row r="1488" spans="1:33">
      <c r="A1488" t="s">
        <v>5591</v>
      </c>
      <c r="B1488" t="s">
        <v>5592</v>
      </c>
      <c r="C1488" t="s">
        <v>131</v>
      </c>
      <c r="E1488" t="s">
        <v>5469</v>
      </c>
      <c r="F1488" t="s">
        <v>1401</v>
      </c>
      <c r="G1488">
        <v>12.498</v>
      </c>
      <c r="H1488">
        <v>12.498</v>
      </c>
      <c r="I1488" t="s">
        <v>94</v>
      </c>
      <c r="J1488" t="s">
        <v>95</v>
      </c>
      <c r="K1488" t="s">
        <v>31</v>
      </c>
      <c r="L1488" t="s">
        <v>32</v>
      </c>
      <c r="M1488" t="s">
        <v>33</v>
      </c>
      <c r="P1488" s="1" t="s">
        <v>5593</v>
      </c>
      <c r="Q1488" s="1" t="s">
        <v>5469</v>
      </c>
      <c r="R1488" s="1" t="s">
        <v>5469</v>
      </c>
      <c r="S1488" s="1"/>
      <c r="T1488" s="1" t="s">
        <v>131</v>
      </c>
      <c r="U1488" s="1"/>
      <c r="V1488" s="1">
        <v>12.498</v>
      </c>
      <c r="W1488" s="1">
        <v>12.498</v>
      </c>
      <c r="X1488" s="1" t="s">
        <v>35</v>
      </c>
      <c r="Y1488" s="1">
        <v>12498.0</v>
      </c>
      <c r="Z1488" s="1"/>
      <c r="AA1488" s="1">
        <v>12498.0</v>
      </c>
      <c r="AB1488" s="1"/>
      <c r="AC1488" s="1" t="s">
        <v>36</v>
      </c>
      <c r="AD1488" s="1" t="s">
        <v>5594</v>
      </c>
      <c r="AE1488" s="1" t="s">
        <v>32</v>
      </c>
      <c r="AF1488" s="1" t="s">
        <v>33</v>
      </c>
      <c r="AG1488" s="1" t="s">
        <v>95</v>
      </c>
    </row>
    <row r="1489" spans="1:33">
      <c r="A1489" t="s">
        <v>5595</v>
      </c>
      <c r="B1489" t="s">
        <v>5596</v>
      </c>
      <c r="C1489" t="s">
        <v>47</v>
      </c>
      <c r="E1489" t="s">
        <v>5469</v>
      </c>
      <c r="F1489" t="s">
        <v>1401</v>
      </c>
      <c r="G1489">
        <v>43.98</v>
      </c>
      <c r="H1489">
        <v>43.98</v>
      </c>
      <c r="I1489" t="s">
        <v>48</v>
      </c>
      <c r="J1489" t="s">
        <v>49</v>
      </c>
      <c r="K1489" t="s">
        <v>31</v>
      </c>
      <c r="L1489" t="s">
        <v>32</v>
      </c>
      <c r="M1489" t="s">
        <v>33</v>
      </c>
      <c r="P1489" s="1" t="s">
        <v>5597</v>
      </c>
      <c r="Q1489" s="1" t="s">
        <v>5469</v>
      </c>
      <c r="R1489" s="1" t="s">
        <v>5469</v>
      </c>
      <c r="S1489" s="1"/>
      <c r="T1489" s="1" t="s">
        <v>47</v>
      </c>
      <c r="U1489" s="1"/>
      <c r="V1489" s="1">
        <v>43.98</v>
      </c>
      <c r="W1489" s="1">
        <v>43.98</v>
      </c>
      <c r="X1489" s="1" t="s">
        <v>35</v>
      </c>
      <c r="Y1489" s="1">
        <v>43980.0</v>
      </c>
      <c r="Z1489" s="1"/>
      <c r="AA1489" s="1">
        <v>43980.0</v>
      </c>
      <c r="AB1489" s="1"/>
      <c r="AC1489" s="1" t="s">
        <v>36</v>
      </c>
      <c r="AD1489" s="1" t="s">
        <v>5598</v>
      </c>
      <c r="AE1489" s="1" t="s">
        <v>32</v>
      </c>
      <c r="AF1489" s="1" t="s">
        <v>33</v>
      </c>
      <c r="AG1489" s="1" t="s">
        <v>49</v>
      </c>
    </row>
    <row r="1490" spans="1:33">
      <c r="A1490" t="s">
        <v>5599</v>
      </c>
      <c r="B1490" t="s">
        <v>5575</v>
      </c>
      <c r="C1490" t="s">
        <v>5576</v>
      </c>
      <c r="E1490" t="s">
        <v>5469</v>
      </c>
      <c r="F1490" t="s">
        <v>1401</v>
      </c>
      <c r="G1490">
        <v>6.698</v>
      </c>
      <c r="H1490">
        <v>6.698</v>
      </c>
      <c r="I1490" t="s">
        <v>59</v>
      </c>
      <c r="J1490" t="s">
        <v>60</v>
      </c>
      <c r="K1490" t="s">
        <v>31</v>
      </c>
      <c r="L1490" t="s">
        <v>32</v>
      </c>
      <c r="M1490" t="s">
        <v>33</v>
      </c>
      <c r="P1490" s="1" t="s">
        <v>5600</v>
      </c>
      <c r="Q1490" s="1" t="s">
        <v>5469</v>
      </c>
      <c r="R1490" s="1" t="s">
        <v>5469</v>
      </c>
      <c r="S1490" s="1"/>
      <c r="T1490" s="1" t="s">
        <v>5576</v>
      </c>
      <c r="U1490" s="1"/>
      <c r="V1490" s="1">
        <v>6.698</v>
      </c>
      <c r="W1490" s="1">
        <v>6.698</v>
      </c>
      <c r="X1490" s="1" t="s">
        <v>35</v>
      </c>
      <c r="Y1490" s="1">
        <v>6698.0</v>
      </c>
      <c r="Z1490" s="1"/>
      <c r="AA1490" s="1">
        <v>6698.0</v>
      </c>
      <c r="AB1490" s="1"/>
      <c r="AC1490" s="1" t="s">
        <v>36</v>
      </c>
      <c r="AD1490" s="1" t="s">
        <v>5601</v>
      </c>
      <c r="AE1490" s="1" t="s">
        <v>32</v>
      </c>
      <c r="AF1490" s="1" t="s">
        <v>33</v>
      </c>
      <c r="AG1490" s="1" t="s">
        <v>60</v>
      </c>
    </row>
    <row r="1491" spans="1:33">
      <c r="A1491" t="s">
        <v>5602</v>
      </c>
      <c r="B1491" t="s">
        <v>3534</v>
      </c>
      <c r="C1491" t="s">
        <v>314</v>
      </c>
      <c r="E1491" t="s">
        <v>5469</v>
      </c>
      <c r="F1491" t="s">
        <v>1401</v>
      </c>
      <c r="G1491">
        <v>3.0</v>
      </c>
      <c r="H1491">
        <v>3.0</v>
      </c>
      <c r="I1491" t="s">
        <v>179</v>
      </c>
      <c r="J1491" t="s">
        <v>180</v>
      </c>
      <c r="K1491" t="s">
        <v>31</v>
      </c>
      <c r="L1491" t="s">
        <v>32</v>
      </c>
      <c r="M1491" t="s">
        <v>33</v>
      </c>
      <c r="P1491" s="1" t="s">
        <v>5603</v>
      </c>
      <c r="Q1491" s="1" t="s">
        <v>5469</v>
      </c>
      <c r="R1491" s="1" t="s">
        <v>5469</v>
      </c>
      <c r="S1491" s="1"/>
      <c r="T1491" s="1" t="s">
        <v>314</v>
      </c>
      <c r="U1491" s="1"/>
      <c r="V1491" s="1">
        <v>3.0</v>
      </c>
      <c r="W1491" s="1">
        <v>3.0</v>
      </c>
      <c r="X1491" s="1" t="s">
        <v>35</v>
      </c>
      <c r="Y1491" s="1">
        <v>3000.0</v>
      </c>
      <c r="Z1491" s="1"/>
      <c r="AA1491" s="1">
        <v>3000.0</v>
      </c>
      <c r="AB1491" s="1"/>
      <c r="AC1491" s="1" t="s">
        <v>36</v>
      </c>
      <c r="AD1491" s="1" t="s">
        <v>5604</v>
      </c>
      <c r="AE1491" s="1" t="s">
        <v>32</v>
      </c>
      <c r="AF1491" s="1" t="s">
        <v>33</v>
      </c>
      <c r="AG1491" s="1" t="s">
        <v>180</v>
      </c>
    </row>
    <row r="1492" spans="1:33">
      <c r="A1492" t="s">
        <v>5605</v>
      </c>
      <c r="C1492" t="s">
        <v>135</v>
      </c>
      <c r="E1492" t="s">
        <v>5469</v>
      </c>
      <c r="F1492" t="s">
        <v>1401</v>
      </c>
      <c r="G1492">
        <v>45.15</v>
      </c>
      <c r="H1492">
        <v>45.15</v>
      </c>
      <c r="I1492" t="s">
        <v>136</v>
      </c>
      <c r="J1492" t="s">
        <v>137</v>
      </c>
      <c r="K1492" t="s">
        <v>31</v>
      </c>
      <c r="L1492" t="s">
        <v>32</v>
      </c>
      <c r="M1492" t="s">
        <v>33</v>
      </c>
      <c r="P1492" s="1" t="s">
        <v>5606</v>
      </c>
      <c r="Q1492" s="1" t="s">
        <v>5469</v>
      </c>
      <c r="R1492" s="1" t="s">
        <v>5469</v>
      </c>
      <c r="S1492" s="1"/>
      <c r="T1492" s="1" t="s">
        <v>135</v>
      </c>
      <c r="U1492" s="1"/>
      <c r="V1492" s="1">
        <v>45.15</v>
      </c>
      <c r="W1492" s="1">
        <v>45.15</v>
      </c>
      <c r="X1492" s="1" t="s">
        <v>35</v>
      </c>
      <c r="Y1492" s="1">
        <v>45150.0</v>
      </c>
      <c r="Z1492" s="1"/>
      <c r="AA1492" s="1">
        <v>45150.0</v>
      </c>
      <c r="AB1492" s="1"/>
      <c r="AC1492" s="1" t="s">
        <v>36</v>
      </c>
      <c r="AD1492" s="1" t="s">
        <v>5587</v>
      </c>
      <c r="AE1492" s="1" t="s">
        <v>32</v>
      </c>
      <c r="AF1492" s="1" t="s">
        <v>33</v>
      </c>
      <c r="AG1492" s="1" t="s">
        <v>137</v>
      </c>
    </row>
    <row r="1493" spans="1:33">
      <c r="A1493" t="s">
        <v>5607</v>
      </c>
      <c r="C1493" t="s">
        <v>654</v>
      </c>
      <c r="E1493" t="s">
        <v>5469</v>
      </c>
      <c r="F1493" t="s">
        <v>1401</v>
      </c>
      <c r="G1493">
        <v>649.0</v>
      </c>
      <c r="H1493">
        <v>649.0</v>
      </c>
      <c r="I1493" t="s">
        <v>136</v>
      </c>
      <c r="J1493" t="s">
        <v>137</v>
      </c>
      <c r="K1493" t="s">
        <v>31</v>
      </c>
      <c r="L1493" t="s">
        <v>32</v>
      </c>
      <c r="M1493" t="s">
        <v>33</v>
      </c>
      <c r="P1493" s="1" t="s">
        <v>5608</v>
      </c>
      <c r="Q1493" s="1" t="s">
        <v>5469</v>
      </c>
      <c r="R1493" s="1" t="s">
        <v>5469</v>
      </c>
      <c r="S1493" s="1"/>
      <c r="T1493" s="1" t="s">
        <v>656</v>
      </c>
      <c r="U1493" s="1" t="s">
        <v>657</v>
      </c>
      <c r="V1493" s="1">
        <v>649.0</v>
      </c>
      <c r="W1493" s="1">
        <v>649.0</v>
      </c>
      <c r="X1493" s="1" t="s">
        <v>35</v>
      </c>
      <c r="Y1493" s="1">
        <v>649000.0</v>
      </c>
      <c r="Z1493" s="1"/>
      <c r="AA1493" s="1">
        <v>649000.0</v>
      </c>
      <c r="AB1493" s="1"/>
      <c r="AC1493" s="1" t="s">
        <v>36</v>
      </c>
      <c r="AD1493" s="1" t="s">
        <v>5609</v>
      </c>
      <c r="AE1493" s="1" t="s">
        <v>32</v>
      </c>
      <c r="AF1493" s="1" t="s">
        <v>33</v>
      </c>
      <c r="AG1493" s="1" t="s">
        <v>137</v>
      </c>
    </row>
    <row r="1494" spans="1:33">
      <c r="A1494" t="s">
        <v>5610</v>
      </c>
      <c r="C1494" t="s">
        <v>755</v>
      </c>
      <c r="E1494" t="s">
        <v>5469</v>
      </c>
      <c r="F1494" t="s">
        <v>1401</v>
      </c>
      <c r="G1494">
        <v>328.0</v>
      </c>
      <c r="H1494">
        <v>328.0</v>
      </c>
      <c r="I1494" t="s">
        <v>136</v>
      </c>
      <c r="J1494" t="s">
        <v>137</v>
      </c>
      <c r="K1494" t="s">
        <v>31</v>
      </c>
      <c r="L1494" t="s">
        <v>32</v>
      </c>
      <c r="M1494" t="s">
        <v>33</v>
      </c>
      <c r="P1494" s="1" t="s">
        <v>5611</v>
      </c>
      <c r="Q1494" s="1" t="s">
        <v>5469</v>
      </c>
      <c r="R1494" s="1" t="s">
        <v>5469</v>
      </c>
      <c r="S1494" s="1"/>
      <c r="T1494" s="1" t="s">
        <v>757</v>
      </c>
      <c r="U1494" s="1" t="s">
        <v>758</v>
      </c>
      <c r="V1494" s="1">
        <v>328.0</v>
      </c>
      <c r="W1494" s="1">
        <v>328.0</v>
      </c>
      <c r="X1494" s="1" t="s">
        <v>35</v>
      </c>
      <c r="Y1494" s="1">
        <v>328000.0</v>
      </c>
      <c r="Z1494" s="1"/>
      <c r="AA1494" s="1">
        <v>328000.0</v>
      </c>
      <c r="AB1494" s="1"/>
      <c r="AC1494" s="1" t="s">
        <v>36</v>
      </c>
      <c r="AD1494" s="1" t="s">
        <v>5612</v>
      </c>
      <c r="AE1494" s="1" t="s">
        <v>32</v>
      </c>
      <c r="AF1494" s="1" t="s">
        <v>33</v>
      </c>
      <c r="AG1494" s="1" t="s">
        <v>137</v>
      </c>
    </row>
    <row r="1495" spans="1:33">
      <c r="A1495" t="s">
        <v>5613</v>
      </c>
      <c r="C1495" t="s">
        <v>725</v>
      </c>
      <c r="E1495" t="s">
        <v>5469</v>
      </c>
      <c r="F1495" t="s">
        <v>1401</v>
      </c>
      <c r="G1495">
        <v>2.372</v>
      </c>
      <c r="H1495">
        <v>2.372</v>
      </c>
      <c r="I1495" t="s">
        <v>136</v>
      </c>
      <c r="J1495" t="s">
        <v>137</v>
      </c>
      <c r="K1495" t="s">
        <v>31</v>
      </c>
      <c r="L1495" t="s">
        <v>32</v>
      </c>
      <c r="M1495" t="s">
        <v>33</v>
      </c>
      <c r="P1495" s="1" t="s">
        <v>5614</v>
      </c>
      <c r="Q1495" s="1" t="s">
        <v>5469</v>
      </c>
      <c r="R1495" s="1" t="s">
        <v>5469</v>
      </c>
      <c r="S1495" s="1"/>
      <c r="T1495" s="1" t="s">
        <v>725</v>
      </c>
      <c r="U1495" s="1"/>
      <c r="V1495" s="1">
        <v>2.372</v>
      </c>
      <c r="W1495" s="1">
        <v>2.372</v>
      </c>
      <c r="X1495" s="1" t="s">
        <v>35</v>
      </c>
      <c r="Y1495" s="1">
        <v>2372500.0</v>
      </c>
      <c r="Z1495" s="1"/>
      <c r="AA1495" s="1">
        <v>2372500.0</v>
      </c>
      <c r="AB1495" s="1"/>
      <c r="AC1495" s="1" t="s">
        <v>36</v>
      </c>
      <c r="AD1495" s="1" t="s">
        <v>5598</v>
      </c>
      <c r="AE1495" s="1" t="s">
        <v>32</v>
      </c>
      <c r="AF1495" s="1" t="s">
        <v>33</v>
      </c>
      <c r="AG1495" s="1" t="s">
        <v>137</v>
      </c>
    </row>
    <row r="1496" spans="1:33">
      <c r="A1496" t="s">
        <v>5615</v>
      </c>
      <c r="C1496" t="s">
        <v>5616</v>
      </c>
      <c r="E1496" t="s">
        <v>5469</v>
      </c>
      <c r="F1496" t="s">
        <v>1401</v>
      </c>
      <c r="G1496">
        <v>328.0</v>
      </c>
      <c r="H1496">
        <v>328.0</v>
      </c>
      <c r="I1496" t="s">
        <v>269</v>
      </c>
      <c r="J1496" t="s">
        <v>270</v>
      </c>
      <c r="K1496" t="s">
        <v>31</v>
      </c>
      <c r="L1496" t="s">
        <v>32</v>
      </c>
      <c r="M1496" t="s">
        <v>33</v>
      </c>
      <c r="P1496" s="1" t="s">
        <v>5617</v>
      </c>
      <c r="Q1496" s="1" t="s">
        <v>5469</v>
      </c>
      <c r="R1496" s="1" t="s">
        <v>5469</v>
      </c>
      <c r="S1496" s="1"/>
      <c r="T1496" s="1" t="s">
        <v>5616</v>
      </c>
      <c r="U1496" s="1"/>
      <c r="V1496" s="1">
        <v>328.0</v>
      </c>
      <c r="W1496" s="1">
        <v>328.0</v>
      </c>
      <c r="X1496" s="1" t="s">
        <v>35</v>
      </c>
      <c r="Y1496" s="1">
        <v>328000.0</v>
      </c>
      <c r="Z1496" s="1"/>
      <c r="AA1496" s="1">
        <v>328000.0</v>
      </c>
      <c r="AB1496" s="1"/>
      <c r="AC1496" s="1" t="s">
        <v>36</v>
      </c>
      <c r="AD1496" s="1" t="s">
        <v>5618</v>
      </c>
      <c r="AE1496" s="1" t="s">
        <v>32</v>
      </c>
      <c r="AF1496" s="1" t="s">
        <v>33</v>
      </c>
      <c r="AG1496" s="1" t="s">
        <v>270</v>
      </c>
    </row>
    <row r="1497" spans="1:33">
      <c r="A1497" t="s">
        <v>5619</v>
      </c>
      <c r="B1497" t="s">
        <v>439</v>
      </c>
      <c r="C1497" t="s">
        <v>440</v>
      </c>
      <c r="E1497" t="s">
        <v>5469</v>
      </c>
      <c r="F1497" t="s">
        <v>1401</v>
      </c>
      <c r="G1497">
        <v>13.0</v>
      </c>
      <c r="H1497">
        <v>13.0</v>
      </c>
      <c r="I1497" t="s">
        <v>59</v>
      </c>
      <c r="J1497" t="s">
        <v>60</v>
      </c>
      <c r="K1497" t="s">
        <v>31</v>
      </c>
      <c r="L1497" t="s">
        <v>32</v>
      </c>
      <c r="M1497" t="s">
        <v>33</v>
      </c>
      <c r="P1497" s="1" t="s">
        <v>5620</v>
      </c>
      <c r="Q1497" s="1" t="s">
        <v>5469</v>
      </c>
      <c r="R1497" s="1" t="s">
        <v>5469</v>
      </c>
      <c r="S1497" s="1"/>
      <c r="T1497" s="1" t="s">
        <v>440</v>
      </c>
      <c r="U1497" s="1"/>
      <c r="V1497" s="1">
        <v>13.0</v>
      </c>
      <c r="W1497" s="1">
        <v>13.0</v>
      </c>
      <c r="X1497" s="1" t="s">
        <v>35</v>
      </c>
      <c r="Y1497" s="1">
        <v>13000.0</v>
      </c>
      <c r="Z1497" s="1"/>
      <c r="AA1497" s="1">
        <v>13000.0</v>
      </c>
      <c r="AB1497" s="1"/>
      <c r="AC1497" s="1" t="s">
        <v>36</v>
      </c>
      <c r="AD1497" s="1" t="s">
        <v>5618</v>
      </c>
      <c r="AE1497" s="1" t="s">
        <v>32</v>
      </c>
      <c r="AF1497" s="1" t="s">
        <v>33</v>
      </c>
      <c r="AG1497" s="1" t="s">
        <v>60</v>
      </c>
    </row>
    <row r="1498" spans="1:33">
      <c r="A1498" t="s">
        <v>5621</v>
      </c>
      <c r="B1498" t="s">
        <v>5622</v>
      </c>
      <c r="C1498" t="s">
        <v>73</v>
      </c>
      <c r="E1498" t="s">
        <v>5469</v>
      </c>
      <c r="F1498" t="s">
        <v>1401</v>
      </c>
      <c r="G1498">
        <v>19.3</v>
      </c>
      <c r="H1498">
        <v>19.3</v>
      </c>
      <c r="I1498" t="s">
        <v>40</v>
      </c>
      <c r="J1498" t="s">
        <v>41</v>
      </c>
      <c r="K1498" t="s">
        <v>31</v>
      </c>
      <c r="L1498" t="s">
        <v>32</v>
      </c>
      <c r="M1498" t="s">
        <v>33</v>
      </c>
      <c r="P1498" s="1" t="s">
        <v>5623</v>
      </c>
      <c r="Q1498" s="1" t="s">
        <v>5469</v>
      </c>
      <c r="R1498" s="1" t="s">
        <v>4960</v>
      </c>
      <c r="S1498" s="1"/>
      <c r="T1498" s="1" t="s">
        <v>75</v>
      </c>
      <c r="U1498" s="1" t="s">
        <v>76</v>
      </c>
      <c r="V1498" s="1">
        <v>19.3</v>
      </c>
      <c r="W1498" s="1">
        <v>19.3</v>
      </c>
      <c r="X1498" s="1" t="s">
        <v>35</v>
      </c>
      <c r="Y1498" s="1">
        <v>19300.0</v>
      </c>
      <c r="Z1498" s="1"/>
      <c r="AA1498" s="1">
        <v>19300.0</v>
      </c>
      <c r="AB1498" s="1"/>
      <c r="AC1498" s="1" t="s">
        <v>36</v>
      </c>
      <c r="AD1498" s="1" t="s">
        <v>5624</v>
      </c>
      <c r="AE1498" s="1" t="s">
        <v>32</v>
      </c>
      <c r="AF1498" s="1" t="s">
        <v>33</v>
      </c>
      <c r="AG1498" s="1" t="s">
        <v>41</v>
      </c>
    </row>
    <row r="1499" spans="1:33">
      <c r="A1499" t="s">
        <v>5625</v>
      </c>
      <c r="C1499" t="s">
        <v>586</v>
      </c>
      <c r="E1499" t="s">
        <v>5469</v>
      </c>
      <c r="F1499" t="s">
        <v>1401</v>
      </c>
      <c r="G1499">
        <v>18.5</v>
      </c>
      <c r="H1499">
        <v>18.5</v>
      </c>
      <c r="I1499" t="s">
        <v>269</v>
      </c>
      <c r="J1499" t="s">
        <v>270</v>
      </c>
      <c r="K1499" t="s">
        <v>31</v>
      </c>
      <c r="L1499" t="s">
        <v>32</v>
      </c>
      <c r="M1499" t="s">
        <v>33</v>
      </c>
      <c r="P1499" s="1" t="s">
        <v>5626</v>
      </c>
      <c r="Q1499" s="1" t="s">
        <v>5469</v>
      </c>
      <c r="R1499" s="1" t="s">
        <v>5469</v>
      </c>
      <c r="S1499" s="1"/>
      <c r="T1499" s="1" t="s">
        <v>586</v>
      </c>
      <c r="U1499" s="1"/>
      <c r="V1499" s="1">
        <v>18.5</v>
      </c>
      <c r="W1499" s="1">
        <v>18.5</v>
      </c>
      <c r="X1499" s="1" t="s">
        <v>35</v>
      </c>
      <c r="Y1499" s="1">
        <v>18500.0</v>
      </c>
      <c r="Z1499" s="1"/>
      <c r="AA1499" s="1">
        <v>18500.0</v>
      </c>
      <c r="AB1499" s="1"/>
      <c r="AC1499" s="1" t="s">
        <v>36</v>
      </c>
      <c r="AD1499" s="1" t="s">
        <v>5627</v>
      </c>
      <c r="AE1499" s="1" t="s">
        <v>32</v>
      </c>
      <c r="AF1499" s="1" t="s">
        <v>33</v>
      </c>
      <c r="AG1499" s="1" t="s">
        <v>270</v>
      </c>
    </row>
    <row r="1500" spans="1:33">
      <c r="A1500" t="s">
        <v>5628</v>
      </c>
      <c r="C1500" t="s">
        <v>2467</v>
      </c>
      <c r="E1500" t="s">
        <v>5469</v>
      </c>
      <c r="F1500" t="s">
        <v>1401</v>
      </c>
      <c r="G1500">
        <v>359.25</v>
      </c>
      <c r="H1500">
        <v>359.25</v>
      </c>
      <c r="I1500" t="s">
        <v>227</v>
      </c>
      <c r="J1500" t="s">
        <v>228</v>
      </c>
      <c r="K1500" t="s">
        <v>31</v>
      </c>
      <c r="L1500" t="s">
        <v>32</v>
      </c>
      <c r="M1500" t="s">
        <v>33</v>
      </c>
      <c r="P1500" s="1" t="s">
        <v>5629</v>
      </c>
      <c r="Q1500" s="1" t="s">
        <v>5469</v>
      </c>
      <c r="R1500" s="1" t="s">
        <v>5469</v>
      </c>
      <c r="S1500" s="1"/>
      <c r="T1500" s="1" t="s">
        <v>2467</v>
      </c>
      <c r="U1500" s="1"/>
      <c r="V1500" s="1">
        <v>359.25</v>
      </c>
      <c r="W1500" s="1">
        <v>359.25</v>
      </c>
      <c r="X1500" s="1" t="s">
        <v>35</v>
      </c>
      <c r="Y1500" s="1">
        <v>359250.0</v>
      </c>
      <c r="Z1500" s="1"/>
      <c r="AA1500" s="1">
        <v>359250.0</v>
      </c>
      <c r="AB1500" s="1"/>
      <c r="AC1500" s="1" t="s">
        <v>36</v>
      </c>
      <c r="AD1500" s="1" t="s">
        <v>5630</v>
      </c>
      <c r="AE1500" s="1" t="s">
        <v>32</v>
      </c>
      <c r="AF1500" s="1" t="s">
        <v>33</v>
      </c>
      <c r="AG1500" s="1" t="s">
        <v>228</v>
      </c>
    </row>
    <row r="1501" spans="1:33">
      <c r="A1501" t="s">
        <v>5631</v>
      </c>
      <c r="C1501" t="s">
        <v>4874</v>
      </c>
      <c r="E1501" t="s">
        <v>5469</v>
      </c>
      <c r="F1501" t="s">
        <v>1401</v>
      </c>
      <c r="G1501">
        <v>90.0</v>
      </c>
      <c r="H1501">
        <v>90.0</v>
      </c>
      <c r="I1501" t="s">
        <v>40</v>
      </c>
      <c r="J1501" t="s">
        <v>41</v>
      </c>
      <c r="K1501" t="s">
        <v>31</v>
      </c>
      <c r="L1501" t="s">
        <v>32</v>
      </c>
      <c r="M1501" t="s">
        <v>33</v>
      </c>
      <c r="P1501" s="1" t="s">
        <v>5632</v>
      </c>
      <c r="Q1501" s="1" t="s">
        <v>5469</v>
      </c>
      <c r="R1501" s="1" t="s">
        <v>4960</v>
      </c>
      <c r="S1501" s="1"/>
      <c r="T1501" s="1" t="s">
        <v>4874</v>
      </c>
      <c r="U1501" s="1"/>
      <c r="V1501" s="1">
        <v>90.0</v>
      </c>
      <c r="W1501" s="1">
        <v>90.0</v>
      </c>
      <c r="X1501" s="1" t="s">
        <v>35</v>
      </c>
      <c r="Y1501" s="1">
        <v>90000.0</v>
      </c>
      <c r="Z1501" s="1"/>
      <c r="AA1501" s="1">
        <v>90000.0</v>
      </c>
      <c r="AB1501" s="1"/>
      <c r="AC1501" s="1" t="s">
        <v>36</v>
      </c>
      <c r="AD1501" s="1" t="s">
        <v>5633</v>
      </c>
      <c r="AE1501" s="1" t="s">
        <v>32</v>
      </c>
      <c r="AF1501" s="1" t="s">
        <v>33</v>
      </c>
      <c r="AG1501" s="1" t="s">
        <v>41</v>
      </c>
    </row>
    <row r="1502" spans="1:33">
      <c r="A1502" t="s">
        <v>5634</v>
      </c>
      <c r="B1502" t="s">
        <v>5635</v>
      </c>
      <c r="C1502" t="s">
        <v>47</v>
      </c>
      <c r="E1502" t="s">
        <v>5469</v>
      </c>
      <c r="F1502" t="s">
        <v>1401</v>
      </c>
      <c r="G1502">
        <v>209.668</v>
      </c>
      <c r="H1502">
        <v>209.668</v>
      </c>
      <c r="I1502" t="s">
        <v>48</v>
      </c>
      <c r="J1502" t="s">
        <v>49</v>
      </c>
      <c r="K1502" t="s">
        <v>31</v>
      </c>
      <c r="L1502" t="s">
        <v>32</v>
      </c>
      <c r="M1502" t="s">
        <v>33</v>
      </c>
      <c r="P1502" s="1" t="s">
        <v>5636</v>
      </c>
      <c r="Q1502" s="1" t="s">
        <v>5469</v>
      </c>
      <c r="R1502" s="1" t="s">
        <v>5469</v>
      </c>
      <c r="S1502" s="1"/>
      <c r="T1502" s="1" t="s">
        <v>47</v>
      </c>
      <c r="U1502" s="1"/>
      <c r="V1502" s="1">
        <v>209.668</v>
      </c>
      <c r="W1502" s="1">
        <v>209.668</v>
      </c>
      <c r="X1502" s="1" t="s">
        <v>35</v>
      </c>
      <c r="Y1502" s="1">
        <v>209668.0</v>
      </c>
      <c r="Z1502" s="1"/>
      <c r="AA1502" s="1">
        <v>209668.0</v>
      </c>
      <c r="AB1502" s="1"/>
      <c r="AC1502" s="1" t="s">
        <v>36</v>
      </c>
      <c r="AD1502" s="1" t="s">
        <v>5637</v>
      </c>
      <c r="AE1502" s="1" t="s">
        <v>32</v>
      </c>
      <c r="AF1502" s="1" t="s">
        <v>33</v>
      </c>
      <c r="AG1502" s="1" t="s">
        <v>49</v>
      </c>
    </row>
    <row r="1503" spans="1:33">
      <c r="A1503" t="s">
        <v>5638</v>
      </c>
      <c r="B1503" t="s">
        <v>5639</v>
      </c>
      <c r="C1503" t="s">
        <v>5640</v>
      </c>
      <c r="E1503" t="s">
        <v>5469</v>
      </c>
      <c r="F1503" t="s">
        <v>1401</v>
      </c>
      <c r="G1503">
        <v>328.0</v>
      </c>
      <c r="H1503">
        <v>328.0</v>
      </c>
      <c r="I1503" t="s">
        <v>529</v>
      </c>
      <c r="J1503" t="s">
        <v>530</v>
      </c>
      <c r="K1503" t="s">
        <v>31</v>
      </c>
      <c r="L1503" t="s">
        <v>32</v>
      </c>
      <c r="M1503" t="s">
        <v>33</v>
      </c>
      <c r="P1503" s="1" t="s">
        <v>5641</v>
      </c>
      <c r="Q1503" s="1" t="s">
        <v>5469</v>
      </c>
      <c r="R1503" s="1" t="s">
        <v>4960</v>
      </c>
      <c r="S1503" s="1"/>
      <c r="T1503" s="1" t="s">
        <v>5640</v>
      </c>
      <c r="U1503" s="1"/>
      <c r="V1503" s="1">
        <v>328.0</v>
      </c>
      <c r="W1503" s="1">
        <v>328.0</v>
      </c>
      <c r="X1503" s="1" t="s">
        <v>35</v>
      </c>
      <c r="Y1503" s="1">
        <v>328000.0</v>
      </c>
      <c r="Z1503" s="1"/>
      <c r="AA1503" s="1">
        <v>328000.0</v>
      </c>
      <c r="AB1503" s="1"/>
      <c r="AC1503" s="1" t="s">
        <v>36</v>
      </c>
      <c r="AD1503" s="1" t="s">
        <v>5642</v>
      </c>
      <c r="AE1503" s="1" t="s">
        <v>32</v>
      </c>
      <c r="AF1503" s="1" t="s">
        <v>33</v>
      </c>
      <c r="AG1503" s="1" t="s">
        <v>530</v>
      </c>
    </row>
    <row r="1504" spans="1:33">
      <c r="A1504" t="s">
        <v>5643</v>
      </c>
      <c r="C1504" t="s">
        <v>932</v>
      </c>
      <c r="E1504" t="s">
        <v>5469</v>
      </c>
      <c r="F1504" t="s">
        <v>1401</v>
      </c>
      <c r="G1504">
        <v>984.0</v>
      </c>
      <c r="H1504">
        <v>984.0</v>
      </c>
      <c r="I1504" t="s">
        <v>227</v>
      </c>
      <c r="J1504" t="s">
        <v>228</v>
      </c>
      <c r="K1504" t="s">
        <v>31</v>
      </c>
      <c r="L1504" t="s">
        <v>32</v>
      </c>
      <c r="M1504" t="s">
        <v>33</v>
      </c>
      <c r="P1504" s="1" t="s">
        <v>5644</v>
      </c>
      <c r="Q1504" s="1" t="s">
        <v>5469</v>
      </c>
      <c r="R1504" s="1" t="s">
        <v>5469</v>
      </c>
      <c r="S1504" s="1"/>
      <c r="T1504" s="1" t="s">
        <v>932</v>
      </c>
      <c r="U1504" s="1"/>
      <c r="V1504" s="1">
        <v>984.0</v>
      </c>
      <c r="W1504" s="1">
        <v>984.0</v>
      </c>
      <c r="X1504" s="1" t="s">
        <v>35</v>
      </c>
      <c r="Y1504" s="1">
        <v>984000.0</v>
      </c>
      <c r="Z1504" s="1"/>
      <c r="AA1504" s="1">
        <v>984000.0</v>
      </c>
      <c r="AB1504" s="1"/>
      <c r="AC1504" s="1" t="s">
        <v>36</v>
      </c>
      <c r="AD1504" s="1" t="s">
        <v>5645</v>
      </c>
      <c r="AE1504" s="1" t="s">
        <v>32</v>
      </c>
      <c r="AF1504" s="1" t="s">
        <v>33</v>
      </c>
      <c r="AG1504" s="1" t="s">
        <v>228</v>
      </c>
    </row>
    <row r="1505" spans="1:33">
      <c r="A1505" t="s">
        <v>5646</v>
      </c>
      <c r="C1505" t="s">
        <v>5647</v>
      </c>
      <c r="E1505" t="s">
        <v>5469</v>
      </c>
      <c r="F1505" t="s">
        <v>1401</v>
      </c>
      <c r="G1505">
        <v>326.0</v>
      </c>
      <c r="H1505">
        <v>326.0</v>
      </c>
      <c r="I1505" t="s">
        <v>847</v>
      </c>
      <c r="J1505" t="s">
        <v>848</v>
      </c>
      <c r="K1505" t="s">
        <v>31</v>
      </c>
      <c r="L1505" t="s">
        <v>32</v>
      </c>
      <c r="M1505" t="s">
        <v>33</v>
      </c>
      <c r="P1505" s="1" t="s">
        <v>5648</v>
      </c>
      <c r="Q1505" s="1" t="s">
        <v>5469</v>
      </c>
      <c r="R1505" s="1" t="s">
        <v>5469</v>
      </c>
      <c r="S1505" s="1"/>
      <c r="T1505" s="1" t="s">
        <v>5647</v>
      </c>
      <c r="U1505" s="1"/>
      <c r="V1505" s="1">
        <v>326.0</v>
      </c>
      <c r="W1505" s="1">
        <v>326.0</v>
      </c>
      <c r="X1505" s="1" t="s">
        <v>35</v>
      </c>
      <c r="Y1505" s="1">
        <v>326000.0</v>
      </c>
      <c r="Z1505" s="1"/>
      <c r="AA1505" s="1">
        <v>326000.0</v>
      </c>
      <c r="AB1505" s="1"/>
      <c r="AC1505" s="1" t="s">
        <v>36</v>
      </c>
      <c r="AD1505" s="1" t="s">
        <v>5649</v>
      </c>
      <c r="AE1505" s="1" t="s">
        <v>32</v>
      </c>
      <c r="AF1505" s="1" t="s">
        <v>33</v>
      </c>
      <c r="AG1505" s="1" t="s">
        <v>848</v>
      </c>
    </row>
    <row r="1506" spans="1:33">
      <c r="A1506" t="s">
        <v>5650</v>
      </c>
      <c r="B1506" t="s">
        <v>5651</v>
      </c>
      <c r="C1506" t="s">
        <v>5652</v>
      </c>
      <c r="E1506" t="s">
        <v>5469</v>
      </c>
      <c r="F1506" t="s">
        <v>1401</v>
      </c>
      <c r="G1506">
        <v>25.0</v>
      </c>
      <c r="H1506">
        <v>25.0</v>
      </c>
      <c r="I1506" t="s">
        <v>469</v>
      </c>
      <c r="J1506" t="s">
        <v>470</v>
      </c>
      <c r="K1506" t="s">
        <v>31</v>
      </c>
      <c r="L1506" t="s">
        <v>32</v>
      </c>
      <c r="M1506" t="s">
        <v>33</v>
      </c>
      <c r="P1506" s="1" t="s">
        <v>5653</v>
      </c>
      <c r="Q1506" s="1" t="s">
        <v>5469</v>
      </c>
      <c r="R1506" s="1" t="s">
        <v>4960</v>
      </c>
      <c r="S1506" s="1"/>
      <c r="T1506" s="1" t="s">
        <v>5654</v>
      </c>
      <c r="U1506" s="1" t="s">
        <v>5655</v>
      </c>
      <c r="V1506" s="1">
        <v>25.0</v>
      </c>
      <c r="W1506" s="1">
        <v>25.0</v>
      </c>
      <c r="X1506" s="1" t="s">
        <v>35</v>
      </c>
      <c r="Y1506" s="1">
        <v>25000.0</v>
      </c>
      <c r="Z1506" s="1"/>
      <c r="AA1506" s="1">
        <v>25000.0</v>
      </c>
      <c r="AB1506" s="1"/>
      <c r="AC1506" s="1" t="s">
        <v>36</v>
      </c>
      <c r="AD1506" s="1" t="s">
        <v>5656</v>
      </c>
      <c r="AE1506" s="1" t="s">
        <v>32</v>
      </c>
      <c r="AF1506" s="1" t="s">
        <v>33</v>
      </c>
      <c r="AG1506" s="1" t="s">
        <v>470</v>
      </c>
    </row>
    <row r="1507" spans="1:33">
      <c r="A1507" t="s">
        <v>5657</v>
      </c>
      <c r="C1507" t="s">
        <v>1785</v>
      </c>
      <c r="E1507" t="s">
        <v>5469</v>
      </c>
      <c r="F1507" t="s">
        <v>1401</v>
      </c>
      <c r="G1507">
        <v>550.0</v>
      </c>
      <c r="H1507">
        <v>550.0</v>
      </c>
      <c r="I1507" t="s">
        <v>847</v>
      </c>
      <c r="J1507" t="s">
        <v>848</v>
      </c>
      <c r="K1507" t="s">
        <v>31</v>
      </c>
      <c r="L1507" t="s">
        <v>32</v>
      </c>
      <c r="M1507" t="s">
        <v>33</v>
      </c>
      <c r="P1507" s="1" t="s">
        <v>5658</v>
      </c>
      <c r="Q1507" s="1" t="s">
        <v>5469</v>
      </c>
      <c r="R1507" s="1" t="s">
        <v>5469</v>
      </c>
      <c r="S1507" s="1"/>
      <c r="T1507" s="1" t="s">
        <v>1785</v>
      </c>
      <c r="U1507" s="1"/>
      <c r="V1507" s="1">
        <v>550.0</v>
      </c>
      <c r="W1507" s="1">
        <v>550.0</v>
      </c>
      <c r="X1507" s="1" t="s">
        <v>35</v>
      </c>
      <c r="Y1507" s="1">
        <v>550000.0</v>
      </c>
      <c r="Z1507" s="1"/>
      <c r="AA1507" s="1">
        <v>550000.0</v>
      </c>
      <c r="AB1507" s="1"/>
      <c r="AC1507" s="1" t="s">
        <v>36</v>
      </c>
      <c r="AD1507" s="1" t="s">
        <v>5659</v>
      </c>
      <c r="AE1507" s="1" t="s">
        <v>32</v>
      </c>
      <c r="AF1507" s="1" t="s">
        <v>33</v>
      </c>
      <c r="AG1507" s="1" t="s">
        <v>848</v>
      </c>
    </row>
    <row r="1508" spans="1:33">
      <c r="A1508" t="s">
        <v>5660</v>
      </c>
      <c r="C1508" t="s">
        <v>3442</v>
      </c>
      <c r="E1508" t="s">
        <v>5469</v>
      </c>
      <c r="F1508" t="s">
        <v>1401</v>
      </c>
      <c r="G1508">
        <v>588.4</v>
      </c>
      <c r="H1508">
        <v>588.4</v>
      </c>
      <c r="I1508" t="s">
        <v>847</v>
      </c>
      <c r="J1508" t="s">
        <v>848</v>
      </c>
      <c r="K1508" t="s">
        <v>31</v>
      </c>
      <c r="L1508" t="s">
        <v>32</v>
      </c>
      <c r="M1508" t="s">
        <v>33</v>
      </c>
      <c r="P1508" s="1" t="s">
        <v>5661</v>
      </c>
      <c r="Q1508" s="1" t="s">
        <v>5469</v>
      </c>
      <c r="R1508" s="1" t="s">
        <v>5469</v>
      </c>
      <c r="S1508" s="1"/>
      <c r="T1508" s="1" t="s">
        <v>3442</v>
      </c>
      <c r="U1508" s="1"/>
      <c r="V1508" s="1">
        <v>588.4</v>
      </c>
      <c r="W1508" s="1">
        <v>588.4</v>
      </c>
      <c r="X1508" s="1" t="s">
        <v>35</v>
      </c>
      <c r="Y1508" s="1">
        <v>588400.0</v>
      </c>
      <c r="Z1508" s="1"/>
      <c r="AA1508" s="1">
        <v>588400.0</v>
      </c>
      <c r="AB1508" s="1"/>
      <c r="AC1508" s="1" t="s">
        <v>36</v>
      </c>
      <c r="AD1508" s="1" t="s">
        <v>5662</v>
      </c>
      <c r="AE1508" s="1" t="s">
        <v>32</v>
      </c>
      <c r="AF1508" s="1" t="s">
        <v>33</v>
      </c>
      <c r="AG1508" s="1" t="s">
        <v>848</v>
      </c>
    </row>
    <row r="1509" spans="1:33">
      <c r="A1509" t="s">
        <v>5663</v>
      </c>
      <c r="B1509" t="s">
        <v>2325</v>
      </c>
      <c r="C1509" t="s">
        <v>5664</v>
      </c>
      <c r="D1509" t="s">
        <v>114</v>
      </c>
      <c r="E1509" t="s">
        <v>5469</v>
      </c>
      <c r="F1509" t="s">
        <v>1401</v>
      </c>
      <c r="G1509">
        <v>320.0</v>
      </c>
      <c r="H1509">
        <v>320.0</v>
      </c>
      <c r="I1509" t="s">
        <v>59</v>
      </c>
      <c r="J1509" t="s">
        <v>60</v>
      </c>
      <c r="K1509" t="s">
        <v>31</v>
      </c>
      <c r="L1509" t="s">
        <v>32</v>
      </c>
      <c r="M1509" t="s">
        <v>33</v>
      </c>
      <c r="P1509" s="1" t="s">
        <v>5665</v>
      </c>
      <c r="Q1509" s="1" t="s">
        <v>5469</v>
      </c>
      <c r="R1509" s="1" t="s">
        <v>5469</v>
      </c>
      <c r="S1509" s="1"/>
      <c r="T1509" s="1" t="s">
        <v>5666</v>
      </c>
      <c r="U1509" s="1" t="s">
        <v>5667</v>
      </c>
      <c r="V1509" s="1">
        <v>320.0</v>
      </c>
      <c r="W1509" s="1">
        <v>320.0</v>
      </c>
      <c r="X1509" s="1" t="s">
        <v>35</v>
      </c>
      <c r="Y1509" s="1">
        <v>320000.0</v>
      </c>
      <c r="Z1509" s="1"/>
      <c r="AA1509" s="1">
        <v>320000.0</v>
      </c>
      <c r="AB1509" s="1"/>
      <c r="AC1509" s="1" t="s">
        <v>36</v>
      </c>
      <c r="AD1509" s="1" t="s">
        <v>5668</v>
      </c>
      <c r="AE1509" s="1" t="s">
        <v>32</v>
      </c>
      <c r="AF1509" s="1" t="s">
        <v>33</v>
      </c>
      <c r="AG1509" s="1" t="s">
        <v>60</v>
      </c>
    </row>
    <row r="1510" spans="1:33">
      <c r="A1510" t="s">
        <v>5669</v>
      </c>
      <c r="B1510" t="s">
        <v>1800</v>
      </c>
      <c r="C1510" t="s">
        <v>906</v>
      </c>
      <c r="E1510" t="s">
        <v>5469</v>
      </c>
      <c r="F1510" t="s">
        <v>1401</v>
      </c>
      <c r="G1510">
        <v>7.44</v>
      </c>
      <c r="H1510">
        <v>7.44</v>
      </c>
      <c r="I1510" t="s">
        <v>847</v>
      </c>
      <c r="J1510" t="s">
        <v>848</v>
      </c>
      <c r="K1510" t="s">
        <v>31</v>
      </c>
      <c r="L1510" t="s">
        <v>32</v>
      </c>
      <c r="M1510" t="s">
        <v>33</v>
      </c>
      <c r="P1510" s="1" t="s">
        <v>5670</v>
      </c>
      <c r="Q1510" s="1" t="s">
        <v>5469</v>
      </c>
      <c r="R1510" s="1" t="s">
        <v>5469</v>
      </c>
      <c r="S1510" s="1"/>
      <c r="T1510" s="1" t="s">
        <v>906</v>
      </c>
      <c r="U1510" s="1"/>
      <c r="V1510" s="1">
        <v>7.44</v>
      </c>
      <c r="W1510" s="1">
        <v>7.44</v>
      </c>
      <c r="X1510" s="1" t="s">
        <v>35</v>
      </c>
      <c r="Y1510" s="1">
        <v>7440.0</v>
      </c>
      <c r="Z1510" s="1"/>
      <c r="AA1510" s="1">
        <v>7440.0</v>
      </c>
      <c r="AB1510" s="1"/>
      <c r="AC1510" s="1" t="s">
        <v>36</v>
      </c>
      <c r="AD1510" s="1" t="s">
        <v>5671</v>
      </c>
      <c r="AE1510" s="1" t="s">
        <v>32</v>
      </c>
      <c r="AF1510" s="1" t="s">
        <v>33</v>
      </c>
      <c r="AG1510" s="1" t="s">
        <v>848</v>
      </c>
    </row>
    <row r="1511" spans="1:33">
      <c r="A1511" t="s">
        <v>5672</v>
      </c>
      <c r="C1511" t="s">
        <v>996</v>
      </c>
      <c r="E1511" t="s">
        <v>5469</v>
      </c>
      <c r="F1511" t="s">
        <v>1401</v>
      </c>
      <c r="G1511">
        <v>326.0</v>
      </c>
      <c r="H1511">
        <v>326.0</v>
      </c>
      <c r="I1511" t="s">
        <v>847</v>
      </c>
      <c r="J1511" t="s">
        <v>848</v>
      </c>
      <c r="K1511" t="s">
        <v>31</v>
      </c>
      <c r="L1511" t="s">
        <v>32</v>
      </c>
      <c r="M1511" t="s">
        <v>33</v>
      </c>
      <c r="P1511" s="1" t="s">
        <v>5673</v>
      </c>
      <c r="Q1511" s="1" t="s">
        <v>5469</v>
      </c>
      <c r="R1511" s="1" t="s">
        <v>5469</v>
      </c>
      <c r="S1511" s="1"/>
      <c r="T1511" s="1" t="s">
        <v>996</v>
      </c>
      <c r="U1511" s="1"/>
      <c r="V1511" s="1">
        <v>326.0</v>
      </c>
      <c r="W1511" s="1">
        <v>326.0</v>
      </c>
      <c r="X1511" s="1" t="s">
        <v>35</v>
      </c>
      <c r="Y1511" s="1">
        <v>326000.0</v>
      </c>
      <c r="Z1511" s="1"/>
      <c r="AA1511" s="1">
        <v>326000.0</v>
      </c>
      <c r="AB1511" s="1"/>
      <c r="AC1511" s="1" t="s">
        <v>36</v>
      </c>
      <c r="AD1511" s="1" t="s">
        <v>5674</v>
      </c>
      <c r="AE1511" s="1" t="s">
        <v>32</v>
      </c>
      <c r="AF1511" s="1" t="s">
        <v>33</v>
      </c>
      <c r="AG1511" s="1" t="s">
        <v>848</v>
      </c>
    </row>
    <row r="1512" spans="1:33">
      <c r="A1512" t="s">
        <v>5675</v>
      </c>
      <c r="C1512" t="s">
        <v>5676</v>
      </c>
      <c r="D1512" t="s">
        <v>114</v>
      </c>
      <c r="E1512" t="s">
        <v>5469</v>
      </c>
      <c r="F1512" t="s">
        <v>1401</v>
      </c>
      <c r="G1512">
        <v>747.5</v>
      </c>
      <c r="H1512">
        <v>747.5</v>
      </c>
      <c r="I1512" t="s">
        <v>40</v>
      </c>
      <c r="J1512" t="s">
        <v>41</v>
      </c>
      <c r="K1512" t="s">
        <v>31</v>
      </c>
      <c r="L1512" t="s">
        <v>32</v>
      </c>
      <c r="M1512" t="s">
        <v>33</v>
      </c>
      <c r="P1512" s="1" t="s">
        <v>5677</v>
      </c>
      <c r="Q1512" s="1" t="s">
        <v>5469</v>
      </c>
      <c r="R1512" s="1" t="s">
        <v>4960</v>
      </c>
      <c r="S1512" s="1"/>
      <c r="T1512" s="1" t="s">
        <v>5678</v>
      </c>
      <c r="U1512" s="1" t="s">
        <v>5679</v>
      </c>
      <c r="V1512" s="1">
        <v>747.5</v>
      </c>
      <c r="W1512" s="1">
        <v>747.5</v>
      </c>
      <c r="X1512" s="1" t="s">
        <v>35</v>
      </c>
      <c r="Y1512" s="1">
        <v>747500.0</v>
      </c>
      <c r="Z1512" s="1"/>
      <c r="AA1512" s="1">
        <v>747500.0</v>
      </c>
      <c r="AB1512" s="1"/>
      <c r="AC1512" s="1" t="s">
        <v>36</v>
      </c>
      <c r="AD1512" s="1" t="s">
        <v>5674</v>
      </c>
      <c r="AE1512" s="1" t="s">
        <v>32</v>
      </c>
      <c r="AF1512" s="1" t="s">
        <v>33</v>
      </c>
      <c r="AG1512" s="1" t="s">
        <v>41</v>
      </c>
    </row>
    <row r="1513" spans="1:33">
      <c r="A1513" t="s">
        <v>5680</v>
      </c>
      <c r="C1513" t="s">
        <v>5681</v>
      </c>
      <c r="E1513" t="s">
        <v>5469</v>
      </c>
      <c r="F1513" t="s">
        <v>1401</v>
      </c>
      <c r="G1513">
        <v>630.0</v>
      </c>
      <c r="H1513">
        <v>630.0</v>
      </c>
      <c r="I1513" t="s">
        <v>40</v>
      </c>
      <c r="J1513" t="s">
        <v>41</v>
      </c>
      <c r="K1513" t="s">
        <v>31</v>
      </c>
      <c r="L1513" t="s">
        <v>32</v>
      </c>
      <c r="M1513" t="s">
        <v>33</v>
      </c>
      <c r="P1513" s="1" t="s">
        <v>5682</v>
      </c>
      <c r="Q1513" s="1" t="s">
        <v>5469</v>
      </c>
      <c r="R1513" s="1" t="s">
        <v>4960</v>
      </c>
      <c r="S1513" s="1"/>
      <c r="T1513" s="1" t="s">
        <v>5683</v>
      </c>
      <c r="U1513" s="1" t="s">
        <v>5684</v>
      </c>
      <c r="V1513" s="1">
        <v>630.0</v>
      </c>
      <c r="W1513" s="1">
        <v>630.0</v>
      </c>
      <c r="X1513" s="1" t="s">
        <v>35</v>
      </c>
      <c r="Y1513" s="1">
        <v>630000.0</v>
      </c>
      <c r="Z1513" s="1"/>
      <c r="AA1513" s="1">
        <v>630000.0</v>
      </c>
      <c r="AB1513" s="1"/>
      <c r="AC1513" s="1" t="s">
        <v>36</v>
      </c>
      <c r="AD1513" s="1" t="s">
        <v>5685</v>
      </c>
      <c r="AE1513" s="1" t="s">
        <v>32</v>
      </c>
      <c r="AF1513" s="1" t="s">
        <v>33</v>
      </c>
      <c r="AG1513" s="1" t="s">
        <v>41</v>
      </c>
    </row>
    <row r="1514" spans="1:33">
      <c r="A1514" t="s">
        <v>5686</v>
      </c>
      <c r="C1514" t="s">
        <v>5687</v>
      </c>
      <c r="E1514" t="s">
        <v>5469</v>
      </c>
      <c r="F1514" t="s">
        <v>1401</v>
      </c>
      <c r="G1514">
        <v>909.0</v>
      </c>
      <c r="H1514">
        <v>909.0</v>
      </c>
      <c r="I1514" t="s">
        <v>847</v>
      </c>
      <c r="J1514" t="s">
        <v>848</v>
      </c>
      <c r="K1514" t="s">
        <v>31</v>
      </c>
      <c r="L1514" t="s">
        <v>32</v>
      </c>
      <c r="M1514" t="s">
        <v>33</v>
      </c>
      <c r="P1514" s="1" t="s">
        <v>5688</v>
      </c>
      <c r="Q1514" s="1" t="s">
        <v>5469</v>
      </c>
      <c r="R1514" s="1" t="s">
        <v>5469</v>
      </c>
      <c r="S1514" s="1"/>
      <c r="T1514" s="1" t="s">
        <v>5687</v>
      </c>
      <c r="U1514" s="1"/>
      <c r="V1514" s="1">
        <v>909.0</v>
      </c>
      <c r="W1514" s="1">
        <v>909.0</v>
      </c>
      <c r="X1514" s="1" t="s">
        <v>35</v>
      </c>
      <c r="Y1514" s="1">
        <v>909000.0</v>
      </c>
      <c r="Z1514" s="1"/>
      <c r="AA1514" s="1">
        <v>909000.0</v>
      </c>
      <c r="AB1514" s="1"/>
      <c r="AC1514" s="1" t="s">
        <v>36</v>
      </c>
      <c r="AD1514" s="1" t="s">
        <v>5689</v>
      </c>
      <c r="AE1514" s="1" t="s">
        <v>32</v>
      </c>
      <c r="AF1514" s="1" t="s">
        <v>33</v>
      </c>
      <c r="AG1514" s="1" t="s">
        <v>848</v>
      </c>
    </row>
    <row r="1515" spans="1:33">
      <c r="A1515" t="s">
        <v>5690</v>
      </c>
      <c r="B1515" t="s">
        <v>5691</v>
      </c>
      <c r="C1515" t="s">
        <v>1298</v>
      </c>
      <c r="E1515" t="s">
        <v>5469</v>
      </c>
      <c r="F1515" t="s">
        <v>1401</v>
      </c>
      <c r="G1515">
        <v>4.298</v>
      </c>
      <c r="H1515">
        <v>4.298</v>
      </c>
      <c r="I1515" t="s">
        <v>529</v>
      </c>
      <c r="J1515" t="s">
        <v>530</v>
      </c>
      <c r="K1515" t="s">
        <v>31</v>
      </c>
      <c r="L1515" t="s">
        <v>32</v>
      </c>
      <c r="M1515" t="s">
        <v>33</v>
      </c>
      <c r="P1515" s="1" t="s">
        <v>5692</v>
      </c>
      <c r="Q1515" s="1" t="s">
        <v>5469</v>
      </c>
      <c r="R1515" s="1" t="s">
        <v>4960</v>
      </c>
      <c r="S1515" s="1"/>
      <c r="T1515" s="1" t="s">
        <v>1298</v>
      </c>
      <c r="U1515" s="1"/>
      <c r="V1515" s="1">
        <v>4.298</v>
      </c>
      <c r="W1515" s="1">
        <v>4.298</v>
      </c>
      <c r="X1515" s="1" t="s">
        <v>35</v>
      </c>
      <c r="Y1515" s="1">
        <v>4298</v>
      </c>
      <c r="Z1515" s="1"/>
      <c r="AA1515" s="1">
        <v>4298</v>
      </c>
      <c r="AB1515" s="1"/>
      <c r="AC1515" s="1" t="s">
        <v>36</v>
      </c>
      <c r="AD1515" s="1" t="s">
        <v>5693</v>
      </c>
      <c r="AE1515" s="1" t="s">
        <v>32</v>
      </c>
      <c r="AF1515" s="1" t="s">
        <v>33</v>
      </c>
      <c r="AG1515" s="1" t="s">
        <v>530</v>
      </c>
    </row>
    <row r="1516" spans="1:33">
      <c r="A1516" t="s">
        <v>5694</v>
      </c>
      <c r="B1516" t="s">
        <v>5695</v>
      </c>
      <c r="C1516" t="s">
        <v>268</v>
      </c>
      <c r="E1516" t="s">
        <v>5469</v>
      </c>
      <c r="F1516" t="s">
        <v>1401</v>
      </c>
      <c r="G1516">
        <v>49.75</v>
      </c>
      <c r="H1516">
        <v>49.75</v>
      </c>
      <c r="I1516" t="s">
        <v>269</v>
      </c>
      <c r="J1516" t="s">
        <v>270</v>
      </c>
      <c r="K1516" t="s">
        <v>31</v>
      </c>
      <c r="L1516" t="s">
        <v>32</v>
      </c>
      <c r="M1516" t="s">
        <v>33</v>
      </c>
      <c r="P1516" s="1" t="s">
        <v>5696</v>
      </c>
      <c r="Q1516" s="1" t="s">
        <v>5469</v>
      </c>
      <c r="R1516" s="1" t="s">
        <v>5469</v>
      </c>
      <c r="S1516" s="1"/>
      <c r="T1516" s="1" t="s">
        <v>268</v>
      </c>
      <c r="U1516" s="1"/>
      <c r="V1516" s="1">
        <v>49.75</v>
      </c>
      <c r="W1516" s="1">
        <v>49.75</v>
      </c>
      <c r="X1516" s="1" t="s">
        <v>35</v>
      </c>
      <c r="Y1516" s="1">
        <v>49750.0</v>
      </c>
      <c r="Z1516" s="1"/>
      <c r="AA1516" s="1">
        <v>49750.0</v>
      </c>
      <c r="AB1516" s="1"/>
      <c r="AC1516" s="1" t="s">
        <v>36</v>
      </c>
      <c r="AD1516" s="1" t="s">
        <v>5697</v>
      </c>
      <c r="AE1516" s="1" t="s">
        <v>32</v>
      </c>
      <c r="AF1516" s="1" t="s">
        <v>33</v>
      </c>
      <c r="AG1516" s="1" t="s">
        <v>270</v>
      </c>
    </row>
    <row r="1517" spans="1:33">
      <c r="A1517" t="s">
        <v>5698</v>
      </c>
      <c r="B1517" t="s">
        <v>5699</v>
      </c>
      <c r="C1517" t="s">
        <v>68</v>
      </c>
      <c r="E1517" t="s">
        <v>5469</v>
      </c>
      <c r="F1517" t="s">
        <v>1401</v>
      </c>
      <c r="G1517">
        <v>17.745</v>
      </c>
      <c r="H1517">
        <v>17.745</v>
      </c>
      <c r="I1517" t="s">
        <v>59</v>
      </c>
      <c r="J1517" t="s">
        <v>60</v>
      </c>
      <c r="K1517" t="s">
        <v>31</v>
      </c>
      <c r="L1517" t="s">
        <v>32</v>
      </c>
      <c r="M1517" t="s">
        <v>33</v>
      </c>
      <c r="P1517" s="1" t="s">
        <v>5700</v>
      </c>
      <c r="Q1517" s="1" t="s">
        <v>5469</v>
      </c>
      <c r="R1517" s="1" t="s">
        <v>5469</v>
      </c>
      <c r="S1517" s="1"/>
      <c r="T1517" s="1" t="s">
        <v>68</v>
      </c>
      <c r="U1517" s="1"/>
      <c r="V1517" s="1">
        <v>17.745</v>
      </c>
      <c r="W1517" s="1">
        <v>17.745</v>
      </c>
      <c r="X1517" s="1" t="s">
        <v>35</v>
      </c>
      <c r="Y1517" s="1">
        <v>17745.0</v>
      </c>
      <c r="Z1517" s="1"/>
      <c r="AA1517" s="1">
        <v>17745.0</v>
      </c>
      <c r="AB1517" s="1"/>
      <c r="AC1517" s="1" t="s">
        <v>36</v>
      </c>
      <c r="AD1517" s="1" t="s">
        <v>5701</v>
      </c>
      <c r="AE1517" s="1" t="s">
        <v>32</v>
      </c>
      <c r="AF1517" s="1" t="s">
        <v>33</v>
      </c>
      <c r="AG1517" s="1" t="s">
        <v>60</v>
      </c>
    </row>
    <row r="1518" spans="1:33">
      <c r="A1518" t="s">
        <v>5702</v>
      </c>
      <c r="C1518" t="s">
        <v>5703</v>
      </c>
      <c r="E1518" t="s">
        <v>5469</v>
      </c>
      <c r="F1518" t="s">
        <v>1401</v>
      </c>
      <c r="G1518">
        <v>610.6</v>
      </c>
      <c r="H1518">
        <v>610.6</v>
      </c>
      <c r="I1518" t="s">
        <v>269</v>
      </c>
      <c r="J1518" t="s">
        <v>270</v>
      </c>
      <c r="K1518" t="s">
        <v>31</v>
      </c>
      <c r="L1518" t="s">
        <v>32</v>
      </c>
      <c r="M1518" t="s">
        <v>33</v>
      </c>
      <c r="P1518" s="1" t="s">
        <v>5704</v>
      </c>
      <c r="Q1518" s="1" t="s">
        <v>5469</v>
      </c>
      <c r="R1518" s="1" t="s">
        <v>5469</v>
      </c>
      <c r="S1518" s="1"/>
      <c r="T1518" s="1" t="s">
        <v>5703</v>
      </c>
      <c r="U1518" s="1"/>
      <c r="V1518" s="1">
        <v>610.6</v>
      </c>
      <c r="W1518" s="1">
        <v>610.6</v>
      </c>
      <c r="X1518" s="1" t="s">
        <v>35</v>
      </c>
      <c r="Y1518" s="1">
        <v>610600.0</v>
      </c>
      <c r="Z1518" s="1"/>
      <c r="AA1518" s="1">
        <v>610600.0</v>
      </c>
      <c r="AB1518" s="1"/>
      <c r="AC1518" s="1" t="s">
        <v>36</v>
      </c>
      <c r="AD1518" s="1" t="s">
        <v>5705</v>
      </c>
      <c r="AE1518" s="1" t="s">
        <v>32</v>
      </c>
      <c r="AF1518" s="1" t="s">
        <v>33</v>
      </c>
      <c r="AG1518" s="1" t="s">
        <v>270</v>
      </c>
    </row>
    <row r="1519" spans="1:33">
      <c r="A1519" t="s">
        <v>5706</v>
      </c>
      <c r="B1519" t="s">
        <v>5707</v>
      </c>
      <c r="C1519" t="s">
        <v>47</v>
      </c>
      <c r="E1519" t="s">
        <v>5469</v>
      </c>
      <c r="F1519" t="s">
        <v>1401</v>
      </c>
      <c r="G1519">
        <v>20.49</v>
      </c>
      <c r="H1519">
        <v>20.49</v>
      </c>
      <c r="I1519" t="s">
        <v>48</v>
      </c>
      <c r="J1519" t="s">
        <v>49</v>
      </c>
      <c r="K1519" t="s">
        <v>31</v>
      </c>
      <c r="L1519" t="s">
        <v>32</v>
      </c>
      <c r="M1519" t="s">
        <v>33</v>
      </c>
      <c r="P1519" s="1" t="s">
        <v>5708</v>
      </c>
      <c r="Q1519" s="1" t="s">
        <v>5469</v>
      </c>
      <c r="R1519" s="1" t="s">
        <v>5469</v>
      </c>
      <c r="S1519" s="1"/>
      <c r="T1519" s="1" t="s">
        <v>47</v>
      </c>
      <c r="U1519" s="1"/>
      <c r="V1519" s="1">
        <v>20.49</v>
      </c>
      <c r="W1519" s="1">
        <v>20.49</v>
      </c>
      <c r="X1519" s="1" t="s">
        <v>35</v>
      </c>
      <c r="Y1519" s="1">
        <v>20490.0</v>
      </c>
      <c r="Z1519" s="1"/>
      <c r="AA1519" s="1">
        <v>20490.0</v>
      </c>
      <c r="AB1519" s="1"/>
      <c r="AC1519" s="1" t="s">
        <v>36</v>
      </c>
      <c r="AD1519" s="1" t="s">
        <v>5693</v>
      </c>
      <c r="AE1519" s="1" t="s">
        <v>32</v>
      </c>
      <c r="AF1519" s="1" t="s">
        <v>33</v>
      </c>
      <c r="AG1519" s="1" t="s">
        <v>49</v>
      </c>
    </row>
    <row r="1520" spans="1:33">
      <c r="A1520" t="s">
        <v>5709</v>
      </c>
      <c r="B1520" t="s">
        <v>5710</v>
      </c>
      <c r="C1520" t="s">
        <v>268</v>
      </c>
      <c r="E1520" t="s">
        <v>5469</v>
      </c>
      <c r="F1520" t="s">
        <v>1401</v>
      </c>
      <c r="G1520">
        <v>36.75</v>
      </c>
      <c r="H1520">
        <v>36.75</v>
      </c>
      <c r="I1520" t="s">
        <v>269</v>
      </c>
      <c r="J1520" t="s">
        <v>270</v>
      </c>
      <c r="K1520" t="s">
        <v>31</v>
      </c>
      <c r="L1520" t="s">
        <v>32</v>
      </c>
      <c r="M1520" t="s">
        <v>33</v>
      </c>
      <c r="P1520" s="1" t="s">
        <v>5711</v>
      </c>
      <c r="Q1520" s="1" t="s">
        <v>5469</v>
      </c>
      <c r="R1520" s="1" t="s">
        <v>5469</v>
      </c>
      <c r="S1520" s="1"/>
      <c r="T1520" s="1" t="s">
        <v>268</v>
      </c>
      <c r="U1520" s="1"/>
      <c r="V1520" s="1">
        <v>36.75</v>
      </c>
      <c r="W1520" s="1">
        <v>36.75</v>
      </c>
      <c r="X1520" s="1" t="s">
        <v>35</v>
      </c>
      <c r="Y1520" s="1">
        <v>36750.0</v>
      </c>
      <c r="Z1520" s="1"/>
      <c r="AA1520" s="1">
        <v>36750.0</v>
      </c>
      <c r="AB1520" s="1"/>
      <c r="AC1520" s="1" t="s">
        <v>36</v>
      </c>
      <c r="AD1520" s="1" t="s">
        <v>5712</v>
      </c>
      <c r="AE1520" s="1" t="s">
        <v>32</v>
      </c>
      <c r="AF1520" s="1" t="s">
        <v>33</v>
      </c>
      <c r="AG1520" s="1" t="s">
        <v>270</v>
      </c>
    </row>
    <row r="1521" spans="1:33">
      <c r="A1521" t="s">
        <v>5713</v>
      </c>
      <c r="B1521" t="s">
        <v>826</v>
      </c>
      <c r="C1521" t="s">
        <v>827</v>
      </c>
      <c r="D1521" t="s">
        <v>154</v>
      </c>
      <c r="E1521" t="s">
        <v>5469</v>
      </c>
      <c r="F1521" t="s">
        <v>1401</v>
      </c>
      <c r="G1521">
        <v>845.0</v>
      </c>
      <c r="H1521">
        <v>845.0</v>
      </c>
      <c r="I1521" t="s">
        <v>529</v>
      </c>
      <c r="J1521" t="s">
        <v>530</v>
      </c>
      <c r="K1521" t="s">
        <v>31</v>
      </c>
      <c r="L1521" t="s">
        <v>32</v>
      </c>
      <c r="M1521" t="s">
        <v>33</v>
      </c>
      <c r="P1521" s="1" t="s">
        <v>5714</v>
      </c>
      <c r="Q1521" s="1" t="s">
        <v>5469</v>
      </c>
      <c r="R1521" s="1" t="s">
        <v>4960</v>
      </c>
      <c r="S1521" s="1"/>
      <c r="T1521" s="1" t="s">
        <v>827</v>
      </c>
      <c r="U1521" s="1"/>
      <c r="V1521" s="1">
        <v>845.0</v>
      </c>
      <c r="W1521" s="1">
        <v>845.0</v>
      </c>
      <c r="X1521" s="1" t="s">
        <v>35</v>
      </c>
      <c r="Y1521" s="1">
        <v>845000.0</v>
      </c>
      <c r="Z1521" s="1"/>
      <c r="AA1521" s="1">
        <v>845000.0</v>
      </c>
      <c r="AB1521" s="1"/>
      <c r="AC1521" s="1" t="s">
        <v>36</v>
      </c>
      <c r="AD1521" s="1" t="s">
        <v>5697</v>
      </c>
      <c r="AE1521" s="1" t="s">
        <v>32</v>
      </c>
      <c r="AF1521" s="1" t="s">
        <v>33</v>
      </c>
      <c r="AG1521" s="1" t="s">
        <v>530</v>
      </c>
    </row>
    <row r="1522" spans="1:33">
      <c r="A1522" t="s">
        <v>5715</v>
      </c>
      <c r="B1522" t="s">
        <v>5716</v>
      </c>
      <c r="C1522" t="s">
        <v>47</v>
      </c>
      <c r="E1522" t="s">
        <v>5469</v>
      </c>
      <c r="F1522" t="s">
        <v>1401</v>
      </c>
      <c r="G1522">
        <v>11.5</v>
      </c>
      <c r="H1522">
        <v>11.5</v>
      </c>
      <c r="I1522" t="s">
        <v>48</v>
      </c>
      <c r="J1522" t="s">
        <v>49</v>
      </c>
      <c r="K1522" t="s">
        <v>31</v>
      </c>
      <c r="L1522" t="s">
        <v>32</v>
      </c>
      <c r="M1522" t="s">
        <v>33</v>
      </c>
      <c r="P1522" s="1" t="s">
        <v>5717</v>
      </c>
      <c r="Q1522" s="1" t="s">
        <v>5469</v>
      </c>
      <c r="R1522" s="1" t="s">
        <v>5469</v>
      </c>
      <c r="S1522" s="1"/>
      <c r="T1522" s="1" t="s">
        <v>47</v>
      </c>
      <c r="U1522" s="1"/>
      <c r="V1522" s="1">
        <v>11.5</v>
      </c>
      <c r="W1522" s="1">
        <v>11.5</v>
      </c>
      <c r="X1522" s="1" t="s">
        <v>35</v>
      </c>
      <c r="Y1522" s="1">
        <v>11500.0</v>
      </c>
      <c r="Z1522" s="1"/>
      <c r="AA1522" s="1">
        <v>11500.0</v>
      </c>
      <c r="AB1522" s="1"/>
      <c r="AC1522" s="1" t="s">
        <v>36</v>
      </c>
      <c r="AD1522" s="1" t="s">
        <v>5718</v>
      </c>
      <c r="AE1522" s="1" t="s">
        <v>32</v>
      </c>
      <c r="AF1522" s="1" t="s">
        <v>33</v>
      </c>
      <c r="AG1522" s="1" t="s">
        <v>49</v>
      </c>
    </row>
    <row r="1523" spans="1:33">
      <c r="A1523" t="s">
        <v>5719</v>
      </c>
      <c r="B1523" t="s">
        <v>5720</v>
      </c>
      <c r="C1523" t="s">
        <v>314</v>
      </c>
      <c r="E1523" t="s">
        <v>5469</v>
      </c>
      <c r="F1523" t="s">
        <v>1401</v>
      </c>
      <c r="G1523">
        <v>185.9</v>
      </c>
      <c r="H1523">
        <v>185.9</v>
      </c>
      <c r="I1523" t="s">
        <v>179</v>
      </c>
      <c r="J1523" t="s">
        <v>180</v>
      </c>
      <c r="K1523" t="s">
        <v>31</v>
      </c>
      <c r="L1523" t="s">
        <v>32</v>
      </c>
      <c r="M1523" t="s">
        <v>33</v>
      </c>
      <c r="P1523" s="1" t="s">
        <v>5721</v>
      </c>
      <c r="Q1523" s="1" t="s">
        <v>5469</v>
      </c>
      <c r="R1523" s="1" t="s">
        <v>5469</v>
      </c>
      <c r="S1523" s="1"/>
      <c r="T1523" s="1" t="s">
        <v>314</v>
      </c>
      <c r="U1523" s="1"/>
      <c r="V1523" s="1">
        <v>185.9</v>
      </c>
      <c r="W1523" s="1">
        <v>185.9</v>
      </c>
      <c r="X1523" s="1" t="s">
        <v>35</v>
      </c>
      <c r="Y1523" s="1">
        <v>185900.0</v>
      </c>
      <c r="Z1523" s="1"/>
      <c r="AA1523" s="1">
        <v>185900.0</v>
      </c>
      <c r="AB1523" s="1"/>
      <c r="AC1523" s="1" t="s">
        <v>36</v>
      </c>
      <c r="AD1523" s="1" t="s">
        <v>5722</v>
      </c>
      <c r="AE1523" s="1" t="s">
        <v>32</v>
      </c>
      <c r="AF1523" s="1" t="s">
        <v>33</v>
      </c>
      <c r="AG1523" s="1" t="s">
        <v>180</v>
      </c>
    </row>
    <row r="1524" spans="1:33">
      <c r="A1524" t="s">
        <v>5723</v>
      </c>
      <c r="B1524" t="s">
        <v>1976</v>
      </c>
      <c r="C1524" t="s">
        <v>314</v>
      </c>
      <c r="E1524" t="s">
        <v>5469</v>
      </c>
      <c r="F1524" t="s">
        <v>1401</v>
      </c>
      <c r="G1524">
        <v>37.18</v>
      </c>
      <c r="H1524">
        <v>37.18</v>
      </c>
      <c r="I1524" t="s">
        <v>179</v>
      </c>
      <c r="J1524" t="s">
        <v>180</v>
      </c>
      <c r="K1524" t="s">
        <v>31</v>
      </c>
      <c r="L1524" t="s">
        <v>32</v>
      </c>
      <c r="M1524" t="s">
        <v>33</v>
      </c>
      <c r="P1524" s="1" t="s">
        <v>5724</v>
      </c>
      <c r="Q1524" s="1" t="s">
        <v>5469</v>
      </c>
      <c r="R1524" s="1" t="s">
        <v>5469</v>
      </c>
      <c r="S1524" s="1"/>
      <c r="T1524" s="1" t="s">
        <v>314</v>
      </c>
      <c r="U1524" s="1"/>
      <c r="V1524" s="1">
        <v>37.18</v>
      </c>
      <c r="W1524" s="1">
        <v>37.18</v>
      </c>
      <c r="X1524" s="1" t="s">
        <v>35</v>
      </c>
      <c r="Y1524" s="1">
        <v>37180.0</v>
      </c>
      <c r="Z1524" s="1"/>
      <c r="AA1524" s="1">
        <v>37180.0</v>
      </c>
      <c r="AB1524" s="1"/>
      <c r="AC1524" s="1" t="s">
        <v>36</v>
      </c>
      <c r="AD1524" s="1" t="s">
        <v>5725</v>
      </c>
      <c r="AE1524" s="1" t="s">
        <v>32</v>
      </c>
      <c r="AF1524" s="1" t="s">
        <v>33</v>
      </c>
      <c r="AG1524" s="1" t="s">
        <v>180</v>
      </c>
    </row>
    <row r="1525" spans="1:33">
      <c r="A1525" t="s">
        <v>5726</v>
      </c>
      <c r="B1525" t="s">
        <v>5727</v>
      </c>
      <c r="C1525" t="s">
        <v>1758</v>
      </c>
      <c r="E1525" t="s">
        <v>5469</v>
      </c>
      <c r="F1525" t="s">
        <v>1401</v>
      </c>
      <c r="G1525">
        <v>459.2</v>
      </c>
      <c r="H1525">
        <v>459.2</v>
      </c>
      <c r="I1525" t="s">
        <v>529</v>
      </c>
      <c r="J1525" t="s">
        <v>530</v>
      </c>
      <c r="K1525" t="s">
        <v>31</v>
      </c>
      <c r="L1525" t="s">
        <v>32</v>
      </c>
      <c r="M1525" t="s">
        <v>33</v>
      </c>
      <c r="P1525" s="1" t="s">
        <v>5728</v>
      </c>
      <c r="Q1525" s="1" t="s">
        <v>5469</v>
      </c>
      <c r="R1525" s="1" t="s">
        <v>4960</v>
      </c>
      <c r="S1525" s="1"/>
      <c r="T1525" s="1" t="s">
        <v>1758</v>
      </c>
      <c r="U1525" s="1"/>
      <c r="V1525" s="1">
        <v>459.2</v>
      </c>
      <c r="W1525" s="1">
        <v>459.2</v>
      </c>
      <c r="X1525" s="1" t="s">
        <v>35</v>
      </c>
      <c r="Y1525" s="1">
        <v>459200.0</v>
      </c>
      <c r="Z1525" s="1"/>
      <c r="AA1525" s="1">
        <v>459200.0</v>
      </c>
      <c r="AB1525" s="1"/>
      <c r="AC1525" s="1" t="s">
        <v>36</v>
      </c>
      <c r="AD1525" s="1" t="s">
        <v>5729</v>
      </c>
      <c r="AE1525" s="1" t="s">
        <v>32</v>
      </c>
      <c r="AF1525" s="1" t="s">
        <v>33</v>
      </c>
      <c r="AG1525" s="1" t="s">
        <v>530</v>
      </c>
    </row>
    <row r="1526" spans="1:33">
      <c r="A1526" t="s">
        <v>5730</v>
      </c>
      <c r="B1526" t="s">
        <v>5731</v>
      </c>
      <c r="C1526" t="s">
        <v>5732</v>
      </c>
      <c r="E1526" t="s">
        <v>5469</v>
      </c>
      <c r="F1526" t="s">
        <v>1401</v>
      </c>
      <c r="G1526">
        <v>85.25</v>
      </c>
      <c r="H1526">
        <v>85.25</v>
      </c>
      <c r="I1526" t="s">
        <v>29</v>
      </c>
      <c r="J1526" t="s">
        <v>30</v>
      </c>
      <c r="K1526" t="s">
        <v>31</v>
      </c>
      <c r="L1526" t="s">
        <v>32</v>
      </c>
      <c r="M1526" t="s">
        <v>33</v>
      </c>
      <c r="P1526" s="1" t="s">
        <v>5733</v>
      </c>
      <c r="Q1526" s="1" t="s">
        <v>5469</v>
      </c>
      <c r="R1526" s="1" t="s">
        <v>5469</v>
      </c>
      <c r="S1526" s="1"/>
      <c r="T1526" s="1" t="s">
        <v>5732</v>
      </c>
      <c r="U1526" s="1"/>
      <c r="V1526" s="1">
        <v>85.25</v>
      </c>
      <c r="W1526" s="1">
        <v>85.25</v>
      </c>
      <c r="X1526" s="1" t="s">
        <v>35</v>
      </c>
      <c r="Y1526" s="1">
        <v>85250.0</v>
      </c>
      <c r="Z1526" s="1"/>
      <c r="AA1526" s="1">
        <v>85250.0</v>
      </c>
      <c r="AB1526" s="1"/>
      <c r="AC1526" s="1" t="s">
        <v>36</v>
      </c>
      <c r="AD1526" s="1" t="s">
        <v>5734</v>
      </c>
      <c r="AE1526" s="1" t="s">
        <v>32</v>
      </c>
      <c r="AF1526" s="1" t="s">
        <v>33</v>
      </c>
      <c r="AG1526" s="1" t="s">
        <v>30</v>
      </c>
    </row>
    <row r="1527" spans="1:33">
      <c r="A1527" t="s">
        <v>5735</v>
      </c>
      <c r="C1527" t="s">
        <v>3274</v>
      </c>
      <c r="E1527" t="s">
        <v>5469</v>
      </c>
      <c r="F1527" t="s">
        <v>1401</v>
      </c>
      <c r="G1527">
        <v>1.312</v>
      </c>
      <c r="H1527">
        <v>1.312</v>
      </c>
      <c r="I1527" t="s">
        <v>269</v>
      </c>
      <c r="J1527" t="s">
        <v>270</v>
      </c>
      <c r="K1527" t="s">
        <v>31</v>
      </c>
      <c r="L1527" t="s">
        <v>32</v>
      </c>
      <c r="M1527" t="s">
        <v>33</v>
      </c>
      <c r="P1527" s="1" t="s">
        <v>5736</v>
      </c>
      <c r="Q1527" s="1" t="s">
        <v>5469</v>
      </c>
      <c r="R1527" s="1" t="s">
        <v>5469</v>
      </c>
      <c r="S1527" s="1"/>
      <c r="T1527" s="1" t="s">
        <v>3274</v>
      </c>
      <c r="U1527" s="1"/>
      <c r="V1527" s="1">
        <v>1.312</v>
      </c>
      <c r="W1527" s="1">
        <v>1.312</v>
      </c>
      <c r="X1527" s="1" t="s">
        <v>35</v>
      </c>
      <c r="Y1527" s="1">
        <v>1312000.0</v>
      </c>
      <c r="Z1527" s="1"/>
      <c r="AA1527" s="1">
        <v>1312000.0</v>
      </c>
      <c r="AB1527" s="1"/>
      <c r="AC1527" s="1" t="s">
        <v>36</v>
      </c>
      <c r="AD1527" s="1" t="s">
        <v>5737</v>
      </c>
      <c r="AE1527" s="1" t="s">
        <v>32</v>
      </c>
      <c r="AF1527" s="1" t="s">
        <v>33</v>
      </c>
      <c r="AG1527" s="1" t="s">
        <v>270</v>
      </c>
    </row>
    <row r="1528" spans="1:33">
      <c r="A1528" t="s">
        <v>5738</v>
      </c>
      <c r="C1528" t="s">
        <v>827</v>
      </c>
      <c r="D1528" t="s">
        <v>154</v>
      </c>
      <c r="E1528" t="s">
        <v>5469</v>
      </c>
      <c r="F1528" t="s">
        <v>1401</v>
      </c>
      <c r="G1528">
        <v>62.5</v>
      </c>
      <c r="H1528">
        <v>62.5</v>
      </c>
      <c r="I1528" t="s">
        <v>269</v>
      </c>
      <c r="J1528" t="s">
        <v>270</v>
      </c>
      <c r="K1528" t="s">
        <v>31</v>
      </c>
      <c r="L1528" t="s">
        <v>32</v>
      </c>
      <c r="M1528" t="s">
        <v>33</v>
      </c>
      <c r="P1528" s="1" t="s">
        <v>5739</v>
      </c>
      <c r="Q1528" s="1" t="s">
        <v>5469</v>
      </c>
      <c r="R1528" s="1" t="s">
        <v>5469</v>
      </c>
      <c r="S1528" s="1"/>
      <c r="T1528" s="1" t="s">
        <v>827</v>
      </c>
      <c r="U1528" s="1"/>
      <c r="V1528" s="1">
        <v>62.5</v>
      </c>
      <c r="W1528" s="1">
        <v>62.5</v>
      </c>
      <c r="X1528" s="1" t="s">
        <v>35</v>
      </c>
      <c r="Y1528" s="1">
        <v>62500.0</v>
      </c>
      <c r="Z1528" s="1"/>
      <c r="AA1528" s="1">
        <v>62500.0</v>
      </c>
      <c r="AB1528" s="1"/>
      <c r="AC1528" s="1" t="s">
        <v>36</v>
      </c>
      <c r="AD1528" s="1" t="s">
        <v>5740</v>
      </c>
      <c r="AE1528" s="1" t="s">
        <v>32</v>
      </c>
      <c r="AF1528" s="1" t="s">
        <v>33</v>
      </c>
      <c r="AG1528" s="1" t="s">
        <v>270</v>
      </c>
    </row>
    <row r="1529" spans="1:33">
      <c r="A1529" t="s">
        <v>5741</v>
      </c>
      <c r="C1529" t="s">
        <v>558</v>
      </c>
      <c r="D1529" t="s">
        <v>154</v>
      </c>
      <c r="E1529" t="s">
        <v>5469</v>
      </c>
      <c r="F1529" t="s">
        <v>1401</v>
      </c>
      <c r="G1529">
        <v>328.0</v>
      </c>
      <c r="H1529">
        <v>328.0</v>
      </c>
      <c r="I1529" t="s">
        <v>269</v>
      </c>
      <c r="J1529" t="s">
        <v>270</v>
      </c>
      <c r="K1529" t="s">
        <v>31</v>
      </c>
      <c r="L1529" t="s">
        <v>32</v>
      </c>
      <c r="M1529" t="s">
        <v>33</v>
      </c>
      <c r="P1529" s="1" t="s">
        <v>5742</v>
      </c>
      <c r="Q1529" s="1" t="s">
        <v>5469</v>
      </c>
      <c r="R1529" s="1" t="s">
        <v>5469</v>
      </c>
      <c r="S1529" s="1"/>
      <c r="T1529" s="1" t="s">
        <v>560</v>
      </c>
      <c r="U1529" s="1" t="s">
        <v>561</v>
      </c>
      <c r="V1529" s="1">
        <v>328.0</v>
      </c>
      <c r="W1529" s="1">
        <v>328.0</v>
      </c>
      <c r="X1529" s="1" t="s">
        <v>35</v>
      </c>
      <c r="Y1529" s="1">
        <v>328000.0</v>
      </c>
      <c r="Z1529" s="1"/>
      <c r="AA1529" s="1">
        <v>328000.0</v>
      </c>
      <c r="AB1529" s="1"/>
      <c r="AC1529" s="1" t="s">
        <v>36</v>
      </c>
      <c r="AD1529" s="1" t="s">
        <v>5743</v>
      </c>
      <c r="AE1529" s="1" t="s">
        <v>32</v>
      </c>
      <c r="AF1529" s="1" t="s">
        <v>33</v>
      </c>
      <c r="AG1529" s="1" t="s">
        <v>270</v>
      </c>
    </row>
    <row r="1530" spans="1:33">
      <c r="A1530" t="s">
        <v>5744</v>
      </c>
      <c r="C1530" t="s">
        <v>4236</v>
      </c>
      <c r="E1530" t="s">
        <v>5469</v>
      </c>
      <c r="F1530" t="s">
        <v>1401</v>
      </c>
      <c r="G1530">
        <v>652.95</v>
      </c>
      <c r="H1530">
        <v>652.95</v>
      </c>
      <c r="I1530" t="s">
        <v>179</v>
      </c>
      <c r="J1530" t="s">
        <v>180</v>
      </c>
      <c r="K1530" t="s">
        <v>31</v>
      </c>
      <c r="L1530" t="s">
        <v>32</v>
      </c>
      <c r="M1530" t="s">
        <v>33</v>
      </c>
      <c r="P1530" s="1" t="s">
        <v>5745</v>
      </c>
      <c r="Q1530" s="1" t="s">
        <v>5469</v>
      </c>
      <c r="R1530" s="1" t="s">
        <v>5469</v>
      </c>
      <c r="S1530" s="1"/>
      <c r="T1530" s="1" t="s">
        <v>4236</v>
      </c>
      <c r="U1530" s="1"/>
      <c r="V1530" s="1">
        <v>652.95</v>
      </c>
      <c r="W1530" s="1">
        <v>652.95</v>
      </c>
      <c r="X1530" s="1" t="s">
        <v>35</v>
      </c>
      <c r="Y1530" s="1">
        <v>652950.0</v>
      </c>
      <c r="Z1530" s="1"/>
      <c r="AA1530" s="1">
        <v>652950.0</v>
      </c>
      <c r="AB1530" s="1"/>
      <c r="AC1530" s="1" t="s">
        <v>36</v>
      </c>
      <c r="AD1530" s="1" t="s">
        <v>5746</v>
      </c>
      <c r="AE1530" s="1" t="s">
        <v>32</v>
      </c>
      <c r="AF1530" s="1" t="s">
        <v>33</v>
      </c>
      <c r="AG1530" s="1" t="s">
        <v>180</v>
      </c>
    </row>
    <row r="1531" spans="1:33">
      <c r="A1531" t="s">
        <v>5747</v>
      </c>
      <c r="B1531" t="s">
        <v>5748</v>
      </c>
      <c r="C1531" t="s">
        <v>314</v>
      </c>
      <c r="E1531" t="s">
        <v>5469</v>
      </c>
      <c r="F1531" t="s">
        <v>1401</v>
      </c>
      <c r="G1531">
        <v>52.33</v>
      </c>
      <c r="H1531">
        <v>52.33</v>
      </c>
      <c r="I1531" t="s">
        <v>179</v>
      </c>
      <c r="J1531" t="s">
        <v>180</v>
      </c>
      <c r="K1531" t="s">
        <v>31</v>
      </c>
      <c r="L1531" t="s">
        <v>32</v>
      </c>
      <c r="M1531" t="s">
        <v>33</v>
      </c>
      <c r="P1531" s="1" t="s">
        <v>5749</v>
      </c>
      <c r="Q1531" s="1" t="s">
        <v>5469</v>
      </c>
      <c r="R1531" s="1" t="s">
        <v>5469</v>
      </c>
      <c r="S1531" s="1"/>
      <c r="T1531" s="1" t="s">
        <v>314</v>
      </c>
      <c r="U1531" s="1"/>
      <c r="V1531" s="1">
        <v>52.33</v>
      </c>
      <c r="W1531" s="1">
        <v>52.33</v>
      </c>
      <c r="X1531" s="1" t="s">
        <v>35</v>
      </c>
      <c r="Y1531" s="1">
        <v>52330.0</v>
      </c>
      <c r="Z1531" s="1"/>
      <c r="AA1531" s="1">
        <v>52330.0</v>
      </c>
      <c r="AB1531" s="1"/>
      <c r="AC1531" s="1" t="s">
        <v>36</v>
      </c>
      <c r="AD1531" s="1" t="s">
        <v>5750</v>
      </c>
      <c r="AE1531" s="1" t="s">
        <v>32</v>
      </c>
      <c r="AF1531" s="1" t="s">
        <v>33</v>
      </c>
      <c r="AG1531" s="1" t="s">
        <v>180</v>
      </c>
    </row>
    <row r="1532" spans="1:33">
      <c r="A1532" t="s">
        <v>5751</v>
      </c>
      <c r="B1532" t="s">
        <v>5752</v>
      </c>
      <c r="C1532" t="s">
        <v>26</v>
      </c>
      <c r="E1532" t="s">
        <v>5469</v>
      </c>
      <c r="F1532" t="s">
        <v>1401</v>
      </c>
      <c r="G1532">
        <v>62.97</v>
      </c>
      <c r="H1532">
        <v>62.97</v>
      </c>
      <c r="I1532" t="s">
        <v>29</v>
      </c>
      <c r="J1532" t="s">
        <v>30</v>
      </c>
      <c r="K1532" t="s">
        <v>31</v>
      </c>
      <c r="L1532" t="s">
        <v>32</v>
      </c>
      <c r="M1532" t="s">
        <v>33</v>
      </c>
      <c r="P1532" s="1" t="s">
        <v>5753</v>
      </c>
      <c r="Q1532" s="1" t="s">
        <v>5469</v>
      </c>
      <c r="R1532" s="1" t="s">
        <v>5469</v>
      </c>
      <c r="S1532" s="1"/>
      <c r="T1532" s="1" t="s">
        <v>26</v>
      </c>
      <c r="U1532" s="1"/>
      <c r="V1532" s="1">
        <v>62.97</v>
      </c>
      <c r="W1532" s="1">
        <v>62.97</v>
      </c>
      <c r="X1532" s="1" t="s">
        <v>35</v>
      </c>
      <c r="Y1532" s="1">
        <v>62970.0</v>
      </c>
      <c r="Z1532" s="1"/>
      <c r="AA1532" s="1">
        <v>62970.0</v>
      </c>
      <c r="AB1532" s="1"/>
      <c r="AC1532" s="1" t="s">
        <v>36</v>
      </c>
      <c r="AD1532" s="1" t="s">
        <v>5754</v>
      </c>
      <c r="AE1532" s="1" t="s">
        <v>32</v>
      </c>
      <c r="AF1532" s="1" t="s">
        <v>33</v>
      </c>
      <c r="AG1532" s="1" t="s">
        <v>30</v>
      </c>
    </row>
    <row r="1533" spans="1:33">
      <c r="A1533" t="s">
        <v>5755</v>
      </c>
      <c r="B1533" t="s">
        <v>5756</v>
      </c>
      <c r="C1533" t="s">
        <v>268</v>
      </c>
      <c r="E1533" t="s">
        <v>5469</v>
      </c>
      <c r="F1533" t="s">
        <v>1401</v>
      </c>
      <c r="G1533">
        <v>16.9</v>
      </c>
      <c r="H1533">
        <v>16.9</v>
      </c>
      <c r="I1533" t="s">
        <v>269</v>
      </c>
      <c r="J1533" t="s">
        <v>270</v>
      </c>
      <c r="K1533" t="s">
        <v>31</v>
      </c>
      <c r="L1533" t="s">
        <v>32</v>
      </c>
      <c r="M1533" t="s">
        <v>33</v>
      </c>
      <c r="P1533" s="1" t="s">
        <v>5757</v>
      </c>
      <c r="Q1533" s="1" t="s">
        <v>5469</v>
      </c>
      <c r="R1533" s="1" t="s">
        <v>5469</v>
      </c>
      <c r="S1533" s="1"/>
      <c r="T1533" s="1" t="s">
        <v>268</v>
      </c>
      <c r="U1533" s="1"/>
      <c r="V1533" s="1">
        <v>16.9</v>
      </c>
      <c r="W1533" s="1">
        <v>16.9</v>
      </c>
      <c r="X1533" s="1" t="s">
        <v>35</v>
      </c>
      <c r="Y1533" s="1">
        <v>16900.0</v>
      </c>
      <c r="Z1533" s="1"/>
      <c r="AA1533" s="1">
        <v>16900.0</v>
      </c>
      <c r="AB1533" s="1"/>
      <c r="AC1533" s="1" t="s">
        <v>36</v>
      </c>
      <c r="AD1533" s="1" t="s">
        <v>5758</v>
      </c>
      <c r="AE1533" s="1" t="s">
        <v>32</v>
      </c>
      <c r="AF1533" s="1" t="s">
        <v>33</v>
      </c>
      <c r="AG1533" s="1" t="s">
        <v>270</v>
      </c>
    </row>
    <row r="1534" spans="1:33">
      <c r="A1534" t="s">
        <v>5759</v>
      </c>
      <c r="B1534" t="s">
        <v>5760</v>
      </c>
      <c r="C1534" t="s">
        <v>1298</v>
      </c>
      <c r="E1534" t="s">
        <v>5469</v>
      </c>
      <c r="F1534" t="s">
        <v>1401</v>
      </c>
      <c r="G1534">
        <v>10.644</v>
      </c>
      <c r="H1534">
        <v>10.644</v>
      </c>
      <c r="I1534" t="s">
        <v>529</v>
      </c>
      <c r="J1534" t="s">
        <v>530</v>
      </c>
      <c r="K1534" t="s">
        <v>31</v>
      </c>
      <c r="L1534" t="s">
        <v>32</v>
      </c>
      <c r="M1534" t="s">
        <v>33</v>
      </c>
      <c r="P1534" s="1" t="s">
        <v>5761</v>
      </c>
      <c r="Q1534" s="1" t="s">
        <v>5469</v>
      </c>
      <c r="R1534" s="1" t="s">
        <v>4960</v>
      </c>
      <c r="S1534" s="1"/>
      <c r="T1534" s="1" t="s">
        <v>1298</v>
      </c>
      <c r="U1534" s="1"/>
      <c r="V1534" s="1">
        <v>10.644</v>
      </c>
      <c r="W1534" s="1">
        <v>10.644</v>
      </c>
      <c r="X1534" s="1" t="s">
        <v>35</v>
      </c>
      <c r="Y1534" s="1">
        <v>10644.0</v>
      </c>
      <c r="Z1534" s="1"/>
      <c r="AA1534" s="1">
        <v>10644.0</v>
      </c>
      <c r="AB1534" s="1"/>
      <c r="AC1534" s="1" t="s">
        <v>36</v>
      </c>
      <c r="AD1534" s="1" t="s">
        <v>5762</v>
      </c>
      <c r="AE1534" s="1" t="s">
        <v>32</v>
      </c>
      <c r="AF1534" s="1" t="s">
        <v>33</v>
      </c>
      <c r="AG1534" s="1" t="s">
        <v>530</v>
      </c>
    </row>
    <row r="1535" spans="1:33">
      <c r="A1535" t="s">
        <v>5763</v>
      </c>
      <c r="B1535" t="s">
        <v>5764</v>
      </c>
      <c r="C1535" t="s">
        <v>314</v>
      </c>
      <c r="E1535" t="s">
        <v>5469</v>
      </c>
      <c r="F1535" t="s">
        <v>1401</v>
      </c>
      <c r="G1535">
        <v>18.59</v>
      </c>
      <c r="H1535">
        <v>18.59</v>
      </c>
      <c r="I1535" t="s">
        <v>179</v>
      </c>
      <c r="J1535" t="s">
        <v>180</v>
      </c>
      <c r="K1535" t="s">
        <v>31</v>
      </c>
      <c r="L1535" t="s">
        <v>32</v>
      </c>
      <c r="M1535" t="s">
        <v>33</v>
      </c>
      <c r="P1535" s="1" t="s">
        <v>5765</v>
      </c>
      <c r="Q1535" s="1" t="s">
        <v>5469</v>
      </c>
      <c r="R1535" s="1" t="s">
        <v>5469</v>
      </c>
      <c r="S1535" s="1"/>
      <c r="T1535" s="1" t="s">
        <v>314</v>
      </c>
      <c r="U1535" s="1"/>
      <c r="V1535" s="1">
        <v>18.59</v>
      </c>
      <c r="W1535" s="1">
        <v>18.59</v>
      </c>
      <c r="X1535" s="1" t="s">
        <v>35</v>
      </c>
      <c r="Y1535" s="1">
        <v>18590.0</v>
      </c>
      <c r="Z1535" s="1"/>
      <c r="AA1535" s="1">
        <v>18590.0</v>
      </c>
      <c r="AB1535" s="1"/>
      <c r="AC1535" s="1" t="s">
        <v>36</v>
      </c>
      <c r="AD1535" s="1" t="s">
        <v>5766</v>
      </c>
      <c r="AE1535" s="1" t="s">
        <v>32</v>
      </c>
      <c r="AF1535" s="1" t="s">
        <v>33</v>
      </c>
      <c r="AG1535" s="1" t="s">
        <v>180</v>
      </c>
    </row>
    <row r="1536" spans="1:33">
      <c r="A1536" t="s">
        <v>5767</v>
      </c>
      <c r="C1536" t="s">
        <v>2266</v>
      </c>
      <c r="E1536" t="s">
        <v>5469</v>
      </c>
      <c r="F1536" t="s">
        <v>1401</v>
      </c>
      <c r="G1536">
        <v>1.051</v>
      </c>
      <c r="H1536">
        <v>1.051</v>
      </c>
      <c r="I1536" t="s">
        <v>269</v>
      </c>
      <c r="J1536" t="s">
        <v>270</v>
      </c>
      <c r="K1536" t="s">
        <v>31</v>
      </c>
      <c r="L1536" t="s">
        <v>32</v>
      </c>
      <c r="M1536" t="s">
        <v>33</v>
      </c>
      <c r="P1536" s="1" t="s">
        <v>5768</v>
      </c>
      <c r="Q1536" s="1" t="s">
        <v>5469</v>
      </c>
      <c r="R1536" s="1" t="s">
        <v>5469</v>
      </c>
      <c r="S1536" s="1"/>
      <c r="T1536" s="1" t="s">
        <v>2266</v>
      </c>
      <c r="U1536" s="1"/>
      <c r="V1536" s="1">
        <v>1.051</v>
      </c>
      <c r="W1536" s="1">
        <v>1.051</v>
      </c>
      <c r="X1536" s="1" t="s">
        <v>35</v>
      </c>
      <c r="Y1536" s="1">
        <v>1051000.0</v>
      </c>
      <c r="Z1536" s="1"/>
      <c r="AA1536" s="1">
        <v>1051000.0</v>
      </c>
      <c r="AB1536" s="1"/>
      <c r="AC1536" s="1" t="s">
        <v>36</v>
      </c>
      <c r="AD1536" s="1" t="s">
        <v>5769</v>
      </c>
      <c r="AE1536" s="1" t="s">
        <v>32</v>
      </c>
      <c r="AF1536" s="1" t="s">
        <v>33</v>
      </c>
      <c r="AG1536" s="1" t="s">
        <v>270</v>
      </c>
    </row>
    <row r="1537" spans="1:33">
      <c r="A1537" t="s">
        <v>5770</v>
      </c>
      <c r="B1537" t="s">
        <v>5771</v>
      </c>
      <c r="C1537" t="s">
        <v>68</v>
      </c>
      <c r="E1537" t="s">
        <v>5469</v>
      </c>
      <c r="F1537" t="s">
        <v>1401</v>
      </c>
      <c r="G1537">
        <v>15.365</v>
      </c>
      <c r="H1537">
        <v>15.365</v>
      </c>
      <c r="I1537" t="s">
        <v>59</v>
      </c>
      <c r="J1537" t="s">
        <v>60</v>
      </c>
      <c r="K1537" t="s">
        <v>31</v>
      </c>
      <c r="L1537" t="s">
        <v>32</v>
      </c>
      <c r="M1537" t="s">
        <v>33</v>
      </c>
      <c r="P1537" s="1" t="s">
        <v>5772</v>
      </c>
      <c r="Q1537" s="1" t="s">
        <v>5469</v>
      </c>
      <c r="R1537" s="1" t="s">
        <v>5469</v>
      </c>
      <c r="S1537" s="1"/>
      <c r="T1537" s="1" t="s">
        <v>68</v>
      </c>
      <c r="U1537" s="1"/>
      <c r="V1537" s="1">
        <v>15.365</v>
      </c>
      <c r="W1537" s="1">
        <v>15.365</v>
      </c>
      <c r="X1537" s="1" t="s">
        <v>35</v>
      </c>
      <c r="Y1537" s="1">
        <v>15365.0</v>
      </c>
      <c r="Z1537" s="1"/>
      <c r="AA1537" s="1">
        <v>15365.0</v>
      </c>
      <c r="AB1537" s="1"/>
      <c r="AC1537" s="1" t="s">
        <v>36</v>
      </c>
      <c r="AD1537" s="1" t="s">
        <v>5773</v>
      </c>
      <c r="AE1537" s="1" t="s">
        <v>32</v>
      </c>
      <c r="AF1537" s="1" t="s">
        <v>33</v>
      </c>
      <c r="AG1537" s="1" t="s">
        <v>60</v>
      </c>
    </row>
    <row r="1538" spans="1:33">
      <c r="A1538" t="s">
        <v>5774</v>
      </c>
      <c r="B1538" t="s">
        <v>4058</v>
      </c>
      <c r="C1538" t="s">
        <v>4059</v>
      </c>
      <c r="E1538" t="s">
        <v>5469</v>
      </c>
      <c r="F1538" t="s">
        <v>1401</v>
      </c>
      <c r="G1538">
        <v>1.021</v>
      </c>
      <c r="H1538">
        <v>1.021</v>
      </c>
      <c r="I1538" t="s">
        <v>29</v>
      </c>
      <c r="J1538" t="s">
        <v>30</v>
      </c>
      <c r="K1538" t="s">
        <v>31</v>
      </c>
      <c r="L1538" t="s">
        <v>32</v>
      </c>
      <c r="M1538" t="s">
        <v>33</v>
      </c>
      <c r="P1538" s="1" t="s">
        <v>5775</v>
      </c>
      <c r="Q1538" s="1" t="s">
        <v>5469</v>
      </c>
      <c r="R1538" s="1" t="s">
        <v>5469</v>
      </c>
      <c r="S1538" s="1"/>
      <c r="T1538" s="1" t="s">
        <v>4059</v>
      </c>
      <c r="U1538" s="1"/>
      <c r="V1538" s="1">
        <v>1.021</v>
      </c>
      <c r="W1538" s="1">
        <v>1.021</v>
      </c>
      <c r="X1538" s="1" t="s">
        <v>35</v>
      </c>
      <c r="Y1538" s="1">
        <v>1021730.0</v>
      </c>
      <c r="Z1538" s="1"/>
      <c r="AA1538" s="1">
        <v>1021730.0</v>
      </c>
      <c r="AB1538" s="1"/>
      <c r="AC1538" s="1" t="s">
        <v>36</v>
      </c>
      <c r="AD1538" s="1" t="s">
        <v>5776</v>
      </c>
      <c r="AE1538" s="1" t="s">
        <v>32</v>
      </c>
      <c r="AF1538" s="1" t="s">
        <v>33</v>
      </c>
      <c r="AG1538" s="1" t="s">
        <v>30</v>
      </c>
    </row>
    <row r="1539" spans="1:33">
      <c r="A1539" t="s">
        <v>5777</v>
      </c>
      <c r="C1539" t="s">
        <v>644</v>
      </c>
      <c r="E1539" t="s">
        <v>5469</v>
      </c>
      <c r="F1539" t="s">
        <v>1401</v>
      </c>
      <c r="G1539">
        <v>328.0</v>
      </c>
      <c r="H1539">
        <v>328.0</v>
      </c>
      <c r="I1539" t="s">
        <v>227</v>
      </c>
      <c r="J1539" t="s">
        <v>228</v>
      </c>
      <c r="K1539" t="s">
        <v>31</v>
      </c>
      <c r="L1539" t="s">
        <v>32</v>
      </c>
      <c r="M1539" t="s">
        <v>33</v>
      </c>
      <c r="P1539" s="1" t="s">
        <v>5778</v>
      </c>
      <c r="Q1539" s="1" t="s">
        <v>5469</v>
      </c>
      <c r="R1539" s="1" t="s">
        <v>5469</v>
      </c>
      <c r="S1539" s="1"/>
      <c r="T1539" s="1" t="s">
        <v>644</v>
      </c>
      <c r="U1539" s="1"/>
      <c r="V1539" s="1">
        <v>328.0</v>
      </c>
      <c r="W1539" s="1">
        <v>328.0</v>
      </c>
      <c r="X1539" s="1" t="s">
        <v>35</v>
      </c>
      <c r="Y1539" s="1">
        <v>328000.0</v>
      </c>
      <c r="Z1539" s="1"/>
      <c r="AA1539" s="1">
        <v>328000.0</v>
      </c>
      <c r="AB1539" s="1"/>
      <c r="AC1539" s="1" t="s">
        <v>36</v>
      </c>
      <c r="AD1539" s="1" t="s">
        <v>5743</v>
      </c>
      <c r="AE1539" s="1" t="s">
        <v>32</v>
      </c>
      <c r="AF1539" s="1" t="s">
        <v>33</v>
      </c>
      <c r="AG1539" s="1" t="s">
        <v>228</v>
      </c>
    </row>
    <row r="1540" spans="1:33">
      <c r="A1540" t="s">
        <v>5779</v>
      </c>
      <c r="C1540" t="s">
        <v>1522</v>
      </c>
      <c r="E1540" t="s">
        <v>5469</v>
      </c>
      <c r="F1540" t="s">
        <v>1401</v>
      </c>
      <c r="G1540">
        <v>1.312</v>
      </c>
      <c r="H1540">
        <v>1.312</v>
      </c>
      <c r="I1540" t="s">
        <v>227</v>
      </c>
      <c r="J1540" t="s">
        <v>228</v>
      </c>
      <c r="K1540" t="s">
        <v>31</v>
      </c>
      <c r="L1540" t="s">
        <v>32</v>
      </c>
      <c r="M1540" t="s">
        <v>33</v>
      </c>
      <c r="P1540" s="1" t="s">
        <v>5780</v>
      </c>
      <c r="Q1540" s="1" t="s">
        <v>5469</v>
      </c>
      <c r="R1540" s="1" t="s">
        <v>5469</v>
      </c>
      <c r="S1540" s="1"/>
      <c r="T1540" s="1" t="s">
        <v>1522</v>
      </c>
      <c r="U1540" s="1"/>
      <c r="V1540" s="1">
        <v>1.312</v>
      </c>
      <c r="W1540" s="1">
        <v>1.312</v>
      </c>
      <c r="X1540" s="1" t="s">
        <v>35</v>
      </c>
      <c r="Y1540" s="1">
        <v>1312000.0</v>
      </c>
      <c r="Z1540" s="1"/>
      <c r="AA1540" s="1">
        <v>1312000.0</v>
      </c>
      <c r="AB1540" s="1"/>
      <c r="AC1540" s="1" t="s">
        <v>36</v>
      </c>
      <c r="AD1540" s="1" t="s">
        <v>5781</v>
      </c>
      <c r="AE1540" s="1" t="s">
        <v>32</v>
      </c>
      <c r="AF1540" s="1" t="s">
        <v>33</v>
      </c>
      <c r="AG1540" s="1" t="s">
        <v>228</v>
      </c>
    </row>
    <row r="1541" spans="1:33">
      <c r="A1541" t="s">
        <v>5782</v>
      </c>
      <c r="B1541" t="s">
        <v>57</v>
      </c>
      <c r="C1541" t="s">
        <v>58</v>
      </c>
      <c r="E1541" t="s">
        <v>5469</v>
      </c>
      <c r="F1541" t="s">
        <v>1401</v>
      </c>
      <c r="G1541">
        <v>375.0</v>
      </c>
      <c r="H1541">
        <v>375.0</v>
      </c>
      <c r="I1541" t="s">
        <v>59</v>
      </c>
      <c r="J1541" t="s">
        <v>60</v>
      </c>
      <c r="K1541" t="s">
        <v>31</v>
      </c>
      <c r="L1541" t="s">
        <v>32</v>
      </c>
      <c r="M1541" t="s">
        <v>33</v>
      </c>
      <c r="P1541" s="1" t="s">
        <v>5783</v>
      </c>
      <c r="Q1541" s="1" t="s">
        <v>5469</v>
      </c>
      <c r="R1541" s="1" t="s">
        <v>5469</v>
      </c>
      <c r="S1541" s="1"/>
      <c r="T1541" s="1" t="s">
        <v>58</v>
      </c>
      <c r="U1541" s="1"/>
      <c r="V1541" s="1">
        <v>375.0</v>
      </c>
      <c r="W1541" s="1">
        <v>375.0</v>
      </c>
      <c r="X1541" s="1" t="s">
        <v>35</v>
      </c>
      <c r="Y1541" s="1">
        <v>375000.0</v>
      </c>
      <c r="Z1541" s="1"/>
      <c r="AA1541" s="1">
        <v>375000.0</v>
      </c>
      <c r="AB1541" s="1"/>
      <c r="AC1541" s="1" t="s">
        <v>36</v>
      </c>
      <c r="AD1541" s="1" t="s">
        <v>5784</v>
      </c>
      <c r="AE1541" s="1" t="s">
        <v>32</v>
      </c>
      <c r="AF1541" s="1" t="s">
        <v>33</v>
      </c>
      <c r="AG1541" s="1" t="s">
        <v>60</v>
      </c>
    </row>
    <row r="1542" spans="1:33">
      <c r="A1542" t="s">
        <v>5785</v>
      </c>
      <c r="B1542" t="s">
        <v>5786</v>
      </c>
      <c r="C1542" t="s">
        <v>569</v>
      </c>
      <c r="E1542" t="s">
        <v>5469</v>
      </c>
      <c r="F1542" t="s">
        <v>1401</v>
      </c>
      <c r="G1542">
        <v>72.57</v>
      </c>
      <c r="H1542">
        <v>72.57</v>
      </c>
      <c r="I1542" t="s">
        <v>570</v>
      </c>
      <c r="J1542" t="s">
        <v>571</v>
      </c>
      <c r="K1542" t="s">
        <v>31</v>
      </c>
      <c r="L1542" t="s">
        <v>32</v>
      </c>
      <c r="M1542" t="s">
        <v>33</v>
      </c>
      <c r="P1542" s="1" t="s">
        <v>5787</v>
      </c>
      <c r="Q1542" s="1" t="s">
        <v>5469</v>
      </c>
      <c r="R1542" s="1" t="s">
        <v>5469</v>
      </c>
      <c r="S1542" s="1"/>
      <c r="T1542" s="1" t="s">
        <v>569</v>
      </c>
      <c r="U1542" s="1"/>
      <c r="V1542" s="1">
        <v>72.57</v>
      </c>
      <c r="W1542" s="1">
        <v>72.57</v>
      </c>
      <c r="X1542" s="1" t="s">
        <v>35</v>
      </c>
      <c r="Y1542" s="1">
        <v>72570.0</v>
      </c>
      <c r="Z1542" s="1"/>
      <c r="AA1542" s="1">
        <v>72570.0</v>
      </c>
      <c r="AB1542" s="1"/>
      <c r="AC1542" s="1" t="s">
        <v>36</v>
      </c>
      <c r="AD1542" s="1" t="s">
        <v>5788</v>
      </c>
      <c r="AE1542" s="1" t="s">
        <v>32</v>
      </c>
      <c r="AF1542" s="1" t="s">
        <v>33</v>
      </c>
      <c r="AG1542" s="1" t="s">
        <v>571</v>
      </c>
    </row>
    <row r="1543" spans="1:33">
      <c r="A1543" t="s">
        <v>5789</v>
      </c>
      <c r="C1543" t="s">
        <v>2688</v>
      </c>
      <c r="E1543" t="s">
        <v>5469</v>
      </c>
      <c r="F1543" t="s">
        <v>1401</v>
      </c>
      <c r="G1543">
        <v>944.5</v>
      </c>
      <c r="H1543">
        <v>944.5</v>
      </c>
      <c r="I1543" t="s">
        <v>269</v>
      </c>
      <c r="J1543" t="s">
        <v>270</v>
      </c>
      <c r="K1543" t="s">
        <v>31</v>
      </c>
      <c r="L1543" t="s">
        <v>32</v>
      </c>
      <c r="M1543" t="s">
        <v>33</v>
      </c>
      <c r="P1543" s="1" t="s">
        <v>5790</v>
      </c>
      <c r="Q1543" s="1" t="s">
        <v>5469</v>
      </c>
      <c r="R1543" s="1" t="s">
        <v>5469</v>
      </c>
      <c r="S1543" s="1"/>
      <c r="T1543" s="1" t="s">
        <v>2688</v>
      </c>
      <c r="U1543" s="1"/>
      <c r="V1543" s="1">
        <v>944.5</v>
      </c>
      <c r="W1543" s="1">
        <v>944.5</v>
      </c>
      <c r="X1543" s="1" t="s">
        <v>35</v>
      </c>
      <c r="Y1543" s="1">
        <v>944500.0</v>
      </c>
      <c r="Z1543" s="1"/>
      <c r="AA1543" s="1">
        <v>944500.0</v>
      </c>
      <c r="AB1543" s="1"/>
      <c r="AC1543" s="1" t="s">
        <v>36</v>
      </c>
      <c r="AD1543" s="1" t="s">
        <v>5791</v>
      </c>
      <c r="AE1543" s="1" t="s">
        <v>32</v>
      </c>
      <c r="AF1543" s="1" t="s">
        <v>33</v>
      </c>
      <c r="AG1543" s="1" t="s">
        <v>270</v>
      </c>
    </row>
    <row r="1544" spans="1:33">
      <c r="A1544" t="s">
        <v>5792</v>
      </c>
      <c r="B1544" t="s">
        <v>5793</v>
      </c>
      <c r="C1544" t="s">
        <v>414</v>
      </c>
      <c r="E1544" t="s">
        <v>5469</v>
      </c>
      <c r="F1544" t="s">
        <v>1401</v>
      </c>
      <c r="G1544">
        <v>45.0</v>
      </c>
      <c r="H1544">
        <v>45.0</v>
      </c>
      <c r="I1544" t="s">
        <v>539</v>
      </c>
      <c r="J1544" t="s">
        <v>540</v>
      </c>
      <c r="K1544" t="s">
        <v>31</v>
      </c>
      <c r="L1544" t="s">
        <v>32</v>
      </c>
      <c r="M1544" t="s">
        <v>33</v>
      </c>
      <c r="P1544" s="1" t="s">
        <v>5794</v>
      </c>
      <c r="Q1544" s="1" t="s">
        <v>5469</v>
      </c>
      <c r="R1544" s="1" t="s">
        <v>4960</v>
      </c>
      <c r="S1544" s="1"/>
      <c r="T1544" s="1" t="s">
        <v>414</v>
      </c>
      <c r="U1544" s="1"/>
      <c r="V1544" s="1">
        <v>45.0</v>
      </c>
      <c r="W1544" s="1">
        <v>45.0</v>
      </c>
      <c r="X1544" s="1" t="s">
        <v>35</v>
      </c>
      <c r="Y1544" s="1">
        <v>45000</v>
      </c>
      <c r="Z1544" s="1"/>
      <c r="AA1544" s="1">
        <v>45000</v>
      </c>
      <c r="AB1544" s="1"/>
      <c r="AC1544" s="1" t="s">
        <v>36</v>
      </c>
      <c r="AD1544" s="1" t="s">
        <v>5795</v>
      </c>
      <c r="AE1544" s="1" t="s">
        <v>32</v>
      </c>
      <c r="AF1544" s="1" t="s">
        <v>33</v>
      </c>
      <c r="AG1544" s="1" t="s">
        <v>540</v>
      </c>
    </row>
    <row r="1545" spans="1:33">
      <c r="A1545" t="s">
        <v>5796</v>
      </c>
      <c r="B1545" t="s">
        <v>5797</v>
      </c>
      <c r="C1545" t="s">
        <v>131</v>
      </c>
      <c r="E1545" t="s">
        <v>5469</v>
      </c>
      <c r="F1545" t="s">
        <v>1401</v>
      </c>
      <c r="G1545">
        <v>216.776</v>
      </c>
      <c r="H1545">
        <v>216.776</v>
      </c>
      <c r="I1545" t="s">
        <v>94</v>
      </c>
      <c r="J1545" t="s">
        <v>95</v>
      </c>
      <c r="K1545" t="s">
        <v>31</v>
      </c>
      <c r="L1545" t="s">
        <v>32</v>
      </c>
      <c r="M1545" t="s">
        <v>33</v>
      </c>
      <c r="P1545" s="1" t="s">
        <v>5798</v>
      </c>
      <c r="Q1545" s="1" t="s">
        <v>5469</v>
      </c>
      <c r="R1545" s="1" t="s">
        <v>5469</v>
      </c>
      <c r="S1545" s="1"/>
      <c r="T1545" s="1" t="s">
        <v>131</v>
      </c>
      <c r="U1545" s="1"/>
      <c r="V1545" s="1">
        <v>216.776</v>
      </c>
      <c r="W1545" s="1">
        <v>216.776</v>
      </c>
      <c r="X1545" s="1" t="s">
        <v>35</v>
      </c>
      <c r="Y1545" s="1">
        <v>216776.0</v>
      </c>
      <c r="Z1545" s="1"/>
      <c r="AA1545" s="1">
        <v>216776.0</v>
      </c>
      <c r="AB1545" s="1"/>
      <c r="AC1545" s="1" t="s">
        <v>36</v>
      </c>
      <c r="AD1545" s="1" t="s">
        <v>5799</v>
      </c>
      <c r="AE1545" s="1" t="s">
        <v>32</v>
      </c>
      <c r="AF1545" s="1" t="s">
        <v>33</v>
      </c>
      <c r="AG1545" s="1" t="s">
        <v>95</v>
      </c>
    </row>
    <row r="1546" spans="1:33">
      <c r="A1546" t="s">
        <v>5800</v>
      </c>
      <c r="B1546" t="s">
        <v>5801</v>
      </c>
      <c r="C1546" t="s">
        <v>131</v>
      </c>
      <c r="E1546" t="s">
        <v>5469</v>
      </c>
      <c r="F1546" t="s">
        <v>1401</v>
      </c>
      <c r="G1546">
        <v>93.86</v>
      </c>
      <c r="H1546">
        <v>93.86</v>
      </c>
      <c r="I1546" t="s">
        <v>94</v>
      </c>
      <c r="J1546" t="s">
        <v>95</v>
      </c>
      <c r="K1546" t="s">
        <v>31</v>
      </c>
      <c r="L1546" t="s">
        <v>32</v>
      </c>
      <c r="M1546" t="s">
        <v>33</v>
      </c>
      <c r="P1546" s="1" t="s">
        <v>5802</v>
      </c>
      <c r="Q1546" s="1" t="s">
        <v>5469</v>
      </c>
      <c r="R1546" s="1" t="s">
        <v>5469</v>
      </c>
      <c r="S1546" s="1"/>
      <c r="T1546" s="1" t="s">
        <v>131</v>
      </c>
      <c r="U1546" s="1"/>
      <c r="V1546" s="1">
        <v>93.86</v>
      </c>
      <c r="W1546" s="1">
        <v>93.86</v>
      </c>
      <c r="X1546" s="1" t="s">
        <v>35</v>
      </c>
      <c r="Y1546" s="1">
        <v>93860.0</v>
      </c>
      <c r="Z1546" s="1"/>
      <c r="AA1546" s="1">
        <v>93860.0</v>
      </c>
      <c r="AB1546" s="1"/>
      <c r="AC1546" s="1" t="s">
        <v>36</v>
      </c>
      <c r="AD1546" s="1" t="s">
        <v>5803</v>
      </c>
      <c r="AE1546" s="1" t="s">
        <v>32</v>
      </c>
      <c r="AF1546" s="1" t="s">
        <v>33</v>
      </c>
      <c r="AG1546" s="1" t="s">
        <v>95</v>
      </c>
    </row>
    <row r="1547" spans="1:33">
      <c r="A1547" t="s">
        <v>5804</v>
      </c>
      <c r="C1547" t="s">
        <v>2787</v>
      </c>
      <c r="E1547" t="s">
        <v>5469</v>
      </c>
      <c r="F1547" t="s">
        <v>1401</v>
      </c>
      <c r="G1547">
        <v>1.6</v>
      </c>
      <c r="H1547">
        <v>1.6</v>
      </c>
      <c r="I1547" t="s">
        <v>173</v>
      </c>
      <c r="J1547" t="s">
        <v>174</v>
      </c>
      <c r="K1547" t="s">
        <v>31</v>
      </c>
      <c r="L1547" t="s">
        <v>32</v>
      </c>
      <c r="M1547" t="s">
        <v>33</v>
      </c>
      <c r="P1547" s="1" t="s">
        <v>5805</v>
      </c>
      <c r="Q1547" s="1" t="s">
        <v>5469</v>
      </c>
      <c r="R1547" s="1" t="s">
        <v>5469</v>
      </c>
      <c r="S1547" s="1"/>
      <c r="T1547" s="1" t="s">
        <v>2789</v>
      </c>
      <c r="U1547" s="1" t="s">
        <v>2790</v>
      </c>
      <c r="V1547" s="1">
        <v>1.6</v>
      </c>
      <c r="W1547" s="1">
        <v>1.6</v>
      </c>
      <c r="X1547" s="1" t="s">
        <v>35</v>
      </c>
      <c r="Y1547" s="1">
        <v>1600000.0</v>
      </c>
      <c r="Z1547" s="1"/>
      <c r="AA1547" s="1">
        <v>1600000.0</v>
      </c>
      <c r="AB1547" s="1"/>
      <c r="AC1547" s="1" t="s">
        <v>36</v>
      </c>
      <c r="AD1547" s="1" t="s">
        <v>5806</v>
      </c>
      <c r="AE1547" s="1" t="s">
        <v>32</v>
      </c>
      <c r="AF1547" s="1" t="s">
        <v>33</v>
      </c>
      <c r="AG1547" s="1" t="s">
        <v>174</v>
      </c>
    </row>
    <row r="1548" spans="1:33">
      <c r="A1548" t="s">
        <v>5807</v>
      </c>
      <c r="C1548" t="s">
        <v>691</v>
      </c>
      <c r="E1548" t="s">
        <v>5469</v>
      </c>
      <c r="F1548" t="s">
        <v>1401</v>
      </c>
      <c r="G1548">
        <v>1.012</v>
      </c>
      <c r="H1548">
        <v>1.012</v>
      </c>
      <c r="I1548" t="s">
        <v>136</v>
      </c>
      <c r="J1548" t="s">
        <v>137</v>
      </c>
      <c r="K1548" t="s">
        <v>31</v>
      </c>
      <c r="L1548" t="s">
        <v>32</v>
      </c>
      <c r="M1548" t="s">
        <v>33</v>
      </c>
      <c r="P1548" s="1" t="s">
        <v>5808</v>
      </c>
      <c r="Q1548" s="1" t="s">
        <v>5469</v>
      </c>
      <c r="R1548" s="1" t="s">
        <v>5469</v>
      </c>
      <c r="S1548" s="1"/>
      <c r="T1548" s="1" t="s">
        <v>691</v>
      </c>
      <c r="U1548" s="1"/>
      <c r="V1548" s="1">
        <v>1.012</v>
      </c>
      <c r="W1548" s="1">
        <v>1.012</v>
      </c>
      <c r="X1548" s="1" t="s">
        <v>35</v>
      </c>
      <c r="Y1548" s="1">
        <v>1012000.0</v>
      </c>
      <c r="Z1548" s="1"/>
      <c r="AA1548" s="1">
        <v>1012000.0</v>
      </c>
      <c r="AB1548" s="1"/>
      <c r="AC1548" s="1" t="s">
        <v>36</v>
      </c>
      <c r="AD1548" s="1" t="s">
        <v>5809</v>
      </c>
      <c r="AE1548" s="1" t="s">
        <v>32</v>
      </c>
      <c r="AF1548" s="1" t="s">
        <v>33</v>
      </c>
      <c r="AG1548" s="1" t="s">
        <v>137</v>
      </c>
    </row>
    <row r="1549" spans="1:33">
      <c r="A1549" t="s">
        <v>5810</v>
      </c>
      <c r="C1549" t="s">
        <v>644</v>
      </c>
      <c r="E1549" t="s">
        <v>5469</v>
      </c>
      <c r="F1549" t="s">
        <v>1401</v>
      </c>
      <c r="G1549">
        <v>108.0</v>
      </c>
      <c r="H1549">
        <v>108.0</v>
      </c>
      <c r="I1549" t="s">
        <v>227</v>
      </c>
      <c r="J1549" t="s">
        <v>228</v>
      </c>
      <c r="K1549" t="s">
        <v>31</v>
      </c>
      <c r="L1549" t="s">
        <v>32</v>
      </c>
      <c r="M1549" t="s">
        <v>33</v>
      </c>
      <c r="P1549" s="1" t="s">
        <v>5811</v>
      </c>
      <c r="Q1549" s="1" t="s">
        <v>5469</v>
      </c>
      <c r="R1549" s="1" t="s">
        <v>5469</v>
      </c>
      <c r="S1549" s="1"/>
      <c r="T1549" s="1" t="s">
        <v>644</v>
      </c>
      <c r="U1549" s="1"/>
      <c r="V1549" s="1">
        <v>108.0</v>
      </c>
      <c r="W1549" s="1">
        <v>108.0</v>
      </c>
      <c r="X1549" s="1" t="s">
        <v>35</v>
      </c>
      <c r="Y1549" s="1">
        <v>108000.0</v>
      </c>
      <c r="Z1549" s="1"/>
      <c r="AA1549" s="1">
        <v>108000.0</v>
      </c>
      <c r="AB1549" s="1"/>
      <c r="AC1549" s="1" t="s">
        <v>36</v>
      </c>
      <c r="AD1549" s="1" t="s">
        <v>5803</v>
      </c>
      <c r="AE1549" s="1" t="s">
        <v>32</v>
      </c>
      <c r="AF1549" s="1" t="s">
        <v>33</v>
      </c>
      <c r="AG1549" s="1" t="s">
        <v>228</v>
      </c>
    </row>
    <row r="1550" spans="1:33">
      <c r="A1550" t="s">
        <v>5812</v>
      </c>
      <c r="C1550" t="s">
        <v>5813</v>
      </c>
      <c r="D1550" t="s">
        <v>114</v>
      </c>
      <c r="E1550" t="s">
        <v>5469</v>
      </c>
      <c r="F1550" t="s">
        <v>1401</v>
      </c>
      <c r="G1550">
        <v>210.0</v>
      </c>
      <c r="H1550">
        <v>210.0</v>
      </c>
      <c r="I1550" t="s">
        <v>269</v>
      </c>
      <c r="J1550" t="s">
        <v>270</v>
      </c>
      <c r="K1550" t="s">
        <v>31</v>
      </c>
      <c r="L1550" t="s">
        <v>32</v>
      </c>
      <c r="M1550" t="s">
        <v>33</v>
      </c>
      <c r="P1550" s="1" t="s">
        <v>5814</v>
      </c>
      <c r="Q1550" s="1" t="s">
        <v>5469</v>
      </c>
      <c r="R1550" s="1" t="s">
        <v>5469</v>
      </c>
      <c r="S1550" s="1"/>
      <c r="T1550" s="1" t="s">
        <v>5813</v>
      </c>
      <c r="U1550" s="1"/>
      <c r="V1550" s="1">
        <v>210.0</v>
      </c>
      <c r="W1550" s="1">
        <v>210.0</v>
      </c>
      <c r="X1550" s="1" t="s">
        <v>35</v>
      </c>
      <c r="Y1550" s="1">
        <v>210000.0</v>
      </c>
      <c r="Z1550" s="1"/>
      <c r="AA1550" s="1">
        <v>210000.0</v>
      </c>
      <c r="AB1550" s="1"/>
      <c r="AC1550" s="1" t="s">
        <v>36</v>
      </c>
      <c r="AD1550" s="1" t="s">
        <v>5815</v>
      </c>
      <c r="AE1550" s="1" t="s">
        <v>32</v>
      </c>
      <c r="AF1550" s="1" t="s">
        <v>33</v>
      </c>
      <c r="AG1550" s="1" t="s">
        <v>270</v>
      </c>
    </row>
    <row r="1551" spans="1:33">
      <c r="A1551" t="s">
        <v>5816</v>
      </c>
      <c r="B1551" t="s">
        <v>5817</v>
      </c>
      <c r="C1551" t="s">
        <v>131</v>
      </c>
      <c r="E1551" t="s">
        <v>5469</v>
      </c>
      <c r="F1551" t="s">
        <v>1401</v>
      </c>
      <c r="G1551">
        <v>71.16</v>
      </c>
      <c r="H1551">
        <v>71.16</v>
      </c>
      <c r="I1551" t="s">
        <v>94</v>
      </c>
      <c r="J1551" t="s">
        <v>95</v>
      </c>
      <c r="K1551" t="s">
        <v>31</v>
      </c>
      <c r="L1551" t="s">
        <v>32</v>
      </c>
      <c r="M1551" t="s">
        <v>33</v>
      </c>
      <c r="P1551" s="1" t="s">
        <v>5818</v>
      </c>
      <c r="Q1551" s="1" t="s">
        <v>5469</v>
      </c>
      <c r="R1551" s="1" t="s">
        <v>5469</v>
      </c>
      <c r="S1551" s="1"/>
      <c r="T1551" s="1" t="s">
        <v>131</v>
      </c>
      <c r="U1551" s="1"/>
      <c r="V1551" s="1">
        <v>71.16</v>
      </c>
      <c r="W1551" s="1">
        <v>71.16</v>
      </c>
      <c r="X1551" s="1" t="s">
        <v>35</v>
      </c>
      <c r="Y1551" s="1">
        <v>71160.0</v>
      </c>
      <c r="Z1551" s="1"/>
      <c r="AA1551" s="1">
        <v>71160.0</v>
      </c>
      <c r="AB1551" s="1"/>
      <c r="AC1551" s="1" t="s">
        <v>36</v>
      </c>
      <c r="AD1551" s="1" t="s">
        <v>5819</v>
      </c>
      <c r="AE1551" s="1" t="s">
        <v>32</v>
      </c>
      <c r="AF1551" s="1" t="s">
        <v>33</v>
      </c>
      <c r="AG1551" s="1" t="s">
        <v>95</v>
      </c>
    </row>
    <row r="1552" spans="1:33">
      <c r="A1552" t="s">
        <v>5820</v>
      </c>
      <c r="B1552" t="s">
        <v>735</v>
      </c>
      <c r="C1552" t="s">
        <v>736</v>
      </c>
      <c r="E1552" t="s">
        <v>5469</v>
      </c>
      <c r="F1552" t="s">
        <v>1401</v>
      </c>
      <c r="G1552">
        <v>370.0</v>
      </c>
      <c r="H1552">
        <v>370.0</v>
      </c>
      <c r="I1552" t="s">
        <v>59</v>
      </c>
      <c r="J1552" t="s">
        <v>60</v>
      </c>
      <c r="K1552" t="s">
        <v>31</v>
      </c>
      <c r="L1552" t="s">
        <v>32</v>
      </c>
      <c r="M1552" t="s">
        <v>33</v>
      </c>
      <c r="P1552" s="1" t="s">
        <v>5821</v>
      </c>
      <c r="Q1552" s="1" t="s">
        <v>5469</v>
      </c>
      <c r="R1552" s="1" t="s">
        <v>5469</v>
      </c>
      <c r="S1552" s="1"/>
      <c r="T1552" s="1" t="s">
        <v>736</v>
      </c>
      <c r="U1552" s="1"/>
      <c r="V1552" s="1">
        <v>370.0</v>
      </c>
      <c r="W1552" s="1">
        <v>370.0</v>
      </c>
      <c r="X1552" s="1" t="s">
        <v>35</v>
      </c>
      <c r="Y1552" s="1">
        <v>370000.0</v>
      </c>
      <c r="Z1552" s="1"/>
      <c r="AA1552" s="1">
        <v>370000.0</v>
      </c>
      <c r="AB1552" s="1"/>
      <c r="AC1552" s="1" t="s">
        <v>36</v>
      </c>
      <c r="AD1552" s="1" t="s">
        <v>5822</v>
      </c>
      <c r="AE1552" s="1" t="s">
        <v>32</v>
      </c>
      <c r="AF1552" s="1" t="s">
        <v>33</v>
      </c>
      <c r="AG1552" s="1" t="s">
        <v>60</v>
      </c>
    </row>
    <row r="1553" spans="1:33">
      <c r="A1553" t="s">
        <v>5823</v>
      </c>
      <c r="B1553" t="s">
        <v>5824</v>
      </c>
      <c r="C1553" t="s">
        <v>5825</v>
      </c>
      <c r="D1553" t="s">
        <v>154</v>
      </c>
      <c r="E1553" t="s">
        <v>5469</v>
      </c>
      <c r="F1553" t="s">
        <v>1401</v>
      </c>
      <c r="G1553">
        <v>328.0</v>
      </c>
      <c r="H1553">
        <v>328.0</v>
      </c>
      <c r="I1553" t="s">
        <v>529</v>
      </c>
      <c r="J1553" t="s">
        <v>530</v>
      </c>
      <c r="K1553" t="s">
        <v>31</v>
      </c>
      <c r="L1553" t="s">
        <v>32</v>
      </c>
      <c r="M1553" t="s">
        <v>33</v>
      </c>
      <c r="P1553" s="1" t="s">
        <v>5826</v>
      </c>
      <c r="Q1553" s="1" t="s">
        <v>5469</v>
      </c>
      <c r="R1553" s="1" t="s">
        <v>4960</v>
      </c>
      <c r="S1553" s="1"/>
      <c r="T1553" s="1" t="s">
        <v>5825</v>
      </c>
      <c r="U1553" s="1"/>
      <c r="V1553" s="1">
        <v>328.0</v>
      </c>
      <c r="W1553" s="1">
        <v>328.0</v>
      </c>
      <c r="X1553" s="1" t="s">
        <v>35</v>
      </c>
      <c r="Y1553" s="1">
        <v>328000.0</v>
      </c>
      <c r="Z1553" s="1"/>
      <c r="AA1553" s="1">
        <v>328000.0</v>
      </c>
      <c r="AB1553" s="1"/>
      <c r="AC1553" s="1" t="s">
        <v>36</v>
      </c>
      <c r="AD1553" s="1" t="s">
        <v>5827</v>
      </c>
      <c r="AE1553" s="1" t="s">
        <v>32</v>
      </c>
      <c r="AF1553" s="1" t="s">
        <v>33</v>
      </c>
      <c r="AG1553" s="1" t="s">
        <v>530</v>
      </c>
    </row>
    <row r="1554" spans="1:33">
      <c r="A1554" t="s">
        <v>5828</v>
      </c>
      <c r="C1554" t="s">
        <v>4844</v>
      </c>
      <c r="E1554" t="s">
        <v>5469</v>
      </c>
      <c r="F1554" t="s">
        <v>1401</v>
      </c>
      <c r="G1554">
        <v>508.0</v>
      </c>
      <c r="H1554">
        <v>508.0</v>
      </c>
      <c r="I1554" t="s">
        <v>269</v>
      </c>
      <c r="J1554" t="s">
        <v>270</v>
      </c>
      <c r="K1554" t="s">
        <v>31</v>
      </c>
      <c r="L1554" t="s">
        <v>32</v>
      </c>
      <c r="M1554" t="s">
        <v>33</v>
      </c>
      <c r="P1554" s="1" t="s">
        <v>5829</v>
      </c>
      <c r="Q1554" s="1" t="s">
        <v>5469</v>
      </c>
      <c r="R1554" s="1" t="s">
        <v>5469</v>
      </c>
      <c r="S1554" s="1"/>
      <c r="T1554" s="1" t="s">
        <v>4844</v>
      </c>
      <c r="U1554" s="1"/>
      <c r="V1554" s="1">
        <v>508.0</v>
      </c>
      <c r="W1554" s="1">
        <v>508.0</v>
      </c>
      <c r="X1554" s="1" t="s">
        <v>35</v>
      </c>
      <c r="Y1554" s="1">
        <v>508000.0</v>
      </c>
      <c r="Z1554" s="1"/>
      <c r="AA1554" s="1">
        <v>508000.0</v>
      </c>
      <c r="AB1554" s="1"/>
      <c r="AC1554" s="1" t="s">
        <v>36</v>
      </c>
      <c r="AD1554" s="1" t="s">
        <v>5827</v>
      </c>
      <c r="AE1554" s="1" t="s">
        <v>32</v>
      </c>
      <c r="AF1554" s="1" t="s">
        <v>33</v>
      </c>
      <c r="AG1554" s="1" t="s">
        <v>270</v>
      </c>
    </row>
    <row r="1555" spans="1:33">
      <c r="A1555" t="s">
        <v>5830</v>
      </c>
      <c r="C1555" t="s">
        <v>1104</v>
      </c>
      <c r="E1555" t="s">
        <v>5469</v>
      </c>
      <c r="F1555" t="s">
        <v>1401</v>
      </c>
      <c r="G1555">
        <v>794.2</v>
      </c>
      <c r="H1555">
        <v>794.2</v>
      </c>
      <c r="I1555" t="s">
        <v>269</v>
      </c>
      <c r="J1555" t="s">
        <v>270</v>
      </c>
      <c r="K1555" t="s">
        <v>31</v>
      </c>
      <c r="L1555" t="s">
        <v>32</v>
      </c>
      <c r="M1555" t="s">
        <v>33</v>
      </c>
      <c r="P1555" s="1" t="s">
        <v>5831</v>
      </c>
      <c r="Q1555" s="1" t="s">
        <v>5469</v>
      </c>
      <c r="R1555" s="1" t="s">
        <v>5469</v>
      </c>
      <c r="S1555" s="1"/>
      <c r="T1555" s="1" t="s">
        <v>1104</v>
      </c>
      <c r="U1555" s="1"/>
      <c r="V1555" s="1">
        <v>794.2</v>
      </c>
      <c r="W1555" s="1">
        <v>794.2</v>
      </c>
      <c r="X1555" s="1" t="s">
        <v>35</v>
      </c>
      <c r="Y1555" s="1">
        <v>794200.0</v>
      </c>
      <c r="Z1555" s="1"/>
      <c r="AA1555" s="1">
        <v>794200.0</v>
      </c>
      <c r="AB1555" s="1"/>
      <c r="AC1555" s="1" t="s">
        <v>36</v>
      </c>
      <c r="AD1555" s="1" t="s">
        <v>5832</v>
      </c>
      <c r="AE1555" s="1" t="s">
        <v>32</v>
      </c>
      <c r="AF1555" s="1" t="s">
        <v>33</v>
      </c>
      <c r="AG1555" s="1" t="s">
        <v>270</v>
      </c>
    </row>
    <row r="1556" spans="1:33">
      <c r="A1556" t="s">
        <v>5833</v>
      </c>
      <c r="B1556" t="s">
        <v>5834</v>
      </c>
      <c r="C1556" t="s">
        <v>5835</v>
      </c>
      <c r="D1556" t="s">
        <v>154</v>
      </c>
      <c r="E1556" t="s">
        <v>5469</v>
      </c>
      <c r="F1556" t="s">
        <v>1401</v>
      </c>
      <c r="G1556">
        <v>35.443</v>
      </c>
      <c r="H1556">
        <v>35.443</v>
      </c>
      <c r="I1556" t="s">
        <v>59</v>
      </c>
      <c r="J1556" t="s">
        <v>60</v>
      </c>
      <c r="K1556" t="s">
        <v>31</v>
      </c>
      <c r="L1556" t="s">
        <v>32</v>
      </c>
      <c r="M1556" t="s">
        <v>33</v>
      </c>
      <c r="P1556" s="1" t="s">
        <v>5836</v>
      </c>
      <c r="Q1556" s="1" t="s">
        <v>5469</v>
      </c>
      <c r="R1556" s="1" t="s">
        <v>5469</v>
      </c>
      <c r="S1556" s="1"/>
      <c r="T1556" s="1" t="s">
        <v>5835</v>
      </c>
      <c r="U1556" s="1"/>
      <c r="V1556" s="1">
        <v>35.443</v>
      </c>
      <c r="W1556" s="1">
        <v>35.443</v>
      </c>
      <c r="X1556" s="1" t="s">
        <v>35</v>
      </c>
      <c r="Y1556" s="1">
        <v>35443.0</v>
      </c>
      <c r="Z1556" s="1"/>
      <c r="AA1556" s="1">
        <v>35443.0</v>
      </c>
      <c r="AB1556" s="1"/>
      <c r="AC1556" s="1" t="s">
        <v>36</v>
      </c>
      <c r="AD1556" s="1" t="s">
        <v>5837</v>
      </c>
      <c r="AE1556" s="1" t="s">
        <v>32</v>
      </c>
      <c r="AF1556" s="1" t="s">
        <v>33</v>
      </c>
      <c r="AG1556" s="1" t="s">
        <v>60</v>
      </c>
    </row>
    <row r="1557" spans="1:33">
      <c r="A1557" t="s">
        <v>5838</v>
      </c>
      <c r="B1557" t="s">
        <v>5839</v>
      </c>
      <c r="C1557" t="s">
        <v>131</v>
      </c>
      <c r="E1557" t="s">
        <v>5469</v>
      </c>
      <c r="F1557" t="s">
        <v>1401</v>
      </c>
      <c r="G1557">
        <v>20.99</v>
      </c>
      <c r="H1557">
        <v>20.99</v>
      </c>
      <c r="I1557" t="s">
        <v>94</v>
      </c>
      <c r="J1557" t="s">
        <v>95</v>
      </c>
      <c r="K1557" t="s">
        <v>31</v>
      </c>
      <c r="L1557" t="s">
        <v>32</v>
      </c>
      <c r="M1557" t="s">
        <v>33</v>
      </c>
      <c r="P1557" s="1" t="s">
        <v>5840</v>
      </c>
      <c r="Q1557" s="1" t="s">
        <v>5469</v>
      </c>
      <c r="R1557" s="1" t="s">
        <v>5469</v>
      </c>
      <c r="S1557" s="1"/>
      <c r="T1557" s="1" t="s">
        <v>131</v>
      </c>
      <c r="U1557" s="1"/>
      <c r="V1557" s="1">
        <v>20.99</v>
      </c>
      <c r="W1557" s="1">
        <v>20.99</v>
      </c>
      <c r="X1557" s="1" t="s">
        <v>35</v>
      </c>
      <c r="Y1557" s="1">
        <v>20990.0</v>
      </c>
      <c r="Z1557" s="1"/>
      <c r="AA1557" s="1">
        <v>20990.0</v>
      </c>
      <c r="AB1557" s="1"/>
      <c r="AC1557" s="1" t="s">
        <v>36</v>
      </c>
      <c r="AD1557" s="1" t="s">
        <v>5841</v>
      </c>
      <c r="AE1557" s="1" t="s">
        <v>32</v>
      </c>
      <c r="AF1557" s="1" t="s">
        <v>33</v>
      </c>
      <c r="AG1557" s="1" t="s">
        <v>95</v>
      </c>
    </row>
    <row r="1558" spans="1:33">
      <c r="A1558" t="s">
        <v>5842</v>
      </c>
      <c r="B1558" t="s">
        <v>5843</v>
      </c>
      <c r="C1558" t="s">
        <v>569</v>
      </c>
      <c r="E1558" t="s">
        <v>5469</v>
      </c>
      <c r="F1558" t="s">
        <v>1401</v>
      </c>
      <c r="G1558">
        <v>19.5</v>
      </c>
      <c r="H1558">
        <v>19.5</v>
      </c>
      <c r="I1558" t="s">
        <v>570</v>
      </c>
      <c r="J1558" t="s">
        <v>571</v>
      </c>
      <c r="K1558" t="s">
        <v>31</v>
      </c>
      <c r="L1558" t="s">
        <v>32</v>
      </c>
      <c r="M1558" t="s">
        <v>33</v>
      </c>
      <c r="P1558" s="1" t="s">
        <v>5844</v>
      </c>
      <c r="Q1558" s="1" t="s">
        <v>5469</v>
      </c>
      <c r="R1558" s="1" t="s">
        <v>5469</v>
      </c>
      <c r="S1558" s="1"/>
      <c r="T1558" s="1" t="s">
        <v>569</v>
      </c>
      <c r="U1558" s="1"/>
      <c r="V1558" s="1">
        <v>19.5</v>
      </c>
      <c r="W1558" s="1">
        <v>19.5</v>
      </c>
      <c r="X1558" s="1" t="s">
        <v>35</v>
      </c>
      <c r="Y1558" s="1">
        <v>19500.0</v>
      </c>
      <c r="Z1558" s="1"/>
      <c r="AA1558" s="1">
        <v>19500.0</v>
      </c>
      <c r="AB1558" s="1"/>
      <c r="AC1558" s="1" t="s">
        <v>36</v>
      </c>
      <c r="AD1558" s="1" t="s">
        <v>5845</v>
      </c>
      <c r="AE1558" s="1" t="s">
        <v>32</v>
      </c>
      <c r="AF1558" s="1" t="s">
        <v>33</v>
      </c>
      <c r="AG1558" s="1" t="s">
        <v>571</v>
      </c>
    </row>
    <row r="1559" spans="1:33">
      <c r="A1559" t="s">
        <v>5846</v>
      </c>
      <c r="C1559" t="s">
        <v>5847</v>
      </c>
      <c r="D1559" t="s">
        <v>154</v>
      </c>
      <c r="E1559" t="s">
        <v>5469</v>
      </c>
      <c r="F1559" t="s">
        <v>1401</v>
      </c>
      <c r="G1559">
        <v>630.0</v>
      </c>
      <c r="H1559">
        <v>630.0</v>
      </c>
      <c r="I1559" t="s">
        <v>173</v>
      </c>
      <c r="J1559" t="s">
        <v>174</v>
      </c>
      <c r="K1559" t="s">
        <v>31</v>
      </c>
      <c r="L1559" t="s">
        <v>32</v>
      </c>
      <c r="M1559" t="s">
        <v>33</v>
      </c>
      <c r="P1559" s="1" t="s">
        <v>5848</v>
      </c>
      <c r="Q1559" s="1" t="s">
        <v>5469</v>
      </c>
      <c r="R1559" s="1" t="s">
        <v>5469</v>
      </c>
      <c r="S1559" s="1"/>
      <c r="T1559" s="1" t="s">
        <v>5847</v>
      </c>
      <c r="U1559" s="1"/>
      <c r="V1559" s="1">
        <v>630.0</v>
      </c>
      <c r="W1559" s="1">
        <v>630.0</v>
      </c>
      <c r="X1559" s="1" t="s">
        <v>35</v>
      </c>
      <c r="Y1559" s="1">
        <v>630000.0</v>
      </c>
      <c r="Z1559" s="1"/>
      <c r="AA1559" s="1">
        <v>630000.0</v>
      </c>
      <c r="AB1559" s="1"/>
      <c r="AC1559" s="1" t="s">
        <v>36</v>
      </c>
      <c r="AD1559" s="1" t="s">
        <v>5849</v>
      </c>
      <c r="AE1559" s="1" t="s">
        <v>32</v>
      </c>
      <c r="AF1559" s="1" t="s">
        <v>33</v>
      </c>
      <c r="AG1559" s="1" t="s">
        <v>174</v>
      </c>
    </row>
    <row r="1560" spans="1:33">
      <c r="A1560" t="s">
        <v>5850</v>
      </c>
      <c r="C1560" t="s">
        <v>5851</v>
      </c>
      <c r="E1560" t="s">
        <v>5469</v>
      </c>
      <c r="F1560" t="s">
        <v>1401</v>
      </c>
      <c r="G1560">
        <v>139.0</v>
      </c>
      <c r="H1560">
        <v>139.0</v>
      </c>
      <c r="I1560" t="s">
        <v>179</v>
      </c>
      <c r="J1560" t="s">
        <v>180</v>
      </c>
      <c r="K1560" t="s">
        <v>31</v>
      </c>
      <c r="L1560" t="s">
        <v>32</v>
      </c>
      <c r="M1560" t="s">
        <v>33</v>
      </c>
      <c r="P1560" s="1" t="s">
        <v>5852</v>
      </c>
      <c r="Q1560" s="1" t="s">
        <v>5469</v>
      </c>
      <c r="R1560" s="1" t="s">
        <v>5469</v>
      </c>
      <c r="S1560" s="1"/>
      <c r="T1560" s="1" t="s">
        <v>5851</v>
      </c>
      <c r="U1560" s="1"/>
      <c r="V1560" s="1">
        <v>139.0</v>
      </c>
      <c r="W1560" s="1">
        <v>139.0</v>
      </c>
      <c r="X1560" s="1" t="s">
        <v>35</v>
      </c>
      <c r="Y1560" s="1">
        <v>139000.0</v>
      </c>
      <c r="Z1560" s="1"/>
      <c r="AA1560" s="1">
        <v>139000.0</v>
      </c>
      <c r="AB1560" s="1"/>
      <c r="AC1560" s="1" t="s">
        <v>36</v>
      </c>
      <c r="AD1560" s="1" t="s">
        <v>5853</v>
      </c>
      <c r="AE1560" s="1" t="s">
        <v>32</v>
      </c>
      <c r="AF1560" s="1" t="s">
        <v>33</v>
      </c>
      <c r="AG1560" s="1" t="s">
        <v>180</v>
      </c>
    </row>
    <row r="1561" spans="1:33">
      <c r="A1561" t="s">
        <v>5854</v>
      </c>
      <c r="B1561" t="s">
        <v>5855</v>
      </c>
      <c r="C1561" t="s">
        <v>268</v>
      </c>
      <c r="E1561" t="s">
        <v>5469</v>
      </c>
      <c r="F1561" t="s">
        <v>1401</v>
      </c>
      <c r="G1561">
        <v>66.65</v>
      </c>
      <c r="H1561">
        <v>66.65</v>
      </c>
      <c r="I1561" t="s">
        <v>269</v>
      </c>
      <c r="J1561" t="s">
        <v>270</v>
      </c>
      <c r="K1561" t="s">
        <v>31</v>
      </c>
      <c r="L1561" t="s">
        <v>32</v>
      </c>
      <c r="M1561" t="s">
        <v>33</v>
      </c>
      <c r="P1561" s="1" t="s">
        <v>5856</v>
      </c>
      <c r="Q1561" s="1" t="s">
        <v>5469</v>
      </c>
      <c r="R1561" s="1" t="s">
        <v>5469</v>
      </c>
      <c r="S1561" s="1"/>
      <c r="T1561" s="1" t="s">
        <v>268</v>
      </c>
      <c r="U1561" s="1"/>
      <c r="V1561" s="1">
        <v>66.65</v>
      </c>
      <c r="W1561" s="1">
        <v>66.65</v>
      </c>
      <c r="X1561" s="1" t="s">
        <v>35</v>
      </c>
      <c r="Y1561" s="1">
        <v>66650.0</v>
      </c>
      <c r="Z1561" s="1"/>
      <c r="AA1561" s="1">
        <v>66650.0</v>
      </c>
      <c r="AB1561" s="1"/>
      <c r="AC1561" s="1" t="s">
        <v>36</v>
      </c>
      <c r="AD1561" s="1" t="s">
        <v>5857</v>
      </c>
      <c r="AE1561" s="1" t="s">
        <v>32</v>
      </c>
      <c r="AF1561" s="1" t="s">
        <v>33</v>
      </c>
      <c r="AG1561" s="1" t="s">
        <v>270</v>
      </c>
    </row>
    <row r="1562" spans="1:33">
      <c r="A1562" t="s">
        <v>5858</v>
      </c>
      <c r="B1562" t="s">
        <v>5859</v>
      </c>
      <c r="C1562" t="s">
        <v>47</v>
      </c>
      <c r="E1562" t="s">
        <v>5469</v>
      </c>
      <c r="F1562" t="s">
        <v>1401</v>
      </c>
      <c r="G1562">
        <v>44.0</v>
      </c>
      <c r="H1562">
        <v>44.0</v>
      </c>
      <c r="I1562" t="s">
        <v>48</v>
      </c>
      <c r="J1562" t="s">
        <v>49</v>
      </c>
      <c r="K1562" t="s">
        <v>31</v>
      </c>
      <c r="L1562" t="s">
        <v>32</v>
      </c>
      <c r="M1562" t="s">
        <v>33</v>
      </c>
      <c r="P1562" s="1" t="s">
        <v>5860</v>
      </c>
      <c r="Q1562" s="1" t="s">
        <v>5469</v>
      </c>
      <c r="R1562" s="1" t="s">
        <v>5469</v>
      </c>
      <c r="S1562" s="1"/>
      <c r="T1562" s="1" t="s">
        <v>47</v>
      </c>
      <c r="U1562" s="1"/>
      <c r="V1562" s="1">
        <v>44.0</v>
      </c>
      <c r="W1562" s="1">
        <v>44.0</v>
      </c>
      <c r="X1562" s="1" t="s">
        <v>35</v>
      </c>
      <c r="Y1562" s="1">
        <v>44000.0</v>
      </c>
      <c r="Z1562" s="1"/>
      <c r="AA1562" s="1">
        <v>44000.0</v>
      </c>
      <c r="AB1562" s="1"/>
      <c r="AC1562" s="1" t="s">
        <v>36</v>
      </c>
      <c r="AD1562" s="1" t="s">
        <v>5861</v>
      </c>
      <c r="AE1562" s="1" t="s">
        <v>32</v>
      </c>
      <c r="AF1562" s="1" t="s">
        <v>33</v>
      </c>
      <c r="AG1562" s="1" t="s">
        <v>49</v>
      </c>
    </row>
    <row r="1563" spans="1:33">
      <c r="A1563" t="s">
        <v>5862</v>
      </c>
      <c r="B1563" t="s">
        <v>5863</v>
      </c>
      <c r="C1563" t="s">
        <v>1298</v>
      </c>
      <c r="E1563" t="s">
        <v>5469</v>
      </c>
      <c r="F1563" t="s">
        <v>1401</v>
      </c>
      <c r="G1563">
        <v>17.39</v>
      </c>
      <c r="H1563">
        <v>17.39</v>
      </c>
      <c r="I1563" t="s">
        <v>529</v>
      </c>
      <c r="J1563" t="s">
        <v>530</v>
      </c>
      <c r="K1563" t="s">
        <v>31</v>
      </c>
      <c r="L1563" t="s">
        <v>32</v>
      </c>
      <c r="M1563" t="s">
        <v>33</v>
      </c>
      <c r="P1563" s="1" t="s">
        <v>5864</v>
      </c>
      <c r="Q1563" s="1" t="s">
        <v>5469</v>
      </c>
      <c r="R1563" s="1" t="s">
        <v>4960</v>
      </c>
      <c r="S1563" s="1"/>
      <c r="T1563" s="1" t="s">
        <v>1298</v>
      </c>
      <c r="U1563" s="1"/>
      <c r="V1563" s="1">
        <v>17.39</v>
      </c>
      <c r="W1563" s="1">
        <v>17.39</v>
      </c>
      <c r="X1563" s="1" t="s">
        <v>35</v>
      </c>
      <c r="Y1563" s="1">
        <v>17390.0</v>
      </c>
      <c r="Z1563" s="1"/>
      <c r="AA1563" s="1">
        <v>17390.0</v>
      </c>
      <c r="AB1563" s="1"/>
      <c r="AC1563" s="1" t="s">
        <v>36</v>
      </c>
      <c r="AD1563" s="1" t="s">
        <v>5865</v>
      </c>
      <c r="AE1563" s="1" t="s">
        <v>32</v>
      </c>
      <c r="AF1563" s="1" t="s">
        <v>33</v>
      </c>
      <c r="AG1563" s="1" t="s">
        <v>530</v>
      </c>
    </row>
    <row r="1564" spans="1:33">
      <c r="A1564" t="s">
        <v>5866</v>
      </c>
      <c r="C1564" t="s">
        <v>3871</v>
      </c>
      <c r="E1564" t="s">
        <v>5469</v>
      </c>
      <c r="F1564" t="s">
        <v>1401</v>
      </c>
      <c r="G1564">
        <v>1.181</v>
      </c>
      <c r="H1564">
        <v>1.181</v>
      </c>
      <c r="I1564" t="s">
        <v>570</v>
      </c>
      <c r="J1564" t="s">
        <v>571</v>
      </c>
      <c r="K1564" t="s">
        <v>31</v>
      </c>
      <c r="L1564" t="s">
        <v>32</v>
      </c>
      <c r="M1564" t="s">
        <v>33</v>
      </c>
      <c r="P1564" s="1" t="s">
        <v>5867</v>
      </c>
      <c r="Q1564" s="1" t="s">
        <v>5469</v>
      </c>
      <c r="R1564" s="1" t="s">
        <v>5469</v>
      </c>
      <c r="S1564" s="1"/>
      <c r="T1564" s="1" t="s">
        <v>3871</v>
      </c>
      <c r="U1564" s="1"/>
      <c r="V1564" s="1">
        <v>1.181</v>
      </c>
      <c r="W1564" s="1">
        <v>1.181</v>
      </c>
      <c r="X1564" s="1" t="s">
        <v>35</v>
      </c>
      <c r="Y1564" s="1">
        <v>1181250.0</v>
      </c>
      <c r="Z1564" s="1"/>
      <c r="AA1564" s="1">
        <v>1181250.0</v>
      </c>
      <c r="AB1564" s="1"/>
      <c r="AC1564" s="1" t="s">
        <v>36</v>
      </c>
      <c r="AD1564" s="1" t="s">
        <v>5868</v>
      </c>
      <c r="AE1564" s="1" t="s">
        <v>32</v>
      </c>
      <c r="AF1564" s="1" t="s">
        <v>33</v>
      </c>
      <c r="AG1564" s="1" t="s">
        <v>571</v>
      </c>
    </row>
    <row r="1565" spans="1:33">
      <c r="A1565" t="s">
        <v>5869</v>
      </c>
      <c r="C1565" t="s">
        <v>2704</v>
      </c>
      <c r="E1565" t="s">
        <v>5469</v>
      </c>
      <c r="F1565" t="s">
        <v>1401</v>
      </c>
      <c r="G1565">
        <v>1.92</v>
      </c>
      <c r="H1565">
        <v>1.92</v>
      </c>
      <c r="I1565" t="s">
        <v>94</v>
      </c>
      <c r="J1565" t="s">
        <v>95</v>
      </c>
      <c r="K1565" t="s">
        <v>31</v>
      </c>
      <c r="L1565" t="s">
        <v>32</v>
      </c>
      <c r="M1565" t="s">
        <v>33</v>
      </c>
      <c r="P1565" s="1" t="s">
        <v>5870</v>
      </c>
      <c r="Q1565" s="1" t="s">
        <v>5469</v>
      </c>
      <c r="R1565" s="1" t="s">
        <v>5469</v>
      </c>
      <c r="S1565" s="1"/>
      <c r="T1565" s="1" t="s">
        <v>2704</v>
      </c>
      <c r="U1565" s="1"/>
      <c r="V1565" s="1">
        <v>1.92</v>
      </c>
      <c r="W1565" s="1">
        <v>1.92</v>
      </c>
      <c r="X1565" s="1" t="s">
        <v>35</v>
      </c>
      <c r="Y1565" s="1">
        <v>1920000.0</v>
      </c>
      <c r="Z1565" s="1"/>
      <c r="AA1565" s="1">
        <v>1920000.0</v>
      </c>
      <c r="AB1565" s="1"/>
      <c r="AC1565" s="1" t="s">
        <v>36</v>
      </c>
      <c r="AD1565" s="1" t="s">
        <v>5871</v>
      </c>
      <c r="AE1565" s="1" t="s">
        <v>32</v>
      </c>
      <c r="AF1565" s="1" t="s">
        <v>33</v>
      </c>
      <c r="AG1565" s="1" t="s">
        <v>95</v>
      </c>
    </row>
    <row r="1566" spans="1:33">
      <c r="A1566" t="s">
        <v>5872</v>
      </c>
      <c r="C1566" t="s">
        <v>5873</v>
      </c>
      <c r="D1566" t="s">
        <v>114</v>
      </c>
      <c r="E1566" t="s">
        <v>5469</v>
      </c>
      <c r="F1566" t="s">
        <v>1401</v>
      </c>
      <c r="G1566">
        <v>470.1</v>
      </c>
      <c r="H1566">
        <v>470.1</v>
      </c>
      <c r="I1566" t="s">
        <v>136</v>
      </c>
      <c r="J1566" t="s">
        <v>137</v>
      </c>
      <c r="K1566" t="s">
        <v>31</v>
      </c>
      <c r="L1566" t="s">
        <v>32</v>
      </c>
      <c r="M1566" t="s">
        <v>33</v>
      </c>
      <c r="P1566" s="1" t="s">
        <v>5874</v>
      </c>
      <c r="Q1566" s="1" t="s">
        <v>5469</v>
      </c>
      <c r="R1566" s="1" t="s">
        <v>5469</v>
      </c>
      <c r="S1566" s="1"/>
      <c r="T1566" s="1" t="s">
        <v>5873</v>
      </c>
      <c r="U1566" s="1"/>
      <c r="V1566" s="1">
        <v>470.1</v>
      </c>
      <c r="W1566" s="1">
        <v>470.1</v>
      </c>
      <c r="X1566" s="1" t="s">
        <v>35</v>
      </c>
      <c r="Y1566" s="1">
        <v>470100.0</v>
      </c>
      <c r="Z1566" s="1"/>
      <c r="AA1566" s="1">
        <v>470100.0</v>
      </c>
      <c r="AB1566" s="1"/>
      <c r="AC1566" s="1" t="s">
        <v>36</v>
      </c>
      <c r="AD1566" s="1" t="s">
        <v>5827</v>
      </c>
      <c r="AE1566" s="1" t="s">
        <v>32</v>
      </c>
      <c r="AF1566" s="1" t="s">
        <v>33</v>
      </c>
      <c r="AG1566" s="1" t="s">
        <v>137</v>
      </c>
    </row>
    <row r="1567" spans="1:33">
      <c r="A1567" t="s">
        <v>5875</v>
      </c>
      <c r="C1567" t="s">
        <v>5876</v>
      </c>
      <c r="E1567" t="s">
        <v>5469</v>
      </c>
      <c r="F1567" t="s">
        <v>1401</v>
      </c>
      <c r="G1567">
        <v>598.5</v>
      </c>
      <c r="H1567">
        <v>598.5</v>
      </c>
      <c r="I1567" t="s">
        <v>179</v>
      </c>
      <c r="J1567" t="s">
        <v>180</v>
      </c>
      <c r="K1567" t="s">
        <v>31</v>
      </c>
      <c r="L1567" t="s">
        <v>32</v>
      </c>
      <c r="M1567" t="s">
        <v>33</v>
      </c>
      <c r="P1567" s="1" t="s">
        <v>5877</v>
      </c>
      <c r="Q1567" s="1" t="s">
        <v>5469</v>
      </c>
      <c r="R1567" s="1" t="s">
        <v>5469</v>
      </c>
      <c r="S1567" s="1"/>
      <c r="T1567" s="1" t="s">
        <v>5876</v>
      </c>
      <c r="U1567" s="1"/>
      <c r="V1567" s="1">
        <v>598.5</v>
      </c>
      <c r="W1567" s="1">
        <v>598.5</v>
      </c>
      <c r="X1567" s="1" t="s">
        <v>35</v>
      </c>
      <c r="Y1567" s="1">
        <v>598500.0</v>
      </c>
      <c r="Z1567" s="1"/>
      <c r="AA1567" s="1">
        <v>598500.0</v>
      </c>
      <c r="AB1567" s="1"/>
      <c r="AC1567" s="1" t="s">
        <v>36</v>
      </c>
      <c r="AD1567" s="1" t="s">
        <v>5878</v>
      </c>
      <c r="AE1567" s="1" t="s">
        <v>32</v>
      </c>
      <c r="AF1567" s="1" t="s">
        <v>33</v>
      </c>
      <c r="AG1567" s="1" t="s">
        <v>180</v>
      </c>
    </row>
    <row r="1568" spans="1:33">
      <c r="A1568" t="s">
        <v>5879</v>
      </c>
      <c r="B1568" t="s">
        <v>5880</v>
      </c>
      <c r="C1568" t="s">
        <v>73</v>
      </c>
      <c r="E1568" t="s">
        <v>5469</v>
      </c>
      <c r="F1568" t="s">
        <v>1401</v>
      </c>
      <c r="G1568">
        <v>169.9</v>
      </c>
      <c r="H1568">
        <v>169.9</v>
      </c>
      <c r="I1568" t="s">
        <v>40</v>
      </c>
      <c r="J1568" t="s">
        <v>41</v>
      </c>
      <c r="K1568" t="s">
        <v>31</v>
      </c>
      <c r="L1568" t="s">
        <v>32</v>
      </c>
      <c r="M1568" t="s">
        <v>33</v>
      </c>
      <c r="P1568" s="1" t="s">
        <v>5881</v>
      </c>
      <c r="Q1568" s="1" t="s">
        <v>5469</v>
      </c>
      <c r="R1568" s="1" t="s">
        <v>4960</v>
      </c>
      <c r="S1568" s="1"/>
      <c r="T1568" s="1" t="s">
        <v>75</v>
      </c>
      <c r="U1568" s="1" t="s">
        <v>76</v>
      </c>
      <c r="V1568" s="1">
        <v>169.9</v>
      </c>
      <c r="W1568" s="1">
        <v>169.9</v>
      </c>
      <c r="X1568" s="1" t="s">
        <v>35</v>
      </c>
      <c r="Y1568" s="1">
        <v>169900.0</v>
      </c>
      <c r="Z1568" s="1"/>
      <c r="AA1568" s="1">
        <v>169900.0</v>
      </c>
      <c r="AB1568" s="1"/>
      <c r="AC1568" s="1" t="s">
        <v>36</v>
      </c>
      <c r="AD1568" s="1" t="s">
        <v>5882</v>
      </c>
      <c r="AE1568" s="1" t="s">
        <v>32</v>
      </c>
      <c r="AF1568" s="1" t="s">
        <v>33</v>
      </c>
      <c r="AG1568" s="1" t="s">
        <v>41</v>
      </c>
    </row>
    <row r="1569" spans="1:33">
      <c r="A1569" t="s">
        <v>5883</v>
      </c>
      <c r="B1569" t="s">
        <v>263</v>
      </c>
      <c r="C1569" t="s">
        <v>264</v>
      </c>
      <c r="E1569" t="s">
        <v>5469</v>
      </c>
      <c r="F1569" t="s">
        <v>1401</v>
      </c>
      <c r="G1569">
        <v>446.0</v>
      </c>
      <c r="H1569">
        <v>446.0</v>
      </c>
      <c r="I1569" t="s">
        <v>40</v>
      </c>
      <c r="J1569" t="s">
        <v>41</v>
      </c>
      <c r="K1569" t="s">
        <v>31</v>
      </c>
      <c r="L1569" t="s">
        <v>32</v>
      </c>
      <c r="M1569" t="s">
        <v>33</v>
      </c>
      <c r="P1569" s="1" t="s">
        <v>5884</v>
      </c>
      <c r="Q1569" s="1" t="s">
        <v>5469</v>
      </c>
      <c r="R1569" s="1" t="s">
        <v>4960</v>
      </c>
      <c r="S1569" s="1"/>
      <c r="T1569" s="1" t="s">
        <v>264</v>
      </c>
      <c r="U1569" s="1"/>
      <c r="V1569" s="1">
        <v>446.0</v>
      </c>
      <c r="W1569" s="1">
        <v>446.0</v>
      </c>
      <c r="X1569" s="1" t="s">
        <v>35</v>
      </c>
      <c r="Y1569" s="1">
        <v>446000.0</v>
      </c>
      <c r="Z1569" s="1"/>
      <c r="AA1569" s="1">
        <v>446000.0</v>
      </c>
      <c r="AB1569" s="1"/>
      <c r="AC1569" s="1" t="s">
        <v>36</v>
      </c>
      <c r="AD1569" s="1" t="s">
        <v>5885</v>
      </c>
      <c r="AE1569" s="1" t="s">
        <v>32</v>
      </c>
      <c r="AF1569" s="1" t="s">
        <v>33</v>
      </c>
      <c r="AG1569" s="1" t="s">
        <v>41</v>
      </c>
    </row>
    <row r="1570" spans="1:33">
      <c r="A1570" t="s">
        <v>5886</v>
      </c>
      <c r="B1570" t="s">
        <v>5887</v>
      </c>
      <c r="C1570" t="s">
        <v>268</v>
      </c>
      <c r="E1570" t="s">
        <v>5469</v>
      </c>
      <c r="F1570" t="s">
        <v>1401</v>
      </c>
      <c r="G1570">
        <v>32.85</v>
      </c>
      <c r="H1570">
        <v>32.85</v>
      </c>
      <c r="I1570" t="s">
        <v>269</v>
      </c>
      <c r="J1570" t="s">
        <v>270</v>
      </c>
      <c r="K1570" t="s">
        <v>31</v>
      </c>
      <c r="L1570" t="s">
        <v>32</v>
      </c>
      <c r="M1570" t="s">
        <v>33</v>
      </c>
      <c r="P1570" s="1" t="s">
        <v>5888</v>
      </c>
      <c r="Q1570" s="1" t="s">
        <v>5469</v>
      </c>
      <c r="R1570" s="1" t="s">
        <v>5469</v>
      </c>
      <c r="S1570" s="1"/>
      <c r="T1570" s="1" t="s">
        <v>268</v>
      </c>
      <c r="U1570" s="1"/>
      <c r="V1570" s="1">
        <v>32.85</v>
      </c>
      <c r="W1570" s="1">
        <v>32.85</v>
      </c>
      <c r="X1570" s="1" t="s">
        <v>35</v>
      </c>
      <c r="Y1570" s="1">
        <v>32850.0</v>
      </c>
      <c r="Z1570" s="1"/>
      <c r="AA1570" s="1">
        <v>32850.0</v>
      </c>
      <c r="AB1570" s="1"/>
      <c r="AC1570" s="1" t="s">
        <v>36</v>
      </c>
      <c r="AD1570" s="1" t="s">
        <v>5889</v>
      </c>
      <c r="AE1570" s="1" t="s">
        <v>32</v>
      </c>
      <c r="AF1570" s="1" t="s">
        <v>33</v>
      </c>
      <c r="AG1570" s="1" t="s">
        <v>270</v>
      </c>
    </row>
    <row r="1571" spans="1:33">
      <c r="A1571" t="s">
        <v>5890</v>
      </c>
      <c r="B1571" t="s">
        <v>5891</v>
      </c>
      <c r="C1571" t="s">
        <v>131</v>
      </c>
      <c r="E1571" t="s">
        <v>5469</v>
      </c>
      <c r="F1571" t="s">
        <v>1401</v>
      </c>
      <c r="G1571">
        <v>28.49</v>
      </c>
      <c r="H1571">
        <v>28.49</v>
      </c>
      <c r="I1571" t="s">
        <v>94</v>
      </c>
      <c r="J1571" t="s">
        <v>95</v>
      </c>
      <c r="K1571" t="s">
        <v>31</v>
      </c>
      <c r="L1571" t="s">
        <v>32</v>
      </c>
      <c r="M1571" t="s">
        <v>33</v>
      </c>
      <c r="P1571" s="1" t="s">
        <v>5892</v>
      </c>
      <c r="Q1571" s="1" t="s">
        <v>5469</v>
      </c>
      <c r="R1571" s="1" t="s">
        <v>5469</v>
      </c>
      <c r="S1571" s="1"/>
      <c r="T1571" s="1" t="s">
        <v>131</v>
      </c>
      <c r="U1571" s="1"/>
      <c r="V1571" s="1">
        <v>28.49</v>
      </c>
      <c r="W1571" s="1">
        <v>28.49</v>
      </c>
      <c r="X1571" s="1" t="s">
        <v>35</v>
      </c>
      <c r="Y1571" s="1">
        <v>28490.0</v>
      </c>
      <c r="Z1571" s="1"/>
      <c r="AA1571" s="1">
        <v>28490.0</v>
      </c>
      <c r="AB1571" s="1"/>
      <c r="AC1571" s="1" t="s">
        <v>36</v>
      </c>
      <c r="AD1571" s="1" t="s">
        <v>5893</v>
      </c>
      <c r="AE1571" s="1" t="s">
        <v>32</v>
      </c>
      <c r="AF1571" s="1" t="s">
        <v>33</v>
      </c>
      <c r="AG1571" s="1" t="s">
        <v>95</v>
      </c>
    </row>
    <row r="1572" spans="1:33">
      <c r="A1572" t="s">
        <v>5894</v>
      </c>
      <c r="C1572" t="s">
        <v>1197</v>
      </c>
      <c r="D1572" t="s">
        <v>154</v>
      </c>
      <c r="E1572" t="s">
        <v>5469</v>
      </c>
      <c r="F1572" t="s">
        <v>1401</v>
      </c>
      <c r="G1572">
        <v>1.116</v>
      </c>
      <c r="H1572">
        <v>1.116</v>
      </c>
      <c r="I1572" t="s">
        <v>269</v>
      </c>
      <c r="J1572" t="s">
        <v>270</v>
      </c>
      <c r="K1572" t="s">
        <v>31</v>
      </c>
      <c r="L1572" t="s">
        <v>32</v>
      </c>
      <c r="M1572" t="s">
        <v>33</v>
      </c>
      <c r="P1572" s="1" t="s">
        <v>5895</v>
      </c>
      <c r="Q1572" s="1" t="s">
        <v>5469</v>
      </c>
      <c r="R1572" s="1" t="s">
        <v>5469</v>
      </c>
      <c r="S1572" s="1"/>
      <c r="T1572" s="1" t="s">
        <v>1197</v>
      </c>
      <c r="U1572" s="1"/>
      <c r="V1572" s="1">
        <v>1.116</v>
      </c>
      <c r="W1572" s="1">
        <v>1.116</v>
      </c>
      <c r="X1572" s="1" t="s">
        <v>35</v>
      </c>
      <c r="Y1572" s="1">
        <v>1116000.0</v>
      </c>
      <c r="Z1572" s="1"/>
      <c r="AA1572" s="1">
        <v>1116000.0</v>
      </c>
      <c r="AB1572" s="1"/>
      <c r="AC1572" s="1" t="s">
        <v>36</v>
      </c>
      <c r="AD1572" s="1" t="s">
        <v>5882</v>
      </c>
      <c r="AE1572" s="1" t="s">
        <v>32</v>
      </c>
      <c r="AF1572" s="1" t="s">
        <v>33</v>
      </c>
      <c r="AG1572" s="1" t="s">
        <v>270</v>
      </c>
    </row>
    <row r="1573" spans="1:33">
      <c r="A1573" t="s">
        <v>5896</v>
      </c>
      <c r="B1573" t="s">
        <v>5897</v>
      </c>
      <c r="C1573" t="s">
        <v>172</v>
      </c>
      <c r="E1573" t="s">
        <v>5469</v>
      </c>
      <c r="F1573" t="s">
        <v>1401</v>
      </c>
      <c r="G1573">
        <v>65.97</v>
      </c>
      <c r="H1573">
        <v>65.97</v>
      </c>
      <c r="I1573" t="s">
        <v>173</v>
      </c>
      <c r="J1573" t="s">
        <v>174</v>
      </c>
      <c r="K1573" t="s">
        <v>31</v>
      </c>
      <c r="L1573" t="s">
        <v>32</v>
      </c>
      <c r="M1573" t="s">
        <v>33</v>
      </c>
      <c r="P1573" s="1" t="s">
        <v>5898</v>
      </c>
      <c r="Q1573" s="1" t="s">
        <v>5469</v>
      </c>
      <c r="R1573" s="1" t="s">
        <v>5469</v>
      </c>
      <c r="S1573" s="1"/>
      <c r="T1573" s="1" t="s">
        <v>172</v>
      </c>
      <c r="U1573" s="1"/>
      <c r="V1573" s="1">
        <v>65.97</v>
      </c>
      <c r="W1573" s="1">
        <v>65.97</v>
      </c>
      <c r="X1573" s="1" t="s">
        <v>35</v>
      </c>
      <c r="Y1573" s="1">
        <v>65970.0</v>
      </c>
      <c r="Z1573" s="1"/>
      <c r="AA1573" s="1">
        <v>65970.0</v>
      </c>
      <c r="AB1573" s="1"/>
      <c r="AC1573" s="1" t="s">
        <v>36</v>
      </c>
      <c r="AD1573" s="1" t="s">
        <v>5899</v>
      </c>
      <c r="AE1573" s="1" t="s">
        <v>32</v>
      </c>
      <c r="AF1573" s="1" t="s">
        <v>33</v>
      </c>
      <c r="AG1573" s="1" t="s">
        <v>174</v>
      </c>
    </row>
    <row r="1574" spans="1:33">
      <c r="A1574" t="s">
        <v>5900</v>
      </c>
      <c r="B1574" t="s">
        <v>5901</v>
      </c>
      <c r="C1574" t="s">
        <v>172</v>
      </c>
      <c r="E1574" t="s">
        <v>5469</v>
      </c>
      <c r="F1574" t="s">
        <v>1401</v>
      </c>
      <c r="G1574">
        <v>37.284</v>
      </c>
      <c r="H1574">
        <v>37.284</v>
      </c>
      <c r="I1574" t="s">
        <v>173</v>
      </c>
      <c r="J1574" t="s">
        <v>174</v>
      </c>
      <c r="K1574" t="s">
        <v>31</v>
      </c>
      <c r="L1574" t="s">
        <v>32</v>
      </c>
      <c r="M1574" t="s">
        <v>33</v>
      </c>
      <c r="P1574" s="1" t="s">
        <v>5902</v>
      </c>
      <c r="Q1574" s="1" t="s">
        <v>5469</v>
      </c>
      <c r="R1574" s="1" t="s">
        <v>5469</v>
      </c>
      <c r="S1574" s="1"/>
      <c r="T1574" s="1" t="s">
        <v>172</v>
      </c>
      <c r="U1574" s="1"/>
      <c r="V1574" s="1">
        <v>37.284</v>
      </c>
      <c r="W1574" s="1">
        <v>37.284</v>
      </c>
      <c r="X1574" s="1" t="s">
        <v>35</v>
      </c>
      <c r="Y1574" s="1">
        <v>37284.0</v>
      </c>
      <c r="Z1574" s="1"/>
      <c r="AA1574" s="1">
        <v>37284.0</v>
      </c>
      <c r="AB1574" s="1"/>
      <c r="AC1574" s="1" t="s">
        <v>36</v>
      </c>
      <c r="AD1574" s="1" t="s">
        <v>5903</v>
      </c>
      <c r="AE1574" s="1" t="s">
        <v>32</v>
      </c>
      <c r="AF1574" s="1" t="s">
        <v>33</v>
      </c>
      <c r="AG1574" s="1" t="s">
        <v>174</v>
      </c>
    </row>
    <row r="1575" spans="1:33">
      <c r="A1575" t="s">
        <v>5904</v>
      </c>
      <c r="C1575" t="s">
        <v>329</v>
      </c>
      <c r="E1575" t="s">
        <v>5469</v>
      </c>
      <c r="F1575" t="s">
        <v>1401</v>
      </c>
      <c r="G1575">
        <v>306.5</v>
      </c>
      <c r="H1575">
        <v>306.5</v>
      </c>
      <c r="I1575" t="s">
        <v>94</v>
      </c>
      <c r="J1575" t="s">
        <v>95</v>
      </c>
      <c r="K1575" t="s">
        <v>31</v>
      </c>
      <c r="L1575" t="s">
        <v>32</v>
      </c>
      <c r="M1575" t="s">
        <v>33</v>
      </c>
      <c r="P1575" s="1" t="s">
        <v>5905</v>
      </c>
      <c r="Q1575" s="1" t="s">
        <v>5469</v>
      </c>
      <c r="R1575" s="1" t="s">
        <v>5469</v>
      </c>
      <c r="S1575" s="1"/>
      <c r="T1575" s="1" t="s">
        <v>331</v>
      </c>
      <c r="U1575" s="1" t="s">
        <v>332</v>
      </c>
      <c r="V1575" s="1">
        <v>306.5</v>
      </c>
      <c r="W1575" s="1">
        <v>306.5</v>
      </c>
      <c r="X1575" s="1" t="s">
        <v>35</v>
      </c>
      <c r="Y1575" s="1">
        <v>306500.0</v>
      </c>
      <c r="Z1575" s="1"/>
      <c r="AA1575" s="1">
        <v>306500.0</v>
      </c>
      <c r="AB1575" s="1"/>
      <c r="AC1575" s="1" t="s">
        <v>36</v>
      </c>
      <c r="AD1575" s="1" t="s">
        <v>5906</v>
      </c>
      <c r="AE1575" s="1" t="s">
        <v>32</v>
      </c>
      <c r="AF1575" s="1" t="s">
        <v>33</v>
      </c>
      <c r="AG1575" s="1" t="s">
        <v>95</v>
      </c>
    </row>
    <row r="1576" spans="1:33">
      <c r="A1576" t="s">
        <v>5907</v>
      </c>
      <c r="B1576" t="s">
        <v>5908</v>
      </c>
      <c r="C1576" t="s">
        <v>47</v>
      </c>
      <c r="E1576" t="s">
        <v>5469</v>
      </c>
      <c r="F1576" t="s">
        <v>1401</v>
      </c>
      <c r="G1576">
        <v>17.79</v>
      </c>
      <c r="H1576">
        <v>17.79</v>
      </c>
      <c r="I1576" t="s">
        <v>48</v>
      </c>
      <c r="J1576" t="s">
        <v>49</v>
      </c>
      <c r="K1576" t="s">
        <v>31</v>
      </c>
      <c r="L1576" t="s">
        <v>32</v>
      </c>
      <c r="M1576" t="s">
        <v>33</v>
      </c>
      <c r="P1576" s="1" t="s">
        <v>5909</v>
      </c>
      <c r="Q1576" s="1" t="s">
        <v>5469</v>
      </c>
      <c r="R1576" s="1" t="s">
        <v>5469</v>
      </c>
      <c r="S1576" s="1"/>
      <c r="T1576" s="1" t="s">
        <v>47</v>
      </c>
      <c r="U1576" s="1"/>
      <c r="V1576" s="1">
        <v>17.79</v>
      </c>
      <c r="W1576" s="1">
        <v>17.79</v>
      </c>
      <c r="X1576" s="1" t="s">
        <v>35</v>
      </c>
      <c r="Y1576" s="1">
        <v>17790.0</v>
      </c>
      <c r="Z1576" s="1"/>
      <c r="AA1576" s="1">
        <v>17790.0</v>
      </c>
      <c r="AB1576" s="1"/>
      <c r="AC1576" s="1" t="s">
        <v>36</v>
      </c>
      <c r="AD1576" s="1" t="s">
        <v>5910</v>
      </c>
      <c r="AE1576" s="1" t="s">
        <v>32</v>
      </c>
      <c r="AF1576" s="1" t="s">
        <v>33</v>
      </c>
      <c r="AG1576" s="1" t="s">
        <v>49</v>
      </c>
    </row>
    <row r="1577" spans="1:33">
      <c r="A1577" t="s">
        <v>5911</v>
      </c>
      <c r="C1577" t="s">
        <v>721</v>
      </c>
      <c r="E1577" t="s">
        <v>5469</v>
      </c>
      <c r="F1577" t="s">
        <v>1401</v>
      </c>
      <c r="G1577">
        <v>190.45</v>
      </c>
      <c r="H1577">
        <v>190.45</v>
      </c>
      <c r="I1577" t="s">
        <v>40</v>
      </c>
      <c r="J1577" t="s">
        <v>41</v>
      </c>
      <c r="K1577" t="s">
        <v>31</v>
      </c>
      <c r="L1577" t="s">
        <v>32</v>
      </c>
      <c r="M1577" t="s">
        <v>33</v>
      </c>
      <c r="P1577" s="1" t="s">
        <v>5912</v>
      </c>
      <c r="Q1577" s="1" t="s">
        <v>5469</v>
      </c>
      <c r="R1577" s="1" t="s">
        <v>4960</v>
      </c>
      <c r="S1577" s="1"/>
      <c r="T1577" s="1" t="s">
        <v>721</v>
      </c>
      <c r="U1577" s="1"/>
      <c r="V1577" s="1">
        <v>190.45</v>
      </c>
      <c r="W1577" s="1">
        <v>190.45</v>
      </c>
      <c r="X1577" s="1" t="s">
        <v>35</v>
      </c>
      <c r="Y1577" s="1">
        <v>190450.0</v>
      </c>
      <c r="Z1577" s="1"/>
      <c r="AA1577" s="1">
        <v>190450.0</v>
      </c>
      <c r="AB1577" s="1"/>
      <c r="AC1577" s="1" t="s">
        <v>36</v>
      </c>
      <c r="AD1577" s="1" t="s">
        <v>5913</v>
      </c>
      <c r="AE1577" s="1" t="s">
        <v>32</v>
      </c>
      <c r="AF1577" s="1" t="s">
        <v>33</v>
      </c>
      <c r="AG1577" s="1" t="s">
        <v>41</v>
      </c>
    </row>
    <row r="1578" spans="1:33">
      <c r="A1578" t="s">
        <v>5914</v>
      </c>
      <c r="C1578" t="s">
        <v>517</v>
      </c>
      <c r="E1578" t="s">
        <v>5469</v>
      </c>
      <c r="F1578" t="s">
        <v>1401</v>
      </c>
      <c r="G1578">
        <v>2.968</v>
      </c>
      <c r="H1578">
        <v>2.968</v>
      </c>
      <c r="I1578" t="s">
        <v>126</v>
      </c>
      <c r="J1578" t="s">
        <v>127</v>
      </c>
      <c r="K1578" t="s">
        <v>31</v>
      </c>
      <c r="L1578" t="s">
        <v>32</v>
      </c>
      <c r="M1578" t="s">
        <v>33</v>
      </c>
      <c r="P1578" s="1" t="s">
        <v>5915</v>
      </c>
      <c r="Q1578" s="1" t="s">
        <v>5469</v>
      </c>
      <c r="R1578" s="1" t="s">
        <v>5469</v>
      </c>
      <c r="S1578" s="1"/>
      <c r="T1578" s="1" t="s">
        <v>517</v>
      </c>
      <c r="U1578" s="1"/>
      <c r="V1578" s="1">
        <v>2.968</v>
      </c>
      <c r="W1578" s="1">
        <v>2.968</v>
      </c>
      <c r="X1578" s="1" t="s">
        <v>35</v>
      </c>
      <c r="Y1578" s="1">
        <v>2968100.0</v>
      </c>
      <c r="Z1578" s="1"/>
      <c r="AA1578" s="1">
        <v>2968100.0</v>
      </c>
      <c r="AB1578" s="1"/>
      <c r="AC1578" s="1" t="s">
        <v>36</v>
      </c>
      <c r="AD1578" s="1" t="s">
        <v>5916</v>
      </c>
      <c r="AE1578" s="1" t="s">
        <v>32</v>
      </c>
      <c r="AF1578" s="1" t="s">
        <v>33</v>
      </c>
      <c r="AG1578" s="1" t="s">
        <v>127</v>
      </c>
    </row>
    <row r="1579" spans="1:33">
      <c r="A1579" t="s">
        <v>5917</v>
      </c>
      <c r="B1579" t="s">
        <v>5918</v>
      </c>
      <c r="C1579" t="s">
        <v>125</v>
      </c>
      <c r="E1579" t="s">
        <v>5469</v>
      </c>
      <c r="F1579" t="s">
        <v>1401</v>
      </c>
      <c r="G1579">
        <v>31.99</v>
      </c>
      <c r="H1579">
        <v>31.99</v>
      </c>
      <c r="I1579" t="s">
        <v>126</v>
      </c>
      <c r="J1579" t="s">
        <v>127</v>
      </c>
      <c r="K1579" t="s">
        <v>31</v>
      </c>
      <c r="L1579" t="s">
        <v>32</v>
      </c>
      <c r="M1579" t="s">
        <v>33</v>
      </c>
      <c r="P1579" s="1" t="s">
        <v>5919</v>
      </c>
      <c r="Q1579" s="1" t="s">
        <v>5469</v>
      </c>
      <c r="R1579" s="1" t="s">
        <v>5469</v>
      </c>
      <c r="S1579" s="1"/>
      <c r="T1579" s="1" t="s">
        <v>125</v>
      </c>
      <c r="U1579" s="1"/>
      <c r="V1579" s="1">
        <v>31.99</v>
      </c>
      <c r="W1579" s="1">
        <v>31.99</v>
      </c>
      <c r="X1579" s="1" t="s">
        <v>35</v>
      </c>
      <c r="Y1579" s="1">
        <v>31990.0</v>
      </c>
      <c r="Z1579" s="1"/>
      <c r="AA1579" s="1">
        <v>31990.0</v>
      </c>
      <c r="AB1579" s="1"/>
      <c r="AC1579" s="1" t="s">
        <v>36</v>
      </c>
      <c r="AD1579" s="1" t="s">
        <v>5920</v>
      </c>
      <c r="AE1579" s="1" t="s">
        <v>32</v>
      </c>
      <c r="AF1579" s="1" t="s">
        <v>33</v>
      </c>
      <c r="AG1579" s="1" t="s">
        <v>127</v>
      </c>
    </row>
    <row r="1580" spans="1:33">
      <c r="A1580" t="s">
        <v>5921</v>
      </c>
      <c r="B1580" t="s">
        <v>5922</v>
      </c>
      <c r="C1580" t="s">
        <v>125</v>
      </c>
      <c r="E1580" t="s">
        <v>5469</v>
      </c>
      <c r="F1580" t="s">
        <v>1401</v>
      </c>
      <c r="G1580">
        <v>19.49</v>
      </c>
      <c r="H1580">
        <v>19.49</v>
      </c>
      <c r="I1580" t="s">
        <v>126</v>
      </c>
      <c r="J1580" t="s">
        <v>127</v>
      </c>
      <c r="K1580" t="s">
        <v>31</v>
      </c>
      <c r="L1580" t="s">
        <v>32</v>
      </c>
      <c r="M1580" t="s">
        <v>33</v>
      </c>
      <c r="P1580" s="1" t="s">
        <v>5923</v>
      </c>
      <c r="Q1580" s="1" t="s">
        <v>5469</v>
      </c>
      <c r="R1580" s="1" t="s">
        <v>5469</v>
      </c>
      <c r="S1580" s="1"/>
      <c r="T1580" s="1" t="s">
        <v>125</v>
      </c>
      <c r="U1580" s="1"/>
      <c r="V1580" s="1">
        <v>19.49</v>
      </c>
      <c r="W1580" s="1">
        <v>19.49</v>
      </c>
      <c r="X1580" s="1" t="s">
        <v>35</v>
      </c>
      <c r="Y1580" s="1">
        <v>19490.0</v>
      </c>
      <c r="Z1580" s="1"/>
      <c r="AA1580" s="1">
        <v>19490.0</v>
      </c>
      <c r="AB1580" s="1"/>
      <c r="AC1580" s="1" t="s">
        <v>36</v>
      </c>
      <c r="AD1580" s="1" t="s">
        <v>5924</v>
      </c>
      <c r="AE1580" s="1" t="s">
        <v>32</v>
      </c>
      <c r="AF1580" s="1" t="s">
        <v>33</v>
      </c>
      <c r="AG1580" s="1" t="s">
        <v>127</v>
      </c>
    </row>
    <row r="1581" spans="1:33">
      <c r="A1581" t="s">
        <v>5925</v>
      </c>
      <c r="C1581" t="s">
        <v>558</v>
      </c>
      <c r="D1581" t="s">
        <v>154</v>
      </c>
      <c r="E1581" t="s">
        <v>5469</v>
      </c>
      <c r="F1581" t="s">
        <v>1401</v>
      </c>
      <c r="G1581">
        <v>52.0</v>
      </c>
      <c r="H1581">
        <v>52.0</v>
      </c>
      <c r="I1581" t="s">
        <v>269</v>
      </c>
      <c r="J1581" t="s">
        <v>270</v>
      </c>
      <c r="K1581" t="s">
        <v>31</v>
      </c>
      <c r="L1581" t="s">
        <v>32</v>
      </c>
      <c r="M1581" t="s">
        <v>33</v>
      </c>
      <c r="P1581" s="1" t="s">
        <v>5926</v>
      </c>
      <c r="Q1581" s="1" t="s">
        <v>5469</v>
      </c>
      <c r="R1581" s="1" t="s">
        <v>5469</v>
      </c>
      <c r="S1581" s="1"/>
      <c r="T1581" s="1" t="s">
        <v>560</v>
      </c>
      <c r="U1581" s="1" t="s">
        <v>561</v>
      </c>
      <c r="V1581" s="1">
        <v>52.0</v>
      </c>
      <c r="W1581" s="1">
        <v>52.0</v>
      </c>
      <c r="X1581" s="1" t="s">
        <v>35</v>
      </c>
      <c r="Y1581" s="1">
        <v>52000.0</v>
      </c>
      <c r="Z1581" s="1"/>
      <c r="AA1581" s="1">
        <v>52000.0</v>
      </c>
      <c r="AB1581" s="1"/>
      <c r="AC1581" s="1" t="s">
        <v>36</v>
      </c>
      <c r="AD1581" s="1" t="s">
        <v>5927</v>
      </c>
      <c r="AE1581" s="1" t="s">
        <v>32</v>
      </c>
      <c r="AF1581" s="1" t="s">
        <v>33</v>
      </c>
      <c r="AG1581" s="1" t="s">
        <v>270</v>
      </c>
    </row>
    <row r="1582" spans="1:33">
      <c r="A1582" t="s">
        <v>5928</v>
      </c>
      <c r="B1582" t="s">
        <v>4508</v>
      </c>
      <c r="C1582" t="s">
        <v>268</v>
      </c>
      <c r="E1582" t="s">
        <v>5469</v>
      </c>
      <c r="F1582" t="s">
        <v>1401</v>
      </c>
      <c r="G1582">
        <v>84.5</v>
      </c>
      <c r="H1582">
        <v>84.5</v>
      </c>
      <c r="I1582" t="s">
        <v>269</v>
      </c>
      <c r="J1582" t="s">
        <v>270</v>
      </c>
      <c r="K1582" t="s">
        <v>31</v>
      </c>
      <c r="L1582" t="s">
        <v>32</v>
      </c>
      <c r="M1582" t="s">
        <v>33</v>
      </c>
      <c r="P1582" s="1" t="s">
        <v>5929</v>
      </c>
      <c r="Q1582" s="1" t="s">
        <v>5469</v>
      </c>
      <c r="R1582" s="1" t="s">
        <v>5469</v>
      </c>
      <c r="S1582" s="1"/>
      <c r="T1582" s="1" t="s">
        <v>268</v>
      </c>
      <c r="U1582" s="1"/>
      <c r="V1582" s="1">
        <v>84.5</v>
      </c>
      <c r="W1582" s="1">
        <v>84.5</v>
      </c>
      <c r="X1582" s="1" t="s">
        <v>35</v>
      </c>
      <c r="Y1582" s="1">
        <v>84500.0</v>
      </c>
      <c r="Z1582" s="1"/>
      <c r="AA1582" s="1">
        <v>84500.0</v>
      </c>
      <c r="AB1582" s="1"/>
      <c r="AC1582" s="1" t="s">
        <v>36</v>
      </c>
      <c r="AD1582" s="1" t="s">
        <v>5930</v>
      </c>
      <c r="AE1582" s="1" t="s">
        <v>32</v>
      </c>
      <c r="AF1582" s="1" t="s">
        <v>33</v>
      </c>
      <c r="AG1582" s="1" t="s">
        <v>270</v>
      </c>
    </row>
    <row r="1583" spans="1:33">
      <c r="A1583" t="s">
        <v>5931</v>
      </c>
      <c r="B1583" t="s">
        <v>579</v>
      </c>
      <c r="C1583" t="s">
        <v>3399</v>
      </c>
      <c r="E1583" t="s">
        <v>5469</v>
      </c>
      <c r="F1583" t="s">
        <v>1401</v>
      </c>
      <c r="G1583">
        <v>320.0</v>
      </c>
      <c r="H1583">
        <v>320.0</v>
      </c>
      <c r="I1583" t="s">
        <v>40</v>
      </c>
      <c r="J1583" t="s">
        <v>41</v>
      </c>
      <c r="K1583" t="s">
        <v>31</v>
      </c>
      <c r="L1583" t="s">
        <v>32</v>
      </c>
      <c r="M1583" t="s">
        <v>33</v>
      </c>
      <c r="P1583" s="1" t="s">
        <v>5932</v>
      </c>
      <c r="Q1583" s="1" t="s">
        <v>5469</v>
      </c>
      <c r="R1583" s="1" t="s">
        <v>4960</v>
      </c>
      <c r="S1583" s="1"/>
      <c r="T1583" s="1" t="s">
        <v>3399</v>
      </c>
      <c r="U1583" s="1"/>
      <c r="V1583" s="1">
        <v>320.0</v>
      </c>
      <c r="W1583" s="1">
        <v>320.0</v>
      </c>
      <c r="X1583" s="1" t="s">
        <v>35</v>
      </c>
      <c r="Y1583" s="1">
        <v>320000.0</v>
      </c>
      <c r="Z1583" s="1"/>
      <c r="AA1583" s="1">
        <v>320000.0</v>
      </c>
      <c r="AB1583" s="1"/>
      <c r="AC1583" s="1" t="s">
        <v>36</v>
      </c>
      <c r="AD1583" s="1" t="s">
        <v>5933</v>
      </c>
      <c r="AE1583" s="1" t="s">
        <v>32</v>
      </c>
      <c r="AF1583" s="1" t="s">
        <v>33</v>
      </c>
      <c r="AG1583" s="1" t="s">
        <v>41</v>
      </c>
    </row>
    <row r="1584" spans="1:33">
      <c r="A1584" t="s">
        <v>5934</v>
      </c>
      <c r="B1584" t="s">
        <v>5935</v>
      </c>
      <c r="C1584" t="s">
        <v>314</v>
      </c>
      <c r="E1584" t="s">
        <v>5469</v>
      </c>
      <c r="F1584" t="s">
        <v>1401</v>
      </c>
      <c r="G1584">
        <v>66.72</v>
      </c>
      <c r="H1584">
        <v>66.72</v>
      </c>
      <c r="I1584" t="s">
        <v>179</v>
      </c>
      <c r="J1584" t="s">
        <v>180</v>
      </c>
      <c r="K1584" t="s">
        <v>31</v>
      </c>
      <c r="L1584" t="s">
        <v>32</v>
      </c>
      <c r="M1584" t="s">
        <v>33</v>
      </c>
      <c r="P1584" s="1" t="s">
        <v>5936</v>
      </c>
      <c r="Q1584" s="1" t="s">
        <v>5469</v>
      </c>
      <c r="R1584" s="1" t="s">
        <v>5469</v>
      </c>
      <c r="S1584" s="1"/>
      <c r="T1584" s="1" t="s">
        <v>314</v>
      </c>
      <c r="U1584" s="1"/>
      <c r="V1584" s="1">
        <v>66.72</v>
      </c>
      <c r="W1584" s="1">
        <v>66.72</v>
      </c>
      <c r="X1584" s="1" t="s">
        <v>35</v>
      </c>
      <c r="Y1584" s="1">
        <v>66720.0</v>
      </c>
      <c r="Z1584" s="1"/>
      <c r="AA1584" s="1">
        <v>66720.0</v>
      </c>
      <c r="AB1584" s="1"/>
      <c r="AC1584" s="1" t="s">
        <v>36</v>
      </c>
      <c r="AD1584" s="1" t="s">
        <v>5937</v>
      </c>
      <c r="AE1584" s="1" t="s">
        <v>32</v>
      </c>
      <c r="AF1584" s="1" t="s">
        <v>33</v>
      </c>
      <c r="AG1584" s="1" t="s">
        <v>180</v>
      </c>
    </row>
    <row r="1585" spans="1:33">
      <c r="A1585" t="s">
        <v>5938</v>
      </c>
      <c r="C1585" t="s">
        <v>5939</v>
      </c>
      <c r="D1585" t="s">
        <v>114</v>
      </c>
      <c r="E1585" t="s">
        <v>5469</v>
      </c>
      <c r="F1585" t="s">
        <v>1401</v>
      </c>
      <c r="G1585">
        <v>99.75</v>
      </c>
      <c r="H1585">
        <v>99.75</v>
      </c>
      <c r="I1585" t="s">
        <v>269</v>
      </c>
      <c r="J1585" t="s">
        <v>270</v>
      </c>
      <c r="K1585" t="s">
        <v>31</v>
      </c>
      <c r="L1585" t="s">
        <v>32</v>
      </c>
      <c r="M1585" t="s">
        <v>33</v>
      </c>
      <c r="P1585" s="1" t="s">
        <v>5940</v>
      </c>
      <c r="Q1585" s="1" t="s">
        <v>5469</v>
      </c>
      <c r="R1585" s="1" t="s">
        <v>5469</v>
      </c>
      <c r="S1585" s="1"/>
      <c r="T1585" s="1" t="s">
        <v>5939</v>
      </c>
      <c r="U1585" s="1"/>
      <c r="V1585" s="1">
        <v>99.75</v>
      </c>
      <c r="W1585" s="1">
        <v>99.75</v>
      </c>
      <c r="X1585" s="1" t="s">
        <v>35</v>
      </c>
      <c r="Y1585" s="1">
        <v>99750.0</v>
      </c>
      <c r="Z1585" s="1"/>
      <c r="AA1585" s="1">
        <v>99750.0</v>
      </c>
      <c r="AB1585" s="1"/>
      <c r="AC1585" s="1" t="s">
        <v>36</v>
      </c>
      <c r="AD1585" s="1" t="s">
        <v>5941</v>
      </c>
      <c r="AE1585" s="1" t="s">
        <v>32</v>
      </c>
      <c r="AF1585" s="1" t="s">
        <v>33</v>
      </c>
      <c r="AG1585" s="1" t="s">
        <v>270</v>
      </c>
    </row>
    <row r="1586" spans="1:33">
      <c r="A1586" t="s">
        <v>5942</v>
      </c>
      <c r="B1586" t="s">
        <v>5943</v>
      </c>
      <c r="C1586" t="s">
        <v>5944</v>
      </c>
      <c r="D1586" t="s">
        <v>154</v>
      </c>
      <c r="E1586" t="s">
        <v>5469</v>
      </c>
      <c r="F1586" t="s">
        <v>1401</v>
      </c>
      <c r="G1586">
        <v>328.0</v>
      </c>
      <c r="H1586">
        <v>328.0</v>
      </c>
      <c r="I1586" t="s">
        <v>529</v>
      </c>
      <c r="J1586" t="s">
        <v>530</v>
      </c>
      <c r="K1586" t="s">
        <v>31</v>
      </c>
      <c r="L1586" t="s">
        <v>32</v>
      </c>
      <c r="M1586" t="s">
        <v>33</v>
      </c>
      <c r="P1586" s="1" t="s">
        <v>5945</v>
      </c>
      <c r="Q1586" s="1" t="s">
        <v>5469</v>
      </c>
      <c r="R1586" s="1" t="s">
        <v>4960</v>
      </c>
      <c r="S1586" s="1"/>
      <c r="T1586" s="1" t="s">
        <v>5944</v>
      </c>
      <c r="U1586" s="1"/>
      <c r="V1586" s="1">
        <v>328.0</v>
      </c>
      <c r="W1586" s="1">
        <v>328.0</v>
      </c>
      <c r="X1586" s="1" t="s">
        <v>35</v>
      </c>
      <c r="Y1586" s="1">
        <v>328000.0</v>
      </c>
      <c r="Z1586" s="1"/>
      <c r="AA1586" s="1">
        <v>328000.0</v>
      </c>
      <c r="AB1586" s="1"/>
      <c r="AC1586" s="1" t="s">
        <v>36</v>
      </c>
      <c r="AD1586" s="1" t="s">
        <v>5946</v>
      </c>
      <c r="AE1586" s="1" t="s">
        <v>32</v>
      </c>
      <c r="AF1586" s="1" t="s">
        <v>33</v>
      </c>
      <c r="AG1586" s="1" t="s">
        <v>530</v>
      </c>
    </row>
    <row r="1587" spans="1:33">
      <c r="A1587" t="s">
        <v>5947</v>
      </c>
      <c r="C1587" t="s">
        <v>190</v>
      </c>
      <c r="D1587" t="s">
        <v>154</v>
      </c>
      <c r="E1587" t="s">
        <v>5469</v>
      </c>
      <c r="F1587" t="s">
        <v>1401</v>
      </c>
      <c r="G1587">
        <v>909.0</v>
      </c>
      <c r="H1587">
        <v>909.0</v>
      </c>
      <c r="I1587" t="s">
        <v>48</v>
      </c>
      <c r="J1587" t="s">
        <v>49</v>
      </c>
      <c r="K1587" t="s">
        <v>31</v>
      </c>
      <c r="L1587" t="s">
        <v>32</v>
      </c>
      <c r="M1587" t="s">
        <v>33</v>
      </c>
      <c r="P1587" s="1" t="s">
        <v>5948</v>
      </c>
      <c r="Q1587" s="1" t="s">
        <v>5469</v>
      </c>
      <c r="R1587" s="1" t="s">
        <v>5469</v>
      </c>
      <c r="S1587" s="1"/>
      <c r="T1587" s="1" t="s">
        <v>190</v>
      </c>
      <c r="U1587" s="1"/>
      <c r="V1587" s="1">
        <v>909.0</v>
      </c>
      <c r="W1587" s="1">
        <v>909.0</v>
      </c>
      <c r="X1587" s="1" t="s">
        <v>35</v>
      </c>
      <c r="Y1587" s="1">
        <v>909000.0</v>
      </c>
      <c r="Z1587" s="1"/>
      <c r="AA1587" s="1">
        <v>909000.0</v>
      </c>
      <c r="AB1587" s="1"/>
      <c r="AC1587" s="1" t="s">
        <v>36</v>
      </c>
      <c r="AD1587" s="1" t="s">
        <v>5949</v>
      </c>
      <c r="AE1587" s="1" t="s">
        <v>32</v>
      </c>
      <c r="AF1587" s="1" t="s">
        <v>33</v>
      </c>
      <c r="AG1587" s="1" t="s">
        <v>49</v>
      </c>
    </row>
    <row r="1588" spans="1:33">
      <c r="A1588" t="s">
        <v>5950</v>
      </c>
      <c r="C1588" t="s">
        <v>5316</v>
      </c>
      <c r="D1588" t="s">
        <v>154</v>
      </c>
      <c r="E1588" t="s">
        <v>5469</v>
      </c>
      <c r="F1588" t="s">
        <v>1401</v>
      </c>
      <c r="G1588">
        <v>705.0</v>
      </c>
      <c r="H1588">
        <v>705.0</v>
      </c>
      <c r="I1588" t="s">
        <v>126</v>
      </c>
      <c r="J1588" t="s">
        <v>127</v>
      </c>
      <c r="K1588" t="s">
        <v>31</v>
      </c>
      <c r="L1588" t="s">
        <v>32</v>
      </c>
      <c r="M1588" t="s">
        <v>33</v>
      </c>
      <c r="P1588" s="1" t="s">
        <v>5951</v>
      </c>
      <c r="Q1588" s="1" t="s">
        <v>5469</v>
      </c>
      <c r="R1588" s="1" t="s">
        <v>5469</v>
      </c>
      <c r="S1588" s="1"/>
      <c r="T1588" s="1" t="s">
        <v>5316</v>
      </c>
      <c r="U1588" s="1"/>
      <c r="V1588" s="1">
        <v>705.0</v>
      </c>
      <c r="W1588" s="1">
        <v>705.0</v>
      </c>
      <c r="X1588" s="1" t="s">
        <v>35</v>
      </c>
      <c r="Y1588" s="1">
        <v>940000.0</v>
      </c>
      <c r="Z1588" s="1">
        <v>-235000</v>
      </c>
      <c r="AA1588" s="1">
        <v>940000.0</v>
      </c>
      <c r="AB1588" s="1">
        <v>-235000</v>
      </c>
      <c r="AC1588" s="1" t="s">
        <v>36</v>
      </c>
      <c r="AD1588" s="1" t="s">
        <v>5952</v>
      </c>
      <c r="AE1588" s="1" t="s">
        <v>32</v>
      </c>
      <c r="AF1588" s="1" t="s">
        <v>33</v>
      </c>
      <c r="AG1588" s="1" t="s">
        <v>127</v>
      </c>
    </row>
    <row r="1589" spans="1:33">
      <c r="A1589" t="s">
        <v>5953</v>
      </c>
      <c r="B1589" t="s">
        <v>579</v>
      </c>
      <c r="C1589" t="s">
        <v>73</v>
      </c>
      <c r="E1589" t="s">
        <v>5469</v>
      </c>
      <c r="F1589" t="s">
        <v>1401</v>
      </c>
      <c r="G1589">
        <v>18.49</v>
      </c>
      <c r="H1589">
        <v>18.49</v>
      </c>
      <c r="I1589" t="s">
        <v>40</v>
      </c>
      <c r="J1589" t="s">
        <v>41</v>
      </c>
      <c r="K1589" t="s">
        <v>31</v>
      </c>
      <c r="L1589" t="s">
        <v>32</v>
      </c>
      <c r="M1589" t="s">
        <v>33</v>
      </c>
      <c r="P1589" s="1" t="s">
        <v>5954</v>
      </c>
      <c r="Q1589" s="1" t="s">
        <v>5469</v>
      </c>
      <c r="R1589" s="1" t="s">
        <v>4960</v>
      </c>
      <c r="S1589" s="1"/>
      <c r="T1589" s="1" t="s">
        <v>75</v>
      </c>
      <c r="U1589" s="1" t="s">
        <v>76</v>
      </c>
      <c r="V1589" s="1">
        <v>18.49</v>
      </c>
      <c r="W1589" s="1">
        <v>18.49</v>
      </c>
      <c r="X1589" s="1" t="s">
        <v>35</v>
      </c>
      <c r="Y1589" s="1">
        <v>18490.0</v>
      </c>
      <c r="Z1589" s="1"/>
      <c r="AA1589" s="1">
        <v>18490.0</v>
      </c>
      <c r="AB1589" s="1"/>
      <c r="AC1589" s="1" t="s">
        <v>36</v>
      </c>
      <c r="AD1589" s="1" t="s">
        <v>5946</v>
      </c>
      <c r="AE1589" s="1" t="s">
        <v>32</v>
      </c>
      <c r="AF1589" s="1" t="s">
        <v>33</v>
      </c>
      <c r="AG1589" s="1" t="s">
        <v>41</v>
      </c>
    </row>
    <row r="1590" spans="1:33">
      <c r="A1590" t="s">
        <v>5955</v>
      </c>
      <c r="C1590" t="s">
        <v>5956</v>
      </c>
      <c r="E1590" t="s">
        <v>5469</v>
      </c>
      <c r="F1590" t="s">
        <v>1401</v>
      </c>
      <c r="G1590">
        <v>1.972</v>
      </c>
      <c r="H1590">
        <v>1.972</v>
      </c>
      <c r="I1590" t="s">
        <v>40</v>
      </c>
      <c r="J1590" t="s">
        <v>41</v>
      </c>
      <c r="K1590" t="s">
        <v>31</v>
      </c>
      <c r="L1590" t="s">
        <v>32</v>
      </c>
      <c r="M1590" t="s">
        <v>33</v>
      </c>
      <c r="P1590" s="1" t="s">
        <v>5957</v>
      </c>
      <c r="Q1590" s="1" t="s">
        <v>5469</v>
      </c>
      <c r="R1590" s="1" t="s">
        <v>4960</v>
      </c>
      <c r="S1590" s="1"/>
      <c r="T1590" s="1" t="s">
        <v>5956</v>
      </c>
      <c r="U1590" s="1"/>
      <c r="V1590" s="1">
        <v>1.972</v>
      </c>
      <c r="W1590" s="1">
        <v>1.972</v>
      </c>
      <c r="X1590" s="1" t="s">
        <v>35</v>
      </c>
      <c r="Y1590" s="1">
        <v>1972000.0</v>
      </c>
      <c r="Z1590" s="1"/>
      <c r="AA1590" s="1">
        <v>1972000.0</v>
      </c>
      <c r="AB1590" s="1"/>
      <c r="AC1590" s="1" t="s">
        <v>36</v>
      </c>
      <c r="AD1590" s="1" t="s">
        <v>5958</v>
      </c>
      <c r="AE1590" s="1" t="s">
        <v>32</v>
      </c>
      <c r="AF1590" s="1" t="s">
        <v>33</v>
      </c>
      <c r="AG1590" s="1" t="s">
        <v>41</v>
      </c>
    </row>
    <row r="1591" spans="1:33">
      <c r="A1591" t="s">
        <v>5959</v>
      </c>
      <c r="C1591" t="s">
        <v>329</v>
      </c>
      <c r="E1591" t="s">
        <v>5469</v>
      </c>
      <c r="F1591" t="s">
        <v>1401</v>
      </c>
      <c r="G1591">
        <v>336.0</v>
      </c>
      <c r="H1591">
        <v>336.0</v>
      </c>
      <c r="I1591" t="s">
        <v>94</v>
      </c>
      <c r="J1591" t="s">
        <v>95</v>
      </c>
      <c r="K1591" t="s">
        <v>31</v>
      </c>
      <c r="L1591" t="s">
        <v>32</v>
      </c>
      <c r="M1591" t="s">
        <v>33</v>
      </c>
      <c r="P1591" s="1" t="s">
        <v>5960</v>
      </c>
      <c r="Q1591" s="1" t="s">
        <v>5469</v>
      </c>
      <c r="R1591" s="1" t="s">
        <v>5469</v>
      </c>
      <c r="S1591" s="1"/>
      <c r="T1591" s="1" t="s">
        <v>331</v>
      </c>
      <c r="U1591" s="1" t="s">
        <v>332</v>
      </c>
      <c r="V1591" s="1">
        <v>336.0</v>
      </c>
      <c r="W1591" s="1">
        <v>336.0</v>
      </c>
      <c r="X1591" s="1" t="s">
        <v>35</v>
      </c>
      <c r="Y1591" s="1">
        <v>336000.0</v>
      </c>
      <c r="Z1591" s="1"/>
      <c r="AA1591" s="1">
        <v>336000.0</v>
      </c>
      <c r="AB1591" s="1"/>
      <c r="AC1591" s="1" t="s">
        <v>36</v>
      </c>
      <c r="AD1591" s="1" t="s">
        <v>5961</v>
      </c>
      <c r="AE1591" s="1" t="s">
        <v>32</v>
      </c>
      <c r="AF1591" s="1" t="s">
        <v>33</v>
      </c>
      <c r="AG1591" s="1" t="s">
        <v>95</v>
      </c>
    </row>
    <row r="1592" spans="1:33">
      <c r="A1592" t="s">
        <v>5962</v>
      </c>
      <c r="B1592" t="s">
        <v>5963</v>
      </c>
      <c r="C1592" t="s">
        <v>569</v>
      </c>
      <c r="E1592" t="s">
        <v>5469</v>
      </c>
      <c r="F1592" t="s">
        <v>1401</v>
      </c>
      <c r="G1592">
        <v>32.99</v>
      </c>
      <c r="H1592">
        <v>32.99</v>
      </c>
      <c r="I1592" t="s">
        <v>570</v>
      </c>
      <c r="J1592" t="s">
        <v>571</v>
      </c>
      <c r="K1592" t="s">
        <v>31</v>
      </c>
      <c r="L1592" t="s">
        <v>32</v>
      </c>
      <c r="M1592" t="s">
        <v>33</v>
      </c>
      <c r="P1592" s="1" t="s">
        <v>5964</v>
      </c>
      <c r="Q1592" s="1" t="s">
        <v>5469</v>
      </c>
      <c r="R1592" s="1" t="s">
        <v>5469</v>
      </c>
      <c r="S1592" s="1"/>
      <c r="T1592" s="1" t="s">
        <v>569</v>
      </c>
      <c r="U1592" s="1"/>
      <c r="V1592" s="1">
        <v>32.99</v>
      </c>
      <c r="W1592" s="1">
        <v>32.99</v>
      </c>
      <c r="X1592" s="1" t="s">
        <v>35</v>
      </c>
      <c r="Y1592" s="1">
        <v>32990.0</v>
      </c>
      <c r="Z1592" s="1"/>
      <c r="AA1592" s="1">
        <v>32990.0</v>
      </c>
      <c r="AB1592" s="1"/>
      <c r="AC1592" s="1" t="s">
        <v>36</v>
      </c>
      <c r="AD1592" s="1" t="s">
        <v>5965</v>
      </c>
      <c r="AE1592" s="1" t="s">
        <v>32</v>
      </c>
      <c r="AF1592" s="1" t="s">
        <v>33</v>
      </c>
      <c r="AG1592" s="1" t="s">
        <v>571</v>
      </c>
    </row>
    <row r="1593" spans="1:33">
      <c r="A1593" t="s">
        <v>5966</v>
      </c>
      <c r="C1593" t="s">
        <v>747</v>
      </c>
      <c r="E1593" t="s">
        <v>5469</v>
      </c>
      <c r="F1593" t="s">
        <v>1401</v>
      </c>
      <c r="G1593">
        <v>820.0</v>
      </c>
      <c r="H1593">
        <v>820.0</v>
      </c>
      <c r="I1593" t="s">
        <v>136</v>
      </c>
      <c r="J1593" t="s">
        <v>137</v>
      </c>
      <c r="K1593" t="s">
        <v>31</v>
      </c>
      <c r="L1593" t="s">
        <v>32</v>
      </c>
      <c r="M1593" t="s">
        <v>33</v>
      </c>
      <c r="P1593" s="1" t="s">
        <v>5967</v>
      </c>
      <c r="Q1593" s="1" t="s">
        <v>5469</v>
      </c>
      <c r="R1593" s="1" t="s">
        <v>5469</v>
      </c>
      <c r="S1593" s="1"/>
      <c r="T1593" s="1" t="s">
        <v>747</v>
      </c>
      <c r="U1593" s="1"/>
      <c r="V1593" s="1">
        <v>820.0</v>
      </c>
      <c r="W1593" s="1">
        <v>820.0</v>
      </c>
      <c r="X1593" s="1" t="s">
        <v>35</v>
      </c>
      <c r="Y1593" s="1">
        <v>820000.0</v>
      </c>
      <c r="Z1593" s="1"/>
      <c r="AA1593" s="1">
        <v>820000.0</v>
      </c>
      <c r="AB1593" s="1"/>
      <c r="AC1593" s="1" t="s">
        <v>36</v>
      </c>
      <c r="AD1593" s="1" t="s">
        <v>5968</v>
      </c>
      <c r="AE1593" s="1" t="s">
        <v>32</v>
      </c>
      <c r="AF1593" s="1" t="s">
        <v>33</v>
      </c>
      <c r="AG1593" s="1" t="s">
        <v>137</v>
      </c>
    </row>
    <row r="1594" spans="1:33">
      <c r="A1594" t="s">
        <v>5969</v>
      </c>
      <c r="B1594" t="s">
        <v>5970</v>
      </c>
      <c r="C1594" t="s">
        <v>47</v>
      </c>
      <c r="E1594" t="s">
        <v>5469</v>
      </c>
      <c r="F1594" t="s">
        <v>1401</v>
      </c>
      <c r="G1594">
        <v>113.96</v>
      </c>
      <c r="H1594">
        <v>113.96</v>
      </c>
      <c r="I1594" t="s">
        <v>48</v>
      </c>
      <c r="J1594" t="s">
        <v>49</v>
      </c>
      <c r="K1594" t="s">
        <v>31</v>
      </c>
      <c r="L1594" t="s">
        <v>32</v>
      </c>
      <c r="M1594" t="s">
        <v>33</v>
      </c>
      <c r="P1594" s="1" t="s">
        <v>5971</v>
      </c>
      <c r="Q1594" s="1" t="s">
        <v>5469</v>
      </c>
      <c r="R1594" s="1" t="s">
        <v>5469</v>
      </c>
      <c r="S1594" s="1"/>
      <c r="T1594" s="1" t="s">
        <v>47</v>
      </c>
      <c r="U1594" s="1"/>
      <c r="V1594" s="1">
        <v>113.96</v>
      </c>
      <c r="W1594" s="1">
        <v>113.96</v>
      </c>
      <c r="X1594" s="1" t="s">
        <v>35</v>
      </c>
      <c r="Y1594" s="1">
        <v>113960.0</v>
      </c>
      <c r="Z1594" s="1"/>
      <c r="AA1594" s="1">
        <v>113960.0</v>
      </c>
      <c r="AB1594" s="1"/>
      <c r="AC1594" s="1" t="s">
        <v>36</v>
      </c>
      <c r="AD1594" s="1" t="s">
        <v>5972</v>
      </c>
      <c r="AE1594" s="1" t="s">
        <v>32</v>
      </c>
      <c r="AF1594" s="1" t="s">
        <v>33</v>
      </c>
      <c r="AG1594" s="1" t="s">
        <v>49</v>
      </c>
    </row>
    <row r="1595" spans="1:33">
      <c r="A1595" t="s">
        <v>5973</v>
      </c>
      <c r="B1595" t="s">
        <v>5974</v>
      </c>
      <c r="C1595" t="s">
        <v>125</v>
      </c>
      <c r="E1595" t="s">
        <v>5469</v>
      </c>
      <c r="F1595" t="s">
        <v>1401</v>
      </c>
      <c r="G1595">
        <v>4.298</v>
      </c>
      <c r="H1595">
        <v>4.298</v>
      </c>
      <c r="I1595" t="s">
        <v>126</v>
      </c>
      <c r="J1595" t="s">
        <v>127</v>
      </c>
      <c r="K1595" t="s">
        <v>31</v>
      </c>
      <c r="L1595" t="s">
        <v>32</v>
      </c>
      <c r="M1595" t="s">
        <v>33</v>
      </c>
      <c r="P1595" s="1" t="s">
        <v>5975</v>
      </c>
      <c r="Q1595" s="1" t="s">
        <v>5469</v>
      </c>
      <c r="R1595" s="1" t="s">
        <v>5469</v>
      </c>
      <c r="S1595" s="1"/>
      <c r="T1595" s="1" t="s">
        <v>125</v>
      </c>
      <c r="U1595" s="1"/>
      <c r="V1595" s="1">
        <v>4.298</v>
      </c>
      <c r="W1595" s="1">
        <v>4.298</v>
      </c>
      <c r="X1595" s="1" t="s">
        <v>35</v>
      </c>
      <c r="Y1595" s="1">
        <v>4298.0</v>
      </c>
      <c r="Z1595" s="1"/>
      <c r="AA1595" s="1">
        <v>4298.0</v>
      </c>
      <c r="AB1595" s="1"/>
      <c r="AC1595" s="1" t="s">
        <v>36</v>
      </c>
      <c r="AD1595" s="1" t="s">
        <v>5976</v>
      </c>
      <c r="AE1595" s="1" t="s">
        <v>32</v>
      </c>
      <c r="AF1595" s="1" t="s">
        <v>33</v>
      </c>
      <c r="AG1595" s="1" t="s">
        <v>127</v>
      </c>
    </row>
    <row r="1596" spans="1:33">
      <c r="A1596" t="s">
        <v>5977</v>
      </c>
      <c r="C1596" t="s">
        <v>2916</v>
      </c>
      <c r="E1596" t="s">
        <v>5469</v>
      </c>
      <c r="F1596" t="s">
        <v>1401</v>
      </c>
      <c r="G1596">
        <v>552.9</v>
      </c>
      <c r="H1596">
        <v>552.9</v>
      </c>
      <c r="I1596" t="s">
        <v>269</v>
      </c>
      <c r="J1596" t="s">
        <v>270</v>
      </c>
      <c r="K1596" t="s">
        <v>31</v>
      </c>
      <c r="L1596" t="s">
        <v>32</v>
      </c>
      <c r="M1596" t="s">
        <v>33</v>
      </c>
      <c r="P1596" s="1" t="s">
        <v>5978</v>
      </c>
      <c r="Q1596" s="1" t="s">
        <v>5469</v>
      </c>
      <c r="R1596" s="1" t="s">
        <v>5469</v>
      </c>
      <c r="S1596" s="1"/>
      <c r="T1596" s="1" t="s">
        <v>2916</v>
      </c>
      <c r="U1596" s="1"/>
      <c r="V1596" s="1">
        <v>552.9</v>
      </c>
      <c r="W1596" s="1">
        <v>552.9</v>
      </c>
      <c r="X1596" s="1" t="s">
        <v>35</v>
      </c>
      <c r="Y1596" s="1">
        <v>552900.0</v>
      </c>
      <c r="Z1596" s="1"/>
      <c r="AA1596" s="1">
        <v>552900.0</v>
      </c>
      <c r="AB1596" s="1"/>
      <c r="AC1596" s="1" t="s">
        <v>36</v>
      </c>
      <c r="AD1596" s="1" t="s">
        <v>5979</v>
      </c>
      <c r="AE1596" s="1" t="s">
        <v>32</v>
      </c>
      <c r="AF1596" s="1" t="s">
        <v>33</v>
      </c>
      <c r="AG1596" s="1" t="s">
        <v>270</v>
      </c>
    </row>
    <row r="1597" spans="1:33">
      <c r="A1597" t="s">
        <v>5980</v>
      </c>
      <c r="C1597" t="s">
        <v>5981</v>
      </c>
      <c r="E1597" t="s">
        <v>5469</v>
      </c>
      <c r="F1597" t="s">
        <v>1401</v>
      </c>
      <c r="G1597">
        <v>860.0</v>
      </c>
      <c r="H1597">
        <v>860.0</v>
      </c>
      <c r="I1597" t="s">
        <v>126</v>
      </c>
      <c r="J1597" t="s">
        <v>127</v>
      </c>
      <c r="K1597" t="s">
        <v>31</v>
      </c>
      <c r="L1597" t="s">
        <v>32</v>
      </c>
      <c r="M1597" t="s">
        <v>33</v>
      </c>
      <c r="P1597" s="1" t="s">
        <v>5982</v>
      </c>
      <c r="Q1597" s="1" t="s">
        <v>5469</v>
      </c>
      <c r="R1597" s="1" t="s">
        <v>5469</v>
      </c>
      <c r="S1597" s="1"/>
      <c r="T1597" s="1" t="s">
        <v>5981</v>
      </c>
      <c r="U1597" s="1"/>
      <c r="V1597" s="1">
        <v>860.0</v>
      </c>
      <c r="W1597" s="1">
        <v>860.0</v>
      </c>
      <c r="X1597" s="1" t="s">
        <v>35</v>
      </c>
      <c r="Y1597" s="1">
        <v>860000.0</v>
      </c>
      <c r="Z1597" s="1"/>
      <c r="AA1597" s="1">
        <v>860000.0</v>
      </c>
      <c r="AB1597" s="1"/>
      <c r="AC1597" s="1" t="s">
        <v>36</v>
      </c>
      <c r="AD1597" s="1" t="s">
        <v>5983</v>
      </c>
      <c r="AE1597" s="1" t="s">
        <v>32</v>
      </c>
      <c r="AF1597" s="1" t="s">
        <v>33</v>
      </c>
      <c r="AG1597" s="1" t="s">
        <v>127</v>
      </c>
    </row>
    <row r="1598" spans="1:33">
      <c r="A1598" t="s">
        <v>5984</v>
      </c>
      <c r="B1598" t="s">
        <v>5985</v>
      </c>
      <c r="C1598" t="s">
        <v>125</v>
      </c>
      <c r="E1598" t="s">
        <v>5469</v>
      </c>
      <c r="F1598" t="s">
        <v>1401</v>
      </c>
      <c r="G1598">
        <v>15.993</v>
      </c>
      <c r="H1598">
        <v>15.993</v>
      </c>
      <c r="I1598" t="s">
        <v>126</v>
      </c>
      <c r="J1598" t="s">
        <v>127</v>
      </c>
      <c r="K1598" t="s">
        <v>31</v>
      </c>
      <c r="L1598" t="s">
        <v>32</v>
      </c>
      <c r="M1598" t="s">
        <v>33</v>
      </c>
      <c r="P1598" s="1" t="s">
        <v>5986</v>
      </c>
      <c r="Q1598" s="1" t="s">
        <v>5469</v>
      </c>
      <c r="R1598" s="1" t="s">
        <v>5469</v>
      </c>
      <c r="S1598" s="1"/>
      <c r="T1598" s="1" t="s">
        <v>125</v>
      </c>
      <c r="U1598" s="1"/>
      <c r="V1598" s="1">
        <v>15.993</v>
      </c>
      <c r="W1598" s="1">
        <v>15.993</v>
      </c>
      <c r="X1598" s="1" t="s">
        <v>35</v>
      </c>
      <c r="Y1598" s="1">
        <v>15993.0</v>
      </c>
      <c r="Z1598" s="1"/>
      <c r="AA1598" s="1">
        <v>15993.0</v>
      </c>
      <c r="AB1598" s="1"/>
      <c r="AC1598" s="1" t="s">
        <v>36</v>
      </c>
      <c r="AD1598" s="1" t="s">
        <v>5987</v>
      </c>
      <c r="AE1598" s="1" t="s">
        <v>32</v>
      </c>
      <c r="AF1598" s="1" t="s">
        <v>33</v>
      </c>
      <c r="AG1598" s="1" t="s">
        <v>127</v>
      </c>
    </row>
    <row r="1599" spans="1:33">
      <c r="A1599" t="s">
        <v>5988</v>
      </c>
      <c r="B1599" t="s">
        <v>5989</v>
      </c>
      <c r="C1599" t="s">
        <v>125</v>
      </c>
      <c r="E1599" t="s">
        <v>5469</v>
      </c>
      <c r="F1599" t="s">
        <v>1401</v>
      </c>
      <c r="G1599">
        <v>18.49</v>
      </c>
      <c r="H1599">
        <v>18.49</v>
      </c>
      <c r="I1599" t="s">
        <v>126</v>
      </c>
      <c r="J1599" t="s">
        <v>127</v>
      </c>
      <c r="K1599" t="s">
        <v>31</v>
      </c>
      <c r="L1599" t="s">
        <v>32</v>
      </c>
      <c r="M1599" t="s">
        <v>33</v>
      </c>
      <c r="P1599" s="1" t="s">
        <v>5990</v>
      </c>
      <c r="Q1599" s="1" t="s">
        <v>5469</v>
      </c>
      <c r="R1599" s="1" t="s">
        <v>5469</v>
      </c>
      <c r="S1599" s="1"/>
      <c r="T1599" s="1" t="s">
        <v>125</v>
      </c>
      <c r="U1599" s="1"/>
      <c r="V1599" s="1">
        <v>18.49</v>
      </c>
      <c r="W1599" s="1">
        <v>18.49</v>
      </c>
      <c r="X1599" s="1" t="s">
        <v>35</v>
      </c>
      <c r="Y1599" s="1">
        <v>18490.0</v>
      </c>
      <c r="Z1599" s="1"/>
      <c r="AA1599" s="1">
        <v>18490.0</v>
      </c>
      <c r="AB1599" s="1"/>
      <c r="AC1599" s="1" t="s">
        <v>36</v>
      </c>
      <c r="AD1599" s="1" t="s">
        <v>5991</v>
      </c>
      <c r="AE1599" s="1" t="s">
        <v>32</v>
      </c>
      <c r="AF1599" s="1" t="s">
        <v>33</v>
      </c>
      <c r="AG1599" s="1" t="s">
        <v>127</v>
      </c>
    </row>
    <row r="1600" spans="1:33">
      <c r="A1600" t="s">
        <v>5992</v>
      </c>
      <c r="C1600" t="s">
        <v>806</v>
      </c>
      <c r="D1600" t="s">
        <v>154</v>
      </c>
      <c r="E1600" t="s">
        <v>5469</v>
      </c>
      <c r="F1600" t="s">
        <v>1401</v>
      </c>
      <c r="G1600">
        <v>1.358</v>
      </c>
      <c r="H1600">
        <v>1.358</v>
      </c>
      <c r="I1600" t="s">
        <v>269</v>
      </c>
      <c r="J1600" t="s">
        <v>270</v>
      </c>
      <c r="K1600" t="s">
        <v>31</v>
      </c>
      <c r="L1600" t="s">
        <v>32</v>
      </c>
      <c r="M1600" t="s">
        <v>33</v>
      </c>
      <c r="P1600" s="1" t="s">
        <v>5993</v>
      </c>
      <c r="Q1600" s="1" t="s">
        <v>5469</v>
      </c>
      <c r="R1600" s="1" t="s">
        <v>5469</v>
      </c>
      <c r="S1600" s="1"/>
      <c r="T1600" s="1" t="s">
        <v>806</v>
      </c>
      <c r="U1600" s="1"/>
      <c r="V1600" s="1">
        <v>1.358</v>
      </c>
      <c r="W1600" s="1">
        <v>1.358</v>
      </c>
      <c r="X1600" s="1" t="s">
        <v>35</v>
      </c>
      <c r="Y1600" s="1">
        <v>1358000.0</v>
      </c>
      <c r="Z1600" s="1"/>
      <c r="AA1600" s="1">
        <v>1358000.0</v>
      </c>
      <c r="AB1600" s="1"/>
      <c r="AC1600" s="1" t="s">
        <v>36</v>
      </c>
      <c r="AD1600" s="1" t="s">
        <v>5994</v>
      </c>
      <c r="AE1600" s="1" t="s">
        <v>32</v>
      </c>
      <c r="AF1600" s="1" t="s">
        <v>33</v>
      </c>
      <c r="AG1600" s="1" t="s">
        <v>270</v>
      </c>
    </row>
    <row r="1601" spans="1:33">
      <c r="A1601" t="s">
        <v>5995</v>
      </c>
      <c r="C1601" t="s">
        <v>4421</v>
      </c>
      <c r="E1601" t="s">
        <v>5469</v>
      </c>
      <c r="F1601" t="s">
        <v>1401</v>
      </c>
      <c r="G1601">
        <v>538.4</v>
      </c>
      <c r="H1601">
        <v>538.4</v>
      </c>
      <c r="I1601" t="s">
        <v>269</v>
      </c>
      <c r="J1601" t="s">
        <v>270</v>
      </c>
      <c r="K1601" t="s">
        <v>31</v>
      </c>
      <c r="L1601" t="s">
        <v>32</v>
      </c>
      <c r="M1601" t="s">
        <v>33</v>
      </c>
      <c r="P1601" s="1" t="s">
        <v>5996</v>
      </c>
      <c r="Q1601" s="1" t="s">
        <v>5469</v>
      </c>
      <c r="R1601" s="1" t="s">
        <v>5469</v>
      </c>
      <c r="S1601" s="1"/>
      <c r="T1601" s="1" t="s">
        <v>4421</v>
      </c>
      <c r="U1601" s="1"/>
      <c r="V1601" s="1">
        <v>538.4</v>
      </c>
      <c r="W1601" s="1">
        <v>538.4</v>
      </c>
      <c r="X1601" s="1" t="s">
        <v>35</v>
      </c>
      <c r="Y1601" s="1">
        <v>538400.0</v>
      </c>
      <c r="Z1601" s="1"/>
      <c r="AA1601" s="1">
        <v>538400.0</v>
      </c>
      <c r="AB1601" s="1"/>
      <c r="AC1601" s="1" t="s">
        <v>36</v>
      </c>
      <c r="AD1601" s="1" t="s">
        <v>5997</v>
      </c>
      <c r="AE1601" s="1" t="s">
        <v>32</v>
      </c>
      <c r="AF1601" s="1" t="s">
        <v>33</v>
      </c>
      <c r="AG1601" s="1" t="s">
        <v>270</v>
      </c>
    </row>
    <row r="1602" spans="1:33">
      <c r="A1602" t="s">
        <v>5998</v>
      </c>
      <c r="C1602" t="s">
        <v>73</v>
      </c>
      <c r="E1602" t="s">
        <v>5469</v>
      </c>
      <c r="F1602" t="s">
        <v>1401</v>
      </c>
      <c r="G1602">
        <v>6.3</v>
      </c>
      <c r="H1602">
        <v>6.3</v>
      </c>
      <c r="I1602" t="s">
        <v>40</v>
      </c>
      <c r="J1602" t="s">
        <v>41</v>
      </c>
      <c r="K1602" t="s">
        <v>31</v>
      </c>
      <c r="L1602" t="s">
        <v>32</v>
      </c>
      <c r="M1602" t="s">
        <v>33</v>
      </c>
      <c r="P1602" s="1" t="s">
        <v>5999</v>
      </c>
      <c r="Q1602" s="1" t="s">
        <v>5469</v>
      </c>
      <c r="R1602" s="1" t="s">
        <v>4960</v>
      </c>
      <c r="S1602" s="1"/>
      <c r="T1602" s="1" t="s">
        <v>75</v>
      </c>
      <c r="U1602" s="1" t="s">
        <v>76</v>
      </c>
      <c r="V1602" s="1">
        <v>6.3</v>
      </c>
      <c r="W1602" s="1">
        <v>6.3</v>
      </c>
      <c r="X1602" s="1" t="s">
        <v>35</v>
      </c>
      <c r="Y1602" s="1">
        <v>6300.0</v>
      </c>
      <c r="Z1602" s="1"/>
      <c r="AA1602" s="1">
        <v>6300.0</v>
      </c>
      <c r="AB1602" s="1"/>
      <c r="AC1602" s="1" t="s">
        <v>36</v>
      </c>
      <c r="AD1602" s="1" t="s">
        <v>6000</v>
      </c>
      <c r="AE1602" s="1" t="s">
        <v>32</v>
      </c>
      <c r="AF1602" s="1" t="s">
        <v>33</v>
      </c>
      <c r="AG1602" s="1" t="s">
        <v>41</v>
      </c>
    </row>
    <row r="1603" spans="1:33">
      <c r="A1603" t="s">
        <v>6001</v>
      </c>
      <c r="B1603" t="s">
        <v>6002</v>
      </c>
      <c r="C1603" t="s">
        <v>73</v>
      </c>
      <c r="E1603" t="s">
        <v>5469</v>
      </c>
      <c r="F1603" t="s">
        <v>1401</v>
      </c>
      <c r="G1603">
        <v>182.45</v>
      </c>
      <c r="H1603">
        <v>182.45</v>
      </c>
      <c r="I1603" t="s">
        <v>40</v>
      </c>
      <c r="J1603" t="s">
        <v>41</v>
      </c>
      <c r="K1603" t="s">
        <v>31</v>
      </c>
      <c r="L1603" t="s">
        <v>32</v>
      </c>
      <c r="M1603" t="s">
        <v>33</v>
      </c>
      <c r="P1603" s="1" t="s">
        <v>6003</v>
      </c>
      <c r="Q1603" s="1" t="s">
        <v>5469</v>
      </c>
      <c r="R1603" s="1" t="s">
        <v>4960</v>
      </c>
      <c r="S1603" s="1"/>
      <c r="T1603" s="1" t="s">
        <v>75</v>
      </c>
      <c r="U1603" s="1" t="s">
        <v>76</v>
      </c>
      <c r="V1603" s="1">
        <v>182.45</v>
      </c>
      <c r="W1603" s="1">
        <v>182.45</v>
      </c>
      <c r="X1603" s="1" t="s">
        <v>35</v>
      </c>
      <c r="Y1603" s="1">
        <v>182450.0</v>
      </c>
      <c r="Z1603" s="1"/>
      <c r="AA1603" s="1">
        <v>182450.0</v>
      </c>
      <c r="AB1603" s="1"/>
      <c r="AC1603" s="1" t="s">
        <v>36</v>
      </c>
      <c r="AD1603" s="1" t="s">
        <v>6004</v>
      </c>
      <c r="AE1603" s="1" t="s">
        <v>32</v>
      </c>
      <c r="AF1603" s="1" t="s">
        <v>33</v>
      </c>
      <c r="AG1603" s="1" t="s">
        <v>41</v>
      </c>
    </row>
    <row r="1604" spans="1:33">
      <c r="A1604" t="s">
        <v>6005</v>
      </c>
      <c r="C1604" t="s">
        <v>6006</v>
      </c>
      <c r="E1604" t="s">
        <v>5469</v>
      </c>
      <c r="F1604" t="s">
        <v>1401</v>
      </c>
      <c r="G1604">
        <v>672.0</v>
      </c>
      <c r="H1604">
        <v>672.0</v>
      </c>
      <c r="I1604" t="s">
        <v>48</v>
      </c>
      <c r="J1604" t="s">
        <v>49</v>
      </c>
      <c r="K1604" t="s">
        <v>31</v>
      </c>
      <c r="L1604" t="s">
        <v>32</v>
      </c>
      <c r="M1604" t="s">
        <v>33</v>
      </c>
      <c r="P1604" s="1" t="s">
        <v>6007</v>
      </c>
      <c r="Q1604" s="1" t="s">
        <v>5469</v>
      </c>
      <c r="R1604" s="1" t="s">
        <v>5469</v>
      </c>
      <c r="S1604" s="1"/>
      <c r="T1604" s="1" t="s">
        <v>6006</v>
      </c>
      <c r="U1604" s="1"/>
      <c r="V1604" s="1">
        <v>672.0</v>
      </c>
      <c r="W1604" s="1">
        <v>672.0</v>
      </c>
      <c r="X1604" s="1" t="s">
        <v>35</v>
      </c>
      <c r="Y1604" s="1">
        <v>672000.0</v>
      </c>
      <c r="Z1604" s="1"/>
      <c r="AA1604" s="1">
        <v>672000.0</v>
      </c>
      <c r="AB1604" s="1"/>
      <c r="AC1604" s="1" t="s">
        <v>36</v>
      </c>
      <c r="AD1604" s="1" t="s">
        <v>5979</v>
      </c>
      <c r="AE1604" s="1" t="s">
        <v>32</v>
      </c>
      <c r="AF1604" s="1" t="s">
        <v>33</v>
      </c>
      <c r="AG1604" s="1" t="s">
        <v>49</v>
      </c>
    </row>
    <row r="1605" spans="1:33">
      <c r="A1605" t="s">
        <v>6008</v>
      </c>
      <c r="B1605" t="s">
        <v>57</v>
      </c>
      <c r="C1605" t="s">
        <v>58</v>
      </c>
      <c r="E1605" t="s">
        <v>5469</v>
      </c>
      <c r="F1605" t="s">
        <v>1401</v>
      </c>
      <c r="G1605">
        <v>370.0</v>
      </c>
      <c r="H1605">
        <v>370.0</v>
      </c>
      <c r="I1605" t="s">
        <v>59</v>
      </c>
      <c r="J1605" t="s">
        <v>60</v>
      </c>
      <c r="K1605" t="s">
        <v>31</v>
      </c>
      <c r="L1605" t="s">
        <v>32</v>
      </c>
      <c r="M1605" t="s">
        <v>33</v>
      </c>
      <c r="P1605" s="1" t="s">
        <v>6009</v>
      </c>
      <c r="Q1605" s="1" t="s">
        <v>5469</v>
      </c>
      <c r="R1605" s="1" t="s">
        <v>5469</v>
      </c>
      <c r="S1605" s="1"/>
      <c r="T1605" s="1" t="s">
        <v>58</v>
      </c>
      <c r="U1605" s="1"/>
      <c r="V1605" s="1">
        <v>370.0</v>
      </c>
      <c r="W1605" s="1">
        <v>370.0</v>
      </c>
      <c r="X1605" s="1" t="s">
        <v>35</v>
      </c>
      <c r="Y1605" s="1">
        <v>370000.0</v>
      </c>
      <c r="Z1605" s="1"/>
      <c r="AA1605" s="1">
        <v>370000.0</v>
      </c>
      <c r="AB1605" s="1"/>
      <c r="AC1605" s="1" t="s">
        <v>36</v>
      </c>
      <c r="AD1605" s="1" t="s">
        <v>6010</v>
      </c>
      <c r="AE1605" s="1" t="s">
        <v>32</v>
      </c>
      <c r="AF1605" s="1" t="s">
        <v>33</v>
      </c>
      <c r="AG1605" s="1" t="s">
        <v>60</v>
      </c>
    </row>
    <row r="1606" spans="1:33">
      <c r="A1606" t="s">
        <v>6011</v>
      </c>
      <c r="C1606" t="s">
        <v>3482</v>
      </c>
      <c r="E1606" t="s">
        <v>5469</v>
      </c>
      <c r="F1606" t="s">
        <v>1401</v>
      </c>
      <c r="G1606">
        <v>528.0</v>
      </c>
      <c r="H1606">
        <v>528.0</v>
      </c>
      <c r="I1606" t="s">
        <v>179</v>
      </c>
      <c r="J1606" t="s">
        <v>180</v>
      </c>
      <c r="K1606" t="s">
        <v>31</v>
      </c>
      <c r="L1606" t="s">
        <v>32</v>
      </c>
      <c r="M1606" t="s">
        <v>33</v>
      </c>
      <c r="P1606" s="1" t="s">
        <v>6012</v>
      </c>
      <c r="Q1606" s="1" t="s">
        <v>5469</v>
      </c>
      <c r="R1606" s="1" t="s">
        <v>5469</v>
      </c>
      <c r="S1606" s="1"/>
      <c r="T1606" s="1" t="s">
        <v>3482</v>
      </c>
      <c r="U1606" s="1"/>
      <c r="V1606" s="1">
        <v>528.0</v>
      </c>
      <c r="W1606" s="1">
        <v>528.0</v>
      </c>
      <c r="X1606" s="1" t="s">
        <v>35</v>
      </c>
      <c r="Y1606" s="1">
        <v>528000.0</v>
      </c>
      <c r="Z1606" s="1"/>
      <c r="AA1606" s="1">
        <v>528000.0</v>
      </c>
      <c r="AB1606" s="1"/>
      <c r="AC1606" s="1" t="s">
        <v>36</v>
      </c>
      <c r="AD1606" s="1" t="s">
        <v>6013</v>
      </c>
      <c r="AE1606" s="1" t="s">
        <v>32</v>
      </c>
      <c r="AF1606" s="1" t="s">
        <v>33</v>
      </c>
      <c r="AG1606" s="1" t="s">
        <v>180</v>
      </c>
    </row>
    <row r="1607" spans="1:33">
      <c r="A1607" t="s">
        <v>6014</v>
      </c>
      <c r="B1607" t="s">
        <v>6015</v>
      </c>
      <c r="C1607" t="s">
        <v>314</v>
      </c>
      <c r="E1607" t="s">
        <v>5469</v>
      </c>
      <c r="F1607" t="s">
        <v>1401</v>
      </c>
      <c r="G1607">
        <v>81.98</v>
      </c>
      <c r="H1607">
        <v>81.98</v>
      </c>
      <c r="I1607" t="s">
        <v>179</v>
      </c>
      <c r="J1607" t="s">
        <v>180</v>
      </c>
      <c r="K1607" t="s">
        <v>31</v>
      </c>
      <c r="L1607" t="s">
        <v>32</v>
      </c>
      <c r="M1607" t="s">
        <v>33</v>
      </c>
      <c r="P1607" s="1" t="s">
        <v>6016</v>
      </c>
      <c r="Q1607" s="1" t="s">
        <v>5469</v>
      </c>
      <c r="R1607" s="1" t="s">
        <v>5469</v>
      </c>
      <c r="S1607" s="1"/>
      <c r="T1607" s="1" t="s">
        <v>314</v>
      </c>
      <c r="U1607" s="1"/>
      <c r="V1607" s="1">
        <v>81.98</v>
      </c>
      <c r="W1607" s="1">
        <v>81.98</v>
      </c>
      <c r="X1607" s="1" t="s">
        <v>35</v>
      </c>
      <c r="Y1607" s="1">
        <v>81980.0</v>
      </c>
      <c r="Z1607" s="1"/>
      <c r="AA1607" s="1">
        <v>81980.0</v>
      </c>
      <c r="AB1607" s="1"/>
      <c r="AC1607" s="1" t="s">
        <v>36</v>
      </c>
      <c r="AD1607" s="1" t="s">
        <v>6017</v>
      </c>
      <c r="AE1607" s="1" t="s">
        <v>32</v>
      </c>
      <c r="AF1607" s="1" t="s">
        <v>33</v>
      </c>
      <c r="AG1607" s="1" t="s">
        <v>180</v>
      </c>
    </row>
    <row r="1608" spans="1:33">
      <c r="A1608" t="s">
        <v>6018</v>
      </c>
      <c r="B1608" t="s">
        <v>6019</v>
      </c>
      <c r="C1608" t="s">
        <v>314</v>
      </c>
      <c r="E1608" t="s">
        <v>5469</v>
      </c>
      <c r="F1608" t="s">
        <v>1401</v>
      </c>
      <c r="G1608">
        <v>163.96</v>
      </c>
      <c r="H1608">
        <v>163.96</v>
      </c>
      <c r="I1608" t="s">
        <v>179</v>
      </c>
      <c r="J1608" t="s">
        <v>180</v>
      </c>
      <c r="K1608" t="s">
        <v>31</v>
      </c>
      <c r="L1608" t="s">
        <v>32</v>
      </c>
      <c r="M1608" t="s">
        <v>33</v>
      </c>
      <c r="P1608" s="1" t="s">
        <v>6020</v>
      </c>
      <c r="Q1608" s="1" t="s">
        <v>5469</v>
      </c>
      <c r="R1608" s="1" t="s">
        <v>5469</v>
      </c>
      <c r="S1608" s="1"/>
      <c r="T1608" s="1" t="s">
        <v>314</v>
      </c>
      <c r="U1608" s="1"/>
      <c r="V1608" s="1">
        <v>163.96</v>
      </c>
      <c r="W1608" s="1">
        <v>163.96</v>
      </c>
      <c r="X1608" s="1" t="s">
        <v>35</v>
      </c>
      <c r="Y1608" s="1">
        <v>163960.0</v>
      </c>
      <c r="Z1608" s="1"/>
      <c r="AA1608" s="1">
        <v>163960.0</v>
      </c>
      <c r="AB1608" s="1"/>
      <c r="AC1608" s="1" t="s">
        <v>36</v>
      </c>
      <c r="AD1608" s="1" t="s">
        <v>6021</v>
      </c>
      <c r="AE1608" s="1" t="s">
        <v>32</v>
      </c>
      <c r="AF1608" s="1" t="s">
        <v>33</v>
      </c>
      <c r="AG1608" s="1" t="s">
        <v>180</v>
      </c>
    </row>
    <row r="1609" spans="1:33">
      <c r="A1609" t="s">
        <v>6022</v>
      </c>
      <c r="B1609" t="s">
        <v>6023</v>
      </c>
      <c r="C1609" t="s">
        <v>569</v>
      </c>
      <c r="E1609" t="s">
        <v>5469</v>
      </c>
      <c r="F1609" t="s">
        <v>1401</v>
      </c>
      <c r="G1609">
        <v>14.0</v>
      </c>
      <c r="H1609">
        <v>14.0</v>
      </c>
      <c r="I1609" t="s">
        <v>570</v>
      </c>
      <c r="J1609" t="s">
        <v>571</v>
      </c>
      <c r="K1609" t="s">
        <v>31</v>
      </c>
      <c r="L1609" t="s">
        <v>32</v>
      </c>
      <c r="M1609" t="s">
        <v>33</v>
      </c>
      <c r="P1609" s="1" t="s">
        <v>6024</v>
      </c>
      <c r="Q1609" s="1" t="s">
        <v>5469</v>
      </c>
      <c r="R1609" s="1" t="s">
        <v>5469</v>
      </c>
      <c r="S1609" s="1"/>
      <c r="T1609" s="1" t="s">
        <v>569</v>
      </c>
      <c r="U1609" s="1"/>
      <c r="V1609" s="1">
        <v>14.0</v>
      </c>
      <c r="W1609" s="1">
        <v>14.0</v>
      </c>
      <c r="X1609" s="1" t="s">
        <v>35</v>
      </c>
      <c r="Y1609" s="1">
        <v>14000.0</v>
      </c>
      <c r="Z1609" s="1"/>
      <c r="AA1609" s="1">
        <v>14000.0</v>
      </c>
      <c r="AB1609" s="1"/>
      <c r="AC1609" s="1" t="s">
        <v>36</v>
      </c>
      <c r="AD1609" s="1" t="s">
        <v>6025</v>
      </c>
      <c r="AE1609" s="1" t="s">
        <v>32</v>
      </c>
      <c r="AF1609" s="1" t="s">
        <v>33</v>
      </c>
      <c r="AG1609" s="1" t="s">
        <v>571</v>
      </c>
    </row>
    <row r="1610" spans="1:33">
      <c r="A1610" t="s">
        <v>6026</v>
      </c>
      <c r="B1610" t="s">
        <v>6027</v>
      </c>
      <c r="C1610" t="s">
        <v>314</v>
      </c>
      <c r="E1610" t="s">
        <v>5469</v>
      </c>
      <c r="F1610" t="s">
        <v>1401</v>
      </c>
      <c r="G1610">
        <v>46.168</v>
      </c>
      <c r="H1610">
        <v>46.168</v>
      </c>
      <c r="I1610" t="s">
        <v>179</v>
      </c>
      <c r="J1610" t="s">
        <v>180</v>
      </c>
      <c r="K1610" t="s">
        <v>31</v>
      </c>
      <c r="L1610" t="s">
        <v>32</v>
      </c>
      <c r="M1610" t="s">
        <v>33</v>
      </c>
      <c r="P1610" s="1" t="s">
        <v>6028</v>
      </c>
      <c r="Q1610" s="1" t="s">
        <v>5469</v>
      </c>
      <c r="R1610" s="1" t="s">
        <v>5469</v>
      </c>
      <c r="S1610" s="1"/>
      <c r="T1610" s="1" t="s">
        <v>314</v>
      </c>
      <c r="U1610" s="1"/>
      <c r="V1610" s="1">
        <v>46.168</v>
      </c>
      <c r="W1610" s="1">
        <v>46.168</v>
      </c>
      <c r="X1610" s="1" t="s">
        <v>35</v>
      </c>
      <c r="Y1610" s="1">
        <v>46168.0</v>
      </c>
      <c r="Z1610" s="1"/>
      <c r="AA1610" s="1">
        <v>46168.0</v>
      </c>
      <c r="AB1610" s="1"/>
      <c r="AC1610" s="1" t="s">
        <v>36</v>
      </c>
      <c r="AD1610" s="1" t="s">
        <v>6029</v>
      </c>
      <c r="AE1610" s="1" t="s">
        <v>32</v>
      </c>
      <c r="AF1610" s="1" t="s">
        <v>33</v>
      </c>
      <c r="AG1610" s="1" t="s">
        <v>180</v>
      </c>
    </row>
    <row r="1611" spans="1:33">
      <c r="A1611" t="s">
        <v>6030</v>
      </c>
      <c r="C1611" t="s">
        <v>6031</v>
      </c>
      <c r="E1611" t="s">
        <v>5469</v>
      </c>
      <c r="F1611" t="s">
        <v>1401</v>
      </c>
      <c r="G1611">
        <v>524.0</v>
      </c>
      <c r="H1611">
        <v>524.0</v>
      </c>
      <c r="I1611" t="s">
        <v>48</v>
      </c>
      <c r="J1611" t="s">
        <v>49</v>
      </c>
      <c r="K1611" t="s">
        <v>31</v>
      </c>
      <c r="L1611" t="s">
        <v>32</v>
      </c>
      <c r="M1611" t="s">
        <v>33</v>
      </c>
      <c r="P1611" s="1" t="s">
        <v>6032</v>
      </c>
      <c r="Q1611" s="1" t="s">
        <v>5469</v>
      </c>
      <c r="R1611" s="1" t="s">
        <v>5469</v>
      </c>
      <c r="S1611" s="1"/>
      <c r="T1611" s="1" t="s">
        <v>6031</v>
      </c>
      <c r="U1611" s="1"/>
      <c r="V1611" s="1">
        <v>524.0</v>
      </c>
      <c r="W1611" s="1">
        <v>524.0</v>
      </c>
      <c r="X1611" s="1" t="s">
        <v>35</v>
      </c>
      <c r="Y1611" s="1">
        <v>524000.0</v>
      </c>
      <c r="Z1611" s="1"/>
      <c r="AA1611" s="1">
        <v>524000.0</v>
      </c>
      <c r="AB1611" s="1"/>
      <c r="AC1611" s="1" t="s">
        <v>36</v>
      </c>
      <c r="AD1611" s="1" t="s">
        <v>6033</v>
      </c>
      <c r="AE1611" s="1" t="s">
        <v>32</v>
      </c>
      <c r="AF1611" s="1" t="s">
        <v>33</v>
      </c>
      <c r="AG1611" s="1" t="s">
        <v>49</v>
      </c>
    </row>
    <row r="1612" spans="1:33">
      <c r="A1612" t="s">
        <v>6034</v>
      </c>
      <c r="C1612" t="s">
        <v>6035</v>
      </c>
      <c r="E1612" t="s">
        <v>5469</v>
      </c>
      <c r="F1612" t="s">
        <v>1401</v>
      </c>
      <c r="G1612">
        <v>579.5</v>
      </c>
      <c r="H1612">
        <v>579.5</v>
      </c>
      <c r="I1612" t="s">
        <v>173</v>
      </c>
      <c r="J1612" t="s">
        <v>174</v>
      </c>
      <c r="K1612" t="s">
        <v>31</v>
      </c>
      <c r="L1612" t="s">
        <v>32</v>
      </c>
      <c r="M1612" t="s">
        <v>33</v>
      </c>
      <c r="P1612" s="1" t="s">
        <v>6036</v>
      </c>
      <c r="Q1612" s="1" t="s">
        <v>5469</v>
      </c>
      <c r="R1612" s="1" t="s">
        <v>5469</v>
      </c>
      <c r="S1612" s="1"/>
      <c r="T1612" s="1" t="s">
        <v>6035</v>
      </c>
      <c r="U1612" s="1"/>
      <c r="V1612" s="1">
        <v>579.5</v>
      </c>
      <c r="W1612" s="1">
        <v>579.5</v>
      </c>
      <c r="X1612" s="1" t="s">
        <v>35</v>
      </c>
      <c r="Y1612" s="1">
        <v>579500.0</v>
      </c>
      <c r="Z1612" s="1"/>
      <c r="AA1612" s="1">
        <v>579500.0</v>
      </c>
      <c r="AB1612" s="1"/>
      <c r="AC1612" s="1" t="s">
        <v>36</v>
      </c>
      <c r="AD1612" s="1" t="s">
        <v>6037</v>
      </c>
      <c r="AE1612" s="1" t="s">
        <v>32</v>
      </c>
      <c r="AF1612" s="1" t="s">
        <v>33</v>
      </c>
      <c r="AG1612" s="1" t="s">
        <v>174</v>
      </c>
    </row>
    <row r="1613" spans="1:33">
      <c r="A1613" t="s">
        <v>6038</v>
      </c>
      <c r="B1613" t="s">
        <v>6039</v>
      </c>
      <c r="C1613" t="s">
        <v>131</v>
      </c>
      <c r="E1613" t="s">
        <v>5469</v>
      </c>
      <c r="F1613" t="s">
        <v>1401</v>
      </c>
      <c r="G1613">
        <v>76.07</v>
      </c>
      <c r="H1613">
        <v>76.07</v>
      </c>
      <c r="I1613" t="s">
        <v>94</v>
      </c>
      <c r="J1613" t="s">
        <v>95</v>
      </c>
      <c r="K1613" t="s">
        <v>31</v>
      </c>
      <c r="L1613" t="s">
        <v>32</v>
      </c>
      <c r="M1613" t="s">
        <v>33</v>
      </c>
      <c r="P1613" s="1" t="s">
        <v>6040</v>
      </c>
      <c r="Q1613" s="1" t="s">
        <v>5469</v>
      </c>
      <c r="R1613" s="1" t="s">
        <v>5469</v>
      </c>
      <c r="S1613" s="1"/>
      <c r="T1613" s="1" t="s">
        <v>131</v>
      </c>
      <c r="U1613" s="1"/>
      <c r="V1613" s="1">
        <v>76.07</v>
      </c>
      <c r="W1613" s="1">
        <v>76.07</v>
      </c>
      <c r="X1613" s="1" t="s">
        <v>35</v>
      </c>
      <c r="Y1613" s="1">
        <v>76070.0</v>
      </c>
      <c r="Z1613" s="1"/>
      <c r="AA1613" s="1">
        <v>76070.0</v>
      </c>
      <c r="AB1613" s="1"/>
      <c r="AC1613" s="1" t="s">
        <v>36</v>
      </c>
      <c r="AD1613" s="1" t="s">
        <v>6041</v>
      </c>
      <c r="AE1613" s="1" t="s">
        <v>32</v>
      </c>
      <c r="AF1613" s="1" t="s">
        <v>33</v>
      </c>
      <c r="AG1613" s="1" t="s">
        <v>95</v>
      </c>
    </row>
    <row r="1614" spans="1:33">
      <c r="A1614" t="s">
        <v>6042</v>
      </c>
      <c r="C1614" t="s">
        <v>6043</v>
      </c>
      <c r="D1614" t="s">
        <v>154</v>
      </c>
      <c r="E1614" t="s">
        <v>5469</v>
      </c>
      <c r="F1614" t="s">
        <v>1401</v>
      </c>
      <c r="G1614">
        <v>557.0</v>
      </c>
      <c r="H1614">
        <v>557.0</v>
      </c>
      <c r="I1614" t="s">
        <v>126</v>
      </c>
      <c r="J1614" t="s">
        <v>127</v>
      </c>
      <c r="K1614" t="s">
        <v>31</v>
      </c>
      <c r="L1614" t="s">
        <v>32</v>
      </c>
      <c r="M1614" t="s">
        <v>33</v>
      </c>
      <c r="P1614" s="1" t="s">
        <v>6044</v>
      </c>
      <c r="Q1614" s="1" t="s">
        <v>5469</v>
      </c>
      <c r="R1614" s="1" t="s">
        <v>5469</v>
      </c>
      <c r="S1614" s="1"/>
      <c r="T1614" s="1" t="s">
        <v>6043</v>
      </c>
      <c r="U1614" s="1"/>
      <c r="V1614" s="1">
        <v>557.0</v>
      </c>
      <c r="W1614" s="1">
        <v>557.0</v>
      </c>
      <c r="X1614" s="1" t="s">
        <v>35</v>
      </c>
      <c r="Y1614" s="1">
        <v>557000.0</v>
      </c>
      <c r="Z1614" s="1"/>
      <c r="AA1614" s="1">
        <v>557000.0</v>
      </c>
      <c r="AB1614" s="1"/>
      <c r="AC1614" s="1" t="s">
        <v>36</v>
      </c>
      <c r="AD1614" s="1" t="s">
        <v>6045</v>
      </c>
      <c r="AE1614" s="1" t="s">
        <v>32</v>
      </c>
      <c r="AF1614" s="1" t="s">
        <v>33</v>
      </c>
      <c r="AG1614" s="1" t="s">
        <v>127</v>
      </c>
    </row>
    <row r="1615" spans="1:33">
      <c r="A1615" t="s">
        <v>6046</v>
      </c>
      <c r="B1615" t="s">
        <v>6047</v>
      </c>
      <c r="C1615" t="s">
        <v>47</v>
      </c>
      <c r="E1615" t="s">
        <v>5469</v>
      </c>
      <c r="F1615" t="s">
        <v>1401</v>
      </c>
      <c r="G1615">
        <v>137.14</v>
      </c>
      <c r="H1615">
        <v>137.14</v>
      </c>
      <c r="I1615" t="s">
        <v>48</v>
      </c>
      <c r="J1615" t="s">
        <v>49</v>
      </c>
      <c r="K1615" t="s">
        <v>31</v>
      </c>
      <c r="L1615" t="s">
        <v>32</v>
      </c>
      <c r="M1615" t="s">
        <v>33</v>
      </c>
      <c r="P1615" s="1" t="s">
        <v>6048</v>
      </c>
      <c r="Q1615" s="1" t="s">
        <v>5469</v>
      </c>
      <c r="R1615" s="1" t="s">
        <v>5469</v>
      </c>
      <c r="S1615" s="1"/>
      <c r="T1615" s="1" t="s">
        <v>47</v>
      </c>
      <c r="U1615" s="1"/>
      <c r="V1615" s="1">
        <v>137.14</v>
      </c>
      <c r="W1615" s="1">
        <v>137.14</v>
      </c>
      <c r="X1615" s="1" t="s">
        <v>35</v>
      </c>
      <c r="Y1615" s="1">
        <v>137140.0</v>
      </c>
      <c r="Z1615" s="1"/>
      <c r="AA1615" s="1">
        <v>137140.0</v>
      </c>
      <c r="AB1615" s="1"/>
      <c r="AC1615" s="1" t="s">
        <v>36</v>
      </c>
      <c r="AD1615" s="1" t="s">
        <v>6049</v>
      </c>
      <c r="AE1615" s="1" t="s">
        <v>32</v>
      </c>
      <c r="AF1615" s="1" t="s">
        <v>33</v>
      </c>
      <c r="AG1615" s="1" t="s">
        <v>49</v>
      </c>
    </row>
    <row r="1616" spans="1:33">
      <c r="A1616" t="s">
        <v>6050</v>
      </c>
      <c r="C1616" t="s">
        <v>73</v>
      </c>
      <c r="E1616" t="s">
        <v>5469</v>
      </c>
      <c r="F1616" t="s">
        <v>1401</v>
      </c>
      <c r="G1616">
        <v>43.98</v>
      </c>
      <c r="H1616">
        <v>43.98</v>
      </c>
      <c r="I1616" t="s">
        <v>40</v>
      </c>
      <c r="J1616" t="s">
        <v>41</v>
      </c>
      <c r="K1616" t="s">
        <v>31</v>
      </c>
      <c r="L1616" t="s">
        <v>32</v>
      </c>
      <c r="M1616" t="s">
        <v>33</v>
      </c>
      <c r="P1616" s="1" t="s">
        <v>6051</v>
      </c>
      <c r="Q1616" s="1" t="s">
        <v>5469</v>
      </c>
      <c r="R1616" s="1" t="s">
        <v>4960</v>
      </c>
      <c r="S1616" s="1"/>
      <c r="T1616" s="1" t="s">
        <v>75</v>
      </c>
      <c r="U1616" s="1" t="s">
        <v>76</v>
      </c>
      <c r="V1616" s="1">
        <v>43.98</v>
      </c>
      <c r="W1616" s="1">
        <v>43.98</v>
      </c>
      <c r="X1616" s="1" t="s">
        <v>35</v>
      </c>
      <c r="Y1616" s="1">
        <v>43980.0</v>
      </c>
      <c r="Z1616" s="1"/>
      <c r="AA1616" s="1">
        <v>43980.0</v>
      </c>
      <c r="AB1616" s="1"/>
      <c r="AC1616" s="1" t="s">
        <v>36</v>
      </c>
      <c r="AD1616" s="1" t="s">
        <v>6010</v>
      </c>
      <c r="AE1616" s="1" t="s">
        <v>32</v>
      </c>
      <c r="AF1616" s="1" t="s">
        <v>33</v>
      </c>
      <c r="AG1616" s="1" t="s">
        <v>41</v>
      </c>
    </row>
    <row r="1617" spans="1:33">
      <c r="A1617" t="s">
        <v>6052</v>
      </c>
      <c r="C1617" t="s">
        <v>6053</v>
      </c>
      <c r="E1617" t="s">
        <v>5469</v>
      </c>
      <c r="F1617" t="s">
        <v>1401</v>
      </c>
      <c r="G1617">
        <v>406.68</v>
      </c>
      <c r="H1617">
        <v>406.68</v>
      </c>
      <c r="I1617" t="s">
        <v>179</v>
      </c>
      <c r="J1617" t="s">
        <v>180</v>
      </c>
      <c r="K1617" t="s">
        <v>31</v>
      </c>
      <c r="L1617" t="s">
        <v>32</v>
      </c>
      <c r="M1617" t="s">
        <v>33</v>
      </c>
      <c r="P1617" s="1" t="s">
        <v>6054</v>
      </c>
      <c r="Q1617" s="1" t="s">
        <v>5469</v>
      </c>
      <c r="R1617" s="1" t="s">
        <v>5469</v>
      </c>
      <c r="S1617" s="1"/>
      <c r="T1617" s="1" t="s">
        <v>6053</v>
      </c>
      <c r="U1617" s="1"/>
      <c r="V1617" s="1">
        <v>406.68</v>
      </c>
      <c r="W1617" s="1">
        <v>406.68</v>
      </c>
      <c r="X1617" s="1" t="s">
        <v>35</v>
      </c>
      <c r="Y1617" s="1">
        <v>406700.0</v>
      </c>
      <c r="Z1617" s="1">
        <v>-20</v>
      </c>
      <c r="AA1617" s="1">
        <v>406700.0</v>
      </c>
      <c r="AB1617" s="1">
        <v>-20</v>
      </c>
      <c r="AC1617" s="1" t="s">
        <v>36</v>
      </c>
      <c r="AD1617" s="1" t="s">
        <v>6055</v>
      </c>
      <c r="AE1617" s="1" t="s">
        <v>32</v>
      </c>
      <c r="AF1617" s="1" t="s">
        <v>33</v>
      </c>
      <c r="AG1617" s="1" t="s">
        <v>180</v>
      </c>
    </row>
    <row r="1618" spans="1:33">
      <c r="A1618" t="s">
        <v>6056</v>
      </c>
      <c r="C1618" t="s">
        <v>6057</v>
      </c>
      <c r="D1618" t="s">
        <v>154</v>
      </c>
      <c r="E1618" t="s">
        <v>5469</v>
      </c>
      <c r="F1618" t="s">
        <v>4961</v>
      </c>
      <c r="G1618">
        <v>655.0</v>
      </c>
      <c r="H1618">
        <v>655.0</v>
      </c>
      <c r="I1618" t="s">
        <v>179</v>
      </c>
      <c r="J1618" t="s">
        <v>180</v>
      </c>
      <c r="K1618" t="s">
        <v>31</v>
      </c>
      <c r="L1618" t="s">
        <v>32</v>
      </c>
      <c r="M1618" t="s">
        <v>33</v>
      </c>
      <c r="P1618" s="1" t="s">
        <v>6058</v>
      </c>
      <c r="Q1618" s="1" t="s">
        <v>5469</v>
      </c>
      <c r="R1618" s="1" t="s">
        <v>5469</v>
      </c>
      <c r="S1618" s="1"/>
      <c r="T1618" s="1" t="s">
        <v>6057</v>
      </c>
      <c r="U1618" s="1"/>
      <c r="V1618" s="1">
        <v>655.0</v>
      </c>
      <c r="W1618" s="1">
        <v>655.0</v>
      </c>
      <c r="X1618" s="1" t="s">
        <v>35</v>
      </c>
      <c r="Y1618" s="1">
        <v>655000.0</v>
      </c>
      <c r="Z1618" s="1"/>
      <c r="AA1618" s="1">
        <v>655000.0</v>
      </c>
      <c r="AB1618" s="1"/>
      <c r="AC1618" s="1" t="s">
        <v>36</v>
      </c>
      <c r="AD1618" s="1" t="s">
        <v>5927</v>
      </c>
      <c r="AE1618" s="1" t="s">
        <v>32</v>
      </c>
      <c r="AF1618" s="1" t="s">
        <v>33</v>
      </c>
      <c r="AG1618" s="1" t="s">
        <v>180</v>
      </c>
    </row>
    <row r="1619" spans="1:33">
      <c r="A1619" t="s">
        <v>6059</v>
      </c>
      <c r="C1619" t="s">
        <v>1739</v>
      </c>
      <c r="E1619" t="s">
        <v>5469</v>
      </c>
      <c r="F1619" t="s">
        <v>1401</v>
      </c>
      <c r="G1619">
        <v>320.0</v>
      </c>
      <c r="H1619">
        <v>320.0</v>
      </c>
      <c r="I1619" t="s">
        <v>48</v>
      </c>
      <c r="J1619" t="s">
        <v>49</v>
      </c>
      <c r="K1619" t="s">
        <v>31</v>
      </c>
      <c r="L1619" t="s">
        <v>32</v>
      </c>
      <c r="M1619" t="s">
        <v>33</v>
      </c>
      <c r="P1619" s="1" t="s">
        <v>6060</v>
      </c>
      <c r="Q1619" s="1" t="s">
        <v>5469</v>
      </c>
      <c r="R1619" s="1" t="s">
        <v>5469</v>
      </c>
      <c r="S1619" s="1"/>
      <c r="T1619" s="1" t="s">
        <v>1739</v>
      </c>
      <c r="U1619" s="1"/>
      <c r="V1619" s="1">
        <v>320.0</v>
      </c>
      <c r="W1619" s="1">
        <v>320.0</v>
      </c>
      <c r="X1619" s="1" t="s">
        <v>35</v>
      </c>
      <c r="Y1619" s="1">
        <v>320000.0</v>
      </c>
      <c r="Z1619" s="1"/>
      <c r="AA1619" s="1">
        <v>320000.0</v>
      </c>
      <c r="AB1619" s="1"/>
      <c r="AC1619" s="1" t="s">
        <v>36</v>
      </c>
      <c r="AD1619" s="1" t="s">
        <v>6061</v>
      </c>
      <c r="AE1619" s="1" t="s">
        <v>32</v>
      </c>
      <c r="AF1619" s="1" t="s">
        <v>33</v>
      </c>
      <c r="AG1619" s="1" t="s">
        <v>49</v>
      </c>
    </row>
    <row r="1620" spans="1:33">
      <c r="A1620" t="s">
        <v>6062</v>
      </c>
      <c r="B1620" t="s">
        <v>510</v>
      </c>
      <c r="C1620" t="s">
        <v>125</v>
      </c>
      <c r="E1620" t="s">
        <v>5469</v>
      </c>
      <c r="F1620" t="s">
        <v>1401</v>
      </c>
      <c r="G1620">
        <v>80.98</v>
      </c>
      <c r="H1620">
        <v>80.98</v>
      </c>
      <c r="I1620" t="s">
        <v>126</v>
      </c>
      <c r="J1620" t="s">
        <v>127</v>
      </c>
      <c r="K1620" t="s">
        <v>31</v>
      </c>
      <c r="L1620" t="s">
        <v>32</v>
      </c>
      <c r="M1620" t="s">
        <v>33</v>
      </c>
      <c r="P1620" s="1" t="s">
        <v>6063</v>
      </c>
      <c r="Q1620" s="1" t="s">
        <v>5469</v>
      </c>
      <c r="R1620" s="1" t="s">
        <v>5469</v>
      </c>
      <c r="S1620" s="1"/>
      <c r="T1620" s="1" t="s">
        <v>125</v>
      </c>
      <c r="U1620" s="1"/>
      <c r="V1620" s="1">
        <v>80.98</v>
      </c>
      <c r="W1620" s="1">
        <v>80.98</v>
      </c>
      <c r="X1620" s="1" t="s">
        <v>35</v>
      </c>
      <c r="Y1620" s="1">
        <v>80980.0</v>
      </c>
      <c r="Z1620" s="1"/>
      <c r="AA1620" s="1">
        <v>80980.0</v>
      </c>
      <c r="AB1620" s="1"/>
      <c r="AC1620" s="1" t="s">
        <v>36</v>
      </c>
      <c r="AD1620" s="1" t="s">
        <v>6064</v>
      </c>
      <c r="AE1620" s="1" t="s">
        <v>32</v>
      </c>
      <c r="AF1620" s="1" t="s">
        <v>33</v>
      </c>
      <c r="AG1620" s="1" t="s">
        <v>127</v>
      </c>
    </row>
    <row r="1621" spans="1:33">
      <c r="A1621" t="s">
        <v>6065</v>
      </c>
      <c r="B1621" t="s">
        <v>6066</v>
      </c>
      <c r="C1621" t="s">
        <v>68</v>
      </c>
      <c r="E1621" t="s">
        <v>5469</v>
      </c>
      <c r="F1621" t="s">
        <v>1401</v>
      </c>
      <c r="G1621">
        <v>4.598</v>
      </c>
      <c r="H1621">
        <v>4.598</v>
      </c>
      <c r="I1621" t="s">
        <v>59</v>
      </c>
      <c r="J1621" t="s">
        <v>60</v>
      </c>
      <c r="K1621" t="s">
        <v>31</v>
      </c>
      <c r="L1621" t="s">
        <v>32</v>
      </c>
      <c r="M1621" t="s">
        <v>33</v>
      </c>
      <c r="P1621" s="1" t="s">
        <v>6067</v>
      </c>
      <c r="Q1621" s="1" t="s">
        <v>5469</v>
      </c>
      <c r="R1621" s="1" t="s">
        <v>5469</v>
      </c>
      <c r="S1621" s="1"/>
      <c r="T1621" s="1" t="s">
        <v>68</v>
      </c>
      <c r="U1621" s="1"/>
      <c r="V1621" s="1">
        <v>4.598</v>
      </c>
      <c r="W1621" s="1">
        <v>4.598</v>
      </c>
      <c r="X1621" s="1" t="s">
        <v>35</v>
      </c>
      <c r="Y1621" s="1">
        <v>4598.0</v>
      </c>
      <c r="Z1621" s="1"/>
      <c r="AA1621" s="1">
        <v>4598.0</v>
      </c>
      <c r="AB1621" s="1"/>
      <c r="AC1621" s="1" t="s">
        <v>36</v>
      </c>
      <c r="AD1621" s="1" t="s">
        <v>6068</v>
      </c>
      <c r="AE1621" s="1" t="s">
        <v>32</v>
      </c>
      <c r="AF1621" s="1" t="s">
        <v>33</v>
      </c>
      <c r="AG1621" s="1" t="s">
        <v>60</v>
      </c>
    </row>
    <row r="1622" spans="1:33">
      <c r="A1622" t="s">
        <v>6069</v>
      </c>
      <c r="C1622" t="s">
        <v>827</v>
      </c>
      <c r="D1622" t="s">
        <v>154</v>
      </c>
      <c r="E1622" t="s">
        <v>5469</v>
      </c>
      <c r="F1622" t="s">
        <v>1401</v>
      </c>
      <c r="G1622">
        <v>20.0</v>
      </c>
      <c r="H1622">
        <v>20.0</v>
      </c>
      <c r="I1622" t="s">
        <v>269</v>
      </c>
      <c r="J1622" t="s">
        <v>270</v>
      </c>
      <c r="K1622" t="s">
        <v>31</v>
      </c>
      <c r="L1622" t="s">
        <v>32</v>
      </c>
      <c r="M1622" t="s">
        <v>33</v>
      </c>
      <c r="P1622" s="1" t="s">
        <v>6070</v>
      </c>
      <c r="Q1622" s="1" t="s">
        <v>5469</v>
      </c>
      <c r="R1622" s="1" t="s">
        <v>5469</v>
      </c>
      <c r="S1622" s="1"/>
      <c r="T1622" s="1" t="s">
        <v>827</v>
      </c>
      <c r="U1622" s="1"/>
      <c r="V1622" s="1">
        <v>20.0</v>
      </c>
      <c r="W1622" s="1">
        <v>20.0</v>
      </c>
      <c r="X1622" s="1" t="s">
        <v>35</v>
      </c>
      <c r="Y1622" s="1">
        <v>20000.0</v>
      </c>
      <c r="Z1622" s="1"/>
      <c r="AA1622" s="1">
        <v>20000.0</v>
      </c>
      <c r="AB1622" s="1"/>
      <c r="AC1622" s="1" t="s">
        <v>36</v>
      </c>
      <c r="AD1622" s="1" t="s">
        <v>6068</v>
      </c>
      <c r="AE1622" s="1" t="s">
        <v>32</v>
      </c>
      <c r="AF1622" s="1" t="s">
        <v>33</v>
      </c>
      <c r="AG1622" s="1" t="s">
        <v>270</v>
      </c>
    </row>
    <row r="1623" spans="1:33">
      <c r="A1623" t="s">
        <v>6071</v>
      </c>
      <c r="C1623" t="s">
        <v>6072</v>
      </c>
      <c r="E1623" t="s">
        <v>5469</v>
      </c>
      <c r="F1623" t="s">
        <v>1401</v>
      </c>
      <c r="G1623">
        <v>617.0</v>
      </c>
      <c r="H1623">
        <v>617.0</v>
      </c>
      <c r="I1623" t="s">
        <v>40</v>
      </c>
      <c r="J1623" t="s">
        <v>41</v>
      </c>
      <c r="K1623" t="s">
        <v>31</v>
      </c>
      <c r="L1623" t="s">
        <v>32</v>
      </c>
      <c r="M1623" t="s">
        <v>33</v>
      </c>
      <c r="P1623" s="1" t="s">
        <v>6073</v>
      </c>
      <c r="Q1623" s="1" t="s">
        <v>5469</v>
      </c>
      <c r="R1623" s="1" t="s">
        <v>4960</v>
      </c>
      <c r="S1623" s="1"/>
      <c r="T1623" s="1" t="s">
        <v>6072</v>
      </c>
      <c r="U1623" s="1"/>
      <c r="V1623" s="1">
        <v>617.0</v>
      </c>
      <c r="W1623" s="1">
        <v>617.0</v>
      </c>
      <c r="X1623" s="1" t="s">
        <v>35</v>
      </c>
      <c r="Y1623" s="1">
        <v>617000.0</v>
      </c>
      <c r="Z1623" s="1"/>
      <c r="AA1623" s="1">
        <v>617000.0</v>
      </c>
      <c r="AB1623" s="1"/>
      <c r="AC1623" s="1" t="s">
        <v>36</v>
      </c>
      <c r="AD1623" s="1" t="s">
        <v>6074</v>
      </c>
      <c r="AE1623" s="1" t="s">
        <v>32</v>
      </c>
      <c r="AF1623" s="1" t="s">
        <v>33</v>
      </c>
      <c r="AG1623" s="1" t="s">
        <v>41</v>
      </c>
    </row>
    <row r="1624" spans="1:33">
      <c r="A1624" t="s">
        <v>6075</v>
      </c>
      <c r="C1624" t="s">
        <v>6076</v>
      </c>
      <c r="E1624" t="s">
        <v>5469</v>
      </c>
      <c r="F1624" t="s">
        <v>1401</v>
      </c>
      <c r="G1624">
        <v>2.659</v>
      </c>
      <c r="H1624">
        <v>2.659</v>
      </c>
      <c r="I1624" t="s">
        <v>48</v>
      </c>
      <c r="J1624" t="s">
        <v>49</v>
      </c>
      <c r="K1624" t="s">
        <v>31</v>
      </c>
      <c r="L1624" t="s">
        <v>32</v>
      </c>
      <c r="M1624" t="s">
        <v>33</v>
      </c>
      <c r="P1624" s="1" t="s">
        <v>6077</v>
      </c>
      <c r="Q1624" s="1" t="s">
        <v>5469</v>
      </c>
      <c r="R1624" s="1" t="s">
        <v>5469</v>
      </c>
      <c r="S1624" s="1"/>
      <c r="T1624" s="1" t="s">
        <v>6076</v>
      </c>
      <c r="U1624" s="1"/>
      <c r="V1624" s="1">
        <v>2.659</v>
      </c>
      <c r="W1624" s="1">
        <v>2.659</v>
      </c>
      <c r="X1624" s="1" t="s">
        <v>35</v>
      </c>
      <c r="Y1624" s="1">
        <v>2659000.0</v>
      </c>
      <c r="Z1624" s="1"/>
      <c r="AA1624" s="1">
        <v>2659000.0</v>
      </c>
      <c r="AB1624" s="1"/>
      <c r="AC1624" s="1" t="s">
        <v>36</v>
      </c>
      <c r="AD1624" s="1" t="s">
        <v>6078</v>
      </c>
      <c r="AE1624" s="1" t="s">
        <v>32</v>
      </c>
      <c r="AF1624" s="1" t="s">
        <v>33</v>
      </c>
      <c r="AG1624" s="1" t="s">
        <v>49</v>
      </c>
    </row>
    <row r="1625" spans="1:33">
      <c r="A1625" t="s">
        <v>6079</v>
      </c>
      <c r="B1625" t="s">
        <v>6080</v>
      </c>
      <c r="C1625" t="s">
        <v>314</v>
      </c>
      <c r="E1625" t="s">
        <v>5469</v>
      </c>
      <c r="F1625" t="s">
        <v>1401</v>
      </c>
      <c r="G1625">
        <v>14.296</v>
      </c>
      <c r="H1625">
        <v>14.296</v>
      </c>
      <c r="I1625" t="s">
        <v>179</v>
      </c>
      <c r="J1625" t="s">
        <v>180</v>
      </c>
      <c r="K1625" t="s">
        <v>31</v>
      </c>
      <c r="L1625" t="s">
        <v>32</v>
      </c>
      <c r="M1625" t="s">
        <v>33</v>
      </c>
      <c r="P1625" s="1" t="s">
        <v>6081</v>
      </c>
      <c r="Q1625" s="1" t="s">
        <v>5469</v>
      </c>
      <c r="R1625" s="1" t="s">
        <v>5469</v>
      </c>
      <c r="S1625" s="1"/>
      <c r="T1625" s="1" t="s">
        <v>314</v>
      </c>
      <c r="U1625" s="1"/>
      <c r="V1625" s="1">
        <v>14.296</v>
      </c>
      <c r="W1625" s="1">
        <v>14.296</v>
      </c>
      <c r="X1625" s="1" t="s">
        <v>35</v>
      </c>
      <c r="Y1625" s="1">
        <v>14296.0</v>
      </c>
      <c r="Z1625" s="1"/>
      <c r="AA1625" s="1">
        <v>14296.0</v>
      </c>
      <c r="AB1625" s="1"/>
      <c r="AC1625" s="1" t="s">
        <v>36</v>
      </c>
      <c r="AD1625" s="1" t="s">
        <v>6082</v>
      </c>
      <c r="AE1625" s="1" t="s">
        <v>32</v>
      </c>
      <c r="AF1625" s="1" t="s">
        <v>33</v>
      </c>
      <c r="AG1625" s="1" t="s">
        <v>180</v>
      </c>
    </row>
    <row r="1626" spans="1:33">
      <c r="A1626" t="s">
        <v>6083</v>
      </c>
      <c r="C1626" t="s">
        <v>2061</v>
      </c>
      <c r="D1626" t="s">
        <v>154</v>
      </c>
      <c r="E1626" t="s">
        <v>5469</v>
      </c>
      <c r="F1626" t="s">
        <v>1401</v>
      </c>
      <c r="G1626">
        <v>328.0</v>
      </c>
      <c r="H1626">
        <v>328.0</v>
      </c>
      <c r="I1626" t="s">
        <v>269</v>
      </c>
      <c r="J1626" t="s">
        <v>270</v>
      </c>
      <c r="K1626" t="s">
        <v>31</v>
      </c>
      <c r="L1626" t="s">
        <v>32</v>
      </c>
      <c r="M1626" t="s">
        <v>33</v>
      </c>
      <c r="P1626" s="1" t="s">
        <v>6084</v>
      </c>
      <c r="Q1626" s="1" t="s">
        <v>5469</v>
      </c>
      <c r="R1626" s="1" t="s">
        <v>5469</v>
      </c>
      <c r="S1626" s="1"/>
      <c r="T1626" s="1" t="s">
        <v>2061</v>
      </c>
      <c r="U1626" s="1"/>
      <c r="V1626" s="1">
        <v>328.0</v>
      </c>
      <c r="W1626" s="1">
        <v>328.0</v>
      </c>
      <c r="X1626" s="1" t="s">
        <v>35</v>
      </c>
      <c r="Y1626" s="1">
        <v>328000.0</v>
      </c>
      <c r="Z1626" s="1"/>
      <c r="AA1626" s="1">
        <v>328000.0</v>
      </c>
      <c r="AB1626" s="1"/>
      <c r="AC1626" s="1" t="s">
        <v>36</v>
      </c>
      <c r="AD1626" s="1" t="s">
        <v>6085</v>
      </c>
      <c r="AE1626" s="1" t="s">
        <v>32</v>
      </c>
      <c r="AF1626" s="1" t="s">
        <v>33</v>
      </c>
      <c r="AG1626" s="1" t="s">
        <v>270</v>
      </c>
    </row>
    <row r="1627" spans="1:33">
      <c r="A1627" t="s">
        <v>6086</v>
      </c>
      <c r="C1627" t="s">
        <v>73</v>
      </c>
      <c r="E1627" t="s">
        <v>5469</v>
      </c>
      <c r="F1627" t="s">
        <v>1401</v>
      </c>
      <c r="G1627">
        <v>18.505</v>
      </c>
      <c r="H1627">
        <v>18.505</v>
      </c>
      <c r="I1627" t="s">
        <v>40</v>
      </c>
      <c r="J1627" t="s">
        <v>41</v>
      </c>
      <c r="K1627" t="s">
        <v>31</v>
      </c>
      <c r="L1627" t="s">
        <v>32</v>
      </c>
      <c r="M1627" t="s">
        <v>33</v>
      </c>
      <c r="P1627" s="1" t="s">
        <v>6087</v>
      </c>
      <c r="Q1627" s="1" t="s">
        <v>5469</v>
      </c>
      <c r="R1627" s="1" t="s">
        <v>4960</v>
      </c>
      <c r="S1627" s="1"/>
      <c r="T1627" s="1" t="s">
        <v>75</v>
      </c>
      <c r="U1627" s="1" t="s">
        <v>76</v>
      </c>
      <c r="V1627" s="1">
        <v>18.505</v>
      </c>
      <c r="W1627" s="1">
        <v>18.505</v>
      </c>
      <c r="X1627" s="1" t="s">
        <v>35</v>
      </c>
      <c r="Y1627" s="1">
        <v>18505.0</v>
      </c>
      <c r="Z1627" s="1"/>
      <c r="AA1627" s="1">
        <v>18505.0</v>
      </c>
      <c r="AB1627" s="1"/>
      <c r="AC1627" s="1" t="s">
        <v>36</v>
      </c>
      <c r="AD1627" s="1" t="s">
        <v>6088</v>
      </c>
      <c r="AE1627" s="1" t="s">
        <v>32</v>
      </c>
      <c r="AF1627" s="1" t="s">
        <v>33</v>
      </c>
      <c r="AG1627" s="1" t="s">
        <v>41</v>
      </c>
    </row>
    <row r="1628" spans="1:33">
      <c r="A1628" t="s">
        <v>6089</v>
      </c>
      <c r="C1628" t="s">
        <v>338</v>
      </c>
      <c r="E1628" t="s">
        <v>5469</v>
      </c>
      <c r="F1628" t="s">
        <v>1401</v>
      </c>
      <c r="G1628">
        <v>1.043</v>
      </c>
      <c r="H1628">
        <v>1.043</v>
      </c>
      <c r="I1628" t="s">
        <v>179</v>
      </c>
      <c r="J1628" t="s">
        <v>180</v>
      </c>
      <c r="K1628" t="s">
        <v>31</v>
      </c>
      <c r="L1628" t="s">
        <v>32</v>
      </c>
      <c r="M1628" t="s">
        <v>33</v>
      </c>
      <c r="P1628" s="1" t="s">
        <v>6090</v>
      </c>
      <c r="Q1628" s="1" t="s">
        <v>5469</v>
      </c>
      <c r="R1628" s="1" t="s">
        <v>5469</v>
      </c>
      <c r="S1628" s="1"/>
      <c r="T1628" s="1" t="s">
        <v>338</v>
      </c>
      <c r="U1628" s="1"/>
      <c r="V1628" s="1">
        <v>1.043</v>
      </c>
      <c r="W1628" s="1">
        <v>1.043</v>
      </c>
      <c r="X1628" s="1" t="s">
        <v>35</v>
      </c>
      <c r="Y1628" s="1">
        <v>1043500.0</v>
      </c>
      <c r="Z1628" s="1"/>
      <c r="AA1628" s="1">
        <v>1043500.0</v>
      </c>
      <c r="AB1628" s="1"/>
      <c r="AC1628" s="1" t="s">
        <v>36</v>
      </c>
      <c r="AD1628" s="1" t="s">
        <v>6091</v>
      </c>
      <c r="AE1628" s="1" t="s">
        <v>32</v>
      </c>
      <c r="AF1628" s="1" t="s">
        <v>33</v>
      </c>
      <c r="AG1628" s="1" t="s">
        <v>180</v>
      </c>
    </row>
    <row r="1629" spans="1:33">
      <c r="A1629" t="s">
        <v>6092</v>
      </c>
      <c r="B1629" t="s">
        <v>206</v>
      </c>
      <c r="C1629" t="s">
        <v>207</v>
      </c>
      <c r="E1629" t="s">
        <v>5469</v>
      </c>
      <c r="F1629" t="s">
        <v>1401</v>
      </c>
      <c r="G1629">
        <v>733.0</v>
      </c>
      <c r="H1629">
        <v>733.0</v>
      </c>
      <c r="I1629" t="s">
        <v>59</v>
      </c>
      <c r="J1629" t="s">
        <v>60</v>
      </c>
      <c r="K1629" t="s">
        <v>31</v>
      </c>
      <c r="L1629" t="s">
        <v>32</v>
      </c>
      <c r="M1629" t="s">
        <v>33</v>
      </c>
      <c r="P1629" s="1" t="s">
        <v>6093</v>
      </c>
      <c r="Q1629" s="1" t="s">
        <v>5469</v>
      </c>
      <c r="R1629" s="1" t="s">
        <v>5469</v>
      </c>
      <c r="S1629" s="1"/>
      <c r="T1629" s="1" t="s">
        <v>207</v>
      </c>
      <c r="U1629" s="1"/>
      <c r="V1629" s="1">
        <v>733.0</v>
      </c>
      <c r="W1629" s="1">
        <v>733.0</v>
      </c>
      <c r="X1629" s="1" t="s">
        <v>35</v>
      </c>
      <c r="Y1629" s="1">
        <v>733000.0</v>
      </c>
      <c r="Z1629" s="1"/>
      <c r="AA1629" s="1">
        <v>733000.0</v>
      </c>
      <c r="AB1629" s="1"/>
      <c r="AC1629" s="1" t="s">
        <v>36</v>
      </c>
      <c r="AD1629" s="1" t="s">
        <v>6094</v>
      </c>
      <c r="AE1629" s="1" t="s">
        <v>32</v>
      </c>
      <c r="AF1629" s="1" t="s">
        <v>33</v>
      </c>
      <c r="AG1629" s="1" t="s">
        <v>60</v>
      </c>
    </row>
    <row r="1630" spans="1:33">
      <c r="A1630" t="s">
        <v>6095</v>
      </c>
      <c r="C1630" t="s">
        <v>797</v>
      </c>
      <c r="D1630" t="s">
        <v>798</v>
      </c>
      <c r="E1630" t="s">
        <v>5469</v>
      </c>
      <c r="F1630" t="s">
        <v>1401</v>
      </c>
      <c r="G1630">
        <v>1.883</v>
      </c>
      <c r="H1630">
        <v>1.883</v>
      </c>
      <c r="I1630" t="s">
        <v>136</v>
      </c>
      <c r="J1630" t="s">
        <v>137</v>
      </c>
      <c r="K1630" t="s">
        <v>31</v>
      </c>
      <c r="L1630" t="s">
        <v>32</v>
      </c>
      <c r="M1630" t="s">
        <v>33</v>
      </c>
      <c r="P1630" s="1" t="s">
        <v>6096</v>
      </c>
      <c r="Q1630" s="1" t="s">
        <v>5469</v>
      </c>
      <c r="R1630" s="1" t="s">
        <v>5469</v>
      </c>
      <c r="S1630" s="1"/>
      <c r="T1630" s="1" t="s">
        <v>797</v>
      </c>
      <c r="U1630" s="1"/>
      <c r="V1630" s="1">
        <v>1.883</v>
      </c>
      <c r="W1630" s="1">
        <v>1.883</v>
      </c>
      <c r="X1630" s="1" t="s">
        <v>35</v>
      </c>
      <c r="Y1630" s="1">
        <v>1883000.0</v>
      </c>
      <c r="Z1630" s="1"/>
      <c r="AA1630" s="1">
        <v>1883000.0</v>
      </c>
      <c r="AB1630" s="1"/>
      <c r="AC1630" s="1" t="s">
        <v>36</v>
      </c>
      <c r="AD1630" s="1" t="s">
        <v>6097</v>
      </c>
      <c r="AE1630" s="1" t="s">
        <v>32</v>
      </c>
      <c r="AF1630" s="1" t="s">
        <v>33</v>
      </c>
      <c r="AG1630" s="1" t="s">
        <v>137</v>
      </c>
    </row>
    <row r="1631" spans="1:33">
      <c r="A1631" t="s">
        <v>6098</v>
      </c>
      <c r="C1631" t="s">
        <v>6099</v>
      </c>
      <c r="E1631" t="s">
        <v>5469</v>
      </c>
      <c r="F1631" t="s">
        <v>1401</v>
      </c>
      <c r="G1631">
        <v>370.0</v>
      </c>
      <c r="H1631">
        <v>370.0</v>
      </c>
      <c r="I1631" t="s">
        <v>179</v>
      </c>
      <c r="J1631" t="s">
        <v>180</v>
      </c>
      <c r="K1631" t="s">
        <v>31</v>
      </c>
      <c r="L1631" t="s">
        <v>32</v>
      </c>
      <c r="M1631" t="s">
        <v>33</v>
      </c>
      <c r="P1631" s="1" t="s">
        <v>6100</v>
      </c>
      <c r="Q1631" s="1" t="s">
        <v>5469</v>
      </c>
      <c r="R1631" s="1" t="s">
        <v>5469</v>
      </c>
      <c r="S1631" s="1"/>
      <c r="T1631" s="1" t="s">
        <v>6099</v>
      </c>
      <c r="U1631" s="1"/>
      <c r="V1631" s="1">
        <v>370.0</v>
      </c>
      <c r="W1631" s="1">
        <v>370.0</v>
      </c>
      <c r="X1631" s="1" t="s">
        <v>35</v>
      </c>
      <c r="Y1631" s="1">
        <v>370000.0</v>
      </c>
      <c r="Z1631" s="1"/>
      <c r="AA1631" s="1">
        <v>370000.0</v>
      </c>
      <c r="AB1631" s="1"/>
      <c r="AC1631" s="1" t="s">
        <v>36</v>
      </c>
      <c r="AD1631" s="1" t="s">
        <v>6101</v>
      </c>
      <c r="AE1631" s="1" t="s">
        <v>32</v>
      </c>
      <c r="AF1631" s="1" t="s">
        <v>33</v>
      </c>
      <c r="AG1631" s="1" t="s">
        <v>180</v>
      </c>
    </row>
    <row r="1632" spans="1:33">
      <c r="A1632" t="s">
        <v>6102</v>
      </c>
      <c r="C1632" t="s">
        <v>2240</v>
      </c>
      <c r="E1632" t="s">
        <v>5469</v>
      </c>
      <c r="F1632" t="s">
        <v>1401</v>
      </c>
      <c r="G1632">
        <v>716.0</v>
      </c>
      <c r="H1632">
        <v>716.0</v>
      </c>
      <c r="I1632" t="s">
        <v>269</v>
      </c>
      <c r="J1632" t="s">
        <v>270</v>
      </c>
      <c r="K1632" t="s">
        <v>31</v>
      </c>
      <c r="L1632" t="s">
        <v>32</v>
      </c>
      <c r="M1632" t="s">
        <v>33</v>
      </c>
      <c r="P1632" s="1" t="s">
        <v>6103</v>
      </c>
      <c r="Q1632" s="1" t="s">
        <v>5469</v>
      </c>
      <c r="R1632" s="1" t="s">
        <v>5469</v>
      </c>
      <c r="S1632" s="1"/>
      <c r="T1632" s="1" t="s">
        <v>2240</v>
      </c>
      <c r="U1632" s="1"/>
      <c r="V1632" s="1">
        <v>716.0</v>
      </c>
      <c r="W1632" s="1">
        <v>716.0</v>
      </c>
      <c r="X1632" s="1" t="s">
        <v>35</v>
      </c>
      <c r="Y1632" s="1">
        <v>716000.0</v>
      </c>
      <c r="Z1632" s="1"/>
      <c r="AA1632" s="1">
        <v>716000.0</v>
      </c>
      <c r="AB1632" s="1"/>
      <c r="AC1632" s="1" t="s">
        <v>36</v>
      </c>
      <c r="AD1632" s="1" t="s">
        <v>6104</v>
      </c>
      <c r="AE1632" s="1" t="s">
        <v>32</v>
      </c>
      <c r="AF1632" s="1" t="s">
        <v>33</v>
      </c>
      <c r="AG1632" s="1" t="s">
        <v>270</v>
      </c>
    </row>
    <row r="1633" spans="1:33">
      <c r="A1633" t="s">
        <v>6105</v>
      </c>
      <c r="C1633" t="s">
        <v>145</v>
      </c>
      <c r="E1633" t="s">
        <v>5469</v>
      </c>
      <c r="F1633" t="s">
        <v>1401</v>
      </c>
      <c r="G1633">
        <v>807.95</v>
      </c>
      <c r="H1633">
        <v>807.95</v>
      </c>
      <c r="I1633" t="s">
        <v>136</v>
      </c>
      <c r="J1633" t="s">
        <v>137</v>
      </c>
      <c r="K1633" t="s">
        <v>31</v>
      </c>
      <c r="L1633" t="s">
        <v>32</v>
      </c>
      <c r="M1633" t="s">
        <v>33</v>
      </c>
      <c r="P1633" s="1" t="s">
        <v>6106</v>
      </c>
      <c r="Q1633" s="1" t="s">
        <v>5469</v>
      </c>
      <c r="R1633" s="1" t="s">
        <v>5469</v>
      </c>
      <c r="S1633" s="1"/>
      <c r="T1633" s="1" t="s">
        <v>145</v>
      </c>
      <c r="U1633" s="1"/>
      <c r="V1633" s="1">
        <v>807.95</v>
      </c>
      <c r="W1633" s="1">
        <v>807.95</v>
      </c>
      <c r="X1633" s="1" t="s">
        <v>35</v>
      </c>
      <c r="Y1633" s="1">
        <v>807950.0</v>
      </c>
      <c r="Z1633" s="1"/>
      <c r="AA1633" s="1">
        <v>807950.0</v>
      </c>
      <c r="AB1633" s="1"/>
      <c r="AC1633" s="1" t="s">
        <v>36</v>
      </c>
      <c r="AD1633" s="1" t="s">
        <v>6107</v>
      </c>
      <c r="AE1633" s="1" t="s">
        <v>32</v>
      </c>
      <c r="AF1633" s="1" t="s">
        <v>33</v>
      </c>
      <c r="AG1633" s="1" t="s">
        <v>137</v>
      </c>
    </row>
    <row r="1634" spans="1:33">
      <c r="A1634" t="s">
        <v>6108</v>
      </c>
      <c r="B1634" t="s">
        <v>3108</v>
      </c>
      <c r="C1634" t="s">
        <v>314</v>
      </c>
      <c r="E1634" t="s">
        <v>5469</v>
      </c>
      <c r="F1634" t="s">
        <v>1401</v>
      </c>
      <c r="G1634">
        <v>18.59</v>
      </c>
      <c r="H1634">
        <v>18.59</v>
      </c>
      <c r="I1634" t="s">
        <v>179</v>
      </c>
      <c r="J1634" t="s">
        <v>180</v>
      </c>
      <c r="K1634" t="s">
        <v>31</v>
      </c>
      <c r="L1634" t="s">
        <v>32</v>
      </c>
      <c r="M1634" t="s">
        <v>33</v>
      </c>
      <c r="P1634" s="1" t="s">
        <v>6109</v>
      </c>
      <c r="Q1634" s="1" t="s">
        <v>5469</v>
      </c>
      <c r="R1634" s="1" t="s">
        <v>5469</v>
      </c>
      <c r="S1634" s="1"/>
      <c r="T1634" s="1" t="s">
        <v>314</v>
      </c>
      <c r="U1634" s="1"/>
      <c r="V1634" s="1">
        <v>18.59</v>
      </c>
      <c r="W1634" s="1">
        <v>18.59</v>
      </c>
      <c r="X1634" s="1" t="s">
        <v>35</v>
      </c>
      <c r="Y1634" s="1">
        <v>18590.0</v>
      </c>
      <c r="Z1634" s="1"/>
      <c r="AA1634" s="1">
        <v>18590.0</v>
      </c>
      <c r="AB1634" s="1"/>
      <c r="AC1634" s="1" t="s">
        <v>36</v>
      </c>
      <c r="AD1634" s="1" t="s">
        <v>6110</v>
      </c>
      <c r="AE1634" s="1" t="s">
        <v>32</v>
      </c>
      <c r="AF1634" s="1" t="s">
        <v>33</v>
      </c>
      <c r="AG1634" s="1" t="s">
        <v>180</v>
      </c>
    </row>
    <row r="1635" spans="1:33">
      <c r="A1635" t="s">
        <v>6111</v>
      </c>
      <c r="C1635" t="s">
        <v>763</v>
      </c>
      <c r="E1635" t="s">
        <v>5469</v>
      </c>
      <c r="F1635" t="s">
        <v>4961</v>
      </c>
      <c r="G1635">
        <v>668.8</v>
      </c>
      <c r="H1635">
        <v>668.8</v>
      </c>
      <c r="I1635" t="s">
        <v>179</v>
      </c>
      <c r="J1635" t="s">
        <v>180</v>
      </c>
      <c r="K1635" t="s">
        <v>31</v>
      </c>
      <c r="L1635" t="s">
        <v>32</v>
      </c>
      <c r="M1635" t="s">
        <v>33</v>
      </c>
      <c r="P1635" s="1" t="s">
        <v>6112</v>
      </c>
      <c r="Q1635" s="1" t="s">
        <v>5469</v>
      </c>
      <c r="R1635" s="1" t="s">
        <v>5469</v>
      </c>
      <c r="S1635" s="1"/>
      <c r="T1635" s="1" t="s">
        <v>763</v>
      </c>
      <c r="U1635" s="1"/>
      <c r="V1635" s="1">
        <v>668.8</v>
      </c>
      <c r="W1635" s="1">
        <v>668.8</v>
      </c>
      <c r="X1635" s="1" t="s">
        <v>35</v>
      </c>
      <c r="Y1635" s="1">
        <v>668800.0</v>
      </c>
      <c r="Z1635" s="1"/>
      <c r="AA1635" s="1">
        <v>668800.0</v>
      </c>
      <c r="AB1635" s="1"/>
      <c r="AC1635" s="1" t="s">
        <v>36</v>
      </c>
      <c r="AD1635" s="1" t="s">
        <v>6113</v>
      </c>
      <c r="AE1635" s="1" t="s">
        <v>32</v>
      </c>
      <c r="AF1635" s="1" t="s">
        <v>33</v>
      </c>
      <c r="AG1635" s="1" t="s">
        <v>180</v>
      </c>
    </row>
    <row r="1636" spans="1:33">
      <c r="A1636" t="s">
        <v>6114</v>
      </c>
      <c r="C1636" t="s">
        <v>6115</v>
      </c>
      <c r="D1636" t="s">
        <v>154</v>
      </c>
      <c r="E1636" t="s">
        <v>5469</v>
      </c>
      <c r="F1636" t="s">
        <v>1401</v>
      </c>
      <c r="G1636">
        <v>787.5</v>
      </c>
      <c r="H1636">
        <v>787.5</v>
      </c>
      <c r="I1636" t="s">
        <v>126</v>
      </c>
      <c r="J1636" t="s">
        <v>127</v>
      </c>
      <c r="K1636" t="s">
        <v>31</v>
      </c>
      <c r="L1636" t="s">
        <v>32</v>
      </c>
      <c r="M1636" t="s">
        <v>33</v>
      </c>
      <c r="P1636" s="1" t="s">
        <v>6116</v>
      </c>
      <c r="Q1636" s="1" t="s">
        <v>5469</v>
      </c>
      <c r="R1636" s="1" t="s">
        <v>5469</v>
      </c>
      <c r="S1636" s="1"/>
      <c r="T1636" s="1" t="s">
        <v>6117</v>
      </c>
      <c r="U1636" s="1" t="s">
        <v>6118</v>
      </c>
      <c r="V1636" s="1">
        <v>787.5</v>
      </c>
      <c r="W1636" s="1">
        <v>787.5</v>
      </c>
      <c r="X1636" s="1" t="s">
        <v>35</v>
      </c>
      <c r="Y1636" s="1">
        <v>787500.0</v>
      </c>
      <c r="Z1636" s="1"/>
      <c r="AA1636" s="1">
        <v>787500.0</v>
      </c>
      <c r="AB1636" s="1"/>
      <c r="AC1636" s="1" t="s">
        <v>36</v>
      </c>
      <c r="AD1636" s="1" t="s">
        <v>6119</v>
      </c>
      <c r="AE1636" s="1" t="s">
        <v>32</v>
      </c>
      <c r="AF1636" s="1" t="s">
        <v>33</v>
      </c>
      <c r="AG1636" s="1" t="s">
        <v>127</v>
      </c>
    </row>
    <row r="1637" spans="1:33">
      <c r="A1637" t="s">
        <v>6120</v>
      </c>
      <c r="C1637" t="s">
        <v>1739</v>
      </c>
      <c r="E1637" t="s">
        <v>5469</v>
      </c>
      <c r="F1637" t="s">
        <v>1401</v>
      </c>
      <c r="G1637">
        <v>320.0</v>
      </c>
      <c r="H1637">
        <v>320.0</v>
      </c>
      <c r="I1637" t="s">
        <v>48</v>
      </c>
      <c r="J1637" t="s">
        <v>49</v>
      </c>
      <c r="K1637" t="s">
        <v>31</v>
      </c>
      <c r="L1637" t="s">
        <v>32</v>
      </c>
      <c r="M1637" t="s">
        <v>33</v>
      </c>
      <c r="P1637" s="1" t="s">
        <v>6121</v>
      </c>
      <c r="Q1637" s="1" t="s">
        <v>5469</v>
      </c>
      <c r="R1637" s="1" t="s">
        <v>5469</v>
      </c>
      <c r="S1637" s="1"/>
      <c r="T1637" s="1" t="s">
        <v>1739</v>
      </c>
      <c r="U1637" s="1"/>
      <c r="V1637" s="1">
        <v>320.0</v>
      </c>
      <c r="W1637" s="1">
        <v>320.0</v>
      </c>
      <c r="X1637" s="1" t="s">
        <v>35</v>
      </c>
      <c r="Y1637" s="1">
        <v>320000.0</v>
      </c>
      <c r="Z1637" s="1"/>
      <c r="AA1637" s="1">
        <v>320000.0</v>
      </c>
      <c r="AB1637" s="1"/>
      <c r="AC1637" s="1" t="s">
        <v>36</v>
      </c>
      <c r="AD1637" s="1" t="s">
        <v>6122</v>
      </c>
      <c r="AE1637" s="1" t="s">
        <v>32</v>
      </c>
      <c r="AF1637" s="1" t="s">
        <v>33</v>
      </c>
      <c r="AG1637" s="1" t="s">
        <v>49</v>
      </c>
    </row>
    <row r="1638" spans="1:33">
      <c r="A1638" t="s">
        <v>6123</v>
      </c>
      <c r="C1638" t="s">
        <v>1904</v>
      </c>
      <c r="E1638" t="s">
        <v>5469</v>
      </c>
      <c r="F1638" t="s">
        <v>1401</v>
      </c>
      <c r="G1638">
        <v>328.0</v>
      </c>
      <c r="H1638">
        <v>328.0</v>
      </c>
      <c r="I1638" t="s">
        <v>269</v>
      </c>
      <c r="J1638" t="s">
        <v>270</v>
      </c>
      <c r="K1638" t="s">
        <v>31</v>
      </c>
      <c r="L1638" t="s">
        <v>32</v>
      </c>
      <c r="M1638" t="s">
        <v>33</v>
      </c>
      <c r="P1638" s="1" t="s">
        <v>6124</v>
      </c>
      <c r="Q1638" s="1" t="s">
        <v>5469</v>
      </c>
      <c r="R1638" s="1" t="s">
        <v>5469</v>
      </c>
      <c r="S1638" s="1"/>
      <c r="T1638" s="1" t="s">
        <v>1904</v>
      </c>
      <c r="U1638" s="1"/>
      <c r="V1638" s="1">
        <v>328.0</v>
      </c>
      <c r="W1638" s="1">
        <v>328.0</v>
      </c>
      <c r="X1638" s="1" t="s">
        <v>35</v>
      </c>
      <c r="Y1638" s="1">
        <v>328000.0</v>
      </c>
      <c r="Z1638" s="1"/>
      <c r="AA1638" s="1">
        <v>328000.0</v>
      </c>
      <c r="AB1638" s="1"/>
      <c r="AC1638" s="1" t="s">
        <v>36</v>
      </c>
      <c r="AD1638" s="1" t="s">
        <v>6122</v>
      </c>
      <c r="AE1638" s="1" t="s">
        <v>32</v>
      </c>
      <c r="AF1638" s="1" t="s">
        <v>33</v>
      </c>
      <c r="AG1638" s="1" t="s">
        <v>270</v>
      </c>
    </row>
    <row r="1639" spans="1:33">
      <c r="A1639" t="s">
        <v>6125</v>
      </c>
      <c r="C1639" t="s">
        <v>558</v>
      </c>
      <c r="D1639" t="s">
        <v>154</v>
      </c>
      <c r="E1639" t="s">
        <v>5469</v>
      </c>
      <c r="F1639" t="s">
        <v>1401</v>
      </c>
      <c r="G1639">
        <v>664.8</v>
      </c>
      <c r="H1639">
        <v>664.8</v>
      </c>
      <c r="I1639" t="s">
        <v>269</v>
      </c>
      <c r="J1639" t="s">
        <v>270</v>
      </c>
      <c r="K1639" t="s">
        <v>31</v>
      </c>
      <c r="L1639" t="s">
        <v>32</v>
      </c>
      <c r="M1639" t="s">
        <v>33</v>
      </c>
      <c r="P1639" s="1" t="s">
        <v>6126</v>
      </c>
      <c r="Q1639" s="1" t="s">
        <v>5469</v>
      </c>
      <c r="R1639" s="1" t="s">
        <v>5469</v>
      </c>
      <c r="S1639" s="1"/>
      <c r="T1639" s="1" t="s">
        <v>560</v>
      </c>
      <c r="U1639" s="1" t="s">
        <v>561</v>
      </c>
      <c r="V1639" s="1">
        <v>664.8</v>
      </c>
      <c r="W1639" s="1">
        <v>664.8</v>
      </c>
      <c r="X1639" s="1" t="s">
        <v>35</v>
      </c>
      <c r="Y1639" s="1">
        <v>664800.0</v>
      </c>
      <c r="Z1639" s="1"/>
      <c r="AA1639" s="1">
        <v>664800.0</v>
      </c>
      <c r="AB1639" s="1"/>
      <c r="AC1639" s="1" t="s">
        <v>36</v>
      </c>
      <c r="AD1639" s="1" t="s">
        <v>6127</v>
      </c>
      <c r="AE1639" s="1" t="s">
        <v>32</v>
      </c>
      <c r="AF1639" s="1" t="s">
        <v>33</v>
      </c>
      <c r="AG1639" s="1" t="s">
        <v>270</v>
      </c>
    </row>
    <row r="1640" spans="1:33">
      <c r="A1640" t="s">
        <v>6128</v>
      </c>
      <c r="B1640" t="s">
        <v>2949</v>
      </c>
      <c r="C1640" t="s">
        <v>314</v>
      </c>
      <c r="E1640" t="s">
        <v>5469</v>
      </c>
      <c r="F1640" t="s">
        <v>1401</v>
      </c>
      <c r="G1640">
        <v>74.67</v>
      </c>
      <c r="H1640">
        <v>74.67</v>
      </c>
      <c r="I1640" t="s">
        <v>179</v>
      </c>
      <c r="J1640" t="s">
        <v>180</v>
      </c>
      <c r="K1640" t="s">
        <v>31</v>
      </c>
      <c r="L1640" t="s">
        <v>32</v>
      </c>
      <c r="M1640" t="s">
        <v>33</v>
      </c>
      <c r="P1640" s="1" t="s">
        <v>6129</v>
      </c>
      <c r="Q1640" s="1" t="s">
        <v>5469</v>
      </c>
      <c r="R1640" s="1" t="s">
        <v>5469</v>
      </c>
      <c r="S1640" s="1"/>
      <c r="T1640" s="1" t="s">
        <v>314</v>
      </c>
      <c r="U1640" s="1"/>
      <c r="V1640" s="1">
        <v>74.67</v>
      </c>
      <c r="W1640" s="1">
        <v>74.67</v>
      </c>
      <c r="X1640" s="1" t="s">
        <v>35</v>
      </c>
      <c r="Y1640" s="1">
        <v>74670.0</v>
      </c>
      <c r="Z1640" s="1"/>
      <c r="AA1640" s="1">
        <v>74670.0</v>
      </c>
      <c r="AB1640" s="1"/>
      <c r="AC1640" s="1" t="s">
        <v>36</v>
      </c>
      <c r="AD1640" s="1" t="s">
        <v>6130</v>
      </c>
      <c r="AE1640" s="1" t="s">
        <v>32</v>
      </c>
      <c r="AF1640" s="1" t="s">
        <v>33</v>
      </c>
      <c r="AG1640" s="1" t="s">
        <v>180</v>
      </c>
    </row>
    <row r="1641" spans="1:33">
      <c r="A1641" t="s">
        <v>6131</v>
      </c>
      <c r="C1641" t="s">
        <v>6132</v>
      </c>
      <c r="D1641" t="s">
        <v>154</v>
      </c>
      <c r="E1641" t="s">
        <v>6133</v>
      </c>
      <c r="F1641" t="s">
        <v>6134</v>
      </c>
      <c r="G1641">
        <v>630.0</v>
      </c>
      <c r="H1641">
        <v>630.0</v>
      </c>
      <c r="I1641" t="s">
        <v>40</v>
      </c>
      <c r="J1641" t="s">
        <v>41</v>
      </c>
      <c r="K1641" t="s">
        <v>31</v>
      </c>
      <c r="L1641" t="s">
        <v>32</v>
      </c>
      <c r="M1641" t="s">
        <v>33</v>
      </c>
      <c r="P1641" s="1" t="s">
        <v>6135</v>
      </c>
      <c r="Q1641" s="1" t="s">
        <v>6133</v>
      </c>
      <c r="R1641" s="1" t="s">
        <v>5469</v>
      </c>
      <c r="S1641" s="1"/>
      <c r="T1641" s="1" t="s">
        <v>6132</v>
      </c>
      <c r="U1641" s="1"/>
      <c r="V1641" s="1">
        <v>630.0</v>
      </c>
      <c r="W1641" s="1">
        <v>630.0</v>
      </c>
      <c r="X1641" s="1" t="s">
        <v>35</v>
      </c>
      <c r="Y1641" s="1">
        <v>630000.0</v>
      </c>
      <c r="Z1641" s="1"/>
      <c r="AA1641" s="1">
        <v>630000.0</v>
      </c>
      <c r="AB1641" s="1"/>
      <c r="AC1641" s="1" t="s">
        <v>36</v>
      </c>
      <c r="AD1641" s="1" t="s">
        <v>6136</v>
      </c>
      <c r="AE1641" s="1" t="s">
        <v>32</v>
      </c>
      <c r="AF1641" s="1" t="s">
        <v>33</v>
      </c>
      <c r="AG1641" s="1" t="s">
        <v>41</v>
      </c>
    </row>
    <row r="1642" spans="1:33">
      <c r="A1642" t="s">
        <v>6137</v>
      </c>
      <c r="B1642" t="s">
        <v>2611</v>
      </c>
      <c r="C1642" t="s">
        <v>2612</v>
      </c>
      <c r="E1642" t="s">
        <v>6133</v>
      </c>
      <c r="F1642" t="s">
        <v>6134</v>
      </c>
      <c r="G1642">
        <v>1.634</v>
      </c>
      <c r="H1642">
        <v>1.634</v>
      </c>
      <c r="I1642" t="s">
        <v>29</v>
      </c>
      <c r="J1642" t="s">
        <v>30</v>
      </c>
      <c r="K1642" t="s">
        <v>31</v>
      </c>
      <c r="L1642" t="s">
        <v>32</v>
      </c>
      <c r="M1642" t="s">
        <v>33</v>
      </c>
      <c r="P1642" s="1" t="s">
        <v>6138</v>
      </c>
      <c r="Q1642" s="1" t="s">
        <v>6133</v>
      </c>
      <c r="R1642" s="1" t="s">
        <v>6133</v>
      </c>
      <c r="S1642" s="1"/>
      <c r="T1642" s="1" t="s">
        <v>2614</v>
      </c>
      <c r="U1642" s="1" t="s">
        <v>154</v>
      </c>
      <c r="V1642" s="1">
        <v>1.634</v>
      </c>
      <c r="W1642" s="1">
        <v>1.634</v>
      </c>
      <c r="X1642" s="1" t="s">
        <v>35</v>
      </c>
      <c r="Y1642" s="1">
        <v>1634440.0</v>
      </c>
      <c r="Z1642" s="1">
        <v>-10</v>
      </c>
      <c r="AA1642" s="1">
        <v>1634440.0</v>
      </c>
      <c r="AB1642" s="1">
        <v>-10</v>
      </c>
      <c r="AC1642" s="1" t="s">
        <v>36</v>
      </c>
      <c r="AD1642" s="1" t="s">
        <v>6139</v>
      </c>
      <c r="AE1642" s="1" t="s">
        <v>32</v>
      </c>
      <c r="AF1642" s="1" t="s">
        <v>33</v>
      </c>
      <c r="AG1642" s="1" t="s">
        <v>30</v>
      </c>
    </row>
    <row r="1643" spans="1:33">
      <c r="A1643" t="s">
        <v>6140</v>
      </c>
      <c r="B1643" t="s">
        <v>6141</v>
      </c>
      <c r="C1643" t="s">
        <v>26</v>
      </c>
      <c r="E1643" t="s">
        <v>6133</v>
      </c>
      <c r="F1643" t="s">
        <v>6134</v>
      </c>
      <c r="G1643">
        <v>21.99</v>
      </c>
      <c r="H1643">
        <v>21.99</v>
      </c>
      <c r="I1643" t="s">
        <v>29</v>
      </c>
      <c r="J1643" t="s">
        <v>30</v>
      </c>
      <c r="K1643" t="s">
        <v>31</v>
      </c>
      <c r="L1643" t="s">
        <v>32</v>
      </c>
      <c r="M1643" t="s">
        <v>33</v>
      </c>
      <c r="P1643" s="1" t="s">
        <v>6142</v>
      </c>
      <c r="Q1643" s="1" t="s">
        <v>6133</v>
      </c>
      <c r="R1643" s="1" t="s">
        <v>6133</v>
      </c>
      <c r="S1643" s="1"/>
      <c r="T1643" s="1" t="s">
        <v>26</v>
      </c>
      <c r="U1643" s="1"/>
      <c r="V1643" s="1">
        <v>21.99</v>
      </c>
      <c r="W1643" s="1">
        <v>21.99</v>
      </c>
      <c r="X1643" s="1" t="s">
        <v>35</v>
      </c>
      <c r="Y1643" s="1">
        <v>21990.0</v>
      </c>
      <c r="Z1643" s="1"/>
      <c r="AA1643" s="1">
        <v>21990.0</v>
      </c>
      <c r="AB1643" s="1"/>
      <c r="AC1643" s="1" t="s">
        <v>36</v>
      </c>
      <c r="AD1643" s="1" t="s">
        <v>6143</v>
      </c>
      <c r="AE1643" s="1" t="s">
        <v>32</v>
      </c>
      <c r="AF1643" s="1" t="s">
        <v>33</v>
      </c>
      <c r="AG1643" s="1" t="s">
        <v>30</v>
      </c>
    </row>
    <row r="1644" spans="1:33">
      <c r="A1644" t="s">
        <v>6144</v>
      </c>
      <c r="B1644" t="s">
        <v>439</v>
      </c>
      <c r="C1644" t="s">
        <v>440</v>
      </c>
      <c r="E1644" t="s">
        <v>6133</v>
      </c>
      <c r="F1644" t="s">
        <v>6134</v>
      </c>
      <c r="G1644">
        <v>1.165</v>
      </c>
      <c r="H1644">
        <v>1.165</v>
      </c>
      <c r="I1644" t="s">
        <v>59</v>
      </c>
      <c r="J1644" t="s">
        <v>60</v>
      </c>
      <c r="K1644" t="s">
        <v>31</v>
      </c>
      <c r="L1644" t="s">
        <v>32</v>
      </c>
      <c r="M1644" t="s">
        <v>33</v>
      </c>
      <c r="P1644" s="1" t="s">
        <v>6145</v>
      </c>
      <c r="Q1644" s="1" t="s">
        <v>6133</v>
      </c>
      <c r="R1644" s="1" t="s">
        <v>6133</v>
      </c>
      <c r="S1644" s="1"/>
      <c r="T1644" s="1" t="s">
        <v>440</v>
      </c>
      <c r="U1644" s="1"/>
      <c r="V1644" s="1">
        <v>1.165</v>
      </c>
      <c r="W1644" s="1">
        <v>1.165</v>
      </c>
      <c r="X1644" s="1" t="s">
        <v>35</v>
      </c>
      <c r="Y1644" s="1">
        <v>1165000.0</v>
      </c>
      <c r="Z1644" s="1"/>
      <c r="AA1644" s="1">
        <v>1165000.0</v>
      </c>
      <c r="AB1644" s="1"/>
      <c r="AC1644" s="1" t="s">
        <v>36</v>
      </c>
      <c r="AD1644" s="1" t="s">
        <v>6146</v>
      </c>
      <c r="AE1644" s="1" t="s">
        <v>32</v>
      </c>
      <c r="AF1644" s="1" t="s">
        <v>33</v>
      </c>
      <c r="AG1644" s="1" t="s">
        <v>60</v>
      </c>
    </row>
    <row r="1645" spans="1:33">
      <c r="A1645" t="s">
        <v>6147</v>
      </c>
      <c r="B1645" t="s">
        <v>1232</v>
      </c>
      <c r="C1645" t="s">
        <v>1233</v>
      </c>
      <c r="E1645" t="s">
        <v>6133</v>
      </c>
      <c r="F1645" t="s">
        <v>6134</v>
      </c>
      <c r="G1645">
        <v>638.0</v>
      </c>
      <c r="H1645">
        <v>638.0</v>
      </c>
      <c r="I1645" t="s">
        <v>529</v>
      </c>
      <c r="J1645" t="s">
        <v>530</v>
      </c>
      <c r="K1645" t="s">
        <v>31</v>
      </c>
      <c r="L1645" t="s">
        <v>32</v>
      </c>
      <c r="M1645" t="s">
        <v>33</v>
      </c>
      <c r="P1645" s="1" t="s">
        <v>6148</v>
      </c>
      <c r="Q1645" s="1" t="s">
        <v>6133</v>
      </c>
      <c r="R1645" s="1" t="s">
        <v>5469</v>
      </c>
      <c r="S1645" s="1"/>
      <c r="T1645" s="1" t="s">
        <v>1233</v>
      </c>
      <c r="U1645" s="1"/>
      <c r="V1645" s="1">
        <v>638.0</v>
      </c>
      <c r="W1645" s="1">
        <v>638.0</v>
      </c>
      <c r="X1645" s="1" t="s">
        <v>35</v>
      </c>
      <c r="Y1645" s="1">
        <v>638000.0</v>
      </c>
      <c r="Z1645" s="1"/>
      <c r="AA1645" s="1">
        <v>638000.0</v>
      </c>
      <c r="AB1645" s="1"/>
      <c r="AC1645" s="1" t="s">
        <v>36</v>
      </c>
      <c r="AD1645" s="1" t="s">
        <v>6149</v>
      </c>
      <c r="AE1645" s="1" t="s">
        <v>32</v>
      </c>
      <c r="AF1645" s="1" t="s">
        <v>33</v>
      </c>
      <c r="AG1645" s="1" t="s">
        <v>530</v>
      </c>
    </row>
    <row r="1646" spans="1:33">
      <c r="A1646" t="s">
        <v>6150</v>
      </c>
      <c r="B1646" t="s">
        <v>6151</v>
      </c>
      <c r="C1646" t="s">
        <v>73</v>
      </c>
      <c r="E1646" t="s">
        <v>6133</v>
      </c>
      <c r="F1646" t="s">
        <v>6134</v>
      </c>
      <c r="G1646">
        <v>40.49</v>
      </c>
      <c r="H1646">
        <v>40.49</v>
      </c>
      <c r="I1646" t="s">
        <v>40</v>
      </c>
      <c r="J1646" t="s">
        <v>41</v>
      </c>
      <c r="K1646" t="s">
        <v>31</v>
      </c>
      <c r="L1646" t="s">
        <v>32</v>
      </c>
      <c r="M1646" t="s">
        <v>33</v>
      </c>
      <c r="P1646" s="1" t="s">
        <v>6152</v>
      </c>
      <c r="Q1646" s="1" t="s">
        <v>6133</v>
      </c>
      <c r="R1646" s="1" t="s">
        <v>5469</v>
      </c>
      <c r="S1646" s="1"/>
      <c r="T1646" s="1" t="s">
        <v>75</v>
      </c>
      <c r="U1646" s="1" t="s">
        <v>76</v>
      </c>
      <c r="V1646" s="1">
        <v>40.49</v>
      </c>
      <c r="W1646" s="1">
        <v>40.49</v>
      </c>
      <c r="X1646" s="1" t="s">
        <v>35</v>
      </c>
      <c r="Y1646" s="1">
        <v>40490.0</v>
      </c>
      <c r="Z1646" s="1"/>
      <c r="AA1646" s="1">
        <v>40490.0</v>
      </c>
      <c r="AB1646" s="1"/>
      <c r="AC1646" s="1" t="s">
        <v>36</v>
      </c>
      <c r="AD1646" s="1" t="s">
        <v>6153</v>
      </c>
      <c r="AE1646" s="1" t="s">
        <v>32</v>
      </c>
      <c r="AF1646" s="1" t="s">
        <v>33</v>
      </c>
      <c r="AG1646" s="1" t="s">
        <v>41</v>
      </c>
    </row>
    <row r="1647" spans="1:33">
      <c r="A1647" t="s">
        <v>6154</v>
      </c>
      <c r="B1647" t="s">
        <v>6155</v>
      </c>
      <c r="C1647" t="s">
        <v>26</v>
      </c>
      <c r="E1647" t="s">
        <v>6133</v>
      </c>
      <c r="F1647" t="s">
        <v>6134</v>
      </c>
      <c r="G1647">
        <v>4.5</v>
      </c>
      <c r="H1647">
        <v>4.5</v>
      </c>
      <c r="I1647" t="s">
        <v>29</v>
      </c>
      <c r="J1647" t="s">
        <v>30</v>
      </c>
      <c r="K1647" t="s">
        <v>31</v>
      </c>
      <c r="L1647" t="s">
        <v>32</v>
      </c>
      <c r="M1647" t="s">
        <v>33</v>
      </c>
      <c r="P1647" s="1" t="s">
        <v>6156</v>
      </c>
      <c r="Q1647" s="1" t="s">
        <v>6133</v>
      </c>
      <c r="R1647" s="1" t="s">
        <v>6133</v>
      </c>
      <c r="S1647" s="1"/>
      <c r="T1647" s="1" t="s">
        <v>26</v>
      </c>
      <c r="U1647" s="1"/>
      <c r="V1647" s="1">
        <v>4.5</v>
      </c>
      <c r="W1647" s="1">
        <v>4.5</v>
      </c>
      <c r="X1647" s="1" t="s">
        <v>35</v>
      </c>
      <c r="Y1647" s="1">
        <v>4500.0</v>
      </c>
      <c r="Z1647" s="1"/>
      <c r="AA1647" s="1">
        <v>4500.0</v>
      </c>
      <c r="AB1647" s="1"/>
      <c r="AC1647" s="1" t="s">
        <v>36</v>
      </c>
      <c r="AD1647" s="1" t="s">
        <v>6157</v>
      </c>
      <c r="AE1647" s="1" t="s">
        <v>32</v>
      </c>
      <c r="AF1647" s="1" t="s">
        <v>33</v>
      </c>
      <c r="AG1647" s="1" t="s">
        <v>30</v>
      </c>
    </row>
    <row r="1648" spans="1:33">
      <c r="A1648" t="s">
        <v>6158</v>
      </c>
      <c r="B1648" t="s">
        <v>5046</v>
      </c>
      <c r="C1648" t="s">
        <v>5047</v>
      </c>
      <c r="E1648" t="s">
        <v>6133</v>
      </c>
      <c r="F1648" t="s">
        <v>6134</v>
      </c>
      <c r="G1648">
        <v>1.85</v>
      </c>
      <c r="H1648">
        <v>1.85</v>
      </c>
      <c r="I1648" t="s">
        <v>59</v>
      </c>
      <c r="J1648" t="s">
        <v>60</v>
      </c>
      <c r="K1648" t="s">
        <v>31</v>
      </c>
      <c r="L1648" t="s">
        <v>32</v>
      </c>
      <c r="M1648" t="s">
        <v>33</v>
      </c>
      <c r="P1648" s="1" t="s">
        <v>6159</v>
      </c>
      <c r="Q1648" s="1" t="s">
        <v>6133</v>
      </c>
      <c r="R1648" s="1" t="s">
        <v>6133</v>
      </c>
      <c r="S1648" s="1"/>
      <c r="T1648" s="1" t="s">
        <v>5047</v>
      </c>
      <c r="U1648" s="1"/>
      <c r="V1648" s="1">
        <v>1.85</v>
      </c>
      <c r="W1648" s="1">
        <v>1.85</v>
      </c>
      <c r="X1648" s="1" t="s">
        <v>35</v>
      </c>
      <c r="Y1648" s="1">
        <v>2000000.0</v>
      </c>
      <c r="Z1648" s="1">
        <v>-150000</v>
      </c>
      <c r="AA1648" s="1">
        <v>2000000.0</v>
      </c>
      <c r="AB1648" s="1">
        <v>-150000</v>
      </c>
      <c r="AC1648" s="1" t="s">
        <v>36</v>
      </c>
      <c r="AD1648" s="1" t="s">
        <v>6160</v>
      </c>
      <c r="AE1648" s="1" t="s">
        <v>32</v>
      </c>
      <c r="AF1648" s="1" t="s">
        <v>33</v>
      </c>
      <c r="AG1648" s="1" t="s">
        <v>60</v>
      </c>
    </row>
    <row r="1649" spans="1:33">
      <c r="A1649" t="s">
        <v>6161</v>
      </c>
      <c r="C1649" t="s">
        <v>145</v>
      </c>
      <c r="E1649" t="s">
        <v>6133</v>
      </c>
      <c r="F1649" t="s">
        <v>6134</v>
      </c>
      <c r="G1649">
        <v>424.3</v>
      </c>
      <c r="H1649">
        <v>424.3</v>
      </c>
      <c r="I1649" t="s">
        <v>136</v>
      </c>
      <c r="J1649" t="s">
        <v>137</v>
      </c>
      <c r="K1649" t="s">
        <v>31</v>
      </c>
      <c r="L1649" t="s">
        <v>32</v>
      </c>
      <c r="M1649" t="s">
        <v>33</v>
      </c>
      <c r="P1649" s="1" t="s">
        <v>6162</v>
      </c>
      <c r="Q1649" s="1" t="s">
        <v>6133</v>
      </c>
      <c r="R1649" s="1" t="s">
        <v>6133</v>
      </c>
      <c r="S1649" s="1"/>
      <c r="T1649" s="1" t="s">
        <v>145</v>
      </c>
      <c r="U1649" s="1"/>
      <c r="V1649" s="1">
        <v>424.3</v>
      </c>
      <c r="W1649" s="1">
        <v>424.3</v>
      </c>
      <c r="X1649" s="1" t="s">
        <v>35</v>
      </c>
      <c r="Y1649" s="1">
        <v>424300.0</v>
      </c>
      <c r="Z1649" s="1"/>
      <c r="AA1649" s="1">
        <v>424300.0</v>
      </c>
      <c r="AB1649" s="1"/>
      <c r="AC1649" s="1" t="s">
        <v>36</v>
      </c>
      <c r="AD1649" s="1" t="s">
        <v>6153</v>
      </c>
      <c r="AE1649" s="1" t="s">
        <v>32</v>
      </c>
      <c r="AF1649" s="1" t="s">
        <v>33</v>
      </c>
      <c r="AG1649" s="1" t="s">
        <v>137</v>
      </c>
    </row>
    <row r="1650" spans="1:33">
      <c r="A1650" t="s">
        <v>6163</v>
      </c>
      <c r="C1650" t="s">
        <v>6164</v>
      </c>
      <c r="E1650" t="s">
        <v>6133</v>
      </c>
      <c r="F1650" t="s">
        <v>6134</v>
      </c>
      <c r="G1650">
        <v>820.0</v>
      </c>
      <c r="H1650">
        <v>820.0</v>
      </c>
      <c r="I1650" t="s">
        <v>136</v>
      </c>
      <c r="J1650" t="s">
        <v>137</v>
      </c>
      <c r="K1650" t="s">
        <v>31</v>
      </c>
      <c r="L1650" t="s">
        <v>32</v>
      </c>
      <c r="M1650" t="s">
        <v>33</v>
      </c>
      <c r="P1650" s="1" t="s">
        <v>6165</v>
      </c>
      <c r="Q1650" s="1" t="s">
        <v>6133</v>
      </c>
      <c r="R1650" s="1" t="s">
        <v>6133</v>
      </c>
      <c r="S1650" s="1"/>
      <c r="T1650" s="1" t="s">
        <v>6164</v>
      </c>
      <c r="U1650" s="1"/>
      <c r="V1650" s="1">
        <v>820.0</v>
      </c>
      <c r="W1650" s="1">
        <v>820.0</v>
      </c>
      <c r="X1650" s="1" t="s">
        <v>35</v>
      </c>
      <c r="Y1650" s="1">
        <v>820000.0</v>
      </c>
      <c r="Z1650" s="1"/>
      <c r="AA1650" s="1">
        <v>820000.0</v>
      </c>
      <c r="AB1650" s="1"/>
      <c r="AC1650" s="1" t="s">
        <v>36</v>
      </c>
      <c r="AD1650" s="1" t="s">
        <v>6166</v>
      </c>
      <c r="AE1650" s="1" t="s">
        <v>32</v>
      </c>
      <c r="AF1650" s="1" t="s">
        <v>33</v>
      </c>
      <c r="AG1650" s="1" t="s">
        <v>137</v>
      </c>
    </row>
    <row r="1651" spans="1:33">
      <c r="A1651" t="s">
        <v>6167</v>
      </c>
      <c r="B1651" t="s">
        <v>6168</v>
      </c>
      <c r="C1651" t="s">
        <v>125</v>
      </c>
      <c r="E1651" t="s">
        <v>6133</v>
      </c>
      <c r="F1651" t="s">
        <v>6134</v>
      </c>
      <c r="G1651">
        <v>4.298</v>
      </c>
      <c r="H1651">
        <v>4.298</v>
      </c>
      <c r="I1651" t="s">
        <v>126</v>
      </c>
      <c r="J1651" t="s">
        <v>127</v>
      </c>
      <c r="K1651" t="s">
        <v>31</v>
      </c>
      <c r="L1651" t="s">
        <v>32</v>
      </c>
      <c r="M1651" t="s">
        <v>33</v>
      </c>
      <c r="P1651" s="1" t="s">
        <v>6169</v>
      </c>
      <c r="Q1651" s="1" t="s">
        <v>6133</v>
      </c>
      <c r="R1651" s="1" t="s">
        <v>6133</v>
      </c>
      <c r="S1651" s="1"/>
      <c r="T1651" s="1" t="s">
        <v>125</v>
      </c>
      <c r="U1651" s="1"/>
      <c r="V1651" s="1">
        <v>4.298</v>
      </c>
      <c r="W1651" s="1">
        <v>4.298</v>
      </c>
      <c r="X1651" s="1" t="s">
        <v>35</v>
      </c>
      <c r="Y1651" s="1">
        <v>4298.0</v>
      </c>
      <c r="Z1651" s="1"/>
      <c r="AA1651" s="1">
        <v>4298.0</v>
      </c>
      <c r="AB1651" s="1"/>
      <c r="AC1651" s="1" t="s">
        <v>36</v>
      </c>
      <c r="AD1651" s="1" t="s">
        <v>6170</v>
      </c>
      <c r="AE1651" s="1" t="s">
        <v>32</v>
      </c>
      <c r="AF1651" s="1" t="s">
        <v>33</v>
      </c>
      <c r="AG1651" s="1" t="s">
        <v>127</v>
      </c>
    </row>
    <row r="1652" spans="1:33">
      <c r="A1652" t="s">
        <v>6171</v>
      </c>
      <c r="B1652" t="s">
        <v>6172</v>
      </c>
      <c r="C1652" t="s">
        <v>1298</v>
      </c>
      <c r="E1652" t="s">
        <v>6133</v>
      </c>
      <c r="F1652" t="s">
        <v>6134</v>
      </c>
      <c r="G1652">
        <v>5.448</v>
      </c>
      <c r="H1652">
        <v>5.448</v>
      </c>
      <c r="I1652" t="s">
        <v>529</v>
      </c>
      <c r="J1652" t="s">
        <v>530</v>
      </c>
      <c r="K1652" t="s">
        <v>31</v>
      </c>
      <c r="L1652" t="s">
        <v>32</v>
      </c>
      <c r="M1652" t="s">
        <v>33</v>
      </c>
      <c r="P1652" s="1" t="s">
        <v>6173</v>
      </c>
      <c r="Q1652" s="1" t="s">
        <v>6133</v>
      </c>
      <c r="R1652" s="1" t="s">
        <v>5469</v>
      </c>
      <c r="S1652" s="1"/>
      <c r="T1652" s="1" t="s">
        <v>1298</v>
      </c>
      <c r="U1652" s="1"/>
      <c r="V1652" s="1">
        <v>5.448</v>
      </c>
      <c r="W1652" s="1">
        <v>5.448</v>
      </c>
      <c r="X1652" s="1" t="s">
        <v>35</v>
      </c>
      <c r="Y1652" s="1">
        <v>5448.0</v>
      </c>
      <c r="Z1652" s="1"/>
      <c r="AA1652" s="1">
        <v>5448.0</v>
      </c>
      <c r="AB1652" s="1"/>
      <c r="AC1652" s="1" t="s">
        <v>36</v>
      </c>
      <c r="AD1652" s="1" t="s">
        <v>6174</v>
      </c>
      <c r="AE1652" s="1" t="s">
        <v>32</v>
      </c>
      <c r="AF1652" s="1" t="s">
        <v>33</v>
      </c>
      <c r="AG1652" s="1" t="s">
        <v>530</v>
      </c>
    </row>
    <row r="1653" spans="1:33">
      <c r="A1653" t="s">
        <v>6175</v>
      </c>
      <c r="C1653" t="s">
        <v>732</v>
      </c>
      <c r="E1653" t="s">
        <v>6133</v>
      </c>
      <c r="F1653" t="s">
        <v>6134</v>
      </c>
      <c r="G1653">
        <v>328.0</v>
      </c>
      <c r="H1653">
        <v>328.0</v>
      </c>
      <c r="I1653" t="s">
        <v>136</v>
      </c>
      <c r="J1653" t="s">
        <v>137</v>
      </c>
      <c r="K1653" t="s">
        <v>31</v>
      </c>
      <c r="L1653" t="s">
        <v>32</v>
      </c>
      <c r="M1653" t="s">
        <v>33</v>
      </c>
      <c r="P1653" s="1" t="s">
        <v>6176</v>
      </c>
      <c r="Q1653" s="1" t="s">
        <v>6133</v>
      </c>
      <c r="R1653" s="1" t="s">
        <v>6133</v>
      </c>
      <c r="S1653" s="1"/>
      <c r="T1653" s="1" t="s">
        <v>732</v>
      </c>
      <c r="U1653" s="1"/>
      <c r="V1653" s="1">
        <v>328.0</v>
      </c>
      <c r="W1653" s="1">
        <v>328.0</v>
      </c>
      <c r="X1653" s="1" t="s">
        <v>35</v>
      </c>
      <c r="Y1653" s="1">
        <v>328000.0</v>
      </c>
      <c r="Z1653" s="1"/>
      <c r="AA1653" s="1">
        <v>328000.0</v>
      </c>
      <c r="AB1653" s="1"/>
      <c r="AC1653" s="1" t="s">
        <v>36</v>
      </c>
      <c r="AD1653" s="1" t="s">
        <v>6177</v>
      </c>
      <c r="AE1653" s="1" t="s">
        <v>32</v>
      </c>
      <c r="AF1653" s="1" t="s">
        <v>33</v>
      </c>
      <c r="AG1653" s="1" t="s">
        <v>137</v>
      </c>
    </row>
    <row r="1654" spans="1:33">
      <c r="A1654" t="s">
        <v>6178</v>
      </c>
      <c r="C1654" t="s">
        <v>2851</v>
      </c>
      <c r="E1654" t="s">
        <v>6133</v>
      </c>
      <c r="F1654" t="s">
        <v>6134</v>
      </c>
      <c r="G1654">
        <v>1.001</v>
      </c>
      <c r="H1654">
        <v>1.001</v>
      </c>
      <c r="I1654" t="s">
        <v>136</v>
      </c>
      <c r="J1654" t="s">
        <v>137</v>
      </c>
      <c r="K1654" t="s">
        <v>31</v>
      </c>
      <c r="L1654" t="s">
        <v>32</v>
      </c>
      <c r="M1654" t="s">
        <v>33</v>
      </c>
      <c r="P1654" s="1" t="s">
        <v>6179</v>
      </c>
      <c r="Q1654" s="1" t="s">
        <v>6133</v>
      </c>
      <c r="R1654" s="1" t="s">
        <v>6133</v>
      </c>
      <c r="S1654" s="1"/>
      <c r="T1654" s="1" t="s">
        <v>2853</v>
      </c>
      <c r="U1654" s="1" t="s">
        <v>2854</v>
      </c>
      <c r="V1654" s="1">
        <v>1.001</v>
      </c>
      <c r="W1654" s="1">
        <v>1.001</v>
      </c>
      <c r="X1654" s="1" t="s">
        <v>35</v>
      </c>
      <c r="Y1654" s="1">
        <v>1001250.0</v>
      </c>
      <c r="Z1654" s="1"/>
      <c r="AA1654" s="1">
        <v>1001250.0</v>
      </c>
      <c r="AB1654" s="1"/>
      <c r="AC1654" s="1" t="s">
        <v>36</v>
      </c>
      <c r="AD1654" s="1" t="s">
        <v>6180</v>
      </c>
      <c r="AE1654" s="1" t="s">
        <v>32</v>
      </c>
      <c r="AF1654" s="1" t="s">
        <v>33</v>
      </c>
      <c r="AG1654" s="1" t="s">
        <v>137</v>
      </c>
    </row>
    <row r="1655" spans="1:33">
      <c r="A1655" t="s">
        <v>6181</v>
      </c>
      <c r="C1655" t="s">
        <v>6182</v>
      </c>
      <c r="E1655" t="s">
        <v>6133</v>
      </c>
      <c r="F1655" t="s">
        <v>6134</v>
      </c>
      <c r="G1655">
        <v>1.148</v>
      </c>
      <c r="H1655">
        <v>1.148</v>
      </c>
      <c r="I1655" t="s">
        <v>136</v>
      </c>
      <c r="J1655" t="s">
        <v>137</v>
      </c>
      <c r="K1655" t="s">
        <v>31</v>
      </c>
      <c r="L1655" t="s">
        <v>32</v>
      </c>
      <c r="M1655" t="s">
        <v>33</v>
      </c>
      <c r="P1655" s="1" t="s">
        <v>6183</v>
      </c>
      <c r="Q1655" s="1" t="s">
        <v>6133</v>
      </c>
      <c r="R1655" s="1" t="s">
        <v>6133</v>
      </c>
      <c r="S1655" s="1"/>
      <c r="T1655" s="1" t="s">
        <v>6184</v>
      </c>
      <c r="U1655" s="1" t="s">
        <v>6185</v>
      </c>
      <c r="V1655" s="1">
        <v>1.148</v>
      </c>
      <c r="W1655" s="1">
        <v>1.148</v>
      </c>
      <c r="X1655" s="1" t="s">
        <v>35</v>
      </c>
      <c r="Y1655" s="1">
        <v>1148000.0</v>
      </c>
      <c r="Z1655" s="1"/>
      <c r="AA1655" s="1">
        <v>1148000.0</v>
      </c>
      <c r="AB1655" s="1"/>
      <c r="AC1655" s="1" t="s">
        <v>36</v>
      </c>
      <c r="AD1655" s="1" t="s">
        <v>6170</v>
      </c>
      <c r="AE1655" s="1" t="s">
        <v>32</v>
      </c>
      <c r="AF1655" s="1" t="s">
        <v>33</v>
      </c>
      <c r="AG1655" s="1" t="s">
        <v>137</v>
      </c>
    </row>
    <row r="1656" spans="1:33">
      <c r="A1656" t="s">
        <v>6186</v>
      </c>
      <c r="C1656" t="s">
        <v>2038</v>
      </c>
      <c r="E1656" t="s">
        <v>6133</v>
      </c>
      <c r="F1656" t="s">
        <v>6134</v>
      </c>
      <c r="G1656">
        <v>417.55</v>
      </c>
      <c r="H1656">
        <v>417.55</v>
      </c>
      <c r="I1656" t="s">
        <v>136</v>
      </c>
      <c r="J1656" t="s">
        <v>137</v>
      </c>
      <c r="K1656" t="s">
        <v>31</v>
      </c>
      <c r="L1656" t="s">
        <v>32</v>
      </c>
      <c r="M1656" t="s">
        <v>33</v>
      </c>
      <c r="P1656" s="1" t="s">
        <v>6187</v>
      </c>
      <c r="Q1656" s="1" t="s">
        <v>6133</v>
      </c>
      <c r="R1656" s="1" t="s">
        <v>6133</v>
      </c>
      <c r="S1656" s="1"/>
      <c r="T1656" s="1" t="s">
        <v>2040</v>
      </c>
      <c r="U1656" s="1" t="s">
        <v>2041</v>
      </c>
      <c r="V1656" s="1">
        <v>417.55</v>
      </c>
      <c r="W1656" s="1">
        <v>417.55</v>
      </c>
      <c r="X1656" s="1" t="s">
        <v>35</v>
      </c>
      <c r="Y1656" s="1">
        <v>417550.0</v>
      </c>
      <c r="Z1656" s="1"/>
      <c r="AA1656" s="1">
        <v>417550.0</v>
      </c>
      <c r="AB1656" s="1"/>
      <c r="AC1656" s="1" t="s">
        <v>36</v>
      </c>
      <c r="AD1656" s="1" t="s">
        <v>6188</v>
      </c>
      <c r="AE1656" s="1" t="s">
        <v>32</v>
      </c>
      <c r="AF1656" s="1" t="s">
        <v>33</v>
      </c>
      <c r="AG1656" s="1" t="s">
        <v>137</v>
      </c>
    </row>
    <row r="1657" spans="1:33">
      <c r="A1657" t="s">
        <v>6189</v>
      </c>
      <c r="B1657" t="s">
        <v>6190</v>
      </c>
      <c r="C1657" t="s">
        <v>47</v>
      </c>
      <c r="E1657" t="s">
        <v>6133</v>
      </c>
      <c r="F1657" t="s">
        <v>6134</v>
      </c>
      <c r="G1657">
        <v>86.36</v>
      </c>
      <c r="H1657">
        <v>86.36</v>
      </c>
      <c r="I1657" t="s">
        <v>48</v>
      </c>
      <c r="J1657" t="s">
        <v>49</v>
      </c>
      <c r="K1657" t="s">
        <v>31</v>
      </c>
      <c r="L1657" t="s">
        <v>32</v>
      </c>
      <c r="M1657" t="s">
        <v>33</v>
      </c>
      <c r="P1657" s="1" t="s">
        <v>6191</v>
      </c>
      <c r="Q1657" s="1" t="s">
        <v>6133</v>
      </c>
      <c r="R1657" s="1" t="s">
        <v>6133</v>
      </c>
      <c r="S1657" s="1"/>
      <c r="T1657" s="1" t="s">
        <v>47</v>
      </c>
      <c r="U1657" s="1"/>
      <c r="V1657" s="1">
        <v>86.36</v>
      </c>
      <c r="W1657" s="1">
        <v>86.36</v>
      </c>
      <c r="X1657" s="1" t="s">
        <v>35</v>
      </c>
      <c r="Y1657" s="1">
        <v>86360.0</v>
      </c>
      <c r="Z1657" s="1"/>
      <c r="AA1657" s="1">
        <v>86360.0</v>
      </c>
      <c r="AB1657" s="1"/>
      <c r="AC1657" s="1" t="s">
        <v>36</v>
      </c>
      <c r="AD1657" s="1" t="s">
        <v>6188</v>
      </c>
      <c r="AE1657" s="1" t="s">
        <v>32</v>
      </c>
      <c r="AF1657" s="1" t="s">
        <v>33</v>
      </c>
      <c r="AG1657" s="1" t="s">
        <v>49</v>
      </c>
    </row>
    <row r="1658" spans="1:33">
      <c r="A1658" t="s">
        <v>6192</v>
      </c>
      <c r="C1658" t="s">
        <v>747</v>
      </c>
      <c r="E1658" t="s">
        <v>6133</v>
      </c>
      <c r="F1658" t="s">
        <v>6134</v>
      </c>
      <c r="G1658">
        <v>984.0</v>
      </c>
      <c r="H1658">
        <v>984.0</v>
      </c>
      <c r="I1658" t="s">
        <v>136</v>
      </c>
      <c r="J1658" t="s">
        <v>137</v>
      </c>
      <c r="K1658" t="s">
        <v>31</v>
      </c>
      <c r="L1658" t="s">
        <v>32</v>
      </c>
      <c r="M1658" t="s">
        <v>33</v>
      </c>
      <c r="P1658" s="1" t="s">
        <v>6193</v>
      </c>
      <c r="Q1658" s="1" t="s">
        <v>6133</v>
      </c>
      <c r="R1658" s="1" t="s">
        <v>6133</v>
      </c>
      <c r="S1658" s="1"/>
      <c r="T1658" s="1" t="s">
        <v>747</v>
      </c>
      <c r="U1658" s="1"/>
      <c r="V1658" s="1">
        <v>984.0</v>
      </c>
      <c r="W1658" s="1">
        <v>984.0</v>
      </c>
      <c r="X1658" s="1" t="s">
        <v>35</v>
      </c>
      <c r="Y1658" s="1">
        <v>984000.0</v>
      </c>
      <c r="Z1658" s="1"/>
      <c r="AA1658" s="1">
        <v>984000.0</v>
      </c>
      <c r="AB1658" s="1"/>
      <c r="AC1658" s="1" t="s">
        <v>36</v>
      </c>
      <c r="AD1658" s="1" t="s">
        <v>6174</v>
      </c>
      <c r="AE1658" s="1" t="s">
        <v>32</v>
      </c>
      <c r="AF1658" s="1" t="s">
        <v>33</v>
      </c>
      <c r="AG1658" s="1" t="s">
        <v>137</v>
      </c>
    </row>
    <row r="1659" spans="1:33">
      <c r="A1659" t="s">
        <v>6194</v>
      </c>
      <c r="C1659" t="s">
        <v>2284</v>
      </c>
      <c r="E1659" t="s">
        <v>6133</v>
      </c>
      <c r="F1659" t="s">
        <v>6134</v>
      </c>
      <c r="G1659">
        <v>386.5</v>
      </c>
      <c r="H1659">
        <v>386.5</v>
      </c>
      <c r="I1659" t="s">
        <v>136</v>
      </c>
      <c r="J1659" t="s">
        <v>137</v>
      </c>
      <c r="K1659" t="s">
        <v>31</v>
      </c>
      <c r="L1659" t="s">
        <v>32</v>
      </c>
      <c r="M1659" t="s">
        <v>33</v>
      </c>
      <c r="P1659" s="1" t="s">
        <v>6195</v>
      </c>
      <c r="Q1659" s="1" t="s">
        <v>6133</v>
      </c>
      <c r="R1659" s="1" t="s">
        <v>6133</v>
      </c>
      <c r="S1659" s="1"/>
      <c r="T1659" s="1" t="s">
        <v>2284</v>
      </c>
      <c r="U1659" s="1"/>
      <c r="V1659" s="1">
        <v>386.5</v>
      </c>
      <c r="W1659" s="1">
        <v>386.5</v>
      </c>
      <c r="X1659" s="1" t="s">
        <v>35</v>
      </c>
      <c r="Y1659" s="1">
        <v>386500.0</v>
      </c>
      <c r="Z1659" s="1"/>
      <c r="AA1659" s="1">
        <v>386500.0</v>
      </c>
      <c r="AB1659" s="1"/>
      <c r="AC1659" s="1" t="s">
        <v>36</v>
      </c>
      <c r="AD1659" s="1" t="s">
        <v>6196</v>
      </c>
      <c r="AE1659" s="1" t="s">
        <v>32</v>
      </c>
      <c r="AF1659" s="1" t="s">
        <v>33</v>
      </c>
      <c r="AG1659" s="1" t="s">
        <v>137</v>
      </c>
    </row>
    <row r="1660" spans="1:33">
      <c r="A1660" t="s">
        <v>6197</v>
      </c>
      <c r="B1660" t="s">
        <v>6198</v>
      </c>
      <c r="C1660" t="s">
        <v>6199</v>
      </c>
      <c r="E1660" t="s">
        <v>6133</v>
      </c>
      <c r="F1660" t="s">
        <v>6134</v>
      </c>
      <c r="G1660">
        <v>1.43</v>
      </c>
      <c r="H1660">
        <v>1.43</v>
      </c>
      <c r="I1660" t="s">
        <v>29</v>
      </c>
      <c r="J1660" t="s">
        <v>30</v>
      </c>
      <c r="K1660" t="s">
        <v>31</v>
      </c>
      <c r="L1660" t="s">
        <v>32</v>
      </c>
      <c r="M1660" t="s">
        <v>33</v>
      </c>
      <c r="P1660" s="1" t="s">
        <v>6200</v>
      </c>
      <c r="Q1660" s="1" t="s">
        <v>6133</v>
      </c>
      <c r="R1660" s="1" t="s">
        <v>6133</v>
      </c>
      <c r="S1660" s="1"/>
      <c r="T1660" s="1" t="s">
        <v>6199</v>
      </c>
      <c r="U1660" s="1"/>
      <c r="V1660" s="1">
        <v>1.43</v>
      </c>
      <c r="W1660" s="1">
        <v>1.43</v>
      </c>
      <c r="X1660" s="1" t="s">
        <v>35</v>
      </c>
      <c r="Y1660" s="1">
        <v>1430000.0</v>
      </c>
      <c r="Z1660" s="1"/>
      <c r="AA1660" s="1">
        <v>1430000.0</v>
      </c>
      <c r="AB1660" s="1"/>
      <c r="AC1660" s="1" t="s">
        <v>36</v>
      </c>
      <c r="AD1660" s="1" t="s">
        <v>6153</v>
      </c>
      <c r="AE1660" s="1" t="s">
        <v>32</v>
      </c>
      <c r="AF1660" s="1" t="s">
        <v>33</v>
      </c>
      <c r="AG1660" s="1" t="s">
        <v>30</v>
      </c>
    </row>
    <row r="1661" spans="1:33">
      <c r="A1661" t="s">
        <v>6201</v>
      </c>
      <c r="C1661" t="s">
        <v>6202</v>
      </c>
      <c r="E1661" t="s">
        <v>6133</v>
      </c>
      <c r="F1661" t="s">
        <v>6134</v>
      </c>
      <c r="G1661">
        <v>430.0</v>
      </c>
      <c r="H1661">
        <v>430.0</v>
      </c>
      <c r="I1661" t="s">
        <v>136</v>
      </c>
      <c r="J1661" t="s">
        <v>137</v>
      </c>
      <c r="K1661" t="s">
        <v>31</v>
      </c>
      <c r="L1661" t="s">
        <v>32</v>
      </c>
      <c r="M1661" t="s">
        <v>33</v>
      </c>
      <c r="P1661" s="1" t="s">
        <v>6203</v>
      </c>
      <c r="Q1661" s="1" t="s">
        <v>6133</v>
      </c>
      <c r="R1661" s="1" t="s">
        <v>6133</v>
      </c>
      <c r="S1661" s="1"/>
      <c r="T1661" s="1" t="s">
        <v>6204</v>
      </c>
      <c r="U1661" s="1" t="s">
        <v>6205</v>
      </c>
      <c r="V1661" s="1">
        <v>430.0</v>
      </c>
      <c r="W1661" s="1">
        <v>430.0</v>
      </c>
      <c r="X1661" s="1" t="s">
        <v>35</v>
      </c>
      <c r="Y1661" s="1">
        <v>430000.0</v>
      </c>
      <c r="Z1661" s="1"/>
      <c r="AA1661" s="1">
        <v>430000.0</v>
      </c>
      <c r="AB1661" s="1"/>
      <c r="AC1661" s="1" t="s">
        <v>36</v>
      </c>
      <c r="AD1661" s="1" t="s">
        <v>6206</v>
      </c>
      <c r="AE1661" s="1" t="s">
        <v>32</v>
      </c>
      <c r="AF1661" s="1" t="s">
        <v>33</v>
      </c>
      <c r="AG1661" s="1" t="s">
        <v>137</v>
      </c>
    </row>
    <row r="1662" spans="1:33">
      <c r="A1662" t="s">
        <v>6207</v>
      </c>
      <c r="B1662" t="s">
        <v>6208</v>
      </c>
      <c r="C1662" t="s">
        <v>172</v>
      </c>
      <c r="E1662" t="s">
        <v>6133</v>
      </c>
      <c r="F1662" t="s">
        <v>6134</v>
      </c>
      <c r="G1662">
        <v>44.98</v>
      </c>
      <c r="H1662">
        <v>44.98</v>
      </c>
      <c r="I1662" t="s">
        <v>173</v>
      </c>
      <c r="J1662" t="s">
        <v>174</v>
      </c>
      <c r="K1662" t="s">
        <v>31</v>
      </c>
      <c r="L1662" t="s">
        <v>32</v>
      </c>
      <c r="M1662" t="s">
        <v>33</v>
      </c>
      <c r="P1662" s="1" t="s">
        <v>6209</v>
      </c>
      <c r="Q1662" s="1" t="s">
        <v>6133</v>
      </c>
      <c r="R1662" s="1" t="s">
        <v>6133</v>
      </c>
      <c r="S1662" s="1"/>
      <c r="T1662" s="1" t="s">
        <v>172</v>
      </c>
      <c r="U1662" s="1"/>
      <c r="V1662" s="1">
        <v>44.98</v>
      </c>
      <c r="W1662" s="1">
        <v>44.98</v>
      </c>
      <c r="X1662" s="1" t="s">
        <v>35</v>
      </c>
      <c r="Y1662" s="1">
        <v>44980.0</v>
      </c>
      <c r="Z1662" s="1"/>
      <c r="AA1662" s="1">
        <v>44980.0</v>
      </c>
      <c r="AB1662" s="1"/>
      <c r="AC1662" s="1" t="s">
        <v>36</v>
      </c>
      <c r="AD1662" s="1" t="s">
        <v>6210</v>
      </c>
      <c r="AE1662" s="1" t="s">
        <v>32</v>
      </c>
      <c r="AF1662" s="1" t="s">
        <v>33</v>
      </c>
      <c r="AG1662" s="1" t="s">
        <v>174</v>
      </c>
    </row>
    <row r="1663" spans="1:33">
      <c r="A1663" t="s">
        <v>6211</v>
      </c>
      <c r="C1663" t="s">
        <v>6212</v>
      </c>
      <c r="E1663" t="s">
        <v>6133</v>
      </c>
      <c r="F1663" t="s">
        <v>6134</v>
      </c>
      <c r="G1663">
        <v>721.6</v>
      </c>
      <c r="H1663">
        <v>721.6</v>
      </c>
      <c r="I1663" t="s">
        <v>136</v>
      </c>
      <c r="J1663" t="s">
        <v>137</v>
      </c>
      <c r="K1663" t="s">
        <v>31</v>
      </c>
      <c r="L1663" t="s">
        <v>32</v>
      </c>
      <c r="M1663" t="s">
        <v>33</v>
      </c>
      <c r="P1663" s="1" t="s">
        <v>6213</v>
      </c>
      <c r="Q1663" s="1" t="s">
        <v>6133</v>
      </c>
      <c r="R1663" s="1" t="s">
        <v>6133</v>
      </c>
      <c r="S1663" s="1"/>
      <c r="T1663" s="1" t="s">
        <v>6212</v>
      </c>
      <c r="U1663" s="1"/>
      <c r="V1663" s="1">
        <v>721.6</v>
      </c>
      <c r="W1663" s="1">
        <v>721.6</v>
      </c>
      <c r="X1663" s="1" t="s">
        <v>35</v>
      </c>
      <c r="Y1663" s="1">
        <v>721600.0</v>
      </c>
      <c r="Z1663" s="1"/>
      <c r="AA1663" s="1">
        <v>721600.0</v>
      </c>
      <c r="AB1663" s="1"/>
      <c r="AC1663" s="1" t="s">
        <v>36</v>
      </c>
      <c r="AD1663" s="1" t="s">
        <v>6214</v>
      </c>
      <c r="AE1663" s="1" t="s">
        <v>32</v>
      </c>
      <c r="AF1663" s="1" t="s">
        <v>33</v>
      </c>
      <c r="AG1663" s="1" t="s">
        <v>137</v>
      </c>
    </row>
    <row r="1664" spans="1:33">
      <c r="A1664" t="s">
        <v>6215</v>
      </c>
      <c r="C1664" t="s">
        <v>6216</v>
      </c>
      <c r="E1664" t="s">
        <v>6133</v>
      </c>
      <c r="F1664" t="s">
        <v>6134</v>
      </c>
      <c r="G1664">
        <v>947.0</v>
      </c>
      <c r="H1664">
        <v>947.0</v>
      </c>
      <c r="I1664" t="s">
        <v>136</v>
      </c>
      <c r="J1664" t="s">
        <v>137</v>
      </c>
      <c r="K1664" t="s">
        <v>31</v>
      </c>
      <c r="L1664" t="s">
        <v>32</v>
      </c>
      <c r="M1664" t="s">
        <v>33</v>
      </c>
      <c r="P1664" s="1" t="s">
        <v>6217</v>
      </c>
      <c r="Q1664" s="1" t="s">
        <v>6133</v>
      </c>
      <c r="R1664" s="1" t="s">
        <v>6133</v>
      </c>
      <c r="S1664" s="1"/>
      <c r="T1664" s="1" t="s">
        <v>6216</v>
      </c>
      <c r="U1664" s="1"/>
      <c r="V1664" s="1">
        <v>947.0</v>
      </c>
      <c r="W1664" s="1">
        <v>947.0</v>
      </c>
      <c r="X1664" s="1" t="s">
        <v>35</v>
      </c>
      <c r="Y1664" s="1">
        <v>947000.0</v>
      </c>
      <c r="Z1664" s="1"/>
      <c r="AA1664" s="1">
        <v>947000.0</v>
      </c>
      <c r="AB1664" s="1"/>
      <c r="AC1664" s="1" t="s">
        <v>36</v>
      </c>
      <c r="AD1664" s="1" t="s">
        <v>6218</v>
      </c>
      <c r="AE1664" s="1" t="s">
        <v>32</v>
      </c>
      <c r="AF1664" s="1" t="s">
        <v>33</v>
      </c>
      <c r="AG1664" s="1" t="s">
        <v>137</v>
      </c>
    </row>
    <row r="1665" spans="1:33">
      <c r="A1665" t="s">
        <v>6219</v>
      </c>
      <c r="B1665" t="s">
        <v>6220</v>
      </c>
      <c r="C1665" t="s">
        <v>6221</v>
      </c>
      <c r="D1665" t="s">
        <v>114</v>
      </c>
      <c r="E1665" t="s">
        <v>6133</v>
      </c>
      <c r="F1665" t="s">
        <v>6134</v>
      </c>
      <c r="G1665">
        <v>820.0</v>
      </c>
      <c r="H1665">
        <v>820.0</v>
      </c>
      <c r="I1665" t="s">
        <v>529</v>
      </c>
      <c r="J1665" t="s">
        <v>530</v>
      </c>
      <c r="K1665" t="s">
        <v>31</v>
      </c>
      <c r="L1665" t="s">
        <v>32</v>
      </c>
      <c r="M1665" t="s">
        <v>33</v>
      </c>
      <c r="P1665" s="1" t="s">
        <v>6222</v>
      </c>
      <c r="Q1665" s="1" t="s">
        <v>6133</v>
      </c>
      <c r="R1665" s="1" t="s">
        <v>5469</v>
      </c>
      <c r="S1665" s="1"/>
      <c r="T1665" s="1" t="s">
        <v>6221</v>
      </c>
      <c r="U1665" s="1"/>
      <c r="V1665" s="1">
        <v>820.0</v>
      </c>
      <c r="W1665" s="1">
        <v>820.0</v>
      </c>
      <c r="X1665" s="1" t="s">
        <v>35</v>
      </c>
      <c r="Y1665" s="1">
        <v>820000.0</v>
      </c>
      <c r="Z1665" s="1"/>
      <c r="AA1665" s="1">
        <v>820000.0</v>
      </c>
      <c r="AB1665" s="1"/>
      <c r="AC1665" s="1" t="s">
        <v>36</v>
      </c>
      <c r="AD1665" s="1" t="s">
        <v>6223</v>
      </c>
      <c r="AE1665" s="1" t="s">
        <v>32</v>
      </c>
      <c r="AF1665" s="1" t="s">
        <v>33</v>
      </c>
      <c r="AG1665" s="1" t="s">
        <v>530</v>
      </c>
    </row>
    <row r="1666" spans="1:33">
      <c r="A1666" t="s">
        <v>6224</v>
      </c>
      <c r="B1666" t="s">
        <v>735</v>
      </c>
      <c r="C1666" t="s">
        <v>736</v>
      </c>
      <c r="E1666" t="s">
        <v>6133</v>
      </c>
      <c r="F1666" t="s">
        <v>6134</v>
      </c>
      <c r="G1666">
        <v>54.0</v>
      </c>
      <c r="H1666">
        <v>54.0</v>
      </c>
      <c r="I1666" t="s">
        <v>59</v>
      </c>
      <c r="J1666" t="s">
        <v>60</v>
      </c>
      <c r="K1666" t="s">
        <v>31</v>
      </c>
      <c r="L1666" t="s">
        <v>32</v>
      </c>
      <c r="M1666" t="s">
        <v>33</v>
      </c>
      <c r="P1666" s="1" t="s">
        <v>6225</v>
      </c>
      <c r="Q1666" s="1" t="s">
        <v>6133</v>
      </c>
      <c r="R1666" s="1" t="s">
        <v>6133</v>
      </c>
      <c r="S1666" s="1"/>
      <c r="T1666" s="1" t="s">
        <v>736</v>
      </c>
      <c r="U1666" s="1"/>
      <c r="V1666" s="1">
        <v>54.0</v>
      </c>
      <c r="W1666" s="1">
        <v>54.0</v>
      </c>
      <c r="X1666" s="1" t="s">
        <v>35</v>
      </c>
      <c r="Y1666" s="1">
        <v>54000.0</v>
      </c>
      <c r="Z1666" s="1"/>
      <c r="AA1666" s="1">
        <v>54000.0</v>
      </c>
      <c r="AB1666" s="1"/>
      <c r="AC1666" s="1" t="s">
        <v>36</v>
      </c>
      <c r="AD1666" s="1" t="s">
        <v>6210</v>
      </c>
      <c r="AE1666" s="1" t="s">
        <v>32</v>
      </c>
      <c r="AF1666" s="1" t="s">
        <v>33</v>
      </c>
      <c r="AG1666" s="1" t="s">
        <v>60</v>
      </c>
    </row>
    <row r="1667" spans="1:33">
      <c r="A1667" t="s">
        <v>6226</v>
      </c>
      <c r="B1667" t="s">
        <v>6227</v>
      </c>
      <c r="C1667" t="s">
        <v>6228</v>
      </c>
      <c r="E1667" t="s">
        <v>6133</v>
      </c>
      <c r="F1667" t="s">
        <v>6134</v>
      </c>
      <c r="G1667">
        <v>47.0</v>
      </c>
      <c r="H1667">
        <v>47.0</v>
      </c>
      <c r="I1667" t="s">
        <v>40</v>
      </c>
      <c r="J1667" t="s">
        <v>41</v>
      </c>
      <c r="K1667" t="s">
        <v>31</v>
      </c>
      <c r="L1667" t="s">
        <v>32</v>
      </c>
      <c r="M1667" t="s">
        <v>33</v>
      </c>
      <c r="P1667" s="1" t="s">
        <v>6229</v>
      </c>
      <c r="Q1667" s="1" t="s">
        <v>6133</v>
      </c>
      <c r="R1667" s="1" t="s">
        <v>5469</v>
      </c>
      <c r="S1667" s="1"/>
      <c r="T1667" s="1" t="s">
        <v>6228</v>
      </c>
      <c r="U1667" s="1"/>
      <c r="V1667" s="1">
        <v>47.0</v>
      </c>
      <c r="W1667" s="1">
        <v>47.0</v>
      </c>
      <c r="X1667" s="1" t="s">
        <v>35</v>
      </c>
      <c r="Y1667" s="1">
        <v>47000.0</v>
      </c>
      <c r="Z1667" s="1"/>
      <c r="AA1667" s="1">
        <v>47000.0</v>
      </c>
      <c r="AB1667" s="1"/>
      <c r="AC1667" s="1" t="s">
        <v>36</v>
      </c>
      <c r="AD1667" s="1" t="s">
        <v>6230</v>
      </c>
      <c r="AE1667" s="1" t="s">
        <v>32</v>
      </c>
      <c r="AF1667" s="1" t="s">
        <v>33</v>
      </c>
      <c r="AG1667" s="1" t="s">
        <v>41</v>
      </c>
    </row>
    <row r="1668" spans="1:33">
      <c r="A1668" t="s">
        <v>6231</v>
      </c>
      <c r="B1668" t="s">
        <v>5887</v>
      </c>
      <c r="C1668" t="s">
        <v>268</v>
      </c>
      <c r="E1668" t="s">
        <v>6133</v>
      </c>
      <c r="F1668" t="s">
        <v>6134</v>
      </c>
      <c r="G1668">
        <v>16.9</v>
      </c>
      <c r="H1668">
        <v>16.9</v>
      </c>
      <c r="I1668" t="s">
        <v>269</v>
      </c>
      <c r="J1668" t="s">
        <v>270</v>
      </c>
      <c r="K1668" t="s">
        <v>31</v>
      </c>
      <c r="L1668" t="s">
        <v>32</v>
      </c>
      <c r="M1668" t="s">
        <v>33</v>
      </c>
      <c r="P1668" s="1" t="s">
        <v>6232</v>
      </c>
      <c r="Q1668" s="1" t="s">
        <v>6133</v>
      </c>
      <c r="R1668" s="1" t="s">
        <v>6133</v>
      </c>
      <c r="S1668" s="1"/>
      <c r="T1668" s="1" t="s">
        <v>268</v>
      </c>
      <c r="U1668" s="1"/>
      <c r="V1668" s="1">
        <v>16.9</v>
      </c>
      <c r="W1668" s="1">
        <v>16.9</v>
      </c>
      <c r="X1668" s="1" t="s">
        <v>35</v>
      </c>
      <c r="Y1668" s="1">
        <v>16900.0</v>
      </c>
      <c r="Z1668" s="1"/>
      <c r="AA1668" s="1">
        <v>16900.0</v>
      </c>
      <c r="AB1668" s="1"/>
      <c r="AC1668" s="1" t="s">
        <v>36</v>
      </c>
      <c r="AD1668" s="1" t="s">
        <v>6233</v>
      </c>
      <c r="AE1668" s="1" t="s">
        <v>32</v>
      </c>
      <c r="AF1668" s="1" t="s">
        <v>33</v>
      </c>
      <c r="AG1668" s="1" t="s">
        <v>270</v>
      </c>
    </row>
    <row r="1669" spans="1:33">
      <c r="A1669" t="s">
        <v>6234</v>
      </c>
      <c r="B1669" t="s">
        <v>6235</v>
      </c>
      <c r="C1669" t="s">
        <v>47</v>
      </c>
      <c r="E1669" t="s">
        <v>6133</v>
      </c>
      <c r="F1669" t="s">
        <v>6134</v>
      </c>
      <c r="G1669">
        <v>20.99</v>
      </c>
      <c r="H1669">
        <v>20.99</v>
      </c>
      <c r="I1669" t="s">
        <v>48</v>
      </c>
      <c r="J1669" t="s">
        <v>49</v>
      </c>
      <c r="K1669" t="s">
        <v>31</v>
      </c>
      <c r="L1669" t="s">
        <v>32</v>
      </c>
      <c r="M1669" t="s">
        <v>33</v>
      </c>
      <c r="P1669" s="1" t="s">
        <v>6236</v>
      </c>
      <c r="Q1669" s="1" t="s">
        <v>6133</v>
      </c>
      <c r="R1669" s="1" t="s">
        <v>6133</v>
      </c>
      <c r="S1669" s="1"/>
      <c r="T1669" s="1" t="s">
        <v>47</v>
      </c>
      <c r="U1669" s="1"/>
      <c r="V1669" s="1">
        <v>20.99</v>
      </c>
      <c r="W1669" s="1">
        <v>20.99</v>
      </c>
      <c r="X1669" s="1" t="s">
        <v>35</v>
      </c>
      <c r="Y1669" s="1">
        <v>20990.0</v>
      </c>
      <c r="Z1669" s="1"/>
      <c r="AA1669" s="1">
        <v>20990.0</v>
      </c>
      <c r="AB1669" s="1"/>
      <c r="AC1669" s="1" t="s">
        <v>36</v>
      </c>
      <c r="AD1669" s="1" t="s">
        <v>6237</v>
      </c>
      <c r="AE1669" s="1" t="s">
        <v>32</v>
      </c>
      <c r="AF1669" s="1" t="s">
        <v>33</v>
      </c>
      <c r="AG1669" s="1" t="s">
        <v>49</v>
      </c>
    </row>
    <row r="1670" spans="1:33">
      <c r="A1670" t="s">
        <v>6238</v>
      </c>
      <c r="C1670" t="s">
        <v>1732</v>
      </c>
      <c r="E1670" t="s">
        <v>6133</v>
      </c>
      <c r="F1670" t="s">
        <v>6134</v>
      </c>
      <c r="G1670">
        <v>372.0</v>
      </c>
      <c r="H1670">
        <v>372.0</v>
      </c>
      <c r="I1670" t="s">
        <v>94</v>
      </c>
      <c r="J1670" t="s">
        <v>95</v>
      </c>
      <c r="K1670" t="s">
        <v>31</v>
      </c>
      <c r="L1670" t="s">
        <v>32</v>
      </c>
      <c r="M1670" t="s">
        <v>33</v>
      </c>
      <c r="P1670" s="1" t="s">
        <v>6239</v>
      </c>
      <c r="Q1670" s="1" t="s">
        <v>6133</v>
      </c>
      <c r="R1670" s="1" t="s">
        <v>6133</v>
      </c>
      <c r="S1670" s="1"/>
      <c r="T1670" s="1" t="s">
        <v>1732</v>
      </c>
      <c r="U1670" s="1"/>
      <c r="V1670" s="1">
        <v>372.0</v>
      </c>
      <c r="W1670" s="1">
        <v>372.0</v>
      </c>
      <c r="X1670" s="1" t="s">
        <v>35</v>
      </c>
      <c r="Y1670" s="1">
        <v>372000.0</v>
      </c>
      <c r="Z1670" s="1"/>
      <c r="AA1670" s="1">
        <v>372000.0</v>
      </c>
      <c r="AB1670" s="1"/>
      <c r="AC1670" s="1" t="s">
        <v>36</v>
      </c>
      <c r="AD1670" s="1" t="s">
        <v>6188</v>
      </c>
      <c r="AE1670" s="1" t="s">
        <v>32</v>
      </c>
      <c r="AF1670" s="1" t="s">
        <v>33</v>
      </c>
      <c r="AG1670" s="1" t="s">
        <v>95</v>
      </c>
    </row>
    <row r="1671" spans="1:33">
      <c r="A1671" t="s">
        <v>6240</v>
      </c>
      <c r="B1671" t="s">
        <v>6241</v>
      </c>
      <c r="C1671" t="s">
        <v>172</v>
      </c>
      <c r="E1671" t="s">
        <v>6133</v>
      </c>
      <c r="F1671" t="s">
        <v>6134</v>
      </c>
      <c r="G1671">
        <v>50.74</v>
      </c>
      <c r="H1671">
        <v>50.74</v>
      </c>
      <c r="I1671" t="s">
        <v>173</v>
      </c>
      <c r="J1671" t="s">
        <v>174</v>
      </c>
      <c r="K1671" t="s">
        <v>31</v>
      </c>
      <c r="L1671" t="s">
        <v>32</v>
      </c>
      <c r="M1671" t="s">
        <v>33</v>
      </c>
      <c r="P1671" s="1" t="s">
        <v>6242</v>
      </c>
      <c r="Q1671" s="1" t="s">
        <v>6133</v>
      </c>
      <c r="R1671" s="1" t="s">
        <v>6133</v>
      </c>
      <c r="S1671" s="1"/>
      <c r="T1671" s="1" t="s">
        <v>172</v>
      </c>
      <c r="U1671" s="1"/>
      <c r="V1671" s="1">
        <v>50.74</v>
      </c>
      <c r="W1671" s="1">
        <v>50.74</v>
      </c>
      <c r="X1671" s="1" t="s">
        <v>35</v>
      </c>
      <c r="Y1671" s="1">
        <v>50740.0</v>
      </c>
      <c r="Z1671" s="1"/>
      <c r="AA1671" s="1">
        <v>50740.0</v>
      </c>
      <c r="AB1671" s="1"/>
      <c r="AC1671" s="1" t="s">
        <v>36</v>
      </c>
      <c r="AD1671" s="1" t="s">
        <v>6243</v>
      </c>
      <c r="AE1671" s="1" t="s">
        <v>32</v>
      </c>
      <c r="AF1671" s="1" t="s">
        <v>33</v>
      </c>
      <c r="AG1671" s="1" t="s">
        <v>174</v>
      </c>
    </row>
    <row r="1672" spans="1:33">
      <c r="A1672" t="s">
        <v>6244</v>
      </c>
      <c r="B1672" t="s">
        <v>6245</v>
      </c>
      <c r="C1672" t="s">
        <v>47</v>
      </c>
      <c r="E1672" t="s">
        <v>6133</v>
      </c>
      <c r="F1672" t="s">
        <v>6134</v>
      </c>
      <c r="G1672">
        <v>4.15</v>
      </c>
      <c r="H1672">
        <v>4.15</v>
      </c>
      <c r="I1672" t="s">
        <v>48</v>
      </c>
      <c r="J1672" t="s">
        <v>49</v>
      </c>
      <c r="K1672" t="s">
        <v>31</v>
      </c>
      <c r="L1672" t="s">
        <v>32</v>
      </c>
      <c r="M1672" t="s">
        <v>33</v>
      </c>
      <c r="P1672" s="1" t="s">
        <v>6246</v>
      </c>
      <c r="Q1672" s="1" t="s">
        <v>6133</v>
      </c>
      <c r="R1672" s="1" t="s">
        <v>6133</v>
      </c>
      <c r="S1672" s="1"/>
      <c r="T1672" s="1" t="s">
        <v>47</v>
      </c>
      <c r="U1672" s="1"/>
      <c r="V1672" s="1">
        <v>4.15</v>
      </c>
      <c r="W1672" s="1">
        <v>4.15</v>
      </c>
      <c r="X1672" s="1" t="s">
        <v>35</v>
      </c>
      <c r="Y1672" s="1">
        <v>4150.0</v>
      </c>
      <c r="Z1672" s="1"/>
      <c r="AA1672" s="1">
        <v>4150.0</v>
      </c>
      <c r="AB1672" s="1"/>
      <c r="AC1672" s="1" t="s">
        <v>36</v>
      </c>
      <c r="AD1672" s="1" t="s">
        <v>6247</v>
      </c>
      <c r="AE1672" s="1" t="s">
        <v>32</v>
      </c>
      <c r="AF1672" s="1" t="s">
        <v>33</v>
      </c>
      <c r="AG1672" s="1" t="s">
        <v>49</v>
      </c>
    </row>
    <row r="1673" spans="1:33">
      <c r="A1673" t="s">
        <v>6248</v>
      </c>
      <c r="B1673" t="s">
        <v>5720</v>
      </c>
      <c r="C1673" t="s">
        <v>314</v>
      </c>
      <c r="E1673" t="s">
        <v>6133</v>
      </c>
      <c r="F1673" t="s">
        <v>6134</v>
      </c>
      <c r="G1673">
        <v>614.85</v>
      </c>
      <c r="H1673">
        <v>614.85</v>
      </c>
      <c r="I1673" t="s">
        <v>179</v>
      </c>
      <c r="J1673" t="s">
        <v>180</v>
      </c>
      <c r="K1673" t="s">
        <v>31</v>
      </c>
      <c r="L1673" t="s">
        <v>32</v>
      </c>
      <c r="M1673" t="s">
        <v>33</v>
      </c>
      <c r="P1673" s="1" t="s">
        <v>6249</v>
      </c>
      <c r="Q1673" s="1" t="s">
        <v>6133</v>
      </c>
      <c r="R1673" s="1" t="s">
        <v>6133</v>
      </c>
      <c r="S1673" s="1"/>
      <c r="T1673" s="1" t="s">
        <v>314</v>
      </c>
      <c r="U1673" s="1"/>
      <c r="V1673" s="1">
        <v>614.85</v>
      </c>
      <c r="W1673" s="1">
        <v>614.85</v>
      </c>
      <c r="X1673" s="1" t="s">
        <v>35</v>
      </c>
      <c r="Y1673" s="1">
        <v>614850.0</v>
      </c>
      <c r="Z1673" s="1"/>
      <c r="AA1673" s="1">
        <v>614850.0</v>
      </c>
      <c r="AB1673" s="1"/>
      <c r="AC1673" s="1" t="s">
        <v>36</v>
      </c>
      <c r="AD1673" s="1" t="s">
        <v>6250</v>
      </c>
      <c r="AE1673" s="1" t="s">
        <v>32</v>
      </c>
      <c r="AF1673" s="1" t="s">
        <v>33</v>
      </c>
      <c r="AG1673" s="1" t="s">
        <v>180</v>
      </c>
    </row>
    <row r="1674" spans="1:33">
      <c r="A1674" t="s">
        <v>6251</v>
      </c>
      <c r="C1674" t="s">
        <v>2756</v>
      </c>
      <c r="E1674" t="s">
        <v>6133</v>
      </c>
      <c r="F1674" t="s">
        <v>6134</v>
      </c>
      <c r="G1674">
        <v>790.0</v>
      </c>
      <c r="H1674">
        <v>790.0</v>
      </c>
      <c r="I1674" t="s">
        <v>269</v>
      </c>
      <c r="J1674" t="s">
        <v>270</v>
      </c>
      <c r="K1674" t="s">
        <v>31</v>
      </c>
      <c r="L1674" t="s">
        <v>32</v>
      </c>
      <c r="M1674" t="s">
        <v>33</v>
      </c>
      <c r="P1674" s="1" t="s">
        <v>6252</v>
      </c>
      <c r="Q1674" s="1" t="s">
        <v>6133</v>
      </c>
      <c r="R1674" s="1" t="s">
        <v>6133</v>
      </c>
      <c r="S1674" s="1"/>
      <c r="T1674" s="1" t="s">
        <v>2756</v>
      </c>
      <c r="U1674" s="1"/>
      <c r="V1674" s="1">
        <v>790.0</v>
      </c>
      <c r="W1674" s="1">
        <v>790.0</v>
      </c>
      <c r="X1674" s="1" t="s">
        <v>35</v>
      </c>
      <c r="Y1674" s="1">
        <v>790000.0</v>
      </c>
      <c r="Z1674" s="1"/>
      <c r="AA1674" s="1">
        <v>790000.0</v>
      </c>
      <c r="AB1674" s="1"/>
      <c r="AC1674" s="1" t="s">
        <v>36</v>
      </c>
      <c r="AD1674" s="1" t="s">
        <v>6253</v>
      </c>
      <c r="AE1674" s="1" t="s">
        <v>32</v>
      </c>
      <c r="AF1674" s="1" t="s">
        <v>33</v>
      </c>
      <c r="AG1674" s="1" t="s">
        <v>270</v>
      </c>
    </row>
    <row r="1675" spans="1:33">
      <c r="A1675" t="s">
        <v>6254</v>
      </c>
      <c r="C1675" t="s">
        <v>852</v>
      </c>
      <c r="E1675" t="s">
        <v>6133</v>
      </c>
      <c r="F1675" t="s">
        <v>6255</v>
      </c>
      <c r="G1675">
        <v>1.009</v>
      </c>
      <c r="H1675">
        <v>1.009</v>
      </c>
      <c r="I1675" t="s">
        <v>847</v>
      </c>
      <c r="J1675" t="s">
        <v>848</v>
      </c>
      <c r="K1675" t="s">
        <v>31</v>
      </c>
      <c r="L1675" t="s">
        <v>32</v>
      </c>
      <c r="M1675" t="s">
        <v>33</v>
      </c>
      <c r="P1675" s="1" t="s">
        <v>6256</v>
      </c>
      <c r="Q1675" s="1" t="s">
        <v>6133</v>
      </c>
      <c r="R1675" s="1" t="s">
        <v>6133</v>
      </c>
      <c r="S1675" s="1"/>
      <c r="T1675" s="1" t="s">
        <v>852</v>
      </c>
      <c r="U1675" s="1"/>
      <c r="V1675" s="1">
        <v>1.009</v>
      </c>
      <c r="W1675" s="1">
        <v>1.009</v>
      </c>
      <c r="X1675" s="1" t="s">
        <v>35</v>
      </c>
      <c r="Y1675" s="1">
        <v>1009000.0</v>
      </c>
      <c r="Z1675" s="1"/>
      <c r="AA1675" s="1">
        <v>1009000.0</v>
      </c>
      <c r="AB1675" s="1"/>
      <c r="AC1675" s="1" t="s">
        <v>36</v>
      </c>
      <c r="AD1675" s="1" t="s">
        <v>6257</v>
      </c>
      <c r="AE1675" s="1" t="s">
        <v>32</v>
      </c>
      <c r="AF1675" s="1" t="s">
        <v>33</v>
      </c>
      <c r="AG1675" s="1" t="s">
        <v>848</v>
      </c>
    </row>
    <row r="1676" spans="1:33">
      <c r="A1676" t="s">
        <v>6258</v>
      </c>
      <c r="B1676" t="s">
        <v>5302</v>
      </c>
      <c r="C1676" t="s">
        <v>172</v>
      </c>
      <c r="E1676" t="s">
        <v>6133</v>
      </c>
      <c r="F1676" t="s">
        <v>6134</v>
      </c>
      <c r="G1676">
        <v>62.97</v>
      </c>
      <c r="H1676">
        <v>62.97</v>
      </c>
      <c r="I1676" t="s">
        <v>173</v>
      </c>
      <c r="J1676" t="s">
        <v>174</v>
      </c>
      <c r="K1676" t="s">
        <v>31</v>
      </c>
      <c r="L1676" t="s">
        <v>32</v>
      </c>
      <c r="M1676" t="s">
        <v>33</v>
      </c>
      <c r="P1676" s="1" t="s">
        <v>6259</v>
      </c>
      <c r="Q1676" s="1" t="s">
        <v>6133</v>
      </c>
      <c r="R1676" s="1" t="s">
        <v>6133</v>
      </c>
      <c r="S1676" s="1"/>
      <c r="T1676" s="1" t="s">
        <v>172</v>
      </c>
      <c r="U1676" s="1"/>
      <c r="V1676" s="1">
        <v>62.97</v>
      </c>
      <c r="W1676" s="1">
        <v>62.97</v>
      </c>
      <c r="X1676" s="1" t="s">
        <v>35</v>
      </c>
      <c r="Y1676" s="1">
        <v>62970.0</v>
      </c>
      <c r="Z1676" s="1"/>
      <c r="AA1676" s="1">
        <v>62970.0</v>
      </c>
      <c r="AB1676" s="1"/>
      <c r="AC1676" s="1" t="s">
        <v>36</v>
      </c>
      <c r="AD1676" s="1" t="s">
        <v>6260</v>
      </c>
      <c r="AE1676" s="1" t="s">
        <v>32</v>
      </c>
      <c r="AF1676" s="1" t="s">
        <v>33</v>
      </c>
      <c r="AG1676" s="1" t="s">
        <v>174</v>
      </c>
    </row>
    <row r="1677" spans="1:33">
      <c r="A1677" t="s">
        <v>6261</v>
      </c>
      <c r="B1677" t="s">
        <v>6262</v>
      </c>
      <c r="C1677" t="s">
        <v>4059</v>
      </c>
      <c r="E1677" t="s">
        <v>6133</v>
      </c>
      <c r="F1677" t="s">
        <v>6134</v>
      </c>
      <c r="G1677">
        <v>320.0</v>
      </c>
      <c r="H1677">
        <v>320.0</v>
      </c>
      <c r="I1677" t="s">
        <v>29</v>
      </c>
      <c r="J1677" t="s">
        <v>30</v>
      </c>
      <c r="K1677" t="s">
        <v>31</v>
      </c>
      <c r="L1677" t="s">
        <v>32</v>
      </c>
      <c r="M1677" t="s">
        <v>33</v>
      </c>
      <c r="P1677" s="1" t="s">
        <v>6263</v>
      </c>
      <c r="Q1677" s="1" t="s">
        <v>6133</v>
      </c>
      <c r="R1677" s="1" t="s">
        <v>6133</v>
      </c>
      <c r="S1677" s="1"/>
      <c r="T1677" s="1" t="s">
        <v>4059</v>
      </c>
      <c r="U1677" s="1"/>
      <c r="V1677" s="1">
        <v>320.0</v>
      </c>
      <c r="W1677" s="1">
        <v>320.0</v>
      </c>
      <c r="X1677" s="1" t="s">
        <v>35</v>
      </c>
      <c r="Y1677" s="1">
        <v>320000.0</v>
      </c>
      <c r="Z1677" s="1"/>
      <c r="AA1677" s="1">
        <v>320000.0</v>
      </c>
      <c r="AB1677" s="1"/>
      <c r="AC1677" s="1" t="s">
        <v>36</v>
      </c>
      <c r="AD1677" s="1" t="s">
        <v>6264</v>
      </c>
      <c r="AE1677" s="1" t="s">
        <v>32</v>
      </c>
      <c r="AF1677" s="1" t="s">
        <v>33</v>
      </c>
      <c r="AG1677" s="1" t="s">
        <v>30</v>
      </c>
    </row>
    <row r="1678" spans="1:33">
      <c r="A1678" t="s">
        <v>6265</v>
      </c>
      <c r="B1678" t="s">
        <v>6266</v>
      </c>
      <c r="C1678" t="s">
        <v>172</v>
      </c>
      <c r="E1678" t="s">
        <v>6133</v>
      </c>
      <c r="F1678" t="s">
        <v>6134</v>
      </c>
      <c r="G1678">
        <v>4.498</v>
      </c>
      <c r="H1678">
        <v>4.498</v>
      </c>
      <c r="I1678" t="s">
        <v>173</v>
      </c>
      <c r="J1678" t="s">
        <v>174</v>
      </c>
      <c r="K1678" t="s">
        <v>31</v>
      </c>
      <c r="L1678" t="s">
        <v>32</v>
      </c>
      <c r="M1678" t="s">
        <v>33</v>
      </c>
      <c r="P1678" s="1" t="s">
        <v>6267</v>
      </c>
      <c r="Q1678" s="1" t="s">
        <v>6133</v>
      </c>
      <c r="R1678" s="1" t="s">
        <v>6133</v>
      </c>
      <c r="S1678" s="1"/>
      <c r="T1678" s="1" t="s">
        <v>172</v>
      </c>
      <c r="U1678" s="1"/>
      <c r="V1678" s="1">
        <v>4.498</v>
      </c>
      <c r="W1678" s="1">
        <v>4.498</v>
      </c>
      <c r="X1678" s="1" t="s">
        <v>35</v>
      </c>
      <c r="Y1678" s="1">
        <v>4498.0</v>
      </c>
      <c r="Z1678" s="1"/>
      <c r="AA1678" s="1">
        <v>4498.0</v>
      </c>
      <c r="AB1678" s="1"/>
      <c r="AC1678" s="1" t="s">
        <v>36</v>
      </c>
      <c r="AD1678" s="1" t="s">
        <v>6180</v>
      </c>
      <c r="AE1678" s="1" t="s">
        <v>32</v>
      </c>
      <c r="AF1678" s="1" t="s">
        <v>33</v>
      </c>
      <c r="AG1678" s="1" t="s">
        <v>174</v>
      </c>
    </row>
    <row r="1679" spans="1:33">
      <c r="A1679" t="s">
        <v>6268</v>
      </c>
      <c r="C1679" t="s">
        <v>6269</v>
      </c>
      <c r="E1679" t="s">
        <v>6133</v>
      </c>
      <c r="F1679" t="s">
        <v>6134</v>
      </c>
      <c r="G1679">
        <v>477.5</v>
      </c>
      <c r="H1679">
        <v>477.5</v>
      </c>
      <c r="I1679" t="s">
        <v>847</v>
      </c>
      <c r="J1679" t="s">
        <v>848</v>
      </c>
      <c r="K1679" t="s">
        <v>31</v>
      </c>
      <c r="L1679" t="s">
        <v>32</v>
      </c>
      <c r="M1679" t="s">
        <v>33</v>
      </c>
      <c r="P1679" s="1" t="s">
        <v>6270</v>
      </c>
      <c r="Q1679" s="1" t="s">
        <v>6133</v>
      </c>
      <c r="R1679" s="1" t="s">
        <v>6133</v>
      </c>
      <c r="S1679" s="1"/>
      <c r="T1679" s="1" t="s">
        <v>6269</v>
      </c>
      <c r="U1679" s="1"/>
      <c r="V1679" s="1">
        <v>477.5</v>
      </c>
      <c r="W1679" s="1">
        <v>477.5</v>
      </c>
      <c r="X1679" s="1" t="s">
        <v>35</v>
      </c>
      <c r="Y1679" s="1">
        <v>477500.0</v>
      </c>
      <c r="Z1679" s="1"/>
      <c r="AA1679" s="1">
        <v>477500.0</v>
      </c>
      <c r="AB1679" s="1"/>
      <c r="AC1679" s="1" t="s">
        <v>36</v>
      </c>
      <c r="AD1679" s="1" t="s">
        <v>6271</v>
      </c>
      <c r="AE1679" s="1" t="s">
        <v>32</v>
      </c>
      <c r="AF1679" s="1" t="s">
        <v>33</v>
      </c>
      <c r="AG1679" s="1" t="s">
        <v>848</v>
      </c>
    </row>
    <row r="1680" spans="1:33">
      <c r="A1680" t="s">
        <v>6272</v>
      </c>
      <c r="B1680" t="s">
        <v>6273</v>
      </c>
      <c r="C1680" t="s">
        <v>47</v>
      </c>
      <c r="E1680" t="s">
        <v>6133</v>
      </c>
      <c r="F1680" t="s">
        <v>6134</v>
      </c>
      <c r="G1680">
        <v>43.98</v>
      </c>
      <c r="H1680">
        <v>43.98</v>
      </c>
      <c r="I1680" t="s">
        <v>48</v>
      </c>
      <c r="J1680" t="s">
        <v>49</v>
      </c>
      <c r="K1680" t="s">
        <v>31</v>
      </c>
      <c r="L1680" t="s">
        <v>32</v>
      </c>
      <c r="M1680" t="s">
        <v>33</v>
      </c>
      <c r="P1680" s="1" t="s">
        <v>6274</v>
      </c>
      <c r="Q1680" s="1" t="s">
        <v>6133</v>
      </c>
      <c r="R1680" s="1" t="s">
        <v>6133</v>
      </c>
      <c r="S1680" s="1"/>
      <c r="T1680" s="1" t="s">
        <v>47</v>
      </c>
      <c r="U1680" s="1"/>
      <c r="V1680" s="1">
        <v>43.98</v>
      </c>
      <c r="W1680" s="1">
        <v>43.98</v>
      </c>
      <c r="X1680" s="1" t="s">
        <v>35</v>
      </c>
      <c r="Y1680" s="1">
        <v>43980.0</v>
      </c>
      <c r="Z1680" s="1"/>
      <c r="AA1680" s="1">
        <v>43980.0</v>
      </c>
      <c r="AB1680" s="1"/>
      <c r="AC1680" s="1" t="s">
        <v>36</v>
      </c>
      <c r="AD1680" s="1" t="s">
        <v>6271</v>
      </c>
      <c r="AE1680" s="1" t="s">
        <v>32</v>
      </c>
      <c r="AF1680" s="1" t="s">
        <v>33</v>
      </c>
      <c r="AG1680" s="1" t="s">
        <v>49</v>
      </c>
    </row>
    <row r="1681" spans="1:33">
      <c r="A1681" t="s">
        <v>6275</v>
      </c>
      <c r="B1681" t="s">
        <v>1768</v>
      </c>
      <c r="C1681" t="s">
        <v>314</v>
      </c>
      <c r="E1681" t="s">
        <v>6133</v>
      </c>
      <c r="F1681" t="s">
        <v>6134</v>
      </c>
      <c r="G1681">
        <v>28.99</v>
      </c>
      <c r="H1681">
        <v>28.99</v>
      </c>
      <c r="I1681" t="s">
        <v>179</v>
      </c>
      <c r="J1681" t="s">
        <v>180</v>
      </c>
      <c r="K1681" t="s">
        <v>31</v>
      </c>
      <c r="L1681" t="s">
        <v>32</v>
      </c>
      <c r="M1681" t="s">
        <v>33</v>
      </c>
      <c r="P1681" s="1" t="s">
        <v>6276</v>
      </c>
      <c r="Q1681" s="1" t="s">
        <v>6133</v>
      </c>
      <c r="R1681" s="1" t="s">
        <v>6133</v>
      </c>
      <c r="S1681" s="1"/>
      <c r="T1681" s="1" t="s">
        <v>314</v>
      </c>
      <c r="U1681" s="1"/>
      <c r="V1681" s="1">
        <v>28.99</v>
      </c>
      <c r="W1681" s="1">
        <v>28.99</v>
      </c>
      <c r="X1681" s="1" t="s">
        <v>35</v>
      </c>
      <c r="Y1681" s="1">
        <v>28990.0</v>
      </c>
      <c r="Z1681" s="1"/>
      <c r="AA1681" s="1">
        <v>28990.0</v>
      </c>
      <c r="AB1681" s="1"/>
      <c r="AC1681" s="1" t="s">
        <v>36</v>
      </c>
      <c r="AD1681" s="1" t="s">
        <v>6277</v>
      </c>
      <c r="AE1681" s="1" t="s">
        <v>32</v>
      </c>
      <c r="AF1681" s="1" t="s">
        <v>33</v>
      </c>
      <c r="AG1681" s="1" t="s">
        <v>180</v>
      </c>
    </row>
    <row r="1682" spans="1:33">
      <c r="A1682" t="s">
        <v>6278</v>
      </c>
      <c r="B1682" t="s">
        <v>57</v>
      </c>
      <c r="C1682" t="s">
        <v>58</v>
      </c>
      <c r="E1682" t="s">
        <v>6133</v>
      </c>
      <c r="F1682" t="s">
        <v>6134</v>
      </c>
      <c r="G1682">
        <v>375.0</v>
      </c>
      <c r="H1682">
        <v>375.0</v>
      </c>
      <c r="I1682" t="s">
        <v>59</v>
      </c>
      <c r="J1682" t="s">
        <v>60</v>
      </c>
      <c r="K1682" t="s">
        <v>31</v>
      </c>
      <c r="L1682" t="s">
        <v>32</v>
      </c>
      <c r="M1682" t="s">
        <v>33</v>
      </c>
      <c r="P1682" s="1" t="s">
        <v>6279</v>
      </c>
      <c r="Q1682" s="1" t="s">
        <v>6133</v>
      </c>
      <c r="R1682" s="1" t="s">
        <v>6133</v>
      </c>
      <c r="S1682" s="1"/>
      <c r="T1682" s="1" t="s">
        <v>58</v>
      </c>
      <c r="U1682" s="1"/>
      <c r="V1682" s="1">
        <v>375.0</v>
      </c>
      <c r="W1682" s="1">
        <v>375.0</v>
      </c>
      <c r="X1682" s="1" t="s">
        <v>35</v>
      </c>
      <c r="Y1682" s="1">
        <v>375000.0</v>
      </c>
      <c r="Z1682" s="1"/>
      <c r="AA1682" s="1">
        <v>375000.0</v>
      </c>
      <c r="AB1682" s="1"/>
      <c r="AC1682" s="1" t="s">
        <v>36</v>
      </c>
      <c r="AD1682" s="1" t="s">
        <v>6166</v>
      </c>
      <c r="AE1682" s="1" t="s">
        <v>32</v>
      </c>
      <c r="AF1682" s="1" t="s">
        <v>33</v>
      </c>
      <c r="AG1682" s="1" t="s">
        <v>60</v>
      </c>
    </row>
    <row r="1683" spans="1:33">
      <c r="A1683" t="s">
        <v>6280</v>
      </c>
      <c r="B1683" t="s">
        <v>6281</v>
      </c>
      <c r="C1683" t="s">
        <v>569</v>
      </c>
      <c r="E1683" t="s">
        <v>6133</v>
      </c>
      <c r="F1683" t="s">
        <v>6134</v>
      </c>
      <c r="G1683">
        <v>106.47</v>
      </c>
      <c r="H1683">
        <v>106.47</v>
      </c>
      <c r="I1683" t="s">
        <v>570</v>
      </c>
      <c r="J1683" t="s">
        <v>571</v>
      </c>
      <c r="K1683" t="s">
        <v>31</v>
      </c>
      <c r="L1683" t="s">
        <v>32</v>
      </c>
      <c r="M1683" t="s">
        <v>33</v>
      </c>
      <c r="P1683" s="1" t="s">
        <v>6282</v>
      </c>
      <c r="Q1683" s="1" t="s">
        <v>6133</v>
      </c>
      <c r="R1683" s="1" t="s">
        <v>6133</v>
      </c>
      <c r="S1683" s="1"/>
      <c r="T1683" s="1" t="s">
        <v>569</v>
      </c>
      <c r="U1683" s="1"/>
      <c r="V1683" s="1">
        <v>106.47</v>
      </c>
      <c r="W1683" s="1">
        <v>106.47</v>
      </c>
      <c r="X1683" s="1" t="s">
        <v>35</v>
      </c>
      <c r="Y1683" s="1">
        <v>106470.0</v>
      </c>
      <c r="Z1683" s="1"/>
      <c r="AA1683" s="1">
        <v>106470.0</v>
      </c>
      <c r="AB1683" s="1"/>
      <c r="AC1683" s="1" t="s">
        <v>36</v>
      </c>
      <c r="AD1683" s="1" t="s">
        <v>6283</v>
      </c>
      <c r="AE1683" s="1" t="s">
        <v>32</v>
      </c>
      <c r="AF1683" s="1" t="s">
        <v>33</v>
      </c>
      <c r="AG1683" s="1" t="s">
        <v>571</v>
      </c>
    </row>
    <row r="1684" spans="1:33">
      <c r="A1684" t="s">
        <v>6284</v>
      </c>
      <c r="B1684" t="s">
        <v>6285</v>
      </c>
      <c r="C1684" t="s">
        <v>68</v>
      </c>
      <c r="E1684" t="s">
        <v>6133</v>
      </c>
      <c r="F1684" t="s">
        <v>6134</v>
      </c>
      <c r="G1684">
        <v>22.49</v>
      </c>
      <c r="H1684">
        <v>22.49</v>
      </c>
      <c r="I1684" t="s">
        <v>59</v>
      </c>
      <c r="J1684" t="s">
        <v>60</v>
      </c>
      <c r="K1684" t="s">
        <v>31</v>
      </c>
      <c r="L1684" t="s">
        <v>32</v>
      </c>
      <c r="M1684" t="s">
        <v>33</v>
      </c>
      <c r="P1684" s="1" t="s">
        <v>6286</v>
      </c>
      <c r="Q1684" s="1" t="s">
        <v>6133</v>
      </c>
      <c r="R1684" s="1" t="s">
        <v>6133</v>
      </c>
      <c r="S1684" s="1"/>
      <c r="T1684" s="1" t="s">
        <v>68</v>
      </c>
      <c r="U1684" s="1"/>
      <c r="V1684" s="1">
        <v>22.49</v>
      </c>
      <c r="W1684" s="1">
        <v>22.49</v>
      </c>
      <c r="X1684" s="1" t="s">
        <v>35</v>
      </c>
      <c r="Y1684" s="1">
        <v>22490.0</v>
      </c>
      <c r="Z1684" s="1"/>
      <c r="AA1684" s="1">
        <v>22490.0</v>
      </c>
      <c r="AB1684" s="1"/>
      <c r="AC1684" s="1" t="s">
        <v>36</v>
      </c>
      <c r="AD1684" s="1" t="s">
        <v>6260</v>
      </c>
      <c r="AE1684" s="1" t="s">
        <v>32</v>
      </c>
      <c r="AF1684" s="1" t="s">
        <v>33</v>
      </c>
      <c r="AG1684" s="1" t="s">
        <v>60</v>
      </c>
    </row>
    <row r="1685" spans="1:33">
      <c r="A1685" t="s">
        <v>6287</v>
      </c>
      <c r="C1685" t="s">
        <v>1420</v>
      </c>
      <c r="E1685" t="s">
        <v>6133</v>
      </c>
      <c r="F1685" t="s">
        <v>6134</v>
      </c>
      <c r="G1685">
        <v>320.0</v>
      </c>
      <c r="H1685">
        <v>320.0</v>
      </c>
      <c r="I1685" t="s">
        <v>40</v>
      </c>
      <c r="J1685" t="s">
        <v>41</v>
      </c>
      <c r="K1685" t="s">
        <v>31</v>
      </c>
      <c r="L1685" t="s">
        <v>32</v>
      </c>
      <c r="M1685" t="s">
        <v>33</v>
      </c>
      <c r="P1685" s="1" t="s">
        <v>6288</v>
      </c>
      <c r="Q1685" s="1" t="s">
        <v>6133</v>
      </c>
      <c r="R1685" s="1" t="s">
        <v>5469</v>
      </c>
      <c r="S1685" s="1"/>
      <c r="T1685" s="1" t="s">
        <v>1420</v>
      </c>
      <c r="U1685" s="1"/>
      <c r="V1685" s="1">
        <v>320.0</v>
      </c>
      <c r="W1685" s="1">
        <v>320.0</v>
      </c>
      <c r="X1685" s="1" t="s">
        <v>35</v>
      </c>
      <c r="Y1685" s="1">
        <v>320000.0</v>
      </c>
      <c r="Z1685" s="1"/>
      <c r="AA1685" s="1">
        <v>320000.0</v>
      </c>
      <c r="AB1685" s="1"/>
      <c r="AC1685" s="1" t="s">
        <v>36</v>
      </c>
      <c r="AD1685" s="1" t="s">
        <v>6289</v>
      </c>
      <c r="AE1685" s="1" t="s">
        <v>32</v>
      </c>
      <c r="AF1685" s="1" t="s">
        <v>33</v>
      </c>
      <c r="AG1685" s="1" t="s">
        <v>41</v>
      </c>
    </row>
    <row r="1686" spans="1:33">
      <c r="A1686" t="s">
        <v>6290</v>
      </c>
      <c r="B1686" t="s">
        <v>6291</v>
      </c>
      <c r="C1686" t="s">
        <v>135</v>
      </c>
      <c r="E1686" t="s">
        <v>6133</v>
      </c>
      <c r="F1686" t="s">
        <v>6134</v>
      </c>
      <c r="G1686">
        <v>81.5</v>
      </c>
      <c r="H1686">
        <v>81.5</v>
      </c>
      <c r="I1686" t="s">
        <v>136</v>
      </c>
      <c r="J1686" t="s">
        <v>137</v>
      </c>
      <c r="K1686" t="s">
        <v>31</v>
      </c>
      <c r="L1686" t="s">
        <v>32</v>
      </c>
      <c r="M1686" t="s">
        <v>33</v>
      </c>
      <c r="P1686" s="1" t="s">
        <v>6292</v>
      </c>
      <c r="Q1686" s="1" t="s">
        <v>6133</v>
      </c>
      <c r="R1686" s="1" t="s">
        <v>6133</v>
      </c>
      <c r="S1686" s="1"/>
      <c r="T1686" s="1" t="s">
        <v>135</v>
      </c>
      <c r="U1686" s="1"/>
      <c r="V1686" s="1">
        <v>81.5</v>
      </c>
      <c r="W1686" s="1">
        <v>81.5</v>
      </c>
      <c r="X1686" s="1" t="s">
        <v>35</v>
      </c>
      <c r="Y1686" s="1">
        <v>81500.0</v>
      </c>
      <c r="Z1686" s="1"/>
      <c r="AA1686" s="1">
        <v>81500.0</v>
      </c>
      <c r="AB1686" s="1"/>
      <c r="AC1686" s="1" t="s">
        <v>36</v>
      </c>
      <c r="AD1686" s="1" t="s">
        <v>6293</v>
      </c>
      <c r="AE1686" s="1" t="s">
        <v>32</v>
      </c>
      <c r="AF1686" s="1" t="s">
        <v>33</v>
      </c>
      <c r="AG1686" s="1" t="s">
        <v>137</v>
      </c>
    </row>
    <row r="1687" spans="1:33">
      <c r="A1687" t="s">
        <v>6294</v>
      </c>
      <c r="B1687" t="s">
        <v>6295</v>
      </c>
      <c r="C1687" t="s">
        <v>47</v>
      </c>
      <c r="E1687" t="s">
        <v>6133</v>
      </c>
      <c r="F1687" t="s">
        <v>6134</v>
      </c>
      <c r="G1687">
        <v>452.87</v>
      </c>
      <c r="H1687">
        <v>452.87</v>
      </c>
      <c r="I1687" t="s">
        <v>48</v>
      </c>
      <c r="J1687" t="s">
        <v>49</v>
      </c>
      <c r="K1687" t="s">
        <v>31</v>
      </c>
      <c r="L1687" t="s">
        <v>32</v>
      </c>
      <c r="M1687" t="s">
        <v>33</v>
      </c>
      <c r="P1687" s="1" t="s">
        <v>6296</v>
      </c>
      <c r="Q1687" s="1" t="s">
        <v>6133</v>
      </c>
      <c r="R1687" s="1" t="s">
        <v>6133</v>
      </c>
      <c r="S1687" s="1"/>
      <c r="T1687" s="1" t="s">
        <v>47</v>
      </c>
      <c r="U1687" s="1"/>
      <c r="V1687" s="1">
        <v>452.87</v>
      </c>
      <c r="W1687" s="1">
        <v>452.87</v>
      </c>
      <c r="X1687" s="1" t="s">
        <v>35</v>
      </c>
      <c r="Y1687" s="1">
        <v>452870.0</v>
      </c>
      <c r="Z1687" s="1"/>
      <c r="AA1687" s="1">
        <v>452870.0</v>
      </c>
      <c r="AB1687" s="1"/>
      <c r="AC1687" s="1" t="s">
        <v>36</v>
      </c>
      <c r="AD1687" s="1" t="s">
        <v>6297</v>
      </c>
      <c r="AE1687" s="1" t="s">
        <v>32</v>
      </c>
      <c r="AF1687" s="1" t="s">
        <v>33</v>
      </c>
      <c r="AG1687" s="1" t="s">
        <v>49</v>
      </c>
    </row>
    <row r="1688" spans="1:33">
      <c r="A1688" t="s">
        <v>6298</v>
      </c>
      <c r="B1688" t="s">
        <v>6299</v>
      </c>
      <c r="C1688" t="s">
        <v>268</v>
      </c>
      <c r="E1688" t="s">
        <v>6133</v>
      </c>
      <c r="F1688" t="s">
        <v>6134</v>
      </c>
      <c r="G1688">
        <v>40.25</v>
      </c>
      <c r="H1688">
        <v>40.25</v>
      </c>
      <c r="I1688" t="s">
        <v>269</v>
      </c>
      <c r="J1688" t="s">
        <v>270</v>
      </c>
      <c r="K1688" t="s">
        <v>31</v>
      </c>
      <c r="L1688" t="s">
        <v>32</v>
      </c>
      <c r="M1688" t="s">
        <v>33</v>
      </c>
      <c r="P1688" s="1" t="s">
        <v>6300</v>
      </c>
      <c r="Q1688" s="1" t="s">
        <v>6133</v>
      </c>
      <c r="R1688" s="1" t="s">
        <v>6133</v>
      </c>
      <c r="S1688" s="1"/>
      <c r="T1688" s="1" t="s">
        <v>268</v>
      </c>
      <c r="U1688" s="1"/>
      <c r="V1688" s="1">
        <v>40.25</v>
      </c>
      <c r="W1688" s="1">
        <v>40.25</v>
      </c>
      <c r="X1688" s="1" t="s">
        <v>35</v>
      </c>
      <c r="Y1688" s="1">
        <v>40250.0</v>
      </c>
      <c r="Z1688" s="1"/>
      <c r="AA1688" s="1">
        <v>40250.0</v>
      </c>
      <c r="AB1688" s="1"/>
      <c r="AC1688" s="1" t="s">
        <v>36</v>
      </c>
      <c r="AD1688" s="1" t="s">
        <v>6301</v>
      </c>
      <c r="AE1688" s="1" t="s">
        <v>32</v>
      </c>
      <c r="AF1688" s="1" t="s">
        <v>33</v>
      </c>
      <c r="AG1688" s="1" t="s">
        <v>270</v>
      </c>
    </row>
    <row r="1689" spans="1:33">
      <c r="A1689" t="s">
        <v>6302</v>
      </c>
      <c r="C1689" t="s">
        <v>786</v>
      </c>
      <c r="E1689" t="s">
        <v>6133</v>
      </c>
      <c r="F1689" t="s">
        <v>6134</v>
      </c>
      <c r="G1689">
        <v>624.8</v>
      </c>
      <c r="H1689">
        <v>624.8</v>
      </c>
      <c r="I1689" t="s">
        <v>269</v>
      </c>
      <c r="J1689" t="s">
        <v>270</v>
      </c>
      <c r="K1689" t="s">
        <v>31</v>
      </c>
      <c r="L1689" t="s">
        <v>32</v>
      </c>
      <c r="M1689" t="s">
        <v>33</v>
      </c>
      <c r="P1689" s="1" t="s">
        <v>6303</v>
      </c>
      <c r="Q1689" s="1" t="s">
        <v>6133</v>
      </c>
      <c r="R1689" s="1" t="s">
        <v>6133</v>
      </c>
      <c r="S1689" s="1"/>
      <c r="T1689" s="1" t="s">
        <v>786</v>
      </c>
      <c r="U1689" s="1"/>
      <c r="V1689" s="1">
        <v>624.8</v>
      </c>
      <c r="W1689" s="1">
        <v>624.8</v>
      </c>
      <c r="X1689" s="1" t="s">
        <v>35</v>
      </c>
      <c r="Y1689" s="1">
        <v>624800.0</v>
      </c>
      <c r="Z1689" s="1"/>
      <c r="AA1689" s="1">
        <v>624800.0</v>
      </c>
      <c r="AB1689" s="1"/>
      <c r="AC1689" s="1" t="s">
        <v>36</v>
      </c>
      <c r="AD1689" s="1" t="s">
        <v>6304</v>
      </c>
      <c r="AE1689" s="1" t="s">
        <v>32</v>
      </c>
      <c r="AF1689" s="1" t="s">
        <v>33</v>
      </c>
      <c r="AG1689" s="1" t="s">
        <v>270</v>
      </c>
    </row>
    <row r="1690" spans="1:33">
      <c r="A1690" t="s">
        <v>6305</v>
      </c>
      <c r="B1690" t="s">
        <v>6306</v>
      </c>
      <c r="C1690" t="s">
        <v>68</v>
      </c>
      <c r="E1690" t="s">
        <v>6133</v>
      </c>
      <c r="F1690" t="s">
        <v>6134</v>
      </c>
      <c r="G1690">
        <v>10.545</v>
      </c>
      <c r="H1690">
        <v>10.545</v>
      </c>
      <c r="I1690" t="s">
        <v>59</v>
      </c>
      <c r="J1690" t="s">
        <v>60</v>
      </c>
      <c r="K1690" t="s">
        <v>31</v>
      </c>
      <c r="L1690" t="s">
        <v>32</v>
      </c>
      <c r="M1690" t="s">
        <v>33</v>
      </c>
      <c r="P1690" s="1" t="s">
        <v>6307</v>
      </c>
      <c r="Q1690" s="1" t="s">
        <v>6133</v>
      </c>
      <c r="R1690" s="1" t="s">
        <v>6133</v>
      </c>
      <c r="S1690" s="1"/>
      <c r="T1690" s="1" t="s">
        <v>68</v>
      </c>
      <c r="U1690" s="1"/>
      <c r="V1690" s="1">
        <v>10.545</v>
      </c>
      <c r="W1690" s="1">
        <v>10.545</v>
      </c>
      <c r="X1690" s="1" t="s">
        <v>35</v>
      </c>
      <c r="Y1690" s="1">
        <v>10545.0</v>
      </c>
      <c r="Z1690" s="1"/>
      <c r="AA1690" s="1">
        <v>10545.0</v>
      </c>
      <c r="AB1690" s="1"/>
      <c r="AC1690" s="1" t="s">
        <v>36</v>
      </c>
      <c r="AD1690" s="1" t="s">
        <v>6157</v>
      </c>
      <c r="AE1690" s="1" t="s">
        <v>32</v>
      </c>
      <c r="AF1690" s="1" t="s">
        <v>33</v>
      </c>
      <c r="AG1690" s="1" t="s">
        <v>60</v>
      </c>
    </row>
    <row r="1691" spans="1:33">
      <c r="A1691" t="s">
        <v>6308</v>
      </c>
      <c r="C1691" t="s">
        <v>1285</v>
      </c>
      <c r="E1691" t="s">
        <v>6133</v>
      </c>
      <c r="F1691" t="s">
        <v>6134</v>
      </c>
      <c r="G1691">
        <v>640.0</v>
      </c>
      <c r="H1691">
        <v>640.0</v>
      </c>
      <c r="I1691" t="s">
        <v>173</v>
      </c>
      <c r="J1691" t="s">
        <v>174</v>
      </c>
      <c r="K1691" t="s">
        <v>31</v>
      </c>
      <c r="L1691" t="s">
        <v>32</v>
      </c>
      <c r="M1691" t="s">
        <v>33</v>
      </c>
      <c r="P1691" s="1" t="s">
        <v>6309</v>
      </c>
      <c r="Q1691" s="1" t="s">
        <v>6133</v>
      </c>
      <c r="R1691" s="1" t="s">
        <v>6133</v>
      </c>
      <c r="S1691" s="1"/>
      <c r="T1691" s="1" t="s">
        <v>1285</v>
      </c>
      <c r="U1691" s="1"/>
      <c r="V1691" s="1">
        <v>640.0</v>
      </c>
      <c r="W1691" s="1">
        <v>640.0</v>
      </c>
      <c r="X1691" s="1" t="s">
        <v>35</v>
      </c>
      <c r="Y1691" s="1">
        <v>640000.0</v>
      </c>
      <c r="Z1691" s="1"/>
      <c r="AA1691" s="1">
        <v>640000.0</v>
      </c>
      <c r="AB1691" s="1"/>
      <c r="AC1691" s="1" t="s">
        <v>36</v>
      </c>
      <c r="AD1691" s="1" t="s">
        <v>6218</v>
      </c>
      <c r="AE1691" s="1" t="s">
        <v>32</v>
      </c>
      <c r="AF1691" s="1" t="s">
        <v>33</v>
      </c>
      <c r="AG1691" s="1" t="s">
        <v>174</v>
      </c>
    </row>
    <row r="1692" spans="1:33">
      <c r="A1692" t="s">
        <v>6310</v>
      </c>
      <c r="C1692" t="s">
        <v>1998</v>
      </c>
      <c r="E1692" t="s">
        <v>6133</v>
      </c>
      <c r="F1692" t="s">
        <v>6134</v>
      </c>
      <c r="G1692">
        <v>1.215</v>
      </c>
      <c r="H1692">
        <v>1.215</v>
      </c>
      <c r="I1692" t="s">
        <v>269</v>
      </c>
      <c r="J1692" t="s">
        <v>270</v>
      </c>
      <c r="K1692" t="s">
        <v>31</v>
      </c>
      <c r="L1692" t="s">
        <v>32</v>
      </c>
      <c r="M1692" t="s">
        <v>33</v>
      </c>
      <c r="P1692" s="1" t="s">
        <v>6311</v>
      </c>
      <c r="Q1692" s="1" t="s">
        <v>6133</v>
      </c>
      <c r="R1692" s="1" t="s">
        <v>6133</v>
      </c>
      <c r="S1692" s="1"/>
      <c r="T1692" s="1" t="s">
        <v>2000</v>
      </c>
      <c r="U1692" s="1" t="s">
        <v>2001</v>
      </c>
      <c r="V1692" s="1">
        <v>1.215</v>
      </c>
      <c r="W1692" s="1">
        <v>1.215</v>
      </c>
      <c r="X1692" s="1" t="s">
        <v>35</v>
      </c>
      <c r="Y1692" s="1">
        <v>1215700.0</v>
      </c>
      <c r="Z1692" s="1"/>
      <c r="AA1692" s="1">
        <v>1215700.0</v>
      </c>
      <c r="AB1692" s="1"/>
      <c r="AC1692" s="1" t="s">
        <v>36</v>
      </c>
      <c r="AD1692" s="1" t="s">
        <v>6312</v>
      </c>
      <c r="AE1692" s="1" t="s">
        <v>32</v>
      </c>
      <c r="AF1692" s="1" t="s">
        <v>33</v>
      </c>
      <c r="AG1692" s="1" t="s">
        <v>270</v>
      </c>
    </row>
    <row r="1693" spans="1:33">
      <c r="A1693" t="s">
        <v>6313</v>
      </c>
      <c r="B1693" t="s">
        <v>6314</v>
      </c>
      <c r="C1693" t="s">
        <v>47</v>
      </c>
      <c r="E1693" t="s">
        <v>6133</v>
      </c>
      <c r="F1693" t="s">
        <v>6134</v>
      </c>
      <c r="G1693">
        <v>11.0</v>
      </c>
      <c r="H1693">
        <v>11.0</v>
      </c>
      <c r="I1693" t="s">
        <v>48</v>
      </c>
      <c r="J1693" t="s">
        <v>49</v>
      </c>
      <c r="K1693" t="s">
        <v>31</v>
      </c>
      <c r="L1693" t="s">
        <v>32</v>
      </c>
      <c r="M1693" t="s">
        <v>33</v>
      </c>
      <c r="P1693" s="1" t="s">
        <v>6315</v>
      </c>
      <c r="Q1693" s="1" t="s">
        <v>6133</v>
      </c>
      <c r="R1693" s="1" t="s">
        <v>6133</v>
      </c>
      <c r="S1693" s="1"/>
      <c r="T1693" s="1" t="s">
        <v>47</v>
      </c>
      <c r="U1693" s="1"/>
      <c r="V1693" s="1">
        <v>11.0</v>
      </c>
      <c r="W1693" s="1">
        <v>11.0</v>
      </c>
      <c r="X1693" s="1" t="s">
        <v>35</v>
      </c>
      <c r="Y1693" s="1">
        <v>11000.0</v>
      </c>
      <c r="Z1693" s="1"/>
      <c r="AA1693" s="1">
        <v>11000.0</v>
      </c>
      <c r="AB1693" s="1"/>
      <c r="AC1693" s="1" t="s">
        <v>36</v>
      </c>
      <c r="AD1693" s="1" t="s">
        <v>6316</v>
      </c>
      <c r="AE1693" s="1" t="s">
        <v>32</v>
      </c>
      <c r="AF1693" s="1" t="s">
        <v>33</v>
      </c>
      <c r="AG1693" s="1" t="s">
        <v>49</v>
      </c>
    </row>
    <row r="1694" spans="1:33">
      <c r="A1694" t="s">
        <v>6317</v>
      </c>
      <c r="B1694" t="s">
        <v>6299</v>
      </c>
      <c r="C1694" t="s">
        <v>268</v>
      </c>
      <c r="E1694" t="s">
        <v>6133</v>
      </c>
      <c r="F1694" t="s">
        <v>6134</v>
      </c>
      <c r="G1694">
        <v>45.15</v>
      </c>
      <c r="H1694">
        <v>45.15</v>
      </c>
      <c r="I1694" t="s">
        <v>269</v>
      </c>
      <c r="J1694" t="s">
        <v>270</v>
      </c>
      <c r="K1694" t="s">
        <v>31</v>
      </c>
      <c r="L1694" t="s">
        <v>32</v>
      </c>
      <c r="M1694" t="s">
        <v>33</v>
      </c>
      <c r="P1694" s="1" t="s">
        <v>6318</v>
      </c>
      <c r="Q1694" s="1" t="s">
        <v>6133</v>
      </c>
      <c r="R1694" s="1" t="s">
        <v>6133</v>
      </c>
      <c r="S1694" s="1"/>
      <c r="T1694" s="1" t="s">
        <v>268</v>
      </c>
      <c r="U1694" s="1"/>
      <c r="V1694" s="1">
        <v>45.15</v>
      </c>
      <c r="W1694" s="1">
        <v>45.15</v>
      </c>
      <c r="X1694" s="1" t="s">
        <v>35</v>
      </c>
      <c r="Y1694" s="1">
        <v>45150.0</v>
      </c>
      <c r="Z1694" s="1"/>
      <c r="AA1694" s="1">
        <v>45150.0</v>
      </c>
      <c r="AB1694" s="1"/>
      <c r="AC1694" s="1" t="s">
        <v>36</v>
      </c>
      <c r="AD1694" s="1" t="s">
        <v>6319</v>
      </c>
      <c r="AE1694" s="1" t="s">
        <v>32</v>
      </c>
      <c r="AF1694" s="1" t="s">
        <v>33</v>
      </c>
      <c r="AG1694" s="1" t="s">
        <v>270</v>
      </c>
    </row>
    <row r="1695" spans="1:33">
      <c r="A1695" t="s">
        <v>6320</v>
      </c>
      <c r="C1695" t="s">
        <v>810</v>
      </c>
      <c r="D1695" t="s">
        <v>154</v>
      </c>
      <c r="E1695" t="s">
        <v>6133</v>
      </c>
      <c r="F1695" t="s">
        <v>6134</v>
      </c>
      <c r="G1695">
        <v>1.332</v>
      </c>
      <c r="H1695">
        <v>1.332</v>
      </c>
      <c r="I1695" t="s">
        <v>269</v>
      </c>
      <c r="J1695" t="s">
        <v>270</v>
      </c>
      <c r="K1695" t="s">
        <v>31</v>
      </c>
      <c r="L1695" t="s">
        <v>32</v>
      </c>
      <c r="M1695" t="s">
        <v>33</v>
      </c>
      <c r="P1695" s="1" t="s">
        <v>6321</v>
      </c>
      <c r="Q1695" s="1" t="s">
        <v>6133</v>
      </c>
      <c r="R1695" s="1" t="s">
        <v>6133</v>
      </c>
      <c r="S1695" s="1"/>
      <c r="T1695" s="1" t="s">
        <v>810</v>
      </c>
      <c r="U1695" s="1"/>
      <c r="V1695" s="1">
        <v>1.332</v>
      </c>
      <c r="W1695" s="1">
        <v>1.332</v>
      </c>
      <c r="X1695" s="1" t="s">
        <v>35</v>
      </c>
      <c r="Y1695" s="1">
        <v>1332900.0</v>
      </c>
      <c r="Z1695" s="1"/>
      <c r="AA1695" s="1">
        <v>1332900.0</v>
      </c>
      <c r="AB1695" s="1"/>
      <c r="AC1695" s="1" t="s">
        <v>36</v>
      </c>
      <c r="AD1695" s="1" t="s">
        <v>6322</v>
      </c>
      <c r="AE1695" s="1" t="s">
        <v>32</v>
      </c>
      <c r="AF1695" s="1" t="s">
        <v>33</v>
      </c>
      <c r="AG1695" s="1" t="s">
        <v>270</v>
      </c>
    </row>
    <row r="1696" spans="1:33">
      <c r="A1696" t="s">
        <v>6323</v>
      </c>
      <c r="B1696" t="s">
        <v>6324</v>
      </c>
      <c r="C1696" t="s">
        <v>314</v>
      </c>
      <c r="E1696" t="s">
        <v>6133</v>
      </c>
      <c r="F1696" t="s">
        <v>6134</v>
      </c>
      <c r="G1696">
        <v>36.98</v>
      </c>
      <c r="H1696">
        <v>36.98</v>
      </c>
      <c r="I1696" t="s">
        <v>179</v>
      </c>
      <c r="J1696" t="s">
        <v>180</v>
      </c>
      <c r="K1696" t="s">
        <v>31</v>
      </c>
      <c r="L1696" t="s">
        <v>32</v>
      </c>
      <c r="M1696" t="s">
        <v>33</v>
      </c>
      <c r="P1696" s="1" t="s">
        <v>6325</v>
      </c>
      <c r="Q1696" s="1" t="s">
        <v>6133</v>
      </c>
      <c r="R1696" s="1" t="s">
        <v>6133</v>
      </c>
      <c r="S1696" s="1"/>
      <c r="T1696" s="1" t="s">
        <v>314</v>
      </c>
      <c r="U1696" s="1"/>
      <c r="V1696" s="1">
        <v>36.98</v>
      </c>
      <c r="W1696" s="1">
        <v>36.98</v>
      </c>
      <c r="X1696" s="1" t="s">
        <v>35</v>
      </c>
      <c r="Y1696" s="1">
        <v>36980.0</v>
      </c>
      <c r="Z1696" s="1"/>
      <c r="AA1696" s="1">
        <v>36980.0</v>
      </c>
      <c r="AB1696" s="1"/>
      <c r="AC1696" s="1" t="s">
        <v>36</v>
      </c>
      <c r="AD1696" s="1" t="s">
        <v>6326</v>
      </c>
      <c r="AE1696" s="1" t="s">
        <v>32</v>
      </c>
      <c r="AF1696" s="1" t="s">
        <v>33</v>
      </c>
      <c r="AG1696" s="1" t="s">
        <v>180</v>
      </c>
    </row>
    <row r="1697" spans="1:33">
      <c r="A1697" t="s">
        <v>6327</v>
      </c>
      <c r="C1697" t="s">
        <v>558</v>
      </c>
      <c r="D1697" t="s">
        <v>154</v>
      </c>
      <c r="E1697" t="s">
        <v>6133</v>
      </c>
      <c r="F1697" t="s">
        <v>6134</v>
      </c>
      <c r="G1697">
        <v>91.5</v>
      </c>
      <c r="H1697">
        <v>91.5</v>
      </c>
      <c r="I1697" t="s">
        <v>269</v>
      </c>
      <c r="J1697" t="s">
        <v>270</v>
      </c>
      <c r="K1697" t="s">
        <v>31</v>
      </c>
      <c r="L1697" t="s">
        <v>32</v>
      </c>
      <c r="M1697" t="s">
        <v>33</v>
      </c>
      <c r="P1697" s="1" t="s">
        <v>6328</v>
      </c>
      <c r="Q1697" s="1" t="s">
        <v>6133</v>
      </c>
      <c r="R1697" s="1" t="s">
        <v>6133</v>
      </c>
      <c r="S1697" s="1"/>
      <c r="T1697" s="1" t="s">
        <v>560</v>
      </c>
      <c r="U1697" s="1" t="s">
        <v>561</v>
      </c>
      <c r="V1697" s="1">
        <v>91.5</v>
      </c>
      <c r="W1697" s="1">
        <v>91.5</v>
      </c>
      <c r="X1697" s="1" t="s">
        <v>35</v>
      </c>
      <c r="Y1697" s="1">
        <v>91500.0</v>
      </c>
      <c r="Z1697" s="1"/>
      <c r="AA1697" s="1">
        <v>91500.0</v>
      </c>
      <c r="AB1697" s="1"/>
      <c r="AC1697" s="1" t="s">
        <v>36</v>
      </c>
      <c r="AD1697" s="1" t="s">
        <v>6329</v>
      </c>
      <c r="AE1697" s="1" t="s">
        <v>32</v>
      </c>
      <c r="AF1697" s="1" t="s">
        <v>33</v>
      </c>
      <c r="AG1697" s="1" t="s">
        <v>270</v>
      </c>
    </row>
    <row r="1698" spans="1:33">
      <c r="A1698" t="s">
        <v>6330</v>
      </c>
      <c r="B1698" t="s">
        <v>3180</v>
      </c>
      <c r="C1698" t="s">
        <v>268</v>
      </c>
      <c r="E1698" t="s">
        <v>6133</v>
      </c>
      <c r="F1698" t="s">
        <v>6134</v>
      </c>
      <c r="G1698">
        <v>16.9</v>
      </c>
      <c r="H1698">
        <v>16.9</v>
      </c>
      <c r="I1698" t="s">
        <v>269</v>
      </c>
      <c r="J1698" t="s">
        <v>270</v>
      </c>
      <c r="K1698" t="s">
        <v>31</v>
      </c>
      <c r="L1698" t="s">
        <v>32</v>
      </c>
      <c r="M1698" t="s">
        <v>33</v>
      </c>
      <c r="P1698" s="1" t="s">
        <v>6331</v>
      </c>
      <c r="Q1698" s="1" t="s">
        <v>6133</v>
      </c>
      <c r="R1698" s="1" t="s">
        <v>6133</v>
      </c>
      <c r="S1698" s="1"/>
      <c r="T1698" s="1" t="s">
        <v>268</v>
      </c>
      <c r="U1698" s="1"/>
      <c r="V1698" s="1">
        <v>16.9</v>
      </c>
      <c r="W1698" s="1">
        <v>16.9</v>
      </c>
      <c r="X1698" s="1" t="s">
        <v>35</v>
      </c>
      <c r="Y1698" s="1">
        <v>16900.0</v>
      </c>
      <c r="Z1698" s="1"/>
      <c r="AA1698" s="1">
        <v>16900.0</v>
      </c>
      <c r="AB1698" s="1"/>
      <c r="AC1698" s="1" t="s">
        <v>36</v>
      </c>
      <c r="AD1698" s="1" t="s">
        <v>6332</v>
      </c>
      <c r="AE1698" s="1" t="s">
        <v>32</v>
      </c>
      <c r="AF1698" s="1" t="s">
        <v>33</v>
      </c>
      <c r="AG1698" s="1" t="s">
        <v>270</v>
      </c>
    </row>
    <row r="1699" spans="1:33">
      <c r="A1699" t="s">
        <v>6333</v>
      </c>
      <c r="B1699" t="s">
        <v>6080</v>
      </c>
      <c r="C1699" t="s">
        <v>314</v>
      </c>
      <c r="E1699" t="s">
        <v>6133</v>
      </c>
      <c r="F1699" t="s">
        <v>6134</v>
      </c>
      <c r="G1699">
        <v>7.148</v>
      </c>
      <c r="H1699">
        <v>7.148</v>
      </c>
      <c r="I1699" t="s">
        <v>179</v>
      </c>
      <c r="J1699" t="s">
        <v>180</v>
      </c>
      <c r="K1699" t="s">
        <v>31</v>
      </c>
      <c r="L1699" t="s">
        <v>32</v>
      </c>
      <c r="M1699" t="s">
        <v>33</v>
      </c>
      <c r="P1699" s="1" t="s">
        <v>6334</v>
      </c>
      <c r="Q1699" s="1" t="s">
        <v>6133</v>
      </c>
      <c r="R1699" s="1" t="s">
        <v>6133</v>
      </c>
      <c r="S1699" s="1"/>
      <c r="T1699" s="1" t="s">
        <v>314</v>
      </c>
      <c r="U1699" s="1"/>
      <c r="V1699" s="1">
        <v>7.148</v>
      </c>
      <c r="W1699" s="1">
        <v>7.148</v>
      </c>
      <c r="X1699" s="1" t="s">
        <v>35</v>
      </c>
      <c r="Y1699" s="1">
        <v>7148.0</v>
      </c>
      <c r="Z1699" s="1"/>
      <c r="AA1699" s="1">
        <v>7148.0</v>
      </c>
      <c r="AB1699" s="1"/>
      <c r="AC1699" s="1" t="s">
        <v>36</v>
      </c>
      <c r="AD1699" s="1" t="s">
        <v>6335</v>
      </c>
      <c r="AE1699" s="1" t="s">
        <v>32</v>
      </c>
      <c r="AF1699" s="1" t="s">
        <v>33</v>
      </c>
      <c r="AG1699" s="1" t="s">
        <v>180</v>
      </c>
    </row>
    <row r="1700" spans="1:33">
      <c r="A1700" t="s">
        <v>6336</v>
      </c>
      <c r="B1700" t="s">
        <v>6337</v>
      </c>
      <c r="C1700" t="s">
        <v>47</v>
      </c>
      <c r="E1700" t="s">
        <v>6133</v>
      </c>
      <c r="F1700" t="s">
        <v>6134</v>
      </c>
      <c r="G1700">
        <v>21.99</v>
      </c>
      <c r="H1700">
        <v>21.99</v>
      </c>
      <c r="I1700" t="s">
        <v>48</v>
      </c>
      <c r="J1700" t="s">
        <v>49</v>
      </c>
      <c r="K1700" t="s">
        <v>31</v>
      </c>
      <c r="L1700" t="s">
        <v>32</v>
      </c>
      <c r="M1700" t="s">
        <v>33</v>
      </c>
      <c r="P1700" s="1" t="s">
        <v>6338</v>
      </c>
      <c r="Q1700" s="1" t="s">
        <v>6133</v>
      </c>
      <c r="R1700" s="1" t="s">
        <v>6133</v>
      </c>
      <c r="S1700" s="1"/>
      <c r="T1700" s="1" t="s">
        <v>47</v>
      </c>
      <c r="U1700" s="1"/>
      <c r="V1700" s="1">
        <v>21.99</v>
      </c>
      <c r="W1700" s="1">
        <v>21.99</v>
      </c>
      <c r="X1700" s="1" t="s">
        <v>35</v>
      </c>
      <c r="Y1700" s="1">
        <v>21990.0</v>
      </c>
      <c r="Z1700" s="1"/>
      <c r="AA1700" s="1">
        <v>21990.0</v>
      </c>
      <c r="AB1700" s="1"/>
      <c r="AC1700" s="1" t="s">
        <v>36</v>
      </c>
      <c r="AD1700" s="1" t="s">
        <v>6339</v>
      </c>
      <c r="AE1700" s="1" t="s">
        <v>32</v>
      </c>
      <c r="AF1700" s="1" t="s">
        <v>33</v>
      </c>
      <c r="AG1700" s="1" t="s">
        <v>49</v>
      </c>
    </row>
    <row r="1701" spans="1:33">
      <c r="A1701" t="s">
        <v>6340</v>
      </c>
      <c r="B1701" t="s">
        <v>3168</v>
      </c>
      <c r="C1701" t="s">
        <v>3169</v>
      </c>
      <c r="E1701" t="s">
        <v>6133</v>
      </c>
      <c r="F1701" t="s">
        <v>6134</v>
      </c>
      <c r="G1701">
        <v>892.05</v>
      </c>
      <c r="H1701">
        <v>892.05</v>
      </c>
      <c r="I1701" t="s">
        <v>529</v>
      </c>
      <c r="J1701" t="s">
        <v>530</v>
      </c>
      <c r="K1701" t="s">
        <v>31</v>
      </c>
      <c r="L1701" t="s">
        <v>32</v>
      </c>
      <c r="M1701" t="s">
        <v>33</v>
      </c>
      <c r="P1701" s="1" t="s">
        <v>6341</v>
      </c>
      <c r="Q1701" s="1" t="s">
        <v>6133</v>
      </c>
      <c r="R1701" s="1" t="s">
        <v>5469</v>
      </c>
      <c r="S1701" s="1"/>
      <c r="T1701" s="1" t="s">
        <v>3169</v>
      </c>
      <c r="U1701" s="1"/>
      <c r="V1701" s="1">
        <v>892.05</v>
      </c>
      <c r="W1701" s="1">
        <v>892.05</v>
      </c>
      <c r="X1701" s="1" t="s">
        <v>35</v>
      </c>
      <c r="Y1701" s="1">
        <v>892050.0</v>
      </c>
      <c r="Z1701" s="1"/>
      <c r="AA1701" s="1">
        <v>892050.0</v>
      </c>
      <c r="AB1701" s="1"/>
      <c r="AC1701" s="1" t="s">
        <v>36</v>
      </c>
      <c r="AD1701" s="1" t="s">
        <v>6342</v>
      </c>
      <c r="AE1701" s="1" t="s">
        <v>32</v>
      </c>
      <c r="AF1701" s="1" t="s">
        <v>33</v>
      </c>
      <c r="AG1701" s="1" t="s">
        <v>530</v>
      </c>
    </row>
    <row r="1702" spans="1:33">
      <c r="A1702" t="s">
        <v>6343</v>
      </c>
      <c r="C1702" t="s">
        <v>6344</v>
      </c>
      <c r="E1702" t="s">
        <v>6133</v>
      </c>
      <c r="F1702" t="s">
        <v>6134</v>
      </c>
      <c r="G1702">
        <v>380.0</v>
      </c>
      <c r="H1702">
        <v>380.0</v>
      </c>
      <c r="I1702" t="s">
        <v>126</v>
      </c>
      <c r="J1702" t="s">
        <v>127</v>
      </c>
      <c r="K1702" t="s">
        <v>31</v>
      </c>
      <c r="L1702" t="s">
        <v>32</v>
      </c>
      <c r="M1702" t="s">
        <v>33</v>
      </c>
      <c r="P1702" s="1" t="s">
        <v>6345</v>
      </c>
      <c r="Q1702" s="1" t="s">
        <v>6133</v>
      </c>
      <c r="R1702" s="1" t="s">
        <v>6133</v>
      </c>
      <c r="S1702" s="1"/>
      <c r="T1702" s="1" t="s">
        <v>6344</v>
      </c>
      <c r="U1702" s="1"/>
      <c r="V1702" s="1">
        <v>380.0</v>
      </c>
      <c r="W1702" s="1">
        <v>380.0</v>
      </c>
      <c r="X1702" s="1" t="s">
        <v>35</v>
      </c>
      <c r="Y1702" s="1">
        <v>380000.0</v>
      </c>
      <c r="Z1702" s="1"/>
      <c r="AA1702" s="1">
        <v>380000.0</v>
      </c>
      <c r="AB1702" s="1"/>
      <c r="AC1702" s="1" t="s">
        <v>36</v>
      </c>
      <c r="AD1702" s="1" t="s">
        <v>6346</v>
      </c>
      <c r="AE1702" s="1" t="s">
        <v>32</v>
      </c>
      <c r="AF1702" s="1" t="s">
        <v>33</v>
      </c>
      <c r="AG1702" s="1" t="s">
        <v>127</v>
      </c>
    </row>
    <row r="1703" spans="1:33">
      <c r="A1703" t="s">
        <v>6347</v>
      </c>
      <c r="B1703" t="s">
        <v>6348</v>
      </c>
      <c r="C1703" t="s">
        <v>47</v>
      </c>
      <c r="E1703" t="s">
        <v>6133</v>
      </c>
      <c r="F1703" t="s">
        <v>6134</v>
      </c>
      <c r="G1703">
        <v>54.78</v>
      </c>
      <c r="H1703">
        <v>54.78</v>
      </c>
      <c r="I1703" t="s">
        <v>48</v>
      </c>
      <c r="J1703" t="s">
        <v>49</v>
      </c>
      <c r="K1703" t="s">
        <v>31</v>
      </c>
      <c r="L1703" t="s">
        <v>32</v>
      </c>
      <c r="M1703" t="s">
        <v>33</v>
      </c>
      <c r="P1703" s="1" t="s">
        <v>6349</v>
      </c>
      <c r="Q1703" s="1" t="s">
        <v>6133</v>
      </c>
      <c r="R1703" s="1" t="s">
        <v>6133</v>
      </c>
      <c r="S1703" s="1"/>
      <c r="T1703" s="1" t="s">
        <v>47</v>
      </c>
      <c r="U1703" s="1"/>
      <c r="V1703" s="1">
        <v>54.78</v>
      </c>
      <c r="W1703" s="1">
        <v>54.78</v>
      </c>
      <c r="X1703" s="1" t="s">
        <v>35</v>
      </c>
      <c r="Y1703" s="1">
        <v>54780.0</v>
      </c>
      <c r="Z1703" s="1"/>
      <c r="AA1703" s="1">
        <v>54780.0</v>
      </c>
      <c r="AB1703" s="1"/>
      <c r="AC1703" s="1" t="s">
        <v>36</v>
      </c>
      <c r="AD1703" s="1" t="s">
        <v>6350</v>
      </c>
      <c r="AE1703" s="1" t="s">
        <v>32</v>
      </c>
      <c r="AF1703" s="1" t="s">
        <v>33</v>
      </c>
      <c r="AG1703" s="1" t="s">
        <v>49</v>
      </c>
    </row>
    <row r="1704" spans="1:33">
      <c r="A1704" t="s">
        <v>6351</v>
      </c>
      <c r="C1704" t="s">
        <v>392</v>
      </c>
      <c r="E1704" t="s">
        <v>6133</v>
      </c>
      <c r="F1704" t="s">
        <v>6134</v>
      </c>
      <c r="G1704">
        <v>656.0</v>
      </c>
      <c r="H1704">
        <v>656.0</v>
      </c>
      <c r="I1704" t="s">
        <v>48</v>
      </c>
      <c r="J1704" t="s">
        <v>49</v>
      </c>
      <c r="K1704" t="s">
        <v>31</v>
      </c>
      <c r="L1704" t="s">
        <v>32</v>
      </c>
      <c r="M1704" t="s">
        <v>33</v>
      </c>
      <c r="P1704" s="1" t="s">
        <v>6352</v>
      </c>
      <c r="Q1704" s="1" t="s">
        <v>6133</v>
      </c>
      <c r="R1704" s="1" t="s">
        <v>6133</v>
      </c>
      <c r="S1704" s="1"/>
      <c r="T1704" s="1" t="s">
        <v>392</v>
      </c>
      <c r="U1704" s="1"/>
      <c r="V1704" s="1">
        <v>656.0</v>
      </c>
      <c r="W1704" s="1">
        <v>656.0</v>
      </c>
      <c r="X1704" s="1" t="s">
        <v>35</v>
      </c>
      <c r="Y1704" s="1">
        <v>656000.0</v>
      </c>
      <c r="Z1704" s="1"/>
      <c r="AA1704" s="1">
        <v>656000.0</v>
      </c>
      <c r="AB1704" s="1"/>
      <c r="AC1704" s="1" t="s">
        <v>36</v>
      </c>
      <c r="AD1704" s="1" t="s">
        <v>6353</v>
      </c>
      <c r="AE1704" s="1" t="s">
        <v>32</v>
      </c>
      <c r="AF1704" s="1" t="s">
        <v>33</v>
      </c>
      <c r="AG1704" s="1" t="s">
        <v>49</v>
      </c>
    </row>
    <row r="1705" spans="1:33">
      <c r="A1705" t="s">
        <v>6354</v>
      </c>
      <c r="C1705" t="s">
        <v>6355</v>
      </c>
      <c r="D1705" t="s">
        <v>154</v>
      </c>
      <c r="E1705" t="s">
        <v>6133</v>
      </c>
      <c r="F1705" t="s">
        <v>6134</v>
      </c>
      <c r="G1705">
        <v>1.127</v>
      </c>
      <c r="H1705">
        <v>1.127</v>
      </c>
      <c r="I1705" t="s">
        <v>269</v>
      </c>
      <c r="J1705" t="s">
        <v>270</v>
      </c>
      <c r="K1705" t="s">
        <v>31</v>
      </c>
      <c r="L1705" t="s">
        <v>32</v>
      </c>
      <c r="M1705" t="s">
        <v>33</v>
      </c>
      <c r="P1705" s="1" t="s">
        <v>6356</v>
      </c>
      <c r="Q1705" s="1" t="s">
        <v>6133</v>
      </c>
      <c r="R1705" s="1" t="s">
        <v>6133</v>
      </c>
      <c r="S1705" s="1"/>
      <c r="T1705" s="1" t="s">
        <v>6355</v>
      </c>
      <c r="U1705" s="1"/>
      <c r="V1705" s="1">
        <v>1.127</v>
      </c>
      <c r="W1705" s="1">
        <v>1.127</v>
      </c>
      <c r="X1705" s="1" t="s">
        <v>35</v>
      </c>
      <c r="Y1705" s="1">
        <v>1127350.0</v>
      </c>
      <c r="Z1705" s="1"/>
      <c r="AA1705" s="1">
        <v>1127350.0</v>
      </c>
      <c r="AB1705" s="1"/>
      <c r="AC1705" s="1" t="s">
        <v>36</v>
      </c>
      <c r="AD1705" s="1" t="s">
        <v>6357</v>
      </c>
      <c r="AE1705" s="1" t="s">
        <v>32</v>
      </c>
      <c r="AF1705" s="1" t="s">
        <v>33</v>
      </c>
      <c r="AG1705" s="1" t="s">
        <v>270</v>
      </c>
    </row>
    <row r="1706" spans="1:33">
      <c r="A1706" t="s">
        <v>6358</v>
      </c>
      <c r="C1706" t="s">
        <v>6359</v>
      </c>
      <c r="E1706" t="s">
        <v>6133</v>
      </c>
      <c r="F1706" t="s">
        <v>6134</v>
      </c>
      <c r="G1706">
        <v>2.075</v>
      </c>
      <c r="H1706">
        <v>2.075</v>
      </c>
      <c r="I1706" t="s">
        <v>48</v>
      </c>
      <c r="J1706" t="s">
        <v>49</v>
      </c>
      <c r="K1706" t="s">
        <v>31</v>
      </c>
      <c r="L1706" t="s">
        <v>32</v>
      </c>
      <c r="M1706" t="s">
        <v>33</v>
      </c>
      <c r="P1706" s="1" t="s">
        <v>6360</v>
      </c>
      <c r="Q1706" s="1" t="s">
        <v>6133</v>
      </c>
      <c r="R1706" s="1" t="s">
        <v>6133</v>
      </c>
      <c r="S1706" s="1"/>
      <c r="T1706" s="1" t="s">
        <v>6359</v>
      </c>
      <c r="U1706" s="1"/>
      <c r="V1706" s="1">
        <v>2.075</v>
      </c>
      <c r="W1706" s="1">
        <v>2.075</v>
      </c>
      <c r="X1706" s="1" t="s">
        <v>35</v>
      </c>
      <c r="Y1706" s="1">
        <v>2075500.0</v>
      </c>
      <c r="Z1706" s="1"/>
      <c r="AA1706" s="1">
        <v>2075500.0</v>
      </c>
      <c r="AB1706" s="1"/>
      <c r="AC1706" s="1" t="s">
        <v>36</v>
      </c>
      <c r="AD1706" s="1" t="s">
        <v>6361</v>
      </c>
      <c r="AE1706" s="1" t="s">
        <v>32</v>
      </c>
      <c r="AF1706" s="1" t="s">
        <v>33</v>
      </c>
      <c r="AG1706" s="1" t="s">
        <v>49</v>
      </c>
    </row>
    <row r="1707" spans="1:33">
      <c r="A1707" t="s">
        <v>6362</v>
      </c>
      <c r="B1707" t="s">
        <v>802</v>
      </c>
      <c r="C1707" t="s">
        <v>314</v>
      </c>
      <c r="E1707" t="s">
        <v>6133</v>
      </c>
      <c r="F1707" t="s">
        <v>6134</v>
      </c>
      <c r="G1707">
        <v>96.76</v>
      </c>
      <c r="H1707">
        <v>96.76</v>
      </c>
      <c r="I1707" t="s">
        <v>179</v>
      </c>
      <c r="J1707" t="s">
        <v>180</v>
      </c>
      <c r="K1707" t="s">
        <v>31</v>
      </c>
      <c r="L1707" t="s">
        <v>32</v>
      </c>
      <c r="M1707" t="s">
        <v>33</v>
      </c>
      <c r="P1707" s="1" t="s">
        <v>6363</v>
      </c>
      <c r="Q1707" s="1" t="s">
        <v>6133</v>
      </c>
      <c r="R1707" s="1" t="s">
        <v>6133</v>
      </c>
      <c r="S1707" s="1"/>
      <c r="T1707" s="1" t="s">
        <v>314</v>
      </c>
      <c r="U1707" s="1"/>
      <c r="V1707" s="1">
        <v>96.76</v>
      </c>
      <c r="W1707" s="1">
        <v>96.76</v>
      </c>
      <c r="X1707" s="1" t="s">
        <v>35</v>
      </c>
      <c r="Y1707" s="1">
        <v>96760.0</v>
      </c>
      <c r="Z1707" s="1"/>
      <c r="AA1707" s="1">
        <v>96760.0</v>
      </c>
      <c r="AB1707" s="1"/>
      <c r="AC1707" s="1" t="s">
        <v>36</v>
      </c>
      <c r="AD1707" s="1" t="s">
        <v>6364</v>
      </c>
      <c r="AE1707" s="1" t="s">
        <v>32</v>
      </c>
      <c r="AF1707" s="1" t="s">
        <v>33</v>
      </c>
      <c r="AG1707" s="1" t="s">
        <v>180</v>
      </c>
    </row>
    <row r="1708" spans="1:33">
      <c r="A1708" t="s">
        <v>6365</v>
      </c>
      <c r="C1708" t="s">
        <v>1522</v>
      </c>
      <c r="E1708" t="s">
        <v>6133</v>
      </c>
      <c r="F1708" t="s">
        <v>6134</v>
      </c>
      <c r="G1708">
        <v>738.0</v>
      </c>
      <c r="H1708">
        <v>738.0</v>
      </c>
      <c r="I1708" t="s">
        <v>227</v>
      </c>
      <c r="J1708" t="s">
        <v>228</v>
      </c>
      <c r="K1708" t="s">
        <v>31</v>
      </c>
      <c r="L1708" t="s">
        <v>32</v>
      </c>
      <c r="M1708" t="s">
        <v>33</v>
      </c>
      <c r="P1708" s="1" t="s">
        <v>6366</v>
      </c>
      <c r="Q1708" s="1" t="s">
        <v>6133</v>
      </c>
      <c r="R1708" s="1" t="s">
        <v>6133</v>
      </c>
      <c r="S1708" s="1"/>
      <c r="T1708" s="1" t="s">
        <v>1522</v>
      </c>
      <c r="U1708" s="1"/>
      <c r="V1708" s="1">
        <v>738.0</v>
      </c>
      <c r="W1708" s="1">
        <v>738.0</v>
      </c>
      <c r="X1708" s="1" t="s">
        <v>35</v>
      </c>
      <c r="Y1708" s="1">
        <v>738000.0</v>
      </c>
      <c r="Z1708" s="1"/>
      <c r="AA1708" s="1">
        <v>738000.0</v>
      </c>
      <c r="AB1708" s="1"/>
      <c r="AC1708" s="1" t="s">
        <v>36</v>
      </c>
      <c r="AD1708" s="1" t="s">
        <v>6367</v>
      </c>
      <c r="AE1708" s="1" t="s">
        <v>32</v>
      </c>
      <c r="AF1708" s="1" t="s">
        <v>33</v>
      </c>
      <c r="AG1708" s="1" t="s">
        <v>228</v>
      </c>
    </row>
    <row r="1709" spans="1:33">
      <c r="A1709" t="s">
        <v>6368</v>
      </c>
      <c r="B1709" t="s">
        <v>6369</v>
      </c>
      <c r="C1709" t="s">
        <v>125</v>
      </c>
      <c r="E1709" t="s">
        <v>6133</v>
      </c>
      <c r="F1709" t="s">
        <v>6134</v>
      </c>
      <c r="G1709">
        <v>9.0</v>
      </c>
      <c r="H1709">
        <v>9.0</v>
      </c>
      <c r="I1709" t="s">
        <v>126</v>
      </c>
      <c r="J1709" t="s">
        <v>127</v>
      </c>
      <c r="K1709" t="s">
        <v>31</v>
      </c>
      <c r="L1709" t="s">
        <v>32</v>
      </c>
      <c r="M1709" t="s">
        <v>33</v>
      </c>
      <c r="P1709" s="1" t="s">
        <v>6370</v>
      </c>
      <c r="Q1709" s="1" t="s">
        <v>6133</v>
      </c>
      <c r="R1709" s="1" t="s">
        <v>6133</v>
      </c>
      <c r="S1709" s="1"/>
      <c r="T1709" s="1" t="s">
        <v>125</v>
      </c>
      <c r="U1709" s="1"/>
      <c r="V1709" s="1">
        <v>9.0</v>
      </c>
      <c r="W1709" s="1">
        <v>9.0</v>
      </c>
      <c r="X1709" s="1" t="s">
        <v>35</v>
      </c>
      <c r="Y1709" s="1">
        <v>9000.0</v>
      </c>
      <c r="Z1709" s="1"/>
      <c r="AA1709" s="1">
        <v>9000.0</v>
      </c>
      <c r="AB1709" s="1"/>
      <c r="AC1709" s="1" t="s">
        <v>36</v>
      </c>
      <c r="AD1709" s="1" t="s">
        <v>6371</v>
      </c>
      <c r="AE1709" s="1" t="s">
        <v>32</v>
      </c>
      <c r="AF1709" s="1" t="s">
        <v>33</v>
      </c>
      <c r="AG1709" s="1" t="s">
        <v>127</v>
      </c>
    </row>
    <row r="1710" spans="1:33">
      <c r="A1710" t="s">
        <v>6372</v>
      </c>
      <c r="C1710" t="s">
        <v>688</v>
      </c>
      <c r="E1710" t="s">
        <v>6133</v>
      </c>
      <c r="F1710" t="s">
        <v>6134</v>
      </c>
      <c r="G1710">
        <v>3.28</v>
      </c>
      <c r="H1710">
        <v>3.28</v>
      </c>
      <c r="I1710" t="s">
        <v>269</v>
      </c>
      <c r="J1710" t="s">
        <v>270</v>
      </c>
      <c r="K1710" t="s">
        <v>31</v>
      </c>
      <c r="L1710" t="s">
        <v>32</v>
      </c>
      <c r="M1710" t="s">
        <v>33</v>
      </c>
      <c r="P1710" s="1" t="s">
        <v>6373</v>
      </c>
      <c r="Q1710" s="1" t="s">
        <v>6133</v>
      </c>
      <c r="R1710" s="1" t="s">
        <v>6133</v>
      </c>
      <c r="S1710" s="1"/>
      <c r="T1710" s="1" t="s">
        <v>688</v>
      </c>
      <c r="U1710" s="1"/>
      <c r="V1710" s="1">
        <v>3.28</v>
      </c>
      <c r="W1710" s="1">
        <v>3.28</v>
      </c>
      <c r="X1710" s="1" t="s">
        <v>35</v>
      </c>
      <c r="Y1710" s="1">
        <v>3280000.0</v>
      </c>
      <c r="Z1710" s="1"/>
      <c r="AA1710" s="1">
        <v>3280000.0</v>
      </c>
      <c r="AB1710" s="1"/>
      <c r="AC1710" s="1" t="s">
        <v>36</v>
      </c>
      <c r="AD1710" s="1" t="s">
        <v>6374</v>
      </c>
      <c r="AE1710" s="1" t="s">
        <v>32</v>
      </c>
      <c r="AF1710" s="1" t="s">
        <v>33</v>
      </c>
      <c r="AG1710" s="1" t="s">
        <v>270</v>
      </c>
    </row>
    <row r="1711" spans="1:33">
      <c r="A1711" t="s">
        <v>6375</v>
      </c>
      <c r="B1711" t="s">
        <v>6376</v>
      </c>
      <c r="C1711" t="s">
        <v>1408</v>
      </c>
      <c r="E1711" t="s">
        <v>6133</v>
      </c>
      <c r="F1711" t="s">
        <v>6134</v>
      </c>
      <c r="G1711">
        <v>478.6</v>
      </c>
      <c r="H1711">
        <v>478.6</v>
      </c>
      <c r="I1711" t="s">
        <v>529</v>
      </c>
      <c r="J1711" t="s">
        <v>530</v>
      </c>
      <c r="K1711" t="s">
        <v>31</v>
      </c>
      <c r="L1711" t="s">
        <v>32</v>
      </c>
      <c r="M1711" t="s">
        <v>33</v>
      </c>
      <c r="P1711" s="1" t="s">
        <v>6377</v>
      </c>
      <c r="Q1711" s="1" t="s">
        <v>6133</v>
      </c>
      <c r="R1711" s="1" t="s">
        <v>5469</v>
      </c>
      <c r="S1711" s="1"/>
      <c r="T1711" s="1" t="s">
        <v>1408</v>
      </c>
      <c r="U1711" s="1"/>
      <c r="V1711" s="1">
        <v>478.6</v>
      </c>
      <c r="W1711" s="1">
        <v>478.6</v>
      </c>
      <c r="X1711" s="1" t="s">
        <v>35</v>
      </c>
      <c r="Y1711" s="1">
        <v>478600.0</v>
      </c>
      <c r="Z1711" s="1"/>
      <c r="AA1711" s="1">
        <v>478600.0</v>
      </c>
      <c r="AB1711" s="1"/>
      <c r="AC1711" s="1" t="s">
        <v>36</v>
      </c>
      <c r="AD1711" s="1" t="s">
        <v>6378</v>
      </c>
      <c r="AE1711" s="1" t="s">
        <v>32</v>
      </c>
      <c r="AF1711" s="1" t="s">
        <v>33</v>
      </c>
      <c r="AG1711" s="1" t="s">
        <v>530</v>
      </c>
    </row>
    <row r="1712" spans="1:33">
      <c r="A1712" t="s">
        <v>6379</v>
      </c>
      <c r="B1712" t="s">
        <v>2631</v>
      </c>
      <c r="C1712" t="s">
        <v>2632</v>
      </c>
      <c r="E1712" t="s">
        <v>6133</v>
      </c>
      <c r="F1712" t="s">
        <v>6134</v>
      </c>
      <c r="G1712">
        <v>89.5</v>
      </c>
      <c r="H1712">
        <v>89.5</v>
      </c>
      <c r="I1712" t="s">
        <v>29</v>
      </c>
      <c r="J1712" t="s">
        <v>30</v>
      </c>
      <c r="K1712" t="s">
        <v>31</v>
      </c>
      <c r="L1712" t="s">
        <v>32</v>
      </c>
      <c r="M1712" t="s">
        <v>33</v>
      </c>
      <c r="P1712" s="1" t="s">
        <v>6380</v>
      </c>
      <c r="Q1712" s="1" t="s">
        <v>6133</v>
      </c>
      <c r="R1712" s="1" t="s">
        <v>6133</v>
      </c>
      <c r="S1712" s="1"/>
      <c r="T1712" s="1" t="s">
        <v>2632</v>
      </c>
      <c r="U1712" s="1"/>
      <c r="V1712" s="1">
        <v>89.5</v>
      </c>
      <c r="W1712" s="1">
        <v>89.5</v>
      </c>
      <c r="X1712" s="1" t="s">
        <v>35</v>
      </c>
      <c r="Y1712" s="1">
        <v>89500.0</v>
      </c>
      <c r="Z1712" s="1"/>
      <c r="AA1712" s="1">
        <v>89500.0</v>
      </c>
      <c r="AB1712" s="1"/>
      <c r="AC1712" s="1" t="s">
        <v>36</v>
      </c>
      <c r="AD1712" s="1" t="s">
        <v>6374</v>
      </c>
      <c r="AE1712" s="1" t="s">
        <v>32</v>
      </c>
      <c r="AF1712" s="1" t="s">
        <v>33</v>
      </c>
      <c r="AG1712" s="1" t="s">
        <v>30</v>
      </c>
    </row>
    <row r="1713" spans="1:33">
      <c r="A1713" t="s">
        <v>6381</v>
      </c>
      <c r="B1713" t="s">
        <v>6382</v>
      </c>
      <c r="C1713" t="s">
        <v>125</v>
      </c>
      <c r="E1713" t="s">
        <v>6133</v>
      </c>
      <c r="F1713" t="s">
        <v>6134</v>
      </c>
      <c r="G1713">
        <v>9.095</v>
      </c>
      <c r="H1713">
        <v>9.095</v>
      </c>
      <c r="I1713" t="s">
        <v>126</v>
      </c>
      <c r="J1713" t="s">
        <v>127</v>
      </c>
      <c r="K1713" t="s">
        <v>31</v>
      </c>
      <c r="L1713" t="s">
        <v>32</v>
      </c>
      <c r="M1713" t="s">
        <v>33</v>
      </c>
      <c r="P1713" s="1" t="s">
        <v>6383</v>
      </c>
      <c r="Q1713" s="1" t="s">
        <v>6133</v>
      </c>
      <c r="R1713" s="1" t="s">
        <v>6133</v>
      </c>
      <c r="S1713" s="1"/>
      <c r="T1713" s="1" t="s">
        <v>125</v>
      </c>
      <c r="U1713" s="1"/>
      <c r="V1713" s="1">
        <v>9.095</v>
      </c>
      <c r="W1713" s="1">
        <v>9.095</v>
      </c>
      <c r="X1713" s="1" t="s">
        <v>35</v>
      </c>
      <c r="Y1713" s="1">
        <v>9095.0</v>
      </c>
      <c r="Z1713" s="1"/>
      <c r="AA1713" s="1">
        <v>9095.0</v>
      </c>
      <c r="AB1713" s="1"/>
      <c r="AC1713" s="1" t="s">
        <v>36</v>
      </c>
      <c r="AD1713" s="1" t="s">
        <v>6374</v>
      </c>
      <c r="AE1713" s="1" t="s">
        <v>32</v>
      </c>
      <c r="AF1713" s="1" t="s">
        <v>33</v>
      </c>
      <c r="AG1713" s="1" t="s">
        <v>127</v>
      </c>
    </row>
    <row r="1714" spans="1:33">
      <c r="A1714" t="s">
        <v>6384</v>
      </c>
      <c r="C1714" t="s">
        <v>4531</v>
      </c>
      <c r="E1714" t="s">
        <v>6133</v>
      </c>
      <c r="F1714" t="s">
        <v>6134</v>
      </c>
      <c r="G1714">
        <v>950.0</v>
      </c>
      <c r="H1714">
        <v>950.0</v>
      </c>
      <c r="I1714" t="s">
        <v>126</v>
      </c>
      <c r="J1714" t="s">
        <v>127</v>
      </c>
      <c r="K1714" t="s">
        <v>31</v>
      </c>
      <c r="L1714" t="s">
        <v>32</v>
      </c>
      <c r="M1714" t="s">
        <v>33</v>
      </c>
      <c r="P1714" s="1" t="s">
        <v>6385</v>
      </c>
      <c r="Q1714" s="1" t="s">
        <v>6133</v>
      </c>
      <c r="R1714" s="1" t="s">
        <v>6133</v>
      </c>
      <c r="S1714" s="1"/>
      <c r="T1714" s="1" t="s">
        <v>4533</v>
      </c>
      <c r="U1714" s="1" t="s">
        <v>4534</v>
      </c>
      <c r="V1714" s="1">
        <v>950.0</v>
      </c>
      <c r="W1714" s="1">
        <v>950.0</v>
      </c>
      <c r="X1714" s="1" t="s">
        <v>35</v>
      </c>
      <c r="Y1714" s="1">
        <v>950000.0</v>
      </c>
      <c r="Z1714" s="1"/>
      <c r="AA1714" s="1">
        <v>950000.0</v>
      </c>
      <c r="AB1714" s="1"/>
      <c r="AC1714" s="1" t="s">
        <v>36</v>
      </c>
      <c r="AD1714" s="1" t="s">
        <v>6386</v>
      </c>
      <c r="AE1714" s="1" t="s">
        <v>32</v>
      </c>
      <c r="AF1714" s="1" t="s">
        <v>33</v>
      </c>
      <c r="AG1714" s="1" t="s">
        <v>127</v>
      </c>
    </row>
    <row r="1715" spans="1:33">
      <c r="A1715" t="s">
        <v>6387</v>
      </c>
      <c r="C1715" t="s">
        <v>1695</v>
      </c>
      <c r="E1715" t="s">
        <v>6133</v>
      </c>
      <c r="F1715" t="s">
        <v>6134</v>
      </c>
      <c r="G1715">
        <v>423.75</v>
      </c>
      <c r="H1715">
        <v>423.75</v>
      </c>
      <c r="I1715" t="s">
        <v>48</v>
      </c>
      <c r="J1715" t="s">
        <v>49</v>
      </c>
      <c r="K1715" t="s">
        <v>31</v>
      </c>
      <c r="L1715" t="s">
        <v>32</v>
      </c>
      <c r="M1715" t="s">
        <v>33</v>
      </c>
      <c r="P1715" s="1" t="s">
        <v>6388</v>
      </c>
      <c r="Q1715" s="1" t="s">
        <v>6133</v>
      </c>
      <c r="R1715" s="1" t="s">
        <v>6133</v>
      </c>
      <c r="S1715" s="1"/>
      <c r="T1715" s="1" t="s">
        <v>1695</v>
      </c>
      <c r="U1715" s="1"/>
      <c r="V1715" s="1">
        <v>423.75</v>
      </c>
      <c r="W1715" s="1">
        <v>423.75</v>
      </c>
      <c r="X1715" s="1" t="s">
        <v>35</v>
      </c>
      <c r="Y1715" s="1">
        <v>423750.0</v>
      </c>
      <c r="Z1715" s="1"/>
      <c r="AA1715" s="1">
        <v>423750.0</v>
      </c>
      <c r="AB1715" s="1"/>
      <c r="AC1715" s="1" t="s">
        <v>36</v>
      </c>
      <c r="AD1715" s="1" t="s">
        <v>6389</v>
      </c>
      <c r="AE1715" s="1" t="s">
        <v>32</v>
      </c>
      <c r="AF1715" s="1" t="s">
        <v>33</v>
      </c>
      <c r="AG1715" s="1" t="s">
        <v>49</v>
      </c>
    </row>
    <row r="1716" spans="1:33">
      <c r="A1716" t="s">
        <v>6390</v>
      </c>
      <c r="B1716" t="s">
        <v>6391</v>
      </c>
      <c r="C1716" t="s">
        <v>125</v>
      </c>
      <c r="E1716" t="s">
        <v>6133</v>
      </c>
      <c r="F1716" t="s">
        <v>6134</v>
      </c>
      <c r="G1716">
        <v>8.997</v>
      </c>
      <c r="H1716">
        <v>8.997</v>
      </c>
      <c r="I1716" t="s">
        <v>126</v>
      </c>
      <c r="J1716" t="s">
        <v>127</v>
      </c>
      <c r="K1716" t="s">
        <v>31</v>
      </c>
      <c r="L1716" t="s">
        <v>32</v>
      </c>
      <c r="M1716" t="s">
        <v>33</v>
      </c>
      <c r="P1716" s="1" t="s">
        <v>6392</v>
      </c>
      <c r="Q1716" s="1" t="s">
        <v>6133</v>
      </c>
      <c r="R1716" s="1" t="s">
        <v>6133</v>
      </c>
      <c r="S1716" s="1"/>
      <c r="T1716" s="1" t="s">
        <v>125</v>
      </c>
      <c r="U1716" s="1"/>
      <c r="V1716" s="1">
        <v>8.997</v>
      </c>
      <c r="W1716" s="1">
        <v>8.997</v>
      </c>
      <c r="X1716" s="1" t="s">
        <v>35</v>
      </c>
      <c r="Y1716" s="1">
        <v>8997.0</v>
      </c>
      <c r="Z1716" s="1"/>
      <c r="AA1716" s="1">
        <v>8997.0</v>
      </c>
      <c r="AB1716" s="1"/>
      <c r="AC1716" s="1" t="s">
        <v>36</v>
      </c>
      <c r="AD1716" s="1" t="s">
        <v>6393</v>
      </c>
      <c r="AE1716" s="1" t="s">
        <v>32</v>
      </c>
      <c r="AF1716" s="1" t="s">
        <v>33</v>
      </c>
      <c r="AG1716" s="1" t="s">
        <v>127</v>
      </c>
    </row>
    <row r="1717" spans="1:33">
      <c r="A1717" t="s">
        <v>6394</v>
      </c>
      <c r="B1717" t="s">
        <v>2168</v>
      </c>
      <c r="C1717" t="s">
        <v>314</v>
      </c>
      <c r="E1717" t="s">
        <v>6133</v>
      </c>
      <c r="F1717" t="s">
        <v>6134</v>
      </c>
      <c r="G1717">
        <v>91.91</v>
      </c>
      <c r="H1717">
        <v>91.91</v>
      </c>
      <c r="I1717" t="s">
        <v>179</v>
      </c>
      <c r="J1717" t="s">
        <v>180</v>
      </c>
      <c r="K1717" t="s">
        <v>31</v>
      </c>
      <c r="L1717" t="s">
        <v>32</v>
      </c>
      <c r="M1717" t="s">
        <v>33</v>
      </c>
      <c r="P1717" s="1" t="s">
        <v>6395</v>
      </c>
      <c r="Q1717" s="1" t="s">
        <v>6133</v>
      </c>
      <c r="R1717" s="1" t="s">
        <v>6133</v>
      </c>
      <c r="S1717" s="1"/>
      <c r="T1717" s="1" t="s">
        <v>314</v>
      </c>
      <c r="U1717" s="1"/>
      <c r="V1717" s="1">
        <v>91.91</v>
      </c>
      <c r="W1717" s="1">
        <v>91.91</v>
      </c>
      <c r="X1717" s="1" t="s">
        <v>35</v>
      </c>
      <c r="Y1717" s="1">
        <v>91910.0</v>
      </c>
      <c r="Z1717" s="1"/>
      <c r="AA1717" s="1">
        <v>91910.0</v>
      </c>
      <c r="AB1717" s="1"/>
      <c r="AC1717" s="1" t="s">
        <v>36</v>
      </c>
      <c r="AD1717" s="1" t="s">
        <v>6386</v>
      </c>
      <c r="AE1717" s="1" t="s">
        <v>32</v>
      </c>
      <c r="AF1717" s="1" t="s">
        <v>33</v>
      </c>
      <c r="AG1717" s="1" t="s">
        <v>180</v>
      </c>
    </row>
    <row r="1718" spans="1:33">
      <c r="A1718" t="s">
        <v>6396</v>
      </c>
      <c r="B1718" t="s">
        <v>6397</v>
      </c>
      <c r="C1718" t="s">
        <v>68</v>
      </c>
      <c r="E1718" t="s">
        <v>6133</v>
      </c>
      <c r="F1718" t="s">
        <v>6134</v>
      </c>
      <c r="G1718">
        <v>31.6</v>
      </c>
      <c r="H1718">
        <v>31.6</v>
      </c>
      <c r="I1718" t="s">
        <v>59</v>
      </c>
      <c r="J1718" t="s">
        <v>60</v>
      </c>
      <c r="K1718" t="s">
        <v>31</v>
      </c>
      <c r="L1718" t="s">
        <v>32</v>
      </c>
      <c r="M1718" t="s">
        <v>33</v>
      </c>
      <c r="P1718" s="1" t="s">
        <v>6398</v>
      </c>
      <c r="Q1718" s="1" t="s">
        <v>6133</v>
      </c>
      <c r="R1718" s="1" t="s">
        <v>6133</v>
      </c>
      <c r="S1718" s="1"/>
      <c r="T1718" s="1" t="s">
        <v>68</v>
      </c>
      <c r="U1718" s="1"/>
      <c r="V1718" s="1">
        <v>31.6</v>
      </c>
      <c r="W1718" s="1">
        <v>31.6</v>
      </c>
      <c r="X1718" s="1" t="s">
        <v>35</v>
      </c>
      <c r="Y1718" s="1">
        <v>31600.0</v>
      </c>
      <c r="Z1718" s="1"/>
      <c r="AA1718" s="1">
        <v>31600.0</v>
      </c>
      <c r="AB1718" s="1"/>
      <c r="AC1718" s="1" t="s">
        <v>36</v>
      </c>
      <c r="AD1718" s="1" t="s">
        <v>6399</v>
      </c>
      <c r="AE1718" s="1" t="s">
        <v>32</v>
      </c>
      <c r="AF1718" s="1" t="s">
        <v>33</v>
      </c>
      <c r="AG1718" s="1" t="s">
        <v>60</v>
      </c>
    </row>
    <row r="1719" spans="1:33">
      <c r="A1719" t="s">
        <v>6400</v>
      </c>
      <c r="B1719" t="s">
        <v>6401</v>
      </c>
      <c r="C1719" t="s">
        <v>125</v>
      </c>
      <c r="E1719" t="s">
        <v>6133</v>
      </c>
      <c r="F1719" t="s">
        <v>6134</v>
      </c>
      <c r="G1719">
        <v>5.368</v>
      </c>
      <c r="H1719">
        <v>5.368</v>
      </c>
      <c r="I1719" t="s">
        <v>126</v>
      </c>
      <c r="J1719" t="s">
        <v>127</v>
      </c>
      <c r="K1719" t="s">
        <v>31</v>
      </c>
      <c r="L1719" t="s">
        <v>32</v>
      </c>
      <c r="M1719" t="s">
        <v>33</v>
      </c>
      <c r="P1719" s="1" t="s">
        <v>6402</v>
      </c>
      <c r="Q1719" s="1" t="s">
        <v>6133</v>
      </c>
      <c r="R1719" s="1" t="s">
        <v>6133</v>
      </c>
      <c r="S1719" s="1"/>
      <c r="T1719" s="1" t="s">
        <v>125</v>
      </c>
      <c r="U1719" s="1"/>
      <c r="V1719" s="1">
        <v>5.368</v>
      </c>
      <c r="W1719" s="1">
        <v>5.368</v>
      </c>
      <c r="X1719" s="1" t="s">
        <v>35</v>
      </c>
      <c r="Y1719" s="1">
        <v>5368.0</v>
      </c>
      <c r="Z1719" s="1"/>
      <c r="AA1719" s="1">
        <v>5368.0</v>
      </c>
      <c r="AB1719" s="1"/>
      <c r="AC1719" s="1" t="s">
        <v>36</v>
      </c>
      <c r="AD1719" s="1" t="s">
        <v>6403</v>
      </c>
      <c r="AE1719" s="1" t="s">
        <v>32</v>
      </c>
      <c r="AF1719" s="1" t="s">
        <v>33</v>
      </c>
      <c r="AG1719" s="1" t="s">
        <v>127</v>
      </c>
    </row>
    <row r="1720" spans="1:33">
      <c r="A1720" t="s">
        <v>6404</v>
      </c>
      <c r="C1720" t="s">
        <v>226</v>
      </c>
      <c r="E1720" t="s">
        <v>6133</v>
      </c>
      <c r="F1720" t="s">
        <v>6134</v>
      </c>
      <c r="G1720">
        <v>1.597</v>
      </c>
      <c r="H1720">
        <v>1.597</v>
      </c>
      <c r="I1720" t="s">
        <v>227</v>
      </c>
      <c r="J1720" t="s">
        <v>228</v>
      </c>
      <c r="K1720" t="s">
        <v>31</v>
      </c>
      <c r="L1720" t="s">
        <v>32</v>
      </c>
      <c r="M1720" t="s">
        <v>33</v>
      </c>
      <c r="P1720" s="1" t="s">
        <v>6405</v>
      </c>
      <c r="Q1720" s="1" t="s">
        <v>6133</v>
      </c>
      <c r="R1720" s="1" t="s">
        <v>6133</v>
      </c>
      <c r="S1720" s="1"/>
      <c r="T1720" s="1" t="s">
        <v>226</v>
      </c>
      <c r="U1720" s="1"/>
      <c r="V1720" s="1">
        <v>1.597</v>
      </c>
      <c r="W1720" s="1">
        <v>1.597</v>
      </c>
      <c r="X1720" s="1" t="s">
        <v>35</v>
      </c>
      <c r="Y1720" s="1">
        <v>1597000.0</v>
      </c>
      <c r="Z1720" s="1"/>
      <c r="AA1720" s="1">
        <v>1597000.0</v>
      </c>
      <c r="AB1720" s="1"/>
      <c r="AC1720" s="1" t="s">
        <v>36</v>
      </c>
      <c r="AD1720" s="1" t="s">
        <v>6406</v>
      </c>
      <c r="AE1720" s="1" t="s">
        <v>32</v>
      </c>
      <c r="AF1720" s="1" t="s">
        <v>33</v>
      </c>
      <c r="AG1720" s="1" t="s">
        <v>228</v>
      </c>
    </row>
    <row r="1721" spans="1:33">
      <c r="A1721" t="s">
        <v>6407</v>
      </c>
      <c r="B1721" t="s">
        <v>6408</v>
      </c>
      <c r="C1721" t="s">
        <v>47</v>
      </c>
      <c r="E1721" t="s">
        <v>6133</v>
      </c>
      <c r="F1721" t="s">
        <v>6134</v>
      </c>
      <c r="G1721">
        <v>20.99</v>
      </c>
      <c r="H1721">
        <v>20.99</v>
      </c>
      <c r="I1721" t="s">
        <v>48</v>
      </c>
      <c r="J1721" t="s">
        <v>49</v>
      </c>
      <c r="K1721" t="s">
        <v>31</v>
      </c>
      <c r="L1721" t="s">
        <v>32</v>
      </c>
      <c r="M1721" t="s">
        <v>33</v>
      </c>
      <c r="P1721" s="1" t="s">
        <v>6409</v>
      </c>
      <c r="Q1721" s="1" t="s">
        <v>6133</v>
      </c>
      <c r="R1721" s="1" t="s">
        <v>6133</v>
      </c>
      <c r="S1721" s="1"/>
      <c r="T1721" s="1" t="s">
        <v>47</v>
      </c>
      <c r="U1721" s="1"/>
      <c r="V1721" s="1">
        <v>20.99</v>
      </c>
      <c r="W1721" s="1">
        <v>20.99</v>
      </c>
      <c r="X1721" s="1" t="s">
        <v>35</v>
      </c>
      <c r="Y1721" s="1">
        <v>20990.0</v>
      </c>
      <c r="Z1721" s="1"/>
      <c r="AA1721" s="1">
        <v>20990.0</v>
      </c>
      <c r="AB1721" s="1"/>
      <c r="AC1721" s="1" t="s">
        <v>36</v>
      </c>
      <c r="AD1721" s="1" t="s">
        <v>6410</v>
      </c>
      <c r="AE1721" s="1" t="s">
        <v>32</v>
      </c>
      <c r="AF1721" s="1" t="s">
        <v>33</v>
      </c>
      <c r="AG1721" s="1" t="s">
        <v>49</v>
      </c>
    </row>
    <row r="1722" spans="1:33">
      <c r="A1722" t="s">
        <v>6411</v>
      </c>
      <c r="C1722" t="s">
        <v>1447</v>
      </c>
      <c r="D1722" t="s">
        <v>114</v>
      </c>
      <c r="E1722" t="s">
        <v>6133</v>
      </c>
      <c r="F1722" t="s">
        <v>6134</v>
      </c>
      <c r="G1722">
        <v>767.15</v>
      </c>
      <c r="H1722">
        <v>767.15</v>
      </c>
      <c r="I1722" t="s">
        <v>269</v>
      </c>
      <c r="J1722" t="s">
        <v>270</v>
      </c>
      <c r="K1722" t="s">
        <v>31</v>
      </c>
      <c r="L1722" t="s">
        <v>32</v>
      </c>
      <c r="M1722" t="s">
        <v>33</v>
      </c>
      <c r="P1722" s="1" t="s">
        <v>6412</v>
      </c>
      <c r="Q1722" s="1" t="s">
        <v>6133</v>
      </c>
      <c r="R1722" s="1" t="s">
        <v>6133</v>
      </c>
      <c r="S1722" s="1"/>
      <c r="T1722" s="1" t="s">
        <v>1449</v>
      </c>
      <c r="U1722" s="1" t="s">
        <v>1450</v>
      </c>
      <c r="V1722" s="1">
        <v>767.15</v>
      </c>
      <c r="W1722" s="1">
        <v>767.15</v>
      </c>
      <c r="X1722" s="1" t="s">
        <v>35</v>
      </c>
      <c r="Y1722" s="1">
        <v>767150.0</v>
      </c>
      <c r="Z1722" s="1"/>
      <c r="AA1722" s="1">
        <v>767150.0</v>
      </c>
      <c r="AB1722" s="1"/>
      <c r="AC1722" s="1" t="s">
        <v>36</v>
      </c>
      <c r="AD1722" s="1" t="s">
        <v>6413</v>
      </c>
      <c r="AE1722" s="1" t="s">
        <v>32</v>
      </c>
      <c r="AF1722" s="1" t="s">
        <v>33</v>
      </c>
      <c r="AG1722" s="1" t="s">
        <v>270</v>
      </c>
    </row>
    <row r="1723" spans="1:33">
      <c r="A1723" t="s">
        <v>6414</v>
      </c>
      <c r="C1723" t="s">
        <v>969</v>
      </c>
      <c r="E1723" t="s">
        <v>6133</v>
      </c>
      <c r="F1723" t="s">
        <v>6134</v>
      </c>
      <c r="G1723">
        <v>320.0</v>
      </c>
      <c r="H1723">
        <v>320.0</v>
      </c>
      <c r="I1723" t="s">
        <v>126</v>
      </c>
      <c r="J1723" t="s">
        <v>127</v>
      </c>
      <c r="K1723" t="s">
        <v>31</v>
      </c>
      <c r="L1723" t="s">
        <v>32</v>
      </c>
      <c r="M1723" t="s">
        <v>33</v>
      </c>
      <c r="P1723" s="1" t="s">
        <v>6415</v>
      </c>
      <c r="Q1723" s="1" t="s">
        <v>6133</v>
      </c>
      <c r="R1723" s="1" t="s">
        <v>6133</v>
      </c>
      <c r="S1723" s="1"/>
      <c r="T1723" s="1" t="s">
        <v>969</v>
      </c>
      <c r="U1723" s="1"/>
      <c r="V1723" s="1">
        <v>320.0</v>
      </c>
      <c r="W1723" s="1">
        <v>320.0</v>
      </c>
      <c r="X1723" s="1" t="s">
        <v>35</v>
      </c>
      <c r="Y1723" s="1">
        <v>320000.0</v>
      </c>
      <c r="Z1723" s="1"/>
      <c r="AA1723" s="1">
        <v>320000.0</v>
      </c>
      <c r="AB1723" s="1"/>
      <c r="AC1723" s="1" t="s">
        <v>36</v>
      </c>
      <c r="AD1723" s="1" t="s">
        <v>6416</v>
      </c>
      <c r="AE1723" s="1" t="s">
        <v>32</v>
      </c>
      <c r="AF1723" s="1" t="s">
        <v>33</v>
      </c>
      <c r="AG1723" s="1" t="s">
        <v>127</v>
      </c>
    </row>
    <row r="1724" spans="1:33">
      <c r="A1724" t="s">
        <v>6417</v>
      </c>
      <c r="B1724" t="s">
        <v>6418</v>
      </c>
      <c r="C1724" t="s">
        <v>314</v>
      </c>
      <c r="E1724" t="s">
        <v>6133</v>
      </c>
      <c r="F1724" t="s">
        <v>6134</v>
      </c>
      <c r="G1724">
        <v>88.53</v>
      </c>
      <c r="H1724">
        <v>88.53</v>
      </c>
      <c r="I1724" t="s">
        <v>179</v>
      </c>
      <c r="J1724" t="s">
        <v>180</v>
      </c>
      <c r="K1724" t="s">
        <v>31</v>
      </c>
      <c r="L1724" t="s">
        <v>32</v>
      </c>
      <c r="M1724" t="s">
        <v>33</v>
      </c>
      <c r="P1724" s="1" t="s">
        <v>6419</v>
      </c>
      <c r="Q1724" s="1" t="s">
        <v>6133</v>
      </c>
      <c r="R1724" s="1" t="s">
        <v>6133</v>
      </c>
      <c r="S1724" s="1"/>
      <c r="T1724" s="1" t="s">
        <v>314</v>
      </c>
      <c r="U1724" s="1"/>
      <c r="V1724" s="1">
        <v>88.53</v>
      </c>
      <c r="W1724" s="1">
        <v>88.53</v>
      </c>
      <c r="X1724" s="1" t="s">
        <v>35</v>
      </c>
      <c r="Y1724" s="1">
        <v>88530.0</v>
      </c>
      <c r="Z1724" s="1"/>
      <c r="AA1724" s="1">
        <v>88530.0</v>
      </c>
      <c r="AB1724" s="1"/>
      <c r="AC1724" s="1" t="s">
        <v>36</v>
      </c>
      <c r="AD1724" s="1" t="s">
        <v>6420</v>
      </c>
      <c r="AE1724" s="1" t="s">
        <v>32</v>
      </c>
      <c r="AF1724" s="1" t="s">
        <v>33</v>
      </c>
      <c r="AG1724" s="1" t="s">
        <v>180</v>
      </c>
    </row>
    <row r="1725" spans="1:33">
      <c r="A1725" t="s">
        <v>6421</v>
      </c>
      <c r="B1725" t="s">
        <v>6422</v>
      </c>
      <c r="C1725" t="s">
        <v>172</v>
      </c>
      <c r="E1725" t="s">
        <v>6133</v>
      </c>
      <c r="F1725" t="s">
        <v>6134</v>
      </c>
      <c r="G1725">
        <v>24.99</v>
      </c>
      <c r="H1725">
        <v>24.99</v>
      </c>
      <c r="I1725" t="s">
        <v>173</v>
      </c>
      <c r="J1725" t="s">
        <v>174</v>
      </c>
      <c r="K1725" t="s">
        <v>31</v>
      </c>
      <c r="L1725" t="s">
        <v>32</v>
      </c>
      <c r="M1725" t="s">
        <v>33</v>
      </c>
      <c r="P1725" s="1" t="s">
        <v>6423</v>
      </c>
      <c r="Q1725" s="1" t="s">
        <v>6133</v>
      </c>
      <c r="R1725" s="1" t="s">
        <v>6133</v>
      </c>
      <c r="S1725" s="1"/>
      <c r="T1725" s="1" t="s">
        <v>172</v>
      </c>
      <c r="U1725" s="1"/>
      <c r="V1725" s="1">
        <v>24.99</v>
      </c>
      <c r="W1725" s="1">
        <v>24.99</v>
      </c>
      <c r="X1725" s="1" t="s">
        <v>35</v>
      </c>
      <c r="Y1725" s="1">
        <v>24990.0</v>
      </c>
      <c r="Z1725" s="1"/>
      <c r="AA1725" s="1">
        <v>24990.0</v>
      </c>
      <c r="AB1725" s="1"/>
      <c r="AC1725" s="1" t="s">
        <v>36</v>
      </c>
      <c r="AD1725" s="1" t="s">
        <v>6170</v>
      </c>
      <c r="AE1725" s="1" t="s">
        <v>32</v>
      </c>
      <c r="AF1725" s="1" t="s">
        <v>33</v>
      </c>
      <c r="AG1725" s="1" t="s">
        <v>174</v>
      </c>
    </row>
    <row r="1726" spans="1:33">
      <c r="A1726" t="s">
        <v>6424</v>
      </c>
      <c r="C1726" t="s">
        <v>6425</v>
      </c>
      <c r="D1726" t="s">
        <v>114</v>
      </c>
      <c r="E1726" t="s">
        <v>6133</v>
      </c>
      <c r="F1726" t="s">
        <v>6134</v>
      </c>
      <c r="G1726">
        <v>492.0</v>
      </c>
      <c r="H1726">
        <v>492.0</v>
      </c>
      <c r="I1726" t="s">
        <v>269</v>
      </c>
      <c r="J1726" t="s">
        <v>270</v>
      </c>
      <c r="K1726" t="s">
        <v>31</v>
      </c>
      <c r="L1726" t="s">
        <v>32</v>
      </c>
      <c r="M1726" t="s">
        <v>33</v>
      </c>
      <c r="P1726" s="1" t="s">
        <v>6426</v>
      </c>
      <c r="Q1726" s="1" t="s">
        <v>6133</v>
      </c>
      <c r="R1726" s="1" t="s">
        <v>6133</v>
      </c>
      <c r="S1726" s="1"/>
      <c r="T1726" s="1" t="s">
        <v>6425</v>
      </c>
      <c r="U1726" s="1"/>
      <c r="V1726" s="1">
        <v>492.0</v>
      </c>
      <c r="W1726" s="1">
        <v>492.0</v>
      </c>
      <c r="X1726" s="1" t="s">
        <v>35</v>
      </c>
      <c r="Y1726" s="1">
        <v>492000.0</v>
      </c>
      <c r="Z1726" s="1"/>
      <c r="AA1726" s="1">
        <v>492000.0</v>
      </c>
      <c r="AB1726" s="1"/>
      <c r="AC1726" s="1" t="s">
        <v>36</v>
      </c>
      <c r="AD1726" s="1" t="s">
        <v>6427</v>
      </c>
      <c r="AE1726" s="1" t="s">
        <v>32</v>
      </c>
      <c r="AF1726" s="1" t="s">
        <v>33</v>
      </c>
      <c r="AG1726" s="1" t="s">
        <v>270</v>
      </c>
    </row>
    <row r="1727" spans="1:33">
      <c r="A1727" t="s">
        <v>6428</v>
      </c>
      <c r="C1727" t="s">
        <v>2842</v>
      </c>
      <c r="E1727" t="s">
        <v>6133</v>
      </c>
      <c r="F1727" t="s">
        <v>6134</v>
      </c>
      <c r="G1727">
        <v>827.0</v>
      </c>
      <c r="H1727">
        <v>827.0</v>
      </c>
      <c r="I1727" t="s">
        <v>48</v>
      </c>
      <c r="J1727" t="s">
        <v>49</v>
      </c>
      <c r="K1727" t="s">
        <v>31</v>
      </c>
      <c r="L1727" t="s">
        <v>32</v>
      </c>
      <c r="M1727" t="s">
        <v>33</v>
      </c>
      <c r="P1727" s="1" t="s">
        <v>6429</v>
      </c>
      <c r="Q1727" s="1" t="s">
        <v>6133</v>
      </c>
      <c r="R1727" s="1" t="s">
        <v>6133</v>
      </c>
      <c r="S1727" s="1"/>
      <c r="T1727" s="1" t="s">
        <v>2842</v>
      </c>
      <c r="U1727" s="1"/>
      <c r="V1727" s="1">
        <v>827.0</v>
      </c>
      <c r="W1727" s="1">
        <v>827.0</v>
      </c>
      <c r="X1727" s="1" t="s">
        <v>35</v>
      </c>
      <c r="Y1727" s="1">
        <v>827000.0</v>
      </c>
      <c r="Z1727" s="1"/>
      <c r="AA1727" s="1">
        <v>827000.0</v>
      </c>
      <c r="AB1727" s="1"/>
      <c r="AC1727" s="1" t="s">
        <v>36</v>
      </c>
      <c r="AD1727" s="1" t="s">
        <v>6430</v>
      </c>
      <c r="AE1727" s="1" t="s">
        <v>32</v>
      </c>
      <c r="AF1727" s="1" t="s">
        <v>33</v>
      </c>
      <c r="AG1727" s="1" t="s">
        <v>49</v>
      </c>
    </row>
    <row r="1728" spans="1:33">
      <c r="A1728" t="s">
        <v>6431</v>
      </c>
      <c r="C1728" t="s">
        <v>1244</v>
      </c>
      <c r="E1728" t="s">
        <v>6133</v>
      </c>
      <c r="F1728" t="s">
        <v>6134</v>
      </c>
      <c r="G1728">
        <v>80.27</v>
      </c>
      <c r="H1728">
        <v>80.27</v>
      </c>
      <c r="I1728" t="s">
        <v>179</v>
      </c>
      <c r="J1728" t="s">
        <v>180</v>
      </c>
      <c r="K1728" t="s">
        <v>31</v>
      </c>
      <c r="L1728" t="s">
        <v>32</v>
      </c>
      <c r="M1728" t="s">
        <v>33</v>
      </c>
      <c r="P1728" s="1" t="s">
        <v>6432</v>
      </c>
      <c r="Q1728" s="1" t="s">
        <v>6133</v>
      </c>
      <c r="R1728" s="1" t="s">
        <v>6133</v>
      </c>
      <c r="S1728" s="1"/>
      <c r="T1728" s="1" t="s">
        <v>1244</v>
      </c>
      <c r="U1728" s="1"/>
      <c r="V1728" s="1">
        <v>80.27</v>
      </c>
      <c r="W1728" s="1">
        <v>80.27</v>
      </c>
      <c r="X1728" s="1" t="s">
        <v>35</v>
      </c>
      <c r="Y1728" s="1">
        <v>80270.0</v>
      </c>
      <c r="Z1728" s="1"/>
      <c r="AA1728" s="1">
        <v>80270.0</v>
      </c>
      <c r="AB1728" s="1"/>
      <c r="AC1728" s="1" t="s">
        <v>36</v>
      </c>
      <c r="AD1728" s="1" t="s">
        <v>6433</v>
      </c>
      <c r="AE1728" s="1" t="s">
        <v>32</v>
      </c>
      <c r="AF1728" s="1" t="s">
        <v>33</v>
      </c>
      <c r="AG1728" s="1" t="s">
        <v>180</v>
      </c>
    </row>
    <row r="1729" spans="1:33">
      <c r="A1729" t="s">
        <v>6434</v>
      </c>
      <c r="B1729" t="s">
        <v>6435</v>
      </c>
      <c r="C1729" t="s">
        <v>268</v>
      </c>
      <c r="E1729" t="s">
        <v>6133</v>
      </c>
      <c r="F1729" t="s">
        <v>6134</v>
      </c>
      <c r="G1729">
        <v>16.9</v>
      </c>
      <c r="H1729">
        <v>16.9</v>
      </c>
      <c r="I1729" t="s">
        <v>269</v>
      </c>
      <c r="J1729" t="s">
        <v>270</v>
      </c>
      <c r="K1729" t="s">
        <v>31</v>
      </c>
      <c r="L1729" t="s">
        <v>32</v>
      </c>
      <c r="M1729" t="s">
        <v>33</v>
      </c>
      <c r="P1729" s="1" t="s">
        <v>6436</v>
      </c>
      <c r="Q1729" s="1" t="s">
        <v>6133</v>
      </c>
      <c r="R1729" s="1" t="s">
        <v>6133</v>
      </c>
      <c r="S1729" s="1"/>
      <c r="T1729" s="1" t="s">
        <v>268</v>
      </c>
      <c r="U1729" s="1"/>
      <c r="V1729" s="1">
        <v>16.9</v>
      </c>
      <c r="W1729" s="1">
        <v>16.9</v>
      </c>
      <c r="X1729" s="1" t="s">
        <v>35</v>
      </c>
      <c r="Y1729" s="1">
        <v>16900.0</v>
      </c>
      <c r="Z1729" s="1"/>
      <c r="AA1729" s="1">
        <v>16900.0</v>
      </c>
      <c r="AB1729" s="1"/>
      <c r="AC1729" s="1" t="s">
        <v>36</v>
      </c>
      <c r="AD1729" s="1" t="s">
        <v>6433</v>
      </c>
      <c r="AE1729" s="1" t="s">
        <v>32</v>
      </c>
      <c r="AF1729" s="1" t="s">
        <v>33</v>
      </c>
      <c r="AG1729" s="1" t="s">
        <v>270</v>
      </c>
    </row>
    <row r="1730" spans="1:33">
      <c r="A1730" t="s">
        <v>6437</v>
      </c>
      <c r="C1730" t="s">
        <v>2857</v>
      </c>
      <c r="E1730" t="s">
        <v>6133</v>
      </c>
      <c r="F1730" t="s">
        <v>6134</v>
      </c>
      <c r="G1730">
        <v>800.0</v>
      </c>
      <c r="H1730">
        <v>800.0</v>
      </c>
      <c r="I1730" t="s">
        <v>48</v>
      </c>
      <c r="J1730" t="s">
        <v>49</v>
      </c>
      <c r="K1730" t="s">
        <v>31</v>
      </c>
      <c r="L1730" t="s">
        <v>32</v>
      </c>
      <c r="M1730" t="s">
        <v>33</v>
      </c>
      <c r="P1730" s="1" t="s">
        <v>6438</v>
      </c>
      <c r="Q1730" s="1" t="s">
        <v>6133</v>
      </c>
      <c r="R1730" s="1" t="s">
        <v>6133</v>
      </c>
      <c r="S1730" s="1"/>
      <c r="T1730" s="1" t="s">
        <v>2859</v>
      </c>
      <c r="U1730" s="1" t="s">
        <v>2255</v>
      </c>
      <c r="V1730" s="1">
        <v>800.0</v>
      </c>
      <c r="W1730" s="1">
        <v>800.0</v>
      </c>
      <c r="X1730" s="1" t="s">
        <v>35</v>
      </c>
      <c r="Y1730" s="1">
        <v>800000.0</v>
      </c>
      <c r="Z1730" s="1"/>
      <c r="AA1730" s="1">
        <v>800000.0</v>
      </c>
      <c r="AB1730" s="1"/>
      <c r="AC1730" s="1" t="s">
        <v>36</v>
      </c>
      <c r="AD1730" s="1" t="s">
        <v>6439</v>
      </c>
      <c r="AE1730" s="1" t="s">
        <v>32</v>
      </c>
      <c r="AF1730" s="1" t="s">
        <v>33</v>
      </c>
      <c r="AG1730" s="1" t="s">
        <v>49</v>
      </c>
    </row>
    <row r="1731" spans="1:33">
      <c r="A1731" t="s">
        <v>6440</v>
      </c>
      <c r="C1731" t="s">
        <v>1285</v>
      </c>
      <c r="E1731" t="s">
        <v>6133</v>
      </c>
      <c r="F1731" t="s">
        <v>6134</v>
      </c>
      <c r="G1731">
        <v>630.0</v>
      </c>
      <c r="H1731">
        <v>630.0</v>
      </c>
      <c r="I1731" t="s">
        <v>40</v>
      </c>
      <c r="J1731" t="s">
        <v>41</v>
      </c>
      <c r="K1731" t="s">
        <v>31</v>
      </c>
      <c r="L1731" t="s">
        <v>32</v>
      </c>
      <c r="M1731" t="s">
        <v>33</v>
      </c>
      <c r="P1731" s="1" t="s">
        <v>6441</v>
      </c>
      <c r="Q1731" s="1" t="s">
        <v>6133</v>
      </c>
      <c r="R1731" s="1" t="s">
        <v>5469</v>
      </c>
      <c r="S1731" s="1"/>
      <c r="T1731" s="1" t="s">
        <v>1285</v>
      </c>
      <c r="U1731" s="1"/>
      <c r="V1731" s="1">
        <v>630.0</v>
      </c>
      <c r="W1731" s="1">
        <v>630.0</v>
      </c>
      <c r="X1731" s="1" t="s">
        <v>35</v>
      </c>
      <c r="Y1731" s="1">
        <v>630000.0</v>
      </c>
      <c r="Z1731" s="1"/>
      <c r="AA1731" s="1">
        <v>630000.0</v>
      </c>
      <c r="AB1731" s="1"/>
      <c r="AC1731" s="1" t="s">
        <v>36</v>
      </c>
      <c r="AD1731" s="1" t="s">
        <v>6442</v>
      </c>
      <c r="AE1731" s="1" t="s">
        <v>32</v>
      </c>
      <c r="AF1731" s="1" t="s">
        <v>33</v>
      </c>
      <c r="AG1731" s="1" t="s">
        <v>41</v>
      </c>
    </row>
    <row r="1732" spans="1:33">
      <c r="A1732" t="s">
        <v>6443</v>
      </c>
      <c r="C1732" t="s">
        <v>2525</v>
      </c>
      <c r="E1732" t="s">
        <v>6133</v>
      </c>
      <c r="F1732" t="s">
        <v>6134</v>
      </c>
      <c r="G1732">
        <v>328.0</v>
      </c>
      <c r="H1732">
        <v>328.0</v>
      </c>
      <c r="I1732" t="s">
        <v>269</v>
      </c>
      <c r="J1732" t="s">
        <v>270</v>
      </c>
      <c r="K1732" t="s">
        <v>31</v>
      </c>
      <c r="L1732" t="s">
        <v>32</v>
      </c>
      <c r="M1732" t="s">
        <v>33</v>
      </c>
      <c r="P1732" s="1" t="s">
        <v>6444</v>
      </c>
      <c r="Q1732" s="1" t="s">
        <v>6133</v>
      </c>
      <c r="R1732" s="1" t="s">
        <v>6133</v>
      </c>
      <c r="S1732" s="1"/>
      <c r="T1732" s="1" t="s">
        <v>2525</v>
      </c>
      <c r="U1732" s="1"/>
      <c r="V1732" s="1">
        <v>328.0</v>
      </c>
      <c r="W1732" s="1">
        <v>328.0</v>
      </c>
      <c r="X1732" s="1" t="s">
        <v>35</v>
      </c>
      <c r="Y1732" s="1">
        <v>328000.0</v>
      </c>
      <c r="Z1732" s="1"/>
      <c r="AA1732" s="1">
        <v>328000.0</v>
      </c>
      <c r="AB1732" s="1"/>
      <c r="AC1732" s="1" t="s">
        <v>36</v>
      </c>
      <c r="AD1732" s="1" t="s">
        <v>6445</v>
      </c>
      <c r="AE1732" s="1" t="s">
        <v>32</v>
      </c>
      <c r="AF1732" s="1" t="s">
        <v>33</v>
      </c>
      <c r="AG1732" s="1" t="s">
        <v>270</v>
      </c>
    </row>
    <row r="1733" spans="1:33">
      <c r="A1733" t="s">
        <v>6446</v>
      </c>
      <c r="B1733" t="s">
        <v>6447</v>
      </c>
      <c r="C1733" t="s">
        <v>172</v>
      </c>
      <c r="E1733" t="s">
        <v>6133</v>
      </c>
      <c r="F1733" t="s">
        <v>6134</v>
      </c>
      <c r="G1733">
        <v>8.79</v>
      </c>
      <c r="H1733">
        <v>8.79</v>
      </c>
      <c r="I1733" t="s">
        <v>173</v>
      </c>
      <c r="J1733" t="s">
        <v>174</v>
      </c>
      <c r="K1733" t="s">
        <v>31</v>
      </c>
      <c r="L1733" t="s">
        <v>32</v>
      </c>
      <c r="M1733" t="s">
        <v>33</v>
      </c>
      <c r="P1733" s="1" t="s">
        <v>6448</v>
      </c>
      <c r="Q1733" s="1" t="s">
        <v>6133</v>
      </c>
      <c r="R1733" s="1" t="s">
        <v>6133</v>
      </c>
      <c r="S1733" s="1"/>
      <c r="T1733" s="1" t="s">
        <v>172</v>
      </c>
      <c r="U1733" s="1"/>
      <c r="V1733" s="1">
        <v>8.79</v>
      </c>
      <c r="W1733" s="1">
        <v>8.79</v>
      </c>
      <c r="X1733" s="1" t="s">
        <v>35</v>
      </c>
      <c r="Y1733" s="1">
        <v>8790.0</v>
      </c>
      <c r="Z1733" s="1"/>
      <c r="AA1733" s="1">
        <v>8790.0</v>
      </c>
      <c r="AB1733" s="1"/>
      <c r="AC1733" s="1" t="s">
        <v>36</v>
      </c>
      <c r="AD1733" s="1" t="s">
        <v>6449</v>
      </c>
      <c r="AE1733" s="1" t="s">
        <v>32</v>
      </c>
      <c r="AF1733" s="1" t="s">
        <v>33</v>
      </c>
      <c r="AG1733" s="1" t="s">
        <v>174</v>
      </c>
    </row>
    <row r="1734" spans="1:33">
      <c r="A1734" t="s">
        <v>6450</v>
      </c>
      <c r="C1734" t="s">
        <v>4726</v>
      </c>
      <c r="E1734" t="s">
        <v>6133</v>
      </c>
      <c r="F1734" t="s">
        <v>6134</v>
      </c>
      <c r="G1734">
        <v>392.2</v>
      </c>
      <c r="H1734">
        <v>392.2</v>
      </c>
      <c r="I1734" t="s">
        <v>269</v>
      </c>
      <c r="J1734" t="s">
        <v>270</v>
      </c>
      <c r="K1734" t="s">
        <v>31</v>
      </c>
      <c r="L1734" t="s">
        <v>32</v>
      </c>
      <c r="M1734" t="s">
        <v>33</v>
      </c>
      <c r="P1734" s="1" t="s">
        <v>6451</v>
      </c>
      <c r="Q1734" s="1" t="s">
        <v>6133</v>
      </c>
      <c r="R1734" s="1" t="s">
        <v>6133</v>
      </c>
      <c r="S1734" s="1"/>
      <c r="T1734" s="1" t="s">
        <v>4726</v>
      </c>
      <c r="U1734" s="1"/>
      <c r="V1734" s="1">
        <v>392.2</v>
      </c>
      <c r="W1734" s="1">
        <v>392.2</v>
      </c>
      <c r="X1734" s="1" t="s">
        <v>35</v>
      </c>
      <c r="Y1734" s="1">
        <v>392200.0</v>
      </c>
      <c r="Z1734" s="1"/>
      <c r="AA1734" s="1">
        <v>392200.0</v>
      </c>
      <c r="AB1734" s="1"/>
      <c r="AC1734" s="1" t="s">
        <v>36</v>
      </c>
      <c r="AD1734" s="1" t="s">
        <v>6452</v>
      </c>
      <c r="AE1734" s="1" t="s">
        <v>32</v>
      </c>
      <c r="AF1734" s="1" t="s">
        <v>33</v>
      </c>
      <c r="AG1734" s="1" t="s">
        <v>270</v>
      </c>
    </row>
    <row r="1735" spans="1:33">
      <c r="A1735" t="s">
        <v>6453</v>
      </c>
      <c r="B1735" t="s">
        <v>6454</v>
      </c>
      <c r="C1735" t="s">
        <v>125</v>
      </c>
      <c r="E1735" t="s">
        <v>6133</v>
      </c>
      <c r="F1735" t="s">
        <v>6134</v>
      </c>
      <c r="G1735">
        <v>36.93</v>
      </c>
      <c r="H1735">
        <v>36.93</v>
      </c>
      <c r="I1735" t="s">
        <v>126</v>
      </c>
      <c r="J1735" t="s">
        <v>127</v>
      </c>
      <c r="K1735" t="s">
        <v>31</v>
      </c>
      <c r="L1735" t="s">
        <v>32</v>
      </c>
      <c r="M1735" t="s">
        <v>33</v>
      </c>
      <c r="P1735" s="1" t="s">
        <v>6455</v>
      </c>
      <c r="Q1735" s="1" t="s">
        <v>6133</v>
      </c>
      <c r="R1735" s="1" t="s">
        <v>6133</v>
      </c>
      <c r="S1735" s="1"/>
      <c r="T1735" s="1" t="s">
        <v>125</v>
      </c>
      <c r="U1735" s="1"/>
      <c r="V1735" s="1">
        <v>36.93</v>
      </c>
      <c r="W1735" s="1">
        <v>36.93</v>
      </c>
      <c r="X1735" s="1" t="s">
        <v>35</v>
      </c>
      <c r="Y1735" s="1">
        <v>36930.0</v>
      </c>
      <c r="Z1735" s="1"/>
      <c r="AA1735" s="1">
        <v>36930.0</v>
      </c>
      <c r="AB1735" s="1"/>
      <c r="AC1735" s="1" t="s">
        <v>36</v>
      </c>
      <c r="AD1735" s="1" t="s">
        <v>6456</v>
      </c>
      <c r="AE1735" s="1" t="s">
        <v>32</v>
      </c>
      <c r="AF1735" s="1" t="s">
        <v>33</v>
      </c>
      <c r="AG1735" s="1" t="s">
        <v>127</v>
      </c>
    </row>
    <row r="1736" spans="1:33">
      <c r="A1736" t="s">
        <v>6457</v>
      </c>
      <c r="C1736" t="s">
        <v>5813</v>
      </c>
      <c r="D1736" t="s">
        <v>114</v>
      </c>
      <c r="E1736" t="s">
        <v>6133</v>
      </c>
      <c r="F1736" t="s">
        <v>6134</v>
      </c>
      <c r="G1736">
        <v>979.4</v>
      </c>
      <c r="H1736">
        <v>979.4</v>
      </c>
      <c r="I1736" t="s">
        <v>269</v>
      </c>
      <c r="J1736" t="s">
        <v>270</v>
      </c>
      <c r="K1736" t="s">
        <v>31</v>
      </c>
      <c r="L1736" t="s">
        <v>32</v>
      </c>
      <c r="M1736" t="s">
        <v>33</v>
      </c>
      <c r="P1736" s="1" t="s">
        <v>6458</v>
      </c>
      <c r="Q1736" s="1" t="s">
        <v>6133</v>
      </c>
      <c r="R1736" s="1" t="s">
        <v>6133</v>
      </c>
      <c r="S1736" s="1"/>
      <c r="T1736" s="1" t="s">
        <v>5813</v>
      </c>
      <c r="U1736" s="1"/>
      <c r="V1736" s="1">
        <v>979.4</v>
      </c>
      <c r="W1736" s="1">
        <v>979.4</v>
      </c>
      <c r="X1736" s="1" t="s">
        <v>35</v>
      </c>
      <c r="Y1736" s="1">
        <v>979400.0</v>
      </c>
      <c r="Z1736" s="1"/>
      <c r="AA1736" s="1">
        <v>979400.0</v>
      </c>
      <c r="AB1736" s="1"/>
      <c r="AC1736" s="1" t="s">
        <v>36</v>
      </c>
      <c r="AD1736" s="1" t="s">
        <v>6459</v>
      </c>
      <c r="AE1736" s="1" t="s">
        <v>32</v>
      </c>
      <c r="AF1736" s="1" t="s">
        <v>33</v>
      </c>
      <c r="AG1736" s="1" t="s">
        <v>270</v>
      </c>
    </row>
    <row r="1737" spans="1:33">
      <c r="A1737" t="s">
        <v>6460</v>
      </c>
      <c r="B1737" t="s">
        <v>6461</v>
      </c>
      <c r="C1737" t="s">
        <v>268</v>
      </c>
      <c r="E1737" t="s">
        <v>6133</v>
      </c>
      <c r="F1737" t="s">
        <v>6134</v>
      </c>
      <c r="G1737">
        <v>32.85</v>
      </c>
      <c r="H1737">
        <v>32.85</v>
      </c>
      <c r="I1737" t="s">
        <v>269</v>
      </c>
      <c r="J1737" t="s">
        <v>270</v>
      </c>
      <c r="K1737" t="s">
        <v>31</v>
      </c>
      <c r="L1737" t="s">
        <v>32</v>
      </c>
      <c r="M1737" t="s">
        <v>33</v>
      </c>
      <c r="P1737" s="1" t="s">
        <v>6462</v>
      </c>
      <c r="Q1737" s="1" t="s">
        <v>6133</v>
      </c>
      <c r="R1737" s="1" t="s">
        <v>6133</v>
      </c>
      <c r="S1737" s="1"/>
      <c r="T1737" s="1" t="s">
        <v>268</v>
      </c>
      <c r="U1737" s="1"/>
      <c r="V1737" s="1">
        <v>32.85</v>
      </c>
      <c r="W1737" s="1">
        <v>32.85</v>
      </c>
      <c r="X1737" s="1" t="s">
        <v>35</v>
      </c>
      <c r="Y1737" s="1">
        <v>32850.0</v>
      </c>
      <c r="Z1737" s="1"/>
      <c r="AA1737" s="1">
        <v>32850.0</v>
      </c>
      <c r="AB1737" s="1"/>
      <c r="AC1737" s="1" t="s">
        <v>36</v>
      </c>
      <c r="AD1737" s="1" t="s">
        <v>6463</v>
      </c>
      <c r="AE1737" s="1" t="s">
        <v>32</v>
      </c>
      <c r="AF1737" s="1" t="s">
        <v>33</v>
      </c>
      <c r="AG1737" s="1" t="s">
        <v>270</v>
      </c>
    </row>
    <row r="1738" spans="1:33">
      <c r="A1738" t="s">
        <v>6464</v>
      </c>
      <c r="B1738" t="s">
        <v>6465</v>
      </c>
      <c r="C1738" t="s">
        <v>314</v>
      </c>
      <c r="E1738" t="s">
        <v>6133</v>
      </c>
      <c r="F1738" t="s">
        <v>6134</v>
      </c>
      <c r="G1738">
        <v>91.36</v>
      </c>
      <c r="H1738">
        <v>91.36</v>
      </c>
      <c r="I1738" t="s">
        <v>179</v>
      </c>
      <c r="J1738" t="s">
        <v>180</v>
      </c>
      <c r="K1738" t="s">
        <v>31</v>
      </c>
      <c r="L1738" t="s">
        <v>32</v>
      </c>
      <c r="M1738" t="s">
        <v>33</v>
      </c>
      <c r="P1738" s="1" t="s">
        <v>6466</v>
      </c>
      <c r="Q1738" s="1" t="s">
        <v>6133</v>
      </c>
      <c r="R1738" s="1" t="s">
        <v>6133</v>
      </c>
      <c r="S1738" s="1"/>
      <c r="T1738" s="1" t="s">
        <v>314</v>
      </c>
      <c r="U1738" s="1"/>
      <c r="V1738" s="1">
        <v>91.36</v>
      </c>
      <c r="W1738" s="1">
        <v>91.36</v>
      </c>
      <c r="X1738" s="1" t="s">
        <v>35</v>
      </c>
      <c r="Y1738" s="1">
        <v>91360.0</v>
      </c>
      <c r="Z1738" s="1"/>
      <c r="AA1738" s="1">
        <v>91360.0</v>
      </c>
      <c r="AB1738" s="1"/>
      <c r="AC1738" s="1" t="s">
        <v>36</v>
      </c>
      <c r="AD1738" s="1" t="s">
        <v>6467</v>
      </c>
      <c r="AE1738" s="1" t="s">
        <v>32</v>
      </c>
      <c r="AF1738" s="1" t="s">
        <v>33</v>
      </c>
      <c r="AG1738" s="1" t="s">
        <v>180</v>
      </c>
    </row>
    <row r="1739" spans="1:33">
      <c r="A1739" t="s">
        <v>6468</v>
      </c>
      <c r="C1739" t="s">
        <v>969</v>
      </c>
      <c r="E1739" t="s">
        <v>6133</v>
      </c>
      <c r="F1739" t="s">
        <v>6134</v>
      </c>
      <c r="G1739">
        <v>53.94</v>
      </c>
      <c r="H1739">
        <v>53.94</v>
      </c>
      <c r="I1739" t="s">
        <v>126</v>
      </c>
      <c r="J1739" t="s">
        <v>127</v>
      </c>
      <c r="K1739" t="s">
        <v>31</v>
      </c>
      <c r="L1739" t="s">
        <v>32</v>
      </c>
      <c r="M1739" t="s">
        <v>33</v>
      </c>
      <c r="P1739" s="1" t="s">
        <v>6469</v>
      </c>
      <c r="Q1739" s="1" t="s">
        <v>6133</v>
      </c>
      <c r="R1739" s="1" t="s">
        <v>6133</v>
      </c>
      <c r="S1739" s="1"/>
      <c r="T1739" s="1" t="s">
        <v>969</v>
      </c>
      <c r="U1739" s="1"/>
      <c r="V1739" s="1">
        <v>53.94</v>
      </c>
      <c r="W1739" s="1">
        <v>53.94</v>
      </c>
      <c r="X1739" s="1" t="s">
        <v>35</v>
      </c>
      <c r="Y1739" s="1">
        <v>53940.0</v>
      </c>
      <c r="Z1739" s="1"/>
      <c r="AA1739" s="1">
        <v>53940.0</v>
      </c>
      <c r="AB1739" s="1"/>
      <c r="AC1739" s="1" t="s">
        <v>36</v>
      </c>
      <c r="AD1739" s="1" t="s">
        <v>6463</v>
      </c>
      <c r="AE1739" s="1" t="s">
        <v>32</v>
      </c>
      <c r="AF1739" s="1" t="s">
        <v>33</v>
      </c>
      <c r="AG1739" s="1" t="s">
        <v>127</v>
      </c>
    </row>
    <row r="1740" spans="1:33">
      <c r="A1740" t="s">
        <v>6470</v>
      </c>
      <c r="C1740" t="s">
        <v>1617</v>
      </c>
      <c r="E1740" t="s">
        <v>6133</v>
      </c>
      <c r="F1740" t="s">
        <v>6134</v>
      </c>
      <c r="G1740">
        <v>25.0</v>
      </c>
      <c r="H1740">
        <v>25.0</v>
      </c>
      <c r="I1740" t="s">
        <v>847</v>
      </c>
      <c r="J1740" t="s">
        <v>848</v>
      </c>
      <c r="K1740" t="s">
        <v>31</v>
      </c>
      <c r="L1740" t="s">
        <v>32</v>
      </c>
      <c r="M1740" t="s">
        <v>33</v>
      </c>
      <c r="P1740" s="1" t="s">
        <v>6471</v>
      </c>
      <c r="Q1740" s="1" t="s">
        <v>6133</v>
      </c>
      <c r="R1740" s="1" t="s">
        <v>6133</v>
      </c>
      <c r="S1740" s="1"/>
      <c r="T1740" s="1" t="s">
        <v>1617</v>
      </c>
      <c r="U1740" s="1"/>
      <c r="V1740" s="1">
        <v>25.0</v>
      </c>
      <c r="W1740" s="1">
        <v>25.0</v>
      </c>
      <c r="X1740" s="1" t="s">
        <v>35</v>
      </c>
      <c r="Y1740" s="1">
        <v>25000.0</v>
      </c>
      <c r="Z1740" s="1"/>
      <c r="AA1740" s="1">
        <v>25000.0</v>
      </c>
      <c r="AB1740" s="1"/>
      <c r="AC1740" s="1" t="s">
        <v>36</v>
      </c>
      <c r="AD1740" s="1" t="s">
        <v>6472</v>
      </c>
      <c r="AE1740" s="1" t="s">
        <v>32</v>
      </c>
      <c r="AF1740" s="1" t="s">
        <v>33</v>
      </c>
      <c r="AG1740" s="1" t="s">
        <v>848</v>
      </c>
    </row>
    <row r="1741" spans="1:33">
      <c r="A1741" t="s">
        <v>6473</v>
      </c>
      <c r="C1741" t="s">
        <v>6474</v>
      </c>
      <c r="E1741" t="s">
        <v>6133</v>
      </c>
      <c r="F1741" t="s">
        <v>6134</v>
      </c>
      <c r="G1741">
        <v>1.057</v>
      </c>
      <c r="H1741">
        <v>1.057</v>
      </c>
      <c r="I1741" t="s">
        <v>847</v>
      </c>
      <c r="J1741" t="s">
        <v>848</v>
      </c>
      <c r="K1741" t="s">
        <v>31</v>
      </c>
      <c r="L1741" t="s">
        <v>32</v>
      </c>
      <c r="M1741" t="s">
        <v>33</v>
      </c>
      <c r="P1741" s="1" t="s">
        <v>6475</v>
      </c>
      <c r="Q1741" s="1" t="s">
        <v>6133</v>
      </c>
      <c r="R1741" s="1" t="s">
        <v>6133</v>
      </c>
      <c r="S1741" s="1"/>
      <c r="T1741" s="1" t="s">
        <v>6474</v>
      </c>
      <c r="U1741" s="1"/>
      <c r="V1741" s="1">
        <v>1.057</v>
      </c>
      <c r="W1741" s="1">
        <v>1.057</v>
      </c>
      <c r="X1741" s="1" t="s">
        <v>35</v>
      </c>
      <c r="Y1741" s="1">
        <v>1057800.0</v>
      </c>
      <c r="Z1741" s="1"/>
      <c r="AA1741" s="1">
        <v>1057800.0</v>
      </c>
      <c r="AB1741" s="1"/>
      <c r="AC1741" s="1" t="s">
        <v>36</v>
      </c>
      <c r="AD1741" s="1" t="s">
        <v>6476</v>
      </c>
      <c r="AE1741" s="1" t="s">
        <v>32</v>
      </c>
      <c r="AF1741" s="1" t="s">
        <v>33</v>
      </c>
      <c r="AG1741" s="1" t="s">
        <v>848</v>
      </c>
    </row>
    <row r="1742" spans="1:33">
      <c r="A1742" t="s">
        <v>6477</v>
      </c>
      <c r="C1742" t="s">
        <v>3302</v>
      </c>
      <c r="E1742" t="s">
        <v>6133</v>
      </c>
      <c r="F1742" t="s">
        <v>6134</v>
      </c>
      <c r="G1742">
        <v>456.4</v>
      </c>
      <c r="H1742">
        <v>456.4</v>
      </c>
      <c r="I1742" t="s">
        <v>847</v>
      </c>
      <c r="J1742" t="s">
        <v>848</v>
      </c>
      <c r="K1742" t="s">
        <v>31</v>
      </c>
      <c r="L1742" t="s">
        <v>32</v>
      </c>
      <c r="M1742" t="s">
        <v>33</v>
      </c>
      <c r="P1742" s="1" t="s">
        <v>6478</v>
      </c>
      <c r="Q1742" s="1" t="s">
        <v>6133</v>
      </c>
      <c r="R1742" s="1" t="s">
        <v>6133</v>
      </c>
      <c r="S1742" s="1"/>
      <c r="T1742" s="1" t="s">
        <v>3302</v>
      </c>
      <c r="U1742" s="1"/>
      <c r="V1742" s="1">
        <v>456.4</v>
      </c>
      <c r="W1742" s="1">
        <v>456.4</v>
      </c>
      <c r="X1742" s="1" t="s">
        <v>35</v>
      </c>
      <c r="Y1742" s="1">
        <v>456400.0</v>
      </c>
      <c r="Z1742" s="1"/>
      <c r="AA1742" s="1">
        <v>456400.0</v>
      </c>
      <c r="AB1742" s="1"/>
      <c r="AC1742" s="1" t="s">
        <v>36</v>
      </c>
      <c r="AD1742" s="1" t="s">
        <v>6479</v>
      </c>
      <c r="AE1742" s="1" t="s">
        <v>32</v>
      </c>
      <c r="AF1742" s="1" t="s">
        <v>33</v>
      </c>
      <c r="AG1742" s="1" t="s">
        <v>848</v>
      </c>
    </row>
    <row r="1743" spans="1:33">
      <c r="A1743" t="s">
        <v>6480</v>
      </c>
      <c r="B1743" t="s">
        <v>6481</v>
      </c>
      <c r="C1743" t="s">
        <v>73</v>
      </c>
      <c r="E1743" t="s">
        <v>6133</v>
      </c>
      <c r="F1743" t="s">
        <v>6134</v>
      </c>
      <c r="G1743">
        <v>31.99</v>
      </c>
      <c r="H1743">
        <v>31.99</v>
      </c>
      <c r="I1743" t="s">
        <v>40</v>
      </c>
      <c r="J1743" t="s">
        <v>41</v>
      </c>
      <c r="K1743" t="s">
        <v>31</v>
      </c>
      <c r="L1743" t="s">
        <v>32</v>
      </c>
      <c r="M1743" t="s">
        <v>33</v>
      </c>
      <c r="P1743" s="1" t="s">
        <v>6482</v>
      </c>
      <c r="Q1743" s="1" t="s">
        <v>6133</v>
      </c>
      <c r="R1743" s="1" t="s">
        <v>5469</v>
      </c>
      <c r="S1743" s="1"/>
      <c r="T1743" s="1" t="s">
        <v>75</v>
      </c>
      <c r="U1743" s="1" t="s">
        <v>76</v>
      </c>
      <c r="V1743" s="1">
        <v>31.99</v>
      </c>
      <c r="W1743" s="1">
        <v>31.99</v>
      </c>
      <c r="X1743" s="1" t="s">
        <v>35</v>
      </c>
      <c r="Y1743" s="1">
        <v>31990.0</v>
      </c>
      <c r="Z1743" s="1"/>
      <c r="AA1743" s="1">
        <v>31990.0</v>
      </c>
      <c r="AB1743" s="1"/>
      <c r="AC1743" s="1" t="s">
        <v>36</v>
      </c>
      <c r="AD1743" s="1" t="s">
        <v>6483</v>
      </c>
      <c r="AE1743" s="1" t="s">
        <v>32</v>
      </c>
      <c r="AF1743" s="1" t="s">
        <v>33</v>
      </c>
      <c r="AG1743" s="1" t="s">
        <v>41</v>
      </c>
    </row>
    <row r="1744" spans="1:33">
      <c r="A1744" t="s">
        <v>6484</v>
      </c>
      <c r="C1744" t="s">
        <v>6485</v>
      </c>
      <c r="E1744" t="s">
        <v>6133</v>
      </c>
      <c r="F1744" t="s">
        <v>6134</v>
      </c>
      <c r="G1744">
        <v>1.008</v>
      </c>
      <c r="H1744">
        <v>1.008</v>
      </c>
      <c r="I1744" t="s">
        <v>48</v>
      </c>
      <c r="J1744" t="s">
        <v>49</v>
      </c>
      <c r="K1744" t="s">
        <v>31</v>
      </c>
      <c r="L1744" t="s">
        <v>32</v>
      </c>
      <c r="M1744" t="s">
        <v>33</v>
      </c>
      <c r="P1744" s="1" t="s">
        <v>6486</v>
      </c>
      <c r="Q1744" s="1" t="s">
        <v>6133</v>
      </c>
      <c r="R1744" s="1" t="s">
        <v>6133</v>
      </c>
      <c r="S1744" s="1"/>
      <c r="T1744" s="1" t="s">
        <v>6485</v>
      </c>
      <c r="U1744" s="1"/>
      <c r="V1744" s="1">
        <v>1.008</v>
      </c>
      <c r="W1744" s="1">
        <v>1.008</v>
      </c>
      <c r="X1744" s="1" t="s">
        <v>35</v>
      </c>
      <c r="Y1744" s="1">
        <v>1008000.0</v>
      </c>
      <c r="Z1744" s="1"/>
      <c r="AA1744" s="1">
        <v>1008000.0</v>
      </c>
      <c r="AB1744" s="1"/>
      <c r="AC1744" s="1" t="s">
        <v>36</v>
      </c>
      <c r="AD1744" s="1" t="s">
        <v>6487</v>
      </c>
      <c r="AE1744" s="1" t="s">
        <v>32</v>
      </c>
      <c r="AF1744" s="1" t="s">
        <v>33</v>
      </c>
      <c r="AG1744" s="1" t="s">
        <v>49</v>
      </c>
    </row>
    <row r="1745" spans="1:33">
      <c r="A1745" t="s">
        <v>6488</v>
      </c>
      <c r="C1745" t="s">
        <v>1476</v>
      </c>
      <c r="E1745" t="s">
        <v>6133</v>
      </c>
      <c r="F1745" t="s">
        <v>6134</v>
      </c>
      <c r="G1745">
        <v>659.0</v>
      </c>
      <c r="H1745">
        <v>659.0</v>
      </c>
      <c r="I1745" t="s">
        <v>126</v>
      </c>
      <c r="J1745" t="s">
        <v>127</v>
      </c>
      <c r="K1745" t="s">
        <v>31</v>
      </c>
      <c r="L1745" t="s">
        <v>32</v>
      </c>
      <c r="M1745" t="s">
        <v>33</v>
      </c>
      <c r="P1745" s="1" t="s">
        <v>6489</v>
      </c>
      <c r="Q1745" s="1" t="s">
        <v>6133</v>
      </c>
      <c r="R1745" s="1" t="s">
        <v>6133</v>
      </c>
      <c r="S1745" s="1"/>
      <c r="T1745" s="1" t="s">
        <v>1476</v>
      </c>
      <c r="U1745" s="1"/>
      <c r="V1745" s="1">
        <v>659.0</v>
      </c>
      <c r="W1745" s="1">
        <v>659.0</v>
      </c>
      <c r="X1745" s="1" t="s">
        <v>35</v>
      </c>
      <c r="Y1745" s="1">
        <v>659000.0</v>
      </c>
      <c r="Z1745" s="1"/>
      <c r="AA1745" s="1">
        <v>659000.0</v>
      </c>
      <c r="AB1745" s="1"/>
      <c r="AC1745" s="1" t="s">
        <v>36</v>
      </c>
      <c r="AD1745" s="1" t="s">
        <v>6490</v>
      </c>
      <c r="AE1745" s="1" t="s">
        <v>32</v>
      </c>
      <c r="AF1745" s="1" t="s">
        <v>33</v>
      </c>
      <c r="AG1745" s="1" t="s">
        <v>127</v>
      </c>
    </row>
    <row r="1746" spans="1:33">
      <c r="A1746" t="s">
        <v>6491</v>
      </c>
      <c r="B1746" t="s">
        <v>1932</v>
      </c>
      <c r="C1746" t="s">
        <v>1933</v>
      </c>
      <c r="E1746" t="s">
        <v>6133</v>
      </c>
      <c r="F1746" t="s">
        <v>6134</v>
      </c>
      <c r="G1746">
        <v>320.0</v>
      </c>
      <c r="H1746">
        <v>320.0</v>
      </c>
      <c r="I1746" t="s">
        <v>40</v>
      </c>
      <c r="J1746" t="s">
        <v>41</v>
      </c>
      <c r="K1746" t="s">
        <v>31</v>
      </c>
      <c r="L1746" t="s">
        <v>32</v>
      </c>
      <c r="M1746" t="s">
        <v>33</v>
      </c>
      <c r="P1746" s="1" t="s">
        <v>6492</v>
      </c>
      <c r="Q1746" s="1" t="s">
        <v>6133</v>
      </c>
      <c r="R1746" s="1" t="s">
        <v>5469</v>
      </c>
      <c r="S1746" s="1"/>
      <c r="T1746" s="1" t="s">
        <v>1933</v>
      </c>
      <c r="U1746" s="1"/>
      <c r="V1746" s="1">
        <v>320.0</v>
      </c>
      <c r="W1746" s="1">
        <v>320.0</v>
      </c>
      <c r="X1746" s="1" t="s">
        <v>35</v>
      </c>
      <c r="Y1746" s="1">
        <v>320000.0</v>
      </c>
      <c r="Z1746" s="1"/>
      <c r="AA1746" s="1">
        <v>320000.0</v>
      </c>
      <c r="AB1746" s="1"/>
      <c r="AC1746" s="1" t="s">
        <v>36</v>
      </c>
      <c r="AD1746" s="1" t="s">
        <v>6490</v>
      </c>
      <c r="AE1746" s="1" t="s">
        <v>32</v>
      </c>
      <c r="AF1746" s="1" t="s">
        <v>33</v>
      </c>
      <c r="AG1746" s="1" t="s">
        <v>41</v>
      </c>
    </row>
    <row r="1747" spans="1:33">
      <c r="A1747" t="s">
        <v>6493</v>
      </c>
      <c r="B1747" t="s">
        <v>6494</v>
      </c>
      <c r="C1747" t="s">
        <v>2741</v>
      </c>
      <c r="E1747" t="s">
        <v>6133</v>
      </c>
      <c r="F1747" t="s">
        <v>6134</v>
      </c>
      <c r="G1747">
        <v>235.0</v>
      </c>
      <c r="H1747">
        <v>235.0</v>
      </c>
      <c r="I1747" t="s">
        <v>2742</v>
      </c>
      <c r="J1747" t="s">
        <v>2743</v>
      </c>
      <c r="K1747" t="s">
        <v>31</v>
      </c>
      <c r="L1747" t="s">
        <v>32</v>
      </c>
      <c r="M1747" t="s">
        <v>33</v>
      </c>
      <c r="P1747" s="1" t="s">
        <v>6495</v>
      </c>
      <c r="Q1747" s="1" t="s">
        <v>6133</v>
      </c>
      <c r="R1747" s="1" t="s">
        <v>6133</v>
      </c>
      <c r="S1747" s="1"/>
      <c r="T1747" s="1" t="s">
        <v>2741</v>
      </c>
      <c r="U1747" s="1"/>
      <c r="V1747" s="1">
        <v>235.0</v>
      </c>
      <c r="W1747" s="1">
        <v>235.0</v>
      </c>
      <c r="X1747" s="1" t="s">
        <v>35</v>
      </c>
      <c r="Y1747" s="1">
        <v>235000.0</v>
      </c>
      <c r="Z1747" s="1"/>
      <c r="AA1747" s="1">
        <v>235000.0</v>
      </c>
      <c r="AB1747" s="1"/>
      <c r="AC1747" s="1" t="s">
        <v>36</v>
      </c>
      <c r="AD1747" s="1" t="s">
        <v>6496</v>
      </c>
      <c r="AE1747" s="1" t="s">
        <v>32</v>
      </c>
      <c r="AF1747" s="1" t="s">
        <v>33</v>
      </c>
      <c r="AG1747" s="1" t="s">
        <v>2743</v>
      </c>
    </row>
    <row r="1748" spans="1:33">
      <c r="A1748" t="s">
        <v>6497</v>
      </c>
      <c r="C1748" t="s">
        <v>1104</v>
      </c>
      <c r="E1748" t="s">
        <v>6133</v>
      </c>
      <c r="F1748" t="s">
        <v>6134</v>
      </c>
      <c r="G1748">
        <v>328.0</v>
      </c>
      <c r="H1748">
        <v>328.0</v>
      </c>
      <c r="I1748" t="s">
        <v>269</v>
      </c>
      <c r="J1748" t="s">
        <v>270</v>
      </c>
      <c r="K1748" t="s">
        <v>31</v>
      </c>
      <c r="L1748" t="s">
        <v>32</v>
      </c>
      <c r="M1748" t="s">
        <v>33</v>
      </c>
      <c r="P1748" s="1" t="s">
        <v>6498</v>
      </c>
      <c r="Q1748" s="1" t="s">
        <v>6133</v>
      </c>
      <c r="R1748" s="1" t="s">
        <v>6133</v>
      </c>
      <c r="S1748" s="1"/>
      <c r="T1748" s="1" t="s">
        <v>1104</v>
      </c>
      <c r="U1748" s="1"/>
      <c r="V1748" s="1">
        <v>328.0</v>
      </c>
      <c r="W1748" s="1">
        <v>328.0</v>
      </c>
      <c r="X1748" s="1" t="s">
        <v>35</v>
      </c>
      <c r="Y1748" s="1">
        <v>328000.0</v>
      </c>
      <c r="Z1748" s="1"/>
      <c r="AA1748" s="1">
        <v>328000.0</v>
      </c>
      <c r="AB1748" s="1"/>
      <c r="AC1748" s="1" t="s">
        <v>36</v>
      </c>
      <c r="AD1748" s="1" t="s">
        <v>6499</v>
      </c>
      <c r="AE1748" s="1" t="s">
        <v>32</v>
      </c>
      <c r="AF1748" s="1" t="s">
        <v>33</v>
      </c>
      <c r="AG1748" s="1" t="s">
        <v>270</v>
      </c>
    </row>
    <row r="1749" spans="1:33">
      <c r="A1749" t="s">
        <v>6500</v>
      </c>
      <c r="C1749" t="s">
        <v>6501</v>
      </c>
      <c r="D1749" t="s">
        <v>154</v>
      </c>
      <c r="E1749" t="s">
        <v>6133</v>
      </c>
      <c r="F1749" t="s">
        <v>6134</v>
      </c>
      <c r="G1749">
        <v>185.0</v>
      </c>
      <c r="H1749">
        <v>185.0</v>
      </c>
      <c r="I1749" t="s">
        <v>48</v>
      </c>
      <c r="J1749" t="s">
        <v>49</v>
      </c>
      <c r="K1749" t="s">
        <v>31</v>
      </c>
      <c r="L1749" t="s">
        <v>32</v>
      </c>
      <c r="M1749" t="s">
        <v>33</v>
      </c>
      <c r="P1749" s="1" t="s">
        <v>6502</v>
      </c>
      <c r="Q1749" s="1" t="s">
        <v>6133</v>
      </c>
      <c r="R1749" s="1" t="s">
        <v>6133</v>
      </c>
      <c r="S1749" s="1"/>
      <c r="T1749" s="1" t="s">
        <v>6501</v>
      </c>
      <c r="U1749" s="1"/>
      <c r="V1749" s="1">
        <v>185.0</v>
      </c>
      <c r="W1749" s="1">
        <v>185.0</v>
      </c>
      <c r="X1749" s="1" t="s">
        <v>35</v>
      </c>
      <c r="Y1749" s="1">
        <v>185000.0</v>
      </c>
      <c r="Z1749" s="1"/>
      <c r="AA1749" s="1">
        <v>185000.0</v>
      </c>
      <c r="AB1749" s="1"/>
      <c r="AC1749" s="1" t="s">
        <v>36</v>
      </c>
      <c r="AD1749" s="1" t="s">
        <v>6483</v>
      </c>
      <c r="AE1749" s="1" t="s">
        <v>32</v>
      </c>
      <c r="AF1749" s="1" t="s">
        <v>33</v>
      </c>
      <c r="AG1749" s="1" t="s">
        <v>49</v>
      </c>
    </row>
    <row r="1750" spans="1:33">
      <c r="A1750" t="s">
        <v>6503</v>
      </c>
      <c r="B1750" t="s">
        <v>1560</v>
      </c>
      <c r="C1750" t="s">
        <v>1561</v>
      </c>
      <c r="D1750" t="s">
        <v>154</v>
      </c>
      <c r="E1750" t="s">
        <v>6133</v>
      </c>
      <c r="F1750" t="s">
        <v>6134</v>
      </c>
      <c r="G1750">
        <v>388.3</v>
      </c>
      <c r="H1750">
        <v>388.3</v>
      </c>
      <c r="I1750" t="s">
        <v>529</v>
      </c>
      <c r="J1750" t="s">
        <v>530</v>
      </c>
      <c r="K1750" t="s">
        <v>31</v>
      </c>
      <c r="L1750" t="s">
        <v>32</v>
      </c>
      <c r="M1750" t="s">
        <v>33</v>
      </c>
      <c r="P1750" s="1" t="s">
        <v>6504</v>
      </c>
      <c r="Q1750" s="1" t="s">
        <v>6133</v>
      </c>
      <c r="R1750" s="1" t="s">
        <v>5469</v>
      </c>
      <c r="S1750" s="1"/>
      <c r="T1750" s="1" t="s">
        <v>1564</v>
      </c>
      <c r="U1750" s="1" t="s">
        <v>1565</v>
      </c>
      <c r="V1750" s="1">
        <v>388.3</v>
      </c>
      <c r="W1750" s="1">
        <v>388.3</v>
      </c>
      <c r="X1750" s="1" t="s">
        <v>35</v>
      </c>
      <c r="Y1750" s="1">
        <v>388300.0</v>
      </c>
      <c r="Z1750" s="1"/>
      <c r="AA1750" s="1">
        <v>388300.0</v>
      </c>
      <c r="AB1750" s="1"/>
      <c r="AC1750" s="1" t="s">
        <v>36</v>
      </c>
      <c r="AD1750" s="1" t="s">
        <v>6505</v>
      </c>
      <c r="AE1750" s="1" t="s">
        <v>32</v>
      </c>
      <c r="AF1750" s="1" t="s">
        <v>33</v>
      </c>
      <c r="AG1750" s="1" t="s">
        <v>530</v>
      </c>
    </row>
    <row r="1751" spans="1:33">
      <c r="A1751" t="s">
        <v>6506</v>
      </c>
      <c r="C1751" t="s">
        <v>554</v>
      </c>
      <c r="E1751" t="s">
        <v>6133</v>
      </c>
      <c r="F1751" t="s">
        <v>6134</v>
      </c>
      <c r="G1751">
        <v>354.0</v>
      </c>
      <c r="H1751">
        <v>354.0</v>
      </c>
      <c r="I1751" t="s">
        <v>40</v>
      </c>
      <c r="J1751" t="s">
        <v>41</v>
      </c>
      <c r="K1751" t="s">
        <v>31</v>
      </c>
      <c r="L1751" t="s">
        <v>32</v>
      </c>
      <c r="M1751" t="s">
        <v>33</v>
      </c>
      <c r="P1751" s="1" t="s">
        <v>6507</v>
      </c>
      <c r="Q1751" s="1" t="s">
        <v>6133</v>
      </c>
      <c r="R1751" s="1" t="s">
        <v>5469</v>
      </c>
      <c r="S1751" s="1"/>
      <c r="T1751" s="1" t="s">
        <v>554</v>
      </c>
      <c r="U1751" s="1"/>
      <c r="V1751" s="1">
        <v>354.0</v>
      </c>
      <c r="W1751" s="1">
        <v>354.0</v>
      </c>
      <c r="X1751" s="1" t="s">
        <v>35</v>
      </c>
      <c r="Y1751" s="1">
        <v>354000.0</v>
      </c>
      <c r="Z1751" s="1"/>
      <c r="AA1751" s="1">
        <v>354000.0</v>
      </c>
      <c r="AB1751" s="1"/>
      <c r="AC1751" s="1" t="s">
        <v>36</v>
      </c>
      <c r="AD1751" s="1" t="s">
        <v>6508</v>
      </c>
      <c r="AE1751" s="1" t="s">
        <v>32</v>
      </c>
      <c r="AF1751" s="1" t="s">
        <v>33</v>
      </c>
      <c r="AG1751" s="1" t="s">
        <v>41</v>
      </c>
    </row>
    <row r="1752" spans="1:33">
      <c r="A1752" t="s">
        <v>6509</v>
      </c>
      <c r="B1752" t="s">
        <v>3600</v>
      </c>
      <c r="C1752" t="s">
        <v>569</v>
      </c>
      <c r="E1752" t="s">
        <v>6133</v>
      </c>
      <c r="F1752" t="s">
        <v>6134</v>
      </c>
      <c r="G1752">
        <v>109.226</v>
      </c>
      <c r="H1752">
        <v>109.226</v>
      </c>
      <c r="I1752" t="s">
        <v>570</v>
      </c>
      <c r="J1752" t="s">
        <v>571</v>
      </c>
      <c r="K1752" t="s">
        <v>31</v>
      </c>
      <c r="L1752" t="s">
        <v>32</v>
      </c>
      <c r="M1752" t="s">
        <v>33</v>
      </c>
      <c r="P1752" s="1" t="s">
        <v>6510</v>
      </c>
      <c r="Q1752" s="1" t="s">
        <v>6133</v>
      </c>
      <c r="R1752" s="1" t="s">
        <v>6133</v>
      </c>
      <c r="S1752" s="1"/>
      <c r="T1752" s="1" t="s">
        <v>569</v>
      </c>
      <c r="U1752" s="1"/>
      <c r="V1752" s="1">
        <v>109.226</v>
      </c>
      <c r="W1752" s="1">
        <v>109.226</v>
      </c>
      <c r="X1752" s="1" t="s">
        <v>35</v>
      </c>
      <c r="Y1752" s="1">
        <v>109226.0</v>
      </c>
      <c r="Z1752" s="1"/>
      <c r="AA1752" s="1">
        <v>109226.0</v>
      </c>
      <c r="AB1752" s="1"/>
      <c r="AC1752" s="1" t="s">
        <v>36</v>
      </c>
      <c r="AD1752" s="1" t="s">
        <v>6511</v>
      </c>
      <c r="AE1752" s="1" t="s">
        <v>32</v>
      </c>
      <c r="AF1752" s="1" t="s">
        <v>33</v>
      </c>
      <c r="AG1752" s="1" t="s">
        <v>571</v>
      </c>
    </row>
    <row r="1753" spans="1:33">
      <c r="A1753" t="s">
        <v>6512</v>
      </c>
      <c r="C1753" t="s">
        <v>6513</v>
      </c>
      <c r="E1753" t="s">
        <v>6133</v>
      </c>
      <c r="F1753" t="s">
        <v>6134</v>
      </c>
      <c r="G1753">
        <v>328.0</v>
      </c>
      <c r="H1753">
        <v>328.0</v>
      </c>
      <c r="I1753" t="s">
        <v>269</v>
      </c>
      <c r="J1753" t="s">
        <v>270</v>
      </c>
      <c r="K1753" t="s">
        <v>31</v>
      </c>
      <c r="L1753" t="s">
        <v>32</v>
      </c>
      <c r="M1753" t="s">
        <v>33</v>
      </c>
      <c r="P1753" s="1" t="s">
        <v>6514</v>
      </c>
      <c r="Q1753" s="1" t="s">
        <v>6133</v>
      </c>
      <c r="R1753" s="1" t="s">
        <v>6133</v>
      </c>
      <c r="S1753" s="1"/>
      <c r="T1753" s="1" t="s">
        <v>6513</v>
      </c>
      <c r="U1753" s="1"/>
      <c r="V1753" s="1">
        <v>328.0</v>
      </c>
      <c r="W1753" s="1">
        <v>328.0</v>
      </c>
      <c r="X1753" s="1" t="s">
        <v>35</v>
      </c>
      <c r="Y1753" s="1">
        <v>328000.0</v>
      </c>
      <c r="Z1753" s="1"/>
      <c r="AA1753" s="1">
        <v>328000.0</v>
      </c>
      <c r="AB1753" s="1"/>
      <c r="AC1753" s="1" t="s">
        <v>36</v>
      </c>
      <c r="AD1753" s="1" t="s">
        <v>6499</v>
      </c>
      <c r="AE1753" s="1" t="s">
        <v>32</v>
      </c>
      <c r="AF1753" s="1" t="s">
        <v>33</v>
      </c>
      <c r="AG1753" s="1" t="s">
        <v>270</v>
      </c>
    </row>
    <row r="1754" spans="1:33">
      <c r="A1754" t="s">
        <v>6515</v>
      </c>
      <c r="C1754" t="s">
        <v>2876</v>
      </c>
      <c r="E1754" t="s">
        <v>6133</v>
      </c>
      <c r="F1754" t="s">
        <v>6134</v>
      </c>
      <c r="G1754">
        <v>797.0</v>
      </c>
      <c r="H1754">
        <v>797.0</v>
      </c>
      <c r="I1754" t="s">
        <v>269</v>
      </c>
      <c r="J1754" t="s">
        <v>270</v>
      </c>
      <c r="K1754" t="s">
        <v>31</v>
      </c>
      <c r="L1754" t="s">
        <v>32</v>
      </c>
      <c r="M1754" t="s">
        <v>33</v>
      </c>
      <c r="P1754" s="1" t="s">
        <v>6516</v>
      </c>
      <c r="Q1754" s="1" t="s">
        <v>6133</v>
      </c>
      <c r="R1754" s="1" t="s">
        <v>6133</v>
      </c>
      <c r="S1754" s="1"/>
      <c r="T1754" s="1" t="s">
        <v>2876</v>
      </c>
      <c r="U1754" s="1"/>
      <c r="V1754" s="1">
        <v>797.0</v>
      </c>
      <c r="W1754" s="1">
        <v>797.0</v>
      </c>
      <c r="X1754" s="1" t="s">
        <v>35</v>
      </c>
      <c r="Y1754" s="1">
        <v>797000.0</v>
      </c>
      <c r="Z1754" s="1"/>
      <c r="AA1754" s="1">
        <v>797000.0</v>
      </c>
      <c r="AB1754" s="1"/>
      <c r="AC1754" s="1" t="s">
        <v>36</v>
      </c>
      <c r="AD1754" s="1" t="s">
        <v>6517</v>
      </c>
      <c r="AE1754" s="1" t="s">
        <v>32</v>
      </c>
      <c r="AF1754" s="1" t="s">
        <v>33</v>
      </c>
      <c r="AG1754" s="1" t="s">
        <v>270</v>
      </c>
    </row>
    <row r="1755" spans="1:33">
      <c r="A1755" t="s">
        <v>6518</v>
      </c>
      <c r="C1755" t="s">
        <v>73</v>
      </c>
      <c r="E1755" t="s">
        <v>6133</v>
      </c>
      <c r="F1755" t="s">
        <v>6134</v>
      </c>
      <c r="G1755">
        <v>3.0</v>
      </c>
      <c r="H1755">
        <v>3.0</v>
      </c>
      <c r="I1755" t="s">
        <v>40</v>
      </c>
      <c r="J1755" t="s">
        <v>41</v>
      </c>
      <c r="K1755" t="s">
        <v>31</v>
      </c>
      <c r="L1755" t="s">
        <v>32</v>
      </c>
      <c r="M1755" t="s">
        <v>33</v>
      </c>
      <c r="P1755" s="1" t="s">
        <v>6519</v>
      </c>
      <c r="Q1755" s="1" t="s">
        <v>6133</v>
      </c>
      <c r="R1755" s="1" t="s">
        <v>5469</v>
      </c>
      <c r="S1755" s="1"/>
      <c r="T1755" s="1" t="s">
        <v>75</v>
      </c>
      <c r="U1755" s="1" t="s">
        <v>76</v>
      </c>
      <c r="V1755" s="1">
        <v>3.0</v>
      </c>
      <c r="W1755" s="1">
        <v>3.0</v>
      </c>
      <c r="X1755" s="1" t="s">
        <v>35</v>
      </c>
      <c r="Y1755" s="1">
        <v>3000.0</v>
      </c>
      <c r="Z1755" s="1"/>
      <c r="AA1755" s="1">
        <v>3000.0</v>
      </c>
      <c r="AB1755" s="1"/>
      <c r="AC1755" s="1" t="s">
        <v>36</v>
      </c>
      <c r="AD1755" s="1" t="s">
        <v>6520</v>
      </c>
      <c r="AE1755" s="1" t="s">
        <v>32</v>
      </c>
      <c r="AF1755" s="1" t="s">
        <v>33</v>
      </c>
      <c r="AG1755" s="1" t="s">
        <v>41</v>
      </c>
    </row>
    <row r="1756" spans="1:33">
      <c r="A1756" t="s">
        <v>6521</v>
      </c>
      <c r="C1756" t="s">
        <v>1692</v>
      </c>
      <c r="E1756" t="s">
        <v>6133</v>
      </c>
      <c r="F1756" t="s">
        <v>6134</v>
      </c>
      <c r="G1756">
        <v>2.441</v>
      </c>
      <c r="H1756">
        <v>2.441</v>
      </c>
      <c r="I1756" t="s">
        <v>179</v>
      </c>
      <c r="J1756" t="s">
        <v>180</v>
      </c>
      <c r="K1756" t="s">
        <v>31</v>
      </c>
      <c r="L1756" t="s">
        <v>32</v>
      </c>
      <c r="M1756" t="s">
        <v>33</v>
      </c>
      <c r="P1756" s="1" t="s">
        <v>6522</v>
      </c>
      <c r="Q1756" s="1" t="s">
        <v>6133</v>
      </c>
      <c r="R1756" s="1" t="s">
        <v>6133</v>
      </c>
      <c r="S1756" s="1"/>
      <c r="T1756" s="1" t="s">
        <v>1692</v>
      </c>
      <c r="U1756" s="1"/>
      <c r="V1756" s="1">
        <v>2.441</v>
      </c>
      <c r="W1756" s="1">
        <v>2.441</v>
      </c>
      <c r="X1756" s="1" t="s">
        <v>35</v>
      </c>
      <c r="Y1756" s="1">
        <v>2441800.0</v>
      </c>
      <c r="Z1756" s="1"/>
      <c r="AA1756" s="1">
        <v>2441800.0</v>
      </c>
      <c r="AB1756" s="1"/>
      <c r="AC1756" s="1" t="s">
        <v>36</v>
      </c>
      <c r="AD1756" s="1" t="s">
        <v>6523</v>
      </c>
      <c r="AE1756" s="1" t="s">
        <v>32</v>
      </c>
      <c r="AF1756" s="1" t="s">
        <v>33</v>
      </c>
      <c r="AG1756" s="1" t="s">
        <v>180</v>
      </c>
    </row>
    <row r="1757" spans="1:33">
      <c r="A1757" t="s">
        <v>6524</v>
      </c>
      <c r="B1757" t="s">
        <v>6525</v>
      </c>
      <c r="C1757" t="s">
        <v>125</v>
      </c>
      <c r="E1757" t="s">
        <v>6133</v>
      </c>
      <c r="F1757" t="s">
        <v>6134</v>
      </c>
      <c r="G1757">
        <v>33.735</v>
      </c>
      <c r="H1757">
        <v>33.735</v>
      </c>
      <c r="I1757" t="s">
        <v>126</v>
      </c>
      <c r="J1757" t="s">
        <v>127</v>
      </c>
      <c r="K1757" t="s">
        <v>31</v>
      </c>
      <c r="L1757" t="s">
        <v>32</v>
      </c>
      <c r="M1757" t="s">
        <v>33</v>
      </c>
      <c r="P1757" s="1" t="s">
        <v>6526</v>
      </c>
      <c r="Q1757" s="1" t="s">
        <v>6133</v>
      </c>
      <c r="R1757" s="1" t="s">
        <v>6133</v>
      </c>
      <c r="S1757" s="1"/>
      <c r="T1757" s="1" t="s">
        <v>125</v>
      </c>
      <c r="U1757" s="1"/>
      <c r="V1757" s="1">
        <v>33.735</v>
      </c>
      <c r="W1757" s="1">
        <v>33.735</v>
      </c>
      <c r="X1757" s="1" t="s">
        <v>35</v>
      </c>
      <c r="Y1757" s="1">
        <v>33735.0</v>
      </c>
      <c r="Z1757" s="1"/>
      <c r="AA1757" s="1">
        <v>33735.0</v>
      </c>
      <c r="AB1757" s="1"/>
      <c r="AC1757" s="1" t="s">
        <v>36</v>
      </c>
      <c r="AD1757" s="1" t="s">
        <v>6527</v>
      </c>
      <c r="AE1757" s="1" t="s">
        <v>32</v>
      </c>
      <c r="AF1757" s="1" t="s">
        <v>33</v>
      </c>
      <c r="AG1757" s="1" t="s">
        <v>127</v>
      </c>
    </row>
    <row r="1758" spans="1:33">
      <c r="A1758" t="s">
        <v>6528</v>
      </c>
      <c r="B1758" t="s">
        <v>6529</v>
      </c>
      <c r="C1758" t="s">
        <v>6530</v>
      </c>
      <c r="E1758" t="s">
        <v>6133</v>
      </c>
      <c r="F1758" t="s">
        <v>6134</v>
      </c>
      <c r="G1758">
        <v>10.947</v>
      </c>
      <c r="H1758">
        <v>10.947</v>
      </c>
      <c r="I1758" t="s">
        <v>59</v>
      </c>
      <c r="J1758" t="s">
        <v>60</v>
      </c>
      <c r="K1758" t="s">
        <v>31</v>
      </c>
      <c r="L1758" t="s">
        <v>32</v>
      </c>
      <c r="M1758" t="s">
        <v>33</v>
      </c>
      <c r="P1758" s="1" t="s">
        <v>6531</v>
      </c>
      <c r="Q1758" s="1" t="s">
        <v>6133</v>
      </c>
      <c r="R1758" s="1" t="s">
        <v>6133</v>
      </c>
      <c r="S1758" s="1"/>
      <c r="T1758" s="1" t="s">
        <v>6530</v>
      </c>
      <c r="U1758" s="1"/>
      <c r="V1758" s="1">
        <v>10.947</v>
      </c>
      <c r="W1758" s="1">
        <v>10.947</v>
      </c>
      <c r="X1758" s="1" t="s">
        <v>35</v>
      </c>
      <c r="Y1758" s="1">
        <v>10947.0</v>
      </c>
      <c r="Z1758" s="1"/>
      <c r="AA1758" s="1">
        <v>10947.0</v>
      </c>
      <c r="AB1758" s="1"/>
      <c r="AC1758" s="1" t="s">
        <v>36</v>
      </c>
      <c r="AD1758" s="1" t="s">
        <v>6532</v>
      </c>
      <c r="AE1758" s="1" t="s">
        <v>32</v>
      </c>
      <c r="AF1758" s="1" t="s">
        <v>33</v>
      </c>
      <c r="AG1758" s="1" t="s">
        <v>60</v>
      </c>
    </row>
    <row r="1759" spans="1:33">
      <c r="A1759" t="s">
        <v>6533</v>
      </c>
      <c r="B1759" t="s">
        <v>6534</v>
      </c>
      <c r="C1759" t="s">
        <v>73</v>
      </c>
      <c r="E1759" t="s">
        <v>6133</v>
      </c>
      <c r="F1759" t="s">
        <v>6134</v>
      </c>
      <c r="G1759">
        <v>19.49</v>
      </c>
      <c r="H1759">
        <v>19.49</v>
      </c>
      <c r="I1759" t="s">
        <v>40</v>
      </c>
      <c r="J1759" t="s">
        <v>41</v>
      </c>
      <c r="K1759" t="s">
        <v>31</v>
      </c>
      <c r="L1759" t="s">
        <v>32</v>
      </c>
      <c r="M1759" t="s">
        <v>33</v>
      </c>
      <c r="P1759" s="1" t="s">
        <v>6535</v>
      </c>
      <c r="Q1759" s="1" t="s">
        <v>6133</v>
      </c>
      <c r="R1759" s="1" t="s">
        <v>5469</v>
      </c>
      <c r="S1759" s="1"/>
      <c r="T1759" s="1" t="s">
        <v>75</v>
      </c>
      <c r="U1759" s="1" t="s">
        <v>76</v>
      </c>
      <c r="V1759" s="1">
        <v>19.49</v>
      </c>
      <c r="W1759" s="1">
        <v>19.49</v>
      </c>
      <c r="X1759" s="1" t="s">
        <v>35</v>
      </c>
      <c r="Y1759" s="1">
        <v>19500.0</v>
      </c>
      <c r="Z1759" s="1">
        <v>-10</v>
      </c>
      <c r="AA1759" s="1">
        <v>19500.0</v>
      </c>
      <c r="AB1759" s="1">
        <v>-10</v>
      </c>
      <c r="AC1759" s="1" t="s">
        <v>36</v>
      </c>
      <c r="AD1759" s="1" t="s">
        <v>6536</v>
      </c>
      <c r="AE1759" s="1" t="s">
        <v>32</v>
      </c>
      <c r="AF1759" s="1" t="s">
        <v>33</v>
      </c>
      <c r="AG1759" s="1" t="s">
        <v>41</v>
      </c>
    </row>
    <row r="1760" spans="1:33">
      <c r="A1760" t="s">
        <v>6537</v>
      </c>
      <c r="B1760" t="s">
        <v>6538</v>
      </c>
      <c r="C1760" t="s">
        <v>47</v>
      </c>
      <c r="E1760" t="s">
        <v>6133</v>
      </c>
      <c r="F1760" t="s">
        <v>6134</v>
      </c>
      <c r="G1760">
        <v>21.99</v>
      </c>
      <c r="H1760">
        <v>21.99</v>
      </c>
      <c r="I1760" t="s">
        <v>48</v>
      </c>
      <c r="J1760" t="s">
        <v>49</v>
      </c>
      <c r="K1760" t="s">
        <v>31</v>
      </c>
      <c r="L1760" t="s">
        <v>32</v>
      </c>
      <c r="M1760" t="s">
        <v>33</v>
      </c>
      <c r="P1760" s="1" t="s">
        <v>6539</v>
      </c>
      <c r="Q1760" s="1" t="s">
        <v>6133</v>
      </c>
      <c r="R1760" s="1" t="s">
        <v>6133</v>
      </c>
      <c r="S1760" s="1"/>
      <c r="T1760" s="1" t="s">
        <v>47</v>
      </c>
      <c r="U1760" s="1"/>
      <c r="V1760" s="1">
        <v>21.99</v>
      </c>
      <c r="W1760" s="1">
        <v>21.99</v>
      </c>
      <c r="X1760" s="1" t="s">
        <v>35</v>
      </c>
      <c r="Y1760" s="1">
        <v>21990.0</v>
      </c>
      <c r="Z1760" s="1"/>
      <c r="AA1760" s="1">
        <v>21990.0</v>
      </c>
      <c r="AB1760" s="1"/>
      <c r="AC1760" s="1" t="s">
        <v>36</v>
      </c>
      <c r="AD1760" s="1" t="s">
        <v>6540</v>
      </c>
      <c r="AE1760" s="1" t="s">
        <v>32</v>
      </c>
      <c r="AF1760" s="1" t="s">
        <v>33</v>
      </c>
      <c r="AG1760" s="1" t="s">
        <v>49</v>
      </c>
    </row>
    <row r="1761" spans="1:33">
      <c r="A1761" t="s">
        <v>6541</v>
      </c>
      <c r="C1761" t="s">
        <v>6115</v>
      </c>
      <c r="D1761" t="s">
        <v>154</v>
      </c>
      <c r="E1761" t="s">
        <v>6133</v>
      </c>
      <c r="F1761" t="s">
        <v>6134</v>
      </c>
      <c r="G1761">
        <v>1.76</v>
      </c>
      <c r="H1761">
        <v>1.76</v>
      </c>
      <c r="I1761" t="s">
        <v>126</v>
      </c>
      <c r="J1761" t="s">
        <v>127</v>
      </c>
      <c r="K1761" t="s">
        <v>31</v>
      </c>
      <c r="L1761" t="s">
        <v>32</v>
      </c>
      <c r="M1761" t="s">
        <v>33</v>
      </c>
      <c r="P1761" s="1" t="s">
        <v>6542</v>
      </c>
      <c r="Q1761" s="1" t="s">
        <v>6133</v>
      </c>
      <c r="R1761" s="1" t="s">
        <v>6133</v>
      </c>
      <c r="S1761" s="1"/>
      <c r="T1761" s="1" t="s">
        <v>6117</v>
      </c>
      <c r="U1761" s="1" t="s">
        <v>6118</v>
      </c>
      <c r="V1761" s="1">
        <v>1.76</v>
      </c>
      <c r="W1761" s="1">
        <v>1.76</v>
      </c>
      <c r="X1761" s="1" t="s">
        <v>35</v>
      </c>
      <c r="Y1761" s="1">
        <v>1760000.0</v>
      </c>
      <c r="Z1761" s="1"/>
      <c r="AA1761" s="1">
        <v>1760000.0</v>
      </c>
      <c r="AB1761" s="1"/>
      <c r="AC1761" s="1" t="s">
        <v>36</v>
      </c>
      <c r="AD1761" s="1" t="s">
        <v>6543</v>
      </c>
      <c r="AE1761" s="1" t="s">
        <v>32</v>
      </c>
      <c r="AF1761" s="1" t="s">
        <v>33</v>
      </c>
      <c r="AG1761" s="1" t="s">
        <v>127</v>
      </c>
    </row>
    <row r="1762" spans="1:33">
      <c r="A1762" t="s">
        <v>6544</v>
      </c>
      <c r="B1762" t="s">
        <v>6545</v>
      </c>
      <c r="C1762" t="s">
        <v>314</v>
      </c>
      <c r="E1762" t="s">
        <v>6133</v>
      </c>
      <c r="F1762" t="s">
        <v>6134</v>
      </c>
      <c r="G1762">
        <v>67.48</v>
      </c>
      <c r="H1762">
        <v>67.48</v>
      </c>
      <c r="I1762" t="s">
        <v>179</v>
      </c>
      <c r="J1762" t="s">
        <v>180</v>
      </c>
      <c r="K1762" t="s">
        <v>31</v>
      </c>
      <c r="L1762" t="s">
        <v>32</v>
      </c>
      <c r="M1762" t="s">
        <v>33</v>
      </c>
      <c r="P1762" s="1" t="s">
        <v>6546</v>
      </c>
      <c r="Q1762" s="1" t="s">
        <v>6133</v>
      </c>
      <c r="R1762" s="1" t="s">
        <v>6133</v>
      </c>
      <c r="S1762" s="1"/>
      <c r="T1762" s="1" t="s">
        <v>314</v>
      </c>
      <c r="U1762" s="1"/>
      <c r="V1762" s="1">
        <v>67.48</v>
      </c>
      <c r="W1762" s="1">
        <v>67.48</v>
      </c>
      <c r="X1762" s="1" t="s">
        <v>35</v>
      </c>
      <c r="Y1762" s="1">
        <v>67480.0</v>
      </c>
      <c r="Z1762" s="1"/>
      <c r="AA1762" s="1">
        <v>67480.0</v>
      </c>
      <c r="AB1762" s="1"/>
      <c r="AC1762" s="1" t="s">
        <v>36</v>
      </c>
      <c r="AD1762" s="1" t="s">
        <v>6547</v>
      </c>
      <c r="AE1762" s="1" t="s">
        <v>32</v>
      </c>
      <c r="AF1762" s="1" t="s">
        <v>33</v>
      </c>
      <c r="AG1762" s="1" t="s">
        <v>180</v>
      </c>
    </row>
    <row r="1763" spans="1:33">
      <c r="A1763" t="s">
        <v>6548</v>
      </c>
      <c r="B1763" t="s">
        <v>6549</v>
      </c>
      <c r="C1763" t="s">
        <v>569</v>
      </c>
      <c r="E1763" t="s">
        <v>6133</v>
      </c>
      <c r="F1763" t="s">
        <v>6134</v>
      </c>
      <c r="G1763">
        <v>6.548</v>
      </c>
      <c r="H1763">
        <v>6.548</v>
      </c>
      <c r="I1763" t="s">
        <v>570</v>
      </c>
      <c r="J1763" t="s">
        <v>571</v>
      </c>
      <c r="K1763" t="s">
        <v>31</v>
      </c>
      <c r="L1763" t="s">
        <v>32</v>
      </c>
      <c r="M1763" t="s">
        <v>33</v>
      </c>
      <c r="P1763" s="1" t="s">
        <v>6550</v>
      </c>
      <c r="Q1763" s="1" t="s">
        <v>6133</v>
      </c>
      <c r="R1763" s="1" t="s">
        <v>6133</v>
      </c>
      <c r="S1763" s="1"/>
      <c r="T1763" s="1" t="s">
        <v>569</v>
      </c>
      <c r="U1763" s="1"/>
      <c r="V1763" s="1">
        <v>6.548</v>
      </c>
      <c r="W1763" s="1">
        <v>6.548</v>
      </c>
      <c r="X1763" s="1" t="s">
        <v>35</v>
      </c>
      <c r="Y1763" s="1">
        <v>6548.0</v>
      </c>
      <c r="Z1763" s="1"/>
      <c r="AA1763" s="1">
        <v>6548.0</v>
      </c>
      <c r="AB1763" s="1"/>
      <c r="AC1763" s="1" t="s">
        <v>36</v>
      </c>
      <c r="AD1763" s="1" t="s">
        <v>6551</v>
      </c>
      <c r="AE1763" s="1" t="s">
        <v>32</v>
      </c>
      <c r="AF1763" s="1" t="s">
        <v>33</v>
      </c>
      <c r="AG1763" s="1" t="s">
        <v>571</v>
      </c>
    </row>
    <row r="1764" spans="1:33">
      <c r="A1764" t="s">
        <v>6552</v>
      </c>
      <c r="C1764" t="s">
        <v>2216</v>
      </c>
      <c r="E1764" t="s">
        <v>6133</v>
      </c>
      <c r="F1764" t="s">
        <v>6134</v>
      </c>
      <c r="G1764">
        <v>488.5</v>
      </c>
      <c r="H1764">
        <v>488.5</v>
      </c>
      <c r="I1764" t="s">
        <v>227</v>
      </c>
      <c r="J1764" t="s">
        <v>228</v>
      </c>
      <c r="K1764" t="s">
        <v>31</v>
      </c>
      <c r="L1764" t="s">
        <v>32</v>
      </c>
      <c r="M1764" t="s">
        <v>33</v>
      </c>
      <c r="P1764" s="1" t="s">
        <v>6553</v>
      </c>
      <c r="Q1764" s="1" t="s">
        <v>6133</v>
      </c>
      <c r="R1764" s="1" t="s">
        <v>6133</v>
      </c>
      <c r="S1764" s="1"/>
      <c r="T1764" s="1" t="s">
        <v>2216</v>
      </c>
      <c r="U1764" s="1"/>
      <c r="V1764" s="1">
        <v>488.5</v>
      </c>
      <c r="W1764" s="1">
        <v>488.5</v>
      </c>
      <c r="X1764" s="1" t="s">
        <v>35</v>
      </c>
      <c r="Y1764" s="1">
        <v>488500.0</v>
      </c>
      <c r="Z1764" s="1"/>
      <c r="AA1764" s="1">
        <v>488500.0</v>
      </c>
      <c r="AB1764" s="1"/>
      <c r="AC1764" s="1" t="s">
        <v>36</v>
      </c>
      <c r="AD1764" s="1" t="s">
        <v>6551</v>
      </c>
      <c r="AE1764" s="1" t="s">
        <v>32</v>
      </c>
      <c r="AF1764" s="1" t="s">
        <v>33</v>
      </c>
      <c r="AG1764" s="1" t="s">
        <v>228</v>
      </c>
    </row>
    <row r="1765" spans="1:33">
      <c r="A1765" t="s">
        <v>6554</v>
      </c>
      <c r="C1765" t="s">
        <v>2688</v>
      </c>
      <c r="E1765" t="s">
        <v>6133</v>
      </c>
      <c r="F1765" t="s">
        <v>6134</v>
      </c>
      <c r="G1765">
        <v>1.167</v>
      </c>
      <c r="H1765">
        <v>1.167</v>
      </c>
      <c r="I1765" t="s">
        <v>269</v>
      </c>
      <c r="J1765" t="s">
        <v>270</v>
      </c>
      <c r="K1765" t="s">
        <v>31</v>
      </c>
      <c r="L1765" t="s">
        <v>32</v>
      </c>
      <c r="M1765" t="s">
        <v>33</v>
      </c>
      <c r="P1765" s="1" t="s">
        <v>6555</v>
      </c>
      <c r="Q1765" s="1" t="s">
        <v>6133</v>
      </c>
      <c r="R1765" s="1" t="s">
        <v>6133</v>
      </c>
      <c r="S1765" s="1"/>
      <c r="T1765" s="1" t="s">
        <v>2688</v>
      </c>
      <c r="U1765" s="1"/>
      <c r="V1765" s="1">
        <v>1.167</v>
      </c>
      <c r="W1765" s="1">
        <v>1.167</v>
      </c>
      <c r="X1765" s="1" t="s">
        <v>35</v>
      </c>
      <c r="Y1765" s="1">
        <v>1167500.0</v>
      </c>
      <c r="Z1765" s="1"/>
      <c r="AA1765" s="1">
        <v>1167500.0</v>
      </c>
      <c r="AB1765" s="1"/>
      <c r="AC1765" s="1" t="s">
        <v>36</v>
      </c>
      <c r="AD1765" s="1" t="s">
        <v>6556</v>
      </c>
      <c r="AE1765" s="1" t="s">
        <v>32</v>
      </c>
      <c r="AF1765" s="1" t="s">
        <v>33</v>
      </c>
      <c r="AG1765" s="1" t="s">
        <v>270</v>
      </c>
    </row>
    <row r="1766" spans="1:33">
      <c r="A1766" t="s">
        <v>6557</v>
      </c>
      <c r="B1766" t="s">
        <v>57</v>
      </c>
      <c r="C1766" t="s">
        <v>58</v>
      </c>
      <c r="E1766" t="s">
        <v>6133</v>
      </c>
      <c r="F1766" t="s">
        <v>6134</v>
      </c>
      <c r="G1766">
        <v>370.0</v>
      </c>
      <c r="H1766">
        <v>370.0</v>
      </c>
      <c r="I1766" t="s">
        <v>59</v>
      </c>
      <c r="J1766" t="s">
        <v>60</v>
      </c>
      <c r="K1766" t="s">
        <v>31</v>
      </c>
      <c r="L1766" t="s">
        <v>32</v>
      </c>
      <c r="M1766" t="s">
        <v>33</v>
      </c>
      <c r="P1766" s="1" t="s">
        <v>6558</v>
      </c>
      <c r="Q1766" s="1" t="s">
        <v>6133</v>
      </c>
      <c r="R1766" s="1" t="s">
        <v>6133</v>
      </c>
      <c r="S1766" s="1"/>
      <c r="T1766" s="1" t="s">
        <v>58</v>
      </c>
      <c r="U1766" s="1"/>
      <c r="V1766" s="1">
        <v>370.0</v>
      </c>
      <c r="W1766" s="1">
        <v>370.0</v>
      </c>
      <c r="X1766" s="1" t="s">
        <v>35</v>
      </c>
      <c r="Y1766" s="1">
        <v>370000.0</v>
      </c>
      <c r="Z1766" s="1"/>
      <c r="AA1766" s="1">
        <v>370000.0</v>
      </c>
      <c r="AB1766" s="1"/>
      <c r="AC1766" s="1" t="s">
        <v>36</v>
      </c>
      <c r="AD1766" s="1" t="s">
        <v>6559</v>
      </c>
      <c r="AE1766" s="1" t="s">
        <v>32</v>
      </c>
      <c r="AF1766" s="1" t="s">
        <v>33</v>
      </c>
      <c r="AG1766" s="1" t="s">
        <v>60</v>
      </c>
    </row>
    <row r="1767" spans="1:33">
      <c r="A1767" t="s">
        <v>6560</v>
      </c>
      <c r="C1767" t="s">
        <v>3947</v>
      </c>
      <c r="E1767" t="s">
        <v>6133</v>
      </c>
      <c r="F1767" t="s">
        <v>6134</v>
      </c>
      <c r="G1767">
        <v>328.0</v>
      </c>
      <c r="H1767">
        <v>328.0</v>
      </c>
      <c r="I1767" t="s">
        <v>269</v>
      </c>
      <c r="J1767" t="s">
        <v>270</v>
      </c>
      <c r="K1767" t="s">
        <v>31</v>
      </c>
      <c r="L1767" t="s">
        <v>32</v>
      </c>
      <c r="M1767" t="s">
        <v>33</v>
      </c>
      <c r="P1767" s="1" t="s">
        <v>6561</v>
      </c>
      <c r="Q1767" s="1" t="s">
        <v>6133</v>
      </c>
      <c r="R1767" s="1" t="s">
        <v>6133</v>
      </c>
      <c r="S1767" s="1"/>
      <c r="T1767" s="1" t="s">
        <v>3947</v>
      </c>
      <c r="U1767" s="1"/>
      <c r="V1767" s="1">
        <v>328.0</v>
      </c>
      <c r="W1767" s="1">
        <v>328.0</v>
      </c>
      <c r="X1767" s="1" t="s">
        <v>35</v>
      </c>
      <c r="Y1767" s="1">
        <v>328000.0</v>
      </c>
      <c r="Z1767" s="1"/>
      <c r="AA1767" s="1">
        <v>328000.0</v>
      </c>
      <c r="AB1767" s="1"/>
      <c r="AC1767" s="1" t="s">
        <v>36</v>
      </c>
      <c r="AD1767" s="1" t="s">
        <v>6562</v>
      </c>
      <c r="AE1767" s="1" t="s">
        <v>32</v>
      </c>
      <c r="AF1767" s="1" t="s">
        <v>33</v>
      </c>
      <c r="AG1767" s="1" t="s">
        <v>270</v>
      </c>
    </row>
    <row r="1768" spans="1:33">
      <c r="A1768" t="s">
        <v>6563</v>
      </c>
      <c r="B1768" t="s">
        <v>6564</v>
      </c>
      <c r="C1768" t="s">
        <v>125</v>
      </c>
      <c r="E1768" t="s">
        <v>6133</v>
      </c>
      <c r="F1768" t="s">
        <v>6134</v>
      </c>
      <c r="G1768">
        <v>41.16</v>
      </c>
      <c r="H1768">
        <v>41.16</v>
      </c>
      <c r="I1768" t="s">
        <v>126</v>
      </c>
      <c r="J1768" t="s">
        <v>127</v>
      </c>
      <c r="K1768" t="s">
        <v>31</v>
      </c>
      <c r="L1768" t="s">
        <v>32</v>
      </c>
      <c r="M1768" t="s">
        <v>33</v>
      </c>
      <c r="P1768" s="1" t="s">
        <v>6565</v>
      </c>
      <c r="Q1768" s="1" t="s">
        <v>6133</v>
      </c>
      <c r="R1768" s="1" t="s">
        <v>6133</v>
      </c>
      <c r="S1768" s="1"/>
      <c r="T1768" s="1" t="s">
        <v>125</v>
      </c>
      <c r="U1768" s="1"/>
      <c r="V1768" s="1">
        <v>41.16</v>
      </c>
      <c r="W1768" s="1">
        <v>41.16</v>
      </c>
      <c r="X1768" s="1" t="s">
        <v>35</v>
      </c>
      <c r="Y1768" s="1">
        <v>41160.0</v>
      </c>
      <c r="Z1768" s="1"/>
      <c r="AA1768" s="1">
        <v>41160.0</v>
      </c>
      <c r="AB1768" s="1"/>
      <c r="AC1768" s="1" t="s">
        <v>36</v>
      </c>
      <c r="AD1768" s="1" t="s">
        <v>6566</v>
      </c>
      <c r="AE1768" s="1" t="s">
        <v>32</v>
      </c>
      <c r="AF1768" s="1" t="s">
        <v>33</v>
      </c>
      <c r="AG1768" s="1" t="s">
        <v>127</v>
      </c>
    </row>
    <row r="1769" spans="1:33">
      <c r="A1769" t="s">
        <v>6567</v>
      </c>
      <c r="C1769" t="s">
        <v>1692</v>
      </c>
      <c r="E1769" t="s">
        <v>6133</v>
      </c>
      <c r="F1769" t="s">
        <v>6134</v>
      </c>
      <c r="G1769">
        <v>352.0</v>
      </c>
      <c r="H1769">
        <v>352.0</v>
      </c>
      <c r="I1769" t="s">
        <v>179</v>
      </c>
      <c r="J1769" t="s">
        <v>180</v>
      </c>
      <c r="K1769" t="s">
        <v>31</v>
      </c>
      <c r="L1769" t="s">
        <v>32</v>
      </c>
      <c r="M1769" t="s">
        <v>33</v>
      </c>
      <c r="P1769" s="1" t="s">
        <v>6568</v>
      </c>
      <c r="Q1769" s="1" t="s">
        <v>6133</v>
      </c>
      <c r="R1769" s="1" t="s">
        <v>6133</v>
      </c>
      <c r="S1769" s="1"/>
      <c r="T1769" s="1" t="s">
        <v>1692</v>
      </c>
      <c r="U1769" s="1"/>
      <c r="V1769" s="1">
        <v>352.0</v>
      </c>
      <c r="W1769" s="1">
        <v>352.0</v>
      </c>
      <c r="X1769" s="1" t="s">
        <v>35</v>
      </c>
      <c r="Y1769" s="1">
        <v>352000.0</v>
      </c>
      <c r="Z1769" s="1"/>
      <c r="AA1769" s="1">
        <v>352000.0</v>
      </c>
      <c r="AB1769" s="1"/>
      <c r="AC1769" s="1" t="s">
        <v>36</v>
      </c>
      <c r="AD1769" s="1" t="s">
        <v>6569</v>
      </c>
      <c r="AE1769" s="1" t="s">
        <v>32</v>
      </c>
      <c r="AF1769" s="1" t="s">
        <v>33</v>
      </c>
      <c r="AG1769" s="1" t="s">
        <v>180</v>
      </c>
    </row>
    <row r="1770" spans="1:33">
      <c r="A1770" t="s">
        <v>6570</v>
      </c>
      <c r="C1770" t="s">
        <v>131</v>
      </c>
      <c r="E1770" t="s">
        <v>6133</v>
      </c>
      <c r="F1770" t="s">
        <v>6134</v>
      </c>
      <c r="G1770">
        <v>50.78</v>
      </c>
      <c r="H1770">
        <v>50.78</v>
      </c>
      <c r="I1770" t="s">
        <v>94</v>
      </c>
      <c r="J1770" t="s">
        <v>95</v>
      </c>
      <c r="K1770" t="s">
        <v>31</v>
      </c>
      <c r="L1770" t="s">
        <v>32</v>
      </c>
      <c r="M1770" t="s">
        <v>33</v>
      </c>
      <c r="P1770" s="1" t="s">
        <v>6571</v>
      </c>
      <c r="Q1770" s="1" t="s">
        <v>6133</v>
      </c>
      <c r="R1770" s="1" t="s">
        <v>6133</v>
      </c>
      <c r="S1770" s="1"/>
      <c r="T1770" s="1" t="s">
        <v>131</v>
      </c>
      <c r="U1770" s="1"/>
      <c r="V1770" s="1">
        <v>50.78</v>
      </c>
      <c r="W1770" s="1">
        <v>50.78</v>
      </c>
      <c r="X1770" s="1" t="s">
        <v>35</v>
      </c>
      <c r="Y1770" s="1">
        <v>50780.0</v>
      </c>
      <c r="Z1770" s="1"/>
      <c r="AA1770" s="1">
        <v>50780.0</v>
      </c>
      <c r="AB1770" s="1"/>
      <c r="AC1770" s="1" t="s">
        <v>36</v>
      </c>
      <c r="AD1770" s="1" t="s">
        <v>6572</v>
      </c>
      <c r="AE1770" s="1" t="s">
        <v>32</v>
      </c>
      <c r="AF1770" s="1" t="s">
        <v>33</v>
      </c>
      <c r="AG1770" s="1" t="s">
        <v>95</v>
      </c>
    </row>
    <row r="1771" spans="1:33">
      <c r="A1771" t="s">
        <v>6573</v>
      </c>
      <c r="C1771" t="s">
        <v>6574</v>
      </c>
      <c r="E1771" t="s">
        <v>6133</v>
      </c>
      <c r="F1771" t="s">
        <v>6134</v>
      </c>
      <c r="G1771">
        <v>721.0</v>
      </c>
      <c r="H1771">
        <v>721.0</v>
      </c>
      <c r="I1771" t="s">
        <v>40</v>
      </c>
      <c r="J1771" t="s">
        <v>41</v>
      </c>
      <c r="K1771" t="s">
        <v>31</v>
      </c>
      <c r="L1771" t="s">
        <v>32</v>
      </c>
      <c r="M1771" t="s">
        <v>33</v>
      </c>
      <c r="P1771" s="1" t="s">
        <v>6575</v>
      </c>
      <c r="Q1771" s="1" t="s">
        <v>6133</v>
      </c>
      <c r="R1771" s="1" t="s">
        <v>5469</v>
      </c>
      <c r="S1771" s="1"/>
      <c r="T1771" s="1" t="s">
        <v>6574</v>
      </c>
      <c r="U1771" s="1"/>
      <c r="V1771" s="1">
        <v>721.0</v>
      </c>
      <c r="W1771" s="1">
        <v>721.0</v>
      </c>
      <c r="X1771" s="1" t="s">
        <v>35</v>
      </c>
      <c r="Y1771" s="1">
        <v>721000.0</v>
      </c>
      <c r="Z1771" s="1"/>
      <c r="AA1771" s="1">
        <v>721000.0</v>
      </c>
      <c r="AB1771" s="1"/>
      <c r="AC1771" s="1" t="s">
        <v>36</v>
      </c>
      <c r="AD1771" s="1" t="s">
        <v>6576</v>
      </c>
      <c r="AE1771" s="1" t="s">
        <v>32</v>
      </c>
      <c r="AF1771" s="1" t="s">
        <v>33</v>
      </c>
      <c r="AG1771" s="1" t="s">
        <v>41</v>
      </c>
    </row>
    <row r="1772" spans="1:33">
      <c r="A1772" t="s">
        <v>6577</v>
      </c>
      <c r="B1772" t="s">
        <v>717</v>
      </c>
      <c r="C1772" t="s">
        <v>569</v>
      </c>
      <c r="E1772" t="s">
        <v>6133</v>
      </c>
      <c r="F1772" t="s">
        <v>6134</v>
      </c>
      <c r="G1772">
        <v>47.038</v>
      </c>
      <c r="H1772">
        <v>47.038</v>
      </c>
      <c r="I1772" t="s">
        <v>570</v>
      </c>
      <c r="J1772" t="s">
        <v>571</v>
      </c>
      <c r="K1772" t="s">
        <v>31</v>
      </c>
      <c r="L1772" t="s">
        <v>32</v>
      </c>
      <c r="M1772" t="s">
        <v>33</v>
      </c>
      <c r="P1772" s="1" t="s">
        <v>6578</v>
      </c>
      <c r="Q1772" s="1" t="s">
        <v>6133</v>
      </c>
      <c r="R1772" s="1" t="s">
        <v>6133</v>
      </c>
      <c r="S1772" s="1"/>
      <c r="T1772" s="1" t="s">
        <v>569</v>
      </c>
      <c r="U1772" s="1"/>
      <c r="V1772" s="1">
        <v>47.038</v>
      </c>
      <c r="W1772" s="1">
        <v>47.038</v>
      </c>
      <c r="X1772" s="1" t="s">
        <v>35</v>
      </c>
      <c r="Y1772" s="1">
        <v>47038</v>
      </c>
      <c r="Z1772" s="1"/>
      <c r="AA1772" s="1">
        <v>47038</v>
      </c>
      <c r="AB1772" s="1"/>
      <c r="AC1772" s="1" t="s">
        <v>36</v>
      </c>
      <c r="AD1772" s="1" t="s">
        <v>6579</v>
      </c>
      <c r="AE1772" s="1" t="s">
        <v>32</v>
      </c>
      <c r="AF1772" s="1" t="s">
        <v>33</v>
      </c>
      <c r="AG1772" s="1" t="s">
        <v>571</v>
      </c>
    </row>
    <row r="1773" spans="1:33">
      <c r="A1773" t="s">
        <v>6580</v>
      </c>
      <c r="C1773" t="s">
        <v>6581</v>
      </c>
      <c r="E1773" t="s">
        <v>6133</v>
      </c>
      <c r="F1773" t="s">
        <v>6134</v>
      </c>
      <c r="G1773">
        <v>1.95</v>
      </c>
      <c r="H1773">
        <v>1.95</v>
      </c>
      <c r="I1773" t="s">
        <v>48</v>
      </c>
      <c r="J1773" t="s">
        <v>49</v>
      </c>
      <c r="K1773" t="s">
        <v>31</v>
      </c>
      <c r="L1773" t="s">
        <v>32</v>
      </c>
      <c r="M1773" t="s">
        <v>33</v>
      </c>
      <c r="P1773" s="1" t="s">
        <v>6582</v>
      </c>
      <c r="Q1773" s="1" t="s">
        <v>6133</v>
      </c>
      <c r="R1773" s="1" t="s">
        <v>6133</v>
      </c>
      <c r="S1773" s="1"/>
      <c r="T1773" s="1" t="s">
        <v>6581</v>
      </c>
      <c r="U1773" s="1"/>
      <c r="V1773" s="1">
        <v>1.95</v>
      </c>
      <c r="W1773" s="1">
        <v>1.95</v>
      </c>
      <c r="X1773" s="1" t="s">
        <v>35</v>
      </c>
      <c r="Y1773" s="1">
        <v>1950000.0</v>
      </c>
      <c r="Z1773" s="1"/>
      <c r="AA1773" s="1">
        <v>1950000.0</v>
      </c>
      <c r="AB1773" s="1"/>
      <c r="AC1773" s="1" t="s">
        <v>36</v>
      </c>
      <c r="AD1773" s="1" t="s">
        <v>6583</v>
      </c>
      <c r="AE1773" s="1" t="s">
        <v>32</v>
      </c>
      <c r="AF1773" s="1" t="s">
        <v>33</v>
      </c>
      <c r="AG1773" s="1" t="s">
        <v>49</v>
      </c>
    </row>
    <row r="1774" spans="1:33">
      <c r="A1774" t="s">
        <v>6584</v>
      </c>
      <c r="B1774" t="s">
        <v>6585</v>
      </c>
      <c r="C1774" t="s">
        <v>569</v>
      </c>
      <c r="E1774" t="s">
        <v>6133</v>
      </c>
      <c r="F1774" t="s">
        <v>6134</v>
      </c>
      <c r="G1774">
        <v>27.508</v>
      </c>
      <c r="H1774">
        <v>27.508</v>
      </c>
      <c r="I1774" t="s">
        <v>570</v>
      </c>
      <c r="J1774" t="s">
        <v>571</v>
      </c>
      <c r="K1774" t="s">
        <v>31</v>
      </c>
      <c r="L1774" t="s">
        <v>32</v>
      </c>
      <c r="M1774" t="s">
        <v>33</v>
      </c>
      <c r="P1774" s="1" t="s">
        <v>6586</v>
      </c>
      <c r="Q1774" s="1" t="s">
        <v>6133</v>
      </c>
      <c r="R1774" s="1" t="s">
        <v>6133</v>
      </c>
      <c r="S1774" s="1"/>
      <c r="T1774" s="1" t="s">
        <v>569</v>
      </c>
      <c r="U1774" s="1"/>
      <c r="V1774" s="1">
        <v>27.508</v>
      </c>
      <c r="W1774" s="1">
        <v>27.508</v>
      </c>
      <c r="X1774" s="1" t="s">
        <v>35</v>
      </c>
      <c r="Y1774" s="1">
        <v>27508.0</v>
      </c>
      <c r="Z1774" s="1"/>
      <c r="AA1774" s="1">
        <v>27508.0</v>
      </c>
      <c r="AB1774" s="1"/>
      <c r="AC1774" s="1" t="s">
        <v>36</v>
      </c>
      <c r="AD1774" s="1" t="s">
        <v>6587</v>
      </c>
      <c r="AE1774" s="1" t="s">
        <v>32</v>
      </c>
      <c r="AF1774" s="1" t="s">
        <v>33</v>
      </c>
      <c r="AG1774" s="1" t="s">
        <v>571</v>
      </c>
    </row>
    <row r="1775" spans="1:33">
      <c r="A1775" t="s">
        <v>6588</v>
      </c>
      <c r="C1775" t="s">
        <v>2588</v>
      </c>
      <c r="E1775" t="s">
        <v>6133</v>
      </c>
      <c r="F1775" t="s">
        <v>6134</v>
      </c>
      <c r="G1775">
        <v>922.0</v>
      </c>
      <c r="H1775">
        <v>922.0</v>
      </c>
      <c r="I1775" t="s">
        <v>269</v>
      </c>
      <c r="J1775" t="s">
        <v>270</v>
      </c>
      <c r="K1775" t="s">
        <v>31</v>
      </c>
      <c r="L1775" t="s">
        <v>32</v>
      </c>
      <c r="M1775" t="s">
        <v>33</v>
      </c>
      <c r="P1775" s="1" t="s">
        <v>6589</v>
      </c>
      <c r="Q1775" s="1" t="s">
        <v>6133</v>
      </c>
      <c r="R1775" s="1" t="s">
        <v>6133</v>
      </c>
      <c r="S1775" s="1"/>
      <c r="T1775" s="1" t="s">
        <v>2588</v>
      </c>
      <c r="U1775" s="1"/>
      <c r="V1775" s="1">
        <v>922.0</v>
      </c>
      <c r="W1775" s="1">
        <v>922.0</v>
      </c>
      <c r="X1775" s="1" t="s">
        <v>35</v>
      </c>
      <c r="Y1775" s="1">
        <v>922000.0</v>
      </c>
      <c r="Z1775" s="1"/>
      <c r="AA1775" s="1">
        <v>922000.0</v>
      </c>
      <c r="AB1775" s="1"/>
      <c r="AC1775" s="1" t="s">
        <v>36</v>
      </c>
      <c r="AD1775" s="1" t="s">
        <v>6583</v>
      </c>
      <c r="AE1775" s="1" t="s">
        <v>32</v>
      </c>
      <c r="AF1775" s="1" t="s">
        <v>33</v>
      </c>
      <c r="AG1775" s="1" t="s">
        <v>270</v>
      </c>
    </row>
    <row r="1776" spans="1:33">
      <c r="A1776" t="s">
        <v>6590</v>
      </c>
      <c r="B1776" t="s">
        <v>313</v>
      </c>
      <c r="C1776" t="s">
        <v>314</v>
      </c>
      <c r="E1776" t="s">
        <v>6133</v>
      </c>
      <c r="F1776" t="s">
        <v>6134</v>
      </c>
      <c r="G1776">
        <v>156.44</v>
      </c>
      <c r="H1776">
        <v>156.44</v>
      </c>
      <c r="I1776" t="s">
        <v>179</v>
      </c>
      <c r="J1776" t="s">
        <v>180</v>
      </c>
      <c r="K1776" t="s">
        <v>31</v>
      </c>
      <c r="L1776" t="s">
        <v>32</v>
      </c>
      <c r="M1776" t="s">
        <v>33</v>
      </c>
      <c r="P1776" s="1" t="s">
        <v>6591</v>
      </c>
      <c r="Q1776" s="1" t="s">
        <v>6133</v>
      </c>
      <c r="R1776" s="1" t="s">
        <v>6133</v>
      </c>
      <c r="S1776" s="1"/>
      <c r="T1776" s="1" t="s">
        <v>314</v>
      </c>
      <c r="U1776" s="1"/>
      <c r="V1776" s="1">
        <v>156.44</v>
      </c>
      <c r="W1776" s="1">
        <v>156.44</v>
      </c>
      <c r="X1776" s="1" t="s">
        <v>35</v>
      </c>
      <c r="Y1776" s="1">
        <v>156440.0</v>
      </c>
      <c r="Z1776" s="1"/>
      <c r="AA1776" s="1">
        <v>156440.0</v>
      </c>
      <c r="AB1776" s="1"/>
      <c r="AC1776" s="1" t="s">
        <v>36</v>
      </c>
      <c r="AD1776" s="1" t="s">
        <v>6592</v>
      </c>
      <c r="AE1776" s="1" t="s">
        <v>32</v>
      </c>
      <c r="AF1776" s="1" t="s">
        <v>33</v>
      </c>
      <c r="AG1776" s="1" t="s">
        <v>180</v>
      </c>
    </row>
    <row r="1777" spans="1:33">
      <c r="A1777" t="s">
        <v>6593</v>
      </c>
      <c r="B1777" t="s">
        <v>6594</v>
      </c>
      <c r="C1777" t="s">
        <v>1298</v>
      </c>
      <c r="E1777" t="s">
        <v>6133</v>
      </c>
      <c r="F1777" t="s">
        <v>6134</v>
      </c>
      <c r="G1777">
        <v>52.418</v>
      </c>
      <c r="H1777">
        <v>52.418</v>
      </c>
      <c r="I1777" t="s">
        <v>529</v>
      </c>
      <c r="J1777" t="s">
        <v>530</v>
      </c>
      <c r="K1777" t="s">
        <v>31</v>
      </c>
      <c r="L1777" t="s">
        <v>32</v>
      </c>
      <c r="M1777" t="s">
        <v>33</v>
      </c>
      <c r="P1777" s="1" t="s">
        <v>6595</v>
      </c>
      <c r="Q1777" s="1" t="s">
        <v>6133</v>
      </c>
      <c r="R1777" s="1" t="s">
        <v>5469</v>
      </c>
      <c r="S1777" s="1"/>
      <c r="T1777" s="1" t="s">
        <v>1298</v>
      </c>
      <c r="U1777" s="1"/>
      <c r="V1777" s="1">
        <v>52.418</v>
      </c>
      <c r="W1777" s="1">
        <v>52.418</v>
      </c>
      <c r="X1777" s="1" t="s">
        <v>35</v>
      </c>
      <c r="Y1777" s="1">
        <v>52418.0</v>
      </c>
      <c r="Z1777" s="1"/>
      <c r="AA1777" s="1">
        <v>52418.0</v>
      </c>
      <c r="AB1777" s="1"/>
      <c r="AC1777" s="1" t="s">
        <v>36</v>
      </c>
      <c r="AD1777" s="1" t="s">
        <v>6596</v>
      </c>
      <c r="AE1777" s="1" t="s">
        <v>32</v>
      </c>
      <c r="AF1777" s="1" t="s">
        <v>33</v>
      </c>
      <c r="AG1777" s="1" t="s">
        <v>530</v>
      </c>
    </row>
    <row r="1778" spans="1:33">
      <c r="A1778" t="s">
        <v>6597</v>
      </c>
      <c r="C1778" t="s">
        <v>6598</v>
      </c>
      <c r="D1778" t="s">
        <v>114</v>
      </c>
      <c r="E1778" t="s">
        <v>6133</v>
      </c>
      <c r="F1778" t="s">
        <v>6134</v>
      </c>
      <c r="G1778">
        <v>210.0</v>
      </c>
      <c r="H1778">
        <v>210.0</v>
      </c>
      <c r="I1778" t="s">
        <v>269</v>
      </c>
      <c r="J1778" t="s">
        <v>270</v>
      </c>
      <c r="K1778" t="s">
        <v>31</v>
      </c>
      <c r="L1778" t="s">
        <v>32</v>
      </c>
      <c r="M1778" t="s">
        <v>33</v>
      </c>
      <c r="P1778" s="1" t="s">
        <v>6599</v>
      </c>
      <c r="Q1778" s="1" t="s">
        <v>6133</v>
      </c>
      <c r="R1778" s="1" t="s">
        <v>6133</v>
      </c>
      <c r="S1778" s="1"/>
      <c r="T1778" s="1" t="s">
        <v>6598</v>
      </c>
      <c r="U1778" s="1"/>
      <c r="V1778" s="1">
        <v>210.0</v>
      </c>
      <c r="W1778" s="1">
        <v>210.0</v>
      </c>
      <c r="X1778" s="1" t="s">
        <v>35</v>
      </c>
      <c r="Y1778" s="1">
        <v>210000.0</v>
      </c>
      <c r="Z1778" s="1"/>
      <c r="AA1778" s="1">
        <v>210000.0</v>
      </c>
      <c r="AB1778" s="1"/>
      <c r="AC1778" s="1" t="s">
        <v>36</v>
      </c>
      <c r="AD1778" s="1" t="s">
        <v>6600</v>
      </c>
      <c r="AE1778" s="1" t="s">
        <v>32</v>
      </c>
      <c r="AF1778" s="1" t="s">
        <v>33</v>
      </c>
      <c r="AG1778" s="1" t="s">
        <v>270</v>
      </c>
    </row>
    <row r="1779" spans="1:33">
      <c r="A1779" t="s">
        <v>6601</v>
      </c>
      <c r="C1779" t="s">
        <v>859</v>
      </c>
      <c r="D1779" t="s">
        <v>114</v>
      </c>
      <c r="E1779" t="s">
        <v>6133</v>
      </c>
      <c r="F1779" t="s">
        <v>6134</v>
      </c>
      <c r="G1779">
        <v>19.5</v>
      </c>
      <c r="H1779">
        <v>19.5</v>
      </c>
      <c r="I1779" t="s">
        <v>269</v>
      </c>
      <c r="J1779" t="s">
        <v>270</v>
      </c>
      <c r="K1779" t="s">
        <v>31</v>
      </c>
      <c r="L1779" t="s">
        <v>32</v>
      </c>
      <c r="M1779" t="s">
        <v>33</v>
      </c>
      <c r="P1779" s="1" t="s">
        <v>6602</v>
      </c>
      <c r="Q1779" s="1" t="s">
        <v>6133</v>
      </c>
      <c r="R1779" s="1" t="s">
        <v>6133</v>
      </c>
      <c r="S1779" s="1"/>
      <c r="T1779" s="1" t="s">
        <v>859</v>
      </c>
      <c r="U1779" s="1"/>
      <c r="V1779" s="1">
        <v>19.5</v>
      </c>
      <c r="W1779" s="1">
        <v>19.5</v>
      </c>
      <c r="X1779" s="1" t="s">
        <v>35</v>
      </c>
      <c r="Y1779" s="1">
        <v>19500.0</v>
      </c>
      <c r="Z1779" s="1"/>
      <c r="AA1779" s="1">
        <v>19500.0</v>
      </c>
      <c r="AB1779" s="1"/>
      <c r="AC1779" s="1" t="s">
        <v>36</v>
      </c>
      <c r="AD1779" s="1" t="s">
        <v>6603</v>
      </c>
      <c r="AE1779" s="1" t="s">
        <v>32</v>
      </c>
      <c r="AF1779" s="1" t="s">
        <v>33</v>
      </c>
      <c r="AG1779" s="1" t="s">
        <v>270</v>
      </c>
    </row>
    <row r="1780" spans="1:33">
      <c r="A1780" t="s">
        <v>6604</v>
      </c>
      <c r="C1780" t="s">
        <v>866</v>
      </c>
      <c r="D1780" t="s">
        <v>154</v>
      </c>
      <c r="E1780" t="s">
        <v>6133</v>
      </c>
      <c r="F1780" t="s">
        <v>6134</v>
      </c>
      <c r="G1780">
        <v>1.052</v>
      </c>
      <c r="H1780">
        <v>1.052</v>
      </c>
      <c r="I1780" t="s">
        <v>48</v>
      </c>
      <c r="J1780" t="s">
        <v>49</v>
      </c>
      <c r="K1780" t="s">
        <v>31</v>
      </c>
      <c r="L1780" t="s">
        <v>32</v>
      </c>
      <c r="M1780" t="s">
        <v>33</v>
      </c>
      <c r="P1780" s="1" t="s">
        <v>6605</v>
      </c>
      <c r="Q1780" s="1" t="s">
        <v>6133</v>
      </c>
      <c r="R1780" s="1" t="s">
        <v>6133</v>
      </c>
      <c r="S1780" s="1"/>
      <c r="T1780" s="1" t="s">
        <v>868</v>
      </c>
      <c r="U1780" s="1" t="s">
        <v>869</v>
      </c>
      <c r="V1780" s="1">
        <v>1.052</v>
      </c>
      <c r="W1780" s="1">
        <v>1.052</v>
      </c>
      <c r="X1780" s="1" t="s">
        <v>35</v>
      </c>
      <c r="Y1780" s="1">
        <v>1052250.0</v>
      </c>
      <c r="Z1780" s="1"/>
      <c r="AA1780" s="1">
        <v>1052250.0</v>
      </c>
      <c r="AB1780" s="1"/>
      <c r="AC1780" s="1" t="s">
        <v>36</v>
      </c>
      <c r="AD1780" s="1" t="s">
        <v>6606</v>
      </c>
      <c r="AE1780" s="1" t="s">
        <v>32</v>
      </c>
      <c r="AF1780" s="1" t="s">
        <v>33</v>
      </c>
      <c r="AG1780" s="1" t="s">
        <v>49</v>
      </c>
    </row>
    <row r="1781" spans="1:33">
      <c r="A1781" t="s">
        <v>6607</v>
      </c>
      <c r="B1781" t="s">
        <v>548</v>
      </c>
      <c r="C1781" t="s">
        <v>73</v>
      </c>
      <c r="E1781" t="s">
        <v>6133</v>
      </c>
      <c r="F1781" t="s">
        <v>6134</v>
      </c>
      <c r="G1781">
        <v>88.966</v>
      </c>
      <c r="H1781">
        <v>88.966</v>
      </c>
      <c r="I1781" t="s">
        <v>40</v>
      </c>
      <c r="J1781" t="s">
        <v>41</v>
      </c>
      <c r="K1781" t="s">
        <v>31</v>
      </c>
      <c r="L1781" t="s">
        <v>32</v>
      </c>
      <c r="M1781" t="s">
        <v>33</v>
      </c>
      <c r="P1781" s="1" t="s">
        <v>6608</v>
      </c>
      <c r="Q1781" s="1" t="s">
        <v>6133</v>
      </c>
      <c r="R1781" s="1" t="s">
        <v>5469</v>
      </c>
      <c r="S1781" s="1"/>
      <c r="T1781" s="1" t="s">
        <v>75</v>
      </c>
      <c r="U1781" s="1" t="s">
        <v>76</v>
      </c>
      <c r="V1781" s="1">
        <v>88.966</v>
      </c>
      <c r="W1781" s="1">
        <v>88.966</v>
      </c>
      <c r="X1781" s="1" t="s">
        <v>35</v>
      </c>
      <c r="Y1781" s="1">
        <v>88966.0</v>
      </c>
      <c r="Z1781" s="1"/>
      <c r="AA1781" s="1">
        <v>88966.0</v>
      </c>
      <c r="AB1781" s="1"/>
      <c r="AC1781" s="1" t="s">
        <v>36</v>
      </c>
      <c r="AD1781" s="1" t="s">
        <v>6609</v>
      </c>
      <c r="AE1781" s="1" t="s">
        <v>32</v>
      </c>
      <c r="AF1781" s="1" t="s">
        <v>33</v>
      </c>
      <c r="AG1781" s="1" t="s">
        <v>41</v>
      </c>
    </row>
    <row r="1782" spans="1:33">
      <c r="A1782" t="s">
        <v>6610</v>
      </c>
      <c r="B1782" t="s">
        <v>6611</v>
      </c>
      <c r="C1782" t="s">
        <v>47</v>
      </c>
      <c r="E1782" t="s">
        <v>6133</v>
      </c>
      <c r="F1782" t="s">
        <v>6134</v>
      </c>
      <c r="G1782">
        <v>35.58</v>
      </c>
      <c r="H1782">
        <v>35.58</v>
      </c>
      <c r="I1782" t="s">
        <v>48</v>
      </c>
      <c r="J1782" t="s">
        <v>49</v>
      </c>
      <c r="K1782" t="s">
        <v>31</v>
      </c>
      <c r="L1782" t="s">
        <v>32</v>
      </c>
      <c r="M1782" t="s">
        <v>33</v>
      </c>
      <c r="P1782" s="1" t="s">
        <v>6612</v>
      </c>
      <c r="Q1782" s="1" t="s">
        <v>6133</v>
      </c>
      <c r="R1782" s="1" t="s">
        <v>6133</v>
      </c>
      <c r="S1782" s="1"/>
      <c r="T1782" s="1" t="s">
        <v>47</v>
      </c>
      <c r="U1782" s="1"/>
      <c r="V1782" s="1">
        <v>35.58</v>
      </c>
      <c r="W1782" s="1">
        <v>35.58</v>
      </c>
      <c r="X1782" s="1" t="s">
        <v>35</v>
      </c>
      <c r="Y1782" s="1">
        <v>35580.0</v>
      </c>
      <c r="Z1782" s="1"/>
      <c r="AA1782" s="1">
        <v>35580.0</v>
      </c>
      <c r="AB1782" s="1"/>
      <c r="AC1782" s="1" t="s">
        <v>36</v>
      </c>
      <c r="AD1782" s="1" t="s">
        <v>6613</v>
      </c>
      <c r="AE1782" s="1" t="s">
        <v>32</v>
      </c>
      <c r="AF1782" s="1" t="s">
        <v>33</v>
      </c>
      <c r="AG1782" s="1" t="s">
        <v>49</v>
      </c>
    </row>
    <row r="1783" spans="1:33">
      <c r="A1783" t="s">
        <v>6614</v>
      </c>
      <c r="C1783" t="s">
        <v>5441</v>
      </c>
      <c r="E1783" t="s">
        <v>6133</v>
      </c>
      <c r="F1783" t="s">
        <v>6134</v>
      </c>
      <c r="G1783">
        <v>630.0</v>
      </c>
      <c r="H1783">
        <v>630.0</v>
      </c>
      <c r="I1783" t="s">
        <v>40</v>
      </c>
      <c r="J1783" t="s">
        <v>41</v>
      </c>
      <c r="K1783" t="s">
        <v>31</v>
      </c>
      <c r="L1783" t="s">
        <v>32</v>
      </c>
      <c r="M1783" t="s">
        <v>33</v>
      </c>
      <c r="P1783" s="1" t="s">
        <v>6615</v>
      </c>
      <c r="Q1783" s="1" t="s">
        <v>6133</v>
      </c>
      <c r="R1783" s="1" t="s">
        <v>5469</v>
      </c>
      <c r="S1783" s="1"/>
      <c r="T1783" s="1" t="s">
        <v>5441</v>
      </c>
      <c r="U1783" s="1"/>
      <c r="V1783" s="1">
        <v>630.0</v>
      </c>
      <c r="W1783" s="1">
        <v>630.0</v>
      </c>
      <c r="X1783" s="1" t="s">
        <v>35</v>
      </c>
      <c r="Y1783" s="1">
        <v>630000.0</v>
      </c>
      <c r="Z1783" s="1"/>
      <c r="AA1783" s="1">
        <v>630000.0</v>
      </c>
      <c r="AB1783" s="1"/>
      <c r="AC1783" s="1" t="s">
        <v>36</v>
      </c>
      <c r="AD1783" s="1" t="s">
        <v>6616</v>
      </c>
      <c r="AE1783" s="1" t="s">
        <v>32</v>
      </c>
      <c r="AF1783" s="1" t="s">
        <v>33</v>
      </c>
      <c r="AG1783" s="1" t="s">
        <v>41</v>
      </c>
    </row>
    <row r="1784" spans="1:33">
      <c r="A1784" t="s">
        <v>6617</v>
      </c>
      <c r="C1784" t="s">
        <v>513</v>
      </c>
      <c r="E1784" t="s">
        <v>6133</v>
      </c>
      <c r="F1784" t="s">
        <v>6134</v>
      </c>
      <c r="G1784">
        <v>780.0</v>
      </c>
      <c r="H1784">
        <v>780.0</v>
      </c>
      <c r="I1784" t="s">
        <v>48</v>
      </c>
      <c r="J1784" t="s">
        <v>49</v>
      </c>
      <c r="K1784" t="s">
        <v>31</v>
      </c>
      <c r="L1784" t="s">
        <v>32</v>
      </c>
      <c r="M1784" t="s">
        <v>33</v>
      </c>
      <c r="P1784" s="1" t="s">
        <v>6618</v>
      </c>
      <c r="Q1784" s="1" t="s">
        <v>6133</v>
      </c>
      <c r="R1784" s="1" t="s">
        <v>6133</v>
      </c>
      <c r="S1784" s="1"/>
      <c r="T1784" s="1" t="s">
        <v>513</v>
      </c>
      <c r="U1784" s="1"/>
      <c r="V1784" s="1">
        <v>780.0</v>
      </c>
      <c r="W1784" s="1">
        <v>780.0</v>
      </c>
      <c r="X1784" s="1" t="s">
        <v>35</v>
      </c>
      <c r="Y1784" s="1">
        <v>780000.0</v>
      </c>
      <c r="Z1784" s="1"/>
      <c r="AA1784" s="1">
        <v>780000.0</v>
      </c>
      <c r="AB1784" s="1"/>
      <c r="AC1784" s="1" t="s">
        <v>36</v>
      </c>
      <c r="AD1784" s="1" t="s">
        <v>6619</v>
      </c>
      <c r="AE1784" s="1" t="s">
        <v>32</v>
      </c>
      <c r="AF1784" s="1" t="s">
        <v>33</v>
      </c>
      <c r="AG1784" s="1" t="s">
        <v>49</v>
      </c>
    </row>
    <row r="1785" spans="1:33">
      <c r="A1785" t="s">
        <v>6620</v>
      </c>
      <c r="B1785" t="s">
        <v>6621</v>
      </c>
      <c r="C1785" t="s">
        <v>47</v>
      </c>
      <c r="E1785" t="s">
        <v>6133</v>
      </c>
      <c r="F1785" t="s">
        <v>6134</v>
      </c>
      <c r="G1785">
        <v>9.0</v>
      </c>
      <c r="H1785">
        <v>9.0</v>
      </c>
      <c r="I1785" t="s">
        <v>48</v>
      </c>
      <c r="J1785" t="s">
        <v>49</v>
      </c>
      <c r="K1785" t="s">
        <v>31</v>
      </c>
      <c r="L1785" t="s">
        <v>32</v>
      </c>
      <c r="M1785" t="s">
        <v>33</v>
      </c>
      <c r="P1785" s="1" t="s">
        <v>6622</v>
      </c>
      <c r="Q1785" s="1" t="s">
        <v>6133</v>
      </c>
      <c r="R1785" s="1" t="s">
        <v>6133</v>
      </c>
      <c r="S1785" s="1"/>
      <c r="T1785" s="1" t="s">
        <v>47</v>
      </c>
      <c r="U1785" s="1"/>
      <c r="V1785" s="1">
        <v>9.0</v>
      </c>
      <c r="W1785" s="1">
        <v>9.0</v>
      </c>
      <c r="X1785" s="1" t="s">
        <v>35</v>
      </c>
      <c r="Y1785" s="1">
        <v>9000.0</v>
      </c>
      <c r="Z1785" s="1"/>
      <c r="AA1785" s="1">
        <v>9000.0</v>
      </c>
      <c r="AB1785" s="1"/>
      <c r="AC1785" s="1" t="s">
        <v>36</v>
      </c>
      <c r="AD1785" s="1" t="s">
        <v>6623</v>
      </c>
      <c r="AE1785" s="1" t="s">
        <v>32</v>
      </c>
      <c r="AF1785" s="1" t="s">
        <v>33</v>
      </c>
      <c r="AG1785" s="1" t="s">
        <v>49</v>
      </c>
    </row>
    <row r="1786" spans="1:33">
      <c r="A1786" t="s">
        <v>6624</v>
      </c>
      <c r="C1786" t="s">
        <v>73</v>
      </c>
      <c r="E1786" t="s">
        <v>6133</v>
      </c>
      <c r="F1786" t="s">
        <v>6134</v>
      </c>
      <c r="G1786">
        <v>7.088</v>
      </c>
      <c r="H1786">
        <v>7.088</v>
      </c>
      <c r="I1786" t="s">
        <v>40</v>
      </c>
      <c r="J1786" t="s">
        <v>41</v>
      </c>
      <c r="K1786" t="s">
        <v>31</v>
      </c>
      <c r="L1786" t="s">
        <v>32</v>
      </c>
      <c r="M1786" t="s">
        <v>33</v>
      </c>
      <c r="P1786" s="1" t="s">
        <v>6625</v>
      </c>
      <c r="Q1786" s="1" t="s">
        <v>6133</v>
      </c>
      <c r="R1786" s="1" t="s">
        <v>5469</v>
      </c>
      <c r="S1786" s="1"/>
      <c r="T1786" s="1" t="s">
        <v>75</v>
      </c>
      <c r="U1786" s="1" t="s">
        <v>76</v>
      </c>
      <c r="V1786" s="1">
        <v>7.088</v>
      </c>
      <c r="W1786" s="1">
        <v>7.088</v>
      </c>
      <c r="X1786" s="1" t="s">
        <v>35</v>
      </c>
      <c r="Y1786" s="1">
        <v>7088.0</v>
      </c>
      <c r="Z1786" s="1"/>
      <c r="AA1786" s="1">
        <v>7088.0</v>
      </c>
      <c r="AB1786" s="1"/>
      <c r="AC1786" s="1" t="s">
        <v>36</v>
      </c>
      <c r="AD1786" s="1" t="s">
        <v>6626</v>
      </c>
      <c r="AE1786" s="1" t="s">
        <v>32</v>
      </c>
      <c r="AF1786" s="1" t="s">
        <v>33</v>
      </c>
      <c r="AG1786" s="1" t="s">
        <v>41</v>
      </c>
    </row>
    <row r="1787" spans="1:33">
      <c r="A1787" t="s">
        <v>6627</v>
      </c>
      <c r="C1787" t="s">
        <v>6628</v>
      </c>
      <c r="E1787" t="s">
        <v>6133</v>
      </c>
      <c r="F1787" t="s">
        <v>6134</v>
      </c>
      <c r="G1787">
        <v>492.0</v>
      </c>
      <c r="H1787">
        <v>492.0</v>
      </c>
      <c r="I1787" t="s">
        <v>269</v>
      </c>
      <c r="J1787" t="s">
        <v>270</v>
      </c>
      <c r="K1787" t="s">
        <v>31</v>
      </c>
      <c r="L1787" t="s">
        <v>32</v>
      </c>
      <c r="M1787" t="s">
        <v>33</v>
      </c>
      <c r="P1787" s="1" t="s">
        <v>6629</v>
      </c>
      <c r="Q1787" s="1" t="s">
        <v>6133</v>
      </c>
      <c r="R1787" s="1" t="s">
        <v>6133</v>
      </c>
      <c r="S1787" s="1"/>
      <c r="T1787" s="1" t="s">
        <v>6628</v>
      </c>
      <c r="U1787" s="1"/>
      <c r="V1787" s="1">
        <v>492.0</v>
      </c>
      <c r="W1787" s="1">
        <v>492.0</v>
      </c>
      <c r="X1787" s="1" t="s">
        <v>35</v>
      </c>
      <c r="Y1787" s="1">
        <v>492000.0</v>
      </c>
      <c r="Z1787" s="1"/>
      <c r="AA1787" s="1">
        <v>492000.0</v>
      </c>
      <c r="AB1787" s="1"/>
      <c r="AC1787" s="1" t="s">
        <v>36</v>
      </c>
      <c r="AD1787" s="1" t="s">
        <v>6630</v>
      </c>
      <c r="AE1787" s="1" t="s">
        <v>32</v>
      </c>
      <c r="AF1787" s="1" t="s">
        <v>33</v>
      </c>
      <c r="AG1787" s="1" t="s">
        <v>270</v>
      </c>
    </row>
    <row r="1788" spans="1:33">
      <c r="A1788" t="s">
        <v>6631</v>
      </c>
      <c r="C1788" t="s">
        <v>73</v>
      </c>
      <c r="E1788" t="s">
        <v>6133</v>
      </c>
      <c r="F1788" t="s">
        <v>6134</v>
      </c>
      <c r="G1788">
        <v>7.088</v>
      </c>
      <c r="H1788">
        <v>7.088</v>
      </c>
      <c r="I1788" t="s">
        <v>40</v>
      </c>
      <c r="J1788" t="s">
        <v>41</v>
      </c>
      <c r="K1788" t="s">
        <v>31</v>
      </c>
      <c r="L1788" t="s">
        <v>32</v>
      </c>
      <c r="M1788" t="s">
        <v>33</v>
      </c>
      <c r="P1788" s="1" t="s">
        <v>6632</v>
      </c>
      <c r="Q1788" s="1" t="s">
        <v>6133</v>
      </c>
      <c r="R1788" s="1" t="s">
        <v>5469</v>
      </c>
      <c r="S1788" s="1"/>
      <c r="T1788" s="1" t="s">
        <v>75</v>
      </c>
      <c r="U1788" s="1" t="s">
        <v>76</v>
      </c>
      <c r="V1788" s="1">
        <v>7.088</v>
      </c>
      <c r="W1788" s="1">
        <v>7.088</v>
      </c>
      <c r="X1788" s="1" t="s">
        <v>35</v>
      </c>
      <c r="Y1788" s="1">
        <v>7088.0</v>
      </c>
      <c r="Z1788" s="1"/>
      <c r="AA1788" s="1">
        <v>7088.0</v>
      </c>
      <c r="AB1788" s="1"/>
      <c r="AC1788" s="1" t="s">
        <v>36</v>
      </c>
      <c r="AD1788" s="1" t="s">
        <v>6633</v>
      </c>
      <c r="AE1788" s="1" t="s">
        <v>32</v>
      </c>
      <c r="AF1788" s="1" t="s">
        <v>33</v>
      </c>
      <c r="AG1788" s="1" t="s">
        <v>41</v>
      </c>
    </row>
    <row r="1789" spans="1:33">
      <c r="A1789" t="s">
        <v>6634</v>
      </c>
      <c r="B1789" t="s">
        <v>6635</v>
      </c>
      <c r="C1789" t="s">
        <v>135</v>
      </c>
      <c r="E1789" t="s">
        <v>6133</v>
      </c>
      <c r="F1789" t="s">
        <v>6134</v>
      </c>
      <c r="G1789">
        <v>33.8</v>
      </c>
      <c r="H1789">
        <v>33.8</v>
      </c>
      <c r="I1789" t="s">
        <v>136</v>
      </c>
      <c r="J1789" t="s">
        <v>137</v>
      </c>
      <c r="K1789" t="s">
        <v>31</v>
      </c>
      <c r="L1789" t="s">
        <v>32</v>
      </c>
      <c r="M1789" t="s">
        <v>33</v>
      </c>
      <c r="P1789" s="1" t="s">
        <v>6636</v>
      </c>
      <c r="Q1789" s="1" t="s">
        <v>6133</v>
      </c>
      <c r="R1789" s="1" t="s">
        <v>6133</v>
      </c>
      <c r="S1789" s="1"/>
      <c r="T1789" s="1" t="s">
        <v>135</v>
      </c>
      <c r="U1789" s="1"/>
      <c r="V1789" s="1">
        <v>33.8</v>
      </c>
      <c r="W1789" s="1">
        <v>33.8</v>
      </c>
      <c r="X1789" s="1" t="s">
        <v>35</v>
      </c>
      <c r="Y1789" s="1">
        <v>33800.0</v>
      </c>
      <c r="Z1789" s="1"/>
      <c r="AA1789" s="1">
        <v>33800.0</v>
      </c>
      <c r="AB1789" s="1"/>
      <c r="AC1789" s="1" t="s">
        <v>36</v>
      </c>
      <c r="AD1789" s="1" t="s">
        <v>6637</v>
      </c>
      <c r="AE1789" s="1" t="s">
        <v>32</v>
      </c>
      <c r="AF1789" s="1" t="s">
        <v>33</v>
      </c>
      <c r="AG1789" s="1" t="s">
        <v>137</v>
      </c>
    </row>
    <row r="1790" spans="1:33">
      <c r="A1790" t="s">
        <v>6638</v>
      </c>
      <c r="B1790" t="s">
        <v>6639</v>
      </c>
      <c r="C1790" t="s">
        <v>131</v>
      </c>
      <c r="E1790" t="s">
        <v>6133</v>
      </c>
      <c r="F1790" t="s">
        <v>6134</v>
      </c>
      <c r="G1790">
        <v>20.99</v>
      </c>
      <c r="H1790">
        <v>20.99</v>
      </c>
      <c r="I1790" t="s">
        <v>94</v>
      </c>
      <c r="J1790" t="s">
        <v>95</v>
      </c>
      <c r="K1790" t="s">
        <v>31</v>
      </c>
      <c r="L1790" t="s">
        <v>32</v>
      </c>
      <c r="M1790" t="s">
        <v>33</v>
      </c>
      <c r="P1790" s="1" t="s">
        <v>6640</v>
      </c>
      <c r="Q1790" s="1" t="s">
        <v>6133</v>
      </c>
      <c r="R1790" s="1" t="s">
        <v>6133</v>
      </c>
      <c r="S1790" s="1"/>
      <c r="T1790" s="1" t="s">
        <v>131</v>
      </c>
      <c r="U1790" s="1"/>
      <c r="V1790" s="1">
        <v>20.99</v>
      </c>
      <c r="W1790" s="1">
        <v>20.99</v>
      </c>
      <c r="X1790" s="1" t="s">
        <v>35</v>
      </c>
      <c r="Y1790" s="1">
        <v>20990.0</v>
      </c>
      <c r="Z1790" s="1"/>
      <c r="AA1790" s="1">
        <v>20990.0</v>
      </c>
      <c r="AB1790" s="1"/>
      <c r="AC1790" s="1" t="s">
        <v>36</v>
      </c>
      <c r="AD1790" s="1" t="s">
        <v>6641</v>
      </c>
      <c r="AE1790" s="1" t="s">
        <v>32</v>
      </c>
      <c r="AF1790" s="1" t="s">
        <v>33</v>
      </c>
      <c r="AG1790" s="1" t="s">
        <v>95</v>
      </c>
    </row>
    <row r="1791" spans="1:33">
      <c r="A1791" t="s">
        <v>6642</v>
      </c>
      <c r="C1791" t="s">
        <v>1016</v>
      </c>
      <c r="E1791" t="s">
        <v>6133</v>
      </c>
      <c r="F1791" t="s">
        <v>6134</v>
      </c>
      <c r="G1791">
        <v>20.0</v>
      </c>
      <c r="H1791">
        <v>20.0</v>
      </c>
      <c r="I1791" t="s">
        <v>269</v>
      </c>
      <c r="J1791" t="s">
        <v>270</v>
      </c>
      <c r="K1791" t="s">
        <v>31</v>
      </c>
      <c r="L1791" t="s">
        <v>32</v>
      </c>
      <c r="M1791" t="s">
        <v>33</v>
      </c>
      <c r="P1791" s="1" t="s">
        <v>6643</v>
      </c>
      <c r="Q1791" s="1" t="s">
        <v>6133</v>
      </c>
      <c r="R1791" s="1" t="s">
        <v>6133</v>
      </c>
      <c r="S1791" s="1"/>
      <c r="T1791" s="1" t="s">
        <v>1016</v>
      </c>
      <c r="U1791" s="1"/>
      <c r="V1791" s="1">
        <v>20.0</v>
      </c>
      <c r="W1791" s="1">
        <v>20.0</v>
      </c>
      <c r="X1791" s="1" t="s">
        <v>35</v>
      </c>
      <c r="Y1791" s="1">
        <v>20000.0</v>
      </c>
      <c r="Z1791" s="1"/>
      <c r="AA1791" s="1">
        <v>20000.0</v>
      </c>
      <c r="AB1791" s="1"/>
      <c r="AC1791" s="1" t="s">
        <v>36</v>
      </c>
      <c r="AD1791" s="1" t="s">
        <v>6644</v>
      </c>
      <c r="AE1791" s="1" t="s">
        <v>32</v>
      </c>
      <c r="AF1791" s="1" t="s">
        <v>33</v>
      </c>
      <c r="AG1791" s="1" t="s">
        <v>270</v>
      </c>
    </row>
    <row r="1792" spans="1:33">
      <c r="A1792" t="s">
        <v>6645</v>
      </c>
      <c r="B1792" t="s">
        <v>6646</v>
      </c>
      <c r="C1792" t="s">
        <v>569</v>
      </c>
      <c r="E1792" t="s">
        <v>6133</v>
      </c>
      <c r="F1792" t="s">
        <v>6134</v>
      </c>
      <c r="G1792">
        <v>62.97</v>
      </c>
      <c r="H1792">
        <v>62.97</v>
      </c>
      <c r="I1792" t="s">
        <v>570</v>
      </c>
      <c r="J1792" t="s">
        <v>571</v>
      </c>
      <c r="K1792" t="s">
        <v>31</v>
      </c>
      <c r="L1792" t="s">
        <v>32</v>
      </c>
      <c r="M1792" t="s">
        <v>33</v>
      </c>
      <c r="P1792" s="1" t="s">
        <v>6647</v>
      </c>
      <c r="Q1792" s="1" t="s">
        <v>6133</v>
      </c>
      <c r="R1792" s="1" t="s">
        <v>6133</v>
      </c>
      <c r="S1792" s="1"/>
      <c r="T1792" s="1" t="s">
        <v>569</v>
      </c>
      <c r="U1792" s="1"/>
      <c r="V1792" s="1">
        <v>62.97</v>
      </c>
      <c r="W1792" s="1">
        <v>62.97</v>
      </c>
      <c r="X1792" s="1" t="s">
        <v>35</v>
      </c>
      <c r="Y1792" s="1">
        <v>62970.0</v>
      </c>
      <c r="Z1792" s="1"/>
      <c r="AA1792" s="1">
        <v>62970.0</v>
      </c>
      <c r="AB1792" s="1"/>
      <c r="AC1792" s="1" t="s">
        <v>36</v>
      </c>
      <c r="AD1792" s="1" t="s">
        <v>6648</v>
      </c>
      <c r="AE1792" s="1" t="s">
        <v>32</v>
      </c>
      <c r="AF1792" s="1" t="s">
        <v>33</v>
      </c>
      <c r="AG1792" s="1" t="s">
        <v>571</v>
      </c>
    </row>
    <row r="1793" spans="1:33">
      <c r="A1793" t="s">
        <v>6649</v>
      </c>
      <c r="C1793" t="s">
        <v>6650</v>
      </c>
      <c r="E1793" t="s">
        <v>6133</v>
      </c>
      <c r="F1793" t="s">
        <v>6134</v>
      </c>
      <c r="G1793">
        <v>4.881</v>
      </c>
      <c r="H1793">
        <v>4.881</v>
      </c>
      <c r="I1793" t="s">
        <v>227</v>
      </c>
      <c r="J1793" t="s">
        <v>228</v>
      </c>
      <c r="K1793" t="s">
        <v>31</v>
      </c>
      <c r="L1793" t="s">
        <v>32</v>
      </c>
      <c r="M1793" t="s">
        <v>33</v>
      </c>
      <c r="P1793" s="1" t="s">
        <v>6651</v>
      </c>
      <c r="Q1793" s="1" t="s">
        <v>6133</v>
      </c>
      <c r="R1793" s="1" t="s">
        <v>6133</v>
      </c>
      <c r="S1793" s="1"/>
      <c r="T1793" s="1" t="s">
        <v>6650</v>
      </c>
      <c r="U1793" s="1"/>
      <c r="V1793" s="1">
        <v>4.881</v>
      </c>
      <c r="W1793" s="1">
        <v>4.881</v>
      </c>
      <c r="X1793" s="1" t="s">
        <v>35</v>
      </c>
      <c r="Y1793" s="1">
        <v>4881000.0</v>
      </c>
      <c r="Z1793" s="1"/>
      <c r="AA1793" s="1">
        <v>4881000.0</v>
      </c>
      <c r="AB1793" s="1"/>
      <c r="AC1793" s="1" t="s">
        <v>36</v>
      </c>
      <c r="AD1793" s="1" t="s">
        <v>6652</v>
      </c>
      <c r="AE1793" s="1" t="s">
        <v>32</v>
      </c>
      <c r="AF1793" s="1" t="s">
        <v>33</v>
      </c>
      <c r="AG1793" s="1" t="s">
        <v>228</v>
      </c>
    </row>
    <row r="1794" spans="1:33">
      <c r="A1794" t="s">
        <v>6653</v>
      </c>
      <c r="C1794" t="s">
        <v>3751</v>
      </c>
      <c r="E1794" t="s">
        <v>6133</v>
      </c>
      <c r="F1794" t="s">
        <v>6134</v>
      </c>
      <c r="G1794">
        <v>328.0</v>
      </c>
      <c r="H1794">
        <v>328.0</v>
      </c>
      <c r="I1794" t="s">
        <v>269</v>
      </c>
      <c r="J1794" t="s">
        <v>270</v>
      </c>
      <c r="K1794" t="s">
        <v>31</v>
      </c>
      <c r="L1794" t="s">
        <v>32</v>
      </c>
      <c r="M1794" t="s">
        <v>33</v>
      </c>
      <c r="P1794" s="1" t="s">
        <v>6654</v>
      </c>
      <c r="Q1794" s="1" t="s">
        <v>6133</v>
      </c>
      <c r="R1794" s="1" t="s">
        <v>6133</v>
      </c>
      <c r="S1794" s="1"/>
      <c r="T1794" s="1" t="s">
        <v>3751</v>
      </c>
      <c r="U1794" s="1"/>
      <c r="V1794" s="1">
        <v>328.0</v>
      </c>
      <c r="W1794" s="1">
        <v>328.0</v>
      </c>
      <c r="X1794" s="1" t="s">
        <v>35</v>
      </c>
      <c r="Y1794" s="1">
        <v>328000.0</v>
      </c>
      <c r="Z1794" s="1"/>
      <c r="AA1794" s="1">
        <v>328000.0</v>
      </c>
      <c r="AB1794" s="1"/>
      <c r="AC1794" s="1" t="s">
        <v>36</v>
      </c>
      <c r="AD1794" s="1" t="s">
        <v>6655</v>
      </c>
      <c r="AE1794" s="1" t="s">
        <v>32</v>
      </c>
      <c r="AF1794" s="1" t="s">
        <v>33</v>
      </c>
      <c r="AG1794" s="1" t="s">
        <v>270</v>
      </c>
    </row>
    <row r="1795" spans="1:33">
      <c r="A1795" t="s">
        <v>6656</v>
      </c>
      <c r="C1795" t="s">
        <v>1468</v>
      </c>
      <c r="E1795" t="s">
        <v>6133</v>
      </c>
      <c r="F1795" t="s">
        <v>6134</v>
      </c>
      <c r="G1795">
        <v>2.46</v>
      </c>
      <c r="H1795">
        <v>2.46</v>
      </c>
      <c r="I1795" t="s">
        <v>269</v>
      </c>
      <c r="J1795" t="s">
        <v>270</v>
      </c>
      <c r="K1795" t="s">
        <v>31</v>
      </c>
      <c r="L1795" t="s">
        <v>32</v>
      </c>
      <c r="M1795" t="s">
        <v>33</v>
      </c>
      <c r="P1795" s="1" t="s">
        <v>6657</v>
      </c>
      <c r="Q1795" s="1" t="s">
        <v>6133</v>
      </c>
      <c r="R1795" s="1" t="s">
        <v>6133</v>
      </c>
      <c r="S1795" s="1"/>
      <c r="T1795" s="1" t="s">
        <v>1468</v>
      </c>
      <c r="U1795" s="1"/>
      <c r="V1795" s="1">
        <v>2.46</v>
      </c>
      <c r="W1795" s="1">
        <v>2.46</v>
      </c>
      <c r="X1795" s="1" t="s">
        <v>35</v>
      </c>
      <c r="Y1795" s="1">
        <v>2460000.0</v>
      </c>
      <c r="Z1795" s="1"/>
      <c r="AA1795" s="1">
        <v>2460000.0</v>
      </c>
      <c r="AB1795" s="1"/>
      <c r="AC1795" s="1" t="s">
        <v>36</v>
      </c>
      <c r="AD1795" s="1" t="s">
        <v>6658</v>
      </c>
      <c r="AE1795" s="1" t="s">
        <v>32</v>
      </c>
      <c r="AF1795" s="1" t="s">
        <v>33</v>
      </c>
      <c r="AG1795" s="1" t="s">
        <v>270</v>
      </c>
    </row>
    <row r="1796" spans="1:33">
      <c r="A1796" t="s">
        <v>6659</v>
      </c>
      <c r="B1796" t="s">
        <v>2168</v>
      </c>
      <c r="C1796" t="s">
        <v>314</v>
      </c>
      <c r="E1796" t="s">
        <v>6133</v>
      </c>
      <c r="F1796" t="s">
        <v>6134</v>
      </c>
      <c r="G1796">
        <v>30.49</v>
      </c>
      <c r="H1796">
        <v>30.49</v>
      </c>
      <c r="I1796" t="s">
        <v>179</v>
      </c>
      <c r="J1796" t="s">
        <v>180</v>
      </c>
      <c r="K1796" t="s">
        <v>31</v>
      </c>
      <c r="L1796" t="s">
        <v>32</v>
      </c>
      <c r="M1796" t="s">
        <v>33</v>
      </c>
      <c r="P1796" s="1" t="s">
        <v>6660</v>
      </c>
      <c r="Q1796" s="1" t="s">
        <v>6133</v>
      </c>
      <c r="R1796" s="1" t="s">
        <v>6133</v>
      </c>
      <c r="S1796" s="1"/>
      <c r="T1796" s="1" t="s">
        <v>314</v>
      </c>
      <c r="U1796" s="1"/>
      <c r="V1796" s="1">
        <v>30.49</v>
      </c>
      <c r="W1796" s="1">
        <v>30.49</v>
      </c>
      <c r="X1796" s="1" t="s">
        <v>35</v>
      </c>
      <c r="Y1796" s="1">
        <v>30490.0</v>
      </c>
      <c r="Z1796" s="1"/>
      <c r="AA1796" s="1">
        <v>30490.0</v>
      </c>
      <c r="AB1796" s="1"/>
      <c r="AC1796" s="1" t="s">
        <v>36</v>
      </c>
      <c r="AD1796" s="1" t="s">
        <v>6661</v>
      </c>
      <c r="AE1796" s="1" t="s">
        <v>32</v>
      </c>
      <c r="AF1796" s="1" t="s">
        <v>33</v>
      </c>
      <c r="AG1796" s="1" t="s">
        <v>180</v>
      </c>
    </row>
    <row r="1797" spans="1:33">
      <c r="A1797" t="s">
        <v>6662</v>
      </c>
      <c r="C1797" t="s">
        <v>638</v>
      </c>
      <c r="D1797" t="s">
        <v>154</v>
      </c>
      <c r="E1797" t="s">
        <v>6133</v>
      </c>
      <c r="F1797" t="s">
        <v>6134</v>
      </c>
      <c r="G1797">
        <v>1.221</v>
      </c>
      <c r="H1797">
        <v>1.221</v>
      </c>
      <c r="I1797" t="s">
        <v>227</v>
      </c>
      <c r="J1797" t="s">
        <v>228</v>
      </c>
      <c r="K1797" t="s">
        <v>31</v>
      </c>
      <c r="L1797" t="s">
        <v>32</v>
      </c>
      <c r="M1797" t="s">
        <v>33</v>
      </c>
      <c r="P1797" s="1" t="s">
        <v>6663</v>
      </c>
      <c r="Q1797" s="1" t="s">
        <v>6133</v>
      </c>
      <c r="R1797" s="1" t="s">
        <v>6133</v>
      </c>
      <c r="S1797" s="1"/>
      <c r="T1797" s="1" t="s">
        <v>640</v>
      </c>
      <c r="U1797" s="1" t="s">
        <v>641</v>
      </c>
      <c r="V1797" s="1">
        <v>1.221</v>
      </c>
      <c r="W1797" s="1">
        <v>1.221</v>
      </c>
      <c r="X1797" s="1" t="s">
        <v>35</v>
      </c>
      <c r="Y1797" s="1">
        <v>1221000.0</v>
      </c>
      <c r="Z1797" s="1"/>
      <c r="AA1797" s="1">
        <v>1221000.0</v>
      </c>
      <c r="AB1797" s="1"/>
      <c r="AC1797" s="1" t="s">
        <v>36</v>
      </c>
      <c r="AD1797" s="1" t="s">
        <v>6664</v>
      </c>
      <c r="AE1797" s="1" t="s">
        <v>32</v>
      </c>
      <c r="AF1797" s="1" t="s">
        <v>33</v>
      </c>
      <c r="AG1797" s="1" t="s">
        <v>228</v>
      </c>
    </row>
    <row r="1798" spans="1:33">
      <c r="A1798" t="s">
        <v>6665</v>
      </c>
      <c r="C1798" t="s">
        <v>595</v>
      </c>
      <c r="E1798" t="s">
        <v>6133</v>
      </c>
      <c r="F1798" t="s">
        <v>6134</v>
      </c>
      <c r="G1798">
        <v>1.192</v>
      </c>
      <c r="H1798">
        <v>1.192</v>
      </c>
      <c r="I1798" t="s">
        <v>269</v>
      </c>
      <c r="J1798" t="s">
        <v>270</v>
      </c>
      <c r="K1798" t="s">
        <v>31</v>
      </c>
      <c r="L1798" t="s">
        <v>32</v>
      </c>
      <c r="M1798" t="s">
        <v>33</v>
      </c>
      <c r="P1798" s="1" t="s">
        <v>6666</v>
      </c>
      <c r="Q1798" s="1" t="s">
        <v>6133</v>
      </c>
      <c r="R1798" s="1" t="s">
        <v>6133</v>
      </c>
      <c r="S1798" s="1"/>
      <c r="T1798" s="1" t="s">
        <v>595</v>
      </c>
      <c r="U1798" s="1"/>
      <c r="V1798" s="1">
        <v>1.192</v>
      </c>
      <c r="W1798" s="1">
        <v>1.192</v>
      </c>
      <c r="X1798" s="1" t="s">
        <v>35</v>
      </c>
      <c r="Y1798" s="1">
        <v>1192000.0</v>
      </c>
      <c r="Z1798" s="1"/>
      <c r="AA1798" s="1">
        <v>1192000.0</v>
      </c>
      <c r="AB1798" s="1"/>
      <c r="AC1798" s="1" t="s">
        <v>36</v>
      </c>
      <c r="AD1798" s="1" t="s">
        <v>6667</v>
      </c>
      <c r="AE1798" s="1" t="s">
        <v>32</v>
      </c>
      <c r="AF1798" s="1" t="s">
        <v>33</v>
      </c>
      <c r="AG1798" s="1" t="s">
        <v>270</v>
      </c>
    </row>
    <row r="1799" spans="1:33">
      <c r="A1799" t="s">
        <v>6668</v>
      </c>
      <c r="C1799" t="s">
        <v>4555</v>
      </c>
      <c r="E1799" t="s">
        <v>6133</v>
      </c>
      <c r="F1799" t="s">
        <v>6134</v>
      </c>
      <c r="G1799">
        <v>655.0</v>
      </c>
      <c r="H1799">
        <v>655.0</v>
      </c>
      <c r="I1799" t="s">
        <v>179</v>
      </c>
      <c r="J1799" t="s">
        <v>180</v>
      </c>
      <c r="K1799" t="s">
        <v>31</v>
      </c>
      <c r="L1799" t="s">
        <v>32</v>
      </c>
      <c r="M1799" t="s">
        <v>33</v>
      </c>
      <c r="P1799" s="1" t="s">
        <v>6669</v>
      </c>
      <c r="Q1799" s="1" t="s">
        <v>6133</v>
      </c>
      <c r="R1799" s="1" t="s">
        <v>6133</v>
      </c>
      <c r="S1799" s="1"/>
      <c r="T1799" s="1" t="s">
        <v>4555</v>
      </c>
      <c r="U1799" s="1"/>
      <c r="V1799" s="1">
        <v>655.0</v>
      </c>
      <c r="W1799" s="1">
        <v>655.0</v>
      </c>
      <c r="X1799" s="1" t="s">
        <v>35</v>
      </c>
      <c r="Y1799" s="1">
        <v>655000.0</v>
      </c>
      <c r="Z1799" s="1"/>
      <c r="AA1799" s="1">
        <v>655000.0</v>
      </c>
      <c r="AB1799" s="1"/>
      <c r="AC1799" s="1" t="s">
        <v>36</v>
      </c>
      <c r="AD1799" s="1" t="s">
        <v>6670</v>
      </c>
      <c r="AE1799" s="1" t="s">
        <v>32</v>
      </c>
      <c r="AF1799" s="1" t="s">
        <v>33</v>
      </c>
      <c r="AG1799" s="1" t="s">
        <v>180</v>
      </c>
    </row>
    <row r="1800" spans="1:33">
      <c r="A1800" t="s">
        <v>6671</v>
      </c>
      <c r="C1800" t="s">
        <v>6672</v>
      </c>
      <c r="D1800" t="s">
        <v>154</v>
      </c>
      <c r="E1800" t="s">
        <v>6133</v>
      </c>
      <c r="F1800" t="s">
        <v>6134</v>
      </c>
      <c r="G1800">
        <v>1.08</v>
      </c>
      <c r="H1800">
        <v>1.08</v>
      </c>
      <c r="I1800" t="s">
        <v>227</v>
      </c>
      <c r="J1800" t="s">
        <v>228</v>
      </c>
      <c r="K1800" t="s">
        <v>31</v>
      </c>
      <c r="L1800" t="s">
        <v>32</v>
      </c>
      <c r="M1800" t="s">
        <v>33</v>
      </c>
      <c r="P1800" s="1" t="s">
        <v>6673</v>
      </c>
      <c r="Q1800" s="1" t="s">
        <v>6133</v>
      </c>
      <c r="R1800" s="1" t="s">
        <v>6133</v>
      </c>
      <c r="S1800" s="1"/>
      <c r="T1800" s="1" t="s">
        <v>6672</v>
      </c>
      <c r="U1800" s="1"/>
      <c r="V1800" s="1">
        <v>1.08</v>
      </c>
      <c r="W1800" s="1">
        <v>1.08</v>
      </c>
      <c r="X1800" s="1" t="s">
        <v>35</v>
      </c>
      <c r="Y1800" s="1">
        <v>1080000.0</v>
      </c>
      <c r="Z1800" s="1"/>
      <c r="AA1800" s="1">
        <v>1080000.0</v>
      </c>
      <c r="AB1800" s="1"/>
      <c r="AC1800" s="1" t="s">
        <v>36</v>
      </c>
      <c r="AD1800" s="1" t="s">
        <v>6670</v>
      </c>
      <c r="AE1800" s="1" t="s">
        <v>32</v>
      </c>
      <c r="AF1800" s="1" t="s">
        <v>33</v>
      </c>
      <c r="AG1800" s="1" t="s">
        <v>228</v>
      </c>
    </row>
    <row r="1801" spans="1:33">
      <c r="A1801" t="s">
        <v>6674</v>
      </c>
      <c r="C1801" t="s">
        <v>178</v>
      </c>
      <c r="E1801" t="s">
        <v>6133</v>
      </c>
      <c r="F1801" t="s">
        <v>6134</v>
      </c>
      <c r="G1801">
        <v>515.75</v>
      </c>
      <c r="H1801">
        <v>515.75</v>
      </c>
      <c r="I1801" t="s">
        <v>179</v>
      </c>
      <c r="J1801" t="s">
        <v>180</v>
      </c>
      <c r="K1801" t="s">
        <v>31</v>
      </c>
      <c r="L1801" t="s">
        <v>32</v>
      </c>
      <c r="M1801" t="s">
        <v>33</v>
      </c>
      <c r="P1801" s="1" t="s">
        <v>6675</v>
      </c>
      <c r="Q1801" s="1" t="s">
        <v>6133</v>
      </c>
      <c r="R1801" s="1" t="s">
        <v>6133</v>
      </c>
      <c r="S1801" s="1"/>
      <c r="T1801" s="1" t="s">
        <v>178</v>
      </c>
      <c r="U1801" s="1"/>
      <c r="V1801" s="1">
        <v>515.75</v>
      </c>
      <c r="W1801" s="1">
        <v>515.75</v>
      </c>
      <c r="X1801" s="1" t="s">
        <v>35</v>
      </c>
      <c r="Y1801" s="1">
        <v>515750.0</v>
      </c>
      <c r="Z1801" s="1"/>
      <c r="AA1801" s="1">
        <v>515750.0</v>
      </c>
      <c r="AB1801" s="1"/>
      <c r="AC1801" s="1" t="s">
        <v>36</v>
      </c>
      <c r="AD1801" s="1" t="s">
        <v>6676</v>
      </c>
      <c r="AE1801" s="1" t="s">
        <v>32</v>
      </c>
      <c r="AF1801" s="1" t="s">
        <v>33</v>
      </c>
      <c r="AG1801" s="1" t="s">
        <v>180</v>
      </c>
    </row>
    <row r="1802" spans="1:33">
      <c r="A1802" t="s">
        <v>6677</v>
      </c>
      <c r="C1802" t="s">
        <v>558</v>
      </c>
      <c r="D1802" t="s">
        <v>154</v>
      </c>
      <c r="E1802" t="s">
        <v>6133</v>
      </c>
      <c r="F1802" t="s">
        <v>6134</v>
      </c>
      <c r="G1802">
        <v>472.0</v>
      </c>
      <c r="H1802">
        <v>472.0</v>
      </c>
      <c r="I1802" t="s">
        <v>269</v>
      </c>
      <c r="J1802" t="s">
        <v>270</v>
      </c>
      <c r="K1802" t="s">
        <v>31</v>
      </c>
      <c r="L1802" t="s">
        <v>32</v>
      </c>
      <c r="M1802" t="s">
        <v>33</v>
      </c>
      <c r="P1802" s="1" t="s">
        <v>6678</v>
      </c>
      <c r="Q1802" s="1" t="s">
        <v>6133</v>
      </c>
      <c r="R1802" s="1" t="s">
        <v>6133</v>
      </c>
      <c r="S1802" s="1"/>
      <c r="T1802" s="1" t="s">
        <v>560</v>
      </c>
      <c r="U1802" s="1" t="s">
        <v>561</v>
      </c>
      <c r="V1802" s="1">
        <v>472.0</v>
      </c>
      <c r="W1802" s="1">
        <v>472.0</v>
      </c>
      <c r="X1802" s="1" t="s">
        <v>35</v>
      </c>
      <c r="Y1802" s="1">
        <v>472000.0</v>
      </c>
      <c r="Z1802" s="1"/>
      <c r="AA1802" s="1">
        <v>472000.0</v>
      </c>
      <c r="AB1802" s="1"/>
      <c r="AC1802" s="1" t="s">
        <v>36</v>
      </c>
      <c r="AD1802" s="1" t="s">
        <v>6679</v>
      </c>
      <c r="AE1802" s="1" t="s">
        <v>32</v>
      </c>
      <c r="AF1802" s="1" t="s">
        <v>33</v>
      </c>
      <c r="AG1802" s="1" t="s">
        <v>270</v>
      </c>
    </row>
    <row r="1803" spans="1:33">
      <c r="A1803" t="s">
        <v>6680</v>
      </c>
      <c r="C1803" t="s">
        <v>827</v>
      </c>
      <c r="D1803" t="s">
        <v>154</v>
      </c>
      <c r="E1803" t="s">
        <v>6133</v>
      </c>
      <c r="F1803" t="s">
        <v>6134</v>
      </c>
      <c r="G1803">
        <v>665.0</v>
      </c>
      <c r="H1803">
        <v>665.0</v>
      </c>
      <c r="I1803" t="s">
        <v>269</v>
      </c>
      <c r="J1803" t="s">
        <v>270</v>
      </c>
      <c r="K1803" t="s">
        <v>31</v>
      </c>
      <c r="L1803" t="s">
        <v>32</v>
      </c>
      <c r="M1803" t="s">
        <v>33</v>
      </c>
      <c r="P1803" s="1" t="s">
        <v>6681</v>
      </c>
      <c r="Q1803" s="1" t="s">
        <v>6133</v>
      </c>
      <c r="R1803" s="1" t="s">
        <v>6133</v>
      </c>
      <c r="S1803" s="1"/>
      <c r="T1803" s="1" t="s">
        <v>827</v>
      </c>
      <c r="U1803" s="1"/>
      <c r="V1803" s="1">
        <v>665.0</v>
      </c>
      <c r="W1803" s="1">
        <v>665.0</v>
      </c>
      <c r="X1803" s="1" t="s">
        <v>35</v>
      </c>
      <c r="Y1803" s="1">
        <v>665000.0</v>
      </c>
      <c r="Z1803" s="1"/>
      <c r="AA1803" s="1">
        <v>665000.0</v>
      </c>
      <c r="AB1803" s="1"/>
      <c r="AC1803" s="1" t="s">
        <v>36</v>
      </c>
      <c r="AD1803" s="1" t="s">
        <v>6682</v>
      </c>
      <c r="AE1803" s="1" t="s">
        <v>32</v>
      </c>
      <c r="AF1803" s="1" t="s">
        <v>33</v>
      </c>
      <c r="AG1803" s="1" t="s">
        <v>270</v>
      </c>
    </row>
    <row r="1804" spans="1:33">
      <c r="A1804" t="s">
        <v>6683</v>
      </c>
      <c r="C1804" t="s">
        <v>2995</v>
      </c>
      <c r="E1804" t="s">
        <v>6133</v>
      </c>
      <c r="F1804" t="s">
        <v>6134</v>
      </c>
      <c r="G1804">
        <v>410.0</v>
      </c>
      <c r="H1804">
        <v>410.0</v>
      </c>
      <c r="I1804" t="s">
        <v>269</v>
      </c>
      <c r="J1804" t="s">
        <v>270</v>
      </c>
      <c r="K1804" t="s">
        <v>31</v>
      </c>
      <c r="L1804" t="s">
        <v>32</v>
      </c>
      <c r="M1804" t="s">
        <v>33</v>
      </c>
      <c r="P1804" s="1" t="s">
        <v>6684</v>
      </c>
      <c r="Q1804" s="1" t="s">
        <v>6133</v>
      </c>
      <c r="R1804" s="1" t="s">
        <v>6133</v>
      </c>
      <c r="S1804" s="1"/>
      <c r="T1804" s="1" t="s">
        <v>2995</v>
      </c>
      <c r="U1804" s="1"/>
      <c r="V1804" s="1">
        <v>410.0</v>
      </c>
      <c r="W1804" s="1">
        <v>410.0</v>
      </c>
      <c r="X1804" s="1" t="s">
        <v>35</v>
      </c>
      <c r="Y1804" s="1">
        <v>410000.0</v>
      </c>
      <c r="Z1804" s="1"/>
      <c r="AA1804" s="1">
        <v>410000.0</v>
      </c>
      <c r="AB1804" s="1"/>
      <c r="AC1804" s="1" t="s">
        <v>36</v>
      </c>
      <c r="AD1804" s="1" t="s">
        <v>6685</v>
      </c>
      <c r="AE1804" s="1" t="s">
        <v>32</v>
      </c>
      <c r="AF1804" s="1" t="s">
        <v>33</v>
      </c>
      <c r="AG1804" s="1" t="s">
        <v>270</v>
      </c>
    </row>
    <row r="1805" spans="1:33">
      <c r="A1805" t="s">
        <v>6686</v>
      </c>
      <c r="C1805" t="s">
        <v>6687</v>
      </c>
      <c r="D1805" t="s">
        <v>114</v>
      </c>
      <c r="E1805" t="s">
        <v>6133</v>
      </c>
      <c r="F1805" t="s">
        <v>6134</v>
      </c>
      <c r="G1805">
        <v>743.25</v>
      </c>
      <c r="H1805">
        <v>743.25</v>
      </c>
      <c r="I1805" t="s">
        <v>227</v>
      </c>
      <c r="J1805" t="s">
        <v>228</v>
      </c>
      <c r="K1805" t="s">
        <v>31</v>
      </c>
      <c r="L1805" t="s">
        <v>32</v>
      </c>
      <c r="M1805" t="s">
        <v>33</v>
      </c>
      <c r="P1805" s="1" t="s">
        <v>6688</v>
      </c>
      <c r="Q1805" s="1" t="s">
        <v>6133</v>
      </c>
      <c r="R1805" s="1" t="s">
        <v>6133</v>
      </c>
      <c r="S1805" s="1"/>
      <c r="T1805" s="1" t="s">
        <v>6687</v>
      </c>
      <c r="U1805" s="1"/>
      <c r="V1805" s="1">
        <v>743.25</v>
      </c>
      <c r="W1805" s="1">
        <v>743.25</v>
      </c>
      <c r="X1805" s="1" t="s">
        <v>35</v>
      </c>
      <c r="Y1805" s="1">
        <v>743250.0</v>
      </c>
      <c r="Z1805" s="1"/>
      <c r="AA1805" s="1">
        <v>743250.0</v>
      </c>
      <c r="AB1805" s="1"/>
      <c r="AC1805" s="1" t="s">
        <v>36</v>
      </c>
      <c r="AD1805" s="1" t="s">
        <v>6676</v>
      </c>
      <c r="AE1805" s="1" t="s">
        <v>32</v>
      </c>
      <c r="AF1805" s="1" t="s">
        <v>33</v>
      </c>
      <c r="AG1805" s="1" t="s">
        <v>228</v>
      </c>
    </row>
    <row r="1806" spans="1:33">
      <c r="A1806" t="s">
        <v>6689</v>
      </c>
      <c r="C1806" t="s">
        <v>810</v>
      </c>
      <c r="D1806" t="s">
        <v>154</v>
      </c>
      <c r="E1806" t="s">
        <v>6133</v>
      </c>
      <c r="F1806" t="s">
        <v>6134</v>
      </c>
      <c r="G1806">
        <v>1.988</v>
      </c>
      <c r="H1806">
        <v>1.988</v>
      </c>
      <c r="I1806" t="s">
        <v>269</v>
      </c>
      <c r="J1806" t="s">
        <v>270</v>
      </c>
      <c r="K1806" t="s">
        <v>31</v>
      </c>
      <c r="L1806" t="s">
        <v>32</v>
      </c>
      <c r="M1806" t="s">
        <v>33</v>
      </c>
      <c r="P1806" s="1" t="s">
        <v>6690</v>
      </c>
      <c r="Q1806" s="1" t="s">
        <v>6133</v>
      </c>
      <c r="R1806" s="1" t="s">
        <v>6133</v>
      </c>
      <c r="S1806" s="1"/>
      <c r="T1806" s="1" t="s">
        <v>810</v>
      </c>
      <c r="U1806" s="1"/>
      <c r="V1806" s="1">
        <v>1.988</v>
      </c>
      <c r="W1806" s="1">
        <v>1.988</v>
      </c>
      <c r="X1806" s="1" t="s">
        <v>35</v>
      </c>
      <c r="Y1806" s="1">
        <v>1988000.0</v>
      </c>
      <c r="Z1806" s="1"/>
      <c r="AA1806" s="1">
        <v>1988000.0</v>
      </c>
      <c r="AB1806" s="1"/>
      <c r="AC1806" s="1" t="s">
        <v>36</v>
      </c>
      <c r="AD1806" s="1" t="s">
        <v>6691</v>
      </c>
      <c r="AE1806" s="1" t="s">
        <v>32</v>
      </c>
      <c r="AF1806" s="1" t="s">
        <v>33</v>
      </c>
      <c r="AG1806" s="1" t="s">
        <v>270</v>
      </c>
    </row>
    <row r="1807" spans="1:33">
      <c r="A1807" t="s">
        <v>6692</v>
      </c>
      <c r="C1807" t="s">
        <v>771</v>
      </c>
      <c r="E1807" t="s">
        <v>6133</v>
      </c>
      <c r="F1807" t="s">
        <v>6134</v>
      </c>
      <c r="G1807">
        <v>1.078</v>
      </c>
      <c r="H1807">
        <v>1.078</v>
      </c>
      <c r="I1807" t="s">
        <v>269</v>
      </c>
      <c r="J1807" t="s">
        <v>270</v>
      </c>
      <c r="K1807" t="s">
        <v>31</v>
      </c>
      <c r="L1807" t="s">
        <v>32</v>
      </c>
      <c r="M1807" t="s">
        <v>33</v>
      </c>
      <c r="P1807" s="1" t="s">
        <v>6693</v>
      </c>
      <c r="Q1807" s="1" t="s">
        <v>6133</v>
      </c>
      <c r="R1807" s="1" t="s">
        <v>6133</v>
      </c>
      <c r="S1807" s="1"/>
      <c r="T1807" s="1" t="s">
        <v>771</v>
      </c>
      <c r="U1807" s="1"/>
      <c r="V1807" s="1">
        <v>1.078</v>
      </c>
      <c r="W1807" s="1">
        <v>1.078</v>
      </c>
      <c r="X1807" s="1" t="s">
        <v>35</v>
      </c>
      <c r="Y1807" s="1">
        <v>1078000.0</v>
      </c>
      <c r="Z1807" s="1"/>
      <c r="AA1807" s="1">
        <v>1078000.0</v>
      </c>
      <c r="AB1807" s="1"/>
      <c r="AC1807" s="1" t="s">
        <v>36</v>
      </c>
      <c r="AD1807" s="1" t="s">
        <v>6694</v>
      </c>
      <c r="AE1807" s="1" t="s">
        <v>32</v>
      </c>
      <c r="AF1807" s="1" t="s">
        <v>33</v>
      </c>
      <c r="AG1807" s="1" t="s">
        <v>270</v>
      </c>
    </row>
    <row r="1808" spans="1:33">
      <c r="A1808" t="s">
        <v>6695</v>
      </c>
      <c r="C1808" t="s">
        <v>2284</v>
      </c>
      <c r="E1808" t="s">
        <v>6133</v>
      </c>
      <c r="F1808" t="s">
        <v>6134</v>
      </c>
      <c r="G1808">
        <v>2.959</v>
      </c>
      <c r="H1808">
        <v>2.959</v>
      </c>
      <c r="I1808" t="s">
        <v>269</v>
      </c>
      <c r="J1808" t="s">
        <v>270</v>
      </c>
      <c r="K1808" t="s">
        <v>31</v>
      </c>
      <c r="L1808" t="s">
        <v>32</v>
      </c>
      <c r="M1808" t="s">
        <v>33</v>
      </c>
      <c r="P1808" s="1" t="s">
        <v>6696</v>
      </c>
      <c r="Q1808" s="1" t="s">
        <v>6133</v>
      </c>
      <c r="R1808" s="1" t="s">
        <v>6133</v>
      </c>
      <c r="S1808" s="1"/>
      <c r="T1808" s="1" t="s">
        <v>2284</v>
      </c>
      <c r="U1808" s="1"/>
      <c r="V1808" s="1">
        <v>2.959</v>
      </c>
      <c r="W1808" s="1">
        <v>2.959</v>
      </c>
      <c r="X1808" s="1" t="s">
        <v>35</v>
      </c>
      <c r="Y1808" s="1">
        <v>2959000.0</v>
      </c>
      <c r="Z1808" s="1"/>
      <c r="AA1808" s="1">
        <v>2959000.0</v>
      </c>
      <c r="AB1808" s="1"/>
      <c r="AC1808" s="1" t="s">
        <v>36</v>
      </c>
      <c r="AD1808" s="1" t="s">
        <v>6697</v>
      </c>
      <c r="AE1808" s="1" t="s">
        <v>32</v>
      </c>
      <c r="AF1808" s="1" t="s">
        <v>33</v>
      </c>
      <c r="AG1808" s="1" t="s">
        <v>270</v>
      </c>
    </row>
    <row r="1809" spans="1:33">
      <c r="A1809" t="s">
        <v>6698</v>
      </c>
      <c r="B1809" t="s">
        <v>6699</v>
      </c>
      <c r="C1809" t="s">
        <v>47</v>
      </c>
      <c r="E1809" t="s">
        <v>6700</v>
      </c>
      <c r="F1809" t="s">
        <v>6255</v>
      </c>
      <c r="G1809">
        <v>21.99</v>
      </c>
      <c r="H1809">
        <v>21.99</v>
      </c>
      <c r="I1809" t="s">
        <v>48</v>
      </c>
      <c r="J1809" t="s">
        <v>49</v>
      </c>
      <c r="K1809" t="s">
        <v>31</v>
      </c>
      <c r="L1809" t="s">
        <v>32</v>
      </c>
      <c r="M1809" t="s">
        <v>33</v>
      </c>
      <c r="P1809" s="1" t="s">
        <v>6701</v>
      </c>
      <c r="Q1809" s="1" t="s">
        <v>6700</v>
      </c>
      <c r="R1809" s="1" t="s">
        <v>6700</v>
      </c>
      <c r="S1809" s="1"/>
      <c r="T1809" s="1" t="s">
        <v>47</v>
      </c>
      <c r="U1809" s="1"/>
      <c r="V1809" s="1">
        <v>21.99</v>
      </c>
      <c r="W1809" s="1">
        <v>21.99</v>
      </c>
      <c r="X1809" s="1" t="s">
        <v>35</v>
      </c>
      <c r="Y1809" s="1">
        <v>21990.0</v>
      </c>
      <c r="Z1809" s="1"/>
      <c r="AA1809" s="1">
        <v>21990.0</v>
      </c>
      <c r="AB1809" s="1"/>
      <c r="AC1809" s="1" t="s">
        <v>36</v>
      </c>
      <c r="AD1809" s="1" t="s">
        <v>6702</v>
      </c>
      <c r="AE1809" s="1" t="s">
        <v>32</v>
      </c>
      <c r="AF1809" s="1" t="s">
        <v>33</v>
      </c>
      <c r="AG1809" s="1" t="s">
        <v>49</v>
      </c>
    </row>
    <row r="1810" spans="1:33">
      <c r="A1810" t="s">
        <v>6703</v>
      </c>
      <c r="C1810" t="s">
        <v>6704</v>
      </c>
      <c r="D1810" t="s">
        <v>114</v>
      </c>
      <c r="E1810" t="s">
        <v>6700</v>
      </c>
      <c r="F1810" t="s">
        <v>6255</v>
      </c>
      <c r="G1810">
        <v>50.978</v>
      </c>
      <c r="H1810">
        <v>50.978</v>
      </c>
      <c r="I1810" t="s">
        <v>40</v>
      </c>
      <c r="J1810" t="s">
        <v>41</v>
      </c>
      <c r="K1810" t="s">
        <v>31</v>
      </c>
      <c r="L1810" t="s">
        <v>32</v>
      </c>
      <c r="M1810" t="s">
        <v>33</v>
      </c>
      <c r="P1810" s="1" t="s">
        <v>6705</v>
      </c>
      <c r="Q1810" s="1" t="s">
        <v>6700</v>
      </c>
      <c r="R1810" s="1" t="s">
        <v>6133</v>
      </c>
      <c r="S1810" s="1"/>
      <c r="T1810" s="1" t="s">
        <v>6704</v>
      </c>
      <c r="U1810" s="1"/>
      <c r="V1810" s="1">
        <v>50.978</v>
      </c>
      <c r="W1810" s="1">
        <v>50.978</v>
      </c>
      <c r="X1810" s="1" t="s">
        <v>35</v>
      </c>
      <c r="Y1810" s="1">
        <v>50978.0</v>
      </c>
      <c r="Z1810" s="1"/>
      <c r="AA1810" s="1">
        <v>50978.0</v>
      </c>
      <c r="AB1810" s="1"/>
      <c r="AC1810" s="1" t="s">
        <v>36</v>
      </c>
      <c r="AD1810" s="1" t="s">
        <v>6706</v>
      </c>
      <c r="AE1810" s="1" t="s">
        <v>32</v>
      </c>
      <c r="AF1810" s="1" t="s">
        <v>33</v>
      </c>
      <c r="AG1810" s="1" t="s">
        <v>41</v>
      </c>
    </row>
    <row r="1811" spans="1:33">
      <c r="A1811" t="s">
        <v>6707</v>
      </c>
      <c r="B1811" t="s">
        <v>1280</v>
      </c>
      <c r="C1811" t="s">
        <v>1281</v>
      </c>
      <c r="E1811" t="s">
        <v>6700</v>
      </c>
      <c r="F1811" t="s">
        <v>6255</v>
      </c>
      <c r="G1811">
        <v>638.0</v>
      </c>
      <c r="H1811">
        <v>638.0</v>
      </c>
      <c r="I1811" t="s">
        <v>529</v>
      </c>
      <c r="J1811" t="s">
        <v>530</v>
      </c>
      <c r="K1811" t="s">
        <v>31</v>
      </c>
      <c r="L1811" t="s">
        <v>32</v>
      </c>
      <c r="M1811" t="s">
        <v>33</v>
      </c>
      <c r="P1811" s="1" t="s">
        <v>6708</v>
      </c>
      <c r="Q1811" s="1" t="s">
        <v>6700</v>
      </c>
      <c r="R1811" s="1" t="s">
        <v>6133</v>
      </c>
      <c r="S1811" s="1"/>
      <c r="T1811" s="1" t="s">
        <v>1281</v>
      </c>
      <c r="U1811" s="1"/>
      <c r="V1811" s="1">
        <v>638.0</v>
      </c>
      <c r="W1811" s="1">
        <v>638.0</v>
      </c>
      <c r="X1811" s="1" t="s">
        <v>35</v>
      </c>
      <c r="Y1811" s="1">
        <v>638000.0</v>
      </c>
      <c r="Z1811" s="1"/>
      <c r="AA1811" s="1">
        <v>638000.0</v>
      </c>
      <c r="AB1811" s="1"/>
      <c r="AC1811" s="1" t="s">
        <v>36</v>
      </c>
      <c r="AD1811" s="1" t="s">
        <v>6709</v>
      </c>
      <c r="AE1811" s="1" t="s">
        <v>32</v>
      </c>
      <c r="AF1811" s="1" t="s">
        <v>33</v>
      </c>
      <c r="AG1811" s="1" t="s">
        <v>530</v>
      </c>
    </row>
    <row r="1812" spans="1:33">
      <c r="A1812" t="s">
        <v>6710</v>
      </c>
      <c r="B1812" t="s">
        <v>6711</v>
      </c>
      <c r="C1812" t="s">
        <v>6712</v>
      </c>
      <c r="D1812" t="s">
        <v>154</v>
      </c>
      <c r="E1812" t="s">
        <v>6700</v>
      </c>
      <c r="F1812" t="s">
        <v>6255</v>
      </c>
      <c r="G1812">
        <v>1.846</v>
      </c>
      <c r="H1812">
        <v>1.846</v>
      </c>
      <c r="I1812" t="s">
        <v>29</v>
      </c>
      <c r="J1812" t="s">
        <v>30</v>
      </c>
      <c r="K1812" t="s">
        <v>31</v>
      </c>
      <c r="L1812" t="s">
        <v>32</v>
      </c>
      <c r="M1812" t="s">
        <v>33</v>
      </c>
      <c r="P1812" s="1" t="s">
        <v>6713</v>
      </c>
      <c r="Q1812" s="1" t="s">
        <v>6700</v>
      </c>
      <c r="R1812" s="1" t="s">
        <v>6700</v>
      </c>
      <c r="S1812" s="1"/>
      <c r="T1812" s="1" t="s">
        <v>6712</v>
      </c>
      <c r="U1812" s="1"/>
      <c r="V1812" s="1">
        <v>1.846</v>
      </c>
      <c r="W1812" s="1">
        <v>1.846</v>
      </c>
      <c r="X1812" s="1" t="s">
        <v>35</v>
      </c>
      <c r="Y1812" s="1">
        <v>1846350.0</v>
      </c>
      <c r="Z1812" s="1"/>
      <c r="AA1812" s="1">
        <v>1846350.0</v>
      </c>
      <c r="AB1812" s="1"/>
      <c r="AC1812" s="1" t="s">
        <v>36</v>
      </c>
      <c r="AD1812" s="1" t="s">
        <v>6714</v>
      </c>
      <c r="AE1812" s="1" t="s">
        <v>32</v>
      </c>
      <c r="AF1812" s="1" t="s">
        <v>33</v>
      </c>
      <c r="AG1812" s="1" t="s">
        <v>30</v>
      </c>
    </row>
    <row r="1813" spans="1:33">
      <c r="A1813" t="s">
        <v>6715</v>
      </c>
      <c r="B1813" t="s">
        <v>6716</v>
      </c>
      <c r="C1813" t="s">
        <v>47</v>
      </c>
      <c r="E1813" t="s">
        <v>6700</v>
      </c>
      <c r="F1813" t="s">
        <v>6255</v>
      </c>
      <c r="G1813">
        <v>43.98</v>
      </c>
      <c r="H1813">
        <v>43.98</v>
      </c>
      <c r="I1813" t="s">
        <v>48</v>
      </c>
      <c r="J1813" t="s">
        <v>49</v>
      </c>
      <c r="K1813" t="s">
        <v>31</v>
      </c>
      <c r="L1813" t="s">
        <v>32</v>
      </c>
      <c r="M1813" t="s">
        <v>33</v>
      </c>
      <c r="P1813" s="1" t="s">
        <v>6717</v>
      </c>
      <c r="Q1813" s="1" t="s">
        <v>6700</v>
      </c>
      <c r="R1813" s="1" t="s">
        <v>6700</v>
      </c>
      <c r="S1813" s="1"/>
      <c r="T1813" s="1" t="s">
        <v>47</v>
      </c>
      <c r="U1813" s="1"/>
      <c r="V1813" s="1">
        <v>43.98</v>
      </c>
      <c r="W1813" s="1">
        <v>43.98</v>
      </c>
      <c r="X1813" s="1" t="s">
        <v>35</v>
      </c>
      <c r="Y1813" s="1">
        <v>43980.0</v>
      </c>
      <c r="Z1813" s="1"/>
      <c r="AA1813" s="1">
        <v>43980.0</v>
      </c>
      <c r="AB1813" s="1"/>
      <c r="AC1813" s="1" t="s">
        <v>36</v>
      </c>
      <c r="AD1813" s="1" t="s">
        <v>6718</v>
      </c>
      <c r="AE1813" s="1" t="s">
        <v>32</v>
      </c>
      <c r="AF1813" s="1" t="s">
        <v>33</v>
      </c>
      <c r="AG1813" s="1" t="s">
        <v>49</v>
      </c>
    </row>
    <row r="1814" spans="1:33">
      <c r="A1814" t="s">
        <v>6719</v>
      </c>
      <c r="B1814" t="s">
        <v>1908</v>
      </c>
      <c r="C1814" t="s">
        <v>6720</v>
      </c>
      <c r="D1814" t="s">
        <v>114</v>
      </c>
      <c r="E1814" t="s">
        <v>6700</v>
      </c>
      <c r="F1814" t="s">
        <v>6255</v>
      </c>
      <c r="G1814">
        <v>377.2</v>
      </c>
      <c r="H1814">
        <v>377.2</v>
      </c>
      <c r="I1814" t="s">
        <v>529</v>
      </c>
      <c r="J1814" t="s">
        <v>530</v>
      </c>
      <c r="K1814" t="s">
        <v>31</v>
      </c>
      <c r="L1814" t="s">
        <v>32</v>
      </c>
      <c r="M1814" t="s">
        <v>33</v>
      </c>
      <c r="P1814" s="1" t="s">
        <v>6721</v>
      </c>
      <c r="Q1814" s="1" t="s">
        <v>6700</v>
      </c>
      <c r="R1814" s="1" t="s">
        <v>6133</v>
      </c>
      <c r="S1814" s="1"/>
      <c r="T1814" s="1" t="s">
        <v>6720</v>
      </c>
      <c r="U1814" s="1"/>
      <c r="V1814" s="1">
        <v>377.2</v>
      </c>
      <c r="W1814" s="1">
        <v>377.2</v>
      </c>
      <c r="X1814" s="1" t="s">
        <v>35</v>
      </c>
      <c r="Y1814" s="1">
        <v>377200.0</v>
      </c>
      <c r="Z1814" s="1"/>
      <c r="AA1814" s="1">
        <v>377200.0</v>
      </c>
      <c r="AB1814" s="1"/>
      <c r="AC1814" s="1" t="s">
        <v>36</v>
      </c>
      <c r="AD1814" s="1" t="s">
        <v>6722</v>
      </c>
      <c r="AE1814" s="1" t="s">
        <v>32</v>
      </c>
      <c r="AF1814" s="1" t="s">
        <v>33</v>
      </c>
      <c r="AG1814" s="1" t="s">
        <v>530</v>
      </c>
    </row>
    <row r="1815" spans="1:33">
      <c r="A1815" t="s">
        <v>6723</v>
      </c>
      <c r="B1815" t="s">
        <v>6724</v>
      </c>
      <c r="C1815" t="s">
        <v>47</v>
      </c>
      <c r="E1815" t="s">
        <v>6700</v>
      </c>
      <c r="F1815" t="s">
        <v>6255</v>
      </c>
      <c r="G1815">
        <v>21.99</v>
      </c>
      <c r="H1815">
        <v>21.99</v>
      </c>
      <c r="I1815" t="s">
        <v>48</v>
      </c>
      <c r="J1815" t="s">
        <v>49</v>
      </c>
      <c r="K1815" t="s">
        <v>31</v>
      </c>
      <c r="L1815" t="s">
        <v>32</v>
      </c>
      <c r="M1815" t="s">
        <v>33</v>
      </c>
      <c r="P1815" s="1" t="s">
        <v>6725</v>
      </c>
      <c r="Q1815" s="1" t="s">
        <v>6700</v>
      </c>
      <c r="R1815" s="1" t="s">
        <v>6700</v>
      </c>
      <c r="S1815" s="1"/>
      <c r="T1815" s="1" t="s">
        <v>47</v>
      </c>
      <c r="U1815" s="1"/>
      <c r="V1815" s="1">
        <v>21.99</v>
      </c>
      <c r="W1815" s="1">
        <v>21.99</v>
      </c>
      <c r="X1815" s="1" t="s">
        <v>35</v>
      </c>
      <c r="Y1815" s="1">
        <v>22000.0</v>
      </c>
      <c r="Z1815" s="1">
        <v>-10</v>
      </c>
      <c r="AA1815" s="1">
        <v>22000.0</v>
      </c>
      <c r="AB1815" s="1">
        <v>-10</v>
      </c>
      <c r="AC1815" s="1" t="s">
        <v>36</v>
      </c>
      <c r="AD1815" s="1" t="s">
        <v>6726</v>
      </c>
      <c r="AE1815" s="1" t="s">
        <v>32</v>
      </c>
      <c r="AF1815" s="1" t="s">
        <v>33</v>
      </c>
      <c r="AG1815" s="1" t="s">
        <v>49</v>
      </c>
    </row>
    <row r="1816" spans="1:33">
      <c r="A1816" t="s">
        <v>6727</v>
      </c>
      <c r="B1816" t="s">
        <v>6728</v>
      </c>
      <c r="C1816" t="s">
        <v>47</v>
      </c>
      <c r="E1816" t="s">
        <v>6700</v>
      </c>
      <c r="F1816" t="s">
        <v>6255</v>
      </c>
      <c r="G1816">
        <v>54.98</v>
      </c>
      <c r="H1816">
        <v>54.98</v>
      </c>
      <c r="I1816" t="s">
        <v>48</v>
      </c>
      <c r="J1816" t="s">
        <v>49</v>
      </c>
      <c r="K1816" t="s">
        <v>31</v>
      </c>
      <c r="L1816" t="s">
        <v>32</v>
      </c>
      <c r="M1816" t="s">
        <v>33</v>
      </c>
      <c r="P1816" s="1" t="s">
        <v>6729</v>
      </c>
      <c r="Q1816" s="1" t="s">
        <v>6700</v>
      </c>
      <c r="R1816" s="1" t="s">
        <v>6700</v>
      </c>
      <c r="S1816" s="1"/>
      <c r="T1816" s="1" t="s">
        <v>47</v>
      </c>
      <c r="U1816" s="1"/>
      <c r="V1816" s="1">
        <v>54.98</v>
      </c>
      <c r="W1816" s="1">
        <v>54.98</v>
      </c>
      <c r="X1816" s="1" t="s">
        <v>35</v>
      </c>
      <c r="Y1816" s="1">
        <v>54980.0</v>
      </c>
      <c r="Z1816" s="1"/>
      <c r="AA1816" s="1">
        <v>54980.0</v>
      </c>
      <c r="AB1816" s="1"/>
      <c r="AC1816" s="1" t="s">
        <v>36</v>
      </c>
      <c r="AD1816" s="1" t="s">
        <v>6730</v>
      </c>
      <c r="AE1816" s="1" t="s">
        <v>32</v>
      </c>
      <c r="AF1816" s="1" t="s">
        <v>33</v>
      </c>
      <c r="AG1816" s="1" t="s">
        <v>49</v>
      </c>
    </row>
    <row r="1817" spans="1:33">
      <c r="A1817" t="s">
        <v>6731</v>
      </c>
      <c r="B1817" t="s">
        <v>6732</v>
      </c>
      <c r="C1817" t="s">
        <v>125</v>
      </c>
      <c r="E1817" t="s">
        <v>6700</v>
      </c>
      <c r="F1817" t="s">
        <v>6255</v>
      </c>
      <c r="G1817">
        <v>21.0</v>
      </c>
      <c r="H1817">
        <v>21.0</v>
      </c>
      <c r="I1817" t="s">
        <v>126</v>
      </c>
      <c r="J1817" t="s">
        <v>127</v>
      </c>
      <c r="K1817" t="s">
        <v>31</v>
      </c>
      <c r="L1817" t="s">
        <v>32</v>
      </c>
      <c r="M1817" t="s">
        <v>33</v>
      </c>
      <c r="P1817" s="1" t="s">
        <v>6733</v>
      </c>
      <c r="Q1817" s="1" t="s">
        <v>6700</v>
      </c>
      <c r="R1817" s="1" t="s">
        <v>6700</v>
      </c>
      <c r="S1817" s="1"/>
      <c r="T1817" s="1" t="s">
        <v>125</v>
      </c>
      <c r="U1817" s="1"/>
      <c r="V1817" s="1">
        <v>21.0</v>
      </c>
      <c r="W1817" s="1">
        <v>21.0</v>
      </c>
      <c r="X1817" s="1" t="s">
        <v>35</v>
      </c>
      <c r="Y1817" s="1">
        <v>21000.0</v>
      </c>
      <c r="Z1817" s="1"/>
      <c r="AA1817" s="1">
        <v>21000.0</v>
      </c>
      <c r="AB1817" s="1"/>
      <c r="AC1817" s="1" t="s">
        <v>36</v>
      </c>
      <c r="AD1817" s="1" t="s">
        <v>6734</v>
      </c>
      <c r="AE1817" s="1" t="s">
        <v>32</v>
      </c>
      <c r="AF1817" s="1" t="s">
        <v>33</v>
      </c>
      <c r="AG1817" s="1" t="s">
        <v>127</v>
      </c>
    </row>
    <row r="1818" spans="1:33">
      <c r="A1818" t="s">
        <v>6735</v>
      </c>
      <c r="C1818" t="s">
        <v>1012</v>
      </c>
      <c r="D1818" t="s">
        <v>114</v>
      </c>
      <c r="E1818" t="s">
        <v>6700</v>
      </c>
      <c r="F1818" t="s">
        <v>6255</v>
      </c>
      <c r="G1818">
        <v>413.0</v>
      </c>
      <c r="H1818">
        <v>413.0</v>
      </c>
      <c r="I1818" t="s">
        <v>847</v>
      </c>
      <c r="J1818" t="s">
        <v>848</v>
      </c>
      <c r="K1818" t="s">
        <v>31</v>
      </c>
      <c r="L1818" t="s">
        <v>32</v>
      </c>
      <c r="M1818" t="s">
        <v>33</v>
      </c>
      <c r="P1818" s="1" t="s">
        <v>6736</v>
      </c>
      <c r="Q1818" s="1" t="s">
        <v>6700</v>
      </c>
      <c r="R1818" s="1" t="s">
        <v>6700</v>
      </c>
      <c r="S1818" s="1"/>
      <c r="T1818" s="1" t="s">
        <v>1012</v>
      </c>
      <c r="U1818" s="1"/>
      <c r="V1818" s="1">
        <v>413.0</v>
      </c>
      <c r="W1818" s="1">
        <v>413.0</v>
      </c>
      <c r="X1818" s="1" t="s">
        <v>35</v>
      </c>
      <c r="Y1818" s="1">
        <v>413000.0</v>
      </c>
      <c r="Z1818" s="1"/>
      <c r="AA1818" s="1">
        <v>413000.0</v>
      </c>
      <c r="AB1818" s="1"/>
      <c r="AC1818" s="1" t="s">
        <v>36</v>
      </c>
      <c r="AD1818" s="1" t="s">
        <v>6737</v>
      </c>
      <c r="AE1818" s="1" t="s">
        <v>32</v>
      </c>
      <c r="AF1818" s="1" t="s">
        <v>33</v>
      </c>
      <c r="AG1818" s="1" t="s">
        <v>848</v>
      </c>
    </row>
    <row r="1819" spans="1:33">
      <c r="A1819" t="s">
        <v>6738</v>
      </c>
      <c r="C1819" t="s">
        <v>6269</v>
      </c>
      <c r="E1819" t="s">
        <v>6700</v>
      </c>
      <c r="F1819" t="s">
        <v>6255</v>
      </c>
      <c r="G1819">
        <v>699.87</v>
      </c>
      <c r="H1819">
        <v>699.87</v>
      </c>
      <c r="I1819" t="s">
        <v>847</v>
      </c>
      <c r="J1819" t="s">
        <v>848</v>
      </c>
      <c r="K1819" t="s">
        <v>31</v>
      </c>
      <c r="L1819" t="s">
        <v>32</v>
      </c>
      <c r="M1819" t="s">
        <v>33</v>
      </c>
      <c r="P1819" s="1" t="s">
        <v>6739</v>
      </c>
      <c r="Q1819" s="1" t="s">
        <v>6700</v>
      </c>
      <c r="R1819" s="1" t="s">
        <v>6700</v>
      </c>
      <c r="S1819" s="1"/>
      <c r="T1819" s="1" t="s">
        <v>6269</v>
      </c>
      <c r="U1819" s="1"/>
      <c r="V1819" s="1">
        <v>699.87</v>
      </c>
      <c r="W1819" s="1">
        <v>699.87</v>
      </c>
      <c r="X1819" s="1" t="s">
        <v>35</v>
      </c>
      <c r="Y1819" s="1">
        <v>699870.0</v>
      </c>
      <c r="Z1819" s="1"/>
      <c r="AA1819" s="1">
        <v>699870.0</v>
      </c>
      <c r="AB1819" s="1"/>
      <c r="AC1819" s="1" t="s">
        <v>36</v>
      </c>
      <c r="AD1819" s="1" t="s">
        <v>6740</v>
      </c>
      <c r="AE1819" s="1" t="s">
        <v>32</v>
      </c>
      <c r="AF1819" s="1" t="s">
        <v>33</v>
      </c>
      <c r="AG1819" s="1" t="s">
        <v>848</v>
      </c>
    </row>
    <row r="1820" spans="1:33">
      <c r="A1820" t="s">
        <v>6741</v>
      </c>
      <c r="B1820" t="s">
        <v>6742</v>
      </c>
      <c r="C1820" t="s">
        <v>125</v>
      </c>
      <c r="E1820" t="s">
        <v>6700</v>
      </c>
      <c r="F1820" t="s">
        <v>6255</v>
      </c>
      <c r="G1820">
        <v>14.292</v>
      </c>
      <c r="H1820">
        <v>14.292</v>
      </c>
      <c r="I1820" t="s">
        <v>126</v>
      </c>
      <c r="J1820" t="s">
        <v>127</v>
      </c>
      <c r="K1820" t="s">
        <v>31</v>
      </c>
      <c r="L1820" t="s">
        <v>32</v>
      </c>
      <c r="M1820" t="s">
        <v>33</v>
      </c>
      <c r="P1820" s="1" t="s">
        <v>6743</v>
      </c>
      <c r="Q1820" s="1" t="s">
        <v>6700</v>
      </c>
      <c r="R1820" s="1" t="s">
        <v>6700</v>
      </c>
      <c r="S1820" s="1"/>
      <c r="T1820" s="1" t="s">
        <v>125</v>
      </c>
      <c r="U1820" s="1"/>
      <c r="V1820" s="1">
        <v>14.292</v>
      </c>
      <c r="W1820" s="1">
        <v>14.292</v>
      </c>
      <c r="X1820" s="1" t="s">
        <v>35</v>
      </c>
      <c r="Y1820" s="1">
        <v>14292.0</v>
      </c>
      <c r="Z1820" s="1"/>
      <c r="AA1820" s="1">
        <v>14292.0</v>
      </c>
      <c r="AB1820" s="1"/>
      <c r="AC1820" s="1" t="s">
        <v>36</v>
      </c>
      <c r="AD1820" s="1" t="s">
        <v>6744</v>
      </c>
      <c r="AE1820" s="1" t="s">
        <v>32</v>
      </c>
      <c r="AF1820" s="1" t="s">
        <v>33</v>
      </c>
      <c r="AG1820" s="1" t="s">
        <v>127</v>
      </c>
    </row>
    <row r="1821" spans="1:33">
      <c r="A1821" t="s">
        <v>6745</v>
      </c>
      <c r="B1821" t="s">
        <v>6746</v>
      </c>
      <c r="C1821" t="s">
        <v>314</v>
      </c>
      <c r="E1821" t="s">
        <v>6700</v>
      </c>
      <c r="F1821" t="s">
        <v>6255</v>
      </c>
      <c r="G1821">
        <v>37.18</v>
      </c>
      <c r="H1821">
        <v>37.18</v>
      </c>
      <c r="I1821" t="s">
        <v>179</v>
      </c>
      <c r="J1821" t="s">
        <v>180</v>
      </c>
      <c r="K1821" t="s">
        <v>31</v>
      </c>
      <c r="L1821" t="s">
        <v>32</v>
      </c>
      <c r="M1821" t="s">
        <v>33</v>
      </c>
      <c r="P1821" s="1" t="s">
        <v>6747</v>
      </c>
      <c r="Q1821" s="1" t="s">
        <v>6700</v>
      </c>
      <c r="R1821" s="1" t="s">
        <v>6700</v>
      </c>
      <c r="S1821" s="1"/>
      <c r="T1821" s="1" t="s">
        <v>314</v>
      </c>
      <c r="U1821" s="1"/>
      <c r="V1821" s="1">
        <v>37.18</v>
      </c>
      <c r="W1821" s="1">
        <v>37.18</v>
      </c>
      <c r="X1821" s="1" t="s">
        <v>35</v>
      </c>
      <c r="Y1821" s="1">
        <v>37180.0</v>
      </c>
      <c r="Z1821" s="1"/>
      <c r="AA1821" s="1">
        <v>37180.0</v>
      </c>
      <c r="AB1821" s="1"/>
      <c r="AC1821" s="1" t="s">
        <v>36</v>
      </c>
      <c r="AD1821" s="1" t="s">
        <v>6748</v>
      </c>
      <c r="AE1821" s="1" t="s">
        <v>1636</v>
      </c>
      <c r="AF1821" s="1" t="s">
        <v>33</v>
      </c>
      <c r="AG1821" s="1" t="s">
        <v>180</v>
      </c>
    </row>
    <row r="1822" spans="1:33">
      <c r="A1822" t="s">
        <v>6749</v>
      </c>
      <c r="C1822" t="s">
        <v>992</v>
      </c>
      <c r="E1822" t="s">
        <v>6700</v>
      </c>
      <c r="F1822" t="s">
        <v>6255</v>
      </c>
      <c r="G1822">
        <v>1.106</v>
      </c>
      <c r="H1822">
        <v>1.106</v>
      </c>
      <c r="I1822" t="s">
        <v>847</v>
      </c>
      <c r="J1822" t="s">
        <v>848</v>
      </c>
      <c r="K1822" t="s">
        <v>31</v>
      </c>
      <c r="L1822" t="s">
        <v>32</v>
      </c>
      <c r="M1822" t="s">
        <v>33</v>
      </c>
      <c r="P1822" s="1" t="s">
        <v>6750</v>
      </c>
      <c r="Q1822" s="1" t="s">
        <v>6700</v>
      </c>
      <c r="R1822" s="1" t="s">
        <v>6700</v>
      </c>
      <c r="S1822" s="1"/>
      <c r="T1822" s="1" t="s">
        <v>992</v>
      </c>
      <c r="U1822" s="1"/>
      <c r="V1822" s="1">
        <v>1.106</v>
      </c>
      <c r="W1822" s="1">
        <v>1.106</v>
      </c>
      <c r="X1822" s="1" t="s">
        <v>35</v>
      </c>
      <c r="Y1822" s="1">
        <v>1106800.0</v>
      </c>
      <c r="Z1822" s="1"/>
      <c r="AA1822" s="1">
        <v>1106800.0</v>
      </c>
      <c r="AB1822" s="1"/>
      <c r="AC1822" s="1" t="s">
        <v>36</v>
      </c>
      <c r="AD1822" s="1" t="s">
        <v>6751</v>
      </c>
      <c r="AE1822" s="1" t="s">
        <v>32</v>
      </c>
      <c r="AF1822" s="1" t="s">
        <v>33</v>
      </c>
      <c r="AG1822" s="1" t="s">
        <v>848</v>
      </c>
    </row>
    <row r="1823" spans="1:33">
      <c r="A1823" t="s">
        <v>6752</v>
      </c>
      <c r="C1823" t="s">
        <v>4596</v>
      </c>
      <c r="D1823" t="s">
        <v>154</v>
      </c>
      <c r="E1823" t="s">
        <v>6700</v>
      </c>
      <c r="F1823" t="s">
        <v>6255</v>
      </c>
      <c r="G1823">
        <v>156.25</v>
      </c>
      <c r="H1823">
        <v>156.25</v>
      </c>
      <c r="I1823" t="s">
        <v>269</v>
      </c>
      <c r="J1823" t="s">
        <v>270</v>
      </c>
      <c r="K1823" t="s">
        <v>31</v>
      </c>
      <c r="L1823" t="s">
        <v>32</v>
      </c>
      <c r="M1823" t="s">
        <v>33</v>
      </c>
      <c r="P1823" s="1" t="s">
        <v>6753</v>
      </c>
      <c r="Q1823" s="1" t="s">
        <v>6700</v>
      </c>
      <c r="R1823" s="1" t="s">
        <v>6700</v>
      </c>
      <c r="S1823" s="1"/>
      <c r="T1823" s="1" t="s">
        <v>4596</v>
      </c>
      <c r="U1823" s="1"/>
      <c r="V1823" s="1">
        <v>156.25</v>
      </c>
      <c r="W1823" s="1">
        <v>156.25</v>
      </c>
      <c r="X1823" s="1" t="s">
        <v>35</v>
      </c>
      <c r="Y1823" s="1">
        <v>156250.0</v>
      </c>
      <c r="Z1823" s="1"/>
      <c r="AA1823" s="1">
        <v>156250.0</v>
      </c>
      <c r="AB1823" s="1"/>
      <c r="AC1823" s="1" t="s">
        <v>36</v>
      </c>
      <c r="AD1823" s="1" t="s">
        <v>6754</v>
      </c>
      <c r="AE1823" s="1" t="s">
        <v>32</v>
      </c>
      <c r="AF1823" s="1" t="s">
        <v>33</v>
      </c>
      <c r="AG1823" s="1" t="s">
        <v>270</v>
      </c>
    </row>
    <row r="1824" spans="1:33">
      <c r="A1824" t="s">
        <v>6755</v>
      </c>
      <c r="C1824" t="s">
        <v>106</v>
      </c>
      <c r="E1824" t="s">
        <v>6700</v>
      </c>
      <c r="F1824" t="s">
        <v>6255</v>
      </c>
      <c r="G1824">
        <v>720.0</v>
      </c>
      <c r="H1824">
        <v>720.0</v>
      </c>
      <c r="I1824" t="s">
        <v>94</v>
      </c>
      <c r="J1824" t="s">
        <v>95</v>
      </c>
      <c r="K1824" t="s">
        <v>31</v>
      </c>
      <c r="L1824" t="s">
        <v>32</v>
      </c>
      <c r="M1824" t="s">
        <v>33</v>
      </c>
      <c r="P1824" s="1" t="s">
        <v>6756</v>
      </c>
      <c r="Q1824" s="1" t="s">
        <v>6700</v>
      </c>
      <c r="R1824" s="1" t="s">
        <v>6700</v>
      </c>
      <c r="S1824" s="1"/>
      <c r="T1824" s="1" t="s">
        <v>106</v>
      </c>
      <c r="U1824" s="1"/>
      <c r="V1824" s="1">
        <v>720.0</v>
      </c>
      <c r="W1824" s="1">
        <v>720.0</v>
      </c>
      <c r="X1824" s="1" t="s">
        <v>35</v>
      </c>
      <c r="Y1824" s="1">
        <v>720000.0</v>
      </c>
      <c r="Z1824" s="1"/>
      <c r="AA1824" s="1">
        <v>720000.0</v>
      </c>
      <c r="AB1824" s="1"/>
      <c r="AC1824" s="1" t="s">
        <v>36</v>
      </c>
      <c r="AD1824" s="1" t="s">
        <v>6757</v>
      </c>
      <c r="AE1824" s="1" t="s">
        <v>32</v>
      </c>
      <c r="AF1824" s="1" t="s">
        <v>33</v>
      </c>
      <c r="AG1824" s="1" t="s">
        <v>95</v>
      </c>
    </row>
    <row r="1825" spans="1:33">
      <c r="A1825" t="s">
        <v>6758</v>
      </c>
      <c r="C1825" t="s">
        <v>6759</v>
      </c>
      <c r="E1825" t="s">
        <v>6700</v>
      </c>
      <c r="F1825" t="s">
        <v>6255</v>
      </c>
      <c r="G1825">
        <v>58.5</v>
      </c>
      <c r="H1825">
        <v>58.5</v>
      </c>
      <c r="I1825" t="s">
        <v>269</v>
      </c>
      <c r="J1825" t="s">
        <v>270</v>
      </c>
      <c r="K1825" t="s">
        <v>31</v>
      </c>
      <c r="L1825" t="s">
        <v>32</v>
      </c>
      <c r="M1825" t="s">
        <v>33</v>
      </c>
      <c r="P1825" s="1" t="s">
        <v>6760</v>
      </c>
      <c r="Q1825" s="1" t="s">
        <v>6700</v>
      </c>
      <c r="R1825" s="1" t="s">
        <v>6700</v>
      </c>
      <c r="S1825" s="1"/>
      <c r="T1825" s="1" t="s">
        <v>6761</v>
      </c>
      <c r="U1825" s="1" t="s">
        <v>6762</v>
      </c>
      <c r="V1825" s="1">
        <v>58.5</v>
      </c>
      <c r="W1825" s="1">
        <v>58.5</v>
      </c>
      <c r="X1825" s="1" t="s">
        <v>35</v>
      </c>
      <c r="Y1825" s="1">
        <v>58500.0</v>
      </c>
      <c r="Z1825" s="1"/>
      <c r="AA1825" s="1">
        <v>58500.0</v>
      </c>
      <c r="AB1825" s="1"/>
      <c r="AC1825" s="1" t="s">
        <v>36</v>
      </c>
      <c r="AD1825" s="1" t="s">
        <v>6763</v>
      </c>
      <c r="AE1825" s="1" t="s">
        <v>32</v>
      </c>
      <c r="AF1825" s="1" t="s">
        <v>33</v>
      </c>
      <c r="AG1825" s="1" t="s">
        <v>270</v>
      </c>
    </row>
    <row r="1826" spans="1:33">
      <c r="A1826" t="s">
        <v>6764</v>
      </c>
      <c r="B1826" t="s">
        <v>905</v>
      </c>
      <c r="C1826" t="s">
        <v>906</v>
      </c>
      <c r="E1826" t="s">
        <v>6700</v>
      </c>
      <c r="F1826" t="s">
        <v>6255</v>
      </c>
      <c r="G1826">
        <v>193.2</v>
      </c>
      <c r="H1826">
        <v>193.2</v>
      </c>
      <c r="I1826" t="s">
        <v>847</v>
      </c>
      <c r="J1826" t="s">
        <v>848</v>
      </c>
      <c r="K1826" t="s">
        <v>31</v>
      </c>
      <c r="L1826" t="s">
        <v>32</v>
      </c>
      <c r="M1826" t="s">
        <v>33</v>
      </c>
      <c r="P1826" s="1" t="s">
        <v>6765</v>
      </c>
      <c r="Q1826" s="1" t="s">
        <v>6700</v>
      </c>
      <c r="R1826" s="1" t="s">
        <v>6700</v>
      </c>
      <c r="S1826" s="1"/>
      <c r="T1826" s="1" t="s">
        <v>906</v>
      </c>
      <c r="U1826" s="1"/>
      <c r="V1826" s="1">
        <v>193.2</v>
      </c>
      <c r="W1826" s="1">
        <v>193.2</v>
      </c>
      <c r="X1826" s="1" t="s">
        <v>35</v>
      </c>
      <c r="Y1826" s="1">
        <v>193200.0</v>
      </c>
      <c r="Z1826" s="1"/>
      <c r="AA1826" s="1">
        <v>193200.0</v>
      </c>
      <c r="AB1826" s="1"/>
      <c r="AC1826" s="1" t="s">
        <v>36</v>
      </c>
      <c r="AD1826" s="1" t="s">
        <v>6757</v>
      </c>
      <c r="AE1826" s="1" t="s">
        <v>32</v>
      </c>
      <c r="AF1826" s="1" t="s">
        <v>33</v>
      </c>
      <c r="AG1826" s="1" t="s">
        <v>848</v>
      </c>
    </row>
    <row r="1827" spans="1:33">
      <c r="A1827" t="s">
        <v>6766</v>
      </c>
      <c r="B1827" t="s">
        <v>2489</v>
      </c>
      <c r="C1827" t="s">
        <v>2490</v>
      </c>
      <c r="D1827" t="s">
        <v>154</v>
      </c>
      <c r="E1827" t="s">
        <v>6700</v>
      </c>
      <c r="F1827" t="s">
        <v>6255</v>
      </c>
      <c r="G1827">
        <v>617.8</v>
      </c>
      <c r="H1827">
        <v>617.8</v>
      </c>
      <c r="I1827" t="s">
        <v>529</v>
      </c>
      <c r="J1827" t="s">
        <v>530</v>
      </c>
      <c r="K1827" t="s">
        <v>31</v>
      </c>
      <c r="L1827" t="s">
        <v>32</v>
      </c>
      <c r="M1827" t="s">
        <v>33</v>
      </c>
      <c r="P1827" s="1" t="s">
        <v>6767</v>
      </c>
      <c r="Q1827" s="1" t="s">
        <v>6700</v>
      </c>
      <c r="R1827" s="1" t="s">
        <v>6133</v>
      </c>
      <c r="S1827" s="1"/>
      <c r="T1827" s="1" t="s">
        <v>2490</v>
      </c>
      <c r="U1827" s="1"/>
      <c r="V1827" s="1">
        <v>617.8</v>
      </c>
      <c r="W1827" s="1">
        <v>617.8</v>
      </c>
      <c r="X1827" s="1" t="s">
        <v>35</v>
      </c>
      <c r="Y1827" s="1">
        <v>617800.0</v>
      </c>
      <c r="Z1827" s="1"/>
      <c r="AA1827" s="1">
        <v>617800.0</v>
      </c>
      <c r="AB1827" s="1"/>
      <c r="AC1827" s="1" t="s">
        <v>36</v>
      </c>
      <c r="AD1827" s="1" t="s">
        <v>6768</v>
      </c>
      <c r="AE1827" s="1" t="s">
        <v>32</v>
      </c>
      <c r="AF1827" s="1" t="s">
        <v>33</v>
      </c>
      <c r="AG1827" s="1" t="s">
        <v>530</v>
      </c>
    </row>
    <row r="1828" spans="1:33">
      <c r="A1828" t="s">
        <v>6769</v>
      </c>
      <c r="B1828" t="s">
        <v>6770</v>
      </c>
      <c r="C1828" t="s">
        <v>26</v>
      </c>
      <c r="E1828" t="s">
        <v>6700</v>
      </c>
      <c r="F1828" t="s">
        <v>6255</v>
      </c>
      <c r="G1828">
        <v>41.98</v>
      </c>
      <c r="H1828">
        <v>41.98</v>
      </c>
      <c r="I1828" t="s">
        <v>29</v>
      </c>
      <c r="J1828" t="s">
        <v>30</v>
      </c>
      <c r="K1828" t="s">
        <v>31</v>
      </c>
      <c r="L1828" t="s">
        <v>32</v>
      </c>
      <c r="M1828" t="s">
        <v>33</v>
      </c>
      <c r="P1828" s="1" t="s">
        <v>6771</v>
      </c>
      <c r="Q1828" s="1" t="s">
        <v>6700</v>
      </c>
      <c r="R1828" s="1" t="s">
        <v>6700</v>
      </c>
      <c r="S1828" s="1"/>
      <c r="T1828" s="1" t="s">
        <v>26</v>
      </c>
      <c r="U1828" s="1"/>
      <c r="V1828" s="1">
        <v>41.98</v>
      </c>
      <c r="W1828" s="1">
        <v>41.98</v>
      </c>
      <c r="X1828" s="1" t="s">
        <v>35</v>
      </c>
      <c r="Y1828" s="1">
        <v>41980.0</v>
      </c>
      <c r="Z1828" s="1"/>
      <c r="AA1828" s="1">
        <v>41980.0</v>
      </c>
      <c r="AB1828" s="1"/>
      <c r="AC1828" s="1" t="s">
        <v>36</v>
      </c>
      <c r="AD1828" s="1" t="s">
        <v>6772</v>
      </c>
      <c r="AE1828" s="1" t="s">
        <v>32</v>
      </c>
      <c r="AF1828" s="1" t="s">
        <v>33</v>
      </c>
      <c r="AG1828" s="1" t="s">
        <v>30</v>
      </c>
    </row>
    <row r="1829" spans="1:33">
      <c r="A1829" t="s">
        <v>6773</v>
      </c>
      <c r="C1829" t="s">
        <v>145</v>
      </c>
      <c r="E1829" t="s">
        <v>6700</v>
      </c>
      <c r="F1829" t="s">
        <v>6255</v>
      </c>
      <c r="G1829">
        <v>85.0</v>
      </c>
      <c r="H1829">
        <v>85.0</v>
      </c>
      <c r="I1829" t="s">
        <v>136</v>
      </c>
      <c r="J1829" t="s">
        <v>137</v>
      </c>
      <c r="K1829" t="s">
        <v>31</v>
      </c>
      <c r="L1829" t="s">
        <v>32</v>
      </c>
      <c r="M1829" t="s">
        <v>33</v>
      </c>
      <c r="P1829" s="1" t="s">
        <v>6774</v>
      </c>
      <c r="Q1829" s="1" t="s">
        <v>6700</v>
      </c>
      <c r="R1829" s="1" t="s">
        <v>6700</v>
      </c>
      <c r="S1829" s="1"/>
      <c r="T1829" s="1" t="s">
        <v>145</v>
      </c>
      <c r="U1829" s="1"/>
      <c r="V1829" s="1">
        <v>85.0</v>
      </c>
      <c r="W1829" s="1">
        <v>85.0</v>
      </c>
      <c r="X1829" s="1" t="s">
        <v>35</v>
      </c>
      <c r="Y1829" s="1">
        <v>85000.0</v>
      </c>
      <c r="Z1829" s="1"/>
      <c r="AA1829" s="1">
        <v>85000.0</v>
      </c>
      <c r="AB1829" s="1"/>
      <c r="AC1829" s="1" t="s">
        <v>36</v>
      </c>
      <c r="AD1829" s="1" t="s">
        <v>6775</v>
      </c>
      <c r="AE1829" s="1" t="s">
        <v>32</v>
      </c>
      <c r="AF1829" s="1" t="s">
        <v>33</v>
      </c>
      <c r="AG1829" s="1" t="s">
        <v>137</v>
      </c>
    </row>
    <row r="1830" spans="1:33">
      <c r="A1830" t="s">
        <v>6776</v>
      </c>
      <c r="C1830" t="s">
        <v>2800</v>
      </c>
      <c r="D1830" t="s">
        <v>114</v>
      </c>
      <c r="E1830" t="s">
        <v>6700</v>
      </c>
      <c r="F1830" t="s">
        <v>6255</v>
      </c>
      <c r="G1830">
        <v>58.5</v>
      </c>
      <c r="H1830">
        <v>58.5</v>
      </c>
      <c r="I1830" t="s">
        <v>94</v>
      </c>
      <c r="J1830" t="s">
        <v>95</v>
      </c>
      <c r="K1830" t="s">
        <v>31</v>
      </c>
      <c r="L1830" t="s">
        <v>32</v>
      </c>
      <c r="M1830" t="s">
        <v>33</v>
      </c>
      <c r="P1830" s="1" t="s">
        <v>6777</v>
      </c>
      <c r="Q1830" s="1" t="s">
        <v>6700</v>
      </c>
      <c r="R1830" s="1" t="s">
        <v>6700</v>
      </c>
      <c r="S1830" s="1"/>
      <c r="T1830" s="1" t="s">
        <v>2800</v>
      </c>
      <c r="U1830" s="1"/>
      <c r="V1830" s="1">
        <v>58.5</v>
      </c>
      <c r="W1830" s="1">
        <v>58.5</v>
      </c>
      <c r="X1830" s="1" t="s">
        <v>35</v>
      </c>
      <c r="Y1830" s="1">
        <v>58500.0</v>
      </c>
      <c r="Z1830" s="1"/>
      <c r="AA1830" s="1">
        <v>58500.0</v>
      </c>
      <c r="AB1830" s="1"/>
      <c r="AC1830" s="1" t="s">
        <v>36</v>
      </c>
      <c r="AD1830" s="1" t="s">
        <v>6778</v>
      </c>
      <c r="AE1830" s="1" t="s">
        <v>32</v>
      </c>
      <c r="AF1830" s="1" t="s">
        <v>33</v>
      </c>
      <c r="AG1830" s="1" t="s">
        <v>95</v>
      </c>
    </row>
    <row r="1831" spans="1:33">
      <c r="A1831" t="s">
        <v>6779</v>
      </c>
      <c r="B1831" t="s">
        <v>6780</v>
      </c>
      <c r="C1831" t="s">
        <v>125</v>
      </c>
      <c r="E1831" t="s">
        <v>6700</v>
      </c>
      <c r="F1831" t="s">
        <v>6255</v>
      </c>
      <c r="G1831">
        <v>27.99</v>
      </c>
      <c r="H1831">
        <v>27.99</v>
      </c>
      <c r="I1831" t="s">
        <v>126</v>
      </c>
      <c r="J1831" t="s">
        <v>127</v>
      </c>
      <c r="K1831" t="s">
        <v>31</v>
      </c>
      <c r="L1831" t="s">
        <v>32</v>
      </c>
      <c r="M1831" t="s">
        <v>33</v>
      </c>
      <c r="P1831" s="1" t="s">
        <v>6781</v>
      </c>
      <c r="Q1831" s="1" t="s">
        <v>6700</v>
      </c>
      <c r="R1831" s="1" t="s">
        <v>6700</v>
      </c>
      <c r="S1831" s="1"/>
      <c r="T1831" s="1" t="s">
        <v>125</v>
      </c>
      <c r="U1831" s="1"/>
      <c r="V1831" s="1">
        <v>27.99</v>
      </c>
      <c r="W1831" s="1">
        <v>27.99</v>
      </c>
      <c r="X1831" s="1" t="s">
        <v>35</v>
      </c>
      <c r="Y1831" s="1">
        <v>27990.0</v>
      </c>
      <c r="Z1831" s="1"/>
      <c r="AA1831" s="1">
        <v>27990.0</v>
      </c>
      <c r="AB1831" s="1"/>
      <c r="AC1831" s="1" t="s">
        <v>36</v>
      </c>
      <c r="AD1831" s="1" t="s">
        <v>6778</v>
      </c>
      <c r="AE1831" s="1" t="s">
        <v>32</v>
      </c>
      <c r="AF1831" s="1" t="s">
        <v>33</v>
      </c>
      <c r="AG1831" s="1" t="s">
        <v>127</v>
      </c>
    </row>
    <row r="1832" spans="1:33">
      <c r="A1832" t="s">
        <v>6782</v>
      </c>
      <c r="C1832" t="s">
        <v>3417</v>
      </c>
      <c r="D1832" t="s">
        <v>114</v>
      </c>
      <c r="E1832" t="s">
        <v>6700</v>
      </c>
      <c r="F1832" t="s">
        <v>6255</v>
      </c>
      <c r="G1832">
        <v>328.0</v>
      </c>
      <c r="H1832">
        <v>328.0</v>
      </c>
      <c r="I1832" t="s">
        <v>269</v>
      </c>
      <c r="J1832" t="s">
        <v>270</v>
      </c>
      <c r="K1832" t="s">
        <v>31</v>
      </c>
      <c r="L1832" t="s">
        <v>32</v>
      </c>
      <c r="M1832" t="s">
        <v>33</v>
      </c>
      <c r="P1832" s="1" t="s">
        <v>6783</v>
      </c>
      <c r="Q1832" s="1" t="s">
        <v>6700</v>
      </c>
      <c r="R1832" s="1" t="s">
        <v>6700</v>
      </c>
      <c r="S1832" s="1"/>
      <c r="T1832" s="1" t="s">
        <v>3417</v>
      </c>
      <c r="U1832" s="1"/>
      <c r="V1832" s="1">
        <v>328.0</v>
      </c>
      <c r="W1832" s="1">
        <v>328.0</v>
      </c>
      <c r="X1832" s="1" t="s">
        <v>35</v>
      </c>
      <c r="Y1832" s="1">
        <v>328000.0</v>
      </c>
      <c r="Z1832" s="1"/>
      <c r="AA1832" s="1">
        <v>328000.0</v>
      </c>
      <c r="AB1832" s="1"/>
      <c r="AC1832" s="1" t="s">
        <v>36</v>
      </c>
      <c r="AD1832" s="1" t="s">
        <v>6784</v>
      </c>
      <c r="AE1832" s="1" t="s">
        <v>32</v>
      </c>
      <c r="AF1832" s="1" t="s">
        <v>33</v>
      </c>
      <c r="AG1832" s="1" t="s">
        <v>270</v>
      </c>
    </row>
    <row r="1833" spans="1:33">
      <c r="A1833" t="s">
        <v>6785</v>
      </c>
      <c r="C1833" t="s">
        <v>6786</v>
      </c>
      <c r="E1833" t="s">
        <v>6700</v>
      </c>
      <c r="F1833" t="s">
        <v>6255</v>
      </c>
      <c r="G1833">
        <v>336.0</v>
      </c>
      <c r="H1833">
        <v>336.0</v>
      </c>
      <c r="I1833" t="s">
        <v>94</v>
      </c>
      <c r="J1833" t="s">
        <v>95</v>
      </c>
      <c r="K1833" t="s">
        <v>31</v>
      </c>
      <c r="L1833" t="s">
        <v>32</v>
      </c>
      <c r="M1833" t="s">
        <v>33</v>
      </c>
      <c r="P1833" s="1" t="s">
        <v>6787</v>
      </c>
      <c r="Q1833" s="1" t="s">
        <v>6700</v>
      </c>
      <c r="R1833" s="1" t="s">
        <v>6700</v>
      </c>
      <c r="S1833" s="1"/>
      <c r="T1833" s="1" t="s">
        <v>6786</v>
      </c>
      <c r="U1833" s="1"/>
      <c r="V1833" s="1">
        <v>336.0</v>
      </c>
      <c r="W1833" s="1">
        <v>336.0</v>
      </c>
      <c r="X1833" s="1" t="s">
        <v>35</v>
      </c>
      <c r="Y1833" s="1">
        <v>336000.0</v>
      </c>
      <c r="Z1833" s="1"/>
      <c r="AA1833" s="1">
        <v>336000.0</v>
      </c>
      <c r="AB1833" s="1"/>
      <c r="AC1833" s="1" t="s">
        <v>36</v>
      </c>
      <c r="AD1833" s="1" t="s">
        <v>6788</v>
      </c>
      <c r="AE1833" s="1" t="s">
        <v>32</v>
      </c>
      <c r="AF1833" s="1" t="s">
        <v>33</v>
      </c>
      <c r="AG1833" s="1" t="s">
        <v>95</v>
      </c>
    </row>
    <row r="1834" spans="1:33">
      <c r="A1834" t="s">
        <v>6789</v>
      </c>
      <c r="C1834" t="s">
        <v>4045</v>
      </c>
      <c r="E1834" t="s">
        <v>6700</v>
      </c>
      <c r="F1834" t="s">
        <v>6255</v>
      </c>
      <c r="G1834">
        <v>1.214</v>
      </c>
      <c r="H1834">
        <v>1.214</v>
      </c>
      <c r="I1834" t="s">
        <v>94</v>
      </c>
      <c r="J1834" t="s">
        <v>95</v>
      </c>
      <c r="K1834" t="s">
        <v>31</v>
      </c>
      <c r="L1834" t="s">
        <v>32</v>
      </c>
      <c r="M1834" t="s">
        <v>33</v>
      </c>
      <c r="P1834" s="1" t="s">
        <v>6790</v>
      </c>
      <c r="Q1834" s="1" t="s">
        <v>6700</v>
      </c>
      <c r="R1834" s="1" t="s">
        <v>6700</v>
      </c>
      <c r="S1834" s="1"/>
      <c r="T1834" s="1" t="s">
        <v>4047</v>
      </c>
      <c r="U1834" s="1" t="s">
        <v>4048</v>
      </c>
      <c r="V1834" s="1">
        <v>1.214</v>
      </c>
      <c r="W1834" s="1">
        <v>1.214</v>
      </c>
      <c r="X1834" s="1" t="s">
        <v>35</v>
      </c>
      <c r="Y1834" s="1">
        <v>1214200.0</v>
      </c>
      <c r="Z1834" s="1"/>
      <c r="AA1834" s="1">
        <v>1214200.0</v>
      </c>
      <c r="AB1834" s="1"/>
      <c r="AC1834" s="1" t="s">
        <v>36</v>
      </c>
      <c r="AD1834" s="1" t="s">
        <v>6791</v>
      </c>
      <c r="AE1834" s="1" t="s">
        <v>32</v>
      </c>
      <c r="AF1834" s="1" t="s">
        <v>33</v>
      </c>
      <c r="AG1834" s="1" t="s">
        <v>95</v>
      </c>
    </row>
    <row r="1835" spans="1:33">
      <c r="A1835" t="s">
        <v>6792</v>
      </c>
      <c r="B1835" t="s">
        <v>527</v>
      </c>
      <c r="C1835" t="s">
        <v>528</v>
      </c>
      <c r="E1835" t="s">
        <v>6700</v>
      </c>
      <c r="F1835" t="s">
        <v>6255</v>
      </c>
      <c r="G1835">
        <v>827.4</v>
      </c>
      <c r="H1835">
        <v>827.4</v>
      </c>
      <c r="I1835" t="s">
        <v>529</v>
      </c>
      <c r="J1835" t="s">
        <v>530</v>
      </c>
      <c r="K1835" t="s">
        <v>31</v>
      </c>
      <c r="L1835" t="s">
        <v>32</v>
      </c>
      <c r="M1835" t="s">
        <v>33</v>
      </c>
      <c r="P1835" s="1" t="s">
        <v>6793</v>
      </c>
      <c r="Q1835" s="1" t="s">
        <v>6700</v>
      </c>
      <c r="R1835" s="1" t="s">
        <v>6133</v>
      </c>
      <c r="S1835" s="1"/>
      <c r="T1835" s="1" t="s">
        <v>528</v>
      </c>
      <c r="U1835" s="1"/>
      <c r="V1835" s="1">
        <v>827.4</v>
      </c>
      <c r="W1835" s="1">
        <v>827.4</v>
      </c>
      <c r="X1835" s="1" t="s">
        <v>35</v>
      </c>
      <c r="Y1835" s="1">
        <v>827400.0</v>
      </c>
      <c r="Z1835" s="1"/>
      <c r="AA1835" s="1">
        <v>827400.0</v>
      </c>
      <c r="AB1835" s="1"/>
      <c r="AC1835" s="1" t="s">
        <v>36</v>
      </c>
      <c r="AD1835" s="1" t="s">
        <v>6778</v>
      </c>
      <c r="AE1835" s="1" t="s">
        <v>32</v>
      </c>
      <c r="AF1835" s="1" t="s">
        <v>33</v>
      </c>
      <c r="AG1835" s="1" t="s">
        <v>530</v>
      </c>
    </row>
    <row r="1836" spans="1:33">
      <c r="A1836" t="s">
        <v>6794</v>
      </c>
      <c r="C1836" t="s">
        <v>6795</v>
      </c>
      <c r="D1836" t="s">
        <v>114</v>
      </c>
      <c r="E1836" t="s">
        <v>6700</v>
      </c>
      <c r="F1836" t="s">
        <v>6255</v>
      </c>
      <c r="G1836">
        <v>642.0</v>
      </c>
      <c r="H1836">
        <v>642.0</v>
      </c>
      <c r="I1836" t="s">
        <v>227</v>
      </c>
      <c r="J1836" t="s">
        <v>228</v>
      </c>
      <c r="K1836" t="s">
        <v>31</v>
      </c>
      <c r="L1836" t="s">
        <v>32</v>
      </c>
      <c r="M1836" t="s">
        <v>33</v>
      </c>
      <c r="P1836" s="1" t="s">
        <v>6796</v>
      </c>
      <c r="Q1836" s="1" t="s">
        <v>6700</v>
      </c>
      <c r="R1836" s="1" t="s">
        <v>6700</v>
      </c>
      <c r="S1836" s="1"/>
      <c r="T1836" s="1" t="s">
        <v>6795</v>
      </c>
      <c r="U1836" s="1"/>
      <c r="V1836" s="1">
        <v>642.0</v>
      </c>
      <c r="W1836" s="1">
        <v>642.0</v>
      </c>
      <c r="X1836" s="1" t="s">
        <v>35</v>
      </c>
      <c r="Y1836" s="1">
        <v>642000.0</v>
      </c>
      <c r="Z1836" s="1"/>
      <c r="AA1836" s="1">
        <v>642000.0</v>
      </c>
      <c r="AB1836" s="1"/>
      <c r="AC1836" s="1" t="s">
        <v>36</v>
      </c>
      <c r="AD1836" s="1" t="s">
        <v>6797</v>
      </c>
      <c r="AE1836" s="1" t="s">
        <v>32</v>
      </c>
      <c r="AF1836" s="1" t="s">
        <v>33</v>
      </c>
      <c r="AG1836" s="1" t="s">
        <v>228</v>
      </c>
    </row>
    <row r="1837" spans="1:33">
      <c r="A1837" t="s">
        <v>6798</v>
      </c>
      <c r="B1837" t="s">
        <v>1684</v>
      </c>
      <c r="C1837" t="s">
        <v>125</v>
      </c>
      <c r="E1837" t="s">
        <v>6700</v>
      </c>
      <c r="F1837" t="s">
        <v>6255</v>
      </c>
      <c r="G1837">
        <v>32.49</v>
      </c>
      <c r="H1837">
        <v>32.49</v>
      </c>
      <c r="I1837" t="s">
        <v>126</v>
      </c>
      <c r="J1837" t="s">
        <v>127</v>
      </c>
      <c r="K1837" t="s">
        <v>31</v>
      </c>
      <c r="L1837" t="s">
        <v>32</v>
      </c>
      <c r="M1837" t="s">
        <v>33</v>
      </c>
      <c r="P1837" s="1" t="s">
        <v>6799</v>
      </c>
      <c r="Q1837" s="1" t="s">
        <v>6700</v>
      </c>
      <c r="R1837" s="1" t="s">
        <v>6700</v>
      </c>
      <c r="S1837" s="1"/>
      <c r="T1837" s="1" t="s">
        <v>125</v>
      </c>
      <c r="U1837" s="1"/>
      <c r="V1837" s="1">
        <v>32.49</v>
      </c>
      <c r="W1837" s="1">
        <v>32.49</v>
      </c>
      <c r="X1837" s="1" t="s">
        <v>35</v>
      </c>
      <c r="Y1837" s="1">
        <v>32490.0</v>
      </c>
      <c r="Z1837" s="1"/>
      <c r="AA1837" s="1">
        <v>32490.0</v>
      </c>
      <c r="AB1837" s="1"/>
      <c r="AC1837" s="1" t="s">
        <v>36</v>
      </c>
      <c r="AD1837" s="1" t="s">
        <v>6800</v>
      </c>
      <c r="AE1837" s="1" t="s">
        <v>32</v>
      </c>
      <c r="AF1837" s="1" t="s">
        <v>33</v>
      </c>
      <c r="AG1837" s="1" t="s">
        <v>127</v>
      </c>
    </row>
    <row r="1838" spans="1:33">
      <c r="A1838" t="s">
        <v>6801</v>
      </c>
      <c r="C1838" t="s">
        <v>6802</v>
      </c>
      <c r="E1838" t="s">
        <v>6700</v>
      </c>
      <c r="F1838" t="s">
        <v>6255</v>
      </c>
      <c r="G1838">
        <v>882.98</v>
      </c>
      <c r="H1838">
        <v>882.98</v>
      </c>
      <c r="I1838" t="s">
        <v>29</v>
      </c>
      <c r="J1838" t="s">
        <v>30</v>
      </c>
      <c r="K1838" t="s">
        <v>31</v>
      </c>
      <c r="L1838" t="s">
        <v>32</v>
      </c>
      <c r="M1838" t="s">
        <v>33</v>
      </c>
      <c r="P1838" s="1" t="s">
        <v>6803</v>
      </c>
      <c r="Q1838" s="1" t="s">
        <v>6700</v>
      </c>
      <c r="R1838" s="1" t="s">
        <v>6700</v>
      </c>
      <c r="S1838" s="1"/>
      <c r="T1838" s="1" t="s">
        <v>6802</v>
      </c>
      <c r="U1838" s="1"/>
      <c r="V1838" s="1">
        <v>882.98</v>
      </c>
      <c r="W1838" s="1">
        <v>882.98</v>
      </c>
      <c r="X1838" s="1" t="s">
        <v>35</v>
      </c>
      <c r="Y1838" s="1">
        <v>882980.0</v>
      </c>
      <c r="Z1838" s="1"/>
      <c r="AA1838" s="1">
        <v>882980.0</v>
      </c>
      <c r="AB1838" s="1"/>
      <c r="AC1838" s="1" t="s">
        <v>36</v>
      </c>
      <c r="AD1838" s="1" t="s">
        <v>6804</v>
      </c>
      <c r="AE1838" s="1" t="s">
        <v>32</v>
      </c>
      <c r="AF1838" s="1" t="s">
        <v>33</v>
      </c>
      <c r="AG1838" s="1" t="s">
        <v>30</v>
      </c>
    </row>
    <row r="1839" spans="1:33">
      <c r="A1839" t="s">
        <v>6805</v>
      </c>
      <c r="B1839" t="s">
        <v>4803</v>
      </c>
      <c r="C1839" t="s">
        <v>125</v>
      </c>
      <c r="E1839" t="s">
        <v>6700</v>
      </c>
      <c r="F1839" t="s">
        <v>6255</v>
      </c>
      <c r="G1839">
        <v>15.72</v>
      </c>
      <c r="H1839">
        <v>15.72</v>
      </c>
      <c r="I1839" t="s">
        <v>126</v>
      </c>
      <c r="J1839" t="s">
        <v>127</v>
      </c>
      <c r="K1839" t="s">
        <v>31</v>
      </c>
      <c r="L1839" t="s">
        <v>32</v>
      </c>
      <c r="M1839" t="s">
        <v>33</v>
      </c>
      <c r="P1839" s="1" t="s">
        <v>6806</v>
      </c>
      <c r="Q1839" s="1" t="s">
        <v>6700</v>
      </c>
      <c r="R1839" s="1" t="s">
        <v>6700</v>
      </c>
      <c r="S1839" s="1"/>
      <c r="T1839" s="1" t="s">
        <v>125</v>
      </c>
      <c r="U1839" s="1"/>
      <c r="V1839" s="1">
        <v>15.72</v>
      </c>
      <c r="W1839" s="1">
        <v>15.72</v>
      </c>
      <c r="X1839" s="1" t="s">
        <v>35</v>
      </c>
      <c r="Y1839" s="1">
        <v>15720.0</v>
      </c>
      <c r="Z1839" s="1"/>
      <c r="AA1839" s="1">
        <v>15720.0</v>
      </c>
      <c r="AB1839" s="1"/>
      <c r="AC1839" s="1" t="s">
        <v>36</v>
      </c>
      <c r="AD1839" s="1" t="s">
        <v>6807</v>
      </c>
      <c r="AE1839" s="1" t="s">
        <v>32</v>
      </c>
      <c r="AF1839" s="1" t="s">
        <v>33</v>
      </c>
      <c r="AG1839" s="1" t="s">
        <v>127</v>
      </c>
    </row>
    <row r="1840" spans="1:33">
      <c r="A1840" t="s">
        <v>6808</v>
      </c>
      <c r="B1840" t="s">
        <v>6809</v>
      </c>
      <c r="C1840" t="s">
        <v>73</v>
      </c>
      <c r="E1840" t="s">
        <v>6700</v>
      </c>
      <c r="F1840" t="s">
        <v>6255</v>
      </c>
      <c r="G1840">
        <v>57.63</v>
      </c>
      <c r="H1840">
        <v>57.63</v>
      </c>
      <c r="I1840" t="s">
        <v>40</v>
      </c>
      <c r="J1840" t="s">
        <v>41</v>
      </c>
      <c r="K1840" t="s">
        <v>31</v>
      </c>
      <c r="L1840" t="s">
        <v>32</v>
      </c>
      <c r="M1840" t="s">
        <v>33</v>
      </c>
      <c r="P1840" s="1" t="s">
        <v>6810</v>
      </c>
      <c r="Q1840" s="1" t="s">
        <v>6700</v>
      </c>
      <c r="R1840" s="1" t="s">
        <v>6133</v>
      </c>
      <c r="S1840" s="1"/>
      <c r="T1840" s="1" t="s">
        <v>75</v>
      </c>
      <c r="U1840" s="1" t="s">
        <v>76</v>
      </c>
      <c r="V1840" s="1">
        <v>57.63</v>
      </c>
      <c r="W1840" s="1">
        <v>57.63</v>
      </c>
      <c r="X1840" s="1" t="s">
        <v>35</v>
      </c>
      <c r="Y1840" s="1">
        <v>57630.0</v>
      </c>
      <c r="Z1840" s="1"/>
      <c r="AA1840" s="1">
        <v>57630.0</v>
      </c>
      <c r="AB1840" s="1"/>
      <c r="AC1840" s="1" t="s">
        <v>36</v>
      </c>
      <c r="AD1840" s="1" t="s">
        <v>6811</v>
      </c>
      <c r="AE1840" s="1" t="s">
        <v>32</v>
      </c>
      <c r="AF1840" s="1" t="s">
        <v>33</v>
      </c>
      <c r="AG1840" s="1" t="s">
        <v>41</v>
      </c>
    </row>
    <row r="1841" spans="1:33">
      <c r="A1841" t="s">
        <v>6812</v>
      </c>
      <c r="C1841" t="s">
        <v>6813</v>
      </c>
      <c r="E1841" t="s">
        <v>6700</v>
      </c>
      <c r="F1841" t="s">
        <v>6255</v>
      </c>
      <c r="G1841">
        <v>528.0</v>
      </c>
      <c r="H1841">
        <v>528.0</v>
      </c>
      <c r="I1841" t="s">
        <v>179</v>
      </c>
      <c r="J1841" t="s">
        <v>180</v>
      </c>
      <c r="K1841" t="s">
        <v>31</v>
      </c>
      <c r="L1841" t="s">
        <v>32</v>
      </c>
      <c r="M1841" t="s">
        <v>33</v>
      </c>
      <c r="P1841" s="1" t="s">
        <v>6814</v>
      </c>
      <c r="Q1841" s="1" t="s">
        <v>6700</v>
      </c>
      <c r="R1841" s="1" t="s">
        <v>6700</v>
      </c>
      <c r="S1841" s="1"/>
      <c r="T1841" s="1" t="s">
        <v>6813</v>
      </c>
      <c r="U1841" s="1"/>
      <c r="V1841" s="1">
        <v>528.0</v>
      </c>
      <c r="W1841" s="1">
        <v>528.0</v>
      </c>
      <c r="X1841" s="1" t="s">
        <v>35</v>
      </c>
      <c r="Y1841" s="1">
        <v>528000.0</v>
      </c>
      <c r="Z1841" s="1"/>
      <c r="AA1841" s="1">
        <v>528000.0</v>
      </c>
      <c r="AB1841" s="1"/>
      <c r="AC1841" s="1" t="s">
        <v>36</v>
      </c>
      <c r="AD1841" s="1" t="s">
        <v>6807</v>
      </c>
      <c r="AE1841" s="1" t="s">
        <v>32</v>
      </c>
      <c r="AF1841" s="1" t="s">
        <v>33</v>
      </c>
      <c r="AG1841" s="1" t="s">
        <v>180</v>
      </c>
    </row>
    <row r="1842" spans="1:33">
      <c r="A1842" t="s">
        <v>6815</v>
      </c>
      <c r="C1842" t="s">
        <v>6816</v>
      </c>
      <c r="E1842" t="s">
        <v>6700</v>
      </c>
      <c r="F1842" t="s">
        <v>6255</v>
      </c>
      <c r="G1842">
        <v>398.5</v>
      </c>
      <c r="H1842">
        <v>398.5</v>
      </c>
      <c r="I1842" t="s">
        <v>48</v>
      </c>
      <c r="J1842" t="s">
        <v>49</v>
      </c>
      <c r="K1842" t="s">
        <v>31</v>
      </c>
      <c r="L1842" t="s">
        <v>32</v>
      </c>
      <c r="M1842" t="s">
        <v>33</v>
      </c>
      <c r="P1842" s="1" t="s">
        <v>6817</v>
      </c>
      <c r="Q1842" s="1" t="s">
        <v>6700</v>
      </c>
      <c r="R1842" s="1" t="s">
        <v>6700</v>
      </c>
      <c r="S1842" s="1"/>
      <c r="T1842" s="1" t="s">
        <v>6816</v>
      </c>
      <c r="U1842" s="1"/>
      <c r="V1842" s="1">
        <v>398.5</v>
      </c>
      <c r="W1842" s="1">
        <v>398.5</v>
      </c>
      <c r="X1842" s="1" t="s">
        <v>35</v>
      </c>
      <c r="Y1842" s="1">
        <v>398500.0</v>
      </c>
      <c r="Z1842" s="1"/>
      <c r="AA1842" s="1">
        <v>398500.0</v>
      </c>
      <c r="AB1842" s="1"/>
      <c r="AC1842" s="1" t="s">
        <v>36</v>
      </c>
      <c r="AD1842" s="1" t="s">
        <v>6818</v>
      </c>
      <c r="AE1842" s="1" t="s">
        <v>32</v>
      </c>
      <c r="AF1842" s="1" t="s">
        <v>33</v>
      </c>
      <c r="AG1842" s="1" t="s">
        <v>49</v>
      </c>
    </row>
    <row r="1843" spans="1:33">
      <c r="A1843" t="s">
        <v>6819</v>
      </c>
      <c r="B1843" t="s">
        <v>6820</v>
      </c>
      <c r="C1843" t="s">
        <v>268</v>
      </c>
      <c r="E1843" t="s">
        <v>6700</v>
      </c>
      <c r="F1843" t="s">
        <v>6255</v>
      </c>
      <c r="G1843">
        <v>16.9</v>
      </c>
      <c r="H1843">
        <v>16.9</v>
      </c>
      <c r="I1843" t="s">
        <v>269</v>
      </c>
      <c r="J1843" t="s">
        <v>270</v>
      </c>
      <c r="K1843" t="s">
        <v>31</v>
      </c>
      <c r="L1843" t="s">
        <v>32</v>
      </c>
      <c r="M1843" t="s">
        <v>33</v>
      </c>
      <c r="P1843" s="1" t="s">
        <v>6821</v>
      </c>
      <c r="Q1843" s="1" t="s">
        <v>6700</v>
      </c>
      <c r="R1843" s="1" t="s">
        <v>6700</v>
      </c>
      <c r="S1843" s="1"/>
      <c r="T1843" s="1" t="s">
        <v>268</v>
      </c>
      <c r="U1843" s="1"/>
      <c r="V1843" s="1">
        <v>16.9</v>
      </c>
      <c r="W1843" s="1">
        <v>16.9</v>
      </c>
      <c r="X1843" s="1" t="s">
        <v>35</v>
      </c>
      <c r="Y1843" s="1">
        <v>16900.0</v>
      </c>
      <c r="Z1843" s="1"/>
      <c r="AA1843" s="1">
        <v>16900.0</v>
      </c>
      <c r="AB1843" s="1"/>
      <c r="AC1843" s="1" t="s">
        <v>36</v>
      </c>
      <c r="AD1843" s="1" t="s">
        <v>6822</v>
      </c>
      <c r="AE1843" s="1" t="s">
        <v>32</v>
      </c>
      <c r="AF1843" s="1" t="s">
        <v>33</v>
      </c>
      <c r="AG1843" s="1" t="s">
        <v>270</v>
      </c>
    </row>
    <row r="1844" spans="1:33">
      <c r="A1844" t="s">
        <v>6823</v>
      </c>
      <c r="C1844" t="s">
        <v>940</v>
      </c>
      <c r="E1844" t="s">
        <v>6700</v>
      </c>
      <c r="F1844" t="s">
        <v>6255</v>
      </c>
      <c r="G1844">
        <v>104.0</v>
      </c>
      <c r="H1844">
        <v>104.0</v>
      </c>
      <c r="I1844" t="s">
        <v>269</v>
      </c>
      <c r="J1844" t="s">
        <v>270</v>
      </c>
      <c r="K1844" t="s">
        <v>31</v>
      </c>
      <c r="L1844" t="s">
        <v>32</v>
      </c>
      <c r="M1844" t="s">
        <v>33</v>
      </c>
      <c r="P1844" s="1" t="s">
        <v>6824</v>
      </c>
      <c r="Q1844" s="1" t="s">
        <v>6700</v>
      </c>
      <c r="R1844" s="1" t="s">
        <v>6700</v>
      </c>
      <c r="S1844" s="1"/>
      <c r="T1844" s="1" t="s">
        <v>942</v>
      </c>
      <c r="U1844" s="1" t="s">
        <v>943</v>
      </c>
      <c r="V1844" s="1">
        <v>104.0</v>
      </c>
      <c r="W1844" s="1">
        <v>104.0</v>
      </c>
      <c r="X1844" s="1" t="s">
        <v>35</v>
      </c>
      <c r="Y1844" s="1">
        <v>104000.0</v>
      </c>
      <c r="Z1844" s="1"/>
      <c r="AA1844" s="1">
        <v>104000.0</v>
      </c>
      <c r="AB1844" s="1"/>
      <c r="AC1844" s="1" t="s">
        <v>36</v>
      </c>
      <c r="AD1844" s="1" t="s">
        <v>6825</v>
      </c>
      <c r="AE1844" s="1" t="s">
        <v>32</v>
      </c>
      <c r="AF1844" s="1" t="s">
        <v>33</v>
      </c>
      <c r="AG1844" s="1" t="s">
        <v>270</v>
      </c>
    </row>
    <row r="1845" spans="1:33">
      <c r="A1845" t="s">
        <v>6826</v>
      </c>
      <c r="C1845" t="s">
        <v>2346</v>
      </c>
      <c r="E1845" t="s">
        <v>6700</v>
      </c>
      <c r="F1845" t="s">
        <v>6255</v>
      </c>
      <c r="G1845">
        <v>168.0</v>
      </c>
      <c r="H1845">
        <v>168.0</v>
      </c>
      <c r="I1845" t="s">
        <v>269</v>
      </c>
      <c r="J1845" t="s">
        <v>270</v>
      </c>
      <c r="K1845" t="s">
        <v>31</v>
      </c>
      <c r="L1845" t="s">
        <v>32</v>
      </c>
      <c r="M1845" t="s">
        <v>33</v>
      </c>
      <c r="P1845" s="1" t="s">
        <v>6827</v>
      </c>
      <c r="Q1845" s="1" t="s">
        <v>6700</v>
      </c>
      <c r="R1845" s="1" t="s">
        <v>6700</v>
      </c>
      <c r="S1845" s="1"/>
      <c r="T1845" s="1" t="s">
        <v>2346</v>
      </c>
      <c r="U1845" s="1"/>
      <c r="V1845" s="1">
        <v>168.0</v>
      </c>
      <c r="W1845" s="1">
        <v>168.0</v>
      </c>
      <c r="X1845" s="1" t="s">
        <v>35</v>
      </c>
      <c r="Y1845" s="1">
        <v>168000.0</v>
      </c>
      <c r="Z1845" s="1"/>
      <c r="AA1845" s="1">
        <v>168000.0</v>
      </c>
      <c r="AB1845" s="1"/>
      <c r="AC1845" s="1" t="s">
        <v>36</v>
      </c>
      <c r="AD1845" s="1" t="s">
        <v>6828</v>
      </c>
      <c r="AE1845" s="1" t="s">
        <v>32</v>
      </c>
      <c r="AF1845" s="1" t="s">
        <v>33</v>
      </c>
      <c r="AG1845" s="1" t="s">
        <v>270</v>
      </c>
    </row>
    <row r="1846" spans="1:33">
      <c r="A1846" t="s">
        <v>6829</v>
      </c>
      <c r="B1846" t="s">
        <v>5135</v>
      </c>
      <c r="C1846" t="s">
        <v>125</v>
      </c>
      <c r="E1846" t="s">
        <v>6700</v>
      </c>
      <c r="F1846" t="s">
        <v>6255</v>
      </c>
      <c r="G1846">
        <v>5.4</v>
      </c>
      <c r="H1846">
        <v>5.4</v>
      </c>
      <c r="I1846" t="s">
        <v>126</v>
      </c>
      <c r="J1846" t="s">
        <v>127</v>
      </c>
      <c r="K1846" t="s">
        <v>31</v>
      </c>
      <c r="L1846" t="s">
        <v>32</v>
      </c>
      <c r="M1846" t="s">
        <v>33</v>
      </c>
      <c r="P1846" s="1" t="s">
        <v>6830</v>
      </c>
      <c r="Q1846" s="1" t="s">
        <v>6700</v>
      </c>
      <c r="R1846" s="1" t="s">
        <v>6700</v>
      </c>
      <c r="S1846" s="1"/>
      <c r="T1846" s="1" t="s">
        <v>125</v>
      </c>
      <c r="U1846" s="1"/>
      <c r="V1846" s="1">
        <v>5.4</v>
      </c>
      <c r="W1846" s="1">
        <v>5.4</v>
      </c>
      <c r="X1846" s="1" t="s">
        <v>35</v>
      </c>
      <c r="Y1846" s="1">
        <v>5400.0</v>
      </c>
      <c r="Z1846" s="1"/>
      <c r="AA1846" s="1">
        <v>5400.0</v>
      </c>
      <c r="AB1846" s="1"/>
      <c r="AC1846" s="1" t="s">
        <v>36</v>
      </c>
      <c r="AD1846" s="1" t="s">
        <v>6828</v>
      </c>
      <c r="AE1846" s="1" t="s">
        <v>32</v>
      </c>
      <c r="AF1846" s="1" t="s">
        <v>33</v>
      </c>
      <c r="AG1846" s="1" t="s">
        <v>127</v>
      </c>
    </row>
    <row r="1847" spans="1:33">
      <c r="A1847" t="s">
        <v>6831</v>
      </c>
      <c r="C1847" t="s">
        <v>1613</v>
      </c>
      <c r="E1847" t="s">
        <v>6700</v>
      </c>
      <c r="F1847" t="s">
        <v>6255</v>
      </c>
      <c r="G1847">
        <v>820.8</v>
      </c>
      <c r="H1847">
        <v>820.8</v>
      </c>
      <c r="I1847" t="s">
        <v>570</v>
      </c>
      <c r="J1847" t="s">
        <v>571</v>
      </c>
      <c r="K1847" t="s">
        <v>31</v>
      </c>
      <c r="L1847" t="s">
        <v>32</v>
      </c>
      <c r="M1847" t="s">
        <v>33</v>
      </c>
      <c r="P1847" s="1" t="s">
        <v>6832</v>
      </c>
      <c r="Q1847" s="1" t="s">
        <v>6700</v>
      </c>
      <c r="R1847" s="1" t="s">
        <v>6700</v>
      </c>
      <c r="S1847" s="1"/>
      <c r="T1847" s="1" t="s">
        <v>1613</v>
      </c>
      <c r="U1847" s="1"/>
      <c r="V1847" s="1">
        <v>820.8</v>
      </c>
      <c r="W1847" s="1">
        <v>820.8</v>
      </c>
      <c r="X1847" s="1" t="s">
        <v>35</v>
      </c>
      <c r="Y1847" s="1">
        <v>820800.0</v>
      </c>
      <c r="Z1847" s="1"/>
      <c r="AA1847" s="1">
        <v>820800.0</v>
      </c>
      <c r="AB1847" s="1"/>
      <c r="AC1847" s="1" t="s">
        <v>36</v>
      </c>
      <c r="AD1847" s="1" t="s">
        <v>6833</v>
      </c>
      <c r="AE1847" s="1" t="s">
        <v>32</v>
      </c>
      <c r="AF1847" s="1" t="s">
        <v>33</v>
      </c>
      <c r="AG1847" s="1" t="s">
        <v>571</v>
      </c>
    </row>
    <row r="1848" spans="1:33">
      <c r="A1848" t="s">
        <v>6834</v>
      </c>
      <c r="B1848" t="s">
        <v>914</v>
      </c>
      <c r="C1848" t="s">
        <v>314</v>
      </c>
      <c r="E1848" t="s">
        <v>6700</v>
      </c>
      <c r="F1848" t="s">
        <v>6255</v>
      </c>
      <c r="G1848">
        <v>60.98</v>
      </c>
      <c r="H1848">
        <v>60.98</v>
      </c>
      <c r="I1848" t="s">
        <v>179</v>
      </c>
      <c r="J1848" t="s">
        <v>180</v>
      </c>
      <c r="K1848" t="s">
        <v>31</v>
      </c>
      <c r="L1848" t="s">
        <v>32</v>
      </c>
      <c r="M1848" t="s">
        <v>33</v>
      </c>
      <c r="P1848" s="1" t="s">
        <v>6835</v>
      </c>
      <c r="Q1848" s="1" t="s">
        <v>6700</v>
      </c>
      <c r="R1848" s="1" t="s">
        <v>6700</v>
      </c>
      <c r="S1848" s="1"/>
      <c r="T1848" s="1" t="s">
        <v>314</v>
      </c>
      <c r="U1848" s="1"/>
      <c r="V1848" s="1">
        <v>60.98</v>
      </c>
      <c r="W1848" s="1">
        <v>60.98</v>
      </c>
      <c r="X1848" s="1" t="s">
        <v>35</v>
      </c>
      <c r="Y1848" s="1">
        <v>60980.0</v>
      </c>
      <c r="Z1848" s="1"/>
      <c r="AA1848" s="1">
        <v>60980.0</v>
      </c>
      <c r="AB1848" s="1"/>
      <c r="AC1848" s="1" t="s">
        <v>36</v>
      </c>
      <c r="AD1848" s="1" t="s">
        <v>6836</v>
      </c>
      <c r="AE1848" s="1" t="s">
        <v>32</v>
      </c>
      <c r="AF1848" s="1" t="s">
        <v>33</v>
      </c>
      <c r="AG1848" s="1" t="s">
        <v>180</v>
      </c>
    </row>
    <row r="1849" spans="1:33">
      <c r="A1849" t="s">
        <v>6837</v>
      </c>
      <c r="B1849" t="s">
        <v>717</v>
      </c>
      <c r="C1849" t="s">
        <v>569</v>
      </c>
      <c r="E1849" t="s">
        <v>6700</v>
      </c>
      <c r="F1849" t="s">
        <v>6255</v>
      </c>
      <c r="G1849">
        <v>4.08</v>
      </c>
      <c r="H1849">
        <v>4.08</v>
      </c>
      <c r="I1849" t="s">
        <v>570</v>
      </c>
      <c r="J1849" t="s">
        <v>571</v>
      </c>
      <c r="K1849" t="s">
        <v>31</v>
      </c>
      <c r="L1849" t="s">
        <v>32</v>
      </c>
      <c r="M1849" t="s">
        <v>33</v>
      </c>
      <c r="P1849" s="1" t="s">
        <v>6838</v>
      </c>
      <c r="Q1849" s="1" t="s">
        <v>6700</v>
      </c>
      <c r="R1849" s="1" t="s">
        <v>6700</v>
      </c>
      <c r="S1849" s="1"/>
      <c r="T1849" s="1" t="s">
        <v>569</v>
      </c>
      <c r="U1849" s="1"/>
      <c r="V1849" s="1">
        <v>4.08</v>
      </c>
      <c r="W1849" s="1">
        <v>4.08</v>
      </c>
      <c r="X1849" s="1" t="s">
        <v>35</v>
      </c>
      <c r="Y1849" s="1">
        <v>4080.0</v>
      </c>
      <c r="Z1849" s="1"/>
      <c r="AA1849" s="1">
        <v>4080.0</v>
      </c>
      <c r="AB1849" s="1"/>
      <c r="AC1849" s="1" t="s">
        <v>36</v>
      </c>
      <c r="AD1849" s="1" t="s">
        <v>6839</v>
      </c>
      <c r="AE1849" s="1" t="s">
        <v>32</v>
      </c>
      <c r="AF1849" s="1" t="s">
        <v>33</v>
      </c>
      <c r="AG1849" s="1" t="s">
        <v>571</v>
      </c>
    </row>
    <row r="1850" spans="1:33">
      <c r="A1850" t="s">
        <v>6840</v>
      </c>
      <c r="B1850" t="s">
        <v>6841</v>
      </c>
      <c r="C1850" t="s">
        <v>6842</v>
      </c>
      <c r="E1850" t="s">
        <v>6700</v>
      </c>
      <c r="F1850" t="s">
        <v>6255</v>
      </c>
      <c r="G1850">
        <v>2.525</v>
      </c>
      <c r="H1850">
        <v>2.525</v>
      </c>
      <c r="I1850" t="s">
        <v>29</v>
      </c>
      <c r="J1850" t="s">
        <v>30</v>
      </c>
      <c r="K1850" t="s">
        <v>31</v>
      </c>
      <c r="L1850" t="s">
        <v>32</v>
      </c>
      <c r="M1850" t="s">
        <v>33</v>
      </c>
      <c r="P1850" s="1" t="s">
        <v>6843</v>
      </c>
      <c r="Q1850" s="1" t="s">
        <v>6700</v>
      </c>
      <c r="R1850" s="1" t="s">
        <v>6700</v>
      </c>
      <c r="S1850" s="1"/>
      <c r="T1850" s="1" t="s">
        <v>6842</v>
      </c>
      <c r="U1850" s="1"/>
      <c r="V1850" s="1">
        <v>2.525</v>
      </c>
      <c r="W1850" s="1">
        <v>2.525</v>
      </c>
      <c r="X1850" s="1" t="s">
        <v>35</v>
      </c>
      <c r="Y1850" s="1">
        <v>2525000.0</v>
      </c>
      <c r="Z1850" s="1"/>
      <c r="AA1850" s="1">
        <v>2525000.0</v>
      </c>
      <c r="AB1850" s="1"/>
      <c r="AC1850" s="1" t="s">
        <v>36</v>
      </c>
      <c r="AD1850" s="1" t="s">
        <v>6833</v>
      </c>
      <c r="AE1850" s="1" t="s">
        <v>32</v>
      </c>
      <c r="AF1850" s="1" t="s">
        <v>33</v>
      </c>
      <c r="AG1850" s="1" t="s">
        <v>30</v>
      </c>
    </row>
    <row r="1851" spans="1:33">
      <c r="A1851" t="s">
        <v>6844</v>
      </c>
      <c r="B1851" t="s">
        <v>6262</v>
      </c>
      <c r="C1851" t="s">
        <v>268</v>
      </c>
      <c r="E1851" t="s">
        <v>6700</v>
      </c>
      <c r="F1851" t="s">
        <v>6255</v>
      </c>
      <c r="G1851">
        <v>45.15</v>
      </c>
      <c r="H1851">
        <v>45.15</v>
      </c>
      <c r="I1851" t="s">
        <v>269</v>
      </c>
      <c r="J1851" t="s">
        <v>270</v>
      </c>
      <c r="K1851" t="s">
        <v>31</v>
      </c>
      <c r="L1851" t="s">
        <v>32</v>
      </c>
      <c r="M1851" t="s">
        <v>33</v>
      </c>
      <c r="P1851" s="1" t="s">
        <v>6845</v>
      </c>
      <c r="Q1851" s="1" t="s">
        <v>6700</v>
      </c>
      <c r="R1851" s="1" t="s">
        <v>6700</v>
      </c>
      <c r="S1851" s="1"/>
      <c r="T1851" s="1" t="s">
        <v>268</v>
      </c>
      <c r="U1851" s="1"/>
      <c r="V1851" s="1">
        <v>45.15</v>
      </c>
      <c r="W1851" s="1">
        <v>45.15</v>
      </c>
      <c r="X1851" s="1" t="s">
        <v>35</v>
      </c>
      <c r="Y1851" s="1">
        <v>45150.0</v>
      </c>
      <c r="Z1851" s="1"/>
      <c r="AA1851" s="1">
        <v>45150.0</v>
      </c>
      <c r="AB1851" s="1"/>
      <c r="AC1851" s="1" t="s">
        <v>36</v>
      </c>
      <c r="AD1851" s="1" t="s">
        <v>6846</v>
      </c>
      <c r="AE1851" s="1" t="s">
        <v>32</v>
      </c>
      <c r="AF1851" s="1" t="s">
        <v>33</v>
      </c>
      <c r="AG1851" s="1" t="s">
        <v>270</v>
      </c>
    </row>
    <row r="1852" spans="1:33">
      <c r="A1852" t="s">
        <v>6847</v>
      </c>
      <c r="C1852" t="s">
        <v>4256</v>
      </c>
      <c r="E1852" t="s">
        <v>6700</v>
      </c>
      <c r="F1852" t="s">
        <v>6255</v>
      </c>
      <c r="G1852">
        <v>336.0</v>
      </c>
      <c r="H1852">
        <v>336.0</v>
      </c>
      <c r="I1852" t="s">
        <v>40</v>
      </c>
      <c r="J1852" t="s">
        <v>41</v>
      </c>
      <c r="K1852" t="s">
        <v>31</v>
      </c>
      <c r="L1852" t="s">
        <v>32</v>
      </c>
      <c r="M1852" t="s">
        <v>33</v>
      </c>
      <c r="P1852" s="1" t="s">
        <v>6848</v>
      </c>
      <c r="Q1852" s="1" t="s">
        <v>6700</v>
      </c>
      <c r="R1852" s="1" t="s">
        <v>6133</v>
      </c>
      <c r="S1852" s="1"/>
      <c r="T1852" s="1" t="s">
        <v>4258</v>
      </c>
      <c r="U1852" s="1" t="s">
        <v>4259</v>
      </c>
      <c r="V1852" s="1">
        <v>336.0</v>
      </c>
      <c r="W1852" s="1">
        <v>336.0</v>
      </c>
      <c r="X1852" s="1" t="s">
        <v>35</v>
      </c>
      <c r="Y1852" s="1">
        <v>336000.0</v>
      </c>
      <c r="Z1852" s="1"/>
      <c r="AA1852" s="1">
        <v>336000.0</v>
      </c>
      <c r="AB1852" s="1"/>
      <c r="AC1852" s="1" t="s">
        <v>36</v>
      </c>
      <c r="AD1852" s="1" t="s">
        <v>6849</v>
      </c>
      <c r="AE1852" s="1" t="s">
        <v>32</v>
      </c>
      <c r="AF1852" s="1" t="s">
        <v>33</v>
      </c>
      <c r="AG1852" s="1" t="s">
        <v>41</v>
      </c>
    </row>
    <row r="1853" spans="1:33">
      <c r="A1853" t="s">
        <v>6850</v>
      </c>
      <c r="B1853" t="s">
        <v>6851</v>
      </c>
      <c r="C1853" t="s">
        <v>47</v>
      </c>
      <c r="E1853" t="s">
        <v>6700</v>
      </c>
      <c r="F1853" t="s">
        <v>6255</v>
      </c>
      <c r="G1853">
        <v>21.87</v>
      </c>
      <c r="H1853">
        <v>21.87</v>
      </c>
      <c r="I1853" t="s">
        <v>2206</v>
      </c>
      <c r="J1853" t="s">
        <v>49</v>
      </c>
      <c r="K1853" t="s">
        <v>31</v>
      </c>
      <c r="L1853" t="s">
        <v>32</v>
      </c>
      <c r="M1853" t="s">
        <v>33</v>
      </c>
      <c r="P1853" s="1" t="s">
        <v>6852</v>
      </c>
      <c r="Q1853" s="1" t="s">
        <v>6700</v>
      </c>
      <c r="R1853" s="1" t="s">
        <v>6700</v>
      </c>
      <c r="S1853" s="1"/>
      <c r="T1853" s="1" t="s">
        <v>47</v>
      </c>
      <c r="U1853" s="1"/>
      <c r="V1853" s="1">
        <v>21.87</v>
      </c>
      <c r="W1853" s="1">
        <v>21.87</v>
      </c>
      <c r="X1853" s="1" t="s">
        <v>35</v>
      </c>
      <c r="Y1853" s="1">
        <v>21870.0</v>
      </c>
      <c r="Z1853" s="1"/>
      <c r="AA1853" s="1">
        <v>21870.0</v>
      </c>
      <c r="AB1853" s="1"/>
      <c r="AC1853" s="1" t="s">
        <v>36</v>
      </c>
      <c r="AD1853" s="1" t="s">
        <v>6853</v>
      </c>
      <c r="AE1853" s="1" t="s">
        <v>32</v>
      </c>
      <c r="AF1853" s="1" t="s">
        <v>33</v>
      </c>
      <c r="AG1853" s="1" t="s">
        <v>49</v>
      </c>
    </row>
    <row r="1854" spans="1:33">
      <c r="A1854" t="s">
        <v>6854</v>
      </c>
      <c r="C1854" t="s">
        <v>6216</v>
      </c>
      <c r="E1854" t="s">
        <v>6700</v>
      </c>
      <c r="F1854" t="s">
        <v>6255</v>
      </c>
      <c r="G1854">
        <v>820.0</v>
      </c>
      <c r="H1854">
        <v>820.0</v>
      </c>
      <c r="I1854" t="s">
        <v>269</v>
      </c>
      <c r="J1854" t="s">
        <v>270</v>
      </c>
      <c r="K1854" t="s">
        <v>31</v>
      </c>
      <c r="L1854" t="s">
        <v>32</v>
      </c>
      <c r="M1854" t="s">
        <v>33</v>
      </c>
      <c r="P1854" s="1" t="s">
        <v>6855</v>
      </c>
      <c r="Q1854" s="1" t="s">
        <v>6700</v>
      </c>
      <c r="R1854" s="1" t="s">
        <v>6700</v>
      </c>
      <c r="S1854" s="1"/>
      <c r="T1854" s="1" t="s">
        <v>6216</v>
      </c>
      <c r="U1854" s="1"/>
      <c r="V1854" s="1">
        <v>820.0</v>
      </c>
      <c r="W1854" s="1">
        <v>820.0</v>
      </c>
      <c r="X1854" s="1" t="s">
        <v>35</v>
      </c>
      <c r="Y1854" s="1">
        <v>820000.0</v>
      </c>
      <c r="Z1854" s="1"/>
      <c r="AA1854" s="1">
        <v>820000.0</v>
      </c>
      <c r="AB1854" s="1"/>
      <c r="AC1854" s="1" t="s">
        <v>36</v>
      </c>
      <c r="AD1854" s="1" t="s">
        <v>6856</v>
      </c>
      <c r="AE1854" s="1" t="s">
        <v>32</v>
      </c>
      <c r="AF1854" s="1" t="s">
        <v>33</v>
      </c>
      <c r="AG1854" s="1" t="s">
        <v>270</v>
      </c>
    </row>
    <row r="1855" spans="1:33">
      <c r="A1855" t="s">
        <v>6857</v>
      </c>
      <c r="B1855" t="s">
        <v>6858</v>
      </c>
      <c r="C1855" t="s">
        <v>268</v>
      </c>
      <c r="E1855" t="s">
        <v>6700</v>
      </c>
      <c r="F1855" t="s">
        <v>6255</v>
      </c>
      <c r="G1855">
        <v>45.15</v>
      </c>
      <c r="H1855">
        <v>45.15</v>
      </c>
      <c r="I1855" t="s">
        <v>269</v>
      </c>
      <c r="J1855" t="s">
        <v>270</v>
      </c>
      <c r="K1855" t="s">
        <v>31</v>
      </c>
      <c r="L1855" t="s">
        <v>32</v>
      </c>
      <c r="M1855" t="s">
        <v>33</v>
      </c>
      <c r="P1855" s="1" t="s">
        <v>6859</v>
      </c>
      <c r="Q1855" s="1" t="s">
        <v>6700</v>
      </c>
      <c r="R1855" s="1" t="s">
        <v>6700</v>
      </c>
      <c r="S1855" s="1"/>
      <c r="T1855" s="1" t="s">
        <v>268</v>
      </c>
      <c r="U1855" s="1"/>
      <c r="V1855" s="1">
        <v>45.15</v>
      </c>
      <c r="W1855" s="1">
        <v>45.15</v>
      </c>
      <c r="X1855" s="1" t="s">
        <v>35</v>
      </c>
      <c r="Y1855" s="1">
        <v>45150.0</v>
      </c>
      <c r="Z1855" s="1"/>
      <c r="AA1855" s="1">
        <v>45150.0</v>
      </c>
      <c r="AB1855" s="1"/>
      <c r="AC1855" s="1" t="s">
        <v>36</v>
      </c>
      <c r="AD1855" s="1" t="s">
        <v>6860</v>
      </c>
      <c r="AE1855" s="1" t="s">
        <v>32</v>
      </c>
      <c r="AF1855" s="1" t="s">
        <v>33</v>
      </c>
      <c r="AG1855" s="1" t="s">
        <v>270</v>
      </c>
    </row>
    <row r="1856" spans="1:33">
      <c r="A1856" t="s">
        <v>6861</v>
      </c>
      <c r="C1856" t="s">
        <v>1957</v>
      </c>
      <c r="D1856" t="s">
        <v>154</v>
      </c>
      <c r="E1856" t="s">
        <v>6700</v>
      </c>
      <c r="F1856" t="s">
        <v>6255</v>
      </c>
      <c r="G1856">
        <v>688.0</v>
      </c>
      <c r="H1856">
        <v>688.0</v>
      </c>
      <c r="I1856" t="s">
        <v>227</v>
      </c>
      <c r="J1856" t="s">
        <v>228</v>
      </c>
      <c r="K1856" t="s">
        <v>31</v>
      </c>
      <c r="L1856" t="s">
        <v>32</v>
      </c>
      <c r="M1856" t="s">
        <v>33</v>
      </c>
      <c r="P1856" s="1" t="s">
        <v>6862</v>
      </c>
      <c r="Q1856" s="1" t="s">
        <v>6700</v>
      </c>
      <c r="R1856" s="1" t="s">
        <v>6700</v>
      </c>
      <c r="S1856" s="1"/>
      <c r="T1856" s="1" t="s">
        <v>1957</v>
      </c>
      <c r="U1856" s="1"/>
      <c r="V1856" s="1">
        <v>688.0</v>
      </c>
      <c r="W1856" s="1">
        <v>688.0</v>
      </c>
      <c r="X1856" s="1" t="s">
        <v>35</v>
      </c>
      <c r="Y1856" s="1">
        <v>688000.0</v>
      </c>
      <c r="Z1856" s="1"/>
      <c r="AA1856" s="1">
        <v>688000.0</v>
      </c>
      <c r="AB1856" s="1"/>
      <c r="AC1856" s="1" t="s">
        <v>36</v>
      </c>
      <c r="AD1856" s="1" t="s">
        <v>6863</v>
      </c>
      <c r="AE1856" s="1" t="s">
        <v>32</v>
      </c>
      <c r="AF1856" s="1" t="s">
        <v>33</v>
      </c>
      <c r="AG1856" s="1" t="s">
        <v>228</v>
      </c>
    </row>
    <row r="1857" spans="1:33">
      <c r="A1857" t="s">
        <v>6864</v>
      </c>
      <c r="B1857" t="s">
        <v>826</v>
      </c>
      <c r="C1857" t="s">
        <v>827</v>
      </c>
      <c r="D1857" t="s">
        <v>154</v>
      </c>
      <c r="E1857" t="s">
        <v>6700</v>
      </c>
      <c r="F1857" t="s">
        <v>6255</v>
      </c>
      <c r="G1857">
        <v>1.119</v>
      </c>
      <c r="H1857">
        <v>1.119</v>
      </c>
      <c r="I1857" t="s">
        <v>529</v>
      </c>
      <c r="J1857" t="s">
        <v>530</v>
      </c>
      <c r="K1857" t="s">
        <v>31</v>
      </c>
      <c r="L1857" t="s">
        <v>32</v>
      </c>
      <c r="M1857" t="s">
        <v>33</v>
      </c>
      <c r="P1857" s="1" t="s">
        <v>6865</v>
      </c>
      <c r="Q1857" s="1" t="s">
        <v>6700</v>
      </c>
      <c r="R1857" s="1" t="s">
        <v>6133</v>
      </c>
      <c r="S1857" s="1"/>
      <c r="T1857" s="1" t="s">
        <v>827</v>
      </c>
      <c r="U1857" s="1"/>
      <c r="V1857" s="1">
        <v>1.119</v>
      </c>
      <c r="W1857" s="1">
        <v>1.119</v>
      </c>
      <c r="X1857" s="1" t="s">
        <v>35</v>
      </c>
      <c r="Y1857" s="1">
        <v>1119500.0</v>
      </c>
      <c r="Z1857" s="1"/>
      <c r="AA1857" s="1">
        <v>1119500.0</v>
      </c>
      <c r="AB1857" s="1"/>
      <c r="AC1857" s="1" t="s">
        <v>36</v>
      </c>
      <c r="AD1857" s="1" t="s">
        <v>6866</v>
      </c>
      <c r="AE1857" s="1" t="s">
        <v>32</v>
      </c>
      <c r="AF1857" s="1" t="s">
        <v>33</v>
      </c>
      <c r="AG1857" s="1" t="s">
        <v>530</v>
      </c>
    </row>
    <row r="1858" spans="1:33">
      <c r="A1858" t="s">
        <v>6867</v>
      </c>
      <c r="B1858" t="s">
        <v>2422</v>
      </c>
      <c r="C1858" t="s">
        <v>314</v>
      </c>
      <c r="E1858" t="s">
        <v>6700</v>
      </c>
      <c r="F1858" t="s">
        <v>6255</v>
      </c>
      <c r="G1858">
        <v>37.49</v>
      </c>
      <c r="H1858">
        <v>37.49</v>
      </c>
      <c r="I1858" t="s">
        <v>179</v>
      </c>
      <c r="J1858" t="s">
        <v>180</v>
      </c>
      <c r="K1858" t="s">
        <v>31</v>
      </c>
      <c r="L1858" t="s">
        <v>32</v>
      </c>
      <c r="M1858" t="s">
        <v>33</v>
      </c>
      <c r="P1858" s="1" t="s">
        <v>6868</v>
      </c>
      <c r="Q1858" s="1" t="s">
        <v>6700</v>
      </c>
      <c r="R1858" s="1" t="s">
        <v>6700</v>
      </c>
      <c r="S1858" s="1"/>
      <c r="T1858" s="1" t="s">
        <v>314</v>
      </c>
      <c r="U1858" s="1"/>
      <c r="V1858" s="1">
        <v>37.49</v>
      </c>
      <c r="W1858" s="1">
        <v>37.49</v>
      </c>
      <c r="X1858" s="1" t="s">
        <v>35</v>
      </c>
      <c r="Y1858" s="1">
        <v>37490.0</v>
      </c>
      <c r="Z1858" s="1"/>
      <c r="AA1858" s="1">
        <v>37490.0</v>
      </c>
      <c r="AB1858" s="1"/>
      <c r="AC1858" s="1" t="s">
        <v>36</v>
      </c>
      <c r="AD1858" s="1" t="s">
        <v>6869</v>
      </c>
      <c r="AE1858" s="1" t="s">
        <v>32</v>
      </c>
      <c r="AF1858" s="1" t="s">
        <v>33</v>
      </c>
      <c r="AG1858" s="1" t="s">
        <v>180</v>
      </c>
    </row>
    <row r="1859" spans="1:33">
      <c r="A1859" t="s">
        <v>6870</v>
      </c>
      <c r="B1859" t="s">
        <v>6871</v>
      </c>
      <c r="C1859" t="s">
        <v>47</v>
      </c>
      <c r="E1859" t="s">
        <v>6700</v>
      </c>
      <c r="F1859" t="s">
        <v>6255</v>
      </c>
      <c r="G1859">
        <v>9.147</v>
      </c>
      <c r="H1859">
        <v>9.147</v>
      </c>
      <c r="I1859" t="s">
        <v>48</v>
      </c>
      <c r="J1859" t="s">
        <v>49</v>
      </c>
      <c r="K1859" t="s">
        <v>31</v>
      </c>
      <c r="L1859" t="s">
        <v>32</v>
      </c>
      <c r="M1859" t="s">
        <v>33</v>
      </c>
      <c r="P1859" s="1" t="s">
        <v>6872</v>
      </c>
      <c r="Q1859" s="1" t="s">
        <v>6700</v>
      </c>
      <c r="R1859" s="1" t="s">
        <v>6700</v>
      </c>
      <c r="S1859" s="1"/>
      <c r="T1859" s="1" t="s">
        <v>47</v>
      </c>
      <c r="U1859" s="1"/>
      <c r="V1859" s="1">
        <v>9.147</v>
      </c>
      <c r="W1859" s="1">
        <v>9.147</v>
      </c>
      <c r="X1859" s="1" t="s">
        <v>35</v>
      </c>
      <c r="Y1859" s="1">
        <v>9147.0</v>
      </c>
      <c r="Z1859" s="1"/>
      <c r="AA1859" s="1">
        <v>9147.0</v>
      </c>
      <c r="AB1859" s="1"/>
      <c r="AC1859" s="1" t="s">
        <v>36</v>
      </c>
      <c r="AD1859" s="1" t="s">
        <v>6873</v>
      </c>
      <c r="AE1859" s="1" t="s">
        <v>32</v>
      </c>
      <c r="AF1859" s="1" t="s">
        <v>33</v>
      </c>
      <c r="AG1859" s="1" t="s">
        <v>49</v>
      </c>
    </row>
    <row r="1860" spans="1:33">
      <c r="A1860" t="s">
        <v>6874</v>
      </c>
      <c r="C1860" t="s">
        <v>4610</v>
      </c>
      <c r="E1860" t="s">
        <v>6700</v>
      </c>
      <c r="F1860" t="s">
        <v>6255</v>
      </c>
      <c r="G1860">
        <v>1.782</v>
      </c>
      <c r="H1860">
        <v>1.782</v>
      </c>
      <c r="I1860" t="s">
        <v>126</v>
      </c>
      <c r="J1860" t="s">
        <v>127</v>
      </c>
      <c r="K1860" t="s">
        <v>31</v>
      </c>
      <c r="L1860" t="s">
        <v>32</v>
      </c>
      <c r="M1860" t="s">
        <v>33</v>
      </c>
      <c r="P1860" s="1" t="s">
        <v>6875</v>
      </c>
      <c r="Q1860" s="1" t="s">
        <v>6700</v>
      </c>
      <c r="R1860" s="1" t="s">
        <v>6700</v>
      </c>
      <c r="S1860" s="1"/>
      <c r="T1860" s="1" t="s">
        <v>4612</v>
      </c>
      <c r="U1860" s="1" t="s">
        <v>4613</v>
      </c>
      <c r="V1860" s="1">
        <v>1.782</v>
      </c>
      <c r="W1860" s="1">
        <v>1.782</v>
      </c>
      <c r="X1860" s="1" t="s">
        <v>35</v>
      </c>
      <c r="Y1860" s="1">
        <v>1782000.0</v>
      </c>
      <c r="Z1860" s="1"/>
      <c r="AA1860" s="1">
        <v>1782000.0</v>
      </c>
      <c r="AB1860" s="1"/>
      <c r="AC1860" s="1" t="s">
        <v>36</v>
      </c>
      <c r="AD1860" s="1" t="s">
        <v>6876</v>
      </c>
      <c r="AE1860" s="1" t="s">
        <v>32</v>
      </c>
      <c r="AF1860" s="1" t="s">
        <v>33</v>
      </c>
      <c r="AG1860" s="1" t="s">
        <v>127</v>
      </c>
    </row>
    <row r="1861" spans="1:33">
      <c r="A1861" t="s">
        <v>6877</v>
      </c>
      <c r="B1861" t="s">
        <v>3640</v>
      </c>
      <c r="C1861" t="s">
        <v>26</v>
      </c>
      <c r="E1861" t="s">
        <v>6700</v>
      </c>
      <c r="F1861" t="s">
        <v>6255</v>
      </c>
      <c r="G1861">
        <v>4.409</v>
      </c>
      <c r="H1861">
        <v>4.409</v>
      </c>
      <c r="I1861" t="s">
        <v>29</v>
      </c>
      <c r="J1861" t="s">
        <v>30</v>
      </c>
      <c r="K1861" t="s">
        <v>31</v>
      </c>
      <c r="L1861" t="s">
        <v>32</v>
      </c>
      <c r="M1861" t="s">
        <v>33</v>
      </c>
      <c r="P1861" s="1" t="s">
        <v>6878</v>
      </c>
      <c r="Q1861" s="1" t="s">
        <v>6700</v>
      </c>
      <c r="R1861" s="1" t="s">
        <v>6700</v>
      </c>
      <c r="S1861" s="1"/>
      <c r="T1861" s="1" t="s">
        <v>26</v>
      </c>
      <c r="U1861" s="1"/>
      <c r="V1861" s="1">
        <v>4.409</v>
      </c>
      <c r="W1861" s="1">
        <v>4.409</v>
      </c>
      <c r="X1861" s="1" t="s">
        <v>35</v>
      </c>
      <c r="Y1861" s="1">
        <v>4409.0</v>
      </c>
      <c r="Z1861" s="1"/>
      <c r="AA1861" s="1">
        <v>4409.0</v>
      </c>
      <c r="AB1861" s="1"/>
      <c r="AC1861" s="1" t="s">
        <v>36</v>
      </c>
      <c r="AD1861" s="1" t="s">
        <v>6876</v>
      </c>
      <c r="AE1861" s="1" t="s">
        <v>32</v>
      </c>
      <c r="AF1861" s="1" t="s">
        <v>33</v>
      </c>
      <c r="AG1861" s="1" t="s">
        <v>30</v>
      </c>
    </row>
    <row r="1862" spans="1:33">
      <c r="A1862" t="s">
        <v>6879</v>
      </c>
      <c r="B1862" t="s">
        <v>4983</v>
      </c>
      <c r="C1862" t="s">
        <v>68</v>
      </c>
      <c r="E1862" t="s">
        <v>6700</v>
      </c>
      <c r="F1862" t="s">
        <v>6255</v>
      </c>
      <c r="G1862">
        <v>22.49</v>
      </c>
      <c r="H1862">
        <v>22.49</v>
      </c>
      <c r="I1862" t="s">
        <v>59</v>
      </c>
      <c r="J1862" t="s">
        <v>60</v>
      </c>
      <c r="K1862" t="s">
        <v>31</v>
      </c>
      <c r="L1862" t="s">
        <v>32</v>
      </c>
      <c r="M1862" t="s">
        <v>33</v>
      </c>
      <c r="P1862" s="1" t="s">
        <v>6880</v>
      </c>
      <c r="Q1862" s="1" t="s">
        <v>6700</v>
      </c>
      <c r="R1862" s="1" t="s">
        <v>6700</v>
      </c>
      <c r="S1862" s="1"/>
      <c r="T1862" s="1" t="s">
        <v>68</v>
      </c>
      <c r="U1862" s="1"/>
      <c r="V1862" s="1">
        <v>22.49</v>
      </c>
      <c r="W1862" s="1">
        <v>22.49</v>
      </c>
      <c r="X1862" s="1" t="s">
        <v>35</v>
      </c>
      <c r="Y1862" s="1">
        <v>22490.0</v>
      </c>
      <c r="Z1862" s="1"/>
      <c r="AA1862" s="1">
        <v>22490.0</v>
      </c>
      <c r="AB1862" s="1"/>
      <c r="AC1862" s="1" t="s">
        <v>36</v>
      </c>
      <c r="AD1862" s="1" t="s">
        <v>6881</v>
      </c>
      <c r="AE1862" s="1" t="s">
        <v>32</v>
      </c>
      <c r="AF1862" s="1" t="s">
        <v>33</v>
      </c>
      <c r="AG1862" s="1" t="s">
        <v>60</v>
      </c>
    </row>
    <row r="1863" spans="1:33">
      <c r="A1863" t="s">
        <v>6882</v>
      </c>
      <c r="C1863" t="s">
        <v>464</v>
      </c>
      <c r="E1863" t="s">
        <v>6700</v>
      </c>
      <c r="F1863" t="s">
        <v>6255</v>
      </c>
      <c r="G1863">
        <v>796.5</v>
      </c>
      <c r="H1863">
        <v>796.5</v>
      </c>
      <c r="I1863" t="s">
        <v>126</v>
      </c>
      <c r="J1863" t="s">
        <v>127</v>
      </c>
      <c r="K1863" t="s">
        <v>31</v>
      </c>
      <c r="L1863" t="s">
        <v>32</v>
      </c>
      <c r="M1863" t="s">
        <v>33</v>
      </c>
      <c r="P1863" s="1" t="s">
        <v>6883</v>
      </c>
      <c r="Q1863" s="1" t="s">
        <v>6700</v>
      </c>
      <c r="R1863" s="1" t="s">
        <v>6700</v>
      </c>
      <c r="S1863" s="1"/>
      <c r="T1863" s="1" t="s">
        <v>464</v>
      </c>
      <c r="U1863" s="1"/>
      <c r="V1863" s="1">
        <v>796.5</v>
      </c>
      <c r="W1863" s="1">
        <v>796.5</v>
      </c>
      <c r="X1863" s="1" t="s">
        <v>35</v>
      </c>
      <c r="Y1863" s="1">
        <v>796500.0</v>
      </c>
      <c r="Z1863" s="1"/>
      <c r="AA1863" s="1">
        <v>796500.0</v>
      </c>
      <c r="AB1863" s="1"/>
      <c r="AC1863" s="1" t="s">
        <v>36</v>
      </c>
      <c r="AD1863" s="1" t="s">
        <v>6884</v>
      </c>
      <c r="AE1863" s="1" t="s">
        <v>32</v>
      </c>
      <c r="AF1863" s="1" t="s">
        <v>33</v>
      </c>
      <c r="AG1863" s="1" t="s">
        <v>127</v>
      </c>
    </row>
    <row r="1864" spans="1:33">
      <c r="A1864" t="s">
        <v>6885</v>
      </c>
      <c r="C1864" t="s">
        <v>3943</v>
      </c>
      <c r="E1864" t="s">
        <v>6700</v>
      </c>
      <c r="F1864" t="s">
        <v>6255</v>
      </c>
      <c r="G1864">
        <v>2.112</v>
      </c>
      <c r="H1864">
        <v>2.112</v>
      </c>
      <c r="I1864" t="s">
        <v>173</v>
      </c>
      <c r="J1864" t="s">
        <v>174</v>
      </c>
      <c r="K1864" t="s">
        <v>31</v>
      </c>
      <c r="L1864" t="s">
        <v>32</v>
      </c>
      <c r="M1864" t="s">
        <v>33</v>
      </c>
      <c r="P1864" s="1" t="s">
        <v>6886</v>
      </c>
      <c r="Q1864" s="1" t="s">
        <v>6700</v>
      </c>
      <c r="R1864" s="1" t="s">
        <v>6700</v>
      </c>
      <c r="S1864" s="1"/>
      <c r="T1864" s="1" t="s">
        <v>3943</v>
      </c>
      <c r="U1864" s="1"/>
      <c r="V1864" s="1">
        <v>2.112</v>
      </c>
      <c r="W1864" s="1">
        <v>2.112</v>
      </c>
      <c r="X1864" s="1" t="s">
        <v>35</v>
      </c>
      <c r="Y1864" s="1">
        <v>2112000.0</v>
      </c>
      <c r="Z1864" s="1"/>
      <c r="AA1864" s="1">
        <v>2112000.0</v>
      </c>
      <c r="AB1864" s="1"/>
      <c r="AC1864" s="1" t="s">
        <v>36</v>
      </c>
      <c r="AD1864" s="1" t="s">
        <v>6887</v>
      </c>
      <c r="AE1864" s="1" t="s">
        <v>32</v>
      </c>
      <c r="AF1864" s="1" t="s">
        <v>33</v>
      </c>
      <c r="AG1864" s="1" t="s">
        <v>174</v>
      </c>
    </row>
    <row r="1865" spans="1:33">
      <c r="A1865" t="s">
        <v>6888</v>
      </c>
      <c r="B1865" t="s">
        <v>6889</v>
      </c>
      <c r="C1865" t="s">
        <v>314</v>
      </c>
      <c r="E1865" t="s">
        <v>6700</v>
      </c>
      <c r="F1865" t="s">
        <v>6255</v>
      </c>
      <c r="G1865">
        <v>21.24</v>
      </c>
      <c r="H1865">
        <v>21.24</v>
      </c>
      <c r="I1865" t="s">
        <v>179</v>
      </c>
      <c r="J1865" t="s">
        <v>180</v>
      </c>
      <c r="K1865" t="s">
        <v>31</v>
      </c>
      <c r="L1865" t="s">
        <v>32</v>
      </c>
      <c r="M1865" t="s">
        <v>33</v>
      </c>
      <c r="P1865" s="1" t="s">
        <v>6890</v>
      </c>
      <c r="Q1865" s="1" t="s">
        <v>6700</v>
      </c>
      <c r="R1865" s="1" t="s">
        <v>6700</v>
      </c>
      <c r="S1865" s="1"/>
      <c r="T1865" s="1" t="s">
        <v>314</v>
      </c>
      <c r="U1865" s="1"/>
      <c r="V1865" s="1">
        <v>21.24</v>
      </c>
      <c r="W1865" s="1">
        <v>21.24</v>
      </c>
      <c r="X1865" s="1" t="s">
        <v>35</v>
      </c>
      <c r="Y1865" s="1">
        <v>21240.0</v>
      </c>
      <c r="Z1865" s="1"/>
      <c r="AA1865" s="1">
        <v>21240.0</v>
      </c>
      <c r="AB1865" s="1"/>
      <c r="AC1865" s="1" t="s">
        <v>36</v>
      </c>
      <c r="AD1865" s="1" t="s">
        <v>6891</v>
      </c>
      <c r="AE1865" s="1" t="s">
        <v>32</v>
      </c>
      <c r="AF1865" s="1" t="s">
        <v>33</v>
      </c>
      <c r="AG1865" s="1" t="s">
        <v>180</v>
      </c>
    </row>
    <row r="1866" spans="1:33">
      <c r="A1866" t="s">
        <v>6892</v>
      </c>
      <c r="C1866" t="s">
        <v>6893</v>
      </c>
      <c r="D1866" t="s">
        <v>154</v>
      </c>
      <c r="E1866" t="s">
        <v>6700</v>
      </c>
      <c r="F1866" t="s">
        <v>6255</v>
      </c>
      <c r="G1866">
        <v>352.0</v>
      </c>
      <c r="H1866">
        <v>352.0</v>
      </c>
      <c r="I1866" t="s">
        <v>179</v>
      </c>
      <c r="J1866" t="s">
        <v>180</v>
      </c>
      <c r="K1866" t="s">
        <v>31</v>
      </c>
      <c r="L1866" t="s">
        <v>32</v>
      </c>
      <c r="M1866" t="s">
        <v>33</v>
      </c>
      <c r="P1866" s="1" t="s">
        <v>6894</v>
      </c>
      <c r="Q1866" s="1" t="s">
        <v>6700</v>
      </c>
      <c r="R1866" s="1" t="s">
        <v>6700</v>
      </c>
      <c r="S1866" s="1"/>
      <c r="T1866" s="1" t="s">
        <v>6895</v>
      </c>
      <c r="U1866" s="1" t="s">
        <v>6896</v>
      </c>
      <c r="V1866" s="1">
        <v>352.0</v>
      </c>
      <c r="W1866" s="1">
        <v>352.0</v>
      </c>
      <c r="X1866" s="1" t="s">
        <v>35</v>
      </c>
      <c r="Y1866" s="1">
        <v>352000.0</v>
      </c>
      <c r="Z1866" s="1"/>
      <c r="AA1866" s="1">
        <v>352000.0</v>
      </c>
      <c r="AB1866" s="1"/>
      <c r="AC1866" s="1" t="s">
        <v>36</v>
      </c>
      <c r="AD1866" s="1" t="s">
        <v>6897</v>
      </c>
      <c r="AE1866" s="1" t="s">
        <v>32</v>
      </c>
      <c r="AF1866" s="1" t="s">
        <v>33</v>
      </c>
      <c r="AG1866" s="1" t="s">
        <v>180</v>
      </c>
    </row>
    <row r="1867" spans="1:33">
      <c r="A1867" t="s">
        <v>6898</v>
      </c>
      <c r="B1867" t="s">
        <v>6899</v>
      </c>
      <c r="C1867" t="s">
        <v>47</v>
      </c>
      <c r="E1867" t="s">
        <v>6700</v>
      </c>
      <c r="F1867" t="s">
        <v>6255</v>
      </c>
      <c r="G1867">
        <v>8.0</v>
      </c>
      <c r="H1867">
        <v>8.0</v>
      </c>
      <c r="I1867" t="s">
        <v>48</v>
      </c>
      <c r="J1867" t="s">
        <v>49</v>
      </c>
      <c r="K1867" t="s">
        <v>31</v>
      </c>
      <c r="L1867" t="s">
        <v>32</v>
      </c>
      <c r="M1867" t="s">
        <v>33</v>
      </c>
      <c r="P1867" s="1" t="s">
        <v>6900</v>
      </c>
      <c r="Q1867" s="1" t="s">
        <v>6700</v>
      </c>
      <c r="R1867" s="1" t="s">
        <v>6700</v>
      </c>
      <c r="S1867" s="1"/>
      <c r="T1867" s="1" t="s">
        <v>47</v>
      </c>
      <c r="U1867" s="1"/>
      <c r="V1867" s="1">
        <v>8.0</v>
      </c>
      <c r="W1867" s="1">
        <v>8.0</v>
      </c>
      <c r="X1867" s="1" t="s">
        <v>35</v>
      </c>
      <c r="Y1867" s="1">
        <v>8000.0</v>
      </c>
      <c r="Z1867" s="1"/>
      <c r="AA1867" s="1">
        <v>8000.0</v>
      </c>
      <c r="AB1867" s="1"/>
      <c r="AC1867" s="1" t="s">
        <v>36</v>
      </c>
      <c r="AD1867" s="1" t="s">
        <v>6901</v>
      </c>
      <c r="AE1867" s="1" t="s">
        <v>32</v>
      </c>
      <c r="AF1867" s="1" t="s">
        <v>33</v>
      </c>
      <c r="AG1867" s="1" t="s">
        <v>49</v>
      </c>
    </row>
    <row r="1868" spans="1:33">
      <c r="A1868" t="s">
        <v>6902</v>
      </c>
      <c r="C1868" t="s">
        <v>6006</v>
      </c>
      <c r="E1868" t="s">
        <v>6700</v>
      </c>
      <c r="F1868" t="s">
        <v>6255</v>
      </c>
      <c r="G1868">
        <v>2.057</v>
      </c>
      <c r="H1868">
        <v>2.057</v>
      </c>
      <c r="I1868" t="s">
        <v>48</v>
      </c>
      <c r="J1868" t="s">
        <v>49</v>
      </c>
      <c r="K1868" t="s">
        <v>31</v>
      </c>
      <c r="L1868" t="s">
        <v>32</v>
      </c>
      <c r="M1868" t="s">
        <v>33</v>
      </c>
      <c r="P1868" s="1" t="s">
        <v>6903</v>
      </c>
      <c r="Q1868" s="1" t="s">
        <v>6700</v>
      </c>
      <c r="R1868" s="1" t="s">
        <v>6700</v>
      </c>
      <c r="S1868" s="1"/>
      <c r="T1868" s="1" t="s">
        <v>6006</v>
      </c>
      <c r="U1868" s="1"/>
      <c r="V1868" s="1">
        <v>2.057</v>
      </c>
      <c r="W1868" s="1">
        <v>2.057</v>
      </c>
      <c r="X1868" s="1" t="s">
        <v>35</v>
      </c>
      <c r="Y1868" s="1">
        <v>2057350.0</v>
      </c>
      <c r="Z1868" s="1"/>
      <c r="AA1868" s="1">
        <v>2057350.0</v>
      </c>
      <c r="AB1868" s="1"/>
      <c r="AC1868" s="1" t="s">
        <v>36</v>
      </c>
      <c r="AD1868" s="1" t="s">
        <v>6904</v>
      </c>
      <c r="AE1868" s="1" t="s">
        <v>32</v>
      </c>
      <c r="AF1868" s="1" t="s">
        <v>33</v>
      </c>
      <c r="AG1868" s="1" t="s">
        <v>49</v>
      </c>
    </row>
    <row r="1869" spans="1:33">
      <c r="A1869" t="s">
        <v>6905</v>
      </c>
      <c r="B1869" t="s">
        <v>6906</v>
      </c>
      <c r="C1869" t="s">
        <v>125</v>
      </c>
      <c r="E1869" t="s">
        <v>6700</v>
      </c>
      <c r="F1869" t="s">
        <v>6255</v>
      </c>
      <c r="G1869">
        <v>66.47</v>
      </c>
      <c r="H1869">
        <v>66.47</v>
      </c>
      <c r="I1869" t="s">
        <v>126</v>
      </c>
      <c r="J1869" t="s">
        <v>127</v>
      </c>
      <c r="K1869" t="s">
        <v>31</v>
      </c>
      <c r="L1869" t="s">
        <v>32</v>
      </c>
      <c r="M1869" t="s">
        <v>33</v>
      </c>
      <c r="P1869" s="1" t="s">
        <v>6907</v>
      </c>
      <c r="Q1869" s="1" t="s">
        <v>6700</v>
      </c>
      <c r="R1869" s="1" t="s">
        <v>6700</v>
      </c>
      <c r="S1869" s="1"/>
      <c r="T1869" s="1" t="s">
        <v>125</v>
      </c>
      <c r="U1869" s="1"/>
      <c r="V1869" s="1">
        <v>66.47</v>
      </c>
      <c r="W1869" s="1">
        <v>66.47</v>
      </c>
      <c r="X1869" s="1" t="s">
        <v>35</v>
      </c>
      <c r="Y1869" s="1">
        <v>66470.0</v>
      </c>
      <c r="Z1869" s="1"/>
      <c r="AA1869" s="1">
        <v>66470.0</v>
      </c>
      <c r="AB1869" s="1"/>
      <c r="AC1869" s="1" t="s">
        <v>36</v>
      </c>
      <c r="AD1869" s="1" t="s">
        <v>6891</v>
      </c>
      <c r="AE1869" s="1" t="s">
        <v>32</v>
      </c>
      <c r="AF1869" s="1" t="s">
        <v>33</v>
      </c>
      <c r="AG1869" s="1" t="s">
        <v>127</v>
      </c>
    </row>
    <row r="1870" spans="1:33">
      <c r="A1870" t="s">
        <v>6908</v>
      </c>
      <c r="B1870" t="s">
        <v>1232</v>
      </c>
      <c r="C1870" t="s">
        <v>1233</v>
      </c>
      <c r="E1870" t="s">
        <v>6700</v>
      </c>
      <c r="F1870" t="s">
        <v>6255</v>
      </c>
      <c r="G1870">
        <v>328.0</v>
      </c>
      <c r="H1870">
        <v>328.0</v>
      </c>
      <c r="I1870" t="s">
        <v>529</v>
      </c>
      <c r="J1870" t="s">
        <v>530</v>
      </c>
      <c r="K1870" t="s">
        <v>31</v>
      </c>
      <c r="L1870" t="s">
        <v>32</v>
      </c>
      <c r="M1870" t="s">
        <v>33</v>
      </c>
      <c r="P1870" s="1" t="s">
        <v>6909</v>
      </c>
      <c r="Q1870" s="1" t="s">
        <v>6700</v>
      </c>
      <c r="R1870" s="1" t="s">
        <v>6133</v>
      </c>
      <c r="S1870" s="1"/>
      <c r="T1870" s="1" t="s">
        <v>1233</v>
      </c>
      <c r="U1870" s="1"/>
      <c r="V1870" s="1">
        <v>328.0</v>
      </c>
      <c r="W1870" s="1">
        <v>328.0</v>
      </c>
      <c r="X1870" s="1" t="s">
        <v>35</v>
      </c>
      <c r="Y1870" s="1">
        <v>328000.0</v>
      </c>
      <c r="Z1870" s="1"/>
      <c r="AA1870" s="1">
        <v>328000.0</v>
      </c>
      <c r="AB1870" s="1"/>
      <c r="AC1870" s="1" t="s">
        <v>36</v>
      </c>
      <c r="AD1870" s="1" t="s">
        <v>6910</v>
      </c>
      <c r="AE1870" s="1" t="s">
        <v>32</v>
      </c>
      <c r="AF1870" s="1" t="s">
        <v>33</v>
      </c>
      <c r="AG1870" s="1" t="s">
        <v>530</v>
      </c>
    </row>
    <row r="1871" spans="1:33">
      <c r="A1871" t="s">
        <v>6911</v>
      </c>
      <c r="C1871" t="s">
        <v>386</v>
      </c>
      <c r="E1871" t="s">
        <v>6700</v>
      </c>
      <c r="F1871" t="s">
        <v>6255</v>
      </c>
      <c r="G1871">
        <v>443.5</v>
      </c>
      <c r="H1871">
        <v>443.5</v>
      </c>
      <c r="I1871" t="s">
        <v>126</v>
      </c>
      <c r="J1871" t="s">
        <v>127</v>
      </c>
      <c r="K1871" t="s">
        <v>31</v>
      </c>
      <c r="L1871" t="s">
        <v>32</v>
      </c>
      <c r="M1871" t="s">
        <v>33</v>
      </c>
      <c r="P1871" s="1" t="s">
        <v>6912</v>
      </c>
      <c r="Q1871" s="1" t="s">
        <v>6700</v>
      </c>
      <c r="R1871" s="1" t="s">
        <v>6700</v>
      </c>
      <c r="S1871" s="1"/>
      <c r="T1871" s="1" t="s">
        <v>388</v>
      </c>
      <c r="U1871" s="1" t="s">
        <v>389</v>
      </c>
      <c r="V1871" s="1">
        <v>443.5</v>
      </c>
      <c r="W1871" s="1">
        <v>443.5</v>
      </c>
      <c r="X1871" s="1" t="s">
        <v>35</v>
      </c>
      <c r="Y1871" s="1">
        <v>443500.0</v>
      </c>
      <c r="Z1871" s="1"/>
      <c r="AA1871" s="1">
        <v>443500.0</v>
      </c>
      <c r="AB1871" s="1"/>
      <c r="AC1871" s="1" t="s">
        <v>36</v>
      </c>
      <c r="AD1871" s="1" t="s">
        <v>6897</v>
      </c>
      <c r="AE1871" s="1" t="s">
        <v>32</v>
      </c>
      <c r="AF1871" s="1" t="s">
        <v>33</v>
      </c>
      <c r="AG1871" s="1" t="s">
        <v>127</v>
      </c>
    </row>
    <row r="1872" spans="1:33">
      <c r="A1872" t="s">
        <v>6913</v>
      </c>
      <c r="B1872" t="s">
        <v>5135</v>
      </c>
      <c r="C1872" t="s">
        <v>125</v>
      </c>
      <c r="E1872" t="s">
        <v>6700</v>
      </c>
      <c r="F1872" t="s">
        <v>6255</v>
      </c>
      <c r="G1872">
        <v>49.48</v>
      </c>
      <c r="H1872">
        <v>49.48</v>
      </c>
      <c r="I1872" t="s">
        <v>126</v>
      </c>
      <c r="J1872" t="s">
        <v>127</v>
      </c>
      <c r="K1872" t="s">
        <v>31</v>
      </c>
      <c r="L1872" t="s">
        <v>32</v>
      </c>
      <c r="M1872" t="s">
        <v>33</v>
      </c>
      <c r="P1872" s="1" t="s">
        <v>6914</v>
      </c>
      <c r="Q1872" s="1" t="s">
        <v>6700</v>
      </c>
      <c r="R1872" s="1" t="s">
        <v>6700</v>
      </c>
      <c r="S1872" s="1"/>
      <c r="T1872" s="1" t="s">
        <v>125</v>
      </c>
      <c r="U1872" s="1"/>
      <c r="V1872" s="1">
        <v>49.48</v>
      </c>
      <c r="W1872" s="1">
        <v>49.48</v>
      </c>
      <c r="X1872" s="1" t="s">
        <v>35</v>
      </c>
      <c r="Y1872" s="1">
        <v>49480.0</v>
      </c>
      <c r="Z1872" s="1"/>
      <c r="AA1872" s="1">
        <v>49480.0</v>
      </c>
      <c r="AB1872" s="1"/>
      <c r="AC1872" s="1" t="s">
        <v>36</v>
      </c>
      <c r="AD1872" s="1" t="s">
        <v>6910</v>
      </c>
      <c r="AE1872" s="1" t="s">
        <v>32</v>
      </c>
      <c r="AF1872" s="1" t="s">
        <v>33</v>
      </c>
      <c r="AG1872" s="1" t="s">
        <v>127</v>
      </c>
    </row>
    <row r="1873" spans="1:33">
      <c r="A1873" t="s">
        <v>6915</v>
      </c>
      <c r="B1873" t="s">
        <v>1487</v>
      </c>
      <c r="C1873" t="s">
        <v>1488</v>
      </c>
      <c r="E1873" t="s">
        <v>6700</v>
      </c>
      <c r="F1873" t="s">
        <v>6255</v>
      </c>
      <c r="G1873">
        <v>1.42</v>
      </c>
      <c r="H1873">
        <v>1.42</v>
      </c>
      <c r="I1873" t="s">
        <v>40</v>
      </c>
      <c r="J1873" t="s">
        <v>41</v>
      </c>
      <c r="K1873" t="s">
        <v>31</v>
      </c>
      <c r="L1873" t="s">
        <v>32</v>
      </c>
      <c r="M1873" t="s">
        <v>33</v>
      </c>
      <c r="P1873" s="1" t="s">
        <v>6916</v>
      </c>
      <c r="Q1873" s="1" t="s">
        <v>6700</v>
      </c>
      <c r="R1873" s="1" t="s">
        <v>6133</v>
      </c>
      <c r="S1873" s="1"/>
      <c r="T1873" s="1" t="s">
        <v>1488</v>
      </c>
      <c r="U1873" s="1"/>
      <c r="V1873" s="1">
        <v>1.42</v>
      </c>
      <c r="W1873" s="1">
        <v>1.42</v>
      </c>
      <c r="X1873" s="1" t="s">
        <v>35</v>
      </c>
      <c r="Y1873" s="1">
        <v>1420000.0</v>
      </c>
      <c r="Z1873" s="1"/>
      <c r="AA1873" s="1">
        <v>1420000.0</v>
      </c>
      <c r="AB1873" s="1"/>
      <c r="AC1873" s="1" t="s">
        <v>36</v>
      </c>
      <c r="AD1873" s="1" t="s">
        <v>6910</v>
      </c>
      <c r="AE1873" s="1" t="s">
        <v>32</v>
      </c>
      <c r="AF1873" s="1" t="s">
        <v>33</v>
      </c>
      <c r="AG1873" s="1" t="s">
        <v>41</v>
      </c>
    </row>
    <row r="1874" spans="1:33">
      <c r="A1874" t="s">
        <v>6917</v>
      </c>
      <c r="B1874" t="s">
        <v>2983</v>
      </c>
      <c r="C1874" t="s">
        <v>314</v>
      </c>
      <c r="E1874" t="s">
        <v>6700</v>
      </c>
      <c r="F1874" t="s">
        <v>6255</v>
      </c>
      <c r="G1874">
        <v>56.08</v>
      </c>
      <c r="H1874">
        <v>56.08</v>
      </c>
      <c r="I1874" t="s">
        <v>179</v>
      </c>
      <c r="J1874" t="s">
        <v>180</v>
      </c>
      <c r="K1874" t="s">
        <v>31</v>
      </c>
      <c r="L1874" t="s">
        <v>32</v>
      </c>
      <c r="M1874" t="s">
        <v>33</v>
      </c>
      <c r="P1874" s="1" t="s">
        <v>6918</v>
      </c>
      <c r="Q1874" s="1" t="s">
        <v>6700</v>
      </c>
      <c r="R1874" s="1" t="s">
        <v>6700</v>
      </c>
      <c r="S1874" s="1"/>
      <c r="T1874" s="1" t="s">
        <v>314</v>
      </c>
      <c r="U1874" s="1"/>
      <c r="V1874" s="1">
        <v>56.08</v>
      </c>
      <c r="W1874" s="1">
        <v>56.08</v>
      </c>
      <c r="X1874" s="1" t="s">
        <v>35</v>
      </c>
      <c r="Y1874" s="1">
        <v>56080.0</v>
      </c>
      <c r="Z1874" s="1"/>
      <c r="AA1874" s="1">
        <v>56080.0</v>
      </c>
      <c r="AB1874" s="1"/>
      <c r="AC1874" s="1" t="s">
        <v>36</v>
      </c>
      <c r="AD1874" s="1" t="s">
        <v>6919</v>
      </c>
      <c r="AE1874" s="1" t="s">
        <v>32</v>
      </c>
      <c r="AF1874" s="1" t="s">
        <v>33</v>
      </c>
      <c r="AG1874" s="1" t="s">
        <v>180</v>
      </c>
    </row>
    <row r="1875" spans="1:33">
      <c r="A1875" t="s">
        <v>6920</v>
      </c>
      <c r="B1875" t="s">
        <v>6921</v>
      </c>
      <c r="C1875" t="s">
        <v>314</v>
      </c>
      <c r="E1875" t="s">
        <v>6700</v>
      </c>
      <c r="F1875" t="s">
        <v>6255</v>
      </c>
      <c r="G1875">
        <v>50.23</v>
      </c>
      <c r="H1875">
        <v>50.23</v>
      </c>
      <c r="I1875" t="s">
        <v>179</v>
      </c>
      <c r="J1875" t="s">
        <v>180</v>
      </c>
      <c r="K1875" t="s">
        <v>31</v>
      </c>
      <c r="L1875" t="s">
        <v>32</v>
      </c>
      <c r="M1875" t="s">
        <v>33</v>
      </c>
      <c r="P1875" s="1" t="s">
        <v>6922</v>
      </c>
      <c r="Q1875" s="1" t="s">
        <v>6700</v>
      </c>
      <c r="R1875" s="1" t="s">
        <v>6700</v>
      </c>
      <c r="S1875" s="1"/>
      <c r="T1875" s="1" t="s">
        <v>314</v>
      </c>
      <c r="U1875" s="1"/>
      <c r="V1875" s="1">
        <v>50.23</v>
      </c>
      <c r="W1875" s="1">
        <v>50.23</v>
      </c>
      <c r="X1875" s="1" t="s">
        <v>35</v>
      </c>
      <c r="Y1875" s="1">
        <v>50230.0</v>
      </c>
      <c r="Z1875" s="1"/>
      <c r="AA1875" s="1">
        <v>50230.0</v>
      </c>
      <c r="AB1875" s="1"/>
      <c r="AC1875" s="1" t="s">
        <v>36</v>
      </c>
      <c r="AD1875" s="1" t="s">
        <v>6923</v>
      </c>
      <c r="AE1875" s="1" t="s">
        <v>32</v>
      </c>
      <c r="AF1875" s="1" t="s">
        <v>33</v>
      </c>
      <c r="AG1875" s="1" t="s">
        <v>180</v>
      </c>
    </row>
    <row r="1876" spans="1:33">
      <c r="A1876" t="s">
        <v>6924</v>
      </c>
      <c r="B1876" t="s">
        <v>1772</v>
      </c>
      <c r="C1876" t="s">
        <v>1773</v>
      </c>
      <c r="D1876" t="s">
        <v>154</v>
      </c>
      <c r="E1876" t="s">
        <v>6700</v>
      </c>
      <c r="F1876" t="s">
        <v>6255</v>
      </c>
      <c r="G1876">
        <v>1.359</v>
      </c>
      <c r="H1876">
        <v>1.359</v>
      </c>
      <c r="I1876" t="s">
        <v>29</v>
      </c>
      <c r="J1876" t="s">
        <v>30</v>
      </c>
      <c r="K1876" t="s">
        <v>31</v>
      </c>
      <c r="L1876" t="s">
        <v>32</v>
      </c>
      <c r="M1876" t="s">
        <v>33</v>
      </c>
      <c r="P1876" s="1" t="s">
        <v>6925</v>
      </c>
      <c r="Q1876" s="1" t="s">
        <v>6700</v>
      </c>
      <c r="R1876" s="1" t="s">
        <v>6700</v>
      </c>
      <c r="S1876" s="1"/>
      <c r="T1876" s="1" t="s">
        <v>1773</v>
      </c>
      <c r="U1876" s="1"/>
      <c r="V1876" s="1">
        <v>1.359</v>
      </c>
      <c r="W1876" s="1">
        <v>1.359</v>
      </c>
      <c r="X1876" s="1" t="s">
        <v>35</v>
      </c>
      <c r="Y1876" s="1">
        <v>1359000.0</v>
      </c>
      <c r="Z1876" s="1"/>
      <c r="AA1876" s="1">
        <v>1215000.0</v>
      </c>
      <c r="AB1876" s="1">
        <v>144000</v>
      </c>
      <c r="AC1876" s="1" t="s">
        <v>36</v>
      </c>
      <c r="AD1876" s="1" t="s">
        <v>6926</v>
      </c>
      <c r="AE1876" s="1" t="s">
        <v>32</v>
      </c>
      <c r="AF1876" s="1" t="s">
        <v>33</v>
      </c>
      <c r="AG1876" s="1" t="s">
        <v>30</v>
      </c>
    </row>
    <row r="1877" spans="1:33">
      <c r="A1877" t="s">
        <v>6927</v>
      </c>
      <c r="B1877" t="s">
        <v>6928</v>
      </c>
      <c r="C1877" t="s">
        <v>314</v>
      </c>
      <c r="E1877" t="s">
        <v>6700</v>
      </c>
      <c r="F1877" t="s">
        <v>6255</v>
      </c>
      <c r="G1877">
        <v>25.49</v>
      </c>
      <c r="H1877">
        <v>25.49</v>
      </c>
      <c r="I1877" t="s">
        <v>179</v>
      </c>
      <c r="J1877" t="s">
        <v>180</v>
      </c>
      <c r="K1877" t="s">
        <v>31</v>
      </c>
      <c r="L1877" t="s">
        <v>32</v>
      </c>
      <c r="M1877" t="s">
        <v>33</v>
      </c>
      <c r="P1877" s="1" t="s">
        <v>6929</v>
      </c>
      <c r="Q1877" s="1" t="s">
        <v>6700</v>
      </c>
      <c r="R1877" s="1" t="s">
        <v>6700</v>
      </c>
      <c r="S1877" s="1"/>
      <c r="T1877" s="1" t="s">
        <v>314</v>
      </c>
      <c r="U1877" s="1"/>
      <c r="V1877" s="1">
        <v>25.49</v>
      </c>
      <c r="W1877" s="1">
        <v>25.49</v>
      </c>
      <c r="X1877" s="1" t="s">
        <v>35</v>
      </c>
      <c r="Y1877" s="1">
        <v>25490.0</v>
      </c>
      <c r="Z1877" s="1"/>
      <c r="AA1877" s="1">
        <v>25490.0</v>
      </c>
      <c r="AB1877" s="1"/>
      <c r="AC1877" s="1" t="s">
        <v>36</v>
      </c>
      <c r="AD1877" s="1" t="s">
        <v>6930</v>
      </c>
      <c r="AE1877" s="1" t="s">
        <v>32</v>
      </c>
      <c r="AF1877" s="1" t="s">
        <v>33</v>
      </c>
      <c r="AG1877" s="1" t="s">
        <v>180</v>
      </c>
    </row>
    <row r="1878" spans="1:33">
      <c r="A1878" t="s">
        <v>6931</v>
      </c>
      <c r="C1878" t="s">
        <v>2995</v>
      </c>
      <c r="E1878" t="s">
        <v>6700</v>
      </c>
      <c r="F1878" t="s">
        <v>6255</v>
      </c>
      <c r="G1878">
        <v>20.0</v>
      </c>
      <c r="H1878">
        <v>20.0</v>
      </c>
      <c r="I1878" t="s">
        <v>269</v>
      </c>
      <c r="J1878" t="s">
        <v>270</v>
      </c>
      <c r="K1878" t="s">
        <v>31</v>
      </c>
      <c r="L1878" t="s">
        <v>32</v>
      </c>
      <c r="M1878" t="s">
        <v>33</v>
      </c>
      <c r="P1878" s="1" t="s">
        <v>6932</v>
      </c>
      <c r="Q1878" s="1" t="s">
        <v>6700</v>
      </c>
      <c r="R1878" s="1" t="s">
        <v>6700</v>
      </c>
      <c r="S1878" s="1"/>
      <c r="T1878" s="1" t="s">
        <v>2995</v>
      </c>
      <c r="U1878" s="1"/>
      <c r="V1878" s="1">
        <v>20.0</v>
      </c>
      <c r="W1878" s="1">
        <v>20.0</v>
      </c>
      <c r="X1878" s="1" t="s">
        <v>35</v>
      </c>
      <c r="Y1878" s="1">
        <v>20000.0</v>
      </c>
      <c r="Z1878" s="1"/>
      <c r="AA1878" s="1">
        <v>20000.0</v>
      </c>
      <c r="AB1878" s="1"/>
      <c r="AC1878" s="1" t="s">
        <v>36</v>
      </c>
      <c r="AD1878" s="1" t="s">
        <v>6933</v>
      </c>
      <c r="AE1878" s="1" t="s">
        <v>32</v>
      </c>
      <c r="AF1878" s="1" t="s">
        <v>33</v>
      </c>
      <c r="AG1878" s="1" t="s">
        <v>270</v>
      </c>
    </row>
    <row r="1879" spans="1:33">
      <c r="A1879" t="s">
        <v>6934</v>
      </c>
      <c r="C1879" t="s">
        <v>2525</v>
      </c>
      <c r="E1879" t="s">
        <v>6700</v>
      </c>
      <c r="F1879" t="s">
        <v>6255</v>
      </c>
      <c r="G1879">
        <v>328.0</v>
      </c>
      <c r="H1879">
        <v>328.0</v>
      </c>
      <c r="I1879" t="s">
        <v>269</v>
      </c>
      <c r="J1879" t="s">
        <v>270</v>
      </c>
      <c r="K1879" t="s">
        <v>31</v>
      </c>
      <c r="L1879" t="s">
        <v>32</v>
      </c>
      <c r="M1879" t="s">
        <v>33</v>
      </c>
      <c r="P1879" s="1" t="s">
        <v>6935</v>
      </c>
      <c r="Q1879" s="1" t="s">
        <v>6700</v>
      </c>
      <c r="R1879" s="1" t="s">
        <v>6700</v>
      </c>
      <c r="S1879" s="1"/>
      <c r="T1879" s="1" t="s">
        <v>2525</v>
      </c>
      <c r="U1879" s="1"/>
      <c r="V1879" s="1">
        <v>328.0</v>
      </c>
      <c r="W1879" s="1">
        <v>328.0</v>
      </c>
      <c r="X1879" s="1" t="s">
        <v>35</v>
      </c>
      <c r="Y1879" s="1">
        <v>328000.0</v>
      </c>
      <c r="Z1879" s="1"/>
      <c r="AA1879" s="1">
        <v>328000.0</v>
      </c>
      <c r="AB1879" s="1"/>
      <c r="AC1879" s="1" t="s">
        <v>36</v>
      </c>
      <c r="AD1879" s="1" t="s">
        <v>6936</v>
      </c>
      <c r="AE1879" s="1" t="s">
        <v>32</v>
      </c>
      <c r="AF1879" s="1" t="s">
        <v>33</v>
      </c>
      <c r="AG1879" s="1" t="s">
        <v>270</v>
      </c>
    </row>
    <row r="1880" spans="1:33">
      <c r="A1880" t="s">
        <v>6937</v>
      </c>
      <c r="B1880" t="s">
        <v>6938</v>
      </c>
      <c r="C1880" t="s">
        <v>314</v>
      </c>
      <c r="E1880" t="s">
        <v>6700</v>
      </c>
      <c r="F1880" t="s">
        <v>6255</v>
      </c>
      <c r="G1880">
        <v>8.94</v>
      </c>
      <c r="H1880">
        <v>8.94</v>
      </c>
      <c r="I1880" t="s">
        <v>179</v>
      </c>
      <c r="J1880" t="s">
        <v>180</v>
      </c>
      <c r="K1880" t="s">
        <v>31</v>
      </c>
      <c r="L1880" t="s">
        <v>32</v>
      </c>
      <c r="M1880" t="s">
        <v>33</v>
      </c>
      <c r="P1880" s="1" t="s">
        <v>6939</v>
      </c>
      <c r="Q1880" s="1" t="s">
        <v>6700</v>
      </c>
      <c r="R1880" s="1" t="s">
        <v>6700</v>
      </c>
      <c r="S1880" s="1"/>
      <c r="T1880" s="1" t="s">
        <v>314</v>
      </c>
      <c r="U1880" s="1"/>
      <c r="V1880" s="1">
        <v>8.94</v>
      </c>
      <c r="W1880" s="1">
        <v>8.94</v>
      </c>
      <c r="X1880" s="1" t="s">
        <v>35</v>
      </c>
      <c r="Y1880" s="1">
        <v>8940.0</v>
      </c>
      <c r="Z1880" s="1"/>
      <c r="AA1880" s="1">
        <v>8940.0</v>
      </c>
      <c r="AB1880" s="1"/>
      <c r="AC1880" s="1" t="s">
        <v>36</v>
      </c>
      <c r="AD1880" s="1" t="s">
        <v>6940</v>
      </c>
      <c r="AE1880" s="1" t="s">
        <v>32</v>
      </c>
      <c r="AF1880" s="1" t="s">
        <v>33</v>
      </c>
      <c r="AG1880" s="1" t="s">
        <v>180</v>
      </c>
    </row>
    <row r="1881" spans="1:33">
      <c r="A1881" t="s">
        <v>6941</v>
      </c>
      <c r="C1881" t="s">
        <v>827</v>
      </c>
      <c r="D1881" t="s">
        <v>154</v>
      </c>
      <c r="E1881" t="s">
        <v>6700</v>
      </c>
      <c r="F1881" t="s">
        <v>6255</v>
      </c>
      <c r="G1881">
        <v>52.0</v>
      </c>
      <c r="H1881">
        <v>52.0</v>
      </c>
      <c r="I1881" t="s">
        <v>269</v>
      </c>
      <c r="J1881" t="s">
        <v>270</v>
      </c>
      <c r="K1881" t="s">
        <v>31</v>
      </c>
      <c r="L1881" t="s">
        <v>32</v>
      </c>
      <c r="M1881" t="s">
        <v>33</v>
      </c>
      <c r="P1881" s="1" t="s">
        <v>6942</v>
      </c>
      <c r="Q1881" s="1" t="s">
        <v>6700</v>
      </c>
      <c r="R1881" s="1" t="s">
        <v>6700</v>
      </c>
      <c r="S1881" s="1"/>
      <c r="T1881" s="1" t="s">
        <v>827</v>
      </c>
      <c r="U1881" s="1"/>
      <c r="V1881" s="1">
        <v>52.0</v>
      </c>
      <c r="W1881" s="1">
        <v>52.0</v>
      </c>
      <c r="X1881" s="1" t="s">
        <v>35</v>
      </c>
      <c r="Y1881" s="1">
        <v>52000.0</v>
      </c>
      <c r="Z1881" s="1"/>
      <c r="AA1881" s="1">
        <v>52000.0</v>
      </c>
      <c r="AB1881" s="1"/>
      <c r="AC1881" s="1" t="s">
        <v>36</v>
      </c>
      <c r="AD1881" s="1" t="s">
        <v>6943</v>
      </c>
      <c r="AE1881" s="1" t="s">
        <v>32</v>
      </c>
      <c r="AF1881" s="1" t="s">
        <v>33</v>
      </c>
      <c r="AG1881" s="1" t="s">
        <v>270</v>
      </c>
    </row>
    <row r="1882" spans="1:33">
      <c r="A1882" t="s">
        <v>6944</v>
      </c>
      <c r="B1882" t="s">
        <v>6858</v>
      </c>
      <c r="C1882" t="s">
        <v>268</v>
      </c>
      <c r="E1882" t="s">
        <v>6700</v>
      </c>
      <c r="F1882" t="s">
        <v>6255</v>
      </c>
      <c r="G1882">
        <v>40.25</v>
      </c>
      <c r="H1882">
        <v>40.25</v>
      </c>
      <c r="I1882" t="s">
        <v>269</v>
      </c>
      <c r="J1882" t="s">
        <v>270</v>
      </c>
      <c r="K1882" t="s">
        <v>31</v>
      </c>
      <c r="L1882" t="s">
        <v>32</v>
      </c>
      <c r="M1882" t="s">
        <v>33</v>
      </c>
      <c r="P1882" s="1" t="s">
        <v>6945</v>
      </c>
      <c r="Q1882" s="1" t="s">
        <v>6700</v>
      </c>
      <c r="R1882" s="1" t="s">
        <v>6700</v>
      </c>
      <c r="S1882" s="1"/>
      <c r="T1882" s="1" t="s">
        <v>268</v>
      </c>
      <c r="U1882" s="1"/>
      <c r="V1882" s="1">
        <v>40.25</v>
      </c>
      <c r="W1882" s="1">
        <v>40.25</v>
      </c>
      <c r="X1882" s="1" t="s">
        <v>35</v>
      </c>
      <c r="Y1882" s="1">
        <v>40250.0</v>
      </c>
      <c r="Z1882" s="1"/>
      <c r="AA1882" s="1">
        <v>40250.0</v>
      </c>
      <c r="AB1882" s="1"/>
      <c r="AC1882" s="1" t="s">
        <v>36</v>
      </c>
      <c r="AD1882" s="1" t="s">
        <v>6946</v>
      </c>
      <c r="AE1882" s="1" t="s">
        <v>32</v>
      </c>
      <c r="AF1882" s="1" t="s">
        <v>33</v>
      </c>
      <c r="AG1882" s="1" t="s">
        <v>270</v>
      </c>
    </row>
    <row r="1883" spans="1:33">
      <c r="A1883" t="s">
        <v>6947</v>
      </c>
      <c r="B1883" t="s">
        <v>1969</v>
      </c>
      <c r="C1883" t="s">
        <v>569</v>
      </c>
      <c r="E1883" t="s">
        <v>6700</v>
      </c>
      <c r="F1883" t="s">
        <v>6255</v>
      </c>
      <c r="G1883">
        <v>22.35</v>
      </c>
      <c r="H1883">
        <v>22.35</v>
      </c>
      <c r="I1883" t="s">
        <v>570</v>
      </c>
      <c r="J1883" t="s">
        <v>571</v>
      </c>
      <c r="K1883" t="s">
        <v>31</v>
      </c>
      <c r="L1883" t="s">
        <v>32</v>
      </c>
      <c r="M1883" t="s">
        <v>33</v>
      </c>
      <c r="P1883" s="1" t="s">
        <v>6948</v>
      </c>
      <c r="Q1883" s="1" t="s">
        <v>6700</v>
      </c>
      <c r="R1883" s="1" t="s">
        <v>6700</v>
      </c>
      <c r="S1883" s="1"/>
      <c r="T1883" s="1" t="s">
        <v>569</v>
      </c>
      <c r="U1883" s="1"/>
      <c r="V1883" s="1">
        <v>22.35</v>
      </c>
      <c r="W1883" s="1">
        <v>22.35</v>
      </c>
      <c r="X1883" s="1" t="s">
        <v>35</v>
      </c>
      <c r="Y1883" s="1">
        <v>22350.0</v>
      </c>
      <c r="Z1883" s="1"/>
      <c r="AA1883" s="1">
        <v>22350.0</v>
      </c>
      <c r="AB1883" s="1"/>
      <c r="AC1883" s="1" t="s">
        <v>36</v>
      </c>
      <c r="AD1883" s="1" t="s">
        <v>6949</v>
      </c>
      <c r="AE1883" s="1" t="s">
        <v>32</v>
      </c>
      <c r="AF1883" s="1" t="s">
        <v>33</v>
      </c>
      <c r="AG1883" s="1" t="s">
        <v>571</v>
      </c>
    </row>
    <row r="1884" spans="1:33">
      <c r="A1884" t="s">
        <v>6950</v>
      </c>
      <c r="B1884" t="s">
        <v>485</v>
      </c>
      <c r="C1884" t="s">
        <v>73</v>
      </c>
      <c r="E1884" t="s">
        <v>6700</v>
      </c>
      <c r="F1884" t="s">
        <v>6255</v>
      </c>
      <c r="G1884">
        <v>183.91</v>
      </c>
      <c r="H1884">
        <v>183.91</v>
      </c>
      <c r="I1884" t="s">
        <v>40</v>
      </c>
      <c r="J1884" t="s">
        <v>41</v>
      </c>
      <c r="K1884" t="s">
        <v>31</v>
      </c>
      <c r="L1884" t="s">
        <v>32</v>
      </c>
      <c r="M1884" t="s">
        <v>33</v>
      </c>
      <c r="P1884" s="1" t="s">
        <v>6951</v>
      </c>
      <c r="Q1884" s="1" t="s">
        <v>6700</v>
      </c>
      <c r="R1884" s="1" t="s">
        <v>6133</v>
      </c>
      <c r="S1884" s="1"/>
      <c r="T1884" s="1" t="s">
        <v>75</v>
      </c>
      <c r="U1884" s="1" t="s">
        <v>76</v>
      </c>
      <c r="V1884" s="1">
        <v>183.91</v>
      </c>
      <c r="W1884" s="1">
        <v>183.91</v>
      </c>
      <c r="X1884" s="1" t="s">
        <v>35</v>
      </c>
      <c r="Y1884" s="1">
        <v>183910.0</v>
      </c>
      <c r="Z1884" s="1"/>
      <c r="AA1884" s="1">
        <v>183910.0</v>
      </c>
      <c r="AB1884" s="1"/>
      <c r="AC1884" s="1" t="s">
        <v>36</v>
      </c>
      <c r="AD1884" s="1" t="s">
        <v>6952</v>
      </c>
      <c r="AE1884" s="1" t="s">
        <v>32</v>
      </c>
      <c r="AF1884" s="1" t="s">
        <v>33</v>
      </c>
      <c r="AG1884" s="1" t="s">
        <v>41</v>
      </c>
    </row>
    <row r="1885" spans="1:33">
      <c r="A1885" t="s">
        <v>6953</v>
      </c>
      <c r="C1885" t="s">
        <v>2101</v>
      </c>
      <c r="E1885" t="s">
        <v>6700</v>
      </c>
      <c r="F1885" t="s">
        <v>6255</v>
      </c>
      <c r="G1885">
        <v>410.0</v>
      </c>
      <c r="H1885">
        <v>410.0</v>
      </c>
      <c r="I1885" t="s">
        <v>269</v>
      </c>
      <c r="J1885" t="s">
        <v>270</v>
      </c>
      <c r="K1885" t="s">
        <v>31</v>
      </c>
      <c r="L1885" t="s">
        <v>32</v>
      </c>
      <c r="M1885" t="s">
        <v>33</v>
      </c>
      <c r="P1885" s="1" t="s">
        <v>6954</v>
      </c>
      <c r="Q1885" s="1" t="s">
        <v>6700</v>
      </c>
      <c r="R1885" s="1" t="s">
        <v>6700</v>
      </c>
      <c r="S1885" s="1"/>
      <c r="T1885" s="1" t="s">
        <v>2103</v>
      </c>
      <c r="U1885" s="1" t="s">
        <v>2104</v>
      </c>
      <c r="V1885" s="1">
        <v>410.0</v>
      </c>
      <c r="W1885" s="1">
        <v>410.0</v>
      </c>
      <c r="X1885" s="1" t="s">
        <v>35</v>
      </c>
      <c r="Y1885" s="1">
        <v>410000.0</v>
      </c>
      <c r="Z1885" s="1"/>
      <c r="AA1885" s="1">
        <v>410000.0</v>
      </c>
      <c r="AB1885" s="1"/>
      <c r="AC1885" s="1" t="s">
        <v>36</v>
      </c>
      <c r="AD1885" s="1" t="s">
        <v>6955</v>
      </c>
      <c r="AE1885" s="1" t="s">
        <v>32</v>
      </c>
      <c r="AF1885" s="1" t="s">
        <v>33</v>
      </c>
      <c r="AG1885" s="1" t="s">
        <v>270</v>
      </c>
    </row>
    <row r="1886" spans="1:33">
      <c r="A1886" t="s">
        <v>6956</v>
      </c>
      <c r="B1886" t="s">
        <v>5202</v>
      </c>
      <c r="C1886" t="s">
        <v>314</v>
      </c>
      <c r="E1886" t="s">
        <v>6700</v>
      </c>
      <c r="F1886" t="s">
        <v>6255</v>
      </c>
      <c r="G1886">
        <v>45.0</v>
      </c>
      <c r="H1886">
        <v>45.0</v>
      </c>
      <c r="I1886" t="s">
        <v>179</v>
      </c>
      <c r="J1886" t="s">
        <v>180</v>
      </c>
      <c r="K1886" t="s">
        <v>31</v>
      </c>
      <c r="L1886" t="s">
        <v>32</v>
      </c>
      <c r="M1886" t="s">
        <v>33</v>
      </c>
      <c r="P1886" s="1" t="s">
        <v>6957</v>
      </c>
      <c r="Q1886" s="1" t="s">
        <v>6700</v>
      </c>
      <c r="R1886" s="1" t="s">
        <v>6700</v>
      </c>
      <c r="S1886" s="1"/>
      <c r="T1886" s="1" t="s">
        <v>314</v>
      </c>
      <c r="U1886" s="1"/>
      <c r="V1886" s="1">
        <v>45.0</v>
      </c>
      <c r="W1886" s="1">
        <v>45.0</v>
      </c>
      <c r="X1886" s="1" t="s">
        <v>35</v>
      </c>
      <c r="Y1886" s="1">
        <v>45000.0</v>
      </c>
      <c r="Z1886" s="1"/>
      <c r="AA1886" s="1">
        <v>45000.0</v>
      </c>
      <c r="AB1886" s="1"/>
      <c r="AC1886" s="1" t="s">
        <v>36</v>
      </c>
      <c r="AD1886" s="1" t="s">
        <v>6958</v>
      </c>
      <c r="AE1886" s="1" t="s">
        <v>32</v>
      </c>
      <c r="AF1886" s="1" t="s">
        <v>33</v>
      </c>
      <c r="AG1886" s="1" t="s">
        <v>180</v>
      </c>
    </row>
    <row r="1887" spans="1:33">
      <c r="A1887" t="s">
        <v>6959</v>
      </c>
      <c r="C1887" t="s">
        <v>1464</v>
      </c>
      <c r="E1887" t="s">
        <v>6700</v>
      </c>
      <c r="F1887" t="s">
        <v>6255</v>
      </c>
      <c r="G1887">
        <v>569.65</v>
      </c>
      <c r="H1887">
        <v>569.65</v>
      </c>
      <c r="I1887" t="s">
        <v>269</v>
      </c>
      <c r="J1887" t="s">
        <v>270</v>
      </c>
      <c r="K1887" t="s">
        <v>31</v>
      </c>
      <c r="L1887" t="s">
        <v>32</v>
      </c>
      <c r="M1887" t="s">
        <v>33</v>
      </c>
      <c r="P1887" s="1" t="s">
        <v>6960</v>
      </c>
      <c r="Q1887" s="1" t="s">
        <v>6700</v>
      </c>
      <c r="R1887" s="1" t="s">
        <v>6700</v>
      </c>
      <c r="S1887" s="1"/>
      <c r="T1887" s="1" t="s">
        <v>1464</v>
      </c>
      <c r="U1887" s="1"/>
      <c r="V1887" s="1">
        <v>569.65</v>
      </c>
      <c r="W1887" s="1">
        <v>569.65</v>
      </c>
      <c r="X1887" s="1" t="s">
        <v>35</v>
      </c>
      <c r="Y1887" s="1">
        <v>569650.0</v>
      </c>
      <c r="Z1887" s="1"/>
      <c r="AA1887" s="1">
        <v>569650.0</v>
      </c>
      <c r="AB1887" s="1"/>
      <c r="AC1887" s="1" t="s">
        <v>36</v>
      </c>
      <c r="AD1887" s="1" t="s">
        <v>6961</v>
      </c>
      <c r="AE1887" s="1" t="s">
        <v>32</v>
      </c>
      <c r="AF1887" s="1" t="s">
        <v>33</v>
      </c>
      <c r="AG1887" s="1" t="s">
        <v>270</v>
      </c>
    </row>
    <row r="1888" spans="1:33">
      <c r="A1888" t="s">
        <v>6962</v>
      </c>
      <c r="C1888" t="s">
        <v>558</v>
      </c>
      <c r="D1888" t="s">
        <v>154</v>
      </c>
      <c r="E1888" t="s">
        <v>6700</v>
      </c>
      <c r="F1888" t="s">
        <v>6255</v>
      </c>
      <c r="G1888">
        <v>486.0</v>
      </c>
      <c r="H1888">
        <v>486.0</v>
      </c>
      <c r="I1888" t="s">
        <v>269</v>
      </c>
      <c r="J1888" t="s">
        <v>270</v>
      </c>
      <c r="K1888" t="s">
        <v>31</v>
      </c>
      <c r="L1888" t="s">
        <v>32</v>
      </c>
      <c r="M1888" t="s">
        <v>33</v>
      </c>
      <c r="P1888" s="1" t="s">
        <v>6963</v>
      </c>
      <c r="Q1888" s="1" t="s">
        <v>6700</v>
      </c>
      <c r="R1888" s="1" t="s">
        <v>6700</v>
      </c>
      <c r="S1888" s="1"/>
      <c r="T1888" s="1" t="s">
        <v>560</v>
      </c>
      <c r="U1888" s="1" t="s">
        <v>561</v>
      </c>
      <c r="V1888" s="1">
        <v>486.0</v>
      </c>
      <c r="W1888" s="1">
        <v>486.0</v>
      </c>
      <c r="X1888" s="1" t="s">
        <v>35</v>
      </c>
      <c r="Y1888" s="1">
        <v>486000.0</v>
      </c>
      <c r="Z1888" s="1"/>
      <c r="AA1888" s="1">
        <v>486000.0</v>
      </c>
      <c r="AB1888" s="1"/>
      <c r="AC1888" s="1" t="s">
        <v>36</v>
      </c>
      <c r="AD1888" s="1" t="s">
        <v>6964</v>
      </c>
      <c r="AE1888" s="1" t="s">
        <v>32</v>
      </c>
      <c r="AF1888" s="1" t="s">
        <v>33</v>
      </c>
      <c r="AG1888" s="1" t="s">
        <v>270</v>
      </c>
    </row>
    <row r="1889" spans="1:33">
      <c r="A1889" t="s">
        <v>6965</v>
      </c>
      <c r="B1889" t="s">
        <v>6966</v>
      </c>
      <c r="C1889" t="s">
        <v>47</v>
      </c>
      <c r="E1889" t="s">
        <v>6700</v>
      </c>
      <c r="F1889" t="s">
        <v>6255</v>
      </c>
      <c r="G1889">
        <v>68.57</v>
      </c>
      <c r="H1889">
        <v>68.57</v>
      </c>
      <c r="I1889" t="s">
        <v>48</v>
      </c>
      <c r="J1889" t="s">
        <v>49</v>
      </c>
      <c r="K1889" t="s">
        <v>31</v>
      </c>
      <c r="L1889" t="s">
        <v>32</v>
      </c>
      <c r="M1889" t="s">
        <v>33</v>
      </c>
      <c r="P1889" s="1" t="s">
        <v>6967</v>
      </c>
      <c r="Q1889" s="1" t="s">
        <v>6700</v>
      </c>
      <c r="R1889" s="1" t="s">
        <v>6700</v>
      </c>
      <c r="S1889" s="1"/>
      <c r="T1889" s="1" t="s">
        <v>47</v>
      </c>
      <c r="U1889" s="1"/>
      <c r="V1889" s="1">
        <v>68.57</v>
      </c>
      <c r="W1889" s="1">
        <v>68.57</v>
      </c>
      <c r="X1889" s="1" t="s">
        <v>35</v>
      </c>
      <c r="Y1889" s="1">
        <v>68570.0</v>
      </c>
      <c r="Z1889" s="1"/>
      <c r="AA1889" s="1">
        <v>68570.0</v>
      </c>
      <c r="AB1889" s="1"/>
      <c r="AC1889" s="1" t="s">
        <v>36</v>
      </c>
      <c r="AD1889" s="1" t="s">
        <v>6968</v>
      </c>
      <c r="AE1889" s="1" t="s">
        <v>32</v>
      </c>
      <c r="AF1889" s="1" t="s">
        <v>33</v>
      </c>
      <c r="AG1889" s="1" t="s">
        <v>49</v>
      </c>
    </row>
    <row r="1890" spans="1:33">
      <c r="A1890" t="s">
        <v>6969</v>
      </c>
      <c r="C1890" t="s">
        <v>1998</v>
      </c>
      <c r="E1890" t="s">
        <v>6700</v>
      </c>
      <c r="F1890" t="s">
        <v>6255</v>
      </c>
      <c r="G1890">
        <v>156.0</v>
      </c>
      <c r="H1890">
        <v>156.0</v>
      </c>
      <c r="I1890" t="s">
        <v>269</v>
      </c>
      <c r="J1890" t="s">
        <v>270</v>
      </c>
      <c r="K1890" t="s">
        <v>31</v>
      </c>
      <c r="L1890" t="s">
        <v>32</v>
      </c>
      <c r="M1890" t="s">
        <v>33</v>
      </c>
      <c r="P1890" s="1" t="s">
        <v>6970</v>
      </c>
      <c r="Q1890" s="1" t="s">
        <v>6700</v>
      </c>
      <c r="R1890" s="1" t="s">
        <v>6700</v>
      </c>
      <c r="S1890" s="1"/>
      <c r="T1890" s="1" t="s">
        <v>2000</v>
      </c>
      <c r="U1890" s="1" t="s">
        <v>2001</v>
      </c>
      <c r="V1890" s="1">
        <v>156.0</v>
      </c>
      <c r="W1890" s="1">
        <v>156.0</v>
      </c>
      <c r="X1890" s="1" t="s">
        <v>35</v>
      </c>
      <c r="Y1890" s="1">
        <v>156000.0</v>
      </c>
      <c r="Z1890" s="1"/>
      <c r="AA1890" s="1">
        <v>156000.0</v>
      </c>
      <c r="AB1890" s="1"/>
      <c r="AC1890" s="1" t="s">
        <v>36</v>
      </c>
      <c r="AD1890" s="1" t="s">
        <v>6971</v>
      </c>
      <c r="AE1890" s="1" t="s">
        <v>32</v>
      </c>
      <c r="AF1890" s="1" t="s">
        <v>33</v>
      </c>
      <c r="AG1890" s="1" t="s">
        <v>270</v>
      </c>
    </row>
    <row r="1891" spans="1:33">
      <c r="A1891" t="s">
        <v>6972</v>
      </c>
      <c r="B1891" t="s">
        <v>6973</v>
      </c>
      <c r="C1891" t="s">
        <v>73</v>
      </c>
      <c r="E1891" t="s">
        <v>6700</v>
      </c>
      <c r="F1891" t="s">
        <v>6255</v>
      </c>
      <c r="G1891">
        <v>3.0</v>
      </c>
      <c r="H1891">
        <v>3.0</v>
      </c>
      <c r="I1891" t="s">
        <v>40</v>
      </c>
      <c r="J1891" t="s">
        <v>41</v>
      </c>
      <c r="K1891" t="s">
        <v>31</v>
      </c>
      <c r="L1891" t="s">
        <v>32</v>
      </c>
      <c r="M1891" t="s">
        <v>33</v>
      </c>
      <c r="P1891" s="1" t="s">
        <v>6974</v>
      </c>
      <c r="Q1891" s="1" t="s">
        <v>6700</v>
      </c>
      <c r="R1891" s="1" t="s">
        <v>6133</v>
      </c>
      <c r="S1891" s="1"/>
      <c r="T1891" s="1" t="s">
        <v>75</v>
      </c>
      <c r="U1891" s="1" t="s">
        <v>76</v>
      </c>
      <c r="V1891" s="1">
        <v>3.0</v>
      </c>
      <c r="W1891" s="1">
        <v>3.0</v>
      </c>
      <c r="X1891" s="1" t="s">
        <v>35</v>
      </c>
      <c r="Y1891" s="1">
        <v>3000.0</v>
      </c>
      <c r="Z1891" s="1"/>
      <c r="AA1891" s="1">
        <v>3000.0</v>
      </c>
      <c r="AB1891" s="1"/>
      <c r="AC1891" s="1" t="s">
        <v>36</v>
      </c>
      <c r="AD1891" s="1" t="s">
        <v>6975</v>
      </c>
      <c r="AE1891" s="1" t="s">
        <v>32</v>
      </c>
      <c r="AF1891" s="1" t="s">
        <v>33</v>
      </c>
      <c r="AG1891" s="1" t="s">
        <v>41</v>
      </c>
    </row>
    <row r="1892" spans="1:33">
      <c r="A1892" t="s">
        <v>6976</v>
      </c>
      <c r="C1892" t="s">
        <v>294</v>
      </c>
      <c r="E1892" t="s">
        <v>6700</v>
      </c>
      <c r="F1892" t="s">
        <v>6255</v>
      </c>
      <c r="G1892">
        <v>336.0</v>
      </c>
      <c r="H1892">
        <v>336.0</v>
      </c>
      <c r="I1892" t="s">
        <v>48</v>
      </c>
      <c r="J1892" t="s">
        <v>49</v>
      </c>
      <c r="K1892" t="s">
        <v>31</v>
      </c>
      <c r="L1892" t="s">
        <v>32</v>
      </c>
      <c r="M1892" t="s">
        <v>33</v>
      </c>
      <c r="P1892" s="1" t="s">
        <v>6977</v>
      </c>
      <c r="Q1892" s="1" t="s">
        <v>6700</v>
      </c>
      <c r="R1892" s="1" t="s">
        <v>6700</v>
      </c>
      <c r="S1892" s="1"/>
      <c r="T1892" s="1" t="s">
        <v>294</v>
      </c>
      <c r="U1892" s="1"/>
      <c r="V1892" s="1">
        <v>336.0</v>
      </c>
      <c r="W1892" s="1">
        <v>336.0</v>
      </c>
      <c r="X1892" s="1" t="s">
        <v>35</v>
      </c>
      <c r="Y1892" s="1">
        <v>336000.0</v>
      </c>
      <c r="Z1892" s="1"/>
      <c r="AA1892" s="1">
        <v>336000.0</v>
      </c>
      <c r="AB1892" s="1"/>
      <c r="AC1892" s="1" t="s">
        <v>36</v>
      </c>
      <c r="AD1892" s="1" t="s">
        <v>6955</v>
      </c>
      <c r="AE1892" s="1" t="s">
        <v>32</v>
      </c>
      <c r="AF1892" s="1" t="s">
        <v>33</v>
      </c>
      <c r="AG1892" s="1" t="s">
        <v>49</v>
      </c>
    </row>
    <row r="1893" spans="1:33">
      <c r="A1893" t="s">
        <v>6978</v>
      </c>
      <c r="C1893" t="s">
        <v>1420</v>
      </c>
      <c r="E1893" t="s">
        <v>6700</v>
      </c>
      <c r="F1893" t="s">
        <v>6255</v>
      </c>
      <c r="G1893">
        <v>320.0</v>
      </c>
      <c r="H1893">
        <v>320.0</v>
      </c>
      <c r="I1893" t="s">
        <v>40</v>
      </c>
      <c r="J1893" t="s">
        <v>41</v>
      </c>
      <c r="K1893" t="s">
        <v>31</v>
      </c>
      <c r="L1893" t="s">
        <v>32</v>
      </c>
      <c r="M1893" t="s">
        <v>33</v>
      </c>
      <c r="P1893" s="1" t="s">
        <v>6979</v>
      </c>
      <c r="Q1893" s="1" t="s">
        <v>6700</v>
      </c>
      <c r="R1893" s="1" t="s">
        <v>6133</v>
      </c>
      <c r="S1893" s="1"/>
      <c r="T1893" s="1" t="s">
        <v>1420</v>
      </c>
      <c r="U1893" s="1"/>
      <c r="V1893" s="1">
        <v>320.0</v>
      </c>
      <c r="W1893" s="1">
        <v>320.0</v>
      </c>
      <c r="X1893" s="1" t="s">
        <v>35</v>
      </c>
      <c r="Y1893" s="1">
        <v>320000.0</v>
      </c>
      <c r="Z1893" s="1"/>
      <c r="AA1893" s="1">
        <v>320000.0</v>
      </c>
      <c r="AB1893" s="1"/>
      <c r="AC1893" s="1" t="s">
        <v>36</v>
      </c>
      <c r="AD1893" s="1" t="s">
        <v>6980</v>
      </c>
      <c r="AE1893" s="1" t="s">
        <v>32</v>
      </c>
      <c r="AF1893" s="1" t="s">
        <v>33</v>
      </c>
      <c r="AG1893" s="1" t="s">
        <v>41</v>
      </c>
    </row>
    <row r="1894" spans="1:33">
      <c r="A1894" t="s">
        <v>6981</v>
      </c>
      <c r="B1894" t="s">
        <v>6982</v>
      </c>
      <c r="C1894" t="s">
        <v>6983</v>
      </c>
      <c r="D1894" t="s">
        <v>114</v>
      </c>
      <c r="E1894" t="s">
        <v>6700</v>
      </c>
      <c r="F1894" t="s">
        <v>6255</v>
      </c>
      <c r="G1894">
        <v>53.98</v>
      </c>
      <c r="H1894">
        <v>53.98</v>
      </c>
      <c r="I1894" t="s">
        <v>59</v>
      </c>
      <c r="J1894" t="s">
        <v>60</v>
      </c>
      <c r="K1894" t="s">
        <v>31</v>
      </c>
      <c r="L1894" t="s">
        <v>32</v>
      </c>
      <c r="M1894" t="s">
        <v>33</v>
      </c>
      <c r="P1894" s="1" t="s">
        <v>6984</v>
      </c>
      <c r="Q1894" s="1" t="s">
        <v>6700</v>
      </c>
      <c r="R1894" s="1" t="s">
        <v>6700</v>
      </c>
      <c r="S1894" s="1"/>
      <c r="T1894" s="1" t="s">
        <v>6983</v>
      </c>
      <c r="U1894" s="1"/>
      <c r="V1894" s="1">
        <v>53.98</v>
      </c>
      <c r="W1894" s="1">
        <v>53.98</v>
      </c>
      <c r="X1894" s="1" t="s">
        <v>35</v>
      </c>
      <c r="Y1894" s="1">
        <v>53980.0</v>
      </c>
      <c r="Z1894" s="1"/>
      <c r="AA1894" s="1">
        <v>53980.0</v>
      </c>
      <c r="AB1894" s="1"/>
      <c r="AC1894" s="1" t="s">
        <v>36</v>
      </c>
      <c r="AD1894" s="1" t="s">
        <v>6891</v>
      </c>
      <c r="AE1894" s="1" t="s">
        <v>32</v>
      </c>
      <c r="AF1894" s="1" t="s">
        <v>33</v>
      </c>
      <c r="AG1894" s="1" t="s">
        <v>60</v>
      </c>
    </row>
    <row r="1895" spans="1:33">
      <c r="A1895" t="s">
        <v>6985</v>
      </c>
      <c r="C1895" t="s">
        <v>6986</v>
      </c>
      <c r="D1895" t="s">
        <v>114</v>
      </c>
      <c r="E1895" t="s">
        <v>6700</v>
      </c>
      <c r="F1895" t="s">
        <v>6255</v>
      </c>
      <c r="G1895">
        <v>135.0</v>
      </c>
      <c r="H1895">
        <v>135.0</v>
      </c>
      <c r="I1895" t="s">
        <v>48</v>
      </c>
      <c r="J1895" t="s">
        <v>49</v>
      </c>
      <c r="K1895" t="s">
        <v>31</v>
      </c>
      <c r="L1895" t="s">
        <v>32</v>
      </c>
      <c r="M1895" t="s">
        <v>33</v>
      </c>
      <c r="P1895" s="1" t="s">
        <v>6987</v>
      </c>
      <c r="Q1895" s="1" t="s">
        <v>6700</v>
      </c>
      <c r="R1895" s="1" t="s">
        <v>6700</v>
      </c>
      <c r="S1895" s="1"/>
      <c r="T1895" s="1" t="s">
        <v>6986</v>
      </c>
      <c r="U1895" s="1"/>
      <c r="V1895" s="1">
        <v>135.0</v>
      </c>
      <c r="W1895" s="1">
        <v>135.0</v>
      </c>
      <c r="X1895" s="1" t="s">
        <v>35</v>
      </c>
      <c r="Y1895" s="1">
        <v>135000.0</v>
      </c>
      <c r="Z1895" s="1"/>
      <c r="AA1895" s="1">
        <v>135000.0</v>
      </c>
      <c r="AB1895" s="1"/>
      <c r="AC1895" s="1" t="s">
        <v>36</v>
      </c>
      <c r="AD1895" s="1" t="s">
        <v>6980</v>
      </c>
      <c r="AE1895" s="1" t="s">
        <v>32</v>
      </c>
      <c r="AF1895" s="1" t="s">
        <v>33</v>
      </c>
      <c r="AG1895" s="1" t="s">
        <v>49</v>
      </c>
    </row>
    <row r="1896" spans="1:33">
      <c r="A1896" t="s">
        <v>6988</v>
      </c>
      <c r="B1896" t="s">
        <v>57</v>
      </c>
      <c r="C1896" t="s">
        <v>58</v>
      </c>
      <c r="E1896" t="s">
        <v>6700</v>
      </c>
      <c r="F1896" t="s">
        <v>6255</v>
      </c>
      <c r="G1896">
        <v>32.0</v>
      </c>
      <c r="H1896">
        <v>32.0</v>
      </c>
      <c r="I1896" t="s">
        <v>59</v>
      </c>
      <c r="J1896" t="s">
        <v>60</v>
      </c>
      <c r="K1896" t="s">
        <v>31</v>
      </c>
      <c r="L1896" t="s">
        <v>32</v>
      </c>
      <c r="M1896" t="s">
        <v>33</v>
      </c>
      <c r="P1896" s="1" t="s">
        <v>6989</v>
      </c>
      <c r="Q1896" s="1" t="s">
        <v>6700</v>
      </c>
      <c r="R1896" s="1" t="s">
        <v>6700</v>
      </c>
      <c r="S1896" s="1"/>
      <c r="T1896" s="1" t="s">
        <v>58</v>
      </c>
      <c r="U1896" s="1"/>
      <c r="V1896" s="1">
        <v>32.0</v>
      </c>
      <c r="W1896" s="1">
        <v>32.0</v>
      </c>
      <c r="X1896" s="1" t="s">
        <v>35</v>
      </c>
      <c r="Y1896" s="1">
        <v>32000.0</v>
      </c>
      <c r="Z1896" s="1"/>
      <c r="AA1896" s="1">
        <v>32000.0</v>
      </c>
      <c r="AB1896" s="1"/>
      <c r="AC1896" s="1" t="s">
        <v>36</v>
      </c>
      <c r="AD1896" s="1" t="s">
        <v>6990</v>
      </c>
      <c r="AE1896" s="1" t="s">
        <v>32</v>
      </c>
      <c r="AF1896" s="1" t="s">
        <v>33</v>
      </c>
      <c r="AG1896" s="1" t="s">
        <v>60</v>
      </c>
    </row>
    <row r="1897" spans="1:33">
      <c r="A1897" t="s">
        <v>6991</v>
      </c>
      <c r="B1897" t="s">
        <v>215</v>
      </c>
      <c r="C1897" t="s">
        <v>125</v>
      </c>
      <c r="E1897" t="s">
        <v>6700</v>
      </c>
      <c r="F1897" t="s">
        <v>6255</v>
      </c>
      <c r="G1897">
        <v>38.98</v>
      </c>
      <c r="H1897">
        <v>38.98</v>
      </c>
      <c r="I1897" t="s">
        <v>126</v>
      </c>
      <c r="J1897" t="s">
        <v>127</v>
      </c>
      <c r="K1897" t="s">
        <v>31</v>
      </c>
      <c r="L1897" t="s">
        <v>32</v>
      </c>
      <c r="M1897" t="s">
        <v>33</v>
      </c>
      <c r="P1897" s="1" t="s">
        <v>6992</v>
      </c>
      <c r="Q1897" s="1" t="s">
        <v>6700</v>
      </c>
      <c r="R1897" s="1" t="s">
        <v>6700</v>
      </c>
      <c r="S1897" s="1"/>
      <c r="T1897" s="1" t="s">
        <v>125</v>
      </c>
      <c r="U1897" s="1"/>
      <c r="V1897" s="1">
        <v>38.98</v>
      </c>
      <c r="W1897" s="1">
        <v>38.98</v>
      </c>
      <c r="X1897" s="1" t="s">
        <v>35</v>
      </c>
      <c r="Y1897" s="1">
        <v>38980.0</v>
      </c>
      <c r="Z1897" s="1"/>
      <c r="AA1897" s="1">
        <v>38980.0</v>
      </c>
      <c r="AB1897" s="1"/>
      <c r="AC1897" s="1" t="s">
        <v>36</v>
      </c>
      <c r="AD1897" s="1" t="s">
        <v>6993</v>
      </c>
      <c r="AE1897" s="1" t="s">
        <v>32</v>
      </c>
      <c r="AF1897" s="1" t="s">
        <v>33</v>
      </c>
      <c r="AG1897" s="1" t="s">
        <v>127</v>
      </c>
    </row>
    <row r="1898" spans="1:33">
      <c r="A1898" t="s">
        <v>6994</v>
      </c>
      <c r="B1898" t="s">
        <v>57</v>
      </c>
      <c r="C1898" t="s">
        <v>58</v>
      </c>
      <c r="E1898" t="s">
        <v>6700</v>
      </c>
      <c r="F1898" t="s">
        <v>6255</v>
      </c>
      <c r="G1898">
        <v>14.9</v>
      </c>
      <c r="H1898">
        <v>14.9</v>
      </c>
      <c r="I1898" t="s">
        <v>59</v>
      </c>
      <c r="J1898" t="s">
        <v>60</v>
      </c>
      <c r="K1898" t="s">
        <v>31</v>
      </c>
      <c r="L1898" t="s">
        <v>32</v>
      </c>
      <c r="M1898" t="s">
        <v>33</v>
      </c>
      <c r="P1898" s="1" t="s">
        <v>6995</v>
      </c>
      <c r="Q1898" s="1" t="s">
        <v>6700</v>
      </c>
      <c r="R1898" s="1" t="s">
        <v>6700</v>
      </c>
      <c r="S1898" s="1"/>
      <c r="T1898" s="1" t="s">
        <v>58</v>
      </c>
      <c r="U1898" s="1"/>
      <c r="V1898" s="1">
        <v>14.9</v>
      </c>
      <c r="W1898" s="1">
        <v>14.9</v>
      </c>
      <c r="X1898" s="1" t="s">
        <v>35</v>
      </c>
      <c r="Y1898" s="1">
        <v>14900.0</v>
      </c>
      <c r="Z1898" s="1"/>
      <c r="AA1898" s="1">
        <v>14900.0</v>
      </c>
      <c r="AB1898" s="1"/>
      <c r="AC1898" s="1" t="s">
        <v>36</v>
      </c>
      <c r="AD1898" s="1" t="s">
        <v>6996</v>
      </c>
      <c r="AE1898" s="1" t="s">
        <v>32</v>
      </c>
      <c r="AF1898" s="1" t="s">
        <v>33</v>
      </c>
      <c r="AG1898" s="1" t="s">
        <v>60</v>
      </c>
    </row>
    <row r="1899" spans="1:33">
      <c r="A1899" t="s">
        <v>6997</v>
      </c>
      <c r="B1899" t="s">
        <v>6998</v>
      </c>
      <c r="C1899" t="s">
        <v>47</v>
      </c>
      <c r="E1899" t="s">
        <v>6700</v>
      </c>
      <c r="F1899" t="s">
        <v>6255</v>
      </c>
      <c r="G1899">
        <v>50.78</v>
      </c>
      <c r="H1899">
        <v>50.78</v>
      </c>
      <c r="I1899" t="s">
        <v>48</v>
      </c>
      <c r="J1899" t="s">
        <v>49</v>
      </c>
      <c r="K1899" t="s">
        <v>31</v>
      </c>
      <c r="L1899" t="s">
        <v>32</v>
      </c>
      <c r="M1899" t="s">
        <v>33</v>
      </c>
      <c r="P1899" s="1" t="s">
        <v>6999</v>
      </c>
      <c r="Q1899" s="1" t="s">
        <v>6700</v>
      </c>
      <c r="R1899" s="1" t="s">
        <v>6700</v>
      </c>
      <c r="S1899" s="1"/>
      <c r="T1899" s="1" t="s">
        <v>47</v>
      </c>
      <c r="U1899" s="1"/>
      <c r="V1899" s="1">
        <v>50.78</v>
      </c>
      <c r="W1899" s="1">
        <v>50.78</v>
      </c>
      <c r="X1899" s="1" t="s">
        <v>35</v>
      </c>
      <c r="Y1899" s="1">
        <v>50780.0</v>
      </c>
      <c r="Z1899" s="1"/>
      <c r="AA1899" s="1">
        <v>50780.0</v>
      </c>
      <c r="AB1899" s="1"/>
      <c r="AC1899" s="1" t="s">
        <v>36</v>
      </c>
      <c r="AD1899" s="1" t="s">
        <v>7000</v>
      </c>
      <c r="AE1899" s="1" t="s">
        <v>32</v>
      </c>
      <c r="AF1899" s="1" t="s">
        <v>33</v>
      </c>
      <c r="AG1899" s="1" t="s">
        <v>49</v>
      </c>
    </row>
    <row r="1900" spans="1:33">
      <c r="A1900" t="s">
        <v>7001</v>
      </c>
      <c r="C1900" t="s">
        <v>866</v>
      </c>
      <c r="D1900" t="s">
        <v>154</v>
      </c>
      <c r="E1900" t="s">
        <v>6700</v>
      </c>
      <c r="F1900" t="s">
        <v>6255</v>
      </c>
      <c r="G1900">
        <v>578.5</v>
      </c>
      <c r="H1900">
        <v>578.5</v>
      </c>
      <c r="I1900" t="s">
        <v>48</v>
      </c>
      <c r="J1900" t="s">
        <v>49</v>
      </c>
      <c r="K1900" t="s">
        <v>31</v>
      </c>
      <c r="L1900" t="s">
        <v>32</v>
      </c>
      <c r="M1900" t="s">
        <v>33</v>
      </c>
      <c r="P1900" s="1" t="s">
        <v>7002</v>
      </c>
      <c r="Q1900" s="1" t="s">
        <v>6700</v>
      </c>
      <c r="R1900" s="1" t="s">
        <v>6700</v>
      </c>
      <c r="S1900" s="1"/>
      <c r="T1900" s="1" t="s">
        <v>868</v>
      </c>
      <c r="U1900" s="1" t="s">
        <v>869</v>
      </c>
      <c r="V1900" s="1">
        <v>578.5</v>
      </c>
      <c r="W1900" s="1">
        <v>578.5</v>
      </c>
      <c r="X1900" s="1" t="s">
        <v>35</v>
      </c>
      <c r="Y1900" s="1">
        <v>578500.0</v>
      </c>
      <c r="Z1900" s="1"/>
      <c r="AA1900" s="1">
        <v>578500.0</v>
      </c>
      <c r="AB1900" s="1"/>
      <c r="AC1900" s="1" t="s">
        <v>36</v>
      </c>
      <c r="AD1900" s="1" t="s">
        <v>7003</v>
      </c>
      <c r="AE1900" s="1" t="s">
        <v>32</v>
      </c>
      <c r="AF1900" s="1" t="s">
        <v>33</v>
      </c>
      <c r="AG1900" s="1" t="s">
        <v>49</v>
      </c>
    </row>
    <row r="1901" spans="1:33">
      <c r="A1901" t="s">
        <v>7004</v>
      </c>
      <c r="C1901" t="s">
        <v>7005</v>
      </c>
      <c r="E1901" t="s">
        <v>6700</v>
      </c>
      <c r="F1901" t="s">
        <v>6255</v>
      </c>
      <c r="G1901">
        <v>328.0</v>
      </c>
      <c r="H1901">
        <v>328.0</v>
      </c>
      <c r="I1901" t="s">
        <v>269</v>
      </c>
      <c r="J1901" t="s">
        <v>270</v>
      </c>
      <c r="K1901" t="s">
        <v>31</v>
      </c>
      <c r="L1901" t="s">
        <v>32</v>
      </c>
      <c r="M1901" t="s">
        <v>33</v>
      </c>
      <c r="P1901" s="1" t="s">
        <v>7006</v>
      </c>
      <c r="Q1901" s="1" t="s">
        <v>6700</v>
      </c>
      <c r="R1901" s="1" t="s">
        <v>6700</v>
      </c>
      <c r="S1901" s="1"/>
      <c r="T1901" s="1" t="s">
        <v>7005</v>
      </c>
      <c r="U1901" s="1"/>
      <c r="V1901" s="1">
        <v>328.0</v>
      </c>
      <c r="W1901" s="1">
        <v>328.0</v>
      </c>
      <c r="X1901" s="1" t="s">
        <v>35</v>
      </c>
      <c r="Y1901" s="1">
        <v>328000.0</v>
      </c>
      <c r="Z1901" s="1"/>
      <c r="AA1901" s="1">
        <v>328000.0</v>
      </c>
      <c r="AB1901" s="1"/>
      <c r="AC1901" s="1" t="s">
        <v>36</v>
      </c>
      <c r="AD1901" s="1" t="s">
        <v>7003</v>
      </c>
      <c r="AE1901" s="1" t="s">
        <v>32</v>
      </c>
      <c r="AF1901" s="1" t="s">
        <v>33</v>
      </c>
      <c r="AG1901" s="1" t="s">
        <v>270</v>
      </c>
    </row>
    <row r="1902" spans="1:33">
      <c r="A1902" t="s">
        <v>7007</v>
      </c>
      <c r="B1902" t="s">
        <v>7008</v>
      </c>
      <c r="C1902" t="s">
        <v>73</v>
      </c>
      <c r="E1902" t="s">
        <v>6700</v>
      </c>
      <c r="F1902" t="s">
        <v>6255</v>
      </c>
      <c r="G1902">
        <v>2.36</v>
      </c>
      <c r="H1902">
        <v>2.36</v>
      </c>
      <c r="I1902" t="s">
        <v>40</v>
      </c>
      <c r="J1902" t="s">
        <v>41</v>
      </c>
      <c r="K1902" t="s">
        <v>31</v>
      </c>
      <c r="L1902" t="s">
        <v>32</v>
      </c>
      <c r="M1902" t="s">
        <v>33</v>
      </c>
      <c r="P1902" s="1" t="s">
        <v>7009</v>
      </c>
      <c r="Q1902" s="1" t="s">
        <v>6700</v>
      </c>
      <c r="R1902" s="1" t="s">
        <v>6133</v>
      </c>
      <c r="S1902" s="1"/>
      <c r="T1902" s="1" t="s">
        <v>75</v>
      </c>
      <c r="U1902" s="1" t="s">
        <v>76</v>
      </c>
      <c r="V1902" s="1">
        <v>2.36</v>
      </c>
      <c r="W1902" s="1">
        <v>2.36</v>
      </c>
      <c r="X1902" s="1" t="s">
        <v>35</v>
      </c>
      <c r="Y1902" s="1">
        <v>2360.0</v>
      </c>
      <c r="Z1902" s="1"/>
      <c r="AA1902" s="1">
        <v>2360.0</v>
      </c>
      <c r="AB1902" s="1"/>
      <c r="AC1902" s="1" t="s">
        <v>36</v>
      </c>
      <c r="AD1902" s="1" t="s">
        <v>6990</v>
      </c>
      <c r="AE1902" s="1" t="s">
        <v>32</v>
      </c>
      <c r="AF1902" s="1" t="s">
        <v>33</v>
      </c>
      <c r="AG1902" s="1" t="s">
        <v>41</v>
      </c>
    </row>
    <row r="1903" spans="1:33">
      <c r="A1903" t="s">
        <v>7010</v>
      </c>
      <c r="C1903" t="s">
        <v>688</v>
      </c>
      <c r="E1903" t="s">
        <v>6700</v>
      </c>
      <c r="F1903" t="s">
        <v>6255</v>
      </c>
      <c r="G1903">
        <v>1.64</v>
      </c>
      <c r="H1903">
        <v>1.64</v>
      </c>
      <c r="I1903" t="s">
        <v>269</v>
      </c>
      <c r="J1903" t="s">
        <v>270</v>
      </c>
      <c r="K1903" t="s">
        <v>31</v>
      </c>
      <c r="L1903" t="s">
        <v>32</v>
      </c>
      <c r="M1903" t="s">
        <v>33</v>
      </c>
      <c r="P1903" s="1" t="s">
        <v>7011</v>
      </c>
      <c r="Q1903" s="1" t="s">
        <v>6700</v>
      </c>
      <c r="R1903" s="1" t="s">
        <v>6700</v>
      </c>
      <c r="S1903" s="1"/>
      <c r="T1903" s="1" t="s">
        <v>688</v>
      </c>
      <c r="U1903" s="1"/>
      <c r="V1903" s="1">
        <v>1.64</v>
      </c>
      <c r="W1903" s="1">
        <v>1.64</v>
      </c>
      <c r="X1903" s="1" t="s">
        <v>35</v>
      </c>
      <c r="Y1903" s="1">
        <v>1640000.0</v>
      </c>
      <c r="Z1903" s="1"/>
      <c r="AA1903" s="1">
        <v>1640000.0</v>
      </c>
      <c r="AB1903" s="1"/>
      <c r="AC1903" s="1" t="s">
        <v>36</v>
      </c>
      <c r="AD1903" s="1" t="s">
        <v>7012</v>
      </c>
      <c r="AE1903" s="1" t="s">
        <v>32</v>
      </c>
      <c r="AF1903" s="1" t="s">
        <v>33</v>
      </c>
      <c r="AG1903" s="1" t="s">
        <v>270</v>
      </c>
    </row>
    <row r="1904" spans="1:33">
      <c r="A1904" t="s">
        <v>7013</v>
      </c>
      <c r="C1904" t="s">
        <v>1587</v>
      </c>
      <c r="D1904" t="s">
        <v>154</v>
      </c>
      <c r="E1904" t="s">
        <v>6700</v>
      </c>
      <c r="F1904" t="s">
        <v>6255</v>
      </c>
      <c r="G1904">
        <v>3.994</v>
      </c>
      <c r="H1904">
        <v>3.994</v>
      </c>
      <c r="I1904" t="s">
        <v>48</v>
      </c>
      <c r="J1904" t="s">
        <v>49</v>
      </c>
      <c r="K1904" t="s">
        <v>31</v>
      </c>
      <c r="L1904" t="s">
        <v>32</v>
      </c>
      <c r="M1904" t="s">
        <v>33</v>
      </c>
      <c r="P1904" s="1" t="s">
        <v>7014</v>
      </c>
      <c r="Q1904" s="1" t="s">
        <v>6700</v>
      </c>
      <c r="R1904" s="1" t="s">
        <v>6700</v>
      </c>
      <c r="S1904" s="1"/>
      <c r="T1904" s="1" t="s">
        <v>1587</v>
      </c>
      <c r="U1904" s="1"/>
      <c r="V1904" s="1">
        <v>3.994</v>
      </c>
      <c r="W1904" s="1">
        <v>3.994</v>
      </c>
      <c r="X1904" s="1" t="s">
        <v>35</v>
      </c>
      <c r="Y1904" s="1">
        <v>3994250.0</v>
      </c>
      <c r="Z1904" s="1"/>
      <c r="AA1904" s="1">
        <v>3994250.0</v>
      </c>
      <c r="AB1904" s="1"/>
      <c r="AC1904" s="1" t="s">
        <v>36</v>
      </c>
      <c r="AD1904" s="1" t="s">
        <v>7015</v>
      </c>
      <c r="AE1904" s="1" t="s">
        <v>32</v>
      </c>
      <c r="AF1904" s="1" t="s">
        <v>33</v>
      </c>
      <c r="AG1904" s="1" t="s">
        <v>49</v>
      </c>
    </row>
    <row r="1905" spans="1:33">
      <c r="A1905" t="s">
        <v>7016</v>
      </c>
      <c r="B1905" t="s">
        <v>5257</v>
      </c>
      <c r="C1905" t="s">
        <v>314</v>
      </c>
      <c r="E1905" t="s">
        <v>6700</v>
      </c>
      <c r="F1905" t="s">
        <v>6255</v>
      </c>
      <c r="G1905">
        <v>52.33</v>
      </c>
      <c r="H1905">
        <v>52.33</v>
      </c>
      <c r="I1905" t="s">
        <v>179</v>
      </c>
      <c r="J1905" t="s">
        <v>180</v>
      </c>
      <c r="K1905" t="s">
        <v>31</v>
      </c>
      <c r="L1905" t="s">
        <v>32</v>
      </c>
      <c r="M1905" t="s">
        <v>33</v>
      </c>
      <c r="P1905" s="1" t="s">
        <v>7017</v>
      </c>
      <c r="Q1905" s="1" t="s">
        <v>6700</v>
      </c>
      <c r="R1905" s="1" t="s">
        <v>6700</v>
      </c>
      <c r="S1905" s="1"/>
      <c r="T1905" s="1" t="s">
        <v>314</v>
      </c>
      <c r="U1905" s="1"/>
      <c r="V1905" s="1">
        <v>52.33</v>
      </c>
      <c r="W1905" s="1">
        <v>52.33</v>
      </c>
      <c r="X1905" s="1" t="s">
        <v>35</v>
      </c>
      <c r="Y1905" s="1">
        <v>52330.0</v>
      </c>
      <c r="Z1905" s="1"/>
      <c r="AA1905" s="1">
        <v>52330.0</v>
      </c>
      <c r="AB1905" s="1"/>
      <c r="AC1905" s="1" t="s">
        <v>36</v>
      </c>
      <c r="AD1905" s="1" t="s">
        <v>7018</v>
      </c>
      <c r="AE1905" s="1" t="s">
        <v>32</v>
      </c>
      <c r="AF1905" s="1" t="s">
        <v>33</v>
      </c>
      <c r="AG1905" s="1" t="s">
        <v>180</v>
      </c>
    </row>
    <row r="1906" spans="1:33">
      <c r="A1906" t="s">
        <v>7019</v>
      </c>
      <c r="B1906" t="s">
        <v>7020</v>
      </c>
      <c r="C1906" t="s">
        <v>135</v>
      </c>
      <c r="E1906" t="s">
        <v>6700</v>
      </c>
      <c r="F1906" t="s">
        <v>6255</v>
      </c>
      <c r="G1906">
        <v>33.8</v>
      </c>
      <c r="H1906">
        <v>33.8</v>
      </c>
      <c r="I1906" t="s">
        <v>136</v>
      </c>
      <c r="J1906" t="s">
        <v>137</v>
      </c>
      <c r="K1906" t="s">
        <v>31</v>
      </c>
      <c r="L1906" t="s">
        <v>32</v>
      </c>
      <c r="M1906" t="s">
        <v>33</v>
      </c>
      <c r="P1906" s="1" t="s">
        <v>7021</v>
      </c>
      <c r="Q1906" s="1" t="s">
        <v>6700</v>
      </c>
      <c r="R1906" s="1" t="s">
        <v>6700</v>
      </c>
      <c r="S1906" s="1"/>
      <c r="T1906" s="1" t="s">
        <v>135</v>
      </c>
      <c r="U1906" s="1"/>
      <c r="V1906" s="1">
        <v>33.8</v>
      </c>
      <c r="W1906" s="1">
        <v>33.8</v>
      </c>
      <c r="X1906" s="1" t="s">
        <v>35</v>
      </c>
      <c r="Y1906" s="1">
        <v>33800.0</v>
      </c>
      <c r="Z1906" s="1"/>
      <c r="AA1906" s="1">
        <v>33800.0</v>
      </c>
      <c r="AB1906" s="1"/>
      <c r="AC1906" s="1" t="s">
        <v>36</v>
      </c>
      <c r="AD1906" s="1" t="s">
        <v>7022</v>
      </c>
      <c r="AE1906" s="1" t="s">
        <v>32</v>
      </c>
      <c r="AF1906" s="1" t="s">
        <v>33</v>
      </c>
      <c r="AG1906" s="1" t="s">
        <v>137</v>
      </c>
    </row>
    <row r="1907" spans="1:33">
      <c r="A1907" t="s">
        <v>7023</v>
      </c>
      <c r="C1907" t="s">
        <v>3250</v>
      </c>
      <c r="E1907" t="s">
        <v>6700</v>
      </c>
      <c r="F1907" t="s">
        <v>6255</v>
      </c>
      <c r="G1907">
        <v>2.219</v>
      </c>
      <c r="H1907">
        <v>2.219</v>
      </c>
      <c r="I1907" t="s">
        <v>269</v>
      </c>
      <c r="J1907" t="s">
        <v>270</v>
      </c>
      <c r="K1907" t="s">
        <v>31</v>
      </c>
      <c r="L1907" t="s">
        <v>32</v>
      </c>
      <c r="M1907" t="s">
        <v>33</v>
      </c>
      <c r="P1907" s="1" t="s">
        <v>7024</v>
      </c>
      <c r="Q1907" s="1" t="s">
        <v>6700</v>
      </c>
      <c r="R1907" s="1" t="s">
        <v>6700</v>
      </c>
      <c r="S1907" s="1"/>
      <c r="T1907" s="1" t="s">
        <v>3252</v>
      </c>
      <c r="U1907" s="1" t="s">
        <v>3253</v>
      </c>
      <c r="V1907" s="1">
        <v>2.219</v>
      </c>
      <c r="W1907" s="1">
        <v>2.219</v>
      </c>
      <c r="X1907" s="1" t="s">
        <v>35</v>
      </c>
      <c r="Y1907" s="1">
        <v>2219750.0</v>
      </c>
      <c r="Z1907" s="1"/>
      <c r="AA1907" s="1">
        <v>2219750.0</v>
      </c>
      <c r="AB1907" s="1"/>
      <c r="AC1907" s="1" t="s">
        <v>36</v>
      </c>
      <c r="AD1907" s="1" t="s">
        <v>7018</v>
      </c>
      <c r="AE1907" s="1" t="s">
        <v>32</v>
      </c>
      <c r="AF1907" s="1" t="s">
        <v>33</v>
      </c>
      <c r="AG1907" s="1" t="s">
        <v>270</v>
      </c>
    </row>
    <row r="1908" spans="1:33">
      <c r="A1908" t="s">
        <v>7025</v>
      </c>
      <c r="C1908" t="s">
        <v>3689</v>
      </c>
      <c r="E1908" t="s">
        <v>6700</v>
      </c>
      <c r="F1908" t="s">
        <v>6255</v>
      </c>
      <c r="G1908">
        <v>719.0</v>
      </c>
      <c r="H1908">
        <v>719.0</v>
      </c>
      <c r="I1908" t="s">
        <v>179</v>
      </c>
      <c r="J1908" t="s">
        <v>180</v>
      </c>
      <c r="K1908" t="s">
        <v>31</v>
      </c>
      <c r="L1908" t="s">
        <v>32</v>
      </c>
      <c r="M1908" t="s">
        <v>33</v>
      </c>
      <c r="P1908" s="1" t="s">
        <v>7026</v>
      </c>
      <c r="Q1908" s="1" t="s">
        <v>6700</v>
      </c>
      <c r="R1908" s="1" t="s">
        <v>6700</v>
      </c>
      <c r="S1908" s="1"/>
      <c r="T1908" s="1" t="s">
        <v>3689</v>
      </c>
      <c r="U1908" s="1"/>
      <c r="V1908" s="1">
        <v>719.0</v>
      </c>
      <c r="W1908" s="1">
        <v>719.0</v>
      </c>
      <c r="X1908" s="1" t="s">
        <v>35</v>
      </c>
      <c r="Y1908" s="1">
        <v>719000.0</v>
      </c>
      <c r="Z1908" s="1"/>
      <c r="AA1908" s="1">
        <v>719000.0</v>
      </c>
      <c r="AB1908" s="1"/>
      <c r="AC1908" s="1" t="s">
        <v>36</v>
      </c>
      <c r="AD1908" s="1" t="s">
        <v>7027</v>
      </c>
      <c r="AE1908" s="1" t="s">
        <v>32</v>
      </c>
      <c r="AF1908" s="1" t="s">
        <v>33</v>
      </c>
      <c r="AG1908" s="1" t="s">
        <v>180</v>
      </c>
    </row>
    <row r="1909" spans="1:33">
      <c r="A1909" t="s">
        <v>7028</v>
      </c>
      <c r="B1909" t="s">
        <v>7029</v>
      </c>
      <c r="C1909" t="s">
        <v>125</v>
      </c>
      <c r="E1909" t="s">
        <v>6700</v>
      </c>
      <c r="F1909" t="s">
        <v>6255</v>
      </c>
      <c r="G1909">
        <v>26.085</v>
      </c>
      <c r="H1909">
        <v>26.085</v>
      </c>
      <c r="I1909" t="s">
        <v>126</v>
      </c>
      <c r="J1909" t="s">
        <v>127</v>
      </c>
      <c r="K1909" t="s">
        <v>31</v>
      </c>
      <c r="L1909" t="s">
        <v>32</v>
      </c>
      <c r="M1909" t="s">
        <v>33</v>
      </c>
      <c r="P1909" s="1" t="s">
        <v>7030</v>
      </c>
      <c r="Q1909" s="1" t="s">
        <v>6700</v>
      </c>
      <c r="R1909" s="1" t="s">
        <v>6700</v>
      </c>
      <c r="S1909" s="1"/>
      <c r="T1909" s="1" t="s">
        <v>125</v>
      </c>
      <c r="U1909" s="1"/>
      <c r="V1909" s="1">
        <v>26.085</v>
      </c>
      <c r="W1909" s="1">
        <v>26.085</v>
      </c>
      <c r="X1909" s="1" t="s">
        <v>35</v>
      </c>
      <c r="Y1909" s="1">
        <v>26085.0</v>
      </c>
      <c r="Z1909" s="1"/>
      <c r="AA1909" s="1">
        <v>26085.0</v>
      </c>
      <c r="AB1909" s="1"/>
      <c r="AC1909" s="1" t="s">
        <v>36</v>
      </c>
      <c r="AD1909" s="1" t="s">
        <v>7031</v>
      </c>
      <c r="AE1909" s="1" t="s">
        <v>32</v>
      </c>
      <c r="AF1909" s="1" t="s">
        <v>33</v>
      </c>
      <c r="AG1909" s="1" t="s">
        <v>127</v>
      </c>
    </row>
    <row r="1910" spans="1:33">
      <c r="A1910" t="s">
        <v>7032</v>
      </c>
      <c r="C1910" t="s">
        <v>670</v>
      </c>
      <c r="E1910" t="s">
        <v>6700</v>
      </c>
      <c r="F1910" t="s">
        <v>6255</v>
      </c>
      <c r="G1910">
        <v>1.045</v>
      </c>
      <c r="H1910">
        <v>1.045</v>
      </c>
      <c r="I1910" t="s">
        <v>269</v>
      </c>
      <c r="J1910" t="s">
        <v>270</v>
      </c>
      <c r="K1910" t="s">
        <v>31</v>
      </c>
      <c r="L1910" t="s">
        <v>32</v>
      </c>
      <c r="M1910" t="s">
        <v>33</v>
      </c>
      <c r="P1910" s="1" t="s">
        <v>7033</v>
      </c>
      <c r="Q1910" s="1" t="s">
        <v>6700</v>
      </c>
      <c r="R1910" s="1" t="s">
        <v>6700</v>
      </c>
      <c r="S1910" s="1"/>
      <c r="T1910" s="1" t="s">
        <v>670</v>
      </c>
      <c r="U1910" s="1"/>
      <c r="V1910" s="1">
        <v>1.045</v>
      </c>
      <c r="W1910" s="1">
        <v>1.045</v>
      </c>
      <c r="X1910" s="1" t="s">
        <v>35</v>
      </c>
      <c r="Y1910" s="1">
        <v>1045500</v>
      </c>
      <c r="Z1910" s="1"/>
      <c r="AA1910" s="1">
        <v>1045500</v>
      </c>
      <c r="AB1910" s="1"/>
      <c r="AC1910" s="1" t="s">
        <v>36</v>
      </c>
      <c r="AD1910" s="1" t="s">
        <v>7034</v>
      </c>
      <c r="AE1910" s="1" t="s">
        <v>32</v>
      </c>
      <c r="AF1910" s="1" t="s">
        <v>33</v>
      </c>
      <c r="AG1910" s="1" t="s">
        <v>270</v>
      </c>
    </row>
    <row r="1911" spans="1:33">
      <c r="A1911" t="s">
        <v>7035</v>
      </c>
      <c r="B1911" t="s">
        <v>7036</v>
      </c>
      <c r="C1911" t="s">
        <v>1732</v>
      </c>
      <c r="E1911" t="s">
        <v>6700</v>
      </c>
      <c r="F1911" t="s">
        <v>6255</v>
      </c>
      <c r="G1911">
        <v>886.0</v>
      </c>
      <c r="H1911">
        <v>886.0</v>
      </c>
      <c r="I1911" t="s">
        <v>94</v>
      </c>
      <c r="J1911" t="s">
        <v>95</v>
      </c>
      <c r="K1911" t="s">
        <v>31</v>
      </c>
      <c r="L1911" t="s">
        <v>32</v>
      </c>
      <c r="M1911" t="s">
        <v>33</v>
      </c>
      <c r="P1911" s="1" t="s">
        <v>7037</v>
      </c>
      <c r="Q1911" s="1" t="s">
        <v>6700</v>
      </c>
      <c r="R1911" s="1" t="s">
        <v>6700</v>
      </c>
      <c r="S1911" s="1"/>
      <c r="T1911" s="1" t="s">
        <v>1732</v>
      </c>
      <c r="U1911" s="1"/>
      <c r="V1911" s="1">
        <v>886.0</v>
      </c>
      <c r="W1911" s="1">
        <v>886.0</v>
      </c>
      <c r="X1911" s="1" t="s">
        <v>35</v>
      </c>
      <c r="Y1911" s="1">
        <v>886000.0</v>
      </c>
      <c r="Z1911" s="1"/>
      <c r="AA1911" s="1">
        <v>886000.0</v>
      </c>
      <c r="AB1911" s="1"/>
      <c r="AC1911" s="1" t="s">
        <v>36</v>
      </c>
      <c r="AD1911" s="1" t="s">
        <v>7038</v>
      </c>
      <c r="AE1911" s="1" t="s">
        <v>32</v>
      </c>
      <c r="AF1911" s="1" t="s">
        <v>33</v>
      </c>
      <c r="AG1911" s="1" t="s">
        <v>95</v>
      </c>
    </row>
    <row r="1912" spans="1:33">
      <c r="A1912" t="s">
        <v>7039</v>
      </c>
      <c r="B1912" t="s">
        <v>7040</v>
      </c>
      <c r="C1912" t="s">
        <v>125</v>
      </c>
      <c r="E1912" t="s">
        <v>6700</v>
      </c>
      <c r="F1912" t="s">
        <v>6255</v>
      </c>
      <c r="G1912">
        <v>25.952</v>
      </c>
      <c r="H1912">
        <v>25.952</v>
      </c>
      <c r="I1912" t="s">
        <v>126</v>
      </c>
      <c r="J1912" t="s">
        <v>127</v>
      </c>
      <c r="K1912" t="s">
        <v>31</v>
      </c>
      <c r="L1912" t="s">
        <v>32</v>
      </c>
      <c r="M1912" t="s">
        <v>33</v>
      </c>
      <c r="P1912" s="1" t="s">
        <v>7041</v>
      </c>
      <c r="Q1912" s="1" t="s">
        <v>6700</v>
      </c>
      <c r="R1912" s="1" t="s">
        <v>6700</v>
      </c>
      <c r="S1912" s="1"/>
      <c r="T1912" s="1" t="s">
        <v>125</v>
      </c>
      <c r="U1912" s="1"/>
      <c r="V1912" s="1">
        <v>25.952</v>
      </c>
      <c r="W1912" s="1">
        <v>25.952</v>
      </c>
      <c r="X1912" s="1" t="s">
        <v>35</v>
      </c>
      <c r="Y1912" s="1">
        <v>25952.0</v>
      </c>
      <c r="Z1912" s="1"/>
      <c r="AA1912" s="1">
        <v>25952.0</v>
      </c>
      <c r="AB1912" s="1"/>
      <c r="AC1912" s="1" t="s">
        <v>36</v>
      </c>
      <c r="AD1912" s="1" t="s">
        <v>7042</v>
      </c>
      <c r="AE1912" s="1" t="s">
        <v>32</v>
      </c>
      <c r="AF1912" s="1" t="s">
        <v>33</v>
      </c>
      <c r="AG1912" s="1" t="s">
        <v>127</v>
      </c>
    </row>
    <row r="1913" spans="1:33">
      <c r="A1913" t="s">
        <v>7043</v>
      </c>
      <c r="C1913" t="s">
        <v>288</v>
      </c>
      <c r="D1913" t="s">
        <v>114</v>
      </c>
      <c r="E1913" t="s">
        <v>6700</v>
      </c>
      <c r="F1913" t="s">
        <v>6255</v>
      </c>
      <c r="G1913">
        <v>328.0</v>
      </c>
      <c r="H1913">
        <v>328.0</v>
      </c>
      <c r="I1913" t="s">
        <v>269</v>
      </c>
      <c r="J1913" t="s">
        <v>270</v>
      </c>
      <c r="K1913" t="s">
        <v>31</v>
      </c>
      <c r="L1913" t="s">
        <v>32</v>
      </c>
      <c r="M1913" t="s">
        <v>33</v>
      </c>
      <c r="P1913" s="1" t="s">
        <v>7044</v>
      </c>
      <c r="Q1913" s="1" t="s">
        <v>6700</v>
      </c>
      <c r="R1913" s="1" t="s">
        <v>6700</v>
      </c>
      <c r="S1913" s="1"/>
      <c r="T1913" s="1" t="s">
        <v>288</v>
      </c>
      <c r="U1913" s="1"/>
      <c r="V1913" s="1">
        <v>328.0</v>
      </c>
      <c r="W1913" s="1">
        <v>328.0</v>
      </c>
      <c r="X1913" s="1" t="s">
        <v>35</v>
      </c>
      <c r="Y1913" s="1">
        <v>328000.0</v>
      </c>
      <c r="Z1913" s="1"/>
      <c r="AA1913" s="1">
        <v>328000.0</v>
      </c>
      <c r="AB1913" s="1"/>
      <c r="AC1913" s="1" t="s">
        <v>36</v>
      </c>
      <c r="AD1913" s="1" t="s">
        <v>7045</v>
      </c>
      <c r="AE1913" s="1" t="s">
        <v>32</v>
      </c>
      <c r="AF1913" s="1" t="s">
        <v>33</v>
      </c>
      <c r="AG1913" s="1" t="s">
        <v>270</v>
      </c>
    </row>
    <row r="1914" spans="1:33">
      <c r="A1914" t="s">
        <v>7046</v>
      </c>
      <c r="B1914" t="s">
        <v>1317</v>
      </c>
      <c r="C1914" t="s">
        <v>1318</v>
      </c>
      <c r="E1914" t="s">
        <v>6700</v>
      </c>
      <c r="F1914" t="s">
        <v>6255</v>
      </c>
      <c r="G1914">
        <v>740.0</v>
      </c>
      <c r="H1914">
        <v>740.0</v>
      </c>
      <c r="I1914" t="s">
        <v>59</v>
      </c>
      <c r="J1914" t="s">
        <v>60</v>
      </c>
      <c r="K1914" t="s">
        <v>31</v>
      </c>
      <c r="L1914" t="s">
        <v>32</v>
      </c>
      <c r="M1914" t="s">
        <v>33</v>
      </c>
      <c r="P1914" s="1" t="s">
        <v>7047</v>
      </c>
      <c r="Q1914" s="1" t="s">
        <v>6700</v>
      </c>
      <c r="R1914" s="1" t="s">
        <v>6700</v>
      </c>
      <c r="S1914" s="1"/>
      <c r="T1914" s="1" t="s">
        <v>1318</v>
      </c>
      <c r="U1914" s="1"/>
      <c r="V1914" s="1">
        <v>740.0</v>
      </c>
      <c r="W1914" s="1">
        <v>740.0</v>
      </c>
      <c r="X1914" s="1" t="s">
        <v>35</v>
      </c>
      <c r="Y1914" s="1">
        <v>740000.0</v>
      </c>
      <c r="Z1914" s="1"/>
      <c r="AA1914" s="1">
        <v>740000.0</v>
      </c>
      <c r="AB1914" s="1"/>
      <c r="AC1914" s="1" t="s">
        <v>36</v>
      </c>
      <c r="AD1914" s="1" t="s">
        <v>7048</v>
      </c>
      <c r="AE1914" s="1" t="s">
        <v>32</v>
      </c>
      <c r="AF1914" s="1" t="s">
        <v>33</v>
      </c>
      <c r="AG1914" s="1" t="s">
        <v>60</v>
      </c>
    </row>
    <row r="1915" spans="1:33">
      <c r="A1915" t="s">
        <v>7049</v>
      </c>
      <c r="B1915" t="s">
        <v>7050</v>
      </c>
      <c r="C1915" t="s">
        <v>135</v>
      </c>
      <c r="E1915" t="s">
        <v>6700</v>
      </c>
      <c r="F1915" t="s">
        <v>6255</v>
      </c>
      <c r="G1915">
        <v>66.65</v>
      </c>
      <c r="H1915">
        <v>66.65</v>
      </c>
      <c r="I1915" t="s">
        <v>136</v>
      </c>
      <c r="J1915" t="s">
        <v>137</v>
      </c>
      <c r="K1915" t="s">
        <v>31</v>
      </c>
      <c r="L1915" t="s">
        <v>32</v>
      </c>
      <c r="M1915" t="s">
        <v>33</v>
      </c>
      <c r="P1915" s="1" t="s">
        <v>7051</v>
      </c>
      <c r="Q1915" s="1" t="s">
        <v>6700</v>
      </c>
      <c r="R1915" s="1" t="s">
        <v>6700</v>
      </c>
      <c r="S1915" s="1"/>
      <c r="T1915" s="1" t="s">
        <v>135</v>
      </c>
      <c r="U1915" s="1"/>
      <c r="V1915" s="1">
        <v>66.65</v>
      </c>
      <c r="W1915" s="1">
        <v>66.65</v>
      </c>
      <c r="X1915" s="1" t="s">
        <v>35</v>
      </c>
      <c r="Y1915" s="1">
        <v>66650.0</v>
      </c>
      <c r="Z1915" s="1"/>
      <c r="AA1915" s="1">
        <v>66650.0</v>
      </c>
      <c r="AB1915" s="1"/>
      <c r="AC1915" s="1" t="s">
        <v>36</v>
      </c>
      <c r="AD1915" s="1" t="s">
        <v>7052</v>
      </c>
      <c r="AE1915" s="1" t="s">
        <v>32</v>
      </c>
      <c r="AF1915" s="1" t="s">
        <v>33</v>
      </c>
      <c r="AG1915" s="1" t="s">
        <v>137</v>
      </c>
    </row>
    <row r="1916" spans="1:33">
      <c r="A1916" t="s">
        <v>7053</v>
      </c>
      <c r="B1916" t="s">
        <v>263</v>
      </c>
      <c r="C1916" t="s">
        <v>264</v>
      </c>
      <c r="E1916" t="s">
        <v>6700</v>
      </c>
      <c r="F1916" t="s">
        <v>6255</v>
      </c>
      <c r="G1916">
        <v>391.0</v>
      </c>
      <c r="H1916">
        <v>391.0</v>
      </c>
      <c r="I1916" t="s">
        <v>40</v>
      </c>
      <c r="J1916" t="s">
        <v>41</v>
      </c>
      <c r="K1916" t="s">
        <v>31</v>
      </c>
      <c r="L1916" t="s">
        <v>32</v>
      </c>
      <c r="M1916" t="s">
        <v>33</v>
      </c>
      <c r="P1916" s="1" t="s">
        <v>7054</v>
      </c>
      <c r="Q1916" s="1" t="s">
        <v>6700</v>
      </c>
      <c r="R1916" s="1" t="s">
        <v>6133</v>
      </c>
      <c r="S1916" s="1"/>
      <c r="T1916" s="1" t="s">
        <v>264</v>
      </c>
      <c r="U1916" s="1"/>
      <c r="V1916" s="1">
        <v>391.0</v>
      </c>
      <c r="W1916" s="1">
        <v>391.0</v>
      </c>
      <c r="X1916" s="1" t="s">
        <v>35</v>
      </c>
      <c r="Y1916" s="1">
        <v>391000.0</v>
      </c>
      <c r="Z1916" s="1"/>
      <c r="AA1916" s="1">
        <v>391000.0</v>
      </c>
      <c r="AB1916" s="1"/>
      <c r="AC1916" s="1" t="s">
        <v>36</v>
      </c>
      <c r="AD1916" s="1" t="s">
        <v>7055</v>
      </c>
      <c r="AE1916" s="1" t="s">
        <v>32</v>
      </c>
      <c r="AF1916" s="1" t="s">
        <v>33</v>
      </c>
      <c r="AG1916" s="1" t="s">
        <v>41</v>
      </c>
    </row>
    <row r="1917" spans="1:33">
      <c r="A1917" t="s">
        <v>7056</v>
      </c>
      <c r="B1917" t="s">
        <v>7057</v>
      </c>
      <c r="C1917" t="s">
        <v>172</v>
      </c>
      <c r="E1917" t="s">
        <v>6700</v>
      </c>
      <c r="F1917" t="s">
        <v>6255</v>
      </c>
      <c r="G1917">
        <v>130.55</v>
      </c>
      <c r="H1917">
        <v>130.55</v>
      </c>
      <c r="I1917" t="s">
        <v>173</v>
      </c>
      <c r="J1917" t="s">
        <v>174</v>
      </c>
      <c r="K1917" t="s">
        <v>31</v>
      </c>
      <c r="L1917" t="s">
        <v>32</v>
      </c>
      <c r="M1917" t="s">
        <v>33</v>
      </c>
      <c r="P1917" s="1" t="s">
        <v>7058</v>
      </c>
      <c r="Q1917" s="1" t="s">
        <v>6700</v>
      </c>
      <c r="R1917" s="1" t="s">
        <v>6700</v>
      </c>
      <c r="S1917" s="1"/>
      <c r="T1917" s="1" t="s">
        <v>172</v>
      </c>
      <c r="U1917" s="1"/>
      <c r="V1917" s="1">
        <v>130.55</v>
      </c>
      <c r="W1917" s="1">
        <v>130.55</v>
      </c>
      <c r="X1917" s="1" t="s">
        <v>35</v>
      </c>
      <c r="Y1917" s="1">
        <v>130550.0</v>
      </c>
      <c r="Z1917" s="1"/>
      <c r="AA1917" s="1">
        <v>130550.0</v>
      </c>
      <c r="AB1917" s="1"/>
      <c r="AC1917" s="1" t="s">
        <v>36</v>
      </c>
      <c r="AD1917" s="1" t="s">
        <v>7059</v>
      </c>
      <c r="AE1917" s="1" t="s">
        <v>32</v>
      </c>
      <c r="AF1917" s="1" t="s">
        <v>33</v>
      </c>
      <c r="AG1917" s="1" t="s">
        <v>174</v>
      </c>
    </row>
    <row r="1918" spans="1:33">
      <c r="A1918" t="s">
        <v>7060</v>
      </c>
      <c r="B1918" t="s">
        <v>7061</v>
      </c>
      <c r="C1918" t="s">
        <v>314</v>
      </c>
      <c r="E1918" t="s">
        <v>6700</v>
      </c>
      <c r="F1918" t="s">
        <v>6255</v>
      </c>
      <c r="G1918">
        <v>69.63</v>
      </c>
      <c r="H1918">
        <v>69.63</v>
      </c>
      <c r="I1918" t="s">
        <v>179</v>
      </c>
      <c r="J1918" t="s">
        <v>180</v>
      </c>
      <c r="K1918" t="s">
        <v>31</v>
      </c>
      <c r="L1918" t="s">
        <v>32</v>
      </c>
      <c r="M1918" t="s">
        <v>33</v>
      </c>
      <c r="P1918" s="1" t="s">
        <v>7062</v>
      </c>
      <c r="Q1918" s="1" t="s">
        <v>6700</v>
      </c>
      <c r="R1918" s="1" t="s">
        <v>6700</v>
      </c>
      <c r="S1918" s="1"/>
      <c r="T1918" s="1" t="s">
        <v>314</v>
      </c>
      <c r="U1918" s="1"/>
      <c r="V1918" s="1">
        <v>69.63</v>
      </c>
      <c r="W1918" s="1">
        <v>69.63</v>
      </c>
      <c r="X1918" s="1" t="s">
        <v>35</v>
      </c>
      <c r="Y1918" s="1">
        <v>69630.0</v>
      </c>
      <c r="Z1918" s="1"/>
      <c r="AA1918" s="1">
        <v>69630.0</v>
      </c>
      <c r="AB1918" s="1"/>
      <c r="AC1918" s="1" t="s">
        <v>36</v>
      </c>
      <c r="AD1918" s="1" t="s">
        <v>7063</v>
      </c>
      <c r="AE1918" s="1" t="s">
        <v>32</v>
      </c>
      <c r="AF1918" s="1" t="s">
        <v>33</v>
      </c>
      <c r="AG1918" s="1" t="s">
        <v>180</v>
      </c>
    </row>
    <row r="1919" spans="1:33">
      <c r="A1919" t="s">
        <v>7064</v>
      </c>
      <c r="C1919" t="s">
        <v>2695</v>
      </c>
      <c r="E1919" t="s">
        <v>6700</v>
      </c>
      <c r="F1919" t="s">
        <v>6255</v>
      </c>
      <c r="G1919">
        <v>599.75</v>
      </c>
      <c r="H1919">
        <v>599.75</v>
      </c>
      <c r="I1919" t="s">
        <v>179</v>
      </c>
      <c r="J1919" t="s">
        <v>180</v>
      </c>
      <c r="K1919" t="s">
        <v>31</v>
      </c>
      <c r="L1919" t="s">
        <v>32</v>
      </c>
      <c r="M1919" t="s">
        <v>33</v>
      </c>
      <c r="P1919" s="1" t="s">
        <v>7065</v>
      </c>
      <c r="Q1919" s="1" t="s">
        <v>6700</v>
      </c>
      <c r="R1919" s="1" t="s">
        <v>6700</v>
      </c>
      <c r="S1919" s="1"/>
      <c r="T1919" s="1" t="s">
        <v>2697</v>
      </c>
      <c r="U1919" s="1" t="s">
        <v>2698</v>
      </c>
      <c r="V1919" s="1">
        <v>599.75</v>
      </c>
      <c r="W1919" s="1">
        <v>599.75</v>
      </c>
      <c r="X1919" s="1" t="s">
        <v>35</v>
      </c>
      <c r="Y1919" s="1">
        <v>599750.0</v>
      </c>
      <c r="Z1919" s="1"/>
      <c r="AA1919" s="1">
        <v>599750.0</v>
      </c>
      <c r="AB1919" s="1"/>
      <c r="AC1919" s="1" t="s">
        <v>36</v>
      </c>
      <c r="AD1919" s="1" t="s">
        <v>7059</v>
      </c>
      <c r="AE1919" s="1" t="s">
        <v>32</v>
      </c>
      <c r="AF1919" s="1" t="s">
        <v>33</v>
      </c>
      <c r="AG1919" s="1" t="s">
        <v>180</v>
      </c>
    </row>
    <row r="1920" spans="1:33">
      <c r="A1920" t="s">
        <v>7066</v>
      </c>
      <c r="B1920" t="s">
        <v>735</v>
      </c>
      <c r="C1920" t="s">
        <v>736</v>
      </c>
      <c r="E1920" t="s">
        <v>6700</v>
      </c>
      <c r="F1920" t="s">
        <v>6255</v>
      </c>
      <c r="G1920">
        <v>370.0</v>
      </c>
      <c r="H1920">
        <v>370.0</v>
      </c>
      <c r="I1920" t="s">
        <v>59</v>
      </c>
      <c r="J1920" t="s">
        <v>60</v>
      </c>
      <c r="K1920" t="s">
        <v>31</v>
      </c>
      <c r="L1920" t="s">
        <v>32</v>
      </c>
      <c r="M1920" t="s">
        <v>33</v>
      </c>
      <c r="P1920" s="1" t="s">
        <v>7067</v>
      </c>
      <c r="Q1920" s="1" t="s">
        <v>6700</v>
      </c>
      <c r="R1920" s="1" t="s">
        <v>6700</v>
      </c>
      <c r="S1920" s="1"/>
      <c r="T1920" s="1" t="s">
        <v>736</v>
      </c>
      <c r="U1920" s="1"/>
      <c r="V1920" s="1">
        <v>370.0</v>
      </c>
      <c r="W1920" s="1">
        <v>370.0</v>
      </c>
      <c r="X1920" s="1" t="s">
        <v>35</v>
      </c>
      <c r="Y1920" s="1">
        <v>370000.0</v>
      </c>
      <c r="Z1920" s="1"/>
      <c r="AA1920" s="1">
        <v>370000.0</v>
      </c>
      <c r="AB1920" s="1"/>
      <c r="AC1920" s="1" t="s">
        <v>36</v>
      </c>
      <c r="AD1920" s="1" t="s">
        <v>7068</v>
      </c>
      <c r="AE1920" s="1" t="s">
        <v>32</v>
      </c>
      <c r="AF1920" s="1" t="s">
        <v>33</v>
      </c>
      <c r="AG1920" s="1" t="s">
        <v>60</v>
      </c>
    </row>
    <row r="1921" spans="1:33">
      <c r="A1921" t="s">
        <v>7069</v>
      </c>
      <c r="C1921" t="s">
        <v>7070</v>
      </c>
      <c r="E1921" t="s">
        <v>6700</v>
      </c>
      <c r="F1921" t="s">
        <v>6255</v>
      </c>
      <c r="G1921">
        <v>585.0</v>
      </c>
      <c r="H1921">
        <v>585.0</v>
      </c>
      <c r="I1921" t="s">
        <v>48</v>
      </c>
      <c r="J1921" t="s">
        <v>49</v>
      </c>
      <c r="K1921" t="s">
        <v>31</v>
      </c>
      <c r="L1921" t="s">
        <v>32</v>
      </c>
      <c r="M1921" t="s">
        <v>33</v>
      </c>
      <c r="P1921" s="1" t="s">
        <v>7071</v>
      </c>
      <c r="Q1921" s="1" t="s">
        <v>6700</v>
      </c>
      <c r="R1921" s="1" t="s">
        <v>6700</v>
      </c>
      <c r="S1921" s="1"/>
      <c r="T1921" s="1" t="s">
        <v>7070</v>
      </c>
      <c r="U1921" s="1"/>
      <c r="V1921" s="1">
        <v>585.0</v>
      </c>
      <c r="W1921" s="1">
        <v>585.0</v>
      </c>
      <c r="X1921" s="1" t="s">
        <v>35</v>
      </c>
      <c r="Y1921" s="1">
        <v>585000.0</v>
      </c>
      <c r="Z1921" s="1"/>
      <c r="AA1921" s="1">
        <v>585000.0</v>
      </c>
      <c r="AB1921" s="1"/>
      <c r="AC1921" s="1" t="s">
        <v>36</v>
      </c>
      <c r="AD1921" s="1" t="s">
        <v>7068</v>
      </c>
      <c r="AE1921" s="1" t="s">
        <v>32</v>
      </c>
      <c r="AF1921" s="1" t="s">
        <v>33</v>
      </c>
      <c r="AG1921" s="1" t="s">
        <v>49</v>
      </c>
    </row>
    <row r="1922" spans="1:33">
      <c r="A1922" t="s">
        <v>7072</v>
      </c>
      <c r="B1922" t="s">
        <v>7073</v>
      </c>
      <c r="C1922" t="s">
        <v>7074</v>
      </c>
      <c r="E1922" t="s">
        <v>6700</v>
      </c>
      <c r="F1922" t="s">
        <v>6255</v>
      </c>
      <c r="G1922">
        <v>64.5</v>
      </c>
      <c r="H1922">
        <v>64.5</v>
      </c>
      <c r="I1922" t="s">
        <v>59</v>
      </c>
      <c r="J1922" t="s">
        <v>60</v>
      </c>
      <c r="K1922" t="s">
        <v>31</v>
      </c>
      <c r="L1922" t="s">
        <v>32</v>
      </c>
      <c r="M1922" t="s">
        <v>33</v>
      </c>
      <c r="P1922" s="1" t="s">
        <v>7075</v>
      </c>
      <c r="Q1922" s="1" t="s">
        <v>6700</v>
      </c>
      <c r="R1922" s="1" t="s">
        <v>6700</v>
      </c>
      <c r="S1922" s="1"/>
      <c r="T1922" s="1" t="s">
        <v>7074</v>
      </c>
      <c r="U1922" s="1"/>
      <c r="V1922" s="1">
        <v>64.5</v>
      </c>
      <c r="W1922" s="1">
        <v>64.5</v>
      </c>
      <c r="X1922" s="1" t="s">
        <v>35</v>
      </c>
      <c r="Y1922" s="1">
        <v>64500.0</v>
      </c>
      <c r="Z1922" s="1"/>
      <c r="AA1922" s="1">
        <v>64500.0</v>
      </c>
      <c r="AB1922" s="1"/>
      <c r="AC1922" s="1" t="s">
        <v>36</v>
      </c>
      <c r="AD1922" s="1" t="s">
        <v>7076</v>
      </c>
      <c r="AE1922" s="1" t="s">
        <v>32</v>
      </c>
      <c r="AF1922" s="1" t="s">
        <v>33</v>
      </c>
      <c r="AG1922" s="1" t="s">
        <v>60</v>
      </c>
    </row>
    <row r="1923" spans="1:33">
      <c r="A1923" t="s">
        <v>7077</v>
      </c>
      <c r="B1923" t="s">
        <v>7078</v>
      </c>
      <c r="C1923" t="s">
        <v>47</v>
      </c>
      <c r="E1923" t="s">
        <v>6700</v>
      </c>
      <c r="F1923" t="s">
        <v>6255</v>
      </c>
      <c r="G1923">
        <v>43.98</v>
      </c>
      <c r="H1923">
        <v>43.98</v>
      </c>
      <c r="I1923" t="s">
        <v>48</v>
      </c>
      <c r="J1923" t="s">
        <v>49</v>
      </c>
      <c r="K1923" t="s">
        <v>31</v>
      </c>
      <c r="L1923" t="s">
        <v>32</v>
      </c>
      <c r="M1923" t="s">
        <v>33</v>
      </c>
      <c r="P1923" s="1" t="s">
        <v>7079</v>
      </c>
      <c r="Q1923" s="1" t="s">
        <v>6700</v>
      </c>
      <c r="R1923" s="1" t="s">
        <v>6700</v>
      </c>
      <c r="S1923" s="1"/>
      <c r="T1923" s="1" t="s">
        <v>47</v>
      </c>
      <c r="U1923" s="1"/>
      <c r="V1923" s="1">
        <v>43.98</v>
      </c>
      <c r="W1923" s="1">
        <v>43.98</v>
      </c>
      <c r="X1923" s="1" t="s">
        <v>35</v>
      </c>
      <c r="Y1923" s="1">
        <v>43980.0</v>
      </c>
      <c r="Z1923" s="1"/>
      <c r="AA1923" s="1">
        <v>43980.0</v>
      </c>
      <c r="AB1923" s="1"/>
      <c r="AC1923" s="1" t="s">
        <v>36</v>
      </c>
      <c r="AD1923" s="1" t="s">
        <v>7080</v>
      </c>
      <c r="AE1923" s="1" t="s">
        <v>32</v>
      </c>
      <c r="AF1923" s="1" t="s">
        <v>33</v>
      </c>
      <c r="AG1923" s="1" t="s">
        <v>49</v>
      </c>
    </row>
    <row r="1924" spans="1:33">
      <c r="A1924" t="s">
        <v>7081</v>
      </c>
      <c r="B1924" t="s">
        <v>7082</v>
      </c>
      <c r="C1924" t="s">
        <v>7083</v>
      </c>
      <c r="E1924" t="s">
        <v>6700</v>
      </c>
      <c r="F1924" t="s">
        <v>6255</v>
      </c>
      <c r="G1924">
        <v>1.327</v>
      </c>
      <c r="H1924">
        <v>1.327</v>
      </c>
      <c r="I1924" t="s">
        <v>40</v>
      </c>
      <c r="J1924" t="s">
        <v>41</v>
      </c>
      <c r="K1924" t="s">
        <v>31</v>
      </c>
      <c r="L1924" t="s">
        <v>32</v>
      </c>
      <c r="M1924" t="s">
        <v>33</v>
      </c>
      <c r="P1924" s="1" t="s">
        <v>7084</v>
      </c>
      <c r="Q1924" s="1" t="s">
        <v>6700</v>
      </c>
      <c r="R1924" s="1" t="s">
        <v>6133</v>
      </c>
      <c r="S1924" s="1"/>
      <c r="T1924" s="1" t="s">
        <v>7083</v>
      </c>
      <c r="U1924" s="1"/>
      <c r="V1924" s="1">
        <v>1.327</v>
      </c>
      <c r="W1924" s="1">
        <v>1.327</v>
      </c>
      <c r="X1924" s="1" t="s">
        <v>35</v>
      </c>
      <c r="Y1924" s="1">
        <v>1327500.0</v>
      </c>
      <c r="Z1924" s="1"/>
      <c r="AA1924" s="1">
        <v>1325500.0</v>
      </c>
      <c r="AB1924" s="1">
        <v>2000</v>
      </c>
      <c r="AC1924" s="1" t="s">
        <v>36</v>
      </c>
      <c r="AD1924" s="1" t="s">
        <v>6887</v>
      </c>
      <c r="AE1924" s="1" t="s">
        <v>32</v>
      </c>
      <c r="AF1924" s="1" t="s">
        <v>33</v>
      </c>
      <c r="AG1924" s="1" t="s">
        <v>41</v>
      </c>
    </row>
    <row r="1925" spans="1:33">
      <c r="A1925" t="s">
        <v>7085</v>
      </c>
      <c r="B1925" t="s">
        <v>7086</v>
      </c>
      <c r="C1925" t="s">
        <v>4320</v>
      </c>
      <c r="D1925" t="s">
        <v>114</v>
      </c>
      <c r="E1925" t="s">
        <v>6700</v>
      </c>
      <c r="F1925" t="s">
        <v>6255</v>
      </c>
      <c r="G1925">
        <v>38.98</v>
      </c>
      <c r="H1925">
        <v>38.98</v>
      </c>
      <c r="I1925" t="s">
        <v>59</v>
      </c>
      <c r="J1925" t="s">
        <v>60</v>
      </c>
      <c r="K1925" t="s">
        <v>31</v>
      </c>
      <c r="L1925" t="s">
        <v>32</v>
      </c>
      <c r="M1925" t="s">
        <v>33</v>
      </c>
      <c r="P1925" s="1" t="s">
        <v>7087</v>
      </c>
      <c r="Q1925" s="1" t="s">
        <v>6700</v>
      </c>
      <c r="R1925" s="1" t="s">
        <v>6700</v>
      </c>
      <c r="S1925" s="1"/>
      <c r="T1925" s="1" t="s">
        <v>4322</v>
      </c>
      <c r="U1925" s="1" t="s">
        <v>4323</v>
      </c>
      <c r="V1925" s="1">
        <v>38.98</v>
      </c>
      <c r="W1925" s="1">
        <v>38.98</v>
      </c>
      <c r="X1925" s="1" t="s">
        <v>35</v>
      </c>
      <c r="Y1925" s="1">
        <v>38980.0</v>
      </c>
      <c r="Z1925" s="1"/>
      <c r="AA1925" s="1">
        <v>38980.0</v>
      </c>
      <c r="AB1925" s="1"/>
      <c r="AC1925" s="1" t="s">
        <v>36</v>
      </c>
      <c r="AD1925" s="1" t="s">
        <v>7088</v>
      </c>
      <c r="AE1925" s="1" t="s">
        <v>32</v>
      </c>
      <c r="AF1925" s="1" t="s">
        <v>33</v>
      </c>
      <c r="AG1925" s="1" t="s">
        <v>60</v>
      </c>
    </row>
    <row r="1926" spans="1:33">
      <c r="A1926" t="s">
        <v>7089</v>
      </c>
      <c r="C1926" t="s">
        <v>3478</v>
      </c>
      <c r="E1926" t="s">
        <v>6700</v>
      </c>
      <c r="F1926" t="s">
        <v>6255</v>
      </c>
      <c r="G1926">
        <v>320.0</v>
      </c>
      <c r="H1926">
        <v>320.0</v>
      </c>
      <c r="I1926" t="s">
        <v>173</v>
      </c>
      <c r="J1926" t="s">
        <v>174</v>
      </c>
      <c r="K1926" t="s">
        <v>31</v>
      </c>
      <c r="L1926" t="s">
        <v>32</v>
      </c>
      <c r="M1926" t="s">
        <v>33</v>
      </c>
      <c r="P1926" s="1" t="s">
        <v>7090</v>
      </c>
      <c r="Q1926" s="1" t="s">
        <v>6700</v>
      </c>
      <c r="R1926" s="1" t="s">
        <v>6700</v>
      </c>
      <c r="S1926" s="1"/>
      <c r="T1926" s="1" t="s">
        <v>3478</v>
      </c>
      <c r="U1926" s="1"/>
      <c r="V1926" s="1">
        <v>320.0</v>
      </c>
      <c r="W1926" s="1">
        <v>320.0</v>
      </c>
      <c r="X1926" s="1" t="s">
        <v>35</v>
      </c>
      <c r="Y1926" s="1">
        <v>320000.0</v>
      </c>
      <c r="Z1926" s="1"/>
      <c r="AA1926" s="1">
        <v>320000.0</v>
      </c>
      <c r="AB1926" s="1"/>
      <c r="AC1926" s="1" t="s">
        <v>36</v>
      </c>
      <c r="AD1926" s="1" t="s">
        <v>7091</v>
      </c>
      <c r="AE1926" s="1" t="s">
        <v>32</v>
      </c>
      <c r="AF1926" s="1" t="s">
        <v>33</v>
      </c>
      <c r="AG1926" s="1" t="s">
        <v>174</v>
      </c>
    </row>
    <row r="1927" spans="1:33">
      <c r="A1927" t="s">
        <v>7092</v>
      </c>
      <c r="B1927" t="s">
        <v>7093</v>
      </c>
      <c r="C1927" t="s">
        <v>47</v>
      </c>
      <c r="E1927" t="s">
        <v>6700</v>
      </c>
      <c r="F1927" t="s">
        <v>6255</v>
      </c>
      <c r="G1927">
        <v>20.99</v>
      </c>
      <c r="H1927">
        <v>20.99</v>
      </c>
      <c r="I1927" t="s">
        <v>48</v>
      </c>
      <c r="J1927" t="s">
        <v>49</v>
      </c>
      <c r="K1927" t="s">
        <v>31</v>
      </c>
      <c r="L1927" t="s">
        <v>32</v>
      </c>
      <c r="M1927" t="s">
        <v>33</v>
      </c>
      <c r="P1927" s="1" t="s">
        <v>7094</v>
      </c>
      <c r="Q1927" s="1" t="s">
        <v>6700</v>
      </c>
      <c r="R1927" s="1" t="s">
        <v>6700</v>
      </c>
      <c r="S1927" s="1"/>
      <c r="T1927" s="1" t="s">
        <v>47</v>
      </c>
      <c r="U1927" s="1"/>
      <c r="V1927" s="1">
        <v>20.99</v>
      </c>
      <c r="W1927" s="1">
        <v>20.99</v>
      </c>
      <c r="X1927" s="1" t="s">
        <v>35</v>
      </c>
      <c r="Y1927" s="1">
        <v>20990.0</v>
      </c>
      <c r="Z1927" s="1"/>
      <c r="AA1927" s="1">
        <v>20990.0</v>
      </c>
      <c r="AB1927" s="1"/>
      <c r="AC1927" s="1" t="s">
        <v>36</v>
      </c>
      <c r="AD1927" s="1" t="s">
        <v>7095</v>
      </c>
      <c r="AE1927" s="1" t="s">
        <v>32</v>
      </c>
      <c r="AF1927" s="1" t="s">
        <v>33</v>
      </c>
      <c r="AG1927" s="1" t="s">
        <v>49</v>
      </c>
    </row>
    <row r="1928" spans="1:33">
      <c r="A1928" t="s">
        <v>7096</v>
      </c>
      <c r="C1928" t="s">
        <v>2842</v>
      </c>
      <c r="E1928" t="s">
        <v>6700</v>
      </c>
      <c r="F1928" t="s">
        <v>6255</v>
      </c>
      <c r="G1928">
        <v>507.0</v>
      </c>
      <c r="H1928">
        <v>507.0</v>
      </c>
      <c r="I1928" t="s">
        <v>48</v>
      </c>
      <c r="J1928" t="s">
        <v>49</v>
      </c>
      <c r="K1928" t="s">
        <v>31</v>
      </c>
      <c r="L1928" t="s">
        <v>32</v>
      </c>
      <c r="M1928" t="s">
        <v>33</v>
      </c>
      <c r="P1928" s="1" t="s">
        <v>7097</v>
      </c>
      <c r="Q1928" s="1" t="s">
        <v>6700</v>
      </c>
      <c r="R1928" s="1" t="s">
        <v>6700</v>
      </c>
      <c r="S1928" s="1"/>
      <c r="T1928" s="1" t="s">
        <v>2842</v>
      </c>
      <c r="U1928" s="1"/>
      <c r="V1928" s="1">
        <v>507.0</v>
      </c>
      <c r="W1928" s="1">
        <v>507.0</v>
      </c>
      <c r="X1928" s="1" t="s">
        <v>35</v>
      </c>
      <c r="Y1928" s="1">
        <v>507000.0</v>
      </c>
      <c r="Z1928" s="1"/>
      <c r="AA1928" s="1">
        <v>507000.0</v>
      </c>
      <c r="AB1928" s="1"/>
      <c r="AC1928" s="1" t="s">
        <v>36</v>
      </c>
      <c r="AD1928" s="1" t="s">
        <v>7098</v>
      </c>
      <c r="AE1928" s="1" t="s">
        <v>32</v>
      </c>
      <c r="AF1928" s="1" t="s">
        <v>33</v>
      </c>
      <c r="AG1928" s="1" t="s">
        <v>49</v>
      </c>
    </row>
    <row r="1929" spans="1:33">
      <c r="A1929" t="s">
        <v>7099</v>
      </c>
      <c r="B1929" t="s">
        <v>7100</v>
      </c>
      <c r="C1929" t="s">
        <v>172</v>
      </c>
      <c r="E1929" t="s">
        <v>6700</v>
      </c>
      <c r="F1929" t="s">
        <v>6255</v>
      </c>
      <c r="G1929">
        <v>34.235</v>
      </c>
      <c r="H1929">
        <v>34.235</v>
      </c>
      <c r="I1929" t="s">
        <v>173</v>
      </c>
      <c r="J1929" t="s">
        <v>174</v>
      </c>
      <c r="K1929" t="s">
        <v>31</v>
      </c>
      <c r="L1929" t="s">
        <v>32</v>
      </c>
      <c r="M1929" t="s">
        <v>33</v>
      </c>
      <c r="P1929" s="1" t="s">
        <v>7101</v>
      </c>
      <c r="Q1929" s="1" t="s">
        <v>6700</v>
      </c>
      <c r="R1929" s="1" t="s">
        <v>6700</v>
      </c>
      <c r="S1929" s="1"/>
      <c r="T1929" s="1" t="s">
        <v>172</v>
      </c>
      <c r="U1929" s="1"/>
      <c r="V1929" s="1">
        <v>34.235</v>
      </c>
      <c r="W1929" s="1">
        <v>34.235</v>
      </c>
      <c r="X1929" s="1" t="s">
        <v>35</v>
      </c>
      <c r="Y1929" s="1">
        <v>34235.0</v>
      </c>
      <c r="Z1929" s="1"/>
      <c r="AA1929" s="1">
        <v>34235.0</v>
      </c>
      <c r="AB1929" s="1"/>
      <c r="AC1929" s="1" t="s">
        <v>36</v>
      </c>
      <c r="AD1929" s="1" t="s">
        <v>7102</v>
      </c>
      <c r="AE1929" s="1" t="s">
        <v>32</v>
      </c>
      <c r="AF1929" s="1" t="s">
        <v>33</v>
      </c>
      <c r="AG1929" s="1" t="s">
        <v>174</v>
      </c>
    </row>
    <row r="1930" spans="1:33">
      <c r="A1930" t="s">
        <v>7103</v>
      </c>
      <c r="B1930" t="s">
        <v>7104</v>
      </c>
      <c r="C1930" t="s">
        <v>68</v>
      </c>
      <c r="E1930" t="s">
        <v>6700</v>
      </c>
      <c r="F1930" t="s">
        <v>6255</v>
      </c>
      <c r="G1930">
        <v>34.673</v>
      </c>
      <c r="H1930">
        <v>34.673</v>
      </c>
      <c r="I1930" t="s">
        <v>59</v>
      </c>
      <c r="J1930" t="s">
        <v>60</v>
      </c>
      <c r="K1930" t="s">
        <v>31</v>
      </c>
      <c r="L1930" t="s">
        <v>32</v>
      </c>
      <c r="M1930" t="s">
        <v>33</v>
      </c>
      <c r="P1930" s="1" t="s">
        <v>7105</v>
      </c>
      <c r="Q1930" s="1" t="s">
        <v>6700</v>
      </c>
      <c r="R1930" s="1" t="s">
        <v>6700</v>
      </c>
      <c r="S1930" s="1"/>
      <c r="T1930" s="1" t="s">
        <v>68</v>
      </c>
      <c r="U1930" s="1"/>
      <c r="V1930" s="1">
        <v>34.673</v>
      </c>
      <c r="W1930" s="1">
        <v>34.673</v>
      </c>
      <c r="X1930" s="1" t="s">
        <v>35</v>
      </c>
      <c r="Y1930" s="1">
        <v>34673.0</v>
      </c>
      <c r="Z1930" s="1"/>
      <c r="AA1930" s="1">
        <v>34673.0</v>
      </c>
      <c r="AB1930" s="1"/>
      <c r="AC1930" s="1" t="s">
        <v>36</v>
      </c>
      <c r="AD1930" s="1" t="s">
        <v>7106</v>
      </c>
      <c r="AE1930" s="1" t="s">
        <v>32</v>
      </c>
      <c r="AF1930" s="1" t="s">
        <v>33</v>
      </c>
      <c r="AG1930" s="1" t="s">
        <v>60</v>
      </c>
    </row>
    <row r="1931" spans="1:33">
      <c r="A1931" t="s">
        <v>7107</v>
      </c>
      <c r="C1931" t="s">
        <v>2747</v>
      </c>
      <c r="E1931" t="s">
        <v>6700</v>
      </c>
      <c r="F1931" t="s">
        <v>6255</v>
      </c>
      <c r="G1931">
        <v>328.0</v>
      </c>
      <c r="H1931">
        <v>328.0</v>
      </c>
      <c r="I1931" t="s">
        <v>136</v>
      </c>
      <c r="J1931" t="s">
        <v>137</v>
      </c>
      <c r="K1931" t="s">
        <v>31</v>
      </c>
      <c r="L1931" t="s">
        <v>32</v>
      </c>
      <c r="M1931" t="s">
        <v>33</v>
      </c>
      <c r="P1931" s="1" t="s">
        <v>7108</v>
      </c>
      <c r="Q1931" s="1" t="s">
        <v>6700</v>
      </c>
      <c r="R1931" s="1" t="s">
        <v>6700</v>
      </c>
      <c r="S1931" s="1"/>
      <c r="T1931" s="1" t="s">
        <v>2747</v>
      </c>
      <c r="U1931" s="1"/>
      <c r="V1931" s="1">
        <v>328.0</v>
      </c>
      <c r="W1931" s="1">
        <v>328.0</v>
      </c>
      <c r="X1931" s="1" t="s">
        <v>35</v>
      </c>
      <c r="Y1931" s="1">
        <v>328000.0</v>
      </c>
      <c r="Z1931" s="1"/>
      <c r="AA1931" s="1">
        <v>328000.0</v>
      </c>
      <c r="AB1931" s="1"/>
      <c r="AC1931" s="1" t="s">
        <v>36</v>
      </c>
      <c r="AD1931" s="1" t="s">
        <v>7109</v>
      </c>
      <c r="AE1931" s="1" t="s">
        <v>32</v>
      </c>
      <c r="AF1931" s="1" t="s">
        <v>33</v>
      </c>
      <c r="AG1931" s="1" t="s">
        <v>137</v>
      </c>
    </row>
    <row r="1932" spans="1:33">
      <c r="A1932" t="s">
        <v>7110</v>
      </c>
      <c r="C1932" t="s">
        <v>2787</v>
      </c>
      <c r="E1932" t="s">
        <v>6700</v>
      </c>
      <c r="F1932" t="s">
        <v>6255</v>
      </c>
      <c r="G1932">
        <v>1.02</v>
      </c>
      <c r="H1932">
        <v>1.02</v>
      </c>
      <c r="I1932" t="s">
        <v>173</v>
      </c>
      <c r="J1932" t="s">
        <v>174</v>
      </c>
      <c r="K1932" t="s">
        <v>31</v>
      </c>
      <c r="L1932" t="s">
        <v>32</v>
      </c>
      <c r="M1932" t="s">
        <v>33</v>
      </c>
      <c r="P1932" s="1" t="s">
        <v>7111</v>
      </c>
      <c r="Q1932" s="1" t="s">
        <v>6700</v>
      </c>
      <c r="R1932" s="1" t="s">
        <v>6700</v>
      </c>
      <c r="S1932" s="1"/>
      <c r="T1932" s="1" t="s">
        <v>2789</v>
      </c>
      <c r="U1932" s="1" t="s">
        <v>2790</v>
      </c>
      <c r="V1932" s="1">
        <v>1.02</v>
      </c>
      <c r="W1932" s="1">
        <v>1.02</v>
      </c>
      <c r="X1932" s="1" t="s">
        <v>35</v>
      </c>
      <c r="Y1932" s="1">
        <v>1020000.0</v>
      </c>
      <c r="Z1932" s="1"/>
      <c r="AA1932" s="1">
        <v>1020000.0</v>
      </c>
      <c r="AB1932" s="1"/>
      <c r="AC1932" s="1" t="s">
        <v>36</v>
      </c>
      <c r="AD1932" s="1" t="s">
        <v>7112</v>
      </c>
      <c r="AE1932" s="1" t="s">
        <v>32</v>
      </c>
      <c r="AF1932" s="1" t="s">
        <v>33</v>
      </c>
      <c r="AG1932" s="1" t="s">
        <v>174</v>
      </c>
    </row>
    <row r="1933" spans="1:33">
      <c r="A1933" t="s">
        <v>7113</v>
      </c>
      <c r="C1933" t="s">
        <v>1692</v>
      </c>
      <c r="E1933" t="s">
        <v>6700</v>
      </c>
      <c r="F1933" t="s">
        <v>6255</v>
      </c>
      <c r="G1933">
        <v>730.0</v>
      </c>
      <c r="H1933">
        <v>730.0</v>
      </c>
      <c r="I1933" t="s">
        <v>179</v>
      </c>
      <c r="J1933" t="s">
        <v>180</v>
      </c>
      <c r="K1933" t="s">
        <v>31</v>
      </c>
      <c r="L1933" t="s">
        <v>32</v>
      </c>
      <c r="M1933" t="s">
        <v>33</v>
      </c>
      <c r="P1933" s="1" t="s">
        <v>7114</v>
      </c>
      <c r="Q1933" s="1" t="s">
        <v>6700</v>
      </c>
      <c r="R1933" s="1" t="s">
        <v>6700</v>
      </c>
      <c r="S1933" s="1"/>
      <c r="T1933" s="1" t="s">
        <v>1692</v>
      </c>
      <c r="U1933" s="1"/>
      <c r="V1933" s="1">
        <v>730.0</v>
      </c>
      <c r="W1933" s="1">
        <v>730.0</v>
      </c>
      <c r="X1933" s="1" t="s">
        <v>35</v>
      </c>
      <c r="Y1933" s="1">
        <v>730000.0</v>
      </c>
      <c r="Z1933" s="1"/>
      <c r="AA1933" s="1">
        <v>730000.0</v>
      </c>
      <c r="AB1933" s="1"/>
      <c r="AC1933" s="1" t="s">
        <v>36</v>
      </c>
      <c r="AD1933" s="1" t="s">
        <v>7115</v>
      </c>
      <c r="AE1933" s="1" t="s">
        <v>32</v>
      </c>
      <c r="AF1933" s="1" t="s">
        <v>33</v>
      </c>
      <c r="AG1933" s="1" t="s">
        <v>180</v>
      </c>
    </row>
    <row r="1934" spans="1:33">
      <c r="A1934" t="s">
        <v>7116</v>
      </c>
      <c r="B1934" t="s">
        <v>7117</v>
      </c>
      <c r="C1934" t="s">
        <v>47</v>
      </c>
      <c r="E1934" t="s">
        <v>6700</v>
      </c>
      <c r="F1934" t="s">
        <v>6255</v>
      </c>
      <c r="G1934">
        <v>80.98</v>
      </c>
      <c r="H1934">
        <v>80.98</v>
      </c>
      <c r="I1934" t="s">
        <v>48</v>
      </c>
      <c r="J1934" t="s">
        <v>49</v>
      </c>
      <c r="K1934" t="s">
        <v>31</v>
      </c>
      <c r="L1934" t="s">
        <v>32</v>
      </c>
      <c r="M1934" t="s">
        <v>33</v>
      </c>
      <c r="P1934" s="1" t="s">
        <v>7118</v>
      </c>
      <c r="Q1934" s="1" t="s">
        <v>6700</v>
      </c>
      <c r="R1934" s="1" t="s">
        <v>6700</v>
      </c>
      <c r="S1934" s="1"/>
      <c r="T1934" s="1" t="s">
        <v>47</v>
      </c>
      <c r="U1934" s="1"/>
      <c r="V1934" s="1">
        <v>80.98</v>
      </c>
      <c r="W1934" s="1">
        <v>80.98</v>
      </c>
      <c r="X1934" s="1" t="s">
        <v>35</v>
      </c>
      <c r="Y1934" s="1">
        <v>80980.0</v>
      </c>
      <c r="Z1934" s="1"/>
      <c r="AA1934" s="1">
        <v>80980.0</v>
      </c>
      <c r="AB1934" s="1"/>
      <c r="AC1934" s="1" t="s">
        <v>36</v>
      </c>
      <c r="AD1934" s="1" t="s">
        <v>7109</v>
      </c>
      <c r="AE1934" s="1" t="s">
        <v>32</v>
      </c>
      <c r="AF1934" s="1" t="s">
        <v>33</v>
      </c>
      <c r="AG1934" s="1" t="s">
        <v>49</v>
      </c>
    </row>
    <row r="1935" spans="1:33">
      <c r="A1935" t="s">
        <v>7119</v>
      </c>
      <c r="C1935" t="s">
        <v>755</v>
      </c>
      <c r="E1935" t="s">
        <v>6700</v>
      </c>
      <c r="F1935" t="s">
        <v>6255</v>
      </c>
      <c r="G1935">
        <v>1.052</v>
      </c>
      <c r="H1935">
        <v>1.052</v>
      </c>
      <c r="I1935" t="s">
        <v>136</v>
      </c>
      <c r="J1935" t="s">
        <v>137</v>
      </c>
      <c r="K1935" t="s">
        <v>31</v>
      </c>
      <c r="L1935" t="s">
        <v>32</v>
      </c>
      <c r="M1935" t="s">
        <v>33</v>
      </c>
      <c r="P1935" s="1" t="s">
        <v>7120</v>
      </c>
      <c r="Q1935" s="1" t="s">
        <v>6700</v>
      </c>
      <c r="R1935" s="1" t="s">
        <v>6700</v>
      </c>
      <c r="S1935" s="1"/>
      <c r="T1935" s="1" t="s">
        <v>757</v>
      </c>
      <c r="U1935" s="1" t="s">
        <v>758</v>
      </c>
      <c r="V1935" s="1">
        <v>1.052</v>
      </c>
      <c r="W1935" s="1">
        <v>1.052</v>
      </c>
      <c r="X1935" s="1" t="s">
        <v>35</v>
      </c>
      <c r="Y1935" s="1">
        <v>1052000.0</v>
      </c>
      <c r="Z1935" s="1"/>
      <c r="AA1935" s="1">
        <v>1052000.0</v>
      </c>
      <c r="AB1935" s="1"/>
      <c r="AC1935" s="1" t="s">
        <v>36</v>
      </c>
      <c r="AD1935" s="1" t="s">
        <v>7121</v>
      </c>
      <c r="AE1935" s="1" t="s">
        <v>32</v>
      </c>
      <c r="AF1935" s="1" t="s">
        <v>33</v>
      </c>
      <c r="AG1935" s="1" t="s">
        <v>137</v>
      </c>
    </row>
    <row r="1936" spans="1:33">
      <c r="A1936" t="s">
        <v>7122</v>
      </c>
      <c r="C1936" t="s">
        <v>1720</v>
      </c>
      <c r="E1936" t="s">
        <v>6700</v>
      </c>
      <c r="F1936" t="s">
        <v>6255</v>
      </c>
      <c r="G1936">
        <v>610.5</v>
      </c>
      <c r="H1936">
        <v>610.5</v>
      </c>
      <c r="I1936" t="s">
        <v>136</v>
      </c>
      <c r="J1936" t="s">
        <v>137</v>
      </c>
      <c r="K1936" t="s">
        <v>31</v>
      </c>
      <c r="L1936" t="s">
        <v>32</v>
      </c>
      <c r="M1936" t="s">
        <v>33</v>
      </c>
      <c r="P1936" s="1" t="s">
        <v>7123</v>
      </c>
      <c r="Q1936" s="1" t="s">
        <v>6700</v>
      </c>
      <c r="R1936" s="1" t="s">
        <v>6700</v>
      </c>
      <c r="S1936" s="1"/>
      <c r="T1936" s="1" t="s">
        <v>1720</v>
      </c>
      <c r="U1936" s="1"/>
      <c r="V1936" s="1">
        <v>610.5</v>
      </c>
      <c r="W1936" s="1">
        <v>610.5</v>
      </c>
      <c r="X1936" s="1" t="s">
        <v>35</v>
      </c>
      <c r="Y1936" s="1">
        <v>610500.0</v>
      </c>
      <c r="Z1936" s="1"/>
      <c r="AA1936" s="1">
        <v>610500.0</v>
      </c>
      <c r="AB1936" s="1"/>
      <c r="AC1936" s="1" t="s">
        <v>36</v>
      </c>
      <c r="AD1936" s="1" t="s">
        <v>7102</v>
      </c>
      <c r="AE1936" s="1" t="s">
        <v>32</v>
      </c>
      <c r="AF1936" s="1" t="s">
        <v>33</v>
      </c>
      <c r="AG1936" s="1" t="s">
        <v>137</v>
      </c>
    </row>
    <row r="1937" spans="1:33">
      <c r="A1937" t="s">
        <v>7124</v>
      </c>
      <c r="B1937" t="s">
        <v>7125</v>
      </c>
      <c r="C1937" t="s">
        <v>131</v>
      </c>
      <c r="E1937" t="s">
        <v>6700</v>
      </c>
      <c r="F1937" t="s">
        <v>6255</v>
      </c>
      <c r="G1937">
        <v>2.72</v>
      </c>
      <c r="H1937">
        <v>2.72</v>
      </c>
      <c r="I1937" t="s">
        <v>94</v>
      </c>
      <c r="J1937" t="s">
        <v>95</v>
      </c>
      <c r="K1937" t="s">
        <v>31</v>
      </c>
      <c r="L1937" t="s">
        <v>32</v>
      </c>
      <c r="M1937" t="s">
        <v>33</v>
      </c>
      <c r="P1937" s="1" t="s">
        <v>7126</v>
      </c>
      <c r="Q1937" s="1" t="s">
        <v>6700</v>
      </c>
      <c r="R1937" s="1" t="s">
        <v>6700</v>
      </c>
      <c r="S1937" s="1"/>
      <c r="T1937" s="1" t="s">
        <v>131</v>
      </c>
      <c r="U1937" s="1"/>
      <c r="V1937" s="1">
        <v>2.72</v>
      </c>
      <c r="W1937" s="1">
        <v>2.72</v>
      </c>
      <c r="X1937" s="1" t="s">
        <v>35</v>
      </c>
      <c r="Y1937" s="1">
        <v>2720.0</v>
      </c>
      <c r="Z1937" s="1"/>
      <c r="AA1937" s="1">
        <v>2720.0</v>
      </c>
      <c r="AB1937" s="1"/>
      <c r="AC1937" s="1" t="s">
        <v>36</v>
      </c>
      <c r="AD1937" s="1" t="s">
        <v>7127</v>
      </c>
      <c r="AE1937" s="1" t="s">
        <v>32</v>
      </c>
      <c r="AF1937" s="1" t="s">
        <v>33</v>
      </c>
      <c r="AG1937" s="1" t="s">
        <v>95</v>
      </c>
    </row>
    <row r="1938" spans="1:33">
      <c r="A1938" t="s">
        <v>7128</v>
      </c>
      <c r="C1938" t="s">
        <v>575</v>
      </c>
      <c r="E1938" t="s">
        <v>6700</v>
      </c>
      <c r="F1938" t="s">
        <v>6255</v>
      </c>
      <c r="G1938">
        <v>426.0</v>
      </c>
      <c r="H1938">
        <v>426.0</v>
      </c>
      <c r="I1938" t="s">
        <v>94</v>
      </c>
      <c r="J1938" t="s">
        <v>95</v>
      </c>
      <c r="K1938" t="s">
        <v>31</v>
      </c>
      <c r="L1938" t="s">
        <v>32</v>
      </c>
      <c r="M1938" t="s">
        <v>33</v>
      </c>
      <c r="P1938" s="1" t="s">
        <v>7129</v>
      </c>
      <c r="Q1938" s="1" t="s">
        <v>6700</v>
      </c>
      <c r="R1938" s="1" t="s">
        <v>6700</v>
      </c>
      <c r="S1938" s="1"/>
      <c r="T1938" s="1" t="s">
        <v>575</v>
      </c>
      <c r="U1938" s="1"/>
      <c r="V1938" s="1">
        <v>426.0</v>
      </c>
      <c r="W1938" s="1">
        <v>426.0</v>
      </c>
      <c r="X1938" s="1" t="s">
        <v>35</v>
      </c>
      <c r="Y1938" s="1">
        <v>426000.0</v>
      </c>
      <c r="Z1938" s="1"/>
      <c r="AA1938" s="1">
        <v>426000.0</v>
      </c>
      <c r="AB1938" s="1"/>
      <c r="AC1938" s="1" t="s">
        <v>36</v>
      </c>
      <c r="AD1938" s="1" t="s">
        <v>7115</v>
      </c>
      <c r="AE1938" s="1" t="s">
        <v>32</v>
      </c>
      <c r="AF1938" s="1" t="s">
        <v>33</v>
      </c>
      <c r="AG1938" s="1" t="s">
        <v>95</v>
      </c>
    </row>
    <row r="1939" spans="1:33">
      <c r="A1939" t="s">
        <v>7130</v>
      </c>
      <c r="C1939" t="s">
        <v>7131</v>
      </c>
      <c r="D1939" t="s">
        <v>154</v>
      </c>
      <c r="E1939" t="s">
        <v>6700</v>
      </c>
      <c r="F1939" t="s">
        <v>6255</v>
      </c>
      <c r="G1939">
        <v>914.0</v>
      </c>
      <c r="H1939">
        <v>914.0</v>
      </c>
      <c r="I1939" t="s">
        <v>173</v>
      </c>
      <c r="J1939" t="s">
        <v>174</v>
      </c>
      <c r="K1939" t="s">
        <v>31</v>
      </c>
      <c r="L1939" t="s">
        <v>32</v>
      </c>
      <c r="M1939" t="s">
        <v>33</v>
      </c>
      <c r="P1939" s="1" t="s">
        <v>7132</v>
      </c>
      <c r="Q1939" s="1" t="s">
        <v>6700</v>
      </c>
      <c r="R1939" s="1" t="s">
        <v>6700</v>
      </c>
      <c r="S1939" s="1"/>
      <c r="T1939" s="1" t="s">
        <v>7131</v>
      </c>
      <c r="U1939" s="1"/>
      <c r="V1939" s="1">
        <v>914.0</v>
      </c>
      <c r="W1939" s="1">
        <v>914.0</v>
      </c>
      <c r="X1939" s="1" t="s">
        <v>35</v>
      </c>
      <c r="Y1939" s="1">
        <v>914000.0</v>
      </c>
      <c r="Z1939" s="1"/>
      <c r="AA1939" s="1">
        <v>914000.0</v>
      </c>
      <c r="AB1939" s="1"/>
      <c r="AC1939" s="1" t="s">
        <v>36</v>
      </c>
      <c r="AD1939" s="1" t="s">
        <v>7127</v>
      </c>
      <c r="AE1939" s="1" t="s">
        <v>32</v>
      </c>
      <c r="AF1939" s="1" t="s">
        <v>33</v>
      </c>
      <c r="AG1939" s="1" t="s">
        <v>174</v>
      </c>
    </row>
    <row r="1940" spans="1:33">
      <c r="A1940" t="s">
        <v>7133</v>
      </c>
      <c r="B1940" t="s">
        <v>7134</v>
      </c>
      <c r="C1940" t="s">
        <v>68</v>
      </c>
      <c r="E1940" t="s">
        <v>6700</v>
      </c>
      <c r="F1940" t="s">
        <v>6255</v>
      </c>
      <c r="G1940">
        <v>81.468</v>
      </c>
      <c r="H1940">
        <v>81.468</v>
      </c>
      <c r="I1940" t="s">
        <v>59</v>
      </c>
      <c r="J1940" t="s">
        <v>60</v>
      </c>
      <c r="K1940" t="s">
        <v>31</v>
      </c>
      <c r="L1940" t="s">
        <v>32</v>
      </c>
      <c r="M1940" t="s">
        <v>33</v>
      </c>
      <c r="P1940" s="1" t="s">
        <v>7135</v>
      </c>
      <c r="Q1940" s="1" t="s">
        <v>6700</v>
      </c>
      <c r="R1940" s="1" t="s">
        <v>6700</v>
      </c>
      <c r="S1940" s="1"/>
      <c r="T1940" s="1" t="s">
        <v>68</v>
      </c>
      <c r="U1940" s="1"/>
      <c r="V1940" s="1">
        <v>81.468</v>
      </c>
      <c r="W1940" s="1">
        <v>81.468</v>
      </c>
      <c r="X1940" s="1" t="s">
        <v>35</v>
      </c>
      <c r="Y1940" s="1">
        <v>81468.0</v>
      </c>
      <c r="Z1940" s="1"/>
      <c r="AA1940" s="1">
        <v>81468.0</v>
      </c>
      <c r="AB1940" s="1"/>
      <c r="AC1940" s="1" t="s">
        <v>36</v>
      </c>
      <c r="AD1940" s="1" t="s">
        <v>7136</v>
      </c>
      <c r="AE1940" s="1" t="s">
        <v>32</v>
      </c>
      <c r="AF1940" s="1" t="s">
        <v>33</v>
      </c>
      <c r="AG1940" s="1" t="s">
        <v>60</v>
      </c>
    </row>
    <row r="1941" spans="1:33">
      <c r="A1941" t="s">
        <v>7137</v>
      </c>
      <c r="C1941" t="s">
        <v>2804</v>
      </c>
      <c r="E1941" t="s">
        <v>6700</v>
      </c>
      <c r="F1941" t="s">
        <v>6255</v>
      </c>
      <c r="G1941">
        <v>550.0</v>
      </c>
      <c r="H1941">
        <v>550.0</v>
      </c>
      <c r="I1941" t="s">
        <v>136</v>
      </c>
      <c r="J1941" t="s">
        <v>137</v>
      </c>
      <c r="K1941" t="s">
        <v>31</v>
      </c>
      <c r="L1941" t="s">
        <v>32</v>
      </c>
      <c r="M1941" t="s">
        <v>33</v>
      </c>
      <c r="P1941" s="1" t="s">
        <v>7138</v>
      </c>
      <c r="Q1941" s="1" t="s">
        <v>6700</v>
      </c>
      <c r="R1941" s="1" t="s">
        <v>6700</v>
      </c>
      <c r="S1941" s="1"/>
      <c r="T1941" s="1" t="s">
        <v>2804</v>
      </c>
      <c r="U1941" s="1"/>
      <c r="V1941" s="1">
        <v>550.0</v>
      </c>
      <c r="W1941" s="1">
        <v>550.0</v>
      </c>
      <c r="X1941" s="1" t="s">
        <v>35</v>
      </c>
      <c r="Y1941" s="1">
        <v>550000.0</v>
      </c>
      <c r="Z1941" s="1"/>
      <c r="AA1941" s="1">
        <v>550000.0</v>
      </c>
      <c r="AB1941" s="1"/>
      <c r="AC1941" s="1" t="s">
        <v>36</v>
      </c>
      <c r="AD1941" s="1" t="s">
        <v>7127</v>
      </c>
      <c r="AE1941" s="1" t="s">
        <v>32</v>
      </c>
      <c r="AF1941" s="1" t="s">
        <v>33</v>
      </c>
      <c r="AG1941" s="1" t="s">
        <v>137</v>
      </c>
    </row>
    <row r="1942" spans="1:33">
      <c r="A1942" t="s">
        <v>7139</v>
      </c>
      <c r="B1942" t="s">
        <v>7140</v>
      </c>
      <c r="C1942" t="s">
        <v>1298</v>
      </c>
      <c r="E1942" t="s">
        <v>6700</v>
      </c>
      <c r="F1942" t="s">
        <v>6255</v>
      </c>
      <c r="G1942">
        <v>20.99</v>
      </c>
      <c r="H1942">
        <v>20.99</v>
      </c>
      <c r="I1942" t="s">
        <v>529</v>
      </c>
      <c r="J1942" t="s">
        <v>530</v>
      </c>
      <c r="K1942" t="s">
        <v>31</v>
      </c>
      <c r="L1942" t="s">
        <v>32</v>
      </c>
      <c r="M1942" t="s">
        <v>33</v>
      </c>
      <c r="P1942" s="1" t="s">
        <v>7141</v>
      </c>
      <c r="Q1942" s="1" t="s">
        <v>6700</v>
      </c>
      <c r="R1942" s="1" t="s">
        <v>6133</v>
      </c>
      <c r="S1942" s="1"/>
      <c r="T1942" s="1" t="s">
        <v>1298</v>
      </c>
      <c r="U1942" s="1"/>
      <c r="V1942" s="1">
        <v>20.99</v>
      </c>
      <c r="W1942" s="1">
        <v>20.99</v>
      </c>
      <c r="X1942" s="1" t="s">
        <v>35</v>
      </c>
      <c r="Y1942" s="1">
        <v>20990.0</v>
      </c>
      <c r="Z1942" s="1"/>
      <c r="AA1942" s="1">
        <v>20990.0</v>
      </c>
      <c r="AB1942" s="1"/>
      <c r="AC1942" s="1" t="s">
        <v>36</v>
      </c>
      <c r="AD1942" s="1" t="s">
        <v>7142</v>
      </c>
      <c r="AE1942" s="1" t="s">
        <v>32</v>
      </c>
      <c r="AF1942" s="1" t="s">
        <v>33</v>
      </c>
      <c r="AG1942" s="1" t="s">
        <v>530</v>
      </c>
    </row>
    <row r="1943" spans="1:33">
      <c r="A1943" t="s">
        <v>7143</v>
      </c>
      <c r="B1943" t="s">
        <v>7144</v>
      </c>
      <c r="C1943" t="s">
        <v>47</v>
      </c>
      <c r="E1943" t="s">
        <v>6700</v>
      </c>
      <c r="F1943" t="s">
        <v>6255</v>
      </c>
      <c r="G1943">
        <v>7.818</v>
      </c>
      <c r="H1943">
        <v>7.818</v>
      </c>
      <c r="I1943" t="s">
        <v>48</v>
      </c>
      <c r="J1943" t="s">
        <v>49</v>
      </c>
      <c r="K1943" t="s">
        <v>31</v>
      </c>
      <c r="L1943" t="s">
        <v>32</v>
      </c>
      <c r="M1943" t="s">
        <v>33</v>
      </c>
      <c r="P1943" s="1" t="s">
        <v>7145</v>
      </c>
      <c r="Q1943" s="1" t="s">
        <v>6700</v>
      </c>
      <c r="R1943" s="1" t="s">
        <v>6700</v>
      </c>
      <c r="S1943" s="1"/>
      <c r="T1943" s="1" t="s">
        <v>47</v>
      </c>
      <c r="U1943" s="1"/>
      <c r="V1943" s="1">
        <v>7.818</v>
      </c>
      <c r="W1943" s="1">
        <v>7.818</v>
      </c>
      <c r="X1943" s="1" t="s">
        <v>35</v>
      </c>
      <c r="Y1943" s="1">
        <v>7818.0</v>
      </c>
      <c r="Z1943" s="1"/>
      <c r="AA1943" s="1">
        <v>7818.0</v>
      </c>
      <c r="AB1943" s="1"/>
      <c r="AC1943" s="1" t="s">
        <v>36</v>
      </c>
      <c r="AD1943" s="1" t="s">
        <v>7146</v>
      </c>
      <c r="AE1943" s="1" t="s">
        <v>32</v>
      </c>
      <c r="AF1943" s="1" t="s">
        <v>33</v>
      </c>
      <c r="AG1943" s="1" t="s">
        <v>49</v>
      </c>
    </row>
    <row r="1944" spans="1:33">
      <c r="A1944" t="s">
        <v>7147</v>
      </c>
      <c r="C1944" t="s">
        <v>1197</v>
      </c>
      <c r="D1944" t="s">
        <v>154</v>
      </c>
      <c r="E1944" t="s">
        <v>6700</v>
      </c>
      <c r="F1944" t="s">
        <v>6255</v>
      </c>
      <c r="G1944">
        <v>934.0</v>
      </c>
      <c r="H1944">
        <v>934.0</v>
      </c>
      <c r="I1944" t="s">
        <v>269</v>
      </c>
      <c r="J1944" t="s">
        <v>270</v>
      </c>
      <c r="K1944" t="s">
        <v>31</v>
      </c>
      <c r="L1944" t="s">
        <v>32</v>
      </c>
      <c r="M1944" t="s">
        <v>33</v>
      </c>
      <c r="P1944" s="1" t="s">
        <v>7148</v>
      </c>
      <c r="Q1944" s="1" t="s">
        <v>6700</v>
      </c>
      <c r="R1944" s="1" t="s">
        <v>6700</v>
      </c>
      <c r="S1944" s="1"/>
      <c r="T1944" s="1" t="s">
        <v>1197</v>
      </c>
      <c r="U1944" s="1"/>
      <c r="V1944" s="1">
        <v>934.0</v>
      </c>
      <c r="W1944" s="1">
        <v>934.0</v>
      </c>
      <c r="X1944" s="1" t="s">
        <v>35</v>
      </c>
      <c r="Y1944" s="1">
        <v>934000.0</v>
      </c>
      <c r="Z1944" s="1"/>
      <c r="AA1944" s="1">
        <v>934000.0</v>
      </c>
      <c r="AB1944" s="1"/>
      <c r="AC1944" s="1" t="s">
        <v>36</v>
      </c>
      <c r="AD1944" s="1" t="s">
        <v>7149</v>
      </c>
      <c r="AE1944" s="1" t="s">
        <v>32</v>
      </c>
      <c r="AF1944" s="1" t="s">
        <v>33</v>
      </c>
      <c r="AG1944" s="1" t="s">
        <v>270</v>
      </c>
    </row>
    <row r="1945" spans="1:33">
      <c r="A1945" t="s">
        <v>7150</v>
      </c>
      <c r="B1945" t="s">
        <v>4527</v>
      </c>
      <c r="C1945" t="s">
        <v>68</v>
      </c>
      <c r="E1945" t="s">
        <v>6700</v>
      </c>
      <c r="F1945" t="s">
        <v>6255</v>
      </c>
      <c r="G1945">
        <v>22.49</v>
      </c>
      <c r="H1945">
        <v>22.49</v>
      </c>
      <c r="I1945" t="s">
        <v>59</v>
      </c>
      <c r="J1945" t="s">
        <v>60</v>
      </c>
      <c r="K1945" t="s">
        <v>31</v>
      </c>
      <c r="L1945" t="s">
        <v>32</v>
      </c>
      <c r="M1945" t="s">
        <v>33</v>
      </c>
      <c r="P1945" s="1" t="s">
        <v>7151</v>
      </c>
      <c r="Q1945" s="1" t="s">
        <v>6700</v>
      </c>
      <c r="R1945" s="1" t="s">
        <v>6700</v>
      </c>
      <c r="S1945" s="1"/>
      <c r="T1945" s="1" t="s">
        <v>68</v>
      </c>
      <c r="U1945" s="1"/>
      <c r="V1945" s="1">
        <v>22.49</v>
      </c>
      <c r="W1945" s="1">
        <v>22.49</v>
      </c>
      <c r="X1945" s="1" t="s">
        <v>35</v>
      </c>
      <c r="Y1945" s="1">
        <v>22490.0</v>
      </c>
      <c r="Z1945" s="1"/>
      <c r="AA1945" s="1">
        <v>22490.0</v>
      </c>
      <c r="AB1945" s="1"/>
      <c r="AC1945" s="1" t="s">
        <v>36</v>
      </c>
      <c r="AD1945" s="1" t="s">
        <v>7152</v>
      </c>
      <c r="AE1945" s="1" t="s">
        <v>32</v>
      </c>
      <c r="AF1945" s="1" t="s">
        <v>33</v>
      </c>
      <c r="AG1945" s="1" t="s">
        <v>60</v>
      </c>
    </row>
    <row r="1946" spans="1:33">
      <c r="A1946" t="s">
        <v>7153</v>
      </c>
      <c r="B1946" t="s">
        <v>7154</v>
      </c>
      <c r="C1946" t="s">
        <v>314</v>
      </c>
      <c r="E1946" t="s">
        <v>6700</v>
      </c>
      <c r="F1946" t="s">
        <v>6255</v>
      </c>
      <c r="G1946">
        <v>33.74</v>
      </c>
      <c r="H1946">
        <v>33.74</v>
      </c>
      <c r="I1946" t="s">
        <v>179</v>
      </c>
      <c r="J1946" t="s">
        <v>180</v>
      </c>
      <c r="K1946" t="s">
        <v>31</v>
      </c>
      <c r="L1946" t="s">
        <v>32</v>
      </c>
      <c r="M1946" t="s">
        <v>33</v>
      </c>
      <c r="P1946" s="1" t="s">
        <v>7155</v>
      </c>
      <c r="Q1946" s="1" t="s">
        <v>6700</v>
      </c>
      <c r="R1946" s="1" t="s">
        <v>6700</v>
      </c>
      <c r="S1946" s="1"/>
      <c r="T1946" s="1" t="s">
        <v>314</v>
      </c>
      <c r="U1946" s="1"/>
      <c r="V1946" s="1">
        <v>33.74</v>
      </c>
      <c r="W1946" s="1">
        <v>33.74</v>
      </c>
      <c r="X1946" s="1" t="s">
        <v>35</v>
      </c>
      <c r="Y1946" s="1">
        <v>33740.0</v>
      </c>
      <c r="Z1946" s="1"/>
      <c r="AA1946" s="1">
        <v>33740.0</v>
      </c>
      <c r="AB1946" s="1"/>
      <c r="AC1946" s="1" t="s">
        <v>36</v>
      </c>
      <c r="AD1946" s="1" t="s">
        <v>7156</v>
      </c>
      <c r="AE1946" s="1" t="s">
        <v>32</v>
      </c>
      <c r="AF1946" s="1" t="s">
        <v>33</v>
      </c>
      <c r="AG1946" s="1" t="s">
        <v>180</v>
      </c>
    </row>
    <row r="1947" spans="1:33">
      <c r="A1947" t="s">
        <v>7157</v>
      </c>
      <c r="C1947" t="s">
        <v>2485</v>
      </c>
      <c r="E1947" t="s">
        <v>6700</v>
      </c>
      <c r="F1947" t="s">
        <v>6255</v>
      </c>
      <c r="G1947">
        <v>642.0</v>
      </c>
      <c r="H1947">
        <v>642.0</v>
      </c>
      <c r="I1947" t="s">
        <v>269</v>
      </c>
      <c r="J1947" t="s">
        <v>270</v>
      </c>
      <c r="K1947" t="s">
        <v>31</v>
      </c>
      <c r="L1947" t="s">
        <v>32</v>
      </c>
      <c r="M1947" t="s">
        <v>33</v>
      </c>
      <c r="P1947" s="1" t="s">
        <v>7158</v>
      </c>
      <c r="Q1947" s="1" t="s">
        <v>6700</v>
      </c>
      <c r="R1947" s="1" t="s">
        <v>6700</v>
      </c>
      <c r="S1947" s="1"/>
      <c r="T1947" s="1" t="s">
        <v>2485</v>
      </c>
      <c r="U1947" s="1"/>
      <c r="V1947" s="1">
        <v>642.0</v>
      </c>
      <c r="W1947" s="1">
        <v>642.0</v>
      </c>
      <c r="X1947" s="1" t="s">
        <v>35</v>
      </c>
      <c r="Y1947" s="1">
        <v>642000.0</v>
      </c>
      <c r="Z1947" s="1"/>
      <c r="AA1947" s="1">
        <v>642000.0</v>
      </c>
      <c r="AB1947" s="1"/>
      <c r="AC1947" s="1" t="s">
        <v>36</v>
      </c>
      <c r="AD1947" s="1" t="s">
        <v>7159</v>
      </c>
      <c r="AE1947" s="1" t="s">
        <v>32</v>
      </c>
      <c r="AF1947" s="1" t="s">
        <v>33</v>
      </c>
      <c r="AG1947" s="1" t="s">
        <v>270</v>
      </c>
    </row>
    <row r="1948" spans="1:33">
      <c r="A1948" t="s">
        <v>7160</v>
      </c>
      <c r="B1948" t="s">
        <v>3090</v>
      </c>
      <c r="C1948" t="s">
        <v>73</v>
      </c>
      <c r="E1948" t="s">
        <v>6700</v>
      </c>
      <c r="F1948" t="s">
        <v>6255</v>
      </c>
      <c r="G1948">
        <v>10.736</v>
      </c>
      <c r="H1948">
        <v>10.736</v>
      </c>
      <c r="I1948" t="s">
        <v>40</v>
      </c>
      <c r="J1948" t="s">
        <v>41</v>
      </c>
      <c r="K1948" t="s">
        <v>31</v>
      </c>
      <c r="L1948" t="s">
        <v>32</v>
      </c>
      <c r="M1948" t="s">
        <v>33</v>
      </c>
      <c r="P1948" s="1" t="s">
        <v>7161</v>
      </c>
      <c r="Q1948" s="1" t="s">
        <v>6700</v>
      </c>
      <c r="R1948" s="1" t="s">
        <v>6133</v>
      </c>
      <c r="S1948" s="1"/>
      <c r="T1948" s="1" t="s">
        <v>75</v>
      </c>
      <c r="U1948" s="1" t="s">
        <v>76</v>
      </c>
      <c r="V1948" s="1">
        <v>10.736</v>
      </c>
      <c r="W1948" s="1">
        <v>10.736</v>
      </c>
      <c r="X1948" s="1" t="s">
        <v>35</v>
      </c>
      <c r="Y1948" s="1">
        <v>10736.0</v>
      </c>
      <c r="Z1948" s="1"/>
      <c r="AA1948" s="1">
        <v>10736.0</v>
      </c>
      <c r="AB1948" s="1"/>
      <c r="AC1948" s="1" t="s">
        <v>36</v>
      </c>
      <c r="AD1948" s="1" t="s">
        <v>7162</v>
      </c>
      <c r="AE1948" s="1" t="s">
        <v>32</v>
      </c>
      <c r="AF1948" s="1" t="s">
        <v>33</v>
      </c>
      <c r="AG1948" s="1" t="s">
        <v>41</v>
      </c>
    </row>
    <row r="1949" spans="1:33">
      <c r="A1949" t="s">
        <v>7163</v>
      </c>
      <c r="C1949" t="s">
        <v>7164</v>
      </c>
      <c r="E1949" t="s">
        <v>6700</v>
      </c>
      <c r="F1949" t="s">
        <v>6255</v>
      </c>
      <c r="G1949">
        <v>1.0</v>
      </c>
      <c r="H1949">
        <v>1.0</v>
      </c>
      <c r="I1949" t="s">
        <v>269</v>
      </c>
      <c r="J1949" t="s">
        <v>270</v>
      </c>
      <c r="K1949" t="s">
        <v>31</v>
      </c>
      <c r="L1949" t="s">
        <v>32</v>
      </c>
      <c r="M1949" t="s">
        <v>33</v>
      </c>
      <c r="P1949" s="1" t="s">
        <v>7165</v>
      </c>
      <c r="Q1949" s="1" t="s">
        <v>6700</v>
      </c>
      <c r="R1949" s="1" t="s">
        <v>6700</v>
      </c>
      <c r="S1949" s="1"/>
      <c r="T1949" s="1" t="s">
        <v>7164</v>
      </c>
      <c r="U1949" s="1"/>
      <c r="V1949" s="1">
        <v>1.0</v>
      </c>
      <c r="W1949" s="1">
        <v>1.0</v>
      </c>
      <c r="X1949" s="1" t="s">
        <v>35</v>
      </c>
      <c r="Y1949" s="1">
        <v>1000000.0</v>
      </c>
      <c r="Z1949" s="1"/>
      <c r="AA1949" s="1">
        <v>1000000.0</v>
      </c>
      <c r="AB1949" s="1"/>
      <c r="AC1949" s="1" t="s">
        <v>36</v>
      </c>
      <c r="AD1949" s="1" t="s">
        <v>7166</v>
      </c>
      <c r="AE1949" s="1" t="s">
        <v>32</v>
      </c>
      <c r="AF1949" s="1" t="s">
        <v>33</v>
      </c>
      <c r="AG1949" s="1" t="s">
        <v>270</v>
      </c>
    </row>
    <row r="1950" spans="1:33">
      <c r="A1950" t="s">
        <v>7167</v>
      </c>
      <c r="C1950" t="s">
        <v>7168</v>
      </c>
      <c r="E1950" t="s">
        <v>6700</v>
      </c>
      <c r="F1950" t="s">
        <v>6255</v>
      </c>
      <c r="G1950">
        <v>1.685</v>
      </c>
      <c r="H1950">
        <v>1.685</v>
      </c>
      <c r="I1950" t="s">
        <v>48</v>
      </c>
      <c r="J1950" t="s">
        <v>49</v>
      </c>
      <c r="K1950" t="s">
        <v>31</v>
      </c>
      <c r="L1950" t="s">
        <v>32</v>
      </c>
      <c r="M1950" t="s">
        <v>33</v>
      </c>
      <c r="P1950" s="1" t="s">
        <v>7169</v>
      </c>
      <c r="Q1950" s="1" t="s">
        <v>6700</v>
      </c>
      <c r="R1950" s="1" t="s">
        <v>6700</v>
      </c>
      <c r="S1950" s="1"/>
      <c r="T1950" s="1" t="s">
        <v>7168</v>
      </c>
      <c r="U1950" s="1"/>
      <c r="V1950" s="1">
        <v>1.685</v>
      </c>
      <c r="W1950" s="1">
        <v>1.685</v>
      </c>
      <c r="X1950" s="1" t="s">
        <v>35</v>
      </c>
      <c r="Y1950" s="1">
        <v>1685000.0</v>
      </c>
      <c r="Z1950" s="1"/>
      <c r="AA1950" s="1">
        <v>1685000.0</v>
      </c>
      <c r="AB1950" s="1"/>
      <c r="AC1950" s="1" t="s">
        <v>36</v>
      </c>
      <c r="AD1950" s="1" t="s">
        <v>7170</v>
      </c>
      <c r="AE1950" s="1" t="s">
        <v>32</v>
      </c>
      <c r="AF1950" s="1" t="s">
        <v>33</v>
      </c>
      <c r="AG1950" s="1" t="s">
        <v>49</v>
      </c>
    </row>
    <row r="1951" spans="1:33">
      <c r="A1951" t="s">
        <v>7171</v>
      </c>
      <c r="C1951" t="s">
        <v>2989</v>
      </c>
      <c r="E1951" t="s">
        <v>6700</v>
      </c>
      <c r="F1951" t="s">
        <v>6255</v>
      </c>
      <c r="G1951">
        <v>1.64</v>
      </c>
      <c r="H1951">
        <v>1.64</v>
      </c>
      <c r="I1951" t="s">
        <v>136</v>
      </c>
      <c r="J1951" t="s">
        <v>137</v>
      </c>
      <c r="K1951" t="s">
        <v>31</v>
      </c>
      <c r="L1951" t="s">
        <v>32</v>
      </c>
      <c r="M1951" t="s">
        <v>33</v>
      </c>
      <c r="P1951" s="1" t="s">
        <v>7172</v>
      </c>
      <c r="Q1951" s="1" t="s">
        <v>6700</v>
      </c>
      <c r="R1951" s="1" t="s">
        <v>6700</v>
      </c>
      <c r="S1951" s="1"/>
      <c r="T1951" s="1" t="s">
        <v>2991</v>
      </c>
      <c r="U1951" s="1" t="s">
        <v>2992</v>
      </c>
      <c r="V1951" s="1">
        <v>1.64</v>
      </c>
      <c r="W1951" s="1">
        <v>1.64</v>
      </c>
      <c r="X1951" s="1" t="s">
        <v>35</v>
      </c>
      <c r="Y1951" s="1">
        <v>1640000.0</v>
      </c>
      <c r="Z1951" s="1"/>
      <c r="AA1951" s="1">
        <v>1640000.0</v>
      </c>
      <c r="AB1951" s="1"/>
      <c r="AC1951" s="1" t="s">
        <v>36</v>
      </c>
      <c r="AD1951" s="1" t="s">
        <v>7173</v>
      </c>
      <c r="AE1951" s="1" t="s">
        <v>32</v>
      </c>
      <c r="AF1951" s="1" t="s">
        <v>33</v>
      </c>
      <c r="AG1951" s="1" t="s">
        <v>137</v>
      </c>
    </row>
    <row r="1952" spans="1:33">
      <c r="A1952" t="s">
        <v>7174</v>
      </c>
      <c r="C1952" t="s">
        <v>1920</v>
      </c>
      <c r="E1952" t="s">
        <v>6700</v>
      </c>
      <c r="F1952" t="s">
        <v>6255</v>
      </c>
      <c r="G1952">
        <v>754.0</v>
      </c>
      <c r="H1952">
        <v>754.0</v>
      </c>
      <c r="I1952" t="s">
        <v>40</v>
      </c>
      <c r="J1952" t="s">
        <v>41</v>
      </c>
      <c r="K1952" t="s">
        <v>31</v>
      </c>
      <c r="L1952" t="s">
        <v>32</v>
      </c>
      <c r="M1952" t="s">
        <v>33</v>
      </c>
      <c r="P1952" s="1" t="s">
        <v>7175</v>
      </c>
      <c r="Q1952" s="1" t="s">
        <v>6700</v>
      </c>
      <c r="R1952" s="1" t="s">
        <v>6133</v>
      </c>
      <c r="S1952" s="1"/>
      <c r="T1952" s="1" t="s">
        <v>1920</v>
      </c>
      <c r="U1952" s="1"/>
      <c r="V1952" s="1">
        <v>754.0</v>
      </c>
      <c r="W1952" s="1">
        <v>754.0</v>
      </c>
      <c r="X1952" s="1" t="s">
        <v>35</v>
      </c>
      <c r="Y1952" s="1">
        <v>754000.0</v>
      </c>
      <c r="Z1952" s="1"/>
      <c r="AA1952" s="1">
        <v>754000.0</v>
      </c>
      <c r="AB1952" s="1"/>
      <c r="AC1952" s="1" t="s">
        <v>36</v>
      </c>
      <c r="AD1952" s="1" t="s">
        <v>7176</v>
      </c>
      <c r="AE1952" s="1" t="s">
        <v>32</v>
      </c>
      <c r="AF1952" s="1" t="s">
        <v>33</v>
      </c>
      <c r="AG1952" s="1" t="s">
        <v>41</v>
      </c>
    </row>
    <row r="1953" spans="1:33">
      <c r="A1953" t="s">
        <v>7177</v>
      </c>
      <c r="B1953" t="s">
        <v>7178</v>
      </c>
      <c r="C1953" t="s">
        <v>268</v>
      </c>
      <c r="E1953" t="s">
        <v>6700</v>
      </c>
      <c r="F1953" t="s">
        <v>6255</v>
      </c>
      <c r="G1953">
        <v>45.15</v>
      </c>
      <c r="H1953">
        <v>45.15</v>
      </c>
      <c r="I1953" t="s">
        <v>269</v>
      </c>
      <c r="J1953" t="s">
        <v>270</v>
      </c>
      <c r="K1953" t="s">
        <v>31</v>
      </c>
      <c r="L1953" t="s">
        <v>32</v>
      </c>
      <c r="M1953" t="s">
        <v>33</v>
      </c>
      <c r="P1953" s="1" t="s">
        <v>7179</v>
      </c>
      <c r="Q1953" s="1" t="s">
        <v>6700</v>
      </c>
      <c r="R1953" s="1" t="s">
        <v>6700</v>
      </c>
      <c r="S1953" s="1"/>
      <c r="T1953" s="1" t="s">
        <v>268</v>
      </c>
      <c r="U1953" s="1"/>
      <c r="V1953" s="1">
        <v>45.15</v>
      </c>
      <c r="W1953" s="1">
        <v>45.15</v>
      </c>
      <c r="X1953" s="1" t="s">
        <v>35</v>
      </c>
      <c r="Y1953" s="1">
        <v>45150.0</v>
      </c>
      <c r="Z1953" s="1"/>
      <c r="AA1953" s="1">
        <v>45150.0</v>
      </c>
      <c r="AB1953" s="1"/>
      <c r="AC1953" s="1" t="s">
        <v>36</v>
      </c>
      <c r="AD1953" s="1" t="s">
        <v>7180</v>
      </c>
      <c r="AE1953" s="1" t="s">
        <v>32</v>
      </c>
      <c r="AF1953" s="1" t="s">
        <v>33</v>
      </c>
      <c r="AG1953" s="1" t="s">
        <v>270</v>
      </c>
    </row>
    <row r="1954" spans="1:33">
      <c r="A1954" t="s">
        <v>7181</v>
      </c>
      <c r="C1954" t="s">
        <v>7182</v>
      </c>
      <c r="D1954" t="s">
        <v>154</v>
      </c>
      <c r="E1954" t="s">
        <v>6700</v>
      </c>
      <c r="F1954" t="s">
        <v>6255</v>
      </c>
      <c r="G1954">
        <v>420.0</v>
      </c>
      <c r="H1954">
        <v>420.0</v>
      </c>
      <c r="I1954" t="s">
        <v>126</v>
      </c>
      <c r="J1954" t="s">
        <v>127</v>
      </c>
      <c r="K1954" t="s">
        <v>31</v>
      </c>
      <c r="L1954" t="s">
        <v>32</v>
      </c>
      <c r="M1954" t="s">
        <v>33</v>
      </c>
      <c r="P1954" s="1" t="s">
        <v>7183</v>
      </c>
      <c r="Q1954" s="1" t="s">
        <v>6700</v>
      </c>
      <c r="R1954" s="1" t="s">
        <v>6700</v>
      </c>
      <c r="S1954" s="1"/>
      <c r="T1954" s="1" t="s">
        <v>7184</v>
      </c>
      <c r="U1954" s="1" t="s">
        <v>7185</v>
      </c>
      <c r="V1954" s="1">
        <v>420.0</v>
      </c>
      <c r="W1954" s="1">
        <v>420.0</v>
      </c>
      <c r="X1954" s="1" t="s">
        <v>35</v>
      </c>
      <c r="Y1954" s="1">
        <v>420000.0</v>
      </c>
      <c r="Z1954" s="1"/>
      <c r="AA1954" s="1">
        <v>420000.0</v>
      </c>
      <c r="AB1954" s="1"/>
      <c r="AC1954" s="1" t="s">
        <v>36</v>
      </c>
      <c r="AD1954" s="1" t="s">
        <v>7176</v>
      </c>
      <c r="AE1954" s="1" t="s">
        <v>32</v>
      </c>
      <c r="AF1954" s="1" t="s">
        <v>33</v>
      </c>
      <c r="AG1954" s="1" t="s">
        <v>127</v>
      </c>
    </row>
    <row r="1955" spans="1:33">
      <c r="A1955" t="s">
        <v>7186</v>
      </c>
      <c r="C1955" t="s">
        <v>7187</v>
      </c>
      <c r="E1955" t="s">
        <v>6700</v>
      </c>
      <c r="F1955" t="s">
        <v>6255</v>
      </c>
      <c r="G1955">
        <v>290.0</v>
      </c>
      <c r="H1955">
        <v>290.0</v>
      </c>
      <c r="I1955" t="s">
        <v>40</v>
      </c>
      <c r="J1955" t="s">
        <v>41</v>
      </c>
      <c r="K1955" t="s">
        <v>31</v>
      </c>
      <c r="L1955" t="s">
        <v>32</v>
      </c>
      <c r="M1955" t="s">
        <v>33</v>
      </c>
      <c r="P1955" s="1" t="s">
        <v>7188</v>
      </c>
      <c r="Q1955" s="1" t="s">
        <v>6700</v>
      </c>
      <c r="R1955" s="1" t="s">
        <v>6133</v>
      </c>
      <c r="S1955" s="1"/>
      <c r="T1955" s="1" t="s">
        <v>7187</v>
      </c>
      <c r="U1955" s="1"/>
      <c r="V1955" s="1">
        <v>290.0</v>
      </c>
      <c r="W1955" s="1">
        <v>290.0</v>
      </c>
      <c r="X1955" s="1" t="s">
        <v>35</v>
      </c>
      <c r="Y1955" s="1">
        <v>290000.0</v>
      </c>
      <c r="Z1955" s="1"/>
      <c r="AA1955" s="1">
        <v>290000.0</v>
      </c>
      <c r="AB1955" s="1"/>
      <c r="AC1955" s="1" t="s">
        <v>36</v>
      </c>
      <c r="AD1955" s="1" t="s">
        <v>7189</v>
      </c>
      <c r="AE1955" s="1" t="s">
        <v>32</v>
      </c>
      <c r="AF1955" s="1" t="s">
        <v>33</v>
      </c>
      <c r="AG1955" s="1" t="s">
        <v>41</v>
      </c>
    </row>
    <row r="1956" spans="1:33">
      <c r="A1956" t="s">
        <v>7190</v>
      </c>
      <c r="C1956" t="s">
        <v>595</v>
      </c>
      <c r="E1956" t="s">
        <v>6700</v>
      </c>
      <c r="F1956" t="s">
        <v>6255</v>
      </c>
      <c r="G1956">
        <v>1.118</v>
      </c>
      <c r="H1956">
        <v>1.118</v>
      </c>
      <c r="I1956" t="s">
        <v>269</v>
      </c>
      <c r="J1956" t="s">
        <v>270</v>
      </c>
      <c r="K1956" t="s">
        <v>31</v>
      </c>
      <c r="L1956" t="s">
        <v>32</v>
      </c>
      <c r="M1956" t="s">
        <v>33</v>
      </c>
      <c r="P1956" s="1" t="s">
        <v>7191</v>
      </c>
      <c r="Q1956" s="1" t="s">
        <v>6700</v>
      </c>
      <c r="R1956" s="1" t="s">
        <v>6700</v>
      </c>
      <c r="S1956" s="1"/>
      <c r="T1956" s="1" t="s">
        <v>595</v>
      </c>
      <c r="U1956" s="1"/>
      <c r="V1956" s="1">
        <v>1.118</v>
      </c>
      <c r="W1956" s="1">
        <v>1.118</v>
      </c>
      <c r="X1956" s="1" t="s">
        <v>35</v>
      </c>
      <c r="Y1956" s="1">
        <v>1118000.0</v>
      </c>
      <c r="Z1956" s="1"/>
      <c r="AA1956" s="1">
        <v>1118000.0</v>
      </c>
      <c r="AB1956" s="1"/>
      <c r="AC1956" s="1" t="s">
        <v>36</v>
      </c>
      <c r="AD1956" s="1" t="s">
        <v>7176</v>
      </c>
      <c r="AE1956" s="1" t="s">
        <v>32</v>
      </c>
      <c r="AF1956" s="1" t="s">
        <v>33</v>
      </c>
      <c r="AG1956" s="1" t="s">
        <v>270</v>
      </c>
    </row>
    <row r="1957" spans="1:33">
      <c r="A1957" t="s">
        <v>7192</v>
      </c>
      <c r="B1957" t="s">
        <v>7193</v>
      </c>
      <c r="C1957" t="s">
        <v>73</v>
      </c>
      <c r="E1957" t="s">
        <v>6700</v>
      </c>
      <c r="F1957" t="s">
        <v>6255</v>
      </c>
      <c r="G1957">
        <v>21.747</v>
      </c>
      <c r="H1957">
        <v>21.747</v>
      </c>
      <c r="I1957" t="s">
        <v>40</v>
      </c>
      <c r="J1957" t="s">
        <v>41</v>
      </c>
      <c r="K1957" t="s">
        <v>31</v>
      </c>
      <c r="L1957" t="s">
        <v>32</v>
      </c>
      <c r="M1957" t="s">
        <v>33</v>
      </c>
      <c r="P1957" s="1" t="s">
        <v>7194</v>
      </c>
      <c r="Q1957" s="1" t="s">
        <v>6700</v>
      </c>
      <c r="R1957" s="1" t="s">
        <v>6133</v>
      </c>
      <c r="S1957" s="1"/>
      <c r="T1957" s="1" t="s">
        <v>75</v>
      </c>
      <c r="U1957" s="1" t="s">
        <v>76</v>
      </c>
      <c r="V1957" s="1">
        <v>21.747</v>
      </c>
      <c r="W1957" s="1">
        <v>21.747</v>
      </c>
      <c r="X1957" s="1" t="s">
        <v>35</v>
      </c>
      <c r="Y1957" s="1">
        <v>21747.0</v>
      </c>
      <c r="Z1957" s="1"/>
      <c r="AA1957" s="1">
        <v>21747.0</v>
      </c>
      <c r="AB1957" s="1"/>
      <c r="AC1957" s="1" t="s">
        <v>36</v>
      </c>
      <c r="AD1957" s="1" t="s">
        <v>7195</v>
      </c>
      <c r="AE1957" s="1" t="s">
        <v>32</v>
      </c>
      <c r="AF1957" s="1" t="s">
        <v>33</v>
      </c>
      <c r="AG1957" s="1" t="s">
        <v>41</v>
      </c>
    </row>
    <row r="1958" spans="1:33">
      <c r="A1958" t="s">
        <v>7196</v>
      </c>
      <c r="B1958" t="s">
        <v>7197</v>
      </c>
      <c r="C1958" t="s">
        <v>569</v>
      </c>
      <c r="E1958" t="s">
        <v>6700</v>
      </c>
      <c r="F1958" t="s">
        <v>6255</v>
      </c>
      <c r="G1958">
        <v>6.408</v>
      </c>
      <c r="H1958">
        <v>6.408</v>
      </c>
      <c r="I1958" t="s">
        <v>570</v>
      </c>
      <c r="J1958" t="s">
        <v>571</v>
      </c>
      <c r="K1958" t="s">
        <v>31</v>
      </c>
      <c r="L1958" t="s">
        <v>32</v>
      </c>
      <c r="M1958" t="s">
        <v>33</v>
      </c>
      <c r="P1958" s="1" t="s">
        <v>7198</v>
      </c>
      <c r="Q1958" s="1" t="s">
        <v>6700</v>
      </c>
      <c r="R1958" s="1" t="s">
        <v>6700</v>
      </c>
      <c r="S1958" s="1"/>
      <c r="T1958" s="1" t="s">
        <v>569</v>
      </c>
      <c r="U1958" s="1"/>
      <c r="V1958" s="1">
        <v>6.408</v>
      </c>
      <c r="W1958" s="1">
        <v>6.408</v>
      </c>
      <c r="X1958" s="1" t="s">
        <v>35</v>
      </c>
      <c r="Y1958" s="1">
        <v>6408.0</v>
      </c>
      <c r="Z1958" s="1"/>
      <c r="AA1958" s="1">
        <v>6408.0</v>
      </c>
      <c r="AB1958" s="1"/>
      <c r="AC1958" s="1" t="s">
        <v>36</v>
      </c>
      <c r="AD1958" s="1" t="s">
        <v>7199</v>
      </c>
      <c r="AE1958" s="1" t="s">
        <v>32</v>
      </c>
      <c r="AF1958" s="1" t="s">
        <v>33</v>
      </c>
      <c r="AG1958" s="1" t="s">
        <v>571</v>
      </c>
    </row>
    <row r="1959" spans="1:33">
      <c r="A1959" t="s">
        <v>7200</v>
      </c>
      <c r="C1959" t="s">
        <v>7201</v>
      </c>
      <c r="E1959" t="s">
        <v>6700</v>
      </c>
      <c r="F1959" t="s">
        <v>6255</v>
      </c>
      <c r="G1959">
        <v>723.0</v>
      </c>
      <c r="H1959">
        <v>723.0</v>
      </c>
      <c r="I1959" t="s">
        <v>126</v>
      </c>
      <c r="J1959" t="s">
        <v>127</v>
      </c>
      <c r="K1959" t="s">
        <v>31</v>
      </c>
      <c r="L1959" t="s">
        <v>32</v>
      </c>
      <c r="M1959" t="s">
        <v>33</v>
      </c>
      <c r="P1959" s="1" t="s">
        <v>7202</v>
      </c>
      <c r="Q1959" s="1" t="s">
        <v>6700</v>
      </c>
      <c r="R1959" s="1" t="s">
        <v>6700</v>
      </c>
      <c r="S1959" s="1"/>
      <c r="T1959" s="1" t="s">
        <v>7201</v>
      </c>
      <c r="U1959" s="1"/>
      <c r="V1959" s="1">
        <v>723.0</v>
      </c>
      <c r="W1959" s="1">
        <v>723.0</v>
      </c>
      <c r="X1959" s="1" t="s">
        <v>35</v>
      </c>
      <c r="Y1959" s="1">
        <v>723000</v>
      </c>
      <c r="Z1959" s="1"/>
      <c r="AA1959" s="1">
        <v>723000</v>
      </c>
      <c r="AB1959" s="1"/>
      <c r="AC1959" s="1" t="s">
        <v>36</v>
      </c>
      <c r="AD1959" s="1" t="s">
        <v>7203</v>
      </c>
      <c r="AE1959" s="1" t="s">
        <v>32</v>
      </c>
      <c r="AF1959" s="1" t="s">
        <v>33</v>
      </c>
      <c r="AG1959" s="1" t="s">
        <v>127</v>
      </c>
    </row>
    <row r="1960" spans="1:33">
      <c r="A1960" t="s">
        <v>7204</v>
      </c>
      <c r="C1960" t="s">
        <v>7205</v>
      </c>
      <c r="E1960" t="s">
        <v>6700</v>
      </c>
      <c r="F1960" t="s">
        <v>6255</v>
      </c>
      <c r="G1960">
        <v>504.0</v>
      </c>
      <c r="H1960">
        <v>504.0</v>
      </c>
      <c r="I1960" t="s">
        <v>94</v>
      </c>
      <c r="J1960" t="s">
        <v>95</v>
      </c>
      <c r="K1960" t="s">
        <v>31</v>
      </c>
      <c r="L1960" t="s">
        <v>32</v>
      </c>
      <c r="M1960" t="s">
        <v>33</v>
      </c>
      <c r="P1960" s="1" t="s">
        <v>7206</v>
      </c>
      <c r="Q1960" s="1" t="s">
        <v>6700</v>
      </c>
      <c r="R1960" s="1" t="s">
        <v>6700</v>
      </c>
      <c r="S1960" s="1"/>
      <c r="T1960" s="1" t="s">
        <v>7205</v>
      </c>
      <c r="U1960" s="1"/>
      <c r="V1960" s="1">
        <v>504.0</v>
      </c>
      <c r="W1960" s="1">
        <v>504.0</v>
      </c>
      <c r="X1960" s="1" t="s">
        <v>35</v>
      </c>
      <c r="Y1960" s="1">
        <v>504000.0</v>
      </c>
      <c r="Z1960" s="1"/>
      <c r="AA1960" s="1">
        <v>504000.0</v>
      </c>
      <c r="AB1960" s="1"/>
      <c r="AC1960" s="1" t="s">
        <v>36</v>
      </c>
      <c r="AD1960" s="1" t="s">
        <v>7207</v>
      </c>
      <c r="AE1960" s="1" t="s">
        <v>32</v>
      </c>
      <c r="AF1960" s="1" t="s">
        <v>33</v>
      </c>
      <c r="AG1960" s="1" t="s">
        <v>95</v>
      </c>
    </row>
    <row r="1961" spans="1:33">
      <c r="A1961" t="s">
        <v>7208</v>
      </c>
      <c r="C1961" t="s">
        <v>2833</v>
      </c>
      <c r="E1961" t="s">
        <v>6700</v>
      </c>
      <c r="F1961" t="s">
        <v>6255</v>
      </c>
      <c r="G1961">
        <v>508.0</v>
      </c>
      <c r="H1961">
        <v>508.0</v>
      </c>
      <c r="I1961" t="s">
        <v>227</v>
      </c>
      <c r="J1961" t="s">
        <v>228</v>
      </c>
      <c r="K1961" t="s">
        <v>31</v>
      </c>
      <c r="L1961" t="s">
        <v>32</v>
      </c>
      <c r="M1961" t="s">
        <v>33</v>
      </c>
      <c r="P1961" s="1" t="s">
        <v>7209</v>
      </c>
      <c r="Q1961" s="1" t="s">
        <v>6700</v>
      </c>
      <c r="R1961" s="1" t="s">
        <v>6700</v>
      </c>
      <c r="S1961" s="1"/>
      <c r="T1961" s="1" t="s">
        <v>2833</v>
      </c>
      <c r="U1961" s="1"/>
      <c r="V1961" s="1">
        <v>508.0</v>
      </c>
      <c r="W1961" s="1">
        <v>508.0</v>
      </c>
      <c r="X1961" s="1" t="s">
        <v>35</v>
      </c>
      <c r="Y1961" s="1">
        <v>508000.0</v>
      </c>
      <c r="Z1961" s="1"/>
      <c r="AA1961" s="1">
        <v>508000.0</v>
      </c>
      <c r="AB1961" s="1"/>
      <c r="AC1961" s="1" t="s">
        <v>36</v>
      </c>
      <c r="AD1961" s="1" t="s">
        <v>7199</v>
      </c>
      <c r="AE1961" s="1" t="s">
        <v>32</v>
      </c>
      <c r="AF1961" s="1" t="s">
        <v>33</v>
      </c>
      <c r="AG1961" s="1" t="s">
        <v>228</v>
      </c>
    </row>
    <row r="1962" spans="1:33">
      <c r="A1962" t="s">
        <v>7210</v>
      </c>
      <c r="C1962" t="s">
        <v>667</v>
      </c>
      <c r="D1962" t="s">
        <v>114</v>
      </c>
      <c r="E1962" t="s">
        <v>6700</v>
      </c>
      <c r="F1962" t="s">
        <v>6255</v>
      </c>
      <c r="G1962">
        <v>352.0</v>
      </c>
      <c r="H1962">
        <v>352.0</v>
      </c>
      <c r="I1962" t="s">
        <v>179</v>
      </c>
      <c r="J1962" t="s">
        <v>180</v>
      </c>
      <c r="K1962" t="s">
        <v>31</v>
      </c>
      <c r="L1962" t="s">
        <v>32</v>
      </c>
      <c r="M1962" t="s">
        <v>33</v>
      </c>
      <c r="P1962" s="1" t="s">
        <v>7211</v>
      </c>
      <c r="Q1962" s="1" t="s">
        <v>6700</v>
      </c>
      <c r="R1962" s="1" t="s">
        <v>6700</v>
      </c>
      <c r="S1962" s="1"/>
      <c r="T1962" s="1" t="s">
        <v>667</v>
      </c>
      <c r="U1962" s="1"/>
      <c r="V1962" s="1">
        <v>352.0</v>
      </c>
      <c r="W1962" s="1">
        <v>352.0</v>
      </c>
      <c r="X1962" s="1" t="s">
        <v>35</v>
      </c>
      <c r="Y1962" s="1">
        <v>352000.0</v>
      </c>
      <c r="Z1962" s="1"/>
      <c r="AA1962" s="1">
        <v>352000.0</v>
      </c>
      <c r="AB1962" s="1"/>
      <c r="AC1962" s="1" t="s">
        <v>36</v>
      </c>
      <c r="AD1962" s="1" t="s">
        <v>7212</v>
      </c>
      <c r="AE1962" s="1" t="s">
        <v>32</v>
      </c>
      <c r="AF1962" s="1" t="s">
        <v>33</v>
      </c>
      <c r="AG1962" s="1" t="s">
        <v>180</v>
      </c>
    </row>
    <row r="1963" spans="1:33">
      <c r="A1963" t="s">
        <v>7213</v>
      </c>
      <c r="C1963" t="s">
        <v>2635</v>
      </c>
      <c r="E1963" t="s">
        <v>6700</v>
      </c>
      <c r="F1963" t="s">
        <v>6255</v>
      </c>
      <c r="G1963">
        <v>533.25</v>
      </c>
      <c r="H1963">
        <v>533.25</v>
      </c>
      <c r="I1963" t="s">
        <v>48</v>
      </c>
      <c r="J1963" t="s">
        <v>49</v>
      </c>
      <c r="K1963" t="s">
        <v>31</v>
      </c>
      <c r="L1963" t="s">
        <v>32</v>
      </c>
      <c r="M1963" t="s">
        <v>33</v>
      </c>
      <c r="P1963" s="1" t="s">
        <v>7214</v>
      </c>
      <c r="Q1963" s="1" t="s">
        <v>6700</v>
      </c>
      <c r="R1963" s="1" t="s">
        <v>6700</v>
      </c>
      <c r="S1963" s="1"/>
      <c r="T1963" s="1" t="s">
        <v>2635</v>
      </c>
      <c r="U1963" s="1"/>
      <c r="V1963" s="1">
        <v>533.25</v>
      </c>
      <c r="W1963" s="1">
        <v>533.25</v>
      </c>
      <c r="X1963" s="1" t="s">
        <v>35</v>
      </c>
      <c r="Y1963" s="1">
        <v>533250.0</v>
      </c>
      <c r="Z1963" s="1"/>
      <c r="AA1963" s="1">
        <v>533250.0</v>
      </c>
      <c r="AB1963" s="1"/>
      <c r="AC1963" s="1" t="s">
        <v>36</v>
      </c>
      <c r="AD1963" s="1" t="s">
        <v>7215</v>
      </c>
      <c r="AE1963" s="1" t="s">
        <v>32</v>
      </c>
      <c r="AF1963" s="1" t="s">
        <v>33</v>
      </c>
      <c r="AG1963" s="1" t="s">
        <v>49</v>
      </c>
    </row>
    <row r="1964" spans="1:33">
      <c r="A1964" t="s">
        <v>7216</v>
      </c>
      <c r="B1964" t="s">
        <v>7217</v>
      </c>
      <c r="C1964" t="s">
        <v>314</v>
      </c>
      <c r="E1964" t="s">
        <v>6700</v>
      </c>
      <c r="F1964" t="s">
        <v>6255</v>
      </c>
      <c r="G1964">
        <v>18.59</v>
      </c>
      <c r="H1964">
        <v>18.59</v>
      </c>
      <c r="I1964" t="s">
        <v>179</v>
      </c>
      <c r="J1964" t="s">
        <v>180</v>
      </c>
      <c r="K1964" t="s">
        <v>31</v>
      </c>
      <c r="L1964" t="s">
        <v>32</v>
      </c>
      <c r="M1964" t="s">
        <v>33</v>
      </c>
      <c r="P1964" s="1" t="s">
        <v>7218</v>
      </c>
      <c r="Q1964" s="1" t="s">
        <v>6700</v>
      </c>
      <c r="R1964" s="1" t="s">
        <v>6700</v>
      </c>
      <c r="S1964" s="1"/>
      <c r="T1964" s="1" t="s">
        <v>314</v>
      </c>
      <c r="U1964" s="1"/>
      <c r="V1964" s="1">
        <v>18.59</v>
      </c>
      <c r="W1964" s="1">
        <v>18.59</v>
      </c>
      <c r="X1964" s="1" t="s">
        <v>35</v>
      </c>
      <c r="Y1964" s="1">
        <v>18590.0</v>
      </c>
      <c r="Z1964" s="1"/>
      <c r="AA1964" s="1">
        <v>18590.0</v>
      </c>
      <c r="AB1964" s="1"/>
      <c r="AC1964" s="1" t="s">
        <v>36</v>
      </c>
      <c r="AD1964" s="1" t="s">
        <v>7219</v>
      </c>
      <c r="AE1964" s="1" t="s">
        <v>32</v>
      </c>
      <c r="AF1964" s="1" t="s">
        <v>33</v>
      </c>
      <c r="AG1964" s="1" t="s">
        <v>180</v>
      </c>
    </row>
    <row r="1965" spans="1:33">
      <c r="A1965" t="s">
        <v>7220</v>
      </c>
      <c r="B1965" t="s">
        <v>4602</v>
      </c>
      <c r="C1965" t="s">
        <v>314</v>
      </c>
      <c r="E1965" t="s">
        <v>6700</v>
      </c>
      <c r="F1965" t="s">
        <v>6255</v>
      </c>
      <c r="G1965">
        <v>98.16</v>
      </c>
      <c r="H1965">
        <v>98.16</v>
      </c>
      <c r="I1965" t="s">
        <v>179</v>
      </c>
      <c r="J1965" t="s">
        <v>180</v>
      </c>
      <c r="K1965" t="s">
        <v>31</v>
      </c>
      <c r="L1965" t="s">
        <v>32</v>
      </c>
      <c r="M1965" t="s">
        <v>33</v>
      </c>
      <c r="P1965" s="1" t="s">
        <v>7221</v>
      </c>
      <c r="Q1965" s="1" t="s">
        <v>6700</v>
      </c>
      <c r="R1965" s="1" t="s">
        <v>6700</v>
      </c>
      <c r="S1965" s="1"/>
      <c r="T1965" s="1" t="s">
        <v>314</v>
      </c>
      <c r="U1965" s="1"/>
      <c r="V1965" s="1">
        <v>98.16</v>
      </c>
      <c r="W1965" s="1">
        <v>98.16</v>
      </c>
      <c r="X1965" s="1" t="s">
        <v>35</v>
      </c>
      <c r="Y1965" s="1">
        <v>98160.0</v>
      </c>
      <c r="Z1965" s="1"/>
      <c r="AA1965" s="1">
        <v>98160.0</v>
      </c>
      <c r="AB1965" s="1"/>
      <c r="AC1965" s="1" t="s">
        <v>36</v>
      </c>
      <c r="AD1965" s="1" t="s">
        <v>7222</v>
      </c>
      <c r="AE1965" s="1" t="s">
        <v>32</v>
      </c>
      <c r="AF1965" s="1" t="s">
        <v>33</v>
      </c>
      <c r="AG1965" s="1" t="s">
        <v>180</v>
      </c>
    </row>
    <row r="1966" spans="1:33">
      <c r="A1966" t="s">
        <v>7223</v>
      </c>
      <c r="B1966" t="s">
        <v>7224</v>
      </c>
      <c r="C1966" t="s">
        <v>73</v>
      </c>
      <c r="E1966" t="s">
        <v>6700</v>
      </c>
      <c r="F1966" t="s">
        <v>6255</v>
      </c>
      <c r="G1966">
        <v>8.996</v>
      </c>
      <c r="H1966">
        <v>8.996</v>
      </c>
      <c r="I1966" t="s">
        <v>40</v>
      </c>
      <c r="J1966" t="s">
        <v>41</v>
      </c>
      <c r="K1966" t="s">
        <v>31</v>
      </c>
      <c r="L1966" t="s">
        <v>32</v>
      </c>
      <c r="M1966" t="s">
        <v>33</v>
      </c>
      <c r="P1966" s="1" t="s">
        <v>7225</v>
      </c>
      <c r="Q1966" s="1" t="s">
        <v>6700</v>
      </c>
      <c r="R1966" s="1" t="s">
        <v>6133</v>
      </c>
      <c r="S1966" s="1"/>
      <c r="T1966" s="1" t="s">
        <v>75</v>
      </c>
      <c r="U1966" s="1" t="s">
        <v>76</v>
      </c>
      <c r="V1966" s="1">
        <v>8.996</v>
      </c>
      <c r="W1966" s="1">
        <v>8.996</v>
      </c>
      <c r="X1966" s="1" t="s">
        <v>35</v>
      </c>
      <c r="Y1966" s="1">
        <v>8996.0</v>
      </c>
      <c r="Z1966" s="1"/>
      <c r="AA1966" s="1">
        <v>8996.0</v>
      </c>
      <c r="AB1966" s="1"/>
      <c r="AC1966" s="1" t="s">
        <v>36</v>
      </c>
      <c r="AD1966" s="1" t="s">
        <v>7203</v>
      </c>
      <c r="AE1966" s="1" t="s">
        <v>32</v>
      </c>
      <c r="AF1966" s="1" t="s">
        <v>33</v>
      </c>
      <c r="AG1966" s="1" t="s">
        <v>41</v>
      </c>
    </row>
    <row r="1967" spans="1:33">
      <c r="A1967" t="s">
        <v>7226</v>
      </c>
      <c r="C1967" t="s">
        <v>586</v>
      </c>
      <c r="E1967" t="s">
        <v>6700</v>
      </c>
      <c r="F1967" t="s">
        <v>6255</v>
      </c>
      <c r="G1967">
        <v>17.5</v>
      </c>
      <c r="H1967">
        <v>17.5</v>
      </c>
      <c r="I1967" t="s">
        <v>269</v>
      </c>
      <c r="J1967" t="s">
        <v>270</v>
      </c>
      <c r="K1967" t="s">
        <v>31</v>
      </c>
      <c r="L1967" t="s">
        <v>32</v>
      </c>
      <c r="M1967" t="s">
        <v>33</v>
      </c>
      <c r="P1967" s="1" t="s">
        <v>7227</v>
      </c>
      <c r="Q1967" s="1" t="s">
        <v>6700</v>
      </c>
      <c r="R1967" s="1" t="s">
        <v>6700</v>
      </c>
      <c r="S1967" s="1"/>
      <c r="T1967" s="1" t="s">
        <v>586</v>
      </c>
      <c r="U1967" s="1"/>
      <c r="V1967" s="1">
        <v>17.5</v>
      </c>
      <c r="W1967" s="1">
        <v>17.5</v>
      </c>
      <c r="X1967" s="1" t="s">
        <v>35</v>
      </c>
      <c r="Y1967" s="1">
        <v>17500.0</v>
      </c>
      <c r="Z1967" s="1"/>
      <c r="AA1967" s="1">
        <v>17500.0</v>
      </c>
      <c r="AB1967" s="1"/>
      <c r="AC1967" s="1" t="s">
        <v>36</v>
      </c>
      <c r="AD1967" s="1" t="s">
        <v>7228</v>
      </c>
      <c r="AE1967" s="1" t="s">
        <v>32</v>
      </c>
      <c r="AF1967" s="1" t="s">
        <v>33</v>
      </c>
      <c r="AG1967" s="1" t="s">
        <v>270</v>
      </c>
    </row>
    <row r="1968" spans="1:33">
      <c r="A1968" t="s">
        <v>7229</v>
      </c>
      <c r="B1968" t="s">
        <v>7230</v>
      </c>
      <c r="C1968" t="s">
        <v>47</v>
      </c>
      <c r="E1968" t="s">
        <v>6700</v>
      </c>
      <c r="F1968" t="s">
        <v>6255</v>
      </c>
      <c r="G1968">
        <v>69.84</v>
      </c>
      <c r="H1968">
        <v>69.84</v>
      </c>
      <c r="I1968" t="s">
        <v>48</v>
      </c>
      <c r="J1968" t="s">
        <v>49</v>
      </c>
      <c r="K1968" t="s">
        <v>31</v>
      </c>
      <c r="L1968" t="s">
        <v>32</v>
      </c>
      <c r="M1968" t="s">
        <v>33</v>
      </c>
      <c r="P1968" s="1" t="s">
        <v>7231</v>
      </c>
      <c r="Q1968" s="1" t="s">
        <v>6700</v>
      </c>
      <c r="R1968" s="1" t="s">
        <v>6700</v>
      </c>
      <c r="S1968" s="1"/>
      <c r="T1968" s="1" t="s">
        <v>47</v>
      </c>
      <c r="U1968" s="1"/>
      <c r="V1968" s="1">
        <v>69.84</v>
      </c>
      <c r="W1968" s="1">
        <v>69.84</v>
      </c>
      <c r="X1968" s="1" t="s">
        <v>35</v>
      </c>
      <c r="Y1968" s="1">
        <v>69840.0</v>
      </c>
      <c r="Z1968" s="1"/>
      <c r="AA1968" s="1">
        <v>69840.0</v>
      </c>
      <c r="AB1968" s="1"/>
      <c r="AC1968" s="1" t="s">
        <v>36</v>
      </c>
      <c r="AD1968" s="1" t="s">
        <v>7232</v>
      </c>
      <c r="AE1968" s="1" t="s">
        <v>32</v>
      </c>
      <c r="AF1968" s="1" t="s">
        <v>33</v>
      </c>
      <c r="AG1968" s="1" t="s">
        <v>49</v>
      </c>
    </row>
    <row r="1969" spans="1:33">
      <c r="A1969" t="s">
        <v>7233</v>
      </c>
      <c r="B1969" t="s">
        <v>360</v>
      </c>
      <c r="C1969" t="s">
        <v>68</v>
      </c>
      <c r="E1969" t="s">
        <v>6700</v>
      </c>
      <c r="F1969" t="s">
        <v>6255</v>
      </c>
      <c r="G1969">
        <v>1.3</v>
      </c>
      <c r="H1969">
        <v>1.3</v>
      </c>
      <c r="I1969" t="s">
        <v>59</v>
      </c>
      <c r="J1969" t="s">
        <v>60</v>
      </c>
      <c r="K1969" t="s">
        <v>31</v>
      </c>
      <c r="L1969" t="s">
        <v>32</v>
      </c>
      <c r="M1969" t="s">
        <v>33</v>
      </c>
      <c r="P1969" s="1" t="s">
        <v>7234</v>
      </c>
      <c r="Q1969" s="1" t="s">
        <v>6700</v>
      </c>
      <c r="R1969" s="1" t="s">
        <v>6700</v>
      </c>
      <c r="S1969" s="1"/>
      <c r="T1969" s="1" t="s">
        <v>68</v>
      </c>
      <c r="U1969" s="1"/>
      <c r="V1969" s="1">
        <v>1.3</v>
      </c>
      <c r="W1969" s="1">
        <v>1.3</v>
      </c>
      <c r="X1969" s="1" t="s">
        <v>35</v>
      </c>
      <c r="Y1969" s="1">
        <v>1300.0</v>
      </c>
      <c r="Z1969" s="1"/>
      <c r="AA1969" s="1">
        <v>1300.0</v>
      </c>
      <c r="AB1969" s="1"/>
      <c r="AC1969" s="1" t="s">
        <v>36</v>
      </c>
      <c r="AD1969" s="1" t="s">
        <v>7235</v>
      </c>
      <c r="AE1969" s="1" t="s">
        <v>32</v>
      </c>
      <c r="AF1969" s="1" t="s">
        <v>33</v>
      </c>
      <c r="AG1969" s="1" t="s">
        <v>60</v>
      </c>
    </row>
    <row r="1970" spans="1:33">
      <c r="A1970" t="s">
        <v>7236</v>
      </c>
      <c r="B1970" t="s">
        <v>7237</v>
      </c>
      <c r="C1970" t="s">
        <v>125</v>
      </c>
      <c r="E1970" t="s">
        <v>6700</v>
      </c>
      <c r="F1970" t="s">
        <v>6255</v>
      </c>
      <c r="G1970">
        <v>6.498</v>
      </c>
      <c r="H1970">
        <v>6.498</v>
      </c>
      <c r="I1970" t="s">
        <v>126</v>
      </c>
      <c r="J1970" t="s">
        <v>127</v>
      </c>
      <c r="K1970" t="s">
        <v>31</v>
      </c>
      <c r="L1970" t="s">
        <v>32</v>
      </c>
      <c r="M1970" t="s">
        <v>33</v>
      </c>
      <c r="P1970" s="1" t="s">
        <v>7238</v>
      </c>
      <c r="Q1970" s="1" t="s">
        <v>6700</v>
      </c>
      <c r="R1970" s="1" t="s">
        <v>6700</v>
      </c>
      <c r="S1970" s="1"/>
      <c r="T1970" s="1" t="s">
        <v>125</v>
      </c>
      <c r="U1970" s="1"/>
      <c r="V1970" s="1">
        <v>6.498</v>
      </c>
      <c r="W1970" s="1">
        <v>6.498</v>
      </c>
      <c r="X1970" s="1" t="s">
        <v>35</v>
      </c>
      <c r="Y1970" s="1">
        <v>6498.0</v>
      </c>
      <c r="Z1970" s="1"/>
      <c r="AA1970" s="1">
        <v>6498.0</v>
      </c>
      <c r="AB1970" s="1"/>
      <c r="AC1970" s="1" t="s">
        <v>36</v>
      </c>
      <c r="AD1970" s="1" t="s">
        <v>7239</v>
      </c>
      <c r="AE1970" s="1" t="s">
        <v>32</v>
      </c>
      <c r="AF1970" s="1" t="s">
        <v>33</v>
      </c>
      <c r="AG1970" s="1" t="s">
        <v>127</v>
      </c>
    </row>
    <row r="1971" spans="1:33">
      <c r="A1971" t="s">
        <v>7240</v>
      </c>
      <c r="C1971" t="s">
        <v>3871</v>
      </c>
      <c r="E1971" t="s">
        <v>6700</v>
      </c>
      <c r="F1971" t="s">
        <v>6255</v>
      </c>
      <c r="G1971">
        <v>536.0</v>
      </c>
      <c r="H1971">
        <v>536.0</v>
      </c>
      <c r="I1971" t="s">
        <v>570</v>
      </c>
      <c r="J1971" t="s">
        <v>571</v>
      </c>
      <c r="K1971" t="s">
        <v>31</v>
      </c>
      <c r="L1971" t="s">
        <v>32</v>
      </c>
      <c r="M1971" t="s">
        <v>33</v>
      </c>
      <c r="P1971" s="1" t="s">
        <v>7241</v>
      </c>
      <c r="Q1971" s="1" t="s">
        <v>6700</v>
      </c>
      <c r="R1971" s="1" t="s">
        <v>6700</v>
      </c>
      <c r="S1971" s="1"/>
      <c r="T1971" s="1" t="s">
        <v>3871</v>
      </c>
      <c r="U1971" s="1"/>
      <c r="V1971" s="1">
        <v>536.0</v>
      </c>
      <c r="W1971" s="1">
        <v>536.0</v>
      </c>
      <c r="X1971" s="1" t="s">
        <v>35</v>
      </c>
      <c r="Y1971" s="1">
        <v>536000.0</v>
      </c>
      <c r="Z1971" s="1"/>
      <c r="AA1971" s="1">
        <v>536000.0</v>
      </c>
      <c r="AB1971" s="1"/>
      <c r="AC1971" s="1" t="s">
        <v>36</v>
      </c>
      <c r="AD1971" s="1" t="s">
        <v>7242</v>
      </c>
      <c r="AE1971" s="1" t="s">
        <v>32</v>
      </c>
      <c r="AF1971" s="1" t="s">
        <v>33</v>
      </c>
      <c r="AG1971" s="1" t="s">
        <v>571</v>
      </c>
    </row>
    <row r="1972" spans="1:33">
      <c r="A1972" t="s">
        <v>7243</v>
      </c>
      <c r="C1972" t="s">
        <v>7244</v>
      </c>
      <c r="D1972" t="s">
        <v>114</v>
      </c>
      <c r="E1972" t="s">
        <v>6700</v>
      </c>
      <c r="F1972" t="s">
        <v>6255</v>
      </c>
      <c r="G1972">
        <v>840.0</v>
      </c>
      <c r="H1972">
        <v>840.0</v>
      </c>
      <c r="I1972" t="s">
        <v>126</v>
      </c>
      <c r="J1972" t="s">
        <v>127</v>
      </c>
      <c r="K1972" t="s">
        <v>31</v>
      </c>
      <c r="L1972" t="s">
        <v>32</v>
      </c>
      <c r="M1972" t="s">
        <v>33</v>
      </c>
      <c r="P1972" s="1" t="s">
        <v>7245</v>
      </c>
      <c r="Q1972" s="1" t="s">
        <v>6700</v>
      </c>
      <c r="R1972" s="1" t="s">
        <v>6700</v>
      </c>
      <c r="S1972" s="1"/>
      <c r="T1972" s="1" t="s">
        <v>7244</v>
      </c>
      <c r="U1972" s="1"/>
      <c r="V1972" s="1">
        <v>840.0</v>
      </c>
      <c r="W1972" s="1">
        <v>840.0</v>
      </c>
      <c r="X1972" s="1" t="s">
        <v>35</v>
      </c>
      <c r="Y1972" s="1">
        <v>840000.0</v>
      </c>
      <c r="Z1972" s="1"/>
      <c r="AA1972" s="1">
        <v>840000.0</v>
      </c>
      <c r="AB1972" s="1"/>
      <c r="AC1972" s="1" t="s">
        <v>36</v>
      </c>
      <c r="AD1972" s="1" t="s">
        <v>7212</v>
      </c>
      <c r="AE1972" s="1" t="s">
        <v>32</v>
      </c>
      <c r="AF1972" s="1" t="s">
        <v>33</v>
      </c>
      <c r="AG1972" s="1" t="s">
        <v>127</v>
      </c>
    </row>
    <row r="1973" spans="1:33">
      <c r="A1973" t="s">
        <v>7246</v>
      </c>
      <c r="B1973" t="s">
        <v>7247</v>
      </c>
      <c r="C1973" t="s">
        <v>314</v>
      </c>
      <c r="E1973" t="s">
        <v>6700</v>
      </c>
      <c r="F1973" t="s">
        <v>6255</v>
      </c>
      <c r="G1973">
        <v>17.88</v>
      </c>
      <c r="H1973">
        <v>17.88</v>
      </c>
      <c r="I1973" t="s">
        <v>179</v>
      </c>
      <c r="J1973" t="s">
        <v>180</v>
      </c>
      <c r="K1973" t="s">
        <v>31</v>
      </c>
      <c r="L1973" t="s">
        <v>32</v>
      </c>
      <c r="M1973" t="s">
        <v>33</v>
      </c>
      <c r="P1973" s="1" t="s">
        <v>7248</v>
      </c>
      <c r="Q1973" s="1" t="s">
        <v>6700</v>
      </c>
      <c r="R1973" s="1" t="s">
        <v>6700</v>
      </c>
      <c r="S1973" s="1"/>
      <c r="T1973" s="1" t="s">
        <v>314</v>
      </c>
      <c r="U1973" s="1"/>
      <c r="V1973" s="1">
        <v>17.88</v>
      </c>
      <c r="W1973" s="1">
        <v>17.88</v>
      </c>
      <c r="X1973" s="1" t="s">
        <v>35</v>
      </c>
      <c r="Y1973" s="1">
        <v>17880.0</v>
      </c>
      <c r="Z1973" s="1"/>
      <c r="AA1973" s="1">
        <v>17880.0</v>
      </c>
      <c r="AB1973" s="1"/>
      <c r="AC1973" s="1" t="s">
        <v>36</v>
      </c>
      <c r="AD1973" s="1" t="s">
        <v>7249</v>
      </c>
      <c r="AE1973" s="1" t="s">
        <v>32</v>
      </c>
      <c r="AF1973" s="1" t="s">
        <v>33</v>
      </c>
      <c r="AG1973" s="1" t="s">
        <v>180</v>
      </c>
    </row>
    <row r="1974" spans="1:33">
      <c r="A1974" t="s">
        <v>7250</v>
      </c>
      <c r="B1974" t="s">
        <v>7251</v>
      </c>
      <c r="C1974" t="s">
        <v>268</v>
      </c>
      <c r="E1974" t="s">
        <v>6700</v>
      </c>
      <c r="F1974" t="s">
        <v>6255</v>
      </c>
      <c r="G1974">
        <v>28.25</v>
      </c>
      <c r="H1974">
        <v>28.25</v>
      </c>
      <c r="I1974" t="s">
        <v>269</v>
      </c>
      <c r="J1974" t="s">
        <v>270</v>
      </c>
      <c r="K1974" t="s">
        <v>31</v>
      </c>
      <c r="L1974" t="s">
        <v>32</v>
      </c>
      <c r="M1974" t="s">
        <v>33</v>
      </c>
      <c r="P1974" s="1" t="s">
        <v>7252</v>
      </c>
      <c r="Q1974" s="1" t="s">
        <v>6700</v>
      </c>
      <c r="R1974" s="1" t="s">
        <v>6700</v>
      </c>
      <c r="S1974" s="1"/>
      <c r="T1974" s="1" t="s">
        <v>268</v>
      </c>
      <c r="U1974" s="1"/>
      <c r="V1974" s="1">
        <v>28.25</v>
      </c>
      <c r="W1974" s="1">
        <v>28.25</v>
      </c>
      <c r="X1974" s="1" t="s">
        <v>35</v>
      </c>
      <c r="Y1974" s="1">
        <v>28250.0</v>
      </c>
      <c r="Z1974" s="1"/>
      <c r="AA1974" s="1">
        <v>28250.0</v>
      </c>
      <c r="AB1974" s="1"/>
      <c r="AC1974" s="1" t="s">
        <v>36</v>
      </c>
      <c r="AD1974" s="1" t="s">
        <v>7249</v>
      </c>
      <c r="AE1974" s="1" t="s">
        <v>32</v>
      </c>
      <c r="AF1974" s="1" t="s">
        <v>33</v>
      </c>
      <c r="AG1974" s="1" t="s">
        <v>270</v>
      </c>
    </row>
    <row r="1975" spans="1:33">
      <c r="A1975" t="s">
        <v>7253</v>
      </c>
      <c r="C1975" t="s">
        <v>7254</v>
      </c>
      <c r="E1975" t="s">
        <v>6700</v>
      </c>
      <c r="F1975" t="s">
        <v>6255</v>
      </c>
      <c r="G1975">
        <v>630.0</v>
      </c>
      <c r="H1975">
        <v>630.0</v>
      </c>
      <c r="I1975" t="s">
        <v>173</v>
      </c>
      <c r="J1975" t="s">
        <v>174</v>
      </c>
      <c r="K1975" t="s">
        <v>31</v>
      </c>
      <c r="L1975" t="s">
        <v>32</v>
      </c>
      <c r="M1975" t="s">
        <v>33</v>
      </c>
      <c r="P1975" s="1" t="s">
        <v>7255</v>
      </c>
      <c r="Q1975" s="1" t="s">
        <v>6700</v>
      </c>
      <c r="R1975" s="1" t="s">
        <v>6700</v>
      </c>
      <c r="S1975" s="1"/>
      <c r="T1975" s="1" t="s">
        <v>7254</v>
      </c>
      <c r="U1975" s="1"/>
      <c r="V1975" s="1">
        <v>630.0</v>
      </c>
      <c r="W1975" s="1">
        <v>630.0</v>
      </c>
      <c r="X1975" s="1" t="s">
        <v>35</v>
      </c>
      <c r="Y1975" s="1">
        <v>630000.0</v>
      </c>
      <c r="Z1975" s="1"/>
      <c r="AA1975" s="1">
        <v>630000.0</v>
      </c>
      <c r="AB1975" s="1"/>
      <c r="AC1975" s="1" t="s">
        <v>36</v>
      </c>
      <c r="AD1975" s="1" t="s">
        <v>7256</v>
      </c>
      <c r="AE1975" s="1" t="s">
        <v>32</v>
      </c>
      <c r="AF1975" s="1" t="s">
        <v>33</v>
      </c>
      <c r="AG1975" s="1" t="s">
        <v>174</v>
      </c>
    </row>
    <row r="1976" spans="1:33">
      <c r="A1976" t="s">
        <v>7257</v>
      </c>
      <c r="B1976" t="s">
        <v>6529</v>
      </c>
      <c r="C1976" t="s">
        <v>6530</v>
      </c>
      <c r="E1976" t="s">
        <v>6700</v>
      </c>
      <c r="F1976" t="s">
        <v>6255</v>
      </c>
      <c r="G1976">
        <v>11.716</v>
      </c>
      <c r="H1976">
        <v>11.716</v>
      </c>
      <c r="I1976" t="s">
        <v>59</v>
      </c>
      <c r="J1976" t="s">
        <v>60</v>
      </c>
      <c r="K1976" t="s">
        <v>31</v>
      </c>
      <c r="L1976" t="s">
        <v>32</v>
      </c>
      <c r="M1976" t="s">
        <v>33</v>
      </c>
      <c r="P1976" s="1" t="s">
        <v>7258</v>
      </c>
      <c r="Q1976" s="1" t="s">
        <v>6700</v>
      </c>
      <c r="R1976" s="1" t="s">
        <v>6700</v>
      </c>
      <c r="S1976" s="1"/>
      <c r="T1976" s="1" t="s">
        <v>6530</v>
      </c>
      <c r="U1976" s="1"/>
      <c r="V1976" s="1">
        <v>11.716</v>
      </c>
      <c r="W1976" s="1">
        <v>11.716</v>
      </c>
      <c r="X1976" s="1" t="s">
        <v>35</v>
      </c>
      <c r="Y1976" s="1">
        <v>11716.0</v>
      </c>
      <c r="Z1976" s="1"/>
      <c r="AA1976" s="1">
        <v>11716.0</v>
      </c>
      <c r="AB1976" s="1"/>
      <c r="AC1976" s="1" t="s">
        <v>36</v>
      </c>
      <c r="AD1976" s="1" t="s">
        <v>7259</v>
      </c>
      <c r="AE1976" s="1" t="s">
        <v>32</v>
      </c>
      <c r="AF1976" s="1" t="s">
        <v>33</v>
      </c>
      <c r="AG1976" s="1" t="s">
        <v>60</v>
      </c>
    </row>
    <row r="1977" spans="1:33">
      <c r="A1977" t="s">
        <v>7260</v>
      </c>
      <c r="C1977" t="s">
        <v>131</v>
      </c>
      <c r="E1977" t="s">
        <v>6700</v>
      </c>
      <c r="F1977" t="s">
        <v>6255</v>
      </c>
      <c r="G1977">
        <v>119.35</v>
      </c>
      <c r="H1977">
        <v>119.35</v>
      </c>
      <c r="I1977" t="s">
        <v>94</v>
      </c>
      <c r="J1977" t="s">
        <v>95</v>
      </c>
      <c r="K1977" t="s">
        <v>31</v>
      </c>
      <c r="L1977" t="s">
        <v>32</v>
      </c>
      <c r="M1977" t="s">
        <v>33</v>
      </c>
      <c r="P1977" s="1" t="s">
        <v>7261</v>
      </c>
      <c r="Q1977" s="1" t="s">
        <v>6700</v>
      </c>
      <c r="R1977" s="1" t="s">
        <v>6700</v>
      </c>
      <c r="S1977" s="1"/>
      <c r="T1977" s="1" t="s">
        <v>131</v>
      </c>
      <c r="U1977" s="1"/>
      <c r="V1977" s="1">
        <v>119.35</v>
      </c>
      <c r="W1977" s="1">
        <v>119.35</v>
      </c>
      <c r="X1977" s="1" t="s">
        <v>35</v>
      </c>
      <c r="Y1977" s="1">
        <v>119350.0</v>
      </c>
      <c r="Z1977" s="1"/>
      <c r="AA1977" s="1">
        <v>119350.0</v>
      </c>
      <c r="AB1977" s="1"/>
      <c r="AC1977" s="1" t="s">
        <v>36</v>
      </c>
      <c r="AD1977" s="1" t="s">
        <v>7262</v>
      </c>
      <c r="AE1977" s="1" t="s">
        <v>32</v>
      </c>
      <c r="AF1977" s="1" t="s">
        <v>33</v>
      </c>
      <c r="AG1977" s="1" t="s">
        <v>95</v>
      </c>
    </row>
    <row r="1978" spans="1:33">
      <c r="A1978" t="s">
        <v>7263</v>
      </c>
      <c r="B1978" t="s">
        <v>7264</v>
      </c>
      <c r="C1978" t="s">
        <v>125</v>
      </c>
      <c r="E1978" t="s">
        <v>6700</v>
      </c>
      <c r="F1978" t="s">
        <v>6255</v>
      </c>
      <c r="G1978">
        <v>43.98</v>
      </c>
      <c r="H1978">
        <v>43.98</v>
      </c>
      <c r="I1978" t="s">
        <v>126</v>
      </c>
      <c r="J1978" t="s">
        <v>127</v>
      </c>
      <c r="K1978" t="s">
        <v>31</v>
      </c>
      <c r="L1978" t="s">
        <v>32</v>
      </c>
      <c r="M1978" t="s">
        <v>33</v>
      </c>
      <c r="P1978" s="1" t="s">
        <v>7265</v>
      </c>
      <c r="Q1978" s="1" t="s">
        <v>6700</v>
      </c>
      <c r="R1978" s="1" t="s">
        <v>6700</v>
      </c>
      <c r="S1978" s="1"/>
      <c r="T1978" s="1" t="s">
        <v>125</v>
      </c>
      <c r="U1978" s="1"/>
      <c r="V1978" s="1">
        <v>43.98</v>
      </c>
      <c r="W1978" s="1">
        <v>43.98</v>
      </c>
      <c r="X1978" s="1" t="s">
        <v>35</v>
      </c>
      <c r="Y1978" s="1">
        <v>43980.0</v>
      </c>
      <c r="Z1978" s="1"/>
      <c r="AA1978" s="1">
        <v>43980.0</v>
      </c>
      <c r="AB1978" s="1"/>
      <c r="AC1978" s="1" t="s">
        <v>36</v>
      </c>
      <c r="AD1978" s="1" t="s">
        <v>7266</v>
      </c>
      <c r="AE1978" s="1" t="s">
        <v>32</v>
      </c>
      <c r="AF1978" s="1" t="s">
        <v>33</v>
      </c>
      <c r="AG1978" s="1" t="s">
        <v>127</v>
      </c>
    </row>
    <row r="1979" spans="1:33">
      <c r="A1979" t="s">
        <v>7267</v>
      </c>
      <c r="B1979" t="s">
        <v>7268</v>
      </c>
      <c r="C1979" t="s">
        <v>47</v>
      </c>
      <c r="E1979" t="s">
        <v>6700</v>
      </c>
      <c r="F1979" t="s">
        <v>6255</v>
      </c>
      <c r="G1979">
        <v>129.151</v>
      </c>
      <c r="H1979">
        <v>129.151</v>
      </c>
      <c r="I1979" t="s">
        <v>48</v>
      </c>
      <c r="J1979" t="s">
        <v>49</v>
      </c>
      <c r="K1979" t="s">
        <v>31</v>
      </c>
      <c r="L1979" t="s">
        <v>32</v>
      </c>
      <c r="M1979" t="s">
        <v>33</v>
      </c>
      <c r="P1979" s="1" t="s">
        <v>7269</v>
      </c>
      <c r="Q1979" s="1" t="s">
        <v>6700</v>
      </c>
      <c r="R1979" s="1" t="s">
        <v>6700</v>
      </c>
      <c r="S1979" s="1"/>
      <c r="T1979" s="1" t="s">
        <v>47</v>
      </c>
      <c r="U1979" s="1"/>
      <c r="V1979" s="1">
        <v>129.151</v>
      </c>
      <c r="W1979" s="1">
        <v>129.151</v>
      </c>
      <c r="X1979" s="1" t="s">
        <v>35</v>
      </c>
      <c r="Y1979" s="1">
        <v>129151.0</v>
      </c>
      <c r="Z1979" s="1"/>
      <c r="AA1979" s="1">
        <v>129151.0</v>
      </c>
      <c r="AB1979" s="1"/>
      <c r="AC1979" s="1" t="s">
        <v>36</v>
      </c>
      <c r="AD1979" s="1" t="s">
        <v>7270</v>
      </c>
      <c r="AE1979" s="1" t="s">
        <v>32</v>
      </c>
      <c r="AF1979" s="1" t="s">
        <v>33</v>
      </c>
      <c r="AG1979" s="1" t="s">
        <v>49</v>
      </c>
    </row>
    <row r="1980" spans="1:33">
      <c r="A1980" t="s">
        <v>7271</v>
      </c>
      <c r="C1980" t="s">
        <v>2747</v>
      </c>
      <c r="E1980" t="s">
        <v>6700</v>
      </c>
      <c r="F1980" t="s">
        <v>6255</v>
      </c>
      <c r="G1980">
        <v>1.394</v>
      </c>
      <c r="H1980">
        <v>1.394</v>
      </c>
      <c r="I1980" t="s">
        <v>269</v>
      </c>
      <c r="J1980" t="s">
        <v>270</v>
      </c>
      <c r="K1980" t="s">
        <v>31</v>
      </c>
      <c r="L1980" t="s">
        <v>32</v>
      </c>
      <c r="M1980" t="s">
        <v>33</v>
      </c>
      <c r="P1980" s="1" t="s">
        <v>7272</v>
      </c>
      <c r="Q1980" s="1" t="s">
        <v>6700</v>
      </c>
      <c r="R1980" s="1" t="s">
        <v>6700</v>
      </c>
      <c r="S1980" s="1"/>
      <c r="T1980" s="1" t="s">
        <v>2747</v>
      </c>
      <c r="U1980" s="1"/>
      <c r="V1980" s="1">
        <v>1.394</v>
      </c>
      <c r="W1980" s="1">
        <v>1.394</v>
      </c>
      <c r="X1980" s="1" t="s">
        <v>35</v>
      </c>
      <c r="Y1980" s="1">
        <v>1394000.0</v>
      </c>
      <c r="Z1980" s="1"/>
      <c r="AA1980" s="1">
        <v>1394000.0</v>
      </c>
      <c r="AB1980" s="1"/>
      <c r="AC1980" s="1" t="s">
        <v>36</v>
      </c>
      <c r="AD1980" s="1" t="s">
        <v>7273</v>
      </c>
      <c r="AE1980" s="1" t="s">
        <v>32</v>
      </c>
      <c r="AF1980" s="1" t="s">
        <v>33</v>
      </c>
      <c r="AG1980" s="1" t="s">
        <v>270</v>
      </c>
    </row>
    <row r="1981" spans="1:33">
      <c r="A1981" t="s">
        <v>7274</v>
      </c>
      <c r="B1981" t="s">
        <v>6382</v>
      </c>
      <c r="C1981" t="s">
        <v>125</v>
      </c>
      <c r="E1981" t="s">
        <v>6700</v>
      </c>
      <c r="F1981" t="s">
        <v>6255</v>
      </c>
      <c r="G1981">
        <v>4.2</v>
      </c>
      <c r="H1981">
        <v>4.2</v>
      </c>
      <c r="I1981" t="s">
        <v>126</v>
      </c>
      <c r="J1981" t="s">
        <v>127</v>
      </c>
      <c r="K1981" t="s">
        <v>31</v>
      </c>
      <c r="L1981" t="s">
        <v>32</v>
      </c>
      <c r="M1981" t="s">
        <v>33</v>
      </c>
      <c r="P1981" s="1" t="s">
        <v>7275</v>
      </c>
      <c r="Q1981" s="1" t="s">
        <v>6700</v>
      </c>
      <c r="R1981" s="1" t="s">
        <v>6700</v>
      </c>
      <c r="S1981" s="1"/>
      <c r="T1981" s="1" t="s">
        <v>125</v>
      </c>
      <c r="U1981" s="1"/>
      <c r="V1981" s="1">
        <v>4.2</v>
      </c>
      <c r="W1981" s="1">
        <v>4.2</v>
      </c>
      <c r="X1981" s="1" t="s">
        <v>35</v>
      </c>
      <c r="Y1981" s="1">
        <v>4200.0</v>
      </c>
      <c r="Z1981" s="1"/>
      <c r="AA1981" s="1">
        <v>4200.0</v>
      </c>
      <c r="AB1981" s="1"/>
      <c r="AC1981" s="1" t="s">
        <v>36</v>
      </c>
      <c r="AD1981" s="1" t="s">
        <v>7276</v>
      </c>
      <c r="AE1981" s="1" t="s">
        <v>32</v>
      </c>
      <c r="AF1981" s="1" t="s">
        <v>33</v>
      </c>
      <c r="AG1981" s="1" t="s">
        <v>127</v>
      </c>
    </row>
    <row r="1982" spans="1:33">
      <c r="A1982" t="s">
        <v>7277</v>
      </c>
      <c r="B1982" t="s">
        <v>7278</v>
      </c>
      <c r="C1982" t="s">
        <v>73</v>
      </c>
      <c r="E1982" t="s">
        <v>6700</v>
      </c>
      <c r="F1982" t="s">
        <v>6255</v>
      </c>
      <c r="G1982">
        <v>3.0</v>
      </c>
      <c r="H1982">
        <v>3.0</v>
      </c>
      <c r="I1982" t="s">
        <v>40</v>
      </c>
      <c r="J1982" t="s">
        <v>41</v>
      </c>
      <c r="K1982" t="s">
        <v>31</v>
      </c>
      <c r="L1982" t="s">
        <v>32</v>
      </c>
      <c r="M1982" t="s">
        <v>33</v>
      </c>
      <c r="P1982" s="1" t="s">
        <v>7279</v>
      </c>
      <c r="Q1982" s="1" t="s">
        <v>6700</v>
      </c>
      <c r="R1982" s="1" t="s">
        <v>6133</v>
      </c>
      <c r="S1982" s="1"/>
      <c r="T1982" s="1" t="s">
        <v>75</v>
      </c>
      <c r="U1982" s="1" t="s">
        <v>76</v>
      </c>
      <c r="V1982" s="1">
        <v>3.0</v>
      </c>
      <c r="W1982" s="1">
        <v>3.0</v>
      </c>
      <c r="X1982" s="1" t="s">
        <v>35</v>
      </c>
      <c r="Y1982" s="1">
        <v>3000.0</v>
      </c>
      <c r="Z1982" s="1"/>
      <c r="AA1982" s="1">
        <v>3000.0</v>
      </c>
      <c r="AB1982" s="1"/>
      <c r="AC1982" s="1" t="s">
        <v>36</v>
      </c>
      <c r="AD1982" s="1" t="s">
        <v>7280</v>
      </c>
      <c r="AE1982" s="1" t="s">
        <v>32</v>
      </c>
      <c r="AF1982" s="1" t="s">
        <v>33</v>
      </c>
      <c r="AG1982" s="1" t="s">
        <v>41</v>
      </c>
    </row>
    <row r="1983" spans="1:33">
      <c r="A1983" t="s">
        <v>7281</v>
      </c>
      <c r="B1983" t="s">
        <v>7282</v>
      </c>
      <c r="C1983" t="s">
        <v>314</v>
      </c>
      <c r="E1983" t="s">
        <v>6700</v>
      </c>
      <c r="F1983" t="s">
        <v>6134</v>
      </c>
      <c r="G1983">
        <v>194.93</v>
      </c>
      <c r="H1983">
        <v>194.93</v>
      </c>
      <c r="I1983" t="s">
        <v>179</v>
      </c>
      <c r="J1983" t="s">
        <v>180</v>
      </c>
      <c r="K1983" t="s">
        <v>31</v>
      </c>
      <c r="L1983" t="s">
        <v>32</v>
      </c>
      <c r="M1983" t="s">
        <v>33</v>
      </c>
      <c r="P1983" s="1" t="s">
        <v>7283</v>
      </c>
      <c r="Q1983" s="1" t="s">
        <v>6700</v>
      </c>
      <c r="R1983" s="1" t="s">
        <v>6700</v>
      </c>
      <c r="S1983" s="1"/>
      <c r="T1983" s="1" t="s">
        <v>314</v>
      </c>
      <c r="U1983" s="1"/>
      <c r="V1983" s="1">
        <v>194.93</v>
      </c>
      <c r="W1983" s="1">
        <v>194.93</v>
      </c>
      <c r="X1983" s="1" t="s">
        <v>35</v>
      </c>
      <c r="Y1983" s="1">
        <v>194950.0</v>
      </c>
      <c r="Z1983" s="1">
        <v>-20</v>
      </c>
      <c r="AA1983" s="1">
        <v>194950.0</v>
      </c>
      <c r="AB1983" s="1">
        <v>-20</v>
      </c>
      <c r="AC1983" s="1" t="s">
        <v>36</v>
      </c>
      <c r="AD1983" s="1" t="s">
        <v>7284</v>
      </c>
      <c r="AE1983" s="1" t="s">
        <v>32</v>
      </c>
      <c r="AF1983" s="1" t="s">
        <v>33</v>
      </c>
      <c r="AG1983" s="1" t="s">
        <v>180</v>
      </c>
    </row>
    <row r="1984" spans="1:33">
      <c r="A1984" t="s">
        <v>7285</v>
      </c>
      <c r="B1984" t="s">
        <v>7286</v>
      </c>
      <c r="C1984" t="s">
        <v>47</v>
      </c>
      <c r="E1984" t="s">
        <v>6700</v>
      </c>
      <c r="F1984" t="s">
        <v>6255</v>
      </c>
      <c r="G1984">
        <v>6.548</v>
      </c>
      <c r="H1984">
        <v>6.548</v>
      </c>
      <c r="I1984" t="s">
        <v>48</v>
      </c>
      <c r="J1984" t="s">
        <v>49</v>
      </c>
      <c r="K1984" t="s">
        <v>31</v>
      </c>
      <c r="L1984" t="s">
        <v>32</v>
      </c>
      <c r="M1984" t="s">
        <v>33</v>
      </c>
      <c r="P1984" s="1" t="s">
        <v>7287</v>
      </c>
      <c r="Q1984" s="1" t="s">
        <v>6700</v>
      </c>
      <c r="R1984" s="1" t="s">
        <v>6700</v>
      </c>
      <c r="S1984" s="1"/>
      <c r="T1984" s="1" t="s">
        <v>47</v>
      </c>
      <c r="U1984" s="1"/>
      <c r="V1984" s="1">
        <v>6.548</v>
      </c>
      <c r="W1984" s="1">
        <v>6.548</v>
      </c>
      <c r="X1984" s="1" t="s">
        <v>35</v>
      </c>
      <c r="Y1984" s="1">
        <v>6548.0</v>
      </c>
      <c r="Z1984" s="1"/>
      <c r="AA1984" s="1">
        <v>6548.0</v>
      </c>
      <c r="AB1984" s="1"/>
      <c r="AC1984" s="1" t="s">
        <v>36</v>
      </c>
      <c r="AD1984" s="1" t="s">
        <v>7273</v>
      </c>
      <c r="AE1984" s="1" t="s">
        <v>32</v>
      </c>
      <c r="AF1984" s="1" t="s">
        <v>33</v>
      </c>
      <c r="AG1984" s="1" t="s">
        <v>49</v>
      </c>
    </row>
    <row r="1985" spans="1:33">
      <c r="A1985" t="s">
        <v>7288</v>
      </c>
      <c r="B1985" t="s">
        <v>7289</v>
      </c>
      <c r="C1985" t="s">
        <v>73</v>
      </c>
      <c r="E1985" t="s">
        <v>6700</v>
      </c>
      <c r="F1985" t="s">
        <v>2674</v>
      </c>
      <c r="G1985">
        <v>166.45</v>
      </c>
      <c r="H1985">
        <v>166.45</v>
      </c>
      <c r="I1985" t="s">
        <v>40</v>
      </c>
      <c r="J1985" t="s">
        <v>41</v>
      </c>
      <c r="K1985" t="s">
        <v>31</v>
      </c>
      <c r="L1985" t="s">
        <v>32</v>
      </c>
      <c r="M1985" t="s">
        <v>33</v>
      </c>
      <c r="P1985" s="1" t="s">
        <v>7290</v>
      </c>
      <c r="Q1985" s="1" t="s">
        <v>6700</v>
      </c>
      <c r="R1985" s="1" t="s">
        <v>6133</v>
      </c>
      <c r="S1985" s="1"/>
      <c r="T1985" s="1" t="s">
        <v>75</v>
      </c>
      <c r="U1985" s="1" t="s">
        <v>76</v>
      </c>
      <c r="V1985" s="1">
        <v>166.45</v>
      </c>
      <c r="W1985" s="1">
        <v>166.45</v>
      </c>
      <c r="X1985" s="1" t="s">
        <v>35</v>
      </c>
      <c r="Y1985" s="1">
        <v>166450.0</v>
      </c>
      <c r="Z1985" s="1"/>
      <c r="AA1985" s="1">
        <v>166450.0</v>
      </c>
      <c r="AB1985" s="1"/>
      <c r="AC1985" s="1" t="s">
        <v>36</v>
      </c>
      <c r="AD1985" s="1" t="s">
        <v>7291</v>
      </c>
      <c r="AE1985" s="1" t="s">
        <v>32</v>
      </c>
      <c r="AF1985" s="1" t="s">
        <v>33</v>
      </c>
      <c r="AG1985" s="1" t="s">
        <v>41</v>
      </c>
    </row>
    <row r="1986" spans="1:33">
      <c r="A1986" t="s">
        <v>7292</v>
      </c>
      <c r="C1986" t="s">
        <v>7293</v>
      </c>
      <c r="E1986" t="s">
        <v>6700</v>
      </c>
      <c r="F1986" t="s">
        <v>6255</v>
      </c>
      <c r="G1986">
        <v>1.121</v>
      </c>
      <c r="H1986">
        <v>1.121</v>
      </c>
      <c r="I1986" t="s">
        <v>269</v>
      </c>
      <c r="J1986" t="s">
        <v>270</v>
      </c>
      <c r="K1986" t="s">
        <v>31</v>
      </c>
      <c r="L1986" t="s">
        <v>32</v>
      </c>
      <c r="M1986" t="s">
        <v>33</v>
      </c>
      <c r="P1986" s="1" t="s">
        <v>7294</v>
      </c>
      <c r="Q1986" s="1" t="s">
        <v>6700</v>
      </c>
      <c r="R1986" s="1" t="s">
        <v>6700</v>
      </c>
      <c r="S1986" s="1"/>
      <c r="T1986" s="1" t="s">
        <v>7293</v>
      </c>
      <c r="U1986" s="1"/>
      <c r="V1986" s="1">
        <v>1.121</v>
      </c>
      <c r="W1986" s="1">
        <v>1.121</v>
      </c>
      <c r="X1986" s="1" t="s">
        <v>35</v>
      </c>
      <c r="Y1986" s="1">
        <v>1121500.0</v>
      </c>
      <c r="Z1986" s="1"/>
      <c r="AA1986" s="1">
        <v>1121500.0</v>
      </c>
      <c r="AB1986" s="1"/>
      <c r="AC1986" s="1" t="s">
        <v>36</v>
      </c>
      <c r="AD1986" s="1" t="s">
        <v>7295</v>
      </c>
      <c r="AE1986" s="1" t="s">
        <v>32</v>
      </c>
      <c r="AF1986" s="1" t="s">
        <v>33</v>
      </c>
      <c r="AG1986" s="1" t="s">
        <v>270</v>
      </c>
    </row>
    <row r="1987" spans="1:33">
      <c r="A1987" t="s">
        <v>7296</v>
      </c>
      <c r="B1987" t="s">
        <v>7297</v>
      </c>
      <c r="C1987" t="s">
        <v>73</v>
      </c>
      <c r="E1987" t="s">
        <v>6700</v>
      </c>
      <c r="F1987" t="s">
        <v>6255</v>
      </c>
      <c r="G1987">
        <v>143.24</v>
      </c>
      <c r="H1987">
        <v>143.24</v>
      </c>
      <c r="I1987" t="s">
        <v>40</v>
      </c>
      <c r="J1987" t="s">
        <v>41</v>
      </c>
      <c r="K1987" t="s">
        <v>31</v>
      </c>
      <c r="L1987" t="s">
        <v>32</v>
      </c>
      <c r="M1987" t="s">
        <v>33</v>
      </c>
      <c r="P1987" s="1" t="s">
        <v>7298</v>
      </c>
      <c r="Q1987" s="1" t="s">
        <v>6700</v>
      </c>
      <c r="R1987" s="1" t="s">
        <v>6133</v>
      </c>
      <c r="S1987" s="1"/>
      <c r="T1987" s="1" t="s">
        <v>75</v>
      </c>
      <c r="U1987" s="1" t="s">
        <v>76</v>
      </c>
      <c r="V1987" s="1">
        <v>143.24</v>
      </c>
      <c r="W1987" s="1">
        <v>143.24</v>
      </c>
      <c r="X1987" s="1" t="s">
        <v>35</v>
      </c>
      <c r="Y1987" s="1">
        <v>143240.0</v>
      </c>
      <c r="Z1987" s="1"/>
      <c r="AA1987" s="1">
        <v>143240.0</v>
      </c>
      <c r="AB1987" s="1"/>
      <c r="AC1987" s="1" t="s">
        <v>36</v>
      </c>
      <c r="AD1987" s="1" t="s">
        <v>7162</v>
      </c>
      <c r="AE1987" s="1" t="s">
        <v>32</v>
      </c>
      <c r="AF1987" s="1" t="s">
        <v>33</v>
      </c>
      <c r="AG1987" s="1" t="s">
        <v>41</v>
      </c>
    </row>
    <row r="1988" spans="1:33">
      <c r="A1988" t="s">
        <v>7299</v>
      </c>
      <c r="B1988" t="s">
        <v>7237</v>
      </c>
      <c r="C1988" t="s">
        <v>125</v>
      </c>
      <c r="E1988" t="s">
        <v>6700</v>
      </c>
      <c r="F1988" t="s">
        <v>6255</v>
      </c>
      <c r="G1988">
        <v>48.52</v>
      </c>
      <c r="H1988">
        <v>48.52</v>
      </c>
      <c r="I1988" t="s">
        <v>126</v>
      </c>
      <c r="J1988" t="s">
        <v>127</v>
      </c>
      <c r="K1988" t="s">
        <v>31</v>
      </c>
      <c r="L1988" t="s">
        <v>32</v>
      </c>
      <c r="M1988" t="s">
        <v>33</v>
      </c>
      <c r="P1988" s="1" t="s">
        <v>7300</v>
      </c>
      <c r="Q1988" s="1" t="s">
        <v>6700</v>
      </c>
      <c r="R1988" s="1" t="s">
        <v>6700</v>
      </c>
      <c r="S1988" s="1"/>
      <c r="T1988" s="1" t="s">
        <v>125</v>
      </c>
      <c r="U1988" s="1"/>
      <c r="V1988" s="1">
        <v>48.52</v>
      </c>
      <c r="W1988" s="1">
        <v>48.52</v>
      </c>
      <c r="X1988" s="1" t="s">
        <v>35</v>
      </c>
      <c r="Y1988" s="1">
        <v>48520.0</v>
      </c>
      <c r="Z1988" s="1"/>
      <c r="AA1988" s="1">
        <v>48520.0</v>
      </c>
      <c r="AB1988" s="1"/>
      <c r="AC1988" s="1" t="s">
        <v>36</v>
      </c>
      <c r="AD1988" s="1" t="s">
        <v>7301</v>
      </c>
      <c r="AE1988" s="1" t="s">
        <v>32</v>
      </c>
      <c r="AF1988" s="1" t="s">
        <v>33</v>
      </c>
      <c r="AG1988" s="1" t="s">
        <v>127</v>
      </c>
    </row>
    <row r="1989" spans="1:33">
      <c r="A1989" t="s">
        <v>7302</v>
      </c>
      <c r="C1989" t="s">
        <v>1016</v>
      </c>
      <c r="E1989" t="s">
        <v>6700</v>
      </c>
      <c r="F1989" t="s">
        <v>6255</v>
      </c>
      <c r="G1989">
        <v>528.0</v>
      </c>
      <c r="H1989">
        <v>528.0</v>
      </c>
      <c r="I1989" t="s">
        <v>269</v>
      </c>
      <c r="J1989" t="s">
        <v>270</v>
      </c>
      <c r="K1989" t="s">
        <v>31</v>
      </c>
      <c r="L1989" t="s">
        <v>32</v>
      </c>
      <c r="M1989" t="s">
        <v>33</v>
      </c>
      <c r="P1989" s="1" t="s">
        <v>7303</v>
      </c>
      <c r="Q1989" s="1" t="s">
        <v>6700</v>
      </c>
      <c r="R1989" s="1" t="s">
        <v>6700</v>
      </c>
      <c r="S1989" s="1"/>
      <c r="T1989" s="1" t="s">
        <v>1016</v>
      </c>
      <c r="U1989" s="1"/>
      <c r="V1989" s="1">
        <v>528.0</v>
      </c>
      <c r="W1989" s="1">
        <v>528.0</v>
      </c>
      <c r="X1989" s="1" t="s">
        <v>35</v>
      </c>
      <c r="Y1989" s="1">
        <v>528000.0</v>
      </c>
      <c r="Z1989" s="1"/>
      <c r="AA1989" s="1">
        <v>528000.0</v>
      </c>
      <c r="AB1989" s="1"/>
      <c r="AC1989" s="1" t="s">
        <v>36</v>
      </c>
      <c r="AD1989" s="1" t="s">
        <v>7304</v>
      </c>
      <c r="AE1989" s="1" t="s">
        <v>32</v>
      </c>
      <c r="AF1989" s="1" t="s">
        <v>33</v>
      </c>
      <c r="AG1989" s="1" t="s">
        <v>270</v>
      </c>
    </row>
    <row r="1990" spans="1:33">
      <c r="A1990" t="s">
        <v>7305</v>
      </c>
      <c r="B1990" t="s">
        <v>7306</v>
      </c>
      <c r="C1990" t="s">
        <v>125</v>
      </c>
      <c r="E1990" t="s">
        <v>6700</v>
      </c>
      <c r="F1990" t="s">
        <v>6255</v>
      </c>
      <c r="G1990">
        <v>3.0</v>
      </c>
      <c r="H1990">
        <v>3.0</v>
      </c>
      <c r="I1990" t="s">
        <v>126</v>
      </c>
      <c r="J1990" t="s">
        <v>127</v>
      </c>
      <c r="K1990" t="s">
        <v>31</v>
      </c>
      <c r="L1990" t="s">
        <v>32</v>
      </c>
      <c r="M1990" t="s">
        <v>33</v>
      </c>
      <c r="P1990" s="1" t="s">
        <v>7307</v>
      </c>
      <c r="Q1990" s="1" t="s">
        <v>6700</v>
      </c>
      <c r="R1990" s="1" t="s">
        <v>6700</v>
      </c>
      <c r="S1990" s="1"/>
      <c r="T1990" s="1" t="s">
        <v>125</v>
      </c>
      <c r="U1990" s="1"/>
      <c r="V1990" s="1">
        <v>3.0</v>
      </c>
      <c r="W1990" s="1">
        <v>3.0</v>
      </c>
      <c r="X1990" s="1" t="s">
        <v>35</v>
      </c>
      <c r="Y1990" s="1">
        <v>3000.0</v>
      </c>
      <c r="Z1990" s="1"/>
      <c r="AA1990" s="1">
        <v>3000.0</v>
      </c>
      <c r="AB1990" s="1"/>
      <c r="AC1990" s="1" t="s">
        <v>36</v>
      </c>
      <c r="AD1990" s="1" t="s">
        <v>7308</v>
      </c>
      <c r="AE1990" s="1" t="s">
        <v>32</v>
      </c>
      <c r="AF1990" s="1" t="s">
        <v>33</v>
      </c>
      <c r="AG1990" s="1" t="s">
        <v>127</v>
      </c>
    </row>
    <row r="1991" spans="1:33">
      <c r="A1991" t="s">
        <v>7309</v>
      </c>
      <c r="B1991" t="s">
        <v>7310</v>
      </c>
      <c r="C1991" t="s">
        <v>125</v>
      </c>
      <c r="E1991" t="s">
        <v>6700</v>
      </c>
      <c r="F1991" t="s">
        <v>6255</v>
      </c>
      <c r="G1991">
        <v>33.735</v>
      </c>
      <c r="H1991">
        <v>33.735</v>
      </c>
      <c r="I1991" t="s">
        <v>126</v>
      </c>
      <c r="J1991" t="s">
        <v>127</v>
      </c>
      <c r="K1991" t="s">
        <v>31</v>
      </c>
      <c r="L1991" t="s">
        <v>32</v>
      </c>
      <c r="M1991" t="s">
        <v>33</v>
      </c>
      <c r="P1991" s="1" t="s">
        <v>7311</v>
      </c>
      <c r="Q1991" s="1" t="s">
        <v>6700</v>
      </c>
      <c r="R1991" s="1" t="s">
        <v>6700</v>
      </c>
      <c r="S1991" s="1"/>
      <c r="T1991" s="1" t="s">
        <v>125</v>
      </c>
      <c r="U1991" s="1"/>
      <c r="V1991" s="1">
        <v>33.735</v>
      </c>
      <c r="W1991" s="1">
        <v>33.735</v>
      </c>
      <c r="X1991" s="1" t="s">
        <v>35</v>
      </c>
      <c r="Y1991" s="1">
        <v>33735.0</v>
      </c>
      <c r="Z1991" s="1"/>
      <c r="AA1991" s="1">
        <v>33735.0</v>
      </c>
      <c r="AB1991" s="1"/>
      <c r="AC1991" s="1" t="s">
        <v>36</v>
      </c>
      <c r="AD1991" s="1" t="s">
        <v>7312</v>
      </c>
      <c r="AE1991" s="1" t="s">
        <v>32</v>
      </c>
      <c r="AF1991" s="1" t="s">
        <v>33</v>
      </c>
      <c r="AG1991" s="1" t="s">
        <v>127</v>
      </c>
    </row>
    <row r="1992" spans="1:33">
      <c r="A1992" t="s">
        <v>7313</v>
      </c>
      <c r="B1992" t="s">
        <v>4199</v>
      </c>
      <c r="C1992" t="s">
        <v>4200</v>
      </c>
      <c r="E1992" t="s">
        <v>6700</v>
      </c>
      <c r="F1992" t="s">
        <v>6255</v>
      </c>
      <c r="G1992">
        <v>525.25</v>
      </c>
      <c r="H1992">
        <v>525.25</v>
      </c>
      <c r="I1992" t="s">
        <v>29</v>
      </c>
      <c r="J1992" t="s">
        <v>30</v>
      </c>
      <c r="K1992" t="s">
        <v>31</v>
      </c>
      <c r="L1992" t="s">
        <v>32</v>
      </c>
      <c r="M1992" t="s">
        <v>33</v>
      </c>
      <c r="P1992" s="1" t="s">
        <v>7314</v>
      </c>
      <c r="Q1992" s="1" t="s">
        <v>6700</v>
      </c>
      <c r="R1992" s="1" t="s">
        <v>6700</v>
      </c>
      <c r="S1992" s="1"/>
      <c r="T1992" s="1" t="s">
        <v>4200</v>
      </c>
      <c r="U1992" s="1"/>
      <c r="V1992" s="1">
        <v>525.25</v>
      </c>
      <c r="W1992" s="1">
        <v>525.25</v>
      </c>
      <c r="X1992" s="1" t="s">
        <v>35</v>
      </c>
      <c r="Y1992" s="1">
        <v>525250.0</v>
      </c>
      <c r="Z1992" s="1"/>
      <c r="AA1992" s="1">
        <v>525250.0</v>
      </c>
      <c r="AB1992" s="1"/>
      <c r="AC1992" s="1" t="s">
        <v>36</v>
      </c>
      <c r="AD1992" s="1" t="s">
        <v>7315</v>
      </c>
      <c r="AE1992" s="1" t="s">
        <v>32</v>
      </c>
      <c r="AF1992" s="1" t="s">
        <v>33</v>
      </c>
      <c r="AG1992" s="1" t="s">
        <v>30</v>
      </c>
    </row>
    <row r="1993" spans="1:33">
      <c r="A1993" t="s">
        <v>7316</v>
      </c>
      <c r="B1993" t="s">
        <v>7317</v>
      </c>
      <c r="C1993" t="s">
        <v>135</v>
      </c>
      <c r="E1993" t="s">
        <v>6700</v>
      </c>
      <c r="F1993" t="s">
        <v>7318</v>
      </c>
      <c r="G1993">
        <v>33.8</v>
      </c>
      <c r="H1993">
        <v>33.8</v>
      </c>
      <c r="I1993" t="s">
        <v>136</v>
      </c>
      <c r="J1993" t="s">
        <v>137</v>
      </c>
      <c r="K1993" t="s">
        <v>31</v>
      </c>
      <c r="L1993" t="s">
        <v>32</v>
      </c>
      <c r="M1993" t="s">
        <v>33</v>
      </c>
      <c r="P1993" s="1" t="s">
        <v>7319</v>
      </c>
      <c r="Q1993" s="1" t="s">
        <v>6700</v>
      </c>
      <c r="R1993" s="1" t="s">
        <v>6700</v>
      </c>
      <c r="S1993" s="1"/>
      <c r="T1993" s="1" t="s">
        <v>135</v>
      </c>
      <c r="U1993" s="1"/>
      <c r="V1993" s="1">
        <v>33.8</v>
      </c>
      <c r="W1993" s="1">
        <v>33.8</v>
      </c>
      <c r="X1993" s="1" t="s">
        <v>35</v>
      </c>
      <c r="Y1993" s="1">
        <v>33800.0</v>
      </c>
      <c r="Z1993" s="1"/>
      <c r="AA1993" s="1">
        <v>33800.0</v>
      </c>
      <c r="AB1993" s="1"/>
      <c r="AC1993" s="1" t="s">
        <v>36</v>
      </c>
      <c r="AD1993" s="1" t="s">
        <v>7320</v>
      </c>
      <c r="AE1993" s="1" t="s">
        <v>32</v>
      </c>
      <c r="AF1993" s="1" t="s">
        <v>33</v>
      </c>
      <c r="AG1993" s="1" t="s">
        <v>137</v>
      </c>
    </row>
    <row r="1994" spans="1:33">
      <c r="A1994" t="s">
        <v>7321</v>
      </c>
      <c r="B1994" t="s">
        <v>2086</v>
      </c>
      <c r="C1994" t="s">
        <v>47</v>
      </c>
      <c r="E1994" t="s">
        <v>6700</v>
      </c>
      <c r="F1994" t="s">
        <v>6255</v>
      </c>
      <c r="G1994">
        <v>11.0</v>
      </c>
      <c r="H1994">
        <v>11.0</v>
      </c>
      <c r="I1994" t="s">
        <v>48</v>
      </c>
      <c r="J1994" t="s">
        <v>49</v>
      </c>
      <c r="K1994" t="s">
        <v>31</v>
      </c>
      <c r="L1994" t="s">
        <v>32</v>
      </c>
      <c r="M1994" t="s">
        <v>33</v>
      </c>
      <c r="P1994" s="1" t="s">
        <v>7322</v>
      </c>
      <c r="Q1994" s="1" t="s">
        <v>6700</v>
      </c>
      <c r="R1994" s="1" t="s">
        <v>6700</v>
      </c>
      <c r="S1994" s="1"/>
      <c r="T1994" s="1" t="s">
        <v>47</v>
      </c>
      <c r="U1994" s="1"/>
      <c r="V1994" s="1">
        <v>11.0</v>
      </c>
      <c r="W1994" s="1">
        <v>11.0</v>
      </c>
      <c r="X1994" s="1" t="s">
        <v>35</v>
      </c>
      <c r="Y1994" s="1">
        <v>11000.0</v>
      </c>
      <c r="Z1994" s="1"/>
      <c r="AA1994" s="1">
        <v>11000.0</v>
      </c>
      <c r="AB1994" s="1"/>
      <c r="AC1994" s="1" t="s">
        <v>36</v>
      </c>
      <c r="AD1994" s="1" t="s">
        <v>7323</v>
      </c>
      <c r="AE1994" s="1" t="s">
        <v>32</v>
      </c>
      <c r="AF1994" s="1" t="s">
        <v>33</v>
      </c>
      <c r="AG1994" s="1" t="s">
        <v>49</v>
      </c>
    </row>
    <row r="1995" spans="1:33">
      <c r="A1995" t="s">
        <v>7324</v>
      </c>
      <c r="C1995" t="s">
        <v>5458</v>
      </c>
      <c r="E1995" t="s">
        <v>6700</v>
      </c>
      <c r="F1995" t="s">
        <v>6255</v>
      </c>
      <c r="G1995">
        <v>20.0</v>
      </c>
      <c r="H1995">
        <v>20.0</v>
      </c>
      <c r="I1995" t="s">
        <v>269</v>
      </c>
      <c r="J1995" t="s">
        <v>270</v>
      </c>
      <c r="K1995" t="s">
        <v>31</v>
      </c>
      <c r="L1995" t="s">
        <v>32</v>
      </c>
      <c r="M1995" t="s">
        <v>33</v>
      </c>
      <c r="P1995" s="1" t="s">
        <v>7325</v>
      </c>
      <c r="Q1995" s="1" t="s">
        <v>6700</v>
      </c>
      <c r="R1995" s="1" t="s">
        <v>6700</v>
      </c>
      <c r="S1995" s="1"/>
      <c r="T1995" s="1" t="s">
        <v>5458</v>
      </c>
      <c r="U1995" s="1"/>
      <c r="V1995" s="1">
        <v>20.0</v>
      </c>
      <c r="W1995" s="1">
        <v>20.0</v>
      </c>
      <c r="X1995" s="1" t="s">
        <v>35</v>
      </c>
      <c r="Y1995" s="1">
        <v>20000.0</v>
      </c>
      <c r="Z1995" s="1"/>
      <c r="AA1995" s="1">
        <v>20000.0</v>
      </c>
      <c r="AB1995" s="1"/>
      <c r="AC1995" s="1" t="s">
        <v>36</v>
      </c>
      <c r="AD1995" s="1" t="s">
        <v>7326</v>
      </c>
      <c r="AE1995" s="1" t="s">
        <v>32</v>
      </c>
      <c r="AF1995" s="1" t="s">
        <v>33</v>
      </c>
      <c r="AG1995" s="1" t="s">
        <v>270</v>
      </c>
    </row>
    <row r="1996" spans="1:33">
      <c r="A1996" t="s">
        <v>7327</v>
      </c>
      <c r="B1996" t="s">
        <v>7328</v>
      </c>
      <c r="C1996" t="s">
        <v>73</v>
      </c>
      <c r="E1996" t="s">
        <v>6700</v>
      </c>
      <c r="F1996" t="s">
        <v>2674</v>
      </c>
      <c r="G1996">
        <v>6.5</v>
      </c>
      <c r="H1996">
        <v>6.5</v>
      </c>
      <c r="I1996" t="s">
        <v>40</v>
      </c>
      <c r="J1996" t="s">
        <v>41</v>
      </c>
      <c r="K1996" t="s">
        <v>31</v>
      </c>
      <c r="L1996" t="s">
        <v>32</v>
      </c>
      <c r="M1996" t="s">
        <v>33</v>
      </c>
      <c r="P1996" s="1" t="s">
        <v>7329</v>
      </c>
      <c r="Q1996" s="1" t="s">
        <v>6700</v>
      </c>
      <c r="R1996" s="1" t="s">
        <v>6133</v>
      </c>
      <c r="S1996" s="1"/>
      <c r="T1996" s="1" t="s">
        <v>75</v>
      </c>
      <c r="U1996" s="1" t="s">
        <v>76</v>
      </c>
      <c r="V1996" s="1">
        <v>6.5</v>
      </c>
      <c r="W1996" s="1">
        <v>6.5</v>
      </c>
      <c r="X1996" s="1" t="s">
        <v>35</v>
      </c>
      <c r="Y1996" s="1">
        <v>6500.0</v>
      </c>
      <c r="Z1996" s="1"/>
      <c r="AA1996" s="1">
        <v>6500.0</v>
      </c>
      <c r="AB1996" s="1"/>
      <c r="AC1996" s="1" t="s">
        <v>36</v>
      </c>
      <c r="AD1996" s="1" t="s">
        <v>7102</v>
      </c>
      <c r="AE1996" s="1" t="s">
        <v>32</v>
      </c>
      <c r="AF1996" s="1" t="s">
        <v>33</v>
      </c>
      <c r="AG1996" s="1" t="s">
        <v>41</v>
      </c>
    </row>
    <row r="1997" spans="1:33">
      <c r="A1997" t="s">
        <v>7330</v>
      </c>
      <c r="C1997" t="s">
        <v>7331</v>
      </c>
      <c r="E1997" t="s">
        <v>6700</v>
      </c>
      <c r="F1997" t="s">
        <v>6255</v>
      </c>
      <c r="G1997">
        <v>950.5</v>
      </c>
      <c r="H1997">
        <v>950.5</v>
      </c>
      <c r="I1997" t="s">
        <v>227</v>
      </c>
      <c r="J1997" t="s">
        <v>228</v>
      </c>
      <c r="K1997" t="s">
        <v>31</v>
      </c>
      <c r="L1997" t="s">
        <v>32</v>
      </c>
      <c r="M1997" t="s">
        <v>33</v>
      </c>
      <c r="P1997" s="1" t="s">
        <v>7332</v>
      </c>
      <c r="Q1997" s="1" t="s">
        <v>6700</v>
      </c>
      <c r="R1997" s="1" t="s">
        <v>6700</v>
      </c>
      <c r="S1997" s="1"/>
      <c r="T1997" s="1" t="s">
        <v>7331</v>
      </c>
      <c r="U1997" s="1"/>
      <c r="V1997" s="1">
        <v>950.5</v>
      </c>
      <c r="W1997" s="1">
        <v>950.5</v>
      </c>
      <c r="X1997" s="1" t="s">
        <v>35</v>
      </c>
      <c r="Y1997" s="1">
        <v>950500.0</v>
      </c>
      <c r="Z1997" s="1"/>
      <c r="AA1997" s="1">
        <v>950500.0</v>
      </c>
      <c r="AB1997" s="1"/>
      <c r="AC1997" s="1" t="s">
        <v>36</v>
      </c>
      <c r="AD1997" s="1" t="s">
        <v>7333</v>
      </c>
      <c r="AE1997" s="1" t="s">
        <v>32</v>
      </c>
      <c r="AF1997" s="1" t="s">
        <v>33</v>
      </c>
      <c r="AG1997" s="1" t="s">
        <v>228</v>
      </c>
    </row>
    <row r="1998" spans="1:33">
      <c r="A1998" t="s">
        <v>7334</v>
      </c>
      <c r="C1998" t="s">
        <v>3947</v>
      </c>
      <c r="E1998" t="s">
        <v>6700</v>
      </c>
      <c r="F1998" t="s">
        <v>6255</v>
      </c>
      <c r="G1998">
        <v>328.0</v>
      </c>
      <c r="H1998">
        <v>328.0</v>
      </c>
      <c r="I1998" t="s">
        <v>269</v>
      </c>
      <c r="J1998" t="s">
        <v>270</v>
      </c>
      <c r="K1998" t="s">
        <v>31</v>
      </c>
      <c r="L1998" t="s">
        <v>32</v>
      </c>
      <c r="M1998" t="s">
        <v>33</v>
      </c>
      <c r="P1998" s="1" t="s">
        <v>7335</v>
      </c>
      <c r="Q1998" s="1" t="s">
        <v>6700</v>
      </c>
      <c r="R1998" s="1" t="s">
        <v>6700</v>
      </c>
      <c r="S1998" s="1"/>
      <c r="T1998" s="1" t="s">
        <v>3947</v>
      </c>
      <c r="U1998" s="1"/>
      <c r="V1998" s="1">
        <v>328.0</v>
      </c>
      <c r="W1998" s="1">
        <v>328.0</v>
      </c>
      <c r="X1998" s="1" t="s">
        <v>35</v>
      </c>
      <c r="Y1998" s="1">
        <v>328000.0</v>
      </c>
      <c r="Z1998" s="1"/>
      <c r="AA1998" s="1">
        <v>328000.0</v>
      </c>
      <c r="AB1998" s="1"/>
      <c r="AC1998" s="1" t="s">
        <v>36</v>
      </c>
      <c r="AD1998" s="1" t="s">
        <v>7333</v>
      </c>
      <c r="AE1998" s="1" t="s">
        <v>32</v>
      </c>
      <c r="AF1998" s="1" t="s">
        <v>33</v>
      </c>
      <c r="AG1998" s="1" t="s">
        <v>270</v>
      </c>
    </row>
    <row r="1999" spans="1:33">
      <c r="A1999" t="s">
        <v>7336</v>
      </c>
      <c r="B1999" t="s">
        <v>7337</v>
      </c>
      <c r="C1999" t="s">
        <v>131</v>
      </c>
      <c r="E1999" t="s">
        <v>6700</v>
      </c>
      <c r="F1999" t="s">
        <v>6255</v>
      </c>
      <c r="G1999">
        <v>11.0</v>
      </c>
      <c r="H1999">
        <v>11.0</v>
      </c>
      <c r="I1999" t="s">
        <v>94</v>
      </c>
      <c r="J1999" t="s">
        <v>95</v>
      </c>
      <c r="K1999" t="s">
        <v>31</v>
      </c>
      <c r="L1999" t="s">
        <v>32</v>
      </c>
      <c r="M1999" t="s">
        <v>33</v>
      </c>
      <c r="P1999" s="1" t="s">
        <v>7338</v>
      </c>
      <c r="Q1999" s="1" t="s">
        <v>6700</v>
      </c>
      <c r="R1999" s="1" t="s">
        <v>6700</v>
      </c>
      <c r="S1999" s="1"/>
      <c r="T1999" s="1" t="s">
        <v>131</v>
      </c>
      <c r="U1999" s="1"/>
      <c r="V1999" s="1">
        <v>11.0</v>
      </c>
      <c r="W1999" s="1">
        <v>11.0</v>
      </c>
      <c r="X1999" s="1" t="s">
        <v>35</v>
      </c>
      <c r="Y1999" s="1">
        <v>11000.0</v>
      </c>
      <c r="Z1999" s="1"/>
      <c r="AA1999" s="1">
        <v>11000.0</v>
      </c>
      <c r="AB1999" s="1"/>
      <c r="AC1999" s="1" t="s">
        <v>36</v>
      </c>
      <c r="AD1999" s="1" t="s">
        <v>7339</v>
      </c>
      <c r="AE1999" s="1" t="s">
        <v>32</v>
      </c>
      <c r="AF1999" s="1" t="s">
        <v>33</v>
      </c>
      <c r="AG1999" s="1" t="s">
        <v>95</v>
      </c>
    </row>
    <row r="2000" spans="1:33">
      <c r="A2000" t="s">
        <v>7340</v>
      </c>
      <c r="C2000" t="s">
        <v>2474</v>
      </c>
      <c r="E2000" t="s">
        <v>6700</v>
      </c>
      <c r="F2000" t="s">
        <v>6255</v>
      </c>
      <c r="G2000">
        <v>869.45</v>
      </c>
      <c r="H2000">
        <v>869.45</v>
      </c>
      <c r="I2000" t="s">
        <v>179</v>
      </c>
      <c r="J2000" t="s">
        <v>180</v>
      </c>
      <c r="K2000" t="s">
        <v>31</v>
      </c>
      <c r="L2000" t="s">
        <v>32</v>
      </c>
      <c r="M2000" t="s">
        <v>33</v>
      </c>
      <c r="P2000" s="1" t="s">
        <v>7341</v>
      </c>
      <c r="Q2000" s="1" t="s">
        <v>6700</v>
      </c>
      <c r="R2000" s="1" t="s">
        <v>6700</v>
      </c>
      <c r="S2000" s="1"/>
      <c r="T2000" s="1" t="s">
        <v>2474</v>
      </c>
      <c r="U2000" s="1"/>
      <c r="V2000" s="1">
        <v>869.45</v>
      </c>
      <c r="W2000" s="1">
        <v>869.45</v>
      </c>
      <c r="X2000" s="1" t="s">
        <v>35</v>
      </c>
      <c r="Y2000" s="1">
        <v>869450.0</v>
      </c>
      <c r="Z2000" s="1"/>
      <c r="AA2000" s="1">
        <v>869450.0</v>
      </c>
      <c r="AB2000" s="1"/>
      <c r="AC2000" s="1" t="s">
        <v>36</v>
      </c>
      <c r="AD2000" s="1" t="s">
        <v>7342</v>
      </c>
      <c r="AE2000" s="1" t="s">
        <v>32</v>
      </c>
      <c r="AF2000" s="1" t="s">
        <v>33</v>
      </c>
      <c r="AG2000" s="1" t="s">
        <v>180</v>
      </c>
    </row>
    <row r="2001" spans="1:33">
      <c r="A2001" t="s">
        <v>7343</v>
      </c>
      <c r="C2001" t="s">
        <v>586</v>
      </c>
      <c r="E2001" t="s">
        <v>6700</v>
      </c>
      <c r="F2001" t="s">
        <v>6255</v>
      </c>
      <c r="G2001">
        <v>74.0</v>
      </c>
      <c r="H2001">
        <v>74.0</v>
      </c>
      <c r="I2001" t="s">
        <v>269</v>
      </c>
      <c r="J2001" t="s">
        <v>270</v>
      </c>
      <c r="K2001" t="s">
        <v>31</v>
      </c>
      <c r="L2001" t="s">
        <v>32</v>
      </c>
      <c r="M2001" t="s">
        <v>33</v>
      </c>
      <c r="P2001" s="1" t="s">
        <v>7344</v>
      </c>
      <c r="Q2001" s="1" t="s">
        <v>6700</v>
      </c>
      <c r="R2001" s="1" t="s">
        <v>6700</v>
      </c>
      <c r="S2001" s="1"/>
      <c r="T2001" s="1" t="s">
        <v>586</v>
      </c>
      <c r="U2001" s="1"/>
      <c r="V2001" s="1">
        <v>74.0</v>
      </c>
      <c r="W2001" s="1">
        <v>74.0</v>
      </c>
      <c r="X2001" s="1" t="s">
        <v>35</v>
      </c>
      <c r="Y2001" s="1">
        <v>74000.0</v>
      </c>
      <c r="Z2001" s="1"/>
      <c r="AA2001" s="1">
        <v>74000.0</v>
      </c>
      <c r="AB2001" s="1"/>
      <c r="AC2001" s="1" t="s">
        <v>36</v>
      </c>
      <c r="AD2001" s="1" t="s">
        <v>7345</v>
      </c>
      <c r="AE2001" s="1" t="s">
        <v>32</v>
      </c>
      <c r="AF2001" s="1" t="s">
        <v>33</v>
      </c>
      <c r="AG2001" s="1" t="s">
        <v>270</v>
      </c>
    </row>
    <row r="2002" spans="1:33">
      <c r="A2002" t="s">
        <v>7346</v>
      </c>
      <c r="C2002" t="s">
        <v>1087</v>
      </c>
      <c r="E2002" t="s">
        <v>6700</v>
      </c>
      <c r="F2002" t="s">
        <v>6255</v>
      </c>
      <c r="G2002">
        <v>410.0</v>
      </c>
      <c r="H2002">
        <v>410.0</v>
      </c>
      <c r="I2002" t="s">
        <v>269</v>
      </c>
      <c r="J2002" t="s">
        <v>270</v>
      </c>
      <c r="K2002" t="s">
        <v>31</v>
      </c>
      <c r="L2002" t="s">
        <v>32</v>
      </c>
      <c r="M2002" t="s">
        <v>33</v>
      </c>
      <c r="P2002" s="1" t="s">
        <v>7347</v>
      </c>
      <c r="Q2002" s="1" t="s">
        <v>6700</v>
      </c>
      <c r="R2002" s="1" t="s">
        <v>6700</v>
      </c>
      <c r="S2002" s="1"/>
      <c r="T2002" s="1" t="s">
        <v>1087</v>
      </c>
      <c r="U2002" s="1"/>
      <c r="V2002" s="1">
        <v>410.0</v>
      </c>
      <c r="W2002" s="1">
        <v>410.0</v>
      </c>
      <c r="X2002" s="1" t="s">
        <v>35</v>
      </c>
      <c r="Y2002" s="1">
        <v>410000.0</v>
      </c>
      <c r="Z2002" s="1"/>
      <c r="AA2002" s="1">
        <v>410000.0</v>
      </c>
      <c r="AB2002" s="1"/>
      <c r="AC2002" s="1" t="s">
        <v>36</v>
      </c>
      <c r="AD2002" s="1" t="s">
        <v>7348</v>
      </c>
      <c r="AE2002" s="1" t="s">
        <v>32</v>
      </c>
      <c r="AF2002" s="1" t="s">
        <v>33</v>
      </c>
      <c r="AG2002" s="1" t="s">
        <v>270</v>
      </c>
    </row>
    <row r="2003" spans="1:33">
      <c r="A2003" t="s">
        <v>7349</v>
      </c>
      <c r="B2003" t="s">
        <v>7350</v>
      </c>
      <c r="C2003" t="s">
        <v>569</v>
      </c>
      <c r="E2003" t="s">
        <v>6700</v>
      </c>
      <c r="F2003" t="s">
        <v>6255</v>
      </c>
      <c r="G2003">
        <v>80.98</v>
      </c>
      <c r="H2003">
        <v>80.98</v>
      </c>
      <c r="I2003" t="s">
        <v>570</v>
      </c>
      <c r="J2003" t="s">
        <v>571</v>
      </c>
      <c r="K2003" t="s">
        <v>31</v>
      </c>
      <c r="L2003" t="s">
        <v>32</v>
      </c>
      <c r="M2003" t="s">
        <v>33</v>
      </c>
      <c r="P2003" s="1" t="s">
        <v>7351</v>
      </c>
      <c r="Q2003" s="1" t="s">
        <v>6700</v>
      </c>
      <c r="R2003" s="1" t="s">
        <v>6700</v>
      </c>
      <c r="S2003" s="1"/>
      <c r="T2003" s="1" t="s">
        <v>569</v>
      </c>
      <c r="U2003" s="1"/>
      <c r="V2003" s="1">
        <v>80.98</v>
      </c>
      <c r="W2003" s="1">
        <v>80.98</v>
      </c>
      <c r="X2003" s="1" t="s">
        <v>35</v>
      </c>
      <c r="Y2003" s="1">
        <v>80980.0</v>
      </c>
      <c r="Z2003" s="1"/>
      <c r="AA2003" s="1">
        <v>80980.0</v>
      </c>
      <c r="AB2003" s="1"/>
      <c r="AC2003" s="1" t="s">
        <v>36</v>
      </c>
      <c r="AD2003" s="1" t="s">
        <v>7352</v>
      </c>
      <c r="AE2003" s="1" t="s">
        <v>32</v>
      </c>
      <c r="AF2003" s="1" t="s">
        <v>33</v>
      </c>
      <c r="AG2003" s="1" t="s">
        <v>571</v>
      </c>
    </row>
    <row r="2004" spans="1:33">
      <c r="A2004" t="s">
        <v>7353</v>
      </c>
      <c r="C2004" t="s">
        <v>7354</v>
      </c>
      <c r="E2004" t="s">
        <v>6700</v>
      </c>
      <c r="F2004" t="s">
        <v>6255</v>
      </c>
      <c r="G2004">
        <v>328.0</v>
      </c>
      <c r="H2004">
        <v>328.0</v>
      </c>
      <c r="I2004" t="s">
        <v>269</v>
      </c>
      <c r="J2004" t="s">
        <v>270</v>
      </c>
      <c r="K2004" t="s">
        <v>31</v>
      </c>
      <c r="L2004" t="s">
        <v>32</v>
      </c>
      <c r="M2004" t="s">
        <v>33</v>
      </c>
      <c r="P2004" s="1" t="s">
        <v>7355</v>
      </c>
      <c r="Q2004" s="1" t="s">
        <v>6700</v>
      </c>
      <c r="R2004" s="1" t="s">
        <v>6700</v>
      </c>
      <c r="S2004" s="1"/>
      <c r="T2004" s="1" t="s">
        <v>7354</v>
      </c>
      <c r="U2004" s="1"/>
      <c r="V2004" s="1">
        <v>328.0</v>
      </c>
      <c r="W2004" s="1">
        <v>328.0</v>
      </c>
      <c r="X2004" s="1" t="s">
        <v>35</v>
      </c>
      <c r="Y2004" s="1">
        <v>328000.0</v>
      </c>
      <c r="Z2004" s="1"/>
      <c r="AA2004" s="1">
        <v>328000.0</v>
      </c>
      <c r="AB2004" s="1"/>
      <c r="AC2004" s="1" t="s">
        <v>36</v>
      </c>
      <c r="AD2004" s="1" t="s">
        <v>7356</v>
      </c>
      <c r="AE2004" s="1" t="s">
        <v>32</v>
      </c>
      <c r="AF2004" s="1" t="s">
        <v>33</v>
      </c>
      <c r="AG2004" s="1" t="s">
        <v>270</v>
      </c>
    </row>
    <row r="2005" spans="1:33">
      <c r="A2005" t="s">
        <v>7357</v>
      </c>
      <c r="B2005" t="s">
        <v>7358</v>
      </c>
      <c r="C2005" t="s">
        <v>172</v>
      </c>
      <c r="E2005" t="s">
        <v>6700</v>
      </c>
      <c r="F2005" t="s">
        <v>6255</v>
      </c>
      <c r="G2005">
        <v>20.99</v>
      </c>
      <c r="H2005">
        <v>20.99</v>
      </c>
      <c r="I2005" t="s">
        <v>173</v>
      </c>
      <c r="J2005" t="s">
        <v>174</v>
      </c>
      <c r="K2005" t="s">
        <v>31</v>
      </c>
      <c r="L2005" t="s">
        <v>32</v>
      </c>
      <c r="M2005" t="s">
        <v>33</v>
      </c>
      <c r="P2005" s="1" t="s">
        <v>7359</v>
      </c>
      <c r="Q2005" s="1" t="s">
        <v>6700</v>
      </c>
      <c r="R2005" s="1" t="s">
        <v>6700</v>
      </c>
      <c r="S2005" s="1"/>
      <c r="T2005" s="1" t="s">
        <v>172</v>
      </c>
      <c r="U2005" s="1"/>
      <c r="V2005" s="1">
        <v>20.99</v>
      </c>
      <c r="W2005" s="1">
        <v>20.99</v>
      </c>
      <c r="X2005" s="1" t="s">
        <v>35</v>
      </c>
      <c r="Y2005" s="1">
        <v>20990.0</v>
      </c>
      <c r="Z2005" s="1"/>
      <c r="AA2005" s="1">
        <v>20990.0</v>
      </c>
      <c r="AB2005" s="1"/>
      <c r="AC2005" s="1" t="s">
        <v>36</v>
      </c>
      <c r="AD2005" s="1" t="s">
        <v>7360</v>
      </c>
      <c r="AE2005" s="1" t="s">
        <v>32</v>
      </c>
      <c r="AF2005" s="1" t="s">
        <v>33</v>
      </c>
      <c r="AG2005" s="1" t="s">
        <v>174</v>
      </c>
    </row>
    <row r="2006" spans="1:33">
      <c r="A2006" t="s">
        <v>7361</v>
      </c>
      <c r="C2006" t="s">
        <v>1468</v>
      </c>
      <c r="E2006" t="s">
        <v>6700</v>
      </c>
      <c r="F2006" t="s">
        <v>6255</v>
      </c>
      <c r="G2006">
        <v>393.6</v>
      </c>
      <c r="H2006">
        <v>393.6</v>
      </c>
      <c r="I2006" t="s">
        <v>269</v>
      </c>
      <c r="J2006" t="s">
        <v>270</v>
      </c>
      <c r="K2006" t="s">
        <v>31</v>
      </c>
      <c r="L2006" t="s">
        <v>32</v>
      </c>
      <c r="M2006" t="s">
        <v>33</v>
      </c>
      <c r="P2006" s="1" t="s">
        <v>7362</v>
      </c>
      <c r="Q2006" s="1" t="s">
        <v>6700</v>
      </c>
      <c r="R2006" s="1" t="s">
        <v>6700</v>
      </c>
      <c r="S2006" s="1"/>
      <c r="T2006" s="1" t="s">
        <v>1468</v>
      </c>
      <c r="U2006" s="1"/>
      <c r="V2006" s="1">
        <v>393.6</v>
      </c>
      <c r="W2006" s="1">
        <v>393.6</v>
      </c>
      <c r="X2006" s="1" t="s">
        <v>35</v>
      </c>
      <c r="Y2006" s="1">
        <v>393600.0</v>
      </c>
      <c r="Z2006" s="1"/>
      <c r="AA2006" s="1">
        <v>393600.0</v>
      </c>
      <c r="AB2006" s="1"/>
      <c r="AC2006" s="1" t="s">
        <v>36</v>
      </c>
      <c r="AD2006" s="1" t="s">
        <v>7363</v>
      </c>
      <c r="AE2006" s="1" t="s">
        <v>32</v>
      </c>
      <c r="AF2006" s="1" t="s">
        <v>33</v>
      </c>
      <c r="AG2006" s="1" t="s">
        <v>270</v>
      </c>
    </row>
    <row r="2007" spans="1:33">
      <c r="A2007" t="s">
        <v>7364</v>
      </c>
      <c r="B2007" t="s">
        <v>7365</v>
      </c>
      <c r="C2007" t="s">
        <v>73</v>
      </c>
      <c r="E2007" t="s">
        <v>6700</v>
      </c>
      <c r="F2007" t="s">
        <v>2674</v>
      </c>
      <c r="G2007">
        <v>4.498</v>
      </c>
      <c r="H2007">
        <v>4.498</v>
      </c>
      <c r="I2007" t="s">
        <v>40</v>
      </c>
      <c r="J2007" t="s">
        <v>41</v>
      </c>
      <c r="K2007" t="s">
        <v>31</v>
      </c>
      <c r="L2007" t="s">
        <v>32</v>
      </c>
      <c r="M2007" t="s">
        <v>33</v>
      </c>
      <c r="P2007" s="1" t="s">
        <v>7366</v>
      </c>
      <c r="Q2007" s="1" t="s">
        <v>6700</v>
      </c>
      <c r="R2007" s="1" t="s">
        <v>6133</v>
      </c>
      <c r="S2007" s="1"/>
      <c r="T2007" s="1" t="s">
        <v>75</v>
      </c>
      <c r="U2007" s="1" t="s">
        <v>76</v>
      </c>
      <c r="V2007" s="1">
        <v>4.498</v>
      </c>
      <c r="W2007" s="1">
        <v>4.498</v>
      </c>
      <c r="X2007" s="1" t="s">
        <v>35</v>
      </c>
      <c r="Y2007" s="1">
        <v>4498.0</v>
      </c>
      <c r="Z2007" s="1"/>
      <c r="AA2007" s="1">
        <v>4498.0</v>
      </c>
      <c r="AB2007" s="1"/>
      <c r="AC2007" s="1" t="s">
        <v>36</v>
      </c>
      <c r="AD2007" s="1" t="s">
        <v>7152</v>
      </c>
      <c r="AE2007" s="1" t="s">
        <v>32</v>
      </c>
      <c r="AF2007" s="1" t="s">
        <v>33</v>
      </c>
      <c r="AG2007" s="1" t="s">
        <v>41</v>
      </c>
    </row>
    <row r="2008" spans="1:33">
      <c r="A2008" t="s">
        <v>7367</v>
      </c>
      <c r="B2008" t="s">
        <v>7368</v>
      </c>
      <c r="C2008" t="s">
        <v>73</v>
      </c>
      <c r="E2008" t="s">
        <v>6700</v>
      </c>
      <c r="F2008" t="s">
        <v>2674</v>
      </c>
      <c r="G2008">
        <v>40.49</v>
      </c>
      <c r="H2008">
        <v>40.49</v>
      </c>
      <c r="I2008" t="s">
        <v>40</v>
      </c>
      <c r="J2008" t="s">
        <v>41</v>
      </c>
      <c r="K2008" t="s">
        <v>31</v>
      </c>
      <c r="L2008" t="s">
        <v>32</v>
      </c>
      <c r="M2008" t="s">
        <v>33</v>
      </c>
      <c r="P2008" s="1" t="s">
        <v>7369</v>
      </c>
      <c r="Q2008" s="1" t="s">
        <v>6700</v>
      </c>
      <c r="R2008" s="1" t="s">
        <v>6133</v>
      </c>
      <c r="S2008" s="1"/>
      <c r="T2008" s="1" t="s">
        <v>75</v>
      </c>
      <c r="U2008" s="1" t="s">
        <v>76</v>
      </c>
      <c r="V2008" s="1">
        <v>40.49</v>
      </c>
      <c r="W2008" s="1">
        <v>40.49</v>
      </c>
      <c r="X2008" s="1" t="s">
        <v>35</v>
      </c>
      <c r="Y2008" s="1">
        <v>40490.0</v>
      </c>
      <c r="Z2008" s="1"/>
      <c r="AA2008" s="1">
        <v>40490.0</v>
      </c>
      <c r="AB2008" s="1"/>
      <c r="AC2008" s="1" t="s">
        <v>36</v>
      </c>
      <c r="AD2008" s="1" t="s">
        <v>7156</v>
      </c>
      <c r="AE2008" s="1" t="s">
        <v>32</v>
      </c>
      <c r="AF2008" s="1" t="s">
        <v>33</v>
      </c>
      <c r="AG2008" s="1" t="s">
        <v>41</v>
      </c>
    </row>
    <row r="2009" spans="1:33">
      <c r="A2009" t="s">
        <v>7370</v>
      </c>
      <c r="C2009" t="s">
        <v>7371</v>
      </c>
      <c r="D2009" t="s">
        <v>114</v>
      </c>
      <c r="E2009" t="s">
        <v>6700</v>
      </c>
      <c r="F2009" t="s">
        <v>6255</v>
      </c>
      <c r="G2009">
        <v>525.5</v>
      </c>
      <c r="H2009">
        <v>525.5</v>
      </c>
      <c r="I2009" t="s">
        <v>269</v>
      </c>
      <c r="J2009" t="s">
        <v>270</v>
      </c>
      <c r="K2009" t="s">
        <v>31</v>
      </c>
      <c r="L2009" t="s">
        <v>32</v>
      </c>
      <c r="M2009" t="s">
        <v>33</v>
      </c>
      <c r="P2009" s="1" t="s">
        <v>7372</v>
      </c>
      <c r="Q2009" s="1" t="s">
        <v>6700</v>
      </c>
      <c r="R2009" s="1" t="s">
        <v>6700</v>
      </c>
      <c r="S2009" s="1"/>
      <c r="T2009" s="1" t="s">
        <v>7371</v>
      </c>
      <c r="U2009" s="1"/>
      <c r="V2009" s="1">
        <v>525.5</v>
      </c>
      <c r="W2009" s="1">
        <v>525.5</v>
      </c>
      <c r="X2009" s="1" t="s">
        <v>35</v>
      </c>
      <c r="Y2009" s="1">
        <v>525500.0</v>
      </c>
      <c r="Z2009" s="1"/>
      <c r="AA2009" s="1">
        <v>525500.0</v>
      </c>
      <c r="AB2009" s="1"/>
      <c r="AC2009" s="1" t="s">
        <v>36</v>
      </c>
      <c r="AD2009" s="1" t="s">
        <v>7373</v>
      </c>
      <c r="AE2009" s="1" t="s">
        <v>32</v>
      </c>
      <c r="AF2009" s="1" t="s">
        <v>33</v>
      </c>
      <c r="AG2009" s="1" t="s">
        <v>270</v>
      </c>
    </row>
    <row r="2010" spans="1:33">
      <c r="A2010" t="s">
        <v>7374</v>
      </c>
      <c r="B2010" t="s">
        <v>7375</v>
      </c>
      <c r="C2010" t="s">
        <v>125</v>
      </c>
      <c r="E2010" t="s">
        <v>6700</v>
      </c>
      <c r="F2010" t="s">
        <v>6255</v>
      </c>
      <c r="G2010">
        <v>64.98</v>
      </c>
      <c r="H2010">
        <v>64.98</v>
      </c>
      <c r="I2010" t="s">
        <v>126</v>
      </c>
      <c r="J2010" t="s">
        <v>127</v>
      </c>
      <c r="K2010" t="s">
        <v>31</v>
      </c>
      <c r="L2010" t="s">
        <v>32</v>
      </c>
      <c r="M2010" t="s">
        <v>33</v>
      </c>
      <c r="P2010" s="1" t="s">
        <v>7376</v>
      </c>
      <c r="Q2010" s="1" t="s">
        <v>6700</v>
      </c>
      <c r="R2010" s="1" t="s">
        <v>6700</v>
      </c>
      <c r="S2010" s="1"/>
      <c r="T2010" s="1" t="s">
        <v>125</v>
      </c>
      <c r="U2010" s="1"/>
      <c r="V2010" s="1">
        <v>64.98</v>
      </c>
      <c r="W2010" s="1">
        <v>64.98</v>
      </c>
      <c r="X2010" s="1" t="s">
        <v>35</v>
      </c>
      <c r="Y2010" s="1">
        <v>64980.0</v>
      </c>
      <c r="Z2010" s="1"/>
      <c r="AA2010" s="1">
        <v>64980.0</v>
      </c>
      <c r="AB2010" s="1"/>
      <c r="AC2010" s="1" t="s">
        <v>36</v>
      </c>
      <c r="AD2010" s="1" t="s">
        <v>7360</v>
      </c>
      <c r="AE2010" s="1" t="s">
        <v>32</v>
      </c>
      <c r="AF2010" s="1" t="s">
        <v>33</v>
      </c>
      <c r="AG2010" s="1" t="s">
        <v>127</v>
      </c>
    </row>
    <row r="2011" spans="1:33">
      <c r="A2011" t="s">
        <v>7377</v>
      </c>
      <c r="B2011" t="s">
        <v>3243</v>
      </c>
      <c r="C2011" t="s">
        <v>3244</v>
      </c>
      <c r="E2011" t="s">
        <v>6700</v>
      </c>
      <c r="F2011" t="s">
        <v>6255</v>
      </c>
      <c r="G2011">
        <v>370.0</v>
      </c>
      <c r="H2011">
        <v>370.0</v>
      </c>
      <c r="I2011" t="s">
        <v>59</v>
      </c>
      <c r="J2011" t="s">
        <v>60</v>
      </c>
      <c r="K2011" t="s">
        <v>31</v>
      </c>
      <c r="L2011" t="s">
        <v>32</v>
      </c>
      <c r="M2011" t="s">
        <v>33</v>
      </c>
      <c r="P2011" s="1" t="s">
        <v>7378</v>
      </c>
      <c r="Q2011" s="1" t="s">
        <v>6700</v>
      </c>
      <c r="R2011" s="1" t="s">
        <v>6700</v>
      </c>
      <c r="S2011" s="1"/>
      <c r="T2011" s="1" t="s">
        <v>3246</v>
      </c>
      <c r="U2011" s="1" t="s">
        <v>3247</v>
      </c>
      <c r="V2011" s="1">
        <v>370.0</v>
      </c>
      <c r="W2011" s="1">
        <v>370.0</v>
      </c>
      <c r="X2011" s="1" t="s">
        <v>35</v>
      </c>
      <c r="Y2011" s="1">
        <v>370000.0</v>
      </c>
      <c r="Z2011" s="1"/>
      <c r="AA2011" s="1">
        <v>370000.0</v>
      </c>
      <c r="AB2011" s="1"/>
      <c r="AC2011" s="1" t="s">
        <v>36</v>
      </c>
      <c r="AD2011" s="1" t="s">
        <v>7379</v>
      </c>
      <c r="AE2011" s="1" t="s">
        <v>32</v>
      </c>
      <c r="AF2011" s="1" t="s">
        <v>33</v>
      </c>
      <c r="AG2011" s="1" t="s">
        <v>60</v>
      </c>
    </row>
    <row r="2012" spans="1:33">
      <c r="A2012" t="s">
        <v>7380</v>
      </c>
      <c r="C2012" t="s">
        <v>7381</v>
      </c>
      <c r="E2012" t="s">
        <v>6700</v>
      </c>
      <c r="F2012" t="s">
        <v>6255</v>
      </c>
      <c r="G2012">
        <v>477.5</v>
      </c>
      <c r="H2012">
        <v>477.5</v>
      </c>
      <c r="I2012" t="s">
        <v>173</v>
      </c>
      <c r="J2012" t="s">
        <v>174</v>
      </c>
      <c r="K2012" t="s">
        <v>31</v>
      </c>
      <c r="L2012" t="s">
        <v>32</v>
      </c>
      <c r="M2012" t="s">
        <v>33</v>
      </c>
      <c r="P2012" s="1" t="s">
        <v>7382</v>
      </c>
      <c r="Q2012" s="1" t="s">
        <v>6700</v>
      </c>
      <c r="R2012" s="1" t="s">
        <v>6700</v>
      </c>
      <c r="S2012" s="1"/>
      <c r="T2012" s="1" t="s">
        <v>7381</v>
      </c>
      <c r="U2012" s="1"/>
      <c r="V2012" s="1">
        <v>477.5</v>
      </c>
      <c r="W2012" s="1">
        <v>477.5</v>
      </c>
      <c r="X2012" s="1" t="s">
        <v>35</v>
      </c>
      <c r="Y2012" s="1">
        <v>477500.0</v>
      </c>
      <c r="Z2012" s="1"/>
      <c r="AA2012" s="1">
        <v>477500.0</v>
      </c>
      <c r="AB2012" s="1"/>
      <c r="AC2012" s="1" t="s">
        <v>36</v>
      </c>
      <c r="AD2012" s="1" t="s">
        <v>7383</v>
      </c>
      <c r="AE2012" s="1" t="s">
        <v>32</v>
      </c>
      <c r="AF2012" s="1" t="s">
        <v>33</v>
      </c>
      <c r="AG2012" s="1" t="s">
        <v>174</v>
      </c>
    </row>
    <row r="2013" spans="1:33">
      <c r="A2013" t="s">
        <v>7384</v>
      </c>
      <c r="C2013" t="s">
        <v>7385</v>
      </c>
      <c r="E2013" t="s">
        <v>6700</v>
      </c>
      <c r="F2013" t="s">
        <v>6255</v>
      </c>
      <c r="G2013">
        <v>8.2</v>
      </c>
      <c r="H2013">
        <v>8.2</v>
      </c>
      <c r="I2013" t="s">
        <v>227</v>
      </c>
      <c r="J2013" t="s">
        <v>228</v>
      </c>
      <c r="K2013" t="s">
        <v>31</v>
      </c>
      <c r="L2013" t="s">
        <v>32</v>
      </c>
      <c r="M2013" t="s">
        <v>33</v>
      </c>
      <c r="P2013" s="1" t="s">
        <v>7386</v>
      </c>
      <c r="Q2013" s="1" t="s">
        <v>6700</v>
      </c>
      <c r="R2013" s="1" t="s">
        <v>6700</v>
      </c>
      <c r="S2013" s="1"/>
      <c r="T2013" s="1" t="s">
        <v>7385</v>
      </c>
      <c r="U2013" s="1"/>
      <c r="V2013" s="1">
        <v>8.2</v>
      </c>
      <c r="W2013" s="1">
        <v>8.2</v>
      </c>
      <c r="X2013" s="1" t="s">
        <v>35</v>
      </c>
      <c r="Y2013" s="1">
        <v>8200000.0</v>
      </c>
      <c r="Z2013" s="1"/>
      <c r="AA2013" s="1">
        <v>8200000.0</v>
      </c>
      <c r="AB2013" s="1"/>
      <c r="AC2013" s="1" t="s">
        <v>36</v>
      </c>
      <c r="AD2013" s="1" t="s">
        <v>7387</v>
      </c>
      <c r="AE2013" s="1" t="s">
        <v>32</v>
      </c>
      <c r="AF2013" s="1" t="s">
        <v>33</v>
      </c>
      <c r="AG2013" s="1" t="s">
        <v>228</v>
      </c>
    </row>
    <row r="2014" spans="1:33">
      <c r="A2014" t="s">
        <v>7388</v>
      </c>
      <c r="C2014" t="s">
        <v>2216</v>
      </c>
      <c r="E2014" t="s">
        <v>6700</v>
      </c>
      <c r="F2014" t="s">
        <v>6255</v>
      </c>
      <c r="G2014">
        <v>328.0</v>
      </c>
      <c r="H2014">
        <v>328.0</v>
      </c>
      <c r="I2014" t="s">
        <v>227</v>
      </c>
      <c r="J2014" t="s">
        <v>228</v>
      </c>
      <c r="K2014" t="s">
        <v>31</v>
      </c>
      <c r="L2014" t="s">
        <v>32</v>
      </c>
      <c r="M2014" t="s">
        <v>33</v>
      </c>
      <c r="P2014" s="1" t="s">
        <v>7389</v>
      </c>
      <c r="Q2014" s="1" t="s">
        <v>6700</v>
      </c>
      <c r="R2014" s="1" t="s">
        <v>6700</v>
      </c>
      <c r="S2014" s="1"/>
      <c r="T2014" s="1" t="s">
        <v>2216</v>
      </c>
      <c r="U2014" s="1"/>
      <c r="V2014" s="1">
        <v>328.0</v>
      </c>
      <c r="W2014" s="1">
        <v>328.0</v>
      </c>
      <c r="X2014" s="1" t="s">
        <v>35</v>
      </c>
      <c r="Y2014" s="1">
        <v>328000.0</v>
      </c>
      <c r="Z2014" s="1"/>
      <c r="AA2014" s="1">
        <v>328000.0</v>
      </c>
      <c r="AB2014" s="1"/>
      <c r="AC2014" s="1" t="s">
        <v>36</v>
      </c>
      <c r="AD2014" s="1" t="s">
        <v>7390</v>
      </c>
      <c r="AE2014" s="1" t="s">
        <v>32</v>
      </c>
      <c r="AF2014" s="1" t="s">
        <v>33</v>
      </c>
      <c r="AG2014" s="1" t="s">
        <v>228</v>
      </c>
    </row>
    <row r="2015" spans="1:33">
      <c r="A2015" t="s">
        <v>7391</v>
      </c>
      <c r="B2015" t="s">
        <v>7392</v>
      </c>
      <c r="C2015" t="s">
        <v>314</v>
      </c>
      <c r="E2015" t="s">
        <v>6700</v>
      </c>
      <c r="F2015" t="s">
        <v>6255</v>
      </c>
      <c r="G2015">
        <v>42.48</v>
      </c>
      <c r="H2015">
        <v>42.48</v>
      </c>
      <c r="I2015" t="s">
        <v>179</v>
      </c>
      <c r="J2015" t="s">
        <v>180</v>
      </c>
      <c r="K2015" t="s">
        <v>31</v>
      </c>
      <c r="L2015" t="s">
        <v>32</v>
      </c>
      <c r="M2015" t="s">
        <v>33</v>
      </c>
      <c r="P2015" s="1" t="s">
        <v>7393</v>
      </c>
      <c r="Q2015" s="1" t="s">
        <v>6700</v>
      </c>
      <c r="R2015" s="1" t="s">
        <v>6700</v>
      </c>
      <c r="S2015" s="1"/>
      <c r="T2015" s="1" t="s">
        <v>314</v>
      </c>
      <c r="U2015" s="1"/>
      <c r="V2015" s="1">
        <v>42.48</v>
      </c>
      <c r="W2015" s="1">
        <v>42.48</v>
      </c>
      <c r="X2015" s="1" t="s">
        <v>35</v>
      </c>
      <c r="Y2015" s="1">
        <v>42480.0</v>
      </c>
      <c r="Z2015" s="1"/>
      <c r="AA2015" s="1">
        <v>42480.0</v>
      </c>
      <c r="AB2015" s="1"/>
      <c r="AC2015" s="1" t="s">
        <v>36</v>
      </c>
      <c r="AD2015" s="1" t="s">
        <v>7394</v>
      </c>
      <c r="AE2015" s="1" t="s">
        <v>32</v>
      </c>
      <c r="AF2015" s="1" t="s">
        <v>33</v>
      </c>
      <c r="AG2015" s="1" t="s">
        <v>180</v>
      </c>
    </row>
    <row r="2016" spans="1:33">
      <c r="A2016" t="s">
        <v>7395</v>
      </c>
      <c r="C2016" t="s">
        <v>7396</v>
      </c>
      <c r="E2016" t="s">
        <v>6700</v>
      </c>
      <c r="F2016" t="s">
        <v>6255</v>
      </c>
      <c r="G2016">
        <v>859.75</v>
      </c>
      <c r="H2016">
        <v>859.75</v>
      </c>
      <c r="I2016" t="s">
        <v>269</v>
      </c>
      <c r="J2016" t="s">
        <v>270</v>
      </c>
      <c r="K2016" t="s">
        <v>31</v>
      </c>
      <c r="L2016" t="s">
        <v>32</v>
      </c>
      <c r="M2016" t="s">
        <v>33</v>
      </c>
      <c r="P2016" s="1" t="s">
        <v>7397</v>
      </c>
      <c r="Q2016" s="1" t="s">
        <v>6700</v>
      </c>
      <c r="R2016" s="1" t="s">
        <v>6700</v>
      </c>
      <c r="S2016" s="1"/>
      <c r="T2016" s="1" t="s">
        <v>7396</v>
      </c>
      <c r="U2016" s="1"/>
      <c r="V2016" s="1">
        <v>859.75</v>
      </c>
      <c r="W2016" s="1">
        <v>859.75</v>
      </c>
      <c r="X2016" s="1" t="s">
        <v>35</v>
      </c>
      <c r="Y2016" s="1">
        <v>859750.0</v>
      </c>
      <c r="Z2016" s="1"/>
      <c r="AA2016" s="1">
        <v>859750.0</v>
      </c>
      <c r="AB2016" s="1"/>
      <c r="AC2016" s="1" t="s">
        <v>36</v>
      </c>
      <c r="AD2016" s="1" t="s">
        <v>7398</v>
      </c>
      <c r="AE2016" s="1" t="s">
        <v>32</v>
      </c>
      <c r="AF2016" s="1" t="s">
        <v>33</v>
      </c>
      <c r="AG2016" s="1" t="s">
        <v>270</v>
      </c>
    </row>
    <row r="2017" spans="1:33">
      <c r="A2017" t="s">
        <v>7399</v>
      </c>
      <c r="B2017" t="s">
        <v>7400</v>
      </c>
      <c r="C2017" t="s">
        <v>172</v>
      </c>
      <c r="E2017" t="s">
        <v>6700</v>
      </c>
      <c r="F2017" t="s">
        <v>6255</v>
      </c>
      <c r="G2017">
        <v>21.99</v>
      </c>
      <c r="H2017">
        <v>21.99</v>
      </c>
      <c r="I2017" t="s">
        <v>173</v>
      </c>
      <c r="J2017" t="s">
        <v>174</v>
      </c>
      <c r="K2017" t="s">
        <v>31</v>
      </c>
      <c r="L2017" t="s">
        <v>32</v>
      </c>
      <c r="M2017" t="s">
        <v>33</v>
      </c>
      <c r="P2017" s="1" t="s">
        <v>7401</v>
      </c>
      <c r="Q2017" s="1" t="s">
        <v>6700</v>
      </c>
      <c r="R2017" s="1" t="s">
        <v>6700</v>
      </c>
      <c r="S2017" s="1"/>
      <c r="T2017" s="1" t="s">
        <v>172</v>
      </c>
      <c r="U2017" s="1"/>
      <c r="V2017" s="1">
        <v>21.99</v>
      </c>
      <c r="W2017" s="1">
        <v>21.99</v>
      </c>
      <c r="X2017" s="1" t="s">
        <v>35</v>
      </c>
      <c r="Y2017" s="1">
        <v>21990.0</v>
      </c>
      <c r="Z2017" s="1"/>
      <c r="AA2017" s="1">
        <v>21990.0</v>
      </c>
      <c r="AB2017" s="1"/>
      <c r="AC2017" s="1" t="s">
        <v>36</v>
      </c>
      <c r="AD2017" s="1" t="s">
        <v>7402</v>
      </c>
      <c r="AE2017" s="1" t="s">
        <v>32</v>
      </c>
      <c r="AF2017" s="1" t="s">
        <v>33</v>
      </c>
      <c r="AG2017" s="1" t="s">
        <v>174</v>
      </c>
    </row>
    <row r="2018" spans="1:33">
      <c r="A2018" t="s">
        <v>7403</v>
      </c>
      <c r="C2018" t="s">
        <v>2284</v>
      </c>
      <c r="E2018" t="s">
        <v>6700</v>
      </c>
      <c r="F2018" t="s">
        <v>6255</v>
      </c>
      <c r="G2018">
        <v>820.0</v>
      </c>
      <c r="H2018">
        <v>820.0</v>
      </c>
      <c r="I2018" t="s">
        <v>269</v>
      </c>
      <c r="J2018" t="s">
        <v>270</v>
      </c>
      <c r="K2018" t="s">
        <v>31</v>
      </c>
      <c r="L2018" t="s">
        <v>32</v>
      </c>
      <c r="M2018" t="s">
        <v>33</v>
      </c>
      <c r="P2018" s="1" t="s">
        <v>7404</v>
      </c>
      <c r="Q2018" s="1" t="s">
        <v>6700</v>
      </c>
      <c r="R2018" s="1" t="s">
        <v>6700</v>
      </c>
      <c r="S2018" s="1"/>
      <c r="T2018" s="1" t="s">
        <v>2284</v>
      </c>
      <c r="U2018" s="1"/>
      <c r="V2018" s="1">
        <v>820.0</v>
      </c>
      <c r="W2018" s="1">
        <v>820.0</v>
      </c>
      <c r="X2018" s="1" t="s">
        <v>35</v>
      </c>
      <c r="Y2018" s="1">
        <v>820000.0</v>
      </c>
      <c r="Z2018" s="1"/>
      <c r="AA2018" s="1">
        <v>820000.0</v>
      </c>
      <c r="AB2018" s="1"/>
      <c r="AC2018" s="1" t="s">
        <v>36</v>
      </c>
      <c r="AD2018" s="1" t="s">
        <v>7405</v>
      </c>
      <c r="AE2018" s="1" t="s">
        <v>32</v>
      </c>
      <c r="AF2018" s="1" t="s">
        <v>33</v>
      </c>
      <c r="AG2018" s="1" t="s">
        <v>270</v>
      </c>
    </row>
    <row r="2019" spans="1:33">
      <c r="A2019" t="s">
        <v>7406</v>
      </c>
      <c r="C2019" t="s">
        <v>827</v>
      </c>
      <c r="D2019" t="s">
        <v>154</v>
      </c>
      <c r="E2019" t="s">
        <v>6700</v>
      </c>
      <c r="F2019" t="s">
        <v>6255</v>
      </c>
      <c r="G2019">
        <v>40.0</v>
      </c>
      <c r="H2019">
        <v>40.0</v>
      </c>
      <c r="I2019" t="s">
        <v>269</v>
      </c>
      <c r="J2019" t="s">
        <v>270</v>
      </c>
      <c r="K2019" t="s">
        <v>31</v>
      </c>
      <c r="L2019" t="s">
        <v>32</v>
      </c>
      <c r="M2019" t="s">
        <v>33</v>
      </c>
      <c r="P2019" s="1" t="s">
        <v>7407</v>
      </c>
      <c r="Q2019" s="1" t="s">
        <v>6700</v>
      </c>
      <c r="R2019" s="1" t="s">
        <v>6700</v>
      </c>
      <c r="S2019" s="1"/>
      <c r="T2019" s="1" t="s">
        <v>827</v>
      </c>
      <c r="U2019" s="1"/>
      <c r="V2019" s="1">
        <v>40.0</v>
      </c>
      <c r="W2019" s="1">
        <v>40.0</v>
      </c>
      <c r="X2019" s="1" t="s">
        <v>35</v>
      </c>
      <c r="Y2019" s="1">
        <v>40000.0</v>
      </c>
      <c r="Z2019" s="1"/>
      <c r="AA2019" s="1">
        <v>40000.0</v>
      </c>
      <c r="AB2019" s="1"/>
      <c r="AC2019" s="1" t="s">
        <v>36</v>
      </c>
      <c r="AD2019" s="1" t="s">
        <v>7402</v>
      </c>
      <c r="AE2019" s="1" t="s">
        <v>32</v>
      </c>
      <c r="AF2019" s="1" t="s">
        <v>33</v>
      </c>
      <c r="AG2019" s="1" t="s">
        <v>270</v>
      </c>
    </row>
    <row r="2020" spans="1:33">
      <c r="A2020" t="s">
        <v>7408</v>
      </c>
      <c r="C2020" t="s">
        <v>1739</v>
      </c>
      <c r="E2020" t="s">
        <v>6700</v>
      </c>
      <c r="F2020" t="s">
        <v>6255</v>
      </c>
      <c r="G2020">
        <v>336.0</v>
      </c>
      <c r="H2020">
        <v>336.0</v>
      </c>
      <c r="I2020" t="s">
        <v>48</v>
      </c>
      <c r="J2020" t="s">
        <v>49</v>
      </c>
      <c r="K2020" t="s">
        <v>31</v>
      </c>
      <c r="L2020" t="s">
        <v>32</v>
      </c>
      <c r="M2020" t="s">
        <v>33</v>
      </c>
      <c r="P2020" s="1" t="s">
        <v>7409</v>
      </c>
      <c r="Q2020" s="1" t="s">
        <v>6700</v>
      </c>
      <c r="R2020" s="1" t="s">
        <v>6700</v>
      </c>
      <c r="S2020" s="1"/>
      <c r="T2020" s="1" t="s">
        <v>1739</v>
      </c>
      <c r="U2020" s="1"/>
      <c r="V2020" s="1">
        <v>336.0</v>
      </c>
      <c r="W2020" s="1">
        <v>336.0</v>
      </c>
      <c r="X2020" s="1" t="s">
        <v>35</v>
      </c>
      <c r="Y2020" s="1">
        <v>336000.0</v>
      </c>
      <c r="Z2020" s="1"/>
      <c r="AA2020" s="1">
        <v>336000.0</v>
      </c>
      <c r="AB2020" s="1"/>
      <c r="AC2020" s="1" t="s">
        <v>36</v>
      </c>
      <c r="AD2020" s="1" t="s">
        <v>7410</v>
      </c>
      <c r="AE2020" s="1" t="s">
        <v>32</v>
      </c>
      <c r="AF2020" s="1" t="s">
        <v>33</v>
      </c>
      <c r="AG2020" s="1" t="s">
        <v>49</v>
      </c>
    </row>
    <row r="2021" spans="1:33">
      <c r="A2021" t="s">
        <v>7411</v>
      </c>
      <c r="C2021" t="s">
        <v>7412</v>
      </c>
      <c r="E2021" t="s">
        <v>7413</v>
      </c>
      <c r="F2021" t="s">
        <v>7318</v>
      </c>
      <c r="G2021">
        <v>3.219</v>
      </c>
      <c r="H2021">
        <v>3.283</v>
      </c>
      <c r="I2021" t="s">
        <v>40</v>
      </c>
      <c r="J2021" t="s">
        <v>41</v>
      </c>
      <c r="K2021" t="s">
        <v>31</v>
      </c>
      <c r="L2021" t="s">
        <v>32</v>
      </c>
      <c r="M2021" t="s">
        <v>33</v>
      </c>
      <c r="P2021" s="1" t="s">
        <v>7414</v>
      </c>
      <c r="Q2021" s="1" t="s">
        <v>7413</v>
      </c>
      <c r="R2021" s="1" t="s">
        <v>6700</v>
      </c>
      <c r="S2021" s="1"/>
      <c r="T2021" s="1" t="s">
        <v>7415</v>
      </c>
      <c r="U2021" s="1" t="s">
        <v>7416</v>
      </c>
      <c r="V2021" s="1">
        <v>3.219</v>
      </c>
      <c r="W2021" s="1">
        <v>3.283</v>
      </c>
      <c r="X2021" s="1" t="s">
        <v>35</v>
      </c>
      <c r="Y2021" s="1"/>
      <c r="Z2021" s="1">
        <v>3283380</v>
      </c>
      <c r="AA2021" s="1"/>
      <c r="AB2021" s="1">
        <v>3283380</v>
      </c>
      <c r="AC2021" s="1" t="s">
        <v>36</v>
      </c>
      <c r="AD2021" s="1" t="s">
        <v>5106</v>
      </c>
      <c r="AE2021" s="1" t="s">
        <v>32</v>
      </c>
      <c r="AF2021" s="1" t="s">
        <v>33</v>
      </c>
      <c r="AG2021" s="1" t="s">
        <v>41</v>
      </c>
    </row>
    <row r="2022" spans="1:33">
      <c r="A2022" t="s">
        <v>7417</v>
      </c>
      <c r="B2022" t="s">
        <v>4178</v>
      </c>
      <c r="C2022" t="s">
        <v>4179</v>
      </c>
      <c r="E2022" t="s">
        <v>7413</v>
      </c>
      <c r="F2022" t="s">
        <v>7318</v>
      </c>
      <c r="G2022">
        <v>42.0</v>
      </c>
      <c r="H2022">
        <v>42.0</v>
      </c>
      <c r="I2022" t="s">
        <v>529</v>
      </c>
      <c r="J2022" t="s">
        <v>530</v>
      </c>
      <c r="K2022" t="s">
        <v>31</v>
      </c>
      <c r="L2022" t="s">
        <v>32</v>
      </c>
      <c r="M2022" t="s">
        <v>33</v>
      </c>
      <c r="P2022" s="1" t="s">
        <v>7418</v>
      </c>
      <c r="Q2022" s="1" t="s">
        <v>7413</v>
      </c>
      <c r="R2022" s="1" t="s">
        <v>6700</v>
      </c>
      <c r="S2022" s="1"/>
      <c r="T2022" s="1" t="s">
        <v>4179</v>
      </c>
      <c r="U2022" s="1"/>
      <c r="V2022" s="1">
        <v>42.0</v>
      </c>
      <c r="W2022" s="1">
        <v>42.0</v>
      </c>
      <c r="X2022" s="1" t="s">
        <v>35</v>
      </c>
      <c r="Y2022" s="1">
        <v>42000.0</v>
      </c>
      <c r="Z2022" s="1"/>
      <c r="AA2022" s="1">
        <v>42000.0</v>
      </c>
      <c r="AB2022" s="1"/>
      <c r="AC2022" s="1" t="s">
        <v>36</v>
      </c>
      <c r="AD2022" s="1" t="s">
        <v>7419</v>
      </c>
      <c r="AE2022" s="1" t="s">
        <v>32</v>
      </c>
      <c r="AF2022" s="1" t="s">
        <v>33</v>
      </c>
      <c r="AG2022" s="1" t="s">
        <v>530</v>
      </c>
    </row>
    <row r="2023" spans="1:33">
      <c r="A2023" t="s">
        <v>7420</v>
      </c>
      <c r="C2023" t="s">
        <v>6842</v>
      </c>
      <c r="E2023" t="s">
        <v>7413</v>
      </c>
      <c r="F2023" t="s">
        <v>7318</v>
      </c>
      <c r="G2023">
        <v>29.85</v>
      </c>
      <c r="H2023">
        <v>29.85</v>
      </c>
      <c r="I2023" t="s">
        <v>29</v>
      </c>
      <c r="J2023" t="s">
        <v>30</v>
      </c>
      <c r="K2023" t="s">
        <v>31</v>
      </c>
      <c r="L2023" t="s">
        <v>32</v>
      </c>
      <c r="M2023" t="s">
        <v>33</v>
      </c>
      <c r="P2023" s="1" t="s">
        <v>7421</v>
      </c>
      <c r="Q2023" s="1" t="s">
        <v>7413</v>
      </c>
      <c r="R2023" s="1" t="s">
        <v>7413</v>
      </c>
      <c r="S2023" s="1"/>
      <c r="T2023" s="1" t="s">
        <v>6842</v>
      </c>
      <c r="U2023" s="1"/>
      <c r="V2023" s="1">
        <v>29.85</v>
      </c>
      <c r="W2023" s="1">
        <v>29.85</v>
      </c>
      <c r="X2023" s="1" t="s">
        <v>35</v>
      </c>
      <c r="Y2023" s="1">
        <v>29850.0</v>
      </c>
      <c r="Z2023" s="1"/>
      <c r="AA2023" s="1">
        <v>23424.0</v>
      </c>
      <c r="AB2023" s="1">
        <v>6426</v>
      </c>
      <c r="AC2023" s="1" t="s">
        <v>36</v>
      </c>
      <c r="AD2023" s="1" t="s">
        <v>7422</v>
      </c>
      <c r="AE2023" s="1" t="s">
        <v>32</v>
      </c>
      <c r="AF2023" s="1" t="s">
        <v>33</v>
      </c>
      <c r="AG2023" s="1" t="s">
        <v>30</v>
      </c>
    </row>
    <row r="2024" spans="1:33">
      <c r="A2024" t="s">
        <v>7423</v>
      </c>
      <c r="B2024" t="s">
        <v>7317</v>
      </c>
      <c r="C2024" t="s">
        <v>6216</v>
      </c>
      <c r="E2024" t="s">
        <v>7413</v>
      </c>
      <c r="F2024" t="s">
        <v>7318</v>
      </c>
      <c r="G2024">
        <v>328.0</v>
      </c>
      <c r="H2024">
        <v>328.0</v>
      </c>
      <c r="I2024" t="s">
        <v>136</v>
      </c>
      <c r="J2024" t="s">
        <v>137</v>
      </c>
      <c r="K2024" t="s">
        <v>31</v>
      </c>
      <c r="L2024" t="s">
        <v>32</v>
      </c>
      <c r="M2024" t="s">
        <v>33</v>
      </c>
      <c r="P2024" s="1" t="s">
        <v>7424</v>
      </c>
      <c r="Q2024" s="1" t="s">
        <v>7413</v>
      </c>
      <c r="R2024" s="1" t="s">
        <v>7413</v>
      </c>
      <c r="S2024" s="1"/>
      <c r="T2024" s="1" t="s">
        <v>6216</v>
      </c>
      <c r="U2024" s="1"/>
      <c r="V2024" s="1">
        <v>328.0</v>
      </c>
      <c r="W2024" s="1">
        <v>328.0</v>
      </c>
      <c r="X2024" s="1" t="s">
        <v>35</v>
      </c>
      <c r="Y2024" s="1">
        <v>328000.0</v>
      </c>
      <c r="Z2024" s="1"/>
      <c r="AA2024" s="1">
        <v>328000.0</v>
      </c>
      <c r="AB2024" s="1"/>
      <c r="AC2024" s="1" t="s">
        <v>36</v>
      </c>
      <c r="AD2024" s="1" t="s">
        <v>7425</v>
      </c>
      <c r="AE2024" s="1" t="s">
        <v>32</v>
      </c>
      <c r="AF2024" s="1" t="s">
        <v>33</v>
      </c>
      <c r="AG2024" s="1" t="s">
        <v>137</v>
      </c>
    </row>
    <row r="2025" spans="1:33">
      <c r="A2025" t="s">
        <v>7426</v>
      </c>
      <c r="B2025" t="s">
        <v>7427</v>
      </c>
      <c r="C2025" t="s">
        <v>125</v>
      </c>
      <c r="E2025" t="s">
        <v>7413</v>
      </c>
      <c r="F2025" t="s">
        <v>7318</v>
      </c>
      <c r="G2025">
        <v>21.99</v>
      </c>
      <c r="H2025">
        <v>21.99</v>
      </c>
      <c r="I2025" t="s">
        <v>126</v>
      </c>
      <c r="J2025" t="s">
        <v>127</v>
      </c>
      <c r="K2025" t="s">
        <v>31</v>
      </c>
      <c r="L2025" t="s">
        <v>32</v>
      </c>
      <c r="M2025" t="s">
        <v>33</v>
      </c>
      <c r="P2025" s="1" t="s">
        <v>7428</v>
      </c>
      <c r="Q2025" s="1" t="s">
        <v>7413</v>
      </c>
      <c r="R2025" s="1" t="s">
        <v>7413</v>
      </c>
      <c r="S2025" s="1"/>
      <c r="T2025" s="1" t="s">
        <v>125</v>
      </c>
      <c r="U2025" s="1"/>
      <c r="V2025" s="1">
        <v>21.99</v>
      </c>
      <c r="W2025" s="1">
        <v>21.99</v>
      </c>
      <c r="X2025" s="1" t="s">
        <v>35</v>
      </c>
      <c r="Y2025" s="1">
        <v>21990.0</v>
      </c>
      <c r="Z2025" s="1"/>
      <c r="AA2025" s="1">
        <v>21990.0</v>
      </c>
      <c r="AB2025" s="1"/>
      <c r="AC2025" s="1" t="s">
        <v>36</v>
      </c>
      <c r="AD2025" s="1" t="s">
        <v>7429</v>
      </c>
      <c r="AE2025" s="1" t="s">
        <v>32</v>
      </c>
      <c r="AF2025" s="1" t="s">
        <v>33</v>
      </c>
      <c r="AG2025" s="1" t="s">
        <v>127</v>
      </c>
    </row>
    <row r="2026" spans="1:33">
      <c r="A2026" t="s">
        <v>7430</v>
      </c>
      <c r="C2026" t="s">
        <v>1024</v>
      </c>
      <c r="E2026" t="s">
        <v>7413</v>
      </c>
      <c r="F2026" t="s">
        <v>7318</v>
      </c>
      <c r="G2026">
        <v>326.0</v>
      </c>
      <c r="H2026">
        <v>326.0</v>
      </c>
      <c r="I2026" t="s">
        <v>847</v>
      </c>
      <c r="J2026" t="s">
        <v>848</v>
      </c>
      <c r="K2026" t="s">
        <v>31</v>
      </c>
      <c r="L2026" t="s">
        <v>32</v>
      </c>
      <c r="M2026" t="s">
        <v>33</v>
      </c>
      <c r="P2026" s="1" t="s">
        <v>7431</v>
      </c>
      <c r="Q2026" s="1" t="s">
        <v>7413</v>
      </c>
      <c r="R2026" s="1" t="s">
        <v>7413</v>
      </c>
      <c r="S2026" s="1"/>
      <c r="T2026" s="1" t="s">
        <v>1024</v>
      </c>
      <c r="U2026" s="1"/>
      <c r="V2026" s="1">
        <v>326.0</v>
      </c>
      <c r="W2026" s="1">
        <v>326.0</v>
      </c>
      <c r="X2026" s="1" t="s">
        <v>35</v>
      </c>
      <c r="Y2026" s="1">
        <v>326000.0</v>
      </c>
      <c r="Z2026" s="1"/>
      <c r="AA2026" s="1">
        <v>326000.0</v>
      </c>
      <c r="AB2026" s="1"/>
      <c r="AC2026" s="1" t="s">
        <v>36</v>
      </c>
      <c r="AD2026" s="1" t="s">
        <v>7425</v>
      </c>
      <c r="AE2026" s="1" t="s">
        <v>32</v>
      </c>
      <c r="AF2026" s="1" t="s">
        <v>33</v>
      </c>
      <c r="AG2026" s="1" t="s">
        <v>848</v>
      </c>
    </row>
    <row r="2027" spans="1:33">
      <c r="A2027" t="s">
        <v>7432</v>
      </c>
      <c r="B2027" t="s">
        <v>7433</v>
      </c>
      <c r="C2027" t="s">
        <v>314</v>
      </c>
      <c r="E2027" t="s">
        <v>7413</v>
      </c>
      <c r="F2027" t="s">
        <v>7318</v>
      </c>
      <c r="G2027">
        <v>289.9</v>
      </c>
      <c r="H2027">
        <v>289.9</v>
      </c>
      <c r="I2027" t="s">
        <v>179</v>
      </c>
      <c r="J2027" t="s">
        <v>180</v>
      </c>
      <c r="K2027" t="s">
        <v>31</v>
      </c>
      <c r="L2027" t="s">
        <v>32</v>
      </c>
      <c r="M2027" t="s">
        <v>33</v>
      </c>
      <c r="P2027" s="1" t="s">
        <v>7434</v>
      </c>
      <c r="Q2027" s="1" t="s">
        <v>7413</v>
      </c>
      <c r="R2027" s="1" t="s">
        <v>7413</v>
      </c>
      <c r="S2027" s="1"/>
      <c r="T2027" s="1" t="s">
        <v>314</v>
      </c>
      <c r="U2027" s="1"/>
      <c r="V2027" s="1">
        <v>289.9</v>
      </c>
      <c r="W2027" s="1">
        <v>289.9</v>
      </c>
      <c r="X2027" s="1" t="s">
        <v>35</v>
      </c>
      <c r="Y2027" s="1">
        <v>289900.0</v>
      </c>
      <c r="Z2027" s="1"/>
      <c r="AA2027" s="1">
        <v>289900.0</v>
      </c>
      <c r="AB2027" s="1"/>
      <c r="AC2027" s="1" t="s">
        <v>36</v>
      </c>
      <c r="AD2027" s="1" t="s">
        <v>7435</v>
      </c>
      <c r="AE2027" s="1" t="s">
        <v>32</v>
      </c>
      <c r="AF2027" s="1" t="s">
        <v>33</v>
      </c>
      <c r="AG2027" s="1" t="s">
        <v>180</v>
      </c>
    </row>
    <row r="2028" spans="1:33">
      <c r="A2028" t="s">
        <v>7436</v>
      </c>
      <c r="B2028" t="s">
        <v>7317</v>
      </c>
      <c r="C2028" t="s">
        <v>135</v>
      </c>
      <c r="E2028" t="s">
        <v>7413</v>
      </c>
      <c r="F2028" t="s">
        <v>7318</v>
      </c>
      <c r="G2028">
        <v>32.85</v>
      </c>
      <c r="H2028">
        <v>32.85</v>
      </c>
      <c r="I2028" t="s">
        <v>136</v>
      </c>
      <c r="J2028" t="s">
        <v>137</v>
      </c>
      <c r="K2028" t="s">
        <v>31</v>
      </c>
      <c r="L2028" t="s">
        <v>32</v>
      </c>
      <c r="M2028" t="s">
        <v>33</v>
      </c>
      <c r="P2028" s="1" t="s">
        <v>7437</v>
      </c>
      <c r="Q2028" s="1" t="s">
        <v>7413</v>
      </c>
      <c r="R2028" s="1" t="s">
        <v>7413</v>
      </c>
      <c r="S2028" s="1"/>
      <c r="T2028" s="1" t="s">
        <v>135</v>
      </c>
      <c r="U2028" s="1"/>
      <c r="V2028" s="1">
        <v>32.85</v>
      </c>
      <c r="W2028" s="1">
        <v>32.85</v>
      </c>
      <c r="X2028" s="1" t="s">
        <v>35</v>
      </c>
      <c r="Y2028" s="1">
        <v>32850.0</v>
      </c>
      <c r="Z2028" s="1"/>
      <c r="AA2028" s="1">
        <v>32850.0</v>
      </c>
      <c r="AB2028" s="1"/>
      <c r="AC2028" s="1" t="s">
        <v>36</v>
      </c>
      <c r="AD2028" s="1" t="s">
        <v>7438</v>
      </c>
      <c r="AE2028" s="1" t="s">
        <v>32</v>
      </c>
      <c r="AF2028" s="1" t="s">
        <v>33</v>
      </c>
      <c r="AG2028" s="1" t="s">
        <v>137</v>
      </c>
    </row>
    <row r="2029" spans="1:33">
      <c r="A2029" t="s">
        <v>7439</v>
      </c>
      <c r="B2029" t="s">
        <v>7440</v>
      </c>
      <c r="C2029" t="s">
        <v>131</v>
      </c>
      <c r="E2029" t="s">
        <v>7413</v>
      </c>
      <c r="F2029" t="s">
        <v>7318</v>
      </c>
      <c r="G2029">
        <v>54.99</v>
      </c>
      <c r="H2029">
        <v>54.99</v>
      </c>
      <c r="I2029" t="s">
        <v>94</v>
      </c>
      <c r="J2029" t="s">
        <v>95</v>
      </c>
      <c r="K2029" t="s">
        <v>31</v>
      </c>
      <c r="L2029" t="s">
        <v>32</v>
      </c>
      <c r="M2029" t="s">
        <v>33</v>
      </c>
      <c r="P2029" s="1" t="s">
        <v>7441</v>
      </c>
      <c r="Q2029" s="1" t="s">
        <v>7413</v>
      </c>
      <c r="R2029" s="1" t="s">
        <v>7413</v>
      </c>
      <c r="S2029" s="1"/>
      <c r="T2029" s="1" t="s">
        <v>131</v>
      </c>
      <c r="U2029" s="1"/>
      <c r="V2029" s="1">
        <v>54.99</v>
      </c>
      <c r="W2029" s="1">
        <v>54.99</v>
      </c>
      <c r="X2029" s="1" t="s">
        <v>35</v>
      </c>
      <c r="Y2029" s="1">
        <v>54990.0</v>
      </c>
      <c r="Z2029" s="1"/>
      <c r="AA2029" s="1">
        <v>54990.0</v>
      </c>
      <c r="AB2029" s="1"/>
      <c r="AC2029" s="1" t="s">
        <v>36</v>
      </c>
      <c r="AD2029" s="1" t="s">
        <v>7442</v>
      </c>
      <c r="AE2029" s="1" t="s">
        <v>32</v>
      </c>
      <c r="AF2029" s="1" t="s">
        <v>33</v>
      </c>
      <c r="AG2029" s="1" t="s">
        <v>95</v>
      </c>
    </row>
    <row r="2030" spans="1:33">
      <c r="A2030" t="s">
        <v>7443</v>
      </c>
      <c r="B2030" t="s">
        <v>1280</v>
      </c>
      <c r="C2030" t="s">
        <v>1281</v>
      </c>
      <c r="E2030" t="s">
        <v>7413</v>
      </c>
      <c r="F2030" t="s">
        <v>7318</v>
      </c>
      <c r="G2030">
        <v>813.6</v>
      </c>
      <c r="H2030">
        <v>813.6</v>
      </c>
      <c r="I2030" t="s">
        <v>529</v>
      </c>
      <c r="J2030" t="s">
        <v>530</v>
      </c>
      <c r="K2030" t="s">
        <v>31</v>
      </c>
      <c r="L2030" t="s">
        <v>32</v>
      </c>
      <c r="M2030" t="s">
        <v>33</v>
      </c>
      <c r="P2030" s="1" t="s">
        <v>7444</v>
      </c>
      <c r="Q2030" s="1" t="s">
        <v>7413</v>
      </c>
      <c r="R2030" s="1" t="s">
        <v>6700</v>
      </c>
      <c r="S2030" s="1"/>
      <c r="T2030" s="1" t="s">
        <v>1281</v>
      </c>
      <c r="U2030" s="1"/>
      <c r="V2030" s="1">
        <v>813.6</v>
      </c>
      <c r="W2030" s="1">
        <v>813.6</v>
      </c>
      <c r="X2030" s="1" t="s">
        <v>35</v>
      </c>
      <c r="Y2030" s="1">
        <v>813600.0</v>
      </c>
      <c r="Z2030" s="1"/>
      <c r="AA2030" s="1">
        <v>813600.0</v>
      </c>
      <c r="AB2030" s="1"/>
      <c r="AC2030" s="1" t="s">
        <v>36</v>
      </c>
      <c r="AD2030" s="1" t="s">
        <v>7445</v>
      </c>
      <c r="AE2030" s="1" t="s">
        <v>32</v>
      </c>
      <c r="AF2030" s="1" t="s">
        <v>33</v>
      </c>
      <c r="AG2030" s="1" t="s">
        <v>530</v>
      </c>
    </row>
    <row r="2031" spans="1:33">
      <c r="A2031" t="s">
        <v>7446</v>
      </c>
      <c r="B2031" t="s">
        <v>7447</v>
      </c>
      <c r="C2031" t="s">
        <v>68</v>
      </c>
      <c r="E2031" t="s">
        <v>7413</v>
      </c>
      <c r="F2031" t="s">
        <v>7318</v>
      </c>
      <c r="G2031">
        <v>18.49</v>
      </c>
      <c r="H2031">
        <v>18.49</v>
      </c>
      <c r="I2031" t="s">
        <v>59</v>
      </c>
      <c r="J2031" t="s">
        <v>60</v>
      </c>
      <c r="K2031" t="s">
        <v>31</v>
      </c>
      <c r="L2031" t="s">
        <v>32</v>
      </c>
      <c r="M2031" t="s">
        <v>33</v>
      </c>
      <c r="P2031" s="1" t="s">
        <v>7448</v>
      </c>
      <c r="Q2031" s="1" t="s">
        <v>7413</v>
      </c>
      <c r="R2031" s="1" t="s">
        <v>7413</v>
      </c>
      <c r="S2031" s="1"/>
      <c r="T2031" s="1" t="s">
        <v>68</v>
      </c>
      <c r="U2031" s="1"/>
      <c r="V2031" s="1">
        <v>18.49</v>
      </c>
      <c r="W2031" s="1">
        <v>18.49</v>
      </c>
      <c r="X2031" s="1" t="s">
        <v>35</v>
      </c>
      <c r="Y2031" s="1">
        <v>18490.0</v>
      </c>
      <c r="Z2031" s="1"/>
      <c r="AA2031" s="1">
        <v>18490.0</v>
      </c>
      <c r="AB2031" s="1"/>
      <c r="AC2031" s="1" t="s">
        <v>36</v>
      </c>
      <c r="AD2031" s="1" t="s">
        <v>7449</v>
      </c>
      <c r="AE2031" s="1" t="s">
        <v>32</v>
      </c>
      <c r="AF2031" s="1" t="s">
        <v>33</v>
      </c>
      <c r="AG2031" s="1" t="s">
        <v>60</v>
      </c>
    </row>
    <row r="2032" spans="1:33">
      <c r="A2032" t="s">
        <v>7450</v>
      </c>
      <c r="C2032" t="s">
        <v>3385</v>
      </c>
      <c r="E2032" t="s">
        <v>7413</v>
      </c>
      <c r="F2032" t="s">
        <v>7318</v>
      </c>
      <c r="G2032">
        <v>837.2</v>
      </c>
      <c r="H2032">
        <v>837.2</v>
      </c>
      <c r="I2032" t="s">
        <v>847</v>
      </c>
      <c r="J2032" t="s">
        <v>848</v>
      </c>
      <c r="K2032" t="s">
        <v>31</v>
      </c>
      <c r="L2032" t="s">
        <v>32</v>
      </c>
      <c r="M2032" t="s">
        <v>33</v>
      </c>
      <c r="P2032" s="1" t="s">
        <v>7451</v>
      </c>
      <c r="Q2032" s="1" t="s">
        <v>7413</v>
      </c>
      <c r="R2032" s="1" t="s">
        <v>7413</v>
      </c>
      <c r="S2032" s="1"/>
      <c r="T2032" s="1" t="s">
        <v>3385</v>
      </c>
      <c r="U2032" s="1"/>
      <c r="V2032" s="1">
        <v>837.2</v>
      </c>
      <c r="W2032" s="1">
        <v>837.2</v>
      </c>
      <c r="X2032" s="1" t="s">
        <v>35</v>
      </c>
      <c r="Y2032" s="1">
        <v>837200.0</v>
      </c>
      <c r="Z2032" s="1"/>
      <c r="AA2032" s="1">
        <v>837200.0</v>
      </c>
      <c r="AB2032" s="1"/>
      <c r="AC2032" s="1" t="s">
        <v>36</v>
      </c>
      <c r="AD2032" s="1" t="s">
        <v>7452</v>
      </c>
      <c r="AE2032" s="1" t="s">
        <v>32</v>
      </c>
      <c r="AF2032" s="1" t="s">
        <v>33</v>
      </c>
      <c r="AG2032" s="1" t="s">
        <v>848</v>
      </c>
    </row>
    <row r="2033" spans="1:33">
      <c r="A2033" t="s">
        <v>7453</v>
      </c>
      <c r="B2033" t="s">
        <v>57</v>
      </c>
      <c r="C2033" t="s">
        <v>58</v>
      </c>
      <c r="E2033" t="s">
        <v>7413</v>
      </c>
      <c r="F2033" t="s">
        <v>7318</v>
      </c>
      <c r="G2033">
        <v>370.0</v>
      </c>
      <c r="H2033">
        <v>370.0</v>
      </c>
      <c r="I2033" t="s">
        <v>59</v>
      </c>
      <c r="J2033" t="s">
        <v>60</v>
      </c>
      <c r="K2033" t="s">
        <v>31</v>
      </c>
      <c r="L2033" t="s">
        <v>32</v>
      </c>
      <c r="M2033" t="s">
        <v>33</v>
      </c>
      <c r="P2033" s="1" t="s">
        <v>7454</v>
      </c>
      <c r="Q2033" s="1" t="s">
        <v>7413</v>
      </c>
      <c r="R2033" s="1" t="s">
        <v>7413</v>
      </c>
      <c r="S2033" s="1"/>
      <c r="T2033" s="1" t="s">
        <v>58</v>
      </c>
      <c r="U2033" s="1"/>
      <c r="V2033" s="1">
        <v>370.0</v>
      </c>
      <c r="W2033" s="1">
        <v>370.0</v>
      </c>
      <c r="X2033" s="1" t="s">
        <v>35</v>
      </c>
      <c r="Y2033" s="1">
        <v>370000.0</v>
      </c>
      <c r="Z2033" s="1"/>
      <c r="AA2033" s="1">
        <v>370000.0</v>
      </c>
      <c r="AB2033" s="1"/>
      <c r="AC2033" s="1" t="s">
        <v>36</v>
      </c>
      <c r="AD2033" s="1" t="s">
        <v>7455</v>
      </c>
      <c r="AE2033" s="1" t="s">
        <v>32</v>
      </c>
      <c r="AF2033" s="1" t="s">
        <v>33</v>
      </c>
      <c r="AG2033" s="1" t="s">
        <v>60</v>
      </c>
    </row>
    <row r="2034" spans="1:33">
      <c r="A2034" t="s">
        <v>7456</v>
      </c>
      <c r="C2034" t="s">
        <v>5647</v>
      </c>
      <c r="E2034" t="s">
        <v>7413</v>
      </c>
      <c r="F2034" t="s">
        <v>7318</v>
      </c>
      <c r="G2034">
        <v>516.2</v>
      </c>
      <c r="H2034">
        <v>516.2</v>
      </c>
      <c r="I2034" t="s">
        <v>847</v>
      </c>
      <c r="J2034" t="s">
        <v>848</v>
      </c>
      <c r="K2034" t="s">
        <v>31</v>
      </c>
      <c r="L2034" t="s">
        <v>32</v>
      </c>
      <c r="M2034" t="s">
        <v>33</v>
      </c>
      <c r="P2034" s="1" t="s">
        <v>7457</v>
      </c>
      <c r="Q2034" s="1" t="s">
        <v>7413</v>
      </c>
      <c r="R2034" s="1" t="s">
        <v>7413</v>
      </c>
      <c r="S2034" s="1"/>
      <c r="T2034" s="1" t="s">
        <v>5647</v>
      </c>
      <c r="U2034" s="1"/>
      <c r="V2034" s="1">
        <v>516.2</v>
      </c>
      <c r="W2034" s="1">
        <v>516.2</v>
      </c>
      <c r="X2034" s="1" t="s">
        <v>35</v>
      </c>
      <c r="Y2034" s="1">
        <v>516200.0</v>
      </c>
      <c r="Z2034" s="1"/>
      <c r="AA2034" s="1">
        <v>516200.0</v>
      </c>
      <c r="AB2034" s="1"/>
      <c r="AC2034" s="1" t="s">
        <v>36</v>
      </c>
      <c r="AD2034" s="1" t="s">
        <v>7458</v>
      </c>
      <c r="AE2034" s="1" t="s">
        <v>32</v>
      </c>
      <c r="AF2034" s="1" t="s">
        <v>33</v>
      </c>
      <c r="AG2034" s="1" t="s">
        <v>848</v>
      </c>
    </row>
    <row r="2035" spans="1:33">
      <c r="A2035" t="s">
        <v>7459</v>
      </c>
      <c r="B2035" t="s">
        <v>7460</v>
      </c>
      <c r="C2035" t="s">
        <v>125</v>
      </c>
      <c r="E2035" t="s">
        <v>7413</v>
      </c>
      <c r="F2035" t="s">
        <v>7318</v>
      </c>
      <c r="G2035">
        <v>54.49</v>
      </c>
      <c r="H2035">
        <v>54.49</v>
      </c>
      <c r="I2035" t="s">
        <v>126</v>
      </c>
      <c r="J2035" t="s">
        <v>127</v>
      </c>
      <c r="K2035" t="s">
        <v>31</v>
      </c>
      <c r="L2035" t="s">
        <v>32</v>
      </c>
      <c r="M2035" t="s">
        <v>33</v>
      </c>
      <c r="P2035" s="1" t="s">
        <v>7461</v>
      </c>
      <c r="Q2035" s="1" t="s">
        <v>7413</v>
      </c>
      <c r="R2035" s="1" t="s">
        <v>7413</v>
      </c>
      <c r="S2035" s="1"/>
      <c r="T2035" s="1" t="s">
        <v>125</v>
      </c>
      <c r="U2035" s="1"/>
      <c r="V2035" s="1">
        <v>54.49</v>
      </c>
      <c r="W2035" s="1">
        <v>54.49</v>
      </c>
      <c r="X2035" s="1" t="s">
        <v>35</v>
      </c>
      <c r="Y2035" s="1">
        <v>54490.0</v>
      </c>
      <c r="Z2035" s="1"/>
      <c r="AA2035" s="1">
        <v>54490.0</v>
      </c>
      <c r="AB2035" s="1"/>
      <c r="AC2035" s="1" t="s">
        <v>36</v>
      </c>
      <c r="AD2035" s="1" t="s">
        <v>7462</v>
      </c>
      <c r="AE2035" s="1" t="s">
        <v>32</v>
      </c>
      <c r="AF2035" s="1" t="s">
        <v>33</v>
      </c>
      <c r="AG2035" s="1" t="s">
        <v>127</v>
      </c>
    </row>
    <row r="2036" spans="1:33">
      <c r="A2036" t="s">
        <v>7463</v>
      </c>
      <c r="C2036" t="s">
        <v>7464</v>
      </c>
      <c r="E2036" t="s">
        <v>7413</v>
      </c>
      <c r="F2036" t="s">
        <v>7318</v>
      </c>
      <c r="G2036">
        <v>442.1</v>
      </c>
      <c r="H2036">
        <v>442.1</v>
      </c>
      <c r="I2036" t="s">
        <v>847</v>
      </c>
      <c r="J2036" t="s">
        <v>848</v>
      </c>
      <c r="K2036" t="s">
        <v>31</v>
      </c>
      <c r="L2036" t="s">
        <v>32</v>
      </c>
      <c r="M2036" t="s">
        <v>33</v>
      </c>
      <c r="P2036" s="1" t="s">
        <v>7465</v>
      </c>
      <c r="Q2036" s="1" t="s">
        <v>7413</v>
      </c>
      <c r="R2036" s="1" t="s">
        <v>7413</v>
      </c>
      <c r="S2036" s="1"/>
      <c r="T2036" s="1" t="s">
        <v>7464</v>
      </c>
      <c r="U2036" s="1"/>
      <c r="V2036" s="1">
        <v>442.1</v>
      </c>
      <c r="W2036" s="1">
        <v>442.1</v>
      </c>
      <c r="X2036" s="1" t="s">
        <v>35</v>
      </c>
      <c r="Y2036" s="1">
        <v>442100.0</v>
      </c>
      <c r="Z2036" s="1"/>
      <c r="AA2036" s="1">
        <v>442100.0</v>
      </c>
      <c r="AB2036" s="1"/>
      <c r="AC2036" s="1" t="s">
        <v>36</v>
      </c>
      <c r="AD2036" s="1" t="s">
        <v>7466</v>
      </c>
      <c r="AE2036" s="1" t="s">
        <v>32</v>
      </c>
      <c r="AF2036" s="1" t="s">
        <v>33</v>
      </c>
      <c r="AG2036" s="1" t="s">
        <v>848</v>
      </c>
    </row>
    <row r="2037" spans="1:33">
      <c r="A2037" t="s">
        <v>7467</v>
      </c>
      <c r="B2037" t="s">
        <v>7468</v>
      </c>
      <c r="C2037" t="s">
        <v>1298</v>
      </c>
      <c r="E2037" t="s">
        <v>7413</v>
      </c>
      <c r="F2037" t="s">
        <v>7318</v>
      </c>
      <c r="G2037">
        <v>30.1</v>
      </c>
      <c r="H2037">
        <v>30.1</v>
      </c>
      <c r="I2037" t="s">
        <v>529</v>
      </c>
      <c r="J2037" t="s">
        <v>530</v>
      </c>
      <c r="K2037" t="s">
        <v>31</v>
      </c>
      <c r="L2037" t="s">
        <v>32</v>
      </c>
      <c r="M2037" t="s">
        <v>33</v>
      </c>
      <c r="P2037" s="1" t="s">
        <v>7469</v>
      </c>
      <c r="Q2037" s="1" t="s">
        <v>7413</v>
      </c>
      <c r="R2037" s="1" t="s">
        <v>6700</v>
      </c>
      <c r="S2037" s="1"/>
      <c r="T2037" s="1" t="s">
        <v>1298</v>
      </c>
      <c r="U2037" s="1"/>
      <c r="V2037" s="1">
        <v>30.1</v>
      </c>
      <c r="W2037" s="1">
        <v>30.1</v>
      </c>
      <c r="X2037" s="1" t="s">
        <v>35</v>
      </c>
      <c r="Y2037" s="1">
        <v>30100.0</v>
      </c>
      <c r="Z2037" s="1"/>
      <c r="AA2037" s="1">
        <v>30100.0</v>
      </c>
      <c r="AB2037" s="1"/>
      <c r="AC2037" s="1" t="s">
        <v>36</v>
      </c>
      <c r="AD2037" s="1" t="s">
        <v>7470</v>
      </c>
      <c r="AE2037" s="1" t="s">
        <v>32</v>
      </c>
      <c r="AF2037" s="1" t="s">
        <v>33</v>
      </c>
      <c r="AG2037" s="1" t="s">
        <v>530</v>
      </c>
    </row>
    <row r="2038" spans="1:33">
      <c r="A2038" t="s">
        <v>7471</v>
      </c>
      <c r="B2038" t="s">
        <v>7472</v>
      </c>
      <c r="C2038" t="s">
        <v>47</v>
      </c>
      <c r="E2038" t="s">
        <v>7413</v>
      </c>
      <c r="F2038" t="s">
        <v>7318</v>
      </c>
      <c r="G2038">
        <v>3.049</v>
      </c>
      <c r="H2038">
        <v>3.049</v>
      </c>
      <c r="I2038" t="s">
        <v>48</v>
      </c>
      <c r="J2038" t="s">
        <v>49</v>
      </c>
      <c r="K2038" t="s">
        <v>31</v>
      </c>
      <c r="L2038" t="s">
        <v>32</v>
      </c>
      <c r="M2038" t="s">
        <v>33</v>
      </c>
      <c r="P2038" s="1" t="s">
        <v>7473</v>
      </c>
      <c r="Q2038" s="1" t="s">
        <v>7413</v>
      </c>
      <c r="R2038" s="1" t="s">
        <v>7413</v>
      </c>
      <c r="S2038" s="1"/>
      <c r="T2038" s="1" t="s">
        <v>47</v>
      </c>
      <c r="U2038" s="1"/>
      <c r="V2038" s="1">
        <v>3.049</v>
      </c>
      <c r="W2038" s="1">
        <v>3.049</v>
      </c>
      <c r="X2038" s="1" t="s">
        <v>35</v>
      </c>
      <c r="Y2038" s="1">
        <v>3049.0</v>
      </c>
      <c r="Z2038" s="1"/>
      <c r="AA2038" s="1">
        <v>3049.0</v>
      </c>
      <c r="AB2038" s="1"/>
      <c r="AC2038" s="1" t="s">
        <v>36</v>
      </c>
      <c r="AD2038" s="1" t="s">
        <v>7474</v>
      </c>
      <c r="AE2038" s="1" t="s">
        <v>32</v>
      </c>
      <c r="AF2038" s="1" t="s">
        <v>33</v>
      </c>
      <c r="AG2038" s="1" t="s">
        <v>49</v>
      </c>
    </row>
    <row r="2039" spans="1:33">
      <c r="A2039" t="s">
        <v>7475</v>
      </c>
      <c r="C2039" t="s">
        <v>145</v>
      </c>
      <c r="E2039" t="s">
        <v>7413</v>
      </c>
      <c r="F2039" t="s">
        <v>7318</v>
      </c>
      <c r="G2039">
        <v>54.0</v>
      </c>
      <c r="H2039">
        <v>54.0</v>
      </c>
      <c r="I2039" t="s">
        <v>136</v>
      </c>
      <c r="J2039" t="s">
        <v>137</v>
      </c>
      <c r="K2039" t="s">
        <v>31</v>
      </c>
      <c r="L2039" t="s">
        <v>32</v>
      </c>
      <c r="M2039" t="s">
        <v>33</v>
      </c>
      <c r="P2039" s="1" t="s">
        <v>7476</v>
      </c>
      <c r="Q2039" s="1" t="s">
        <v>7413</v>
      </c>
      <c r="R2039" s="1" t="s">
        <v>7413</v>
      </c>
      <c r="S2039" s="1"/>
      <c r="T2039" s="1" t="s">
        <v>145</v>
      </c>
      <c r="U2039" s="1"/>
      <c r="V2039" s="1">
        <v>54.0</v>
      </c>
      <c r="W2039" s="1">
        <v>54.0</v>
      </c>
      <c r="X2039" s="1" t="s">
        <v>35</v>
      </c>
      <c r="Y2039" s="1">
        <v>54000.0</v>
      </c>
      <c r="Z2039" s="1"/>
      <c r="AA2039" s="1">
        <v>54000.0</v>
      </c>
      <c r="AB2039" s="1"/>
      <c r="AC2039" s="1" t="s">
        <v>36</v>
      </c>
      <c r="AD2039" s="1" t="s">
        <v>7477</v>
      </c>
      <c r="AE2039" s="1" t="s">
        <v>32</v>
      </c>
      <c r="AF2039" s="1" t="s">
        <v>33</v>
      </c>
      <c r="AG2039" s="1" t="s">
        <v>137</v>
      </c>
    </row>
    <row r="2040" spans="1:33">
      <c r="A2040" t="s">
        <v>7478</v>
      </c>
      <c r="C2040" t="s">
        <v>513</v>
      </c>
      <c r="E2040" t="s">
        <v>7413</v>
      </c>
      <c r="F2040" t="s">
        <v>7318</v>
      </c>
      <c r="G2040">
        <v>1.176</v>
      </c>
      <c r="H2040">
        <v>1.176</v>
      </c>
      <c r="I2040" t="s">
        <v>48</v>
      </c>
      <c r="J2040" t="s">
        <v>49</v>
      </c>
      <c r="K2040" t="s">
        <v>31</v>
      </c>
      <c r="L2040" t="s">
        <v>32</v>
      </c>
      <c r="M2040" t="s">
        <v>33</v>
      </c>
      <c r="P2040" s="1" t="s">
        <v>7479</v>
      </c>
      <c r="Q2040" s="1" t="s">
        <v>7413</v>
      </c>
      <c r="R2040" s="1" t="s">
        <v>7413</v>
      </c>
      <c r="S2040" s="1"/>
      <c r="T2040" s="1" t="s">
        <v>513</v>
      </c>
      <c r="U2040" s="1"/>
      <c r="V2040" s="1">
        <v>1.176</v>
      </c>
      <c r="W2040" s="1">
        <v>1.176</v>
      </c>
      <c r="X2040" s="1" t="s">
        <v>35</v>
      </c>
      <c r="Y2040" s="1">
        <v>1176000.0</v>
      </c>
      <c r="Z2040" s="1"/>
      <c r="AA2040" s="1">
        <v>1176000.0</v>
      </c>
      <c r="AB2040" s="1"/>
      <c r="AC2040" s="1" t="s">
        <v>36</v>
      </c>
      <c r="AD2040" s="1" t="s">
        <v>7480</v>
      </c>
      <c r="AE2040" s="1" t="s">
        <v>32</v>
      </c>
      <c r="AF2040" s="1" t="s">
        <v>33</v>
      </c>
      <c r="AG2040" s="1" t="s">
        <v>49</v>
      </c>
    </row>
    <row r="2041" spans="1:33">
      <c r="A2041" t="s">
        <v>7481</v>
      </c>
      <c r="B2041" t="s">
        <v>4178</v>
      </c>
      <c r="C2041" t="s">
        <v>4179</v>
      </c>
      <c r="E2041" t="s">
        <v>7413</v>
      </c>
      <c r="F2041" t="s">
        <v>7318</v>
      </c>
      <c r="G2041">
        <v>656.0</v>
      </c>
      <c r="H2041">
        <v>656.0</v>
      </c>
      <c r="I2041" t="s">
        <v>529</v>
      </c>
      <c r="J2041" t="s">
        <v>530</v>
      </c>
      <c r="K2041" t="s">
        <v>31</v>
      </c>
      <c r="L2041" t="s">
        <v>32</v>
      </c>
      <c r="M2041" t="s">
        <v>33</v>
      </c>
      <c r="P2041" s="1" t="s">
        <v>7482</v>
      </c>
      <c r="Q2041" s="1" t="s">
        <v>7413</v>
      </c>
      <c r="R2041" s="1" t="s">
        <v>6700</v>
      </c>
      <c r="S2041" s="1"/>
      <c r="T2041" s="1" t="s">
        <v>4179</v>
      </c>
      <c r="U2041" s="1"/>
      <c r="V2041" s="1">
        <v>656.0</v>
      </c>
      <c r="W2041" s="1">
        <v>656.0</v>
      </c>
      <c r="X2041" s="1" t="s">
        <v>35</v>
      </c>
      <c r="Y2041" s="1">
        <v>656000.0</v>
      </c>
      <c r="Z2041" s="1"/>
      <c r="AA2041" s="1">
        <v>656000.0</v>
      </c>
      <c r="AB2041" s="1"/>
      <c r="AC2041" s="1" t="s">
        <v>36</v>
      </c>
      <c r="AD2041" s="1" t="s">
        <v>7483</v>
      </c>
      <c r="AE2041" s="1" t="s">
        <v>32</v>
      </c>
      <c r="AF2041" s="1" t="s">
        <v>33</v>
      </c>
      <c r="AG2041" s="1" t="s">
        <v>530</v>
      </c>
    </row>
    <row r="2042" spans="1:33">
      <c r="A2042" t="s">
        <v>7484</v>
      </c>
      <c r="C2042" t="s">
        <v>7485</v>
      </c>
      <c r="E2042" t="s">
        <v>7413</v>
      </c>
      <c r="F2042" t="s">
        <v>7318</v>
      </c>
      <c r="G2042">
        <v>1.303</v>
      </c>
      <c r="H2042">
        <v>1.303</v>
      </c>
      <c r="I2042" t="s">
        <v>94</v>
      </c>
      <c r="J2042" t="s">
        <v>95</v>
      </c>
      <c r="K2042" t="s">
        <v>31</v>
      </c>
      <c r="L2042" t="s">
        <v>32</v>
      </c>
      <c r="M2042" t="s">
        <v>33</v>
      </c>
      <c r="P2042" s="1" t="s">
        <v>7486</v>
      </c>
      <c r="Q2042" s="1" t="s">
        <v>7413</v>
      </c>
      <c r="R2042" s="1" t="s">
        <v>7413</v>
      </c>
      <c r="S2042" s="1"/>
      <c r="T2042" s="1" t="s">
        <v>7485</v>
      </c>
      <c r="U2042" s="1"/>
      <c r="V2042" s="1">
        <v>1.303</v>
      </c>
      <c r="W2042" s="1">
        <v>1.303</v>
      </c>
      <c r="X2042" s="1" t="s">
        <v>35</v>
      </c>
      <c r="Y2042" s="1">
        <v>1303670.0</v>
      </c>
      <c r="Z2042" s="1"/>
      <c r="AA2042" s="1">
        <v>1303670.0</v>
      </c>
      <c r="AB2042" s="1"/>
      <c r="AC2042" s="1" t="s">
        <v>36</v>
      </c>
      <c r="AD2042" s="1" t="s">
        <v>7487</v>
      </c>
      <c r="AE2042" s="1" t="s">
        <v>32</v>
      </c>
      <c r="AF2042" s="1" t="s">
        <v>33</v>
      </c>
      <c r="AG2042" s="1" t="s">
        <v>95</v>
      </c>
    </row>
    <row r="2043" spans="1:33">
      <c r="A2043" t="s">
        <v>7488</v>
      </c>
      <c r="B2043" t="s">
        <v>7489</v>
      </c>
      <c r="C2043" t="s">
        <v>314</v>
      </c>
      <c r="E2043" t="s">
        <v>7413</v>
      </c>
      <c r="F2043" t="s">
        <v>7318</v>
      </c>
      <c r="G2043">
        <v>130.13</v>
      </c>
      <c r="H2043">
        <v>130.13</v>
      </c>
      <c r="I2043" t="s">
        <v>179</v>
      </c>
      <c r="J2043" t="s">
        <v>180</v>
      </c>
      <c r="K2043" t="s">
        <v>31</v>
      </c>
      <c r="L2043" t="s">
        <v>32</v>
      </c>
      <c r="M2043" t="s">
        <v>33</v>
      </c>
      <c r="P2043" s="1" t="s">
        <v>7490</v>
      </c>
      <c r="Q2043" s="1" t="s">
        <v>7413</v>
      </c>
      <c r="R2043" s="1" t="s">
        <v>7413</v>
      </c>
      <c r="S2043" s="1"/>
      <c r="T2043" s="1" t="s">
        <v>314</v>
      </c>
      <c r="U2043" s="1"/>
      <c r="V2043" s="1">
        <v>130.13</v>
      </c>
      <c r="W2043" s="1">
        <v>130.13</v>
      </c>
      <c r="X2043" s="1" t="s">
        <v>35</v>
      </c>
      <c r="Y2043" s="1">
        <v>130130.0</v>
      </c>
      <c r="Z2043" s="1"/>
      <c r="AA2043" s="1">
        <v>130130.0</v>
      </c>
      <c r="AB2043" s="1"/>
      <c r="AC2043" s="1" t="s">
        <v>36</v>
      </c>
      <c r="AD2043" s="1" t="s">
        <v>7491</v>
      </c>
      <c r="AE2043" s="1" t="s">
        <v>32</v>
      </c>
      <c r="AF2043" s="1" t="s">
        <v>33</v>
      </c>
      <c r="AG2043" s="1" t="s">
        <v>180</v>
      </c>
    </row>
    <row r="2044" spans="1:33">
      <c r="A2044" t="s">
        <v>7492</v>
      </c>
      <c r="B2044" t="s">
        <v>3168</v>
      </c>
      <c r="C2044" t="s">
        <v>3169</v>
      </c>
      <c r="E2044" t="s">
        <v>7413</v>
      </c>
      <c r="F2044" t="s">
        <v>7318</v>
      </c>
      <c r="G2044">
        <v>908.348</v>
      </c>
      <c r="H2044">
        <v>908.348</v>
      </c>
      <c r="I2044" t="s">
        <v>529</v>
      </c>
      <c r="J2044" t="s">
        <v>530</v>
      </c>
      <c r="K2044" t="s">
        <v>31</v>
      </c>
      <c r="L2044" t="s">
        <v>32</v>
      </c>
      <c r="M2044" t="s">
        <v>33</v>
      </c>
      <c r="P2044" s="1" t="s">
        <v>7493</v>
      </c>
      <c r="Q2044" s="1" t="s">
        <v>7413</v>
      </c>
      <c r="R2044" s="1" t="s">
        <v>6700</v>
      </c>
      <c r="S2044" s="1"/>
      <c r="T2044" s="1" t="s">
        <v>3169</v>
      </c>
      <c r="U2044" s="1"/>
      <c r="V2044" s="1">
        <v>908.348</v>
      </c>
      <c r="W2044" s="1">
        <v>908.348</v>
      </c>
      <c r="X2044" s="1" t="s">
        <v>35</v>
      </c>
      <c r="Y2044" s="1">
        <v>908348.0</v>
      </c>
      <c r="Z2044" s="1"/>
      <c r="AA2044" s="1">
        <v>908348.0</v>
      </c>
      <c r="AB2044" s="1"/>
      <c r="AC2044" s="1" t="s">
        <v>36</v>
      </c>
      <c r="AD2044" s="1" t="s">
        <v>7494</v>
      </c>
      <c r="AE2044" s="1" t="s">
        <v>32</v>
      </c>
      <c r="AF2044" s="1" t="s">
        <v>33</v>
      </c>
      <c r="AG2044" s="1" t="s">
        <v>530</v>
      </c>
    </row>
    <row r="2045" spans="1:33">
      <c r="A2045" t="s">
        <v>7495</v>
      </c>
      <c r="B2045" t="s">
        <v>3904</v>
      </c>
      <c r="C2045" t="s">
        <v>314</v>
      </c>
      <c r="E2045" t="s">
        <v>7413</v>
      </c>
      <c r="F2045" t="s">
        <v>7318</v>
      </c>
      <c r="G2045">
        <v>174.57</v>
      </c>
      <c r="H2045">
        <v>174.57</v>
      </c>
      <c r="I2045" t="s">
        <v>179</v>
      </c>
      <c r="J2045" t="s">
        <v>180</v>
      </c>
      <c r="K2045" t="s">
        <v>31</v>
      </c>
      <c r="L2045" t="s">
        <v>32</v>
      </c>
      <c r="M2045" t="s">
        <v>33</v>
      </c>
      <c r="P2045" s="1" t="s">
        <v>7496</v>
      </c>
      <c r="Q2045" s="1" t="s">
        <v>7413</v>
      </c>
      <c r="R2045" s="1" t="s">
        <v>7413</v>
      </c>
      <c r="S2045" s="1"/>
      <c r="T2045" s="1" t="s">
        <v>314</v>
      </c>
      <c r="U2045" s="1"/>
      <c r="V2045" s="1">
        <v>174.57</v>
      </c>
      <c r="W2045" s="1">
        <v>174.57</v>
      </c>
      <c r="X2045" s="1" t="s">
        <v>35</v>
      </c>
      <c r="Y2045" s="1">
        <v>174570.0</v>
      </c>
      <c r="Z2045" s="1"/>
      <c r="AA2045" s="1">
        <v>174570.0</v>
      </c>
      <c r="AB2045" s="1"/>
      <c r="AC2045" s="1" t="s">
        <v>36</v>
      </c>
      <c r="AD2045" s="1" t="s">
        <v>7483</v>
      </c>
      <c r="AE2045" s="1" t="s">
        <v>32</v>
      </c>
      <c r="AF2045" s="1" t="s">
        <v>33</v>
      </c>
      <c r="AG2045" s="1" t="s">
        <v>180</v>
      </c>
    </row>
    <row r="2046" spans="1:33">
      <c r="A2046" t="s">
        <v>7497</v>
      </c>
      <c r="B2046" t="s">
        <v>7498</v>
      </c>
      <c r="C2046" t="s">
        <v>887</v>
      </c>
      <c r="E2046" t="s">
        <v>7413</v>
      </c>
      <c r="F2046" t="s">
        <v>7318</v>
      </c>
      <c r="G2046">
        <v>28.49</v>
      </c>
      <c r="H2046">
        <v>28.49</v>
      </c>
      <c r="I2046" t="s">
        <v>29</v>
      </c>
      <c r="J2046" t="s">
        <v>30</v>
      </c>
      <c r="K2046" t="s">
        <v>31</v>
      </c>
      <c r="L2046" t="s">
        <v>32</v>
      </c>
      <c r="M2046" t="s">
        <v>33</v>
      </c>
      <c r="P2046" s="1" t="s">
        <v>7499</v>
      </c>
      <c r="Q2046" s="1" t="s">
        <v>7413</v>
      </c>
      <c r="R2046" s="1" t="s">
        <v>7413</v>
      </c>
      <c r="S2046" s="1"/>
      <c r="T2046" s="1" t="s">
        <v>887</v>
      </c>
      <c r="U2046" s="1"/>
      <c r="V2046" s="1">
        <v>28.49</v>
      </c>
      <c r="W2046" s="1">
        <v>28.49</v>
      </c>
      <c r="X2046" s="1" t="s">
        <v>35</v>
      </c>
      <c r="Y2046" s="1">
        <v>28490.0</v>
      </c>
      <c r="Z2046" s="1"/>
      <c r="AA2046" s="1">
        <v>17470.0</v>
      </c>
      <c r="AB2046" s="1">
        <v>11020</v>
      </c>
      <c r="AC2046" s="1" t="s">
        <v>36</v>
      </c>
      <c r="AD2046" s="1" t="s">
        <v>7500</v>
      </c>
      <c r="AE2046" s="1" t="s">
        <v>32</v>
      </c>
      <c r="AF2046" s="1" t="s">
        <v>33</v>
      </c>
      <c r="AG2046" s="1" t="s">
        <v>30</v>
      </c>
    </row>
    <row r="2047" spans="1:33">
      <c r="A2047" t="s">
        <v>7501</v>
      </c>
      <c r="B2047" t="s">
        <v>7502</v>
      </c>
      <c r="C2047" t="s">
        <v>314</v>
      </c>
      <c r="E2047" t="s">
        <v>7413</v>
      </c>
      <c r="F2047" t="s">
        <v>7318</v>
      </c>
      <c r="G2047">
        <v>21.24</v>
      </c>
      <c r="H2047">
        <v>21.24</v>
      </c>
      <c r="I2047" t="s">
        <v>179</v>
      </c>
      <c r="J2047" t="s">
        <v>180</v>
      </c>
      <c r="K2047" t="s">
        <v>31</v>
      </c>
      <c r="L2047" t="s">
        <v>32</v>
      </c>
      <c r="M2047" t="s">
        <v>33</v>
      </c>
      <c r="P2047" s="1" t="s">
        <v>7503</v>
      </c>
      <c r="Q2047" s="1" t="s">
        <v>7413</v>
      </c>
      <c r="R2047" s="1" t="s">
        <v>7413</v>
      </c>
      <c r="S2047" s="1"/>
      <c r="T2047" s="1" t="s">
        <v>314</v>
      </c>
      <c r="U2047" s="1"/>
      <c r="V2047" s="1">
        <v>21.24</v>
      </c>
      <c r="W2047" s="1">
        <v>21.24</v>
      </c>
      <c r="X2047" s="1" t="s">
        <v>35</v>
      </c>
      <c r="Y2047" s="1">
        <v>21240.0</v>
      </c>
      <c r="Z2047" s="1"/>
      <c r="AA2047" s="1">
        <v>21240.0</v>
      </c>
      <c r="AB2047" s="1"/>
      <c r="AC2047" s="1" t="s">
        <v>36</v>
      </c>
      <c r="AD2047" s="1" t="s">
        <v>7494</v>
      </c>
      <c r="AE2047" s="1" t="s">
        <v>32</v>
      </c>
      <c r="AF2047" s="1" t="s">
        <v>33</v>
      </c>
      <c r="AG2047" s="1" t="s">
        <v>180</v>
      </c>
    </row>
    <row r="2048" spans="1:33">
      <c r="A2048" t="s">
        <v>7504</v>
      </c>
      <c r="B2048" t="s">
        <v>7317</v>
      </c>
      <c r="C2048" t="s">
        <v>268</v>
      </c>
      <c r="E2048" t="s">
        <v>7413</v>
      </c>
      <c r="F2048" t="s">
        <v>7318</v>
      </c>
      <c r="G2048">
        <v>40.25</v>
      </c>
      <c r="H2048">
        <v>40.25</v>
      </c>
      <c r="I2048" t="s">
        <v>269</v>
      </c>
      <c r="J2048" t="s">
        <v>270</v>
      </c>
      <c r="K2048" t="s">
        <v>31</v>
      </c>
      <c r="L2048" t="s">
        <v>32</v>
      </c>
      <c r="M2048" t="s">
        <v>33</v>
      </c>
      <c r="P2048" s="1" t="s">
        <v>7505</v>
      </c>
      <c r="Q2048" s="1" t="s">
        <v>7413</v>
      </c>
      <c r="R2048" s="1" t="s">
        <v>7413</v>
      </c>
      <c r="S2048" s="1"/>
      <c r="T2048" s="1" t="s">
        <v>268</v>
      </c>
      <c r="U2048" s="1"/>
      <c r="V2048" s="1">
        <v>40.25</v>
      </c>
      <c r="W2048" s="1">
        <v>40.25</v>
      </c>
      <c r="X2048" s="1" t="s">
        <v>35</v>
      </c>
      <c r="Y2048" s="1">
        <v>40250.0</v>
      </c>
      <c r="Z2048" s="1"/>
      <c r="AA2048" s="1">
        <v>40250.0</v>
      </c>
      <c r="AB2048" s="1"/>
      <c r="AC2048" s="1" t="s">
        <v>36</v>
      </c>
      <c r="AD2048" s="1" t="s">
        <v>7506</v>
      </c>
      <c r="AE2048" s="1" t="s">
        <v>32</v>
      </c>
      <c r="AF2048" s="1" t="s">
        <v>33</v>
      </c>
      <c r="AG2048" s="1" t="s">
        <v>270</v>
      </c>
    </row>
    <row r="2049" spans="1:33">
      <c r="A2049" t="s">
        <v>7507</v>
      </c>
      <c r="C2049" t="s">
        <v>2284</v>
      </c>
      <c r="E2049" t="s">
        <v>7413</v>
      </c>
      <c r="F2049" t="s">
        <v>7318</v>
      </c>
      <c r="G2049">
        <v>446.5</v>
      </c>
      <c r="H2049">
        <v>446.5</v>
      </c>
      <c r="I2049" t="s">
        <v>136</v>
      </c>
      <c r="J2049" t="s">
        <v>137</v>
      </c>
      <c r="K2049" t="s">
        <v>31</v>
      </c>
      <c r="L2049" t="s">
        <v>32</v>
      </c>
      <c r="M2049" t="s">
        <v>33</v>
      </c>
      <c r="P2049" s="1" t="s">
        <v>7508</v>
      </c>
      <c r="Q2049" s="1" t="s">
        <v>7413</v>
      </c>
      <c r="R2049" s="1" t="s">
        <v>7413</v>
      </c>
      <c r="S2049" s="1"/>
      <c r="T2049" s="1" t="s">
        <v>2284</v>
      </c>
      <c r="U2049" s="1"/>
      <c r="V2049" s="1">
        <v>446.5</v>
      </c>
      <c r="W2049" s="1">
        <v>446.5</v>
      </c>
      <c r="X2049" s="1" t="s">
        <v>35</v>
      </c>
      <c r="Y2049" s="1">
        <v>446500.0</v>
      </c>
      <c r="Z2049" s="1"/>
      <c r="AA2049" s="1">
        <v>446500.0</v>
      </c>
      <c r="AB2049" s="1"/>
      <c r="AC2049" s="1" t="s">
        <v>36</v>
      </c>
      <c r="AD2049" s="1" t="s">
        <v>7509</v>
      </c>
      <c r="AE2049" s="1" t="s">
        <v>32</v>
      </c>
      <c r="AF2049" s="1" t="s">
        <v>33</v>
      </c>
      <c r="AG2049" s="1" t="s">
        <v>137</v>
      </c>
    </row>
    <row r="2050" spans="1:33">
      <c r="A2050" t="s">
        <v>7510</v>
      </c>
      <c r="B2050" t="s">
        <v>1772</v>
      </c>
      <c r="C2050" t="s">
        <v>1773</v>
      </c>
      <c r="D2050" t="s">
        <v>154</v>
      </c>
      <c r="E2050" t="s">
        <v>7413</v>
      </c>
      <c r="F2050" t="s">
        <v>7318</v>
      </c>
      <c r="G2050">
        <v>156.0</v>
      </c>
      <c r="H2050">
        <v>156.0</v>
      </c>
      <c r="I2050" t="s">
        <v>29</v>
      </c>
      <c r="J2050" t="s">
        <v>30</v>
      </c>
      <c r="K2050" t="s">
        <v>31</v>
      </c>
      <c r="L2050" t="s">
        <v>32</v>
      </c>
      <c r="M2050" t="s">
        <v>33</v>
      </c>
      <c r="P2050" s="1" t="s">
        <v>7511</v>
      </c>
      <c r="Q2050" s="1" t="s">
        <v>7413</v>
      </c>
      <c r="R2050" s="1" t="s">
        <v>7413</v>
      </c>
      <c r="S2050" s="1"/>
      <c r="T2050" s="1" t="s">
        <v>1773</v>
      </c>
      <c r="U2050" s="1"/>
      <c r="V2050" s="1">
        <v>156.0</v>
      </c>
      <c r="W2050" s="1">
        <v>156.0</v>
      </c>
      <c r="X2050" s="1" t="s">
        <v>35</v>
      </c>
      <c r="Y2050" s="1">
        <v>300000.0</v>
      </c>
      <c r="Z2050" s="1">
        <v>-144000</v>
      </c>
      <c r="AA2050" s="1">
        <v>300000.0</v>
      </c>
      <c r="AB2050" s="1">
        <v>-144000</v>
      </c>
      <c r="AC2050" s="1" t="s">
        <v>36</v>
      </c>
      <c r="AD2050" s="1" t="s">
        <v>7512</v>
      </c>
      <c r="AE2050" s="1" t="s">
        <v>32</v>
      </c>
      <c r="AF2050" s="1" t="s">
        <v>33</v>
      </c>
      <c r="AG2050" s="1" t="s">
        <v>30</v>
      </c>
    </row>
    <row r="2051" spans="1:33">
      <c r="A2051" t="s">
        <v>7513</v>
      </c>
      <c r="C2051" t="s">
        <v>1024</v>
      </c>
      <c r="E2051" t="s">
        <v>7413</v>
      </c>
      <c r="F2051" t="s">
        <v>7318</v>
      </c>
      <c r="G2051">
        <v>634.0</v>
      </c>
      <c r="H2051">
        <v>634.0</v>
      </c>
      <c r="I2051" t="s">
        <v>847</v>
      </c>
      <c r="J2051" t="s">
        <v>848</v>
      </c>
      <c r="K2051" t="s">
        <v>31</v>
      </c>
      <c r="L2051" t="s">
        <v>32</v>
      </c>
      <c r="M2051" t="s">
        <v>33</v>
      </c>
      <c r="P2051" s="1" t="s">
        <v>7514</v>
      </c>
      <c r="Q2051" s="1" t="s">
        <v>7413</v>
      </c>
      <c r="R2051" s="1" t="s">
        <v>7413</v>
      </c>
      <c r="S2051" s="1"/>
      <c r="T2051" s="1" t="s">
        <v>1024</v>
      </c>
      <c r="U2051" s="1"/>
      <c r="V2051" s="1">
        <v>634.0</v>
      </c>
      <c r="W2051" s="1">
        <v>634.0</v>
      </c>
      <c r="X2051" s="1" t="s">
        <v>35</v>
      </c>
      <c r="Y2051" s="1">
        <v>634000.0</v>
      </c>
      <c r="Z2051" s="1"/>
      <c r="AA2051" s="1">
        <v>634000.0</v>
      </c>
      <c r="AB2051" s="1"/>
      <c r="AC2051" s="1" t="s">
        <v>36</v>
      </c>
      <c r="AD2051" s="1" t="s">
        <v>7515</v>
      </c>
      <c r="AE2051" s="1" t="s">
        <v>32</v>
      </c>
      <c r="AF2051" s="1" t="s">
        <v>33</v>
      </c>
      <c r="AG2051" s="1" t="s">
        <v>848</v>
      </c>
    </row>
    <row r="2052" spans="1:33">
      <c r="A2052" t="s">
        <v>7516</v>
      </c>
      <c r="C2052" t="s">
        <v>1020</v>
      </c>
      <c r="E2052" t="s">
        <v>7413</v>
      </c>
      <c r="F2052" t="s">
        <v>7318</v>
      </c>
      <c r="G2052">
        <v>734.8</v>
      </c>
      <c r="H2052">
        <v>734.8</v>
      </c>
      <c r="I2052" t="s">
        <v>847</v>
      </c>
      <c r="J2052" t="s">
        <v>848</v>
      </c>
      <c r="K2052" t="s">
        <v>31</v>
      </c>
      <c r="L2052" t="s">
        <v>32</v>
      </c>
      <c r="M2052" t="s">
        <v>33</v>
      </c>
      <c r="P2052" s="1" t="s">
        <v>7517</v>
      </c>
      <c r="Q2052" s="1" t="s">
        <v>7413</v>
      </c>
      <c r="R2052" s="1" t="s">
        <v>7413</v>
      </c>
      <c r="S2052" s="1"/>
      <c r="T2052" s="1" t="s">
        <v>1020</v>
      </c>
      <c r="U2052" s="1"/>
      <c r="V2052" s="1">
        <v>734.8</v>
      </c>
      <c r="W2052" s="1">
        <v>734.8</v>
      </c>
      <c r="X2052" s="1" t="s">
        <v>35</v>
      </c>
      <c r="Y2052" s="1">
        <v>734800.0</v>
      </c>
      <c r="Z2052" s="1"/>
      <c r="AA2052" s="1">
        <v>734800.0</v>
      </c>
      <c r="AB2052" s="1"/>
      <c r="AC2052" s="1" t="s">
        <v>36</v>
      </c>
      <c r="AD2052" s="1" t="s">
        <v>7518</v>
      </c>
      <c r="AE2052" s="1" t="s">
        <v>32</v>
      </c>
      <c r="AF2052" s="1" t="s">
        <v>33</v>
      </c>
      <c r="AG2052" s="1" t="s">
        <v>848</v>
      </c>
    </row>
    <row r="2053" spans="1:33">
      <c r="A2053" t="s">
        <v>7519</v>
      </c>
      <c r="C2053" t="s">
        <v>6474</v>
      </c>
      <c r="E2053" t="s">
        <v>7413</v>
      </c>
      <c r="F2053" t="s">
        <v>7318</v>
      </c>
      <c r="G2053">
        <v>605.3</v>
      </c>
      <c r="H2053">
        <v>605.3</v>
      </c>
      <c r="I2053" t="s">
        <v>847</v>
      </c>
      <c r="J2053" t="s">
        <v>848</v>
      </c>
      <c r="K2053" t="s">
        <v>31</v>
      </c>
      <c r="L2053" t="s">
        <v>32</v>
      </c>
      <c r="M2053" t="s">
        <v>33</v>
      </c>
      <c r="P2053" s="1" t="s">
        <v>7520</v>
      </c>
      <c r="Q2053" s="1" t="s">
        <v>7413</v>
      </c>
      <c r="R2053" s="1" t="s">
        <v>7413</v>
      </c>
      <c r="S2053" s="1"/>
      <c r="T2053" s="1" t="s">
        <v>6474</v>
      </c>
      <c r="U2053" s="1"/>
      <c r="V2053" s="1">
        <v>605.3</v>
      </c>
      <c r="W2053" s="1">
        <v>605.3</v>
      </c>
      <c r="X2053" s="1" t="s">
        <v>35</v>
      </c>
      <c r="Y2053" s="1">
        <v>605300.0</v>
      </c>
      <c r="Z2053" s="1"/>
      <c r="AA2053" s="1">
        <v>605300.0</v>
      </c>
      <c r="AB2053" s="1"/>
      <c r="AC2053" s="1" t="s">
        <v>36</v>
      </c>
      <c r="AD2053" s="1" t="s">
        <v>7521</v>
      </c>
      <c r="AE2053" s="1" t="s">
        <v>32</v>
      </c>
      <c r="AF2053" s="1" t="s">
        <v>33</v>
      </c>
      <c r="AG2053" s="1" t="s">
        <v>848</v>
      </c>
    </row>
    <row r="2054" spans="1:33">
      <c r="A2054" t="s">
        <v>7522</v>
      </c>
      <c r="B2054" t="s">
        <v>7523</v>
      </c>
      <c r="C2054" t="s">
        <v>73</v>
      </c>
      <c r="E2054" t="s">
        <v>7413</v>
      </c>
      <c r="F2054" t="s">
        <v>7318</v>
      </c>
      <c r="G2054">
        <v>17.167</v>
      </c>
      <c r="H2054">
        <v>17.167</v>
      </c>
      <c r="I2054" t="s">
        <v>40</v>
      </c>
      <c r="J2054" t="s">
        <v>41</v>
      </c>
      <c r="K2054" t="s">
        <v>31</v>
      </c>
      <c r="L2054" t="s">
        <v>32</v>
      </c>
      <c r="M2054" t="s">
        <v>33</v>
      </c>
      <c r="P2054" s="1" t="s">
        <v>7524</v>
      </c>
      <c r="Q2054" s="1" t="s">
        <v>7413</v>
      </c>
      <c r="R2054" s="1" t="s">
        <v>6700</v>
      </c>
      <c r="S2054" s="1"/>
      <c r="T2054" s="1" t="s">
        <v>75</v>
      </c>
      <c r="U2054" s="1" t="s">
        <v>76</v>
      </c>
      <c r="V2054" s="1">
        <v>17.167</v>
      </c>
      <c r="W2054" s="1">
        <v>17.167</v>
      </c>
      <c r="X2054" s="1" t="s">
        <v>35</v>
      </c>
      <c r="Y2054" s="1">
        <v>17167.0</v>
      </c>
      <c r="Z2054" s="1"/>
      <c r="AA2054" s="1">
        <v>17167.0</v>
      </c>
      <c r="AB2054" s="1"/>
      <c r="AC2054" s="1" t="s">
        <v>36</v>
      </c>
      <c r="AD2054" s="1" t="s">
        <v>7525</v>
      </c>
      <c r="AE2054" s="1" t="s">
        <v>32</v>
      </c>
      <c r="AF2054" s="1" t="s">
        <v>33</v>
      </c>
      <c r="AG2054" s="1" t="s">
        <v>41</v>
      </c>
    </row>
    <row r="2055" spans="1:33">
      <c r="A2055" t="s">
        <v>7526</v>
      </c>
      <c r="C2055" t="s">
        <v>1617</v>
      </c>
      <c r="E2055" t="s">
        <v>7413</v>
      </c>
      <c r="F2055" t="s">
        <v>7318</v>
      </c>
      <c r="G2055">
        <v>913.1</v>
      </c>
      <c r="H2055">
        <v>913.1</v>
      </c>
      <c r="I2055" t="s">
        <v>847</v>
      </c>
      <c r="J2055" t="s">
        <v>848</v>
      </c>
      <c r="K2055" t="s">
        <v>31</v>
      </c>
      <c r="L2055" t="s">
        <v>32</v>
      </c>
      <c r="M2055" t="s">
        <v>33</v>
      </c>
      <c r="P2055" s="1" t="s">
        <v>7527</v>
      </c>
      <c r="Q2055" s="1" t="s">
        <v>7413</v>
      </c>
      <c r="R2055" s="1" t="s">
        <v>7413</v>
      </c>
      <c r="S2055" s="1"/>
      <c r="T2055" s="1" t="s">
        <v>1617</v>
      </c>
      <c r="U2055" s="1"/>
      <c r="V2055" s="1">
        <v>913.1</v>
      </c>
      <c r="W2055" s="1">
        <v>913.1</v>
      </c>
      <c r="X2055" s="1" t="s">
        <v>35</v>
      </c>
      <c r="Y2055" s="1">
        <v>913100.0</v>
      </c>
      <c r="Z2055" s="1"/>
      <c r="AA2055" s="1">
        <v>913100.0</v>
      </c>
      <c r="AB2055" s="1"/>
      <c r="AC2055" s="1" t="s">
        <v>36</v>
      </c>
      <c r="AD2055" s="1" t="s">
        <v>7528</v>
      </c>
      <c r="AE2055" s="1" t="s">
        <v>32</v>
      </c>
      <c r="AF2055" s="1" t="s">
        <v>33</v>
      </c>
      <c r="AG2055" s="1" t="s">
        <v>848</v>
      </c>
    </row>
    <row r="2056" spans="1:33">
      <c r="A2056" t="s">
        <v>7529</v>
      </c>
      <c r="C2056" t="s">
        <v>7530</v>
      </c>
      <c r="E2056" t="s">
        <v>7413</v>
      </c>
      <c r="F2056" t="s">
        <v>7318</v>
      </c>
      <c r="G2056">
        <v>1.449</v>
      </c>
      <c r="H2056">
        <v>1.449</v>
      </c>
      <c r="I2056" t="s">
        <v>847</v>
      </c>
      <c r="J2056" t="s">
        <v>848</v>
      </c>
      <c r="K2056" t="s">
        <v>31</v>
      </c>
      <c r="L2056" t="s">
        <v>32</v>
      </c>
      <c r="M2056" t="s">
        <v>33</v>
      </c>
      <c r="P2056" s="1" t="s">
        <v>7531</v>
      </c>
      <c r="Q2056" s="1" t="s">
        <v>7413</v>
      </c>
      <c r="R2056" s="1" t="s">
        <v>7413</v>
      </c>
      <c r="S2056" s="1"/>
      <c r="T2056" s="1" t="s">
        <v>7530</v>
      </c>
      <c r="U2056" s="1"/>
      <c r="V2056" s="1">
        <v>1.449</v>
      </c>
      <c r="W2056" s="1">
        <v>1.449</v>
      </c>
      <c r="X2056" s="1" t="s">
        <v>35</v>
      </c>
      <c r="Y2056" s="1">
        <v>1449000.0</v>
      </c>
      <c r="Z2056" s="1"/>
      <c r="AA2056" s="1">
        <v>1449000.0</v>
      </c>
      <c r="AB2056" s="1"/>
      <c r="AC2056" s="1" t="s">
        <v>36</v>
      </c>
      <c r="AD2056" s="1" t="s">
        <v>7525</v>
      </c>
      <c r="AE2056" s="1" t="s">
        <v>32</v>
      </c>
      <c r="AF2056" s="1" t="s">
        <v>33</v>
      </c>
      <c r="AG2056" s="1" t="s">
        <v>848</v>
      </c>
    </row>
    <row r="2057" spans="1:33">
      <c r="A2057" t="s">
        <v>7532</v>
      </c>
      <c r="C2057" t="s">
        <v>6842</v>
      </c>
      <c r="E2057" t="s">
        <v>7413</v>
      </c>
      <c r="F2057" t="s">
        <v>7318</v>
      </c>
      <c r="G2057">
        <v>408.0</v>
      </c>
      <c r="H2057">
        <v>408.0</v>
      </c>
      <c r="I2057" t="s">
        <v>29</v>
      </c>
      <c r="J2057" t="s">
        <v>30</v>
      </c>
      <c r="K2057" t="s">
        <v>31</v>
      </c>
      <c r="L2057" t="s">
        <v>32</v>
      </c>
      <c r="M2057" t="s">
        <v>33</v>
      </c>
      <c r="P2057" s="1" t="s">
        <v>7533</v>
      </c>
      <c r="Q2057" s="1" t="s">
        <v>7413</v>
      </c>
      <c r="R2057" s="1" t="s">
        <v>7413</v>
      </c>
      <c r="S2057" s="1"/>
      <c r="T2057" s="1" t="s">
        <v>6842</v>
      </c>
      <c r="U2057" s="1"/>
      <c r="V2057" s="1">
        <v>408.0</v>
      </c>
      <c r="W2057" s="1">
        <v>408.0</v>
      </c>
      <c r="X2057" s="1" t="s">
        <v>35</v>
      </c>
      <c r="Y2057" s="1">
        <v>409980.0</v>
      </c>
      <c r="Z2057" s="1">
        <v>-1980</v>
      </c>
      <c r="AA2057" s="1">
        <v>409980.0</v>
      </c>
      <c r="AB2057" s="1">
        <v>-1980</v>
      </c>
      <c r="AC2057" s="1" t="s">
        <v>36</v>
      </c>
      <c r="AD2057" s="1" t="s">
        <v>7509</v>
      </c>
      <c r="AE2057" s="1" t="s">
        <v>32</v>
      </c>
      <c r="AF2057" s="1" t="s">
        <v>33</v>
      </c>
      <c r="AG2057" s="1" t="s">
        <v>30</v>
      </c>
    </row>
    <row r="2058" spans="1:33">
      <c r="A2058" t="s">
        <v>7534</v>
      </c>
      <c r="B2058" t="s">
        <v>3125</v>
      </c>
      <c r="C2058" t="s">
        <v>268</v>
      </c>
      <c r="E2058" t="s">
        <v>7413</v>
      </c>
      <c r="F2058" t="s">
        <v>7318</v>
      </c>
      <c r="G2058">
        <v>100.45</v>
      </c>
      <c r="H2058">
        <v>100.45</v>
      </c>
      <c r="I2058" t="s">
        <v>269</v>
      </c>
      <c r="J2058" t="s">
        <v>270</v>
      </c>
      <c r="K2058" t="s">
        <v>31</v>
      </c>
      <c r="L2058" t="s">
        <v>32</v>
      </c>
      <c r="M2058" t="s">
        <v>33</v>
      </c>
      <c r="P2058" s="1" t="s">
        <v>7535</v>
      </c>
      <c r="Q2058" s="1" t="s">
        <v>7413</v>
      </c>
      <c r="R2058" s="1" t="s">
        <v>7413</v>
      </c>
      <c r="S2058" s="1"/>
      <c r="T2058" s="1" t="s">
        <v>268</v>
      </c>
      <c r="U2058" s="1"/>
      <c r="V2058" s="1">
        <v>100.45</v>
      </c>
      <c r="W2058" s="1">
        <v>100.45</v>
      </c>
      <c r="X2058" s="1" t="s">
        <v>35</v>
      </c>
      <c r="Y2058" s="1">
        <v>100450.0</v>
      </c>
      <c r="Z2058" s="1"/>
      <c r="AA2058" s="1">
        <v>100450.0</v>
      </c>
      <c r="AB2058" s="1"/>
      <c r="AC2058" s="1" t="s">
        <v>36</v>
      </c>
      <c r="AD2058" s="1" t="s">
        <v>7536</v>
      </c>
      <c r="AE2058" s="1" t="s">
        <v>32</v>
      </c>
      <c r="AF2058" s="1" t="s">
        <v>33</v>
      </c>
      <c r="AG2058" s="1" t="s">
        <v>270</v>
      </c>
    </row>
    <row r="2059" spans="1:33">
      <c r="A2059" t="s">
        <v>7537</v>
      </c>
      <c r="B2059" t="s">
        <v>7538</v>
      </c>
      <c r="C2059" t="s">
        <v>68</v>
      </c>
      <c r="E2059" t="s">
        <v>7413</v>
      </c>
      <c r="F2059" t="s">
        <v>7318</v>
      </c>
      <c r="G2059">
        <v>24.443</v>
      </c>
      <c r="H2059">
        <v>24.443</v>
      </c>
      <c r="I2059" t="s">
        <v>59</v>
      </c>
      <c r="J2059" t="s">
        <v>60</v>
      </c>
      <c r="K2059" t="s">
        <v>31</v>
      </c>
      <c r="L2059" t="s">
        <v>32</v>
      </c>
      <c r="M2059" t="s">
        <v>33</v>
      </c>
      <c r="P2059" s="1" t="s">
        <v>7539</v>
      </c>
      <c r="Q2059" s="1" t="s">
        <v>7413</v>
      </c>
      <c r="R2059" s="1" t="s">
        <v>7413</v>
      </c>
      <c r="S2059" s="1"/>
      <c r="T2059" s="1" t="s">
        <v>68</v>
      </c>
      <c r="U2059" s="1"/>
      <c r="V2059" s="1">
        <v>24.443</v>
      </c>
      <c r="W2059" s="1">
        <v>24.443</v>
      </c>
      <c r="X2059" s="1" t="s">
        <v>35</v>
      </c>
      <c r="Y2059" s="1">
        <v>24443.0</v>
      </c>
      <c r="Z2059" s="1"/>
      <c r="AA2059" s="1">
        <v>24443.0</v>
      </c>
      <c r="AB2059" s="1"/>
      <c r="AC2059" s="1" t="s">
        <v>36</v>
      </c>
      <c r="AD2059" s="1" t="s">
        <v>7540</v>
      </c>
      <c r="AE2059" s="1" t="s">
        <v>32</v>
      </c>
      <c r="AF2059" s="1" t="s">
        <v>33</v>
      </c>
      <c r="AG2059" s="1" t="s">
        <v>60</v>
      </c>
    </row>
    <row r="2060" spans="1:33">
      <c r="A2060" t="s">
        <v>7541</v>
      </c>
      <c r="B2060" t="s">
        <v>7542</v>
      </c>
      <c r="C2060" t="s">
        <v>268</v>
      </c>
      <c r="E2060" t="s">
        <v>7413</v>
      </c>
      <c r="F2060" t="s">
        <v>7318</v>
      </c>
      <c r="G2060">
        <v>33.8</v>
      </c>
      <c r="H2060">
        <v>33.8</v>
      </c>
      <c r="I2060" t="s">
        <v>269</v>
      </c>
      <c r="J2060" t="s">
        <v>270</v>
      </c>
      <c r="K2060" t="s">
        <v>31</v>
      </c>
      <c r="L2060" t="s">
        <v>32</v>
      </c>
      <c r="M2060" t="s">
        <v>33</v>
      </c>
      <c r="P2060" s="1" t="s">
        <v>7543</v>
      </c>
      <c r="Q2060" s="1" t="s">
        <v>7413</v>
      </c>
      <c r="R2060" s="1" t="s">
        <v>7413</v>
      </c>
      <c r="S2060" s="1"/>
      <c r="T2060" s="1" t="s">
        <v>268</v>
      </c>
      <c r="U2060" s="1"/>
      <c r="V2060" s="1">
        <v>33.8</v>
      </c>
      <c r="W2060" s="1">
        <v>33.8</v>
      </c>
      <c r="X2060" s="1" t="s">
        <v>35</v>
      </c>
      <c r="Y2060" s="1">
        <v>33800.0</v>
      </c>
      <c r="Z2060" s="1"/>
      <c r="AA2060" s="1">
        <v>33800.0</v>
      </c>
      <c r="AB2060" s="1"/>
      <c r="AC2060" s="1" t="s">
        <v>36</v>
      </c>
      <c r="AD2060" s="1" t="s">
        <v>7544</v>
      </c>
      <c r="AE2060" s="1" t="s">
        <v>32</v>
      </c>
      <c r="AF2060" s="1" t="s">
        <v>33</v>
      </c>
      <c r="AG2060" s="1" t="s">
        <v>270</v>
      </c>
    </row>
    <row r="2061" spans="1:33">
      <c r="A2061" t="s">
        <v>7545</v>
      </c>
      <c r="B2061" t="s">
        <v>7546</v>
      </c>
      <c r="C2061" t="s">
        <v>73</v>
      </c>
      <c r="E2061" t="s">
        <v>7413</v>
      </c>
      <c r="F2061" t="s">
        <v>7318</v>
      </c>
      <c r="G2061">
        <v>19.49</v>
      </c>
      <c r="H2061">
        <v>19.49</v>
      </c>
      <c r="I2061" t="s">
        <v>40</v>
      </c>
      <c r="J2061" t="s">
        <v>41</v>
      </c>
      <c r="K2061" t="s">
        <v>31</v>
      </c>
      <c r="L2061" t="s">
        <v>32</v>
      </c>
      <c r="M2061" t="s">
        <v>33</v>
      </c>
      <c r="P2061" s="1" t="s">
        <v>7547</v>
      </c>
      <c r="Q2061" s="1" t="s">
        <v>7413</v>
      </c>
      <c r="R2061" s="1" t="s">
        <v>6700</v>
      </c>
      <c r="S2061" s="1"/>
      <c r="T2061" s="1" t="s">
        <v>75</v>
      </c>
      <c r="U2061" s="1" t="s">
        <v>76</v>
      </c>
      <c r="V2061" s="1">
        <v>19.49</v>
      </c>
      <c r="W2061" s="1">
        <v>19.49</v>
      </c>
      <c r="X2061" s="1" t="s">
        <v>35</v>
      </c>
      <c r="Y2061" s="1">
        <v>19490.0</v>
      </c>
      <c r="Z2061" s="1"/>
      <c r="AA2061" s="1">
        <v>19490.0</v>
      </c>
      <c r="AB2061" s="1"/>
      <c r="AC2061" s="1" t="s">
        <v>36</v>
      </c>
      <c r="AD2061" s="1" t="s">
        <v>7548</v>
      </c>
      <c r="AE2061" s="1" t="s">
        <v>32</v>
      </c>
      <c r="AF2061" s="1" t="s">
        <v>33</v>
      </c>
      <c r="AG2061" s="1" t="s">
        <v>41</v>
      </c>
    </row>
    <row r="2062" spans="1:33">
      <c r="A2062" t="s">
        <v>7549</v>
      </c>
      <c r="B2062" t="s">
        <v>206</v>
      </c>
      <c r="C2062" t="s">
        <v>207</v>
      </c>
      <c r="E2062" t="s">
        <v>7413</v>
      </c>
      <c r="F2062" t="s">
        <v>7318</v>
      </c>
      <c r="G2062">
        <v>363.0</v>
      </c>
      <c r="H2062">
        <v>363.0</v>
      </c>
      <c r="I2062" t="s">
        <v>59</v>
      </c>
      <c r="J2062" t="s">
        <v>60</v>
      </c>
      <c r="K2062" t="s">
        <v>31</v>
      </c>
      <c r="L2062" t="s">
        <v>32</v>
      </c>
      <c r="M2062" t="s">
        <v>33</v>
      </c>
      <c r="P2062" s="1" t="s">
        <v>7550</v>
      </c>
      <c r="Q2062" s="1" t="s">
        <v>7413</v>
      </c>
      <c r="R2062" s="1" t="s">
        <v>7413</v>
      </c>
      <c r="S2062" s="1"/>
      <c r="T2062" s="1" t="s">
        <v>207</v>
      </c>
      <c r="U2062" s="1"/>
      <c r="V2062" s="1">
        <v>363.0</v>
      </c>
      <c r="W2062" s="1">
        <v>363.0</v>
      </c>
      <c r="X2062" s="1" t="s">
        <v>35</v>
      </c>
      <c r="Y2062" s="1">
        <v>363000.0</v>
      </c>
      <c r="Z2062" s="1"/>
      <c r="AA2062" s="1">
        <v>363000.0</v>
      </c>
      <c r="AB2062" s="1"/>
      <c r="AC2062" s="1" t="s">
        <v>36</v>
      </c>
      <c r="AD2062" s="1" t="s">
        <v>7551</v>
      </c>
      <c r="AE2062" s="1" t="s">
        <v>32</v>
      </c>
      <c r="AF2062" s="1" t="s">
        <v>33</v>
      </c>
      <c r="AG2062" s="1" t="s">
        <v>60</v>
      </c>
    </row>
    <row r="2063" spans="1:33">
      <c r="A2063" t="s">
        <v>7552</v>
      </c>
      <c r="B2063" t="s">
        <v>4853</v>
      </c>
      <c r="C2063" t="s">
        <v>268</v>
      </c>
      <c r="E2063" t="s">
        <v>7413</v>
      </c>
      <c r="F2063" t="s">
        <v>7318</v>
      </c>
      <c r="G2063">
        <v>49.75</v>
      </c>
      <c r="H2063">
        <v>49.75</v>
      </c>
      <c r="I2063" t="s">
        <v>269</v>
      </c>
      <c r="J2063" t="s">
        <v>270</v>
      </c>
      <c r="K2063" t="s">
        <v>31</v>
      </c>
      <c r="L2063" t="s">
        <v>32</v>
      </c>
      <c r="M2063" t="s">
        <v>33</v>
      </c>
      <c r="P2063" s="1" t="s">
        <v>7553</v>
      </c>
      <c r="Q2063" s="1" t="s">
        <v>7413</v>
      </c>
      <c r="R2063" s="1" t="s">
        <v>7413</v>
      </c>
      <c r="S2063" s="1"/>
      <c r="T2063" s="1" t="s">
        <v>268</v>
      </c>
      <c r="U2063" s="1"/>
      <c r="V2063" s="1">
        <v>49.75</v>
      </c>
      <c r="W2063" s="1">
        <v>49.75</v>
      </c>
      <c r="X2063" s="1" t="s">
        <v>35</v>
      </c>
      <c r="Y2063" s="1">
        <v>49750.0</v>
      </c>
      <c r="Z2063" s="1"/>
      <c r="AA2063" s="1">
        <v>49750.0</v>
      </c>
      <c r="AB2063" s="1"/>
      <c r="AC2063" s="1" t="s">
        <v>36</v>
      </c>
      <c r="AD2063" s="1" t="s">
        <v>7554</v>
      </c>
      <c r="AE2063" s="1" t="s">
        <v>32</v>
      </c>
      <c r="AF2063" s="1" t="s">
        <v>33</v>
      </c>
      <c r="AG2063" s="1" t="s">
        <v>270</v>
      </c>
    </row>
    <row r="2064" spans="1:33">
      <c r="A2064" t="s">
        <v>7555</v>
      </c>
      <c r="B2064" t="s">
        <v>57</v>
      </c>
      <c r="C2064" t="s">
        <v>58</v>
      </c>
      <c r="E2064" t="s">
        <v>7413</v>
      </c>
      <c r="F2064" t="s">
        <v>7318</v>
      </c>
      <c r="G2064">
        <v>370.0</v>
      </c>
      <c r="H2064">
        <v>370.0</v>
      </c>
      <c r="I2064" t="s">
        <v>59</v>
      </c>
      <c r="J2064" t="s">
        <v>60</v>
      </c>
      <c r="K2064" t="s">
        <v>31</v>
      </c>
      <c r="L2064" t="s">
        <v>32</v>
      </c>
      <c r="M2064" t="s">
        <v>33</v>
      </c>
      <c r="P2064" s="1" t="s">
        <v>7556</v>
      </c>
      <c r="Q2064" s="1" t="s">
        <v>7413</v>
      </c>
      <c r="R2064" s="1" t="s">
        <v>7413</v>
      </c>
      <c r="S2064" s="1"/>
      <c r="T2064" s="1" t="s">
        <v>58</v>
      </c>
      <c r="U2064" s="1"/>
      <c r="V2064" s="1">
        <v>370.0</v>
      </c>
      <c r="W2064" s="1">
        <v>370.0</v>
      </c>
      <c r="X2064" s="1" t="s">
        <v>35</v>
      </c>
      <c r="Y2064" s="1">
        <v>370000.0</v>
      </c>
      <c r="Z2064" s="1"/>
      <c r="AA2064" s="1">
        <v>370000.0</v>
      </c>
      <c r="AB2064" s="1"/>
      <c r="AC2064" s="1" t="s">
        <v>36</v>
      </c>
      <c r="AD2064" s="1" t="s">
        <v>7557</v>
      </c>
      <c r="AE2064" s="1" t="s">
        <v>32</v>
      </c>
      <c r="AF2064" s="1" t="s">
        <v>33</v>
      </c>
      <c r="AG2064" s="1" t="s">
        <v>60</v>
      </c>
    </row>
    <row r="2065" spans="1:33">
      <c r="A2065" t="s">
        <v>7558</v>
      </c>
      <c r="B2065" t="s">
        <v>5280</v>
      </c>
      <c r="C2065" t="s">
        <v>268</v>
      </c>
      <c r="E2065" t="s">
        <v>7413</v>
      </c>
      <c r="F2065" t="s">
        <v>7318</v>
      </c>
      <c r="G2065">
        <v>98.55</v>
      </c>
      <c r="H2065">
        <v>98.55</v>
      </c>
      <c r="I2065" t="s">
        <v>269</v>
      </c>
      <c r="J2065" t="s">
        <v>270</v>
      </c>
      <c r="K2065" t="s">
        <v>31</v>
      </c>
      <c r="L2065" t="s">
        <v>32</v>
      </c>
      <c r="M2065" t="s">
        <v>33</v>
      </c>
      <c r="P2065" s="1" t="s">
        <v>7559</v>
      </c>
      <c r="Q2065" s="1" t="s">
        <v>7413</v>
      </c>
      <c r="R2065" s="1" t="s">
        <v>7413</v>
      </c>
      <c r="S2065" s="1"/>
      <c r="T2065" s="1" t="s">
        <v>268</v>
      </c>
      <c r="U2065" s="1"/>
      <c r="V2065" s="1">
        <v>98.55</v>
      </c>
      <c r="W2065" s="1">
        <v>98.55</v>
      </c>
      <c r="X2065" s="1" t="s">
        <v>35</v>
      </c>
      <c r="Y2065" s="1">
        <v>98550.0</v>
      </c>
      <c r="Z2065" s="1"/>
      <c r="AA2065" s="1">
        <v>98550.0</v>
      </c>
      <c r="AB2065" s="1"/>
      <c r="AC2065" s="1" t="s">
        <v>36</v>
      </c>
      <c r="AD2065" s="1" t="s">
        <v>7560</v>
      </c>
      <c r="AE2065" s="1" t="s">
        <v>32</v>
      </c>
      <c r="AF2065" s="1" t="s">
        <v>33</v>
      </c>
      <c r="AG2065" s="1" t="s">
        <v>270</v>
      </c>
    </row>
    <row r="2066" spans="1:33">
      <c r="A2066" t="s">
        <v>7561</v>
      </c>
      <c r="C2066" t="s">
        <v>294</v>
      </c>
      <c r="E2066" t="s">
        <v>7413</v>
      </c>
      <c r="F2066" t="s">
        <v>7318</v>
      </c>
      <c r="G2066">
        <v>320.0</v>
      </c>
      <c r="H2066">
        <v>320.0</v>
      </c>
      <c r="I2066" t="s">
        <v>48</v>
      </c>
      <c r="J2066" t="s">
        <v>49</v>
      </c>
      <c r="K2066" t="s">
        <v>31</v>
      </c>
      <c r="L2066" t="s">
        <v>32</v>
      </c>
      <c r="M2066" t="s">
        <v>33</v>
      </c>
      <c r="P2066" s="1" t="s">
        <v>7562</v>
      </c>
      <c r="Q2066" s="1" t="s">
        <v>7413</v>
      </c>
      <c r="R2066" s="1" t="s">
        <v>7413</v>
      </c>
      <c r="S2066" s="1"/>
      <c r="T2066" s="1" t="s">
        <v>294</v>
      </c>
      <c r="U2066" s="1"/>
      <c r="V2066" s="1">
        <v>320.0</v>
      </c>
      <c r="W2066" s="1">
        <v>320.0</v>
      </c>
      <c r="X2066" s="1" t="s">
        <v>35</v>
      </c>
      <c r="Y2066" s="1">
        <v>320000.0</v>
      </c>
      <c r="Z2066" s="1"/>
      <c r="AA2066" s="1">
        <v>320000.0</v>
      </c>
      <c r="AB2066" s="1"/>
      <c r="AC2066" s="1" t="s">
        <v>36</v>
      </c>
      <c r="AD2066" s="1" t="s">
        <v>7563</v>
      </c>
      <c r="AE2066" s="1" t="s">
        <v>32</v>
      </c>
      <c r="AF2066" s="1" t="s">
        <v>33</v>
      </c>
      <c r="AG2066" s="1" t="s">
        <v>49</v>
      </c>
    </row>
    <row r="2067" spans="1:33">
      <c r="A2067" t="s">
        <v>7564</v>
      </c>
      <c r="B2067" t="s">
        <v>7565</v>
      </c>
      <c r="C2067" t="s">
        <v>172</v>
      </c>
      <c r="E2067" t="s">
        <v>7413</v>
      </c>
      <c r="F2067" t="s">
        <v>7318</v>
      </c>
      <c r="G2067">
        <v>43.98</v>
      </c>
      <c r="H2067">
        <v>43.98</v>
      </c>
      <c r="I2067" t="s">
        <v>173</v>
      </c>
      <c r="J2067" t="s">
        <v>174</v>
      </c>
      <c r="K2067" t="s">
        <v>31</v>
      </c>
      <c r="L2067" t="s">
        <v>32</v>
      </c>
      <c r="M2067" t="s">
        <v>33</v>
      </c>
      <c r="P2067" s="1" t="s">
        <v>7566</v>
      </c>
      <c r="Q2067" s="1" t="s">
        <v>7413</v>
      </c>
      <c r="R2067" s="1" t="s">
        <v>7413</v>
      </c>
      <c r="S2067" s="1"/>
      <c r="T2067" s="1" t="s">
        <v>172</v>
      </c>
      <c r="U2067" s="1"/>
      <c r="V2067" s="1">
        <v>43.98</v>
      </c>
      <c r="W2067" s="1">
        <v>43.98</v>
      </c>
      <c r="X2067" s="1" t="s">
        <v>35</v>
      </c>
      <c r="Y2067" s="1">
        <v>43980.0</v>
      </c>
      <c r="Z2067" s="1"/>
      <c r="AA2067" s="1">
        <v>43980.0</v>
      </c>
      <c r="AB2067" s="1"/>
      <c r="AC2067" s="1" t="s">
        <v>36</v>
      </c>
      <c r="AD2067" s="1" t="s">
        <v>7567</v>
      </c>
      <c r="AE2067" s="1" t="s">
        <v>32</v>
      </c>
      <c r="AF2067" s="1" t="s">
        <v>33</v>
      </c>
      <c r="AG2067" s="1" t="s">
        <v>174</v>
      </c>
    </row>
    <row r="2068" spans="1:33">
      <c r="A2068" t="s">
        <v>7568</v>
      </c>
      <c r="B2068" t="s">
        <v>7569</v>
      </c>
      <c r="C2068" t="s">
        <v>125</v>
      </c>
      <c r="E2068" t="s">
        <v>7413</v>
      </c>
      <c r="F2068" t="s">
        <v>7318</v>
      </c>
      <c r="G2068">
        <v>49.48</v>
      </c>
      <c r="H2068">
        <v>49.48</v>
      </c>
      <c r="I2068" t="s">
        <v>126</v>
      </c>
      <c r="J2068" t="s">
        <v>127</v>
      </c>
      <c r="K2068" t="s">
        <v>31</v>
      </c>
      <c r="L2068" t="s">
        <v>32</v>
      </c>
      <c r="M2068" t="s">
        <v>33</v>
      </c>
      <c r="P2068" s="1" t="s">
        <v>7570</v>
      </c>
      <c r="Q2068" s="1" t="s">
        <v>7413</v>
      </c>
      <c r="R2068" s="1" t="s">
        <v>7413</v>
      </c>
      <c r="S2068" s="1"/>
      <c r="T2068" s="1" t="s">
        <v>125</v>
      </c>
      <c r="U2068" s="1"/>
      <c r="V2068" s="1">
        <v>49.48</v>
      </c>
      <c r="W2068" s="1">
        <v>49.48</v>
      </c>
      <c r="X2068" s="1" t="s">
        <v>35</v>
      </c>
      <c r="Y2068" s="1">
        <v>49480.0</v>
      </c>
      <c r="Z2068" s="1"/>
      <c r="AA2068" s="1">
        <v>49480.0</v>
      </c>
      <c r="AB2068" s="1"/>
      <c r="AC2068" s="1" t="s">
        <v>36</v>
      </c>
      <c r="AD2068" s="1" t="s">
        <v>7571</v>
      </c>
      <c r="AE2068" s="1" t="s">
        <v>32</v>
      </c>
      <c r="AF2068" s="1" t="s">
        <v>33</v>
      </c>
      <c r="AG2068" s="1" t="s">
        <v>127</v>
      </c>
    </row>
    <row r="2069" spans="1:33">
      <c r="A2069" t="s">
        <v>7572</v>
      </c>
      <c r="B2069" t="s">
        <v>7573</v>
      </c>
      <c r="C2069" t="s">
        <v>1298</v>
      </c>
      <c r="E2069" t="s">
        <v>7413</v>
      </c>
      <c r="F2069" t="s">
        <v>7318</v>
      </c>
      <c r="G2069">
        <v>7.456</v>
      </c>
      <c r="H2069">
        <v>7.456</v>
      </c>
      <c r="I2069" t="s">
        <v>529</v>
      </c>
      <c r="J2069" t="s">
        <v>530</v>
      </c>
      <c r="K2069" t="s">
        <v>31</v>
      </c>
      <c r="L2069" t="s">
        <v>32</v>
      </c>
      <c r="M2069" t="s">
        <v>33</v>
      </c>
      <c r="P2069" s="1" t="s">
        <v>7574</v>
      </c>
      <c r="Q2069" s="1" t="s">
        <v>7413</v>
      </c>
      <c r="R2069" s="1" t="s">
        <v>6700</v>
      </c>
      <c r="S2069" s="1"/>
      <c r="T2069" s="1" t="s">
        <v>1298</v>
      </c>
      <c r="U2069" s="1"/>
      <c r="V2069" s="1">
        <v>7.456</v>
      </c>
      <c r="W2069" s="1">
        <v>7.456</v>
      </c>
      <c r="X2069" s="1" t="s">
        <v>35</v>
      </c>
      <c r="Y2069" s="1">
        <v>7456.0</v>
      </c>
      <c r="Z2069" s="1"/>
      <c r="AA2069" s="1">
        <v>7456.0</v>
      </c>
      <c r="AB2069" s="1"/>
      <c r="AC2069" s="1" t="s">
        <v>36</v>
      </c>
      <c r="AD2069" s="1" t="s">
        <v>7575</v>
      </c>
      <c r="AE2069" s="1" t="s">
        <v>32</v>
      </c>
      <c r="AF2069" s="1" t="s">
        <v>33</v>
      </c>
      <c r="AG2069" s="1" t="s">
        <v>530</v>
      </c>
    </row>
    <row r="2070" spans="1:33">
      <c r="A2070" t="s">
        <v>7576</v>
      </c>
      <c r="B2070" t="s">
        <v>7577</v>
      </c>
      <c r="C2070" t="s">
        <v>1298</v>
      </c>
      <c r="E2070" t="s">
        <v>7413</v>
      </c>
      <c r="F2070" t="s">
        <v>7318</v>
      </c>
      <c r="G2070">
        <v>9.295</v>
      </c>
      <c r="H2070">
        <v>9.295</v>
      </c>
      <c r="I2070" t="s">
        <v>529</v>
      </c>
      <c r="J2070" t="s">
        <v>530</v>
      </c>
      <c r="K2070" t="s">
        <v>31</v>
      </c>
      <c r="L2070" t="s">
        <v>32</v>
      </c>
      <c r="M2070" t="s">
        <v>33</v>
      </c>
      <c r="P2070" s="1" t="s">
        <v>7578</v>
      </c>
      <c r="Q2070" s="1" t="s">
        <v>7413</v>
      </c>
      <c r="R2070" s="1" t="s">
        <v>6700</v>
      </c>
      <c r="S2070" s="1"/>
      <c r="T2070" s="1" t="s">
        <v>1298</v>
      </c>
      <c r="U2070" s="1"/>
      <c r="V2070" s="1">
        <v>9.295</v>
      </c>
      <c r="W2070" s="1">
        <v>9.295</v>
      </c>
      <c r="X2070" s="1" t="s">
        <v>35</v>
      </c>
      <c r="Y2070" s="1">
        <v>9295.0</v>
      </c>
      <c r="Z2070" s="1"/>
      <c r="AA2070" s="1">
        <v>9295.0</v>
      </c>
      <c r="AB2070" s="1"/>
      <c r="AC2070" s="1" t="s">
        <v>36</v>
      </c>
      <c r="AD2070" s="1" t="s">
        <v>7579</v>
      </c>
      <c r="AE2070" s="1" t="s">
        <v>32</v>
      </c>
      <c r="AF2070" s="1" t="s">
        <v>33</v>
      </c>
      <c r="AG2070" s="1" t="s">
        <v>530</v>
      </c>
    </row>
    <row r="2071" spans="1:33">
      <c r="A2071" t="s">
        <v>7580</v>
      </c>
      <c r="C2071" t="s">
        <v>2989</v>
      </c>
      <c r="E2071" t="s">
        <v>7413</v>
      </c>
      <c r="F2071" t="s">
        <v>7318</v>
      </c>
      <c r="G2071">
        <v>2.69</v>
      </c>
      <c r="H2071">
        <v>2.69</v>
      </c>
      <c r="I2071" t="s">
        <v>136</v>
      </c>
      <c r="J2071" t="s">
        <v>137</v>
      </c>
      <c r="K2071" t="s">
        <v>31</v>
      </c>
      <c r="L2071" t="s">
        <v>32</v>
      </c>
      <c r="M2071" t="s">
        <v>33</v>
      </c>
      <c r="P2071" s="1" t="s">
        <v>7581</v>
      </c>
      <c r="Q2071" s="1" t="s">
        <v>7413</v>
      </c>
      <c r="R2071" s="1" t="s">
        <v>7413</v>
      </c>
      <c r="S2071" s="1"/>
      <c r="T2071" s="1" t="s">
        <v>2991</v>
      </c>
      <c r="U2071" s="1" t="s">
        <v>2992</v>
      </c>
      <c r="V2071" s="1">
        <v>2.69</v>
      </c>
      <c r="W2071" s="1">
        <v>2.69</v>
      </c>
      <c r="X2071" s="1" t="s">
        <v>35</v>
      </c>
      <c r="Y2071" s="1">
        <v>2690000.0</v>
      </c>
      <c r="Z2071" s="1"/>
      <c r="AA2071" s="1">
        <v>2690000.0</v>
      </c>
      <c r="AB2071" s="1"/>
      <c r="AC2071" s="1" t="s">
        <v>36</v>
      </c>
      <c r="AD2071" s="1" t="s">
        <v>7540</v>
      </c>
      <c r="AE2071" s="1" t="s">
        <v>32</v>
      </c>
      <c r="AF2071" s="1" t="s">
        <v>33</v>
      </c>
      <c r="AG2071" s="1" t="s">
        <v>137</v>
      </c>
    </row>
    <row r="2072" spans="1:33">
      <c r="A2072" t="s">
        <v>7582</v>
      </c>
      <c r="C2072" t="s">
        <v>1992</v>
      </c>
      <c r="E2072" t="s">
        <v>7413</v>
      </c>
      <c r="F2072" t="s">
        <v>7318</v>
      </c>
      <c r="G2072">
        <v>626.0</v>
      </c>
      <c r="H2072">
        <v>626.0</v>
      </c>
      <c r="I2072" t="s">
        <v>136</v>
      </c>
      <c r="J2072" t="s">
        <v>137</v>
      </c>
      <c r="K2072" t="s">
        <v>31</v>
      </c>
      <c r="L2072" t="s">
        <v>32</v>
      </c>
      <c r="M2072" t="s">
        <v>33</v>
      </c>
      <c r="P2072" s="1" t="s">
        <v>7583</v>
      </c>
      <c r="Q2072" s="1" t="s">
        <v>7413</v>
      </c>
      <c r="R2072" s="1" t="s">
        <v>7413</v>
      </c>
      <c r="S2072" s="1"/>
      <c r="T2072" s="1" t="s">
        <v>1994</v>
      </c>
      <c r="U2072" s="1" t="s">
        <v>1995</v>
      </c>
      <c r="V2072" s="1">
        <v>626.0</v>
      </c>
      <c r="W2072" s="1">
        <v>626.0</v>
      </c>
      <c r="X2072" s="1" t="s">
        <v>35</v>
      </c>
      <c r="Y2072" s="1">
        <v>626000.0</v>
      </c>
      <c r="Z2072" s="1"/>
      <c r="AA2072" s="1">
        <v>626000.0</v>
      </c>
      <c r="AB2072" s="1"/>
      <c r="AC2072" s="1" t="s">
        <v>36</v>
      </c>
      <c r="AD2072" s="1" t="s">
        <v>7584</v>
      </c>
      <c r="AE2072" s="1" t="s">
        <v>32</v>
      </c>
      <c r="AF2072" s="1" t="s">
        <v>33</v>
      </c>
      <c r="AG2072" s="1" t="s">
        <v>137</v>
      </c>
    </row>
    <row r="2073" spans="1:33">
      <c r="A2073" t="s">
        <v>7585</v>
      </c>
      <c r="C2073" t="s">
        <v>7586</v>
      </c>
      <c r="E2073" t="s">
        <v>7413</v>
      </c>
      <c r="F2073" t="s">
        <v>7318</v>
      </c>
      <c r="G2073">
        <v>984.0</v>
      </c>
      <c r="H2073">
        <v>984.0</v>
      </c>
      <c r="I2073" t="s">
        <v>136</v>
      </c>
      <c r="J2073" t="s">
        <v>137</v>
      </c>
      <c r="K2073" t="s">
        <v>31</v>
      </c>
      <c r="L2073" t="s">
        <v>32</v>
      </c>
      <c r="M2073" t="s">
        <v>33</v>
      </c>
      <c r="P2073" s="1" t="s">
        <v>7587</v>
      </c>
      <c r="Q2073" s="1" t="s">
        <v>7413</v>
      </c>
      <c r="R2073" s="1" t="s">
        <v>7413</v>
      </c>
      <c r="S2073" s="1"/>
      <c r="T2073" s="1" t="s">
        <v>7586</v>
      </c>
      <c r="U2073" s="1"/>
      <c r="V2073" s="1">
        <v>984.0</v>
      </c>
      <c r="W2073" s="1">
        <v>984.0</v>
      </c>
      <c r="X2073" s="1" t="s">
        <v>35</v>
      </c>
      <c r="Y2073" s="1">
        <v>984000.0</v>
      </c>
      <c r="Z2073" s="1"/>
      <c r="AA2073" s="1">
        <v>984000.0</v>
      </c>
      <c r="AB2073" s="1"/>
      <c r="AC2073" s="1" t="s">
        <v>36</v>
      </c>
      <c r="AD2073" s="1" t="s">
        <v>7563</v>
      </c>
      <c r="AE2073" s="1" t="s">
        <v>32</v>
      </c>
      <c r="AF2073" s="1" t="s">
        <v>33</v>
      </c>
      <c r="AG2073" s="1" t="s">
        <v>137</v>
      </c>
    </row>
    <row r="2074" spans="1:33">
      <c r="A2074" t="s">
        <v>7588</v>
      </c>
      <c r="B2074" t="s">
        <v>7589</v>
      </c>
      <c r="C2074" t="s">
        <v>47</v>
      </c>
      <c r="E2074" t="s">
        <v>7413</v>
      </c>
      <c r="F2074" t="s">
        <v>7318</v>
      </c>
      <c r="G2074">
        <v>71.276</v>
      </c>
      <c r="H2074">
        <v>71.276</v>
      </c>
      <c r="I2074" t="s">
        <v>48</v>
      </c>
      <c r="J2074" t="s">
        <v>49</v>
      </c>
      <c r="K2074" t="s">
        <v>31</v>
      </c>
      <c r="L2074" t="s">
        <v>32</v>
      </c>
      <c r="M2074" t="s">
        <v>33</v>
      </c>
      <c r="P2074" s="1" t="s">
        <v>7590</v>
      </c>
      <c r="Q2074" s="1" t="s">
        <v>7413</v>
      </c>
      <c r="R2074" s="1" t="s">
        <v>7413</v>
      </c>
      <c r="S2074" s="1"/>
      <c r="T2074" s="1" t="s">
        <v>47</v>
      </c>
      <c r="U2074" s="1"/>
      <c r="V2074" s="1">
        <v>71.276</v>
      </c>
      <c r="W2074" s="1">
        <v>71.276</v>
      </c>
      <c r="X2074" s="1" t="s">
        <v>35</v>
      </c>
      <c r="Y2074" s="1">
        <v>71276.0</v>
      </c>
      <c r="Z2074" s="1"/>
      <c r="AA2074" s="1">
        <v>71276.0</v>
      </c>
      <c r="AB2074" s="1"/>
      <c r="AC2074" s="1" t="s">
        <v>36</v>
      </c>
      <c r="AD2074" s="1" t="s">
        <v>7591</v>
      </c>
      <c r="AE2074" s="1" t="s">
        <v>32</v>
      </c>
      <c r="AF2074" s="1" t="s">
        <v>33</v>
      </c>
      <c r="AG2074" s="1" t="s">
        <v>49</v>
      </c>
    </row>
    <row r="2075" spans="1:33">
      <c r="A2075" t="s">
        <v>7592</v>
      </c>
      <c r="C2075" t="s">
        <v>1248</v>
      </c>
      <c r="E2075" t="s">
        <v>7413</v>
      </c>
      <c r="F2075" t="s">
        <v>7318</v>
      </c>
      <c r="G2075">
        <v>720.2</v>
      </c>
      <c r="H2075">
        <v>720.2</v>
      </c>
      <c r="I2075" t="s">
        <v>136</v>
      </c>
      <c r="J2075" t="s">
        <v>137</v>
      </c>
      <c r="K2075" t="s">
        <v>31</v>
      </c>
      <c r="L2075" t="s">
        <v>32</v>
      </c>
      <c r="M2075" t="s">
        <v>33</v>
      </c>
      <c r="P2075" s="1" t="s">
        <v>7593</v>
      </c>
      <c r="Q2075" s="1" t="s">
        <v>7413</v>
      </c>
      <c r="R2075" s="1" t="s">
        <v>7413</v>
      </c>
      <c r="S2075" s="1"/>
      <c r="T2075" s="1" t="s">
        <v>1250</v>
      </c>
      <c r="U2075" s="1" t="s">
        <v>1251</v>
      </c>
      <c r="V2075" s="1">
        <v>720.2</v>
      </c>
      <c r="W2075" s="1">
        <v>720.2</v>
      </c>
      <c r="X2075" s="1" t="s">
        <v>35</v>
      </c>
      <c r="Y2075" s="1">
        <v>720200.0</v>
      </c>
      <c r="Z2075" s="1"/>
      <c r="AA2075" s="1">
        <v>720200.0</v>
      </c>
      <c r="AB2075" s="1"/>
      <c r="AC2075" s="1" t="s">
        <v>36</v>
      </c>
      <c r="AD2075" s="1" t="s">
        <v>7548</v>
      </c>
      <c r="AE2075" s="1" t="s">
        <v>32</v>
      </c>
      <c r="AF2075" s="1" t="s">
        <v>33</v>
      </c>
      <c r="AG2075" s="1" t="s">
        <v>137</v>
      </c>
    </row>
    <row r="2076" spans="1:33">
      <c r="A2076" t="s">
        <v>7594</v>
      </c>
      <c r="B2076" t="s">
        <v>7595</v>
      </c>
      <c r="C2076" t="s">
        <v>73</v>
      </c>
      <c r="E2076" t="s">
        <v>7413</v>
      </c>
      <c r="F2076" t="s">
        <v>7318</v>
      </c>
      <c r="G2076">
        <v>8.596</v>
      </c>
      <c r="H2076">
        <v>8.596</v>
      </c>
      <c r="I2076" t="s">
        <v>40</v>
      </c>
      <c r="J2076" t="s">
        <v>41</v>
      </c>
      <c r="K2076" t="s">
        <v>31</v>
      </c>
      <c r="L2076" t="s">
        <v>32</v>
      </c>
      <c r="M2076" t="s">
        <v>33</v>
      </c>
      <c r="P2076" s="1" t="s">
        <v>7596</v>
      </c>
      <c r="Q2076" s="1" t="s">
        <v>7413</v>
      </c>
      <c r="R2076" s="1" t="s">
        <v>6700</v>
      </c>
      <c r="S2076" s="1"/>
      <c r="T2076" s="1" t="s">
        <v>75</v>
      </c>
      <c r="U2076" s="1" t="s">
        <v>76</v>
      </c>
      <c r="V2076" s="1">
        <v>8.596</v>
      </c>
      <c r="W2076" s="1">
        <v>8.596</v>
      </c>
      <c r="X2076" s="1" t="s">
        <v>35</v>
      </c>
      <c r="Y2076" s="1">
        <v>8596.0</v>
      </c>
      <c r="Z2076" s="1"/>
      <c r="AA2076" s="1">
        <v>8596.0</v>
      </c>
      <c r="AB2076" s="1"/>
      <c r="AC2076" s="1" t="s">
        <v>36</v>
      </c>
      <c r="AD2076" s="1" t="s">
        <v>7597</v>
      </c>
      <c r="AE2076" s="1" t="s">
        <v>32</v>
      </c>
      <c r="AF2076" s="1" t="s">
        <v>33</v>
      </c>
      <c r="AG2076" s="1" t="s">
        <v>41</v>
      </c>
    </row>
    <row r="2077" spans="1:33">
      <c r="A2077" t="s">
        <v>7598</v>
      </c>
      <c r="C2077" t="s">
        <v>2737</v>
      </c>
      <c r="E2077" t="s">
        <v>7413</v>
      </c>
      <c r="F2077" t="s">
        <v>7318</v>
      </c>
      <c r="G2077">
        <v>1.64</v>
      </c>
      <c r="H2077">
        <v>1.64</v>
      </c>
      <c r="I2077" t="s">
        <v>136</v>
      </c>
      <c r="J2077" t="s">
        <v>137</v>
      </c>
      <c r="K2077" t="s">
        <v>31</v>
      </c>
      <c r="L2077" t="s">
        <v>32</v>
      </c>
      <c r="M2077" t="s">
        <v>33</v>
      </c>
      <c r="P2077" s="1" t="s">
        <v>7599</v>
      </c>
      <c r="Q2077" s="1" t="s">
        <v>7413</v>
      </c>
      <c r="R2077" s="1" t="s">
        <v>7413</v>
      </c>
      <c r="S2077" s="1"/>
      <c r="T2077" s="1" t="s">
        <v>2737</v>
      </c>
      <c r="U2077" s="1"/>
      <c r="V2077" s="1">
        <v>1.64</v>
      </c>
      <c r="W2077" s="1">
        <v>1.64</v>
      </c>
      <c r="X2077" s="1" t="s">
        <v>35</v>
      </c>
      <c r="Y2077" s="1">
        <v>1640000.0</v>
      </c>
      <c r="Z2077" s="1"/>
      <c r="AA2077" s="1">
        <v>1640000.0</v>
      </c>
      <c r="AB2077" s="1"/>
      <c r="AC2077" s="1" t="s">
        <v>36</v>
      </c>
      <c r="AD2077" s="1" t="s">
        <v>7554</v>
      </c>
      <c r="AE2077" s="1" t="s">
        <v>32</v>
      </c>
      <c r="AF2077" s="1" t="s">
        <v>33</v>
      </c>
      <c r="AG2077" s="1" t="s">
        <v>137</v>
      </c>
    </row>
    <row r="2078" spans="1:33">
      <c r="A2078" t="s">
        <v>7600</v>
      </c>
      <c r="B2078" t="s">
        <v>7601</v>
      </c>
      <c r="C2078" t="s">
        <v>172</v>
      </c>
      <c r="E2078" t="s">
        <v>7413</v>
      </c>
      <c r="F2078" t="s">
        <v>7318</v>
      </c>
      <c r="G2078">
        <v>2.36</v>
      </c>
      <c r="H2078">
        <v>2.36</v>
      </c>
      <c r="I2078" t="s">
        <v>173</v>
      </c>
      <c r="J2078" t="s">
        <v>174</v>
      </c>
      <c r="K2078" t="s">
        <v>31</v>
      </c>
      <c r="L2078" t="s">
        <v>32</v>
      </c>
      <c r="M2078" t="s">
        <v>33</v>
      </c>
      <c r="P2078" s="1" t="s">
        <v>7602</v>
      </c>
      <c r="Q2078" s="1" t="s">
        <v>7413</v>
      </c>
      <c r="R2078" s="1" t="s">
        <v>7413</v>
      </c>
      <c r="S2078" s="1"/>
      <c r="T2078" s="1" t="s">
        <v>172</v>
      </c>
      <c r="U2078" s="1"/>
      <c r="V2078" s="1">
        <v>2.36</v>
      </c>
      <c r="W2078" s="1">
        <v>2.36</v>
      </c>
      <c r="X2078" s="1" t="s">
        <v>35</v>
      </c>
      <c r="Y2078" s="1">
        <v>2360.0</v>
      </c>
      <c r="Z2078" s="1"/>
      <c r="AA2078" s="1">
        <v>2360.0</v>
      </c>
      <c r="AB2078" s="1"/>
      <c r="AC2078" s="1" t="s">
        <v>36</v>
      </c>
      <c r="AD2078" s="1" t="s">
        <v>7603</v>
      </c>
      <c r="AE2078" s="1" t="s">
        <v>32</v>
      </c>
      <c r="AF2078" s="1" t="s">
        <v>33</v>
      </c>
      <c r="AG2078" s="1" t="s">
        <v>174</v>
      </c>
    </row>
    <row r="2079" spans="1:33">
      <c r="A2079" t="s">
        <v>7604</v>
      </c>
      <c r="C2079" t="s">
        <v>7605</v>
      </c>
      <c r="E2079" t="s">
        <v>7413</v>
      </c>
      <c r="F2079" t="s">
        <v>7318</v>
      </c>
      <c r="G2079">
        <v>590.4</v>
      </c>
      <c r="H2079">
        <v>590.4</v>
      </c>
      <c r="I2079" t="s">
        <v>136</v>
      </c>
      <c r="J2079" t="s">
        <v>137</v>
      </c>
      <c r="K2079" t="s">
        <v>31</v>
      </c>
      <c r="L2079" t="s">
        <v>32</v>
      </c>
      <c r="M2079" t="s">
        <v>33</v>
      </c>
      <c r="P2079" s="1" t="s">
        <v>7606</v>
      </c>
      <c r="Q2079" s="1" t="s">
        <v>7413</v>
      </c>
      <c r="R2079" s="1" t="s">
        <v>7413</v>
      </c>
      <c r="S2079" s="1"/>
      <c r="T2079" s="1" t="s">
        <v>7605</v>
      </c>
      <c r="U2079" s="1"/>
      <c r="V2079" s="1">
        <v>590.4</v>
      </c>
      <c r="W2079" s="1">
        <v>590.4</v>
      </c>
      <c r="X2079" s="1" t="s">
        <v>35</v>
      </c>
      <c r="Y2079" s="1">
        <v>590400.0</v>
      </c>
      <c r="Z2079" s="1"/>
      <c r="AA2079" s="1">
        <v>590400.0</v>
      </c>
      <c r="AB2079" s="1"/>
      <c r="AC2079" s="1" t="s">
        <v>36</v>
      </c>
      <c r="AD2079" s="1" t="s">
        <v>7607</v>
      </c>
      <c r="AE2079" s="1" t="s">
        <v>32</v>
      </c>
      <c r="AF2079" s="1" t="s">
        <v>33</v>
      </c>
      <c r="AG2079" s="1" t="s">
        <v>137</v>
      </c>
    </row>
    <row r="2080" spans="1:33">
      <c r="A2080" t="s">
        <v>7608</v>
      </c>
      <c r="C2080" t="s">
        <v>7609</v>
      </c>
      <c r="E2080" t="s">
        <v>7413</v>
      </c>
      <c r="F2080" t="s">
        <v>7318</v>
      </c>
      <c r="G2080">
        <v>524.8</v>
      </c>
      <c r="H2080">
        <v>524.8</v>
      </c>
      <c r="I2080" t="s">
        <v>136</v>
      </c>
      <c r="J2080" t="s">
        <v>137</v>
      </c>
      <c r="K2080" t="s">
        <v>31</v>
      </c>
      <c r="L2080" t="s">
        <v>32</v>
      </c>
      <c r="M2080" t="s">
        <v>33</v>
      </c>
      <c r="P2080" s="1" t="s">
        <v>7610</v>
      </c>
      <c r="Q2080" s="1" t="s">
        <v>7413</v>
      </c>
      <c r="R2080" s="1" t="s">
        <v>7413</v>
      </c>
      <c r="S2080" s="1"/>
      <c r="T2080" s="1" t="s">
        <v>7609</v>
      </c>
      <c r="U2080" s="1"/>
      <c r="V2080" s="1">
        <v>524.8</v>
      </c>
      <c r="W2080" s="1">
        <v>524.8</v>
      </c>
      <c r="X2080" s="1" t="s">
        <v>35</v>
      </c>
      <c r="Y2080" s="1">
        <v>524800.0</v>
      </c>
      <c r="Z2080" s="1"/>
      <c r="AA2080" s="1">
        <v>524800.0</v>
      </c>
      <c r="AB2080" s="1"/>
      <c r="AC2080" s="1" t="s">
        <v>36</v>
      </c>
      <c r="AD2080" s="1" t="s">
        <v>7611</v>
      </c>
      <c r="AE2080" s="1" t="s">
        <v>32</v>
      </c>
      <c r="AF2080" s="1" t="s">
        <v>33</v>
      </c>
      <c r="AG2080" s="1" t="s">
        <v>137</v>
      </c>
    </row>
    <row r="2081" spans="1:33">
      <c r="A2081" t="s">
        <v>7612</v>
      </c>
      <c r="C2081" t="s">
        <v>5847</v>
      </c>
      <c r="D2081" t="s">
        <v>154</v>
      </c>
      <c r="E2081" t="s">
        <v>7413</v>
      </c>
      <c r="F2081" t="s">
        <v>7318</v>
      </c>
      <c r="G2081">
        <v>1.185</v>
      </c>
      <c r="H2081">
        <v>1.185</v>
      </c>
      <c r="I2081" t="s">
        <v>173</v>
      </c>
      <c r="J2081" t="s">
        <v>174</v>
      </c>
      <c r="K2081" t="s">
        <v>31</v>
      </c>
      <c r="L2081" t="s">
        <v>32</v>
      </c>
      <c r="M2081" t="s">
        <v>33</v>
      </c>
      <c r="P2081" s="1" t="s">
        <v>7613</v>
      </c>
      <c r="Q2081" s="1" t="s">
        <v>7413</v>
      </c>
      <c r="R2081" s="1" t="s">
        <v>7413</v>
      </c>
      <c r="S2081" s="1"/>
      <c r="T2081" s="1" t="s">
        <v>5847</v>
      </c>
      <c r="U2081" s="1"/>
      <c r="V2081" s="1">
        <v>1.185</v>
      </c>
      <c r="W2081" s="1">
        <v>1.185</v>
      </c>
      <c r="X2081" s="1" t="s">
        <v>35</v>
      </c>
      <c r="Y2081" s="1">
        <v>1185000.0</v>
      </c>
      <c r="Z2081" s="1"/>
      <c r="AA2081" s="1">
        <v>1185000.0</v>
      </c>
      <c r="AB2081" s="1"/>
      <c r="AC2081" s="1" t="s">
        <v>36</v>
      </c>
      <c r="AD2081" s="1" t="s">
        <v>7614</v>
      </c>
      <c r="AE2081" s="1" t="s">
        <v>32</v>
      </c>
      <c r="AF2081" s="1" t="s">
        <v>33</v>
      </c>
      <c r="AG2081" s="1" t="s">
        <v>174</v>
      </c>
    </row>
    <row r="2082" spans="1:33">
      <c r="A2082" t="s">
        <v>7615</v>
      </c>
      <c r="C2082" t="s">
        <v>725</v>
      </c>
      <c r="E2082" t="s">
        <v>7413</v>
      </c>
      <c r="F2082" t="s">
        <v>7318</v>
      </c>
      <c r="G2082">
        <v>6.722</v>
      </c>
      <c r="H2082">
        <v>6.722</v>
      </c>
      <c r="I2082" t="s">
        <v>136</v>
      </c>
      <c r="J2082" t="s">
        <v>137</v>
      </c>
      <c r="K2082" t="s">
        <v>31</v>
      </c>
      <c r="L2082" t="s">
        <v>32</v>
      </c>
      <c r="M2082" t="s">
        <v>33</v>
      </c>
      <c r="P2082" s="1" t="s">
        <v>7616</v>
      </c>
      <c r="Q2082" s="1" t="s">
        <v>7413</v>
      </c>
      <c r="R2082" s="1" t="s">
        <v>7413</v>
      </c>
      <c r="S2082" s="1"/>
      <c r="T2082" s="1" t="s">
        <v>725</v>
      </c>
      <c r="U2082" s="1"/>
      <c r="V2082" s="1">
        <v>6.722</v>
      </c>
      <c r="W2082" s="1">
        <v>6.722</v>
      </c>
      <c r="X2082" s="1" t="s">
        <v>35</v>
      </c>
      <c r="Y2082" s="1">
        <v>6722750.0</v>
      </c>
      <c r="Z2082" s="1"/>
      <c r="AA2082" s="1">
        <v>6722750.0</v>
      </c>
      <c r="AB2082" s="1"/>
      <c r="AC2082" s="1" t="s">
        <v>36</v>
      </c>
      <c r="AD2082" s="1" t="s">
        <v>7449</v>
      </c>
      <c r="AE2082" s="1" t="s">
        <v>32</v>
      </c>
      <c r="AF2082" s="1" t="s">
        <v>33</v>
      </c>
      <c r="AG2082" s="1" t="s">
        <v>137</v>
      </c>
    </row>
    <row r="2083" spans="1:33">
      <c r="A2083" t="s">
        <v>7617</v>
      </c>
      <c r="C2083" t="s">
        <v>827</v>
      </c>
      <c r="D2083" t="s">
        <v>154</v>
      </c>
      <c r="E2083" t="s">
        <v>7413</v>
      </c>
      <c r="F2083" t="s">
        <v>7318</v>
      </c>
      <c r="G2083">
        <v>630.85</v>
      </c>
      <c r="H2083">
        <v>630.85</v>
      </c>
      <c r="I2083" t="s">
        <v>269</v>
      </c>
      <c r="J2083" t="s">
        <v>270</v>
      </c>
      <c r="K2083" t="s">
        <v>31</v>
      </c>
      <c r="L2083" t="s">
        <v>32</v>
      </c>
      <c r="M2083" t="s">
        <v>33</v>
      </c>
      <c r="P2083" s="1" t="s">
        <v>7618</v>
      </c>
      <c r="Q2083" s="1" t="s">
        <v>7413</v>
      </c>
      <c r="R2083" s="1" t="s">
        <v>7413</v>
      </c>
      <c r="S2083" s="1"/>
      <c r="T2083" s="1" t="s">
        <v>827</v>
      </c>
      <c r="U2083" s="1"/>
      <c r="V2083" s="1">
        <v>630.85</v>
      </c>
      <c r="W2083" s="1">
        <v>630.85</v>
      </c>
      <c r="X2083" s="1" t="s">
        <v>35</v>
      </c>
      <c r="Y2083" s="1">
        <v>630850.0</v>
      </c>
      <c r="Z2083" s="1"/>
      <c r="AA2083" s="1">
        <v>630850.0</v>
      </c>
      <c r="AB2083" s="1"/>
      <c r="AC2083" s="1" t="s">
        <v>36</v>
      </c>
      <c r="AD2083" s="1" t="s">
        <v>7619</v>
      </c>
      <c r="AE2083" s="1" t="s">
        <v>32</v>
      </c>
      <c r="AF2083" s="1" t="s">
        <v>33</v>
      </c>
      <c r="AG2083" s="1" t="s">
        <v>270</v>
      </c>
    </row>
    <row r="2084" spans="1:33">
      <c r="A2084" t="s">
        <v>7620</v>
      </c>
      <c r="B2084" t="s">
        <v>7621</v>
      </c>
      <c r="C2084" t="s">
        <v>73</v>
      </c>
      <c r="E2084" t="s">
        <v>7413</v>
      </c>
      <c r="F2084" t="s">
        <v>7318</v>
      </c>
      <c r="G2084">
        <v>235.0</v>
      </c>
      <c r="H2084">
        <v>235.0</v>
      </c>
      <c r="I2084" t="s">
        <v>40</v>
      </c>
      <c r="J2084" t="s">
        <v>41</v>
      </c>
      <c r="K2084" t="s">
        <v>31</v>
      </c>
      <c r="L2084" t="s">
        <v>32</v>
      </c>
      <c r="M2084" t="s">
        <v>33</v>
      </c>
      <c r="P2084" s="1" t="s">
        <v>7622</v>
      </c>
      <c r="Q2084" s="1" t="s">
        <v>7413</v>
      </c>
      <c r="R2084" s="1" t="s">
        <v>6700</v>
      </c>
      <c r="S2084" s="1"/>
      <c r="T2084" s="1" t="s">
        <v>75</v>
      </c>
      <c r="U2084" s="1" t="s">
        <v>76</v>
      </c>
      <c r="V2084" s="1">
        <v>235.0</v>
      </c>
      <c r="W2084" s="1">
        <v>235.0</v>
      </c>
      <c r="X2084" s="1" t="s">
        <v>35</v>
      </c>
      <c r="Y2084" s="1">
        <v>235000.0</v>
      </c>
      <c r="Z2084" s="1"/>
      <c r="AA2084" s="1">
        <v>235000.0</v>
      </c>
      <c r="AB2084" s="1"/>
      <c r="AC2084" s="1" t="s">
        <v>36</v>
      </c>
      <c r="AD2084" s="1" t="s">
        <v>7623</v>
      </c>
      <c r="AE2084" s="1" t="s">
        <v>32</v>
      </c>
      <c r="AF2084" s="1" t="s">
        <v>33</v>
      </c>
      <c r="AG2084" s="1" t="s">
        <v>41</v>
      </c>
    </row>
    <row r="2085" spans="1:33">
      <c r="A2085" t="s">
        <v>7624</v>
      </c>
      <c r="C2085" t="s">
        <v>866</v>
      </c>
      <c r="D2085" t="s">
        <v>154</v>
      </c>
      <c r="E2085" t="s">
        <v>7413</v>
      </c>
      <c r="F2085" t="s">
        <v>7318</v>
      </c>
      <c r="G2085">
        <v>398.5</v>
      </c>
      <c r="H2085">
        <v>398.5</v>
      </c>
      <c r="I2085" t="s">
        <v>48</v>
      </c>
      <c r="J2085" t="s">
        <v>49</v>
      </c>
      <c r="K2085" t="s">
        <v>31</v>
      </c>
      <c r="L2085" t="s">
        <v>32</v>
      </c>
      <c r="M2085" t="s">
        <v>33</v>
      </c>
      <c r="P2085" s="1" t="s">
        <v>7625</v>
      </c>
      <c r="Q2085" s="1" t="s">
        <v>7413</v>
      </c>
      <c r="R2085" s="1" t="s">
        <v>7413</v>
      </c>
      <c r="S2085" s="1"/>
      <c r="T2085" s="1" t="s">
        <v>868</v>
      </c>
      <c r="U2085" s="1" t="s">
        <v>869</v>
      </c>
      <c r="V2085" s="1">
        <v>398.5</v>
      </c>
      <c r="W2085" s="1">
        <v>398.5</v>
      </c>
      <c r="X2085" s="1" t="s">
        <v>35</v>
      </c>
      <c r="Y2085" s="1">
        <v>398500.0</v>
      </c>
      <c r="Z2085" s="1"/>
      <c r="AA2085" s="1">
        <v>398500.0</v>
      </c>
      <c r="AB2085" s="1"/>
      <c r="AC2085" s="1" t="s">
        <v>36</v>
      </c>
      <c r="AD2085" s="1" t="s">
        <v>7626</v>
      </c>
      <c r="AE2085" s="1" t="s">
        <v>32</v>
      </c>
      <c r="AF2085" s="1" t="s">
        <v>33</v>
      </c>
      <c r="AG2085" s="1" t="s">
        <v>49</v>
      </c>
    </row>
    <row r="2086" spans="1:33">
      <c r="A2086" t="s">
        <v>7627</v>
      </c>
      <c r="C2086" t="s">
        <v>135</v>
      </c>
      <c r="E2086" t="s">
        <v>7413</v>
      </c>
      <c r="F2086" t="s">
        <v>7318</v>
      </c>
      <c r="G2086">
        <v>16.9</v>
      </c>
      <c r="H2086">
        <v>16.9</v>
      </c>
      <c r="I2086" t="s">
        <v>136</v>
      </c>
      <c r="J2086" t="s">
        <v>137</v>
      </c>
      <c r="K2086" t="s">
        <v>31</v>
      </c>
      <c r="L2086" t="s">
        <v>32</v>
      </c>
      <c r="M2086" t="s">
        <v>33</v>
      </c>
      <c r="P2086" s="1" t="s">
        <v>7628</v>
      </c>
      <c r="Q2086" s="1" t="s">
        <v>7413</v>
      </c>
      <c r="R2086" s="1" t="s">
        <v>7413</v>
      </c>
      <c r="S2086" s="1"/>
      <c r="T2086" s="1" t="s">
        <v>135</v>
      </c>
      <c r="U2086" s="1"/>
      <c r="V2086" s="1">
        <v>16.9</v>
      </c>
      <c r="W2086" s="1">
        <v>16.9</v>
      </c>
      <c r="X2086" s="1" t="s">
        <v>35</v>
      </c>
      <c r="Y2086" s="1">
        <v>16900.0</v>
      </c>
      <c r="Z2086" s="1"/>
      <c r="AA2086" s="1">
        <v>16900.0</v>
      </c>
      <c r="AB2086" s="1"/>
      <c r="AC2086" s="1" t="s">
        <v>36</v>
      </c>
      <c r="AD2086" s="1" t="s">
        <v>7626</v>
      </c>
      <c r="AE2086" s="1" t="s">
        <v>32</v>
      </c>
      <c r="AF2086" s="1" t="s">
        <v>33</v>
      </c>
      <c r="AG2086" s="1" t="s">
        <v>137</v>
      </c>
    </row>
    <row r="2087" spans="1:33">
      <c r="A2087" t="s">
        <v>7629</v>
      </c>
      <c r="B2087" t="s">
        <v>7630</v>
      </c>
      <c r="C2087" t="s">
        <v>314</v>
      </c>
      <c r="E2087" t="s">
        <v>7413</v>
      </c>
      <c r="F2087" t="s">
        <v>7318</v>
      </c>
      <c r="G2087">
        <v>6.9</v>
      </c>
      <c r="H2087">
        <v>6.9</v>
      </c>
      <c r="I2087" t="s">
        <v>179</v>
      </c>
      <c r="J2087" t="s">
        <v>180</v>
      </c>
      <c r="K2087" t="s">
        <v>31</v>
      </c>
      <c r="L2087" t="s">
        <v>32</v>
      </c>
      <c r="M2087" t="s">
        <v>33</v>
      </c>
      <c r="P2087" s="1" t="s">
        <v>7631</v>
      </c>
      <c r="Q2087" s="1" t="s">
        <v>7413</v>
      </c>
      <c r="R2087" s="1" t="s">
        <v>7413</v>
      </c>
      <c r="S2087" s="1"/>
      <c r="T2087" s="1" t="s">
        <v>314</v>
      </c>
      <c r="U2087" s="1"/>
      <c r="V2087" s="1">
        <v>6.9</v>
      </c>
      <c r="W2087" s="1">
        <v>6.9</v>
      </c>
      <c r="X2087" s="1" t="s">
        <v>35</v>
      </c>
      <c r="Y2087" s="1">
        <v>6900.0</v>
      </c>
      <c r="Z2087" s="1"/>
      <c r="AA2087" s="1">
        <v>6900.0</v>
      </c>
      <c r="AB2087" s="1"/>
      <c r="AC2087" s="1" t="s">
        <v>36</v>
      </c>
      <c r="AD2087" s="1" t="s">
        <v>7632</v>
      </c>
      <c r="AE2087" s="1" t="s">
        <v>32</v>
      </c>
      <c r="AF2087" s="1" t="s">
        <v>33</v>
      </c>
      <c r="AG2087" s="1" t="s">
        <v>180</v>
      </c>
    </row>
    <row r="2088" spans="1:33">
      <c r="A2088" t="s">
        <v>7633</v>
      </c>
      <c r="C2088" t="s">
        <v>955</v>
      </c>
      <c r="D2088" t="s">
        <v>114</v>
      </c>
      <c r="E2088" t="s">
        <v>7413</v>
      </c>
      <c r="F2088" t="s">
        <v>7318</v>
      </c>
      <c r="G2088">
        <v>692.0</v>
      </c>
      <c r="H2088">
        <v>692.0</v>
      </c>
      <c r="I2088" t="s">
        <v>40</v>
      </c>
      <c r="J2088" t="s">
        <v>41</v>
      </c>
      <c r="K2088" t="s">
        <v>31</v>
      </c>
      <c r="L2088" t="s">
        <v>32</v>
      </c>
      <c r="M2088" t="s">
        <v>33</v>
      </c>
      <c r="P2088" s="1" t="s">
        <v>7634</v>
      </c>
      <c r="Q2088" s="1" t="s">
        <v>7413</v>
      </c>
      <c r="R2088" s="1" t="s">
        <v>6700</v>
      </c>
      <c r="S2088" s="1"/>
      <c r="T2088" s="1" t="s">
        <v>955</v>
      </c>
      <c r="U2088" s="1"/>
      <c r="V2088" s="1">
        <v>692.0</v>
      </c>
      <c r="W2088" s="1">
        <v>692.0</v>
      </c>
      <c r="X2088" s="1" t="s">
        <v>35</v>
      </c>
      <c r="Y2088" s="1">
        <v>692000.0</v>
      </c>
      <c r="Z2088" s="1"/>
      <c r="AA2088" s="1">
        <v>692000.0</v>
      </c>
      <c r="AB2088" s="1"/>
      <c r="AC2088" s="1" t="s">
        <v>36</v>
      </c>
      <c r="AD2088" s="1" t="s">
        <v>7635</v>
      </c>
      <c r="AE2088" s="1" t="s">
        <v>32</v>
      </c>
      <c r="AF2088" s="1" t="s">
        <v>33</v>
      </c>
      <c r="AG2088" s="1" t="s">
        <v>41</v>
      </c>
    </row>
    <row r="2089" spans="1:33">
      <c r="A2089" t="s">
        <v>7636</v>
      </c>
      <c r="C2089" t="s">
        <v>106</v>
      </c>
      <c r="E2089" t="s">
        <v>7413</v>
      </c>
      <c r="F2089" t="s">
        <v>7318</v>
      </c>
      <c r="G2089">
        <v>640.0</v>
      </c>
      <c r="H2089">
        <v>640.0</v>
      </c>
      <c r="I2089" t="s">
        <v>94</v>
      </c>
      <c r="J2089" t="s">
        <v>95</v>
      </c>
      <c r="K2089" t="s">
        <v>31</v>
      </c>
      <c r="L2089" t="s">
        <v>32</v>
      </c>
      <c r="M2089" t="s">
        <v>33</v>
      </c>
      <c r="P2089" s="1" t="s">
        <v>7637</v>
      </c>
      <c r="Q2089" s="1" t="s">
        <v>7413</v>
      </c>
      <c r="R2089" s="1" t="s">
        <v>7413</v>
      </c>
      <c r="S2089" s="1"/>
      <c r="T2089" s="1" t="s">
        <v>106</v>
      </c>
      <c r="U2089" s="1"/>
      <c r="V2089" s="1">
        <v>640.0</v>
      </c>
      <c r="W2089" s="1">
        <v>640.0</v>
      </c>
      <c r="X2089" s="1" t="s">
        <v>35</v>
      </c>
      <c r="Y2089" s="1">
        <v>640000.0</v>
      </c>
      <c r="Z2089" s="1"/>
      <c r="AA2089" s="1">
        <v>640000.0</v>
      </c>
      <c r="AB2089" s="1"/>
      <c r="AC2089" s="1" t="s">
        <v>36</v>
      </c>
      <c r="AD2089" s="1" t="s">
        <v>7638</v>
      </c>
      <c r="AE2089" s="1" t="s">
        <v>32</v>
      </c>
      <c r="AF2089" s="1" t="s">
        <v>33</v>
      </c>
      <c r="AG2089" s="1" t="s">
        <v>95</v>
      </c>
    </row>
    <row r="2090" spans="1:33">
      <c r="A2090" t="s">
        <v>7639</v>
      </c>
      <c r="B2090" t="s">
        <v>7630</v>
      </c>
      <c r="C2090" t="s">
        <v>314</v>
      </c>
      <c r="E2090" t="s">
        <v>7413</v>
      </c>
      <c r="F2090" t="s">
        <v>7318</v>
      </c>
      <c r="G2090">
        <v>24.56</v>
      </c>
      <c r="H2090">
        <v>24.56</v>
      </c>
      <c r="I2090" t="s">
        <v>179</v>
      </c>
      <c r="J2090" t="s">
        <v>180</v>
      </c>
      <c r="K2090" t="s">
        <v>31</v>
      </c>
      <c r="L2090" t="s">
        <v>32</v>
      </c>
      <c r="M2090" t="s">
        <v>33</v>
      </c>
      <c r="P2090" s="1" t="s">
        <v>7640</v>
      </c>
      <c r="Q2090" s="1" t="s">
        <v>7413</v>
      </c>
      <c r="R2090" s="1" t="s">
        <v>7413</v>
      </c>
      <c r="S2090" s="1"/>
      <c r="T2090" s="1" t="s">
        <v>314</v>
      </c>
      <c r="U2090" s="1"/>
      <c r="V2090" s="1">
        <v>24.56</v>
      </c>
      <c r="W2090" s="1">
        <v>24.56</v>
      </c>
      <c r="X2090" s="1" t="s">
        <v>35</v>
      </c>
      <c r="Y2090" s="1">
        <v>24560.0</v>
      </c>
      <c r="Z2090" s="1"/>
      <c r="AA2090" s="1">
        <v>24560.0</v>
      </c>
      <c r="AB2090" s="1"/>
      <c r="AC2090" s="1" t="s">
        <v>36</v>
      </c>
      <c r="AD2090" s="1" t="s">
        <v>7641</v>
      </c>
      <c r="AE2090" s="1" t="s">
        <v>32</v>
      </c>
      <c r="AF2090" s="1" t="s">
        <v>33</v>
      </c>
      <c r="AG2090" s="1" t="s">
        <v>180</v>
      </c>
    </row>
    <row r="2091" spans="1:33">
      <c r="A2091" t="s">
        <v>7642</v>
      </c>
      <c r="C2091" t="s">
        <v>2371</v>
      </c>
      <c r="E2091" t="s">
        <v>7413</v>
      </c>
      <c r="F2091" t="s">
        <v>7318</v>
      </c>
      <c r="G2091">
        <v>3.23</v>
      </c>
      <c r="H2091">
        <v>3.23</v>
      </c>
      <c r="I2091" t="s">
        <v>570</v>
      </c>
      <c r="J2091" t="s">
        <v>571</v>
      </c>
      <c r="K2091" t="s">
        <v>31</v>
      </c>
      <c r="L2091" t="s">
        <v>32</v>
      </c>
      <c r="M2091" t="s">
        <v>33</v>
      </c>
      <c r="P2091" s="1" t="s">
        <v>7643</v>
      </c>
      <c r="Q2091" s="1" t="s">
        <v>7413</v>
      </c>
      <c r="R2091" s="1" t="s">
        <v>7413</v>
      </c>
      <c r="S2091" s="1"/>
      <c r="T2091" s="1" t="s">
        <v>2371</v>
      </c>
      <c r="U2091" s="1"/>
      <c r="V2091" s="1">
        <v>3.23</v>
      </c>
      <c r="W2091" s="1">
        <v>3.23</v>
      </c>
      <c r="X2091" s="1" t="s">
        <v>35</v>
      </c>
      <c r="Y2091" s="1">
        <v>3230000.0</v>
      </c>
      <c r="Z2091" s="1"/>
      <c r="AA2091" s="1">
        <v>3230000.0</v>
      </c>
      <c r="AB2091" s="1"/>
      <c r="AC2091" s="1" t="s">
        <v>36</v>
      </c>
      <c r="AD2091" s="1" t="s">
        <v>7584</v>
      </c>
      <c r="AE2091" s="1" t="s">
        <v>32</v>
      </c>
      <c r="AF2091" s="1" t="s">
        <v>33</v>
      </c>
      <c r="AG2091" s="1" t="s">
        <v>571</v>
      </c>
    </row>
    <row r="2092" spans="1:33">
      <c r="A2092" t="s">
        <v>7644</v>
      </c>
      <c r="B2092" t="s">
        <v>7645</v>
      </c>
      <c r="C2092" t="s">
        <v>314</v>
      </c>
      <c r="E2092" t="s">
        <v>7413</v>
      </c>
      <c r="F2092" t="s">
        <v>7318</v>
      </c>
      <c r="G2092">
        <v>18.59</v>
      </c>
      <c r="H2092">
        <v>18.59</v>
      </c>
      <c r="I2092" t="s">
        <v>179</v>
      </c>
      <c r="J2092" t="s">
        <v>180</v>
      </c>
      <c r="K2092" t="s">
        <v>31</v>
      </c>
      <c r="L2092" t="s">
        <v>32</v>
      </c>
      <c r="M2092" t="s">
        <v>33</v>
      </c>
      <c r="P2092" s="1" t="s">
        <v>7646</v>
      </c>
      <c r="Q2092" s="1" t="s">
        <v>7413</v>
      </c>
      <c r="R2092" s="1" t="s">
        <v>7413</v>
      </c>
      <c r="S2092" s="1"/>
      <c r="T2092" s="1" t="s">
        <v>314</v>
      </c>
      <c r="U2092" s="1"/>
      <c r="V2092" s="1">
        <v>18.59</v>
      </c>
      <c r="W2092" s="1">
        <v>18.59</v>
      </c>
      <c r="X2092" s="1" t="s">
        <v>35</v>
      </c>
      <c r="Y2092" s="1">
        <v>18590.0</v>
      </c>
      <c r="Z2092" s="1"/>
      <c r="AA2092" s="1">
        <v>18590.0</v>
      </c>
      <c r="AB2092" s="1"/>
      <c r="AC2092" s="1" t="s">
        <v>36</v>
      </c>
      <c r="AD2092" s="1" t="s">
        <v>7647</v>
      </c>
      <c r="AE2092" s="1" t="s">
        <v>32</v>
      </c>
      <c r="AF2092" s="1" t="s">
        <v>33</v>
      </c>
      <c r="AG2092" s="1" t="s">
        <v>180</v>
      </c>
    </row>
    <row r="2093" spans="1:33">
      <c r="A2093" t="s">
        <v>7648</v>
      </c>
      <c r="C2093" t="s">
        <v>2887</v>
      </c>
      <c r="D2093" t="s">
        <v>154</v>
      </c>
      <c r="E2093" t="s">
        <v>7413</v>
      </c>
      <c r="F2093" t="s">
        <v>7318</v>
      </c>
      <c r="G2093">
        <v>1.418</v>
      </c>
      <c r="H2093">
        <v>1.418</v>
      </c>
      <c r="I2093" t="s">
        <v>570</v>
      </c>
      <c r="J2093" t="s">
        <v>571</v>
      </c>
      <c r="K2093" t="s">
        <v>31</v>
      </c>
      <c r="L2093" t="s">
        <v>32</v>
      </c>
      <c r="M2093" t="s">
        <v>33</v>
      </c>
      <c r="P2093" s="1" t="s">
        <v>7649</v>
      </c>
      <c r="Q2093" s="1" t="s">
        <v>7413</v>
      </c>
      <c r="R2093" s="1" t="s">
        <v>7413</v>
      </c>
      <c r="S2093" s="1"/>
      <c r="T2093" s="1" t="s">
        <v>2889</v>
      </c>
      <c r="U2093" s="1" t="s">
        <v>2890</v>
      </c>
      <c r="V2093" s="1">
        <v>1.418</v>
      </c>
      <c r="W2093" s="1">
        <v>1.418</v>
      </c>
      <c r="X2093" s="1" t="s">
        <v>35</v>
      </c>
      <c r="Y2093" s="1">
        <v>1418500.0</v>
      </c>
      <c r="Z2093" s="1"/>
      <c r="AA2093" s="1">
        <v>1418500.0</v>
      </c>
      <c r="AB2093" s="1"/>
      <c r="AC2093" s="1" t="s">
        <v>36</v>
      </c>
      <c r="AD2093" s="1" t="s">
        <v>7650</v>
      </c>
      <c r="AE2093" s="1" t="s">
        <v>32</v>
      </c>
      <c r="AF2093" s="1" t="s">
        <v>33</v>
      </c>
      <c r="AG2093" s="1" t="s">
        <v>571</v>
      </c>
    </row>
    <row r="2094" spans="1:33">
      <c r="A2094" t="s">
        <v>7651</v>
      </c>
      <c r="C2094" t="s">
        <v>131</v>
      </c>
      <c r="E2094" t="s">
        <v>7413</v>
      </c>
      <c r="F2094" t="s">
        <v>7318</v>
      </c>
      <c r="G2094">
        <v>104.95</v>
      </c>
      <c r="H2094">
        <v>104.95</v>
      </c>
      <c r="I2094" t="s">
        <v>94</v>
      </c>
      <c r="J2094" t="s">
        <v>95</v>
      </c>
      <c r="K2094" t="s">
        <v>31</v>
      </c>
      <c r="L2094" t="s">
        <v>32</v>
      </c>
      <c r="M2094" t="s">
        <v>33</v>
      </c>
      <c r="P2094" s="1" t="s">
        <v>7652</v>
      </c>
      <c r="Q2094" s="1" t="s">
        <v>7413</v>
      </c>
      <c r="R2094" s="1" t="s">
        <v>7413</v>
      </c>
      <c r="S2094" s="1"/>
      <c r="T2094" s="1" t="s">
        <v>131</v>
      </c>
      <c r="U2094" s="1"/>
      <c r="V2094" s="1">
        <v>104.95</v>
      </c>
      <c r="W2094" s="1">
        <v>104.95</v>
      </c>
      <c r="X2094" s="1" t="s">
        <v>35</v>
      </c>
      <c r="Y2094" s="1">
        <v>104950.0</v>
      </c>
      <c r="Z2094" s="1"/>
      <c r="AA2094" s="1">
        <v>104950.0</v>
      </c>
      <c r="AB2094" s="1"/>
      <c r="AC2094" s="1" t="s">
        <v>36</v>
      </c>
      <c r="AD2094" s="1" t="s">
        <v>7653</v>
      </c>
      <c r="AE2094" s="1" t="s">
        <v>32</v>
      </c>
      <c r="AF2094" s="1" t="s">
        <v>33</v>
      </c>
      <c r="AG2094" s="1" t="s">
        <v>95</v>
      </c>
    </row>
    <row r="2095" spans="1:33">
      <c r="A2095" t="s">
        <v>7654</v>
      </c>
      <c r="C2095" t="s">
        <v>2266</v>
      </c>
      <c r="E2095" t="s">
        <v>7413</v>
      </c>
      <c r="F2095" t="s">
        <v>7318</v>
      </c>
      <c r="G2095">
        <v>873.5</v>
      </c>
      <c r="H2095">
        <v>873.5</v>
      </c>
      <c r="I2095" t="s">
        <v>269</v>
      </c>
      <c r="J2095" t="s">
        <v>270</v>
      </c>
      <c r="K2095" t="s">
        <v>31</v>
      </c>
      <c r="L2095" t="s">
        <v>32</v>
      </c>
      <c r="M2095" t="s">
        <v>33</v>
      </c>
      <c r="P2095" s="1" t="s">
        <v>7655</v>
      </c>
      <c r="Q2095" s="1" t="s">
        <v>7413</v>
      </c>
      <c r="R2095" s="1" t="s">
        <v>7413</v>
      </c>
      <c r="S2095" s="1"/>
      <c r="T2095" s="1" t="s">
        <v>2266</v>
      </c>
      <c r="U2095" s="1"/>
      <c r="V2095" s="1">
        <v>873.5</v>
      </c>
      <c r="W2095" s="1">
        <v>873.5</v>
      </c>
      <c r="X2095" s="1" t="s">
        <v>35</v>
      </c>
      <c r="Y2095" s="1">
        <v>873500.0</v>
      </c>
      <c r="Z2095" s="1"/>
      <c r="AA2095" s="1">
        <v>873500.0</v>
      </c>
      <c r="AB2095" s="1"/>
      <c r="AC2095" s="1" t="s">
        <v>36</v>
      </c>
      <c r="AD2095" s="1" t="s">
        <v>7656</v>
      </c>
      <c r="AE2095" s="1" t="s">
        <v>32</v>
      </c>
      <c r="AF2095" s="1" t="s">
        <v>33</v>
      </c>
      <c r="AG2095" s="1" t="s">
        <v>270</v>
      </c>
    </row>
    <row r="2096" spans="1:33">
      <c r="A2096" t="s">
        <v>7657</v>
      </c>
      <c r="C2096" t="s">
        <v>818</v>
      </c>
      <c r="E2096" t="s">
        <v>7413</v>
      </c>
      <c r="F2096" t="s">
        <v>7318</v>
      </c>
      <c r="G2096">
        <v>984.0</v>
      </c>
      <c r="H2096">
        <v>984.0</v>
      </c>
      <c r="I2096" t="s">
        <v>173</v>
      </c>
      <c r="J2096" t="s">
        <v>174</v>
      </c>
      <c r="K2096" t="s">
        <v>31</v>
      </c>
      <c r="L2096" t="s">
        <v>32</v>
      </c>
      <c r="M2096" t="s">
        <v>33</v>
      </c>
      <c r="P2096" s="1" t="s">
        <v>7658</v>
      </c>
      <c r="Q2096" s="1" t="s">
        <v>7413</v>
      </c>
      <c r="R2096" s="1" t="s">
        <v>7413</v>
      </c>
      <c r="S2096" s="1"/>
      <c r="T2096" s="1" t="s">
        <v>818</v>
      </c>
      <c r="U2096" s="1"/>
      <c r="V2096" s="1">
        <v>984.0</v>
      </c>
      <c r="W2096" s="1">
        <v>984.0</v>
      </c>
      <c r="X2096" s="1" t="s">
        <v>35</v>
      </c>
      <c r="Y2096" s="1">
        <v>984000.0</v>
      </c>
      <c r="Z2096" s="1"/>
      <c r="AA2096" s="1">
        <v>984000.0</v>
      </c>
      <c r="AB2096" s="1"/>
      <c r="AC2096" s="1" t="s">
        <v>36</v>
      </c>
      <c r="AD2096" s="1" t="s">
        <v>7659</v>
      </c>
      <c r="AE2096" s="1" t="s">
        <v>32</v>
      </c>
      <c r="AF2096" s="1" t="s">
        <v>33</v>
      </c>
      <c r="AG2096" s="1" t="s">
        <v>174</v>
      </c>
    </row>
    <row r="2097" spans="1:33">
      <c r="A2097" t="s">
        <v>7660</v>
      </c>
      <c r="C2097" t="s">
        <v>1912</v>
      </c>
      <c r="E2097" t="s">
        <v>7413</v>
      </c>
      <c r="F2097" t="s">
        <v>7318</v>
      </c>
      <c r="G2097">
        <v>320.0</v>
      </c>
      <c r="H2097">
        <v>320.0</v>
      </c>
      <c r="I2097" t="s">
        <v>173</v>
      </c>
      <c r="J2097" t="s">
        <v>174</v>
      </c>
      <c r="K2097" t="s">
        <v>31</v>
      </c>
      <c r="L2097" t="s">
        <v>32</v>
      </c>
      <c r="M2097" t="s">
        <v>33</v>
      </c>
      <c r="P2097" s="1" t="s">
        <v>7661</v>
      </c>
      <c r="Q2097" s="1" t="s">
        <v>7413</v>
      </c>
      <c r="R2097" s="1" t="s">
        <v>7413</v>
      </c>
      <c r="S2097" s="1"/>
      <c r="T2097" s="1" t="s">
        <v>1912</v>
      </c>
      <c r="U2097" s="1"/>
      <c r="V2097" s="1">
        <v>320.0</v>
      </c>
      <c r="W2097" s="1">
        <v>320.0</v>
      </c>
      <c r="X2097" s="1" t="s">
        <v>35</v>
      </c>
      <c r="Y2097" s="1">
        <v>320000.0</v>
      </c>
      <c r="Z2097" s="1"/>
      <c r="AA2097" s="1">
        <v>320000.0</v>
      </c>
      <c r="AB2097" s="1"/>
      <c r="AC2097" s="1" t="s">
        <v>36</v>
      </c>
      <c r="AD2097" s="1" t="s">
        <v>7662</v>
      </c>
      <c r="AE2097" s="1" t="s">
        <v>32</v>
      </c>
      <c r="AF2097" s="1" t="s">
        <v>33</v>
      </c>
      <c r="AG2097" s="1" t="s">
        <v>174</v>
      </c>
    </row>
    <row r="2098" spans="1:33">
      <c r="A2098" t="s">
        <v>7663</v>
      </c>
      <c r="B2098" t="s">
        <v>7664</v>
      </c>
      <c r="C2098" t="s">
        <v>47</v>
      </c>
      <c r="E2098" t="s">
        <v>7413</v>
      </c>
      <c r="F2098" t="s">
        <v>7318</v>
      </c>
      <c r="G2098">
        <v>17.853</v>
      </c>
      <c r="H2098">
        <v>17.853</v>
      </c>
      <c r="I2098" t="s">
        <v>48</v>
      </c>
      <c r="J2098" t="s">
        <v>49</v>
      </c>
      <c r="K2098" t="s">
        <v>31</v>
      </c>
      <c r="L2098" t="s">
        <v>32</v>
      </c>
      <c r="M2098" t="s">
        <v>33</v>
      </c>
      <c r="P2098" s="1" t="s">
        <v>7665</v>
      </c>
      <c r="Q2098" s="1" t="s">
        <v>7413</v>
      </c>
      <c r="R2098" s="1" t="s">
        <v>7413</v>
      </c>
      <c r="S2098" s="1"/>
      <c r="T2098" s="1" t="s">
        <v>47</v>
      </c>
      <c r="U2098" s="1"/>
      <c r="V2098" s="1">
        <v>17.853</v>
      </c>
      <c r="W2098" s="1">
        <v>17.853</v>
      </c>
      <c r="X2098" s="1" t="s">
        <v>35</v>
      </c>
      <c r="Y2098" s="1">
        <v>17853.0</v>
      </c>
      <c r="Z2098" s="1"/>
      <c r="AA2098" s="1">
        <v>17853.0</v>
      </c>
      <c r="AB2098" s="1"/>
      <c r="AC2098" s="1" t="s">
        <v>36</v>
      </c>
      <c r="AD2098" s="1" t="s">
        <v>7656</v>
      </c>
      <c r="AE2098" s="1" t="s">
        <v>32</v>
      </c>
      <c r="AF2098" s="1" t="s">
        <v>33</v>
      </c>
      <c r="AG2098" s="1" t="s">
        <v>49</v>
      </c>
    </row>
    <row r="2099" spans="1:33">
      <c r="A2099" t="s">
        <v>7666</v>
      </c>
      <c r="C2099" t="s">
        <v>1447</v>
      </c>
      <c r="D2099" t="s">
        <v>114</v>
      </c>
      <c r="E2099" t="s">
        <v>7413</v>
      </c>
      <c r="F2099" t="s">
        <v>7318</v>
      </c>
      <c r="G2099">
        <v>787.1</v>
      </c>
      <c r="H2099">
        <v>787.1</v>
      </c>
      <c r="I2099" t="s">
        <v>269</v>
      </c>
      <c r="J2099" t="s">
        <v>270</v>
      </c>
      <c r="K2099" t="s">
        <v>31</v>
      </c>
      <c r="L2099" t="s">
        <v>32</v>
      </c>
      <c r="M2099" t="s">
        <v>33</v>
      </c>
      <c r="P2099" s="1" t="s">
        <v>7667</v>
      </c>
      <c r="Q2099" s="1" t="s">
        <v>7413</v>
      </c>
      <c r="R2099" s="1" t="s">
        <v>7413</v>
      </c>
      <c r="S2099" s="1"/>
      <c r="T2099" s="1" t="s">
        <v>1449</v>
      </c>
      <c r="U2099" s="1" t="s">
        <v>1450</v>
      </c>
      <c r="V2099" s="1">
        <v>787.1</v>
      </c>
      <c r="W2099" s="1">
        <v>787.1</v>
      </c>
      <c r="X2099" s="1" t="s">
        <v>35</v>
      </c>
      <c r="Y2099" s="1">
        <v>787100.0</v>
      </c>
      <c r="Z2099" s="1"/>
      <c r="AA2099" s="1">
        <v>787100.0</v>
      </c>
      <c r="AB2099" s="1"/>
      <c r="AC2099" s="1" t="s">
        <v>36</v>
      </c>
      <c r="AD2099" s="1" t="s">
        <v>7668</v>
      </c>
      <c r="AE2099" s="1" t="s">
        <v>32</v>
      </c>
      <c r="AF2099" s="1" t="s">
        <v>33</v>
      </c>
      <c r="AG2099" s="1" t="s">
        <v>270</v>
      </c>
    </row>
    <row r="2100" spans="1:33">
      <c r="A2100" t="s">
        <v>7669</v>
      </c>
      <c r="C2100" t="s">
        <v>2022</v>
      </c>
      <c r="E2100" t="s">
        <v>7413</v>
      </c>
      <c r="F2100" t="s">
        <v>7318</v>
      </c>
      <c r="G2100">
        <v>382.0</v>
      </c>
      <c r="H2100">
        <v>382.0</v>
      </c>
      <c r="I2100" t="s">
        <v>173</v>
      </c>
      <c r="J2100" t="s">
        <v>174</v>
      </c>
      <c r="K2100" t="s">
        <v>31</v>
      </c>
      <c r="L2100" t="s">
        <v>32</v>
      </c>
      <c r="M2100" t="s">
        <v>33</v>
      </c>
      <c r="P2100" s="1" t="s">
        <v>7670</v>
      </c>
      <c r="Q2100" s="1" t="s">
        <v>7413</v>
      </c>
      <c r="R2100" s="1" t="s">
        <v>7413</v>
      </c>
      <c r="S2100" s="1"/>
      <c r="T2100" s="1" t="s">
        <v>2022</v>
      </c>
      <c r="U2100" s="1"/>
      <c r="V2100" s="1">
        <v>382.0</v>
      </c>
      <c r="W2100" s="1">
        <v>382.0</v>
      </c>
      <c r="X2100" s="1" t="s">
        <v>35</v>
      </c>
      <c r="Y2100" s="1">
        <v>382000.0</v>
      </c>
      <c r="Z2100" s="1"/>
      <c r="AA2100" s="1">
        <v>382000.0</v>
      </c>
      <c r="AB2100" s="1"/>
      <c r="AC2100" s="1" t="s">
        <v>36</v>
      </c>
      <c r="AD2100" s="1" t="s">
        <v>7671</v>
      </c>
      <c r="AE2100" s="1" t="s">
        <v>32</v>
      </c>
      <c r="AF2100" s="1" t="s">
        <v>33</v>
      </c>
      <c r="AG2100" s="1" t="s">
        <v>174</v>
      </c>
    </row>
    <row r="2101" spans="1:33">
      <c r="A2101" t="s">
        <v>7672</v>
      </c>
      <c r="B2101" t="s">
        <v>7673</v>
      </c>
      <c r="C2101" t="s">
        <v>268</v>
      </c>
      <c r="E2101" t="s">
        <v>7413</v>
      </c>
      <c r="F2101" t="s">
        <v>7318</v>
      </c>
      <c r="G2101">
        <v>536.5</v>
      </c>
      <c r="H2101">
        <v>536.5</v>
      </c>
      <c r="I2101" t="s">
        <v>269</v>
      </c>
      <c r="J2101" t="s">
        <v>270</v>
      </c>
      <c r="K2101" t="s">
        <v>31</v>
      </c>
      <c r="L2101" t="s">
        <v>32</v>
      </c>
      <c r="M2101" t="s">
        <v>33</v>
      </c>
      <c r="P2101" s="1" t="s">
        <v>7674</v>
      </c>
      <c r="Q2101" s="1" t="s">
        <v>7413</v>
      </c>
      <c r="R2101" s="1" t="s">
        <v>7413</v>
      </c>
      <c r="S2101" s="1"/>
      <c r="T2101" s="1" t="s">
        <v>268</v>
      </c>
      <c r="U2101" s="1"/>
      <c r="V2101" s="1">
        <v>536.5</v>
      </c>
      <c r="W2101" s="1">
        <v>536.5</v>
      </c>
      <c r="X2101" s="1" t="s">
        <v>35</v>
      </c>
      <c r="Y2101" s="1">
        <v>536500.0</v>
      </c>
      <c r="Z2101" s="1"/>
      <c r="AA2101" s="1">
        <v>536500.0</v>
      </c>
      <c r="AB2101" s="1"/>
      <c r="AC2101" s="1" t="s">
        <v>36</v>
      </c>
      <c r="AD2101" s="1" t="s">
        <v>7675</v>
      </c>
      <c r="AE2101" s="1" t="s">
        <v>32</v>
      </c>
      <c r="AF2101" s="1" t="s">
        <v>33</v>
      </c>
      <c r="AG2101" s="1" t="s">
        <v>270</v>
      </c>
    </row>
    <row r="2102" spans="1:33">
      <c r="A2102" t="s">
        <v>7676</v>
      </c>
      <c r="B2102" t="s">
        <v>6858</v>
      </c>
      <c r="C2102" t="s">
        <v>268</v>
      </c>
      <c r="E2102" t="s">
        <v>7413</v>
      </c>
      <c r="F2102" t="s">
        <v>7318</v>
      </c>
      <c r="G2102">
        <v>66.65</v>
      </c>
      <c r="H2102">
        <v>66.65</v>
      </c>
      <c r="I2102" t="s">
        <v>269</v>
      </c>
      <c r="J2102" t="s">
        <v>270</v>
      </c>
      <c r="K2102" t="s">
        <v>31</v>
      </c>
      <c r="L2102" t="s">
        <v>32</v>
      </c>
      <c r="M2102" t="s">
        <v>33</v>
      </c>
      <c r="P2102" s="1" t="s">
        <v>7677</v>
      </c>
      <c r="Q2102" s="1" t="s">
        <v>7413</v>
      </c>
      <c r="R2102" s="1" t="s">
        <v>7413</v>
      </c>
      <c r="S2102" s="1"/>
      <c r="T2102" s="1" t="s">
        <v>268</v>
      </c>
      <c r="U2102" s="1"/>
      <c r="V2102" s="1">
        <v>66.65</v>
      </c>
      <c r="W2102" s="1">
        <v>66.65</v>
      </c>
      <c r="X2102" s="1" t="s">
        <v>35</v>
      </c>
      <c r="Y2102" s="1">
        <v>66650.0</v>
      </c>
      <c r="Z2102" s="1"/>
      <c r="AA2102" s="1">
        <v>66650.0</v>
      </c>
      <c r="AB2102" s="1"/>
      <c r="AC2102" s="1" t="s">
        <v>36</v>
      </c>
      <c r="AD2102" s="1" t="s">
        <v>7678</v>
      </c>
      <c r="AE2102" s="1" t="s">
        <v>32</v>
      </c>
      <c r="AF2102" s="1" t="s">
        <v>33</v>
      </c>
      <c r="AG2102" s="1" t="s">
        <v>270</v>
      </c>
    </row>
    <row r="2103" spans="1:33">
      <c r="A2103" t="s">
        <v>7679</v>
      </c>
      <c r="C2103" t="s">
        <v>7680</v>
      </c>
      <c r="E2103" t="s">
        <v>7413</v>
      </c>
      <c r="F2103" t="s">
        <v>7318</v>
      </c>
      <c r="G2103">
        <v>320.0</v>
      </c>
      <c r="H2103">
        <v>320.0</v>
      </c>
      <c r="I2103" t="s">
        <v>126</v>
      </c>
      <c r="J2103" t="s">
        <v>127</v>
      </c>
      <c r="K2103" t="s">
        <v>31</v>
      </c>
      <c r="L2103" t="s">
        <v>32</v>
      </c>
      <c r="M2103" t="s">
        <v>33</v>
      </c>
      <c r="P2103" s="1" t="s">
        <v>7681</v>
      </c>
      <c r="Q2103" s="1" t="s">
        <v>7413</v>
      </c>
      <c r="R2103" s="1" t="s">
        <v>7413</v>
      </c>
      <c r="S2103" s="1"/>
      <c r="T2103" s="1" t="s">
        <v>7680</v>
      </c>
      <c r="U2103" s="1"/>
      <c r="V2103" s="1">
        <v>320.0</v>
      </c>
      <c r="W2103" s="1">
        <v>320.0</v>
      </c>
      <c r="X2103" s="1" t="s">
        <v>35</v>
      </c>
      <c r="Y2103" s="1">
        <v>320000.0</v>
      </c>
      <c r="Z2103" s="1"/>
      <c r="AA2103" s="1">
        <v>320000.0</v>
      </c>
      <c r="AB2103" s="1"/>
      <c r="AC2103" s="1" t="s">
        <v>36</v>
      </c>
      <c r="AD2103" s="1" t="s">
        <v>7682</v>
      </c>
      <c r="AE2103" s="1" t="s">
        <v>32</v>
      </c>
      <c r="AF2103" s="1" t="s">
        <v>33</v>
      </c>
      <c r="AG2103" s="1" t="s">
        <v>127</v>
      </c>
    </row>
    <row r="2104" spans="1:33">
      <c r="A2104" t="s">
        <v>7683</v>
      </c>
      <c r="C2104" t="s">
        <v>7684</v>
      </c>
      <c r="D2104" t="s">
        <v>114</v>
      </c>
      <c r="E2104" t="s">
        <v>7413</v>
      </c>
      <c r="F2104" t="s">
        <v>7318</v>
      </c>
      <c r="G2104">
        <v>162.926</v>
      </c>
      <c r="H2104">
        <v>162.926</v>
      </c>
      <c r="I2104" t="s">
        <v>40</v>
      </c>
      <c r="J2104" t="s">
        <v>41</v>
      </c>
      <c r="K2104" t="s">
        <v>31</v>
      </c>
      <c r="L2104" t="s">
        <v>32</v>
      </c>
      <c r="M2104" t="s">
        <v>33</v>
      </c>
      <c r="P2104" s="1" t="s">
        <v>7685</v>
      </c>
      <c r="Q2104" s="1" t="s">
        <v>7413</v>
      </c>
      <c r="R2104" s="1" t="s">
        <v>6700</v>
      </c>
      <c r="S2104" s="1"/>
      <c r="T2104" s="1" t="s">
        <v>7684</v>
      </c>
      <c r="U2104" s="1"/>
      <c r="V2104" s="1">
        <v>162.926</v>
      </c>
      <c r="W2104" s="1">
        <v>162.926</v>
      </c>
      <c r="X2104" s="1" t="s">
        <v>35</v>
      </c>
      <c r="Y2104" s="1">
        <v>162926.0</v>
      </c>
      <c r="Z2104" s="1"/>
      <c r="AA2104" s="1">
        <v>162926.0</v>
      </c>
      <c r="AB2104" s="1"/>
      <c r="AC2104" s="1" t="s">
        <v>36</v>
      </c>
      <c r="AD2104" s="1" t="s">
        <v>7682</v>
      </c>
      <c r="AE2104" s="1" t="s">
        <v>32</v>
      </c>
      <c r="AF2104" s="1" t="s">
        <v>33</v>
      </c>
      <c r="AG2104" s="1" t="s">
        <v>41</v>
      </c>
    </row>
    <row r="2105" spans="1:33">
      <c r="A2105" t="s">
        <v>7686</v>
      </c>
      <c r="B2105" t="s">
        <v>7687</v>
      </c>
      <c r="C2105" t="s">
        <v>125</v>
      </c>
      <c r="E2105" t="s">
        <v>7413</v>
      </c>
      <c r="F2105" t="s">
        <v>7318</v>
      </c>
      <c r="G2105">
        <v>168.41</v>
      </c>
      <c r="H2105">
        <v>168.41</v>
      </c>
      <c r="I2105" t="s">
        <v>126</v>
      </c>
      <c r="J2105" t="s">
        <v>127</v>
      </c>
      <c r="K2105" t="s">
        <v>31</v>
      </c>
      <c r="L2105" t="s">
        <v>32</v>
      </c>
      <c r="M2105" t="s">
        <v>33</v>
      </c>
      <c r="P2105" s="1" t="s">
        <v>7688</v>
      </c>
      <c r="Q2105" s="1" t="s">
        <v>7413</v>
      </c>
      <c r="R2105" s="1" t="s">
        <v>7413</v>
      </c>
      <c r="S2105" s="1"/>
      <c r="T2105" s="1" t="s">
        <v>125</v>
      </c>
      <c r="U2105" s="1"/>
      <c r="V2105" s="1">
        <v>168.41</v>
      </c>
      <c r="W2105" s="1">
        <v>168.41</v>
      </c>
      <c r="X2105" s="1" t="s">
        <v>35</v>
      </c>
      <c r="Y2105" s="1">
        <v>168410.0</v>
      </c>
      <c r="Z2105" s="1"/>
      <c r="AA2105" s="1">
        <v>168410.0</v>
      </c>
      <c r="AB2105" s="1"/>
      <c r="AC2105" s="1" t="s">
        <v>36</v>
      </c>
      <c r="AD2105" s="1" t="s">
        <v>7689</v>
      </c>
      <c r="AE2105" s="1" t="s">
        <v>32</v>
      </c>
      <c r="AF2105" s="1" t="s">
        <v>33</v>
      </c>
      <c r="AG2105" s="1" t="s">
        <v>127</v>
      </c>
    </row>
    <row r="2106" spans="1:33">
      <c r="A2106" t="s">
        <v>7690</v>
      </c>
      <c r="B2106" t="s">
        <v>2556</v>
      </c>
      <c r="C2106" t="s">
        <v>2557</v>
      </c>
      <c r="E2106" t="s">
        <v>7413</v>
      </c>
      <c r="F2106" t="s">
        <v>7318</v>
      </c>
      <c r="G2106">
        <v>720.0</v>
      </c>
      <c r="H2106">
        <v>720.0</v>
      </c>
      <c r="I2106" t="s">
        <v>59</v>
      </c>
      <c r="J2106" t="s">
        <v>60</v>
      </c>
      <c r="K2106" t="s">
        <v>31</v>
      </c>
      <c r="L2106" t="s">
        <v>32</v>
      </c>
      <c r="M2106" t="s">
        <v>33</v>
      </c>
      <c r="P2106" s="1" t="s">
        <v>7691</v>
      </c>
      <c r="Q2106" s="1" t="s">
        <v>7413</v>
      </c>
      <c r="R2106" s="1" t="s">
        <v>7413</v>
      </c>
      <c r="S2106" s="1"/>
      <c r="T2106" s="1" t="s">
        <v>2557</v>
      </c>
      <c r="U2106" s="1"/>
      <c r="V2106" s="1">
        <v>720.0</v>
      </c>
      <c r="W2106" s="1">
        <v>720.0</v>
      </c>
      <c r="X2106" s="1" t="s">
        <v>35</v>
      </c>
      <c r="Y2106" s="1">
        <v>720000.0</v>
      </c>
      <c r="Z2106" s="1"/>
      <c r="AA2106" s="1">
        <v>720000.0</v>
      </c>
      <c r="AB2106" s="1"/>
      <c r="AC2106" s="1" t="s">
        <v>36</v>
      </c>
      <c r="AD2106" s="1" t="s">
        <v>7692</v>
      </c>
      <c r="AE2106" s="1" t="s">
        <v>32</v>
      </c>
      <c r="AF2106" s="1" t="s">
        <v>33</v>
      </c>
      <c r="AG2106" s="1" t="s">
        <v>60</v>
      </c>
    </row>
    <row r="2107" spans="1:33">
      <c r="A2107" t="s">
        <v>7693</v>
      </c>
      <c r="B2107" t="s">
        <v>4222</v>
      </c>
      <c r="C2107" t="s">
        <v>125</v>
      </c>
      <c r="E2107" t="s">
        <v>7413</v>
      </c>
      <c r="F2107" t="s">
        <v>7318</v>
      </c>
      <c r="G2107">
        <v>67.96</v>
      </c>
      <c r="H2107">
        <v>67.96</v>
      </c>
      <c r="I2107" t="s">
        <v>126</v>
      </c>
      <c r="J2107" t="s">
        <v>127</v>
      </c>
      <c r="K2107" t="s">
        <v>31</v>
      </c>
      <c r="L2107" t="s">
        <v>32</v>
      </c>
      <c r="M2107" t="s">
        <v>33</v>
      </c>
      <c r="P2107" s="1" t="s">
        <v>7694</v>
      </c>
      <c r="Q2107" s="1" t="s">
        <v>7413</v>
      </c>
      <c r="R2107" s="1" t="s">
        <v>7413</v>
      </c>
      <c r="S2107" s="1"/>
      <c r="T2107" s="1" t="s">
        <v>125</v>
      </c>
      <c r="U2107" s="1"/>
      <c r="V2107" s="1">
        <v>67.96</v>
      </c>
      <c r="W2107" s="1">
        <v>67.96</v>
      </c>
      <c r="X2107" s="1" t="s">
        <v>35</v>
      </c>
      <c r="Y2107" s="1">
        <v>67960.0</v>
      </c>
      <c r="Z2107" s="1"/>
      <c r="AA2107" s="1">
        <v>67960.0</v>
      </c>
      <c r="AB2107" s="1"/>
      <c r="AC2107" s="1" t="s">
        <v>36</v>
      </c>
      <c r="AD2107" s="1" t="s">
        <v>7695</v>
      </c>
      <c r="AE2107" s="1" t="s">
        <v>32</v>
      </c>
      <c r="AF2107" s="1" t="s">
        <v>33</v>
      </c>
      <c r="AG2107" s="1" t="s">
        <v>127</v>
      </c>
    </row>
    <row r="2108" spans="1:33">
      <c r="A2108" t="s">
        <v>7696</v>
      </c>
      <c r="C2108" t="s">
        <v>2434</v>
      </c>
      <c r="D2108" t="s">
        <v>154</v>
      </c>
      <c r="E2108" t="s">
        <v>7413</v>
      </c>
      <c r="F2108" t="s">
        <v>7318</v>
      </c>
      <c r="G2108">
        <v>635.0</v>
      </c>
      <c r="H2108">
        <v>635.0</v>
      </c>
      <c r="I2108" t="s">
        <v>126</v>
      </c>
      <c r="J2108" t="s">
        <v>127</v>
      </c>
      <c r="K2108" t="s">
        <v>31</v>
      </c>
      <c r="L2108" t="s">
        <v>32</v>
      </c>
      <c r="M2108" t="s">
        <v>33</v>
      </c>
      <c r="P2108" s="1" t="s">
        <v>7697</v>
      </c>
      <c r="Q2108" s="1" t="s">
        <v>7413</v>
      </c>
      <c r="R2108" s="1" t="s">
        <v>7413</v>
      </c>
      <c r="S2108" s="1"/>
      <c r="T2108" s="1" t="s">
        <v>2436</v>
      </c>
      <c r="U2108" s="1" t="s">
        <v>2437</v>
      </c>
      <c r="V2108" s="1">
        <v>635.0</v>
      </c>
      <c r="W2108" s="1">
        <v>635.0</v>
      </c>
      <c r="X2108" s="1" t="s">
        <v>35</v>
      </c>
      <c r="Y2108" s="1">
        <v>635000.0</v>
      </c>
      <c r="Z2108" s="1"/>
      <c r="AA2108" s="1">
        <v>635000.0</v>
      </c>
      <c r="AB2108" s="1"/>
      <c r="AC2108" s="1" t="s">
        <v>36</v>
      </c>
      <c r="AD2108" s="1" t="s">
        <v>7698</v>
      </c>
      <c r="AE2108" s="1" t="s">
        <v>32</v>
      </c>
      <c r="AF2108" s="1" t="s">
        <v>33</v>
      </c>
      <c r="AG2108" s="1" t="s">
        <v>127</v>
      </c>
    </row>
    <row r="2109" spans="1:33">
      <c r="A2109" t="s">
        <v>7699</v>
      </c>
      <c r="B2109" t="s">
        <v>7700</v>
      </c>
      <c r="C2109" t="s">
        <v>1298</v>
      </c>
      <c r="E2109" t="s">
        <v>7413</v>
      </c>
      <c r="F2109" t="s">
        <v>7318</v>
      </c>
      <c r="G2109">
        <v>45.88</v>
      </c>
      <c r="H2109">
        <v>45.88</v>
      </c>
      <c r="I2109" t="s">
        <v>529</v>
      </c>
      <c r="J2109" t="s">
        <v>530</v>
      </c>
      <c r="K2109" t="s">
        <v>31</v>
      </c>
      <c r="L2109" t="s">
        <v>32</v>
      </c>
      <c r="M2109" t="s">
        <v>33</v>
      </c>
      <c r="P2109" s="1" t="s">
        <v>7701</v>
      </c>
      <c r="Q2109" s="1" t="s">
        <v>7413</v>
      </c>
      <c r="R2109" s="1" t="s">
        <v>6700</v>
      </c>
      <c r="S2109" s="1"/>
      <c r="T2109" s="1" t="s">
        <v>1298</v>
      </c>
      <c r="U2109" s="1"/>
      <c r="V2109" s="1">
        <v>45.88</v>
      </c>
      <c r="W2109" s="1">
        <v>45.88</v>
      </c>
      <c r="X2109" s="1" t="s">
        <v>35</v>
      </c>
      <c r="Y2109" s="1">
        <v>45880.0</v>
      </c>
      <c r="Z2109" s="1"/>
      <c r="AA2109" s="1">
        <v>45880.0</v>
      </c>
      <c r="AB2109" s="1"/>
      <c r="AC2109" s="1" t="s">
        <v>36</v>
      </c>
      <c r="AD2109" s="1" t="s">
        <v>7698</v>
      </c>
      <c r="AE2109" s="1" t="s">
        <v>32</v>
      </c>
      <c r="AF2109" s="1" t="s">
        <v>33</v>
      </c>
      <c r="AG2109" s="1" t="s">
        <v>530</v>
      </c>
    </row>
    <row r="2110" spans="1:33">
      <c r="A2110" t="s">
        <v>7702</v>
      </c>
      <c r="C2110" t="s">
        <v>922</v>
      </c>
      <c r="E2110" t="s">
        <v>7413</v>
      </c>
      <c r="F2110" t="s">
        <v>7318</v>
      </c>
      <c r="G2110">
        <v>1.483</v>
      </c>
      <c r="H2110">
        <v>1.483</v>
      </c>
      <c r="I2110" t="s">
        <v>227</v>
      </c>
      <c r="J2110" t="s">
        <v>228</v>
      </c>
      <c r="K2110" t="s">
        <v>31</v>
      </c>
      <c r="L2110" t="s">
        <v>32</v>
      </c>
      <c r="M2110" t="s">
        <v>33</v>
      </c>
      <c r="P2110" s="1" t="s">
        <v>7703</v>
      </c>
      <c r="Q2110" s="1" t="s">
        <v>7413</v>
      </c>
      <c r="R2110" s="1" t="s">
        <v>7413</v>
      </c>
      <c r="S2110" s="1"/>
      <c r="T2110" s="1" t="s">
        <v>922</v>
      </c>
      <c r="U2110" s="1"/>
      <c r="V2110" s="1">
        <v>1.483</v>
      </c>
      <c r="W2110" s="1">
        <v>1.483</v>
      </c>
      <c r="X2110" s="1" t="s">
        <v>35</v>
      </c>
      <c r="Y2110" s="1">
        <v>1483250.0</v>
      </c>
      <c r="Z2110" s="1"/>
      <c r="AA2110" s="1">
        <v>1483250.0</v>
      </c>
      <c r="AB2110" s="1"/>
      <c r="AC2110" s="1" t="s">
        <v>36</v>
      </c>
      <c r="AD2110" s="1" t="s">
        <v>7466</v>
      </c>
      <c r="AE2110" s="1" t="s">
        <v>32</v>
      </c>
      <c r="AF2110" s="1" t="s">
        <v>33</v>
      </c>
      <c r="AG2110" s="1" t="s">
        <v>228</v>
      </c>
    </row>
    <row r="2111" spans="1:33">
      <c r="A2111" t="s">
        <v>7704</v>
      </c>
      <c r="B2111" t="s">
        <v>3031</v>
      </c>
      <c r="C2111" t="s">
        <v>3032</v>
      </c>
      <c r="E2111" t="s">
        <v>7413</v>
      </c>
      <c r="F2111" t="s">
        <v>7318</v>
      </c>
      <c r="G2111">
        <v>6.698</v>
      </c>
      <c r="H2111">
        <v>6.698</v>
      </c>
      <c r="I2111" t="s">
        <v>59</v>
      </c>
      <c r="J2111" t="s">
        <v>60</v>
      </c>
      <c r="K2111" t="s">
        <v>31</v>
      </c>
      <c r="L2111" t="s">
        <v>32</v>
      </c>
      <c r="M2111" t="s">
        <v>33</v>
      </c>
      <c r="P2111" s="1" t="s">
        <v>7705</v>
      </c>
      <c r="Q2111" s="1" t="s">
        <v>7413</v>
      </c>
      <c r="R2111" s="1" t="s">
        <v>7413</v>
      </c>
      <c r="S2111" s="1"/>
      <c r="T2111" s="1" t="s">
        <v>3032</v>
      </c>
      <c r="U2111" s="1"/>
      <c r="V2111" s="1">
        <v>6.698</v>
      </c>
      <c r="W2111" s="1">
        <v>6.698</v>
      </c>
      <c r="X2111" s="1" t="s">
        <v>35</v>
      </c>
      <c r="Y2111" s="1">
        <v>6698.0</v>
      </c>
      <c r="Z2111" s="1"/>
      <c r="AA2111" s="1">
        <v>6698.0</v>
      </c>
      <c r="AB2111" s="1"/>
      <c r="AC2111" s="1" t="s">
        <v>36</v>
      </c>
      <c r="AD2111" s="1" t="s">
        <v>7706</v>
      </c>
      <c r="AE2111" s="1" t="s">
        <v>32</v>
      </c>
      <c r="AF2111" s="1" t="s">
        <v>33</v>
      </c>
      <c r="AG2111" s="1" t="s">
        <v>60</v>
      </c>
    </row>
    <row r="2112" spans="1:33">
      <c r="A2112" t="s">
        <v>7707</v>
      </c>
      <c r="B2112" t="s">
        <v>201</v>
      </c>
      <c r="C2112" t="s">
        <v>202</v>
      </c>
      <c r="D2112" t="s">
        <v>154</v>
      </c>
      <c r="E2112" t="s">
        <v>7413</v>
      </c>
      <c r="F2112" t="s">
        <v>7318</v>
      </c>
      <c r="G2112">
        <v>370.0</v>
      </c>
      <c r="H2112">
        <v>370.0</v>
      </c>
      <c r="I2112" t="s">
        <v>59</v>
      </c>
      <c r="J2112" t="s">
        <v>60</v>
      </c>
      <c r="K2112" t="s">
        <v>31</v>
      </c>
      <c r="L2112" t="s">
        <v>32</v>
      </c>
      <c r="M2112" t="s">
        <v>33</v>
      </c>
      <c r="P2112" s="1" t="s">
        <v>7708</v>
      </c>
      <c r="Q2112" s="1" t="s">
        <v>7413</v>
      </c>
      <c r="R2112" s="1" t="s">
        <v>7413</v>
      </c>
      <c r="S2112" s="1"/>
      <c r="T2112" s="1" t="s">
        <v>202</v>
      </c>
      <c r="U2112" s="1"/>
      <c r="V2112" s="1">
        <v>370.0</v>
      </c>
      <c r="W2112" s="1">
        <v>370.0</v>
      </c>
      <c r="X2112" s="1" t="s">
        <v>35</v>
      </c>
      <c r="Y2112" s="1">
        <v>370000.0</v>
      </c>
      <c r="Z2112" s="1"/>
      <c r="AA2112" s="1">
        <v>370000.0</v>
      </c>
      <c r="AB2112" s="1"/>
      <c r="AC2112" s="1" t="s">
        <v>36</v>
      </c>
      <c r="AD2112" s="1" t="s">
        <v>7709</v>
      </c>
      <c r="AE2112" s="1" t="s">
        <v>32</v>
      </c>
      <c r="AF2112" s="1" t="s">
        <v>33</v>
      </c>
      <c r="AG2112" s="1" t="s">
        <v>60</v>
      </c>
    </row>
    <row r="2113" spans="1:33">
      <c r="A2113" t="s">
        <v>7710</v>
      </c>
      <c r="B2113" t="s">
        <v>7711</v>
      </c>
      <c r="C2113" t="s">
        <v>47</v>
      </c>
      <c r="E2113" t="s">
        <v>7413</v>
      </c>
      <c r="F2113" t="s">
        <v>7318</v>
      </c>
      <c r="G2113">
        <v>65.98</v>
      </c>
      <c r="H2113">
        <v>65.98</v>
      </c>
      <c r="I2113" t="s">
        <v>48</v>
      </c>
      <c r="J2113" t="s">
        <v>49</v>
      </c>
      <c r="K2113" t="s">
        <v>31</v>
      </c>
      <c r="L2113" t="s">
        <v>32</v>
      </c>
      <c r="M2113" t="s">
        <v>33</v>
      </c>
      <c r="P2113" s="1" t="s">
        <v>7712</v>
      </c>
      <c r="Q2113" s="1" t="s">
        <v>7413</v>
      </c>
      <c r="R2113" s="1" t="s">
        <v>7413</v>
      </c>
      <c r="S2113" s="1"/>
      <c r="T2113" s="1" t="s">
        <v>47</v>
      </c>
      <c r="U2113" s="1"/>
      <c r="V2113" s="1">
        <v>65.98</v>
      </c>
      <c r="W2113" s="1">
        <v>65.98</v>
      </c>
      <c r="X2113" s="1" t="s">
        <v>35</v>
      </c>
      <c r="Y2113" s="1">
        <v>65980.0</v>
      </c>
      <c r="Z2113" s="1"/>
      <c r="AA2113" s="1">
        <v>65980.0</v>
      </c>
      <c r="AB2113" s="1"/>
      <c r="AC2113" s="1" t="s">
        <v>36</v>
      </c>
      <c r="AD2113" s="1" t="s">
        <v>7713</v>
      </c>
      <c r="AE2113" s="1" t="s">
        <v>32</v>
      </c>
      <c r="AF2113" s="1" t="s">
        <v>33</v>
      </c>
      <c r="AG2113" s="1" t="s">
        <v>49</v>
      </c>
    </row>
    <row r="2114" spans="1:33">
      <c r="A2114" t="s">
        <v>7714</v>
      </c>
      <c r="C2114" t="s">
        <v>859</v>
      </c>
      <c r="D2114" t="s">
        <v>114</v>
      </c>
      <c r="E2114" t="s">
        <v>7413</v>
      </c>
      <c r="F2114" t="s">
        <v>7318</v>
      </c>
      <c r="G2114">
        <v>723.0</v>
      </c>
      <c r="H2114">
        <v>723.0</v>
      </c>
      <c r="I2114" t="s">
        <v>269</v>
      </c>
      <c r="J2114" t="s">
        <v>270</v>
      </c>
      <c r="K2114" t="s">
        <v>31</v>
      </c>
      <c r="L2114" t="s">
        <v>32</v>
      </c>
      <c r="M2114" t="s">
        <v>33</v>
      </c>
      <c r="P2114" s="1" t="s">
        <v>7715</v>
      </c>
      <c r="Q2114" s="1" t="s">
        <v>7413</v>
      </c>
      <c r="R2114" s="1" t="s">
        <v>7413</v>
      </c>
      <c r="S2114" s="1"/>
      <c r="T2114" s="1" t="s">
        <v>859</v>
      </c>
      <c r="U2114" s="1"/>
      <c r="V2114" s="1">
        <v>723.0</v>
      </c>
      <c r="W2114" s="1">
        <v>723.0</v>
      </c>
      <c r="X2114" s="1" t="s">
        <v>35</v>
      </c>
      <c r="Y2114" s="1">
        <v>723000.0</v>
      </c>
      <c r="Z2114" s="1"/>
      <c r="AA2114" s="1">
        <v>723000.0</v>
      </c>
      <c r="AB2114" s="1"/>
      <c r="AC2114" s="1" t="s">
        <v>36</v>
      </c>
      <c r="AD2114" s="1" t="s">
        <v>7716</v>
      </c>
      <c r="AE2114" s="1" t="s">
        <v>32</v>
      </c>
      <c r="AF2114" s="1" t="s">
        <v>33</v>
      </c>
      <c r="AG2114" s="1" t="s">
        <v>270</v>
      </c>
    </row>
    <row r="2115" spans="1:33">
      <c r="A2115" t="s">
        <v>7717</v>
      </c>
      <c r="C2115" t="s">
        <v>1197</v>
      </c>
      <c r="D2115" t="s">
        <v>154</v>
      </c>
      <c r="E2115" t="s">
        <v>7413</v>
      </c>
      <c r="F2115" t="s">
        <v>7318</v>
      </c>
      <c r="G2115">
        <v>492.0</v>
      </c>
      <c r="H2115">
        <v>492.0</v>
      </c>
      <c r="I2115" t="s">
        <v>269</v>
      </c>
      <c r="J2115" t="s">
        <v>270</v>
      </c>
      <c r="K2115" t="s">
        <v>31</v>
      </c>
      <c r="L2115" t="s">
        <v>32</v>
      </c>
      <c r="M2115" t="s">
        <v>33</v>
      </c>
      <c r="P2115" s="1" t="s">
        <v>7718</v>
      </c>
      <c r="Q2115" s="1" t="s">
        <v>7413</v>
      </c>
      <c r="R2115" s="1" t="s">
        <v>7413</v>
      </c>
      <c r="S2115" s="1"/>
      <c r="T2115" s="1" t="s">
        <v>1197</v>
      </c>
      <c r="U2115" s="1"/>
      <c r="V2115" s="1">
        <v>492.0</v>
      </c>
      <c r="W2115" s="1">
        <v>492.0</v>
      </c>
      <c r="X2115" s="1" t="s">
        <v>35</v>
      </c>
      <c r="Y2115" s="1">
        <v>492000.0</v>
      </c>
      <c r="Z2115" s="1"/>
      <c r="AA2115" s="1">
        <v>492000.0</v>
      </c>
      <c r="AB2115" s="1"/>
      <c r="AC2115" s="1" t="s">
        <v>36</v>
      </c>
      <c r="AD2115" s="1" t="s">
        <v>7719</v>
      </c>
      <c r="AE2115" s="1" t="s">
        <v>32</v>
      </c>
      <c r="AF2115" s="1" t="s">
        <v>33</v>
      </c>
      <c r="AG2115" s="1" t="s">
        <v>270</v>
      </c>
    </row>
    <row r="2116" spans="1:33">
      <c r="A2116" t="s">
        <v>7720</v>
      </c>
      <c r="C2116" t="s">
        <v>1079</v>
      </c>
      <c r="D2116" t="s">
        <v>114</v>
      </c>
      <c r="E2116" t="s">
        <v>7413</v>
      </c>
      <c r="F2116" t="s">
        <v>7318</v>
      </c>
      <c r="G2116">
        <v>4.835</v>
      </c>
      <c r="H2116">
        <v>4.835</v>
      </c>
      <c r="I2116" t="s">
        <v>269</v>
      </c>
      <c r="J2116" t="s">
        <v>270</v>
      </c>
      <c r="K2116" t="s">
        <v>31</v>
      </c>
      <c r="L2116" t="s">
        <v>32</v>
      </c>
      <c r="M2116" t="s">
        <v>33</v>
      </c>
      <c r="P2116" s="1" t="s">
        <v>7721</v>
      </c>
      <c r="Q2116" s="1" t="s">
        <v>7413</v>
      </c>
      <c r="R2116" s="1" t="s">
        <v>7413</v>
      </c>
      <c r="S2116" s="1"/>
      <c r="T2116" s="1" t="s">
        <v>1079</v>
      </c>
      <c r="U2116" s="1"/>
      <c r="V2116" s="1">
        <v>4.835</v>
      </c>
      <c r="W2116" s="1">
        <v>4.835</v>
      </c>
      <c r="X2116" s="1" t="s">
        <v>35</v>
      </c>
      <c r="Y2116" s="1">
        <v>4835000.0</v>
      </c>
      <c r="Z2116" s="1"/>
      <c r="AA2116" s="1">
        <v>4835000.0</v>
      </c>
      <c r="AB2116" s="1"/>
      <c r="AC2116" s="1" t="s">
        <v>36</v>
      </c>
      <c r="AD2116" s="1" t="s">
        <v>7722</v>
      </c>
      <c r="AE2116" s="1" t="s">
        <v>32</v>
      </c>
      <c r="AF2116" s="1" t="s">
        <v>33</v>
      </c>
      <c r="AG2116" s="1" t="s">
        <v>270</v>
      </c>
    </row>
    <row r="2117" spans="1:33">
      <c r="A2117" t="s">
        <v>7723</v>
      </c>
      <c r="B2117" t="s">
        <v>1170</v>
      </c>
      <c r="C2117" t="s">
        <v>1171</v>
      </c>
      <c r="E2117" t="s">
        <v>7413</v>
      </c>
      <c r="F2117" t="s">
        <v>7318</v>
      </c>
      <c r="G2117">
        <v>656.0</v>
      </c>
      <c r="H2117">
        <v>656.0</v>
      </c>
      <c r="I2117" t="s">
        <v>529</v>
      </c>
      <c r="J2117" t="s">
        <v>530</v>
      </c>
      <c r="K2117" t="s">
        <v>31</v>
      </c>
      <c r="L2117" t="s">
        <v>32</v>
      </c>
      <c r="M2117" t="s">
        <v>33</v>
      </c>
      <c r="P2117" s="1" t="s">
        <v>7724</v>
      </c>
      <c r="Q2117" s="1" t="s">
        <v>7413</v>
      </c>
      <c r="R2117" s="1" t="s">
        <v>6700</v>
      </c>
      <c r="S2117" s="1"/>
      <c r="T2117" s="1" t="s">
        <v>1171</v>
      </c>
      <c r="U2117" s="1"/>
      <c r="V2117" s="1">
        <v>656.0</v>
      </c>
      <c r="W2117" s="1">
        <v>656.0</v>
      </c>
      <c r="X2117" s="1" t="s">
        <v>35</v>
      </c>
      <c r="Y2117" s="1">
        <v>656000.0</v>
      </c>
      <c r="Z2117" s="1"/>
      <c r="AA2117" s="1">
        <v>656000.0</v>
      </c>
      <c r="AB2117" s="1"/>
      <c r="AC2117" s="1" t="s">
        <v>36</v>
      </c>
      <c r="AD2117" s="1" t="s">
        <v>7725</v>
      </c>
      <c r="AE2117" s="1" t="s">
        <v>32</v>
      </c>
      <c r="AF2117" s="1" t="s">
        <v>33</v>
      </c>
      <c r="AG2117" s="1" t="s">
        <v>530</v>
      </c>
    </row>
    <row r="2118" spans="1:33">
      <c r="A2118" t="s">
        <v>7726</v>
      </c>
      <c r="B2118" t="s">
        <v>7727</v>
      </c>
      <c r="C2118" t="s">
        <v>7728</v>
      </c>
      <c r="E2118" t="s">
        <v>7413</v>
      </c>
      <c r="F2118" t="s">
        <v>7318</v>
      </c>
      <c r="G2118">
        <v>210.0</v>
      </c>
      <c r="H2118">
        <v>210.0</v>
      </c>
      <c r="I2118" t="s">
        <v>529</v>
      </c>
      <c r="J2118" t="s">
        <v>530</v>
      </c>
      <c r="K2118" t="s">
        <v>31</v>
      </c>
      <c r="L2118" t="s">
        <v>32</v>
      </c>
      <c r="M2118" t="s">
        <v>33</v>
      </c>
      <c r="P2118" s="1" t="s">
        <v>7729</v>
      </c>
      <c r="Q2118" s="1" t="s">
        <v>7413</v>
      </c>
      <c r="R2118" s="1" t="s">
        <v>6700</v>
      </c>
      <c r="S2118" s="1"/>
      <c r="T2118" s="1" t="s">
        <v>7728</v>
      </c>
      <c r="U2118" s="1"/>
      <c r="V2118" s="1">
        <v>210.0</v>
      </c>
      <c r="W2118" s="1">
        <v>210.0</v>
      </c>
      <c r="X2118" s="1" t="s">
        <v>35</v>
      </c>
      <c r="Y2118" s="1">
        <v>210000.0</v>
      </c>
      <c r="Z2118" s="1"/>
      <c r="AA2118" s="1">
        <v>210000.0</v>
      </c>
      <c r="AB2118" s="1"/>
      <c r="AC2118" s="1" t="s">
        <v>36</v>
      </c>
      <c r="AD2118" s="1" t="s">
        <v>7730</v>
      </c>
      <c r="AE2118" s="1" t="s">
        <v>32</v>
      </c>
      <c r="AF2118" s="1" t="s">
        <v>33</v>
      </c>
      <c r="AG2118" s="1" t="s">
        <v>530</v>
      </c>
    </row>
    <row r="2119" spans="1:33">
      <c r="A2119" t="s">
        <v>7731</v>
      </c>
      <c r="C2119" t="s">
        <v>1166</v>
      </c>
      <c r="E2119" t="s">
        <v>7413</v>
      </c>
      <c r="F2119" t="s">
        <v>7318</v>
      </c>
      <c r="G2119">
        <v>356.0</v>
      </c>
      <c r="H2119">
        <v>356.0</v>
      </c>
      <c r="I2119" t="s">
        <v>94</v>
      </c>
      <c r="J2119" t="s">
        <v>95</v>
      </c>
      <c r="K2119" t="s">
        <v>31</v>
      </c>
      <c r="L2119" t="s">
        <v>32</v>
      </c>
      <c r="M2119" t="s">
        <v>33</v>
      </c>
      <c r="P2119" s="1" t="s">
        <v>7732</v>
      </c>
      <c r="Q2119" s="1" t="s">
        <v>7413</v>
      </c>
      <c r="R2119" s="1" t="s">
        <v>7413</v>
      </c>
      <c r="S2119" s="1"/>
      <c r="T2119" s="1" t="s">
        <v>1166</v>
      </c>
      <c r="U2119" s="1"/>
      <c r="V2119" s="1">
        <v>356.0</v>
      </c>
      <c r="W2119" s="1">
        <v>356.0</v>
      </c>
      <c r="X2119" s="1" t="s">
        <v>35</v>
      </c>
      <c r="Y2119" s="1">
        <v>356000.0</v>
      </c>
      <c r="Z2119" s="1"/>
      <c r="AA2119" s="1">
        <v>356000.0</v>
      </c>
      <c r="AB2119" s="1"/>
      <c r="AC2119" s="1" t="s">
        <v>36</v>
      </c>
      <c r="AD2119" s="1" t="s">
        <v>7719</v>
      </c>
      <c r="AE2119" s="1" t="s">
        <v>32</v>
      </c>
      <c r="AF2119" s="1" t="s">
        <v>33</v>
      </c>
      <c r="AG2119" s="1" t="s">
        <v>95</v>
      </c>
    </row>
    <row r="2120" spans="1:33">
      <c r="A2120" t="s">
        <v>7733</v>
      </c>
      <c r="C2120" t="s">
        <v>7734</v>
      </c>
      <c r="E2120" t="s">
        <v>7413</v>
      </c>
      <c r="F2120" t="s">
        <v>7318</v>
      </c>
      <c r="G2120">
        <v>998.0</v>
      </c>
      <c r="H2120">
        <v>998.0</v>
      </c>
      <c r="I2120" t="s">
        <v>570</v>
      </c>
      <c r="J2120" t="s">
        <v>571</v>
      </c>
      <c r="K2120" t="s">
        <v>31</v>
      </c>
      <c r="L2120" t="s">
        <v>32</v>
      </c>
      <c r="M2120" t="s">
        <v>33</v>
      </c>
      <c r="P2120" s="1" t="s">
        <v>7735</v>
      </c>
      <c r="Q2120" s="1" t="s">
        <v>7413</v>
      </c>
      <c r="R2120" s="1" t="s">
        <v>7413</v>
      </c>
      <c r="S2120" s="1"/>
      <c r="T2120" s="1" t="s">
        <v>7734</v>
      </c>
      <c r="U2120" s="1"/>
      <c r="V2120" s="1">
        <v>998.0</v>
      </c>
      <c r="W2120" s="1">
        <v>998.0</v>
      </c>
      <c r="X2120" s="1" t="s">
        <v>35</v>
      </c>
      <c r="Y2120" s="1">
        <v>998000.0</v>
      </c>
      <c r="Z2120" s="1"/>
      <c r="AA2120" s="1">
        <v>998000.0</v>
      </c>
      <c r="AB2120" s="1"/>
      <c r="AC2120" s="1" t="s">
        <v>36</v>
      </c>
      <c r="AD2120" s="1" t="s">
        <v>7730</v>
      </c>
      <c r="AE2120" s="1" t="s">
        <v>32</v>
      </c>
      <c r="AF2120" s="1" t="s">
        <v>33</v>
      </c>
      <c r="AG2120" s="1" t="s">
        <v>571</v>
      </c>
    </row>
    <row r="2121" spans="1:33">
      <c r="A2121" t="s">
        <v>7736</v>
      </c>
      <c r="B2121" t="s">
        <v>3824</v>
      </c>
      <c r="C2121" t="s">
        <v>314</v>
      </c>
      <c r="E2121" t="s">
        <v>7413</v>
      </c>
      <c r="F2121" t="s">
        <v>7318</v>
      </c>
      <c r="G2121">
        <v>74.98</v>
      </c>
      <c r="H2121">
        <v>74.98</v>
      </c>
      <c r="I2121" t="s">
        <v>179</v>
      </c>
      <c r="J2121" t="s">
        <v>180</v>
      </c>
      <c r="K2121" t="s">
        <v>31</v>
      </c>
      <c r="L2121" t="s">
        <v>32</v>
      </c>
      <c r="M2121" t="s">
        <v>33</v>
      </c>
      <c r="P2121" s="1" t="s">
        <v>7737</v>
      </c>
      <c r="Q2121" s="1" t="s">
        <v>7413</v>
      </c>
      <c r="R2121" s="1" t="s">
        <v>7413</v>
      </c>
      <c r="S2121" s="1"/>
      <c r="T2121" s="1" t="s">
        <v>314</v>
      </c>
      <c r="U2121" s="1"/>
      <c r="V2121" s="1">
        <v>74.98</v>
      </c>
      <c r="W2121" s="1">
        <v>74.98</v>
      </c>
      <c r="X2121" s="1" t="s">
        <v>35</v>
      </c>
      <c r="Y2121" s="1">
        <v>74980.0</v>
      </c>
      <c r="Z2121" s="1"/>
      <c r="AA2121" s="1">
        <v>74980.0</v>
      </c>
      <c r="AB2121" s="1"/>
      <c r="AC2121" s="1" t="s">
        <v>36</v>
      </c>
      <c r="AD2121" s="1" t="s">
        <v>7719</v>
      </c>
      <c r="AE2121" s="1" t="s">
        <v>32</v>
      </c>
      <c r="AF2121" s="1" t="s">
        <v>33</v>
      </c>
      <c r="AG2121" s="1" t="s">
        <v>180</v>
      </c>
    </row>
    <row r="2122" spans="1:33">
      <c r="A2122" t="s">
        <v>7738</v>
      </c>
      <c r="C2122" t="s">
        <v>4934</v>
      </c>
      <c r="E2122" t="s">
        <v>7413</v>
      </c>
      <c r="F2122" t="s">
        <v>7318</v>
      </c>
      <c r="G2122">
        <v>407.0</v>
      </c>
      <c r="H2122">
        <v>407.0</v>
      </c>
      <c r="I2122" t="s">
        <v>269</v>
      </c>
      <c r="J2122" t="s">
        <v>270</v>
      </c>
      <c r="K2122" t="s">
        <v>31</v>
      </c>
      <c r="L2122" t="s">
        <v>32</v>
      </c>
      <c r="M2122" t="s">
        <v>33</v>
      </c>
      <c r="P2122" s="1" t="s">
        <v>7739</v>
      </c>
      <c r="Q2122" s="1" t="s">
        <v>7413</v>
      </c>
      <c r="R2122" s="1" t="s">
        <v>7413</v>
      </c>
      <c r="S2122" s="1"/>
      <c r="T2122" s="1" t="s">
        <v>4936</v>
      </c>
      <c r="U2122" s="1" t="s">
        <v>4937</v>
      </c>
      <c r="V2122" s="1">
        <v>407.0</v>
      </c>
      <c r="W2122" s="1">
        <v>407.0</v>
      </c>
      <c r="X2122" s="1" t="s">
        <v>35</v>
      </c>
      <c r="Y2122" s="1">
        <v>407000.0</v>
      </c>
      <c r="Z2122" s="1"/>
      <c r="AA2122" s="1">
        <v>407000.0</v>
      </c>
      <c r="AB2122" s="1"/>
      <c r="AC2122" s="1" t="s">
        <v>36</v>
      </c>
      <c r="AD2122" s="1" t="s">
        <v>7740</v>
      </c>
      <c r="AE2122" s="1" t="s">
        <v>32</v>
      </c>
      <c r="AF2122" s="1" t="s">
        <v>33</v>
      </c>
      <c r="AG2122" s="1" t="s">
        <v>270</v>
      </c>
    </row>
    <row r="2123" spans="1:33">
      <c r="A2123" t="s">
        <v>7741</v>
      </c>
      <c r="B2123" t="s">
        <v>57</v>
      </c>
      <c r="C2123" t="s">
        <v>58</v>
      </c>
      <c r="E2123" t="s">
        <v>7413</v>
      </c>
      <c r="F2123" t="s">
        <v>7318</v>
      </c>
      <c r="G2123">
        <v>335.0</v>
      </c>
      <c r="H2123">
        <v>335.0</v>
      </c>
      <c r="I2123" t="s">
        <v>59</v>
      </c>
      <c r="J2123" t="s">
        <v>60</v>
      </c>
      <c r="K2123" t="s">
        <v>31</v>
      </c>
      <c r="L2123" t="s">
        <v>32</v>
      </c>
      <c r="M2123" t="s">
        <v>33</v>
      </c>
      <c r="P2123" s="1" t="s">
        <v>7742</v>
      </c>
      <c r="Q2123" s="1" t="s">
        <v>7413</v>
      </c>
      <c r="R2123" s="1" t="s">
        <v>7413</v>
      </c>
      <c r="S2123" s="1"/>
      <c r="T2123" s="1" t="s">
        <v>58</v>
      </c>
      <c r="U2123" s="1"/>
      <c r="V2123" s="1">
        <v>335.0</v>
      </c>
      <c r="W2123" s="1">
        <v>335.0</v>
      </c>
      <c r="X2123" s="1" t="s">
        <v>35</v>
      </c>
      <c r="Y2123" s="1">
        <v>335000.0</v>
      </c>
      <c r="Z2123" s="1"/>
      <c r="AA2123" s="1">
        <v>335000.0</v>
      </c>
      <c r="AB2123" s="1"/>
      <c r="AC2123" s="1" t="s">
        <v>36</v>
      </c>
      <c r="AD2123" s="1" t="s">
        <v>7740</v>
      </c>
      <c r="AE2123" s="1" t="s">
        <v>32</v>
      </c>
      <c r="AF2123" s="1" t="s">
        <v>33</v>
      </c>
      <c r="AG2123" s="1" t="s">
        <v>60</v>
      </c>
    </row>
    <row r="2124" spans="1:33">
      <c r="A2124" t="s">
        <v>7743</v>
      </c>
      <c r="B2124" t="s">
        <v>7744</v>
      </c>
      <c r="C2124" t="s">
        <v>68</v>
      </c>
      <c r="E2124" t="s">
        <v>7413</v>
      </c>
      <c r="F2124" t="s">
        <v>7318</v>
      </c>
      <c r="G2124">
        <v>25.0</v>
      </c>
      <c r="H2124">
        <v>25.0</v>
      </c>
      <c r="I2124" t="s">
        <v>59</v>
      </c>
      <c r="J2124" t="s">
        <v>60</v>
      </c>
      <c r="K2124" t="s">
        <v>31</v>
      </c>
      <c r="L2124" t="s">
        <v>32</v>
      </c>
      <c r="M2124" t="s">
        <v>33</v>
      </c>
      <c r="P2124" s="1" t="s">
        <v>7745</v>
      </c>
      <c r="Q2124" s="1" t="s">
        <v>7413</v>
      </c>
      <c r="R2124" s="1" t="s">
        <v>7413</v>
      </c>
      <c r="S2124" s="1"/>
      <c r="T2124" s="1" t="s">
        <v>68</v>
      </c>
      <c r="U2124" s="1"/>
      <c r="V2124" s="1">
        <v>25.0</v>
      </c>
      <c r="W2124" s="1">
        <v>25.0</v>
      </c>
      <c r="X2124" s="1" t="s">
        <v>35</v>
      </c>
      <c r="Y2124" s="1">
        <v>25000.0</v>
      </c>
      <c r="Z2124" s="1"/>
      <c r="AA2124" s="1">
        <v>25000.0</v>
      </c>
      <c r="AB2124" s="1"/>
      <c r="AC2124" s="1" t="s">
        <v>36</v>
      </c>
      <c r="AD2124" s="1" t="s">
        <v>7746</v>
      </c>
      <c r="AE2124" s="1" t="s">
        <v>32</v>
      </c>
      <c r="AF2124" s="1" t="s">
        <v>33</v>
      </c>
      <c r="AG2124" s="1" t="s">
        <v>60</v>
      </c>
    </row>
    <row r="2125" spans="1:33">
      <c r="A2125" t="s">
        <v>7747</v>
      </c>
      <c r="C2125" t="s">
        <v>3689</v>
      </c>
      <c r="E2125" t="s">
        <v>7413</v>
      </c>
      <c r="F2125" t="s">
        <v>7318</v>
      </c>
      <c r="G2125">
        <v>405.0</v>
      </c>
      <c r="H2125">
        <v>405.0</v>
      </c>
      <c r="I2125" t="s">
        <v>179</v>
      </c>
      <c r="J2125" t="s">
        <v>180</v>
      </c>
      <c r="K2125" t="s">
        <v>31</v>
      </c>
      <c r="L2125" t="s">
        <v>32</v>
      </c>
      <c r="M2125" t="s">
        <v>33</v>
      </c>
      <c r="P2125" s="1" t="s">
        <v>7748</v>
      </c>
      <c r="Q2125" s="1" t="s">
        <v>7413</v>
      </c>
      <c r="R2125" s="1" t="s">
        <v>7413</v>
      </c>
      <c r="S2125" s="1"/>
      <c r="T2125" s="1" t="s">
        <v>3689</v>
      </c>
      <c r="U2125" s="1"/>
      <c r="V2125" s="1">
        <v>405.0</v>
      </c>
      <c r="W2125" s="1">
        <v>405.0</v>
      </c>
      <c r="X2125" s="1" t="s">
        <v>35</v>
      </c>
      <c r="Y2125" s="1">
        <v>405000.0</v>
      </c>
      <c r="Z2125" s="1"/>
      <c r="AA2125" s="1">
        <v>405000.0</v>
      </c>
      <c r="AB2125" s="1"/>
      <c r="AC2125" s="1" t="s">
        <v>36</v>
      </c>
      <c r="AD2125" s="1" t="s">
        <v>7749</v>
      </c>
      <c r="AE2125" s="1" t="s">
        <v>32</v>
      </c>
      <c r="AF2125" s="1" t="s">
        <v>33</v>
      </c>
      <c r="AG2125" s="1" t="s">
        <v>180</v>
      </c>
    </row>
    <row r="2126" spans="1:33">
      <c r="A2126" t="s">
        <v>7750</v>
      </c>
      <c r="C2126" t="s">
        <v>7751</v>
      </c>
      <c r="E2126" t="s">
        <v>7413</v>
      </c>
      <c r="F2126" t="s">
        <v>7318</v>
      </c>
      <c r="G2126">
        <v>950.5</v>
      </c>
      <c r="H2126">
        <v>950.5</v>
      </c>
      <c r="I2126" t="s">
        <v>269</v>
      </c>
      <c r="J2126" t="s">
        <v>270</v>
      </c>
      <c r="K2126" t="s">
        <v>31</v>
      </c>
      <c r="L2126" t="s">
        <v>32</v>
      </c>
      <c r="M2126" t="s">
        <v>33</v>
      </c>
      <c r="P2126" s="1" t="s">
        <v>7752</v>
      </c>
      <c r="Q2126" s="1" t="s">
        <v>7413</v>
      </c>
      <c r="R2126" s="1" t="s">
        <v>7413</v>
      </c>
      <c r="S2126" s="1"/>
      <c r="T2126" s="1" t="s">
        <v>7751</v>
      </c>
      <c r="U2126" s="1"/>
      <c r="V2126" s="1">
        <v>950.5</v>
      </c>
      <c r="W2126" s="1">
        <v>950.5</v>
      </c>
      <c r="X2126" s="1" t="s">
        <v>35</v>
      </c>
      <c r="Y2126" s="1">
        <v>950500.0</v>
      </c>
      <c r="Z2126" s="1"/>
      <c r="AA2126" s="1">
        <v>950500.0</v>
      </c>
      <c r="AB2126" s="1"/>
      <c r="AC2126" s="1" t="s">
        <v>36</v>
      </c>
      <c r="AD2126" s="1" t="s">
        <v>7753</v>
      </c>
      <c r="AE2126" s="1" t="s">
        <v>32</v>
      </c>
      <c r="AF2126" s="1" t="s">
        <v>33</v>
      </c>
      <c r="AG2126" s="1" t="s">
        <v>270</v>
      </c>
    </row>
    <row r="2127" spans="1:33">
      <c r="A2127" t="s">
        <v>7754</v>
      </c>
      <c r="C2127" t="s">
        <v>558</v>
      </c>
      <c r="D2127" t="s">
        <v>154</v>
      </c>
      <c r="E2127" t="s">
        <v>7413</v>
      </c>
      <c r="F2127" t="s">
        <v>7318</v>
      </c>
      <c r="G2127">
        <v>604.5</v>
      </c>
      <c r="H2127">
        <v>604.5</v>
      </c>
      <c r="I2127" t="s">
        <v>269</v>
      </c>
      <c r="J2127" t="s">
        <v>270</v>
      </c>
      <c r="K2127" t="s">
        <v>31</v>
      </c>
      <c r="L2127" t="s">
        <v>32</v>
      </c>
      <c r="M2127" t="s">
        <v>33</v>
      </c>
      <c r="P2127" s="1" t="s">
        <v>7755</v>
      </c>
      <c r="Q2127" s="1" t="s">
        <v>7413</v>
      </c>
      <c r="R2127" s="1" t="s">
        <v>7413</v>
      </c>
      <c r="S2127" s="1"/>
      <c r="T2127" s="1" t="s">
        <v>560</v>
      </c>
      <c r="U2127" s="1" t="s">
        <v>561</v>
      </c>
      <c r="V2127" s="1">
        <v>604.5</v>
      </c>
      <c r="W2127" s="1">
        <v>604.5</v>
      </c>
      <c r="X2127" s="1" t="s">
        <v>35</v>
      </c>
      <c r="Y2127" s="1">
        <v>604500.0</v>
      </c>
      <c r="Z2127" s="1"/>
      <c r="AA2127" s="1">
        <v>604500.0</v>
      </c>
      <c r="AB2127" s="1"/>
      <c r="AC2127" s="1" t="s">
        <v>36</v>
      </c>
      <c r="AD2127" s="1" t="s">
        <v>7756</v>
      </c>
      <c r="AE2127" s="1" t="s">
        <v>32</v>
      </c>
      <c r="AF2127" s="1" t="s">
        <v>33</v>
      </c>
      <c r="AG2127" s="1" t="s">
        <v>270</v>
      </c>
    </row>
    <row r="2128" spans="1:33">
      <c r="A2128" t="s">
        <v>7757</v>
      </c>
      <c r="B2128" t="s">
        <v>7758</v>
      </c>
      <c r="C2128" t="s">
        <v>314</v>
      </c>
      <c r="E2128" t="s">
        <v>7413</v>
      </c>
      <c r="F2128" t="s">
        <v>7318</v>
      </c>
      <c r="G2128">
        <v>14.332</v>
      </c>
      <c r="H2128">
        <v>14.332</v>
      </c>
      <c r="I2128" t="s">
        <v>179</v>
      </c>
      <c r="J2128" t="s">
        <v>180</v>
      </c>
      <c r="K2128" t="s">
        <v>31</v>
      </c>
      <c r="L2128" t="s">
        <v>32</v>
      </c>
      <c r="M2128" t="s">
        <v>33</v>
      </c>
      <c r="P2128" s="1" t="s">
        <v>7759</v>
      </c>
      <c r="Q2128" s="1" t="s">
        <v>7413</v>
      </c>
      <c r="R2128" s="1" t="s">
        <v>7413</v>
      </c>
      <c r="S2128" s="1"/>
      <c r="T2128" s="1" t="s">
        <v>314</v>
      </c>
      <c r="U2128" s="1"/>
      <c r="V2128" s="1">
        <v>14.332</v>
      </c>
      <c r="W2128" s="1">
        <v>14.332</v>
      </c>
      <c r="X2128" s="1" t="s">
        <v>35</v>
      </c>
      <c r="Y2128" s="1">
        <v>14332.0</v>
      </c>
      <c r="Z2128" s="1"/>
      <c r="AA2128" s="1">
        <v>14332.0</v>
      </c>
      <c r="AB2128" s="1"/>
      <c r="AC2128" s="1" t="s">
        <v>36</v>
      </c>
      <c r="AD2128" s="1" t="s">
        <v>7760</v>
      </c>
      <c r="AE2128" s="1" t="s">
        <v>32</v>
      </c>
      <c r="AF2128" s="1" t="s">
        <v>33</v>
      </c>
      <c r="AG2128" s="1" t="s">
        <v>180</v>
      </c>
    </row>
    <row r="2129" spans="1:33">
      <c r="A2129" t="s">
        <v>7761</v>
      </c>
      <c r="C2129" t="s">
        <v>3901</v>
      </c>
      <c r="D2129" t="s">
        <v>114</v>
      </c>
      <c r="E2129" t="s">
        <v>7413</v>
      </c>
      <c r="F2129" t="s">
        <v>7318</v>
      </c>
      <c r="G2129">
        <v>42.0</v>
      </c>
      <c r="H2129">
        <v>42.0</v>
      </c>
      <c r="I2129" t="s">
        <v>269</v>
      </c>
      <c r="J2129" t="s">
        <v>270</v>
      </c>
      <c r="K2129" t="s">
        <v>31</v>
      </c>
      <c r="L2129" t="s">
        <v>32</v>
      </c>
      <c r="M2129" t="s">
        <v>33</v>
      </c>
      <c r="P2129" s="1" t="s">
        <v>7762</v>
      </c>
      <c r="Q2129" s="1" t="s">
        <v>7413</v>
      </c>
      <c r="R2129" s="1" t="s">
        <v>7413</v>
      </c>
      <c r="S2129" s="1"/>
      <c r="T2129" s="1" t="s">
        <v>3901</v>
      </c>
      <c r="U2129" s="1"/>
      <c r="V2129" s="1">
        <v>42.0</v>
      </c>
      <c r="W2129" s="1">
        <v>42.0</v>
      </c>
      <c r="X2129" s="1" t="s">
        <v>35</v>
      </c>
      <c r="Y2129" s="1">
        <v>42000.0</v>
      </c>
      <c r="Z2129" s="1"/>
      <c r="AA2129" s="1">
        <v>42000.0</v>
      </c>
      <c r="AB2129" s="1"/>
      <c r="AC2129" s="1" t="s">
        <v>36</v>
      </c>
      <c r="AD2129" s="1" t="s">
        <v>7763</v>
      </c>
      <c r="AE2129" s="1" t="s">
        <v>32</v>
      </c>
      <c r="AF2129" s="1" t="s">
        <v>33</v>
      </c>
      <c r="AG2129" s="1" t="s">
        <v>270</v>
      </c>
    </row>
    <row r="2130" spans="1:33">
      <c r="A2130" t="s">
        <v>7764</v>
      </c>
      <c r="C2130" t="s">
        <v>4236</v>
      </c>
      <c r="E2130" t="s">
        <v>7413</v>
      </c>
      <c r="F2130" t="s">
        <v>7318</v>
      </c>
      <c r="G2130">
        <v>470.3</v>
      </c>
      <c r="H2130">
        <v>470.3</v>
      </c>
      <c r="I2130" t="s">
        <v>179</v>
      </c>
      <c r="J2130" t="s">
        <v>180</v>
      </c>
      <c r="K2130" t="s">
        <v>31</v>
      </c>
      <c r="L2130" t="s">
        <v>32</v>
      </c>
      <c r="M2130" t="s">
        <v>33</v>
      </c>
      <c r="P2130" s="1" t="s">
        <v>7765</v>
      </c>
      <c r="Q2130" s="1" t="s">
        <v>7413</v>
      </c>
      <c r="R2130" s="1" t="s">
        <v>7413</v>
      </c>
      <c r="S2130" s="1"/>
      <c r="T2130" s="1" t="s">
        <v>4236</v>
      </c>
      <c r="U2130" s="1"/>
      <c r="V2130" s="1">
        <v>470.3</v>
      </c>
      <c r="W2130" s="1">
        <v>470.3</v>
      </c>
      <c r="X2130" s="1" t="s">
        <v>35</v>
      </c>
      <c r="Y2130" s="1">
        <v>470300.0</v>
      </c>
      <c r="Z2130" s="1"/>
      <c r="AA2130" s="1">
        <v>470300.0</v>
      </c>
      <c r="AB2130" s="1"/>
      <c r="AC2130" s="1" t="s">
        <v>36</v>
      </c>
      <c r="AD2130" s="1" t="s">
        <v>7766</v>
      </c>
      <c r="AE2130" s="1" t="s">
        <v>32</v>
      </c>
      <c r="AF2130" s="1" t="s">
        <v>33</v>
      </c>
      <c r="AG2130" s="1" t="s">
        <v>180</v>
      </c>
    </row>
    <row r="2131" spans="1:33">
      <c r="A2131" t="s">
        <v>7767</v>
      </c>
      <c r="C2131" t="s">
        <v>1197</v>
      </c>
      <c r="D2131" t="s">
        <v>154</v>
      </c>
      <c r="E2131" t="s">
        <v>7413</v>
      </c>
      <c r="F2131" t="s">
        <v>7318</v>
      </c>
      <c r="G2131">
        <v>688.0</v>
      </c>
      <c r="H2131">
        <v>688.0</v>
      </c>
      <c r="I2131" t="s">
        <v>269</v>
      </c>
      <c r="J2131" t="s">
        <v>270</v>
      </c>
      <c r="K2131" t="s">
        <v>31</v>
      </c>
      <c r="L2131" t="s">
        <v>32</v>
      </c>
      <c r="M2131" t="s">
        <v>33</v>
      </c>
      <c r="P2131" s="1" t="s">
        <v>7768</v>
      </c>
      <c r="Q2131" s="1" t="s">
        <v>7413</v>
      </c>
      <c r="R2131" s="1" t="s">
        <v>7413</v>
      </c>
      <c r="S2131" s="1"/>
      <c r="T2131" s="1" t="s">
        <v>1197</v>
      </c>
      <c r="U2131" s="1"/>
      <c r="V2131" s="1">
        <v>688.0</v>
      </c>
      <c r="W2131" s="1">
        <v>688.0</v>
      </c>
      <c r="X2131" s="1" t="s">
        <v>35</v>
      </c>
      <c r="Y2131" s="1">
        <v>688000.0</v>
      </c>
      <c r="Z2131" s="1"/>
      <c r="AA2131" s="1">
        <v>688000.0</v>
      </c>
      <c r="AB2131" s="1"/>
      <c r="AC2131" s="1" t="s">
        <v>36</v>
      </c>
      <c r="AD2131" s="1" t="s">
        <v>7769</v>
      </c>
      <c r="AE2131" s="1" t="s">
        <v>32</v>
      </c>
      <c r="AF2131" s="1" t="s">
        <v>33</v>
      </c>
      <c r="AG2131" s="1" t="s">
        <v>270</v>
      </c>
    </row>
    <row r="2132" spans="1:33">
      <c r="A2132" t="s">
        <v>7770</v>
      </c>
      <c r="B2132" t="s">
        <v>7771</v>
      </c>
      <c r="C2132" t="s">
        <v>172</v>
      </c>
      <c r="E2132" t="s">
        <v>7413</v>
      </c>
      <c r="F2132" t="s">
        <v>7318</v>
      </c>
      <c r="G2132">
        <v>33.98</v>
      </c>
      <c r="H2132">
        <v>33.98</v>
      </c>
      <c r="I2132" t="s">
        <v>173</v>
      </c>
      <c r="J2132" t="s">
        <v>174</v>
      </c>
      <c r="K2132" t="s">
        <v>31</v>
      </c>
      <c r="L2132" t="s">
        <v>32</v>
      </c>
      <c r="M2132" t="s">
        <v>33</v>
      </c>
      <c r="P2132" s="1" t="s">
        <v>7772</v>
      </c>
      <c r="Q2132" s="1" t="s">
        <v>7413</v>
      </c>
      <c r="R2132" s="1" t="s">
        <v>7413</v>
      </c>
      <c r="S2132" s="1"/>
      <c r="T2132" s="1" t="s">
        <v>172</v>
      </c>
      <c r="U2132" s="1"/>
      <c r="V2132" s="1">
        <v>33.98</v>
      </c>
      <c r="W2132" s="1">
        <v>33.98</v>
      </c>
      <c r="X2132" s="1" t="s">
        <v>35</v>
      </c>
      <c r="Y2132" s="1">
        <v>33980.0</v>
      </c>
      <c r="Z2132" s="1"/>
      <c r="AA2132" s="1">
        <v>33980.0</v>
      </c>
      <c r="AB2132" s="1"/>
      <c r="AC2132" s="1" t="s">
        <v>36</v>
      </c>
      <c r="AD2132" s="1" t="s">
        <v>7773</v>
      </c>
      <c r="AE2132" s="1" t="s">
        <v>32</v>
      </c>
      <c r="AF2132" s="1" t="s">
        <v>33</v>
      </c>
      <c r="AG2132" s="1" t="s">
        <v>174</v>
      </c>
    </row>
    <row r="2133" spans="1:33">
      <c r="A2133" t="s">
        <v>7774</v>
      </c>
      <c r="C2133" t="s">
        <v>7775</v>
      </c>
      <c r="E2133" t="s">
        <v>7413</v>
      </c>
      <c r="F2133" t="s">
        <v>7318</v>
      </c>
      <c r="G2133">
        <v>1.216</v>
      </c>
      <c r="H2133">
        <v>1.216</v>
      </c>
      <c r="I2133" t="s">
        <v>227</v>
      </c>
      <c r="J2133" t="s">
        <v>228</v>
      </c>
      <c r="K2133" t="s">
        <v>31</v>
      </c>
      <c r="L2133" t="s">
        <v>32</v>
      </c>
      <c r="M2133" t="s">
        <v>33</v>
      </c>
      <c r="P2133" s="1" t="s">
        <v>7776</v>
      </c>
      <c r="Q2133" s="1" t="s">
        <v>7413</v>
      </c>
      <c r="R2133" s="1" t="s">
        <v>7413</v>
      </c>
      <c r="S2133" s="1"/>
      <c r="T2133" s="1" t="s">
        <v>7777</v>
      </c>
      <c r="U2133" s="1" t="s">
        <v>7778</v>
      </c>
      <c r="V2133" s="1">
        <v>1.216</v>
      </c>
      <c r="W2133" s="1">
        <v>1.216</v>
      </c>
      <c r="X2133" s="1" t="s">
        <v>35</v>
      </c>
      <c r="Y2133" s="1">
        <v>1216000.0</v>
      </c>
      <c r="Z2133" s="1"/>
      <c r="AA2133" s="1">
        <v>1216000.0</v>
      </c>
      <c r="AB2133" s="1"/>
      <c r="AC2133" s="1" t="s">
        <v>36</v>
      </c>
      <c r="AD2133" s="1" t="s">
        <v>7779</v>
      </c>
      <c r="AE2133" s="1" t="s">
        <v>32</v>
      </c>
      <c r="AF2133" s="1" t="s">
        <v>33</v>
      </c>
      <c r="AG2133" s="1" t="s">
        <v>228</v>
      </c>
    </row>
    <row r="2134" spans="1:33">
      <c r="A2134" t="s">
        <v>7780</v>
      </c>
      <c r="B2134" t="s">
        <v>7781</v>
      </c>
      <c r="C2134" t="s">
        <v>314</v>
      </c>
      <c r="E2134" t="s">
        <v>7413</v>
      </c>
      <c r="F2134" t="s">
        <v>7318</v>
      </c>
      <c r="G2134">
        <v>21.24</v>
      </c>
      <c r="H2134">
        <v>21.24</v>
      </c>
      <c r="I2134" t="s">
        <v>179</v>
      </c>
      <c r="J2134" t="s">
        <v>180</v>
      </c>
      <c r="K2134" t="s">
        <v>31</v>
      </c>
      <c r="L2134" t="s">
        <v>32</v>
      </c>
      <c r="M2134" t="s">
        <v>33</v>
      </c>
      <c r="P2134" s="1" t="s">
        <v>7782</v>
      </c>
      <c r="Q2134" s="1" t="s">
        <v>7413</v>
      </c>
      <c r="R2134" s="1" t="s">
        <v>7413</v>
      </c>
      <c r="S2134" s="1"/>
      <c r="T2134" s="1" t="s">
        <v>314</v>
      </c>
      <c r="U2134" s="1"/>
      <c r="V2134" s="1">
        <v>21.24</v>
      </c>
      <c r="W2134" s="1">
        <v>21.24</v>
      </c>
      <c r="X2134" s="1" t="s">
        <v>35</v>
      </c>
      <c r="Y2134" s="1">
        <v>21240.0</v>
      </c>
      <c r="Z2134" s="1"/>
      <c r="AA2134" s="1">
        <v>21240.0</v>
      </c>
      <c r="AB2134" s="1"/>
      <c r="AC2134" s="1" t="s">
        <v>36</v>
      </c>
      <c r="AD2134" s="1" t="s">
        <v>7783</v>
      </c>
      <c r="AE2134" s="1" t="s">
        <v>32</v>
      </c>
      <c r="AF2134" s="1" t="s">
        <v>33</v>
      </c>
      <c r="AG2134" s="1" t="s">
        <v>180</v>
      </c>
    </row>
    <row r="2135" spans="1:33">
      <c r="A2135" t="s">
        <v>7784</v>
      </c>
      <c r="C2135" t="s">
        <v>7371</v>
      </c>
      <c r="D2135" t="s">
        <v>114</v>
      </c>
      <c r="E2135" t="s">
        <v>7413</v>
      </c>
      <c r="F2135" t="s">
        <v>7318</v>
      </c>
      <c r="G2135">
        <v>410.0</v>
      </c>
      <c r="H2135">
        <v>410.0</v>
      </c>
      <c r="I2135" t="s">
        <v>269</v>
      </c>
      <c r="J2135" t="s">
        <v>270</v>
      </c>
      <c r="K2135" t="s">
        <v>31</v>
      </c>
      <c r="L2135" t="s">
        <v>32</v>
      </c>
      <c r="M2135" t="s">
        <v>33</v>
      </c>
      <c r="P2135" s="1" t="s">
        <v>7785</v>
      </c>
      <c r="Q2135" s="1" t="s">
        <v>7413</v>
      </c>
      <c r="R2135" s="1" t="s">
        <v>7413</v>
      </c>
      <c r="S2135" s="1"/>
      <c r="T2135" s="1" t="s">
        <v>7371</v>
      </c>
      <c r="U2135" s="1"/>
      <c r="V2135" s="1">
        <v>410.0</v>
      </c>
      <c r="W2135" s="1">
        <v>410.0</v>
      </c>
      <c r="X2135" s="1" t="s">
        <v>35</v>
      </c>
      <c r="Y2135" s="1">
        <v>410000.0</v>
      </c>
      <c r="Z2135" s="1"/>
      <c r="AA2135" s="1">
        <v>410000.0</v>
      </c>
      <c r="AB2135" s="1"/>
      <c r="AC2135" s="1" t="s">
        <v>36</v>
      </c>
      <c r="AD2135" s="1" t="s">
        <v>7786</v>
      </c>
      <c r="AE2135" s="1" t="s">
        <v>32</v>
      </c>
      <c r="AF2135" s="1" t="s">
        <v>33</v>
      </c>
      <c r="AG2135" s="1" t="s">
        <v>270</v>
      </c>
    </row>
    <row r="2136" spans="1:33">
      <c r="A2136" t="s">
        <v>7787</v>
      </c>
      <c r="C2136" t="s">
        <v>3871</v>
      </c>
      <c r="E2136" t="s">
        <v>7413</v>
      </c>
      <c r="F2136" t="s">
        <v>7318</v>
      </c>
      <c r="G2136">
        <v>1.148</v>
      </c>
      <c r="H2136">
        <v>1.148</v>
      </c>
      <c r="I2136" t="s">
        <v>570</v>
      </c>
      <c r="J2136" t="s">
        <v>571</v>
      </c>
      <c r="K2136" t="s">
        <v>31</v>
      </c>
      <c r="L2136" t="s">
        <v>32</v>
      </c>
      <c r="M2136" t="s">
        <v>33</v>
      </c>
      <c r="P2136" s="1" t="s">
        <v>7788</v>
      </c>
      <c r="Q2136" s="1" t="s">
        <v>7413</v>
      </c>
      <c r="R2136" s="1" t="s">
        <v>7413</v>
      </c>
      <c r="S2136" s="1"/>
      <c r="T2136" s="1" t="s">
        <v>3871</v>
      </c>
      <c r="U2136" s="1"/>
      <c r="V2136" s="1">
        <v>1.148</v>
      </c>
      <c r="W2136" s="1">
        <v>1.148</v>
      </c>
      <c r="X2136" s="1" t="s">
        <v>35</v>
      </c>
      <c r="Y2136" s="1">
        <v>1148000.0</v>
      </c>
      <c r="Z2136" s="1"/>
      <c r="AA2136" s="1">
        <v>1148000.0</v>
      </c>
      <c r="AB2136" s="1"/>
      <c r="AC2136" s="1" t="s">
        <v>36</v>
      </c>
      <c r="AD2136" s="1" t="s">
        <v>7789</v>
      </c>
      <c r="AE2136" s="1" t="s">
        <v>32</v>
      </c>
      <c r="AF2136" s="1" t="s">
        <v>33</v>
      </c>
      <c r="AG2136" s="1" t="s">
        <v>571</v>
      </c>
    </row>
    <row r="2137" spans="1:33">
      <c r="A2137" t="s">
        <v>7790</v>
      </c>
      <c r="C2137" t="s">
        <v>3410</v>
      </c>
      <c r="E2137" t="s">
        <v>7413</v>
      </c>
      <c r="F2137" t="s">
        <v>7318</v>
      </c>
      <c r="G2137">
        <v>302.5</v>
      </c>
      <c r="H2137">
        <v>302.5</v>
      </c>
      <c r="I2137" t="s">
        <v>48</v>
      </c>
      <c r="J2137" t="s">
        <v>49</v>
      </c>
      <c r="K2137" t="s">
        <v>31</v>
      </c>
      <c r="L2137" t="s">
        <v>32</v>
      </c>
      <c r="M2137" t="s">
        <v>33</v>
      </c>
      <c r="P2137" s="1" t="s">
        <v>7791</v>
      </c>
      <c r="Q2137" s="1" t="s">
        <v>7413</v>
      </c>
      <c r="R2137" s="1" t="s">
        <v>7413</v>
      </c>
      <c r="S2137" s="1"/>
      <c r="T2137" s="1" t="s">
        <v>3410</v>
      </c>
      <c r="U2137" s="1"/>
      <c r="V2137" s="1">
        <v>302.5</v>
      </c>
      <c r="W2137" s="1">
        <v>302.5</v>
      </c>
      <c r="X2137" s="1" t="s">
        <v>35</v>
      </c>
      <c r="Y2137" s="1">
        <v>302500.0</v>
      </c>
      <c r="Z2137" s="1"/>
      <c r="AA2137" s="1">
        <v>302500.0</v>
      </c>
      <c r="AB2137" s="1"/>
      <c r="AC2137" s="1" t="s">
        <v>36</v>
      </c>
      <c r="AD2137" s="1" t="s">
        <v>7792</v>
      </c>
      <c r="AE2137" s="1" t="s">
        <v>32</v>
      </c>
      <c r="AF2137" s="1" t="s">
        <v>33</v>
      </c>
      <c r="AG2137" s="1" t="s">
        <v>49</v>
      </c>
    </row>
    <row r="2138" spans="1:33">
      <c r="A2138" t="s">
        <v>7793</v>
      </c>
      <c r="B2138" t="s">
        <v>7794</v>
      </c>
      <c r="C2138" t="s">
        <v>47</v>
      </c>
      <c r="E2138" t="s">
        <v>7413</v>
      </c>
      <c r="F2138" t="s">
        <v>7318</v>
      </c>
      <c r="G2138">
        <v>72.73</v>
      </c>
      <c r="H2138">
        <v>72.73</v>
      </c>
      <c r="I2138" t="s">
        <v>48</v>
      </c>
      <c r="J2138" t="s">
        <v>49</v>
      </c>
      <c r="K2138" t="s">
        <v>31</v>
      </c>
      <c r="L2138" t="s">
        <v>32</v>
      </c>
      <c r="M2138" t="s">
        <v>33</v>
      </c>
      <c r="P2138" s="1" t="s">
        <v>7795</v>
      </c>
      <c r="Q2138" s="1" t="s">
        <v>7413</v>
      </c>
      <c r="R2138" s="1" t="s">
        <v>7413</v>
      </c>
      <c r="S2138" s="1"/>
      <c r="T2138" s="1" t="s">
        <v>47</v>
      </c>
      <c r="U2138" s="1"/>
      <c r="V2138" s="1">
        <v>72.73</v>
      </c>
      <c r="W2138" s="1">
        <v>72.73</v>
      </c>
      <c r="X2138" s="1" t="s">
        <v>35</v>
      </c>
      <c r="Y2138" s="1">
        <v>72730.0</v>
      </c>
      <c r="Z2138" s="1"/>
      <c r="AA2138" s="1">
        <v>72730.0</v>
      </c>
      <c r="AB2138" s="1"/>
      <c r="AC2138" s="1" t="s">
        <v>36</v>
      </c>
      <c r="AD2138" s="1" t="s">
        <v>7796</v>
      </c>
      <c r="AE2138" s="1" t="s">
        <v>32</v>
      </c>
      <c r="AF2138" s="1" t="s">
        <v>33</v>
      </c>
      <c r="AG2138" s="1" t="s">
        <v>49</v>
      </c>
    </row>
    <row r="2139" spans="1:33">
      <c r="A2139" t="s">
        <v>7797</v>
      </c>
      <c r="B2139" t="s">
        <v>7798</v>
      </c>
      <c r="C2139" t="s">
        <v>172</v>
      </c>
      <c r="E2139" t="s">
        <v>7413</v>
      </c>
      <c r="F2139" t="s">
        <v>7318</v>
      </c>
      <c r="G2139">
        <v>21.99</v>
      </c>
      <c r="H2139">
        <v>21.99</v>
      </c>
      <c r="I2139" t="s">
        <v>173</v>
      </c>
      <c r="J2139" t="s">
        <v>174</v>
      </c>
      <c r="K2139" t="s">
        <v>31</v>
      </c>
      <c r="L2139" t="s">
        <v>32</v>
      </c>
      <c r="M2139" t="s">
        <v>33</v>
      </c>
      <c r="P2139" s="1" t="s">
        <v>7799</v>
      </c>
      <c r="Q2139" s="1" t="s">
        <v>7413</v>
      </c>
      <c r="R2139" s="1" t="s">
        <v>7413</v>
      </c>
      <c r="S2139" s="1"/>
      <c r="T2139" s="1" t="s">
        <v>172</v>
      </c>
      <c r="U2139" s="1"/>
      <c r="V2139" s="1">
        <v>21.99</v>
      </c>
      <c r="W2139" s="1">
        <v>21.99</v>
      </c>
      <c r="X2139" s="1" t="s">
        <v>35</v>
      </c>
      <c r="Y2139" s="1">
        <v>21990.0</v>
      </c>
      <c r="Z2139" s="1"/>
      <c r="AA2139" s="1">
        <v>21990.0</v>
      </c>
      <c r="AB2139" s="1"/>
      <c r="AC2139" s="1" t="s">
        <v>36</v>
      </c>
      <c r="AD2139" s="1" t="s">
        <v>7800</v>
      </c>
      <c r="AE2139" s="1" t="s">
        <v>32</v>
      </c>
      <c r="AF2139" s="1" t="s">
        <v>33</v>
      </c>
      <c r="AG2139" s="1" t="s">
        <v>174</v>
      </c>
    </row>
    <row r="2140" spans="1:33">
      <c r="A2140" t="s">
        <v>7801</v>
      </c>
      <c r="B2140" t="s">
        <v>7802</v>
      </c>
      <c r="C2140" t="s">
        <v>47</v>
      </c>
      <c r="E2140" t="s">
        <v>7413</v>
      </c>
      <c r="F2140" t="s">
        <v>7318</v>
      </c>
      <c r="G2140">
        <v>137.14</v>
      </c>
      <c r="H2140">
        <v>137.14</v>
      </c>
      <c r="I2140" t="s">
        <v>48</v>
      </c>
      <c r="J2140" t="s">
        <v>49</v>
      </c>
      <c r="K2140" t="s">
        <v>31</v>
      </c>
      <c r="L2140" t="s">
        <v>32</v>
      </c>
      <c r="M2140" t="s">
        <v>33</v>
      </c>
      <c r="P2140" s="1" t="s">
        <v>7803</v>
      </c>
      <c r="Q2140" s="1" t="s">
        <v>7413</v>
      </c>
      <c r="R2140" s="1" t="s">
        <v>7413</v>
      </c>
      <c r="S2140" s="1"/>
      <c r="T2140" s="1" t="s">
        <v>47</v>
      </c>
      <c r="U2140" s="1"/>
      <c r="V2140" s="1">
        <v>137.14</v>
      </c>
      <c r="W2140" s="1">
        <v>137.14</v>
      </c>
      <c r="X2140" s="1" t="s">
        <v>35</v>
      </c>
      <c r="Y2140" s="1">
        <v>137140.0</v>
      </c>
      <c r="Z2140" s="1"/>
      <c r="AA2140" s="1">
        <v>137140.0</v>
      </c>
      <c r="AB2140" s="1"/>
      <c r="AC2140" s="1" t="s">
        <v>36</v>
      </c>
      <c r="AD2140" s="1" t="s">
        <v>7804</v>
      </c>
      <c r="AE2140" s="1" t="s">
        <v>32</v>
      </c>
      <c r="AF2140" s="1" t="s">
        <v>33</v>
      </c>
      <c r="AG2140" s="1" t="s">
        <v>49</v>
      </c>
    </row>
    <row r="2141" spans="1:33">
      <c r="A2141" t="s">
        <v>7805</v>
      </c>
      <c r="C2141" t="s">
        <v>2872</v>
      </c>
      <c r="E2141" t="s">
        <v>7413</v>
      </c>
      <c r="F2141" t="s">
        <v>7318</v>
      </c>
      <c r="G2141">
        <v>336.0</v>
      </c>
      <c r="H2141">
        <v>336.0</v>
      </c>
      <c r="I2141" t="s">
        <v>48</v>
      </c>
      <c r="J2141" t="s">
        <v>49</v>
      </c>
      <c r="K2141" t="s">
        <v>31</v>
      </c>
      <c r="L2141" t="s">
        <v>32</v>
      </c>
      <c r="M2141" t="s">
        <v>33</v>
      </c>
      <c r="P2141" s="1" t="s">
        <v>7806</v>
      </c>
      <c r="Q2141" s="1" t="s">
        <v>7413</v>
      </c>
      <c r="R2141" s="1" t="s">
        <v>7413</v>
      </c>
      <c r="S2141" s="1"/>
      <c r="T2141" s="1" t="s">
        <v>2872</v>
      </c>
      <c r="U2141" s="1"/>
      <c r="V2141" s="1">
        <v>336.0</v>
      </c>
      <c r="W2141" s="1">
        <v>336.0</v>
      </c>
      <c r="X2141" s="1" t="s">
        <v>35</v>
      </c>
      <c r="Y2141" s="1">
        <v>336000.0</v>
      </c>
      <c r="Z2141" s="1"/>
      <c r="AA2141" s="1">
        <v>336000.0</v>
      </c>
      <c r="AB2141" s="1"/>
      <c r="AC2141" s="1" t="s">
        <v>36</v>
      </c>
      <c r="AD2141" s="1" t="s">
        <v>7807</v>
      </c>
      <c r="AE2141" s="1" t="s">
        <v>32</v>
      </c>
      <c r="AF2141" s="1" t="s">
        <v>33</v>
      </c>
      <c r="AG2141" s="1" t="s">
        <v>49</v>
      </c>
    </row>
    <row r="2142" spans="1:33">
      <c r="A2142" t="s">
        <v>7808</v>
      </c>
      <c r="B2142" t="s">
        <v>7809</v>
      </c>
      <c r="C2142" t="s">
        <v>68</v>
      </c>
      <c r="E2142" t="s">
        <v>7413</v>
      </c>
      <c r="F2142" t="s">
        <v>7318</v>
      </c>
      <c r="G2142">
        <v>8.058</v>
      </c>
      <c r="H2142">
        <v>8.058</v>
      </c>
      <c r="I2142" t="s">
        <v>59</v>
      </c>
      <c r="J2142" t="s">
        <v>60</v>
      </c>
      <c r="K2142" t="s">
        <v>31</v>
      </c>
      <c r="L2142" t="s">
        <v>32</v>
      </c>
      <c r="M2142" t="s">
        <v>33</v>
      </c>
      <c r="P2142" s="1" t="s">
        <v>7810</v>
      </c>
      <c r="Q2142" s="1" t="s">
        <v>7413</v>
      </c>
      <c r="R2142" s="1" t="s">
        <v>7413</v>
      </c>
      <c r="S2142" s="1"/>
      <c r="T2142" s="1" t="s">
        <v>68</v>
      </c>
      <c r="U2142" s="1"/>
      <c r="V2142" s="1">
        <v>8.058</v>
      </c>
      <c r="W2142" s="1">
        <v>8.058</v>
      </c>
      <c r="X2142" s="1" t="s">
        <v>35</v>
      </c>
      <c r="Y2142" s="1">
        <v>8058.0</v>
      </c>
      <c r="Z2142" s="1"/>
      <c r="AA2142" s="1">
        <v>8058.0</v>
      </c>
      <c r="AB2142" s="1"/>
      <c r="AC2142" s="1" t="s">
        <v>36</v>
      </c>
      <c r="AD2142" s="1" t="s">
        <v>7811</v>
      </c>
      <c r="AE2142" s="1" t="s">
        <v>32</v>
      </c>
      <c r="AF2142" s="1" t="s">
        <v>33</v>
      </c>
      <c r="AG2142" s="1" t="s">
        <v>60</v>
      </c>
    </row>
    <row r="2143" spans="1:33">
      <c r="A2143" t="s">
        <v>7812</v>
      </c>
      <c r="B2143" t="s">
        <v>57</v>
      </c>
      <c r="C2143" t="s">
        <v>58</v>
      </c>
      <c r="E2143" t="s">
        <v>7413</v>
      </c>
      <c r="F2143" t="s">
        <v>7318</v>
      </c>
      <c r="G2143">
        <v>375.0</v>
      </c>
      <c r="H2143">
        <v>375.0</v>
      </c>
      <c r="I2143" t="s">
        <v>59</v>
      </c>
      <c r="J2143" t="s">
        <v>60</v>
      </c>
      <c r="K2143" t="s">
        <v>31</v>
      </c>
      <c r="L2143" t="s">
        <v>32</v>
      </c>
      <c r="M2143" t="s">
        <v>33</v>
      </c>
      <c r="P2143" s="1" t="s">
        <v>7813</v>
      </c>
      <c r="Q2143" s="1" t="s">
        <v>7413</v>
      </c>
      <c r="R2143" s="1" t="s">
        <v>7413</v>
      </c>
      <c r="S2143" s="1"/>
      <c r="T2143" s="1" t="s">
        <v>58</v>
      </c>
      <c r="U2143" s="1"/>
      <c r="V2143" s="1">
        <v>375.0</v>
      </c>
      <c r="W2143" s="1">
        <v>375.0</v>
      </c>
      <c r="X2143" s="1" t="s">
        <v>35</v>
      </c>
      <c r="Y2143" s="1">
        <v>375000.0</v>
      </c>
      <c r="Z2143" s="1"/>
      <c r="AA2143" s="1">
        <v>375000.0</v>
      </c>
      <c r="AB2143" s="1"/>
      <c r="AC2143" s="1" t="s">
        <v>36</v>
      </c>
      <c r="AD2143" s="1" t="s">
        <v>7814</v>
      </c>
      <c r="AE2143" s="1" t="s">
        <v>32</v>
      </c>
      <c r="AF2143" s="1" t="s">
        <v>33</v>
      </c>
      <c r="AG2143" s="1" t="s">
        <v>60</v>
      </c>
    </row>
    <row r="2144" spans="1:33">
      <c r="A2144" t="s">
        <v>7815</v>
      </c>
      <c r="B2144" t="s">
        <v>7816</v>
      </c>
      <c r="C2144" t="s">
        <v>47</v>
      </c>
      <c r="E2144" t="s">
        <v>7413</v>
      </c>
      <c r="F2144" t="s">
        <v>7318</v>
      </c>
      <c r="G2144">
        <v>36.98</v>
      </c>
      <c r="H2144">
        <v>36.98</v>
      </c>
      <c r="I2144" t="s">
        <v>48</v>
      </c>
      <c r="J2144" t="s">
        <v>49</v>
      </c>
      <c r="K2144" t="s">
        <v>31</v>
      </c>
      <c r="L2144" t="s">
        <v>32</v>
      </c>
      <c r="M2144" t="s">
        <v>33</v>
      </c>
      <c r="P2144" s="1" t="s">
        <v>7817</v>
      </c>
      <c r="Q2144" s="1" t="s">
        <v>7413</v>
      </c>
      <c r="R2144" s="1" t="s">
        <v>7413</v>
      </c>
      <c r="S2144" s="1"/>
      <c r="T2144" s="1" t="s">
        <v>47</v>
      </c>
      <c r="U2144" s="1"/>
      <c r="V2144" s="1">
        <v>36.98</v>
      </c>
      <c r="W2144" s="1">
        <v>36.98</v>
      </c>
      <c r="X2144" s="1" t="s">
        <v>35</v>
      </c>
      <c r="Y2144" s="1">
        <v>36980.0</v>
      </c>
      <c r="Z2144" s="1"/>
      <c r="AA2144" s="1">
        <v>36980.0</v>
      </c>
      <c r="AB2144" s="1"/>
      <c r="AC2144" s="1" t="s">
        <v>36</v>
      </c>
      <c r="AD2144" s="1" t="s">
        <v>7811</v>
      </c>
      <c r="AE2144" s="1" t="s">
        <v>32</v>
      </c>
      <c r="AF2144" s="1" t="s">
        <v>33</v>
      </c>
      <c r="AG2144" s="1" t="s">
        <v>49</v>
      </c>
    </row>
    <row r="2145" spans="1:33">
      <c r="A2145" t="s">
        <v>7818</v>
      </c>
      <c r="B2145" t="s">
        <v>1317</v>
      </c>
      <c r="C2145" t="s">
        <v>1318</v>
      </c>
      <c r="E2145" t="s">
        <v>7413</v>
      </c>
      <c r="F2145" t="s">
        <v>7318</v>
      </c>
      <c r="G2145">
        <v>740.0</v>
      </c>
      <c r="H2145">
        <v>740.0</v>
      </c>
      <c r="I2145" t="s">
        <v>59</v>
      </c>
      <c r="J2145" t="s">
        <v>60</v>
      </c>
      <c r="K2145" t="s">
        <v>31</v>
      </c>
      <c r="L2145" t="s">
        <v>32</v>
      </c>
      <c r="M2145" t="s">
        <v>33</v>
      </c>
      <c r="P2145" s="1" t="s">
        <v>7819</v>
      </c>
      <c r="Q2145" s="1" t="s">
        <v>7413</v>
      </c>
      <c r="R2145" s="1" t="s">
        <v>7413</v>
      </c>
      <c r="S2145" s="1"/>
      <c r="T2145" s="1" t="s">
        <v>1318</v>
      </c>
      <c r="U2145" s="1"/>
      <c r="V2145" s="1">
        <v>740.0</v>
      </c>
      <c r="W2145" s="1">
        <v>740.0</v>
      </c>
      <c r="X2145" s="1" t="s">
        <v>35</v>
      </c>
      <c r="Y2145" s="1">
        <v>740000.0</v>
      </c>
      <c r="Z2145" s="1"/>
      <c r="AA2145" s="1">
        <v>740000.0</v>
      </c>
      <c r="AB2145" s="1"/>
      <c r="AC2145" s="1" t="s">
        <v>36</v>
      </c>
      <c r="AD2145" s="1" t="s">
        <v>7820</v>
      </c>
      <c r="AE2145" s="1" t="s">
        <v>32</v>
      </c>
      <c r="AF2145" s="1" t="s">
        <v>33</v>
      </c>
      <c r="AG2145" s="1" t="s">
        <v>60</v>
      </c>
    </row>
    <row r="2146" spans="1:33">
      <c r="A2146" t="s">
        <v>7821</v>
      </c>
      <c r="B2146" t="s">
        <v>206</v>
      </c>
      <c r="C2146" t="s">
        <v>207</v>
      </c>
      <c r="E2146" t="s">
        <v>7413</v>
      </c>
      <c r="F2146" t="s">
        <v>7318</v>
      </c>
      <c r="G2146">
        <v>454.0</v>
      </c>
      <c r="H2146">
        <v>454.0</v>
      </c>
      <c r="I2146" t="s">
        <v>59</v>
      </c>
      <c r="J2146" t="s">
        <v>60</v>
      </c>
      <c r="K2146" t="s">
        <v>31</v>
      </c>
      <c r="L2146" t="s">
        <v>32</v>
      </c>
      <c r="M2146" t="s">
        <v>33</v>
      </c>
      <c r="P2146" s="1" t="s">
        <v>7822</v>
      </c>
      <c r="Q2146" s="1" t="s">
        <v>7413</v>
      </c>
      <c r="R2146" s="1" t="s">
        <v>7413</v>
      </c>
      <c r="S2146" s="1"/>
      <c r="T2146" s="1" t="s">
        <v>207</v>
      </c>
      <c r="U2146" s="1"/>
      <c r="V2146" s="1">
        <v>454.0</v>
      </c>
      <c r="W2146" s="1">
        <v>454.0</v>
      </c>
      <c r="X2146" s="1" t="s">
        <v>35</v>
      </c>
      <c r="Y2146" s="1">
        <v>454000.0</v>
      </c>
      <c r="Z2146" s="1"/>
      <c r="AA2146" s="1">
        <v>454000.0</v>
      </c>
      <c r="AB2146" s="1"/>
      <c r="AC2146" s="1" t="s">
        <v>36</v>
      </c>
      <c r="AD2146" s="1" t="s">
        <v>7823</v>
      </c>
      <c r="AE2146" s="1" t="s">
        <v>32</v>
      </c>
      <c r="AF2146" s="1" t="s">
        <v>33</v>
      </c>
      <c r="AG2146" s="1" t="s">
        <v>60</v>
      </c>
    </row>
    <row r="2147" spans="1:33">
      <c r="A2147" t="s">
        <v>7824</v>
      </c>
      <c r="B2147" t="s">
        <v>7825</v>
      </c>
      <c r="C2147" t="s">
        <v>131</v>
      </c>
      <c r="E2147" t="s">
        <v>7413</v>
      </c>
      <c r="F2147" t="s">
        <v>7318</v>
      </c>
      <c r="G2147">
        <v>28.49</v>
      </c>
      <c r="H2147">
        <v>28.49</v>
      </c>
      <c r="I2147" t="s">
        <v>94</v>
      </c>
      <c r="J2147" t="s">
        <v>95</v>
      </c>
      <c r="K2147" t="s">
        <v>31</v>
      </c>
      <c r="L2147" t="s">
        <v>32</v>
      </c>
      <c r="M2147" t="s">
        <v>33</v>
      </c>
      <c r="P2147" s="1" t="s">
        <v>7826</v>
      </c>
      <c r="Q2147" s="1" t="s">
        <v>7413</v>
      </c>
      <c r="R2147" s="1" t="s">
        <v>7413</v>
      </c>
      <c r="S2147" s="1"/>
      <c r="T2147" s="1" t="s">
        <v>131</v>
      </c>
      <c r="U2147" s="1"/>
      <c r="V2147" s="1">
        <v>28.49</v>
      </c>
      <c r="W2147" s="1">
        <v>28.49</v>
      </c>
      <c r="X2147" s="1" t="s">
        <v>35</v>
      </c>
      <c r="Y2147" s="1">
        <v>28490.0</v>
      </c>
      <c r="Z2147" s="1"/>
      <c r="AA2147" s="1">
        <v>28490.0</v>
      </c>
      <c r="AB2147" s="1"/>
      <c r="AC2147" s="1" t="s">
        <v>36</v>
      </c>
      <c r="AD2147" s="1" t="s">
        <v>7827</v>
      </c>
      <c r="AE2147" s="1" t="s">
        <v>32</v>
      </c>
      <c r="AF2147" s="1" t="s">
        <v>33</v>
      </c>
      <c r="AG2147" s="1" t="s">
        <v>95</v>
      </c>
    </row>
    <row r="2148" spans="1:33">
      <c r="A2148" t="s">
        <v>7828</v>
      </c>
      <c r="B2148" t="s">
        <v>2980</v>
      </c>
      <c r="C2148" t="s">
        <v>47</v>
      </c>
      <c r="E2148" t="s">
        <v>7413</v>
      </c>
      <c r="F2148" t="s">
        <v>7318</v>
      </c>
      <c r="G2148">
        <v>16.995</v>
      </c>
      <c r="H2148">
        <v>16.995</v>
      </c>
      <c r="I2148" t="s">
        <v>48</v>
      </c>
      <c r="J2148" t="s">
        <v>49</v>
      </c>
      <c r="K2148" t="s">
        <v>31</v>
      </c>
      <c r="L2148" t="s">
        <v>32</v>
      </c>
      <c r="M2148" t="s">
        <v>33</v>
      </c>
      <c r="P2148" s="1" t="s">
        <v>7829</v>
      </c>
      <c r="Q2148" s="1" t="s">
        <v>7413</v>
      </c>
      <c r="R2148" s="1" t="s">
        <v>7413</v>
      </c>
      <c r="S2148" s="1"/>
      <c r="T2148" s="1" t="s">
        <v>47</v>
      </c>
      <c r="U2148" s="1"/>
      <c r="V2148" s="1">
        <v>16.995</v>
      </c>
      <c r="W2148" s="1">
        <v>16.995</v>
      </c>
      <c r="X2148" s="1" t="s">
        <v>35</v>
      </c>
      <c r="Y2148" s="1">
        <v>16995.0</v>
      </c>
      <c r="Z2148" s="1"/>
      <c r="AA2148" s="1">
        <v>16995.0</v>
      </c>
      <c r="AB2148" s="1"/>
      <c r="AC2148" s="1" t="s">
        <v>36</v>
      </c>
      <c r="AD2148" s="1" t="s">
        <v>7830</v>
      </c>
      <c r="AE2148" s="1" t="s">
        <v>32</v>
      </c>
      <c r="AF2148" s="1" t="s">
        <v>33</v>
      </c>
      <c r="AG2148" s="1" t="s">
        <v>49</v>
      </c>
    </row>
    <row r="2149" spans="1:33">
      <c r="A2149" t="s">
        <v>7831</v>
      </c>
      <c r="B2149" t="s">
        <v>7832</v>
      </c>
      <c r="C2149" t="s">
        <v>314</v>
      </c>
      <c r="E2149" t="s">
        <v>7413</v>
      </c>
      <c r="F2149" t="s">
        <v>7318</v>
      </c>
      <c r="G2149">
        <v>78.17</v>
      </c>
      <c r="H2149">
        <v>78.17</v>
      </c>
      <c r="I2149" t="s">
        <v>179</v>
      </c>
      <c r="J2149" t="s">
        <v>180</v>
      </c>
      <c r="K2149" t="s">
        <v>31</v>
      </c>
      <c r="L2149" t="s">
        <v>32</v>
      </c>
      <c r="M2149" t="s">
        <v>33</v>
      </c>
      <c r="P2149" s="1" t="s">
        <v>7833</v>
      </c>
      <c r="Q2149" s="1" t="s">
        <v>7413</v>
      </c>
      <c r="R2149" s="1" t="s">
        <v>7413</v>
      </c>
      <c r="S2149" s="1"/>
      <c r="T2149" s="1" t="s">
        <v>314</v>
      </c>
      <c r="U2149" s="1"/>
      <c r="V2149" s="1">
        <v>78.17</v>
      </c>
      <c r="W2149" s="1">
        <v>78.17</v>
      </c>
      <c r="X2149" s="1" t="s">
        <v>35</v>
      </c>
      <c r="Y2149" s="1">
        <v>78170.0</v>
      </c>
      <c r="Z2149" s="1"/>
      <c r="AA2149" s="1">
        <v>78170.0</v>
      </c>
      <c r="AB2149" s="1"/>
      <c r="AC2149" s="1" t="s">
        <v>36</v>
      </c>
      <c r="AD2149" s="1" t="s">
        <v>7834</v>
      </c>
      <c r="AE2149" s="1" t="s">
        <v>32</v>
      </c>
      <c r="AF2149" s="1" t="s">
        <v>33</v>
      </c>
      <c r="AG2149" s="1" t="s">
        <v>180</v>
      </c>
    </row>
    <row r="2150" spans="1:33">
      <c r="A2150" t="s">
        <v>7835</v>
      </c>
      <c r="B2150" t="s">
        <v>7836</v>
      </c>
      <c r="C2150" t="s">
        <v>172</v>
      </c>
      <c r="E2150" t="s">
        <v>7413</v>
      </c>
      <c r="F2150" t="s">
        <v>7318</v>
      </c>
      <c r="G2150">
        <v>6.663</v>
      </c>
      <c r="H2150">
        <v>6.663</v>
      </c>
      <c r="I2150" t="s">
        <v>173</v>
      </c>
      <c r="J2150" t="s">
        <v>174</v>
      </c>
      <c r="K2150" t="s">
        <v>31</v>
      </c>
      <c r="L2150" t="s">
        <v>32</v>
      </c>
      <c r="M2150" t="s">
        <v>33</v>
      </c>
      <c r="P2150" s="1" t="s">
        <v>7837</v>
      </c>
      <c r="Q2150" s="1" t="s">
        <v>7413</v>
      </c>
      <c r="R2150" s="1" t="s">
        <v>7413</v>
      </c>
      <c r="S2150" s="1"/>
      <c r="T2150" s="1" t="s">
        <v>172</v>
      </c>
      <c r="U2150" s="1"/>
      <c r="V2150" s="1">
        <v>6.663</v>
      </c>
      <c r="W2150" s="1">
        <v>6.663</v>
      </c>
      <c r="X2150" s="1" t="s">
        <v>35</v>
      </c>
      <c r="Y2150" s="1">
        <v>6663.0</v>
      </c>
      <c r="Z2150" s="1"/>
      <c r="AA2150" s="1">
        <v>6663.0</v>
      </c>
      <c r="AB2150" s="1"/>
      <c r="AC2150" s="1" t="s">
        <v>36</v>
      </c>
      <c r="AD2150" s="1" t="s">
        <v>7838</v>
      </c>
      <c r="AE2150" s="1" t="s">
        <v>32</v>
      </c>
      <c r="AF2150" s="1" t="s">
        <v>33</v>
      </c>
      <c r="AG2150" s="1" t="s">
        <v>174</v>
      </c>
    </row>
    <row r="2151" spans="1:33">
      <c r="A2151" t="s">
        <v>7839</v>
      </c>
      <c r="C2151" t="s">
        <v>2236</v>
      </c>
      <c r="E2151" t="s">
        <v>7413</v>
      </c>
      <c r="F2151" t="s">
        <v>7318</v>
      </c>
      <c r="G2151">
        <v>328.0</v>
      </c>
      <c r="H2151">
        <v>328.0</v>
      </c>
      <c r="I2151" t="s">
        <v>269</v>
      </c>
      <c r="J2151" t="s">
        <v>270</v>
      </c>
      <c r="K2151" t="s">
        <v>31</v>
      </c>
      <c r="L2151" t="s">
        <v>32</v>
      </c>
      <c r="M2151" t="s">
        <v>33</v>
      </c>
      <c r="P2151" s="1" t="s">
        <v>7840</v>
      </c>
      <c r="Q2151" s="1" t="s">
        <v>7413</v>
      </c>
      <c r="R2151" s="1" t="s">
        <v>7413</v>
      </c>
      <c r="S2151" s="1"/>
      <c r="T2151" s="1" t="s">
        <v>2236</v>
      </c>
      <c r="U2151" s="1"/>
      <c r="V2151" s="1">
        <v>328.0</v>
      </c>
      <c r="W2151" s="1">
        <v>328.0</v>
      </c>
      <c r="X2151" s="1" t="s">
        <v>35</v>
      </c>
      <c r="Y2151" s="1">
        <v>328000.0</v>
      </c>
      <c r="Z2151" s="1"/>
      <c r="AA2151" s="1">
        <v>328000.0</v>
      </c>
      <c r="AB2151" s="1"/>
      <c r="AC2151" s="1" t="s">
        <v>36</v>
      </c>
      <c r="AD2151" s="1" t="s">
        <v>7841</v>
      </c>
      <c r="AE2151" s="1" t="s">
        <v>32</v>
      </c>
      <c r="AF2151" s="1" t="s">
        <v>33</v>
      </c>
      <c r="AG2151" s="1" t="s">
        <v>270</v>
      </c>
    </row>
    <row r="2152" spans="1:33">
      <c r="A2152" t="s">
        <v>7842</v>
      </c>
      <c r="C2152" t="s">
        <v>6712</v>
      </c>
      <c r="D2152" t="s">
        <v>154</v>
      </c>
      <c r="E2152" t="s">
        <v>7413</v>
      </c>
      <c r="F2152" t="s">
        <v>7318</v>
      </c>
      <c r="G2152">
        <v>93.75</v>
      </c>
      <c r="H2152">
        <v>93.75</v>
      </c>
      <c r="I2152" t="s">
        <v>29</v>
      </c>
      <c r="J2152" t="s">
        <v>30</v>
      </c>
      <c r="K2152" t="s">
        <v>31</v>
      </c>
      <c r="L2152" t="s">
        <v>32</v>
      </c>
      <c r="M2152" t="s">
        <v>33</v>
      </c>
      <c r="P2152" s="1" t="s">
        <v>7843</v>
      </c>
      <c r="Q2152" s="1" t="s">
        <v>7413</v>
      </c>
      <c r="R2152" s="1" t="s">
        <v>7413</v>
      </c>
      <c r="S2152" s="1"/>
      <c r="T2152" s="1" t="s">
        <v>6712</v>
      </c>
      <c r="U2152" s="1"/>
      <c r="V2152" s="1">
        <v>93.75</v>
      </c>
      <c r="W2152" s="1">
        <v>93.75</v>
      </c>
      <c r="X2152" s="1" t="s">
        <v>35</v>
      </c>
      <c r="Y2152" s="1">
        <v>93750.0</v>
      </c>
      <c r="Z2152" s="1"/>
      <c r="AA2152" s="1">
        <v>93750.0</v>
      </c>
      <c r="AB2152" s="1"/>
      <c r="AC2152" s="1" t="s">
        <v>36</v>
      </c>
      <c r="AD2152" s="1" t="s">
        <v>7844</v>
      </c>
      <c r="AE2152" s="1" t="s">
        <v>32</v>
      </c>
      <c r="AF2152" s="1" t="s">
        <v>33</v>
      </c>
      <c r="AG2152" s="1" t="s">
        <v>30</v>
      </c>
    </row>
    <row r="2153" spans="1:33">
      <c r="A2153" t="s">
        <v>7845</v>
      </c>
      <c r="C2153" t="s">
        <v>4236</v>
      </c>
      <c r="E2153" t="s">
        <v>7413</v>
      </c>
      <c r="F2153" t="s">
        <v>7318</v>
      </c>
      <c r="G2153">
        <v>352.0</v>
      </c>
      <c r="H2153">
        <v>352.0</v>
      </c>
      <c r="I2153" t="s">
        <v>179</v>
      </c>
      <c r="J2153" t="s">
        <v>180</v>
      </c>
      <c r="K2153" t="s">
        <v>31</v>
      </c>
      <c r="L2153" t="s">
        <v>32</v>
      </c>
      <c r="M2153" t="s">
        <v>33</v>
      </c>
      <c r="P2153" s="1" t="s">
        <v>7846</v>
      </c>
      <c r="Q2153" s="1" t="s">
        <v>7413</v>
      </c>
      <c r="R2153" s="1" t="s">
        <v>7413</v>
      </c>
      <c r="S2153" s="1"/>
      <c r="T2153" s="1" t="s">
        <v>4236</v>
      </c>
      <c r="U2153" s="1"/>
      <c r="V2153" s="1">
        <v>352.0</v>
      </c>
      <c r="W2153" s="1">
        <v>352.0</v>
      </c>
      <c r="X2153" s="1" t="s">
        <v>35</v>
      </c>
      <c r="Y2153" s="1">
        <v>352000.0</v>
      </c>
      <c r="Z2153" s="1"/>
      <c r="AA2153" s="1">
        <v>352000.0</v>
      </c>
      <c r="AB2153" s="1"/>
      <c r="AC2153" s="1" t="s">
        <v>36</v>
      </c>
      <c r="AD2153" s="1" t="s">
        <v>7847</v>
      </c>
      <c r="AE2153" s="1" t="s">
        <v>32</v>
      </c>
      <c r="AF2153" s="1" t="s">
        <v>33</v>
      </c>
      <c r="AG2153" s="1" t="s">
        <v>180</v>
      </c>
    </row>
    <row r="2154" spans="1:33">
      <c r="A2154" t="s">
        <v>7848</v>
      </c>
      <c r="C2154" t="s">
        <v>73</v>
      </c>
      <c r="E2154" t="s">
        <v>7413</v>
      </c>
      <c r="F2154" t="s">
        <v>7318</v>
      </c>
      <c r="G2154">
        <v>1.084</v>
      </c>
      <c r="H2154">
        <v>1.084</v>
      </c>
      <c r="I2154" t="s">
        <v>40</v>
      </c>
      <c r="J2154" t="s">
        <v>41</v>
      </c>
      <c r="K2154" t="s">
        <v>31</v>
      </c>
      <c r="L2154" t="s">
        <v>32</v>
      </c>
      <c r="M2154" t="s">
        <v>33</v>
      </c>
      <c r="P2154" s="1" t="s">
        <v>7849</v>
      </c>
      <c r="Q2154" s="1" t="s">
        <v>7413</v>
      </c>
      <c r="R2154" s="1" t="s">
        <v>6700</v>
      </c>
      <c r="S2154" s="1"/>
      <c r="T2154" s="1" t="s">
        <v>75</v>
      </c>
      <c r="U2154" s="1" t="s">
        <v>76</v>
      </c>
      <c r="V2154" s="1">
        <v>1.084</v>
      </c>
      <c r="W2154" s="1">
        <v>1.084</v>
      </c>
      <c r="X2154" s="1" t="s">
        <v>35</v>
      </c>
      <c r="Y2154" s="1">
        <v>1084.0</v>
      </c>
      <c r="Z2154" s="1"/>
      <c r="AA2154" s="1">
        <v>1084.0</v>
      </c>
      <c r="AB2154" s="1"/>
      <c r="AC2154" s="1" t="s">
        <v>36</v>
      </c>
      <c r="AD2154" s="1" t="s">
        <v>7850</v>
      </c>
      <c r="AE2154" s="1" t="s">
        <v>32</v>
      </c>
      <c r="AF2154" s="1" t="s">
        <v>33</v>
      </c>
      <c r="AG2154" s="1" t="s">
        <v>41</v>
      </c>
    </row>
    <row r="2155" spans="1:33">
      <c r="A2155" t="s">
        <v>7851</v>
      </c>
      <c r="C2155" t="s">
        <v>732</v>
      </c>
      <c r="E2155" t="s">
        <v>7413</v>
      </c>
      <c r="F2155" t="s">
        <v>7318</v>
      </c>
      <c r="G2155">
        <v>1.618</v>
      </c>
      <c r="H2155">
        <v>1.618</v>
      </c>
      <c r="I2155" t="s">
        <v>136</v>
      </c>
      <c r="J2155" t="s">
        <v>137</v>
      </c>
      <c r="K2155" t="s">
        <v>31</v>
      </c>
      <c r="L2155" t="s">
        <v>32</v>
      </c>
      <c r="M2155" t="s">
        <v>33</v>
      </c>
      <c r="P2155" s="1" t="s">
        <v>7852</v>
      </c>
      <c r="Q2155" s="1" t="s">
        <v>7413</v>
      </c>
      <c r="R2155" s="1" t="s">
        <v>7413</v>
      </c>
      <c r="S2155" s="1"/>
      <c r="T2155" s="1" t="s">
        <v>732</v>
      </c>
      <c r="U2155" s="1"/>
      <c r="V2155" s="1">
        <v>1.618</v>
      </c>
      <c r="W2155" s="1">
        <v>1.618</v>
      </c>
      <c r="X2155" s="1" t="s">
        <v>35</v>
      </c>
      <c r="Y2155" s="1">
        <v>1618750.0</v>
      </c>
      <c r="Z2155" s="1"/>
      <c r="AA2155" s="1">
        <v>1618750.0</v>
      </c>
      <c r="AB2155" s="1"/>
      <c r="AC2155" s="1" t="s">
        <v>36</v>
      </c>
      <c r="AD2155" s="1" t="s">
        <v>7756</v>
      </c>
      <c r="AE2155" s="1" t="s">
        <v>32</v>
      </c>
      <c r="AF2155" s="1" t="s">
        <v>33</v>
      </c>
      <c r="AG2155" s="1" t="s">
        <v>137</v>
      </c>
    </row>
    <row r="2156" spans="1:33">
      <c r="A2156" t="s">
        <v>7853</v>
      </c>
      <c r="C2156" t="s">
        <v>187</v>
      </c>
      <c r="E2156" t="s">
        <v>7413</v>
      </c>
      <c r="F2156" t="s">
        <v>7318</v>
      </c>
      <c r="G2156">
        <v>122.97</v>
      </c>
      <c r="H2156">
        <v>122.97</v>
      </c>
      <c r="I2156" t="s">
        <v>179</v>
      </c>
      <c r="J2156" t="s">
        <v>180</v>
      </c>
      <c r="K2156" t="s">
        <v>31</v>
      </c>
      <c r="L2156" t="s">
        <v>32</v>
      </c>
      <c r="M2156" t="s">
        <v>33</v>
      </c>
      <c r="P2156" s="1" t="s">
        <v>7854</v>
      </c>
      <c r="Q2156" s="1" t="s">
        <v>7413</v>
      </c>
      <c r="R2156" s="1" t="s">
        <v>7413</v>
      </c>
      <c r="S2156" s="1"/>
      <c r="T2156" s="1" t="s">
        <v>187</v>
      </c>
      <c r="U2156" s="1"/>
      <c r="V2156" s="1">
        <v>122.97</v>
      </c>
      <c r="W2156" s="1">
        <v>122.97</v>
      </c>
      <c r="X2156" s="1" t="s">
        <v>35</v>
      </c>
      <c r="Y2156" s="1">
        <v>122970.0</v>
      </c>
      <c r="Z2156" s="1"/>
      <c r="AA2156" s="1">
        <v>122970.0</v>
      </c>
      <c r="AB2156" s="1"/>
      <c r="AC2156" s="1" t="s">
        <v>36</v>
      </c>
      <c r="AD2156" s="1" t="s">
        <v>7855</v>
      </c>
      <c r="AE2156" s="1" t="s">
        <v>32</v>
      </c>
      <c r="AF2156" s="1" t="s">
        <v>33</v>
      </c>
      <c r="AG2156" s="1" t="s">
        <v>180</v>
      </c>
    </row>
    <row r="2157" spans="1:33">
      <c r="A2157" t="s">
        <v>7856</v>
      </c>
      <c r="B2157" t="s">
        <v>7857</v>
      </c>
      <c r="C2157" t="s">
        <v>268</v>
      </c>
      <c r="E2157" t="s">
        <v>7413</v>
      </c>
      <c r="F2157" t="s">
        <v>7318</v>
      </c>
      <c r="G2157">
        <v>68.5</v>
      </c>
      <c r="H2157">
        <v>68.5</v>
      </c>
      <c r="I2157" t="s">
        <v>269</v>
      </c>
      <c r="J2157" t="s">
        <v>270</v>
      </c>
      <c r="K2157" t="s">
        <v>31</v>
      </c>
      <c r="L2157" t="s">
        <v>32</v>
      </c>
      <c r="M2157" t="s">
        <v>33</v>
      </c>
      <c r="P2157" s="1" t="s">
        <v>7858</v>
      </c>
      <c r="Q2157" s="1" t="s">
        <v>7413</v>
      </c>
      <c r="R2157" s="1" t="s">
        <v>7413</v>
      </c>
      <c r="S2157" s="1"/>
      <c r="T2157" s="1" t="s">
        <v>268</v>
      </c>
      <c r="U2157" s="1"/>
      <c r="V2157" s="1">
        <v>68.5</v>
      </c>
      <c r="W2157" s="1">
        <v>68.5</v>
      </c>
      <c r="X2157" s="1" t="s">
        <v>35</v>
      </c>
      <c r="Y2157" s="1">
        <v>68500</v>
      </c>
      <c r="Z2157" s="1"/>
      <c r="AA2157" s="1">
        <v>68500</v>
      </c>
      <c r="AB2157" s="1"/>
      <c r="AC2157" s="1" t="s">
        <v>36</v>
      </c>
      <c r="AD2157" s="1" t="s">
        <v>7859</v>
      </c>
      <c r="AE2157" s="1" t="s">
        <v>32</v>
      </c>
      <c r="AF2157" s="1" t="s">
        <v>33</v>
      </c>
      <c r="AG2157" s="1" t="s">
        <v>270</v>
      </c>
    </row>
    <row r="2158" spans="1:33">
      <c r="A2158" t="s">
        <v>7860</v>
      </c>
      <c r="C2158" t="s">
        <v>2955</v>
      </c>
      <c r="E2158" t="s">
        <v>7413</v>
      </c>
      <c r="F2158" t="s">
        <v>7318</v>
      </c>
      <c r="G2158">
        <v>642.0</v>
      </c>
      <c r="H2158">
        <v>642.0</v>
      </c>
      <c r="I2158" t="s">
        <v>136</v>
      </c>
      <c r="J2158" t="s">
        <v>137</v>
      </c>
      <c r="K2158" t="s">
        <v>31</v>
      </c>
      <c r="L2158" t="s">
        <v>32</v>
      </c>
      <c r="M2158" t="s">
        <v>33</v>
      </c>
      <c r="P2158" s="1" t="s">
        <v>7861</v>
      </c>
      <c r="Q2158" s="1" t="s">
        <v>7413</v>
      </c>
      <c r="R2158" s="1" t="s">
        <v>7413</v>
      </c>
      <c r="S2158" s="1"/>
      <c r="T2158" s="1" t="s">
        <v>2955</v>
      </c>
      <c r="U2158" s="1"/>
      <c r="V2158" s="1">
        <v>642.0</v>
      </c>
      <c r="W2158" s="1">
        <v>642.0</v>
      </c>
      <c r="X2158" s="1" t="s">
        <v>35</v>
      </c>
      <c r="Y2158" s="1">
        <v>642000.0</v>
      </c>
      <c r="Z2158" s="1"/>
      <c r="AA2158" s="1">
        <v>642000.0</v>
      </c>
      <c r="AB2158" s="1"/>
      <c r="AC2158" s="1" t="s">
        <v>36</v>
      </c>
      <c r="AD2158" s="1" t="s">
        <v>7862</v>
      </c>
      <c r="AE2158" s="1" t="s">
        <v>32</v>
      </c>
      <c r="AF2158" s="1" t="s">
        <v>33</v>
      </c>
      <c r="AG2158" s="1" t="s">
        <v>137</v>
      </c>
    </row>
    <row r="2159" spans="1:33">
      <c r="A2159" t="s">
        <v>7863</v>
      </c>
      <c r="B2159" t="s">
        <v>7864</v>
      </c>
      <c r="C2159" t="s">
        <v>125</v>
      </c>
      <c r="E2159" t="s">
        <v>7413</v>
      </c>
      <c r="F2159" t="s">
        <v>7318</v>
      </c>
      <c r="G2159">
        <v>48.429</v>
      </c>
      <c r="H2159">
        <v>48.429</v>
      </c>
      <c r="I2159" t="s">
        <v>126</v>
      </c>
      <c r="J2159" t="s">
        <v>127</v>
      </c>
      <c r="K2159" t="s">
        <v>31</v>
      </c>
      <c r="L2159" t="s">
        <v>32</v>
      </c>
      <c r="M2159" t="s">
        <v>33</v>
      </c>
      <c r="P2159" s="1" t="s">
        <v>7865</v>
      </c>
      <c r="Q2159" s="1" t="s">
        <v>7413</v>
      </c>
      <c r="R2159" s="1" t="s">
        <v>7413</v>
      </c>
      <c r="S2159" s="1"/>
      <c r="T2159" s="1" t="s">
        <v>125</v>
      </c>
      <c r="U2159" s="1"/>
      <c r="V2159" s="1">
        <v>48.429</v>
      </c>
      <c r="W2159" s="1">
        <v>48.429</v>
      </c>
      <c r="X2159" s="1" t="s">
        <v>35</v>
      </c>
      <c r="Y2159" s="1">
        <v>48429.0</v>
      </c>
      <c r="Z2159" s="1"/>
      <c r="AA2159" s="1">
        <v>48429.0</v>
      </c>
      <c r="AB2159" s="1"/>
      <c r="AC2159" s="1" t="s">
        <v>36</v>
      </c>
      <c r="AD2159" s="1" t="s">
        <v>7866</v>
      </c>
      <c r="AE2159" s="1" t="s">
        <v>32</v>
      </c>
      <c r="AF2159" s="1" t="s">
        <v>33</v>
      </c>
      <c r="AG2159" s="1" t="s">
        <v>127</v>
      </c>
    </row>
    <row r="2160" spans="1:33">
      <c r="A2160" t="s">
        <v>7867</v>
      </c>
      <c r="C2160" t="s">
        <v>1735</v>
      </c>
      <c r="E2160" t="s">
        <v>7413</v>
      </c>
      <c r="F2160" t="s">
        <v>7318</v>
      </c>
      <c r="G2160">
        <v>367.5</v>
      </c>
      <c r="H2160">
        <v>367.5</v>
      </c>
      <c r="I2160" t="s">
        <v>269</v>
      </c>
      <c r="J2160" t="s">
        <v>270</v>
      </c>
      <c r="K2160" t="s">
        <v>31</v>
      </c>
      <c r="L2160" t="s">
        <v>32</v>
      </c>
      <c r="M2160" t="s">
        <v>33</v>
      </c>
      <c r="P2160" s="1" t="s">
        <v>7868</v>
      </c>
      <c r="Q2160" s="1" t="s">
        <v>7413</v>
      </c>
      <c r="R2160" s="1" t="s">
        <v>7413</v>
      </c>
      <c r="S2160" s="1"/>
      <c r="T2160" s="1" t="s">
        <v>1735</v>
      </c>
      <c r="U2160" s="1"/>
      <c r="V2160" s="1">
        <v>367.5</v>
      </c>
      <c r="W2160" s="1">
        <v>367.5</v>
      </c>
      <c r="X2160" s="1" t="s">
        <v>35</v>
      </c>
      <c r="Y2160" s="1">
        <v>367500.0</v>
      </c>
      <c r="Z2160" s="1"/>
      <c r="AA2160" s="1">
        <v>367500.0</v>
      </c>
      <c r="AB2160" s="1"/>
      <c r="AC2160" s="1" t="s">
        <v>36</v>
      </c>
      <c r="AD2160" s="1" t="s">
        <v>7869</v>
      </c>
      <c r="AE2160" s="1" t="s">
        <v>32</v>
      </c>
      <c r="AF2160" s="1" t="s">
        <v>33</v>
      </c>
      <c r="AG2160" s="1" t="s">
        <v>270</v>
      </c>
    </row>
    <row r="2161" spans="1:33">
      <c r="A2161" t="s">
        <v>7870</v>
      </c>
      <c r="B2161" t="s">
        <v>3327</v>
      </c>
      <c r="C2161" t="s">
        <v>125</v>
      </c>
      <c r="E2161" t="s">
        <v>7413</v>
      </c>
      <c r="F2161" t="s">
        <v>7318</v>
      </c>
      <c r="G2161">
        <v>66.47</v>
      </c>
      <c r="H2161">
        <v>66.47</v>
      </c>
      <c r="I2161" t="s">
        <v>126</v>
      </c>
      <c r="J2161" t="s">
        <v>127</v>
      </c>
      <c r="K2161" t="s">
        <v>31</v>
      </c>
      <c r="L2161" t="s">
        <v>32</v>
      </c>
      <c r="M2161" t="s">
        <v>33</v>
      </c>
      <c r="P2161" s="1" t="s">
        <v>7871</v>
      </c>
      <c r="Q2161" s="1" t="s">
        <v>7413</v>
      </c>
      <c r="R2161" s="1" t="s">
        <v>7413</v>
      </c>
      <c r="S2161" s="1"/>
      <c r="T2161" s="1" t="s">
        <v>125</v>
      </c>
      <c r="U2161" s="1"/>
      <c r="V2161" s="1">
        <v>66.47</v>
      </c>
      <c r="W2161" s="1">
        <v>66.47</v>
      </c>
      <c r="X2161" s="1" t="s">
        <v>35</v>
      </c>
      <c r="Y2161" s="1">
        <v>66470.0</v>
      </c>
      <c r="Z2161" s="1"/>
      <c r="AA2161" s="1">
        <v>66470.0</v>
      </c>
      <c r="AB2161" s="1"/>
      <c r="AC2161" s="1" t="s">
        <v>36</v>
      </c>
      <c r="AD2161" s="1" t="s">
        <v>7872</v>
      </c>
      <c r="AE2161" s="1" t="s">
        <v>32</v>
      </c>
      <c r="AF2161" s="1" t="s">
        <v>33</v>
      </c>
      <c r="AG2161" s="1" t="s">
        <v>127</v>
      </c>
    </row>
    <row r="2162" spans="1:33">
      <c r="A2162" t="s">
        <v>7873</v>
      </c>
      <c r="B2162" t="s">
        <v>7874</v>
      </c>
      <c r="C2162" t="s">
        <v>314</v>
      </c>
      <c r="E2162" t="s">
        <v>7413</v>
      </c>
      <c r="F2162" t="s">
        <v>7318</v>
      </c>
      <c r="G2162">
        <v>18.59</v>
      </c>
      <c r="H2162">
        <v>18.59</v>
      </c>
      <c r="I2162" t="s">
        <v>179</v>
      </c>
      <c r="J2162" t="s">
        <v>180</v>
      </c>
      <c r="K2162" t="s">
        <v>31</v>
      </c>
      <c r="L2162" t="s">
        <v>32</v>
      </c>
      <c r="M2162" t="s">
        <v>33</v>
      </c>
      <c r="P2162" s="1" t="s">
        <v>7875</v>
      </c>
      <c r="Q2162" s="1" t="s">
        <v>7413</v>
      </c>
      <c r="R2162" s="1" t="s">
        <v>7413</v>
      </c>
      <c r="S2162" s="1"/>
      <c r="T2162" s="1" t="s">
        <v>314</v>
      </c>
      <c r="U2162" s="1"/>
      <c r="V2162" s="1">
        <v>18.59</v>
      </c>
      <c r="W2162" s="1">
        <v>18.59</v>
      </c>
      <c r="X2162" s="1" t="s">
        <v>35</v>
      </c>
      <c r="Y2162" s="1">
        <v>18590.0</v>
      </c>
      <c r="Z2162" s="1"/>
      <c r="AA2162" s="1">
        <v>18590.0</v>
      </c>
      <c r="AB2162" s="1"/>
      <c r="AC2162" s="1" t="s">
        <v>36</v>
      </c>
      <c r="AD2162" s="1" t="s">
        <v>7876</v>
      </c>
      <c r="AE2162" s="1" t="s">
        <v>32</v>
      </c>
      <c r="AF2162" s="1" t="s">
        <v>33</v>
      </c>
      <c r="AG2162" s="1" t="s">
        <v>180</v>
      </c>
    </row>
    <row r="2163" spans="1:33">
      <c r="A2163" t="s">
        <v>7877</v>
      </c>
      <c r="B2163" t="s">
        <v>7878</v>
      </c>
      <c r="C2163" t="s">
        <v>6842</v>
      </c>
      <c r="E2163" t="s">
        <v>7413</v>
      </c>
      <c r="F2163" t="s">
        <v>7318</v>
      </c>
      <c r="G2163">
        <v>1.817</v>
      </c>
      <c r="H2163">
        <v>1.817</v>
      </c>
      <c r="I2163" t="s">
        <v>29</v>
      </c>
      <c r="J2163" t="s">
        <v>30</v>
      </c>
      <c r="K2163" t="s">
        <v>31</v>
      </c>
      <c r="L2163" t="s">
        <v>32</v>
      </c>
      <c r="M2163" t="s">
        <v>33</v>
      </c>
      <c r="P2163" s="1" t="s">
        <v>7879</v>
      </c>
      <c r="Q2163" s="1" t="s">
        <v>7413</v>
      </c>
      <c r="R2163" s="1" t="s">
        <v>7413</v>
      </c>
      <c r="S2163" s="1"/>
      <c r="T2163" s="1" t="s">
        <v>6842</v>
      </c>
      <c r="U2163" s="1"/>
      <c r="V2163" s="1">
        <v>1.817</v>
      </c>
      <c r="W2163" s="1">
        <v>1.817</v>
      </c>
      <c r="X2163" s="1" t="s">
        <v>35</v>
      </c>
      <c r="Y2163" s="1">
        <v>1824076.0</v>
      </c>
      <c r="Z2163" s="1">
        <v>-6426</v>
      </c>
      <c r="AA2163" s="1">
        <v>1824076.0</v>
      </c>
      <c r="AB2163" s="1">
        <v>-6426</v>
      </c>
      <c r="AC2163" s="1" t="s">
        <v>36</v>
      </c>
      <c r="AD2163" s="1" t="s">
        <v>7880</v>
      </c>
      <c r="AE2163" s="1" t="s">
        <v>32</v>
      </c>
      <c r="AF2163" s="1" t="s">
        <v>33</v>
      </c>
      <c r="AG2163" s="1" t="s">
        <v>30</v>
      </c>
    </row>
    <row r="2164" spans="1:33">
      <c r="A2164" t="s">
        <v>7881</v>
      </c>
      <c r="C2164" t="s">
        <v>589</v>
      </c>
      <c r="D2164" t="s">
        <v>154</v>
      </c>
      <c r="E2164" t="s">
        <v>7413</v>
      </c>
      <c r="F2164" t="s">
        <v>7318</v>
      </c>
      <c r="G2164">
        <v>438.5</v>
      </c>
      <c r="H2164">
        <v>438.5</v>
      </c>
      <c r="I2164" t="s">
        <v>173</v>
      </c>
      <c r="J2164" t="s">
        <v>174</v>
      </c>
      <c r="K2164" t="s">
        <v>31</v>
      </c>
      <c r="L2164" t="s">
        <v>32</v>
      </c>
      <c r="M2164" t="s">
        <v>33</v>
      </c>
      <c r="P2164" s="1" t="s">
        <v>7882</v>
      </c>
      <c r="Q2164" s="1" t="s">
        <v>7413</v>
      </c>
      <c r="R2164" s="1" t="s">
        <v>7413</v>
      </c>
      <c r="S2164" s="1"/>
      <c r="T2164" s="1" t="s">
        <v>591</v>
      </c>
      <c r="U2164" s="1" t="s">
        <v>592</v>
      </c>
      <c r="V2164" s="1">
        <v>438.5</v>
      </c>
      <c r="W2164" s="1">
        <v>438.5</v>
      </c>
      <c r="X2164" s="1" t="s">
        <v>35</v>
      </c>
      <c r="Y2164" s="1">
        <v>438500.0</v>
      </c>
      <c r="Z2164" s="1"/>
      <c r="AA2164" s="1">
        <v>438500.0</v>
      </c>
      <c r="AB2164" s="1"/>
      <c r="AC2164" s="1" t="s">
        <v>36</v>
      </c>
      <c r="AD2164" s="1" t="s">
        <v>7866</v>
      </c>
      <c r="AE2164" s="1" t="s">
        <v>32</v>
      </c>
      <c r="AF2164" s="1" t="s">
        <v>33</v>
      </c>
      <c r="AG2164" s="1" t="s">
        <v>174</v>
      </c>
    </row>
    <row r="2165" spans="1:33">
      <c r="A2165" t="s">
        <v>7883</v>
      </c>
      <c r="C2165" t="s">
        <v>6057</v>
      </c>
      <c r="D2165" t="s">
        <v>154</v>
      </c>
      <c r="E2165" t="s">
        <v>7413</v>
      </c>
      <c r="F2165" t="s">
        <v>7318</v>
      </c>
      <c r="G2165">
        <v>679.5</v>
      </c>
      <c r="H2165">
        <v>679.5</v>
      </c>
      <c r="I2165" t="s">
        <v>179</v>
      </c>
      <c r="J2165" t="s">
        <v>180</v>
      </c>
      <c r="K2165" t="s">
        <v>31</v>
      </c>
      <c r="L2165" t="s">
        <v>32</v>
      </c>
      <c r="M2165" t="s">
        <v>33</v>
      </c>
      <c r="P2165" s="1" t="s">
        <v>7884</v>
      </c>
      <c r="Q2165" s="1" t="s">
        <v>7413</v>
      </c>
      <c r="R2165" s="1" t="s">
        <v>7413</v>
      </c>
      <c r="S2165" s="1"/>
      <c r="T2165" s="1" t="s">
        <v>6057</v>
      </c>
      <c r="U2165" s="1"/>
      <c r="V2165" s="1">
        <v>679.5</v>
      </c>
      <c r="W2165" s="1">
        <v>679.5</v>
      </c>
      <c r="X2165" s="1" t="s">
        <v>35</v>
      </c>
      <c r="Y2165" s="1">
        <v>679500.0</v>
      </c>
      <c r="Z2165" s="1"/>
      <c r="AA2165" s="1">
        <v>679500.0</v>
      </c>
      <c r="AB2165" s="1"/>
      <c r="AC2165" s="1" t="s">
        <v>36</v>
      </c>
      <c r="AD2165" s="1" t="s">
        <v>7885</v>
      </c>
      <c r="AE2165" s="1" t="s">
        <v>32</v>
      </c>
      <c r="AF2165" s="1" t="s">
        <v>33</v>
      </c>
      <c r="AG2165" s="1" t="s">
        <v>180</v>
      </c>
    </row>
    <row r="2166" spans="1:33">
      <c r="A2166" t="s">
        <v>7886</v>
      </c>
      <c r="C2166" t="s">
        <v>259</v>
      </c>
      <c r="D2166" t="s">
        <v>114</v>
      </c>
      <c r="E2166" t="s">
        <v>7413</v>
      </c>
      <c r="F2166" t="s">
        <v>7318</v>
      </c>
      <c r="G2166">
        <v>525.0</v>
      </c>
      <c r="H2166">
        <v>525.0</v>
      </c>
      <c r="I2166" t="s">
        <v>173</v>
      </c>
      <c r="J2166" t="s">
        <v>174</v>
      </c>
      <c r="K2166" t="s">
        <v>31</v>
      </c>
      <c r="L2166" t="s">
        <v>32</v>
      </c>
      <c r="M2166" t="s">
        <v>33</v>
      </c>
      <c r="P2166" s="1" t="s">
        <v>7887</v>
      </c>
      <c r="Q2166" s="1" t="s">
        <v>7413</v>
      </c>
      <c r="R2166" s="1" t="s">
        <v>7413</v>
      </c>
      <c r="S2166" s="1"/>
      <c r="T2166" s="1" t="s">
        <v>259</v>
      </c>
      <c r="U2166" s="1"/>
      <c r="V2166" s="1">
        <v>525.0</v>
      </c>
      <c r="W2166" s="1">
        <v>525.0</v>
      </c>
      <c r="X2166" s="1" t="s">
        <v>35</v>
      </c>
      <c r="Y2166" s="1">
        <v>525000.0</v>
      </c>
      <c r="Z2166" s="1"/>
      <c r="AA2166" s="1">
        <v>525000.0</v>
      </c>
      <c r="AB2166" s="1"/>
      <c r="AC2166" s="1" t="s">
        <v>36</v>
      </c>
      <c r="AD2166" s="1" t="s">
        <v>7888</v>
      </c>
      <c r="AE2166" s="1" t="s">
        <v>32</v>
      </c>
      <c r="AF2166" s="1" t="s">
        <v>33</v>
      </c>
      <c r="AG2166" s="1" t="s">
        <v>174</v>
      </c>
    </row>
    <row r="2167" spans="1:33">
      <c r="A2167" t="s">
        <v>7889</v>
      </c>
      <c r="B2167" t="s">
        <v>7890</v>
      </c>
      <c r="C2167" t="s">
        <v>172</v>
      </c>
      <c r="E2167" t="s">
        <v>7413</v>
      </c>
      <c r="F2167" t="s">
        <v>7318</v>
      </c>
      <c r="G2167">
        <v>36.49</v>
      </c>
      <c r="H2167">
        <v>36.49</v>
      </c>
      <c r="I2167" t="s">
        <v>173</v>
      </c>
      <c r="J2167" t="s">
        <v>174</v>
      </c>
      <c r="K2167" t="s">
        <v>31</v>
      </c>
      <c r="L2167" t="s">
        <v>32</v>
      </c>
      <c r="M2167" t="s">
        <v>33</v>
      </c>
      <c r="P2167" s="1" t="s">
        <v>7891</v>
      </c>
      <c r="Q2167" s="1" t="s">
        <v>7413</v>
      </c>
      <c r="R2167" s="1" t="s">
        <v>7413</v>
      </c>
      <c r="S2167" s="1"/>
      <c r="T2167" s="1" t="s">
        <v>172</v>
      </c>
      <c r="U2167" s="1"/>
      <c r="V2167" s="1">
        <v>36.49</v>
      </c>
      <c r="W2167" s="1">
        <v>36.49</v>
      </c>
      <c r="X2167" s="1" t="s">
        <v>35</v>
      </c>
      <c r="Y2167" s="1">
        <v>36490.0</v>
      </c>
      <c r="Z2167" s="1"/>
      <c r="AA2167" s="1">
        <v>36490.0</v>
      </c>
      <c r="AB2167" s="1"/>
      <c r="AC2167" s="1" t="s">
        <v>36</v>
      </c>
      <c r="AD2167" s="1" t="s">
        <v>7892</v>
      </c>
      <c r="AE2167" s="1" t="s">
        <v>32</v>
      </c>
      <c r="AF2167" s="1" t="s">
        <v>33</v>
      </c>
      <c r="AG2167" s="1" t="s">
        <v>174</v>
      </c>
    </row>
    <row r="2168" spans="1:33">
      <c r="A2168" t="s">
        <v>7893</v>
      </c>
      <c r="C2168" t="s">
        <v>7894</v>
      </c>
      <c r="E2168" t="s">
        <v>7413</v>
      </c>
      <c r="F2168" t="s">
        <v>7318</v>
      </c>
      <c r="G2168">
        <v>525.5</v>
      </c>
      <c r="H2168">
        <v>525.5</v>
      </c>
      <c r="I2168" t="s">
        <v>269</v>
      </c>
      <c r="J2168" t="s">
        <v>270</v>
      </c>
      <c r="K2168" t="s">
        <v>31</v>
      </c>
      <c r="L2168" t="s">
        <v>32</v>
      </c>
      <c r="M2168" t="s">
        <v>33</v>
      </c>
      <c r="P2168" s="1" t="s">
        <v>7895</v>
      </c>
      <c r="Q2168" s="1" t="s">
        <v>7413</v>
      </c>
      <c r="R2168" s="1" t="s">
        <v>7413</v>
      </c>
      <c r="S2168" s="1"/>
      <c r="T2168" s="1" t="s">
        <v>7896</v>
      </c>
      <c r="U2168" s="1" t="s">
        <v>7897</v>
      </c>
      <c r="V2168" s="1">
        <v>525.5</v>
      </c>
      <c r="W2168" s="1">
        <v>525.5</v>
      </c>
      <c r="X2168" s="1" t="s">
        <v>35</v>
      </c>
      <c r="Y2168" s="1">
        <v>525500.0</v>
      </c>
      <c r="Z2168" s="1"/>
      <c r="AA2168" s="1">
        <v>525500.0</v>
      </c>
      <c r="AB2168" s="1"/>
      <c r="AC2168" s="1" t="s">
        <v>36</v>
      </c>
      <c r="AD2168" s="1" t="s">
        <v>7898</v>
      </c>
      <c r="AE2168" s="1" t="s">
        <v>32</v>
      </c>
      <c r="AF2168" s="1" t="s">
        <v>33</v>
      </c>
      <c r="AG2168" s="1" t="s">
        <v>270</v>
      </c>
    </row>
    <row r="2169" spans="1:33">
      <c r="A2169" t="s">
        <v>7899</v>
      </c>
      <c r="C2169" t="s">
        <v>1940</v>
      </c>
      <c r="E2169" t="s">
        <v>7413</v>
      </c>
      <c r="F2169" t="s">
        <v>7318</v>
      </c>
      <c r="G2169">
        <v>563.6</v>
      </c>
      <c r="H2169">
        <v>563.6</v>
      </c>
      <c r="I2169" t="s">
        <v>269</v>
      </c>
      <c r="J2169" t="s">
        <v>270</v>
      </c>
      <c r="K2169" t="s">
        <v>31</v>
      </c>
      <c r="L2169" t="s">
        <v>32</v>
      </c>
      <c r="M2169" t="s">
        <v>33</v>
      </c>
      <c r="P2169" s="1" t="s">
        <v>7900</v>
      </c>
      <c r="Q2169" s="1" t="s">
        <v>7413</v>
      </c>
      <c r="R2169" s="1" t="s">
        <v>7413</v>
      </c>
      <c r="S2169" s="1"/>
      <c r="T2169" s="1" t="s">
        <v>1940</v>
      </c>
      <c r="U2169" s="1"/>
      <c r="V2169" s="1">
        <v>563.6</v>
      </c>
      <c r="W2169" s="1">
        <v>563.6</v>
      </c>
      <c r="X2169" s="1" t="s">
        <v>35</v>
      </c>
      <c r="Y2169" s="1">
        <v>563600.0</v>
      </c>
      <c r="Z2169" s="1"/>
      <c r="AA2169" s="1">
        <v>563600.0</v>
      </c>
      <c r="AB2169" s="1"/>
      <c r="AC2169" s="1" t="s">
        <v>36</v>
      </c>
      <c r="AD2169" s="1" t="s">
        <v>7901</v>
      </c>
      <c r="AE2169" s="1" t="s">
        <v>32</v>
      </c>
      <c r="AF2169" s="1" t="s">
        <v>33</v>
      </c>
      <c r="AG2169" s="1" t="s">
        <v>270</v>
      </c>
    </row>
    <row r="2170" spans="1:33">
      <c r="A2170" t="s">
        <v>7902</v>
      </c>
      <c r="B2170" t="s">
        <v>7903</v>
      </c>
      <c r="C2170" t="s">
        <v>314</v>
      </c>
      <c r="E2170" t="s">
        <v>7413</v>
      </c>
      <c r="F2170" t="s">
        <v>7318</v>
      </c>
      <c r="G2170">
        <v>13.8</v>
      </c>
      <c r="H2170">
        <v>13.8</v>
      </c>
      <c r="I2170" t="s">
        <v>179</v>
      </c>
      <c r="J2170" t="s">
        <v>180</v>
      </c>
      <c r="K2170" t="s">
        <v>31</v>
      </c>
      <c r="L2170" t="s">
        <v>32</v>
      </c>
      <c r="M2170" t="s">
        <v>33</v>
      </c>
      <c r="P2170" s="1" t="s">
        <v>7904</v>
      </c>
      <c r="Q2170" s="1" t="s">
        <v>7413</v>
      </c>
      <c r="R2170" s="1" t="s">
        <v>7413</v>
      </c>
      <c r="S2170" s="1"/>
      <c r="T2170" s="1" t="s">
        <v>314</v>
      </c>
      <c r="U2170" s="1"/>
      <c r="V2170" s="1">
        <v>13.8</v>
      </c>
      <c r="W2170" s="1">
        <v>13.8</v>
      </c>
      <c r="X2170" s="1" t="s">
        <v>35</v>
      </c>
      <c r="Y2170" s="1">
        <v>13800.0</v>
      </c>
      <c r="Z2170" s="1"/>
      <c r="AA2170" s="1">
        <v>13800.0</v>
      </c>
      <c r="AB2170" s="1"/>
      <c r="AC2170" s="1" t="s">
        <v>36</v>
      </c>
      <c r="AD2170" s="1" t="s">
        <v>7905</v>
      </c>
      <c r="AE2170" s="1" t="s">
        <v>32</v>
      </c>
      <c r="AF2170" s="1" t="s">
        <v>33</v>
      </c>
      <c r="AG2170" s="1" t="s">
        <v>180</v>
      </c>
    </row>
    <row r="2171" spans="1:33">
      <c r="A2171" t="s">
        <v>7906</v>
      </c>
      <c r="B2171" t="s">
        <v>3652</v>
      </c>
      <c r="C2171" t="s">
        <v>314</v>
      </c>
      <c r="E2171" t="s">
        <v>7413</v>
      </c>
      <c r="F2171" t="s">
        <v>7318</v>
      </c>
      <c r="G2171">
        <v>33.74</v>
      </c>
      <c r="H2171">
        <v>33.74</v>
      </c>
      <c r="I2171" t="s">
        <v>179</v>
      </c>
      <c r="J2171" t="s">
        <v>180</v>
      </c>
      <c r="K2171" t="s">
        <v>31</v>
      </c>
      <c r="L2171" t="s">
        <v>32</v>
      </c>
      <c r="M2171" t="s">
        <v>33</v>
      </c>
      <c r="P2171" s="1" t="s">
        <v>7907</v>
      </c>
      <c r="Q2171" s="1" t="s">
        <v>7413</v>
      </c>
      <c r="R2171" s="1" t="s">
        <v>7413</v>
      </c>
      <c r="S2171" s="1"/>
      <c r="T2171" s="1" t="s">
        <v>314</v>
      </c>
      <c r="U2171" s="1"/>
      <c r="V2171" s="1">
        <v>33.74</v>
      </c>
      <c r="W2171" s="1">
        <v>33.74</v>
      </c>
      <c r="X2171" s="1" t="s">
        <v>35</v>
      </c>
      <c r="Y2171" s="1">
        <v>33740.0</v>
      </c>
      <c r="Z2171" s="1"/>
      <c r="AA2171" s="1">
        <v>33740.0</v>
      </c>
      <c r="AB2171" s="1"/>
      <c r="AC2171" s="1" t="s">
        <v>36</v>
      </c>
      <c r="AD2171" s="1" t="s">
        <v>7908</v>
      </c>
      <c r="AE2171" s="1" t="s">
        <v>32</v>
      </c>
      <c r="AF2171" s="1" t="s">
        <v>33</v>
      </c>
      <c r="AG2171" s="1" t="s">
        <v>180</v>
      </c>
    </row>
    <row r="2172" spans="1:33">
      <c r="A2172" t="s">
        <v>7909</v>
      </c>
      <c r="C2172" t="s">
        <v>5458</v>
      </c>
      <c r="E2172" t="s">
        <v>7413</v>
      </c>
      <c r="F2172" t="s">
        <v>7318</v>
      </c>
      <c r="G2172">
        <v>19.5</v>
      </c>
      <c r="H2172">
        <v>19.5</v>
      </c>
      <c r="I2172" t="s">
        <v>269</v>
      </c>
      <c r="J2172" t="s">
        <v>270</v>
      </c>
      <c r="K2172" t="s">
        <v>31</v>
      </c>
      <c r="L2172" t="s">
        <v>32</v>
      </c>
      <c r="M2172" t="s">
        <v>33</v>
      </c>
      <c r="P2172" s="1" t="s">
        <v>7910</v>
      </c>
      <c r="Q2172" s="1" t="s">
        <v>7413</v>
      </c>
      <c r="R2172" s="1" t="s">
        <v>7413</v>
      </c>
      <c r="S2172" s="1"/>
      <c r="T2172" s="1" t="s">
        <v>5458</v>
      </c>
      <c r="U2172" s="1"/>
      <c r="V2172" s="1">
        <v>19.5</v>
      </c>
      <c r="W2172" s="1">
        <v>19.5</v>
      </c>
      <c r="X2172" s="1" t="s">
        <v>35</v>
      </c>
      <c r="Y2172" s="1">
        <v>19500.0</v>
      </c>
      <c r="Z2172" s="1"/>
      <c r="AA2172" s="1">
        <v>19500.0</v>
      </c>
      <c r="AB2172" s="1"/>
      <c r="AC2172" s="1" t="s">
        <v>36</v>
      </c>
      <c r="AD2172" s="1" t="s">
        <v>7911</v>
      </c>
      <c r="AE2172" s="1" t="s">
        <v>32</v>
      </c>
      <c r="AF2172" s="1" t="s">
        <v>33</v>
      </c>
      <c r="AG2172" s="1" t="s">
        <v>270</v>
      </c>
    </row>
    <row r="2173" spans="1:33">
      <c r="A2173" t="s">
        <v>7912</v>
      </c>
      <c r="C2173" t="s">
        <v>1761</v>
      </c>
      <c r="E2173" t="s">
        <v>7413</v>
      </c>
      <c r="F2173" t="s">
        <v>7318</v>
      </c>
      <c r="G2173">
        <v>450.25</v>
      </c>
      <c r="H2173">
        <v>450.25</v>
      </c>
      <c r="I2173" t="s">
        <v>179</v>
      </c>
      <c r="J2173" t="s">
        <v>180</v>
      </c>
      <c r="K2173" t="s">
        <v>31</v>
      </c>
      <c r="L2173" t="s">
        <v>32</v>
      </c>
      <c r="M2173" t="s">
        <v>33</v>
      </c>
      <c r="P2173" s="1" t="s">
        <v>7913</v>
      </c>
      <c r="Q2173" s="1" t="s">
        <v>7413</v>
      </c>
      <c r="R2173" s="1" t="s">
        <v>7413</v>
      </c>
      <c r="S2173" s="1"/>
      <c r="T2173" s="1" t="s">
        <v>1761</v>
      </c>
      <c r="U2173" s="1"/>
      <c r="V2173" s="1">
        <v>450.25</v>
      </c>
      <c r="W2173" s="1">
        <v>450.25</v>
      </c>
      <c r="X2173" s="1" t="s">
        <v>35</v>
      </c>
      <c r="Y2173" s="1">
        <v>450250.0</v>
      </c>
      <c r="Z2173" s="1"/>
      <c r="AA2173" s="1">
        <v>450250.0</v>
      </c>
      <c r="AB2173" s="1"/>
      <c r="AC2173" s="1" t="s">
        <v>36</v>
      </c>
      <c r="AD2173" s="1" t="s">
        <v>7911</v>
      </c>
      <c r="AE2173" s="1" t="s">
        <v>32</v>
      </c>
      <c r="AF2173" s="1" t="s">
        <v>33</v>
      </c>
      <c r="AG2173" s="1" t="s">
        <v>180</v>
      </c>
    </row>
    <row r="2174" spans="1:33">
      <c r="A2174" t="s">
        <v>7914</v>
      </c>
      <c r="B2174" t="s">
        <v>4058</v>
      </c>
      <c r="C2174" t="s">
        <v>4059</v>
      </c>
      <c r="E2174" t="s">
        <v>7413</v>
      </c>
      <c r="F2174" t="s">
        <v>7318</v>
      </c>
      <c r="G2174">
        <v>420.0</v>
      </c>
      <c r="H2174">
        <v>420.0</v>
      </c>
      <c r="I2174" t="s">
        <v>29</v>
      </c>
      <c r="J2174" t="s">
        <v>30</v>
      </c>
      <c r="K2174" t="s">
        <v>31</v>
      </c>
      <c r="L2174" t="s">
        <v>32</v>
      </c>
      <c r="M2174" t="s">
        <v>33</v>
      </c>
      <c r="P2174" s="1" t="s">
        <v>7915</v>
      </c>
      <c r="Q2174" s="1" t="s">
        <v>7413</v>
      </c>
      <c r="R2174" s="1" t="s">
        <v>7413</v>
      </c>
      <c r="S2174" s="1"/>
      <c r="T2174" s="1" t="s">
        <v>4059</v>
      </c>
      <c r="U2174" s="1"/>
      <c r="V2174" s="1">
        <v>420.0</v>
      </c>
      <c r="W2174" s="1">
        <v>420.0</v>
      </c>
      <c r="X2174" s="1" t="s">
        <v>35</v>
      </c>
      <c r="Y2174" s="1">
        <v>420000.0</v>
      </c>
      <c r="Z2174" s="1"/>
      <c r="AA2174" s="1">
        <v>420000.0</v>
      </c>
      <c r="AB2174" s="1"/>
      <c r="AC2174" s="1" t="s">
        <v>36</v>
      </c>
      <c r="AD2174" s="1" t="s">
        <v>7916</v>
      </c>
      <c r="AE2174" s="1" t="s">
        <v>32</v>
      </c>
      <c r="AF2174" s="1" t="s">
        <v>33</v>
      </c>
      <c r="AG2174" s="1" t="s">
        <v>30</v>
      </c>
    </row>
    <row r="2175" spans="1:33">
      <c r="A2175" t="s">
        <v>7917</v>
      </c>
      <c r="C2175" t="s">
        <v>1197</v>
      </c>
      <c r="D2175" t="s">
        <v>154</v>
      </c>
      <c r="E2175" t="s">
        <v>7413</v>
      </c>
      <c r="F2175" t="s">
        <v>7318</v>
      </c>
      <c r="G2175">
        <v>688.0</v>
      </c>
      <c r="H2175">
        <v>688.0</v>
      </c>
      <c r="I2175" t="s">
        <v>269</v>
      </c>
      <c r="J2175" t="s">
        <v>270</v>
      </c>
      <c r="K2175" t="s">
        <v>31</v>
      </c>
      <c r="L2175" t="s">
        <v>32</v>
      </c>
      <c r="M2175" t="s">
        <v>33</v>
      </c>
      <c r="P2175" s="1" t="s">
        <v>7918</v>
      </c>
      <c r="Q2175" s="1" t="s">
        <v>7413</v>
      </c>
      <c r="R2175" s="1" t="s">
        <v>7413</v>
      </c>
      <c r="S2175" s="1"/>
      <c r="T2175" s="1" t="s">
        <v>1197</v>
      </c>
      <c r="U2175" s="1"/>
      <c r="V2175" s="1">
        <v>688.0</v>
      </c>
      <c r="W2175" s="1">
        <v>688.0</v>
      </c>
      <c r="X2175" s="1" t="s">
        <v>35</v>
      </c>
      <c r="Y2175" s="1">
        <v>688000.0</v>
      </c>
      <c r="Z2175" s="1"/>
      <c r="AA2175" s="1">
        <v>688000.0</v>
      </c>
      <c r="AB2175" s="1"/>
      <c r="AC2175" s="1" t="s">
        <v>36</v>
      </c>
      <c r="AD2175" s="1" t="s">
        <v>7919</v>
      </c>
      <c r="AE2175" s="1" t="s">
        <v>32</v>
      </c>
      <c r="AF2175" s="1" t="s">
        <v>33</v>
      </c>
      <c r="AG2175" s="1" t="s">
        <v>270</v>
      </c>
    </row>
    <row r="2176" spans="1:33">
      <c r="A2176" t="s">
        <v>7920</v>
      </c>
      <c r="B2176" t="s">
        <v>7921</v>
      </c>
      <c r="C2176" t="s">
        <v>47</v>
      </c>
      <c r="E2176" t="s">
        <v>7413</v>
      </c>
      <c r="F2176" t="s">
        <v>7318</v>
      </c>
      <c r="G2176">
        <v>34.785</v>
      </c>
      <c r="H2176">
        <v>34.785</v>
      </c>
      <c r="I2176" t="s">
        <v>2206</v>
      </c>
      <c r="J2176" t="s">
        <v>49</v>
      </c>
      <c r="K2176" t="s">
        <v>31</v>
      </c>
      <c r="L2176" t="s">
        <v>32</v>
      </c>
      <c r="M2176" t="s">
        <v>33</v>
      </c>
      <c r="P2176" s="1" t="s">
        <v>7922</v>
      </c>
      <c r="Q2176" s="1" t="s">
        <v>7413</v>
      </c>
      <c r="R2176" s="1" t="s">
        <v>7413</v>
      </c>
      <c r="S2176" s="1"/>
      <c r="T2176" s="1" t="s">
        <v>47</v>
      </c>
      <c r="U2176" s="1"/>
      <c r="V2176" s="1">
        <v>34.785</v>
      </c>
      <c r="W2176" s="1">
        <v>34.785</v>
      </c>
      <c r="X2176" s="1" t="s">
        <v>35</v>
      </c>
      <c r="Y2176" s="1">
        <v>34785.0</v>
      </c>
      <c r="Z2176" s="1"/>
      <c r="AA2176" s="1">
        <v>34785.0</v>
      </c>
      <c r="AB2176" s="1"/>
      <c r="AC2176" s="1" t="s">
        <v>36</v>
      </c>
      <c r="AD2176" s="1" t="s">
        <v>7923</v>
      </c>
      <c r="AE2176" s="1" t="s">
        <v>32</v>
      </c>
      <c r="AF2176" s="1" t="s">
        <v>33</v>
      </c>
      <c r="AG2176" s="1" t="s">
        <v>49</v>
      </c>
    </row>
    <row r="2177" spans="1:33">
      <c r="A2177" t="s">
        <v>7924</v>
      </c>
      <c r="B2177" t="s">
        <v>7925</v>
      </c>
      <c r="C2177" t="s">
        <v>314</v>
      </c>
      <c r="E2177" t="s">
        <v>7413</v>
      </c>
      <c r="F2177" t="s">
        <v>7318</v>
      </c>
      <c r="G2177">
        <v>70.92</v>
      </c>
      <c r="H2177">
        <v>70.92</v>
      </c>
      <c r="I2177" t="s">
        <v>179</v>
      </c>
      <c r="J2177" t="s">
        <v>180</v>
      </c>
      <c r="K2177" t="s">
        <v>31</v>
      </c>
      <c r="L2177" t="s">
        <v>32</v>
      </c>
      <c r="M2177" t="s">
        <v>33</v>
      </c>
      <c r="P2177" s="1" t="s">
        <v>7926</v>
      </c>
      <c r="Q2177" s="1" t="s">
        <v>7413</v>
      </c>
      <c r="R2177" s="1" t="s">
        <v>7413</v>
      </c>
      <c r="S2177" s="1"/>
      <c r="T2177" s="1" t="s">
        <v>314</v>
      </c>
      <c r="U2177" s="1"/>
      <c r="V2177" s="1">
        <v>70.92</v>
      </c>
      <c r="W2177" s="1">
        <v>70.92</v>
      </c>
      <c r="X2177" s="1" t="s">
        <v>35</v>
      </c>
      <c r="Y2177" s="1">
        <v>70920.0</v>
      </c>
      <c r="Z2177" s="1"/>
      <c r="AA2177" s="1">
        <v>70920.0</v>
      </c>
      <c r="AB2177" s="1"/>
      <c r="AC2177" s="1" t="s">
        <v>36</v>
      </c>
      <c r="AD2177" s="1" t="s">
        <v>7898</v>
      </c>
      <c r="AE2177" s="1" t="s">
        <v>32</v>
      </c>
      <c r="AF2177" s="1" t="s">
        <v>33</v>
      </c>
      <c r="AG2177" s="1" t="s">
        <v>180</v>
      </c>
    </row>
    <row r="2178" spans="1:33">
      <c r="A2178" t="s">
        <v>7927</v>
      </c>
      <c r="B2178" t="s">
        <v>7928</v>
      </c>
      <c r="C2178" t="s">
        <v>7929</v>
      </c>
      <c r="E2178" t="s">
        <v>7413</v>
      </c>
      <c r="F2178" t="s">
        <v>7318</v>
      </c>
      <c r="G2178">
        <v>716.88</v>
      </c>
      <c r="H2178">
        <v>716.88</v>
      </c>
      <c r="I2178" t="s">
        <v>40</v>
      </c>
      <c r="J2178" t="s">
        <v>41</v>
      </c>
      <c r="K2178" t="s">
        <v>31</v>
      </c>
      <c r="L2178" t="s">
        <v>32</v>
      </c>
      <c r="M2178" t="s">
        <v>33</v>
      </c>
      <c r="P2178" s="1" t="s">
        <v>7930</v>
      </c>
      <c r="Q2178" s="1" t="s">
        <v>7413</v>
      </c>
      <c r="R2178" s="1" t="s">
        <v>6700</v>
      </c>
      <c r="S2178" s="1"/>
      <c r="T2178" s="1" t="s">
        <v>7929</v>
      </c>
      <c r="U2178" s="1"/>
      <c r="V2178" s="1">
        <v>716.88</v>
      </c>
      <c r="W2178" s="1">
        <v>716.88</v>
      </c>
      <c r="X2178" s="1" t="s">
        <v>35</v>
      </c>
      <c r="Y2178" s="1">
        <v>716880.0</v>
      </c>
      <c r="Z2178" s="1"/>
      <c r="AA2178" s="1">
        <v>716880.0</v>
      </c>
      <c r="AB2178" s="1"/>
      <c r="AC2178" s="1" t="s">
        <v>36</v>
      </c>
      <c r="AD2178" s="1" t="s">
        <v>7931</v>
      </c>
      <c r="AE2178" s="1" t="s">
        <v>32</v>
      </c>
      <c r="AF2178" s="1" t="s">
        <v>33</v>
      </c>
      <c r="AG2178" s="1" t="s">
        <v>41</v>
      </c>
    </row>
    <row r="2179" spans="1:33">
      <c r="A2179" t="s">
        <v>7932</v>
      </c>
      <c r="B2179" t="s">
        <v>7933</v>
      </c>
      <c r="C2179" t="s">
        <v>47</v>
      </c>
      <c r="E2179" t="s">
        <v>7413</v>
      </c>
      <c r="F2179" t="s">
        <v>7318</v>
      </c>
      <c r="G2179">
        <v>33.0</v>
      </c>
      <c r="H2179">
        <v>33.0</v>
      </c>
      <c r="I2179" t="s">
        <v>48</v>
      </c>
      <c r="J2179" t="s">
        <v>49</v>
      </c>
      <c r="K2179" t="s">
        <v>31</v>
      </c>
      <c r="L2179" t="s">
        <v>32</v>
      </c>
      <c r="M2179" t="s">
        <v>33</v>
      </c>
      <c r="P2179" s="1" t="s">
        <v>7934</v>
      </c>
      <c r="Q2179" s="1" t="s">
        <v>7413</v>
      </c>
      <c r="R2179" s="1" t="s">
        <v>7413</v>
      </c>
      <c r="S2179" s="1"/>
      <c r="T2179" s="1" t="s">
        <v>47</v>
      </c>
      <c r="U2179" s="1"/>
      <c r="V2179" s="1">
        <v>33.0</v>
      </c>
      <c r="W2179" s="1">
        <v>33.0</v>
      </c>
      <c r="X2179" s="1" t="s">
        <v>35</v>
      </c>
      <c r="Y2179" s="1">
        <v>33000.0</v>
      </c>
      <c r="Z2179" s="1"/>
      <c r="AA2179" s="1">
        <v>33000.0</v>
      </c>
      <c r="AB2179" s="1"/>
      <c r="AC2179" s="1" t="s">
        <v>36</v>
      </c>
      <c r="AD2179" s="1" t="s">
        <v>7935</v>
      </c>
      <c r="AE2179" s="1" t="s">
        <v>32</v>
      </c>
      <c r="AF2179" s="1" t="s">
        <v>33</v>
      </c>
      <c r="AG2179" s="1" t="s">
        <v>49</v>
      </c>
    </row>
    <row r="2180" spans="1:33">
      <c r="A2180" t="s">
        <v>7936</v>
      </c>
      <c r="C2180" t="s">
        <v>7937</v>
      </c>
      <c r="E2180" t="s">
        <v>7413</v>
      </c>
      <c r="F2180" t="s">
        <v>7318</v>
      </c>
      <c r="G2180">
        <v>1.94</v>
      </c>
      <c r="H2180">
        <v>1.94</v>
      </c>
      <c r="I2180" t="s">
        <v>48</v>
      </c>
      <c r="J2180" t="s">
        <v>49</v>
      </c>
      <c r="K2180" t="s">
        <v>31</v>
      </c>
      <c r="L2180" t="s">
        <v>32</v>
      </c>
      <c r="M2180" t="s">
        <v>33</v>
      </c>
      <c r="P2180" s="1" t="s">
        <v>7938</v>
      </c>
      <c r="Q2180" s="1" t="s">
        <v>7413</v>
      </c>
      <c r="R2180" s="1" t="s">
        <v>7413</v>
      </c>
      <c r="S2180" s="1"/>
      <c r="T2180" s="1" t="s">
        <v>7937</v>
      </c>
      <c r="U2180" s="1"/>
      <c r="V2180" s="1">
        <v>1.94</v>
      </c>
      <c r="W2180" s="1">
        <v>1.94</v>
      </c>
      <c r="X2180" s="1" t="s">
        <v>35</v>
      </c>
      <c r="Y2180" s="1">
        <v>1940250.0</v>
      </c>
      <c r="Z2180" s="1"/>
      <c r="AA2180" s="1">
        <v>1940250.0</v>
      </c>
      <c r="AB2180" s="1"/>
      <c r="AC2180" s="1" t="s">
        <v>36</v>
      </c>
      <c r="AD2180" s="1" t="s">
        <v>7939</v>
      </c>
      <c r="AE2180" s="1" t="s">
        <v>32</v>
      </c>
      <c r="AF2180" s="1" t="s">
        <v>33</v>
      </c>
      <c r="AG2180" s="1" t="s">
        <v>49</v>
      </c>
    </row>
    <row r="2181" spans="1:33">
      <c r="A2181" t="s">
        <v>7940</v>
      </c>
      <c r="B2181" t="s">
        <v>7941</v>
      </c>
      <c r="C2181" t="s">
        <v>68</v>
      </c>
      <c r="E2181" t="s">
        <v>7413</v>
      </c>
      <c r="F2181" t="s">
        <v>7318</v>
      </c>
      <c r="G2181">
        <v>78.019</v>
      </c>
      <c r="H2181">
        <v>78.019</v>
      </c>
      <c r="I2181" t="s">
        <v>59</v>
      </c>
      <c r="J2181" t="s">
        <v>60</v>
      </c>
      <c r="K2181" t="s">
        <v>31</v>
      </c>
      <c r="L2181" t="s">
        <v>32</v>
      </c>
      <c r="M2181" t="s">
        <v>33</v>
      </c>
      <c r="P2181" s="1" t="s">
        <v>7942</v>
      </c>
      <c r="Q2181" s="1" t="s">
        <v>7413</v>
      </c>
      <c r="R2181" s="1" t="s">
        <v>7413</v>
      </c>
      <c r="S2181" s="1"/>
      <c r="T2181" s="1" t="s">
        <v>68</v>
      </c>
      <c r="U2181" s="1"/>
      <c r="V2181" s="1">
        <v>78.019</v>
      </c>
      <c r="W2181" s="1">
        <v>78.019</v>
      </c>
      <c r="X2181" s="1" t="s">
        <v>35</v>
      </c>
      <c r="Y2181" s="1">
        <v>78019.0</v>
      </c>
      <c r="Z2181" s="1"/>
      <c r="AA2181" s="1">
        <v>78019.0</v>
      </c>
      <c r="AB2181" s="1"/>
      <c r="AC2181" s="1" t="s">
        <v>36</v>
      </c>
      <c r="AD2181" s="1" t="s">
        <v>7943</v>
      </c>
      <c r="AE2181" s="1" t="s">
        <v>32</v>
      </c>
      <c r="AF2181" s="1" t="s">
        <v>33</v>
      </c>
      <c r="AG2181" s="1" t="s">
        <v>60</v>
      </c>
    </row>
    <row r="2182" spans="1:33">
      <c r="A2182" t="s">
        <v>7944</v>
      </c>
      <c r="C2182" t="s">
        <v>6076</v>
      </c>
      <c r="E2182" t="s">
        <v>7413</v>
      </c>
      <c r="F2182" t="s">
        <v>7318</v>
      </c>
      <c r="G2182">
        <v>1.008</v>
      </c>
      <c r="H2182">
        <v>1.008</v>
      </c>
      <c r="I2182" t="s">
        <v>48</v>
      </c>
      <c r="J2182" t="s">
        <v>49</v>
      </c>
      <c r="K2182" t="s">
        <v>31</v>
      </c>
      <c r="L2182" t="s">
        <v>32</v>
      </c>
      <c r="M2182" t="s">
        <v>33</v>
      </c>
      <c r="P2182" s="1" t="s">
        <v>7945</v>
      </c>
      <c r="Q2182" s="1" t="s">
        <v>7413</v>
      </c>
      <c r="R2182" s="1" t="s">
        <v>7413</v>
      </c>
      <c r="S2182" s="1"/>
      <c r="T2182" s="1" t="s">
        <v>6076</v>
      </c>
      <c r="U2182" s="1"/>
      <c r="V2182" s="1">
        <v>1.008</v>
      </c>
      <c r="W2182" s="1">
        <v>1.008</v>
      </c>
      <c r="X2182" s="1" t="s">
        <v>35</v>
      </c>
      <c r="Y2182" s="1">
        <v>1008000.0</v>
      </c>
      <c r="Z2182" s="1"/>
      <c r="AA2182" s="1">
        <v>1008000.0</v>
      </c>
      <c r="AB2182" s="1"/>
      <c r="AC2182" s="1" t="s">
        <v>36</v>
      </c>
      <c r="AD2182" s="1" t="s">
        <v>7931</v>
      </c>
      <c r="AE2182" s="1" t="s">
        <v>32</v>
      </c>
      <c r="AF2182" s="1" t="s">
        <v>33</v>
      </c>
      <c r="AG2182" s="1" t="s">
        <v>49</v>
      </c>
    </row>
    <row r="2183" spans="1:33">
      <c r="A2183" t="s">
        <v>7946</v>
      </c>
      <c r="B2183" t="s">
        <v>7947</v>
      </c>
      <c r="C2183" t="s">
        <v>125</v>
      </c>
      <c r="E2183" t="s">
        <v>7413</v>
      </c>
      <c r="F2183" t="s">
        <v>7318</v>
      </c>
      <c r="G2183">
        <v>3.0</v>
      </c>
      <c r="H2183">
        <v>3.0</v>
      </c>
      <c r="I2183" t="s">
        <v>126</v>
      </c>
      <c r="J2183" t="s">
        <v>127</v>
      </c>
      <c r="K2183" t="s">
        <v>31</v>
      </c>
      <c r="L2183" t="s">
        <v>32</v>
      </c>
      <c r="M2183" t="s">
        <v>33</v>
      </c>
      <c r="P2183" s="1" t="s">
        <v>7948</v>
      </c>
      <c r="Q2183" s="1" t="s">
        <v>7413</v>
      </c>
      <c r="R2183" s="1" t="s">
        <v>7413</v>
      </c>
      <c r="S2183" s="1"/>
      <c r="T2183" s="1" t="s">
        <v>125</v>
      </c>
      <c r="U2183" s="1"/>
      <c r="V2183" s="1">
        <v>3.0</v>
      </c>
      <c r="W2183" s="1">
        <v>3.0</v>
      </c>
      <c r="X2183" s="1" t="s">
        <v>35</v>
      </c>
      <c r="Y2183" s="1">
        <v>3000.0</v>
      </c>
      <c r="Z2183" s="1"/>
      <c r="AA2183" s="1">
        <v>3000.0</v>
      </c>
      <c r="AB2183" s="1"/>
      <c r="AC2183" s="1" t="s">
        <v>36</v>
      </c>
      <c r="AD2183" s="1" t="s">
        <v>7949</v>
      </c>
      <c r="AE2183" s="1" t="s">
        <v>32</v>
      </c>
      <c r="AF2183" s="1" t="s">
        <v>33</v>
      </c>
      <c r="AG2183" s="1" t="s">
        <v>127</v>
      </c>
    </row>
    <row r="2184" spans="1:33">
      <c r="A2184" t="s">
        <v>7950</v>
      </c>
      <c r="B2184" t="s">
        <v>7951</v>
      </c>
      <c r="C2184" t="s">
        <v>7952</v>
      </c>
      <c r="D2184" t="s">
        <v>114</v>
      </c>
      <c r="E2184" t="s">
        <v>7413</v>
      </c>
      <c r="F2184" t="s">
        <v>7318</v>
      </c>
      <c r="G2184">
        <v>152.94</v>
      </c>
      <c r="H2184">
        <v>152.94</v>
      </c>
      <c r="I2184" t="s">
        <v>59</v>
      </c>
      <c r="J2184" t="s">
        <v>60</v>
      </c>
      <c r="K2184" t="s">
        <v>31</v>
      </c>
      <c r="L2184" t="s">
        <v>32</v>
      </c>
      <c r="M2184" t="s">
        <v>33</v>
      </c>
      <c r="P2184" s="1" t="s">
        <v>7953</v>
      </c>
      <c r="Q2184" s="1" t="s">
        <v>7413</v>
      </c>
      <c r="R2184" s="1" t="s">
        <v>7413</v>
      </c>
      <c r="S2184" s="1"/>
      <c r="T2184" s="1" t="s">
        <v>7954</v>
      </c>
      <c r="U2184" s="1" t="s">
        <v>7955</v>
      </c>
      <c r="V2184" s="1">
        <v>152.94</v>
      </c>
      <c r="W2184" s="1">
        <v>152.94</v>
      </c>
      <c r="X2184" s="1" t="s">
        <v>35</v>
      </c>
      <c r="Y2184" s="1">
        <v>152940.0</v>
      </c>
      <c r="Z2184" s="1"/>
      <c r="AA2184" s="1">
        <v>152940.0</v>
      </c>
      <c r="AB2184" s="1"/>
      <c r="AC2184" s="1" t="s">
        <v>36</v>
      </c>
      <c r="AD2184" s="1" t="s">
        <v>7956</v>
      </c>
      <c r="AE2184" s="1" t="s">
        <v>32</v>
      </c>
      <c r="AF2184" s="1" t="s">
        <v>33</v>
      </c>
      <c r="AG2184" s="1" t="s">
        <v>60</v>
      </c>
    </row>
    <row r="2185" spans="1:33">
      <c r="A2185" t="s">
        <v>7957</v>
      </c>
      <c r="C2185" t="s">
        <v>7958</v>
      </c>
      <c r="D2185" t="s">
        <v>154</v>
      </c>
      <c r="E2185" t="s">
        <v>7413</v>
      </c>
      <c r="F2185" t="s">
        <v>7318</v>
      </c>
      <c r="G2185">
        <v>1.291</v>
      </c>
      <c r="H2185">
        <v>1.291</v>
      </c>
      <c r="I2185" t="s">
        <v>269</v>
      </c>
      <c r="J2185" t="s">
        <v>270</v>
      </c>
      <c r="K2185" t="s">
        <v>31</v>
      </c>
      <c r="L2185" t="s">
        <v>32</v>
      </c>
      <c r="M2185" t="s">
        <v>33</v>
      </c>
      <c r="P2185" s="1" t="s">
        <v>7959</v>
      </c>
      <c r="Q2185" s="1" t="s">
        <v>7413</v>
      </c>
      <c r="R2185" s="1" t="s">
        <v>7413</v>
      </c>
      <c r="S2185" s="1"/>
      <c r="T2185" s="1" t="s">
        <v>7958</v>
      </c>
      <c r="U2185" s="1"/>
      <c r="V2185" s="1">
        <v>1.291</v>
      </c>
      <c r="W2185" s="1">
        <v>1.291</v>
      </c>
      <c r="X2185" s="1" t="s">
        <v>35</v>
      </c>
      <c r="Y2185" s="1">
        <v>1291200.0</v>
      </c>
      <c r="Z2185" s="1"/>
      <c r="AA2185" s="1">
        <v>1291200.0</v>
      </c>
      <c r="AB2185" s="1"/>
      <c r="AC2185" s="1" t="s">
        <v>36</v>
      </c>
      <c r="AD2185" s="1" t="s">
        <v>7960</v>
      </c>
      <c r="AE2185" s="1" t="s">
        <v>32</v>
      </c>
      <c r="AF2185" s="1" t="s">
        <v>33</v>
      </c>
      <c r="AG2185" s="1" t="s">
        <v>270</v>
      </c>
    </row>
    <row r="2186" spans="1:33">
      <c r="A2186" t="s">
        <v>7961</v>
      </c>
      <c r="C2186" t="s">
        <v>1468</v>
      </c>
      <c r="E2186" t="s">
        <v>7413</v>
      </c>
      <c r="F2186" t="s">
        <v>7318</v>
      </c>
      <c r="G2186">
        <v>426.4</v>
      </c>
      <c r="H2186">
        <v>426.4</v>
      </c>
      <c r="I2186" t="s">
        <v>269</v>
      </c>
      <c r="J2186" t="s">
        <v>270</v>
      </c>
      <c r="K2186" t="s">
        <v>31</v>
      </c>
      <c r="L2186" t="s">
        <v>32</v>
      </c>
      <c r="M2186" t="s">
        <v>33</v>
      </c>
      <c r="P2186" s="1" t="s">
        <v>7962</v>
      </c>
      <c r="Q2186" s="1" t="s">
        <v>7413</v>
      </c>
      <c r="R2186" s="1" t="s">
        <v>7413</v>
      </c>
      <c r="S2186" s="1"/>
      <c r="T2186" s="1" t="s">
        <v>1468</v>
      </c>
      <c r="U2186" s="1"/>
      <c r="V2186" s="1">
        <v>426.4</v>
      </c>
      <c r="W2186" s="1">
        <v>426.4</v>
      </c>
      <c r="X2186" s="1" t="s">
        <v>35</v>
      </c>
      <c r="Y2186" s="1">
        <v>426400.0</v>
      </c>
      <c r="Z2186" s="1"/>
      <c r="AA2186" s="1">
        <v>426400.0</v>
      </c>
      <c r="AB2186" s="1"/>
      <c r="AC2186" s="1" t="s">
        <v>36</v>
      </c>
      <c r="AD2186" s="1" t="s">
        <v>7963</v>
      </c>
      <c r="AE2186" s="1" t="s">
        <v>32</v>
      </c>
      <c r="AF2186" s="1" t="s">
        <v>33</v>
      </c>
      <c r="AG2186" s="1" t="s">
        <v>270</v>
      </c>
    </row>
    <row r="2187" spans="1:33">
      <c r="A2187" t="s">
        <v>7964</v>
      </c>
      <c r="C2187" t="s">
        <v>135</v>
      </c>
      <c r="E2187" t="s">
        <v>7413</v>
      </c>
      <c r="F2187" t="s">
        <v>7318</v>
      </c>
      <c r="G2187">
        <v>33.8</v>
      </c>
      <c r="H2187">
        <v>33.8</v>
      </c>
      <c r="I2187" t="s">
        <v>136</v>
      </c>
      <c r="J2187" t="s">
        <v>137</v>
      </c>
      <c r="K2187" t="s">
        <v>31</v>
      </c>
      <c r="L2187" t="s">
        <v>32</v>
      </c>
      <c r="M2187" t="s">
        <v>33</v>
      </c>
      <c r="P2187" s="1" t="s">
        <v>7965</v>
      </c>
      <c r="Q2187" s="1" t="s">
        <v>7413</v>
      </c>
      <c r="R2187" s="1" t="s">
        <v>7413</v>
      </c>
      <c r="S2187" s="1"/>
      <c r="T2187" s="1" t="s">
        <v>135</v>
      </c>
      <c r="U2187" s="1"/>
      <c r="V2187" s="1">
        <v>33.8</v>
      </c>
      <c r="W2187" s="1">
        <v>33.8</v>
      </c>
      <c r="X2187" s="1" t="s">
        <v>35</v>
      </c>
      <c r="Y2187" s="1">
        <v>33800.0</v>
      </c>
      <c r="Z2187" s="1"/>
      <c r="AA2187" s="1">
        <v>33800.0</v>
      </c>
      <c r="AB2187" s="1"/>
      <c r="AC2187" s="1" t="s">
        <v>36</v>
      </c>
      <c r="AD2187" s="1" t="s">
        <v>7966</v>
      </c>
      <c r="AE2187" s="1" t="s">
        <v>32</v>
      </c>
      <c r="AF2187" s="1" t="s">
        <v>33</v>
      </c>
      <c r="AG2187" s="1" t="s">
        <v>137</v>
      </c>
    </row>
    <row r="2188" spans="1:33">
      <c r="A2188" t="s">
        <v>7967</v>
      </c>
      <c r="C2188" t="s">
        <v>4120</v>
      </c>
      <c r="E2188" t="s">
        <v>7413</v>
      </c>
      <c r="F2188" t="s">
        <v>7318</v>
      </c>
      <c r="G2188">
        <v>2.046</v>
      </c>
      <c r="H2188">
        <v>2.046</v>
      </c>
      <c r="I2188" t="s">
        <v>269</v>
      </c>
      <c r="J2188" t="s">
        <v>270</v>
      </c>
      <c r="K2188" t="s">
        <v>31</v>
      </c>
      <c r="L2188" t="s">
        <v>32</v>
      </c>
      <c r="M2188" t="s">
        <v>33</v>
      </c>
      <c r="P2188" s="1" t="s">
        <v>7968</v>
      </c>
      <c r="Q2188" s="1" t="s">
        <v>7413</v>
      </c>
      <c r="R2188" s="1" t="s">
        <v>7413</v>
      </c>
      <c r="S2188" s="1"/>
      <c r="T2188" s="1" t="s">
        <v>4120</v>
      </c>
      <c r="U2188" s="1"/>
      <c r="V2188" s="1">
        <v>2.046</v>
      </c>
      <c r="W2188" s="1">
        <v>2.046</v>
      </c>
      <c r="X2188" s="1" t="s">
        <v>35</v>
      </c>
      <c r="Y2188" s="1">
        <v>2046000.0</v>
      </c>
      <c r="Z2188" s="1"/>
      <c r="AA2188" s="1">
        <v>2046000.0</v>
      </c>
      <c r="AB2188" s="1"/>
      <c r="AC2188" s="1" t="s">
        <v>36</v>
      </c>
      <c r="AD2188" s="1" t="s">
        <v>7969</v>
      </c>
      <c r="AE2188" s="1" t="s">
        <v>32</v>
      </c>
      <c r="AF2188" s="1" t="s">
        <v>33</v>
      </c>
      <c r="AG2188" s="1" t="s">
        <v>270</v>
      </c>
    </row>
    <row r="2189" spans="1:33">
      <c r="A2189" t="s">
        <v>7970</v>
      </c>
      <c r="B2189" t="s">
        <v>160</v>
      </c>
      <c r="C2189" t="s">
        <v>47</v>
      </c>
      <c r="E2189" t="s">
        <v>7413</v>
      </c>
      <c r="F2189" t="s">
        <v>7318</v>
      </c>
      <c r="G2189">
        <v>108.15</v>
      </c>
      <c r="H2189">
        <v>108.15</v>
      </c>
      <c r="I2189" t="s">
        <v>48</v>
      </c>
      <c r="J2189" t="s">
        <v>49</v>
      </c>
      <c r="K2189" t="s">
        <v>31</v>
      </c>
      <c r="L2189" t="s">
        <v>32</v>
      </c>
      <c r="M2189" t="s">
        <v>33</v>
      </c>
      <c r="P2189" s="1" t="s">
        <v>7971</v>
      </c>
      <c r="Q2189" s="1" t="s">
        <v>7413</v>
      </c>
      <c r="R2189" s="1" t="s">
        <v>7413</v>
      </c>
      <c r="S2189" s="1"/>
      <c r="T2189" s="1" t="s">
        <v>47</v>
      </c>
      <c r="U2189" s="1"/>
      <c r="V2189" s="1">
        <v>108.15</v>
      </c>
      <c r="W2189" s="1">
        <v>108.15</v>
      </c>
      <c r="X2189" s="1" t="s">
        <v>35</v>
      </c>
      <c r="Y2189" s="1">
        <v>108150.0</v>
      </c>
      <c r="Z2189" s="1"/>
      <c r="AA2189" s="1">
        <v>108150.0</v>
      </c>
      <c r="AB2189" s="1"/>
      <c r="AC2189" s="1" t="s">
        <v>36</v>
      </c>
      <c r="AD2189" s="1" t="s">
        <v>7972</v>
      </c>
      <c r="AE2189" s="1" t="s">
        <v>32</v>
      </c>
      <c r="AF2189" s="1" t="s">
        <v>33</v>
      </c>
      <c r="AG2189" s="1" t="s">
        <v>49</v>
      </c>
    </row>
    <row r="2190" spans="1:33">
      <c r="A2190" t="s">
        <v>7973</v>
      </c>
      <c r="B2190" t="s">
        <v>7974</v>
      </c>
      <c r="C2190" t="s">
        <v>268</v>
      </c>
      <c r="E2190" t="s">
        <v>7413</v>
      </c>
      <c r="F2190" t="s">
        <v>7318</v>
      </c>
      <c r="G2190">
        <v>45.15</v>
      </c>
      <c r="H2190">
        <v>45.15</v>
      </c>
      <c r="I2190" t="s">
        <v>269</v>
      </c>
      <c r="J2190" t="s">
        <v>270</v>
      </c>
      <c r="K2190" t="s">
        <v>31</v>
      </c>
      <c r="L2190" t="s">
        <v>32</v>
      </c>
      <c r="M2190" t="s">
        <v>33</v>
      </c>
      <c r="P2190" s="1" t="s">
        <v>7975</v>
      </c>
      <c r="Q2190" s="1" t="s">
        <v>7413</v>
      </c>
      <c r="R2190" s="1" t="s">
        <v>7413</v>
      </c>
      <c r="S2190" s="1"/>
      <c r="T2190" s="1" t="s">
        <v>268</v>
      </c>
      <c r="U2190" s="1"/>
      <c r="V2190" s="1">
        <v>45.15</v>
      </c>
      <c r="W2190" s="1">
        <v>45.15</v>
      </c>
      <c r="X2190" s="1" t="s">
        <v>35</v>
      </c>
      <c r="Y2190" s="1">
        <v>45150.0</v>
      </c>
      <c r="Z2190" s="1"/>
      <c r="AA2190" s="1">
        <v>45150.0</v>
      </c>
      <c r="AB2190" s="1"/>
      <c r="AC2190" s="1" t="s">
        <v>36</v>
      </c>
      <c r="AD2190" s="1" t="s">
        <v>7976</v>
      </c>
      <c r="AE2190" s="1" t="s">
        <v>32</v>
      </c>
      <c r="AF2190" s="1" t="s">
        <v>33</v>
      </c>
      <c r="AG2190" s="1" t="s">
        <v>270</v>
      </c>
    </row>
    <row r="2191" spans="1:33">
      <c r="A2191" t="s">
        <v>7977</v>
      </c>
      <c r="B2191" t="s">
        <v>7978</v>
      </c>
      <c r="C2191" t="s">
        <v>1298</v>
      </c>
      <c r="E2191" t="s">
        <v>7413</v>
      </c>
      <c r="F2191" t="s">
        <v>7318</v>
      </c>
      <c r="G2191">
        <v>6.978</v>
      </c>
      <c r="H2191">
        <v>6.978</v>
      </c>
      <c r="I2191" t="s">
        <v>529</v>
      </c>
      <c r="J2191" t="s">
        <v>530</v>
      </c>
      <c r="K2191" t="s">
        <v>31</v>
      </c>
      <c r="L2191" t="s">
        <v>32</v>
      </c>
      <c r="M2191" t="s">
        <v>33</v>
      </c>
      <c r="P2191" s="1" t="s">
        <v>7979</v>
      </c>
      <c r="Q2191" s="1" t="s">
        <v>7413</v>
      </c>
      <c r="R2191" s="1" t="s">
        <v>6700</v>
      </c>
      <c r="S2191" s="1"/>
      <c r="T2191" s="1" t="s">
        <v>1298</v>
      </c>
      <c r="U2191" s="1"/>
      <c r="V2191" s="1">
        <v>6.978</v>
      </c>
      <c r="W2191" s="1">
        <v>6.978</v>
      </c>
      <c r="X2191" s="1" t="s">
        <v>35</v>
      </c>
      <c r="Y2191" s="1">
        <v>6978.0</v>
      </c>
      <c r="Z2191" s="1"/>
      <c r="AA2191" s="1">
        <v>6978.0</v>
      </c>
      <c r="AB2191" s="1"/>
      <c r="AC2191" s="1" t="s">
        <v>36</v>
      </c>
      <c r="AD2191" s="1" t="s">
        <v>7980</v>
      </c>
      <c r="AE2191" s="1" t="s">
        <v>32</v>
      </c>
      <c r="AF2191" s="1" t="s">
        <v>33</v>
      </c>
      <c r="AG2191" s="1" t="s">
        <v>530</v>
      </c>
    </row>
    <row r="2192" spans="1:33">
      <c r="A2192" t="s">
        <v>7981</v>
      </c>
      <c r="C2192" t="s">
        <v>2688</v>
      </c>
      <c r="E2192" t="s">
        <v>7413</v>
      </c>
      <c r="F2192" t="s">
        <v>7318</v>
      </c>
      <c r="G2192">
        <v>662.0</v>
      </c>
      <c r="H2192">
        <v>662.0</v>
      </c>
      <c r="I2192" t="s">
        <v>269</v>
      </c>
      <c r="J2192" t="s">
        <v>270</v>
      </c>
      <c r="K2192" t="s">
        <v>31</v>
      </c>
      <c r="L2192" t="s">
        <v>32</v>
      </c>
      <c r="M2192" t="s">
        <v>33</v>
      </c>
      <c r="P2192" s="1" t="s">
        <v>7982</v>
      </c>
      <c r="Q2192" s="1" t="s">
        <v>7413</v>
      </c>
      <c r="R2192" s="1" t="s">
        <v>7413</v>
      </c>
      <c r="S2192" s="1"/>
      <c r="T2192" s="1" t="s">
        <v>2688</v>
      </c>
      <c r="U2192" s="1"/>
      <c r="V2192" s="1">
        <v>662.0</v>
      </c>
      <c r="W2192" s="1">
        <v>662.0</v>
      </c>
      <c r="X2192" s="1" t="s">
        <v>35</v>
      </c>
      <c r="Y2192" s="1">
        <v>662000.0</v>
      </c>
      <c r="Z2192" s="1"/>
      <c r="AA2192" s="1">
        <v>662000.0</v>
      </c>
      <c r="AB2192" s="1"/>
      <c r="AC2192" s="1" t="s">
        <v>36</v>
      </c>
      <c r="AD2192" s="1" t="s">
        <v>7983</v>
      </c>
      <c r="AE2192" s="1" t="s">
        <v>32</v>
      </c>
      <c r="AF2192" s="1" t="s">
        <v>33</v>
      </c>
      <c r="AG2192" s="1" t="s">
        <v>270</v>
      </c>
    </row>
    <row r="2193" spans="1:33">
      <c r="A2193" t="s">
        <v>7984</v>
      </c>
      <c r="B2193" t="s">
        <v>7985</v>
      </c>
      <c r="C2193" t="s">
        <v>68</v>
      </c>
      <c r="E2193" t="s">
        <v>7413</v>
      </c>
      <c r="F2193" t="s">
        <v>7318</v>
      </c>
      <c r="G2193">
        <v>94.825</v>
      </c>
      <c r="H2193">
        <v>94.825</v>
      </c>
      <c r="I2193" t="s">
        <v>59</v>
      </c>
      <c r="J2193" t="s">
        <v>60</v>
      </c>
      <c r="K2193" t="s">
        <v>31</v>
      </c>
      <c r="L2193" t="s">
        <v>32</v>
      </c>
      <c r="M2193" t="s">
        <v>33</v>
      </c>
      <c r="P2193" s="1" t="s">
        <v>7986</v>
      </c>
      <c r="Q2193" s="1" t="s">
        <v>7413</v>
      </c>
      <c r="R2193" s="1" t="s">
        <v>7413</v>
      </c>
      <c r="S2193" s="1"/>
      <c r="T2193" s="1" t="s">
        <v>68</v>
      </c>
      <c r="U2193" s="1"/>
      <c r="V2193" s="1">
        <v>94.825</v>
      </c>
      <c r="W2193" s="1">
        <v>94.825</v>
      </c>
      <c r="X2193" s="1" t="s">
        <v>35</v>
      </c>
      <c r="Y2193" s="1">
        <v>94825.0</v>
      </c>
      <c r="Z2193" s="1"/>
      <c r="AA2193" s="1">
        <v>94825.0</v>
      </c>
      <c r="AB2193" s="1"/>
      <c r="AC2193" s="1" t="s">
        <v>36</v>
      </c>
      <c r="AD2193" s="1" t="s">
        <v>7987</v>
      </c>
      <c r="AE2193" s="1" t="s">
        <v>32</v>
      </c>
      <c r="AF2193" s="1" t="s">
        <v>33</v>
      </c>
      <c r="AG2193" s="1" t="s">
        <v>60</v>
      </c>
    </row>
    <row r="2194" spans="1:33">
      <c r="A2194" t="s">
        <v>7988</v>
      </c>
      <c r="B2194" t="s">
        <v>5786</v>
      </c>
      <c r="C2194" t="s">
        <v>569</v>
      </c>
      <c r="E2194" t="s">
        <v>7413</v>
      </c>
      <c r="F2194" t="s">
        <v>7318</v>
      </c>
      <c r="G2194">
        <v>17.79</v>
      </c>
      <c r="H2194">
        <v>17.79</v>
      </c>
      <c r="I2194" t="s">
        <v>570</v>
      </c>
      <c r="J2194" t="s">
        <v>571</v>
      </c>
      <c r="K2194" t="s">
        <v>31</v>
      </c>
      <c r="L2194" t="s">
        <v>32</v>
      </c>
      <c r="M2194" t="s">
        <v>33</v>
      </c>
      <c r="P2194" s="1" t="s">
        <v>7989</v>
      </c>
      <c r="Q2194" s="1" t="s">
        <v>7413</v>
      </c>
      <c r="R2194" s="1" t="s">
        <v>7413</v>
      </c>
      <c r="S2194" s="1"/>
      <c r="T2194" s="1" t="s">
        <v>569</v>
      </c>
      <c r="U2194" s="1"/>
      <c r="V2194" s="1">
        <v>17.79</v>
      </c>
      <c r="W2194" s="1">
        <v>17.79</v>
      </c>
      <c r="X2194" s="1" t="s">
        <v>35</v>
      </c>
      <c r="Y2194" s="1">
        <v>17790.0</v>
      </c>
      <c r="Z2194" s="1"/>
      <c r="AA2194" s="1">
        <v>17790.0</v>
      </c>
      <c r="AB2194" s="1"/>
      <c r="AC2194" s="1" t="s">
        <v>36</v>
      </c>
      <c r="AD2194" s="1" t="s">
        <v>7990</v>
      </c>
      <c r="AE2194" s="1" t="s">
        <v>32</v>
      </c>
      <c r="AF2194" s="1" t="s">
        <v>33</v>
      </c>
      <c r="AG2194" s="1" t="s">
        <v>571</v>
      </c>
    </row>
    <row r="2195" spans="1:33">
      <c r="A2195" t="s">
        <v>7991</v>
      </c>
      <c r="C2195" t="s">
        <v>7992</v>
      </c>
      <c r="E2195" t="s">
        <v>7413</v>
      </c>
      <c r="F2195" t="s">
        <v>7318</v>
      </c>
      <c r="G2195">
        <v>4.27</v>
      </c>
      <c r="H2195">
        <v>4.27</v>
      </c>
      <c r="I2195" t="s">
        <v>269</v>
      </c>
      <c r="J2195" t="s">
        <v>270</v>
      </c>
      <c r="K2195" t="s">
        <v>31</v>
      </c>
      <c r="L2195" t="s">
        <v>32</v>
      </c>
      <c r="M2195" t="s">
        <v>33</v>
      </c>
      <c r="P2195" s="1" t="s">
        <v>7993</v>
      </c>
      <c r="Q2195" s="1" t="s">
        <v>7413</v>
      </c>
      <c r="R2195" s="1" t="s">
        <v>7413</v>
      </c>
      <c r="S2195" s="1"/>
      <c r="T2195" s="1" t="s">
        <v>7992</v>
      </c>
      <c r="U2195" s="1"/>
      <c r="V2195" s="1">
        <v>4.27</v>
      </c>
      <c r="W2195" s="1">
        <v>4.27</v>
      </c>
      <c r="X2195" s="1" t="s">
        <v>35</v>
      </c>
      <c r="Y2195" s="1">
        <v>4270000.0</v>
      </c>
      <c r="Z2195" s="1"/>
      <c r="AA2195" s="1">
        <v>4270000.0</v>
      </c>
      <c r="AB2195" s="1"/>
      <c r="AC2195" s="1" t="s">
        <v>36</v>
      </c>
      <c r="AD2195" s="1" t="s">
        <v>7994</v>
      </c>
      <c r="AE2195" s="1" t="s">
        <v>32</v>
      </c>
      <c r="AF2195" s="1" t="s">
        <v>33</v>
      </c>
      <c r="AG2195" s="1" t="s">
        <v>270</v>
      </c>
    </row>
    <row r="2196" spans="1:33">
      <c r="A2196" t="s">
        <v>7995</v>
      </c>
      <c r="B2196" t="s">
        <v>650</v>
      </c>
      <c r="C2196" t="s">
        <v>314</v>
      </c>
      <c r="E2196" t="s">
        <v>7413</v>
      </c>
      <c r="F2196" t="s">
        <v>7318</v>
      </c>
      <c r="G2196">
        <v>224.42</v>
      </c>
      <c r="H2196">
        <v>224.42</v>
      </c>
      <c r="I2196" t="s">
        <v>179</v>
      </c>
      <c r="J2196" t="s">
        <v>180</v>
      </c>
      <c r="K2196" t="s">
        <v>31</v>
      </c>
      <c r="L2196" t="s">
        <v>32</v>
      </c>
      <c r="M2196" t="s">
        <v>33</v>
      </c>
      <c r="P2196" s="1" t="s">
        <v>7996</v>
      </c>
      <c r="Q2196" s="1" t="s">
        <v>7413</v>
      </c>
      <c r="R2196" s="1" t="s">
        <v>7413</v>
      </c>
      <c r="S2196" s="1"/>
      <c r="T2196" s="1" t="s">
        <v>314</v>
      </c>
      <c r="U2196" s="1"/>
      <c r="V2196" s="1">
        <v>224.42</v>
      </c>
      <c r="W2196" s="1">
        <v>224.42</v>
      </c>
      <c r="X2196" s="1" t="s">
        <v>35</v>
      </c>
      <c r="Y2196" s="1">
        <v>224420.0</v>
      </c>
      <c r="Z2196" s="1"/>
      <c r="AA2196" s="1">
        <v>224420.0</v>
      </c>
      <c r="AB2196" s="1"/>
      <c r="AC2196" s="1" t="s">
        <v>36</v>
      </c>
      <c r="AD2196" s="1" t="s">
        <v>7994</v>
      </c>
      <c r="AE2196" s="1" t="s">
        <v>32</v>
      </c>
      <c r="AF2196" s="1" t="s">
        <v>33</v>
      </c>
      <c r="AG2196" s="1" t="s">
        <v>180</v>
      </c>
    </row>
    <row r="2197" spans="1:33">
      <c r="A2197" t="s">
        <v>7997</v>
      </c>
      <c r="B2197" t="s">
        <v>7998</v>
      </c>
      <c r="C2197" t="s">
        <v>47</v>
      </c>
      <c r="E2197" t="s">
        <v>7413</v>
      </c>
      <c r="F2197" t="s">
        <v>7318</v>
      </c>
      <c r="G2197">
        <v>16.0</v>
      </c>
      <c r="H2197">
        <v>16.0</v>
      </c>
      <c r="I2197" t="s">
        <v>48</v>
      </c>
      <c r="J2197" t="s">
        <v>49</v>
      </c>
      <c r="K2197" t="s">
        <v>31</v>
      </c>
      <c r="L2197" t="s">
        <v>32</v>
      </c>
      <c r="M2197" t="s">
        <v>33</v>
      </c>
      <c r="P2197" s="1" t="s">
        <v>7999</v>
      </c>
      <c r="Q2197" s="1" t="s">
        <v>7413</v>
      </c>
      <c r="R2197" s="1" t="s">
        <v>7413</v>
      </c>
      <c r="S2197" s="1"/>
      <c r="T2197" s="1" t="s">
        <v>47</v>
      </c>
      <c r="U2197" s="1"/>
      <c r="V2197" s="1">
        <v>16.0</v>
      </c>
      <c r="W2197" s="1">
        <v>16.0</v>
      </c>
      <c r="X2197" s="1" t="s">
        <v>35</v>
      </c>
      <c r="Y2197" s="1">
        <v>16000.0</v>
      </c>
      <c r="Z2197" s="1"/>
      <c r="AA2197" s="1">
        <v>16000.0</v>
      </c>
      <c r="AB2197" s="1"/>
      <c r="AC2197" s="1" t="s">
        <v>36</v>
      </c>
      <c r="AD2197" s="1" t="s">
        <v>8000</v>
      </c>
      <c r="AE2197" s="1" t="s">
        <v>32</v>
      </c>
      <c r="AF2197" s="1" t="s">
        <v>33</v>
      </c>
      <c r="AG2197" s="1" t="s">
        <v>49</v>
      </c>
    </row>
    <row r="2198" spans="1:33">
      <c r="A2198" t="s">
        <v>8001</v>
      </c>
      <c r="C2198" t="s">
        <v>8002</v>
      </c>
      <c r="E2198" t="s">
        <v>7413</v>
      </c>
      <c r="F2198" t="s">
        <v>7318</v>
      </c>
      <c r="G2198">
        <v>336.0</v>
      </c>
      <c r="H2198">
        <v>336.0</v>
      </c>
      <c r="I2198" t="s">
        <v>2206</v>
      </c>
      <c r="J2198" t="s">
        <v>49</v>
      </c>
      <c r="K2198" t="s">
        <v>31</v>
      </c>
      <c r="L2198" t="s">
        <v>32</v>
      </c>
      <c r="M2198" t="s">
        <v>33</v>
      </c>
      <c r="P2198" s="1" t="s">
        <v>8003</v>
      </c>
      <c r="Q2198" s="1" t="s">
        <v>7413</v>
      </c>
      <c r="R2198" s="1" t="s">
        <v>7413</v>
      </c>
      <c r="S2198" s="1"/>
      <c r="T2198" s="1" t="s">
        <v>8002</v>
      </c>
      <c r="U2198" s="1"/>
      <c r="V2198" s="1">
        <v>336.0</v>
      </c>
      <c r="W2198" s="1">
        <v>336.0</v>
      </c>
      <c r="X2198" s="1" t="s">
        <v>35</v>
      </c>
      <c r="Y2198" s="1">
        <v>336000.0</v>
      </c>
      <c r="Z2198" s="1"/>
      <c r="AA2198" s="1">
        <v>336000.0</v>
      </c>
      <c r="AB2198" s="1"/>
      <c r="AC2198" s="1" t="s">
        <v>36</v>
      </c>
      <c r="AD2198" s="1" t="s">
        <v>7990</v>
      </c>
      <c r="AE2198" s="1" t="s">
        <v>32</v>
      </c>
      <c r="AF2198" s="1" t="s">
        <v>33</v>
      </c>
      <c r="AG2198" s="1" t="s">
        <v>49</v>
      </c>
    </row>
    <row r="2199" spans="1:33">
      <c r="A2199" t="s">
        <v>8004</v>
      </c>
      <c r="C2199" t="s">
        <v>8005</v>
      </c>
      <c r="D2199" t="s">
        <v>114</v>
      </c>
      <c r="E2199" t="s">
        <v>7413</v>
      </c>
      <c r="F2199" t="s">
        <v>7318</v>
      </c>
      <c r="G2199">
        <v>705.5</v>
      </c>
      <c r="H2199">
        <v>705.5</v>
      </c>
      <c r="I2199" t="s">
        <v>40</v>
      </c>
      <c r="J2199" t="s">
        <v>41</v>
      </c>
      <c r="K2199" t="s">
        <v>31</v>
      </c>
      <c r="L2199" t="s">
        <v>32</v>
      </c>
      <c r="M2199" t="s">
        <v>33</v>
      </c>
      <c r="P2199" s="1" t="s">
        <v>8006</v>
      </c>
      <c r="Q2199" s="1" t="s">
        <v>7413</v>
      </c>
      <c r="R2199" s="1" t="s">
        <v>6700</v>
      </c>
      <c r="S2199" s="1"/>
      <c r="T2199" s="1" t="s">
        <v>8005</v>
      </c>
      <c r="U2199" s="1"/>
      <c r="V2199" s="1">
        <v>705.5</v>
      </c>
      <c r="W2199" s="1">
        <v>705.5</v>
      </c>
      <c r="X2199" s="1" t="s">
        <v>35</v>
      </c>
      <c r="Y2199" s="1">
        <v>705500</v>
      </c>
      <c r="Z2199" s="1"/>
      <c r="AA2199" s="1">
        <v>705500</v>
      </c>
      <c r="AB2199" s="1"/>
      <c r="AC2199" s="1" t="s">
        <v>36</v>
      </c>
      <c r="AD2199" s="1" t="s">
        <v>8007</v>
      </c>
      <c r="AE2199" s="1" t="s">
        <v>32</v>
      </c>
      <c r="AF2199" s="1" t="s">
        <v>33</v>
      </c>
      <c r="AG2199" s="1" t="s">
        <v>41</v>
      </c>
    </row>
    <row r="2200" spans="1:33">
      <c r="A2200" t="s">
        <v>8008</v>
      </c>
      <c r="B2200" t="s">
        <v>8009</v>
      </c>
      <c r="C2200" t="s">
        <v>73</v>
      </c>
      <c r="E2200" t="s">
        <v>7413</v>
      </c>
      <c r="F2200" t="s">
        <v>7318</v>
      </c>
      <c r="G2200">
        <v>61.99</v>
      </c>
      <c r="H2200">
        <v>61.99</v>
      </c>
      <c r="I2200" t="s">
        <v>40</v>
      </c>
      <c r="J2200" t="s">
        <v>41</v>
      </c>
      <c r="K2200" t="s">
        <v>31</v>
      </c>
      <c r="L2200" t="s">
        <v>32</v>
      </c>
      <c r="M2200" t="s">
        <v>33</v>
      </c>
      <c r="P2200" s="1" t="s">
        <v>8010</v>
      </c>
      <c r="Q2200" s="1" t="s">
        <v>7413</v>
      </c>
      <c r="R2200" s="1" t="s">
        <v>6700</v>
      </c>
      <c r="S2200" s="1"/>
      <c r="T2200" s="1" t="s">
        <v>75</v>
      </c>
      <c r="U2200" s="1" t="s">
        <v>76</v>
      </c>
      <c r="V2200" s="1">
        <v>61.99</v>
      </c>
      <c r="W2200" s="1">
        <v>61.99</v>
      </c>
      <c r="X2200" s="1" t="s">
        <v>35</v>
      </c>
      <c r="Y2200" s="1">
        <v>61990.0</v>
      </c>
      <c r="Z2200" s="1"/>
      <c r="AA2200" s="1">
        <v>61990.0</v>
      </c>
      <c r="AB2200" s="1"/>
      <c r="AC2200" s="1" t="s">
        <v>36</v>
      </c>
      <c r="AD2200" s="1" t="s">
        <v>8011</v>
      </c>
      <c r="AE2200" s="1" t="s">
        <v>32</v>
      </c>
      <c r="AF2200" s="1" t="s">
        <v>33</v>
      </c>
      <c r="AG2200" s="1" t="s">
        <v>41</v>
      </c>
    </row>
    <row r="2201" spans="1:33">
      <c r="A2201" t="s">
        <v>8012</v>
      </c>
      <c r="B2201" t="s">
        <v>8013</v>
      </c>
      <c r="C2201" t="s">
        <v>47</v>
      </c>
      <c r="E2201" t="s">
        <v>7413</v>
      </c>
      <c r="F2201" t="s">
        <v>7318</v>
      </c>
      <c r="G2201">
        <v>24.24</v>
      </c>
      <c r="H2201">
        <v>24.24</v>
      </c>
      <c r="I2201" t="s">
        <v>48</v>
      </c>
      <c r="J2201" t="s">
        <v>49</v>
      </c>
      <c r="K2201" t="s">
        <v>31</v>
      </c>
      <c r="L2201" t="s">
        <v>32</v>
      </c>
      <c r="M2201" t="s">
        <v>33</v>
      </c>
      <c r="P2201" s="1" t="s">
        <v>8014</v>
      </c>
      <c r="Q2201" s="1" t="s">
        <v>7413</v>
      </c>
      <c r="R2201" s="1" t="s">
        <v>7413</v>
      </c>
      <c r="S2201" s="1"/>
      <c r="T2201" s="1" t="s">
        <v>47</v>
      </c>
      <c r="U2201" s="1"/>
      <c r="V2201" s="1">
        <v>24.24</v>
      </c>
      <c r="W2201" s="1">
        <v>24.24</v>
      </c>
      <c r="X2201" s="1" t="s">
        <v>35</v>
      </c>
      <c r="Y2201" s="1">
        <v>24240.0</v>
      </c>
      <c r="Z2201" s="1"/>
      <c r="AA2201" s="1">
        <v>24240.0</v>
      </c>
      <c r="AB2201" s="1"/>
      <c r="AC2201" s="1" t="s">
        <v>36</v>
      </c>
      <c r="AD2201" s="1" t="s">
        <v>8015</v>
      </c>
      <c r="AE2201" s="1" t="s">
        <v>32</v>
      </c>
      <c r="AF2201" s="1" t="s">
        <v>33</v>
      </c>
      <c r="AG2201" s="1" t="s">
        <v>49</v>
      </c>
    </row>
    <row r="2202" spans="1:33">
      <c r="A2202" t="s">
        <v>8016</v>
      </c>
      <c r="C2202" t="s">
        <v>1209</v>
      </c>
      <c r="D2202" t="s">
        <v>114</v>
      </c>
      <c r="E2202" t="s">
        <v>7413</v>
      </c>
      <c r="F2202" t="s">
        <v>7318</v>
      </c>
      <c r="G2202">
        <v>320.0</v>
      </c>
      <c r="H2202">
        <v>320.0</v>
      </c>
      <c r="I2202" t="s">
        <v>173</v>
      </c>
      <c r="J2202" t="s">
        <v>174</v>
      </c>
      <c r="K2202" t="s">
        <v>31</v>
      </c>
      <c r="L2202" t="s">
        <v>32</v>
      </c>
      <c r="M2202" t="s">
        <v>33</v>
      </c>
      <c r="P2202" s="1" t="s">
        <v>8017</v>
      </c>
      <c r="Q2202" s="1" t="s">
        <v>7413</v>
      </c>
      <c r="R2202" s="1" t="s">
        <v>7413</v>
      </c>
      <c r="S2202" s="1"/>
      <c r="T2202" s="1" t="s">
        <v>1211</v>
      </c>
      <c r="U2202" s="1" t="s">
        <v>1212</v>
      </c>
      <c r="V2202" s="1">
        <v>320.0</v>
      </c>
      <c r="W2202" s="1">
        <v>320.0</v>
      </c>
      <c r="X2202" s="1" t="s">
        <v>35</v>
      </c>
      <c r="Y2202" s="1">
        <v>320000.0</v>
      </c>
      <c r="Z2202" s="1"/>
      <c r="AA2202" s="1">
        <v>320000.0</v>
      </c>
      <c r="AB2202" s="1"/>
      <c r="AC2202" s="1" t="s">
        <v>36</v>
      </c>
      <c r="AD2202" s="1" t="s">
        <v>8018</v>
      </c>
      <c r="AE2202" s="1" t="s">
        <v>32</v>
      </c>
      <c r="AF2202" s="1" t="s">
        <v>33</v>
      </c>
      <c r="AG2202" s="1" t="s">
        <v>174</v>
      </c>
    </row>
    <row r="2203" spans="1:33">
      <c r="A2203" t="s">
        <v>8019</v>
      </c>
      <c r="C2203" t="s">
        <v>8020</v>
      </c>
      <c r="E2203" t="s">
        <v>7413</v>
      </c>
      <c r="F2203" t="s">
        <v>7318</v>
      </c>
      <c r="G2203">
        <v>488.5</v>
      </c>
      <c r="H2203">
        <v>488.5</v>
      </c>
      <c r="I2203" t="s">
        <v>269</v>
      </c>
      <c r="J2203" t="s">
        <v>270</v>
      </c>
      <c r="K2203" t="s">
        <v>31</v>
      </c>
      <c r="L2203" t="s">
        <v>32</v>
      </c>
      <c r="M2203" t="s">
        <v>33</v>
      </c>
      <c r="P2203" s="1" t="s">
        <v>8021</v>
      </c>
      <c r="Q2203" s="1" t="s">
        <v>7413</v>
      </c>
      <c r="R2203" s="1" t="s">
        <v>7413</v>
      </c>
      <c r="S2203" s="1"/>
      <c r="T2203" s="1" t="s">
        <v>8020</v>
      </c>
      <c r="U2203" s="1"/>
      <c r="V2203" s="1">
        <v>488.5</v>
      </c>
      <c r="W2203" s="1">
        <v>488.5</v>
      </c>
      <c r="X2203" s="1" t="s">
        <v>35</v>
      </c>
      <c r="Y2203" s="1">
        <v>488500.0</v>
      </c>
      <c r="Z2203" s="1"/>
      <c r="AA2203" s="1">
        <v>488500.0</v>
      </c>
      <c r="AB2203" s="1"/>
      <c r="AC2203" s="1" t="s">
        <v>36</v>
      </c>
      <c r="AD2203" s="1" t="s">
        <v>8022</v>
      </c>
      <c r="AE2203" s="1" t="s">
        <v>32</v>
      </c>
      <c r="AF2203" s="1" t="s">
        <v>33</v>
      </c>
      <c r="AG2203" s="1" t="s">
        <v>270</v>
      </c>
    </row>
    <row r="2204" spans="1:33">
      <c r="A2204" t="s">
        <v>8023</v>
      </c>
      <c r="C2204" t="s">
        <v>1285</v>
      </c>
      <c r="E2204" t="s">
        <v>7413</v>
      </c>
      <c r="F2204" t="s">
        <v>7318</v>
      </c>
      <c r="G2204">
        <v>1.27</v>
      </c>
      <c r="H2204">
        <v>1.27</v>
      </c>
      <c r="I2204" t="s">
        <v>173</v>
      </c>
      <c r="J2204" t="s">
        <v>174</v>
      </c>
      <c r="K2204" t="s">
        <v>31</v>
      </c>
      <c r="L2204" t="s">
        <v>32</v>
      </c>
      <c r="M2204" t="s">
        <v>33</v>
      </c>
      <c r="P2204" s="1" t="s">
        <v>8024</v>
      </c>
      <c r="Q2204" s="1" t="s">
        <v>7413</v>
      </c>
      <c r="R2204" s="1" t="s">
        <v>7413</v>
      </c>
      <c r="S2204" s="1"/>
      <c r="T2204" s="1" t="s">
        <v>1285</v>
      </c>
      <c r="U2204" s="1"/>
      <c r="V2204" s="1">
        <v>1.27</v>
      </c>
      <c r="W2204" s="1">
        <v>1.27</v>
      </c>
      <c r="X2204" s="1" t="s">
        <v>35</v>
      </c>
      <c r="Y2204" s="1">
        <v>1270000.0</v>
      </c>
      <c r="Z2204" s="1"/>
      <c r="AA2204" s="1">
        <v>1270000.0</v>
      </c>
      <c r="AB2204" s="1"/>
      <c r="AC2204" s="1" t="s">
        <v>36</v>
      </c>
      <c r="AD2204" s="1" t="s">
        <v>8025</v>
      </c>
      <c r="AE2204" s="1" t="s">
        <v>32</v>
      </c>
      <c r="AF2204" s="1" t="s">
        <v>33</v>
      </c>
      <c r="AG2204" s="1" t="s">
        <v>174</v>
      </c>
    </row>
    <row r="2205" spans="1:33">
      <c r="A2205" t="s">
        <v>8026</v>
      </c>
      <c r="C2205" t="s">
        <v>338</v>
      </c>
      <c r="E2205" t="s">
        <v>7413</v>
      </c>
      <c r="F2205" t="s">
        <v>7318</v>
      </c>
      <c r="G2205">
        <v>352.0</v>
      </c>
      <c r="H2205">
        <v>352.0</v>
      </c>
      <c r="I2205" t="s">
        <v>179</v>
      </c>
      <c r="J2205" t="s">
        <v>180</v>
      </c>
      <c r="K2205" t="s">
        <v>31</v>
      </c>
      <c r="L2205" t="s">
        <v>32</v>
      </c>
      <c r="M2205" t="s">
        <v>33</v>
      </c>
      <c r="P2205" s="1" t="s">
        <v>8027</v>
      </c>
      <c r="Q2205" s="1" t="s">
        <v>7413</v>
      </c>
      <c r="R2205" s="1" t="s">
        <v>7413</v>
      </c>
      <c r="S2205" s="1"/>
      <c r="T2205" s="1" t="s">
        <v>338</v>
      </c>
      <c r="U2205" s="1"/>
      <c r="V2205" s="1">
        <v>352.0</v>
      </c>
      <c r="W2205" s="1">
        <v>352.0</v>
      </c>
      <c r="X2205" s="1" t="s">
        <v>35</v>
      </c>
      <c r="Y2205" s="1">
        <v>352000.0</v>
      </c>
      <c r="Z2205" s="1"/>
      <c r="AA2205" s="1">
        <v>352000.0</v>
      </c>
      <c r="AB2205" s="1"/>
      <c r="AC2205" s="1" t="s">
        <v>36</v>
      </c>
      <c r="AD2205" s="1" t="s">
        <v>8028</v>
      </c>
      <c r="AE2205" s="1" t="s">
        <v>32</v>
      </c>
      <c r="AF2205" s="1" t="s">
        <v>33</v>
      </c>
      <c r="AG2205" s="1" t="s">
        <v>180</v>
      </c>
    </row>
    <row r="2206" spans="1:33">
      <c r="A2206" t="s">
        <v>8029</v>
      </c>
      <c r="C2206" t="s">
        <v>558</v>
      </c>
      <c r="D2206" t="s">
        <v>154</v>
      </c>
      <c r="E2206" t="s">
        <v>7413</v>
      </c>
      <c r="F2206" t="s">
        <v>7318</v>
      </c>
      <c r="G2206">
        <v>52.0</v>
      </c>
      <c r="H2206">
        <v>52.0</v>
      </c>
      <c r="I2206" t="s">
        <v>269</v>
      </c>
      <c r="J2206" t="s">
        <v>270</v>
      </c>
      <c r="K2206" t="s">
        <v>31</v>
      </c>
      <c r="L2206" t="s">
        <v>32</v>
      </c>
      <c r="M2206" t="s">
        <v>33</v>
      </c>
      <c r="P2206" s="1" t="s">
        <v>8030</v>
      </c>
      <c r="Q2206" s="1" t="s">
        <v>7413</v>
      </c>
      <c r="R2206" s="1" t="s">
        <v>7413</v>
      </c>
      <c r="S2206" s="1"/>
      <c r="T2206" s="1" t="s">
        <v>560</v>
      </c>
      <c r="U2206" s="1" t="s">
        <v>561</v>
      </c>
      <c r="V2206" s="1">
        <v>52.0</v>
      </c>
      <c r="W2206" s="1">
        <v>52.0</v>
      </c>
      <c r="X2206" s="1" t="s">
        <v>35</v>
      </c>
      <c r="Y2206" s="1">
        <v>52000.0</v>
      </c>
      <c r="Z2206" s="1"/>
      <c r="AA2206" s="1">
        <v>52000.0</v>
      </c>
      <c r="AB2206" s="1"/>
      <c r="AC2206" s="1" t="s">
        <v>36</v>
      </c>
      <c r="AD2206" s="1" t="s">
        <v>8025</v>
      </c>
      <c r="AE2206" s="1" t="s">
        <v>32</v>
      </c>
      <c r="AF2206" s="1" t="s">
        <v>33</v>
      </c>
      <c r="AG2206" s="1" t="s">
        <v>270</v>
      </c>
    </row>
    <row r="2207" spans="1:33">
      <c r="A2207" t="s">
        <v>8031</v>
      </c>
      <c r="B2207" t="s">
        <v>8032</v>
      </c>
      <c r="C2207" t="s">
        <v>8033</v>
      </c>
      <c r="E2207" t="s">
        <v>7413</v>
      </c>
      <c r="F2207" t="s">
        <v>7318</v>
      </c>
      <c r="G2207">
        <v>30.0</v>
      </c>
      <c r="H2207">
        <v>30.0</v>
      </c>
      <c r="I2207" t="s">
        <v>59</v>
      </c>
      <c r="J2207" t="s">
        <v>60</v>
      </c>
      <c r="K2207" t="s">
        <v>31</v>
      </c>
      <c r="L2207" t="s">
        <v>32</v>
      </c>
      <c r="M2207" t="s">
        <v>33</v>
      </c>
      <c r="P2207" s="1" t="s">
        <v>8034</v>
      </c>
      <c r="Q2207" s="1" t="s">
        <v>7413</v>
      </c>
      <c r="R2207" s="1" t="s">
        <v>7413</v>
      </c>
      <c r="S2207" s="1"/>
      <c r="T2207" s="1" t="s">
        <v>8035</v>
      </c>
      <c r="U2207" s="1" t="s">
        <v>154</v>
      </c>
      <c r="V2207" s="1">
        <v>30.0</v>
      </c>
      <c r="W2207" s="1">
        <v>30.0</v>
      </c>
      <c r="X2207" s="1" t="s">
        <v>35</v>
      </c>
      <c r="Y2207" s="1">
        <v>30000.0</v>
      </c>
      <c r="Z2207" s="1"/>
      <c r="AA2207" s="1">
        <v>30000.0</v>
      </c>
      <c r="AB2207" s="1"/>
      <c r="AC2207" s="1" t="s">
        <v>36</v>
      </c>
      <c r="AD2207" s="1" t="s">
        <v>8036</v>
      </c>
      <c r="AE2207" s="1" t="s">
        <v>32</v>
      </c>
      <c r="AF2207" s="1" t="s">
        <v>33</v>
      </c>
      <c r="AG2207" s="1" t="s">
        <v>60</v>
      </c>
    </row>
    <row r="2208" spans="1:33">
      <c r="A2208" t="s">
        <v>8037</v>
      </c>
      <c r="B2208" t="s">
        <v>2999</v>
      </c>
      <c r="C2208" t="s">
        <v>268</v>
      </c>
      <c r="E2208" t="s">
        <v>7413</v>
      </c>
      <c r="F2208" t="s">
        <v>7318</v>
      </c>
      <c r="G2208">
        <v>16.9</v>
      </c>
      <c r="H2208">
        <v>16.9</v>
      </c>
      <c r="I2208" t="s">
        <v>269</v>
      </c>
      <c r="J2208" t="s">
        <v>270</v>
      </c>
      <c r="K2208" t="s">
        <v>31</v>
      </c>
      <c r="L2208" t="s">
        <v>32</v>
      </c>
      <c r="M2208" t="s">
        <v>33</v>
      </c>
      <c r="P2208" s="1" t="s">
        <v>8038</v>
      </c>
      <c r="Q2208" s="1" t="s">
        <v>7413</v>
      </c>
      <c r="R2208" s="1" t="s">
        <v>7413</v>
      </c>
      <c r="S2208" s="1"/>
      <c r="T2208" s="1" t="s">
        <v>268</v>
      </c>
      <c r="U2208" s="1"/>
      <c r="V2208" s="1">
        <v>16.9</v>
      </c>
      <c r="W2208" s="1">
        <v>16.9</v>
      </c>
      <c r="X2208" s="1" t="s">
        <v>35</v>
      </c>
      <c r="Y2208" s="1">
        <v>16900.0</v>
      </c>
      <c r="Z2208" s="1"/>
      <c r="AA2208" s="1">
        <v>16900.0</v>
      </c>
      <c r="AB2208" s="1"/>
      <c r="AC2208" s="1" t="s">
        <v>36</v>
      </c>
      <c r="AD2208" s="1" t="s">
        <v>8039</v>
      </c>
      <c r="AE2208" s="1" t="s">
        <v>32</v>
      </c>
      <c r="AF2208" s="1" t="s">
        <v>33</v>
      </c>
      <c r="AG2208" s="1" t="s">
        <v>270</v>
      </c>
    </row>
    <row r="2209" spans="1:33">
      <c r="A2209" t="s">
        <v>8040</v>
      </c>
      <c r="C2209" t="s">
        <v>638</v>
      </c>
      <c r="D2209" t="s">
        <v>154</v>
      </c>
      <c r="E2209" t="s">
        <v>7413</v>
      </c>
      <c r="F2209" t="s">
        <v>7318</v>
      </c>
      <c r="G2209">
        <v>1.086</v>
      </c>
      <c r="H2209">
        <v>1.086</v>
      </c>
      <c r="I2209" t="s">
        <v>227</v>
      </c>
      <c r="J2209" t="s">
        <v>228</v>
      </c>
      <c r="K2209" t="s">
        <v>31</v>
      </c>
      <c r="L2209" t="s">
        <v>32</v>
      </c>
      <c r="M2209" t="s">
        <v>33</v>
      </c>
      <c r="P2209" s="1" t="s">
        <v>8041</v>
      </c>
      <c r="Q2209" s="1" t="s">
        <v>7413</v>
      </c>
      <c r="R2209" s="1" t="s">
        <v>7413</v>
      </c>
      <c r="S2209" s="1"/>
      <c r="T2209" s="1" t="s">
        <v>640</v>
      </c>
      <c r="U2209" s="1" t="s">
        <v>641</v>
      </c>
      <c r="V2209" s="1">
        <v>1.086</v>
      </c>
      <c r="W2209" s="1">
        <v>1.086</v>
      </c>
      <c r="X2209" s="1" t="s">
        <v>35</v>
      </c>
      <c r="Y2209" s="1">
        <v>1086000.0</v>
      </c>
      <c r="Z2209" s="1"/>
      <c r="AA2209" s="1">
        <v>1086000.0</v>
      </c>
      <c r="AB2209" s="1"/>
      <c r="AC2209" s="1" t="s">
        <v>36</v>
      </c>
      <c r="AD2209" s="1" t="s">
        <v>8042</v>
      </c>
      <c r="AE2209" s="1" t="s">
        <v>32</v>
      </c>
      <c r="AF2209" s="1" t="s">
        <v>33</v>
      </c>
      <c r="AG2209" s="1" t="s">
        <v>228</v>
      </c>
    </row>
    <row r="2210" spans="1:33">
      <c r="A2210" t="s">
        <v>8043</v>
      </c>
      <c r="B2210" t="s">
        <v>7857</v>
      </c>
      <c r="C2210" t="s">
        <v>268</v>
      </c>
      <c r="E2210" t="s">
        <v>7413</v>
      </c>
      <c r="F2210" t="s">
        <v>7318</v>
      </c>
      <c r="G2210">
        <v>67.6</v>
      </c>
      <c r="H2210">
        <v>67.6</v>
      </c>
      <c r="I2210" t="s">
        <v>269</v>
      </c>
      <c r="J2210" t="s">
        <v>270</v>
      </c>
      <c r="K2210" t="s">
        <v>31</v>
      </c>
      <c r="L2210" t="s">
        <v>32</v>
      </c>
      <c r="M2210" t="s">
        <v>33</v>
      </c>
      <c r="P2210" s="1" t="s">
        <v>8044</v>
      </c>
      <c r="Q2210" s="1" t="s">
        <v>7413</v>
      </c>
      <c r="R2210" s="1" t="s">
        <v>7413</v>
      </c>
      <c r="S2210" s="1"/>
      <c r="T2210" s="1" t="s">
        <v>268</v>
      </c>
      <c r="U2210" s="1"/>
      <c r="V2210" s="1">
        <v>67.6</v>
      </c>
      <c r="W2210" s="1">
        <v>67.6</v>
      </c>
      <c r="X2210" s="1" t="s">
        <v>35</v>
      </c>
      <c r="Y2210" s="1">
        <v>67600.0</v>
      </c>
      <c r="Z2210" s="1"/>
      <c r="AA2210" s="1">
        <v>67600.0</v>
      </c>
      <c r="AB2210" s="1"/>
      <c r="AC2210" s="1" t="s">
        <v>36</v>
      </c>
      <c r="AD2210" s="1" t="s">
        <v>8045</v>
      </c>
      <c r="AE2210" s="1" t="s">
        <v>32</v>
      </c>
      <c r="AF2210" s="1" t="s">
        <v>33</v>
      </c>
      <c r="AG2210" s="1" t="s">
        <v>270</v>
      </c>
    </row>
    <row r="2211" spans="1:33">
      <c r="A2211" t="s">
        <v>8046</v>
      </c>
      <c r="C2211" t="s">
        <v>786</v>
      </c>
      <c r="E2211" t="s">
        <v>7413</v>
      </c>
      <c r="F2211" t="s">
        <v>7318</v>
      </c>
      <c r="G2211">
        <v>592.7</v>
      </c>
      <c r="H2211">
        <v>592.7</v>
      </c>
      <c r="I2211" t="s">
        <v>269</v>
      </c>
      <c r="J2211" t="s">
        <v>270</v>
      </c>
      <c r="K2211" t="s">
        <v>31</v>
      </c>
      <c r="L2211" t="s">
        <v>32</v>
      </c>
      <c r="M2211" t="s">
        <v>33</v>
      </c>
      <c r="P2211" s="1" t="s">
        <v>8047</v>
      </c>
      <c r="Q2211" s="1" t="s">
        <v>7413</v>
      </c>
      <c r="R2211" s="1" t="s">
        <v>7413</v>
      </c>
      <c r="S2211" s="1"/>
      <c r="T2211" s="1" t="s">
        <v>786</v>
      </c>
      <c r="U2211" s="1"/>
      <c r="V2211" s="1">
        <v>592.7</v>
      </c>
      <c r="W2211" s="1">
        <v>592.7</v>
      </c>
      <c r="X2211" s="1" t="s">
        <v>35</v>
      </c>
      <c r="Y2211" s="1">
        <v>592700.0</v>
      </c>
      <c r="Z2211" s="1"/>
      <c r="AA2211" s="1">
        <v>592700.0</v>
      </c>
      <c r="AB2211" s="1"/>
      <c r="AC2211" s="1" t="s">
        <v>36</v>
      </c>
      <c r="AD2211" s="1" t="s">
        <v>8048</v>
      </c>
      <c r="AE2211" s="1" t="s">
        <v>32</v>
      </c>
      <c r="AF2211" s="1" t="s">
        <v>33</v>
      </c>
      <c r="AG2211" s="1" t="s">
        <v>270</v>
      </c>
    </row>
    <row r="2212" spans="1:33">
      <c r="A2212" t="s">
        <v>8049</v>
      </c>
      <c r="C2212" t="s">
        <v>4585</v>
      </c>
      <c r="E2212" t="s">
        <v>7413</v>
      </c>
      <c r="F2212" t="s">
        <v>7318</v>
      </c>
      <c r="G2212">
        <v>753.25</v>
      </c>
      <c r="H2212">
        <v>753.25</v>
      </c>
      <c r="I2212" t="s">
        <v>269</v>
      </c>
      <c r="J2212" t="s">
        <v>270</v>
      </c>
      <c r="K2212" t="s">
        <v>31</v>
      </c>
      <c r="L2212" t="s">
        <v>32</v>
      </c>
      <c r="M2212" t="s">
        <v>33</v>
      </c>
      <c r="P2212" s="1" t="s">
        <v>8050</v>
      </c>
      <c r="Q2212" s="1" t="s">
        <v>7413</v>
      </c>
      <c r="R2212" s="1" t="s">
        <v>7413</v>
      </c>
      <c r="S2212" s="1"/>
      <c r="T2212" s="1" t="s">
        <v>4585</v>
      </c>
      <c r="U2212" s="1"/>
      <c r="V2212" s="1">
        <v>753.25</v>
      </c>
      <c r="W2212" s="1">
        <v>753.25</v>
      </c>
      <c r="X2212" s="1" t="s">
        <v>35</v>
      </c>
      <c r="Y2212" s="1">
        <v>753250.0</v>
      </c>
      <c r="Z2212" s="1"/>
      <c r="AA2212" s="1">
        <v>753250.0</v>
      </c>
      <c r="AB2212" s="1"/>
      <c r="AC2212" s="1" t="s">
        <v>36</v>
      </c>
      <c r="AD2212" s="1" t="s">
        <v>8051</v>
      </c>
      <c r="AE2212" s="1" t="s">
        <v>32</v>
      </c>
      <c r="AF2212" s="1" t="s">
        <v>33</v>
      </c>
      <c r="AG2212" s="1" t="s">
        <v>270</v>
      </c>
    </row>
    <row r="2213" spans="1:33">
      <c r="A2213" t="s">
        <v>8052</v>
      </c>
      <c r="C2213" t="s">
        <v>827</v>
      </c>
      <c r="D2213" t="s">
        <v>154</v>
      </c>
      <c r="E2213" t="s">
        <v>7413</v>
      </c>
      <c r="F2213" t="s">
        <v>7318</v>
      </c>
      <c r="G2213">
        <v>880.5</v>
      </c>
      <c r="H2213">
        <v>880.5</v>
      </c>
      <c r="I2213" t="s">
        <v>269</v>
      </c>
      <c r="J2213" t="s">
        <v>270</v>
      </c>
      <c r="K2213" t="s">
        <v>31</v>
      </c>
      <c r="L2213" t="s">
        <v>32</v>
      </c>
      <c r="M2213" t="s">
        <v>33</v>
      </c>
      <c r="P2213" s="1" t="s">
        <v>8053</v>
      </c>
      <c r="Q2213" s="1" t="s">
        <v>7413</v>
      </c>
      <c r="R2213" s="1" t="s">
        <v>7413</v>
      </c>
      <c r="S2213" s="1"/>
      <c r="T2213" s="1" t="s">
        <v>827</v>
      </c>
      <c r="U2213" s="1"/>
      <c r="V2213" s="1">
        <v>880.5</v>
      </c>
      <c r="W2213" s="1">
        <v>880.5</v>
      </c>
      <c r="X2213" s="1" t="s">
        <v>35</v>
      </c>
      <c r="Y2213" s="1">
        <v>880500.0</v>
      </c>
      <c r="Z2213" s="1"/>
      <c r="AA2213" s="1">
        <v>880500.0</v>
      </c>
      <c r="AB2213" s="1"/>
      <c r="AC2213" s="1" t="s">
        <v>36</v>
      </c>
      <c r="AD2213" s="1" t="s">
        <v>8036</v>
      </c>
      <c r="AE2213" s="1" t="s">
        <v>32</v>
      </c>
      <c r="AF2213" s="1" t="s">
        <v>33</v>
      </c>
      <c r="AG2213" s="1" t="s">
        <v>270</v>
      </c>
    </row>
    <row r="2214" spans="1:33">
      <c r="A2214" t="s">
        <v>8054</v>
      </c>
      <c r="B2214" t="s">
        <v>8055</v>
      </c>
      <c r="C2214" t="s">
        <v>145</v>
      </c>
      <c r="E2214" t="s">
        <v>7413</v>
      </c>
      <c r="F2214" t="s">
        <v>7318</v>
      </c>
      <c r="G2214">
        <v>790.0</v>
      </c>
      <c r="H2214">
        <v>790.0</v>
      </c>
      <c r="I2214" t="s">
        <v>136</v>
      </c>
      <c r="J2214" t="s">
        <v>137</v>
      </c>
      <c r="K2214" t="s">
        <v>31</v>
      </c>
      <c r="L2214" t="s">
        <v>32</v>
      </c>
      <c r="M2214" t="s">
        <v>33</v>
      </c>
      <c r="P2214" s="1" t="s">
        <v>8056</v>
      </c>
      <c r="Q2214" s="1" t="s">
        <v>7413</v>
      </c>
      <c r="R2214" s="1" t="s">
        <v>7413</v>
      </c>
      <c r="S2214" s="1"/>
      <c r="T2214" s="1" t="s">
        <v>145</v>
      </c>
      <c r="U2214" s="1"/>
      <c r="V2214" s="1">
        <v>790.0</v>
      </c>
      <c r="W2214" s="1">
        <v>790.0</v>
      </c>
      <c r="X2214" s="1" t="s">
        <v>35</v>
      </c>
      <c r="Y2214" s="1">
        <v>790000.0</v>
      </c>
      <c r="Z2214" s="1"/>
      <c r="AA2214" s="1">
        <v>790000.0</v>
      </c>
      <c r="AB2214" s="1"/>
      <c r="AC2214" s="1" t="s">
        <v>36</v>
      </c>
      <c r="AD2214" s="1" t="s">
        <v>8057</v>
      </c>
      <c r="AE2214" s="1" t="s">
        <v>32</v>
      </c>
      <c r="AF2214" s="1" t="s">
        <v>33</v>
      </c>
      <c r="AG2214" s="1" t="s">
        <v>137</v>
      </c>
    </row>
    <row r="2215" spans="1:33">
      <c r="A2215" t="s">
        <v>8058</v>
      </c>
      <c r="B2215" t="s">
        <v>8059</v>
      </c>
      <c r="C2215" t="s">
        <v>314</v>
      </c>
      <c r="E2215" t="s">
        <v>7413</v>
      </c>
      <c r="F2215" t="s">
        <v>7318</v>
      </c>
      <c r="G2215">
        <v>52.33</v>
      </c>
      <c r="H2215">
        <v>52.33</v>
      </c>
      <c r="I2215" t="s">
        <v>179</v>
      </c>
      <c r="J2215" t="s">
        <v>180</v>
      </c>
      <c r="K2215" t="s">
        <v>31</v>
      </c>
      <c r="L2215" t="s">
        <v>32</v>
      </c>
      <c r="M2215" t="s">
        <v>33</v>
      </c>
      <c r="P2215" s="1" t="s">
        <v>8060</v>
      </c>
      <c r="Q2215" s="1" t="s">
        <v>7413</v>
      </c>
      <c r="R2215" s="1" t="s">
        <v>7413</v>
      </c>
      <c r="S2215" s="1"/>
      <c r="T2215" s="1" t="s">
        <v>314</v>
      </c>
      <c r="U2215" s="1"/>
      <c r="V2215" s="1">
        <v>52.33</v>
      </c>
      <c r="W2215" s="1">
        <v>52.33</v>
      </c>
      <c r="X2215" s="1" t="s">
        <v>35</v>
      </c>
      <c r="Y2215" s="1">
        <v>52330.0</v>
      </c>
      <c r="Z2215" s="1"/>
      <c r="AA2215" s="1">
        <v>52330.0</v>
      </c>
      <c r="AB2215" s="1"/>
      <c r="AC2215" s="1" t="s">
        <v>36</v>
      </c>
      <c r="AD2215" s="1" t="s">
        <v>8061</v>
      </c>
      <c r="AE2215" s="1" t="s">
        <v>32</v>
      </c>
      <c r="AF2215" s="1" t="s">
        <v>33</v>
      </c>
      <c r="AG2215" s="1" t="s">
        <v>180</v>
      </c>
    </row>
    <row r="2216" spans="1:33">
      <c r="A2216" t="s">
        <v>8062</v>
      </c>
      <c r="B2216" t="s">
        <v>8063</v>
      </c>
      <c r="C2216" t="s">
        <v>569</v>
      </c>
      <c r="E2216" t="s">
        <v>7413</v>
      </c>
      <c r="F2216" t="s">
        <v>7318</v>
      </c>
      <c r="G2216">
        <v>164.95</v>
      </c>
      <c r="H2216">
        <v>164.95</v>
      </c>
      <c r="I2216" t="s">
        <v>570</v>
      </c>
      <c r="J2216" t="s">
        <v>571</v>
      </c>
      <c r="K2216" t="s">
        <v>31</v>
      </c>
      <c r="L2216" t="s">
        <v>32</v>
      </c>
      <c r="M2216" t="s">
        <v>33</v>
      </c>
      <c r="P2216" s="1" t="s">
        <v>8064</v>
      </c>
      <c r="Q2216" s="1" t="s">
        <v>7413</v>
      </c>
      <c r="R2216" s="1" t="s">
        <v>7413</v>
      </c>
      <c r="S2216" s="1"/>
      <c r="T2216" s="1" t="s">
        <v>569</v>
      </c>
      <c r="U2216" s="1"/>
      <c r="V2216" s="1">
        <v>164.95</v>
      </c>
      <c r="W2216" s="1">
        <v>164.95</v>
      </c>
      <c r="X2216" s="1" t="s">
        <v>35</v>
      </c>
      <c r="Y2216" s="1">
        <v>164950.0</v>
      </c>
      <c r="Z2216" s="1"/>
      <c r="AA2216" s="1">
        <v>164950.0</v>
      </c>
      <c r="AB2216" s="1"/>
      <c r="AC2216" s="1" t="s">
        <v>36</v>
      </c>
      <c r="AD2216" s="1" t="s">
        <v>8065</v>
      </c>
      <c r="AE2216" s="1" t="s">
        <v>32</v>
      </c>
      <c r="AF2216" s="1" t="s">
        <v>33</v>
      </c>
      <c r="AG2216" s="1" t="s">
        <v>571</v>
      </c>
    </row>
    <row r="2217" spans="1:33">
      <c r="A2217" t="s">
        <v>8066</v>
      </c>
      <c r="C2217" t="s">
        <v>8067</v>
      </c>
      <c r="E2217" t="s">
        <v>7413</v>
      </c>
      <c r="F2217" t="s">
        <v>7318</v>
      </c>
      <c r="G2217">
        <v>352.0</v>
      </c>
      <c r="H2217">
        <v>352.0</v>
      </c>
      <c r="I2217" t="s">
        <v>179</v>
      </c>
      <c r="J2217" t="s">
        <v>180</v>
      </c>
      <c r="K2217" t="s">
        <v>31</v>
      </c>
      <c r="L2217" t="s">
        <v>32</v>
      </c>
      <c r="M2217" t="s">
        <v>33</v>
      </c>
      <c r="P2217" s="1" t="s">
        <v>8068</v>
      </c>
      <c r="Q2217" s="1" t="s">
        <v>7413</v>
      </c>
      <c r="R2217" s="1" t="s">
        <v>7413</v>
      </c>
      <c r="S2217" s="1"/>
      <c r="T2217" s="1" t="s">
        <v>8067</v>
      </c>
      <c r="U2217" s="1"/>
      <c r="V2217" s="1">
        <v>352.0</v>
      </c>
      <c r="W2217" s="1">
        <v>352.0</v>
      </c>
      <c r="X2217" s="1" t="s">
        <v>35</v>
      </c>
      <c r="Y2217" s="1">
        <v>352000.0</v>
      </c>
      <c r="Z2217" s="1"/>
      <c r="AA2217" s="1">
        <v>352000.0</v>
      </c>
      <c r="AB2217" s="1"/>
      <c r="AC2217" s="1" t="s">
        <v>36</v>
      </c>
      <c r="AD2217" s="1" t="s">
        <v>8069</v>
      </c>
      <c r="AE2217" s="1" t="s">
        <v>32</v>
      </c>
      <c r="AF2217" s="1" t="s">
        <v>33</v>
      </c>
      <c r="AG2217" s="1" t="s">
        <v>180</v>
      </c>
    </row>
    <row r="2218" spans="1:33">
      <c r="A2218" t="s">
        <v>8070</v>
      </c>
      <c r="C2218" t="s">
        <v>4610</v>
      </c>
      <c r="E2218" t="s">
        <v>7413</v>
      </c>
      <c r="F2218" t="s">
        <v>7318</v>
      </c>
      <c r="G2218">
        <v>52.0</v>
      </c>
      <c r="H2218">
        <v>52.0</v>
      </c>
      <c r="I2218" t="s">
        <v>126</v>
      </c>
      <c r="J2218" t="s">
        <v>127</v>
      </c>
      <c r="K2218" t="s">
        <v>31</v>
      </c>
      <c r="L2218" t="s">
        <v>32</v>
      </c>
      <c r="M2218" t="s">
        <v>33</v>
      </c>
      <c r="P2218" s="1" t="s">
        <v>8071</v>
      </c>
      <c r="Q2218" s="1" t="s">
        <v>7413</v>
      </c>
      <c r="R2218" s="1" t="s">
        <v>7413</v>
      </c>
      <c r="S2218" s="1"/>
      <c r="T2218" s="1" t="s">
        <v>4612</v>
      </c>
      <c r="U2218" s="1" t="s">
        <v>4613</v>
      </c>
      <c r="V2218" s="1">
        <v>52.0</v>
      </c>
      <c r="W2218" s="1">
        <v>52.0</v>
      </c>
      <c r="X2218" s="1" t="s">
        <v>35</v>
      </c>
      <c r="Y2218" s="1">
        <v>52000.0</v>
      </c>
      <c r="Z2218" s="1"/>
      <c r="AA2218" s="1">
        <v>52000.0</v>
      </c>
      <c r="AB2218" s="1"/>
      <c r="AC2218" s="1" t="s">
        <v>36</v>
      </c>
      <c r="AD2218" s="1" t="s">
        <v>8069</v>
      </c>
      <c r="AE2218" s="1" t="s">
        <v>32</v>
      </c>
      <c r="AF2218" s="1" t="s">
        <v>33</v>
      </c>
      <c r="AG2218" s="1" t="s">
        <v>127</v>
      </c>
    </row>
    <row r="2219" spans="1:33">
      <c r="A2219" t="s">
        <v>8072</v>
      </c>
      <c r="B2219" t="s">
        <v>3224</v>
      </c>
      <c r="C2219" t="s">
        <v>3225</v>
      </c>
      <c r="D2219" t="s">
        <v>114</v>
      </c>
      <c r="E2219" t="s">
        <v>7413</v>
      </c>
      <c r="F2219" t="s">
        <v>7318</v>
      </c>
      <c r="G2219">
        <v>750.0</v>
      </c>
      <c r="H2219">
        <v>750.0</v>
      </c>
      <c r="I2219" t="s">
        <v>59</v>
      </c>
      <c r="J2219" t="s">
        <v>60</v>
      </c>
      <c r="K2219" t="s">
        <v>31</v>
      </c>
      <c r="L2219" t="s">
        <v>32</v>
      </c>
      <c r="M2219" t="s">
        <v>33</v>
      </c>
      <c r="P2219" s="1" t="s">
        <v>8073</v>
      </c>
      <c r="Q2219" s="1" t="s">
        <v>7413</v>
      </c>
      <c r="R2219" s="1" t="s">
        <v>7413</v>
      </c>
      <c r="S2219" s="1"/>
      <c r="T2219" s="1" t="s">
        <v>3227</v>
      </c>
      <c r="U2219" s="1" t="s">
        <v>3228</v>
      </c>
      <c r="V2219" s="1">
        <v>750.0</v>
      </c>
      <c r="W2219" s="1">
        <v>750.0</v>
      </c>
      <c r="X2219" s="1" t="s">
        <v>35</v>
      </c>
      <c r="Y2219" s="1">
        <v>750000.0</v>
      </c>
      <c r="Z2219" s="1"/>
      <c r="AA2219" s="1">
        <v>750000.0</v>
      </c>
      <c r="AB2219" s="1"/>
      <c r="AC2219" s="1" t="s">
        <v>36</v>
      </c>
      <c r="AD2219" s="1" t="s">
        <v>8074</v>
      </c>
      <c r="AE2219" s="1" t="s">
        <v>32</v>
      </c>
      <c r="AF2219" s="1" t="s">
        <v>33</v>
      </c>
      <c r="AG2219" s="1" t="s">
        <v>60</v>
      </c>
    </row>
    <row r="2220" spans="1:33">
      <c r="A2220" t="s">
        <v>8075</v>
      </c>
      <c r="C2220" t="s">
        <v>827</v>
      </c>
      <c r="D2220" t="s">
        <v>154</v>
      </c>
      <c r="E2220" t="s">
        <v>7413</v>
      </c>
      <c r="F2220" t="s">
        <v>7318</v>
      </c>
      <c r="G2220">
        <v>90.0</v>
      </c>
      <c r="H2220">
        <v>90.0</v>
      </c>
      <c r="I2220" t="s">
        <v>269</v>
      </c>
      <c r="J2220" t="s">
        <v>270</v>
      </c>
      <c r="K2220" t="s">
        <v>31</v>
      </c>
      <c r="L2220" t="s">
        <v>32</v>
      </c>
      <c r="M2220" t="s">
        <v>33</v>
      </c>
      <c r="P2220" s="1" t="s">
        <v>8076</v>
      </c>
      <c r="Q2220" s="1" t="s">
        <v>7413</v>
      </c>
      <c r="R2220" s="1" t="s">
        <v>7413</v>
      </c>
      <c r="S2220" s="1"/>
      <c r="T2220" s="1" t="s">
        <v>827</v>
      </c>
      <c r="U2220" s="1"/>
      <c r="V2220" s="1">
        <v>90.0</v>
      </c>
      <c r="W2220" s="1">
        <v>90.0</v>
      </c>
      <c r="X2220" s="1" t="s">
        <v>35</v>
      </c>
      <c r="Y2220" s="1">
        <v>90000.0</v>
      </c>
      <c r="Z2220" s="1"/>
      <c r="AA2220" s="1">
        <v>90000.0</v>
      </c>
      <c r="AB2220" s="1"/>
      <c r="AC2220" s="1" t="s">
        <v>36</v>
      </c>
      <c r="AD2220" s="1" t="s">
        <v>8077</v>
      </c>
      <c r="AE2220" s="1" t="s">
        <v>32</v>
      </c>
      <c r="AF2220" s="1" t="s">
        <v>33</v>
      </c>
      <c r="AG2220" s="1" t="s">
        <v>270</v>
      </c>
    </row>
    <row r="2221" spans="1:33">
      <c r="A2221" t="s">
        <v>8078</v>
      </c>
      <c r="B2221" t="s">
        <v>8079</v>
      </c>
      <c r="C2221" t="s">
        <v>125</v>
      </c>
      <c r="E2221" t="s">
        <v>7413</v>
      </c>
      <c r="F2221" t="s">
        <v>7318</v>
      </c>
      <c r="G2221">
        <v>6.498</v>
      </c>
      <c r="H2221">
        <v>6.498</v>
      </c>
      <c r="I2221" t="s">
        <v>126</v>
      </c>
      <c r="J2221" t="s">
        <v>127</v>
      </c>
      <c r="K2221" t="s">
        <v>31</v>
      </c>
      <c r="L2221" t="s">
        <v>32</v>
      </c>
      <c r="M2221" t="s">
        <v>33</v>
      </c>
      <c r="P2221" s="1" t="s">
        <v>8080</v>
      </c>
      <c r="Q2221" s="1" t="s">
        <v>7413</v>
      </c>
      <c r="R2221" s="1" t="s">
        <v>7413</v>
      </c>
      <c r="S2221" s="1"/>
      <c r="T2221" s="1" t="s">
        <v>125</v>
      </c>
      <c r="U2221" s="1"/>
      <c r="V2221" s="1">
        <v>6.498</v>
      </c>
      <c r="W2221" s="1">
        <v>6.498</v>
      </c>
      <c r="X2221" s="1" t="s">
        <v>35</v>
      </c>
      <c r="Y2221" s="1">
        <v>6498.0</v>
      </c>
      <c r="Z2221" s="1"/>
      <c r="AA2221" s="1">
        <v>6498.0</v>
      </c>
      <c r="AB2221" s="1"/>
      <c r="AC2221" s="1" t="s">
        <v>36</v>
      </c>
      <c r="AD2221" s="1" t="s">
        <v>8081</v>
      </c>
      <c r="AE2221" s="1" t="s">
        <v>32</v>
      </c>
      <c r="AF2221" s="1" t="s">
        <v>33</v>
      </c>
      <c r="AG2221" s="1" t="s">
        <v>127</v>
      </c>
    </row>
    <row r="2222" spans="1:33">
      <c r="A2222" t="s">
        <v>8082</v>
      </c>
      <c r="C2222" t="s">
        <v>4850</v>
      </c>
      <c r="E2222" t="s">
        <v>7413</v>
      </c>
      <c r="F2222" t="s">
        <v>7318</v>
      </c>
      <c r="G2222">
        <v>635.0</v>
      </c>
      <c r="H2222">
        <v>635.0</v>
      </c>
      <c r="I2222" t="s">
        <v>126</v>
      </c>
      <c r="J2222" t="s">
        <v>127</v>
      </c>
      <c r="K2222" t="s">
        <v>31</v>
      </c>
      <c r="L2222" t="s">
        <v>32</v>
      </c>
      <c r="M2222" t="s">
        <v>33</v>
      </c>
      <c r="P2222" s="1" t="s">
        <v>8083</v>
      </c>
      <c r="Q2222" s="1" t="s">
        <v>7413</v>
      </c>
      <c r="R2222" s="1" t="s">
        <v>7413</v>
      </c>
      <c r="S2222" s="1"/>
      <c r="T2222" s="1" t="s">
        <v>4850</v>
      </c>
      <c r="U2222" s="1"/>
      <c r="V2222" s="1">
        <v>635.0</v>
      </c>
      <c r="W2222" s="1">
        <v>635.0</v>
      </c>
      <c r="X2222" s="1" t="s">
        <v>35</v>
      </c>
      <c r="Y2222" s="1">
        <v>635000.0</v>
      </c>
      <c r="Z2222" s="1"/>
      <c r="AA2222" s="1">
        <v>635000.0</v>
      </c>
      <c r="AB2222" s="1"/>
      <c r="AC2222" s="1" t="s">
        <v>36</v>
      </c>
      <c r="AD2222" s="1" t="s">
        <v>8084</v>
      </c>
      <c r="AE2222" s="1" t="s">
        <v>32</v>
      </c>
      <c r="AF2222" s="1" t="s">
        <v>33</v>
      </c>
      <c r="AG2222" s="1" t="s">
        <v>127</v>
      </c>
    </row>
    <row r="2223" spans="1:33">
      <c r="A2223" t="s">
        <v>8085</v>
      </c>
      <c r="C2223" t="s">
        <v>8086</v>
      </c>
      <c r="E2223" t="s">
        <v>7413</v>
      </c>
      <c r="F2223" t="s">
        <v>7318</v>
      </c>
      <c r="G2223">
        <v>3.28</v>
      </c>
      <c r="H2223">
        <v>3.28</v>
      </c>
      <c r="I2223" t="s">
        <v>269</v>
      </c>
      <c r="J2223" t="s">
        <v>270</v>
      </c>
      <c r="K2223" t="s">
        <v>31</v>
      </c>
      <c r="L2223" t="s">
        <v>32</v>
      </c>
      <c r="M2223" t="s">
        <v>33</v>
      </c>
      <c r="P2223" s="1" t="s">
        <v>8087</v>
      </c>
      <c r="Q2223" s="1" t="s">
        <v>7413</v>
      </c>
      <c r="R2223" s="1" t="s">
        <v>7413</v>
      </c>
      <c r="S2223" s="1"/>
      <c r="T2223" s="1" t="s">
        <v>8086</v>
      </c>
      <c r="U2223" s="1"/>
      <c r="V2223" s="1">
        <v>3.28</v>
      </c>
      <c r="W2223" s="1">
        <v>3.28</v>
      </c>
      <c r="X2223" s="1" t="s">
        <v>35</v>
      </c>
      <c r="Y2223" s="1">
        <v>3280000.0</v>
      </c>
      <c r="Z2223" s="1"/>
      <c r="AA2223" s="1">
        <v>3280000.0</v>
      </c>
      <c r="AB2223" s="1"/>
      <c r="AC2223" s="1" t="s">
        <v>36</v>
      </c>
      <c r="AD2223" s="1" t="s">
        <v>8088</v>
      </c>
      <c r="AE2223" s="1" t="s">
        <v>32</v>
      </c>
      <c r="AF2223" s="1" t="s">
        <v>33</v>
      </c>
      <c r="AG2223" s="1" t="s">
        <v>270</v>
      </c>
    </row>
    <row r="2224" spans="1:33">
      <c r="A2224" t="s">
        <v>8089</v>
      </c>
      <c r="C2224" t="s">
        <v>609</v>
      </c>
      <c r="E2224" t="s">
        <v>7413</v>
      </c>
      <c r="F2224" t="s">
        <v>7318</v>
      </c>
      <c r="G2224">
        <v>508.0</v>
      </c>
      <c r="H2224">
        <v>508.0</v>
      </c>
      <c r="I2224" t="s">
        <v>269</v>
      </c>
      <c r="J2224" t="s">
        <v>270</v>
      </c>
      <c r="K2224" t="s">
        <v>31</v>
      </c>
      <c r="L2224" t="s">
        <v>32</v>
      </c>
      <c r="M2224" t="s">
        <v>33</v>
      </c>
      <c r="P2224" s="1" t="s">
        <v>8090</v>
      </c>
      <c r="Q2224" s="1" t="s">
        <v>7413</v>
      </c>
      <c r="R2224" s="1" t="s">
        <v>7413</v>
      </c>
      <c r="S2224" s="1"/>
      <c r="T2224" s="1" t="s">
        <v>609</v>
      </c>
      <c r="U2224" s="1"/>
      <c r="V2224" s="1">
        <v>508.0</v>
      </c>
      <c r="W2224" s="1">
        <v>508.0</v>
      </c>
      <c r="X2224" s="1" t="s">
        <v>35</v>
      </c>
      <c r="Y2224" s="1">
        <v>508000.0</v>
      </c>
      <c r="Z2224" s="1"/>
      <c r="AA2224" s="1">
        <v>508000.0</v>
      </c>
      <c r="AB2224" s="1"/>
      <c r="AC2224" s="1" t="s">
        <v>36</v>
      </c>
      <c r="AD2224" s="1" t="s">
        <v>8091</v>
      </c>
      <c r="AE2224" s="1" t="s">
        <v>32</v>
      </c>
      <c r="AF2224" s="1" t="s">
        <v>33</v>
      </c>
      <c r="AG2224" s="1" t="s">
        <v>270</v>
      </c>
    </row>
    <row r="2225" spans="1:33">
      <c r="A2225" t="s">
        <v>8092</v>
      </c>
      <c r="C2225" t="s">
        <v>2061</v>
      </c>
      <c r="D2225" t="s">
        <v>154</v>
      </c>
      <c r="E2225" t="s">
        <v>7413</v>
      </c>
      <c r="F2225" t="s">
        <v>7318</v>
      </c>
      <c r="G2225">
        <v>492.0</v>
      </c>
      <c r="H2225">
        <v>492.0</v>
      </c>
      <c r="I2225" t="s">
        <v>269</v>
      </c>
      <c r="J2225" t="s">
        <v>270</v>
      </c>
      <c r="K2225" t="s">
        <v>31</v>
      </c>
      <c r="L2225" t="s">
        <v>32</v>
      </c>
      <c r="M2225" t="s">
        <v>33</v>
      </c>
      <c r="P2225" s="1" t="s">
        <v>8093</v>
      </c>
      <c r="Q2225" s="1" t="s">
        <v>7413</v>
      </c>
      <c r="R2225" s="1" t="s">
        <v>7413</v>
      </c>
      <c r="S2225" s="1"/>
      <c r="T2225" s="1" t="s">
        <v>2061</v>
      </c>
      <c r="U2225" s="1"/>
      <c r="V2225" s="1">
        <v>492.0</v>
      </c>
      <c r="W2225" s="1">
        <v>492.0</v>
      </c>
      <c r="X2225" s="1" t="s">
        <v>35</v>
      </c>
      <c r="Y2225" s="1">
        <v>492000.0</v>
      </c>
      <c r="Z2225" s="1"/>
      <c r="AA2225" s="1">
        <v>492000.0</v>
      </c>
      <c r="AB2225" s="1"/>
      <c r="AC2225" s="1" t="s">
        <v>36</v>
      </c>
      <c r="AD2225" s="1" t="s">
        <v>8094</v>
      </c>
      <c r="AE2225" s="1" t="s">
        <v>32</v>
      </c>
      <c r="AF2225" s="1" t="s">
        <v>33</v>
      </c>
      <c r="AG2225" s="1" t="s">
        <v>270</v>
      </c>
    </row>
    <row r="2226" spans="1:33">
      <c r="A2226" t="s">
        <v>8095</v>
      </c>
      <c r="C2226" t="s">
        <v>8096</v>
      </c>
      <c r="E2226" t="s">
        <v>7413</v>
      </c>
      <c r="F2226" t="s">
        <v>7318</v>
      </c>
      <c r="G2226">
        <v>1.685</v>
      </c>
      <c r="H2226">
        <v>1.685</v>
      </c>
      <c r="I2226" t="s">
        <v>2206</v>
      </c>
      <c r="J2226" t="s">
        <v>49</v>
      </c>
      <c r="K2226" t="s">
        <v>31</v>
      </c>
      <c r="L2226" t="s">
        <v>32</v>
      </c>
      <c r="M2226" t="s">
        <v>33</v>
      </c>
      <c r="P2226" s="1" t="s">
        <v>8097</v>
      </c>
      <c r="Q2226" s="1" t="s">
        <v>7413</v>
      </c>
      <c r="R2226" s="1" t="s">
        <v>7413</v>
      </c>
      <c r="S2226" s="1"/>
      <c r="T2226" s="1" t="s">
        <v>8096</v>
      </c>
      <c r="U2226" s="1"/>
      <c r="V2226" s="1">
        <v>1.685</v>
      </c>
      <c r="W2226" s="1">
        <v>1.685</v>
      </c>
      <c r="X2226" s="1" t="s">
        <v>35</v>
      </c>
      <c r="Y2226" s="1">
        <v>1685000.0</v>
      </c>
      <c r="Z2226" s="1"/>
      <c r="AA2226" s="1">
        <v>1685000.0</v>
      </c>
      <c r="AB2226" s="1"/>
      <c r="AC2226" s="1" t="s">
        <v>36</v>
      </c>
      <c r="AD2226" s="1" t="s">
        <v>8088</v>
      </c>
      <c r="AE2226" s="1" t="s">
        <v>32</v>
      </c>
      <c r="AF2226" s="1" t="s">
        <v>33</v>
      </c>
      <c r="AG2226" s="1" t="s">
        <v>49</v>
      </c>
    </row>
    <row r="2227" spans="1:33">
      <c r="A2227" t="s">
        <v>8098</v>
      </c>
      <c r="B2227" t="s">
        <v>4853</v>
      </c>
      <c r="C2227" t="s">
        <v>268</v>
      </c>
      <c r="E2227" t="s">
        <v>7413</v>
      </c>
      <c r="F2227" t="s">
        <v>7318</v>
      </c>
      <c r="G2227">
        <v>31.525</v>
      </c>
      <c r="H2227">
        <v>31.525</v>
      </c>
      <c r="I2227" t="s">
        <v>269</v>
      </c>
      <c r="J2227" t="s">
        <v>270</v>
      </c>
      <c r="K2227" t="s">
        <v>31</v>
      </c>
      <c r="L2227" t="s">
        <v>32</v>
      </c>
      <c r="M2227" t="s">
        <v>33</v>
      </c>
      <c r="P2227" s="1" t="s">
        <v>8099</v>
      </c>
      <c r="Q2227" s="1" t="s">
        <v>7413</v>
      </c>
      <c r="R2227" s="1" t="s">
        <v>7413</v>
      </c>
      <c r="S2227" s="1"/>
      <c r="T2227" s="1" t="s">
        <v>268</v>
      </c>
      <c r="U2227" s="1"/>
      <c r="V2227" s="1">
        <v>31.525</v>
      </c>
      <c r="W2227" s="1">
        <v>31.525</v>
      </c>
      <c r="X2227" s="1" t="s">
        <v>35</v>
      </c>
      <c r="Y2227" s="1">
        <v>31525.0</v>
      </c>
      <c r="Z2227" s="1"/>
      <c r="AA2227" s="1">
        <v>31525.0</v>
      </c>
      <c r="AB2227" s="1"/>
      <c r="AC2227" s="1" t="s">
        <v>36</v>
      </c>
      <c r="AD2227" s="1" t="s">
        <v>8094</v>
      </c>
      <c r="AE2227" s="1" t="s">
        <v>32</v>
      </c>
      <c r="AF2227" s="1" t="s">
        <v>33</v>
      </c>
      <c r="AG2227" s="1" t="s">
        <v>270</v>
      </c>
    </row>
    <row r="2228" spans="1:33">
      <c r="A2228" t="s">
        <v>8100</v>
      </c>
      <c r="C2228" t="s">
        <v>1957</v>
      </c>
      <c r="D2228" t="s">
        <v>154</v>
      </c>
      <c r="E2228" t="s">
        <v>7413</v>
      </c>
      <c r="F2228" t="s">
        <v>7318</v>
      </c>
      <c r="G2228">
        <v>852.0</v>
      </c>
      <c r="H2228">
        <v>852.0</v>
      </c>
      <c r="I2228" t="s">
        <v>227</v>
      </c>
      <c r="J2228" t="s">
        <v>228</v>
      </c>
      <c r="K2228" t="s">
        <v>31</v>
      </c>
      <c r="L2228" t="s">
        <v>32</v>
      </c>
      <c r="M2228" t="s">
        <v>33</v>
      </c>
      <c r="P2228" s="1" t="s">
        <v>8101</v>
      </c>
      <c r="Q2228" s="1" t="s">
        <v>7413</v>
      </c>
      <c r="R2228" s="1" t="s">
        <v>7413</v>
      </c>
      <c r="S2228" s="1"/>
      <c r="T2228" s="1" t="s">
        <v>1957</v>
      </c>
      <c r="U2228" s="1"/>
      <c r="V2228" s="1">
        <v>852.0</v>
      </c>
      <c r="W2228" s="1">
        <v>852.0</v>
      </c>
      <c r="X2228" s="1" t="s">
        <v>35</v>
      </c>
      <c r="Y2228" s="1">
        <v>852000.0</v>
      </c>
      <c r="Z2228" s="1"/>
      <c r="AA2228" s="1">
        <v>852000.0</v>
      </c>
      <c r="AB2228" s="1"/>
      <c r="AC2228" s="1" t="s">
        <v>36</v>
      </c>
      <c r="AD2228" s="1" t="s">
        <v>8102</v>
      </c>
      <c r="AE2228" s="1" t="s">
        <v>32</v>
      </c>
      <c r="AF2228" s="1" t="s">
        <v>33</v>
      </c>
      <c r="AG2228" s="1" t="s">
        <v>228</v>
      </c>
    </row>
    <row r="2229" spans="1:33">
      <c r="A2229" t="s">
        <v>8103</v>
      </c>
      <c r="C2229" t="s">
        <v>4844</v>
      </c>
      <c r="E2229" t="s">
        <v>7413</v>
      </c>
      <c r="F2229" t="s">
        <v>7318</v>
      </c>
      <c r="G2229">
        <v>1.802</v>
      </c>
      <c r="H2229">
        <v>1.802</v>
      </c>
      <c r="I2229" t="s">
        <v>269</v>
      </c>
      <c r="J2229" t="s">
        <v>270</v>
      </c>
      <c r="K2229" t="s">
        <v>31</v>
      </c>
      <c r="L2229" t="s">
        <v>32</v>
      </c>
      <c r="M2229" t="s">
        <v>33</v>
      </c>
      <c r="P2229" s="1" t="s">
        <v>8104</v>
      </c>
      <c r="Q2229" s="1" t="s">
        <v>7413</v>
      </c>
      <c r="R2229" s="1" t="s">
        <v>7413</v>
      </c>
      <c r="S2229" s="1"/>
      <c r="T2229" s="1" t="s">
        <v>4844</v>
      </c>
      <c r="U2229" s="1"/>
      <c r="V2229" s="1">
        <v>1.802</v>
      </c>
      <c r="W2229" s="1">
        <v>1.802</v>
      </c>
      <c r="X2229" s="1" t="s">
        <v>35</v>
      </c>
      <c r="Y2229" s="1">
        <v>1802000.0</v>
      </c>
      <c r="Z2229" s="1"/>
      <c r="AA2229" s="1">
        <v>1802000.0</v>
      </c>
      <c r="AB2229" s="1"/>
      <c r="AC2229" s="1" t="s">
        <v>36</v>
      </c>
      <c r="AD2229" s="1" t="s">
        <v>8069</v>
      </c>
      <c r="AE2229" s="1" t="s">
        <v>32</v>
      </c>
      <c r="AF2229" s="1" t="s">
        <v>33</v>
      </c>
      <c r="AG2229" s="1" t="s">
        <v>270</v>
      </c>
    </row>
    <row r="2230" spans="1:33">
      <c r="A2230" t="s">
        <v>8105</v>
      </c>
      <c r="B2230" t="s">
        <v>4124</v>
      </c>
      <c r="C2230" t="s">
        <v>314</v>
      </c>
      <c r="E2230" t="s">
        <v>7413</v>
      </c>
      <c r="F2230" t="s">
        <v>7318</v>
      </c>
      <c r="G2230">
        <v>40.99</v>
      </c>
      <c r="H2230">
        <v>40.99</v>
      </c>
      <c r="I2230" t="s">
        <v>179</v>
      </c>
      <c r="J2230" t="s">
        <v>180</v>
      </c>
      <c r="K2230" t="s">
        <v>31</v>
      </c>
      <c r="L2230" t="s">
        <v>32</v>
      </c>
      <c r="M2230" t="s">
        <v>33</v>
      </c>
      <c r="P2230" s="1" t="s">
        <v>8106</v>
      </c>
      <c r="Q2230" s="1" t="s">
        <v>7413</v>
      </c>
      <c r="R2230" s="1" t="s">
        <v>7413</v>
      </c>
      <c r="S2230" s="1"/>
      <c r="T2230" s="1" t="s">
        <v>314</v>
      </c>
      <c r="U2230" s="1"/>
      <c r="V2230" s="1">
        <v>40.99</v>
      </c>
      <c r="W2230" s="1">
        <v>40.99</v>
      </c>
      <c r="X2230" s="1" t="s">
        <v>35</v>
      </c>
      <c r="Y2230" s="1">
        <v>40990.0</v>
      </c>
      <c r="Z2230" s="1"/>
      <c r="AA2230" s="1">
        <v>40990.0</v>
      </c>
      <c r="AB2230" s="1"/>
      <c r="AC2230" s="1" t="s">
        <v>36</v>
      </c>
      <c r="AD2230" s="1" t="s">
        <v>8107</v>
      </c>
      <c r="AE2230" s="1" t="s">
        <v>32</v>
      </c>
      <c r="AF2230" s="1" t="s">
        <v>33</v>
      </c>
      <c r="AG2230" s="1" t="s">
        <v>180</v>
      </c>
    </row>
    <row r="2231" spans="1:33">
      <c r="A2231" t="s">
        <v>8108</v>
      </c>
      <c r="C2231" t="s">
        <v>8109</v>
      </c>
      <c r="E2231" t="s">
        <v>7413</v>
      </c>
      <c r="F2231" t="s">
        <v>7318</v>
      </c>
      <c r="G2231">
        <v>400.0</v>
      </c>
      <c r="H2231">
        <v>400.0</v>
      </c>
      <c r="I2231" t="s">
        <v>40</v>
      </c>
      <c r="J2231" t="s">
        <v>41</v>
      </c>
      <c r="K2231" t="s">
        <v>31</v>
      </c>
      <c r="L2231" t="s">
        <v>32</v>
      </c>
      <c r="M2231" t="s">
        <v>33</v>
      </c>
      <c r="P2231" s="1" t="s">
        <v>8110</v>
      </c>
      <c r="Q2231" s="1" t="s">
        <v>7413</v>
      </c>
      <c r="R2231" s="1" t="s">
        <v>6700</v>
      </c>
      <c r="S2231" s="1"/>
      <c r="T2231" s="1" t="s">
        <v>8109</v>
      </c>
      <c r="U2231" s="1"/>
      <c r="V2231" s="1">
        <v>400.0</v>
      </c>
      <c r="W2231" s="1">
        <v>400.0</v>
      </c>
      <c r="X2231" s="1" t="s">
        <v>35</v>
      </c>
      <c r="Y2231" s="1">
        <v>400000.0</v>
      </c>
      <c r="Z2231" s="1"/>
      <c r="AA2231" s="1">
        <v>400000.0</v>
      </c>
      <c r="AB2231" s="1"/>
      <c r="AC2231" s="1" t="s">
        <v>36</v>
      </c>
      <c r="AD2231" s="1" t="s">
        <v>8111</v>
      </c>
      <c r="AE2231" s="1" t="s">
        <v>32</v>
      </c>
      <c r="AF2231" s="1" t="s">
        <v>33</v>
      </c>
      <c r="AG2231" s="1" t="s">
        <v>41</v>
      </c>
    </row>
    <row r="2232" spans="1:33">
      <c r="A2232" t="s">
        <v>8112</v>
      </c>
      <c r="B2232" t="s">
        <v>3960</v>
      </c>
      <c r="C2232" t="s">
        <v>73</v>
      </c>
      <c r="E2232" t="s">
        <v>7413</v>
      </c>
      <c r="F2232" t="s">
        <v>7318</v>
      </c>
      <c r="G2232">
        <v>33.98</v>
      </c>
      <c r="H2232">
        <v>33.98</v>
      </c>
      <c r="I2232" t="s">
        <v>40</v>
      </c>
      <c r="J2232" t="s">
        <v>41</v>
      </c>
      <c r="K2232" t="s">
        <v>31</v>
      </c>
      <c r="L2232" t="s">
        <v>32</v>
      </c>
      <c r="M2232" t="s">
        <v>33</v>
      </c>
      <c r="P2232" s="1" t="s">
        <v>8113</v>
      </c>
      <c r="Q2232" s="1" t="s">
        <v>7413</v>
      </c>
      <c r="R2232" s="1" t="s">
        <v>6700</v>
      </c>
      <c r="S2232" s="1"/>
      <c r="T2232" s="1" t="s">
        <v>75</v>
      </c>
      <c r="U2232" s="1" t="s">
        <v>76</v>
      </c>
      <c r="V2232" s="1">
        <v>33.98</v>
      </c>
      <c r="W2232" s="1">
        <v>33.98</v>
      </c>
      <c r="X2232" s="1" t="s">
        <v>35</v>
      </c>
      <c r="Y2232" s="1">
        <v>33980.0</v>
      </c>
      <c r="Z2232" s="1"/>
      <c r="AA2232" s="1">
        <v>33980.0</v>
      </c>
      <c r="AB2232" s="1"/>
      <c r="AC2232" s="1" t="s">
        <v>36</v>
      </c>
      <c r="AD2232" s="1" t="s">
        <v>8114</v>
      </c>
      <c r="AE2232" s="1" t="s">
        <v>32</v>
      </c>
      <c r="AF2232" s="1" t="s">
        <v>33</v>
      </c>
      <c r="AG2232" s="1" t="s">
        <v>41</v>
      </c>
    </row>
    <row r="2233" spans="1:33">
      <c r="A2233" t="s">
        <v>8115</v>
      </c>
      <c r="B2233" t="s">
        <v>548</v>
      </c>
      <c r="C2233" t="s">
        <v>73</v>
      </c>
      <c r="E2233" t="s">
        <v>7413</v>
      </c>
      <c r="F2233" t="s">
        <v>7318</v>
      </c>
      <c r="G2233">
        <v>45.486</v>
      </c>
      <c r="H2233">
        <v>45.486</v>
      </c>
      <c r="I2233" t="s">
        <v>40</v>
      </c>
      <c r="J2233" t="s">
        <v>41</v>
      </c>
      <c r="K2233" t="s">
        <v>31</v>
      </c>
      <c r="L2233" t="s">
        <v>32</v>
      </c>
      <c r="M2233" t="s">
        <v>33</v>
      </c>
      <c r="P2233" s="1" t="s">
        <v>8116</v>
      </c>
      <c r="Q2233" s="1" t="s">
        <v>7413</v>
      </c>
      <c r="R2233" s="1" t="s">
        <v>6700</v>
      </c>
      <c r="S2233" s="1"/>
      <c r="T2233" s="1" t="s">
        <v>75</v>
      </c>
      <c r="U2233" s="1" t="s">
        <v>76</v>
      </c>
      <c r="V2233" s="1">
        <v>45.486</v>
      </c>
      <c r="W2233" s="1">
        <v>45.486</v>
      </c>
      <c r="X2233" s="1" t="s">
        <v>35</v>
      </c>
      <c r="Y2233" s="1">
        <v>45486.0</v>
      </c>
      <c r="Z2233" s="1"/>
      <c r="AA2233" s="1">
        <v>45486.0</v>
      </c>
      <c r="AB2233" s="1"/>
      <c r="AC2233" s="1" t="s">
        <v>36</v>
      </c>
      <c r="AD2233" s="1" t="s">
        <v>8117</v>
      </c>
      <c r="AE2233" s="1" t="s">
        <v>32</v>
      </c>
      <c r="AF2233" s="1" t="s">
        <v>33</v>
      </c>
      <c r="AG2233" s="1" t="s">
        <v>41</v>
      </c>
    </row>
    <row r="2234" spans="1:33">
      <c r="A2234" t="s">
        <v>8118</v>
      </c>
      <c r="C2234" t="s">
        <v>8119</v>
      </c>
      <c r="E2234" t="s">
        <v>7413</v>
      </c>
      <c r="F2234" t="s">
        <v>7318</v>
      </c>
      <c r="G2234">
        <v>1.64</v>
      </c>
      <c r="H2234">
        <v>1.64</v>
      </c>
      <c r="I2234" t="s">
        <v>269</v>
      </c>
      <c r="J2234" t="s">
        <v>270</v>
      </c>
      <c r="K2234" t="s">
        <v>31</v>
      </c>
      <c r="L2234" t="s">
        <v>32</v>
      </c>
      <c r="M2234" t="s">
        <v>33</v>
      </c>
      <c r="P2234" s="1" t="s">
        <v>8120</v>
      </c>
      <c r="Q2234" s="1" t="s">
        <v>7413</v>
      </c>
      <c r="R2234" s="1" t="s">
        <v>7413</v>
      </c>
      <c r="S2234" s="1"/>
      <c r="T2234" s="1" t="s">
        <v>8119</v>
      </c>
      <c r="U2234" s="1"/>
      <c r="V2234" s="1">
        <v>1.64</v>
      </c>
      <c r="W2234" s="1">
        <v>1.64</v>
      </c>
      <c r="X2234" s="1" t="s">
        <v>35</v>
      </c>
      <c r="Y2234" s="1">
        <v>1640000.0</v>
      </c>
      <c r="Z2234" s="1"/>
      <c r="AA2234" s="1">
        <v>1640000.0</v>
      </c>
      <c r="AB2234" s="1"/>
      <c r="AC2234" s="1" t="s">
        <v>36</v>
      </c>
      <c r="AD2234" s="1" t="s">
        <v>8121</v>
      </c>
      <c r="AE2234" s="1" t="s">
        <v>32</v>
      </c>
      <c r="AF2234" s="1" t="s">
        <v>33</v>
      </c>
      <c r="AG2234" s="1" t="s">
        <v>270</v>
      </c>
    </row>
    <row r="2235" spans="1:33">
      <c r="A2235" t="s">
        <v>8122</v>
      </c>
      <c r="C2235" t="s">
        <v>1053</v>
      </c>
      <c r="E2235" t="s">
        <v>7413</v>
      </c>
      <c r="F2235" t="s">
        <v>7318</v>
      </c>
      <c r="G2235">
        <v>704.0</v>
      </c>
      <c r="H2235">
        <v>704.0</v>
      </c>
      <c r="I2235" t="s">
        <v>179</v>
      </c>
      <c r="J2235" t="s">
        <v>180</v>
      </c>
      <c r="K2235" t="s">
        <v>31</v>
      </c>
      <c r="L2235" t="s">
        <v>32</v>
      </c>
      <c r="M2235" t="s">
        <v>33</v>
      </c>
      <c r="P2235" s="1" t="s">
        <v>8123</v>
      </c>
      <c r="Q2235" s="1" t="s">
        <v>7413</v>
      </c>
      <c r="R2235" s="1" t="s">
        <v>7413</v>
      </c>
      <c r="S2235" s="1"/>
      <c r="T2235" s="1" t="s">
        <v>1053</v>
      </c>
      <c r="U2235" s="1"/>
      <c r="V2235" s="1">
        <v>704.0</v>
      </c>
      <c r="W2235" s="1">
        <v>704.0</v>
      </c>
      <c r="X2235" s="1" t="s">
        <v>35</v>
      </c>
      <c r="Y2235" s="1">
        <v>704000.0</v>
      </c>
      <c r="Z2235" s="1"/>
      <c r="AA2235" s="1">
        <v>704000.0</v>
      </c>
      <c r="AB2235" s="1"/>
      <c r="AC2235" s="1" t="s">
        <v>36</v>
      </c>
      <c r="AD2235" s="1" t="s">
        <v>8124</v>
      </c>
      <c r="AE2235" s="1" t="s">
        <v>32</v>
      </c>
      <c r="AF2235" s="1" t="s">
        <v>33</v>
      </c>
      <c r="AG2235" s="1" t="s">
        <v>180</v>
      </c>
    </row>
    <row r="2236" spans="1:33">
      <c r="A2236" t="s">
        <v>8125</v>
      </c>
      <c r="B2236" t="s">
        <v>8126</v>
      </c>
      <c r="C2236" t="s">
        <v>47</v>
      </c>
      <c r="E2236" t="s">
        <v>7413</v>
      </c>
      <c r="F2236" t="s">
        <v>7318</v>
      </c>
      <c r="G2236">
        <v>11.0</v>
      </c>
      <c r="H2236">
        <v>11.0</v>
      </c>
      <c r="I2236" t="s">
        <v>2206</v>
      </c>
      <c r="J2236" t="s">
        <v>49</v>
      </c>
      <c r="K2236" t="s">
        <v>31</v>
      </c>
      <c r="L2236" t="s">
        <v>32</v>
      </c>
      <c r="M2236" t="s">
        <v>33</v>
      </c>
      <c r="P2236" s="1" t="s">
        <v>8127</v>
      </c>
      <c r="Q2236" s="1" t="s">
        <v>7413</v>
      </c>
      <c r="R2236" s="1" t="s">
        <v>7413</v>
      </c>
      <c r="S2236" s="1"/>
      <c r="T2236" s="1" t="s">
        <v>47</v>
      </c>
      <c r="U2236" s="1"/>
      <c r="V2236" s="1">
        <v>11.0</v>
      </c>
      <c r="W2236" s="1">
        <v>11.0</v>
      </c>
      <c r="X2236" s="1" t="s">
        <v>35</v>
      </c>
      <c r="Y2236" s="1">
        <v>11000.0</v>
      </c>
      <c r="Z2236" s="1"/>
      <c r="AA2236" s="1">
        <v>11000.0</v>
      </c>
      <c r="AB2236" s="1"/>
      <c r="AC2236" s="1" t="s">
        <v>36</v>
      </c>
      <c r="AD2236" s="1" t="s">
        <v>8128</v>
      </c>
      <c r="AE2236" s="1" t="s">
        <v>32</v>
      </c>
      <c r="AF2236" s="1" t="s">
        <v>33</v>
      </c>
      <c r="AG2236" s="1" t="s">
        <v>49</v>
      </c>
    </row>
    <row r="2237" spans="1:33">
      <c r="A2237" t="s">
        <v>8129</v>
      </c>
      <c r="B2237" t="s">
        <v>8130</v>
      </c>
      <c r="C2237" t="s">
        <v>125</v>
      </c>
      <c r="E2237" t="s">
        <v>7413</v>
      </c>
      <c r="F2237" t="s">
        <v>7318</v>
      </c>
      <c r="G2237">
        <v>20.99</v>
      </c>
      <c r="H2237">
        <v>20.99</v>
      </c>
      <c r="I2237" t="s">
        <v>126</v>
      </c>
      <c r="J2237" t="s">
        <v>127</v>
      </c>
      <c r="K2237" t="s">
        <v>31</v>
      </c>
      <c r="L2237" t="s">
        <v>32</v>
      </c>
      <c r="M2237" t="s">
        <v>33</v>
      </c>
      <c r="P2237" s="1" t="s">
        <v>8131</v>
      </c>
      <c r="Q2237" s="1" t="s">
        <v>7413</v>
      </c>
      <c r="R2237" s="1" t="s">
        <v>7413</v>
      </c>
      <c r="S2237" s="1"/>
      <c r="T2237" s="1" t="s">
        <v>125</v>
      </c>
      <c r="U2237" s="1"/>
      <c r="V2237" s="1">
        <v>20.99</v>
      </c>
      <c r="W2237" s="1">
        <v>20.99</v>
      </c>
      <c r="X2237" s="1" t="s">
        <v>35</v>
      </c>
      <c r="Y2237" s="1">
        <v>20990.0</v>
      </c>
      <c r="Z2237" s="1"/>
      <c r="AA2237" s="1">
        <v>20990.0</v>
      </c>
      <c r="AB2237" s="1"/>
      <c r="AC2237" s="1" t="s">
        <v>36</v>
      </c>
      <c r="AD2237" s="1" t="s">
        <v>8132</v>
      </c>
      <c r="AE2237" s="1" t="s">
        <v>32</v>
      </c>
      <c r="AF2237" s="1" t="s">
        <v>33</v>
      </c>
      <c r="AG2237" s="1" t="s">
        <v>127</v>
      </c>
    </row>
    <row r="2238" spans="1:33">
      <c r="A2238" t="s">
        <v>8133</v>
      </c>
      <c r="C2238" t="s">
        <v>3579</v>
      </c>
      <c r="E2238" t="s">
        <v>7413</v>
      </c>
      <c r="F2238" t="s">
        <v>7318</v>
      </c>
      <c r="G2238">
        <v>630.0</v>
      </c>
      <c r="H2238">
        <v>630.0</v>
      </c>
      <c r="I2238" t="s">
        <v>126</v>
      </c>
      <c r="J2238" t="s">
        <v>127</v>
      </c>
      <c r="K2238" t="s">
        <v>31</v>
      </c>
      <c r="L2238" t="s">
        <v>32</v>
      </c>
      <c r="M2238" t="s">
        <v>33</v>
      </c>
      <c r="P2238" s="1" t="s">
        <v>8134</v>
      </c>
      <c r="Q2238" s="1" t="s">
        <v>7413</v>
      </c>
      <c r="R2238" s="1" t="s">
        <v>7413</v>
      </c>
      <c r="S2238" s="1"/>
      <c r="T2238" s="1" t="s">
        <v>3579</v>
      </c>
      <c r="U2238" s="1"/>
      <c r="V2238" s="1">
        <v>630.0</v>
      </c>
      <c r="W2238" s="1">
        <v>630.0</v>
      </c>
      <c r="X2238" s="1" t="s">
        <v>35</v>
      </c>
      <c r="Y2238" s="1">
        <v>630000.0</v>
      </c>
      <c r="Z2238" s="1"/>
      <c r="AA2238" s="1">
        <v>630000.0</v>
      </c>
      <c r="AB2238" s="1"/>
      <c r="AC2238" s="1" t="s">
        <v>36</v>
      </c>
      <c r="AD2238" s="1" t="s">
        <v>8111</v>
      </c>
      <c r="AE2238" s="1" t="s">
        <v>32</v>
      </c>
      <c r="AF2238" s="1" t="s">
        <v>33</v>
      </c>
      <c r="AG2238" s="1" t="s">
        <v>127</v>
      </c>
    </row>
    <row r="2239" spans="1:33">
      <c r="A2239" t="s">
        <v>8135</v>
      </c>
      <c r="B2239" t="s">
        <v>8136</v>
      </c>
      <c r="C2239" t="s">
        <v>47</v>
      </c>
      <c r="E2239" t="s">
        <v>7413</v>
      </c>
      <c r="F2239" t="s">
        <v>7318</v>
      </c>
      <c r="G2239">
        <v>93.86</v>
      </c>
      <c r="H2239">
        <v>93.86</v>
      </c>
      <c r="I2239" t="s">
        <v>2206</v>
      </c>
      <c r="J2239" t="s">
        <v>49</v>
      </c>
      <c r="K2239" t="s">
        <v>31</v>
      </c>
      <c r="L2239" t="s">
        <v>32</v>
      </c>
      <c r="M2239" t="s">
        <v>33</v>
      </c>
      <c r="P2239" s="1" t="s">
        <v>8137</v>
      </c>
      <c r="Q2239" s="1" t="s">
        <v>7413</v>
      </c>
      <c r="R2239" s="1" t="s">
        <v>7413</v>
      </c>
      <c r="S2239" s="1"/>
      <c r="T2239" s="1" t="s">
        <v>47</v>
      </c>
      <c r="U2239" s="1"/>
      <c r="V2239" s="1">
        <v>93.86</v>
      </c>
      <c r="W2239" s="1">
        <v>93.86</v>
      </c>
      <c r="X2239" s="1" t="s">
        <v>35</v>
      </c>
      <c r="Y2239" s="1">
        <v>93860.0</v>
      </c>
      <c r="Z2239" s="1"/>
      <c r="AA2239" s="1">
        <v>93860.0</v>
      </c>
      <c r="AB2239" s="1"/>
      <c r="AC2239" s="1" t="s">
        <v>36</v>
      </c>
      <c r="AD2239" s="1" t="s">
        <v>8138</v>
      </c>
      <c r="AE2239" s="1" t="s">
        <v>32</v>
      </c>
      <c r="AF2239" s="1" t="s">
        <v>33</v>
      </c>
      <c r="AG2239" s="1" t="s">
        <v>49</v>
      </c>
    </row>
    <row r="2240" spans="1:33">
      <c r="A2240" t="s">
        <v>8139</v>
      </c>
      <c r="B2240" t="s">
        <v>8140</v>
      </c>
      <c r="C2240" t="s">
        <v>131</v>
      </c>
      <c r="E2240" t="s">
        <v>7413</v>
      </c>
      <c r="F2240" t="s">
        <v>7318</v>
      </c>
      <c r="G2240">
        <v>35.58</v>
      </c>
      <c r="H2240">
        <v>35.58</v>
      </c>
      <c r="I2240" t="s">
        <v>94</v>
      </c>
      <c r="J2240" t="s">
        <v>95</v>
      </c>
      <c r="K2240" t="s">
        <v>31</v>
      </c>
      <c r="L2240" t="s">
        <v>32</v>
      </c>
      <c r="M2240" t="s">
        <v>33</v>
      </c>
      <c r="P2240" s="1" t="s">
        <v>8141</v>
      </c>
      <c r="Q2240" s="1" t="s">
        <v>7413</v>
      </c>
      <c r="R2240" s="1" t="s">
        <v>7413</v>
      </c>
      <c r="S2240" s="1"/>
      <c r="T2240" s="1" t="s">
        <v>131</v>
      </c>
      <c r="U2240" s="1"/>
      <c r="V2240" s="1">
        <v>35.58</v>
      </c>
      <c r="W2240" s="1">
        <v>35.58</v>
      </c>
      <c r="X2240" s="1" t="s">
        <v>35</v>
      </c>
      <c r="Y2240" s="1">
        <v>35580.0</v>
      </c>
      <c r="Z2240" s="1"/>
      <c r="AA2240" s="1">
        <v>35580.0</v>
      </c>
      <c r="AB2240" s="1"/>
      <c r="AC2240" s="1" t="s">
        <v>36</v>
      </c>
      <c r="AD2240" s="1" t="s">
        <v>8142</v>
      </c>
      <c r="AE2240" s="1" t="s">
        <v>32</v>
      </c>
      <c r="AF2240" s="1" t="s">
        <v>33</v>
      </c>
      <c r="AG2240" s="1" t="s">
        <v>95</v>
      </c>
    </row>
    <row r="2241" spans="1:33">
      <c r="A2241" t="s">
        <v>8143</v>
      </c>
      <c r="B2241" t="s">
        <v>8144</v>
      </c>
      <c r="C2241" t="s">
        <v>172</v>
      </c>
      <c r="E2241" t="s">
        <v>7413</v>
      </c>
      <c r="F2241" t="s">
        <v>7318</v>
      </c>
      <c r="G2241">
        <v>16.99</v>
      </c>
      <c r="H2241">
        <v>16.99</v>
      </c>
      <c r="I2241" t="s">
        <v>173</v>
      </c>
      <c r="J2241" t="s">
        <v>174</v>
      </c>
      <c r="K2241" t="s">
        <v>31</v>
      </c>
      <c r="L2241" t="s">
        <v>32</v>
      </c>
      <c r="M2241" t="s">
        <v>33</v>
      </c>
      <c r="P2241" s="1" t="s">
        <v>8145</v>
      </c>
      <c r="Q2241" s="1" t="s">
        <v>7413</v>
      </c>
      <c r="R2241" s="1" t="s">
        <v>7413</v>
      </c>
      <c r="S2241" s="1"/>
      <c r="T2241" s="1" t="s">
        <v>172</v>
      </c>
      <c r="U2241" s="1"/>
      <c r="V2241" s="1">
        <v>16.99</v>
      </c>
      <c r="W2241" s="1">
        <v>16.99</v>
      </c>
      <c r="X2241" s="1" t="s">
        <v>35</v>
      </c>
      <c r="Y2241" s="1">
        <v>16990.0</v>
      </c>
      <c r="Z2241" s="1"/>
      <c r="AA2241" s="1">
        <v>16990.0</v>
      </c>
      <c r="AB2241" s="1"/>
      <c r="AC2241" s="1" t="s">
        <v>36</v>
      </c>
      <c r="AD2241" s="1" t="s">
        <v>8146</v>
      </c>
      <c r="AE2241" s="1" t="s">
        <v>32</v>
      </c>
      <c r="AF2241" s="1" t="s">
        <v>33</v>
      </c>
      <c r="AG2241" s="1" t="s">
        <v>174</v>
      </c>
    </row>
    <row r="2242" spans="1:33">
      <c r="A2242" t="s">
        <v>8147</v>
      </c>
      <c r="B2242" t="s">
        <v>8148</v>
      </c>
      <c r="C2242" t="s">
        <v>268</v>
      </c>
      <c r="E2242" t="s">
        <v>7413</v>
      </c>
      <c r="F2242" t="s">
        <v>7318</v>
      </c>
      <c r="G2242">
        <v>33.8</v>
      </c>
      <c r="H2242">
        <v>33.8</v>
      </c>
      <c r="I2242" t="s">
        <v>269</v>
      </c>
      <c r="J2242" t="s">
        <v>270</v>
      </c>
      <c r="K2242" t="s">
        <v>31</v>
      </c>
      <c r="L2242" t="s">
        <v>32</v>
      </c>
      <c r="M2242" t="s">
        <v>33</v>
      </c>
      <c r="P2242" s="1" t="s">
        <v>8149</v>
      </c>
      <c r="Q2242" s="1" t="s">
        <v>7413</v>
      </c>
      <c r="R2242" s="1" t="s">
        <v>7413</v>
      </c>
      <c r="S2242" s="1"/>
      <c r="T2242" s="1" t="s">
        <v>268</v>
      </c>
      <c r="U2242" s="1"/>
      <c r="V2242" s="1">
        <v>33.8</v>
      </c>
      <c r="W2242" s="1">
        <v>33.8</v>
      </c>
      <c r="X2242" s="1" t="s">
        <v>35</v>
      </c>
      <c r="Y2242" s="1">
        <v>33800.0</v>
      </c>
      <c r="Z2242" s="1"/>
      <c r="AA2242" s="1">
        <v>33800.0</v>
      </c>
      <c r="AB2242" s="1"/>
      <c r="AC2242" s="1" t="s">
        <v>36</v>
      </c>
      <c r="AD2242" s="1" t="s">
        <v>8150</v>
      </c>
      <c r="AE2242" s="1" t="s">
        <v>32</v>
      </c>
      <c r="AF2242" s="1" t="s">
        <v>33</v>
      </c>
      <c r="AG2242" s="1" t="s">
        <v>270</v>
      </c>
    </row>
    <row r="2243" spans="1:33">
      <c r="A2243" t="s">
        <v>8151</v>
      </c>
      <c r="B2243" t="s">
        <v>8152</v>
      </c>
      <c r="C2243" t="s">
        <v>172</v>
      </c>
      <c r="E2243" t="s">
        <v>7413</v>
      </c>
      <c r="F2243" t="s">
        <v>7318</v>
      </c>
      <c r="G2243">
        <v>64.98</v>
      </c>
      <c r="H2243">
        <v>64.98</v>
      </c>
      <c r="I2243" t="s">
        <v>173</v>
      </c>
      <c r="J2243" t="s">
        <v>174</v>
      </c>
      <c r="K2243" t="s">
        <v>31</v>
      </c>
      <c r="L2243" t="s">
        <v>32</v>
      </c>
      <c r="M2243" t="s">
        <v>33</v>
      </c>
      <c r="P2243" s="1" t="s">
        <v>8153</v>
      </c>
      <c r="Q2243" s="1" t="s">
        <v>7413</v>
      </c>
      <c r="R2243" s="1" t="s">
        <v>7413</v>
      </c>
      <c r="S2243" s="1"/>
      <c r="T2243" s="1" t="s">
        <v>172</v>
      </c>
      <c r="U2243" s="1"/>
      <c r="V2243" s="1">
        <v>64.98</v>
      </c>
      <c r="W2243" s="1">
        <v>64.98</v>
      </c>
      <c r="X2243" s="1" t="s">
        <v>35</v>
      </c>
      <c r="Y2243" s="1">
        <v>64980.0</v>
      </c>
      <c r="Z2243" s="1"/>
      <c r="AA2243" s="1">
        <v>64980.0</v>
      </c>
      <c r="AB2243" s="1"/>
      <c r="AC2243" s="1" t="s">
        <v>36</v>
      </c>
      <c r="AD2243" s="1" t="s">
        <v>8154</v>
      </c>
      <c r="AE2243" s="1" t="s">
        <v>32</v>
      </c>
      <c r="AF2243" s="1" t="s">
        <v>33</v>
      </c>
      <c r="AG2243" s="1" t="s">
        <v>174</v>
      </c>
    </row>
    <row r="2244" spans="1:33">
      <c r="A2244" t="s">
        <v>8155</v>
      </c>
      <c r="B2244" t="s">
        <v>5253</v>
      </c>
      <c r="C2244" t="s">
        <v>172</v>
      </c>
      <c r="E2244" t="s">
        <v>7413</v>
      </c>
      <c r="F2244" t="s">
        <v>7318</v>
      </c>
      <c r="G2244">
        <v>64.98</v>
      </c>
      <c r="H2244">
        <v>64.98</v>
      </c>
      <c r="I2244" t="s">
        <v>173</v>
      </c>
      <c r="J2244" t="s">
        <v>174</v>
      </c>
      <c r="K2244" t="s">
        <v>31</v>
      </c>
      <c r="L2244" t="s">
        <v>32</v>
      </c>
      <c r="M2244" t="s">
        <v>33</v>
      </c>
      <c r="P2244" s="1" t="s">
        <v>8156</v>
      </c>
      <c r="Q2244" s="1" t="s">
        <v>7413</v>
      </c>
      <c r="R2244" s="1" t="s">
        <v>7413</v>
      </c>
      <c r="S2244" s="1"/>
      <c r="T2244" s="1" t="s">
        <v>172</v>
      </c>
      <c r="U2244" s="1"/>
      <c r="V2244" s="1">
        <v>64.98</v>
      </c>
      <c r="W2244" s="1">
        <v>64.98</v>
      </c>
      <c r="X2244" s="1" t="s">
        <v>35</v>
      </c>
      <c r="Y2244" s="1">
        <v>64980.0</v>
      </c>
      <c r="Z2244" s="1"/>
      <c r="AA2244" s="1">
        <v>64980.0</v>
      </c>
      <c r="AB2244" s="1"/>
      <c r="AC2244" s="1" t="s">
        <v>36</v>
      </c>
      <c r="AD2244" s="1" t="s">
        <v>8157</v>
      </c>
      <c r="AE2244" s="1" t="s">
        <v>32</v>
      </c>
      <c r="AF2244" s="1" t="s">
        <v>33</v>
      </c>
      <c r="AG2244" s="1" t="s">
        <v>174</v>
      </c>
    </row>
    <row r="2245" spans="1:33">
      <c r="A2245" t="s">
        <v>8158</v>
      </c>
      <c r="B2245" t="s">
        <v>8159</v>
      </c>
      <c r="C2245" t="s">
        <v>172</v>
      </c>
      <c r="E2245" t="s">
        <v>7413</v>
      </c>
      <c r="F2245" t="s">
        <v>7318</v>
      </c>
      <c r="G2245">
        <v>56.0</v>
      </c>
      <c r="H2245">
        <v>56.0</v>
      </c>
      <c r="I2245" t="s">
        <v>173</v>
      </c>
      <c r="J2245" t="s">
        <v>174</v>
      </c>
      <c r="K2245" t="s">
        <v>31</v>
      </c>
      <c r="L2245" t="s">
        <v>32</v>
      </c>
      <c r="M2245" t="s">
        <v>33</v>
      </c>
      <c r="P2245" s="1" t="s">
        <v>8160</v>
      </c>
      <c r="Q2245" s="1" t="s">
        <v>7413</v>
      </c>
      <c r="R2245" s="1" t="s">
        <v>7413</v>
      </c>
      <c r="S2245" s="1"/>
      <c r="T2245" s="1" t="s">
        <v>172</v>
      </c>
      <c r="U2245" s="1"/>
      <c r="V2245" s="1">
        <v>56.0</v>
      </c>
      <c r="W2245" s="1">
        <v>56.0</v>
      </c>
      <c r="X2245" s="1" t="s">
        <v>35</v>
      </c>
      <c r="Y2245" s="1">
        <v>56000.0</v>
      </c>
      <c r="Z2245" s="1"/>
      <c r="AA2245" s="1">
        <v>56000.0</v>
      </c>
      <c r="AB2245" s="1"/>
      <c r="AC2245" s="1" t="s">
        <v>36</v>
      </c>
      <c r="AD2245" s="1" t="s">
        <v>8161</v>
      </c>
      <c r="AE2245" s="1" t="s">
        <v>32</v>
      </c>
      <c r="AF2245" s="1" t="s">
        <v>33</v>
      </c>
      <c r="AG2245" s="1" t="s">
        <v>174</v>
      </c>
    </row>
    <row r="2246" spans="1:33">
      <c r="A2246" t="s">
        <v>8162</v>
      </c>
      <c r="C2246" t="s">
        <v>695</v>
      </c>
      <c r="D2246" t="s">
        <v>114</v>
      </c>
      <c r="E2246" t="s">
        <v>7413</v>
      </c>
      <c r="F2246" t="s">
        <v>7318</v>
      </c>
      <c r="G2246">
        <v>1.626</v>
      </c>
      <c r="H2246">
        <v>1.626</v>
      </c>
      <c r="I2246" t="s">
        <v>269</v>
      </c>
      <c r="J2246" t="s">
        <v>270</v>
      </c>
      <c r="K2246" t="s">
        <v>31</v>
      </c>
      <c r="L2246" t="s">
        <v>32</v>
      </c>
      <c r="M2246" t="s">
        <v>33</v>
      </c>
      <c r="P2246" s="1" t="s">
        <v>8163</v>
      </c>
      <c r="Q2246" s="1" t="s">
        <v>7413</v>
      </c>
      <c r="R2246" s="1" t="s">
        <v>7413</v>
      </c>
      <c r="S2246" s="1"/>
      <c r="T2246" s="1" t="s">
        <v>695</v>
      </c>
      <c r="U2246" s="1"/>
      <c r="V2246" s="1">
        <v>1.626</v>
      </c>
      <c r="W2246" s="1">
        <v>1.626</v>
      </c>
      <c r="X2246" s="1" t="s">
        <v>35</v>
      </c>
      <c r="Y2246" s="1">
        <v>1626000.0</v>
      </c>
      <c r="Z2246" s="1"/>
      <c r="AA2246" s="1">
        <v>1626000.0</v>
      </c>
      <c r="AB2246" s="1"/>
      <c r="AC2246" s="1" t="s">
        <v>36</v>
      </c>
      <c r="AD2246" s="1" t="s">
        <v>8164</v>
      </c>
      <c r="AE2246" s="1" t="s">
        <v>32</v>
      </c>
      <c r="AF2246" s="1" t="s">
        <v>33</v>
      </c>
      <c r="AG2246" s="1" t="s">
        <v>270</v>
      </c>
    </row>
    <row r="2247" spans="1:33">
      <c r="A2247" t="s">
        <v>8165</v>
      </c>
      <c r="B2247" t="s">
        <v>8166</v>
      </c>
      <c r="C2247" t="s">
        <v>268</v>
      </c>
      <c r="E2247" t="s">
        <v>7413</v>
      </c>
      <c r="F2247" t="s">
        <v>7318</v>
      </c>
      <c r="G2247">
        <v>124.75</v>
      </c>
      <c r="H2247">
        <v>124.75</v>
      </c>
      <c r="I2247" t="s">
        <v>269</v>
      </c>
      <c r="J2247" t="s">
        <v>270</v>
      </c>
      <c r="K2247" t="s">
        <v>31</v>
      </c>
      <c r="L2247" t="s">
        <v>32</v>
      </c>
      <c r="M2247" t="s">
        <v>33</v>
      </c>
      <c r="P2247" s="1" t="s">
        <v>8167</v>
      </c>
      <c r="Q2247" s="1" t="s">
        <v>7413</v>
      </c>
      <c r="R2247" s="1" t="s">
        <v>7413</v>
      </c>
      <c r="S2247" s="1"/>
      <c r="T2247" s="1" t="s">
        <v>268</v>
      </c>
      <c r="U2247" s="1"/>
      <c r="V2247" s="1">
        <v>124.75</v>
      </c>
      <c r="W2247" s="1">
        <v>124.75</v>
      </c>
      <c r="X2247" s="1" t="s">
        <v>35</v>
      </c>
      <c r="Y2247" s="1">
        <v>124750.0</v>
      </c>
      <c r="Z2247" s="1"/>
      <c r="AA2247" s="1">
        <v>124750.0</v>
      </c>
      <c r="AB2247" s="1"/>
      <c r="AC2247" s="1" t="s">
        <v>36</v>
      </c>
      <c r="AD2247" s="1" t="s">
        <v>8168</v>
      </c>
      <c r="AE2247" s="1" t="s">
        <v>32</v>
      </c>
      <c r="AF2247" s="1" t="s">
        <v>33</v>
      </c>
      <c r="AG2247" s="1" t="s">
        <v>270</v>
      </c>
    </row>
    <row r="2248" spans="1:33">
      <c r="A2248" t="s">
        <v>8169</v>
      </c>
      <c r="C2248" t="s">
        <v>8170</v>
      </c>
      <c r="E2248" t="s">
        <v>7413</v>
      </c>
      <c r="F2248" t="s">
        <v>7318</v>
      </c>
      <c r="G2248">
        <v>173.25</v>
      </c>
      <c r="H2248">
        <v>173.25</v>
      </c>
      <c r="I2248" t="s">
        <v>269</v>
      </c>
      <c r="J2248" t="s">
        <v>270</v>
      </c>
      <c r="K2248" t="s">
        <v>31</v>
      </c>
      <c r="L2248" t="s">
        <v>32</v>
      </c>
      <c r="M2248" t="s">
        <v>33</v>
      </c>
      <c r="P2248" s="1" t="s">
        <v>8171</v>
      </c>
      <c r="Q2248" s="1" t="s">
        <v>7413</v>
      </c>
      <c r="R2248" s="1" t="s">
        <v>7413</v>
      </c>
      <c r="S2248" s="1"/>
      <c r="T2248" s="1" t="s">
        <v>8170</v>
      </c>
      <c r="U2248" s="1"/>
      <c r="V2248" s="1">
        <v>173.25</v>
      </c>
      <c r="W2248" s="1">
        <v>173.25</v>
      </c>
      <c r="X2248" s="1" t="s">
        <v>35</v>
      </c>
      <c r="Y2248" s="1">
        <v>173250.0</v>
      </c>
      <c r="Z2248" s="1"/>
      <c r="AA2248" s="1">
        <v>173250.0</v>
      </c>
      <c r="AB2248" s="1"/>
      <c r="AC2248" s="1" t="s">
        <v>36</v>
      </c>
      <c r="AD2248" s="1" t="s">
        <v>8172</v>
      </c>
      <c r="AE2248" s="1" t="s">
        <v>32</v>
      </c>
      <c r="AF2248" s="1" t="s">
        <v>33</v>
      </c>
      <c r="AG2248" s="1" t="s">
        <v>270</v>
      </c>
    </row>
    <row r="2249" spans="1:33">
      <c r="A2249" t="s">
        <v>8173</v>
      </c>
      <c r="C2249" t="s">
        <v>2280</v>
      </c>
      <c r="E2249" t="s">
        <v>7413</v>
      </c>
      <c r="F2249" t="s">
        <v>7318</v>
      </c>
      <c r="G2249">
        <v>1.205</v>
      </c>
      <c r="H2249">
        <v>1.205</v>
      </c>
      <c r="I2249" t="s">
        <v>269</v>
      </c>
      <c r="J2249" t="s">
        <v>270</v>
      </c>
      <c r="K2249" t="s">
        <v>31</v>
      </c>
      <c r="L2249" t="s">
        <v>32</v>
      </c>
      <c r="M2249" t="s">
        <v>33</v>
      </c>
      <c r="P2249" s="1" t="s">
        <v>8174</v>
      </c>
      <c r="Q2249" s="1" t="s">
        <v>7413</v>
      </c>
      <c r="R2249" s="1" t="s">
        <v>7413</v>
      </c>
      <c r="S2249" s="1"/>
      <c r="T2249" s="1" t="s">
        <v>2280</v>
      </c>
      <c r="U2249" s="1"/>
      <c r="V2249" s="1">
        <v>1.205</v>
      </c>
      <c r="W2249" s="1">
        <v>1.205</v>
      </c>
      <c r="X2249" s="1" t="s">
        <v>35</v>
      </c>
      <c r="Y2249" s="1">
        <v>1205800.0</v>
      </c>
      <c r="Z2249" s="1"/>
      <c r="AA2249" s="1">
        <v>1205800.0</v>
      </c>
      <c r="AB2249" s="1"/>
      <c r="AC2249" s="1" t="s">
        <v>36</v>
      </c>
      <c r="AD2249" s="1" t="s">
        <v>8175</v>
      </c>
      <c r="AE2249" s="1" t="s">
        <v>32</v>
      </c>
      <c r="AF2249" s="1" t="s">
        <v>33</v>
      </c>
      <c r="AG2249" s="1" t="s">
        <v>270</v>
      </c>
    </row>
    <row r="2250" spans="1:33">
      <c r="A2250" t="s">
        <v>8176</v>
      </c>
      <c r="B2250" t="s">
        <v>8177</v>
      </c>
      <c r="C2250" t="s">
        <v>172</v>
      </c>
      <c r="E2250" t="s">
        <v>7413</v>
      </c>
      <c r="F2250" t="s">
        <v>7318</v>
      </c>
      <c r="G2250">
        <v>16.99</v>
      </c>
      <c r="H2250">
        <v>16.99</v>
      </c>
      <c r="I2250" t="s">
        <v>173</v>
      </c>
      <c r="J2250" t="s">
        <v>174</v>
      </c>
      <c r="K2250" t="s">
        <v>31</v>
      </c>
      <c r="L2250" t="s">
        <v>32</v>
      </c>
      <c r="M2250" t="s">
        <v>33</v>
      </c>
      <c r="P2250" s="1" t="s">
        <v>8178</v>
      </c>
      <c r="Q2250" s="1" t="s">
        <v>7413</v>
      </c>
      <c r="R2250" s="1" t="s">
        <v>7413</v>
      </c>
      <c r="S2250" s="1"/>
      <c r="T2250" s="1" t="s">
        <v>172</v>
      </c>
      <c r="U2250" s="1"/>
      <c r="V2250" s="1">
        <v>16.99</v>
      </c>
      <c r="W2250" s="1">
        <v>16.99</v>
      </c>
      <c r="X2250" s="1" t="s">
        <v>35</v>
      </c>
      <c r="Y2250" s="1">
        <v>16990.0</v>
      </c>
      <c r="Z2250" s="1"/>
      <c r="AA2250" s="1">
        <v>16990.0</v>
      </c>
      <c r="AB2250" s="1"/>
      <c r="AC2250" s="1" t="s">
        <v>36</v>
      </c>
      <c r="AD2250" s="1" t="s">
        <v>8179</v>
      </c>
      <c r="AE2250" s="1" t="s">
        <v>32</v>
      </c>
      <c r="AF2250" s="1" t="s">
        <v>33</v>
      </c>
      <c r="AG2250" s="1" t="s">
        <v>174</v>
      </c>
    </row>
    <row r="2251" spans="1:33">
      <c r="A2251" t="s">
        <v>8180</v>
      </c>
      <c r="C2251" t="s">
        <v>1739</v>
      </c>
      <c r="E2251" t="s">
        <v>7413</v>
      </c>
      <c r="F2251" t="s">
        <v>7318</v>
      </c>
      <c r="G2251">
        <v>336.0</v>
      </c>
      <c r="H2251">
        <v>336.0</v>
      </c>
      <c r="I2251" t="s">
        <v>2206</v>
      </c>
      <c r="J2251" t="s">
        <v>49</v>
      </c>
      <c r="K2251" t="s">
        <v>31</v>
      </c>
      <c r="L2251" t="s">
        <v>32</v>
      </c>
      <c r="M2251" t="s">
        <v>33</v>
      </c>
      <c r="P2251" s="1" t="s">
        <v>8181</v>
      </c>
      <c r="Q2251" s="1" t="s">
        <v>7413</v>
      </c>
      <c r="R2251" s="1" t="s">
        <v>7413</v>
      </c>
      <c r="S2251" s="1"/>
      <c r="T2251" s="1" t="s">
        <v>1739</v>
      </c>
      <c r="U2251" s="1"/>
      <c r="V2251" s="1">
        <v>336.0</v>
      </c>
      <c r="W2251" s="1">
        <v>336.0</v>
      </c>
      <c r="X2251" s="1" t="s">
        <v>35</v>
      </c>
      <c r="Y2251" s="1">
        <v>336000.0</v>
      </c>
      <c r="Z2251" s="1"/>
      <c r="AA2251" s="1">
        <v>336000.0</v>
      </c>
      <c r="AB2251" s="1"/>
      <c r="AC2251" s="1" t="s">
        <v>36</v>
      </c>
      <c r="AD2251" s="1" t="s">
        <v>8182</v>
      </c>
      <c r="AE2251" s="1" t="s">
        <v>32</v>
      </c>
      <c r="AF2251" s="1" t="s">
        <v>33</v>
      </c>
      <c r="AG2251" s="1" t="s">
        <v>49</v>
      </c>
    </row>
    <row r="2252" spans="1:33">
      <c r="A2252" t="s">
        <v>8183</v>
      </c>
      <c r="C2252" t="s">
        <v>8184</v>
      </c>
      <c r="D2252" t="s">
        <v>154</v>
      </c>
      <c r="E2252" t="s">
        <v>7413</v>
      </c>
      <c r="F2252" t="s">
        <v>7318</v>
      </c>
      <c r="G2252">
        <v>1.061</v>
      </c>
      <c r="H2252">
        <v>1.061</v>
      </c>
      <c r="I2252" t="s">
        <v>269</v>
      </c>
      <c r="J2252" t="s">
        <v>270</v>
      </c>
      <c r="K2252" t="s">
        <v>31</v>
      </c>
      <c r="L2252" t="s">
        <v>32</v>
      </c>
      <c r="M2252" t="s">
        <v>33</v>
      </c>
      <c r="P2252" s="1" t="s">
        <v>8185</v>
      </c>
      <c r="Q2252" s="1" t="s">
        <v>7413</v>
      </c>
      <c r="R2252" s="1" t="s">
        <v>7413</v>
      </c>
      <c r="S2252" s="1"/>
      <c r="T2252" s="1" t="s">
        <v>8186</v>
      </c>
      <c r="U2252" s="1" t="s">
        <v>8187</v>
      </c>
      <c r="V2252" s="1">
        <v>1.061</v>
      </c>
      <c r="W2252" s="1">
        <v>1.061</v>
      </c>
      <c r="X2252" s="1" t="s">
        <v>35</v>
      </c>
      <c r="Y2252" s="1">
        <v>1061600.0</v>
      </c>
      <c r="Z2252" s="1"/>
      <c r="AA2252" s="1">
        <v>1061600.0</v>
      </c>
      <c r="AB2252" s="1"/>
      <c r="AC2252" s="1" t="s">
        <v>36</v>
      </c>
      <c r="AD2252" s="1" t="s">
        <v>8182</v>
      </c>
      <c r="AE2252" s="1" t="s">
        <v>32</v>
      </c>
      <c r="AF2252" s="1" t="s">
        <v>33</v>
      </c>
      <c r="AG2252" s="1" t="s">
        <v>270</v>
      </c>
    </row>
    <row r="2253" spans="1:33">
      <c r="A2253" t="s">
        <v>8188</v>
      </c>
      <c r="B2253" t="s">
        <v>8189</v>
      </c>
      <c r="C2253" t="s">
        <v>73</v>
      </c>
      <c r="E2253" t="s">
        <v>7413</v>
      </c>
      <c r="F2253" t="s">
        <v>8190</v>
      </c>
      <c r="G2253">
        <v>49.48</v>
      </c>
      <c r="H2253">
        <v>49.48</v>
      </c>
      <c r="I2253" t="s">
        <v>40</v>
      </c>
      <c r="J2253" t="s">
        <v>41</v>
      </c>
      <c r="K2253" t="s">
        <v>31</v>
      </c>
      <c r="L2253" t="s">
        <v>32</v>
      </c>
      <c r="M2253" t="s">
        <v>33</v>
      </c>
      <c r="P2253" s="1" t="s">
        <v>8191</v>
      </c>
      <c r="Q2253" s="1" t="s">
        <v>7413</v>
      </c>
      <c r="R2253" s="1" t="s">
        <v>6700</v>
      </c>
      <c r="S2253" s="1"/>
      <c r="T2253" s="1" t="s">
        <v>75</v>
      </c>
      <c r="U2253" s="1" t="s">
        <v>76</v>
      </c>
      <c r="V2253" s="1">
        <v>49.48</v>
      </c>
      <c r="W2253" s="1">
        <v>49.48</v>
      </c>
      <c r="X2253" s="1" t="s">
        <v>35</v>
      </c>
      <c r="Y2253" s="1">
        <v>49500.0</v>
      </c>
      <c r="Z2253" s="1">
        <v>-20</v>
      </c>
      <c r="AA2253" s="1">
        <v>49500.0</v>
      </c>
      <c r="AB2253" s="1">
        <v>-20</v>
      </c>
      <c r="AC2253" s="1" t="s">
        <v>36</v>
      </c>
      <c r="AD2253" s="1" t="s">
        <v>8192</v>
      </c>
      <c r="AE2253" s="1" t="s">
        <v>32</v>
      </c>
      <c r="AF2253" s="1" t="s">
        <v>33</v>
      </c>
      <c r="AG2253" s="1" t="s">
        <v>41</v>
      </c>
    </row>
    <row r="2254" spans="1:33">
      <c r="A2254" t="s">
        <v>8193</v>
      </c>
      <c r="C2254" t="s">
        <v>2284</v>
      </c>
      <c r="E2254" t="s">
        <v>7413</v>
      </c>
      <c r="F2254" t="s">
        <v>7318</v>
      </c>
      <c r="G2254">
        <v>1.148</v>
      </c>
      <c r="H2254">
        <v>1.148</v>
      </c>
      <c r="I2254" t="s">
        <v>269</v>
      </c>
      <c r="J2254" t="s">
        <v>270</v>
      </c>
      <c r="K2254" t="s">
        <v>31</v>
      </c>
      <c r="L2254" t="s">
        <v>32</v>
      </c>
      <c r="M2254" t="s">
        <v>33</v>
      </c>
      <c r="P2254" s="1" t="s">
        <v>8194</v>
      </c>
      <c r="Q2254" s="1" t="s">
        <v>7413</v>
      </c>
      <c r="R2254" s="1" t="s">
        <v>7413</v>
      </c>
      <c r="S2254" s="1"/>
      <c r="T2254" s="1" t="s">
        <v>2284</v>
      </c>
      <c r="U2254" s="1"/>
      <c r="V2254" s="1">
        <v>1.148</v>
      </c>
      <c r="W2254" s="1">
        <v>1.148</v>
      </c>
      <c r="X2254" s="1" t="s">
        <v>35</v>
      </c>
      <c r="Y2254" s="1">
        <v>1148000.0</v>
      </c>
      <c r="Z2254" s="1"/>
      <c r="AA2254" s="1">
        <v>1148000.0</v>
      </c>
      <c r="AB2254" s="1"/>
      <c r="AC2254" s="1" t="s">
        <v>36</v>
      </c>
      <c r="AD2254" s="1" t="s">
        <v>8192</v>
      </c>
      <c r="AE2254" s="1" t="s">
        <v>32</v>
      </c>
      <c r="AF2254" s="1" t="s">
        <v>33</v>
      </c>
      <c r="AG2254" s="1" t="s">
        <v>270</v>
      </c>
    </row>
    <row r="2255" spans="1:33">
      <c r="A2255" t="s">
        <v>8195</v>
      </c>
      <c r="C2255" t="s">
        <v>8196</v>
      </c>
      <c r="E2255" t="s">
        <v>7413</v>
      </c>
      <c r="F2255" t="s">
        <v>7318</v>
      </c>
      <c r="G2255">
        <v>851.9</v>
      </c>
      <c r="H2255">
        <v>851.9</v>
      </c>
      <c r="I2255" t="s">
        <v>136</v>
      </c>
      <c r="J2255" t="s">
        <v>137</v>
      </c>
      <c r="K2255" t="s">
        <v>31</v>
      </c>
      <c r="L2255" t="s">
        <v>32</v>
      </c>
      <c r="M2255" t="s">
        <v>33</v>
      </c>
      <c r="P2255" s="1" t="s">
        <v>8197</v>
      </c>
      <c r="Q2255" s="1" t="s">
        <v>7413</v>
      </c>
      <c r="R2255" s="1" t="s">
        <v>7413</v>
      </c>
      <c r="S2255" s="1"/>
      <c r="T2255" s="1" t="s">
        <v>8196</v>
      </c>
      <c r="U2255" s="1"/>
      <c r="V2255" s="1">
        <v>851.9</v>
      </c>
      <c r="W2255" s="1">
        <v>851.9</v>
      </c>
      <c r="X2255" s="1" t="s">
        <v>35</v>
      </c>
      <c r="Y2255" s="1">
        <v>851900.0</v>
      </c>
      <c r="Z2255" s="1"/>
      <c r="AA2255" s="1">
        <v>851900.0</v>
      </c>
      <c r="AB2255" s="1"/>
      <c r="AC2255" s="1" t="s">
        <v>36</v>
      </c>
      <c r="AD2255" s="1" t="s">
        <v>8198</v>
      </c>
      <c r="AE2255" s="1" t="s">
        <v>32</v>
      </c>
      <c r="AF2255" s="1" t="s">
        <v>33</v>
      </c>
      <c r="AG2255" s="1" t="s">
        <v>137</v>
      </c>
    </row>
    <row r="2256" spans="1:33">
      <c r="A2256" t="s">
        <v>8199</v>
      </c>
      <c r="B2256" t="s">
        <v>8200</v>
      </c>
      <c r="C2256" t="s">
        <v>47</v>
      </c>
      <c r="E2256" t="s">
        <v>7413</v>
      </c>
      <c r="F2256" t="s">
        <v>7318</v>
      </c>
      <c r="G2256">
        <v>11.777</v>
      </c>
      <c r="H2256">
        <v>11.777</v>
      </c>
      <c r="I2256" t="s">
        <v>2206</v>
      </c>
      <c r="J2256" t="s">
        <v>49</v>
      </c>
      <c r="K2256" t="s">
        <v>31</v>
      </c>
      <c r="L2256" t="s">
        <v>32</v>
      </c>
      <c r="M2256" t="s">
        <v>33</v>
      </c>
      <c r="P2256" s="1" t="s">
        <v>8201</v>
      </c>
      <c r="Q2256" s="1" t="s">
        <v>7413</v>
      </c>
      <c r="R2256" s="1" t="s">
        <v>7413</v>
      </c>
      <c r="S2256" s="1"/>
      <c r="T2256" s="1" t="s">
        <v>47</v>
      </c>
      <c r="U2256" s="1"/>
      <c r="V2256" s="1">
        <v>11.777</v>
      </c>
      <c r="W2256" s="1">
        <v>11.777</v>
      </c>
      <c r="X2256" s="1" t="s">
        <v>35</v>
      </c>
      <c r="Y2256" s="1">
        <v>11777.0</v>
      </c>
      <c r="Z2256" s="1"/>
      <c r="AA2256" s="1">
        <v>11777.0</v>
      </c>
      <c r="AB2256" s="1"/>
      <c r="AC2256" s="1" t="s">
        <v>36</v>
      </c>
      <c r="AD2256" s="1" t="s">
        <v>8202</v>
      </c>
      <c r="AE2256" s="1" t="s">
        <v>32</v>
      </c>
      <c r="AF2256" s="1" t="s">
        <v>33</v>
      </c>
      <c r="AG2256" s="1" t="s">
        <v>49</v>
      </c>
    </row>
    <row r="2257" spans="1:33">
      <c r="A2257" t="s">
        <v>8203</v>
      </c>
      <c r="B2257" t="s">
        <v>8204</v>
      </c>
      <c r="C2257" t="s">
        <v>47</v>
      </c>
      <c r="E2257" t="s">
        <v>7413</v>
      </c>
      <c r="F2257" t="s">
        <v>7318</v>
      </c>
      <c r="G2257">
        <v>121.446</v>
      </c>
      <c r="H2257">
        <v>121.446</v>
      </c>
      <c r="I2257" t="s">
        <v>2206</v>
      </c>
      <c r="J2257" t="s">
        <v>49</v>
      </c>
      <c r="K2257" t="s">
        <v>31</v>
      </c>
      <c r="L2257" t="s">
        <v>32</v>
      </c>
      <c r="M2257" t="s">
        <v>33</v>
      </c>
      <c r="P2257" s="1" t="s">
        <v>8205</v>
      </c>
      <c r="Q2257" s="1" t="s">
        <v>7413</v>
      </c>
      <c r="R2257" s="1" t="s">
        <v>7413</v>
      </c>
      <c r="S2257" s="1"/>
      <c r="T2257" s="1" t="s">
        <v>47</v>
      </c>
      <c r="U2257" s="1"/>
      <c r="V2257" s="1">
        <v>121.446</v>
      </c>
      <c r="W2257" s="1">
        <v>121.446</v>
      </c>
      <c r="X2257" s="1" t="s">
        <v>35</v>
      </c>
      <c r="Y2257" s="1">
        <v>121446.0</v>
      </c>
      <c r="Z2257" s="1"/>
      <c r="AA2257" s="1">
        <v>121446.0</v>
      </c>
      <c r="AB2257" s="1"/>
      <c r="AC2257" s="1" t="s">
        <v>36</v>
      </c>
      <c r="AD2257" s="1" t="s">
        <v>8206</v>
      </c>
      <c r="AE2257" s="1" t="s">
        <v>32</v>
      </c>
      <c r="AF2257" s="1" t="s">
        <v>33</v>
      </c>
      <c r="AG2257" s="1" t="s">
        <v>49</v>
      </c>
    </row>
    <row r="2258" spans="1:33">
      <c r="A2258" t="s">
        <v>8207</v>
      </c>
      <c r="C2258" t="s">
        <v>8208</v>
      </c>
      <c r="E2258" t="s">
        <v>7413</v>
      </c>
      <c r="F2258" t="s">
        <v>7318</v>
      </c>
      <c r="G2258">
        <v>1.61</v>
      </c>
      <c r="H2258">
        <v>1.61</v>
      </c>
      <c r="I2258" t="s">
        <v>269</v>
      </c>
      <c r="J2258" t="s">
        <v>270</v>
      </c>
      <c r="K2258" t="s">
        <v>31</v>
      </c>
      <c r="L2258" t="s">
        <v>32</v>
      </c>
      <c r="M2258" t="s">
        <v>33</v>
      </c>
      <c r="P2258" s="1" t="s">
        <v>8209</v>
      </c>
      <c r="Q2258" s="1" t="s">
        <v>7413</v>
      </c>
      <c r="R2258" s="1" t="s">
        <v>7413</v>
      </c>
      <c r="S2258" s="1"/>
      <c r="T2258" s="1" t="s">
        <v>8208</v>
      </c>
      <c r="U2258" s="1"/>
      <c r="V2258" s="1">
        <v>1.61</v>
      </c>
      <c r="W2258" s="1">
        <v>1.61</v>
      </c>
      <c r="X2258" s="1" t="s">
        <v>35</v>
      </c>
      <c r="Y2258" s="1">
        <v>1610000.0</v>
      </c>
      <c r="Z2258" s="1"/>
      <c r="AA2258" s="1">
        <v>1610000.0</v>
      </c>
      <c r="AB2258" s="1"/>
      <c r="AC2258" s="1" t="s">
        <v>36</v>
      </c>
      <c r="AD2258" s="1" t="s">
        <v>8210</v>
      </c>
      <c r="AE2258" s="1" t="s">
        <v>32</v>
      </c>
      <c r="AF2258" s="1" t="s">
        <v>33</v>
      </c>
      <c r="AG2258" s="1" t="s">
        <v>270</v>
      </c>
    </row>
    <row r="2259" spans="1:33">
      <c r="A2259" t="s">
        <v>8211</v>
      </c>
      <c r="B2259" t="s">
        <v>8212</v>
      </c>
      <c r="C2259" t="s">
        <v>268</v>
      </c>
      <c r="E2259" t="s">
        <v>7413</v>
      </c>
      <c r="F2259" t="s">
        <v>7318</v>
      </c>
      <c r="G2259">
        <v>50.7</v>
      </c>
      <c r="H2259">
        <v>50.7</v>
      </c>
      <c r="I2259" t="s">
        <v>269</v>
      </c>
      <c r="J2259" t="s">
        <v>270</v>
      </c>
      <c r="K2259" t="s">
        <v>31</v>
      </c>
      <c r="L2259" t="s">
        <v>32</v>
      </c>
      <c r="M2259" t="s">
        <v>33</v>
      </c>
      <c r="P2259" s="1" t="s">
        <v>8213</v>
      </c>
      <c r="Q2259" s="1" t="s">
        <v>7413</v>
      </c>
      <c r="R2259" s="1" t="s">
        <v>7413</v>
      </c>
      <c r="S2259" s="1"/>
      <c r="T2259" s="1" t="s">
        <v>268</v>
      </c>
      <c r="U2259" s="1"/>
      <c r="V2259" s="1">
        <v>50.7</v>
      </c>
      <c r="W2259" s="1">
        <v>50.7</v>
      </c>
      <c r="X2259" s="1" t="s">
        <v>35</v>
      </c>
      <c r="Y2259" s="1">
        <v>50700.0</v>
      </c>
      <c r="Z2259" s="1"/>
      <c r="AA2259" s="1">
        <v>50700.0</v>
      </c>
      <c r="AB2259" s="1"/>
      <c r="AC2259" s="1" t="s">
        <v>36</v>
      </c>
      <c r="AD2259" s="1" t="s">
        <v>8214</v>
      </c>
      <c r="AE2259" s="1" t="s">
        <v>32</v>
      </c>
      <c r="AF2259" s="1" t="s">
        <v>33</v>
      </c>
      <c r="AG2259" s="1" t="s">
        <v>270</v>
      </c>
    </row>
    <row r="2260" spans="1:33">
      <c r="A2260" t="s">
        <v>8215</v>
      </c>
      <c r="C2260" t="s">
        <v>1522</v>
      </c>
      <c r="E2260" t="s">
        <v>7413</v>
      </c>
      <c r="F2260" t="s">
        <v>7318</v>
      </c>
      <c r="G2260">
        <v>1.334</v>
      </c>
      <c r="H2260">
        <v>1.334</v>
      </c>
      <c r="I2260" t="s">
        <v>227</v>
      </c>
      <c r="J2260" t="s">
        <v>228</v>
      </c>
      <c r="K2260" t="s">
        <v>31</v>
      </c>
      <c r="L2260" t="s">
        <v>32</v>
      </c>
      <c r="M2260" t="s">
        <v>33</v>
      </c>
      <c r="P2260" s="1" t="s">
        <v>8216</v>
      </c>
      <c r="Q2260" s="1" t="s">
        <v>7413</v>
      </c>
      <c r="R2260" s="1" t="s">
        <v>7413</v>
      </c>
      <c r="S2260" s="1"/>
      <c r="T2260" s="1" t="s">
        <v>1522</v>
      </c>
      <c r="U2260" s="1"/>
      <c r="V2260" s="1">
        <v>1.334</v>
      </c>
      <c r="W2260" s="1">
        <v>1.334</v>
      </c>
      <c r="X2260" s="1" t="s">
        <v>35</v>
      </c>
      <c r="Y2260" s="1">
        <v>1334200.0</v>
      </c>
      <c r="Z2260" s="1"/>
      <c r="AA2260" s="1">
        <v>1334200.0</v>
      </c>
      <c r="AB2260" s="1"/>
      <c r="AC2260" s="1" t="s">
        <v>36</v>
      </c>
      <c r="AD2260" s="1" t="s">
        <v>8214</v>
      </c>
      <c r="AE2260" s="1" t="s">
        <v>32</v>
      </c>
      <c r="AF2260" s="1" t="s">
        <v>33</v>
      </c>
      <c r="AG2260" s="1" t="s">
        <v>228</v>
      </c>
    </row>
    <row r="2261" spans="1:33">
      <c r="A2261" t="s">
        <v>8217</v>
      </c>
      <c r="B2261" t="s">
        <v>8218</v>
      </c>
      <c r="C2261" t="s">
        <v>314</v>
      </c>
      <c r="E2261" t="s">
        <v>7413</v>
      </c>
      <c r="F2261" t="s">
        <v>7318</v>
      </c>
      <c r="G2261">
        <v>40.98</v>
      </c>
      <c r="H2261">
        <v>40.98</v>
      </c>
      <c r="I2261" t="s">
        <v>179</v>
      </c>
      <c r="J2261" t="s">
        <v>180</v>
      </c>
      <c r="K2261" t="s">
        <v>31</v>
      </c>
      <c r="L2261" t="s">
        <v>32</v>
      </c>
      <c r="M2261" t="s">
        <v>33</v>
      </c>
      <c r="P2261" s="1" t="s">
        <v>8219</v>
      </c>
      <c r="Q2261" s="1" t="s">
        <v>7413</v>
      </c>
      <c r="R2261" s="1" t="s">
        <v>7413</v>
      </c>
      <c r="S2261" s="1"/>
      <c r="T2261" s="1" t="s">
        <v>314</v>
      </c>
      <c r="U2261" s="1"/>
      <c r="V2261" s="1">
        <v>40.98</v>
      </c>
      <c r="W2261" s="1">
        <v>40.98</v>
      </c>
      <c r="X2261" s="1" t="s">
        <v>35</v>
      </c>
      <c r="Y2261" s="1">
        <v>40980.0</v>
      </c>
      <c r="Z2261" s="1"/>
      <c r="AA2261" s="1">
        <v>40980.0</v>
      </c>
      <c r="AB2261" s="1"/>
      <c r="AC2261" s="1" t="s">
        <v>36</v>
      </c>
      <c r="AD2261" s="1" t="s">
        <v>8220</v>
      </c>
      <c r="AE2261" s="1" t="s">
        <v>32</v>
      </c>
      <c r="AF2261" s="1" t="s">
        <v>33</v>
      </c>
      <c r="AG2261" s="1" t="s">
        <v>180</v>
      </c>
    </row>
    <row r="2262" spans="1:33">
      <c r="A2262" t="s">
        <v>8221</v>
      </c>
      <c r="C2262" t="s">
        <v>2240</v>
      </c>
      <c r="E2262" t="s">
        <v>7413</v>
      </c>
      <c r="F2262" t="s">
        <v>7318</v>
      </c>
      <c r="G2262">
        <v>488.35</v>
      </c>
      <c r="H2262">
        <v>488.35</v>
      </c>
      <c r="I2262" t="s">
        <v>269</v>
      </c>
      <c r="J2262" t="s">
        <v>270</v>
      </c>
      <c r="K2262" t="s">
        <v>31</v>
      </c>
      <c r="L2262" t="s">
        <v>32</v>
      </c>
      <c r="M2262" t="s">
        <v>33</v>
      </c>
      <c r="P2262" s="1" t="s">
        <v>8222</v>
      </c>
      <c r="Q2262" s="1" t="s">
        <v>7413</v>
      </c>
      <c r="R2262" s="1" t="s">
        <v>7413</v>
      </c>
      <c r="S2262" s="1"/>
      <c r="T2262" s="1" t="s">
        <v>2240</v>
      </c>
      <c r="U2262" s="1"/>
      <c r="V2262" s="1">
        <v>488.35</v>
      </c>
      <c r="W2262" s="1">
        <v>488.35</v>
      </c>
      <c r="X2262" s="1" t="s">
        <v>35</v>
      </c>
      <c r="Y2262" s="1">
        <v>488350.0</v>
      </c>
      <c r="Z2262" s="1"/>
      <c r="AA2262" s="1">
        <v>488350.0</v>
      </c>
      <c r="AB2262" s="1"/>
      <c r="AC2262" s="1" t="s">
        <v>36</v>
      </c>
      <c r="AD2262" s="1" t="s">
        <v>8223</v>
      </c>
      <c r="AE2262" s="1" t="s">
        <v>32</v>
      </c>
      <c r="AF2262" s="1" t="s">
        <v>33</v>
      </c>
      <c r="AG2262" s="1" t="s">
        <v>270</v>
      </c>
    </row>
    <row r="2263" spans="1:33">
      <c r="A2263" t="s">
        <v>8224</v>
      </c>
      <c r="B2263" t="s">
        <v>8225</v>
      </c>
      <c r="C2263" t="s">
        <v>131</v>
      </c>
      <c r="E2263" t="s">
        <v>8226</v>
      </c>
      <c r="F2263" t="s">
        <v>8190</v>
      </c>
      <c r="G2263">
        <v>512.13</v>
      </c>
      <c r="H2263">
        <v>512.13</v>
      </c>
      <c r="I2263" t="s">
        <v>94</v>
      </c>
      <c r="J2263" t="s">
        <v>95</v>
      </c>
      <c r="K2263" t="s">
        <v>31</v>
      </c>
      <c r="L2263" t="s">
        <v>32</v>
      </c>
      <c r="M2263" t="s">
        <v>33</v>
      </c>
      <c r="P2263" s="1" t="s">
        <v>8227</v>
      </c>
      <c r="Q2263" s="1" t="s">
        <v>8226</v>
      </c>
      <c r="R2263" s="1" t="s">
        <v>8226</v>
      </c>
      <c r="S2263" s="1"/>
      <c r="T2263" s="1" t="s">
        <v>131</v>
      </c>
      <c r="U2263" s="1"/>
      <c r="V2263" s="1">
        <v>512.13</v>
      </c>
      <c r="W2263" s="1">
        <v>512.13</v>
      </c>
      <c r="X2263" s="1" t="s">
        <v>35</v>
      </c>
      <c r="Y2263" s="1">
        <v>512130.0</v>
      </c>
      <c r="Z2263" s="1"/>
      <c r="AA2263" s="1">
        <v>512130.0</v>
      </c>
      <c r="AB2263" s="1"/>
      <c r="AC2263" s="1" t="s">
        <v>36</v>
      </c>
      <c r="AD2263" s="1" t="s">
        <v>8039</v>
      </c>
      <c r="AE2263" s="1" t="s">
        <v>32</v>
      </c>
      <c r="AF2263" s="1" t="s">
        <v>33</v>
      </c>
      <c r="AG2263" s="1" t="s">
        <v>95</v>
      </c>
    </row>
    <row r="2264" spans="1:33">
      <c r="A2264" t="s">
        <v>8228</v>
      </c>
      <c r="B2264" t="s">
        <v>4178</v>
      </c>
      <c r="C2264" t="s">
        <v>4179</v>
      </c>
      <c r="E2264" t="s">
        <v>8226</v>
      </c>
      <c r="F2264" t="s">
        <v>8190</v>
      </c>
      <c r="G2264">
        <v>328.0</v>
      </c>
      <c r="H2264">
        <v>328.0</v>
      </c>
      <c r="I2264" t="s">
        <v>529</v>
      </c>
      <c r="J2264" t="s">
        <v>530</v>
      </c>
      <c r="K2264" t="s">
        <v>31</v>
      </c>
      <c r="L2264" t="s">
        <v>32</v>
      </c>
      <c r="M2264" t="s">
        <v>33</v>
      </c>
      <c r="P2264" s="1" t="s">
        <v>8229</v>
      </c>
      <c r="Q2264" s="1" t="s">
        <v>8226</v>
      </c>
      <c r="R2264" s="1" t="s">
        <v>7413</v>
      </c>
      <c r="S2264" s="1"/>
      <c r="T2264" s="1" t="s">
        <v>4179</v>
      </c>
      <c r="U2264" s="1"/>
      <c r="V2264" s="1">
        <v>328.0</v>
      </c>
      <c r="W2264" s="1">
        <v>328.0</v>
      </c>
      <c r="X2264" s="1" t="s">
        <v>35</v>
      </c>
      <c r="Y2264" s="1">
        <v>328000.0</v>
      </c>
      <c r="Z2264" s="1"/>
      <c r="AA2264" s="1">
        <v>328000.0</v>
      </c>
      <c r="AB2264" s="1"/>
      <c r="AC2264" s="1" t="s">
        <v>36</v>
      </c>
      <c r="AD2264" s="1" t="s">
        <v>8230</v>
      </c>
      <c r="AE2264" s="1" t="s">
        <v>32</v>
      </c>
      <c r="AF2264" s="1" t="s">
        <v>33</v>
      </c>
      <c r="AG2264" s="1" t="s">
        <v>530</v>
      </c>
    </row>
    <row r="2265" spans="1:33">
      <c r="A2265" t="s">
        <v>8231</v>
      </c>
      <c r="C2265" t="s">
        <v>1732</v>
      </c>
      <c r="E2265" t="s">
        <v>8226</v>
      </c>
      <c r="F2265" t="s">
        <v>8190</v>
      </c>
      <c r="G2265">
        <v>40.0</v>
      </c>
      <c r="H2265">
        <v>40.0</v>
      </c>
      <c r="I2265" t="s">
        <v>94</v>
      </c>
      <c r="J2265" t="s">
        <v>95</v>
      </c>
      <c r="K2265" t="s">
        <v>31</v>
      </c>
      <c r="L2265" t="s">
        <v>32</v>
      </c>
      <c r="M2265" t="s">
        <v>33</v>
      </c>
      <c r="P2265" s="1" t="s">
        <v>8232</v>
      </c>
      <c r="Q2265" s="1" t="s">
        <v>8226</v>
      </c>
      <c r="R2265" s="1" t="s">
        <v>8226</v>
      </c>
      <c r="S2265" s="1"/>
      <c r="T2265" s="1" t="s">
        <v>1732</v>
      </c>
      <c r="U2265" s="1"/>
      <c r="V2265" s="1">
        <v>40.0</v>
      </c>
      <c r="W2265" s="1">
        <v>40.0</v>
      </c>
      <c r="X2265" s="1" t="s">
        <v>35</v>
      </c>
      <c r="Y2265" s="1">
        <v>40000.0</v>
      </c>
      <c r="Z2265" s="1"/>
      <c r="AA2265" s="1">
        <v>40000.0</v>
      </c>
      <c r="AB2265" s="1"/>
      <c r="AC2265" s="1" t="s">
        <v>36</v>
      </c>
      <c r="AD2265" s="1" t="s">
        <v>8233</v>
      </c>
      <c r="AE2265" s="1" t="s">
        <v>32</v>
      </c>
      <c r="AF2265" s="1" t="s">
        <v>33</v>
      </c>
      <c r="AG2265" s="1" t="s">
        <v>95</v>
      </c>
    </row>
    <row r="2266" spans="1:33">
      <c r="A2266" t="s">
        <v>8234</v>
      </c>
      <c r="C2266" t="s">
        <v>1016</v>
      </c>
      <c r="E2266" t="s">
        <v>8226</v>
      </c>
      <c r="F2266" t="s">
        <v>8190</v>
      </c>
      <c r="G2266">
        <v>174.0</v>
      </c>
      <c r="H2266">
        <v>174.0</v>
      </c>
      <c r="I2266" t="s">
        <v>40</v>
      </c>
      <c r="J2266" t="s">
        <v>41</v>
      </c>
      <c r="K2266" t="s">
        <v>31</v>
      </c>
      <c r="L2266" t="s">
        <v>32</v>
      </c>
      <c r="M2266" t="s">
        <v>33</v>
      </c>
      <c r="P2266" s="1" t="s">
        <v>8235</v>
      </c>
      <c r="Q2266" s="1" t="s">
        <v>8226</v>
      </c>
      <c r="R2266" s="1" t="s">
        <v>7413</v>
      </c>
      <c r="S2266" s="1"/>
      <c r="T2266" s="1" t="s">
        <v>1016</v>
      </c>
      <c r="U2266" s="1"/>
      <c r="V2266" s="1">
        <v>174.0</v>
      </c>
      <c r="W2266" s="1">
        <v>174.0</v>
      </c>
      <c r="X2266" s="1" t="s">
        <v>35</v>
      </c>
      <c r="Y2266" s="1">
        <v>174000.0</v>
      </c>
      <c r="Z2266" s="1"/>
      <c r="AA2266" s="1">
        <v>174000.0</v>
      </c>
      <c r="AB2266" s="1"/>
      <c r="AC2266" s="1" t="s">
        <v>36</v>
      </c>
      <c r="AD2266" s="1" t="s">
        <v>8236</v>
      </c>
      <c r="AE2266" s="1" t="s">
        <v>32</v>
      </c>
      <c r="AF2266" s="1" t="s">
        <v>33</v>
      </c>
      <c r="AG2266" s="1" t="s">
        <v>41</v>
      </c>
    </row>
    <row r="2267" spans="1:33">
      <c r="A2267" t="s">
        <v>8237</v>
      </c>
      <c r="B2267" t="s">
        <v>8238</v>
      </c>
      <c r="C2267" t="s">
        <v>73</v>
      </c>
      <c r="E2267" t="s">
        <v>8226</v>
      </c>
      <c r="F2267" t="s">
        <v>8190</v>
      </c>
      <c r="G2267">
        <v>15.015</v>
      </c>
      <c r="H2267">
        <v>15.015</v>
      </c>
      <c r="I2267" t="s">
        <v>40</v>
      </c>
      <c r="J2267" t="s">
        <v>41</v>
      </c>
      <c r="K2267" t="s">
        <v>31</v>
      </c>
      <c r="L2267" t="s">
        <v>32</v>
      </c>
      <c r="M2267" t="s">
        <v>33</v>
      </c>
      <c r="P2267" s="1" t="s">
        <v>8239</v>
      </c>
      <c r="Q2267" s="1" t="s">
        <v>8226</v>
      </c>
      <c r="R2267" s="1" t="s">
        <v>7413</v>
      </c>
      <c r="S2267" s="1"/>
      <c r="T2267" s="1" t="s">
        <v>75</v>
      </c>
      <c r="U2267" s="1" t="s">
        <v>76</v>
      </c>
      <c r="V2267" s="1">
        <v>15.015</v>
      </c>
      <c r="W2267" s="1">
        <v>15.015</v>
      </c>
      <c r="X2267" s="1" t="s">
        <v>35</v>
      </c>
      <c r="Y2267" s="1">
        <v>15015.0</v>
      </c>
      <c r="Z2267" s="1"/>
      <c r="AA2267" s="1">
        <v>15015.0</v>
      </c>
      <c r="AB2267" s="1"/>
      <c r="AC2267" s="1" t="s">
        <v>36</v>
      </c>
      <c r="AD2267" s="1" t="s">
        <v>8240</v>
      </c>
      <c r="AE2267" s="1" t="s">
        <v>32</v>
      </c>
      <c r="AF2267" s="1" t="s">
        <v>33</v>
      </c>
      <c r="AG2267" s="1" t="s">
        <v>41</v>
      </c>
    </row>
    <row r="2268" spans="1:33">
      <c r="A2268" t="s">
        <v>8241</v>
      </c>
      <c r="B2268" t="s">
        <v>8242</v>
      </c>
      <c r="C2268" t="s">
        <v>125</v>
      </c>
      <c r="E2268" t="s">
        <v>8226</v>
      </c>
      <c r="F2268" t="s">
        <v>8190</v>
      </c>
      <c r="G2268">
        <v>41.98</v>
      </c>
      <c r="H2268">
        <v>41.98</v>
      </c>
      <c r="I2268" t="s">
        <v>126</v>
      </c>
      <c r="J2268" t="s">
        <v>127</v>
      </c>
      <c r="K2268" t="s">
        <v>31</v>
      </c>
      <c r="L2268" t="s">
        <v>32</v>
      </c>
      <c r="M2268" t="s">
        <v>33</v>
      </c>
      <c r="P2268" s="1" t="s">
        <v>8243</v>
      </c>
      <c r="Q2268" s="1" t="s">
        <v>8226</v>
      </c>
      <c r="R2268" s="1" t="s">
        <v>8226</v>
      </c>
      <c r="S2268" s="1"/>
      <c r="T2268" s="1" t="s">
        <v>125</v>
      </c>
      <c r="U2268" s="1"/>
      <c r="V2268" s="1">
        <v>41.98</v>
      </c>
      <c r="W2268" s="1">
        <v>41.98</v>
      </c>
      <c r="X2268" s="1" t="s">
        <v>35</v>
      </c>
      <c r="Y2268" s="1">
        <v>41980.0</v>
      </c>
      <c r="Z2268" s="1"/>
      <c r="AA2268" s="1">
        <v>41980.0</v>
      </c>
      <c r="AB2268" s="1"/>
      <c r="AC2268" s="1" t="s">
        <v>36</v>
      </c>
      <c r="AD2268" s="1" t="s">
        <v>8244</v>
      </c>
      <c r="AE2268" s="1" t="s">
        <v>32</v>
      </c>
      <c r="AF2268" s="1" t="s">
        <v>33</v>
      </c>
      <c r="AG2268" s="1" t="s">
        <v>127</v>
      </c>
    </row>
    <row r="2269" spans="1:33">
      <c r="A2269" t="s">
        <v>8245</v>
      </c>
      <c r="C2269" t="s">
        <v>153</v>
      </c>
      <c r="D2269" t="s">
        <v>154</v>
      </c>
      <c r="E2269" t="s">
        <v>8226</v>
      </c>
      <c r="F2269" t="s">
        <v>8190</v>
      </c>
      <c r="G2269">
        <v>1.397</v>
      </c>
      <c r="H2269">
        <v>1.397</v>
      </c>
      <c r="I2269" t="s">
        <v>2206</v>
      </c>
      <c r="J2269" t="s">
        <v>49</v>
      </c>
      <c r="K2269" t="s">
        <v>31</v>
      </c>
      <c r="L2269" t="s">
        <v>32</v>
      </c>
      <c r="M2269" t="s">
        <v>33</v>
      </c>
      <c r="P2269" s="1" t="s">
        <v>8246</v>
      </c>
      <c r="Q2269" s="1" t="s">
        <v>8226</v>
      </c>
      <c r="R2269" s="1" t="s">
        <v>8226</v>
      </c>
      <c r="S2269" s="1"/>
      <c r="T2269" s="1" t="s">
        <v>156</v>
      </c>
      <c r="U2269" s="1" t="s">
        <v>157</v>
      </c>
      <c r="V2269" s="1">
        <v>1.397</v>
      </c>
      <c r="W2269" s="1">
        <v>1.397</v>
      </c>
      <c r="X2269" s="1" t="s">
        <v>35</v>
      </c>
      <c r="Y2269" s="1">
        <v>1397000.0</v>
      </c>
      <c r="Z2269" s="1"/>
      <c r="AA2269" s="1">
        <v>1397000.0</v>
      </c>
      <c r="AB2269" s="1"/>
      <c r="AC2269" s="1" t="s">
        <v>36</v>
      </c>
      <c r="AD2269" s="1" t="s">
        <v>8247</v>
      </c>
      <c r="AE2269" s="1" t="s">
        <v>32</v>
      </c>
      <c r="AF2269" s="1" t="s">
        <v>33</v>
      </c>
      <c r="AG2269" s="1" t="s">
        <v>49</v>
      </c>
    </row>
    <row r="2270" spans="1:33">
      <c r="A2270" t="s">
        <v>8248</v>
      </c>
      <c r="C2270" t="s">
        <v>131</v>
      </c>
      <c r="E2270" t="s">
        <v>8226</v>
      </c>
      <c r="F2270" t="s">
        <v>8190</v>
      </c>
      <c r="G2270">
        <v>40.49</v>
      </c>
      <c r="H2270">
        <v>40.49</v>
      </c>
      <c r="I2270" t="s">
        <v>94</v>
      </c>
      <c r="J2270" t="s">
        <v>95</v>
      </c>
      <c r="K2270" t="s">
        <v>31</v>
      </c>
      <c r="L2270" t="s">
        <v>32</v>
      </c>
      <c r="M2270" t="s">
        <v>33</v>
      </c>
      <c r="P2270" s="1" t="s">
        <v>8249</v>
      </c>
      <c r="Q2270" s="1" t="s">
        <v>8226</v>
      </c>
      <c r="R2270" s="1" t="s">
        <v>8226</v>
      </c>
      <c r="S2270" s="1"/>
      <c r="T2270" s="1" t="s">
        <v>131</v>
      </c>
      <c r="U2270" s="1"/>
      <c r="V2270" s="1">
        <v>40.49</v>
      </c>
      <c r="W2270" s="1">
        <v>40.49</v>
      </c>
      <c r="X2270" s="1" t="s">
        <v>35</v>
      </c>
      <c r="Y2270" s="1">
        <v>40490.0</v>
      </c>
      <c r="Z2270" s="1"/>
      <c r="AA2270" s="1">
        <v>40490.0</v>
      </c>
      <c r="AB2270" s="1"/>
      <c r="AC2270" s="1" t="s">
        <v>36</v>
      </c>
      <c r="AD2270" s="1" t="s">
        <v>8250</v>
      </c>
      <c r="AE2270" s="1" t="s">
        <v>32</v>
      </c>
      <c r="AF2270" s="1" t="s">
        <v>33</v>
      </c>
      <c r="AG2270" s="1" t="s">
        <v>95</v>
      </c>
    </row>
    <row r="2271" spans="1:33">
      <c r="A2271" t="s">
        <v>8251</v>
      </c>
      <c r="C2271" t="s">
        <v>5580</v>
      </c>
      <c r="E2271" t="s">
        <v>8226</v>
      </c>
      <c r="F2271" t="s">
        <v>8190</v>
      </c>
      <c r="G2271">
        <v>676.0</v>
      </c>
      <c r="H2271">
        <v>676.0</v>
      </c>
      <c r="I2271" t="s">
        <v>94</v>
      </c>
      <c r="J2271" t="s">
        <v>95</v>
      </c>
      <c r="K2271" t="s">
        <v>31</v>
      </c>
      <c r="L2271" t="s">
        <v>32</v>
      </c>
      <c r="M2271" t="s">
        <v>33</v>
      </c>
      <c r="P2271" s="1" t="s">
        <v>8252</v>
      </c>
      <c r="Q2271" s="1" t="s">
        <v>8226</v>
      </c>
      <c r="R2271" s="1" t="s">
        <v>8226</v>
      </c>
      <c r="S2271" s="1"/>
      <c r="T2271" s="1" t="s">
        <v>5582</v>
      </c>
      <c r="U2271" s="1" t="s">
        <v>5583</v>
      </c>
      <c r="V2271" s="1">
        <v>676.0</v>
      </c>
      <c r="W2271" s="1">
        <v>676.0</v>
      </c>
      <c r="X2271" s="1" t="s">
        <v>35</v>
      </c>
      <c r="Y2271" s="1">
        <v>676000.0</v>
      </c>
      <c r="Z2271" s="1"/>
      <c r="AA2271" s="1">
        <v>676000.0</v>
      </c>
      <c r="AB2271" s="1"/>
      <c r="AC2271" s="1" t="s">
        <v>36</v>
      </c>
      <c r="AD2271" s="1" t="s">
        <v>8253</v>
      </c>
      <c r="AE2271" s="1" t="s">
        <v>32</v>
      </c>
      <c r="AF2271" s="1" t="s">
        <v>33</v>
      </c>
      <c r="AG2271" s="1" t="s">
        <v>95</v>
      </c>
    </row>
    <row r="2272" spans="1:33">
      <c r="A2272" t="s">
        <v>8254</v>
      </c>
      <c r="B2272" t="s">
        <v>8255</v>
      </c>
      <c r="C2272" t="s">
        <v>47</v>
      </c>
      <c r="E2272" t="s">
        <v>8226</v>
      </c>
      <c r="F2272" t="s">
        <v>8190</v>
      </c>
      <c r="G2272">
        <v>32.24</v>
      </c>
      <c r="H2272">
        <v>32.24</v>
      </c>
      <c r="I2272" t="s">
        <v>2206</v>
      </c>
      <c r="J2272" t="s">
        <v>49</v>
      </c>
      <c r="K2272" t="s">
        <v>31</v>
      </c>
      <c r="L2272" t="s">
        <v>32</v>
      </c>
      <c r="M2272" t="s">
        <v>33</v>
      </c>
      <c r="P2272" s="1" t="s">
        <v>8256</v>
      </c>
      <c r="Q2272" s="1" t="s">
        <v>8226</v>
      </c>
      <c r="R2272" s="1" t="s">
        <v>8226</v>
      </c>
      <c r="S2272" s="1"/>
      <c r="T2272" s="1" t="s">
        <v>47</v>
      </c>
      <c r="U2272" s="1"/>
      <c r="V2272" s="1">
        <v>32.24</v>
      </c>
      <c r="W2272" s="1">
        <v>32.24</v>
      </c>
      <c r="X2272" s="1" t="s">
        <v>35</v>
      </c>
      <c r="Y2272" s="1">
        <v>32240.0</v>
      </c>
      <c r="Z2272" s="1"/>
      <c r="AA2272" s="1">
        <v>32240.0</v>
      </c>
      <c r="AB2272" s="1"/>
      <c r="AC2272" s="1" t="s">
        <v>36</v>
      </c>
      <c r="AD2272" s="1" t="s">
        <v>8257</v>
      </c>
      <c r="AE2272" s="1" t="s">
        <v>32</v>
      </c>
      <c r="AF2272" s="1" t="s">
        <v>33</v>
      </c>
      <c r="AG2272" s="1" t="s">
        <v>49</v>
      </c>
    </row>
    <row r="2273" spans="1:33">
      <c r="A2273" t="s">
        <v>8258</v>
      </c>
      <c r="B2273" t="s">
        <v>8259</v>
      </c>
      <c r="C2273" t="s">
        <v>172</v>
      </c>
      <c r="E2273" t="s">
        <v>8226</v>
      </c>
      <c r="F2273" t="s">
        <v>8190</v>
      </c>
      <c r="G2273">
        <v>20.99</v>
      </c>
      <c r="H2273">
        <v>20.99</v>
      </c>
      <c r="I2273" t="s">
        <v>173</v>
      </c>
      <c r="J2273" t="s">
        <v>174</v>
      </c>
      <c r="K2273" t="s">
        <v>31</v>
      </c>
      <c r="L2273" t="s">
        <v>32</v>
      </c>
      <c r="M2273" t="s">
        <v>33</v>
      </c>
      <c r="P2273" s="1" t="s">
        <v>8260</v>
      </c>
      <c r="Q2273" s="1" t="s">
        <v>8226</v>
      </c>
      <c r="R2273" s="1" t="s">
        <v>8226</v>
      </c>
      <c r="S2273" s="1"/>
      <c r="T2273" s="1" t="s">
        <v>172</v>
      </c>
      <c r="U2273" s="1"/>
      <c r="V2273" s="1">
        <v>20.99</v>
      </c>
      <c r="W2273" s="1">
        <v>20.99</v>
      </c>
      <c r="X2273" s="1" t="s">
        <v>35</v>
      </c>
      <c r="Y2273" s="1">
        <v>20990</v>
      </c>
      <c r="Z2273" s="1"/>
      <c r="AA2273" s="1">
        <v>20990</v>
      </c>
      <c r="AB2273" s="1"/>
      <c r="AC2273" s="1" t="s">
        <v>36</v>
      </c>
      <c r="AD2273" s="1" t="s">
        <v>8261</v>
      </c>
      <c r="AE2273" s="1" t="s">
        <v>32</v>
      </c>
      <c r="AF2273" s="1" t="s">
        <v>33</v>
      </c>
      <c r="AG2273" s="1" t="s">
        <v>174</v>
      </c>
    </row>
    <row r="2274" spans="1:33">
      <c r="A2274" t="s">
        <v>8262</v>
      </c>
      <c r="B2274" t="s">
        <v>3183</v>
      </c>
      <c r="C2274" t="s">
        <v>125</v>
      </c>
      <c r="E2274" t="s">
        <v>8226</v>
      </c>
      <c r="F2274" t="s">
        <v>8190</v>
      </c>
      <c r="G2274">
        <v>6.498</v>
      </c>
      <c r="H2274">
        <v>6.498</v>
      </c>
      <c r="I2274" t="s">
        <v>126</v>
      </c>
      <c r="J2274" t="s">
        <v>127</v>
      </c>
      <c r="K2274" t="s">
        <v>31</v>
      </c>
      <c r="L2274" t="s">
        <v>32</v>
      </c>
      <c r="M2274" t="s">
        <v>33</v>
      </c>
      <c r="P2274" s="1" t="s">
        <v>8263</v>
      </c>
      <c r="Q2274" s="1" t="s">
        <v>8226</v>
      </c>
      <c r="R2274" s="1" t="s">
        <v>8226</v>
      </c>
      <c r="S2274" s="1"/>
      <c r="T2274" s="1" t="s">
        <v>125</v>
      </c>
      <c r="U2274" s="1"/>
      <c r="V2274" s="1">
        <v>6.498</v>
      </c>
      <c r="W2274" s="1">
        <v>6.498</v>
      </c>
      <c r="X2274" s="1" t="s">
        <v>35</v>
      </c>
      <c r="Y2274" s="1">
        <v>6498.0</v>
      </c>
      <c r="Z2274" s="1"/>
      <c r="AA2274" s="1">
        <v>6498.0</v>
      </c>
      <c r="AB2274" s="1"/>
      <c r="AC2274" s="1" t="s">
        <v>36</v>
      </c>
      <c r="AD2274" s="1" t="s">
        <v>8261</v>
      </c>
      <c r="AE2274" s="1" t="s">
        <v>32</v>
      </c>
      <c r="AF2274" s="1" t="s">
        <v>33</v>
      </c>
      <c r="AG2274" s="1" t="s">
        <v>127</v>
      </c>
    </row>
    <row r="2275" spans="1:33">
      <c r="A2275" t="s">
        <v>8264</v>
      </c>
      <c r="C2275" t="s">
        <v>8265</v>
      </c>
      <c r="E2275" t="s">
        <v>8226</v>
      </c>
      <c r="F2275" t="s">
        <v>8190</v>
      </c>
      <c r="G2275">
        <v>328.0</v>
      </c>
      <c r="H2275">
        <v>328.0</v>
      </c>
      <c r="I2275" t="s">
        <v>269</v>
      </c>
      <c r="J2275" t="s">
        <v>270</v>
      </c>
      <c r="K2275" t="s">
        <v>31</v>
      </c>
      <c r="L2275" t="s">
        <v>32</v>
      </c>
      <c r="M2275" t="s">
        <v>33</v>
      </c>
      <c r="P2275" s="1" t="s">
        <v>8266</v>
      </c>
      <c r="Q2275" s="1" t="s">
        <v>8226</v>
      </c>
      <c r="R2275" s="1" t="s">
        <v>8226</v>
      </c>
      <c r="S2275" s="1"/>
      <c r="T2275" s="1" t="s">
        <v>8265</v>
      </c>
      <c r="U2275" s="1"/>
      <c r="V2275" s="1">
        <v>328.0</v>
      </c>
      <c r="W2275" s="1">
        <v>328.0</v>
      </c>
      <c r="X2275" s="1" t="s">
        <v>35</v>
      </c>
      <c r="Y2275" s="1">
        <v>328000.0</v>
      </c>
      <c r="Z2275" s="1"/>
      <c r="AA2275" s="1">
        <v>328000.0</v>
      </c>
      <c r="AB2275" s="1"/>
      <c r="AC2275" s="1" t="s">
        <v>36</v>
      </c>
      <c r="AD2275" s="1" t="s">
        <v>8267</v>
      </c>
      <c r="AE2275" s="1" t="s">
        <v>32</v>
      </c>
      <c r="AF2275" s="1" t="s">
        <v>33</v>
      </c>
      <c r="AG2275" s="1" t="s">
        <v>270</v>
      </c>
    </row>
    <row r="2276" spans="1:33">
      <c r="A2276" t="s">
        <v>8268</v>
      </c>
      <c r="C2276" t="s">
        <v>8269</v>
      </c>
      <c r="E2276" t="s">
        <v>8226</v>
      </c>
      <c r="F2276" t="s">
        <v>8190</v>
      </c>
      <c r="G2276">
        <v>960.0</v>
      </c>
      <c r="H2276">
        <v>960.0</v>
      </c>
      <c r="I2276" t="s">
        <v>2206</v>
      </c>
      <c r="J2276" t="s">
        <v>49</v>
      </c>
      <c r="K2276" t="s">
        <v>31</v>
      </c>
      <c r="L2276" t="s">
        <v>32</v>
      </c>
      <c r="M2276" t="s">
        <v>33</v>
      </c>
      <c r="P2276" s="1" t="s">
        <v>8270</v>
      </c>
      <c r="Q2276" s="1" t="s">
        <v>8226</v>
      </c>
      <c r="R2276" s="1" t="s">
        <v>8226</v>
      </c>
      <c r="S2276" s="1"/>
      <c r="T2276" s="1" t="s">
        <v>8269</v>
      </c>
      <c r="U2276" s="1"/>
      <c r="V2276" s="1">
        <v>960.0</v>
      </c>
      <c r="W2276" s="1">
        <v>960.0</v>
      </c>
      <c r="X2276" s="1" t="s">
        <v>35</v>
      </c>
      <c r="Y2276" s="1">
        <v>960000.0</v>
      </c>
      <c r="Z2276" s="1"/>
      <c r="AA2276" s="1">
        <v>960000.0</v>
      </c>
      <c r="AB2276" s="1"/>
      <c r="AC2276" s="1" t="s">
        <v>36</v>
      </c>
      <c r="AD2276" s="1" t="s">
        <v>8271</v>
      </c>
      <c r="AE2276" s="1" t="s">
        <v>32</v>
      </c>
      <c r="AF2276" s="1" t="s">
        <v>33</v>
      </c>
      <c r="AG2276" s="1" t="s">
        <v>49</v>
      </c>
    </row>
    <row r="2277" spans="1:33">
      <c r="A2277" t="s">
        <v>8272</v>
      </c>
      <c r="B2277" t="s">
        <v>8273</v>
      </c>
      <c r="C2277" t="s">
        <v>68</v>
      </c>
      <c r="E2277" t="s">
        <v>8226</v>
      </c>
      <c r="F2277" t="s">
        <v>8190</v>
      </c>
      <c r="G2277">
        <v>15.495</v>
      </c>
      <c r="H2277">
        <v>15.495</v>
      </c>
      <c r="I2277" t="s">
        <v>59</v>
      </c>
      <c r="J2277" t="s">
        <v>60</v>
      </c>
      <c r="K2277" t="s">
        <v>31</v>
      </c>
      <c r="L2277" t="s">
        <v>32</v>
      </c>
      <c r="M2277" t="s">
        <v>33</v>
      </c>
      <c r="P2277" s="1" t="s">
        <v>8274</v>
      </c>
      <c r="Q2277" s="1" t="s">
        <v>8226</v>
      </c>
      <c r="R2277" s="1" t="s">
        <v>8226</v>
      </c>
      <c r="S2277" s="1"/>
      <c r="T2277" s="1" t="s">
        <v>68</v>
      </c>
      <c r="U2277" s="1"/>
      <c r="V2277" s="1">
        <v>15.495</v>
      </c>
      <c r="W2277" s="1">
        <v>15.495</v>
      </c>
      <c r="X2277" s="1" t="s">
        <v>35</v>
      </c>
      <c r="Y2277" s="1">
        <v>15495.0</v>
      </c>
      <c r="Z2277" s="1"/>
      <c r="AA2277" s="1">
        <v>15495.0</v>
      </c>
      <c r="AB2277" s="1"/>
      <c r="AC2277" s="1" t="s">
        <v>36</v>
      </c>
      <c r="AD2277" s="1" t="s">
        <v>8275</v>
      </c>
      <c r="AE2277" s="1" t="s">
        <v>32</v>
      </c>
      <c r="AF2277" s="1" t="s">
        <v>33</v>
      </c>
      <c r="AG2277" s="1" t="s">
        <v>60</v>
      </c>
    </row>
    <row r="2278" spans="1:33">
      <c r="A2278" t="s">
        <v>8276</v>
      </c>
      <c r="B2278" t="s">
        <v>8277</v>
      </c>
      <c r="C2278" t="s">
        <v>2490</v>
      </c>
      <c r="D2278" t="s">
        <v>154</v>
      </c>
      <c r="E2278" t="s">
        <v>8226</v>
      </c>
      <c r="F2278" t="s">
        <v>8190</v>
      </c>
      <c r="G2278">
        <v>328.0</v>
      </c>
      <c r="H2278">
        <v>328.0</v>
      </c>
      <c r="I2278" t="s">
        <v>529</v>
      </c>
      <c r="J2278" t="s">
        <v>530</v>
      </c>
      <c r="K2278" t="s">
        <v>31</v>
      </c>
      <c r="L2278" t="s">
        <v>32</v>
      </c>
      <c r="M2278" t="s">
        <v>33</v>
      </c>
      <c r="P2278" s="1" t="s">
        <v>8278</v>
      </c>
      <c r="Q2278" s="1" t="s">
        <v>8226</v>
      </c>
      <c r="R2278" s="1" t="s">
        <v>7413</v>
      </c>
      <c r="S2278" s="1"/>
      <c r="T2278" s="1" t="s">
        <v>2490</v>
      </c>
      <c r="U2278" s="1"/>
      <c r="V2278" s="1">
        <v>328.0</v>
      </c>
      <c r="W2278" s="1">
        <v>328.0</v>
      </c>
      <c r="X2278" s="1" t="s">
        <v>35</v>
      </c>
      <c r="Y2278" s="1">
        <v>328000.0</v>
      </c>
      <c r="Z2278" s="1"/>
      <c r="AA2278" s="1">
        <v>328000.0</v>
      </c>
      <c r="AB2278" s="1"/>
      <c r="AC2278" s="1" t="s">
        <v>36</v>
      </c>
      <c r="AD2278" s="1" t="s">
        <v>8279</v>
      </c>
      <c r="AE2278" s="1" t="s">
        <v>32</v>
      </c>
      <c r="AF2278" s="1" t="s">
        <v>33</v>
      </c>
      <c r="AG2278" s="1" t="s">
        <v>530</v>
      </c>
    </row>
    <row r="2279" spans="1:33">
      <c r="A2279" t="s">
        <v>8280</v>
      </c>
      <c r="B2279" t="s">
        <v>7317</v>
      </c>
      <c r="C2279" t="s">
        <v>135</v>
      </c>
      <c r="E2279" t="s">
        <v>8226</v>
      </c>
      <c r="F2279" t="s">
        <v>8190</v>
      </c>
      <c r="G2279">
        <v>49.75</v>
      </c>
      <c r="H2279">
        <v>49.75</v>
      </c>
      <c r="I2279" t="s">
        <v>136</v>
      </c>
      <c r="J2279" t="s">
        <v>137</v>
      </c>
      <c r="K2279" t="s">
        <v>31</v>
      </c>
      <c r="L2279" t="s">
        <v>32</v>
      </c>
      <c r="M2279" t="s">
        <v>33</v>
      </c>
      <c r="P2279" s="1" t="s">
        <v>8281</v>
      </c>
      <c r="Q2279" s="1" t="s">
        <v>8226</v>
      </c>
      <c r="R2279" s="1" t="s">
        <v>8226</v>
      </c>
      <c r="S2279" s="1"/>
      <c r="T2279" s="1" t="s">
        <v>135</v>
      </c>
      <c r="U2279" s="1"/>
      <c r="V2279" s="1">
        <v>49.75</v>
      </c>
      <c r="W2279" s="1">
        <v>49.75</v>
      </c>
      <c r="X2279" s="1" t="s">
        <v>35</v>
      </c>
      <c r="Y2279" s="1">
        <v>49750.0</v>
      </c>
      <c r="Z2279" s="1"/>
      <c r="AA2279" s="1">
        <v>49750.0</v>
      </c>
      <c r="AB2279" s="1"/>
      <c r="AC2279" s="1" t="s">
        <v>36</v>
      </c>
      <c r="AD2279" s="1" t="s">
        <v>8282</v>
      </c>
      <c r="AE2279" s="1" t="s">
        <v>32</v>
      </c>
      <c r="AF2279" s="1" t="s">
        <v>33</v>
      </c>
      <c r="AG2279" s="1" t="s">
        <v>137</v>
      </c>
    </row>
    <row r="2280" spans="1:33">
      <c r="A2280" t="s">
        <v>8283</v>
      </c>
      <c r="C2280" t="s">
        <v>575</v>
      </c>
      <c r="E2280" t="s">
        <v>8226</v>
      </c>
      <c r="F2280" t="s">
        <v>8190</v>
      </c>
      <c r="G2280">
        <v>336.0</v>
      </c>
      <c r="H2280">
        <v>336.0</v>
      </c>
      <c r="I2280" t="s">
        <v>94</v>
      </c>
      <c r="J2280" t="s">
        <v>95</v>
      </c>
      <c r="K2280" t="s">
        <v>31</v>
      </c>
      <c r="L2280" t="s">
        <v>32</v>
      </c>
      <c r="M2280" t="s">
        <v>33</v>
      </c>
      <c r="P2280" s="1" t="s">
        <v>8284</v>
      </c>
      <c r="Q2280" s="1" t="s">
        <v>8226</v>
      </c>
      <c r="R2280" s="1" t="s">
        <v>8226</v>
      </c>
      <c r="S2280" s="1"/>
      <c r="T2280" s="1" t="s">
        <v>575</v>
      </c>
      <c r="U2280" s="1"/>
      <c r="V2280" s="1">
        <v>336.0</v>
      </c>
      <c r="W2280" s="1">
        <v>336.0</v>
      </c>
      <c r="X2280" s="1" t="s">
        <v>35</v>
      </c>
      <c r="Y2280" s="1">
        <v>336000.0</v>
      </c>
      <c r="Z2280" s="1"/>
      <c r="AA2280" s="1">
        <v>336000.0</v>
      </c>
      <c r="AB2280" s="1"/>
      <c r="AC2280" s="1" t="s">
        <v>36</v>
      </c>
      <c r="AD2280" s="1" t="s">
        <v>8275</v>
      </c>
      <c r="AE2280" s="1" t="s">
        <v>32</v>
      </c>
      <c r="AF2280" s="1" t="s">
        <v>33</v>
      </c>
      <c r="AG2280" s="1" t="s">
        <v>95</v>
      </c>
    </row>
    <row r="2281" spans="1:33">
      <c r="A2281" t="s">
        <v>8285</v>
      </c>
      <c r="B2281" t="s">
        <v>8286</v>
      </c>
      <c r="C2281" t="s">
        <v>125</v>
      </c>
      <c r="E2281" t="s">
        <v>8226</v>
      </c>
      <c r="F2281" t="s">
        <v>8190</v>
      </c>
      <c r="G2281">
        <v>20.99</v>
      </c>
      <c r="H2281">
        <v>20.99</v>
      </c>
      <c r="I2281" t="s">
        <v>126</v>
      </c>
      <c r="J2281" t="s">
        <v>127</v>
      </c>
      <c r="K2281" t="s">
        <v>31</v>
      </c>
      <c r="L2281" t="s">
        <v>32</v>
      </c>
      <c r="M2281" t="s">
        <v>33</v>
      </c>
      <c r="P2281" s="1" t="s">
        <v>8287</v>
      </c>
      <c r="Q2281" s="1" t="s">
        <v>8226</v>
      </c>
      <c r="R2281" s="1" t="s">
        <v>8226</v>
      </c>
      <c r="S2281" s="1"/>
      <c r="T2281" s="1" t="s">
        <v>125</v>
      </c>
      <c r="U2281" s="1"/>
      <c r="V2281" s="1">
        <v>20.99</v>
      </c>
      <c r="W2281" s="1">
        <v>20.99</v>
      </c>
      <c r="X2281" s="1" t="s">
        <v>35</v>
      </c>
      <c r="Y2281" s="1">
        <v>20990.0</v>
      </c>
      <c r="Z2281" s="1"/>
      <c r="AA2281" s="1">
        <v>20990.0</v>
      </c>
      <c r="AB2281" s="1"/>
      <c r="AC2281" s="1" t="s">
        <v>36</v>
      </c>
      <c r="AD2281" s="1" t="s">
        <v>8288</v>
      </c>
      <c r="AE2281" s="1" t="s">
        <v>32</v>
      </c>
      <c r="AF2281" s="1" t="s">
        <v>33</v>
      </c>
      <c r="AG2281" s="1" t="s">
        <v>127</v>
      </c>
    </row>
    <row r="2282" spans="1:33">
      <c r="A2282" t="s">
        <v>8289</v>
      </c>
      <c r="B2282" t="s">
        <v>8290</v>
      </c>
      <c r="C2282" t="s">
        <v>135</v>
      </c>
      <c r="E2282" t="s">
        <v>8226</v>
      </c>
      <c r="F2282" t="s">
        <v>8190</v>
      </c>
      <c r="G2282">
        <v>110.25</v>
      </c>
      <c r="H2282">
        <v>110.25</v>
      </c>
      <c r="I2282" t="s">
        <v>136</v>
      </c>
      <c r="J2282" t="s">
        <v>137</v>
      </c>
      <c r="K2282" t="s">
        <v>31</v>
      </c>
      <c r="L2282" t="s">
        <v>32</v>
      </c>
      <c r="M2282" t="s">
        <v>33</v>
      </c>
      <c r="P2282" s="1" t="s">
        <v>8291</v>
      </c>
      <c r="Q2282" s="1" t="s">
        <v>8226</v>
      </c>
      <c r="R2282" s="1" t="s">
        <v>8226</v>
      </c>
      <c r="S2282" s="1"/>
      <c r="T2282" s="1" t="s">
        <v>135</v>
      </c>
      <c r="U2282" s="1"/>
      <c r="V2282" s="1">
        <v>110.25</v>
      </c>
      <c r="W2282" s="1">
        <v>110.25</v>
      </c>
      <c r="X2282" s="1" t="s">
        <v>35</v>
      </c>
      <c r="Y2282" s="1">
        <v>110250.0</v>
      </c>
      <c r="Z2282" s="1"/>
      <c r="AA2282" s="1">
        <v>110250.0</v>
      </c>
      <c r="AB2282" s="1"/>
      <c r="AC2282" s="1" t="s">
        <v>36</v>
      </c>
      <c r="AD2282" s="1" t="s">
        <v>8292</v>
      </c>
      <c r="AE2282" s="1" t="s">
        <v>32</v>
      </c>
      <c r="AF2282" s="1" t="s">
        <v>33</v>
      </c>
      <c r="AG2282" s="1" t="s">
        <v>137</v>
      </c>
    </row>
    <row r="2283" spans="1:33">
      <c r="A2283" t="s">
        <v>8293</v>
      </c>
      <c r="B2283" t="s">
        <v>8294</v>
      </c>
      <c r="C2283" t="s">
        <v>47</v>
      </c>
      <c r="E2283" t="s">
        <v>8226</v>
      </c>
      <c r="F2283" t="s">
        <v>8190</v>
      </c>
      <c r="G2283">
        <v>21.99</v>
      </c>
      <c r="H2283">
        <v>21.99</v>
      </c>
      <c r="I2283" t="s">
        <v>2206</v>
      </c>
      <c r="J2283" t="s">
        <v>49</v>
      </c>
      <c r="K2283" t="s">
        <v>31</v>
      </c>
      <c r="L2283" t="s">
        <v>32</v>
      </c>
      <c r="M2283" t="s">
        <v>33</v>
      </c>
      <c r="P2283" s="1" t="s">
        <v>8295</v>
      </c>
      <c r="Q2283" s="1" t="s">
        <v>8226</v>
      </c>
      <c r="R2283" s="1" t="s">
        <v>8226</v>
      </c>
      <c r="S2283" s="1"/>
      <c r="T2283" s="1" t="s">
        <v>47</v>
      </c>
      <c r="U2283" s="1"/>
      <c r="V2283" s="1">
        <v>21.99</v>
      </c>
      <c r="W2283" s="1">
        <v>21.99</v>
      </c>
      <c r="X2283" s="1" t="s">
        <v>35</v>
      </c>
      <c r="Y2283" s="1">
        <v>21990.0</v>
      </c>
      <c r="Z2283" s="1"/>
      <c r="AA2283" s="1">
        <v>21990.0</v>
      </c>
      <c r="AB2283" s="1"/>
      <c r="AC2283" s="1" t="s">
        <v>36</v>
      </c>
      <c r="AD2283" s="1" t="s">
        <v>8282</v>
      </c>
      <c r="AE2283" s="1" t="s">
        <v>32</v>
      </c>
      <c r="AF2283" s="1" t="s">
        <v>33</v>
      </c>
      <c r="AG2283" s="1" t="s">
        <v>49</v>
      </c>
    </row>
    <row r="2284" spans="1:33">
      <c r="A2284" t="s">
        <v>8296</v>
      </c>
      <c r="C2284" t="s">
        <v>8297</v>
      </c>
      <c r="E2284" t="s">
        <v>8226</v>
      </c>
      <c r="F2284" t="s">
        <v>8190</v>
      </c>
      <c r="G2284">
        <v>517.75</v>
      </c>
      <c r="H2284">
        <v>517.75</v>
      </c>
      <c r="I2284" t="s">
        <v>136</v>
      </c>
      <c r="J2284" t="s">
        <v>137</v>
      </c>
      <c r="K2284" t="s">
        <v>31</v>
      </c>
      <c r="L2284" t="s">
        <v>32</v>
      </c>
      <c r="M2284" t="s">
        <v>33</v>
      </c>
      <c r="P2284" s="1" t="s">
        <v>8298</v>
      </c>
      <c r="Q2284" s="1" t="s">
        <v>8226</v>
      </c>
      <c r="R2284" s="1" t="s">
        <v>8226</v>
      </c>
      <c r="S2284" s="1"/>
      <c r="T2284" s="1" t="s">
        <v>8299</v>
      </c>
      <c r="U2284" s="1" t="s">
        <v>8300</v>
      </c>
      <c r="V2284" s="1">
        <v>517.75</v>
      </c>
      <c r="W2284" s="1">
        <v>517.75</v>
      </c>
      <c r="X2284" s="1" t="s">
        <v>35</v>
      </c>
      <c r="Y2284" s="1">
        <v>517750.0</v>
      </c>
      <c r="Z2284" s="1"/>
      <c r="AA2284" s="1">
        <v>517750.0</v>
      </c>
      <c r="AB2284" s="1"/>
      <c r="AC2284" s="1" t="s">
        <v>36</v>
      </c>
      <c r="AD2284" s="1" t="s">
        <v>8301</v>
      </c>
      <c r="AE2284" s="1" t="s">
        <v>32</v>
      </c>
      <c r="AF2284" s="1" t="s">
        <v>33</v>
      </c>
      <c r="AG2284" s="1" t="s">
        <v>137</v>
      </c>
    </row>
    <row r="2285" spans="1:33">
      <c r="A2285" t="s">
        <v>8302</v>
      </c>
      <c r="B2285" t="s">
        <v>8303</v>
      </c>
      <c r="C2285" t="s">
        <v>47</v>
      </c>
      <c r="E2285" t="s">
        <v>8226</v>
      </c>
      <c r="F2285" t="s">
        <v>8190</v>
      </c>
      <c r="G2285">
        <v>21.99</v>
      </c>
      <c r="H2285">
        <v>21.99</v>
      </c>
      <c r="I2285" t="s">
        <v>2206</v>
      </c>
      <c r="J2285" t="s">
        <v>49</v>
      </c>
      <c r="K2285" t="s">
        <v>31</v>
      </c>
      <c r="L2285" t="s">
        <v>32</v>
      </c>
      <c r="M2285" t="s">
        <v>33</v>
      </c>
      <c r="P2285" s="1" t="s">
        <v>8304</v>
      </c>
      <c r="Q2285" s="1" t="s">
        <v>8226</v>
      </c>
      <c r="R2285" s="1" t="s">
        <v>8226</v>
      </c>
      <c r="S2285" s="1"/>
      <c r="T2285" s="1" t="s">
        <v>47</v>
      </c>
      <c r="U2285" s="1"/>
      <c r="V2285" s="1">
        <v>21.99</v>
      </c>
      <c r="W2285" s="1">
        <v>21.99</v>
      </c>
      <c r="X2285" s="1" t="s">
        <v>35</v>
      </c>
      <c r="Y2285" s="1">
        <v>21990.0</v>
      </c>
      <c r="Z2285" s="1"/>
      <c r="AA2285" s="1">
        <v>21990.0</v>
      </c>
      <c r="AB2285" s="1"/>
      <c r="AC2285" s="1" t="s">
        <v>36</v>
      </c>
      <c r="AD2285" s="1" t="s">
        <v>8305</v>
      </c>
      <c r="AE2285" s="1" t="s">
        <v>32</v>
      </c>
      <c r="AF2285" s="1" t="s">
        <v>33</v>
      </c>
      <c r="AG2285" s="1" t="s">
        <v>49</v>
      </c>
    </row>
    <row r="2286" spans="1:33">
      <c r="A2286" t="s">
        <v>8306</v>
      </c>
      <c r="B2286" t="s">
        <v>8307</v>
      </c>
      <c r="C2286" t="s">
        <v>47</v>
      </c>
      <c r="E2286" t="s">
        <v>8226</v>
      </c>
      <c r="F2286" t="s">
        <v>8190</v>
      </c>
      <c r="G2286">
        <v>373.05</v>
      </c>
      <c r="H2286">
        <v>373.05</v>
      </c>
      <c r="I2286" t="s">
        <v>2206</v>
      </c>
      <c r="J2286" t="s">
        <v>49</v>
      </c>
      <c r="K2286" t="s">
        <v>31</v>
      </c>
      <c r="L2286" t="s">
        <v>32</v>
      </c>
      <c r="M2286" t="s">
        <v>33</v>
      </c>
      <c r="P2286" s="1" t="s">
        <v>8308</v>
      </c>
      <c r="Q2286" s="1" t="s">
        <v>8226</v>
      </c>
      <c r="R2286" s="1" t="s">
        <v>8226</v>
      </c>
      <c r="S2286" s="1"/>
      <c r="T2286" s="1" t="s">
        <v>47</v>
      </c>
      <c r="U2286" s="1"/>
      <c r="V2286" s="1">
        <v>373.05</v>
      </c>
      <c r="W2286" s="1">
        <v>373.05</v>
      </c>
      <c r="X2286" s="1" t="s">
        <v>35</v>
      </c>
      <c r="Y2286" s="1">
        <v>373100.0</v>
      </c>
      <c r="Z2286" s="1">
        <v>-50</v>
      </c>
      <c r="AA2286" s="1">
        <v>373100.0</v>
      </c>
      <c r="AB2286" s="1">
        <v>-50</v>
      </c>
      <c r="AC2286" s="1" t="s">
        <v>36</v>
      </c>
      <c r="AD2286" s="1" t="s">
        <v>8309</v>
      </c>
      <c r="AE2286" s="1" t="s">
        <v>32</v>
      </c>
      <c r="AF2286" s="1" t="s">
        <v>33</v>
      </c>
      <c r="AG2286" s="1" t="s">
        <v>49</v>
      </c>
    </row>
    <row r="2287" spans="1:33">
      <c r="A2287" t="s">
        <v>8310</v>
      </c>
      <c r="B2287" t="s">
        <v>8311</v>
      </c>
      <c r="C2287" t="s">
        <v>47</v>
      </c>
      <c r="E2287" t="s">
        <v>8226</v>
      </c>
      <c r="F2287" t="s">
        <v>8190</v>
      </c>
      <c r="G2287">
        <v>41.586</v>
      </c>
      <c r="H2287">
        <v>41.586</v>
      </c>
      <c r="I2287" t="s">
        <v>2206</v>
      </c>
      <c r="J2287" t="s">
        <v>49</v>
      </c>
      <c r="K2287" t="s">
        <v>31</v>
      </c>
      <c r="L2287" t="s">
        <v>32</v>
      </c>
      <c r="M2287" t="s">
        <v>33</v>
      </c>
      <c r="P2287" s="1" t="s">
        <v>8312</v>
      </c>
      <c r="Q2287" s="1" t="s">
        <v>8226</v>
      </c>
      <c r="R2287" s="1" t="s">
        <v>8226</v>
      </c>
      <c r="S2287" s="1"/>
      <c r="T2287" s="1" t="s">
        <v>47</v>
      </c>
      <c r="U2287" s="1"/>
      <c r="V2287" s="1">
        <v>41.586</v>
      </c>
      <c r="W2287" s="1">
        <v>41.586</v>
      </c>
      <c r="X2287" s="1" t="s">
        <v>35</v>
      </c>
      <c r="Y2287" s="1">
        <v>41586.0</v>
      </c>
      <c r="Z2287" s="1"/>
      <c r="AA2287" s="1">
        <v>41586.0</v>
      </c>
      <c r="AB2287" s="1"/>
      <c r="AC2287" s="1" t="s">
        <v>36</v>
      </c>
      <c r="AD2287" s="1" t="s">
        <v>8313</v>
      </c>
      <c r="AE2287" s="1" t="s">
        <v>32</v>
      </c>
      <c r="AF2287" s="1" t="s">
        <v>33</v>
      </c>
      <c r="AG2287" s="1" t="s">
        <v>49</v>
      </c>
    </row>
    <row r="2288" spans="1:33">
      <c r="A2288" t="s">
        <v>8314</v>
      </c>
      <c r="C2288" t="s">
        <v>2485</v>
      </c>
      <c r="E2288" t="s">
        <v>8226</v>
      </c>
      <c r="F2288" t="s">
        <v>8190</v>
      </c>
      <c r="G2288">
        <v>29.5</v>
      </c>
      <c r="H2288">
        <v>29.5</v>
      </c>
      <c r="I2288" t="s">
        <v>136</v>
      </c>
      <c r="J2288" t="s">
        <v>137</v>
      </c>
      <c r="K2288" t="s">
        <v>31</v>
      </c>
      <c r="L2288" t="s">
        <v>32</v>
      </c>
      <c r="M2288" t="s">
        <v>33</v>
      </c>
      <c r="P2288" s="1" t="s">
        <v>8315</v>
      </c>
      <c r="Q2288" s="1" t="s">
        <v>8226</v>
      </c>
      <c r="R2288" s="1" t="s">
        <v>8226</v>
      </c>
      <c r="S2288" s="1"/>
      <c r="T2288" s="1" t="s">
        <v>2485</v>
      </c>
      <c r="U2288" s="1"/>
      <c r="V2288" s="1">
        <v>29.5</v>
      </c>
      <c r="W2288" s="1">
        <v>29.5</v>
      </c>
      <c r="X2288" s="1" t="s">
        <v>35</v>
      </c>
      <c r="Y2288" s="1">
        <v>29500.0</v>
      </c>
      <c r="Z2288" s="1"/>
      <c r="AA2288" s="1">
        <v>29500.0</v>
      </c>
      <c r="AB2288" s="1"/>
      <c r="AC2288" s="1" t="s">
        <v>36</v>
      </c>
      <c r="AD2288" s="1" t="s">
        <v>8316</v>
      </c>
      <c r="AE2288" s="1" t="s">
        <v>32</v>
      </c>
      <c r="AF2288" s="1" t="s">
        <v>33</v>
      </c>
      <c r="AG2288" s="1" t="s">
        <v>137</v>
      </c>
    </row>
    <row r="2289" spans="1:33">
      <c r="A2289" t="s">
        <v>8317</v>
      </c>
      <c r="C2289" t="s">
        <v>670</v>
      </c>
      <c r="E2289" t="s">
        <v>8226</v>
      </c>
      <c r="F2289" t="s">
        <v>8190</v>
      </c>
      <c r="G2289">
        <v>328.0</v>
      </c>
      <c r="H2289">
        <v>328.0</v>
      </c>
      <c r="I2289" t="s">
        <v>136</v>
      </c>
      <c r="J2289" t="s">
        <v>137</v>
      </c>
      <c r="K2289" t="s">
        <v>31</v>
      </c>
      <c r="L2289" t="s">
        <v>32</v>
      </c>
      <c r="M2289" t="s">
        <v>33</v>
      </c>
      <c r="P2289" s="1" t="s">
        <v>8318</v>
      </c>
      <c r="Q2289" s="1" t="s">
        <v>8226</v>
      </c>
      <c r="R2289" s="1" t="s">
        <v>8226</v>
      </c>
      <c r="S2289" s="1"/>
      <c r="T2289" s="1" t="s">
        <v>670</v>
      </c>
      <c r="U2289" s="1"/>
      <c r="V2289" s="1">
        <v>328.0</v>
      </c>
      <c r="W2289" s="1">
        <v>328.0</v>
      </c>
      <c r="X2289" s="1" t="s">
        <v>35</v>
      </c>
      <c r="Y2289" s="1">
        <v>328000.0</v>
      </c>
      <c r="Z2289" s="1"/>
      <c r="AA2289" s="1">
        <v>328000.0</v>
      </c>
      <c r="AB2289" s="1"/>
      <c r="AC2289" s="1" t="s">
        <v>36</v>
      </c>
      <c r="AD2289" s="1" t="s">
        <v>8319</v>
      </c>
      <c r="AE2289" s="1" t="s">
        <v>32</v>
      </c>
      <c r="AF2289" s="1" t="s">
        <v>33</v>
      </c>
      <c r="AG2289" s="1" t="s">
        <v>137</v>
      </c>
    </row>
    <row r="2290" spans="1:33">
      <c r="A2290" t="s">
        <v>8320</v>
      </c>
      <c r="B2290" t="s">
        <v>8321</v>
      </c>
      <c r="C2290" t="s">
        <v>47</v>
      </c>
      <c r="E2290" t="s">
        <v>8226</v>
      </c>
      <c r="F2290" t="s">
        <v>8190</v>
      </c>
      <c r="G2290">
        <v>43.98</v>
      </c>
      <c r="H2290">
        <v>43.98</v>
      </c>
      <c r="I2290" t="s">
        <v>2206</v>
      </c>
      <c r="J2290" t="s">
        <v>49</v>
      </c>
      <c r="K2290" t="s">
        <v>31</v>
      </c>
      <c r="L2290" t="s">
        <v>32</v>
      </c>
      <c r="M2290" t="s">
        <v>33</v>
      </c>
      <c r="P2290" s="1" t="s">
        <v>8322</v>
      </c>
      <c r="Q2290" s="1" t="s">
        <v>8226</v>
      </c>
      <c r="R2290" s="1" t="s">
        <v>8226</v>
      </c>
      <c r="S2290" s="1"/>
      <c r="T2290" s="1" t="s">
        <v>47</v>
      </c>
      <c r="U2290" s="1"/>
      <c r="V2290" s="1">
        <v>43.98</v>
      </c>
      <c r="W2290" s="1">
        <v>43.98</v>
      </c>
      <c r="X2290" s="1" t="s">
        <v>35</v>
      </c>
      <c r="Y2290" s="1">
        <v>43980.0</v>
      </c>
      <c r="Z2290" s="1"/>
      <c r="AA2290" s="1">
        <v>43980.0</v>
      </c>
      <c r="AB2290" s="1"/>
      <c r="AC2290" s="1" t="s">
        <v>36</v>
      </c>
      <c r="AD2290" s="1" t="s">
        <v>8323</v>
      </c>
      <c r="AE2290" s="1" t="s">
        <v>32</v>
      </c>
      <c r="AF2290" s="1" t="s">
        <v>33</v>
      </c>
      <c r="AG2290" s="1" t="s">
        <v>49</v>
      </c>
    </row>
    <row r="2291" spans="1:33">
      <c r="A2291" t="s">
        <v>8324</v>
      </c>
      <c r="B2291" t="s">
        <v>8325</v>
      </c>
      <c r="C2291" t="s">
        <v>47</v>
      </c>
      <c r="E2291" t="s">
        <v>8226</v>
      </c>
      <c r="F2291" t="s">
        <v>8190</v>
      </c>
      <c r="G2291">
        <v>1.999</v>
      </c>
      <c r="H2291">
        <v>1.999</v>
      </c>
      <c r="I2291" t="s">
        <v>2206</v>
      </c>
      <c r="J2291" t="s">
        <v>49</v>
      </c>
      <c r="K2291" t="s">
        <v>31</v>
      </c>
      <c r="L2291" t="s">
        <v>32</v>
      </c>
      <c r="M2291" t="s">
        <v>33</v>
      </c>
      <c r="P2291" s="1" t="s">
        <v>8326</v>
      </c>
      <c r="Q2291" s="1" t="s">
        <v>8226</v>
      </c>
      <c r="R2291" s="1" t="s">
        <v>8226</v>
      </c>
      <c r="S2291" s="1"/>
      <c r="T2291" s="1" t="s">
        <v>47</v>
      </c>
      <c r="U2291" s="1"/>
      <c r="V2291" s="1">
        <v>1.999</v>
      </c>
      <c r="W2291" s="1">
        <v>1.999</v>
      </c>
      <c r="X2291" s="1" t="s">
        <v>35</v>
      </c>
      <c r="Y2291" s="1">
        <v>1999.0</v>
      </c>
      <c r="Z2291" s="1"/>
      <c r="AA2291" s="1">
        <v>1999.0</v>
      </c>
      <c r="AB2291" s="1"/>
      <c r="AC2291" s="1" t="s">
        <v>36</v>
      </c>
      <c r="AD2291" s="1" t="s">
        <v>8316</v>
      </c>
      <c r="AE2291" s="1" t="s">
        <v>32</v>
      </c>
      <c r="AF2291" s="1" t="s">
        <v>33</v>
      </c>
      <c r="AG2291" s="1" t="s">
        <v>49</v>
      </c>
    </row>
    <row r="2292" spans="1:33">
      <c r="A2292" t="s">
        <v>8327</v>
      </c>
      <c r="B2292" t="s">
        <v>124</v>
      </c>
      <c r="C2292" t="s">
        <v>125</v>
      </c>
      <c r="E2292" t="s">
        <v>8226</v>
      </c>
      <c r="F2292" t="s">
        <v>8190</v>
      </c>
      <c r="G2292">
        <v>28.54</v>
      </c>
      <c r="H2292">
        <v>28.54</v>
      </c>
      <c r="I2292" t="s">
        <v>126</v>
      </c>
      <c r="J2292" t="s">
        <v>127</v>
      </c>
      <c r="K2292" t="s">
        <v>31</v>
      </c>
      <c r="L2292" t="s">
        <v>32</v>
      </c>
      <c r="M2292" t="s">
        <v>33</v>
      </c>
      <c r="P2292" s="1" t="s">
        <v>8328</v>
      </c>
      <c r="Q2292" s="1" t="s">
        <v>8226</v>
      </c>
      <c r="R2292" s="1" t="s">
        <v>8226</v>
      </c>
      <c r="S2292" s="1"/>
      <c r="T2292" s="1" t="s">
        <v>125</v>
      </c>
      <c r="U2292" s="1"/>
      <c r="V2292" s="1">
        <v>28.54</v>
      </c>
      <c r="W2292" s="1">
        <v>28.54</v>
      </c>
      <c r="X2292" s="1" t="s">
        <v>35</v>
      </c>
      <c r="Y2292" s="1">
        <v>28540.0</v>
      </c>
      <c r="Z2292" s="1"/>
      <c r="AA2292" s="1">
        <v>28540.0</v>
      </c>
      <c r="AB2292" s="1"/>
      <c r="AC2292" s="1" t="s">
        <v>36</v>
      </c>
      <c r="AD2292" s="1" t="s">
        <v>8329</v>
      </c>
      <c r="AE2292" s="1" t="s">
        <v>32</v>
      </c>
      <c r="AF2292" s="1" t="s">
        <v>33</v>
      </c>
      <c r="AG2292" s="1" t="s">
        <v>127</v>
      </c>
    </row>
    <row r="2293" spans="1:33">
      <c r="A2293" t="s">
        <v>8330</v>
      </c>
      <c r="B2293" t="s">
        <v>3168</v>
      </c>
      <c r="C2293" t="s">
        <v>3169</v>
      </c>
      <c r="E2293" t="s">
        <v>8226</v>
      </c>
      <c r="F2293" t="s">
        <v>8190</v>
      </c>
      <c r="G2293">
        <v>1.142</v>
      </c>
      <c r="H2293">
        <v>1.142</v>
      </c>
      <c r="I2293" t="s">
        <v>529</v>
      </c>
      <c r="J2293" t="s">
        <v>530</v>
      </c>
      <c r="K2293" t="s">
        <v>31</v>
      </c>
      <c r="L2293" t="s">
        <v>32</v>
      </c>
      <c r="M2293" t="s">
        <v>33</v>
      </c>
      <c r="P2293" s="1" t="s">
        <v>8331</v>
      </c>
      <c r="Q2293" s="1" t="s">
        <v>8226</v>
      </c>
      <c r="R2293" s="1" t="s">
        <v>7413</v>
      </c>
      <c r="S2293" s="1"/>
      <c r="T2293" s="1" t="s">
        <v>3169</v>
      </c>
      <c r="U2293" s="1"/>
      <c r="V2293" s="1">
        <v>1.142</v>
      </c>
      <c r="W2293" s="1">
        <v>1.142</v>
      </c>
      <c r="X2293" s="1" t="s">
        <v>35</v>
      </c>
      <c r="Y2293" s="1">
        <v>1142100.0</v>
      </c>
      <c r="Z2293" s="1"/>
      <c r="AA2293" s="1">
        <v>1142100.0</v>
      </c>
      <c r="AB2293" s="1"/>
      <c r="AC2293" s="1" t="s">
        <v>36</v>
      </c>
      <c r="AD2293" s="1" t="s">
        <v>8332</v>
      </c>
      <c r="AE2293" s="1" t="s">
        <v>32</v>
      </c>
      <c r="AF2293" s="1" t="s">
        <v>33</v>
      </c>
      <c r="AG2293" s="1" t="s">
        <v>530</v>
      </c>
    </row>
    <row r="2294" spans="1:33">
      <c r="A2294" t="s">
        <v>8333</v>
      </c>
      <c r="B2294" t="s">
        <v>8334</v>
      </c>
      <c r="C2294" t="s">
        <v>73</v>
      </c>
      <c r="E2294" t="s">
        <v>8226</v>
      </c>
      <c r="F2294" t="s">
        <v>8190</v>
      </c>
      <c r="G2294">
        <v>19.49</v>
      </c>
      <c r="H2294">
        <v>19.49</v>
      </c>
      <c r="I2294" t="s">
        <v>40</v>
      </c>
      <c r="J2294" t="s">
        <v>41</v>
      </c>
      <c r="K2294" t="s">
        <v>31</v>
      </c>
      <c r="L2294" t="s">
        <v>32</v>
      </c>
      <c r="M2294" t="s">
        <v>33</v>
      </c>
      <c r="P2294" s="1" t="s">
        <v>8335</v>
      </c>
      <c r="Q2294" s="1" t="s">
        <v>8226</v>
      </c>
      <c r="R2294" s="1" t="s">
        <v>7413</v>
      </c>
      <c r="S2294" s="1"/>
      <c r="T2294" s="1" t="s">
        <v>75</v>
      </c>
      <c r="U2294" s="1" t="s">
        <v>76</v>
      </c>
      <c r="V2294" s="1">
        <v>19.49</v>
      </c>
      <c r="W2294" s="1">
        <v>19.49</v>
      </c>
      <c r="X2294" s="1" t="s">
        <v>35</v>
      </c>
      <c r="Y2294" s="1">
        <v>19490.0</v>
      </c>
      <c r="Z2294" s="1"/>
      <c r="AA2294" s="1">
        <v>19490.0</v>
      </c>
      <c r="AB2294" s="1"/>
      <c r="AC2294" s="1" t="s">
        <v>36</v>
      </c>
      <c r="AD2294" s="1" t="s">
        <v>8336</v>
      </c>
      <c r="AE2294" s="1" t="s">
        <v>32</v>
      </c>
      <c r="AF2294" s="1" t="s">
        <v>33</v>
      </c>
      <c r="AG2294" s="1" t="s">
        <v>41</v>
      </c>
    </row>
    <row r="2295" spans="1:33">
      <c r="A2295" t="s">
        <v>8337</v>
      </c>
      <c r="C2295" t="s">
        <v>274</v>
      </c>
      <c r="E2295" t="s">
        <v>8226</v>
      </c>
      <c r="F2295" t="s">
        <v>8190</v>
      </c>
      <c r="G2295">
        <v>2.667</v>
      </c>
      <c r="H2295">
        <v>2.667</v>
      </c>
      <c r="I2295" t="s">
        <v>94</v>
      </c>
      <c r="J2295" t="s">
        <v>95</v>
      </c>
      <c r="K2295" t="s">
        <v>31</v>
      </c>
      <c r="L2295" t="s">
        <v>32</v>
      </c>
      <c r="M2295" t="s">
        <v>33</v>
      </c>
      <c r="P2295" s="1" t="s">
        <v>8338</v>
      </c>
      <c r="Q2295" s="1" t="s">
        <v>8226</v>
      </c>
      <c r="R2295" s="1" t="s">
        <v>8226</v>
      </c>
      <c r="S2295" s="1"/>
      <c r="T2295" s="1" t="s">
        <v>274</v>
      </c>
      <c r="U2295" s="1"/>
      <c r="V2295" s="1">
        <v>2.667</v>
      </c>
      <c r="W2295" s="1">
        <v>2.667</v>
      </c>
      <c r="X2295" s="1" t="s">
        <v>35</v>
      </c>
      <c r="Y2295" s="1">
        <v>2667500.0</v>
      </c>
      <c r="Z2295" s="1"/>
      <c r="AA2295" s="1">
        <v>2667500.0</v>
      </c>
      <c r="AB2295" s="1"/>
      <c r="AC2295" s="1" t="s">
        <v>36</v>
      </c>
      <c r="AD2295" s="1" t="s">
        <v>8339</v>
      </c>
      <c r="AE2295" s="1" t="s">
        <v>32</v>
      </c>
      <c r="AF2295" s="1" t="s">
        <v>33</v>
      </c>
      <c r="AG2295" s="1" t="s">
        <v>95</v>
      </c>
    </row>
    <row r="2296" spans="1:33">
      <c r="A2296" t="s">
        <v>8340</v>
      </c>
      <c r="C2296" t="s">
        <v>1412</v>
      </c>
      <c r="D2296" t="s">
        <v>154</v>
      </c>
      <c r="E2296" t="s">
        <v>8226</v>
      </c>
      <c r="F2296" t="s">
        <v>8190</v>
      </c>
      <c r="G2296">
        <v>210.0</v>
      </c>
      <c r="H2296">
        <v>210.0</v>
      </c>
      <c r="I2296" t="s">
        <v>40</v>
      </c>
      <c r="J2296" t="s">
        <v>41</v>
      </c>
      <c r="K2296" t="s">
        <v>31</v>
      </c>
      <c r="L2296" t="s">
        <v>32</v>
      </c>
      <c r="M2296" t="s">
        <v>33</v>
      </c>
      <c r="P2296" s="1" t="s">
        <v>8341</v>
      </c>
      <c r="Q2296" s="1" t="s">
        <v>8226</v>
      </c>
      <c r="R2296" s="1" t="s">
        <v>7413</v>
      </c>
      <c r="S2296" s="1"/>
      <c r="T2296" s="1" t="s">
        <v>1412</v>
      </c>
      <c r="U2296" s="1"/>
      <c r="V2296" s="1">
        <v>210.0</v>
      </c>
      <c r="W2296" s="1">
        <v>210.0</v>
      </c>
      <c r="X2296" s="1" t="s">
        <v>35</v>
      </c>
      <c r="Y2296" s="1">
        <v>210000.0</v>
      </c>
      <c r="Z2296" s="1"/>
      <c r="AA2296" s="1">
        <v>210000.0</v>
      </c>
      <c r="AB2296" s="1"/>
      <c r="AC2296" s="1" t="s">
        <v>36</v>
      </c>
      <c r="AD2296" s="1" t="s">
        <v>8342</v>
      </c>
      <c r="AE2296" s="1" t="s">
        <v>32</v>
      </c>
      <c r="AF2296" s="1" t="s">
        <v>33</v>
      </c>
      <c r="AG2296" s="1" t="s">
        <v>41</v>
      </c>
    </row>
    <row r="2297" spans="1:33">
      <c r="A2297" t="s">
        <v>8343</v>
      </c>
      <c r="C2297" t="s">
        <v>8344</v>
      </c>
      <c r="E2297" t="s">
        <v>8226</v>
      </c>
      <c r="F2297" t="s">
        <v>8190</v>
      </c>
      <c r="G2297">
        <v>1.537</v>
      </c>
      <c r="H2297">
        <v>1.537</v>
      </c>
      <c r="I2297" t="s">
        <v>94</v>
      </c>
      <c r="J2297" t="s">
        <v>95</v>
      </c>
      <c r="K2297" t="s">
        <v>31</v>
      </c>
      <c r="L2297" t="s">
        <v>32</v>
      </c>
      <c r="M2297" t="s">
        <v>33</v>
      </c>
      <c r="P2297" s="1" t="s">
        <v>8345</v>
      </c>
      <c r="Q2297" s="1" t="s">
        <v>8226</v>
      </c>
      <c r="R2297" s="1" t="s">
        <v>8226</v>
      </c>
      <c r="S2297" s="1"/>
      <c r="T2297" s="1" t="s">
        <v>8344</v>
      </c>
      <c r="U2297" s="1"/>
      <c r="V2297" s="1">
        <v>1.537</v>
      </c>
      <c r="W2297" s="1">
        <v>1.537</v>
      </c>
      <c r="X2297" s="1" t="s">
        <v>35</v>
      </c>
      <c r="Y2297" s="1">
        <v>1537850.0</v>
      </c>
      <c r="Z2297" s="1"/>
      <c r="AA2297" s="1">
        <v>1537850.0</v>
      </c>
      <c r="AB2297" s="1"/>
      <c r="AC2297" s="1" t="s">
        <v>36</v>
      </c>
      <c r="AD2297" s="1" t="s">
        <v>8257</v>
      </c>
      <c r="AE2297" s="1" t="s">
        <v>32</v>
      </c>
      <c r="AF2297" s="1" t="s">
        <v>33</v>
      </c>
      <c r="AG2297" s="1" t="s">
        <v>95</v>
      </c>
    </row>
    <row r="2298" spans="1:33">
      <c r="A2298" t="s">
        <v>8346</v>
      </c>
      <c r="B2298" t="s">
        <v>8347</v>
      </c>
      <c r="C2298" t="s">
        <v>47</v>
      </c>
      <c r="E2298" t="s">
        <v>8226</v>
      </c>
      <c r="F2298" t="s">
        <v>8190</v>
      </c>
      <c r="G2298">
        <v>21.99</v>
      </c>
      <c r="H2298">
        <v>21.99</v>
      </c>
      <c r="I2298" t="s">
        <v>2206</v>
      </c>
      <c r="J2298" t="s">
        <v>49</v>
      </c>
      <c r="K2298" t="s">
        <v>31</v>
      </c>
      <c r="L2298" t="s">
        <v>32</v>
      </c>
      <c r="M2298" t="s">
        <v>33</v>
      </c>
      <c r="P2298" s="1" t="s">
        <v>8348</v>
      </c>
      <c r="Q2298" s="1" t="s">
        <v>8226</v>
      </c>
      <c r="R2298" s="1" t="s">
        <v>8226</v>
      </c>
      <c r="S2298" s="1"/>
      <c r="T2298" s="1" t="s">
        <v>47</v>
      </c>
      <c r="U2298" s="1"/>
      <c r="V2298" s="1">
        <v>21.99</v>
      </c>
      <c r="W2298" s="1">
        <v>21.99</v>
      </c>
      <c r="X2298" s="1" t="s">
        <v>35</v>
      </c>
      <c r="Y2298" s="1">
        <v>21990.0</v>
      </c>
      <c r="Z2298" s="1"/>
      <c r="AA2298" s="1">
        <v>21990.0</v>
      </c>
      <c r="AB2298" s="1"/>
      <c r="AC2298" s="1" t="s">
        <v>36</v>
      </c>
      <c r="AD2298" s="1" t="s">
        <v>8349</v>
      </c>
      <c r="AE2298" s="1" t="s">
        <v>32</v>
      </c>
      <c r="AF2298" s="1" t="s">
        <v>33</v>
      </c>
      <c r="AG2298" s="1" t="s">
        <v>49</v>
      </c>
    </row>
    <row r="2299" spans="1:33">
      <c r="A2299" t="s">
        <v>8350</v>
      </c>
      <c r="B2299" t="s">
        <v>8351</v>
      </c>
      <c r="C2299" t="s">
        <v>47</v>
      </c>
      <c r="E2299" t="s">
        <v>8226</v>
      </c>
      <c r="F2299" t="s">
        <v>8190</v>
      </c>
      <c r="G2299">
        <v>197.94</v>
      </c>
      <c r="H2299">
        <v>197.94</v>
      </c>
      <c r="I2299" t="s">
        <v>2206</v>
      </c>
      <c r="J2299" t="s">
        <v>49</v>
      </c>
      <c r="K2299" t="s">
        <v>31</v>
      </c>
      <c r="L2299" t="s">
        <v>32</v>
      </c>
      <c r="M2299" t="s">
        <v>33</v>
      </c>
      <c r="P2299" s="1" t="s">
        <v>8352</v>
      </c>
      <c r="Q2299" s="1" t="s">
        <v>8226</v>
      </c>
      <c r="R2299" s="1" t="s">
        <v>8226</v>
      </c>
      <c r="S2299" s="1"/>
      <c r="T2299" s="1" t="s">
        <v>47</v>
      </c>
      <c r="U2299" s="1"/>
      <c r="V2299" s="1">
        <v>197.94</v>
      </c>
      <c r="W2299" s="1">
        <v>197.94</v>
      </c>
      <c r="X2299" s="1" t="s">
        <v>35</v>
      </c>
      <c r="Y2299" s="1">
        <v>197940.0</v>
      </c>
      <c r="Z2299" s="1"/>
      <c r="AA2299" s="1">
        <v>197940.0</v>
      </c>
      <c r="AB2299" s="1"/>
      <c r="AC2299" s="1" t="s">
        <v>36</v>
      </c>
      <c r="AD2299" s="1" t="s">
        <v>8336</v>
      </c>
      <c r="AE2299" s="1" t="s">
        <v>32</v>
      </c>
      <c r="AF2299" s="1" t="s">
        <v>33</v>
      </c>
      <c r="AG2299" s="1" t="s">
        <v>49</v>
      </c>
    </row>
    <row r="2300" spans="1:33">
      <c r="A2300" t="s">
        <v>8353</v>
      </c>
      <c r="B2300" t="s">
        <v>1031</v>
      </c>
      <c r="C2300" t="s">
        <v>8354</v>
      </c>
      <c r="E2300" t="s">
        <v>8226</v>
      </c>
      <c r="F2300" t="s">
        <v>8190</v>
      </c>
      <c r="G2300">
        <v>1.294</v>
      </c>
      <c r="H2300">
        <v>1.294</v>
      </c>
      <c r="I2300" t="s">
        <v>529</v>
      </c>
      <c r="J2300" t="s">
        <v>530</v>
      </c>
      <c r="K2300" t="s">
        <v>31</v>
      </c>
      <c r="L2300" t="s">
        <v>32</v>
      </c>
      <c r="M2300" t="s">
        <v>33</v>
      </c>
      <c r="P2300" s="1" t="s">
        <v>8355</v>
      </c>
      <c r="Q2300" s="1" t="s">
        <v>8226</v>
      </c>
      <c r="R2300" s="1" t="s">
        <v>7413</v>
      </c>
      <c r="S2300" s="1"/>
      <c r="T2300" s="1" t="s">
        <v>8354</v>
      </c>
      <c r="U2300" s="1"/>
      <c r="V2300" s="1">
        <v>1.294</v>
      </c>
      <c r="W2300" s="1">
        <v>1.294</v>
      </c>
      <c r="X2300" s="1" t="s">
        <v>35</v>
      </c>
      <c r="Y2300" s="1">
        <v>1294000.0</v>
      </c>
      <c r="Z2300" s="1"/>
      <c r="AA2300" s="1">
        <v>1294000.0</v>
      </c>
      <c r="AB2300" s="1"/>
      <c r="AC2300" s="1" t="s">
        <v>36</v>
      </c>
      <c r="AD2300" s="1" t="s">
        <v>8356</v>
      </c>
      <c r="AE2300" s="1" t="s">
        <v>32</v>
      </c>
      <c r="AF2300" s="1" t="s">
        <v>33</v>
      </c>
      <c r="AG2300" s="1" t="s">
        <v>530</v>
      </c>
    </row>
    <row r="2301" spans="1:33">
      <c r="A2301" t="s">
        <v>8357</v>
      </c>
      <c r="B2301" t="s">
        <v>8358</v>
      </c>
      <c r="C2301" t="s">
        <v>1298</v>
      </c>
      <c r="E2301" t="s">
        <v>8226</v>
      </c>
      <c r="F2301" t="s">
        <v>8190</v>
      </c>
      <c r="G2301">
        <v>9.354</v>
      </c>
      <c r="H2301">
        <v>9.354</v>
      </c>
      <c r="I2301" t="s">
        <v>529</v>
      </c>
      <c r="J2301" t="s">
        <v>530</v>
      </c>
      <c r="K2301" t="s">
        <v>31</v>
      </c>
      <c r="L2301" t="s">
        <v>32</v>
      </c>
      <c r="M2301" t="s">
        <v>33</v>
      </c>
      <c r="P2301" s="1" t="s">
        <v>8359</v>
      </c>
      <c r="Q2301" s="1" t="s">
        <v>8226</v>
      </c>
      <c r="R2301" s="1" t="s">
        <v>7413</v>
      </c>
      <c r="S2301" s="1"/>
      <c r="T2301" s="1" t="s">
        <v>1298</v>
      </c>
      <c r="U2301" s="1"/>
      <c r="V2301" s="1">
        <v>9.354</v>
      </c>
      <c r="W2301" s="1">
        <v>9.354</v>
      </c>
      <c r="X2301" s="1" t="s">
        <v>35</v>
      </c>
      <c r="Y2301" s="1">
        <v>9354.0</v>
      </c>
      <c r="Z2301" s="1"/>
      <c r="AA2301" s="1">
        <v>9354.0</v>
      </c>
      <c r="AB2301" s="1"/>
      <c r="AC2301" s="1" t="s">
        <v>36</v>
      </c>
      <c r="AD2301" s="1" t="s">
        <v>8360</v>
      </c>
      <c r="AE2301" s="1" t="s">
        <v>32</v>
      </c>
      <c r="AF2301" s="1" t="s">
        <v>33</v>
      </c>
      <c r="AG2301" s="1" t="s">
        <v>530</v>
      </c>
    </row>
    <row r="2302" spans="1:33">
      <c r="A2302" t="s">
        <v>8361</v>
      </c>
      <c r="C2302" t="s">
        <v>3133</v>
      </c>
      <c r="E2302" t="s">
        <v>8226</v>
      </c>
      <c r="F2302" t="s">
        <v>8190</v>
      </c>
      <c r="G2302">
        <v>850.0</v>
      </c>
      <c r="H2302">
        <v>850.0</v>
      </c>
      <c r="I2302" t="s">
        <v>269</v>
      </c>
      <c r="J2302" t="s">
        <v>270</v>
      </c>
      <c r="K2302" t="s">
        <v>31</v>
      </c>
      <c r="L2302" t="s">
        <v>32</v>
      </c>
      <c r="M2302" t="s">
        <v>33</v>
      </c>
      <c r="P2302" s="1" t="s">
        <v>8362</v>
      </c>
      <c r="Q2302" s="1" t="s">
        <v>8226</v>
      </c>
      <c r="R2302" s="1" t="s">
        <v>8226</v>
      </c>
      <c r="S2302" s="1"/>
      <c r="T2302" s="1" t="s">
        <v>3133</v>
      </c>
      <c r="U2302" s="1"/>
      <c r="V2302" s="1">
        <v>850.0</v>
      </c>
      <c r="W2302" s="1">
        <v>850.0</v>
      </c>
      <c r="X2302" s="1" t="s">
        <v>35</v>
      </c>
      <c r="Y2302" s="1">
        <v>850000.0</v>
      </c>
      <c r="Z2302" s="1"/>
      <c r="AA2302" s="1">
        <v>850000.0</v>
      </c>
      <c r="AB2302" s="1"/>
      <c r="AC2302" s="1" t="s">
        <v>36</v>
      </c>
      <c r="AD2302" s="1" t="s">
        <v>8363</v>
      </c>
      <c r="AE2302" s="1" t="s">
        <v>32</v>
      </c>
      <c r="AF2302" s="1" t="s">
        <v>33</v>
      </c>
      <c r="AG2302" s="1" t="s">
        <v>270</v>
      </c>
    </row>
    <row r="2303" spans="1:33">
      <c r="A2303" t="s">
        <v>8364</v>
      </c>
      <c r="C2303" t="s">
        <v>644</v>
      </c>
      <c r="E2303" t="s">
        <v>8226</v>
      </c>
      <c r="F2303" t="s">
        <v>8190</v>
      </c>
      <c r="G2303">
        <v>584.25</v>
      </c>
      <c r="H2303">
        <v>584.25</v>
      </c>
      <c r="I2303" t="s">
        <v>227</v>
      </c>
      <c r="J2303" t="s">
        <v>228</v>
      </c>
      <c r="K2303" t="s">
        <v>31</v>
      </c>
      <c r="L2303" t="s">
        <v>32</v>
      </c>
      <c r="M2303" t="s">
        <v>33</v>
      </c>
      <c r="P2303" s="1" t="s">
        <v>8365</v>
      </c>
      <c r="Q2303" s="1" t="s">
        <v>8226</v>
      </c>
      <c r="R2303" s="1" t="s">
        <v>8226</v>
      </c>
      <c r="S2303" s="1"/>
      <c r="T2303" s="1" t="s">
        <v>644</v>
      </c>
      <c r="U2303" s="1"/>
      <c r="V2303" s="1">
        <v>584.25</v>
      </c>
      <c r="W2303" s="1">
        <v>584.25</v>
      </c>
      <c r="X2303" s="1" t="s">
        <v>35</v>
      </c>
      <c r="Y2303" s="1">
        <v>584250.0</v>
      </c>
      <c r="Z2303" s="1"/>
      <c r="AA2303" s="1">
        <v>584250.0</v>
      </c>
      <c r="AB2303" s="1"/>
      <c r="AC2303" s="1" t="s">
        <v>36</v>
      </c>
      <c r="AD2303" s="1" t="s">
        <v>8366</v>
      </c>
      <c r="AE2303" s="1" t="s">
        <v>32</v>
      </c>
      <c r="AF2303" s="1" t="s">
        <v>33</v>
      </c>
      <c r="AG2303" s="1" t="s">
        <v>228</v>
      </c>
    </row>
    <row r="2304" spans="1:33">
      <c r="A2304" t="s">
        <v>8367</v>
      </c>
      <c r="B2304" t="s">
        <v>8368</v>
      </c>
      <c r="C2304" t="s">
        <v>125</v>
      </c>
      <c r="E2304" t="s">
        <v>8226</v>
      </c>
      <c r="F2304" t="s">
        <v>8190</v>
      </c>
      <c r="G2304">
        <v>20.99</v>
      </c>
      <c r="H2304">
        <v>20.99</v>
      </c>
      <c r="I2304" t="s">
        <v>126</v>
      </c>
      <c r="J2304" t="s">
        <v>127</v>
      </c>
      <c r="K2304" t="s">
        <v>31</v>
      </c>
      <c r="L2304" t="s">
        <v>32</v>
      </c>
      <c r="M2304" t="s">
        <v>33</v>
      </c>
      <c r="P2304" s="1" t="s">
        <v>8369</v>
      </c>
      <c r="Q2304" s="1" t="s">
        <v>8226</v>
      </c>
      <c r="R2304" s="1" t="s">
        <v>8226</v>
      </c>
      <c r="S2304" s="1"/>
      <c r="T2304" s="1" t="s">
        <v>125</v>
      </c>
      <c r="U2304" s="1"/>
      <c r="V2304" s="1">
        <v>20.99</v>
      </c>
      <c r="W2304" s="1">
        <v>20.99</v>
      </c>
      <c r="X2304" s="1" t="s">
        <v>35</v>
      </c>
      <c r="Y2304" s="1">
        <v>20990.0</v>
      </c>
      <c r="Z2304" s="1"/>
      <c r="AA2304" s="1">
        <v>20990.0</v>
      </c>
      <c r="AB2304" s="1"/>
      <c r="AC2304" s="1" t="s">
        <v>36</v>
      </c>
      <c r="AD2304" s="1" t="s">
        <v>8363</v>
      </c>
      <c r="AE2304" s="1" t="s">
        <v>32</v>
      </c>
      <c r="AF2304" s="1" t="s">
        <v>33</v>
      </c>
      <c r="AG2304" s="1" t="s">
        <v>127</v>
      </c>
    </row>
    <row r="2305" spans="1:33">
      <c r="A2305" t="s">
        <v>8370</v>
      </c>
      <c r="C2305" t="s">
        <v>638</v>
      </c>
      <c r="D2305" t="s">
        <v>154</v>
      </c>
      <c r="E2305" t="s">
        <v>8226</v>
      </c>
      <c r="F2305" t="s">
        <v>8190</v>
      </c>
      <c r="G2305">
        <v>58.5</v>
      </c>
      <c r="H2305">
        <v>58.5</v>
      </c>
      <c r="I2305" t="s">
        <v>227</v>
      </c>
      <c r="J2305" t="s">
        <v>228</v>
      </c>
      <c r="K2305" t="s">
        <v>31</v>
      </c>
      <c r="L2305" t="s">
        <v>32</v>
      </c>
      <c r="M2305" t="s">
        <v>33</v>
      </c>
      <c r="P2305" s="1" t="s">
        <v>8371</v>
      </c>
      <c r="Q2305" s="1" t="s">
        <v>8226</v>
      </c>
      <c r="R2305" s="1" t="s">
        <v>8226</v>
      </c>
      <c r="S2305" s="1"/>
      <c r="T2305" s="1" t="s">
        <v>640</v>
      </c>
      <c r="U2305" s="1" t="s">
        <v>641</v>
      </c>
      <c r="V2305" s="1">
        <v>58.5</v>
      </c>
      <c r="W2305" s="1">
        <v>58.5</v>
      </c>
      <c r="X2305" s="1" t="s">
        <v>35</v>
      </c>
      <c r="Y2305" s="1">
        <v>58500.0</v>
      </c>
      <c r="Z2305" s="1"/>
      <c r="AA2305" s="1">
        <v>58500.0</v>
      </c>
      <c r="AB2305" s="1"/>
      <c r="AC2305" s="1" t="s">
        <v>36</v>
      </c>
      <c r="AD2305" s="1" t="s">
        <v>8372</v>
      </c>
      <c r="AE2305" s="1" t="s">
        <v>32</v>
      </c>
      <c r="AF2305" s="1" t="s">
        <v>33</v>
      </c>
      <c r="AG2305" s="1" t="s">
        <v>228</v>
      </c>
    </row>
    <row r="2306" spans="1:33">
      <c r="A2306" t="s">
        <v>8373</v>
      </c>
      <c r="C2306" t="s">
        <v>8374</v>
      </c>
      <c r="E2306" t="s">
        <v>8226</v>
      </c>
      <c r="F2306" t="s">
        <v>8190</v>
      </c>
      <c r="G2306">
        <v>720.0</v>
      </c>
      <c r="H2306">
        <v>720.0</v>
      </c>
      <c r="I2306" t="s">
        <v>227</v>
      </c>
      <c r="J2306" t="s">
        <v>228</v>
      </c>
      <c r="K2306" t="s">
        <v>31</v>
      </c>
      <c r="L2306" t="s">
        <v>32</v>
      </c>
      <c r="M2306" t="s">
        <v>33</v>
      </c>
      <c r="P2306" s="1" t="s">
        <v>8375</v>
      </c>
      <c r="Q2306" s="1" t="s">
        <v>8226</v>
      </c>
      <c r="R2306" s="1" t="s">
        <v>8226</v>
      </c>
      <c r="S2306" s="1"/>
      <c r="T2306" s="1" t="s">
        <v>8374</v>
      </c>
      <c r="U2306" s="1"/>
      <c r="V2306" s="1">
        <v>720.0</v>
      </c>
      <c r="W2306" s="1">
        <v>720.0</v>
      </c>
      <c r="X2306" s="1" t="s">
        <v>35</v>
      </c>
      <c r="Y2306" s="1">
        <v>720000.0</v>
      </c>
      <c r="Z2306" s="1"/>
      <c r="AA2306" s="1">
        <v>720000.0</v>
      </c>
      <c r="AB2306" s="1"/>
      <c r="AC2306" s="1" t="s">
        <v>36</v>
      </c>
      <c r="AD2306" s="1" t="s">
        <v>8356</v>
      </c>
      <c r="AE2306" s="1" t="s">
        <v>32</v>
      </c>
      <c r="AF2306" s="1" t="s">
        <v>33</v>
      </c>
      <c r="AG2306" s="1" t="s">
        <v>228</v>
      </c>
    </row>
    <row r="2307" spans="1:33">
      <c r="A2307" t="s">
        <v>8376</v>
      </c>
      <c r="B2307" t="s">
        <v>8377</v>
      </c>
      <c r="C2307" t="s">
        <v>47</v>
      </c>
      <c r="E2307" t="s">
        <v>8226</v>
      </c>
      <c r="F2307" t="s">
        <v>8190</v>
      </c>
      <c r="G2307">
        <v>45.0</v>
      </c>
      <c r="H2307">
        <v>45.0</v>
      </c>
      <c r="I2307" t="s">
        <v>2206</v>
      </c>
      <c r="J2307" t="s">
        <v>49</v>
      </c>
      <c r="K2307" t="s">
        <v>31</v>
      </c>
      <c r="L2307" t="s">
        <v>32</v>
      </c>
      <c r="M2307" t="s">
        <v>33</v>
      </c>
      <c r="P2307" s="1" t="s">
        <v>8378</v>
      </c>
      <c r="Q2307" s="1" t="s">
        <v>8226</v>
      </c>
      <c r="R2307" s="1" t="s">
        <v>8226</v>
      </c>
      <c r="S2307" s="1"/>
      <c r="T2307" s="1" t="s">
        <v>47</v>
      </c>
      <c r="U2307" s="1"/>
      <c r="V2307" s="1">
        <v>45.0</v>
      </c>
      <c r="W2307" s="1">
        <v>45.0</v>
      </c>
      <c r="X2307" s="1" t="s">
        <v>35</v>
      </c>
      <c r="Y2307" s="1">
        <v>45000.0</v>
      </c>
      <c r="Z2307" s="1"/>
      <c r="AA2307" s="1">
        <v>45000.0</v>
      </c>
      <c r="AB2307" s="1"/>
      <c r="AC2307" s="1" t="s">
        <v>36</v>
      </c>
      <c r="AD2307" s="1" t="s">
        <v>8366</v>
      </c>
      <c r="AE2307" s="1" t="s">
        <v>32</v>
      </c>
      <c r="AF2307" s="1" t="s">
        <v>33</v>
      </c>
      <c r="AG2307" s="1" t="s">
        <v>49</v>
      </c>
    </row>
    <row r="2308" spans="1:33">
      <c r="A2308" t="s">
        <v>8379</v>
      </c>
      <c r="B2308" t="s">
        <v>2364</v>
      </c>
      <c r="C2308" t="s">
        <v>314</v>
      </c>
      <c r="E2308" t="s">
        <v>8226</v>
      </c>
      <c r="F2308" t="s">
        <v>8190</v>
      </c>
      <c r="G2308">
        <v>6.9</v>
      </c>
      <c r="H2308">
        <v>6.9</v>
      </c>
      <c r="I2308" t="s">
        <v>179</v>
      </c>
      <c r="J2308" t="s">
        <v>180</v>
      </c>
      <c r="K2308" t="s">
        <v>31</v>
      </c>
      <c r="L2308" t="s">
        <v>32</v>
      </c>
      <c r="M2308" t="s">
        <v>33</v>
      </c>
      <c r="P2308" s="1" t="s">
        <v>8380</v>
      </c>
      <c r="Q2308" s="1" t="s">
        <v>8226</v>
      </c>
      <c r="R2308" s="1" t="s">
        <v>8226</v>
      </c>
      <c r="S2308" s="1"/>
      <c r="T2308" s="1" t="s">
        <v>314</v>
      </c>
      <c r="U2308" s="1"/>
      <c r="V2308" s="1">
        <v>6.9</v>
      </c>
      <c r="W2308" s="1">
        <v>6.9</v>
      </c>
      <c r="X2308" s="1" t="s">
        <v>35</v>
      </c>
      <c r="Y2308" s="1">
        <v>6900.0</v>
      </c>
      <c r="Z2308" s="1"/>
      <c r="AA2308" s="1">
        <v>6900.0</v>
      </c>
      <c r="AB2308" s="1"/>
      <c r="AC2308" s="1" t="s">
        <v>36</v>
      </c>
      <c r="AD2308" s="1" t="s">
        <v>8381</v>
      </c>
      <c r="AE2308" s="1" t="s">
        <v>32</v>
      </c>
      <c r="AF2308" s="1" t="s">
        <v>33</v>
      </c>
      <c r="AG2308" s="1" t="s">
        <v>180</v>
      </c>
    </row>
    <row r="2309" spans="1:33">
      <c r="A2309" t="s">
        <v>8382</v>
      </c>
      <c r="C2309" t="s">
        <v>8383</v>
      </c>
      <c r="D2309" t="s">
        <v>114</v>
      </c>
      <c r="E2309" t="s">
        <v>8226</v>
      </c>
      <c r="F2309" t="s">
        <v>8190</v>
      </c>
      <c r="G2309">
        <v>87.96</v>
      </c>
      <c r="H2309">
        <v>87.96</v>
      </c>
      <c r="I2309" t="s">
        <v>40</v>
      </c>
      <c r="J2309" t="s">
        <v>41</v>
      </c>
      <c r="K2309" t="s">
        <v>31</v>
      </c>
      <c r="L2309" t="s">
        <v>32</v>
      </c>
      <c r="M2309" t="s">
        <v>33</v>
      </c>
      <c r="P2309" s="1" t="s">
        <v>8384</v>
      </c>
      <c r="Q2309" s="1" t="s">
        <v>8226</v>
      </c>
      <c r="R2309" s="1" t="s">
        <v>7413</v>
      </c>
      <c r="S2309" s="1"/>
      <c r="T2309" s="1" t="s">
        <v>8383</v>
      </c>
      <c r="U2309" s="1"/>
      <c r="V2309" s="1">
        <v>87.96</v>
      </c>
      <c r="W2309" s="1">
        <v>87.96</v>
      </c>
      <c r="X2309" s="1" t="s">
        <v>35</v>
      </c>
      <c r="Y2309" s="1">
        <v>87960.0</v>
      </c>
      <c r="Z2309" s="1"/>
      <c r="AA2309" s="1">
        <v>87960.0</v>
      </c>
      <c r="AB2309" s="1"/>
      <c r="AC2309" s="1" t="s">
        <v>36</v>
      </c>
      <c r="AD2309" s="1" t="s">
        <v>8385</v>
      </c>
      <c r="AE2309" s="1" t="s">
        <v>32</v>
      </c>
      <c r="AF2309" s="1" t="s">
        <v>33</v>
      </c>
      <c r="AG2309" s="1" t="s">
        <v>41</v>
      </c>
    </row>
    <row r="2310" spans="1:33">
      <c r="A2310" t="s">
        <v>8386</v>
      </c>
      <c r="B2310" t="s">
        <v>8387</v>
      </c>
      <c r="C2310" t="s">
        <v>47</v>
      </c>
      <c r="E2310" t="s">
        <v>8226</v>
      </c>
      <c r="F2310" t="s">
        <v>8190</v>
      </c>
      <c r="G2310">
        <v>65.97</v>
      </c>
      <c r="H2310">
        <v>65.97</v>
      </c>
      <c r="I2310" t="s">
        <v>2206</v>
      </c>
      <c r="J2310" t="s">
        <v>49</v>
      </c>
      <c r="K2310" t="s">
        <v>31</v>
      </c>
      <c r="L2310" t="s">
        <v>32</v>
      </c>
      <c r="M2310" t="s">
        <v>33</v>
      </c>
      <c r="P2310" s="1" t="s">
        <v>8388</v>
      </c>
      <c r="Q2310" s="1" t="s">
        <v>8226</v>
      </c>
      <c r="R2310" s="1" t="s">
        <v>8226</v>
      </c>
      <c r="S2310" s="1"/>
      <c r="T2310" s="1" t="s">
        <v>47</v>
      </c>
      <c r="U2310" s="1"/>
      <c r="V2310" s="1">
        <v>65.97</v>
      </c>
      <c r="W2310" s="1">
        <v>65.97</v>
      </c>
      <c r="X2310" s="1" t="s">
        <v>35</v>
      </c>
      <c r="Y2310" s="1">
        <v>65970.0</v>
      </c>
      <c r="Z2310" s="1"/>
      <c r="AA2310" s="1">
        <v>65970.0</v>
      </c>
      <c r="AB2310" s="1"/>
      <c r="AC2310" s="1" t="s">
        <v>36</v>
      </c>
      <c r="AD2310" s="1" t="s">
        <v>8389</v>
      </c>
      <c r="AE2310" s="1" t="s">
        <v>32</v>
      </c>
      <c r="AF2310" s="1" t="s">
        <v>33</v>
      </c>
      <c r="AG2310" s="1" t="s">
        <v>49</v>
      </c>
    </row>
    <row r="2311" spans="1:33">
      <c r="A2311" t="s">
        <v>8390</v>
      </c>
      <c r="B2311" t="s">
        <v>1273</v>
      </c>
      <c r="C2311" t="s">
        <v>314</v>
      </c>
      <c r="E2311" t="s">
        <v>8226</v>
      </c>
      <c r="F2311" t="s">
        <v>8190</v>
      </c>
      <c r="G2311">
        <v>111.2</v>
      </c>
      <c r="H2311">
        <v>111.2</v>
      </c>
      <c r="I2311" t="s">
        <v>179</v>
      </c>
      <c r="J2311" t="s">
        <v>180</v>
      </c>
      <c r="K2311" t="s">
        <v>31</v>
      </c>
      <c r="L2311" t="s">
        <v>32</v>
      </c>
      <c r="M2311" t="s">
        <v>33</v>
      </c>
      <c r="P2311" s="1" t="s">
        <v>8391</v>
      </c>
      <c r="Q2311" s="1" t="s">
        <v>8226</v>
      </c>
      <c r="R2311" s="1" t="s">
        <v>8226</v>
      </c>
      <c r="S2311" s="1"/>
      <c r="T2311" s="1" t="s">
        <v>314</v>
      </c>
      <c r="U2311" s="1"/>
      <c r="V2311" s="1">
        <v>111.2</v>
      </c>
      <c r="W2311" s="1">
        <v>111.2</v>
      </c>
      <c r="X2311" s="1" t="s">
        <v>35</v>
      </c>
      <c r="Y2311" s="1">
        <v>111200.0</v>
      </c>
      <c r="Z2311" s="1"/>
      <c r="AA2311" s="1">
        <v>111200.0</v>
      </c>
      <c r="AB2311" s="1"/>
      <c r="AC2311" s="1" t="s">
        <v>36</v>
      </c>
      <c r="AD2311" s="1" t="s">
        <v>8392</v>
      </c>
      <c r="AE2311" s="1" t="s">
        <v>32</v>
      </c>
      <c r="AF2311" s="1" t="s">
        <v>33</v>
      </c>
      <c r="AG2311" s="1" t="s">
        <v>180</v>
      </c>
    </row>
    <row r="2312" spans="1:33">
      <c r="A2312" t="s">
        <v>8393</v>
      </c>
      <c r="C2312" t="s">
        <v>2548</v>
      </c>
      <c r="D2312" t="s">
        <v>154</v>
      </c>
      <c r="E2312" t="s">
        <v>8226</v>
      </c>
      <c r="F2312" t="s">
        <v>8190</v>
      </c>
      <c r="G2312">
        <v>328.0</v>
      </c>
      <c r="H2312">
        <v>328.0</v>
      </c>
      <c r="I2312" t="s">
        <v>269</v>
      </c>
      <c r="J2312" t="s">
        <v>270</v>
      </c>
      <c r="K2312" t="s">
        <v>31</v>
      </c>
      <c r="L2312" t="s">
        <v>32</v>
      </c>
      <c r="M2312" t="s">
        <v>33</v>
      </c>
      <c r="P2312" s="1" t="s">
        <v>8394</v>
      </c>
      <c r="Q2312" s="1" t="s">
        <v>8226</v>
      </c>
      <c r="R2312" s="1" t="s">
        <v>8226</v>
      </c>
      <c r="S2312" s="1"/>
      <c r="T2312" s="1" t="s">
        <v>2548</v>
      </c>
      <c r="U2312" s="1"/>
      <c r="V2312" s="1">
        <v>328.0</v>
      </c>
      <c r="W2312" s="1">
        <v>328.0</v>
      </c>
      <c r="X2312" s="1" t="s">
        <v>35</v>
      </c>
      <c r="Y2312" s="1">
        <v>328000.0</v>
      </c>
      <c r="Z2312" s="1"/>
      <c r="AA2312" s="1">
        <v>328000.0</v>
      </c>
      <c r="AB2312" s="1"/>
      <c r="AC2312" s="1" t="s">
        <v>36</v>
      </c>
      <c r="AD2312" s="1" t="s">
        <v>8395</v>
      </c>
      <c r="AE2312" s="1" t="s">
        <v>32</v>
      </c>
      <c r="AF2312" s="1" t="s">
        <v>33</v>
      </c>
      <c r="AG2312" s="1" t="s">
        <v>270</v>
      </c>
    </row>
    <row r="2313" spans="1:33">
      <c r="A2313" t="s">
        <v>8396</v>
      </c>
      <c r="B2313" t="s">
        <v>1487</v>
      </c>
      <c r="C2313" t="s">
        <v>1488</v>
      </c>
      <c r="E2313" t="s">
        <v>8226</v>
      </c>
      <c r="F2313" t="s">
        <v>8190</v>
      </c>
      <c r="G2313">
        <v>785.0</v>
      </c>
      <c r="H2313">
        <v>785.0</v>
      </c>
      <c r="I2313" t="s">
        <v>40</v>
      </c>
      <c r="J2313" t="s">
        <v>41</v>
      </c>
      <c r="K2313" t="s">
        <v>31</v>
      </c>
      <c r="L2313" t="s">
        <v>32</v>
      </c>
      <c r="M2313" t="s">
        <v>33</v>
      </c>
      <c r="P2313" s="1" t="s">
        <v>8397</v>
      </c>
      <c r="Q2313" s="1" t="s">
        <v>8226</v>
      </c>
      <c r="R2313" s="1" t="s">
        <v>7413</v>
      </c>
      <c r="S2313" s="1"/>
      <c r="T2313" s="1" t="s">
        <v>1488</v>
      </c>
      <c r="U2313" s="1"/>
      <c r="V2313" s="1">
        <v>785.0</v>
      </c>
      <c r="W2313" s="1">
        <v>785.0</v>
      </c>
      <c r="X2313" s="1" t="s">
        <v>35</v>
      </c>
      <c r="Y2313" s="1">
        <v>785000.0</v>
      </c>
      <c r="Z2313" s="1"/>
      <c r="AA2313" s="1">
        <v>785000.0</v>
      </c>
      <c r="AB2313" s="1"/>
      <c r="AC2313" s="1" t="s">
        <v>36</v>
      </c>
      <c r="AD2313" s="1" t="s">
        <v>8398</v>
      </c>
      <c r="AE2313" s="1" t="s">
        <v>32</v>
      </c>
      <c r="AF2313" s="1" t="s">
        <v>33</v>
      </c>
      <c r="AG2313" s="1" t="s">
        <v>41</v>
      </c>
    </row>
    <row r="2314" spans="1:33">
      <c r="A2314" t="s">
        <v>8399</v>
      </c>
      <c r="C2314" t="s">
        <v>4738</v>
      </c>
      <c r="E2314" t="s">
        <v>8226</v>
      </c>
      <c r="F2314" t="s">
        <v>6134</v>
      </c>
      <c r="G2314">
        <v>422.4</v>
      </c>
      <c r="H2314">
        <v>422.4</v>
      </c>
      <c r="I2314" t="s">
        <v>179</v>
      </c>
      <c r="J2314" t="s">
        <v>180</v>
      </c>
      <c r="K2314" t="s">
        <v>31</v>
      </c>
      <c r="L2314" t="s">
        <v>32</v>
      </c>
      <c r="M2314" t="s">
        <v>33</v>
      </c>
      <c r="P2314" s="1" t="s">
        <v>8400</v>
      </c>
      <c r="Q2314" s="1" t="s">
        <v>8226</v>
      </c>
      <c r="R2314" s="1" t="s">
        <v>8226</v>
      </c>
      <c r="S2314" s="1"/>
      <c r="T2314" s="1" t="s">
        <v>4738</v>
      </c>
      <c r="U2314" s="1"/>
      <c r="V2314" s="1">
        <v>422.4</v>
      </c>
      <c r="W2314" s="1">
        <v>422.4</v>
      </c>
      <c r="X2314" s="1" t="s">
        <v>35</v>
      </c>
      <c r="Y2314" s="1">
        <v>422400.0</v>
      </c>
      <c r="Z2314" s="1"/>
      <c r="AA2314" s="1">
        <v>422400.0</v>
      </c>
      <c r="AB2314" s="1"/>
      <c r="AC2314" s="1" t="s">
        <v>36</v>
      </c>
      <c r="AD2314" s="1" t="s">
        <v>8401</v>
      </c>
      <c r="AE2314" s="1" t="s">
        <v>32</v>
      </c>
      <c r="AF2314" s="1" t="s">
        <v>33</v>
      </c>
      <c r="AG2314" s="1" t="s">
        <v>180</v>
      </c>
    </row>
    <row r="2315" spans="1:33">
      <c r="A2315" t="s">
        <v>8402</v>
      </c>
      <c r="B2315" t="s">
        <v>57</v>
      </c>
      <c r="C2315" t="s">
        <v>58</v>
      </c>
      <c r="E2315" t="s">
        <v>8226</v>
      </c>
      <c r="F2315" t="s">
        <v>8190</v>
      </c>
      <c r="G2315">
        <v>370.0</v>
      </c>
      <c r="H2315">
        <v>370.0</v>
      </c>
      <c r="I2315" t="s">
        <v>59</v>
      </c>
      <c r="J2315" t="s">
        <v>60</v>
      </c>
      <c r="K2315" t="s">
        <v>31</v>
      </c>
      <c r="L2315" t="s">
        <v>32</v>
      </c>
      <c r="M2315" t="s">
        <v>33</v>
      </c>
      <c r="P2315" s="1" t="s">
        <v>8403</v>
      </c>
      <c r="Q2315" s="1" t="s">
        <v>8226</v>
      </c>
      <c r="R2315" s="1" t="s">
        <v>8226</v>
      </c>
      <c r="S2315" s="1"/>
      <c r="T2315" s="1" t="s">
        <v>58</v>
      </c>
      <c r="U2315" s="1"/>
      <c r="V2315" s="1">
        <v>370.0</v>
      </c>
      <c r="W2315" s="1">
        <v>370.0</v>
      </c>
      <c r="X2315" s="1" t="s">
        <v>35</v>
      </c>
      <c r="Y2315" s="1">
        <v>370000.0</v>
      </c>
      <c r="Z2315" s="1"/>
      <c r="AA2315" s="1">
        <v>370000.0</v>
      </c>
      <c r="AB2315" s="1"/>
      <c r="AC2315" s="1" t="s">
        <v>36</v>
      </c>
      <c r="AD2315" s="1" t="s">
        <v>8404</v>
      </c>
      <c r="AE2315" s="1" t="s">
        <v>32</v>
      </c>
      <c r="AF2315" s="1" t="s">
        <v>33</v>
      </c>
      <c r="AG2315" s="1" t="s">
        <v>60</v>
      </c>
    </row>
    <row r="2316" spans="1:33">
      <c r="A2316" t="s">
        <v>8405</v>
      </c>
      <c r="B2316" t="s">
        <v>8406</v>
      </c>
      <c r="C2316" t="s">
        <v>887</v>
      </c>
      <c r="E2316" t="s">
        <v>8226</v>
      </c>
      <c r="F2316" t="s">
        <v>8190</v>
      </c>
      <c r="G2316">
        <v>2.847</v>
      </c>
      <c r="H2316">
        <v>2.847</v>
      </c>
      <c r="I2316" t="s">
        <v>29</v>
      </c>
      <c r="J2316" t="s">
        <v>30</v>
      </c>
      <c r="K2316" t="s">
        <v>31</v>
      </c>
      <c r="L2316" t="s">
        <v>32</v>
      </c>
      <c r="M2316" t="s">
        <v>33</v>
      </c>
      <c r="P2316" s="1" t="s">
        <v>8407</v>
      </c>
      <c r="Q2316" s="1" t="s">
        <v>8226</v>
      </c>
      <c r="R2316" s="1" t="s">
        <v>8226</v>
      </c>
      <c r="S2316" s="1"/>
      <c r="T2316" s="1" t="s">
        <v>887</v>
      </c>
      <c r="U2316" s="1"/>
      <c r="V2316" s="1">
        <v>2.847</v>
      </c>
      <c r="W2316" s="1">
        <v>2.847</v>
      </c>
      <c r="X2316" s="1" t="s">
        <v>35</v>
      </c>
      <c r="Y2316" s="1">
        <v>2858380.0</v>
      </c>
      <c r="Z2316" s="1">
        <v>-11020</v>
      </c>
      <c r="AA2316" s="1">
        <v>2858380.0</v>
      </c>
      <c r="AB2316" s="1">
        <v>-11020</v>
      </c>
      <c r="AC2316" s="1" t="s">
        <v>36</v>
      </c>
      <c r="AD2316" s="1" t="s">
        <v>8408</v>
      </c>
      <c r="AE2316" s="1" t="s">
        <v>32</v>
      </c>
      <c r="AF2316" s="1" t="s">
        <v>33</v>
      </c>
      <c r="AG2316" s="1" t="s">
        <v>30</v>
      </c>
    </row>
    <row r="2317" spans="1:33">
      <c r="A2317" t="s">
        <v>8409</v>
      </c>
      <c r="B2317" t="s">
        <v>950</v>
      </c>
      <c r="C2317" t="s">
        <v>951</v>
      </c>
      <c r="E2317" t="s">
        <v>8226</v>
      </c>
      <c r="F2317" t="s">
        <v>8190</v>
      </c>
      <c r="G2317">
        <v>16.96</v>
      </c>
      <c r="H2317">
        <v>16.96</v>
      </c>
      <c r="I2317" t="s">
        <v>59</v>
      </c>
      <c r="J2317" t="s">
        <v>60</v>
      </c>
      <c r="K2317" t="s">
        <v>31</v>
      </c>
      <c r="L2317" t="s">
        <v>32</v>
      </c>
      <c r="M2317" t="s">
        <v>33</v>
      </c>
      <c r="P2317" s="1" t="s">
        <v>8410</v>
      </c>
      <c r="Q2317" s="1" t="s">
        <v>8226</v>
      </c>
      <c r="R2317" s="1" t="s">
        <v>8226</v>
      </c>
      <c r="S2317" s="1"/>
      <c r="T2317" s="1" t="s">
        <v>951</v>
      </c>
      <c r="U2317" s="1"/>
      <c r="V2317" s="1">
        <v>16.96</v>
      </c>
      <c r="W2317" s="1">
        <v>16.96</v>
      </c>
      <c r="X2317" s="1" t="s">
        <v>35</v>
      </c>
      <c r="Y2317" s="1">
        <v>16960.0</v>
      </c>
      <c r="Z2317" s="1"/>
      <c r="AA2317" s="1">
        <v>16960.0</v>
      </c>
      <c r="AB2317" s="1"/>
      <c r="AC2317" s="1" t="s">
        <v>36</v>
      </c>
      <c r="AD2317" s="1" t="s">
        <v>8404</v>
      </c>
      <c r="AE2317" s="1" t="s">
        <v>32</v>
      </c>
      <c r="AF2317" s="1" t="s">
        <v>33</v>
      </c>
      <c r="AG2317" s="1" t="s">
        <v>60</v>
      </c>
    </row>
    <row r="2318" spans="1:33">
      <c r="A2318" t="s">
        <v>8411</v>
      </c>
      <c r="C2318" t="s">
        <v>513</v>
      </c>
      <c r="E2318" t="s">
        <v>8226</v>
      </c>
      <c r="F2318" t="s">
        <v>8190</v>
      </c>
      <c r="G2318">
        <v>210.0</v>
      </c>
      <c r="H2318">
        <v>210.0</v>
      </c>
      <c r="I2318" t="s">
        <v>2206</v>
      </c>
      <c r="J2318" t="s">
        <v>49</v>
      </c>
      <c r="K2318" t="s">
        <v>31</v>
      </c>
      <c r="L2318" t="s">
        <v>32</v>
      </c>
      <c r="M2318" t="s">
        <v>33</v>
      </c>
      <c r="P2318" s="1" t="s">
        <v>8412</v>
      </c>
      <c r="Q2318" s="1" t="s">
        <v>8226</v>
      </c>
      <c r="R2318" s="1" t="s">
        <v>8226</v>
      </c>
      <c r="S2318" s="1"/>
      <c r="T2318" s="1" t="s">
        <v>513</v>
      </c>
      <c r="U2318" s="1"/>
      <c r="V2318" s="1">
        <v>210.0</v>
      </c>
      <c r="W2318" s="1">
        <v>210.0</v>
      </c>
      <c r="X2318" s="1" t="s">
        <v>35</v>
      </c>
      <c r="Y2318" s="1">
        <v>210000.0</v>
      </c>
      <c r="Z2318" s="1"/>
      <c r="AA2318" s="1">
        <v>210000.0</v>
      </c>
      <c r="AB2318" s="1"/>
      <c r="AC2318" s="1" t="s">
        <v>36</v>
      </c>
      <c r="AD2318" s="1" t="s">
        <v>8413</v>
      </c>
      <c r="AE2318" s="1" t="s">
        <v>32</v>
      </c>
      <c r="AF2318" s="1" t="s">
        <v>33</v>
      </c>
      <c r="AG2318" s="1" t="s">
        <v>49</v>
      </c>
    </row>
    <row r="2319" spans="1:33">
      <c r="A2319" t="s">
        <v>8414</v>
      </c>
      <c r="B2319" t="s">
        <v>8415</v>
      </c>
      <c r="C2319" t="s">
        <v>3147</v>
      </c>
      <c r="E2319" t="s">
        <v>8226</v>
      </c>
      <c r="F2319" t="s">
        <v>8190</v>
      </c>
      <c r="G2319">
        <v>350.94</v>
      </c>
      <c r="H2319">
        <v>350.94</v>
      </c>
      <c r="I2319" t="s">
        <v>29</v>
      </c>
      <c r="J2319" t="s">
        <v>30</v>
      </c>
      <c r="K2319" t="s">
        <v>31</v>
      </c>
      <c r="L2319" t="s">
        <v>32</v>
      </c>
      <c r="M2319" t="s">
        <v>33</v>
      </c>
      <c r="P2319" s="1" t="s">
        <v>8416</v>
      </c>
      <c r="Q2319" s="1" t="s">
        <v>8226</v>
      </c>
      <c r="R2319" s="1" t="s">
        <v>8226</v>
      </c>
      <c r="S2319" s="1"/>
      <c r="T2319" s="1" t="s">
        <v>3147</v>
      </c>
      <c r="U2319" s="1"/>
      <c r="V2319" s="1">
        <v>350.94</v>
      </c>
      <c r="W2319" s="1">
        <v>350.94</v>
      </c>
      <c r="X2319" s="1" t="s">
        <v>35</v>
      </c>
      <c r="Y2319" s="1">
        <v>350940.0</v>
      </c>
      <c r="Z2319" s="1"/>
      <c r="AA2319" s="1">
        <v>350940.0</v>
      </c>
      <c r="AB2319" s="1"/>
      <c r="AC2319" s="1" t="s">
        <v>36</v>
      </c>
      <c r="AD2319" s="1" t="s">
        <v>8417</v>
      </c>
      <c r="AE2319" s="1" t="s">
        <v>32</v>
      </c>
      <c r="AF2319" s="1" t="s">
        <v>33</v>
      </c>
      <c r="AG2319" s="1" t="s">
        <v>30</v>
      </c>
    </row>
    <row r="2320" spans="1:33">
      <c r="A2320" t="s">
        <v>8418</v>
      </c>
      <c r="B2320" t="s">
        <v>8303</v>
      </c>
      <c r="C2320" t="s">
        <v>47</v>
      </c>
      <c r="E2320" t="s">
        <v>8226</v>
      </c>
      <c r="F2320" t="s">
        <v>8190</v>
      </c>
      <c r="G2320">
        <v>9.0</v>
      </c>
      <c r="H2320">
        <v>9.0</v>
      </c>
      <c r="I2320" t="s">
        <v>2206</v>
      </c>
      <c r="J2320" t="s">
        <v>49</v>
      </c>
      <c r="K2320" t="s">
        <v>31</v>
      </c>
      <c r="L2320" t="s">
        <v>32</v>
      </c>
      <c r="M2320" t="s">
        <v>33</v>
      </c>
      <c r="P2320" s="1" t="s">
        <v>8419</v>
      </c>
      <c r="Q2320" s="1" t="s">
        <v>8226</v>
      </c>
      <c r="R2320" s="1" t="s">
        <v>8226</v>
      </c>
      <c r="S2320" s="1"/>
      <c r="T2320" s="1" t="s">
        <v>47</v>
      </c>
      <c r="U2320" s="1"/>
      <c r="V2320" s="1">
        <v>9.0</v>
      </c>
      <c r="W2320" s="1">
        <v>9.0</v>
      </c>
      <c r="X2320" s="1" t="s">
        <v>35</v>
      </c>
      <c r="Y2320" s="1">
        <v>9000.0</v>
      </c>
      <c r="Z2320" s="1"/>
      <c r="AA2320" s="1">
        <v>9000.0</v>
      </c>
      <c r="AB2320" s="1"/>
      <c r="AC2320" s="1" t="s">
        <v>36</v>
      </c>
      <c r="AD2320" s="1" t="s">
        <v>8420</v>
      </c>
      <c r="AE2320" s="1" t="s">
        <v>32</v>
      </c>
      <c r="AF2320" s="1" t="s">
        <v>33</v>
      </c>
      <c r="AG2320" s="1" t="s">
        <v>49</v>
      </c>
    </row>
    <row r="2321" spans="1:33">
      <c r="A2321" t="s">
        <v>8421</v>
      </c>
      <c r="B2321" t="s">
        <v>8422</v>
      </c>
      <c r="C2321" t="s">
        <v>47</v>
      </c>
      <c r="E2321" t="s">
        <v>8226</v>
      </c>
      <c r="F2321" t="s">
        <v>8190</v>
      </c>
      <c r="G2321">
        <v>76.388</v>
      </c>
      <c r="H2321">
        <v>76.388</v>
      </c>
      <c r="I2321" t="s">
        <v>2206</v>
      </c>
      <c r="J2321" t="s">
        <v>49</v>
      </c>
      <c r="K2321" t="s">
        <v>31</v>
      </c>
      <c r="L2321" t="s">
        <v>32</v>
      </c>
      <c r="M2321" t="s">
        <v>33</v>
      </c>
      <c r="P2321" s="1" t="s">
        <v>8423</v>
      </c>
      <c r="Q2321" s="1" t="s">
        <v>8226</v>
      </c>
      <c r="R2321" s="1" t="s">
        <v>8226</v>
      </c>
      <c r="S2321" s="1"/>
      <c r="T2321" s="1" t="s">
        <v>47</v>
      </c>
      <c r="U2321" s="1"/>
      <c r="V2321" s="1">
        <v>76.388</v>
      </c>
      <c r="W2321" s="1">
        <v>76.388</v>
      </c>
      <c r="X2321" s="1" t="s">
        <v>35</v>
      </c>
      <c r="Y2321" s="1">
        <v>76388.0</v>
      </c>
      <c r="Z2321" s="1"/>
      <c r="AA2321" s="1">
        <v>76388.0</v>
      </c>
      <c r="AB2321" s="1"/>
      <c r="AC2321" s="1" t="s">
        <v>36</v>
      </c>
      <c r="AD2321" s="1" t="s">
        <v>8424</v>
      </c>
      <c r="AE2321" s="1" t="s">
        <v>32</v>
      </c>
      <c r="AF2321" s="1" t="s">
        <v>33</v>
      </c>
      <c r="AG2321" s="1" t="s">
        <v>49</v>
      </c>
    </row>
    <row r="2322" spans="1:33">
      <c r="A2322" t="s">
        <v>8425</v>
      </c>
      <c r="C2322" t="s">
        <v>73</v>
      </c>
      <c r="E2322" t="s">
        <v>8226</v>
      </c>
      <c r="F2322" t="s">
        <v>8190</v>
      </c>
      <c r="G2322">
        <v>38.068</v>
      </c>
      <c r="H2322">
        <v>38.068</v>
      </c>
      <c r="I2322" t="s">
        <v>40</v>
      </c>
      <c r="J2322" t="s">
        <v>41</v>
      </c>
      <c r="K2322" t="s">
        <v>31</v>
      </c>
      <c r="L2322" t="s">
        <v>32</v>
      </c>
      <c r="M2322" t="s">
        <v>33</v>
      </c>
      <c r="P2322" s="1" t="s">
        <v>8426</v>
      </c>
      <c r="Q2322" s="1" t="s">
        <v>8226</v>
      </c>
      <c r="R2322" s="1" t="s">
        <v>7413</v>
      </c>
      <c r="S2322" s="1"/>
      <c r="T2322" s="1" t="s">
        <v>75</v>
      </c>
      <c r="U2322" s="1" t="s">
        <v>76</v>
      </c>
      <c r="V2322" s="1">
        <v>38.068</v>
      </c>
      <c r="W2322" s="1">
        <v>38.068</v>
      </c>
      <c r="X2322" s="1" t="s">
        <v>35</v>
      </c>
      <c r="Y2322" s="1">
        <v>38068.0</v>
      </c>
      <c r="Z2322" s="1"/>
      <c r="AA2322" s="1">
        <v>38068.0</v>
      </c>
      <c r="AB2322" s="1"/>
      <c r="AC2322" s="1" t="s">
        <v>36</v>
      </c>
      <c r="AD2322" s="1" t="s">
        <v>8427</v>
      </c>
      <c r="AE2322" s="1" t="s">
        <v>32</v>
      </c>
      <c r="AF2322" s="1" t="s">
        <v>33</v>
      </c>
      <c r="AG2322" s="1" t="s">
        <v>41</v>
      </c>
    </row>
    <row r="2323" spans="1:33">
      <c r="A2323" t="s">
        <v>8428</v>
      </c>
      <c r="C2323" t="s">
        <v>2525</v>
      </c>
      <c r="E2323" t="s">
        <v>8226</v>
      </c>
      <c r="F2323" t="s">
        <v>8190</v>
      </c>
      <c r="G2323">
        <v>328.0</v>
      </c>
      <c r="H2323">
        <v>328.0</v>
      </c>
      <c r="I2323" t="s">
        <v>269</v>
      </c>
      <c r="J2323" t="s">
        <v>270</v>
      </c>
      <c r="K2323" t="s">
        <v>31</v>
      </c>
      <c r="L2323" t="s">
        <v>32</v>
      </c>
      <c r="M2323" t="s">
        <v>33</v>
      </c>
      <c r="P2323" s="1" t="s">
        <v>8429</v>
      </c>
      <c r="Q2323" s="1" t="s">
        <v>8226</v>
      </c>
      <c r="R2323" s="1" t="s">
        <v>8226</v>
      </c>
      <c r="S2323" s="1"/>
      <c r="T2323" s="1" t="s">
        <v>2525</v>
      </c>
      <c r="U2323" s="1"/>
      <c r="V2323" s="1">
        <v>328.0</v>
      </c>
      <c r="W2323" s="1">
        <v>328.0</v>
      </c>
      <c r="X2323" s="1" t="s">
        <v>35</v>
      </c>
      <c r="Y2323" s="1">
        <v>328000.0</v>
      </c>
      <c r="Z2323" s="1"/>
      <c r="AA2323" s="1">
        <v>328000.0</v>
      </c>
      <c r="AB2323" s="1"/>
      <c r="AC2323" s="1" t="s">
        <v>36</v>
      </c>
      <c r="AD2323" s="1" t="s">
        <v>8430</v>
      </c>
      <c r="AE2323" s="1" t="s">
        <v>32</v>
      </c>
      <c r="AF2323" s="1" t="s">
        <v>33</v>
      </c>
      <c r="AG2323" s="1" t="s">
        <v>270</v>
      </c>
    </row>
    <row r="2324" spans="1:33">
      <c r="A2324" t="s">
        <v>8431</v>
      </c>
      <c r="C2324" t="s">
        <v>6425</v>
      </c>
      <c r="D2324" t="s">
        <v>114</v>
      </c>
      <c r="E2324" t="s">
        <v>8226</v>
      </c>
      <c r="F2324" t="s">
        <v>8190</v>
      </c>
      <c r="G2324">
        <v>492.0</v>
      </c>
      <c r="H2324">
        <v>492.0</v>
      </c>
      <c r="I2324" t="s">
        <v>269</v>
      </c>
      <c r="J2324" t="s">
        <v>270</v>
      </c>
      <c r="K2324" t="s">
        <v>31</v>
      </c>
      <c r="L2324" t="s">
        <v>32</v>
      </c>
      <c r="M2324" t="s">
        <v>33</v>
      </c>
      <c r="P2324" s="1" t="s">
        <v>8432</v>
      </c>
      <c r="Q2324" s="1" t="s">
        <v>8226</v>
      </c>
      <c r="R2324" s="1" t="s">
        <v>8226</v>
      </c>
      <c r="S2324" s="1"/>
      <c r="T2324" s="1" t="s">
        <v>6425</v>
      </c>
      <c r="U2324" s="1"/>
      <c r="V2324" s="1">
        <v>492.0</v>
      </c>
      <c r="W2324" s="1">
        <v>492.0</v>
      </c>
      <c r="X2324" s="1" t="s">
        <v>35</v>
      </c>
      <c r="Y2324" s="1">
        <v>492000.0</v>
      </c>
      <c r="Z2324" s="1"/>
      <c r="AA2324" s="1">
        <v>492000.0</v>
      </c>
      <c r="AB2324" s="1"/>
      <c r="AC2324" s="1" t="s">
        <v>36</v>
      </c>
      <c r="AD2324" s="1" t="s">
        <v>8433</v>
      </c>
      <c r="AE2324" s="1" t="s">
        <v>32</v>
      </c>
      <c r="AF2324" s="1" t="s">
        <v>33</v>
      </c>
      <c r="AG2324" s="1" t="s">
        <v>270</v>
      </c>
    </row>
    <row r="2325" spans="1:33">
      <c r="A2325" t="s">
        <v>8434</v>
      </c>
      <c r="B2325" t="s">
        <v>8435</v>
      </c>
      <c r="C2325" t="s">
        <v>125</v>
      </c>
      <c r="E2325" t="s">
        <v>8226</v>
      </c>
      <c r="F2325" t="s">
        <v>8190</v>
      </c>
      <c r="G2325">
        <v>11.049</v>
      </c>
      <c r="H2325">
        <v>11.049</v>
      </c>
      <c r="I2325" t="s">
        <v>126</v>
      </c>
      <c r="J2325" t="s">
        <v>127</v>
      </c>
      <c r="K2325" t="s">
        <v>31</v>
      </c>
      <c r="L2325" t="s">
        <v>32</v>
      </c>
      <c r="M2325" t="s">
        <v>33</v>
      </c>
      <c r="P2325" s="1" t="s">
        <v>8436</v>
      </c>
      <c r="Q2325" s="1" t="s">
        <v>8226</v>
      </c>
      <c r="R2325" s="1" t="s">
        <v>8226</v>
      </c>
      <c r="S2325" s="1"/>
      <c r="T2325" s="1" t="s">
        <v>125</v>
      </c>
      <c r="U2325" s="1"/>
      <c r="V2325" s="1">
        <v>11.049</v>
      </c>
      <c r="W2325" s="1">
        <v>11.049</v>
      </c>
      <c r="X2325" s="1" t="s">
        <v>35</v>
      </c>
      <c r="Y2325" s="1">
        <v>11049.0</v>
      </c>
      <c r="Z2325" s="1"/>
      <c r="AA2325" s="1">
        <v>11049.0</v>
      </c>
      <c r="AB2325" s="1"/>
      <c r="AC2325" s="1" t="s">
        <v>36</v>
      </c>
      <c r="AD2325" s="1" t="s">
        <v>8437</v>
      </c>
      <c r="AE2325" s="1" t="s">
        <v>32</v>
      </c>
      <c r="AF2325" s="1" t="s">
        <v>33</v>
      </c>
      <c r="AG2325" s="1" t="s">
        <v>127</v>
      </c>
    </row>
    <row r="2326" spans="1:33">
      <c r="A2326" t="s">
        <v>8438</v>
      </c>
      <c r="C2326" t="s">
        <v>4388</v>
      </c>
      <c r="E2326" t="s">
        <v>8226</v>
      </c>
      <c r="F2326" t="s">
        <v>8190</v>
      </c>
      <c r="G2326">
        <v>1.777</v>
      </c>
      <c r="H2326">
        <v>1.777</v>
      </c>
      <c r="I2326" t="s">
        <v>227</v>
      </c>
      <c r="J2326" t="s">
        <v>228</v>
      </c>
      <c r="K2326" t="s">
        <v>31</v>
      </c>
      <c r="L2326" t="s">
        <v>32</v>
      </c>
      <c r="M2326" t="s">
        <v>33</v>
      </c>
      <c r="P2326" s="1" t="s">
        <v>8439</v>
      </c>
      <c r="Q2326" s="1" t="s">
        <v>8226</v>
      </c>
      <c r="R2326" s="1" t="s">
        <v>8226</v>
      </c>
      <c r="S2326" s="1"/>
      <c r="T2326" s="1" t="s">
        <v>4390</v>
      </c>
      <c r="U2326" s="1" t="s">
        <v>4391</v>
      </c>
      <c r="V2326" s="1">
        <v>1.777</v>
      </c>
      <c r="W2326" s="1">
        <v>1.777</v>
      </c>
      <c r="X2326" s="1" t="s">
        <v>35</v>
      </c>
      <c r="Y2326" s="1">
        <v>1777500.0</v>
      </c>
      <c r="Z2326" s="1"/>
      <c r="AA2326" s="1">
        <v>1777500.0</v>
      </c>
      <c r="AB2326" s="1"/>
      <c r="AC2326" s="1" t="s">
        <v>36</v>
      </c>
      <c r="AD2326" s="1" t="s">
        <v>8440</v>
      </c>
      <c r="AE2326" s="1" t="s">
        <v>32</v>
      </c>
      <c r="AF2326" s="1" t="s">
        <v>33</v>
      </c>
      <c r="AG2326" s="1" t="s">
        <v>228</v>
      </c>
    </row>
    <row r="2327" spans="1:33">
      <c r="A2327" t="s">
        <v>8441</v>
      </c>
      <c r="C2327" t="s">
        <v>1197</v>
      </c>
      <c r="D2327" t="s">
        <v>154</v>
      </c>
      <c r="E2327" t="s">
        <v>8226</v>
      </c>
      <c r="F2327" t="s">
        <v>8190</v>
      </c>
      <c r="G2327">
        <v>796.0</v>
      </c>
      <c r="H2327">
        <v>796.0</v>
      </c>
      <c r="I2327" t="s">
        <v>269</v>
      </c>
      <c r="J2327" t="s">
        <v>270</v>
      </c>
      <c r="K2327" t="s">
        <v>31</v>
      </c>
      <c r="L2327" t="s">
        <v>32</v>
      </c>
      <c r="M2327" t="s">
        <v>33</v>
      </c>
      <c r="P2327" s="1" t="s">
        <v>8442</v>
      </c>
      <c r="Q2327" s="1" t="s">
        <v>8226</v>
      </c>
      <c r="R2327" s="1" t="s">
        <v>8226</v>
      </c>
      <c r="S2327" s="1"/>
      <c r="T2327" s="1" t="s">
        <v>1197</v>
      </c>
      <c r="U2327" s="1"/>
      <c r="V2327" s="1">
        <v>796.0</v>
      </c>
      <c r="W2327" s="1">
        <v>796.0</v>
      </c>
      <c r="X2327" s="1" t="s">
        <v>35</v>
      </c>
      <c r="Y2327" s="1">
        <v>796000.0</v>
      </c>
      <c r="Z2327" s="1"/>
      <c r="AA2327" s="1">
        <v>796000.0</v>
      </c>
      <c r="AB2327" s="1"/>
      <c r="AC2327" s="1" t="s">
        <v>36</v>
      </c>
      <c r="AD2327" s="1" t="s">
        <v>8427</v>
      </c>
      <c r="AE2327" s="1" t="s">
        <v>32</v>
      </c>
      <c r="AF2327" s="1" t="s">
        <v>33</v>
      </c>
      <c r="AG2327" s="1" t="s">
        <v>270</v>
      </c>
    </row>
    <row r="2328" spans="1:33">
      <c r="A2328" t="s">
        <v>8443</v>
      </c>
      <c r="B2328" t="s">
        <v>8444</v>
      </c>
      <c r="C2328" t="s">
        <v>172</v>
      </c>
      <c r="E2328" t="s">
        <v>8226</v>
      </c>
      <c r="F2328" t="s">
        <v>8190</v>
      </c>
      <c r="G2328">
        <v>3.0</v>
      </c>
      <c r="H2328">
        <v>3.0</v>
      </c>
      <c r="I2328" t="s">
        <v>173</v>
      </c>
      <c r="J2328" t="s">
        <v>174</v>
      </c>
      <c r="K2328" t="s">
        <v>31</v>
      </c>
      <c r="L2328" t="s">
        <v>32</v>
      </c>
      <c r="M2328" t="s">
        <v>33</v>
      </c>
      <c r="P2328" s="1" t="s">
        <v>8445</v>
      </c>
      <c r="Q2328" s="1" t="s">
        <v>8226</v>
      </c>
      <c r="R2328" s="1" t="s">
        <v>8226</v>
      </c>
      <c r="S2328" s="1"/>
      <c r="T2328" s="1" t="s">
        <v>172</v>
      </c>
      <c r="U2328" s="1"/>
      <c r="V2328" s="1">
        <v>3.0</v>
      </c>
      <c r="W2328" s="1">
        <v>3.0</v>
      </c>
      <c r="X2328" s="1" t="s">
        <v>35</v>
      </c>
      <c r="Y2328" s="1">
        <v>3000.0</v>
      </c>
      <c r="Z2328" s="1"/>
      <c r="AA2328" s="1">
        <v>3000.0</v>
      </c>
      <c r="AB2328" s="1"/>
      <c r="AC2328" s="1" t="s">
        <v>36</v>
      </c>
      <c r="AD2328" s="1" t="s">
        <v>8446</v>
      </c>
      <c r="AE2328" s="1" t="s">
        <v>32</v>
      </c>
      <c r="AF2328" s="1" t="s">
        <v>33</v>
      </c>
      <c r="AG2328" s="1" t="s">
        <v>174</v>
      </c>
    </row>
    <row r="2329" spans="1:33">
      <c r="A2329" t="s">
        <v>8447</v>
      </c>
      <c r="B2329" t="s">
        <v>8448</v>
      </c>
      <c r="C2329" t="s">
        <v>172</v>
      </c>
      <c r="E2329" t="s">
        <v>8226</v>
      </c>
      <c r="F2329" t="s">
        <v>8190</v>
      </c>
      <c r="G2329">
        <v>235.0</v>
      </c>
      <c r="H2329">
        <v>235.0</v>
      </c>
      <c r="I2329" t="s">
        <v>173</v>
      </c>
      <c r="J2329" t="s">
        <v>174</v>
      </c>
      <c r="K2329" t="s">
        <v>31</v>
      </c>
      <c r="L2329" t="s">
        <v>32</v>
      </c>
      <c r="M2329" t="s">
        <v>33</v>
      </c>
      <c r="P2329" s="1" t="s">
        <v>8449</v>
      </c>
      <c r="Q2329" s="1" t="s">
        <v>8226</v>
      </c>
      <c r="R2329" s="1" t="s">
        <v>8226</v>
      </c>
      <c r="S2329" s="1"/>
      <c r="T2329" s="1" t="s">
        <v>172</v>
      </c>
      <c r="U2329" s="1"/>
      <c r="V2329" s="1">
        <v>235.0</v>
      </c>
      <c r="W2329" s="1">
        <v>235.0</v>
      </c>
      <c r="X2329" s="1" t="s">
        <v>35</v>
      </c>
      <c r="Y2329" s="1">
        <v>235000.0</v>
      </c>
      <c r="Z2329" s="1"/>
      <c r="AA2329" s="1">
        <v>235000.0</v>
      </c>
      <c r="AB2329" s="1"/>
      <c r="AC2329" s="1" t="s">
        <v>36</v>
      </c>
      <c r="AD2329" s="1" t="s">
        <v>8450</v>
      </c>
      <c r="AE2329" s="1" t="s">
        <v>32</v>
      </c>
      <c r="AF2329" s="1" t="s">
        <v>33</v>
      </c>
      <c r="AG2329" s="1" t="s">
        <v>174</v>
      </c>
    </row>
    <row r="2330" spans="1:33">
      <c r="A2330" t="s">
        <v>8451</v>
      </c>
      <c r="B2330" t="s">
        <v>8452</v>
      </c>
      <c r="C2330" t="s">
        <v>125</v>
      </c>
      <c r="E2330" t="s">
        <v>8226</v>
      </c>
      <c r="F2330" t="s">
        <v>8190</v>
      </c>
      <c r="G2330">
        <v>129.96</v>
      </c>
      <c r="H2330">
        <v>129.96</v>
      </c>
      <c r="I2330" t="s">
        <v>126</v>
      </c>
      <c r="J2330" t="s">
        <v>127</v>
      </c>
      <c r="K2330" t="s">
        <v>31</v>
      </c>
      <c r="L2330" t="s">
        <v>32</v>
      </c>
      <c r="M2330" t="s">
        <v>33</v>
      </c>
      <c r="P2330" s="1" t="s">
        <v>8453</v>
      </c>
      <c r="Q2330" s="1" t="s">
        <v>8226</v>
      </c>
      <c r="R2330" s="1" t="s">
        <v>8226</v>
      </c>
      <c r="S2330" s="1"/>
      <c r="T2330" s="1" t="s">
        <v>125</v>
      </c>
      <c r="U2330" s="1"/>
      <c r="V2330" s="1">
        <v>129.96</v>
      </c>
      <c r="W2330" s="1">
        <v>129.96</v>
      </c>
      <c r="X2330" s="1" t="s">
        <v>35</v>
      </c>
      <c r="Y2330" s="1">
        <v>129960.0</v>
      </c>
      <c r="Z2330" s="1"/>
      <c r="AA2330" s="1">
        <v>129960.0</v>
      </c>
      <c r="AB2330" s="1"/>
      <c r="AC2330" s="1" t="s">
        <v>36</v>
      </c>
      <c r="AD2330" s="1" t="s">
        <v>8454</v>
      </c>
      <c r="AE2330" s="1" t="s">
        <v>32</v>
      </c>
      <c r="AF2330" s="1" t="s">
        <v>33</v>
      </c>
      <c r="AG2330" s="1" t="s">
        <v>127</v>
      </c>
    </row>
    <row r="2331" spans="1:33">
      <c r="A2331" t="s">
        <v>8455</v>
      </c>
      <c r="B2331" t="s">
        <v>4025</v>
      </c>
      <c r="C2331" t="s">
        <v>68</v>
      </c>
      <c r="E2331" t="s">
        <v>8226</v>
      </c>
      <c r="F2331" t="s">
        <v>8190</v>
      </c>
      <c r="G2331">
        <v>34.49</v>
      </c>
      <c r="H2331">
        <v>34.49</v>
      </c>
      <c r="I2331" t="s">
        <v>59</v>
      </c>
      <c r="J2331" t="s">
        <v>60</v>
      </c>
      <c r="K2331" t="s">
        <v>31</v>
      </c>
      <c r="L2331" t="s">
        <v>32</v>
      </c>
      <c r="M2331" t="s">
        <v>33</v>
      </c>
      <c r="P2331" s="1" t="s">
        <v>8456</v>
      </c>
      <c r="Q2331" s="1" t="s">
        <v>8226</v>
      </c>
      <c r="R2331" s="1" t="s">
        <v>8226</v>
      </c>
      <c r="S2331" s="1"/>
      <c r="T2331" s="1" t="s">
        <v>68</v>
      </c>
      <c r="U2331" s="1"/>
      <c r="V2331" s="1">
        <v>34.49</v>
      </c>
      <c r="W2331" s="1">
        <v>34.49</v>
      </c>
      <c r="X2331" s="1" t="s">
        <v>35</v>
      </c>
      <c r="Y2331" s="1">
        <v>34490.0</v>
      </c>
      <c r="Z2331" s="1"/>
      <c r="AA2331" s="1">
        <v>34490.0</v>
      </c>
      <c r="AB2331" s="1"/>
      <c r="AC2331" s="1" t="s">
        <v>36</v>
      </c>
      <c r="AD2331" s="1" t="s">
        <v>8457</v>
      </c>
      <c r="AE2331" s="1" t="s">
        <v>32</v>
      </c>
      <c r="AF2331" s="1" t="s">
        <v>33</v>
      </c>
      <c r="AG2331" s="1" t="s">
        <v>60</v>
      </c>
    </row>
    <row r="2332" spans="1:33">
      <c r="A2332" t="s">
        <v>8458</v>
      </c>
      <c r="B2332" t="s">
        <v>8459</v>
      </c>
      <c r="C2332" t="s">
        <v>125</v>
      </c>
      <c r="E2332" t="s">
        <v>8226</v>
      </c>
      <c r="F2332" t="s">
        <v>8190</v>
      </c>
      <c r="G2332">
        <v>16.99</v>
      </c>
      <c r="H2332">
        <v>16.99</v>
      </c>
      <c r="I2332" t="s">
        <v>126</v>
      </c>
      <c r="J2332" t="s">
        <v>127</v>
      </c>
      <c r="K2332" t="s">
        <v>31</v>
      </c>
      <c r="L2332" t="s">
        <v>32</v>
      </c>
      <c r="M2332" t="s">
        <v>33</v>
      </c>
      <c r="P2332" s="1" t="s">
        <v>8460</v>
      </c>
      <c r="Q2332" s="1" t="s">
        <v>8226</v>
      </c>
      <c r="R2332" s="1" t="s">
        <v>8226</v>
      </c>
      <c r="S2332" s="1"/>
      <c r="T2332" s="1" t="s">
        <v>125</v>
      </c>
      <c r="U2332" s="1"/>
      <c r="V2332" s="1">
        <v>16.99</v>
      </c>
      <c r="W2332" s="1">
        <v>16.99</v>
      </c>
      <c r="X2332" s="1" t="s">
        <v>35</v>
      </c>
      <c r="Y2332" s="1">
        <v>16990.0</v>
      </c>
      <c r="Z2332" s="1"/>
      <c r="AA2332" s="1">
        <v>16990.0</v>
      </c>
      <c r="AB2332" s="1"/>
      <c r="AC2332" s="1" t="s">
        <v>36</v>
      </c>
      <c r="AD2332" s="1" t="s">
        <v>8461</v>
      </c>
      <c r="AE2332" s="1" t="s">
        <v>32</v>
      </c>
      <c r="AF2332" s="1" t="s">
        <v>33</v>
      </c>
      <c r="AG2332" s="1" t="s">
        <v>127</v>
      </c>
    </row>
    <row r="2333" spans="1:33">
      <c r="A2333" t="s">
        <v>8462</v>
      </c>
      <c r="B2333" t="s">
        <v>4619</v>
      </c>
      <c r="C2333" t="s">
        <v>4620</v>
      </c>
      <c r="E2333" t="s">
        <v>8226</v>
      </c>
      <c r="F2333" t="s">
        <v>8190</v>
      </c>
      <c r="G2333">
        <v>492.672</v>
      </c>
      <c r="H2333">
        <v>492.672</v>
      </c>
      <c r="I2333" t="s">
        <v>529</v>
      </c>
      <c r="J2333" t="s">
        <v>530</v>
      </c>
      <c r="K2333" t="s">
        <v>31</v>
      </c>
      <c r="L2333" t="s">
        <v>32</v>
      </c>
      <c r="M2333" t="s">
        <v>33</v>
      </c>
      <c r="P2333" s="1" t="s">
        <v>8463</v>
      </c>
      <c r="Q2333" s="1" t="s">
        <v>8226</v>
      </c>
      <c r="R2333" s="1" t="s">
        <v>7413</v>
      </c>
      <c r="S2333" s="1"/>
      <c r="T2333" s="1" t="s">
        <v>4620</v>
      </c>
      <c r="U2333" s="1"/>
      <c r="V2333" s="1">
        <v>492.672</v>
      </c>
      <c r="W2333" s="1">
        <v>492.672</v>
      </c>
      <c r="X2333" s="1" t="s">
        <v>35</v>
      </c>
      <c r="Y2333" s="1">
        <v>492672.0</v>
      </c>
      <c r="Z2333" s="1"/>
      <c r="AA2333" s="1">
        <v>492672.0</v>
      </c>
      <c r="AB2333" s="1"/>
      <c r="AC2333" s="1" t="s">
        <v>36</v>
      </c>
      <c r="AD2333" s="1" t="s">
        <v>8464</v>
      </c>
      <c r="AE2333" s="1" t="s">
        <v>32</v>
      </c>
      <c r="AF2333" s="1" t="s">
        <v>33</v>
      </c>
      <c r="AG2333" s="1" t="s">
        <v>530</v>
      </c>
    </row>
    <row r="2334" spans="1:33">
      <c r="A2334" t="s">
        <v>8465</v>
      </c>
      <c r="C2334" t="s">
        <v>2508</v>
      </c>
      <c r="E2334" t="s">
        <v>8226</v>
      </c>
      <c r="F2334" t="s">
        <v>8190</v>
      </c>
      <c r="G2334">
        <v>328.0</v>
      </c>
      <c r="H2334">
        <v>328.0</v>
      </c>
      <c r="I2334" t="s">
        <v>136</v>
      </c>
      <c r="J2334" t="s">
        <v>137</v>
      </c>
      <c r="K2334" t="s">
        <v>31</v>
      </c>
      <c r="L2334" t="s">
        <v>32</v>
      </c>
      <c r="M2334" t="s">
        <v>33</v>
      </c>
      <c r="P2334" s="1" t="s">
        <v>8466</v>
      </c>
      <c r="Q2334" s="1" t="s">
        <v>8226</v>
      </c>
      <c r="R2334" s="1" t="s">
        <v>8226</v>
      </c>
      <c r="S2334" s="1"/>
      <c r="T2334" s="1" t="s">
        <v>2508</v>
      </c>
      <c r="U2334" s="1"/>
      <c r="V2334" s="1">
        <v>328.0</v>
      </c>
      <c r="W2334" s="1">
        <v>328.0</v>
      </c>
      <c r="X2334" s="1" t="s">
        <v>35</v>
      </c>
      <c r="Y2334" s="1">
        <v>328000.0</v>
      </c>
      <c r="Z2334" s="1"/>
      <c r="AA2334" s="1">
        <v>328000.0</v>
      </c>
      <c r="AB2334" s="1"/>
      <c r="AC2334" s="1" t="s">
        <v>36</v>
      </c>
      <c r="AD2334" s="1" t="s">
        <v>8467</v>
      </c>
      <c r="AE2334" s="1" t="s">
        <v>32</v>
      </c>
      <c r="AF2334" s="1" t="s">
        <v>33</v>
      </c>
      <c r="AG2334" s="1" t="s">
        <v>137</v>
      </c>
    </row>
    <row r="2335" spans="1:33">
      <c r="A2335" t="s">
        <v>8468</v>
      </c>
      <c r="B2335" t="s">
        <v>8469</v>
      </c>
      <c r="C2335" t="s">
        <v>125</v>
      </c>
      <c r="E2335" t="s">
        <v>8226</v>
      </c>
      <c r="F2335" t="s">
        <v>8190</v>
      </c>
      <c r="G2335">
        <v>76.98</v>
      </c>
      <c r="H2335">
        <v>76.98</v>
      </c>
      <c r="I2335" t="s">
        <v>126</v>
      </c>
      <c r="J2335" t="s">
        <v>127</v>
      </c>
      <c r="K2335" t="s">
        <v>31</v>
      </c>
      <c r="L2335" t="s">
        <v>32</v>
      </c>
      <c r="M2335" t="s">
        <v>33</v>
      </c>
      <c r="P2335" s="1" t="s">
        <v>8470</v>
      </c>
      <c r="Q2335" s="1" t="s">
        <v>8226</v>
      </c>
      <c r="R2335" s="1" t="s">
        <v>8226</v>
      </c>
      <c r="S2335" s="1"/>
      <c r="T2335" s="1" t="s">
        <v>125</v>
      </c>
      <c r="U2335" s="1"/>
      <c r="V2335" s="1">
        <v>76.98</v>
      </c>
      <c r="W2335" s="1">
        <v>76.98</v>
      </c>
      <c r="X2335" s="1" t="s">
        <v>35</v>
      </c>
      <c r="Y2335" s="1">
        <v>76980.0</v>
      </c>
      <c r="Z2335" s="1"/>
      <c r="AA2335" s="1">
        <v>76980.0</v>
      </c>
      <c r="AB2335" s="1"/>
      <c r="AC2335" s="1" t="s">
        <v>36</v>
      </c>
      <c r="AD2335" s="1" t="s">
        <v>8471</v>
      </c>
      <c r="AE2335" s="1" t="s">
        <v>32</v>
      </c>
      <c r="AF2335" s="1" t="s">
        <v>33</v>
      </c>
      <c r="AG2335" s="1" t="s">
        <v>127</v>
      </c>
    </row>
    <row r="2336" spans="1:33">
      <c r="A2336" t="s">
        <v>8472</v>
      </c>
      <c r="B2336" t="s">
        <v>4880</v>
      </c>
      <c r="C2336" t="s">
        <v>47</v>
      </c>
      <c r="E2336" t="s">
        <v>8226</v>
      </c>
      <c r="F2336" t="s">
        <v>8190</v>
      </c>
      <c r="G2336">
        <v>72.77</v>
      </c>
      <c r="H2336">
        <v>72.77</v>
      </c>
      <c r="I2336" t="s">
        <v>2206</v>
      </c>
      <c r="J2336" t="s">
        <v>49</v>
      </c>
      <c r="K2336" t="s">
        <v>31</v>
      </c>
      <c r="L2336" t="s">
        <v>32</v>
      </c>
      <c r="M2336" t="s">
        <v>33</v>
      </c>
      <c r="P2336" s="1" t="s">
        <v>8473</v>
      </c>
      <c r="Q2336" s="1" t="s">
        <v>8226</v>
      </c>
      <c r="R2336" s="1" t="s">
        <v>8226</v>
      </c>
      <c r="S2336" s="1"/>
      <c r="T2336" s="1" t="s">
        <v>47</v>
      </c>
      <c r="U2336" s="1"/>
      <c r="V2336" s="1">
        <v>72.77</v>
      </c>
      <c r="W2336" s="1">
        <v>72.77</v>
      </c>
      <c r="X2336" s="1" t="s">
        <v>35</v>
      </c>
      <c r="Y2336" s="1">
        <v>72770.0</v>
      </c>
      <c r="Z2336" s="1"/>
      <c r="AA2336" s="1">
        <v>72770.0</v>
      </c>
      <c r="AB2336" s="1"/>
      <c r="AC2336" s="1" t="s">
        <v>36</v>
      </c>
      <c r="AD2336" s="1" t="s">
        <v>8474</v>
      </c>
      <c r="AE2336" s="1" t="s">
        <v>32</v>
      </c>
      <c r="AF2336" s="1" t="s">
        <v>33</v>
      </c>
      <c r="AG2336" s="1" t="s">
        <v>49</v>
      </c>
    </row>
    <row r="2337" spans="1:33">
      <c r="A2337" t="s">
        <v>8475</v>
      </c>
      <c r="B2337" t="s">
        <v>8476</v>
      </c>
      <c r="C2337" t="s">
        <v>314</v>
      </c>
      <c r="E2337" t="s">
        <v>8226</v>
      </c>
      <c r="F2337" t="s">
        <v>8190</v>
      </c>
      <c r="G2337">
        <v>40.99</v>
      </c>
      <c r="H2337">
        <v>40.99</v>
      </c>
      <c r="I2337" t="s">
        <v>179</v>
      </c>
      <c r="J2337" t="s">
        <v>180</v>
      </c>
      <c r="K2337" t="s">
        <v>31</v>
      </c>
      <c r="L2337" t="s">
        <v>32</v>
      </c>
      <c r="M2337" t="s">
        <v>33</v>
      </c>
      <c r="P2337" s="1" t="s">
        <v>8477</v>
      </c>
      <c r="Q2337" s="1" t="s">
        <v>8226</v>
      </c>
      <c r="R2337" s="1" t="s">
        <v>8226</v>
      </c>
      <c r="S2337" s="1"/>
      <c r="T2337" s="1" t="s">
        <v>314</v>
      </c>
      <c r="U2337" s="1"/>
      <c r="V2337" s="1">
        <v>40.99</v>
      </c>
      <c r="W2337" s="1">
        <v>40.99</v>
      </c>
      <c r="X2337" s="1" t="s">
        <v>35</v>
      </c>
      <c r="Y2337" s="1">
        <v>40990.0</v>
      </c>
      <c r="Z2337" s="1"/>
      <c r="AA2337" s="1">
        <v>40990.0</v>
      </c>
      <c r="AB2337" s="1"/>
      <c r="AC2337" s="1" t="s">
        <v>36</v>
      </c>
      <c r="AD2337" s="1" t="s">
        <v>8478</v>
      </c>
      <c r="AE2337" s="1" t="s">
        <v>32</v>
      </c>
      <c r="AF2337" s="1" t="s">
        <v>33</v>
      </c>
      <c r="AG2337" s="1" t="s">
        <v>180</v>
      </c>
    </row>
    <row r="2338" spans="1:33">
      <c r="A2338" t="s">
        <v>8479</v>
      </c>
      <c r="B2338" t="s">
        <v>8480</v>
      </c>
      <c r="C2338" t="s">
        <v>68</v>
      </c>
      <c r="E2338" t="s">
        <v>8226</v>
      </c>
      <c r="F2338" t="s">
        <v>8190</v>
      </c>
      <c r="G2338">
        <v>3.0</v>
      </c>
      <c r="H2338">
        <v>3.0</v>
      </c>
      <c r="I2338" t="s">
        <v>59</v>
      </c>
      <c r="J2338" t="s">
        <v>60</v>
      </c>
      <c r="K2338" t="s">
        <v>31</v>
      </c>
      <c r="L2338" t="s">
        <v>32</v>
      </c>
      <c r="M2338" t="s">
        <v>33</v>
      </c>
      <c r="P2338" s="1" t="s">
        <v>8481</v>
      </c>
      <c r="Q2338" s="1" t="s">
        <v>8226</v>
      </c>
      <c r="R2338" s="1" t="s">
        <v>8226</v>
      </c>
      <c r="S2338" s="1"/>
      <c r="T2338" s="1" t="s">
        <v>68</v>
      </c>
      <c r="U2338" s="1"/>
      <c r="V2338" s="1">
        <v>3.0</v>
      </c>
      <c r="W2338" s="1">
        <v>3.0</v>
      </c>
      <c r="X2338" s="1" t="s">
        <v>35</v>
      </c>
      <c r="Y2338" s="1">
        <v>3000.0</v>
      </c>
      <c r="Z2338" s="1"/>
      <c r="AA2338" s="1">
        <v>3000.0</v>
      </c>
      <c r="AB2338" s="1"/>
      <c r="AC2338" s="1" t="s">
        <v>36</v>
      </c>
      <c r="AD2338" s="1" t="s">
        <v>8482</v>
      </c>
      <c r="AE2338" s="1" t="s">
        <v>32</v>
      </c>
      <c r="AF2338" s="1" t="s">
        <v>33</v>
      </c>
      <c r="AG2338" s="1" t="s">
        <v>60</v>
      </c>
    </row>
    <row r="2339" spans="1:33">
      <c r="A2339" t="s">
        <v>8483</v>
      </c>
      <c r="C2339" t="s">
        <v>1476</v>
      </c>
      <c r="E2339" t="s">
        <v>8226</v>
      </c>
      <c r="F2339" t="s">
        <v>8190</v>
      </c>
      <c r="G2339">
        <v>320.0</v>
      </c>
      <c r="H2339">
        <v>320.0</v>
      </c>
      <c r="I2339" t="s">
        <v>126</v>
      </c>
      <c r="J2339" t="s">
        <v>127</v>
      </c>
      <c r="K2339" t="s">
        <v>31</v>
      </c>
      <c r="L2339" t="s">
        <v>32</v>
      </c>
      <c r="M2339" t="s">
        <v>33</v>
      </c>
      <c r="P2339" s="1" t="s">
        <v>8484</v>
      </c>
      <c r="Q2339" s="1" t="s">
        <v>8226</v>
      </c>
      <c r="R2339" s="1" t="s">
        <v>8226</v>
      </c>
      <c r="S2339" s="1"/>
      <c r="T2339" s="1" t="s">
        <v>1476</v>
      </c>
      <c r="U2339" s="1"/>
      <c r="V2339" s="1">
        <v>320.0</v>
      </c>
      <c r="W2339" s="1">
        <v>320.0</v>
      </c>
      <c r="X2339" s="1" t="s">
        <v>35</v>
      </c>
      <c r="Y2339" s="1">
        <v>320000.0</v>
      </c>
      <c r="Z2339" s="1"/>
      <c r="AA2339" s="1">
        <v>320000.0</v>
      </c>
      <c r="AB2339" s="1"/>
      <c r="AC2339" s="1" t="s">
        <v>36</v>
      </c>
      <c r="AD2339" s="1" t="s">
        <v>8485</v>
      </c>
      <c r="AE2339" s="1" t="s">
        <v>32</v>
      </c>
      <c r="AF2339" s="1" t="s">
        <v>33</v>
      </c>
      <c r="AG2339" s="1" t="s">
        <v>127</v>
      </c>
    </row>
    <row r="2340" spans="1:33">
      <c r="A2340" t="s">
        <v>8486</v>
      </c>
      <c r="B2340" t="s">
        <v>8487</v>
      </c>
      <c r="C2340" t="s">
        <v>26</v>
      </c>
      <c r="E2340" t="s">
        <v>8226</v>
      </c>
      <c r="F2340" t="s">
        <v>8190</v>
      </c>
      <c r="G2340">
        <v>11.9</v>
      </c>
      <c r="H2340">
        <v>11.9</v>
      </c>
      <c r="I2340" t="s">
        <v>29</v>
      </c>
      <c r="J2340" t="s">
        <v>30</v>
      </c>
      <c r="K2340" t="s">
        <v>31</v>
      </c>
      <c r="L2340" t="s">
        <v>32</v>
      </c>
      <c r="M2340" t="s">
        <v>33</v>
      </c>
      <c r="P2340" s="1" t="s">
        <v>8488</v>
      </c>
      <c r="Q2340" s="1" t="s">
        <v>8226</v>
      </c>
      <c r="R2340" s="1" t="s">
        <v>8226</v>
      </c>
      <c r="S2340" s="1"/>
      <c r="T2340" s="1" t="s">
        <v>26</v>
      </c>
      <c r="U2340" s="1"/>
      <c r="V2340" s="1">
        <v>11.9</v>
      </c>
      <c r="W2340" s="1">
        <v>11.9</v>
      </c>
      <c r="X2340" s="1" t="s">
        <v>35</v>
      </c>
      <c r="Y2340" s="1">
        <v>11900.0</v>
      </c>
      <c r="Z2340" s="1"/>
      <c r="AA2340" s="1">
        <v>11900.0</v>
      </c>
      <c r="AB2340" s="1"/>
      <c r="AC2340" s="1" t="s">
        <v>36</v>
      </c>
      <c r="AD2340" s="1" t="s">
        <v>8489</v>
      </c>
      <c r="AE2340" s="1" t="s">
        <v>32</v>
      </c>
      <c r="AF2340" s="1" t="s">
        <v>33</v>
      </c>
      <c r="AG2340" s="1" t="s">
        <v>30</v>
      </c>
    </row>
    <row r="2341" spans="1:33">
      <c r="A2341" t="s">
        <v>8490</v>
      </c>
      <c r="C2341" t="s">
        <v>1998</v>
      </c>
      <c r="E2341" t="s">
        <v>8226</v>
      </c>
      <c r="F2341" t="s">
        <v>8190</v>
      </c>
      <c r="G2341">
        <v>510.7</v>
      </c>
      <c r="H2341">
        <v>510.7</v>
      </c>
      <c r="I2341" t="s">
        <v>136</v>
      </c>
      <c r="J2341" t="s">
        <v>137</v>
      </c>
      <c r="K2341" t="s">
        <v>31</v>
      </c>
      <c r="L2341" t="s">
        <v>32</v>
      </c>
      <c r="M2341" t="s">
        <v>33</v>
      </c>
      <c r="P2341" s="1" t="s">
        <v>8491</v>
      </c>
      <c r="Q2341" s="1" t="s">
        <v>8226</v>
      </c>
      <c r="R2341" s="1" t="s">
        <v>8226</v>
      </c>
      <c r="S2341" s="1"/>
      <c r="T2341" s="1" t="s">
        <v>2000</v>
      </c>
      <c r="U2341" s="1" t="s">
        <v>2001</v>
      </c>
      <c r="V2341" s="1">
        <v>510.7</v>
      </c>
      <c r="W2341" s="1">
        <v>510.7</v>
      </c>
      <c r="X2341" s="1" t="s">
        <v>35</v>
      </c>
      <c r="Y2341" s="1">
        <v>510700.0</v>
      </c>
      <c r="Z2341" s="1"/>
      <c r="AA2341" s="1">
        <v>510700.0</v>
      </c>
      <c r="AB2341" s="1"/>
      <c r="AC2341" s="1" t="s">
        <v>36</v>
      </c>
      <c r="AD2341" s="1" t="s">
        <v>8482</v>
      </c>
      <c r="AE2341" s="1" t="s">
        <v>32</v>
      </c>
      <c r="AF2341" s="1" t="s">
        <v>33</v>
      </c>
      <c r="AG2341" s="1" t="s">
        <v>137</v>
      </c>
    </row>
    <row r="2342" spans="1:33">
      <c r="A2342" t="s">
        <v>8492</v>
      </c>
      <c r="B2342" t="s">
        <v>527</v>
      </c>
      <c r="C2342" t="s">
        <v>528</v>
      </c>
      <c r="E2342" t="s">
        <v>8226</v>
      </c>
      <c r="F2342" t="s">
        <v>8190</v>
      </c>
      <c r="G2342">
        <v>589.5</v>
      </c>
      <c r="H2342">
        <v>589.5</v>
      </c>
      <c r="I2342" t="s">
        <v>529</v>
      </c>
      <c r="J2342" t="s">
        <v>530</v>
      </c>
      <c r="K2342" t="s">
        <v>31</v>
      </c>
      <c r="L2342" t="s">
        <v>32</v>
      </c>
      <c r="M2342" t="s">
        <v>33</v>
      </c>
      <c r="P2342" s="1" t="s">
        <v>8493</v>
      </c>
      <c r="Q2342" s="1" t="s">
        <v>8226</v>
      </c>
      <c r="R2342" s="1" t="s">
        <v>7413</v>
      </c>
      <c r="S2342" s="1"/>
      <c r="T2342" s="1" t="s">
        <v>528</v>
      </c>
      <c r="U2342" s="1"/>
      <c r="V2342" s="1">
        <v>589.5</v>
      </c>
      <c r="W2342" s="1">
        <v>589.5</v>
      </c>
      <c r="X2342" s="1" t="s">
        <v>35</v>
      </c>
      <c r="Y2342" s="1">
        <v>589500.0</v>
      </c>
      <c r="Z2342" s="1"/>
      <c r="AA2342" s="1">
        <v>589500.0</v>
      </c>
      <c r="AB2342" s="1"/>
      <c r="AC2342" s="1" t="s">
        <v>36</v>
      </c>
      <c r="AD2342" s="1" t="s">
        <v>8478</v>
      </c>
      <c r="AE2342" s="1" t="s">
        <v>32</v>
      </c>
      <c r="AF2342" s="1" t="s">
        <v>33</v>
      </c>
      <c r="AG2342" s="1" t="s">
        <v>530</v>
      </c>
    </row>
    <row r="2343" spans="1:33">
      <c r="A2343" t="s">
        <v>8494</v>
      </c>
      <c r="C2343" t="s">
        <v>506</v>
      </c>
      <c r="E2343" t="s">
        <v>8226</v>
      </c>
      <c r="F2343" t="s">
        <v>8190</v>
      </c>
      <c r="G2343">
        <v>1.509</v>
      </c>
      <c r="H2343">
        <v>1.509</v>
      </c>
      <c r="I2343" t="s">
        <v>269</v>
      </c>
      <c r="J2343" t="s">
        <v>270</v>
      </c>
      <c r="K2343" t="s">
        <v>31</v>
      </c>
      <c r="L2343" t="s">
        <v>32</v>
      </c>
      <c r="M2343" t="s">
        <v>33</v>
      </c>
      <c r="P2343" s="1" t="s">
        <v>8495</v>
      </c>
      <c r="Q2343" s="1" t="s">
        <v>8226</v>
      </c>
      <c r="R2343" s="1" t="s">
        <v>8226</v>
      </c>
      <c r="S2343" s="1"/>
      <c r="T2343" s="1" t="s">
        <v>506</v>
      </c>
      <c r="U2343" s="1"/>
      <c r="V2343" s="1">
        <v>1.509</v>
      </c>
      <c r="W2343" s="1">
        <v>1.509</v>
      </c>
      <c r="X2343" s="1" t="s">
        <v>35</v>
      </c>
      <c r="Y2343" s="1">
        <v>1509500.0</v>
      </c>
      <c r="Z2343" s="1"/>
      <c r="AA2343" s="1">
        <v>1509500.0</v>
      </c>
      <c r="AB2343" s="1"/>
      <c r="AC2343" s="1" t="s">
        <v>36</v>
      </c>
      <c r="AD2343" s="1" t="s">
        <v>8496</v>
      </c>
      <c r="AE2343" s="1" t="s">
        <v>32</v>
      </c>
      <c r="AF2343" s="1" t="s">
        <v>33</v>
      </c>
      <c r="AG2343" s="1" t="s">
        <v>270</v>
      </c>
    </row>
    <row r="2344" spans="1:33">
      <c r="A2344" t="s">
        <v>8497</v>
      </c>
      <c r="C2344" t="s">
        <v>8498</v>
      </c>
      <c r="D2344" t="s">
        <v>114</v>
      </c>
      <c r="E2344" t="s">
        <v>8226</v>
      </c>
      <c r="F2344" t="s">
        <v>8190</v>
      </c>
      <c r="G2344">
        <v>858.0</v>
      </c>
      <c r="H2344">
        <v>858.0</v>
      </c>
      <c r="I2344" t="s">
        <v>173</v>
      </c>
      <c r="J2344" t="s">
        <v>174</v>
      </c>
      <c r="K2344" t="s">
        <v>31</v>
      </c>
      <c r="L2344" t="s">
        <v>32</v>
      </c>
      <c r="M2344" t="s">
        <v>33</v>
      </c>
      <c r="P2344" s="1" t="s">
        <v>8499</v>
      </c>
      <c r="Q2344" s="1" t="s">
        <v>8226</v>
      </c>
      <c r="R2344" s="1" t="s">
        <v>8226</v>
      </c>
      <c r="S2344" s="1"/>
      <c r="T2344" s="1" t="s">
        <v>8498</v>
      </c>
      <c r="U2344" s="1"/>
      <c r="V2344" s="1">
        <v>858.0</v>
      </c>
      <c r="W2344" s="1">
        <v>858.0</v>
      </c>
      <c r="X2344" s="1" t="s">
        <v>35</v>
      </c>
      <c r="Y2344" s="1">
        <v>858000.0</v>
      </c>
      <c r="Z2344" s="1"/>
      <c r="AA2344" s="1">
        <v>858000.0</v>
      </c>
      <c r="AB2344" s="1"/>
      <c r="AC2344" s="1" t="s">
        <v>36</v>
      </c>
      <c r="AD2344" s="1" t="s">
        <v>8500</v>
      </c>
      <c r="AE2344" s="1" t="s">
        <v>32</v>
      </c>
      <c r="AF2344" s="1" t="s">
        <v>33</v>
      </c>
      <c r="AG2344" s="1" t="s">
        <v>174</v>
      </c>
    </row>
    <row r="2345" spans="1:33">
      <c r="A2345" t="s">
        <v>8501</v>
      </c>
      <c r="B2345" t="s">
        <v>8502</v>
      </c>
      <c r="C2345" t="s">
        <v>26</v>
      </c>
      <c r="E2345" t="s">
        <v>8226</v>
      </c>
      <c r="F2345" t="s">
        <v>7318</v>
      </c>
      <c r="G2345">
        <v>19.49</v>
      </c>
      <c r="H2345">
        <v>19.49</v>
      </c>
      <c r="I2345" t="s">
        <v>29</v>
      </c>
      <c r="J2345" t="s">
        <v>30</v>
      </c>
      <c r="K2345" t="s">
        <v>31</v>
      </c>
      <c r="L2345" t="s">
        <v>32</v>
      </c>
      <c r="M2345" t="s">
        <v>33</v>
      </c>
      <c r="P2345" s="1" t="s">
        <v>8503</v>
      </c>
      <c r="Q2345" s="1" t="s">
        <v>8226</v>
      </c>
      <c r="R2345" s="1" t="s">
        <v>8226</v>
      </c>
      <c r="S2345" s="1"/>
      <c r="T2345" s="1" t="s">
        <v>26</v>
      </c>
      <c r="U2345" s="1"/>
      <c r="V2345" s="1">
        <v>19.49</v>
      </c>
      <c r="W2345" s="1">
        <v>19.49</v>
      </c>
      <c r="X2345" s="1" t="s">
        <v>35</v>
      </c>
      <c r="Y2345" s="1">
        <v>19490.0</v>
      </c>
      <c r="Z2345" s="1"/>
      <c r="AA2345" s="1">
        <v>19490.0</v>
      </c>
      <c r="AB2345" s="1"/>
      <c r="AC2345" s="1" t="s">
        <v>36</v>
      </c>
      <c r="AD2345" s="1" t="s">
        <v>8474</v>
      </c>
      <c r="AE2345" s="1" t="s">
        <v>32</v>
      </c>
      <c r="AF2345" s="1" t="s">
        <v>33</v>
      </c>
      <c r="AG2345" s="1" t="s">
        <v>30</v>
      </c>
    </row>
    <row r="2346" spans="1:33">
      <c r="A2346" t="s">
        <v>8504</v>
      </c>
      <c r="B2346" t="s">
        <v>2422</v>
      </c>
      <c r="C2346" t="s">
        <v>314</v>
      </c>
      <c r="E2346" t="s">
        <v>8226</v>
      </c>
      <c r="F2346" t="s">
        <v>8190</v>
      </c>
      <c r="G2346">
        <v>18.59</v>
      </c>
      <c r="H2346">
        <v>18.59</v>
      </c>
      <c r="I2346" t="s">
        <v>179</v>
      </c>
      <c r="J2346" t="s">
        <v>180</v>
      </c>
      <c r="K2346" t="s">
        <v>31</v>
      </c>
      <c r="L2346" t="s">
        <v>32</v>
      </c>
      <c r="M2346" t="s">
        <v>33</v>
      </c>
      <c r="P2346" s="1" t="s">
        <v>8505</v>
      </c>
      <c r="Q2346" s="1" t="s">
        <v>8226</v>
      </c>
      <c r="R2346" s="1" t="s">
        <v>8226</v>
      </c>
      <c r="S2346" s="1"/>
      <c r="T2346" s="1" t="s">
        <v>314</v>
      </c>
      <c r="U2346" s="1"/>
      <c r="V2346" s="1">
        <v>18.59</v>
      </c>
      <c r="W2346" s="1">
        <v>18.59</v>
      </c>
      <c r="X2346" s="1" t="s">
        <v>35</v>
      </c>
      <c r="Y2346" s="1">
        <v>18590.0</v>
      </c>
      <c r="Z2346" s="1"/>
      <c r="AA2346" s="1">
        <v>18590.0</v>
      </c>
      <c r="AB2346" s="1"/>
      <c r="AC2346" s="1" t="s">
        <v>36</v>
      </c>
      <c r="AD2346" s="1" t="s">
        <v>8500</v>
      </c>
      <c r="AE2346" s="1" t="s">
        <v>32</v>
      </c>
      <c r="AF2346" s="1" t="s">
        <v>33</v>
      </c>
      <c r="AG2346" s="1" t="s">
        <v>180</v>
      </c>
    </row>
    <row r="2347" spans="1:33">
      <c r="A2347" t="s">
        <v>8506</v>
      </c>
      <c r="C2347" t="s">
        <v>8507</v>
      </c>
      <c r="E2347" t="s">
        <v>8226</v>
      </c>
      <c r="F2347" t="s">
        <v>8190</v>
      </c>
      <c r="G2347">
        <v>1.316</v>
      </c>
      <c r="H2347">
        <v>1.316</v>
      </c>
      <c r="I2347" t="s">
        <v>269</v>
      </c>
      <c r="J2347" t="s">
        <v>270</v>
      </c>
      <c r="K2347" t="s">
        <v>31</v>
      </c>
      <c r="L2347" t="s">
        <v>32</v>
      </c>
      <c r="M2347" t="s">
        <v>33</v>
      </c>
      <c r="P2347" s="1" t="s">
        <v>8508</v>
      </c>
      <c r="Q2347" s="1" t="s">
        <v>8226</v>
      </c>
      <c r="R2347" s="1" t="s">
        <v>8226</v>
      </c>
      <c r="S2347" s="1"/>
      <c r="T2347" s="1" t="s">
        <v>8507</v>
      </c>
      <c r="U2347" s="1"/>
      <c r="V2347" s="1">
        <v>1.316</v>
      </c>
      <c r="W2347" s="1">
        <v>1.316</v>
      </c>
      <c r="X2347" s="1" t="s">
        <v>35</v>
      </c>
      <c r="Y2347" s="1">
        <v>1316500.0</v>
      </c>
      <c r="Z2347" s="1"/>
      <c r="AA2347" s="1">
        <v>1316500.0</v>
      </c>
      <c r="AB2347" s="1"/>
      <c r="AC2347" s="1" t="s">
        <v>36</v>
      </c>
      <c r="AD2347" s="1" t="s">
        <v>8485</v>
      </c>
      <c r="AE2347" s="1" t="s">
        <v>32</v>
      </c>
      <c r="AF2347" s="1" t="s">
        <v>33</v>
      </c>
      <c r="AG2347" s="1" t="s">
        <v>270</v>
      </c>
    </row>
    <row r="2348" spans="1:33">
      <c r="A2348" t="s">
        <v>8509</v>
      </c>
      <c r="B2348" t="s">
        <v>8510</v>
      </c>
      <c r="C2348" t="s">
        <v>26</v>
      </c>
      <c r="E2348" t="s">
        <v>8226</v>
      </c>
      <c r="F2348" t="s">
        <v>8190</v>
      </c>
      <c r="G2348">
        <v>21.99</v>
      </c>
      <c r="H2348">
        <v>21.99</v>
      </c>
      <c r="I2348" t="s">
        <v>29</v>
      </c>
      <c r="J2348" t="s">
        <v>30</v>
      </c>
      <c r="K2348" t="s">
        <v>31</v>
      </c>
      <c r="L2348" t="s">
        <v>32</v>
      </c>
      <c r="M2348" t="s">
        <v>33</v>
      </c>
      <c r="P2348" s="1" t="s">
        <v>8511</v>
      </c>
      <c r="Q2348" s="1" t="s">
        <v>8226</v>
      </c>
      <c r="R2348" s="1" t="s">
        <v>8226</v>
      </c>
      <c r="S2348" s="1"/>
      <c r="T2348" s="1" t="s">
        <v>26</v>
      </c>
      <c r="U2348" s="1"/>
      <c r="V2348" s="1">
        <v>21.99</v>
      </c>
      <c r="W2348" s="1">
        <v>21.99</v>
      </c>
      <c r="X2348" s="1" t="s">
        <v>35</v>
      </c>
      <c r="Y2348" s="1">
        <v>21990.0</v>
      </c>
      <c r="Z2348" s="1"/>
      <c r="AA2348" s="1">
        <v>21990.0</v>
      </c>
      <c r="AB2348" s="1"/>
      <c r="AC2348" s="1" t="s">
        <v>36</v>
      </c>
      <c r="AD2348" s="1" t="s">
        <v>8471</v>
      </c>
      <c r="AE2348" s="1" t="s">
        <v>32</v>
      </c>
      <c r="AF2348" s="1" t="s">
        <v>33</v>
      </c>
      <c r="AG2348" s="1" t="s">
        <v>30</v>
      </c>
    </row>
    <row r="2349" spans="1:33">
      <c r="A2349" t="s">
        <v>8512</v>
      </c>
      <c r="B2349" t="s">
        <v>8513</v>
      </c>
      <c r="C2349" t="s">
        <v>172</v>
      </c>
      <c r="E2349" t="s">
        <v>8226</v>
      </c>
      <c r="F2349" t="s">
        <v>3239</v>
      </c>
      <c r="G2349">
        <v>20.99</v>
      </c>
      <c r="H2349">
        <v>20.99</v>
      </c>
      <c r="I2349" t="s">
        <v>173</v>
      </c>
      <c r="J2349" t="s">
        <v>174</v>
      </c>
      <c r="K2349" t="s">
        <v>31</v>
      </c>
      <c r="L2349" t="s">
        <v>32</v>
      </c>
      <c r="M2349" t="s">
        <v>33</v>
      </c>
      <c r="P2349" s="1" t="s">
        <v>8514</v>
      </c>
      <c r="Q2349" s="1" t="s">
        <v>8226</v>
      </c>
      <c r="R2349" s="1" t="s">
        <v>8226</v>
      </c>
      <c r="S2349" s="1"/>
      <c r="T2349" s="1" t="s">
        <v>172</v>
      </c>
      <c r="U2349" s="1"/>
      <c r="V2349" s="1">
        <v>20.99</v>
      </c>
      <c r="W2349" s="1">
        <v>20.99</v>
      </c>
      <c r="X2349" s="1" t="s">
        <v>35</v>
      </c>
      <c r="Y2349" s="1">
        <v>20990.0</v>
      </c>
      <c r="Z2349" s="1"/>
      <c r="AA2349" s="1">
        <v>20990.0</v>
      </c>
      <c r="AB2349" s="1"/>
      <c r="AC2349" s="1" t="s">
        <v>36</v>
      </c>
      <c r="AD2349" s="1" t="s">
        <v>8515</v>
      </c>
      <c r="AE2349" s="1" t="s">
        <v>32</v>
      </c>
      <c r="AF2349" s="1" t="s">
        <v>33</v>
      </c>
      <c r="AG2349" s="1" t="s">
        <v>174</v>
      </c>
    </row>
    <row r="2350" spans="1:33">
      <c r="A2350" t="s">
        <v>8516</v>
      </c>
      <c r="B2350" t="s">
        <v>1649</v>
      </c>
      <c r="C2350" t="s">
        <v>1408</v>
      </c>
      <c r="E2350" t="s">
        <v>8226</v>
      </c>
      <c r="F2350" t="s">
        <v>8190</v>
      </c>
      <c r="G2350">
        <v>1.059</v>
      </c>
      <c r="H2350">
        <v>1.059</v>
      </c>
      <c r="I2350" t="s">
        <v>529</v>
      </c>
      <c r="J2350" t="s">
        <v>530</v>
      </c>
      <c r="K2350" t="s">
        <v>31</v>
      </c>
      <c r="L2350" t="s">
        <v>32</v>
      </c>
      <c r="M2350" t="s">
        <v>33</v>
      </c>
      <c r="P2350" s="1" t="s">
        <v>8517</v>
      </c>
      <c r="Q2350" s="1" t="s">
        <v>8226</v>
      </c>
      <c r="R2350" s="1" t="s">
        <v>7413</v>
      </c>
      <c r="S2350" s="1"/>
      <c r="T2350" s="1" t="s">
        <v>1408</v>
      </c>
      <c r="U2350" s="1"/>
      <c r="V2350" s="1">
        <v>1.059</v>
      </c>
      <c r="W2350" s="1">
        <v>1.059</v>
      </c>
      <c r="X2350" s="1" t="s">
        <v>35</v>
      </c>
      <c r="Y2350" s="1">
        <v>1059600.0</v>
      </c>
      <c r="Z2350" s="1"/>
      <c r="AA2350" s="1">
        <v>1059600.0</v>
      </c>
      <c r="AB2350" s="1"/>
      <c r="AC2350" s="1" t="s">
        <v>36</v>
      </c>
      <c r="AD2350" s="1" t="s">
        <v>8518</v>
      </c>
      <c r="AE2350" s="1" t="s">
        <v>32</v>
      </c>
      <c r="AF2350" s="1" t="s">
        <v>33</v>
      </c>
      <c r="AG2350" s="1" t="s">
        <v>530</v>
      </c>
    </row>
    <row r="2351" spans="1:33">
      <c r="A2351" t="s">
        <v>8519</v>
      </c>
      <c r="C2351" t="s">
        <v>8520</v>
      </c>
      <c r="D2351" t="s">
        <v>114</v>
      </c>
      <c r="E2351" t="s">
        <v>8226</v>
      </c>
      <c r="F2351" t="s">
        <v>8190</v>
      </c>
      <c r="G2351">
        <v>525.5</v>
      </c>
      <c r="H2351">
        <v>525.5</v>
      </c>
      <c r="I2351" t="s">
        <v>269</v>
      </c>
      <c r="J2351" t="s">
        <v>270</v>
      </c>
      <c r="K2351" t="s">
        <v>31</v>
      </c>
      <c r="L2351" t="s">
        <v>32</v>
      </c>
      <c r="M2351" t="s">
        <v>33</v>
      </c>
      <c r="P2351" s="1" t="s">
        <v>8521</v>
      </c>
      <c r="Q2351" s="1" t="s">
        <v>8226</v>
      </c>
      <c r="R2351" s="1" t="s">
        <v>8226</v>
      </c>
      <c r="S2351" s="1"/>
      <c r="T2351" s="1" t="s">
        <v>8522</v>
      </c>
      <c r="U2351" s="1" t="s">
        <v>8523</v>
      </c>
      <c r="V2351" s="1">
        <v>525.5</v>
      </c>
      <c r="W2351" s="1">
        <v>525.5</v>
      </c>
      <c r="X2351" s="1" t="s">
        <v>35</v>
      </c>
      <c r="Y2351" s="1">
        <v>525500.0</v>
      </c>
      <c r="Z2351" s="1"/>
      <c r="AA2351" s="1">
        <v>525500.0</v>
      </c>
      <c r="AB2351" s="1"/>
      <c r="AC2351" s="1" t="s">
        <v>36</v>
      </c>
      <c r="AD2351" s="1" t="s">
        <v>8524</v>
      </c>
      <c r="AE2351" s="1" t="s">
        <v>32</v>
      </c>
      <c r="AF2351" s="1" t="s">
        <v>33</v>
      </c>
      <c r="AG2351" s="1" t="s">
        <v>270</v>
      </c>
    </row>
    <row r="2352" spans="1:33">
      <c r="A2352" t="s">
        <v>8525</v>
      </c>
      <c r="B2352" t="s">
        <v>8526</v>
      </c>
      <c r="C2352" t="s">
        <v>268</v>
      </c>
      <c r="E2352" t="s">
        <v>8226</v>
      </c>
      <c r="F2352" t="s">
        <v>8190</v>
      </c>
      <c r="G2352">
        <v>90.3</v>
      </c>
      <c r="H2352">
        <v>90.3</v>
      </c>
      <c r="I2352" t="s">
        <v>269</v>
      </c>
      <c r="J2352" t="s">
        <v>270</v>
      </c>
      <c r="K2352" t="s">
        <v>31</v>
      </c>
      <c r="L2352" t="s">
        <v>32</v>
      </c>
      <c r="M2352" t="s">
        <v>33</v>
      </c>
      <c r="P2352" s="1" t="s">
        <v>8527</v>
      </c>
      <c r="Q2352" s="1" t="s">
        <v>8226</v>
      </c>
      <c r="R2352" s="1" t="s">
        <v>8226</v>
      </c>
      <c r="S2352" s="1"/>
      <c r="T2352" s="1" t="s">
        <v>268</v>
      </c>
      <c r="U2352" s="1"/>
      <c r="V2352" s="1">
        <v>90.3</v>
      </c>
      <c r="W2352" s="1">
        <v>90.3</v>
      </c>
      <c r="X2352" s="1" t="s">
        <v>35</v>
      </c>
      <c r="Y2352" s="1">
        <v>90300.0</v>
      </c>
      <c r="Z2352" s="1"/>
      <c r="AA2352" s="1">
        <v>90300.0</v>
      </c>
      <c r="AB2352" s="1"/>
      <c r="AC2352" s="1" t="s">
        <v>36</v>
      </c>
      <c r="AD2352" s="1" t="s">
        <v>8528</v>
      </c>
      <c r="AE2352" s="1" t="s">
        <v>32</v>
      </c>
      <c r="AF2352" s="1" t="s">
        <v>33</v>
      </c>
      <c r="AG2352" s="1" t="s">
        <v>270</v>
      </c>
    </row>
    <row r="2353" spans="1:33">
      <c r="A2353" t="s">
        <v>8529</v>
      </c>
      <c r="B2353" t="s">
        <v>8530</v>
      </c>
      <c r="C2353" t="s">
        <v>314</v>
      </c>
      <c r="E2353" t="s">
        <v>8226</v>
      </c>
      <c r="F2353" t="s">
        <v>8190</v>
      </c>
      <c r="G2353">
        <v>33.74</v>
      </c>
      <c r="H2353">
        <v>33.74</v>
      </c>
      <c r="I2353" t="s">
        <v>179</v>
      </c>
      <c r="J2353" t="s">
        <v>180</v>
      </c>
      <c r="K2353" t="s">
        <v>31</v>
      </c>
      <c r="L2353" t="s">
        <v>32</v>
      </c>
      <c r="M2353" t="s">
        <v>33</v>
      </c>
      <c r="P2353" s="1" t="s">
        <v>8531</v>
      </c>
      <c r="Q2353" s="1" t="s">
        <v>8226</v>
      </c>
      <c r="R2353" s="1" t="s">
        <v>8226</v>
      </c>
      <c r="S2353" s="1"/>
      <c r="T2353" s="1" t="s">
        <v>314</v>
      </c>
      <c r="U2353" s="1"/>
      <c r="V2353" s="1">
        <v>33.74</v>
      </c>
      <c r="W2353" s="1">
        <v>33.74</v>
      </c>
      <c r="X2353" s="1" t="s">
        <v>35</v>
      </c>
      <c r="Y2353" s="1">
        <v>33740.0</v>
      </c>
      <c r="Z2353" s="1"/>
      <c r="AA2353" s="1">
        <v>33740.0</v>
      </c>
      <c r="AB2353" s="1"/>
      <c r="AC2353" s="1" t="s">
        <v>36</v>
      </c>
      <c r="AD2353" s="1" t="s">
        <v>8532</v>
      </c>
      <c r="AE2353" s="1" t="s">
        <v>32</v>
      </c>
      <c r="AF2353" s="1" t="s">
        <v>33</v>
      </c>
      <c r="AG2353" s="1" t="s">
        <v>180</v>
      </c>
    </row>
    <row r="2354" spans="1:33">
      <c r="A2354" t="s">
        <v>8533</v>
      </c>
      <c r="B2354" t="s">
        <v>8534</v>
      </c>
      <c r="C2354" t="s">
        <v>47</v>
      </c>
      <c r="E2354" t="s">
        <v>8226</v>
      </c>
      <c r="F2354" t="s">
        <v>8190</v>
      </c>
      <c r="G2354">
        <v>284.9</v>
      </c>
      <c r="H2354">
        <v>284.9</v>
      </c>
      <c r="I2354" t="s">
        <v>2206</v>
      </c>
      <c r="J2354" t="s">
        <v>49</v>
      </c>
      <c r="K2354" t="s">
        <v>31</v>
      </c>
      <c r="L2354" t="s">
        <v>32</v>
      </c>
      <c r="M2354" t="s">
        <v>33</v>
      </c>
      <c r="P2354" s="1" t="s">
        <v>8535</v>
      </c>
      <c r="Q2354" s="1" t="s">
        <v>8226</v>
      </c>
      <c r="R2354" s="1" t="s">
        <v>8226</v>
      </c>
      <c r="S2354" s="1"/>
      <c r="T2354" s="1" t="s">
        <v>47</v>
      </c>
      <c r="U2354" s="1"/>
      <c r="V2354" s="1">
        <v>284.9</v>
      </c>
      <c r="W2354" s="1">
        <v>284.9</v>
      </c>
      <c r="X2354" s="1" t="s">
        <v>35</v>
      </c>
      <c r="Y2354" s="1">
        <v>284900.0</v>
      </c>
      <c r="Z2354" s="1"/>
      <c r="AA2354" s="1">
        <v>284900.0</v>
      </c>
      <c r="AB2354" s="1"/>
      <c r="AC2354" s="1" t="s">
        <v>36</v>
      </c>
      <c r="AD2354" s="1" t="s">
        <v>8536</v>
      </c>
      <c r="AE2354" s="1" t="s">
        <v>32</v>
      </c>
      <c r="AF2354" s="1" t="s">
        <v>33</v>
      </c>
      <c r="AG2354" s="1" t="s">
        <v>49</v>
      </c>
    </row>
    <row r="2355" spans="1:33">
      <c r="A2355" t="s">
        <v>8537</v>
      </c>
      <c r="B2355" t="s">
        <v>8538</v>
      </c>
      <c r="C2355" t="s">
        <v>314</v>
      </c>
      <c r="E2355" t="s">
        <v>8226</v>
      </c>
      <c r="F2355" t="s">
        <v>8190</v>
      </c>
      <c r="G2355">
        <v>89.51</v>
      </c>
      <c r="H2355">
        <v>89.51</v>
      </c>
      <c r="I2355" t="s">
        <v>179</v>
      </c>
      <c r="J2355" t="s">
        <v>180</v>
      </c>
      <c r="K2355" t="s">
        <v>31</v>
      </c>
      <c r="L2355" t="s">
        <v>32</v>
      </c>
      <c r="M2355" t="s">
        <v>33</v>
      </c>
      <c r="P2355" s="1" t="s">
        <v>8539</v>
      </c>
      <c r="Q2355" s="1" t="s">
        <v>8226</v>
      </c>
      <c r="R2355" s="1" t="s">
        <v>8226</v>
      </c>
      <c r="S2355" s="1"/>
      <c r="T2355" s="1" t="s">
        <v>314</v>
      </c>
      <c r="U2355" s="1"/>
      <c r="V2355" s="1">
        <v>89.51</v>
      </c>
      <c r="W2355" s="1">
        <v>89.51</v>
      </c>
      <c r="X2355" s="1" t="s">
        <v>35</v>
      </c>
      <c r="Y2355" s="1">
        <v>89510.0</v>
      </c>
      <c r="Z2355" s="1"/>
      <c r="AA2355" s="1">
        <v>89510.0</v>
      </c>
      <c r="AB2355" s="1"/>
      <c r="AC2355" s="1" t="s">
        <v>36</v>
      </c>
      <c r="AD2355" s="1" t="s">
        <v>8540</v>
      </c>
      <c r="AE2355" s="1" t="s">
        <v>32</v>
      </c>
      <c r="AF2355" s="1" t="s">
        <v>33</v>
      </c>
      <c r="AG2355" s="1" t="s">
        <v>180</v>
      </c>
    </row>
    <row r="2356" spans="1:33">
      <c r="A2356" t="s">
        <v>8541</v>
      </c>
      <c r="C2356" t="s">
        <v>1129</v>
      </c>
      <c r="E2356" t="s">
        <v>8226</v>
      </c>
      <c r="F2356" t="s">
        <v>8190</v>
      </c>
      <c r="G2356">
        <v>336.0</v>
      </c>
      <c r="H2356">
        <v>336.0</v>
      </c>
      <c r="I2356" t="s">
        <v>94</v>
      </c>
      <c r="J2356" t="s">
        <v>95</v>
      </c>
      <c r="K2356" t="s">
        <v>31</v>
      </c>
      <c r="L2356" t="s">
        <v>32</v>
      </c>
      <c r="M2356" t="s">
        <v>33</v>
      </c>
      <c r="P2356" s="1" t="s">
        <v>8542</v>
      </c>
      <c r="Q2356" s="1" t="s">
        <v>8226</v>
      </c>
      <c r="R2356" s="1" t="s">
        <v>8226</v>
      </c>
      <c r="S2356" s="1"/>
      <c r="T2356" s="1" t="s">
        <v>1129</v>
      </c>
      <c r="U2356" s="1"/>
      <c r="V2356" s="1">
        <v>336.0</v>
      </c>
      <c r="W2356" s="1">
        <v>336.0</v>
      </c>
      <c r="X2356" s="1" t="s">
        <v>35</v>
      </c>
      <c r="Y2356" s="1">
        <v>336000.0</v>
      </c>
      <c r="Z2356" s="1"/>
      <c r="AA2356" s="1">
        <v>336000.0</v>
      </c>
      <c r="AB2356" s="1"/>
      <c r="AC2356" s="1" t="s">
        <v>36</v>
      </c>
      <c r="AD2356" s="1" t="s">
        <v>8543</v>
      </c>
      <c r="AE2356" s="1" t="s">
        <v>32</v>
      </c>
      <c r="AF2356" s="1" t="s">
        <v>33</v>
      </c>
      <c r="AG2356" s="1" t="s">
        <v>95</v>
      </c>
    </row>
    <row r="2357" spans="1:33">
      <c r="A2357" t="s">
        <v>8544</v>
      </c>
      <c r="C2357" t="s">
        <v>2842</v>
      </c>
      <c r="E2357" t="s">
        <v>8226</v>
      </c>
      <c r="F2357" t="s">
        <v>8190</v>
      </c>
      <c r="G2357">
        <v>675.0</v>
      </c>
      <c r="H2357">
        <v>675.0</v>
      </c>
      <c r="I2357" t="s">
        <v>2206</v>
      </c>
      <c r="J2357" t="s">
        <v>49</v>
      </c>
      <c r="K2357" t="s">
        <v>31</v>
      </c>
      <c r="L2357" t="s">
        <v>32</v>
      </c>
      <c r="M2357" t="s">
        <v>33</v>
      </c>
      <c r="P2357" s="1" t="s">
        <v>8545</v>
      </c>
      <c r="Q2357" s="1" t="s">
        <v>8226</v>
      </c>
      <c r="R2357" s="1" t="s">
        <v>8226</v>
      </c>
      <c r="S2357" s="1"/>
      <c r="T2357" s="1" t="s">
        <v>2842</v>
      </c>
      <c r="U2357" s="1"/>
      <c r="V2357" s="1">
        <v>675.0</v>
      </c>
      <c r="W2357" s="1">
        <v>675.0</v>
      </c>
      <c r="X2357" s="1" t="s">
        <v>35</v>
      </c>
      <c r="Y2357" s="1">
        <v>675000.0</v>
      </c>
      <c r="Z2357" s="1"/>
      <c r="AA2357" s="1">
        <v>675000.0</v>
      </c>
      <c r="AB2357" s="1"/>
      <c r="AC2357" s="1" t="s">
        <v>36</v>
      </c>
      <c r="AD2357" s="1" t="s">
        <v>8546</v>
      </c>
      <c r="AE2357" s="1" t="s">
        <v>32</v>
      </c>
      <c r="AF2357" s="1" t="s">
        <v>33</v>
      </c>
      <c r="AG2357" s="1" t="s">
        <v>49</v>
      </c>
    </row>
    <row r="2358" spans="1:33">
      <c r="A2358" t="s">
        <v>8547</v>
      </c>
      <c r="B2358" t="s">
        <v>8548</v>
      </c>
      <c r="C2358" t="s">
        <v>131</v>
      </c>
      <c r="E2358" t="s">
        <v>8226</v>
      </c>
      <c r="F2358" t="s">
        <v>8190</v>
      </c>
      <c r="G2358">
        <v>20.99</v>
      </c>
      <c r="H2358">
        <v>20.99</v>
      </c>
      <c r="I2358" t="s">
        <v>94</v>
      </c>
      <c r="J2358" t="s">
        <v>95</v>
      </c>
      <c r="K2358" t="s">
        <v>31</v>
      </c>
      <c r="L2358" t="s">
        <v>32</v>
      </c>
      <c r="M2358" t="s">
        <v>33</v>
      </c>
      <c r="P2358" s="1" t="s">
        <v>8549</v>
      </c>
      <c r="Q2358" s="1" t="s">
        <v>8226</v>
      </c>
      <c r="R2358" s="1" t="s">
        <v>8226</v>
      </c>
      <c r="S2358" s="1"/>
      <c r="T2358" s="1" t="s">
        <v>131</v>
      </c>
      <c r="U2358" s="1"/>
      <c r="V2358" s="1">
        <v>20.99</v>
      </c>
      <c r="W2358" s="1">
        <v>20.99</v>
      </c>
      <c r="X2358" s="1" t="s">
        <v>35</v>
      </c>
      <c r="Y2358" s="1">
        <v>20990.0</v>
      </c>
      <c r="Z2358" s="1"/>
      <c r="AA2358" s="1">
        <v>20990.0</v>
      </c>
      <c r="AB2358" s="1"/>
      <c r="AC2358" s="1" t="s">
        <v>36</v>
      </c>
      <c r="AD2358" s="1" t="s">
        <v>8550</v>
      </c>
      <c r="AE2358" s="1" t="s">
        <v>32</v>
      </c>
      <c r="AF2358" s="1" t="s">
        <v>33</v>
      </c>
      <c r="AG2358" s="1" t="s">
        <v>95</v>
      </c>
    </row>
    <row r="2359" spans="1:33">
      <c r="A2359" t="s">
        <v>8551</v>
      </c>
      <c r="B2359" t="s">
        <v>8552</v>
      </c>
      <c r="C2359" t="s">
        <v>131</v>
      </c>
      <c r="E2359" t="s">
        <v>8226</v>
      </c>
      <c r="F2359" t="s">
        <v>8190</v>
      </c>
      <c r="G2359">
        <v>32.24</v>
      </c>
      <c r="H2359">
        <v>32.24</v>
      </c>
      <c r="I2359" t="s">
        <v>94</v>
      </c>
      <c r="J2359" t="s">
        <v>95</v>
      </c>
      <c r="K2359" t="s">
        <v>31</v>
      </c>
      <c r="L2359" t="s">
        <v>32</v>
      </c>
      <c r="M2359" t="s">
        <v>33</v>
      </c>
      <c r="P2359" s="1" t="s">
        <v>8553</v>
      </c>
      <c r="Q2359" s="1" t="s">
        <v>8226</v>
      </c>
      <c r="R2359" s="1" t="s">
        <v>8226</v>
      </c>
      <c r="S2359" s="1"/>
      <c r="T2359" s="1" t="s">
        <v>131</v>
      </c>
      <c r="U2359" s="1"/>
      <c r="V2359" s="1">
        <v>32.24</v>
      </c>
      <c r="W2359" s="1">
        <v>32.24</v>
      </c>
      <c r="X2359" s="1" t="s">
        <v>35</v>
      </c>
      <c r="Y2359" s="1">
        <v>32240.0</v>
      </c>
      <c r="Z2359" s="1"/>
      <c r="AA2359" s="1">
        <v>32240.0</v>
      </c>
      <c r="AB2359" s="1"/>
      <c r="AC2359" s="1" t="s">
        <v>36</v>
      </c>
      <c r="AD2359" s="1" t="s">
        <v>8532</v>
      </c>
      <c r="AE2359" s="1" t="s">
        <v>32</v>
      </c>
      <c r="AF2359" s="1" t="s">
        <v>33</v>
      </c>
      <c r="AG2359" s="1" t="s">
        <v>95</v>
      </c>
    </row>
    <row r="2360" spans="1:33">
      <c r="A2360" t="s">
        <v>8554</v>
      </c>
      <c r="B2360" t="s">
        <v>8555</v>
      </c>
      <c r="C2360" t="s">
        <v>47</v>
      </c>
      <c r="E2360" t="s">
        <v>8226</v>
      </c>
      <c r="F2360" t="s">
        <v>8190</v>
      </c>
      <c r="G2360">
        <v>21.99</v>
      </c>
      <c r="H2360">
        <v>21.99</v>
      </c>
      <c r="I2360" t="s">
        <v>2206</v>
      </c>
      <c r="J2360" t="s">
        <v>49</v>
      </c>
      <c r="K2360" t="s">
        <v>31</v>
      </c>
      <c r="L2360" t="s">
        <v>32</v>
      </c>
      <c r="M2360" t="s">
        <v>33</v>
      </c>
      <c r="P2360" s="1" t="s">
        <v>8556</v>
      </c>
      <c r="Q2360" s="1" t="s">
        <v>8226</v>
      </c>
      <c r="R2360" s="1" t="s">
        <v>8226</v>
      </c>
      <c r="S2360" s="1"/>
      <c r="T2360" s="1" t="s">
        <v>47</v>
      </c>
      <c r="U2360" s="1"/>
      <c r="V2360" s="1">
        <v>21.99</v>
      </c>
      <c r="W2360" s="1">
        <v>21.99</v>
      </c>
      <c r="X2360" s="1" t="s">
        <v>35</v>
      </c>
      <c r="Y2360" s="1">
        <v>21990.0</v>
      </c>
      <c r="Z2360" s="1"/>
      <c r="AA2360" s="1">
        <v>21990.0</v>
      </c>
      <c r="AB2360" s="1"/>
      <c r="AC2360" s="1" t="s">
        <v>36</v>
      </c>
      <c r="AD2360" s="1" t="s">
        <v>8557</v>
      </c>
      <c r="AE2360" s="1" t="s">
        <v>32</v>
      </c>
      <c r="AF2360" s="1" t="s">
        <v>33</v>
      </c>
      <c r="AG2360" s="1" t="s">
        <v>49</v>
      </c>
    </row>
    <row r="2361" spans="1:33">
      <c r="A2361" t="s">
        <v>8558</v>
      </c>
      <c r="B2361" t="s">
        <v>8559</v>
      </c>
      <c r="C2361" t="s">
        <v>172</v>
      </c>
      <c r="E2361" t="s">
        <v>8226</v>
      </c>
      <c r="F2361" t="s">
        <v>8190</v>
      </c>
      <c r="G2361">
        <v>20.99</v>
      </c>
      <c r="H2361">
        <v>20.99</v>
      </c>
      <c r="I2361" t="s">
        <v>173</v>
      </c>
      <c r="J2361" t="s">
        <v>174</v>
      </c>
      <c r="K2361" t="s">
        <v>31</v>
      </c>
      <c r="L2361" t="s">
        <v>32</v>
      </c>
      <c r="M2361" t="s">
        <v>33</v>
      </c>
      <c r="P2361" s="1" t="s">
        <v>8560</v>
      </c>
      <c r="Q2361" s="1" t="s">
        <v>8226</v>
      </c>
      <c r="R2361" s="1" t="s">
        <v>8226</v>
      </c>
      <c r="S2361" s="1"/>
      <c r="T2361" s="1" t="s">
        <v>172</v>
      </c>
      <c r="U2361" s="1"/>
      <c r="V2361" s="1">
        <v>20.99</v>
      </c>
      <c r="W2361" s="1">
        <v>20.99</v>
      </c>
      <c r="X2361" s="1" t="s">
        <v>35</v>
      </c>
      <c r="Y2361" s="1">
        <v>20990.0</v>
      </c>
      <c r="Z2361" s="1"/>
      <c r="AA2361" s="1">
        <v>20990.0</v>
      </c>
      <c r="AB2361" s="1"/>
      <c r="AC2361" s="1" t="s">
        <v>36</v>
      </c>
      <c r="AD2361" s="1" t="s">
        <v>8561</v>
      </c>
      <c r="AE2361" s="1" t="s">
        <v>32</v>
      </c>
      <c r="AF2361" s="1" t="s">
        <v>33</v>
      </c>
      <c r="AG2361" s="1" t="s">
        <v>174</v>
      </c>
    </row>
    <row r="2362" spans="1:33">
      <c r="A2362" t="s">
        <v>8562</v>
      </c>
      <c r="B2362" t="s">
        <v>1337</v>
      </c>
      <c r="C2362" t="s">
        <v>314</v>
      </c>
      <c r="E2362" t="s">
        <v>8226</v>
      </c>
      <c r="F2362" t="s">
        <v>8190</v>
      </c>
      <c r="G2362">
        <v>137.75</v>
      </c>
      <c r="H2362">
        <v>137.75</v>
      </c>
      <c r="I2362" t="s">
        <v>179</v>
      </c>
      <c r="J2362" t="s">
        <v>180</v>
      </c>
      <c r="K2362" t="s">
        <v>31</v>
      </c>
      <c r="L2362" t="s">
        <v>32</v>
      </c>
      <c r="M2362" t="s">
        <v>33</v>
      </c>
      <c r="P2362" s="1" t="s">
        <v>8563</v>
      </c>
      <c r="Q2362" s="1" t="s">
        <v>8226</v>
      </c>
      <c r="R2362" s="1" t="s">
        <v>8226</v>
      </c>
      <c r="S2362" s="1"/>
      <c r="T2362" s="1" t="s">
        <v>314</v>
      </c>
      <c r="U2362" s="1"/>
      <c r="V2362" s="1">
        <v>137.75</v>
      </c>
      <c r="W2362" s="1">
        <v>137.75</v>
      </c>
      <c r="X2362" s="1" t="s">
        <v>35</v>
      </c>
      <c r="Y2362" s="1">
        <v>137750.0</v>
      </c>
      <c r="Z2362" s="1"/>
      <c r="AA2362" s="1">
        <v>137750.0</v>
      </c>
      <c r="AB2362" s="1"/>
      <c r="AC2362" s="1" t="s">
        <v>36</v>
      </c>
      <c r="AD2362" s="1" t="s">
        <v>8564</v>
      </c>
      <c r="AE2362" s="1" t="s">
        <v>32</v>
      </c>
      <c r="AF2362" s="1" t="s">
        <v>33</v>
      </c>
      <c r="AG2362" s="1" t="s">
        <v>180</v>
      </c>
    </row>
    <row r="2363" spans="1:33">
      <c r="A2363" t="s">
        <v>8565</v>
      </c>
      <c r="C2363" t="s">
        <v>3260</v>
      </c>
      <c r="D2363" t="s">
        <v>114</v>
      </c>
      <c r="E2363" t="s">
        <v>8226</v>
      </c>
      <c r="F2363" t="s">
        <v>8190</v>
      </c>
      <c r="G2363">
        <v>383.0</v>
      </c>
      <c r="H2363">
        <v>383.0</v>
      </c>
      <c r="I2363" t="s">
        <v>136</v>
      </c>
      <c r="J2363" t="s">
        <v>137</v>
      </c>
      <c r="K2363" t="s">
        <v>31</v>
      </c>
      <c r="L2363" t="s">
        <v>32</v>
      </c>
      <c r="M2363" t="s">
        <v>33</v>
      </c>
      <c r="P2363" s="1" t="s">
        <v>8566</v>
      </c>
      <c r="Q2363" s="1" t="s">
        <v>8226</v>
      </c>
      <c r="R2363" s="1" t="s">
        <v>8226</v>
      </c>
      <c r="S2363" s="1"/>
      <c r="T2363" s="1" t="s">
        <v>3260</v>
      </c>
      <c r="U2363" s="1"/>
      <c r="V2363" s="1">
        <v>383.0</v>
      </c>
      <c r="W2363" s="1">
        <v>383.0</v>
      </c>
      <c r="X2363" s="1" t="s">
        <v>35</v>
      </c>
      <c r="Y2363" s="1">
        <v>383000.0</v>
      </c>
      <c r="Z2363" s="1"/>
      <c r="AA2363" s="1">
        <v>383000.0</v>
      </c>
      <c r="AB2363" s="1"/>
      <c r="AC2363" s="1" t="s">
        <v>36</v>
      </c>
      <c r="AD2363" s="1" t="s">
        <v>8567</v>
      </c>
      <c r="AE2363" s="1" t="s">
        <v>32</v>
      </c>
      <c r="AF2363" s="1" t="s">
        <v>33</v>
      </c>
      <c r="AG2363" s="1" t="s">
        <v>137</v>
      </c>
    </row>
    <row r="2364" spans="1:33">
      <c r="A2364" t="s">
        <v>8568</v>
      </c>
      <c r="C2364" t="s">
        <v>2617</v>
      </c>
      <c r="E2364" t="s">
        <v>8226</v>
      </c>
      <c r="F2364" t="s">
        <v>8190</v>
      </c>
      <c r="G2364">
        <v>982.5</v>
      </c>
      <c r="H2364">
        <v>982.5</v>
      </c>
      <c r="I2364" t="s">
        <v>179</v>
      </c>
      <c r="J2364" t="s">
        <v>180</v>
      </c>
      <c r="K2364" t="s">
        <v>31</v>
      </c>
      <c r="L2364" t="s">
        <v>32</v>
      </c>
      <c r="M2364" t="s">
        <v>33</v>
      </c>
      <c r="P2364" s="1" t="s">
        <v>8569</v>
      </c>
      <c r="Q2364" s="1" t="s">
        <v>8226</v>
      </c>
      <c r="R2364" s="1" t="s">
        <v>8226</v>
      </c>
      <c r="S2364" s="1"/>
      <c r="T2364" s="1" t="s">
        <v>2617</v>
      </c>
      <c r="U2364" s="1"/>
      <c r="V2364" s="1">
        <v>982.5</v>
      </c>
      <c r="W2364" s="1">
        <v>982.5</v>
      </c>
      <c r="X2364" s="1" t="s">
        <v>35</v>
      </c>
      <c r="Y2364" s="1">
        <v>982500.0</v>
      </c>
      <c r="Z2364" s="1"/>
      <c r="AA2364" s="1">
        <v>982500.0</v>
      </c>
      <c r="AB2364" s="1"/>
      <c r="AC2364" s="1" t="s">
        <v>36</v>
      </c>
      <c r="AD2364" s="1" t="s">
        <v>8570</v>
      </c>
      <c r="AE2364" s="1" t="s">
        <v>32</v>
      </c>
      <c r="AF2364" s="1" t="s">
        <v>33</v>
      </c>
      <c r="AG2364" s="1" t="s">
        <v>180</v>
      </c>
    </row>
    <row r="2365" spans="1:33">
      <c r="A2365" t="s">
        <v>8571</v>
      </c>
      <c r="C2365" t="s">
        <v>8572</v>
      </c>
      <c r="E2365" t="s">
        <v>8226</v>
      </c>
      <c r="F2365" t="s">
        <v>8190</v>
      </c>
      <c r="G2365">
        <v>977.0</v>
      </c>
      <c r="H2365">
        <v>977.0</v>
      </c>
      <c r="I2365" t="s">
        <v>179</v>
      </c>
      <c r="J2365" t="s">
        <v>180</v>
      </c>
      <c r="K2365" t="s">
        <v>31</v>
      </c>
      <c r="L2365" t="s">
        <v>32</v>
      </c>
      <c r="M2365" t="s">
        <v>33</v>
      </c>
      <c r="P2365" s="1" t="s">
        <v>8573</v>
      </c>
      <c r="Q2365" s="1" t="s">
        <v>8226</v>
      </c>
      <c r="R2365" s="1" t="s">
        <v>8226</v>
      </c>
      <c r="S2365" s="1"/>
      <c r="T2365" s="1" t="s">
        <v>8574</v>
      </c>
      <c r="U2365" s="1" t="s">
        <v>8575</v>
      </c>
      <c r="V2365" s="1">
        <v>977.0</v>
      </c>
      <c r="W2365" s="1">
        <v>977.0</v>
      </c>
      <c r="X2365" s="1" t="s">
        <v>35</v>
      </c>
      <c r="Y2365" s="1">
        <v>977000.0</v>
      </c>
      <c r="Z2365" s="1"/>
      <c r="AA2365" s="1">
        <v>977000.0</v>
      </c>
      <c r="AB2365" s="1"/>
      <c r="AC2365" s="1" t="s">
        <v>36</v>
      </c>
      <c r="AD2365" s="1" t="s">
        <v>8576</v>
      </c>
      <c r="AE2365" s="1" t="s">
        <v>32</v>
      </c>
      <c r="AF2365" s="1" t="s">
        <v>33</v>
      </c>
      <c r="AG2365" s="1" t="s">
        <v>180</v>
      </c>
    </row>
    <row r="2366" spans="1:33">
      <c r="A2366" t="s">
        <v>8577</v>
      </c>
      <c r="C2366" t="s">
        <v>1773</v>
      </c>
      <c r="D2366" t="s">
        <v>154</v>
      </c>
      <c r="E2366" t="s">
        <v>8226</v>
      </c>
      <c r="F2366" t="s">
        <v>8190</v>
      </c>
      <c r="G2366">
        <v>2.693</v>
      </c>
      <c r="H2366">
        <v>2.693</v>
      </c>
      <c r="I2366" t="s">
        <v>29</v>
      </c>
      <c r="J2366" t="s">
        <v>30</v>
      </c>
      <c r="K2366" t="s">
        <v>31</v>
      </c>
      <c r="L2366" t="s">
        <v>32</v>
      </c>
      <c r="M2366" t="s">
        <v>33</v>
      </c>
      <c r="P2366" s="1" t="s">
        <v>8578</v>
      </c>
      <c r="Q2366" s="1" t="s">
        <v>8226</v>
      </c>
      <c r="R2366" s="1" t="s">
        <v>8226</v>
      </c>
      <c r="S2366" s="1"/>
      <c r="T2366" s="1" t="s">
        <v>1773</v>
      </c>
      <c r="U2366" s="1"/>
      <c r="V2366" s="1">
        <v>2.693</v>
      </c>
      <c r="W2366" s="1">
        <v>2.693</v>
      </c>
      <c r="X2366" s="1" t="s">
        <v>35</v>
      </c>
      <c r="Y2366" s="1">
        <v>2693500.0</v>
      </c>
      <c r="Z2366" s="1"/>
      <c r="AA2366" s="1">
        <v>2693500.0</v>
      </c>
      <c r="AB2366" s="1"/>
      <c r="AC2366" s="1" t="s">
        <v>36</v>
      </c>
      <c r="AD2366" s="1" t="s">
        <v>8500</v>
      </c>
      <c r="AE2366" s="1" t="s">
        <v>32</v>
      </c>
      <c r="AF2366" s="1" t="s">
        <v>33</v>
      </c>
      <c r="AG2366" s="1" t="s">
        <v>30</v>
      </c>
    </row>
    <row r="2367" spans="1:33">
      <c r="A2367" t="s">
        <v>8579</v>
      </c>
      <c r="C2367" t="s">
        <v>2612</v>
      </c>
      <c r="E2367" t="s">
        <v>8226</v>
      </c>
      <c r="F2367" t="s">
        <v>8190</v>
      </c>
      <c r="G2367">
        <v>805.0</v>
      </c>
      <c r="H2367">
        <v>805.0</v>
      </c>
      <c r="I2367" t="s">
        <v>29</v>
      </c>
      <c r="J2367" t="s">
        <v>30</v>
      </c>
      <c r="K2367" t="s">
        <v>31</v>
      </c>
      <c r="L2367" t="s">
        <v>32</v>
      </c>
      <c r="M2367" t="s">
        <v>33</v>
      </c>
      <c r="P2367" s="1" t="s">
        <v>8580</v>
      </c>
      <c r="Q2367" s="1" t="s">
        <v>8226</v>
      </c>
      <c r="R2367" s="1" t="s">
        <v>8226</v>
      </c>
      <c r="S2367" s="1"/>
      <c r="T2367" s="1" t="s">
        <v>2614</v>
      </c>
      <c r="U2367" s="1" t="s">
        <v>154</v>
      </c>
      <c r="V2367" s="1">
        <v>805.0</v>
      </c>
      <c r="W2367" s="1">
        <v>805.0</v>
      </c>
      <c r="X2367" s="1" t="s">
        <v>35</v>
      </c>
      <c r="Y2367" s="1">
        <v>805000.0</v>
      </c>
      <c r="Z2367" s="1"/>
      <c r="AA2367" s="1">
        <v>805000.0</v>
      </c>
      <c r="AB2367" s="1"/>
      <c r="AC2367" s="1" t="s">
        <v>36</v>
      </c>
      <c r="AD2367" s="1" t="s">
        <v>8581</v>
      </c>
      <c r="AE2367" s="1" t="s">
        <v>32</v>
      </c>
      <c r="AF2367" s="1" t="s">
        <v>33</v>
      </c>
      <c r="AG2367" s="1" t="s">
        <v>30</v>
      </c>
    </row>
    <row r="2368" spans="1:33">
      <c r="A2368" t="s">
        <v>8582</v>
      </c>
      <c r="B2368" t="s">
        <v>8583</v>
      </c>
      <c r="C2368" t="s">
        <v>26</v>
      </c>
      <c r="E2368" t="s">
        <v>8226</v>
      </c>
      <c r="F2368" t="s">
        <v>8190</v>
      </c>
      <c r="G2368">
        <v>34.785</v>
      </c>
      <c r="H2368">
        <v>34.785</v>
      </c>
      <c r="I2368" t="s">
        <v>29</v>
      </c>
      <c r="J2368" t="s">
        <v>30</v>
      </c>
      <c r="K2368" t="s">
        <v>31</v>
      </c>
      <c r="L2368" t="s">
        <v>32</v>
      </c>
      <c r="M2368" t="s">
        <v>33</v>
      </c>
      <c r="P2368" s="1" t="s">
        <v>8584</v>
      </c>
      <c r="Q2368" s="1" t="s">
        <v>8226</v>
      </c>
      <c r="R2368" s="1" t="s">
        <v>8226</v>
      </c>
      <c r="S2368" s="1"/>
      <c r="T2368" s="1" t="s">
        <v>26</v>
      </c>
      <c r="U2368" s="1"/>
      <c r="V2368" s="1">
        <v>34.785</v>
      </c>
      <c r="W2368" s="1">
        <v>34.785</v>
      </c>
      <c r="X2368" s="1" t="s">
        <v>35</v>
      </c>
      <c r="Y2368" s="1">
        <v>34785.0</v>
      </c>
      <c r="Z2368" s="1"/>
      <c r="AA2368" s="1">
        <v>34785.0</v>
      </c>
      <c r="AB2368" s="1"/>
      <c r="AC2368" s="1" t="s">
        <v>36</v>
      </c>
      <c r="AD2368" s="1" t="s">
        <v>8585</v>
      </c>
      <c r="AE2368" s="1" t="s">
        <v>32</v>
      </c>
      <c r="AF2368" s="1" t="s">
        <v>33</v>
      </c>
      <c r="AG2368" s="1" t="s">
        <v>30</v>
      </c>
    </row>
    <row r="2369" spans="1:33">
      <c r="A2369" t="s">
        <v>8586</v>
      </c>
      <c r="C2369" t="s">
        <v>8587</v>
      </c>
      <c r="E2369" t="s">
        <v>8226</v>
      </c>
      <c r="F2369" t="s">
        <v>8190</v>
      </c>
      <c r="G2369">
        <v>1.064</v>
      </c>
      <c r="H2369">
        <v>1.064</v>
      </c>
      <c r="I2369" t="s">
        <v>2206</v>
      </c>
      <c r="J2369" t="s">
        <v>49</v>
      </c>
      <c r="K2369" t="s">
        <v>31</v>
      </c>
      <c r="L2369" t="s">
        <v>32</v>
      </c>
      <c r="M2369" t="s">
        <v>33</v>
      </c>
      <c r="P2369" s="1" t="s">
        <v>8588</v>
      </c>
      <c r="Q2369" s="1" t="s">
        <v>8226</v>
      </c>
      <c r="R2369" s="1" t="s">
        <v>8226</v>
      </c>
      <c r="S2369" s="1"/>
      <c r="T2369" s="1" t="s">
        <v>8589</v>
      </c>
      <c r="U2369" s="1" t="s">
        <v>473</v>
      </c>
      <c r="V2369" s="1">
        <v>1.064</v>
      </c>
      <c r="W2369" s="1">
        <v>1.064</v>
      </c>
      <c r="X2369" s="1" t="s">
        <v>35</v>
      </c>
      <c r="Y2369" s="1">
        <v>1064000.0</v>
      </c>
      <c r="Z2369" s="1"/>
      <c r="AA2369" s="1">
        <v>1064000.0</v>
      </c>
      <c r="AB2369" s="1"/>
      <c r="AC2369" s="1" t="s">
        <v>36</v>
      </c>
      <c r="AD2369" s="1" t="s">
        <v>8536</v>
      </c>
      <c r="AE2369" s="1" t="s">
        <v>32</v>
      </c>
      <c r="AF2369" s="1" t="s">
        <v>33</v>
      </c>
      <c r="AG2369" s="1" t="s">
        <v>49</v>
      </c>
    </row>
    <row r="2370" spans="1:33">
      <c r="A2370" t="s">
        <v>8590</v>
      </c>
      <c r="B2370" t="s">
        <v>8591</v>
      </c>
      <c r="C2370" t="s">
        <v>569</v>
      </c>
      <c r="E2370" t="s">
        <v>8226</v>
      </c>
      <c r="F2370" t="s">
        <v>8190</v>
      </c>
      <c r="G2370">
        <v>20.99</v>
      </c>
      <c r="H2370">
        <v>20.99</v>
      </c>
      <c r="I2370" t="s">
        <v>570</v>
      </c>
      <c r="J2370" t="s">
        <v>571</v>
      </c>
      <c r="K2370" t="s">
        <v>31</v>
      </c>
      <c r="L2370" t="s">
        <v>32</v>
      </c>
      <c r="M2370" t="s">
        <v>33</v>
      </c>
      <c r="P2370" s="1" t="s">
        <v>8592</v>
      </c>
      <c r="Q2370" s="1" t="s">
        <v>8226</v>
      </c>
      <c r="R2370" s="1" t="s">
        <v>8226</v>
      </c>
      <c r="S2370" s="1"/>
      <c r="T2370" s="1" t="s">
        <v>569</v>
      </c>
      <c r="U2370" s="1"/>
      <c r="V2370" s="1">
        <v>20.99</v>
      </c>
      <c r="W2370" s="1">
        <v>20.99</v>
      </c>
      <c r="X2370" s="1" t="s">
        <v>35</v>
      </c>
      <c r="Y2370" s="1">
        <v>20990.0</v>
      </c>
      <c r="Z2370" s="1"/>
      <c r="AA2370" s="1">
        <v>20990.0</v>
      </c>
      <c r="AB2370" s="1"/>
      <c r="AC2370" s="1" t="s">
        <v>36</v>
      </c>
      <c r="AD2370" s="1" t="s">
        <v>8593</v>
      </c>
      <c r="AE2370" s="1" t="s">
        <v>32</v>
      </c>
      <c r="AF2370" s="1" t="s">
        <v>33</v>
      </c>
      <c r="AG2370" s="1" t="s">
        <v>571</v>
      </c>
    </row>
    <row r="2371" spans="1:33">
      <c r="A2371" t="s">
        <v>8594</v>
      </c>
      <c r="C2371" t="s">
        <v>489</v>
      </c>
      <c r="D2371" t="s">
        <v>154</v>
      </c>
      <c r="E2371" t="s">
        <v>8226</v>
      </c>
      <c r="F2371" t="s">
        <v>8190</v>
      </c>
      <c r="G2371">
        <v>492.0</v>
      </c>
      <c r="H2371">
        <v>492.0</v>
      </c>
      <c r="I2371" t="s">
        <v>227</v>
      </c>
      <c r="J2371" t="s">
        <v>228</v>
      </c>
      <c r="K2371" t="s">
        <v>31</v>
      </c>
      <c r="L2371" t="s">
        <v>32</v>
      </c>
      <c r="M2371" t="s">
        <v>33</v>
      </c>
      <c r="P2371" s="1" t="s">
        <v>8595</v>
      </c>
      <c r="Q2371" s="1" t="s">
        <v>8226</v>
      </c>
      <c r="R2371" s="1" t="s">
        <v>8226</v>
      </c>
      <c r="S2371" s="1"/>
      <c r="T2371" s="1" t="s">
        <v>489</v>
      </c>
      <c r="U2371" s="1"/>
      <c r="V2371" s="1">
        <v>492.0</v>
      </c>
      <c r="W2371" s="1">
        <v>492.0</v>
      </c>
      <c r="X2371" s="1" t="s">
        <v>35</v>
      </c>
      <c r="Y2371" s="1">
        <v>492000.0</v>
      </c>
      <c r="Z2371" s="1"/>
      <c r="AA2371" s="1">
        <v>492000.0</v>
      </c>
      <c r="AB2371" s="1"/>
      <c r="AC2371" s="1" t="s">
        <v>36</v>
      </c>
      <c r="AD2371" s="1" t="s">
        <v>8596</v>
      </c>
      <c r="AE2371" s="1" t="s">
        <v>32</v>
      </c>
      <c r="AF2371" s="1" t="s">
        <v>33</v>
      </c>
      <c r="AG2371" s="1" t="s">
        <v>228</v>
      </c>
    </row>
    <row r="2372" spans="1:33">
      <c r="A2372" t="s">
        <v>8597</v>
      </c>
      <c r="C2372" t="s">
        <v>892</v>
      </c>
      <c r="E2372" t="s">
        <v>8226</v>
      </c>
      <c r="F2372" t="s">
        <v>8190</v>
      </c>
      <c r="G2372">
        <v>3.494</v>
      </c>
      <c r="H2372">
        <v>3.494</v>
      </c>
      <c r="I2372" t="s">
        <v>29</v>
      </c>
      <c r="J2372" t="s">
        <v>30</v>
      </c>
      <c r="K2372" t="s">
        <v>31</v>
      </c>
      <c r="L2372" t="s">
        <v>32</v>
      </c>
      <c r="M2372" t="s">
        <v>33</v>
      </c>
      <c r="P2372" s="1" t="s">
        <v>8598</v>
      </c>
      <c r="Q2372" s="1" t="s">
        <v>8226</v>
      </c>
      <c r="R2372" s="1" t="s">
        <v>8226</v>
      </c>
      <c r="S2372" s="1"/>
      <c r="T2372" s="1" t="s">
        <v>894</v>
      </c>
      <c r="U2372" s="1" t="s">
        <v>154</v>
      </c>
      <c r="V2372" s="1">
        <v>3.494</v>
      </c>
      <c r="W2372" s="1">
        <v>3.494</v>
      </c>
      <c r="X2372" s="1" t="s">
        <v>35</v>
      </c>
      <c r="Y2372" s="1">
        <v>3494000.0</v>
      </c>
      <c r="Z2372" s="1"/>
      <c r="AA2372" s="1">
        <v>3494000.0</v>
      </c>
      <c r="AB2372" s="1"/>
      <c r="AC2372" s="1" t="s">
        <v>36</v>
      </c>
      <c r="AD2372" s="1" t="s">
        <v>8599</v>
      </c>
      <c r="AE2372" s="1" t="s">
        <v>32</v>
      </c>
      <c r="AF2372" s="1" t="s">
        <v>33</v>
      </c>
      <c r="AG2372" s="1" t="s">
        <v>30</v>
      </c>
    </row>
    <row r="2373" spans="1:33">
      <c r="A2373" t="s">
        <v>8600</v>
      </c>
      <c r="C2373" t="s">
        <v>1866</v>
      </c>
      <c r="E2373" t="s">
        <v>8226</v>
      </c>
      <c r="F2373" t="s">
        <v>8190</v>
      </c>
      <c r="G2373">
        <v>328.0</v>
      </c>
      <c r="H2373">
        <v>328.0</v>
      </c>
      <c r="I2373" t="s">
        <v>269</v>
      </c>
      <c r="J2373" t="s">
        <v>270</v>
      </c>
      <c r="K2373" t="s">
        <v>31</v>
      </c>
      <c r="L2373" t="s">
        <v>32</v>
      </c>
      <c r="M2373" t="s">
        <v>33</v>
      </c>
      <c r="P2373" s="1" t="s">
        <v>8601</v>
      </c>
      <c r="Q2373" s="1" t="s">
        <v>8226</v>
      </c>
      <c r="R2373" s="1" t="s">
        <v>8226</v>
      </c>
      <c r="S2373" s="1"/>
      <c r="T2373" s="1" t="s">
        <v>1866</v>
      </c>
      <c r="U2373" s="1"/>
      <c r="V2373" s="1">
        <v>328.0</v>
      </c>
      <c r="W2373" s="1">
        <v>328.0</v>
      </c>
      <c r="X2373" s="1" t="s">
        <v>35</v>
      </c>
      <c r="Y2373" s="1">
        <v>328000.0</v>
      </c>
      <c r="Z2373" s="1"/>
      <c r="AA2373" s="1">
        <v>328000.0</v>
      </c>
      <c r="AB2373" s="1"/>
      <c r="AC2373" s="1" t="s">
        <v>36</v>
      </c>
      <c r="AD2373" s="1" t="s">
        <v>8602</v>
      </c>
      <c r="AE2373" s="1" t="s">
        <v>32</v>
      </c>
      <c r="AF2373" s="1" t="s">
        <v>33</v>
      </c>
      <c r="AG2373" s="1" t="s">
        <v>270</v>
      </c>
    </row>
    <row r="2374" spans="1:33">
      <c r="A2374" t="s">
        <v>8603</v>
      </c>
      <c r="C2374" t="s">
        <v>64</v>
      </c>
      <c r="E2374" t="s">
        <v>8226</v>
      </c>
      <c r="F2374" t="s">
        <v>8190</v>
      </c>
      <c r="G2374">
        <v>3.36</v>
      </c>
      <c r="H2374">
        <v>3.36</v>
      </c>
      <c r="I2374" t="s">
        <v>2206</v>
      </c>
      <c r="J2374" t="s">
        <v>49</v>
      </c>
      <c r="K2374" t="s">
        <v>31</v>
      </c>
      <c r="L2374" t="s">
        <v>32</v>
      </c>
      <c r="M2374" t="s">
        <v>33</v>
      </c>
      <c r="P2374" s="1" t="s">
        <v>8604</v>
      </c>
      <c r="Q2374" s="1" t="s">
        <v>8226</v>
      </c>
      <c r="R2374" s="1" t="s">
        <v>8226</v>
      </c>
      <c r="S2374" s="1"/>
      <c r="T2374" s="1" t="s">
        <v>64</v>
      </c>
      <c r="U2374" s="1"/>
      <c r="V2374" s="1">
        <v>3.36</v>
      </c>
      <c r="W2374" s="1">
        <v>3.36</v>
      </c>
      <c r="X2374" s="1" t="s">
        <v>35</v>
      </c>
      <c r="Y2374" s="1">
        <v>3360000.0</v>
      </c>
      <c r="Z2374" s="1"/>
      <c r="AA2374" s="1">
        <v>3360000.0</v>
      </c>
      <c r="AB2374" s="1"/>
      <c r="AC2374" s="1" t="s">
        <v>36</v>
      </c>
      <c r="AD2374" s="1" t="s">
        <v>8605</v>
      </c>
      <c r="AE2374" s="1" t="s">
        <v>32</v>
      </c>
      <c r="AF2374" s="1" t="s">
        <v>33</v>
      </c>
      <c r="AG2374" s="1" t="s">
        <v>49</v>
      </c>
    </row>
    <row r="2375" spans="1:33">
      <c r="A2375" t="s">
        <v>8606</v>
      </c>
      <c r="C2375" t="s">
        <v>827</v>
      </c>
      <c r="D2375" t="s">
        <v>154</v>
      </c>
      <c r="E2375" t="s">
        <v>8226</v>
      </c>
      <c r="F2375" t="s">
        <v>8190</v>
      </c>
      <c r="G2375">
        <v>792.7</v>
      </c>
      <c r="H2375">
        <v>792.7</v>
      </c>
      <c r="I2375" t="s">
        <v>269</v>
      </c>
      <c r="J2375" t="s">
        <v>270</v>
      </c>
      <c r="K2375" t="s">
        <v>31</v>
      </c>
      <c r="L2375" t="s">
        <v>32</v>
      </c>
      <c r="M2375" t="s">
        <v>33</v>
      </c>
      <c r="P2375" s="1" t="s">
        <v>8607</v>
      </c>
      <c r="Q2375" s="1" t="s">
        <v>8226</v>
      </c>
      <c r="R2375" s="1" t="s">
        <v>8226</v>
      </c>
      <c r="S2375" s="1"/>
      <c r="T2375" s="1" t="s">
        <v>827</v>
      </c>
      <c r="U2375" s="1"/>
      <c r="V2375" s="1">
        <v>792.7</v>
      </c>
      <c r="W2375" s="1">
        <v>792.7</v>
      </c>
      <c r="X2375" s="1" t="s">
        <v>35</v>
      </c>
      <c r="Y2375" s="1">
        <v>792700.0</v>
      </c>
      <c r="Z2375" s="1"/>
      <c r="AA2375" s="1">
        <v>792700.0</v>
      </c>
      <c r="AB2375" s="1"/>
      <c r="AC2375" s="1" t="s">
        <v>36</v>
      </c>
      <c r="AD2375" s="1" t="s">
        <v>8608</v>
      </c>
      <c r="AE2375" s="1" t="s">
        <v>32</v>
      </c>
      <c r="AF2375" s="1" t="s">
        <v>33</v>
      </c>
      <c r="AG2375" s="1" t="s">
        <v>270</v>
      </c>
    </row>
    <row r="2376" spans="1:33">
      <c r="A2376" t="s">
        <v>8609</v>
      </c>
      <c r="B2376" t="s">
        <v>8610</v>
      </c>
      <c r="C2376" t="s">
        <v>172</v>
      </c>
      <c r="E2376" t="s">
        <v>8226</v>
      </c>
      <c r="F2376" t="s">
        <v>8190</v>
      </c>
      <c r="G2376">
        <v>106.95</v>
      </c>
      <c r="H2376">
        <v>106.95</v>
      </c>
      <c r="I2376" t="s">
        <v>173</v>
      </c>
      <c r="J2376" t="s">
        <v>174</v>
      </c>
      <c r="K2376" t="s">
        <v>31</v>
      </c>
      <c r="L2376" t="s">
        <v>32</v>
      </c>
      <c r="M2376" t="s">
        <v>33</v>
      </c>
      <c r="P2376" s="1" t="s">
        <v>8611</v>
      </c>
      <c r="Q2376" s="1" t="s">
        <v>8226</v>
      </c>
      <c r="R2376" s="1" t="s">
        <v>8226</v>
      </c>
      <c r="S2376" s="1"/>
      <c r="T2376" s="1" t="s">
        <v>172</v>
      </c>
      <c r="U2376" s="1"/>
      <c r="V2376" s="1">
        <v>106.95</v>
      </c>
      <c r="W2376" s="1">
        <v>106.95</v>
      </c>
      <c r="X2376" s="1" t="s">
        <v>35</v>
      </c>
      <c r="Y2376" s="1">
        <v>106950.0</v>
      </c>
      <c r="Z2376" s="1"/>
      <c r="AA2376" s="1">
        <v>106950.0</v>
      </c>
      <c r="AB2376" s="1"/>
      <c r="AC2376" s="1" t="s">
        <v>36</v>
      </c>
      <c r="AD2376" s="1" t="s">
        <v>8612</v>
      </c>
      <c r="AE2376" s="1" t="s">
        <v>32</v>
      </c>
      <c r="AF2376" s="1" t="s">
        <v>33</v>
      </c>
      <c r="AG2376" s="1" t="s">
        <v>174</v>
      </c>
    </row>
    <row r="2377" spans="1:33">
      <c r="A2377" t="s">
        <v>8613</v>
      </c>
      <c r="B2377" t="s">
        <v>8614</v>
      </c>
      <c r="C2377" t="s">
        <v>47</v>
      </c>
      <c r="E2377" t="s">
        <v>8226</v>
      </c>
      <c r="F2377" t="s">
        <v>8190</v>
      </c>
      <c r="G2377">
        <v>32.99</v>
      </c>
      <c r="H2377">
        <v>32.99</v>
      </c>
      <c r="I2377" t="s">
        <v>2206</v>
      </c>
      <c r="J2377" t="s">
        <v>49</v>
      </c>
      <c r="K2377" t="s">
        <v>31</v>
      </c>
      <c r="L2377" t="s">
        <v>32</v>
      </c>
      <c r="M2377" t="s">
        <v>33</v>
      </c>
      <c r="P2377" s="1" t="s">
        <v>8615</v>
      </c>
      <c r="Q2377" s="1" t="s">
        <v>8226</v>
      </c>
      <c r="R2377" s="1" t="s">
        <v>8226</v>
      </c>
      <c r="S2377" s="1"/>
      <c r="T2377" s="1" t="s">
        <v>47</v>
      </c>
      <c r="U2377" s="1"/>
      <c r="V2377" s="1">
        <v>32.99</v>
      </c>
      <c r="W2377" s="1">
        <v>32.99</v>
      </c>
      <c r="X2377" s="1" t="s">
        <v>35</v>
      </c>
      <c r="Y2377" s="1">
        <v>32990.0</v>
      </c>
      <c r="Z2377" s="1"/>
      <c r="AA2377" s="1">
        <v>32990.0</v>
      </c>
      <c r="AB2377" s="1"/>
      <c r="AC2377" s="1" t="s">
        <v>36</v>
      </c>
      <c r="AD2377" s="1" t="s">
        <v>8602</v>
      </c>
      <c r="AE2377" s="1" t="s">
        <v>32</v>
      </c>
      <c r="AF2377" s="1" t="s">
        <v>33</v>
      </c>
      <c r="AG2377" s="1" t="s">
        <v>49</v>
      </c>
    </row>
    <row r="2378" spans="1:33">
      <c r="A2378" t="s">
        <v>8616</v>
      </c>
      <c r="C2378" t="s">
        <v>453</v>
      </c>
      <c r="E2378" t="s">
        <v>8226</v>
      </c>
      <c r="F2378" t="s">
        <v>8190</v>
      </c>
      <c r="G2378">
        <v>1.68</v>
      </c>
      <c r="H2378">
        <v>1.68</v>
      </c>
      <c r="I2378" t="s">
        <v>29</v>
      </c>
      <c r="J2378" t="s">
        <v>30</v>
      </c>
      <c r="K2378" t="s">
        <v>31</v>
      </c>
      <c r="L2378" t="s">
        <v>32</v>
      </c>
      <c r="M2378" t="s">
        <v>33</v>
      </c>
      <c r="P2378" s="1" t="s">
        <v>8617</v>
      </c>
      <c r="Q2378" s="1" t="s">
        <v>8226</v>
      </c>
      <c r="R2378" s="1" t="s">
        <v>8226</v>
      </c>
      <c r="S2378" s="1"/>
      <c r="T2378" s="1" t="s">
        <v>453</v>
      </c>
      <c r="U2378" s="1"/>
      <c r="V2378" s="1">
        <v>1.68</v>
      </c>
      <c r="W2378" s="1">
        <v>1.68</v>
      </c>
      <c r="X2378" s="1" t="s">
        <v>35</v>
      </c>
      <c r="Y2378" s="1">
        <v>1680000.0</v>
      </c>
      <c r="Z2378" s="1"/>
      <c r="AA2378" s="1">
        <v>1680000.0</v>
      </c>
      <c r="AB2378" s="1"/>
      <c r="AC2378" s="1" t="s">
        <v>36</v>
      </c>
      <c r="AD2378" s="1" t="s">
        <v>8524</v>
      </c>
      <c r="AE2378" s="1" t="s">
        <v>32</v>
      </c>
      <c r="AF2378" s="1" t="s">
        <v>33</v>
      </c>
      <c r="AG2378" s="1" t="s">
        <v>30</v>
      </c>
    </row>
    <row r="2379" spans="1:33">
      <c r="A2379" t="s">
        <v>8618</v>
      </c>
      <c r="C2379" t="s">
        <v>866</v>
      </c>
      <c r="D2379" t="s">
        <v>154</v>
      </c>
      <c r="E2379" t="s">
        <v>8226</v>
      </c>
      <c r="F2379" t="s">
        <v>8190</v>
      </c>
      <c r="G2379">
        <v>640.0</v>
      </c>
      <c r="H2379">
        <v>640.0</v>
      </c>
      <c r="I2379" t="s">
        <v>2206</v>
      </c>
      <c r="J2379" t="s">
        <v>49</v>
      </c>
      <c r="K2379" t="s">
        <v>31</v>
      </c>
      <c r="L2379" t="s">
        <v>32</v>
      </c>
      <c r="M2379" t="s">
        <v>33</v>
      </c>
      <c r="P2379" s="1" t="s">
        <v>8619</v>
      </c>
      <c r="Q2379" s="1" t="s">
        <v>8226</v>
      </c>
      <c r="R2379" s="1" t="s">
        <v>8226</v>
      </c>
      <c r="S2379" s="1"/>
      <c r="T2379" s="1" t="s">
        <v>868</v>
      </c>
      <c r="U2379" s="1" t="s">
        <v>869</v>
      </c>
      <c r="V2379" s="1">
        <v>640.0</v>
      </c>
      <c r="W2379" s="1">
        <v>640.0</v>
      </c>
      <c r="X2379" s="1" t="s">
        <v>35</v>
      </c>
      <c r="Y2379" s="1">
        <v>640000.0</v>
      </c>
      <c r="Z2379" s="1"/>
      <c r="AA2379" s="1">
        <v>640000.0</v>
      </c>
      <c r="AB2379" s="1"/>
      <c r="AC2379" s="1" t="s">
        <v>36</v>
      </c>
      <c r="AD2379" s="1" t="s">
        <v>8620</v>
      </c>
      <c r="AE2379" s="1" t="s">
        <v>32</v>
      </c>
      <c r="AF2379" s="1" t="s">
        <v>33</v>
      </c>
      <c r="AG2379" s="1" t="s">
        <v>49</v>
      </c>
    </row>
    <row r="2380" spans="1:33">
      <c r="A2380" t="s">
        <v>8621</v>
      </c>
      <c r="C2380" t="s">
        <v>2938</v>
      </c>
      <c r="E2380" t="s">
        <v>8226</v>
      </c>
      <c r="F2380" t="s">
        <v>8190</v>
      </c>
      <c r="G2380">
        <v>328.0</v>
      </c>
      <c r="H2380">
        <v>328.0</v>
      </c>
      <c r="I2380" t="s">
        <v>269</v>
      </c>
      <c r="J2380" t="s">
        <v>270</v>
      </c>
      <c r="K2380" t="s">
        <v>31</v>
      </c>
      <c r="L2380" t="s">
        <v>32</v>
      </c>
      <c r="M2380" t="s">
        <v>33</v>
      </c>
      <c r="P2380" s="1" t="s">
        <v>8622</v>
      </c>
      <c r="Q2380" s="1" t="s">
        <v>8226</v>
      </c>
      <c r="R2380" s="1" t="s">
        <v>8226</v>
      </c>
      <c r="S2380" s="1"/>
      <c r="T2380" s="1" t="s">
        <v>2938</v>
      </c>
      <c r="U2380" s="1"/>
      <c r="V2380" s="1">
        <v>328.0</v>
      </c>
      <c r="W2380" s="1">
        <v>328.0</v>
      </c>
      <c r="X2380" s="1" t="s">
        <v>35</v>
      </c>
      <c r="Y2380" s="1">
        <v>328000.0</v>
      </c>
      <c r="Z2380" s="1"/>
      <c r="AA2380" s="1">
        <v>328000.0</v>
      </c>
      <c r="AB2380" s="1"/>
      <c r="AC2380" s="1" t="s">
        <v>36</v>
      </c>
      <c r="AD2380" s="1" t="s">
        <v>8623</v>
      </c>
      <c r="AE2380" s="1" t="s">
        <v>32</v>
      </c>
      <c r="AF2380" s="1" t="s">
        <v>33</v>
      </c>
      <c r="AG2380" s="1" t="s">
        <v>270</v>
      </c>
    </row>
    <row r="2381" spans="1:33">
      <c r="A2381" t="s">
        <v>8624</v>
      </c>
      <c r="B2381" t="s">
        <v>8625</v>
      </c>
      <c r="C2381" t="s">
        <v>68</v>
      </c>
      <c r="E2381" t="s">
        <v>8226</v>
      </c>
      <c r="F2381" t="s">
        <v>8190</v>
      </c>
      <c r="G2381">
        <v>7.9</v>
      </c>
      <c r="H2381">
        <v>7.9</v>
      </c>
      <c r="I2381" t="s">
        <v>59</v>
      </c>
      <c r="J2381" t="s">
        <v>60</v>
      </c>
      <c r="K2381" t="s">
        <v>31</v>
      </c>
      <c r="L2381" t="s">
        <v>32</v>
      </c>
      <c r="M2381" t="s">
        <v>33</v>
      </c>
      <c r="P2381" s="1" t="s">
        <v>8626</v>
      </c>
      <c r="Q2381" s="1" t="s">
        <v>8226</v>
      </c>
      <c r="R2381" s="1" t="s">
        <v>8226</v>
      </c>
      <c r="S2381" s="1"/>
      <c r="T2381" s="1" t="s">
        <v>68</v>
      </c>
      <c r="U2381" s="1"/>
      <c r="V2381" s="1">
        <v>7.9</v>
      </c>
      <c r="W2381" s="1">
        <v>7.9</v>
      </c>
      <c r="X2381" s="1" t="s">
        <v>35</v>
      </c>
      <c r="Y2381" s="1">
        <v>7900.0</v>
      </c>
      <c r="Z2381" s="1"/>
      <c r="AA2381" s="1">
        <v>7900.0</v>
      </c>
      <c r="AB2381" s="1"/>
      <c r="AC2381" s="1" t="s">
        <v>36</v>
      </c>
      <c r="AD2381" s="1" t="s">
        <v>8627</v>
      </c>
      <c r="AE2381" s="1" t="s">
        <v>32</v>
      </c>
      <c r="AF2381" s="1" t="s">
        <v>33</v>
      </c>
      <c r="AG2381" s="1" t="s">
        <v>60</v>
      </c>
    </row>
    <row r="2382" spans="1:33">
      <c r="A2382" t="s">
        <v>8628</v>
      </c>
      <c r="B2382" t="s">
        <v>8629</v>
      </c>
      <c r="C2382" t="s">
        <v>314</v>
      </c>
      <c r="E2382" t="s">
        <v>8226</v>
      </c>
      <c r="F2382" t="s">
        <v>8190</v>
      </c>
      <c r="G2382">
        <v>54.81</v>
      </c>
      <c r="H2382">
        <v>54.81</v>
      </c>
      <c r="I2382" t="s">
        <v>179</v>
      </c>
      <c r="J2382" t="s">
        <v>180</v>
      </c>
      <c r="K2382" t="s">
        <v>31</v>
      </c>
      <c r="L2382" t="s">
        <v>32</v>
      </c>
      <c r="M2382" t="s">
        <v>33</v>
      </c>
      <c r="P2382" s="1" t="s">
        <v>8630</v>
      </c>
      <c r="Q2382" s="1" t="s">
        <v>8226</v>
      </c>
      <c r="R2382" s="1" t="s">
        <v>8226</v>
      </c>
      <c r="S2382" s="1"/>
      <c r="T2382" s="1" t="s">
        <v>314</v>
      </c>
      <c r="U2382" s="1"/>
      <c r="V2382" s="1">
        <v>54.81</v>
      </c>
      <c r="W2382" s="1">
        <v>54.81</v>
      </c>
      <c r="X2382" s="1" t="s">
        <v>35</v>
      </c>
      <c r="Y2382" s="1">
        <v>54810.0</v>
      </c>
      <c r="Z2382" s="1"/>
      <c r="AA2382" s="1">
        <v>54810.0</v>
      </c>
      <c r="AB2382" s="1"/>
      <c r="AC2382" s="1" t="s">
        <v>36</v>
      </c>
      <c r="AD2382" s="1" t="s">
        <v>8631</v>
      </c>
      <c r="AE2382" s="1" t="s">
        <v>32</v>
      </c>
      <c r="AF2382" s="1" t="s">
        <v>33</v>
      </c>
      <c r="AG2382" s="1" t="s">
        <v>180</v>
      </c>
    </row>
    <row r="2383" spans="1:33">
      <c r="A2383" t="s">
        <v>8632</v>
      </c>
      <c r="C2383" t="s">
        <v>654</v>
      </c>
      <c r="E2383" t="s">
        <v>8226</v>
      </c>
      <c r="F2383" t="s">
        <v>8190</v>
      </c>
      <c r="G2383">
        <v>100.0</v>
      </c>
      <c r="H2383">
        <v>100.0</v>
      </c>
      <c r="I2383" t="s">
        <v>136</v>
      </c>
      <c r="J2383" t="s">
        <v>137</v>
      </c>
      <c r="K2383" t="s">
        <v>31</v>
      </c>
      <c r="L2383" t="s">
        <v>32</v>
      </c>
      <c r="M2383" t="s">
        <v>33</v>
      </c>
      <c r="P2383" s="1" t="s">
        <v>8633</v>
      </c>
      <c r="Q2383" s="1" t="s">
        <v>8226</v>
      </c>
      <c r="R2383" s="1" t="s">
        <v>8226</v>
      </c>
      <c r="S2383" s="1"/>
      <c r="T2383" s="1" t="s">
        <v>656</v>
      </c>
      <c r="U2383" s="1" t="s">
        <v>657</v>
      </c>
      <c r="V2383" s="1">
        <v>100.0</v>
      </c>
      <c r="W2383" s="1">
        <v>100.0</v>
      </c>
      <c r="X2383" s="1" t="s">
        <v>35</v>
      </c>
      <c r="Y2383" s="1">
        <v>100000.0</v>
      </c>
      <c r="Z2383" s="1"/>
      <c r="AA2383" s="1">
        <v>100000.0</v>
      </c>
      <c r="AB2383" s="1"/>
      <c r="AC2383" s="1" t="s">
        <v>36</v>
      </c>
      <c r="AD2383" s="1" t="s">
        <v>8634</v>
      </c>
      <c r="AE2383" s="1" t="s">
        <v>32</v>
      </c>
      <c r="AF2383" s="1" t="s">
        <v>33</v>
      </c>
      <c r="AG2383" s="1" t="s">
        <v>137</v>
      </c>
    </row>
    <row r="2384" spans="1:33">
      <c r="A2384" t="s">
        <v>8635</v>
      </c>
      <c r="B2384" t="s">
        <v>8636</v>
      </c>
      <c r="C2384" t="s">
        <v>47</v>
      </c>
      <c r="E2384" t="s">
        <v>8226</v>
      </c>
      <c r="F2384" t="s">
        <v>8190</v>
      </c>
      <c r="G2384">
        <v>21.99</v>
      </c>
      <c r="H2384">
        <v>21.99</v>
      </c>
      <c r="I2384" t="s">
        <v>2206</v>
      </c>
      <c r="J2384" t="s">
        <v>49</v>
      </c>
      <c r="K2384" t="s">
        <v>31</v>
      </c>
      <c r="L2384" t="s">
        <v>32</v>
      </c>
      <c r="M2384" t="s">
        <v>33</v>
      </c>
      <c r="P2384" s="1" t="s">
        <v>8637</v>
      </c>
      <c r="Q2384" s="1" t="s">
        <v>8226</v>
      </c>
      <c r="R2384" s="1" t="s">
        <v>8226</v>
      </c>
      <c r="S2384" s="1"/>
      <c r="T2384" s="1" t="s">
        <v>47</v>
      </c>
      <c r="U2384" s="1"/>
      <c r="V2384" s="1">
        <v>21.99</v>
      </c>
      <c r="W2384" s="1">
        <v>21.99</v>
      </c>
      <c r="X2384" s="1" t="s">
        <v>35</v>
      </c>
      <c r="Y2384" s="1">
        <v>21990.0</v>
      </c>
      <c r="Z2384" s="1"/>
      <c r="AA2384" s="1">
        <v>21990.0</v>
      </c>
      <c r="AB2384" s="1"/>
      <c r="AC2384" s="1" t="s">
        <v>36</v>
      </c>
      <c r="AD2384" s="1" t="s">
        <v>8638</v>
      </c>
      <c r="AE2384" s="1" t="s">
        <v>32</v>
      </c>
      <c r="AF2384" s="1" t="s">
        <v>33</v>
      </c>
      <c r="AG2384" s="1" t="s">
        <v>49</v>
      </c>
    </row>
    <row r="2385" spans="1:33">
      <c r="A2385" t="s">
        <v>8639</v>
      </c>
      <c r="C2385" t="s">
        <v>6164</v>
      </c>
      <c r="E2385" t="s">
        <v>8226</v>
      </c>
      <c r="F2385" t="s">
        <v>8190</v>
      </c>
      <c r="G2385">
        <v>328.0</v>
      </c>
      <c r="H2385">
        <v>328.0</v>
      </c>
      <c r="I2385" t="s">
        <v>136</v>
      </c>
      <c r="J2385" t="s">
        <v>137</v>
      </c>
      <c r="K2385" t="s">
        <v>31</v>
      </c>
      <c r="L2385" t="s">
        <v>32</v>
      </c>
      <c r="M2385" t="s">
        <v>33</v>
      </c>
      <c r="P2385" s="1" t="s">
        <v>8640</v>
      </c>
      <c r="Q2385" s="1" t="s">
        <v>8226</v>
      </c>
      <c r="R2385" s="1" t="s">
        <v>8226</v>
      </c>
      <c r="S2385" s="1"/>
      <c r="T2385" s="1" t="s">
        <v>6164</v>
      </c>
      <c r="U2385" s="1"/>
      <c r="V2385" s="1">
        <v>328.0</v>
      </c>
      <c r="W2385" s="1">
        <v>328.0</v>
      </c>
      <c r="X2385" s="1" t="s">
        <v>35</v>
      </c>
      <c r="Y2385" s="1">
        <v>328000.0</v>
      </c>
      <c r="Z2385" s="1"/>
      <c r="AA2385" s="1">
        <v>328000.0</v>
      </c>
      <c r="AB2385" s="1"/>
      <c r="AC2385" s="1" t="s">
        <v>36</v>
      </c>
      <c r="AD2385" s="1" t="s">
        <v>8641</v>
      </c>
      <c r="AE2385" s="1" t="s">
        <v>32</v>
      </c>
      <c r="AF2385" s="1" t="s">
        <v>33</v>
      </c>
      <c r="AG2385" s="1" t="s">
        <v>137</v>
      </c>
    </row>
    <row r="2386" spans="1:33">
      <c r="A2386" t="s">
        <v>8642</v>
      </c>
      <c r="C2386" t="s">
        <v>8643</v>
      </c>
      <c r="D2386" t="s">
        <v>154</v>
      </c>
      <c r="E2386" t="s">
        <v>8226</v>
      </c>
      <c r="F2386" t="s">
        <v>8190</v>
      </c>
      <c r="G2386">
        <v>553.0</v>
      </c>
      <c r="H2386">
        <v>553.0</v>
      </c>
      <c r="I2386" t="s">
        <v>136</v>
      </c>
      <c r="J2386" t="s">
        <v>137</v>
      </c>
      <c r="K2386" t="s">
        <v>31</v>
      </c>
      <c r="L2386" t="s">
        <v>32</v>
      </c>
      <c r="M2386" t="s">
        <v>33</v>
      </c>
      <c r="P2386" s="1" t="s">
        <v>8644</v>
      </c>
      <c r="Q2386" s="1" t="s">
        <v>8226</v>
      </c>
      <c r="R2386" s="1" t="s">
        <v>8226</v>
      </c>
      <c r="S2386" s="1"/>
      <c r="T2386" s="1" t="s">
        <v>8643</v>
      </c>
      <c r="U2386" s="1"/>
      <c r="V2386" s="1">
        <v>553.0</v>
      </c>
      <c r="W2386" s="1">
        <v>553.0</v>
      </c>
      <c r="X2386" s="1" t="s">
        <v>35</v>
      </c>
      <c r="Y2386" s="1">
        <v>553000.0</v>
      </c>
      <c r="Z2386" s="1"/>
      <c r="AA2386" s="1">
        <v>553000.0</v>
      </c>
      <c r="AB2386" s="1"/>
      <c r="AC2386" s="1" t="s">
        <v>36</v>
      </c>
      <c r="AD2386" s="1" t="s">
        <v>8631</v>
      </c>
      <c r="AE2386" s="1" t="s">
        <v>32</v>
      </c>
      <c r="AF2386" s="1" t="s">
        <v>33</v>
      </c>
      <c r="AG2386" s="1" t="s">
        <v>137</v>
      </c>
    </row>
    <row r="2387" spans="1:33">
      <c r="A2387" t="s">
        <v>8645</v>
      </c>
      <c r="B2387" t="s">
        <v>8646</v>
      </c>
      <c r="C2387" t="s">
        <v>125</v>
      </c>
      <c r="E2387" t="s">
        <v>8226</v>
      </c>
      <c r="F2387" t="s">
        <v>8190</v>
      </c>
      <c r="G2387">
        <v>14.388</v>
      </c>
      <c r="H2387">
        <v>14.388</v>
      </c>
      <c r="I2387" t="s">
        <v>126</v>
      </c>
      <c r="J2387" t="s">
        <v>127</v>
      </c>
      <c r="K2387" t="s">
        <v>31</v>
      </c>
      <c r="L2387" t="s">
        <v>32</v>
      </c>
      <c r="M2387" t="s">
        <v>33</v>
      </c>
      <c r="P2387" s="1" t="s">
        <v>8647</v>
      </c>
      <c r="Q2387" s="1" t="s">
        <v>8226</v>
      </c>
      <c r="R2387" s="1" t="s">
        <v>8226</v>
      </c>
      <c r="S2387" s="1"/>
      <c r="T2387" s="1" t="s">
        <v>125</v>
      </c>
      <c r="U2387" s="1"/>
      <c r="V2387" s="1">
        <v>14.388</v>
      </c>
      <c r="W2387" s="1">
        <v>14.388</v>
      </c>
      <c r="X2387" s="1" t="s">
        <v>35</v>
      </c>
      <c r="Y2387" s="1">
        <v>14388.0</v>
      </c>
      <c r="Z2387" s="1"/>
      <c r="AA2387" s="1">
        <v>14388.0</v>
      </c>
      <c r="AB2387" s="1"/>
      <c r="AC2387" s="1" t="s">
        <v>36</v>
      </c>
      <c r="AD2387" s="1" t="s">
        <v>8648</v>
      </c>
      <c r="AE2387" s="1" t="s">
        <v>32</v>
      </c>
      <c r="AF2387" s="1" t="s">
        <v>33</v>
      </c>
      <c r="AG2387" s="1" t="s">
        <v>127</v>
      </c>
    </row>
    <row r="2388" spans="1:33">
      <c r="A2388" t="s">
        <v>8649</v>
      </c>
      <c r="B2388" t="s">
        <v>8650</v>
      </c>
      <c r="C2388" t="s">
        <v>39</v>
      </c>
      <c r="E2388" t="s">
        <v>8226</v>
      </c>
      <c r="F2388" t="s">
        <v>8190</v>
      </c>
      <c r="G2388">
        <v>710.0</v>
      </c>
      <c r="H2388">
        <v>710.0</v>
      </c>
      <c r="I2388" t="s">
        <v>40</v>
      </c>
      <c r="J2388" t="s">
        <v>41</v>
      </c>
      <c r="K2388" t="s">
        <v>31</v>
      </c>
      <c r="L2388" t="s">
        <v>32</v>
      </c>
      <c r="M2388" t="s">
        <v>33</v>
      </c>
      <c r="P2388" s="1" t="s">
        <v>8651</v>
      </c>
      <c r="Q2388" s="1" t="s">
        <v>8226</v>
      </c>
      <c r="R2388" s="1" t="s">
        <v>7413</v>
      </c>
      <c r="S2388" s="1"/>
      <c r="T2388" s="1" t="s">
        <v>39</v>
      </c>
      <c r="U2388" s="1"/>
      <c r="V2388" s="1">
        <v>710.0</v>
      </c>
      <c r="W2388" s="1">
        <v>710.0</v>
      </c>
      <c r="X2388" s="1" t="s">
        <v>35</v>
      </c>
      <c r="Y2388" s="1">
        <v>710000.0</v>
      </c>
      <c r="Z2388" s="1"/>
      <c r="AA2388" s="1">
        <v>710000.0</v>
      </c>
      <c r="AB2388" s="1"/>
      <c r="AC2388" s="1" t="s">
        <v>36</v>
      </c>
      <c r="AD2388" s="1" t="s">
        <v>8652</v>
      </c>
      <c r="AE2388" s="1" t="s">
        <v>32</v>
      </c>
      <c r="AF2388" s="1" t="s">
        <v>33</v>
      </c>
      <c r="AG2388" s="1" t="s">
        <v>41</v>
      </c>
    </row>
    <row r="2389" spans="1:33">
      <c r="A2389" t="s">
        <v>8653</v>
      </c>
      <c r="C2389" t="s">
        <v>901</v>
      </c>
      <c r="D2389" t="s">
        <v>114</v>
      </c>
      <c r="E2389" t="s">
        <v>8226</v>
      </c>
      <c r="F2389" t="s">
        <v>8190</v>
      </c>
      <c r="G2389">
        <v>688.0</v>
      </c>
      <c r="H2389">
        <v>688.0</v>
      </c>
      <c r="I2389" t="s">
        <v>269</v>
      </c>
      <c r="J2389" t="s">
        <v>270</v>
      </c>
      <c r="K2389" t="s">
        <v>31</v>
      </c>
      <c r="L2389" t="s">
        <v>32</v>
      </c>
      <c r="M2389" t="s">
        <v>33</v>
      </c>
      <c r="P2389" s="1" t="s">
        <v>8654</v>
      </c>
      <c r="Q2389" s="1" t="s">
        <v>8226</v>
      </c>
      <c r="R2389" s="1" t="s">
        <v>8226</v>
      </c>
      <c r="S2389" s="1"/>
      <c r="T2389" s="1" t="s">
        <v>901</v>
      </c>
      <c r="U2389" s="1"/>
      <c r="V2389" s="1">
        <v>688.0</v>
      </c>
      <c r="W2389" s="1">
        <v>688.0</v>
      </c>
      <c r="X2389" s="1" t="s">
        <v>35</v>
      </c>
      <c r="Y2389" s="1">
        <v>688000.0</v>
      </c>
      <c r="Z2389" s="1"/>
      <c r="AA2389" s="1">
        <v>688000.0</v>
      </c>
      <c r="AB2389" s="1"/>
      <c r="AC2389" s="1" t="s">
        <v>36</v>
      </c>
      <c r="AD2389" s="1" t="s">
        <v>8655</v>
      </c>
      <c r="AE2389" s="1" t="s">
        <v>32</v>
      </c>
      <c r="AF2389" s="1" t="s">
        <v>33</v>
      </c>
      <c r="AG2389" s="1" t="s">
        <v>270</v>
      </c>
    </row>
    <row r="2390" spans="1:33">
      <c r="A2390" t="s">
        <v>8656</v>
      </c>
      <c r="B2390" t="s">
        <v>206</v>
      </c>
      <c r="C2390" t="s">
        <v>207</v>
      </c>
      <c r="E2390" t="s">
        <v>8226</v>
      </c>
      <c r="F2390" t="s">
        <v>8190</v>
      </c>
      <c r="G2390">
        <v>559.5</v>
      </c>
      <c r="H2390">
        <v>559.5</v>
      </c>
      <c r="I2390" t="s">
        <v>59</v>
      </c>
      <c r="J2390" t="s">
        <v>60</v>
      </c>
      <c r="K2390" t="s">
        <v>31</v>
      </c>
      <c r="L2390" t="s">
        <v>32</v>
      </c>
      <c r="M2390" t="s">
        <v>33</v>
      </c>
      <c r="P2390" s="1" t="s">
        <v>8657</v>
      </c>
      <c r="Q2390" s="1" t="s">
        <v>8226</v>
      </c>
      <c r="R2390" s="1" t="s">
        <v>8226</v>
      </c>
      <c r="S2390" s="1"/>
      <c r="T2390" s="1" t="s">
        <v>207</v>
      </c>
      <c r="U2390" s="1"/>
      <c r="V2390" s="1">
        <v>559.5</v>
      </c>
      <c r="W2390" s="1">
        <v>559.5</v>
      </c>
      <c r="X2390" s="1" t="s">
        <v>35</v>
      </c>
      <c r="Y2390" s="1">
        <v>559500.0</v>
      </c>
      <c r="Z2390" s="1"/>
      <c r="AA2390" s="1">
        <v>559500.0</v>
      </c>
      <c r="AB2390" s="1"/>
      <c r="AC2390" s="1" t="s">
        <v>36</v>
      </c>
      <c r="AD2390" s="1" t="s">
        <v>8658</v>
      </c>
      <c r="AE2390" s="1" t="s">
        <v>32</v>
      </c>
      <c r="AF2390" s="1" t="s">
        <v>33</v>
      </c>
      <c r="AG2390" s="1" t="s">
        <v>60</v>
      </c>
    </row>
    <row r="2391" spans="1:33">
      <c r="A2391" t="s">
        <v>8659</v>
      </c>
      <c r="C2391" t="s">
        <v>2346</v>
      </c>
      <c r="E2391" t="s">
        <v>8226</v>
      </c>
      <c r="F2391" t="s">
        <v>8190</v>
      </c>
      <c r="G2391">
        <v>168.0</v>
      </c>
      <c r="H2391">
        <v>168.0</v>
      </c>
      <c r="I2391" t="s">
        <v>269</v>
      </c>
      <c r="J2391" t="s">
        <v>270</v>
      </c>
      <c r="K2391" t="s">
        <v>31</v>
      </c>
      <c r="L2391" t="s">
        <v>32</v>
      </c>
      <c r="M2391" t="s">
        <v>33</v>
      </c>
      <c r="P2391" s="1" t="s">
        <v>8660</v>
      </c>
      <c r="Q2391" s="1" t="s">
        <v>8226</v>
      </c>
      <c r="R2391" s="1" t="s">
        <v>8226</v>
      </c>
      <c r="S2391" s="1"/>
      <c r="T2391" s="1" t="s">
        <v>2346</v>
      </c>
      <c r="U2391" s="1"/>
      <c r="V2391" s="1">
        <v>168.0</v>
      </c>
      <c r="W2391" s="1">
        <v>168.0</v>
      </c>
      <c r="X2391" s="1" t="s">
        <v>35</v>
      </c>
      <c r="Y2391" s="1">
        <v>168000.0</v>
      </c>
      <c r="Z2391" s="1"/>
      <c r="AA2391" s="1">
        <v>168000.0</v>
      </c>
      <c r="AB2391" s="1"/>
      <c r="AC2391" s="1" t="s">
        <v>36</v>
      </c>
      <c r="AD2391" s="1" t="s">
        <v>8661</v>
      </c>
      <c r="AE2391" s="1" t="s">
        <v>32</v>
      </c>
      <c r="AF2391" s="1" t="s">
        <v>33</v>
      </c>
      <c r="AG2391" s="1" t="s">
        <v>270</v>
      </c>
    </row>
    <row r="2392" spans="1:33">
      <c r="A2392" t="s">
        <v>8662</v>
      </c>
      <c r="B2392" t="s">
        <v>8663</v>
      </c>
      <c r="C2392" t="s">
        <v>268</v>
      </c>
      <c r="E2392" t="s">
        <v>8226</v>
      </c>
      <c r="F2392" t="s">
        <v>8190</v>
      </c>
      <c r="G2392">
        <v>201.25</v>
      </c>
      <c r="H2392">
        <v>201.25</v>
      </c>
      <c r="I2392" t="s">
        <v>269</v>
      </c>
      <c r="J2392" t="s">
        <v>270</v>
      </c>
      <c r="K2392" t="s">
        <v>31</v>
      </c>
      <c r="L2392" t="s">
        <v>32</v>
      </c>
      <c r="M2392" t="s">
        <v>33</v>
      </c>
      <c r="P2392" s="1" t="s">
        <v>8664</v>
      </c>
      <c r="Q2392" s="1" t="s">
        <v>8226</v>
      </c>
      <c r="R2392" s="1" t="s">
        <v>8226</v>
      </c>
      <c r="S2392" s="1"/>
      <c r="T2392" s="1" t="s">
        <v>268</v>
      </c>
      <c r="U2392" s="1"/>
      <c r="V2392" s="1">
        <v>201.25</v>
      </c>
      <c r="W2392" s="1">
        <v>201.25</v>
      </c>
      <c r="X2392" s="1" t="s">
        <v>35</v>
      </c>
      <c r="Y2392" s="1">
        <v>201250.0</v>
      </c>
      <c r="Z2392" s="1"/>
      <c r="AA2392" s="1">
        <v>201250.0</v>
      </c>
      <c r="AB2392" s="1"/>
      <c r="AC2392" s="1" t="s">
        <v>36</v>
      </c>
      <c r="AD2392" s="1" t="s">
        <v>8665</v>
      </c>
      <c r="AE2392" s="1" t="s">
        <v>32</v>
      </c>
      <c r="AF2392" s="1" t="s">
        <v>33</v>
      </c>
      <c r="AG2392" s="1" t="s">
        <v>270</v>
      </c>
    </row>
    <row r="2393" spans="1:33">
      <c r="A2393" t="s">
        <v>8666</v>
      </c>
      <c r="B2393" t="s">
        <v>8667</v>
      </c>
      <c r="C2393" t="s">
        <v>314</v>
      </c>
      <c r="E2393" t="s">
        <v>8226</v>
      </c>
      <c r="F2393" t="s">
        <v>8190</v>
      </c>
      <c r="G2393">
        <v>55.77</v>
      </c>
      <c r="H2393">
        <v>55.77</v>
      </c>
      <c r="I2393" t="s">
        <v>179</v>
      </c>
      <c r="J2393" t="s">
        <v>180</v>
      </c>
      <c r="K2393" t="s">
        <v>31</v>
      </c>
      <c r="L2393" t="s">
        <v>32</v>
      </c>
      <c r="M2393" t="s">
        <v>33</v>
      </c>
      <c r="P2393" s="1" t="s">
        <v>8668</v>
      </c>
      <c r="Q2393" s="1" t="s">
        <v>8226</v>
      </c>
      <c r="R2393" s="1" t="s">
        <v>8226</v>
      </c>
      <c r="S2393" s="1"/>
      <c r="T2393" s="1" t="s">
        <v>314</v>
      </c>
      <c r="U2393" s="1"/>
      <c r="V2393" s="1">
        <v>55.77</v>
      </c>
      <c r="W2393" s="1">
        <v>55.77</v>
      </c>
      <c r="X2393" s="1" t="s">
        <v>35</v>
      </c>
      <c r="Y2393" s="1">
        <v>55770.0</v>
      </c>
      <c r="Z2393" s="1"/>
      <c r="AA2393" s="1">
        <v>55770.0</v>
      </c>
      <c r="AB2393" s="1"/>
      <c r="AC2393" s="1" t="s">
        <v>36</v>
      </c>
      <c r="AD2393" s="1" t="s">
        <v>8669</v>
      </c>
      <c r="AE2393" s="1" t="s">
        <v>32</v>
      </c>
      <c r="AF2393" s="1" t="s">
        <v>33</v>
      </c>
      <c r="AG2393" s="1" t="s">
        <v>180</v>
      </c>
    </row>
    <row r="2394" spans="1:33">
      <c r="A2394" t="s">
        <v>8670</v>
      </c>
      <c r="C2394" t="s">
        <v>8671</v>
      </c>
      <c r="D2394" t="s">
        <v>114</v>
      </c>
      <c r="E2394" t="s">
        <v>8226</v>
      </c>
      <c r="F2394" t="s">
        <v>8190</v>
      </c>
      <c r="G2394">
        <v>351.66</v>
      </c>
      <c r="H2394">
        <v>351.66</v>
      </c>
      <c r="I2394" t="s">
        <v>94</v>
      </c>
      <c r="J2394" t="s">
        <v>95</v>
      </c>
      <c r="K2394" t="s">
        <v>31</v>
      </c>
      <c r="L2394" t="s">
        <v>32</v>
      </c>
      <c r="M2394" t="s">
        <v>33</v>
      </c>
      <c r="P2394" s="1" t="s">
        <v>8672</v>
      </c>
      <c r="Q2394" s="1" t="s">
        <v>8226</v>
      </c>
      <c r="R2394" s="1" t="s">
        <v>8226</v>
      </c>
      <c r="S2394" s="1"/>
      <c r="T2394" s="1" t="s">
        <v>8673</v>
      </c>
      <c r="U2394" s="1" t="s">
        <v>8674</v>
      </c>
      <c r="V2394" s="1">
        <v>351.66</v>
      </c>
      <c r="W2394" s="1">
        <v>351.66</v>
      </c>
      <c r="X2394" s="1" t="s">
        <v>35</v>
      </c>
      <c r="Y2394" s="1">
        <v>351660.0</v>
      </c>
      <c r="Z2394" s="1"/>
      <c r="AA2394" s="1">
        <v>351660.0</v>
      </c>
      <c r="AB2394" s="1"/>
      <c r="AC2394" s="1" t="s">
        <v>36</v>
      </c>
      <c r="AD2394" s="1" t="s">
        <v>8675</v>
      </c>
      <c r="AE2394" s="1" t="s">
        <v>32</v>
      </c>
      <c r="AF2394" s="1" t="s">
        <v>33</v>
      </c>
      <c r="AG2394" s="1" t="s">
        <v>95</v>
      </c>
    </row>
    <row r="2395" spans="1:33">
      <c r="A2395" t="s">
        <v>8676</v>
      </c>
      <c r="C2395" t="s">
        <v>674</v>
      </c>
      <c r="E2395" t="s">
        <v>8226</v>
      </c>
      <c r="F2395" t="s">
        <v>8190</v>
      </c>
      <c r="G2395">
        <v>1.224</v>
      </c>
      <c r="H2395">
        <v>1.224</v>
      </c>
      <c r="I2395" t="s">
        <v>136</v>
      </c>
      <c r="J2395" t="s">
        <v>137</v>
      </c>
      <c r="K2395" t="s">
        <v>31</v>
      </c>
      <c r="L2395" t="s">
        <v>32</v>
      </c>
      <c r="M2395" t="s">
        <v>33</v>
      </c>
      <c r="P2395" s="1" t="s">
        <v>8677</v>
      </c>
      <c r="Q2395" s="1" t="s">
        <v>8226</v>
      </c>
      <c r="R2395" s="1" t="s">
        <v>8226</v>
      </c>
      <c r="S2395" s="1"/>
      <c r="T2395" s="1" t="s">
        <v>674</v>
      </c>
      <c r="U2395" s="1"/>
      <c r="V2395" s="1">
        <v>1.224</v>
      </c>
      <c r="W2395" s="1">
        <v>1.224</v>
      </c>
      <c r="X2395" s="1" t="s">
        <v>35</v>
      </c>
      <c r="Y2395" s="1">
        <v>1224000.0</v>
      </c>
      <c r="Z2395" s="1"/>
      <c r="AA2395" s="1">
        <v>1224000.0</v>
      </c>
      <c r="AB2395" s="1"/>
      <c r="AC2395" s="1" t="s">
        <v>36</v>
      </c>
      <c r="AD2395" s="1" t="s">
        <v>8669</v>
      </c>
      <c r="AE2395" s="1" t="s">
        <v>32</v>
      </c>
      <c r="AF2395" s="1" t="s">
        <v>33</v>
      </c>
      <c r="AG2395" s="1" t="s">
        <v>137</v>
      </c>
    </row>
    <row r="2396" spans="1:33">
      <c r="A2396" t="s">
        <v>8678</v>
      </c>
      <c r="C2396" t="s">
        <v>1016</v>
      </c>
      <c r="E2396" t="s">
        <v>8226</v>
      </c>
      <c r="F2396" t="s">
        <v>8190</v>
      </c>
      <c r="G2396">
        <v>20.0</v>
      </c>
      <c r="H2396">
        <v>20.0</v>
      </c>
      <c r="I2396" t="s">
        <v>269</v>
      </c>
      <c r="J2396" t="s">
        <v>270</v>
      </c>
      <c r="K2396" t="s">
        <v>31</v>
      </c>
      <c r="L2396" t="s">
        <v>32</v>
      </c>
      <c r="M2396" t="s">
        <v>33</v>
      </c>
      <c r="P2396" s="1" t="s">
        <v>8679</v>
      </c>
      <c r="Q2396" s="1" t="s">
        <v>8226</v>
      </c>
      <c r="R2396" s="1" t="s">
        <v>8226</v>
      </c>
      <c r="S2396" s="1"/>
      <c r="T2396" s="1" t="s">
        <v>1016</v>
      </c>
      <c r="U2396" s="1"/>
      <c r="V2396" s="1">
        <v>20.0</v>
      </c>
      <c r="W2396" s="1">
        <v>20.0</v>
      </c>
      <c r="X2396" s="1" t="s">
        <v>35</v>
      </c>
      <c r="Y2396" s="1">
        <v>20000.0</v>
      </c>
      <c r="Z2396" s="1"/>
      <c r="AA2396" s="1">
        <v>20000.0</v>
      </c>
      <c r="AB2396" s="1"/>
      <c r="AC2396" s="1" t="s">
        <v>36</v>
      </c>
      <c r="AD2396" s="1" t="s">
        <v>8680</v>
      </c>
      <c r="AE2396" s="1" t="s">
        <v>32</v>
      </c>
      <c r="AF2396" s="1" t="s">
        <v>33</v>
      </c>
      <c r="AG2396" s="1" t="s">
        <v>270</v>
      </c>
    </row>
    <row r="2397" spans="1:33">
      <c r="A2397" t="s">
        <v>8681</v>
      </c>
      <c r="C2397" t="s">
        <v>1104</v>
      </c>
      <c r="E2397" t="s">
        <v>8226</v>
      </c>
      <c r="F2397" t="s">
        <v>8190</v>
      </c>
      <c r="G2397">
        <v>550.0</v>
      </c>
      <c r="H2397">
        <v>550.0</v>
      </c>
      <c r="I2397" t="s">
        <v>269</v>
      </c>
      <c r="J2397" t="s">
        <v>270</v>
      </c>
      <c r="K2397" t="s">
        <v>31</v>
      </c>
      <c r="L2397" t="s">
        <v>32</v>
      </c>
      <c r="M2397" t="s">
        <v>33</v>
      </c>
      <c r="P2397" s="1" t="s">
        <v>8682</v>
      </c>
      <c r="Q2397" s="1" t="s">
        <v>8226</v>
      </c>
      <c r="R2397" s="1" t="s">
        <v>8226</v>
      </c>
      <c r="S2397" s="1"/>
      <c r="T2397" s="1" t="s">
        <v>1104</v>
      </c>
      <c r="U2397" s="1"/>
      <c r="V2397" s="1">
        <v>550.0</v>
      </c>
      <c r="W2397" s="1">
        <v>550.0</v>
      </c>
      <c r="X2397" s="1" t="s">
        <v>35</v>
      </c>
      <c r="Y2397" s="1">
        <v>550000.0</v>
      </c>
      <c r="Z2397" s="1"/>
      <c r="AA2397" s="1">
        <v>550000.0</v>
      </c>
      <c r="AB2397" s="1"/>
      <c r="AC2397" s="1" t="s">
        <v>36</v>
      </c>
      <c r="AD2397" s="1" t="s">
        <v>8680</v>
      </c>
      <c r="AE2397" s="1" t="s">
        <v>32</v>
      </c>
      <c r="AF2397" s="1" t="s">
        <v>33</v>
      </c>
      <c r="AG2397" s="1" t="s">
        <v>270</v>
      </c>
    </row>
    <row r="2398" spans="1:33">
      <c r="A2398" t="s">
        <v>8683</v>
      </c>
      <c r="B2398" t="s">
        <v>2168</v>
      </c>
      <c r="C2398" t="s">
        <v>314</v>
      </c>
      <c r="E2398" t="s">
        <v>8226</v>
      </c>
      <c r="F2398" t="s">
        <v>8190</v>
      </c>
      <c r="G2398">
        <v>45.09</v>
      </c>
      <c r="H2398">
        <v>45.09</v>
      </c>
      <c r="I2398" t="s">
        <v>179</v>
      </c>
      <c r="J2398" t="s">
        <v>180</v>
      </c>
      <c r="K2398" t="s">
        <v>31</v>
      </c>
      <c r="L2398" t="s">
        <v>32</v>
      </c>
      <c r="M2398" t="s">
        <v>33</v>
      </c>
      <c r="P2398" s="1" t="s">
        <v>8684</v>
      </c>
      <c r="Q2398" s="1" t="s">
        <v>8226</v>
      </c>
      <c r="R2398" s="1" t="s">
        <v>8226</v>
      </c>
      <c r="S2398" s="1"/>
      <c r="T2398" s="1" t="s">
        <v>314</v>
      </c>
      <c r="U2398" s="1"/>
      <c r="V2398" s="1">
        <v>45.09</v>
      </c>
      <c r="W2398" s="1">
        <v>45.09</v>
      </c>
      <c r="X2398" s="1" t="s">
        <v>35</v>
      </c>
      <c r="Y2398" s="1">
        <v>45090.0</v>
      </c>
      <c r="Z2398" s="1"/>
      <c r="AA2398" s="1">
        <v>45090.0</v>
      </c>
      <c r="AB2398" s="1"/>
      <c r="AC2398" s="1" t="s">
        <v>36</v>
      </c>
      <c r="AD2398" s="1" t="s">
        <v>8685</v>
      </c>
      <c r="AE2398" s="1" t="s">
        <v>32</v>
      </c>
      <c r="AF2398" s="1" t="s">
        <v>33</v>
      </c>
      <c r="AG2398" s="1" t="s">
        <v>180</v>
      </c>
    </row>
    <row r="2399" spans="1:33">
      <c r="A2399" t="s">
        <v>8686</v>
      </c>
      <c r="C2399" t="s">
        <v>866</v>
      </c>
      <c r="D2399" t="s">
        <v>154</v>
      </c>
      <c r="E2399" t="s">
        <v>8226</v>
      </c>
      <c r="F2399" t="s">
        <v>8190</v>
      </c>
      <c r="G2399">
        <v>720.0</v>
      </c>
      <c r="H2399">
        <v>720.0</v>
      </c>
      <c r="I2399" t="s">
        <v>2206</v>
      </c>
      <c r="J2399" t="s">
        <v>49</v>
      </c>
      <c r="K2399" t="s">
        <v>31</v>
      </c>
      <c r="L2399" t="s">
        <v>32</v>
      </c>
      <c r="M2399" t="s">
        <v>33</v>
      </c>
      <c r="P2399" s="1" t="s">
        <v>8687</v>
      </c>
      <c r="Q2399" s="1" t="s">
        <v>8226</v>
      </c>
      <c r="R2399" s="1" t="s">
        <v>8226</v>
      </c>
      <c r="S2399" s="1"/>
      <c r="T2399" s="1" t="s">
        <v>868</v>
      </c>
      <c r="U2399" s="1" t="s">
        <v>869</v>
      </c>
      <c r="V2399" s="1">
        <v>720.0</v>
      </c>
      <c r="W2399" s="1">
        <v>720.0</v>
      </c>
      <c r="X2399" s="1" t="s">
        <v>35</v>
      </c>
      <c r="Y2399" s="1">
        <v>720000.0</v>
      </c>
      <c r="Z2399" s="1"/>
      <c r="AA2399" s="1">
        <v>720000.0</v>
      </c>
      <c r="AB2399" s="1"/>
      <c r="AC2399" s="1" t="s">
        <v>36</v>
      </c>
      <c r="AD2399" s="1" t="s">
        <v>8688</v>
      </c>
      <c r="AE2399" s="1" t="s">
        <v>32</v>
      </c>
      <c r="AF2399" s="1" t="s">
        <v>33</v>
      </c>
      <c r="AG2399" s="1" t="s">
        <v>49</v>
      </c>
    </row>
    <row r="2400" spans="1:33">
      <c r="A2400" t="s">
        <v>8689</v>
      </c>
      <c r="C2400" t="s">
        <v>5120</v>
      </c>
      <c r="D2400" t="s">
        <v>154</v>
      </c>
      <c r="E2400" t="s">
        <v>8226</v>
      </c>
      <c r="F2400" t="s">
        <v>8190</v>
      </c>
      <c r="G2400">
        <v>336.0</v>
      </c>
      <c r="H2400">
        <v>336.0</v>
      </c>
      <c r="I2400" t="s">
        <v>2206</v>
      </c>
      <c r="J2400" t="s">
        <v>49</v>
      </c>
      <c r="K2400" t="s">
        <v>31</v>
      </c>
      <c r="L2400" t="s">
        <v>32</v>
      </c>
      <c r="M2400" t="s">
        <v>33</v>
      </c>
      <c r="P2400" s="1" t="s">
        <v>8690</v>
      </c>
      <c r="Q2400" s="1" t="s">
        <v>8226</v>
      </c>
      <c r="R2400" s="1" t="s">
        <v>8226</v>
      </c>
      <c r="S2400" s="1"/>
      <c r="T2400" s="1" t="s">
        <v>5122</v>
      </c>
      <c r="U2400" s="1" t="s">
        <v>5123</v>
      </c>
      <c r="V2400" s="1">
        <v>336.0</v>
      </c>
      <c r="W2400" s="1">
        <v>336.0</v>
      </c>
      <c r="X2400" s="1" t="s">
        <v>35</v>
      </c>
      <c r="Y2400" s="1">
        <v>336000.0</v>
      </c>
      <c r="Z2400" s="1"/>
      <c r="AA2400" s="1">
        <v>336000.0</v>
      </c>
      <c r="AB2400" s="1"/>
      <c r="AC2400" s="1" t="s">
        <v>36</v>
      </c>
      <c r="AD2400" s="1" t="s">
        <v>8691</v>
      </c>
      <c r="AE2400" s="1" t="s">
        <v>32</v>
      </c>
      <c r="AF2400" s="1" t="s">
        <v>33</v>
      </c>
      <c r="AG2400" s="1" t="s">
        <v>49</v>
      </c>
    </row>
    <row r="2401" spans="1:33">
      <c r="A2401" t="s">
        <v>8692</v>
      </c>
      <c r="B2401" t="s">
        <v>2880</v>
      </c>
      <c r="C2401" t="s">
        <v>314</v>
      </c>
      <c r="E2401" t="s">
        <v>8226</v>
      </c>
      <c r="F2401" t="s">
        <v>8190</v>
      </c>
      <c r="G2401">
        <v>55.77</v>
      </c>
      <c r="H2401">
        <v>55.77</v>
      </c>
      <c r="I2401" t="s">
        <v>179</v>
      </c>
      <c r="J2401" t="s">
        <v>180</v>
      </c>
      <c r="K2401" t="s">
        <v>31</v>
      </c>
      <c r="L2401" t="s">
        <v>32</v>
      </c>
      <c r="M2401" t="s">
        <v>33</v>
      </c>
      <c r="P2401" s="1" t="s">
        <v>8693</v>
      </c>
      <c r="Q2401" s="1" t="s">
        <v>8226</v>
      </c>
      <c r="R2401" s="1" t="s">
        <v>8226</v>
      </c>
      <c r="S2401" s="1"/>
      <c r="T2401" s="1" t="s">
        <v>314</v>
      </c>
      <c r="U2401" s="1"/>
      <c r="V2401" s="1">
        <v>55.77</v>
      </c>
      <c r="W2401" s="1">
        <v>55.77</v>
      </c>
      <c r="X2401" s="1" t="s">
        <v>35</v>
      </c>
      <c r="Y2401" s="1">
        <v>55770.0</v>
      </c>
      <c r="Z2401" s="1"/>
      <c r="AA2401" s="1">
        <v>55770.0</v>
      </c>
      <c r="AB2401" s="1"/>
      <c r="AC2401" s="1" t="s">
        <v>36</v>
      </c>
      <c r="AD2401" s="1" t="s">
        <v>8694</v>
      </c>
      <c r="AE2401" s="1" t="s">
        <v>32</v>
      </c>
      <c r="AF2401" s="1" t="s">
        <v>33</v>
      </c>
      <c r="AG2401" s="1" t="s">
        <v>180</v>
      </c>
    </row>
    <row r="2402" spans="1:33">
      <c r="A2402" t="s">
        <v>8695</v>
      </c>
      <c r="C2402" t="s">
        <v>93</v>
      </c>
      <c r="E2402" t="s">
        <v>8226</v>
      </c>
      <c r="F2402" t="s">
        <v>8190</v>
      </c>
      <c r="G2402">
        <v>2.57</v>
      </c>
      <c r="H2402">
        <v>2.57</v>
      </c>
      <c r="I2402" t="s">
        <v>94</v>
      </c>
      <c r="J2402" t="s">
        <v>95</v>
      </c>
      <c r="K2402" t="s">
        <v>31</v>
      </c>
      <c r="L2402" t="s">
        <v>32</v>
      </c>
      <c r="M2402" t="s">
        <v>33</v>
      </c>
      <c r="P2402" s="1" t="s">
        <v>8696</v>
      </c>
      <c r="Q2402" s="1" t="s">
        <v>8226</v>
      </c>
      <c r="R2402" s="1" t="s">
        <v>8226</v>
      </c>
      <c r="S2402" s="1"/>
      <c r="T2402" s="1" t="s">
        <v>93</v>
      </c>
      <c r="U2402" s="1"/>
      <c r="V2402" s="1">
        <v>2.57</v>
      </c>
      <c r="W2402" s="1">
        <v>2.57</v>
      </c>
      <c r="X2402" s="1" t="s">
        <v>35</v>
      </c>
      <c r="Y2402" s="1">
        <v>2570000.0</v>
      </c>
      <c r="Z2402" s="1"/>
      <c r="AA2402" s="1">
        <v>2570000.0</v>
      </c>
      <c r="AB2402" s="1"/>
      <c r="AC2402" s="1" t="s">
        <v>36</v>
      </c>
      <c r="AD2402" s="1" t="s">
        <v>8697</v>
      </c>
      <c r="AE2402" s="1" t="s">
        <v>32</v>
      </c>
      <c r="AF2402" s="1" t="s">
        <v>33</v>
      </c>
      <c r="AG2402" s="1" t="s">
        <v>95</v>
      </c>
    </row>
    <row r="2403" spans="1:33">
      <c r="A2403" t="s">
        <v>8698</v>
      </c>
      <c r="C2403" t="s">
        <v>93</v>
      </c>
      <c r="E2403" t="s">
        <v>8226</v>
      </c>
      <c r="F2403" t="s">
        <v>8190</v>
      </c>
      <c r="G2403">
        <v>640.0</v>
      </c>
      <c r="H2403">
        <v>640.0</v>
      </c>
      <c r="I2403" t="s">
        <v>94</v>
      </c>
      <c r="J2403" t="s">
        <v>95</v>
      </c>
      <c r="K2403" t="s">
        <v>31</v>
      </c>
      <c r="L2403" t="s">
        <v>32</v>
      </c>
      <c r="M2403" t="s">
        <v>33</v>
      </c>
      <c r="P2403" s="1" t="s">
        <v>8699</v>
      </c>
      <c r="Q2403" s="1" t="s">
        <v>8226</v>
      </c>
      <c r="R2403" s="1" t="s">
        <v>8226</v>
      </c>
      <c r="S2403" s="1"/>
      <c r="T2403" s="1" t="s">
        <v>93</v>
      </c>
      <c r="U2403" s="1"/>
      <c r="V2403" s="1">
        <v>640.0</v>
      </c>
      <c r="W2403" s="1">
        <v>640.0</v>
      </c>
      <c r="X2403" s="1" t="s">
        <v>35</v>
      </c>
      <c r="Y2403" s="1">
        <v>640000.0</v>
      </c>
      <c r="Z2403" s="1"/>
      <c r="AA2403" s="1">
        <v>640000.0</v>
      </c>
      <c r="AB2403" s="1"/>
      <c r="AC2403" s="1" t="s">
        <v>36</v>
      </c>
      <c r="AD2403" s="1" t="s">
        <v>8700</v>
      </c>
      <c r="AE2403" s="1" t="s">
        <v>32</v>
      </c>
      <c r="AF2403" s="1" t="s">
        <v>33</v>
      </c>
      <c r="AG2403" s="1" t="s">
        <v>95</v>
      </c>
    </row>
    <row r="2404" spans="1:33">
      <c r="A2404" t="s">
        <v>8701</v>
      </c>
      <c r="B2404" t="s">
        <v>8702</v>
      </c>
      <c r="C2404" t="s">
        <v>268</v>
      </c>
      <c r="E2404" t="s">
        <v>8226</v>
      </c>
      <c r="F2404" t="s">
        <v>8190</v>
      </c>
      <c r="G2404">
        <v>33.8</v>
      </c>
      <c r="H2404">
        <v>33.8</v>
      </c>
      <c r="I2404" t="s">
        <v>269</v>
      </c>
      <c r="J2404" t="s">
        <v>270</v>
      </c>
      <c r="K2404" t="s">
        <v>31</v>
      </c>
      <c r="L2404" t="s">
        <v>32</v>
      </c>
      <c r="M2404" t="s">
        <v>33</v>
      </c>
      <c r="P2404" s="1" t="s">
        <v>8703</v>
      </c>
      <c r="Q2404" s="1" t="s">
        <v>8226</v>
      </c>
      <c r="R2404" s="1" t="s">
        <v>8226</v>
      </c>
      <c r="S2404" s="1"/>
      <c r="T2404" s="1" t="s">
        <v>268</v>
      </c>
      <c r="U2404" s="1"/>
      <c r="V2404" s="1">
        <v>33.8</v>
      </c>
      <c r="W2404" s="1">
        <v>33.8</v>
      </c>
      <c r="X2404" s="1" t="s">
        <v>35</v>
      </c>
      <c r="Y2404" s="1">
        <v>33800.0</v>
      </c>
      <c r="Z2404" s="1"/>
      <c r="AA2404" s="1">
        <v>33800.0</v>
      </c>
      <c r="AB2404" s="1"/>
      <c r="AC2404" s="1" t="s">
        <v>36</v>
      </c>
      <c r="AD2404" s="1" t="s">
        <v>8704</v>
      </c>
      <c r="AE2404" s="1" t="s">
        <v>32</v>
      </c>
      <c r="AF2404" s="1" t="s">
        <v>33</v>
      </c>
      <c r="AG2404" s="1" t="s">
        <v>270</v>
      </c>
    </row>
    <row r="2405" spans="1:33">
      <c r="A2405" t="s">
        <v>8705</v>
      </c>
      <c r="C2405" t="s">
        <v>2216</v>
      </c>
      <c r="E2405" t="s">
        <v>8226</v>
      </c>
      <c r="F2405" t="s">
        <v>8190</v>
      </c>
      <c r="G2405">
        <v>492.0</v>
      </c>
      <c r="H2405">
        <v>492.0</v>
      </c>
      <c r="I2405" t="s">
        <v>227</v>
      </c>
      <c r="J2405" t="s">
        <v>228</v>
      </c>
      <c r="K2405" t="s">
        <v>31</v>
      </c>
      <c r="L2405" t="s">
        <v>32</v>
      </c>
      <c r="M2405" t="s">
        <v>33</v>
      </c>
      <c r="P2405" s="1" t="s">
        <v>8706</v>
      </c>
      <c r="Q2405" s="1" t="s">
        <v>8226</v>
      </c>
      <c r="R2405" s="1" t="s">
        <v>8226</v>
      </c>
      <c r="S2405" s="1"/>
      <c r="T2405" s="1" t="s">
        <v>2216</v>
      </c>
      <c r="U2405" s="1"/>
      <c r="V2405" s="1">
        <v>492.0</v>
      </c>
      <c r="W2405" s="1">
        <v>492.0</v>
      </c>
      <c r="X2405" s="1" t="s">
        <v>35</v>
      </c>
      <c r="Y2405" s="1">
        <v>492000.0</v>
      </c>
      <c r="Z2405" s="1"/>
      <c r="AA2405" s="1">
        <v>492000.0</v>
      </c>
      <c r="AB2405" s="1"/>
      <c r="AC2405" s="1" t="s">
        <v>36</v>
      </c>
      <c r="AD2405" s="1" t="s">
        <v>8707</v>
      </c>
      <c r="AE2405" s="1" t="s">
        <v>32</v>
      </c>
      <c r="AF2405" s="1" t="s">
        <v>33</v>
      </c>
      <c r="AG2405" s="1" t="s">
        <v>228</v>
      </c>
    </row>
    <row r="2406" spans="1:33">
      <c r="A2406" t="s">
        <v>8708</v>
      </c>
      <c r="C2406" t="s">
        <v>558</v>
      </c>
      <c r="D2406" t="s">
        <v>154</v>
      </c>
      <c r="E2406" t="s">
        <v>8226</v>
      </c>
      <c r="F2406" t="s">
        <v>8190</v>
      </c>
      <c r="G2406">
        <v>439.8</v>
      </c>
      <c r="H2406">
        <v>439.8</v>
      </c>
      <c r="I2406" t="s">
        <v>269</v>
      </c>
      <c r="J2406" t="s">
        <v>270</v>
      </c>
      <c r="K2406" t="s">
        <v>31</v>
      </c>
      <c r="L2406" t="s">
        <v>32</v>
      </c>
      <c r="M2406" t="s">
        <v>33</v>
      </c>
      <c r="P2406" s="1" t="s">
        <v>8709</v>
      </c>
      <c r="Q2406" s="1" t="s">
        <v>8226</v>
      </c>
      <c r="R2406" s="1" t="s">
        <v>8226</v>
      </c>
      <c r="S2406" s="1"/>
      <c r="T2406" s="1" t="s">
        <v>560</v>
      </c>
      <c r="U2406" s="1" t="s">
        <v>561</v>
      </c>
      <c r="V2406" s="1">
        <v>439.8</v>
      </c>
      <c r="W2406" s="1">
        <v>439.8</v>
      </c>
      <c r="X2406" s="1" t="s">
        <v>35</v>
      </c>
      <c r="Y2406" s="1">
        <v>439800.0</v>
      </c>
      <c r="Z2406" s="1"/>
      <c r="AA2406" s="1">
        <v>439800.0</v>
      </c>
      <c r="AB2406" s="1"/>
      <c r="AC2406" s="1" t="s">
        <v>36</v>
      </c>
      <c r="AD2406" s="1" t="s">
        <v>8710</v>
      </c>
      <c r="AE2406" s="1" t="s">
        <v>32</v>
      </c>
      <c r="AF2406" s="1" t="s">
        <v>33</v>
      </c>
      <c r="AG2406" s="1" t="s">
        <v>270</v>
      </c>
    </row>
    <row r="2407" spans="1:33">
      <c r="A2407" t="s">
        <v>8711</v>
      </c>
      <c r="B2407" t="s">
        <v>8712</v>
      </c>
      <c r="C2407" t="s">
        <v>47</v>
      </c>
      <c r="E2407" t="s">
        <v>8226</v>
      </c>
      <c r="F2407" t="s">
        <v>8190</v>
      </c>
      <c r="G2407">
        <v>11.0</v>
      </c>
      <c r="H2407">
        <v>11.0</v>
      </c>
      <c r="I2407" t="s">
        <v>2206</v>
      </c>
      <c r="J2407" t="s">
        <v>49</v>
      </c>
      <c r="K2407" t="s">
        <v>31</v>
      </c>
      <c r="L2407" t="s">
        <v>32</v>
      </c>
      <c r="M2407" t="s">
        <v>33</v>
      </c>
      <c r="P2407" s="1" t="s">
        <v>8713</v>
      </c>
      <c r="Q2407" s="1" t="s">
        <v>8226</v>
      </c>
      <c r="R2407" s="1" t="s">
        <v>8226</v>
      </c>
      <c r="S2407" s="1"/>
      <c r="T2407" s="1" t="s">
        <v>47</v>
      </c>
      <c r="U2407" s="1"/>
      <c r="V2407" s="1">
        <v>11.0</v>
      </c>
      <c r="W2407" s="1">
        <v>11.0</v>
      </c>
      <c r="X2407" s="1" t="s">
        <v>35</v>
      </c>
      <c r="Y2407" s="1">
        <v>11000.0</v>
      </c>
      <c r="Z2407" s="1"/>
      <c r="AA2407" s="1">
        <v>11000.0</v>
      </c>
      <c r="AB2407" s="1"/>
      <c r="AC2407" s="1" t="s">
        <v>36</v>
      </c>
      <c r="AD2407" s="1" t="s">
        <v>8714</v>
      </c>
      <c r="AE2407" s="1" t="s">
        <v>32</v>
      </c>
      <c r="AF2407" s="1" t="s">
        <v>33</v>
      </c>
      <c r="AG2407" s="1" t="s">
        <v>49</v>
      </c>
    </row>
    <row r="2408" spans="1:33">
      <c r="A2408" t="s">
        <v>8715</v>
      </c>
      <c r="B2408" t="s">
        <v>4491</v>
      </c>
      <c r="C2408" t="s">
        <v>47</v>
      </c>
      <c r="E2408" t="s">
        <v>8226</v>
      </c>
      <c r="F2408" t="s">
        <v>8190</v>
      </c>
      <c r="G2408">
        <v>19.49</v>
      </c>
      <c r="H2408">
        <v>19.49</v>
      </c>
      <c r="I2408" t="s">
        <v>2206</v>
      </c>
      <c r="J2408" t="s">
        <v>49</v>
      </c>
      <c r="K2408" t="s">
        <v>31</v>
      </c>
      <c r="L2408" t="s">
        <v>32</v>
      </c>
      <c r="M2408" t="s">
        <v>33</v>
      </c>
      <c r="P2408" s="1" t="s">
        <v>8716</v>
      </c>
      <c r="Q2408" s="1" t="s">
        <v>8226</v>
      </c>
      <c r="R2408" s="1" t="s">
        <v>8226</v>
      </c>
      <c r="S2408" s="1"/>
      <c r="T2408" s="1" t="s">
        <v>47</v>
      </c>
      <c r="U2408" s="1"/>
      <c r="V2408" s="1">
        <v>19.49</v>
      </c>
      <c r="W2408" s="1">
        <v>19.49</v>
      </c>
      <c r="X2408" s="1" t="s">
        <v>35</v>
      </c>
      <c r="Y2408" s="1">
        <v>19490.0</v>
      </c>
      <c r="Z2408" s="1"/>
      <c r="AA2408" s="1">
        <v>19490.0</v>
      </c>
      <c r="AB2408" s="1"/>
      <c r="AC2408" s="1" t="s">
        <v>36</v>
      </c>
      <c r="AD2408" s="1" t="s">
        <v>8717</v>
      </c>
      <c r="AE2408" s="1" t="s">
        <v>32</v>
      </c>
      <c r="AF2408" s="1" t="s">
        <v>33</v>
      </c>
      <c r="AG2408" s="1" t="s">
        <v>49</v>
      </c>
    </row>
    <row r="2409" spans="1:33">
      <c r="A2409" t="s">
        <v>8718</v>
      </c>
      <c r="B2409" t="s">
        <v>8719</v>
      </c>
      <c r="C2409" t="s">
        <v>8720</v>
      </c>
      <c r="E2409" t="s">
        <v>8226</v>
      </c>
      <c r="F2409" t="s">
        <v>8190</v>
      </c>
      <c r="G2409">
        <v>776.7</v>
      </c>
      <c r="H2409">
        <v>776.7</v>
      </c>
      <c r="I2409" t="s">
        <v>529</v>
      </c>
      <c r="J2409" t="s">
        <v>530</v>
      </c>
      <c r="K2409" t="s">
        <v>31</v>
      </c>
      <c r="L2409" t="s">
        <v>32</v>
      </c>
      <c r="M2409" t="s">
        <v>33</v>
      </c>
      <c r="P2409" s="1" t="s">
        <v>8721</v>
      </c>
      <c r="Q2409" s="1" t="s">
        <v>8226</v>
      </c>
      <c r="R2409" s="1" t="s">
        <v>7413</v>
      </c>
      <c r="S2409" s="1"/>
      <c r="T2409" s="1" t="s">
        <v>8720</v>
      </c>
      <c r="U2409" s="1"/>
      <c r="V2409" s="1">
        <v>776.7</v>
      </c>
      <c r="W2409" s="1">
        <v>776.7</v>
      </c>
      <c r="X2409" s="1" t="s">
        <v>35</v>
      </c>
      <c r="Y2409" s="1">
        <v>776700.0</v>
      </c>
      <c r="Z2409" s="1"/>
      <c r="AA2409" s="1">
        <v>776700.0</v>
      </c>
      <c r="AB2409" s="1"/>
      <c r="AC2409" s="1" t="s">
        <v>36</v>
      </c>
      <c r="AD2409" s="1" t="s">
        <v>8722</v>
      </c>
      <c r="AE2409" s="1" t="s">
        <v>32</v>
      </c>
      <c r="AF2409" s="1" t="s">
        <v>33</v>
      </c>
      <c r="AG2409" s="1" t="s">
        <v>530</v>
      </c>
    </row>
    <row r="2410" spans="1:33">
      <c r="A2410" t="s">
        <v>8723</v>
      </c>
      <c r="C2410" t="s">
        <v>1468</v>
      </c>
      <c r="E2410" t="s">
        <v>8226</v>
      </c>
      <c r="F2410" t="s">
        <v>8190</v>
      </c>
      <c r="G2410">
        <v>426.4</v>
      </c>
      <c r="H2410">
        <v>426.4</v>
      </c>
      <c r="I2410" t="s">
        <v>136</v>
      </c>
      <c r="J2410" t="s">
        <v>137</v>
      </c>
      <c r="K2410" t="s">
        <v>31</v>
      </c>
      <c r="L2410" t="s">
        <v>32</v>
      </c>
      <c r="M2410" t="s">
        <v>33</v>
      </c>
      <c r="P2410" s="1" t="s">
        <v>8724</v>
      </c>
      <c r="Q2410" s="1" t="s">
        <v>8226</v>
      </c>
      <c r="R2410" s="1" t="s">
        <v>8226</v>
      </c>
      <c r="S2410" s="1"/>
      <c r="T2410" s="1" t="s">
        <v>1468</v>
      </c>
      <c r="U2410" s="1"/>
      <c r="V2410" s="1">
        <v>426.4</v>
      </c>
      <c r="W2410" s="1">
        <v>426.4</v>
      </c>
      <c r="X2410" s="1" t="s">
        <v>35</v>
      </c>
      <c r="Y2410" s="1">
        <v>426400.0</v>
      </c>
      <c r="Z2410" s="1"/>
      <c r="AA2410" s="1">
        <v>426400.0</v>
      </c>
      <c r="AB2410" s="1"/>
      <c r="AC2410" s="1" t="s">
        <v>36</v>
      </c>
      <c r="AD2410" s="1" t="s">
        <v>8725</v>
      </c>
      <c r="AE2410" s="1" t="s">
        <v>32</v>
      </c>
      <c r="AF2410" s="1" t="s">
        <v>33</v>
      </c>
      <c r="AG2410" s="1" t="s">
        <v>137</v>
      </c>
    </row>
    <row r="2411" spans="1:33">
      <c r="A2411" t="s">
        <v>8726</v>
      </c>
      <c r="C2411" t="s">
        <v>274</v>
      </c>
      <c r="E2411" t="s">
        <v>8226</v>
      </c>
      <c r="F2411" t="s">
        <v>8190</v>
      </c>
      <c r="G2411">
        <v>399.0</v>
      </c>
      <c r="H2411">
        <v>399.0</v>
      </c>
      <c r="I2411" t="s">
        <v>94</v>
      </c>
      <c r="J2411" t="s">
        <v>95</v>
      </c>
      <c r="K2411" t="s">
        <v>31</v>
      </c>
      <c r="L2411" t="s">
        <v>32</v>
      </c>
      <c r="M2411" t="s">
        <v>33</v>
      </c>
      <c r="P2411" s="1" t="s">
        <v>8727</v>
      </c>
      <c r="Q2411" s="1" t="s">
        <v>8226</v>
      </c>
      <c r="R2411" s="1" t="s">
        <v>8226</v>
      </c>
      <c r="S2411" s="1"/>
      <c r="T2411" s="1" t="s">
        <v>274</v>
      </c>
      <c r="U2411" s="1"/>
      <c r="V2411" s="1">
        <v>399.0</v>
      </c>
      <c r="W2411" s="1">
        <v>399.0</v>
      </c>
      <c r="X2411" s="1" t="s">
        <v>35</v>
      </c>
      <c r="Y2411" s="1">
        <v>399000.0</v>
      </c>
      <c r="Z2411" s="1"/>
      <c r="AA2411" s="1">
        <v>399000.0</v>
      </c>
      <c r="AB2411" s="1"/>
      <c r="AC2411" s="1" t="s">
        <v>36</v>
      </c>
      <c r="AD2411" s="1" t="s">
        <v>8728</v>
      </c>
      <c r="AE2411" s="1" t="s">
        <v>32</v>
      </c>
      <c r="AF2411" s="1" t="s">
        <v>33</v>
      </c>
      <c r="AG2411" s="1" t="s">
        <v>95</v>
      </c>
    </row>
    <row r="2412" spans="1:33">
      <c r="A2412" t="s">
        <v>8729</v>
      </c>
      <c r="C2412" t="s">
        <v>2485</v>
      </c>
      <c r="E2412" t="s">
        <v>8226</v>
      </c>
      <c r="F2412" t="s">
        <v>8190</v>
      </c>
      <c r="G2412">
        <v>1.704</v>
      </c>
      <c r="H2412">
        <v>1.704</v>
      </c>
      <c r="I2412" t="s">
        <v>136</v>
      </c>
      <c r="J2412" t="s">
        <v>137</v>
      </c>
      <c r="K2412" t="s">
        <v>31</v>
      </c>
      <c r="L2412" t="s">
        <v>32</v>
      </c>
      <c r="M2412" t="s">
        <v>33</v>
      </c>
      <c r="P2412" s="1" t="s">
        <v>8730</v>
      </c>
      <c r="Q2412" s="1" t="s">
        <v>8226</v>
      </c>
      <c r="R2412" s="1" t="s">
        <v>8226</v>
      </c>
      <c r="S2412" s="1"/>
      <c r="T2412" s="1" t="s">
        <v>2485</v>
      </c>
      <c r="U2412" s="1"/>
      <c r="V2412" s="1">
        <v>1.704</v>
      </c>
      <c r="W2412" s="1">
        <v>1.704</v>
      </c>
      <c r="X2412" s="1" t="s">
        <v>35</v>
      </c>
      <c r="Y2412" s="1">
        <v>1704000.0</v>
      </c>
      <c r="Z2412" s="1"/>
      <c r="AA2412" s="1">
        <v>1704000.0</v>
      </c>
      <c r="AB2412" s="1"/>
      <c r="AC2412" s="1" t="s">
        <v>36</v>
      </c>
      <c r="AD2412" s="1" t="s">
        <v>8731</v>
      </c>
      <c r="AE2412" s="1" t="s">
        <v>32</v>
      </c>
      <c r="AF2412" s="1" t="s">
        <v>33</v>
      </c>
      <c r="AG2412" s="1" t="s">
        <v>137</v>
      </c>
    </row>
    <row r="2413" spans="1:33">
      <c r="A2413" t="s">
        <v>8732</v>
      </c>
      <c r="B2413" t="s">
        <v>8733</v>
      </c>
      <c r="C2413" t="s">
        <v>47</v>
      </c>
      <c r="E2413" t="s">
        <v>8226</v>
      </c>
      <c r="F2413" t="s">
        <v>8190</v>
      </c>
      <c r="G2413">
        <v>6.548</v>
      </c>
      <c r="H2413">
        <v>6.548</v>
      </c>
      <c r="I2413" t="s">
        <v>2206</v>
      </c>
      <c r="J2413" t="s">
        <v>49</v>
      </c>
      <c r="K2413" t="s">
        <v>31</v>
      </c>
      <c r="L2413" t="s">
        <v>32</v>
      </c>
      <c r="M2413" t="s">
        <v>33</v>
      </c>
      <c r="P2413" s="1" t="s">
        <v>8734</v>
      </c>
      <c r="Q2413" s="1" t="s">
        <v>8226</v>
      </c>
      <c r="R2413" s="1" t="s">
        <v>8226</v>
      </c>
      <c r="S2413" s="1"/>
      <c r="T2413" s="1" t="s">
        <v>47</v>
      </c>
      <c r="U2413" s="1"/>
      <c r="V2413" s="1">
        <v>6.548</v>
      </c>
      <c r="W2413" s="1">
        <v>6.548</v>
      </c>
      <c r="X2413" s="1" t="s">
        <v>35</v>
      </c>
      <c r="Y2413" s="1">
        <v>6548.0</v>
      </c>
      <c r="Z2413" s="1"/>
      <c r="AA2413" s="1">
        <v>6548.0</v>
      </c>
      <c r="AB2413" s="1"/>
      <c r="AC2413" s="1" t="s">
        <v>36</v>
      </c>
      <c r="AD2413" s="1" t="s">
        <v>8728</v>
      </c>
      <c r="AE2413" s="1" t="s">
        <v>32</v>
      </c>
      <c r="AF2413" s="1" t="s">
        <v>33</v>
      </c>
      <c r="AG2413" s="1" t="s">
        <v>49</v>
      </c>
    </row>
    <row r="2414" spans="1:33">
      <c r="A2414" t="s">
        <v>8735</v>
      </c>
      <c r="C2414" t="s">
        <v>135</v>
      </c>
      <c r="E2414" t="s">
        <v>8226</v>
      </c>
      <c r="F2414" t="s">
        <v>8190</v>
      </c>
      <c r="G2414">
        <v>73.1</v>
      </c>
      <c r="H2414">
        <v>73.1</v>
      </c>
      <c r="I2414" t="s">
        <v>136</v>
      </c>
      <c r="J2414" t="s">
        <v>137</v>
      </c>
      <c r="K2414" t="s">
        <v>31</v>
      </c>
      <c r="L2414" t="s">
        <v>32</v>
      </c>
      <c r="M2414" t="s">
        <v>33</v>
      </c>
      <c r="P2414" s="1" t="s">
        <v>8736</v>
      </c>
      <c r="Q2414" s="1" t="s">
        <v>8226</v>
      </c>
      <c r="R2414" s="1" t="s">
        <v>8226</v>
      </c>
      <c r="S2414" s="1"/>
      <c r="T2414" s="1" t="s">
        <v>135</v>
      </c>
      <c r="U2414" s="1"/>
      <c r="V2414" s="1">
        <v>73.1</v>
      </c>
      <c r="W2414" s="1">
        <v>73.1</v>
      </c>
      <c r="X2414" s="1" t="s">
        <v>35</v>
      </c>
      <c r="Y2414" s="1">
        <v>73100.0</v>
      </c>
      <c r="Z2414" s="1"/>
      <c r="AA2414" s="1">
        <v>73100.0</v>
      </c>
      <c r="AB2414" s="1"/>
      <c r="AC2414" s="1" t="s">
        <v>36</v>
      </c>
      <c r="AD2414" s="1" t="s">
        <v>8737</v>
      </c>
      <c r="AE2414" s="1" t="s">
        <v>32</v>
      </c>
      <c r="AF2414" s="1" t="s">
        <v>33</v>
      </c>
      <c r="AG2414" s="1" t="s">
        <v>137</v>
      </c>
    </row>
    <row r="2415" spans="1:33">
      <c r="A2415" t="s">
        <v>8738</v>
      </c>
      <c r="C2415" t="s">
        <v>2857</v>
      </c>
      <c r="E2415" t="s">
        <v>8226</v>
      </c>
      <c r="F2415" t="s">
        <v>8190</v>
      </c>
      <c r="G2415">
        <v>800.0</v>
      </c>
      <c r="H2415">
        <v>800.0</v>
      </c>
      <c r="I2415" t="s">
        <v>2206</v>
      </c>
      <c r="J2415" t="s">
        <v>49</v>
      </c>
      <c r="K2415" t="s">
        <v>31</v>
      </c>
      <c r="L2415" t="s">
        <v>32</v>
      </c>
      <c r="M2415" t="s">
        <v>33</v>
      </c>
      <c r="P2415" s="1" t="s">
        <v>8739</v>
      </c>
      <c r="Q2415" s="1" t="s">
        <v>8226</v>
      </c>
      <c r="R2415" s="1" t="s">
        <v>8226</v>
      </c>
      <c r="S2415" s="1"/>
      <c r="T2415" s="1" t="s">
        <v>2859</v>
      </c>
      <c r="U2415" s="1" t="s">
        <v>2255</v>
      </c>
      <c r="V2415" s="1">
        <v>800.0</v>
      </c>
      <c r="W2415" s="1">
        <v>800.0</v>
      </c>
      <c r="X2415" s="1" t="s">
        <v>35</v>
      </c>
      <c r="Y2415" s="1">
        <v>800000.0</v>
      </c>
      <c r="Z2415" s="1"/>
      <c r="AA2415" s="1">
        <v>800000.0</v>
      </c>
      <c r="AB2415" s="1"/>
      <c r="AC2415" s="1" t="s">
        <v>36</v>
      </c>
      <c r="AD2415" s="1" t="s">
        <v>8728</v>
      </c>
      <c r="AE2415" s="1" t="s">
        <v>32</v>
      </c>
      <c r="AF2415" s="1" t="s">
        <v>33</v>
      </c>
      <c r="AG2415" s="1" t="s">
        <v>49</v>
      </c>
    </row>
    <row r="2416" spans="1:33">
      <c r="A2416" t="s">
        <v>8740</v>
      </c>
      <c r="C2416" t="s">
        <v>747</v>
      </c>
      <c r="E2416" t="s">
        <v>8226</v>
      </c>
      <c r="F2416" t="s">
        <v>8190</v>
      </c>
      <c r="G2416">
        <v>1.64</v>
      </c>
      <c r="H2416">
        <v>1.64</v>
      </c>
      <c r="I2416" t="s">
        <v>136</v>
      </c>
      <c r="J2416" t="s">
        <v>137</v>
      </c>
      <c r="K2416" t="s">
        <v>31</v>
      </c>
      <c r="L2416" t="s">
        <v>32</v>
      </c>
      <c r="M2416" t="s">
        <v>33</v>
      </c>
      <c r="P2416" s="1" t="s">
        <v>8741</v>
      </c>
      <c r="Q2416" s="1" t="s">
        <v>8226</v>
      </c>
      <c r="R2416" s="1" t="s">
        <v>8226</v>
      </c>
      <c r="S2416" s="1"/>
      <c r="T2416" s="1" t="s">
        <v>747</v>
      </c>
      <c r="U2416" s="1"/>
      <c r="V2416" s="1">
        <v>1.64</v>
      </c>
      <c r="W2416" s="1">
        <v>1.64</v>
      </c>
      <c r="X2416" s="1" t="s">
        <v>35</v>
      </c>
      <c r="Y2416" s="1">
        <v>1640000.0</v>
      </c>
      <c r="Z2416" s="1"/>
      <c r="AA2416" s="1">
        <v>1640000.0</v>
      </c>
      <c r="AB2416" s="1"/>
      <c r="AC2416" s="1" t="s">
        <v>36</v>
      </c>
      <c r="AD2416" s="1" t="s">
        <v>8742</v>
      </c>
      <c r="AE2416" s="1" t="s">
        <v>32</v>
      </c>
      <c r="AF2416" s="1" t="s">
        <v>33</v>
      </c>
      <c r="AG2416" s="1" t="s">
        <v>137</v>
      </c>
    </row>
    <row r="2417" spans="1:33">
      <c r="A2417" t="s">
        <v>8743</v>
      </c>
      <c r="C2417" t="s">
        <v>2760</v>
      </c>
      <c r="E2417" t="s">
        <v>8226</v>
      </c>
      <c r="F2417" t="s">
        <v>8190</v>
      </c>
      <c r="G2417">
        <v>954.0</v>
      </c>
      <c r="H2417">
        <v>954.0</v>
      </c>
      <c r="I2417" t="s">
        <v>173</v>
      </c>
      <c r="J2417" t="s">
        <v>174</v>
      </c>
      <c r="K2417" t="s">
        <v>31</v>
      </c>
      <c r="L2417" t="s">
        <v>32</v>
      </c>
      <c r="M2417" t="s">
        <v>33</v>
      </c>
      <c r="P2417" s="1" t="s">
        <v>8744</v>
      </c>
      <c r="Q2417" s="1" t="s">
        <v>8226</v>
      </c>
      <c r="R2417" s="1" t="s">
        <v>8226</v>
      </c>
      <c r="S2417" s="1"/>
      <c r="T2417" s="1" t="s">
        <v>2760</v>
      </c>
      <c r="U2417" s="1"/>
      <c r="V2417" s="1">
        <v>954.0</v>
      </c>
      <c r="W2417" s="1">
        <v>954.0</v>
      </c>
      <c r="X2417" s="1" t="s">
        <v>35</v>
      </c>
      <c r="Y2417" s="1">
        <v>954000.0</v>
      </c>
      <c r="Z2417" s="1"/>
      <c r="AA2417" s="1">
        <v>954000.0</v>
      </c>
      <c r="AB2417" s="1"/>
      <c r="AC2417" s="1" t="s">
        <v>36</v>
      </c>
      <c r="AD2417" s="1" t="s">
        <v>8745</v>
      </c>
      <c r="AE2417" s="1" t="s">
        <v>32</v>
      </c>
      <c r="AF2417" s="1" t="s">
        <v>33</v>
      </c>
      <c r="AG2417" s="1" t="s">
        <v>174</v>
      </c>
    </row>
    <row r="2418" spans="1:33">
      <c r="A2418" t="s">
        <v>8746</v>
      </c>
      <c r="C2418" t="s">
        <v>3612</v>
      </c>
      <c r="E2418" t="s">
        <v>8226</v>
      </c>
      <c r="F2418" t="s">
        <v>8190</v>
      </c>
      <c r="G2418">
        <v>492.0</v>
      </c>
      <c r="H2418">
        <v>492.0</v>
      </c>
      <c r="I2418" t="s">
        <v>136</v>
      </c>
      <c r="J2418" t="s">
        <v>137</v>
      </c>
      <c r="K2418" t="s">
        <v>31</v>
      </c>
      <c r="L2418" t="s">
        <v>32</v>
      </c>
      <c r="M2418" t="s">
        <v>33</v>
      </c>
      <c r="P2418" s="1" t="s">
        <v>8747</v>
      </c>
      <c r="Q2418" s="1" t="s">
        <v>8226</v>
      </c>
      <c r="R2418" s="1" t="s">
        <v>8226</v>
      </c>
      <c r="S2418" s="1"/>
      <c r="T2418" s="1" t="s">
        <v>3614</v>
      </c>
      <c r="U2418" s="1" t="s">
        <v>3615</v>
      </c>
      <c r="V2418" s="1">
        <v>492.0</v>
      </c>
      <c r="W2418" s="1">
        <v>492.0</v>
      </c>
      <c r="X2418" s="1" t="s">
        <v>35</v>
      </c>
      <c r="Y2418" s="1">
        <v>492000.0</v>
      </c>
      <c r="Z2418" s="1"/>
      <c r="AA2418" s="1">
        <v>492000.0</v>
      </c>
      <c r="AB2418" s="1"/>
      <c r="AC2418" s="1" t="s">
        <v>36</v>
      </c>
      <c r="AD2418" s="1" t="s">
        <v>8748</v>
      </c>
      <c r="AE2418" s="1" t="s">
        <v>32</v>
      </c>
      <c r="AF2418" s="1" t="s">
        <v>33</v>
      </c>
      <c r="AG2418" s="1" t="s">
        <v>137</v>
      </c>
    </row>
    <row r="2419" spans="1:33">
      <c r="A2419" t="s">
        <v>8749</v>
      </c>
      <c r="B2419" t="s">
        <v>8750</v>
      </c>
      <c r="C2419" t="s">
        <v>569</v>
      </c>
      <c r="E2419" t="s">
        <v>8226</v>
      </c>
      <c r="F2419" t="s">
        <v>8190</v>
      </c>
      <c r="G2419">
        <v>65.98</v>
      </c>
      <c r="H2419">
        <v>65.98</v>
      </c>
      <c r="I2419" t="s">
        <v>570</v>
      </c>
      <c r="J2419" t="s">
        <v>571</v>
      </c>
      <c r="K2419" t="s">
        <v>31</v>
      </c>
      <c r="L2419" t="s">
        <v>32</v>
      </c>
      <c r="M2419" t="s">
        <v>33</v>
      </c>
      <c r="P2419" s="1" t="s">
        <v>8751</v>
      </c>
      <c r="Q2419" s="1" t="s">
        <v>8226</v>
      </c>
      <c r="R2419" s="1" t="s">
        <v>8226</v>
      </c>
      <c r="S2419" s="1"/>
      <c r="T2419" s="1" t="s">
        <v>569</v>
      </c>
      <c r="U2419" s="1"/>
      <c r="V2419" s="1">
        <v>65.98</v>
      </c>
      <c r="W2419" s="1">
        <v>65.98</v>
      </c>
      <c r="X2419" s="1" t="s">
        <v>35</v>
      </c>
      <c r="Y2419" s="1">
        <v>65980.0</v>
      </c>
      <c r="Z2419" s="1"/>
      <c r="AA2419" s="1">
        <v>65980.0</v>
      </c>
      <c r="AB2419" s="1"/>
      <c r="AC2419" s="1" t="s">
        <v>36</v>
      </c>
      <c r="AD2419" s="1" t="s">
        <v>8752</v>
      </c>
      <c r="AE2419" s="1" t="s">
        <v>32</v>
      </c>
      <c r="AF2419" s="1" t="s">
        <v>33</v>
      </c>
      <c r="AG2419" s="1" t="s">
        <v>571</v>
      </c>
    </row>
    <row r="2420" spans="1:33">
      <c r="A2420" t="s">
        <v>8753</v>
      </c>
      <c r="C2420" t="s">
        <v>2955</v>
      </c>
      <c r="E2420" t="s">
        <v>8226</v>
      </c>
      <c r="F2420" t="s">
        <v>8190</v>
      </c>
      <c r="G2420">
        <v>550.0</v>
      </c>
      <c r="H2420">
        <v>550.0</v>
      </c>
      <c r="I2420" t="s">
        <v>136</v>
      </c>
      <c r="J2420" t="s">
        <v>137</v>
      </c>
      <c r="K2420" t="s">
        <v>31</v>
      </c>
      <c r="L2420" t="s">
        <v>32</v>
      </c>
      <c r="M2420" t="s">
        <v>33</v>
      </c>
      <c r="P2420" s="1" t="s">
        <v>8754</v>
      </c>
      <c r="Q2420" s="1" t="s">
        <v>8226</v>
      </c>
      <c r="R2420" s="1" t="s">
        <v>8226</v>
      </c>
      <c r="S2420" s="1"/>
      <c r="T2420" s="1" t="s">
        <v>2955</v>
      </c>
      <c r="U2420" s="1"/>
      <c r="V2420" s="1">
        <v>550.0</v>
      </c>
      <c r="W2420" s="1">
        <v>550.0</v>
      </c>
      <c r="X2420" s="1" t="s">
        <v>35</v>
      </c>
      <c r="Y2420" s="1">
        <v>550000.0</v>
      </c>
      <c r="Z2420" s="1"/>
      <c r="AA2420" s="1">
        <v>550000.0</v>
      </c>
      <c r="AB2420" s="1"/>
      <c r="AC2420" s="1" t="s">
        <v>36</v>
      </c>
      <c r="AD2420" s="1" t="s">
        <v>8755</v>
      </c>
      <c r="AE2420" s="1" t="s">
        <v>32</v>
      </c>
      <c r="AF2420" s="1" t="s">
        <v>33</v>
      </c>
      <c r="AG2420" s="1" t="s">
        <v>137</v>
      </c>
    </row>
    <row r="2421" spans="1:33">
      <c r="A2421" t="s">
        <v>8756</v>
      </c>
      <c r="C2421" t="s">
        <v>2688</v>
      </c>
      <c r="E2421" t="s">
        <v>8226</v>
      </c>
      <c r="F2421" t="s">
        <v>8190</v>
      </c>
      <c r="G2421">
        <v>447.2</v>
      </c>
      <c r="H2421">
        <v>447.2</v>
      </c>
      <c r="I2421" t="s">
        <v>269</v>
      </c>
      <c r="J2421" t="s">
        <v>270</v>
      </c>
      <c r="K2421" t="s">
        <v>31</v>
      </c>
      <c r="L2421" t="s">
        <v>32</v>
      </c>
      <c r="M2421" t="s">
        <v>33</v>
      </c>
      <c r="P2421" s="1" t="s">
        <v>8757</v>
      </c>
      <c r="Q2421" s="1" t="s">
        <v>8226</v>
      </c>
      <c r="R2421" s="1" t="s">
        <v>8226</v>
      </c>
      <c r="S2421" s="1"/>
      <c r="T2421" s="1" t="s">
        <v>2688</v>
      </c>
      <c r="U2421" s="1"/>
      <c r="V2421" s="1">
        <v>447.2</v>
      </c>
      <c r="W2421" s="1">
        <v>447.2</v>
      </c>
      <c r="X2421" s="1" t="s">
        <v>35</v>
      </c>
      <c r="Y2421" s="1">
        <v>447200.0</v>
      </c>
      <c r="Z2421" s="1"/>
      <c r="AA2421" s="1">
        <v>447200.0</v>
      </c>
      <c r="AB2421" s="1"/>
      <c r="AC2421" s="1" t="s">
        <v>36</v>
      </c>
      <c r="AD2421" s="1" t="s">
        <v>8755</v>
      </c>
      <c r="AE2421" s="1" t="s">
        <v>32</v>
      </c>
      <c r="AF2421" s="1" t="s">
        <v>33</v>
      </c>
      <c r="AG2421" s="1" t="s">
        <v>270</v>
      </c>
    </row>
    <row r="2422" spans="1:33">
      <c r="A2422" t="s">
        <v>8758</v>
      </c>
      <c r="B2422" t="s">
        <v>8759</v>
      </c>
      <c r="C2422" t="s">
        <v>68</v>
      </c>
      <c r="E2422" t="s">
        <v>8226</v>
      </c>
      <c r="F2422" t="s">
        <v>8190</v>
      </c>
      <c r="G2422">
        <v>19.49</v>
      </c>
      <c r="H2422">
        <v>19.49</v>
      </c>
      <c r="I2422" t="s">
        <v>59</v>
      </c>
      <c r="J2422" t="s">
        <v>60</v>
      </c>
      <c r="K2422" t="s">
        <v>31</v>
      </c>
      <c r="L2422" t="s">
        <v>32</v>
      </c>
      <c r="M2422" t="s">
        <v>33</v>
      </c>
      <c r="P2422" s="1" t="s">
        <v>8760</v>
      </c>
      <c r="Q2422" s="1" t="s">
        <v>8226</v>
      </c>
      <c r="R2422" s="1" t="s">
        <v>8226</v>
      </c>
      <c r="S2422" s="1"/>
      <c r="T2422" s="1" t="s">
        <v>68</v>
      </c>
      <c r="U2422" s="1"/>
      <c r="V2422" s="1">
        <v>19.49</v>
      </c>
      <c r="W2422" s="1">
        <v>19.49</v>
      </c>
      <c r="X2422" s="1" t="s">
        <v>35</v>
      </c>
      <c r="Y2422" s="1">
        <v>19490.0</v>
      </c>
      <c r="Z2422" s="1"/>
      <c r="AA2422" s="1">
        <v>19490.0</v>
      </c>
      <c r="AB2422" s="1"/>
      <c r="AC2422" s="1" t="s">
        <v>36</v>
      </c>
      <c r="AD2422" s="1" t="s">
        <v>8761</v>
      </c>
      <c r="AE2422" s="1" t="s">
        <v>32</v>
      </c>
      <c r="AF2422" s="1" t="s">
        <v>33</v>
      </c>
      <c r="AG2422" s="1" t="s">
        <v>60</v>
      </c>
    </row>
    <row r="2423" spans="1:33">
      <c r="A2423" t="s">
        <v>8762</v>
      </c>
      <c r="B2423" t="s">
        <v>8763</v>
      </c>
      <c r="C2423" t="s">
        <v>268</v>
      </c>
      <c r="E2423" t="s">
        <v>8226</v>
      </c>
      <c r="F2423" t="s">
        <v>8190</v>
      </c>
      <c r="G2423">
        <v>48.65</v>
      </c>
      <c r="H2423">
        <v>48.65</v>
      </c>
      <c r="I2423" t="s">
        <v>269</v>
      </c>
      <c r="J2423" t="s">
        <v>270</v>
      </c>
      <c r="K2423" t="s">
        <v>31</v>
      </c>
      <c r="L2423" t="s">
        <v>32</v>
      </c>
      <c r="M2423" t="s">
        <v>33</v>
      </c>
      <c r="P2423" s="1" t="s">
        <v>8764</v>
      </c>
      <c r="Q2423" s="1" t="s">
        <v>8226</v>
      </c>
      <c r="R2423" s="1" t="s">
        <v>8226</v>
      </c>
      <c r="S2423" s="1"/>
      <c r="T2423" s="1" t="s">
        <v>268</v>
      </c>
      <c r="U2423" s="1"/>
      <c r="V2423" s="1">
        <v>48.65</v>
      </c>
      <c r="W2423" s="1">
        <v>48.65</v>
      </c>
      <c r="X2423" s="1" t="s">
        <v>35</v>
      </c>
      <c r="Y2423" s="1">
        <v>48650.0</v>
      </c>
      <c r="Z2423" s="1"/>
      <c r="AA2423" s="1">
        <v>48650.0</v>
      </c>
      <c r="AB2423" s="1"/>
      <c r="AC2423" s="1" t="s">
        <v>36</v>
      </c>
      <c r="AD2423" s="1" t="s">
        <v>8765</v>
      </c>
      <c r="AE2423" s="1" t="s">
        <v>32</v>
      </c>
      <c r="AF2423" s="1" t="s">
        <v>33</v>
      </c>
      <c r="AG2423" s="1" t="s">
        <v>270</v>
      </c>
    </row>
    <row r="2424" spans="1:33">
      <c r="A2424" t="s">
        <v>8766</v>
      </c>
      <c r="B2424" t="s">
        <v>1265</v>
      </c>
      <c r="C2424" t="s">
        <v>314</v>
      </c>
      <c r="E2424" t="s">
        <v>8226</v>
      </c>
      <c r="F2424" t="s">
        <v>8190</v>
      </c>
      <c r="G2424">
        <v>40.99</v>
      </c>
      <c r="H2424">
        <v>40.99</v>
      </c>
      <c r="I2424" t="s">
        <v>179</v>
      </c>
      <c r="J2424" t="s">
        <v>180</v>
      </c>
      <c r="K2424" t="s">
        <v>31</v>
      </c>
      <c r="L2424" t="s">
        <v>32</v>
      </c>
      <c r="M2424" t="s">
        <v>33</v>
      </c>
      <c r="P2424" s="1" t="s">
        <v>8767</v>
      </c>
      <c r="Q2424" s="1" t="s">
        <v>8226</v>
      </c>
      <c r="R2424" s="1" t="s">
        <v>8226</v>
      </c>
      <c r="S2424" s="1"/>
      <c r="T2424" s="1" t="s">
        <v>314</v>
      </c>
      <c r="U2424" s="1"/>
      <c r="V2424" s="1">
        <v>40.99</v>
      </c>
      <c r="W2424" s="1">
        <v>40.99</v>
      </c>
      <c r="X2424" s="1" t="s">
        <v>35</v>
      </c>
      <c r="Y2424" s="1">
        <v>40990.0</v>
      </c>
      <c r="Z2424" s="1"/>
      <c r="AA2424" s="1">
        <v>40990.0</v>
      </c>
      <c r="AB2424" s="1"/>
      <c r="AC2424" s="1" t="s">
        <v>36</v>
      </c>
      <c r="AD2424" s="1" t="s">
        <v>8768</v>
      </c>
      <c r="AE2424" s="1" t="s">
        <v>32</v>
      </c>
      <c r="AF2424" s="1" t="s">
        <v>33</v>
      </c>
      <c r="AG2424" s="1" t="s">
        <v>180</v>
      </c>
    </row>
    <row r="2425" spans="1:33">
      <c r="A2425" t="s">
        <v>8769</v>
      </c>
      <c r="B2425" t="s">
        <v>1314</v>
      </c>
      <c r="C2425" t="s">
        <v>73</v>
      </c>
      <c r="E2425" t="s">
        <v>8226</v>
      </c>
      <c r="F2425" t="s">
        <v>8190</v>
      </c>
      <c r="G2425">
        <v>61.99</v>
      </c>
      <c r="H2425">
        <v>61.99</v>
      </c>
      <c r="I2425" t="s">
        <v>40</v>
      </c>
      <c r="J2425" t="s">
        <v>41</v>
      </c>
      <c r="K2425" t="s">
        <v>31</v>
      </c>
      <c r="L2425" t="s">
        <v>32</v>
      </c>
      <c r="M2425" t="s">
        <v>33</v>
      </c>
      <c r="P2425" s="1" t="s">
        <v>8770</v>
      </c>
      <c r="Q2425" s="1" t="s">
        <v>8226</v>
      </c>
      <c r="R2425" s="1" t="s">
        <v>7413</v>
      </c>
      <c r="S2425" s="1"/>
      <c r="T2425" s="1" t="s">
        <v>75</v>
      </c>
      <c r="U2425" s="1" t="s">
        <v>76</v>
      </c>
      <c r="V2425" s="1">
        <v>61.99</v>
      </c>
      <c r="W2425" s="1">
        <v>61.99</v>
      </c>
      <c r="X2425" s="1" t="s">
        <v>35</v>
      </c>
      <c r="Y2425" s="1">
        <v>61990.0</v>
      </c>
      <c r="Z2425" s="1"/>
      <c r="AA2425" s="1">
        <v>61990.0</v>
      </c>
      <c r="AB2425" s="1"/>
      <c r="AC2425" s="1" t="s">
        <v>36</v>
      </c>
      <c r="AD2425" s="1" t="s">
        <v>8771</v>
      </c>
      <c r="AE2425" s="1" t="s">
        <v>32</v>
      </c>
      <c r="AF2425" s="1" t="s">
        <v>33</v>
      </c>
      <c r="AG2425" s="1" t="s">
        <v>41</v>
      </c>
    </row>
    <row r="2426" spans="1:33">
      <c r="A2426" t="s">
        <v>8772</v>
      </c>
      <c r="C2426" t="s">
        <v>1652</v>
      </c>
      <c r="D2426" t="s">
        <v>114</v>
      </c>
      <c r="E2426" t="s">
        <v>8226</v>
      </c>
      <c r="F2426" t="s">
        <v>8190</v>
      </c>
      <c r="G2426">
        <v>272.5</v>
      </c>
      <c r="H2426">
        <v>272.5</v>
      </c>
      <c r="I2426" t="s">
        <v>94</v>
      </c>
      <c r="J2426" t="s">
        <v>95</v>
      </c>
      <c r="K2426" t="s">
        <v>31</v>
      </c>
      <c r="L2426" t="s">
        <v>32</v>
      </c>
      <c r="M2426" t="s">
        <v>33</v>
      </c>
      <c r="P2426" s="1" t="s">
        <v>8773</v>
      </c>
      <c r="Q2426" s="1" t="s">
        <v>8226</v>
      </c>
      <c r="R2426" s="1" t="s">
        <v>8226</v>
      </c>
      <c r="S2426" s="1"/>
      <c r="T2426" s="1" t="s">
        <v>1652</v>
      </c>
      <c r="U2426" s="1"/>
      <c r="V2426" s="1">
        <v>272.5</v>
      </c>
      <c r="W2426" s="1">
        <v>272.5</v>
      </c>
      <c r="X2426" s="1" t="s">
        <v>35</v>
      </c>
      <c r="Y2426" s="1">
        <v>272500.0</v>
      </c>
      <c r="Z2426" s="1"/>
      <c r="AA2426" s="1">
        <v>272500.0</v>
      </c>
      <c r="AB2426" s="1"/>
      <c r="AC2426" s="1" t="s">
        <v>36</v>
      </c>
      <c r="AD2426" s="1" t="s">
        <v>8774</v>
      </c>
      <c r="AE2426" s="1" t="s">
        <v>32</v>
      </c>
      <c r="AF2426" s="1" t="s">
        <v>33</v>
      </c>
      <c r="AG2426" s="1" t="s">
        <v>95</v>
      </c>
    </row>
    <row r="2427" spans="1:33">
      <c r="A2427" t="s">
        <v>8775</v>
      </c>
      <c r="B2427" t="s">
        <v>8776</v>
      </c>
      <c r="C2427" t="s">
        <v>125</v>
      </c>
      <c r="E2427" t="s">
        <v>8226</v>
      </c>
      <c r="F2427" t="s">
        <v>8190</v>
      </c>
      <c r="G2427">
        <v>3.0</v>
      </c>
      <c r="H2427">
        <v>3.0</v>
      </c>
      <c r="I2427" t="s">
        <v>126</v>
      </c>
      <c r="J2427" t="s">
        <v>127</v>
      </c>
      <c r="K2427" t="s">
        <v>31</v>
      </c>
      <c r="L2427" t="s">
        <v>32</v>
      </c>
      <c r="M2427" t="s">
        <v>33</v>
      </c>
      <c r="P2427" s="1" t="s">
        <v>8777</v>
      </c>
      <c r="Q2427" s="1" t="s">
        <v>8226</v>
      </c>
      <c r="R2427" s="1" t="s">
        <v>8226</v>
      </c>
      <c r="S2427" s="1"/>
      <c r="T2427" s="1" t="s">
        <v>125</v>
      </c>
      <c r="U2427" s="1"/>
      <c r="V2427" s="1">
        <v>3.0</v>
      </c>
      <c r="W2427" s="1">
        <v>3.0</v>
      </c>
      <c r="X2427" s="1" t="s">
        <v>35</v>
      </c>
      <c r="Y2427" s="1">
        <v>3000.0</v>
      </c>
      <c r="Z2427" s="1"/>
      <c r="AA2427" s="1">
        <v>3000.0</v>
      </c>
      <c r="AB2427" s="1"/>
      <c r="AC2427" s="1" t="s">
        <v>36</v>
      </c>
      <c r="AD2427" s="1" t="s">
        <v>8778</v>
      </c>
      <c r="AE2427" s="1" t="s">
        <v>32</v>
      </c>
      <c r="AF2427" s="1" t="s">
        <v>33</v>
      </c>
      <c r="AG2427" s="1" t="s">
        <v>127</v>
      </c>
    </row>
    <row r="2428" spans="1:33">
      <c r="A2428" t="s">
        <v>8779</v>
      </c>
      <c r="B2428" t="s">
        <v>8780</v>
      </c>
      <c r="C2428" t="s">
        <v>125</v>
      </c>
      <c r="E2428" t="s">
        <v>8226</v>
      </c>
      <c r="F2428" t="s">
        <v>8190</v>
      </c>
      <c r="G2428">
        <v>16.99</v>
      </c>
      <c r="H2428">
        <v>16.99</v>
      </c>
      <c r="I2428" t="s">
        <v>126</v>
      </c>
      <c r="J2428" t="s">
        <v>127</v>
      </c>
      <c r="K2428" t="s">
        <v>31</v>
      </c>
      <c r="L2428" t="s">
        <v>32</v>
      </c>
      <c r="M2428" t="s">
        <v>33</v>
      </c>
      <c r="P2428" s="1" t="s">
        <v>8781</v>
      </c>
      <c r="Q2428" s="1" t="s">
        <v>8226</v>
      </c>
      <c r="R2428" s="1" t="s">
        <v>8226</v>
      </c>
      <c r="S2428" s="1"/>
      <c r="T2428" s="1" t="s">
        <v>125</v>
      </c>
      <c r="U2428" s="1"/>
      <c r="V2428" s="1">
        <v>16.99</v>
      </c>
      <c r="W2428" s="1">
        <v>16.99</v>
      </c>
      <c r="X2428" s="1" t="s">
        <v>35</v>
      </c>
      <c r="Y2428" s="1">
        <v>16990.0</v>
      </c>
      <c r="Z2428" s="1"/>
      <c r="AA2428" s="1">
        <v>16990.0</v>
      </c>
      <c r="AB2428" s="1"/>
      <c r="AC2428" s="1" t="s">
        <v>36</v>
      </c>
      <c r="AD2428" s="1" t="s">
        <v>8782</v>
      </c>
      <c r="AE2428" s="1" t="s">
        <v>32</v>
      </c>
      <c r="AF2428" s="1" t="s">
        <v>33</v>
      </c>
      <c r="AG2428" s="1" t="s">
        <v>127</v>
      </c>
    </row>
    <row r="2429" spans="1:33">
      <c r="A2429" t="s">
        <v>8783</v>
      </c>
      <c r="B2429" t="s">
        <v>171</v>
      </c>
      <c r="C2429" t="s">
        <v>172</v>
      </c>
      <c r="E2429" t="s">
        <v>8226</v>
      </c>
      <c r="F2429" t="s">
        <v>8190</v>
      </c>
      <c r="G2429">
        <v>21.696</v>
      </c>
      <c r="H2429">
        <v>21.696</v>
      </c>
      <c r="I2429" t="s">
        <v>173</v>
      </c>
      <c r="J2429" t="s">
        <v>174</v>
      </c>
      <c r="K2429" t="s">
        <v>31</v>
      </c>
      <c r="L2429" t="s">
        <v>32</v>
      </c>
      <c r="M2429" t="s">
        <v>33</v>
      </c>
      <c r="P2429" s="1" t="s">
        <v>8784</v>
      </c>
      <c r="Q2429" s="1" t="s">
        <v>8226</v>
      </c>
      <c r="R2429" s="1" t="s">
        <v>8226</v>
      </c>
      <c r="S2429" s="1"/>
      <c r="T2429" s="1" t="s">
        <v>172</v>
      </c>
      <c r="U2429" s="1"/>
      <c r="V2429" s="1">
        <v>21.696</v>
      </c>
      <c r="W2429" s="1">
        <v>21.696</v>
      </c>
      <c r="X2429" s="1" t="s">
        <v>35</v>
      </c>
      <c r="Y2429" s="1">
        <v>21696.0</v>
      </c>
      <c r="Z2429" s="1"/>
      <c r="AA2429" s="1">
        <v>21696.0</v>
      </c>
      <c r="AB2429" s="1"/>
      <c r="AC2429" s="1" t="s">
        <v>36</v>
      </c>
      <c r="AD2429" s="1" t="s">
        <v>8785</v>
      </c>
      <c r="AE2429" s="1" t="s">
        <v>32</v>
      </c>
      <c r="AF2429" s="1" t="s">
        <v>33</v>
      </c>
      <c r="AG2429" s="1" t="s">
        <v>174</v>
      </c>
    </row>
    <row r="2430" spans="1:33">
      <c r="A2430" t="s">
        <v>8786</v>
      </c>
      <c r="B2430" t="s">
        <v>8787</v>
      </c>
      <c r="C2430" t="s">
        <v>125</v>
      </c>
      <c r="E2430" t="s">
        <v>8226</v>
      </c>
      <c r="F2430" t="s">
        <v>8190</v>
      </c>
      <c r="G2430">
        <v>16.99</v>
      </c>
      <c r="H2430">
        <v>16.99</v>
      </c>
      <c r="I2430" t="s">
        <v>126</v>
      </c>
      <c r="J2430" t="s">
        <v>127</v>
      </c>
      <c r="K2430" t="s">
        <v>31</v>
      </c>
      <c r="L2430" t="s">
        <v>32</v>
      </c>
      <c r="M2430" t="s">
        <v>33</v>
      </c>
      <c r="P2430" s="1" t="s">
        <v>8788</v>
      </c>
      <c r="Q2430" s="1" t="s">
        <v>8226</v>
      </c>
      <c r="R2430" s="1" t="s">
        <v>8226</v>
      </c>
      <c r="S2430" s="1"/>
      <c r="T2430" s="1" t="s">
        <v>125</v>
      </c>
      <c r="U2430" s="1"/>
      <c r="V2430" s="1">
        <v>16.99</v>
      </c>
      <c r="W2430" s="1">
        <v>16.99</v>
      </c>
      <c r="X2430" s="1" t="s">
        <v>35</v>
      </c>
      <c r="Y2430" s="1">
        <v>16990.0</v>
      </c>
      <c r="Z2430" s="1"/>
      <c r="AA2430" s="1">
        <v>16990.0</v>
      </c>
      <c r="AB2430" s="1"/>
      <c r="AC2430" s="1" t="s">
        <v>36</v>
      </c>
      <c r="AD2430" s="1" t="s">
        <v>8789</v>
      </c>
      <c r="AE2430" s="1" t="s">
        <v>32</v>
      </c>
      <c r="AF2430" s="1" t="s">
        <v>33</v>
      </c>
      <c r="AG2430" s="1" t="s">
        <v>127</v>
      </c>
    </row>
    <row r="2431" spans="1:33">
      <c r="A2431" t="s">
        <v>8790</v>
      </c>
      <c r="C2431" t="s">
        <v>575</v>
      </c>
      <c r="E2431" t="s">
        <v>8226</v>
      </c>
      <c r="F2431" t="s">
        <v>8190</v>
      </c>
      <c r="G2431">
        <v>421.0</v>
      </c>
      <c r="H2431">
        <v>421.0</v>
      </c>
      <c r="I2431" t="s">
        <v>94</v>
      </c>
      <c r="J2431" t="s">
        <v>95</v>
      </c>
      <c r="K2431" t="s">
        <v>31</v>
      </c>
      <c r="L2431" t="s">
        <v>32</v>
      </c>
      <c r="M2431" t="s">
        <v>33</v>
      </c>
      <c r="P2431" s="1" t="s">
        <v>8791</v>
      </c>
      <c r="Q2431" s="1" t="s">
        <v>8226</v>
      </c>
      <c r="R2431" s="1" t="s">
        <v>8226</v>
      </c>
      <c r="S2431" s="1"/>
      <c r="T2431" s="1" t="s">
        <v>575</v>
      </c>
      <c r="U2431" s="1"/>
      <c r="V2431" s="1">
        <v>421.0</v>
      </c>
      <c r="W2431" s="1">
        <v>421.0</v>
      </c>
      <c r="X2431" s="1" t="s">
        <v>35</v>
      </c>
      <c r="Y2431" s="1">
        <v>421000.0</v>
      </c>
      <c r="Z2431" s="1"/>
      <c r="AA2431" s="1">
        <v>421000.0</v>
      </c>
      <c r="AB2431" s="1"/>
      <c r="AC2431" s="1" t="s">
        <v>36</v>
      </c>
      <c r="AD2431" s="1" t="s">
        <v>8778</v>
      </c>
      <c r="AE2431" s="1" t="s">
        <v>32</v>
      </c>
      <c r="AF2431" s="1" t="s">
        <v>33</v>
      </c>
      <c r="AG2431" s="1" t="s">
        <v>95</v>
      </c>
    </row>
    <row r="2432" spans="1:33">
      <c r="A2432" t="s">
        <v>8792</v>
      </c>
      <c r="C2432" t="s">
        <v>3712</v>
      </c>
      <c r="E2432" t="s">
        <v>8226</v>
      </c>
      <c r="F2432" t="s">
        <v>8190</v>
      </c>
      <c r="G2432">
        <v>320.0</v>
      </c>
      <c r="H2432">
        <v>320.0</v>
      </c>
      <c r="I2432" t="s">
        <v>40</v>
      </c>
      <c r="J2432" t="s">
        <v>41</v>
      </c>
      <c r="K2432" t="s">
        <v>31</v>
      </c>
      <c r="L2432" t="s">
        <v>32</v>
      </c>
      <c r="M2432" t="s">
        <v>33</v>
      </c>
      <c r="P2432" s="1" t="s">
        <v>8793</v>
      </c>
      <c r="Q2432" s="1" t="s">
        <v>8226</v>
      </c>
      <c r="R2432" s="1" t="s">
        <v>7413</v>
      </c>
      <c r="S2432" s="1"/>
      <c r="T2432" s="1" t="s">
        <v>3712</v>
      </c>
      <c r="U2432" s="1"/>
      <c r="V2432" s="1">
        <v>320.0</v>
      </c>
      <c r="W2432" s="1">
        <v>320.0</v>
      </c>
      <c r="X2432" s="1" t="s">
        <v>35</v>
      </c>
      <c r="Y2432" s="1">
        <v>320000.0</v>
      </c>
      <c r="Z2432" s="1"/>
      <c r="AA2432" s="1">
        <v>320000.0</v>
      </c>
      <c r="AB2432" s="1"/>
      <c r="AC2432" s="1" t="s">
        <v>36</v>
      </c>
      <c r="AD2432" s="1" t="s">
        <v>8794</v>
      </c>
      <c r="AE2432" s="1" t="s">
        <v>32</v>
      </c>
      <c r="AF2432" s="1" t="s">
        <v>33</v>
      </c>
      <c r="AG2432" s="1" t="s">
        <v>41</v>
      </c>
    </row>
    <row r="2433" spans="1:33">
      <c r="A2433" t="s">
        <v>8795</v>
      </c>
      <c r="B2433" t="s">
        <v>8796</v>
      </c>
      <c r="C2433" t="s">
        <v>125</v>
      </c>
      <c r="E2433" t="s">
        <v>8226</v>
      </c>
      <c r="F2433" t="s">
        <v>8190</v>
      </c>
      <c r="G2433">
        <v>3.0</v>
      </c>
      <c r="H2433">
        <v>3.0</v>
      </c>
      <c r="I2433" t="s">
        <v>126</v>
      </c>
      <c r="J2433" t="s">
        <v>127</v>
      </c>
      <c r="K2433" t="s">
        <v>31</v>
      </c>
      <c r="L2433" t="s">
        <v>32</v>
      </c>
      <c r="M2433" t="s">
        <v>33</v>
      </c>
      <c r="P2433" s="1" t="s">
        <v>8797</v>
      </c>
      <c r="Q2433" s="1" t="s">
        <v>8226</v>
      </c>
      <c r="R2433" s="1" t="s">
        <v>8226</v>
      </c>
      <c r="S2433" s="1"/>
      <c r="T2433" s="1" t="s">
        <v>125</v>
      </c>
      <c r="U2433" s="1"/>
      <c r="V2433" s="1">
        <v>3.0</v>
      </c>
      <c r="W2433" s="1">
        <v>3.0</v>
      </c>
      <c r="X2433" s="1" t="s">
        <v>35</v>
      </c>
      <c r="Y2433" s="1">
        <v>3000.0</v>
      </c>
      <c r="Z2433" s="1"/>
      <c r="AA2433" s="1">
        <v>3000.0</v>
      </c>
      <c r="AB2433" s="1"/>
      <c r="AC2433" s="1" t="s">
        <v>36</v>
      </c>
      <c r="AD2433" s="1" t="s">
        <v>8798</v>
      </c>
      <c r="AE2433" s="1" t="s">
        <v>32</v>
      </c>
      <c r="AF2433" s="1" t="s">
        <v>33</v>
      </c>
      <c r="AG2433" s="1" t="s">
        <v>127</v>
      </c>
    </row>
    <row r="2434" spans="1:33">
      <c r="A2434" t="s">
        <v>8799</v>
      </c>
      <c r="C2434" t="s">
        <v>2635</v>
      </c>
      <c r="E2434" t="s">
        <v>8226</v>
      </c>
      <c r="F2434" t="s">
        <v>8190</v>
      </c>
      <c r="G2434">
        <v>72.0</v>
      </c>
      <c r="H2434">
        <v>72.0</v>
      </c>
      <c r="I2434" t="s">
        <v>2206</v>
      </c>
      <c r="J2434" t="s">
        <v>49</v>
      </c>
      <c r="K2434" t="s">
        <v>31</v>
      </c>
      <c r="L2434" t="s">
        <v>32</v>
      </c>
      <c r="M2434" t="s">
        <v>33</v>
      </c>
      <c r="P2434" s="1" t="s">
        <v>8800</v>
      </c>
      <c r="Q2434" s="1" t="s">
        <v>8226</v>
      </c>
      <c r="R2434" s="1" t="s">
        <v>8226</v>
      </c>
      <c r="S2434" s="1"/>
      <c r="T2434" s="1" t="s">
        <v>2635</v>
      </c>
      <c r="U2434" s="1"/>
      <c r="V2434" s="1">
        <v>72.0</v>
      </c>
      <c r="W2434" s="1">
        <v>72.0</v>
      </c>
      <c r="X2434" s="1" t="s">
        <v>35</v>
      </c>
      <c r="Y2434" s="1">
        <v>72000.0</v>
      </c>
      <c r="Z2434" s="1"/>
      <c r="AA2434" s="1">
        <v>72000.0</v>
      </c>
      <c r="AB2434" s="1"/>
      <c r="AC2434" s="1" t="s">
        <v>36</v>
      </c>
      <c r="AD2434" s="1" t="s">
        <v>8798</v>
      </c>
      <c r="AE2434" s="1" t="s">
        <v>32</v>
      </c>
      <c r="AF2434" s="1" t="s">
        <v>33</v>
      </c>
      <c r="AG2434" s="1" t="s">
        <v>49</v>
      </c>
    </row>
    <row r="2435" spans="1:33">
      <c r="A2435" t="s">
        <v>8801</v>
      </c>
      <c r="C2435" t="s">
        <v>2787</v>
      </c>
      <c r="E2435" t="s">
        <v>8226</v>
      </c>
      <c r="F2435" t="s">
        <v>8190</v>
      </c>
      <c r="G2435">
        <v>630.0</v>
      </c>
      <c r="H2435">
        <v>630.0</v>
      </c>
      <c r="I2435" t="s">
        <v>173</v>
      </c>
      <c r="J2435" t="s">
        <v>174</v>
      </c>
      <c r="K2435" t="s">
        <v>31</v>
      </c>
      <c r="L2435" t="s">
        <v>32</v>
      </c>
      <c r="M2435" t="s">
        <v>33</v>
      </c>
      <c r="P2435" s="1" t="s">
        <v>8802</v>
      </c>
      <c r="Q2435" s="1" t="s">
        <v>8226</v>
      </c>
      <c r="R2435" s="1" t="s">
        <v>8226</v>
      </c>
      <c r="S2435" s="1"/>
      <c r="T2435" s="1" t="s">
        <v>2789</v>
      </c>
      <c r="U2435" s="1" t="s">
        <v>2790</v>
      </c>
      <c r="V2435" s="1">
        <v>630.0</v>
      </c>
      <c r="W2435" s="1">
        <v>630.0</v>
      </c>
      <c r="X2435" s="1" t="s">
        <v>35</v>
      </c>
      <c r="Y2435" s="1">
        <v>630000</v>
      </c>
      <c r="Z2435" s="1"/>
      <c r="AA2435" s="1">
        <v>630000</v>
      </c>
      <c r="AB2435" s="1"/>
      <c r="AC2435" s="1" t="s">
        <v>36</v>
      </c>
      <c r="AD2435" s="1" t="s">
        <v>8803</v>
      </c>
      <c r="AE2435" s="1" t="s">
        <v>32</v>
      </c>
      <c r="AF2435" s="1" t="s">
        <v>33</v>
      </c>
      <c r="AG2435" s="1" t="s">
        <v>174</v>
      </c>
    </row>
    <row r="2436" spans="1:33">
      <c r="A2436" t="s">
        <v>8804</v>
      </c>
      <c r="B2436" t="s">
        <v>8805</v>
      </c>
      <c r="C2436" t="s">
        <v>125</v>
      </c>
      <c r="E2436" t="s">
        <v>8226</v>
      </c>
      <c r="F2436" t="s">
        <v>8190</v>
      </c>
      <c r="G2436">
        <v>3.0</v>
      </c>
      <c r="H2436">
        <v>3.0</v>
      </c>
      <c r="I2436" t="s">
        <v>126</v>
      </c>
      <c r="J2436" t="s">
        <v>127</v>
      </c>
      <c r="K2436" t="s">
        <v>31</v>
      </c>
      <c r="L2436" t="s">
        <v>32</v>
      </c>
      <c r="M2436" t="s">
        <v>33</v>
      </c>
      <c r="P2436" s="1" t="s">
        <v>8806</v>
      </c>
      <c r="Q2436" s="1" t="s">
        <v>8226</v>
      </c>
      <c r="R2436" s="1" t="s">
        <v>8226</v>
      </c>
      <c r="S2436" s="1"/>
      <c r="T2436" s="1" t="s">
        <v>125</v>
      </c>
      <c r="U2436" s="1"/>
      <c r="V2436" s="1">
        <v>3.0</v>
      </c>
      <c r="W2436" s="1">
        <v>3.0</v>
      </c>
      <c r="X2436" s="1" t="s">
        <v>35</v>
      </c>
      <c r="Y2436" s="1">
        <v>3000.0</v>
      </c>
      <c r="Z2436" s="1"/>
      <c r="AA2436" s="1">
        <v>3000.0</v>
      </c>
      <c r="AB2436" s="1"/>
      <c r="AC2436" s="1" t="s">
        <v>36</v>
      </c>
      <c r="AD2436" s="1" t="s">
        <v>8807</v>
      </c>
      <c r="AE2436" s="1" t="s">
        <v>32</v>
      </c>
      <c r="AF2436" s="1" t="s">
        <v>33</v>
      </c>
      <c r="AG2436" s="1" t="s">
        <v>127</v>
      </c>
    </row>
    <row r="2437" spans="1:33">
      <c r="A2437" t="s">
        <v>8808</v>
      </c>
      <c r="C2437" t="s">
        <v>8809</v>
      </c>
      <c r="E2437" t="s">
        <v>8226</v>
      </c>
      <c r="F2437" t="s">
        <v>8190</v>
      </c>
      <c r="G2437">
        <v>320.0</v>
      </c>
      <c r="H2437">
        <v>320.0</v>
      </c>
      <c r="I2437" t="s">
        <v>173</v>
      </c>
      <c r="J2437" t="s">
        <v>174</v>
      </c>
      <c r="K2437" t="s">
        <v>31</v>
      </c>
      <c r="L2437" t="s">
        <v>32</v>
      </c>
      <c r="M2437" t="s">
        <v>33</v>
      </c>
      <c r="P2437" s="1" t="s">
        <v>8810</v>
      </c>
      <c r="Q2437" s="1" t="s">
        <v>8226</v>
      </c>
      <c r="R2437" s="1" t="s">
        <v>8226</v>
      </c>
      <c r="S2437" s="1"/>
      <c r="T2437" s="1" t="s">
        <v>8809</v>
      </c>
      <c r="U2437" s="1"/>
      <c r="V2437" s="1">
        <v>320.0</v>
      </c>
      <c r="W2437" s="1">
        <v>320.0</v>
      </c>
      <c r="X2437" s="1" t="s">
        <v>35</v>
      </c>
      <c r="Y2437" s="1">
        <v>320000.0</v>
      </c>
      <c r="Z2437" s="1"/>
      <c r="AA2437" s="1">
        <v>320000.0</v>
      </c>
      <c r="AB2437" s="1"/>
      <c r="AC2437" s="1" t="s">
        <v>36</v>
      </c>
      <c r="AD2437" s="1" t="s">
        <v>8811</v>
      </c>
      <c r="AE2437" s="1" t="s">
        <v>32</v>
      </c>
      <c r="AF2437" s="1" t="s">
        <v>33</v>
      </c>
      <c r="AG2437" s="1" t="s">
        <v>174</v>
      </c>
    </row>
    <row r="2438" spans="1:33">
      <c r="A2438" t="s">
        <v>8812</v>
      </c>
      <c r="C2438" t="s">
        <v>1151</v>
      </c>
      <c r="E2438" t="s">
        <v>8226</v>
      </c>
      <c r="F2438" t="s">
        <v>8190</v>
      </c>
      <c r="G2438">
        <v>828.0</v>
      </c>
      <c r="H2438">
        <v>828.0</v>
      </c>
      <c r="I2438" t="s">
        <v>227</v>
      </c>
      <c r="J2438" t="s">
        <v>228</v>
      </c>
      <c r="K2438" t="s">
        <v>31</v>
      </c>
      <c r="L2438" t="s">
        <v>32</v>
      </c>
      <c r="M2438" t="s">
        <v>33</v>
      </c>
      <c r="P2438" s="1" t="s">
        <v>8813</v>
      </c>
      <c r="Q2438" s="1" t="s">
        <v>8226</v>
      </c>
      <c r="R2438" s="1" t="s">
        <v>8226</v>
      </c>
      <c r="S2438" s="1"/>
      <c r="T2438" s="1" t="s">
        <v>1151</v>
      </c>
      <c r="U2438" s="1"/>
      <c r="V2438" s="1">
        <v>828.0</v>
      </c>
      <c r="W2438" s="1">
        <v>828.0</v>
      </c>
      <c r="X2438" s="1" t="s">
        <v>35</v>
      </c>
      <c r="Y2438" s="1">
        <v>828000.0</v>
      </c>
      <c r="Z2438" s="1"/>
      <c r="AA2438" s="1">
        <v>828000.0</v>
      </c>
      <c r="AB2438" s="1"/>
      <c r="AC2438" s="1" t="s">
        <v>36</v>
      </c>
      <c r="AD2438" s="1" t="s">
        <v>8811</v>
      </c>
      <c r="AE2438" s="1" t="s">
        <v>32</v>
      </c>
      <c r="AF2438" s="1" t="s">
        <v>33</v>
      </c>
      <c r="AG2438" s="1" t="s">
        <v>228</v>
      </c>
    </row>
    <row r="2439" spans="1:33">
      <c r="A2439" t="s">
        <v>8814</v>
      </c>
      <c r="B2439" t="s">
        <v>8815</v>
      </c>
      <c r="C2439" t="s">
        <v>68</v>
      </c>
      <c r="E2439" t="s">
        <v>8226</v>
      </c>
      <c r="F2439" t="s">
        <v>8190</v>
      </c>
      <c r="G2439">
        <v>87.238</v>
      </c>
      <c r="H2439">
        <v>87.238</v>
      </c>
      <c r="I2439" t="s">
        <v>59</v>
      </c>
      <c r="J2439" t="s">
        <v>60</v>
      </c>
      <c r="K2439" t="s">
        <v>31</v>
      </c>
      <c r="L2439" t="s">
        <v>32</v>
      </c>
      <c r="M2439" t="s">
        <v>33</v>
      </c>
      <c r="P2439" s="1" t="s">
        <v>8816</v>
      </c>
      <c r="Q2439" s="1" t="s">
        <v>8226</v>
      </c>
      <c r="R2439" s="1" t="s">
        <v>8226</v>
      </c>
      <c r="S2439" s="1"/>
      <c r="T2439" s="1" t="s">
        <v>68</v>
      </c>
      <c r="U2439" s="1"/>
      <c r="V2439" s="1">
        <v>87.238</v>
      </c>
      <c r="W2439" s="1">
        <v>87.238</v>
      </c>
      <c r="X2439" s="1" t="s">
        <v>35</v>
      </c>
      <c r="Y2439" s="1">
        <v>87238.0</v>
      </c>
      <c r="Z2439" s="1"/>
      <c r="AA2439" s="1">
        <v>87238.0</v>
      </c>
      <c r="AB2439" s="1"/>
      <c r="AC2439" s="1" t="s">
        <v>36</v>
      </c>
      <c r="AD2439" s="1" t="s">
        <v>8817</v>
      </c>
      <c r="AE2439" s="1" t="s">
        <v>32</v>
      </c>
      <c r="AF2439" s="1" t="s">
        <v>33</v>
      </c>
      <c r="AG2439" s="1" t="s">
        <v>60</v>
      </c>
    </row>
    <row r="2440" spans="1:33">
      <c r="A2440" t="s">
        <v>8818</v>
      </c>
      <c r="B2440" t="s">
        <v>8796</v>
      </c>
      <c r="C2440" t="s">
        <v>125</v>
      </c>
      <c r="E2440" t="s">
        <v>8226</v>
      </c>
      <c r="F2440" t="s">
        <v>8190</v>
      </c>
      <c r="G2440">
        <v>2.7</v>
      </c>
      <c r="H2440">
        <v>2.7</v>
      </c>
      <c r="I2440" t="s">
        <v>126</v>
      </c>
      <c r="J2440" t="s">
        <v>127</v>
      </c>
      <c r="K2440" t="s">
        <v>31</v>
      </c>
      <c r="L2440" t="s">
        <v>32</v>
      </c>
      <c r="M2440" t="s">
        <v>33</v>
      </c>
      <c r="P2440" s="1" t="s">
        <v>8819</v>
      </c>
      <c r="Q2440" s="1" t="s">
        <v>8226</v>
      </c>
      <c r="R2440" s="1" t="s">
        <v>8226</v>
      </c>
      <c r="S2440" s="1"/>
      <c r="T2440" s="1" t="s">
        <v>125</v>
      </c>
      <c r="U2440" s="1"/>
      <c r="V2440" s="1">
        <v>2.7</v>
      </c>
      <c r="W2440" s="1">
        <v>2.7</v>
      </c>
      <c r="X2440" s="1" t="s">
        <v>35</v>
      </c>
      <c r="Y2440" s="1">
        <v>2700.0</v>
      </c>
      <c r="Z2440" s="1"/>
      <c r="AA2440" s="1">
        <v>2700.0</v>
      </c>
      <c r="AB2440" s="1"/>
      <c r="AC2440" s="1" t="s">
        <v>36</v>
      </c>
      <c r="AD2440" s="1" t="s">
        <v>8803</v>
      </c>
      <c r="AE2440" s="1" t="s">
        <v>32</v>
      </c>
      <c r="AF2440" s="1" t="s">
        <v>33</v>
      </c>
      <c r="AG2440" s="1" t="s">
        <v>127</v>
      </c>
    </row>
    <row r="2441" spans="1:33">
      <c r="A2441" t="s">
        <v>8820</v>
      </c>
      <c r="C2441" t="s">
        <v>6228</v>
      </c>
      <c r="E2441" t="s">
        <v>8226</v>
      </c>
      <c r="F2441" t="s">
        <v>8190</v>
      </c>
      <c r="G2441">
        <v>320.0</v>
      </c>
      <c r="H2441">
        <v>320.0</v>
      </c>
      <c r="I2441" t="s">
        <v>40</v>
      </c>
      <c r="J2441" t="s">
        <v>41</v>
      </c>
      <c r="K2441" t="s">
        <v>31</v>
      </c>
      <c r="L2441" t="s">
        <v>32</v>
      </c>
      <c r="M2441" t="s">
        <v>33</v>
      </c>
      <c r="P2441" s="1" t="s">
        <v>8821</v>
      </c>
      <c r="Q2441" s="1" t="s">
        <v>8226</v>
      </c>
      <c r="R2441" s="1" t="s">
        <v>7413</v>
      </c>
      <c r="S2441" s="1"/>
      <c r="T2441" s="1" t="s">
        <v>6228</v>
      </c>
      <c r="U2441" s="1"/>
      <c r="V2441" s="1">
        <v>320.0</v>
      </c>
      <c r="W2441" s="1">
        <v>320.0</v>
      </c>
      <c r="X2441" s="1" t="s">
        <v>35</v>
      </c>
      <c r="Y2441" s="1">
        <v>320000.0</v>
      </c>
      <c r="Z2441" s="1"/>
      <c r="AA2441" s="1">
        <v>320000.0</v>
      </c>
      <c r="AB2441" s="1"/>
      <c r="AC2441" s="1" t="s">
        <v>36</v>
      </c>
      <c r="AD2441" s="1" t="s">
        <v>8807</v>
      </c>
      <c r="AE2441" s="1" t="s">
        <v>32</v>
      </c>
      <c r="AF2441" s="1" t="s">
        <v>33</v>
      </c>
      <c r="AG2441" s="1" t="s">
        <v>41</v>
      </c>
    </row>
    <row r="2442" spans="1:33">
      <c r="A2442" t="s">
        <v>8822</v>
      </c>
      <c r="B2442" t="s">
        <v>8823</v>
      </c>
      <c r="C2442" t="s">
        <v>73</v>
      </c>
      <c r="E2442" t="s">
        <v>8226</v>
      </c>
      <c r="F2442" t="s">
        <v>8190</v>
      </c>
      <c r="G2442">
        <v>950.0</v>
      </c>
      <c r="H2442">
        <v>950.0</v>
      </c>
      <c r="I2442" t="s">
        <v>40</v>
      </c>
      <c r="J2442" t="s">
        <v>41</v>
      </c>
      <c r="K2442" t="s">
        <v>31</v>
      </c>
      <c r="L2442" t="s">
        <v>32</v>
      </c>
      <c r="M2442" t="s">
        <v>33</v>
      </c>
      <c r="P2442" s="1" t="s">
        <v>8824</v>
      </c>
      <c r="Q2442" s="1" t="s">
        <v>8226</v>
      </c>
      <c r="R2442" s="1" t="s">
        <v>7413</v>
      </c>
      <c r="S2442" s="1"/>
      <c r="T2442" s="1" t="s">
        <v>75</v>
      </c>
      <c r="U2442" s="1" t="s">
        <v>76</v>
      </c>
      <c r="V2442" s="1">
        <v>950.0</v>
      </c>
      <c r="W2442" s="1">
        <v>950.0</v>
      </c>
      <c r="X2442" s="1" t="s">
        <v>35</v>
      </c>
      <c r="Y2442" s="1">
        <v>950.0</v>
      </c>
      <c r="Z2442" s="1"/>
      <c r="AA2442" s="1">
        <v>950.0</v>
      </c>
      <c r="AB2442" s="1"/>
      <c r="AC2442" s="1" t="s">
        <v>36</v>
      </c>
      <c r="AD2442" s="1" t="s">
        <v>8825</v>
      </c>
      <c r="AE2442" s="1" t="s">
        <v>32</v>
      </c>
      <c r="AF2442" s="1" t="s">
        <v>33</v>
      </c>
      <c r="AG2442" s="1" t="s">
        <v>41</v>
      </c>
    </row>
    <row r="2443" spans="1:33">
      <c r="A2443" t="s">
        <v>8826</v>
      </c>
      <c r="B2443" t="s">
        <v>1924</v>
      </c>
      <c r="C2443" t="s">
        <v>268</v>
      </c>
      <c r="E2443" t="s">
        <v>8226</v>
      </c>
      <c r="F2443" t="s">
        <v>8190</v>
      </c>
      <c r="G2443">
        <v>33.8</v>
      </c>
      <c r="H2443">
        <v>33.8</v>
      </c>
      <c r="I2443" t="s">
        <v>269</v>
      </c>
      <c r="J2443" t="s">
        <v>270</v>
      </c>
      <c r="K2443" t="s">
        <v>31</v>
      </c>
      <c r="L2443" t="s">
        <v>32</v>
      </c>
      <c r="M2443" t="s">
        <v>33</v>
      </c>
      <c r="P2443" s="1" t="s">
        <v>8827</v>
      </c>
      <c r="Q2443" s="1" t="s">
        <v>8226</v>
      </c>
      <c r="R2443" s="1" t="s">
        <v>8226</v>
      </c>
      <c r="S2443" s="1"/>
      <c r="T2443" s="1" t="s">
        <v>268</v>
      </c>
      <c r="U2443" s="1"/>
      <c r="V2443" s="1">
        <v>33.8</v>
      </c>
      <c r="W2443" s="1">
        <v>33.8</v>
      </c>
      <c r="X2443" s="1" t="s">
        <v>35</v>
      </c>
      <c r="Y2443" s="1">
        <v>33800.0</v>
      </c>
      <c r="Z2443" s="1"/>
      <c r="AA2443" s="1">
        <v>33800.0</v>
      </c>
      <c r="AB2443" s="1"/>
      <c r="AC2443" s="1" t="s">
        <v>36</v>
      </c>
      <c r="AD2443" s="1" t="s">
        <v>8828</v>
      </c>
      <c r="AE2443" s="1" t="s">
        <v>32</v>
      </c>
      <c r="AF2443" s="1" t="s">
        <v>33</v>
      </c>
      <c r="AG2443" s="1" t="s">
        <v>270</v>
      </c>
    </row>
    <row r="2444" spans="1:33">
      <c r="A2444" t="s">
        <v>8829</v>
      </c>
      <c r="B2444" t="s">
        <v>8830</v>
      </c>
      <c r="C2444" t="s">
        <v>135</v>
      </c>
      <c r="E2444" t="s">
        <v>8226</v>
      </c>
      <c r="F2444" t="s">
        <v>8190</v>
      </c>
      <c r="G2444">
        <v>105.15</v>
      </c>
      <c r="H2444">
        <v>105.15</v>
      </c>
      <c r="I2444" t="s">
        <v>136</v>
      </c>
      <c r="J2444" t="s">
        <v>137</v>
      </c>
      <c r="K2444" t="s">
        <v>31</v>
      </c>
      <c r="L2444" t="s">
        <v>32</v>
      </c>
      <c r="M2444" t="s">
        <v>33</v>
      </c>
      <c r="P2444" s="1" t="s">
        <v>8831</v>
      </c>
      <c r="Q2444" s="1" t="s">
        <v>8226</v>
      </c>
      <c r="R2444" s="1" t="s">
        <v>8226</v>
      </c>
      <c r="S2444" s="1"/>
      <c r="T2444" s="1" t="s">
        <v>135</v>
      </c>
      <c r="U2444" s="1"/>
      <c r="V2444" s="1">
        <v>105.15</v>
      </c>
      <c r="W2444" s="1">
        <v>105.15</v>
      </c>
      <c r="X2444" s="1" t="s">
        <v>35</v>
      </c>
      <c r="Y2444" s="1">
        <v>105150.0</v>
      </c>
      <c r="Z2444" s="1"/>
      <c r="AA2444" s="1">
        <v>105150.0</v>
      </c>
      <c r="AB2444" s="1"/>
      <c r="AC2444" s="1" t="s">
        <v>36</v>
      </c>
      <c r="AD2444" s="1" t="s">
        <v>8832</v>
      </c>
      <c r="AE2444" s="1" t="s">
        <v>32</v>
      </c>
      <c r="AF2444" s="1" t="s">
        <v>33</v>
      </c>
      <c r="AG2444" s="1" t="s">
        <v>137</v>
      </c>
    </row>
    <row r="2445" spans="1:33">
      <c r="A2445" t="s">
        <v>8833</v>
      </c>
      <c r="B2445" t="s">
        <v>2168</v>
      </c>
      <c r="C2445" t="s">
        <v>314</v>
      </c>
      <c r="E2445" t="s">
        <v>8226</v>
      </c>
      <c r="F2445" t="s">
        <v>8190</v>
      </c>
      <c r="G2445">
        <v>168.7</v>
      </c>
      <c r="H2445">
        <v>168.7</v>
      </c>
      <c r="I2445" t="s">
        <v>179</v>
      </c>
      <c r="J2445" t="s">
        <v>180</v>
      </c>
      <c r="K2445" t="s">
        <v>31</v>
      </c>
      <c r="L2445" t="s">
        <v>32</v>
      </c>
      <c r="M2445" t="s">
        <v>33</v>
      </c>
      <c r="P2445" s="1" t="s">
        <v>8834</v>
      </c>
      <c r="Q2445" s="1" t="s">
        <v>8226</v>
      </c>
      <c r="R2445" s="1" t="s">
        <v>8226</v>
      </c>
      <c r="S2445" s="1"/>
      <c r="T2445" s="1" t="s">
        <v>314</v>
      </c>
      <c r="U2445" s="1"/>
      <c r="V2445" s="1">
        <v>168.7</v>
      </c>
      <c r="W2445" s="1">
        <v>168.7</v>
      </c>
      <c r="X2445" s="1" t="s">
        <v>35</v>
      </c>
      <c r="Y2445" s="1">
        <v>168700.0</v>
      </c>
      <c r="Z2445" s="1"/>
      <c r="AA2445" s="1">
        <v>168700.0</v>
      </c>
      <c r="AB2445" s="1"/>
      <c r="AC2445" s="1" t="s">
        <v>36</v>
      </c>
      <c r="AD2445" s="1" t="s">
        <v>8825</v>
      </c>
      <c r="AE2445" s="1" t="s">
        <v>32</v>
      </c>
      <c r="AF2445" s="1" t="s">
        <v>33</v>
      </c>
      <c r="AG2445" s="1" t="s">
        <v>180</v>
      </c>
    </row>
    <row r="2446" spans="1:33">
      <c r="A2446" t="s">
        <v>8835</v>
      </c>
      <c r="C2446" t="s">
        <v>8836</v>
      </c>
      <c r="E2446" t="s">
        <v>8226</v>
      </c>
      <c r="F2446" t="s">
        <v>8190</v>
      </c>
      <c r="G2446">
        <v>480.0</v>
      </c>
      <c r="H2446">
        <v>480.0</v>
      </c>
      <c r="I2446" t="s">
        <v>126</v>
      </c>
      <c r="J2446" t="s">
        <v>127</v>
      </c>
      <c r="K2446" t="s">
        <v>31</v>
      </c>
      <c r="L2446" t="s">
        <v>32</v>
      </c>
      <c r="M2446" t="s">
        <v>33</v>
      </c>
      <c r="P2446" s="1" t="s">
        <v>8837</v>
      </c>
      <c r="Q2446" s="1" t="s">
        <v>8226</v>
      </c>
      <c r="R2446" s="1" t="s">
        <v>8226</v>
      </c>
      <c r="S2446" s="1"/>
      <c r="T2446" s="1" t="s">
        <v>8836</v>
      </c>
      <c r="U2446" s="1"/>
      <c r="V2446" s="1">
        <v>480.0</v>
      </c>
      <c r="W2446" s="1">
        <v>480.0</v>
      </c>
      <c r="X2446" s="1" t="s">
        <v>35</v>
      </c>
      <c r="Y2446" s="1">
        <v>480000.0</v>
      </c>
      <c r="Z2446" s="1"/>
      <c r="AA2446" s="1">
        <v>480000.0</v>
      </c>
      <c r="AB2446" s="1"/>
      <c r="AC2446" s="1" t="s">
        <v>36</v>
      </c>
      <c r="AD2446" s="1" t="s">
        <v>8838</v>
      </c>
      <c r="AE2446" s="1" t="s">
        <v>32</v>
      </c>
      <c r="AF2446" s="1" t="s">
        <v>33</v>
      </c>
      <c r="AG2446" s="1" t="s">
        <v>127</v>
      </c>
    </row>
    <row r="2447" spans="1:33">
      <c r="A2447" t="s">
        <v>8839</v>
      </c>
      <c r="B2447" t="s">
        <v>215</v>
      </c>
      <c r="C2447" t="s">
        <v>125</v>
      </c>
      <c r="E2447" t="s">
        <v>8226</v>
      </c>
      <c r="F2447" t="s">
        <v>8190</v>
      </c>
      <c r="G2447">
        <v>53.48</v>
      </c>
      <c r="H2447">
        <v>53.48</v>
      </c>
      <c r="I2447" t="s">
        <v>126</v>
      </c>
      <c r="J2447" t="s">
        <v>127</v>
      </c>
      <c r="K2447" t="s">
        <v>31</v>
      </c>
      <c r="L2447" t="s">
        <v>32</v>
      </c>
      <c r="M2447" t="s">
        <v>33</v>
      </c>
      <c r="P2447" s="1" t="s">
        <v>8840</v>
      </c>
      <c r="Q2447" s="1" t="s">
        <v>8226</v>
      </c>
      <c r="R2447" s="1" t="s">
        <v>8226</v>
      </c>
      <c r="S2447" s="1"/>
      <c r="T2447" s="1" t="s">
        <v>125</v>
      </c>
      <c r="U2447" s="1"/>
      <c r="V2447" s="1">
        <v>53.48</v>
      </c>
      <c r="W2447" s="1">
        <v>53.48</v>
      </c>
      <c r="X2447" s="1" t="s">
        <v>35</v>
      </c>
      <c r="Y2447" s="1">
        <v>53480.0</v>
      </c>
      <c r="Z2447" s="1"/>
      <c r="AA2447" s="1">
        <v>53480.0</v>
      </c>
      <c r="AB2447" s="1"/>
      <c r="AC2447" s="1" t="s">
        <v>36</v>
      </c>
      <c r="AD2447" s="1" t="s">
        <v>8832</v>
      </c>
      <c r="AE2447" s="1" t="s">
        <v>32</v>
      </c>
      <c r="AF2447" s="1" t="s">
        <v>33</v>
      </c>
      <c r="AG2447" s="1" t="s">
        <v>127</v>
      </c>
    </row>
    <row r="2448" spans="1:33">
      <c r="A2448" t="s">
        <v>8841</v>
      </c>
      <c r="C2448" t="s">
        <v>190</v>
      </c>
      <c r="D2448" t="s">
        <v>154</v>
      </c>
      <c r="E2448" t="s">
        <v>8226</v>
      </c>
      <c r="F2448" t="s">
        <v>8190</v>
      </c>
      <c r="G2448">
        <v>1.747</v>
      </c>
      <c r="H2448">
        <v>1.747</v>
      </c>
      <c r="I2448" t="s">
        <v>2206</v>
      </c>
      <c r="J2448" t="s">
        <v>49</v>
      </c>
      <c r="K2448" t="s">
        <v>31</v>
      </c>
      <c r="L2448" t="s">
        <v>32</v>
      </c>
      <c r="M2448" t="s">
        <v>33</v>
      </c>
      <c r="P2448" s="1" t="s">
        <v>8842</v>
      </c>
      <c r="Q2448" s="1" t="s">
        <v>8226</v>
      </c>
      <c r="R2448" s="1" t="s">
        <v>8226</v>
      </c>
      <c r="S2448" s="1"/>
      <c r="T2448" s="1" t="s">
        <v>190</v>
      </c>
      <c r="U2448" s="1"/>
      <c r="V2448" s="1">
        <v>1.747</v>
      </c>
      <c r="W2448" s="1">
        <v>1.747</v>
      </c>
      <c r="X2448" s="1" t="s">
        <v>35</v>
      </c>
      <c r="Y2448" s="1">
        <v>1747750.0</v>
      </c>
      <c r="Z2448" s="1"/>
      <c r="AA2448" s="1">
        <v>1747750.0</v>
      </c>
      <c r="AB2448" s="1"/>
      <c r="AC2448" s="1" t="s">
        <v>36</v>
      </c>
      <c r="AD2448" s="1" t="s">
        <v>8843</v>
      </c>
      <c r="AE2448" s="1" t="s">
        <v>32</v>
      </c>
      <c r="AF2448" s="1" t="s">
        <v>33</v>
      </c>
      <c r="AG2448" s="1" t="s">
        <v>49</v>
      </c>
    </row>
    <row r="2449" spans="1:33">
      <c r="A2449" t="s">
        <v>8844</v>
      </c>
      <c r="B2449" t="s">
        <v>8845</v>
      </c>
      <c r="C2449" t="s">
        <v>47</v>
      </c>
      <c r="E2449" t="s">
        <v>8226</v>
      </c>
      <c r="F2449" t="s">
        <v>8190</v>
      </c>
      <c r="G2449">
        <v>53.37</v>
      </c>
      <c r="H2449">
        <v>53.37</v>
      </c>
      <c r="I2449" t="s">
        <v>2206</v>
      </c>
      <c r="J2449" t="s">
        <v>49</v>
      </c>
      <c r="K2449" t="s">
        <v>31</v>
      </c>
      <c r="L2449" t="s">
        <v>32</v>
      </c>
      <c r="M2449" t="s">
        <v>33</v>
      </c>
      <c r="P2449" s="1" t="s">
        <v>8846</v>
      </c>
      <c r="Q2449" s="1" t="s">
        <v>8226</v>
      </c>
      <c r="R2449" s="1" t="s">
        <v>8226</v>
      </c>
      <c r="S2449" s="1"/>
      <c r="T2449" s="1" t="s">
        <v>47</v>
      </c>
      <c r="U2449" s="1"/>
      <c r="V2449" s="1">
        <v>53.37</v>
      </c>
      <c r="W2449" s="1">
        <v>53.37</v>
      </c>
      <c r="X2449" s="1" t="s">
        <v>35</v>
      </c>
      <c r="Y2449" s="1">
        <v>53370.0</v>
      </c>
      <c r="Z2449" s="1"/>
      <c r="AA2449" s="1">
        <v>53370.0</v>
      </c>
      <c r="AB2449" s="1"/>
      <c r="AC2449" s="1" t="s">
        <v>36</v>
      </c>
      <c r="AD2449" s="1" t="s">
        <v>8847</v>
      </c>
      <c r="AE2449" s="1" t="s">
        <v>32</v>
      </c>
      <c r="AF2449" s="1" t="s">
        <v>33</v>
      </c>
      <c r="AG2449" s="1" t="s">
        <v>49</v>
      </c>
    </row>
    <row r="2450" spans="1:33">
      <c r="A2450" t="s">
        <v>8848</v>
      </c>
      <c r="B2450" t="s">
        <v>8849</v>
      </c>
      <c r="C2450" t="s">
        <v>314</v>
      </c>
      <c r="E2450" t="s">
        <v>8226</v>
      </c>
      <c r="F2450" t="s">
        <v>8190</v>
      </c>
      <c r="G2450">
        <v>40.99</v>
      </c>
      <c r="H2450">
        <v>40.99</v>
      </c>
      <c r="I2450" t="s">
        <v>179</v>
      </c>
      <c r="J2450" t="s">
        <v>180</v>
      </c>
      <c r="K2450" t="s">
        <v>31</v>
      </c>
      <c r="L2450" t="s">
        <v>32</v>
      </c>
      <c r="M2450" t="s">
        <v>33</v>
      </c>
      <c r="P2450" s="1" t="s">
        <v>8850</v>
      </c>
      <c r="Q2450" s="1" t="s">
        <v>8226</v>
      </c>
      <c r="R2450" s="1" t="s">
        <v>8226</v>
      </c>
      <c r="S2450" s="1"/>
      <c r="T2450" s="1" t="s">
        <v>314</v>
      </c>
      <c r="U2450" s="1"/>
      <c r="V2450" s="1">
        <v>40.99</v>
      </c>
      <c r="W2450" s="1">
        <v>40.99</v>
      </c>
      <c r="X2450" s="1" t="s">
        <v>35</v>
      </c>
      <c r="Y2450" s="1">
        <v>40990.0</v>
      </c>
      <c r="Z2450" s="1"/>
      <c r="AA2450" s="1">
        <v>40990.0</v>
      </c>
      <c r="AB2450" s="1"/>
      <c r="AC2450" s="1" t="s">
        <v>36</v>
      </c>
      <c r="AD2450" s="1" t="s">
        <v>8851</v>
      </c>
      <c r="AE2450" s="1" t="s">
        <v>32</v>
      </c>
      <c r="AF2450" s="1" t="s">
        <v>33</v>
      </c>
      <c r="AG2450" s="1" t="s">
        <v>180</v>
      </c>
    </row>
    <row r="2451" spans="1:33">
      <c r="A2451" t="s">
        <v>8852</v>
      </c>
      <c r="B2451" t="s">
        <v>8853</v>
      </c>
      <c r="C2451" t="s">
        <v>314</v>
      </c>
      <c r="E2451" t="s">
        <v>8226</v>
      </c>
      <c r="F2451" t="s">
        <v>8190</v>
      </c>
      <c r="G2451">
        <v>25.738</v>
      </c>
      <c r="H2451">
        <v>25.738</v>
      </c>
      <c r="I2451" t="s">
        <v>179</v>
      </c>
      <c r="J2451" t="s">
        <v>180</v>
      </c>
      <c r="K2451" t="s">
        <v>31</v>
      </c>
      <c r="L2451" t="s">
        <v>32</v>
      </c>
      <c r="M2451" t="s">
        <v>33</v>
      </c>
      <c r="P2451" s="1" t="s">
        <v>8854</v>
      </c>
      <c r="Q2451" s="1" t="s">
        <v>8226</v>
      </c>
      <c r="R2451" s="1" t="s">
        <v>8226</v>
      </c>
      <c r="S2451" s="1"/>
      <c r="T2451" s="1" t="s">
        <v>314</v>
      </c>
      <c r="U2451" s="1"/>
      <c r="V2451" s="1">
        <v>25.738</v>
      </c>
      <c r="W2451" s="1">
        <v>25.738</v>
      </c>
      <c r="X2451" s="1" t="s">
        <v>35</v>
      </c>
      <c r="Y2451" s="1">
        <v>25738.0</v>
      </c>
      <c r="Z2451" s="1"/>
      <c r="AA2451" s="1">
        <v>25738.0</v>
      </c>
      <c r="AB2451" s="1"/>
      <c r="AC2451" s="1" t="s">
        <v>36</v>
      </c>
      <c r="AD2451" s="1" t="s">
        <v>8855</v>
      </c>
      <c r="AE2451" s="1" t="s">
        <v>32</v>
      </c>
      <c r="AF2451" s="1" t="s">
        <v>33</v>
      </c>
      <c r="AG2451" s="1" t="s">
        <v>180</v>
      </c>
    </row>
    <row r="2452" spans="1:33">
      <c r="A2452" t="s">
        <v>8856</v>
      </c>
      <c r="C2452" t="s">
        <v>1261</v>
      </c>
      <c r="E2452" t="s">
        <v>8226</v>
      </c>
      <c r="F2452" t="s">
        <v>8190</v>
      </c>
      <c r="G2452">
        <v>375.5</v>
      </c>
      <c r="H2452">
        <v>375.5</v>
      </c>
      <c r="I2452" t="s">
        <v>2206</v>
      </c>
      <c r="J2452" t="s">
        <v>49</v>
      </c>
      <c r="K2452" t="s">
        <v>31</v>
      </c>
      <c r="L2452" t="s">
        <v>32</v>
      </c>
      <c r="M2452" t="s">
        <v>33</v>
      </c>
      <c r="P2452" s="1" t="s">
        <v>8857</v>
      </c>
      <c r="Q2452" s="1" t="s">
        <v>8226</v>
      </c>
      <c r="R2452" s="1" t="s">
        <v>8226</v>
      </c>
      <c r="S2452" s="1"/>
      <c r="T2452" s="1" t="s">
        <v>1261</v>
      </c>
      <c r="U2452" s="1"/>
      <c r="V2452" s="1">
        <v>375.5</v>
      </c>
      <c r="W2452" s="1">
        <v>375.5</v>
      </c>
      <c r="X2452" s="1" t="s">
        <v>35</v>
      </c>
      <c r="Y2452" s="1">
        <v>375500.0</v>
      </c>
      <c r="Z2452" s="1"/>
      <c r="AA2452" s="1">
        <v>375500.0</v>
      </c>
      <c r="AB2452" s="1"/>
      <c r="AC2452" s="1" t="s">
        <v>36</v>
      </c>
      <c r="AD2452" s="1" t="s">
        <v>8858</v>
      </c>
      <c r="AE2452" s="1" t="s">
        <v>32</v>
      </c>
      <c r="AF2452" s="1" t="s">
        <v>33</v>
      </c>
      <c r="AG2452" s="1" t="s">
        <v>49</v>
      </c>
    </row>
    <row r="2453" spans="1:33">
      <c r="A2453" t="s">
        <v>8859</v>
      </c>
      <c r="C2453" t="s">
        <v>3663</v>
      </c>
      <c r="E2453" t="s">
        <v>8226</v>
      </c>
      <c r="F2453" t="s">
        <v>8190</v>
      </c>
      <c r="G2453">
        <v>5.573</v>
      </c>
      <c r="H2453">
        <v>5.573</v>
      </c>
      <c r="I2453" t="s">
        <v>269</v>
      </c>
      <c r="J2453" t="s">
        <v>270</v>
      </c>
      <c r="K2453" t="s">
        <v>31</v>
      </c>
      <c r="L2453" t="s">
        <v>32</v>
      </c>
      <c r="M2453" t="s">
        <v>33</v>
      </c>
      <c r="P2453" s="1" t="s">
        <v>8860</v>
      </c>
      <c r="Q2453" s="1" t="s">
        <v>8226</v>
      </c>
      <c r="R2453" s="1" t="s">
        <v>8226</v>
      </c>
      <c r="S2453" s="1"/>
      <c r="T2453" s="1" t="s">
        <v>3663</v>
      </c>
      <c r="U2453" s="1"/>
      <c r="V2453" s="1">
        <v>5.573</v>
      </c>
      <c r="W2453" s="1">
        <v>5.573</v>
      </c>
      <c r="X2453" s="1" t="s">
        <v>35</v>
      </c>
      <c r="Y2453" s="1">
        <v>5573000.0</v>
      </c>
      <c r="Z2453" s="1"/>
      <c r="AA2453" s="1">
        <v>5573000.0</v>
      </c>
      <c r="AB2453" s="1"/>
      <c r="AC2453" s="1" t="s">
        <v>36</v>
      </c>
      <c r="AD2453" s="1" t="s">
        <v>8861</v>
      </c>
      <c r="AE2453" s="1" t="s">
        <v>32</v>
      </c>
      <c r="AF2453" s="1" t="s">
        <v>33</v>
      </c>
      <c r="AG2453" s="1" t="s">
        <v>270</v>
      </c>
    </row>
    <row r="2454" spans="1:33">
      <c r="A2454" t="s">
        <v>8862</v>
      </c>
      <c r="B2454" t="s">
        <v>8863</v>
      </c>
      <c r="C2454" t="s">
        <v>73</v>
      </c>
      <c r="E2454" t="s">
        <v>8226</v>
      </c>
      <c r="F2454" t="s">
        <v>8190</v>
      </c>
      <c r="G2454">
        <v>6.498</v>
      </c>
      <c r="H2454">
        <v>6.498</v>
      </c>
      <c r="I2454" t="s">
        <v>40</v>
      </c>
      <c r="J2454" t="s">
        <v>41</v>
      </c>
      <c r="K2454" t="s">
        <v>31</v>
      </c>
      <c r="L2454" t="s">
        <v>32</v>
      </c>
      <c r="M2454" t="s">
        <v>33</v>
      </c>
      <c r="P2454" s="1" t="s">
        <v>8864</v>
      </c>
      <c r="Q2454" s="1" t="s">
        <v>8226</v>
      </c>
      <c r="R2454" s="1" t="s">
        <v>7413</v>
      </c>
      <c r="S2454" s="1"/>
      <c r="T2454" s="1" t="s">
        <v>75</v>
      </c>
      <c r="U2454" s="1" t="s">
        <v>76</v>
      </c>
      <c r="V2454" s="1">
        <v>6.498</v>
      </c>
      <c r="W2454" s="1">
        <v>6.498</v>
      </c>
      <c r="X2454" s="1" t="s">
        <v>35</v>
      </c>
      <c r="Y2454" s="1">
        <v>6500.0</v>
      </c>
      <c r="Z2454" s="1">
        <v>-2</v>
      </c>
      <c r="AA2454" s="1">
        <v>6500.0</v>
      </c>
      <c r="AB2454" s="1">
        <v>-2</v>
      </c>
      <c r="AC2454" s="1" t="s">
        <v>36</v>
      </c>
      <c r="AD2454" s="1" t="s">
        <v>8843</v>
      </c>
      <c r="AE2454" s="1" t="s">
        <v>32</v>
      </c>
      <c r="AF2454" s="1" t="s">
        <v>33</v>
      </c>
      <c r="AG2454" s="1" t="s">
        <v>41</v>
      </c>
    </row>
    <row r="2455" spans="1:33">
      <c r="A2455" t="s">
        <v>8865</v>
      </c>
      <c r="B2455" t="s">
        <v>8866</v>
      </c>
      <c r="C2455" t="s">
        <v>8867</v>
      </c>
      <c r="E2455" t="s">
        <v>8226</v>
      </c>
      <c r="F2455" t="s">
        <v>8190</v>
      </c>
      <c r="G2455">
        <v>820.0</v>
      </c>
      <c r="H2455">
        <v>820.0</v>
      </c>
      <c r="I2455" t="s">
        <v>40</v>
      </c>
      <c r="J2455" t="s">
        <v>41</v>
      </c>
      <c r="K2455" t="s">
        <v>31</v>
      </c>
      <c r="L2455" t="s">
        <v>32</v>
      </c>
      <c r="M2455" t="s">
        <v>33</v>
      </c>
      <c r="P2455" s="1" t="s">
        <v>8868</v>
      </c>
      <c r="Q2455" s="1" t="s">
        <v>8226</v>
      </c>
      <c r="R2455" s="1" t="s">
        <v>7413</v>
      </c>
      <c r="S2455" s="1"/>
      <c r="T2455" s="1" t="s">
        <v>8867</v>
      </c>
      <c r="U2455" s="1"/>
      <c r="V2455" s="1">
        <v>820.0</v>
      </c>
      <c r="W2455" s="1">
        <v>820.0</v>
      </c>
      <c r="X2455" s="1" t="s">
        <v>35</v>
      </c>
      <c r="Y2455" s="1">
        <v>820000.0</v>
      </c>
      <c r="Z2455" s="1"/>
      <c r="AA2455" s="1">
        <v>820000.0</v>
      </c>
      <c r="AB2455" s="1"/>
      <c r="AC2455" s="1" t="s">
        <v>36</v>
      </c>
      <c r="AD2455" s="1" t="s">
        <v>8869</v>
      </c>
      <c r="AE2455" s="1" t="s">
        <v>32</v>
      </c>
      <c r="AF2455" s="1" t="s">
        <v>33</v>
      </c>
      <c r="AG2455" s="1" t="s">
        <v>41</v>
      </c>
    </row>
    <row r="2456" spans="1:33">
      <c r="A2456" t="s">
        <v>8870</v>
      </c>
      <c r="C2456" t="s">
        <v>8871</v>
      </c>
      <c r="D2456" t="s">
        <v>154</v>
      </c>
      <c r="E2456" t="s">
        <v>8226</v>
      </c>
      <c r="F2456" t="s">
        <v>8190</v>
      </c>
      <c r="G2456">
        <v>477.5</v>
      </c>
      <c r="H2456">
        <v>477.5</v>
      </c>
      <c r="I2456" t="s">
        <v>126</v>
      </c>
      <c r="J2456" t="s">
        <v>127</v>
      </c>
      <c r="K2456" t="s">
        <v>31</v>
      </c>
      <c r="L2456" t="s">
        <v>32</v>
      </c>
      <c r="M2456" t="s">
        <v>33</v>
      </c>
      <c r="P2456" s="1" t="s">
        <v>8872</v>
      </c>
      <c r="Q2456" s="1" t="s">
        <v>8226</v>
      </c>
      <c r="R2456" s="1" t="s">
        <v>8226</v>
      </c>
      <c r="S2456" s="1"/>
      <c r="T2456" s="1" t="s">
        <v>8871</v>
      </c>
      <c r="U2456" s="1"/>
      <c r="V2456" s="1">
        <v>477.5</v>
      </c>
      <c r="W2456" s="1">
        <v>477.5</v>
      </c>
      <c r="X2456" s="1" t="s">
        <v>35</v>
      </c>
      <c r="Y2456" s="1">
        <v>477500.0</v>
      </c>
      <c r="Z2456" s="1"/>
      <c r="AA2456" s="1">
        <v>477500.0</v>
      </c>
      <c r="AB2456" s="1"/>
      <c r="AC2456" s="1" t="s">
        <v>36</v>
      </c>
      <c r="AD2456" s="1" t="s">
        <v>8873</v>
      </c>
      <c r="AE2456" s="1" t="s">
        <v>32</v>
      </c>
      <c r="AF2456" s="1" t="s">
        <v>33</v>
      </c>
      <c r="AG2456" s="1" t="s">
        <v>127</v>
      </c>
    </row>
    <row r="2457" spans="1:33">
      <c r="A2457" t="s">
        <v>8874</v>
      </c>
      <c r="C2457" t="s">
        <v>226</v>
      </c>
      <c r="E2457" t="s">
        <v>8226</v>
      </c>
      <c r="F2457" t="s">
        <v>8190</v>
      </c>
      <c r="G2457">
        <v>1.201</v>
      </c>
      <c r="H2457">
        <v>1.201</v>
      </c>
      <c r="I2457" t="s">
        <v>227</v>
      </c>
      <c r="J2457" t="s">
        <v>228</v>
      </c>
      <c r="K2457" t="s">
        <v>31</v>
      </c>
      <c r="L2457" t="s">
        <v>32</v>
      </c>
      <c r="M2457" t="s">
        <v>33</v>
      </c>
      <c r="P2457" s="1" t="s">
        <v>8875</v>
      </c>
      <c r="Q2457" s="1" t="s">
        <v>8226</v>
      </c>
      <c r="R2457" s="1" t="s">
        <v>8226</v>
      </c>
      <c r="S2457" s="1"/>
      <c r="T2457" s="1" t="s">
        <v>226</v>
      </c>
      <c r="U2457" s="1"/>
      <c r="V2457" s="1">
        <v>1.201</v>
      </c>
      <c r="W2457" s="1">
        <v>1.201</v>
      </c>
      <c r="X2457" s="1" t="s">
        <v>35</v>
      </c>
      <c r="Y2457" s="1">
        <v>1201000.0</v>
      </c>
      <c r="Z2457" s="1"/>
      <c r="AA2457" s="1">
        <v>1201000.0</v>
      </c>
      <c r="AB2457" s="1"/>
      <c r="AC2457" s="1" t="s">
        <v>36</v>
      </c>
      <c r="AD2457" s="1" t="s">
        <v>8876</v>
      </c>
      <c r="AE2457" s="1" t="s">
        <v>32</v>
      </c>
      <c r="AF2457" s="1" t="s">
        <v>33</v>
      </c>
      <c r="AG2457" s="1" t="s">
        <v>228</v>
      </c>
    </row>
    <row r="2458" spans="1:33">
      <c r="A2458" t="s">
        <v>8877</v>
      </c>
      <c r="C2458" t="s">
        <v>2887</v>
      </c>
      <c r="D2458" t="s">
        <v>154</v>
      </c>
      <c r="E2458" t="s">
        <v>8226</v>
      </c>
      <c r="F2458" t="s">
        <v>8190</v>
      </c>
      <c r="G2458">
        <v>1.295</v>
      </c>
      <c r="H2458">
        <v>1.295</v>
      </c>
      <c r="I2458" t="s">
        <v>570</v>
      </c>
      <c r="J2458" t="s">
        <v>571</v>
      </c>
      <c r="K2458" t="s">
        <v>31</v>
      </c>
      <c r="L2458" t="s">
        <v>32</v>
      </c>
      <c r="M2458" t="s">
        <v>33</v>
      </c>
      <c r="P2458" s="1" t="s">
        <v>8878</v>
      </c>
      <c r="Q2458" s="1" t="s">
        <v>8226</v>
      </c>
      <c r="R2458" s="1" t="s">
        <v>8226</v>
      </c>
      <c r="S2458" s="1"/>
      <c r="T2458" s="1" t="s">
        <v>2889</v>
      </c>
      <c r="U2458" s="1" t="s">
        <v>2890</v>
      </c>
      <c r="V2458" s="1">
        <v>1.295</v>
      </c>
      <c r="W2458" s="1">
        <v>1.295</v>
      </c>
      <c r="X2458" s="1" t="s">
        <v>35</v>
      </c>
      <c r="Y2458" s="1">
        <v>1295000.0</v>
      </c>
      <c r="Z2458" s="1"/>
      <c r="AA2458" s="1">
        <v>1295000.0</v>
      </c>
      <c r="AB2458" s="1"/>
      <c r="AC2458" s="1" t="s">
        <v>36</v>
      </c>
      <c r="AD2458" s="1" t="s">
        <v>8879</v>
      </c>
      <c r="AE2458" s="1" t="s">
        <v>32</v>
      </c>
      <c r="AF2458" s="1" t="s">
        <v>33</v>
      </c>
      <c r="AG2458" s="1" t="s">
        <v>571</v>
      </c>
    </row>
    <row r="2459" spans="1:33">
      <c r="A2459" t="s">
        <v>8880</v>
      </c>
      <c r="B2459" t="s">
        <v>8881</v>
      </c>
      <c r="C2459" t="s">
        <v>47</v>
      </c>
      <c r="E2459" t="s">
        <v>8226</v>
      </c>
      <c r="F2459" t="s">
        <v>8190</v>
      </c>
      <c r="G2459">
        <v>9.0</v>
      </c>
      <c r="H2459">
        <v>9.0</v>
      </c>
      <c r="I2459" t="s">
        <v>2206</v>
      </c>
      <c r="J2459" t="s">
        <v>49</v>
      </c>
      <c r="K2459" t="s">
        <v>31</v>
      </c>
      <c r="L2459" t="s">
        <v>32</v>
      </c>
      <c r="M2459" t="s">
        <v>33</v>
      </c>
      <c r="P2459" s="1" t="s">
        <v>8882</v>
      </c>
      <c r="Q2459" s="1" t="s">
        <v>8226</v>
      </c>
      <c r="R2459" s="1" t="s">
        <v>8226</v>
      </c>
      <c r="S2459" s="1"/>
      <c r="T2459" s="1" t="s">
        <v>47</v>
      </c>
      <c r="U2459" s="1"/>
      <c r="V2459" s="1">
        <v>9.0</v>
      </c>
      <c r="W2459" s="1">
        <v>9.0</v>
      </c>
      <c r="X2459" s="1" t="s">
        <v>35</v>
      </c>
      <c r="Y2459" s="1">
        <v>9000.0</v>
      </c>
      <c r="Z2459" s="1"/>
      <c r="AA2459" s="1">
        <v>9000.0</v>
      </c>
      <c r="AB2459" s="1"/>
      <c r="AC2459" s="1" t="s">
        <v>36</v>
      </c>
      <c r="AD2459" s="1" t="s">
        <v>8873</v>
      </c>
      <c r="AE2459" s="1" t="s">
        <v>32</v>
      </c>
      <c r="AF2459" s="1" t="s">
        <v>33</v>
      </c>
      <c r="AG2459" s="1" t="s">
        <v>49</v>
      </c>
    </row>
    <row r="2460" spans="1:33">
      <c r="A2460" t="s">
        <v>8883</v>
      </c>
      <c r="B2460" t="s">
        <v>8884</v>
      </c>
      <c r="C2460" t="s">
        <v>1298</v>
      </c>
      <c r="E2460" t="s">
        <v>8226</v>
      </c>
      <c r="F2460" t="s">
        <v>8190</v>
      </c>
      <c r="G2460">
        <v>23.226</v>
      </c>
      <c r="H2460">
        <v>23.226</v>
      </c>
      <c r="I2460" t="s">
        <v>529</v>
      </c>
      <c r="J2460" t="s">
        <v>530</v>
      </c>
      <c r="K2460" t="s">
        <v>31</v>
      </c>
      <c r="L2460" t="s">
        <v>32</v>
      </c>
      <c r="M2460" t="s">
        <v>33</v>
      </c>
      <c r="P2460" s="1" t="s">
        <v>8885</v>
      </c>
      <c r="Q2460" s="1" t="s">
        <v>8226</v>
      </c>
      <c r="R2460" s="1" t="s">
        <v>7413</v>
      </c>
      <c r="S2460" s="1"/>
      <c r="T2460" s="1" t="s">
        <v>1298</v>
      </c>
      <c r="U2460" s="1"/>
      <c r="V2460" s="1">
        <v>23.226</v>
      </c>
      <c r="W2460" s="1">
        <v>23.226</v>
      </c>
      <c r="X2460" s="1" t="s">
        <v>35</v>
      </c>
      <c r="Y2460" s="1">
        <v>23226.0</v>
      </c>
      <c r="Z2460" s="1"/>
      <c r="AA2460" s="1">
        <v>23226.0</v>
      </c>
      <c r="AB2460" s="1"/>
      <c r="AC2460" s="1" t="s">
        <v>36</v>
      </c>
      <c r="AD2460" s="1" t="s">
        <v>8886</v>
      </c>
      <c r="AE2460" s="1" t="s">
        <v>32</v>
      </c>
      <c r="AF2460" s="1" t="s">
        <v>33</v>
      </c>
      <c r="AG2460" s="1" t="s">
        <v>530</v>
      </c>
    </row>
    <row r="2461" spans="1:33">
      <c r="A2461" t="s">
        <v>8887</v>
      </c>
      <c r="C2461" t="s">
        <v>5161</v>
      </c>
      <c r="E2461" t="s">
        <v>8226</v>
      </c>
      <c r="F2461" t="s">
        <v>8190</v>
      </c>
      <c r="G2461">
        <v>806.0</v>
      </c>
      <c r="H2461">
        <v>806.0</v>
      </c>
      <c r="I2461" t="s">
        <v>269</v>
      </c>
      <c r="J2461" t="s">
        <v>270</v>
      </c>
      <c r="K2461" t="s">
        <v>31</v>
      </c>
      <c r="L2461" t="s">
        <v>32</v>
      </c>
      <c r="M2461" t="s">
        <v>33</v>
      </c>
      <c r="P2461" s="1" t="s">
        <v>8888</v>
      </c>
      <c r="Q2461" s="1" t="s">
        <v>8226</v>
      </c>
      <c r="R2461" s="1" t="s">
        <v>8226</v>
      </c>
      <c r="S2461" s="1"/>
      <c r="T2461" s="1" t="s">
        <v>5161</v>
      </c>
      <c r="U2461" s="1"/>
      <c r="V2461" s="1">
        <v>806.0</v>
      </c>
      <c r="W2461" s="1">
        <v>806.0</v>
      </c>
      <c r="X2461" s="1" t="s">
        <v>35</v>
      </c>
      <c r="Y2461" s="1">
        <v>806000.0</v>
      </c>
      <c r="Z2461" s="1"/>
      <c r="AA2461" s="1">
        <v>806000.0</v>
      </c>
      <c r="AB2461" s="1"/>
      <c r="AC2461" s="1" t="s">
        <v>36</v>
      </c>
      <c r="AD2461" s="1" t="s">
        <v>8886</v>
      </c>
      <c r="AE2461" s="1" t="s">
        <v>32</v>
      </c>
      <c r="AF2461" s="1" t="s">
        <v>33</v>
      </c>
      <c r="AG2461" s="1" t="s">
        <v>270</v>
      </c>
    </row>
    <row r="2462" spans="1:33">
      <c r="A2462" t="s">
        <v>8889</v>
      </c>
      <c r="C2462" t="s">
        <v>3582</v>
      </c>
      <c r="E2462" t="s">
        <v>8226</v>
      </c>
      <c r="F2462" t="s">
        <v>8190</v>
      </c>
      <c r="G2462">
        <v>391.0</v>
      </c>
      <c r="H2462">
        <v>391.0</v>
      </c>
      <c r="I2462" t="s">
        <v>570</v>
      </c>
      <c r="J2462" t="s">
        <v>571</v>
      </c>
      <c r="K2462" t="s">
        <v>31</v>
      </c>
      <c r="L2462" t="s">
        <v>32</v>
      </c>
      <c r="M2462" t="s">
        <v>33</v>
      </c>
      <c r="P2462" s="1" t="s">
        <v>8890</v>
      </c>
      <c r="Q2462" s="1" t="s">
        <v>8226</v>
      </c>
      <c r="R2462" s="1" t="s">
        <v>8226</v>
      </c>
      <c r="S2462" s="1"/>
      <c r="T2462" s="1" t="s">
        <v>3582</v>
      </c>
      <c r="U2462" s="1"/>
      <c r="V2462" s="1">
        <v>391.0</v>
      </c>
      <c r="W2462" s="1">
        <v>391.0</v>
      </c>
      <c r="X2462" s="1" t="s">
        <v>35</v>
      </c>
      <c r="Y2462" s="1">
        <v>391000.0</v>
      </c>
      <c r="Z2462" s="1"/>
      <c r="AA2462" s="1">
        <v>391000.0</v>
      </c>
      <c r="AB2462" s="1"/>
      <c r="AC2462" s="1" t="s">
        <v>36</v>
      </c>
      <c r="AD2462" s="1" t="s">
        <v>8891</v>
      </c>
      <c r="AE2462" s="1" t="s">
        <v>32</v>
      </c>
      <c r="AF2462" s="1" t="s">
        <v>33</v>
      </c>
      <c r="AG2462" s="1" t="s">
        <v>571</v>
      </c>
    </row>
    <row r="2463" spans="1:33">
      <c r="A2463" t="s">
        <v>8892</v>
      </c>
      <c r="B2463" t="s">
        <v>802</v>
      </c>
      <c r="C2463" t="s">
        <v>314</v>
      </c>
      <c r="E2463" t="s">
        <v>8226</v>
      </c>
      <c r="F2463" t="s">
        <v>8190</v>
      </c>
      <c r="G2463">
        <v>96.76</v>
      </c>
      <c r="H2463">
        <v>96.76</v>
      </c>
      <c r="I2463" t="s">
        <v>179</v>
      </c>
      <c r="J2463" t="s">
        <v>180</v>
      </c>
      <c r="K2463" t="s">
        <v>31</v>
      </c>
      <c r="L2463" t="s">
        <v>32</v>
      </c>
      <c r="M2463" t="s">
        <v>33</v>
      </c>
      <c r="P2463" s="1" t="s">
        <v>8893</v>
      </c>
      <c r="Q2463" s="1" t="s">
        <v>8226</v>
      </c>
      <c r="R2463" s="1" t="s">
        <v>8226</v>
      </c>
      <c r="S2463" s="1"/>
      <c r="T2463" s="1" t="s">
        <v>314</v>
      </c>
      <c r="U2463" s="1"/>
      <c r="V2463" s="1">
        <v>96.76</v>
      </c>
      <c r="W2463" s="1">
        <v>96.76</v>
      </c>
      <c r="X2463" s="1" t="s">
        <v>35</v>
      </c>
      <c r="Y2463" s="1">
        <v>96760.0</v>
      </c>
      <c r="Z2463" s="1"/>
      <c r="AA2463" s="1">
        <v>96760.0</v>
      </c>
      <c r="AB2463" s="1"/>
      <c r="AC2463" s="1" t="s">
        <v>36</v>
      </c>
      <c r="AD2463" s="1" t="s">
        <v>8894</v>
      </c>
      <c r="AE2463" s="1" t="s">
        <v>32</v>
      </c>
      <c r="AF2463" s="1" t="s">
        <v>33</v>
      </c>
      <c r="AG2463" s="1" t="s">
        <v>180</v>
      </c>
    </row>
    <row r="2464" spans="1:33">
      <c r="A2464" t="s">
        <v>8895</v>
      </c>
      <c r="C2464" t="s">
        <v>3087</v>
      </c>
      <c r="D2464" t="s">
        <v>154</v>
      </c>
      <c r="E2464" t="s">
        <v>8226</v>
      </c>
      <c r="F2464" t="s">
        <v>8190</v>
      </c>
      <c r="G2464">
        <v>1.034</v>
      </c>
      <c r="H2464">
        <v>1.034</v>
      </c>
      <c r="I2464" t="s">
        <v>2206</v>
      </c>
      <c r="J2464" t="s">
        <v>49</v>
      </c>
      <c r="K2464" t="s">
        <v>31</v>
      </c>
      <c r="L2464" t="s">
        <v>32</v>
      </c>
      <c r="M2464" t="s">
        <v>33</v>
      </c>
      <c r="P2464" s="1" t="s">
        <v>8896</v>
      </c>
      <c r="Q2464" s="1" t="s">
        <v>8226</v>
      </c>
      <c r="R2464" s="1" t="s">
        <v>8226</v>
      </c>
      <c r="S2464" s="1"/>
      <c r="T2464" s="1" t="s">
        <v>3087</v>
      </c>
      <c r="U2464" s="1"/>
      <c r="V2464" s="1">
        <v>1.034</v>
      </c>
      <c r="W2464" s="1">
        <v>1.034</v>
      </c>
      <c r="X2464" s="1" t="s">
        <v>35</v>
      </c>
      <c r="Y2464" s="1">
        <v>1034500.0</v>
      </c>
      <c r="Z2464" s="1">
        <v>-100</v>
      </c>
      <c r="AA2464" s="1">
        <v>1034500.0</v>
      </c>
      <c r="AB2464" s="1">
        <v>-100</v>
      </c>
      <c r="AC2464" s="1" t="s">
        <v>36</v>
      </c>
      <c r="AD2464" s="1" t="s">
        <v>8897</v>
      </c>
      <c r="AE2464" s="1" t="s">
        <v>32</v>
      </c>
      <c r="AF2464" s="1" t="s">
        <v>33</v>
      </c>
      <c r="AG2464" s="1" t="s">
        <v>49</v>
      </c>
    </row>
    <row r="2465" spans="1:33">
      <c r="A2465" t="s">
        <v>8898</v>
      </c>
      <c r="B2465" t="s">
        <v>8899</v>
      </c>
      <c r="C2465" t="s">
        <v>268</v>
      </c>
      <c r="E2465" t="s">
        <v>8226</v>
      </c>
      <c r="F2465" t="s">
        <v>8190</v>
      </c>
      <c r="G2465">
        <v>33.8</v>
      </c>
      <c r="H2465">
        <v>33.8</v>
      </c>
      <c r="I2465" t="s">
        <v>269</v>
      </c>
      <c r="J2465" t="s">
        <v>270</v>
      </c>
      <c r="K2465" t="s">
        <v>31</v>
      </c>
      <c r="L2465" t="s">
        <v>32</v>
      </c>
      <c r="M2465" t="s">
        <v>33</v>
      </c>
      <c r="P2465" s="1" t="s">
        <v>8900</v>
      </c>
      <c r="Q2465" s="1" t="s">
        <v>8226</v>
      </c>
      <c r="R2465" s="1" t="s">
        <v>8226</v>
      </c>
      <c r="S2465" s="1"/>
      <c r="T2465" s="1" t="s">
        <v>268</v>
      </c>
      <c r="U2465" s="1"/>
      <c r="V2465" s="1">
        <v>33.8</v>
      </c>
      <c r="W2465" s="1">
        <v>33.8</v>
      </c>
      <c r="X2465" s="1" t="s">
        <v>35</v>
      </c>
      <c r="Y2465" s="1">
        <v>33800.0</v>
      </c>
      <c r="Z2465" s="1"/>
      <c r="AA2465" s="1">
        <v>33800.0</v>
      </c>
      <c r="AB2465" s="1"/>
      <c r="AC2465" s="1" t="s">
        <v>36</v>
      </c>
      <c r="AD2465" s="1" t="s">
        <v>8894</v>
      </c>
      <c r="AE2465" s="1" t="s">
        <v>32</v>
      </c>
      <c r="AF2465" s="1" t="s">
        <v>33</v>
      </c>
      <c r="AG2465" s="1" t="s">
        <v>270</v>
      </c>
    </row>
    <row r="2466" spans="1:33">
      <c r="A2466" t="s">
        <v>8901</v>
      </c>
      <c r="B2466" t="s">
        <v>8881</v>
      </c>
      <c r="C2466" t="s">
        <v>47</v>
      </c>
      <c r="E2466" t="s">
        <v>8226</v>
      </c>
      <c r="F2466" t="s">
        <v>8190</v>
      </c>
      <c r="G2466">
        <v>13.096</v>
      </c>
      <c r="H2466">
        <v>13.096</v>
      </c>
      <c r="I2466" t="s">
        <v>2206</v>
      </c>
      <c r="J2466" t="s">
        <v>49</v>
      </c>
      <c r="K2466" t="s">
        <v>31</v>
      </c>
      <c r="L2466" t="s">
        <v>32</v>
      </c>
      <c r="M2466" t="s">
        <v>33</v>
      </c>
      <c r="P2466" s="1" t="s">
        <v>8902</v>
      </c>
      <c r="Q2466" s="1" t="s">
        <v>8226</v>
      </c>
      <c r="R2466" s="1" t="s">
        <v>8226</v>
      </c>
      <c r="S2466" s="1"/>
      <c r="T2466" s="1" t="s">
        <v>47</v>
      </c>
      <c r="U2466" s="1"/>
      <c r="V2466" s="1">
        <v>13.096</v>
      </c>
      <c r="W2466" s="1">
        <v>13.096</v>
      </c>
      <c r="X2466" s="1" t="s">
        <v>35</v>
      </c>
      <c r="Y2466" s="1">
        <v>13096.0</v>
      </c>
      <c r="Z2466" s="1"/>
      <c r="AA2466" s="1">
        <v>13096.0</v>
      </c>
      <c r="AB2466" s="1"/>
      <c r="AC2466" s="1" t="s">
        <v>36</v>
      </c>
      <c r="AD2466" s="1" t="s">
        <v>8903</v>
      </c>
      <c r="AE2466" s="1" t="s">
        <v>32</v>
      </c>
      <c r="AF2466" s="1" t="s">
        <v>33</v>
      </c>
      <c r="AG2466" s="1" t="s">
        <v>49</v>
      </c>
    </row>
    <row r="2467" spans="1:33">
      <c r="A2467" t="s">
        <v>8904</v>
      </c>
      <c r="C2467" t="s">
        <v>300</v>
      </c>
      <c r="E2467" t="s">
        <v>8226</v>
      </c>
      <c r="F2467" t="s">
        <v>8190</v>
      </c>
      <c r="G2467">
        <v>1.712</v>
      </c>
      <c r="H2467">
        <v>1.712</v>
      </c>
      <c r="I2467" t="s">
        <v>94</v>
      </c>
      <c r="J2467" t="s">
        <v>95</v>
      </c>
      <c r="K2467" t="s">
        <v>31</v>
      </c>
      <c r="L2467" t="s">
        <v>32</v>
      </c>
      <c r="M2467" t="s">
        <v>33</v>
      </c>
      <c r="P2467" s="1" t="s">
        <v>8905</v>
      </c>
      <c r="Q2467" s="1" t="s">
        <v>8226</v>
      </c>
      <c r="R2467" s="1" t="s">
        <v>8226</v>
      </c>
      <c r="S2467" s="1"/>
      <c r="T2467" s="1" t="s">
        <v>302</v>
      </c>
      <c r="U2467" s="1" t="s">
        <v>303</v>
      </c>
      <c r="V2467" s="1">
        <v>1.712</v>
      </c>
      <c r="W2467" s="1">
        <v>1.712</v>
      </c>
      <c r="X2467" s="1" t="s">
        <v>35</v>
      </c>
      <c r="Y2467" s="1">
        <v>1712500.0</v>
      </c>
      <c r="Z2467" s="1"/>
      <c r="AA2467" s="1">
        <v>1712500.0</v>
      </c>
      <c r="AB2467" s="1"/>
      <c r="AC2467" s="1" t="s">
        <v>36</v>
      </c>
      <c r="AD2467" s="1" t="s">
        <v>8873</v>
      </c>
      <c r="AE2467" s="1" t="s">
        <v>32</v>
      </c>
      <c r="AF2467" s="1" t="s">
        <v>33</v>
      </c>
      <c r="AG2467" s="1" t="s">
        <v>95</v>
      </c>
    </row>
    <row r="2468" spans="1:33">
      <c r="A2468" t="s">
        <v>8906</v>
      </c>
      <c r="B2468" t="s">
        <v>8907</v>
      </c>
      <c r="C2468" t="s">
        <v>47</v>
      </c>
      <c r="E2468" t="s">
        <v>8226</v>
      </c>
      <c r="F2468" t="s">
        <v>8190</v>
      </c>
      <c r="G2468">
        <v>429.96</v>
      </c>
      <c r="H2468">
        <v>429.96</v>
      </c>
      <c r="I2468" t="s">
        <v>2206</v>
      </c>
      <c r="J2468" t="s">
        <v>49</v>
      </c>
      <c r="K2468" t="s">
        <v>31</v>
      </c>
      <c r="L2468" t="s">
        <v>32</v>
      </c>
      <c r="M2468" t="s">
        <v>33</v>
      </c>
      <c r="P2468" s="1" t="s">
        <v>8908</v>
      </c>
      <c r="Q2468" s="1" t="s">
        <v>8226</v>
      </c>
      <c r="R2468" s="1" t="s">
        <v>8226</v>
      </c>
      <c r="S2468" s="1"/>
      <c r="T2468" s="1" t="s">
        <v>47</v>
      </c>
      <c r="U2468" s="1"/>
      <c r="V2468" s="1">
        <v>429.96</v>
      </c>
      <c r="W2468" s="1">
        <v>429.96</v>
      </c>
      <c r="X2468" s="1" t="s">
        <v>35</v>
      </c>
      <c r="Y2468" s="1">
        <v>429960.0</v>
      </c>
      <c r="Z2468" s="1"/>
      <c r="AA2468" s="1">
        <v>429960.0</v>
      </c>
      <c r="AB2468" s="1"/>
      <c r="AC2468" s="1" t="s">
        <v>36</v>
      </c>
      <c r="AD2468" s="1" t="s">
        <v>8909</v>
      </c>
      <c r="AE2468" s="1" t="s">
        <v>32</v>
      </c>
      <c r="AF2468" s="1" t="s">
        <v>33</v>
      </c>
      <c r="AG2468" s="1" t="s">
        <v>49</v>
      </c>
    </row>
    <row r="2469" spans="1:33">
      <c r="A2469" t="s">
        <v>8910</v>
      </c>
      <c r="B2469" t="s">
        <v>8911</v>
      </c>
      <c r="C2469" t="s">
        <v>73</v>
      </c>
      <c r="E2469" t="s">
        <v>8226</v>
      </c>
      <c r="F2469" t="s">
        <v>8190</v>
      </c>
      <c r="G2469">
        <v>104.6</v>
      </c>
      <c r="H2469">
        <v>104.6</v>
      </c>
      <c r="I2469" t="s">
        <v>40</v>
      </c>
      <c r="J2469" t="s">
        <v>41</v>
      </c>
      <c r="K2469" t="s">
        <v>31</v>
      </c>
      <c r="L2469" t="s">
        <v>32</v>
      </c>
      <c r="M2469" t="s">
        <v>33</v>
      </c>
      <c r="P2469" s="1" t="s">
        <v>8912</v>
      </c>
      <c r="Q2469" s="1" t="s">
        <v>8226</v>
      </c>
      <c r="R2469" s="1" t="s">
        <v>7413</v>
      </c>
      <c r="S2469" s="1"/>
      <c r="T2469" s="1" t="s">
        <v>75</v>
      </c>
      <c r="U2469" s="1" t="s">
        <v>76</v>
      </c>
      <c r="V2469" s="1">
        <v>104.6</v>
      </c>
      <c r="W2469" s="1">
        <v>104.6</v>
      </c>
      <c r="X2469" s="1" t="s">
        <v>35</v>
      </c>
      <c r="Y2469" s="1">
        <v>104600.0</v>
      </c>
      <c r="Z2469" s="1"/>
      <c r="AA2469" s="1">
        <v>104600.0</v>
      </c>
      <c r="AB2469" s="1"/>
      <c r="AC2469" s="1" t="s">
        <v>36</v>
      </c>
      <c r="AD2469" s="1" t="s">
        <v>8913</v>
      </c>
      <c r="AE2469" s="1" t="s">
        <v>32</v>
      </c>
      <c r="AF2469" s="1" t="s">
        <v>33</v>
      </c>
      <c r="AG2469" s="1" t="s">
        <v>41</v>
      </c>
    </row>
    <row r="2470" spans="1:33">
      <c r="A2470" t="s">
        <v>8914</v>
      </c>
      <c r="C2470" t="s">
        <v>569</v>
      </c>
      <c r="E2470" t="s">
        <v>8226</v>
      </c>
      <c r="F2470" t="s">
        <v>8190</v>
      </c>
      <c r="G2470">
        <v>86.36</v>
      </c>
      <c r="H2470">
        <v>86.36</v>
      </c>
      <c r="I2470" t="s">
        <v>570</v>
      </c>
      <c r="J2470" t="s">
        <v>571</v>
      </c>
      <c r="K2470" t="s">
        <v>31</v>
      </c>
      <c r="L2470" t="s">
        <v>32</v>
      </c>
      <c r="M2470" t="s">
        <v>33</v>
      </c>
      <c r="P2470" s="1" t="s">
        <v>8915</v>
      </c>
      <c r="Q2470" s="1" t="s">
        <v>8226</v>
      </c>
      <c r="R2470" s="1" t="s">
        <v>8226</v>
      </c>
      <c r="S2470" s="1"/>
      <c r="T2470" s="1" t="s">
        <v>569</v>
      </c>
      <c r="U2470" s="1"/>
      <c r="V2470" s="1">
        <v>86.36</v>
      </c>
      <c r="W2470" s="1">
        <v>86.36</v>
      </c>
      <c r="X2470" s="1" t="s">
        <v>35</v>
      </c>
      <c r="Y2470" s="1">
        <v>86360.0</v>
      </c>
      <c r="Z2470" s="1"/>
      <c r="AA2470" s="1">
        <v>86360.0</v>
      </c>
      <c r="AB2470" s="1"/>
      <c r="AC2470" s="1" t="s">
        <v>36</v>
      </c>
      <c r="AD2470" s="1" t="s">
        <v>8913</v>
      </c>
      <c r="AE2470" s="1" t="s">
        <v>32</v>
      </c>
      <c r="AF2470" s="1" t="s">
        <v>33</v>
      </c>
      <c r="AG2470" s="1" t="s">
        <v>571</v>
      </c>
    </row>
    <row r="2471" spans="1:33">
      <c r="A2471" t="s">
        <v>8916</v>
      </c>
      <c r="C2471" t="s">
        <v>2916</v>
      </c>
      <c r="E2471" t="s">
        <v>8226</v>
      </c>
      <c r="F2471" t="s">
        <v>8190</v>
      </c>
      <c r="G2471">
        <v>944.9</v>
      </c>
      <c r="H2471">
        <v>944.9</v>
      </c>
      <c r="I2471" t="s">
        <v>269</v>
      </c>
      <c r="J2471" t="s">
        <v>270</v>
      </c>
      <c r="K2471" t="s">
        <v>31</v>
      </c>
      <c r="L2471" t="s">
        <v>32</v>
      </c>
      <c r="M2471" t="s">
        <v>33</v>
      </c>
      <c r="P2471" s="1" t="s">
        <v>8917</v>
      </c>
      <c r="Q2471" s="1" t="s">
        <v>8226</v>
      </c>
      <c r="R2471" s="1" t="s">
        <v>8226</v>
      </c>
      <c r="S2471" s="1"/>
      <c r="T2471" s="1" t="s">
        <v>2916</v>
      </c>
      <c r="U2471" s="1"/>
      <c r="V2471" s="1">
        <v>944.9</v>
      </c>
      <c r="W2471" s="1">
        <v>944.9</v>
      </c>
      <c r="X2471" s="1" t="s">
        <v>35</v>
      </c>
      <c r="Y2471" s="1">
        <v>944900.0</v>
      </c>
      <c r="Z2471" s="1"/>
      <c r="AA2471" s="1">
        <v>944900.0</v>
      </c>
      <c r="AB2471" s="1"/>
      <c r="AC2471" s="1" t="s">
        <v>36</v>
      </c>
      <c r="AD2471" s="1" t="s">
        <v>8918</v>
      </c>
      <c r="AE2471" s="1" t="s">
        <v>32</v>
      </c>
      <c r="AF2471" s="1" t="s">
        <v>33</v>
      </c>
      <c r="AG2471" s="1" t="s">
        <v>270</v>
      </c>
    </row>
    <row r="2472" spans="1:33">
      <c r="A2472" t="s">
        <v>8919</v>
      </c>
      <c r="B2472" t="s">
        <v>4547</v>
      </c>
      <c r="C2472" t="s">
        <v>4548</v>
      </c>
      <c r="E2472" t="s">
        <v>8226</v>
      </c>
      <c r="F2472" t="s">
        <v>8190</v>
      </c>
      <c r="G2472">
        <v>43.933</v>
      </c>
      <c r="H2472">
        <v>43.933</v>
      </c>
      <c r="I2472" t="s">
        <v>59</v>
      </c>
      <c r="J2472" t="s">
        <v>60</v>
      </c>
      <c r="K2472" t="s">
        <v>31</v>
      </c>
      <c r="L2472" t="s">
        <v>32</v>
      </c>
      <c r="M2472" t="s">
        <v>33</v>
      </c>
      <c r="P2472" s="1" t="s">
        <v>8920</v>
      </c>
      <c r="Q2472" s="1" t="s">
        <v>8226</v>
      </c>
      <c r="R2472" s="1" t="s">
        <v>8226</v>
      </c>
      <c r="S2472" s="1"/>
      <c r="T2472" s="1" t="s">
        <v>4548</v>
      </c>
      <c r="U2472" s="1"/>
      <c r="V2472" s="1">
        <v>43.933</v>
      </c>
      <c r="W2472" s="1">
        <v>43.933</v>
      </c>
      <c r="X2472" s="1" t="s">
        <v>35</v>
      </c>
      <c r="Y2472" s="1">
        <v>43933.0</v>
      </c>
      <c r="Z2472" s="1"/>
      <c r="AA2472" s="1">
        <v>43933.0</v>
      </c>
      <c r="AB2472" s="1"/>
      <c r="AC2472" s="1" t="s">
        <v>36</v>
      </c>
      <c r="AD2472" s="1" t="s">
        <v>8921</v>
      </c>
      <c r="AE2472" s="1" t="s">
        <v>32</v>
      </c>
      <c r="AF2472" s="1" t="s">
        <v>33</v>
      </c>
      <c r="AG2472" s="1" t="s">
        <v>60</v>
      </c>
    </row>
    <row r="2473" spans="1:33">
      <c r="A2473" t="s">
        <v>8922</v>
      </c>
      <c r="C2473" t="s">
        <v>810</v>
      </c>
      <c r="D2473" t="s">
        <v>154</v>
      </c>
      <c r="E2473" t="s">
        <v>8226</v>
      </c>
      <c r="F2473" t="s">
        <v>8190</v>
      </c>
      <c r="G2473">
        <v>2.663</v>
      </c>
      <c r="H2473">
        <v>2.663</v>
      </c>
      <c r="I2473" t="s">
        <v>269</v>
      </c>
      <c r="J2473" t="s">
        <v>270</v>
      </c>
      <c r="K2473" t="s">
        <v>31</v>
      </c>
      <c r="L2473" t="s">
        <v>32</v>
      </c>
      <c r="M2473" t="s">
        <v>33</v>
      </c>
      <c r="P2473" s="1" t="s">
        <v>8923</v>
      </c>
      <c r="Q2473" s="1" t="s">
        <v>8226</v>
      </c>
      <c r="R2473" s="1" t="s">
        <v>8226</v>
      </c>
      <c r="S2473" s="1"/>
      <c r="T2473" s="1" t="s">
        <v>810</v>
      </c>
      <c r="U2473" s="1"/>
      <c r="V2473" s="1">
        <v>2.663</v>
      </c>
      <c r="W2473" s="1">
        <v>2.663</v>
      </c>
      <c r="X2473" s="1" t="s">
        <v>35</v>
      </c>
      <c r="Y2473" s="1">
        <v>2663500.0</v>
      </c>
      <c r="Z2473" s="1"/>
      <c r="AA2473" s="1">
        <v>2663500.0</v>
      </c>
      <c r="AB2473" s="1"/>
      <c r="AC2473" s="1" t="s">
        <v>36</v>
      </c>
      <c r="AD2473" s="1" t="s">
        <v>8924</v>
      </c>
      <c r="AE2473" s="1" t="s">
        <v>32</v>
      </c>
      <c r="AF2473" s="1" t="s">
        <v>33</v>
      </c>
      <c r="AG2473" s="1" t="s">
        <v>270</v>
      </c>
    </row>
    <row r="2474" spans="1:33">
      <c r="A2474" t="s">
        <v>8925</v>
      </c>
      <c r="B2474" t="s">
        <v>2168</v>
      </c>
      <c r="C2474" t="s">
        <v>314</v>
      </c>
      <c r="E2474" t="s">
        <v>8226</v>
      </c>
      <c r="F2474" t="s">
        <v>8190</v>
      </c>
      <c r="G2474">
        <v>45.09</v>
      </c>
      <c r="H2474">
        <v>45.09</v>
      </c>
      <c r="I2474" t="s">
        <v>179</v>
      </c>
      <c r="J2474" t="s">
        <v>180</v>
      </c>
      <c r="K2474" t="s">
        <v>31</v>
      </c>
      <c r="L2474" t="s">
        <v>32</v>
      </c>
      <c r="M2474" t="s">
        <v>33</v>
      </c>
      <c r="P2474" s="1" t="s">
        <v>8926</v>
      </c>
      <c r="Q2474" s="1" t="s">
        <v>8226</v>
      </c>
      <c r="R2474" s="1" t="s">
        <v>8226</v>
      </c>
      <c r="S2474" s="1"/>
      <c r="T2474" s="1" t="s">
        <v>314</v>
      </c>
      <c r="U2474" s="1"/>
      <c r="V2474" s="1">
        <v>45.09</v>
      </c>
      <c r="W2474" s="1">
        <v>45.09</v>
      </c>
      <c r="X2474" s="1" t="s">
        <v>35</v>
      </c>
      <c r="Y2474" s="1">
        <v>45090.0</v>
      </c>
      <c r="Z2474" s="1"/>
      <c r="AA2474" s="1">
        <v>45090.0</v>
      </c>
      <c r="AB2474" s="1"/>
      <c r="AC2474" s="1" t="s">
        <v>36</v>
      </c>
      <c r="AD2474" s="1" t="s">
        <v>8927</v>
      </c>
      <c r="AE2474" s="1" t="s">
        <v>32</v>
      </c>
      <c r="AF2474" s="1" t="s">
        <v>33</v>
      </c>
      <c r="AG2474" s="1" t="s">
        <v>180</v>
      </c>
    </row>
    <row r="2475" spans="1:33">
      <c r="A2475" t="s">
        <v>8928</v>
      </c>
      <c r="B2475" t="s">
        <v>8929</v>
      </c>
      <c r="C2475" t="s">
        <v>73</v>
      </c>
      <c r="E2475" t="s">
        <v>8226</v>
      </c>
      <c r="F2475" t="s">
        <v>8190</v>
      </c>
      <c r="G2475">
        <v>9.45</v>
      </c>
      <c r="H2475">
        <v>9.45</v>
      </c>
      <c r="I2475" t="s">
        <v>40</v>
      </c>
      <c r="J2475" t="s">
        <v>41</v>
      </c>
      <c r="K2475" t="s">
        <v>31</v>
      </c>
      <c r="L2475" t="s">
        <v>32</v>
      </c>
      <c r="M2475" t="s">
        <v>33</v>
      </c>
      <c r="P2475" s="1" t="s">
        <v>8930</v>
      </c>
      <c r="Q2475" s="1" t="s">
        <v>8226</v>
      </c>
      <c r="R2475" s="1" t="s">
        <v>7413</v>
      </c>
      <c r="S2475" s="1"/>
      <c r="T2475" s="1" t="s">
        <v>75</v>
      </c>
      <c r="U2475" s="1" t="s">
        <v>76</v>
      </c>
      <c r="V2475" s="1">
        <v>9.45</v>
      </c>
      <c r="W2475" s="1">
        <v>9.45</v>
      </c>
      <c r="X2475" s="1" t="s">
        <v>35</v>
      </c>
      <c r="Y2475" s="1">
        <v>9450.0</v>
      </c>
      <c r="Z2475" s="1"/>
      <c r="AA2475" s="1">
        <v>9450.0</v>
      </c>
      <c r="AB2475" s="1"/>
      <c r="AC2475" s="1" t="s">
        <v>36</v>
      </c>
      <c r="AD2475" s="1" t="s">
        <v>8931</v>
      </c>
      <c r="AE2475" s="1" t="s">
        <v>32</v>
      </c>
      <c r="AF2475" s="1" t="s">
        <v>33</v>
      </c>
      <c r="AG2475" s="1" t="s">
        <v>41</v>
      </c>
    </row>
    <row r="2476" spans="1:33">
      <c r="A2476" t="s">
        <v>8932</v>
      </c>
      <c r="C2476" t="s">
        <v>2266</v>
      </c>
      <c r="E2476" t="s">
        <v>8226</v>
      </c>
      <c r="F2476" t="s">
        <v>8190</v>
      </c>
      <c r="G2476">
        <v>873.5</v>
      </c>
      <c r="H2476">
        <v>873.5</v>
      </c>
      <c r="I2476" t="s">
        <v>269</v>
      </c>
      <c r="J2476" t="s">
        <v>270</v>
      </c>
      <c r="K2476" t="s">
        <v>31</v>
      </c>
      <c r="L2476" t="s">
        <v>32</v>
      </c>
      <c r="M2476" t="s">
        <v>33</v>
      </c>
      <c r="P2476" s="1" t="s">
        <v>8933</v>
      </c>
      <c r="Q2476" s="1" t="s">
        <v>8226</v>
      </c>
      <c r="R2476" s="1" t="s">
        <v>8226</v>
      </c>
      <c r="S2476" s="1"/>
      <c r="T2476" s="1" t="s">
        <v>2266</v>
      </c>
      <c r="U2476" s="1"/>
      <c r="V2476" s="1">
        <v>873.5</v>
      </c>
      <c r="W2476" s="1">
        <v>873.5</v>
      </c>
      <c r="X2476" s="1" t="s">
        <v>35</v>
      </c>
      <c r="Y2476" s="1">
        <v>873500.0</v>
      </c>
      <c r="Z2476" s="1"/>
      <c r="AA2476" s="1">
        <v>873500.0</v>
      </c>
      <c r="AB2476" s="1"/>
      <c r="AC2476" s="1" t="s">
        <v>36</v>
      </c>
      <c r="AD2476" s="1" t="s">
        <v>8934</v>
      </c>
      <c r="AE2476" s="1" t="s">
        <v>32</v>
      </c>
      <c r="AF2476" s="1" t="s">
        <v>33</v>
      </c>
      <c r="AG2476" s="1" t="s">
        <v>270</v>
      </c>
    </row>
    <row r="2477" spans="1:33">
      <c r="A2477" t="s">
        <v>8935</v>
      </c>
      <c r="C2477" t="s">
        <v>2756</v>
      </c>
      <c r="E2477" t="s">
        <v>8226</v>
      </c>
      <c r="F2477" t="s">
        <v>8190</v>
      </c>
      <c r="G2477">
        <v>2.223</v>
      </c>
      <c r="H2477">
        <v>2.223</v>
      </c>
      <c r="I2477" t="s">
        <v>269</v>
      </c>
      <c r="J2477" t="s">
        <v>270</v>
      </c>
      <c r="K2477" t="s">
        <v>31</v>
      </c>
      <c r="L2477" t="s">
        <v>32</v>
      </c>
      <c r="M2477" t="s">
        <v>33</v>
      </c>
      <c r="P2477" s="1" t="s">
        <v>8936</v>
      </c>
      <c r="Q2477" s="1" t="s">
        <v>8226</v>
      </c>
      <c r="R2477" s="1" t="s">
        <v>8226</v>
      </c>
      <c r="S2477" s="1"/>
      <c r="T2477" s="1" t="s">
        <v>2756</v>
      </c>
      <c r="U2477" s="1"/>
      <c r="V2477" s="1">
        <v>2.223</v>
      </c>
      <c r="W2477" s="1">
        <v>2.223</v>
      </c>
      <c r="X2477" s="1" t="s">
        <v>35</v>
      </c>
      <c r="Y2477" s="1">
        <v>2223000.0</v>
      </c>
      <c r="Z2477" s="1"/>
      <c r="AA2477" s="1">
        <v>2223000.0</v>
      </c>
      <c r="AB2477" s="1"/>
      <c r="AC2477" s="1" t="s">
        <v>36</v>
      </c>
      <c r="AD2477" s="1" t="s">
        <v>8937</v>
      </c>
      <c r="AE2477" s="1" t="s">
        <v>32</v>
      </c>
      <c r="AF2477" s="1" t="s">
        <v>33</v>
      </c>
      <c r="AG2477" s="1" t="s">
        <v>270</v>
      </c>
    </row>
    <row r="2478" spans="1:33">
      <c r="A2478" t="s">
        <v>8938</v>
      </c>
      <c r="B2478" t="s">
        <v>735</v>
      </c>
      <c r="C2478" t="s">
        <v>736</v>
      </c>
      <c r="E2478" t="s">
        <v>8226</v>
      </c>
      <c r="F2478" t="s">
        <v>8190</v>
      </c>
      <c r="G2478">
        <v>370.0</v>
      </c>
      <c r="H2478">
        <v>370.0</v>
      </c>
      <c r="I2478" t="s">
        <v>59</v>
      </c>
      <c r="J2478" t="s">
        <v>60</v>
      </c>
      <c r="K2478" t="s">
        <v>31</v>
      </c>
      <c r="L2478" t="s">
        <v>32</v>
      </c>
      <c r="M2478" t="s">
        <v>33</v>
      </c>
      <c r="P2478" s="1" t="s">
        <v>8939</v>
      </c>
      <c r="Q2478" s="1" t="s">
        <v>8226</v>
      </c>
      <c r="R2478" s="1" t="s">
        <v>8226</v>
      </c>
      <c r="S2478" s="1"/>
      <c r="T2478" s="1" t="s">
        <v>736</v>
      </c>
      <c r="U2478" s="1"/>
      <c r="V2478" s="1">
        <v>370.0</v>
      </c>
      <c r="W2478" s="1">
        <v>370.0</v>
      </c>
      <c r="X2478" s="1" t="s">
        <v>35</v>
      </c>
      <c r="Y2478" s="1">
        <v>370000.0</v>
      </c>
      <c r="Z2478" s="1"/>
      <c r="AA2478" s="1">
        <v>370000.0</v>
      </c>
      <c r="AB2478" s="1"/>
      <c r="AC2478" s="1" t="s">
        <v>36</v>
      </c>
      <c r="AD2478" s="1" t="s">
        <v>8940</v>
      </c>
      <c r="AE2478" s="1" t="s">
        <v>32</v>
      </c>
      <c r="AF2478" s="1" t="s">
        <v>33</v>
      </c>
      <c r="AG2478" s="1" t="s">
        <v>60</v>
      </c>
    </row>
    <row r="2479" spans="1:33">
      <c r="A2479" t="s">
        <v>8941</v>
      </c>
      <c r="C2479" t="s">
        <v>8942</v>
      </c>
      <c r="E2479" t="s">
        <v>8226</v>
      </c>
      <c r="F2479" t="s">
        <v>8190</v>
      </c>
      <c r="G2479">
        <v>328.0</v>
      </c>
      <c r="H2479">
        <v>328.0</v>
      </c>
      <c r="I2479" t="s">
        <v>269</v>
      </c>
      <c r="J2479" t="s">
        <v>270</v>
      </c>
      <c r="K2479" t="s">
        <v>31</v>
      </c>
      <c r="L2479" t="s">
        <v>32</v>
      </c>
      <c r="M2479" t="s">
        <v>33</v>
      </c>
      <c r="P2479" s="1" t="s">
        <v>8943</v>
      </c>
      <c r="Q2479" s="1" t="s">
        <v>8226</v>
      </c>
      <c r="R2479" s="1" t="s">
        <v>8226</v>
      </c>
      <c r="S2479" s="1"/>
      <c r="T2479" s="1" t="s">
        <v>8942</v>
      </c>
      <c r="U2479" s="1"/>
      <c r="V2479" s="1">
        <v>328.0</v>
      </c>
      <c r="W2479" s="1">
        <v>328.0</v>
      </c>
      <c r="X2479" s="1" t="s">
        <v>35</v>
      </c>
      <c r="Y2479" s="1">
        <v>328000.0</v>
      </c>
      <c r="Z2479" s="1"/>
      <c r="AA2479" s="1">
        <v>328000.0</v>
      </c>
      <c r="AB2479" s="1"/>
      <c r="AC2479" s="1" t="s">
        <v>36</v>
      </c>
      <c r="AD2479" s="1" t="s">
        <v>8944</v>
      </c>
      <c r="AE2479" s="1" t="s">
        <v>32</v>
      </c>
      <c r="AF2479" s="1" t="s">
        <v>33</v>
      </c>
      <c r="AG2479" s="1" t="s">
        <v>270</v>
      </c>
    </row>
    <row r="2480" spans="1:33">
      <c r="A2480" t="s">
        <v>8945</v>
      </c>
      <c r="B2480" t="s">
        <v>3108</v>
      </c>
      <c r="C2480" t="s">
        <v>314</v>
      </c>
      <c r="E2480" t="s">
        <v>8226</v>
      </c>
      <c r="F2480" t="s">
        <v>8190</v>
      </c>
      <c r="G2480">
        <v>18.59</v>
      </c>
      <c r="H2480">
        <v>18.59</v>
      </c>
      <c r="I2480" t="s">
        <v>179</v>
      </c>
      <c r="J2480" t="s">
        <v>180</v>
      </c>
      <c r="K2480" t="s">
        <v>31</v>
      </c>
      <c r="L2480" t="s">
        <v>32</v>
      </c>
      <c r="M2480" t="s">
        <v>33</v>
      </c>
      <c r="P2480" s="1" t="s">
        <v>8946</v>
      </c>
      <c r="Q2480" s="1" t="s">
        <v>8226</v>
      </c>
      <c r="R2480" s="1" t="s">
        <v>8226</v>
      </c>
      <c r="S2480" s="1"/>
      <c r="T2480" s="1" t="s">
        <v>314</v>
      </c>
      <c r="U2480" s="1"/>
      <c r="V2480" s="1">
        <v>18.59</v>
      </c>
      <c r="W2480" s="1">
        <v>18.59</v>
      </c>
      <c r="X2480" s="1" t="s">
        <v>35</v>
      </c>
      <c r="Y2480" s="1">
        <v>18590.0</v>
      </c>
      <c r="Z2480" s="1"/>
      <c r="AA2480" s="1">
        <v>18590.0</v>
      </c>
      <c r="AB2480" s="1"/>
      <c r="AC2480" s="1" t="s">
        <v>36</v>
      </c>
      <c r="AD2480" s="1" t="s">
        <v>8947</v>
      </c>
      <c r="AE2480" s="1" t="s">
        <v>32</v>
      </c>
      <c r="AF2480" s="1" t="s">
        <v>33</v>
      </c>
      <c r="AG2480" s="1" t="s">
        <v>180</v>
      </c>
    </row>
    <row r="2481" spans="1:33">
      <c r="A2481" t="s">
        <v>8948</v>
      </c>
      <c r="C2481" t="s">
        <v>8949</v>
      </c>
      <c r="E2481" t="s">
        <v>8226</v>
      </c>
      <c r="F2481" t="s">
        <v>8190</v>
      </c>
      <c r="G2481">
        <v>950.0</v>
      </c>
      <c r="H2481">
        <v>950.0</v>
      </c>
      <c r="I2481" t="s">
        <v>40</v>
      </c>
      <c r="J2481" t="s">
        <v>41</v>
      </c>
      <c r="K2481" t="s">
        <v>31</v>
      </c>
      <c r="L2481" t="s">
        <v>32</v>
      </c>
      <c r="M2481" t="s">
        <v>33</v>
      </c>
      <c r="P2481" s="1" t="s">
        <v>8950</v>
      </c>
      <c r="Q2481" s="1" t="s">
        <v>8226</v>
      </c>
      <c r="R2481" s="1" t="s">
        <v>7413</v>
      </c>
      <c r="S2481" s="1"/>
      <c r="T2481" s="1" t="s">
        <v>8949</v>
      </c>
      <c r="U2481" s="1"/>
      <c r="V2481" s="1">
        <v>950.0</v>
      </c>
      <c r="W2481" s="1">
        <v>950.0</v>
      </c>
      <c r="X2481" s="1" t="s">
        <v>35</v>
      </c>
      <c r="Y2481" s="1">
        <v>950000.0</v>
      </c>
      <c r="Z2481" s="1"/>
      <c r="AA2481" s="1">
        <v>950000.0</v>
      </c>
      <c r="AB2481" s="1"/>
      <c r="AC2481" s="1" t="s">
        <v>36</v>
      </c>
      <c r="AD2481" s="1" t="s">
        <v>8944</v>
      </c>
      <c r="AE2481" s="1" t="s">
        <v>32</v>
      </c>
      <c r="AF2481" s="1" t="s">
        <v>33</v>
      </c>
      <c r="AG2481" s="1" t="s">
        <v>41</v>
      </c>
    </row>
    <row r="2482" spans="1:33">
      <c r="A2482" t="s">
        <v>8951</v>
      </c>
      <c r="B2482" t="s">
        <v>2959</v>
      </c>
      <c r="C2482" t="s">
        <v>314</v>
      </c>
      <c r="E2482" t="s">
        <v>8226</v>
      </c>
      <c r="F2482" t="s">
        <v>8190</v>
      </c>
      <c r="G2482">
        <v>60.25</v>
      </c>
      <c r="H2482">
        <v>60.25</v>
      </c>
      <c r="I2482" t="s">
        <v>179</v>
      </c>
      <c r="J2482" t="s">
        <v>180</v>
      </c>
      <c r="K2482" t="s">
        <v>31</v>
      </c>
      <c r="L2482" t="s">
        <v>32</v>
      </c>
      <c r="M2482" t="s">
        <v>33</v>
      </c>
      <c r="P2482" s="1" t="s">
        <v>8952</v>
      </c>
      <c r="Q2482" s="1" t="s">
        <v>8226</v>
      </c>
      <c r="R2482" s="1" t="s">
        <v>8226</v>
      </c>
      <c r="S2482" s="1"/>
      <c r="T2482" s="1" t="s">
        <v>314</v>
      </c>
      <c r="U2482" s="1"/>
      <c r="V2482" s="1">
        <v>60.25</v>
      </c>
      <c r="W2482" s="1">
        <v>60.25</v>
      </c>
      <c r="X2482" s="1" t="s">
        <v>35</v>
      </c>
      <c r="Y2482" s="1">
        <v>60250.0</v>
      </c>
      <c r="Z2482" s="1"/>
      <c r="AA2482" s="1">
        <v>60250.0</v>
      </c>
      <c r="AB2482" s="1"/>
      <c r="AC2482" s="1" t="s">
        <v>36</v>
      </c>
      <c r="AD2482" s="1" t="s">
        <v>8953</v>
      </c>
      <c r="AE2482" s="1" t="s">
        <v>32</v>
      </c>
      <c r="AF2482" s="1" t="s">
        <v>33</v>
      </c>
      <c r="AG2482" s="1" t="s">
        <v>180</v>
      </c>
    </row>
    <row r="2483" spans="1:33">
      <c r="A2483" t="s">
        <v>8954</v>
      </c>
      <c r="C2483" t="s">
        <v>1732</v>
      </c>
      <c r="E2483" t="s">
        <v>8226</v>
      </c>
      <c r="F2483" t="s">
        <v>8190</v>
      </c>
      <c r="G2483">
        <v>550.0</v>
      </c>
      <c r="H2483">
        <v>550.0</v>
      </c>
      <c r="I2483" t="s">
        <v>94</v>
      </c>
      <c r="J2483" t="s">
        <v>95</v>
      </c>
      <c r="K2483" t="s">
        <v>31</v>
      </c>
      <c r="L2483" t="s">
        <v>32</v>
      </c>
      <c r="M2483" t="s">
        <v>33</v>
      </c>
      <c r="P2483" s="1" t="s">
        <v>8955</v>
      </c>
      <c r="Q2483" s="1" t="s">
        <v>8226</v>
      </c>
      <c r="R2483" s="1" t="s">
        <v>8226</v>
      </c>
      <c r="S2483" s="1"/>
      <c r="T2483" s="1" t="s">
        <v>1732</v>
      </c>
      <c r="U2483" s="1"/>
      <c r="V2483" s="1">
        <v>550.0</v>
      </c>
      <c r="W2483" s="1">
        <v>550.0</v>
      </c>
      <c r="X2483" s="1" t="s">
        <v>35</v>
      </c>
      <c r="Y2483" s="1">
        <v>550000.0</v>
      </c>
      <c r="Z2483" s="1"/>
      <c r="AA2483" s="1">
        <v>550000.0</v>
      </c>
      <c r="AB2483" s="1"/>
      <c r="AC2483" s="1" t="s">
        <v>36</v>
      </c>
      <c r="AD2483" s="1" t="s">
        <v>8956</v>
      </c>
      <c r="AE2483" s="1" t="s">
        <v>32</v>
      </c>
      <c r="AF2483" s="1" t="s">
        <v>33</v>
      </c>
      <c r="AG2483" s="1" t="s">
        <v>95</v>
      </c>
    </row>
    <row r="2484" spans="1:33">
      <c r="A2484" t="s">
        <v>8957</v>
      </c>
      <c r="C2484" t="s">
        <v>1087</v>
      </c>
      <c r="E2484" t="s">
        <v>8226</v>
      </c>
      <c r="F2484" t="s">
        <v>8190</v>
      </c>
      <c r="G2484">
        <v>764.8</v>
      </c>
      <c r="H2484">
        <v>764.8</v>
      </c>
      <c r="I2484" t="s">
        <v>269</v>
      </c>
      <c r="J2484" t="s">
        <v>270</v>
      </c>
      <c r="K2484" t="s">
        <v>31</v>
      </c>
      <c r="L2484" t="s">
        <v>32</v>
      </c>
      <c r="M2484" t="s">
        <v>33</v>
      </c>
      <c r="P2484" s="1" t="s">
        <v>8958</v>
      </c>
      <c r="Q2484" s="1" t="s">
        <v>8226</v>
      </c>
      <c r="R2484" s="1" t="s">
        <v>8226</v>
      </c>
      <c r="S2484" s="1"/>
      <c r="T2484" s="1" t="s">
        <v>1087</v>
      </c>
      <c r="U2484" s="1"/>
      <c r="V2484" s="1">
        <v>764.8</v>
      </c>
      <c r="W2484" s="1">
        <v>764.8</v>
      </c>
      <c r="X2484" s="1" t="s">
        <v>35</v>
      </c>
      <c r="Y2484" s="1">
        <v>764800.0</v>
      </c>
      <c r="Z2484" s="1"/>
      <c r="AA2484" s="1">
        <v>764800.0</v>
      </c>
      <c r="AB2484" s="1"/>
      <c r="AC2484" s="1" t="s">
        <v>36</v>
      </c>
      <c r="AD2484" s="1" t="s">
        <v>8959</v>
      </c>
      <c r="AE2484" s="1" t="s">
        <v>32</v>
      </c>
      <c r="AF2484" s="1" t="s">
        <v>33</v>
      </c>
      <c r="AG2484" s="1" t="s">
        <v>270</v>
      </c>
    </row>
    <row r="2485" spans="1:33">
      <c r="A2485" t="s">
        <v>8960</v>
      </c>
      <c r="C2485" t="s">
        <v>8961</v>
      </c>
      <c r="E2485" t="s">
        <v>8226</v>
      </c>
      <c r="F2485" t="s">
        <v>8190</v>
      </c>
      <c r="G2485">
        <v>1.101</v>
      </c>
      <c r="H2485">
        <v>1.101</v>
      </c>
      <c r="I2485" t="s">
        <v>227</v>
      </c>
      <c r="J2485" t="s">
        <v>228</v>
      </c>
      <c r="K2485" t="s">
        <v>31</v>
      </c>
      <c r="L2485" t="s">
        <v>32</v>
      </c>
      <c r="M2485" t="s">
        <v>33</v>
      </c>
      <c r="P2485" s="1" t="s">
        <v>8962</v>
      </c>
      <c r="Q2485" s="1" t="s">
        <v>8226</v>
      </c>
      <c r="R2485" s="1" t="s">
        <v>8226</v>
      </c>
      <c r="S2485" s="1"/>
      <c r="T2485" s="1" t="s">
        <v>8961</v>
      </c>
      <c r="U2485" s="1"/>
      <c r="V2485" s="1">
        <v>1.101</v>
      </c>
      <c r="W2485" s="1">
        <v>1.101</v>
      </c>
      <c r="X2485" s="1" t="s">
        <v>35</v>
      </c>
      <c r="Y2485" s="1">
        <v>1101500.0</v>
      </c>
      <c r="Z2485" s="1"/>
      <c r="AA2485" s="1">
        <v>1101500.0</v>
      </c>
      <c r="AB2485" s="1"/>
      <c r="AC2485" s="1" t="s">
        <v>36</v>
      </c>
      <c r="AD2485" s="1" t="s">
        <v>8963</v>
      </c>
      <c r="AE2485" s="1" t="s">
        <v>32</v>
      </c>
      <c r="AF2485" s="1" t="s">
        <v>33</v>
      </c>
      <c r="AG2485" s="1" t="s">
        <v>228</v>
      </c>
    </row>
    <row r="2486" spans="1:33">
      <c r="A2486" t="s">
        <v>8964</v>
      </c>
      <c r="C2486" t="s">
        <v>1197</v>
      </c>
      <c r="D2486" t="s">
        <v>154</v>
      </c>
      <c r="E2486" t="s">
        <v>8226</v>
      </c>
      <c r="F2486" t="s">
        <v>8190</v>
      </c>
      <c r="G2486">
        <v>688.0</v>
      </c>
      <c r="H2486">
        <v>688.0</v>
      </c>
      <c r="I2486" t="s">
        <v>269</v>
      </c>
      <c r="J2486" t="s">
        <v>270</v>
      </c>
      <c r="K2486" t="s">
        <v>31</v>
      </c>
      <c r="L2486" t="s">
        <v>32</v>
      </c>
      <c r="M2486" t="s">
        <v>33</v>
      </c>
      <c r="P2486" s="1" t="s">
        <v>8965</v>
      </c>
      <c r="Q2486" s="1" t="s">
        <v>8226</v>
      </c>
      <c r="R2486" s="1" t="s">
        <v>8226</v>
      </c>
      <c r="S2486" s="1"/>
      <c r="T2486" s="1" t="s">
        <v>1197</v>
      </c>
      <c r="U2486" s="1"/>
      <c r="V2486" s="1">
        <v>688.0</v>
      </c>
      <c r="W2486" s="1">
        <v>688.0</v>
      </c>
      <c r="X2486" s="1" t="s">
        <v>35</v>
      </c>
      <c r="Y2486" s="1">
        <v>688000.0</v>
      </c>
      <c r="Z2486" s="1"/>
      <c r="AA2486" s="1">
        <v>688000.0</v>
      </c>
      <c r="AB2486" s="1"/>
      <c r="AC2486" s="1" t="s">
        <v>36</v>
      </c>
      <c r="AD2486" s="1" t="s">
        <v>8966</v>
      </c>
      <c r="AE2486" s="1" t="s">
        <v>32</v>
      </c>
      <c r="AF2486" s="1" t="s">
        <v>33</v>
      </c>
      <c r="AG2486" s="1" t="s">
        <v>270</v>
      </c>
    </row>
    <row r="2487" spans="1:33">
      <c r="A2487" t="s">
        <v>8967</v>
      </c>
      <c r="C2487" t="s">
        <v>932</v>
      </c>
      <c r="E2487" t="s">
        <v>8226</v>
      </c>
      <c r="F2487" t="s">
        <v>8190</v>
      </c>
      <c r="G2487">
        <v>738.0</v>
      </c>
      <c r="H2487">
        <v>738.0</v>
      </c>
      <c r="I2487" t="s">
        <v>227</v>
      </c>
      <c r="J2487" t="s">
        <v>228</v>
      </c>
      <c r="K2487" t="s">
        <v>31</v>
      </c>
      <c r="L2487" t="s">
        <v>32</v>
      </c>
      <c r="M2487" t="s">
        <v>33</v>
      </c>
      <c r="P2487" s="1" t="s">
        <v>8968</v>
      </c>
      <c r="Q2487" s="1" t="s">
        <v>8226</v>
      </c>
      <c r="R2487" s="1" t="s">
        <v>8226</v>
      </c>
      <c r="S2487" s="1"/>
      <c r="T2487" s="1" t="s">
        <v>932</v>
      </c>
      <c r="U2487" s="1"/>
      <c r="V2487" s="1">
        <v>738.0</v>
      </c>
      <c r="W2487" s="1">
        <v>738.0</v>
      </c>
      <c r="X2487" s="1" t="s">
        <v>35</v>
      </c>
      <c r="Y2487" s="1">
        <v>738000.0</v>
      </c>
      <c r="Z2487" s="1"/>
      <c r="AA2487" s="1">
        <v>738000.0</v>
      </c>
      <c r="AB2487" s="1"/>
      <c r="AC2487" s="1" t="s">
        <v>36</v>
      </c>
      <c r="AD2487" s="1" t="s">
        <v>8969</v>
      </c>
      <c r="AE2487" s="1" t="s">
        <v>32</v>
      </c>
      <c r="AF2487" s="1" t="s">
        <v>33</v>
      </c>
      <c r="AG2487" s="1" t="s">
        <v>228</v>
      </c>
    </row>
    <row r="2488" spans="1:33">
      <c r="A2488" t="s">
        <v>8970</v>
      </c>
      <c r="C2488" t="s">
        <v>6795</v>
      </c>
      <c r="D2488" t="s">
        <v>114</v>
      </c>
      <c r="E2488" t="s">
        <v>8226</v>
      </c>
      <c r="F2488" t="s">
        <v>8190</v>
      </c>
      <c r="G2488">
        <v>456.4</v>
      </c>
      <c r="H2488">
        <v>456.4</v>
      </c>
      <c r="I2488" t="s">
        <v>227</v>
      </c>
      <c r="J2488" t="s">
        <v>228</v>
      </c>
      <c r="K2488" t="s">
        <v>31</v>
      </c>
      <c r="L2488" t="s">
        <v>32</v>
      </c>
      <c r="M2488" t="s">
        <v>33</v>
      </c>
      <c r="P2488" s="1" t="s">
        <v>8971</v>
      </c>
      <c r="Q2488" s="1" t="s">
        <v>8226</v>
      </c>
      <c r="R2488" s="1" t="s">
        <v>8226</v>
      </c>
      <c r="S2488" s="1"/>
      <c r="T2488" s="1" t="s">
        <v>6795</v>
      </c>
      <c r="U2488" s="1"/>
      <c r="V2488" s="1">
        <v>456.4</v>
      </c>
      <c r="W2488" s="1">
        <v>456.4</v>
      </c>
      <c r="X2488" s="1" t="s">
        <v>35</v>
      </c>
      <c r="Y2488" s="1">
        <v>456400.0</v>
      </c>
      <c r="Z2488" s="1"/>
      <c r="AA2488" s="1">
        <v>456400.0</v>
      </c>
      <c r="AB2488" s="1"/>
      <c r="AC2488" s="1" t="s">
        <v>36</v>
      </c>
      <c r="AD2488" s="1" t="s">
        <v>8972</v>
      </c>
      <c r="AE2488" s="1" t="s">
        <v>32</v>
      </c>
      <c r="AF2488" s="1" t="s">
        <v>33</v>
      </c>
      <c r="AG2488" s="1" t="s">
        <v>228</v>
      </c>
    </row>
    <row r="2489" spans="1:33">
      <c r="A2489" t="s">
        <v>8973</v>
      </c>
      <c r="C2489" t="s">
        <v>827</v>
      </c>
      <c r="D2489" t="s">
        <v>154</v>
      </c>
      <c r="E2489" t="s">
        <v>8226</v>
      </c>
      <c r="F2489" t="s">
        <v>8190</v>
      </c>
      <c r="G2489">
        <v>20.0</v>
      </c>
      <c r="H2489">
        <v>20.0</v>
      </c>
      <c r="I2489" t="s">
        <v>269</v>
      </c>
      <c r="J2489" t="s">
        <v>270</v>
      </c>
      <c r="K2489" t="s">
        <v>31</v>
      </c>
      <c r="L2489" t="s">
        <v>32</v>
      </c>
      <c r="M2489" t="s">
        <v>33</v>
      </c>
      <c r="P2489" s="1" t="s">
        <v>8974</v>
      </c>
      <c r="Q2489" s="1" t="s">
        <v>8226</v>
      </c>
      <c r="R2489" s="1" t="s">
        <v>8226</v>
      </c>
      <c r="S2489" s="1"/>
      <c r="T2489" s="1" t="s">
        <v>827</v>
      </c>
      <c r="U2489" s="1"/>
      <c r="V2489" s="1">
        <v>20.0</v>
      </c>
      <c r="W2489" s="1">
        <v>20.0</v>
      </c>
      <c r="X2489" s="1" t="s">
        <v>35</v>
      </c>
      <c r="Y2489" s="1">
        <v>20000.0</v>
      </c>
      <c r="Z2489" s="1"/>
      <c r="AA2489" s="1">
        <v>20000.0</v>
      </c>
      <c r="AB2489" s="1"/>
      <c r="AC2489" s="1" t="s">
        <v>36</v>
      </c>
      <c r="AD2489" s="1" t="s">
        <v>8975</v>
      </c>
      <c r="AE2489" s="1" t="s">
        <v>32</v>
      </c>
      <c r="AF2489" s="1" t="s">
        <v>33</v>
      </c>
      <c r="AG2489" s="1" t="s">
        <v>270</v>
      </c>
    </row>
    <row r="2490" spans="1:33">
      <c r="A2490" t="s">
        <v>8976</v>
      </c>
      <c r="C2490" t="s">
        <v>2708</v>
      </c>
      <c r="E2490" t="s">
        <v>8226</v>
      </c>
      <c r="F2490" t="s">
        <v>8190</v>
      </c>
      <c r="G2490">
        <v>640.0</v>
      </c>
      <c r="H2490">
        <v>640.0</v>
      </c>
      <c r="I2490" t="s">
        <v>40</v>
      </c>
      <c r="J2490" t="s">
        <v>41</v>
      </c>
      <c r="K2490" t="s">
        <v>31</v>
      </c>
      <c r="L2490" t="s">
        <v>32</v>
      </c>
      <c r="M2490" t="s">
        <v>33</v>
      </c>
      <c r="P2490" s="1" t="s">
        <v>8977</v>
      </c>
      <c r="Q2490" s="1" t="s">
        <v>8226</v>
      </c>
      <c r="R2490" s="1" t="s">
        <v>7413</v>
      </c>
      <c r="S2490" s="1"/>
      <c r="T2490" s="1" t="s">
        <v>2708</v>
      </c>
      <c r="U2490" s="1"/>
      <c r="V2490" s="1">
        <v>640.0</v>
      </c>
      <c r="W2490" s="1">
        <v>640.0</v>
      </c>
      <c r="X2490" s="1" t="s">
        <v>35</v>
      </c>
      <c r="Y2490" s="1">
        <v>640000.0</v>
      </c>
      <c r="Z2490" s="1"/>
      <c r="AA2490" s="1">
        <v>640000.0</v>
      </c>
      <c r="AB2490" s="1"/>
      <c r="AC2490" s="1" t="s">
        <v>36</v>
      </c>
      <c r="AD2490" s="1" t="s">
        <v>8978</v>
      </c>
      <c r="AE2490" s="1" t="s">
        <v>32</v>
      </c>
      <c r="AF2490" s="1" t="s">
        <v>33</v>
      </c>
      <c r="AG2490" s="1" t="s">
        <v>41</v>
      </c>
    </row>
    <row r="2491" spans="1:33">
      <c r="A2491" t="s">
        <v>8979</v>
      </c>
      <c r="C2491" t="s">
        <v>1447</v>
      </c>
      <c r="D2491" t="s">
        <v>114</v>
      </c>
      <c r="E2491" t="s">
        <v>8226</v>
      </c>
      <c r="F2491" t="s">
        <v>8190</v>
      </c>
      <c r="G2491">
        <v>843.5</v>
      </c>
      <c r="H2491">
        <v>843.5</v>
      </c>
      <c r="I2491" t="s">
        <v>269</v>
      </c>
      <c r="J2491" t="s">
        <v>270</v>
      </c>
      <c r="K2491" t="s">
        <v>31</v>
      </c>
      <c r="L2491" t="s">
        <v>32</v>
      </c>
      <c r="M2491" t="s">
        <v>33</v>
      </c>
      <c r="P2491" s="1" t="s">
        <v>8980</v>
      </c>
      <c r="Q2491" s="1" t="s">
        <v>8226</v>
      </c>
      <c r="R2491" s="1" t="s">
        <v>8226</v>
      </c>
      <c r="S2491" s="1"/>
      <c r="T2491" s="1" t="s">
        <v>1449</v>
      </c>
      <c r="U2491" s="1" t="s">
        <v>1450</v>
      </c>
      <c r="V2491" s="1">
        <v>843.5</v>
      </c>
      <c r="W2491" s="1">
        <v>843.5</v>
      </c>
      <c r="X2491" s="1" t="s">
        <v>35</v>
      </c>
      <c r="Y2491" s="1">
        <v>843500.0</v>
      </c>
      <c r="Z2491" s="1"/>
      <c r="AA2491" s="1">
        <v>843500.0</v>
      </c>
      <c r="AB2491" s="1"/>
      <c r="AC2491" s="1" t="s">
        <v>36</v>
      </c>
      <c r="AD2491" s="1" t="s">
        <v>8981</v>
      </c>
      <c r="AE2491" s="1" t="s">
        <v>32</v>
      </c>
      <c r="AF2491" s="1" t="s">
        <v>33</v>
      </c>
      <c r="AG2491" s="1" t="s">
        <v>270</v>
      </c>
    </row>
    <row r="2492" spans="1:33">
      <c r="A2492" t="s">
        <v>8982</v>
      </c>
      <c r="B2492" t="s">
        <v>57</v>
      </c>
      <c r="C2492" t="s">
        <v>58</v>
      </c>
      <c r="E2492" t="s">
        <v>8226</v>
      </c>
      <c r="F2492" t="s">
        <v>8190</v>
      </c>
      <c r="G2492">
        <v>370.0</v>
      </c>
      <c r="H2492">
        <v>370.0</v>
      </c>
      <c r="I2492" t="s">
        <v>59</v>
      </c>
      <c r="J2492" t="s">
        <v>60</v>
      </c>
      <c r="K2492" t="s">
        <v>31</v>
      </c>
      <c r="L2492" t="s">
        <v>32</v>
      </c>
      <c r="M2492" t="s">
        <v>33</v>
      </c>
      <c r="P2492" s="1" t="s">
        <v>8983</v>
      </c>
      <c r="Q2492" s="1" t="s">
        <v>8226</v>
      </c>
      <c r="R2492" s="1" t="s">
        <v>8226</v>
      </c>
      <c r="S2492" s="1"/>
      <c r="T2492" s="1" t="s">
        <v>58</v>
      </c>
      <c r="U2492" s="1"/>
      <c r="V2492" s="1">
        <v>370.0</v>
      </c>
      <c r="W2492" s="1">
        <v>370.0</v>
      </c>
      <c r="X2492" s="1" t="s">
        <v>35</v>
      </c>
      <c r="Y2492" s="1">
        <v>370000.0</v>
      </c>
      <c r="Z2492" s="1"/>
      <c r="AA2492" s="1">
        <v>370000.0</v>
      </c>
      <c r="AB2492" s="1"/>
      <c r="AC2492" s="1" t="s">
        <v>36</v>
      </c>
      <c r="AD2492" s="1" t="s">
        <v>8959</v>
      </c>
      <c r="AE2492" s="1" t="s">
        <v>32</v>
      </c>
      <c r="AF2492" s="1" t="s">
        <v>33</v>
      </c>
      <c r="AG2492" s="1" t="s">
        <v>60</v>
      </c>
    </row>
    <row r="2493" spans="1:33">
      <c r="A2493" t="s">
        <v>8984</v>
      </c>
      <c r="B2493" t="s">
        <v>8985</v>
      </c>
      <c r="C2493" t="s">
        <v>314</v>
      </c>
      <c r="E2493" t="s">
        <v>8226</v>
      </c>
      <c r="F2493" t="s">
        <v>8190</v>
      </c>
      <c r="G2493">
        <v>101.22</v>
      </c>
      <c r="H2493">
        <v>101.22</v>
      </c>
      <c r="I2493" t="s">
        <v>179</v>
      </c>
      <c r="J2493" t="s">
        <v>180</v>
      </c>
      <c r="K2493" t="s">
        <v>31</v>
      </c>
      <c r="L2493" t="s">
        <v>32</v>
      </c>
      <c r="M2493" t="s">
        <v>33</v>
      </c>
      <c r="P2493" s="1" t="s">
        <v>8986</v>
      </c>
      <c r="Q2493" s="1" t="s">
        <v>8226</v>
      </c>
      <c r="R2493" s="1" t="s">
        <v>8226</v>
      </c>
      <c r="S2493" s="1"/>
      <c r="T2493" s="1" t="s">
        <v>314</v>
      </c>
      <c r="U2493" s="1"/>
      <c r="V2493" s="1">
        <v>101.22</v>
      </c>
      <c r="W2493" s="1">
        <v>101.22</v>
      </c>
      <c r="X2493" s="1" t="s">
        <v>35</v>
      </c>
      <c r="Y2493" s="1">
        <v>101220.0</v>
      </c>
      <c r="Z2493" s="1"/>
      <c r="AA2493" s="1">
        <v>101220.0</v>
      </c>
      <c r="AB2493" s="1"/>
      <c r="AC2493" s="1" t="s">
        <v>36</v>
      </c>
      <c r="AD2493" s="1" t="s">
        <v>8987</v>
      </c>
      <c r="AE2493" s="1" t="s">
        <v>32</v>
      </c>
      <c r="AF2493" s="1" t="s">
        <v>33</v>
      </c>
      <c r="AG2493" s="1" t="s">
        <v>180</v>
      </c>
    </row>
    <row r="2494" spans="1:33">
      <c r="A2494" t="s">
        <v>8988</v>
      </c>
      <c r="C2494" t="s">
        <v>8989</v>
      </c>
      <c r="E2494" t="s">
        <v>8226</v>
      </c>
      <c r="F2494" t="s">
        <v>8190</v>
      </c>
      <c r="G2494">
        <v>635.0</v>
      </c>
      <c r="H2494">
        <v>635.0</v>
      </c>
      <c r="I2494" t="s">
        <v>40</v>
      </c>
      <c r="J2494" t="s">
        <v>41</v>
      </c>
      <c r="K2494" t="s">
        <v>31</v>
      </c>
      <c r="L2494" t="s">
        <v>32</v>
      </c>
      <c r="M2494" t="s">
        <v>33</v>
      </c>
      <c r="P2494" s="1" t="s">
        <v>8990</v>
      </c>
      <c r="Q2494" s="1" t="s">
        <v>8226</v>
      </c>
      <c r="R2494" s="1" t="s">
        <v>7413</v>
      </c>
      <c r="S2494" s="1"/>
      <c r="T2494" s="1" t="s">
        <v>8989</v>
      </c>
      <c r="U2494" s="1"/>
      <c r="V2494" s="1">
        <v>635.0</v>
      </c>
      <c r="W2494" s="1">
        <v>635.0</v>
      </c>
      <c r="X2494" s="1" t="s">
        <v>35</v>
      </c>
      <c r="Y2494" s="1">
        <v>635000.0</v>
      </c>
      <c r="Z2494" s="1"/>
      <c r="AA2494" s="1">
        <v>635000.0</v>
      </c>
      <c r="AB2494" s="1"/>
      <c r="AC2494" s="1" t="s">
        <v>36</v>
      </c>
      <c r="AD2494" s="1" t="s">
        <v>8991</v>
      </c>
      <c r="AE2494" s="1" t="s">
        <v>32</v>
      </c>
      <c r="AF2494" s="1" t="s">
        <v>33</v>
      </c>
      <c r="AG2494" s="1" t="s">
        <v>41</v>
      </c>
    </row>
    <row r="2495" spans="1:33">
      <c r="A2495" t="s">
        <v>8992</v>
      </c>
      <c r="B2495" t="s">
        <v>622</v>
      </c>
      <c r="C2495" t="s">
        <v>314</v>
      </c>
      <c r="E2495" t="s">
        <v>8226</v>
      </c>
      <c r="F2495" t="s">
        <v>8190</v>
      </c>
      <c r="G2495">
        <v>235.0</v>
      </c>
      <c r="H2495">
        <v>235.0</v>
      </c>
      <c r="I2495" t="s">
        <v>179</v>
      </c>
      <c r="J2495" t="s">
        <v>180</v>
      </c>
      <c r="K2495" t="s">
        <v>31</v>
      </c>
      <c r="L2495" t="s">
        <v>32</v>
      </c>
      <c r="M2495" t="s">
        <v>33</v>
      </c>
      <c r="P2495" s="1" t="s">
        <v>8993</v>
      </c>
      <c r="Q2495" s="1" t="s">
        <v>8226</v>
      </c>
      <c r="R2495" s="1" t="s">
        <v>8226</v>
      </c>
      <c r="S2495" s="1"/>
      <c r="T2495" s="1" t="s">
        <v>314</v>
      </c>
      <c r="U2495" s="1"/>
      <c r="V2495" s="1">
        <v>235.0</v>
      </c>
      <c r="W2495" s="1">
        <v>235.0</v>
      </c>
      <c r="X2495" s="1" t="s">
        <v>35</v>
      </c>
      <c r="Y2495" s="1">
        <v>235000.0</v>
      </c>
      <c r="Z2495" s="1"/>
      <c r="AA2495" s="1">
        <v>235000.0</v>
      </c>
      <c r="AB2495" s="1"/>
      <c r="AC2495" s="1" t="s">
        <v>36</v>
      </c>
      <c r="AD2495" s="1" t="s">
        <v>8991</v>
      </c>
      <c r="AE2495" s="1" t="s">
        <v>32</v>
      </c>
      <c r="AF2495" s="1" t="s">
        <v>33</v>
      </c>
      <c r="AG2495" s="1" t="s">
        <v>180</v>
      </c>
    </row>
    <row r="2496" spans="1:33">
      <c r="A2496" t="s">
        <v>8994</v>
      </c>
      <c r="B2496" t="s">
        <v>8995</v>
      </c>
      <c r="C2496" t="s">
        <v>73</v>
      </c>
      <c r="E2496" t="s">
        <v>8226</v>
      </c>
      <c r="F2496" t="s">
        <v>8190</v>
      </c>
      <c r="G2496">
        <v>6.149</v>
      </c>
      <c r="H2496">
        <v>6.149</v>
      </c>
      <c r="I2496" t="s">
        <v>40</v>
      </c>
      <c r="J2496" t="s">
        <v>41</v>
      </c>
      <c r="K2496" t="s">
        <v>31</v>
      </c>
      <c r="L2496" t="s">
        <v>32</v>
      </c>
      <c r="M2496" t="s">
        <v>33</v>
      </c>
      <c r="P2496" s="1" t="s">
        <v>8996</v>
      </c>
      <c r="Q2496" s="1" t="s">
        <v>8226</v>
      </c>
      <c r="R2496" s="1" t="s">
        <v>7413</v>
      </c>
      <c r="S2496" s="1"/>
      <c r="T2496" s="1" t="s">
        <v>75</v>
      </c>
      <c r="U2496" s="1" t="s">
        <v>76</v>
      </c>
      <c r="V2496" s="1">
        <v>6.149</v>
      </c>
      <c r="W2496" s="1">
        <v>6.149</v>
      </c>
      <c r="X2496" s="1" t="s">
        <v>35</v>
      </c>
      <c r="Y2496" s="1">
        <v>6149.0</v>
      </c>
      <c r="Z2496" s="1"/>
      <c r="AA2496" s="1">
        <v>6149.0</v>
      </c>
      <c r="AB2496" s="1"/>
      <c r="AC2496" s="1" t="s">
        <v>36</v>
      </c>
      <c r="AD2496" s="1" t="s">
        <v>8997</v>
      </c>
      <c r="AE2496" s="1" t="s">
        <v>32</v>
      </c>
      <c r="AF2496" s="1" t="s">
        <v>33</v>
      </c>
      <c r="AG2496" s="1" t="s">
        <v>41</v>
      </c>
    </row>
    <row r="2497" spans="1:33">
      <c r="A2497" t="s">
        <v>8998</v>
      </c>
      <c r="C2497" t="s">
        <v>2236</v>
      </c>
      <c r="E2497" t="s">
        <v>8226</v>
      </c>
      <c r="F2497" t="s">
        <v>8190</v>
      </c>
      <c r="G2497">
        <v>328.0</v>
      </c>
      <c r="H2497">
        <v>328.0</v>
      </c>
      <c r="I2497" t="s">
        <v>269</v>
      </c>
      <c r="J2497" t="s">
        <v>270</v>
      </c>
      <c r="K2497" t="s">
        <v>31</v>
      </c>
      <c r="L2497" t="s">
        <v>32</v>
      </c>
      <c r="M2497" t="s">
        <v>33</v>
      </c>
      <c r="P2497" s="1" t="s">
        <v>8999</v>
      </c>
      <c r="Q2497" s="1" t="s">
        <v>8226</v>
      </c>
      <c r="R2497" s="1" t="s">
        <v>8226</v>
      </c>
      <c r="S2497" s="1"/>
      <c r="T2497" s="1" t="s">
        <v>2236</v>
      </c>
      <c r="U2497" s="1"/>
      <c r="V2497" s="1">
        <v>328.0</v>
      </c>
      <c r="W2497" s="1">
        <v>328.0</v>
      </c>
      <c r="X2497" s="1" t="s">
        <v>35</v>
      </c>
      <c r="Y2497" s="1">
        <v>328000.0</v>
      </c>
      <c r="Z2497" s="1"/>
      <c r="AA2497" s="1">
        <v>328000.0</v>
      </c>
      <c r="AB2497" s="1"/>
      <c r="AC2497" s="1" t="s">
        <v>36</v>
      </c>
      <c r="AD2497" s="1" t="s">
        <v>9000</v>
      </c>
      <c r="AE2497" s="1" t="s">
        <v>32</v>
      </c>
      <c r="AF2497" s="1" t="s">
        <v>33</v>
      </c>
      <c r="AG2497" s="1" t="s">
        <v>270</v>
      </c>
    </row>
    <row r="2498" spans="1:33">
      <c r="A2498" t="s">
        <v>9001</v>
      </c>
      <c r="B2498" t="s">
        <v>9002</v>
      </c>
      <c r="C2498" t="s">
        <v>73</v>
      </c>
      <c r="E2498" t="s">
        <v>8226</v>
      </c>
      <c r="F2498" t="s">
        <v>8190</v>
      </c>
      <c r="G2498">
        <v>3.71</v>
      </c>
      <c r="H2498">
        <v>3.71</v>
      </c>
      <c r="I2498" t="s">
        <v>40</v>
      </c>
      <c r="J2498" t="s">
        <v>41</v>
      </c>
      <c r="K2498" t="s">
        <v>31</v>
      </c>
      <c r="L2498" t="s">
        <v>32</v>
      </c>
      <c r="M2498" t="s">
        <v>33</v>
      </c>
      <c r="P2498" s="1" t="s">
        <v>9003</v>
      </c>
      <c r="Q2498" s="1" t="s">
        <v>8226</v>
      </c>
      <c r="R2498" s="1" t="s">
        <v>7413</v>
      </c>
      <c r="S2498" s="1"/>
      <c r="T2498" s="1" t="s">
        <v>75</v>
      </c>
      <c r="U2498" s="1" t="s">
        <v>76</v>
      </c>
      <c r="V2498" s="1">
        <v>3.71</v>
      </c>
      <c r="W2498" s="1">
        <v>3.71</v>
      </c>
      <c r="X2498" s="1" t="s">
        <v>35</v>
      </c>
      <c r="Y2498" s="1">
        <v>3710.0</v>
      </c>
      <c r="Z2498" s="1"/>
      <c r="AA2498" s="1">
        <v>3710.0</v>
      </c>
      <c r="AB2498" s="1"/>
      <c r="AC2498" s="1" t="s">
        <v>36</v>
      </c>
      <c r="AD2498" s="1" t="s">
        <v>9004</v>
      </c>
      <c r="AE2498" s="1" t="s">
        <v>32</v>
      </c>
      <c r="AF2498" s="1" t="s">
        <v>33</v>
      </c>
      <c r="AG2498" s="1" t="s">
        <v>41</v>
      </c>
    </row>
    <row r="2499" spans="1:33">
      <c r="A2499" t="s">
        <v>9005</v>
      </c>
      <c r="B2499" t="s">
        <v>9006</v>
      </c>
      <c r="C2499" t="s">
        <v>569</v>
      </c>
      <c r="E2499" t="s">
        <v>8226</v>
      </c>
      <c r="F2499" t="s">
        <v>8190</v>
      </c>
      <c r="G2499">
        <v>32.99</v>
      </c>
      <c r="H2499">
        <v>32.99</v>
      </c>
      <c r="I2499" t="s">
        <v>570</v>
      </c>
      <c r="J2499" t="s">
        <v>571</v>
      </c>
      <c r="K2499" t="s">
        <v>31</v>
      </c>
      <c r="L2499" t="s">
        <v>32</v>
      </c>
      <c r="M2499" t="s">
        <v>33</v>
      </c>
      <c r="P2499" s="1" t="s">
        <v>9007</v>
      </c>
      <c r="Q2499" s="1" t="s">
        <v>8226</v>
      </c>
      <c r="R2499" s="1" t="s">
        <v>8226</v>
      </c>
      <c r="S2499" s="1"/>
      <c r="T2499" s="1" t="s">
        <v>569</v>
      </c>
      <c r="U2499" s="1"/>
      <c r="V2499" s="1">
        <v>32.99</v>
      </c>
      <c r="W2499" s="1">
        <v>32.99</v>
      </c>
      <c r="X2499" s="1" t="s">
        <v>35</v>
      </c>
      <c r="Y2499" s="1">
        <v>32990.0</v>
      </c>
      <c r="Z2499" s="1"/>
      <c r="AA2499" s="1">
        <v>32990.0</v>
      </c>
      <c r="AB2499" s="1"/>
      <c r="AC2499" s="1" t="s">
        <v>36</v>
      </c>
      <c r="AD2499" s="1" t="s">
        <v>9008</v>
      </c>
      <c r="AE2499" s="1" t="s">
        <v>32</v>
      </c>
      <c r="AF2499" s="1" t="s">
        <v>33</v>
      </c>
      <c r="AG2499" s="1" t="s">
        <v>571</v>
      </c>
    </row>
    <row r="2500" spans="1:33">
      <c r="A2500" t="s">
        <v>9009</v>
      </c>
      <c r="C2500" t="s">
        <v>1692</v>
      </c>
      <c r="E2500" t="s">
        <v>8226</v>
      </c>
      <c r="F2500" t="s">
        <v>8190</v>
      </c>
      <c r="G2500">
        <v>717.0</v>
      </c>
      <c r="H2500">
        <v>717.0</v>
      </c>
      <c r="I2500" t="s">
        <v>179</v>
      </c>
      <c r="J2500" t="s">
        <v>180</v>
      </c>
      <c r="K2500" t="s">
        <v>31</v>
      </c>
      <c r="L2500" t="s">
        <v>32</v>
      </c>
      <c r="M2500" t="s">
        <v>33</v>
      </c>
      <c r="P2500" s="1" t="s">
        <v>9010</v>
      </c>
      <c r="Q2500" s="1" t="s">
        <v>8226</v>
      </c>
      <c r="R2500" s="1" t="s">
        <v>8226</v>
      </c>
      <c r="S2500" s="1"/>
      <c r="T2500" s="1" t="s">
        <v>1692</v>
      </c>
      <c r="U2500" s="1"/>
      <c r="V2500" s="1">
        <v>717.0</v>
      </c>
      <c r="W2500" s="1">
        <v>717.0</v>
      </c>
      <c r="X2500" s="1" t="s">
        <v>35</v>
      </c>
      <c r="Y2500" s="1">
        <v>717000.0</v>
      </c>
      <c r="Z2500" s="1"/>
      <c r="AA2500" s="1">
        <v>717000.0</v>
      </c>
      <c r="AB2500" s="1"/>
      <c r="AC2500" s="1" t="s">
        <v>36</v>
      </c>
      <c r="AD2500" s="1" t="s">
        <v>9011</v>
      </c>
      <c r="AE2500" s="1" t="s">
        <v>32</v>
      </c>
      <c r="AF2500" s="1" t="s">
        <v>33</v>
      </c>
      <c r="AG2500" s="1" t="s">
        <v>180</v>
      </c>
    </row>
    <row r="2501" spans="1:33">
      <c r="A2501" t="s">
        <v>9012</v>
      </c>
      <c r="B2501" t="s">
        <v>9013</v>
      </c>
      <c r="C2501" t="s">
        <v>125</v>
      </c>
      <c r="E2501" t="s">
        <v>8226</v>
      </c>
      <c r="F2501" t="s">
        <v>8190</v>
      </c>
      <c r="G2501">
        <v>6.898</v>
      </c>
      <c r="H2501">
        <v>6.898</v>
      </c>
      <c r="I2501" t="s">
        <v>126</v>
      </c>
      <c r="J2501" t="s">
        <v>127</v>
      </c>
      <c r="K2501" t="s">
        <v>31</v>
      </c>
      <c r="L2501" t="s">
        <v>32</v>
      </c>
      <c r="M2501" t="s">
        <v>33</v>
      </c>
      <c r="P2501" s="1" t="s">
        <v>9014</v>
      </c>
      <c r="Q2501" s="1" t="s">
        <v>8226</v>
      </c>
      <c r="R2501" s="1" t="s">
        <v>8226</v>
      </c>
      <c r="S2501" s="1"/>
      <c r="T2501" s="1" t="s">
        <v>125</v>
      </c>
      <c r="U2501" s="1"/>
      <c r="V2501" s="1">
        <v>6.898</v>
      </c>
      <c r="W2501" s="1">
        <v>6.898</v>
      </c>
      <c r="X2501" s="1" t="s">
        <v>35</v>
      </c>
      <c r="Y2501" s="1">
        <v>6898.0</v>
      </c>
      <c r="Z2501" s="1"/>
      <c r="AA2501" s="1">
        <v>6898.0</v>
      </c>
      <c r="AB2501" s="1"/>
      <c r="AC2501" s="1" t="s">
        <v>36</v>
      </c>
      <c r="AD2501" s="1" t="s">
        <v>9008</v>
      </c>
      <c r="AE2501" s="1" t="s">
        <v>32</v>
      </c>
      <c r="AF2501" s="1" t="s">
        <v>33</v>
      </c>
      <c r="AG2501" s="1" t="s">
        <v>127</v>
      </c>
    </row>
    <row r="2502" spans="1:33">
      <c r="A2502" t="s">
        <v>9015</v>
      </c>
      <c r="B2502" t="s">
        <v>9016</v>
      </c>
      <c r="C2502" t="s">
        <v>617</v>
      </c>
      <c r="E2502" t="s">
        <v>8226</v>
      </c>
      <c r="F2502" t="s">
        <v>8190</v>
      </c>
      <c r="G2502">
        <v>630.0</v>
      </c>
      <c r="H2502">
        <v>630.0</v>
      </c>
      <c r="I2502" t="s">
        <v>40</v>
      </c>
      <c r="J2502" t="s">
        <v>41</v>
      </c>
      <c r="K2502" t="s">
        <v>31</v>
      </c>
      <c r="L2502" t="s">
        <v>32</v>
      </c>
      <c r="M2502" t="s">
        <v>33</v>
      </c>
      <c r="P2502" s="1" t="s">
        <v>9017</v>
      </c>
      <c r="Q2502" s="1" t="s">
        <v>8226</v>
      </c>
      <c r="R2502" s="1" t="s">
        <v>7413</v>
      </c>
      <c r="S2502" s="1"/>
      <c r="T2502" s="1" t="s">
        <v>619</v>
      </c>
      <c r="U2502" s="1" t="s">
        <v>620</v>
      </c>
      <c r="V2502" s="1">
        <v>630.0</v>
      </c>
      <c r="W2502" s="1">
        <v>630.0</v>
      </c>
      <c r="X2502" s="1" t="s">
        <v>35</v>
      </c>
      <c r="Y2502" s="1">
        <v>630000.0</v>
      </c>
      <c r="Z2502" s="1"/>
      <c r="AA2502" s="1">
        <v>630000.0</v>
      </c>
      <c r="AB2502" s="1"/>
      <c r="AC2502" s="1" t="s">
        <v>36</v>
      </c>
      <c r="AD2502" s="1" t="s">
        <v>9018</v>
      </c>
      <c r="AE2502" s="1" t="s">
        <v>32</v>
      </c>
      <c r="AF2502" s="1" t="s">
        <v>33</v>
      </c>
      <c r="AG2502" s="1" t="s">
        <v>41</v>
      </c>
    </row>
    <row r="2503" spans="1:33">
      <c r="A2503" t="s">
        <v>9019</v>
      </c>
      <c r="B2503" t="s">
        <v>9020</v>
      </c>
      <c r="C2503" t="s">
        <v>314</v>
      </c>
      <c r="E2503" t="s">
        <v>8226</v>
      </c>
      <c r="F2503" t="s">
        <v>8190</v>
      </c>
      <c r="G2503">
        <v>68.24</v>
      </c>
      <c r="H2503">
        <v>68.24</v>
      </c>
      <c r="I2503" t="s">
        <v>179</v>
      </c>
      <c r="J2503" t="s">
        <v>180</v>
      </c>
      <c r="K2503" t="s">
        <v>31</v>
      </c>
      <c r="L2503" t="s">
        <v>32</v>
      </c>
      <c r="M2503" t="s">
        <v>33</v>
      </c>
      <c r="P2503" s="1" t="s">
        <v>9021</v>
      </c>
      <c r="Q2503" s="1" t="s">
        <v>8226</v>
      </c>
      <c r="R2503" s="1" t="s">
        <v>8226</v>
      </c>
      <c r="S2503" s="1"/>
      <c r="T2503" s="1" t="s">
        <v>314</v>
      </c>
      <c r="U2503" s="1"/>
      <c r="V2503" s="1">
        <v>68.24</v>
      </c>
      <c r="W2503" s="1">
        <v>68.24</v>
      </c>
      <c r="X2503" s="1" t="s">
        <v>35</v>
      </c>
      <c r="Y2503" s="1">
        <v>68240.0</v>
      </c>
      <c r="Z2503" s="1"/>
      <c r="AA2503" s="1">
        <v>68240.0</v>
      </c>
      <c r="AB2503" s="1"/>
      <c r="AC2503" s="1" t="s">
        <v>36</v>
      </c>
      <c r="AD2503" s="1" t="s">
        <v>9022</v>
      </c>
      <c r="AE2503" s="1" t="s">
        <v>32</v>
      </c>
      <c r="AF2503" s="1" t="s">
        <v>33</v>
      </c>
      <c r="AG2503" s="1" t="s">
        <v>180</v>
      </c>
    </row>
    <row r="2504" spans="1:33">
      <c r="A2504" t="s">
        <v>9023</v>
      </c>
      <c r="C2504" t="s">
        <v>9024</v>
      </c>
      <c r="E2504" t="s">
        <v>8226</v>
      </c>
      <c r="F2504" t="s">
        <v>8190</v>
      </c>
      <c r="G2504">
        <v>13.096</v>
      </c>
      <c r="H2504">
        <v>13.096</v>
      </c>
      <c r="I2504" t="s">
        <v>2206</v>
      </c>
      <c r="J2504" t="s">
        <v>49</v>
      </c>
      <c r="K2504" t="s">
        <v>31</v>
      </c>
      <c r="L2504" t="s">
        <v>32</v>
      </c>
      <c r="M2504" t="s">
        <v>33</v>
      </c>
      <c r="P2504" s="1" t="s">
        <v>9025</v>
      </c>
      <c r="Q2504" s="1" t="s">
        <v>8226</v>
      </c>
      <c r="R2504" s="1" t="s">
        <v>8226</v>
      </c>
      <c r="S2504" s="1"/>
      <c r="T2504" s="1" t="s">
        <v>9024</v>
      </c>
      <c r="U2504" s="1"/>
      <c r="V2504" s="1">
        <v>13.096</v>
      </c>
      <c r="W2504" s="1">
        <v>13.096</v>
      </c>
      <c r="X2504" s="1" t="s">
        <v>35</v>
      </c>
      <c r="Y2504" s="1">
        <v>13096.0</v>
      </c>
      <c r="Z2504" s="1"/>
      <c r="AA2504" s="1">
        <v>13096.0</v>
      </c>
      <c r="AB2504" s="1"/>
      <c r="AC2504" s="1" t="s">
        <v>36</v>
      </c>
      <c r="AD2504" s="1" t="s">
        <v>8969</v>
      </c>
      <c r="AE2504" s="1" t="s">
        <v>32</v>
      </c>
      <c r="AF2504" s="1" t="s">
        <v>33</v>
      </c>
      <c r="AG2504" s="1" t="s">
        <v>49</v>
      </c>
    </row>
    <row r="2505" spans="1:33">
      <c r="A2505" t="s">
        <v>9026</v>
      </c>
      <c r="C2505" t="s">
        <v>4857</v>
      </c>
      <c r="E2505" t="s">
        <v>8226</v>
      </c>
      <c r="F2505" t="s">
        <v>8190</v>
      </c>
      <c r="G2505">
        <v>320.0</v>
      </c>
      <c r="H2505">
        <v>320.0</v>
      </c>
      <c r="I2505" t="s">
        <v>126</v>
      </c>
      <c r="J2505" t="s">
        <v>127</v>
      </c>
      <c r="K2505" t="s">
        <v>31</v>
      </c>
      <c r="L2505" t="s">
        <v>32</v>
      </c>
      <c r="M2505" t="s">
        <v>33</v>
      </c>
      <c r="P2505" s="1" t="s">
        <v>9027</v>
      </c>
      <c r="Q2505" s="1" t="s">
        <v>8226</v>
      </c>
      <c r="R2505" s="1" t="s">
        <v>8226</v>
      </c>
      <c r="S2505" s="1"/>
      <c r="T2505" s="1" t="s">
        <v>4857</v>
      </c>
      <c r="U2505" s="1"/>
      <c r="V2505" s="1">
        <v>320.0</v>
      </c>
      <c r="W2505" s="1">
        <v>320.0</v>
      </c>
      <c r="X2505" s="1" t="s">
        <v>35</v>
      </c>
      <c r="Y2505" s="1">
        <v>320000.0</v>
      </c>
      <c r="Z2505" s="1"/>
      <c r="AA2505" s="1">
        <v>320000.0</v>
      </c>
      <c r="AB2505" s="1"/>
      <c r="AC2505" s="1" t="s">
        <v>36</v>
      </c>
      <c r="AD2505" s="1" t="s">
        <v>9018</v>
      </c>
      <c r="AE2505" s="1" t="s">
        <v>32</v>
      </c>
      <c r="AF2505" s="1" t="s">
        <v>33</v>
      </c>
      <c r="AG2505" s="1" t="s">
        <v>127</v>
      </c>
    </row>
    <row r="2506" spans="1:33">
      <c r="A2506" t="s">
        <v>9028</v>
      </c>
      <c r="C2506" t="s">
        <v>338</v>
      </c>
      <c r="E2506" t="s">
        <v>8226</v>
      </c>
      <c r="F2506" t="s">
        <v>8190</v>
      </c>
      <c r="G2506">
        <v>1.08</v>
      </c>
      <c r="H2506">
        <v>1.08</v>
      </c>
      <c r="I2506" t="s">
        <v>179</v>
      </c>
      <c r="J2506" t="s">
        <v>180</v>
      </c>
      <c r="K2506" t="s">
        <v>31</v>
      </c>
      <c r="L2506" t="s">
        <v>32</v>
      </c>
      <c r="M2506" t="s">
        <v>33</v>
      </c>
      <c r="P2506" s="1" t="s">
        <v>9029</v>
      </c>
      <c r="Q2506" s="1" t="s">
        <v>8226</v>
      </c>
      <c r="R2506" s="1" t="s">
        <v>8226</v>
      </c>
      <c r="S2506" s="1"/>
      <c r="T2506" s="1" t="s">
        <v>338</v>
      </c>
      <c r="U2506" s="1"/>
      <c r="V2506" s="1">
        <v>1.08</v>
      </c>
      <c r="W2506" s="1">
        <v>1.08</v>
      </c>
      <c r="X2506" s="1" t="s">
        <v>35</v>
      </c>
      <c r="Y2506" s="1">
        <v>1080000.0</v>
      </c>
      <c r="Z2506" s="1"/>
      <c r="AA2506" s="1">
        <v>1080000.0</v>
      </c>
      <c r="AB2506" s="1"/>
      <c r="AC2506" s="1" t="s">
        <v>36</v>
      </c>
      <c r="AD2506" s="1" t="s">
        <v>9030</v>
      </c>
      <c r="AE2506" s="1" t="s">
        <v>32</v>
      </c>
      <c r="AF2506" s="1" t="s">
        <v>33</v>
      </c>
      <c r="AG2506" s="1" t="s">
        <v>180</v>
      </c>
    </row>
    <row r="2507" spans="1:33">
      <c r="A2507" t="s">
        <v>9031</v>
      </c>
      <c r="B2507" t="s">
        <v>4131</v>
      </c>
      <c r="C2507" t="s">
        <v>268</v>
      </c>
      <c r="E2507" t="s">
        <v>8226</v>
      </c>
      <c r="F2507" t="s">
        <v>8190</v>
      </c>
      <c r="G2507">
        <v>101.4</v>
      </c>
      <c r="H2507">
        <v>101.4</v>
      </c>
      <c r="I2507" t="s">
        <v>269</v>
      </c>
      <c r="J2507" t="s">
        <v>270</v>
      </c>
      <c r="K2507" t="s">
        <v>31</v>
      </c>
      <c r="L2507" t="s">
        <v>32</v>
      </c>
      <c r="M2507" t="s">
        <v>33</v>
      </c>
      <c r="P2507" s="1" t="s">
        <v>9032</v>
      </c>
      <c r="Q2507" s="1" t="s">
        <v>8226</v>
      </c>
      <c r="R2507" s="1" t="s">
        <v>8226</v>
      </c>
      <c r="S2507" s="1"/>
      <c r="T2507" s="1" t="s">
        <v>268</v>
      </c>
      <c r="U2507" s="1"/>
      <c r="V2507" s="1">
        <v>101.4</v>
      </c>
      <c r="W2507" s="1">
        <v>101.4</v>
      </c>
      <c r="X2507" s="1" t="s">
        <v>35</v>
      </c>
      <c r="Y2507" s="1">
        <v>101400.0</v>
      </c>
      <c r="Z2507" s="1"/>
      <c r="AA2507" s="1">
        <v>101400.0</v>
      </c>
      <c r="AB2507" s="1"/>
      <c r="AC2507" s="1" t="s">
        <v>36</v>
      </c>
      <c r="AD2507" s="1" t="s">
        <v>9033</v>
      </c>
      <c r="AE2507" s="1" t="s">
        <v>32</v>
      </c>
      <c r="AF2507" s="1" t="s">
        <v>33</v>
      </c>
      <c r="AG2507" s="1" t="s">
        <v>270</v>
      </c>
    </row>
    <row r="2508" spans="1:33">
      <c r="A2508" t="s">
        <v>9034</v>
      </c>
      <c r="C2508" t="s">
        <v>7182</v>
      </c>
      <c r="D2508" t="s">
        <v>154</v>
      </c>
      <c r="E2508" t="s">
        <v>8226</v>
      </c>
      <c r="F2508" t="s">
        <v>8190</v>
      </c>
      <c r="G2508">
        <v>199.0</v>
      </c>
      <c r="H2508">
        <v>199.0</v>
      </c>
      <c r="I2508" t="s">
        <v>126</v>
      </c>
      <c r="J2508" t="s">
        <v>127</v>
      </c>
      <c r="K2508" t="s">
        <v>31</v>
      </c>
      <c r="L2508" t="s">
        <v>32</v>
      </c>
      <c r="M2508" t="s">
        <v>33</v>
      </c>
      <c r="P2508" s="1" t="s">
        <v>9035</v>
      </c>
      <c r="Q2508" s="1" t="s">
        <v>8226</v>
      </c>
      <c r="R2508" s="1" t="s">
        <v>8226</v>
      </c>
      <c r="S2508" s="1"/>
      <c r="T2508" s="1" t="s">
        <v>7184</v>
      </c>
      <c r="U2508" s="1" t="s">
        <v>7185</v>
      </c>
      <c r="V2508" s="1">
        <v>199.0</v>
      </c>
      <c r="W2508" s="1">
        <v>199.0</v>
      </c>
      <c r="X2508" s="1" t="s">
        <v>35</v>
      </c>
      <c r="Y2508" s="1">
        <v>201000.0</v>
      </c>
      <c r="Z2508" s="1">
        <v>-2000</v>
      </c>
      <c r="AA2508" s="1">
        <v>201000.0</v>
      </c>
      <c r="AB2508" s="1">
        <v>-2000</v>
      </c>
      <c r="AC2508" s="1" t="s">
        <v>36</v>
      </c>
      <c r="AD2508" s="1" t="s">
        <v>9036</v>
      </c>
      <c r="AE2508" s="1" t="s">
        <v>32</v>
      </c>
      <c r="AF2508" s="1" t="s">
        <v>33</v>
      </c>
      <c r="AG2508" s="1" t="s">
        <v>127</v>
      </c>
    </row>
    <row r="2509" spans="1:33">
      <c r="A2509" t="s">
        <v>9037</v>
      </c>
      <c r="C2509" t="s">
        <v>2804</v>
      </c>
      <c r="E2509" t="s">
        <v>8226</v>
      </c>
      <c r="F2509" t="s">
        <v>8190</v>
      </c>
      <c r="G2509">
        <v>508.0</v>
      </c>
      <c r="H2509">
        <v>508.0</v>
      </c>
      <c r="I2509" t="s">
        <v>136</v>
      </c>
      <c r="J2509" t="s">
        <v>137</v>
      </c>
      <c r="K2509" t="s">
        <v>31</v>
      </c>
      <c r="L2509" t="s">
        <v>32</v>
      </c>
      <c r="M2509" t="s">
        <v>33</v>
      </c>
      <c r="P2509" s="1" t="s">
        <v>9038</v>
      </c>
      <c r="Q2509" s="1" t="s">
        <v>8226</v>
      </c>
      <c r="R2509" s="1" t="s">
        <v>8226</v>
      </c>
      <c r="S2509" s="1"/>
      <c r="T2509" s="1" t="s">
        <v>2804</v>
      </c>
      <c r="U2509" s="1"/>
      <c r="V2509" s="1">
        <v>508.0</v>
      </c>
      <c r="W2509" s="1">
        <v>508.0</v>
      </c>
      <c r="X2509" s="1" t="s">
        <v>35</v>
      </c>
      <c r="Y2509" s="1">
        <v>508000.0</v>
      </c>
      <c r="Z2509" s="1"/>
      <c r="AA2509" s="1">
        <v>508000.0</v>
      </c>
      <c r="AB2509" s="1"/>
      <c r="AC2509" s="1" t="s">
        <v>36</v>
      </c>
      <c r="AD2509" s="1" t="s">
        <v>8972</v>
      </c>
      <c r="AE2509" s="1" t="s">
        <v>32</v>
      </c>
      <c r="AF2509" s="1" t="s">
        <v>33</v>
      </c>
      <c r="AG2509" s="1" t="s">
        <v>137</v>
      </c>
    </row>
    <row r="2510" spans="1:33">
      <c r="A2510" t="s">
        <v>9039</v>
      </c>
      <c r="B2510" t="s">
        <v>9040</v>
      </c>
      <c r="C2510" t="s">
        <v>73</v>
      </c>
      <c r="E2510" t="s">
        <v>8226</v>
      </c>
      <c r="F2510" t="s">
        <v>8190</v>
      </c>
      <c r="G2510">
        <v>4.498</v>
      </c>
      <c r="H2510">
        <v>4.498</v>
      </c>
      <c r="I2510" t="s">
        <v>40</v>
      </c>
      <c r="J2510" t="s">
        <v>41</v>
      </c>
      <c r="K2510" t="s">
        <v>31</v>
      </c>
      <c r="L2510" t="s">
        <v>32</v>
      </c>
      <c r="M2510" t="s">
        <v>33</v>
      </c>
      <c r="P2510" s="1" t="s">
        <v>9041</v>
      </c>
      <c r="Q2510" s="1" t="s">
        <v>8226</v>
      </c>
      <c r="R2510" s="1" t="s">
        <v>7413</v>
      </c>
      <c r="S2510" s="1"/>
      <c r="T2510" s="1" t="s">
        <v>75</v>
      </c>
      <c r="U2510" s="1" t="s">
        <v>76</v>
      </c>
      <c r="V2510" s="1">
        <v>4.498</v>
      </c>
      <c r="W2510" s="1">
        <v>4.498</v>
      </c>
      <c r="X2510" s="1" t="s">
        <v>35</v>
      </c>
      <c r="Y2510" s="1">
        <v>4498.0</v>
      </c>
      <c r="Z2510" s="1"/>
      <c r="AA2510" s="1">
        <v>4498.0</v>
      </c>
      <c r="AB2510" s="1"/>
      <c r="AC2510" s="1" t="s">
        <v>36</v>
      </c>
      <c r="AD2510" s="1" t="s">
        <v>9042</v>
      </c>
      <c r="AE2510" s="1" t="s">
        <v>32</v>
      </c>
      <c r="AF2510" s="1" t="s">
        <v>33</v>
      </c>
      <c r="AG2510" s="1" t="s">
        <v>41</v>
      </c>
    </row>
    <row r="2511" spans="1:33">
      <c r="A2511" t="s">
        <v>9043</v>
      </c>
      <c r="B2511" t="s">
        <v>9044</v>
      </c>
      <c r="C2511" t="s">
        <v>73</v>
      </c>
      <c r="E2511" t="s">
        <v>8226</v>
      </c>
      <c r="F2511" t="s">
        <v>8190</v>
      </c>
      <c r="G2511">
        <v>102.24</v>
      </c>
      <c r="H2511">
        <v>102.24</v>
      </c>
      <c r="I2511" t="s">
        <v>40</v>
      </c>
      <c r="J2511" t="s">
        <v>41</v>
      </c>
      <c r="K2511" t="s">
        <v>31</v>
      </c>
      <c r="L2511" t="s">
        <v>32</v>
      </c>
      <c r="M2511" t="s">
        <v>33</v>
      </c>
      <c r="P2511" s="1" t="s">
        <v>9045</v>
      </c>
      <c r="Q2511" s="1" t="s">
        <v>8226</v>
      </c>
      <c r="R2511" s="1" t="s">
        <v>7413</v>
      </c>
      <c r="S2511" s="1"/>
      <c r="T2511" s="1" t="s">
        <v>75</v>
      </c>
      <c r="U2511" s="1" t="s">
        <v>76</v>
      </c>
      <c r="V2511" s="1">
        <v>102.24</v>
      </c>
      <c r="W2511" s="1">
        <v>102.24</v>
      </c>
      <c r="X2511" s="1" t="s">
        <v>35</v>
      </c>
      <c r="Y2511" s="1">
        <v>102240.0</v>
      </c>
      <c r="Z2511" s="1"/>
      <c r="AA2511" s="1">
        <v>102240.0</v>
      </c>
      <c r="AB2511" s="1"/>
      <c r="AC2511" s="1" t="s">
        <v>36</v>
      </c>
      <c r="AD2511" s="1" t="s">
        <v>9046</v>
      </c>
      <c r="AE2511" s="1" t="s">
        <v>32</v>
      </c>
      <c r="AF2511" s="1" t="s">
        <v>33</v>
      </c>
      <c r="AG2511" s="1" t="s">
        <v>41</v>
      </c>
    </row>
    <row r="2512" spans="1:33">
      <c r="A2512" t="s">
        <v>9047</v>
      </c>
      <c r="C2512" t="s">
        <v>4726</v>
      </c>
      <c r="E2512" t="s">
        <v>8226</v>
      </c>
      <c r="F2512" t="s">
        <v>8190</v>
      </c>
      <c r="G2512">
        <v>383.0</v>
      </c>
      <c r="H2512">
        <v>383.0</v>
      </c>
      <c r="I2512" t="s">
        <v>269</v>
      </c>
      <c r="J2512" t="s">
        <v>270</v>
      </c>
      <c r="K2512" t="s">
        <v>31</v>
      </c>
      <c r="L2512" t="s">
        <v>32</v>
      </c>
      <c r="M2512" t="s">
        <v>33</v>
      </c>
      <c r="P2512" s="1" t="s">
        <v>9048</v>
      </c>
      <c r="Q2512" s="1" t="s">
        <v>8226</v>
      </c>
      <c r="R2512" s="1" t="s">
        <v>8226</v>
      </c>
      <c r="S2512" s="1"/>
      <c r="T2512" s="1" t="s">
        <v>4726</v>
      </c>
      <c r="U2512" s="1"/>
      <c r="V2512" s="1">
        <v>383.0</v>
      </c>
      <c r="W2512" s="1">
        <v>383.0</v>
      </c>
      <c r="X2512" s="1" t="s">
        <v>35</v>
      </c>
      <c r="Y2512" s="1">
        <v>383000.0</v>
      </c>
      <c r="Z2512" s="1"/>
      <c r="AA2512" s="1">
        <v>383000.0</v>
      </c>
      <c r="AB2512" s="1"/>
      <c r="AC2512" s="1" t="s">
        <v>36</v>
      </c>
      <c r="AD2512" s="1" t="s">
        <v>9049</v>
      </c>
      <c r="AE2512" s="1" t="s">
        <v>32</v>
      </c>
      <c r="AF2512" s="1" t="s">
        <v>33</v>
      </c>
      <c r="AG2512" s="1" t="s">
        <v>270</v>
      </c>
    </row>
    <row r="2513" spans="1:33">
      <c r="A2513" t="s">
        <v>9050</v>
      </c>
      <c r="B2513" t="s">
        <v>9051</v>
      </c>
      <c r="C2513" t="s">
        <v>172</v>
      </c>
      <c r="E2513" t="s">
        <v>8226</v>
      </c>
      <c r="F2513" t="s">
        <v>8190</v>
      </c>
      <c r="G2513">
        <v>104.91</v>
      </c>
      <c r="H2513">
        <v>104.91</v>
      </c>
      <c r="I2513" t="s">
        <v>173</v>
      </c>
      <c r="J2513" t="s">
        <v>174</v>
      </c>
      <c r="K2513" t="s">
        <v>31</v>
      </c>
      <c r="L2513" t="s">
        <v>32</v>
      </c>
      <c r="M2513" t="s">
        <v>33</v>
      </c>
      <c r="P2513" s="1" t="s">
        <v>9052</v>
      </c>
      <c r="Q2513" s="1" t="s">
        <v>8226</v>
      </c>
      <c r="R2513" s="1" t="s">
        <v>8226</v>
      </c>
      <c r="S2513" s="1"/>
      <c r="T2513" s="1" t="s">
        <v>172</v>
      </c>
      <c r="U2513" s="1"/>
      <c r="V2513" s="1">
        <v>104.91</v>
      </c>
      <c r="W2513" s="1">
        <v>104.91</v>
      </c>
      <c r="X2513" s="1" t="s">
        <v>35</v>
      </c>
      <c r="Y2513" s="1">
        <v>104910.0</v>
      </c>
      <c r="Z2513" s="1"/>
      <c r="AA2513" s="1">
        <v>104910.0</v>
      </c>
      <c r="AB2513" s="1"/>
      <c r="AC2513" s="1" t="s">
        <v>36</v>
      </c>
      <c r="AD2513" s="1" t="s">
        <v>9053</v>
      </c>
      <c r="AE2513" s="1" t="s">
        <v>32</v>
      </c>
      <c r="AF2513" s="1" t="s">
        <v>33</v>
      </c>
      <c r="AG2513" s="1" t="s">
        <v>174</v>
      </c>
    </row>
    <row r="2514" spans="1:33">
      <c r="A2514" t="s">
        <v>9054</v>
      </c>
      <c r="C2514" t="s">
        <v>1197</v>
      </c>
      <c r="D2514" t="s">
        <v>154</v>
      </c>
      <c r="E2514" t="s">
        <v>8226</v>
      </c>
      <c r="F2514" t="s">
        <v>8190</v>
      </c>
      <c r="G2514">
        <v>688.0</v>
      </c>
      <c r="H2514">
        <v>688.0</v>
      </c>
      <c r="I2514" t="s">
        <v>269</v>
      </c>
      <c r="J2514" t="s">
        <v>270</v>
      </c>
      <c r="K2514" t="s">
        <v>31</v>
      </c>
      <c r="L2514" t="s">
        <v>32</v>
      </c>
      <c r="M2514" t="s">
        <v>33</v>
      </c>
      <c r="P2514" s="1" t="s">
        <v>9055</v>
      </c>
      <c r="Q2514" s="1" t="s">
        <v>8226</v>
      </c>
      <c r="R2514" s="1" t="s">
        <v>8226</v>
      </c>
      <c r="S2514" s="1"/>
      <c r="T2514" s="1" t="s">
        <v>1197</v>
      </c>
      <c r="U2514" s="1"/>
      <c r="V2514" s="1">
        <v>688.0</v>
      </c>
      <c r="W2514" s="1">
        <v>688.0</v>
      </c>
      <c r="X2514" s="1" t="s">
        <v>35</v>
      </c>
      <c r="Y2514" s="1">
        <v>688000.0</v>
      </c>
      <c r="Z2514" s="1"/>
      <c r="AA2514" s="1">
        <v>688000.0</v>
      </c>
      <c r="AB2514" s="1"/>
      <c r="AC2514" s="1" t="s">
        <v>36</v>
      </c>
      <c r="AD2514" s="1" t="s">
        <v>9056</v>
      </c>
      <c r="AE2514" s="1" t="s">
        <v>32</v>
      </c>
      <c r="AF2514" s="1" t="s">
        <v>33</v>
      </c>
      <c r="AG2514" s="1" t="s">
        <v>270</v>
      </c>
    </row>
    <row r="2515" spans="1:33">
      <c r="A2515" t="s">
        <v>9057</v>
      </c>
      <c r="C2515" t="s">
        <v>9058</v>
      </c>
      <c r="E2515" t="s">
        <v>8226</v>
      </c>
      <c r="F2515" t="s">
        <v>8190</v>
      </c>
      <c r="G2515">
        <v>492.55</v>
      </c>
      <c r="H2515">
        <v>492.55</v>
      </c>
      <c r="I2515" t="s">
        <v>269</v>
      </c>
      <c r="J2515" t="s">
        <v>270</v>
      </c>
      <c r="K2515" t="s">
        <v>31</v>
      </c>
      <c r="L2515" t="s">
        <v>32</v>
      </c>
      <c r="M2515" t="s">
        <v>33</v>
      </c>
      <c r="P2515" s="1" t="s">
        <v>9059</v>
      </c>
      <c r="Q2515" s="1" t="s">
        <v>8226</v>
      </c>
      <c r="R2515" s="1" t="s">
        <v>8226</v>
      </c>
      <c r="S2515" s="1"/>
      <c r="T2515" s="1" t="s">
        <v>9058</v>
      </c>
      <c r="U2515" s="1"/>
      <c r="V2515" s="1">
        <v>492.55</v>
      </c>
      <c r="W2515" s="1">
        <v>492.55</v>
      </c>
      <c r="X2515" s="1" t="s">
        <v>35</v>
      </c>
      <c r="Y2515" s="1">
        <v>492550.0</v>
      </c>
      <c r="Z2515" s="1"/>
      <c r="AA2515" s="1">
        <v>492550.0</v>
      </c>
      <c r="AB2515" s="1"/>
      <c r="AC2515" s="1" t="s">
        <v>36</v>
      </c>
      <c r="AD2515" s="1" t="s">
        <v>9060</v>
      </c>
      <c r="AE2515" s="1" t="s">
        <v>32</v>
      </c>
      <c r="AF2515" s="1" t="s">
        <v>33</v>
      </c>
      <c r="AG2515" s="1" t="s">
        <v>270</v>
      </c>
    </row>
    <row r="2516" spans="1:33">
      <c r="A2516" t="s">
        <v>9061</v>
      </c>
      <c r="B2516">
        <v>680475070</v>
      </c>
      <c r="C2516" t="s">
        <v>1933</v>
      </c>
      <c r="E2516" t="s">
        <v>8226</v>
      </c>
      <c r="F2516" t="s">
        <v>8190</v>
      </c>
      <c r="G2516">
        <v>1.541</v>
      </c>
      <c r="H2516">
        <v>1.541</v>
      </c>
      <c r="I2516" t="s">
        <v>40</v>
      </c>
      <c r="J2516" t="s">
        <v>41</v>
      </c>
      <c r="K2516" t="s">
        <v>31</v>
      </c>
      <c r="L2516" t="s">
        <v>32</v>
      </c>
      <c r="M2516" t="s">
        <v>33</v>
      </c>
      <c r="P2516" s="1" t="s">
        <v>9062</v>
      </c>
      <c r="Q2516" s="1" t="s">
        <v>8226</v>
      </c>
      <c r="R2516" s="1" t="s">
        <v>7413</v>
      </c>
      <c r="S2516" s="1"/>
      <c r="T2516" s="1" t="s">
        <v>1933</v>
      </c>
      <c r="U2516" s="1"/>
      <c r="V2516" s="1">
        <v>1.541</v>
      </c>
      <c r="W2516" s="1">
        <v>1.541</v>
      </c>
      <c r="X2516" s="1" t="s">
        <v>35</v>
      </c>
      <c r="Y2516" s="1">
        <v>1542000.0</v>
      </c>
      <c r="Z2516" s="1">
        <v>-500</v>
      </c>
      <c r="AA2516" s="1">
        <v>1542000.0</v>
      </c>
      <c r="AB2516" s="1">
        <v>-500</v>
      </c>
      <c r="AC2516" s="1" t="s">
        <v>36</v>
      </c>
      <c r="AD2516" s="1" t="s">
        <v>9063</v>
      </c>
      <c r="AE2516" s="1" t="s">
        <v>32</v>
      </c>
      <c r="AF2516" s="1" t="s">
        <v>33</v>
      </c>
      <c r="AG2516" s="1" t="s">
        <v>41</v>
      </c>
    </row>
    <row r="2517" spans="1:33">
      <c r="A2517" t="s">
        <v>9064</v>
      </c>
      <c r="C2517" t="s">
        <v>763</v>
      </c>
      <c r="E2517" t="s">
        <v>8226</v>
      </c>
      <c r="F2517" t="s">
        <v>8190</v>
      </c>
      <c r="G2517">
        <v>840.0</v>
      </c>
      <c r="H2517">
        <v>840.0</v>
      </c>
      <c r="I2517" t="s">
        <v>179</v>
      </c>
      <c r="J2517" t="s">
        <v>180</v>
      </c>
      <c r="K2517" t="s">
        <v>31</v>
      </c>
      <c r="L2517" t="s">
        <v>32</v>
      </c>
      <c r="M2517" t="s">
        <v>33</v>
      </c>
      <c r="P2517" s="1" t="s">
        <v>9065</v>
      </c>
      <c r="Q2517" s="1" t="s">
        <v>8226</v>
      </c>
      <c r="R2517" s="1" t="s">
        <v>8226</v>
      </c>
      <c r="S2517" s="1"/>
      <c r="T2517" s="1" t="s">
        <v>763</v>
      </c>
      <c r="U2517" s="1"/>
      <c r="V2517" s="1">
        <v>840.0</v>
      </c>
      <c r="W2517" s="1">
        <v>840.0</v>
      </c>
      <c r="X2517" s="1" t="s">
        <v>35</v>
      </c>
      <c r="Y2517" s="1">
        <v>840000.0</v>
      </c>
      <c r="Z2517" s="1"/>
      <c r="AA2517" s="1">
        <v>840000.0</v>
      </c>
      <c r="AB2517" s="1"/>
      <c r="AC2517" s="1" t="s">
        <v>36</v>
      </c>
      <c r="AD2517" s="1" t="s">
        <v>9066</v>
      </c>
      <c r="AE2517" s="1" t="s">
        <v>32</v>
      </c>
      <c r="AF2517" s="1" t="s">
        <v>33</v>
      </c>
      <c r="AG2517" s="1" t="s">
        <v>180</v>
      </c>
    </row>
    <row r="2518" spans="1:33">
      <c r="A2518" t="s">
        <v>9067</v>
      </c>
      <c r="C2518" t="s">
        <v>569</v>
      </c>
      <c r="E2518" t="s">
        <v>8226</v>
      </c>
      <c r="F2518" t="s">
        <v>8190</v>
      </c>
      <c r="G2518">
        <v>36.98</v>
      </c>
      <c r="H2518">
        <v>36.98</v>
      </c>
      <c r="I2518" t="s">
        <v>570</v>
      </c>
      <c r="J2518" t="s">
        <v>571</v>
      </c>
      <c r="K2518" t="s">
        <v>31</v>
      </c>
      <c r="L2518" t="s">
        <v>32</v>
      </c>
      <c r="M2518" t="s">
        <v>33</v>
      </c>
      <c r="P2518" s="1" t="s">
        <v>9068</v>
      </c>
      <c r="Q2518" s="1" t="s">
        <v>8226</v>
      </c>
      <c r="R2518" s="1" t="s">
        <v>8226</v>
      </c>
      <c r="S2518" s="1"/>
      <c r="T2518" s="1" t="s">
        <v>569</v>
      </c>
      <c r="U2518" s="1"/>
      <c r="V2518" s="1">
        <v>36.98</v>
      </c>
      <c r="W2518" s="1">
        <v>36.98</v>
      </c>
      <c r="X2518" s="1" t="s">
        <v>35</v>
      </c>
      <c r="Y2518" s="1">
        <v>36980.0</v>
      </c>
      <c r="Z2518" s="1"/>
      <c r="AA2518" s="1">
        <v>36980.0</v>
      </c>
      <c r="AB2518" s="1"/>
      <c r="AC2518" s="1" t="s">
        <v>36</v>
      </c>
      <c r="AD2518" s="1" t="s">
        <v>9069</v>
      </c>
      <c r="AE2518" s="1" t="s">
        <v>32</v>
      </c>
      <c r="AF2518" s="1" t="s">
        <v>33</v>
      </c>
      <c r="AG2518" s="1" t="s">
        <v>571</v>
      </c>
    </row>
    <row r="2519" spans="1:33">
      <c r="A2519" t="s">
        <v>9070</v>
      </c>
      <c r="C2519" t="s">
        <v>3579</v>
      </c>
      <c r="E2519" t="s">
        <v>8226</v>
      </c>
      <c r="F2519" t="s">
        <v>8190</v>
      </c>
      <c r="G2519">
        <v>540.0</v>
      </c>
      <c r="H2519">
        <v>540.0</v>
      </c>
      <c r="I2519" t="s">
        <v>126</v>
      </c>
      <c r="J2519" t="s">
        <v>127</v>
      </c>
      <c r="K2519" t="s">
        <v>31</v>
      </c>
      <c r="L2519" t="s">
        <v>32</v>
      </c>
      <c r="M2519" t="s">
        <v>33</v>
      </c>
      <c r="P2519" s="1" t="s">
        <v>9071</v>
      </c>
      <c r="Q2519" s="1" t="s">
        <v>8226</v>
      </c>
      <c r="R2519" s="1" t="s">
        <v>8226</v>
      </c>
      <c r="S2519" s="1"/>
      <c r="T2519" s="1" t="s">
        <v>3579</v>
      </c>
      <c r="U2519" s="1"/>
      <c r="V2519" s="1">
        <v>540.0</v>
      </c>
      <c r="W2519" s="1">
        <v>540.0</v>
      </c>
      <c r="X2519" s="1" t="s">
        <v>35</v>
      </c>
      <c r="Y2519" s="1">
        <v>540000.0</v>
      </c>
      <c r="Z2519" s="1"/>
      <c r="AA2519" s="1">
        <v>540000.0</v>
      </c>
      <c r="AB2519" s="1"/>
      <c r="AC2519" s="1" t="s">
        <v>36</v>
      </c>
      <c r="AD2519" s="1" t="s">
        <v>9072</v>
      </c>
      <c r="AE2519" s="1" t="s">
        <v>32</v>
      </c>
      <c r="AF2519" s="1" t="s">
        <v>33</v>
      </c>
      <c r="AG2519" s="1" t="s">
        <v>127</v>
      </c>
    </row>
    <row r="2520" spans="1:33">
      <c r="A2520" t="s">
        <v>9073</v>
      </c>
      <c r="B2520" t="s">
        <v>5104</v>
      </c>
      <c r="C2520" t="s">
        <v>172</v>
      </c>
      <c r="E2520" t="s">
        <v>8226</v>
      </c>
      <c r="F2520" t="s">
        <v>8190</v>
      </c>
      <c r="G2520">
        <v>86.906</v>
      </c>
      <c r="H2520">
        <v>86.906</v>
      </c>
      <c r="I2520" t="s">
        <v>173</v>
      </c>
      <c r="J2520" t="s">
        <v>174</v>
      </c>
      <c r="K2520" t="s">
        <v>31</v>
      </c>
      <c r="L2520" t="s">
        <v>32</v>
      </c>
      <c r="M2520" t="s">
        <v>33</v>
      </c>
      <c r="P2520" s="1" t="s">
        <v>9074</v>
      </c>
      <c r="Q2520" s="1" t="s">
        <v>8226</v>
      </c>
      <c r="R2520" s="1" t="s">
        <v>8226</v>
      </c>
      <c r="S2520" s="1"/>
      <c r="T2520" s="1" t="s">
        <v>172</v>
      </c>
      <c r="U2520" s="1"/>
      <c r="V2520" s="1">
        <v>86.906</v>
      </c>
      <c r="W2520" s="1">
        <v>86.906</v>
      </c>
      <c r="X2520" s="1" t="s">
        <v>35</v>
      </c>
      <c r="Y2520" s="1">
        <v>86906.0</v>
      </c>
      <c r="Z2520" s="1"/>
      <c r="AA2520" s="1">
        <v>86906.0</v>
      </c>
      <c r="AB2520" s="1"/>
      <c r="AC2520" s="1" t="s">
        <v>36</v>
      </c>
      <c r="AD2520" s="1" t="s">
        <v>9075</v>
      </c>
      <c r="AE2520" s="1" t="s">
        <v>32</v>
      </c>
      <c r="AF2520" s="1" t="s">
        <v>33</v>
      </c>
      <c r="AG2520" s="1" t="s">
        <v>174</v>
      </c>
    </row>
    <row r="2521" spans="1:33">
      <c r="A2521" t="s">
        <v>9076</v>
      </c>
      <c r="B2521" t="s">
        <v>201</v>
      </c>
      <c r="C2521" t="s">
        <v>202</v>
      </c>
      <c r="D2521" t="s">
        <v>154</v>
      </c>
      <c r="E2521" t="s">
        <v>8226</v>
      </c>
      <c r="F2521" t="s">
        <v>8190</v>
      </c>
      <c r="G2521">
        <v>439.5</v>
      </c>
      <c r="H2521">
        <v>439.5</v>
      </c>
      <c r="I2521" t="s">
        <v>59</v>
      </c>
      <c r="J2521" t="s">
        <v>60</v>
      </c>
      <c r="K2521" t="s">
        <v>31</v>
      </c>
      <c r="L2521" t="s">
        <v>32</v>
      </c>
      <c r="M2521" t="s">
        <v>33</v>
      </c>
      <c r="P2521" s="1" t="s">
        <v>9077</v>
      </c>
      <c r="Q2521" s="1" t="s">
        <v>8226</v>
      </c>
      <c r="R2521" s="1" t="s">
        <v>8226</v>
      </c>
      <c r="S2521" s="1"/>
      <c r="T2521" s="1" t="s">
        <v>202</v>
      </c>
      <c r="U2521" s="1"/>
      <c r="V2521" s="1">
        <v>439.5</v>
      </c>
      <c r="W2521" s="1">
        <v>439.5</v>
      </c>
      <c r="X2521" s="1" t="s">
        <v>35</v>
      </c>
      <c r="Y2521" s="1">
        <v>439500.0</v>
      </c>
      <c r="Z2521" s="1"/>
      <c r="AA2521" s="1">
        <v>439500.0</v>
      </c>
      <c r="AB2521" s="1"/>
      <c r="AC2521" s="1" t="s">
        <v>36</v>
      </c>
      <c r="AD2521" s="1" t="s">
        <v>9078</v>
      </c>
      <c r="AE2521" s="1" t="s">
        <v>32</v>
      </c>
      <c r="AF2521" s="1" t="s">
        <v>33</v>
      </c>
      <c r="AG2521" s="1" t="s">
        <v>60</v>
      </c>
    </row>
    <row r="2522" spans="1:33">
      <c r="A2522" t="s">
        <v>9079</v>
      </c>
      <c r="B2522" t="s">
        <v>9080</v>
      </c>
      <c r="C2522" t="s">
        <v>268</v>
      </c>
      <c r="E2522" t="s">
        <v>8226</v>
      </c>
      <c r="F2522" t="s">
        <v>8190</v>
      </c>
      <c r="G2522">
        <v>61.1</v>
      </c>
      <c r="H2522">
        <v>61.1</v>
      </c>
      <c r="I2522" t="s">
        <v>269</v>
      </c>
      <c r="J2522" t="s">
        <v>270</v>
      </c>
      <c r="K2522" t="s">
        <v>31</v>
      </c>
      <c r="L2522" t="s">
        <v>32</v>
      </c>
      <c r="M2522" t="s">
        <v>33</v>
      </c>
      <c r="P2522" s="1" t="s">
        <v>9081</v>
      </c>
      <c r="Q2522" s="1" t="s">
        <v>8226</v>
      </c>
      <c r="R2522" s="1" t="s">
        <v>8226</v>
      </c>
      <c r="S2522" s="1"/>
      <c r="T2522" s="1" t="s">
        <v>268</v>
      </c>
      <c r="U2522" s="1"/>
      <c r="V2522" s="1">
        <v>61.1</v>
      </c>
      <c r="W2522" s="1">
        <v>61.1</v>
      </c>
      <c r="X2522" s="1" t="s">
        <v>35</v>
      </c>
      <c r="Y2522" s="1">
        <v>61100.0</v>
      </c>
      <c r="Z2522" s="1"/>
      <c r="AA2522" s="1">
        <v>61100.0</v>
      </c>
      <c r="AB2522" s="1"/>
      <c r="AC2522" s="1" t="s">
        <v>36</v>
      </c>
      <c r="AD2522" s="1" t="s">
        <v>9082</v>
      </c>
      <c r="AE2522" s="1" t="s">
        <v>32</v>
      </c>
      <c r="AF2522" s="1" t="s">
        <v>33</v>
      </c>
      <c r="AG2522" s="1" t="s">
        <v>270</v>
      </c>
    </row>
    <row r="2523" spans="1:33">
      <c r="A2523" t="s">
        <v>9083</v>
      </c>
      <c r="B2523" t="s">
        <v>510</v>
      </c>
      <c r="C2523" t="s">
        <v>125</v>
      </c>
      <c r="E2523" t="s">
        <v>8226</v>
      </c>
      <c r="F2523" t="s">
        <v>8190</v>
      </c>
      <c r="G2523">
        <v>121.47</v>
      </c>
      <c r="H2523">
        <v>121.47</v>
      </c>
      <c r="I2523" t="s">
        <v>126</v>
      </c>
      <c r="J2523" t="s">
        <v>127</v>
      </c>
      <c r="K2523" t="s">
        <v>31</v>
      </c>
      <c r="L2523" t="s">
        <v>32</v>
      </c>
      <c r="M2523" t="s">
        <v>33</v>
      </c>
      <c r="P2523" s="1" t="s">
        <v>9084</v>
      </c>
      <c r="Q2523" s="1" t="s">
        <v>8226</v>
      </c>
      <c r="R2523" s="1" t="s">
        <v>8226</v>
      </c>
      <c r="S2523" s="1"/>
      <c r="T2523" s="1" t="s">
        <v>125</v>
      </c>
      <c r="U2523" s="1"/>
      <c r="V2523" s="1">
        <v>121.47</v>
      </c>
      <c r="W2523" s="1">
        <v>121.47</v>
      </c>
      <c r="X2523" s="1" t="s">
        <v>35</v>
      </c>
      <c r="Y2523" s="1">
        <v>121470.0</v>
      </c>
      <c r="Z2523" s="1"/>
      <c r="AA2523" s="1">
        <v>121470.0</v>
      </c>
      <c r="AB2523" s="1"/>
      <c r="AC2523" s="1" t="s">
        <v>36</v>
      </c>
      <c r="AD2523" s="1" t="s">
        <v>9085</v>
      </c>
      <c r="AE2523" s="1" t="s">
        <v>32</v>
      </c>
      <c r="AF2523" s="1" t="s">
        <v>33</v>
      </c>
      <c r="AG2523" s="1" t="s">
        <v>127</v>
      </c>
    </row>
    <row r="2524" spans="1:33">
      <c r="A2524" t="s">
        <v>9086</v>
      </c>
      <c r="C2524" t="s">
        <v>9087</v>
      </c>
      <c r="E2524" t="s">
        <v>8226</v>
      </c>
      <c r="F2524" t="s">
        <v>8190</v>
      </c>
      <c r="G2524">
        <v>1.194</v>
      </c>
      <c r="H2524">
        <v>1.194</v>
      </c>
      <c r="I2524" t="s">
        <v>269</v>
      </c>
      <c r="J2524" t="s">
        <v>270</v>
      </c>
      <c r="K2524" t="s">
        <v>31</v>
      </c>
      <c r="L2524" t="s">
        <v>32</v>
      </c>
      <c r="M2524" t="s">
        <v>33</v>
      </c>
      <c r="P2524" s="1" t="s">
        <v>9088</v>
      </c>
      <c r="Q2524" s="1" t="s">
        <v>8226</v>
      </c>
      <c r="R2524" s="1" t="s">
        <v>8226</v>
      </c>
      <c r="S2524" s="1"/>
      <c r="T2524" s="1" t="s">
        <v>9087</v>
      </c>
      <c r="U2524" s="1"/>
      <c r="V2524" s="1">
        <v>1.194</v>
      </c>
      <c r="W2524" s="1">
        <v>1.194</v>
      </c>
      <c r="X2524" s="1" t="s">
        <v>35</v>
      </c>
      <c r="Y2524" s="1">
        <v>1194000.0</v>
      </c>
      <c r="Z2524" s="1"/>
      <c r="AA2524" s="1">
        <v>1194000.0</v>
      </c>
      <c r="AB2524" s="1"/>
      <c r="AC2524" s="1" t="s">
        <v>36</v>
      </c>
      <c r="AD2524" s="1" t="s">
        <v>9089</v>
      </c>
      <c r="AE2524" s="1" t="s">
        <v>32</v>
      </c>
      <c r="AF2524" s="1" t="s">
        <v>33</v>
      </c>
      <c r="AG2524" s="1" t="s">
        <v>270</v>
      </c>
    </row>
    <row r="2525" spans="1:33">
      <c r="A2525" t="s">
        <v>9090</v>
      </c>
      <c r="C2525" t="s">
        <v>2284</v>
      </c>
      <c r="E2525" t="s">
        <v>8226</v>
      </c>
      <c r="F2525" t="s">
        <v>8190</v>
      </c>
      <c r="G2525">
        <v>656.0</v>
      </c>
      <c r="H2525">
        <v>656.0</v>
      </c>
      <c r="I2525" t="s">
        <v>269</v>
      </c>
      <c r="J2525" t="s">
        <v>270</v>
      </c>
      <c r="K2525" t="s">
        <v>31</v>
      </c>
      <c r="L2525" t="s">
        <v>32</v>
      </c>
      <c r="M2525" t="s">
        <v>33</v>
      </c>
      <c r="P2525" s="1" t="s">
        <v>9091</v>
      </c>
      <c r="Q2525" s="1" t="s">
        <v>8226</v>
      </c>
      <c r="R2525" s="1" t="s">
        <v>8226</v>
      </c>
      <c r="S2525" s="1"/>
      <c r="T2525" s="1" t="s">
        <v>2284</v>
      </c>
      <c r="U2525" s="1"/>
      <c r="V2525" s="1">
        <v>656.0</v>
      </c>
      <c r="W2525" s="1">
        <v>656.0</v>
      </c>
      <c r="X2525" s="1" t="s">
        <v>35</v>
      </c>
      <c r="Y2525" s="1">
        <v>656000.0</v>
      </c>
      <c r="Z2525" s="1"/>
      <c r="AA2525" s="1">
        <v>656000.0</v>
      </c>
      <c r="AB2525" s="1"/>
      <c r="AC2525" s="1" t="s">
        <v>36</v>
      </c>
      <c r="AD2525" s="1" t="s">
        <v>9092</v>
      </c>
      <c r="AE2525" s="1" t="s">
        <v>32</v>
      </c>
      <c r="AF2525" s="1" t="s">
        <v>33</v>
      </c>
      <c r="AG2525" s="1" t="s">
        <v>270</v>
      </c>
    </row>
    <row r="2526" spans="1:33">
      <c r="A2526" t="s">
        <v>9093</v>
      </c>
      <c r="C2526" t="s">
        <v>3104</v>
      </c>
      <c r="E2526" t="s">
        <v>8226</v>
      </c>
      <c r="F2526" t="s">
        <v>8190</v>
      </c>
      <c r="G2526">
        <v>686.0</v>
      </c>
      <c r="H2526">
        <v>686.0</v>
      </c>
      <c r="I2526" t="s">
        <v>269</v>
      </c>
      <c r="J2526" t="s">
        <v>270</v>
      </c>
      <c r="K2526" t="s">
        <v>31</v>
      </c>
      <c r="L2526" t="s">
        <v>32</v>
      </c>
      <c r="M2526" t="s">
        <v>33</v>
      </c>
      <c r="P2526" s="1" t="s">
        <v>9094</v>
      </c>
      <c r="Q2526" s="1" t="s">
        <v>8226</v>
      </c>
      <c r="R2526" s="1" t="s">
        <v>8226</v>
      </c>
      <c r="S2526" s="1"/>
      <c r="T2526" s="1" t="s">
        <v>3104</v>
      </c>
      <c r="U2526" s="1"/>
      <c r="V2526" s="1">
        <v>686.0</v>
      </c>
      <c r="W2526" s="1">
        <v>686.0</v>
      </c>
      <c r="X2526" s="1" t="s">
        <v>35</v>
      </c>
      <c r="Y2526" s="1">
        <v>686000.0</v>
      </c>
      <c r="Z2526" s="1"/>
      <c r="AA2526" s="1">
        <v>686000.0</v>
      </c>
      <c r="AB2526" s="1"/>
      <c r="AC2526" s="1" t="s">
        <v>36</v>
      </c>
      <c r="AD2526" s="1" t="s">
        <v>9095</v>
      </c>
      <c r="AE2526" s="1" t="s">
        <v>32</v>
      </c>
      <c r="AF2526" s="1" t="s">
        <v>33</v>
      </c>
      <c r="AG2526" s="1" t="s">
        <v>270</v>
      </c>
    </row>
    <row r="2527" spans="1:33">
      <c r="A2527" t="s">
        <v>9096</v>
      </c>
      <c r="B2527" t="s">
        <v>8255</v>
      </c>
      <c r="C2527" t="s">
        <v>268</v>
      </c>
      <c r="E2527" t="s">
        <v>8226</v>
      </c>
      <c r="F2527" t="s">
        <v>8190</v>
      </c>
      <c r="G2527">
        <v>45.15</v>
      </c>
      <c r="H2527">
        <v>45.15</v>
      </c>
      <c r="I2527" t="s">
        <v>269</v>
      </c>
      <c r="J2527" t="s">
        <v>270</v>
      </c>
      <c r="K2527" t="s">
        <v>31</v>
      </c>
      <c r="L2527" t="s">
        <v>32</v>
      </c>
      <c r="M2527" t="s">
        <v>33</v>
      </c>
      <c r="P2527" s="1" t="s">
        <v>9097</v>
      </c>
      <c r="Q2527" s="1" t="s">
        <v>8226</v>
      </c>
      <c r="R2527" s="1" t="s">
        <v>8226</v>
      </c>
      <c r="S2527" s="1"/>
      <c r="T2527" s="1" t="s">
        <v>268</v>
      </c>
      <c r="U2527" s="1"/>
      <c r="V2527" s="1">
        <v>45.15</v>
      </c>
      <c r="W2527" s="1">
        <v>45.15</v>
      </c>
      <c r="X2527" s="1" t="s">
        <v>35</v>
      </c>
      <c r="Y2527" s="1">
        <v>45150.0</v>
      </c>
      <c r="Z2527" s="1"/>
      <c r="AA2527" s="1">
        <v>45150.0</v>
      </c>
      <c r="AB2527" s="1"/>
      <c r="AC2527" s="1" t="s">
        <v>36</v>
      </c>
      <c r="AD2527" s="1" t="s">
        <v>9095</v>
      </c>
      <c r="AE2527" s="1" t="s">
        <v>32</v>
      </c>
      <c r="AF2527" s="1" t="s">
        <v>33</v>
      </c>
      <c r="AG2527" s="1" t="s">
        <v>270</v>
      </c>
    </row>
    <row r="2528" spans="1:33">
      <c r="A2528" t="s">
        <v>9098</v>
      </c>
      <c r="C2528" t="s">
        <v>9099</v>
      </c>
      <c r="E2528" t="s">
        <v>8226</v>
      </c>
      <c r="F2528" t="s">
        <v>8190</v>
      </c>
      <c r="G2528">
        <v>629.5</v>
      </c>
      <c r="H2528">
        <v>629.5</v>
      </c>
      <c r="I2528" t="s">
        <v>269</v>
      </c>
      <c r="J2528" t="s">
        <v>270</v>
      </c>
      <c r="K2528" t="s">
        <v>31</v>
      </c>
      <c r="L2528" t="s">
        <v>32</v>
      </c>
      <c r="M2528" t="s">
        <v>33</v>
      </c>
      <c r="P2528" s="1" t="s">
        <v>9100</v>
      </c>
      <c r="Q2528" s="1" t="s">
        <v>8226</v>
      </c>
      <c r="R2528" s="1" t="s">
        <v>8226</v>
      </c>
      <c r="S2528" s="1"/>
      <c r="T2528" s="1" t="s">
        <v>9101</v>
      </c>
      <c r="U2528" s="1" t="s">
        <v>9102</v>
      </c>
      <c r="V2528" s="1">
        <v>629.5</v>
      </c>
      <c r="W2528" s="1">
        <v>629.5</v>
      </c>
      <c r="X2528" s="1" t="s">
        <v>35</v>
      </c>
      <c r="Y2528" s="1">
        <v>629500.0</v>
      </c>
      <c r="Z2528" s="1"/>
      <c r="AA2528" s="1">
        <v>629500.0</v>
      </c>
      <c r="AB2528" s="1"/>
      <c r="AC2528" s="1" t="s">
        <v>36</v>
      </c>
      <c r="AD2528" s="1" t="s">
        <v>9103</v>
      </c>
      <c r="AE2528" s="1" t="s">
        <v>32</v>
      </c>
      <c r="AF2528" s="1" t="s">
        <v>33</v>
      </c>
      <c r="AG2528" s="1" t="s">
        <v>270</v>
      </c>
    </row>
    <row r="2529" spans="1:33">
      <c r="A2529" t="s">
        <v>9104</v>
      </c>
      <c r="B2529" t="s">
        <v>1158</v>
      </c>
      <c r="C2529" t="s">
        <v>172</v>
      </c>
      <c r="E2529" t="s">
        <v>8226</v>
      </c>
      <c r="F2529" t="s">
        <v>8190</v>
      </c>
      <c r="G2529">
        <v>11.74</v>
      </c>
      <c r="H2529">
        <v>11.74</v>
      </c>
      <c r="I2529" t="s">
        <v>173</v>
      </c>
      <c r="J2529" t="s">
        <v>174</v>
      </c>
      <c r="K2529" t="s">
        <v>31</v>
      </c>
      <c r="L2529" t="s">
        <v>32</v>
      </c>
      <c r="M2529" t="s">
        <v>33</v>
      </c>
      <c r="P2529" s="1" t="s">
        <v>9105</v>
      </c>
      <c r="Q2529" s="1" t="s">
        <v>8226</v>
      </c>
      <c r="R2529" s="1" t="s">
        <v>8226</v>
      </c>
      <c r="S2529" s="1"/>
      <c r="T2529" s="1" t="s">
        <v>172</v>
      </c>
      <c r="U2529" s="1"/>
      <c r="V2529" s="1">
        <v>11.74</v>
      </c>
      <c r="W2529" s="1">
        <v>11.74</v>
      </c>
      <c r="X2529" s="1" t="s">
        <v>35</v>
      </c>
      <c r="Y2529" s="1">
        <v>11740.0</v>
      </c>
      <c r="Z2529" s="1"/>
      <c r="AA2529" s="1">
        <v>11740.0</v>
      </c>
      <c r="AB2529" s="1"/>
      <c r="AC2529" s="1" t="s">
        <v>36</v>
      </c>
      <c r="AD2529" s="1" t="s">
        <v>9106</v>
      </c>
      <c r="AE2529" s="1" t="s">
        <v>32</v>
      </c>
      <c r="AF2529" s="1" t="s">
        <v>33</v>
      </c>
      <c r="AG2529" s="1" t="s">
        <v>174</v>
      </c>
    </row>
    <row r="2530" spans="1:33">
      <c r="A2530" t="s">
        <v>9107</v>
      </c>
      <c r="C2530" t="s">
        <v>9108</v>
      </c>
      <c r="E2530" t="s">
        <v>8226</v>
      </c>
      <c r="F2530" t="s">
        <v>8190</v>
      </c>
      <c r="G2530">
        <v>66.0</v>
      </c>
      <c r="H2530">
        <v>66.0</v>
      </c>
      <c r="I2530" t="s">
        <v>269</v>
      </c>
      <c r="J2530" t="s">
        <v>270</v>
      </c>
      <c r="K2530" t="s">
        <v>31</v>
      </c>
      <c r="L2530" t="s">
        <v>32</v>
      </c>
      <c r="M2530" t="s">
        <v>33</v>
      </c>
      <c r="P2530" s="1" t="s">
        <v>9109</v>
      </c>
      <c r="Q2530" s="1" t="s">
        <v>8226</v>
      </c>
      <c r="R2530" s="1" t="s">
        <v>8226</v>
      </c>
      <c r="S2530" s="1"/>
      <c r="T2530" s="1" t="s">
        <v>9108</v>
      </c>
      <c r="U2530" s="1"/>
      <c r="V2530" s="1">
        <v>66.0</v>
      </c>
      <c r="W2530" s="1">
        <v>66.0</v>
      </c>
      <c r="X2530" s="1" t="s">
        <v>35</v>
      </c>
      <c r="Y2530" s="1">
        <v>66000.0</v>
      </c>
      <c r="Z2530" s="1"/>
      <c r="AA2530" s="1">
        <v>66000.0</v>
      </c>
      <c r="AB2530" s="1"/>
      <c r="AC2530" s="1" t="s">
        <v>36</v>
      </c>
      <c r="AD2530" s="1" t="s">
        <v>9110</v>
      </c>
      <c r="AE2530" s="1" t="s">
        <v>32</v>
      </c>
      <c r="AF2530" s="1" t="s">
        <v>33</v>
      </c>
      <c r="AG2530" s="1" t="s">
        <v>270</v>
      </c>
    </row>
    <row r="2531" spans="1:33">
      <c r="A2531" t="s">
        <v>9111</v>
      </c>
      <c r="B2531" t="s">
        <v>3168</v>
      </c>
      <c r="C2531" t="s">
        <v>3169</v>
      </c>
      <c r="E2531" t="s">
        <v>9112</v>
      </c>
      <c r="F2531" t="s">
        <v>9113</v>
      </c>
      <c r="G2531">
        <v>909.318</v>
      </c>
      <c r="H2531">
        <v>909.318</v>
      </c>
      <c r="I2531" t="s">
        <v>529</v>
      </c>
      <c r="J2531" t="s">
        <v>530</v>
      </c>
      <c r="K2531" t="s">
        <v>31</v>
      </c>
      <c r="L2531" t="s">
        <v>32</v>
      </c>
      <c r="M2531" t="s">
        <v>33</v>
      </c>
      <c r="P2531" s="1" t="s">
        <v>9114</v>
      </c>
      <c r="Q2531" s="1" t="s">
        <v>9112</v>
      </c>
      <c r="R2531" s="1" t="s">
        <v>9115</v>
      </c>
      <c r="S2531" s="1"/>
      <c r="T2531" s="1" t="s">
        <v>3169</v>
      </c>
      <c r="U2531" s="1"/>
      <c r="V2531" s="1">
        <v>909.318</v>
      </c>
      <c r="W2531" s="1">
        <v>909.318</v>
      </c>
      <c r="X2531" s="1" t="s">
        <v>35</v>
      </c>
      <c r="Y2531" s="1">
        <v>909318.0</v>
      </c>
      <c r="Z2531" s="1"/>
      <c r="AA2531" s="1">
        <v>909318.0</v>
      </c>
      <c r="AB2531" s="1"/>
      <c r="AC2531" s="1" t="s">
        <v>36</v>
      </c>
      <c r="AD2531" s="1" t="s">
        <v>9116</v>
      </c>
      <c r="AE2531" s="1" t="s">
        <v>32</v>
      </c>
      <c r="AF2531" s="1" t="s">
        <v>33</v>
      </c>
      <c r="AG2531" s="1" t="s">
        <v>530</v>
      </c>
    </row>
    <row r="2532" spans="1:33">
      <c r="A2532" t="s">
        <v>9117</v>
      </c>
      <c r="C2532" t="s">
        <v>9118</v>
      </c>
      <c r="E2532" t="s">
        <v>9112</v>
      </c>
      <c r="F2532" t="s">
        <v>9113</v>
      </c>
      <c r="G2532">
        <v>848.0</v>
      </c>
      <c r="H2532">
        <v>848.0</v>
      </c>
      <c r="I2532" t="s">
        <v>40</v>
      </c>
      <c r="J2532" t="s">
        <v>41</v>
      </c>
      <c r="K2532" t="s">
        <v>31</v>
      </c>
      <c r="L2532" t="s">
        <v>32</v>
      </c>
      <c r="M2532" t="s">
        <v>33</v>
      </c>
      <c r="P2532" s="1" t="s">
        <v>9119</v>
      </c>
      <c r="Q2532" s="1" t="s">
        <v>9112</v>
      </c>
      <c r="R2532" s="1" t="s">
        <v>9115</v>
      </c>
      <c r="S2532" s="1"/>
      <c r="T2532" s="1" t="s">
        <v>9118</v>
      </c>
      <c r="U2532" s="1"/>
      <c r="V2532" s="1">
        <v>848.0</v>
      </c>
      <c r="W2532" s="1">
        <v>848.0</v>
      </c>
      <c r="X2532" s="1" t="s">
        <v>35</v>
      </c>
      <c r="Y2532" s="1">
        <v>848000.0</v>
      </c>
      <c r="Z2532" s="1"/>
      <c r="AA2532" s="1">
        <v>848000.0</v>
      </c>
      <c r="AB2532" s="1"/>
      <c r="AC2532" s="1" t="s">
        <v>36</v>
      </c>
      <c r="AD2532" s="1" t="s">
        <v>9082</v>
      </c>
      <c r="AE2532" s="1" t="s">
        <v>32</v>
      </c>
      <c r="AF2532" s="1" t="s">
        <v>33</v>
      </c>
      <c r="AG2532" s="1" t="s">
        <v>41</v>
      </c>
    </row>
    <row r="2533" spans="1:33">
      <c r="A2533" t="s">
        <v>9120</v>
      </c>
      <c r="B2533" t="s">
        <v>4519</v>
      </c>
      <c r="C2533" t="s">
        <v>125</v>
      </c>
      <c r="E2533" t="s">
        <v>9112</v>
      </c>
      <c r="F2533" t="s">
        <v>9113</v>
      </c>
      <c r="G2533">
        <v>20.49</v>
      </c>
      <c r="H2533">
        <v>20.49</v>
      </c>
      <c r="I2533" t="s">
        <v>126</v>
      </c>
      <c r="J2533" t="s">
        <v>127</v>
      </c>
      <c r="K2533" t="s">
        <v>31</v>
      </c>
      <c r="L2533" t="s">
        <v>32</v>
      </c>
      <c r="M2533" t="s">
        <v>33</v>
      </c>
      <c r="P2533" s="1" t="s">
        <v>9121</v>
      </c>
      <c r="Q2533" s="1" t="s">
        <v>9112</v>
      </c>
      <c r="R2533" s="1" t="s">
        <v>9112</v>
      </c>
      <c r="S2533" s="1"/>
      <c r="T2533" s="1" t="s">
        <v>125</v>
      </c>
      <c r="U2533" s="1"/>
      <c r="V2533" s="1">
        <v>20.49</v>
      </c>
      <c r="W2533" s="1">
        <v>20.49</v>
      </c>
      <c r="X2533" s="1" t="s">
        <v>35</v>
      </c>
      <c r="Y2533" s="1">
        <v>20490.0</v>
      </c>
      <c r="Z2533" s="1"/>
      <c r="AA2533" s="1">
        <v>20490.0</v>
      </c>
      <c r="AB2533" s="1"/>
      <c r="AC2533" s="1" t="s">
        <v>36</v>
      </c>
      <c r="AD2533" s="1" t="s">
        <v>9122</v>
      </c>
      <c r="AE2533" s="1" t="s">
        <v>32</v>
      </c>
      <c r="AF2533" s="1" t="s">
        <v>33</v>
      </c>
      <c r="AG2533" s="1" t="s">
        <v>127</v>
      </c>
    </row>
    <row r="2534" spans="1:33">
      <c r="A2534" t="s">
        <v>9123</v>
      </c>
      <c r="B2534" t="s">
        <v>9124</v>
      </c>
      <c r="C2534" t="s">
        <v>906</v>
      </c>
      <c r="E2534" t="s">
        <v>9112</v>
      </c>
      <c r="F2534" t="s">
        <v>9113</v>
      </c>
      <c r="G2534">
        <v>84.56</v>
      </c>
      <c r="H2534">
        <v>84.56</v>
      </c>
      <c r="I2534" t="s">
        <v>847</v>
      </c>
      <c r="J2534" t="s">
        <v>848</v>
      </c>
      <c r="K2534" t="s">
        <v>31</v>
      </c>
      <c r="L2534" t="s">
        <v>32</v>
      </c>
      <c r="M2534" t="s">
        <v>33</v>
      </c>
      <c r="P2534" s="1" t="s">
        <v>9125</v>
      </c>
      <c r="Q2534" s="1" t="s">
        <v>9112</v>
      </c>
      <c r="R2534" s="1" t="s">
        <v>9112</v>
      </c>
      <c r="S2534" s="1"/>
      <c r="T2534" s="1" t="s">
        <v>906</v>
      </c>
      <c r="U2534" s="1"/>
      <c r="V2534" s="1">
        <v>84.56</v>
      </c>
      <c r="W2534" s="1">
        <v>84.56</v>
      </c>
      <c r="X2534" s="1" t="s">
        <v>35</v>
      </c>
      <c r="Y2534" s="1">
        <v>84560.0</v>
      </c>
      <c r="Z2534" s="1"/>
      <c r="AA2534" s="1">
        <v>84560.0</v>
      </c>
      <c r="AB2534" s="1"/>
      <c r="AC2534" s="1" t="s">
        <v>36</v>
      </c>
      <c r="AD2534" s="1" t="s">
        <v>9122</v>
      </c>
      <c r="AE2534" s="1" t="s">
        <v>32</v>
      </c>
      <c r="AF2534" s="1" t="s">
        <v>33</v>
      </c>
      <c r="AG2534" s="1" t="s">
        <v>848</v>
      </c>
    </row>
    <row r="2535" spans="1:33">
      <c r="A2535" t="s">
        <v>9126</v>
      </c>
      <c r="B2535" t="s">
        <v>9127</v>
      </c>
      <c r="C2535" t="s">
        <v>906</v>
      </c>
      <c r="E2535" t="s">
        <v>9112</v>
      </c>
      <c r="F2535" t="s">
        <v>9113</v>
      </c>
      <c r="G2535">
        <v>30.1</v>
      </c>
      <c r="H2535">
        <v>30.1</v>
      </c>
      <c r="I2535" t="s">
        <v>847</v>
      </c>
      <c r="J2535" t="s">
        <v>848</v>
      </c>
      <c r="K2535" t="s">
        <v>31</v>
      </c>
      <c r="L2535" t="s">
        <v>32</v>
      </c>
      <c r="M2535" t="s">
        <v>33</v>
      </c>
      <c r="P2535" s="1" t="s">
        <v>9128</v>
      </c>
      <c r="Q2535" s="1" t="s">
        <v>9112</v>
      </c>
      <c r="R2535" s="1" t="s">
        <v>9112</v>
      </c>
      <c r="S2535" s="1"/>
      <c r="T2535" s="1" t="s">
        <v>906</v>
      </c>
      <c r="U2535" s="1"/>
      <c r="V2535" s="1">
        <v>30.1</v>
      </c>
      <c r="W2535" s="1">
        <v>30.1</v>
      </c>
      <c r="X2535" s="1" t="s">
        <v>35</v>
      </c>
      <c r="Y2535" s="1">
        <v>30100.0</v>
      </c>
      <c r="Z2535" s="1"/>
      <c r="AA2535" s="1">
        <v>30100.0</v>
      </c>
      <c r="AB2535" s="1"/>
      <c r="AC2535" s="1" t="s">
        <v>36</v>
      </c>
      <c r="AD2535" s="1" t="s">
        <v>9129</v>
      </c>
      <c r="AE2535" s="1" t="s">
        <v>32</v>
      </c>
      <c r="AF2535" s="1" t="s">
        <v>33</v>
      </c>
      <c r="AG2535" s="1" t="s">
        <v>848</v>
      </c>
    </row>
    <row r="2536" spans="1:33">
      <c r="A2536" t="s">
        <v>9130</v>
      </c>
      <c r="B2536" t="s">
        <v>1598</v>
      </c>
      <c r="C2536" t="s">
        <v>827</v>
      </c>
      <c r="D2536" t="s">
        <v>154</v>
      </c>
      <c r="E2536" t="s">
        <v>9112</v>
      </c>
      <c r="F2536" t="s">
        <v>9113</v>
      </c>
      <c r="G2536">
        <v>583.4</v>
      </c>
      <c r="H2536">
        <v>583.4</v>
      </c>
      <c r="I2536" t="s">
        <v>529</v>
      </c>
      <c r="J2536" t="s">
        <v>530</v>
      </c>
      <c r="K2536" t="s">
        <v>31</v>
      </c>
      <c r="L2536" t="s">
        <v>32</v>
      </c>
      <c r="M2536" t="s">
        <v>33</v>
      </c>
      <c r="P2536" s="1" t="s">
        <v>9131</v>
      </c>
      <c r="Q2536" s="1" t="s">
        <v>9112</v>
      </c>
      <c r="R2536" s="1" t="s">
        <v>9115</v>
      </c>
      <c r="S2536" s="1"/>
      <c r="T2536" s="1" t="s">
        <v>827</v>
      </c>
      <c r="U2536" s="1"/>
      <c r="V2536" s="1">
        <v>583.4</v>
      </c>
      <c r="W2536" s="1">
        <v>583.4</v>
      </c>
      <c r="X2536" s="1" t="s">
        <v>35</v>
      </c>
      <c r="Y2536" s="1">
        <v>583400</v>
      </c>
      <c r="Z2536" s="1"/>
      <c r="AA2536" s="1">
        <v>583400</v>
      </c>
      <c r="AB2536" s="1"/>
      <c r="AC2536" s="1" t="s">
        <v>36</v>
      </c>
      <c r="AD2536" s="1" t="s">
        <v>9132</v>
      </c>
      <c r="AE2536" s="1" t="s">
        <v>32</v>
      </c>
      <c r="AF2536" s="1" t="s">
        <v>33</v>
      </c>
      <c r="AG2536" s="1" t="s">
        <v>530</v>
      </c>
    </row>
    <row r="2537" spans="1:33">
      <c r="A2537" t="s">
        <v>9133</v>
      </c>
      <c r="B2537" t="s">
        <v>9134</v>
      </c>
      <c r="C2537" t="s">
        <v>906</v>
      </c>
      <c r="E2537" t="s">
        <v>9112</v>
      </c>
      <c r="F2537" t="s">
        <v>9113</v>
      </c>
      <c r="G2537">
        <v>63.992</v>
      </c>
      <c r="H2537">
        <v>63.992</v>
      </c>
      <c r="I2537" t="s">
        <v>847</v>
      </c>
      <c r="J2537" t="s">
        <v>848</v>
      </c>
      <c r="K2537" t="s">
        <v>31</v>
      </c>
      <c r="L2537" t="s">
        <v>32</v>
      </c>
      <c r="M2537" t="s">
        <v>33</v>
      </c>
      <c r="P2537" s="1" t="s">
        <v>9135</v>
      </c>
      <c r="Q2537" s="1" t="s">
        <v>9112</v>
      </c>
      <c r="R2537" s="1" t="s">
        <v>9112</v>
      </c>
      <c r="S2537" s="1"/>
      <c r="T2537" s="1" t="s">
        <v>906</v>
      </c>
      <c r="U2537" s="1"/>
      <c r="V2537" s="1">
        <v>63.992</v>
      </c>
      <c r="W2537" s="1">
        <v>63.992</v>
      </c>
      <c r="X2537" s="1" t="s">
        <v>35</v>
      </c>
      <c r="Y2537" s="1">
        <v>64000.0</v>
      </c>
      <c r="Z2537" s="1">
        <v>-8</v>
      </c>
      <c r="AA2537" s="1">
        <v>64000.0</v>
      </c>
      <c r="AB2537" s="1">
        <v>-8</v>
      </c>
      <c r="AC2537" s="1" t="s">
        <v>36</v>
      </c>
      <c r="AD2537" s="1" t="s">
        <v>9136</v>
      </c>
      <c r="AE2537" s="1" t="s">
        <v>32</v>
      </c>
      <c r="AF2537" s="1" t="s">
        <v>33</v>
      </c>
      <c r="AG2537" s="1" t="s">
        <v>848</v>
      </c>
    </row>
    <row r="2538" spans="1:33">
      <c r="A2538" t="s">
        <v>9137</v>
      </c>
      <c r="B2538" t="s">
        <v>5727</v>
      </c>
      <c r="C2538" t="s">
        <v>1758</v>
      </c>
      <c r="E2538" t="s">
        <v>9112</v>
      </c>
      <c r="F2538" t="s">
        <v>9113</v>
      </c>
      <c r="G2538">
        <v>366.12</v>
      </c>
      <c r="H2538">
        <v>366.12</v>
      </c>
      <c r="I2538" t="s">
        <v>529</v>
      </c>
      <c r="J2538" t="s">
        <v>530</v>
      </c>
      <c r="K2538" t="s">
        <v>31</v>
      </c>
      <c r="L2538" t="s">
        <v>32</v>
      </c>
      <c r="M2538" t="s">
        <v>33</v>
      </c>
      <c r="P2538" s="1" t="s">
        <v>9138</v>
      </c>
      <c r="Q2538" s="1" t="s">
        <v>9112</v>
      </c>
      <c r="R2538" s="1" t="s">
        <v>9115</v>
      </c>
      <c r="S2538" s="1"/>
      <c r="T2538" s="1" t="s">
        <v>1758</v>
      </c>
      <c r="U2538" s="1"/>
      <c r="V2538" s="1">
        <v>366.12</v>
      </c>
      <c r="W2538" s="1">
        <v>366.12</v>
      </c>
      <c r="X2538" s="1" t="s">
        <v>35</v>
      </c>
      <c r="Y2538" s="1">
        <v>366120.0</v>
      </c>
      <c r="Z2538" s="1"/>
      <c r="AA2538" s="1">
        <v>366120.0</v>
      </c>
      <c r="AB2538" s="1"/>
      <c r="AC2538" s="1" t="s">
        <v>36</v>
      </c>
      <c r="AD2538" s="1" t="s">
        <v>9139</v>
      </c>
      <c r="AE2538" s="1" t="s">
        <v>32</v>
      </c>
      <c r="AF2538" s="1" t="s">
        <v>33</v>
      </c>
      <c r="AG2538" s="1" t="s">
        <v>530</v>
      </c>
    </row>
    <row r="2539" spans="1:33">
      <c r="A2539" t="s">
        <v>9140</v>
      </c>
      <c r="C2539" t="s">
        <v>617</v>
      </c>
      <c r="E2539" t="s">
        <v>9112</v>
      </c>
      <c r="F2539" t="s">
        <v>9113</v>
      </c>
      <c r="G2539">
        <v>594.0</v>
      </c>
      <c r="H2539">
        <v>594.0</v>
      </c>
      <c r="I2539" t="s">
        <v>40</v>
      </c>
      <c r="J2539" t="s">
        <v>41</v>
      </c>
      <c r="K2539" t="s">
        <v>31</v>
      </c>
      <c r="L2539" t="s">
        <v>32</v>
      </c>
      <c r="M2539" t="s">
        <v>33</v>
      </c>
      <c r="P2539" s="1" t="s">
        <v>9141</v>
      </c>
      <c r="Q2539" s="1" t="s">
        <v>9112</v>
      </c>
      <c r="R2539" s="1" t="s">
        <v>9115</v>
      </c>
      <c r="S2539" s="1"/>
      <c r="T2539" s="1" t="s">
        <v>619</v>
      </c>
      <c r="U2539" s="1" t="s">
        <v>620</v>
      </c>
      <c r="V2539" s="1">
        <v>594.0</v>
      </c>
      <c r="W2539" s="1">
        <v>594.0</v>
      </c>
      <c r="X2539" s="1" t="s">
        <v>35</v>
      </c>
      <c r="Y2539" s="1">
        <v>594000.0</v>
      </c>
      <c r="Z2539" s="1"/>
      <c r="AA2539" s="1">
        <v>594000.0</v>
      </c>
      <c r="AB2539" s="1"/>
      <c r="AC2539" s="1" t="s">
        <v>36</v>
      </c>
      <c r="AD2539" s="1" t="s">
        <v>9142</v>
      </c>
      <c r="AE2539" s="1" t="s">
        <v>32</v>
      </c>
      <c r="AF2539" s="1" t="s">
        <v>33</v>
      </c>
      <c r="AG2539" s="1" t="s">
        <v>41</v>
      </c>
    </row>
    <row r="2540" spans="1:33">
      <c r="A2540" t="s">
        <v>9143</v>
      </c>
      <c r="C2540" t="s">
        <v>3442</v>
      </c>
      <c r="E2540" t="s">
        <v>9112</v>
      </c>
      <c r="F2540" t="s">
        <v>9113</v>
      </c>
      <c r="G2540">
        <v>326.0</v>
      </c>
      <c r="H2540">
        <v>326.0</v>
      </c>
      <c r="I2540" t="s">
        <v>847</v>
      </c>
      <c r="J2540" t="s">
        <v>848</v>
      </c>
      <c r="K2540" t="s">
        <v>31</v>
      </c>
      <c r="L2540" t="s">
        <v>32</v>
      </c>
      <c r="M2540" t="s">
        <v>33</v>
      </c>
      <c r="P2540" s="1" t="s">
        <v>9144</v>
      </c>
      <c r="Q2540" s="1" t="s">
        <v>9112</v>
      </c>
      <c r="R2540" s="1" t="s">
        <v>9112</v>
      </c>
      <c r="S2540" s="1"/>
      <c r="T2540" s="1" t="s">
        <v>3442</v>
      </c>
      <c r="U2540" s="1"/>
      <c r="V2540" s="1">
        <v>326.0</v>
      </c>
      <c r="W2540" s="1">
        <v>326.0</v>
      </c>
      <c r="X2540" s="1" t="s">
        <v>35</v>
      </c>
      <c r="Y2540" s="1">
        <v>326000.0</v>
      </c>
      <c r="Z2540" s="1"/>
      <c r="AA2540" s="1">
        <v>326000.0</v>
      </c>
      <c r="AB2540" s="1"/>
      <c r="AC2540" s="1" t="s">
        <v>36</v>
      </c>
      <c r="AD2540" s="1" t="s">
        <v>9145</v>
      </c>
      <c r="AE2540" s="1" t="s">
        <v>32</v>
      </c>
      <c r="AF2540" s="1" t="s">
        <v>33</v>
      </c>
      <c r="AG2540" s="1" t="s">
        <v>848</v>
      </c>
    </row>
    <row r="2541" spans="1:33">
      <c r="A2541" t="s">
        <v>9146</v>
      </c>
      <c r="C2541" t="s">
        <v>4975</v>
      </c>
      <c r="E2541" t="s">
        <v>9112</v>
      </c>
      <c r="F2541" t="s">
        <v>9113</v>
      </c>
      <c r="G2541">
        <v>568.3</v>
      </c>
      <c r="H2541">
        <v>568.3</v>
      </c>
      <c r="I2541" t="s">
        <v>847</v>
      </c>
      <c r="J2541" t="s">
        <v>848</v>
      </c>
      <c r="K2541" t="s">
        <v>31</v>
      </c>
      <c r="L2541" t="s">
        <v>32</v>
      </c>
      <c r="M2541" t="s">
        <v>33</v>
      </c>
      <c r="P2541" s="1" t="s">
        <v>9147</v>
      </c>
      <c r="Q2541" s="1" t="s">
        <v>9112</v>
      </c>
      <c r="R2541" s="1" t="s">
        <v>9112</v>
      </c>
      <c r="S2541" s="1"/>
      <c r="T2541" s="1" t="s">
        <v>4975</v>
      </c>
      <c r="U2541" s="1"/>
      <c r="V2541" s="1">
        <v>568.3</v>
      </c>
      <c r="W2541" s="1">
        <v>568.3</v>
      </c>
      <c r="X2541" s="1" t="s">
        <v>35</v>
      </c>
      <c r="Y2541" s="1">
        <v>568300.0</v>
      </c>
      <c r="Z2541" s="1"/>
      <c r="AA2541" s="1">
        <v>568300.0</v>
      </c>
      <c r="AB2541" s="1"/>
      <c r="AC2541" s="1" t="s">
        <v>36</v>
      </c>
      <c r="AD2541" s="1" t="s">
        <v>9148</v>
      </c>
      <c r="AE2541" s="1" t="s">
        <v>32</v>
      </c>
      <c r="AF2541" s="1" t="s">
        <v>33</v>
      </c>
      <c r="AG2541" s="1" t="s">
        <v>848</v>
      </c>
    </row>
    <row r="2542" spans="1:33">
      <c r="A2542" t="s">
        <v>9149</v>
      </c>
      <c r="C2542" t="s">
        <v>9150</v>
      </c>
      <c r="E2542" t="s">
        <v>9112</v>
      </c>
      <c r="F2542" t="s">
        <v>9113</v>
      </c>
      <c r="G2542">
        <v>1.509</v>
      </c>
      <c r="H2542">
        <v>1.509</v>
      </c>
      <c r="I2542" t="s">
        <v>48</v>
      </c>
      <c r="J2542" t="s">
        <v>49</v>
      </c>
      <c r="K2542" t="s">
        <v>31</v>
      </c>
      <c r="L2542" t="s">
        <v>32</v>
      </c>
      <c r="M2542" t="s">
        <v>33</v>
      </c>
      <c r="P2542" s="1" t="s">
        <v>9151</v>
      </c>
      <c r="Q2542" s="1" t="s">
        <v>9112</v>
      </c>
      <c r="R2542" s="1" t="s">
        <v>9112</v>
      </c>
      <c r="S2542" s="1"/>
      <c r="T2542" s="1" t="s">
        <v>9150</v>
      </c>
      <c r="U2542" s="1"/>
      <c r="V2542" s="1">
        <v>1.509</v>
      </c>
      <c r="W2542" s="1">
        <v>1.509</v>
      </c>
      <c r="X2542" s="1" t="s">
        <v>35</v>
      </c>
      <c r="Y2542" s="1">
        <v>1509250.0</v>
      </c>
      <c r="Z2542" s="1"/>
      <c r="AA2542" s="1">
        <v>1509250.0</v>
      </c>
      <c r="AB2542" s="1"/>
      <c r="AC2542" s="1" t="s">
        <v>36</v>
      </c>
      <c r="AD2542" s="1" t="s">
        <v>9129</v>
      </c>
      <c r="AE2542" s="1" t="s">
        <v>32</v>
      </c>
      <c r="AF2542" s="1" t="s">
        <v>33</v>
      </c>
      <c r="AG2542" s="1" t="s">
        <v>49</v>
      </c>
    </row>
    <row r="2543" spans="1:33">
      <c r="A2543" t="s">
        <v>9152</v>
      </c>
      <c r="C2543" t="s">
        <v>513</v>
      </c>
      <c r="E2543" t="s">
        <v>9112</v>
      </c>
      <c r="F2543" t="s">
        <v>9113</v>
      </c>
      <c r="G2543">
        <v>52.5</v>
      </c>
      <c r="H2543">
        <v>52.5</v>
      </c>
      <c r="I2543" t="s">
        <v>48</v>
      </c>
      <c r="J2543" t="s">
        <v>49</v>
      </c>
      <c r="K2543" t="s">
        <v>31</v>
      </c>
      <c r="L2543" t="s">
        <v>32</v>
      </c>
      <c r="M2543" t="s">
        <v>33</v>
      </c>
      <c r="P2543" s="1" t="s">
        <v>9153</v>
      </c>
      <c r="Q2543" s="1" t="s">
        <v>9112</v>
      </c>
      <c r="R2543" s="1" t="s">
        <v>9112</v>
      </c>
      <c r="S2543" s="1"/>
      <c r="T2543" s="1" t="s">
        <v>513</v>
      </c>
      <c r="U2543" s="1"/>
      <c r="V2543" s="1">
        <v>52.5</v>
      </c>
      <c r="W2543" s="1">
        <v>52.5</v>
      </c>
      <c r="X2543" s="1" t="s">
        <v>35</v>
      </c>
      <c r="Y2543" s="1">
        <v>52500.0</v>
      </c>
      <c r="Z2543" s="1"/>
      <c r="AA2543" s="1">
        <v>52500.0</v>
      </c>
      <c r="AB2543" s="1"/>
      <c r="AC2543" s="1" t="s">
        <v>36</v>
      </c>
      <c r="AD2543" s="1" t="s">
        <v>9154</v>
      </c>
      <c r="AE2543" s="1" t="s">
        <v>32</v>
      </c>
      <c r="AF2543" s="1" t="s">
        <v>33</v>
      </c>
      <c r="AG2543" s="1" t="s">
        <v>49</v>
      </c>
    </row>
    <row r="2544" spans="1:33">
      <c r="A2544" t="s">
        <v>9155</v>
      </c>
      <c r="B2544" t="s">
        <v>206</v>
      </c>
      <c r="C2544" t="s">
        <v>207</v>
      </c>
      <c r="E2544" t="s">
        <v>9112</v>
      </c>
      <c r="F2544" t="s">
        <v>9113</v>
      </c>
      <c r="G2544">
        <v>747.5</v>
      </c>
      <c r="H2544">
        <v>747.5</v>
      </c>
      <c r="I2544" t="s">
        <v>59</v>
      </c>
      <c r="J2544" t="s">
        <v>60</v>
      </c>
      <c r="K2544" t="s">
        <v>31</v>
      </c>
      <c r="L2544" t="s">
        <v>32</v>
      </c>
      <c r="M2544" t="s">
        <v>33</v>
      </c>
      <c r="P2544" s="1" t="s">
        <v>9156</v>
      </c>
      <c r="Q2544" s="1" t="s">
        <v>9112</v>
      </c>
      <c r="R2544" s="1" t="s">
        <v>9112</v>
      </c>
      <c r="S2544" s="1"/>
      <c r="T2544" s="1" t="s">
        <v>207</v>
      </c>
      <c r="U2544" s="1"/>
      <c r="V2544" s="1">
        <v>747.5</v>
      </c>
      <c r="W2544" s="1">
        <v>747.5</v>
      </c>
      <c r="X2544" s="1" t="s">
        <v>35</v>
      </c>
      <c r="Y2544" s="1">
        <v>747500.0</v>
      </c>
      <c r="Z2544" s="1"/>
      <c r="AA2544" s="1">
        <v>747500.0</v>
      </c>
      <c r="AB2544" s="1"/>
      <c r="AC2544" s="1" t="s">
        <v>36</v>
      </c>
      <c r="AD2544" s="1" t="s">
        <v>9157</v>
      </c>
      <c r="AE2544" s="1" t="s">
        <v>32</v>
      </c>
      <c r="AF2544" s="1" t="s">
        <v>33</v>
      </c>
      <c r="AG2544" s="1" t="s">
        <v>60</v>
      </c>
    </row>
    <row r="2545" spans="1:33">
      <c r="A2545" t="s">
        <v>9158</v>
      </c>
      <c r="B2545" t="s">
        <v>9159</v>
      </c>
      <c r="C2545" t="s">
        <v>73</v>
      </c>
      <c r="E2545" t="s">
        <v>9112</v>
      </c>
      <c r="F2545" t="s">
        <v>9113</v>
      </c>
      <c r="G2545">
        <v>19.49</v>
      </c>
      <c r="H2545">
        <v>19.49</v>
      </c>
      <c r="I2545" t="s">
        <v>40</v>
      </c>
      <c r="J2545" t="s">
        <v>41</v>
      </c>
      <c r="K2545" t="s">
        <v>31</v>
      </c>
      <c r="L2545" t="s">
        <v>32</v>
      </c>
      <c r="M2545" t="s">
        <v>33</v>
      </c>
      <c r="P2545" s="1" t="s">
        <v>9160</v>
      </c>
      <c r="Q2545" s="1" t="s">
        <v>9112</v>
      </c>
      <c r="R2545" s="1" t="s">
        <v>9115</v>
      </c>
      <c r="S2545" s="1"/>
      <c r="T2545" s="1" t="s">
        <v>75</v>
      </c>
      <c r="U2545" s="1" t="s">
        <v>76</v>
      </c>
      <c r="V2545" s="1">
        <v>19.49</v>
      </c>
      <c r="W2545" s="1">
        <v>19.49</v>
      </c>
      <c r="X2545" s="1" t="s">
        <v>35</v>
      </c>
      <c r="Y2545" s="1">
        <v>19490.0</v>
      </c>
      <c r="Z2545" s="1"/>
      <c r="AA2545" s="1">
        <v>19490.0</v>
      </c>
      <c r="AB2545" s="1"/>
      <c r="AC2545" s="1" t="s">
        <v>36</v>
      </c>
      <c r="AD2545" s="1" t="s">
        <v>9161</v>
      </c>
      <c r="AE2545" s="1" t="s">
        <v>32</v>
      </c>
      <c r="AF2545" s="1" t="s">
        <v>33</v>
      </c>
      <c r="AG2545" s="1" t="s">
        <v>41</v>
      </c>
    </row>
    <row r="2546" spans="1:33">
      <c r="A2546" t="s">
        <v>9162</v>
      </c>
      <c r="B2546" t="s">
        <v>9163</v>
      </c>
      <c r="C2546" t="s">
        <v>125</v>
      </c>
      <c r="E2546" t="s">
        <v>9112</v>
      </c>
      <c r="F2546" t="s">
        <v>9113</v>
      </c>
      <c r="G2546">
        <v>4.751</v>
      </c>
      <c r="H2546">
        <v>4.751</v>
      </c>
      <c r="I2546" t="s">
        <v>126</v>
      </c>
      <c r="J2546" t="s">
        <v>127</v>
      </c>
      <c r="K2546" t="s">
        <v>31</v>
      </c>
      <c r="L2546" t="s">
        <v>32</v>
      </c>
      <c r="M2546" t="s">
        <v>33</v>
      </c>
      <c r="P2546" s="1" t="s">
        <v>9164</v>
      </c>
      <c r="Q2546" s="1" t="s">
        <v>9112</v>
      </c>
      <c r="R2546" s="1" t="s">
        <v>9112</v>
      </c>
      <c r="S2546" s="1"/>
      <c r="T2546" s="1" t="s">
        <v>125</v>
      </c>
      <c r="U2546" s="1"/>
      <c r="V2546" s="1">
        <v>4.751</v>
      </c>
      <c r="W2546" s="1">
        <v>4.751</v>
      </c>
      <c r="X2546" s="1" t="s">
        <v>35</v>
      </c>
      <c r="Y2546" s="1">
        <v>4751.0</v>
      </c>
      <c r="Z2546" s="1"/>
      <c r="AA2546" s="1">
        <v>4751.0</v>
      </c>
      <c r="AB2546" s="1"/>
      <c r="AC2546" s="1" t="s">
        <v>36</v>
      </c>
      <c r="AD2546" s="1" t="s">
        <v>9165</v>
      </c>
      <c r="AE2546" s="1" t="s">
        <v>32</v>
      </c>
      <c r="AF2546" s="1" t="s">
        <v>33</v>
      </c>
      <c r="AG2546" s="1" t="s">
        <v>127</v>
      </c>
    </row>
    <row r="2547" spans="1:33">
      <c r="A2547" t="s">
        <v>9166</v>
      </c>
      <c r="B2547" t="s">
        <v>9167</v>
      </c>
      <c r="C2547" t="s">
        <v>47</v>
      </c>
      <c r="E2547" t="s">
        <v>9112</v>
      </c>
      <c r="F2547" t="s">
        <v>9113</v>
      </c>
      <c r="G2547">
        <v>28.49</v>
      </c>
      <c r="H2547">
        <v>28.49</v>
      </c>
      <c r="I2547" t="s">
        <v>48</v>
      </c>
      <c r="J2547" t="s">
        <v>49</v>
      </c>
      <c r="K2547" t="s">
        <v>31</v>
      </c>
      <c r="L2547" t="s">
        <v>32</v>
      </c>
      <c r="M2547" t="s">
        <v>33</v>
      </c>
      <c r="P2547" s="1" t="s">
        <v>9168</v>
      </c>
      <c r="Q2547" s="1" t="s">
        <v>9112</v>
      </c>
      <c r="R2547" s="1" t="s">
        <v>9112</v>
      </c>
      <c r="S2547" s="1"/>
      <c r="T2547" s="1" t="s">
        <v>47</v>
      </c>
      <c r="U2547" s="1"/>
      <c r="V2547" s="1">
        <v>28.49</v>
      </c>
      <c r="W2547" s="1">
        <v>28.49</v>
      </c>
      <c r="X2547" s="1" t="s">
        <v>35</v>
      </c>
      <c r="Y2547" s="1">
        <v>28490.0</v>
      </c>
      <c r="Z2547" s="1"/>
      <c r="AA2547" s="1">
        <v>28490.0</v>
      </c>
      <c r="AB2547" s="1"/>
      <c r="AC2547" s="1" t="s">
        <v>36</v>
      </c>
      <c r="AD2547" s="1" t="s">
        <v>9169</v>
      </c>
      <c r="AE2547" s="1" t="s">
        <v>32</v>
      </c>
      <c r="AF2547" s="1" t="s">
        <v>33</v>
      </c>
      <c r="AG2547" s="1" t="s">
        <v>49</v>
      </c>
    </row>
    <row r="2548" spans="1:33">
      <c r="A2548" t="s">
        <v>9170</v>
      </c>
      <c r="B2548" t="s">
        <v>9171</v>
      </c>
      <c r="C2548" t="s">
        <v>125</v>
      </c>
      <c r="E2548" t="s">
        <v>9112</v>
      </c>
      <c r="F2548" t="s">
        <v>9113</v>
      </c>
      <c r="G2548">
        <v>64.98</v>
      </c>
      <c r="H2548">
        <v>64.98</v>
      </c>
      <c r="I2548" t="s">
        <v>126</v>
      </c>
      <c r="J2548" t="s">
        <v>127</v>
      </c>
      <c r="K2548" t="s">
        <v>31</v>
      </c>
      <c r="L2548" t="s">
        <v>32</v>
      </c>
      <c r="M2548" t="s">
        <v>33</v>
      </c>
      <c r="P2548" s="1" t="s">
        <v>9172</v>
      </c>
      <c r="Q2548" s="1" t="s">
        <v>9112</v>
      </c>
      <c r="R2548" s="1" t="s">
        <v>9112</v>
      </c>
      <c r="S2548" s="1"/>
      <c r="T2548" s="1" t="s">
        <v>125</v>
      </c>
      <c r="U2548" s="1"/>
      <c r="V2548" s="1">
        <v>64.98</v>
      </c>
      <c r="W2548" s="1">
        <v>64.98</v>
      </c>
      <c r="X2548" s="1" t="s">
        <v>35</v>
      </c>
      <c r="Y2548" s="1">
        <v>64980.0</v>
      </c>
      <c r="Z2548" s="1"/>
      <c r="AA2548" s="1">
        <v>64980.0</v>
      </c>
      <c r="AB2548" s="1"/>
      <c r="AC2548" s="1" t="s">
        <v>36</v>
      </c>
      <c r="AD2548" s="1" t="s">
        <v>9173</v>
      </c>
      <c r="AE2548" s="1" t="s">
        <v>32</v>
      </c>
      <c r="AF2548" s="1" t="s">
        <v>33</v>
      </c>
      <c r="AG2548" s="1" t="s">
        <v>127</v>
      </c>
    </row>
    <row r="2549" spans="1:33">
      <c r="A2549" t="s">
        <v>9174</v>
      </c>
      <c r="B2549" t="s">
        <v>9175</v>
      </c>
      <c r="C2549" t="s">
        <v>314</v>
      </c>
      <c r="E2549" t="s">
        <v>9112</v>
      </c>
      <c r="F2549" t="s">
        <v>9113</v>
      </c>
      <c r="G2549">
        <v>33.74</v>
      </c>
      <c r="H2549">
        <v>33.74</v>
      </c>
      <c r="I2549" t="s">
        <v>179</v>
      </c>
      <c r="J2549" t="s">
        <v>180</v>
      </c>
      <c r="K2549" t="s">
        <v>31</v>
      </c>
      <c r="L2549" t="s">
        <v>32</v>
      </c>
      <c r="M2549" t="s">
        <v>33</v>
      </c>
      <c r="P2549" s="1" t="s">
        <v>9176</v>
      </c>
      <c r="Q2549" s="1" t="s">
        <v>9112</v>
      </c>
      <c r="R2549" s="1" t="s">
        <v>9112</v>
      </c>
      <c r="S2549" s="1"/>
      <c r="T2549" s="1" t="s">
        <v>314</v>
      </c>
      <c r="U2549" s="1"/>
      <c r="V2549" s="1">
        <v>33.74</v>
      </c>
      <c r="W2549" s="1">
        <v>33.74</v>
      </c>
      <c r="X2549" s="1" t="s">
        <v>35</v>
      </c>
      <c r="Y2549" s="1">
        <v>33740.0</v>
      </c>
      <c r="Z2549" s="1"/>
      <c r="AA2549" s="1">
        <v>33740.0</v>
      </c>
      <c r="AB2549" s="1"/>
      <c r="AC2549" s="1" t="s">
        <v>36</v>
      </c>
      <c r="AD2549" s="1" t="s">
        <v>9177</v>
      </c>
      <c r="AE2549" s="1" t="s">
        <v>32</v>
      </c>
      <c r="AF2549" s="1" t="s">
        <v>33</v>
      </c>
      <c r="AG2549" s="1" t="s">
        <v>180</v>
      </c>
    </row>
    <row r="2550" spans="1:33">
      <c r="A2550" t="s">
        <v>9178</v>
      </c>
      <c r="C2550" t="s">
        <v>872</v>
      </c>
      <c r="E2550" t="s">
        <v>9112</v>
      </c>
      <c r="F2550" t="s">
        <v>9113</v>
      </c>
      <c r="G2550">
        <v>78.164</v>
      </c>
      <c r="H2550">
        <v>78.164</v>
      </c>
      <c r="I2550" t="s">
        <v>48</v>
      </c>
      <c r="J2550" t="s">
        <v>49</v>
      </c>
      <c r="K2550" t="s">
        <v>31</v>
      </c>
      <c r="L2550" t="s">
        <v>32</v>
      </c>
      <c r="M2550" t="s">
        <v>33</v>
      </c>
      <c r="P2550" s="1" t="s">
        <v>9179</v>
      </c>
      <c r="Q2550" s="1" t="s">
        <v>9112</v>
      </c>
      <c r="R2550" s="1" t="s">
        <v>9112</v>
      </c>
      <c r="S2550" s="1"/>
      <c r="T2550" s="1" t="s">
        <v>872</v>
      </c>
      <c r="U2550" s="1"/>
      <c r="V2550" s="1">
        <v>78.164</v>
      </c>
      <c r="W2550" s="1">
        <v>78.164</v>
      </c>
      <c r="X2550" s="1" t="s">
        <v>35</v>
      </c>
      <c r="Y2550" s="1">
        <v>78164.0</v>
      </c>
      <c r="Z2550" s="1"/>
      <c r="AA2550" s="1">
        <v>78164.0</v>
      </c>
      <c r="AB2550" s="1"/>
      <c r="AC2550" s="1" t="s">
        <v>36</v>
      </c>
      <c r="AD2550" s="1" t="s">
        <v>9180</v>
      </c>
      <c r="AE2550" s="1" t="s">
        <v>32</v>
      </c>
      <c r="AF2550" s="1" t="s">
        <v>33</v>
      </c>
      <c r="AG2550" s="1" t="s">
        <v>49</v>
      </c>
    </row>
    <row r="2551" spans="1:33">
      <c r="A2551" t="s">
        <v>9181</v>
      </c>
      <c r="C2551" t="s">
        <v>2101</v>
      </c>
      <c r="E2551" t="s">
        <v>9112</v>
      </c>
      <c r="F2551" t="s">
        <v>9113</v>
      </c>
      <c r="G2551">
        <v>328.0</v>
      </c>
      <c r="H2551">
        <v>328.0</v>
      </c>
      <c r="I2551" t="s">
        <v>136</v>
      </c>
      <c r="J2551" t="s">
        <v>137</v>
      </c>
      <c r="K2551" t="s">
        <v>31</v>
      </c>
      <c r="L2551" t="s">
        <v>32</v>
      </c>
      <c r="M2551" t="s">
        <v>33</v>
      </c>
      <c r="P2551" s="1" t="s">
        <v>9182</v>
      </c>
      <c r="Q2551" s="1" t="s">
        <v>9112</v>
      </c>
      <c r="R2551" s="1" t="s">
        <v>9112</v>
      </c>
      <c r="S2551" s="1"/>
      <c r="T2551" s="1" t="s">
        <v>2103</v>
      </c>
      <c r="U2551" s="1" t="s">
        <v>2104</v>
      </c>
      <c r="V2551" s="1">
        <v>328.0</v>
      </c>
      <c r="W2551" s="1">
        <v>328.0</v>
      </c>
      <c r="X2551" s="1" t="s">
        <v>35</v>
      </c>
      <c r="Y2551" s="1">
        <v>328000.0</v>
      </c>
      <c r="Z2551" s="1"/>
      <c r="AA2551" s="1">
        <v>328000.0</v>
      </c>
      <c r="AB2551" s="1"/>
      <c r="AC2551" s="1" t="s">
        <v>36</v>
      </c>
      <c r="AD2551" s="1" t="s">
        <v>9183</v>
      </c>
      <c r="AE2551" s="1" t="s">
        <v>32</v>
      </c>
      <c r="AF2551" s="1" t="s">
        <v>33</v>
      </c>
      <c r="AG2551" s="1" t="s">
        <v>137</v>
      </c>
    </row>
    <row r="2552" spans="1:33">
      <c r="A2552" t="s">
        <v>9184</v>
      </c>
      <c r="C2552" t="s">
        <v>9185</v>
      </c>
      <c r="D2552" t="s">
        <v>114</v>
      </c>
      <c r="E2552" t="s">
        <v>9112</v>
      </c>
      <c r="F2552" t="s">
        <v>9113</v>
      </c>
      <c r="G2552">
        <v>2.882</v>
      </c>
      <c r="H2552">
        <v>2.882</v>
      </c>
      <c r="I2552" t="s">
        <v>847</v>
      </c>
      <c r="J2552" t="s">
        <v>848</v>
      </c>
      <c r="K2552" t="s">
        <v>31</v>
      </c>
      <c r="L2552" t="s">
        <v>32</v>
      </c>
      <c r="M2552" t="s">
        <v>33</v>
      </c>
      <c r="P2552" s="1" t="s">
        <v>9186</v>
      </c>
      <c r="Q2552" s="1" t="s">
        <v>9112</v>
      </c>
      <c r="R2552" s="1" t="s">
        <v>9112</v>
      </c>
      <c r="S2552" s="1"/>
      <c r="T2552" s="1" t="s">
        <v>9185</v>
      </c>
      <c r="U2552" s="1"/>
      <c r="V2552" s="1">
        <v>2.882</v>
      </c>
      <c r="W2552" s="1">
        <v>2.882</v>
      </c>
      <c r="X2552" s="1" t="s">
        <v>35</v>
      </c>
      <c r="Y2552" s="1">
        <v>2882000.0</v>
      </c>
      <c r="Z2552" s="1"/>
      <c r="AA2552" s="1">
        <v>2882000.0</v>
      </c>
      <c r="AB2552" s="1"/>
      <c r="AC2552" s="1" t="s">
        <v>36</v>
      </c>
      <c r="AD2552" s="1" t="s">
        <v>9187</v>
      </c>
      <c r="AE2552" s="1" t="s">
        <v>32</v>
      </c>
      <c r="AF2552" s="1" t="s">
        <v>33</v>
      </c>
      <c r="AG2552" s="1" t="s">
        <v>848</v>
      </c>
    </row>
    <row r="2553" spans="1:33">
      <c r="A2553" t="s">
        <v>9188</v>
      </c>
      <c r="C2553" t="s">
        <v>872</v>
      </c>
      <c r="E2553" t="s">
        <v>9112</v>
      </c>
      <c r="F2553" t="s">
        <v>9113</v>
      </c>
      <c r="G2553">
        <v>238.867</v>
      </c>
      <c r="H2553">
        <v>238.867</v>
      </c>
      <c r="I2553" t="s">
        <v>48</v>
      </c>
      <c r="J2553" t="s">
        <v>49</v>
      </c>
      <c r="K2553" t="s">
        <v>31</v>
      </c>
      <c r="L2553" t="s">
        <v>32</v>
      </c>
      <c r="M2553" t="s">
        <v>33</v>
      </c>
      <c r="P2553" s="1" t="s">
        <v>9189</v>
      </c>
      <c r="Q2553" s="1" t="s">
        <v>9112</v>
      </c>
      <c r="R2553" s="1" t="s">
        <v>9112</v>
      </c>
      <c r="S2553" s="1"/>
      <c r="T2553" s="1" t="s">
        <v>872</v>
      </c>
      <c r="U2553" s="1"/>
      <c r="V2553" s="1">
        <v>238.867</v>
      </c>
      <c r="W2553" s="1">
        <v>238.867</v>
      </c>
      <c r="X2553" s="1" t="s">
        <v>35</v>
      </c>
      <c r="Y2553" s="1">
        <v>238867.0</v>
      </c>
      <c r="Z2553" s="1"/>
      <c r="AA2553" s="1">
        <v>238867.0</v>
      </c>
      <c r="AB2553" s="1"/>
      <c r="AC2553" s="1" t="s">
        <v>36</v>
      </c>
      <c r="AD2553" s="1" t="s">
        <v>9157</v>
      </c>
      <c r="AE2553" s="1" t="s">
        <v>32</v>
      </c>
      <c r="AF2553" s="1" t="s">
        <v>33</v>
      </c>
      <c r="AG2553" s="1" t="s">
        <v>49</v>
      </c>
    </row>
    <row r="2554" spans="1:33">
      <c r="A2554" t="s">
        <v>9190</v>
      </c>
      <c r="C2554" t="s">
        <v>569</v>
      </c>
      <c r="E2554" t="s">
        <v>9112</v>
      </c>
      <c r="F2554" t="s">
        <v>9113</v>
      </c>
      <c r="G2554">
        <v>42.5</v>
      </c>
      <c r="H2554">
        <v>42.5</v>
      </c>
      <c r="I2554" t="s">
        <v>570</v>
      </c>
      <c r="J2554" t="s">
        <v>571</v>
      </c>
      <c r="K2554" t="s">
        <v>31</v>
      </c>
      <c r="L2554" t="s">
        <v>32</v>
      </c>
      <c r="M2554" t="s">
        <v>33</v>
      </c>
      <c r="P2554" s="1" t="s">
        <v>9191</v>
      </c>
      <c r="Q2554" s="1" t="s">
        <v>9112</v>
      </c>
      <c r="R2554" s="1" t="s">
        <v>9112</v>
      </c>
      <c r="S2554" s="1"/>
      <c r="T2554" s="1" t="s">
        <v>569</v>
      </c>
      <c r="U2554" s="1"/>
      <c r="V2554" s="1">
        <v>42.5</v>
      </c>
      <c r="W2554" s="1">
        <v>42.5</v>
      </c>
      <c r="X2554" s="1" t="s">
        <v>35</v>
      </c>
      <c r="Y2554" s="1">
        <v>42500.0</v>
      </c>
      <c r="Z2554" s="1"/>
      <c r="AA2554" s="1">
        <v>42500.0</v>
      </c>
      <c r="AB2554" s="1"/>
      <c r="AC2554" s="1" t="s">
        <v>36</v>
      </c>
      <c r="AD2554" s="1" t="s">
        <v>9192</v>
      </c>
      <c r="AE2554" s="1" t="s">
        <v>32</v>
      </c>
      <c r="AF2554" s="1" t="s">
        <v>33</v>
      </c>
      <c r="AG2554" s="1" t="s">
        <v>571</v>
      </c>
    </row>
    <row r="2555" spans="1:33">
      <c r="A2555" t="s">
        <v>9193</v>
      </c>
      <c r="B2555" t="s">
        <v>9194</v>
      </c>
      <c r="C2555" t="s">
        <v>68</v>
      </c>
      <c r="E2555" t="s">
        <v>9112</v>
      </c>
      <c r="F2555" t="s">
        <v>9113</v>
      </c>
      <c r="G2555">
        <v>8.0</v>
      </c>
      <c r="H2555">
        <v>8.0</v>
      </c>
      <c r="I2555" t="s">
        <v>59</v>
      </c>
      <c r="J2555" t="s">
        <v>60</v>
      </c>
      <c r="K2555" t="s">
        <v>31</v>
      </c>
      <c r="L2555" t="s">
        <v>32</v>
      </c>
      <c r="M2555" t="s">
        <v>33</v>
      </c>
      <c r="P2555" s="1" t="s">
        <v>9195</v>
      </c>
      <c r="Q2555" s="1" t="s">
        <v>9112</v>
      </c>
      <c r="R2555" s="1" t="s">
        <v>9112</v>
      </c>
      <c r="S2555" s="1"/>
      <c r="T2555" s="1" t="s">
        <v>68</v>
      </c>
      <c r="U2555" s="1"/>
      <c r="V2555" s="1">
        <v>8.0</v>
      </c>
      <c r="W2555" s="1">
        <v>8.0</v>
      </c>
      <c r="X2555" s="1" t="s">
        <v>35</v>
      </c>
      <c r="Y2555" s="1">
        <v>8000.0</v>
      </c>
      <c r="Z2555" s="1"/>
      <c r="AA2555" s="1">
        <v>8000.0</v>
      </c>
      <c r="AB2555" s="1"/>
      <c r="AC2555" s="1" t="s">
        <v>36</v>
      </c>
      <c r="AD2555" s="1" t="s">
        <v>9196</v>
      </c>
      <c r="AE2555" s="1" t="s">
        <v>32</v>
      </c>
      <c r="AF2555" s="1" t="s">
        <v>33</v>
      </c>
      <c r="AG2555" s="1" t="s">
        <v>60</v>
      </c>
    </row>
    <row r="2556" spans="1:33">
      <c r="A2556" t="s">
        <v>9197</v>
      </c>
      <c r="B2556" t="s">
        <v>3090</v>
      </c>
      <c r="C2556" t="s">
        <v>131</v>
      </c>
      <c r="E2556" t="s">
        <v>9112</v>
      </c>
      <c r="F2556" t="s">
        <v>9113</v>
      </c>
      <c r="G2556">
        <v>77.48</v>
      </c>
      <c r="H2556">
        <v>77.48</v>
      </c>
      <c r="I2556" t="s">
        <v>94</v>
      </c>
      <c r="J2556" t="s">
        <v>95</v>
      </c>
      <c r="K2556" t="s">
        <v>31</v>
      </c>
      <c r="L2556" t="s">
        <v>32</v>
      </c>
      <c r="M2556" t="s">
        <v>33</v>
      </c>
      <c r="P2556" s="1" t="s">
        <v>9198</v>
      </c>
      <c r="Q2556" s="1" t="s">
        <v>9112</v>
      </c>
      <c r="R2556" s="1" t="s">
        <v>9112</v>
      </c>
      <c r="S2556" s="1"/>
      <c r="T2556" s="1" t="s">
        <v>131</v>
      </c>
      <c r="U2556" s="1"/>
      <c r="V2556" s="1">
        <v>77.48</v>
      </c>
      <c r="W2556" s="1">
        <v>77.48</v>
      </c>
      <c r="X2556" s="1" t="s">
        <v>35</v>
      </c>
      <c r="Y2556" s="1">
        <v>77480.0</v>
      </c>
      <c r="Z2556" s="1"/>
      <c r="AA2556" s="1">
        <v>77480.0</v>
      </c>
      <c r="AB2556" s="1"/>
      <c r="AC2556" s="1" t="s">
        <v>36</v>
      </c>
      <c r="AD2556" s="1" t="s">
        <v>9199</v>
      </c>
      <c r="AE2556" s="1" t="s">
        <v>32</v>
      </c>
      <c r="AF2556" s="1" t="s">
        <v>33</v>
      </c>
      <c r="AG2556" s="1" t="s">
        <v>95</v>
      </c>
    </row>
    <row r="2557" spans="1:33">
      <c r="A2557" t="s">
        <v>9200</v>
      </c>
      <c r="B2557" t="s">
        <v>9201</v>
      </c>
      <c r="C2557" t="s">
        <v>47</v>
      </c>
      <c r="E2557" t="s">
        <v>9112</v>
      </c>
      <c r="F2557" t="s">
        <v>9113</v>
      </c>
      <c r="G2557">
        <v>235.0</v>
      </c>
      <c r="H2557">
        <v>235.0</v>
      </c>
      <c r="I2557" t="s">
        <v>48</v>
      </c>
      <c r="J2557" t="s">
        <v>49</v>
      </c>
      <c r="K2557" t="s">
        <v>31</v>
      </c>
      <c r="L2557" t="s">
        <v>32</v>
      </c>
      <c r="M2557" t="s">
        <v>33</v>
      </c>
      <c r="P2557" s="1" t="s">
        <v>9202</v>
      </c>
      <c r="Q2557" s="1" t="s">
        <v>9112</v>
      </c>
      <c r="R2557" s="1" t="s">
        <v>9112</v>
      </c>
      <c r="S2557" s="1"/>
      <c r="T2557" s="1" t="s">
        <v>47</v>
      </c>
      <c r="U2557" s="1"/>
      <c r="V2557" s="1">
        <v>235.0</v>
      </c>
      <c r="W2557" s="1">
        <v>235.0</v>
      </c>
      <c r="X2557" s="1" t="s">
        <v>35</v>
      </c>
      <c r="Y2557" s="1">
        <v>235000.0</v>
      </c>
      <c r="Z2557" s="1"/>
      <c r="AA2557" s="1">
        <v>235000.0</v>
      </c>
      <c r="AB2557" s="1"/>
      <c r="AC2557" s="1" t="s">
        <v>36</v>
      </c>
      <c r="AD2557" s="1" t="s">
        <v>9203</v>
      </c>
      <c r="AE2557" s="1" t="s">
        <v>32</v>
      </c>
      <c r="AF2557" s="1" t="s">
        <v>33</v>
      </c>
      <c r="AG2557" s="1" t="s">
        <v>49</v>
      </c>
    </row>
    <row r="2558" spans="1:33">
      <c r="A2558" t="s">
        <v>9204</v>
      </c>
      <c r="C2558" t="s">
        <v>7485</v>
      </c>
      <c r="E2558" t="s">
        <v>9112</v>
      </c>
      <c r="F2558" t="s">
        <v>9113</v>
      </c>
      <c r="G2558">
        <v>910.35</v>
      </c>
      <c r="H2558">
        <v>910.35</v>
      </c>
      <c r="I2558" t="s">
        <v>94</v>
      </c>
      <c r="J2558" t="s">
        <v>95</v>
      </c>
      <c r="K2558" t="s">
        <v>31</v>
      </c>
      <c r="L2558" t="s">
        <v>32</v>
      </c>
      <c r="M2558" t="s">
        <v>33</v>
      </c>
      <c r="P2558" s="1" t="s">
        <v>9205</v>
      </c>
      <c r="Q2558" s="1" t="s">
        <v>9112</v>
      </c>
      <c r="R2558" s="1" t="s">
        <v>9112</v>
      </c>
      <c r="S2558" s="1"/>
      <c r="T2558" s="1" t="s">
        <v>7485</v>
      </c>
      <c r="U2558" s="1"/>
      <c r="V2558" s="1">
        <v>910.35</v>
      </c>
      <c r="W2558" s="1">
        <v>910.35</v>
      </c>
      <c r="X2558" s="1" t="s">
        <v>35</v>
      </c>
      <c r="Y2558" s="1">
        <v>910350.0</v>
      </c>
      <c r="Z2558" s="1"/>
      <c r="AA2558" s="1">
        <v>910350.0</v>
      </c>
      <c r="AB2558" s="1"/>
      <c r="AC2558" s="1" t="s">
        <v>36</v>
      </c>
      <c r="AD2558" s="1" t="s">
        <v>9180</v>
      </c>
      <c r="AE2558" s="1" t="s">
        <v>32</v>
      </c>
      <c r="AF2558" s="1" t="s">
        <v>33</v>
      </c>
      <c r="AG2558" s="1" t="s">
        <v>95</v>
      </c>
    </row>
    <row r="2559" spans="1:33">
      <c r="A2559" t="s">
        <v>9206</v>
      </c>
      <c r="B2559" t="s">
        <v>9207</v>
      </c>
      <c r="C2559" t="s">
        <v>68</v>
      </c>
      <c r="E2559" t="s">
        <v>9112</v>
      </c>
      <c r="F2559" t="s">
        <v>9113</v>
      </c>
      <c r="G2559">
        <v>20.394</v>
      </c>
      <c r="H2559">
        <v>20.394</v>
      </c>
      <c r="I2559" t="s">
        <v>59</v>
      </c>
      <c r="J2559" t="s">
        <v>60</v>
      </c>
      <c r="K2559" t="s">
        <v>31</v>
      </c>
      <c r="L2559" t="s">
        <v>32</v>
      </c>
      <c r="M2559" t="s">
        <v>33</v>
      </c>
      <c r="P2559" s="1" t="s">
        <v>9208</v>
      </c>
      <c r="Q2559" s="1" t="s">
        <v>9112</v>
      </c>
      <c r="R2559" s="1" t="s">
        <v>9112</v>
      </c>
      <c r="S2559" s="1"/>
      <c r="T2559" s="1" t="s">
        <v>68</v>
      </c>
      <c r="U2559" s="1"/>
      <c r="V2559" s="1">
        <v>20.394</v>
      </c>
      <c r="W2559" s="1">
        <v>20.394</v>
      </c>
      <c r="X2559" s="1" t="s">
        <v>35</v>
      </c>
      <c r="Y2559" s="1">
        <v>20394.0</v>
      </c>
      <c r="Z2559" s="1"/>
      <c r="AA2559" s="1">
        <v>20394.0</v>
      </c>
      <c r="AB2559" s="1"/>
      <c r="AC2559" s="1" t="s">
        <v>36</v>
      </c>
      <c r="AD2559" s="1" t="s">
        <v>9209</v>
      </c>
      <c r="AE2559" s="1" t="s">
        <v>32</v>
      </c>
      <c r="AF2559" s="1" t="s">
        <v>33</v>
      </c>
      <c r="AG2559" s="1" t="s">
        <v>60</v>
      </c>
    </row>
    <row r="2560" spans="1:33">
      <c r="A2560" t="s">
        <v>9210</v>
      </c>
      <c r="C2560" t="s">
        <v>1785</v>
      </c>
      <c r="E2560" t="s">
        <v>9112</v>
      </c>
      <c r="F2560" t="s">
        <v>9113</v>
      </c>
      <c r="G2560">
        <v>4.89</v>
      </c>
      <c r="H2560">
        <v>4.89</v>
      </c>
      <c r="I2560" t="s">
        <v>847</v>
      </c>
      <c r="J2560" t="s">
        <v>848</v>
      </c>
      <c r="K2560" t="s">
        <v>31</v>
      </c>
      <c r="L2560" t="s">
        <v>32</v>
      </c>
      <c r="M2560" t="s">
        <v>33</v>
      </c>
      <c r="P2560" s="1" t="s">
        <v>9211</v>
      </c>
      <c r="Q2560" s="1" t="s">
        <v>9112</v>
      </c>
      <c r="R2560" s="1" t="s">
        <v>9112</v>
      </c>
      <c r="S2560" s="1"/>
      <c r="T2560" s="1" t="s">
        <v>1785</v>
      </c>
      <c r="U2560" s="1"/>
      <c r="V2560" s="1">
        <v>4.89</v>
      </c>
      <c r="W2560" s="1">
        <v>4.89</v>
      </c>
      <c r="X2560" s="1" t="s">
        <v>35</v>
      </c>
      <c r="Y2560" s="1">
        <v>4890000.0</v>
      </c>
      <c r="Z2560" s="1"/>
      <c r="AA2560" s="1">
        <v>4890000.0</v>
      </c>
      <c r="AB2560" s="1"/>
      <c r="AC2560" s="1" t="s">
        <v>36</v>
      </c>
      <c r="AD2560" s="1" t="s">
        <v>9183</v>
      </c>
      <c r="AE2560" s="1" t="s">
        <v>32</v>
      </c>
      <c r="AF2560" s="1" t="s">
        <v>33</v>
      </c>
      <c r="AG2560" s="1" t="s">
        <v>848</v>
      </c>
    </row>
    <row r="2561" spans="1:33">
      <c r="A2561" t="s">
        <v>9212</v>
      </c>
      <c r="C2561" t="s">
        <v>153</v>
      </c>
      <c r="D2561" t="s">
        <v>154</v>
      </c>
      <c r="E2561" t="s">
        <v>9112</v>
      </c>
      <c r="F2561" t="s">
        <v>9113</v>
      </c>
      <c r="G2561">
        <v>199.75</v>
      </c>
      <c r="H2561">
        <v>199.75</v>
      </c>
      <c r="I2561" t="s">
        <v>94</v>
      </c>
      <c r="J2561" t="s">
        <v>95</v>
      </c>
      <c r="K2561" t="s">
        <v>31</v>
      </c>
      <c r="L2561" t="s">
        <v>32</v>
      </c>
      <c r="M2561" t="s">
        <v>33</v>
      </c>
      <c r="P2561" s="1" t="s">
        <v>9213</v>
      </c>
      <c r="Q2561" s="1" t="s">
        <v>9112</v>
      </c>
      <c r="R2561" s="1" t="s">
        <v>9112</v>
      </c>
      <c r="S2561" s="1"/>
      <c r="T2561" s="1" t="s">
        <v>156</v>
      </c>
      <c r="U2561" s="1" t="s">
        <v>157</v>
      </c>
      <c r="V2561" s="1">
        <v>199.75</v>
      </c>
      <c r="W2561" s="1">
        <v>199.75</v>
      </c>
      <c r="X2561" s="1" t="s">
        <v>35</v>
      </c>
      <c r="Y2561" s="1">
        <v>199750.0</v>
      </c>
      <c r="Z2561" s="1"/>
      <c r="AA2561" s="1">
        <v>199750.0</v>
      </c>
      <c r="AB2561" s="1"/>
      <c r="AC2561" s="1" t="s">
        <v>36</v>
      </c>
      <c r="AD2561" s="1" t="s">
        <v>9192</v>
      </c>
      <c r="AE2561" s="1" t="s">
        <v>32</v>
      </c>
      <c r="AF2561" s="1" t="s">
        <v>33</v>
      </c>
      <c r="AG2561" s="1" t="s">
        <v>95</v>
      </c>
    </row>
    <row r="2562" spans="1:33">
      <c r="A2562" t="s">
        <v>9214</v>
      </c>
      <c r="C2562" t="s">
        <v>9215</v>
      </c>
      <c r="E2562" t="s">
        <v>9112</v>
      </c>
      <c r="F2562" t="s">
        <v>9113</v>
      </c>
      <c r="G2562">
        <v>11.76</v>
      </c>
      <c r="H2562">
        <v>11.995</v>
      </c>
      <c r="I2562" t="s">
        <v>40</v>
      </c>
      <c r="J2562" t="s">
        <v>41</v>
      </c>
      <c r="K2562" t="s">
        <v>31</v>
      </c>
      <c r="L2562" t="s">
        <v>32</v>
      </c>
      <c r="M2562" t="s">
        <v>33</v>
      </c>
      <c r="P2562" s="1" t="s">
        <v>9216</v>
      </c>
      <c r="Q2562" s="1" t="s">
        <v>9112</v>
      </c>
      <c r="R2562" s="1" t="s">
        <v>9115</v>
      </c>
      <c r="S2562" s="1"/>
      <c r="T2562" s="1" t="s">
        <v>9217</v>
      </c>
      <c r="U2562" s="1" t="s">
        <v>9218</v>
      </c>
      <c r="V2562" s="1">
        <v>11.76</v>
      </c>
      <c r="W2562" s="1">
        <v>11.995</v>
      </c>
      <c r="X2562" s="1" t="s">
        <v>35</v>
      </c>
      <c r="Y2562" s="1"/>
      <c r="Z2562" s="1">
        <v>11995200.0</v>
      </c>
      <c r="AA2562" s="1"/>
      <c r="AB2562" s="1">
        <v>11995200.0</v>
      </c>
      <c r="AC2562" s="1" t="s">
        <v>36</v>
      </c>
      <c r="AD2562" s="1" t="s">
        <v>9219</v>
      </c>
      <c r="AE2562" s="1" t="s">
        <v>32</v>
      </c>
      <c r="AF2562" s="1" t="s">
        <v>33</v>
      </c>
      <c r="AG2562" s="1" t="s">
        <v>41</v>
      </c>
    </row>
    <row r="2563" spans="1:33">
      <c r="A2563" t="s">
        <v>9220</v>
      </c>
      <c r="C2563" t="s">
        <v>9215</v>
      </c>
      <c r="E2563" t="s">
        <v>9112</v>
      </c>
      <c r="F2563" t="s">
        <v>9113</v>
      </c>
      <c r="G2563">
        <v>11.76</v>
      </c>
      <c r="H2563">
        <v>11.995</v>
      </c>
      <c r="I2563" t="s">
        <v>40</v>
      </c>
      <c r="J2563" t="s">
        <v>41</v>
      </c>
      <c r="K2563" t="s">
        <v>31</v>
      </c>
      <c r="L2563" t="s">
        <v>32</v>
      </c>
      <c r="M2563" t="s">
        <v>33</v>
      </c>
      <c r="P2563" s="1" t="s">
        <v>9221</v>
      </c>
      <c r="Q2563" s="1" t="s">
        <v>9112</v>
      </c>
      <c r="R2563" s="1" t="s">
        <v>9115</v>
      </c>
      <c r="S2563" s="1"/>
      <c r="T2563" s="1" t="s">
        <v>9217</v>
      </c>
      <c r="U2563" s="1" t="s">
        <v>9218</v>
      </c>
      <c r="V2563" s="1">
        <v>11.76</v>
      </c>
      <c r="W2563" s="1">
        <v>11.995</v>
      </c>
      <c r="X2563" s="1" t="s">
        <v>35</v>
      </c>
      <c r="Y2563" s="1"/>
      <c r="Z2563" s="1">
        <v>11995200</v>
      </c>
      <c r="AA2563" s="1"/>
      <c r="AB2563" s="1">
        <v>11995200</v>
      </c>
      <c r="AC2563" s="1" t="s">
        <v>36</v>
      </c>
      <c r="AD2563" s="1" t="s">
        <v>9219</v>
      </c>
      <c r="AE2563" s="1" t="s">
        <v>32</v>
      </c>
      <c r="AF2563" s="1" t="s">
        <v>33</v>
      </c>
      <c r="AG2563" s="1" t="s">
        <v>41</v>
      </c>
    </row>
    <row r="2564" spans="1:33">
      <c r="A2564" t="s">
        <v>9222</v>
      </c>
      <c r="C2564" t="s">
        <v>2955</v>
      </c>
      <c r="E2564" t="s">
        <v>9112</v>
      </c>
      <c r="F2564" t="s">
        <v>9113</v>
      </c>
      <c r="G2564">
        <v>642.0</v>
      </c>
      <c r="H2564">
        <v>642.0</v>
      </c>
      <c r="I2564" t="s">
        <v>269</v>
      </c>
      <c r="J2564" t="s">
        <v>270</v>
      </c>
      <c r="K2564" t="s">
        <v>31</v>
      </c>
      <c r="L2564" t="s">
        <v>32</v>
      </c>
      <c r="M2564" t="s">
        <v>33</v>
      </c>
      <c r="P2564" s="1" t="s">
        <v>9223</v>
      </c>
      <c r="Q2564" s="1" t="s">
        <v>9112</v>
      </c>
      <c r="R2564" s="1" t="s">
        <v>9112</v>
      </c>
      <c r="S2564" s="1"/>
      <c r="T2564" s="1" t="s">
        <v>2955</v>
      </c>
      <c r="U2564" s="1"/>
      <c r="V2564" s="1">
        <v>642.0</v>
      </c>
      <c r="W2564" s="1">
        <v>642.0</v>
      </c>
      <c r="X2564" s="1" t="s">
        <v>35</v>
      </c>
      <c r="Y2564" s="1">
        <v>642000.0</v>
      </c>
      <c r="Z2564" s="1"/>
      <c r="AA2564" s="1">
        <v>642000.0</v>
      </c>
      <c r="AB2564" s="1"/>
      <c r="AC2564" s="1" t="s">
        <v>36</v>
      </c>
      <c r="AD2564" s="1" t="s">
        <v>9224</v>
      </c>
      <c r="AE2564" s="1" t="s">
        <v>32</v>
      </c>
      <c r="AF2564" s="1" t="s">
        <v>33</v>
      </c>
      <c r="AG2564" s="1" t="s">
        <v>270</v>
      </c>
    </row>
    <row r="2565" spans="1:33">
      <c r="A2565" t="s">
        <v>9225</v>
      </c>
      <c r="C2565" t="s">
        <v>5647</v>
      </c>
      <c r="E2565" t="s">
        <v>9112</v>
      </c>
      <c r="F2565" t="s">
        <v>9113</v>
      </c>
      <c r="G2565">
        <v>326.0</v>
      </c>
      <c r="H2565">
        <v>326.0</v>
      </c>
      <c r="I2565" t="s">
        <v>847</v>
      </c>
      <c r="J2565" t="s">
        <v>848</v>
      </c>
      <c r="K2565" t="s">
        <v>31</v>
      </c>
      <c r="L2565" t="s">
        <v>32</v>
      </c>
      <c r="M2565" t="s">
        <v>33</v>
      </c>
      <c r="P2565" s="1" t="s">
        <v>9226</v>
      </c>
      <c r="Q2565" s="1" t="s">
        <v>9112</v>
      </c>
      <c r="R2565" s="1" t="s">
        <v>9112</v>
      </c>
      <c r="S2565" s="1"/>
      <c r="T2565" s="1" t="s">
        <v>5647</v>
      </c>
      <c r="U2565" s="1"/>
      <c r="V2565" s="1">
        <v>326.0</v>
      </c>
      <c r="W2565" s="1">
        <v>326.0</v>
      </c>
      <c r="X2565" s="1" t="s">
        <v>35</v>
      </c>
      <c r="Y2565" s="1">
        <v>326000.0</v>
      </c>
      <c r="Z2565" s="1"/>
      <c r="AA2565" s="1">
        <v>326000.0</v>
      </c>
      <c r="AB2565" s="1"/>
      <c r="AC2565" s="1" t="s">
        <v>36</v>
      </c>
      <c r="AD2565" s="1" t="s">
        <v>9227</v>
      </c>
      <c r="AE2565" s="1" t="s">
        <v>32</v>
      </c>
      <c r="AF2565" s="1" t="s">
        <v>33</v>
      </c>
      <c r="AG2565" s="1" t="s">
        <v>848</v>
      </c>
    </row>
    <row r="2566" spans="1:33">
      <c r="A2566" t="s">
        <v>9228</v>
      </c>
      <c r="B2566" t="s">
        <v>215</v>
      </c>
      <c r="C2566" t="s">
        <v>125</v>
      </c>
      <c r="E2566" t="s">
        <v>9112</v>
      </c>
      <c r="F2566" t="s">
        <v>9113</v>
      </c>
      <c r="G2566">
        <v>16.99</v>
      </c>
      <c r="H2566">
        <v>16.99</v>
      </c>
      <c r="I2566" t="s">
        <v>126</v>
      </c>
      <c r="J2566" t="s">
        <v>127</v>
      </c>
      <c r="K2566" t="s">
        <v>31</v>
      </c>
      <c r="L2566" t="s">
        <v>32</v>
      </c>
      <c r="M2566" t="s">
        <v>33</v>
      </c>
      <c r="P2566" s="1" t="s">
        <v>9229</v>
      </c>
      <c r="Q2566" s="1" t="s">
        <v>9112</v>
      </c>
      <c r="R2566" s="1" t="s">
        <v>9112</v>
      </c>
      <c r="S2566" s="1"/>
      <c r="T2566" s="1" t="s">
        <v>125</v>
      </c>
      <c r="U2566" s="1"/>
      <c r="V2566" s="1">
        <v>16.99</v>
      </c>
      <c r="W2566" s="1">
        <v>16.99</v>
      </c>
      <c r="X2566" s="1" t="s">
        <v>35</v>
      </c>
      <c r="Y2566" s="1">
        <v>16990.0</v>
      </c>
      <c r="Z2566" s="1"/>
      <c r="AA2566" s="1">
        <v>16990.0</v>
      </c>
      <c r="AB2566" s="1"/>
      <c r="AC2566" s="1" t="s">
        <v>36</v>
      </c>
      <c r="AD2566" s="1" t="s">
        <v>9224</v>
      </c>
      <c r="AE2566" s="1" t="s">
        <v>32</v>
      </c>
      <c r="AF2566" s="1" t="s">
        <v>33</v>
      </c>
      <c r="AG2566" s="1" t="s">
        <v>127</v>
      </c>
    </row>
    <row r="2567" spans="1:33">
      <c r="A2567" t="s">
        <v>9230</v>
      </c>
      <c r="B2567" t="s">
        <v>3243</v>
      </c>
      <c r="C2567" t="s">
        <v>3244</v>
      </c>
      <c r="E2567" t="s">
        <v>9112</v>
      </c>
      <c r="F2567" t="s">
        <v>9113</v>
      </c>
      <c r="G2567">
        <v>370.0</v>
      </c>
      <c r="H2567">
        <v>370.0</v>
      </c>
      <c r="I2567" t="s">
        <v>59</v>
      </c>
      <c r="J2567" t="s">
        <v>60</v>
      </c>
      <c r="K2567" t="s">
        <v>31</v>
      </c>
      <c r="L2567" t="s">
        <v>32</v>
      </c>
      <c r="M2567" t="s">
        <v>33</v>
      </c>
      <c r="P2567" s="1" t="s">
        <v>9231</v>
      </c>
      <c r="Q2567" s="1" t="s">
        <v>9112</v>
      </c>
      <c r="R2567" s="1" t="s">
        <v>9112</v>
      </c>
      <c r="S2567" s="1"/>
      <c r="T2567" s="1" t="s">
        <v>3246</v>
      </c>
      <c r="U2567" s="1" t="s">
        <v>3247</v>
      </c>
      <c r="V2567" s="1">
        <v>370.0</v>
      </c>
      <c r="W2567" s="1">
        <v>370.0</v>
      </c>
      <c r="X2567" s="1" t="s">
        <v>35</v>
      </c>
      <c r="Y2567" s="1">
        <v>370000.0</v>
      </c>
      <c r="Z2567" s="1"/>
      <c r="AA2567" s="1">
        <v>370000.0</v>
      </c>
      <c r="AB2567" s="1"/>
      <c r="AC2567" s="1" t="s">
        <v>36</v>
      </c>
      <c r="AD2567" s="1" t="s">
        <v>9232</v>
      </c>
      <c r="AE2567" s="1" t="s">
        <v>32</v>
      </c>
      <c r="AF2567" s="1" t="s">
        <v>33</v>
      </c>
      <c r="AG2567" s="1" t="s">
        <v>60</v>
      </c>
    </row>
    <row r="2568" spans="1:33">
      <c r="A2568" t="s">
        <v>9233</v>
      </c>
      <c r="B2568" t="s">
        <v>9234</v>
      </c>
      <c r="C2568" t="s">
        <v>314</v>
      </c>
      <c r="E2568" t="s">
        <v>9112</v>
      </c>
      <c r="F2568" t="s">
        <v>9113</v>
      </c>
      <c r="G2568">
        <v>52.33</v>
      </c>
      <c r="H2568">
        <v>52.33</v>
      </c>
      <c r="I2568" t="s">
        <v>179</v>
      </c>
      <c r="J2568" t="s">
        <v>180</v>
      </c>
      <c r="K2568" t="s">
        <v>31</v>
      </c>
      <c r="L2568" t="s">
        <v>32</v>
      </c>
      <c r="M2568" t="s">
        <v>33</v>
      </c>
      <c r="P2568" s="1" t="s">
        <v>9235</v>
      </c>
      <c r="Q2568" s="1" t="s">
        <v>9112</v>
      </c>
      <c r="R2568" s="1" t="s">
        <v>9112</v>
      </c>
      <c r="S2568" s="1"/>
      <c r="T2568" s="1" t="s">
        <v>314</v>
      </c>
      <c r="U2568" s="1"/>
      <c r="V2568" s="1">
        <v>52.33</v>
      </c>
      <c r="W2568" s="1">
        <v>52.33</v>
      </c>
      <c r="X2568" s="1" t="s">
        <v>35</v>
      </c>
      <c r="Y2568" s="1">
        <v>52330.0</v>
      </c>
      <c r="Z2568" s="1"/>
      <c r="AA2568" s="1">
        <v>52330.0</v>
      </c>
      <c r="AB2568" s="1"/>
      <c r="AC2568" s="1" t="s">
        <v>36</v>
      </c>
      <c r="AD2568" s="1" t="s">
        <v>9236</v>
      </c>
      <c r="AE2568" s="1" t="s">
        <v>32</v>
      </c>
      <c r="AF2568" s="1" t="s">
        <v>33</v>
      </c>
      <c r="AG2568" s="1" t="s">
        <v>180</v>
      </c>
    </row>
    <row r="2569" spans="1:33">
      <c r="A2569" t="s">
        <v>9237</v>
      </c>
      <c r="B2569" t="s">
        <v>9238</v>
      </c>
      <c r="C2569" t="s">
        <v>73</v>
      </c>
      <c r="E2569" t="s">
        <v>9112</v>
      </c>
      <c r="F2569" t="s">
        <v>9113</v>
      </c>
      <c r="G2569">
        <v>69.17</v>
      </c>
      <c r="H2569">
        <v>69.17</v>
      </c>
      <c r="I2569" t="s">
        <v>40</v>
      </c>
      <c r="J2569" t="s">
        <v>41</v>
      </c>
      <c r="K2569" t="s">
        <v>31</v>
      </c>
      <c r="L2569" t="s">
        <v>32</v>
      </c>
      <c r="M2569" t="s">
        <v>33</v>
      </c>
      <c r="P2569" s="1" t="s">
        <v>9239</v>
      </c>
      <c r="Q2569" s="1" t="s">
        <v>9112</v>
      </c>
      <c r="R2569" s="1" t="s">
        <v>9115</v>
      </c>
      <c r="S2569" s="1"/>
      <c r="T2569" s="1" t="s">
        <v>75</v>
      </c>
      <c r="U2569" s="1" t="s">
        <v>76</v>
      </c>
      <c r="V2569" s="1">
        <v>69.17</v>
      </c>
      <c r="W2569" s="1">
        <v>69.17</v>
      </c>
      <c r="X2569" s="1" t="s">
        <v>35</v>
      </c>
      <c r="Y2569" s="1">
        <v>69170.0</v>
      </c>
      <c r="Z2569" s="1"/>
      <c r="AA2569" s="1">
        <v>69170.0</v>
      </c>
      <c r="AB2569" s="1"/>
      <c r="AC2569" s="1" t="s">
        <v>36</v>
      </c>
      <c r="AD2569" s="1" t="s">
        <v>9240</v>
      </c>
      <c r="AE2569" s="1" t="s">
        <v>32</v>
      </c>
      <c r="AF2569" s="1" t="s">
        <v>33</v>
      </c>
      <c r="AG2569" s="1" t="s">
        <v>41</v>
      </c>
    </row>
    <row r="2570" spans="1:33">
      <c r="A2570" t="s">
        <v>9241</v>
      </c>
      <c r="B2570" t="s">
        <v>1108</v>
      </c>
      <c r="C2570" t="s">
        <v>1109</v>
      </c>
      <c r="E2570" t="s">
        <v>9112</v>
      </c>
      <c r="F2570" t="s">
        <v>9113</v>
      </c>
      <c r="G2570">
        <v>328.0</v>
      </c>
      <c r="H2570">
        <v>328.0</v>
      </c>
      <c r="I2570" t="s">
        <v>529</v>
      </c>
      <c r="J2570" t="s">
        <v>530</v>
      </c>
      <c r="K2570" t="s">
        <v>31</v>
      </c>
      <c r="L2570" t="s">
        <v>32</v>
      </c>
      <c r="M2570" t="s">
        <v>33</v>
      </c>
      <c r="P2570" s="1" t="s">
        <v>9242</v>
      </c>
      <c r="Q2570" s="1" t="s">
        <v>9112</v>
      </c>
      <c r="R2570" s="1" t="s">
        <v>9115</v>
      </c>
      <c r="S2570" s="1"/>
      <c r="T2570" s="1" t="s">
        <v>1111</v>
      </c>
      <c r="U2570" s="1" t="s">
        <v>1112</v>
      </c>
      <c r="V2570" s="1">
        <v>328.0</v>
      </c>
      <c r="W2570" s="1">
        <v>328.0</v>
      </c>
      <c r="X2570" s="1" t="s">
        <v>35</v>
      </c>
      <c r="Y2570" s="1">
        <v>328000.0</v>
      </c>
      <c r="Z2570" s="1"/>
      <c r="AA2570" s="1">
        <v>328000.0</v>
      </c>
      <c r="AB2570" s="1"/>
      <c r="AC2570" s="1" t="s">
        <v>36</v>
      </c>
      <c r="AD2570" s="1" t="s">
        <v>9243</v>
      </c>
      <c r="AE2570" s="1" t="s">
        <v>32</v>
      </c>
      <c r="AF2570" s="1" t="s">
        <v>33</v>
      </c>
      <c r="AG2570" s="1" t="s">
        <v>530</v>
      </c>
    </row>
    <row r="2571" spans="1:33">
      <c r="A2571" t="s">
        <v>9244</v>
      </c>
      <c r="C2571" t="s">
        <v>7385</v>
      </c>
      <c r="E2571" t="s">
        <v>9112</v>
      </c>
      <c r="F2571" t="s">
        <v>9113</v>
      </c>
      <c r="G2571">
        <v>13.022</v>
      </c>
      <c r="H2571">
        <v>13.022</v>
      </c>
      <c r="I2571" t="s">
        <v>227</v>
      </c>
      <c r="J2571" t="s">
        <v>228</v>
      </c>
      <c r="K2571" t="s">
        <v>31</v>
      </c>
      <c r="L2571" t="s">
        <v>32</v>
      </c>
      <c r="M2571" t="s">
        <v>33</v>
      </c>
      <c r="P2571" s="1" t="s">
        <v>9245</v>
      </c>
      <c r="Q2571" s="1" t="s">
        <v>9112</v>
      </c>
      <c r="R2571" s="1" t="s">
        <v>9112</v>
      </c>
      <c r="S2571" s="1"/>
      <c r="T2571" s="1" t="s">
        <v>7385</v>
      </c>
      <c r="U2571" s="1"/>
      <c r="V2571" s="1">
        <v>13.022</v>
      </c>
      <c r="W2571" s="1">
        <v>13.022</v>
      </c>
      <c r="X2571" s="1" t="s">
        <v>35</v>
      </c>
      <c r="Y2571" s="1">
        <v>13022500.0</v>
      </c>
      <c r="Z2571" s="1"/>
      <c r="AA2571" s="1">
        <v>13022500.0</v>
      </c>
      <c r="AB2571" s="1"/>
      <c r="AC2571" s="1" t="s">
        <v>36</v>
      </c>
      <c r="AD2571" s="1" t="s">
        <v>9246</v>
      </c>
      <c r="AE2571" s="1" t="s">
        <v>32</v>
      </c>
      <c r="AF2571" s="1" t="s">
        <v>33</v>
      </c>
      <c r="AG2571" s="1" t="s">
        <v>228</v>
      </c>
    </row>
    <row r="2572" spans="1:33">
      <c r="A2572" t="s">
        <v>9247</v>
      </c>
      <c r="B2572" t="s">
        <v>4222</v>
      </c>
      <c r="C2572" t="s">
        <v>125</v>
      </c>
      <c r="E2572" t="s">
        <v>9112</v>
      </c>
      <c r="F2572" t="s">
        <v>9113</v>
      </c>
      <c r="G2572">
        <v>33.98</v>
      </c>
      <c r="H2572">
        <v>33.98</v>
      </c>
      <c r="I2572" t="s">
        <v>126</v>
      </c>
      <c r="J2572" t="s">
        <v>127</v>
      </c>
      <c r="K2572" t="s">
        <v>31</v>
      </c>
      <c r="L2572" t="s">
        <v>32</v>
      </c>
      <c r="M2572" t="s">
        <v>33</v>
      </c>
      <c r="P2572" s="1" t="s">
        <v>9248</v>
      </c>
      <c r="Q2572" s="1" t="s">
        <v>9112</v>
      </c>
      <c r="R2572" s="1" t="s">
        <v>9112</v>
      </c>
      <c r="S2572" s="1"/>
      <c r="T2572" s="1" t="s">
        <v>125</v>
      </c>
      <c r="U2572" s="1"/>
      <c r="V2572" s="1">
        <v>33.98</v>
      </c>
      <c r="W2572" s="1">
        <v>33.98</v>
      </c>
      <c r="X2572" s="1" t="s">
        <v>35</v>
      </c>
      <c r="Y2572" s="1">
        <v>33980.0</v>
      </c>
      <c r="Z2572" s="1"/>
      <c r="AA2572" s="1">
        <v>33980.0</v>
      </c>
      <c r="AB2572" s="1"/>
      <c r="AC2572" s="1" t="s">
        <v>36</v>
      </c>
      <c r="AD2572" s="1" t="s">
        <v>9240</v>
      </c>
      <c r="AE2572" s="1" t="s">
        <v>32</v>
      </c>
      <c r="AF2572" s="1" t="s">
        <v>33</v>
      </c>
      <c r="AG2572" s="1" t="s">
        <v>127</v>
      </c>
    </row>
    <row r="2573" spans="1:33">
      <c r="A2573" t="s">
        <v>9249</v>
      </c>
      <c r="C2573" t="s">
        <v>732</v>
      </c>
      <c r="E2573" t="s">
        <v>9112</v>
      </c>
      <c r="F2573" t="s">
        <v>9113</v>
      </c>
      <c r="G2573">
        <v>125.0</v>
      </c>
      <c r="H2573">
        <v>125.0</v>
      </c>
      <c r="I2573" t="s">
        <v>269</v>
      </c>
      <c r="J2573" t="s">
        <v>270</v>
      </c>
      <c r="K2573" t="s">
        <v>31</v>
      </c>
      <c r="L2573" t="s">
        <v>32</v>
      </c>
      <c r="M2573" t="s">
        <v>33</v>
      </c>
      <c r="P2573" s="1" t="s">
        <v>9250</v>
      </c>
      <c r="Q2573" s="1" t="s">
        <v>9112</v>
      </c>
      <c r="R2573" s="1" t="s">
        <v>9112</v>
      </c>
      <c r="S2573" s="1"/>
      <c r="T2573" s="1" t="s">
        <v>732</v>
      </c>
      <c r="U2573" s="1"/>
      <c r="V2573" s="1">
        <v>125.0</v>
      </c>
      <c r="W2573" s="1">
        <v>125.0</v>
      </c>
      <c r="X2573" s="1" t="s">
        <v>35</v>
      </c>
      <c r="Y2573" s="1">
        <v>125000.0</v>
      </c>
      <c r="Z2573" s="1"/>
      <c r="AA2573" s="1">
        <v>125000.0</v>
      </c>
      <c r="AB2573" s="1"/>
      <c r="AC2573" s="1" t="s">
        <v>36</v>
      </c>
      <c r="AD2573" s="1" t="s">
        <v>9236</v>
      </c>
      <c r="AE2573" s="1" t="s">
        <v>32</v>
      </c>
      <c r="AF2573" s="1" t="s">
        <v>33</v>
      </c>
      <c r="AG2573" s="1" t="s">
        <v>270</v>
      </c>
    </row>
    <row r="2574" spans="1:33">
      <c r="A2574" t="s">
        <v>9251</v>
      </c>
      <c r="B2574" t="s">
        <v>527</v>
      </c>
      <c r="C2574" t="s">
        <v>528</v>
      </c>
      <c r="E2574" t="s">
        <v>9112</v>
      </c>
      <c r="F2574" t="s">
        <v>9113</v>
      </c>
      <c r="G2574">
        <v>966.0</v>
      </c>
      <c r="H2574">
        <v>966.0</v>
      </c>
      <c r="I2574" t="s">
        <v>529</v>
      </c>
      <c r="J2574" t="s">
        <v>530</v>
      </c>
      <c r="K2574" t="s">
        <v>31</v>
      </c>
      <c r="L2574" t="s">
        <v>32</v>
      </c>
      <c r="M2574" t="s">
        <v>33</v>
      </c>
      <c r="P2574" s="1" t="s">
        <v>9252</v>
      </c>
      <c r="Q2574" s="1" t="s">
        <v>9112</v>
      </c>
      <c r="R2574" s="1" t="s">
        <v>9115</v>
      </c>
      <c r="S2574" s="1"/>
      <c r="T2574" s="1" t="s">
        <v>528</v>
      </c>
      <c r="U2574" s="1"/>
      <c r="V2574" s="1">
        <v>966.0</v>
      </c>
      <c r="W2574" s="1">
        <v>966.0</v>
      </c>
      <c r="X2574" s="1" t="s">
        <v>35</v>
      </c>
      <c r="Y2574" s="1">
        <v>966000.0</v>
      </c>
      <c r="Z2574" s="1"/>
      <c r="AA2574" s="1">
        <v>966000.0</v>
      </c>
      <c r="AB2574" s="1"/>
      <c r="AC2574" s="1" t="s">
        <v>36</v>
      </c>
      <c r="AD2574" s="1" t="s">
        <v>9253</v>
      </c>
      <c r="AE2574" s="1" t="s">
        <v>32</v>
      </c>
      <c r="AF2574" s="1" t="s">
        <v>33</v>
      </c>
      <c r="AG2574" s="1" t="s">
        <v>530</v>
      </c>
    </row>
    <row r="2575" spans="1:33">
      <c r="A2575" t="s">
        <v>9254</v>
      </c>
      <c r="B2575" t="s">
        <v>9255</v>
      </c>
      <c r="C2575" t="s">
        <v>73</v>
      </c>
      <c r="E2575" t="s">
        <v>9112</v>
      </c>
      <c r="F2575" t="s">
        <v>9113</v>
      </c>
      <c r="G2575">
        <v>12.996</v>
      </c>
      <c r="H2575">
        <v>12.996</v>
      </c>
      <c r="I2575" t="s">
        <v>40</v>
      </c>
      <c r="J2575" t="s">
        <v>41</v>
      </c>
      <c r="K2575" t="s">
        <v>31</v>
      </c>
      <c r="L2575" t="s">
        <v>32</v>
      </c>
      <c r="M2575" t="s">
        <v>33</v>
      </c>
      <c r="P2575" s="1" t="s">
        <v>9256</v>
      </c>
      <c r="Q2575" s="1" t="s">
        <v>9112</v>
      </c>
      <c r="R2575" s="1" t="s">
        <v>9115</v>
      </c>
      <c r="S2575" s="1"/>
      <c r="T2575" s="1" t="s">
        <v>75</v>
      </c>
      <c r="U2575" s="1" t="s">
        <v>76</v>
      </c>
      <c r="V2575" s="1">
        <v>12.996</v>
      </c>
      <c r="W2575" s="1">
        <v>12.996</v>
      </c>
      <c r="X2575" s="1" t="s">
        <v>35</v>
      </c>
      <c r="Y2575" s="1">
        <v>13000.0</v>
      </c>
      <c r="Z2575" s="1">
        <v>-4</v>
      </c>
      <c r="AA2575" s="1">
        <v>13000.0</v>
      </c>
      <c r="AB2575" s="1">
        <v>-4</v>
      </c>
      <c r="AC2575" s="1" t="s">
        <v>36</v>
      </c>
      <c r="AD2575" s="1" t="s">
        <v>9257</v>
      </c>
      <c r="AE2575" s="1" t="s">
        <v>32</v>
      </c>
      <c r="AF2575" s="1" t="s">
        <v>33</v>
      </c>
      <c r="AG2575" s="1" t="s">
        <v>41</v>
      </c>
    </row>
    <row r="2576" spans="1:33">
      <c r="A2576" t="s">
        <v>9258</v>
      </c>
      <c r="B2576" t="s">
        <v>9259</v>
      </c>
      <c r="C2576" t="s">
        <v>314</v>
      </c>
      <c r="E2576" t="s">
        <v>9112</v>
      </c>
      <c r="F2576" t="s">
        <v>9113</v>
      </c>
      <c r="G2576">
        <v>18.59</v>
      </c>
      <c r="H2576">
        <v>18.59</v>
      </c>
      <c r="I2576" t="s">
        <v>179</v>
      </c>
      <c r="J2576" t="s">
        <v>180</v>
      </c>
      <c r="K2576" t="s">
        <v>31</v>
      </c>
      <c r="L2576" t="s">
        <v>32</v>
      </c>
      <c r="M2576" t="s">
        <v>33</v>
      </c>
      <c r="P2576" s="1" t="s">
        <v>9260</v>
      </c>
      <c r="Q2576" s="1" t="s">
        <v>9112</v>
      </c>
      <c r="R2576" s="1" t="s">
        <v>9112</v>
      </c>
      <c r="S2576" s="1"/>
      <c r="T2576" s="1" t="s">
        <v>314</v>
      </c>
      <c r="U2576" s="1"/>
      <c r="V2576" s="1">
        <v>18.59</v>
      </c>
      <c r="W2576" s="1">
        <v>18.59</v>
      </c>
      <c r="X2576" s="1" t="s">
        <v>35</v>
      </c>
      <c r="Y2576" s="1">
        <v>18590.0</v>
      </c>
      <c r="Z2576" s="1"/>
      <c r="AA2576" s="1">
        <v>18590.0</v>
      </c>
      <c r="AB2576" s="1"/>
      <c r="AC2576" s="1" t="s">
        <v>36</v>
      </c>
      <c r="AD2576" s="1" t="s">
        <v>9261</v>
      </c>
      <c r="AE2576" s="1" t="s">
        <v>32</v>
      </c>
      <c r="AF2576" s="1" t="s">
        <v>33</v>
      </c>
      <c r="AG2576" s="1" t="s">
        <v>180</v>
      </c>
    </row>
    <row r="2577" spans="1:33">
      <c r="A2577" t="s">
        <v>9262</v>
      </c>
      <c r="B2577" t="s">
        <v>9263</v>
      </c>
      <c r="C2577" t="s">
        <v>1298</v>
      </c>
      <c r="E2577" t="s">
        <v>9112</v>
      </c>
      <c r="F2577" t="s">
        <v>9113</v>
      </c>
      <c r="G2577">
        <v>18.105</v>
      </c>
      <c r="H2577">
        <v>18.105</v>
      </c>
      <c r="I2577" t="s">
        <v>529</v>
      </c>
      <c r="J2577" t="s">
        <v>530</v>
      </c>
      <c r="K2577" t="s">
        <v>31</v>
      </c>
      <c r="L2577" t="s">
        <v>32</v>
      </c>
      <c r="M2577" t="s">
        <v>33</v>
      </c>
      <c r="P2577" s="1" t="s">
        <v>9264</v>
      </c>
      <c r="Q2577" s="1" t="s">
        <v>9112</v>
      </c>
      <c r="R2577" s="1" t="s">
        <v>9115</v>
      </c>
      <c r="S2577" s="1"/>
      <c r="T2577" s="1" t="s">
        <v>1298</v>
      </c>
      <c r="U2577" s="1"/>
      <c r="V2577" s="1">
        <v>18.105</v>
      </c>
      <c r="W2577" s="1">
        <v>18.105</v>
      </c>
      <c r="X2577" s="1" t="s">
        <v>35</v>
      </c>
      <c r="Y2577" s="1">
        <v>18105.0</v>
      </c>
      <c r="Z2577" s="1"/>
      <c r="AA2577" s="1">
        <v>18105.0</v>
      </c>
      <c r="AB2577" s="1"/>
      <c r="AC2577" s="1" t="s">
        <v>36</v>
      </c>
      <c r="AD2577" s="1" t="s">
        <v>9265</v>
      </c>
      <c r="AE2577" s="1" t="s">
        <v>32</v>
      </c>
      <c r="AF2577" s="1" t="s">
        <v>33</v>
      </c>
      <c r="AG2577" s="1" t="s">
        <v>530</v>
      </c>
    </row>
    <row r="2578" spans="1:33">
      <c r="A2578" t="s">
        <v>9266</v>
      </c>
      <c r="C2578" t="s">
        <v>866</v>
      </c>
      <c r="D2578" t="s">
        <v>154</v>
      </c>
      <c r="E2578" t="s">
        <v>9112</v>
      </c>
      <c r="F2578" t="s">
        <v>9113</v>
      </c>
      <c r="G2578">
        <v>336.0</v>
      </c>
      <c r="H2578">
        <v>336.0</v>
      </c>
      <c r="I2578" t="s">
        <v>48</v>
      </c>
      <c r="J2578" t="s">
        <v>49</v>
      </c>
      <c r="K2578" t="s">
        <v>31</v>
      </c>
      <c r="L2578" t="s">
        <v>32</v>
      </c>
      <c r="M2578" t="s">
        <v>33</v>
      </c>
      <c r="P2578" s="1" t="s">
        <v>9267</v>
      </c>
      <c r="Q2578" s="1" t="s">
        <v>9112</v>
      </c>
      <c r="R2578" s="1" t="s">
        <v>9112</v>
      </c>
      <c r="S2578" s="1"/>
      <c r="T2578" s="1" t="s">
        <v>868</v>
      </c>
      <c r="U2578" s="1" t="s">
        <v>869</v>
      </c>
      <c r="V2578" s="1">
        <v>336.0</v>
      </c>
      <c r="W2578" s="1">
        <v>336.0</v>
      </c>
      <c r="X2578" s="1" t="s">
        <v>35</v>
      </c>
      <c r="Y2578" s="1">
        <v>336000.0</v>
      </c>
      <c r="Z2578" s="1"/>
      <c r="AA2578" s="1">
        <v>336000.0</v>
      </c>
      <c r="AB2578" s="1"/>
      <c r="AC2578" s="1" t="s">
        <v>36</v>
      </c>
      <c r="AD2578" s="1" t="s">
        <v>9265</v>
      </c>
      <c r="AE2578" s="1" t="s">
        <v>32</v>
      </c>
      <c r="AF2578" s="1" t="s">
        <v>33</v>
      </c>
      <c r="AG2578" s="1" t="s">
        <v>49</v>
      </c>
    </row>
    <row r="2579" spans="1:33">
      <c r="A2579" t="s">
        <v>9268</v>
      </c>
      <c r="C2579" t="s">
        <v>297</v>
      </c>
      <c r="D2579" t="s">
        <v>154</v>
      </c>
      <c r="E2579" t="s">
        <v>9112</v>
      </c>
      <c r="F2579" t="s">
        <v>9113</v>
      </c>
      <c r="G2579">
        <v>320.0</v>
      </c>
      <c r="H2579">
        <v>320.0</v>
      </c>
      <c r="I2579" t="s">
        <v>40</v>
      </c>
      <c r="J2579" t="s">
        <v>41</v>
      </c>
      <c r="K2579" t="s">
        <v>31</v>
      </c>
      <c r="L2579" t="s">
        <v>32</v>
      </c>
      <c r="M2579" t="s">
        <v>33</v>
      </c>
      <c r="P2579" s="1" t="s">
        <v>9269</v>
      </c>
      <c r="Q2579" s="1" t="s">
        <v>9112</v>
      </c>
      <c r="R2579" s="1" t="s">
        <v>9115</v>
      </c>
      <c r="S2579" s="1"/>
      <c r="T2579" s="1" t="s">
        <v>297</v>
      </c>
      <c r="U2579" s="1"/>
      <c r="V2579" s="1">
        <v>320.0</v>
      </c>
      <c r="W2579" s="1">
        <v>320.0</v>
      </c>
      <c r="X2579" s="1" t="s">
        <v>35</v>
      </c>
      <c r="Y2579" s="1">
        <v>320000.0</v>
      </c>
      <c r="Z2579" s="1"/>
      <c r="AA2579" s="1">
        <v>320000.0</v>
      </c>
      <c r="AB2579" s="1"/>
      <c r="AC2579" s="1" t="s">
        <v>36</v>
      </c>
      <c r="AD2579" s="1" t="s">
        <v>9270</v>
      </c>
      <c r="AE2579" s="1" t="s">
        <v>32</v>
      </c>
      <c r="AF2579" s="1" t="s">
        <v>33</v>
      </c>
      <c r="AG2579" s="1" t="s">
        <v>41</v>
      </c>
    </row>
    <row r="2580" spans="1:33">
      <c r="A2580" t="s">
        <v>9271</v>
      </c>
      <c r="C2580" t="s">
        <v>2876</v>
      </c>
      <c r="E2580" t="s">
        <v>9112</v>
      </c>
      <c r="F2580" t="s">
        <v>9113</v>
      </c>
      <c r="G2580">
        <v>580.4</v>
      </c>
      <c r="H2580">
        <v>580.4</v>
      </c>
      <c r="I2580" t="s">
        <v>269</v>
      </c>
      <c r="J2580" t="s">
        <v>270</v>
      </c>
      <c r="K2580" t="s">
        <v>31</v>
      </c>
      <c r="L2580" t="s">
        <v>32</v>
      </c>
      <c r="M2580" t="s">
        <v>33</v>
      </c>
      <c r="P2580" s="1" t="s">
        <v>9272</v>
      </c>
      <c r="Q2580" s="1" t="s">
        <v>9112</v>
      </c>
      <c r="R2580" s="1" t="s">
        <v>9112</v>
      </c>
      <c r="S2580" s="1"/>
      <c r="T2580" s="1" t="s">
        <v>2876</v>
      </c>
      <c r="U2580" s="1"/>
      <c r="V2580" s="1">
        <v>580.4</v>
      </c>
      <c r="W2580" s="1">
        <v>580.4</v>
      </c>
      <c r="X2580" s="1" t="s">
        <v>35</v>
      </c>
      <c r="Y2580" s="1">
        <v>580400.0</v>
      </c>
      <c r="Z2580" s="1"/>
      <c r="AA2580" s="1">
        <v>580400.0</v>
      </c>
      <c r="AB2580" s="1"/>
      <c r="AC2580" s="1" t="s">
        <v>36</v>
      </c>
      <c r="AD2580" s="1" t="s">
        <v>9273</v>
      </c>
      <c r="AE2580" s="1" t="s">
        <v>32</v>
      </c>
      <c r="AF2580" s="1" t="s">
        <v>33</v>
      </c>
      <c r="AG2580" s="1" t="s">
        <v>270</v>
      </c>
    </row>
    <row r="2581" spans="1:33">
      <c r="A2581" t="s">
        <v>9274</v>
      </c>
      <c r="B2581" t="s">
        <v>9275</v>
      </c>
      <c r="C2581" t="s">
        <v>68</v>
      </c>
      <c r="E2581" t="s">
        <v>9112</v>
      </c>
      <c r="F2581" t="s">
        <v>9113</v>
      </c>
      <c r="G2581">
        <v>158.0</v>
      </c>
      <c r="H2581">
        <v>158.0</v>
      </c>
      <c r="I2581" t="s">
        <v>59</v>
      </c>
      <c r="J2581" t="s">
        <v>60</v>
      </c>
      <c r="K2581" t="s">
        <v>31</v>
      </c>
      <c r="L2581" t="s">
        <v>32</v>
      </c>
      <c r="M2581" t="s">
        <v>33</v>
      </c>
      <c r="P2581" s="1" t="s">
        <v>9276</v>
      </c>
      <c r="Q2581" s="1" t="s">
        <v>9112</v>
      </c>
      <c r="R2581" s="1" t="s">
        <v>9112</v>
      </c>
      <c r="S2581" s="1"/>
      <c r="T2581" s="1" t="s">
        <v>68</v>
      </c>
      <c r="U2581" s="1"/>
      <c r="V2581" s="1">
        <v>158.0</v>
      </c>
      <c r="W2581" s="1">
        <v>158.0</v>
      </c>
      <c r="X2581" s="1" t="s">
        <v>35</v>
      </c>
      <c r="Y2581" s="1">
        <v>158000.0</v>
      </c>
      <c r="Z2581" s="1"/>
      <c r="AA2581" s="1">
        <v>158000.0</v>
      </c>
      <c r="AB2581" s="1"/>
      <c r="AC2581" s="1" t="s">
        <v>36</v>
      </c>
      <c r="AD2581" s="1" t="s">
        <v>9277</v>
      </c>
      <c r="AE2581" s="1" t="s">
        <v>32</v>
      </c>
      <c r="AF2581" s="1" t="s">
        <v>33</v>
      </c>
      <c r="AG2581" s="1" t="s">
        <v>60</v>
      </c>
    </row>
    <row r="2582" spans="1:33">
      <c r="A2582" t="s">
        <v>9278</v>
      </c>
      <c r="B2582" t="s">
        <v>9279</v>
      </c>
      <c r="C2582" t="s">
        <v>906</v>
      </c>
      <c r="E2582" t="s">
        <v>9112</v>
      </c>
      <c r="F2582" t="s">
        <v>9113</v>
      </c>
      <c r="G2582">
        <v>336.35</v>
      </c>
      <c r="H2582">
        <v>336.35</v>
      </c>
      <c r="I2582" t="s">
        <v>847</v>
      </c>
      <c r="J2582" t="s">
        <v>848</v>
      </c>
      <c r="K2582" t="s">
        <v>31</v>
      </c>
      <c r="L2582" t="s">
        <v>32</v>
      </c>
      <c r="M2582" t="s">
        <v>33</v>
      </c>
      <c r="P2582" s="1" t="s">
        <v>9280</v>
      </c>
      <c r="Q2582" s="1" t="s">
        <v>9112</v>
      </c>
      <c r="R2582" s="1" t="s">
        <v>9112</v>
      </c>
      <c r="S2582" s="1"/>
      <c r="T2582" s="1" t="s">
        <v>906</v>
      </c>
      <c r="U2582" s="1"/>
      <c r="V2582" s="1">
        <v>336.35</v>
      </c>
      <c r="W2582" s="1">
        <v>336.35</v>
      </c>
      <c r="X2582" s="1" t="s">
        <v>35</v>
      </c>
      <c r="Y2582" s="1">
        <v>336350.0</v>
      </c>
      <c r="Z2582" s="1"/>
      <c r="AA2582" s="1">
        <v>336350.0</v>
      </c>
      <c r="AB2582" s="1"/>
      <c r="AC2582" s="1" t="s">
        <v>36</v>
      </c>
      <c r="AD2582" s="1" t="s">
        <v>9246</v>
      </c>
      <c r="AE2582" s="1" t="s">
        <v>32</v>
      </c>
      <c r="AF2582" s="1" t="s">
        <v>33</v>
      </c>
      <c r="AG2582" s="1" t="s">
        <v>848</v>
      </c>
    </row>
    <row r="2583" spans="1:33">
      <c r="A2583" t="s">
        <v>9281</v>
      </c>
      <c r="C2583" t="s">
        <v>732</v>
      </c>
      <c r="E2583" t="s">
        <v>9112</v>
      </c>
      <c r="F2583" t="s">
        <v>9113</v>
      </c>
      <c r="G2583">
        <v>232.0</v>
      </c>
      <c r="H2583">
        <v>232.0</v>
      </c>
      <c r="I2583" t="s">
        <v>269</v>
      </c>
      <c r="J2583" t="s">
        <v>270</v>
      </c>
      <c r="K2583" t="s">
        <v>31</v>
      </c>
      <c r="L2583" t="s">
        <v>32</v>
      </c>
      <c r="M2583" t="s">
        <v>33</v>
      </c>
      <c r="P2583" s="1" t="s">
        <v>9282</v>
      </c>
      <c r="Q2583" s="1" t="s">
        <v>9112</v>
      </c>
      <c r="R2583" s="1" t="s">
        <v>9112</v>
      </c>
      <c r="S2583" s="1"/>
      <c r="T2583" s="1" t="s">
        <v>732</v>
      </c>
      <c r="U2583" s="1"/>
      <c r="V2583" s="1">
        <v>232.0</v>
      </c>
      <c r="W2583" s="1">
        <v>232.0</v>
      </c>
      <c r="X2583" s="1" t="s">
        <v>35</v>
      </c>
      <c r="Y2583" s="1">
        <v>232000.0</v>
      </c>
      <c r="Z2583" s="1"/>
      <c r="AA2583" s="1">
        <v>232000.0</v>
      </c>
      <c r="AB2583" s="1"/>
      <c r="AC2583" s="1" t="s">
        <v>36</v>
      </c>
      <c r="AD2583" s="1" t="s">
        <v>9283</v>
      </c>
      <c r="AE2583" s="1" t="s">
        <v>32</v>
      </c>
      <c r="AF2583" s="1" t="s">
        <v>33</v>
      </c>
      <c r="AG2583" s="1" t="s">
        <v>270</v>
      </c>
    </row>
    <row r="2584" spans="1:33">
      <c r="A2584" t="s">
        <v>9284</v>
      </c>
      <c r="B2584" t="s">
        <v>837</v>
      </c>
      <c r="C2584" t="s">
        <v>838</v>
      </c>
      <c r="E2584" t="s">
        <v>9112</v>
      </c>
      <c r="F2584" t="s">
        <v>9113</v>
      </c>
      <c r="G2584">
        <v>1.39</v>
      </c>
      <c r="H2584">
        <v>1.39</v>
      </c>
      <c r="I2584" t="s">
        <v>59</v>
      </c>
      <c r="J2584" t="s">
        <v>60</v>
      </c>
      <c r="K2584" t="s">
        <v>31</v>
      </c>
      <c r="L2584" t="s">
        <v>32</v>
      </c>
      <c r="M2584" t="s">
        <v>33</v>
      </c>
      <c r="P2584" s="1" t="s">
        <v>9285</v>
      </c>
      <c r="Q2584" s="1" t="s">
        <v>9112</v>
      </c>
      <c r="R2584" s="1" t="s">
        <v>9112</v>
      </c>
      <c r="S2584" s="1"/>
      <c r="T2584" s="1" t="s">
        <v>838</v>
      </c>
      <c r="U2584" s="1"/>
      <c r="V2584" s="1">
        <v>1.39</v>
      </c>
      <c r="W2584" s="1">
        <v>1.39</v>
      </c>
      <c r="X2584" s="1" t="s">
        <v>35</v>
      </c>
      <c r="Y2584" s="1">
        <v>1390.0</v>
      </c>
      <c r="Z2584" s="1"/>
      <c r="AA2584" s="1">
        <v>1390.0</v>
      </c>
      <c r="AB2584" s="1"/>
      <c r="AC2584" s="1" t="s">
        <v>36</v>
      </c>
      <c r="AD2584" s="1" t="s">
        <v>9283</v>
      </c>
      <c r="AE2584" s="1" t="s">
        <v>32</v>
      </c>
      <c r="AF2584" s="1" t="s">
        <v>33</v>
      </c>
      <c r="AG2584" s="1" t="s">
        <v>60</v>
      </c>
    </row>
    <row r="2585" spans="1:33">
      <c r="A2585" t="s">
        <v>9286</v>
      </c>
      <c r="C2585" t="s">
        <v>131</v>
      </c>
      <c r="E2585" t="s">
        <v>9112</v>
      </c>
      <c r="F2585" t="s">
        <v>9113</v>
      </c>
      <c r="G2585">
        <v>32.24</v>
      </c>
      <c r="H2585">
        <v>32.24</v>
      </c>
      <c r="I2585" t="s">
        <v>94</v>
      </c>
      <c r="J2585" t="s">
        <v>95</v>
      </c>
      <c r="K2585" t="s">
        <v>31</v>
      </c>
      <c r="L2585" t="s">
        <v>32</v>
      </c>
      <c r="M2585" t="s">
        <v>33</v>
      </c>
      <c r="P2585" s="1" t="s">
        <v>9287</v>
      </c>
      <c r="Q2585" s="1" t="s">
        <v>9112</v>
      </c>
      <c r="R2585" s="1" t="s">
        <v>9112</v>
      </c>
      <c r="S2585" s="1"/>
      <c r="T2585" s="1" t="s">
        <v>131</v>
      </c>
      <c r="U2585" s="1"/>
      <c r="V2585" s="1">
        <v>32.24</v>
      </c>
      <c r="W2585" s="1">
        <v>32.24</v>
      </c>
      <c r="X2585" s="1" t="s">
        <v>35</v>
      </c>
      <c r="Y2585" s="1">
        <v>32240.0</v>
      </c>
      <c r="Z2585" s="1"/>
      <c r="AA2585" s="1">
        <v>32240.0</v>
      </c>
      <c r="AB2585" s="1"/>
      <c r="AC2585" s="1" t="s">
        <v>36</v>
      </c>
      <c r="AD2585" s="1" t="s">
        <v>9288</v>
      </c>
      <c r="AE2585" s="1" t="s">
        <v>32</v>
      </c>
      <c r="AF2585" s="1" t="s">
        <v>33</v>
      </c>
      <c r="AG2585" s="1" t="s">
        <v>95</v>
      </c>
    </row>
    <row r="2586" spans="1:33">
      <c r="A2586" t="s">
        <v>9289</v>
      </c>
      <c r="C2586" t="s">
        <v>2262</v>
      </c>
      <c r="E2586" t="s">
        <v>9112</v>
      </c>
      <c r="F2586" t="s">
        <v>9113</v>
      </c>
      <c r="G2586">
        <v>1.569</v>
      </c>
      <c r="H2586">
        <v>1.569</v>
      </c>
      <c r="I2586" t="s">
        <v>269</v>
      </c>
      <c r="J2586" t="s">
        <v>270</v>
      </c>
      <c r="K2586" t="s">
        <v>31</v>
      </c>
      <c r="L2586" t="s">
        <v>32</v>
      </c>
      <c r="M2586" t="s">
        <v>33</v>
      </c>
      <c r="P2586" s="1" t="s">
        <v>9290</v>
      </c>
      <c r="Q2586" s="1" t="s">
        <v>9112</v>
      </c>
      <c r="R2586" s="1" t="s">
        <v>9112</v>
      </c>
      <c r="S2586" s="1"/>
      <c r="T2586" s="1" t="s">
        <v>2262</v>
      </c>
      <c r="U2586" s="1"/>
      <c r="V2586" s="1">
        <v>1.569</v>
      </c>
      <c r="W2586" s="1">
        <v>1.569</v>
      </c>
      <c r="X2586" s="1" t="s">
        <v>35</v>
      </c>
      <c r="Y2586" s="1">
        <v>1569000.0</v>
      </c>
      <c r="Z2586" s="1"/>
      <c r="AA2586" s="1">
        <v>1569000.0</v>
      </c>
      <c r="AB2586" s="1"/>
      <c r="AC2586" s="1" t="s">
        <v>36</v>
      </c>
      <c r="AD2586" s="1" t="s">
        <v>9291</v>
      </c>
      <c r="AE2586" s="1" t="s">
        <v>32</v>
      </c>
      <c r="AF2586" s="1" t="s">
        <v>33</v>
      </c>
      <c r="AG2586" s="1" t="s">
        <v>270</v>
      </c>
    </row>
    <row r="2587" spans="1:33">
      <c r="A2587" t="s">
        <v>9292</v>
      </c>
      <c r="B2587" t="s">
        <v>9293</v>
      </c>
      <c r="C2587" t="s">
        <v>125</v>
      </c>
      <c r="E2587" t="s">
        <v>9112</v>
      </c>
      <c r="F2587" t="s">
        <v>9113</v>
      </c>
      <c r="G2587">
        <v>7.44</v>
      </c>
      <c r="H2587">
        <v>7.44</v>
      </c>
      <c r="I2587" t="s">
        <v>126</v>
      </c>
      <c r="J2587" t="s">
        <v>127</v>
      </c>
      <c r="K2587" t="s">
        <v>31</v>
      </c>
      <c r="L2587" t="s">
        <v>32</v>
      </c>
      <c r="M2587" t="s">
        <v>33</v>
      </c>
      <c r="P2587" s="1" t="s">
        <v>9294</v>
      </c>
      <c r="Q2587" s="1" t="s">
        <v>9112</v>
      </c>
      <c r="R2587" s="1" t="s">
        <v>9112</v>
      </c>
      <c r="S2587" s="1"/>
      <c r="T2587" s="1" t="s">
        <v>125</v>
      </c>
      <c r="U2587" s="1"/>
      <c r="V2587" s="1">
        <v>7.44</v>
      </c>
      <c r="W2587" s="1">
        <v>7.44</v>
      </c>
      <c r="X2587" s="1" t="s">
        <v>35</v>
      </c>
      <c r="Y2587" s="1">
        <v>7440.0</v>
      </c>
      <c r="Z2587" s="1"/>
      <c r="AA2587" s="1">
        <v>7440.0</v>
      </c>
      <c r="AB2587" s="1"/>
      <c r="AC2587" s="1" t="s">
        <v>36</v>
      </c>
      <c r="AD2587" s="1" t="s">
        <v>9295</v>
      </c>
      <c r="AE2587" s="1" t="s">
        <v>32</v>
      </c>
      <c r="AF2587" s="1" t="s">
        <v>33</v>
      </c>
      <c r="AG2587" s="1" t="s">
        <v>127</v>
      </c>
    </row>
    <row r="2588" spans="1:33">
      <c r="A2588" t="s">
        <v>9296</v>
      </c>
      <c r="C2588" t="s">
        <v>859</v>
      </c>
      <c r="D2588" t="s">
        <v>114</v>
      </c>
      <c r="E2588" t="s">
        <v>9112</v>
      </c>
      <c r="F2588" t="s">
        <v>9113</v>
      </c>
      <c r="G2588">
        <v>328.0</v>
      </c>
      <c r="H2588">
        <v>328.0</v>
      </c>
      <c r="I2588" t="s">
        <v>269</v>
      </c>
      <c r="J2588" t="s">
        <v>270</v>
      </c>
      <c r="K2588" t="s">
        <v>31</v>
      </c>
      <c r="L2588" t="s">
        <v>32</v>
      </c>
      <c r="M2588" t="s">
        <v>33</v>
      </c>
      <c r="P2588" s="1" t="s">
        <v>9297</v>
      </c>
      <c r="Q2588" s="1" t="s">
        <v>9112</v>
      </c>
      <c r="R2588" s="1" t="s">
        <v>9112</v>
      </c>
      <c r="S2588" s="1"/>
      <c r="T2588" s="1" t="s">
        <v>859</v>
      </c>
      <c r="U2588" s="1"/>
      <c r="V2588" s="1">
        <v>328.0</v>
      </c>
      <c r="W2588" s="1">
        <v>328.0</v>
      </c>
      <c r="X2588" s="1" t="s">
        <v>35</v>
      </c>
      <c r="Y2588" s="1">
        <v>328000.0</v>
      </c>
      <c r="Z2588" s="1"/>
      <c r="AA2588" s="1">
        <v>328000.0</v>
      </c>
      <c r="AB2588" s="1"/>
      <c r="AC2588" s="1" t="s">
        <v>36</v>
      </c>
      <c r="AD2588" s="1" t="s">
        <v>9298</v>
      </c>
      <c r="AE2588" s="1" t="s">
        <v>32</v>
      </c>
      <c r="AF2588" s="1" t="s">
        <v>33</v>
      </c>
      <c r="AG2588" s="1" t="s">
        <v>270</v>
      </c>
    </row>
    <row r="2589" spans="1:33">
      <c r="A2589" t="s">
        <v>9299</v>
      </c>
      <c r="B2589" t="s">
        <v>9300</v>
      </c>
      <c r="C2589" t="s">
        <v>131</v>
      </c>
      <c r="E2589" t="s">
        <v>9112</v>
      </c>
      <c r="F2589" t="s">
        <v>9113</v>
      </c>
      <c r="G2589">
        <v>19.49</v>
      </c>
      <c r="H2589">
        <v>19.49</v>
      </c>
      <c r="I2589" t="s">
        <v>94</v>
      </c>
      <c r="J2589" t="s">
        <v>95</v>
      </c>
      <c r="K2589" t="s">
        <v>31</v>
      </c>
      <c r="L2589" t="s">
        <v>32</v>
      </c>
      <c r="M2589" t="s">
        <v>33</v>
      </c>
      <c r="P2589" s="1" t="s">
        <v>9301</v>
      </c>
      <c r="Q2589" s="1" t="s">
        <v>9112</v>
      </c>
      <c r="R2589" s="1" t="s">
        <v>9112</v>
      </c>
      <c r="S2589" s="1"/>
      <c r="T2589" s="1" t="s">
        <v>131</v>
      </c>
      <c r="U2589" s="1"/>
      <c r="V2589" s="1">
        <v>19.49</v>
      </c>
      <c r="W2589" s="1">
        <v>19.49</v>
      </c>
      <c r="X2589" s="1" t="s">
        <v>35</v>
      </c>
      <c r="Y2589" s="1">
        <v>19490.0</v>
      </c>
      <c r="Z2589" s="1"/>
      <c r="AA2589" s="1">
        <v>19490.0</v>
      </c>
      <c r="AB2589" s="1"/>
      <c r="AC2589" s="1" t="s">
        <v>36</v>
      </c>
      <c r="AD2589" s="1" t="s">
        <v>9302</v>
      </c>
      <c r="AE2589" s="1" t="s">
        <v>32</v>
      </c>
      <c r="AF2589" s="1" t="s">
        <v>33</v>
      </c>
      <c r="AG2589" s="1" t="s">
        <v>95</v>
      </c>
    </row>
    <row r="2590" spans="1:33">
      <c r="A2590" t="s">
        <v>9303</v>
      </c>
      <c r="B2590" t="s">
        <v>9304</v>
      </c>
      <c r="C2590" t="s">
        <v>68</v>
      </c>
      <c r="E2590" t="s">
        <v>9112</v>
      </c>
      <c r="F2590" t="s">
        <v>9113</v>
      </c>
      <c r="G2590">
        <v>20.49</v>
      </c>
      <c r="H2590">
        <v>20.49</v>
      </c>
      <c r="I2590" t="s">
        <v>59</v>
      </c>
      <c r="J2590" t="s">
        <v>60</v>
      </c>
      <c r="K2590" t="s">
        <v>31</v>
      </c>
      <c r="L2590" t="s">
        <v>32</v>
      </c>
      <c r="M2590" t="s">
        <v>33</v>
      </c>
      <c r="P2590" s="1" t="s">
        <v>9305</v>
      </c>
      <c r="Q2590" s="1" t="s">
        <v>9112</v>
      </c>
      <c r="R2590" s="1" t="s">
        <v>9112</v>
      </c>
      <c r="S2590" s="1"/>
      <c r="T2590" s="1" t="s">
        <v>68</v>
      </c>
      <c r="U2590" s="1"/>
      <c r="V2590" s="1">
        <v>20.49</v>
      </c>
      <c r="W2590" s="1">
        <v>20.49</v>
      </c>
      <c r="X2590" s="1" t="s">
        <v>35</v>
      </c>
      <c r="Y2590" s="1">
        <v>20490.0</v>
      </c>
      <c r="Z2590" s="1"/>
      <c r="AA2590" s="1">
        <v>20490.0</v>
      </c>
      <c r="AB2590" s="1"/>
      <c r="AC2590" s="1" t="s">
        <v>36</v>
      </c>
      <c r="AD2590" s="1" t="s">
        <v>9291</v>
      </c>
      <c r="AE2590" s="1" t="s">
        <v>32</v>
      </c>
      <c r="AF2590" s="1" t="s">
        <v>33</v>
      </c>
      <c r="AG2590" s="1" t="s">
        <v>60</v>
      </c>
    </row>
    <row r="2591" spans="1:33">
      <c r="A2591" t="s">
        <v>9306</v>
      </c>
      <c r="B2591" t="s">
        <v>9307</v>
      </c>
      <c r="C2591" t="s">
        <v>125</v>
      </c>
      <c r="E2591" t="s">
        <v>9112</v>
      </c>
      <c r="F2591" t="s">
        <v>9113</v>
      </c>
      <c r="G2591">
        <v>97.47</v>
      </c>
      <c r="H2591">
        <v>97.47</v>
      </c>
      <c r="I2591" t="s">
        <v>126</v>
      </c>
      <c r="J2591" t="s">
        <v>127</v>
      </c>
      <c r="K2591" t="s">
        <v>31</v>
      </c>
      <c r="L2591" t="s">
        <v>32</v>
      </c>
      <c r="M2591" t="s">
        <v>33</v>
      </c>
      <c r="P2591" s="1" t="s">
        <v>9308</v>
      </c>
      <c r="Q2591" s="1" t="s">
        <v>9112</v>
      </c>
      <c r="R2591" s="1" t="s">
        <v>9112</v>
      </c>
      <c r="S2591" s="1"/>
      <c r="T2591" s="1" t="s">
        <v>125</v>
      </c>
      <c r="U2591" s="1"/>
      <c r="V2591" s="1">
        <v>97.47</v>
      </c>
      <c r="W2591" s="1">
        <v>97.47</v>
      </c>
      <c r="X2591" s="1" t="s">
        <v>35</v>
      </c>
      <c r="Y2591" s="1">
        <v>97470.0</v>
      </c>
      <c r="Z2591" s="1"/>
      <c r="AA2591" s="1">
        <v>97470.0</v>
      </c>
      <c r="AB2591" s="1"/>
      <c r="AC2591" s="1" t="s">
        <v>36</v>
      </c>
      <c r="AD2591" s="1" t="s">
        <v>9302</v>
      </c>
      <c r="AE2591" s="1" t="s">
        <v>32</v>
      </c>
      <c r="AF2591" s="1" t="s">
        <v>33</v>
      </c>
      <c r="AG2591" s="1" t="s">
        <v>127</v>
      </c>
    </row>
    <row r="2592" spans="1:33">
      <c r="A2592" t="s">
        <v>9309</v>
      </c>
      <c r="B2592" t="s">
        <v>9310</v>
      </c>
      <c r="C2592" t="s">
        <v>569</v>
      </c>
      <c r="E2592" t="s">
        <v>9112</v>
      </c>
      <c r="F2592" t="s">
        <v>9113</v>
      </c>
      <c r="G2592">
        <v>26.192</v>
      </c>
      <c r="H2592">
        <v>26.192</v>
      </c>
      <c r="I2592" t="s">
        <v>570</v>
      </c>
      <c r="J2592" t="s">
        <v>571</v>
      </c>
      <c r="K2592" t="s">
        <v>31</v>
      </c>
      <c r="L2592" t="s">
        <v>32</v>
      </c>
      <c r="M2592" t="s">
        <v>33</v>
      </c>
      <c r="P2592" s="1" t="s">
        <v>9311</v>
      </c>
      <c r="Q2592" s="1" t="s">
        <v>9112</v>
      </c>
      <c r="R2592" s="1" t="s">
        <v>9112</v>
      </c>
      <c r="S2592" s="1"/>
      <c r="T2592" s="1" t="s">
        <v>569</v>
      </c>
      <c r="U2592" s="1"/>
      <c r="V2592" s="1">
        <v>26.192</v>
      </c>
      <c r="W2592" s="1">
        <v>26.192</v>
      </c>
      <c r="X2592" s="1" t="s">
        <v>35</v>
      </c>
      <c r="Y2592" s="1">
        <v>26192.0</v>
      </c>
      <c r="Z2592" s="1"/>
      <c r="AA2592" s="1">
        <v>26192.0</v>
      </c>
      <c r="AB2592" s="1"/>
      <c r="AC2592" s="1" t="s">
        <v>36</v>
      </c>
      <c r="AD2592" s="1" t="s">
        <v>9312</v>
      </c>
      <c r="AE2592" s="1" t="s">
        <v>32</v>
      </c>
      <c r="AF2592" s="1" t="s">
        <v>33</v>
      </c>
      <c r="AG2592" s="1" t="s">
        <v>571</v>
      </c>
    </row>
    <row r="2593" spans="1:33">
      <c r="A2593" t="s">
        <v>9313</v>
      </c>
      <c r="C2593" t="s">
        <v>586</v>
      </c>
      <c r="E2593" t="s">
        <v>9112</v>
      </c>
      <c r="F2593" t="s">
        <v>9113</v>
      </c>
      <c r="G2593">
        <v>17.5</v>
      </c>
      <c r="H2593">
        <v>17.5</v>
      </c>
      <c r="I2593" t="s">
        <v>269</v>
      </c>
      <c r="J2593" t="s">
        <v>270</v>
      </c>
      <c r="K2593" t="s">
        <v>31</v>
      </c>
      <c r="L2593" t="s">
        <v>32</v>
      </c>
      <c r="M2593" t="s">
        <v>33</v>
      </c>
      <c r="P2593" s="1" t="s">
        <v>9314</v>
      </c>
      <c r="Q2593" s="1" t="s">
        <v>9112</v>
      </c>
      <c r="R2593" s="1" t="s">
        <v>9112</v>
      </c>
      <c r="S2593" s="1"/>
      <c r="T2593" s="1" t="s">
        <v>586</v>
      </c>
      <c r="U2593" s="1"/>
      <c r="V2593" s="1">
        <v>17.5</v>
      </c>
      <c r="W2593" s="1">
        <v>17.5</v>
      </c>
      <c r="X2593" s="1" t="s">
        <v>35</v>
      </c>
      <c r="Y2593" s="1">
        <v>17500.0</v>
      </c>
      <c r="Z2593" s="1"/>
      <c r="AA2593" s="1">
        <v>17500.0</v>
      </c>
      <c r="AB2593" s="1"/>
      <c r="AC2593" s="1" t="s">
        <v>36</v>
      </c>
      <c r="AD2593" s="1" t="s">
        <v>9315</v>
      </c>
      <c r="AE2593" s="1" t="s">
        <v>32</v>
      </c>
      <c r="AF2593" s="1" t="s">
        <v>33</v>
      </c>
      <c r="AG2593" s="1" t="s">
        <v>270</v>
      </c>
    </row>
    <row r="2594" spans="1:33">
      <c r="A2594" t="s">
        <v>9316</v>
      </c>
      <c r="B2594" t="s">
        <v>9317</v>
      </c>
      <c r="C2594" t="s">
        <v>73</v>
      </c>
      <c r="E2594" t="s">
        <v>9112</v>
      </c>
      <c r="F2594" t="s">
        <v>9113</v>
      </c>
      <c r="G2594">
        <v>20.99</v>
      </c>
      <c r="H2594">
        <v>20.99</v>
      </c>
      <c r="I2594" t="s">
        <v>40</v>
      </c>
      <c r="J2594" t="s">
        <v>41</v>
      </c>
      <c r="K2594" t="s">
        <v>31</v>
      </c>
      <c r="L2594" t="s">
        <v>32</v>
      </c>
      <c r="M2594" t="s">
        <v>33</v>
      </c>
      <c r="P2594" s="1" t="s">
        <v>9318</v>
      </c>
      <c r="Q2594" s="1" t="s">
        <v>9112</v>
      </c>
      <c r="R2594" s="1" t="s">
        <v>9115</v>
      </c>
      <c r="S2594" s="1"/>
      <c r="T2594" s="1" t="s">
        <v>75</v>
      </c>
      <c r="U2594" s="1" t="s">
        <v>76</v>
      </c>
      <c r="V2594" s="1">
        <v>20.99</v>
      </c>
      <c r="W2594" s="1">
        <v>20.99</v>
      </c>
      <c r="X2594" s="1" t="s">
        <v>35</v>
      </c>
      <c r="Y2594" s="1">
        <v>20990.0</v>
      </c>
      <c r="Z2594" s="1"/>
      <c r="AA2594" s="1">
        <v>20990.0</v>
      </c>
      <c r="AB2594" s="1"/>
      <c r="AC2594" s="1" t="s">
        <v>36</v>
      </c>
      <c r="AD2594" s="1" t="s">
        <v>9319</v>
      </c>
      <c r="AE2594" s="1" t="s">
        <v>32</v>
      </c>
      <c r="AF2594" s="1" t="s">
        <v>33</v>
      </c>
      <c r="AG2594" s="1" t="s">
        <v>41</v>
      </c>
    </row>
    <row r="2595" spans="1:33">
      <c r="A2595" t="s">
        <v>9320</v>
      </c>
      <c r="B2595" t="s">
        <v>1560</v>
      </c>
      <c r="C2595" t="s">
        <v>1561</v>
      </c>
      <c r="D2595" t="s">
        <v>154</v>
      </c>
      <c r="E2595" t="s">
        <v>9112</v>
      </c>
      <c r="F2595" t="s">
        <v>9113</v>
      </c>
      <c r="G2595">
        <v>663.1</v>
      </c>
      <c r="H2595">
        <v>663.1</v>
      </c>
      <c r="I2595" t="s">
        <v>529</v>
      </c>
      <c r="J2595" t="s">
        <v>530</v>
      </c>
      <c r="K2595" t="s">
        <v>31</v>
      </c>
      <c r="L2595" t="s">
        <v>32</v>
      </c>
      <c r="M2595" t="s">
        <v>33</v>
      </c>
      <c r="P2595" s="1" t="s">
        <v>9321</v>
      </c>
      <c r="Q2595" s="1" t="s">
        <v>9112</v>
      </c>
      <c r="R2595" s="1" t="s">
        <v>9115</v>
      </c>
      <c r="S2595" s="1"/>
      <c r="T2595" s="1" t="s">
        <v>1564</v>
      </c>
      <c r="U2595" s="1" t="s">
        <v>1565</v>
      </c>
      <c r="V2595" s="1">
        <v>663.1</v>
      </c>
      <c r="W2595" s="1">
        <v>663.1</v>
      </c>
      <c r="X2595" s="1" t="s">
        <v>35</v>
      </c>
      <c r="Y2595" s="1">
        <v>663100.0</v>
      </c>
      <c r="Z2595" s="1"/>
      <c r="AA2595" s="1">
        <v>663100.0</v>
      </c>
      <c r="AB2595" s="1"/>
      <c r="AC2595" s="1" t="s">
        <v>36</v>
      </c>
      <c r="AD2595" s="1" t="s">
        <v>9319</v>
      </c>
      <c r="AE2595" s="1" t="s">
        <v>32</v>
      </c>
      <c r="AF2595" s="1" t="s">
        <v>33</v>
      </c>
      <c r="AG2595" s="1" t="s">
        <v>530</v>
      </c>
    </row>
    <row r="2596" spans="1:33">
      <c r="A2596" t="s">
        <v>9322</v>
      </c>
      <c r="C2596" t="s">
        <v>569</v>
      </c>
      <c r="E2596" t="s">
        <v>9112</v>
      </c>
      <c r="F2596" t="s">
        <v>9113</v>
      </c>
      <c r="G2596">
        <v>21.99</v>
      </c>
      <c r="H2596">
        <v>21.99</v>
      </c>
      <c r="I2596" t="s">
        <v>570</v>
      </c>
      <c r="J2596" t="s">
        <v>571</v>
      </c>
      <c r="K2596" t="s">
        <v>31</v>
      </c>
      <c r="L2596" t="s">
        <v>32</v>
      </c>
      <c r="M2596" t="s">
        <v>33</v>
      </c>
      <c r="P2596" s="1" t="s">
        <v>9323</v>
      </c>
      <c r="Q2596" s="1" t="s">
        <v>9112</v>
      </c>
      <c r="R2596" s="1" t="s">
        <v>9112</v>
      </c>
      <c r="S2596" s="1"/>
      <c r="T2596" s="1" t="s">
        <v>569</v>
      </c>
      <c r="U2596" s="1"/>
      <c r="V2596" s="1">
        <v>21.99</v>
      </c>
      <c r="W2596" s="1">
        <v>21.99</v>
      </c>
      <c r="X2596" s="1" t="s">
        <v>35</v>
      </c>
      <c r="Y2596" s="1">
        <v>21990.0</v>
      </c>
      <c r="Z2596" s="1"/>
      <c r="AA2596" s="1">
        <v>21990.0</v>
      </c>
      <c r="AB2596" s="1"/>
      <c r="AC2596" s="1" t="s">
        <v>36</v>
      </c>
      <c r="AD2596" s="1" t="s">
        <v>9324</v>
      </c>
      <c r="AE2596" s="1" t="s">
        <v>32</v>
      </c>
      <c r="AF2596" s="1" t="s">
        <v>33</v>
      </c>
      <c r="AG2596" s="1" t="s">
        <v>571</v>
      </c>
    </row>
    <row r="2597" spans="1:33">
      <c r="A2597" t="s">
        <v>9325</v>
      </c>
      <c r="B2597" t="s">
        <v>837</v>
      </c>
      <c r="C2597" t="s">
        <v>838</v>
      </c>
      <c r="E2597" t="s">
        <v>9112</v>
      </c>
      <c r="F2597" t="s">
        <v>9113</v>
      </c>
      <c r="G2597">
        <v>3.649</v>
      </c>
      <c r="H2597">
        <v>3.649</v>
      </c>
      <c r="I2597" t="s">
        <v>59</v>
      </c>
      <c r="J2597" t="s">
        <v>60</v>
      </c>
      <c r="K2597" t="s">
        <v>31</v>
      </c>
      <c r="L2597" t="s">
        <v>32</v>
      </c>
      <c r="M2597" t="s">
        <v>33</v>
      </c>
      <c r="P2597" s="1" t="s">
        <v>9326</v>
      </c>
      <c r="Q2597" s="1" t="s">
        <v>9112</v>
      </c>
      <c r="R2597" s="1" t="s">
        <v>9112</v>
      </c>
      <c r="S2597" s="1"/>
      <c r="T2597" s="1" t="s">
        <v>838</v>
      </c>
      <c r="U2597" s="1"/>
      <c r="V2597" s="1">
        <v>3.649</v>
      </c>
      <c r="W2597" s="1">
        <v>3.649</v>
      </c>
      <c r="X2597" s="1" t="s">
        <v>35</v>
      </c>
      <c r="Y2597" s="1">
        <v>3649.0</v>
      </c>
      <c r="Z2597" s="1"/>
      <c r="AA2597" s="1">
        <v>3649.0</v>
      </c>
      <c r="AB2597" s="1"/>
      <c r="AC2597" s="1" t="s">
        <v>36</v>
      </c>
      <c r="AD2597" s="1" t="s">
        <v>9327</v>
      </c>
      <c r="AE2597" s="1" t="s">
        <v>32</v>
      </c>
      <c r="AF2597" s="1" t="s">
        <v>33</v>
      </c>
      <c r="AG2597" s="1" t="s">
        <v>60</v>
      </c>
    </row>
    <row r="2598" spans="1:33">
      <c r="A2598" t="s">
        <v>9328</v>
      </c>
      <c r="B2598" t="s">
        <v>4178</v>
      </c>
      <c r="C2598" t="s">
        <v>4179</v>
      </c>
      <c r="E2598" t="s">
        <v>9112</v>
      </c>
      <c r="F2598" t="s">
        <v>9113</v>
      </c>
      <c r="G2598">
        <v>10.258</v>
      </c>
      <c r="H2598">
        <v>10.258</v>
      </c>
      <c r="I2598" t="s">
        <v>529</v>
      </c>
      <c r="J2598" t="s">
        <v>530</v>
      </c>
      <c r="K2598" t="s">
        <v>31</v>
      </c>
      <c r="L2598" t="s">
        <v>32</v>
      </c>
      <c r="M2598" t="s">
        <v>33</v>
      </c>
      <c r="P2598" s="1" t="s">
        <v>9329</v>
      </c>
      <c r="Q2598" s="1" t="s">
        <v>9112</v>
      </c>
      <c r="R2598" s="1" t="s">
        <v>9115</v>
      </c>
      <c r="S2598" s="1"/>
      <c r="T2598" s="1" t="s">
        <v>4179</v>
      </c>
      <c r="U2598" s="1"/>
      <c r="V2598" s="1">
        <v>10.258</v>
      </c>
      <c r="W2598" s="1">
        <v>10.258</v>
      </c>
      <c r="X2598" s="1" t="s">
        <v>35</v>
      </c>
      <c r="Y2598" s="1">
        <v>10258000.0</v>
      </c>
      <c r="Z2598" s="1"/>
      <c r="AA2598" s="1">
        <v>10258000.0</v>
      </c>
      <c r="AB2598" s="1"/>
      <c r="AC2598" s="1" t="s">
        <v>36</v>
      </c>
      <c r="AD2598" s="1" t="s">
        <v>9327</v>
      </c>
      <c r="AE2598" s="1" t="s">
        <v>32</v>
      </c>
      <c r="AF2598" s="1" t="s">
        <v>33</v>
      </c>
      <c r="AG2598" s="1" t="s">
        <v>530</v>
      </c>
    </row>
    <row r="2599" spans="1:33">
      <c r="A2599" t="s">
        <v>9330</v>
      </c>
      <c r="B2599" t="s">
        <v>9331</v>
      </c>
      <c r="C2599" t="s">
        <v>1298</v>
      </c>
      <c r="E2599" t="s">
        <v>9112</v>
      </c>
      <c r="F2599" t="s">
        <v>9113</v>
      </c>
      <c r="G2599">
        <v>19.49</v>
      </c>
      <c r="H2599">
        <v>19.49</v>
      </c>
      <c r="I2599" t="s">
        <v>529</v>
      </c>
      <c r="J2599" t="s">
        <v>530</v>
      </c>
      <c r="K2599" t="s">
        <v>31</v>
      </c>
      <c r="L2599" t="s">
        <v>32</v>
      </c>
      <c r="M2599" t="s">
        <v>33</v>
      </c>
      <c r="P2599" s="1" t="s">
        <v>9332</v>
      </c>
      <c r="Q2599" s="1" t="s">
        <v>9112</v>
      </c>
      <c r="R2599" s="1" t="s">
        <v>9115</v>
      </c>
      <c r="S2599" s="1"/>
      <c r="T2599" s="1" t="s">
        <v>1298</v>
      </c>
      <c r="U2599" s="1"/>
      <c r="V2599" s="1">
        <v>19.49</v>
      </c>
      <c r="W2599" s="1">
        <v>19.49</v>
      </c>
      <c r="X2599" s="1" t="s">
        <v>35</v>
      </c>
      <c r="Y2599" s="1">
        <v>19490.0</v>
      </c>
      <c r="Z2599" s="1"/>
      <c r="AA2599" s="1">
        <v>19490.0</v>
      </c>
      <c r="AB2599" s="1"/>
      <c r="AC2599" s="1" t="s">
        <v>36</v>
      </c>
      <c r="AD2599" s="1" t="s">
        <v>9333</v>
      </c>
      <c r="AE2599" s="1" t="s">
        <v>32</v>
      </c>
      <c r="AF2599" s="1" t="s">
        <v>33</v>
      </c>
      <c r="AG2599" s="1" t="s">
        <v>530</v>
      </c>
    </row>
    <row r="2600" spans="1:33">
      <c r="A2600" t="s">
        <v>9334</v>
      </c>
      <c r="B2600" t="s">
        <v>3747</v>
      </c>
      <c r="C2600" t="s">
        <v>9335</v>
      </c>
      <c r="E2600" t="s">
        <v>9112</v>
      </c>
      <c r="F2600" t="s">
        <v>9113</v>
      </c>
      <c r="G2600">
        <v>185.92</v>
      </c>
      <c r="H2600">
        <v>185.92</v>
      </c>
      <c r="I2600" t="s">
        <v>59</v>
      </c>
      <c r="J2600" t="s">
        <v>60</v>
      </c>
      <c r="K2600" t="s">
        <v>31</v>
      </c>
      <c r="L2600" t="s">
        <v>32</v>
      </c>
      <c r="M2600" t="s">
        <v>33</v>
      </c>
      <c r="P2600" s="1" t="s">
        <v>9336</v>
      </c>
      <c r="Q2600" s="1" t="s">
        <v>9112</v>
      </c>
      <c r="R2600" s="1" t="s">
        <v>9112</v>
      </c>
      <c r="S2600" s="1"/>
      <c r="T2600" s="1" t="s">
        <v>9335</v>
      </c>
      <c r="U2600" s="1"/>
      <c r="V2600" s="1">
        <v>185.92</v>
      </c>
      <c r="W2600" s="1">
        <v>185.92</v>
      </c>
      <c r="X2600" s="1" t="s">
        <v>35</v>
      </c>
      <c r="Y2600" s="1">
        <v>185920.0</v>
      </c>
      <c r="Z2600" s="1"/>
      <c r="AA2600" s="1">
        <v>185920.0</v>
      </c>
      <c r="AB2600" s="1"/>
      <c r="AC2600" s="1" t="s">
        <v>36</v>
      </c>
      <c r="AD2600" s="1" t="s">
        <v>9337</v>
      </c>
      <c r="AE2600" s="1" t="s">
        <v>32</v>
      </c>
      <c r="AF2600" s="1" t="s">
        <v>33</v>
      </c>
      <c r="AG2600" s="1" t="s">
        <v>60</v>
      </c>
    </row>
    <row r="2601" spans="1:33">
      <c r="A2601" t="s">
        <v>9338</v>
      </c>
      <c r="C2601" t="s">
        <v>4236</v>
      </c>
      <c r="E2601" t="s">
        <v>9112</v>
      </c>
      <c r="F2601" t="s">
        <v>9113</v>
      </c>
      <c r="G2601">
        <v>498.0</v>
      </c>
      <c r="H2601">
        <v>498.0</v>
      </c>
      <c r="I2601" t="s">
        <v>179</v>
      </c>
      <c r="J2601" t="s">
        <v>180</v>
      </c>
      <c r="K2601" t="s">
        <v>31</v>
      </c>
      <c r="L2601" t="s">
        <v>32</v>
      </c>
      <c r="M2601" t="s">
        <v>33</v>
      </c>
      <c r="P2601" s="1" t="s">
        <v>9339</v>
      </c>
      <c r="Q2601" s="1" t="s">
        <v>9112</v>
      </c>
      <c r="R2601" s="1" t="s">
        <v>9112</v>
      </c>
      <c r="S2601" s="1"/>
      <c r="T2601" s="1" t="s">
        <v>4236</v>
      </c>
      <c r="U2601" s="1"/>
      <c r="V2601" s="1">
        <v>498.0</v>
      </c>
      <c r="W2601" s="1">
        <v>498.0</v>
      </c>
      <c r="X2601" s="1" t="s">
        <v>35</v>
      </c>
      <c r="Y2601" s="1">
        <v>498000.0</v>
      </c>
      <c r="Z2601" s="1"/>
      <c r="AA2601" s="1">
        <v>498000.0</v>
      </c>
      <c r="AB2601" s="1"/>
      <c r="AC2601" s="1" t="s">
        <v>36</v>
      </c>
      <c r="AD2601" s="1" t="s">
        <v>9340</v>
      </c>
      <c r="AE2601" s="1" t="s">
        <v>32</v>
      </c>
      <c r="AF2601" s="1" t="s">
        <v>33</v>
      </c>
      <c r="AG2601" s="1" t="s">
        <v>180</v>
      </c>
    </row>
    <row r="2602" spans="1:33">
      <c r="A2602" t="s">
        <v>9341</v>
      </c>
      <c r="C2602" t="s">
        <v>3751</v>
      </c>
      <c r="E2602" t="s">
        <v>9112</v>
      </c>
      <c r="F2602" t="s">
        <v>9113</v>
      </c>
      <c r="G2602">
        <v>2.46</v>
      </c>
      <c r="H2602">
        <v>2.46</v>
      </c>
      <c r="I2602" t="s">
        <v>269</v>
      </c>
      <c r="J2602" t="s">
        <v>270</v>
      </c>
      <c r="K2602" t="s">
        <v>31</v>
      </c>
      <c r="L2602" t="s">
        <v>32</v>
      </c>
      <c r="M2602" t="s">
        <v>33</v>
      </c>
      <c r="P2602" s="1" t="s">
        <v>9342</v>
      </c>
      <c r="Q2602" s="1" t="s">
        <v>9112</v>
      </c>
      <c r="R2602" s="1" t="s">
        <v>9112</v>
      </c>
      <c r="S2602" s="1"/>
      <c r="T2602" s="1" t="s">
        <v>3751</v>
      </c>
      <c r="U2602" s="1"/>
      <c r="V2602" s="1">
        <v>2.46</v>
      </c>
      <c r="W2602" s="1">
        <v>2.46</v>
      </c>
      <c r="X2602" s="1" t="s">
        <v>35</v>
      </c>
      <c r="Y2602" s="1">
        <v>2460000.0</v>
      </c>
      <c r="Z2602" s="1"/>
      <c r="AA2602" s="1">
        <v>2460000.0</v>
      </c>
      <c r="AB2602" s="1"/>
      <c r="AC2602" s="1" t="s">
        <v>36</v>
      </c>
      <c r="AD2602" s="1" t="s">
        <v>9343</v>
      </c>
      <c r="AE2602" s="1" t="s">
        <v>32</v>
      </c>
      <c r="AF2602" s="1" t="s">
        <v>33</v>
      </c>
      <c r="AG2602" s="1" t="s">
        <v>270</v>
      </c>
    </row>
    <row r="2603" spans="1:33">
      <c r="A2603" t="s">
        <v>9344</v>
      </c>
      <c r="B2603" t="s">
        <v>4508</v>
      </c>
      <c r="C2603" t="s">
        <v>268</v>
      </c>
      <c r="E2603" t="s">
        <v>9112</v>
      </c>
      <c r="F2603" t="s">
        <v>9113</v>
      </c>
      <c r="G2603">
        <v>16.85</v>
      </c>
      <c r="H2603">
        <v>16.85</v>
      </c>
      <c r="I2603" t="s">
        <v>269</v>
      </c>
      <c r="J2603" t="s">
        <v>270</v>
      </c>
      <c r="K2603" t="s">
        <v>31</v>
      </c>
      <c r="L2603" t="s">
        <v>32</v>
      </c>
      <c r="M2603" t="s">
        <v>33</v>
      </c>
      <c r="P2603" s="1" t="s">
        <v>9345</v>
      </c>
      <c r="Q2603" s="1" t="s">
        <v>9112</v>
      </c>
      <c r="R2603" s="1" t="s">
        <v>9112</v>
      </c>
      <c r="S2603" s="1"/>
      <c r="T2603" s="1" t="s">
        <v>268</v>
      </c>
      <c r="U2603" s="1"/>
      <c r="V2603" s="1">
        <v>16.85</v>
      </c>
      <c r="W2603" s="1">
        <v>16.85</v>
      </c>
      <c r="X2603" s="1" t="s">
        <v>35</v>
      </c>
      <c r="Y2603" s="1">
        <v>16850.0</v>
      </c>
      <c r="Z2603" s="1"/>
      <c r="AA2603" s="1">
        <v>16850.0</v>
      </c>
      <c r="AB2603" s="1"/>
      <c r="AC2603" s="1" t="s">
        <v>36</v>
      </c>
      <c r="AD2603" s="1" t="s">
        <v>9346</v>
      </c>
      <c r="AE2603" s="1" t="s">
        <v>32</v>
      </c>
      <c r="AF2603" s="1" t="s">
        <v>33</v>
      </c>
      <c r="AG2603" s="1" t="s">
        <v>270</v>
      </c>
    </row>
    <row r="2604" spans="1:33">
      <c r="A2604" t="s">
        <v>9347</v>
      </c>
      <c r="B2604" t="s">
        <v>9348</v>
      </c>
      <c r="C2604" t="s">
        <v>2741</v>
      </c>
      <c r="E2604" t="s">
        <v>9112</v>
      </c>
      <c r="F2604" t="s">
        <v>9113</v>
      </c>
      <c r="G2604">
        <v>6.65</v>
      </c>
      <c r="H2604">
        <v>6.65</v>
      </c>
      <c r="I2604" t="s">
        <v>2742</v>
      </c>
      <c r="J2604" t="s">
        <v>2743</v>
      </c>
      <c r="K2604" t="s">
        <v>31</v>
      </c>
      <c r="L2604" t="s">
        <v>32</v>
      </c>
      <c r="M2604" t="s">
        <v>33</v>
      </c>
      <c r="P2604" s="1" t="s">
        <v>9349</v>
      </c>
      <c r="Q2604" s="1" t="s">
        <v>9112</v>
      </c>
      <c r="R2604" s="1" t="s">
        <v>9112</v>
      </c>
      <c r="S2604" s="1"/>
      <c r="T2604" s="1" t="s">
        <v>2741</v>
      </c>
      <c r="U2604" s="1"/>
      <c r="V2604" s="1">
        <v>6.65</v>
      </c>
      <c r="W2604" s="1">
        <v>6.65</v>
      </c>
      <c r="X2604" s="1" t="s">
        <v>35</v>
      </c>
      <c r="Y2604" s="1">
        <v>6650.0</v>
      </c>
      <c r="Z2604" s="1"/>
      <c r="AA2604" s="1">
        <v>6650.0</v>
      </c>
      <c r="AB2604" s="1"/>
      <c r="AC2604" s="1" t="s">
        <v>36</v>
      </c>
      <c r="AD2604" s="1" t="s">
        <v>9350</v>
      </c>
      <c r="AE2604" s="1" t="s">
        <v>32</v>
      </c>
      <c r="AF2604" s="1" t="s">
        <v>33</v>
      </c>
      <c r="AG2604" s="1" t="s">
        <v>2743</v>
      </c>
    </row>
    <row r="2605" spans="1:33">
      <c r="A2605" t="s">
        <v>9351</v>
      </c>
      <c r="C2605" t="s">
        <v>2756</v>
      </c>
      <c r="E2605" t="s">
        <v>9112</v>
      </c>
      <c r="F2605" t="s">
        <v>9113</v>
      </c>
      <c r="G2605">
        <v>1.968</v>
      </c>
      <c r="H2605">
        <v>1.968</v>
      </c>
      <c r="I2605" t="s">
        <v>269</v>
      </c>
      <c r="J2605" t="s">
        <v>270</v>
      </c>
      <c r="K2605" t="s">
        <v>31</v>
      </c>
      <c r="L2605" t="s">
        <v>32</v>
      </c>
      <c r="M2605" t="s">
        <v>33</v>
      </c>
      <c r="P2605" s="1" t="s">
        <v>9352</v>
      </c>
      <c r="Q2605" s="1" t="s">
        <v>9112</v>
      </c>
      <c r="R2605" s="1" t="s">
        <v>9112</v>
      </c>
      <c r="S2605" s="1"/>
      <c r="T2605" s="1" t="s">
        <v>2756</v>
      </c>
      <c r="U2605" s="1"/>
      <c r="V2605" s="1">
        <v>1.968</v>
      </c>
      <c r="W2605" s="1">
        <v>1.968</v>
      </c>
      <c r="X2605" s="1" t="s">
        <v>35</v>
      </c>
      <c r="Y2605" s="1">
        <v>1968000.0</v>
      </c>
      <c r="Z2605" s="1"/>
      <c r="AA2605" s="1">
        <v>1968000.0</v>
      </c>
      <c r="AB2605" s="1"/>
      <c r="AC2605" s="1" t="s">
        <v>36</v>
      </c>
      <c r="AD2605" s="1" t="s">
        <v>9353</v>
      </c>
      <c r="AE2605" s="1" t="s">
        <v>32</v>
      </c>
      <c r="AF2605" s="1" t="s">
        <v>33</v>
      </c>
      <c r="AG2605" s="1" t="s">
        <v>270</v>
      </c>
    </row>
    <row r="2606" spans="1:33">
      <c r="A2606" t="s">
        <v>9354</v>
      </c>
      <c r="B2606" t="s">
        <v>9355</v>
      </c>
      <c r="C2606" t="s">
        <v>172</v>
      </c>
      <c r="E2606" t="s">
        <v>9112</v>
      </c>
      <c r="F2606" t="s">
        <v>9113</v>
      </c>
      <c r="G2606">
        <v>54.97</v>
      </c>
      <c r="H2606">
        <v>54.97</v>
      </c>
      <c r="I2606" t="s">
        <v>173</v>
      </c>
      <c r="J2606" t="s">
        <v>174</v>
      </c>
      <c r="K2606" t="s">
        <v>31</v>
      </c>
      <c r="L2606" t="s">
        <v>32</v>
      </c>
      <c r="M2606" t="s">
        <v>33</v>
      </c>
      <c r="P2606" s="1" t="s">
        <v>9356</v>
      </c>
      <c r="Q2606" s="1" t="s">
        <v>9112</v>
      </c>
      <c r="R2606" s="1" t="s">
        <v>9112</v>
      </c>
      <c r="S2606" s="1"/>
      <c r="T2606" s="1" t="s">
        <v>172</v>
      </c>
      <c r="U2606" s="1"/>
      <c r="V2606" s="1">
        <v>54.97</v>
      </c>
      <c r="W2606" s="1">
        <v>54.97</v>
      </c>
      <c r="X2606" s="1" t="s">
        <v>35</v>
      </c>
      <c r="Y2606" s="1">
        <v>54970.0</v>
      </c>
      <c r="Z2606" s="1"/>
      <c r="AA2606" s="1">
        <v>54970.0</v>
      </c>
      <c r="AB2606" s="1"/>
      <c r="AC2606" s="1" t="s">
        <v>36</v>
      </c>
      <c r="AD2606" s="1" t="s">
        <v>9357</v>
      </c>
      <c r="AE2606" s="1" t="s">
        <v>32</v>
      </c>
      <c r="AF2606" s="1" t="s">
        <v>33</v>
      </c>
      <c r="AG2606" s="1" t="s">
        <v>174</v>
      </c>
    </row>
    <row r="2607" spans="1:33">
      <c r="A2607" t="s">
        <v>9358</v>
      </c>
      <c r="B2607" t="s">
        <v>9359</v>
      </c>
      <c r="C2607" t="s">
        <v>268</v>
      </c>
      <c r="E2607" t="s">
        <v>9112</v>
      </c>
      <c r="F2607" t="s">
        <v>9113</v>
      </c>
      <c r="G2607">
        <v>33.75</v>
      </c>
      <c r="H2607">
        <v>33.75</v>
      </c>
      <c r="I2607" t="s">
        <v>269</v>
      </c>
      <c r="J2607" t="s">
        <v>270</v>
      </c>
      <c r="K2607" t="s">
        <v>31</v>
      </c>
      <c r="L2607" t="s">
        <v>32</v>
      </c>
      <c r="M2607" t="s">
        <v>33</v>
      </c>
      <c r="P2607" s="1" t="s">
        <v>9360</v>
      </c>
      <c r="Q2607" s="1" t="s">
        <v>9112</v>
      </c>
      <c r="R2607" s="1" t="s">
        <v>9112</v>
      </c>
      <c r="S2607" s="1"/>
      <c r="T2607" s="1" t="s">
        <v>268</v>
      </c>
      <c r="U2607" s="1"/>
      <c r="V2607" s="1">
        <v>33.75</v>
      </c>
      <c r="W2607" s="1">
        <v>33.75</v>
      </c>
      <c r="X2607" s="1" t="s">
        <v>35</v>
      </c>
      <c r="Y2607" s="1">
        <v>33750.0</v>
      </c>
      <c r="Z2607" s="1"/>
      <c r="AA2607" s="1">
        <v>33750.0</v>
      </c>
      <c r="AB2607" s="1"/>
      <c r="AC2607" s="1" t="s">
        <v>36</v>
      </c>
      <c r="AD2607" s="1" t="s">
        <v>9361</v>
      </c>
      <c r="AE2607" s="1" t="s">
        <v>32</v>
      </c>
      <c r="AF2607" s="1" t="s">
        <v>33</v>
      </c>
      <c r="AG2607" s="1" t="s">
        <v>270</v>
      </c>
    </row>
    <row r="2608" spans="1:33">
      <c r="A2608" t="s">
        <v>9362</v>
      </c>
      <c r="B2608" t="s">
        <v>430</v>
      </c>
      <c r="C2608" t="s">
        <v>431</v>
      </c>
      <c r="E2608" t="s">
        <v>9112</v>
      </c>
      <c r="F2608" t="s">
        <v>9113</v>
      </c>
      <c r="G2608">
        <v>861.0</v>
      </c>
      <c r="H2608">
        <v>861.0</v>
      </c>
      <c r="I2608" t="s">
        <v>59</v>
      </c>
      <c r="J2608" t="s">
        <v>60</v>
      </c>
      <c r="K2608" t="s">
        <v>31</v>
      </c>
      <c r="L2608" t="s">
        <v>32</v>
      </c>
      <c r="M2608" t="s">
        <v>33</v>
      </c>
      <c r="P2608" s="1" t="s">
        <v>9363</v>
      </c>
      <c r="Q2608" s="1" t="s">
        <v>9112</v>
      </c>
      <c r="R2608" s="1" t="s">
        <v>9112</v>
      </c>
      <c r="S2608" s="1"/>
      <c r="T2608" s="1" t="s">
        <v>431</v>
      </c>
      <c r="U2608" s="1"/>
      <c r="V2608" s="1">
        <v>861.0</v>
      </c>
      <c r="W2608" s="1">
        <v>861.0</v>
      </c>
      <c r="X2608" s="1" t="s">
        <v>35</v>
      </c>
      <c r="Y2608" s="1">
        <v>861000.0</v>
      </c>
      <c r="Z2608" s="1"/>
      <c r="AA2608" s="1">
        <v>861000.0</v>
      </c>
      <c r="AB2608" s="1"/>
      <c r="AC2608" s="1" t="s">
        <v>36</v>
      </c>
      <c r="AD2608" s="1" t="s">
        <v>9361</v>
      </c>
      <c r="AE2608" s="1" t="s">
        <v>32</v>
      </c>
      <c r="AF2608" s="1" t="s">
        <v>33</v>
      </c>
      <c r="AG2608" s="1" t="s">
        <v>60</v>
      </c>
    </row>
    <row r="2609" spans="1:33">
      <c r="A2609" t="s">
        <v>9364</v>
      </c>
      <c r="B2609" t="s">
        <v>9365</v>
      </c>
      <c r="C2609" t="s">
        <v>73</v>
      </c>
      <c r="E2609" t="s">
        <v>9112</v>
      </c>
      <c r="F2609" t="s">
        <v>9113</v>
      </c>
      <c r="G2609">
        <v>92.49</v>
      </c>
      <c r="H2609">
        <v>92.49</v>
      </c>
      <c r="I2609" t="s">
        <v>40</v>
      </c>
      <c r="J2609" t="s">
        <v>41</v>
      </c>
      <c r="K2609" t="s">
        <v>31</v>
      </c>
      <c r="L2609" t="s">
        <v>32</v>
      </c>
      <c r="M2609" t="s">
        <v>33</v>
      </c>
      <c r="P2609" s="1" t="s">
        <v>9366</v>
      </c>
      <c r="Q2609" s="1" t="s">
        <v>9112</v>
      </c>
      <c r="R2609" s="1" t="s">
        <v>9115</v>
      </c>
      <c r="S2609" s="1"/>
      <c r="T2609" s="1" t="s">
        <v>75</v>
      </c>
      <c r="U2609" s="1" t="s">
        <v>76</v>
      </c>
      <c r="V2609" s="1">
        <v>92.49</v>
      </c>
      <c r="W2609" s="1">
        <v>92.49</v>
      </c>
      <c r="X2609" s="1" t="s">
        <v>35</v>
      </c>
      <c r="Y2609" s="1">
        <v>92490.0</v>
      </c>
      <c r="Z2609" s="1"/>
      <c r="AA2609" s="1">
        <v>92490.0</v>
      </c>
      <c r="AB2609" s="1"/>
      <c r="AC2609" s="1" t="s">
        <v>36</v>
      </c>
      <c r="AD2609" s="1" t="s">
        <v>9367</v>
      </c>
      <c r="AE2609" s="1" t="s">
        <v>32</v>
      </c>
      <c r="AF2609" s="1" t="s">
        <v>33</v>
      </c>
      <c r="AG2609" s="1" t="s">
        <v>41</v>
      </c>
    </row>
    <row r="2610" spans="1:33">
      <c r="A2610" t="s">
        <v>9368</v>
      </c>
      <c r="C2610" t="s">
        <v>1333</v>
      </c>
      <c r="E2610" t="s">
        <v>9112</v>
      </c>
      <c r="F2610" t="s">
        <v>9113</v>
      </c>
      <c r="G2610">
        <v>565.0</v>
      </c>
      <c r="H2610">
        <v>565.0</v>
      </c>
      <c r="I2610" t="s">
        <v>269</v>
      </c>
      <c r="J2610" t="s">
        <v>270</v>
      </c>
      <c r="K2610" t="s">
        <v>31</v>
      </c>
      <c r="L2610" t="s">
        <v>32</v>
      </c>
      <c r="M2610" t="s">
        <v>33</v>
      </c>
      <c r="P2610" s="1" t="s">
        <v>9369</v>
      </c>
      <c r="Q2610" s="1" t="s">
        <v>9112</v>
      </c>
      <c r="R2610" s="1" t="s">
        <v>9112</v>
      </c>
      <c r="S2610" s="1"/>
      <c r="T2610" s="1" t="s">
        <v>1333</v>
      </c>
      <c r="U2610" s="1"/>
      <c r="V2610" s="1">
        <v>565.0</v>
      </c>
      <c r="W2610" s="1">
        <v>565.0</v>
      </c>
      <c r="X2610" s="1" t="s">
        <v>35</v>
      </c>
      <c r="Y2610" s="1">
        <v>565000.0</v>
      </c>
      <c r="Z2610" s="1"/>
      <c r="AA2610" s="1">
        <v>565000.0</v>
      </c>
      <c r="AB2610" s="1"/>
      <c r="AC2610" s="1" t="s">
        <v>36</v>
      </c>
      <c r="AD2610" s="1" t="s">
        <v>9370</v>
      </c>
      <c r="AE2610" s="1" t="s">
        <v>32</v>
      </c>
      <c r="AF2610" s="1" t="s">
        <v>33</v>
      </c>
      <c r="AG2610" s="1" t="s">
        <v>270</v>
      </c>
    </row>
    <row r="2611" spans="1:33">
      <c r="A2611" t="s">
        <v>9371</v>
      </c>
      <c r="C2611" t="s">
        <v>2371</v>
      </c>
      <c r="E2611" t="s">
        <v>9112</v>
      </c>
      <c r="F2611" t="s">
        <v>9113</v>
      </c>
      <c r="G2611">
        <v>487.2</v>
      </c>
      <c r="H2611">
        <v>487.2</v>
      </c>
      <c r="I2611" t="s">
        <v>570</v>
      </c>
      <c r="J2611" t="s">
        <v>571</v>
      </c>
      <c r="K2611" t="s">
        <v>31</v>
      </c>
      <c r="L2611" t="s">
        <v>32</v>
      </c>
      <c r="M2611" t="s">
        <v>33</v>
      </c>
      <c r="P2611" s="1" t="s">
        <v>9372</v>
      </c>
      <c r="Q2611" s="1" t="s">
        <v>9112</v>
      </c>
      <c r="R2611" s="1" t="s">
        <v>9112</v>
      </c>
      <c r="S2611" s="1"/>
      <c r="T2611" s="1" t="s">
        <v>2371</v>
      </c>
      <c r="U2611" s="1"/>
      <c r="V2611" s="1">
        <v>487.2</v>
      </c>
      <c r="W2611" s="1">
        <v>487.2</v>
      </c>
      <c r="X2611" s="1" t="s">
        <v>35</v>
      </c>
      <c r="Y2611" s="1">
        <v>487200.0</v>
      </c>
      <c r="Z2611" s="1"/>
      <c r="AA2611" s="1">
        <v>487200.0</v>
      </c>
      <c r="AB2611" s="1"/>
      <c r="AC2611" s="1" t="s">
        <v>36</v>
      </c>
      <c r="AD2611" s="1" t="s">
        <v>9373</v>
      </c>
      <c r="AE2611" s="1" t="s">
        <v>32</v>
      </c>
      <c r="AF2611" s="1" t="s">
        <v>33</v>
      </c>
      <c r="AG2611" s="1" t="s">
        <v>571</v>
      </c>
    </row>
    <row r="2612" spans="1:33">
      <c r="A2612" t="s">
        <v>9374</v>
      </c>
      <c r="C2612" t="s">
        <v>1079</v>
      </c>
      <c r="D2612" t="s">
        <v>114</v>
      </c>
      <c r="E2612" t="s">
        <v>9112</v>
      </c>
      <c r="F2612" t="s">
        <v>9113</v>
      </c>
      <c r="G2612">
        <v>1.376</v>
      </c>
      <c r="H2612">
        <v>1.376</v>
      </c>
      <c r="I2612" t="s">
        <v>269</v>
      </c>
      <c r="J2612" t="s">
        <v>270</v>
      </c>
      <c r="K2612" t="s">
        <v>31</v>
      </c>
      <c r="L2612" t="s">
        <v>32</v>
      </c>
      <c r="M2612" t="s">
        <v>33</v>
      </c>
      <c r="P2612" s="1" t="s">
        <v>9375</v>
      </c>
      <c r="Q2612" s="1" t="s">
        <v>9112</v>
      </c>
      <c r="R2612" s="1" t="s">
        <v>9112</v>
      </c>
      <c r="S2612" s="1"/>
      <c r="T2612" s="1" t="s">
        <v>1079</v>
      </c>
      <c r="U2612" s="1"/>
      <c r="V2612" s="1">
        <v>1.376</v>
      </c>
      <c r="W2612" s="1">
        <v>1.376</v>
      </c>
      <c r="X2612" s="1" t="s">
        <v>35</v>
      </c>
      <c r="Y2612" s="1">
        <v>1376000.0</v>
      </c>
      <c r="Z2612" s="1"/>
      <c r="AA2612" s="1">
        <v>1376000.0</v>
      </c>
      <c r="AB2612" s="1"/>
      <c r="AC2612" s="1" t="s">
        <v>36</v>
      </c>
      <c r="AD2612" s="1" t="s">
        <v>9376</v>
      </c>
      <c r="AE2612" s="1" t="s">
        <v>32</v>
      </c>
      <c r="AF2612" s="1" t="s">
        <v>33</v>
      </c>
      <c r="AG2612" s="1" t="s">
        <v>270</v>
      </c>
    </row>
    <row r="2613" spans="1:33">
      <c r="A2613" t="s">
        <v>9377</v>
      </c>
      <c r="B2613" t="s">
        <v>9378</v>
      </c>
      <c r="C2613" t="s">
        <v>47</v>
      </c>
      <c r="E2613" t="s">
        <v>9112</v>
      </c>
      <c r="F2613" t="s">
        <v>9113</v>
      </c>
      <c r="G2613">
        <v>21.99</v>
      </c>
      <c r="H2613">
        <v>21.99</v>
      </c>
      <c r="I2613" t="s">
        <v>48</v>
      </c>
      <c r="J2613" t="s">
        <v>49</v>
      </c>
      <c r="K2613" t="s">
        <v>31</v>
      </c>
      <c r="L2613" t="s">
        <v>32</v>
      </c>
      <c r="M2613" t="s">
        <v>33</v>
      </c>
      <c r="P2613" s="1" t="s">
        <v>9379</v>
      </c>
      <c r="Q2613" s="1" t="s">
        <v>9112</v>
      </c>
      <c r="R2613" s="1" t="s">
        <v>9112</v>
      </c>
      <c r="S2613" s="1"/>
      <c r="T2613" s="1" t="s">
        <v>47</v>
      </c>
      <c r="U2613" s="1"/>
      <c r="V2613" s="1">
        <v>21.99</v>
      </c>
      <c r="W2613" s="1">
        <v>21.99</v>
      </c>
      <c r="X2613" s="1" t="s">
        <v>35</v>
      </c>
      <c r="Y2613" s="1">
        <v>21990.0</v>
      </c>
      <c r="Z2613" s="1"/>
      <c r="AA2613" s="1">
        <v>21990.0</v>
      </c>
      <c r="AB2613" s="1"/>
      <c r="AC2613" s="1" t="s">
        <v>36</v>
      </c>
      <c r="AD2613" s="1" t="s">
        <v>9370</v>
      </c>
      <c r="AE2613" s="1" t="s">
        <v>32</v>
      </c>
      <c r="AF2613" s="1" t="s">
        <v>33</v>
      </c>
      <c r="AG2613" s="1" t="s">
        <v>49</v>
      </c>
    </row>
    <row r="2614" spans="1:33">
      <c r="A2614" t="s">
        <v>9380</v>
      </c>
      <c r="C2614" t="s">
        <v>9381</v>
      </c>
      <c r="E2614" t="s">
        <v>9112</v>
      </c>
      <c r="F2614" t="s">
        <v>9113</v>
      </c>
      <c r="G2614">
        <v>461.7</v>
      </c>
      <c r="H2614">
        <v>461.7</v>
      </c>
      <c r="I2614" t="s">
        <v>227</v>
      </c>
      <c r="J2614" t="s">
        <v>228</v>
      </c>
      <c r="K2614" t="s">
        <v>31</v>
      </c>
      <c r="L2614" t="s">
        <v>32</v>
      </c>
      <c r="M2614" t="s">
        <v>33</v>
      </c>
      <c r="P2614" s="1" t="s">
        <v>9382</v>
      </c>
      <c r="Q2614" s="1" t="s">
        <v>9112</v>
      </c>
      <c r="R2614" s="1" t="s">
        <v>9112</v>
      </c>
      <c r="S2614" s="1"/>
      <c r="T2614" s="1" t="s">
        <v>9381</v>
      </c>
      <c r="U2614" s="1"/>
      <c r="V2614" s="1">
        <v>461.7</v>
      </c>
      <c r="W2614" s="1">
        <v>461.7</v>
      </c>
      <c r="X2614" s="1" t="s">
        <v>35</v>
      </c>
      <c r="Y2614" s="1">
        <v>461700.0</v>
      </c>
      <c r="Z2614" s="1"/>
      <c r="AA2614" s="1">
        <v>461700.0</v>
      </c>
      <c r="AB2614" s="1"/>
      <c r="AC2614" s="1" t="s">
        <v>36</v>
      </c>
      <c r="AD2614" s="1" t="s">
        <v>9383</v>
      </c>
      <c r="AE2614" s="1" t="s">
        <v>32</v>
      </c>
      <c r="AF2614" s="1" t="s">
        <v>33</v>
      </c>
      <c r="AG2614" s="1" t="s">
        <v>228</v>
      </c>
    </row>
    <row r="2615" spans="1:33">
      <c r="A2615" t="s">
        <v>9384</v>
      </c>
      <c r="B2615" t="s">
        <v>4131</v>
      </c>
      <c r="C2615" t="s">
        <v>268</v>
      </c>
      <c r="E2615" t="s">
        <v>9112</v>
      </c>
      <c r="F2615" t="s">
        <v>9113</v>
      </c>
      <c r="G2615">
        <v>67.6</v>
      </c>
      <c r="H2615">
        <v>67.6</v>
      </c>
      <c r="I2615" t="s">
        <v>269</v>
      </c>
      <c r="J2615" t="s">
        <v>270</v>
      </c>
      <c r="K2615" t="s">
        <v>31</v>
      </c>
      <c r="L2615" t="s">
        <v>32</v>
      </c>
      <c r="M2615" t="s">
        <v>33</v>
      </c>
      <c r="P2615" s="1" t="s">
        <v>9385</v>
      </c>
      <c r="Q2615" s="1" t="s">
        <v>9112</v>
      </c>
      <c r="R2615" s="1" t="s">
        <v>9112</v>
      </c>
      <c r="S2615" s="1"/>
      <c r="T2615" s="1" t="s">
        <v>268</v>
      </c>
      <c r="U2615" s="1"/>
      <c r="V2615" s="1">
        <v>67.6</v>
      </c>
      <c r="W2615" s="1">
        <v>67.6</v>
      </c>
      <c r="X2615" s="1" t="s">
        <v>35</v>
      </c>
      <c r="Y2615" s="1">
        <v>67600.0</v>
      </c>
      <c r="Z2615" s="1"/>
      <c r="AA2615" s="1">
        <v>67600.0</v>
      </c>
      <c r="AB2615" s="1"/>
      <c r="AC2615" s="1" t="s">
        <v>36</v>
      </c>
      <c r="AD2615" s="1" t="s">
        <v>9386</v>
      </c>
      <c r="AE2615" s="1" t="s">
        <v>32</v>
      </c>
      <c r="AF2615" s="1" t="s">
        <v>33</v>
      </c>
      <c r="AG2615" s="1" t="s">
        <v>270</v>
      </c>
    </row>
    <row r="2616" spans="1:33">
      <c r="A2616" t="s">
        <v>9387</v>
      </c>
      <c r="C2616" t="s">
        <v>595</v>
      </c>
      <c r="E2616" t="s">
        <v>9112</v>
      </c>
      <c r="F2616" t="s">
        <v>9113</v>
      </c>
      <c r="G2616">
        <v>656.0</v>
      </c>
      <c r="H2616">
        <v>656.0</v>
      </c>
      <c r="I2616" t="s">
        <v>269</v>
      </c>
      <c r="J2616" t="s">
        <v>270</v>
      </c>
      <c r="K2616" t="s">
        <v>31</v>
      </c>
      <c r="L2616" t="s">
        <v>32</v>
      </c>
      <c r="M2616" t="s">
        <v>33</v>
      </c>
      <c r="P2616" s="1" t="s">
        <v>9388</v>
      </c>
      <c r="Q2616" s="1" t="s">
        <v>9112</v>
      </c>
      <c r="R2616" s="1" t="s">
        <v>9112</v>
      </c>
      <c r="S2616" s="1"/>
      <c r="T2616" s="1" t="s">
        <v>595</v>
      </c>
      <c r="U2616" s="1"/>
      <c r="V2616" s="1">
        <v>656.0</v>
      </c>
      <c r="W2616" s="1">
        <v>656.0</v>
      </c>
      <c r="X2616" s="1" t="s">
        <v>35</v>
      </c>
      <c r="Y2616" s="1">
        <v>656000.0</v>
      </c>
      <c r="Z2616" s="1"/>
      <c r="AA2616" s="1">
        <v>656000.0</v>
      </c>
      <c r="AB2616" s="1"/>
      <c r="AC2616" s="1" t="s">
        <v>36</v>
      </c>
      <c r="AD2616" s="1" t="s">
        <v>9389</v>
      </c>
      <c r="AE2616" s="1" t="s">
        <v>32</v>
      </c>
      <c r="AF2616" s="1" t="s">
        <v>33</v>
      </c>
      <c r="AG2616" s="1" t="s">
        <v>270</v>
      </c>
    </row>
    <row r="2617" spans="1:33">
      <c r="A2617" t="s">
        <v>9390</v>
      </c>
      <c r="B2617" t="s">
        <v>9391</v>
      </c>
      <c r="C2617" t="s">
        <v>47</v>
      </c>
      <c r="E2617" t="s">
        <v>9112</v>
      </c>
      <c r="F2617" t="s">
        <v>9113</v>
      </c>
      <c r="G2617">
        <v>14.745</v>
      </c>
      <c r="H2617">
        <v>14.745</v>
      </c>
      <c r="I2617" t="s">
        <v>48</v>
      </c>
      <c r="J2617" t="s">
        <v>49</v>
      </c>
      <c r="K2617" t="s">
        <v>31</v>
      </c>
      <c r="L2617" t="s">
        <v>32</v>
      </c>
      <c r="M2617" t="s">
        <v>33</v>
      </c>
      <c r="P2617" s="1" t="s">
        <v>9392</v>
      </c>
      <c r="Q2617" s="1" t="s">
        <v>9112</v>
      </c>
      <c r="R2617" s="1" t="s">
        <v>9112</v>
      </c>
      <c r="S2617" s="1"/>
      <c r="T2617" s="1" t="s">
        <v>47</v>
      </c>
      <c r="U2617" s="1"/>
      <c r="V2617" s="1">
        <v>14.745</v>
      </c>
      <c r="W2617" s="1">
        <v>14.745</v>
      </c>
      <c r="X2617" s="1" t="s">
        <v>35</v>
      </c>
      <c r="Y2617" s="1">
        <v>14745.0</v>
      </c>
      <c r="Z2617" s="1"/>
      <c r="AA2617" s="1">
        <v>14745.0</v>
      </c>
      <c r="AB2617" s="1"/>
      <c r="AC2617" s="1" t="s">
        <v>36</v>
      </c>
      <c r="AD2617" s="1" t="s">
        <v>9393</v>
      </c>
      <c r="AE2617" s="1" t="s">
        <v>32</v>
      </c>
      <c r="AF2617" s="1" t="s">
        <v>33</v>
      </c>
      <c r="AG2617" s="1" t="s">
        <v>49</v>
      </c>
    </row>
    <row r="2618" spans="1:33">
      <c r="A2618" t="s">
        <v>9394</v>
      </c>
      <c r="B2618" t="s">
        <v>2080</v>
      </c>
      <c r="C2618" t="s">
        <v>47</v>
      </c>
      <c r="E2618" t="s">
        <v>9112</v>
      </c>
      <c r="F2618" t="s">
        <v>9113</v>
      </c>
      <c r="G2618">
        <v>22.0</v>
      </c>
      <c r="H2618">
        <v>22.0</v>
      </c>
      <c r="I2618" t="s">
        <v>48</v>
      </c>
      <c r="J2618" t="s">
        <v>49</v>
      </c>
      <c r="K2618" t="s">
        <v>31</v>
      </c>
      <c r="L2618" t="s">
        <v>32</v>
      </c>
      <c r="M2618" t="s">
        <v>33</v>
      </c>
      <c r="P2618" s="1" t="s">
        <v>9395</v>
      </c>
      <c r="Q2618" s="1" t="s">
        <v>9112</v>
      </c>
      <c r="R2618" s="1" t="s">
        <v>9112</v>
      </c>
      <c r="S2618" s="1"/>
      <c r="T2618" s="1" t="s">
        <v>47</v>
      </c>
      <c r="U2618" s="1"/>
      <c r="V2618" s="1">
        <v>22.0</v>
      </c>
      <c r="W2618" s="1">
        <v>22.0</v>
      </c>
      <c r="X2618" s="1" t="s">
        <v>35</v>
      </c>
      <c r="Y2618" s="1">
        <v>22000.0</v>
      </c>
      <c r="Z2618" s="1"/>
      <c r="AA2618" s="1">
        <v>22000.0</v>
      </c>
      <c r="AB2618" s="1"/>
      <c r="AC2618" s="1" t="s">
        <v>36</v>
      </c>
      <c r="AD2618" s="1" t="s">
        <v>9396</v>
      </c>
      <c r="AE2618" s="1" t="s">
        <v>32</v>
      </c>
      <c r="AF2618" s="1" t="s">
        <v>33</v>
      </c>
      <c r="AG2618" s="1" t="s">
        <v>49</v>
      </c>
    </row>
    <row r="2619" spans="1:33">
      <c r="A2619" t="s">
        <v>9397</v>
      </c>
      <c r="C2619" t="s">
        <v>1016</v>
      </c>
      <c r="E2619" t="s">
        <v>9112</v>
      </c>
      <c r="F2619" t="s">
        <v>9113</v>
      </c>
      <c r="G2619">
        <v>679.0</v>
      </c>
      <c r="H2619">
        <v>679.0</v>
      </c>
      <c r="I2619" t="s">
        <v>269</v>
      </c>
      <c r="J2619" t="s">
        <v>270</v>
      </c>
      <c r="K2619" t="s">
        <v>31</v>
      </c>
      <c r="L2619" t="s">
        <v>32</v>
      </c>
      <c r="M2619" t="s">
        <v>33</v>
      </c>
      <c r="P2619" s="1" t="s">
        <v>9398</v>
      </c>
      <c r="Q2619" s="1" t="s">
        <v>9112</v>
      </c>
      <c r="R2619" s="1" t="s">
        <v>9112</v>
      </c>
      <c r="S2619" s="1"/>
      <c r="T2619" s="1" t="s">
        <v>1016</v>
      </c>
      <c r="U2619" s="1"/>
      <c r="V2619" s="1">
        <v>679.0</v>
      </c>
      <c r="W2619" s="1">
        <v>679.0</v>
      </c>
      <c r="X2619" s="1" t="s">
        <v>35</v>
      </c>
      <c r="Y2619" s="1">
        <v>679000.0</v>
      </c>
      <c r="Z2619" s="1"/>
      <c r="AA2619" s="1">
        <v>679000.0</v>
      </c>
      <c r="AB2619" s="1"/>
      <c r="AC2619" s="1" t="s">
        <v>36</v>
      </c>
      <c r="AD2619" s="1" t="s">
        <v>9399</v>
      </c>
      <c r="AE2619" s="1" t="s">
        <v>32</v>
      </c>
      <c r="AF2619" s="1" t="s">
        <v>33</v>
      </c>
      <c r="AG2619" s="1" t="s">
        <v>270</v>
      </c>
    </row>
    <row r="2620" spans="1:33">
      <c r="A2620" t="s">
        <v>9400</v>
      </c>
      <c r="C2620" t="s">
        <v>325</v>
      </c>
      <c r="E2620" t="s">
        <v>9112</v>
      </c>
      <c r="F2620" t="s">
        <v>9113</v>
      </c>
      <c r="G2620">
        <v>1.247</v>
      </c>
      <c r="H2620">
        <v>1.247</v>
      </c>
      <c r="I2620" t="s">
        <v>227</v>
      </c>
      <c r="J2620" t="s">
        <v>228</v>
      </c>
      <c r="K2620" t="s">
        <v>31</v>
      </c>
      <c r="L2620" t="s">
        <v>32</v>
      </c>
      <c r="M2620" t="s">
        <v>33</v>
      </c>
      <c r="P2620" s="1" t="s">
        <v>9401</v>
      </c>
      <c r="Q2620" s="1" t="s">
        <v>9112</v>
      </c>
      <c r="R2620" s="1" t="s">
        <v>9112</v>
      </c>
      <c r="S2620" s="1"/>
      <c r="T2620" s="1" t="s">
        <v>325</v>
      </c>
      <c r="U2620" s="1"/>
      <c r="V2620" s="1">
        <v>1.247</v>
      </c>
      <c r="W2620" s="1">
        <v>1.247</v>
      </c>
      <c r="X2620" s="1" t="s">
        <v>35</v>
      </c>
      <c r="Y2620" s="1">
        <v>1247000.0</v>
      </c>
      <c r="Z2620" s="1"/>
      <c r="AA2620" s="1">
        <v>1247000.0</v>
      </c>
      <c r="AB2620" s="1"/>
      <c r="AC2620" s="1" t="s">
        <v>36</v>
      </c>
      <c r="AD2620" s="1" t="s">
        <v>9402</v>
      </c>
      <c r="AE2620" s="1" t="s">
        <v>32</v>
      </c>
      <c r="AF2620" s="1" t="s">
        <v>33</v>
      </c>
      <c r="AG2620" s="1" t="s">
        <v>228</v>
      </c>
    </row>
    <row r="2621" spans="1:33">
      <c r="A2621" t="s">
        <v>9403</v>
      </c>
      <c r="B2621" t="s">
        <v>5426</v>
      </c>
      <c r="C2621" t="s">
        <v>125</v>
      </c>
      <c r="E2621" t="s">
        <v>9112</v>
      </c>
      <c r="F2621" t="s">
        <v>9113</v>
      </c>
      <c r="G2621">
        <v>16.99</v>
      </c>
      <c r="H2621">
        <v>16.99</v>
      </c>
      <c r="I2621" t="s">
        <v>126</v>
      </c>
      <c r="J2621" t="s">
        <v>127</v>
      </c>
      <c r="K2621" t="s">
        <v>31</v>
      </c>
      <c r="L2621" t="s">
        <v>32</v>
      </c>
      <c r="M2621" t="s">
        <v>33</v>
      </c>
      <c r="P2621" s="1" t="s">
        <v>9404</v>
      </c>
      <c r="Q2621" s="1" t="s">
        <v>9112</v>
      </c>
      <c r="R2621" s="1" t="s">
        <v>9112</v>
      </c>
      <c r="S2621" s="1"/>
      <c r="T2621" s="1" t="s">
        <v>125</v>
      </c>
      <c r="U2621" s="1"/>
      <c r="V2621" s="1">
        <v>16.99</v>
      </c>
      <c r="W2621" s="1">
        <v>16.99</v>
      </c>
      <c r="X2621" s="1" t="s">
        <v>35</v>
      </c>
      <c r="Y2621" s="1">
        <v>16990.0</v>
      </c>
      <c r="Z2621" s="1"/>
      <c r="AA2621" s="1">
        <v>16990.0</v>
      </c>
      <c r="AB2621" s="1"/>
      <c r="AC2621" s="1" t="s">
        <v>36</v>
      </c>
      <c r="AD2621" s="1" t="s">
        <v>9405</v>
      </c>
      <c r="AE2621" s="1" t="s">
        <v>32</v>
      </c>
      <c r="AF2621" s="1" t="s">
        <v>33</v>
      </c>
      <c r="AG2621" s="1" t="s">
        <v>127</v>
      </c>
    </row>
    <row r="2622" spans="1:33">
      <c r="A2622" t="s">
        <v>9406</v>
      </c>
      <c r="C2622" t="s">
        <v>654</v>
      </c>
      <c r="E2622" t="s">
        <v>9112</v>
      </c>
      <c r="F2622" t="s">
        <v>9113</v>
      </c>
      <c r="G2622">
        <v>1.696</v>
      </c>
      <c r="H2622">
        <v>1.696</v>
      </c>
      <c r="I2622" t="s">
        <v>136</v>
      </c>
      <c r="J2622" t="s">
        <v>137</v>
      </c>
      <c r="K2622" t="s">
        <v>31</v>
      </c>
      <c r="L2622" t="s">
        <v>32</v>
      </c>
      <c r="M2622" t="s">
        <v>33</v>
      </c>
      <c r="P2622" s="1" t="s">
        <v>9407</v>
      </c>
      <c r="Q2622" s="1" t="s">
        <v>9112</v>
      </c>
      <c r="R2622" s="1" t="s">
        <v>9112</v>
      </c>
      <c r="S2622" s="1"/>
      <c r="T2622" s="1" t="s">
        <v>656</v>
      </c>
      <c r="U2622" s="1" t="s">
        <v>657</v>
      </c>
      <c r="V2622" s="1">
        <v>1.696</v>
      </c>
      <c r="W2622" s="1">
        <v>1.696</v>
      </c>
      <c r="X2622" s="1" t="s">
        <v>35</v>
      </c>
      <c r="Y2622" s="1">
        <v>1696600.0</v>
      </c>
      <c r="Z2622" s="1"/>
      <c r="AA2622" s="1">
        <v>1696600.0</v>
      </c>
      <c r="AB2622" s="1"/>
      <c r="AC2622" s="1" t="s">
        <v>36</v>
      </c>
      <c r="AD2622" s="1" t="s">
        <v>9350</v>
      </c>
      <c r="AE2622" s="1" t="s">
        <v>32</v>
      </c>
      <c r="AF2622" s="1" t="s">
        <v>33</v>
      </c>
      <c r="AG2622" s="1" t="s">
        <v>137</v>
      </c>
    </row>
    <row r="2623" spans="1:33">
      <c r="A2623" t="s">
        <v>9408</v>
      </c>
      <c r="B2623" t="s">
        <v>4104</v>
      </c>
      <c r="C2623" t="s">
        <v>1298</v>
      </c>
      <c r="E2623" t="s">
        <v>9112</v>
      </c>
      <c r="F2623" t="s">
        <v>9113</v>
      </c>
      <c r="G2623">
        <v>7.52</v>
      </c>
      <c r="H2623">
        <v>7.52</v>
      </c>
      <c r="I2623" t="s">
        <v>529</v>
      </c>
      <c r="J2623" t="s">
        <v>530</v>
      </c>
      <c r="K2623" t="s">
        <v>31</v>
      </c>
      <c r="L2623" t="s">
        <v>32</v>
      </c>
      <c r="M2623" t="s">
        <v>33</v>
      </c>
      <c r="P2623" s="1" t="s">
        <v>9409</v>
      </c>
      <c r="Q2623" s="1" t="s">
        <v>9112</v>
      </c>
      <c r="R2623" s="1" t="s">
        <v>9115</v>
      </c>
      <c r="S2623" s="1"/>
      <c r="T2623" s="1" t="s">
        <v>1298</v>
      </c>
      <c r="U2623" s="1"/>
      <c r="V2623" s="1">
        <v>7.52</v>
      </c>
      <c r="W2623" s="1">
        <v>7.52</v>
      </c>
      <c r="X2623" s="1" t="s">
        <v>35</v>
      </c>
      <c r="Y2623" s="1">
        <v>7520.0</v>
      </c>
      <c r="Z2623" s="1"/>
      <c r="AA2623" s="1">
        <v>7520.0</v>
      </c>
      <c r="AB2623" s="1"/>
      <c r="AC2623" s="1" t="s">
        <v>36</v>
      </c>
      <c r="AD2623" s="1" t="s">
        <v>9410</v>
      </c>
      <c r="AE2623" s="1" t="s">
        <v>32</v>
      </c>
      <c r="AF2623" s="1" t="s">
        <v>33</v>
      </c>
      <c r="AG2623" s="1" t="s">
        <v>530</v>
      </c>
    </row>
    <row r="2624" spans="1:33">
      <c r="A2624" t="s">
        <v>9411</v>
      </c>
      <c r="C2624" t="s">
        <v>368</v>
      </c>
      <c r="E2624" t="s">
        <v>9112</v>
      </c>
      <c r="F2624" t="s">
        <v>9113</v>
      </c>
      <c r="G2624">
        <v>884.2</v>
      </c>
      <c r="H2624">
        <v>884.2</v>
      </c>
      <c r="I2624" t="s">
        <v>136</v>
      </c>
      <c r="J2624" t="s">
        <v>137</v>
      </c>
      <c r="K2624" t="s">
        <v>31</v>
      </c>
      <c r="L2624" t="s">
        <v>32</v>
      </c>
      <c r="M2624" t="s">
        <v>33</v>
      </c>
      <c r="P2624" s="1" t="s">
        <v>9412</v>
      </c>
      <c r="Q2624" s="1" t="s">
        <v>9112</v>
      </c>
      <c r="R2624" s="1" t="s">
        <v>9112</v>
      </c>
      <c r="S2624" s="1"/>
      <c r="T2624" s="1" t="s">
        <v>370</v>
      </c>
      <c r="U2624" s="1" t="s">
        <v>371</v>
      </c>
      <c r="V2624" s="1">
        <v>884.2</v>
      </c>
      <c r="W2624" s="1">
        <v>884.2</v>
      </c>
      <c r="X2624" s="1" t="s">
        <v>35</v>
      </c>
      <c r="Y2624" s="1">
        <v>884200.0</v>
      </c>
      <c r="Z2624" s="1"/>
      <c r="AA2624" s="1">
        <v>884200.0</v>
      </c>
      <c r="AB2624" s="1"/>
      <c r="AC2624" s="1" t="s">
        <v>36</v>
      </c>
      <c r="AD2624" s="1" t="s">
        <v>9413</v>
      </c>
      <c r="AE2624" s="1" t="s">
        <v>32</v>
      </c>
      <c r="AF2624" s="1" t="s">
        <v>33</v>
      </c>
      <c r="AG2624" s="1" t="s">
        <v>137</v>
      </c>
    </row>
    <row r="2625" spans="1:33">
      <c r="A2625" t="s">
        <v>9414</v>
      </c>
      <c r="B2625" t="s">
        <v>3125</v>
      </c>
      <c r="C2625" t="s">
        <v>569</v>
      </c>
      <c r="E2625" t="s">
        <v>9112</v>
      </c>
      <c r="F2625" t="s">
        <v>9113</v>
      </c>
      <c r="G2625">
        <v>95.458</v>
      </c>
      <c r="H2625">
        <v>95.458</v>
      </c>
      <c r="I2625" t="s">
        <v>570</v>
      </c>
      <c r="J2625" t="s">
        <v>571</v>
      </c>
      <c r="K2625" t="s">
        <v>31</v>
      </c>
      <c r="L2625" t="s">
        <v>32</v>
      </c>
      <c r="M2625" t="s">
        <v>33</v>
      </c>
      <c r="P2625" s="1" t="s">
        <v>9415</v>
      </c>
      <c r="Q2625" s="1" t="s">
        <v>9112</v>
      </c>
      <c r="R2625" s="1" t="s">
        <v>9112</v>
      </c>
      <c r="S2625" s="1"/>
      <c r="T2625" s="1" t="s">
        <v>569</v>
      </c>
      <c r="U2625" s="1"/>
      <c r="V2625" s="1">
        <v>95.458</v>
      </c>
      <c r="W2625" s="1">
        <v>95.458</v>
      </c>
      <c r="X2625" s="1" t="s">
        <v>35</v>
      </c>
      <c r="Y2625" s="1">
        <v>95458.0</v>
      </c>
      <c r="Z2625" s="1"/>
      <c r="AA2625" s="1">
        <v>95458.0</v>
      </c>
      <c r="AB2625" s="1"/>
      <c r="AC2625" s="1" t="s">
        <v>36</v>
      </c>
      <c r="AD2625" s="1" t="s">
        <v>9416</v>
      </c>
      <c r="AE2625" s="1" t="s">
        <v>32</v>
      </c>
      <c r="AF2625" s="1" t="s">
        <v>33</v>
      </c>
      <c r="AG2625" s="1" t="s">
        <v>571</v>
      </c>
    </row>
    <row r="2626" spans="1:33">
      <c r="A2626" t="s">
        <v>9417</v>
      </c>
      <c r="B2626" t="s">
        <v>9418</v>
      </c>
      <c r="C2626" t="s">
        <v>125</v>
      </c>
      <c r="E2626" t="s">
        <v>9112</v>
      </c>
      <c r="F2626" t="s">
        <v>9113</v>
      </c>
      <c r="G2626">
        <v>44.98</v>
      </c>
      <c r="H2626">
        <v>44.98</v>
      </c>
      <c r="I2626" t="s">
        <v>126</v>
      </c>
      <c r="J2626" t="s">
        <v>127</v>
      </c>
      <c r="K2626" t="s">
        <v>31</v>
      </c>
      <c r="L2626" t="s">
        <v>32</v>
      </c>
      <c r="M2626" t="s">
        <v>33</v>
      </c>
      <c r="P2626" s="1" t="s">
        <v>9419</v>
      </c>
      <c r="Q2626" s="1" t="s">
        <v>9112</v>
      </c>
      <c r="R2626" s="1" t="s">
        <v>9112</v>
      </c>
      <c r="S2626" s="1"/>
      <c r="T2626" s="1" t="s">
        <v>125</v>
      </c>
      <c r="U2626" s="1"/>
      <c r="V2626" s="1">
        <v>44.98</v>
      </c>
      <c r="W2626" s="1">
        <v>44.98</v>
      </c>
      <c r="X2626" s="1" t="s">
        <v>35</v>
      </c>
      <c r="Y2626" s="1">
        <v>44980.0</v>
      </c>
      <c r="Z2626" s="1"/>
      <c r="AA2626" s="1">
        <v>44980.0</v>
      </c>
      <c r="AB2626" s="1"/>
      <c r="AC2626" s="1" t="s">
        <v>36</v>
      </c>
      <c r="AD2626" s="1" t="s">
        <v>9420</v>
      </c>
      <c r="AE2626" s="1" t="s">
        <v>32</v>
      </c>
      <c r="AF2626" s="1" t="s">
        <v>33</v>
      </c>
      <c r="AG2626" s="1" t="s">
        <v>127</v>
      </c>
    </row>
    <row r="2627" spans="1:33">
      <c r="A2627" t="s">
        <v>9421</v>
      </c>
      <c r="B2627" t="s">
        <v>9422</v>
      </c>
      <c r="C2627" t="s">
        <v>172</v>
      </c>
      <c r="E2627" t="s">
        <v>9112</v>
      </c>
      <c r="F2627" t="s">
        <v>9113</v>
      </c>
      <c r="G2627">
        <v>3.84</v>
      </c>
      <c r="H2627">
        <v>3.84</v>
      </c>
      <c r="I2627" t="s">
        <v>173</v>
      </c>
      <c r="J2627" t="s">
        <v>174</v>
      </c>
      <c r="K2627" t="s">
        <v>31</v>
      </c>
      <c r="L2627" t="s">
        <v>32</v>
      </c>
      <c r="M2627" t="s">
        <v>33</v>
      </c>
      <c r="P2627" s="1" t="s">
        <v>9423</v>
      </c>
      <c r="Q2627" s="1" t="s">
        <v>9112</v>
      </c>
      <c r="R2627" s="1" t="s">
        <v>9112</v>
      </c>
      <c r="S2627" s="1"/>
      <c r="T2627" s="1" t="s">
        <v>172</v>
      </c>
      <c r="U2627" s="1"/>
      <c r="V2627" s="1">
        <v>3.84</v>
      </c>
      <c r="W2627" s="1">
        <v>3.84</v>
      </c>
      <c r="X2627" s="1" t="s">
        <v>35</v>
      </c>
      <c r="Y2627" s="1">
        <v>3840.0</v>
      </c>
      <c r="Z2627" s="1"/>
      <c r="AA2627" s="1">
        <v>3840.0</v>
      </c>
      <c r="AB2627" s="1"/>
      <c r="AC2627" s="1" t="s">
        <v>36</v>
      </c>
      <c r="AD2627" s="1" t="s">
        <v>9424</v>
      </c>
      <c r="AE2627" s="1" t="s">
        <v>32</v>
      </c>
      <c r="AF2627" s="1" t="s">
        <v>33</v>
      </c>
      <c r="AG2627" s="1" t="s">
        <v>174</v>
      </c>
    </row>
    <row r="2628" spans="1:33">
      <c r="A2628" t="s">
        <v>9425</v>
      </c>
      <c r="C2628" t="s">
        <v>569</v>
      </c>
      <c r="E2628" t="s">
        <v>9112</v>
      </c>
      <c r="F2628" t="s">
        <v>9113</v>
      </c>
      <c r="G2628">
        <v>35.58</v>
      </c>
      <c r="H2628">
        <v>35.58</v>
      </c>
      <c r="I2628" t="s">
        <v>570</v>
      </c>
      <c r="J2628" t="s">
        <v>571</v>
      </c>
      <c r="K2628" t="s">
        <v>31</v>
      </c>
      <c r="L2628" t="s">
        <v>32</v>
      </c>
      <c r="M2628" t="s">
        <v>33</v>
      </c>
      <c r="P2628" s="1" t="s">
        <v>9426</v>
      </c>
      <c r="Q2628" s="1" t="s">
        <v>9112</v>
      </c>
      <c r="R2628" s="1" t="s">
        <v>9112</v>
      </c>
      <c r="S2628" s="1"/>
      <c r="T2628" s="1" t="s">
        <v>569</v>
      </c>
      <c r="U2628" s="1"/>
      <c r="V2628" s="1">
        <v>35.58</v>
      </c>
      <c r="W2628" s="1">
        <v>35.58</v>
      </c>
      <c r="X2628" s="1" t="s">
        <v>35</v>
      </c>
      <c r="Y2628" s="1">
        <v>35580.0</v>
      </c>
      <c r="Z2628" s="1"/>
      <c r="AA2628" s="1">
        <v>35580.0</v>
      </c>
      <c r="AB2628" s="1"/>
      <c r="AC2628" s="1" t="s">
        <v>36</v>
      </c>
      <c r="AD2628" s="1" t="s">
        <v>9427</v>
      </c>
      <c r="AE2628" s="1" t="s">
        <v>32</v>
      </c>
      <c r="AF2628" s="1" t="s">
        <v>33</v>
      </c>
      <c r="AG2628" s="1" t="s">
        <v>571</v>
      </c>
    </row>
    <row r="2629" spans="1:33">
      <c r="A2629" t="s">
        <v>9428</v>
      </c>
      <c r="C2629" t="s">
        <v>2236</v>
      </c>
      <c r="E2629" t="s">
        <v>9112</v>
      </c>
      <c r="F2629" t="s">
        <v>9113</v>
      </c>
      <c r="G2629">
        <v>433.1</v>
      </c>
      <c r="H2629">
        <v>433.1</v>
      </c>
      <c r="I2629" t="s">
        <v>269</v>
      </c>
      <c r="J2629" t="s">
        <v>270</v>
      </c>
      <c r="K2629" t="s">
        <v>31</v>
      </c>
      <c r="L2629" t="s">
        <v>32</v>
      </c>
      <c r="M2629" t="s">
        <v>33</v>
      </c>
      <c r="P2629" s="1" t="s">
        <v>9429</v>
      </c>
      <c r="Q2629" s="1" t="s">
        <v>9112</v>
      </c>
      <c r="R2629" s="1" t="s">
        <v>9112</v>
      </c>
      <c r="S2629" s="1"/>
      <c r="T2629" s="1" t="s">
        <v>2236</v>
      </c>
      <c r="U2629" s="1"/>
      <c r="V2629" s="1">
        <v>433.1</v>
      </c>
      <c r="W2629" s="1">
        <v>433.1</v>
      </c>
      <c r="X2629" s="1" t="s">
        <v>35</v>
      </c>
      <c r="Y2629" s="1">
        <v>433100.0</v>
      </c>
      <c r="Z2629" s="1"/>
      <c r="AA2629" s="1">
        <v>433100.0</v>
      </c>
      <c r="AB2629" s="1"/>
      <c r="AC2629" s="1" t="s">
        <v>36</v>
      </c>
      <c r="AD2629" s="1" t="s">
        <v>9420</v>
      </c>
      <c r="AE2629" s="1" t="s">
        <v>32</v>
      </c>
      <c r="AF2629" s="1" t="s">
        <v>33</v>
      </c>
      <c r="AG2629" s="1" t="s">
        <v>270</v>
      </c>
    </row>
    <row r="2630" spans="1:33">
      <c r="A2630" t="s">
        <v>9430</v>
      </c>
      <c r="B2630" t="s">
        <v>9431</v>
      </c>
      <c r="C2630" t="s">
        <v>47</v>
      </c>
      <c r="E2630" t="s">
        <v>9112</v>
      </c>
      <c r="F2630" t="s">
        <v>9113</v>
      </c>
      <c r="G2630">
        <v>73.98</v>
      </c>
      <c r="H2630">
        <v>73.98</v>
      </c>
      <c r="I2630" t="s">
        <v>48</v>
      </c>
      <c r="J2630" t="s">
        <v>49</v>
      </c>
      <c r="K2630" t="s">
        <v>31</v>
      </c>
      <c r="L2630" t="s">
        <v>32</v>
      </c>
      <c r="M2630" t="s">
        <v>33</v>
      </c>
      <c r="P2630" s="1" t="s">
        <v>9432</v>
      </c>
      <c r="Q2630" s="1" t="s">
        <v>9112</v>
      </c>
      <c r="R2630" s="1" t="s">
        <v>9112</v>
      </c>
      <c r="S2630" s="1"/>
      <c r="T2630" s="1" t="s">
        <v>47</v>
      </c>
      <c r="U2630" s="1"/>
      <c r="V2630" s="1">
        <v>73.98</v>
      </c>
      <c r="W2630" s="1">
        <v>73.98</v>
      </c>
      <c r="X2630" s="1" t="s">
        <v>35</v>
      </c>
      <c r="Y2630" s="1">
        <v>73980.0</v>
      </c>
      <c r="Z2630" s="1"/>
      <c r="AA2630" s="1">
        <v>73980.0</v>
      </c>
      <c r="AB2630" s="1"/>
      <c r="AC2630" s="1" t="s">
        <v>36</v>
      </c>
      <c r="AD2630" s="1" t="s">
        <v>9433</v>
      </c>
      <c r="AE2630" s="1" t="s">
        <v>32</v>
      </c>
      <c r="AF2630" s="1" t="s">
        <v>33</v>
      </c>
      <c r="AG2630" s="1" t="s">
        <v>49</v>
      </c>
    </row>
    <row r="2631" spans="1:33">
      <c r="A2631" t="s">
        <v>9434</v>
      </c>
      <c r="C2631" t="s">
        <v>806</v>
      </c>
      <c r="D2631" t="s">
        <v>154</v>
      </c>
      <c r="E2631" t="s">
        <v>9112</v>
      </c>
      <c r="F2631" t="s">
        <v>9113</v>
      </c>
      <c r="G2631">
        <v>790.0</v>
      </c>
      <c r="H2631">
        <v>790.0</v>
      </c>
      <c r="I2631" t="s">
        <v>269</v>
      </c>
      <c r="J2631" t="s">
        <v>270</v>
      </c>
      <c r="K2631" t="s">
        <v>31</v>
      </c>
      <c r="L2631" t="s">
        <v>32</v>
      </c>
      <c r="M2631" t="s">
        <v>33</v>
      </c>
      <c r="P2631" s="1" t="s">
        <v>9435</v>
      </c>
      <c r="Q2631" s="1" t="s">
        <v>9112</v>
      </c>
      <c r="R2631" s="1" t="s">
        <v>9112</v>
      </c>
      <c r="S2631" s="1"/>
      <c r="T2631" s="1" t="s">
        <v>806</v>
      </c>
      <c r="U2631" s="1"/>
      <c r="V2631" s="1">
        <v>790.0</v>
      </c>
      <c r="W2631" s="1">
        <v>790.0</v>
      </c>
      <c r="X2631" s="1" t="s">
        <v>35</v>
      </c>
      <c r="Y2631" s="1">
        <v>790000.0</v>
      </c>
      <c r="Z2631" s="1"/>
      <c r="AA2631" s="1">
        <v>790000.0</v>
      </c>
      <c r="AB2631" s="1"/>
      <c r="AC2631" s="1" t="s">
        <v>36</v>
      </c>
      <c r="AD2631" s="1" t="s">
        <v>9433</v>
      </c>
      <c r="AE2631" s="1" t="s">
        <v>32</v>
      </c>
      <c r="AF2631" s="1" t="s">
        <v>33</v>
      </c>
      <c r="AG2631" s="1" t="s">
        <v>270</v>
      </c>
    </row>
    <row r="2632" spans="1:33">
      <c r="A2632" t="s">
        <v>9436</v>
      </c>
      <c r="C2632" t="s">
        <v>9437</v>
      </c>
      <c r="E2632" t="s">
        <v>9112</v>
      </c>
      <c r="F2632" t="s">
        <v>9113</v>
      </c>
      <c r="G2632">
        <v>328.0</v>
      </c>
      <c r="H2632">
        <v>328.0</v>
      </c>
      <c r="I2632" t="s">
        <v>269</v>
      </c>
      <c r="J2632" t="s">
        <v>270</v>
      </c>
      <c r="K2632" t="s">
        <v>31</v>
      </c>
      <c r="L2632" t="s">
        <v>32</v>
      </c>
      <c r="M2632" t="s">
        <v>33</v>
      </c>
      <c r="P2632" s="1" t="s">
        <v>9438</v>
      </c>
      <c r="Q2632" s="1" t="s">
        <v>9112</v>
      </c>
      <c r="R2632" s="1" t="s">
        <v>9112</v>
      </c>
      <c r="S2632" s="1"/>
      <c r="T2632" s="1" t="s">
        <v>9437</v>
      </c>
      <c r="U2632" s="1"/>
      <c r="V2632" s="1">
        <v>328.0</v>
      </c>
      <c r="W2632" s="1">
        <v>328.0</v>
      </c>
      <c r="X2632" s="1" t="s">
        <v>35</v>
      </c>
      <c r="Y2632" s="1">
        <v>328000.0</v>
      </c>
      <c r="Z2632" s="1"/>
      <c r="AA2632" s="1">
        <v>328000.0</v>
      </c>
      <c r="AB2632" s="1"/>
      <c r="AC2632" s="1" t="s">
        <v>36</v>
      </c>
      <c r="AD2632" s="1" t="s">
        <v>9439</v>
      </c>
      <c r="AE2632" s="1" t="s">
        <v>32</v>
      </c>
      <c r="AF2632" s="1" t="s">
        <v>33</v>
      </c>
      <c r="AG2632" s="1" t="s">
        <v>270</v>
      </c>
    </row>
    <row r="2633" spans="1:33">
      <c r="A2633" t="s">
        <v>9440</v>
      </c>
      <c r="C2633" t="s">
        <v>2280</v>
      </c>
      <c r="E2633" t="s">
        <v>9112</v>
      </c>
      <c r="F2633" t="s">
        <v>9113</v>
      </c>
      <c r="G2633">
        <v>1.065</v>
      </c>
      <c r="H2633">
        <v>1.065</v>
      </c>
      <c r="I2633" t="s">
        <v>269</v>
      </c>
      <c r="J2633" t="s">
        <v>270</v>
      </c>
      <c r="K2633" t="s">
        <v>31</v>
      </c>
      <c r="L2633" t="s">
        <v>32</v>
      </c>
      <c r="M2633" t="s">
        <v>33</v>
      </c>
      <c r="P2633" s="1" t="s">
        <v>9441</v>
      </c>
      <c r="Q2633" s="1" t="s">
        <v>9112</v>
      </c>
      <c r="R2633" s="1" t="s">
        <v>9112</v>
      </c>
      <c r="S2633" s="1"/>
      <c r="T2633" s="1" t="s">
        <v>2280</v>
      </c>
      <c r="U2633" s="1"/>
      <c r="V2633" s="1">
        <v>1.065</v>
      </c>
      <c r="W2633" s="1">
        <v>1.065</v>
      </c>
      <c r="X2633" s="1" t="s">
        <v>35</v>
      </c>
      <c r="Y2633" s="1">
        <v>1065400.0</v>
      </c>
      <c r="Z2633" s="1"/>
      <c r="AA2633" s="1">
        <v>1065400.0</v>
      </c>
      <c r="AB2633" s="1"/>
      <c r="AC2633" s="1" t="s">
        <v>36</v>
      </c>
      <c r="AD2633" s="1" t="s">
        <v>9442</v>
      </c>
      <c r="AE2633" s="1" t="s">
        <v>32</v>
      </c>
      <c r="AF2633" s="1" t="s">
        <v>33</v>
      </c>
      <c r="AG2633" s="1" t="s">
        <v>270</v>
      </c>
    </row>
    <row r="2634" spans="1:33">
      <c r="A2634" t="s">
        <v>9443</v>
      </c>
      <c r="B2634" t="s">
        <v>9444</v>
      </c>
      <c r="C2634" t="s">
        <v>125</v>
      </c>
      <c r="E2634" t="s">
        <v>9112</v>
      </c>
      <c r="F2634" t="s">
        <v>9113</v>
      </c>
      <c r="G2634">
        <v>4.498</v>
      </c>
      <c r="H2634">
        <v>4.498</v>
      </c>
      <c r="I2634" t="s">
        <v>126</v>
      </c>
      <c r="J2634" t="s">
        <v>127</v>
      </c>
      <c r="K2634" t="s">
        <v>31</v>
      </c>
      <c r="L2634" t="s">
        <v>32</v>
      </c>
      <c r="M2634" t="s">
        <v>33</v>
      </c>
      <c r="P2634" s="1" t="s">
        <v>9445</v>
      </c>
      <c r="Q2634" s="1" t="s">
        <v>9112</v>
      </c>
      <c r="R2634" s="1" t="s">
        <v>9112</v>
      </c>
      <c r="S2634" s="1"/>
      <c r="T2634" s="1" t="s">
        <v>125</v>
      </c>
      <c r="U2634" s="1"/>
      <c r="V2634" s="1">
        <v>4.498</v>
      </c>
      <c r="W2634" s="1">
        <v>4.498</v>
      </c>
      <c r="X2634" s="1" t="s">
        <v>35</v>
      </c>
      <c r="Y2634" s="1">
        <v>4498.0</v>
      </c>
      <c r="Z2634" s="1"/>
      <c r="AA2634" s="1">
        <v>4498.0</v>
      </c>
      <c r="AB2634" s="1"/>
      <c r="AC2634" s="1" t="s">
        <v>36</v>
      </c>
      <c r="AD2634" s="1" t="s">
        <v>9446</v>
      </c>
      <c r="AE2634" s="1" t="s">
        <v>32</v>
      </c>
      <c r="AF2634" s="1" t="s">
        <v>33</v>
      </c>
      <c r="AG2634" s="1" t="s">
        <v>127</v>
      </c>
    </row>
    <row r="2635" spans="1:33">
      <c r="A2635" t="s">
        <v>9447</v>
      </c>
      <c r="C2635" t="s">
        <v>259</v>
      </c>
      <c r="D2635" t="s">
        <v>114</v>
      </c>
      <c r="E2635" t="s">
        <v>9112</v>
      </c>
      <c r="F2635" t="s">
        <v>9113</v>
      </c>
      <c r="G2635">
        <v>420.0</v>
      </c>
      <c r="H2635">
        <v>420.0</v>
      </c>
      <c r="I2635" t="s">
        <v>40</v>
      </c>
      <c r="J2635" t="s">
        <v>41</v>
      </c>
      <c r="K2635" t="s">
        <v>31</v>
      </c>
      <c r="L2635" t="s">
        <v>32</v>
      </c>
      <c r="M2635" t="s">
        <v>33</v>
      </c>
      <c r="P2635" s="1" t="s">
        <v>9448</v>
      </c>
      <c r="Q2635" s="1" t="s">
        <v>9112</v>
      </c>
      <c r="R2635" s="1" t="s">
        <v>9115</v>
      </c>
      <c r="S2635" s="1"/>
      <c r="T2635" s="1" t="s">
        <v>259</v>
      </c>
      <c r="U2635" s="1"/>
      <c r="V2635" s="1">
        <v>420.0</v>
      </c>
      <c r="W2635" s="1">
        <v>420.0</v>
      </c>
      <c r="X2635" s="1" t="s">
        <v>35</v>
      </c>
      <c r="Y2635" s="1">
        <v>420000.0</v>
      </c>
      <c r="Z2635" s="1"/>
      <c r="AA2635" s="1">
        <v>420000.0</v>
      </c>
      <c r="AB2635" s="1"/>
      <c r="AC2635" s="1" t="s">
        <v>36</v>
      </c>
      <c r="AD2635" s="1" t="s">
        <v>9446</v>
      </c>
      <c r="AE2635" s="1" t="s">
        <v>32</v>
      </c>
      <c r="AF2635" s="1" t="s">
        <v>33</v>
      </c>
      <c r="AG2635" s="1" t="s">
        <v>41</v>
      </c>
    </row>
    <row r="2636" spans="1:33">
      <c r="A2636" t="s">
        <v>9449</v>
      </c>
      <c r="C2636" t="s">
        <v>1432</v>
      </c>
      <c r="D2636" t="s">
        <v>114</v>
      </c>
      <c r="E2636" t="s">
        <v>9112</v>
      </c>
      <c r="F2636" t="s">
        <v>9113</v>
      </c>
      <c r="G2636">
        <v>672.4</v>
      </c>
      <c r="H2636">
        <v>672.4</v>
      </c>
      <c r="I2636" t="s">
        <v>227</v>
      </c>
      <c r="J2636" t="s">
        <v>228</v>
      </c>
      <c r="K2636" t="s">
        <v>31</v>
      </c>
      <c r="L2636" t="s">
        <v>32</v>
      </c>
      <c r="M2636" t="s">
        <v>33</v>
      </c>
      <c r="P2636" s="1" t="s">
        <v>9450</v>
      </c>
      <c r="Q2636" s="1" t="s">
        <v>9112</v>
      </c>
      <c r="R2636" s="1" t="s">
        <v>9112</v>
      </c>
      <c r="S2636" s="1"/>
      <c r="T2636" s="1" t="s">
        <v>1432</v>
      </c>
      <c r="U2636" s="1"/>
      <c r="V2636" s="1">
        <v>672.4</v>
      </c>
      <c r="W2636" s="1">
        <v>672.4</v>
      </c>
      <c r="X2636" s="1" t="s">
        <v>35</v>
      </c>
      <c r="Y2636" s="1">
        <v>672400.0</v>
      </c>
      <c r="Z2636" s="1"/>
      <c r="AA2636" s="1">
        <v>672400.0</v>
      </c>
      <c r="AB2636" s="1"/>
      <c r="AC2636" s="1" t="s">
        <v>36</v>
      </c>
      <c r="AD2636" s="1" t="s">
        <v>9451</v>
      </c>
      <c r="AE2636" s="1" t="s">
        <v>32</v>
      </c>
      <c r="AF2636" s="1" t="s">
        <v>33</v>
      </c>
      <c r="AG2636" s="1" t="s">
        <v>228</v>
      </c>
    </row>
    <row r="2637" spans="1:33">
      <c r="A2637" t="s">
        <v>9452</v>
      </c>
      <c r="C2637" t="s">
        <v>9453</v>
      </c>
      <c r="E2637" t="s">
        <v>9112</v>
      </c>
      <c r="F2637" t="s">
        <v>9113</v>
      </c>
      <c r="G2637">
        <v>1.44</v>
      </c>
      <c r="H2637">
        <v>1.44</v>
      </c>
      <c r="I2637" t="s">
        <v>227</v>
      </c>
      <c r="J2637" t="s">
        <v>228</v>
      </c>
      <c r="K2637" t="s">
        <v>31</v>
      </c>
      <c r="L2637" t="s">
        <v>32</v>
      </c>
      <c r="M2637" t="s">
        <v>33</v>
      </c>
      <c r="P2637" s="1" t="s">
        <v>9454</v>
      </c>
      <c r="Q2637" s="1" t="s">
        <v>9112</v>
      </c>
      <c r="R2637" s="1" t="s">
        <v>9112</v>
      </c>
      <c r="S2637" s="1"/>
      <c r="T2637" s="1" t="s">
        <v>9453</v>
      </c>
      <c r="U2637" s="1"/>
      <c r="V2637" s="1">
        <v>1.44</v>
      </c>
      <c r="W2637" s="1">
        <v>1.44</v>
      </c>
      <c r="X2637" s="1" t="s">
        <v>35</v>
      </c>
      <c r="Y2637" s="1">
        <v>1440000.0</v>
      </c>
      <c r="Z2637" s="1"/>
      <c r="AA2637" s="1">
        <v>1440000.0</v>
      </c>
      <c r="AB2637" s="1"/>
      <c r="AC2637" s="1" t="s">
        <v>36</v>
      </c>
      <c r="AD2637" s="1" t="s">
        <v>9455</v>
      </c>
      <c r="AE2637" s="1" t="s">
        <v>32</v>
      </c>
      <c r="AF2637" s="1" t="s">
        <v>33</v>
      </c>
      <c r="AG2637" s="1" t="s">
        <v>228</v>
      </c>
    </row>
    <row r="2638" spans="1:33">
      <c r="A2638" t="s">
        <v>9456</v>
      </c>
      <c r="B2638" t="s">
        <v>9457</v>
      </c>
      <c r="C2638" t="s">
        <v>47</v>
      </c>
      <c r="E2638" t="s">
        <v>9112</v>
      </c>
      <c r="F2638" t="s">
        <v>9113</v>
      </c>
      <c r="G2638">
        <v>6.35</v>
      </c>
      <c r="H2638">
        <v>6.35</v>
      </c>
      <c r="I2638" t="s">
        <v>48</v>
      </c>
      <c r="J2638" t="s">
        <v>49</v>
      </c>
      <c r="K2638" t="s">
        <v>31</v>
      </c>
      <c r="L2638" t="s">
        <v>32</v>
      </c>
      <c r="M2638" t="s">
        <v>33</v>
      </c>
      <c r="P2638" s="1" t="s">
        <v>9458</v>
      </c>
      <c r="Q2638" s="1" t="s">
        <v>9112</v>
      </c>
      <c r="R2638" s="1" t="s">
        <v>9112</v>
      </c>
      <c r="S2638" s="1"/>
      <c r="T2638" s="1" t="s">
        <v>47</v>
      </c>
      <c r="U2638" s="1"/>
      <c r="V2638" s="1">
        <v>6.35</v>
      </c>
      <c r="W2638" s="1">
        <v>6.35</v>
      </c>
      <c r="X2638" s="1" t="s">
        <v>35</v>
      </c>
      <c r="Y2638" s="1">
        <v>6350.0</v>
      </c>
      <c r="Z2638" s="1"/>
      <c r="AA2638" s="1">
        <v>6350.0</v>
      </c>
      <c r="AB2638" s="1"/>
      <c r="AC2638" s="1" t="s">
        <v>36</v>
      </c>
      <c r="AD2638" s="1" t="s">
        <v>9459</v>
      </c>
      <c r="AE2638" s="1" t="s">
        <v>32</v>
      </c>
      <c r="AF2638" s="1" t="s">
        <v>33</v>
      </c>
      <c r="AG2638" s="1" t="s">
        <v>49</v>
      </c>
    </row>
    <row r="2639" spans="1:33">
      <c r="A2639" t="s">
        <v>9460</v>
      </c>
      <c r="C2639" t="s">
        <v>1866</v>
      </c>
      <c r="E2639" t="s">
        <v>9112</v>
      </c>
      <c r="F2639" t="s">
        <v>9113</v>
      </c>
      <c r="G2639">
        <v>328.0</v>
      </c>
      <c r="H2639">
        <v>328.0</v>
      </c>
      <c r="I2639" t="s">
        <v>269</v>
      </c>
      <c r="J2639" t="s">
        <v>270</v>
      </c>
      <c r="K2639" t="s">
        <v>31</v>
      </c>
      <c r="L2639" t="s">
        <v>32</v>
      </c>
      <c r="M2639" t="s">
        <v>33</v>
      </c>
      <c r="P2639" s="1" t="s">
        <v>9461</v>
      </c>
      <c r="Q2639" s="1" t="s">
        <v>9112</v>
      </c>
      <c r="R2639" s="1" t="s">
        <v>9112</v>
      </c>
      <c r="S2639" s="1"/>
      <c r="T2639" s="1" t="s">
        <v>1866</v>
      </c>
      <c r="U2639" s="1"/>
      <c r="V2639" s="1">
        <v>328.0</v>
      </c>
      <c r="W2639" s="1">
        <v>328.0</v>
      </c>
      <c r="X2639" s="1" t="s">
        <v>35</v>
      </c>
      <c r="Y2639" s="1">
        <v>328000.0</v>
      </c>
      <c r="Z2639" s="1"/>
      <c r="AA2639" s="1">
        <v>328000.0</v>
      </c>
      <c r="AB2639" s="1"/>
      <c r="AC2639" s="1" t="s">
        <v>36</v>
      </c>
      <c r="AD2639" s="1" t="s">
        <v>9462</v>
      </c>
      <c r="AE2639" s="1" t="s">
        <v>32</v>
      </c>
      <c r="AF2639" s="1" t="s">
        <v>33</v>
      </c>
      <c r="AG2639" s="1" t="s">
        <v>270</v>
      </c>
    </row>
    <row r="2640" spans="1:33">
      <c r="A2640" t="s">
        <v>9463</v>
      </c>
      <c r="C2640" t="s">
        <v>9464</v>
      </c>
      <c r="E2640" t="s">
        <v>9112</v>
      </c>
      <c r="F2640" t="s">
        <v>9113</v>
      </c>
      <c r="G2640">
        <v>790.0</v>
      </c>
      <c r="H2640">
        <v>790.0</v>
      </c>
      <c r="I2640" t="s">
        <v>94</v>
      </c>
      <c r="J2640" t="s">
        <v>95</v>
      </c>
      <c r="K2640" t="s">
        <v>31</v>
      </c>
      <c r="L2640" t="s">
        <v>32</v>
      </c>
      <c r="M2640" t="s">
        <v>33</v>
      </c>
      <c r="P2640" s="1" t="s">
        <v>9465</v>
      </c>
      <c r="Q2640" s="1" t="s">
        <v>9112</v>
      </c>
      <c r="R2640" s="1" t="s">
        <v>9112</v>
      </c>
      <c r="S2640" s="1"/>
      <c r="T2640" s="1" t="s">
        <v>9464</v>
      </c>
      <c r="U2640" s="1"/>
      <c r="V2640" s="1">
        <v>790.0</v>
      </c>
      <c r="W2640" s="1">
        <v>790.0</v>
      </c>
      <c r="X2640" s="1" t="s">
        <v>35</v>
      </c>
      <c r="Y2640" s="1">
        <v>790000.0</v>
      </c>
      <c r="Z2640" s="1"/>
      <c r="AA2640" s="1">
        <v>790000.0</v>
      </c>
      <c r="AB2640" s="1"/>
      <c r="AC2640" s="1" t="s">
        <v>36</v>
      </c>
      <c r="AD2640" s="1" t="s">
        <v>9399</v>
      </c>
      <c r="AE2640" s="1" t="s">
        <v>32</v>
      </c>
      <c r="AF2640" s="1" t="s">
        <v>33</v>
      </c>
      <c r="AG2640" s="1" t="s">
        <v>95</v>
      </c>
    </row>
    <row r="2641" spans="1:33">
      <c r="A2641" t="s">
        <v>9466</v>
      </c>
      <c r="B2641" t="s">
        <v>9467</v>
      </c>
      <c r="C2641" t="s">
        <v>47</v>
      </c>
      <c r="E2641" t="s">
        <v>9112</v>
      </c>
      <c r="F2641" t="s">
        <v>9113</v>
      </c>
      <c r="G2641">
        <v>20.49</v>
      </c>
      <c r="H2641">
        <v>20.49</v>
      </c>
      <c r="I2641" t="s">
        <v>48</v>
      </c>
      <c r="J2641" t="s">
        <v>49</v>
      </c>
      <c r="K2641" t="s">
        <v>31</v>
      </c>
      <c r="L2641" t="s">
        <v>32</v>
      </c>
      <c r="M2641" t="s">
        <v>33</v>
      </c>
      <c r="P2641" s="1" t="s">
        <v>9468</v>
      </c>
      <c r="Q2641" s="1" t="s">
        <v>9112</v>
      </c>
      <c r="R2641" s="1" t="s">
        <v>9112</v>
      </c>
      <c r="S2641" s="1"/>
      <c r="T2641" s="1" t="s">
        <v>47</v>
      </c>
      <c r="U2641" s="1"/>
      <c r="V2641" s="1">
        <v>20.49</v>
      </c>
      <c r="W2641" s="1">
        <v>20.49</v>
      </c>
      <c r="X2641" s="1" t="s">
        <v>35</v>
      </c>
      <c r="Y2641" s="1">
        <v>20490.0</v>
      </c>
      <c r="Z2641" s="1"/>
      <c r="AA2641" s="1">
        <v>20490.0</v>
      </c>
      <c r="AB2641" s="1"/>
      <c r="AC2641" s="1" t="s">
        <v>36</v>
      </c>
      <c r="AD2641" s="1" t="s">
        <v>9469</v>
      </c>
      <c r="AE2641" s="1" t="s">
        <v>32</v>
      </c>
      <c r="AF2641" s="1" t="s">
        <v>33</v>
      </c>
      <c r="AG2641" s="1" t="s">
        <v>49</v>
      </c>
    </row>
    <row r="2642" spans="1:33">
      <c r="A2642" t="s">
        <v>9470</v>
      </c>
      <c r="B2642" t="s">
        <v>9457</v>
      </c>
      <c r="C2642" t="s">
        <v>47</v>
      </c>
      <c r="E2642" t="s">
        <v>9112</v>
      </c>
      <c r="F2642" t="s">
        <v>9113</v>
      </c>
      <c r="G2642">
        <v>77.708</v>
      </c>
      <c r="H2642">
        <v>77.708</v>
      </c>
      <c r="I2642" t="s">
        <v>48</v>
      </c>
      <c r="J2642" t="s">
        <v>49</v>
      </c>
      <c r="K2642" t="s">
        <v>31</v>
      </c>
      <c r="L2642" t="s">
        <v>32</v>
      </c>
      <c r="M2642" t="s">
        <v>33</v>
      </c>
      <c r="P2642" s="1" t="s">
        <v>9471</v>
      </c>
      <c r="Q2642" s="1" t="s">
        <v>9112</v>
      </c>
      <c r="R2642" s="1" t="s">
        <v>9112</v>
      </c>
      <c r="S2642" s="1"/>
      <c r="T2642" s="1" t="s">
        <v>47</v>
      </c>
      <c r="U2642" s="1"/>
      <c r="V2642" s="1">
        <v>77.708</v>
      </c>
      <c r="W2642" s="1">
        <v>77.708</v>
      </c>
      <c r="X2642" s="1" t="s">
        <v>35</v>
      </c>
      <c r="Y2642" s="1">
        <v>77708.0</v>
      </c>
      <c r="Z2642" s="1"/>
      <c r="AA2642" s="1">
        <v>77708.0</v>
      </c>
      <c r="AB2642" s="1"/>
      <c r="AC2642" s="1" t="s">
        <v>36</v>
      </c>
      <c r="AD2642" s="1" t="s">
        <v>9472</v>
      </c>
      <c r="AE2642" s="1" t="s">
        <v>32</v>
      </c>
      <c r="AF2642" s="1" t="s">
        <v>33</v>
      </c>
      <c r="AG2642" s="1" t="s">
        <v>49</v>
      </c>
    </row>
    <row r="2643" spans="1:33">
      <c r="A2643" t="s">
        <v>9473</v>
      </c>
      <c r="C2643" t="s">
        <v>1352</v>
      </c>
      <c r="E2643" t="s">
        <v>9112</v>
      </c>
      <c r="F2643" t="s">
        <v>9113</v>
      </c>
      <c r="G2643">
        <v>2.46</v>
      </c>
      <c r="H2643">
        <v>2.46</v>
      </c>
      <c r="I2643" t="s">
        <v>269</v>
      </c>
      <c r="J2643" t="s">
        <v>270</v>
      </c>
      <c r="K2643" t="s">
        <v>31</v>
      </c>
      <c r="L2643" t="s">
        <v>32</v>
      </c>
      <c r="M2643" t="s">
        <v>33</v>
      </c>
      <c r="P2643" s="1" t="s">
        <v>9474</v>
      </c>
      <c r="Q2643" s="1" t="s">
        <v>9112</v>
      </c>
      <c r="R2643" s="1" t="s">
        <v>9112</v>
      </c>
      <c r="S2643" s="1"/>
      <c r="T2643" s="1" t="s">
        <v>1352</v>
      </c>
      <c r="U2643" s="1"/>
      <c r="V2643" s="1">
        <v>2.46</v>
      </c>
      <c r="W2643" s="1">
        <v>2.46</v>
      </c>
      <c r="X2643" s="1" t="s">
        <v>35</v>
      </c>
      <c r="Y2643" s="1">
        <v>2460000.0</v>
      </c>
      <c r="Z2643" s="1"/>
      <c r="AA2643" s="1">
        <v>2460000.0</v>
      </c>
      <c r="AB2643" s="1"/>
      <c r="AC2643" s="1" t="s">
        <v>36</v>
      </c>
      <c r="AD2643" s="1" t="s">
        <v>9475</v>
      </c>
      <c r="AE2643" s="1" t="s">
        <v>32</v>
      </c>
      <c r="AF2643" s="1" t="s">
        <v>33</v>
      </c>
      <c r="AG2643" s="1" t="s">
        <v>270</v>
      </c>
    </row>
    <row r="2644" spans="1:33">
      <c r="A2644" t="s">
        <v>9476</v>
      </c>
      <c r="B2644" t="s">
        <v>9477</v>
      </c>
      <c r="C2644" t="s">
        <v>125</v>
      </c>
      <c r="E2644" t="s">
        <v>9112</v>
      </c>
      <c r="F2644" t="s">
        <v>9113</v>
      </c>
      <c r="G2644">
        <v>4.298</v>
      </c>
      <c r="H2644">
        <v>4.298</v>
      </c>
      <c r="I2644" t="s">
        <v>126</v>
      </c>
      <c r="J2644" t="s">
        <v>127</v>
      </c>
      <c r="K2644" t="s">
        <v>31</v>
      </c>
      <c r="L2644" t="s">
        <v>32</v>
      </c>
      <c r="M2644" t="s">
        <v>33</v>
      </c>
      <c r="P2644" s="1" t="s">
        <v>9478</v>
      </c>
      <c r="Q2644" s="1" t="s">
        <v>9112</v>
      </c>
      <c r="R2644" s="1" t="s">
        <v>9112</v>
      </c>
      <c r="S2644" s="1"/>
      <c r="T2644" s="1" t="s">
        <v>125</v>
      </c>
      <c r="U2644" s="1"/>
      <c r="V2644" s="1">
        <v>4.298</v>
      </c>
      <c r="W2644" s="1">
        <v>4.298</v>
      </c>
      <c r="X2644" s="1" t="s">
        <v>35</v>
      </c>
      <c r="Y2644" s="1">
        <v>4298.0</v>
      </c>
      <c r="Z2644" s="1"/>
      <c r="AA2644" s="1">
        <v>4298.0</v>
      </c>
      <c r="AB2644" s="1"/>
      <c r="AC2644" s="1" t="s">
        <v>36</v>
      </c>
      <c r="AD2644" s="1" t="s">
        <v>9479</v>
      </c>
      <c r="AE2644" s="1" t="s">
        <v>32</v>
      </c>
      <c r="AF2644" s="1" t="s">
        <v>33</v>
      </c>
      <c r="AG2644" s="1" t="s">
        <v>127</v>
      </c>
    </row>
    <row r="2645" spans="1:33">
      <c r="A2645" t="s">
        <v>9480</v>
      </c>
      <c r="B2645" t="s">
        <v>496</v>
      </c>
      <c r="C2645" t="s">
        <v>68</v>
      </c>
      <c r="E2645" t="s">
        <v>9112</v>
      </c>
      <c r="F2645" t="s">
        <v>9113</v>
      </c>
      <c r="G2645">
        <v>80.97</v>
      </c>
      <c r="H2645">
        <v>80.97</v>
      </c>
      <c r="I2645" t="s">
        <v>59</v>
      </c>
      <c r="J2645" t="s">
        <v>60</v>
      </c>
      <c r="K2645" t="s">
        <v>31</v>
      </c>
      <c r="L2645" t="s">
        <v>32</v>
      </c>
      <c r="M2645" t="s">
        <v>33</v>
      </c>
      <c r="P2645" s="1" t="s">
        <v>9481</v>
      </c>
      <c r="Q2645" s="1" t="s">
        <v>9112</v>
      </c>
      <c r="R2645" s="1" t="s">
        <v>9112</v>
      </c>
      <c r="S2645" s="1"/>
      <c r="T2645" s="1" t="s">
        <v>68</v>
      </c>
      <c r="U2645" s="1"/>
      <c r="V2645" s="1">
        <v>80.97</v>
      </c>
      <c r="W2645" s="1">
        <v>80.97</v>
      </c>
      <c r="X2645" s="1" t="s">
        <v>35</v>
      </c>
      <c r="Y2645" s="1">
        <v>80970.0</v>
      </c>
      <c r="Z2645" s="1"/>
      <c r="AA2645" s="1">
        <v>80970.0</v>
      </c>
      <c r="AB2645" s="1"/>
      <c r="AC2645" s="1" t="s">
        <v>36</v>
      </c>
      <c r="AD2645" s="1" t="s">
        <v>9475</v>
      </c>
      <c r="AE2645" s="1" t="s">
        <v>32</v>
      </c>
      <c r="AF2645" s="1" t="s">
        <v>33</v>
      </c>
      <c r="AG2645" s="1" t="s">
        <v>60</v>
      </c>
    </row>
    <row r="2646" spans="1:33">
      <c r="A2646" t="s">
        <v>9482</v>
      </c>
      <c r="C2646" t="s">
        <v>382</v>
      </c>
      <c r="E2646" t="s">
        <v>9112</v>
      </c>
      <c r="F2646" t="s">
        <v>9113</v>
      </c>
      <c r="G2646">
        <v>1.366</v>
      </c>
      <c r="H2646">
        <v>1.366</v>
      </c>
      <c r="I2646" t="s">
        <v>40</v>
      </c>
      <c r="J2646" t="s">
        <v>41</v>
      </c>
      <c r="K2646" t="s">
        <v>31</v>
      </c>
      <c r="L2646" t="s">
        <v>32</v>
      </c>
      <c r="M2646" t="s">
        <v>33</v>
      </c>
      <c r="P2646" s="1" t="s">
        <v>9483</v>
      </c>
      <c r="Q2646" s="1" t="s">
        <v>9112</v>
      </c>
      <c r="R2646" s="1" t="s">
        <v>9115</v>
      </c>
      <c r="S2646" s="1"/>
      <c r="T2646" s="1" t="s">
        <v>382</v>
      </c>
      <c r="U2646" s="1"/>
      <c r="V2646" s="1">
        <v>1.366</v>
      </c>
      <c r="W2646" s="1">
        <v>1.366</v>
      </c>
      <c r="X2646" s="1" t="s">
        <v>35</v>
      </c>
      <c r="Y2646" s="1">
        <v>1366000.0</v>
      </c>
      <c r="Z2646" s="1"/>
      <c r="AA2646" s="1">
        <v>1366000.0</v>
      </c>
      <c r="AB2646" s="1"/>
      <c r="AC2646" s="1" t="s">
        <v>36</v>
      </c>
      <c r="AD2646" s="1" t="s">
        <v>9484</v>
      </c>
      <c r="AE2646" s="1" t="s">
        <v>32</v>
      </c>
      <c r="AF2646" s="1" t="s">
        <v>33</v>
      </c>
      <c r="AG2646" s="1" t="s">
        <v>41</v>
      </c>
    </row>
    <row r="2647" spans="1:33">
      <c r="A2647" t="s">
        <v>9485</v>
      </c>
      <c r="C2647" t="s">
        <v>1892</v>
      </c>
      <c r="E2647" t="s">
        <v>9112</v>
      </c>
      <c r="F2647" t="s">
        <v>9113</v>
      </c>
      <c r="G2647">
        <v>785.0</v>
      </c>
      <c r="H2647">
        <v>785.0</v>
      </c>
      <c r="I2647" t="s">
        <v>40</v>
      </c>
      <c r="J2647" t="s">
        <v>41</v>
      </c>
      <c r="K2647" t="s">
        <v>31</v>
      </c>
      <c r="L2647" t="s">
        <v>32</v>
      </c>
      <c r="M2647" t="s">
        <v>33</v>
      </c>
      <c r="P2647" s="1" t="s">
        <v>9486</v>
      </c>
      <c r="Q2647" s="1" t="s">
        <v>9112</v>
      </c>
      <c r="R2647" s="1" t="s">
        <v>9115</v>
      </c>
      <c r="S2647" s="1"/>
      <c r="T2647" s="1" t="s">
        <v>1892</v>
      </c>
      <c r="U2647" s="1"/>
      <c r="V2647" s="1">
        <v>785.0</v>
      </c>
      <c r="W2647" s="1">
        <v>785.0</v>
      </c>
      <c r="X2647" s="1" t="s">
        <v>35</v>
      </c>
      <c r="Y2647" s="1">
        <v>785000.0</v>
      </c>
      <c r="Z2647" s="1"/>
      <c r="AA2647" s="1">
        <v>785000.0</v>
      </c>
      <c r="AB2647" s="1"/>
      <c r="AC2647" s="1" t="s">
        <v>36</v>
      </c>
      <c r="AD2647" s="1" t="s">
        <v>9487</v>
      </c>
      <c r="AE2647" s="1" t="s">
        <v>32</v>
      </c>
      <c r="AF2647" s="1" t="s">
        <v>33</v>
      </c>
      <c r="AG2647" s="1" t="s">
        <v>41</v>
      </c>
    </row>
    <row r="2648" spans="1:33">
      <c r="A2648" t="s">
        <v>9488</v>
      </c>
      <c r="C2648" t="s">
        <v>1244</v>
      </c>
      <c r="E2648" t="s">
        <v>9112</v>
      </c>
      <c r="F2648" t="s">
        <v>9113</v>
      </c>
      <c r="G2648">
        <v>110.91</v>
      </c>
      <c r="H2648">
        <v>110.91</v>
      </c>
      <c r="I2648" t="s">
        <v>179</v>
      </c>
      <c r="J2648" t="s">
        <v>180</v>
      </c>
      <c r="K2648" t="s">
        <v>31</v>
      </c>
      <c r="L2648" t="s">
        <v>32</v>
      </c>
      <c r="M2648" t="s">
        <v>33</v>
      </c>
      <c r="P2648" s="1" t="s">
        <v>9489</v>
      </c>
      <c r="Q2648" s="1" t="s">
        <v>9112</v>
      </c>
      <c r="R2648" s="1" t="s">
        <v>9112</v>
      </c>
      <c r="S2648" s="1"/>
      <c r="T2648" s="1" t="s">
        <v>1244</v>
      </c>
      <c r="U2648" s="1"/>
      <c r="V2648" s="1">
        <v>110.91</v>
      </c>
      <c r="W2648" s="1">
        <v>110.91</v>
      </c>
      <c r="X2648" s="1" t="s">
        <v>35</v>
      </c>
      <c r="Y2648" s="1">
        <v>110910.0</v>
      </c>
      <c r="Z2648" s="1"/>
      <c r="AA2648" s="1">
        <v>110910.0</v>
      </c>
      <c r="AB2648" s="1"/>
      <c r="AC2648" s="1" t="s">
        <v>36</v>
      </c>
      <c r="AD2648" s="1" t="s">
        <v>9490</v>
      </c>
      <c r="AE2648" s="1" t="s">
        <v>32</v>
      </c>
      <c r="AF2648" s="1" t="s">
        <v>33</v>
      </c>
      <c r="AG2648" s="1" t="s">
        <v>180</v>
      </c>
    </row>
    <row r="2649" spans="1:33">
      <c r="A2649" t="s">
        <v>9491</v>
      </c>
      <c r="C2649" t="s">
        <v>558</v>
      </c>
      <c r="D2649" t="s">
        <v>154</v>
      </c>
      <c r="E2649" t="s">
        <v>9112</v>
      </c>
      <c r="F2649" t="s">
        <v>9113</v>
      </c>
      <c r="G2649">
        <v>328.0</v>
      </c>
      <c r="H2649">
        <v>328.0</v>
      </c>
      <c r="I2649" t="s">
        <v>269</v>
      </c>
      <c r="J2649" t="s">
        <v>270</v>
      </c>
      <c r="K2649" t="s">
        <v>31</v>
      </c>
      <c r="L2649" t="s">
        <v>32</v>
      </c>
      <c r="M2649" t="s">
        <v>33</v>
      </c>
      <c r="P2649" s="1" t="s">
        <v>9492</v>
      </c>
      <c r="Q2649" s="1" t="s">
        <v>9112</v>
      </c>
      <c r="R2649" s="1" t="s">
        <v>9112</v>
      </c>
      <c r="S2649" s="1"/>
      <c r="T2649" s="1" t="s">
        <v>560</v>
      </c>
      <c r="U2649" s="1" t="s">
        <v>561</v>
      </c>
      <c r="V2649" s="1">
        <v>328.0</v>
      </c>
      <c r="W2649" s="1">
        <v>328.0</v>
      </c>
      <c r="X2649" s="1" t="s">
        <v>35</v>
      </c>
      <c r="Y2649" s="1">
        <v>328000.0</v>
      </c>
      <c r="Z2649" s="1"/>
      <c r="AA2649" s="1">
        <v>328000.0</v>
      </c>
      <c r="AB2649" s="1"/>
      <c r="AC2649" s="1" t="s">
        <v>36</v>
      </c>
      <c r="AD2649" s="1" t="s">
        <v>9493</v>
      </c>
      <c r="AE2649" s="1" t="s">
        <v>32</v>
      </c>
      <c r="AF2649" s="1" t="s">
        <v>33</v>
      </c>
      <c r="AG2649" s="1" t="s">
        <v>270</v>
      </c>
    </row>
    <row r="2650" spans="1:33">
      <c r="A2650" t="s">
        <v>9494</v>
      </c>
      <c r="C2650" t="s">
        <v>1408</v>
      </c>
      <c r="E2650" t="s">
        <v>9112</v>
      </c>
      <c r="F2650" t="s">
        <v>9113</v>
      </c>
      <c r="G2650">
        <v>336.0</v>
      </c>
      <c r="H2650">
        <v>336.0</v>
      </c>
      <c r="I2650" t="s">
        <v>48</v>
      </c>
      <c r="J2650" t="s">
        <v>49</v>
      </c>
      <c r="K2650" t="s">
        <v>31</v>
      </c>
      <c r="L2650" t="s">
        <v>32</v>
      </c>
      <c r="M2650" t="s">
        <v>33</v>
      </c>
      <c r="P2650" s="1" t="s">
        <v>9495</v>
      </c>
      <c r="Q2650" s="1" t="s">
        <v>9112</v>
      </c>
      <c r="R2650" s="1" t="s">
        <v>9112</v>
      </c>
      <c r="S2650" s="1"/>
      <c r="T2650" s="1" t="s">
        <v>1408</v>
      </c>
      <c r="U2650" s="1"/>
      <c r="V2650" s="1">
        <v>336.0</v>
      </c>
      <c r="W2650" s="1">
        <v>336.0</v>
      </c>
      <c r="X2650" s="1" t="s">
        <v>35</v>
      </c>
      <c r="Y2650" s="1">
        <v>336000.0</v>
      </c>
      <c r="Z2650" s="1"/>
      <c r="AA2650" s="1">
        <v>336000.0</v>
      </c>
      <c r="AB2650" s="1"/>
      <c r="AC2650" s="1" t="s">
        <v>36</v>
      </c>
      <c r="AD2650" s="1" t="s">
        <v>9490</v>
      </c>
      <c r="AE2650" s="1" t="s">
        <v>32</v>
      </c>
      <c r="AF2650" s="1" t="s">
        <v>33</v>
      </c>
      <c r="AG2650" s="1" t="s">
        <v>49</v>
      </c>
    </row>
    <row r="2651" spans="1:33">
      <c r="A2651" t="s">
        <v>9496</v>
      </c>
      <c r="B2651" t="s">
        <v>9497</v>
      </c>
      <c r="C2651" t="s">
        <v>47</v>
      </c>
      <c r="E2651" t="s">
        <v>9112</v>
      </c>
      <c r="F2651" t="s">
        <v>9113</v>
      </c>
      <c r="G2651">
        <v>8.0</v>
      </c>
      <c r="H2651">
        <v>8.0</v>
      </c>
      <c r="I2651" t="s">
        <v>48</v>
      </c>
      <c r="J2651" t="s">
        <v>49</v>
      </c>
      <c r="K2651" t="s">
        <v>31</v>
      </c>
      <c r="L2651" t="s">
        <v>32</v>
      </c>
      <c r="M2651" t="s">
        <v>33</v>
      </c>
      <c r="P2651" s="1" t="s">
        <v>9498</v>
      </c>
      <c r="Q2651" s="1" t="s">
        <v>9112</v>
      </c>
      <c r="R2651" s="1" t="s">
        <v>9112</v>
      </c>
      <c r="S2651" s="1"/>
      <c r="T2651" s="1" t="s">
        <v>47</v>
      </c>
      <c r="U2651" s="1"/>
      <c r="V2651" s="1">
        <v>8.0</v>
      </c>
      <c r="W2651" s="1">
        <v>8.0</v>
      </c>
      <c r="X2651" s="1" t="s">
        <v>35</v>
      </c>
      <c r="Y2651" s="1">
        <v>8000.0</v>
      </c>
      <c r="Z2651" s="1"/>
      <c r="AA2651" s="1">
        <v>8000.0</v>
      </c>
      <c r="AB2651" s="1"/>
      <c r="AC2651" s="1" t="s">
        <v>36</v>
      </c>
      <c r="AD2651" s="1" t="s">
        <v>9499</v>
      </c>
      <c r="AE2651" s="1" t="s">
        <v>32</v>
      </c>
      <c r="AF2651" s="1" t="s">
        <v>33</v>
      </c>
      <c r="AG2651" s="1" t="s">
        <v>49</v>
      </c>
    </row>
    <row r="2652" spans="1:33">
      <c r="A2652" t="s">
        <v>9500</v>
      </c>
      <c r="C2652" t="s">
        <v>806</v>
      </c>
      <c r="D2652" t="s">
        <v>154</v>
      </c>
      <c r="E2652" t="s">
        <v>9112</v>
      </c>
      <c r="F2652" t="s">
        <v>9113</v>
      </c>
      <c r="G2652">
        <v>1.64</v>
      </c>
      <c r="H2652">
        <v>1.64</v>
      </c>
      <c r="I2652" t="s">
        <v>269</v>
      </c>
      <c r="J2652" t="s">
        <v>270</v>
      </c>
      <c r="K2652" t="s">
        <v>31</v>
      </c>
      <c r="L2652" t="s">
        <v>32</v>
      </c>
      <c r="M2652" t="s">
        <v>33</v>
      </c>
      <c r="P2652" s="1" t="s">
        <v>9501</v>
      </c>
      <c r="Q2652" s="1" t="s">
        <v>9112</v>
      </c>
      <c r="R2652" s="1" t="s">
        <v>9112</v>
      </c>
      <c r="S2652" s="1"/>
      <c r="T2652" s="1" t="s">
        <v>806</v>
      </c>
      <c r="U2652" s="1"/>
      <c r="V2652" s="1">
        <v>1.64</v>
      </c>
      <c r="W2652" s="1">
        <v>1.64</v>
      </c>
      <c r="X2652" s="1" t="s">
        <v>35</v>
      </c>
      <c r="Y2652" s="1">
        <v>1640000.0</v>
      </c>
      <c r="Z2652" s="1"/>
      <c r="AA2652" s="1">
        <v>1640000.0</v>
      </c>
      <c r="AB2652" s="1"/>
      <c r="AC2652" s="1" t="s">
        <v>36</v>
      </c>
      <c r="AD2652" s="1" t="s">
        <v>9484</v>
      </c>
      <c r="AE2652" s="1" t="s">
        <v>32</v>
      </c>
      <c r="AF2652" s="1" t="s">
        <v>33</v>
      </c>
      <c r="AG2652" s="1" t="s">
        <v>270</v>
      </c>
    </row>
    <row r="2653" spans="1:33">
      <c r="A2653" t="s">
        <v>9502</v>
      </c>
      <c r="B2653" t="s">
        <v>9503</v>
      </c>
      <c r="C2653" t="s">
        <v>1416</v>
      </c>
      <c r="E2653" t="s">
        <v>9112</v>
      </c>
      <c r="F2653" t="s">
        <v>9113</v>
      </c>
      <c r="G2653">
        <v>630.0</v>
      </c>
      <c r="H2653">
        <v>630.0</v>
      </c>
      <c r="I2653" t="s">
        <v>40</v>
      </c>
      <c r="J2653" t="s">
        <v>41</v>
      </c>
      <c r="K2653" t="s">
        <v>31</v>
      </c>
      <c r="L2653" t="s">
        <v>32</v>
      </c>
      <c r="M2653" t="s">
        <v>33</v>
      </c>
      <c r="P2653" s="1" t="s">
        <v>9504</v>
      </c>
      <c r="Q2653" s="1" t="s">
        <v>9112</v>
      </c>
      <c r="R2653" s="1" t="s">
        <v>9115</v>
      </c>
      <c r="S2653" s="1"/>
      <c r="T2653" s="1" t="s">
        <v>1416</v>
      </c>
      <c r="U2653" s="1"/>
      <c r="V2653" s="1">
        <v>630.0</v>
      </c>
      <c r="W2653" s="1">
        <v>630.0</v>
      </c>
      <c r="X2653" s="1" t="s">
        <v>35</v>
      </c>
      <c r="Y2653" s="1">
        <v>630000.0</v>
      </c>
      <c r="Z2653" s="1"/>
      <c r="AA2653" s="1">
        <v>630000.0</v>
      </c>
      <c r="AB2653" s="1"/>
      <c r="AC2653" s="1" t="s">
        <v>36</v>
      </c>
      <c r="AD2653" s="1" t="s">
        <v>9505</v>
      </c>
      <c r="AE2653" s="1" t="s">
        <v>32</v>
      </c>
      <c r="AF2653" s="1" t="s">
        <v>33</v>
      </c>
      <c r="AG2653" s="1" t="s">
        <v>41</v>
      </c>
    </row>
    <row r="2654" spans="1:33">
      <c r="A2654" t="s">
        <v>9506</v>
      </c>
      <c r="B2654" t="s">
        <v>9507</v>
      </c>
      <c r="C2654" t="s">
        <v>172</v>
      </c>
      <c r="E2654" t="s">
        <v>9112</v>
      </c>
      <c r="F2654" t="s">
        <v>9113</v>
      </c>
      <c r="G2654">
        <v>243.422</v>
      </c>
      <c r="H2654">
        <v>243.422</v>
      </c>
      <c r="I2654" t="s">
        <v>173</v>
      </c>
      <c r="J2654" t="s">
        <v>174</v>
      </c>
      <c r="K2654" t="s">
        <v>31</v>
      </c>
      <c r="L2654" t="s">
        <v>32</v>
      </c>
      <c r="M2654" t="s">
        <v>33</v>
      </c>
      <c r="P2654" s="1" t="s">
        <v>9508</v>
      </c>
      <c r="Q2654" s="1" t="s">
        <v>9112</v>
      </c>
      <c r="R2654" s="1" t="s">
        <v>9112</v>
      </c>
      <c r="S2654" s="1"/>
      <c r="T2654" s="1" t="s">
        <v>172</v>
      </c>
      <c r="U2654" s="1"/>
      <c r="V2654" s="1">
        <v>243.422</v>
      </c>
      <c r="W2654" s="1">
        <v>243.422</v>
      </c>
      <c r="X2654" s="1" t="s">
        <v>35</v>
      </c>
      <c r="Y2654" s="1">
        <v>243422.0</v>
      </c>
      <c r="Z2654" s="1"/>
      <c r="AA2654" s="1">
        <v>243422.0</v>
      </c>
      <c r="AB2654" s="1"/>
      <c r="AC2654" s="1" t="s">
        <v>36</v>
      </c>
      <c r="AD2654" s="1" t="s">
        <v>9509</v>
      </c>
      <c r="AE2654" s="1" t="s">
        <v>32</v>
      </c>
      <c r="AF2654" s="1" t="s">
        <v>33</v>
      </c>
      <c r="AG2654" s="1" t="s">
        <v>174</v>
      </c>
    </row>
    <row r="2655" spans="1:33">
      <c r="A2655" t="s">
        <v>9510</v>
      </c>
      <c r="B2655" t="s">
        <v>9511</v>
      </c>
      <c r="C2655" t="s">
        <v>47</v>
      </c>
      <c r="E2655" t="s">
        <v>9112</v>
      </c>
      <c r="F2655" t="s">
        <v>9113</v>
      </c>
      <c r="G2655">
        <v>80.98</v>
      </c>
      <c r="H2655">
        <v>80.98</v>
      </c>
      <c r="I2655" t="s">
        <v>48</v>
      </c>
      <c r="J2655" t="s">
        <v>49</v>
      </c>
      <c r="K2655" t="s">
        <v>31</v>
      </c>
      <c r="L2655" t="s">
        <v>32</v>
      </c>
      <c r="M2655" t="s">
        <v>33</v>
      </c>
      <c r="P2655" s="1" t="s">
        <v>9512</v>
      </c>
      <c r="Q2655" s="1" t="s">
        <v>9112</v>
      </c>
      <c r="R2655" s="1" t="s">
        <v>9112</v>
      </c>
      <c r="S2655" s="1"/>
      <c r="T2655" s="1" t="s">
        <v>47</v>
      </c>
      <c r="U2655" s="1"/>
      <c r="V2655" s="1">
        <v>80.98</v>
      </c>
      <c r="W2655" s="1">
        <v>80.98</v>
      </c>
      <c r="X2655" s="1" t="s">
        <v>35</v>
      </c>
      <c r="Y2655" s="1">
        <v>80980.0</v>
      </c>
      <c r="Z2655" s="1"/>
      <c r="AA2655" s="1">
        <v>80980.0</v>
      </c>
      <c r="AB2655" s="1"/>
      <c r="AC2655" s="1" t="s">
        <v>36</v>
      </c>
      <c r="AD2655" s="1" t="s">
        <v>9513</v>
      </c>
      <c r="AE2655" s="1" t="s">
        <v>32</v>
      </c>
      <c r="AF2655" s="1" t="s">
        <v>33</v>
      </c>
      <c r="AG2655" s="1" t="s">
        <v>49</v>
      </c>
    </row>
    <row r="2656" spans="1:33">
      <c r="A2656" t="s">
        <v>9514</v>
      </c>
      <c r="C2656" t="s">
        <v>2695</v>
      </c>
      <c r="E2656" t="s">
        <v>9112</v>
      </c>
      <c r="F2656" t="s">
        <v>9113</v>
      </c>
      <c r="G2656">
        <v>515.75</v>
      </c>
      <c r="H2656">
        <v>515.75</v>
      </c>
      <c r="I2656" t="s">
        <v>179</v>
      </c>
      <c r="J2656" t="s">
        <v>180</v>
      </c>
      <c r="K2656" t="s">
        <v>31</v>
      </c>
      <c r="L2656" t="s">
        <v>32</v>
      </c>
      <c r="M2656" t="s">
        <v>33</v>
      </c>
      <c r="P2656" s="1" t="s">
        <v>9515</v>
      </c>
      <c r="Q2656" s="1" t="s">
        <v>9112</v>
      </c>
      <c r="R2656" s="1" t="s">
        <v>9112</v>
      </c>
      <c r="S2656" s="1"/>
      <c r="T2656" s="1" t="s">
        <v>2697</v>
      </c>
      <c r="U2656" s="1" t="s">
        <v>2698</v>
      </c>
      <c r="V2656" s="1">
        <v>515.75</v>
      </c>
      <c r="W2656" s="1">
        <v>515.75</v>
      </c>
      <c r="X2656" s="1" t="s">
        <v>35</v>
      </c>
      <c r="Y2656" s="1">
        <v>515750.0</v>
      </c>
      <c r="Z2656" s="1"/>
      <c r="AA2656" s="1">
        <v>515750.0</v>
      </c>
      <c r="AB2656" s="1"/>
      <c r="AC2656" s="1" t="s">
        <v>36</v>
      </c>
      <c r="AD2656" s="1" t="s">
        <v>9516</v>
      </c>
      <c r="AE2656" s="1" t="s">
        <v>32</v>
      </c>
      <c r="AF2656" s="1" t="s">
        <v>33</v>
      </c>
      <c r="AG2656" s="1" t="s">
        <v>180</v>
      </c>
    </row>
    <row r="2657" spans="1:33">
      <c r="A2657" t="s">
        <v>9517</v>
      </c>
      <c r="B2657" t="s">
        <v>2672</v>
      </c>
      <c r="C2657" t="s">
        <v>2673</v>
      </c>
      <c r="E2657" t="s">
        <v>9112</v>
      </c>
      <c r="F2657" t="s">
        <v>9113</v>
      </c>
      <c r="G2657">
        <v>999.5</v>
      </c>
      <c r="H2657">
        <v>999.5</v>
      </c>
      <c r="I2657" t="s">
        <v>40</v>
      </c>
      <c r="J2657" t="s">
        <v>41</v>
      </c>
      <c r="K2657" t="s">
        <v>31</v>
      </c>
      <c r="L2657" t="s">
        <v>32</v>
      </c>
      <c r="M2657" t="s">
        <v>33</v>
      </c>
      <c r="P2657" s="1" t="s">
        <v>9518</v>
      </c>
      <c r="Q2657" s="1" t="s">
        <v>9112</v>
      </c>
      <c r="R2657" s="1" t="s">
        <v>9115</v>
      </c>
      <c r="S2657" s="1"/>
      <c r="T2657" s="1" t="s">
        <v>2673</v>
      </c>
      <c r="U2657" s="1"/>
      <c r="V2657" s="1">
        <v>999.5</v>
      </c>
      <c r="W2657" s="1">
        <v>999.5</v>
      </c>
      <c r="X2657" s="1" t="s">
        <v>35</v>
      </c>
      <c r="Y2657" s="1">
        <v>999500.0</v>
      </c>
      <c r="Z2657" s="1"/>
      <c r="AA2657" s="1">
        <v>999500.0</v>
      </c>
      <c r="AB2657" s="1"/>
      <c r="AC2657" s="1" t="s">
        <v>36</v>
      </c>
      <c r="AD2657" s="1" t="s">
        <v>9519</v>
      </c>
      <c r="AE2657" s="1" t="s">
        <v>32</v>
      </c>
      <c r="AF2657" s="1" t="s">
        <v>33</v>
      </c>
      <c r="AG2657" s="1" t="s">
        <v>41</v>
      </c>
    </row>
    <row r="2658" spans="1:33">
      <c r="A2658" t="s">
        <v>9520</v>
      </c>
      <c r="C2658" t="s">
        <v>2588</v>
      </c>
      <c r="E2658" t="s">
        <v>9112</v>
      </c>
      <c r="F2658" t="s">
        <v>9113</v>
      </c>
      <c r="G2658">
        <v>681.5</v>
      </c>
      <c r="H2658">
        <v>681.5</v>
      </c>
      <c r="I2658" t="s">
        <v>269</v>
      </c>
      <c r="J2658" t="s">
        <v>270</v>
      </c>
      <c r="K2658" t="s">
        <v>31</v>
      </c>
      <c r="L2658" t="s">
        <v>32</v>
      </c>
      <c r="M2658" t="s">
        <v>33</v>
      </c>
      <c r="P2658" s="1" t="s">
        <v>9521</v>
      </c>
      <c r="Q2658" s="1" t="s">
        <v>9112</v>
      </c>
      <c r="R2658" s="1" t="s">
        <v>9112</v>
      </c>
      <c r="S2658" s="1"/>
      <c r="T2658" s="1" t="s">
        <v>2588</v>
      </c>
      <c r="U2658" s="1"/>
      <c r="V2658" s="1">
        <v>681.5</v>
      </c>
      <c r="W2658" s="1">
        <v>681.5</v>
      </c>
      <c r="X2658" s="1" t="s">
        <v>35</v>
      </c>
      <c r="Y2658" s="1">
        <v>681500.0</v>
      </c>
      <c r="Z2658" s="1"/>
      <c r="AA2658" s="1">
        <v>681500.0</v>
      </c>
      <c r="AB2658" s="1"/>
      <c r="AC2658" s="1" t="s">
        <v>36</v>
      </c>
      <c r="AD2658" s="1" t="s">
        <v>9522</v>
      </c>
      <c r="AE2658" s="1" t="s">
        <v>32</v>
      </c>
      <c r="AF2658" s="1" t="s">
        <v>33</v>
      </c>
      <c r="AG2658" s="1" t="s">
        <v>270</v>
      </c>
    </row>
    <row r="2659" spans="1:33">
      <c r="A2659" t="s">
        <v>9523</v>
      </c>
      <c r="B2659" t="s">
        <v>1924</v>
      </c>
      <c r="C2659" t="s">
        <v>73</v>
      </c>
      <c r="E2659" t="s">
        <v>9112</v>
      </c>
      <c r="F2659" t="s">
        <v>9113</v>
      </c>
      <c r="G2659">
        <v>1.95</v>
      </c>
      <c r="H2659">
        <v>1.95</v>
      </c>
      <c r="I2659" t="s">
        <v>40</v>
      </c>
      <c r="J2659" t="s">
        <v>41</v>
      </c>
      <c r="K2659" t="s">
        <v>31</v>
      </c>
      <c r="L2659" t="s">
        <v>32</v>
      </c>
      <c r="M2659" t="s">
        <v>33</v>
      </c>
      <c r="P2659" s="1" t="s">
        <v>9524</v>
      </c>
      <c r="Q2659" s="1" t="s">
        <v>9112</v>
      </c>
      <c r="R2659" s="1" t="s">
        <v>9115</v>
      </c>
      <c r="S2659" s="1"/>
      <c r="T2659" s="1" t="s">
        <v>75</v>
      </c>
      <c r="U2659" s="1" t="s">
        <v>76</v>
      </c>
      <c r="V2659" s="1">
        <v>1.95</v>
      </c>
      <c r="W2659" s="1">
        <v>1.95</v>
      </c>
      <c r="X2659" s="1" t="s">
        <v>35</v>
      </c>
      <c r="Y2659" s="1">
        <v>1950.0</v>
      </c>
      <c r="Z2659" s="1"/>
      <c r="AA2659" s="1">
        <v>1950.0</v>
      </c>
      <c r="AB2659" s="1"/>
      <c r="AC2659" s="1" t="s">
        <v>36</v>
      </c>
      <c r="AD2659" s="1" t="s">
        <v>9525</v>
      </c>
      <c r="AE2659" s="1" t="s">
        <v>32</v>
      </c>
      <c r="AF2659" s="1" t="s">
        <v>33</v>
      </c>
      <c r="AG2659" s="1" t="s">
        <v>41</v>
      </c>
    </row>
    <row r="2660" spans="1:33">
      <c r="A2660" t="s">
        <v>9526</v>
      </c>
      <c r="B2660" t="s">
        <v>9527</v>
      </c>
      <c r="C2660" t="s">
        <v>172</v>
      </c>
      <c r="E2660" t="s">
        <v>9112</v>
      </c>
      <c r="F2660" t="s">
        <v>9113</v>
      </c>
      <c r="G2660">
        <v>14.88</v>
      </c>
      <c r="H2660">
        <v>14.88</v>
      </c>
      <c r="I2660" t="s">
        <v>173</v>
      </c>
      <c r="J2660" t="s">
        <v>174</v>
      </c>
      <c r="K2660" t="s">
        <v>31</v>
      </c>
      <c r="L2660" t="s">
        <v>32</v>
      </c>
      <c r="M2660" t="s">
        <v>33</v>
      </c>
      <c r="P2660" s="1" t="s">
        <v>9528</v>
      </c>
      <c r="Q2660" s="1" t="s">
        <v>9112</v>
      </c>
      <c r="R2660" s="1" t="s">
        <v>9112</v>
      </c>
      <c r="S2660" s="1"/>
      <c r="T2660" s="1" t="s">
        <v>172</v>
      </c>
      <c r="U2660" s="1"/>
      <c r="V2660" s="1">
        <v>14.88</v>
      </c>
      <c r="W2660" s="1">
        <v>14.88</v>
      </c>
      <c r="X2660" s="1" t="s">
        <v>35</v>
      </c>
      <c r="Y2660" s="1">
        <v>14880.0</v>
      </c>
      <c r="Z2660" s="1"/>
      <c r="AA2660" s="1">
        <v>14880.0</v>
      </c>
      <c r="AB2660" s="1"/>
      <c r="AC2660" s="1" t="s">
        <v>36</v>
      </c>
      <c r="AD2660" s="1" t="s">
        <v>9529</v>
      </c>
      <c r="AE2660" s="1" t="s">
        <v>32</v>
      </c>
      <c r="AF2660" s="1" t="s">
        <v>33</v>
      </c>
      <c r="AG2660" s="1" t="s">
        <v>174</v>
      </c>
    </row>
    <row r="2661" spans="1:33">
      <c r="A2661" t="s">
        <v>9530</v>
      </c>
      <c r="B2661" t="s">
        <v>9531</v>
      </c>
      <c r="C2661" t="s">
        <v>73</v>
      </c>
      <c r="E2661" t="s">
        <v>9112</v>
      </c>
      <c r="F2661" t="s">
        <v>9113</v>
      </c>
      <c r="G2661">
        <v>36.49</v>
      </c>
      <c r="H2661">
        <v>36.49</v>
      </c>
      <c r="I2661" t="s">
        <v>40</v>
      </c>
      <c r="J2661" t="s">
        <v>41</v>
      </c>
      <c r="K2661" t="s">
        <v>31</v>
      </c>
      <c r="L2661" t="s">
        <v>32</v>
      </c>
      <c r="M2661" t="s">
        <v>33</v>
      </c>
      <c r="P2661" s="1" t="s">
        <v>9532</v>
      </c>
      <c r="Q2661" s="1" t="s">
        <v>9112</v>
      </c>
      <c r="R2661" s="1" t="s">
        <v>9115</v>
      </c>
      <c r="S2661" s="1"/>
      <c r="T2661" s="1" t="s">
        <v>75</v>
      </c>
      <c r="U2661" s="1" t="s">
        <v>76</v>
      </c>
      <c r="V2661" s="1">
        <v>36.49</v>
      </c>
      <c r="W2661" s="1">
        <v>36.49</v>
      </c>
      <c r="X2661" s="1" t="s">
        <v>35</v>
      </c>
      <c r="Y2661" s="1">
        <v>36490.0</v>
      </c>
      <c r="Z2661" s="1"/>
      <c r="AA2661" s="1">
        <v>36490.0</v>
      </c>
      <c r="AB2661" s="1"/>
      <c r="AC2661" s="1" t="s">
        <v>36</v>
      </c>
      <c r="AD2661" s="1" t="s">
        <v>9533</v>
      </c>
      <c r="AE2661" s="1" t="s">
        <v>32</v>
      </c>
      <c r="AF2661" s="1" t="s">
        <v>33</v>
      </c>
      <c r="AG2661" s="1" t="s">
        <v>41</v>
      </c>
    </row>
    <row r="2662" spans="1:33">
      <c r="A2662" t="s">
        <v>9534</v>
      </c>
      <c r="B2662" t="s">
        <v>9535</v>
      </c>
      <c r="C2662" t="s">
        <v>569</v>
      </c>
      <c r="E2662" t="s">
        <v>9112</v>
      </c>
      <c r="F2662" t="s">
        <v>9113</v>
      </c>
      <c r="G2662">
        <v>46.28</v>
      </c>
      <c r="H2662">
        <v>46.28</v>
      </c>
      <c r="I2662" t="s">
        <v>570</v>
      </c>
      <c r="J2662" t="s">
        <v>571</v>
      </c>
      <c r="K2662" t="s">
        <v>31</v>
      </c>
      <c r="L2662" t="s">
        <v>32</v>
      </c>
      <c r="M2662" t="s">
        <v>33</v>
      </c>
      <c r="P2662" s="1" t="s">
        <v>9536</v>
      </c>
      <c r="Q2662" s="1" t="s">
        <v>9112</v>
      </c>
      <c r="R2662" s="1" t="s">
        <v>9112</v>
      </c>
      <c r="S2662" s="1"/>
      <c r="T2662" s="1" t="s">
        <v>569</v>
      </c>
      <c r="U2662" s="1"/>
      <c r="V2662" s="1">
        <v>46.28</v>
      </c>
      <c r="W2662" s="1">
        <v>46.28</v>
      </c>
      <c r="X2662" s="1" t="s">
        <v>35</v>
      </c>
      <c r="Y2662" s="1">
        <v>46280.0</v>
      </c>
      <c r="Z2662" s="1"/>
      <c r="AA2662" s="1">
        <v>46280.0</v>
      </c>
      <c r="AB2662" s="1"/>
      <c r="AC2662" s="1" t="s">
        <v>36</v>
      </c>
      <c r="AD2662" s="1" t="s">
        <v>9537</v>
      </c>
      <c r="AE2662" s="1" t="s">
        <v>32</v>
      </c>
      <c r="AF2662" s="1" t="s">
        <v>33</v>
      </c>
      <c r="AG2662" s="1" t="s">
        <v>571</v>
      </c>
    </row>
    <row r="2663" spans="1:33">
      <c r="A2663" t="s">
        <v>9538</v>
      </c>
      <c r="C2663" t="s">
        <v>131</v>
      </c>
      <c r="E2663" t="s">
        <v>9112</v>
      </c>
      <c r="F2663" t="s">
        <v>9113</v>
      </c>
      <c r="G2663">
        <v>22.0</v>
      </c>
      <c r="H2663">
        <v>22.0</v>
      </c>
      <c r="I2663" t="s">
        <v>94</v>
      </c>
      <c r="J2663" t="s">
        <v>95</v>
      </c>
      <c r="K2663" t="s">
        <v>31</v>
      </c>
      <c r="L2663" t="s">
        <v>32</v>
      </c>
      <c r="M2663" t="s">
        <v>33</v>
      </c>
      <c r="P2663" s="1" t="s">
        <v>9539</v>
      </c>
      <c r="Q2663" s="1" t="s">
        <v>9112</v>
      </c>
      <c r="R2663" s="1" t="s">
        <v>9112</v>
      </c>
      <c r="S2663" s="1"/>
      <c r="T2663" s="1" t="s">
        <v>131</v>
      </c>
      <c r="U2663" s="1"/>
      <c r="V2663" s="1">
        <v>22.0</v>
      </c>
      <c r="W2663" s="1">
        <v>22.0</v>
      </c>
      <c r="X2663" s="1" t="s">
        <v>35</v>
      </c>
      <c r="Y2663" s="1">
        <v>22000.0</v>
      </c>
      <c r="Z2663" s="1"/>
      <c r="AA2663" s="1">
        <v>22000.0</v>
      </c>
      <c r="AB2663" s="1"/>
      <c r="AC2663" s="1" t="s">
        <v>36</v>
      </c>
      <c r="AD2663" s="1" t="s">
        <v>9540</v>
      </c>
      <c r="AE2663" s="1" t="s">
        <v>32</v>
      </c>
      <c r="AF2663" s="1" t="s">
        <v>33</v>
      </c>
      <c r="AG2663" s="1" t="s">
        <v>95</v>
      </c>
    </row>
    <row r="2664" spans="1:33">
      <c r="A2664" t="s">
        <v>9541</v>
      </c>
      <c r="C2664" t="s">
        <v>1443</v>
      </c>
      <c r="E2664" t="s">
        <v>9112</v>
      </c>
      <c r="F2664" t="s">
        <v>9113</v>
      </c>
      <c r="G2664">
        <v>40.0</v>
      </c>
      <c r="H2664">
        <v>40.0</v>
      </c>
      <c r="I2664" t="s">
        <v>94</v>
      </c>
      <c r="J2664" t="s">
        <v>95</v>
      </c>
      <c r="K2664" t="s">
        <v>31</v>
      </c>
      <c r="L2664" t="s">
        <v>32</v>
      </c>
      <c r="M2664" t="s">
        <v>33</v>
      </c>
      <c r="P2664" s="1" t="s">
        <v>9542</v>
      </c>
      <c r="Q2664" s="1" t="s">
        <v>9112</v>
      </c>
      <c r="R2664" s="1" t="s">
        <v>9112</v>
      </c>
      <c r="S2664" s="1"/>
      <c r="T2664" s="1" t="s">
        <v>1443</v>
      </c>
      <c r="U2664" s="1"/>
      <c r="V2664" s="1">
        <v>40.0</v>
      </c>
      <c r="W2664" s="1">
        <v>40.0</v>
      </c>
      <c r="X2664" s="1" t="s">
        <v>35</v>
      </c>
      <c r="Y2664" s="1">
        <v>40000.0</v>
      </c>
      <c r="Z2664" s="1"/>
      <c r="AA2664" s="1">
        <v>40000.0</v>
      </c>
      <c r="AB2664" s="1"/>
      <c r="AC2664" s="1" t="s">
        <v>36</v>
      </c>
      <c r="AD2664" s="1" t="s">
        <v>9543</v>
      </c>
      <c r="AE2664" s="1" t="s">
        <v>32</v>
      </c>
      <c r="AF2664" s="1" t="s">
        <v>33</v>
      </c>
      <c r="AG2664" s="1" t="s">
        <v>95</v>
      </c>
    </row>
    <row r="2665" spans="1:33">
      <c r="A2665" t="s">
        <v>9544</v>
      </c>
      <c r="B2665" t="s">
        <v>9545</v>
      </c>
      <c r="C2665" t="s">
        <v>131</v>
      </c>
      <c r="E2665" t="s">
        <v>9112</v>
      </c>
      <c r="F2665" t="s">
        <v>9113</v>
      </c>
      <c r="G2665">
        <v>4.08</v>
      </c>
      <c r="H2665">
        <v>4.08</v>
      </c>
      <c r="I2665" t="s">
        <v>94</v>
      </c>
      <c r="J2665" t="s">
        <v>95</v>
      </c>
      <c r="K2665" t="s">
        <v>31</v>
      </c>
      <c r="L2665" t="s">
        <v>32</v>
      </c>
      <c r="M2665" t="s">
        <v>33</v>
      </c>
      <c r="P2665" s="1" t="s">
        <v>9546</v>
      </c>
      <c r="Q2665" s="1" t="s">
        <v>9112</v>
      </c>
      <c r="R2665" s="1" t="s">
        <v>9112</v>
      </c>
      <c r="S2665" s="1"/>
      <c r="T2665" s="1" t="s">
        <v>131</v>
      </c>
      <c r="U2665" s="1"/>
      <c r="V2665" s="1">
        <v>4.08</v>
      </c>
      <c r="W2665" s="1">
        <v>4.08</v>
      </c>
      <c r="X2665" s="1" t="s">
        <v>35</v>
      </c>
      <c r="Y2665" s="1">
        <v>4080.0</v>
      </c>
      <c r="Z2665" s="1"/>
      <c r="AA2665" s="1">
        <v>4080.0</v>
      </c>
      <c r="AB2665" s="1"/>
      <c r="AC2665" s="1" t="s">
        <v>36</v>
      </c>
      <c r="AD2665" s="1" t="s">
        <v>9547</v>
      </c>
      <c r="AE2665" s="1" t="s">
        <v>32</v>
      </c>
      <c r="AF2665" s="1" t="s">
        <v>33</v>
      </c>
      <c r="AG2665" s="1" t="s">
        <v>95</v>
      </c>
    </row>
    <row r="2666" spans="1:33">
      <c r="A2666" t="s">
        <v>9548</v>
      </c>
      <c r="C2666" t="s">
        <v>4555</v>
      </c>
      <c r="E2666" t="s">
        <v>9112</v>
      </c>
      <c r="F2666" t="s">
        <v>9113</v>
      </c>
      <c r="G2666">
        <v>352.0</v>
      </c>
      <c r="H2666">
        <v>352.0</v>
      </c>
      <c r="I2666" t="s">
        <v>179</v>
      </c>
      <c r="J2666" t="s">
        <v>180</v>
      </c>
      <c r="K2666" t="s">
        <v>31</v>
      </c>
      <c r="L2666" t="s">
        <v>32</v>
      </c>
      <c r="M2666" t="s">
        <v>33</v>
      </c>
      <c r="P2666" s="1" t="s">
        <v>9549</v>
      </c>
      <c r="Q2666" s="1" t="s">
        <v>9112</v>
      </c>
      <c r="R2666" s="1" t="s">
        <v>9112</v>
      </c>
      <c r="S2666" s="1"/>
      <c r="T2666" s="1" t="s">
        <v>4555</v>
      </c>
      <c r="U2666" s="1"/>
      <c r="V2666" s="1">
        <v>352.0</v>
      </c>
      <c r="W2666" s="1">
        <v>352.0</v>
      </c>
      <c r="X2666" s="1" t="s">
        <v>35</v>
      </c>
      <c r="Y2666" s="1">
        <v>352000.0</v>
      </c>
      <c r="Z2666" s="1"/>
      <c r="AA2666" s="1">
        <v>352000.0</v>
      </c>
      <c r="AB2666" s="1"/>
      <c r="AC2666" s="1" t="s">
        <v>36</v>
      </c>
      <c r="AD2666" s="1" t="s">
        <v>9550</v>
      </c>
      <c r="AE2666" s="1" t="s">
        <v>32</v>
      </c>
      <c r="AF2666" s="1" t="s">
        <v>33</v>
      </c>
      <c r="AG2666" s="1" t="s">
        <v>180</v>
      </c>
    </row>
    <row r="2667" spans="1:33">
      <c r="A2667" t="s">
        <v>9551</v>
      </c>
      <c r="C2667" t="s">
        <v>9552</v>
      </c>
      <c r="E2667" t="s">
        <v>9112</v>
      </c>
      <c r="F2667" t="s">
        <v>9113</v>
      </c>
      <c r="G2667">
        <v>720.0</v>
      </c>
      <c r="H2667">
        <v>720.0</v>
      </c>
      <c r="I2667" t="s">
        <v>227</v>
      </c>
      <c r="J2667" t="s">
        <v>228</v>
      </c>
      <c r="K2667" t="s">
        <v>31</v>
      </c>
      <c r="L2667" t="s">
        <v>32</v>
      </c>
      <c r="M2667" t="s">
        <v>33</v>
      </c>
      <c r="P2667" s="1" t="s">
        <v>9553</v>
      </c>
      <c r="Q2667" s="1" t="s">
        <v>9112</v>
      </c>
      <c r="R2667" s="1" t="s">
        <v>9112</v>
      </c>
      <c r="S2667" s="1"/>
      <c r="T2667" s="1" t="s">
        <v>9552</v>
      </c>
      <c r="U2667" s="1"/>
      <c r="V2667" s="1">
        <v>720.0</v>
      </c>
      <c r="W2667" s="1">
        <v>720.0</v>
      </c>
      <c r="X2667" s="1" t="s">
        <v>35</v>
      </c>
      <c r="Y2667" s="1">
        <v>720000.0</v>
      </c>
      <c r="Z2667" s="1"/>
      <c r="AA2667" s="1">
        <v>720000.0</v>
      </c>
      <c r="AB2667" s="1"/>
      <c r="AC2667" s="1" t="s">
        <v>36</v>
      </c>
      <c r="AD2667" s="1" t="s">
        <v>9554</v>
      </c>
      <c r="AE2667" s="1" t="s">
        <v>32</v>
      </c>
      <c r="AF2667" s="1" t="s">
        <v>33</v>
      </c>
      <c r="AG2667" s="1" t="s">
        <v>228</v>
      </c>
    </row>
    <row r="2668" spans="1:33">
      <c r="A2668" t="s">
        <v>9555</v>
      </c>
      <c r="B2668" t="s">
        <v>9556</v>
      </c>
      <c r="C2668" t="s">
        <v>314</v>
      </c>
      <c r="E2668" t="s">
        <v>9112</v>
      </c>
      <c r="F2668" t="s">
        <v>9113</v>
      </c>
      <c r="G2668">
        <v>30.49</v>
      </c>
      <c r="H2668">
        <v>30.49</v>
      </c>
      <c r="I2668" t="s">
        <v>179</v>
      </c>
      <c r="J2668" t="s">
        <v>180</v>
      </c>
      <c r="K2668" t="s">
        <v>31</v>
      </c>
      <c r="L2668" t="s">
        <v>32</v>
      </c>
      <c r="M2668" t="s">
        <v>33</v>
      </c>
      <c r="P2668" s="1" t="s">
        <v>9557</v>
      </c>
      <c r="Q2668" s="1" t="s">
        <v>9112</v>
      </c>
      <c r="R2668" s="1" t="s">
        <v>9112</v>
      </c>
      <c r="S2668" s="1"/>
      <c r="T2668" s="1" t="s">
        <v>314</v>
      </c>
      <c r="U2668" s="1"/>
      <c r="V2668" s="1">
        <v>30.49</v>
      </c>
      <c r="W2668" s="1">
        <v>30.49</v>
      </c>
      <c r="X2668" s="1" t="s">
        <v>35</v>
      </c>
      <c r="Y2668" s="1">
        <v>30490.0</v>
      </c>
      <c r="Z2668" s="1"/>
      <c r="AA2668" s="1">
        <v>30490.0</v>
      </c>
      <c r="AB2668" s="1"/>
      <c r="AC2668" s="1" t="s">
        <v>36</v>
      </c>
      <c r="AD2668" s="1" t="s">
        <v>9558</v>
      </c>
      <c r="AE2668" s="1" t="s">
        <v>32</v>
      </c>
      <c r="AF2668" s="1" t="s">
        <v>33</v>
      </c>
      <c r="AG2668" s="1" t="s">
        <v>180</v>
      </c>
    </row>
    <row r="2669" spans="1:33">
      <c r="A2669" t="s">
        <v>9559</v>
      </c>
      <c r="B2669" t="s">
        <v>263</v>
      </c>
      <c r="C2669" t="s">
        <v>264</v>
      </c>
      <c r="E2669" t="s">
        <v>9112</v>
      </c>
      <c r="F2669" t="s">
        <v>9113</v>
      </c>
      <c r="G2669">
        <v>320.0</v>
      </c>
      <c r="H2669">
        <v>320.0</v>
      </c>
      <c r="I2669" t="s">
        <v>40</v>
      </c>
      <c r="J2669" t="s">
        <v>41</v>
      </c>
      <c r="K2669" t="s">
        <v>31</v>
      </c>
      <c r="L2669" t="s">
        <v>32</v>
      </c>
      <c r="M2669" t="s">
        <v>33</v>
      </c>
      <c r="P2669" s="1" t="s">
        <v>9560</v>
      </c>
      <c r="Q2669" s="1" t="s">
        <v>9112</v>
      </c>
      <c r="R2669" s="1" t="s">
        <v>9115</v>
      </c>
      <c r="S2669" s="1"/>
      <c r="T2669" s="1" t="s">
        <v>264</v>
      </c>
      <c r="U2669" s="1"/>
      <c r="V2669" s="1">
        <v>320.0</v>
      </c>
      <c r="W2669" s="1">
        <v>320.0</v>
      </c>
      <c r="X2669" s="1" t="s">
        <v>35</v>
      </c>
      <c r="Y2669" s="1">
        <v>320000.0</v>
      </c>
      <c r="Z2669" s="1"/>
      <c r="AA2669" s="1">
        <v>320000.0</v>
      </c>
      <c r="AB2669" s="1"/>
      <c r="AC2669" s="1" t="s">
        <v>36</v>
      </c>
      <c r="AD2669" s="1" t="s">
        <v>9561</v>
      </c>
      <c r="AE2669" s="1" t="s">
        <v>32</v>
      </c>
      <c r="AF2669" s="1" t="s">
        <v>33</v>
      </c>
      <c r="AG2669" s="1" t="s">
        <v>41</v>
      </c>
    </row>
    <row r="2670" spans="1:33">
      <c r="A2670" t="s">
        <v>9562</v>
      </c>
      <c r="B2670" t="s">
        <v>2426</v>
      </c>
      <c r="C2670" t="s">
        <v>73</v>
      </c>
      <c r="E2670" t="s">
        <v>9112</v>
      </c>
      <c r="F2670" t="s">
        <v>9113</v>
      </c>
      <c r="G2670">
        <v>420.038</v>
      </c>
      <c r="H2670">
        <v>420.038</v>
      </c>
      <c r="I2670" t="s">
        <v>40</v>
      </c>
      <c r="J2670" t="s">
        <v>41</v>
      </c>
      <c r="K2670" t="s">
        <v>31</v>
      </c>
      <c r="L2670" t="s">
        <v>32</v>
      </c>
      <c r="M2670" t="s">
        <v>33</v>
      </c>
      <c r="P2670" s="1" t="s">
        <v>9563</v>
      </c>
      <c r="Q2670" s="1" t="s">
        <v>9112</v>
      </c>
      <c r="R2670" s="1" t="s">
        <v>9115</v>
      </c>
      <c r="S2670" s="1"/>
      <c r="T2670" s="1" t="s">
        <v>75</v>
      </c>
      <c r="U2670" s="1" t="s">
        <v>76</v>
      </c>
      <c r="V2670" s="1">
        <v>420.038</v>
      </c>
      <c r="W2670" s="1">
        <v>420.038</v>
      </c>
      <c r="X2670" s="1" t="s">
        <v>35</v>
      </c>
      <c r="Y2670" s="1">
        <v>420038.0</v>
      </c>
      <c r="Z2670" s="1"/>
      <c r="AA2670" s="1">
        <v>420038.0</v>
      </c>
      <c r="AB2670" s="1"/>
      <c r="AC2670" s="1" t="s">
        <v>36</v>
      </c>
      <c r="AD2670" s="1" t="s">
        <v>9564</v>
      </c>
      <c r="AE2670" s="1" t="s">
        <v>32</v>
      </c>
      <c r="AF2670" s="1" t="s">
        <v>33</v>
      </c>
      <c r="AG2670" s="1" t="s">
        <v>41</v>
      </c>
    </row>
    <row r="2671" spans="1:33">
      <c r="A2671" t="s">
        <v>9565</v>
      </c>
      <c r="B2671" t="s">
        <v>9566</v>
      </c>
      <c r="C2671" t="s">
        <v>73</v>
      </c>
      <c r="E2671" t="s">
        <v>9112</v>
      </c>
      <c r="F2671" t="s">
        <v>9113</v>
      </c>
      <c r="G2671">
        <v>41.98</v>
      </c>
      <c r="H2671">
        <v>41.98</v>
      </c>
      <c r="I2671" t="s">
        <v>40</v>
      </c>
      <c r="J2671" t="s">
        <v>41</v>
      </c>
      <c r="K2671" t="s">
        <v>31</v>
      </c>
      <c r="L2671" t="s">
        <v>32</v>
      </c>
      <c r="M2671" t="s">
        <v>33</v>
      </c>
      <c r="P2671" s="1" t="s">
        <v>9567</v>
      </c>
      <c r="Q2671" s="1" t="s">
        <v>9112</v>
      </c>
      <c r="R2671" s="1" t="s">
        <v>9115</v>
      </c>
      <c r="S2671" s="1"/>
      <c r="T2671" s="1" t="s">
        <v>75</v>
      </c>
      <c r="U2671" s="1" t="s">
        <v>76</v>
      </c>
      <c r="V2671" s="1">
        <v>41.98</v>
      </c>
      <c r="W2671" s="1">
        <v>41.98</v>
      </c>
      <c r="X2671" s="1" t="s">
        <v>35</v>
      </c>
      <c r="Y2671" s="1">
        <v>41980.0</v>
      </c>
      <c r="Z2671" s="1"/>
      <c r="AA2671" s="1">
        <v>41980.0</v>
      </c>
      <c r="AB2671" s="1"/>
      <c r="AC2671" s="1" t="s">
        <v>36</v>
      </c>
      <c r="AD2671" s="1" t="s">
        <v>9568</v>
      </c>
      <c r="AE2671" s="1" t="s">
        <v>32</v>
      </c>
      <c r="AF2671" s="1" t="s">
        <v>33</v>
      </c>
      <c r="AG2671" s="1" t="s">
        <v>41</v>
      </c>
    </row>
    <row r="2672" spans="1:33">
      <c r="A2672" t="s">
        <v>9569</v>
      </c>
      <c r="C2672" t="s">
        <v>9570</v>
      </c>
      <c r="E2672" t="s">
        <v>9112</v>
      </c>
      <c r="F2672" t="s">
        <v>9113</v>
      </c>
      <c r="G2672">
        <v>126.0</v>
      </c>
      <c r="H2672">
        <v>126.0</v>
      </c>
      <c r="I2672" t="s">
        <v>48</v>
      </c>
      <c r="J2672" t="s">
        <v>49</v>
      </c>
      <c r="K2672" t="s">
        <v>31</v>
      </c>
      <c r="L2672" t="s">
        <v>32</v>
      </c>
      <c r="M2672" t="s">
        <v>33</v>
      </c>
      <c r="P2672" s="1" t="s">
        <v>9571</v>
      </c>
      <c r="Q2672" s="1" t="s">
        <v>9112</v>
      </c>
      <c r="R2672" s="1" t="s">
        <v>9112</v>
      </c>
      <c r="S2672" s="1"/>
      <c r="T2672" s="1" t="s">
        <v>9570</v>
      </c>
      <c r="U2672" s="1"/>
      <c r="V2672" s="1">
        <v>126.0</v>
      </c>
      <c r="W2672" s="1">
        <v>126.0</v>
      </c>
      <c r="X2672" s="1" t="s">
        <v>35</v>
      </c>
      <c r="Y2672" s="1">
        <v>126000.0</v>
      </c>
      <c r="Z2672" s="1"/>
      <c r="AA2672" s="1">
        <v>126000.0</v>
      </c>
      <c r="AB2672" s="1"/>
      <c r="AC2672" s="1" t="s">
        <v>36</v>
      </c>
      <c r="AD2672" s="1" t="s">
        <v>9561</v>
      </c>
      <c r="AE2672" s="1" t="s">
        <v>32</v>
      </c>
      <c r="AF2672" s="1" t="s">
        <v>33</v>
      </c>
      <c r="AG2672" s="1" t="s">
        <v>49</v>
      </c>
    </row>
    <row r="2673" spans="1:33">
      <c r="A2673" t="s">
        <v>9572</v>
      </c>
      <c r="C2673" t="s">
        <v>2842</v>
      </c>
      <c r="E2673" t="s">
        <v>9112</v>
      </c>
      <c r="F2673" t="s">
        <v>9113</v>
      </c>
      <c r="G2673">
        <v>1.228</v>
      </c>
      <c r="H2673">
        <v>1.228</v>
      </c>
      <c r="I2673" t="s">
        <v>48</v>
      </c>
      <c r="J2673" t="s">
        <v>49</v>
      </c>
      <c r="K2673" t="s">
        <v>31</v>
      </c>
      <c r="L2673" t="s">
        <v>32</v>
      </c>
      <c r="M2673" t="s">
        <v>33</v>
      </c>
      <c r="P2673" s="1" t="s">
        <v>9573</v>
      </c>
      <c r="Q2673" s="1" t="s">
        <v>9112</v>
      </c>
      <c r="R2673" s="1" t="s">
        <v>9112</v>
      </c>
      <c r="S2673" s="1"/>
      <c r="T2673" s="1" t="s">
        <v>2842</v>
      </c>
      <c r="U2673" s="1"/>
      <c r="V2673" s="1">
        <v>1.228</v>
      </c>
      <c r="W2673" s="1">
        <v>1.228</v>
      </c>
      <c r="X2673" s="1" t="s">
        <v>35</v>
      </c>
      <c r="Y2673" s="1">
        <v>1228000.0</v>
      </c>
      <c r="Z2673" s="1"/>
      <c r="AA2673" s="1">
        <v>1228000.0</v>
      </c>
      <c r="AB2673" s="1"/>
      <c r="AC2673" s="1" t="s">
        <v>36</v>
      </c>
      <c r="AD2673" s="1" t="s">
        <v>9505</v>
      </c>
      <c r="AE2673" s="1" t="s">
        <v>32</v>
      </c>
      <c r="AF2673" s="1" t="s">
        <v>33</v>
      </c>
      <c r="AG2673" s="1" t="s">
        <v>49</v>
      </c>
    </row>
    <row r="2674" spans="1:33">
      <c r="A2674" t="s">
        <v>9574</v>
      </c>
      <c r="C2674" t="s">
        <v>1522</v>
      </c>
      <c r="E2674" t="s">
        <v>9112</v>
      </c>
      <c r="F2674" t="s">
        <v>9113</v>
      </c>
      <c r="G2674">
        <v>408.0</v>
      </c>
      <c r="H2674">
        <v>408.0</v>
      </c>
      <c r="I2674" t="s">
        <v>227</v>
      </c>
      <c r="J2674" t="s">
        <v>228</v>
      </c>
      <c r="K2674" t="s">
        <v>31</v>
      </c>
      <c r="L2674" t="s">
        <v>32</v>
      </c>
      <c r="M2674" t="s">
        <v>33</v>
      </c>
      <c r="P2674" s="1" t="s">
        <v>9575</v>
      </c>
      <c r="Q2674" s="1" t="s">
        <v>9112</v>
      </c>
      <c r="R2674" s="1" t="s">
        <v>9112</v>
      </c>
      <c r="S2674" s="1"/>
      <c r="T2674" s="1" t="s">
        <v>1522</v>
      </c>
      <c r="U2674" s="1"/>
      <c r="V2674" s="1">
        <v>408.0</v>
      </c>
      <c r="W2674" s="1">
        <v>408.0</v>
      </c>
      <c r="X2674" s="1" t="s">
        <v>35</v>
      </c>
      <c r="Y2674" s="1">
        <v>408000.0</v>
      </c>
      <c r="Z2674" s="1"/>
      <c r="AA2674" s="1">
        <v>408000.0</v>
      </c>
      <c r="AB2674" s="1"/>
      <c r="AC2674" s="1" t="s">
        <v>36</v>
      </c>
      <c r="AD2674" s="1" t="s">
        <v>9561</v>
      </c>
      <c r="AE2674" s="1" t="s">
        <v>32</v>
      </c>
      <c r="AF2674" s="1" t="s">
        <v>33</v>
      </c>
      <c r="AG2674" s="1" t="s">
        <v>228</v>
      </c>
    </row>
    <row r="2675" spans="1:33">
      <c r="A2675" t="s">
        <v>9576</v>
      </c>
      <c r="C2675" t="s">
        <v>9577</v>
      </c>
      <c r="E2675" t="s">
        <v>9112</v>
      </c>
      <c r="F2675" t="s">
        <v>9113</v>
      </c>
      <c r="G2675">
        <v>1.122</v>
      </c>
      <c r="H2675">
        <v>1.122</v>
      </c>
      <c r="I2675" t="s">
        <v>269</v>
      </c>
      <c r="J2675" t="s">
        <v>270</v>
      </c>
      <c r="K2675" t="s">
        <v>31</v>
      </c>
      <c r="L2675" t="s">
        <v>32</v>
      </c>
      <c r="M2675" t="s">
        <v>33</v>
      </c>
      <c r="P2675" s="1" t="s">
        <v>9578</v>
      </c>
      <c r="Q2675" s="1" t="s">
        <v>9112</v>
      </c>
      <c r="R2675" s="1" t="s">
        <v>9112</v>
      </c>
      <c r="S2675" s="1"/>
      <c r="T2675" s="1" t="s">
        <v>9577</v>
      </c>
      <c r="U2675" s="1"/>
      <c r="V2675" s="1">
        <v>1.122</v>
      </c>
      <c r="W2675" s="1">
        <v>1.122</v>
      </c>
      <c r="X2675" s="1" t="s">
        <v>35</v>
      </c>
      <c r="Y2675" s="1">
        <v>1122250.0</v>
      </c>
      <c r="Z2675" s="1"/>
      <c r="AA2675" s="1">
        <v>1122250.0</v>
      </c>
      <c r="AB2675" s="1"/>
      <c r="AC2675" s="1" t="s">
        <v>36</v>
      </c>
      <c r="AD2675" s="1" t="s">
        <v>9579</v>
      </c>
      <c r="AE2675" s="1" t="s">
        <v>32</v>
      </c>
      <c r="AF2675" s="1" t="s">
        <v>33</v>
      </c>
      <c r="AG2675" s="1" t="s">
        <v>270</v>
      </c>
    </row>
    <row r="2676" spans="1:33">
      <c r="A2676" t="s">
        <v>9580</v>
      </c>
      <c r="B2676" t="s">
        <v>9581</v>
      </c>
      <c r="C2676" t="s">
        <v>314</v>
      </c>
      <c r="E2676" t="s">
        <v>9112</v>
      </c>
      <c r="F2676" t="s">
        <v>9113</v>
      </c>
      <c r="G2676">
        <v>149.96</v>
      </c>
      <c r="H2676">
        <v>149.96</v>
      </c>
      <c r="I2676" t="s">
        <v>179</v>
      </c>
      <c r="J2676" t="s">
        <v>180</v>
      </c>
      <c r="K2676" t="s">
        <v>31</v>
      </c>
      <c r="L2676" t="s">
        <v>32</v>
      </c>
      <c r="M2676" t="s">
        <v>33</v>
      </c>
      <c r="P2676" s="1" t="s">
        <v>9582</v>
      </c>
      <c r="Q2676" s="1" t="s">
        <v>9112</v>
      </c>
      <c r="R2676" s="1" t="s">
        <v>9112</v>
      </c>
      <c r="S2676" s="1"/>
      <c r="T2676" s="1" t="s">
        <v>314</v>
      </c>
      <c r="U2676" s="1"/>
      <c r="V2676" s="1">
        <v>149.96</v>
      </c>
      <c r="W2676" s="1">
        <v>149.96</v>
      </c>
      <c r="X2676" s="1" t="s">
        <v>35</v>
      </c>
      <c r="Y2676" s="1">
        <v>149960.0</v>
      </c>
      <c r="Z2676" s="1"/>
      <c r="AA2676" s="1">
        <v>149960.0</v>
      </c>
      <c r="AB2676" s="1"/>
      <c r="AC2676" s="1" t="s">
        <v>36</v>
      </c>
      <c r="AD2676" s="1" t="s">
        <v>9579</v>
      </c>
      <c r="AE2676" s="1" t="s">
        <v>32</v>
      </c>
      <c r="AF2676" s="1" t="s">
        <v>33</v>
      </c>
      <c r="AG2676" s="1" t="s">
        <v>180</v>
      </c>
    </row>
    <row r="2677" spans="1:33">
      <c r="A2677" t="s">
        <v>9583</v>
      </c>
      <c r="B2677" t="s">
        <v>6027</v>
      </c>
      <c r="C2677" t="s">
        <v>314</v>
      </c>
      <c r="E2677" t="s">
        <v>9112</v>
      </c>
      <c r="F2677" t="s">
        <v>9113</v>
      </c>
      <c r="G2677">
        <v>19.49</v>
      </c>
      <c r="H2677">
        <v>19.49</v>
      </c>
      <c r="I2677" t="s">
        <v>179</v>
      </c>
      <c r="J2677" t="s">
        <v>180</v>
      </c>
      <c r="K2677" t="s">
        <v>31</v>
      </c>
      <c r="L2677" t="s">
        <v>32</v>
      </c>
      <c r="M2677" t="s">
        <v>33</v>
      </c>
      <c r="P2677" s="1" t="s">
        <v>9584</v>
      </c>
      <c r="Q2677" s="1" t="s">
        <v>9112</v>
      </c>
      <c r="R2677" s="1" t="s">
        <v>9112</v>
      </c>
      <c r="S2677" s="1"/>
      <c r="T2677" s="1" t="s">
        <v>314</v>
      </c>
      <c r="U2677" s="1"/>
      <c r="V2677" s="1">
        <v>19.49</v>
      </c>
      <c r="W2677" s="1">
        <v>19.49</v>
      </c>
      <c r="X2677" s="1" t="s">
        <v>35</v>
      </c>
      <c r="Y2677" s="1">
        <v>19490.0</v>
      </c>
      <c r="Z2677" s="1"/>
      <c r="AA2677" s="1">
        <v>19490.0</v>
      </c>
      <c r="AB2677" s="1"/>
      <c r="AC2677" s="1" t="s">
        <v>36</v>
      </c>
      <c r="AD2677" s="1" t="s">
        <v>9585</v>
      </c>
      <c r="AE2677" s="1" t="s">
        <v>32</v>
      </c>
      <c r="AF2677" s="1" t="s">
        <v>33</v>
      </c>
      <c r="AG2677" s="1" t="s">
        <v>180</v>
      </c>
    </row>
    <row r="2678" spans="1:33">
      <c r="A2678" t="s">
        <v>9586</v>
      </c>
      <c r="B2678" t="s">
        <v>9587</v>
      </c>
      <c r="C2678" t="s">
        <v>314</v>
      </c>
      <c r="E2678" t="s">
        <v>9112</v>
      </c>
      <c r="F2678" t="s">
        <v>9113</v>
      </c>
      <c r="G2678">
        <v>59.58</v>
      </c>
      <c r="H2678">
        <v>59.58</v>
      </c>
      <c r="I2678" t="s">
        <v>179</v>
      </c>
      <c r="J2678" t="s">
        <v>180</v>
      </c>
      <c r="K2678" t="s">
        <v>31</v>
      </c>
      <c r="L2678" t="s">
        <v>32</v>
      </c>
      <c r="M2678" t="s">
        <v>33</v>
      </c>
      <c r="P2678" s="1" t="s">
        <v>9588</v>
      </c>
      <c r="Q2678" s="1" t="s">
        <v>9112</v>
      </c>
      <c r="R2678" s="1" t="s">
        <v>9112</v>
      </c>
      <c r="S2678" s="1"/>
      <c r="T2678" s="1" t="s">
        <v>314</v>
      </c>
      <c r="U2678" s="1"/>
      <c r="V2678" s="1">
        <v>59.58</v>
      </c>
      <c r="W2678" s="1">
        <v>59.58</v>
      </c>
      <c r="X2678" s="1" t="s">
        <v>35</v>
      </c>
      <c r="Y2678" s="1">
        <v>59580.0</v>
      </c>
      <c r="Z2678" s="1"/>
      <c r="AA2678" s="1">
        <v>59580.0</v>
      </c>
      <c r="AB2678" s="1"/>
      <c r="AC2678" s="1" t="s">
        <v>36</v>
      </c>
      <c r="AD2678" s="1" t="s">
        <v>9589</v>
      </c>
      <c r="AE2678" s="1" t="s">
        <v>32</v>
      </c>
      <c r="AF2678" s="1" t="s">
        <v>33</v>
      </c>
      <c r="AG2678" s="1" t="s">
        <v>180</v>
      </c>
    </row>
    <row r="2679" spans="1:33">
      <c r="A2679" t="s">
        <v>9590</v>
      </c>
      <c r="B2679" t="s">
        <v>57</v>
      </c>
      <c r="C2679" t="s">
        <v>58</v>
      </c>
      <c r="E2679" t="s">
        <v>9112</v>
      </c>
      <c r="F2679" t="s">
        <v>9113</v>
      </c>
      <c r="G2679">
        <v>375.0</v>
      </c>
      <c r="H2679">
        <v>375.0</v>
      </c>
      <c r="I2679" t="s">
        <v>59</v>
      </c>
      <c r="J2679" t="s">
        <v>60</v>
      </c>
      <c r="K2679" t="s">
        <v>31</v>
      </c>
      <c r="L2679" t="s">
        <v>32</v>
      </c>
      <c r="M2679" t="s">
        <v>33</v>
      </c>
      <c r="P2679" s="1" t="s">
        <v>9591</v>
      </c>
      <c r="Q2679" s="1" t="s">
        <v>9112</v>
      </c>
      <c r="R2679" s="1" t="s">
        <v>9112</v>
      </c>
      <c r="S2679" s="1"/>
      <c r="T2679" s="1" t="s">
        <v>58</v>
      </c>
      <c r="U2679" s="1"/>
      <c r="V2679" s="1">
        <v>375.0</v>
      </c>
      <c r="W2679" s="1">
        <v>375.0</v>
      </c>
      <c r="X2679" s="1" t="s">
        <v>35</v>
      </c>
      <c r="Y2679" s="1">
        <v>375000.0</v>
      </c>
      <c r="Z2679" s="1"/>
      <c r="AA2679" s="1">
        <v>375000.0</v>
      </c>
      <c r="AB2679" s="1"/>
      <c r="AC2679" s="1" t="s">
        <v>36</v>
      </c>
      <c r="AD2679" s="1" t="s">
        <v>9592</v>
      </c>
      <c r="AE2679" s="1" t="s">
        <v>32</v>
      </c>
      <c r="AF2679" s="1" t="s">
        <v>33</v>
      </c>
      <c r="AG2679" s="1" t="s">
        <v>60</v>
      </c>
    </row>
    <row r="2680" spans="1:33">
      <c r="A2680" t="s">
        <v>9593</v>
      </c>
      <c r="B2680" t="s">
        <v>9594</v>
      </c>
      <c r="C2680" t="s">
        <v>172</v>
      </c>
      <c r="E2680" t="s">
        <v>9112</v>
      </c>
      <c r="F2680" t="s">
        <v>9113</v>
      </c>
      <c r="G2680">
        <v>43.98</v>
      </c>
      <c r="H2680">
        <v>43.98</v>
      </c>
      <c r="I2680" t="s">
        <v>173</v>
      </c>
      <c r="J2680" t="s">
        <v>174</v>
      </c>
      <c r="K2680" t="s">
        <v>31</v>
      </c>
      <c r="L2680" t="s">
        <v>32</v>
      </c>
      <c r="M2680" t="s">
        <v>33</v>
      </c>
      <c r="P2680" s="1" t="s">
        <v>9595</v>
      </c>
      <c r="Q2680" s="1" t="s">
        <v>9112</v>
      </c>
      <c r="R2680" s="1" t="s">
        <v>9112</v>
      </c>
      <c r="S2680" s="1"/>
      <c r="T2680" s="1" t="s">
        <v>172</v>
      </c>
      <c r="U2680" s="1"/>
      <c r="V2680" s="1">
        <v>43.98</v>
      </c>
      <c r="W2680" s="1">
        <v>43.98</v>
      </c>
      <c r="X2680" s="1" t="s">
        <v>35</v>
      </c>
      <c r="Y2680" s="1">
        <v>43980.0</v>
      </c>
      <c r="Z2680" s="1"/>
      <c r="AA2680" s="1">
        <v>43980.0</v>
      </c>
      <c r="AB2680" s="1"/>
      <c r="AC2680" s="1" t="s">
        <v>36</v>
      </c>
      <c r="AD2680" s="1" t="s">
        <v>9596</v>
      </c>
      <c r="AE2680" s="1" t="s">
        <v>32</v>
      </c>
      <c r="AF2680" s="1" t="s">
        <v>33</v>
      </c>
      <c r="AG2680" s="1" t="s">
        <v>174</v>
      </c>
    </row>
    <row r="2681" spans="1:33">
      <c r="A2681" t="s">
        <v>9597</v>
      </c>
      <c r="B2681" t="s">
        <v>5296</v>
      </c>
      <c r="C2681" t="s">
        <v>3567</v>
      </c>
      <c r="E2681" t="s">
        <v>9112</v>
      </c>
      <c r="F2681" t="s">
        <v>9113</v>
      </c>
      <c r="G2681">
        <v>37.235</v>
      </c>
      <c r="H2681">
        <v>37.235</v>
      </c>
      <c r="I2681" t="s">
        <v>59</v>
      </c>
      <c r="J2681" t="s">
        <v>60</v>
      </c>
      <c r="K2681" t="s">
        <v>31</v>
      </c>
      <c r="L2681" t="s">
        <v>32</v>
      </c>
      <c r="M2681" t="s">
        <v>33</v>
      </c>
      <c r="P2681" s="1" t="s">
        <v>9598</v>
      </c>
      <c r="Q2681" s="1" t="s">
        <v>9112</v>
      </c>
      <c r="R2681" s="1" t="s">
        <v>9112</v>
      </c>
      <c r="S2681" s="1"/>
      <c r="T2681" s="1" t="s">
        <v>3567</v>
      </c>
      <c r="U2681" s="1"/>
      <c r="V2681" s="1">
        <v>37.235</v>
      </c>
      <c r="W2681" s="1">
        <v>37.235</v>
      </c>
      <c r="X2681" s="1" t="s">
        <v>35</v>
      </c>
      <c r="Y2681" s="1">
        <v>37235.0</v>
      </c>
      <c r="Z2681" s="1"/>
      <c r="AA2681" s="1">
        <v>37235.0</v>
      </c>
      <c r="AB2681" s="1"/>
      <c r="AC2681" s="1" t="s">
        <v>36</v>
      </c>
      <c r="AD2681" s="1" t="s">
        <v>9599</v>
      </c>
      <c r="AE2681" s="1" t="s">
        <v>32</v>
      </c>
      <c r="AF2681" s="1" t="s">
        <v>33</v>
      </c>
      <c r="AG2681" s="1" t="s">
        <v>60</v>
      </c>
    </row>
    <row r="2682" spans="1:33">
      <c r="A2682" t="s">
        <v>9600</v>
      </c>
      <c r="B2682" t="s">
        <v>211</v>
      </c>
      <c r="C2682" t="s">
        <v>68</v>
      </c>
      <c r="E2682" t="s">
        <v>9112</v>
      </c>
      <c r="F2682" t="s">
        <v>9113</v>
      </c>
      <c r="G2682">
        <v>83.98</v>
      </c>
      <c r="H2682">
        <v>83.98</v>
      </c>
      <c r="I2682" t="s">
        <v>59</v>
      </c>
      <c r="J2682" t="s">
        <v>60</v>
      </c>
      <c r="K2682" t="s">
        <v>31</v>
      </c>
      <c r="L2682" t="s">
        <v>32</v>
      </c>
      <c r="M2682" t="s">
        <v>33</v>
      </c>
      <c r="P2682" s="1" t="s">
        <v>9601</v>
      </c>
      <c r="Q2682" s="1" t="s">
        <v>9112</v>
      </c>
      <c r="R2682" s="1" t="s">
        <v>9112</v>
      </c>
      <c r="S2682" s="1"/>
      <c r="T2682" s="1" t="s">
        <v>68</v>
      </c>
      <c r="U2682" s="1"/>
      <c r="V2682" s="1">
        <v>83.98</v>
      </c>
      <c r="W2682" s="1">
        <v>83.98</v>
      </c>
      <c r="X2682" s="1" t="s">
        <v>35</v>
      </c>
      <c r="Y2682" s="1">
        <v>83980.0</v>
      </c>
      <c r="Z2682" s="1"/>
      <c r="AA2682" s="1">
        <v>83980.0</v>
      </c>
      <c r="AB2682" s="1"/>
      <c r="AC2682" s="1" t="s">
        <v>36</v>
      </c>
      <c r="AD2682" s="1" t="s">
        <v>9602</v>
      </c>
      <c r="AE2682" s="1" t="s">
        <v>32</v>
      </c>
      <c r="AF2682" s="1" t="s">
        <v>33</v>
      </c>
      <c r="AG2682" s="1" t="s">
        <v>60</v>
      </c>
    </row>
    <row r="2683" spans="1:33">
      <c r="A2683" t="s">
        <v>9603</v>
      </c>
      <c r="B2683" t="s">
        <v>9604</v>
      </c>
      <c r="C2683" t="s">
        <v>314</v>
      </c>
      <c r="E2683" t="s">
        <v>9112</v>
      </c>
      <c r="F2683" t="s">
        <v>9113</v>
      </c>
      <c r="G2683">
        <v>56.08</v>
      </c>
      <c r="H2683">
        <v>56.08</v>
      </c>
      <c r="I2683" t="s">
        <v>179</v>
      </c>
      <c r="J2683" t="s">
        <v>180</v>
      </c>
      <c r="K2683" t="s">
        <v>31</v>
      </c>
      <c r="L2683" t="s">
        <v>32</v>
      </c>
      <c r="M2683" t="s">
        <v>33</v>
      </c>
      <c r="P2683" s="1" t="s">
        <v>9605</v>
      </c>
      <c r="Q2683" s="1" t="s">
        <v>9112</v>
      </c>
      <c r="R2683" s="1" t="s">
        <v>9112</v>
      </c>
      <c r="S2683" s="1"/>
      <c r="T2683" s="1" t="s">
        <v>314</v>
      </c>
      <c r="U2683" s="1"/>
      <c r="V2683" s="1">
        <v>56.08</v>
      </c>
      <c r="W2683" s="1">
        <v>56.08</v>
      </c>
      <c r="X2683" s="1" t="s">
        <v>35</v>
      </c>
      <c r="Y2683" s="1">
        <v>56080.0</v>
      </c>
      <c r="Z2683" s="1"/>
      <c r="AA2683" s="1">
        <v>56080.0</v>
      </c>
      <c r="AB2683" s="1"/>
      <c r="AC2683" s="1" t="s">
        <v>36</v>
      </c>
      <c r="AD2683" s="1" t="s">
        <v>9606</v>
      </c>
      <c r="AE2683" s="1" t="s">
        <v>32</v>
      </c>
      <c r="AF2683" s="1" t="s">
        <v>33</v>
      </c>
      <c r="AG2683" s="1" t="s">
        <v>180</v>
      </c>
    </row>
    <row r="2684" spans="1:33">
      <c r="A2684" t="s">
        <v>9607</v>
      </c>
      <c r="C2684" t="s">
        <v>513</v>
      </c>
      <c r="E2684" t="s">
        <v>9112</v>
      </c>
      <c r="F2684" t="s">
        <v>9113</v>
      </c>
      <c r="G2684">
        <v>210.0</v>
      </c>
      <c r="H2684">
        <v>210.0</v>
      </c>
      <c r="I2684" t="s">
        <v>48</v>
      </c>
      <c r="J2684" t="s">
        <v>49</v>
      </c>
      <c r="K2684" t="s">
        <v>31</v>
      </c>
      <c r="L2684" t="s">
        <v>32</v>
      </c>
      <c r="M2684" t="s">
        <v>33</v>
      </c>
      <c r="P2684" s="1" t="s">
        <v>9608</v>
      </c>
      <c r="Q2684" s="1" t="s">
        <v>9112</v>
      </c>
      <c r="R2684" s="1" t="s">
        <v>9112</v>
      </c>
      <c r="S2684" s="1"/>
      <c r="T2684" s="1" t="s">
        <v>513</v>
      </c>
      <c r="U2684" s="1"/>
      <c r="V2684" s="1">
        <v>210.0</v>
      </c>
      <c r="W2684" s="1">
        <v>210.0</v>
      </c>
      <c r="X2684" s="1" t="s">
        <v>35</v>
      </c>
      <c r="Y2684" s="1">
        <v>210000.0</v>
      </c>
      <c r="Z2684" s="1"/>
      <c r="AA2684" s="1">
        <v>210000.0</v>
      </c>
      <c r="AB2684" s="1"/>
      <c r="AC2684" s="1" t="s">
        <v>36</v>
      </c>
      <c r="AD2684" s="1" t="s">
        <v>9609</v>
      </c>
      <c r="AE2684" s="1" t="s">
        <v>32</v>
      </c>
      <c r="AF2684" s="1" t="s">
        <v>33</v>
      </c>
      <c r="AG2684" s="1" t="s">
        <v>49</v>
      </c>
    </row>
    <row r="2685" spans="1:33">
      <c r="A2685" t="s">
        <v>9610</v>
      </c>
      <c r="C2685" t="s">
        <v>9611</v>
      </c>
      <c r="E2685" t="s">
        <v>9612</v>
      </c>
      <c r="F2685" t="s">
        <v>9613</v>
      </c>
      <c r="G2685">
        <v>393.6</v>
      </c>
      <c r="H2685">
        <v>393.6</v>
      </c>
      <c r="I2685" t="s">
        <v>136</v>
      </c>
      <c r="J2685" t="s">
        <v>137</v>
      </c>
      <c r="K2685" t="s">
        <v>31</v>
      </c>
      <c r="L2685" t="s">
        <v>32</v>
      </c>
      <c r="M2685" t="s">
        <v>33</v>
      </c>
      <c r="P2685" s="1" t="s">
        <v>9614</v>
      </c>
      <c r="Q2685" s="1" t="s">
        <v>9612</v>
      </c>
      <c r="R2685" s="1" t="s">
        <v>9612</v>
      </c>
      <c r="S2685" s="1"/>
      <c r="T2685" s="1" t="s">
        <v>9615</v>
      </c>
      <c r="U2685" s="1" t="s">
        <v>9616</v>
      </c>
      <c r="V2685" s="1">
        <v>393.6</v>
      </c>
      <c r="W2685" s="1">
        <v>393.6</v>
      </c>
      <c r="X2685" s="1" t="s">
        <v>35</v>
      </c>
      <c r="Y2685" s="1">
        <v>393600.0</v>
      </c>
      <c r="Z2685" s="1"/>
      <c r="AA2685" s="1">
        <v>393600.0</v>
      </c>
      <c r="AB2685" s="1"/>
      <c r="AC2685" s="1" t="s">
        <v>36</v>
      </c>
      <c r="AD2685" s="1" t="s">
        <v>9617</v>
      </c>
      <c r="AE2685" s="1" t="s">
        <v>32</v>
      </c>
      <c r="AF2685" s="1" t="s">
        <v>33</v>
      </c>
      <c r="AG2685" s="1" t="s">
        <v>137</v>
      </c>
    </row>
    <row r="2686" spans="1:33">
      <c r="A2686" t="s">
        <v>9618</v>
      </c>
      <c r="C2686" t="s">
        <v>1992</v>
      </c>
      <c r="E2686" t="s">
        <v>9612</v>
      </c>
      <c r="F2686" t="s">
        <v>9613</v>
      </c>
      <c r="G2686">
        <v>520.6</v>
      </c>
      <c r="H2686">
        <v>520.6</v>
      </c>
      <c r="I2686" t="s">
        <v>136</v>
      </c>
      <c r="J2686" t="s">
        <v>137</v>
      </c>
      <c r="K2686" t="s">
        <v>31</v>
      </c>
      <c r="L2686" t="s">
        <v>32</v>
      </c>
      <c r="M2686" t="s">
        <v>33</v>
      </c>
      <c r="P2686" s="1" t="s">
        <v>9619</v>
      </c>
      <c r="Q2686" s="1" t="s">
        <v>9612</v>
      </c>
      <c r="R2686" s="1" t="s">
        <v>9612</v>
      </c>
      <c r="S2686" s="1"/>
      <c r="T2686" s="1" t="s">
        <v>1994</v>
      </c>
      <c r="U2686" s="1" t="s">
        <v>1995</v>
      </c>
      <c r="V2686" s="1">
        <v>520.6</v>
      </c>
      <c r="W2686" s="1">
        <v>520.6</v>
      </c>
      <c r="X2686" s="1" t="s">
        <v>35</v>
      </c>
      <c r="Y2686" s="1">
        <v>520600.0</v>
      </c>
      <c r="Z2686" s="1"/>
      <c r="AA2686" s="1">
        <v>520600.0</v>
      </c>
      <c r="AB2686" s="1"/>
      <c r="AC2686" s="1" t="s">
        <v>36</v>
      </c>
      <c r="AD2686" s="1" t="s">
        <v>9620</v>
      </c>
      <c r="AE2686" s="1" t="s">
        <v>32</v>
      </c>
      <c r="AF2686" s="1" t="s">
        <v>33</v>
      </c>
      <c r="AG2686" s="1" t="s">
        <v>137</v>
      </c>
    </row>
    <row r="2687" spans="1:33">
      <c r="A2687" t="s">
        <v>9621</v>
      </c>
      <c r="C2687" t="s">
        <v>6216</v>
      </c>
      <c r="E2687" t="s">
        <v>9612</v>
      </c>
      <c r="F2687" t="s">
        <v>9613</v>
      </c>
      <c r="G2687">
        <v>492.0</v>
      </c>
      <c r="H2687">
        <v>492.0</v>
      </c>
      <c r="I2687" t="s">
        <v>136</v>
      </c>
      <c r="J2687" t="s">
        <v>137</v>
      </c>
      <c r="K2687" t="s">
        <v>31</v>
      </c>
      <c r="L2687" t="s">
        <v>32</v>
      </c>
      <c r="M2687" t="s">
        <v>33</v>
      </c>
      <c r="P2687" s="1" t="s">
        <v>9622</v>
      </c>
      <c r="Q2687" s="1" t="s">
        <v>9612</v>
      </c>
      <c r="R2687" s="1" t="s">
        <v>9612</v>
      </c>
      <c r="S2687" s="1"/>
      <c r="T2687" s="1" t="s">
        <v>6216</v>
      </c>
      <c r="U2687" s="1"/>
      <c r="V2687" s="1">
        <v>492.0</v>
      </c>
      <c r="W2687" s="1">
        <v>492.0</v>
      </c>
      <c r="X2687" s="1" t="s">
        <v>35</v>
      </c>
      <c r="Y2687" s="1">
        <v>492000.0</v>
      </c>
      <c r="Z2687" s="1"/>
      <c r="AA2687" s="1">
        <v>492000.0</v>
      </c>
      <c r="AB2687" s="1"/>
      <c r="AC2687" s="1" t="s">
        <v>36</v>
      </c>
      <c r="AD2687" s="1" t="s">
        <v>9623</v>
      </c>
      <c r="AE2687" s="1" t="s">
        <v>32</v>
      </c>
      <c r="AF2687" s="1" t="s">
        <v>33</v>
      </c>
      <c r="AG2687" s="1" t="s">
        <v>137</v>
      </c>
    </row>
    <row r="2688" spans="1:33">
      <c r="A2688" t="s">
        <v>9624</v>
      </c>
      <c r="C2688" t="s">
        <v>3678</v>
      </c>
      <c r="E2688" t="s">
        <v>9612</v>
      </c>
      <c r="F2688" t="s">
        <v>9613</v>
      </c>
      <c r="G2688">
        <v>721.2</v>
      </c>
      <c r="H2688">
        <v>721.2</v>
      </c>
      <c r="I2688" t="s">
        <v>136</v>
      </c>
      <c r="J2688" t="s">
        <v>137</v>
      </c>
      <c r="K2688" t="s">
        <v>31</v>
      </c>
      <c r="L2688" t="s">
        <v>32</v>
      </c>
      <c r="M2688" t="s">
        <v>33</v>
      </c>
      <c r="P2688" s="1" t="s">
        <v>9625</v>
      </c>
      <c r="Q2688" s="1" t="s">
        <v>9612</v>
      </c>
      <c r="R2688" s="1" t="s">
        <v>9612</v>
      </c>
      <c r="S2688" s="1"/>
      <c r="T2688" s="1" t="s">
        <v>3678</v>
      </c>
      <c r="U2688" s="1"/>
      <c r="V2688" s="1">
        <v>721.2</v>
      </c>
      <c r="W2688" s="1">
        <v>721.2</v>
      </c>
      <c r="X2688" s="1" t="s">
        <v>35</v>
      </c>
      <c r="Y2688" s="1">
        <v>721200.0</v>
      </c>
      <c r="Z2688" s="1"/>
      <c r="AA2688" s="1">
        <v>721200.0</v>
      </c>
      <c r="AB2688" s="1"/>
      <c r="AC2688" s="1" t="s">
        <v>36</v>
      </c>
      <c r="AD2688" s="1" t="s">
        <v>9626</v>
      </c>
      <c r="AE2688" s="1" t="s">
        <v>32</v>
      </c>
      <c r="AF2688" s="1" t="s">
        <v>33</v>
      </c>
      <c r="AG2688" s="1" t="s">
        <v>137</v>
      </c>
    </row>
    <row r="2689" spans="1:33">
      <c r="A2689" t="s">
        <v>9627</v>
      </c>
      <c r="C2689" t="s">
        <v>9628</v>
      </c>
      <c r="D2689" t="s">
        <v>154</v>
      </c>
      <c r="E2689" t="s">
        <v>9612</v>
      </c>
      <c r="F2689" t="s">
        <v>9613</v>
      </c>
      <c r="G2689">
        <v>535.0</v>
      </c>
      <c r="H2689">
        <v>535.0</v>
      </c>
      <c r="I2689" t="s">
        <v>40</v>
      </c>
      <c r="J2689" t="s">
        <v>41</v>
      </c>
      <c r="K2689" t="s">
        <v>31</v>
      </c>
      <c r="L2689" t="s">
        <v>32</v>
      </c>
      <c r="M2689" t="s">
        <v>33</v>
      </c>
      <c r="P2689" s="1" t="s">
        <v>9629</v>
      </c>
      <c r="Q2689" s="1" t="s">
        <v>9612</v>
      </c>
      <c r="R2689" s="1" t="s">
        <v>9112</v>
      </c>
      <c r="S2689" s="1"/>
      <c r="T2689" s="1" t="s">
        <v>9628</v>
      </c>
      <c r="U2689" s="1"/>
      <c r="V2689" s="1">
        <v>535.0</v>
      </c>
      <c r="W2689" s="1">
        <v>535.0</v>
      </c>
      <c r="X2689" s="1" t="s">
        <v>35</v>
      </c>
      <c r="Y2689" s="1">
        <v>535000.0</v>
      </c>
      <c r="Z2689" s="1"/>
      <c r="AA2689" s="1"/>
      <c r="AB2689" s="1">
        <v>535000</v>
      </c>
      <c r="AC2689" s="1" t="s">
        <v>36</v>
      </c>
      <c r="AD2689" s="1" t="s">
        <v>9446</v>
      </c>
      <c r="AE2689" s="1" t="s">
        <v>32</v>
      </c>
      <c r="AF2689" s="1" t="s">
        <v>33</v>
      </c>
      <c r="AG2689" s="1" t="s">
        <v>41</v>
      </c>
    </row>
    <row r="2690" spans="1:33">
      <c r="A2690" t="s">
        <v>9630</v>
      </c>
      <c r="B2690" t="s">
        <v>9631</v>
      </c>
      <c r="C2690" t="s">
        <v>906</v>
      </c>
      <c r="E2690" t="s">
        <v>9612</v>
      </c>
      <c r="F2690" t="s">
        <v>9613</v>
      </c>
      <c r="G2690">
        <v>17.29</v>
      </c>
      <c r="H2690">
        <v>17.29</v>
      </c>
      <c r="I2690" t="s">
        <v>847</v>
      </c>
      <c r="J2690" t="s">
        <v>848</v>
      </c>
      <c r="K2690" t="s">
        <v>31</v>
      </c>
      <c r="L2690" t="s">
        <v>32</v>
      </c>
      <c r="M2690" t="s">
        <v>33</v>
      </c>
      <c r="P2690" s="1" t="s">
        <v>9632</v>
      </c>
      <c r="Q2690" s="1" t="s">
        <v>9612</v>
      </c>
      <c r="R2690" s="1" t="s">
        <v>9612</v>
      </c>
      <c r="S2690" s="1"/>
      <c r="T2690" s="1" t="s">
        <v>906</v>
      </c>
      <c r="U2690" s="1"/>
      <c r="V2690" s="1">
        <v>17.29</v>
      </c>
      <c r="W2690" s="1">
        <v>17.29</v>
      </c>
      <c r="X2690" s="1" t="s">
        <v>35</v>
      </c>
      <c r="Y2690" s="1">
        <v>17290.0</v>
      </c>
      <c r="Z2690" s="1"/>
      <c r="AA2690" s="1">
        <v>17290.0</v>
      </c>
      <c r="AB2690" s="1"/>
      <c r="AC2690" s="1" t="s">
        <v>36</v>
      </c>
      <c r="AD2690" s="1" t="s">
        <v>9633</v>
      </c>
      <c r="AE2690" s="1" t="s">
        <v>32</v>
      </c>
      <c r="AF2690" s="1" t="s">
        <v>33</v>
      </c>
      <c r="AG2690" s="1" t="s">
        <v>848</v>
      </c>
    </row>
    <row r="2691" spans="1:33">
      <c r="A2691" t="s">
        <v>9634</v>
      </c>
      <c r="C2691" t="s">
        <v>846</v>
      </c>
      <c r="D2691" t="s">
        <v>154</v>
      </c>
      <c r="E2691" t="s">
        <v>9612</v>
      </c>
      <c r="F2691" t="s">
        <v>9613</v>
      </c>
      <c r="G2691">
        <v>670.9</v>
      </c>
      <c r="H2691">
        <v>670.9</v>
      </c>
      <c r="I2691" t="s">
        <v>847</v>
      </c>
      <c r="J2691" t="s">
        <v>848</v>
      </c>
      <c r="K2691" t="s">
        <v>31</v>
      </c>
      <c r="L2691" t="s">
        <v>32</v>
      </c>
      <c r="M2691" t="s">
        <v>33</v>
      </c>
      <c r="P2691" s="1" t="s">
        <v>9635</v>
      </c>
      <c r="Q2691" s="1" t="s">
        <v>9612</v>
      </c>
      <c r="R2691" s="1" t="s">
        <v>9612</v>
      </c>
      <c r="S2691" s="1"/>
      <c r="T2691" s="1" t="s">
        <v>846</v>
      </c>
      <c r="U2691" s="1"/>
      <c r="V2691" s="1">
        <v>670.9</v>
      </c>
      <c r="W2691" s="1">
        <v>670.9</v>
      </c>
      <c r="X2691" s="1" t="s">
        <v>35</v>
      </c>
      <c r="Y2691" s="1">
        <v>670900.0</v>
      </c>
      <c r="Z2691" s="1"/>
      <c r="AA2691" s="1">
        <v>670900.0</v>
      </c>
      <c r="AB2691" s="1"/>
      <c r="AC2691" s="1" t="s">
        <v>36</v>
      </c>
      <c r="AD2691" s="1" t="s">
        <v>9636</v>
      </c>
      <c r="AE2691" s="1" t="s">
        <v>32</v>
      </c>
      <c r="AF2691" s="1" t="s">
        <v>33</v>
      </c>
      <c r="AG2691" s="1" t="s">
        <v>848</v>
      </c>
    </row>
    <row r="2692" spans="1:33">
      <c r="A2692" t="s">
        <v>9637</v>
      </c>
      <c r="B2692" t="s">
        <v>9638</v>
      </c>
      <c r="C2692" t="s">
        <v>47</v>
      </c>
      <c r="E2692" t="s">
        <v>9612</v>
      </c>
      <c r="F2692" t="s">
        <v>9613</v>
      </c>
      <c r="G2692">
        <v>134.0</v>
      </c>
      <c r="H2692">
        <v>134.0</v>
      </c>
      <c r="I2692" t="s">
        <v>2206</v>
      </c>
      <c r="J2692" t="s">
        <v>49</v>
      </c>
      <c r="K2692" t="s">
        <v>31</v>
      </c>
      <c r="L2692" t="s">
        <v>32</v>
      </c>
      <c r="M2692" t="s">
        <v>33</v>
      </c>
      <c r="P2692" s="1" t="s">
        <v>9639</v>
      </c>
      <c r="Q2692" s="1" t="s">
        <v>9612</v>
      </c>
      <c r="R2692" s="1" t="s">
        <v>9612</v>
      </c>
      <c r="S2692" s="1"/>
      <c r="T2692" s="1" t="s">
        <v>47</v>
      </c>
      <c r="U2692" s="1"/>
      <c r="V2692" s="1">
        <v>134.0</v>
      </c>
      <c r="W2692" s="1">
        <v>134.0</v>
      </c>
      <c r="X2692" s="1" t="s">
        <v>35</v>
      </c>
      <c r="Y2692" s="1">
        <v>134000.0</v>
      </c>
      <c r="Z2692" s="1"/>
      <c r="AA2692" s="1">
        <v>134000.0</v>
      </c>
      <c r="AB2692" s="1"/>
      <c r="AC2692" s="1" t="s">
        <v>36</v>
      </c>
      <c r="AD2692" s="1" t="s">
        <v>9640</v>
      </c>
      <c r="AE2692" s="1" t="s">
        <v>32</v>
      </c>
      <c r="AF2692" s="1" t="s">
        <v>33</v>
      </c>
      <c r="AG2692" s="1" t="s">
        <v>49</v>
      </c>
    </row>
    <row r="2693" spans="1:33">
      <c r="A2693" t="s">
        <v>9641</v>
      </c>
      <c r="B2693" t="s">
        <v>4940</v>
      </c>
      <c r="C2693" t="s">
        <v>131</v>
      </c>
      <c r="E2693" t="s">
        <v>9612</v>
      </c>
      <c r="F2693" t="s">
        <v>9613</v>
      </c>
      <c r="G2693">
        <v>20.99</v>
      </c>
      <c r="H2693">
        <v>20.99</v>
      </c>
      <c r="I2693" t="s">
        <v>94</v>
      </c>
      <c r="J2693" t="s">
        <v>95</v>
      </c>
      <c r="K2693" t="s">
        <v>31</v>
      </c>
      <c r="L2693" t="s">
        <v>32</v>
      </c>
      <c r="M2693" t="s">
        <v>33</v>
      </c>
      <c r="P2693" s="1" t="s">
        <v>9642</v>
      </c>
      <c r="Q2693" s="1" t="s">
        <v>9612</v>
      </c>
      <c r="R2693" s="1" t="s">
        <v>9612</v>
      </c>
      <c r="S2693" s="1"/>
      <c r="T2693" s="1" t="s">
        <v>131</v>
      </c>
      <c r="U2693" s="1"/>
      <c r="V2693" s="1">
        <v>20.99</v>
      </c>
      <c r="W2693" s="1">
        <v>20.99</v>
      </c>
      <c r="X2693" s="1" t="s">
        <v>35</v>
      </c>
      <c r="Y2693" s="1">
        <v>20990.0</v>
      </c>
      <c r="Z2693" s="1"/>
      <c r="AA2693" s="1">
        <v>20990.0</v>
      </c>
      <c r="AB2693" s="1"/>
      <c r="AC2693" s="1" t="s">
        <v>36</v>
      </c>
      <c r="AD2693" s="1" t="s">
        <v>9643</v>
      </c>
      <c r="AE2693" s="1" t="s">
        <v>32</v>
      </c>
      <c r="AF2693" s="1" t="s">
        <v>33</v>
      </c>
      <c r="AG2693" s="1" t="s">
        <v>95</v>
      </c>
    </row>
    <row r="2694" spans="1:33">
      <c r="A2694" t="s">
        <v>9644</v>
      </c>
      <c r="B2694" t="s">
        <v>9645</v>
      </c>
      <c r="C2694" t="s">
        <v>131</v>
      </c>
      <c r="E2694" t="s">
        <v>9612</v>
      </c>
      <c r="F2694" t="s">
        <v>9613</v>
      </c>
      <c r="G2694">
        <v>46.28</v>
      </c>
      <c r="H2694">
        <v>46.28</v>
      </c>
      <c r="I2694" t="s">
        <v>94</v>
      </c>
      <c r="J2694" t="s">
        <v>95</v>
      </c>
      <c r="K2694" t="s">
        <v>31</v>
      </c>
      <c r="L2694" t="s">
        <v>32</v>
      </c>
      <c r="M2694" t="s">
        <v>33</v>
      </c>
      <c r="P2694" s="1" t="s">
        <v>9646</v>
      </c>
      <c r="Q2694" s="1" t="s">
        <v>9612</v>
      </c>
      <c r="R2694" s="1" t="s">
        <v>9612</v>
      </c>
      <c r="S2694" s="1"/>
      <c r="T2694" s="1" t="s">
        <v>131</v>
      </c>
      <c r="U2694" s="1"/>
      <c r="V2694" s="1">
        <v>46.28</v>
      </c>
      <c r="W2694" s="1">
        <v>46.28</v>
      </c>
      <c r="X2694" s="1" t="s">
        <v>35</v>
      </c>
      <c r="Y2694" s="1">
        <v>46280.0</v>
      </c>
      <c r="Z2694" s="1"/>
      <c r="AA2694" s="1">
        <v>46280.0</v>
      </c>
      <c r="AB2694" s="1"/>
      <c r="AC2694" s="1" t="s">
        <v>36</v>
      </c>
      <c r="AD2694" s="1" t="s">
        <v>9647</v>
      </c>
      <c r="AE2694" s="1" t="s">
        <v>32</v>
      </c>
      <c r="AF2694" s="1" t="s">
        <v>33</v>
      </c>
      <c r="AG2694" s="1" t="s">
        <v>95</v>
      </c>
    </row>
    <row r="2695" spans="1:33">
      <c r="A2695" t="s">
        <v>9648</v>
      </c>
      <c r="B2695" t="s">
        <v>9649</v>
      </c>
      <c r="C2695" t="s">
        <v>135</v>
      </c>
      <c r="E2695" t="s">
        <v>9612</v>
      </c>
      <c r="F2695" t="s">
        <v>9613</v>
      </c>
      <c r="G2695">
        <v>78.0</v>
      </c>
      <c r="H2695">
        <v>78.0</v>
      </c>
      <c r="I2695" t="s">
        <v>136</v>
      </c>
      <c r="J2695" t="s">
        <v>137</v>
      </c>
      <c r="K2695" t="s">
        <v>31</v>
      </c>
      <c r="L2695" t="s">
        <v>32</v>
      </c>
      <c r="M2695" t="s">
        <v>33</v>
      </c>
      <c r="P2695" s="1" t="s">
        <v>9650</v>
      </c>
      <c r="Q2695" s="1" t="s">
        <v>9612</v>
      </c>
      <c r="R2695" s="1" t="s">
        <v>9612</v>
      </c>
      <c r="S2695" s="1"/>
      <c r="T2695" s="1" t="s">
        <v>135</v>
      </c>
      <c r="U2695" s="1"/>
      <c r="V2695" s="1">
        <v>78.0</v>
      </c>
      <c r="W2695" s="1">
        <v>78.0</v>
      </c>
      <c r="X2695" s="1" t="s">
        <v>35</v>
      </c>
      <c r="Y2695" s="1">
        <v>78000.0</v>
      </c>
      <c r="Z2695" s="1"/>
      <c r="AA2695" s="1">
        <v>78000.0</v>
      </c>
      <c r="AB2695" s="1"/>
      <c r="AC2695" s="1" t="s">
        <v>36</v>
      </c>
      <c r="AD2695" s="1" t="s">
        <v>9640</v>
      </c>
      <c r="AE2695" s="1" t="s">
        <v>32</v>
      </c>
      <c r="AF2695" s="1" t="s">
        <v>33</v>
      </c>
      <c r="AG2695" s="1" t="s">
        <v>137</v>
      </c>
    </row>
    <row r="2696" spans="1:33">
      <c r="A2696" t="s">
        <v>9651</v>
      </c>
      <c r="B2696" t="s">
        <v>9652</v>
      </c>
      <c r="C2696" t="s">
        <v>135</v>
      </c>
      <c r="E2696" t="s">
        <v>9612</v>
      </c>
      <c r="F2696" t="s">
        <v>9613</v>
      </c>
      <c r="G2696">
        <v>49.75</v>
      </c>
      <c r="H2696">
        <v>49.75</v>
      </c>
      <c r="I2696" t="s">
        <v>136</v>
      </c>
      <c r="J2696" t="s">
        <v>137</v>
      </c>
      <c r="K2696" t="s">
        <v>31</v>
      </c>
      <c r="L2696" t="s">
        <v>32</v>
      </c>
      <c r="M2696" t="s">
        <v>33</v>
      </c>
      <c r="P2696" s="1" t="s">
        <v>9653</v>
      </c>
      <c r="Q2696" s="1" t="s">
        <v>9612</v>
      </c>
      <c r="R2696" s="1" t="s">
        <v>9612</v>
      </c>
      <c r="S2696" s="1"/>
      <c r="T2696" s="1" t="s">
        <v>135</v>
      </c>
      <c r="U2696" s="1"/>
      <c r="V2696" s="1">
        <v>49.75</v>
      </c>
      <c r="W2696" s="1">
        <v>49.75</v>
      </c>
      <c r="X2696" s="1" t="s">
        <v>35</v>
      </c>
      <c r="Y2696" s="1">
        <v>49750.0</v>
      </c>
      <c r="Z2696" s="1"/>
      <c r="AA2696" s="1">
        <v>49750.0</v>
      </c>
      <c r="AB2696" s="1"/>
      <c r="AC2696" s="1" t="s">
        <v>36</v>
      </c>
      <c r="AD2696" s="1" t="s">
        <v>9654</v>
      </c>
      <c r="AE2696" s="1" t="s">
        <v>32</v>
      </c>
      <c r="AF2696" s="1" t="s">
        <v>33</v>
      </c>
      <c r="AG2696" s="1" t="s">
        <v>137</v>
      </c>
    </row>
    <row r="2697" spans="1:33">
      <c r="A2697" t="s">
        <v>9655</v>
      </c>
      <c r="B2697" t="s">
        <v>9652</v>
      </c>
      <c r="C2697" t="s">
        <v>135</v>
      </c>
      <c r="E2697" t="s">
        <v>9612</v>
      </c>
      <c r="F2697" t="s">
        <v>9613</v>
      </c>
      <c r="G2697">
        <v>16.9</v>
      </c>
      <c r="H2697">
        <v>16.9</v>
      </c>
      <c r="I2697" t="s">
        <v>136</v>
      </c>
      <c r="J2697" t="s">
        <v>137</v>
      </c>
      <c r="K2697" t="s">
        <v>31</v>
      </c>
      <c r="L2697" t="s">
        <v>32</v>
      </c>
      <c r="M2697" t="s">
        <v>33</v>
      </c>
      <c r="P2697" s="1" t="s">
        <v>9656</v>
      </c>
      <c r="Q2697" s="1" t="s">
        <v>9612</v>
      </c>
      <c r="R2697" s="1" t="s">
        <v>9612</v>
      </c>
      <c r="S2697" s="1"/>
      <c r="T2697" s="1" t="s">
        <v>135</v>
      </c>
      <c r="U2697" s="1"/>
      <c r="V2697" s="1">
        <v>16.9</v>
      </c>
      <c r="W2697" s="1">
        <v>16.9</v>
      </c>
      <c r="X2697" s="1" t="s">
        <v>35</v>
      </c>
      <c r="Y2697" s="1">
        <v>16900.0</v>
      </c>
      <c r="Z2697" s="1"/>
      <c r="AA2697" s="1">
        <v>16900.0</v>
      </c>
      <c r="AB2697" s="1"/>
      <c r="AC2697" s="1" t="s">
        <v>36</v>
      </c>
      <c r="AD2697" s="1" t="s">
        <v>9657</v>
      </c>
      <c r="AE2697" s="1" t="s">
        <v>32</v>
      </c>
      <c r="AF2697" s="1" t="s">
        <v>33</v>
      </c>
      <c r="AG2697" s="1" t="s">
        <v>137</v>
      </c>
    </row>
    <row r="2698" spans="1:33">
      <c r="A2698" t="s">
        <v>9658</v>
      </c>
      <c r="B2698" t="s">
        <v>9659</v>
      </c>
      <c r="C2698" t="s">
        <v>135</v>
      </c>
      <c r="E2698" t="s">
        <v>9612</v>
      </c>
      <c r="F2698" t="s">
        <v>9613</v>
      </c>
      <c r="G2698">
        <v>122.7</v>
      </c>
      <c r="H2698">
        <v>122.7</v>
      </c>
      <c r="I2698" t="s">
        <v>136</v>
      </c>
      <c r="J2698" t="s">
        <v>137</v>
      </c>
      <c r="K2698" t="s">
        <v>31</v>
      </c>
      <c r="L2698" t="s">
        <v>32</v>
      </c>
      <c r="M2698" t="s">
        <v>33</v>
      </c>
      <c r="P2698" s="1" t="s">
        <v>9660</v>
      </c>
      <c r="Q2698" s="1" t="s">
        <v>9612</v>
      </c>
      <c r="R2698" s="1" t="s">
        <v>9612</v>
      </c>
      <c r="S2698" s="1"/>
      <c r="T2698" s="1" t="s">
        <v>135</v>
      </c>
      <c r="U2698" s="1"/>
      <c r="V2698" s="1">
        <v>122.7</v>
      </c>
      <c r="W2698" s="1">
        <v>122.7</v>
      </c>
      <c r="X2698" s="1" t="s">
        <v>35</v>
      </c>
      <c r="Y2698" s="1">
        <v>122700.0</v>
      </c>
      <c r="Z2698" s="1"/>
      <c r="AA2698" s="1">
        <v>122700.0</v>
      </c>
      <c r="AB2698" s="1"/>
      <c r="AC2698" s="1" t="s">
        <v>36</v>
      </c>
      <c r="AD2698" s="1" t="s">
        <v>9661</v>
      </c>
      <c r="AE2698" s="1" t="s">
        <v>32</v>
      </c>
      <c r="AF2698" s="1" t="s">
        <v>33</v>
      </c>
      <c r="AG2698" s="1" t="s">
        <v>137</v>
      </c>
    </row>
    <row r="2699" spans="1:33">
      <c r="A2699" t="s">
        <v>9662</v>
      </c>
      <c r="B2699" t="s">
        <v>9663</v>
      </c>
      <c r="C2699" t="s">
        <v>135</v>
      </c>
      <c r="E2699" t="s">
        <v>9612</v>
      </c>
      <c r="F2699" t="s">
        <v>9613</v>
      </c>
      <c r="G2699">
        <v>99.5</v>
      </c>
      <c r="H2699">
        <v>99.5</v>
      </c>
      <c r="I2699" t="s">
        <v>136</v>
      </c>
      <c r="J2699" t="s">
        <v>137</v>
      </c>
      <c r="K2699" t="s">
        <v>31</v>
      </c>
      <c r="L2699" t="s">
        <v>32</v>
      </c>
      <c r="M2699" t="s">
        <v>33</v>
      </c>
      <c r="P2699" s="1" t="s">
        <v>9664</v>
      </c>
      <c r="Q2699" s="1" t="s">
        <v>9612</v>
      </c>
      <c r="R2699" s="1" t="s">
        <v>9612</v>
      </c>
      <c r="S2699" s="1"/>
      <c r="T2699" s="1" t="s">
        <v>135</v>
      </c>
      <c r="U2699" s="1"/>
      <c r="V2699" s="1">
        <v>99.5</v>
      </c>
      <c r="W2699" s="1">
        <v>99.5</v>
      </c>
      <c r="X2699" s="1" t="s">
        <v>35</v>
      </c>
      <c r="Y2699" s="1">
        <v>99500.0</v>
      </c>
      <c r="Z2699" s="1"/>
      <c r="AA2699" s="1">
        <v>99500.0</v>
      </c>
      <c r="AB2699" s="1"/>
      <c r="AC2699" s="1" t="s">
        <v>36</v>
      </c>
      <c r="AD2699" s="1" t="s">
        <v>9665</v>
      </c>
      <c r="AE2699" s="1" t="s">
        <v>32</v>
      </c>
      <c r="AF2699" s="1" t="s">
        <v>33</v>
      </c>
      <c r="AG2699" s="1" t="s">
        <v>137</v>
      </c>
    </row>
    <row r="2700" spans="1:33">
      <c r="A2700" t="s">
        <v>9666</v>
      </c>
      <c r="C2700" t="s">
        <v>135</v>
      </c>
      <c r="E2700" t="s">
        <v>9612</v>
      </c>
      <c r="F2700" t="s">
        <v>9613</v>
      </c>
      <c r="G2700">
        <v>91.75</v>
      </c>
      <c r="H2700">
        <v>91.75</v>
      </c>
      <c r="I2700" t="s">
        <v>136</v>
      </c>
      <c r="J2700" t="s">
        <v>137</v>
      </c>
      <c r="K2700" t="s">
        <v>31</v>
      </c>
      <c r="L2700" t="s">
        <v>32</v>
      </c>
      <c r="M2700" t="s">
        <v>33</v>
      </c>
      <c r="P2700" s="1" t="s">
        <v>9667</v>
      </c>
      <c r="Q2700" s="1" t="s">
        <v>9612</v>
      </c>
      <c r="R2700" s="1" t="s">
        <v>9612</v>
      </c>
      <c r="S2700" s="1"/>
      <c r="T2700" s="1" t="s">
        <v>135</v>
      </c>
      <c r="U2700" s="1"/>
      <c r="V2700" s="1">
        <v>91.75</v>
      </c>
      <c r="W2700" s="1">
        <v>91.75</v>
      </c>
      <c r="X2700" s="1" t="s">
        <v>35</v>
      </c>
      <c r="Y2700" s="1">
        <v>91750.0</v>
      </c>
      <c r="Z2700" s="1"/>
      <c r="AA2700" s="1">
        <v>91750.0</v>
      </c>
      <c r="AB2700" s="1"/>
      <c r="AC2700" s="1" t="s">
        <v>36</v>
      </c>
      <c r="AD2700" s="1" t="s">
        <v>9668</v>
      </c>
      <c r="AE2700" s="1" t="s">
        <v>32</v>
      </c>
      <c r="AF2700" s="1" t="s">
        <v>33</v>
      </c>
      <c r="AG2700" s="1" t="s">
        <v>137</v>
      </c>
    </row>
    <row r="2701" spans="1:33">
      <c r="A2701" t="s">
        <v>9669</v>
      </c>
      <c r="C2701" t="s">
        <v>3500</v>
      </c>
      <c r="E2701" t="s">
        <v>9612</v>
      </c>
      <c r="F2701" t="s">
        <v>9613</v>
      </c>
      <c r="G2701">
        <v>352.0</v>
      </c>
      <c r="H2701">
        <v>352.0</v>
      </c>
      <c r="I2701" t="s">
        <v>173</v>
      </c>
      <c r="J2701" t="s">
        <v>174</v>
      </c>
      <c r="K2701" t="s">
        <v>31</v>
      </c>
      <c r="L2701" t="s">
        <v>32</v>
      </c>
      <c r="M2701" t="s">
        <v>33</v>
      </c>
      <c r="P2701" s="1" t="s">
        <v>9670</v>
      </c>
      <c r="Q2701" s="1" t="s">
        <v>9612</v>
      </c>
      <c r="R2701" s="1" t="s">
        <v>9612</v>
      </c>
      <c r="S2701" s="1"/>
      <c r="T2701" s="1" t="s">
        <v>3502</v>
      </c>
      <c r="U2701" s="1" t="s">
        <v>3503</v>
      </c>
      <c r="V2701" s="1">
        <v>352.0</v>
      </c>
      <c r="W2701" s="1">
        <v>352.0</v>
      </c>
      <c r="X2701" s="1" t="s">
        <v>35</v>
      </c>
      <c r="Y2701" s="1">
        <v>352000.0</v>
      </c>
      <c r="Z2701" s="1"/>
      <c r="AA2701" s="1">
        <v>352000.0</v>
      </c>
      <c r="AB2701" s="1"/>
      <c r="AC2701" s="1" t="s">
        <v>36</v>
      </c>
      <c r="AD2701" s="1" t="s">
        <v>9671</v>
      </c>
      <c r="AE2701" s="1" t="s">
        <v>32</v>
      </c>
      <c r="AF2701" s="1" t="s">
        <v>33</v>
      </c>
      <c r="AG2701" s="1" t="s">
        <v>174</v>
      </c>
    </row>
    <row r="2702" spans="1:33">
      <c r="A2702" t="s">
        <v>9672</v>
      </c>
      <c r="B2702" t="s">
        <v>735</v>
      </c>
      <c r="C2702" t="s">
        <v>736</v>
      </c>
      <c r="E2702" t="s">
        <v>9612</v>
      </c>
      <c r="F2702" t="s">
        <v>9613</v>
      </c>
      <c r="G2702">
        <v>370.0</v>
      </c>
      <c r="H2702">
        <v>370.0</v>
      </c>
      <c r="I2702" t="s">
        <v>59</v>
      </c>
      <c r="J2702" t="s">
        <v>60</v>
      </c>
      <c r="K2702" t="s">
        <v>31</v>
      </c>
      <c r="L2702" t="s">
        <v>32</v>
      </c>
      <c r="M2702" t="s">
        <v>33</v>
      </c>
      <c r="P2702" s="1" t="s">
        <v>9673</v>
      </c>
      <c r="Q2702" s="1" t="s">
        <v>9612</v>
      </c>
      <c r="R2702" s="1" t="s">
        <v>9612</v>
      </c>
      <c r="S2702" s="1"/>
      <c r="T2702" s="1" t="s">
        <v>736</v>
      </c>
      <c r="U2702" s="1"/>
      <c r="V2702" s="1">
        <v>370.0</v>
      </c>
      <c r="W2702" s="1">
        <v>370.0</v>
      </c>
      <c r="X2702" s="1" t="s">
        <v>35</v>
      </c>
      <c r="Y2702" s="1">
        <v>370000.0</v>
      </c>
      <c r="Z2702" s="1"/>
      <c r="AA2702" s="1">
        <v>370000.0</v>
      </c>
      <c r="AB2702" s="1"/>
      <c r="AC2702" s="1" t="s">
        <v>36</v>
      </c>
      <c r="AD2702" s="1" t="s">
        <v>9674</v>
      </c>
      <c r="AE2702" s="1" t="s">
        <v>32</v>
      </c>
      <c r="AF2702" s="1" t="s">
        <v>33</v>
      </c>
      <c r="AG2702" s="1" t="s">
        <v>60</v>
      </c>
    </row>
    <row r="2703" spans="1:33">
      <c r="A2703" t="s">
        <v>9675</v>
      </c>
      <c r="C2703" t="s">
        <v>9676</v>
      </c>
      <c r="E2703" t="s">
        <v>9612</v>
      </c>
      <c r="F2703" t="s">
        <v>9613</v>
      </c>
      <c r="G2703">
        <v>1.5</v>
      </c>
      <c r="H2703">
        <v>1.5</v>
      </c>
      <c r="I2703" t="s">
        <v>9677</v>
      </c>
      <c r="J2703" t="s">
        <v>9678</v>
      </c>
      <c r="K2703" t="s">
        <v>31</v>
      </c>
      <c r="L2703" t="s">
        <v>32</v>
      </c>
      <c r="M2703" t="s">
        <v>33</v>
      </c>
      <c r="P2703" s="1" t="s">
        <v>9679</v>
      </c>
      <c r="Q2703" s="1" t="s">
        <v>9612</v>
      </c>
      <c r="R2703" s="1" t="s">
        <v>9112</v>
      </c>
      <c r="S2703" s="1"/>
      <c r="T2703" s="1" t="s">
        <v>9676</v>
      </c>
      <c r="U2703" s="1"/>
      <c r="V2703" s="1">
        <v>1.5</v>
      </c>
      <c r="W2703" s="1">
        <v>1.5</v>
      </c>
      <c r="X2703" s="1" t="s">
        <v>35</v>
      </c>
      <c r="Y2703" s="1">
        <v>1500.0</v>
      </c>
      <c r="Z2703" s="1"/>
      <c r="AA2703" s="1">
        <v>1500.0</v>
      </c>
      <c r="AB2703" s="1"/>
      <c r="AC2703" s="1" t="s">
        <v>36</v>
      </c>
      <c r="AD2703" s="1" t="s">
        <v>9516</v>
      </c>
      <c r="AE2703" s="1" t="s">
        <v>32</v>
      </c>
      <c r="AF2703" s="1" t="s">
        <v>33</v>
      </c>
      <c r="AG2703" s="1" t="s">
        <v>9678</v>
      </c>
    </row>
    <row r="2704" spans="1:33">
      <c r="A2704" t="s">
        <v>9680</v>
      </c>
      <c r="B2704" t="s">
        <v>1232</v>
      </c>
      <c r="C2704" t="s">
        <v>3169</v>
      </c>
      <c r="E2704" t="s">
        <v>9612</v>
      </c>
      <c r="F2704" t="s">
        <v>9613</v>
      </c>
      <c r="G2704">
        <v>843.0</v>
      </c>
      <c r="H2704">
        <v>843.0</v>
      </c>
      <c r="I2704" t="s">
        <v>529</v>
      </c>
      <c r="J2704" t="s">
        <v>530</v>
      </c>
      <c r="K2704" t="s">
        <v>31</v>
      </c>
      <c r="L2704" t="s">
        <v>32</v>
      </c>
      <c r="M2704" t="s">
        <v>33</v>
      </c>
      <c r="P2704" s="1" t="s">
        <v>9681</v>
      </c>
      <c r="Q2704" s="1" t="s">
        <v>9612</v>
      </c>
      <c r="R2704" s="1" t="s">
        <v>9112</v>
      </c>
      <c r="S2704" s="1"/>
      <c r="T2704" s="1" t="s">
        <v>3169</v>
      </c>
      <c r="U2704" s="1"/>
      <c r="V2704" s="1">
        <v>843.0</v>
      </c>
      <c r="W2704" s="1">
        <v>843.0</v>
      </c>
      <c r="X2704" s="1" t="s">
        <v>35</v>
      </c>
      <c r="Y2704" s="1">
        <v>843000.0</v>
      </c>
      <c r="Z2704" s="1"/>
      <c r="AA2704" s="1">
        <v>843000.0</v>
      </c>
      <c r="AB2704" s="1"/>
      <c r="AC2704" s="1" t="s">
        <v>36</v>
      </c>
      <c r="AD2704" s="1" t="s">
        <v>9682</v>
      </c>
      <c r="AE2704" s="1" t="s">
        <v>32</v>
      </c>
      <c r="AF2704" s="1" t="s">
        <v>33</v>
      </c>
      <c r="AG2704" s="1" t="s">
        <v>530</v>
      </c>
    </row>
    <row r="2705" spans="1:33">
      <c r="A2705" t="s">
        <v>9683</v>
      </c>
      <c r="B2705" t="s">
        <v>9684</v>
      </c>
      <c r="C2705" t="s">
        <v>569</v>
      </c>
      <c r="E2705" t="s">
        <v>9612</v>
      </c>
      <c r="F2705" t="s">
        <v>9613</v>
      </c>
      <c r="G2705">
        <v>20.99</v>
      </c>
      <c r="H2705">
        <v>20.99</v>
      </c>
      <c r="I2705" t="s">
        <v>570</v>
      </c>
      <c r="J2705" t="s">
        <v>571</v>
      </c>
      <c r="K2705" t="s">
        <v>31</v>
      </c>
      <c r="L2705" t="s">
        <v>32</v>
      </c>
      <c r="M2705" t="s">
        <v>33</v>
      </c>
      <c r="P2705" s="1" t="s">
        <v>9685</v>
      </c>
      <c r="Q2705" s="1" t="s">
        <v>9612</v>
      </c>
      <c r="R2705" s="1" t="s">
        <v>9612</v>
      </c>
      <c r="S2705" s="1"/>
      <c r="T2705" s="1" t="s">
        <v>569</v>
      </c>
      <c r="U2705" s="1"/>
      <c r="V2705" s="1">
        <v>20.99</v>
      </c>
      <c r="W2705" s="1">
        <v>20.99</v>
      </c>
      <c r="X2705" s="1" t="s">
        <v>35</v>
      </c>
      <c r="Y2705" s="1">
        <v>20990.0</v>
      </c>
      <c r="Z2705" s="1"/>
      <c r="AA2705" s="1">
        <v>20990.0</v>
      </c>
      <c r="AB2705" s="1"/>
      <c r="AC2705" s="1" t="s">
        <v>36</v>
      </c>
      <c r="AD2705" s="1" t="s">
        <v>9686</v>
      </c>
      <c r="AE2705" s="1" t="s">
        <v>32</v>
      </c>
      <c r="AF2705" s="1" t="s">
        <v>33</v>
      </c>
      <c r="AG2705" s="1" t="s">
        <v>571</v>
      </c>
    </row>
    <row r="2706" spans="1:33">
      <c r="A2706" t="s">
        <v>9687</v>
      </c>
      <c r="B2706" t="s">
        <v>57</v>
      </c>
      <c r="C2706" t="s">
        <v>58</v>
      </c>
      <c r="E2706" t="s">
        <v>9612</v>
      </c>
      <c r="F2706" t="s">
        <v>9613</v>
      </c>
      <c r="G2706">
        <v>335.0</v>
      </c>
      <c r="H2706">
        <v>335.0</v>
      </c>
      <c r="I2706" t="s">
        <v>59</v>
      </c>
      <c r="J2706" t="s">
        <v>60</v>
      </c>
      <c r="K2706" t="s">
        <v>31</v>
      </c>
      <c r="L2706" t="s">
        <v>32</v>
      </c>
      <c r="M2706" t="s">
        <v>33</v>
      </c>
      <c r="P2706" s="1" t="s">
        <v>9688</v>
      </c>
      <c r="Q2706" s="1" t="s">
        <v>9612</v>
      </c>
      <c r="R2706" s="1" t="s">
        <v>9612</v>
      </c>
      <c r="S2706" s="1"/>
      <c r="T2706" s="1" t="s">
        <v>58</v>
      </c>
      <c r="U2706" s="1"/>
      <c r="V2706" s="1">
        <v>335.0</v>
      </c>
      <c r="W2706" s="1">
        <v>335.0</v>
      </c>
      <c r="X2706" s="1" t="s">
        <v>35</v>
      </c>
      <c r="Y2706" s="1">
        <v>335000.0</v>
      </c>
      <c r="Z2706" s="1"/>
      <c r="AA2706" s="1">
        <v>335000.0</v>
      </c>
      <c r="AB2706" s="1"/>
      <c r="AC2706" s="1" t="s">
        <v>36</v>
      </c>
      <c r="AD2706" s="1" t="s">
        <v>9689</v>
      </c>
      <c r="AE2706" s="1" t="s">
        <v>32</v>
      </c>
      <c r="AF2706" s="1" t="s">
        <v>33</v>
      </c>
      <c r="AG2706" s="1" t="s">
        <v>60</v>
      </c>
    </row>
    <row r="2707" spans="1:33">
      <c r="A2707" t="s">
        <v>9690</v>
      </c>
      <c r="B2707" t="s">
        <v>3200</v>
      </c>
      <c r="C2707" t="s">
        <v>569</v>
      </c>
      <c r="E2707" t="s">
        <v>9612</v>
      </c>
      <c r="F2707" t="s">
        <v>9613</v>
      </c>
      <c r="G2707">
        <v>43.98</v>
      </c>
      <c r="H2707">
        <v>43.98</v>
      </c>
      <c r="I2707" t="s">
        <v>570</v>
      </c>
      <c r="J2707" t="s">
        <v>571</v>
      </c>
      <c r="K2707" t="s">
        <v>31</v>
      </c>
      <c r="L2707" t="s">
        <v>32</v>
      </c>
      <c r="M2707" t="s">
        <v>33</v>
      </c>
      <c r="P2707" s="1" t="s">
        <v>9691</v>
      </c>
      <c r="Q2707" s="1" t="s">
        <v>9612</v>
      </c>
      <c r="R2707" s="1" t="s">
        <v>9612</v>
      </c>
      <c r="S2707" s="1"/>
      <c r="T2707" s="1" t="s">
        <v>569</v>
      </c>
      <c r="U2707" s="1"/>
      <c r="V2707" s="1">
        <v>43.98</v>
      </c>
      <c r="W2707" s="1">
        <v>43.98</v>
      </c>
      <c r="X2707" s="1" t="s">
        <v>35</v>
      </c>
      <c r="Y2707" s="1">
        <v>43980.0</v>
      </c>
      <c r="Z2707" s="1"/>
      <c r="AA2707" s="1">
        <v>43980.0</v>
      </c>
      <c r="AB2707" s="1"/>
      <c r="AC2707" s="1" t="s">
        <v>36</v>
      </c>
      <c r="AD2707" s="1" t="s">
        <v>9692</v>
      </c>
      <c r="AE2707" s="1" t="s">
        <v>32</v>
      </c>
      <c r="AF2707" s="1" t="s">
        <v>33</v>
      </c>
      <c r="AG2707" s="1" t="s">
        <v>571</v>
      </c>
    </row>
    <row r="2708" spans="1:33">
      <c r="A2708" t="s">
        <v>9693</v>
      </c>
      <c r="C2708" t="s">
        <v>9694</v>
      </c>
      <c r="E2708" t="s">
        <v>9612</v>
      </c>
      <c r="F2708" t="s">
        <v>9613</v>
      </c>
      <c r="G2708">
        <v>525.5</v>
      </c>
      <c r="H2708">
        <v>525.5</v>
      </c>
      <c r="I2708" t="s">
        <v>227</v>
      </c>
      <c r="J2708" t="s">
        <v>228</v>
      </c>
      <c r="K2708" t="s">
        <v>31</v>
      </c>
      <c r="L2708" t="s">
        <v>32</v>
      </c>
      <c r="M2708" t="s">
        <v>33</v>
      </c>
      <c r="P2708" s="1" t="s">
        <v>9695</v>
      </c>
      <c r="Q2708" s="1" t="s">
        <v>9612</v>
      </c>
      <c r="R2708" s="1" t="s">
        <v>9612</v>
      </c>
      <c r="S2708" s="1"/>
      <c r="T2708" s="1" t="s">
        <v>9694</v>
      </c>
      <c r="U2708" s="1"/>
      <c r="V2708" s="1">
        <v>525.5</v>
      </c>
      <c r="W2708" s="1">
        <v>525.5</v>
      </c>
      <c r="X2708" s="1" t="s">
        <v>35</v>
      </c>
      <c r="Y2708" s="1">
        <v>525500.0</v>
      </c>
      <c r="Z2708" s="1"/>
      <c r="AA2708" s="1">
        <v>525500.0</v>
      </c>
      <c r="AB2708" s="1"/>
      <c r="AC2708" s="1" t="s">
        <v>36</v>
      </c>
      <c r="AD2708" s="1" t="s">
        <v>9661</v>
      </c>
      <c r="AE2708" s="1" t="s">
        <v>32</v>
      </c>
      <c r="AF2708" s="1" t="s">
        <v>33</v>
      </c>
      <c r="AG2708" s="1" t="s">
        <v>228</v>
      </c>
    </row>
    <row r="2709" spans="1:33">
      <c r="A2709" t="s">
        <v>9696</v>
      </c>
      <c r="C2709" t="s">
        <v>2284</v>
      </c>
      <c r="E2709" t="s">
        <v>9612</v>
      </c>
      <c r="F2709" t="s">
        <v>9613</v>
      </c>
      <c r="G2709">
        <v>2.377</v>
      </c>
      <c r="H2709">
        <v>2.377</v>
      </c>
      <c r="I2709" t="s">
        <v>269</v>
      </c>
      <c r="J2709" t="s">
        <v>270</v>
      </c>
      <c r="K2709" t="s">
        <v>31</v>
      </c>
      <c r="L2709" t="s">
        <v>32</v>
      </c>
      <c r="M2709" t="s">
        <v>33</v>
      </c>
      <c r="P2709" s="1" t="s">
        <v>9697</v>
      </c>
      <c r="Q2709" s="1" t="s">
        <v>9612</v>
      </c>
      <c r="R2709" s="1" t="s">
        <v>9612</v>
      </c>
      <c r="S2709" s="1"/>
      <c r="T2709" s="1" t="s">
        <v>2284</v>
      </c>
      <c r="U2709" s="1"/>
      <c r="V2709" s="1">
        <v>2.377</v>
      </c>
      <c r="W2709" s="1">
        <v>2.377</v>
      </c>
      <c r="X2709" s="1" t="s">
        <v>35</v>
      </c>
      <c r="Y2709" s="1">
        <v>2377000.0</v>
      </c>
      <c r="Z2709" s="1"/>
      <c r="AA2709" s="1">
        <v>2377000.0</v>
      </c>
      <c r="AB2709" s="1"/>
      <c r="AC2709" s="1" t="s">
        <v>36</v>
      </c>
      <c r="AD2709" s="1" t="s">
        <v>9698</v>
      </c>
      <c r="AE2709" s="1" t="s">
        <v>32</v>
      </c>
      <c r="AF2709" s="1" t="s">
        <v>33</v>
      </c>
      <c r="AG2709" s="1" t="s">
        <v>270</v>
      </c>
    </row>
    <row r="2710" spans="1:33">
      <c r="A2710" t="s">
        <v>9699</v>
      </c>
      <c r="C2710" t="s">
        <v>9700</v>
      </c>
      <c r="D2710" t="s">
        <v>154</v>
      </c>
      <c r="E2710" t="s">
        <v>9612</v>
      </c>
      <c r="F2710" t="s">
        <v>9613</v>
      </c>
      <c r="G2710">
        <v>210.0</v>
      </c>
      <c r="H2710">
        <v>210.0</v>
      </c>
      <c r="I2710" t="s">
        <v>40</v>
      </c>
      <c r="J2710" t="s">
        <v>41</v>
      </c>
      <c r="K2710" t="s">
        <v>31</v>
      </c>
      <c r="L2710" t="s">
        <v>32</v>
      </c>
      <c r="M2710" t="s">
        <v>33</v>
      </c>
      <c r="P2710" s="1" t="s">
        <v>9701</v>
      </c>
      <c r="Q2710" s="1" t="s">
        <v>9612</v>
      </c>
      <c r="R2710" s="1" t="s">
        <v>9112</v>
      </c>
      <c r="S2710" s="1"/>
      <c r="T2710" s="1" t="s">
        <v>9700</v>
      </c>
      <c r="U2710" s="1"/>
      <c r="V2710" s="1">
        <v>210.0</v>
      </c>
      <c r="W2710" s="1">
        <v>210.0</v>
      </c>
      <c r="X2710" s="1" t="s">
        <v>35</v>
      </c>
      <c r="Y2710" s="1">
        <v>210000.0</v>
      </c>
      <c r="Z2710" s="1"/>
      <c r="AA2710" s="1">
        <v>210000.0</v>
      </c>
      <c r="AB2710" s="1"/>
      <c r="AC2710" s="1" t="s">
        <v>36</v>
      </c>
      <c r="AD2710" s="1" t="s">
        <v>9702</v>
      </c>
      <c r="AE2710" s="1" t="s">
        <v>32</v>
      </c>
      <c r="AF2710" s="1" t="s">
        <v>33</v>
      </c>
      <c r="AG2710" s="1" t="s">
        <v>41</v>
      </c>
    </row>
    <row r="2711" spans="1:33">
      <c r="A2711" t="s">
        <v>9703</v>
      </c>
      <c r="B2711" t="s">
        <v>9704</v>
      </c>
      <c r="C2711" t="s">
        <v>26</v>
      </c>
      <c r="E2711" t="s">
        <v>9612</v>
      </c>
      <c r="F2711" t="s">
        <v>9613</v>
      </c>
      <c r="G2711">
        <v>276.82</v>
      </c>
      <c r="H2711">
        <v>276.82</v>
      </c>
      <c r="I2711" t="s">
        <v>29</v>
      </c>
      <c r="J2711" t="s">
        <v>30</v>
      </c>
      <c r="K2711" t="s">
        <v>31</v>
      </c>
      <c r="L2711" t="s">
        <v>32</v>
      </c>
      <c r="M2711" t="s">
        <v>33</v>
      </c>
      <c r="P2711" s="1" t="s">
        <v>9705</v>
      </c>
      <c r="Q2711" s="1" t="s">
        <v>9612</v>
      </c>
      <c r="R2711" s="1" t="s">
        <v>9612</v>
      </c>
      <c r="S2711" s="1"/>
      <c r="T2711" s="1" t="s">
        <v>26</v>
      </c>
      <c r="U2711" s="1"/>
      <c r="V2711" s="1">
        <v>276.82</v>
      </c>
      <c r="W2711" s="1">
        <v>276.82</v>
      </c>
      <c r="X2711" s="1" t="s">
        <v>35</v>
      </c>
      <c r="Y2711" s="1">
        <v>276820.0</v>
      </c>
      <c r="Z2711" s="1"/>
      <c r="AA2711" s="1">
        <v>276820.0</v>
      </c>
      <c r="AB2711" s="1"/>
      <c r="AC2711" s="1" t="s">
        <v>36</v>
      </c>
      <c r="AD2711" s="1" t="s">
        <v>9674</v>
      </c>
      <c r="AE2711" s="1" t="s">
        <v>32</v>
      </c>
      <c r="AF2711" s="1" t="s">
        <v>33</v>
      </c>
      <c r="AG2711" s="1" t="s">
        <v>30</v>
      </c>
    </row>
    <row r="2712" spans="1:33">
      <c r="A2712" t="s">
        <v>9706</v>
      </c>
      <c r="B2712" t="s">
        <v>9707</v>
      </c>
      <c r="C2712" t="s">
        <v>47</v>
      </c>
      <c r="E2712" t="s">
        <v>9612</v>
      </c>
      <c r="F2712" t="s">
        <v>9613</v>
      </c>
      <c r="G2712">
        <v>20.49</v>
      </c>
      <c r="H2712">
        <v>20.49</v>
      </c>
      <c r="I2712" t="s">
        <v>2206</v>
      </c>
      <c r="J2712" t="s">
        <v>49</v>
      </c>
      <c r="K2712" t="s">
        <v>31</v>
      </c>
      <c r="L2712" t="s">
        <v>32</v>
      </c>
      <c r="M2712" t="s">
        <v>33</v>
      </c>
      <c r="P2712" s="1" t="s">
        <v>9708</v>
      </c>
      <c r="Q2712" s="1" t="s">
        <v>9612</v>
      </c>
      <c r="R2712" s="1" t="s">
        <v>9612</v>
      </c>
      <c r="S2712" s="1"/>
      <c r="T2712" s="1" t="s">
        <v>47</v>
      </c>
      <c r="U2712" s="1"/>
      <c r="V2712" s="1">
        <v>20.49</v>
      </c>
      <c r="W2712" s="1">
        <v>20.49</v>
      </c>
      <c r="X2712" s="1" t="s">
        <v>35</v>
      </c>
      <c r="Y2712" s="1">
        <v>20490.0</v>
      </c>
      <c r="Z2712" s="1"/>
      <c r="AA2712" s="1">
        <v>20490.0</v>
      </c>
      <c r="AB2712" s="1"/>
      <c r="AC2712" s="1" t="s">
        <v>36</v>
      </c>
      <c r="AD2712" s="1" t="s">
        <v>9709</v>
      </c>
      <c r="AE2712" s="1" t="s">
        <v>32</v>
      </c>
      <c r="AF2712" s="1" t="s">
        <v>33</v>
      </c>
      <c r="AG2712" s="1" t="s">
        <v>49</v>
      </c>
    </row>
    <row r="2713" spans="1:33">
      <c r="A2713" t="s">
        <v>9710</v>
      </c>
      <c r="B2713" t="s">
        <v>3604</v>
      </c>
      <c r="C2713" t="s">
        <v>73</v>
      </c>
      <c r="E2713" t="s">
        <v>9612</v>
      </c>
      <c r="F2713" t="s">
        <v>9613</v>
      </c>
      <c r="G2713">
        <v>20.82</v>
      </c>
      <c r="H2713">
        <v>20.82</v>
      </c>
      <c r="I2713" t="s">
        <v>40</v>
      </c>
      <c r="J2713" t="s">
        <v>41</v>
      </c>
      <c r="K2713" t="s">
        <v>31</v>
      </c>
      <c r="L2713" t="s">
        <v>32</v>
      </c>
      <c r="M2713" t="s">
        <v>33</v>
      </c>
      <c r="P2713" s="1" t="s">
        <v>9711</v>
      </c>
      <c r="Q2713" s="1" t="s">
        <v>9612</v>
      </c>
      <c r="R2713" s="1" t="s">
        <v>9112</v>
      </c>
      <c r="S2713" s="1"/>
      <c r="T2713" s="1" t="s">
        <v>75</v>
      </c>
      <c r="U2713" s="1" t="s">
        <v>76</v>
      </c>
      <c r="V2713" s="1">
        <v>20.82</v>
      </c>
      <c r="W2713" s="1">
        <v>20.82</v>
      </c>
      <c r="X2713" s="1" t="s">
        <v>35</v>
      </c>
      <c r="Y2713" s="1">
        <v>20820.0</v>
      </c>
      <c r="Z2713" s="1"/>
      <c r="AA2713" s="1">
        <v>20820.0</v>
      </c>
      <c r="AB2713" s="1"/>
      <c r="AC2713" s="1" t="s">
        <v>36</v>
      </c>
      <c r="AD2713" s="1" t="s">
        <v>9709</v>
      </c>
      <c r="AE2713" s="1" t="s">
        <v>32</v>
      </c>
      <c r="AF2713" s="1" t="s">
        <v>33</v>
      </c>
      <c r="AG2713" s="1" t="s">
        <v>41</v>
      </c>
    </row>
    <row r="2714" spans="1:33">
      <c r="A2714" t="s">
        <v>9712</v>
      </c>
      <c r="B2714" t="s">
        <v>4058</v>
      </c>
      <c r="C2714" t="s">
        <v>4059</v>
      </c>
      <c r="E2714" t="s">
        <v>9612</v>
      </c>
      <c r="F2714" t="s">
        <v>9613</v>
      </c>
      <c r="G2714">
        <v>62.5</v>
      </c>
      <c r="H2714">
        <v>62.5</v>
      </c>
      <c r="I2714" t="s">
        <v>29</v>
      </c>
      <c r="J2714" t="s">
        <v>30</v>
      </c>
      <c r="K2714" t="s">
        <v>31</v>
      </c>
      <c r="L2714" t="s">
        <v>32</v>
      </c>
      <c r="M2714" t="s">
        <v>33</v>
      </c>
      <c r="P2714" s="1" t="s">
        <v>9713</v>
      </c>
      <c r="Q2714" s="1" t="s">
        <v>9612</v>
      </c>
      <c r="R2714" s="1" t="s">
        <v>9612</v>
      </c>
      <c r="S2714" s="1"/>
      <c r="T2714" s="1" t="s">
        <v>4059</v>
      </c>
      <c r="U2714" s="1"/>
      <c r="V2714" s="1">
        <v>62.5</v>
      </c>
      <c r="W2714" s="1">
        <v>62.5</v>
      </c>
      <c r="X2714" s="1" t="s">
        <v>35</v>
      </c>
      <c r="Y2714" s="1">
        <v>62500.0</v>
      </c>
      <c r="Z2714" s="1"/>
      <c r="AA2714" s="1">
        <v>62500.0</v>
      </c>
      <c r="AB2714" s="1"/>
      <c r="AC2714" s="1" t="s">
        <v>36</v>
      </c>
      <c r="AD2714" s="1" t="s">
        <v>9668</v>
      </c>
      <c r="AE2714" s="1" t="s">
        <v>32</v>
      </c>
      <c r="AF2714" s="1" t="s">
        <v>33</v>
      </c>
      <c r="AG2714" s="1" t="s">
        <v>30</v>
      </c>
    </row>
    <row r="2715" spans="1:33">
      <c r="A2715" t="s">
        <v>9714</v>
      </c>
      <c r="B2715" t="s">
        <v>9715</v>
      </c>
      <c r="C2715" t="s">
        <v>268</v>
      </c>
      <c r="E2715" t="s">
        <v>9612</v>
      </c>
      <c r="F2715" t="s">
        <v>9613</v>
      </c>
      <c r="G2715">
        <v>49.75</v>
      </c>
      <c r="H2715">
        <v>49.75</v>
      </c>
      <c r="I2715" t="s">
        <v>269</v>
      </c>
      <c r="J2715" t="s">
        <v>270</v>
      </c>
      <c r="K2715" t="s">
        <v>31</v>
      </c>
      <c r="L2715" t="s">
        <v>32</v>
      </c>
      <c r="M2715" t="s">
        <v>33</v>
      </c>
      <c r="P2715" s="1" t="s">
        <v>9716</v>
      </c>
      <c r="Q2715" s="1" t="s">
        <v>9612</v>
      </c>
      <c r="R2715" s="1" t="s">
        <v>9612</v>
      </c>
      <c r="S2715" s="1"/>
      <c r="T2715" s="1" t="s">
        <v>268</v>
      </c>
      <c r="U2715" s="1"/>
      <c r="V2715" s="1">
        <v>49.75</v>
      </c>
      <c r="W2715" s="1">
        <v>49.75</v>
      </c>
      <c r="X2715" s="1" t="s">
        <v>35</v>
      </c>
      <c r="Y2715" s="1">
        <v>49750.0</v>
      </c>
      <c r="Z2715" s="1"/>
      <c r="AA2715" s="1">
        <v>49750.0</v>
      </c>
      <c r="AB2715" s="1"/>
      <c r="AC2715" s="1" t="s">
        <v>36</v>
      </c>
      <c r="AD2715" s="1" t="s">
        <v>9717</v>
      </c>
      <c r="AE2715" s="1" t="s">
        <v>32</v>
      </c>
      <c r="AF2715" s="1" t="s">
        <v>33</v>
      </c>
      <c r="AG2715" s="1" t="s">
        <v>270</v>
      </c>
    </row>
    <row r="2716" spans="1:33">
      <c r="A2716" t="s">
        <v>9718</v>
      </c>
      <c r="C2716" t="s">
        <v>131</v>
      </c>
      <c r="E2716" t="s">
        <v>9612</v>
      </c>
      <c r="F2716" t="s">
        <v>9613</v>
      </c>
      <c r="G2716">
        <v>142.32</v>
      </c>
      <c r="H2716">
        <v>142.32</v>
      </c>
      <c r="I2716" t="s">
        <v>94</v>
      </c>
      <c r="J2716" t="s">
        <v>95</v>
      </c>
      <c r="K2716" t="s">
        <v>31</v>
      </c>
      <c r="L2716" t="s">
        <v>32</v>
      </c>
      <c r="M2716" t="s">
        <v>33</v>
      </c>
      <c r="P2716" s="1" t="s">
        <v>9719</v>
      </c>
      <c r="Q2716" s="1" t="s">
        <v>9612</v>
      </c>
      <c r="R2716" s="1" t="s">
        <v>9612</v>
      </c>
      <c r="S2716" s="1"/>
      <c r="T2716" s="1" t="s">
        <v>131</v>
      </c>
      <c r="U2716" s="1"/>
      <c r="V2716" s="1">
        <v>142.32</v>
      </c>
      <c r="W2716" s="1">
        <v>142.32</v>
      </c>
      <c r="X2716" s="1" t="s">
        <v>35</v>
      </c>
      <c r="Y2716" s="1">
        <v>142320.0</v>
      </c>
      <c r="Z2716" s="1"/>
      <c r="AA2716" s="1">
        <v>142320.0</v>
      </c>
      <c r="AB2716" s="1"/>
      <c r="AC2716" s="1" t="s">
        <v>36</v>
      </c>
      <c r="AD2716" s="1" t="s">
        <v>9709</v>
      </c>
      <c r="AE2716" s="1" t="s">
        <v>32</v>
      </c>
      <c r="AF2716" s="1" t="s">
        <v>33</v>
      </c>
      <c r="AG2716" s="1" t="s">
        <v>95</v>
      </c>
    </row>
    <row r="2717" spans="1:33">
      <c r="A2717" t="s">
        <v>9720</v>
      </c>
      <c r="C2717" t="s">
        <v>4934</v>
      </c>
      <c r="E2717" t="s">
        <v>9612</v>
      </c>
      <c r="F2717" t="s">
        <v>9613</v>
      </c>
      <c r="G2717">
        <v>328.0</v>
      </c>
      <c r="H2717">
        <v>328.0</v>
      </c>
      <c r="I2717" t="s">
        <v>269</v>
      </c>
      <c r="J2717" t="s">
        <v>270</v>
      </c>
      <c r="K2717" t="s">
        <v>31</v>
      </c>
      <c r="L2717" t="s">
        <v>32</v>
      </c>
      <c r="M2717" t="s">
        <v>33</v>
      </c>
      <c r="P2717" s="1" t="s">
        <v>9721</v>
      </c>
      <c r="Q2717" s="1" t="s">
        <v>9612</v>
      </c>
      <c r="R2717" s="1" t="s">
        <v>9612</v>
      </c>
      <c r="S2717" s="1"/>
      <c r="T2717" s="1" t="s">
        <v>4936</v>
      </c>
      <c r="U2717" s="1" t="s">
        <v>4937</v>
      </c>
      <c r="V2717" s="1">
        <v>328.0</v>
      </c>
      <c r="W2717" s="1">
        <v>328.0</v>
      </c>
      <c r="X2717" s="1" t="s">
        <v>35</v>
      </c>
      <c r="Y2717" s="1">
        <v>328000.0</v>
      </c>
      <c r="Z2717" s="1"/>
      <c r="AA2717" s="1">
        <v>328000.0</v>
      </c>
      <c r="AB2717" s="1"/>
      <c r="AC2717" s="1" t="s">
        <v>36</v>
      </c>
      <c r="AD2717" s="1" t="s">
        <v>9702</v>
      </c>
      <c r="AE2717" s="1" t="s">
        <v>32</v>
      </c>
      <c r="AF2717" s="1" t="s">
        <v>33</v>
      </c>
      <c r="AG2717" s="1" t="s">
        <v>270</v>
      </c>
    </row>
    <row r="2718" spans="1:33">
      <c r="A2718" t="s">
        <v>9722</v>
      </c>
      <c r="C2718" t="s">
        <v>9723</v>
      </c>
      <c r="E2718" t="s">
        <v>9612</v>
      </c>
      <c r="F2718" t="s">
        <v>9613</v>
      </c>
      <c r="G2718">
        <v>328.0</v>
      </c>
      <c r="H2718">
        <v>328.0</v>
      </c>
      <c r="I2718" t="s">
        <v>269</v>
      </c>
      <c r="J2718" t="s">
        <v>270</v>
      </c>
      <c r="K2718" t="s">
        <v>31</v>
      </c>
      <c r="L2718" t="s">
        <v>32</v>
      </c>
      <c r="M2718" t="s">
        <v>33</v>
      </c>
      <c r="P2718" s="1" t="s">
        <v>9724</v>
      </c>
      <c r="Q2718" s="1" t="s">
        <v>9612</v>
      </c>
      <c r="R2718" s="1" t="s">
        <v>9612</v>
      </c>
      <c r="S2718" s="1"/>
      <c r="T2718" s="1" t="s">
        <v>9723</v>
      </c>
      <c r="U2718" s="1"/>
      <c r="V2718" s="1">
        <v>328.0</v>
      </c>
      <c r="W2718" s="1">
        <v>328.0</v>
      </c>
      <c r="X2718" s="1" t="s">
        <v>35</v>
      </c>
      <c r="Y2718" s="1">
        <v>328000.0</v>
      </c>
      <c r="Z2718" s="1"/>
      <c r="AA2718" s="1">
        <v>328000.0</v>
      </c>
      <c r="AB2718" s="1"/>
      <c r="AC2718" s="1" t="s">
        <v>36</v>
      </c>
      <c r="AD2718" s="1" t="s">
        <v>9725</v>
      </c>
      <c r="AE2718" s="1" t="s">
        <v>32</v>
      </c>
      <c r="AF2718" s="1" t="s">
        <v>33</v>
      </c>
      <c r="AG2718" s="1" t="s">
        <v>270</v>
      </c>
    </row>
    <row r="2719" spans="1:33">
      <c r="A2719" t="s">
        <v>9726</v>
      </c>
      <c r="B2719" t="s">
        <v>9727</v>
      </c>
      <c r="C2719" t="s">
        <v>125</v>
      </c>
      <c r="E2719" t="s">
        <v>9612</v>
      </c>
      <c r="F2719" t="s">
        <v>9613</v>
      </c>
      <c r="G2719">
        <v>6.498</v>
      </c>
      <c r="H2719">
        <v>6.498</v>
      </c>
      <c r="I2719" t="s">
        <v>126</v>
      </c>
      <c r="J2719" t="s">
        <v>127</v>
      </c>
      <c r="K2719" t="s">
        <v>31</v>
      </c>
      <c r="L2719" t="s">
        <v>32</v>
      </c>
      <c r="M2719" t="s">
        <v>33</v>
      </c>
      <c r="P2719" s="1" t="s">
        <v>9728</v>
      </c>
      <c r="Q2719" s="1" t="s">
        <v>9612</v>
      </c>
      <c r="R2719" s="1" t="s">
        <v>9612</v>
      </c>
      <c r="S2719" s="1"/>
      <c r="T2719" s="1" t="s">
        <v>125</v>
      </c>
      <c r="U2719" s="1"/>
      <c r="V2719" s="1">
        <v>6.498</v>
      </c>
      <c r="W2719" s="1">
        <v>6.498</v>
      </c>
      <c r="X2719" s="1" t="s">
        <v>35</v>
      </c>
      <c r="Y2719" s="1">
        <v>6498.0</v>
      </c>
      <c r="Z2719" s="1"/>
      <c r="AA2719" s="1">
        <v>6498.0</v>
      </c>
      <c r="AB2719" s="1"/>
      <c r="AC2719" s="1" t="s">
        <v>36</v>
      </c>
      <c r="AD2719" s="1" t="s">
        <v>9729</v>
      </c>
      <c r="AE2719" s="1" t="s">
        <v>32</v>
      </c>
      <c r="AF2719" s="1" t="s">
        <v>33</v>
      </c>
      <c r="AG2719" s="1" t="s">
        <v>127</v>
      </c>
    </row>
    <row r="2720" spans="1:33">
      <c r="A2720" t="s">
        <v>9730</v>
      </c>
      <c r="C2720" t="s">
        <v>5580</v>
      </c>
      <c r="E2720" t="s">
        <v>9612</v>
      </c>
      <c r="F2720" t="s">
        <v>9613</v>
      </c>
      <c r="G2720">
        <v>336.0</v>
      </c>
      <c r="H2720">
        <v>336.0</v>
      </c>
      <c r="I2720" t="s">
        <v>94</v>
      </c>
      <c r="J2720" t="s">
        <v>95</v>
      </c>
      <c r="K2720" t="s">
        <v>31</v>
      </c>
      <c r="L2720" t="s">
        <v>32</v>
      </c>
      <c r="M2720" t="s">
        <v>33</v>
      </c>
      <c r="P2720" s="1" t="s">
        <v>9731</v>
      </c>
      <c r="Q2720" s="1" t="s">
        <v>9612</v>
      </c>
      <c r="R2720" s="1" t="s">
        <v>9612</v>
      </c>
      <c r="S2720" s="1"/>
      <c r="T2720" s="1" t="s">
        <v>5582</v>
      </c>
      <c r="U2720" s="1" t="s">
        <v>5583</v>
      </c>
      <c r="V2720" s="1">
        <v>336.0</v>
      </c>
      <c r="W2720" s="1">
        <v>336.0</v>
      </c>
      <c r="X2720" s="1" t="s">
        <v>35</v>
      </c>
      <c r="Y2720" s="1">
        <v>336000.0</v>
      </c>
      <c r="Z2720" s="1"/>
      <c r="AA2720" s="1">
        <v>336000.0</v>
      </c>
      <c r="AB2720" s="1"/>
      <c r="AC2720" s="1" t="s">
        <v>36</v>
      </c>
      <c r="AD2720" s="1" t="s">
        <v>9732</v>
      </c>
      <c r="AE2720" s="1" t="s">
        <v>32</v>
      </c>
      <c r="AF2720" s="1" t="s">
        <v>33</v>
      </c>
      <c r="AG2720" s="1" t="s">
        <v>95</v>
      </c>
    </row>
    <row r="2721" spans="1:33">
      <c r="A2721" t="s">
        <v>9733</v>
      </c>
      <c r="C2721" t="s">
        <v>2695</v>
      </c>
      <c r="E2721" t="s">
        <v>9612</v>
      </c>
      <c r="F2721" t="s">
        <v>9613</v>
      </c>
      <c r="G2721">
        <v>90.0</v>
      </c>
      <c r="H2721">
        <v>90.0</v>
      </c>
      <c r="I2721" t="s">
        <v>179</v>
      </c>
      <c r="J2721" t="s">
        <v>180</v>
      </c>
      <c r="K2721" t="s">
        <v>31</v>
      </c>
      <c r="L2721" t="s">
        <v>32</v>
      </c>
      <c r="M2721" t="s">
        <v>33</v>
      </c>
      <c r="P2721" s="1" t="s">
        <v>9734</v>
      </c>
      <c r="Q2721" s="1" t="s">
        <v>9612</v>
      </c>
      <c r="R2721" s="1" t="s">
        <v>9612</v>
      </c>
      <c r="S2721" s="1"/>
      <c r="T2721" s="1" t="s">
        <v>2697</v>
      </c>
      <c r="U2721" s="1" t="s">
        <v>2698</v>
      </c>
      <c r="V2721" s="1">
        <v>90.0</v>
      </c>
      <c r="W2721" s="1">
        <v>90.0</v>
      </c>
      <c r="X2721" s="1" t="s">
        <v>35</v>
      </c>
      <c r="Y2721" s="1">
        <v>90000.0</v>
      </c>
      <c r="Z2721" s="1"/>
      <c r="AA2721" s="1">
        <v>90000.0</v>
      </c>
      <c r="AB2721" s="1"/>
      <c r="AC2721" s="1" t="s">
        <v>36</v>
      </c>
      <c r="AD2721" s="1" t="s">
        <v>9735</v>
      </c>
      <c r="AE2721" s="1" t="s">
        <v>32</v>
      </c>
      <c r="AF2721" s="1" t="s">
        <v>33</v>
      </c>
      <c r="AG2721" s="1" t="s">
        <v>180</v>
      </c>
    </row>
    <row r="2722" spans="1:33">
      <c r="A2722" t="s">
        <v>9736</v>
      </c>
      <c r="B2722" t="s">
        <v>9737</v>
      </c>
      <c r="C2722" t="s">
        <v>47</v>
      </c>
      <c r="E2722" t="s">
        <v>9612</v>
      </c>
      <c r="F2722" t="s">
        <v>9613</v>
      </c>
      <c r="G2722">
        <v>505.0</v>
      </c>
      <c r="H2722">
        <v>505.0</v>
      </c>
      <c r="I2722" t="s">
        <v>2206</v>
      </c>
      <c r="J2722" t="s">
        <v>49</v>
      </c>
      <c r="K2722" t="s">
        <v>31</v>
      </c>
      <c r="L2722" t="s">
        <v>32</v>
      </c>
      <c r="M2722" t="s">
        <v>33</v>
      </c>
      <c r="P2722" s="1" t="s">
        <v>9738</v>
      </c>
      <c r="Q2722" s="1" t="s">
        <v>9612</v>
      </c>
      <c r="R2722" s="1" t="s">
        <v>9612</v>
      </c>
      <c r="S2722" s="1"/>
      <c r="T2722" s="1" t="s">
        <v>47</v>
      </c>
      <c r="U2722" s="1"/>
      <c r="V2722" s="1">
        <v>505.0</v>
      </c>
      <c r="W2722" s="1">
        <v>505.0</v>
      </c>
      <c r="X2722" s="1" t="s">
        <v>35</v>
      </c>
      <c r="Y2722" s="1">
        <v>505000.0</v>
      </c>
      <c r="Z2722" s="1"/>
      <c r="AA2722" s="1">
        <v>505000.0</v>
      </c>
      <c r="AB2722" s="1"/>
      <c r="AC2722" s="1" t="s">
        <v>36</v>
      </c>
      <c r="AD2722" s="1" t="s">
        <v>9735</v>
      </c>
      <c r="AE2722" s="1" t="s">
        <v>32</v>
      </c>
      <c r="AF2722" s="1" t="s">
        <v>33</v>
      </c>
      <c r="AG2722" s="1" t="s">
        <v>49</v>
      </c>
    </row>
    <row r="2723" spans="1:33">
      <c r="A2723" t="s">
        <v>9739</v>
      </c>
      <c r="B2723" t="s">
        <v>57</v>
      </c>
      <c r="C2723" t="s">
        <v>58</v>
      </c>
      <c r="E2723" t="s">
        <v>9612</v>
      </c>
      <c r="F2723" t="s">
        <v>9613</v>
      </c>
      <c r="G2723">
        <v>370.0</v>
      </c>
      <c r="H2723">
        <v>370.0</v>
      </c>
      <c r="I2723" t="s">
        <v>59</v>
      </c>
      <c r="J2723" t="s">
        <v>60</v>
      </c>
      <c r="K2723" t="s">
        <v>31</v>
      </c>
      <c r="L2723" t="s">
        <v>32</v>
      </c>
      <c r="M2723" t="s">
        <v>33</v>
      </c>
      <c r="P2723" s="1" t="s">
        <v>9740</v>
      </c>
      <c r="Q2723" s="1" t="s">
        <v>9612</v>
      </c>
      <c r="R2723" s="1" t="s">
        <v>9612</v>
      </c>
      <c r="S2723" s="1"/>
      <c r="T2723" s="1" t="s">
        <v>58</v>
      </c>
      <c r="U2723" s="1"/>
      <c r="V2723" s="1">
        <v>370.0</v>
      </c>
      <c r="W2723" s="1">
        <v>370.0</v>
      </c>
      <c r="X2723" s="1" t="s">
        <v>35</v>
      </c>
      <c r="Y2723" s="1">
        <v>370000.0</v>
      </c>
      <c r="Z2723" s="1"/>
      <c r="AA2723" s="1">
        <v>370000.0</v>
      </c>
      <c r="AB2723" s="1"/>
      <c r="AC2723" s="1" t="s">
        <v>36</v>
      </c>
      <c r="AD2723" s="1" t="s">
        <v>9741</v>
      </c>
      <c r="AE2723" s="1" t="s">
        <v>32</v>
      </c>
      <c r="AF2723" s="1" t="s">
        <v>33</v>
      </c>
      <c r="AG2723" s="1" t="s">
        <v>60</v>
      </c>
    </row>
    <row r="2724" spans="1:33">
      <c r="A2724" t="s">
        <v>9742</v>
      </c>
      <c r="C2724" t="s">
        <v>178</v>
      </c>
      <c r="E2724" t="s">
        <v>9612</v>
      </c>
      <c r="F2724" t="s">
        <v>9613</v>
      </c>
      <c r="G2724">
        <v>387.2</v>
      </c>
      <c r="H2724">
        <v>387.2</v>
      </c>
      <c r="I2724" t="s">
        <v>179</v>
      </c>
      <c r="J2724" t="s">
        <v>180</v>
      </c>
      <c r="K2724" t="s">
        <v>31</v>
      </c>
      <c r="L2724" t="s">
        <v>32</v>
      </c>
      <c r="M2724" t="s">
        <v>33</v>
      </c>
      <c r="P2724" s="1" t="s">
        <v>9743</v>
      </c>
      <c r="Q2724" s="1" t="s">
        <v>9612</v>
      </c>
      <c r="R2724" s="1" t="s">
        <v>9612</v>
      </c>
      <c r="S2724" s="1"/>
      <c r="T2724" s="1" t="s">
        <v>178</v>
      </c>
      <c r="U2724" s="1"/>
      <c r="V2724" s="1">
        <v>387.2</v>
      </c>
      <c r="W2724" s="1">
        <v>387.2</v>
      </c>
      <c r="X2724" s="1" t="s">
        <v>35</v>
      </c>
      <c r="Y2724" s="1">
        <v>387200.0</v>
      </c>
      <c r="Z2724" s="1"/>
      <c r="AA2724" s="1">
        <v>387200.0</v>
      </c>
      <c r="AB2724" s="1"/>
      <c r="AC2724" s="1" t="s">
        <v>36</v>
      </c>
      <c r="AD2724" s="1" t="s">
        <v>9744</v>
      </c>
      <c r="AE2724" s="1" t="s">
        <v>32</v>
      </c>
      <c r="AF2724" s="1" t="s">
        <v>33</v>
      </c>
      <c r="AG2724" s="1" t="s">
        <v>180</v>
      </c>
    </row>
    <row r="2725" spans="1:33">
      <c r="A2725" t="s">
        <v>9745</v>
      </c>
      <c r="C2725" t="s">
        <v>4388</v>
      </c>
      <c r="E2725" t="s">
        <v>9612</v>
      </c>
      <c r="F2725" t="s">
        <v>9613</v>
      </c>
      <c r="G2725">
        <v>1.036</v>
      </c>
      <c r="H2725">
        <v>1.036</v>
      </c>
      <c r="I2725" t="s">
        <v>227</v>
      </c>
      <c r="J2725" t="s">
        <v>228</v>
      </c>
      <c r="K2725" t="s">
        <v>31</v>
      </c>
      <c r="L2725" t="s">
        <v>32</v>
      </c>
      <c r="M2725" t="s">
        <v>33</v>
      </c>
      <c r="P2725" s="1" t="s">
        <v>9746</v>
      </c>
      <c r="Q2725" s="1" t="s">
        <v>9612</v>
      </c>
      <c r="R2725" s="1" t="s">
        <v>9612</v>
      </c>
      <c r="S2725" s="1"/>
      <c r="T2725" s="1" t="s">
        <v>4390</v>
      </c>
      <c r="U2725" s="1" t="s">
        <v>4391</v>
      </c>
      <c r="V2725" s="1">
        <v>1.036</v>
      </c>
      <c r="W2725" s="1">
        <v>1.036</v>
      </c>
      <c r="X2725" s="1" t="s">
        <v>35</v>
      </c>
      <c r="Y2725" s="1">
        <v>1036000.0</v>
      </c>
      <c r="Z2725" s="1"/>
      <c r="AA2725" s="1">
        <v>1036000.0</v>
      </c>
      <c r="AB2725" s="1"/>
      <c r="AC2725" s="1" t="s">
        <v>36</v>
      </c>
      <c r="AD2725" s="1" t="s">
        <v>9747</v>
      </c>
      <c r="AE2725" s="1" t="s">
        <v>32</v>
      </c>
      <c r="AF2725" s="1" t="s">
        <v>33</v>
      </c>
      <c r="AG2725" s="1" t="s">
        <v>228</v>
      </c>
    </row>
    <row r="2726" spans="1:33">
      <c r="A2726" t="s">
        <v>9748</v>
      </c>
      <c r="C2726" t="s">
        <v>9749</v>
      </c>
      <c r="D2726" t="s">
        <v>114</v>
      </c>
      <c r="E2726" t="s">
        <v>9612</v>
      </c>
      <c r="F2726" t="s">
        <v>9613</v>
      </c>
      <c r="G2726">
        <v>1.874</v>
      </c>
      <c r="H2726">
        <v>1.874</v>
      </c>
      <c r="I2726" t="s">
        <v>126</v>
      </c>
      <c r="J2726" t="s">
        <v>127</v>
      </c>
      <c r="K2726" t="s">
        <v>31</v>
      </c>
      <c r="L2726" t="s">
        <v>32</v>
      </c>
      <c r="M2726" t="s">
        <v>33</v>
      </c>
      <c r="P2726" s="1" t="s">
        <v>9750</v>
      </c>
      <c r="Q2726" s="1" t="s">
        <v>9612</v>
      </c>
      <c r="R2726" s="1" t="s">
        <v>9612</v>
      </c>
      <c r="S2726" s="1"/>
      <c r="T2726" s="1" t="s">
        <v>9751</v>
      </c>
      <c r="U2726" s="1" t="s">
        <v>9752</v>
      </c>
      <c r="V2726" s="1">
        <v>1.874</v>
      </c>
      <c r="W2726" s="1">
        <v>1.874</v>
      </c>
      <c r="X2726" s="1" t="s">
        <v>35</v>
      </c>
      <c r="Y2726" s="1">
        <v>1874000.0</v>
      </c>
      <c r="Z2726" s="1"/>
      <c r="AA2726" s="1">
        <v>1874000.0</v>
      </c>
      <c r="AB2726" s="1"/>
      <c r="AC2726" s="1" t="s">
        <v>36</v>
      </c>
      <c r="AD2726" s="1" t="s">
        <v>9702</v>
      </c>
      <c r="AE2726" s="1" t="s">
        <v>32</v>
      </c>
      <c r="AF2726" s="1" t="s">
        <v>33</v>
      </c>
      <c r="AG2726" s="1" t="s">
        <v>127</v>
      </c>
    </row>
    <row r="2727" spans="1:33">
      <c r="A2727" t="s">
        <v>9753</v>
      </c>
      <c r="B2727" t="s">
        <v>814</v>
      </c>
      <c r="C2727" t="s">
        <v>172</v>
      </c>
      <c r="E2727" t="s">
        <v>9612</v>
      </c>
      <c r="F2727" t="s">
        <v>9613</v>
      </c>
      <c r="G2727">
        <v>56.0</v>
      </c>
      <c r="H2727">
        <v>56.0</v>
      </c>
      <c r="I2727" t="s">
        <v>173</v>
      </c>
      <c r="J2727" t="s">
        <v>174</v>
      </c>
      <c r="K2727" t="s">
        <v>31</v>
      </c>
      <c r="L2727" t="s">
        <v>32</v>
      </c>
      <c r="M2727" t="s">
        <v>33</v>
      </c>
      <c r="P2727" s="1" t="s">
        <v>9754</v>
      </c>
      <c r="Q2727" s="1" t="s">
        <v>9612</v>
      </c>
      <c r="R2727" s="1" t="s">
        <v>9612</v>
      </c>
      <c r="S2727" s="1"/>
      <c r="T2727" s="1" t="s">
        <v>172</v>
      </c>
      <c r="U2727" s="1"/>
      <c r="V2727" s="1">
        <v>56.0</v>
      </c>
      <c r="W2727" s="1">
        <v>56.0</v>
      </c>
      <c r="X2727" s="1" t="s">
        <v>35</v>
      </c>
      <c r="Y2727" s="1">
        <v>56000.0</v>
      </c>
      <c r="Z2727" s="1"/>
      <c r="AA2727" s="1">
        <v>56000.0</v>
      </c>
      <c r="AB2727" s="1"/>
      <c r="AC2727" s="1" t="s">
        <v>36</v>
      </c>
      <c r="AD2727" s="1" t="s">
        <v>9755</v>
      </c>
      <c r="AE2727" s="1" t="s">
        <v>32</v>
      </c>
      <c r="AF2727" s="1" t="s">
        <v>33</v>
      </c>
      <c r="AG2727" s="1" t="s">
        <v>174</v>
      </c>
    </row>
    <row r="2728" spans="1:33">
      <c r="A2728" t="s">
        <v>9756</v>
      </c>
      <c r="B2728" t="s">
        <v>9757</v>
      </c>
      <c r="C2728" t="s">
        <v>125</v>
      </c>
      <c r="E2728" t="s">
        <v>9612</v>
      </c>
      <c r="F2728" t="s">
        <v>9613</v>
      </c>
      <c r="G2728">
        <v>27.99</v>
      </c>
      <c r="H2728">
        <v>27.99</v>
      </c>
      <c r="I2728" t="s">
        <v>126</v>
      </c>
      <c r="J2728" t="s">
        <v>127</v>
      </c>
      <c r="K2728" t="s">
        <v>31</v>
      </c>
      <c r="L2728" t="s">
        <v>32</v>
      </c>
      <c r="M2728" t="s">
        <v>33</v>
      </c>
      <c r="P2728" s="1" t="s">
        <v>9758</v>
      </c>
      <c r="Q2728" s="1" t="s">
        <v>9612</v>
      </c>
      <c r="R2728" s="1" t="s">
        <v>9612</v>
      </c>
      <c r="S2728" s="1"/>
      <c r="T2728" s="1" t="s">
        <v>125</v>
      </c>
      <c r="U2728" s="1"/>
      <c r="V2728" s="1">
        <v>27.99</v>
      </c>
      <c r="W2728" s="1">
        <v>27.99</v>
      </c>
      <c r="X2728" s="1" t="s">
        <v>35</v>
      </c>
      <c r="Y2728" s="1">
        <v>27990.0</v>
      </c>
      <c r="Z2728" s="1"/>
      <c r="AA2728" s="1">
        <v>27990.0</v>
      </c>
      <c r="AB2728" s="1"/>
      <c r="AC2728" s="1" t="s">
        <v>36</v>
      </c>
      <c r="AD2728" s="1" t="s">
        <v>9759</v>
      </c>
      <c r="AE2728" s="1" t="s">
        <v>32</v>
      </c>
      <c r="AF2728" s="1" t="s">
        <v>33</v>
      </c>
      <c r="AG2728" s="1" t="s">
        <v>127</v>
      </c>
    </row>
    <row r="2729" spans="1:33">
      <c r="A2729" t="s">
        <v>9760</v>
      </c>
      <c r="B2729" t="s">
        <v>2364</v>
      </c>
      <c r="C2729" t="s">
        <v>314</v>
      </c>
      <c r="E2729" t="s">
        <v>9612</v>
      </c>
      <c r="F2729" t="s">
        <v>9613</v>
      </c>
      <c r="G2729">
        <v>59.58</v>
      </c>
      <c r="H2729">
        <v>59.58</v>
      </c>
      <c r="I2729" t="s">
        <v>179</v>
      </c>
      <c r="J2729" t="s">
        <v>180</v>
      </c>
      <c r="K2729" t="s">
        <v>31</v>
      </c>
      <c r="L2729" t="s">
        <v>32</v>
      </c>
      <c r="M2729" t="s">
        <v>33</v>
      </c>
      <c r="P2729" s="1" t="s">
        <v>9761</v>
      </c>
      <c r="Q2729" s="1" t="s">
        <v>9612</v>
      </c>
      <c r="R2729" s="1" t="s">
        <v>9612</v>
      </c>
      <c r="S2729" s="1"/>
      <c r="T2729" s="1" t="s">
        <v>314</v>
      </c>
      <c r="U2729" s="1"/>
      <c r="V2729" s="1">
        <v>59.58</v>
      </c>
      <c r="W2729" s="1">
        <v>59.58</v>
      </c>
      <c r="X2729" s="1" t="s">
        <v>35</v>
      </c>
      <c r="Y2729" s="1">
        <v>59580.0</v>
      </c>
      <c r="Z2729" s="1"/>
      <c r="AA2729" s="1">
        <v>59580.0</v>
      </c>
      <c r="AB2729" s="1"/>
      <c r="AC2729" s="1" t="s">
        <v>36</v>
      </c>
      <c r="AD2729" s="1" t="s">
        <v>9762</v>
      </c>
      <c r="AE2729" s="1" t="s">
        <v>32</v>
      </c>
      <c r="AF2729" s="1" t="s">
        <v>33</v>
      </c>
      <c r="AG2729" s="1" t="s">
        <v>180</v>
      </c>
    </row>
    <row r="2730" spans="1:33">
      <c r="A2730" t="s">
        <v>9763</v>
      </c>
      <c r="B2730" t="s">
        <v>9764</v>
      </c>
      <c r="C2730" t="s">
        <v>268</v>
      </c>
      <c r="E2730" t="s">
        <v>9612</v>
      </c>
      <c r="F2730" t="s">
        <v>9613</v>
      </c>
      <c r="G2730">
        <v>150.2</v>
      </c>
      <c r="H2730">
        <v>150.2</v>
      </c>
      <c r="I2730" t="s">
        <v>269</v>
      </c>
      <c r="J2730" t="s">
        <v>270</v>
      </c>
      <c r="K2730" t="s">
        <v>31</v>
      </c>
      <c r="L2730" t="s">
        <v>32</v>
      </c>
      <c r="M2730" t="s">
        <v>33</v>
      </c>
      <c r="P2730" s="1" t="s">
        <v>9765</v>
      </c>
      <c r="Q2730" s="1" t="s">
        <v>9612</v>
      </c>
      <c r="R2730" s="1" t="s">
        <v>9612</v>
      </c>
      <c r="S2730" s="1"/>
      <c r="T2730" s="1" t="s">
        <v>268</v>
      </c>
      <c r="U2730" s="1"/>
      <c r="V2730" s="1">
        <v>150.2</v>
      </c>
      <c r="W2730" s="1">
        <v>150.2</v>
      </c>
      <c r="X2730" s="1" t="s">
        <v>35</v>
      </c>
      <c r="Y2730" s="1">
        <v>150200.0</v>
      </c>
      <c r="Z2730" s="1"/>
      <c r="AA2730" s="1">
        <v>150200.0</v>
      </c>
      <c r="AB2730" s="1"/>
      <c r="AC2730" s="1" t="s">
        <v>36</v>
      </c>
      <c r="AD2730" s="1" t="s">
        <v>9766</v>
      </c>
      <c r="AE2730" s="1" t="s">
        <v>32</v>
      </c>
      <c r="AF2730" s="1" t="s">
        <v>33</v>
      </c>
      <c r="AG2730" s="1" t="s">
        <v>270</v>
      </c>
    </row>
    <row r="2731" spans="1:33">
      <c r="A2731" t="s">
        <v>9767</v>
      </c>
      <c r="B2731" t="s">
        <v>9768</v>
      </c>
      <c r="C2731" t="s">
        <v>68</v>
      </c>
      <c r="E2731" t="s">
        <v>9612</v>
      </c>
      <c r="F2731" t="s">
        <v>9613</v>
      </c>
      <c r="G2731">
        <v>151.205</v>
      </c>
      <c r="H2731">
        <v>151.205</v>
      </c>
      <c r="I2731" t="s">
        <v>59</v>
      </c>
      <c r="J2731" t="s">
        <v>60</v>
      </c>
      <c r="K2731" t="s">
        <v>31</v>
      </c>
      <c r="L2731" t="s">
        <v>32</v>
      </c>
      <c r="M2731" t="s">
        <v>33</v>
      </c>
      <c r="P2731" s="1" t="s">
        <v>9769</v>
      </c>
      <c r="Q2731" s="1" t="s">
        <v>9612</v>
      </c>
      <c r="R2731" s="1" t="s">
        <v>9612</v>
      </c>
      <c r="S2731" s="1"/>
      <c r="T2731" s="1" t="s">
        <v>68</v>
      </c>
      <c r="U2731" s="1"/>
      <c r="V2731" s="1">
        <v>151.205</v>
      </c>
      <c r="W2731" s="1">
        <v>151.205</v>
      </c>
      <c r="X2731" s="1" t="s">
        <v>35</v>
      </c>
      <c r="Y2731" s="1">
        <v>151205.0</v>
      </c>
      <c r="Z2731" s="1"/>
      <c r="AA2731" s="1">
        <v>151205.0</v>
      </c>
      <c r="AB2731" s="1"/>
      <c r="AC2731" s="1" t="s">
        <v>36</v>
      </c>
      <c r="AD2731" s="1" t="s">
        <v>9770</v>
      </c>
      <c r="AE2731" s="1" t="s">
        <v>32</v>
      </c>
      <c r="AF2731" s="1" t="s">
        <v>33</v>
      </c>
      <c r="AG2731" s="1" t="s">
        <v>60</v>
      </c>
    </row>
    <row r="2732" spans="1:33">
      <c r="A2732" t="s">
        <v>9771</v>
      </c>
      <c r="C2732" t="s">
        <v>2216</v>
      </c>
      <c r="E2732" t="s">
        <v>9612</v>
      </c>
      <c r="F2732" t="s">
        <v>9613</v>
      </c>
      <c r="G2732">
        <v>656.0</v>
      </c>
      <c r="H2732">
        <v>656.0</v>
      </c>
      <c r="I2732" t="s">
        <v>227</v>
      </c>
      <c r="J2732" t="s">
        <v>228</v>
      </c>
      <c r="K2732" t="s">
        <v>31</v>
      </c>
      <c r="L2732" t="s">
        <v>32</v>
      </c>
      <c r="M2732" t="s">
        <v>33</v>
      </c>
      <c r="P2732" s="1" t="s">
        <v>9772</v>
      </c>
      <c r="Q2732" s="1" t="s">
        <v>9612</v>
      </c>
      <c r="R2732" s="1" t="s">
        <v>9612</v>
      </c>
      <c r="S2732" s="1"/>
      <c r="T2732" s="1" t="s">
        <v>2216</v>
      </c>
      <c r="U2732" s="1"/>
      <c r="V2732" s="1">
        <v>656.0</v>
      </c>
      <c r="W2732" s="1">
        <v>656.0</v>
      </c>
      <c r="X2732" s="1" t="s">
        <v>35</v>
      </c>
      <c r="Y2732" s="1">
        <v>656000.0</v>
      </c>
      <c r="Z2732" s="1"/>
      <c r="AA2732" s="1">
        <v>656000.0</v>
      </c>
      <c r="AB2732" s="1"/>
      <c r="AC2732" s="1" t="s">
        <v>36</v>
      </c>
      <c r="AD2732" s="1" t="s">
        <v>9762</v>
      </c>
      <c r="AE2732" s="1" t="s">
        <v>32</v>
      </c>
      <c r="AF2732" s="1" t="s">
        <v>33</v>
      </c>
      <c r="AG2732" s="1" t="s">
        <v>228</v>
      </c>
    </row>
    <row r="2733" spans="1:33">
      <c r="A2733" t="s">
        <v>9773</v>
      </c>
      <c r="B2733" t="s">
        <v>9774</v>
      </c>
      <c r="C2733" t="s">
        <v>131</v>
      </c>
      <c r="E2733" t="s">
        <v>9612</v>
      </c>
      <c r="F2733" t="s">
        <v>9613</v>
      </c>
      <c r="G2733">
        <v>45.0</v>
      </c>
      <c r="H2733">
        <v>45.0</v>
      </c>
      <c r="I2733" t="s">
        <v>94</v>
      </c>
      <c r="J2733" t="s">
        <v>95</v>
      </c>
      <c r="K2733" t="s">
        <v>31</v>
      </c>
      <c r="L2733" t="s">
        <v>32</v>
      </c>
      <c r="M2733" t="s">
        <v>33</v>
      </c>
      <c r="P2733" s="1" t="s">
        <v>9775</v>
      </c>
      <c r="Q2733" s="1" t="s">
        <v>9612</v>
      </c>
      <c r="R2733" s="1" t="s">
        <v>9612</v>
      </c>
      <c r="S2733" s="1"/>
      <c r="T2733" s="1" t="s">
        <v>131</v>
      </c>
      <c r="U2733" s="1"/>
      <c r="V2733" s="1">
        <v>45.0</v>
      </c>
      <c r="W2733" s="1">
        <v>45.0</v>
      </c>
      <c r="X2733" s="1" t="s">
        <v>35</v>
      </c>
      <c r="Y2733" s="1">
        <v>45000.0</v>
      </c>
      <c r="Z2733" s="1"/>
      <c r="AA2733" s="1">
        <v>45000.0</v>
      </c>
      <c r="AB2733" s="1"/>
      <c r="AC2733" s="1" t="s">
        <v>36</v>
      </c>
      <c r="AD2733" s="1" t="s">
        <v>9776</v>
      </c>
      <c r="AE2733" s="1" t="s">
        <v>32</v>
      </c>
      <c r="AF2733" s="1" t="s">
        <v>33</v>
      </c>
      <c r="AG2733" s="1" t="s">
        <v>95</v>
      </c>
    </row>
    <row r="2734" spans="1:33">
      <c r="A2734" t="s">
        <v>9777</v>
      </c>
      <c r="B2734" t="s">
        <v>201</v>
      </c>
      <c r="C2734" t="s">
        <v>202</v>
      </c>
      <c r="D2734" t="s">
        <v>154</v>
      </c>
      <c r="E2734" t="s">
        <v>9612</v>
      </c>
      <c r="F2734" t="s">
        <v>9613</v>
      </c>
      <c r="G2734">
        <v>361.5</v>
      </c>
      <c r="H2734">
        <v>361.5</v>
      </c>
      <c r="I2734" t="s">
        <v>59</v>
      </c>
      <c r="J2734" t="s">
        <v>60</v>
      </c>
      <c r="K2734" t="s">
        <v>31</v>
      </c>
      <c r="L2734" t="s">
        <v>32</v>
      </c>
      <c r="M2734" t="s">
        <v>33</v>
      </c>
      <c r="P2734" s="1" t="s">
        <v>9778</v>
      </c>
      <c r="Q2734" s="1" t="s">
        <v>9612</v>
      </c>
      <c r="R2734" s="1" t="s">
        <v>9612</v>
      </c>
      <c r="S2734" s="1"/>
      <c r="T2734" s="1" t="s">
        <v>202</v>
      </c>
      <c r="U2734" s="1"/>
      <c r="V2734" s="1">
        <v>361.5</v>
      </c>
      <c r="W2734" s="1">
        <v>361.5</v>
      </c>
      <c r="X2734" s="1" t="s">
        <v>35</v>
      </c>
      <c r="Y2734" s="1">
        <v>361500.0</v>
      </c>
      <c r="Z2734" s="1"/>
      <c r="AA2734" s="1">
        <v>361500.0</v>
      </c>
      <c r="AB2734" s="1"/>
      <c r="AC2734" s="1" t="s">
        <v>36</v>
      </c>
      <c r="AD2734" s="1" t="s">
        <v>9779</v>
      </c>
      <c r="AE2734" s="1" t="s">
        <v>32</v>
      </c>
      <c r="AF2734" s="1" t="s">
        <v>33</v>
      </c>
      <c r="AG2734" s="1" t="s">
        <v>60</v>
      </c>
    </row>
    <row r="2735" spans="1:33">
      <c r="A2735" t="s">
        <v>9780</v>
      </c>
      <c r="B2735" t="s">
        <v>9781</v>
      </c>
      <c r="C2735" t="s">
        <v>1298</v>
      </c>
      <c r="E2735" t="s">
        <v>9612</v>
      </c>
      <c r="F2735" t="s">
        <v>9613</v>
      </c>
      <c r="G2735">
        <v>24.368</v>
      </c>
      <c r="H2735">
        <v>24.368</v>
      </c>
      <c r="I2735" t="s">
        <v>529</v>
      </c>
      <c r="J2735" t="s">
        <v>530</v>
      </c>
      <c r="K2735" t="s">
        <v>31</v>
      </c>
      <c r="L2735" t="s">
        <v>32</v>
      </c>
      <c r="M2735" t="s">
        <v>33</v>
      </c>
      <c r="P2735" s="1" t="s">
        <v>9782</v>
      </c>
      <c r="Q2735" s="1" t="s">
        <v>9612</v>
      </c>
      <c r="R2735" s="1" t="s">
        <v>9112</v>
      </c>
      <c r="S2735" s="1"/>
      <c r="T2735" s="1" t="s">
        <v>1298</v>
      </c>
      <c r="U2735" s="1"/>
      <c r="V2735" s="1">
        <v>24.368</v>
      </c>
      <c r="W2735" s="1">
        <v>24.368</v>
      </c>
      <c r="X2735" s="1" t="s">
        <v>35</v>
      </c>
      <c r="Y2735" s="1">
        <v>24368.0</v>
      </c>
      <c r="Z2735" s="1"/>
      <c r="AA2735" s="1">
        <v>24368.0</v>
      </c>
      <c r="AB2735" s="1"/>
      <c r="AC2735" s="1" t="s">
        <v>36</v>
      </c>
      <c r="AD2735" s="1" t="s">
        <v>9783</v>
      </c>
      <c r="AE2735" s="1" t="s">
        <v>32</v>
      </c>
      <c r="AF2735" s="1" t="s">
        <v>33</v>
      </c>
      <c r="AG2735" s="1" t="s">
        <v>530</v>
      </c>
    </row>
    <row r="2736" spans="1:33">
      <c r="A2736" t="s">
        <v>9784</v>
      </c>
      <c r="B2736" t="s">
        <v>2648</v>
      </c>
      <c r="C2736" t="s">
        <v>569</v>
      </c>
      <c r="E2736" t="s">
        <v>9612</v>
      </c>
      <c r="F2736" t="s">
        <v>9613</v>
      </c>
      <c r="G2736">
        <v>32.24</v>
      </c>
      <c r="H2736">
        <v>32.24</v>
      </c>
      <c r="I2736" t="s">
        <v>570</v>
      </c>
      <c r="J2736" t="s">
        <v>571</v>
      </c>
      <c r="K2736" t="s">
        <v>31</v>
      </c>
      <c r="L2736" t="s">
        <v>32</v>
      </c>
      <c r="M2736" t="s">
        <v>33</v>
      </c>
      <c r="P2736" s="1" t="s">
        <v>9785</v>
      </c>
      <c r="Q2736" s="1" t="s">
        <v>9612</v>
      </c>
      <c r="R2736" s="1" t="s">
        <v>9612</v>
      </c>
      <c r="S2736" s="1"/>
      <c r="T2736" s="1" t="s">
        <v>569</v>
      </c>
      <c r="U2736" s="1"/>
      <c r="V2736" s="1">
        <v>32.24</v>
      </c>
      <c r="W2736" s="1">
        <v>32.24</v>
      </c>
      <c r="X2736" s="1" t="s">
        <v>35</v>
      </c>
      <c r="Y2736" s="1">
        <v>32240.0</v>
      </c>
      <c r="Z2736" s="1"/>
      <c r="AA2736" s="1">
        <v>32240.0</v>
      </c>
      <c r="AB2736" s="1"/>
      <c r="AC2736" s="1" t="s">
        <v>36</v>
      </c>
      <c r="AD2736" s="1" t="s">
        <v>9783</v>
      </c>
      <c r="AE2736" s="1" t="s">
        <v>32</v>
      </c>
      <c r="AF2736" s="1" t="s">
        <v>33</v>
      </c>
      <c r="AG2736" s="1" t="s">
        <v>571</v>
      </c>
    </row>
    <row r="2737" spans="1:33">
      <c r="A2737" t="s">
        <v>9786</v>
      </c>
      <c r="B2737" t="s">
        <v>1656</v>
      </c>
      <c r="C2737" t="s">
        <v>1298</v>
      </c>
      <c r="E2737" t="s">
        <v>9612</v>
      </c>
      <c r="F2737" t="s">
        <v>9613</v>
      </c>
      <c r="G2737">
        <v>78.07</v>
      </c>
      <c r="H2737">
        <v>78.07</v>
      </c>
      <c r="I2737" t="s">
        <v>529</v>
      </c>
      <c r="J2737" t="s">
        <v>530</v>
      </c>
      <c r="K2737" t="s">
        <v>31</v>
      </c>
      <c r="L2737" t="s">
        <v>32</v>
      </c>
      <c r="M2737" t="s">
        <v>33</v>
      </c>
      <c r="P2737" s="1" t="s">
        <v>9787</v>
      </c>
      <c r="Q2737" s="1" t="s">
        <v>9612</v>
      </c>
      <c r="R2737" s="1" t="s">
        <v>9112</v>
      </c>
      <c r="S2737" s="1"/>
      <c r="T2737" s="1" t="s">
        <v>1298</v>
      </c>
      <c r="U2737" s="1"/>
      <c r="V2737" s="1">
        <v>78.07</v>
      </c>
      <c r="W2737" s="1">
        <v>78.07</v>
      </c>
      <c r="X2737" s="1" t="s">
        <v>35</v>
      </c>
      <c r="Y2737" s="1">
        <v>78070.0</v>
      </c>
      <c r="Z2737" s="1"/>
      <c r="AA2737" s="1">
        <v>78070.0</v>
      </c>
      <c r="AB2737" s="1"/>
      <c r="AC2737" s="1" t="s">
        <v>36</v>
      </c>
      <c r="AD2737" s="1" t="s">
        <v>9788</v>
      </c>
      <c r="AE2737" s="1" t="s">
        <v>32</v>
      </c>
      <c r="AF2737" s="1" t="s">
        <v>33</v>
      </c>
      <c r="AG2737" s="1" t="s">
        <v>530</v>
      </c>
    </row>
    <row r="2738" spans="1:33">
      <c r="A2738" t="s">
        <v>9789</v>
      </c>
      <c r="C2738" t="s">
        <v>9118</v>
      </c>
      <c r="E2738" t="s">
        <v>9612</v>
      </c>
      <c r="F2738" t="s">
        <v>9113</v>
      </c>
      <c r="G2738">
        <v>7.78</v>
      </c>
      <c r="H2738">
        <v>7.78</v>
      </c>
      <c r="I2738" t="s">
        <v>40</v>
      </c>
      <c r="J2738" t="s">
        <v>41</v>
      </c>
      <c r="K2738" t="s">
        <v>31</v>
      </c>
      <c r="L2738" t="s">
        <v>32</v>
      </c>
      <c r="M2738" t="s">
        <v>33</v>
      </c>
      <c r="P2738" s="1" t="s">
        <v>9790</v>
      </c>
      <c r="Q2738" s="1" t="s">
        <v>9612</v>
      </c>
      <c r="R2738" s="1" t="s">
        <v>9612</v>
      </c>
      <c r="S2738" s="1"/>
      <c r="T2738" s="1" t="s">
        <v>9118</v>
      </c>
      <c r="U2738" s="1"/>
      <c r="V2738" s="1">
        <v>7.78</v>
      </c>
      <c r="W2738" s="1">
        <v>7.78</v>
      </c>
      <c r="X2738" s="1" t="s">
        <v>35</v>
      </c>
      <c r="Y2738" s="1">
        <v>7780000.0</v>
      </c>
      <c r="Z2738" s="1"/>
      <c r="AA2738" s="1">
        <v>7780000.0</v>
      </c>
      <c r="AB2738" s="1"/>
      <c r="AC2738" s="1" t="s">
        <v>36</v>
      </c>
      <c r="AD2738" s="1" t="s">
        <v>9609</v>
      </c>
      <c r="AE2738" s="1" t="s">
        <v>32</v>
      </c>
      <c r="AF2738" s="1" t="s">
        <v>33</v>
      </c>
      <c r="AG2738" s="1" t="s">
        <v>41</v>
      </c>
    </row>
    <row r="2739" spans="1:33">
      <c r="A2739" t="s">
        <v>9791</v>
      </c>
      <c r="C2739" t="s">
        <v>1928</v>
      </c>
      <c r="E2739" t="s">
        <v>9612</v>
      </c>
      <c r="F2739" t="s">
        <v>9613</v>
      </c>
      <c r="G2739">
        <v>645.0</v>
      </c>
      <c r="H2739">
        <v>645.0</v>
      </c>
      <c r="I2739" t="s">
        <v>179</v>
      </c>
      <c r="J2739" t="s">
        <v>180</v>
      </c>
      <c r="K2739" t="s">
        <v>31</v>
      </c>
      <c r="L2739" t="s">
        <v>32</v>
      </c>
      <c r="M2739" t="s">
        <v>33</v>
      </c>
      <c r="P2739" s="1" t="s">
        <v>9792</v>
      </c>
      <c r="Q2739" s="1" t="s">
        <v>9612</v>
      </c>
      <c r="R2739" s="1" t="s">
        <v>9612</v>
      </c>
      <c r="S2739" s="1"/>
      <c r="T2739" s="1" t="s">
        <v>1928</v>
      </c>
      <c r="U2739" s="1"/>
      <c r="V2739" s="1">
        <v>645.0</v>
      </c>
      <c r="W2739" s="1">
        <v>645.0</v>
      </c>
      <c r="X2739" s="1" t="s">
        <v>35</v>
      </c>
      <c r="Y2739" s="1">
        <v>645000.0</v>
      </c>
      <c r="Z2739" s="1"/>
      <c r="AA2739" s="1">
        <v>645000.0</v>
      </c>
      <c r="AB2739" s="1"/>
      <c r="AC2739" s="1" t="s">
        <v>36</v>
      </c>
      <c r="AD2739" s="1" t="s">
        <v>9793</v>
      </c>
      <c r="AE2739" s="1" t="s">
        <v>32</v>
      </c>
      <c r="AF2739" s="1" t="s">
        <v>33</v>
      </c>
      <c r="AG2739" s="1" t="s">
        <v>180</v>
      </c>
    </row>
    <row r="2740" spans="1:33">
      <c r="A2740" t="s">
        <v>9794</v>
      </c>
      <c r="C2740" t="s">
        <v>4857</v>
      </c>
      <c r="E2740" t="s">
        <v>9612</v>
      </c>
      <c r="F2740" t="s">
        <v>9613</v>
      </c>
      <c r="G2740">
        <v>320.0</v>
      </c>
      <c r="H2740">
        <v>320.0</v>
      </c>
      <c r="I2740" t="s">
        <v>126</v>
      </c>
      <c r="J2740" t="s">
        <v>127</v>
      </c>
      <c r="K2740" t="s">
        <v>31</v>
      </c>
      <c r="L2740" t="s">
        <v>32</v>
      </c>
      <c r="M2740" t="s">
        <v>33</v>
      </c>
      <c r="P2740" s="1" t="s">
        <v>9795</v>
      </c>
      <c r="Q2740" s="1" t="s">
        <v>9612</v>
      </c>
      <c r="R2740" s="1" t="s">
        <v>9612</v>
      </c>
      <c r="S2740" s="1"/>
      <c r="T2740" s="1" t="s">
        <v>4857</v>
      </c>
      <c r="U2740" s="1"/>
      <c r="V2740" s="1">
        <v>320.0</v>
      </c>
      <c r="W2740" s="1">
        <v>320.0</v>
      </c>
      <c r="X2740" s="1" t="s">
        <v>35</v>
      </c>
      <c r="Y2740" s="1">
        <v>320000.0</v>
      </c>
      <c r="Z2740" s="1"/>
      <c r="AA2740" s="1">
        <v>320000.0</v>
      </c>
      <c r="AB2740" s="1"/>
      <c r="AC2740" s="1" t="s">
        <v>36</v>
      </c>
      <c r="AD2740" s="1" t="s">
        <v>9796</v>
      </c>
      <c r="AE2740" s="1" t="s">
        <v>32</v>
      </c>
      <c r="AF2740" s="1" t="s">
        <v>33</v>
      </c>
      <c r="AG2740" s="1" t="s">
        <v>127</v>
      </c>
    </row>
    <row r="2741" spans="1:33">
      <c r="A2741" t="s">
        <v>9797</v>
      </c>
      <c r="C2741" t="s">
        <v>1728</v>
      </c>
      <c r="E2741" t="s">
        <v>9612</v>
      </c>
      <c r="F2741" t="s">
        <v>9613</v>
      </c>
      <c r="G2741">
        <v>1.941</v>
      </c>
      <c r="H2741">
        <v>1.941</v>
      </c>
      <c r="I2741" t="s">
        <v>94</v>
      </c>
      <c r="J2741" t="s">
        <v>95</v>
      </c>
      <c r="K2741" t="s">
        <v>31</v>
      </c>
      <c r="L2741" t="s">
        <v>32</v>
      </c>
      <c r="M2741" t="s">
        <v>33</v>
      </c>
      <c r="P2741" s="1" t="s">
        <v>9798</v>
      </c>
      <c r="Q2741" s="1" t="s">
        <v>9612</v>
      </c>
      <c r="R2741" s="1" t="s">
        <v>9612</v>
      </c>
      <c r="S2741" s="1"/>
      <c r="T2741" s="1" t="s">
        <v>1728</v>
      </c>
      <c r="U2741" s="1"/>
      <c r="V2741" s="1">
        <v>1.941</v>
      </c>
      <c r="W2741" s="1">
        <v>1.941</v>
      </c>
      <c r="X2741" s="1" t="s">
        <v>35</v>
      </c>
      <c r="Y2741" s="1">
        <v>1941400.0</v>
      </c>
      <c r="Z2741" s="1"/>
      <c r="AA2741" s="1">
        <v>1941400.0</v>
      </c>
      <c r="AB2741" s="1"/>
      <c r="AC2741" s="1" t="s">
        <v>36</v>
      </c>
      <c r="AD2741" s="1" t="s">
        <v>9759</v>
      </c>
      <c r="AE2741" s="1" t="s">
        <v>32</v>
      </c>
      <c r="AF2741" s="1" t="s">
        <v>33</v>
      </c>
      <c r="AG2741" s="1" t="s">
        <v>95</v>
      </c>
    </row>
    <row r="2742" spans="1:33">
      <c r="A2742" t="s">
        <v>9799</v>
      </c>
      <c r="B2742" t="s">
        <v>9800</v>
      </c>
      <c r="C2742" t="s">
        <v>73</v>
      </c>
      <c r="E2742" t="s">
        <v>9612</v>
      </c>
      <c r="F2742" t="s">
        <v>9613</v>
      </c>
      <c r="G2742">
        <v>58.19</v>
      </c>
      <c r="H2742">
        <v>58.19</v>
      </c>
      <c r="I2742" t="s">
        <v>40</v>
      </c>
      <c r="J2742" t="s">
        <v>41</v>
      </c>
      <c r="K2742" t="s">
        <v>31</v>
      </c>
      <c r="L2742" t="s">
        <v>32</v>
      </c>
      <c r="M2742" t="s">
        <v>33</v>
      </c>
      <c r="P2742" s="1" t="s">
        <v>9801</v>
      </c>
      <c r="Q2742" s="1" t="s">
        <v>9612</v>
      </c>
      <c r="R2742" s="1" t="s">
        <v>9112</v>
      </c>
      <c r="S2742" s="1"/>
      <c r="T2742" s="1" t="s">
        <v>75</v>
      </c>
      <c r="U2742" s="1" t="s">
        <v>76</v>
      </c>
      <c r="V2742" s="1">
        <v>58.19</v>
      </c>
      <c r="W2742" s="1">
        <v>58.19</v>
      </c>
      <c r="X2742" s="1" t="s">
        <v>35</v>
      </c>
      <c r="Y2742" s="1">
        <v>58190.0</v>
      </c>
      <c r="Z2742" s="1"/>
      <c r="AA2742" s="1">
        <v>58190.0</v>
      </c>
      <c r="AB2742" s="1"/>
      <c r="AC2742" s="1" t="s">
        <v>36</v>
      </c>
      <c r="AD2742" s="1" t="s">
        <v>9802</v>
      </c>
      <c r="AE2742" s="1" t="s">
        <v>32</v>
      </c>
      <c r="AF2742" s="1" t="s">
        <v>33</v>
      </c>
      <c r="AG2742" s="1" t="s">
        <v>41</v>
      </c>
    </row>
    <row r="2743" spans="1:33">
      <c r="A2743" t="s">
        <v>9803</v>
      </c>
      <c r="B2743" t="s">
        <v>9804</v>
      </c>
      <c r="C2743" t="s">
        <v>268</v>
      </c>
      <c r="E2743" t="s">
        <v>9612</v>
      </c>
      <c r="F2743" t="s">
        <v>9613</v>
      </c>
      <c r="G2743">
        <v>120.75</v>
      </c>
      <c r="H2743">
        <v>120.75</v>
      </c>
      <c r="I2743" t="s">
        <v>269</v>
      </c>
      <c r="J2743" t="s">
        <v>270</v>
      </c>
      <c r="K2743" t="s">
        <v>31</v>
      </c>
      <c r="L2743" t="s">
        <v>32</v>
      </c>
      <c r="M2743" t="s">
        <v>33</v>
      </c>
      <c r="P2743" s="1" t="s">
        <v>9805</v>
      </c>
      <c r="Q2743" s="1" t="s">
        <v>9612</v>
      </c>
      <c r="R2743" s="1" t="s">
        <v>9612</v>
      </c>
      <c r="S2743" s="1"/>
      <c r="T2743" s="1" t="s">
        <v>268</v>
      </c>
      <c r="U2743" s="1"/>
      <c r="V2743" s="1">
        <v>120.75</v>
      </c>
      <c r="W2743" s="1">
        <v>120.75</v>
      </c>
      <c r="X2743" s="1" t="s">
        <v>35</v>
      </c>
      <c r="Y2743" s="1">
        <v>120750.0</v>
      </c>
      <c r="Z2743" s="1"/>
      <c r="AA2743" s="1">
        <v>120750.0</v>
      </c>
      <c r="AB2743" s="1"/>
      <c r="AC2743" s="1" t="s">
        <v>36</v>
      </c>
      <c r="AD2743" s="1" t="s">
        <v>9806</v>
      </c>
      <c r="AE2743" s="1" t="s">
        <v>32</v>
      </c>
      <c r="AF2743" s="1" t="s">
        <v>33</v>
      </c>
      <c r="AG2743" s="1" t="s">
        <v>270</v>
      </c>
    </row>
    <row r="2744" spans="1:33">
      <c r="A2744" t="s">
        <v>9807</v>
      </c>
      <c r="C2744" t="s">
        <v>4692</v>
      </c>
      <c r="E2744" t="s">
        <v>9612</v>
      </c>
      <c r="F2744" t="s">
        <v>9613</v>
      </c>
      <c r="G2744">
        <v>315.0</v>
      </c>
      <c r="H2744">
        <v>315.0</v>
      </c>
      <c r="I2744" t="s">
        <v>40</v>
      </c>
      <c r="J2744" t="s">
        <v>41</v>
      </c>
      <c r="K2744" t="s">
        <v>31</v>
      </c>
      <c r="L2744" t="s">
        <v>32</v>
      </c>
      <c r="M2744" t="s">
        <v>33</v>
      </c>
      <c r="P2744" s="1" t="s">
        <v>9808</v>
      </c>
      <c r="Q2744" s="1" t="s">
        <v>9612</v>
      </c>
      <c r="R2744" s="1" t="s">
        <v>9112</v>
      </c>
      <c r="S2744" s="1"/>
      <c r="T2744" s="1" t="s">
        <v>4692</v>
      </c>
      <c r="U2744" s="1"/>
      <c r="V2744" s="1">
        <v>315.0</v>
      </c>
      <c r="W2744" s="1">
        <v>315.0</v>
      </c>
      <c r="X2744" s="1" t="s">
        <v>35</v>
      </c>
      <c r="Y2744" s="1">
        <v>315000.0</v>
      </c>
      <c r="Z2744" s="1"/>
      <c r="AA2744" s="1">
        <v>315000.0</v>
      </c>
      <c r="AB2744" s="1"/>
      <c r="AC2744" s="1" t="s">
        <v>36</v>
      </c>
      <c r="AD2744" s="1" t="s">
        <v>9809</v>
      </c>
      <c r="AE2744" s="1" t="s">
        <v>32</v>
      </c>
      <c r="AF2744" s="1" t="s">
        <v>33</v>
      </c>
      <c r="AG2744" s="1" t="s">
        <v>41</v>
      </c>
    </row>
    <row r="2745" spans="1:33">
      <c r="A2745" t="s">
        <v>9810</v>
      </c>
      <c r="C2745" t="s">
        <v>489</v>
      </c>
      <c r="D2745" t="s">
        <v>154</v>
      </c>
      <c r="E2745" t="s">
        <v>9612</v>
      </c>
      <c r="F2745" t="s">
        <v>9613</v>
      </c>
      <c r="G2745">
        <v>723.0</v>
      </c>
      <c r="H2745">
        <v>723.0</v>
      </c>
      <c r="I2745" t="s">
        <v>227</v>
      </c>
      <c r="J2745" t="s">
        <v>228</v>
      </c>
      <c r="K2745" t="s">
        <v>31</v>
      </c>
      <c r="L2745" t="s">
        <v>32</v>
      </c>
      <c r="M2745" t="s">
        <v>33</v>
      </c>
      <c r="P2745" s="1" t="s">
        <v>9811</v>
      </c>
      <c r="Q2745" s="1" t="s">
        <v>9612</v>
      </c>
      <c r="R2745" s="1" t="s">
        <v>9612</v>
      </c>
      <c r="S2745" s="1"/>
      <c r="T2745" s="1" t="s">
        <v>489</v>
      </c>
      <c r="U2745" s="1"/>
      <c r="V2745" s="1">
        <v>723.0</v>
      </c>
      <c r="W2745" s="1">
        <v>723.0</v>
      </c>
      <c r="X2745" s="1" t="s">
        <v>35</v>
      </c>
      <c r="Y2745" s="1">
        <v>723000.0</v>
      </c>
      <c r="Z2745" s="1"/>
      <c r="AA2745" s="1">
        <v>723000.0</v>
      </c>
      <c r="AB2745" s="1"/>
      <c r="AC2745" s="1" t="s">
        <v>36</v>
      </c>
      <c r="AD2745" s="1" t="s">
        <v>9788</v>
      </c>
      <c r="AE2745" s="1" t="s">
        <v>32</v>
      </c>
      <c r="AF2745" s="1" t="s">
        <v>33</v>
      </c>
      <c r="AG2745" s="1" t="s">
        <v>228</v>
      </c>
    </row>
    <row r="2746" spans="1:33">
      <c r="A2746" t="s">
        <v>9812</v>
      </c>
      <c r="B2746" t="s">
        <v>9813</v>
      </c>
      <c r="C2746" t="s">
        <v>125</v>
      </c>
      <c r="E2746" t="s">
        <v>9612</v>
      </c>
      <c r="F2746" t="s">
        <v>9613</v>
      </c>
      <c r="G2746">
        <v>4.298</v>
      </c>
      <c r="H2746">
        <v>4.298</v>
      </c>
      <c r="I2746" t="s">
        <v>126</v>
      </c>
      <c r="J2746" t="s">
        <v>127</v>
      </c>
      <c r="K2746" t="s">
        <v>31</v>
      </c>
      <c r="L2746" t="s">
        <v>32</v>
      </c>
      <c r="M2746" t="s">
        <v>33</v>
      </c>
      <c r="P2746" s="1" t="s">
        <v>9814</v>
      </c>
      <c r="Q2746" s="1" t="s">
        <v>9612</v>
      </c>
      <c r="R2746" s="1" t="s">
        <v>9612</v>
      </c>
      <c r="S2746" s="1"/>
      <c r="T2746" s="1" t="s">
        <v>125</v>
      </c>
      <c r="U2746" s="1"/>
      <c r="V2746" s="1">
        <v>4.298</v>
      </c>
      <c r="W2746" s="1">
        <v>4.298</v>
      </c>
      <c r="X2746" s="1" t="s">
        <v>35</v>
      </c>
      <c r="Y2746" s="1">
        <v>4298.0</v>
      </c>
      <c r="Z2746" s="1"/>
      <c r="AA2746" s="1">
        <v>4298.0</v>
      </c>
      <c r="AB2746" s="1"/>
      <c r="AC2746" s="1" t="s">
        <v>36</v>
      </c>
      <c r="AD2746" s="1" t="s">
        <v>9809</v>
      </c>
      <c r="AE2746" s="1" t="s">
        <v>32</v>
      </c>
      <c r="AF2746" s="1" t="s">
        <v>33</v>
      </c>
      <c r="AG2746" s="1" t="s">
        <v>127</v>
      </c>
    </row>
    <row r="2747" spans="1:33">
      <c r="A2747" t="s">
        <v>9815</v>
      </c>
      <c r="C2747" t="s">
        <v>1424</v>
      </c>
      <c r="E2747" t="s">
        <v>9612</v>
      </c>
      <c r="F2747" t="s">
        <v>9613</v>
      </c>
      <c r="G2747">
        <v>630.0</v>
      </c>
      <c r="H2747">
        <v>630.0</v>
      </c>
      <c r="I2747" t="s">
        <v>126</v>
      </c>
      <c r="J2747" t="s">
        <v>127</v>
      </c>
      <c r="K2747" t="s">
        <v>31</v>
      </c>
      <c r="L2747" t="s">
        <v>32</v>
      </c>
      <c r="M2747" t="s">
        <v>33</v>
      </c>
      <c r="P2747" s="1" t="s">
        <v>9816</v>
      </c>
      <c r="Q2747" s="1" t="s">
        <v>9612</v>
      </c>
      <c r="R2747" s="1" t="s">
        <v>9612</v>
      </c>
      <c r="S2747" s="1"/>
      <c r="T2747" s="1" t="s">
        <v>1424</v>
      </c>
      <c r="U2747" s="1"/>
      <c r="V2747" s="1">
        <v>630.0</v>
      </c>
      <c r="W2747" s="1">
        <v>630.0</v>
      </c>
      <c r="X2747" s="1" t="s">
        <v>35</v>
      </c>
      <c r="Y2747" s="1">
        <v>630000.0</v>
      </c>
      <c r="Z2747" s="1"/>
      <c r="AA2747" s="1">
        <v>630000.0</v>
      </c>
      <c r="AB2747" s="1"/>
      <c r="AC2747" s="1" t="s">
        <v>36</v>
      </c>
      <c r="AD2747" s="1" t="s">
        <v>9817</v>
      </c>
      <c r="AE2747" s="1" t="s">
        <v>32</v>
      </c>
      <c r="AF2747" s="1" t="s">
        <v>33</v>
      </c>
      <c r="AG2747" s="1" t="s">
        <v>127</v>
      </c>
    </row>
    <row r="2748" spans="1:33">
      <c r="A2748" t="s">
        <v>9818</v>
      </c>
      <c r="C2748" t="s">
        <v>9819</v>
      </c>
      <c r="E2748" t="s">
        <v>9612</v>
      </c>
      <c r="F2748" t="s">
        <v>9613</v>
      </c>
      <c r="G2748">
        <v>198.0</v>
      </c>
      <c r="H2748">
        <v>198.0</v>
      </c>
      <c r="I2748" t="s">
        <v>269</v>
      </c>
      <c r="J2748" t="s">
        <v>270</v>
      </c>
      <c r="K2748" t="s">
        <v>31</v>
      </c>
      <c r="L2748" t="s">
        <v>32</v>
      </c>
      <c r="M2748" t="s">
        <v>33</v>
      </c>
      <c r="P2748" s="1" t="s">
        <v>9820</v>
      </c>
      <c r="Q2748" s="1" t="s">
        <v>9612</v>
      </c>
      <c r="R2748" s="1" t="s">
        <v>9612</v>
      </c>
      <c r="S2748" s="1"/>
      <c r="T2748" s="1" t="s">
        <v>9819</v>
      </c>
      <c r="U2748" s="1"/>
      <c r="V2748" s="1">
        <v>198.0</v>
      </c>
      <c r="W2748" s="1">
        <v>198.0</v>
      </c>
      <c r="X2748" s="1" t="s">
        <v>35</v>
      </c>
      <c r="Y2748" s="1">
        <v>198000.0</v>
      </c>
      <c r="Z2748" s="1"/>
      <c r="AA2748" s="1">
        <v>198000.0</v>
      </c>
      <c r="AB2748" s="1"/>
      <c r="AC2748" s="1" t="s">
        <v>36</v>
      </c>
      <c r="AD2748" s="1" t="s">
        <v>9821</v>
      </c>
      <c r="AE2748" s="1" t="s">
        <v>32</v>
      </c>
      <c r="AF2748" s="1" t="s">
        <v>33</v>
      </c>
      <c r="AG2748" s="1" t="s">
        <v>270</v>
      </c>
    </row>
    <row r="2749" spans="1:33">
      <c r="A2749" t="s">
        <v>9822</v>
      </c>
      <c r="C2749" t="s">
        <v>4692</v>
      </c>
      <c r="E2749" t="s">
        <v>9612</v>
      </c>
      <c r="F2749" t="s">
        <v>9613</v>
      </c>
      <c r="G2749">
        <v>620.5</v>
      </c>
      <c r="H2749">
        <v>620.5</v>
      </c>
      <c r="I2749" t="s">
        <v>40</v>
      </c>
      <c r="J2749" t="s">
        <v>41</v>
      </c>
      <c r="K2749" t="s">
        <v>31</v>
      </c>
      <c r="L2749" t="s">
        <v>32</v>
      </c>
      <c r="M2749" t="s">
        <v>33</v>
      </c>
      <c r="P2749" s="1" t="s">
        <v>9823</v>
      </c>
      <c r="Q2749" s="1" t="s">
        <v>9612</v>
      </c>
      <c r="R2749" s="1" t="s">
        <v>9112</v>
      </c>
      <c r="S2749" s="1"/>
      <c r="T2749" s="1" t="s">
        <v>4692</v>
      </c>
      <c r="U2749" s="1"/>
      <c r="V2749" s="1">
        <v>620.5</v>
      </c>
      <c r="W2749" s="1">
        <v>620.5</v>
      </c>
      <c r="X2749" s="1" t="s">
        <v>35</v>
      </c>
      <c r="Y2749" s="1">
        <v>620500.0</v>
      </c>
      <c r="Z2749" s="1"/>
      <c r="AA2749" s="1">
        <v>620500.0</v>
      </c>
      <c r="AB2749" s="1"/>
      <c r="AC2749" s="1" t="s">
        <v>36</v>
      </c>
      <c r="AD2749" s="1" t="s">
        <v>9824</v>
      </c>
      <c r="AE2749" s="1" t="s">
        <v>32</v>
      </c>
      <c r="AF2749" s="1" t="s">
        <v>33</v>
      </c>
      <c r="AG2749" s="1" t="s">
        <v>41</v>
      </c>
    </row>
    <row r="2750" spans="1:33">
      <c r="A2750" t="s">
        <v>9825</v>
      </c>
      <c r="B2750" t="s">
        <v>9826</v>
      </c>
      <c r="C2750" t="s">
        <v>1298</v>
      </c>
      <c r="E2750" t="s">
        <v>9612</v>
      </c>
      <c r="F2750" t="s">
        <v>9613</v>
      </c>
      <c r="G2750">
        <v>23.659</v>
      </c>
      <c r="H2750">
        <v>23.659</v>
      </c>
      <c r="I2750" t="s">
        <v>529</v>
      </c>
      <c r="J2750" t="s">
        <v>530</v>
      </c>
      <c r="K2750" t="s">
        <v>31</v>
      </c>
      <c r="L2750" t="s">
        <v>32</v>
      </c>
      <c r="M2750" t="s">
        <v>33</v>
      </c>
      <c r="P2750" s="1" t="s">
        <v>9827</v>
      </c>
      <c r="Q2750" s="1" t="s">
        <v>9612</v>
      </c>
      <c r="R2750" s="1" t="s">
        <v>9112</v>
      </c>
      <c r="S2750" s="1"/>
      <c r="T2750" s="1" t="s">
        <v>1298</v>
      </c>
      <c r="U2750" s="1"/>
      <c r="V2750" s="1">
        <v>23.659</v>
      </c>
      <c r="W2750" s="1">
        <v>23.659</v>
      </c>
      <c r="X2750" s="1" t="s">
        <v>35</v>
      </c>
      <c r="Y2750" s="1">
        <v>23659.0</v>
      </c>
      <c r="Z2750" s="1"/>
      <c r="AA2750" s="1">
        <v>23659.0</v>
      </c>
      <c r="AB2750" s="1"/>
      <c r="AC2750" s="1" t="s">
        <v>36</v>
      </c>
      <c r="AD2750" s="1" t="s">
        <v>9828</v>
      </c>
      <c r="AE2750" s="1" t="s">
        <v>32</v>
      </c>
      <c r="AF2750" s="1" t="s">
        <v>33</v>
      </c>
      <c r="AG2750" s="1" t="s">
        <v>530</v>
      </c>
    </row>
    <row r="2751" spans="1:33">
      <c r="A2751" t="s">
        <v>9829</v>
      </c>
      <c r="C2751" t="s">
        <v>5981</v>
      </c>
      <c r="E2751" t="s">
        <v>9612</v>
      </c>
      <c r="F2751" t="s">
        <v>9613</v>
      </c>
      <c r="G2751">
        <v>779.0</v>
      </c>
      <c r="H2751">
        <v>779.0</v>
      </c>
      <c r="I2751" t="s">
        <v>126</v>
      </c>
      <c r="J2751" t="s">
        <v>127</v>
      </c>
      <c r="K2751" t="s">
        <v>31</v>
      </c>
      <c r="L2751" t="s">
        <v>32</v>
      </c>
      <c r="M2751" t="s">
        <v>33</v>
      </c>
      <c r="P2751" s="1" t="s">
        <v>9830</v>
      </c>
      <c r="Q2751" s="1" t="s">
        <v>9612</v>
      </c>
      <c r="R2751" s="1" t="s">
        <v>9612</v>
      </c>
      <c r="S2751" s="1"/>
      <c r="T2751" s="1" t="s">
        <v>5981</v>
      </c>
      <c r="U2751" s="1"/>
      <c r="V2751" s="1">
        <v>779.0</v>
      </c>
      <c r="W2751" s="1">
        <v>779.0</v>
      </c>
      <c r="X2751" s="1" t="s">
        <v>35</v>
      </c>
      <c r="Y2751" s="1">
        <v>779000.0</v>
      </c>
      <c r="Z2751" s="1"/>
      <c r="AA2751" s="1">
        <v>779000.0</v>
      </c>
      <c r="AB2751" s="1"/>
      <c r="AC2751" s="1" t="s">
        <v>36</v>
      </c>
      <c r="AD2751" s="1" t="s">
        <v>9831</v>
      </c>
      <c r="AE2751" s="1" t="s">
        <v>32</v>
      </c>
      <c r="AF2751" s="1" t="s">
        <v>33</v>
      </c>
      <c r="AG2751" s="1" t="s">
        <v>127</v>
      </c>
    </row>
    <row r="2752" spans="1:33">
      <c r="A2752" t="s">
        <v>9832</v>
      </c>
      <c r="B2752" t="s">
        <v>9833</v>
      </c>
      <c r="C2752" t="s">
        <v>47</v>
      </c>
      <c r="E2752" t="s">
        <v>9612</v>
      </c>
      <c r="F2752" t="s">
        <v>9613</v>
      </c>
      <c r="G2752">
        <v>20.99</v>
      </c>
      <c r="H2752">
        <v>20.99</v>
      </c>
      <c r="I2752" t="s">
        <v>2206</v>
      </c>
      <c r="J2752" t="s">
        <v>49</v>
      </c>
      <c r="K2752" t="s">
        <v>31</v>
      </c>
      <c r="L2752" t="s">
        <v>32</v>
      </c>
      <c r="M2752" t="s">
        <v>33</v>
      </c>
      <c r="P2752" s="1" t="s">
        <v>9834</v>
      </c>
      <c r="Q2752" s="1" t="s">
        <v>9612</v>
      </c>
      <c r="R2752" s="1" t="s">
        <v>9612</v>
      </c>
      <c r="S2752" s="1"/>
      <c r="T2752" s="1" t="s">
        <v>47</v>
      </c>
      <c r="U2752" s="1"/>
      <c r="V2752" s="1">
        <v>20.99</v>
      </c>
      <c r="W2752" s="1">
        <v>20.99</v>
      </c>
      <c r="X2752" s="1" t="s">
        <v>35</v>
      </c>
      <c r="Y2752" s="1">
        <v>20990.0</v>
      </c>
      <c r="Z2752" s="1"/>
      <c r="AA2752" s="1">
        <v>20990.0</v>
      </c>
      <c r="AB2752" s="1"/>
      <c r="AC2752" s="1" t="s">
        <v>36</v>
      </c>
      <c r="AD2752" s="1" t="s">
        <v>9824</v>
      </c>
      <c r="AE2752" s="1" t="s">
        <v>32</v>
      </c>
      <c r="AF2752" s="1" t="s">
        <v>33</v>
      </c>
      <c r="AG2752" s="1" t="s">
        <v>49</v>
      </c>
    </row>
    <row r="2753" spans="1:33">
      <c r="A2753" t="s">
        <v>9835</v>
      </c>
      <c r="C2753" t="s">
        <v>106</v>
      </c>
      <c r="E2753" t="s">
        <v>9612</v>
      </c>
      <c r="F2753" t="s">
        <v>9613</v>
      </c>
      <c r="G2753">
        <v>708.0</v>
      </c>
      <c r="H2753">
        <v>708.0</v>
      </c>
      <c r="I2753" t="s">
        <v>94</v>
      </c>
      <c r="J2753" t="s">
        <v>95</v>
      </c>
      <c r="K2753" t="s">
        <v>31</v>
      </c>
      <c r="L2753" t="s">
        <v>32</v>
      </c>
      <c r="M2753" t="s">
        <v>33</v>
      </c>
      <c r="P2753" s="1" t="s">
        <v>9836</v>
      </c>
      <c r="Q2753" s="1" t="s">
        <v>9612</v>
      </c>
      <c r="R2753" s="1" t="s">
        <v>9612</v>
      </c>
      <c r="S2753" s="1"/>
      <c r="T2753" s="1" t="s">
        <v>106</v>
      </c>
      <c r="U2753" s="1"/>
      <c r="V2753" s="1">
        <v>708.0</v>
      </c>
      <c r="W2753" s="1">
        <v>708.0</v>
      </c>
      <c r="X2753" s="1" t="s">
        <v>35</v>
      </c>
      <c r="Y2753" s="1">
        <v>708000.0</v>
      </c>
      <c r="Z2753" s="1"/>
      <c r="AA2753" s="1">
        <v>708000.0</v>
      </c>
      <c r="AB2753" s="1"/>
      <c r="AC2753" s="1" t="s">
        <v>36</v>
      </c>
      <c r="AD2753" s="1" t="s">
        <v>9837</v>
      </c>
      <c r="AE2753" s="1" t="s">
        <v>32</v>
      </c>
      <c r="AF2753" s="1" t="s">
        <v>33</v>
      </c>
      <c r="AG2753" s="1" t="s">
        <v>95</v>
      </c>
    </row>
    <row r="2754" spans="1:33">
      <c r="A2754" t="s">
        <v>9838</v>
      </c>
      <c r="B2754" t="s">
        <v>9839</v>
      </c>
      <c r="C2754" t="s">
        <v>268</v>
      </c>
      <c r="E2754" t="s">
        <v>9612</v>
      </c>
      <c r="F2754" t="s">
        <v>9613</v>
      </c>
      <c r="G2754">
        <v>16.9</v>
      </c>
      <c r="H2754">
        <v>16.9</v>
      </c>
      <c r="I2754" t="s">
        <v>269</v>
      </c>
      <c r="J2754" t="s">
        <v>270</v>
      </c>
      <c r="K2754" t="s">
        <v>31</v>
      </c>
      <c r="L2754" t="s">
        <v>32</v>
      </c>
      <c r="M2754" t="s">
        <v>33</v>
      </c>
      <c r="P2754" s="1" t="s">
        <v>9840</v>
      </c>
      <c r="Q2754" s="1" t="s">
        <v>9612</v>
      </c>
      <c r="R2754" s="1" t="s">
        <v>9612</v>
      </c>
      <c r="S2754" s="1"/>
      <c r="T2754" s="1" t="s">
        <v>268</v>
      </c>
      <c r="U2754" s="1"/>
      <c r="V2754" s="1">
        <v>16.9</v>
      </c>
      <c r="W2754" s="1">
        <v>16.9</v>
      </c>
      <c r="X2754" s="1" t="s">
        <v>35</v>
      </c>
      <c r="Y2754" s="1">
        <v>16900.0</v>
      </c>
      <c r="Z2754" s="1"/>
      <c r="AA2754" s="1">
        <v>16900.0</v>
      </c>
      <c r="AB2754" s="1"/>
      <c r="AC2754" s="1" t="s">
        <v>36</v>
      </c>
      <c r="AD2754" s="1" t="s">
        <v>9841</v>
      </c>
      <c r="AE2754" s="1" t="s">
        <v>32</v>
      </c>
      <c r="AF2754" s="1" t="s">
        <v>33</v>
      </c>
      <c r="AG2754" s="1" t="s">
        <v>270</v>
      </c>
    </row>
    <row r="2755" spans="1:33">
      <c r="A2755" t="s">
        <v>9842</v>
      </c>
      <c r="B2755" t="s">
        <v>9843</v>
      </c>
      <c r="C2755" t="s">
        <v>125</v>
      </c>
      <c r="E2755" t="s">
        <v>9612</v>
      </c>
      <c r="F2755" t="s">
        <v>9613</v>
      </c>
      <c r="G2755">
        <v>52.18</v>
      </c>
      <c r="H2755">
        <v>52.18</v>
      </c>
      <c r="I2755" t="s">
        <v>126</v>
      </c>
      <c r="J2755" t="s">
        <v>127</v>
      </c>
      <c r="K2755" t="s">
        <v>31</v>
      </c>
      <c r="L2755" t="s">
        <v>32</v>
      </c>
      <c r="M2755" t="s">
        <v>33</v>
      </c>
      <c r="P2755" s="1" t="s">
        <v>9844</v>
      </c>
      <c r="Q2755" s="1" t="s">
        <v>9612</v>
      </c>
      <c r="R2755" s="1" t="s">
        <v>9612</v>
      </c>
      <c r="S2755" s="1"/>
      <c r="T2755" s="1" t="s">
        <v>125</v>
      </c>
      <c r="U2755" s="1"/>
      <c r="V2755" s="1">
        <v>52.18</v>
      </c>
      <c r="W2755" s="1">
        <v>52.18</v>
      </c>
      <c r="X2755" s="1" t="s">
        <v>35</v>
      </c>
      <c r="Y2755" s="1">
        <v>52180.0</v>
      </c>
      <c r="Z2755" s="1"/>
      <c r="AA2755" s="1">
        <v>52180.0</v>
      </c>
      <c r="AB2755" s="1"/>
      <c r="AC2755" s="1" t="s">
        <v>36</v>
      </c>
      <c r="AD2755" s="1" t="s">
        <v>9845</v>
      </c>
      <c r="AE2755" s="1" t="s">
        <v>32</v>
      </c>
      <c r="AF2755" s="1" t="s">
        <v>33</v>
      </c>
      <c r="AG2755" s="1" t="s">
        <v>127</v>
      </c>
    </row>
    <row r="2756" spans="1:33">
      <c r="A2756" t="s">
        <v>9846</v>
      </c>
      <c r="B2756" t="s">
        <v>3027</v>
      </c>
      <c r="C2756" t="s">
        <v>172</v>
      </c>
      <c r="E2756" t="s">
        <v>9612</v>
      </c>
      <c r="F2756" t="s">
        <v>9613</v>
      </c>
      <c r="G2756">
        <v>21.112</v>
      </c>
      <c r="H2756">
        <v>21.112</v>
      </c>
      <c r="I2756" t="s">
        <v>173</v>
      </c>
      <c r="J2756" t="s">
        <v>174</v>
      </c>
      <c r="K2756" t="s">
        <v>31</v>
      </c>
      <c r="L2756" t="s">
        <v>32</v>
      </c>
      <c r="M2756" t="s">
        <v>33</v>
      </c>
      <c r="P2756" s="1" t="s">
        <v>9847</v>
      </c>
      <c r="Q2756" s="1" t="s">
        <v>9612</v>
      </c>
      <c r="R2756" s="1" t="s">
        <v>9612</v>
      </c>
      <c r="S2756" s="1"/>
      <c r="T2756" s="1" t="s">
        <v>172</v>
      </c>
      <c r="U2756" s="1"/>
      <c r="V2756" s="1">
        <v>21.112</v>
      </c>
      <c r="W2756" s="1">
        <v>21.112</v>
      </c>
      <c r="X2756" s="1" t="s">
        <v>35</v>
      </c>
      <c r="Y2756" s="1">
        <v>21112.0</v>
      </c>
      <c r="Z2756" s="1"/>
      <c r="AA2756" s="1">
        <v>21112.0</v>
      </c>
      <c r="AB2756" s="1"/>
      <c r="AC2756" s="1" t="s">
        <v>36</v>
      </c>
      <c r="AD2756" s="1" t="s">
        <v>9848</v>
      </c>
      <c r="AE2756" s="1" t="s">
        <v>32</v>
      </c>
      <c r="AF2756" s="1" t="s">
        <v>33</v>
      </c>
      <c r="AG2756" s="1" t="s">
        <v>174</v>
      </c>
    </row>
    <row r="2757" spans="1:33">
      <c r="A2757" t="s">
        <v>9849</v>
      </c>
      <c r="B2757" t="s">
        <v>3183</v>
      </c>
      <c r="C2757" t="s">
        <v>125</v>
      </c>
      <c r="E2757" t="s">
        <v>9612</v>
      </c>
      <c r="F2757" t="s">
        <v>9613</v>
      </c>
      <c r="G2757">
        <v>4.498</v>
      </c>
      <c r="H2757">
        <v>4.498</v>
      </c>
      <c r="I2757" t="s">
        <v>126</v>
      </c>
      <c r="J2757" t="s">
        <v>127</v>
      </c>
      <c r="K2757" t="s">
        <v>31</v>
      </c>
      <c r="L2757" t="s">
        <v>32</v>
      </c>
      <c r="M2757" t="s">
        <v>33</v>
      </c>
      <c r="P2757" s="1" t="s">
        <v>9850</v>
      </c>
      <c r="Q2757" s="1" t="s">
        <v>9612</v>
      </c>
      <c r="R2757" s="1" t="s">
        <v>9612</v>
      </c>
      <c r="S2757" s="1"/>
      <c r="T2757" s="1" t="s">
        <v>125</v>
      </c>
      <c r="U2757" s="1"/>
      <c r="V2757" s="1">
        <v>4.498</v>
      </c>
      <c r="W2757" s="1">
        <v>4.498</v>
      </c>
      <c r="X2757" s="1" t="s">
        <v>35</v>
      </c>
      <c r="Y2757" s="1">
        <v>4498.0</v>
      </c>
      <c r="Z2757" s="1"/>
      <c r="AA2757" s="1">
        <v>4498.0</v>
      </c>
      <c r="AB2757" s="1"/>
      <c r="AC2757" s="1" t="s">
        <v>36</v>
      </c>
      <c r="AD2757" s="1" t="s">
        <v>9841</v>
      </c>
      <c r="AE2757" s="1" t="s">
        <v>32</v>
      </c>
      <c r="AF2757" s="1" t="s">
        <v>33</v>
      </c>
      <c r="AG2757" s="1" t="s">
        <v>127</v>
      </c>
    </row>
    <row r="2758" spans="1:33">
      <c r="A2758" t="s">
        <v>9851</v>
      </c>
      <c r="B2758" t="s">
        <v>9852</v>
      </c>
      <c r="C2758" t="s">
        <v>125</v>
      </c>
      <c r="E2758" t="s">
        <v>9612</v>
      </c>
      <c r="F2758" t="s">
        <v>9613</v>
      </c>
      <c r="G2758">
        <v>42.768</v>
      </c>
      <c r="H2758">
        <v>42.768</v>
      </c>
      <c r="I2758" t="s">
        <v>126</v>
      </c>
      <c r="J2758" t="s">
        <v>127</v>
      </c>
      <c r="K2758" t="s">
        <v>31</v>
      </c>
      <c r="L2758" t="s">
        <v>32</v>
      </c>
      <c r="M2758" t="s">
        <v>33</v>
      </c>
      <c r="P2758" s="1" t="s">
        <v>9853</v>
      </c>
      <c r="Q2758" s="1" t="s">
        <v>9612</v>
      </c>
      <c r="R2758" s="1" t="s">
        <v>9612</v>
      </c>
      <c r="S2758" s="1"/>
      <c r="T2758" s="1" t="s">
        <v>125</v>
      </c>
      <c r="U2758" s="1"/>
      <c r="V2758" s="1">
        <v>42.768</v>
      </c>
      <c r="W2758" s="1">
        <v>42.768</v>
      </c>
      <c r="X2758" s="1" t="s">
        <v>35</v>
      </c>
      <c r="Y2758" s="1">
        <v>42768.0</v>
      </c>
      <c r="Z2758" s="1"/>
      <c r="AA2758" s="1">
        <v>42768.0</v>
      </c>
      <c r="AB2758" s="1"/>
      <c r="AC2758" s="1" t="s">
        <v>36</v>
      </c>
      <c r="AD2758" s="1" t="s">
        <v>9854</v>
      </c>
      <c r="AE2758" s="1" t="s">
        <v>32</v>
      </c>
      <c r="AF2758" s="1" t="s">
        <v>33</v>
      </c>
      <c r="AG2758" s="1" t="s">
        <v>127</v>
      </c>
    </row>
    <row r="2759" spans="1:33">
      <c r="A2759" t="s">
        <v>9855</v>
      </c>
      <c r="B2759" t="s">
        <v>6220</v>
      </c>
      <c r="C2759" t="s">
        <v>6221</v>
      </c>
      <c r="D2759" t="s">
        <v>114</v>
      </c>
      <c r="E2759" t="s">
        <v>9612</v>
      </c>
      <c r="F2759" t="s">
        <v>9613</v>
      </c>
      <c r="G2759">
        <v>1.294</v>
      </c>
      <c r="H2759">
        <v>1.294</v>
      </c>
      <c r="I2759" t="s">
        <v>529</v>
      </c>
      <c r="J2759" t="s">
        <v>530</v>
      </c>
      <c r="K2759" t="s">
        <v>31</v>
      </c>
      <c r="L2759" t="s">
        <v>32</v>
      </c>
      <c r="M2759" t="s">
        <v>33</v>
      </c>
      <c r="P2759" s="1" t="s">
        <v>9856</v>
      </c>
      <c r="Q2759" s="1" t="s">
        <v>9612</v>
      </c>
      <c r="R2759" s="1" t="s">
        <v>9112</v>
      </c>
      <c r="S2759" s="1"/>
      <c r="T2759" s="1" t="s">
        <v>6221</v>
      </c>
      <c r="U2759" s="1"/>
      <c r="V2759" s="1">
        <v>1.294</v>
      </c>
      <c r="W2759" s="1">
        <v>1.294</v>
      </c>
      <c r="X2759" s="1" t="s">
        <v>35</v>
      </c>
      <c r="Y2759" s="1">
        <v>1294000.0</v>
      </c>
      <c r="Z2759" s="1"/>
      <c r="AA2759" s="1">
        <v>1294000.0</v>
      </c>
      <c r="AB2759" s="1"/>
      <c r="AC2759" s="1" t="s">
        <v>36</v>
      </c>
      <c r="AD2759" s="1" t="s">
        <v>9857</v>
      </c>
      <c r="AE2759" s="1" t="s">
        <v>32</v>
      </c>
      <c r="AF2759" s="1" t="s">
        <v>33</v>
      </c>
      <c r="AG2759" s="1" t="s">
        <v>530</v>
      </c>
    </row>
    <row r="2760" spans="1:33">
      <c r="A2760" t="s">
        <v>9858</v>
      </c>
      <c r="B2760" t="s">
        <v>9859</v>
      </c>
      <c r="C2760" t="s">
        <v>125</v>
      </c>
      <c r="E2760" t="s">
        <v>9612</v>
      </c>
      <c r="F2760" t="s">
        <v>9613</v>
      </c>
      <c r="G2760">
        <v>19.49</v>
      </c>
      <c r="H2760">
        <v>19.49</v>
      </c>
      <c r="I2760" t="s">
        <v>126</v>
      </c>
      <c r="J2760" t="s">
        <v>127</v>
      </c>
      <c r="K2760" t="s">
        <v>31</v>
      </c>
      <c r="L2760" t="s">
        <v>32</v>
      </c>
      <c r="M2760" t="s">
        <v>33</v>
      </c>
      <c r="P2760" s="1" t="s">
        <v>9860</v>
      </c>
      <c r="Q2760" s="1" t="s">
        <v>9612</v>
      </c>
      <c r="R2760" s="1" t="s">
        <v>9612</v>
      </c>
      <c r="S2760" s="1"/>
      <c r="T2760" s="1" t="s">
        <v>125</v>
      </c>
      <c r="U2760" s="1"/>
      <c r="V2760" s="1">
        <v>19.49</v>
      </c>
      <c r="W2760" s="1">
        <v>19.49</v>
      </c>
      <c r="X2760" s="1" t="s">
        <v>35</v>
      </c>
      <c r="Y2760" s="1">
        <v>19490.0</v>
      </c>
      <c r="Z2760" s="1"/>
      <c r="AA2760" s="1">
        <v>19490.0</v>
      </c>
      <c r="AB2760" s="1"/>
      <c r="AC2760" s="1" t="s">
        <v>36</v>
      </c>
      <c r="AD2760" s="1" t="s">
        <v>9861</v>
      </c>
      <c r="AE2760" s="1" t="s">
        <v>32</v>
      </c>
      <c r="AF2760" s="1" t="s">
        <v>33</v>
      </c>
      <c r="AG2760" s="1" t="s">
        <v>127</v>
      </c>
    </row>
    <row r="2761" spans="1:33">
      <c r="A2761" t="s">
        <v>9862</v>
      </c>
      <c r="B2761" t="s">
        <v>9175</v>
      </c>
      <c r="C2761" t="s">
        <v>314</v>
      </c>
      <c r="E2761" t="s">
        <v>9612</v>
      </c>
      <c r="F2761" t="s">
        <v>9613</v>
      </c>
      <c r="G2761">
        <v>18.59</v>
      </c>
      <c r="H2761">
        <v>18.59</v>
      </c>
      <c r="I2761" t="s">
        <v>179</v>
      </c>
      <c r="J2761" t="s">
        <v>180</v>
      </c>
      <c r="K2761" t="s">
        <v>31</v>
      </c>
      <c r="L2761" t="s">
        <v>32</v>
      </c>
      <c r="M2761" t="s">
        <v>33</v>
      </c>
      <c r="P2761" s="1" t="s">
        <v>9863</v>
      </c>
      <c r="Q2761" s="1" t="s">
        <v>9612</v>
      </c>
      <c r="R2761" s="1" t="s">
        <v>9612</v>
      </c>
      <c r="S2761" s="1"/>
      <c r="T2761" s="1" t="s">
        <v>314</v>
      </c>
      <c r="U2761" s="1"/>
      <c r="V2761" s="1">
        <v>18.59</v>
      </c>
      <c r="W2761" s="1">
        <v>18.59</v>
      </c>
      <c r="X2761" s="1" t="s">
        <v>35</v>
      </c>
      <c r="Y2761" s="1">
        <v>18590.0</v>
      </c>
      <c r="Z2761" s="1"/>
      <c r="AA2761" s="1">
        <v>18590.0</v>
      </c>
      <c r="AB2761" s="1"/>
      <c r="AC2761" s="1" t="s">
        <v>36</v>
      </c>
      <c r="AD2761" s="1" t="s">
        <v>9864</v>
      </c>
      <c r="AE2761" s="1" t="s">
        <v>32</v>
      </c>
      <c r="AF2761" s="1" t="s">
        <v>33</v>
      </c>
      <c r="AG2761" s="1" t="s">
        <v>180</v>
      </c>
    </row>
    <row r="2762" spans="1:33">
      <c r="A2762" t="s">
        <v>9865</v>
      </c>
      <c r="B2762" t="s">
        <v>9866</v>
      </c>
      <c r="C2762" t="s">
        <v>47</v>
      </c>
      <c r="E2762" t="s">
        <v>9612</v>
      </c>
      <c r="F2762" t="s">
        <v>9613</v>
      </c>
      <c r="G2762">
        <v>39.78</v>
      </c>
      <c r="H2762">
        <v>39.78</v>
      </c>
      <c r="I2762" t="s">
        <v>2206</v>
      </c>
      <c r="J2762" t="s">
        <v>49</v>
      </c>
      <c r="K2762" t="s">
        <v>31</v>
      </c>
      <c r="L2762" t="s">
        <v>32</v>
      </c>
      <c r="M2762" t="s">
        <v>33</v>
      </c>
      <c r="P2762" s="1" t="s">
        <v>9867</v>
      </c>
      <c r="Q2762" s="1" t="s">
        <v>9612</v>
      </c>
      <c r="R2762" s="1" t="s">
        <v>9612</v>
      </c>
      <c r="S2762" s="1"/>
      <c r="T2762" s="1" t="s">
        <v>47</v>
      </c>
      <c r="U2762" s="1"/>
      <c r="V2762" s="1">
        <v>39.78</v>
      </c>
      <c r="W2762" s="1">
        <v>39.78</v>
      </c>
      <c r="X2762" s="1" t="s">
        <v>35</v>
      </c>
      <c r="Y2762" s="1">
        <v>39780.0</v>
      </c>
      <c r="Z2762" s="1"/>
      <c r="AA2762" s="1">
        <v>39780.0</v>
      </c>
      <c r="AB2762" s="1"/>
      <c r="AC2762" s="1" t="s">
        <v>36</v>
      </c>
      <c r="AD2762" s="1" t="s">
        <v>9868</v>
      </c>
      <c r="AE2762" s="1" t="s">
        <v>32</v>
      </c>
      <c r="AF2762" s="1" t="s">
        <v>33</v>
      </c>
      <c r="AG2762" s="1" t="s">
        <v>49</v>
      </c>
    </row>
    <row r="2763" spans="1:33">
      <c r="A2763" t="s">
        <v>9869</v>
      </c>
      <c r="C2763" t="s">
        <v>586</v>
      </c>
      <c r="E2763" t="s">
        <v>9612</v>
      </c>
      <c r="F2763" t="s">
        <v>9613</v>
      </c>
      <c r="G2763">
        <v>19.5</v>
      </c>
      <c r="H2763">
        <v>19.5</v>
      </c>
      <c r="I2763" t="s">
        <v>269</v>
      </c>
      <c r="J2763" t="s">
        <v>270</v>
      </c>
      <c r="K2763" t="s">
        <v>31</v>
      </c>
      <c r="L2763" t="s">
        <v>32</v>
      </c>
      <c r="M2763" t="s">
        <v>33</v>
      </c>
      <c r="P2763" s="1" t="s">
        <v>9870</v>
      </c>
      <c r="Q2763" s="1" t="s">
        <v>9612</v>
      </c>
      <c r="R2763" s="1" t="s">
        <v>9612</v>
      </c>
      <c r="S2763" s="1"/>
      <c r="T2763" s="1" t="s">
        <v>586</v>
      </c>
      <c r="U2763" s="1"/>
      <c r="V2763" s="1">
        <v>19.5</v>
      </c>
      <c r="W2763" s="1">
        <v>19.5</v>
      </c>
      <c r="X2763" s="1" t="s">
        <v>35</v>
      </c>
      <c r="Y2763" s="1">
        <v>19500.0</v>
      </c>
      <c r="Z2763" s="1"/>
      <c r="AA2763" s="1">
        <v>19500.0</v>
      </c>
      <c r="AB2763" s="1"/>
      <c r="AC2763" s="1" t="s">
        <v>36</v>
      </c>
      <c r="AD2763" s="1" t="s">
        <v>9871</v>
      </c>
      <c r="AE2763" s="1" t="s">
        <v>32</v>
      </c>
      <c r="AF2763" s="1" t="s">
        <v>33</v>
      </c>
      <c r="AG2763" s="1" t="s">
        <v>270</v>
      </c>
    </row>
    <row r="2764" spans="1:33">
      <c r="A2764" t="s">
        <v>9872</v>
      </c>
      <c r="C2764" t="s">
        <v>786</v>
      </c>
      <c r="E2764" t="s">
        <v>9612</v>
      </c>
      <c r="F2764" t="s">
        <v>9613</v>
      </c>
      <c r="G2764">
        <v>1.133</v>
      </c>
      <c r="H2764">
        <v>1.133</v>
      </c>
      <c r="I2764" t="s">
        <v>269</v>
      </c>
      <c r="J2764" t="s">
        <v>270</v>
      </c>
      <c r="K2764" t="s">
        <v>31</v>
      </c>
      <c r="L2764" t="s">
        <v>32</v>
      </c>
      <c r="M2764" t="s">
        <v>33</v>
      </c>
      <c r="P2764" s="1" t="s">
        <v>9873</v>
      </c>
      <c r="Q2764" s="1" t="s">
        <v>9612</v>
      </c>
      <c r="R2764" s="1" t="s">
        <v>9612</v>
      </c>
      <c r="S2764" s="1"/>
      <c r="T2764" s="1" t="s">
        <v>786</v>
      </c>
      <c r="U2764" s="1"/>
      <c r="V2764" s="1">
        <v>1.133</v>
      </c>
      <c r="W2764" s="1">
        <v>1.133</v>
      </c>
      <c r="X2764" s="1" t="s">
        <v>35</v>
      </c>
      <c r="Y2764" s="1">
        <v>1133000.0</v>
      </c>
      <c r="Z2764" s="1"/>
      <c r="AA2764" s="1">
        <v>1133000.0</v>
      </c>
      <c r="AB2764" s="1"/>
      <c r="AC2764" s="1" t="s">
        <v>36</v>
      </c>
      <c r="AD2764" s="1" t="s">
        <v>9874</v>
      </c>
      <c r="AE2764" s="1" t="s">
        <v>32</v>
      </c>
      <c r="AF2764" s="1" t="s">
        <v>33</v>
      </c>
      <c r="AG2764" s="1" t="s">
        <v>270</v>
      </c>
    </row>
    <row r="2765" spans="1:33">
      <c r="A2765" t="s">
        <v>9875</v>
      </c>
      <c r="B2765" t="s">
        <v>3904</v>
      </c>
      <c r="C2765" t="s">
        <v>314</v>
      </c>
      <c r="E2765" t="s">
        <v>9612</v>
      </c>
      <c r="F2765" t="s">
        <v>9613</v>
      </c>
      <c r="G2765">
        <v>167.93</v>
      </c>
      <c r="H2765">
        <v>167.93</v>
      </c>
      <c r="I2765" t="s">
        <v>179</v>
      </c>
      <c r="J2765" t="s">
        <v>180</v>
      </c>
      <c r="K2765" t="s">
        <v>31</v>
      </c>
      <c r="L2765" t="s">
        <v>32</v>
      </c>
      <c r="M2765" t="s">
        <v>33</v>
      </c>
      <c r="P2765" s="1" t="s">
        <v>9876</v>
      </c>
      <c r="Q2765" s="1" t="s">
        <v>9612</v>
      </c>
      <c r="R2765" s="1" t="s">
        <v>9612</v>
      </c>
      <c r="S2765" s="1"/>
      <c r="T2765" s="1" t="s">
        <v>314</v>
      </c>
      <c r="U2765" s="1"/>
      <c r="V2765" s="1">
        <v>167.93</v>
      </c>
      <c r="W2765" s="1">
        <v>167.93</v>
      </c>
      <c r="X2765" s="1" t="s">
        <v>35</v>
      </c>
      <c r="Y2765" s="1">
        <v>167930.0</v>
      </c>
      <c r="Z2765" s="1"/>
      <c r="AA2765" s="1">
        <v>167930.0</v>
      </c>
      <c r="AB2765" s="1"/>
      <c r="AC2765" s="1" t="s">
        <v>36</v>
      </c>
      <c r="AD2765" s="1" t="s">
        <v>9877</v>
      </c>
      <c r="AE2765" s="1" t="s">
        <v>32</v>
      </c>
      <c r="AF2765" s="1" t="s">
        <v>33</v>
      </c>
      <c r="AG2765" s="1" t="s">
        <v>180</v>
      </c>
    </row>
    <row r="2766" spans="1:33">
      <c r="A2766" t="s">
        <v>9878</v>
      </c>
      <c r="B2766" t="s">
        <v>9879</v>
      </c>
      <c r="C2766" t="s">
        <v>9880</v>
      </c>
      <c r="D2766" t="s">
        <v>114</v>
      </c>
      <c r="E2766" t="s">
        <v>9612</v>
      </c>
      <c r="F2766" t="s">
        <v>9613</v>
      </c>
      <c r="G2766">
        <v>472.4</v>
      </c>
      <c r="H2766">
        <v>472.4</v>
      </c>
      <c r="I2766" t="s">
        <v>529</v>
      </c>
      <c r="J2766" t="s">
        <v>530</v>
      </c>
      <c r="K2766" t="s">
        <v>31</v>
      </c>
      <c r="L2766" t="s">
        <v>32</v>
      </c>
      <c r="M2766" t="s">
        <v>33</v>
      </c>
      <c r="P2766" s="1" t="s">
        <v>9881</v>
      </c>
      <c r="Q2766" s="1" t="s">
        <v>9612</v>
      </c>
      <c r="R2766" s="1" t="s">
        <v>9112</v>
      </c>
      <c r="S2766" s="1"/>
      <c r="T2766" s="1" t="s">
        <v>9882</v>
      </c>
      <c r="U2766" s="1" t="s">
        <v>9883</v>
      </c>
      <c r="V2766" s="1">
        <v>472.4</v>
      </c>
      <c r="W2766" s="1">
        <v>472.4</v>
      </c>
      <c r="X2766" s="1" t="s">
        <v>35</v>
      </c>
      <c r="Y2766" s="1">
        <v>472400.0</v>
      </c>
      <c r="Z2766" s="1"/>
      <c r="AA2766" s="1">
        <v>472400.0</v>
      </c>
      <c r="AB2766" s="1"/>
      <c r="AC2766" s="1" t="s">
        <v>36</v>
      </c>
      <c r="AD2766" s="1" t="s">
        <v>9884</v>
      </c>
      <c r="AE2766" s="1" t="s">
        <v>32</v>
      </c>
      <c r="AF2766" s="1" t="s">
        <v>33</v>
      </c>
      <c r="AG2766" s="1" t="s">
        <v>530</v>
      </c>
    </row>
    <row r="2767" spans="1:33">
      <c r="A2767" t="s">
        <v>9885</v>
      </c>
      <c r="B2767" t="s">
        <v>9886</v>
      </c>
      <c r="C2767" t="s">
        <v>47</v>
      </c>
      <c r="E2767" t="s">
        <v>9612</v>
      </c>
      <c r="F2767" t="s">
        <v>9613</v>
      </c>
      <c r="G2767">
        <v>8.0</v>
      </c>
      <c r="H2767">
        <v>8.0</v>
      </c>
      <c r="I2767" t="s">
        <v>2206</v>
      </c>
      <c r="J2767" t="s">
        <v>49</v>
      </c>
      <c r="K2767" t="s">
        <v>31</v>
      </c>
      <c r="L2767" t="s">
        <v>32</v>
      </c>
      <c r="M2767" t="s">
        <v>33</v>
      </c>
      <c r="P2767" s="1" t="s">
        <v>9887</v>
      </c>
      <c r="Q2767" s="1" t="s">
        <v>9612</v>
      </c>
      <c r="R2767" s="1" t="s">
        <v>9612</v>
      </c>
      <c r="S2767" s="1"/>
      <c r="T2767" s="1" t="s">
        <v>47</v>
      </c>
      <c r="U2767" s="1"/>
      <c r="V2767" s="1">
        <v>8.0</v>
      </c>
      <c r="W2767" s="1">
        <v>8.0</v>
      </c>
      <c r="X2767" s="1" t="s">
        <v>35</v>
      </c>
      <c r="Y2767" s="1">
        <v>8000.0</v>
      </c>
      <c r="Z2767" s="1"/>
      <c r="AA2767" s="1">
        <v>8000.0</v>
      </c>
      <c r="AB2767" s="1"/>
      <c r="AC2767" s="1" t="s">
        <v>36</v>
      </c>
      <c r="AD2767" s="1" t="s">
        <v>9888</v>
      </c>
      <c r="AE2767" s="1" t="s">
        <v>32</v>
      </c>
      <c r="AF2767" s="1" t="s">
        <v>33</v>
      </c>
      <c r="AG2767" s="1" t="s">
        <v>49</v>
      </c>
    </row>
    <row r="2768" spans="1:33">
      <c r="A2768" t="s">
        <v>9889</v>
      </c>
      <c r="C2768" t="s">
        <v>3005</v>
      </c>
      <c r="E2768" t="s">
        <v>9612</v>
      </c>
      <c r="F2768" t="s">
        <v>9613</v>
      </c>
      <c r="G2768">
        <v>29.25</v>
      </c>
      <c r="H2768">
        <v>29.25</v>
      </c>
      <c r="I2768" t="s">
        <v>269</v>
      </c>
      <c r="J2768" t="s">
        <v>270</v>
      </c>
      <c r="K2768" t="s">
        <v>31</v>
      </c>
      <c r="L2768" t="s">
        <v>32</v>
      </c>
      <c r="M2768" t="s">
        <v>33</v>
      </c>
      <c r="P2768" s="1" t="s">
        <v>9890</v>
      </c>
      <c r="Q2768" s="1" t="s">
        <v>9612</v>
      </c>
      <c r="R2768" s="1" t="s">
        <v>9612</v>
      </c>
      <c r="S2768" s="1"/>
      <c r="T2768" s="1" t="s">
        <v>3005</v>
      </c>
      <c r="U2768" s="1"/>
      <c r="V2768" s="1">
        <v>29.25</v>
      </c>
      <c r="W2768" s="1">
        <v>29.25</v>
      </c>
      <c r="X2768" s="1" t="s">
        <v>35</v>
      </c>
      <c r="Y2768" s="1">
        <v>29250.0</v>
      </c>
      <c r="Z2768" s="1"/>
      <c r="AA2768" s="1">
        <v>29250.0</v>
      </c>
      <c r="AB2768" s="1"/>
      <c r="AC2768" s="1" t="s">
        <v>36</v>
      </c>
      <c r="AD2768" s="1" t="s">
        <v>9891</v>
      </c>
      <c r="AE2768" s="1" t="s">
        <v>32</v>
      </c>
      <c r="AF2768" s="1" t="s">
        <v>33</v>
      </c>
      <c r="AG2768" s="1" t="s">
        <v>270</v>
      </c>
    </row>
    <row r="2769" spans="1:33">
      <c r="A2769" t="s">
        <v>9892</v>
      </c>
      <c r="B2769" t="s">
        <v>4956</v>
      </c>
      <c r="C2769" t="s">
        <v>172</v>
      </c>
      <c r="E2769" t="s">
        <v>9612</v>
      </c>
      <c r="F2769" t="s">
        <v>9613</v>
      </c>
      <c r="G2769">
        <v>50.725</v>
      </c>
      <c r="H2769">
        <v>50.725</v>
      </c>
      <c r="I2769" t="s">
        <v>173</v>
      </c>
      <c r="J2769" t="s">
        <v>174</v>
      </c>
      <c r="K2769" t="s">
        <v>31</v>
      </c>
      <c r="L2769" t="s">
        <v>32</v>
      </c>
      <c r="M2769" t="s">
        <v>33</v>
      </c>
      <c r="P2769" s="1" t="s">
        <v>9893</v>
      </c>
      <c r="Q2769" s="1" t="s">
        <v>9612</v>
      </c>
      <c r="R2769" s="1" t="s">
        <v>9612</v>
      </c>
      <c r="S2769" s="1"/>
      <c r="T2769" s="1" t="s">
        <v>172</v>
      </c>
      <c r="U2769" s="1"/>
      <c r="V2769" s="1">
        <v>50.725</v>
      </c>
      <c r="W2769" s="1">
        <v>50.725</v>
      </c>
      <c r="X2769" s="1" t="s">
        <v>35</v>
      </c>
      <c r="Y2769" s="1">
        <v>50725.0</v>
      </c>
      <c r="Z2769" s="1"/>
      <c r="AA2769" s="1">
        <v>50725.0</v>
      </c>
      <c r="AB2769" s="1"/>
      <c r="AC2769" s="1" t="s">
        <v>36</v>
      </c>
      <c r="AD2769" s="1" t="s">
        <v>9894</v>
      </c>
      <c r="AE2769" s="1" t="s">
        <v>32</v>
      </c>
      <c r="AF2769" s="1" t="s">
        <v>33</v>
      </c>
      <c r="AG2769" s="1" t="s">
        <v>174</v>
      </c>
    </row>
    <row r="2770" spans="1:33">
      <c r="A2770" t="s">
        <v>9895</v>
      </c>
      <c r="C2770" t="s">
        <v>2371</v>
      </c>
      <c r="E2770" t="s">
        <v>9612</v>
      </c>
      <c r="F2770" t="s">
        <v>9613</v>
      </c>
      <c r="G2770">
        <v>672.0</v>
      </c>
      <c r="H2770">
        <v>672.0</v>
      </c>
      <c r="I2770" t="s">
        <v>570</v>
      </c>
      <c r="J2770" t="s">
        <v>571</v>
      </c>
      <c r="K2770" t="s">
        <v>31</v>
      </c>
      <c r="L2770" t="s">
        <v>32</v>
      </c>
      <c r="M2770" t="s">
        <v>33</v>
      </c>
      <c r="P2770" s="1" t="s">
        <v>9896</v>
      </c>
      <c r="Q2770" s="1" t="s">
        <v>9612</v>
      </c>
      <c r="R2770" s="1" t="s">
        <v>9612</v>
      </c>
      <c r="S2770" s="1"/>
      <c r="T2770" s="1" t="s">
        <v>2371</v>
      </c>
      <c r="U2770" s="1"/>
      <c r="V2770" s="1">
        <v>672.0</v>
      </c>
      <c r="W2770" s="1">
        <v>672.0</v>
      </c>
      <c r="X2770" s="1" t="s">
        <v>35</v>
      </c>
      <c r="Y2770" s="1">
        <v>672000.0</v>
      </c>
      <c r="Z2770" s="1"/>
      <c r="AA2770" s="1">
        <v>672000.0</v>
      </c>
      <c r="AB2770" s="1"/>
      <c r="AC2770" s="1" t="s">
        <v>36</v>
      </c>
      <c r="AD2770" s="1" t="s">
        <v>9766</v>
      </c>
      <c r="AE2770" s="1" t="s">
        <v>32</v>
      </c>
      <c r="AF2770" s="1" t="s">
        <v>33</v>
      </c>
      <c r="AG2770" s="1" t="s">
        <v>571</v>
      </c>
    </row>
    <row r="2771" spans="1:33">
      <c r="A2771" t="s">
        <v>9897</v>
      </c>
      <c r="B2771" t="s">
        <v>4353</v>
      </c>
      <c r="C2771" t="s">
        <v>569</v>
      </c>
      <c r="E2771" t="s">
        <v>9612</v>
      </c>
      <c r="F2771" t="s">
        <v>9613</v>
      </c>
      <c r="G2771">
        <v>65.98</v>
      </c>
      <c r="H2771">
        <v>65.98</v>
      </c>
      <c r="I2771" t="s">
        <v>570</v>
      </c>
      <c r="J2771" t="s">
        <v>571</v>
      </c>
      <c r="K2771" t="s">
        <v>31</v>
      </c>
      <c r="L2771" t="s">
        <v>32</v>
      </c>
      <c r="M2771" t="s">
        <v>33</v>
      </c>
      <c r="P2771" s="1" t="s">
        <v>9898</v>
      </c>
      <c r="Q2771" s="1" t="s">
        <v>9612</v>
      </c>
      <c r="R2771" s="1" t="s">
        <v>9612</v>
      </c>
      <c r="S2771" s="1"/>
      <c r="T2771" s="1" t="s">
        <v>569</v>
      </c>
      <c r="U2771" s="1"/>
      <c r="V2771" s="1">
        <v>65.98</v>
      </c>
      <c r="W2771" s="1">
        <v>65.98</v>
      </c>
      <c r="X2771" s="1" t="s">
        <v>35</v>
      </c>
      <c r="Y2771" s="1">
        <v>65980.0</v>
      </c>
      <c r="Z2771" s="1"/>
      <c r="AA2771" s="1">
        <v>65980.0</v>
      </c>
      <c r="AB2771" s="1"/>
      <c r="AC2771" s="1" t="s">
        <v>36</v>
      </c>
      <c r="AD2771" s="1" t="s">
        <v>9899</v>
      </c>
      <c r="AE2771" s="1" t="s">
        <v>32</v>
      </c>
      <c r="AF2771" s="1" t="s">
        <v>33</v>
      </c>
      <c r="AG2771" s="1" t="s">
        <v>571</v>
      </c>
    </row>
    <row r="2772" spans="1:33">
      <c r="A2772" t="s">
        <v>9900</v>
      </c>
      <c r="B2772" t="s">
        <v>2300</v>
      </c>
      <c r="C2772" t="s">
        <v>26</v>
      </c>
      <c r="E2772" t="s">
        <v>9612</v>
      </c>
      <c r="F2772" t="s">
        <v>9613</v>
      </c>
      <c r="G2772">
        <v>18.49</v>
      </c>
      <c r="H2772">
        <v>18.49</v>
      </c>
      <c r="I2772" t="s">
        <v>29</v>
      </c>
      <c r="J2772" t="s">
        <v>30</v>
      </c>
      <c r="K2772" t="s">
        <v>31</v>
      </c>
      <c r="L2772" t="s">
        <v>32</v>
      </c>
      <c r="M2772" t="s">
        <v>33</v>
      </c>
      <c r="P2772" s="1" t="s">
        <v>9901</v>
      </c>
      <c r="Q2772" s="1" t="s">
        <v>9612</v>
      </c>
      <c r="R2772" s="1" t="s">
        <v>9612</v>
      </c>
      <c r="S2772" s="1"/>
      <c r="T2772" s="1" t="s">
        <v>26</v>
      </c>
      <c r="U2772" s="1"/>
      <c r="V2772" s="1">
        <v>18.49</v>
      </c>
      <c r="W2772" s="1">
        <v>18.49</v>
      </c>
      <c r="X2772" s="1" t="s">
        <v>35</v>
      </c>
      <c r="Y2772" s="1">
        <v>18490.0</v>
      </c>
      <c r="Z2772" s="1"/>
      <c r="AA2772" s="1">
        <v>18490.0</v>
      </c>
      <c r="AB2772" s="1"/>
      <c r="AC2772" s="1" t="s">
        <v>36</v>
      </c>
      <c r="AD2772" s="1" t="s">
        <v>9806</v>
      </c>
      <c r="AE2772" s="1" t="s">
        <v>32</v>
      </c>
      <c r="AF2772" s="1" t="s">
        <v>33</v>
      </c>
      <c r="AG2772" s="1" t="s">
        <v>30</v>
      </c>
    </row>
    <row r="2773" spans="1:33">
      <c r="A2773" t="s">
        <v>9902</v>
      </c>
      <c r="C2773" t="s">
        <v>644</v>
      </c>
      <c r="E2773" t="s">
        <v>9612</v>
      </c>
      <c r="F2773" t="s">
        <v>9613</v>
      </c>
      <c r="G2773">
        <v>513.5</v>
      </c>
      <c r="H2773">
        <v>513.5</v>
      </c>
      <c r="I2773" t="s">
        <v>227</v>
      </c>
      <c r="J2773" t="s">
        <v>228</v>
      </c>
      <c r="K2773" t="s">
        <v>31</v>
      </c>
      <c r="L2773" t="s">
        <v>32</v>
      </c>
      <c r="M2773" t="s">
        <v>33</v>
      </c>
      <c r="P2773" s="1" t="s">
        <v>9903</v>
      </c>
      <c r="Q2773" s="1" t="s">
        <v>9612</v>
      </c>
      <c r="R2773" s="1" t="s">
        <v>9612</v>
      </c>
      <c r="S2773" s="1"/>
      <c r="T2773" s="1" t="s">
        <v>644</v>
      </c>
      <c r="U2773" s="1"/>
      <c r="V2773" s="1">
        <v>513.5</v>
      </c>
      <c r="W2773" s="1">
        <v>513.5</v>
      </c>
      <c r="X2773" s="1" t="s">
        <v>35</v>
      </c>
      <c r="Y2773" s="1">
        <v>513500.0</v>
      </c>
      <c r="Z2773" s="1"/>
      <c r="AA2773" s="1">
        <v>513500.0</v>
      </c>
      <c r="AB2773" s="1"/>
      <c r="AC2773" s="1" t="s">
        <v>36</v>
      </c>
      <c r="AD2773" s="1" t="s">
        <v>9904</v>
      </c>
      <c r="AE2773" s="1" t="s">
        <v>32</v>
      </c>
      <c r="AF2773" s="1" t="s">
        <v>33</v>
      </c>
      <c r="AG2773" s="1" t="s">
        <v>228</v>
      </c>
    </row>
    <row r="2774" spans="1:33">
      <c r="A2774" t="s">
        <v>9905</v>
      </c>
      <c r="C2774" t="s">
        <v>9906</v>
      </c>
      <c r="E2774" t="s">
        <v>9612</v>
      </c>
      <c r="F2774" t="s">
        <v>9613</v>
      </c>
      <c r="G2774">
        <v>336.0</v>
      </c>
      <c r="H2774">
        <v>336.0</v>
      </c>
      <c r="I2774" t="s">
        <v>94</v>
      </c>
      <c r="J2774" t="s">
        <v>95</v>
      </c>
      <c r="K2774" t="s">
        <v>31</v>
      </c>
      <c r="L2774" t="s">
        <v>32</v>
      </c>
      <c r="M2774" t="s">
        <v>33</v>
      </c>
      <c r="P2774" s="1" t="s">
        <v>9907</v>
      </c>
      <c r="Q2774" s="1" t="s">
        <v>9612</v>
      </c>
      <c r="R2774" s="1" t="s">
        <v>9612</v>
      </c>
      <c r="S2774" s="1"/>
      <c r="T2774" s="1" t="s">
        <v>9906</v>
      </c>
      <c r="U2774" s="1"/>
      <c r="V2774" s="1">
        <v>336.0</v>
      </c>
      <c r="W2774" s="1">
        <v>336.0</v>
      </c>
      <c r="X2774" s="1" t="s">
        <v>35</v>
      </c>
      <c r="Y2774" s="1">
        <v>336000.0</v>
      </c>
      <c r="Z2774" s="1"/>
      <c r="AA2774" s="1">
        <v>336000.0</v>
      </c>
      <c r="AB2774" s="1"/>
      <c r="AC2774" s="1" t="s">
        <v>36</v>
      </c>
      <c r="AD2774" s="1" t="s">
        <v>9908</v>
      </c>
      <c r="AE2774" s="1" t="s">
        <v>32</v>
      </c>
      <c r="AF2774" s="1" t="s">
        <v>33</v>
      </c>
      <c r="AG2774" s="1" t="s">
        <v>95</v>
      </c>
    </row>
    <row r="2775" spans="1:33">
      <c r="A2775" t="s">
        <v>9909</v>
      </c>
      <c r="C2775" t="s">
        <v>859</v>
      </c>
      <c r="D2775" t="s">
        <v>114</v>
      </c>
      <c r="E2775" t="s">
        <v>9612</v>
      </c>
      <c r="F2775" t="s">
        <v>9613</v>
      </c>
      <c r="G2775">
        <v>328.0</v>
      </c>
      <c r="H2775">
        <v>328.0</v>
      </c>
      <c r="I2775" t="s">
        <v>269</v>
      </c>
      <c r="J2775" t="s">
        <v>270</v>
      </c>
      <c r="K2775" t="s">
        <v>31</v>
      </c>
      <c r="L2775" t="s">
        <v>32</v>
      </c>
      <c r="M2775" t="s">
        <v>33</v>
      </c>
      <c r="P2775" s="1" t="s">
        <v>9910</v>
      </c>
      <c r="Q2775" s="1" t="s">
        <v>9612</v>
      </c>
      <c r="R2775" s="1" t="s">
        <v>9612</v>
      </c>
      <c r="S2775" s="1"/>
      <c r="T2775" s="1" t="s">
        <v>859</v>
      </c>
      <c r="U2775" s="1"/>
      <c r="V2775" s="1">
        <v>328.0</v>
      </c>
      <c r="W2775" s="1">
        <v>328.0</v>
      </c>
      <c r="X2775" s="1" t="s">
        <v>35</v>
      </c>
      <c r="Y2775" s="1">
        <v>328000.0</v>
      </c>
      <c r="Z2775" s="1"/>
      <c r="AA2775" s="1">
        <v>328000.0</v>
      </c>
      <c r="AB2775" s="1"/>
      <c r="AC2775" s="1" t="s">
        <v>36</v>
      </c>
      <c r="AD2775" s="1" t="s">
        <v>9911</v>
      </c>
      <c r="AE2775" s="1" t="s">
        <v>32</v>
      </c>
      <c r="AF2775" s="1" t="s">
        <v>33</v>
      </c>
      <c r="AG2775" s="1" t="s">
        <v>270</v>
      </c>
    </row>
    <row r="2776" spans="1:33">
      <c r="A2776" t="s">
        <v>9912</v>
      </c>
      <c r="C2776" t="s">
        <v>2216</v>
      </c>
      <c r="E2776" t="s">
        <v>9612</v>
      </c>
      <c r="F2776" t="s">
        <v>9613</v>
      </c>
      <c r="G2776">
        <v>656.0</v>
      </c>
      <c r="H2776">
        <v>656.0</v>
      </c>
      <c r="I2776" t="s">
        <v>227</v>
      </c>
      <c r="J2776" t="s">
        <v>228</v>
      </c>
      <c r="K2776" t="s">
        <v>31</v>
      </c>
      <c r="L2776" t="s">
        <v>32</v>
      </c>
      <c r="M2776" t="s">
        <v>33</v>
      </c>
      <c r="P2776" s="1" t="s">
        <v>9913</v>
      </c>
      <c r="Q2776" s="1" t="s">
        <v>9612</v>
      </c>
      <c r="R2776" s="1" t="s">
        <v>9612</v>
      </c>
      <c r="S2776" s="1"/>
      <c r="T2776" s="1" t="s">
        <v>2216</v>
      </c>
      <c r="U2776" s="1"/>
      <c r="V2776" s="1">
        <v>656.0</v>
      </c>
      <c r="W2776" s="1">
        <v>656.0</v>
      </c>
      <c r="X2776" s="1" t="s">
        <v>35</v>
      </c>
      <c r="Y2776" s="1">
        <v>656000.0</v>
      </c>
      <c r="Z2776" s="1"/>
      <c r="AA2776" s="1">
        <v>656000.0</v>
      </c>
      <c r="AB2776" s="1"/>
      <c r="AC2776" s="1" t="s">
        <v>36</v>
      </c>
      <c r="AD2776" s="1" t="s">
        <v>9914</v>
      </c>
      <c r="AE2776" s="1" t="s">
        <v>32</v>
      </c>
      <c r="AF2776" s="1" t="s">
        <v>33</v>
      </c>
      <c r="AG2776" s="1" t="s">
        <v>228</v>
      </c>
    </row>
    <row r="2777" spans="1:33">
      <c r="A2777" t="s">
        <v>9915</v>
      </c>
      <c r="B2777" t="s">
        <v>9916</v>
      </c>
      <c r="C2777" t="s">
        <v>131</v>
      </c>
      <c r="E2777" t="s">
        <v>9612</v>
      </c>
      <c r="F2777" t="s">
        <v>9613</v>
      </c>
      <c r="G2777">
        <v>35.58</v>
      </c>
      <c r="H2777">
        <v>35.58</v>
      </c>
      <c r="I2777" t="s">
        <v>94</v>
      </c>
      <c r="J2777" t="s">
        <v>95</v>
      </c>
      <c r="K2777" t="s">
        <v>31</v>
      </c>
      <c r="L2777" t="s">
        <v>32</v>
      </c>
      <c r="M2777" t="s">
        <v>33</v>
      </c>
      <c r="P2777" s="1" t="s">
        <v>9917</v>
      </c>
      <c r="Q2777" s="1" t="s">
        <v>9612</v>
      </c>
      <c r="R2777" s="1" t="s">
        <v>9612</v>
      </c>
      <c r="S2777" s="1"/>
      <c r="T2777" s="1" t="s">
        <v>131</v>
      </c>
      <c r="U2777" s="1"/>
      <c r="V2777" s="1">
        <v>35.58</v>
      </c>
      <c r="W2777" s="1">
        <v>35.58</v>
      </c>
      <c r="X2777" s="1" t="s">
        <v>35</v>
      </c>
      <c r="Y2777" s="1">
        <v>35580.0</v>
      </c>
      <c r="Z2777" s="1"/>
      <c r="AA2777" s="1">
        <v>35580.0</v>
      </c>
      <c r="AB2777" s="1"/>
      <c r="AC2777" s="1" t="s">
        <v>36</v>
      </c>
      <c r="AD2777" s="1" t="s">
        <v>9918</v>
      </c>
      <c r="AE2777" s="1" t="s">
        <v>32</v>
      </c>
      <c r="AF2777" s="1" t="s">
        <v>33</v>
      </c>
      <c r="AG2777" s="1" t="s">
        <v>95</v>
      </c>
    </row>
    <row r="2778" spans="1:33">
      <c r="A2778" t="s">
        <v>9919</v>
      </c>
      <c r="C2778" t="s">
        <v>3274</v>
      </c>
      <c r="E2778" t="s">
        <v>9612</v>
      </c>
      <c r="F2778" t="s">
        <v>9613</v>
      </c>
      <c r="G2778">
        <v>1.312</v>
      </c>
      <c r="H2778">
        <v>1.312</v>
      </c>
      <c r="I2778" t="s">
        <v>269</v>
      </c>
      <c r="J2778" t="s">
        <v>270</v>
      </c>
      <c r="K2778" t="s">
        <v>31</v>
      </c>
      <c r="L2778" t="s">
        <v>32</v>
      </c>
      <c r="M2778" t="s">
        <v>33</v>
      </c>
      <c r="P2778" s="1" t="s">
        <v>9920</v>
      </c>
      <c r="Q2778" s="1" t="s">
        <v>9612</v>
      </c>
      <c r="R2778" s="1" t="s">
        <v>9612</v>
      </c>
      <c r="S2778" s="1"/>
      <c r="T2778" s="1" t="s">
        <v>3274</v>
      </c>
      <c r="U2778" s="1"/>
      <c r="V2778" s="1">
        <v>1.312</v>
      </c>
      <c r="W2778" s="1">
        <v>1.312</v>
      </c>
      <c r="X2778" s="1" t="s">
        <v>35</v>
      </c>
      <c r="Y2778" s="1">
        <v>1312000.0</v>
      </c>
      <c r="Z2778" s="1"/>
      <c r="AA2778" s="1">
        <v>1312000.0</v>
      </c>
      <c r="AB2778" s="1"/>
      <c r="AC2778" s="1" t="s">
        <v>36</v>
      </c>
      <c r="AD2778" s="1" t="s">
        <v>9921</v>
      </c>
      <c r="AE2778" s="1" t="s">
        <v>32</v>
      </c>
      <c r="AF2778" s="1" t="s">
        <v>33</v>
      </c>
      <c r="AG2778" s="1" t="s">
        <v>270</v>
      </c>
    </row>
    <row r="2779" spans="1:33">
      <c r="A2779" t="s">
        <v>9922</v>
      </c>
      <c r="B2779" t="s">
        <v>9923</v>
      </c>
      <c r="C2779" t="s">
        <v>68</v>
      </c>
      <c r="E2779" t="s">
        <v>9612</v>
      </c>
      <c r="F2779" t="s">
        <v>9613</v>
      </c>
      <c r="G2779">
        <v>17.745</v>
      </c>
      <c r="H2779">
        <v>17.745</v>
      </c>
      <c r="I2779" t="s">
        <v>59</v>
      </c>
      <c r="J2779" t="s">
        <v>60</v>
      </c>
      <c r="K2779" t="s">
        <v>31</v>
      </c>
      <c r="L2779" t="s">
        <v>32</v>
      </c>
      <c r="M2779" t="s">
        <v>33</v>
      </c>
      <c r="P2779" s="1" t="s">
        <v>9924</v>
      </c>
      <c r="Q2779" s="1" t="s">
        <v>9612</v>
      </c>
      <c r="R2779" s="1" t="s">
        <v>9612</v>
      </c>
      <c r="S2779" s="1"/>
      <c r="T2779" s="1" t="s">
        <v>68</v>
      </c>
      <c r="U2779" s="1"/>
      <c r="V2779" s="1">
        <v>17.745</v>
      </c>
      <c r="W2779" s="1">
        <v>17.745</v>
      </c>
      <c r="X2779" s="1" t="s">
        <v>35</v>
      </c>
      <c r="Y2779" s="1">
        <v>17745.0</v>
      </c>
      <c r="Z2779" s="1"/>
      <c r="AA2779" s="1">
        <v>17745.0</v>
      </c>
      <c r="AB2779" s="1"/>
      <c r="AC2779" s="1" t="s">
        <v>36</v>
      </c>
      <c r="AD2779" s="1" t="s">
        <v>9925</v>
      </c>
      <c r="AE2779" s="1" t="s">
        <v>32</v>
      </c>
      <c r="AF2779" s="1" t="s">
        <v>33</v>
      </c>
      <c r="AG2779" s="1" t="s">
        <v>60</v>
      </c>
    </row>
    <row r="2780" spans="1:33">
      <c r="A2780" t="s">
        <v>9926</v>
      </c>
      <c r="C2780" t="s">
        <v>2617</v>
      </c>
      <c r="E2780" t="s">
        <v>9612</v>
      </c>
      <c r="F2780" t="s">
        <v>9113</v>
      </c>
      <c r="G2780">
        <v>704.0</v>
      </c>
      <c r="H2780">
        <v>704.0</v>
      </c>
      <c r="I2780" t="s">
        <v>179</v>
      </c>
      <c r="J2780" t="s">
        <v>180</v>
      </c>
      <c r="K2780" t="s">
        <v>31</v>
      </c>
      <c r="L2780" t="s">
        <v>32</v>
      </c>
      <c r="M2780" t="s">
        <v>33</v>
      </c>
      <c r="P2780" s="1" t="s">
        <v>9927</v>
      </c>
      <c r="Q2780" s="1" t="s">
        <v>9612</v>
      </c>
      <c r="R2780" s="1" t="s">
        <v>9612</v>
      </c>
      <c r="S2780" s="1"/>
      <c r="T2780" s="1" t="s">
        <v>2617</v>
      </c>
      <c r="U2780" s="1"/>
      <c r="V2780" s="1">
        <v>704.0</v>
      </c>
      <c r="W2780" s="1">
        <v>704.0</v>
      </c>
      <c r="X2780" s="1" t="s">
        <v>35</v>
      </c>
      <c r="Y2780" s="1">
        <v>704000.0</v>
      </c>
      <c r="Z2780" s="1"/>
      <c r="AA2780" s="1">
        <v>704000.0</v>
      </c>
      <c r="AB2780" s="1"/>
      <c r="AC2780" s="1" t="s">
        <v>36</v>
      </c>
      <c r="AD2780" s="1" t="s">
        <v>9928</v>
      </c>
      <c r="AE2780" s="1" t="s">
        <v>32</v>
      </c>
      <c r="AF2780" s="1" t="s">
        <v>33</v>
      </c>
      <c r="AG2780" s="1" t="s">
        <v>180</v>
      </c>
    </row>
    <row r="2781" spans="1:33">
      <c r="A2781" t="s">
        <v>9929</v>
      </c>
      <c r="B2781" t="s">
        <v>2949</v>
      </c>
      <c r="C2781" t="s">
        <v>314</v>
      </c>
      <c r="E2781" t="s">
        <v>9612</v>
      </c>
      <c r="F2781" t="s">
        <v>9613</v>
      </c>
      <c r="G2781">
        <v>56.08</v>
      </c>
      <c r="H2781">
        <v>56.08</v>
      </c>
      <c r="I2781" t="s">
        <v>179</v>
      </c>
      <c r="J2781" t="s">
        <v>180</v>
      </c>
      <c r="K2781" t="s">
        <v>31</v>
      </c>
      <c r="L2781" t="s">
        <v>32</v>
      </c>
      <c r="M2781" t="s">
        <v>33</v>
      </c>
      <c r="P2781" s="1" t="s">
        <v>9930</v>
      </c>
      <c r="Q2781" s="1" t="s">
        <v>9612</v>
      </c>
      <c r="R2781" s="1" t="s">
        <v>9612</v>
      </c>
      <c r="S2781" s="1"/>
      <c r="T2781" s="1" t="s">
        <v>314</v>
      </c>
      <c r="U2781" s="1"/>
      <c r="V2781" s="1">
        <v>56.08</v>
      </c>
      <c r="W2781" s="1">
        <v>56.08</v>
      </c>
      <c r="X2781" s="1" t="s">
        <v>35</v>
      </c>
      <c r="Y2781" s="1">
        <v>56080.0</v>
      </c>
      <c r="Z2781" s="1"/>
      <c r="AA2781" s="1">
        <v>56080.0</v>
      </c>
      <c r="AB2781" s="1"/>
      <c r="AC2781" s="1" t="s">
        <v>36</v>
      </c>
      <c r="AD2781" s="1" t="s">
        <v>9931</v>
      </c>
      <c r="AE2781" s="1" t="s">
        <v>32</v>
      </c>
      <c r="AF2781" s="1" t="s">
        <v>33</v>
      </c>
      <c r="AG2781" s="1" t="s">
        <v>180</v>
      </c>
    </row>
    <row r="2782" spans="1:33">
      <c r="A2782" t="s">
        <v>9932</v>
      </c>
      <c r="C2782" t="s">
        <v>2525</v>
      </c>
      <c r="E2782" t="s">
        <v>9612</v>
      </c>
      <c r="F2782" t="s">
        <v>9613</v>
      </c>
      <c r="G2782">
        <v>328.0</v>
      </c>
      <c r="H2782">
        <v>328.0</v>
      </c>
      <c r="I2782" t="s">
        <v>269</v>
      </c>
      <c r="J2782" t="s">
        <v>270</v>
      </c>
      <c r="K2782" t="s">
        <v>31</v>
      </c>
      <c r="L2782" t="s">
        <v>32</v>
      </c>
      <c r="M2782" t="s">
        <v>33</v>
      </c>
      <c r="P2782" s="1" t="s">
        <v>9933</v>
      </c>
      <c r="Q2782" s="1" t="s">
        <v>9612</v>
      </c>
      <c r="R2782" s="1" t="s">
        <v>9612</v>
      </c>
      <c r="S2782" s="1"/>
      <c r="T2782" s="1" t="s">
        <v>2525</v>
      </c>
      <c r="U2782" s="1"/>
      <c r="V2782" s="1">
        <v>328.0</v>
      </c>
      <c r="W2782" s="1">
        <v>328.0</v>
      </c>
      <c r="X2782" s="1" t="s">
        <v>35</v>
      </c>
      <c r="Y2782" s="1">
        <v>328000.0</v>
      </c>
      <c r="Z2782" s="1"/>
      <c r="AA2782" s="1">
        <v>328000.0</v>
      </c>
      <c r="AB2782" s="1"/>
      <c r="AC2782" s="1" t="s">
        <v>36</v>
      </c>
      <c r="AD2782" s="1" t="s">
        <v>9934</v>
      </c>
      <c r="AE2782" s="1" t="s">
        <v>32</v>
      </c>
      <c r="AF2782" s="1" t="s">
        <v>33</v>
      </c>
      <c r="AG2782" s="1" t="s">
        <v>270</v>
      </c>
    </row>
    <row r="2783" spans="1:33">
      <c r="A2783" t="s">
        <v>9935</v>
      </c>
      <c r="B2783" t="s">
        <v>9936</v>
      </c>
      <c r="C2783" t="s">
        <v>172</v>
      </c>
      <c r="E2783" t="s">
        <v>9612</v>
      </c>
      <c r="F2783" t="s">
        <v>9613</v>
      </c>
      <c r="G2783">
        <v>11.5</v>
      </c>
      <c r="H2783">
        <v>11.5</v>
      </c>
      <c r="I2783" t="s">
        <v>173</v>
      </c>
      <c r="J2783" t="s">
        <v>174</v>
      </c>
      <c r="K2783" t="s">
        <v>31</v>
      </c>
      <c r="L2783" t="s">
        <v>32</v>
      </c>
      <c r="M2783" t="s">
        <v>33</v>
      </c>
      <c r="P2783" s="1" t="s">
        <v>9937</v>
      </c>
      <c r="Q2783" s="1" t="s">
        <v>9612</v>
      </c>
      <c r="R2783" s="1" t="s">
        <v>9612</v>
      </c>
      <c r="S2783" s="1"/>
      <c r="T2783" s="1" t="s">
        <v>172</v>
      </c>
      <c r="U2783" s="1"/>
      <c r="V2783" s="1">
        <v>11.5</v>
      </c>
      <c r="W2783" s="1">
        <v>11.5</v>
      </c>
      <c r="X2783" s="1" t="s">
        <v>35</v>
      </c>
      <c r="Y2783" s="1">
        <v>11500.0</v>
      </c>
      <c r="Z2783" s="1"/>
      <c r="AA2783" s="1">
        <v>11500.0</v>
      </c>
      <c r="AB2783" s="1"/>
      <c r="AC2783" s="1" t="s">
        <v>36</v>
      </c>
      <c r="AD2783" s="1" t="s">
        <v>9938</v>
      </c>
      <c r="AE2783" s="1" t="s">
        <v>32</v>
      </c>
      <c r="AF2783" s="1" t="s">
        <v>33</v>
      </c>
      <c r="AG2783" s="1" t="s">
        <v>174</v>
      </c>
    </row>
    <row r="2784" spans="1:33">
      <c r="A2784" t="s">
        <v>9939</v>
      </c>
      <c r="B2784" t="s">
        <v>9940</v>
      </c>
      <c r="C2784" t="s">
        <v>9941</v>
      </c>
      <c r="E2784" t="s">
        <v>9612</v>
      </c>
      <c r="F2784" t="s">
        <v>9613</v>
      </c>
      <c r="G2784">
        <v>6.698</v>
      </c>
      <c r="H2784">
        <v>6.698</v>
      </c>
      <c r="I2784" t="s">
        <v>59</v>
      </c>
      <c r="J2784" t="s">
        <v>60</v>
      </c>
      <c r="K2784" t="s">
        <v>31</v>
      </c>
      <c r="L2784" t="s">
        <v>32</v>
      </c>
      <c r="M2784" t="s">
        <v>33</v>
      </c>
      <c r="P2784" s="1" t="s">
        <v>9942</v>
      </c>
      <c r="Q2784" s="1" t="s">
        <v>9612</v>
      </c>
      <c r="R2784" s="1" t="s">
        <v>9612</v>
      </c>
      <c r="S2784" s="1"/>
      <c r="T2784" s="1" t="s">
        <v>9941</v>
      </c>
      <c r="U2784" s="1"/>
      <c r="V2784" s="1">
        <v>6.698</v>
      </c>
      <c r="W2784" s="1">
        <v>6.698</v>
      </c>
      <c r="X2784" s="1" t="s">
        <v>35</v>
      </c>
      <c r="Y2784" s="1">
        <v>6698.0</v>
      </c>
      <c r="Z2784" s="1"/>
      <c r="AA2784" s="1">
        <v>6698.0</v>
      </c>
      <c r="AB2784" s="1"/>
      <c r="AC2784" s="1" t="s">
        <v>36</v>
      </c>
      <c r="AD2784" s="1" t="s">
        <v>9943</v>
      </c>
      <c r="AE2784" s="1" t="s">
        <v>32</v>
      </c>
      <c r="AF2784" s="1" t="s">
        <v>33</v>
      </c>
      <c r="AG2784" s="1" t="s">
        <v>60</v>
      </c>
    </row>
    <row r="2785" spans="1:33">
      <c r="A2785" t="s">
        <v>9944</v>
      </c>
      <c r="B2785" t="s">
        <v>9945</v>
      </c>
      <c r="C2785" t="s">
        <v>47</v>
      </c>
      <c r="E2785" t="s">
        <v>9612</v>
      </c>
      <c r="F2785" t="s">
        <v>9613</v>
      </c>
      <c r="G2785">
        <v>36.055</v>
      </c>
      <c r="H2785">
        <v>36.055</v>
      </c>
      <c r="I2785" t="s">
        <v>2206</v>
      </c>
      <c r="J2785" t="s">
        <v>49</v>
      </c>
      <c r="K2785" t="s">
        <v>31</v>
      </c>
      <c r="L2785" t="s">
        <v>32</v>
      </c>
      <c r="M2785" t="s">
        <v>33</v>
      </c>
      <c r="P2785" s="1" t="s">
        <v>9946</v>
      </c>
      <c r="Q2785" s="1" t="s">
        <v>9612</v>
      </c>
      <c r="R2785" s="1" t="s">
        <v>9612</v>
      </c>
      <c r="S2785" s="1"/>
      <c r="T2785" s="1" t="s">
        <v>47</v>
      </c>
      <c r="U2785" s="1"/>
      <c r="V2785" s="1">
        <v>36.055</v>
      </c>
      <c r="W2785" s="1">
        <v>36.055</v>
      </c>
      <c r="X2785" s="1" t="s">
        <v>35</v>
      </c>
      <c r="Y2785" s="1">
        <v>36055.0</v>
      </c>
      <c r="Z2785" s="1"/>
      <c r="AA2785" s="1">
        <v>36055.0</v>
      </c>
      <c r="AB2785" s="1"/>
      <c r="AC2785" s="1" t="s">
        <v>36</v>
      </c>
      <c r="AD2785" s="1" t="s">
        <v>9947</v>
      </c>
      <c r="AE2785" s="1" t="s">
        <v>32</v>
      </c>
      <c r="AF2785" s="1" t="s">
        <v>33</v>
      </c>
      <c r="AG2785" s="1" t="s">
        <v>49</v>
      </c>
    </row>
    <row r="2786" spans="1:33">
      <c r="A2786" t="s">
        <v>9948</v>
      </c>
      <c r="C2786" t="s">
        <v>1285</v>
      </c>
      <c r="E2786" t="s">
        <v>9612</v>
      </c>
      <c r="F2786" t="s">
        <v>9613</v>
      </c>
      <c r="G2786">
        <v>1.425</v>
      </c>
      <c r="H2786">
        <v>1.425</v>
      </c>
      <c r="I2786" t="s">
        <v>173</v>
      </c>
      <c r="J2786" t="s">
        <v>174</v>
      </c>
      <c r="K2786" t="s">
        <v>31</v>
      </c>
      <c r="L2786" t="s">
        <v>32</v>
      </c>
      <c r="M2786" t="s">
        <v>33</v>
      </c>
      <c r="P2786" s="1" t="s">
        <v>9949</v>
      </c>
      <c r="Q2786" s="1" t="s">
        <v>9612</v>
      </c>
      <c r="R2786" s="1" t="s">
        <v>9612</v>
      </c>
      <c r="S2786" s="1"/>
      <c r="T2786" s="1" t="s">
        <v>1285</v>
      </c>
      <c r="U2786" s="1"/>
      <c r="V2786" s="1">
        <v>1.425</v>
      </c>
      <c r="W2786" s="1">
        <v>1.425</v>
      </c>
      <c r="X2786" s="1" t="s">
        <v>35</v>
      </c>
      <c r="Y2786" s="1">
        <v>1425000.0</v>
      </c>
      <c r="Z2786" s="1"/>
      <c r="AA2786" s="1">
        <v>1425000.0</v>
      </c>
      <c r="AB2786" s="1"/>
      <c r="AC2786" s="1" t="s">
        <v>36</v>
      </c>
      <c r="AD2786" s="1" t="s">
        <v>9950</v>
      </c>
      <c r="AE2786" s="1" t="s">
        <v>32</v>
      </c>
      <c r="AF2786" s="1" t="s">
        <v>33</v>
      </c>
      <c r="AG2786" s="1" t="s">
        <v>174</v>
      </c>
    </row>
    <row r="2787" spans="1:33">
      <c r="A2787" t="s">
        <v>9951</v>
      </c>
      <c r="C2787" t="s">
        <v>3513</v>
      </c>
      <c r="D2787" t="s">
        <v>154</v>
      </c>
      <c r="E2787" t="s">
        <v>9612</v>
      </c>
      <c r="F2787" t="s">
        <v>9613</v>
      </c>
      <c r="G2787">
        <v>60.98</v>
      </c>
      <c r="H2787">
        <v>60.98</v>
      </c>
      <c r="I2787" t="s">
        <v>179</v>
      </c>
      <c r="J2787" t="s">
        <v>180</v>
      </c>
      <c r="K2787" t="s">
        <v>31</v>
      </c>
      <c r="L2787" t="s">
        <v>32</v>
      </c>
      <c r="M2787" t="s">
        <v>33</v>
      </c>
      <c r="P2787" s="1" t="s">
        <v>9952</v>
      </c>
      <c r="Q2787" s="1" t="s">
        <v>9612</v>
      </c>
      <c r="R2787" s="1" t="s">
        <v>9612</v>
      </c>
      <c r="S2787" s="1"/>
      <c r="T2787" s="1" t="s">
        <v>3513</v>
      </c>
      <c r="U2787" s="1"/>
      <c r="V2787" s="1">
        <v>60.98</v>
      </c>
      <c r="W2787" s="1">
        <v>60.98</v>
      </c>
      <c r="X2787" s="1" t="s">
        <v>35</v>
      </c>
      <c r="Y2787" s="1">
        <v>60980.0</v>
      </c>
      <c r="Z2787" s="1"/>
      <c r="AA2787" s="1">
        <v>60980.0</v>
      </c>
      <c r="AB2787" s="1"/>
      <c r="AC2787" s="1" t="s">
        <v>36</v>
      </c>
      <c r="AD2787" s="1" t="s">
        <v>9953</v>
      </c>
      <c r="AE2787" s="1" t="s">
        <v>32</v>
      </c>
      <c r="AF2787" s="1" t="s">
        <v>33</v>
      </c>
      <c r="AG2787" s="1" t="s">
        <v>180</v>
      </c>
    </row>
    <row r="2788" spans="1:33">
      <c r="A2788" t="s">
        <v>9954</v>
      </c>
      <c r="B2788" t="s">
        <v>9955</v>
      </c>
      <c r="C2788" t="s">
        <v>314</v>
      </c>
      <c r="E2788" t="s">
        <v>9612</v>
      </c>
      <c r="F2788" t="s">
        <v>9613</v>
      </c>
      <c r="G2788">
        <v>39.0</v>
      </c>
      <c r="H2788">
        <v>39.0</v>
      </c>
      <c r="I2788" t="s">
        <v>179</v>
      </c>
      <c r="J2788" t="s">
        <v>180</v>
      </c>
      <c r="K2788" t="s">
        <v>31</v>
      </c>
      <c r="L2788" t="s">
        <v>32</v>
      </c>
      <c r="M2788" t="s">
        <v>33</v>
      </c>
      <c r="P2788" s="1" t="s">
        <v>9956</v>
      </c>
      <c r="Q2788" s="1" t="s">
        <v>9612</v>
      </c>
      <c r="R2788" s="1" t="s">
        <v>9612</v>
      </c>
      <c r="S2788" s="1"/>
      <c r="T2788" s="1" t="s">
        <v>314</v>
      </c>
      <c r="U2788" s="1"/>
      <c r="V2788" s="1">
        <v>39.0</v>
      </c>
      <c r="W2788" s="1">
        <v>39.0</v>
      </c>
      <c r="X2788" s="1" t="s">
        <v>35</v>
      </c>
      <c r="Y2788" s="1">
        <v>39000.0</v>
      </c>
      <c r="Z2788" s="1"/>
      <c r="AA2788" s="1">
        <v>39000.0</v>
      </c>
      <c r="AB2788" s="1"/>
      <c r="AC2788" s="1" t="s">
        <v>36</v>
      </c>
      <c r="AD2788" s="1" t="s">
        <v>9950</v>
      </c>
      <c r="AE2788" s="1" t="s">
        <v>32</v>
      </c>
      <c r="AF2788" s="1" t="s">
        <v>33</v>
      </c>
      <c r="AG2788" s="1" t="s">
        <v>180</v>
      </c>
    </row>
    <row r="2789" spans="1:33">
      <c r="A2789" t="s">
        <v>9957</v>
      </c>
      <c r="C2789" t="s">
        <v>2197</v>
      </c>
      <c r="E2789" t="s">
        <v>9612</v>
      </c>
      <c r="F2789" t="s">
        <v>9613</v>
      </c>
      <c r="G2789">
        <v>805.8</v>
      </c>
      <c r="H2789">
        <v>805.8</v>
      </c>
      <c r="I2789" t="s">
        <v>570</v>
      </c>
      <c r="J2789" t="s">
        <v>571</v>
      </c>
      <c r="K2789" t="s">
        <v>31</v>
      </c>
      <c r="L2789" t="s">
        <v>32</v>
      </c>
      <c r="M2789" t="s">
        <v>33</v>
      </c>
      <c r="P2789" s="1" t="s">
        <v>9958</v>
      </c>
      <c r="Q2789" s="1" t="s">
        <v>9612</v>
      </c>
      <c r="R2789" s="1" t="s">
        <v>9612</v>
      </c>
      <c r="S2789" s="1"/>
      <c r="T2789" s="1" t="s">
        <v>2197</v>
      </c>
      <c r="U2789" s="1"/>
      <c r="V2789" s="1">
        <v>805.8</v>
      </c>
      <c r="W2789" s="1">
        <v>805.8</v>
      </c>
      <c r="X2789" s="1" t="s">
        <v>35</v>
      </c>
      <c r="Y2789" s="1">
        <v>805800.0</v>
      </c>
      <c r="Z2789" s="1"/>
      <c r="AA2789" s="1">
        <v>805800.0</v>
      </c>
      <c r="AB2789" s="1"/>
      <c r="AC2789" s="1" t="s">
        <v>36</v>
      </c>
      <c r="AD2789" s="1" t="s">
        <v>9947</v>
      </c>
      <c r="AE2789" s="1" t="s">
        <v>32</v>
      </c>
      <c r="AF2789" s="1" t="s">
        <v>33</v>
      </c>
      <c r="AG2789" s="1" t="s">
        <v>571</v>
      </c>
    </row>
    <row r="2790" spans="1:33">
      <c r="A2790" t="s">
        <v>9959</v>
      </c>
      <c r="C2790" t="s">
        <v>613</v>
      </c>
      <c r="E2790" t="s">
        <v>9612</v>
      </c>
      <c r="F2790" t="s">
        <v>9613</v>
      </c>
      <c r="G2790">
        <v>52.0</v>
      </c>
      <c r="H2790">
        <v>52.0</v>
      </c>
      <c r="I2790" t="s">
        <v>269</v>
      </c>
      <c r="J2790" t="s">
        <v>270</v>
      </c>
      <c r="K2790" t="s">
        <v>31</v>
      </c>
      <c r="L2790" t="s">
        <v>32</v>
      </c>
      <c r="M2790" t="s">
        <v>33</v>
      </c>
      <c r="P2790" s="1" t="s">
        <v>9960</v>
      </c>
      <c r="Q2790" s="1" t="s">
        <v>9612</v>
      </c>
      <c r="R2790" s="1" t="s">
        <v>9612</v>
      </c>
      <c r="S2790" s="1"/>
      <c r="T2790" s="1" t="s">
        <v>613</v>
      </c>
      <c r="U2790" s="1"/>
      <c r="V2790" s="1">
        <v>52.0</v>
      </c>
      <c r="W2790" s="1">
        <v>52.0</v>
      </c>
      <c r="X2790" s="1" t="s">
        <v>35</v>
      </c>
      <c r="Y2790" s="1">
        <v>52000.0</v>
      </c>
      <c r="Z2790" s="1"/>
      <c r="AA2790" s="1">
        <v>52000.0</v>
      </c>
      <c r="AB2790" s="1"/>
      <c r="AC2790" s="1" t="s">
        <v>36</v>
      </c>
      <c r="AD2790" s="1" t="s">
        <v>9961</v>
      </c>
      <c r="AE2790" s="1" t="s">
        <v>32</v>
      </c>
      <c r="AF2790" s="1" t="s">
        <v>33</v>
      </c>
      <c r="AG2790" s="1" t="s">
        <v>270</v>
      </c>
    </row>
    <row r="2791" spans="1:33">
      <c r="A2791" t="s">
        <v>9962</v>
      </c>
      <c r="C2791" t="s">
        <v>7354</v>
      </c>
      <c r="E2791" t="s">
        <v>9612</v>
      </c>
      <c r="F2791" t="s">
        <v>9613</v>
      </c>
      <c r="G2791">
        <v>328.0</v>
      </c>
      <c r="H2791">
        <v>328.0</v>
      </c>
      <c r="I2791" t="s">
        <v>269</v>
      </c>
      <c r="J2791" t="s">
        <v>270</v>
      </c>
      <c r="K2791" t="s">
        <v>31</v>
      </c>
      <c r="L2791" t="s">
        <v>32</v>
      </c>
      <c r="M2791" t="s">
        <v>33</v>
      </c>
      <c r="P2791" s="1" t="s">
        <v>9963</v>
      </c>
      <c r="Q2791" s="1" t="s">
        <v>9612</v>
      </c>
      <c r="R2791" s="1" t="s">
        <v>9612</v>
      </c>
      <c r="S2791" s="1"/>
      <c r="T2791" s="1" t="s">
        <v>7354</v>
      </c>
      <c r="U2791" s="1"/>
      <c r="V2791" s="1">
        <v>328.0</v>
      </c>
      <c r="W2791" s="1">
        <v>328.0</v>
      </c>
      <c r="X2791" s="1" t="s">
        <v>35</v>
      </c>
      <c r="Y2791" s="1">
        <v>328000.0</v>
      </c>
      <c r="Z2791" s="1"/>
      <c r="AA2791" s="1">
        <v>328000.0</v>
      </c>
      <c r="AB2791" s="1"/>
      <c r="AC2791" s="1" t="s">
        <v>36</v>
      </c>
      <c r="AD2791" s="1" t="s">
        <v>9964</v>
      </c>
      <c r="AE2791" s="1" t="s">
        <v>32</v>
      </c>
      <c r="AF2791" s="1" t="s">
        <v>33</v>
      </c>
      <c r="AG2791" s="1" t="s">
        <v>270</v>
      </c>
    </row>
    <row r="2792" spans="1:33">
      <c r="A2792" t="s">
        <v>9965</v>
      </c>
      <c r="B2792" t="s">
        <v>4638</v>
      </c>
      <c r="C2792" t="s">
        <v>47</v>
      </c>
      <c r="E2792" t="s">
        <v>9612</v>
      </c>
      <c r="F2792" t="s">
        <v>9613</v>
      </c>
      <c r="G2792">
        <v>287.36</v>
      </c>
      <c r="H2792">
        <v>287.36</v>
      </c>
      <c r="I2792" t="s">
        <v>2206</v>
      </c>
      <c r="J2792" t="s">
        <v>49</v>
      </c>
      <c r="K2792" t="s">
        <v>31</v>
      </c>
      <c r="L2792" t="s">
        <v>32</v>
      </c>
      <c r="M2792" t="s">
        <v>33</v>
      </c>
      <c r="P2792" s="1" t="s">
        <v>9966</v>
      </c>
      <c r="Q2792" s="1" t="s">
        <v>9612</v>
      </c>
      <c r="R2792" s="1" t="s">
        <v>9612</v>
      </c>
      <c r="S2792" s="1"/>
      <c r="T2792" s="1" t="s">
        <v>47</v>
      </c>
      <c r="U2792" s="1"/>
      <c r="V2792" s="1">
        <v>287.36</v>
      </c>
      <c r="W2792" s="1">
        <v>287.36</v>
      </c>
      <c r="X2792" s="1" t="s">
        <v>35</v>
      </c>
      <c r="Y2792" s="1">
        <v>287360.0</v>
      </c>
      <c r="Z2792" s="1"/>
      <c r="AA2792" s="1">
        <v>287360.0</v>
      </c>
      <c r="AB2792" s="1"/>
      <c r="AC2792" s="1" t="s">
        <v>36</v>
      </c>
      <c r="AD2792" s="1" t="s">
        <v>9934</v>
      </c>
      <c r="AE2792" s="1" t="s">
        <v>32</v>
      </c>
      <c r="AF2792" s="1" t="s">
        <v>33</v>
      </c>
      <c r="AG2792" s="1" t="s">
        <v>49</v>
      </c>
    </row>
    <row r="2793" spans="1:33">
      <c r="A2793" t="s">
        <v>9967</v>
      </c>
      <c r="C2793" t="s">
        <v>4726</v>
      </c>
      <c r="E2793" t="s">
        <v>9612</v>
      </c>
      <c r="F2793" t="s">
        <v>9613</v>
      </c>
      <c r="G2793">
        <v>658.1</v>
      </c>
      <c r="H2793">
        <v>658.1</v>
      </c>
      <c r="I2793" t="s">
        <v>269</v>
      </c>
      <c r="J2793" t="s">
        <v>270</v>
      </c>
      <c r="K2793" t="s">
        <v>31</v>
      </c>
      <c r="L2793" t="s">
        <v>32</v>
      </c>
      <c r="M2793" t="s">
        <v>33</v>
      </c>
      <c r="P2793" s="1" t="s">
        <v>9968</v>
      </c>
      <c r="Q2793" s="1" t="s">
        <v>9612</v>
      </c>
      <c r="R2793" s="1" t="s">
        <v>9612</v>
      </c>
      <c r="S2793" s="1"/>
      <c r="T2793" s="1" t="s">
        <v>4726</v>
      </c>
      <c r="U2793" s="1"/>
      <c r="V2793" s="1">
        <v>658.1</v>
      </c>
      <c r="W2793" s="1">
        <v>658.1</v>
      </c>
      <c r="X2793" s="1" t="s">
        <v>35</v>
      </c>
      <c r="Y2793" s="1">
        <v>658100.0</v>
      </c>
      <c r="Z2793" s="1"/>
      <c r="AA2793" s="1">
        <v>658100.0</v>
      </c>
      <c r="AB2793" s="1"/>
      <c r="AC2793" s="1" t="s">
        <v>36</v>
      </c>
      <c r="AD2793" s="1" t="s">
        <v>9969</v>
      </c>
      <c r="AE2793" s="1" t="s">
        <v>32</v>
      </c>
      <c r="AF2793" s="1" t="s">
        <v>33</v>
      </c>
      <c r="AG2793" s="1" t="s">
        <v>270</v>
      </c>
    </row>
    <row r="2794" spans="1:33">
      <c r="A2794" t="s">
        <v>9970</v>
      </c>
      <c r="B2794" t="s">
        <v>9971</v>
      </c>
      <c r="C2794" t="s">
        <v>47</v>
      </c>
      <c r="E2794" t="s">
        <v>9612</v>
      </c>
      <c r="F2794" t="s">
        <v>9613</v>
      </c>
      <c r="G2794">
        <v>121.47</v>
      </c>
      <c r="H2794">
        <v>121.47</v>
      </c>
      <c r="I2794" t="s">
        <v>2206</v>
      </c>
      <c r="J2794" t="s">
        <v>49</v>
      </c>
      <c r="K2794" t="s">
        <v>31</v>
      </c>
      <c r="L2794" t="s">
        <v>32</v>
      </c>
      <c r="M2794" t="s">
        <v>33</v>
      </c>
      <c r="P2794" s="1" t="s">
        <v>9972</v>
      </c>
      <c r="Q2794" s="1" t="s">
        <v>9612</v>
      </c>
      <c r="R2794" s="1" t="s">
        <v>9612</v>
      </c>
      <c r="S2794" s="1"/>
      <c r="T2794" s="1" t="s">
        <v>47</v>
      </c>
      <c r="U2794" s="1"/>
      <c r="V2794" s="1">
        <v>121.47</v>
      </c>
      <c r="W2794" s="1">
        <v>121.47</v>
      </c>
      <c r="X2794" s="1" t="s">
        <v>35</v>
      </c>
      <c r="Y2794" s="1">
        <v>121470.0</v>
      </c>
      <c r="Z2794" s="1"/>
      <c r="AA2794" s="1">
        <v>121470.0</v>
      </c>
      <c r="AB2794" s="1"/>
      <c r="AC2794" s="1" t="s">
        <v>36</v>
      </c>
      <c r="AD2794" s="1" t="s">
        <v>9973</v>
      </c>
      <c r="AE2794" s="1" t="s">
        <v>32</v>
      </c>
      <c r="AF2794" s="1" t="s">
        <v>33</v>
      </c>
      <c r="AG2794" s="1" t="s">
        <v>49</v>
      </c>
    </row>
    <row r="2795" spans="1:33">
      <c r="A2795" t="s">
        <v>9974</v>
      </c>
      <c r="B2795" t="s">
        <v>2814</v>
      </c>
      <c r="C2795" t="s">
        <v>569</v>
      </c>
      <c r="E2795" t="s">
        <v>9612</v>
      </c>
      <c r="F2795" t="s">
        <v>9613</v>
      </c>
      <c r="G2795">
        <v>41.98</v>
      </c>
      <c r="H2795">
        <v>41.98</v>
      </c>
      <c r="I2795" t="s">
        <v>570</v>
      </c>
      <c r="J2795" t="s">
        <v>571</v>
      </c>
      <c r="K2795" t="s">
        <v>31</v>
      </c>
      <c r="L2795" t="s">
        <v>32</v>
      </c>
      <c r="M2795" t="s">
        <v>33</v>
      </c>
      <c r="P2795" s="1" t="s">
        <v>9975</v>
      </c>
      <c r="Q2795" s="1" t="s">
        <v>9612</v>
      </c>
      <c r="R2795" s="1" t="s">
        <v>9612</v>
      </c>
      <c r="S2795" s="1"/>
      <c r="T2795" s="1" t="s">
        <v>569</v>
      </c>
      <c r="U2795" s="1"/>
      <c r="V2795" s="1">
        <v>41.98</v>
      </c>
      <c r="W2795" s="1">
        <v>41.98</v>
      </c>
      <c r="X2795" s="1" t="s">
        <v>35</v>
      </c>
      <c r="Y2795" s="1">
        <v>41980.0</v>
      </c>
      <c r="Z2795" s="1"/>
      <c r="AA2795" s="1">
        <v>41980.0</v>
      </c>
      <c r="AB2795" s="1"/>
      <c r="AC2795" s="1" t="s">
        <v>36</v>
      </c>
      <c r="AD2795" s="1" t="s">
        <v>9976</v>
      </c>
      <c r="AE2795" s="1" t="s">
        <v>32</v>
      </c>
      <c r="AF2795" s="1" t="s">
        <v>33</v>
      </c>
      <c r="AG2795" s="1" t="s">
        <v>571</v>
      </c>
    </row>
    <row r="2796" spans="1:33">
      <c r="A2796" t="s">
        <v>9977</v>
      </c>
      <c r="C2796" t="s">
        <v>595</v>
      </c>
      <c r="E2796" t="s">
        <v>9612</v>
      </c>
      <c r="F2796" t="s">
        <v>9613</v>
      </c>
      <c r="G2796">
        <v>1.238</v>
      </c>
      <c r="H2796">
        <v>1.238</v>
      </c>
      <c r="I2796" t="s">
        <v>269</v>
      </c>
      <c r="J2796" t="s">
        <v>270</v>
      </c>
      <c r="K2796" t="s">
        <v>31</v>
      </c>
      <c r="L2796" t="s">
        <v>32</v>
      </c>
      <c r="M2796" t="s">
        <v>33</v>
      </c>
      <c r="P2796" s="1" t="s">
        <v>9978</v>
      </c>
      <c r="Q2796" s="1" t="s">
        <v>9612</v>
      </c>
      <c r="R2796" s="1" t="s">
        <v>9612</v>
      </c>
      <c r="S2796" s="1"/>
      <c r="T2796" s="1" t="s">
        <v>595</v>
      </c>
      <c r="U2796" s="1"/>
      <c r="V2796" s="1">
        <v>1.238</v>
      </c>
      <c r="W2796" s="1">
        <v>1.238</v>
      </c>
      <c r="X2796" s="1" t="s">
        <v>35</v>
      </c>
      <c r="Y2796" s="1">
        <v>1238000.0</v>
      </c>
      <c r="Z2796" s="1"/>
      <c r="AA2796" s="1">
        <v>1238000.0</v>
      </c>
      <c r="AB2796" s="1"/>
      <c r="AC2796" s="1" t="s">
        <v>36</v>
      </c>
      <c r="AD2796" s="1" t="s">
        <v>9979</v>
      </c>
      <c r="AE2796" s="1" t="s">
        <v>32</v>
      </c>
      <c r="AF2796" s="1" t="s">
        <v>33</v>
      </c>
      <c r="AG2796" s="1" t="s">
        <v>270</v>
      </c>
    </row>
    <row r="2797" spans="1:33">
      <c r="A2797" t="s">
        <v>9980</v>
      </c>
      <c r="C2797" t="s">
        <v>3552</v>
      </c>
      <c r="E2797" t="s">
        <v>9612</v>
      </c>
      <c r="F2797" t="s">
        <v>9613</v>
      </c>
      <c r="G2797">
        <v>320.0</v>
      </c>
      <c r="H2797">
        <v>320.0</v>
      </c>
      <c r="I2797" t="s">
        <v>40</v>
      </c>
      <c r="J2797" t="s">
        <v>41</v>
      </c>
      <c r="K2797" t="s">
        <v>31</v>
      </c>
      <c r="L2797" t="s">
        <v>32</v>
      </c>
      <c r="M2797" t="s">
        <v>33</v>
      </c>
      <c r="P2797" s="1" t="s">
        <v>9981</v>
      </c>
      <c r="Q2797" s="1" t="s">
        <v>9612</v>
      </c>
      <c r="R2797" s="1" t="s">
        <v>9112</v>
      </c>
      <c r="S2797" s="1"/>
      <c r="T2797" s="1" t="s">
        <v>3554</v>
      </c>
      <c r="U2797" s="1" t="s">
        <v>3555</v>
      </c>
      <c r="V2797" s="1">
        <v>320.0</v>
      </c>
      <c r="W2797" s="1">
        <v>320.0</v>
      </c>
      <c r="X2797" s="1" t="s">
        <v>35</v>
      </c>
      <c r="Y2797" s="1">
        <v>320000.0</v>
      </c>
      <c r="Z2797" s="1"/>
      <c r="AA2797" s="1">
        <v>320000.0</v>
      </c>
      <c r="AB2797" s="1"/>
      <c r="AC2797" s="1" t="s">
        <v>36</v>
      </c>
      <c r="AD2797" s="1" t="s">
        <v>9982</v>
      </c>
      <c r="AE2797" s="1" t="s">
        <v>32</v>
      </c>
      <c r="AF2797" s="1" t="s">
        <v>33</v>
      </c>
      <c r="AG2797" s="1" t="s">
        <v>41</v>
      </c>
    </row>
    <row r="2798" spans="1:33">
      <c r="A2798" t="s">
        <v>9983</v>
      </c>
      <c r="C2798" t="s">
        <v>2266</v>
      </c>
      <c r="E2798" t="s">
        <v>9612</v>
      </c>
      <c r="F2798" t="s">
        <v>9613</v>
      </c>
      <c r="G2798">
        <v>802.75</v>
      </c>
      <c r="H2798">
        <v>802.75</v>
      </c>
      <c r="I2798" t="s">
        <v>269</v>
      </c>
      <c r="J2798" t="s">
        <v>270</v>
      </c>
      <c r="K2798" t="s">
        <v>31</v>
      </c>
      <c r="L2798" t="s">
        <v>32</v>
      </c>
      <c r="M2798" t="s">
        <v>33</v>
      </c>
      <c r="P2798" s="1" t="s">
        <v>9984</v>
      </c>
      <c r="Q2798" s="1" t="s">
        <v>9612</v>
      </c>
      <c r="R2798" s="1" t="s">
        <v>9612</v>
      </c>
      <c r="S2798" s="1"/>
      <c r="T2798" s="1" t="s">
        <v>2266</v>
      </c>
      <c r="U2798" s="1"/>
      <c r="V2798" s="1">
        <v>802.75</v>
      </c>
      <c r="W2798" s="1">
        <v>802.75</v>
      </c>
      <c r="X2798" s="1" t="s">
        <v>35</v>
      </c>
      <c r="Y2798" s="1">
        <v>802750.0</v>
      </c>
      <c r="Z2798" s="1"/>
      <c r="AA2798" s="1">
        <v>802750.0</v>
      </c>
      <c r="AB2798" s="1"/>
      <c r="AC2798" s="1" t="s">
        <v>36</v>
      </c>
      <c r="AD2798" s="1" t="s">
        <v>9985</v>
      </c>
      <c r="AE2798" s="1" t="s">
        <v>32</v>
      </c>
      <c r="AF2798" s="1" t="s">
        <v>33</v>
      </c>
      <c r="AG2798" s="1" t="s">
        <v>270</v>
      </c>
    </row>
    <row r="2799" spans="1:33">
      <c r="A2799" t="s">
        <v>9986</v>
      </c>
      <c r="B2799" t="s">
        <v>9987</v>
      </c>
      <c r="C2799" t="s">
        <v>47</v>
      </c>
      <c r="E2799" t="s">
        <v>9612</v>
      </c>
      <c r="F2799" t="s">
        <v>9613</v>
      </c>
      <c r="G2799">
        <v>62.97</v>
      </c>
      <c r="H2799">
        <v>62.97</v>
      </c>
      <c r="I2799" t="s">
        <v>2206</v>
      </c>
      <c r="J2799" t="s">
        <v>49</v>
      </c>
      <c r="K2799" t="s">
        <v>31</v>
      </c>
      <c r="L2799" t="s">
        <v>32</v>
      </c>
      <c r="M2799" t="s">
        <v>33</v>
      </c>
      <c r="P2799" s="1" t="s">
        <v>9988</v>
      </c>
      <c r="Q2799" s="1" t="s">
        <v>9612</v>
      </c>
      <c r="R2799" s="1" t="s">
        <v>9612</v>
      </c>
      <c r="S2799" s="1"/>
      <c r="T2799" s="1" t="s">
        <v>47</v>
      </c>
      <c r="U2799" s="1"/>
      <c r="V2799" s="1">
        <v>62.97</v>
      </c>
      <c r="W2799" s="1">
        <v>62.97</v>
      </c>
      <c r="X2799" s="1" t="s">
        <v>35</v>
      </c>
      <c r="Y2799" s="1">
        <v>62970.0</v>
      </c>
      <c r="Z2799" s="1"/>
      <c r="AA2799" s="1">
        <v>62970.0</v>
      </c>
      <c r="AB2799" s="1"/>
      <c r="AC2799" s="1" t="s">
        <v>36</v>
      </c>
      <c r="AD2799" s="1" t="s">
        <v>9989</v>
      </c>
      <c r="AE2799" s="1" t="s">
        <v>32</v>
      </c>
      <c r="AF2799" s="1" t="s">
        <v>33</v>
      </c>
      <c r="AG2799" s="1" t="s">
        <v>49</v>
      </c>
    </row>
    <row r="2800" spans="1:33">
      <c r="A2800" t="s">
        <v>9990</v>
      </c>
      <c r="B2800" t="s">
        <v>9991</v>
      </c>
      <c r="C2800" t="s">
        <v>9992</v>
      </c>
      <c r="E2800" t="s">
        <v>9612</v>
      </c>
      <c r="F2800" t="s">
        <v>9613</v>
      </c>
      <c r="G2800">
        <v>525.0</v>
      </c>
      <c r="H2800">
        <v>525.0</v>
      </c>
      <c r="I2800" t="s">
        <v>40</v>
      </c>
      <c r="J2800" t="s">
        <v>41</v>
      </c>
      <c r="K2800" t="s">
        <v>31</v>
      </c>
      <c r="L2800" t="s">
        <v>32</v>
      </c>
      <c r="M2800" t="s">
        <v>33</v>
      </c>
      <c r="P2800" s="1" t="s">
        <v>9993</v>
      </c>
      <c r="Q2800" s="1" t="s">
        <v>9612</v>
      </c>
      <c r="R2800" s="1" t="s">
        <v>9112</v>
      </c>
      <c r="S2800" s="1"/>
      <c r="T2800" s="1" t="s">
        <v>9992</v>
      </c>
      <c r="U2800" s="1"/>
      <c r="V2800" s="1">
        <v>525.0</v>
      </c>
      <c r="W2800" s="1">
        <v>525.0</v>
      </c>
      <c r="X2800" s="1" t="s">
        <v>35</v>
      </c>
      <c r="Y2800" s="1">
        <v>525000.0</v>
      </c>
      <c r="Z2800" s="1"/>
      <c r="AA2800" s="1">
        <v>525000.0</v>
      </c>
      <c r="AB2800" s="1"/>
      <c r="AC2800" s="1" t="s">
        <v>36</v>
      </c>
      <c r="AD2800" s="1" t="s">
        <v>9994</v>
      </c>
      <c r="AE2800" s="1" t="s">
        <v>32</v>
      </c>
      <c r="AF2800" s="1" t="s">
        <v>33</v>
      </c>
      <c r="AG2800" s="1" t="s">
        <v>41</v>
      </c>
    </row>
    <row r="2801" spans="1:33">
      <c r="A2801" t="s">
        <v>9995</v>
      </c>
      <c r="C2801" t="s">
        <v>517</v>
      </c>
      <c r="E2801" t="s">
        <v>9612</v>
      </c>
      <c r="F2801" t="s">
        <v>9613</v>
      </c>
      <c r="G2801">
        <v>3.115</v>
      </c>
      <c r="H2801">
        <v>3.115</v>
      </c>
      <c r="I2801" t="s">
        <v>126</v>
      </c>
      <c r="J2801" t="s">
        <v>127</v>
      </c>
      <c r="K2801" t="s">
        <v>31</v>
      </c>
      <c r="L2801" t="s">
        <v>32</v>
      </c>
      <c r="M2801" t="s">
        <v>33</v>
      </c>
      <c r="P2801" s="1" t="s">
        <v>9996</v>
      </c>
      <c r="Q2801" s="1" t="s">
        <v>9612</v>
      </c>
      <c r="R2801" s="1" t="s">
        <v>9612</v>
      </c>
      <c r="S2801" s="1"/>
      <c r="T2801" s="1" t="s">
        <v>517</v>
      </c>
      <c r="U2801" s="1"/>
      <c r="V2801" s="1">
        <v>3.115</v>
      </c>
      <c r="W2801" s="1">
        <v>3.115</v>
      </c>
      <c r="X2801" s="1" t="s">
        <v>35</v>
      </c>
      <c r="Y2801" s="1">
        <v>3185500.0</v>
      </c>
      <c r="Z2801" s="1">
        <v>-70000</v>
      </c>
      <c r="AA2801" s="1">
        <v>3185500.0</v>
      </c>
      <c r="AB2801" s="1">
        <v>-70000</v>
      </c>
      <c r="AC2801" s="1" t="s">
        <v>36</v>
      </c>
      <c r="AD2801" s="1" t="s">
        <v>9997</v>
      </c>
      <c r="AE2801" s="1" t="s">
        <v>32</v>
      </c>
      <c r="AF2801" s="1" t="s">
        <v>33</v>
      </c>
      <c r="AG2801" s="1" t="s">
        <v>127</v>
      </c>
    </row>
    <row r="2802" spans="1:33">
      <c r="A2802" t="s">
        <v>9998</v>
      </c>
      <c r="B2802" t="s">
        <v>9999</v>
      </c>
      <c r="C2802" t="s">
        <v>314</v>
      </c>
      <c r="E2802" t="s">
        <v>9612</v>
      </c>
      <c r="F2802" t="s">
        <v>9613</v>
      </c>
      <c r="G2802">
        <v>8.94</v>
      </c>
      <c r="H2802">
        <v>8.94</v>
      </c>
      <c r="I2802" t="s">
        <v>179</v>
      </c>
      <c r="J2802" t="s">
        <v>180</v>
      </c>
      <c r="K2802" t="s">
        <v>31</v>
      </c>
      <c r="L2802" t="s">
        <v>32</v>
      </c>
      <c r="M2802" t="s">
        <v>33</v>
      </c>
      <c r="P2802" s="1" t="s">
        <v>10000</v>
      </c>
      <c r="Q2802" s="1" t="s">
        <v>9612</v>
      </c>
      <c r="R2802" s="1" t="s">
        <v>9612</v>
      </c>
      <c r="S2802" s="1"/>
      <c r="T2802" s="1" t="s">
        <v>314</v>
      </c>
      <c r="U2802" s="1"/>
      <c r="V2802" s="1">
        <v>8.94</v>
      </c>
      <c r="W2802" s="1">
        <v>8.94</v>
      </c>
      <c r="X2802" s="1" t="s">
        <v>35</v>
      </c>
      <c r="Y2802" s="1">
        <v>8940.0</v>
      </c>
      <c r="Z2802" s="1"/>
      <c r="AA2802" s="1">
        <v>8940.0</v>
      </c>
      <c r="AB2802" s="1"/>
      <c r="AC2802" s="1" t="s">
        <v>36</v>
      </c>
      <c r="AD2802" s="1" t="s">
        <v>10001</v>
      </c>
      <c r="AE2802" s="1" t="s">
        <v>32</v>
      </c>
      <c r="AF2802" s="1" t="s">
        <v>33</v>
      </c>
      <c r="AG2802" s="1" t="s">
        <v>180</v>
      </c>
    </row>
    <row r="2803" spans="1:33">
      <c r="A2803" t="s">
        <v>10002</v>
      </c>
      <c r="B2803" t="s">
        <v>2999</v>
      </c>
      <c r="C2803" t="s">
        <v>268</v>
      </c>
      <c r="E2803" t="s">
        <v>9612</v>
      </c>
      <c r="F2803" t="s">
        <v>9613</v>
      </c>
      <c r="G2803">
        <v>67.6</v>
      </c>
      <c r="H2803">
        <v>67.6</v>
      </c>
      <c r="I2803" t="s">
        <v>269</v>
      </c>
      <c r="J2803" t="s">
        <v>270</v>
      </c>
      <c r="K2803" t="s">
        <v>31</v>
      </c>
      <c r="L2803" t="s">
        <v>32</v>
      </c>
      <c r="M2803" t="s">
        <v>33</v>
      </c>
      <c r="P2803" s="1" t="s">
        <v>10003</v>
      </c>
      <c r="Q2803" s="1" t="s">
        <v>9612</v>
      </c>
      <c r="R2803" s="1" t="s">
        <v>9612</v>
      </c>
      <c r="S2803" s="1"/>
      <c r="T2803" s="1" t="s">
        <v>268</v>
      </c>
      <c r="U2803" s="1"/>
      <c r="V2803" s="1">
        <v>67.6</v>
      </c>
      <c r="W2803" s="1">
        <v>67.6</v>
      </c>
      <c r="X2803" s="1" t="s">
        <v>35</v>
      </c>
      <c r="Y2803" s="1">
        <v>67600.0</v>
      </c>
      <c r="Z2803" s="1"/>
      <c r="AA2803" s="1">
        <v>67600.0</v>
      </c>
      <c r="AB2803" s="1"/>
      <c r="AC2803" s="1" t="s">
        <v>36</v>
      </c>
      <c r="AD2803" s="1" t="s">
        <v>10004</v>
      </c>
      <c r="AE2803" s="1" t="s">
        <v>32</v>
      </c>
      <c r="AF2803" s="1" t="s">
        <v>33</v>
      </c>
      <c r="AG2803" s="1" t="s">
        <v>270</v>
      </c>
    </row>
    <row r="2804" spans="1:33">
      <c r="A2804" t="s">
        <v>10005</v>
      </c>
      <c r="B2804" t="s">
        <v>743</v>
      </c>
      <c r="C2804" t="s">
        <v>744</v>
      </c>
      <c r="E2804" t="s">
        <v>9612</v>
      </c>
      <c r="F2804" t="s">
        <v>9613</v>
      </c>
      <c r="G2804">
        <v>370.0</v>
      </c>
      <c r="H2804">
        <v>370.0</v>
      </c>
      <c r="I2804" t="s">
        <v>59</v>
      </c>
      <c r="J2804" t="s">
        <v>60</v>
      </c>
      <c r="K2804" t="s">
        <v>31</v>
      </c>
      <c r="L2804" t="s">
        <v>32</v>
      </c>
      <c r="M2804" t="s">
        <v>33</v>
      </c>
      <c r="P2804" s="1" t="s">
        <v>10006</v>
      </c>
      <c r="Q2804" s="1" t="s">
        <v>9612</v>
      </c>
      <c r="R2804" s="1" t="s">
        <v>9612</v>
      </c>
      <c r="S2804" s="1"/>
      <c r="T2804" s="1" t="s">
        <v>744</v>
      </c>
      <c r="U2804" s="1"/>
      <c r="V2804" s="1">
        <v>370.0</v>
      </c>
      <c r="W2804" s="1">
        <v>370.0</v>
      </c>
      <c r="X2804" s="1" t="s">
        <v>35</v>
      </c>
      <c r="Y2804" s="1">
        <v>370000.0</v>
      </c>
      <c r="Z2804" s="1"/>
      <c r="AA2804" s="1">
        <v>370000.0</v>
      </c>
      <c r="AB2804" s="1"/>
      <c r="AC2804" s="1" t="s">
        <v>36</v>
      </c>
      <c r="AD2804" s="1" t="s">
        <v>10007</v>
      </c>
      <c r="AE2804" s="1" t="s">
        <v>32</v>
      </c>
      <c r="AF2804" s="1" t="s">
        <v>33</v>
      </c>
      <c r="AG2804" s="1" t="s">
        <v>60</v>
      </c>
    </row>
    <row r="2805" spans="1:33">
      <c r="A2805" t="s">
        <v>10008</v>
      </c>
      <c r="C2805" t="s">
        <v>609</v>
      </c>
      <c r="E2805" t="s">
        <v>9612</v>
      </c>
      <c r="F2805" t="s">
        <v>9613</v>
      </c>
      <c r="G2805">
        <v>820.0</v>
      </c>
      <c r="H2805">
        <v>820.0</v>
      </c>
      <c r="I2805" t="s">
        <v>269</v>
      </c>
      <c r="J2805" t="s">
        <v>270</v>
      </c>
      <c r="K2805" t="s">
        <v>31</v>
      </c>
      <c r="L2805" t="s">
        <v>32</v>
      </c>
      <c r="M2805" t="s">
        <v>33</v>
      </c>
      <c r="P2805" s="1" t="s">
        <v>10009</v>
      </c>
      <c r="Q2805" s="1" t="s">
        <v>9612</v>
      </c>
      <c r="R2805" s="1" t="s">
        <v>9612</v>
      </c>
      <c r="S2805" s="1"/>
      <c r="T2805" s="1" t="s">
        <v>609</v>
      </c>
      <c r="U2805" s="1"/>
      <c r="V2805" s="1">
        <v>820.0</v>
      </c>
      <c r="W2805" s="1">
        <v>820.0</v>
      </c>
      <c r="X2805" s="1" t="s">
        <v>35</v>
      </c>
      <c r="Y2805" s="1">
        <v>820000.0</v>
      </c>
      <c r="Z2805" s="1"/>
      <c r="AA2805" s="1">
        <v>820000.0</v>
      </c>
      <c r="AB2805" s="1"/>
      <c r="AC2805" s="1" t="s">
        <v>36</v>
      </c>
      <c r="AD2805" s="1" t="s">
        <v>10010</v>
      </c>
      <c r="AE2805" s="1" t="s">
        <v>32</v>
      </c>
      <c r="AF2805" s="1" t="s">
        <v>33</v>
      </c>
      <c r="AG2805" s="1" t="s">
        <v>270</v>
      </c>
    </row>
    <row r="2806" spans="1:33">
      <c r="A2806" t="s">
        <v>10011</v>
      </c>
      <c r="C2806" t="s">
        <v>1012</v>
      </c>
      <c r="D2806" t="s">
        <v>114</v>
      </c>
      <c r="E2806" t="s">
        <v>9612</v>
      </c>
      <c r="F2806" t="s">
        <v>9613</v>
      </c>
      <c r="G2806">
        <v>657.1</v>
      </c>
      <c r="H2806">
        <v>657.1</v>
      </c>
      <c r="I2806" t="s">
        <v>847</v>
      </c>
      <c r="J2806" t="s">
        <v>848</v>
      </c>
      <c r="K2806" t="s">
        <v>31</v>
      </c>
      <c r="L2806" t="s">
        <v>32</v>
      </c>
      <c r="M2806" t="s">
        <v>33</v>
      </c>
      <c r="P2806" s="1" t="s">
        <v>10012</v>
      </c>
      <c r="Q2806" s="1" t="s">
        <v>9612</v>
      </c>
      <c r="R2806" s="1" t="s">
        <v>9612</v>
      </c>
      <c r="S2806" s="1"/>
      <c r="T2806" s="1" t="s">
        <v>1012</v>
      </c>
      <c r="U2806" s="1"/>
      <c r="V2806" s="1">
        <v>657.1</v>
      </c>
      <c r="W2806" s="1">
        <v>657.1</v>
      </c>
      <c r="X2806" s="1" t="s">
        <v>35</v>
      </c>
      <c r="Y2806" s="1">
        <v>657100.0</v>
      </c>
      <c r="Z2806" s="1"/>
      <c r="AA2806" s="1">
        <v>657100.0</v>
      </c>
      <c r="AB2806" s="1"/>
      <c r="AC2806" s="1" t="s">
        <v>36</v>
      </c>
      <c r="AD2806" s="1" t="s">
        <v>9973</v>
      </c>
      <c r="AE2806" s="1" t="s">
        <v>32</v>
      </c>
      <c r="AF2806" s="1" t="s">
        <v>33</v>
      </c>
      <c r="AG2806" s="1" t="s">
        <v>848</v>
      </c>
    </row>
    <row r="2807" spans="1:33">
      <c r="A2807" t="s">
        <v>10013</v>
      </c>
      <c r="C2807" t="s">
        <v>5120</v>
      </c>
      <c r="D2807" t="s">
        <v>154</v>
      </c>
      <c r="E2807" t="s">
        <v>9612</v>
      </c>
      <c r="F2807" t="s">
        <v>9613</v>
      </c>
      <c r="G2807">
        <v>1.25</v>
      </c>
      <c r="H2807">
        <v>1.25</v>
      </c>
      <c r="I2807" t="s">
        <v>2206</v>
      </c>
      <c r="J2807" t="s">
        <v>49</v>
      </c>
      <c r="K2807" t="s">
        <v>31</v>
      </c>
      <c r="L2807" t="s">
        <v>32</v>
      </c>
      <c r="M2807" t="s">
        <v>33</v>
      </c>
      <c r="P2807" s="1" t="s">
        <v>10014</v>
      </c>
      <c r="Q2807" s="1" t="s">
        <v>9612</v>
      </c>
      <c r="R2807" s="1" t="s">
        <v>9612</v>
      </c>
      <c r="S2807" s="1"/>
      <c r="T2807" s="1" t="s">
        <v>5122</v>
      </c>
      <c r="U2807" s="1" t="s">
        <v>5123</v>
      </c>
      <c r="V2807" s="1">
        <v>1.25</v>
      </c>
      <c r="W2807" s="1">
        <v>1.25</v>
      </c>
      <c r="X2807" s="1" t="s">
        <v>35</v>
      </c>
      <c r="Y2807" s="1">
        <v>1250000.0</v>
      </c>
      <c r="Z2807" s="1"/>
      <c r="AA2807" s="1">
        <v>1250000.0</v>
      </c>
      <c r="AB2807" s="1"/>
      <c r="AC2807" s="1" t="s">
        <v>36</v>
      </c>
      <c r="AD2807" s="1" t="s">
        <v>10015</v>
      </c>
      <c r="AE2807" s="1" t="s">
        <v>32</v>
      </c>
      <c r="AF2807" s="1" t="s">
        <v>33</v>
      </c>
      <c r="AG2807" s="1" t="s">
        <v>49</v>
      </c>
    </row>
    <row r="2808" spans="1:33">
      <c r="A2808" t="s">
        <v>10016</v>
      </c>
      <c r="B2808" t="s">
        <v>1487</v>
      </c>
      <c r="C2808" t="s">
        <v>1488</v>
      </c>
      <c r="E2808" t="s">
        <v>9612</v>
      </c>
      <c r="F2808" t="s">
        <v>9613</v>
      </c>
      <c r="G2808">
        <v>630.0</v>
      </c>
      <c r="H2808">
        <v>630.0</v>
      </c>
      <c r="I2808" t="s">
        <v>40</v>
      </c>
      <c r="J2808" t="s">
        <v>41</v>
      </c>
      <c r="K2808" t="s">
        <v>31</v>
      </c>
      <c r="L2808" t="s">
        <v>32</v>
      </c>
      <c r="M2808" t="s">
        <v>33</v>
      </c>
      <c r="P2808" s="1" t="s">
        <v>10017</v>
      </c>
      <c r="Q2808" s="1" t="s">
        <v>9612</v>
      </c>
      <c r="R2808" s="1" t="s">
        <v>9112</v>
      </c>
      <c r="S2808" s="1"/>
      <c r="T2808" s="1" t="s">
        <v>1488</v>
      </c>
      <c r="U2808" s="1"/>
      <c r="V2808" s="1">
        <v>630.0</v>
      </c>
      <c r="W2808" s="1">
        <v>630.0</v>
      </c>
      <c r="X2808" s="1" t="s">
        <v>35</v>
      </c>
      <c r="Y2808" s="1">
        <v>630000.0</v>
      </c>
      <c r="Z2808" s="1"/>
      <c r="AA2808" s="1">
        <v>630000.0</v>
      </c>
      <c r="AB2808" s="1"/>
      <c r="AC2808" s="1" t="s">
        <v>36</v>
      </c>
      <c r="AD2808" s="1" t="s">
        <v>10018</v>
      </c>
      <c r="AE2808" s="1" t="s">
        <v>32</v>
      </c>
      <c r="AF2808" s="1" t="s">
        <v>33</v>
      </c>
      <c r="AG2808" s="1" t="s">
        <v>41</v>
      </c>
    </row>
    <row r="2809" spans="1:33">
      <c r="A2809" t="s">
        <v>10019</v>
      </c>
      <c r="C2809" t="s">
        <v>73</v>
      </c>
      <c r="E2809" t="s">
        <v>9612</v>
      </c>
      <c r="F2809" t="s">
        <v>9613</v>
      </c>
      <c r="G2809">
        <v>4.6</v>
      </c>
      <c r="H2809">
        <v>4.6</v>
      </c>
      <c r="I2809" t="s">
        <v>40</v>
      </c>
      <c r="J2809" t="s">
        <v>41</v>
      </c>
      <c r="K2809" t="s">
        <v>31</v>
      </c>
      <c r="L2809" t="s">
        <v>32</v>
      </c>
      <c r="M2809" t="s">
        <v>33</v>
      </c>
      <c r="P2809" s="1" t="s">
        <v>10020</v>
      </c>
      <c r="Q2809" s="1" t="s">
        <v>9612</v>
      </c>
      <c r="R2809" s="1" t="s">
        <v>9112</v>
      </c>
      <c r="S2809" s="1"/>
      <c r="T2809" s="1" t="s">
        <v>75</v>
      </c>
      <c r="U2809" s="1" t="s">
        <v>76</v>
      </c>
      <c r="V2809" s="1">
        <v>4.6</v>
      </c>
      <c r="W2809" s="1">
        <v>4.6</v>
      </c>
      <c r="X2809" s="1" t="s">
        <v>35</v>
      </c>
      <c r="Y2809" s="1">
        <v>4600.0</v>
      </c>
      <c r="Z2809" s="1"/>
      <c r="AA2809" s="1">
        <v>4600.0</v>
      </c>
      <c r="AB2809" s="1"/>
      <c r="AC2809" s="1" t="s">
        <v>36</v>
      </c>
      <c r="AD2809" s="1" t="s">
        <v>10021</v>
      </c>
      <c r="AE2809" s="1" t="s">
        <v>32</v>
      </c>
      <c r="AF2809" s="1" t="s">
        <v>33</v>
      </c>
      <c r="AG2809" s="1" t="s">
        <v>41</v>
      </c>
    </row>
    <row r="2810" spans="1:33">
      <c r="A2810" t="s">
        <v>10022</v>
      </c>
      <c r="B2810" t="s">
        <v>10023</v>
      </c>
      <c r="C2810" t="s">
        <v>10024</v>
      </c>
      <c r="E2810" t="s">
        <v>9612</v>
      </c>
      <c r="F2810" t="s">
        <v>9613</v>
      </c>
      <c r="G2810">
        <v>821.0</v>
      </c>
      <c r="H2810">
        <v>821.0</v>
      </c>
      <c r="I2810" t="s">
        <v>40</v>
      </c>
      <c r="J2810" t="s">
        <v>41</v>
      </c>
      <c r="K2810" t="s">
        <v>31</v>
      </c>
      <c r="L2810" t="s">
        <v>32</v>
      </c>
      <c r="M2810" t="s">
        <v>33</v>
      </c>
      <c r="P2810" s="1" t="s">
        <v>10025</v>
      </c>
      <c r="Q2810" s="1" t="s">
        <v>9612</v>
      </c>
      <c r="R2810" s="1" t="s">
        <v>9112</v>
      </c>
      <c r="S2810" s="1"/>
      <c r="T2810" s="1" t="s">
        <v>10024</v>
      </c>
      <c r="U2810" s="1"/>
      <c r="V2810" s="1">
        <v>821.0</v>
      </c>
      <c r="W2810" s="1">
        <v>821.0</v>
      </c>
      <c r="X2810" s="1" t="s">
        <v>35</v>
      </c>
      <c r="Y2810" s="1">
        <v>823000.0</v>
      </c>
      <c r="Z2810" s="1">
        <v>-2000</v>
      </c>
      <c r="AA2810" s="1">
        <v>823000.0</v>
      </c>
      <c r="AB2810" s="1">
        <v>-2000</v>
      </c>
      <c r="AC2810" s="1" t="s">
        <v>36</v>
      </c>
      <c r="AD2810" s="1" t="s">
        <v>10026</v>
      </c>
      <c r="AE2810" s="1" t="s">
        <v>32</v>
      </c>
      <c r="AF2810" s="1" t="s">
        <v>33</v>
      </c>
      <c r="AG2810" s="1" t="s">
        <v>41</v>
      </c>
    </row>
    <row r="2811" spans="1:33">
      <c r="A2811" t="s">
        <v>10027</v>
      </c>
      <c r="B2811" t="s">
        <v>10028</v>
      </c>
      <c r="C2811" t="s">
        <v>268</v>
      </c>
      <c r="E2811" t="s">
        <v>9612</v>
      </c>
      <c r="F2811" t="s">
        <v>9613</v>
      </c>
      <c r="G2811">
        <v>28.25</v>
      </c>
      <c r="H2811">
        <v>28.25</v>
      </c>
      <c r="I2811" t="s">
        <v>269</v>
      </c>
      <c r="J2811" t="s">
        <v>270</v>
      </c>
      <c r="K2811" t="s">
        <v>31</v>
      </c>
      <c r="L2811" t="s">
        <v>32</v>
      </c>
      <c r="M2811" t="s">
        <v>33</v>
      </c>
      <c r="P2811" s="1" t="s">
        <v>10029</v>
      </c>
      <c r="Q2811" s="1" t="s">
        <v>9612</v>
      </c>
      <c r="R2811" s="1" t="s">
        <v>9612</v>
      </c>
      <c r="S2811" s="1"/>
      <c r="T2811" s="1" t="s">
        <v>268</v>
      </c>
      <c r="U2811" s="1"/>
      <c r="V2811" s="1">
        <v>28.25</v>
      </c>
      <c r="W2811" s="1">
        <v>28.25</v>
      </c>
      <c r="X2811" s="1" t="s">
        <v>35</v>
      </c>
      <c r="Y2811" s="1">
        <v>28250.0</v>
      </c>
      <c r="Z2811" s="1"/>
      <c r="AA2811" s="1">
        <v>28250.0</v>
      </c>
      <c r="AB2811" s="1"/>
      <c r="AC2811" s="1" t="s">
        <v>36</v>
      </c>
      <c r="AD2811" s="1" t="s">
        <v>10030</v>
      </c>
      <c r="AE2811" s="1" t="s">
        <v>32</v>
      </c>
      <c r="AF2811" s="1" t="s">
        <v>33</v>
      </c>
      <c r="AG2811" s="1" t="s">
        <v>270</v>
      </c>
    </row>
    <row r="2812" spans="1:33">
      <c r="A2812" t="s">
        <v>10031</v>
      </c>
      <c r="C2812" t="s">
        <v>609</v>
      </c>
      <c r="E2812" t="s">
        <v>9612</v>
      </c>
      <c r="F2812" t="s">
        <v>9613</v>
      </c>
      <c r="G2812">
        <v>790.4</v>
      </c>
      <c r="H2812">
        <v>790.4</v>
      </c>
      <c r="I2812" t="s">
        <v>269</v>
      </c>
      <c r="J2812" t="s">
        <v>270</v>
      </c>
      <c r="K2812" t="s">
        <v>31</v>
      </c>
      <c r="L2812" t="s">
        <v>32</v>
      </c>
      <c r="M2812" t="s">
        <v>33</v>
      </c>
      <c r="P2812" s="1" t="s">
        <v>10032</v>
      </c>
      <c r="Q2812" s="1" t="s">
        <v>9612</v>
      </c>
      <c r="R2812" s="1" t="s">
        <v>9612</v>
      </c>
      <c r="S2812" s="1"/>
      <c r="T2812" s="1" t="s">
        <v>609</v>
      </c>
      <c r="U2812" s="1"/>
      <c r="V2812" s="1">
        <v>790.4</v>
      </c>
      <c r="W2812" s="1">
        <v>790.4</v>
      </c>
      <c r="X2812" s="1" t="s">
        <v>35</v>
      </c>
      <c r="Y2812" s="1">
        <v>790400.0</v>
      </c>
      <c r="Z2812" s="1"/>
      <c r="AA2812" s="1">
        <v>790400.0</v>
      </c>
      <c r="AB2812" s="1"/>
      <c r="AC2812" s="1" t="s">
        <v>36</v>
      </c>
      <c r="AD2812" s="1" t="s">
        <v>10026</v>
      </c>
      <c r="AE2812" s="1" t="s">
        <v>32</v>
      </c>
      <c r="AF2812" s="1" t="s">
        <v>33</v>
      </c>
      <c r="AG2812" s="1" t="s">
        <v>270</v>
      </c>
    </row>
    <row r="2813" spans="1:33">
      <c r="A2813" t="s">
        <v>10033</v>
      </c>
      <c r="C2813" t="s">
        <v>992</v>
      </c>
      <c r="E2813" t="s">
        <v>9612</v>
      </c>
      <c r="F2813" t="s">
        <v>9613</v>
      </c>
      <c r="G2813">
        <v>326.0</v>
      </c>
      <c r="H2813">
        <v>326.0</v>
      </c>
      <c r="I2813" t="s">
        <v>847</v>
      </c>
      <c r="J2813" t="s">
        <v>848</v>
      </c>
      <c r="K2813" t="s">
        <v>31</v>
      </c>
      <c r="L2813" t="s">
        <v>32</v>
      </c>
      <c r="M2813" t="s">
        <v>33</v>
      </c>
      <c r="P2813" s="1" t="s">
        <v>10034</v>
      </c>
      <c r="Q2813" s="1" t="s">
        <v>9612</v>
      </c>
      <c r="R2813" s="1" t="s">
        <v>9612</v>
      </c>
      <c r="S2813" s="1"/>
      <c r="T2813" s="1" t="s">
        <v>992</v>
      </c>
      <c r="U2813" s="1"/>
      <c r="V2813" s="1">
        <v>326.0</v>
      </c>
      <c r="W2813" s="1">
        <v>326.0</v>
      </c>
      <c r="X2813" s="1" t="s">
        <v>35</v>
      </c>
      <c r="Y2813" s="1">
        <v>326000.0</v>
      </c>
      <c r="Z2813" s="1"/>
      <c r="AA2813" s="1">
        <v>326000.0</v>
      </c>
      <c r="AB2813" s="1"/>
      <c r="AC2813" s="1" t="s">
        <v>36</v>
      </c>
      <c r="AD2813" s="1" t="s">
        <v>10035</v>
      </c>
      <c r="AE2813" s="1" t="s">
        <v>32</v>
      </c>
      <c r="AF2813" s="1" t="s">
        <v>33</v>
      </c>
      <c r="AG2813" s="1" t="s">
        <v>848</v>
      </c>
    </row>
    <row r="2814" spans="1:33">
      <c r="A2814" t="s">
        <v>10036</v>
      </c>
      <c r="B2814" t="s">
        <v>10037</v>
      </c>
      <c r="C2814" t="s">
        <v>268</v>
      </c>
      <c r="E2814" t="s">
        <v>9612</v>
      </c>
      <c r="F2814" t="s">
        <v>9613</v>
      </c>
      <c r="G2814">
        <v>49.75</v>
      </c>
      <c r="H2814">
        <v>49.75</v>
      </c>
      <c r="I2814" t="s">
        <v>269</v>
      </c>
      <c r="J2814" t="s">
        <v>270</v>
      </c>
      <c r="K2814" t="s">
        <v>31</v>
      </c>
      <c r="L2814" t="s">
        <v>32</v>
      </c>
      <c r="M2814" t="s">
        <v>33</v>
      </c>
      <c r="P2814" s="1" t="s">
        <v>10038</v>
      </c>
      <c r="Q2814" s="1" t="s">
        <v>9612</v>
      </c>
      <c r="R2814" s="1" t="s">
        <v>9612</v>
      </c>
      <c r="S2814" s="1"/>
      <c r="T2814" s="1" t="s">
        <v>268</v>
      </c>
      <c r="U2814" s="1"/>
      <c r="V2814" s="1">
        <v>49.75</v>
      </c>
      <c r="W2814" s="1">
        <v>49.75</v>
      </c>
      <c r="X2814" s="1" t="s">
        <v>35</v>
      </c>
      <c r="Y2814" s="1">
        <v>49750.0</v>
      </c>
      <c r="Z2814" s="1"/>
      <c r="AA2814" s="1">
        <v>49750.0</v>
      </c>
      <c r="AB2814" s="1"/>
      <c r="AC2814" s="1" t="s">
        <v>36</v>
      </c>
      <c r="AD2814" s="1" t="s">
        <v>10039</v>
      </c>
      <c r="AE2814" s="1" t="s">
        <v>32</v>
      </c>
      <c r="AF2814" s="1" t="s">
        <v>33</v>
      </c>
      <c r="AG2814" s="1" t="s">
        <v>270</v>
      </c>
    </row>
    <row r="2815" spans="1:33">
      <c r="A2815" t="s">
        <v>10040</v>
      </c>
      <c r="C2815" t="s">
        <v>3500</v>
      </c>
      <c r="E2815" t="s">
        <v>9612</v>
      </c>
      <c r="F2815" t="s">
        <v>9613</v>
      </c>
      <c r="G2815">
        <v>1.745</v>
      </c>
      <c r="H2815">
        <v>1.745</v>
      </c>
      <c r="I2815" t="s">
        <v>173</v>
      </c>
      <c r="J2815" t="s">
        <v>174</v>
      </c>
      <c r="K2815" t="s">
        <v>31</v>
      </c>
      <c r="L2815" t="s">
        <v>32</v>
      </c>
      <c r="M2815" t="s">
        <v>33</v>
      </c>
      <c r="P2815" s="1" t="s">
        <v>10041</v>
      </c>
      <c r="Q2815" s="1" t="s">
        <v>9612</v>
      </c>
      <c r="R2815" s="1" t="s">
        <v>9612</v>
      </c>
      <c r="S2815" s="1"/>
      <c r="T2815" s="1" t="s">
        <v>3502</v>
      </c>
      <c r="U2815" s="1" t="s">
        <v>3503</v>
      </c>
      <c r="V2815" s="1">
        <v>1.745</v>
      </c>
      <c r="W2815" s="1">
        <v>1.745</v>
      </c>
      <c r="X2815" s="1" t="s">
        <v>35</v>
      </c>
      <c r="Y2815" s="1">
        <v>1745000.0</v>
      </c>
      <c r="Z2815" s="1"/>
      <c r="AA2815" s="1">
        <v>1745000.0</v>
      </c>
      <c r="AB2815" s="1"/>
      <c r="AC2815" s="1" t="s">
        <v>36</v>
      </c>
      <c r="AD2815" s="1" t="s">
        <v>10007</v>
      </c>
      <c r="AE2815" s="1" t="s">
        <v>32</v>
      </c>
      <c r="AF2815" s="1" t="s">
        <v>33</v>
      </c>
      <c r="AG2815" s="1" t="s">
        <v>174</v>
      </c>
    </row>
    <row r="2816" spans="1:33">
      <c r="A2816" t="s">
        <v>10042</v>
      </c>
      <c r="B2816" t="s">
        <v>10043</v>
      </c>
      <c r="C2816" t="s">
        <v>73</v>
      </c>
      <c r="E2816" t="s">
        <v>9612</v>
      </c>
      <c r="F2816" t="s">
        <v>9613</v>
      </c>
      <c r="G2816">
        <v>6.519</v>
      </c>
      <c r="H2816">
        <v>6.519</v>
      </c>
      <c r="I2816" t="s">
        <v>40</v>
      </c>
      <c r="J2816" t="s">
        <v>41</v>
      </c>
      <c r="K2816" t="s">
        <v>31</v>
      </c>
      <c r="L2816" t="s">
        <v>32</v>
      </c>
      <c r="M2816" t="s">
        <v>33</v>
      </c>
      <c r="P2816" s="1" t="s">
        <v>10044</v>
      </c>
      <c r="Q2816" s="1" t="s">
        <v>9612</v>
      </c>
      <c r="R2816" s="1" t="s">
        <v>9112</v>
      </c>
      <c r="S2816" s="1"/>
      <c r="T2816" s="1" t="s">
        <v>75</v>
      </c>
      <c r="U2816" s="1" t="s">
        <v>76</v>
      </c>
      <c r="V2816" s="1">
        <v>6.519</v>
      </c>
      <c r="W2816" s="1">
        <v>6.519</v>
      </c>
      <c r="X2816" s="1" t="s">
        <v>35</v>
      </c>
      <c r="Y2816" s="1">
        <v>6519.0</v>
      </c>
      <c r="Z2816" s="1"/>
      <c r="AA2816" s="1">
        <v>6519.0</v>
      </c>
      <c r="AB2816" s="1"/>
      <c r="AC2816" s="1" t="s">
        <v>36</v>
      </c>
      <c r="AD2816" s="1" t="s">
        <v>10045</v>
      </c>
      <c r="AE2816" s="1" t="s">
        <v>32</v>
      </c>
      <c r="AF2816" s="1" t="s">
        <v>33</v>
      </c>
      <c r="AG2816" s="1" t="s">
        <v>41</v>
      </c>
    </row>
    <row r="2817" spans="1:33">
      <c r="A2817" t="s">
        <v>10046</v>
      </c>
      <c r="C2817" t="s">
        <v>10047</v>
      </c>
      <c r="D2817" t="s">
        <v>154</v>
      </c>
      <c r="E2817" t="s">
        <v>9612</v>
      </c>
      <c r="F2817" t="s">
        <v>9613</v>
      </c>
      <c r="G2817">
        <v>640.0</v>
      </c>
      <c r="H2817">
        <v>640.0</v>
      </c>
      <c r="I2817" t="s">
        <v>40</v>
      </c>
      <c r="J2817" t="s">
        <v>41</v>
      </c>
      <c r="K2817" t="s">
        <v>31</v>
      </c>
      <c r="L2817" t="s">
        <v>32</v>
      </c>
      <c r="M2817" t="s">
        <v>33</v>
      </c>
      <c r="P2817" s="1" t="s">
        <v>10048</v>
      </c>
      <c r="Q2817" s="1" t="s">
        <v>9612</v>
      </c>
      <c r="R2817" s="1" t="s">
        <v>9112</v>
      </c>
      <c r="S2817" s="1"/>
      <c r="T2817" s="1" t="s">
        <v>10047</v>
      </c>
      <c r="U2817" s="1"/>
      <c r="V2817" s="1">
        <v>640.0</v>
      </c>
      <c r="W2817" s="1">
        <v>640.0</v>
      </c>
      <c r="X2817" s="1" t="s">
        <v>35</v>
      </c>
      <c r="Y2817" s="1">
        <v>640000.0</v>
      </c>
      <c r="Z2817" s="1"/>
      <c r="AA2817" s="1">
        <v>640000.0</v>
      </c>
      <c r="AB2817" s="1"/>
      <c r="AC2817" s="1" t="s">
        <v>36</v>
      </c>
      <c r="AD2817" s="1" t="s">
        <v>10049</v>
      </c>
      <c r="AE2817" s="1" t="s">
        <v>32</v>
      </c>
      <c r="AF2817" s="1" t="s">
        <v>33</v>
      </c>
      <c r="AG2817" s="1" t="s">
        <v>41</v>
      </c>
    </row>
    <row r="2818" spans="1:33">
      <c r="A2818" t="s">
        <v>10050</v>
      </c>
      <c r="B2818" t="s">
        <v>10051</v>
      </c>
      <c r="C2818" t="s">
        <v>268</v>
      </c>
      <c r="E2818" t="s">
        <v>9612</v>
      </c>
      <c r="F2818" t="s">
        <v>9613</v>
      </c>
      <c r="G2818">
        <v>16.9</v>
      </c>
      <c r="H2818">
        <v>16.9</v>
      </c>
      <c r="I2818" t="s">
        <v>269</v>
      </c>
      <c r="J2818" t="s">
        <v>270</v>
      </c>
      <c r="K2818" t="s">
        <v>31</v>
      </c>
      <c r="L2818" t="s">
        <v>32</v>
      </c>
      <c r="M2818" t="s">
        <v>33</v>
      </c>
      <c r="P2818" s="1" t="s">
        <v>10052</v>
      </c>
      <c r="Q2818" s="1" t="s">
        <v>9612</v>
      </c>
      <c r="R2818" s="1" t="s">
        <v>9612</v>
      </c>
      <c r="S2818" s="1"/>
      <c r="T2818" s="1" t="s">
        <v>268</v>
      </c>
      <c r="U2818" s="1"/>
      <c r="V2818" s="1">
        <v>16.9</v>
      </c>
      <c r="W2818" s="1">
        <v>16.9</v>
      </c>
      <c r="X2818" s="1" t="s">
        <v>35</v>
      </c>
      <c r="Y2818" s="1">
        <v>16900.0</v>
      </c>
      <c r="Z2818" s="1"/>
      <c r="AA2818" s="1">
        <v>16900.0</v>
      </c>
      <c r="AB2818" s="1"/>
      <c r="AC2818" s="1" t="s">
        <v>36</v>
      </c>
      <c r="AD2818" s="1" t="s">
        <v>10053</v>
      </c>
      <c r="AE2818" s="1" t="s">
        <v>32</v>
      </c>
      <c r="AF2818" s="1" t="s">
        <v>33</v>
      </c>
      <c r="AG2818" s="1" t="s">
        <v>270</v>
      </c>
    </row>
    <row r="2819" spans="1:33">
      <c r="A2819" t="s">
        <v>10054</v>
      </c>
      <c r="B2819" t="s">
        <v>10055</v>
      </c>
      <c r="C2819" t="s">
        <v>47</v>
      </c>
      <c r="E2819" t="s">
        <v>9612</v>
      </c>
      <c r="F2819" t="s">
        <v>9613</v>
      </c>
      <c r="G2819">
        <v>25.0</v>
      </c>
      <c r="H2819">
        <v>25.0</v>
      </c>
      <c r="I2819" t="s">
        <v>2206</v>
      </c>
      <c r="J2819" t="s">
        <v>49</v>
      </c>
      <c r="K2819" t="s">
        <v>31</v>
      </c>
      <c r="L2819" t="s">
        <v>32</v>
      </c>
      <c r="M2819" t="s">
        <v>33</v>
      </c>
      <c r="P2819" s="1" t="s">
        <v>10056</v>
      </c>
      <c r="Q2819" s="1" t="s">
        <v>9612</v>
      </c>
      <c r="R2819" s="1" t="s">
        <v>9612</v>
      </c>
      <c r="S2819" s="1"/>
      <c r="T2819" s="1" t="s">
        <v>47</v>
      </c>
      <c r="U2819" s="1"/>
      <c r="V2819" s="1">
        <v>25.0</v>
      </c>
      <c r="W2819" s="1">
        <v>25.0</v>
      </c>
      <c r="X2819" s="1" t="s">
        <v>35</v>
      </c>
      <c r="Y2819" s="1">
        <v>25000.0</v>
      </c>
      <c r="Z2819" s="1"/>
      <c r="AA2819" s="1">
        <v>25000.0</v>
      </c>
      <c r="AB2819" s="1"/>
      <c r="AC2819" s="1" t="s">
        <v>36</v>
      </c>
      <c r="AD2819" s="1" t="s">
        <v>10049</v>
      </c>
      <c r="AE2819" s="1" t="s">
        <v>32</v>
      </c>
      <c r="AF2819" s="1" t="s">
        <v>33</v>
      </c>
      <c r="AG2819" s="1" t="s">
        <v>49</v>
      </c>
    </row>
    <row r="2820" spans="1:33">
      <c r="A2820" t="s">
        <v>10057</v>
      </c>
      <c r="C2820" t="s">
        <v>10058</v>
      </c>
      <c r="E2820" t="s">
        <v>9612</v>
      </c>
      <c r="F2820" t="s">
        <v>9613</v>
      </c>
      <c r="G2820">
        <v>1.22</v>
      </c>
      <c r="H2820">
        <v>1.22</v>
      </c>
      <c r="I2820" t="s">
        <v>94</v>
      </c>
      <c r="J2820" t="s">
        <v>95</v>
      </c>
      <c r="K2820" t="s">
        <v>31</v>
      </c>
      <c r="L2820" t="s">
        <v>32</v>
      </c>
      <c r="M2820" t="s">
        <v>33</v>
      </c>
      <c r="P2820" s="1" t="s">
        <v>10059</v>
      </c>
      <c r="Q2820" s="1" t="s">
        <v>9612</v>
      </c>
      <c r="R2820" s="1" t="s">
        <v>9612</v>
      </c>
      <c r="S2820" s="1"/>
      <c r="T2820" s="1" t="s">
        <v>10058</v>
      </c>
      <c r="U2820" s="1"/>
      <c r="V2820" s="1">
        <v>1.22</v>
      </c>
      <c r="W2820" s="1">
        <v>1.22</v>
      </c>
      <c r="X2820" s="1" t="s">
        <v>35</v>
      </c>
      <c r="Y2820" s="1">
        <v>1220000.0</v>
      </c>
      <c r="Z2820" s="1"/>
      <c r="AA2820" s="1">
        <v>1220000.0</v>
      </c>
      <c r="AB2820" s="1"/>
      <c r="AC2820" s="1" t="s">
        <v>36</v>
      </c>
      <c r="AD2820" s="1" t="s">
        <v>10060</v>
      </c>
      <c r="AE2820" s="1" t="s">
        <v>32</v>
      </c>
      <c r="AF2820" s="1" t="s">
        <v>33</v>
      </c>
      <c r="AG2820" s="1" t="s">
        <v>95</v>
      </c>
    </row>
    <row r="2821" spans="1:33">
      <c r="A2821" t="s">
        <v>10061</v>
      </c>
      <c r="B2821" t="s">
        <v>9175</v>
      </c>
      <c r="C2821" t="s">
        <v>314</v>
      </c>
      <c r="E2821" t="s">
        <v>9612</v>
      </c>
      <c r="F2821" t="s">
        <v>9613</v>
      </c>
      <c r="G2821">
        <v>102.2</v>
      </c>
      <c r="H2821">
        <v>102.2</v>
      </c>
      <c r="I2821" t="s">
        <v>179</v>
      </c>
      <c r="J2821" t="s">
        <v>180</v>
      </c>
      <c r="K2821" t="s">
        <v>31</v>
      </c>
      <c r="L2821" t="s">
        <v>32</v>
      </c>
      <c r="M2821" t="s">
        <v>33</v>
      </c>
      <c r="P2821" s="1" t="s">
        <v>10062</v>
      </c>
      <c r="Q2821" s="1" t="s">
        <v>9612</v>
      </c>
      <c r="R2821" s="1" t="s">
        <v>9612</v>
      </c>
      <c r="S2821" s="1"/>
      <c r="T2821" s="1" t="s">
        <v>314</v>
      </c>
      <c r="U2821" s="1"/>
      <c r="V2821" s="1">
        <v>102.2</v>
      </c>
      <c r="W2821" s="1">
        <v>102.2</v>
      </c>
      <c r="X2821" s="1" t="s">
        <v>35</v>
      </c>
      <c r="Y2821" s="1">
        <v>102200.0</v>
      </c>
      <c r="Z2821" s="1"/>
      <c r="AA2821" s="1">
        <v>102200.0</v>
      </c>
      <c r="AB2821" s="1"/>
      <c r="AC2821" s="1" t="s">
        <v>36</v>
      </c>
      <c r="AD2821" s="1" t="s">
        <v>10063</v>
      </c>
      <c r="AE2821" s="1" t="s">
        <v>32</v>
      </c>
      <c r="AF2821" s="1" t="s">
        <v>33</v>
      </c>
      <c r="AG2821" s="1" t="s">
        <v>180</v>
      </c>
    </row>
    <row r="2822" spans="1:33">
      <c r="A2822" t="s">
        <v>10064</v>
      </c>
      <c r="C2822" t="s">
        <v>1424</v>
      </c>
      <c r="E2822" t="s">
        <v>9612</v>
      </c>
      <c r="F2822" t="s">
        <v>9613</v>
      </c>
      <c r="G2822">
        <v>477.5</v>
      </c>
      <c r="H2822">
        <v>477.5</v>
      </c>
      <c r="I2822" t="s">
        <v>126</v>
      </c>
      <c r="J2822" t="s">
        <v>127</v>
      </c>
      <c r="K2822" t="s">
        <v>31</v>
      </c>
      <c r="L2822" t="s">
        <v>32</v>
      </c>
      <c r="M2822" t="s">
        <v>33</v>
      </c>
      <c r="P2822" s="1" t="s">
        <v>10065</v>
      </c>
      <c r="Q2822" s="1" t="s">
        <v>9612</v>
      </c>
      <c r="R2822" s="1" t="s">
        <v>9612</v>
      </c>
      <c r="S2822" s="1"/>
      <c r="T2822" s="1" t="s">
        <v>1424</v>
      </c>
      <c r="U2822" s="1"/>
      <c r="V2822" s="1">
        <v>477.5</v>
      </c>
      <c r="W2822" s="1">
        <v>477.5</v>
      </c>
      <c r="X2822" s="1" t="s">
        <v>35</v>
      </c>
      <c r="Y2822" s="1">
        <v>477500.0</v>
      </c>
      <c r="Z2822" s="1"/>
      <c r="AA2822" s="1">
        <v>477500.0</v>
      </c>
      <c r="AB2822" s="1"/>
      <c r="AC2822" s="1" t="s">
        <v>36</v>
      </c>
      <c r="AD2822" s="1" t="s">
        <v>10063</v>
      </c>
      <c r="AE2822" s="1" t="s">
        <v>32</v>
      </c>
      <c r="AF2822" s="1" t="s">
        <v>33</v>
      </c>
      <c r="AG2822" s="1" t="s">
        <v>127</v>
      </c>
    </row>
    <row r="2823" spans="1:33">
      <c r="A2823" t="s">
        <v>10066</v>
      </c>
      <c r="C2823" t="s">
        <v>517</v>
      </c>
      <c r="E2823" t="s">
        <v>9612</v>
      </c>
      <c r="F2823" t="s">
        <v>9613</v>
      </c>
      <c r="G2823">
        <v>420.0</v>
      </c>
      <c r="H2823">
        <v>420.0</v>
      </c>
      <c r="I2823" t="s">
        <v>126</v>
      </c>
      <c r="J2823" t="s">
        <v>127</v>
      </c>
      <c r="K2823" t="s">
        <v>31</v>
      </c>
      <c r="L2823" t="s">
        <v>32</v>
      </c>
      <c r="M2823" t="s">
        <v>33</v>
      </c>
      <c r="P2823" s="1" t="s">
        <v>10067</v>
      </c>
      <c r="Q2823" s="1" t="s">
        <v>9612</v>
      </c>
      <c r="R2823" s="1" t="s">
        <v>9612</v>
      </c>
      <c r="S2823" s="1"/>
      <c r="T2823" s="1" t="s">
        <v>517</v>
      </c>
      <c r="U2823" s="1"/>
      <c r="V2823" s="1">
        <v>420.0</v>
      </c>
      <c r="W2823" s="1">
        <v>420.0</v>
      </c>
      <c r="X2823" s="1" t="s">
        <v>35</v>
      </c>
      <c r="Y2823" s="1">
        <v>420000.0</v>
      </c>
      <c r="Z2823" s="1"/>
      <c r="AA2823" s="1">
        <v>350000.0</v>
      </c>
      <c r="AB2823" s="1">
        <v>70000</v>
      </c>
      <c r="AC2823" s="1" t="s">
        <v>36</v>
      </c>
      <c r="AD2823" s="1" t="s">
        <v>10068</v>
      </c>
      <c r="AE2823" s="1" t="s">
        <v>32</v>
      </c>
      <c r="AF2823" s="1" t="s">
        <v>33</v>
      </c>
      <c r="AG2823" s="1" t="s">
        <v>127</v>
      </c>
    </row>
    <row r="2824" spans="1:33">
      <c r="A2824" t="s">
        <v>10069</v>
      </c>
      <c r="C2824" t="s">
        <v>1468</v>
      </c>
      <c r="E2824" t="s">
        <v>9612</v>
      </c>
      <c r="F2824" t="s">
        <v>9613</v>
      </c>
      <c r="G2824">
        <v>328.0</v>
      </c>
      <c r="H2824">
        <v>328.0</v>
      </c>
      <c r="I2824" t="s">
        <v>269</v>
      </c>
      <c r="J2824" t="s">
        <v>270</v>
      </c>
      <c r="K2824" t="s">
        <v>31</v>
      </c>
      <c r="L2824" t="s">
        <v>32</v>
      </c>
      <c r="M2824" t="s">
        <v>33</v>
      </c>
      <c r="P2824" s="1" t="s">
        <v>10070</v>
      </c>
      <c r="Q2824" s="1" t="s">
        <v>9612</v>
      </c>
      <c r="R2824" s="1" t="s">
        <v>9612</v>
      </c>
      <c r="S2824" s="1"/>
      <c r="T2824" s="1" t="s">
        <v>1468</v>
      </c>
      <c r="U2824" s="1"/>
      <c r="V2824" s="1">
        <v>328.0</v>
      </c>
      <c r="W2824" s="1">
        <v>328.0</v>
      </c>
      <c r="X2824" s="1" t="s">
        <v>35</v>
      </c>
      <c r="Y2824" s="1">
        <v>328000.0</v>
      </c>
      <c r="Z2824" s="1"/>
      <c r="AA2824" s="1">
        <v>328000.0</v>
      </c>
      <c r="AB2824" s="1"/>
      <c r="AC2824" s="1" t="s">
        <v>36</v>
      </c>
      <c r="AD2824" s="1" t="s">
        <v>10071</v>
      </c>
      <c r="AE2824" s="1" t="s">
        <v>32</v>
      </c>
      <c r="AF2824" s="1" t="s">
        <v>33</v>
      </c>
      <c r="AG2824" s="1" t="s">
        <v>270</v>
      </c>
    </row>
    <row r="2825" spans="1:33">
      <c r="A2825" t="s">
        <v>10072</v>
      </c>
      <c r="B2825" t="s">
        <v>10073</v>
      </c>
      <c r="C2825" t="s">
        <v>125</v>
      </c>
      <c r="E2825" t="s">
        <v>9612</v>
      </c>
      <c r="F2825" t="s">
        <v>9613</v>
      </c>
      <c r="G2825">
        <v>17.494</v>
      </c>
      <c r="H2825">
        <v>17.494</v>
      </c>
      <c r="I2825" t="s">
        <v>126</v>
      </c>
      <c r="J2825" t="s">
        <v>127</v>
      </c>
      <c r="K2825" t="s">
        <v>31</v>
      </c>
      <c r="L2825" t="s">
        <v>32</v>
      </c>
      <c r="M2825" t="s">
        <v>33</v>
      </c>
      <c r="P2825" s="1" t="s">
        <v>10074</v>
      </c>
      <c r="Q2825" s="1" t="s">
        <v>9612</v>
      </c>
      <c r="R2825" s="1" t="s">
        <v>9612</v>
      </c>
      <c r="S2825" s="1"/>
      <c r="T2825" s="1" t="s">
        <v>125</v>
      </c>
      <c r="U2825" s="1"/>
      <c r="V2825" s="1">
        <v>17.494</v>
      </c>
      <c r="W2825" s="1">
        <v>17.494</v>
      </c>
      <c r="X2825" s="1" t="s">
        <v>35</v>
      </c>
      <c r="Y2825" s="1">
        <v>17494.0</v>
      </c>
      <c r="Z2825" s="1"/>
      <c r="AA2825" s="1">
        <v>17494.0</v>
      </c>
      <c r="AB2825" s="1"/>
      <c r="AC2825" s="1" t="s">
        <v>36</v>
      </c>
      <c r="AD2825" s="1" t="s">
        <v>10075</v>
      </c>
      <c r="AE2825" s="1" t="s">
        <v>32</v>
      </c>
      <c r="AF2825" s="1" t="s">
        <v>33</v>
      </c>
      <c r="AG2825" s="1" t="s">
        <v>127</v>
      </c>
    </row>
    <row r="2826" spans="1:33">
      <c r="A2826" t="s">
        <v>10076</v>
      </c>
      <c r="B2826" t="s">
        <v>10077</v>
      </c>
      <c r="C2826" t="s">
        <v>314</v>
      </c>
      <c r="E2826" t="s">
        <v>9612</v>
      </c>
      <c r="F2826" t="s">
        <v>9613</v>
      </c>
      <c r="G2826">
        <v>96.76</v>
      </c>
      <c r="H2826">
        <v>96.76</v>
      </c>
      <c r="I2826" t="s">
        <v>179</v>
      </c>
      <c r="J2826" t="s">
        <v>180</v>
      </c>
      <c r="K2826" t="s">
        <v>31</v>
      </c>
      <c r="L2826" t="s">
        <v>32</v>
      </c>
      <c r="M2826" t="s">
        <v>33</v>
      </c>
      <c r="P2826" s="1" t="s">
        <v>10078</v>
      </c>
      <c r="Q2826" s="1" t="s">
        <v>9612</v>
      </c>
      <c r="R2826" s="1" t="s">
        <v>9612</v>
      </c>
      <c r="S2826" s="1"/>
      <c r="T2826" s="1" t="s">
        <v>314</v>
      </c>
      <c r="U2826" s="1"/>
      <c r="V2826" s="1">
        <v>96.76</v>
      </c>
      <c r="W2826" s="1">
        <v>96.76</v>
      </c>
      <c r="X2826" s="1" t="s">
        <v>35</v>
      </c>
      <c r="Y2826" s="1">
        <v>96760.0</v>
      </c>
      <c r="Z2826" s="1"/>
      <c r="AA2826" s="1">
        <v>96760.0</v>
      </c>
      <c r="AB2826" s="1"/>
      <c r="AC2826" s="1" t="s">
        <v>36</v>
      </c>
      <c r="AD2826" s="1" t="s">
        <v>10079</v>
      </c>
      <c r="AE2826" s="1" t="s">
        <v>32</v>
      </c>
      <c r="AF2826" s="1" t="s">
        <v>33</v>
      </c>
      <c r="AG2826" s="1" t="s">
        <v>180</v>
      </c>
    </row>
    <row r="2827" spans="1:33">
      <c r="A2827" t="s">
        <v>10080</v>
      </c>
      <c r="B2827" t="s">
        <v>3600</v>
      </c>
      <c r="C2827" t="s">
        <v>569</v>
      </c>
      <c r="E2827" t="s">
        <v>9612</v>
      </c>
      <c r="F2827" t="s">
        <v>9613</v>
      </c>
      <c r="G2827">
        <v>109.226</v>
      </c>
      <c r="H2827">
        <v>109.226</v>
      </c>
      <c r="I2827" t="s">
        <v>570</v>
      </c>
      <c r="J2827" t="s">
        <v>571</v>
      </c>
      <c r="K2827" t="s">
        <v>31</v>
      </c>
      <c r="L2827" t="s">
        <v>32</v>
      </c>
      <c r="M2827" t="s">
        <v>33</v>
      </c>
      <c r="P2827" s="1" t="s">
        <v>10081</v>
      </c>
      <c r="Q2827" s="1" t="s">
        <v>9612</v>
      </c>
      <c r="R2827" s="1" t="s">
        <v>9612</v>
      </c>
      <c r="S2827" s="1"/>
      <c r="T2827" s="1" t="s">
        <v>569</v>
      </c>
      <c r="U2827" s="1"/>
      <c r="V2827" s="1">
        <v>109.226</v>
      </c>
      <c r="W2827" s="1">
        <v>109.226</v>
      </c>
      <c r="X2827" s="1" t="s">
        <v>35</v>
      </c>
      <c r="Y2827" s="1">
        <v>109226.0</v>
      </c>
      <c r="Z2827" s="1"/>
      <c r="AA2827" s="1">
        <v>109226.0</v>
      </c>
      <c r="AB2827" s="1"/>
      <c r="AC2827" s="1" t="s">
        <v>36</v>
      </c>
      <c r="AD2827" s="1" t="s">
        <v>10082</v>
      </c>
      <c r="AE2827" s="1" t="s">
        <v>32</v>
      </c>
      <c r="AF2827" s="1" t="s">
        <v>33</v>
      </c>
      <c r="AG2827" s="1" t="s">
        <v>571</v>
      </c>
    </row>
    <row r="2828" spans="1:33">
      <c r="A2828" t="s">
        <v>10083</v>
      </c>
      <c r="B2828" t="s">
        <v>10084</v>
      </c>
      <c r="C2828" t="s">
        <v>68</v>
      </c>
      <c r="E2828" t="s">
        <v>9612</v>
      </c>
      <c r="F2828" t="s">
        <v>9613</v>
      </c>
      <c r="G2828">
        <v>34.49</v>
      </c>
      <c r="H2828">
        <v>34.49</v>
      </c>
      <c r="I2828" t="s">
        <v>59</v>
      </c>
      <c r="J2828" t="s">
        <v>60</v>
      </c>
      <c r="K2828" t="s">
        <v>31</v>
      </c>
      <c r="L2828" t="s">
        <v>32</v>
      </c>
      <c r="M2828" t="s">
        <v>33</v>
      </c>
      <c r="P2828" s="1" t="s">
        <v>10085</v>
      </c>
      <c r="Q2828" s="1" t="s">
        <v>9612</v>
      </c>
      <c r="R2828" s="1" t="s">
        <v>9612</v>
      </c>
      <c r="S2828" s="1"/>
      <c r="T2828" s="1" t="s">
        <v>68</v>
      </c>
      <c r="U2828" s="1"/>
      <c r="V2828" s="1">
        <v>34.49</v>
      </c>
      <c r="W2828" s="1">
        <v>34.49</v>
      </c>
      <c r="X2828" s="1" t="s">
        <v>35</v>
      </c>
      <c r="Y2828" s="1">
        <v>34490.0</v>
      </c>
      <c r="Z2828" s="1"/>
      <c r="AA2828" s="1">
        <v>34490.0</v>
      </c>
      <c r="AB2828" s="1"/>
      <c r="AC2828" s="1" t="s">
        <v>36</v>
      </c>
      <c r="AD2828" s="1" t="s">
        <v>10086</v>
      </c>
      <c r="AE2828" s="1" t="s">
        <v>32</v>
      </c>
      <c r="AF2828" s="1" t="s">
        <v>33</v>
      </c>
      <c r="AG2828" s="1" t="s">
        <v>60</v>
      </c>
    </row>
    <row r="2829" spans="1:33">
      <c r="A2829" t="s">
        <v>10087</v>
      </c>
      <c r="C2829" t="s">
        <v>10088</v>
      </c>
      <c r="E2829" t="s">
        <v>9612</v>
      </c>
      <c r="F2829" t="s">
        <v>9613</v>
      </c>
      <c r="G2829">
        <v>383.04</v>
      </c>
      <c r="H2829">
        <v>383.04</v>
      </c>
      <c r="I2829" t="s">
        <v>179</v>
      </c>
      <c r="J2829" t="s">
        <v>180</v>
      </c>
      <c r="K2829" t="s">
        <v>31</v>
      </c>
      <c r="L2829" t="s">
        <v>32</v>
      </c>
      <c r="M2829" t="s">
        <v>33</v>
      </c>
      <c r="P2829" s="1" t="s">
        <v>10089</v>
      </c>
      <c r="Q2829" s="1" t="s">
        <v>9612</v>
      </c>
      <c r="R2829" s="1" t="s">
        <v>9612</v>
      </c>
      <c r="S2829" s="1"/>
      <c r="T2829" s="1" t="s">
        <v>10088</v>
      </c>
      <c r="U2829" s="1"/>
      <c r="V2829" s="1">
        <v>383.04</v>
      </c>
      <c r="W2829" s="1">
        <v>383.04</v>
      </c>
      <c r="X2829" s="1" t="s">
        <v>35</v>
      </c>
      <c r="Y2829" s="1">
        <v>383040.0</v>
      </c>
      <c r="Z2829" s="1"/>
      <c r="AA2829" s="1">
        <v>383040.0</v>
      </c>
      <c r="AB2829" s="1"/>
      <c r="AC2829" s="1" t="s">
        <v>36</v>
      </c>
      <c r="AD2829" s="1" t="s">
        <v>10090</v>
      </c>
      <c r="AE2829" s="1" t="s">
        <v>32</v>
      </c>
      <c r="AF2829" s="1" t="s">
        <v>33</v>
      </c>
      <c r="AG2829" s="1" t="s">
        <v>180</v>
      </c>
    </row>
    <row r="2830" spans="1:33">
      <c r="A2830" t="s">
        <v>10091</v>
      </c>
      <c r="C2830" t="s">
        <v>3689</v>
      </c>
      <c r="E2830" t="s">
        <v>9612</v>
      </c>
      <c r="F2830" t="s">
        <v>9613</v>
      </c>
      <c r="G2830">
        <v>528.0</v>
      </c>
      <c r="H2830">
        <v>528.0</v>
      </c>
      <c r="I2830" t="s">
        <v>179</v>
      </c>
      <c r="J2830" t="s">
        <v>180</v>
      </c>
      <c r="K2830" t="s">
        <v>31</v>
      </c>
      <c r="L2830" t="s">
        <v>32</v>
      </c>
      <c r="M2830" t="s">
        <v>33</v>
      </c>
      <c r="P2830" s="1" t="s">
        <v>10092</v>
      </c>
      <c r="Q2830" s="1" t="s">
        <v>9612</v>
      </c>
      <c r="R2830" s="1" t="s">
        <v>9612</v>
      </c>
      <c r="S2830" s="1"/>
      <c r="T2830" s="1" t="s">
        <v>3689</v>
      </c>
      <c r="U2830" s="1"/>
      <c r="V2830" s="1">
        <v>528.0</v>
      </c>
      <c r="W2830" s="1">
        <v>528.0</v>
      </c>
      <c r="X2830" s="1" t="s">
        <v>35</v>
      </c>
      <c r="Y2830" s="1">
        <v>528000.0</v>
      </c>
      <c r="Z2830" s="1"/>
      <c r="AA2830" s="1">
        <v>528000.0</v>
      </c>
      <c r="AB2830" s="1"/>
      <c r="AC2830" s="1" t="s">
        <v>36</v>
      </c>
      <c r="AD2830" s="1" t="s">
        <v>10093</v>
      </c>
      <c r="AE2830" s="1" t="s">
        <v>32</v>
      </c>
      <c r="AF2830" s="1" t="s">
        <v>33</v>
      </c>
      <c r="AG2830" s="1" t="s">
        <v>180</v>
      </c>
    </row>
    <row r="2831" spans="1:33">
      <c r="A2831" t="s">
        <v>10094</v>
      </c>
      <c r="C2831" t="s">
        <v>135</v>
      </c>
      <c r="E2831" t="s">
        <v>9612</v>
      </c>
      <c r="F2831" t="s">
        <v>9613</v>
      </c>
      <c r="G2831">
        <v>74.05</v>
      </c>
      <c r="H2831">
        <v>74.05</v>
      </c>
      <c r="I2831" t="s">
        <v>136</v>
      </c>
      <c r="J2831" t="s">
        <v>137</v>
      </c>
      <c r="K2831" t="s">
        <v>31</v>
      </c>
      <c r="L2831" t="s">
        <v>32</v>
      </c>
      <c r="M2831" t="s">
        <v>33</v>
      </c>
      <c r="P2831" s="1" t="s">
        <v>10095</v>
      </c>
      <c r="Q2831" s="1" t="s">
        <v>9612</v>
      </c>
      <c r="R2831" s="1" t="s">
        <v>9612</v>
      </c>
      <c r="S2831" s="1"/>
      <c r="T2831" s="1" t="s">
        <v>135</v>
      </c>
      <c r="U2831" s="1"/>
      <c r="V2831" s="1">
        <v>74.05</v>
      </c>
      <c r="W2831" s="1">
        <v>74.05</v>
      </c>
      <c r="X2831" s="1" t="s">
        <v>35</v>
      </c>
      <c r="Y2831" s="1">
        <v>74050.0</v>
      </c>
      <c r="Z2831" s="1"/>
      <c r="AA2831" s="1">
        <v>74050.0</v>
      </c>
      <c r="AB2831" s="1"/>
      <c r="AC2831" s="1" t="s">
        <v>36</v>
      </c>
      <c r="AD2831" s="1" t="s">
        <v>10096</v>
      </c>
      <c r="AE2831" s="1" t="s">
        <v>32</v>
      </c>
      <c r="AF2831" s="1" t="s">
        <v>33</v>
      </c>
      <c r="AG2831" s="1" t="s">
        <v>137</v>
      </c>
    </row>
    <row r="2832" spans="1:33">
      <c r="A2832" t="s">
        <v>10097</v>
      </c>
      <c r="C2832" t="s">
        <v>1024</v>
      </c>
      <c r="E2832" t="s">
        <v>9612</v>
      </c>
      <c r="F2832" t="s">
        <v>9613</v>
      </c>
      <c r="G2832">
        <v>326.0</v>
      </c>
      <c r="H2832">
        <v>326.0</v>
      </c>
      <c r="I2832" t="s">
        <v>847</v>
      </c>
      <c r="J2832" t="s">
        <v>848</v>
      </c>
      <c r="K2832" t="s">
        <v>31</v>
      </c>
      <c r="L2832" t="s">
        <v>32</v>
      </c>
      <c r="M2832" t="s">
        <v>33</v>
      </c>
      <c r="P2832" s="1" t="s">
        <v>10098</v>
      </c>
      <c r="Q2832" s="1" t="s">
        <v>9612</v>
      </c>
      <c r="R2832" s="1" t="s">
        <v>9612</v>
      </c>
      <c r="S2832" s="1"/>
      <c r="T2832" s="1" t="s">
        <v>1024</v>
      </c>
      <c r="U2832" s="1"/>
      <c r="V2832" s="1">
        <v>326.0</v>
      </c>
      <c r="W2832" s="1">
        <v>326.0</v>
      </c>
      <c r="X2832" s="1" t="s">
        <v>35</v>
      </c>
      <c r="Y2832" s="1">
        <v>652000.0</v>
      </c>
      <c r="Z2832" s="1">
        <v>-326000</v>
      </c>
      <c r="AA2832" s="1">
        <v>652000.0</v>
      </c>
      <c r="AB2832" s="1">
        <v>-326000</v>
      </c>
      <c r="AC2832" s="1" t="s">
        <v>36</v>
      </c>
      <c r="AD2832" s="1" t="s">
        <v>10099</v>
      </c>
      <c r="AE2832" s="1" t="s">
        <v>32</v>
      </c>
      <c r="AF2832" s="1" t="s">
        <v>33</v>
      </c>
      <c r="AG2832" s="1" t="s">
        <v>848</v>
      </c>
    </row>
    <row r="2833" spans="1:33">
      <c r="A2833" t="s">
        <v>10100</v>
      </c>
      <c r="C2833" t="s">
        <v>2989</v>
      </c>
      <c r="E2833" t="s">
        <v>9612</v>
      </c>
      <c r="F2833" t="s">
        <v>9613</v>
      </c>
      <c r="G2833">
        <v>1.982</v>
      </c>
      <c r="H2833">
        <v>1.982</v>
      </c>
      <c r="I2833" t="s">
        <v>136</v>
      </c>
      <c r="J2833" t="s">
        <v>137</v>
      </c>
      <c r="K2833" t="s">
        <v>31</v>
      </c>
      <c r="L2833" t="s">
        <v>32</v>
      </c>
      <c r="M2833" t="s">
        <v>33</v>
      </c>
      <c r="P2833" s="1" t="s">
        <v>10101</v>
      </c>
      <c r="Q2833" s="1" t="s">
        <v>9612</v>
      </c>
      <c r="R2833" s="1" t="s">
        <v>9612</v>
      </c>
      <c r="S2833" s="1"/>
      <c r="T2833" s="1" t="s">
        <v>2991</v>
      </c>
      <c r="U2833" s="1" t="s">
        <v>2992</v>
      </c>
      <c r="V2833" s="1">
        <v>1.982</v>
      </c>
      <c r="W2833" s="1">
        <v>1.982</v>
      </c>
      <c r="X2833" s="1" t="s">
        <v>35</v>
      </c>
      <c r="Y2833" s="1">
        <v>1982000.0</v>
      </c>
      <c r="Z2833" s="1"/>
      <c r="AA2833" s="1">
        <v>1982000.0</v>
      </c>
      <c r="AB2833" s="1"/>
      <c r="AC2833" s="1" t="s">
        <v>36</v>
      </c>
      <c r="AD2833" s="1" t="s">
        <v>10102</v>
      </c>
      <c r="AE2833" s="1" t="s">
        <v>32</v>
      </c>
      <c r="AF2833" s="1" t="s">
        <v>33</v>
      </c>
      <c r="AG2833" s="1" t="s">
        <v>137</v>
      </c>
    </row>
    <row r="2834" spans="1:33">
      <c r="A2834" t="s">
        <v>10103</v>
      </c>
      <c r="C2834" t="s">
        <v>2737</v>
      </c>
      <c r="E2834" t="s">
        <v>9612</v>
      </c>
      <c r="F2834" t="s">
        <v>9613</v>
      </c>
      <c r="G2834">
        <v>85.0</v>
      </c>
      <c r="H2834">
        <v>85.0</v>
      </c>
      <c r="I2834" t="s">
        <v>136</v>
      </c>
      <c r="J2834" t="s">
        <v>137</v>
      </c>
      <c r="K2834" t="s">
        <v>31</v>
      </c>
      <c r="L2834" t="s">
        <v>32</v>
      </c>
      <c r="M2834" t="s">
        <v>33</v>
      </c>
      <c r="P2834" s="1" t="s">
        <v>10104</v>
      </c>
      <c r="Q2834" s="1" t="s">
        <v>9612</v>
      </c>
      <c r="R2834" s="1" t="s">
        <v>9612</v>
      </c>
      <c r="S2834" s="1"/>
      <c r="T2834" s="1" t="s">
        <v>2737</v>
      </c>
      <c r="U2834" s="1"/>
      <c r="V2834" s="1">
        <v>85.0</v>
      </c>
      <c r="W2834" s="1">
        <v>85.0</v>
      </c>
      <c r="X2834" s="1" t="s">
        <v>35</v>
      </c>
      <c r="Y2834" s="1">
        <v>85000.0</v>
      </c>
      <c r="Z2834" s="1"/>
      <c r="AA2834" s="1">
        <v>85000.0</v>
      </c>
      <c r="AB2834" s="1"/>
      <c r="AC2834" s="1" t="s">
        <v>36</v>
      </c>
      <c r="AD2834" s="1" t="s">
        <v>10105</v>
      </c>
      <c r="AE2834" s="1" t="s">
        <v>32</v>
      </c>
      <c r="AF2834" s="1" t="s">
        <v>33</v>
      </c>
      <c r="AG2834" s="1" t="s">
        <v>137</v>
      </c>
    </row>
    <row r="2835" spans="1:33">
      <c r="A2835" t="s">
        <v>10106</v>
      </c>
      <c r="C2835" t="s">
        <v>10107</v>
      </c>
      <c r="D2835" t="s">
        <v>114</v>
      </c>
      <c r="E2835" t="s">
        <v>9612</v>
      </c>
      <c r="F2835" t="s">
        <v>9613</v>
      </c>
      <c r="G2835">
        <v>225.0</v>
      </c>
      <c r="H2835">
        <v>225.0</v>
      </c>
      <c r="I2835" t="s">
        <v>40</v>
      </c>
      <c r="J2835" t="s">
        <v>41</v>
      </c>
      <c r="K2835" t="s">
        <v>31</v>
      </c>
      <c r="L2835" t="s">
        <v>32</v>
      </c>
      <c r="M2835" t="s">
        <v>33</v>
      </c>
      <c r="P2835" s="1" t="s">
        <v>10108</v>
      </c>
      <c r="Q2835" s="1" t="s">
        <v>9612</v>
      </c>
      <c r="R2835" s="1" t="s">
        <v>9112</v>
      </c>
      <c r="S2835" s="1"/>
      <c r="T2835" s="1" t="s">
        <v>10107</v>
      </c>
      <c r="U2835" s="1"/>
      <c r="V2835" s="1">
        <v>225.0</v>
      </c>
      <c r="W2835" s="1">
        <v>225.0</v>
      </c>
      <c r="X2835" s="1" t="s">
        <v>35</v>
      </c>
      <c r="Y2835" s="1">
        <v>225000.0</v>
      </c>
      <c r="Z2835" s="1"/>
      <c r="AA2835" s="1">
        <v>225000.0</v>
      </c>
      <c r="AB2835" s="1"/>
      <c r="AC2835" s="1" t="s">
        <v>36</v>
      </c>
      <c r="AD2835" s="1" t="s">
        <v>10109</v>
      </c>
      <c r="AE2835" s="1" t="s">
        <v>32</v>
      </c>
      <c r="AF2835" s="1" t="s">
        <v>33</v>
      </c>
      <c r="AG2835" s="1" t="s">
        <v>41</v>
      </c>
    </row>
    <row r="2836" spans="1:33">
      <c r="A2836" t="s">
        <v>10110</v>
      </c>
      <c r="B2836" t="s">
        <v>10111</v>
      </c>
      <c r="C2836" t="s">
        <v>131</v>
      </c>
      <c r="E2836" t="s">
        <v>9612</v>
      </c>
      <c r="F2836" t="s">
        <v>9613</v>
      </c>
      <c r="G2836">
        <v>113.27</v>
      </c>
      <c r="H2836">
        <v>113.27</v>
      </c>
      <c r="I2836" t="s">
        <v>94</v>
      </c>
      <c r="J2836" t="s">
        <v>95</v>
      </c>
      <c r="K2836" t="s">
        <v>31</v>
      </c>
      <c r="L2836" t="s">
        <v>32</v>
      </c>
      <c r="M2836" t="s">
        <v>33</v>
      </c>
      <c r="P2836" s="1" t="s">
        <v>10112</v>
      </c>
      <c r="Q2836" s="1" t="s">
        <v>9612</v>
      </c>
      <c r="R2836" s="1" t="s">
        <v>9612</v>
      </c>
      <c r="S2836" s="1"/>
      <c r="T2836" s="1" t="s">
        <v>131</v>
      </c>
      <c r="U2836" s="1"/>
      <c r="V2836" s="1">
        <v>113.27</v>
      </c>
      <c r="W2836" s="1">
        <v>113.27</v>
      </c>
      <c r="X2836" s="1" t="s">
        <v>35</v>
      </c>
      <c r="Y2836" s="1">
        <v>113270.0</v>
      </c>
      <c r="Z2836" s="1"/>
      <c r="AA2836" s="1">
        <v>113270.0</v>
      </c>
      <c r="AB2836" s="1"/>
      <c r="AC2836" s="1" t="s">
        <v>36</v>
      </c>
      <c r="AD2836" s="1" t="s">
        <v>10113</v>
      </c>
      <c r="AE2836" s="1" t="s">
        <v>32</v>
      </c>
      <c r="AF2836" s="1" t="s">
        <v>33</v>
      </c>
      <c r="AG2836" s="1" t="s">
        <v>95</v>
      </c>
    </row>
    <row r="2837" spans="1:33">
      <c r="A2837" t="s">
        <v>10114</v>
      </c>
      <c r="B2837" t="s">
        <v>9999</v>
      </c>
      <c r="C2837" t="s">
        <v>314</v>
      </c>
      <c r="E2837" t="s">
        <v>9612</v>
      </c>
      <c r="F2837" t="s">
        <v>9613</v>
      </c>
      <c r="G2837">
        <v>54.33</v>
      </c>
      <c r="H2837">
        <v>54.33</v>
      </c>
      <c r="I2837" t="s">
        <v>179</v>
      </c>
      <c r="J2837" t="s">
        <v>180</v>
      </c>
      <c r="K2837" t="s">
        <v>31</v>
      </c>
      <c r="L2837" t="s">
        <v>32</v>
      </c>
      <c r="M2837" t="s">
        <v>33</v>
      </c>
      <c r="P2837" s="1" t="s">
        <v>10115</v>
      </c>
      <c r="Q2837" s="1" t="s">
        <v>9612</v>
      </c>
      <c r="R2837" s="1" t="s">
        <v>9612</v>
      </c>
      <c r="S2837" s="1"/>
      <c r="T2837" s="1" t="s">
        <v>314</v>
      </c>
      <c r="U2837" s="1"/>
      <c r="V2837" s="1">
        <v>54.33</v>
      </c>
      <c r="W2837" s="1">
        <v>54.33</v>
      </c>
      <c r="X2837" s="1" t="s">
        <v>35</v>
      </c>
      <c r="Y2837" s="1">
        <v>54330.0</v>
      </c>
      <c r="Z2837" s="1"/>
      <c r="AA2837" s="1">
        <v>54330.0</v>
      </c>
      <c r="AB2837" s="1"/>
      <c r="AC2837" s="1" t="s">
        <v>36</v>
      </c>
      <c r="AD2837" s="1" t="s">
        <v>10116</v>
      </c>
      <c r="AE2837" s="1" t="s">
        <v>32</v>
      </c>
      <c r="AF2837" s="1" t="s">
        <v>33</v>
      </c>
      <c r="AG2837" s="1" t="s">
        <v>180</v>
      </c>
    </row>
    <row r="2838" spans="1:33">
      <c r="A2838" t="s">
        <v>10117</v>
      </c>
      <c r="B2838" t="s">
        <v>10118</v>
      </c>
      <c r="C2838" t="s">
        <v>131</v>
      </c>
      <c r="E2838" t="s">
        <v>9612</v>
      </c>
      <c r="F2838" t="s">
        <v>9613</v>
      </c>
      <c r="G2838">
        <v>20.49</v>
      </c>
      <c r="H2838">
        <v>20.49</v>
      </c>
      <c r="I2838" t="s">
        <v>94</v>
      </c>
      <c r="J2838" t="s">
        <v>95</v>
      </c>
      <c r="K2838" t="s">
        <v>31</v>
      </c>
      <c r="L2838" t="s">
        <v>32</v>
      </c>
      <c r="M2838" t="s">
        <v>33</v>
      </c>
      <c r="P2838" s="1" t="s">
        <v>10119</v>
      </c>
      <c r="Q2838" s="1" t="s">
        <v>9612</v>
      </c>
      <c r="R2838" s="1" t="s">
        <v>9612</v>
      </c>
      <c r="S2838" s="1"/>
      <c r="T2838" s="1" t="s">
        <v>131</v>
      </c>
      <c r="U2838" s="1"/>
      <c r="V2838" s="1">
        <v>20.49</v>
      </c>
      <c r="W2838" s="1">
        <v>20.49</v>
      </c>
      <c r="X2838" s="1" t="s">
        <v>35</v>
      </c>
      <c r="Y2838" s="1">
        <v>20490.0</v>
      </c>
      <c r="Z2838" s="1"/>
      <c r="AA2838" s="1">
        <v>20490.0</v>
      </c>
      <c r="AB2838" s="1"/>
      <c r="AC2838" s="1" t="s">
        <v>36</v>
      </c>
      <c r="AD2838" s="1" t="s">
        <v>10120</v>
      </c>
      <c r="AE2838" s="1" t="s">
        <v>32</v>
      </c>
      <c r="AF2838" s="1" t="s">
        <v>33</v>
      </c>
      <c r="AG2838" s="1" t="s">
        <v>95</v>
      </c>
    </row>
    <row r="2839" spans="1:33">
      <c r="A2839" t="s">
        <v>10121</v>
      </c>
      <c r="C2839" t="s">
        <v>827</v>
      </c>
      <c r="D2839" t="s">
        <v>154</v>
      </c>
      <c r="E2839" t="s">
        <v>9612</v>
      </c>
      <c r="F2839" t="s">
        <v>9613</v>
      </c>
      <c r="G2839">
        <v>45.0</v>
      </c>
      <c r="H2839">
        <v>45.0</v>
      </c>
      <c r="I2839" t="s">
        <v>269</v>
      </c>
      <c r="J2839" t="s">
        <v>270</v>
      </c>
      <c r="K2839" t="s">
        <v>31</v>
      </c>
      <c r="L2839" t="s">
        <v>32</v>
      </c>
      <c r="M2839" t="s">
        <v>33</v>
      </c>
      <c r="P2839" s="1" t="s">
        <v>10122</v>
      </c>
      <c r="Q2839" s="1" t="s">
        <v>9612</v>
      </c>
      <c r="R2839" s="1" t="s">
        <v>9612</v>
      </c>
      <c r="S2839" s="1"/>
      <c r="T2839" s="1" t="s">
        <v>827</v>
      </c>
      <c r="U2839" s="1"/>
      <c r="V2839" s="1">
        <v>45.0</v>
      </c>
      <c r="W2839" s="1">
        <v>45.0</v>
      </c>
      <c r="X2839" s="1" t="s">
        <v>35</v>
      </c>
      <c r="Y2839" s="1">
        <v>45000.0</v>
      </c>
      <c r="Z2839" s="1"/>
      <c r="AA2839" s="1">
        <v>45000.0</v>
      </c>
      <c r="AB2839" s="1"/>
      <c r="AC2839" s="1" t="s">
        <v>36</v>
      </c>
      <c r="AD2839" s="1" t="s">
        <v>10123</v>
      </c>
      <c r="AE2839" s="1" t="s">
        <v>32</v>
      </c>
      <c r="AF2839" s="1" t="s">
        <v>33</v>
      </c>
      <c r="AG2839" s="1" t="s">
        <v>270</v>
      </c>
    </row>
    <row r="2840" spans="1:33">
      <c r="A2840" t="s">
        <v>10124</v>
      </c>
      <c r="C2840" t="s">
        <v>695</v>
      </c>
      <c r="D2840" t="s">
        <v>114</v>
      </c>
      <c r="E2840" t="s">
        <v>9612</v>
      </c>
      <c r="F2840" t="s">
        <v>9613</v>
      </c>
      <c r="G2840">
        <v>1.329</v>
      </c>
      <c r="H2840">
        <v>1.329</v>
      </c>
      <c r="I2840" t="s">
        <v>269</v>
      </c>
      <c r="J2840" t="s">
        <v>270</v>
      </c>
      <c r="K2840" t="s">
        <v>31</v>
      </c>
      <c r="L2840" t="s">
        <v>32</v>
      </c>
      <c r="M2840" t="s">
        <v>33</v>
      </c>
      <c r="P2840" s="1" t="s">
        <v>10125</v>
      </c>
      <c r="Q2840" s="1" t="s">
        <v>9612</v>
      </c>
      <c r="R2840" s="1" t="s">
        <v>9612</v>
      </c>
      <c r="S2840" s="1"/>
      <c r="T2840" s="1" t="s">
        <v>695</v>
      </c>
      <c r="U2840" s="1"/>
      <c r="V2840" s="1">
        <v>1.329</v>
      </c>
      <c r="W2840" s="1">
        <v>1.329</v>
      </c>
      <c r="X2840" s="1" t="s">
        <v>35</v>
      </c>
      <c r="Y2840" s="1">
        <v>1329500.0</v>
      </c>
      <c r="Z2840" s="1"/>
      <c r="AA2840" s="1">
        <v>1329500.0</v>
      </c>
      <c r="AB2840" s="1"/>
      <c r="AC2840" s="1" t="s">
        <v>36</v>
      </c>
      <c r="AD2840" s="1" t="s">
        <v>10126</v>
      </c>
      <c r="AE2840" s="1" t="s">
        <v>32</v>
      </c>
      <c r="AF2840" s="1" t="s">
        <v>33</v>
      </c>
      <c r="AG2840" s="1" t="s">
        <v>270</v>
      </c>
    </row>
    <row r="2841" spans="1:33">
      <c r="A2841" t="s">
        <v>10127</v>
      </c>
      <c r="C2841" t="s">
        <v>6986</v>
      </c>
      <c r="D2841" t="s">
        <v>114</v>
      </c>
      <c r="E2841" t="s">
        <v>9612</v>
      </c>
      <c r="F2841" t="s">
        <v>9613</v>
      </c>
      <c r="G2841">
        <v>158.0</v>
      </c>
      <c r="H2841">
        <v>158.0</v>
      </c>
      <c r="I2841" t="s">
        <v>2206</v>
      </c>
      <c r="J2841" t="s">
        <v>49</v>
      </c>
      <c r="K2841" t="s">
        <v>31</v>
      </c>
      <c r="L2841" t="s">
        <v>32</v>
      </c>
      <c r="M2841" t="s">
        <v>33</v>
      </c>
      <c r="P2841" s="1" t="s">
        <v>10128</v>
      </c>
      <c r="Q2841" s="1" t="s">
        <v>9612</v>
      </c>
      <c r="R2841" s="1" t="s">
        <v>9612</v>
      </c>
      <c r="S2841" s="1"/>
      <c r="T2841" s="1" t="s">
        <v>6986</v>
      </c>
      <c r="U2841" s="1"/>
      <c r="V2841" s="1">
        <v>158.0</v>
      </c>
      <c r="W2841" s="1">
        <v>158.0</v>
      </c>
      <c r="X2841" s="1" t="s">
        <v>35</v>
      </c>
      <c r="Y2841" s="1">
        <v>158000.0</v>
      </c>
      <c r="Z2841" s="1"/>
      <c r="AA2841" s="1">
        <v>158000.0</v>
      </c>
      <c r="AB2841" s="1"/>
      <c r="AC2841" s="1" t="s">
        <v>36</v>
      </c>
      <c r="AD2841" s="1" t="s">
        <v>10129</v>
      </c>
      <c r="AE2841" s="1" t="s">
        <v>32</v>
      </c>
      <c r="AF2841" s="1" t="s">
        <v>33</v>
      </c>
      <c r="AG2841" s="1" t="s">
        <v>49</v>
      </c>
    </row>
    <row r="2842" spans="1:33">
      <c r="A2842" t="s">
        <v>10130</v>
      </c>
      <c r="C2842" t="s">
        <v>827</v>
      </c>
      <c r="D2842" t="s">
        <v>154</v>
      </c>
      <c r="E2842" t="s">
        <v>9612</v>
      </c>
      <c r="F2842" t="s">
        <v>9613</v>
      </c>
      <c r="G2842">
        <v>21.0</v>
      </c>
      <c r="H2842">
        <v>21.0</v>
      </c>
      <c r="I2842" t="s">
        <v>269</v>
      </c>
      <c r="J2842" t="s">
        <v>270</v>
      </c>
      <c r="K2842" t="s">
        <v>31</v>
      </c>
      <c r="L2842" t="s">
        <v>32</v>
      </c>
      <c r="M2842" t="s">
        <v>33</v>
      </c>
      <c r="P2842" s="1" t="s">
        <v>10131</v>
      </c>
      <c r="Q2842" s="1" t="s">
        <v>9612</v>
      </c>
      <c r="R2842" s="1" t="s">
        <v>9612</v>
      </c>
      <c r="S2842" s="1"/>
      <c r="T2842" s="1" t="s">
        <v>827</v>
      </c>
      <c r="U2842" s="1"/>
      <c r="V2842" s="1">
        <v>21.0</v>
      </c>
      <c r="W2842" s="1">
        <v>21.0</v>
      </c>
      <c r="X2842" s="1" t="s">
        <v>35</v>
      </c>
      <c r="Y2842" s="1">
        <v>21000.0</v>
      </c>
      <c r="Z2842" s="1"/>
      <c r="AA2842" s="1">
        <v>21000.0</v>
      </c>
      <c r="AB2842" s="1"/>
      <c r="AC2842" s="1" t="s">
        <v>36</v>
      </c>
      <c r="AD2842" s="1" t="s">
        <v>10132</v>
      </c>
      <c r="AE2842" s="1" t="s">
        <v>32</v>
      </c>
      <c r="AF2842" s="1" t="s">
        <v>33</v>
      </c>
      <c r="AG2842" s="1" t="s">
        <v>270</v>
      </c>
    </row>
    <row r="2843" spans="1:33">
      <c r="A2843" t="s">
        <v>10133</v>
      </c>
      <c r="B2843" t="s">
        <v>10134</v>
      </c>
      <c r="C2843" t="s">
        <v>314</v>
      </c>
      <c r="E2843" t="s">
        <v>9612</v>
      </c>
      <c r="F2843" t="s">
        <v>9613</v>
      </c>
      <c r="G2843">
        <v>59.58</v>
      </c>
      <c r="H2843">
        <v>59.58</v>
      </c>
      <c r="I2843" t="s">
        <v>179</v>
      </c>
      <c r="J2843" t="s">
        <v>180</v>
      </c>
      <c r="K2843" t="s">
        <v>31</v>
      </c>
      <c r="L2843" t="s">
        <v>32</v>
      </c>
      <c r="M2843" t="s">
        <v>33</v>
      </c>
      <c r="P2843" s="1" t="s">
        <v>10135</v>
      </c>
      <c r="Q2843" s="1" t="s">
        <v>9612</v>
      </c>
      <c r="R2843" s="1" t="s">
        <v>9612</v>
      </c>
      <c r="S2843" s="1"/>
      <c r="T2843" s="1" t="s">
        <v>314</v>
      </c>
      <c r="U2843" s="1"/>
      <c r="V2843" s="1">
        <v>59.58</v>
      </c>
      <c r="W2843" s="1">
        <v>59.58</v>
      </c>
      <c r="X2843" s="1" t="s">
        <v>35</v>
      </c>
      <c r="Y2843" s="1">
        <v>59580.0</v>
      </c>
      <c r="Z2843" s="1"/>
      <c r="AA2843" s="1">
        <v>59580.0</v>
      </c>
      <c r="AB2843" s="1"/>
      <c r="AC2843" s="1" t="s">
        <v>36</v>
      </c>
      <c r="AD2843" s="1" t="s">
        <v>10136</v>
      </c>
      <c r="AE2843" s="1" t="s">
        <v>32</v>
      </c>
      <c r="AF2843" s="1" t="s">
        <v>33</v>
      </c>
      <c r="AG2843" s="1" t="s">
        <v>180</v>
      </c>
    </row>
    <row r="2844" spans="1:33">
      <c r="A2844" t="s">
        <v>10137</v>
      </c>
      <c r="B2844" t="s">
        <v>10138</v>
      </c>
      <c r="C2844" t="s">
        <v>47</v>
      </c>
      <c r="E2844" t="s">
        <v>9612</v>
      </c>
      <c r="F2844" t="s">
        <v>9613</v>
      </c>
      <c r="G2844">
        <v>35.58</v>
      </c>
      <c r="H2844">
        <v>35.58</v>
      </c>
      <c r="I2844" t="s">
        <v>2206</v>
      </c>
      <c r="J2844" t="s">
        <v>49</v>
      </c>
      <c r="K2844" t="s">
        <v>31</v>
      </c>
      <c r="L2844" t="s">
        <v>32</v>
      </c>
      <c r="M2844" t="s">
        <v>33</v>
      </c>
      <c r="P2844" s="1" t="s">
        <v>10139</v>
      </c>
      <c r="Q2844" s="1" t="s">
        <v>9612</v>
      </c>
      <c r="R2844" s="1" t="s">
        <v>9612</v>
      </c>
      <c r="S2844" s="1"/>
      <c r="T2844" s="1" t="s">
        <v>47</v>
      </c>
      <c r="U2844" s="1"/>
      <c r="V2844" s="1">
        <v>35.58</v>
      </c>
      <c r="W2844" s="1">
        <v>35.58</v>
      </c>
      <c r="X2844" s="1" t="s">
        <v>35</v>
      </c>
      <c r="Y2844" s="1">
        <v>35580.0</v>
      </c>
      <c r="Z2844" s="1"/>
      <c r="AA2844" s="1">
        <v>35580.0</v>
      </c>
      <c r="AB2844" s="1"/>
      <c r="AC2844" s="1" t="s">
        <v>36</v>
      </c>
      <c r="AD2844" s="1" t="s">
        <v>10140</v>
      </c>
      <c r="AE2844" s="1" t="s">
        <v>32</v>
      </c>
      <c r="AF2844" s="1" t="s">
        <v>33</v>
      </c>
      <c r="AG2844" s="1" t="s">
        <v>49</v>
      </c>
    </row>
    <row r="2845" spans="1:33">
      <c r="A2845" t="s">
        <v>10141</v>
      </c>
      <c r="B2845" t="s">
        <v>1182</v>
      </c>
      <c r="C2845" t="s">
        <v>1183</v>
      </c>
      <c r="D2845" t="s">
        <v>114</v>
      </c>
      <c r="E2845" t="s">
        <v>9612</v>
      </c>
      <c r="F2845" t="s">
        <v>9613</v>
      </c>
      <c r="G2845">
        <v>336.0</v>
      </c>
      <c r="H2845">
        <v>336.0</v>
      </c>
      <c r="I2845" t="s">
        <v>29</v>
      </c>
      <c r="J2845" t="s">
        <v>30</v>
      </c>
      <c r="K2845" t="s">
        <v>31</v>
      </c>
      <c r="L2845" t="s">
        <v>32</v>
      </c>
      <c r="M2845" t="s">
        <v>33</v>
      </c>
      <c r="P2845" s="1" t="s">
        <v>10142</v>
      </c>
      <c r="Q2845" s="1" t="s">
        <v>9612</v>
      </c>
      <c r="R2845" s="1" t="s">
        <v>9612</v>
      </c>
      <c r="S2845" s="1"/>
      <c r="T2845" s="1" t="s">
        <v>1185</v>
      </c>
      <c r="U2845" s="1" t="s">
        <v>1186</v>
      </c>
      <c r="V2845" s="1">
        <v>336.0</v>
      </c>
      <c r="W2845" s="1">
        <v>336.0</v>
      </c>
      <c r="X2845" s="1" t="s">
        <v>35</v>
      </c>
      <c r="Y2845" s="1">
        <v>336000.0</v>
      </c>
      <c r="Z2845" s="1"/>
      <c r="AA2845" s="1">
        <v>336000.0</v>
      </c>
      <c r="AB2845" s="1"/>
      <c r="AC2845" s="1" t="s">
        <v>36</v>
      </c>
      <c r="AD2845" s="1" t="s">
        <v>10143</v>
      </c>
      <c r="AE2845" s="1" t="s">
        <v>32</v>
      </c>
      <c r="AF2845" s="1" t="s">
        <v>33</v>
      </c>
      <c r="AG2845" s="1" t="s">
        <v>30</v>
      </c>
    </row>
    <row r="2846" spans="1:33">
      <c r="A2846" t="s">
        <v>10144</v>
      </c>
      <c r="B2846" t="s">
        <v>10145</v>
      </c>
      <c r="C2846" t="s">
        <v>268</v>
      </c>
      <c r="E2846" t="s">
        <v>9612</v>
      </c>
      <c r="F2846" t="s">
        <v>9613</v>
      </c>
      <c r="G2846">
        <v>90.95</v>
      </c>
      <c r="H2846">
        <v>90.95</v>
      </c>
      <c r="I2846" t="s">
        <v>269</v>
      </c>
      <c r="J2846" t="s">
        <v>270</v>
      </c>
      <c r="K2846" t="s">
        <v>31</v>
      </c>
      <c r="L2846" t="s">
        <v>32</v>
      </c>
      <c r="M2846" t="s">
        <v>33</v>
      </c>
      <c r="P2846" s="1" t="s">
        <v>10146</v>
      </c>
      <c r="Q2846" s="1" t="s">
        <v>9612</v>
      </c>
      <c r="R2846" s="1" t="s">
        <v>9612</v>
      </c>
      <c r="S2846" s="1"/>
      <c r="T2846" s="1" t="s">
        <v>268</v>
      </c>
      <c r="U2846" s="1"/>
      <c r="V2846" s="1">
        <v>90.95</v>
      </c>
      <c r="W2846" s="1">
        <v>90.95</v>
      </c>
      <c r="X2846" s="1" t="s">
        <v>35</v>
      </c>
      <c r="Y2846" s="1">
        <v>90950.0</v>
      </c>
      <c r="Z2846" s="1"/>
      <c r="AA2846" s="1">
        <v>90950.0</v>
      </c>
      <c r="AB2846" s="1"/>
      <c r="AC2846" s="1" t="s">
        <v>36</v>
      </c>
      <c r="AD2846" s="1" t="s">
        <v>10147</v>
      </c>
      <c r="AE2846" s="1" t="s">
        <v>32</v>
      </c>
      <c r="AF2846" s="1" t="s">
        <v>33</v>
      </c>
      <c r="AG2846" s="1" t="s">
        <v>270</v>
      </c>
    </row>
    <row r="2847" spans="1:33">
      <c r="A2847" t="s">
        <v>10148</v>
      </c>
      <c r="C2847" t="s">
        <v>10149</v>
      </c>
      <c r="E2847" t="s">
        <v>9612</v>
      </c>
      <c r="F2847" t="s">
        <v>9613</v>
      </c>
      <c r="G2847">
        <v>263.5</v>
      </c>
      <c r="H2847">
        <v>263.5</v>
      </c>
      <c r="I2847" t="s">
        <v>269</v>
      </c>
      <c r="J2847" t="s">
        <v>270</v>
      </c>
      <c r="K2847" t="s">
        <v>31</v>
      </c>
      <c r="L2847" t="s">
        <v>32</v>
      </c>
      <c r="M2847" t="s">
        <v>33</v>
      </c>
      <c r="P2847" s="1" t="s">
        <v>10150</v>
      </c>
      <c r="Q2847" s="1" t="s">
        <v>9612</v>
      </c>
      <c r="R2847" s="1" t="s">
        <v>9612</v>
      </c>
      <c r="S2847" s="1"/>
      <c r="T2847" s="1" t="s">
        <v>10149</v>
      </c>
      <c r="U2847" s="1"/>
      <c r="V2847" s="1">
        <v>263.5</v>
      </c>
      <c r="W2847" s="1">
        <v>263.5</v>
      </c>
      <c r="X2847" s="1" t="s">
        <v>35</v>
      </c>
      <c r="Y2847" s="1">
        <v>263500.0</v>
      </c>
      <c r="Z2847" s="1"/>
      <c r="AA2847" s="1">
        <v>263500.0</v>
      </c>
      <c r="AB2847" s="1"/>
      <c r="AC2847" s="1" t="s">
        <v>36</v>
      </c>
      <c r="AD2847" s="1" t="s">
        <v>10151</v>
      </c>
      <c r="AE2847" s="1" t="s">
        <v>32</v>
      </c>
      <c r="AF2847" s="1" t="s">
        <v>33</v>
      </c>
      <c r="AG2847" s="1" t="s">
        <v>270</v>
      </c>
    </row>
    <row r="2848" spans="1:33">
      <c r="A2848" t="s">
        <v>10152</v>
      </c>
      <c r="B2848" t="s">
        <v>10153</v>
      </c>
      <c r="C2848" t="s">
        <v>26</v>
      </c>
      <c r="E2848" t="s">
        <v>9612</v>
      </c>
      <c r="F2848" t="s">
        <v>9613</v>
      </c>
      <c r="G2848">
        <v>34.35</v>
      </c>
      <c r="H2848">
        <v>34.35</v>
      </c>
      <c r="I2848" t="s">
        <v>29</v>
      </c>
      <c r="J2848" t="s">
        <v>30</v>
      </c>
      <c r="K2848" t="s">
        <v>31</v>
      </c>
      <c r="L2848" t="s">
        <v>32</v>
      </c>
      <c r="M2848" t="s">
        <v>33</v>
      </c>
      <c r="P2848" s="1" t="s">
        <v>10154</v>
      </c>
      <c r="Q2848" s="1" t="s">
        <v>9612</v>
      </c>
      <c r="R2848" s="1" t="s">
        <v>9612</v>
      </c>
      <c r="S2848" s="1"/>
      <c r="T2848" s="1" t="s">
        <v>26</v>
      </c>
      <c r="U2848" s="1"/>
      <c r="V2848" s="1">
        <v>34.35</v>
      </c>
      <c r="W2848" s="1">
        <v>34.35</v>
      </c>
      <c r="X2848" s="1" t="s">
        <v>35</v>
      </c>
      <c r="Y2848" s="1">
        <v>34350.0</v>
      </c>
      <c r="Z2848" s="1"/>
      <c r="AA2848" s="1">
        <v>34350.0</v>
      </c>
      <c r="AB2848" s="1"/>
      <c r="AC2848" s="1" t="s">
        <v>36</v>
      </c>
      <c r="AD2848" s="1" t="s">
        <v>10155</v>
      </c>
      <c r="AE2848" s="1" t="s">
        <v>32</v>
      </c>
      <c r="AF2848" s="1" t="s">
        <v>33</v>
      </c>
      <c r="AG2848" s="1" t="s">
        <v>30</v>
      </c>
    </row>
    <row r="2849" spans="1:33">
      <c r="A2849" t="s">
        <v>10156</v>
      </c>
      <c r="B2849" t="s">
        <v>10157</v>
      </c>
      <c r="C2849" t="s">
        <v>47</v>
      </c>
      <c r="E2849" t="s">
        <v>9612</v>
      </c>
      <c r="F2849" t="s">
        <v>9613</v>
      </c>
      <c r="G2849">
        <v>32.24</v>
      </c>
      <c r="H2849">
        <v>32.24</v>
      </c>
      <c r="I2849" t="s">
        <v>2206</v>
      </c>
      <c r="J2849" t="s">
        <v>49</v>
      </c>
      <c r="K2849" t="s">
        <v>31</v>
      </c>
      <c r="L2849" t="s">
        <v>32</v>
      </c>
      <c r="M2849" t="s">
        <v>33</v>
      </c>
      <c r="P2849" s="1" t="s">
        <v>10158</v>
      </c>
      <c r="Q2849" s="1" t="s">
        <v>9612</v>
      </c>
      <c r="R2849" s="1" t="s">
        <v>9612</v>
      </c>
      <c r="S2849" s="1"/>
      <c r="T2849" s="1" t="s">
        <v>47</v>
      </c>
      <c r="U2849" s="1"/>
      <c r="V2849" s="1">
        <v>32.24</v>
      </c>
      <c r="W2849" s="1">
        <v>32.24</v>
      </c>
      <c r="X2849" s="1" t="s">
        <v>35</v>
      </c>
      <c r="Y2849" s="1">
        <v>32240.0</v>
      </c>
      <c r="Z2849" s="1"/>
      <c r="AA2849" s="1">
        <v>32240.0</v>
      </c>
      <c r="AB2849" s="1"/>
      <c r="AC2849" s="1" t="s">
        <v>36</v>
      </c>
      <c r="AD2849" s="1" t="s">
        <v>10159</v>
      </c>
      <c r="AE2849" s="1" t="s">
        <v>32</v>
      </c>
      <c r="AF2849" s="1" t="s">
        <v>33</v>
      </c>
      <c r="AG2849" s="1" t="s">
        <v>49</v>
      </c>
    </row>
    <row r="2850" spans="1:33">
      <c r="A2850" t="s">
        <v>10160</v>
      </c>
      <c r="C2850" t="s">
        <v>926</v>
      </c>
      <c r="D2850" t="s">
        <v>154</v>
      </c>
      <c r="E2850" t="s">
        <v>9612</v>
      </c>
      <c r="F2850" t="s">
        <v>9613</v>
      </c>
      <c r="G2850">
        <v>656.0</v>
      </c>
      <c r="H2850">
        <v>656.0</v>
      </c>
      <c r="I2850" t="s">
        <v>40</v>
      </c>
      <c r="J2850" t="s">
        <v>41</v>
      </c>
      <c r="K2850" t="s">
        <v>31</v>
      </c>
      <c r="L2850" t="s">
        <v>32</v>
      </c>
      <c r="M2850" t="s">
        <v>33</v>
      </c>
      <c r="P2850" s="1" t="s">
        <v>10161</v>
      </c>
      <c r="Q2850" s="1" t="s">
        <v>9612</v>
      </c>
      <c r="R2850" s="1" t="s">
        <v>9112</v>
      </c>
      <c r="S2850" s="1"/>
      <c r="T2850" s="1" t="s">
        <v>928</v>
      </c>
      <c r="U2850" s="1" t="s">
        <v>929</v>
      </c>
      <c r="V2850" s="1">
        <v>656.0</v>
      </c>
      <c r="W2850" s="1">
        <v>656.0</v>
      </c>
      <c r="X2850" s="1" t="s">
        <v>35</v>
      </c>
      <c r="Y2850" s="1">
        <v>656000.0</v>
      </c>
      <c r="Z2850" s="1"/>
      <c r="AA2850" s="1">
        <v>656000.0</v>
      </c>
      <c r="AB2850" s="1"/>
      <c r="AC2850" s="1" t="s">
        <v>36</v>
      </c>
      <c r="AD2850" s="1" t="s">
        <v>10162</v>
      </c>
      <c r="AE2850" s="1" t="s">
        <v>32</v>
      </c>
      <c r="AF2850" s="1" t="s">
        <v>33</v>
      </c>
      <c r="AG2850" s="1" t="s">
        <v>41</v>
      </c>
    </row>
    <row r="2851" spans="1:33">
      <c r="A2851" t="s">
        <v>10163</v>
      </c>
      <c r="B2851" t="s">
        <v>4515</v>
      </c>
      <c r="C2851" t="s">
        <v>2395</v>
      </c>
      <c r="E2851" t="s">
        <v>9612</v>
      </c>
      <c r="F2851" t="s">
        <v>9613</v>
      </c>
      <c r="G2851">
        <v>630.0</v>
      </c>
      <c r="H2851">
        <v>630.0</v>
      </c>
      <c r="I2851" t="s">
        <v>40</v>
      </c>
      <c r="J2851" t="s">
        <v>41</v>
      </c>
      <c r="K2851" t="s">
        <v>31</v>
      </c>
      <c r="L2851" t="s">
        <v>32</v>
      </c>
      <c r="M2851" t="s">
        <v>33</v>
      </c>
      <c r="P2851" s="1" t="s">
        <v>10164</v>
      </c>
      <c r="Q2851" s="1" t="s">
        <v>9612</v>
      </c>
      <c r="R2851" s="1" t="s">
        <v>9112</v>
      </c>
      <c r="S2851" s="1"/>
      <c r="T2851" s="1" t="s">
        <v>2397</v>
      </c>
      <c r="U2851" s="1" t="s">
        <v>2398</v>
      </c>
      <c r="V2851" s="1">
        <v>630.0</v>
      </c>
      <c r="W2851" s="1">
        <v>630.0</v>
      </c>
      <c r="X2851" s="1" t="s">
        <v>35</v>
      </c>
      <c r="Y2851" s="1">
        <v>630000.0</v>
      </c>
      <c r="Z2851" s="1"/>
      <c r="AA2851" s="1">
        <v>630000.0</v>
      </c>
      <c r="AB2851" s="1"/>
      <c r="AC2851" s="1" t="s">
        <v>36</v>
      </c>
      <c r="AD2851" s="1" t="s">
        <v>10165</v>
      </c>
      <c r="AE2851" s="1" t="s">
        <v>32</v>
      </c>
      <c r="AF2851" s="1" t="s">
        <v>33</v>
      </c>
      <c r="AG2851" s="1" t="s">
        <v>41</v>
      </c>
    </row>
    <row r="2852" spans="1:33">
      <c r="A2852" t="s">
        <v>10166</v>
      </c>
      <c r="C2852" t="s">
        <v>3478</v>
      </c>
      <c r="E2852" t="s">
        <v>9612</v>
      </c>
      <c r="F2852" t="s">
        <v>9613</v>
      </c>
      <c r="G2852">
        <v>320.0</v>
      </c>
      <c r="H2852">
        <v>320.0</v>
      </c>
      <c r="I2852" t="s">
        <v>173</v>
      </c>
      <c r="J2852" t="s">
        <v>174</v>
      </c>
      <c r="K2852" t="s">
        <v>31</v>
      </c>
      <c r="L2852" t="s">
        <v>32</v>
      </c>
      <c r="M2852" t="s">
        <v>33</v>
      </c>
      <c r="P2852" s="1" t="s">
        <v>10167</v>
      </c>
      <c r="Q2852" s="1" t="s">
        <v>9612</v>
      </c>
      <c r="R2852" s="1" t="s">
        <v>9612</v>
      </c>
      <c r="S2852" s="1"/>
      <c r="T2852" s="1" t="s">
        <v>3478</v>
      </c>
      <c r="U2852" s="1"/>
      <c r="V2852" s="1">
        <v>320.0</v>
      </c>
      <c r="W2852" s="1">
        <v>320.0</v>
      </c>
      <c r="X2852" s="1" t="s">
        <v>35</v>
      </c>
      <c r="Y2852" s="1">
        <v>320000.0</v>
      </c>
      <c r="Z2852" s="1"/>
      <c r="AA2852" s="1">
        <v>320000.0</v>
      </c>
      <c r="AB2852" s="1"/>
      <c r="AC2852" s="1" t="s">
        <v>36</v>
      </c>
      <c r="AD2852" s="1" t="s">
        <v>10168</v>
      </c>
      <c r="AE2852" s="1" t="s">
        <v>32</v>
      </c>
      <c r="AF2852" s="1" t="s">
        <v>33</v>
      </c>
      <c r="AG2852" s="1" t="s">
        <v>174</v>
      </c>
    </row>
    <row r="2853" spans="1:33">
      <c r="A2853" t="s">
        <v>10169</v>
      </c>
      <c r="C2853" t="s">
        <v>1197</v>
      </c>
      <c r="D2853" t="s">
        <v>154</v>
      </c>
      <c r="E2853" t="s">
        <v>9612</v>
      </c>
      <c r="F2853" t="s">
        <v>9613</v>
      </c>
      <c r="G2853">
        <v>492.0</v>
      </c>
      <c r="H2853">
        <v>492.0</v>
      </c>
      <c r="I2853" t="s">
        <v>269</v>
      </c>
      <c r="J2853" t="s">
        <v>270</v>
      </c>
      <c r="K2853" t="s">
        <v>31</v>
      </c>
      <c r="L2853" t="s">
        <v>32</v>
      </c>
      <c r="M2853" t="s">
        <v>33</v>
      </c>
      <c r="P2853" s="1" t="s">
        <v>10170</v>
      </c>
      <c r="Q2853" s="1" t="s">
        <v>9612</v>
      </c>
      <c r="R2853" s="1" t="s">
        <v>9612</v>
      </c>
      <c r="S2853" s="1"/>
      <c r="T2853" s="1" t="s">
        <v>1197</v>
      </c>
      <c r="U2853" s="1"/>
      <c r="V2853" s="1">
        <v>492.0</v>
      </c>
      <c r="W2853" s="1">
        <v>492.0</v>
      </c>
      <c r="X2853" s="1" t="s">
        <v>35</v>
      </c>
      <c r="Y2853" s="1">
        <v>492000.0</v>
      </c>
      <c r="Z2853" s="1"/>
      <c r="AA2853" s="1">
        <v>492000.0</v>
      </c>
      <c r="AB2853" s="1"/>
      <c r="AC2853" s="1" t="s">
        <v>36</v>
      </c>
      <c r="AD2853" s="1" t="s">
        <v>10171</v>
      </c>
      <c r="AE2853" s="1" t="s">
        <v>32</v>
      </c>
      <c r="AF2853" s="1" t="s">
        <v>33</v>
      </c>
      <c r="AG2853" s="1" t="s">
        <v>270</v>
      </c>
    </row>
    <row r="2854" spans="1:33">
      <c r="A2854" t="s">
        <v>10172</v>
      </c>
      <c r="C2854" t="s">
        <v>1947</v>
      </c>
      <c r="D2854" t="s">
        <v>154</v>
      </c>
      <c r="E2854" t="s">
        <v>9612</v>
      </c>
      <c r="F2854" t="s">
        <v>9613</v>
      </c>
      <c r="G2854">
        <v>2.878</v>
      </c>
      <c r="H2854">
        <v>2.878</v>
      </c>
      <c r="I2854" t="s">
        <v>227</v>
      </c>
      <c r="J2854" t="s">
        <v>228</v>
      </c>
      <c r="K2854" t="s">
        <v>31</v>
      </c>
      <c r="L2854" t="s">
        <v>32</v>
      </c>
      <c r="M2854" t="s">
        <v>33</v>
      </c>
      <c r="P2854" s="1" t="s">
        <v>10173</v>
      </c>
      <c r="Q2854" s="1" t="s">
        <v>9612</v>
      </c>
      <c r="R2854" s="1" t="s">
        <v>9612</v>
      </c>
      <c r="S2854" s="1"/>
      <c r="T2854" s="1" t="s">
        <v>1947</v>
      </c>
      <c r="U2854" s="1"/>
      <c r="V2854" s="1">
        <v>2.878</v>
      </c>
      <c r="W2854" s="1">
        <v>2.878</v>
      </c>
      <c r="X2854" s="1" t="s">
        <v>35</v>
      </c>
      <c r="Y2854" s="1">
        <v>2878000.0</v>
      </c>
      <c r="Z2854" s="1"/>
      <c r="AA2854" s="1">
        <v>2878000.0</v>
      </c>
      <c r="AB2854" s="1"/>
      <c r="AC2854" s="1" t="s">
        <v>36</v>
      </c>
      <c r="AD2854" s="1" t="s">
        <v>10174</v>
      </c>
      <c r="AE2854" s="1" t="s">
        <v>32</v>
      </c>
      <c r="AF2854" s="1" t="s">
        <v>33</v>
      </c>
      <c r="AG2854" s="1" t="s">
        <v>228</v>
      </c>
    </row>
    <row r="2855" spans="1:33">
      <c r="A2855" t="s">
        <v>10175</v>
      </c>
      <c r="B2855" t="s">
        <v>10176</v>
      </c>
      <c r="C2855" t="s">
        <v>125</v>
      </c>
      <c r="E2855" t="s">
        <v>9612</v>
      </c>
      <c r="F2855" t="s">
        <v>9613</v>
      </c>
      <c r="G2855">
        <v>10.698</v>
      </c>
      <c r="H2855">
        <v>10.698</v>
      </c>
      <c r="I2855" t="s">
        <v>126</v>
      </c>
      <c r="J2855" t="s">
        <v>127</v>
      </c>
      <c r="K2855" t="s">
        <v>31</v>
      </c>
      <c r="L2855" t="s">
        <v>32</v>
      </c>
      <c r="M2855" t="s">
        <v>33</v>
      </c>
      <c r="P2855" s="1" t="s">
        <v>10177</v>
      </c>
      <c r="Q2855" s="1" t="s">
        <v>9612</v>
      </c>
      <c r="R2855" s="1" t="s">
        <v>9612</v>
      </c>
      <c r="S2855" s="1"/>
      <c r="T2855" s="1" t="s">
        <v>125</v>
      </c>
      <c r="U2855" s="1"/>
      <c r="V2855" s="1">
        <v>10.698</v>
      </c>
      <c r="W2855" s="1">
        <v>10.698</v>
      </c>
      <c r="X2855" s="1" t="s">
        <v>35</v>
      </c>
      <c r="Y2855" s="1">
        <v>10698.0</v>
      </c>
      <c r="Z2855" s="1"/>
      <c r="AA2855" s="1">
        <v>10698.0</v>
      </c>
      <c r="AB2855" s="1"/>
      <c r="AC2855" s="1" t="s">
        <v>36</v>
      </c>
      <c r="AD2855" s="1" t="s">
        <v>10165</v>
      </c>
      <c r="AE2855" s="1" t="s">
        <v>32</v>
      </c>
      <c r="AF2855" s="1" t="s">
        <v>33</v>
      </c>
      <c r="AG2855" s="1" t="s">
        <v>127</v>
      </c>
    </row>
    <row r="2856" spans="1:33">
      <c r="A2856" t="s">
        <v>10178</v>
      </c>
      <c r="C2856" t="s">
        <v>10179</v>
      </c>
      <c r="E2856" t="s">
        <v>9612</v>
      </c>
      <c r="F2856" t="s">
        <v>9613</v>
      </c>
      <c r="G2856">
        <v>58.5</v>
      </c>
      <c r="H2856">
        <v>58.5</v>
      </c>
      <c r="I2856" t="s">
        <v>269</v>
      </c>
      <c r="J2856" t="s">
        <v>270</v>
      </c>
      <c r="K2856" t="s">
        <v>31</v>
      </c>
      <c r="L2856" t="s">
        <v>32</v>
      </c>
      <c r="M2856" t="s">
        <v>33</v>
      </c>
      <c r="P2856" s="1" t="s">
        <v>10180</v>
      </c>
      <c r="Q2856" s="1" t="s">
        <v>9612</v>
      </c>
      <c r="R2856" s="1" t="s">
        <v>9612</v>
      </c>
      <c r="S2856" s="1"/>
      <c r="T2856" s="1" t="s">
        <v>10179</v>
      </c>
      <c r="U2856" s="1"/>
      <c r="V2856" s="1">
        <v>58.5</v>
      </c>
      <c r="W2856" s="1">
        <v>58.5</v>
      </c>
      <c r="X2856" s="1" t="s">
        <v>35</v>
      </c>
      <c r="Y2856" s="1">
        <v>58500.0</v>
      </c>
      <c r="Z2856" s="1"/>
      <c r="AA2856" s="1">
        <v>58500.0</v>
      </c>
      <c r="AB2856" s="1"/>
      <c r="AC2856" s="1" t="s">
        <v>36</v>
      </c>
      <c r="AD2856" s="1" t="s">
        <v>10181</v>
      </c>
      <c r="AE2856" s="1" t="s">
        <v>32</v>
      </c>
      <c r="AF2856" s="1" t="s">
        <v>33</v>
      </c>
      <c r="AG2856" s="1" t="s">
        <v>270</v>
      </c>
    </row>
    <row r="2857" spans="1:33">
      <c r="A2857" t="s">
        <v>10182</v>
      </c>
      <c r="C2857" t="s">
        <v>8208</v>
      </c>
      <c r="E2857" t="s">
        <v>9612</v>
      </c>
      <c r="F2857" t="s">
        <v>9613</v>
      </c>
      <c r="G2857">
        <v>2.46</v>
      </c>
      <c r="H2857">
        <v>2.46</v>
      </c>
      <c r="I2857" t="s">
        <v>269</v>
      </c>
      <c r="J2857" t="s">
        <v>270</v>
      </c>
      <c r="K2857" t="s">
        <v>31</v>
      </c>
      <c r="L2857" t="s">
        <v>32</v>
      </c>
      <c r="M2857" t="s">
        <v>33</v>
      </c>
      <c r="P2857" s="1" t="s">
        <v>10183</v>
      </c>
      <c r="Q2857" s="1" t="s">
        <v>9612</v>
      </c>
      <c r="R2857" s="1" t="s">
        <v>9612</v>
      </c>
      <c r="S2857" s="1"/>
      <c r="T2857" s="1" t="s">
        <v>8208</v>
      </c>
      <c r="U2857" s="1"/>
      <c r="V2857" s="1">
        <v>2.46</v>
      </c>
      <c r="W2857" s="1">
        <v>2.46</v>
      </c>
      <c r="X2857" s="1" t="s">
        <v>35</v>
      </c>
      <c r="Y2857" s="1">
        <v>2460000.0</v>
      </c>
      <c r="Z2857" s="1"/>
      <c r="AA2857" s="1">
        <v>2460000.0</v>
      </c>
      <c r="AB2857" s="1"/>
      <c r="AC2857" s="1" t="s">
        <v>36</v>
      </c>
      <c r="AD2857" s="1" t="s">
        <v>10165</v>
      </c>
      <c r="AE2857" s="1" t="s">
        <v>32</v>
      </c>
      <c r="AF2857" s="1" t="s">
        <v>33</v>
      </c>
      <c r="AG2857" s="1" t="s">
        <v>270</v>
      </c>
    </row>
    <row r="2858" spans="1:33">
      <c r="A2858" t="s">
        <v>10184</v>
      </c>
      <c r="B2858" t="s">
        <v>10185</v>
      </c>
      <c r="C2858" t="s">
        <v>73</v>
      </c>
      <c r="E2858" t="s">
        <v>9612</v>
      </c>
      <c r="F2858" t="s">
        <v>9613</v>
      </c>
      <c r="G2858">
        <v>4.566</v>
      </c>
      <c r="H2858">
        <v>4.566</v>
      </c>
      <c r="I2858" t="s">
        <v>40</v>
      </c>
      <c r="J2858" t="s">
        <v>41</v>
      </c>
      <c r="K2858" t="s">
        <v>31</v>
      </c>
      <c r="L2858" t="s">
        <v>32</v>
      </c>
      <c r="M2858" t="s">
        <v>33</v>
      </c>
      <c r="P2858" s="1" t="s">
        <v>10186</v>
      </c>
      <c r="Q2858" s="1" t="s">
        <v>9612</v>
      </c>
      <c r="R2858" s="1" t="s">
        <v>9112</v>
      </c>
      <c r="S2858" s="1"/>
      <c r="T2858" s="1" t="s">
        <v>75</v>
      </c>
      <c r="U2858" s="1" t="s">
        <v>76</v>
      </c>
      <c r="V2858" s="1">
        <v>4.566</v>
      </c>
      <c r="W2858" s="1">
        <v>4.566</v>
      </c>
      <c r="X2858" s="1" t="s">
        <v>35</v>
      </c>
      <c r="Y2858" s="1">
        <v>4566.0</v>
      </c>
      <c r="Z2858" s="1"/>
      <c r="AA2858" s="1">
        <v>4566.0</v>
      </c>
      <c r="AB2858" s="1"/>
      <c r="AC2858" s="1" t="s">
        <v>36</v>
      </c>
      <c r="AD2858" s="1" t="s">
        <v>10171</v>
      </c>
      <c r="AE2858" s="1" t="s">
        <v>32</v>
      </c>
      <c r="AF2858" s="1" t="s">
        <v>33</v>
      </c>
      <c r="AG2858" s="1" t="s">
        <v>41</v>
      </c>
    </row>
    <row r="2859" spans="1:33">
      <c r="A2859" t="s">
        <v>10187</v>
      </c>
      <c r="C2859" t="s">
        <v>10188</v>
      </c>
      <c r="E2859" t="s">
        <v>9612</v>
      </c>
      <c r="F2859" t="s">
        <v>9613</v>
      </c>
      <c r="G2859">
        <v>328.0</v>
      </c>
      <c r="H2859">
        <v>328.0</v>
      </c>
      <c r="I2859" t="s">
        <v>269</v>
      </c>
      <c r="J2859" t="s">
        <v>270</v>
      </c>
      <c r="K2859" t="s">
        <v>31</v>
      </c>
      <c r="L2859" t="s">
        <v>32</v>
      </c>
      <c r="M2859" t="s">
        <v>33</v>
      </c>
      <c r="P2859" s="1" t="s">
        <v>10189</v>
      </c>
      <c r="Q2859" s="1" t="s">
        <v>9612</v>
      </c>
      <c r="R2859" s="1" t="s">
        <v>9612</v>
      </c>
      <c r="S2859" s="1"/>
      <c r="T2859" s="1" t="s">
        <v>10188</v>
      </c>
      <c r="U2859" s="1"/>
      <c r="V2859" s="1">
        <v>328.0</v>
      </c>
      <c r="W2859" s="1">
        <v>328.0</v>
      </c>
      <c r="X2859" s="1" t="s">
        <v>35</v>
      </c>
      <c r="Y2859" s="1">
        <v>328000.0</v>
      </c>
      <c r="Z2859" s="1"/>
      <c r="AA2859" s="1">
        <v>328000.0</v>
      </c>
      <c r="AB2859" s="1"/>
      <c r="AC2859" s="1" t="s">
        <v>36</v>
      </c>
      <c r="AD2859" s="1" t="s">
        <v>10190</v>
      </c>
      <c r="AE2859" s="1" t="s">
        <v>32</v>
      </c>
      <c r="AF2859" s="1" t="s">
        <v>33</v>
      </c>
      <c r="AG2859" s="1" t="s">
        <v>270</v>
      </c>
    </row>
    <row r="2860" spans="1:33">
      <c r="A2860" t="s">
        <v>10191</v>
      </c>
      <c r="C2860" t="s">
        <v>73</v>
      </c>
      <c r="E2860" t="s">
        <v>9612</v>
      </c>
      <c r="F2860" t="s">
        <v>9613</v>
      </c>
      <c r="G2860">
        <v>63.98</v>
      </c>
      <c r="H2860">
        <v>63.98</v>
      </c>
      <c r="I2860" t="s">
        <v>40</v>
      </c>
      <c r="J2860" t="s">
        <v>41</v>
      </c>
      <c r="K2860" t="s">
        <v>31</v>
      </c>
      <c r="L2860" t="s">
        <v>32</v>
      </c>
      <c r="M2860" t="s">
        <v>33</v>
      </c>
      <c r="P2860" s="1" t="s">
        <v>10192</v>
      </c>
      <c r="Q2860" s="1" t="s">
        <v>9612</v>
      </c>
      <c r="R2860" s="1" t="s">
        <v>9112</v>
      </c>
      <c r="S2860" s="1"/>
      <c r="T2860" s="1" t="s">
        <v>75</v>
      </c>
      <c r="U2860" s="1" t="s">
        <v>76</v>
      </c>
      <c r="V2860" s="1">
        <v>63.98</v>
      </c>
      <c r="W2860" s="1">
        <v>63.98</v>
      </c>
      <c r="X2860" s="1" t="s">
        <v>35</v>
      </c>
      <c r="Y2860" s="1">
        <v>63980.0</v>
      </c>
      <c r="Z2860" s="1"/>
      <c r="AA2860" s="1">
        <v>63980.0</v>
      </c>
      <c r="AB2860" s="1"/>
      <c r="AC2860" s="1" t="s">
        <v>36</v>
      </c>
      <c r="AD2860" s="1" t="s">
        <v>10193</v>
      </c>
      <c r="AE2860" s="1" t="s">
        <v>32</v>
      </c>
      <c r="AF2860" s="1" t="s">
        <v>33</v>
      </c>
      <c r="AG2860" s="1" t="s">
        <v>41</v>
      </c>
    </row>
    <row r="2861" spans="1:33">
      <c r="A2861" t="s">
        <v>10194</v>
      </c>
      <c r="C2861" t="s">
        <v>338</v>
      </c>
      <c r="E2861" t="s">
        <v>9612</v>
      </c>
      <c r="F2861" t="s">
        <v>9613</v>
      </c>
      <c r="G2861">
        <v>655.0</v>
      </c>
      <c r="H2861">
        <v>655.0</v>
      </c>
      <c r="I2861" t="s">
        <v>179</v>
      </c>
      <c r="J2861" t="s">
        <v>180</v>
      </c>
      <c r="K2861" t="s">
        <v>31</v>
      </c>
      <c r="L2861" t="s">
        <v>32</v>
      </c>
      <c r="M2861" t="s">
        <v>33</v>
      </c>
      <c r="P2861" s="1" t="s">
        <v>10195</v>
      </c>
      <c r="Q2861" s="1" t="s">
        <v>9612</v>
      </c>
      <c r="R2861" s="1" t="s">
        <v>9612</v>
      </c>
      <c r="S2861" s="1"/>
      <c r="T2861" s="1" t="s">
        <v>338</v>
      </c>
      <c r="U2861" s="1"/>
      <c r="V2861" s="1">
        <v>655.0</v>
      </c>
      <c r="W2861" s="1">
        <v>655.0</v>
      </c>
      <c r="X2861" s="1" t="s">
        <v>35</v>
      </c>
      <c r="Y2861" s="1">
        <v>655000.0</v>
      </c>
      <c r="Z2861" s="1"/>
      <c r="AA2861" s="1">
        <v>655000.0</v>
      </c>
      <c r="AB2861" s="1"/>
      <c r="AC2861" s="1" t="s">
        <v>36</v>
      </c>
      <c r="AD2861" s="1" t="s">
        <v>10196</v>
      </c>
      <c r="AE2861" s="1" t="s">
        <v>32</v>
      </c>
      <c r="AF2861" s="1" t="s">
        <v>33</v>
      </c>
      <c r="AG2861" s="1" t="s">
        <v>180</v>
      </c>
    </row>
    <row r="2862" spans="1:33">
      <c r="A2862" t="s">
        <v>10197</v>
      </c>
      <c r="B2862" t="s">
        <v>2533</v>
      </c>
      <c r="C2862" t="s">
        <v>569</v>
      </c>
      <c r="E2862" t="s">
        <v>9612</v>
      </c>
      <c r="F2862" t="s">
        <v>9613</v>
      </c>
      <c r="G2862">
        <v>117.733</v>
      </c>
      <c r="H2862">
        <v>117.733</v>
      </c>
      <c r="I2862" t="s">
        <v>570</v>
      </c>
      <c r="J2862" t="s">
        <v>571</v>
      </c>
      <c r="K2862" t="s">
        <v>31</v>
      </c>
      <c r="L2862" t="s">
        <v>32</v>
      </c>
      <c r="M2862" t="s">
        <v>33</v>
      </c>
      <c r="P2862" s="1" t="s">
        <v>10198</v>
      </c>
      <c r="Q2862" s="1" t="s">
        <v>9612</v>
      </c>
      <c r="R2862" s="1" t="s">
        <v>9612</v>
      </c>
      <c r="S2862" s="1"/>
      <c r="T2862" s="1" t="s">
        <v>569</v>
      </c>
      <c r="U2862" s="1"/>
      <c r="V2862" s="1">
        <v>117.733</v>
      </c>
      <c r="W2862" s="1">
        <v>117.733</v>
      </c>
      <c r="X2862" s="1" t="s">
        <v>35</v>
      </c>
      <c r="Y2862" s="1">
        <v>117733.0</v>
      </c>
      <c r="Z2862" s="1"/>
      <c r="AA2862" s="1">
        <v>117733.0</v>
      </c>
      <c r="AB2862" s="1"/>
      <c r="AC2862" s="1" t="s">
        <v>36</v>
      </c>
      <c r="AD2862" s="1" t="s">
        <v>10199</v>
      </c>
      <c r="AE2862" s="1" t="s">
        <v>32</v>
      </c>
      <c r="AF2862" s="1" t="s">
        <v>33</v>
      </c>
      <c r="AG2862" s="1" t="s">
        <v>571</v>
      </c>
    </row>
    <row r="2863" spans="1:33">
      <c r="A2863" t="s">
        <v>10200</v>
      </c>
      <c r="B2863" t="s">
        <v>10201</v>
      </c>
      <c r="C2863" t="s">
        <v>414</v>
      </c>
      <c r="E2863" t="s">
        <v>9612</v>
      </c>
      <c r="F2863" t="s">
        <v>9613</v>
      </c>
      <c r="G2863">
        <v>45.0</v>
      </c>
      <c r="H2863">
        <v>45.0</v>
      </c>
      <c r="I2863" t="s">
        <v>539</v>
      </c>
      <c r="J2863" t="s">
        <v>540</v>
      </c>
      <c r="K2863" t="s">
        <v>31</v>
      </c>
      <c r="L2863" t="s">
        <v>32</v>
      </c>
      <c r="M2863" t="s">
        <v>33</v>
      </c>
      <c r="P2863" s="1" t="s">
        <v>10202</v>
      </c>
      <c r="Q2863" s="1" t="s">
        <v>9612</v>
      </c>
      <c r="R2863" s="1" t="s">
        <v>9112</v>
      </c>
      <c r="S2863" s="1"/>
      <c r="T2863" s="1" t="s">
        <v>414</v>
      </c>
      <c r="U2863" s="1"/>
      <c r="V2863" s="1">
        <v>45.0</v>
      </c>
      <c r="W2863" s="1">
        <v>45.0</v>
      </c>
      <c r="X2863" s="1" t="s">
        <v>35</v>
      </c>
      <c r="Y2863" s="1">
        <v>45000.0</v>
      </c>
      <c r="Z2863" s="1"/>
      <c r="AA2863" s="1">
        <v>45000.0</v>
      </c>
      <c r="AB2863" s="1"/>
      <c r="AC2863" s="1" t="s">
        <v>36</v>
      </c>
      <c r="AD2863" s="1" t="s">
        <v>10203</v>
      </c>
      <c r="AE2863" s="1" t="s">
        <v>1636</v>
      </c>
      <c r="AF2863" s="1" t="s">
        <v>33</v>
      </c>
      <c r="AG2863" s="1" t="s">
        <v>540</v>
      </c>
    </row>
    <row r="2864" spans="1:33">
      <c r="A2864" t="s">
        <v>10204</v>
      </c>
      <c r="C2864" t="s">
        <v>1912</v>
      </c>
      <c r="E2864" t="s">
        <v>9612</v>
      </c>
      <c r="F2864" t="s">
        <v>9613</v>
      </c>
      <c r="G2864">
        <v>320.0</v>
      </c>
      <c r="H2864">
        <v>320.0</v>
      </c>
      <c r="I2864" t="s">
        <v>126</v>
      </c>
      <c r="J2864" t="s">
        <v>127</v>
      </c>
      <c r="K2864" t="s">
        <v>31</v>
      </c>
      <c r="L2864" t="s">
        <v>32</v>
      </c>
      <c r="M2864" t="s">
        <v>33</v>
      </c>
      <c r="P2864" s="1" t="s">
        <v>10205</v>
      </c>
      <c r="Q2864" s="1" t="s">
        <v>9612</v>
      </c>
      <c r="R2864" s="1" t="s">
        <v>9612</v>
      </c>
      <c r="S2864" s="1"/>
      <c r="T2864" s="1" t="s">
        <v>1912</v>
      </c>
      <c r="U2864" s="1"/>
      <c r="V2864" s="1">
        <v>320.0</v>
      </c>
      <c r="W2864" s="1">
        <v>320.0</v>
      </c>
      <c r="X2864" s="1" t="s">
        <v>35</v>
      </c>
      <c r="Y2864" s="1">
        <v>320000.0</v>
      </c>
      <c r="Z2864" s="1"/>
      <c r="AA2864" s="1">
        <v>320000.0</v>
      </c>
      <c r="AB2864" s="1"/>
      <c r="AC2864" s="1" t="s">
        <v>36</v>
      </c>
      <c r="AD2864" s="1" t="s">
        <v>10206</v>
      </c>
      <c r="AE2864" s="1" t="s">
        <v>32</v>
      </c>
      <c r="AF2864" s="1" t="s">
        <v>33</v>
      </c>
      <c r="AG2864" s="1" t="s">
        <v>127</v>
      </c>
    </row>
    <row r="2865" spans="1:33">
      <c r="A2865" t="s">
        <v>10207</v>
      </c>
      <c r="B2865" t="s">
        <v>10208</v>
      </c>
      <c r="C2865" t="s">
        <v>569</v>
      </c>
      <c r="E2865" t="s">
        <v>9612</v>
      </c>
      <c r="F2865" t="s">
        <v>9613</v>
      </c>
      <c r="G2865">
        <v>131.96</v>
      </c>
      <c r="H2865">
        <v>131.96</v>
      </c>
      <c r="I2865" t="s">
        <v>570</v>
      </c>
      <c r="J2865" t="s">
        <v>571</v>
      </c>
      <c r="K2865" t="s">
        <v>31</v>
      </c>
      <c r="L2865" t="s">
        <v>32</v>
      </c>
      <c r="M2865" t="s">
        <v>33</v>
      </c>
      <c r="P2865" s="1" t="s">
        <v>10209</v>
      </c>
      <c r="Q2865" s="1" t="s">
        <v>9612</v>
      </c>
      <c r="R2865" s="1" t="s">
        <v>9612</v>
      </c>
      <c r="S2865" s="1"/>
      <c r="T2865" s="1" t="s">
        <v>569</v>
      </c>
      <c r="U2865" s="1"/>
      <c r="V2865" s="1">
        <v>131.96</v>
      </c>
      <c r="W2865" s="1">
        <v>131.96</v>
      </c>
      <c r="X2865" s="1" t="s">
        <v>35</v>
      </c>
      <c r="Y2865" s="1">
        <v>131960.0</v>
      </c>
      <c r="Z2865" s="1"/>
      <c r="AA2865" s="1">
        <v>131960.0</v>
      </c>
      <c r="AB2865" s="1"/>
      <c r="AC2865" s="1" t="s">
        <v>36</v>
      </c>
      <c r="AD2865" s="1" t="s">
        <v>10210</v>
      </c>
      <c r="AE2865" s="1" t="s">
        <v>32</v>
      </c>
      <c r="AF2865" s="1" t="s">
        <v>33</v>
      </c>
      <c r="AG2865" s="1" t="s">
        <v>571</v>
      </c>
    </row>
    <row r="2866" spans="1:33">
      <c r="A2866" t="s">
        <v>10211</v>
      </c>
      <c r="C2866" t="s">
        <v>10212</v>
      </c>
      <c r="E2866" t="s">
        <v>9612</v>
      </c>
      <c r="F2866" t="s">
        <v>9613</v>
      </c>
      <c r="G2866">
        <v>328.0</v>
      </c>
      <c r="H2866">
        <v>328.0</v>
      </c>
      <c r="I2866" t="s">
        <v>269</v>
      </c>
      <c r="J2866" t="s">
        <v>270</v>
      </c>
      <c r="K2866" t="s">
        <v>31</v>
      </c>
      <c r="L2866" t="s">
        <v>32</v>
      </c>
      <c r="M2866" t="s">
        <v>33</v>
      </c>
      <c r="P2866" s="1" t="s">
        <v>10213</v>
      </c>
      <c r="Q2866" s="1" t="s">
        <v>9612</v>
      </c>
      <c r="R2866" s="1" t="s">
        <v>9612</v>
      </c>
      <c r="S2866" s="1"/>
      <c r="T2866" s="1" t="s">
        <v>10212</v>
      </c>
      <c r="U2866" s="1"/>
      <c r="V2866" s="1">
        <v>328.0</v>
      </c>
      <c r="W2866" s="1">
        <v>328.0</v>
      </c>
      <c r="X2866" s="1" t="s">
        <v>35</v>
      </c>
      <c r="Y2866" s="1">
        <v>328000.0</v>
      </c>
      <c r="Z2866" s="1"/>
      <c r="AA2866" s="1">
        <v>328000.0</v>
      </c>
      <c r="AB2866" s="1"/>
      <c r="AC2866" s="1" t="s">
        <v>36</v>
      </c>
      <c r="AD2866" s="1" t="s">
        <v>10214</v>
      </c>
      <c r="AE2866" s="1" t="s">
        <v>32</v>
      </c>
      <c r="AF2866" s="1" t="s">
        <v>33</v>
      </c>
      <c r="AG2866" s="1" t="s">
        <v>270</v>
      </c>
    </row>
    <row r="2867" spans="1:33">
      <c r="A2867" t="s">
        <v>10215</v>
      </c>
      <c r="C2867" t="s">
        <v>2474</v>
      </c>
      <c r="E2867" t="s">
        <v>9612</v>
      </c>
      <c r="F2867" t="s">
        <v>9613</v>
      </c>
      <c r="G2867">
        <v>772.4</v>
      </c>
      <c r="H2867">
        <v>772.4</v>
      </c>
      <c r="I2867" t="s">
        <v>179</v>
      </c>
      <c r="J2867" t="s">
        <v>180</v>
      </c>
      <c r="K2867" t="s">
        <v>31</v>
      </c>
      <c r="L2867" t="s">
        <v>32</v>
      </c>
      <c r="M2867" t="s">
        <v>33</v>
      </c>
      <c r="P2867" s="1" t="s">
        <v>10216</v>
      </c>
      <c r="Q2867" s="1" t="s">
        <v>9612</v>
      </c>
      <c r="R2867" s="1" t="s">
        <v>9612</v>
      </c>
      <c r="S2867" s="1"/>
      <c r="T2867" s="1" t="s">
        <v>2474</v>
      </c>
      <c r="U2867" s="1"/>
      <c r="V2867" s="1">
        <v>772.4</v>
      </c>
      <c r="W2867" s="1">
        <v>772.4</v>
      </c>
      <c r="X2867" s="1" t="s">
        <v>35</v>
      </c>
      <c r="Y2867" s="1">
        <v>772400.0</v>
      </c>
      <c r="Z2867" s="1"/>
      <c r="AA2867" s="1">
        <v>772400.0</v>
      </c>
      <c r="AB2867" s="1"/>
      <c r="AC2867" s="1" t="s">
        <v>36</v>
      </c>
      <c r="AD2867" s="1" t="s">
        <v>10217</v>
      </c>
      <c r="AE2867" s="1" t="s">
        <v>32</v>
      </c>
      <c r="AF2867" s="1" t="s">
        <v>33</v>
      </c>
      <c r="AG2867" s="1" t="s">
        <v>180</v>
      </c>
    </row>
    <row r="2868" spans="1:33">
      <c r="A2868" t="s">
        <v>10218</v>
      </c>
      <c r="C2868" t="s">
        <v>1522</v>
      </c>
      <c r="E2868" t="s">
        <v>9612</v>
      </c>
      <c r="F2868" t="s">
        <v>9613</v>
      </c>
      <c r="G2868">
        <v>528.0</v>
      </c>
      <c r="H2868">
        <v>528.0</v>
      </c>
      <c r="I2868" t="s">
        <v>227</v>
      </c>
      <c r="J2868" t="s">
        <v>228</v>
      </c>
      <c r="K2868" t="s">
        <v>31</v>
      </c>
      <c r="L2868" t="s">
        <v>32</v>
      </c>
      <c r="M2868" t="s">
        <v>33</v>
      </c>
      <c r="P2868" s="1" t="s">
        <v>10219</v>
      </c>
      <c r="Q2868" s="1" t="s">
        <v>9612</v>
      </c>
      <c r="R2868" s="1" t="s">
        <v>9612</v>
      </c>
      <c r="S2868" s="1"/>
      <c r="T2868" s="1" t="s">
        <v>1522</v>
      </c>
      <c r="U2868" s="1"/>
      <c r="V2868" s="1">
        <v>528.0</v>
      </c>
      <c r="W2868" s="1">
        <v>528.0</v>
      </c>
      <c r="X2868" s="1" t="s">
        <v>35</v>
      </c>
      <c r="Y2868" s="1">
        <v>528000.0</v>
      </c>
      <c r="Z2868" s="1"/>
      <c r="AA2868" s="1">
        <v>528000.0</v>
      </c>
      <c r="AB2868" s="1"/>
      <c r="AC2868" s="1" t="s">
        <v>36</v>
      </c>
      <c r="AD2868" s="1" t="s">
        <v>10206</v>
      </c>
      <c r="AE2868" s="1" t="s">
        <v>32</v>
      </c>
      <c r="AF2868" s="1" t="s">
        <v>33</v>
      </c>
      <c r="AG2868" s="1" t="s">
        <v>228</v>
      </c>
    </row>
    <row r="2869" spans="1:33">
      <c r="A2869" t="s">
        <v>10220</v>
      </c>
      <c r="B2869" t="s">
        <v>206</v>
      </c>
      <c r="C2869" t="s">
        <v>207</v>
      </c>
      <c r="E2869" t="s">
        <v>9612</v>
      </c>
      <c r="F2869" t="s">
        <v>9613</v>
      </c>
      <c r="G2869">
        <v>745.0</v>
      </c>
      <c r="H2869">
        <v>745.0</v>
      </c>
      <c r="I2869" t="s">
        <v>59</v>
      </c>
      <c r="J2869" t="s">
        <v>60</v>
      </c>
      <c r="K2869" t="s">
        <v>31</v>
      </c>
      <c r="L2869" t="s">
        <v>32</v>
      </c>
      <c r="M2869" t="s">
        <v>33</v>
      </c>
      <c r="P2869" s="1" t="s">
        <v>10221</v>
      </c>
      <c r="Q2869" s="1" t="s">
        <v>9612</v>
      </c>
      <c r="R2869" s="1" t="s">
        <v>9612</v>
      </c>
      <c r="S2869" s="1"/>
      <c r="T2869" s="1" t="s">
        <v>207</v>
      </c>
      <c r="U2869" s="1"/>
      <c r="V2869" s="1">
        <v>745.0</v>
      </c>
      <c r="W2869" s="1">
        <v>745.0</v>
      </c>
      <c r="X2869" s="1" t="s">
        <v>35</v>
      </c>
      <c r="Y2869" s="1">
        <v>745000.0</v>
      </c>
      <c r="Z2869" s="1"/>
      <c r="AA2869" s="1">
        <v>745000.0</v>
      </c>
      <c r="AB2869" s="1"/>
      <c r="AC2869" s="1" t="s">
        <v>36</v>
      </c>
      <c r="AD2869" s="1" t="s">
        <v>10222</v>
      </c>
      <c r="AE2869" s="1" t="s">
        <v>32</v>
      </c>
      <c r="AF2869" s="1" t="s">
        <v>33</v>
      </c>
      <c r="AG2869" s="1" t="s">
        <v>60</v>
      </c>
    </row>
    <row r="2870" spans="1:33">
      <c r="A2870" t="s">
        <v>10223</v>
      </c>
      <c r="C2870" t="s">
        <v>1053</v>
      </c>
      <c r="E2870" t="s">
        <v>9612</v>
      </c>
      <c r="F2870" t="s">
        <v>9613</v>
      </c>
      <c r="G2870">
        <v>560.0</v>
      </c>
      <c r="H2870">
        <v>560.0</v>
      </c>
      <c r="I2870" t="s">
        <v>179</v>
      </c>
      <c r="J2870" t="s">
        <v>180</v>
      </c>
      <c r="K2870" t="s">
        <v>31</v>
      </c>
      <c r="L2870" t="s">
        <v>32</v>
      </c>
      <c r="M2870" t="s">
        <v>33</v>
      </c>
      <c r="P2870" s="1" t="s">
        <v>10224</v>
      </c>
      <c r="Q2870" s="1" t="s">
        <v>9612</v>
      </c>
      <c r="R2870" s="1" t="s">
        <v>9612</v>
      </c>
      <c r="S2870" s="1"/>
      <c r="T2870" s="1" t="s">
        <v>1053</v>
      </c>
      <c r="U2870" s="1"/>
      <c r="V2870" s="1">
        <v>560.0</v>
      </c>
      <c r="W2870" s="1">
        <v>560.0</v>
      </c>
      <c r="X2870" s="1" t="s">
        <v>35</v>
      </c>
      <c r="Y2870" s="1">
        <v>560000.0</v>
      </c>
      <c r="Z2870" s="1"/>
      <c r="AA2870" s="1">
        <v>560000.0</v>
      </c>
      <c r="AB2870" s="1"/>
      <c r="AC2870" s="1" t="s">
        <v>36</v>
      </c>
      <c r="AD2870" s="1" t="s">
        <v>10225</v>
      </c>
      <c r="AE2870" s="1" t="s">
        <v>32</v>
      </c>
      <c r="AF2870" s="1" t="s">
        <v>33</v>
      </c>
      <c r="AG2870" s="1" t="s">
        <v>180</v>
      </c>
    </row>
    <row r="2871" spans="1:33">
      <c r="A2871" t="s">
        <v>10226</v>
      </c>
      <c r="B2871" t="s">
        <v>1772</v>
      </c>
      <c r="C2871" t="s">
        <v>1773</v>
      </c>
      <c r="D2871" t="s">
        <v>154</v>
      </c>
      <c r="E2871" t="s">
        <v>9612</v>
      </c>
      <c r="F2871" t="s">
        <v>9613</v>
      </c>
      <c r="G2871">
        <v>640.0</v>
      </c>
      <c r="H2871">
        <v>640.0</v>
      </c>
      <c r="I2871" t="s">
        <v>29</v>
      </c>
      <c r="J2871" t="s">
        <v>30</v>
      </c>
      <c r="K2871" t="s">
        <v>31</v>
      </c>
      <c r="L2871" t="s">
        <v>32</v>
      </c>
      <c r="M2871" t="s">
        <v>33</v>
      </c>
      <c r="P2871" s="1" t="s">
        <v>10227</v>
      </c>
      <c r="Q2871" s="1" t="s">
        <v>9612</v>
      </c>
      <c r="R2871" s="1" t="s">
        <v>9612</v>
      </c>
      <c r="S2871" s="1"/>
      <c r="T2871" s="1" t="s">
        <v>1773</v>
      </c>
      <c r="U2871" s="1"/>
      <c r="V2871" s="1">
        <v>640.0</v>
      </c>
      <c r="W2871" s="1">
        <v>640.0</v>
      </c>
      <c r="X2871" s="1" t="s">
        <v>35</v>
      </c>
      <c r="Y2871" s="1">
        <v>640000.0</v>
      </c>
      <c r="Z2871" s="1"/>
      <c r="AA2871" s="1">
        <v>640000.0</v>
      </c>
      <c r="AB2871" s="1"/>
      <c r="AC2871" s="1" t="s">
        <v>36</v>
      </c>
      <c r="AD2871" s="1" t="s">
        <v>10222</v>
      </c>
      <c r="AE2871" s="1" t="s">
        <v>32</v>
      </c>
      <c r="AF2871" s="1" t="s">
        <v>33</v>
      </c>
      <c r="AG2871" s="1" t="s">
        <v>30</v>
      </c>
    </row>
    <row r="2872" spans="1:33">
      <c r="A2872" t="s">
        <v>10228</v>
      </c>
      <c r="B2872" t="s">
        <v>1439</v>
      </c>
      <c r="C2872" t="s">
        <v>125</v>
      </c>
      <c r="E2872" t="s">
        <v>9612</v>
      </c>
      <c r="F2872" t="s">
        <v>9613</v>
      </c>
      <c r="G2872">
        <v>44.98</v>
      </c>
      <c r="H2872">
        <v>44.98</v>
      </c>
      <c r="I2872" t="s">
        <v>126</v>
      </c>
      <c r="J2872" t="s">
        <v>127</v>
      </c>
      <c r="K2872" t="s">
        <v>31</v>
      </c>
      <c r="L2872" t="s">
        <v>32</v>
      </c>
      <c r="M2872" t="s">
        <v>33</v>
      </c>
      <c r="P2872" s="1" t="s">
        <v>10229</v>
      </c>
      <c r="Q2872" s="1" t="s">
        <v>9612</v>
      </c>
      <c r="R2872" s="1" t="s">
        <v>9612</v>
      </c>
      <c r="S2872" s="1"/>
      <c r="T2872" s="1" t="s">
        <v>125</v>
      </c>
      <c r="U2872" s="1"/>
      <c r="V2872" s="1">
        <v>44.98</v>
      </c>
      <c r="W2872" s="1">
        <v>44.98</v>
      </c>
      <c r="X2872" s="1" t="s">
        <v>35</v>
      </c>
      <c r="Y2872" s="1">
        <v>44980.0</v>
      </c>
      <c r="Z2872" s="1"/>
      <c r="AA2872" s="1">
        <v>44980.0</v>
      </c>
      <c r="AB2872" s="1"/>
      <c r="AC2872" s="1" t="s">
        <v>36</v>
      </c>
      <c r="AD2872" s="1" t="s">
        <v>10230</v>
      </c>
      <c r="AE2872" s="1" t="s">
        <v>32</v>
      </c>
      <c r="AF2872" s="1" t="s">
        <v>33</v>
      </c>
      <c r="AG2872" s="1" t="s">
        <v>127</v>
      </c>
    </row>
    <row r="2873" spans="1:33">
      <c r="A2873" t="s">
        <v>10231</v>
      </c>
      <c r="B2873" t="s">
        <v>10232</v>
      </c>
      <c r="C2873" t="s">
        <v>26</v>
      </c>
      <c r="E2873" t="s">
        <v>9612</v>
      </c>
      <c r="F2873" t="s">
        <v>9613</v>
      </c>
      <c r="G2873">
        <v>154.93</v>
      </c>
      <c r="H2873">
        <v>154.93</v>
      </c>
      <c r="I2873" t="s">
        <v>29</v>
      </c>
      <c r="J2873" t="s">
        <v>30</v>
      </c>
      <c r="K2873" t="s">
        <v>31</v>
      </c>
      <c r="L2873" t="s">
        <v>32</v>
      </c>
      <c r="M2873" t="s">
        <v>33</v>
      </c>
      <c r="P2873" s="1" t="s">
        <v>10233</v>
      </c>
      <c r="Q2873" s="1" t="s">
        <v>9612</v>
      </c>
      <c r="R2873" s="1" t="s">
        <v>9612</v>
      </c>
      <c r="S2873" s="1"/>
      <c r="T2873" s="1" t="s">
        <v>26</v>
      </c>
      <c r="U2873" s="1"/>
      <c r="V2873" s="1">
        <v>154.93</v>
      </c>
      <c r="W2873" s="1">
        <v>154.93</v>
      </c>
      <c r="X2873" s="1" t="s">
        <v>35</v>
      </c>
      <c r="Y2873" s="1">
        <v>154930.0</v>
      </c>
      <c r="Z2873" s="1"/>
      <c r="AA2873" s="1">
        <v>154930.0</v>
      </c>
      <c r="AB2873" s="1"/>
      <c r="AC2873" s="1" t="s">
        <v>36</v>
      </c>
      <c r="AD2873" s="1" t="s">
        <v>10234</v>
      </c>
      <c r="AE2873" s="1" t="s">
        <v>32</v>
      </c>
      <c r="AF2873" s="1" t="s">
        <v>33</v>
      </c>
      <c r="AG2873" s="1" t="s">
        <v>30</v>
      </c>
    </row>
    <row r="2874" spans="1:33">
      <c r="A2874" t="s">
        <v>10235</v>
      </c>
      <c r="B2874" t="s">
        <v>57</v>
      </c>
      <c r="C2874" t="s">
        <v>58</v>
      </c>
      <c r="E2874" t="s">
        <v>9612</v>
      </c>
      <c r="F2874" t="s">
        <v>9613</v>
      </c>
      <c r="G2874">
        <v>370.0</v>
      </c>
      <c r="H2874">
        <v>370.0</v>
      </c>
      <c r="I2874" t="s">
        <v>59</v>
      </c>
      <c r="J2874" t="s">
        <v>60</v>
      </c>
      <c r="K2874" t="s">
        <v>31</v>
      </c>
      <c r="L2874" t="s">
        <v>32</v>
      </c>
      <c r="M2874" t="s">
        <v>33</v>
      </c>
      <c r="P2874" s="1" t="s">
        <v>10236</v>
      </c>
      <c r="Q2874" s="1" t="s">
        <v>9612</v>
      </c>
      <c r="R2874" s="1" t="s">
        <v>9612</v>
      </c>
      <c r="S2874" s="1"/>
      <c r="T2874" s="1" t="s">
        <v>58</v>
      </c>
      <c r="U2874" s="1"/>
      <c r="V2874" s="1">
        <v>370.0</v>
      </c>
      <c r="W2874" s="1">
        <v>370.0</v>
      </c>
      <c r="X2874" s="1" t="s">
        <v>35</v>
      </c>
      <c r="Y2874" s="1">
        <v>370000.0</v>
      </c>
      <c r="Z2874" s="1"/>
      <c r="AA2874" s="1">
        <v>370000.0</v>
      </c>
      <c r="AB2874" s="1"/>
      <c r="AC2874" s="1" t="s">
        <v>36</v>
      </c>
      <c r="AD2874" s="1" t="s">
        <v>10237</v>
      </c>
      <c r="AE2874" s="1" t="s">
        <v>32</v>
      </c>
      <c r="AF2874" s="1" t="s">
        <v>33</v>
      </c>
      <c r="AG2874" s="1" t="s">
        <v>60</v>
      </c>
    </row>
    <row r="2875" spans="1:33">
      <c r="A2875" t="s">
        <v>10238</v>
      </c>
      <c r="C2875" t="s">
        <v>827</v>
      </c>
      <c r="D2875" t="s">
        <v>154</v>
      </c>
      <c r="E2875" t="s">
        <v>9612</v>
      </c>
      <c r="F2875" t="s">
        <v>9613</v>
      </c>
      <c r="G2875">
        <v>20.0</v>
      </c>
      <c r="H2875">
        <v>20.0</v>
      </c>
      <c r="I2875" t="s">
        <v>269</v>
      </c>
      <c r="J2875" t="s">
        <v>270</v>
      </c>
      <c r="K2875" t="s">
        <v>31</v>
      </c>
      <c r="L2875" t="s">
        <v>32</v>
      </c>
      <c r="M2875" t="s">
        <v>33</v>
      </c>
      <c r="P2875" s="1" t="s">
        <v>10239</v>
      </c>
      <c r="Q2875" s="1" t="s">
        <v>9612</v>
      </c>
      <c r="R2875" s="1" t="s">
        <v>9612</v>
      </c>
      <c r="S2875" s="1"/>
      <c r="T2875" s="1" t="s">
        <v>827</v>
      </c>
      <c r="U2875" s="1"/>
      <c r="V2875" s="1">
        <v>20.0</v>
      </c>
      <c r="W2875" s="1">
        <v>20.0</v>
      </c>
      <c r="X2875" s="1" t="s">
        <v>35</v>
      </c>
      <c r="Y2875" s="1">
        <v>20000.0</v>
      </c>
      <c r="Z2875" s="1"/>
      <c r="AA2875" s="1">
        <v>20000.0</v>
      </c>
      <c r="AB2875" s="1"/>
      <c r="AC2875" s="1" t="s">
        <v>36</v>
      </c>
      <c r="AD2875" s="1" t="s">
        <v>10240</v>
      </c>
      <c r="AE2875" s="1" t="s">
        <v>32</v>
      </c>
      <c r="AF2875" s="1" t="s">
        <v>33</v>
      </c>
      <c r="AG2875" s="1" t="s">
        <v>270</v>
      </c>
    </row>
    <row r="2876" spans="1:33">
      <c r="A2876" t="s">
        <v>10241</v>
      </c>
      <c r="C2876" t="s">
        <v>2756</v>
      </c>
      <c r="E2876" t="s">
        <v>9612</v>
      </c>
      <c r="F2876" t="s">
        <v>9613</v>
      </c>
      <c r="G2876">
        <v>941.3</v>
      </c>
      <c r="H2876">
        <v>941.3</v>
      </c>
      <c r="I2876" t="s">
        <v>269</v>
      </c>
      <c r="J2876" t="s">
        <v>270</v>
      </c>
      <c r="K2876" t="s">
        <v>31</v>
      </c>
      <c r="L2876" t="s">
        <v>32</v>
      </c>
      <c r="M2876" t="s">
        <v>33</v>
      </c>
      <c r="P2876" s="1" t="s">
        <v>10242</v>
      </c>
      <c r="Q2876" s="1" t="s">
        <v>9612</v>
      </c>
      <c r="R2876" s="1" t="s">
        <v>9612</v>
      </c>
      <c r="S2876" s="1"/>
      <c r="T2876" s="1" t="s">
        <v>2756</v>
      </c>
      <c r="U2876" s="1"/>
      <c r="V2876" s="1">
        <v>941.3</v>
      </c>
      <c r="W2876" s="1">
        <v>941.3</v>
      </c>
      <c r="X2876" s="1" t="s">
        <v>35</v>
      </c>
      <c r="Y2876" s="1">
        <v>941300.0</v>
      </c>
      <c r="Z2876" s="1"/>
      <c r="AA2876" s="1">
        <v>941300.0</v>
      </c>
      <c r="AB2876" s="1"/>
      <c r="AC2876" s="1" t="s">
        <v>36</v>
      </c>
      <c r="AD2876" s="1" t="s">
        <v>10243</v>
      </c>
      <c r="AE2876" s="1" t="s">
        <v>32</v>
      </c>
      <c r="AF2876" s="1" t="s">
        <v>33</v>
      </c>
      <c r="AG2876" s="1" t="s">
        <v>270</v>
      </c>
    </row>
    <row r="2877" spans="1:33">
      <c r="A2877" t="s">
        <v>10244</v>
      </c>
      <c r="B2877" t="s">
        <v>10245</v>
      </c>
      <c r="C2877" t="s">
        <v>569</v>
      </c>
      <c r="E2877" t="s">
        <v>9612</v>
      </c>
      <c r="F2877" t="s">
        <v>9613</v>
      </c>
      <c r="G2877">
        <v>32.99</v>
      </c>
      <c r="H2877">
        <v>32.99</v>
      </c>
      <c r="I2877" t="s">
        <v>570</v>
      </c>
      <c r="J2877" t="s">
        <v>571</v>
      </c>
      <c r="K2877" t="s">
        <v>31</v>
      </c>
      <c r="L2877" t="s">
        <v>32</v>
      </c>
      <c r="M2877" t="s">
        <v>33</v>
      </c>
      <c r="P2877" s="1" t="s">
        <v>10246</v>
      </c>
      <c r="Q2877" s="1" t="s">
        <v>9612</v>
      </c>
      <c r="R2877" s="1" t="s">
        <v>9612</v>
      </c>
      <c r="S2877" s="1"/>
      <c r="T2877" s="1" t="s">
        <v>569</v>
      </c>
      <c r="U2877" s="1"/>
      <c r="V2877" s="1">
        <v>32.99</v>
      </c>
      <c r="W2877" s="1">
        <v>32.99</v>
      </c>
      <c r="X2877" s="1" t="s">
        <v>35</v>
      </c>
      <c r="Y2877" s="1">
        <v>32990.0</v>
      </c>
      <c r="Z2877" s="1"/>
      <c r="AA2877" s="1">
        <v>32990.0</v>
      </c>
      <c r="AB2877" s="1"/>
      <c r="AC2877" s="1" t="s">
        <v>36</v>
      </c>
      <c r="AD2877" s="1" t="s">
        <v>10247</v>
      </c>
      <c r="AE2877" s="1" t="s">
        <v>32</v>
      </c>
      <c r="AF2877" s="1" t="s">
        <v>33</v>
      </c>
      <c r="AG2877" s="1" t="s">
        <v>571</v>
      </c>
    </row>
    <row r="2878" spans="1:33">
      <c r="A2878" t="s">
        <v>10248</v>
      </c>
      <c r="C2878" t="s">
        <v>638</v>
      </c>
      <c r="D2878" t="s">
        <v>154</v>
      </c>
      <c r="E2878" t="s">
        <v>9612</v>
      </c>
      <c r="F2878" t="s">
        <v>9613</v>
      </c>
      <c r="G2878">
        <v>328.0</v>
      </c>
      <c r="H2878">
        <v>328.0</v>
      </c>
      <c r="I2878" t="s">
        <v>227</v>
      </c>
      <c r="J2878" t="s">
        <v>228</v>
      </c>
      <c r="K2878" t="s">
        <v>31</v>
      </c>
      <c r="L2878" t="s">
        <v>32</v>
      </c>
      <c r="M2878" t="s">
        <v>33</v>
      </c>
      <c r="P2878" s="1" t="s">
        <v>10249</v>
      </c>
      <c r="Q2878" s="1" t="s">
        <v>9612</v>
      </c>
      <c r="R2878" s="1" t="s">
        <v>9612</v>
      </c>
      <c r="S2878" s="1"/>
      <c r="T2878" s="1" t="s">
        <v>640</v>
      </c>
      <c r="U2878" s="1" t="s">
        <v>641</v>
      </c>
      <c r="V2878" s="1">
        <v>328.0</v>
      </c>
      <c r="W2878" s="1">
        <v>328.0</v>
      </c>
      <c r="X2878" s="1" t="s">
        <v>35</v>
      </c>
      <c r="Y2878" s="1">
        <v>328000.0</v>
      </c>
      <c r="Z2878" s="1"/>
      <c r="AA2878" s="1">
        <v>328000.0</v>
      </c>
      <c r="AB2878" s="1"/>
      <c r="AC2878" s="1" t="s">
        <v>36</v>
      </c>
      <c r="AD2878" s="1" t="s">
        <v>10196</v>
      </c>
      <c r="AE2878" s="1" t="s">
        <v>32</v>
      </c>
      <c r="AF2878" s="1" t="s">
        <v>33</v>
      </c>
      <c r="AG2878" s="1" t="s">
        <v>228</v>
      </c>
    </row>
    <row r="2879" spans="1:33">
      <c r="A2879" t="s">
        <v>10250</v>
      </c>
      <c r="B2879" t="s">
        <v>10251</v>
      </c>
      <c r="C2879" t="s">
        <v>1408</v>
      </c>
      <c r="E2879" t="s">
        <v>9612</v>
      </c>
      <c r="F2879" t="s">
        <v>9613</v>
      </c>
      <c r="G2879">
        <v>840.0</v>
      </c>
      <c r="H2879">
        <v>840.0</v>
      </c>
      <c r="I2879" t="s">
        <v>29</v>
      </c>
      <c r="J2879" t="s">
        <v>30</v>
      </c>
      <c r="K2879" t="s">
        <v>31</v>
      </c>
      <c r="L2879" t="s">
        <v>32</v>
      </c>
      <c r="M2879" t="s">
        <v>33</v>
      </c>
      <c r="P2879" s="1" t="s">
        <v>10252</v>
      </c>
      <c r="Q2879" s="1" t="s">
        <v>9612</v>
      </c>
      <c r="R2879" s="1" t="s">
        <v>9612</v>
      </c>
      <c r="S2879" s="1"/>
      <c r="T2879" s="1" t="s">
        <v>1408</v>
      </c>
      <c r="U2879" s="1"/>
      <c r="V2879" s="1">
        <v>840.0</v>
      </c>
      <c r="W2879" s="1">
        <v>840.0</v>
      </c>
      <c r="X2879" s="1" t="s">
        <v>35</v>
      </c>
      <c r="Y2879" s="1">
        <v>840000.0</v>
      </c>
      <c r="Z2879" s="1"/>
      <c r="AA2879" s="1">
        <v>840000.0</v>
      </c>
      <c r="AB2879" s="1"/>
      <c r="AC2879" s="1" t="s">
        <v>36</v>
      </c>
      <c r="AD2879" s="1" t="s">
        <v>10253</v>
      </c>
      <c r="AE2879" s="1" t="s">
        <v>32</v>
      </c>
      <c r="AF2879" s="1" t="s">
        <v>33</v>
      </c>
      <c r="AG2879" s="1" t="s">
        <v>30</v>
      </c>
    </row>
    <row r="2880" spans="1:33">
      <c r="A2880" t="s">
        <v>10254</v>
      </c>
      <c r="B2880" t="s">
        <v>3600</v>
      </c>
      <c r="C2880" t="s">
        <v>268</v>
      </c>
      <c r="E2880" t="s">
        <v>9612</v>
      </c>
      <c r="F2880" t="s">
        <v>9613</v>
      </c>
      <c r="G2880">
        <v>220.5</v>
      </c>
      <c r="H2880">
        <v>220.5</v>
      </c>
      <c r="I2880" t="s">
        <v>269</v>
      </c>
      <c r="J2880" t="s">
        <v>270</v>
      </c>
      <c r="K2880" t="s">
        <v>31</v>
      </c>
      <c r="L2880" t="s">
        <v>32</v>
      </c>
      <c r="M2880" t="s">
        <v>33</v>
      </c>
      <c r="P2880" s="1" t="s">
        <v>10255</v>
      </c>
      <c r="Q2880" s="1" t="s">
        <v>9612</v>
      </c>
      <c r="R2880" s="1" t="s">
        <v>9612</v>
      </c>
      <c r="S2880" s="1"/>
      <c r="T2880" s="1" t="s">
        <v>268</v>
      </c>
      <c r="U2880" s="1"/>
      <c r="V2880" s="1">
        <v>220.5</v>
      </c>
      <c r="W2880" s="1">
        <v>220.5</v>
      </c>
      <c r="X2880" s="1" t="s">
        <v>35</v>
      </c>
      <c r="Y2880" s="1">
        <v>220500.0</v>
      </c>
      <c r="Z2880" s="1"/>
      <c r="AA2880" s="1">
        <v>220500.0</v>
      </c>
      <c r="AB2880" s="1"/>
      <c r="AC2880" s="1" t="s">
        <v>36</v>
      </c>
      <c r="AD2880" s="1" t="s">
        <v>10256</v>
      </c>
      <c r="AE2880" s="1" t="s">
        <v>32</v>
      </c>
      <c r="AF2880" s="1" t="s">
        <v>33</v>
      </c>
      <c r="AG2880" s="1" t="s">
        <v>270</v>
      </c>
    </row>
    <row r="2881" spans="1:33">
      <c r="A2881" t="s">
        <v>10257</v>
      </c>
      <c r="B2881" t="s">
        <v>10258</v>
      </c>
      <c r="C2881" t="s">
        <v>125</v>
      </c>
      <c r="E2881" t="s">
        <v>9612</v>
      </c>
      <c r="F2881" t="s">
        <v>9613</v>
      </c>
      <c r="G2881">
        <v>43.98</v>
      </c>
      <c r="H2881">
        <v>43.98</v>
      </c>
      <c r="I2881" t="s">
        <v>126</v>
      </c>
      <c r="J2881" t="s">
        <v>127</v>
      </c>
      <c r="K2881" t="s">
        <v>31</v>
      </c>
      <c r="L2881" t="s">
        <v>32</v>
      </c>
      <c r="M2881" t="s">
        <v>33</v>
      </c>
      <c r="P2881" s="1" t="s">
        <v>10259</v>
      </c>
      <c r="Q2881" s="1" t="s">
        <v>9612</v>
      </c>
      <c r="R2881" s="1" t="s">
        <v>9612</v>
      </c>
      <c r="S2881" s="1"/>
      <c r="T2881" s="1" t="s">
        <v>125</v>
      </c>
      <c r="U2881" s="1"/>
      <c r="V2881" s="1">
        <v>43.98</v>
      </c>
      <c r="W2881" s="1">
        <v>43.98</v>
      </c>
      <c r="X2881" s="1" t="s">
        <v>35</v>
      </c>
      <c r="Y2881" s="1">
        <v>43980.0</v>
      </c>
      <c r="Z2881" s="1"/>
      <c r="AA2881" s="1">
        <v>43980.0</v>
      </c>
      <c r="AB2881" s="1"/>
      <c r="AC2881" s="1" t="s">
        <v>36</v>
      </c>
      <c r="AD2881" s="1" t="s">
        <v>10260</v>
      </c>
      <c r="AE2881" s="1" t="s">
        <v>32</v>
      </c>
      <c r="AF2881" s="1" t="s">
        <v>33</v>
      </c>
      <c r="AG2881" s="1" t="s">
        <v>127</v>
      </c>
    </row>
    <row r="2882" spans="1:33">
      <c r="A2882" t="s">
        <v>10261</v>
      </c>
      <c r="B2882" t="s">
        <v>10262</v>
      </c>
      <c r="C2882" t="s">
        <v>125</v>
      </c>
      <c r="E2882" t="s">
        <v>9612</v>
      </c>
      <c r="F2882" t="s">
        <v>9613</v>
      </c>
      <c r="G2882">
        <v>6.519</v>
      </c>
      <c r="H2882">
        <v>6.519</v>
      </c>
      <c r="I2882" t="s">
        <v>126</v>
      </c>
      <c r="J2882" t="s">
        <v>127</v>
      </c>
      <c r="K2882" t="s">
        <v>31</v>
      </c>
      <c r="L2882" t="s">
        <v>32</v>
      </c>
      <c r="M2882" t="s">
        <v>33</v>
      </c>
      <c r="P2882" s="1" t="s">
        <v>10263</v>
      </c>
      <c r="Q2882" s="1" t="s">
        <v>9612</v>
      </c>
      <c r="R2882" s="1" t="s">
        <v>9612</v>
      </c>
      <c r="S2882" s="1"/>
      <c r="T2882" s="1" t="s">
        <v>125</v>
      </c>
      <c r="U2882" s="1"/>
      <c r="V2882" s="1">
        <v>6.519</v>
      </c>
      <c r="W2882" s="1">
        <v>6.519</v>
      </c>
      <c r="X2882" s="1" t="s">
        <v>35</v>
      </c>
      <c r="Y2882" s="1">
        <v>6519.0</v>
      </c>
      <c r="Z2882" s="1"/>
      <c r="AA2882" s="1">
        <v>6519.0</v>
      </c>
      <c r="AB2882" s="1"/>
      <c r="AC2882" s="1" t="s">
        <v>36</v>
      </c>
      <c r="AD2882" s="1" t="s">
        <v>10247</v>
      </c>
      <c r="AE2882" s="1" t="s">
        <v>32</v>
      </c>
      <c r="AF2882" s="1" t="s">
        <v>33</v>
      </c>
      <c r="AG2882" s="1" t="s">
        <v>127</v>
      </c>
    </row>
    <row r="2883" spans="1:33">
      <c r="A2883" t="s">
        <v>10264</v>
      </c>
      <c r="B2883" t="s">
        <v>3860</v>
      </c>
      <c r="C2883" t="s">
        <v>125</v>
      </c>
      <c r="E2883" t="s">
        <v>9612</v>
      </c>
      <c r="F2883" t="s">
        <v>9613</v>
      </c>
      <c r="G2883">
        <v>66.47</v>
      </c>
      <c r="H2883">
        <v>66.47</v>
      </c>
      <c r="I2883" t="s">
        <v>126</v>
      </c>
      <c r="J2883" t="s">
        <v>127</v>
      </c>
      <c r="K2883" t="s">
        <v>31</v>
      </c>
      <c r="L2883" t="s">
        <v>32</v>
      </c>
      <c r="M2883" t="s">
        <v>33</v>
      </c>
      <c r="P2883" s="1" t="s">
        <v>10265</v>
      </c>
      <c r="Q2883" s="1" t="s">
        <v>9612</v>
      </c>
      <c r="R2883" s="1" t="s">
        <v>9612</v>
      </c>
      <c r="S2883" s="1"/>
      <c r="T2883" s="1" t="s">
        <v>125</v>
      </c>
      <c r="U2883" s="1"/>
      <c r="V2883" s="1">
        <v>66.47</v>
      </c>
      <c r="W2883" s="1">
        <v>66.47</v>
      </c>
      <c r="X2883" s="1" t="s">
        <v>35</v>
      </c>
      <c r="Y2883" s="1">
        <v>66470.0</v>
      </c>
      <c r="Z2883" s="1"/>
      <c r="AA2883" s="1">
        <v>66470.0</v>
      </c>
      <c r="AB2883" s="1"/>
      <c r="AC2883" s="1" t="s">
        <v>36</v>
      </c>
      <c r="AD2883" s="1" t="s">
        <v>10266</v>
      </c>
      <c r="AE2883" s="1" t="s">
        <v>32</v>
      </c>
      <c r="AF2883" s="1" t="s">
        <v>33</v>
      </c>
      <c r="AG2883" s="1" t="s">
        <v>127</v>
      </c>
    </row>
    <row r="2884" spans="1:33">
      <c r="A2884" t="s">
        <v>10267</v>
      </c>
      <c r="B2884" t="s">
        <v>10268</v>
      </c>
      <c r="C2884" t="s">
        <v>268</v>
      </c>
      <c r="E2884" t="s">
        <v>9612</v>
      </c>
      <c r="F2884" t="s">
        <v>9613</v>
      </c>
      <c r="G2884">
        <v>232.8</v>
      </c>
      <c r="H2884">
        <v>232.8</v>
      </c>
      <c r="I2884" t="s">
        <v>269</v>
      </c>
      <c r="J2884" t="s">
        <v>270</v>
      </c>
      <c r="K2884" t="s">
        <v>31</v>
      </c>
      <c r="L2884" t="s">
        <v>32</v>
      </c>
      <c r="M2884" t="s">
        <v>33</v>
      </c>
      <c r="P2884" s="1" t="s">
        <v>10269</v>
      </c>
      <c r="Q2884" s="1" t="s">
        <v>9612</v>
      </c>
      <c r="R2884" s="1" t="s">
        <v>9612</v>
      </c>
      <c r="S2884" s="1"/>
      <c r="T2884" s="1" t="s">
        <v>268</v>
      </c>
      <c r="U2884" s="1"/>
      <c r="V2884" s="1">
        <v>232.8</v>
      </c>
      <c r="W2884" s="1">
        <v>232.8</v>
      </c>
      <c r="X2884" s="1" t="s">
        <v>35</v>
      </c>
      <c r="Y2884" s="1">
        <v>232800.0</v>
      </c>
      <c r="Z2884" s="1"/>
      <c r="AA2884" s="1">
        <v>232800.0</v>
      </c>
      <c r="AB2884" s="1"/>
      <c r="AC2884" s="1" t="s">
        <v>36</v>
      </c>
      <c r="AD2884" s="1" t="s">
        <v>10270</v>
      </c>
      <c r="AE2884" s="1" t="s">
        <v>32</v>
      </c>
      <c r="AF2884" s="1" t="s">
        <v>33</v>
      </c>
      <c r="AG2884" s="1" t="s">
        <v>270</v>
      </c>
    </row>
    <row r="2885" spans="1:33">
      <c r="A2885" t="s">
        <v>10271</v>
      </c>
      <c r="B2885" t="s">
        <v>10272</v>
      </c>
      <c r="C2885" t="s">
        <v>47</v>
      </c>
      <c r="E2885" t="s">
        <v>9612</v>
      </c>
      <c r="F2885" t="s">
        <v>9613</v>
      </c>
      <c r="G2885">
        <v>36.99</v>
      </c>
      <c r="H2885">
        <v>36.99</v>
      </c>
      <c r="I2885" t="s">
        <v>2206</v>
      </c>
      <c r="J2885" t="s">
        <v>49</v>
      </c>
      <c r="K2885" t="s">
        <v>31</v>
      </c>
      <c r="L2885" t="s">
        <v>32</v>
      </c>
      <c r="M2885" t="s">
        <v>33</v>
      </c>
      <c r="P2885" s="1" t="s">
        <v>10273</v>
      </c>
      <c r="Q2885" s="1" t="s">
        <v>9612</v>
      </c>
      <c r="R2885" s="1" t="s">
        <v>9612</v>
      </c>
      <c r="S2885" s="1"/>
      <c r="T2885" s="1" t="s">
        <v>47</v>
      </c>
      <c r="U2885" s="1"/>
      <c r="V2885" s="1">
        <v>36.99</v>
      </c>
      <c r="W2885" s="1">
        <v>36.99</v>
      </c>
      <c r="X2885" s="1" t="s">
        <v>35</v>
      </c>
      <c r="Y2885" s="1">
        <v>36990.0</v>
      </c>
      <c r="Z2885" s="1"/>
      <c r="AA2885" s="1">
        <v>36990.0</v>
      </c>
      <c r="AB2885" s="1"/>
      <c r="AC2885" s="1" t="s">
        <v>36</v>
      </c>
      <c r="AD2885" s="1" t="s">
        <v>10270</v>
      </c>
      <c r="AE2885" s="1" t="s">
        <v>32</v>
      </c>
      <c r="AF2885" s="1" t="s">
        <v>33</v>
      </c>
      <c r="AG2885" s="1" t="s">
        <v>49</v>
      </c>
    </row>
    <row r="2886" spans="1:33">
      <c r="A2886" t="s">
        <v>10274</v>
      </c>
      <c r="C2886" t="s">
        <v>866</v>
      </c>
      <c r="D2886" t="s">
        <v>154</v>
      </c>
      <c r="E2886" t="s">
        <v>9612</v>
      </c>
      <c r="F2886" t="s">
        <v>9613</v>
      </c>
      <c r="G2886">
        <v>336.0</v>
      </c>
      <c r="H2886">
        <v>336.0</v>
      </c>
      <c r="I2886" t="s">
        <v>2206</v>
      </c>
      <c r="J2886" t="s">
        <v>49</v>
      </c>
      <c r="K2886" t="s">
        <v>31</v>
      </c>
      <c r="L2886" t="s">
        <v>32</v>
      </c>
      <c r="M2886" t="s">
        <v>33</v>
      </c>
      <c r="P2886" s="1" t="s">
        <v>10275</v>
      </c>
      <c r="Q2886" s="1" t="s">
        <v>9612</v>
      </c>
      <c r="R2886" s="1" t="s">
        <v>9612</v>
      </c>
      <c r="S2886" s="1"/>
      <c r="T2886" s="1" t="s">
        <v>868</v>
      </c>
      <c r="U2886" s="1" t="s">
        <v>869</v>
      </c>
      <c r="V2886" s="1">
        <v>336.0</v>
      </c>
      <c r="W2886" s="1">
        <v>336.0</v>
      </c>
      <c r="X2886" s="1" t="s">
        <v>35</v>
      </c>
      <c r="Y2886" s="1">
        <v>336000.0</v>
      </c>
      <c r="Z2886" s="1"/>
      <c r="AA2886" s="1">
        <v>336000.0</v>
      </c>
      <c r="AB2886" s="1"/>
      <c r="AC2886" s="1" t="s">
        <v>36</v>
      </c>
      <c r="AD2886" s="1" t="s">
        <v>10276</v>
      </c>
      <c r="AE2886" s="1" t="s">
        <v>32</v>
      </c>
      <c r="AF2886" s="1" t="s">
        <v>33</v>
      </c>
      <c r="AG2886" s="1" t="s">
        <v>49</v>
      </c>
    </row>
    <row r="2887" spans="1:33">
      <c r="A2887" t="s">
        <v>10277</v>
      </c>
      <c r="C2887" t="s">
        <v>4624</v>
      </c>
      <c r="E2887" t="s">
        <v>9612</v>
      </c>
      <c r="F2887" t="s">
        <v>9613</v>
      </c>
      <c r="G2887">
        <v>692.0</v>
      </c>
      <c r="H2887">
        <v>692.0</v>
      </c>
      <c r="I2887" t="s">
        <v>126</v>
      </c>
      <c r="J2887" t="s">
        <v>127</v>
      </c>
      <c r="K2887" t="s">
        <v>31</v>
      </c>
      <c r="L2887" t="s">
        <v>32</v>
      </c>
      <c r="M2887" t="s">
        <v>33</v>
      </c>
      <c r="P2887" s="1" t="s">
        <v>10278</v>
      </c>
      <c r="Q2887" s="1" t="s">
        <v>9612</v>
      </c>
      <c r="R2887" s="1" t="s">
        <v>9612</v>
      </c>
      <c r="S2887" s="1"/>
      <c r="T2887" s="1" t="s">
        <v>4624</v>
      </c>
      <c r="U2887" s="1"/>
      <c r="V2887" s="1">
        <v>692.0</v>
      </c>
      <c r="W2887" s="1">
        <v>692.0</v>
      </c>
      <c r="X2887" s="1" t="s">
        <v>35</v>
      </c>
      <c r="Y2887" s="1">
        <v>692000.0</v>
      </c>
      <c r="Z2887" s="1"/>
      <c r="AA2887" s="1">
        <v>692000.0</v>
      </c>
      <c r="AB2887" s="1"/>
      <c r="AC2887" s="1" t="s">
        <v>36</v>
      </c>
      <c r="AD2887" s="1" t="s">
        <v>10279</v>
      </c>
      <c r="AE2887" s="1" t="s">
        <v>32</v>
      </c>
      <c r="AF2887" s="1" t="s">
        <v>33</v>
      </c>
      <c r="AG2887" s="1" t="s">
        <v>127</v>
      </c>
    </row>
    <row r="2888" spans="1:33">
      <c r="A2888" t="s">
        <v>10280</v>
      </c>
      <c r="B2888" t="s">
        <v>10281</v>
      </c>
      <c r="C2888" t="s">
        <v>414</v>
      </c>
      <c r="E2888" t="s">
        <v>9612</v>
      </c>
      <c r="F2888" t="s">
        <v>9613</v>
      </c>
      <c r="G2888">
        <v>6.5</v>
      </c>
      <c r="H2888">
        <v>6.5</v>
      </c>
      <c r="I2888" t="s">
        <v>539</v>
      </c>
      <c r="J2888" t="s">
        <v>540</v>
      </c>
      <c r="K2888" t="s">
        <v>31</v>
      </c>
      <c r="L2888" t="s">
        <v>32</v>
      </c>
      <c r="M2888" t="s">
        <v>33</v>
      </c>
      <c r="P2888" s="1" t="s">
        <v>10282</v>
      </c>
      <c r="Q2888" s="1" t="s">
        <v>9612</v>
      </c>
      <c r="R2888" s="1" t="s">
        <v>9112</v>
      </c>
      <c r="S2888" s="1"/>
      <c r="T2888" s="1" t="s">
        <v>414</v>
      </c>
      <c r="U2888" s="1"/>
      <c r="V2888" s="1">
        <v>6.5</v>
      </c>
      <c r="W2888" s="1">
        <v>6.5</v>
      </c>
      <c r="X2888" s="1" t="s">
        <v>35</v>
      </c>
      <c r="Y2888" s="1">
        <v>6500.0</v>
      </c>
      <c r="Z2888" s="1"/>
      <c r="AA2888" s="1">
        <v>6500.0</v>
      </c>
      <c r="AB2888" s="1"/>
      <c r="AC2888" s="1" t="s">
        <v>36</v>
      </c>
      <c r="AD2888" s="1" t="s">
        <v>10283</v>
      </c>
      <c r="AE2888" s="1" t="s">
        <v>32</v>
      </c>
      <c r="AF2888" s="1" t="s">
        <v>33</v>
      </c>
      <c r="AG2888" s="1" t="s">
        <v>540</v>
      </c>
    </row>
    <row r="2889" spans="1:33">
      <c r="A2889" t="s">
        <v>10284</v>
      </c>
      <c r="B2889" t="s">
        <v>10285</v>
      </c>
      <c r="C2889" t="s">
        <v>569</v>
      </c>
      <c r="E2889" t="s">
        <v>9612</v>
      </c>
      <c r="F2889" t="s">
        <v>9613</v>
      </c>
      <c r="G2889">
        <v>50.78</v>
      </c>
      <c r="H2889">
        <v>50.78</v>
      </c>
      <c r="I2889" t="s">
        <v>570</v>
      </c>
      <c r="J2889" t="s">
        <v>571</v>
      </c>
      <c r="K2889" t="s">
        <v>31</v>
      </c>
      <c r="L2889" t="s">
        <v>32</v>
      </c>
      <c r="M2889" t="s">
        <v>33</v>
      </c>
      <c r="P2889" s="1" t="s">
        <v>10286</v>
      </c>
      <c r="Q2889" s="1" t="s">
        <v>9612</v>
      </c>
      <c r="R2889" s="1" t="s">
        <v>9612</v>
      </c>
      <c r="S2889" s="1"/>
      <c r="T2889" s="1" t="s">
        <v>569</v>
      </c>
      <c r="U2889" s="1"/>
      <c r="V2889" s="1">
        <v>50.78</v>
      </c>
      <c r="W2889" s="1">
        <v>50.78</v>
      </c>
      <c r="X2889" s="1" t="s">
        <v>35</v>
      </c>
      <c r="Y2889" s="1">
        <v>50780.0</v>
      </c>
      <c r="Z2889" s="1"/>
      <c r="AA2889" s="1">
        <v>50780.0</v>
      </c>
      <c r="AB2889" s="1"/>
      <c r="AC2889" s="1" t="s">
        <v>36</v>
      </c>
      <c r="AD2889" s="1" t="s">
        <v>10287</v>
      </c>
      <c r="AE2889" s="1" t="s">
        <v>32</v>
      </c>
      <c r="AF2889" s="1" t="s">
        <v>33</v>
      </c>
      <c r="AG2889" s="1" t="s">
        <v>571</v>
      </c>
    </row>
    <row r="2890" spans="1:33">
      <c r="A2890" t="s">
        <v>10288</v>
      </c>
      <c r="C2890" t="s">
        <v>1540</v>
      </c>
      <c r="E2890" t="s">
        <v>9612</v>
      </c>
      <c r="F2890" t="s">
        <v>9613</v>
      </c>
      <c r="G2890">
        <v>980.5</v>
      </c>
      <c r="H2890">
        <v>980.5</v>
      </c>
      <c r="I2890" t="s">
        <v>269</v>
      </c>
      <c r="J2890" t="s">
        <v>270</v>
      </c>
      <c r="K2890" t="s">
        <v>31</v>
      </c>
      <c r="L2890" t="s">
        <v>32</v>
      </c>
      <c r="M2890" t="s">
        <v>33</v>
      </c>
      <c r="P2890" s="1" t="s">
        <v>10289</v>
      </c>
      <c r="Q2890" s="1" t="s">
        <v>9612</v>
      </c>
      <c r="R2890" s="1" t="s">
        <v>9612</v>
      </c>
      <c r="S2890" s="1"/>
      <c r="T2890" s="1" t="s">
        <v>1540</v>
      </c>
      <c r="U2890" s="1"/>
      <c r="V2890" s="1">
        <v>980.5</v>
      </c>
      <c r="W2890" s="1">
        <v>980.5</v>
      </c>
      <c r="X2890" s="1" t="s">
        <v>35</v>
      </c>
      <c r="Y2890" s="1">
        <v>980500.0</v>
      </c>
      <c r="Z2890" s="1"/>
      <c r="AA2890" s="1">
        <v>980500.0</v>
      </c>
      <c r="AB2890" s="1"/>
      <c r="AC2890" s="1" t="s">
        <v>36</v>
      </c>
      <c r="AD2890" s="1" t="s">
        <v>10290</v>
      </c>
      <c r="AE2890" s="1" t="s">
        <v>32</v>
      </c>
      <c r="AF2890" s="1" t="s">
        <v>33</v>
      </c>
      <c r="AG2890" s="1" t="s">
        <v>270</v>
      </c>
    </row>
    <row r="2891" spans="1:33">
      <c r="A2891" t="s">
        <v>10291</v>
      </c>
      <c r="B2891" t="s">
        <v>7928</v>
      </c>
      <c r="C2891" t="s">
        <v>7929</v>
      </c>
      <c r="E2891" t="s">
        <v>9612</v>
      </c>
      <c r="F2891" t="s">
        <v>9613</v>
      </c>
      <c r="G2891">
        <v>640.0</v>
      </c>
      <c r="H2891">
        <v>640.0</v>
      </c>
      <c r="I2891" t="s">
        <v>40</v>
      </c>
      <c r="J2891" t="s">
        <v>41</v>
      </c>
      <c r="K2891" t="s">
        <v>31</v>
      </c>
      <c r="L2891" t="s">
        <v>32</v>
      </c>
      <c r="M2891" t="s">
        <v>33</v>
      </c>
      <c r="P2891" s="1" t="s">
        <v>10292</v>
      </c>
      <c r="Q2891" s="1" t="s">
        <v>9612</v>
      </c>
      <c r="R2891" s="1" t="s">
        <v>9112</v>
      </c>
      <c r="S2891" s="1"/>
      <c r="T2891" s="1" t="s">
        <v>7929</v>
      </c>
      <c r="U2891" s="1"/>
      <c r="V2891" s="1">
        <v>640.0</v>
      </c>
      <c r="W2891" s="1">
        <v>640.0</v>
      </c>
      <c r="X2891" s="1" t="s">
        <v>35</v>
      </c>
      <c r="Y2891" s="1">
        <v>640000.0</v>
      </c>
      <c r="Z2891" s="1"/>
      <c r="AA2891" s="1">
        <v>640000.0</v>
      </c>
      <c r="AB2891" s="1"/>
      <c r="AC2891" s="1" t="s">
        <v>36</v>
      </c>
      <c r="AD2891" s="1" t="s">
        <v>10293</v>
      </c>
      <c r="AE2891" s="1" t="s">
        <v>32</v>
      </c>
      <c r="AF2891" s="1" t="s">
        <v>33</v>
      </c>
      <c r="AG2891" s="1" t="s">
        <v>41</v>
      </c>
    </row>
    <row r="2892" spans="1:33">
      <c r="A2892" t="s">
        <v>10294</v>
      </c>
      <c r="B2892" t="s">
        <v>10295</v>
      </c>
      <c r="C2892" t="s">
        <v>414</v>
      </c>
      <c r="E2892" t="s">
        <v>9612</v>
      </c>
      <c r="F2892" t="s">
        <v>9613</v>
      </c>
      <c r="G2892">
        <v>25.0</v>
      </c>
      <c r="H2892">
        <v>25.0</v>
      </c>
      <c r="I2892" t="s">
        <v>539</v>
      </c>
      <c r="J2892" t="s">
        <v>540</v>
      </c>
      <c r="K2892" t="s">
        <v>31</v>
      </c>
      <c r="L2892" t="s">
        <v>32</v>
      </c>
      <c r="M2892" t="s">
        <v>33</v>
      </c>
      <c r="P2892" s="1" t="s">
        <v>10296</v>
      </c>
      <c r="Q2892" s="1" t="s">
        <v>9612</v>
      </c>
      <c r="R2892" s="1" t="s">
        <v>9112</v>
      </c>
      <c r="S2892" s="1"/>
      <c r="T2892" s="1" t="s">
        <v>414</v>
      </c>
      <c r="U2892" s="1"/>
      <c r="V2892" s="1">
        <v>25.0</v>
      </c>
      <c r="W2892" s="1">
        <v>25.0</v>
      </c>
      <c r="X2892" s="1" t="s">
        <v>35</v>
      </c>
      <c r="Y2892" s="1">
        <v>25000.0</v>
      </c>
      <c r="Z2892" s="1"/>
      <c r="AA2892" s="1">
        <v>25000.0</v>
      </c>
      <c r="AB2892" s="1"/>
      <c r="AC2892" s="1" t="s">
        <v>36</v>
      </c>
      <c r="AD2892" s="1" t="s">
        <v>10297</v>
      </c>
      <c r="AE2892" s="1" t="s">
        <v>32</v>
      </c>
      <c r="AF2892" s="1" t="s">
        <v>33</v>
      </c>
      <c r="AG2892" s="1" t="s">
        <v>540</v>
      </c>
    </row>
    <row r="2893" spans="1:33">
      <c r="A2893" t="s">
        <v>10298</v>
      </c>
      <c r="B2893" t="s">
        <v>10299</v>
      </c>
      <c r="C2893" t="s">
        <v>172</v>
      </c>
      <c r="E2893" t="s">
        <v>9612</v>
      </c>
      <c r="F2893" t="s">
        <v>9613</v>
      </c>
      <c r="G2893">
        <v>96.97</v>
      </c>
      <c r="H2893">
        <v>96.97</v>
      </c>
      <c r="I2893" t="s">
        <v>173</v>
      </c>
      <c r="J2893" t="s">
        <v>174</v>
      </c>
      <c r="K2893" t="s">
        <v>31</v>
      </c>
      <c r="L2893" t="s">
        <v>32</v>
      </c>
      <c r="M2893" t="s">
        <v>33</v>
      </c>
      <c r="P2893" s="1" t="s">
        <v>10300</v>
      </c>
      <c r="Q2893" s="1" t="s">
        <v>9612</v>
      </c>
      <c r="R2893" s="1" t="s">
        <v>9612</v>
      </c>
      <c r="S2893" s="1"/>
      <c r="T2893" s="1" t="s">
        <v>172</v>
      </c>
      <c r="U2893" s="1"/>
      <c r="V2893" s="1">
        <v>96.97</v>
      </c>
      <c r="W2893" s="1">
        <v>96.97</v>
      </c>
      <c r="X2893" s="1" t="s">
        <v>35</v>
      </c>
      <c r="Y2893" s="1">
        <v>96970.0</v>
      </c>
      <c r="Z2893" s="1"/>
      <c r="AA2893" s="1">
        <v>96970.0</v>
      </c>
      <c r="AB2893" s="1"/>
      <c r="AC2893" s="1" t="s">
        <v>36</v>
      </c>
      <c r="AD2893" s="1" t="s">
        <v>10301</v>
      </c>
      <c r="AE2893" s="1" t="s">
        <v>32</v>
      </c>
      <c r="AF2893" s="1" t="s">
        <v>33</v>
      </c>
      <c r="AG2893" s="1" t="s">
        <v>174</v>
      </c>
    </row>
    <row r="2894" spans="1:33">
      <c r="A2894" t="s">
        <v>10302</v>
      </c>
      <c r="B2894" t="s">
        <v>10303</v>
      </c>
      <c r="C2894" t="s">
        <v>47</v>
      </c>
      <c r="E2894" t="s">
        <v>9612</v>
      </c>
      <c r="F2894" t="s">
        <v>9613</v>
      </c>
      <c r="G2894">
        <v>4.498</v>
      </c>
      <c r="H2894">
        <v>4.498</v>
      </c>
      <c r="I2894" t="s">
        <v>2206</v>
      </c>
      <c r="J2894" t="s">
        <v>49</v>
      </c>
      <c r="K2894" t="s">
        <v>31</v>
      </c>
      <c r="L2894" t="s">
        <v>32</v>
      </c>
      <c r="M2894" t="s">
        <v>33</v>
      </c>
      <c r="P2894" s="1" t="s">
        <v>10304</v>
      </c>
      <c r="Q2894" s="1" t="s">
        <v>9612</v>
      </c>
      <c r="R2894" s="1" t="s">
        <v>9612</v>
      </c>
      <c r="S2894" s="1"/>
      <c r="T2894" s="1" t="s">
        <v>47</v>
      </c>
      <c r="U2894" s="1"/>
      <c r="V2894" s="1">
        <v>4.498</v>
      </c>
      <c r="W2894" s="1">
        <v>4.498</v>
      </c>
      <c r="X2894" s="1" t="s">
        <v>35</v>
      </c>
      <c r="Y2894" s="1">
        <v>4498.0</v>
      </c>
      <c r="Z2894" s="1"/>
      <c r="AA2894" s="1">
        <v>4498.0</v>
      </c>
      <c r="AB2894" s="1"/>
      <c r="AC2894" s="1" t="s">
        <v>36</v>
      </c>
      <c r="AD2894" s="1" t="s">
        <v>10305</v>
      </c>
      <c r="AE2894" s="1" t="s">
        <v>32</v>
      </c>
      <c r="AF2894" s="1" t="s">
        <v>33</v>
      </c>
      <c r="AG2894" s="1" t="s">
        <v>49</v>
      </c>
    </row>
    <row r="2895" spans="1:33">
      <c r="A2895" t="s">
        <v>10306</v>
      </c>
      <c r="C2895" t="s">
        <v>763</v>
      </c>
      <c r="E2895" t="s">
        <v>9612</v>
      </c>
      <c r="F2895" t="s">
        <v>9613</v>
      </c>
      <c r="G2895">
        <v>728.0</v>
      </c>
      <c r="H2895">
        <v>728.0</v>
      </c>
      <c r="I2895" t="s">
        <v>179</v>
      </c>
      <c r="J2895" t="s">
        <v>180</v>
      </c>
      <c r="K2895" t="s">
        <v>31</v>
      </c>
      <c r="L2895" t="s">
        <v>32</v>
      </c>
      <c r="M2895" t="s">
        <v>33</v>
      </c>
      <c r="P2895" s="1" t="s">
        <v>10307</v>
      </c>
      <c r="Q2895" s="1" t="s">
        <v>9612</v>
      </c>
      <c r="R2895" s="1" t="s">
        <v>9612</v>
      </c>
      <c r="S2895" s="1"/>
      <c r="T2895" s="1" t="s">
        <v>763</v>
      </c>
      <c r="U2895" s="1"/>
      <c r="V2895" s="1">
        <v>728.0</v>
      </c>
      <c r="W2895" s="1">
        <v>728.0</v>
      </c>
      <c r="X2895" s="1" t="s">
        <v>35</v>
      </c>
      <c r="Y2895" s="1">
        <v>728000.0</v>
      </c>
      <c r="Z2895" s="1"/>
      <c r="AA2895" s="1">
        <v>728000.0</v>
      </c>
      <c r="AB2895" s="1"/>
      <c r="AC2895" s="1" t="s">
        <v>36</v>
      </c>
      <c r="AD2895" s="1" t="s">
        <v>10308</v>
      </c>
      <c r="AE2895" s="1" t="s">
        <v>32</v>
      </c>
      <c r="AF2895" s="1" t="s">
        <v>33</v>
      </c>
      <c r="AG2895" s="1" t="s">
        <v>180</v>
      </c>
    </row>
    <row r="2896" spans="1:33">
      <c r="A2896" t="s">
        <v>10309</v>
      </c>
      <c r="C2896" t="s">
        <v>810</v>
      </c>
      <c r="D2896" t="s">
        <v>154</v>
      </c>
      <c r="E2896" t="s">
        <v>9612</v>
      </c>
      <c r="F2896" t="s">
        <v>9613</v>
      </c>
      <c r="G2896">
        <v>3.515</v>
      </c>
      <c r="H2896">
        <v>3.515</v>
      </c>
      <c r="I2896" t="s">
        <v>269</v>
      </c>
      <c r="J2896" t="s">
        <v>270</v>
      </c>
      <c r="K2896" t="s">
        <v>31</v>
      </c>
      <c r="L2896" t="s">
        <v>32</v>
      </c>
      <c r="M2896" t="s">
        <v>33</v>
      </c>
      <c r="P2896" s="1" t="s">
        <v>10310</v>
      </c>
      <c r="Q2896" s="1" t="s">
        <v>9612</v>
      </c>
      <c r="R2896" s="1" t="s">
        <v>9612</v>
      </c>
      <c r="S2896" s="1"/>
      <c r="T2896" s="1" t="s">
        <v>810</v>
      </c>
      <c r="U2896" s="1"/>
      <c r="V2896" s="1">
        <v>3.515</v>
      </c>
      <c r="W2896" s="1">
        <v>3.515</v>
      </c>
      <c r="X2896" s="1" t="s">
        <v>35</v>
      </c>
      <c r="Y2896" s="1">
        <v>3515250.0</v>
      </c>
      <c r="Z2896" s="1"/>
      <c r="AA2896" s="1">
        <v>3515250.0</v>
      </c>
      <c r="AB2896" s="1"/>
      <c r="AC2896" s="1" t="s">
        <v>36</v>
      </c>
      <c r="AD2896" s="1" t="s">
        <v>10311</v>
      </c>
      <c r="AE2896" s="1" t="s">
        <v>32</v>
      </c>
      <c r="AF2896" s="1" t="s">
        <v>33</v>
      </c>
      <c r="AG2896" s="1" t="s">
        <v>270</v>
      </c>
    </row>
    <row r="2897" spans="1:33">
      <c r="A2897" t="s">
        <v>10312</v>
      </c>
      <c r="C2897" t="s">
        <v>10313</v>
      </c>
      <c r="E2897" t="s">
        <v>9612</v>
      </c>
      <c r="F2897" t="s">
        <v>9613</v>
      </c>
      <c r="G2897">
        <v>1.119</v>
      </c>
      <c r="H2897">
        <v>1.119</v>
      </c>
      <c r="I2897" t="s">
        <v>269</v>
      </c>
      <c r="J2897" t="s">
        <v>270</v>
      </c>
      <c r="K2897" t="s">
        <v>31</v>
      </c>
      <c r="L2897" t="s">
        <v>32</v>
      </c>
      <c r="M2897" t="s">
        <v>33</v>
      </c>
      <c r="P2897" s="1" t="s">
        <v>10314</v>
      </c>
      <c r="Q2897" s="1" t="s">
        <v>9612</v>
      </c>
      <c r="R2897" s="1" t="s">
        <v>9612</v>
      </c>
      <c r="S2897" s="1"/>
      <c r="T2897" s="1" t="s">
        <v>10313</v>
      </c>
      <c r="U2897" s="1"/>
      <c r="V2897" s="1">
        <v>1.119</v>
      </c>
      <c r="W2897" s="1">
        <v>1.119</v>
      </c>
      <c r="X2897" s="1" t="s">
        <v>35</v>
      </c>
      <c r="Y2897" s="1">
        <v>1119400.0</v>
      </c>
      <c r="Z2897" s="1"/>
      <c r="AA2897" s="1">
        <v>1119400.0</v>
      </c>
      <c r="AB2897" s="1"/>
      <c r="AC2897" s="1" t="s">
        <v>36</v>
      </c>
      <c r="AD2897" s="1" t="s">
        <v>10315</v>
      </c>
      <c r="AE2897" s="1" t="s">
        <v>32</v>
      </c>
      <c r="AF2897" s="1" t="s">
        <v>33</v>
      </c>
      <c r="AG2897" s="1" t="s">
        <v>270</v>
      </c>
    </row>
    <row r="2898" spans="1:33">
      <c r="A2898" t="s">
        <v>10316</v>
      </c>
      <c r="C2898" t="s">
        <v>2869</v>
      </c>
      <c r="E2898" t="s">
        <v>9612</v>
      </c>
      <c r="F2898" t="s">
        <v>9613</v>
      </c>
      <c r="G2898">
        <v>66.0</v>
      </c>
      <c r="H2898">
        <v>66.0</v>
      </c>
      <c r="I2898" t="s">
        <v>269</v>
      </c>
      <c r="J2898" t="s">
        <v>270</v>
      </c>
      <c r="K2898" t="s">
        <v>31</v>
      </c>
      <c r="L2898" t="s">
        <v>32</v>
      </c>
      <c r="M2898" t="s">
        <v>33</v>
      </c>
      <c r="P2898" s="1" t="s">
        <v>10317</v>
      </c>
      <c r="Q2898" s="1" t="s">
        <v>9612</v>
      </c>
      <c r="R2898" s="1" t="s">
        <v>9612</v>
      </c>
      <c r="S2898" s="1"/>
      <c r="T2898" s="1" t="s">
        <v>2869</v>
      </c>
      <c r="U2898" s="1"/>
      <c r="V2898" s="1">
        <v>66.0</v>
      </c>
      <c r="W2898" s="1">
        <v>66.0</v>
      </c>
      <c r="X2898" s="1" t="s">
        <v>35</v>
      </c>
      <c r="Y2898" s="1">
        <v>66000.0</v>
      </c>
      <c r="Z2898" s="1"/>
      <c r="AA2898" s="1">
        <v>66000.0</v>
      </c>
      <c r="AB2898" s="1"/>
      <c r="AC2898" s="1" t="s">
        <v>36</v>
      </c>
      <c r="AD2898" s="1" t="s">
        <v>10318</v>
      </c>
      <c r="AE2898" s="1" t="s">
        <v>32</v>
      </c>
      <c r="AF2898" s="1" t="s">
        <v>33</v>
      </c>
      <c r="AG2898" s="1" t="s">
        <v>270</v>
      </c>
    </row>
    <row r="2899" spans="1:33">
      <c r="A2899" t="s">
        <v>10319</v>
      </c>
      <c r="C2899" t="s">
        <v>10320</v>
      </c>
      <c r="E2899" t="s">
        <v>9612</v>
      </c>
      <c r="F2899" t="s">
        <v>9613</v>
      </c>
      <c r="G2899">
        <v>868.7</v>
      </c>
      <c r="H2899">
        <v>868.7</v>
      </c>
      <c r="I2899" t="s">
        <v>269</v>
      </c>
      <c r="J2899" t="s">
        <v>270</v>
      </c>
      <c r="K2899" t="s">
        <v>31</v>
      </c>
      <c r="L2899" t="s">
        <v>32</v>
      </c>
      <c r="M2899" t="s">
        <v>33</v>
      </c>
      <c r="P2899" s="1" t="s">
        <v>10321</v>
      </c>
      <c r="Q2899" s="1" t="s">
        <v>9612</v>
      </c>
      <c r="R2899" s="1" t="s">
        <v>9612</v>
      </c>
      <c r="S2899" s="1"/>
      <c r="T2899" s="1" t="s">
        <v>10320</v>
      </c>
      <c r="U2899" s="1"/>
      <c r="V2899" s="1">
        <v>868.7</v>
      </c>
      <c r="W2899" s="1">
        <v>868.7</v>
      </c>
      <c r="X2899" s="1" t="s">
        <v>35</v>
      </c>
      <c r="Y2899" s="1">
        <v>868700.0</v>
      </c>
      <c r="Z2899" s="1"/>
      <c r="AA2899" s="1">
        <v>868700.0</v>
      </c>
      <c r="AB2899" s="1"/>
      <c r="AC2899" s="1" t="s">
        <v>36</v>
      </c>
      <c r="AD2899" s="1" t="s">
        <v>10322</v>
      </c>
      <c r="AE2899" s="1" t="s">
        <v>32</v>
      </c>
      <c r="AF2899" s="1" t="s">
        <v>33</v>
      </c>
      <c r="AG2899" s="1" t="s">
        <v>270</v>
      </c>
    </row>
    <row r="2900" spans="1:33">
      <c r="A2900" t="s">
        <v>10323</v>
      </c>
      <c r="C2900" t="s">
        <v>6474</v>
      </c>
      <c r="E2900" t="s">
        <v>10324</v>
      </c>
      <c r="F2900" t="s">
        <v>10325</v>
      </c>
      <c r="G2900">
        <v>500.396</v>
      </c>
      <c r="H2900">
        <v>500.396</v>
      </c>
      <c r="I2900" t="s">
        <v>847</v>
      </c>
      <c r="J2900" t="s">
        <v>848</v>
      </c>
      <c r="K2900" t="s">
        <v>31</v>
      </c>
      <c r="L2900" t="s">
        <v>32</v>
      </c>
      <c r="M2900" t="s">
        <v>33</v>
      </c>
      <c r="P2900" s="1" t="s">
        <v>10326</v>
      </c>
      <c r="Q2900" s="1" t="s">
        <v>10324</v>
      </c>
      <c r="R2900" s="1" t="s">
        <v>10324</v>
      </c>
      <c r="S2900" s="1"/>
      <c r="T2900" s="1" t="s">
        <v>6474</v>
      </c>
      <c r="U2900" s="1"/>
      <c r="V2900" s="1">
        <v>500.396</v>
      </c>
      <c r="W2900" s="1">
        <v>500.396</v>
      </c>
      <c r="X2900" s="1" t="s">
        <v>35</v>
      </c>
      <c r="Y2900" s="1">
        <v>500396.0</v>
      </c>
      <c r="Z2900" s="1"/>
      <c r="AA2900" s="1">
        <v>500396.0</v>
      </c>
      <c r="AB2900" s="1"/>
      <c r="AC2900" s="1" t="s">
        <v>36</v>
      </c>
      <c r="AD2900" s="1" t="s">
        <v>10327</v>
      </c>
      <c r="AE2900" s="1" t="s">
        <v>32</v>
      </c>
      <c r="AF2900" s="1" t="s">
        <v>33</v>
      </c>
      <c r="AG2900" s="1" t="s">
        <v>848</v>
      </c>
    </row>
    <row r="2901" spans="1:33">
      <c r="A2901" t="s">
        <v>10328</v>
      </c>
      <c r="C2901" t="s">
        <v>10329</v>
      </c>
      <c r="E2901" t="s">
        <v>10324</v>
      </c>
      <c r="F2901" t="s">
        <v>10325</v>
      </c>
      <c r="G2901">
        <v>326.0</v>
      </c>
      <c r="H2901">
        <v>326.0</v>
      </c>
      <c r="I2901" t="s">
        <v>847</v>
      </c>
      <c r="J2901" t="s">
        <v>848</v>
      </c>
      <c r="K2901" t="s">
        <v>31</v>
      </c>
      <c r="L2901" t="s">
        <v>32</v>
      </c>
      <c r="M2901" t="s">
        <v>33</v>
      </c>
      <c r="P2901" s="1" t="s">
        <v>10330</v>
      </c>
      <c r="Q2901" s="1" t="s">
        <v>10324</v>
      </c>
      <c r="R2901" s="1" t="s">
        <v>10324</v>
      </c>
      <c r="S2901" s="1"/>
      <c r="T2901" s="1" t="s">
        <v>10329</v>
      </c>
      <c r="U2901" s="1"/>
      <c r="V2901" s="1">
        <v>326.0</v>
      </c>
      <c r="W2901" s="1">
        <v>326.0</v>
      </c>
      <c r="X2901" s="1" t="s">
        <v>35</v>
      </c>
      <c r="Y2901" s="1">
        <v>326000.0</v>
      </c>
      <c r="Z2901" s="1"/>
      <c r="AA2901" s="1">
        <v>326000.0</v>
      </c>
      <c r="AB2901" s="1"/>
      <c r="AC2901" s="1" t="s">
        <v>36</v>
      </c>
      <c r="AD2901" s="1" t="s">
        <v>10331</v>
      </c>
      <c r="AE2901" s="1" t="s">
        <v>32</v>
      </c>
      <c r="AF2901" s="1" t="s">
        <v>33</v>
      </c>
      <c r="AG2901" s="1" t="s">
        <v>848</v>
      </c>
    </row>
    <row r="2902" spans="1:33">
      <c r="A2902" t="s">
        <v>10332</v>
      </c>
      <c r="C2902" t="s">
        <v>3449</v>
      </c>
      <c r="E2902" t="s">
        <v>10324</v>
      </c>
      <c r="F2902" t="s">
        <v>10325</v>
      </c>
      <c r="G2902">
        <v>1.118</v>
      </c>
      <c r="H2902">
        <v>1.118</v>
      </c>
      <c r="I2902" t="s">
        <v>847</v>
      </c>
      <c r="J2902" t="s">
        <v>848</v>
      </c>
      <c r="K2902" t="s">
        <v>31</v>
      </c>
      <c r="L2902" t="s">
        <v>32</v>
      </c>
      <c r="M2902" t="s">
        <v>33</v>
      </c>
      <c r="P2902" s="1" t="s">
        <v>10333</v>
      </c>
      <c r="Q2902" s="1" t="s">
        <v>10324</v>
      </c>
      <c r="R2902" s="1" t="s">
        <v>10324</v>
      </c>
      <c r="S2902" s="1"/>
      <c r="T2902" s="1" t="s">
        <v>3449</v>
      </c>
      <c r="U2902" s="1"/>
      <c r="V2902" s="1">
        <v>1.118</v>
      </c>
      <c r="W2902" s="1">
        <v>1.118</v>
      </c>
      <c r="X2902" s="1" t="s">
        <v>35</v>
      </c>
      <c r="Y2902" s="1">
        <v>1118100.0</v>
      </c>
      <c r="Z2902" s="1"/>
      <c r="AA2902" s="1">
        <v>1118100.0</v>
      </c>
      <c r="AB2902" s="1"/>
      <c r="AC2902" s="1" t="s">
        <v>36</v>
      </c>
      <c r="AD2902" s="1" t="s">
        <v>10334</v>
      </c>
      <c r="AE2902" s="1" t="s">
        <v>32</v>
      </c>
      <c r="AF2902" s="1" t="s">
        <v>33</v>
      </c>
      <c r="AG2902" s="1" t="s">
        <v>848</v>
      </c>
    </row>
    <row r="2903" spans="1:33">
      <c r="A2903" t="s">
        <v>10335</v>
      </c>
      <c r="C2903" t="s">
        <v>1020</v>
      </c>
      <c r="E2903" t="s">
        <v>10324</v>
      </c>
      <c r="F2903" t="s">
        <v>10325</v>
      </c>
      <c r="G2903">
        <v>725.4</v>
      </c>
      <c r="H2903">
        <v>725.4</v>
      </c>
      <c r="I2903" t="s">
        <v>847</v>
      </c>
      <c r="J2903" t="s">
        <v>848</v>
      </c>
      <c r="K2903" t="s">
        <v>31</v>
      </c>
      <c r="L2903" t="s">
        <v>32</v>
      </c>
      <c r="M2903" t="s">
        <v>33</v>
      </c>
      <c r="P2903" s="1" t="s">
        <v>10336</v>
      </c>
      <c r="Q2903" s="1" t="s">
        <v>10324</v>
      </c>
      <c r="R2903" s="1" t="s">
        <v>10324</v>
      </c>
      <c r="S2903" s="1"/>
      <c r="T2903" s="1" t="s">
        <v>1020</v>
      </c>
      <c r="U2903" s="1"/>
      <c r="V2903" s="1">
        <v>725.4</v>
      </c>
      <c r="W2903" s="1">
        <v>725.4</v>
      </c>
      <c r="X2903" s="1" t="s">
        <v>35</v>
      </c>
      <c r="Y2903" s="1">
        <v>725400.0</v>
      </c>
      <c r="Z2903" s="1"/>
      <c r="AA2903" s="1">
        <v>725400.0</v>
      </c>
      <c r="AB2903" s="1"/>
      <c r="AC2903" s="1" t="s">
        <v>36</v>
      </c>
      <c r="AD2903" s="1" t="s">
        <v>10337</v>
      </c>
      <c r="AE2903" s="1" t="s">
        <v>32</v>
      </c>
      <c r="AF2903" s="1" t="s">
        <v>33</v>
      </c>
      <c r="AG2903" s="1" t="s">
        <v>848</v>
      </c>
    </row>
    <row r="2904" spans="1:33">
      <c r="A2904" t="s">
        <v>10338</v>
      </c>
      <c r="C2904" t="s">
        <v>1617</v>
      </c>
      <c r="E2904" t="s">
        <v>10324</v>
      </c>
      <c r="F2904" t="s">
        <v>10325</v>
      </c>
      <c r="G2904">
        <v>921.0</v>
      </c>
      <c r="H2904">
        <v>921.0</v>
      </c>
      <c r="I2904" t="s">
        <v>847</v>
      </c>
      <c r="J2904" t="s">
        <v>848</v>
      </c>
      <c r="K2904" t="s">
        <v>31</v>
      </c>
      <c r="L2904" t="s">
        <v>32</v>
      </c>
      <c r="M2904" t="s">
        <v>33</v>
      </c>
      <c r="P2904" s="1" t="s">
        <v>10339</v>
      </c>
      <c r="Q2904" s="1" t="s">
        <v>10324</v>
      </c>
      <c r="R2904" s="1" t="s">
        <v>10324</v>
      </c>
      <c r="S2904" s="1"/>
      <c r="T2904" s="1" t="s">
        <v>1617</v>
      </c>
      <c r="U2904" s="1"/>
      <c r="V2904" s="1">
        <v>921.0</v>
      </c>
      <c r="W2904" s="1">
        <v>921.0</v>
      </c>
      <c r="X2904" s="1" t="s">
        <v>35</v>
      </c>
      <c r="Y2904" s="1">
        <v>921000.0</v>
      </c>
      <c r="Z2904" s="1"/>
      <c r="AA2904" s="1">
        <v>921000.0</v>
      </c>
      <c r="AB2904" s="1"/>
      <c r="AC2904" s="1" t="s">
        <v>36</v>
      </c>
      <c r="AD2904" s="1" t="s">
        <v>10340</v>
      </c>
      <c r="AE2904" s="1" t="s">
        <v>32</v>
      </c>
      <c r="AF2904" s="1" t="s">
        <v>33</v>
      </c>
      <c r="AG2904" s="1" t="s">
        <v>848</v>
      </c>
    </row>
    <row r="2905" spans="1:33">
      <c r="A2905" t="s">
        <v>10341</v>
      </c>
      <c r="C2905" t="s">
        <v>1012</v>
      </c>
      <c r="D2905" t="s">
        <v>114</v>
      </c>
      <c r="E2905" t="s">
        <v>10324</v>
      </c>
      <c r="F2905" t="s">
        <v>10325</v>
      </c>
      <c r="G2905">
        <v>761.0</v>
      </c>
      <c r="H2905">
        <v>761.0</v>
      </c>
      <c r="I2905" t="s">
        <v>847</v>
      </c>
      <c r="J2905" t="s">
        <v>848</v>
      </c>
      <c r="K2905" t="s">
        <v>31</v>
      </c>
      <c r="L2905" t="s">
        <v>32</v>
      </c>
      <c r="M2905" t="s">
        <v>33</v>
      </c>
      <c r="P2905" s="1" t="s">
        <v>10342</v>
      </c>
      <c r="Q2905" s="1" t="s">
        <v>10324</v>
      </c>
      <c r="R2905" s="1" t="s">
        <v>10324</v>
      </c>
      <c r="S2905" s="1"/>
      <c r="T2905" s="1" t="s">
        <v>1012</v>
      </c>
      <c r="U2905" s="1"/>
      <c r="V2905" s="1">
        <v>761.0</v>
      </c>
      <c r="W2905" s="1">
        <v>761.0</v>
      </c>
      <c r="X2905" s="1" t="s">
        <v>35</v>
      </c>
      <c r="Y2905" s="1">
        <v>761000.0</v>
      </c>
      <c r="Z2905" s="1"/>
      <c r="AA2905" s="1">
        <v>761000.0</v>
      </c>
      <c r="AB2905" s="1"/>
      <c r="AC2905" s="1" t="s">
        <v>36</v>
      </c>
      <c r="AD2905" s="1" t="s">
        <v>10343</v>
      </c>
      <c r="AE2905" s="1" t="s">
        <v>32</v>
      </c>
      <c r="AF2905" s="1" t="s">
        <v>33</v>
      </c>
      <c r="AG2905" s="1" t="s">
        <v>848</v>
      </c>
    </row>
    <row r="2906" spans="1:33">
      <c r="A2906" t="s">
        <v>10344</v>
      </c>
      <c r="C2906" t="s">
        <v>981</v>
      </c>
      <c r="E2906" t="s">
        <v>10324</v>
      </c>
      <c r="F2906" t="s">
        <v>10325</v>
      </c>
      <c r="G2906">
        <v>326.0</v>
      </c>
      <c r="H2906">
        <v>326.0</v>
      </c>
      <c r="I2906" t="s">
        <v>847</v>
      </c>
      <c r="J2906" t="s">
        <v>848</v>
      </c>
      <c r="K2906" t="s">
        <v>31</v>
      </c>
      <c r="L2906" t="s">
        <v>32</v>
      </c>
      <c r="M2906" t="s">
        <v>33</v>
      </c>
      <c r="P2906" s="1" t="s">
        <v>10345</v>
      </c>
      <c r="Q2906" s="1" t="s">
        <v>10324</v>
      </c>
      <c r="R2906" s="1" t="s">
        <v>10324</v>
      </c>
      <c r="S2906" s="1"/>
      <c r="T2906" s="1" t="s">
        <v>981</v>
      </c>
      <c r="U2906" s="1"/>
      <c r="V2906" s="1">
        <v>326.0</v>
      </c>
      <c r="W2906" s="1">
        <v>326.0</v>
      </c>
      <c r="X2906" s="1" t="s">
        <v>35</v>
      </c>
      <c r="Y2906" s="1">
        <v>326000.0</v>
      </c>
      <c r="Z2906" s="1"/>
      <c r="AA2906" s="1">
        <v>326000.0</v>
      </c>
      <c r="AB2906" s="1"/>
      <c r="AC2906" s="1" t="s">
        <v>36</v>
      </c>
      <c r="AD2906" s="1" t="s">
        <v>10346</v>
      </c>
      <c r="AE2906" s="1" t="s">
        <v>32</v>
      </c>
      <c r="AF2906" s="1" t="s">
        <v>33</v>
      </c>
      <c r="AG2906" s="1" t="s">
        <v>848</v>
      </c>
    </row>
    <row r="2907" spans="1:33">
      <c r="A2907" t="s">
        <v>10347</v>
      </c>
      <c r="C2907" t="s">
        <v>5687</v>
      </c>
      <c r="E2907" t="s">
        <v>10324</v>
      </c>
      <c r="F2907" t="s">
        <v>10325</v>
      </c>
      <c r="G2907">
        <v>489.0</v>
      </c>
      <c r="H2907">
        <v>489.0</v>
      </c>
      <c r="I2907" t="s">
        <v>847</v>
      </c>
      <c r="J2907" t="s">
        <v>848</v>
      </c>
      <c r="K2907" t="s">
        <v>31</v>
      </c>
      <c r="L2907" t="s">
        <v>32</v>
      </c>
      <c r="M2907" t="s">
        <v>33</v>
      </c>
      <c r="P2907" s="1" t="s">
        <v>10348</v>
      </c>
      <c r="Q2907" s="1" t="s">
        <v>10324</v>
      </c>
      <c r="R2907" s="1" t="s">
        <v>10324</v>
      </c>
      <c r="S2907" s="1"/>
      <c r="T2907" s="1" t="s">
        <v>5687</v>
      </c>
      <c r="U2907" s="1"/>
      <c r="V2907" s="1">
        <v>489.0</v>
      </c>
      <c r="W2907" s="1">
        <v>489.0</v>
      </c>
      <c r="X2907" s="1" t="s">
        <v>35</v>
      </c>
      <c r="Y2907" s="1">
        <v>489000.0</v>
      </c>
      <c r="Z2907" s="1"/>
      <c r="AA2907" s="1">
        <v>489000.0</v>
      </c>
      <c r="AB2907" s="1"/>
      <c r="AC2907" s="1" t="s">
        <v>36</v>
      </c>
      <c r="AD2907" s="1" t="s">
        <v>10349</v>
      </c>
      <c r="AE2907" s="1" t="s">
        <v>32</v>
      </c>
      <c r="AF2907" s="1" t="s">
        <v>33</v>
      </c>
      <c r="AG2907" s="1" t="s">
        <v>848</v>
      </c>
    </row>
    <row r="2908" spans="1:33">
      <c r="A2908" t="s">
        <v>10350</v>
      </c>
      <c r="B2908" t="s">
        <v>1280</v>
      </c>
      <c r="C2908" t="s">
        <v>1281</v>
      </c>
      <c r="E2908" t="s">
        <v>10324</v>
      </c>
      <c r="F2908" t="s">
        <v>10325</v>
      </c>
      <c r="G2908">
        <v>1.122</v>
      </c>
      <c r="H2908">
        <v>1.122</v>
      </c>
      <c r="I2908" t="s">
        <v>529</v>
      </c>
      <c r="J2908" t="s">
        <v>530</v>
      </c>
      <c r="K2908" t="s">
        <v>31</v>
      </c>
      <c r="L2908" t="s">
        <v>32</v>
      </c>
      <c r="M2908" t="s">
        <v>33</v>
      </c>
      <c r="P2908" s="1" t="s">
        <v>10351</v>
      </c>
      <c r="Q2908" s="1" t="s">
        <v>10324</v>
      </c>
      <c r="R2908" s="1" t="s">
        <v>9612</v>
      </c>
      <c r="S2908" s="1"/>
      <c r="T2908" s="1" t="s">
        <v>1281</v>
      </c>
      <c r="U2908" s="1"/>
      <c r="V2908" s="1">
        <v>1.122</v>
      </c>
      <c r="W2908" s="1">
        <v>1.122</v>
      </c>
      <c r="X2908" s="1" t="s">
        <v>35</v>
      </c>
      <c r="Y2908" s="1">
        <v>1122000.0</v>
      </c>
      <c r="Z2908" s="1"/>
      <c r="AA2908" s="1">
        <v>1122000.0</v>
      </c>
      <c r="AB2908" s="1"/>
      <c r="AC2908" s="1" t="s">
        <v>36</v>
      </c>
      <c r="AD2908" s="1" t="s">
        <v>10352</v>
      </c>
      <c r="AE2908" s="1" t="s">
        <v>1636</v>
      </c>
      <c r="AF2908" s="1" t="s">
        <v>33</v>
      </c>
      <c r="AG2908" s="1" t="s">
        <v>530</v>
      </c>
    </row>
    <row r="2909" spans="1:33">
      <c r="A2909" t="s">
        <v>10353</v>
      </c>
      <c r="B2909" t="s">
        <v>10354</v>
      </c>
      <c r="C2909" t="s">
        <v>1298</v>
      </c>
      <c r="E2909" t="s">
        <v>10324</v>
      </c>
      <c r="F2909" t="s">
        <v>10325</v>
      </c>
      <c r="G2909">
        <v>3.0</v>
      </c>
      <c r="H2909">
        <v>3.0</v>
      </c>
      <c r="I2909" t="s">
        <v>529</v>
      </c>
      <c r="J2909" t="s">
        <v>530</v>
      </c>
      <c r="K2909" t="s">
        <v>31</v>
      </c>
      <c r="L2909" t="s">
        <v>32</v>
      </c>
      <c r="M2909" t="s">
        <v>33</v>
      </c>
      <c r="P2909" s="1" t="s">
        <v>10355</v>
      </c>
      <c r="Q2909" s="1" t="s">
        <v>10324</v>
      </c>
      <c r="R2909" s="1" t="s">
        <v>9612</v>
      </c>
      <c r="S2909" s="1"/>
      <c r="T2909" s="1" t="s">
        <v>1298</v>
      </c>
      <c r="U2909" s="1"/>
      <c r="V2909" s="1">
        <v>3.0</v>
      </c>
      <c r="W2909" s="1">
        <v>3.0</v>
      </c>
      <c r="X2909" s="1" t="s">
        <v>35</v>
      </c>
      <c r="Y2909" s="1">
        <v>3000.0</v>
      </c>
      <c r="Z2909" s="1"/>
      <c r="AA2909" s="1">
        <v>3000.0</v>
      </c>
      <c r="AB2909" s="1"/>
      <c r="AC2909" s="1" t="s">
        <v>36</v>
      </c>
      <c r="AD2909" s="1" t="s">
        <v>10356</v>
      </c>
      <c r="AE2909" s="1" t="s">
        <v>32</v>
      </c>
      <c r="AF2909" s="1" t="s">
        <v>33</v>
      </c>
      <c r="AG2909" s="1" t="s">
        <v>530</v>
      </c>
    </row>
    <row r="2910" spans="1:33">
      <c r="A2910" t="s">
        <v>10357</v>
      </c>
      <c r="B2910" t="s">
        <v>2300</v>
      </c>
      <c r="C2910" t="s">
        <v>26</v>
      </c>
      <c r="E2910" t="s">
        <v>10324</v>
      </c>
      <c r="F2910" t="s">
        <v>10325</v>
      </c>
      <c r="G2910">
        <v>3.0</v>
      </c>
      <c r="H2910">
        <v>3.0</v>
      </c>
      <c r="I2910" t="s">
        <v>29</v>
      </c>
      <c r="J2910" t="s">
        <v>30</v>
      </c>
      <c r="K2910" t="s">
        <v>31</v>
      </c>
      <c r="L2910" t="s">
        <v>32</v>
      </c>
      <c r="M2910" t="s">
        <v>33</v>
      </c>
      <c r="P2910" s="1" t="s">
        <v>10358</v>
      </c>
      <c r="Q2910" s="1" t="s">
        <v>10324</v>
      </c>
      <c r="R2910" s="1" t="s">
        <v>10324</v>
      </c>
      <c r="S2910" s="1"/>
      <c r="T2910" s="1" t="s">
        <v>26</v>
      </c>
      <c r="U2910" s="1"/>
      <c r="V2910" s="1">
        <v>3.0</v>
      </c>
      <c r="W2910" s="1">
        <v>3.0</v>
      </c>
      <c r="X2910" s="1" t="s">
        <v>35</v>
      </c>
      <c r="Y2910" s="1">
        <v>3000.0</v>
      </c>
      <c r="Z2910" s="1"/>
      <c r="AA2910" s="1">
        <v>3000.0</v>
      </c>
      <c r="AB2910" s="1"/>
      <c r="AC2910" s="1" t="s">
        <v>36</v>
      </c>
      <c r="AD2910" s="1" t="s">
        <v>10359</v>
      </c>
      <c r="AE2910" s="1" t="s">
        <v>32</v>
      </c>
      <c r="AF2910" s="1" t="s">
        <v>33</v>
      </c>
      <c r="AG2910" s="1" t="s">
        <v>30</v>
      </c>
    </row>
    <row r="2911" spans="1:33">
      <c r="A2911" t="s">
        <v>10360</v>
      </c>
      <c r="B2911" t="s">
        <v>10361</v>
      </c>
      <c r="C2911" t="s">
        <v>172</v>
      </c>
      <c r="E2911" t="s">
        <v>10324</v>
      </c>
      <c r="F2911" t="s">
        <v>10325</v>
      </c>
      <c r="G2911">
        <v>14.88</v>
      </c>
      <c r="H2911">
        <v>14.88</v>
      </c>
      <c r="I2911" t="s">
        <v>173</v>
      </c>
      <c r="J2911" t="s">
        <v>174</v>
      </c>
      <c r="K2911" t="s">
        <v>31</v>
      </c>
      <c r="L2911" t="s">
        <v>32</v>
      </c>
      <c r="M2911" t="s">
        <v>33</v>
      </c>
      <c r="P2911" s="1" t="s">
        <v>10362</v>
      </c>
      <c r="Q2911" s="1" t="s">
        <v>10324</v>
      </c>
      <c r="R2911" s="1" t="s">
        <v>10324</v>
      </c>
      <c r="S2911" s="1"/>
      <c r="T2911" s="1" t="s">
        <v>172</v>
      </c>
      <c r="U2911" s="1"/>
      <c r="V2911" s="1">
        <v>14.88</v>
      </c>
      <c r="W2911" s="1">
        <v>14.88</v>
      </c>
      <c r="X2911" s="1" t="s">
        <v>35</v>
      </c>
      <c r="Y2911" s="1">
        <v>14880.0</v>
      </c>
      <c r="Z2911" s="1"/>
      <c r="AA2911" s="1">
        <v>14880.0</v>
      </c>
      <c r="AB2911" s="1"/>
      <c r="AC2911" s="1" t="s">
        <v>36</v>
      </c>
      <c r="AD2911" s="1" t="s">
        <v>10363</v>
      </c>
      <c r="AE2911" s="1" t="s">
        <v>32</v>
      </c>
      <c r="AF2911" s="1" t="s">
        <v>33</v>
      </c>
      <c r="AG2911" s="1" t="s">
        <v>174</v>
      </c>
    </row>
    <row r="2912" spans="1:33">
      <c r="A2912" t="s">
        <v>10364</v>
      </c>
      <c r="C2912" t="s">
        <v>131</v>
      </c>
      <c r="E2912" t="s">
        <v>10324</v>
      </c>
      <c r="F2912" t="s">
        <v>10325</v>
      </c>
      <c r="G2912">
        <v>83.96</v>
      </c>
      <c r="H2912">
        <v>83.96</v>
      </c>
      <c r="I2912" t="s">
        <v>94</v>
      </c>
      <c r="J2912" t="s">
        <v>95</v>
      </c>
      <c r="K2912" t="s">
        <v>31</v>
      </c>
      <c r="L2912" t="s">
        <v>32</v>
      </c>
      <c r="M2912" t="s">
        <v>33</v>
      </c>
      <c r="P2912" s="1" t="s">
        <v>10365</v>
      </c>
      <c r="Q2912" s="1" t="s">
        <v>10324</v>
      </c>
      <c r="R2912" s="1" t="s">
        <v>10324</v>
      </c>
      <c r="S2912" s="1"/>
      <c r="T2912" s="1" t="s">
        <v>131</v>
      </c>
      <c r="U2912" s="1"/>
      <c r="V2912" s="1">
        <v>83.96</v>
      </c>
      <c r="W2912" s="1">
        <v>83.96</v>
      </c>
      <c r="X2912" s="1" t="s">
        <v>35</v>
      </c>
      <c r="Y2912" s="1">
        <v>83960.0</v>
      </c>
      <c r="Z2912" s="1"/>
      <c r="AA2912" s="1">
        <v>83960.0</v>
      </c>
      <c r="AB2912" s="1"/>
      <c r="AC2912" s="1" t="s">
        <v>36</v>
      </c>
      <c r="AD2912" s="1" t="s">
        <v>10366</v>
      </c>
      <c r="AE2912" s="1" t="s">
        <v>32</v>
      </c>
      <c r="AF2912" s="1" t="s">
        <v>33</v>
      </c>
      <c r="AG2912" s="1" t="s">
        <v>95</v>
      </c>
    </row>
    <row r="2913" spans="1:33">
      <c r="A2913" t="s">
        <v>10367</v>
      </c>
      <c r="B2913" t="s">
        <v>10368</v>
      </c>
      <c r="C2913" t="s">
        <v>2741</v>
      </c>
      <c r="E2913" t="s">
        <v>10324</v>
      </c>
      <c r="F2913" t="s">
        <v>10325</v>
      </c>
      <c r="G2913">
        <v>450.0</v>
      </c>
      <c r="H2913">
        <v>450.0</v>
      </c>
      <c r="I2913" t="s">
        <v>2742</v>
      </c>
      <c r="J2913" t="s">
        <v>2743</v>
      </c>
      <c r="K2913" t="s">
        <v>31</v>
      </c>
      <c r="L2913" t="s">
        <v>32</v>
      </c>
      <c r="M2913" t="s">
        <v>33</v>
      </c>
      <c r="P2913" s="1" t="s">
        <v>10369</v>
      </c>
      <c r="Q2913" s="1" t="s">
        <v>10324</v>
      </c>
      <c r="R2913" s="1" t="s">
        <v>10324</v>
      </c>
      <c r="S2913" s="1"/>
      <c r="T2913" s="1" t="s">
        <v>2741</v>
      </c>
      <c r="U2913" s="1"/>
      <c r="V2913" s="1">
        <v>450.0</v>
      </c>
      <c r="W2913" s="1">
        <v>450.0</v>
      </c>
      <c r="X2913" s="1" t="s">
        <v>35</v>
      </c>
      <c r="Y2913" s="1">
        <v>450000.0</v>
      </c>
      <c r="Z2913" s="1"/>
      <c r="AA2913" s="1">
        <v>450000.0</v>
      </c>
      <c r="AB2913" s="1"/>
      <c r="AC2913" s="1" t="s">
        <v>36</v>
      </c>
      <c r="AD2913" s="1" t="s">
        <v>10370</v>
      </c>
      <c r="AE2913" s="1" t="s">
        <v>32</v>
      </c>
      <c r="AF2913" s="1" t="s">
        <v>33</v>
      </c>
      <c r="AG2913" s="1" t="s">
        <v>2743</v>
      </c>
    </row>
    <row r="2914" spans="1:33">
      <c r="A2914" t="s">
        <v>10371</v>
      </c>
      <c r="B2914" t="s">
        <v>10372</v>
      </c>
      <c r="C2914" t="s">
        <v>135</v>
      </c>
      <c r="E2914" t="s">
        <v>10324</v>
      </c>
      <c r="F2914" t="s">
        <v>10325</v>
      </c>
      <c r="G2914">
        <v>80.5</v>
      </c>
      <c r="H2914">
        <v>80.5</v>
      </c>
      <c r="I2914" t="s">
        <v>136</v>
      </c>
      <c r="J2914" t="s">
        <v>137</v>
      </c>
      <c r="K2914" t="s">
        <v>31</v>
      </c>
      <c r="L2914" t="s">
        <v>32</v>
      </c>
      <c r="M2914" t="s">
        <v>33</v>
      </c>
      <c r="P2914" s="1" t="s">
        <v>10373</v>
      </c>
      <c r="Q2914" s="1" t="s">
        <v>10324</v>
      </c>
      <c r="R2914" s="1" t="s">
        <v>10324</v>
      </c>
      <c r="S2914" s="1"/>
      <c r="T2914" s="1" t="s">
        <v>135</v>
      </c>
      <c r="U2914" s="1"/>
      <c r="V2914" s="1">
        <v>80.5</v>
      </c>
      <c r="W2914" s="1">
        <v>80.5</v>
      </c>
      <c r="X2914" s="1" t="s">
        <v>35</v>
      </c>
      <c r="Y2914" s="1">
        <v>80500.0</v>
      </c>
      <c r="Z2914" s="1"/>
      <c r="AA2914" s="1">
        <v>80500.0</v>
      </c>
      <c r="AB2914" s="1"/>
      <c r="AC2914" s="1" t="s">
        <v>36</v>
      </c>
      <c r="AD2914" s="1" t="s">
        <v>10374</v>
      </c>
      <c r="AE2914" s="1" t="s">
        <v>32</v>
      </c>
      <c r="AF2914" s="1" t="s">
        <v>33</v>
      </c>
      <c r="AG2914" s="1" t="s">
        <v>137</v>
      </c>
    </row>
    <row r="2915" spans="1:33">
      <c r="A2915" t="s">
        <v>10375</v>
      </c>
      <c r="B2915" t="s">
        <v>3168</v>
      </c>
      <c r="C2915" t="s">
        <v>3169</v>
      </c>
      <c r="E2915" t="s">
        <v>10324</v>
      </c>
      <c r="F2915" t="s">
        <v>10325</v>
      </c>
      <c r="G2915">
        <v>778.724</v>
      </c>
      <c r="H2915">
        <v>778.724</v>
      </c>
      <c r="I2915" t="s">
        <v>529</v>
      </c>
      <c r="J2915" t="s">
        <v>530</v>
      </c>
      <c r="K2915" t="s">
        <v>31</v>
      </c>
      <c r="L2915" t="s">
        <v>32</v>
      </c>
      <c r="M2915" t="s">
        <v>33</v>
      </c>
      <c r="P2915" s="1" t="s">
        <v>10376</v>
      </c>
      <c r="Q2915" s="1" t="s">
        <v>10324</v>
      </c>
      <c r="R2915" s="1" t="s">
        <v>9612</v>
      </c>
      <c r="S2915" s="1"/>
      <c r="T2915" s="1" t="s">
        <v>3169</v>
      </c>
      <c r="U2915" s="1"/>
      <c r="V2915" s="1">
        <v>778.724</v>
      </c>
      <c r="W2915" s="1">
        <v>778.724</v>
      </c>
      <c r="X2915" s="1" t="s">
        <v>35</v>
      </c>
      <c r="Y2915" s="1">
        <v>778724.0</v>
      </c>
      <c r="Z2915" s="1"/>
      <c r="AA2915" s="1">
        <v>778724.0</v>
      </c>
      <c r="AB2915" s="1"/>
      <c r="AC2915" s="1" t="s">
        <v>36</v>
      </c>
      <c r="AD2915" s="1" t="s">
        <v>10377</v>
      </c>
      <c r="AE2915" s="1" t="s">
        <v>32</v>
      </c>
      <c r="AF2915" s="1" t="s">
        <v>33</v>
      </c>
      <c r="AG2915" s="1" t="s">
        <v>530</v>
      </c>
    </row>
    <row r="2916" spans="1:33">
      <c r="A2916" t="s">
        <v>10378</v>
      </c>
      <c r="B2916" t="s">
        <v>4025</v>
      </c>
      <c r="C2916" t="s">
        <v>68</v>
      </c>
      <c r="E2916" t="s">
        <v>10324</v>
      </c>
      <c r="F2916" t="s">
        <v>10325</v>
      </c>
      <c r="G2916">
        <v>100.47</v>
      </c>
      <c r="H2916">
        <v>100.47</v>
      </c>
      <c r="I2916" t="s">
        <v>59</v>
      </c>
      <c r="J2916" t="s">
        <v>60</v>
      </c>
      <c r="K2916" t="s">
        <v>31</v>
      </c>
      <c r="L2916" t="s">
        <v>32</v>
      </c>
      <c r="M2916" t="s">
        <v>33</v>
      </c>
      <c r="P2916" s="1" t="s">
        <v>10379</v>
      </c>
      <c r="Q2916" s="1" t="s">
        <v>10324</v>
      </c>
      <c r="R2916" s="1" t="s">
        <v>10324</v>
      </c>
      <c r="S2916" s="1"/>
      <c r="T2916" s="1" t="s">
        <v>68</v>
      </c>
      <c r="U2916" s="1"/>
      <c r="V2916" s="1">
        <v>100.47</v>
      </c>
      <c r="W2916" s="1">
        <v>100.47</v>
      </c>
      <c r="X2916" s="1" t="s">
        <v>35</v>
      </c>
      <c r="Y2916" s="1">
        <v>100470.0</v>
      </c>
      <c r="Z2916" s="1"/>
      <c r="AA2916" s="1">
        <v>100470.0</v>
      </c>
      <c r="AB2916" s="1"/>
      <c r="AC2916" s="1" t="s">
        <v>36</v>
      </c>
      <c r="AD2916" s="1" t="s">
        <v>10380</v>
      </c>
      <c r="AE2916" s="1" t="s">
        <v>32</v>
      </c>
      <c r="AF2916" s="1" t="s">
        <v>33</v>
      </c>
      <c r="AG2916" s="1" t="s">
        <v>60</v>
      </c>
    </row>
    <row r="2917" spans="1:33">
      <c r="A2917" t="s">
        <v>10381</v>
      </c>
      <c r="B2917" t="s">
        <v>10361</v>
      </c>
      <c r="C2917" t="s">
        <v>172</v>
      </c>
      <c r="E2917" t="s">
        <v>10324</v>
      </c>
      <c r="F2917" t="s">
        <v>10325</v>
      </c>
      <c r="G2917">
        <v>16.99</v>
      </c>
      <c r="H2917">
        <v>16.99</v>
      </c>
      <c r="I2917" t="s">
        <v>173</v>
      </c>
      <c r="J2917" t="s">
        <v>174</v>
      </c>
      <c r="K2917" t="s">
        <v>31</v>
      </c>
      <c r="L2917" t="s">
        <v>32</v>
      </c>
      <c r="M2917" t="s">
        <v>33</v>
      </c>
      <c r="P2917" s="1" t="s">
        <v>10382</v>
      </c>
      <c r="Q2917" s="1" t="s">
        <v>10324</v>
      </c>
      <c r="R2917" s="1" t="s">
        <v>10324</v>
      </c>
      <c r="S2917" s="1"/>
      <c r="T2917" s="1" t="s">
        <v>172</v>
      </c>
      <c r="U2917" s="1"/>
      <c r="V2917" s="1">
        <v>16.99</v>
      </c>
      <c r="W2917" s="1">
        <v>16.99</v>
      </c>
      <c r="X2917" s="1" t="s">
        <v>35</v>
      </c>
      <c r="Y2917" s="1">
        <v>16990.0</v>
      </c>
      <c r="Z2917" s="1"/>
      <c r="AA2917" s="1">
        <v>16990.0</v>
      </c>
      <c r="AB2917" s="1"/>
      <c r="AC2917" s="1" t="s">
        <v>36</v>
      </c>
      <c r="AD2917" s="1" t="s">
        <v>10383</v>
      </c>
      <c r="AE2917" s="1" t="s">
        <v>32</v>
      </c>
      <c r="AF2917" s="1" t="s">
        <v>33</v>
      </c>
      <c r="AG2917" s="1" t="s">
        <v>174</v>
      </c>
    </row>
    <row r="2918" spans="1:33">
      <c r="A2918" t="s">
        <v>10384</v>
      </c>
      <c r="B2918" t="s">
        <v>10385</v>
      </c>
      <c r="C2918" t="s">
        <v>569</v>
      </c>
      <c r="E2918" t="s">
        <v>10324</v>
      </c>
      <c r="F2918" t="s">
        <v>10325</v>
      </c>
      <c r="G2918">
        <v>20.99</v>
      </c>
      <c r="H2918">
        <v>20.99</v>
      </c>
      <c r="I2918" t="s">
        <v>570</v>
      </c>
      <c r="J2918" t="s">
        <v>571</v>
      </c>
      <c r="K2918" t="s">
        <v>31</v>
      </c>
      <c r="L2918" t="s">
        <v>32</v>
      </c>
      <c r="M2918" t="s">
        <v>33</v>
      </c>
      <c r="P2918" s="1" t="s">
        <v>10386</v>
      </c>
      <c r="Q2918" s="1" t="s">
        <v>10324</v>
      </c>
      <c r="R2918" s="1" t="s">
        <v>10324</v>
      </c>
      <c r="S2918" s="1"/>
      <c r="T2918" s="1" t="s">
        <v>569</v>
      </c>
      <c r="U2918" s="1"/>
      <c r="V2918" s="1">
        <v>20.99</v>
      </c>
      <c r="W2918" s="1">
        <v>20.99</v>
      </c>
      <c r="X2918" s="1" t="s">
        <v>35</v>
      </c>
      <c r="Y2918" s="1">
        <v>20990.0</v>
      </c>
      <c r="Z2918" s="1"/>
      <c r="AA2918" s="1">
        <v>20990.0</v>
      </c>
      <c r="AB2918" s="1"/>
      <c r="AC2918" s="1" t="s">
        <v>36</v>
      </c>
      <c r="AD2918" s="1" t="s">
        <v>10370</v>
      </c>
      <c r="AE2918" s="1" t="s">
        <v>32</v>
      </c>
      <c r="AF2918" s="1" t="s">
        <v>33</v>
      </c>
      <c r="AG2918" s="1" t="s">
        <v>571</v>
      </c>
    </row>
    <row r="2919" spans="1:33">
      <c r="A2919" t="s">
        <v>10387</v>
      </c>
      <c r="B2919" t="s">
        <v>10388</v>
      </c>
      <c r="C2919" t="s">
        <v>131</v>
      </c>
      <c r="E2919" t="s">
        <v>10324</v>
      </c>
      <c r="F2919" t="s">
        <v>10325</v>
      </c>
      <c r="G2919">
        <v>22.0</v>
      </c>
      <c r="H2919">
        <v>22.0</v>
      </c>
      <c r="I2919" t="s">
        <v>94</v>
      </c>
      <c r="J2919" t="s">
        <v>95</v>
      </c>
      <c r="K2919" t="s">
        <v>31</v>
      </c>
      <c r="L2919" t="s">
        <v>32</v>
      </c>
      <c r="M2919" t="s">
        <v>33</v>
      </c>
      <c r="P2919" s="1" t="s">
        <v>10389</v>
      </c>
      <c r="Q2919" s="1" t="s">
        <v>10324</v>
      </c>
      <c r="R2919" s="1" t="s">
        <v>10324</v>
      </c>
      <c r="S2919" s="1"/>
      <c r="T2919" s="1" t="s">
        <v>131</v>
      </c>
      <c r="U2919" s="1"/>
      <c r="V2919" s="1">
        <v>22.0</v>
      </c>
      <c r="W2919" s="1">
        <v>22.0</v>
      </c>
      <c r="X2919" s="1" t="s">
        <v>35</v>
      </c>
      <c r="Y2919" s="1">
        <v>22000.0</v>
      </c>
      <c r="Z2919" s="1"/>
      <c r="AA2919" s="1">
        <v>22000.0</v>
      </c>
      <c r="AB2919" s="1"/>
      <c r="AC2919" s="1" t="s">
        <v>36</v>
      </c>
      <c r="AD2919" s="1" t="s">
        <v>10390</v>
      </c>
      <c r="AE2919" s="1" t="s">
        <v>32</v>
      </c>
      <c r="AF2919" s="1" t="s">
        <v>33</v>
      </c>
      <c r="AG2919" s="1" t="s">
        <v>95</v>
      </c>
    </row>
    <row r="2920" spans="1:33">
      <c r="A2920" t="s">
        <v>10391</v>
      </c>
      <c r="B2920" t="s">
        <v>1201</v>
      </c>
      <c r="C2920" t="s">
        <v>172</v>
      </c>
      <c r="E2920" t="s">
        <v>10324</v>
      </c>
      <c r="F2920" t="s">
        <v>10325</v>
      </c>
      <c r="G2920">
        <v>31.99</v>
      </c>
      <c r="H2920">
        <v>31.99</v>
      </c>
      <c r="I2920" t="s">
        <v>173</v>
      </c>
      <c r="J2920" t="s">
        <v>174</v>
      </c>
      <c r="K2920" t="s">
        <v>31</v>
      </c>
      <c r="L2920" t="s">
        <v>32</v>
      </c>
      <c r="M2920" t="s">
        <v>33</v>
      </c>
      <c r="P2920" s="1" t="s">
        <v>10392</v>
      </c>
      <c r="Q2920" s="1" t="s">
        <v>10324</v>
      </c>
      <c r="R2920" s="1" t="s">
        <v>10324</v>
      </c>
      <c r="S2920" s="1"/>
      <c r="T2920" s="1" t="s">
        <v>172</v>
      </c>
      <c r="U2920" s="1"/>
      <c r="V2920" s="1">
        <v>31.99</v>
      </c>
      <c r="W2920" s="1">
        <v>31.99</v>
      </c>
      <c r="X2920" s="1" t="s">
        <v>35</v>
      </c>
      <c r="Y2920" s="1">
        <v>31990.0</v>
      </c>
      <c r="Z2920" s="1"/>
      <c r="AA2920" s="1">
        <v>31990.0</v>
      </c>
      <c r="AB2920" s="1"/>
      <c r="AC2920" s="1" t="s">
        <v>36</v>
      </c>
      <c r="AD2920" s="1" t="s">
        <v>10393</v>
      </c>
      <c r="AE2920" s="1" t="s">
        <v>32</v>
      </c>
      <c r="AF2920" s="1" t="s">
        <v>33</v>
      </c>
      <c r="AG2920" s="1" t="s">
        <v>174</v>
      </c>
    </row>
    <row r="2921" spans="1:33">
      <c r="A2921" t="s">
        <v>10394</v>
      </c>
      <c r="B2921" t="s">
        <v>2893</v>
      </c>
      <c r="C2921" t="s">
        <v>73</v>
      </c>
      <c r="E2921" t="s">
        <v>10324</v>
      </c>
      <c r="F2921" t="s">
        <v>10325</v>
      </c>
      <c r="G2921">
        <v>21.99</v>
      </c>
      <c r="H2921">
        <v>21.99</v>
      </c>
      <c r="I2921" t="s">
        <v>40</v>
      </c>
      <c r="J2921" t="s">
        <v>41</v>
      </c>
      <c r="K2921" t="s">
        <v>31</v>
      </c>
      <c r="L2921" t="s">
        <v>32</v>
      </c>
      <c r="M2921" t="s">
        <v>33</v>
      </c>
      <c r="P2921" s="1" t="s">
        <v>10395</v>
      </c>
      <c r="Q2921" s="1" t="s">
        <v>10324</v>
      </c>
      <c r="R2921" s="1" t="s">
        <v>9612</v>
      </c>
      <c r="S2921" s="1"/>
      <c r="T2921" s="1" t="s">
        <v>75</v>
      </c>
      <c r="U2921" s="1" t="s">
        <v>76</v>
      </c>
      <c r="V2921" s="1">
        <v>21.99</v>
      </c>
      <c r="W2921" s="1">
        <v>21.99</v>
      </c>
      <c r="X2921" s="1" t="s">
        <v>35</v>
      </c>
      <c r="Y2921" s="1">
        <v>21990.0</v>
      </c>
      <c r="Z2921" s="1"/>
      <c r="AA2921" s="1">
        <v>21990.0</v>
      </c>
      <c r="AB2921" s="1"/>
      <c r="AC2921" s="1" t="s">
        <v>36</v>
      </c>
      <c r="AD2921" s="1" t="s">
        <v>10396</v>
      </c>
      <c r="AE2921" s="1" t="s">
        <v>32</v>
      </c>
      <c r="AF2921" s="1" t="s">
        <v>33</v>
      </c>
      <c r="AG2921" s="1" t="s">
        <v>41</v>
      </c>
    </row>
    <row r="2922" spans="1:33">
      <c r="A2922" t="s">
        <v>10397</v>
      </c>
      <c r="B2922" t="s">
        <v>2611</v>
      </c>
      <c r="C2922" t="s">
        <v>2612</v>
      </c>
      <c r="E2922" t="s">
        <v>10324</v>
      </c>
      <c r="F2922" t="s">
        <v>10325</v>
      </c>
      <c r="G2922">
        <v>209.5</v>
      </c>
      <c r="H2922">
        <v>209.5</v>
      </c>
      <c r="I2922" t="s">
        <v>29</v>
      </c>
      <c r="J2922" t="s">
        <v>30</v>
      </c>
      <c r="K2922" t="s">
        <v>31</v>
      </c>
      <c r="L2922" t="s">
        <v>32</v>
      </c>
      <c r="M2922" t="s">
        <v>33</v>
      </c>
      <c r="P2922" s="1" t="s">
        <v>10398</v>
      </c>
      <c r="Q2922" s="1" t="s">
        <v>10324</v>
      </c>
      <c r="R2922" s="1" t="s">
        <v>10324</v>
      </c>
      <c r="S2922" s="1"/>
      <c r="T2922" s="1" t="s">
        <v>2614</v>
      </c>
      <c r="U2922" s="1" t="s">
        <v>154</v>
      </c>
      <c r="V2922" s="1">
        <v>209.5</v>
      </c>
      <c r="W2922" s="1">
        <v>209.5</v>
      </c>
      <c r="X2922" s="1" t="s">
        <v>35</v>
      </c>
      <c r="Y2922" s="1">
        <v>209500.0</v>
      </c>
      <c r="Z2922" s="1"/>
      <c r="AA2922" s="1">
        <v>209500.0</v>
      </c>
      <c r="AB2922" s="1"/>
      <c r="AC2922" s="1" t="s">
        <v>36</v>
      </c>
      <c r="AD2922" s="1" t="s">
        <v>10380</v>
      </c>
      <c r="AE2922" s="1" t="s">
        <v>32</v>
      </c>
      <c r="AF2922" s="1" t="s">
        <v>33</v>
      </c>
      <c r="AG2922" s="1" t="s">
        <v>30</v>
      </c>
    </row>
    <row r="2923" spans="1:33">
      <c r="A2923" t="s">
        <v>10399</v>
      </c>
      <c r="B2923" t="s">
        <v>10400</v>
      </c>
      <c r="C2923" t="s">
        <v>73</v>
      </c>
      <c r="E2923" t="s">
        <v>10324</v>
      </c>
      <c r="F2923" t="s">
        <v>10325</v>
      </c>
      <c r="G2923">
        <v>27.99</v>
      </c>
      <c r="H2923">
        <v>27.99</v>
      </c>
      <c r="I2923" t="s">
        <v>40</v>
      </c>
      <c r="J2923" t="s">
        <v>41</v>
      </c>
      <c r="K2923" t="s">
        <v>31</v>
      </c>
      <c r="L2923" t="s">
        <v>32</v>
      </c>
      <c r="M2923" t="s">
        <v>33</v>
      </c>
      <c r="P2923" s="1" t="s">
        <v>10401</v>
      </c>
      <c r="Q2923" s="1" t="s">
        <v>10324</v>
      </c>
      <c r="R2923" s="1" t="s">
        <v>9612</v>
      </c>
      <c r="S2923" s="1"/>
      <c r="T2923" s="1" t="s">
        <v>75</v>
      </c>
      <c r="U2923" s="1" t="s">
        <v>76</v>
      </c>
      <c r="V2923" s="1">
        <v>27.99</v>
      </c>
      <c r="W2923" s="1">
        <v>27.99</v>
      </c>
      <c r="X2923" s="1" t="s">
        <v>35</v>
      </c>
      <c r="Y2923" s="1">
        <v>27990.0</v>
      </c>
      <c r="Z2923" s="1"/>
      <c r="AA2923" s="1">
        <v>27990.0</v>
      </c>
      <c r="AB2923" s="1"/>
      <c r="AC2923" s="1" t="s">
        <v>36</v>
      </c>
      <c r="AD2923" s="1" t="s">
        <v>10402</v>
      </c>
      <c r="AE2923" s="1" t="s">
        <v>32</v>
      </c>
      <c r="AF2923" s="1" t="s">
        <v>33</v>
      </c>
      <c r="AG2923" s="1" t="s">
        <v>41</v>
      </c>
    </row>
    <row r="2924" spans="1:33">
      <c r="A2924" t="s">
        <v>10403</v>
      </c>
      <c r="C2924" t="s">
        <v>1079</v>
      </c>
      <c r="D2924" t="s">
        <v>114</v>
      </c>
      <c r="E2924" t="s">
        <v>10324</v>
      </c>
      <c r="F2924" t="s">
        <v>10325</v>
      </c>
      <c r="G2924">
        <v>3.103</v>
      </c>
      <c r="H2924">
        <v>3.103</v>
      </c>
      <c r="I2924" t="s">
        <v>269</v>
      </c>
      <c r="J2924" t="s">
        <v>270</v>
      </c>
      <c r="K2924" t="s">
        <v>31</v>
      </c>
      <c r="L2924" t="s">
        <v>32</v>
      </c>
      <c r="M2924" t="s">
        <v>33</v>
      </c>
      <c r="P2924" s="1" t="s">
        <v>10404</v>
      </c>
      <c r="Q2924" s="1" t="s">
        <v>10324</v>
      </c>
      <c r="R2924" s="1" t="s">
        <v>10324</v>
      </c>
      <c r="S2924" s="1"/>
      <c r="T2924" s="1" t="s">
        <v>1079</v>
      </c>
      <c r="U2924" s="1"/>
      <c r="V2924" s="1">
        <v>3.103</v>
      </c>
      <c r="W2924" s="1">
        <v>3.103</v>
      </c>
      <c r="X2924" s="1" t="s">
        <v>35</v>
      </c>
      <c r="Y2924" s="1">
        <v>3103500.0</v>
      </c>
      <c r="Z2924" s="1"/>
      <c r="AA2924" s="1">
        <v>3103500.0</v>
      </c>
      <c r="AB2924" s="1"/>
      <c r="AC2924" s="1" t="s">
        <v>36</v>
      </c>
      <c r="AD2924" s="1" t="s">
        <v>10405</v>
      </c>
      <c r="AE2924" s="1" t="s">
        <v>32</v>
      </c>
      <c r="AF2924" s="1" t="s">
        <v>33</v>
      </c>
      <c r="AG2924" s="1" t="s">
        <v>270</v>
      </c>
    </row>
    <row r="2925" spans="1:33">
      <c r="A2925" t="s">
        <v>10406</v>
      </c>
      <c r="B2925" t="s">
        <v>10407</v>
      </c>
      <c r="C2925" t="s">
        <v>1070</v>
      </c>
      <c r="E2925" t="s">
        <v>10324</v>
      </c>
      <c r="F2925" t="s">
        <v>10325</v>
      </c>
      <c r="G2925">
        <v>39.0</v>
      </c>
      <c r="H2925">
        <v>39.0</v>
      </c>
      <c r="I2925" t="s">
        <v>40</v>
      </c>
      <c r="J2925" t="s">
        <v>41</v>
      </c>
      <c r="K2925" t="s">
        <v>31</v>
      </c>
      <c r="L2925" t="s">
        <v>32</v>
      </c>
      <c r="M2925" t="s">
        <v>33</v>
      </c>
      <c r="P2925" s="1" t="s">
        <v>10408</v>
      </c>
      <c r="Q2925" s="1" t="s">
        <v>10324</v>
      </c>
      <c r="R2925" s="1" t="s">
        <v>9612</v>
      </c>
      <c r="S2925" s="1"/>
      <c r="T2925" s="1" t="s">
        <v>1070</v>
      </c>
      <c r="U2925" s="1"/>
      <c r="V2925" s="1">
        <v>39.0</v>
      </c>
      <c r="W2925" s="1">
        <v>39.0</v>
      </c>
      <c r="X2925" s="1" t="s">
        <v>35</v>
      </c>
      <c r="Y2925" s="1">
        <v>39000.0</v>
      </c>
      <c r="Z2925" s="1"/>
      <c r="AA2925" s="1">
        <v>39000.0</v>
      </c>
      <c r="AB2925" s="1"/>
      <c r="AC2925" s="1" t="s">
        <v>36</v>
      </c>
      <c r="AD2925" s="1" t="s">
        <v>10409</v>
      </c>
      <c r="AE2925" s="1" t="s">
        <v>32</v>
      </c>
      <c r="AF2925" s="1" t="s">
        <v>33</v>
      </c>
      <c r="AG2925" s="1" t="s">
        <v>41</v>
      </c>
    </row>
    <row r="2926" spans="1:33">
      <c r="A2926" t="s">
        <v>10410</v>
      </c>
      <c r="C2926" t="s">
        <v>10411</v>
      </c>
      <c r="E2926" t="s">
        <v>10324</v>
      </c>
      <c r="F2926" t="s">
        <v>10325</v>
      </c>
      <c r="G2926">
        <v>142.5</v>
      </c>
      <c r="H2926">
        <v>142.5</v>
      </c>
      <c r="I2926" t="s">
        <v>269</v>
      </c>
      <c r="J2926" t="s">
        <v>270</v>
      </c>
      <c r="K2926" t="s">
        <v>31</v>
      </c>
      <c r="L2926" t="s">
        <v>32</v>
      </c>
      <c r="M2926" t="s">
        <v>33</v>
      </c>
      <c r="P2926" s="1" t="s">
        <v>10412</v>
      </c>
      <c r="Q2926" s="1" t="s">
        <v>10324</v>
      </c>
      <c r="R2926" s="1" t="s">
        <v>10324</v>
      </c>
      <c r="S2926" s="1"/>
      <c r="T2926" s="1" t="s">
        <v>10411</v>
      </c>
      <c r="U2926" s="1"/>
      <c r="V2926" s="1">
        <v>142.5</v>
      </c>
      <c r="W2926" s="1">
        <v>142.5</v>
      </c>
      <c r="X2926" s="1" t="s">
        <v>35</v>
      </c>
      <c r="Y2926" s="1">
        <v>142500.0</v>
      </c>
      <c r="Z2926" s="1"/>
      <c r="AA2926" s="1">
        <v>142500.0</v>
      </c>
      <c r="AB2926" s="1"/>
      <c r="AC2926" s="1" t="s">
        <v>36</v>
      </c>
      <c r="AD2926" s="1" t="s">
        <v>10413</v>
      </c>
      <c r="AE2926" s="1" t="s">
        <v>32</v>
      </c>
      <c r="AF2926" s="1" t="s">
        <v>33</v>
      </c>
      <c r="AG2926" s="1" t="s">
        <v>270</v>
      </c>
    </row>
    <row r="2927" spans="1:33">
      <c r="A2927" t="s">
        <v>10414</v>
      </c>
      <c r="B2927" t="s">
        <v>10415</v>
      </c>
      <c r="C2927" t="s">
        <v>172</v>
      </c>
      <c r="E2927" t="s">
        <v>10324</v>
      </c>
      <c r="F2927" t="s">
        <v>10325</v>
      </c>
      <c r="G2927">
        <v>43.98</v>
      </c>
      <c r="H2927">
        <v>43.98</v>
      </c>
      <c r="I2927" t="s">
        <v>173</v>
      </c>
      <c r="J2927" t="s">
        <v>174</v>
      </c>
      <c r="K2927" t="s">
        <v>31</v>
      </c>
      <c r="L2927" t="s">
        <v>32</v>
      </c>
      <c r="M2927" t="s">
        <v>33</v>
      </c>
      <c r="P2927" s="1" t="s">
        <v>10416</v>
      </c>
      <c r="Q2927" s="1" t="s">
        <v>10324</v>
      </c>
      <c r="R2927" s="1" t="s">
        <v>10324</v>
      </c>
      <c r="S2927" s="1"/>
      <c r="T2927" s="1" t="s">
        <v>172</v>
      </c>
      <c r="U2927" s="1"/>
      <c r="V2927" s="1">
        <v>43.98</v>
      </c>
      <c r="W2927" s="1">
        <v>43.98</v>
      </c>
      <c r="X2927" s="1" t="s">
        <v>35</v>
      </c>
      <c r="Y2927" s="1">
        <v>43980.0</v>
      </c>
      <c r="Z2927" s="1"/>
      <c r="AA2927" s="1">
        <v>43980.0</v>
      </c>
      <c r="AB2927" s="1"/>
      <c r="AC2927" s="1" t="s">
        <v>36</v>
      </c>
      <c r="AD2927" s="1" t="s">
        <v>10417</v>
      </c>
      <c r="AE2927" s="1" t="s">
        <v>32</v>
      </c>
      <c r="AF2927" s="1" t="s">
        <v>33</v>
      </c>
      <c r="AG2927" s="1" t="s">
        <v>174</v>
      </c>
    </row>
    <row r="2928" spans="1:33">
      <c r="A2928" t="s">
        <v>10418</v>
      </c>
      <c r="C2928" t="s">
        <v>145</v>
      </c>
      <c r="E2928" t="s">
        <v>10324</v>
      </c>
      <c r="F2928" t="s">
        <v>10325</v>
      </c>
      <c r="G2928">
        <v>650.4</v>
      </c>
      <c r="H2928">
        <v>650.4</v>
      </c>
      <c r="I2928" t="s">
        <v>136</v>
      </c>
      <c r="J2928" t="s">
        <v>137</v>
      </c>
      <c r="K2928" t="s">
        <v>31</v>
      </c>
      <c r="L2928" t="s">
        <v>32</v>
      </c>
      <c r="M2928" t="s">
        <v>33</v>
      </c>
      <c r="P2928" s="1" t="s">
        <v>10419</v>
      </c>
      <c r="Q2928" s="1" t="s">
        <v>10324</v>
      </c>
      <c r="R2928" s="1" t="s">
        <v>10324</v>
      </c>
      <c r="S2928" s="1"/>
      <c r="T2928" s="1" t="s">
        <v>145</v>
      </c>
      <c r="U2928" s="1"/>
      <c r="V2928" s="1">
        <v>650.4</v>
      </c>
      <c r="W2928" s="1">
        <v>650.4</v>
      </c>
      <c r="X2928" s="1" t="s">
        <v>35</v>
      </c>
      <c r="Y2928" s="1">
        <v>650400.0</v>
      </c>
      <c r="Z2928" s="1"/>
      <c r="AA2928" s="1">
        <v>650400.0</v>
      </c>
      <c r="AB2928" s="1"/>
      <c r="AC2928" s="1" t="s">
        <v>36</v>
      </c>
      <c r="AD2928" s="1" t="s">
        <v>10420</v>
      </c>
      <c r="AE2928" s="1" t="s">
        <v>32</v>
      </c>
      <c r="AF2928" s="1" t="s">
        <v>33</v>
      </c>
      <c r="AG2928" s="1" t="s">
        <v>137</v>
      </c>
    </row>
    <row r="2929" spans="1:33">
      <c r="A2929" t="s">
        <v>10421</v>
      </c>
      <c r="C2929" t="s">
        <v>827</v>
      </c>
      <c r="D2929" t="s">
        <v>154</v>
      </c>
      <c r="E2929" t="s">
        <v>10324</v>
      </c>
      <c r="F2929" t="s">
        <v>10325</v>
      </c>
      <c r="G2929">
        <v>40.0</v>
      </c>
      <c r="H2929">
        <v>40.0</v>
      </c>
      <c r="I2929" t="s">
        <v>269</v>
      </c>
      <c r="J2929" t="s">
        <v>270</v>
      </c>
      <c r="K2929" t="s">
        <v>31</v>
      </c>
      <c r="L2929" t="s">
        <v>32</v>
      </c>
      <c r="M2929" t="s">
        <v>33</v>
      </c>
      <c r="P2929" s="1" t="s">
        <v>10422</v>
      </c>
      <c r="Q2929" s="1" t="s">
        <v>10324</v>
      </c>
      <c r="R2929" s="1" t="s">
        <v>10324</v>
      </c>
      <c r="S2929" s="1"/>
      <c r="T2929" s="1" t="s">
        <v>827</v>
      </c>
      <c r="U2929" s="1"/>
      <c r="V2929" s="1">
        <v>40.0</v>
      </c>
      <c r="W2929" s="1">
        <v>40.0</v>
      </c>
      <c r="X2929" s="1" t="s">
        <v>35</v>
      </c>
      <c r="Y2929" s="1">
        <v>40000.0</v>
      </c>
      <c r="Z2929" s="1"/>
      <c r="AA2929" s="1">
        <v>40000.0</v>
      </c>
      <c r="AB2929" s="1"/>
      <c r="AC2929" s="1" t="s">
        <v>36</v>
      </c>
      <c r="AD2929" s="1" t="s">
        <v>10423</v>
      </c>
      <c r="AE2929" s="1" t="s">
        <v>32</v>
      </c>
      <c r="AF2929" s="1" t="s">
        <v>33</v>
      </c>
      <c r="AG2929" s="1" t="s">
        <v>270</v>
      </c>
    </row>
    <row r="2930" spans="1:33">
      <c r="A2930" t="s">
        <v>10424</v>
      </c>
      <c r="C2930" t="s">
        <v>8086</v>
      </c>
      <c r="E2930" t="s">
        <v>10324</v>
      </c>
      <c r="F2930" t="s">
        <v>10325</v>
      </c>
      <c r="G2930">
        <v>3.28</v>
      </c>
      <c r="H2930">
        <v>3.28</v>
      </c>
      <c r="I2930" t="s">
        <v>269</v>
      </c>
      <c r="J2930" t="s">
        <v>270</v>
      </c>
      <c r="K2930" t="s">
        <v>31</v>
      </c>
      <c r="L2930" t="s">
        <v>32</v>
      </c>
      <c r="M2930" t="s">
        <v>33</v>
      </c>
      <c r="P2930" s="1" t="s">
        <v>10425</v>
      </c>
      <c r="Q2930" s="1" t="s">
        <v>10324</v>
      </c>
      <c r="R2930" s="1" t="s">
        <v>10324</v>
      </c>
      <c r="S2930" s="1"/>
      <c r="T2930" s="1" t="s">
        <v>8086</v>
      </c>
      <c r="U2930" s="1"/>
      <c r="V2930" s="1">
        <v>3.28</v>
      </c>
      <c r="W2930" s="1">
        <v>3.28</v>
      </c>
      <c r="X2930" s="1" t="s">
        <v>35</v>
      </c>
      <c r="Y2930" s="1">
        <v>3280000.0</v>
      </c>
      <c r="Z2930" s="1"/>
      <c r="AA2930" s="1">
        <v>3280000.0</v>
      </c>
      <c r="AB2930" s="1"/>
      <c r="AC2930" s="1" t="s">
        <v>36</v>
      </c>
      <c r="AD2930" s="1" t="s">
        <v>10417</v>
      </c>
      <c r="AE2930" s="1" t="s">
        <v>32</v>
      </c>
      <c r="AF2930" s="1" t="s">
        <v>33</v>
      </c>
      <c r="AG2930" s="1" t="s">
        <v>270</v>
      </c>
    </row>
    <row r="2931" spans="1:33">
      <c r="A2931" t="s">
        <v>10426</v>
      </c>
      <c r="B2931" t="s">
        <v>2556</v>
      </c>
      <c r="C2931" t="s">
        <v>2557</v>
      </c>
      <c r="E2931" t="s">
        <v>10324</v>
      </c>
      <c r="F2931" t="s">
        <v>10325</v>
      </c>
      <c r="G2931">
        <v>597.5</v>
      </c>
      <c r="H2931">
        <v>597.5</v>
      </c>
      <c r="I2931" t="s">
        <v>59</v>
      </c>
      <c r="J2931" t="s">
        <v>60</v>
      </c>
      <c r="K2931" t="s">
        <v>31</v>
      </c>
      <c r="L2931" t="s">
        <v>32</v>
      </c>
      <c r="M2931" t="s">
        <v>33</v>
      </c>
      <c r="P2931" s="1" t="s">
        <v>10427</v>
      </c>
      <c r="Q2931" s="1" t="s">
        <v>10324</v>
      </c>
      <c r="R2931" s="1" t="s">
        <v>10324</v>
      </c>
      <c r="S2931" s="1"/>
      <c r="T2931" s="1" t="s">
        <v>2557</v>
      </c>
      <c r="U2931" s="1"/>
      <c r="V2931" s="1">
        <v>597.5</v>
      </c>
      <c r="W2931" s="1">
        <v>597.5</v>
      </c>
      <c r="X2931" s="1" t="s">
        <v>35</v>
      </c>
      <c r="Y2931" s="1">
        <v>597500.0</v>
      </c>
      <c r="Z2931" s="1"/>
      <c r="AA2931" s="1">
        <v>597500.0</v>
      </c>
      <c r="AB2931" s="1"/>
      <c r="AC2931" s="1" t="s">
        <v>36</v>
      </c>
      <c r="AD2931" s="1" t="s">
        <v>10428</v>
      </c>
      <c r="AE2931" s="1" t="s">
        <v>32</v>
      </c>
      <c r="AF2931" s="1" t="s">
        <v>33</v>
      </c>
      <c r="AG2931" s="1" t="s">
        <v>60</v>
      </c>
    </row>
    <row r="2932" spans="1:33">
      <c r="A2932" t="s">
        <v>10429</v>
      </c>
      <c r="B2932" t="s">
        <v>10430</v>
      </c>
      <c r="C2932" t="s">
        <v>125</v>
      </c>
      <c r="E2932" t="s">
        <v>10324</v>
      </c>
      <c r="F2932" t="s">
        <v>10325</v>
      </c>
      <c r="G2932">
        <v>59.98</v>
      </c>
      <c r="H2932">
        <v>59.98</v>
      </c>
      <c r="I2932" t="s">
        <v>126</v>
      </c>
      <c r="J2932" t="s">
        <v>127</v>
      </c>
      <c r="K2932" t="s">
        <v>31</v>
      </c>
      <c r="L2932" t="s">
        <v>32</v>
      </c>
      <c r="M2932" t="s">
        <v>33</v>
      </c>
      <c r="P2932" s="1" t="s">
        <v>10431</v>
      </c>
      <c r="Q2932" s="1" t="s">
        <v>10324</v>
      </c>
      <c r="R2932" s="1" t="s">
        <v>10324</v>
      </c>
      <c r="S2932" s="1"/>
      <c r="T2932" s="1" t="s">
        <v>125</v>
      </c>
      <c r="U2932" s="1"/>
      <c r="V2932" s="1">
        <v>59.98</v>
      </c>
      <c r="W2932" s="1">
        <v>59.98</v>
      </c>
      <c r="X2932" s="1" t="s">
        <v>35</v>
      </c>
      <c r="Y2932" s="1">
        <v>59980.0</v>
      </c>
      <c r="Z2932" s="1"/>
      <c r="AA2932" s="1">
        <v>59980.0</v>
      </c>
      <c r="AB2932" s="1"/>
      <c r="AC2932" s="1" t="s">
        <v>36</v>
      </c>
      <c r="AD2932" s="1" t="s">
        <v>10432</v>
      </c>
      <c r="AE2932" s="1" t="s">
        <v>32</v>
      </c>
      <c r="AF2932" s="1" t="s">
        <v>33</v>
      </c>
      <c r="AG2932" s="1" t="s">
        <v>127</v>
      </c>
    </row>
    <row r="2933" spans="1:33">
      <c r="A2933" t="s">
        <v>10433</v>
      </c>
      <c r="C2933" t="s">
        <v>1151</v>
      </c>
      <c r="E2933" t="s">
        <v>10324</v>
      </c>
      <c r="F2933" t="s">
        <v>10325</v>
      </c>
      <c r="G2933">
        <v>790.0</v>
      </c>
      <c r="H2933">
        <v>790.0</v>
      </c>
      <c r="I2933" t="s">
        <v>227</v>
      </c>
      <c r="J2933" t="s">
        <v>228</v>
      </c>
      <c r="K2933" t="s">
        <v>31</v>
      </c>
      <c r="L2933" t="s">
        <v>32</v>
      </c>
      <c r="M2933" t="s">
        <v>33</v>
      </c>
      <c r="P2933" s="1" t="s">
        <v>10434</v>
      </c>
      <c r="Q2933" s="1" t="s">
        <v>10324</v>
      </c>
      <c r="R2933" s="1" t="s">
        <v>10324</v>
      </c>
      <c r="S2933" s="1"/>
      <c r="T2933" s="1" t="s">
        <v>1151</v>
      </c>
      <c r="U2933" s="1"/>
      <c r="V2933" s="1">
        <v>790.0</v>
      </c>
      <c r="W2933" s="1">
        <v>790.0</v>
      </c>
      <c r="X2933" s="1" t="s">
        <v>35</v>
      </c>
      <c r="Y2933" s="1">
        <v>790000.0</v>
      </c>
      <c r="Z2933" s="1"/>
      <c r="AA2933" s="1">
        <v>790000.0</v>
      </c>
      <c r="AB2933" s="1"/>
      <c r="AC2933" s="1" t="s">
        <v>36</v>
      </c>
      <c r="AD2933" s="1" t="s">
        <v>10435</v>
      </c>
      <c r="AE2933" s="1" t="s">
        <v>32</v>
      </c>
      <c r="AF2933" s="1" t="s">
        <v>33</v>
      </c>
      <c r="AG2933" s="1" t="s">
        <v>228</v>
      </c>
    </row>
    <row r="2934" spans="1:33">
      <c r="A2934" t="s">
        <v>10436</v>
      </c>
      <c r="B2934" t="s">
        <v>10437</v>
      </c>
      <c r="C2934" t="s">
        <v>172</v>
      </c>
      <c r="E2934" t="s">
        <v>10324</v>
      </c>
      <c r="F2934" t="s">
        <v>10325</v>
      </c>
      <c r="G2934">
        <v>7.16</v>
      </c>
      <c r="H2934">
        <v>7.16</v>
      </c>
      <c r="I2934" t="s">
        <v>173</v>
      </c>
      <c r="J2934" t="s">
        <v>174</v>
      </c>
      <c r="K2934" t="s">
        <v>31</v>
      </c>
      <c r="L2934" t="s">
        <v>32</v>
      </c>
      <c r="M2934" t="s">
        <v>33</v>
      </c>
      <c r="P2934" s="1" t="s">
        <v>10438</v>
      </c>
      <c r="Q2934" s="1" t="s">
        <v>10324</v>
      </c>
      <c r="R2934" s="1" t="s">
        <v>10324</v>
      </c>
      <c r="S2934" s="1"/>
      <c r="T2934" s="1" t="s">
        <v>172</v>
      </c>
      <c r="U2934" s="1"/>
      <c r="V2934" s="1">
        <v>7.16</v>
      </c>
      <c r="W2934" s="1">
        <v>7.16</v>
      </c>
      <c r="X2934" s="1" t="s">
        <v>35</v>
      </c>
      <c r="Y2934" s="1">
        <v>7160.0</v>
      </c>
      <c r="Z2934" s="1"/>
      <c r="AA2934" s="1">
        <v>7160.0</v>
      </c>
      <c r="AB2934" s="1"/>
      <c r="AC2934" s="1" t="s">
        <v>36</v>
      </c>
      <c r="AD2934" s="1" t="s">
        <v>10439</v>
      </c>
      <c r="AE2934" s="1" t="s">
        <v>32</v>
      </c>
      <c r="AF2934" s="1" t="s">
        <v>33</v>
      </c>
      <c r="AG2934" s="1" t="s">
        <v>174</v>
      </c>
    </row>
    <row r="2935" spans="1:33">
      <c r="A2935" t="s">
        <v>10440</v>
      </c>
      <c r="B2935" t="s">
        <v>10441</v>
      </c>
      <c r="C2935" t="s">
        <v>47</v>
      </c>
      <c r="E2935" t="s">
        <v>10324</v>
      </c>
      <c r="F2935" t="s">
        <v>10325</v>
      </c>
      <c r="G2935">
        <v>154.93</v>
      </c>
      <c r="H2935">
        <v>154.93</v>
      </c>
      <c r="I2935" t="s">
        <v>2206</v>
      </c>
      <c r="J2935" t="s">
        <v>49</v>
      </c>
      <c r="K2935" t="s">
        <v>31</v>
      </c>
      <c r="L2935" t="s">
        <v>32</v>
      </c>
      <c r="M2935" t="s">
        <v>33</v>
      </c>
      <c r="P2935" s="1" t="s">
        <v>10442</v>
      </c>
      <c r="Q2935" s="1" t="s">
        <v>10324</v>
      </c>
      <c r="R2935" s="1" t="s">
        <v>10324</v>
      </c>
      <c r="S2935" s="1"/>
      <c r="T2935" s="1" t="s">
        <v>47</v>
      </c>
      <c r="U2935" s="1"/>
      <c r="V2935" s="1">
        <v>154.93</v>
      </c>
      <c r="W2935" s="1">
        <v>154.93</v>
      </c>
      <c r="X2935" s="1" t="s">
        <v>35</v>
      </c>
      <c r="Y2935" s="1">
        <v>154930.0</v>
      </c>
      <c r="Z2935" s="1"/>
      <c r="AA2935" s="1">
        <v>154930.0</v>
      </c>
      <c r="AB2935" s="1"/>
      <c r="AC2935" s="1" t="s">
        <v>36</v>
      </c>
      <c r="AD2935" s="1" t="s">
        <v>10417</v>
      </c>
      <c r="AE2935" s="1" t="s">
        <v>32</v>
      </c>
      <c r="AF2935" s="1" t="s">
        <v>33</v>
      </c>
      <c r="AG2935" s="1" t="s">
        <v>49</v>
      </c>
    </row>
    <row r="2936" spans="1:33">
      <c r="A2936" t="s">
        <v>10443</v>
      </c>
      <c r="B2936" t="s">
        <v>6724</v>
      </c>
      <c r="C2936" t="s">
        <v>47</v>
      </c>
      <c r="E2936" t="s">
        <v>10324</v>
      </c>
      <c r="F2936" t="s">
        <v>10325</v>
      </c>
      <c r="G2936">
        <v>75.465</v>
      </c>
      <c r="H2936">
        <v>75.465</v>
      </c>
      <c r="I2936" t="s">
        <v>2206</v>
      </c>
      <c r="J2936" t="s">
        <v>49</v>
      </c>
      <c r="K2936" t="s">
        <v>31</v>
      </c>
      <c r="L2936" t="s">
        <v>32</v>
      </c>
      <c r="M2936" t="s">
        <v>33</v>
      </c>
      <c r="P2936" s="1" t="s">
        <v>10444</v>
      </c>
      <c r="Q2936" s="1" t="s">
        <v>10324</v>
      </c>
      <c r="R2936" s="1" t="s">
        <v>10324</v>
      </c>
      <c r="S2936" s="1"/>
      <c r="T2936" s="1" t="s">
        <v>47</v>
      </c>
      <c r="U2936" s="1"/>
      <c r="V2936" s="1">
        <v>75.465</v>
      </c>
      <c r="W2936" s="1">
        <v>75.465</v>
      </c>
      <c r="X2936" s="1" t="s">
        <v>35</v>
      </c>
      <c r="Y2936" s="1">
        <v>75465.0</v>
      </c>
      <c r="Z2936" s="1"/>
      <c r="AA2936" s="1">
        <v>75465.0</v>
      </c>
      <c r="AB2936" s="1"/>
      <c r="AC2936" s="1" t="s">
        <v>36</v>
      </c>
      <c r="AD2936" s="1" t="s">
        <v>10445</v>
      </c>
      <c r="AE2936" s="1" t="s">
        <v>32</v>
      </c>
      <c r="AF2936" s="1" t="s">
        <v>33</v>
      </c>
      <c r="AG2936" s="1" t="s">
        <v>49</v>
      </c>
    </row>
    <row r="2937" spans="1:33">
      <c r="A2937" t="s">
        <v>10446</v>
      </c>
      <c r="B2937" t="s">
        <v>6418</v>
      </c>
      <c r="C2937" t="s">
        <v>314</v>
      </c>
      <c r="E2937" t="s">
        <v>10324</v>
      </c>
      <c r="F2937" t="s">
        <v>10325</v>
      </c>
      <c r="G2937">
        <v>40.99</v>
      </c>
      <c r="H2937">
        <v>40.99</v>
      </c>
      <c r="I2937" t="s">
        <v>179</v>
      </c>
      <c r="J2937" t="s">
        <v>180</v>
      </c>
      <c r="K2937" t="s">
        <v>31</v>
      </c>
      <c r="L2937" t="s">
        <v>32</v>
      </c>
      <c r="M2937" t="s">
        <v>33</v>
      </c>
      <c r="P2937" s="1" t="s">
        <v>10447</v>
      </c>
      <c r="Q2937" s="1" t="s">
        <v>10324</v>
      </c>
      <c r="R2937" s="1" t="s">
        <v>10324</v>
      </c>
      <c r="S2937" s="1"/>
      <c r="T2937" s="1" t="s">
        <v>314</v>
      </c>
      <c r="U2937" s="1"/>
      <c r="V2937" s="1">
        <v>40.99</v>
      </c>
      <c r="W2937" s="1">
        <v>40.99</v>
      </c>
      <c r="X2937" s="1" t="s">
        <v>35</v>
      </c>
      <c r="Y2937" s="1">
        <v>40990.0</v>
      </c>
      <c r="Z2937" s="1"/>
      <c r="AA2937" s="1">
        <v>40990.0</v>
      </c>
      <c r="AB2937" s="1"/>
      <c r="AC2937" s="1" t="s">
        <v>36</v>
      </c>
      <c r="AD2937" s="1" t="s">
        <v>10448</v>
      </c>
      <c r="AE2937" s="1" t="s">
        <v>32</v>
      </c>
      <c r="AF2937" s="1" t="s">
        <v>33</v>
      </c>
      <c r="AG2937" s="1" t="s">
        <v>180</v>
      </c>
    </row>
    <row r="2938" spans="1:33">
      <c r="A2938" t="s">
        <v>10449</v>
      </c>
      <c r="C2938" t="s">
        <v>10450</v>
      </c>
      <c r="E2938" t="s">
        <v>10324</v>
      </c>
      <c r="F2938" t="s">
        <v>10325</v>
      </c>
      <c r="G2938">
        <v>2.41</v>
      </c>
      <c r="H2938">
        <v>2.41</v>
      </c>
      <c r="I2938" t="s">
        <v>94</v>
      </c>
      <c r="J2938" t="s">
        <v>95</v>
      </c>
      <c r="K2938" t="s">
        <v>31</v>
      </c>
      <c r="L2938" t="s">
        <v>32</v>
      </c>
      <c r="M2938" t="s">
        <v>33</v>
      </c>
      <c r="P2938" s="1" t="s">
        <v>10451</v>
      </c>
      <c r="Q2938" s="1" t="s">
        <v>10324</v>
      </c>
      <c r="R2938" s="1" t="s">
        <v>10324</v>
      </c>
      <c r="S2938" s="1"/>
      <c r="T2938" s="1" t="s">
        <v>10450</v>
      </c>
      <c r="U2938" s="1"/>
      <c r="V2938" s="1">
        <v>2.41</v>
      </c>
      <c r="W2938" s="1">
        <v>2.41</v>
      </c>
      <c r="X2938" s="1" t="s">
        <v>35</v>
      </c>
      <c r="Y2938" s="1">
        <v>2410000.0</v>
      </c>
      <c r="Z2938" s="1"/>
      <c r="AA2938" s="1">
        <v>2410000.0</v>
      </c>
      <c r="AB2938" s="1"/>
      <c r="AC2938" s="1" t="s">
        <v>36</v>
      </c>
      <c r="AD2938" s="1" t="s">
        <v>10452</v>
      </c>
      <c r="AE2938" s="1" t="s">
        <v>32</v>
      </c>
      <c r="AF2938" s="1" t="s">
        <v>33</v>
      </c>
      <c r="AG2938" s="1" t="s">
        <v>95</v>
      </c>
    </row>
    <row r="2939" spans="1:33">
      <c r="A2939" t="s">
        <v>10453</v>
      </c>
      <c r="B2939" t="s">
        <v>10454</v>
      </c>
      <c r="C2939" t="s">
        <v>68</v>
      </c>
      <c r="E2939" t="s">
        <v>10324</v>
      </c>
      <c r="F2939" t="s">
        <v>10325</v>
      </c>
      <c r="G2939">
        <v>58.0</v>
      </c>
      <c r="H2939">
        <v>58.0</v>
      </c>
      <c r="I2939" t="s">
        <v>59</v>
      </c>
      <c r="J2939" t="s">
        <v>60</v>
      </c>
      <c r="K2939" t="s">
        <v>31</v>
      </c>
      <c r="L2939" t="s">
        <v>32</v>
      </c>
      <c r="M2939" t="s">
        <v>33</v>
      </c>
      <c r="P2939" s="1" t="s">
        <v>10455</v>
      </c>
      <c r="Q2939" s="1" t="s">
        <v>10324</v>
      </c>
      <c r="R2939" s="1" t="s">
        <v>10324</v>
      </c>
      <c r="S2939" s="1"/>
      <c r="T2939" s="1" t="s">
        <v>68</v>
      </c>
      <c r="U2939" s="1"/>
      <c r="V2939" s="1">
        <v>58.0</v>
      </c>
      <c r="W2939" s="1">
        <v>58.0</v>
      </c>
      <c r="X2939" s="1" t="s">
        <v>35</v>
      </c>
      <c r="Y2939" s="1">
        <v>58000.0</v>
      </c>
      <c r="Z2939" s="1"/>
      <c r="AA2939" s="1">
        <v>58000.0</v>
      </c>
      <c r="AB2939" s="1"/>
      <c r="AC2939" s="1" t="s">
        <v>36</v>
      </c>
      <c r="AD2939" s="1" t="s">
        <v>10456</v>
      </c>
      <c r="AE2939" s="1" t="s">
        <v>32</v>
      </c>
      <c r="AF2939" s="1" t="s">
        <v>33</v>
      </c>
      <c r="AG2939" s="1" t="s">
        <v>60</v>
      </c>
    </row>
    <row r="2940" spans="1:33">
      <c r="A2940" t="s">
        <v>10457</v>
      </c>
      <c r="C2940" t="s">
        <v>2101</v>
      </c>
      <c r="E2940" t="s">
        <v>10324</v>
      </c>
      <c r="F2940" t="s">
        <v>10325</v>
      </c>
      <c r="G2940">
        <v>328.0</v>
      </c>
      <c r="H2940">
        <v>328.0</v>
      </c>
      <c r="I2940" t="s">
        <v>136</v>
      </c>
      <c r="J2940" t="s">
        <v>137</v>
      </c>
      <c r="K2940" t="s">
        <v>31</v>
      </c>
      <c r="L2940" t="s">
        <v>32</v>
      </c>
      <c r="M2940" t="s">
        <v>33</v>
      </c>
      <c r="P2940" s="1" t="s">
        <v>10458</v>
      </c>
      <c r="Q2940" s="1" t="s">
        <v>10324</v>
      </c>
      <c r="R2940" s="1" t="s">
        <v>10324</v>
      </c>
      <c r="S2940" s="1"/>
      <c r="T2940" s="1" t="s">
        <v>2103</v>
      </c>
      <c r="U2940" s="1" t="s">
        <v>2104</v>
      </c>
      <c r="V2940" s="1">
        <v>328.0</v>
      </c>
      <c r="W2940" s="1">
        <v>328.0</v>
      </c>
      <c r="X2940" s="1" t="s">
        <v>35</v>
      </c>
      <c r="Y2940" s="1">
        <v>328000.0</v>
      </c>
      <c r="Z2940" s="1"/>
      <c r="AA2940" s="1">
        <v>328000.0</v>
      </c>
      <c r="AB2940" s="1"/>
      <c r="AC2940" s="1" t="s">
        <v>36</v>
      </c>
      <c r="AD2940" s="1" t="s">
        <v>10459</v>
      </c>
      <c r="AE2940" s="1" t="s">
        <v>32</v>
      </c>
      <c r="AF2940" s="1" t="s">
        <v>33</v>
      </c>
      <c r="AG2940" s="1" t="s">
        <v>137</v>
      </c>
    </row>
    <row r="2941" spans="1:33">
      <c r="A2941" t="s">
        <v>10460</v>
      </c>
      <c r="C2941" t="s">
        <v>5851</v>
      </c>
      <c r="E2941" t="s">
        <v>10324</v>
      </c>
      <c r="F2941" t="s">
        <v>10325</v>
      </c>
      <c r="G2941">
        <v>491.0</v>
      </c>
      <c r="H2941">
        <v>491.0</v>
      </c>
      <c r="I2941" t="s">
        <v>179</v>
      </c>
      <c r="J2941" t="s">
        <v>180</v>
      </c>
      <c r="K2941" t="s">
        <v>31</v>
      </c>
      <c r="L2941" t="s">
        <v>32</v>
      </c>
      <c r="M2941" t="s">
        <v>33</v>
      </c>
      <c r="P2941" s="1" t="s">
        <v>10461</v>
      </c>
      <c r="Q2941" s="1" t="s">
        <v>10324</v>
      </c>
      <c r="R2941" s="1" t="s">
        <v>10324</v>
      </c>
      <c r="S2941" s="1"/>
      <c r="T2941" s="1" t="s">
        <v>5851</v>
      </c>
      <c r="U2941" s="1"/>
      <c r="V2941" s="1">
        <v>491.0</v>
      </c>
      <c r="W2941" s="1">
        <v>491.0</v>
      </c>
      <c r="X2941" s="1" t="s">
        <v>35</v>
      </c>
      <c r="Y2941" s="1">
        <v>491000.0</v>
      </c>
      <c r="Z2941" s="1"/>
      <c r="AA2941" s="1">
        <v>491000.0</v>
      </c>
      <c r="AB2941" s="1"/>
      <c r="AC2941" s="1" t="s">
        <v>36</v>
      </c>
      <c r="AD2941" s="1" t="s">
        <v>10456</v>
      </c>
      <c r="AE2941" s="1" t="s">
        <v>32</v>
      </c>
      <c r="AF2941" s="1" t="s">
        <v>33</v>
      </c>
      <c r="AG2941" s="1" t="s">
        <v>180</v>
      </c>
    </row>
    <row r="2942" spans="1:33">
      <c r="A2942" t="s">
        <v>10462</v>
      </c>
      <c r="B2942" t="s">
        <v>10463</v>
      </c>
      <c r="C2942" t="s">
        <v>131</v>
      </c>
      <c r="E2942" t="s">
        <v>10324</v>
      </c>
      <c r="F2942" t="s">
        <v>10325</v>
      </c>
      <c r="G2942">
        <v>35.58</v>
      </c>
      <c r="H2942">
        <v>35.58</v>
      </c>
      <c r="I2942" t="s">
        <v>94</v>
      </c>
      <c r="J2942" t="s">
        <v>95</v>
      </c>
      <c r="K2942" t="s">
        <v>31</v>
      </c>
      <c r="L2942" t="s">
        <v>32</v>
      </c>
      <c r="M2942" t="s">
        <v>33</v>
      </c>
      <c r="P2942" s="1" t="s">
        <v>10464</v>
      </c>
      <c r="Q2942" s="1" t="s">
        <v>10324</v>
      </c>
      <c r="R2942" s="1" t="s">
        <v>10324</v>
      </c>
      <c r="S2942" s="1"/>
      <c r="T2942" s="1" t="s">
        <v>131</v>
      </c>
      <c r="U2942" s="1"/>
      <c r="V2942" s="1">
        <v>35.58</v>
      </c>
      <c r="W2942" s="1">
        <v>35.58</v>
      </c>
      <c r="X2942" s="1" t="s">
        <v>35</v>
      </c>
      <c r="Y2942" s="1">
        <v>35580.0</v>
      </c>
      <c r="Z2942" s="1"/>
      <c r="AA2942" s="1">
        <v>35580.0</v>
      </c>
      <c r="AB2942" s="1"/>
      <c r="AC2942" s="1" t="s">
        <v>36</v>
      </c>
      <c r="AD2942" s="1" t="s">
        <v>10465</v>
      </c>
      <c r="AE2942" s="1" t="s">
        <v>32</v>
      </c>
      <c r="AF2942" s="1" t="s">
        <v>33</v>
      </c>
      <c r="AG2942" s="1" t="s">
        <v>95</v>
      </c>
    </row>
    <row r="2943" spans="1:33">
      <c r="A2943" t="s">
        <v>10466</v>
      </c>
      <c r="B2943" t="s">
        <v>10467</v>
      </c>
      <c r="C2943" t="s">
        <v>73</v>
      </c>
      <c r="E2943" t="s">
        <v>10324</v>
      </c>
      <c r="F2943" t="s">
        <v>10325</v>
      </c>
      <c r="G2943">
        <v>18.49</v>
      </c>
      <c r="H2943">
        <v>18.49</v>
      </c>
      <c r="I2943" t="s">
        <v>40</v>
      </c>
      <c r="J2943" t="s">
        <v>41</v>
      </c>
      <c r="K2943" t="s">
        <v>31</v>
      </c>
      <c r="L2943" t="s">
        <v>32</v>
      </c>
      <c r="M2943" t="s">
        <v>33</v>
      </c>
      <c r="P2943" s="1" t="s">
        <v>10468</v>
      </c>
      <c r="Q2943" s="1" t="s">
        <v>10324</v>
      </c>
      <c r="R2943" s="1" t="s">
        <v>9612</v>
      </c>
      <c r="S2943" s="1"/>
      <c r="T2943" s="1" t="s">
        <v>75</v>
      </c>
      <c r="U2943" s="1" t="s">
        <v>76</v>
      </c>
      <c r="V2943" s="1">
        <v>18.49</v>
      </c>
      <c r="W2943" s="1">
        <v>18.49</v>
      </c>
      <c r="X2943" s="1" t="s">
        <v>35</v>
      </c>
      <c r="Y2943" s="1">
        <v>18490.0</v>
      </c>
      <c r="Z2943" s="1"/>
      <c r="AA2943" s="1">
        <v>18490.0</v>
      </c>
      <c r="AB2943" s="1"/>
      <c r="AC2943" s="1" t="s">
        <v>36</v>
      </c>
      <c r="AD2943" s="1" t="s">
        <v>10469</v>
      </c>
      <c r="AE2943" s="1" t="s">
        <v>32</v>
      </c>
      <c r="AF2943" s="1" t="s">
        <v>33</v>
      </c>
      <c r="AG2943" s="1" t="s">
        <v>41</v>
      </c>
    </row>
    <row r="2944" spans="1:33">
      <c r="A2944" t="s">
        <v>10470</v>
      </c>
      <c r="B2944" t="s">
        <v>2255</v>
      </c>
      <c r="C2944" t="s">
        <v>131</v>
      </c>
      <c r="E2944" t="s">
        <v>10324</v>
      </c>
      <c r="F2944" t="s">
        <v>10325</v>
      </c>
      <c r="G2944">
        <v>246.0</v>
      </c>
      <c r="H2944">
        <v>246.0</v>
      </c>
      <c r="I2944" t="s">
        <v>94</v>
      </c>
      <c r="J2944" t="s">
        <v>95</v>
      </c>
      <c r="K2944" t="s">
        <v>31</v>
      </c>
      <c r="L2944" t="s">
        <v>32</v>
      </c>
      <c r="M2944" t="s">
        <v>33</v>
      </c>
      <c r="P2944" s="1" t="s">
        <v>10471</v>
      </c>
      <c r="Q2944" s="1" t="s">
        <v>10324</v>
      </c>
      <c r="R2944" s="1" t="s">
        <v>10324</v>
      </c>
      <c r="S2944" s="1"/>
      <c r="T2944" s="1" t="s">
        <v>131</v>
      </c>
      <c r="U2944" s="1"/>
      <c r="V2944" s="1">
        <v>246.0</v>
      </c>
      <c r="W2944" s="1">
        <v>246.0</v>
      </c>
      <c r="X2944" s="1" t="s">
        <v>35</v>
      </c>
      <c r="Y2944" s="1">
        <v>246000.0</v>
      </c>
      <c r="Z2944" s="1"/>
      <c r="AA2944" s="1">
        <v>246000.0</v>
      </c>
      <c r="AB2944" s="1"/>
      <c r="AC2944" s="1" t="s">
        <v>36</v>
      </c>
      <c r="AD2944" s="1" t="s">
        <v>10472</v>
      </c>
      <c r="AE2944" s="1" t="s">
        <v>32</v>
      </c>
      <c r="AF2944" s="1" t="s">
        <v>33</v>
      </c>
      <c r="AG2944" s="1" t="s">
        <v>95</v>
      </c>
    </row>
    <row r="2945" spans="1:33">
      <c r="A2945" t="s">
        <v>10473</v>
      </c>
      <c r="B2945" t="s">
        <v>9238</v>
      </c>
      <c r="C2945" t="s">
        <v>73</v>
      </c>
      <c r="E2945" t="s">
        <v>10324</v>
      </c>
      <c r="F2945" t="s">
        <v>10325</v>
      </c>
      <c r="G2945">
        <v>16.99</v>
      </c>
      <c r="H2945">
        <v>16.99</v>
      </c>
      <c r="I2945" t="s">
        <v>40</v>
      </c>
      <c r="J2945" t="s">
        <v>41</v>
      </c>
      <c r="K2945" t="s">
        <v>31</v>
      </c>
      <c r="L2945" t="s">
        <v>32</v>
      </c>
      <c r="M2945" t="s">
        <v>33</v>
      </c>
      <c r="P2945" s="1" t="s">
        <v>10474</v>
      </c>
      <c r="Q2945" s="1" t="s">
        <v>10324</v>
      </c>
      <c r="R2945" s="1" t="s">
        <v>9612</v>
      </c>
      <c r="S2945" s="1"/>
      <c r="T2945" s="1" t="s">
        <v>75</v>
      </c>
      <c r="U2945" s="1" t="s">
        <v>76</v>
      </c>
      <c r="V2945" s="1">
        <v>16.99</v>
      </c>
      <c r="W2945" s="1">
        <v>16.99</v>
      </c>
      <c r="X2945" s="1" t="s">
        <v>35</v>
      </c>
      <c r="Y2945" s="1">
        <v>16990.0</v>
      </c>
      <c r="Z2945" s="1"/>
      <c r="AA2945" s="1">
        <v>16990.0</v>
      </c>
      <c r="AB2945" s="1"/>
      <c r="AC2945" s="1" t="s">
        <v>36</v>
      </c>
      <c r="AD2945" s="1" t="s">
        <v>10475</v>
      </c>
      <c r="AE2945" s="1" t="s">
        <v>32</v>
      </c>
      <c r="AF2945" s="1" t="s">
        <v>33</v>
      </c>
      <c r="AG2945" s="1" t="s">
        <v>41</v>
      </c>
    </row>
    <row r="2946" spans="1:33">
      <c r="A2946" t="s">
        <v>10476</v>
      </c>
      <c r="B2946" t="s">
        <v>10477</v>
      </c>
      <c r="C2946" t="s">
        <v>125</v>
      </c>
      <c r="E2946" t="s">
        <v>10324</v>
      </c>
      <c r="F2946" t="s">
        <v>10325</v>
      </c>
      <c r="G2946">
        <v>4.799</v>
      </c>
      <c r="H2946">
        <v>4.799</v>
      </c>
      <c r="I2946" t="s">
        <v>126</v>
      </c>
      <c r="J2946" t="s">
        <v>127</v>
      </c>
      <c r="K2946" t="s">
        <v>31</v>
      </c>
      <c r="L2946" t="s">
        <v>32</v>
      </c>
      <c r="M2946" t="s">
        <v>33</v>
      </c>
      <c r="P2946" s="1" t="s">
        <v>10478</v>
      </c>
      <c r="Q2946" s="1" t="s">
        <v>10324</v>
      </c>
      <c r="R2946" s="1" t="s">
        <v>10324</v>
      </c>
      <c r="S2946" s="1"/>
      <c r="T2946" s="1" t="s">
        <v>125</v>
      </c>
      <c r="U2946" s="1"/>
      <c r="V2946" s="1">
        <v>4.799</v>
      </c>
      <c r="W2946" s="1">
        <v>4.799</v>
      </c>
      <c r="X2946" s="1" t="s">
        <v>35</v>
      </c>
      <c r="Y2946" s="1">
        <v>4799.0</v>
      </c>
      <c r="Z2946" s="1"/>
      <c r="AA2946" s="1">
        <v>4799.0</v>
      </c>
      <c r="AB2946" s="1"/>
      <c r="AC2946" s="1" t="s">
        <v>36</v>
      </c>
      <c r="AD2946" s="1" t="s">
        <v>10456</v>
      </c>
      <c r="AE2946" s="1" t="s">
        <v>32</v>
      </c>
      <c r="AF2946" s="1" t="s">
        <v>33</v>
      </c>
      <c r="AG2946" s="1" t="s">
        <v>127</v>
      </c>
    </row>
    <row r="2947" spans="1:33">
      <c r="A2947" t="s">
        <v>10479</v>
      </c>
      <c r="B2947" t="s">
        <v>10480</v>
      </c>
      <c r="C2947" t="s">
        <v>314</v>
      </c>
      <c r="E2947" t="s">
        <v>10324</v>
      </c>
      <c r="F2947" t="s">
        <v>10325</v>
      </c>
      <c r="G2947">
        <v>52.33</v>
      </c>
      <c r="H2947">
        <v>52.33</v>
      </c>
      <c r="I2947" t="s">
        <v>179</v>
      </c>
      <c r="J2947" t="s">
        <v>180</v>
      </c>
      <c r="K2947" t="s">
        <v>31</v>
      </c>
      <c r="L2947" t="s">
        <v>32</v>
      </c>
      <c r="M2947" t="s">
        <v>33</v>
      </c>
      <c r="P2947" s="1" t="s">
        <v>10481</v>
      </c>
      <c r="Q2947" s="1" t="s">
        <v>10324</v>
      </c>
      <c r="R2947" s="1" t="s">
        <v>10324</v>
      </c>
      <c r="S2947" s="1"/>
      <c r="T2947" s="1" t="s">
        <v>314</v>
      </c>
      <c r="U2947" s="1"/>
      <c r="V2947" s="1">
        <v>52.33</v>
      </c>
      <c r="W2947" s="1">
        <v>52.33</v>
      </c>
      <c r="X2947" s="1" t="s">
        <v>35</v>
      </c>
      <c r="Y2947" s="1">
        <v>52330.0</v>
      </c>
      <c r="Z2947" s="1"/>
      <c r="AA2947" s="1">
        <v>52330.0</v>
      </c>
      <c r="AB2947" s="1"/>
      <c r="AC2947" s="1" t="s">
        <v>36</v>
      </c>
      <c r="AD2947" s="1" t="s">
        <v>10475</v>
      </c>
      <c r="AE2947" s="1" t="s">
        <v>32</v>
      </c>
      <c r="AF2947" s="1" t="s">
        <v>33</v>
      </c>
      <c r="AG2947" s="1" t="s">
        <v>180</v>
      </c>
    </row>
    <row r="2948" spans="1:33">
      <c r="A2948" t="s">
        <v>10482</v>
      </c>
      <c r="B2948" t="s">
        <v>10483</v>
      </c>
      <c r="C2948" t="s">
        <v>187</v>
      </c>
      <c r="E2948" t="s">
        <v>10324</v>
      </c>
      <c r="F2948" t="s">
        <v>10325</v>
      </c>
      <c r="G2948">
        <v>395.22</v>
      </c>
      <c r="H2948">
        <v>395.22</v>
      </c>
      <c r="I2948" t="s">
        <v>179</v>
      </c>
      <c r="J2948" t="s">
        <v>180</v>
      </c>
      <c r="K2948" t="s">
        <v>31</v>
      </c>
      <c r="L2948" t="s">
        <v>32</v>
      </c>
      <c r="M2948" t="s">
        <v>33</v>
      </c>
      <c r="P2948" s="1" t="s">
        <v>10484</v>
      </c>
      <c r="Q2948" s="1" t="s">
        <v>10324</v>
      </c>
      <c r="R2948" s="1" t="s">
        <v>10324</v>
      </c>
      <c r="S2948" s="1"/>
      <c r="T2948" s="1" t="s">
        <v>187</v>
      </c>
      <c r="U2948" s="1"/>
      <c r="V2948" s="1">
        <v>395.22</v>
      </c>
      <c r="W2948" s="1">
        <v>395.22</v>
      </c>
      <c r="X2948" s="1" t="s">
        <v>35</v>
      </c>
      <c r="Y2948" s="1">
        <v>395220.0</v>
      </c>
      <c r="Z2948" s="1"/>
      <c r="AA2948" s="1">
        <v>395220.0</v>
      </c>
      <c r="AB2948" s="1"/>
      <c r="AC2948" s="1" t="s">
        <v>36</v>
      </c>
      <c r="AD2948" s="1" t="s">
        <v>10485</v>
      </c>
      <c r="AE2948" s="1" t="s">
        <v>32</v>
      </c>
      <c r="AF2948" s="1" t="s">
        <v>33</v>
      </c>
      <c r="AG2948" s="1" t="s">
        <v>180</v>
      </c>
    </row>
    <row r="2949" spans="1:33">
      <c r="A2949" t="s">
        <v>10486</v>
      </c>
      <c r="C2949" t="s">
        <v>2995</v>
      </c>
      <c r="E2949" t="s">
        <v>10324</v>
      </c>
      <c r="F2949" t="s">
        <v>10325</v>
      </c>
      <c r="G2949">
        <v>29.5</v>
      </c>
      <c r="H2949">
        <v>29.5</v>
      </c>
      <c r="I2949" t="s">
        <v>269</v>
      </c>
      <c r="J2949" t="s">
        <v>270</v>
      </c>
      <c r="K2949" t="s">
        <v>31</v>
      </c>
      <c r="L2949" t="s">
        <v>32</v>
      </c>
      <c r="M2949" t="s">
        <v>33</v>
      </c>
      <c r="P2949" s="1" t="s">
        <v>10487</v>
      </c>
      <c r="Q2949" s="1" t="s">
        <v>10324</v>
      </c>
      <c r="R2949" s="1" t="s">
        <v>10324</v>
      </c>
      <c r="S2949" s="1"/>
      <c r="T2949" s="1" t="s">
        <v>2995</v>
      </c>
      <c r="U2949" s="1"/>
      <c r="V2949" s="1">
        <v>29.5</v>
      </c>
      <c r="W2949" s="1">
        <v>29.5</v>
      </c>
      <c r="X2949" s="1" t="s">
        <v>35</v>
      </c>
      <c r="Y2949" s="1">
        <v>29500.0</v>
      </c>
      <c r="Z2949" s="1"/>
      <c r="AA2949" s="1">
        <v>29500.0</v>
      </c>
      <c r="AB2949" s="1"/>
      <c r="AC2949" s="1" t="s">
        <v>36</v>
      </c>
      <c r="AD2949" s="1" t="s">
        <v>10488</v>
      </c>
      <c r="AE2949" s="1" t="s">
        <v>32</v>
      </c>
      <c r="AF2949" s="1" t="s">
        <v>33</v>
      </c>
      <c r="AG2949" s="1" t="s">
        <v>270</v>
      </c>
    </row>
    <row r="2950" spans="1:33">
      <c r="A2950" t="s">
        <v>10489</v>
      </c>
      <c r="B2950" t="s">
        <v>10490</v>
      </c>
      <c r="C2950" t="s">
        <v>73</v>
      </c>
      <c r="E2950" t="s">
        <v>10324</v>
      </c>
      <c r="F2950" t="s">
        <v>10325</v>
      </c>
      <c r="G2950">
        <v>108.98</v>
      </c>
      <c r="H2950">
        <v>108.98</v>
      </c>
      <c r="I2950" t="s">
        <v>40</v>
      </c>
      <c r="J2950" t="s">
        <v>41</v>
      </c>
      <c r="K2950" t="s">
        <v>31</v>
      </c>
      <c r="L2950" t="s">
        <v>32</v>
      </c>
      <c r="M2950" t="s">
        <v>33</v>
      </c>
      <c r="P2950" s="1" t="s">
        <v>10491</v>
      </c>
      <c r="Q2950" s="1" t="s">
        <v>10324</v>
      </c>
      <c r="R2950" s="1" t="s">
        <v>9612</v>
      </c>
      <c r="S2950" s="1"/>
      <c r="T2950" s="1" t="s">
        <v>75</v>
      </c>
      <c r="U2950" s="1" t="s">
        <v>76</v>
      </c>
      <c r="V2950" s="1">
        <v>108.98</v>
      </c>
      <c r="W2950" s="1">
        <v>108.98</v>
      </c>
      <c r="X2950" s="1" t="s">
        <v>35</v>
      </c>
      <c r="Y2950" s="1">
        <v>108980.0</v>
      </c>
      <c r="Z2950" s="1"/>
      <c r="AA2950" s="1">
        <v>108980.0</v>
      </c>
      <c r="AB2950" s="1"/>
      <c r="AC2950" s="1" t="s">
        <v>36</v>
      </c>
      <c r="AD2950" s="1" t="s">
        <v>10492</v>
      </c>
      <c r="AE2950" s="1" t="s">
        <v>32</v>
      </c>
      <c r="AF2950" s="1" t="s">
        <v>33</v>
      </c>
      <c r="AG2950" s="1" t="s">
        <v>41</v>
      </c>
    </row>
    <row r="2951" spans="1:33">
      <c r="A2951" t="s">
        <v>10493</v>
      </c>
      <c r="B2951" t="s">
        <v>10494</v>
      </c>
      <c r="C2951" t="s">
        <v>47</v>
      </c>
      <c r="E2951" t="s">
        <v>10495</v>
      </c>
      <c r="F2951" t="s">
        <v>10496</v>
      </c>
      <c r="G2951">
        <v>11.0</v>
      </c>
      <c r="H2951">
        <v>11.0</v>
      </c>
      <c r="I2951" t="s">
        <v>2206</v>
      </c>
      <c r="J2951" t="s">
        <v>49</v>
      </c>
      <c r="K2951" t="s">
        <v>31</v>
      </c>
      <c r="L2951" t="s">
        <v>32</v>
      </c>
      <c r="M2951" t="s">
        <v>33</v>
      </c>
      <c r="P2951" s="1" t="s">
        <v>10497</v>
      </c>
      <c r="Q2951" s="1" t="s">
        <v>10324</v>
      </c>
      <c r="R2951" s="1" t="s">
        <v>10324</v>
      </c>
      <c r="S2951" s="1"/>
      <c r="T2951" s="1" t="s">
        <v>47</v>
      </c>
      <c r="U2951" s="1"/>
      <c r="V2951" s="1">
        <v>11.0</v>
      </c>
      <c r="W2951" s="1">
        <v>11.0</v>
      </c>
      <c r="X2951" s="1" t="s">
        <v>35</v>
      </c>
      <c r="Y2951" s="1">
        <v>11000.0</v>
      </c>
      <c r="Z2951" s="1"/>
      <c r="AA2951" s="1">
        <v>11000.0</v>
      </c>
      <c r="AB2951" s="1"/>
      <c r="AC2951" s="1" t="s">
        <v>36</v>
      </c>
      <c r="AD2951" s="1" t="s">
        <v>10498</v>
      </c>
      <c r="AE2951" s="1" t="s">
        <v>32</v>
      </c>
      <c r="AF2951" s="1" t="s">
        <v>33</v>
      </c>
      <c r="AG2951" s="1" t="s">
        <v>49</v>
      </c>
    </row>
    <row r="2952" spans="1:33">
      <c r="A2952" t="s">
        <v>10499</v>
      </c>
      <c r="B2952" t="s">
        <v>2300</v>
      </c>
      <c r="C2952" t="s">
        <v>26</v>
      </c>
      <c r="E2952" t="s">
        <v>10324</v>
      </c>
      <c r="F2952" t="s">
        <v>10325</v>
      </c>
      <c r="G2952">
        <v>56.98</v>
      </c>
      <c r="H2952">
        <v>56.98</v>
      </c>
      <c r="I2952" t="s">
        <v>29</v>
      </c>
      <c r="J2952" t="s">
        <v>30</v>
      </c>
      <c r="K2952" t="s">
        <v>31</v>
      </c>
      <c r="L2952" t="s">
        <v>32</v>
      </c>
      <c r="M2952" t="s">
        <v>33</v>
      </c>
      <c r="P2952" s="1" t="s">
        <v>10500</v>
      </c>
      <c r="Q2952" s="1" t="s">
        <v>10324</v>
      </c>
      <c r="R2952" s="1" t="s">
        <v>10324</v>
      </c>
      <c r="S2952" s="1"/>
      <c r="T2952" s="1" t="s">
        <v>26</v>
      </c>
      <c r="U2952" s="1"/>
      <c r="V2952" s="1">
        <v>56.98</v>
      </c>
      <c r="W2952" s="1">
        <v>56.98</v>
      </c>
      <c r="X2952" s="1" t="s">
        <v>35</v>
      </c>
      <c r="Y2952" s="1">
        <v>56980.0</v>
      </c>
      <c r="Z2952" s="1"/>
      <c r="AA2952" s="1">
        <v>56980.0</v>
      </c>
      <c r="AB2952" s="1"/>
      <c r="AC2952" s="1" t="s">
        <v>36</v>
      </c>
      <c r="AD2952" s="1" t="s">
        <v>10492</v>
      </c>
      <c r="AE2952" s="1" t="s">
        <v>32</v>
      </c>
      <c r="AF2952" s="1" t="s">
        <v>33</v>
      </c>
      <c r="AG2952" s="1" t="s">
        <v>30</v>
      </c>
    </row>
    <row r="2953" spans="1:33">
      <c r="A2953" t="s">
        <v>10501</v>
      </c>
      <c r="B2953" t="s">
        <v>2999</v>
      </c>
      <c r="C2953" t="s">
        <v>268</v>
      </c>
      <c r="E2953" t="s">
        <v>10324</v>
      </c>
      <c r="F2953" t="s">
        <v>10325</v>
      </c>
      <c r="G2953">
        <v>16.9</v>
      </c>
      <c r="H2953">
        <v>16.9</v>
      </c>
      <c r="I2953" t="s">
        <v>269</v>
      </c>
      <c r="J2953" t="s">
        <v>270</v>
      </c>
      <c r="K2953" t="s">
        <v>31</v>
      </c>
      <c r="L2953" t="s">
        <v>32</v>
      </c>
      <c r="M2953" t="s">
        <v>33</v>
      </c>
      <c r="P2953" s="1" t="s">
        <v>10502</v>
      </c>
      <c r="Q2953" s="1" t="s">
        <v>10324</v>
      </c>
      <c r="R2953" s="1" t="s">
        <v>10324</v>
      </c>
      <c r="S2953" s="1"/>
      <c r="T2953" s="1" t="s">
        <v>268</v>
      </c>
      <c r="U2953" s="1"/>
      <c r="V2953" s="1">
        <v>16.9</v>
      </c>
      <c r="W2953" s="1">
        <v>16.9</v>
      </c>
      <c r="X2953" s="1" t="s">
        <v>35</v>
      </c>
      <c r="Y2953" s="1">
        <v>16900.0</v>
      </c>
      <c r="Z2953" s="1"/>
      <c r="AA2953" s="1">
        <v>16900.0</v>
      </c>
      <c r="AB2953" s="1"/>
      <c r="AC2953" s="1" t="s">
        <v>36</v>
      </c>
      <c r="AD2953" s="1" t="s">
        <v>10503</v>
      </c>
      <c r="AE2953" s="1" t="s">
        <v>32</v>
      </c>
      <c r="AF2953" s="1" t="s">
        <v>33</v>
      </c>
      <c r="AG2953" s="1" t="s">
        <v>270</v>
      </c>
    </row>
    <row r="2954" spans="1:33">
      <c r="A2954" t="s">
        <v>10504</v>
      </c>
      <c r="C2954" t="s">
        <v>1735</v>
      </c>
      <c r="E2954" t="s">
        <v>10324</v>
      </c>
      <c r="F2954" t="s">
        <v>10325</v>
      </c>
      <c r="G2954">
        <v>328.0</v>
      </c>
      <c r="H2954">
        <v>328.0</v>
      </c>
      <c r="I2954" t="s">
        <v>269</v>
      </c>
      <c r="J2954" t="s">
        <v>270</v>
      </c>
      <c r="K2954" t="s">
        <v>31</v>
      </c>
      <c r="L2954" t="s">
        <v>32</v>
      </c>
      <c r="M2954" t="s">
        <v>33</v>
      </c>
      <c r="P2954" s="1" t="s">
        <v>10505</v>
      </c>
      <c r="Q2954" s="1" t="s">
        <v>10324</v>
      </c>
      <c r="R2954" s="1" t="s">
        <v>10324</v>
      </c>
      <c r="S2954" s="1"/>
      <c r="T2954" s="1" t="s">
        <v>1735</v>
      </c>
      <c r="U2954" s="1"/>
      <c r="V2954" s="1">
        <v>328.0</v>
      </c>
      <c r="W2954" s="1">
        <v>328.0</v>
      </c>
      <c r="X2954" s="1" t="s">
        <v>35</v>
      </c>
      <c r="Y2954" s="1">
        <v>328000.0</v>
      </c>
      <c r="Z2954" s="1"/>
      <c r="AA2954" s="1">
        <v>328000.0</v>
      </c>
      <c r="AB2954" s="1"/>
      <c r="AC2954" s="1" t="s">
        <v>36</v>
      </c>
      <c r="AD2954" s="1" t="s">
        <v>10492</v>
      </c>
      <c r="AE2954" s="1" t="s">
        <v>32</v>
      </c>
      <c r="AF2954" s="1" t="s">
        <v>33</v>
      </c>
      <c r="AG2954" s="1" t="s">
        <v>270</v>
      </c>
    </row>
    <row r="2955" spans="1:33">
      <c r="A2955" t="s">
        <v>10506</v>
      </c>
      <c r="C2955" t="s">
        <v>575</v>
      </c>
      <c r="E2955" t="s">
        <v>10324</v>
      </c>
      <c r="F2955" t="s">
        <v>10325</v>
      </c>
      <c r="G2955">
        <v>421.0</v>
      </c>
      <c r="H2955">
        <v>421.0</v>
      </c>
      <c r="I2955" t="s">
        <v>94</v>
      </c>
      <c r="J2955" t="s">
        <v>95</v>
      </c>
      <c r="K2955" t="s">
        <v>31</v>
      </c>
      <c r="L2955" t="s">
        <v>32</v>
      </c>
      <c r="M2955" t="s">
        <v>33</v>
      </c>
      <c r="P2955" s="1" t="s">
        <v>10507</v>
      </c>
      <c r="Q2955" s="1" t="s">
        <v>10324</v>
      </c>
      <c r="R2955" s="1" t="s">
        <v>10324</v>
      </c>
      <c r="S2955" s="1"/>
      <c r="T2955" s="1" t="s">
        <v>575</v>
      </c>
      <c r="U2955" s="1"/>
      <c r="V2955" s="1">
        <v>421.0</v>
      </c>
      <c r="W2955" s="1">
        <v>421.0</v>
      </c>
      <c r="X2955" s="1" t="s">
        <v>35</v>
      </c>
      <c r="Y2955" s="1">
        <v>421000.0</v>
      </c>
      <c r="Z2955" s="1"/>
      <c r="AA2955" s="1">
        <v>421000.0</v>
      </c>
      <c r="AB2955" s="1"/>
      <c r="AC2955" s="1" t="s">
        <v>36</v>
      </c>
      <c r="AD2955" s="1" t="s">
        <v>10498</v>
      </c>
      <c r="AE2955" s="1" t="s">
        <v>32</v>
      </c>
      <c r="AF2955" s="1" t="s">
        <v>33</v>
      </c>
      <c r="AG2955" s="1" t="s">
        <v>95</v>
      </c>
    </row>
    <row r="2956" spans="1:33">
      <c r="A2956" t="s">
        <v>10508</v>
      </c>
      <c r="C2956" t="s">
        <v>10411</v>
      </c>
      <c r="E2956" t="s">
        <v>10324</v>
      </c>
      <c r="F2956" t="s">
        <v>10325</v>
      </c>
      <c r="G2956">
        <v>2.46</v>
      </c>
      <c r="H2956">
        <v>2.46</v>
      </c>
      <c r="I2956" t="s">
        <v>269</v>
      </c>
      <c r="J2956" t="s">
        <v>270</v>
      </c>
      <c r="K2956" t="s">
        <v>31</v>
      </c>
      <c r="L2956" t="s">
        <v>32</v>
      </c>
      <c r="M2956" t="s">
        <v>33</v>
      </c>
      <c r="P2956" s="1" t="s">
        <v>10509</v>
      </c>
      <c r="Q2956" s="1" t="s">
        <v>10324</v>
      </c>
      <c r="R2956" s="1" t="s">
        <v>10324</v>
      </c>
      <c r="S2956" s="1"/>
      <c r="T2956" s="1" t="s">
        <v>10411</v>
      </c>
      <c r="U2956" s="1"/>
      <c r="V2956" s="1">
        <v>2.46</v>
      </c>
      <c r="W2956" s="1">
        <v>2.46</v>
      </c>
      <c r="X2956" s="1" t="s">
        <v>35</v>
      </c>
      <c r="Y2956" s="1">
        <v>2460000.0</v>
      </c>
      <c r="Z2956" s="1"/>
      <c r="AA2956" s="1">
        <v>2460000.0</v>
      </c>
      <c r="AB2956" s="1"/>
      <c r="AC2956" s="1" t="s">
        <v>36</v>
      </c>
      <c r="AD2956" s="1" t="s">
        <v>10510</v>
      </c>
      <c r="AE2956" s="1" t="s">
        <v>32</v>
      </c>
      <c r="AF2956" s="1" t="s">
        <v>33</v>
      </c>
      <c r="AG2956" s="1" t="s">
        <v>270</v>
      </c>
    </row>
    <row r="2957" spans="1:33">
      <c r="A2957" t="s">
        <v>10511</v>
      </c>
      <c r="B2957" t="s">
        <v>1772</v>
      </c>
      <c r="C2957" t="s">
        <v>1773</v>
      </c>
      <c r="D2957" t="s">
        <v>154</v>
      </c>
      <c r="E2957" t="s">
        <v>10324</v>
      </c>
      <c r="F2957" t="s">
        <v>10325</v>
      </c>
      <c r="G2957">
        <v>984.5</v>
      </c>
      <c r="H2957">
        <v>984.5</v>
      </c>
      <c r="I2957" t="s">
        <v>29</v>
      </c>
      <c r="J2957" t="s">
        <v>30</v>
      </c>
      <c r="K2957" t="s">
        <v>31</v>
      </c>
      <c r="L2957" t="s">
        <v>32</v>
      </c>
      <c r="M2957" t="s">
        <v>33</v>
      </c>
      <c r="P2957" s="1" t="s">
        <v>10512</v>
      </c>
      <c r="Q2957" s="1" t="s">
        <v>10324</v>
      </c>
      <c r="R2957" s="1" t="s">
        <v>10324</v>
      </c>
      <c r="S2957" s="1"/>
      <c r="T2957" s="1" t="s">
        <v>1773</v>
      </c>
      <c r="U2957" s="1"/>
      <c r="V2957" s="1">
        <v>984.5</v>
      </c>
      <c r="W2957" s="1">
        <v>984.5</v>
      </c>
      <c r="X2957" s="1" t="s">
        <v>35</v>
      </c>
      <c r="Y2957" s="1">
        <v>984500.0</v>
      </c>
      <c r="Z2957" s="1"/>
      <c r="AA2957" s="1">
        <v>787000.0</v>
      </c>
      <c r="AB2957" s="1">
        <v>197500</v>
      </c>
      <c r="AC2957" s="1" t="s">
        <v>36</v>
      </c>
      <c r="AD2957" s="1" t="s">
        <v>10439</v>
      </c>
      <c r="AE2957" s="1" t="s">
        <v>32</v>
      </c>
      <c r="AF2957" s="1" t="s">
        <v>33</v>
      </c>
      <c r="AG2957" s="1" t="s">
        <v>30</v>
      </c>
    </row>
    <row r="2958" spans="1:33">
      <c r="A2958" t="s">
        <v>10513</v>
      </c>
      <c r="C2958" t="s">
        <v>955</v>
      </c>
      <c r="D2958" t="s">
        <v>114</v>
      </c>
      <c r="E2958" t="s">
        <v>10324</v>
      </c>
      <c r="F2958" t="s">
        <v>10325</v>
      </c>
      <c r="G2958">
        <v>630.0</v>
      </c>
      <c r="H2958">
        <v>630.0</v>
      </c>
      <c r="I2958" t="s">
        <v>40</v>
      </c>
      <c r="J2958" t="s">
        <v>41</v>
      </c>
      <c r="K2958" t="s">
        <v>31</v>
      </c>
      <c r="L2958" t="s">
        <v>32</v>
      </c>
      <c r="M2958" t="s">
        <v>33</v>
      </c>
      <c r="P2958" s="1" t="s">
        <v>10514</v>
      </c>
      <c r="Q2958" s="1" t="s">
        <v>10324</v>
      </c>
      <c r="R2958" s="1" t="s">
        <v>9612</v>
      </c>
      <c r="S2958" s="1"/>
      <c r="T2958" s="1" t="s">
        <v>955</v>
      </c>
      <c r="U2958" s="1"/>
      <c r="V2958" s="1">
        <v>630.0</v>
      </c>
      <c r="W2958" s="1">
        <v>630.0</v>
      </c>
      <c r="X2958" s="1" t="s">
        <v>35</v>
      </c>
      <c r="Y2958" s="1">
        <v>630000.0</v>
      </c>
      <c r="Z2958" s="1"/>
      <c r="AA2958" s="1">
        <v>630000.0</v>
      </c>
      <c r="AB2958" s="1"/>
      <c r="AC2958" s="1" t="s">
        <v>36</v>
      </c>
      <c r="AD2958" s="1" t="s">
        <v>10515</v>
      </c>
      <c r="AE2958" s="1" t="s">
        <v>32</v>
      </c>
      <c r="AF2958" s="1" t="s">
        <v>33</v>
      </c>
      <c r="AG2958" s="1" t="s">
        <v>41</v>
      </c>
    </row>
    <row r="2959" spans="1:33">
      <c r="A2959" t="s">
        <v>10516</v>
      </c>
      <c r="B2959" t="s">
        <v>8667</v>
      </c>
      <c r="C2959" t="s">
        <v>314</v>
      </c>
      <c r="E2959" t="s">
        <v>10324</v>
      </c>
      <c r="F2959" t="s">
        <v>10325</v>
      </c>
      <c r="G2959">
        <v>19.5</v>
      </c>
      <c r="H2959">
        <v>19.5</v>
      </c>
      <c r="I2959" t="s">
        <v>179</v>
      </c>
      <c r="J2959" t="s">
        <v>180</v>
      </c>
      <c r="K2959" t="s">
        <v>31</v>
      </c>
      <c r="L2959" t="s">
        <v>32</v>
      </c>
      <c r="M2959" t="s">
        <v>33</v>
      </c>
      <c r="P2959" s="1" t="s">
        <v>10517</v>
      </c>
      <c r="Q2959" s="1" t="s">
        <v>10324</v>
      </c>
      <c r="R2959" s="1" t="s">
        <v>10324</v>
      </c>
      <c r="S2959" s="1"/>
      <c r="T2959" s="1" t="s">
        <v>314</v>
      </c>
      <c r="U2959" s="1"/>
      <c r="V2959" s="1">
        <v>19.5</v>
      </c>
      <c r="W2959" s="1">
        <v>19.5</v>
      </c>
      <c r="X2959" s="1" t="s">
        <v>35</v>
      </c>
      <c r="Y2959" s="1">
        <v>19500.0</v>
      </c>
      <c r="Z2959" s="1"/>
      <c r="AA2959" s="1">
        <v>19500.0</v>
      </c>
      <c r="AB2959" s="1"/>
      <c r="AC2959" s="1" t="s">
        <v>36</v>
      </c>
      <c r="AD2959" s="1" t="s">
        <v>10518</v>
      </c>
      <c r="AE2959" s="1" t="s">
        <v>32</v>
      </c>
      <c r="AF2959" s="1" t="s">
        <v>33</v>
      </c>
      <c r="AG2959" s="1" t="s">
        <v>180</v>
      </c>
    </row>
    <row r="2960" spans="1:33">
      <c r="A2960" t="s">
        <v>10519</v>
      </c>
      <c r="C2960" t="s">
        <v>10520</v>
      </c>
      <c r="E2960" t="s">
        <v>10324</v>
      </c>
      <c r="F2960" t="s">
        <v>10325</v>
      </c>
      <c r="G2960">
        <v>504.0</v>
      </c>
      <c r="H2960">
        <v>504.0</v>
      </c>
      <c r="I2960" t="s">
        <v>40</v>
      </c>
      <c r="J2960" t="s">
        <v>41</v>
      </c>
      <c r="K2960" t="s">
        <v>31</v>
      </c>
      <c r="L2960" t="s">
        <v>32</v>
      </c>
      <c r="M2960" t="s">
        <v>33</v>
      </c>
      <c r="P2960" s="1" t="s">
        <v>10521</v>
      </c>
      <c r="Q2960" s="1" t="s">
        <v>10324</v>
      </c>
      <c r="R2960" s="1" t="s">
        <v>9612</v>
      </c>
      <c r="S2960" s="1"/>
      <c r="T2960" s="1" t="s">
        <v>10520</v>
      </c>
      <c r="U2960" s="1"/>
      <c r="V2960" s="1">
        <v>504.0</v>
      </c>
      <c r="W2960" s="1">
        <v>504.0</v>
      </c>
      <c r="X2960" s="1" t="s">
        <v>35</v>
      </c>
      <c r="Y2960" s="1">
        <v>504000.0</v>
      </c>
      <c r="Z2960" s="1"/>
      <c r="AA2960" s="1">
        <v>504000.0</v>
      </c>
      <c r="AB2960" s="1"/>
      <c r="AC2960" s="1" t="s">
        <v>36</v>
      </c>
      <c r="AD2960" s="1" t="s">
        <v>10522</v>
      </c>
      <c r="AE2960" s="1" t="s">
        <v>32</v>
      </c>
      <c r="AF2960" s="1" t="s">
        <v>33</v>
      </c>
      <c r="AG2960" s="1" t="s">
        <v>41</v>
      </c>
    </row>
    <row r="2961" spans="1:33">
      <c r="A2961" t="s">
        <v>10523</v>
      </c>
      <c r="C2961" t="s">
        <v>10524</v>
      </c>
      <c r="E2961" t="s">
        <v>10324</v>
      </c>
      <c r="F2961" t="s">
        <v>10325</v>
      </c>
      <c r="G2961">
        <v>800.0</v>
      </c>
      <c r="H2961">
        <v>800.0</v>
      </c>
      <c r="I2961" t="s">
        <v>173</v>
      </c>
      <c r="J2961" t="s">
        <v>174</v>
      </c>
      <c r="K2961" t="s">
        <v>31</v>
      </c>
      <c r="L2961" t="s">
        <v>32</v>
      </c>
      <c r="M2961" t="s">
        <v>33</v>
      </c>
      <c r="P2961" s="1" t="s">
        <v>10525</v>
      </c>
      <c r="Q2961" s="1" t="s">
        <v>10324</v>
      </c>
      <c r="R2961" s="1" t="s">
        <v>10324</v>
      </c>
      <c r="S2961" s="1"/>
      <c r="T2961" s="1" t="s">
        <v>10524</v>
      </c>
      <c r="U2961" s="1"/>
      <c r="V2961" s="1">
        <v>800.0</v>
      </c>
      <c r="W2961" s="1">
        <v>800.0</v>
      </c>
      <c r="X2961" s="1" t="s">
        <v>35</v>
      </c>
      <c r="Y2961" s="1">
        <v>800000.0</v>
      </c>
      <c r="Z2961" s="1"/>
      <c r="AA2961" s="1">
        <v>800000.0</v>
      </c>
      <c r="AB2961" s="1"/>
      <c r="AC2961" s="1" t="s">
        <v>36</v>
      </c>
      <c r="AD2961" s="1" t="s">
        <v>10526</v>
      </c>
      <c r="AE2961" s="1" t="s">
        <v>32</v>
      </c>
      <c r="AF2961" s="1" t="s">
        <v>33</v>
      </c>
      <c r="AG2961" s="1" t="s">
        <v>174</v>
      </c>
    </row>
    <row r="2962" spans="1:33">
      <c r="A2962" t="s">
        <v>10527</v>
      </c>
      <c r="C2962" t="s">
        <v>732</v>
      </c>
      <c r="E2962" t="s">
        <v>10324</v>
      </c>
      <c r="F2962" t="s">
        <v>10325</v>
      </c>
      <c r="G2962">
        <v>738.0</v>
      </c>
      <c r="H2962">
        <v>738.0</v>
      </c>
      <c r="I2962" t="s">
        <v>136</v>
      </c>
      <c r="J2962" t="s">
        <v>137</v>
      </c>
      <c r="K2962" t="s">
        <v>31</v>
      </c>
      <c r="L2962" t="s">
        <v>32</v>
      </c>
      <c r="M2962" t="s">
        <v>33</v>
      </c>
      <c r="P2962" s="1" t="s">
        <v>10528</v>
      </c>
      <c r="Q2962" s="1" t="s">
        <v>10324</v>
      </c>
      <c r="R2962" s="1" t="s">
        <v>10324</v>
      </c>
      <c r="S2962" s="1"/>
      <c r="T2962" s="1" t="s">
        <v>732</v>
      </c>
      <c r="U2962" s="1"/>
      <c r="V2962" s="1">
        <v>738.0</v>
      </c>
      <c r="W2962" s="1">
        <v>738.0</v>
      </c>
      <c r="X2962" s="1" t="s">
        <v>35</v>
      </c>
      <c r="Y2962" s="1">
        <v>738000.0</v>
      </c>
      <c r="Z2962" s="1"/>
      <c r="AA2962" s="1">
        <v>738000.0</v>
      </c>
      <c r="AB2962" s="1"/>
      <c r="AC2962" s="1" t="s">
        <v>36</v>
      </c>
      <c r="AD2962" s="1" t="s">
        <v>10465</v>
      </c>
      <c r="AE2962" s="1" t="s">
        <v>32</v>
      </c>
      <c r="AF2962" s="1" t="s">
        <v>33</v>
      </c>
      <c r="AG2962" s="1" t="s">
        <v>137</v>
      </c>
    </row>
    <row r="2963" spans="1:33">
      <c r="A2963" t="s">
        <v>10529</v>
      </c>
      <c r="C2963" t="s">
        <v>725</v>
      </c>
      <c r="E2963" t="s">
        <v>10324</v>
      </c>
      <c r="F2963" t="s">
        <v>10325</v>
      </c>
      <c r="G2963">
        <v>656.0</v>
      </c>
      <c r="H2963">
        <v>656.0</v>
      </c>
      <c r="I2963" t="s">
        <v>136</v>
      </c>
      <c r="J2963" t="s">
        <v>137</v>
      </c>
      <c r="K2963" t="s">
        <v>31</v>
      </c>
      <c r="L2963" t="s">
        <v>32</v>
      </c>
      <c r="M2963" t="s">
        <v>33</v>
      </c>
      <c r="P2963" s="1" t="s">
        <v>10530</v>
      </c>
      <c r="Q2963" s="1" t="s">
        <v>10324</v>
      </c>
      <c r="R2963" s="1" t="s">
        <v>10324</v>
      </c>
      <c r="S2963" s="1"/>
      <c r="T2963" s="1" t="s">
        <v>725</v>
      </c>
      <c r="U2963" s="1"/>
      <c r="V2963" s="1">
        <v>656.0</v>
      </c>
      <c r="W2963" s="1">
        <v>656.0</v>
      </c>
      <c r="X2963" s="1" t="s">
        <v>35</v>
      </c>
      <c r="Y2963" s="1">
        <v>656000.0</v>
      </c>
      <c r="Z2963" s="1"/>
      <c r="AA2963" s="1">
        <v>656000.0</v>
      </c>
      <c r="AB2963" s="1"/>
      <c r="AC2963" s="1" t="s">
        <v>36</v>
      </c>
      <c r="AD2963" s="1" t="s">
        <v>10531</v>
      </c>
      <c r="AE2963" s="1" t="s">
        <v>32</v>
      </c>
      <c r="AF2963" s="1" t="s">
        <v>33</v>
      </c>
      <c r="AG2963" s="1" t="s">
        <v>137</v>
      </c>
    </row>
    <row r="2964" spans="1:33">
      <c r="A2964" t="s">
        <v>10532</v>
      </c>
      <c r="B2964" t="s">
        <v>4152</v>
      </c>
      <c r="C2964" t="s">
        <v>172</v>
      </c>
      <c r="E2964" t="s">
        <v>10324</v>
      </c>
      <c r="F2964" t="s">
        <v>10325</v>
      </c>
      <c r="G2964">
        <v>36.107</v>
      </c>
      <c r="H2964">
        <v>36.107</v>
      </c>
      <c r="I2964" t="s">
        <v>173</v>
      </c>
      <c r="J2964" t="s">
        <v>174</v>
      </c>
      <c r="K2964" t="s">
        <v>31</v>
      </c>
      <c r="L2964" t="s">
        <v>32</v>
      </c>
      <c r="M2964" t="s">
        <v>33</v>
      </c>
      <c r="P2964" s="1" t="s">
        <v>10533</v>
      </c>
      <c r="Q2964" s="1" t="s">
        <v>10324</v>
      </c>
      <c r="R2964" s="1" t="s">
        <v>10324</v>
      </c>
      <c r="S2964" s="1"/>
      <c r="T2964" s="1" t="s">
        <v>172</v>
      </c>
      <c r="U2964" s="1"/>
      <c r="V2964" s="1">
        <v>36.107</v>
      </c>
      <c r="W2964" s="1">
        <v>36.107</v>
      </c>
      <c r="X2964" s="1" t="s">
        <v>35</v>
      </c>
      <c r="Y2964" s="1">
        <v>36107.0</v>
      </c>
      <c r="Z2964" s="1"/>
      <c r="AA2964" s="1">
        <v>36107.0</v>
      </c>
      <c r="AB2964" s="1"/>
      <c r="AC2964" s="1" t="s">
        <v>36</v>
      </c>
      <c r="AD2964" s="1" t="s">
        <v>10534</v>
      </c>
      <c r="AE2964" s="1" t="s">
        <v>32</v>
      </c>
      <c r="AF2964" s="1" t="s">
        <v>33</v>
      </c>
      <c r="AG2964" s="1" t="s">
        <v>174</v>
      </c>
    </row>
    <row r="2965" spans="1:33">
      <c r="A2965" t="s">
        <v>10535</v>
      </c>
      <c r="C2965" t="s">
        <v>187</v>
      </c>
      <c r="E2965" t="s">
        <v>10324</v>
      </c>
      <c r="F2965" t="s">
        <v>10325</v>
      </c>
      <c r="G2965">
        <v>40.99</v>
      </c>
      <c r="H2965">
        <v>40.99</v>
      </c>
      <c r="I2965" t="s">
        <v>179</v>
      </c>
      <c r="J2965" t="s">
        <v>180</v>
      </c>
      <c r="K2965" t="s">
        <v>31</v>
      </c>
      <c r="L2965" t="s">
        <v>32</v>
      </c>
      <c r="M2965" t="s">
        <v>33</v>
      </c>
      <c r="P2965" s="1" t="s">
        <v>10536</v>
      </c>
      <c r="Q2965" s="1" t="s">
        <v>10324</v>
      </c>
      <c r="R2965" s="1" t="s">
        <v>10324</v>
      </c>
      <c r="S2965" s="1"/>
      <c r="T2965" s="1" t="s">
        <v>187</v>
      </c>
      <c r="U2965" s="1"/>
      <c r="V2965" s="1">
        <v>40.99</v>
      </c>
      <c r="W2965" s="1">
        <v>40.99</v>
      </c>
      <c r="X2965" s="1" t="s">
        <v>35</v>
      </c>
      <c r="Y2965" s="1">
        <v>40990.0</v>
      </c>
      <c r="Z2965" s="1"/>
      <c r="AA2965" s="1">
        <v>40990.0</v>
      </c>
      <c r="AB2965" s="1"/>
      <c r="AC2965" s="1" t="s">
        <v>36</v>
      </c>
      <c r="AD2965" s="1" t="s">
        <v>10537</v>
      </c>
      <c r="AE2965" s="1" t="s">
        <v>32</v>
      </c>
      <c r="AF2965" s="1" t="s">
        <v>33</v>
      </c>
      <c r="AG2965" s="1" t="s">
        <v>180</v>
      </c>
    </row>
    <row r="2966" spans="1:33">
      <c r="A2966" t="s">
        <v>10538</v>
      </c>
      <c r="C2966" t="s">
        <v>725</v>
      </c>
      <c r="E2966" t="s">
        <v>10324</v>
      </c>
      <c r="F2966" t="s">
        <v>10325</v>
      </c>
      <c r="G2966">
        <v>1.528</v>
      </c>
      <c r="H2966">
        <v>1.528</v>
      </c>
      <c r="I2966" t="s">
        <v>136</v>
      </c>
      <c r="J2966" t="s">
        <v>137</v>
      </c>
      <c r="K2966" t="s">
        <v>31</v>
      </c>
      <c r="L2966" t="s">
        <v>32</v>
      </c>
      <c r="M2966" t="s">
        <v>33</v>
      </c>
      <c r="P2966" s="1" t="s">
        <v>10539</v>
      </c>
      <c r="Q2966" s="1" t="s">
        <v>10324</v>
      </c>
      <c r="R2966" s="1" t="s">
        <v>10324</v>
      </c>
      <c r="S2966" s="1"/>
      <c r="T2966" s="1" t="s">
        <v>725</v>
      </c>
      <c r="U2966" s="1"/>
      <c r="V2966" s="1">
        <v>1.528</v>
      </c>
      <c r="W2966" s="1">
        <v>1.528</v>
      </c>
      <c r="X2966" s="1" t="s">
        <v>35</v>
      </c>
      <c r="Y2966" s="1">
        <v>1528000.0</v>
      </c>
      <c r="Z2966" s="1"/>
      <c r="AA2966" s="1">
        <v>1528000.0</v>
      </c>
      <c r="AB2966" s="1"/>
      <c r="AC2966" s="1" t="s">
        <v>36</v>
      </c>
      <c r="AD2966" s="1" t="s">
        <v>10540</v>
      </c>
      <c r="AE2966" s="1" t="s">
        <v>32</v>
      </c>
      <c r="AF2966" s="1" t="s">
        <v>33</v>
      </c>
      <c r="AG2966" s="1" t="s">
        <v>137</v>
      </c>
    </row>
    <row r="2967" spans="1:33">
      <c r="A2967" t="s">
        <v>10541</v>
      </c>
      <c r="C2967" t="s">
        <v>4236</v>
      </c>
      <c r="E2967" t="s">
        <v>10324</v>
      </c>
      <c r="F2967" t="s">
        <v>10325</v>
      </c>
      <c r="G2967">
        <v>1.001</v>
      </c>
      <c r="H2967">
        <v>1.001</v>
      </c>
      <c r="I2967" t="s">
        <v>179</v>
      </c>
      <c r="J2967" t="s">
        <v>180</v>
      </c>
      <c r="K2967" t="s">
        <v>31</v>
      </c>
      <c r="L2967" t="s">
        <v>32</v>
      </c>
      <c r="M2967" t="s">
        <v>33</v>
      </c>
      <c r="P2967" s="1" t="s">
        <v>10542</v>
      </c>
      <c r="Q2967" s="1" t="s">
        <v>10324</v>
      </c>
      <c r="R2967" s="1" t="s">
        <v>10324</v>
      </c>
      <c r="S2967" s="1"/>
      <c r="T2967" s="1" t="s">
        <v>4236</v>
      </c>
      <c r="U2967" s="1"/>
      <c r="V2967" s="1">
        <v>1.001</v>
      </c>
      <c r="W2967" s="1">
        <v>1.001</v>
      </c>
      <c r="X2967" s="1" t="s">
        <v>35</v>
      </c>
      <c r="Y2967" s="1">
        <v>1001000.0</v>
      </c>
      <c r="Z2967" s="1"/>
      <c r="AA2967" s="1">
        <v>1001000.0</v>
      </c>
      <c r="AB2967" s="1"/>
      <c r="AC2967" s="1" t="s">
        <v>36</v>
      </c>
      <c r="AD2967" s="1" t="s">
        <v>10543</v>
      </c>
      <c r="AE2967" s="1" t="s">
        <v>32</v>
      </c>
      <c r="AF2967" s="1" t="s">
        <v>33</v>
      </c>
      <c r="AG2967" s="1" t="s">
        <v>180</v>
      </c>
    </row>
    <row r="2968" spans="1:33">
      <c r="A2968" t="s">
        <v>10544</v>
      </c>
      <c r="B2968" t="s">
        <v>10545</v>
      </c>
      <c r="C2968" t="s">
        <v>135</v>
      </c>
      <c r="E2968" t="s">
        <v>10324</v>
      </c>
      <c r="F2968" t="s">
        <v>10325</v>
      </c>
      <c r="G2968">
        <v>33.8</v>
      </c>
      <c r="H2968">
        <v>33.8</v>
      </c>
      <c r="I2968" t="s">
        <v>136</v>
      </c>
      <c r="J2968" t="s">
        <v>137</v>
      </c>
      <c r="K2968" t="s">
        <v>31</v>
      </c>
      <c r="L2968" t="s">
        <v>32</v>
      </c>
      <c r="M2968" t="s">
        <v>33</v>
      </c>
      <c r="P2968" s="1" t="s">
        <v>10546</v>
      </c>
      <c r="Q2968" s="1" t="s">
        <v>10324</v>
      </c>
      <c r="R2968" s="1" t="s">
        <v>10324</v>
      </c>
      <c r="S2968" s="1"/>
      <c r="T2968" s="1" t="s">
        <v>135</v>
      </c>
      <c r="U2968" s="1"/>
      <c r="V2968" s="1">
        <v>33.8</v>
      </c>
      <c r="W2968" s="1">
        <v>33.8</v>
      </c>
      <c r="X2968" s="1" t="s">
        <v>35</v>
      </c>
      <c r="Y2968" s="1">
        <v>33800.0</v>
      </c>
      <c r="Z2968" s="1"/>
      <c r="AA2968" s="1">
        <v>33800.0</v>
      </c>
      <c r="AB2968" s="1"/>
      <c r="AC2968" s="1" t="s">
        <v>36</v>
      </c>
      <c r="AD2968" s="1" t="s">
        <v>10534</v>
      </c>
      <c r="AE2968" s="1" t="s">
        <v>32</v>
      </c>
      <c r="AF2968" s="1" t="s">
        <v>33</v>
      </c>
      <c r="AG2968" s="1" t="s">
        <v>137</v>
      </c>
    </row>
    <row r="2969" spans="1:33">
      <c r="A2969" t="s">
        <v>10547</v>
      </c>
      <c r="B2969" t="s">
        <v>10548</v>
      </c>
      <c r="C2969" t="s">
        <v>125</v>
      </c>
      <c r="E2969" t="s">
        <v>10324</v>
      </c>
      <c r="F2969" t="s">
        <v>10325</v>
      </c>
      <c r="G2969">
        <v>20.99</v>
      </c>
      <c r="H2969">
        <v>20.99</v>
      </c>
      <c r="I2969" t="s">
        <v>126</v>
      </c>
      <c r="J2969" t="s">
        <v>127</v>
      </c>
      <c r="K2969" t="s">
        <v>31</v>
      </c>
      <c r="L2969" t="s">
        <v>32</v>
      </c>
      <c r="M2969" t="s">
        <v>33</v>
      </c>
      <c r="P2969" s="1" t="s">
        <v>10549</v>
      </c>
      <c r="Q2969" s="1" t="s">
        <v>10324</v>
      </c>
      <c r="R2969" s="1" t="s">
        <v>10324</v>
      </c>
      <c r="S2969" s="1"/>
      <c r="T2969" s="1" t="s">
        <v>125</v>
      </c>
      <c r="U2969" s="1"/>
      <c r="V2969" s="1">
        <v>20.99</v>
      </c>
      <c r="W2969" s="1">
        <v>20.99</v>
      </c>
      <c r="X2969" s="1" t="s">
        <v>35</v>
      </c>
      <c r="Y2969" s="1">
        <v>20990.0</v>
      </c>
      <c r="Z2969" s="1"/>
      <c r="AA2969" s="1">
        <v>20990.0</v>
      </c>
      <c r="AB2969" s="1"/>
      <c r="AC2969" s="1" t="s">
        <v>36</v>
      </c>
      <c r="AD2969" s="1" t="s">
        <v>10550</v>
      </c>
      <c r="AE2969" s="1" t="s">
        <v>32</v>
      </c>
      <c r="AF2969" s="1" t="s">
        <v>33</v>
      </c>
      <c r="AG2969" s="1" t="s">
        <v>127</v>
      </c>
    </row>
    <row r="2970" spans="1:33">
      <c r="A2970" t="s">
        <v>10551</v>
      </c>
      <c r="C2970" t="s">
        <v>674</v>
      </c>
      <c r="E2970" t="s">
        <v>10324</v>
      </c>
      <c r="F2970" t="s">
        <v>10325</v>
      </c>
      <c r="G2970">
        <v>944.0</v>
      </c>
      <c r="H2970">
        <v>944.0</v>
      </c>
      <c r="I2970" t="s">
        <v>136</v>
      </c>
      <c r="J2970" t="s">
        <v>137</v>
      </c>
      <c r="K2970" t="s">
        <v>31</v>
      </c>
      <c r="L2970" t="s">
        <v>32</v>
      </c>
      <c r="M2970" t="s">
        <v>33</v>
      </c>
      <c r="P2970" s="1" t="s">
        <v>10552</v>
      </c>
      <c r="Q2970" s="1" t="s">
        <v>10324</v>
      </c>
      <c r="R2970" s="1" t="s">
        <v>10324</v>
      </c>
      <c r="S2970" s="1"/>
      <c r="T2970" s="1" t="s">
        <v>674</v>
      </c>
      <c r="U2970" s="1"/>
      <c r="V2970" s="1">
        <v>944.0</v>
      </c>
      <c r="W2970" s="1">
        <v>944.0</v>
      </c>
      <c r="X2970" s="1" t="s">
        <v>35</v>
      </c>
      <c r="Y2970" s="1">
        <v>944000.0</v>
      </c>
      <c r="Z2970" s="1"/>
      <c r="AA2970" s="1">
        <v>944000.0</v>
      </c>
      <c r="AB2970" s="1"/>
      <c r="AC2970" s="1" t="s">
        <v>36</v>
      </c>
      <c r="AD2970" s="1" t="s">
        <v>10553</v>
      </c>
      <c r="AE2970" s="1" t="s">
        <v>32</v>
      </c>
      <c r="AF2970" s="1" t="s">
        <v>33</v>
      </c>
      <c r="AG2970" s="1" t="s">
        <v>137</v>
      </c>
    </row>
    <row r="2971" spans="1:33">
      <c r="A2971" t="s">
        <v>10554</v>
      </c>
      <c r="C2971" t="s">
        <v>691</v>
      </c>
      <c r="E2971" t="s">
        <v>10324</v>
      </c>
      <c r="F2971" t="s">
        <v>10325</v>
      </c>
      <c r="G2971">
        <v>1.179</v>
      </c>
      <c r="H2971">
        <v>1.179</v>
      </c>
      <c r="I2971" t="s">
        <v>136</v>
      </c>
      <c r="J2971" t="s">
        <v>137</v>
      </c>
      <c r="K2971" t="s">
        <v>31</v>
      </c>
      <c r="L2971" t="s">
        <v>32</v>
      </c>
      <c r="M2971" t="s">
        <v>33</v>
      </c>
      <c r="P2971" s="1" t="s">
        <v>10555</v>
      </c>
      <c r="Q2971" s="1" t="s">
        <v>10324</v>
      </c>
      <c r="R2971" s="1" t="s">
        <v>10324</v>
      </c>
      <c r="S2971" s="1"/>
      <c r="T2971" s="1" t="s">
        <v>691</v>
      </c>
      <c r="U2971" s="1"/>
      <c r="V2971" s="1">
        <v>1.179</v>
      </c>
      <c r="W2971" s="1">
        <v>1.179</v>
      </c>
      <c r="X2971" s="1" t="s">
        <v>35</v>
      </c>
      <c r="Y2971" s="1">
        <v>1179200.0</v>
      </c>
      <c r="Z2971" s="1"/>
      <c r="AA2971" s="1">
        <v>1179200.0</v>
      </c>
      <c r="AB2971" s="1"/>
      <c r="AC2971" s="1" t="s">
        <v>36</v>
      </c>
      <c r="AD2971" s="1" t="s">
        <v>10556</v>
      </c>
      <c r="AE2971" s="1" t="s">
        <v>32</v>
      </c>
      <c r="AF2971" s="1" t="s">
        <v>33</v>
      </c>
      <c r="AG2971" s="1" t="s">
        <v>137</v>
      </c>
    </row>
    <row r="2972" spans="1:33">
      <c r="A2972" t="s">
        <v>10557</v>
      </c>
      <c r="C2972" t="s">
        <v>1992</v>
      </c>
      <c r="E2972" t="s">
        <v>10324</v>
      </c>
      <c r="F2972" t="s">
        <v>10325</v>
      </c>
      <c r="G2972">
        <v>680.25</v>
      </c>
      <c r="H2972">
        <v>680.25</v>
      </c>
      <c r="I2972" t="s">
        <v>136</v>
      </c>
      <c r="J2972" t="s">
        <v>137</v>
      </c>
      <c r="K2972" t="s">
        <v>31</v>
      </c>
      <c r="L2972" t="s">
        <v>32</v>
      </c>
      <c r="M2972" t="s">
        <v>33</v>
      </c>
      <c r="P2972" s="1" t="s">
        <v>10558</v>
      </c>
      <c r="Q2972" s="1" t="s">
        <v>10324</v>
      </c>
      <c r="R2972" s="1" t="s">
        <v>10324</v>
      </c>
      <c r="S2972" s="1"/>
      <c r="T2972" s="1" t="s">
        <v>1994</v>
      </c>
      <c r="U2972" s="1" t="s">
        <v>1995</v>
      </c>
      <c r="V2972" s="1">
        <v>680.25</v>
      </c>
      <c r="W2972" s="1">
        <v>680.25</v>
      </c>
      <c r="X2972" s="1" t="s">
        <v>35</v>
      </c>
      <c r="Y2972" s="1">
        <v>680250.0</v>
      </c>
      <c r="Z2972" s="1"/>
      <c r="AA2972" s="1">
        <v>680250.0</v>
      </c>
      <c r="AB2972" s="1"/>
      <c r="AC2972" s="1" t="s">
        <v>36</v>
      </c>
      <c r="AD2972" s="1" t="s">
        <v>10550</v>
      </c>
      <c r="AE2972" s="1" t="s">
        <v>32</v>
      </c>
      <c r="AF2972" s="1" t="s">
        <v>33</v>
      </c>
      <c r="AG2972" s="1" t="s">
        <v>137</v>
      </c>
    </row>
    <row r="2973" spans="1:33">
      <c r="A2973" t="s">
        <v>10559</v>
      </c>
      <c r="B2973" t="s">
        <v>10560</v>
      </c>
      <c r="C2973" t="s">
        <v>26</v>
      </c>
      <c r="E2973" t="s">
        <v>10324</v>
      </c>
      <c r="F2973" t="s">
        <v>10325</v>
      </c>
      <c r="G2973">
        <v>37.399</v>
      </c>
      <c r="H2973">
        <v>37.399</v>
      </c>
      <c r="I2973" t="s">
        <v>29</v>
      </c>
      <c r="J2973" t="s">
        <v>30</v>
      </c>
      <c r="K2973" t="s">
        <v>31</v>
      </c>
      <c r="L2973" t="s">
        <v>32</v>
      </c>
      <c r="M2973" t="s">
        <v>33</v>
      </c>
      <c r="P2973" s="1" t="s">
        <v>10561</v>
      </c>
      <c r="Q2973" s="1" t="s">
        <v>10324</v>
      </c>
      <c r="R2973" s="1" t="s">
        <v>10324</v>
      </c>
      <c r="S2973" s="1"/>
      <c r="T2973" s="1" t="s">
        <v>26</v>
      </c>
      <c r="U2973" s="1"/>
      <c r="V2973" s="1">
        <v>37.399</v>
      </c>
      <c r="W2973" s="1">
        <v>37.399</v>
      </c>
      <c r="X2973" s="1" t="s">
        <v>35</v>
      </c>
      <c r="Y2973" s="1">
        <v>37399.0</v>
      </c>
      <c r="Z2973" s="1"/>
      <c r="AA2973" s="1">
        <v>37399.0</v>
      </c>
      <c r="AB2973" s="1"/>
      <c r="AC2973" s="1" t="s">
        <v>36</v>
      </c>
      <c r="AD2973" s="1" t="s">
        <v>10562</v>
      </c>
      <c r="AE2973" s="1" t="s">
        <v>32</v>
      </c>
      <c r="AF2973" s="1" t="s">
        <v>33</v>
      </c>
      <c r="AG2973" s="1" t="s">
        <v>30</v>
      </c>
    </row>
    <row r="2974" spans="1:33">
      <c r="A2974" t="s">
        <v>10563</v>
      </c>
      <c r="C2974" t="s">
        <v>7586</v>
      </c>
      <c r="E2974" t="s">
        <v>10324</v>
      </c>
      <c r="F2974" t="s">
        <v>10325</v>
      </c>
      <c r="G2974">
        <v>820.0</v>
      </c>
      <c r="H2974">
        <v>820.0</v>
      </c>
      <c r="I2974" t="s">
        <v>136</v>
      </c>
      <c r="J2974" t="s">
        <v>137</v>
      </c>
      <c r="K2974" t="s">
        <v>31</v>
      </c>
      <c r="L2974" t="s">
        <v>32</v>
      </c>
      <c r="M2974" t="s">
        <v>33</v>
      </c>
      <c r="P2974" s="1" t="s">
        <v>10564</v>
      </c>
      <c r="Q2974" s="1" t="s">
        <v>10324</v>
      </c>
      <c r="R2974" s="1" t="s">
        <v>10324</v>
      </c>
      <c r="S2974" s="1"/>
      <c r="T2974" s="1" t="s">
        <v>7586</v>
      </c>
      <c r="U2974" s="1"/>
      <c r="V2974" s="1">
        <v>820.0</v>
      </c>
      <c r="W2974" s="1">
        <v>820.0</v>
      </c>
      <c r="X2974" s="1" t="s">
        <v>35</v>
      </c>
      <c r="Y2974" s="1">
        <v>820000.0</v>
      </c>
      <c r="Z2974" s="1"/>
      <c r="AA2974" s="1">
        <v>820000.0</v>
      </c>
      <c r="AB2974" s="1"/>
      <c r="AC2974" s="1" t="s">
        <v>36</v>
      </c>
      <c r="AD2974" s="1" t="s">
        <v>10565</v>
      </c>
      <c r="AE2974" s="1" t="s">
        <v>32</v>
      </c>
      <c r="AF2974" s="1" t="s">
        <v>33</v>
      </c>
      <c r="AG2974" s="1" t="s">
        <v>137</v>
      </c>
    </row>
    <row r="2975" spans="1:33">
      <c r="A2975" t="s">
        <v>10566</v>
      </c>
      <c r="C2975" t="s">
        <v>670</v>
      </c>
      <c r="E2975" t="s">
        <v>10324</v>
      </c>
      <c r="F2975" t="s">
        <v>10325</v>
      </c>
      <c r="G2975">
        <v>911.0</v>
      </c>
      <c r="H2975">
        <v>911.0</v>
      </c>
      <c r="I2975" t="s">
        <v>136</v>
      </c>
      <c r="J2975" t="s">
        <v>137</v>
      </c>
      <c r="K2975" t="s">
        <v>31</v>
      </c>
      <c r="L2975" t="s">
        <v>32</v>
      </c>
      <c r="M2975" t="s">
        <v>33</v>
      </c>
      <c r="P2975" s="1" t="s">
        <v>10567</v>
      </c>
      <c r="Q2975" s="1" t="s">
        <v>10324</v>
      </c>
      <c r="R2975" s="1" t="s">
        <v>10324</v>
      </c>
      <c r="S2975" s="1"/>
      <c r="T2975" s="1" t="s">
        <v>670</v>
      </c>
      <c r="U2975" s="1"/>
      <c r="V2975" s="1">
        <v>911.0</v>
      </c>
      <c r="W2975" s="1">
        <v>911.0</v>
      </c>
      <c r="X2975" s="1" t="s">
        <v>35</v>
      </c>
      <c r="Y2975" s="1">
        <v>911000.0</v>
      </c>
      <c r="Z2975" s="1"/>
      <c r="AA2975" s="1">
        <v>911000.0</v>
      </c>
      <c r="AB2975" s="1"/>
      <c r="AC2975" s="1" t="s">
        <v>36</v>
      </c>
      <c r="AD2975" s="1" t="s">
        <v>10568</v>
      </c>
      <c r="AE2975" s="1" t="s">
        <v>32</v>
      </c>
      <c r="AF2975" s="1" t="s">
        <v>33</v>
      </c>
      <c r="AG2975" s="1" t="s">
        <v>137</v>
      </c>
    </row>
    <row r="2976" spans="1:33">
      <c r="A2976" t="s">
        <v>10569</v>
      </c>
      <c r="C2976" t="s">
        <v>7605</v>
      </c>
      <c r="E2976" t="s">
        <v>10324</v>
      </c>
      <c r="F2976" t="s">
        <v>10325</v>
      </c>
      <c r="G2976">
        <v>902.0</v>
      </c>
      <c r="H2976">
        <v>902.0</v>
      </c>
      <c r="I2976" t="s">
        <v>136</v>
      </c>
      <c r="J2976" t="s">
        <v>137</v>
      </c>
      <c r="K2976" t="s">
        <v>31</v>
      </c>
      <c r="L2976" t="s">
        <v>32</v>
      </c>
      <c r="M2976" t="s">
        <v>33</v>
      </c>
      <c r="P2976" s="1" t="s">
        <v>10570</v>
      </c>
      <c r="Q2976" s="1" t="s">
        <v>10324</v>
      </c>
      <c r="R2976" s="1" t="s">
        <v>10324</v>
      </c>
      <c r="S2976" s="1"/>
      <c r="T2976" s="1" t="s">
        <v>7605</v>
      </c>
      <c r="U2976" s="1"/>
      <c r="V2976" s="1">
        <v>902.0</v>
      </c>
      <c r="W2976" s="1">
        <v>902.0</v>
      </c>
      <c r="X2976" s="1" t="s">
        <v>35</v>
      </c>
      <c r="Y2976" s="1">
        <v>902000.0</v>
      </c>
      <c r="Z2976" s="1"/>
      <c r="AA2976" s="1">
        <v>902000.0</v>
      </c>
      <c r="AB2976" s="1"/>
      <c r="AC2976" s="1" t="s">
        <v>36</v>
      </c>
      <c r="AD2976" s="1" t="s">
        <v>10571</v>
      </c>
      <c r="AE2976" s="1" t="s">
        <v>32</v>
      </c>
      <c r="AF2976" s="1" t="s">
        <v>33</v>
      </c>
      <c r="AG2976" s="1" t="s">
        <v>137</v>
      </c>
    </row>
    <row r="2977" spans="1:33">
      <c r="A2977" t="s">
        <v>10572</v>
      </c>
      <c r="C2977" t="s">
        <v>797</v>
      </c>
      <c r="D2977" t="s">
        <v>798</v>
      </c>
      <c r="E2977" t="s">
        <v>10324</v>
      </c>
      <c r="F2977" t="s">
        <v>10325</v>
      </c>
      <c r="G2977">
        <v>1.64</v>
      </c>
      <c r="H2977">
        <v>1.64</v>
      </c>
      <c r="I2977" t="s">
        <v>136</v>
      </c>
      <c r="J2977" t="s">
        <v>137</v>
      </c>
      <c r="K2977" t="s">
        <v>31</v>
      </c>
      <c r="L2977" t="s">
        <v>32</v>
      </c>
      <c r="M2977" t="s">
        <v>33</v>
      </c>
      <c r="P2977" s="1" t="s">
        <v>10573</v>
      </c>
      <c r="Q2977" s="1" t="s">
        <v>10324</v>
      </c>
      <c r="R2977" s="1" t="s">
        <v>10324</v>
      </c>
      <c r="S2977" s="1"/>
      <c r="T2977" s="1" t="s">
        <v>797</v>
      </c>
      <c r="U2977" s="1"/>
      <c r="V2977" s="1">
        <v>1.64</v>
      </c>
      <c r="W2977" s="1">
        <v>1.64</v>
      </c>
      <c r="X2977" s="1" t="s">
        <v>35</v>
      </c>
      <c r="Y2977" s="1">
        <v>1640000.0</v>
      </c>
      <c r="Z2977" s="1"/>
      <c r="AA2977" s="1">
        <v>1640000.0</v>
      </c>
      <c r="AB2977" s="1"/>
      <c r="AC2977" s="1" t="s">
        <v>36</v>
      </c>
      <c r="AD2977" s="1" t="s">
        <v>10574</v>
      </c>
      <c r="AE2977" s="1" t="s">
        <v>32</v>
      </c>
      <c r="AF2977" s="1" t="s">
        <v>33</v>
      </c>
      <c r="AG2977" s="1" t="s">
        <v>137</v>
      </c>
    </row>
    <row r="2978" spans="1:33">
      <c r="A2978" t="s">
        <v>10575</v>
      </c>
      <c r="C2978" t="s">
        <v>2038</v>
      </c>
      <c r="E2978" t="s">
        <v>10324</v>
      </c>
      <c r="F2978" t="s">
        <v>10325</v>
      </c>
      <c r="G2978">
        <v>396.8</v>
      </c>
      <c r="H2978">
        <v>396.8</v>
      </c>
      <c r="I2978" t="s">
        <v>136</v>
      </c>
      <c r="J2978" t="s">
        <v>137</v>
      </c>
      <c r="K2978" t="s">
        <v>31</v>
      </c>
      <c r="L2978" t="s">
        <v>32</v>
      </c>
      <c r="M2978" t="s">
        <v>33</v>
      </c>
      <c r="P2978" s="1" t="s">
        <v>10576</v>
      </c>
      <c r="Q2978" s="1" t="s">
        <v>10324</v>
      </c>
      <c r="R2978" s="1" t="s">
        <v>10324</v>
      </c>
      <c r="S2978" s="1"/>
      <c r="T2978" s="1" t="s">
        <v>2040</v>
      </c>
      <c r="U2978" s="1" t="s">
        <v>2041</v>
      </c>
      <c r="V2978" s="1">
        <v>396.8</v>
      </c>
      <c r="W2978" s="1">
        <v>396.8</v>
      </c>
      <c r="X2978" s="1" t="s">
        <v>35</v>
      </c>
      <c r="Y2978" s="1">
        <v>396800.0</v>
      </c>
      <c r="Z2978" s="1"/>
      <c r="AA2978" s="1">
        <v>396800.0</v>
      </c>
      <c r="AB2978" s="1"/>
      <c r="AC2978" s="1" t="s">
        <v>36</v>
      </c>
      <c r="AD2978" s="1" t="s">
        <v>10577</v>
      </c>
      <c r="AE2978" s="1" t="s">
        <v>32</v>
      </c>
      <c r="AF2978" s="1" t="s">
        <v>33</v>
      </c>
      <c r="AG2978" s="1" t="s">
        <v>137</v>
      </c>
    </row>
    <row r="2979" spans="1:33">
      <c r="A2979" t="s">
        <v>10578</v>
      </c>
      <c r="B2979" t="s">
        <v>4515</v>
      </c>
      <c r="C2979" t="s">
        <v>2395</v>
      </c>
      <c r="E2979" t="s">
        <v>10324</v>
      </c>
      <c r="F2979" t="s">
        <v>10325</v>
      </c>
      <c r="G2979">
        <v>630.0</v>
      </c>
      <c r="H2979">
        <v>630.0</v>
      </c>
      <c r="I2979" t="s">
        <v>40</v>
      </c>
      <c r="J2979" t="s">
        <v>41</v>
      </c>
      <c r="K2979" t="s">
        <v>31</v>
      </c>
      <c r="L2979" t="s">
        <v>32</v>
      </c>
      <c r="M2979" t="s">
        <v>33</v>
      </c>
      <c r="P2979" s="1" t="s">
        <v>10579</v>
      </c>
      <c r="Q2979" s="1" t="s">
        <v>10324</v>
      </c>
      <c r="R2979" s="1" t="s">
        <v>9612</v>
      </c>
      <c r="S2979" s="1"/>
      <c r="T2979" s="1" t="s">
        <v>2397</v>
      </c>
      <c r="U2979" s="1" t="s">
        <v>2398</v>
      </c>
      <c r="V2979" s="1">
        <v>630.0</v>
      </c>
      <c r="W2979" s="1">
        <v>630.0</v>
      </c>
      <c r="X2979" s="1" t="s">
        <v>35</v>
      </c>
      <c r="Y2979" s="1">
        <v>630000.0</v>
      </c>
      <c r="Z2979" s="1"/>
      <c r="AA2979" s="1">
        <v>630000.0</v>
      </c>
      <c r="AB2979" s="1"/>
      <c r="AC2979" s="1" t="s">
        <v>36</v>
      </c>
      <c r="AD2979" s="1" t="s">
        <v>10580</v>
      </c>
      <c r="AE2979" s="1" t="s">
        <v>32</v>
      </c>
      <c r="AF2979" s="1" t="s">
        <v>33</v>
      </c>
      <c r="AG2979" s="1" t="s">
        <v>41</v>
      </c>
    </row>
    <row r="2980" spans="1:33">
      <c r="A2980" t="s">
        <v>10581</v>
      </c>
      <c r="B2980" t="s">
        <v>10582</v>
      </c>
      <c r="C2980" t="s">
        <v>569</v>
      </c>
      <c r="E2980" t="s">
        <v>10324</v>
      </c>
      <c r="F2980" t="s">
        <v>10325</v>
      </c>
      <c r="G2980">
        <v>11.54</v>
      </c>
      <c r="H2980">
        <v>11.54</v>
      </c>
      <c r="I2980" t="s">
        <v>570</v>
      </c>
      <c r="J2980" t="s">
        <v>571</v>
      </c>
      <c r="K2980" t="s">
        <v>31</v>
      </c>
      <c r="L2980" t="s">
        <v>32</v>
      </c>
      <c r="M2980" t="s">
        <v>33</v>
      </c>
      <c r="P2980" s="1" t="s">
        <v>10583</v>
      </c>
      <c r="Q2980" s="1" t="s">
        <v>10324</v>
      </c>
      <c r="R2980" s="1" t="s">
        <v>10324</v>
      </c>
      <c r="S2980" s="1"/>
      <c r="T2980" s="1" t="s">
        <v>569</v>
      </c>
      <c r="U2980" s="1"/>
      <c r="V2980" s="1">
        <v>11.54</v>
      </c>
      <c r="W2980" s="1">
        <v>11.54</v>
      </c>
      <c r="X2980" s="1" t="s">
        <v>35</v>
      </c>
      <c r="Y2980" s="1">
        <v>11540.0</v>
      </c>
      <c r="Z2980" s="1"/>
      <c r="AA2980" s="1">
        <v>11540.0</v>
      </c>
      <c r="AB2980" s="1"/>
      <c r="AC2980" s="1" t="s">
        <v>36</v>
      </c>
      <c r="AD2980" s="1" t="s">
        <v>10584</v>
      </c>
      <c r="AE2980" s="1" t="s">
        <v>32</v>
      </c>
      <c r="AF2980" s="1" t="s">
        <v>33</v>
      </c>
      <c r="AG2980" s="1" t="s">
        <v>571</v>
      </c>
    </row>
    <row r="2981" spans="1:33">
      <c r="A2981" t="s">
        <v>10585</v>
      </c>
      <c r="B2981" t="s">
        <v>409</v>
      </c>
      <c r="C2981" t="s">
        <v>68</v>
      </c>
      <c r="E2981" t="s">
        <v>10324</v>
      </c>
      <c r="F2981" t="s">
        <v>10325</v>
      </c>
      <c r="G2981">
        <v>6.698</v>
      </c>
      <c r="H2981">
        <v>6.698</v>
      </c>
      <c r="I2981" t="s">
        <v>59</v>
      </c>
      <c r="J2981" t="s">
        <v>60</v>
      </c>
      <c r="K2981" t="s">
        <v>31</v>
      </c>
      <c r="L2981" t="s">
        <v>32</v>
      </c>
      <c r="M2981" t="s">
        <v>33</v>
      </c>
      <c r="P2981" s="1" t="s">
        <v>10586</v>
      </c>
      <c r="Q2981" s="1" t="s">
        <v>10324</v>
      </c>
      <c r="R2981" s="1" t="s">
        <v>10324</v>
      </c>
      <c r="S2981" s="1"/>
      <c r="T2981" s="1" t="s">
        <v>68</v>
      </c>
      <c r="U2981" s="1"/>
      <c r="V2981" s="1">
        <v>6.698</v>
      </c>
      <c r="W2981" s="1">
        <v>6.698</v>
      </c>
      <c r="X2981" s="1" t="s">
        <v>35</v>
      </c>
      <c r="Y2981" s="1">
        <v>6698.0</v>
      </c>
      <c r="Z2981" s="1"/>
      <c r="AA2981" s="1">
        <v>6698.0</v>
      </c>
      <c r="AB2981" s="1"/>
      <c r="AC2981" s="1" t="s">
        <v>36</v>
      </c>
      <c r="AD2981" s="1" t="s">
        <v>10587</v>
      </c>
      <c r="AE2981" s="1" t="s">
        <v>32</v>
      </c>
      <c r="AF2981" s="1" t="s">
        <v>33</v>
      </c>
      <c r="AG2981" s="1" t="s">
        <v>60</v>
      </c>
    </row>
    <row r="2982" spans="1:33">
      <c r="A2982" t="s">
        <v>10588</v>
      </c>
      <c r="C2982" t="s">
        <v>513</v>
      </c>
      <c r="E2982" t="s">
        <v>10324</v>
      </c>
      <c r="F2982" t="s">
        <v>10325</v>
      </c>
      <c r="G2982">
        <v>21.0</v>
      </c>
      <c r="H2982">
        <v>21.0</v>
      </c>
      <c r="I2982" t="s">
        <v>2206</v>
      </c>
      <c r="J2982" t="s">
        <v>49</v>
      </c>
      <c r="K2982" t="s">
        <v>31</v>
      </c>
      <c r="L2982" t="s">
        <v>32</v>
      </c>
      <c r="M2982" t="s">
        <v>33</v>
      </c>
      <c r="P2982" s="1" t="s">
        <v>10589</v>
      </c>
      <c r="Q2982" s="1" t="s">
        <v>10324</v>
      </c>
      <c r="R2982" s="1" t="s">
        <v>10324</v>
      </c>
      <c r="S2982" s="1"/>
      <c r="T2982" s="1" t="s">
        <v>513</v>
      </c>
      <c r="U2982" s="1"/>
      <c r="V2982" s="1">
        <v>21.0</v>
      </c>
      <c r="W2982" s="1">
        <v>21.0</v>
      </c>
      <c r="X2982" s="1" t="s">
        <v>35</v>
      </c>
      <c r="Y2982" s="1">
        <v>21000.0</v>
      </c>
      <c r="Z2982" s="1"/>
      <c r="AA2982" s="1">
        <v>21000.0</v>
      </c>
      <c r="AB2982" s="1"/>
      <c r="AC2982" s="1" t="s">
        <v>36</v>
      </c>
      <c r="AD2982" s="1" t="s">
        <v>10590</v>
      </c>
      <c r="AE2982" s="1" t="s">
        <v>32</v>
      </c>
      <c r="AF2982" s="1" t="s">
        <v>33</v>
      </c>
      <c r="AG2982" s="1" t="s">
        <v>49</v>
      </c>
    </row>
    <row r="2983" spans="1:33">
      <c r="A2983" t="s">
        <v>10591</v>
      </c>
      <c r="C2983" t="s">
        <v>2197</v>
      </c>
      <c r="E2983" t="s">
        <v>10324</v>
      </c>
      <c r="F2983" t="s">
        <v>10325</v>
      </c>
      <c r="G2983">
        <v>1.205</v>
      </c>
      <c r="H2983">
        <v>1.205</v>
      </c>
      <c r="I2983" t="s">
        <v>570</v>
      </c>
      <c r="J2983" t="s">
        <v>571</v>
      </c>
      <c r="K2983" t="s">
        <v>31</v>
      </c>
      <c r="L2983" t="s">
        <v>32</v>
      </c>
      <c r="M2983" t="s">
        <v>33</v>
      </c>
      <c r="P2983" s="1" t="s">
        <v>10592</v>
      </c>
      <c r="Q2983" s="1" t="s">
        <v>10324</v>
      </c>
      <c r="R2983" s="1" t="s">
        <v>10324</v>
      </c>
      <c r="S2983" s="1"/>
      <c r="T2983" s="1" t="s">
        <v>2197</v>
      </c>
      <c r="U2983" s="1"/>
      <c r="V2983" s="1">
        <v>1.205</v>
      </c>
      <c r="W2983" s="1">
        <v>1.205</v>
      </c>
      <c r="X2983" s="1" t="s">
        <v>35</v>
      </c>
      <c r="Y2983" s="1">
        <v>1205000.0</v>
      </c>
      <c r="Z2983" s="1"/>
      <c r="AA2983" s="1">
        <v>1205000.0</v>
      </c>
      <c r="AB2983" s="1"/>
      <c r="AC2983" s="1" t="s">
        <v>36</v>
      </c>
      <c r="AD2983" s="1" t="s">
        <v>10593</v>
      </c>
      <c r="AE2983" s="1" t="s">
        <v>32</v>
      </c>
      <c r="AF2983" s="1" t="s">
        <v>33</v>
      </c>
      <c r="AG2983" s="1" t="s">
        <v>571</v>
      </c>
    </row>
    <row r="2984" spans="1:33">
      <c r="A2984" t="s">
        <v>10594</v>
      </c>
      <c r="C2984" t="s">
        <v>10595</v>
      </c>
      <c r="E2984" t="s">
        <v>10324</v>
      </c>
      <c r="F2984" t="s">
        <v>10325</v>
      </c>
      <c r="G2984">
        <v>630.0</v>
      </c>
      <c r="H2984">
        <v>630.0</v>
      </c>
      <c r="I2984" t="s">
        <v>126</v>
      </c>
      <c r="J2984" t="s">
        <v>127</v>
      </c>
      <c r="K2984" t="s">
        <v>31</v>
      </c>
      <c r="L2984" t="s">
        <v>32</v>
      </c>
      <c r="M2984" t="s">
        <v>33</v>
      </c>
      <c r="P2984" s="1" t="s">
        <v>10596</v>
      </c>
      <c r="Q2984" s="1" t="s">
        <v>10324</v>
      </c>
      <c r="R2984" s="1" t="s">
        <v>10324</v>
      </c>
      <c r="S2984" s="1"/>
      <c r="T2984" s="1" t="s">
        <v>10595</v>
      </c>
      <c r="U2984" s="1"/>
      <c r="V2984" s="1">
        <v>630.0</v>
      </c>
      <c r="W2984" s="1">
        <v>630.0</v>
      </c>
      <c r="X2984" s="1" t="s">
        <v>35</v>
      </c>
      <c r="Y2984" s="1">
        <v>630000.0</v>
      </c>
      <c r="Z2984" s="1"/>
      <c r="AA2984" s="1">
        <v>630000.0</v>
      </c>
      <c r="AB2984" s="1"/>
      <c r="AC2984" s="1" t="s">
        <v>36</v>
      </c>
      <c r="AD2984" s="1" t="s">
        <v>10597</v>
      </c>
      <c r="AE2984" s="1" t="s">
        <v>32</v>
      </c>
      <c r="AF2984" s="1" t="s">
        <v>33</v>
      </c>
      <c r="AG2984" s="1" t="s">
        <v>127</v>
      </c>
    </row>
    <row r="2985" spans="1:33">
      <c r="A2985" t="s">
        <v>10598</v>
      </c>
      <c r="C2985" t="s">
        <v>691</v>
      </c>
      <c r="E2985" t="s">
        <v>10324</v>
      </c>
      <c r="F2985" t="s">
        <v>10325</v>
      </c>
      <c r="G2985">
        <v>29.25</v>
      </c>
      <c r="H2985">
        <v>29.25</v>
      </c>
      <c r="I2985" t="s">
        <v>269</v>
      </c>
      <c r="J2985" t="s">
        <v>270</v>
      </c>
      <c r="K2985" t="s">
        <v>31</v>
      </c>
      <c r="L2985" t="s">
        <v>32</v>
      </c>
      <c r="M2985" t="s">
        <v>33</v>
      </c>
      <c r="P2985" s="1" t="s">
        <v>10599</v>
      </c>
      <c r="Q2985" s="1" t="s">
        <v>10324</v>
      </c>
      <c r="R2985" s="1" t="s">
        <v>10324</v>
      </c>
      <c r="S2985" s="1"/>
      <c r="T2985" s="1" t="s">
        <v>691</v>
      </c>
      <c r="U2985" s="1"/>
      <c r="V2985" s="1">
        <v>29.25</v>
      </c>
      <c r="W2985" s="1">
        <v>29.25</v>
      </c>
      <c r="X2985" s="1" t="s">
        <v>35</v>
      </c>
      <c r="Y2985" s="1">
        <v>29250.0</v>
      </c>
      <c r="Z2985" s="1"/>
      <c r="AA2985" s="1">
        <v>29250.0</v>
      </c>
      <c r="AB2985" s="1"/>
      <c r="AC2985" s="1" t="s">
        <v>36</v>
      </c>
      <c r="AD2985" s="1" t="s">
        <v>10600</v>
      </c>
      <c r="AE2985" s="1" t="s">
        <v>32</v>
      </c>
      <c r="AF2985" s="1" t="s">
        <v>33</v>
      </c>
      <c r="AG2985" s="1" t="s">
        <v>270</v>
      </c>
    </row>
    <row r="2986" spans="1:33">
      <c r="A2986" t="s">
        <v>10601</v>
      </c>
      <c r="C2986" t="s">
        <v>6485</v>
      </c>
      <c r="E2986" t="s">
        <v>10324</v>
      </c>
      <c r="F2986" t="s">
        <v>10325</v>
      </c>
      <c r="G2986">
        <v>1.18</v>
      </c>
      <c r="H2986">
        <v>1.18</v>
      </c>
      <c r="I2986" t="s">
        <v>2206</v>
      </c>
      <c r="J2986" t="s">
        <v>49</v>
      </c>
      <c r="K2986" t="s">
        <v>31</v>
      </c>
      <c r="L2986" t="s">
        <v>32</v>
      </c>
      <c r="M2986" t="s">
        <v>33</v>
      </c>
      <c r="P2986" s="1" t="s">
        <v>10602</v>
      </c>
      <c r="Q2986" s="1" t="s">
        <v>10324</v>
      </c>
      <c r="R2986" s="1" t="s">
        <v>10324</v>
      </c>
      <c r="S2986" s="1"/>
      <c r="T2986" s="1" t="s">
        <v>6485</v>
      </c>
      <c r="U2986" s="1"/>
      <c r="V2986" s="1">
        <v>1.18</v>
      </c>
      <c r="W2986" s="1">
        <v>1.18</v>
      </c>
      <c r="X2986" s="1" t="s">
        <v>35</v>
      </c>
      <c r="Y2986" s="1">
        <v>1180000.0</v>
      </c>
      <c r="Z2986" s="1"/>
      <c r="AA2986" s="1">
        <v>1180000.0</v>
      </c>
      <c r="AB2986" s="1"/>
      <c r="AC2986" s="1" t="s">
        <v>36</v>
      </c>
      <c r="AD2986" s="1" t="s">
        <v>10603</v>
      </c>
      <c r="AE2986" s="1" t="s">
        <v>32</v>
      </c>
      <c r="AF2986" s="1" t="s">
        <v>33</v>
      </c>
      <c r="AG2986" s="1" t="s">
        <v>49</v>
      </c>
    </row>
    <row r="2987" spans="1:33">
      <c r="A2987" t="s">
        <v>10604</v>
      </c>
      <c r="C2987" t="s">
        <v>1476</v>
      </c>
      <c r="E2987" t="s">
        <v>10324</v>
      </c>
      <c r="F2987" t="s">
        <v>10325</v>
      </c>
      <c r="G2987">
        <v>692.0</v>
      </c>
      <c r="H2987">
        <v>692.0</v>
      </c>
      <c r="I2987" t="s">
        <v>126</v>
      </c>
      <c r="J2987" t="s">
        <v>127</v>
      </c>
      <c r="K2987" t="s">
        <v>31</v>
      </c>
      <c r="L2987" t="s">
        <v>32</v>
      </c>
      <c r="M2987" t="s">
        <v>33</v>
      </c>
      <c r="P2987" s="1" t="s">
        <v>10605</v>
      </c>
      <c r="Q2987" s="1" t="s">
        <v>10324</v>
      </c>
      <c r="R2987" s="1" t="s">
        <v>10324</v>
      </c>
      <c r="S2987" s="1"/>
      <c r="T2987" s="1" t="s">
        <v>1476</v>
      </c>
      <c r="U2987" s="1"/>
      <c r="V2987" s="1">
        <v>692.0</v>
      </c>
      <c r="W2987" s="1">
        <v>692.0</v>
      </c>
      <c r="X2987" s="1" t="s">
        <v>35</v>
      </c>
      <c r="Y2987" s="1">
        <v>692000.0</v>
      </c>
      <c r="Z2987" s="1"/>
      <c r="AA2987" s="1">
        <v>692000.0</v>
      </c>
      <c r="AB2987" s="1"/>
      <c r="AC2987" s="1" t="s">
        <v>36</v>
      </c>
      <c r="AD2987" s="1" t="s">
        <v>10606</v>
      </c>
      <c r="AE2987" s="1" t="s">
        <v>32</v>
      </c>
      <c r="AF2987" s="1" t="s">
        <v>33</v>
      </c>
      <c r="AG2987" s="1" t="s">
        <v>127</v>
      </c>
    </row>
    <row r="2988" spans="1:33">
      <c r="A2988" t="s">
        <v>10607</v>
      </c>
      <c r="B2988" t="s">
        <v>10608</v>
      </c>
      <c r="C2988" t="s">
        <v>268</v>
      </c>
      <c r="E2988" t="s">
        <v>10324</v>
      </c>
      <c r="F2988" t="s">
        <v>10325</v>
      </c>
      <c r="G2988">
        <v>50.7</v>
      </c>
      <c r="H2988">
        <v>50.7</v>
      </c>
      <c r="I2988" t="s">
        <v>269</v>
      </c>
      <c r="J2988" t="s">
        <v>270</v>
      </c>
      <c r="K2988" t="s">
        <v>31</v>
      </c>
      <c r="L2988" t="s">
        <v>32</v>
      </c>
      <c r="M2988" t="s">
        <v>33</v>
      </c>
      <c r="P2988" s="1" t="s">
        <v>10609</v>
      </c>
      <c r="Q2988" s="1" t="s">
        <v>10324</v>
      </c>
      <c r="R2988" s="1" t="s">
        <v>10324</v>
      </c>
      <c r="S2988" s="1"/>
      <c r="T2988" s="1" t="s">
        <v>268</v>
      </c>
      <c r="U2988" s="1"/>
      <c r="V2988" s="1">
        <v>50.7</v>
      </c>
      <c r="W2988" s="1">
        <v>50.7</v>
      </c>
      <c r="X2988" s="1" t="s">
        <v>35</v>
      </c>
      <c r="Y2988" s="1">
        <v>50700.0</v>
      </c>
      <c r="Z2988" s="1"/>
      <c r="AA2988" s="1">
        <v>50700.0</v>
      </c>
      <c r="AB2988" s="1"/>
      <c r="AC2988" s="1" t="s">
        <v>36</v>
      </c>
      <c r="AD2988" s="1" t="s">
        <v>10610</v>
      </c>
      <c r="AE2988" s="1" t="s">
        <v>32</v>
      </c>
      <c r="AF2988" s="1" t="s">
        <v>33</v>
      </c>
      <c r="AG2988" s="1" t="s">
        <v>270</v>
      </c>
    </row>
    <row r="2989" spans="1:33">
      <c r="A2989" t="s">
        <v>10611</v>
      </c>
      <c r="B2989" t="s">
        <v>6376</v>
      </c>
      <c r="C2989" t="s">
        <v>1408</v>
      </c>
      <c r="E2989" t="s">
        <v>10324</v>
      </c>
      <c r="F2989" t="s">
        <v>10325</v>
      </c>
      <c r="G2989">
        <v>412.5</v>
      </c>
      <c r="H2989">
        <v>412.5</v>
      </c>
      <c r="I2989" t="s">
        <v>529</v>
      </c>
      <c r="J2989" t="s">
        <v>530</v>
      </c>
      <c r="K2989" t="s">
        <v>31</v>
      </c>
      <c r="L2989" t="s">
        <v>32</v>
      </c>
      <c r="M2989" t="s">
        <v>33</v>
      </c>
      <c r="P2989" s="1" t="s">
        <v>10612</v>
      </c>
      <c r="Q2989" s="1" t="s">
        <v>10324</v>
      </c>
      <c r="R2989" s="1" t="s">
        <v>9612</v>
      </c>
      <c r="S2989" s="1"/>
      <c r="T2989" s="1" t="s">
        <v>1408</v>
      </c>
      <c r="U2989" s="1"/>
      <c r="V2989" s="1">
        <v>412.5</v>
      </c>
      <c r="W2989" s="1">
        <v>412.5</v>
      </c>
      <c r="X2989" s="1" t="s">
        <v>35</v>
      </c>
      <c r="Y2989" s="1">
        <v>412500.0</v>
      </c>
      <c r="Z2989" s="1"/>
      <c r="AA2989" s="1">
        <v>412500.0</v>
      </c>
      <c r="AB2989" s="1"/>
      <c r="AC2989" s="1" t="s">
        <v>36</v>
      </c>
      <c r="AD2989" s="1" t="s">
        <v>10613</v>
      </c>
      <c r="AE2989" s="1" t="s">
        <v>32</v>
      </c>
      <c r="AF2989" s="1" t="s">
        <v>33</v>
      </c>
      <c r="AG2989" s="1" t="s">
        <v>530</v>
      </c>
    </row>
    <row r="2990" spans="1:33">
      <c r="A2990" t="s">
        <v>10614</v>
      </c>
      <c r="B2990" t="s">
        <v>10615</v>
      </c>
      <c r="C2990" t="s">
        <v>47</v>
      </c>
      <c r="E2990" t="s">
        <v>10616</v>
      </c>
      <c r="F2990" t="s">
        <v>10617</v>
      </c>
      <c r="G2990">
        <v>19.49</v>
      </c>
      <c r="H2990">
        <v>19.49</v>
      </c>
      <c r="I2990" t="s">
        <v>2206</v>
      </c>
      <c r="J2990" t="s">
        <v>49</v>
      </c>
      <c r="K2990" t="s">
        <v>31</v>
      </c>
      <c r="L2990" t="s">
        <v>32</v>
      </c>
      <c r="M2990" t="s">
        <v>33</v>
      </c>
      <c r="P2990" s="1" t="s">
        <v>10618</v>
      </c>
      <c r="Q2990" s="1" t="s">
        <v>10324</v>
      </c>
      <c r="R2990" s="1" t="s">
        <v>10324</v>
      </c>
      <c r="S2990" s="1"/>
      <c r="T2990" s="1" t="s">
        <v>47</v>
      </c>
      <c r="U2990" s="1"/>
      <c r="V2990" s="1">
        <v>19.49</v>
      </c>
      <c r="W2990" s="1">
        <v>19.49</v>
      </c>
      <c r="X2990" s="1" t="s">
        <v>35</v>
      </c>
      <c r="Y2990" s="1">
        <v>19490.0</v>
      </c>
      <c r="Z2990" s="1"/>
      <c r="AA2990" s="1">
        <v>19490.0</v>
      </c>
      <c r="AB2990" s="1"/>
      <c r="AC2990" s="1" t="s">
        <v>36</v>
      </c>
      <c r="AD2990" s="1" t="s">
        <v>10619</v>
      </c>
      <c r="AE2990" s="1" t="s">
        <v>32</v>
      </c>
      <c r="AF2990" s="1" t="s">
        <v>33</v>
      </c>
      <c r="AG2990" s="1" t="s">
        <v>49</v>
      </c>
    </row>
    <row r="2991" spans="1:33">
      <c r="A2991" t="s">
        <v>10620</v>
      </c>
      <c r="C2991" t="s">
        <v>558</v>
      </c>
      <c r="D2991" t="s">
        <v>154</v>
      </c>
      <c r="E2991" t="s">
        <v>10324</v>
      </c>
      <c r="F2991" t="s">
        <v>10325</v>
      </c>
      <c r="G2991">
        <v>720.0</v>
      </c>
      <c r="H2991">
        <v>720.0</v>
      </c>
      <c r="I2991" t="s">
        <v>269</v>
      </c>
      <c r="J2991" t="s">
        <v>270</v>
      </c>
      <c r="K2991" t="s">
        <v>31</v>
      </c>
      <c r="L2991" t="s">
        <v>32</v>
      </c>
      <c r="M2991" t="s">
        <v>33</v>
      </c>
      <c r="P2991" s="1" t="s">
        <v>10621</v>
      </c>
      <c r="Q2991" s="1" t="s">
        <v>10324</v>
      </c>
      <c r="R2991" s="1" t="s">
        <v>10324</v>
      </c>
      <c r="S2991" s="1"/>
      <c r="T2991" s="1" t="s">
        <v>560</v>
      </c>
      <c r="U2991" s="1" t="s">
        <v>561</v>
      </c>
      <c r="V2991" s="1">
        <v>720.0</v>
      </c>
      <c r="W2991" s="1">
        <v>720.0</v>
      </c>
      <c r="X2991" s="1" t="s">
        <v>35</v>
      </c>
      <c r="Y2991" s="1">
        <v>720000.0</v>
      </c>
      <c r="Z2991" s="1"/>
      <c r="AA2991" s="1">
        <v>720000.0</v>
      </c>
      <c r="AB2991" s="1"/>
      <c r="AC2991" s="1" t="s">
        <v>36</v>
      </c>
      <c r="AD2991" s="1" t="s">
        <v>10622</v>
      </c>
      <c r="AE2991" s="1" t="s">
        <v>32</v>
      </c>
      <c r="AF2991" s="1" t="s">
        <v>33</v>
      </c>
      <c r="AG2991" s="1" t="s">
        <v>270</v>
      </c>
    </row>
    <row r="2992" spans="1:33">
      <c r="A2992" t="s">
        <v>10623</v>
      </c>
      <c r="B2992" t="s">
        <v>10624</v>
      </c>
      <c r="C2992" t="s">
        <v>1298</v>
      </c>
      <c r="E2992" t="s">
        <v>10324</v>
      </c>
      <c r="F2992" t="s">
        <v>10325</v>
      </c>
      <c r="G2992">
        <v>13.566</v>
      </c>
      <c r="H2992">
        <v>13.566</v>
      </c>
      <c r="I2992" t="s">
        <v>529</v>
      </c>
      <c r="J2992" t="s">
        <v>530</v>
      </c>
      <c r="K2992" t="s">
        <v>31</v>
      </c>
      <c r="L2992" t="s">
        <v>32</v>
      </c>
      <c r="M2992" t="s">
        <v>33</v>
      </c>
      <c r="P2992" s="1" t="s">
        <v>10625</v>
      </c>
      <c r="Q2992" s="1" t="s">
        <v>10324</v>
      </c>
      <c r="R2992" s="1" t="s">
        <v>9612</v>
      </c>
      <c r="S2992" s="1"/>
      <c r="T2992" s="1" t="s">
        <v>1298</v>
      </c>
      <c r="U2992" s="1"/>
      <c r="V2992" s="1">
        <v>13.566</v>
      </c>
      <c r="W2992" s="1">
        <v>13.566</v>
      </c>
      <c r="X2992" s="1" t="s">
        <v>35</v>
      </c>
      <c r="Y2992" s="1">
        <v>13566.0</v>
      </c>
      <c r="Z2992" s="1"/>
      <c r="AA2992" s="1">
        <v>13566.0</v>
      </c>
      <c r="AB2992" s="1"/>
      <c r="AC2992" s="1" t="s">
        <v>36</v>
      </c>
      <c r="AD2992" s="1" t="s">
        <v>10626</v>
      </c>
      <c r="AE2992" s="1" t="s">
        <v>32</v>
      </c>
      <c r="AF2992" s="1" t="s">
        <v>33</v>
      </c>
      <c r="AG2992" s="1" t="s">
        <v>530</v>
      </c>
    </row>
    <row r="2993" spans="1:33">
      <c r="A2993" t="s">
        <v>10627</v>
      </c>
      <c r="B2993" t="s">
        <v>10628</v>
      </c>
      <c r="C2993" t="s">
        <v>47</v>
      </c>
      <c r="E2993" t="s">
        <v>10324</v>
      </c>
      <c r="F2993" t="s">
        <v>10325</v>
      </c>
      <c r="G2993">
        <v>17.853</v>
      </c>
      <c r="H2993">
        <v>17.853</v>
      </c>
      <c r="I2993" t="s">
        <v>2206</v>
      </c>
      <c r="J2993" t="s">
        <v>49</v>
      </c>
      <c r="K2993" t="s">
        <v>31</v>
      </c>
      <c r="L2993" t="s">
        <v>32</v>
      </c>
      <c r="M2993" t="s">
        <v>33</v>
      </c>
      <c r="P2993" s="1" t="s">
        <v>10629</v>
      </c>
      <c r="Q2993" s="1" t="s">
        <v>10324</v>
      </c>
      <c r="R2993" s="1" t="s">
        <v>10324</v>
      </c>
      <c r="S2993" s="1"/>
      <c r="T2993" s="1" t="s">
        <v>47</v>
      </c>
      <c r="U2993" s="1"/>
      <c r="V2993" s="1">
        <v>17.853</v>
      </c>
      <c r="W2993" s="1">
        <v>17.853</v>
      </c>
      <c r="X2993" s="1" t="s">
        <v>35</v>
      </c>
      <c r="Y2993" s="1">
        <v>17853.0</v>
      </c>
      <c r="Z2993" s="1"/>
      <c r="AA2993" s="1">
        <v>17853.0</v>
      </c>
      <c r="AB2993" s="1"/>
      <c r="AC2993" s="1" t="s">
        <v>36</v>
      </c>
      <c r="AD2993" s="1" t="s">
        <v>10626</v>
      </c>
      <c r="AE2993" s="1" t="s">
        <v>32</v>
      </c>
      <c r="AF2993" s="1" t="s">
        <v>33</v>
      </c>
      <c r="AG2993" s="1" t="s">
        <v>49</v>
      </c>
    </row>
    <row r="2994" spans="1:33">
      <c r="A2994" t="s">
        <v>10630</v>
      </c>
      <c r="B2994" t="s">
        <v>10631</v>
      </c>
      <c r="C2994" t="s">
        <v>47</v>
      </c>
      <c r="E2994" t="s">
        <v>10324</v>
      </c>
      <c r="F2994" t="s">
        <v>10325</v>
      </c>
      <c r="G2994">
        <v>30.995</v>
      </c>
      <c r="H2994">
        <v>30.995</v>
      </c>
      <c r="I2994" t="s">
        <v>2206</v>
      </c>
      <c r="J2994" t="s">
        <v>49</v>
      </c>
      <c r="K2994" t="s">
        <v>31</v>
      </c>
      <c r="L2994" t="s">
        <v>32</v>
      </c>
      <c r="M2994" t="s">
        <v>33</v>
      </c>
      <c r="P2994" s="1" t="s">
        <v>10632</v>
      </c>
      <c r="Q2994" s="1" t="s">
        <v>10324</v>
      </c>
      <c r="R2994" s="1" t="s">
        <v>10324</v>
      </c>
      <c r="S2994" s="1"/>
      <c r="T2994" s="1" t="s">
        <v>47</v>
      </c>
      <c r="U2994" s="1"/>
      <c r="V2994" s="1">
        <v>30.995</v>
      </c>
      <c r="W2994" s="1">
        <v>30.995</v>
      </c>
      <c r="X2994" s="1" t="s">
        <v>35</v>
      </c>
      <c r="Y2994" s="1">
        <v>30995.0</v>
      </c>
      <c r="Z2994" s="1"/>
      <c r="AA2994" s="1">
        <v>30995.0</v>
      </c>
      <c r="AB2994" s="1"/>
      <c r="AC2994" s="1" t="s">
        <v>36</v>
      </c>
      <c r="AD2994" s="1" t="s">
        <v>10633</v>
      </c>
      <c r="AE2994" s="1" t="s">
        <v>32</v>
      </c>
      <c r="AF2994" s="1" t="s">
        <v>33</v>
      </c>
      <c r="AG2994" s="1" t="s">
        <v>49</v>
      </c>
    </row>
    <row r="2995" spans="1:33">
      <c r="A2995" t="s">
        <v>10634</v>
      </c>
      <c r="C2995" t="s">
        <v>613</v>
      </c>
      <c r="E2995" t="s">
        <v>10324</v>
      </c>
      <c r="F2995" t="s">
        <v>10325</v>
      </c>
      <c r="G2995">
        <v>45.0</v>
      </c>
      <c r="H2995">
        <v>45.0</v>
      </c>
      <c r="I2995" t="s">
        <v>269</v>
      </c>
      <c r="J2995" t="s">
        <v>270</v>
      </c>
      <c r="K2995" t="s">
        <v>31</v>
      </c>
      <c r="L2995" t="s">
        <v>32</v>
      </c>
      <c r="M2995" t="s">
        <v>33</v>
      </c>
      <c r="P2995" s="1" t="s">
        <v>10635</v>
      </c>
      <c r="Q2995" s="1" t="s">
        <v>10324</v>
      </c>
      <c r="R2995" s="1" t="s">
        <v>10324</v>
      </c>
      <c r="S2995" s="1"/>
      <c r="T2995" s="1" t="s">
        <v>613</v>
      </c>
      <c r="U2995" s="1"/>
      <c r="V2995" s="1">
        <v>45.0</v>
      </c>
      <c r="W2995" s="1">
        <v>45.0</v>
      </c>
      <c r="X2995" s="1" t="s">
        <v>35</v>
      </c>
      <c r="Y2995" s="1">
        <v>45000.0</v>
      </c>
      <c r="Z2995" s="1"/>
      <c r="AA2995" s="1">
        <v>45000.0</v>
      </c>
      <c r="AB2995" s="1"/>
      <c r="AC2995" s="1" t="s">
        <v>36</v>
      </c>
      <c r="AD2995" s="1" t="s">
        <v>10636</v>
      </c>
      <c r="AE2995" s="1" t="s">
        <v>32</v>
      </c>
      <c r="AF2995" s="1" t="s">
        <v>33</v>
      </c>
      <c r="AG2995" s="1" t="s">
        <v>270</v>
      </c>
    </row>
    <row r="2996" spans="1:33">
      <c r="A2996" t="s">
        <v>10637</v>
      </c>
      <c r="C2996" t="s">
        <v>2240</v>
      </c>
      <c r="E2996" t="s">
        <v>10324</v>
      </c>
      <c r="F2996" t="s">
        <v>10325</v>
      </c>
      <c r="G2996">
        <v>376.5</v>
      </c>
      <c r="H2996">
        <v>376.5</v>
      </c>
      <c r="I2996" t="s">
        <v>269</v>
      </c>
      <c r="J2996" t="s">
        <v>270</v>
      </c>
      <c r="K2996" t="s">
        <v>31</v>
      </c>
      <c r="L2996" t="s">
        <v>32</v>
      </c>
      <c r="M2996" t="s">
        <v>33</v>
      </c>
      <c r="P2996" s="1" t="s">
        <v>10638</v>
      </c>
      <c r="Q2996" s="1" t="s">
        <v>10324</v>
      </c>
      <c r="R2996" s="1" t="s">
        <v>10324</v>
      </c>
      <c r="S2996" s="1"/>
      <c r="T2996" s="1" t="s">
        <v>2240</v>
      </c>
      <c r="U2996" s="1"/>
      <c r="V2996" s="1">
        <v>376.5</v>
      </c>
      <c r="W2996" s="1">
        <v>376.5</v>
      </c>
      <c r="X2996" s="1" t="s">
        <v>35</v>
      </c>
      <c r="Y2996" s="1">
        <v>376500.0</v>
      </c>
      <c r="Z2996" s="1"/>
      <c r="AA2996" s="1">
        <v>376500.0</v>
      </c>
      <c r="AB2996" s="1"/>
      <c r="AC2996" s="1" t="s">
        <v>36</v>
      </c>
      <c r="AD2996" s="1" t="s">
        <v>10639</v>
      </c>
      <c r="AE2996" s="1" t="s">
        <v>32</v>
      </c>
      <c r="AF2996" s="1" t="s">
        <v>33</v>
      </c>
      <c r="AG2996" s="1" t="s">
        <v>270</v>
      </c>
    </row>
    <row r="2997" spans="1:33">
      <c r="A2997" t="s">
        <v>10640</v>
      </c>
      <c r="C2997" t="s">
        <v>1522</v>
      </c>
      <c r="E2997" t="s">
        <v>10324</v>
      </c>
      <c r="F2997" t="s">
        <v>10325</v>
      </c>
      <c r="G2997">
        <v>984.0</v>
      </c>
      <c r="H2997">
        <v>984.0</v>
      </c>
      <c r="I2997" t="s">
        <v>227</v>
      </c>
      <c r="J2997" t="s">
        <v>228</v>
      </c>
      <c r="K2997" t="s">
        <v>31</v>
      </c>
      <c r="L2997" t="s">
        <v>32</v>
      </c>
      <c r="M2997" t="s">
        <v>33</v>
      </c>
      <c r="P2997" s="1" t="s">
        <v>10641</v>
      </c>
      <c r="Q2997" s="1" t="s">
        <v>10324</v>
      </c>
      <c r="R2997" s="1" t="s">
        <v>10324</v>
      </c>
      <c r="S2997" s="1"/>
      <c r="T2997" s="1" t="s">
        <v>1522</v>
      </c>
      <c r="U2997" s="1"/>
      <c r="V2997" s="1">
        <v>984.0</v>
      </c>
      <c r="W2997" s="1">
        <v>984.0</v>
      </c>
      <c r="X2997" s="1" t="s">
        <v>35</v>
      </c>
      <c r="Y2997" s="1">
        <v>984000.0</v>
      </c>
      <c r="Z2997" s="1"/>
      <c r="AA2997" s="1">
        <v>984000.0</v>
      </c>
      <c r="AB2997" s="1"/>
      <c r="AC2997" s="1" t="s">
        <v>36</v>
      </c>
      <c r="AD2997" s="1" t="s">
        <v>10390</v>
      </c>
      <c r="AE2997" s="1" t="s">
        <v>32</v>
      </c>
      <c r="AF2997" s="1" t="s">
        <v>33</v>
      </c>
      <c r="AG2997" s="1" t="s">
        <v>228</v>
      </c>
    </row>
    <row r="2998" spans="1:33">
      <c r="A2998" t="s">
        <v>10642</v>
      </c>
      <c r="B2998" t="s">
        <v>10643</v>
      </c>
      <c r="C2998" t="s">
        <v>172</v>
      </c>
      <c r="E2998" t="s">
        <v>10324</v>
      </c>
      <c r="F2998" t="s">
        <v>10325</v>
      </c>
      <c r="G2998">
        <v>135.92</v>
      </c>
      <c r="H2998">
        <v>135.92</v>
      </c>
      <c r="I2998" t="s">
        <v>173</v>
      </c>
      <c r="J2998" t="s">
        <v>174</v>
      </c>
      <c r="K2998" t="s">
        <v>31</v>
      </c>
      <c r="L2998" t="s">
        <v>32</v>
      </c>
      <c r="M2998" t="s">
        <v>33</v>
      </c>
      <c r="P2998" s="1" t="s">
        <v>10644</v>
      </c>
      <c r="Q2998" s="1" t="s">
        <v>10324</v>
      </c>
      <c r="R2998" s="1" t="s">
        <v>10324</v>
      </c>
      <c r="S2998" s="1"/>
      <c r="T2998" s="1" t="s">
        <v>172</v>
      </c>
      <c r="U2998" s="1"/>
      <c r="V2998" s="1">
        <v>135.92</v>
      </c>
      <c r="W2998" s="1">
        <v>135.92</v>
      </c>
      <c r="X2998" s="1" t="s">
        <v>35</v>
      </c>
      <c r="Y2998" s="1">
        <v>135920.0</v>
      </c>
      <c r="Z2998" s="1"/>
      <c r="AA2998" s="1">
        <v>135920.0</v>
      </c>
      <c r="AB2998" s="1"/>
      <c r="AC2998" s="1" t="s">
        <v>36</v>
      </c>
      <c r="AD2998" s="1" t="s">
        <v>10645</v>
      </c>
      <c r="AE2998" s="1" t="s">
        <v>32</v>
      </c>
      <c r="AF2998" s="1" t="s">
        <v>33</v>
      </c>
      <c r="AG2998" s="1" t="s">
        <v>174</v>
      </c>
    </row>
    <row r="2999" spans="1:33">
      <c r="A2999" t="s">
        <v>10646</v>
      </c>
      <c r="B2999" t="s">
        <v>6966</v>
      </c>
      <c r="C2999" t="s">
        <v>47</v>
      </c>
      <c r="E2999" t="s">
        <v>10324</v>
      </c>
      <c r="F2999" t="s">
        <v>10325</v>
      </c>
      <c r="G2999">
        <v>68.57</v>
      </c>
      <c r="H2999">
        <v>68.57</v>
      </c>
      <c r="I2999" t="s">
        <v>2206</v>
      </c>
      <c r="J2999" t="s">
        <v>49</v>
      </c>
      <c r="K2999" t="s">
        <v>31</v>
      </c>
      <c r="L2999" t="s">
        <v>32</v>
      </c>
      <c r="M2999" t="s">
        <v>33</v>
      </c>
      <c r="P2999" s="1" t="s">
        <v>10647</v>
      </c>
      <c r="Q2999" s="1" t="s">
        <v>10324</v>
      </c>
      <c r="R2999" s="1" t="s">
        <v>10324</v>
      </c>
      <c r="S2999" s="1"/>
      <c r="T2999" s="1" t="s">
        <v>47</v>
      </c>
      <c r="U2999" s="1"/>
      <c r="V2999" s="1">
        <v>68.57</v>
      </c>
      <c r="W2999" s="1">
        <v>68.57</v>
      </c>
      <c r="X2999" s="1" t="s">
        <v>35</v>
      </c>
      <c r="Y2999" s="1">
        <v>68570.0</v>
      </c>
      <c r="Z2999" s="1"/>
      <c r="AA2999" s="1">
        <v>68570.0</v>
      </c>
      <c r="AB2999" s="1"/>
      <c r="AC2999" s="1" t="s">
        <v>36</v>
      </c>
      <c r="AD2999" s="1" t="s">
        <v>10648</v>
      </c>
      <c r="AE2999" s="1" t="s">
        <v>32</v>
      </c>
      <c r="AF2999" s="1" t="s">
        <v>33</v>
      </c>
      <c r="AG2999" s="1" t="s">
        <v>49</v>
      </c>
    </row>
    <row r="3000" spans="1:33">
      <c r="A3000" t="s">
        <v>10649</v>
      </c>
      <c r="B3000" t="s">
        <v>9175</v>
      </c>
      <c r="C3000" t="s">
        <v>314</v>
      </c>
      <c r="E3000" t="s">
        <v>10324</v>
      </c>
      <c r="F3000" t="s">
        <v>10325</v>
      </c>
      <c r="G3000">
        <v>37.18</v>
      </c>
      <c r="H3000">
        <v>37.18</v>
      </c>
      <c r="I3000" t="s">
        <v>179</v>
      </c>
      <c r="J3000" t="s">
        <v>180</v>
      </c>
      <c r="K3000" t="s">
        <v>31</v>
      </c>
      <c r="L3000" t="s">
        <v>32</v>
      </c>
      <c r="M3000" t="s">
        <v>33</v>
      </c>
      <c r="P3000" s="1" t="s">
        <v>10650</v>
      </c>
      <c r="Q3000" s="1" t="s">
        <v>10324</v>
      </c>
      <c r="R3000" s="1" t="s">
        <v>10324</v>
      </c>
      <c r="S3000" s="1"/>
      <c r="T3000" s="1" t="s">
        <v>314</v>
      </c>
      <c r="U3000" s="1"/>
      <c r="V3000" s="1">
        <v>37.18</v>
      </c>
      <c r="W3000" s="1">
        <v>37.18</v>
      </c>
      <c r="X3000" s="1" t="s">
        <v>35</v>
      </c>
      <c r="Y3000" s="1">
        <v>37180.0</v>
      </c>
      <c r="Z3000" s="1"/>
      <c r="AA3000" s="1">
        <v>37180.0</v>
      </c>
      <c r="AB3000" s="1"/>
      <c r="AC3000" s="1" t="s">
        <v>36</v>
      </c>
      <c r="AD3000" s="1" t="s">
        <v>10651</v>
      </c>
      <c r="AE3000" s="1" t="s">
        <v>32</v>
      </c>
      <c r="AF3000" s="1" t="s">
        <v>33</v>
      </c>
      <c r="AG3000" s="1" t="s">
        <v>180</v>
      </c>
    </row>
    <row r="3001" spans="1:33">
      <c r="A3001" t="s">
        <v>10652</v>
      </c>
      <c r="B3001" t="s">
        <v>10653</v>
      </c>
      <c r="C3001" t="s">
        <v>125</v>
      </c>
      <c r="E3001" t="s">
        <v>10324</v>
      </c>
      <c r="F3001" t="s">
        <v>10325</v>
      </c>
      <c r="G3001">
        <v>6.498</v>
      </c>
      <c r="H3001">
        <v>6.498</v>
      </c>
      <c r="I3001" t="s">
        <v>126</v>
      </c>
      <c r="J3001" t="s">
        <v>127</v>
      </c>
      <c r="K3001" t="s">
        <v>31</v>
      </c>
      <c r="L3001" t="s">
        <v>32</v>
      </c>
      <c r="M3001" t="s">
        <v>33</v>
      </c>
      <c r="P3001" s="1" t="s">
        <v>10654</v>
      </c>
      <c r="Q3001" s="1" t="s">
        <v>10324</v>
      </c>
      <c r="R3001" s="1" t="s">
        <v>10324</v>
      </c>
      <c r="S3001" s="1"/>
      <c r="T3001" s="1" t="s">
        <v>125</v>
      </c>
      <c r="U3001" s="1"/>
      <c r="V3001" s="1">
        <v>6.498</v>
      </c>
      <c r="W3001" s="1">
        <v>6.498</v>
      </c>
      <c r="X3001" s="1" t="s">
        <v>35</v>
      </c>
      <c r="Y3001" s="1">
        <v>6498.0</v>
      </c>
      <c r="Z3001" s="1"/>
      <c r="AA3001" s="1">
        <v>6498.0</v>
      </c>
      <c r="AB3001" s="1"/>
      <c r="AC3001" s="1" t="s">
        <v>36</v>
      </c>
      <c r="AD3001" s="1" t="s">
        <v>10655</v>
      </c>
      <c r="AE3001" s="1" t="s">
        <v>32</v>
      </c>
      <c r="AF3001" s="1" t="s">
        <v>33</v>
      </c>
      <c r="AG3001" s="1" t="s">
        <v>127</v>
      </c>
    </row>
    <row r="3002" spans="1:33">
      <c r="A3002" t="s">
        <v>10656</v>
      </c>
      <c r="B3002" t="s">
        <v>7061</v>
      </c>
      <c r="C3002" t="s">
        <v>314</v>
      </c>
      <c r="E3002" t="s">
        <v>10324</v>
      </c>
      <c r="F3002" t="s">
        <v>10325</v>
      </c>
      <c r="G3002">
        <v>56.44</v>
      </c>
      <c r="H3002">
        <v>56.44</v>
      </c>
      <c r="I3002" t="s">
        <v>179</v>
      </c>
      <c r="J3002" t="s">
        <v>180</v>
      </c>
      <c r="K3002" t="s">
        <v>31</v>
      </c>
      <c r="L3002" t="s">
        <v>32</v>
      </c>
      <c r="M3002" t="s">
        <v>33</v>
      </c>
      <c r="P3002" s="1" t="s">
        <v>10657</v>
      </c>
      <c r="Q3002" s="1" t="s">
        <v>10324</v>
      </c>
      <c r="R3002" s="1" t="s">
        <v>10324</v>
      </c>
      <c r="S3002" s="1"/>
      <c r="T3002" s="1" t="s">
        <v>314</v>
      </c>
      <c r="U3002" s="1"/>
      <c r="V3002" s="1">
        <v>56.44</v>
      </c>
      <c r="W3002" s="1">
        <v>56.44</v>
      </c>
      <c r="X3002" s="1" t="s">
        <v>35</v>
      </c>
      <c r="Y3002" s="1">
        <v>56440.0</v>
      </c>
      <c r="Z3002" s="1"/>
      <c r="AA3002" s="1">
        <v>56440.0</v>
      </c>
      <c r="AB3002" s="1"/>
      <c r="AC3002" s="1" t="s">
        <v>36</v>
      </c>
      <c r="AD3002" s="1" t="s">
        <v>10658</v>
      </c>
      <c r="AE3002" s="1" t="s">
        <v>32</v>
      </c>
      <c r="AF3002" s="1" t="s">
        <v>33</v>
      </c>
      <c r="AG3002" s="1" t="s">
        <v>180</v>
      </c>
    </row>
    <row r="3003" spans="1:33">
      <c r="A3003" t="s">
        <v>10659</v>
      </c>
      <c r="C3003" t="s">
        <v>513</v>
      </c>
      <c r="E3003" t="s">
        <v>10324</v>
      </c>
      <c r="F3003" t="s">
        <v>10325</v>
      </c>
      <c r="G3003">
        <v>231.0</v>
      </c>
      <c r="H3003">
        <v>231.0</v>
      </c>
      <c r="I3003" t="s">
        <v>2206</v>
      </c>
      <c r="J3003" t="s">
        <v>49</v>
      </c>
      <c r="K3003" t="s">
        <v>31</v>
      </c>
      <c r="L3003" t="s">
        <v>32</v>
      </c>
      <c r="M3003" t="s">
        <v>33</v>
      </c>
      <c r="P3003" s="1" t="s">
        <v>10660</v>
      </c>
      <c r="Q3003" s="1" t="s">
        <v>10324</v>
      </c>
      <c r="R3003" s="1" t="s">
        <v>10324</v>
      </c>
      <c r="S3003" s="1"/>
      <c r="T3003" s="1" t="s">
        <v>513</v>
      </c>
      <c r="U3003" s="1"/>
      <c r="V3003" s="1">
        <v>231.0</v>
      </c>
      <c r="W3003" s="1">
        <v>231.0</v>
      </c>
      <c r="X3003" s="1" t="s">
        <v>35</v>
      </c>
      <c r="Y3003" s="1">
        <v>231000.0</v>
      </c>
      <c r="Z3003" s="1"/>
      <c r="AA3003" s="1">
        <v>231000.0</v>
      </c>
      <c r="AB3003" s="1"/>
      <c r="AC3003" s="1" t="s">
        <v>36</v>
      </c>
      <c r="AD3003" s="1" t="s">
        <v>10661</v>
      </c>
      <c r="AE3003" s="1" t="s">
        <v>32</v>
      </c>
      <c r="AF3003" s="1" t="s">
        <v>33</v>
      </c>
      <c r="AG3003" s="1" t="s">
        <v>49</v>
      </c>
    </row>
    <row r="3004" spans="1:33">
      <c r="A3004" t="s">
        <v>10662</v>
      </c>
      <c r="B3004" t="s">
        <v>1874</v>
      </c>
      <c r="C3004" t="s">
        <v>314</v>
      </c>
      <c r="E3004" t="s">
        <v>10324</v>
      </c>
      <c r="F3004" t="s">
        <v>10325</v>
      </c>
      <c r="G3004">
        <v>8.938</v>
      </c>
      <c r="H3004">
        <v>8.938</v>
      </c>
      <c r="I3004" t="s">
        <v>179</v>
      </c>
      <c r="J3004" t="s">
        <v>180</v>
      </c>
      <c r="K3004" t="s">
        <v>31</v>
      </c>
      <c r="L3004" t="s">
        <v>32</v>
      </c>
      <c r="M3004" t="s">
        <v>33</v>
      </c>
      <c r="P3004" s="1" t="s">
        <v>10663</v>
      </c>
      <c r="Q3004" s="1" t="s">
        <v>10324</v>
      </c>
      <c r="R3004" s="1" t="s">
        <v>10324</v>
      </c>
      <c r="S3004" s="1"/>
      <c r="T3004" s="1" t="s">
        <v>314</v>
      </c>
      <c r="U3004" s="1"/>
      <c r="V3004" s="1">
        <v>8.938</v>
      </c>
      <c r="W3004" s="1">
        <v>8.938</v>
      </c>
      <c r="X3004" s="1" t="s">
        <v>35</v>
      </c>
      <c r="Y3004" s="1">
        <v>8938.0</v>
      </c>
      <c r="Z3004" s="1"/>
      <c r="AA3004" s="1">
        <v>8938.0</v>
      </c>
      <c r="AB3004" s="1"/>
      <c r="AC3004" s="1" t="s">
        <v>36</v>
      </c>
      <c r="AD3004" s="1" t="s">
        <v>10664</v>
      </c>
      <c r="AE3004" s="1" t="s">
        <v>32</v>
      </c>
      <c r="AF3004" s="1" t="s">
        <v>33</v>
      </c>
      <c r="AG3004" s="1" t="s">
        <v>180</v>
      </c>
    </row>
    <row r="3005" spans="1:33">
      <c r="A3005" t="s">
        <v>10665</v>
      </c>
      <c r="C3005" t="s">
        <v>10666</v>
      </c>
      <c r="E3005" t="s">
        <v>10324</v>
      </c>
      <c r="F3005" t="s">
        <v>10325</v>
      </c>
      <c r="G3005">
        <v>363.5</v>
      </c>
      <c r="H3005">
        <v>363.5</v>
      </c>
      <c r="I3005" t="s">
        <v>2206</v>
      </c>
      <c r="J3005" t="s">
        <v>49</v>
      </c>
      <c r="K3005" t="s">
        <v>31</v>
      </c>
      <c r="L3005" t="s">
        <v>32</v>
      </c>
      <c r="M3005" t="s">
        <v>33</v>
      </c>
      <c r="P3005" s="1" t="s">
        <v>10667</v>
      </c>
      <c r="Q3005" s="1" t="s">
        <v>10324</v>
      </c>
      <c r="R3005" s="1" t="s">
        <v>10324</v>
      </c>
      <c r="S3005" s="1"/>
      <c r="T3005" s="1" t="s">
        <v>10666</v>
      </c>
      <c r="U3005" s="1"/>
      <c r="V3005" s="1">
        <v>363.5</v>
      </c>
      <c r="W3005" s="1">
        <v>363.5</v>
      </c>
      <c r="X3005" s="1" t="s">
        <v>35</v>
      </c>
      <c r="Y3005" s="1">
        <v>363500.0</v>
      </c>
      <c r="Z3005" s="1"/>
      <c r="AA3005" s="1">
        <v>363500.0</v>
      </c>
      <c r="AB3005" s="1"/>
      <c r="AC3005" s="1" t="s">
        <v>36</v>
      </c>
      <c r="AD3005" s="1" t="s">
        <v>10668</v>
      </c>
      <c r="AE3005" s="1" t="s">
        <v>32</v>
      </c>
      <c r="AF3005" s="1" t="s">
        <v>33</v>
      </c>
      <c r="AG3005" s="1" t="s">
        <v>49</v>
      </c>
    </row>
    <row r="3006" spans="1:33">
      <c r="A3006" t="s">
        <v>10669</v>
      </c>
      <c r="B3006" t="s">
        <v>10670</v>
      </c>
      <c r="C3006" t="s">
        <v>145</v>
      </c>
      <c r="E3006" t="s">
        <v>10324</v>
      </c>
      <c r="F3006" t="s">
        <v>10325</v>
      </c>
      <c r="G3006">
        <v>963.0</v>
      </c>
      <c r="H3006">
        <v>963.0</v>
      </c>
      <c r="I3006" t="s">
        <v>136</v>
      </c>
      <c r="J3006" t="s">
        <v>137</v>
      </c>
      <c r="K3006" t="s">
        <v>31</v>
      </c>
      <c r="L3006" t="s">
        <v>32</v>
      </c>
      <c r="M3006" t="s">
        <v>33</v>
      </c>
      <c r="P3006" s="1" t="s">
        <v>10671</v>
      </c>
      <c r="Q3006" s="1" t="s">
        <v>10324</v>
      </c>
      <c r="R3006" s="1" t="s">
        <v>10324</v>
      </c>
      <c r="S3006" s="1"/>
      <c r="T3006" s="1" t="s">
        <v>145</v>
      </c>
      <c r="U3006" s="1"/>
      <c r="V3006" s="1">
        <v>963.0</v>
      </c>
      <c r="W3006" s="1">
        <v>963.0</v>
      </c>
      <c r="X3006" s="1" t="s">
        <v>35</v>
      </c>
      <c r="Y3006" s="1">
        <v>963000.0</v>
      </c>
      <c r="Z3006" s="1"/>
      <c r="AA3006" s="1">
        <v>963000.0</v>
      </c>
      <c r="AB3006" s="1"/>
      <c r="AC3006" s="1" t="s">
        <v>36</v>
      </c>
      <c r="AD3006" s="1" t="s">
        <v>10672</v>
      </c>
      <c r="AE3006" s="1" t="s">
        <v>32</v>
      </c>
      <c r="AF3006" s="1" t="s">
        <v>33</v>
      </c>
      <c r="AG3006" s="1" t="s">
        <v>137</v>
      </c>
    </row>
    <row r="3007" spans="1:33">
      <c r="A3007" t="s">
        <v>10673</v>
      </c>
      <c r="B3007" t="s">
        <v>10674</v>
      </c>
      <c r="C3007" t="s">
        <v>172</v>
      </c>
      <c r="E3007" t="s">
        <v>10324</v>
      </c>
      <c r="F3007" t="s">
        <v>10325</v>
      </c>
      <c r="G3007">
        <v>61.471</v>
      </c>
      <c r="H3007">
        <v>61.471</v>
      </c>
      <c r="I3007" t="s">
        <v>173</v>
      </c>
      <c r="J3007" t="s">
        <v>174</v>
      </c>
      <c r="K3007" t="s">
        <v>31</v>
      </c>
      <c r="L3007" t="s">
        <v>32</v>
      </c>
      <c r="M3007" t="s">
        <v>33</v>
      </c>
      <c r="P3007" s="1" t="s">
        <v>10675</v>
      </c>
      <c r="Q3007" s="1" t="s">
        <v>10324</v>
      </c>
      <c r="R3007" s="1" t="s">
        <v>10324</v>
      </c>
      <c r="S3007" s="1"/>
      <c r="T3007" s="1" t="s">
        <v>172</v>
      </c>
      <c r="U3007" s="1"/>
      <c r="V3007" s="1">
        <v>61.471</v>
      </c>
      <c r="W3007" s="1">
        <v>61.471</v>
      </c>
      <c r="X3007" s="1" t="s">
        <v>35</v>
      </c>
      <c r="Y3007" s="1">
        <v>61471.0</v>
      </c>
      <c r="Z3007" s="1"/>
      <c r="AA3007" s="1">
        <v>61471.0</v>
      </c>
      <c r="AB3007" s="1"/>
      <c r="AC3007" s="1" t="s">
        <v>36</v>
      </c>
      <c r="AD3007" s="1" t="s">
        <v>10676</v>
      </c>
      <c r="AE3007" s="1" t="s">
        <v>32</v>
      </c>
      <c r="AF3007" s="1" t="s">
        <v>33</v>
      </c>
      <c r="AG3007" s="1" t="s">
        <v>174</v>
      </c>
    </row>
    <row r="3008" spans="1:33">
      <c r="A3008" t="s">
        <v>10677</v>
      </c>
      <c r="C3008" t="s">
        <v>10678</v>
      </c>
      <c r="E3008" t="s">
        <v>10324</v>
      </c>
      <c r="F3008" t="s">
        <v>10325</v>
      </c>
      <c r="G3008">
        <v>441.0</v>
      </c>
      <c r="H3008">
        <v>441.0</v>
      </c>
      <c r="I3008" t="s">
        <v>570</v>
      </c>
      <c r="J3008" t="s">
        <v>571</v>
      </c>
      <c r="K3008" t="s">
        <v>31</v>
      </c>
      <c r="L3008" t="s">
        <v>32</v>
      </c>
      <c r="M3008" t="s">
        <v>33</v>
      </c>
      <c r="P3008" s="1" t="s">
        <v>10679</v>
      </c>
      <c r="Q3008" s="1" t="s">
        <v>10324</v>
      </c>
      <c r="R3008" s="1" t="s">
        <v>10324</v>
      </c>
      <c r="S3008" s="1"/>
      <c r="T3008" s="1" t="s">
        <v>10678</v>
      </c>
      <c r="U3008" s="1"/>
      <c r="V3008" s="1">
        <v>441.0</v>
      </c>
      <c r="W3008" s="1">
        <v>441.0</v>
      </c>
      <c r="X3008" s="1" t="s">
        <v>35</v>
      </c>
      <c r="Y3008" s="1">
        <v>441000.0</v>
      </c>
      <c r="Z3008" s="1"/>
      <c r="AA3008" s="1">
        <v>441000.0</v>
      </c>
      <c r="AB3008" s="1"/>
      <c r="AC3008" s="1" t="s">
        <v>36</v>
      </c>
      <c r="AD3008" s="1" t="s">
        <v>10680</v>
      </c>
      <c r="AE3008" s="1" t="s">
        <v>32</v>
      </c>
      <c r="AF3008" s="1" t="s">
        <v>33</v>
      </c>
      <c r="AG3008" s="1" t="s">
        <v>571</v>
      </c>
    </row>
    <row r="3009" spans="1:33">
      <c r="A3009" t="s">
        <v>10681</v>
      </c>
      <c r="C3009" t="s">
        <v>2955</v>
      </c>
      <c r="E3009" t="s">
        <v>10324</v>
      </c>
      <c r="F3009" t="s">
        <v>10325</v>
      </c>
      <c r="G3009">
        <v>642.0</v>
      </c>
      <c r="H3009">
        <v>642.0</v>
      </c>
      <c r="I3009" t="s">
        <v>269</v>
      </c>
      <c r="J3009" t="s">
        <v>270</v>
      </c>
      <c r="K3009" t="s">
        <v>31</v>
      </c>
      <c r="L3009" t="s">
        <v>32</v>
      </c>
      <c r="M3009" t="s">
        <v>33</v>
      </c>
      <c r="P3009" s="1" t="s">
        <v>10682</v>
      </c>
      <c r="Q3009" s="1" t="s">
        <v>10324</v>
      </c>
      <c r="R3009" s="1" t="s">
        <v>10324</v>
      </c>
      <c r="S3009" s="1"/>
      <c r="T3009" s="1" t="s">
        <v>2955</v>
      </c>
      <c r="U3009" s="1"/>
      <c r="V3009" s="1">
        <v>642.0</v>
      </c>
      <c r="W3009" s="1">
        <v>642.0</v>
      </c>
      <c r="X3009" s="1" t="s">
        <v>35</v>
      </c>
      <c r="Y3009" s="1">
        <v>642000.0</v>
      </c>
      <c r="Z3009" s="1"/>
      <c r="AA3009" s="1">
        <v>642000.0</v>
      </c>
      <c r="AB3009" s="1"/>
      <c r="AC3009" s="1" t="s">
        <v>36</v>
      </c>
      <c r="AD3009" s="1" t="s">
        <v>10683</v>
      </c>
      <c r="AE3009" s="1" t="s">
        <v>32</v>
      </c>
      <c r="AF3009" s="1" t="s">
        <v>33</v>
      </c>
      <c r="AG3009" s="1" t="s">
        <v>270</v>
      </c>
    </row>
    <row r="3010" spans="1:33">
      <c r="A3010" t="s">
        <v>10684</v>
      </c>
      <c r="B3010" t="s">
        <v>1215</v>
      </c>
      <c r="C3010" t="s">
        <v>1216</v>
      </c>
      <c r="D3010" t="s">
        <v>114</v>
      </c>
      <c r="E3010" t="s">
        <v>10324</v>
      </c>
      <c r="F3010" t="s">
        <v>10325</v>
      </c>
      <c r="G3010">
        <v>430.0</v>
      </c>
      <c r="H3010">
        <v>430.0</v>
      </c>
      <c r="I3010" t="s">
        <v>59</v>
      </c>
      <c r="J3010" t="s">
        <v>60</v>
      </c>
      <c r="K3010" t="s">
        <v>31</v>
      </c>
      <c r="L3010" t="s">
        <v>32</v>
      </c>
      <c r="M3010" t="s">
        <v>33</v>
      </c>
      <c r="P3010" s="1" t="s">
        <v>10685</v>
      </c>
      <c r="Q3010" s="1" t="s">
        <v>10324</v>
      </c>
      <c r="R3010" s="1" t="s">
        <v>10324</v>
      </c>
      <c r="S3010" s="1"/>
      <c r="T3010" s="1" t="s">
        <v>1218</v>
      </c>
      <c r="U3010" s="1" t="s">
        <v>1219</v>
      </c>
      <c r="V3010" s="1">
        <v>430.0</v>
      </c>
      <c r="W3010" s="1">
        <v>430.0</v>
      </c>
      <c r="X3010" s="1" t="s">
        <v>35</v>
      </c>
      <c r="Y3010" s="1">
        <v>430000.0</v>
      </c>
      <c r="Z3010" s="1"/>
      <c r="AA3010" s="1">
        <v>430000.0</v>
      </c>
      <c r="AB3010" s="1"/>
      <c r="AC3010" s="1" t="s">
        <v>36</v>
      </c>
      <c r="AD3010" s="1" t="s">
        <v>10686</v>
      </c>
      <c r="AE3010" s="1" t="s">
        <v>32</v>
      </c>
      <c r="AF3010" s="1" t="s">
        <v>33</v>
      </c>
      <c r="AG3010" s="1" t="s">
        <v>60</v>
      </c>
    </row>
    <row r="3011" spans="1:33">
      <c r="A3011" t="s">
        <v>10687</v>
      </c>
      <c r="B3011" t="s">
        <v>206</v>
      </c>
      <c r="C3011" t="s">
        <v>207</v>
      </c>
      <c r="E3011" t="s">
        <v>10324</v>
      </c>
      <c r="F3011" t="s">
        <v>10325</v>
      </c>
      <c r="G3011">
        <v>335.0</v>
      </c>
      <c r="H3011">
        <v>335.0</v>
      </c>
      <c r="I3011" t="s">
        <v>59</v>
      </c>
      <c r="J3011" t="s">
        <v>60</v>
      </c>
      <c r="K3011" t="s">
        <v>31</v>
      </c>
      <c r="L3011" t="s">
        <v>32</v>
      </c>
      <c r="M3011" t="s">
        <v>33</v>
      </c>
      <c r="P3011" s="1" t="s">
        <v>10688</v>
      </c>
      <c r="Q3011" s="1" t="s">
        <v>10324</v>
      </c>
      <c r="R3011" s="1" t="s">
        <v>10324</v>
      </c>
      <c r="S3011" s="1"/>
      <c r="T3011" s="1" t="s">
        <v>207</v>
      </c>
      <c r="U3011" s="1"/>
      <c r="V3011" s="1">
        <v>335.0</v>
      </c>
      <c r="W3011" s="1">
        <v>335.0</v>
      </c>
      <c r="X3011" s="1" t="s">
        <v>35</v>
      </c>
      <c r="Y3011" s="1">
        <v>335000.0</v>
      </c>
      <c r="Z3011" s="1"/>
      <c r="AA3011" s="1">
        <v>335000.0</v>
      </c>
      <c r="AB3011" s="1"/>
      <c r="AC3011" s="1" t="s">
        <v>36</v>
      </c>
      <c r="AD3011" s="1" t="s">
        <v>10683</v>
      </c>
      <c r="AE3011" s="1" t="s">
        <v>32</v>
      </c>
      <c r="AF3011" s="1" t="s">
        <v>33</v>
      </c>
      <c r="AG3011" s="1" t="s">
        <v>60</v>
      </c>
    </row>
    <row r="3012" spans="1:33">
      <c r="A3012" t="s">
        <v>10689</v>
      </c>
      <c r="B3012" t="s">
        <v>2291</v>
      </c>
      <c r="C3012" t="s">
        <v>73</v>
      </c>
      <c r="E3012" t="s">
        <v>10324</v>
      </c>
      <c r="F3012" t="s">
        <v>10325</v>
      </c>
      <c r="G3012">
        <v>18.49</v>
      </c>
      <c r="H3012">
        <v>18.49</v>
      </c>
      <c r="I3012" t="s">
        <v>40</v>
      </c>
      <c r="J3012" t="s">
        <v>41</v>
      </c>
      <c r="K3012" t="s">
        <v>31</v>
      </c>
      <c r="L3012" t="s">
        <v>32</v>
      </c>
      <c r="M3012" t="s">
        <v>33</v>
      </c>
      <c r="P3012" s="1" t="s">
        <v>10690</v>
      </c>
      <c r="Q3012" s="1" t="s">
        <v>10324</v>
      </c>
      <c r="R3012" s="1" t="s">
        <v>9612</v>
      </c>
      <c r="S3012" s="1"/>
      <c r="T3012" s="1" t="s">
        <v>75</v>
      </c>
      <c r="U3012" s="1" t="s">
        <v>76</v>
      </c>
      <c r="V3012" s="1">
        <v>18.49</v>
      </c>
      <c r="W3012" s="1">
        <v>18.49</v>
      </c>
      <c r="X3012" s="1" t="s">
        <v>35</v>
      </c>
      <c r="Y3012" s="1">
        <v>18490.0</v>
      </c>
      <c r="Z3012" s="1"/>
      <c r="AA3012" s="1">
        <v>18490.0</v>
      </c>
      <c r="AB3012" s="1"/>
      <c r="AC3012" s="1" t="s">
        <v>36</v>
      </c>
      <c r="AD3012" s="1" t="s">
        <v>10691</v>
      </c>
      <c r="AE3012" s="1" t="s">
        <v>32</v>
      </c>
      <c r="AF3012" s="1" t="s">
        <v>33</v>
      </c>
      <c r="AG3012" s="1" t="s">
        <v>41</v>
      </c>
    </row>
    <row r="3013" spans="1:33">
      <c r="A3013" t="s">
        <v>10692</v>
      </c>
      <c r="C3013" t="s">
        <v>5376</v>
      </c>
      <c r="D3013" t="s">
        <v>154</v>
      </c>
      <c r="E3013" t="s">
        <v>10324</v>
      </c>
      <c r="F3013" t="s">
        <v>10325</v>
      </c>
      <c r="G3013">
        <v>698.0</v>
      </c>
      <c r="H3013">
        <v>698.0</v>
      </c>
      <c r="I3013" t="s">
        <v>40</v>
      </c>
      <c r="J3013" t="s">
        <v>41</v>
      </c>
      <c r="K3013" t="s">
        <v>31</v>
      </c>
      <c r="L3013" t="s">
        <v>32</v>
      </c>
      <c r="M3013" t="s">
        <v>33</v>
      </c>
      <c r="P3013" s="1" t="s">
        <v>10693</v>
      </c>
      <c r="Q3013" s="1" t="s">
        <v>10324</v>
      </c>
      <c r="R3013" s="1" t="s">
        <v>9612</v>
      </c>
      <c r="S3013" s="1"/>
      <c r="T3013" s="1" t="s">
        <v>5376</v>
      </c>
      <c r="U3013" s="1"/>
      <c r="V3013" s="1">
        <v>698.0</v>
      </c>
      <c r="W3013" s="1">
        <v>698.0</v>
      </c>
      <c r="X3013" s="1" t="s">
        <v>35</v>
      </c>
      <c r="Y3013" s="1">
        <v>698000.0</v>
      </c>
      <c r="Z3013" s="1"/>
      <c r="AA3013" s="1">
        <v>698000.0</v>
      </c>
      <c r="AB3013" s="1"/>
      <c r="AC3013" s="1" t="s">
        <v>36</v>
      </c>
      <c r="AD3013" s="1" t="s">
        <v>10694</v>
      </c>
      <c r="AE3013" s="1" t="s">
        <v>32</v>
      </c>
      <c r="AF3013" s="1" t="s">
        <v>33</v>
      </c>
      <c r="AG3013" s="1" t="s">
        <v>41</v>
      </c>
    </row>
    <row r="3014" spans="1:33">
      <c r="A3014" t="s">
        <v>10695</v>
      </c>
      <c r="C3014" t="s">
        <v>5458</v>
      </c>
      <c r="E3014" t="s">
        <v>10324</v>
      </c>
      <c r="F3014" t="s">
        <v>10325</v>
      </c>
      <c r="G3014">
        <v>92.5</v>
      </c>
      <c r="H3014">
        <v>92.5</v>
      </c>
      <c r="I3014" t="s">
        <v>269</v>
      </c>
      <c r="J3014" t="s">
        <v>270</v>
      </c>
      <c r="K3014" t="s">
        <v>31</v>
      </c>
      <c r="L3014" t="s">
        <v>32</v>
      </c>
      <c r="M3014" t="s">
        <v>33</v>
      </c>
      <c r="P3014" s="1" t="s">
        <v>10696</v>
      </c>
      <c r="Q3014" s="1" t="s">
        <v>10324</v>
      </c>
      <c r="R3014" s="1" t="s">
        <v>10324</v>
      </c>
      <c r="S3014" s="1"/>
      <c r="T3014" s="1" t="s">
        <v>5458</v>
      </c>
      <c r="U3014" s="1"/>
      <c r="V3014" s="1">
        <v>92.5</v>
      </c>
      <c r="W3014" s="1">
        <v>92.5</v>
      </c>
      <c r="X3014" s="1" t="s">
        <v>35</v>
      </c>
      <c r="Y3014" s="1">
        <v>92500.0</v>
      </c>
      <c r="Z3014" s="1"/>
      <c r="AA3014" s="1">
        <v>92500.0</v>
      </c>
      <c r="AB3014" s="1"/>
      <c r="AC3014" s="1" t="s">
        <v>36</v>
      </c>
      <c r="AD3014" s="1" t="s">
        <v>10697</v>
      </c>
      <c r="AE3014" s="1" t="s">
        <v>32</v>
      </c>
      <c r="AF3014" s="1" t="s">
        <v>33</v>
      </c>
      <c r="AG3014" s="1" t="s">
        <v>270</v>
      </c>
    </row>
    <row r="3015" spans="1:33">
      <c r="A3015" t="s">
        <v>10698</v>
      </c>
      <c r="B3015" t="s">
        <v>10699</v>
      </c>
      <c r="C3015" t="s">
        <v>47</v>
      </c>
      <c r="E3015" t="s">
        <v>10324</v>
      </c>
      <c r="F3015" t="s">
        <v>10325</v>
      </c>
      <c r="G3015">
        <v>38.49</v>
      </c>
      <c r="H3015">
        <v>38.49</v>
      </c>
      <c r="I3015" t="s">
        <v>2206</v>
      </c>
      <c r="J3015" t="s">
        <v>49</v>
      </c>
      <c r="K3015" t="s">
        <v>31</v>
      </c>
      <c r="L3015" t="s">
        <v>32</v>
      </c>
      <c r="M3015" t="s">
        <v>33</v>
      </c>
      <c r="P3015" s="1" t="s">
        <v>10700</v>
      </c>
      <c r="Q3015" s="1" t="s">
        <v>10324</v>
      </c>
      <c r="R3015" s="1" t="s">
        <v>10324</v>
      </c>
      <c r="S3015" s="1"/>
      <c r="T3015" s="1" t="s">
        <v>47</v>
      </c>
      <c r="U3015" s="1"/>
      <c r="V3015" s="1">
        <v>38.49</v>
      </c>
      <c r="W3015" s="1">
        <v>38.49</v>
      </c>
      <c r="X3015" s="1" t="s">
        <v>35</v>
      </c>
      <c r="Y3015" s="1">
        <v>38490.0</v>
      </c>
      <c r="Z3015" s="1"/>
      <c r="AA3015" s="1">
        <v>38490.0</v>
      </c>
      <c r="AB3015" s="1"/>
      <c r="AC3015" s="1" t="s">
        <v>36</v>
      </c>
      <c r="AD3015" s="1" t="s">
        <v>10697</v>
      </c>
      <c r="AE3015" s="1" t="s">
        <v>32</v>
      </c>
      <c r="AF3015" s="1" t="s">
        <v>33</v>
      </c>
      <c r="AG3015" s="1" t="s">
        <v>49</v>
      </c>
    </row>
    <row r="3016" spans="1:33">
      <c r="A3016" t="s">
        <v>10701</v>
      </c>
      <c r="B3016" t="s">
        <v>2317</v>
      </c>
      <c r="C3016" t="s">
        <v>73</v>
      </c>
      <c r="E3016" t="s">
        <v>10324</v>
      </c>
      <c r="F3016" t="s">
        <v>10325</v>
      </c>
      <c r="G3016">
        <v>47.0</v>
      </c>
      <c r="H3016">
        <v>47.0</v>
      </c>
      <c r="I3016" t="s">
        <v>40</v>
      </c>
      <c r="J3016" t="s">
        <v>41</v>
      </c>
      <c r="K3016" t="s">
        <v>31</v>
      </c>
      <c r="L3016" t="s">
        <v>32</v>
      </c>
      <c r="M3016" t="s">
        <v>33</v>
      </c>
      <c r="P3016" s="1" t="s">
        <v>10702</v>
      </c>
      <c r="Q3016" s="1" t="s">
        <v>10324</v>
      </c>
      <c r="R3016" s="1" t="s">
        <v>9612</v>
      </c>
      <c r="S3016" s="1"/>
      <c r="T3016" s="1" t="s">
        <v>75</v>
      </c>
      <c r="U3016" s="1" t="s">
        <v>76</v>
      </c>
      <c r="V3016" s="1">
        <v>47.0</v>
      </c>
      <c r="W3016" s="1">
        <v>47.0</v>
      </c>
      <c r="X3016" s="1" t="s">
        <v>35</v>
      </c>
      <c r="Y3016" s="1">
        <v>47000.0</v>
      </c>
      <c r="Z3016" s="1"/>
      <c r="AA3016" s="1">
        <v>47000.0</v>
      </c>
      <c r="AB3016" s="1"/>
      <c r="AC3016" s="1" t="s">
        <v>36</v>
      </c>
      <c r="AD3016" s="1" t="s">
        <v>10603</v>
      </c>
      <c r="AE3016" s="1" t="s">
        <v>32</v>
      </c>
      <c r="AF3016" s="1" t="s">
        <v>33</v>
      </c>
      <c r="AG3016" s="1" t="s">
        <v>41</v>
      </c>
    </row>
    <row r="3017" spans="1:33">
      <c r="A3017" t="s">
        <v>10703</v>
      </c>
      <c r="C3017" t="s">
        <v>10704</v>
      </c>
      <c r="D3017" t="s">
        <v>154</v>
      </c>
      <c r="E3017" t="s">
        <v>10324</v>
      </c>
      <c r="F3017" t="s">
        <v>10325</v>
      </c>
      <c r="G3017">
        <v>403.2</v>
      </c>
      <c r="H3017">
        <v>403.2</v>
      </c>
      <c r="I3017" t="s">
        <v>2206</v>
      </c>
      <c r="J3017" t="s">
        <v>49</v>
      </c>
      <c r="K3017" t="s">
        <v>31</v>
      </c>
      <c r="L3017" t="s">
        <v>32</v>
      </c>
      <c r="M3017" t="s">
        <v>33</v>
      </c>
      <c r="P3017" s="1" t="s">
        <v>10705</v>
      </c>
      <c r="Q3017" s="1" t="s">
        <v>10324</v>
      </c>
      <c r="R3017" s="1" t="s">
        <v>10324</v>
      </c>
      <c r="S3017" s="1"/>
      <c r="T3017" s="1" t="s">
        <v>10706</v>
      </c>
      <c r="U3017" s="1" t="s">
        <v>10707</v>
      </c>
      <c r="V3017" s="1">
        <v>403.2</v>
      </c>
      <c r="W3017" s="1">
        <v>403.2</v>
      </c>
      <c r="X3017" s="1" t="s">
        <v>35</v>
      </c>
      <c r="Y3017" s="1">
        <v>403200.0</v>
      </c>
      <c r="Z3017" s="1"/>
      <c r="AA3017" s="1">
        <v>403200.0</v>
      </c>
      <c r="AB3017" s="1"/>
      <c r="AC3017" s="1" t="s">
        <v>36</v>
      </c>
      <c r="AD3017" s="1" t="s">
        <v>10708</v>
      </c>
      <c r="AE3017" s="1" t="s">
        <v>32</v>
      </c>
      <c r="AF3017" s="1" t="s">
        <v>33</v>
      </c>
      <c r="AG3017" s="1" t="s">
        <v>49</v>
      </c>
    </row>
    <row r="3018" spans="1:33">
      <c r="A3018" t="s">
        <v>10709</v>
      </c>
      <c r="B3018" t="s">
        <v>10710</v>
      </c>
      <c r="C3018" t="s">
        <v>47</v>
      </c>
      <c r="E3018" t="s">
        <v>10324</v>
      </c>
      <c r="F3018" t="s">
        <v>10325</v>
      </c>
      <c r="G3018">
        <v>64.48</v>
      </c>
      <c r="H3018">
        <v>64.48</v>
      </c>
      <c r="I3018" t="s">
        <v>2206</v>
      </c>
      <c r="J3018" t="s">
        <v>49</v>
      </c>
      <c r="K3018" t="s">
        <v>31</v>
      </c>
      <c r="L3018" t="s">
        <v>32</v>
      </c>
      <c r="M3018" t="s">
        <v>33</v>
      </c>
      <c r="P3018" s="1" t="s">
        <v>10711</v>
      </c>
      <c r="Q3018" s="1" t="s">
        <v>10324</v>
      </c>
      <c r="R3018" s="1" t="s">
        <v>10324</v>
      </c>
      <c r="S3018" s="1"/>
      <c r="T3018" s="1" t="s">
        <v>47</v>
      </c>
      <c r="U3018" s="1"/>
      <c r="V3018" s="1">
        <v>64.48</v>
      </c>
      <c r="W3018" s="1">
        <v>64.48</v>
      </c>
      <c r="X3018" s="1" t="s">
        <v>35</v>
      </c>
      <c r="Y3018" s="1">
        <v>64480.0</v>
      </c>
      <c r="Z3018" s="1"/>
      <c r="AA3018" s="1">
        <v>64480.0</v>
      </c>
      <c r="AB3018" s="1"/>
      <c r="AC3018" s="1" t="s">
        <v>36</v>
      </c>
      <c r="AD3018" s="1" t="s">
        <v>10712</v>
      </c>
      <c r="AE3018" s="1" t="s">
        <v>32</v>
      </c>
      <c r="AF3018" s="1" t="s">
        <v>33</v>
      </c>
      <c r="AG3018" s="1" t="s">
        <v>49</v>
      </c>
    </row>
    <row r="3019" spans="1:33">
      <c r="A3019" t="s">
        <v>10713</v>
      </c>
      <c r="C3019" t="s">
        <v>1244</v>
      </c>
      <c r="E3019" t="s">
        <v>10324</v>
      </c>
      <c r="F3019" t="s">
        <v>10325</v>
      </c>
      <c r="G3019">
        <v>120.4</v>
      </c>
      <c r="H3019">
        <v>120.4</v>
      </c>
      <c r="I3019" t="s">
        <v>179</v>
      </c>
      <c r="J3019" t="s">
        <v>180</v>
      </c>
      <c r="K3019" t="s">
        <v>31</v>
      </c>
      <c r="L3019" t="s">
        <v>32</v>
      </c>
      <c r="M3019" t="s">
        <v>33</v>
      </c>
      <c r="P3019" s="1" t="s">
        <v>10714</v>
      </c>
      <c r="Q3019" s="1" t="s">
        <v>10324</v>
      </c>
      <c r="R3019" s="1" t="s">
        <v>10324</v>
      </c>
      <c r="S3019" s="1"/>
      <c r="T3019" s="1" t="s">
        <v>1244</v>
      </c>
      <c r="U3019" s="1"/>
      <c r="V3019" s="1">
        <v>120.4</v>
      </c>
      <c r="W3019" s="1">
        <v>120.4</v>
      </c>
      <c r="X3019" s="1" t="s">
        <v>35</v>
      </c>
      <c r="Y3019" s="1">
        <v>120400.0</v>
      </c>
      <c r="Z3019" s="1"/>
      <c r="AA3019" s="1">
        <v>120400.0</v>
      </c>
      <c r="AB3019" s="1"/>
      <c r="AC3019" s="1" t="s">
        <v>36</v>
      </c>
      <c r="AD3019" s="1" t="s">
        <v>10715</v>
      </c>
      <c r="AE3019" s="1" t="s">
        <v>32</v>
      </c>
      <c r="AF3019" s="1" t="s">
        <v>33</v>
      </c>
      <c r="AG3019" s="1" t="s">
        <v>180</v>
      </c>
    </row>
    <row r="3020" spans="1:33">
      <c r="A3020" t="s">
        <v>10716</v>
      </c>
      <c r="C3020" t="s">
        <v>2842</v>
      </c>
      <c r="E3020" t="s">
        <v>10324</v>
      </c>
      <c r="F3020" t="s">
        <v>10325</v>
      </c>
      <c r="G3020">
        <v>319.2</v>
      </c>
      <c r="H3020">
        <v>319.2</v>
      </c>
      <c r="I3020" t="s">
        <v>2206</v>
      </c>
      <c r="J3020" t="s">
        <v>49</v>
      </c>
      <c r="K3020" t="s">
        <v>31</v>
      </c>
      <c r="L3020" t="s">
        <v>32</v>
      </c>
      <c r="M3020" t="s">
        <v>33</v>
      </c>
      <c r="P3020" s="1" t="s">
        <v>10717</v>
      </c>
      <c r="Q3020" s="1" t="s">
        <v>10324</v>
      </c>
      <c r="R3020" s="1" t="s">
        <v>10324</v>
      </c>
      <c r="S3020" s="1"/>
      <c r="T3020" s="1" t="s">
        <v>2842</v>
      </c>
      <c r="U3020" s="1"/>
      <c r="V3020" s="1">
        <v>319.2</v>
      </c>
      <c r="W3020" s="1">
        <v>319.2</v>
      </c>
      <c r="X3020" s="1" t="s">
        <v>35</v>
      </c>
      <c r="Y3020" s="1">
        <v>319200.0</v>
      </c>
      <c r="Z3020" s="1"/>
      <c r="AA3020" s="1">
        <v>319200.0</v>
      </c>
      <c r="AB3020" s="1"/>
      <c r="AC3020" s="1" t="s">
        <v>36</v>
      </c>
      <c r="AD3020" s="1" t="s">
        <v>10718</v>
      </c>
      <c r="AE3020" s="1" t="s">
        <v>32</v>
      </c>
      <c r="AF3020" s="1" t="s">
        <v>33</v>
      </c>
      <c r="AG3020" s="1" t="s">
        <v>49</v>
      </c>
    </row>
    <row r="3021" spans="1:33">
      <c r="A3021" t="s">
        <v>10719</v>
      </c>
      <c r="B3021" t="s">
        <v>10720</v>
      </c>
      <c r="C3021" t="s">
        <v>172</v>
      </c>
      <c r="E3021" t="s">
        <v>10324</v>
      </c>
      <c r="F3021" t="s">
        <v>10325</v>
      </c>
      <c r="G3021">
        <v>65.97</v>
      </c>
      <c r="H3021">
        <v>65.97</v>
      </c>
      <c r="I3021" t="s">
        <v>173</v>
      </c>
      <c r="J3021" t="s">
        <v>174</v>
      </c>
      <c r="K3021" t="s">
        <v>31</v>
      </c>
      <c r="L3021" t="s">
        <v>32</v>
      </c>
      <c r="M3021" t="s">
        <v>33</v>
      </c>
      <c r="P3021" s="1" t="s">
        <v>10721</v>
      </c>
      <c r="Q3021" s="1" t="s">
        <v>10324</v>
      </c>
      <c r="R3021" s="1" t="s">
        <v>10324</v>
      </c>
      <c r="S3021" s="1"/>
      <c r="T3021" s="1" t="s">
        <v>172</v>
      </c>
      <c r="U3021" s="1"/>
      <c r="V3021" s="1">
        <v>65.97</v>
      </c>
      <c r="W3021" s="1">
        <v>65.97</v>
      </c>
      <c r="X3021" s="1" t="s">
        <v>35</v>
      </c>
      <c r="Y3021" s="1">
        <v>65970.0</v>
      </c>
      <c r="Z3021" s="1"/>
      <c r="AA3021" s="1">
        <v>65970.0</v>
      </c>
      <c r="AB3021" s="1"/>
      <c r="AC3021" s="1" t="s">
        <v>36</v>
      </c>
      <c r="AD3021" s="1" t="s">
        <v>10722</v>
      </c>
      <c r="AE3021" s="1" t="s">
        <v>32</v>
      </c>
      <c r="AF3021" s="1" t="s">
        <v>33</v>
      </c>
      <c r="AG3021" s="1" t="s">
        <v>174</v>
      </c>
    </row>
    <row r="3022" spans="1:33">
      <c r="A3022" t="s">
        <v>10723</v>
      </c>
      <c r="B3022" t="s">
        <v>10724</v>
      </c>
      <c r="C3022" t="s">
        <v>47</v>
      </c>
      <c r="E3022" t="s">
        <v>10324</v>
      </c>
      <c r="F3022" t="s">
        <v>10325</v>
      </c>
      <c r="G3022">
        <v>219.365</v>
      </c>
      <c r="H3022">
        <v>219.365</v>
      </c>
      <c r="I3022" t="s">
        <v>2206</v>
      </c>
      <c r="J3022" t="s">
        <v>49</v>
      </c>
      <c r="K3022" t="s">
        <v>31</v>
      </c>
      <c r="L3022" t="s">
        <v>32</v>
      </c>
      <c r="M3022" t="s">
        <v>33</v>
      </c>
      <c r="P3022" s="1" t="s">
        <v>10725</v>
      </c>
      <c r="Q3022" s="1" t="s">
        <v>10324</v>
      </c>
      <c r="R3022" s="1" t="s">
        <v>10324</v>
      </c>
      <c r="S3022" s="1"/>
      <c r="T3022" s="1" t="s">
        <v>47</v>
      </c>
      <c r="U3022" s="1"/>
      <c r="V3022" s="1">
        <v>219.365</v>
      </c>
      <c r="W3022" s="1">
        <v>219.365</v>
      </c>
      <c r="X3022" s="1" t="s">
        <v>35</v>
      </c>
      <c r="Y3022" s="1">
        <v>220000.0</v>
      </c>
      <c r="Z3022" s="1">
        <v>-635.0</v>
      </c>
      <c r="AA3022" s="1">
        <v>220000.0</v>
      </c>
      <c r="AB3022" s="1">
        <v>-635.0</v>
      </c>
      <c r="AC3022" s="1" t="s">
        <v>36</v>
      </c>
      <c r="AD3022" s="1" t="s">
        <v>10726</v>
      </c>
      <c r="AE3022" s="1" t="s">
        <v>32</v>
      </c>
      <c r="AF3022" s="1" t="s">
        <v>33</v>
      </c>
      <c r="AG3022" s="1" t="s">
        <v>49</v>
      </c>
    </row>
    <row r="3023" spans="1:33">
      <c r="A3023" t="s">
        <v>10727</v>
      </c>
      <c r="B3023" t="s">
        <v>6545</v>
      </c>
      <c r="C3023" t="s">
        <v>314</v>
      </c>
      <c r="E3023" t="s">
        <v>10324</v>
      </c>
      <c r="F3023" t="s">
        <v>10325</v>
      </c>
      <c r="G3023">
        <v>133.54</v>
      </c>
      <c r="H3023">
        <v>133.54</v>
      </c>
      <c r="I3023" t="s">
        <v>179</v>
      </c>
      <c r="J3023" t="s">
        <v>180</v>
      </c>
      <c r="K3023" t="s">
        <v>31</v>
      </c>
      <c r="L3023" t="s">
        <v>32</v>
      </c>
      <c r="M3023" t="s">
        <v>33</v>
      </c>
      <c r="P3023" s="1" t="s">
        <v>10728</v>
      </c>
      <c r="Q3023" s="1" t="s">
        <v>10324</v>
      </c>
      <c r="R3023" s="1" t="s">
        <v>10324</v>
      </c>
      <c r="S3023" s="1"/>
      <c r="T3023" s="1" t="s">
        <v>314</v>
      </c>
      <c r="U3023" s="1"/>
      <c r="V3023" s="1">
        <v>133.54</v>
      </c>
      <c r="W3023" s="1">
        <v>133.54</v>
      </c>
      <c r="X3023" s="1" t="s">
        <v>35</v>
      </c>
      <c r="Y3023" s="1">
        <v>133540.0</v>
      </c>
      <c r="Z3023" s="1"/>
      <c r="AA3023" s="1">
        <v>133540.0</v>
      </c>
      <c r="AB3023" s="1"/>
      <c r="AC3023" s="1" t="s">
        <v>36</v>
      </c>
      <c r="AD3023" s="1" t="s">
        <v>10729</v>
      </c>
      <c r="AE3023" s="1" t="s">
        <v>32</v>
      </c>
      <c r="AF3023" s="1" t="s">
        <v>33</v>
      </c>
      <c r="AG3023" s="1" t="s">
        <v>180</v>
      </c>
    </row>
    <row r="3024" spans="1:33">
      <c r="A3024" t="s">
        <v>10730</v>
      </c>
      <c r="B3024" t="s">
        <v>3224</v>
      </c>
      <c r="C3024" t="s">
        <v>3225</v>
      </c>
      <c r="D3024" t="s">
        <v>114</v>
      </c>
      <c r="E3024" t="s">
        <v>10324</v>
      </c>
      <c r="F3024" t="s">
        <v>10325</v>
      </c>
      <c r="G3024">
        <v>30.0</v>
      </c>
      <c r="H3024">
        <v>30.0</v>
      </c>
      <c r="I3024" t="s">
        <v>59</v>
      </c>
      <c r="J3024" t="s">
        <v>60</v>
      </c>
      <c r="K3024" t="s">
        <v>31</v>
      </c>
      <c r="L3024" t="s">
        <v>32</v>
      </c>
      <c r="M3024" t="s">
        <v>33</v>
      </c>
      <c r="P3024" s="1" t="s">
        <v>10731</v>
      </c>
      <c r="Q3024" s="1" t="s">
        <v>10324</v>
      </c>
      <c r="R3024" s="1" t="s">
        <v>10324</v>
      </c>
      <c r="S3024" s="1"/>
      <c r="T3024" s="1" t="s">
        <v>3227</v>
      </c>
      <c r="U3024" s="1" t="s">
        <v>3228</v>
      </c>
      <c r="V3024" s="1">
        <v>30.0</v>
      </c>
      <c r="W3024" s="1">
        <v>30.0</v>
      </c>
      <c r="X3024" s="1" t="s">
        <v>35</v>
      </c>
      <c r="Y3024" s="1">
        <v>30000.0</v>
      </c>
      <c r="Z3024" s="1"/>
      <c r="AA3024" s="1">
        <v>30000.0</v>
      </c>
      <c r="AB3024" s="1"/>
      <c r="AC3024" s="1" t="s">
        <v>36</v>
      </c>
      <c r="AD3024" s="1" t="s">
        <v>10732</v>
      </c>
      <c r="AE3024" s="1" t="s">
        <v>32</v>
      </c>
      <c r="AF3024" s="1" t="s">
        <v>33</v>
      </c>
      <c r="AG3024" s="1" t="s">
        <v>60</v>
      </c>
    </row>
    <row r="3025" spans="1:33">
      <c r="A3025" t="s">
        <v>10733</v>
      </c>
      <c r="C3025" t="s">
        <v>1692</v>
      </c>
      <c r="E3025" t="s">
        <v>10324</v>
      </c>
      <c r="F3025" t="s">
        <v>10325</v>
      </c>
      <c r="G3025">
        <v>740.5</v>
      </c>
      <c r="H3025">
        <v>740.5</v>
      </c>
      <c r="I3025" t="s">
        <v>179</v>
      </c>
      <c r="J3025" t="s">
        <v>180</v>
      </c>
      <c r="K3025" t="s">
        <v>31</v>
      </c>
      <c r="L3025" t="s">
        <v>32</v>
      </c>
      <c r="M3025" t="s">
        <v>33</v>
      </c>
      <c r="P3025" s="1" t="s">
        <v>10734</v>
      </c>
      <c r="Q3025" s="1" t="s">
        <v>10324</v>
      </c>
      <c r="R3025" s="1" t="s">
        <v>10324</v>
      </c>
      <c r="S3025" s="1"/>
      <c r="T3025" s="1" t="s">
        <v>1692</v>
      </c>
      <c r="U3025" s="1"/>
      <c r="V3025" s="1">
        <v>740.5</v>
      </c>
      <c r="W3025" s="1">
        <v>740.5</v>
      </c>
      <c r="X3025" s="1" t="s">
        <v>35</v>
      </c>
      <c r="Y3025" s="1">
        <v>740500.0</v>
      </c>
      <c r="Z3025" s="1"/>
      <c r="AA3025" s="1">
        <v>740500.0</v>
      </c>
      <c r="AB3025" s="1"/>
      <c r="AC3025" s="1" t="s">
        <v>36</v>
      </c>
      <c r="AD3025" s="1" t="s">
        <v>10732</v>
      </c>
      <c r="AE3025" s="1" t="s">
        <v>32</v>
      </c>
      <c r="AF3025" s="1" t="s">
        <v>33</v>
      </c>
      <c r="AG3025" s="1" t="s">
        <v>180</v>
      </c>
    </row>
    <row r="3026" spans="1:33">
      <c r="A3026" t="s">
        <v>10735</v>
      </c>
      <c r="C3026" t="s">
        <v>1310</v>
      </c>
      <c r="E3026" t="s">
        <v>10324</v>
      </c>
      <c r="F3026" t="s">
        <v>10325</v>
      </c>
      <c r="G3026">
        <v>441.8</v>
      </c>
      <c r="H3026">
        <v>441.8</v>
      </c>
      <c r="I3026" t="s">
        <v>2206</v>
      </c>
      <c r="J3026" t="s">
        <v>49</v>
      </c>
      <c r="K3026" t="s">
        <v>31</v>
      </c>
      <c r="L3026" t="s">
        <v>32</v>
      </c>
      <c r="M3026" t="s">
        <v>33</v>
      </c>
      <c r="P3026" s="1" t="s">
        <v>10736</v>
      </c>
      <c r="Q3026" s="1" t="s">
        <v>10324</v>
      </c>
      <c r="R3026" s="1" t="s">
        <v>10324</v>
      </c>
      <c r="S3026" s="1"/>
      <c r="T3026" s="1" t="s">
        <v>1310</v>
      </c>
      <c r="U3026" s="1"/>
      <c r="V3026" s="1">
        <v>441.8</v>
      </c>
      <c r="W3026" s="1">
        <v>441.8</v>
      </c>
      <c r="X3026" s="1" t="s">
        <v>35</v>
      </c>
      <c r="Y3026" s="1">
        <v>441800.0</v>
      </c>
      <c r="Z3026" s="1"/>
      <c r="AA3026" s="1">
        <v>441800.0</v>
      </c>
      <c r="AB3026" s="1"/>
      <c r="AC3026" s="1" t="s">
        <v>36</v>
      </c>
      <c r="AD3026" s="1" t="s">
        <v>10737</v>
      </c>
      <c r="AE3026" s="1" t="s">
        <v>32</v>
      </c>
      <c r="AF3026" s="1" t="s">
        <v>33</v>
      </c>
      <c r="AG3026" s="1" t="s">
        <v>49</v>
      </c>
    </row>
    <row r="3027" spans="1:33">
      <c r="A3027" t="s">
        <v>10738</v>
      </c>
      <c r="C3027" t="s">
        <v>3005</v>
      </c>
      <c r="E3027" t="s">
        <v>10324</v>
      </c>
      <c r="F3027" t="s">
        <v>10325</v>
      </c>
      <c r="G3027">
        <v>820.0</v>
      </c>
      <c r="H3027">
        <v>820.0</v>
      </c>
      <c r="I3027" t="s">
        <v>269</v>
      </c>
      <c r="J3027" t="s">
        <v>270</v>
      </c>
      <c r="K3027" t="s">
        <v>31</v>
      </c>
      <c r="L3027" t="s">
        <v>32</v>
      </c>
      <c r="M3027" t="s">
        <v>33</v>
      </c>
      <c r="P3027" s="1" t="s">
        <v>10739</v>
      </c>
      <c r="Q3027" s="1" t="s">
        <v>10324</v>
      </c>
      <c r="R3027" s="1" t="s">
        <v>10324</v>
      </c>
      <c r="S3027" s="1"/>
      <c r="T3027" s="1" t="s">
        <v>3005</v>
      </c>
      <c r="U3027" s="1"/>
      <c r="V3027" s="1">
        <v>820.0</v>
      </c>
      <c r="W3027" s="1">
        <v>820.0</v>
      </c>
      <c r="X3027" s="1" t="s">
        <v>35</v>
      </c>
      <c r="Y3027" s="1">
        <v>820000.0</v>
      </c>
      <c r="Z3027" s="1"/>
      <c r="AA3027" s="1">
        <v>820000.0</v>
      </c>
      <c r="AB3027" s="1"/>
      <c r="AC3027" s="1" t="s">
        <v>36</v>
      </c>
      <c r="AD3027" s="1" t="s">
        <v>10722</v>
      </c>
      <c r="AE3027" s="1" t="s">
        <v>32</v>
      </c>
      <c r="AF3027" s="1" t="s">
        <v>33</v>
      </c>
      <c r="AG3027" s="1" t="s">
        <v>270</v>
      </c>
    </row>
    <row r="3028" spans="1:33">
      <c r="A3028" t="s">
        <v>10740</v>
      </c>
      <c r="B3028" t="s">
        <v>10741</v>
      </c>
      <c r="C3028" t="s">
        <v>125</v>
      </c>
      <c r="E3028" t="s">
        <v>10324</v>
      </c>
      <c r="F3028" t="s">
        <v>10325</v>
      </c>
      <c r="G3028">
        <v>6.498</v>
      </c>
      <c r="H3028">
        <v>6.498</v>
      </c>
      <c r="I3028" t="s">
        <v>126</v>
      </c>
      <c r="J3028" t="s">
        <v>127</v>
      </c>
      <c r="K3028" t="s">
        <v>31</v>
      </c>
      <c r="L3028" t="s">
        <v>32</v>
      </c>
      <c r="M3028" t="s">
        <v>33</v>
      </c>
      <c r="P3028" s="1" t="s">
        <v>10742</v>
      </c>
      <c r="Q3028" s="1" t="s">
        <v>10324</v>
      </c>
      <c r="R3028" s="1" t="s">
        <v>10324</v>
      </c>
      <c r="S3028" s="1"/>
      <c r="T3028" s="1" t="s">
        <v>125</v>
      </c>
      <c r="U3028" s="1"/>
      <c r="V3028" s="1">
        <v>6.498</v>
      </c>
      <c r="W3028" s="1">
        <v>6.498</v>
      </c>
      <c r="X3028" s="1" t="s">
        <v>35</v>
      </c>
      <c r="Y3028" s="1">
        <v>6498.0</v>
      </c>
      <c r="Z3028" s="1"/>
      <c r="AA3028" s="1">
        <v>6498.0</v>
      </c>
      <c r="AB3028" s="1"/>
      <c r="AC3028" s="1" t="s">
        <v>36</v>
      </c>
      <c r="AD3028" s="1" t="s">
        <v>10743</v>
      </c>
      <c r="AE3028" s="1" t="s">
        <v>32</v>
      </c>
      <c r="AF3028" s="1" t="s">
        <v>33</v>
      </c>
      <c r="AG3028" s="1" t="s">
        <v>127</v>
      </c>
    </row>
    <row r="3029" spans="1:33">
      <c r="A3029" t="s">
        <v>10744</v>
      </c>
      <c r="B3029" t="s">
        <v>10608</v>
      </c>
      <c r="C3029" t="s">
        <v>268</v>
      </c>
      <c r="E3029" t="s">
        <v>10324</v>
      </c>
      <c r="F3029" t="s">
        <v>10325</v>
      </c>
      <c r="G3029">
        <v>66.65</v>
      </c>
      <c r="H3029">
        <v>66.65</v>
      </c>
      <c r="I3029" t="s">
        <v>269</v>
      </c>
      <c r="J3029" t="s">
        <v>270</v>
      </c>
      <c r="K3029" t="s">
        <v>31</v>
      </c>
      <c r="L3029" t="s">
        <v>32</v>
      </c>
      <c r="M3029" t="s">
        <v>33</v>
      </c>
      <c r="P3029" s="1" t="s">
        <v>10745</v>
      </c>
      <c r="Q3029" s="1" t="s">
        <v>10324</v>
      </c>
      <c r="R3029" s="1" t="s">
        <v>10324</v>
      </c>
      <c r="S3029" s="1"/>
      <c r="T3029" s="1" t="s">
        <v>268</v>
      </c>
      <c r="U3029" s="1"/>
      <c r="V3029" s="1">
        <v>66.65</v>
      </c>
      <c r="W3029" s="1">
        <v>66.65</v>
      </c>
      <c r="X3029" s="1" t="s">
        <v>35</v>
      </c>
      <c r="Y3029" s="1">
        <v>66650.0</v>
      </c>
      <c r="Z3029" s="1"/>
      <c r="AA3029" s="1">
        <v>66650.0</v>
      </c>
      <c r="AB3029" s="1"/>
      <c r="AC3029" s="1" t="s">
        <v>36</v>
      </c>
      <c r="AD3029" s="1" t="s">
        <v>10746</v>
      </c>
      <c r="AE3029" s="1" t="s">
        <v>32</v>
      </c>
      <c r="AF3029" s="1" t="s">
        <v>33</v>
      </c>
      <c r="AG3029" s="1" t="s">
        <v>270</v>
      </c>
    </row>
    <row r="3030" spans="1:33">
      <c r="A3030" t="s">
        <v>10747</v>
      </c>
      <c r="C3030" t="s">
        <v>866</v>
      </c>
      <c r="D3030" t="s">
        <v>154</v>
      </c>
      <c r="E3030" t="s">
        <v>10324</v>
      </c>
      <c r="F3030" t="s">
        <v>10325</v>
      </c>
      <c r="G3030">
        <v>336.0</v>
      </c>
      <c r="H3030">
        <v>336.0</v>
      </c>
      <c r="I3030" t="s">
        <v>2206</v>
      </c>
      <c r="J3030" t="s">
        <v>49</v>
      </c>
      <c r="K3030" t="s">
        <v>31</v>
      </c>
      <c r="L3030" t="s">
        <v>32</v>
      </c>
      <c r="M3030" t="s">
        <v>33</v>
      </c>
      <c r="P3030" s="1" t="s">
        <v>10748</v>
      </c>
      <c r="Q3030" s="1" t="s">
        <v>10324</v>
      </c>
      <c r="R3030" s="1" t="s">
        <v>10324</v>
      </c>
      <c r="S3030" s="1"/>
      <c r="T3030" s="1" t="s">
        <v>868</v>
      </c>
      <c r="U3030" s="1" t="s">
        <v>869</v>
      </c>
      <c r="V3030" s="1">
        <v>336.0</v>
      </c>
      <c r="W3030" s="1">
        <v>336.0</v>
      </c>
      <c r="X3030" s="1" t="s">
        <v>35</v>
      </c>
      <c r="Y3030" s="1">
        <v>336000.0</v>
      </c>
      <c r="Z3030" s="1"/>
      <c r="AA3030" s="1">
        <v>336000.0</v>
      </c>
      <c r="AB3030" s="1"/>
      <c r="AC3030" s="1" t="s">
        <v>36</v>
      </c>
      <c r="AD3030" s="1" t="s">
        <v>10749</v>
      </c>
      <c r="AE3030" s="1" t="s">
        <v>32</v>
      </c>
      <c r="AF3030" s="1" t="s">
        <v>33</v>
      </c>
      <c r="AG3030" s="1" t="s">
        <v>49</v>
      </c>
    </row>
    <row r="3031" spans="1:33">
      <c r="A3031" t="s">
        <v>10750</v>
      </c>
      <c r="C3031" t="s">
        <v>2688</v>
      </c>
      <c r="E3031" t="s">
        <v>10324</v>
      </c>
      <c r="F3031" t="s">
        <v>10325</v>
      </c>
      <c r="G3031">
        <v>328.0</v>
      </c>
      <c r="H3031">
        <v>328.0</v>
      </c>
      <c r="I3031" t="s">
        <v>269</v>
      </c>
      <c r="J3031" t="s">
        <v>270</v>
      </c>
      <c r="K3031" t="s">
        <v>31</v>
      </c>
      <c r="L3031" t="s">
        <v>32</v>
      </c>
      <c r="M3031" t="s">
        <v>33</v>
      </c>
      <c r="P3031" s="1" t="s">
        <v>10751</v>
      </c>
      <c r="Q3031" s="1" t="s">
        <v>10324</v>
      </c>
      <c r="R3031" s="1" t="s">
        <v>10324</v>
      </c>
      <c r="S3031" s="1"/>
      <c r="T3031" s="1" t="s">
        <v>2688</v>
      </c>
      <c r="U3031" s="1"/>
      <c r="V3031" s="1">
        <v>328.0</v>
      </c>
      <c r="W3031" s="1">
        <v>328.0</v>
      </c>
      <c r="X3031" s="1" t="s">
        <v>35</v>
      </c>
      <c r="Y3031" s="1">
        <v>328000.0</v>
      </c>
      <c r="Z3031" s="1"/>
      <c r="AA3031" s="1">
        <v>328000.0</v>
      </c>
      <c r="AB3031" s="1"/>
      <c r="AC3031" s="1" t="s">
        <v>36</v>
      </c>
      <c r="AD3031" s="1" t="s">
        <v>10737</v>
      </c>
      <c r="AE3031" s="1" t="s">
        <v>32</v>
      </c>
      <c r="AF3031" s="1" t="s">
        <v>33</v>
      </c>
      <c r="AG3031" s="1" t="s">
        <v>270</v>
      </c>
    </row>
    <row r="3032" spans="1:33">
      <c r="A3032" t="s">
        <v>10752</v>
      </c>
      <c r="C3032" t="s">
        <v>73</v>
      </c>
      <c r="E3032" t="s">
        <v>10324</v>
      </c>
      <c r="F3032" t="s">
        <v>10325</v>
      </c>
      <c r="G3032">
        <v>34.235</v>
      </c>
      <c r="H3032">
        <v>34.235</v>
      </c>
      <c r="I3032" t="s">
        <v>40</v>
      </c>
      <c r="J3032" t="s">
        <v>41</v>
      </c>
      <c r="K3032" t="s">
        <v>31</v>
      </c>
      <c r="L3032" t="s">
        <v>32</v>
      </c>
      <c r="M3032" t="s">
        <v>33</v>
      </c>
      <c r="P3032" s="1" t="s">
        <v>10753</v>
      </c>
      <c r="Q3032" s="1" t="s">
        <v>10324</v>
      </c>
      <c r="R3032" s="1" t="s">
        <v>9612</v>
      </c>
      <c r="S3032" s="1"/>
      <c r="T3032" s="1" t="s">
        <v>75</v>
      </c>
      <c r="U3032" s="1" t="s">
        <v>76</v>
      </c>
      <c r="V3032" s="1">
        <v>34.235</v>
      </c>
      <c r="W3032" s="1">
        <v>34.235</v>
      </c>
      <c r="X3032" s="1" t="s">
        <v>35</v>
      </c>
      <c r="Y3032" s="1">
        <v>34235.0</v>
      </c>
      <c r="Z3032" s="1"/>
      <c r="AA3032" s="1">
        <v>34235.0</v>
      </c>
      <c r="AB3032" s="1"/>
      <c r="AC3032" s="1" t="s">
        <v>36</v>
      </c>
      <c r="AD3032" s="1" t="s">
        <v>10754</v>
      </c>
      <c r="AE3032" s="1" t="s">
        <v>32</v>
      </c>
      <c r="AF3032" s="1" t="s">
        <v>33</v>
      </c>
      <c r="AG3032" s="1" t="s">
        <v>41</v>
      </c>
    </row>
    <row r="3033" spans="1:33">
      <c r="A3033" t="s">
        <v>10755</v>
      </c>
      <c r="C3033" t="s">
        <v>10756</v>
      </c>
      <c r="E3033" t="s">
        <v>10324</v>
      </c>
      <c r="F3033" t="s">
        <v>10325</v>
      </c>
      <c r="G3033">
        <v>733.75</v>
      </c>
      <c r="H3033">
        <v>733.75</v>
      </c>
      <c r="I3033" t="s">
        <v>2206</v>
      </c>
      <c r="J3033" t="s">
        <v>49</v>
      </c>
      <c r="K3033" t="s">
        <v>31</v>
      </c>
      <c r="L3033" t="s">
        <v>32</v>
      </c>
      <c r="M3033" t="s">
        <v>33</v>
      </c>
      <c r="P3033" s="1" t="s">
        <v>10757</v>
      </c>
      <c r="Q3033" s="1" t="s">
        <v>10324</v>
      </c>
      <c r="R3033" s="1" t="s">
        <v>10324</v>
      </c>
      <c r="S3033" s="1"/>
      <c r="T3033" s="1" t="s">
        <v>10756</v>
      </c>
      <c r="U3033" s="1"/>
      <c r="V3033" s="1">
        <v>733.75</v>
      </c>
      <c r="W3033" s="1">
        <v>733.75</v>
      </c>
      <c r="X3033" s="1" t="s">
        <v>35</v>
      </c>
      <c r="Y3033" s="1">
        <v>733750.0</v>
      </c>
      <c r="Z3033" s="1"/>
      <c r="AA3033" s="1">
        <v>733750.0</v>
      </c>
      <c r="AB3033" s="1"/>
      <c r="AC3033" s="1" t="s">
        <v>36</v>
      </c>
      <c r="AD3033" s="1" t="s">
        <v>10758</v>
      </c>
      <c r="AE3033" s="1" t="s">
        <v>32</v>
      </c>
      <c r="AF3033" s="1" t="s">
        <v>33</v>
      </c>
      <c r="AG3033" s="1" t="s">
        <v>49</v>
      </c>
    </row>
    <row r="3034" spans="1:33">
      <c r="A3034" t="s">
        <v>10759</v>
      </c>
      <c r="C3034" t="s">
        <v>558</v>
      </c>
      <c r="D3034" t="s">
        <v>154</v>
      </c>
      <c r="E3034" t="s">
        <v>10324</v>
      </c>
      <c r="F3034" t="s">
        <v>10325</v>
      </c>
      <c r="G3034">
        <v>984.0</v>
      </c>
      <c r="H3034">
        <v>984.0</v>
      </c>
      <c r="I3034" t="s">
        <v>269</v>
      </c>
      <c r="J3034" t="s">
        <v>270</v>
      </c>
      <c r="K3034" t="s">
        <v>31</v>
      </c>
      <c r="L3034" t="s">
        <v>32</v>
      </c>
      <c r="M3034" t="s">
        <v>33</v>
      </c>
      <c r="P3034" s="1" t="s">
        <v>10760</v>
      </c>
      <c r="Q3034" s="1" t="s">
        <v>10324</v>
      </c>
      <c r="R3034" s="1" t="s">
        <v>10324</v>
      </c>
      <c r="S3034" s="1"/>
      <c r="T3034" s="1" t="s">
        <v>560</v>
      </c>
      <c r="U3034" s="1" t="s">
        <v>561</v>
      </c>
      <c r="V3034" s="1">
        <v>984.0</v>
      </c>
      <c r="W3034" s="1">
        <v>984.0</v>
      </c>
      <c r="X3034" s="1" t="s">
        <v>35</v>
      </c>
      <c r="Y3034" s="1">
        <v>984000.0</v>
      </c>
      <c r="Z3034" s="1"/>
      <c r="AA3034" s="1">
        <v>984000.0</v>
      </c>
      <c r="AB3034" s="1"/>
      <c r="AC3034" s="1" t="s">
        <v>36</v>
      </c>
      <c r="AD3034" s="1" t="s">
        <v>10761</v>
      </c>
      <c r="AE3034" s="1" t="s">
        <v>32</v>
      </c>
      <c r="AF3034" s="1" t="s">
        <v>33</v>
      </c>
      <c r="AG3034" s="1" t="s">
        <v>270</v>
      </c>
    </row>
    <row r="3035" spans="1:33">
      <c r="A3035" t="s">
        <v>10762</v>
      </c>
      <c r="B3035" t="s">
        <v>10763</v>
      </c>
      <c r="C3035" t="s">
        <v>314</v>
      </c>
      <c r="E3035" t="s">
        <v>10324</v>
      </c>
      <c r="F3035" t="s">
        <v>10325</v>
      </c>
      <c r="G3035">
        <v>18.59</v>
      </c>
      <c r="H3035">
        <v>18.59</v>
      </c>
      <c r="I3035" t="s">
        <v>179</v>
      </c>
      <c r="J3035" t="s">
        <v>180</v>
      </c>
      <c r="K3035" t="s">
        <v>31</v>
      </c>
      <c r="L3035" t="s">
        <v>32</v>
      </c>
      <c r="M3035" t="s">
        <v>33</v>
      </c>
      <c r="P3035" s="1" t="s">
        <v>10764</v>
      </c>
      <c r="Q3035" s="1" t="s">
        <v>10324</v>
      </c>
      <c r="R3035" s="1" t="s">
        <v>10324</v>
      </c>
      <c r="S3035" s="1"/>
      <c r="T3035" s="1" t="s">
        <v>314</v>
      </c>
      <c r="U3035" s="1"/>
      <c r="V3035" s="1">
        <v>18.59</v>
      </c>
      <c r="W3035" s="1">
        <v>18.59</v>
      </c>
      <c r="X3035" s="1" t="s">
        <v>35</v>
      </c>
      <c r="Y3035" s="1">
        <v>18590.0</v>
      </c>
      <c r="Z3035" s="1"/>
      <c r="AA3035" s="1">
        <v>18590.0</v>
      </c>
      <c r="AB3035" s="1"/>
      <c r="AC3035" s="1" t="s">
        <v>36</v>
      </c>
      <c r="AD3035" s="1" t="s">
        <v>10761</v>
      </c>
      <c r="AE3035" s="1" t="s">
        <v>32</v>
      </c>
      <c r="AF3035" s="1" t="s">
        <v>33</v>
      </c>
      <c r="AG3035" s="1" t="s">
        <v>180</v>
      </c>
    </row>
    <row r="3036" spans="1:33">
      <c r="A3036" t="s">
        <v>10765</v>
      </c>
      <c r="C3036" t="s">
        <v>2842</v>
      </c>
      <c r="E3036" t="s">
        <v>10324</v>
      </c>
      <c r="F3036" t="s">
        <v>10325</v>
      </c>
      <c r="G3036">
        <v>16.8</v>
      </c>
      <c r="H3036">
        <v>16.8</v>
      </c>
      <c r="I3036" t="s">
        <v>2206</v>
      </c>
      <c r="J3036" t="s">
        <v>49</v>
      </c>
      <c r="K3036" t="s">
        <v>31</v>
      </c>
      <c r="L3036" t="s">
        <v>32</v>
      </c>
      <c r="M3036" t="s">
        <v>33</v>
      </c>
      <c r="P3036" s="1" t="s">
        <v>10766</v>
      </c>
      <c r="Q3036" s="1" t="s">
        <v>10324</v>
      </c>
      <c r="R3036" s="1" t="s">
        <v>10324</v>
      </c>
      <c r="S3036" s="1"/>
      <c r="T3036" s="1" t="s">
        <v>2842</v>
      </c>
      <c r="U3036" s="1"/>
      <c r="V3036" s="1">
        <v>16.8</v>
      </c>
      <c r="W3036" s="1">
        <v>16.8</v>
      </c>
      <c r="X3036" s="1" t="s">
        <v>35</v>
      </c>
      <c r="Y3036" s="1">
        <v>16800.0</v>
      </c>
      <c r="Z3036" s="1"/>
      <c r="AA3036" s="1">
        <v>16800.0</v>
      </c>
      <c r="AB3036" s="1"/>
      <c r="AC3036" s="1" t="s">
        <v>36</v>
      </c>
      <c r="AD3036" s="1" t="s">
        <v>10718</v>
      </c>
      <c r="AE3036" s="1" t="s">
        <v>32</v>
      </c>
      <c r="AF3036" s="1" t="s">
        <v>33</v>
      </c>
      <c r="AG3036" s="1" t="s">
        <v>49</v>
      </c>
    </row>
    <row r="3037" spans="1:33">
      <c r="A3037" t="s">
        <v>10767</v>
      </c>
      <c r="B3037" t="s">
        <v>10768</v>
      </c>
      <c r="C3037" t="s">
        <v>569</v>
      </c>
      <c r="E3037" t="s">
        <v>10324</v>
      </c>
      <c r="F3037" t="s">
        <v>10325</v>
      </c>
      <c r="G3037">
        <v>45.075</v>
      </c>
      <c r="H3037">
        <v>45.075</v>
      </c>
      <c r="I3037" t="s">
        <v>570</v>
      </c>
      <c r="J3037" t="s">
        <v>571</v>
      </c>
      <c r="K3037" t="s">
        <v>31</v>
      </c>
      <c r="L3037" t="s">
        <v>32</v>
      </c>
      <c r="M3037" t="s">
        <v>33</v>
      </c>
      <c r="P3037" s="1" t="s">
        <v>10769</v>
      </c>
      <c r="Q3037" s="1" t="s">
        <v>10324</v>
      </c>
      <c r="R3037" s="1" t="s">
        <v>10324</v>
      </c>
      <c r="S3037" s="1"/>
      <c r="T3037" s="1" t="s">
        <v>569</v>
      </c>
      <c r="U3037" s="1"/>
      <c r="V3037" s="1">
        <v>45.075</v>
      </c>
      <c r="W3037" s="1">
        <v>45.075</v>
      </c>
      <c r="X3037" s="1" t="s">
        <v>35</v>
      </c>
      <c r="Y3037" s="1">
        <v>45075.0</v>
      </c>
      <c r="Z3037" s="1"/>
      <c r="AA3037" s="1">
        <v>45075.0</v>
      </c>
      <c r="AB3037" s="1"/>
      <c r="AC3037" s="1" t="s">
        <v>36</v>
      </c>
      <c r="AD3037" s="1" t="s">
        <v>10770</v>
      </c>
      <c r="AE3037" s="1" t="s">
        <v>32</v>
      </c>
      <c r="AF3037" s="1" t="s">
        <v>33</v>
      </c>
      <c r="AG3037" s="1" t="s">
        <v>571</v>
      </c>
    </row>
    <row r="3038" spans="1:33">
      <c r="A3038" t="s">
        <v>10771</v>
      </c>
      <c r="C3038" t="s">
        <v>7734</v>
      </c>
      <c r="E3038" t="s">
        <v>10324</v>
      </c>
      <c r="F3038" t="s">
        <v>10325</v>
      </c>
      <c r="G3038">
        <v>420.0</v>
      </c>
      <c r="H3038">
        <v>420.0</v>
      </c>
      <c r="I3038" t="s">
        <v>570</v>
      </c>
      <c r="J3038" t="s">
        <v>571</v>
      </c>
      <c r="K3038" t="s">
        <v>31</v>
      </c>
      <c r="L3038" t="s">
        <v>32</v>
      </c>
      <c r="M3038" t="s">
        <v>33</v>
      </c>
      <c r="P3038" s="1" t="s">
        <v>10772</v>
      </c>
      <c r="Q3038" s="1" t="s">
        <v>10324</v>
      </c>
      <c r="R3038" s="1" t="s">
        <v>10324</v>
      </c>
      <c r="S3038" s="1"/>
      <c r="T3038" s="1" t="s">
        <v>7734</v>
      </c>
      <c r="U3038" s="1"/>
      <c r="V3038" s="1">
        <v>420.0</v>
      </c>
      <c r="W3038" s="1">
        <v>420.0</v>
      </c>
      <c r="X3038" s="1" t="s">
        <v>35</v>
      </c>
      <c r="Y3038" s="1">
        <v>420000.0</v>
      </c>
      <c r="Z3038" s="1"/>
      <c r="AA3038" s="1">
        <v>420000.0</v>
      </c>
      <c r="AB3038" s="1"/>
      <c r="AC3038" s="1" t="s">
        <v>36</v>
      </c>
      <c r="AD3038" s="1" t="s">
        <v>10773</v>
      </c>
      <c r="AE3038" s="1" t="s">
        <v>32</v>
      </c>
      <c r="AF3038" s="1" t="s">
        <v>33</v>
      </c>
      <c r="AG3038" s="1" t="s">
        <v>571</v>
      </c>
    </row>
    <row r="3039" spans="1:33">
      <c r="A3039" t="s">
        <v>10774</v>
      </c>
      <c r="B3039" t="s">
        <v>10775</v>
      </c>
      <c r="C3039" t="s">
        <v>73</v>
      </c>
      <c r="E3039" t="s">
        <v>10324</v>
      </c>
      <c r="F3039" t="s">
        <v>10325</v>
      </c>
      <c r="G3039">
        <v>36.98</v>
      </c>
      <c r="H3039">
        <v>36.98</v>
      </c>
      <c r="I3039" t="s">
        <v>40</v>
      </c>
      <c r="J3039" t="s">
        <v>41</v>
      </c>
      <c r="K3039" t="s">
        <v>31</v>
      </c>
      <c r="L3039" t="s">
        <v>32</v>
      </c>
      <c r="M3039" t="s">
        <v>33</v>
      </c>
      <c r="P3039" s="1" t="s">
        <v>10776</v>
      </c>
      <c r="Q3039" s="1" t="s">
        <v>10324</v>
      </c>
      <c r="R3039" s="1" t="s">
        <v>9612</v>
      </c>
      <c r="S3039" s="1"/>
      <c r="T3039" s="1" t="s">
        <v>75</v>
      </c>
      <c r="U3039" s="1" t="s">
        <v>76</v>
      </c>
      <c r="V3039" s="1">
        <v>36.98</v>
      </c>
      <c r="W3039" s="1">
        <v>36.98</v>
      </c>
      <c r="X3039" s="1" t="s">
        <v>35</v>
      </c>
      <c r="Y3039" s="1">
        <v>36980.0</v>
      </c>
      <c r="Z3039" s="1"/>
      <c r="AA3039" s="1">
        <v>36980.0</v>
      </c>
      <c r="AB3039" s="1"/>
      <c r="AC3039" s="1" t="s">
        <v>36</v>
      </c>
      <c r="AD3039" s="1" t="s">
        <v>10777</v>
      </c>
      <c r="AE3039" s="1" t="s">
        <v>32</v>
      </c>
      <c r="AF3039" s="1" t="s">
        <v>33</v>
      </c>
      <c r="AG3039" s="1" t="s">
        <v>41</v>
      </c>
    </row>
    <row r="3040" spans="1:33">
      <c r="A3040" t="s">
        <v>10778</v>
      </c>
      <c r="B3040" t="s">
        <v>2255</v>
      </c>
      <c r="C3040" t="s">
        <v>268</v>
      </c>
      <c r="E3040" t="s">
        <v>10324</v>
      </c>
      <c r="F3040" t="s">
        <v>10325</v>
      </c>
      <c r="G3040">
        <v>31.75</v>
      </c>
      <c r="H3040">
        <v>31.75</v>
      </c>
      <c r="I3040" t="s">
        <v>269</v>
      </c>
      <c r="J3040" t="s">
        <v>270</v>
      </c>
      <c r="K3040" t="s">
        <v>31</v>
      </c>
      <c r="L3040" t="s">
        <v>32</v>
      </c>
      <c r="M3040" t="s">
        <v>33</v>
      </c>
      <c r="P3040" s="1" t="s">
        <v>10779</v>
      </c>
      <c r="Q3040" s="1" t="s">
        <v>10324</v>
      </c>
      <c r="R3040" s="1" t="s">
        <v>10324</v>
      </c>
      <c r="S3040" s="1"/>
      <c r="T3040" s="1" t="s">
        <v>268</v>
      </c>
      <c r="U3040" s="1"/>
      <c r="V3040" s="1">
        <v>31.75</v>
      </c>
      <c r="W3040" s="1">
        <v>31.75</v>
      </c>
      <c r="X3040" s="1" t="s">
        <v>35</v>
      </c>
      <c r="Y3040" s="1">
        <v>31750.0</v>
      </c>
      <c r="Z3040" s="1"/>
      <c r="AA3040" s="1">
        <v>31750.0</v>
      </c>
      <c r="AB3040" s="1"/>
      <c r="AC3040" s="1" t="s">
        <v>36</v>
      </c>
      <c r="AD3040" s="1" t="s">
        <v>10780</v>
      </c>
      <c r="AE3040" s="1" t="s">
        <v>32</v>
      </c>
      <c r="AF3040" s="1" t="s">
        <v>33</v>
      </c>
      <c r="AG3040" s="1" t="s">
        <v>270</v>
      </c>
    </row>
    <row r="3041" spans="1:33">
      <c r="A3041" t="s">
        <v>10781</v>
      </c>
      <c r="B3041" t="s">
        <v>6529</v>
      </c>
      <c r="C3041" t="s">
        <v>68</v>
      </c>
      <c r="E3041" t="s">
        <v>10324</v>
      </c>
      <c r="F3041" t="s">
        <v>10325</v>
      </c>
      <c r="G3041">
        <v>11.716</v>
      </c>
      <c r="H3041">
        <v>11.716</v>
      </c>
      <c r="I3041" t="s">
        <v>59</v>
      </c>
      <c r="J3041" t="s">
        <v>60</v>
      </c>
      <c r="K3041" t="s">
        <v>31</v>
      </c>
      <c r="L3041" t="s">
        <v>32</v>
      </c>
      <c r="M3041" t="s">
        <v>33</v>
      </c>
      <c r="P3041" s="1" t="s">
        <v>10782</v>
      </c>
      <c r="Q3041" s="1" t="s">
        <v>10324</v>
      </c>
      <c r="R3041" s="1" t="s">
        <v>10324</v>
      </c>
      <c r="S3041" s="1"/>
      <c r="T3041" s="1" t="s">
        <v>68</v>
      </c>
      <c r="U3041" s="1"/>
      <c r="V3041" s="1">
        <v>11.716</v>
      </c>
      <c r="W3041" s="1">
        <v>11.716</v>
      </c>
      <c r="X3041" s="1" t="s">
        <v>35</v>
      </c>
      <c r="Y3041" s="1">
        <v>11716.0</v>
      </c>
      <c r="Z3041" s="1"/>
      <c r="AA3041" s="1">
        <v>11716.0</v>
      </c>
      <c r="AB3041" s="1"/>
      <c r="AC3041" s="1" t="s">
        <v>36</v>
      </c>
      <c r="AD3041" s="1" t="s">
        <v>10783</v>
      </c>
      <c r="AE3041" s="1" t="s">
        <v>32</v>
      </c>
      <c r="AF3041" s="1" t="s">
        <v>33</v>
      </c>
      <c r="AG3041" s="1" t="s">
        <v>60</v>
      </c>
    </row>
    <row r="3042" spans="1:33">
      <c r="A3042" t="s">
        <v>10784</v>
      </c>
      <c r="C3042" t="s">
        <v>558</v>
      </c>
      <c r="D3042" t="s">
        <v>154</v>
      </c>
      <c r="E3042" t="s">
        <v>10324</v>
      </c>
      <c r="F3042" t="s">
        <v>10325</v>
      </c>
      <c r="G3042">
        <v>29.25</v>
      </c>
      <c r="H3042">
        <v>29.25</v>
      </c>
      <c r="I3042" t="s">
        <v>269</v>
      </c>
      <c r="J3042" t="s">
        <v>270</v>
      </c>
      <c r="K3042" t="s">
        <v>31</v>
      </c>
      <c r="L3042" t="s">
        <v>32</v>
      </c>
      <c r="M3042" t="s">
        <v>33</v>
      </c>
      <c r="P3042" s="1" t="s">
        <v>10785</v>
      </c>
      <c r="Q3042" s="1" t="s">
        <v>10324</v>
      </c>
      <c r="R3042" s="1" t="s">
        <v>10324</v>
      </c>
      <c r="S3042" s="1"/>
      <c r="T3042" s="1" t="s">
        <v>560</v>
      </c>
      <c r="U3042" s="1" t="s">
        <v>561</v>
      </c>
      <c r="V3042" s="1">
        <v>29.25</v>
      </c>
      <c r="W3042" s="1">
        <v>29.25</v>
      </c>
      <c r="X3042" s="1" t="s">
        <v>35</v>
      </c>
      <c r="Y3042" s="1">
        <v>29250.0</v>
      </c>
      <c r="Z3042" s="1"/>
      <c r="AA3042" s="1">
        <v>29250.0</v>
      </c>
      <c r="AB3042" s="1"/>
      <c r="AC3042" s="1" t="s">
        <v>36</v>
      </c>
      <c r="AD3042" s="1" t="s">
        <v>10786</v>
      </c>
      <c r="AE3042" s="1" t="s">
        <v>32</v>
      </c>
      <c r="AF3042" s="1" t="s">
        <v>33</v>
      </c>
      <c r="AG3042" s="1" t="s">
        <v>270</v>
      </c>
    </row>
    <row r="3043" spans="1:33">
      <c r="A3043" t="s">
        <v>10787</v>
      </c>
      <c r="B3043" t="s">
        <v>863</v>
      </c>
      <c r="C3043" t="s">
        <v>268</v>
      </c>
      <c r="E3043" t="s">
        <v>10324</v>
      </c>
      <c r="F3043" t="s">
        <v>10325</v>
      </c>
      <c r="G3043">
        <v>332.15</v>
      </c>
      <c r="H3043">
        <v>332.15</v>
      </c>
      <c r="I3043" t="s">
        <v>269</v>
      </c>
      <c r="J3043" t="s">
        <v>270</v>
      </c>
      <c r="K3043" t="s">
        <v>31</v>
      </c>
      <c r="L3043" t="s">
        <v>32</v>
      </c>
      <c r="M3043" t="s">
        <v>33</v>
      </c>
      <c r="P3043" s="1" t="s">
        <v>10788</v>
      </c>
      <c r="Q3043" s="1" t="s">
        <v>10324</v>
      </c>
      <c r="R3043" s="1" t="s">
        <v>10324</v>
      </c>
      <c r="S3043" s="1"/>
      <c r="T3043" s="1" t="s">
        <v>268</v>
      </c>
      <c r="U3043" s="1"/>
      <c r="V3043" s="1">
        <v>332.15</v>
      </c>
      <c r="W3043" s="1">
        <v>332.15</v>
      </c>
      <c r="X3043" s="1" t="s">
        <v>35</v>
      </c>
      <c r="Y3043" s="1">
        <v>332150.0</v>
      </c>
      <c r="Z3043" s="1"/>
      <c r="AA3043" s="1">
        <v>332150.0</v>
      </c>
      <c r="AB3043" s="1"/>
      <c r="AC3043" s="1" t="s">
        <v>36</v>
      </c>
      <c r="AD3043" s="1" t="s">
        <v>10789</v>
      </c>
      <c r="AE3043" s="1" t="s">
        <v>32</v>
      </c>
      <c r="AF3043" s="1" t="s">
        <v>33</v>
      </c>
      <c r="AG3043" s="1" t="s">
        <v>270</v>
      </c>
    </row>
    <row r="3044" spans="1:33">
      <c r="A3044" t="s">
        <v>10790</v>
      </c>
      <c r="C3044" t="s">
        <v>2688</v>
      </c>
      <c r="E3044" t="s">
        <v>10324</v>
      </c>
      <c r="F3044" t="s">
        <v>10325</v>
      </c>
      <c r="G3044">
        <v>1.048</v>
      </c>
      <c r="H3044">
        <v>1.048</v>
      </c>
      <c r="I3044" t="s">
        <v>269</v>
      </c>
      <c r="J3044" t="s">
        <v>270</v>
      </c>
      <c r="K3044" t="s">
        <v>31</v>
      </c>
      <c r="L3044" t="s">
        <v>32</v>
      </c>
      <c r="M3044" t="s">
        <v>33</v>
      </c>
      <c r="P3044" s="1" t="s">
        <v>10791</v>
      </c>
      <c r="Q3044" s="1" t="s">
        <v>10324</v>
      </c>
      <c r="R3044" s="1" t="s">
        <v>10324</v>
      </c>
      <c r="S3044" s="1"/>
      <c r="T3044" s="1" t="s">
        <v>2688</v>
      </c>
      <c r="U3044" s="1"/>
      <c r="V3044" s="1">
        <v>1.048</v>
      </c>
      <c r="W3044" s="1">
        <v>1.048</v>
      </c>
      <c r="X3044" s="1" t="s">
        <v>35</v>
      </c>
      <c r="Y3044" s="1">
        <v>1048000.0</v>
      </c>
      <c r="Z3044" s="1"/>
      <c r="AA3044" s="1">
        <v>1048000.0</v>
      </c>
      <c r="AB3044" s="1"/>
      <c r="AC3044" s="1" t="s">
        <v>36</v>
      </c>
      <c r="AD3044" s="1" t="s">
        <v>10792</v>
      </c>
      <c r="AE3044" s="1" t="s">
        <v>32</v>
      </c>
      <c r="AF3044" s="1" t="s">
        <v>33</v>
      </c>
      <c r="AG3044" s="1" t="s">
        <v>270</v>
      </c>
    </row>
    <row r="3045" spans="1:33">
      <c r="A3045" t="s">
        <v>10793</v>
      </c>
      <c r="B3045" t="s">
        <v>10794</v>
      </c>
      <c r="C3045" t="s">
        <v>414</v>
      </c>
      <c r="E3045" t="s">
        <v>10324</v>
      </c>
      <c r="F3045" t="s">
        <v>10325</v>
      </c>
      <c r="G3045">
        <v>45.0</v>
      </c>
      <c r="H3045">
        <v>45.0</v>
      </c>
      <c r="I3045" t="s">
        <v>539</v>
      </c>
      <c r="J3045" t="s">
        <v>540</v>
      </c>
      <c r="K3045" t="s">
        <v>31</v>
      </c>
      <c r="L3045" t="s">
        <v>32</v>
      </c>
      <c r="M3045" t="s">
        <v>33</v>
      </c>
      <c r="P3045" s="1" t="s">
        <v>10795</v>
      </c>
      <c r="Q3045" s="1" t="s">
        <v>10324</v>
      </c>
      <c r="R3045" s="1" t="s">
        <v>9612</v>
      </c>
      <c r="S3045" s="1"/>
      <c r="T3045" s="1" t="s">
        <v>414</v>
      </c>
      <c r="U3045" s="1"/>
      <c r="V3045" s="1">
        <v>45.0</v>
      </c>
      <c r="W3045" s="1">
        <v>45.0</v>
      </c>
      <c r="X3045" s="1" t="s">
        <v>35</v>
      </c>
      <c r="Y3045" s="1">
        <v>45000.0</v>
      </c>
      <c r="Z3045" s="1"/>
      <c r="AA3045" s="1">
        <v>45000.0</v>
      </c>
      <c r="AB3045" s="1"/>
      <c r="AC3045" s="1" t="s">
        <v>36</v>
      </c>
      <c r="AD3045" s="1" t="s">
        <v>10796</v>
      </c>
      <c r="AE3045" s="1" t="s">
        <v>32</v>
      </c>
      <c r="AF3045" s="1" t="s">
        <v>33</v>
      </c>
      <c r="AG3045" s="1" t="s">
        <v>540</v>
      </c>
    </row>
    <row r="3046" spans="1:33">
      <c r="A3046" t="s">
        <v>10797</v>
      </c>
      <c r="C3046" t="s">
        <v>2887</v>
      </c>
      <c r="D3046" t="s">
        <v>154</v>
      </c>
      <c r="E3046" t="s">
        <v>10324</v>
      </c>
      <c r="F3046" t="s">
        <v>10325</v>
      </c>
      <c r="G3046">
        <v>407.5</v>
      </c>
      <c r="H3046">
        <v>407.5</v>
      </c>
      <c r="I3046" t="s">
        <v>570</v>
      </c>
      <c r="J3046" t="s">
        <v>571</v>
      </c>
      <c r="K3046" t="s">
        <v>31</v>
      </c>
      <c r="L3046" t="s">
        <v>32</v>
      </c>
      <c r="M3046" t="s">
        <v>33</v>
      </c>
      <c r="P3046" s="1" t="s">
        <v>10798</v>
      </c>
      <c r="Q3046" s="1" t="s">
        <v>10324</v>
      </c>
      <c r="R3046" s="1" t="s">
        <v>10324</v>
      </c>
      <c r="S3046" s="1"/>
      <c r="T3046" s="1" t="s">
        <v>2889</v>
      </c>
      <c r="U3046" s="1" t="s">
        <v>2890</v>
      </c>
      <c r="V3046" s="1">
        <v>407.5</v>
      </c>
      <c r="W3046" s="1">
        <v>407.5</v>
      </c>
      <c r="X3046" s="1" t="s">
        <v>35</v>
      </c>
      <c r="Y3046" s="1">
        <v>407500.0</v>
      </c>
      <c r="Z3046" s="1"/>
      <c r="AA3046" s="1">
        <v>407500.0</v>
      </c>
      <c r="AB3046" s="1"/>
      <c r="AC3046" s="1" t="s">
        <v>36</v>
      </c>
      <c r="AD3046" s="1" t="s">
        <v>10789</v>
      </c>
      <c r="AE3046" s="1" t="s">
        <v>32</v>
      </c>
      <c r="AF3046" s="1" t="s">
        <v>33</v>
      </c>
      <c r="AG3046" s="1" t="s">
        <v>571</v>
      </c>
    </row>
    <row r="3047" spans="1:33">
      <c r="A3047" t="s">
        <v>10799</v>
      </c>
      <c r="B3047" t="s">
        <v>10800</v>
      </c>
      <c r="C3047" t="s">
        <v>73</v>
      </c>
      <c r="E3047" t="s">
        <v>10324</v>
      </c>
      <c r="F3047" t="s">
        <v>10325</v>
      </c>
      <c r="G3047">
        <v>90.0</v>
      </c>
      <c r="H3047">
        <v>90.0</v>
      </c>
      <c r="I3047" t="s">
        <v>40</v>
      </c>
      <c r="J3047" t="s">
        <v>41</v>
      </c>
      <c r="K3047" t="s">
        <v>31</v>
      </c>
      <c r="L3047" t="s">
        <v>32</v>
      </c>
      <c r="M3047" t="s">
        <v>33</v>
      </c>
      <c r="P3047" s="1" t="s">
        <v>10801</v>
      </c>
      <c r="Q3047" s="1" t="s">
        <v>10324</v>
      </c>
      <c r="R3047" s="1" t="s">
        <v>9612</v>
      </c>
      <c r="S3047" s="1"/>
      <c r="T3047" s="1" t="s">
        <v>75</v>
      </c>
      <c r="U3047" s="1" t="s">
        <v>76</v>
      </c>
      <c r="V3047" s="1">
        <v>90.0</v>
      </c>
      <c r="W3047" s="1">
        <v>90.0</v>
      </c>
      <c r="X3047" s="1" t="s">
        <v>35</v>
      </c>
      <c r="Y3047" s="1">
        <v>90000.0</v>
      </c>
      <c r="Z3047" s="1"/>
      <c r="AA3047" s="1">
        <v>90000.0</v>
      </c>
      <c r="AB3047" s="1"/>
      <c r="AC3047" s="1" t="s">
        <v>36</v>
      </c>
      <c r="AD3047" s="1" t="s">
        <v>10802</v>
      </c>
      <c r="AE3047" s="1" t="s">
        <v>32</v>
      </c>
      <c r="AF3047" s="1" t="s">
        <v>33</v>
      </c>
      <c r="AG3047" s="1" t="s">
        <v>41</v>
      </c>
    </row>
    <row r="3048" spans="1:33">
      <c r="A3048" t="s">
        <v>10803</v>
      </c>
      <c r="B3048" t="s">
        <v>10582</v>
      </c>
      <c r="C3048" t="s">
        <v>569</v>
      </c>
      <c r="E3048" t="s">
        <v>10324</v>
      </c>
      <c r="F3048" t="s">
        <v>10325</v>
      </c>
      <c r="G3048">
        <v>17.79</v>
      </c>
      <c r="H3048">
        <v>17.79</v>
      </c>
      <c r="I3048" t="s">
        <v>570</v>
      </c>
      <c r="J3048" t="s">
        <v>571</v>
      </c>
      <c r="K3048" t="s">
        <v>31</v>
      </c>
      <c r="L3048" t="s">
        <v>32</v>
      </c>
      <c r="M3048" t="s">
        <v>33</v>
      </c>
      <c r="P3048" s="1" t="s">
        <v>10804</v>
      </c>
      <c r="Q3048" s="1" t="s">
        <v>10324</v>
      </c>
      <c r="R3048" s="1" t="s">
        <v>10324</v>
      </c>
      <c r="S3048" s="1"/>
      <c r="T3048" s="1" t="s">
        <v>569</v>
      </c>
      <c r="U3048" s="1"/>
      <c r="V3048" s="1">
        <v>17.79</v>
      </c>
      <c r="W3048" s="1">
        <v>17.79</v>
      </c>
      <c r="X3048" s="1" t="s">
        <v>35</v>
      </c>
      <c r="Y3048" s="1">
        <v>17790.0</v>
      </c>
      <c r="Z3048" s="1"/>
      <c r="AA3048" s="1">
        <v>17790.0</v>
      </c>
      <c r="AB3048" s="1"/>
      <c r="AC3048" s="1" t="s">
        <v>36</v>
      </c>
      <c r="AD3048" s="1" t="s">
        <v>10805</v>
      </c>
      <c r="AE3048" s="1" t="s">
        <v>32</v>
      </c>
      <c r="AF3048" s="1" t="s">
        <v>33</v>
      </c>
      <c r="AG3048" s="1" t="s">
        <v>571</v>
      </c>
    </row>
    <row r="3049" spans="1:33">
      <c r="A3049" t="s">
        <v>10806</v>
      </c>
      <c r="B3049" t="s">
        <v>3758</v>
      </c>
      <c r="C3049" t="s">
        <v>172</v>
      </c>
      <c r="E3049" t="s">
        <v>10324</v>
      </c>
      <c r="F3049" t="s">
        <v>10325</v>
      </c>
      <c r="G3049">
        <v>23.488</v>
      </c>
      <c r="H3049">
        <v>23.488</v>
      </c>
      <c r="I3049" t="s">
        <v>173</v>
      </c>
      <c r="J3049" t="s">
        <v>174</v>
      </c>
      <c r="K3049" t="s">
        <v>31</v>
      </c>
      <c r="L3049" t="s">
        <v>32</v>
      </c>
      <c r="M3049" t="s">
        <v>33</v>
      </c>
      <c r="P3049" s="1" t="s">
        <v>10807</v>
      </c>
      <c r="Q3049" s="1" t="s">
        <v>10324</v>
      </c>
      <c r="R3049" s="1" t="s">
        <v>10324</v>
      </c>
      <c r="S3049" s="1"/>
      <c r="T3049" s="1" t="s">
        <v>172</v>
      </c>
      <c r="U3049" s="1"/>
      <c r="V3049" s="1">
        <v>23.488</v>
      </c>
      <c r="W3049" s="1">
        <v>23.488</v>
      </c>
      <c r="X3049" s="1" t="s">
        <v>35</v>
      </c>
      <c r="Y3049" s="1">
        <v>23488.0</v>
      </c>
      <c r="Z3049" s="1"/>
      <c r="AA3049" s="1">
        <v>23488.0</v>
      </c>
      <c r="AB3049" s="1"/>
      <c r="AC3049" s="1" t="s">
        <v>36</v>
      </c>
      <c r="AD3049" s="1" t="s">
        <v>10808</v>
      </c>
      <c r="AE3049" s="1" t="s">
        <v>32</v>
      </c>
      <c r="AF3049" s="1" t="s">
        <v>33</v>
      </c>
      <c r="AG3049" s="1" t="s">
        <v>174</v>
      </c>
    </row>
    <row r="3050" spans="1:33">
      <c r="A3050" t="s">
        <v>10809</v>
      </c>
      <c r="C3050" t="s">
        <v>3278</v>
      </c>
      <c r="D3050" t="s">
        <v>154</v>
      </c>
      <c r="E3050" t="s">
        <v>10324</v>
      </c>
      <c r="F3050" t="s">
        <v>10325</v>
      </c>
      <c r="G3050">
        <v>292.5</v>
      </c>
      <c r="H3050">
        <v>292.5</v>
      </c>
      <c r="I3050" t="s">
        <v>227</v>
      </c>
      <c r="J3050" t="s">
        <v>228</v>
      </c>
      <c r="K3050" t="s">
        <v>31</v>
      </c>
      <c r="L3050" t="s">
        <v>32</v>
      </c>
      <c r="M3050" t="s">
        <v>33</v>
      </c>
      <c r="P3050" s="1" t="s">
        <v>10810</v>
      </c>
      <c r="Q3050" s="1" t="s">
        <v>10324</v>
      </c>
      <c r="R3050" s="1" t="s">
        <v>10324</v>
      </c>
      <c r="S3050" s="1"/>
      <c r="T3050" s="1" t="s">
        <v>3280</v>
      </c>
      <c r="U3050" s="1" t="s">
        <v>3281</v>
      </c>
      <c r="V3050" s="1">
        <v>292.5</v>
      </c>
      <c r="W3050" s="1">
        <v>292.5</v>
      </c>
      <c r="X3050" s="1" t="s">
        <v>35</v>
      </c>
      <c r="Y3050" s="1">
        <v>292500.0</v>
      </c>
      <c r="Z3050" s="1"/>
      <c r="AA3050" s="1">
        <v>292500.0</v>
      </c>
      <c r="AB3050" s="1"/>
      <c r="AC3050" s="1" t="s">
        <v>36</v>
      </c>
      <c r="AD3050" s="1" t="s">
        <v>10811</v>
      </c>
      <c r="AE3050" s="1" t="s">
        <v>32</v>
      </c>
      <c r="AF3050" s="1" t="s">
        <v>33</v>
      </c>
      <c r="AG3050" s="1" t="s">
        <v>228</v>
      </c>
    </row>
    <row r="3051" spans="1:33">
      <c r="A3051" t="s">
        <v>10812</v>
      </c>
      <c r="C3051" t="s">
        <v>4850</v>
      </c>
      <c r="E3051" t="s">
        <v>10324</v>
      </c>
      <c r="F3051" t="s">
        <v>10325</v>
      </c>
      <c r="G3051">
        <v>320.0</v>
      </c>
      <c r="H3051">
        <v>320.0</v>
      </c>
      <c r="I3051" t="s">
        <v>126</v>
      </c>
      <c r="J3051" t="s">
        <v>127</v>
      </c>
      <c r="K3051" t="s">
        <v>31</v>
      </c>
      <c r="L3051" t="s">
        <v>32</v>
      </c>
      <c r="M3051" t="s">
        <v>33</v>
      </c>
      <c r="P3051" s="1" t="s">
        <v>10813</v>
      </c>
      <c r="Q3051" s="1" t="s">
        <v>10324</v>
      </c>
      <c r="R3051" s="1" t="s">
        <v>10324</v>
      </c>
      <c r="S3051" s="1"/>
      <c r="T3051" s="1" t="s">
        <v>4850</v>
      </c>
      <c r="U3051" s="1"/>
      <c r="V3051" s="1">
        <v>320.0</v>
      </c>
      <c r="W3051" s="1">
        <v>320.0</v>
      </c>
      <c r="X3051" s="1" t="s">
        <v>35</v>
      </c>
      <c r="Y3051" s="1">
        <v>320000.0</v>
      </c>
      <c r="Z3051" s="1"/>
      <c r="AA3051" s="1">
        <v>320000.0</v>
      </c>
      <c r="AB3051" s="1"/>
      <c r="AC3051" s="1" t="s">
        <v>36</v>
      </c>
      <c r="AD3051" s="1" t="s">
        <v>10732</v>
      </c>
      <c r="AE3051" s="1" t="s">
        <v>32</v>
      </c>
      <c r="AF3051" s="1" t="s">
        <v>33</v>
      </c>
      <c r="AG3051" s="1" t="s">
        <v>127</v>
      </c>
    </row>
    <row r="3052" spans="1:33">
      <c r="A3052" t="s">
        <v>10814</v>
      </c>
      <c r="B3052" t="s">
        <v>10145</v>
      </c>
      <c r="C3052" t="s">
        <v>268</v>
      </c>
      <c r="E3052" t="s">
        <v>10324</v>
      </c>
      <c r="F3052" t="s">
        <v>10325</v>
      </c>
      <c r="G3052">
        <v>33.75</v>
      </c>
      <c r="H3052">
        <v>33.75</v>
      </c>
      <c r="I3052" t="s">
        <v>269</v>
      </c>
      <c r="J3052" t="s">
        <v>270</v>
      </c>
      <c r="K3052" t="s">
        <v>31</v>
      </c>
      <c r="L3052" t="s">
        <v>32</v>
      </c>
      <c r="M3052" t="s">
        <v>33</v>
      </c>
      <c r="P3052" s="1" t="s">
        <v>10815</v>
      </c>
      <c r="Q3052" s="1" t="s">
        <v>10324</v>
      </c>
      <c r="R3052" s="1" t="s">
        <v>10324</v>
      </c>
      <c r="S3052" s="1"/>
      <c r="T3052" s="1" t="s">
        <v>268</v>
      </c>
      <c r="U3052" s="1"/>
      <c r="V3052" s="1">
        <v>33.75</v>
      </c>
      <c r="W3052" s="1">
        <v>33.75</v>
      </c>
      <c r="X3052" s="1" t="s">
        <v>35</v>
      </c>
      <c r="Y3052" s="1">
        <v>33750.0</v>
      </c>
      <c r="Z3052" s="1"/>
      <c r="AA3052" s="1">
        <v>33750.0</v>
      </c>
      <c r="AB3052" s="1"/>
      <c r="AC3052" s="1" t="s">
        <v>36</v>
      </c>
      <c r="AD3052" s="1" t="s">
        <v>10816</v>
      </c>
      <c r="AE3052" s="1" t="s">
        <v>32</v>
      </c>
      <c r="AF3052" s="1" t="s">
        <v>33</v>
      </c>
      <c r="AG3052" s="1" t="s">
        <v>270</v>
      </c>
    </row>
    <row r="3053" spans="1:33">
      <c r="A3053" t="s">
        <v>10817</v>
      </c>
      <c r="C3053" t="s">
        <v>4610</v>
      </c>
      <c r="E3053" t="s">
        <v>10324</v>
      </c>
      <c r="F3053" t="s">
        <v>10325</v>
      </c>
      <c r="G3053">
        <v>630.0</v>
      </c>
      <c r="H3053">
        <v>630.0</v>
      </c>
      <c r="I3053" t="s">
        <v>126</v>
      </c>
      <c r="J3053" t="s">
        <v>127</v>
      </c>
      <c r="K3053" t="s">
        <v>31</v>
      </c>
      <c r="L3053" t="s">
        <v>32</v>
      </c>
      <c r="M3053" t="s">
        <v>33</v>
      </c>
      <c r="P3053" s="1" t="s">
        <v>10818</v>
      </c>
      <c r="Q3053" s="1" t="s">
        <v>10324</v>
      </c>
      <c r="R3053" s="1" t="s">
        <v>10324</v>
      </c>
      <c r="S3053" s="1"/>
      <c r="T3053" s="1" t="s">
        <v>4612</v>
      </c>
      <c r="U3053" s="1" t="s">
        <v>4613</v>
      </c>
      <c r="V3053" s="1">
        <v>630.0</v>
      </c>
      <c r="W3053" s="1">
        <v>630.0</v>
      </c>
      <c r="X3053" s="1" t="s">
        <v>35</v>
      </c>
      <c r="Y3053" s="1">
        <v>630000.0</v>
      </c>
      <c r="Z3053" s="1"/>
      <c r="AA3053" s="1">
        <v>630000.0</v>
      </c>
      <c r="AB3053" s="1"/>
      <c r="AC3053" s="1" t="s">
        <v>36</v>
      </c>
      <c r="AD3053" s="1" t="s">
        <v>10819</v>
      </c>
      <c r="AE3053" s="1" t="s">
        <v>32</v>
      </c>
      <c r="AF3053" s="1" t="s">
        <v>33</v>
      </c>
      <c r="AG3053" s="1" t="s">
        <v>127</v>
      </c>
    </row>
    <row r="3054" spans="1:33">
      <c r="A3054" t="s">
        <v>10820</v>
      </c>
      <c r="C3054" t="s">
        <v>827</v>
      </c>
      <c r="D3054" t="s">
        <v>154</v>
      </c>
      <c r="E3054" t="s">
        <v>10324</v>
      </c>
      <c r="F3054" t="s">
        <v>10325</v>
      </c>
      <c r="G3054">
        <v>21.0</v>
      </c>
      <c r="H3054">
        <v>21.0</v>
      </c>
      <c r="I3054" t="s">
        <v>269</v>
      </c>
      <c r="J3054" t="s">
        <v>270</v>
      </c>
      <c r="K3054" t="s">
        <v>31</v>
      </c>
      <c r="L3054" t="s">
        <v>32</v>
      </c>
      <c r="M3054" t="s">
        <v>33</v>
      </c>
      <c r="P3054" s="1" t="s">
        <v>10821</v>
      </c>
      <c r="Q3054" s="1" t="s">
        <v>10324</v>
      </c>
      <c r="R3054" s="1" t="s">
        <v>10324</v>
      </c>
      <c r="S3054" s="1"/>
      <c r="T3054" s="1" t="s">
        <v>827</v>
      </c>
      <c r="U3054" s="1"/>
      <c r="V3054" s="1">
        <v>21.0</v>
      </c>
      <c r="W3054" s="1">
        <v>21.0</v>
      </c>
      <c r="X3054" s="1" t="s">
        <v>35</v>
      </c>
      <c r="Y3054" s="1">
        <v>21000.0</v>
      </c>
      <c r="Z3054" s="1"/>
      <c r="AA3054" s="1">
        <v>21000.0</v>
      </c>
      <c r="AB3054" s="1"/>
      <c r="AC3054" s="1" t="s">
        <v>36</v>
      </c>
      <c r="AD3054" s="1" t="s">
        <v>10822</v>
      </c>
      <c r="AE3054" s="1" t="s">
        <v>32</v>
      </c>
      <c r="AF3054" s="1" t="s">
        <v>33</v>
      </c>
      <c r="AG3054" s="1" t="s">
        <v>270</v>
      </c>
    </row>
    <row r="3055" spans="1:33">
      <c r="A3055" t="s">
        <v>10823</v>
      </c>
      <c r="B3055" t="s">
        <v>2255</v>
      </c>
      <c r="C3055" t="s">
        <v>268</v>
      </c>
      <c r="E3055" t="s">
        <v>10324</v>
      </c>
      <c r="F3055" t="s">
        <v>10325</v>
      </c>
      <c r="G3055">
        <v>33.8</v>
      </c>
      <c r="H3055">
        <v>33.8</v>
      </c>
      <c r="I3055" t="s">
        <v>269</v>
      </c>
      <c r="J3055" t="s">
        <v>270</v>
      </c>
      <c r="K3055" t="s">
        <v>31</v>
      </c>
      <c r="L3055" t="s">
        <v>32</v>
      </c>
      <c r="M3055" t="s">
        <v>33</v>
      </c>
      <c r="P3055" s="1" t="s">
        <v>10824</v>
      </c>
      <c r="Q3055" s="1" t="s">
        <v>10324</v>
      </c>
      <c r="R3055" s="1" t="s">
        <v>10324</v>
      </c>
      <c r="S3055" s="1"/>
      <c r="T3055" s="1" t="s">
        <v>268</v>
      </c>
      <c r="U3055" s="1"/>
      <c r="V3055" s="1">
        <v>33.8</v>
      </c>
      <c r="W3055" s="1">
        <v>33.8</v>
      </c>
      <c r="X3055" s="1" t="s">
        <v>35</v>
      </c>
      <c r="Y3055" s="1">
        <v>33800.0</v>
      </c>
      <c r="Z3055" s="1"/>
      <c r="AA3055" s="1">
        <v>33800.0</v>
      </c>
      <c r="AB3055" s="1"/>
      <c r="AC3055" s="1" t="s">
        <v>36</v>
      </c>
      <c r="AD3055" s="1" t="s">
        <v>10825</v>
      </c>
      <c r="AE3055" s="1" t="s">
        <v>32</v>
      </c>
      <c r="AF3055" s="1" t="s">
        <v>33</v>
      </c>
      <c r="AG3055" s="1" t="s">
        <v>270</v>
      </c>
    </row>
    <row r="3056" spans="1:33">
      <c r="A3056" t="s">
        <v>10826</v>
      </c>
      <c r="C3056" t="s">
        <v>1807</v>
      </c>
      <c r="E3056" t="s">
        <v>10324</v>
      </c>
      <c r="F3056" t="s">
        <v>10325</v>
      </c>
      <c r="G3056">
        <v>328.0</v>
      </c>
      <c r="H3056">
        <v>328.0</v>
      </c>
      <c r="I3056" t="s">
        <v>269</v>
      </c>
      <c r="J3056" t="s">
        <v>270</v>
      </c>
      <c r="K3056" t="s">
        <v>31</v>
      </c>
      <c r="L3056" t="s">
        <v>32</v>
      </c>
      <c r="M3056" t="s">
        <v>33</v>
      </c>
      <c r="P3056" s="1" t="s">
        <v>10827</v>
      </c>
      <c r="Q3056" s="1" t="s">
        <v>10324</v>
      </c>
      <c r="R3056" s="1" t="s">
        <v>10324</v>
      </c>
      <c r="S3056" s="1"/>
      <c r="T3056" s="1" t="s">
        <v>1807</v>
      </c>
      <c r="U3056" s="1"/>
      <c r="V3056" s="1">
        <v>328.0</v>
      </c>
      <c r="W3056" s="1">
        <v>328.0</v>
      </c>
      <c r="X3056" s="1" t="s">
        <v>35</v>
      </c>
      <c r="Y3056" s="1">
        <v>328000.0</v>
      </c>
      <c r="Z3056" s="1"/>
      <c r="AA3056" s="1">
        <v>328000.0</v>
      </c>
      <c r="AB3056" s="1"/>
      <c r="AC3056" s="1" t="s">
        <v>36</v>
      </c>
      <c r="AD3056" s="1" t="s">
        <v>10828</v>
      </c>
      <c r="AE3056" s="1" t="s">
        <v>32</v>
      </c>
      <c r="AF3056" s="1" t="s">
        <v>33</v>
      </c>
      <c r="AG3056" s="1" t="s">
        <v>270</v>
      </c>
    </row>
    <row r="3057" spans="1:33">
      <c r="A3057" t="s">
        <v>10829</v>
      </c>
      <c r="B3057" t="s">
        <v>10830</v>
      </c>
      <c r="C3057" t="s">
        <v>47</v>
      </c>
      <c r="E3057" t="s">
        <v>10324</v>
      </c>
      <c r="F3057" t="s">
        <v>10325</v>
      </c>
      <c r="G3057">
        <v>152.34</v>
      </c>
      <c r="H3057">
        <v>152.34</v>
      </c>
      <c r="I3057" t="s">
        <v>2206</v>
      </c>
      <c r="J3057" t="s">
        <v>49</v>
      </c>
      <c r="K3057" t="s">
        <v>31</v>
      </c>
      <c r="L3057" t="s">
        <v>32</v>
      </c>
      <c r="M3057" t="s">
        <v>33</v>
      </c>
      <c r="P3057" s="1" t="s">
        <v>10831</v>
      </c>
      <c r="Q3057" s="1" t="s">
        <v>10324</v>
      </c>
      <c r="R3057" s="1" t="s">
        <v>10324</v>
      </c>
      <c r="S3057" s="1"/>
      <c r="T3057" s="1" t="s">
        <v>47</v>
      </c>
      <c r="U3057" s="1"/>
      <c r="V3057" s="1">
        <v>152.34</v>
      </c>
      <c r="W3057" s="1">
        <v>152.34</v>
      </c>
      <c r="X3057" s="1" t="s">
        <v>35</v>
      </c>
      <c r="Y3057" s="1">
        <v>152340.0</v>
      </c>
      <c r="Z3057" s="1"/>
      <c r="AA3057" s="1">
        <v>152340.0</v>
      </c>
      <c r="AB3057" s="1"/>
      <c r="AC3057" s="1" t="s">
        <v>36</v>
      </c>
      <c r="AD3057" s="1" t="s">
        <v>10832</v>
      </c>
      <c r="AE3057" s="1" t="s">
        <v>32</v>
      </c>
      <c r="AF3057" s="1" t="s">
        <v>33</v>
      </c>
      <c r="AG3057" s="1" t="s">
        <v>49</v>
      </c>
    </row>
    <row r="3058" spans="1:33">
      <c r="A3058" t="s">
        <v>10833</v>
      </c>
      <c r="B3058" t="s">
        <v>4547</v>
      </c>
      <c r="C3058" t="s">
        <v>4548</v>
      </c>
      <c r="E3058" t="s">
        <v>10324</v>
      </c>
      <c r="F3058" t="s">
        <v>10325</v>
      </c>
      <c r="G3058">
        <v>5.858</v>
      </c>
      <c r="H3058">
        <v>5.858</v>
      </c>
      <c r="I3058" t="s">
        <v>59</v>
      </c>
      <c r="J3058" t="s">
        <v>60</v>
      </c>
      <c r="K3058" t="s">
        <v>31</v>
      </c>
      <c r="L3058" t="s">
        <v>32</v>
      </c>
      <c r="M3058" t="s">
        <v>33</v>
      </c>
      <c r="P3058" s="1" t="s">
        <v>10834</v>
      </c>
      <c r="Q3058" s="1" t="s">
        <v>10324</v>
      </c>
      <c r="R3058" s="1" t="s">
        <v>10324</v>
      </c>
      <c r="S3058" s="1"/>
      <c r="T3058" s="1" t="s">
        <v>4548</v>
      </c>
      <c r="U3058" s="1"/>
      <c r="V3058" s="1">
        <v>5.858</v>
      </c>
      <c r="W3058" s="1">
        <v>5.858</v>
      </c>
      <c r="X3058" s="1" t="s">
        <v>35</v>
      </c>
      <c r="Y3058" s="1">
        <v>5858.0</v>
      </c>
      <c r="Z3058" s="1"/>
      <c r="AA3058" s="1">
        <v>5858.0</v>
      </c>
      <c r="AB3058" s="1"/>
      <c r="AC3058" s="1" t="s">
        <v>36</v>
      </c>
      <c r="AD3058" s="1" t="s">
        <v>10835</v>
      </c>
      <c r="AE3058" s="1" t="s">
        <v>32</v>
      </c>
      <c r="AF3058" s="1" t="s">
        <v>33</v>
      </c>
      <c r="AG3058" s="1" t="s">
        <v>60</v>
      </c>
    </row>
    <row r="3059" spans="1:33">
      <c r="A3059" t="s">
        <v>10836</v>
      </c>
      <c r="C3059" t="s">
        <v>638</v>
      </c>
      <c r="D3059" t="s">
        <v>154</v>
      </c>
      <c r="E3059" t="s">
        <v>10324</v>
      </c>
      <c r="F3059" t="s">
        <v>10325</v>
      </c>
      <c r="G3059">
        <v>1.168</v>
      </c>
      <c r="H3059">
        <v>1.168</v>
      </c>
      <c r="I3059" t="s">
        <v>227</v>
      </c>
      <c r="J3059" t="s">
        <v>228</v>
      </c>
      <c r="K3059" t="s">
        <v>31</v>
      </c>
      <c r="L3059" t="s">
        <v>32</v>
      </c>
      <c r="M3059" t="s">
        <v>33</v>
      </c>
      <c r="P3059" s="1" t="s">
        <v>10837</v>
      </c>
      <c r="Q3059" s="1" t="s">
        <v>10324</v>
      </c>
      <c r="R3059" s="1" t="s">
        <v>10324</v>
      </c>
      <c r="S3059" s="1"/>
      <c r="T3059" s="1" t="s">
        <v>640</v>
      </c>
      <c r="U3059" s="1" t="s">
        <v>641</v>
      </c>
      <c r="V3059" s="1">
        <v>1.168</v>
      </c>
      <c r="W3059" s="1">
        <v>1.168</v>
      </c>
      <c r="X3059" s="1" t="s">
        <v>35</v>
      </c>
      <c r="Y3059" s="1">
        <v>1168000.0</v>
      </c>
      <c r="Z3059" s="1"/>
      <c r="AA3059" s="1">
        <v>1168000.0</v>
      </c>
      <c r="AB3059" s="1"/>
      <c r="AC3059" s="1" t="s">
        <v>36</v>
      </c>
      <c r="AD3059" s="1" t="s">
        <v>10593</v>
      </c>
      <c r="AE3059" s="1" t="s">
        <v>32</v>
      </c>
      <c r="AF3059" s="1" t="s">
        <v>33</v>
      </c>
      <c r="AG3059" s="1" t="s">
        <v>228</v>
      </c>
    </row>
    <row r="3060" spans="1:33">
      <c r="A3060" t="s">
        <v>10838</v>
      </c>
      <c r="C3060" t="s">
        <v>1947</v>
      </c>
      <c r="D3060" t="s">
        <v>154</v>
      </c>
      <c r="E3060" t="s">
        <v>10324</v>
      </c>
      <c r="F3060" t="s">
        <v>10325</v>
      </c>
      <c r="G3060">
        <v>611.2</v>
      </c>
      <c r="H3060">
        <v>611.2</v>
      </c>
      <c r="I3060" t="s">
        <v>227</v>
      </c>
      <c r="J3060" t="s">
        <v>228</v>
      </c>
      <c r="K3060" t="s">
        <v>31</v>
      </c>
      <c r="L3060" t="s">
        <v>32</v>
      </c>
      <c r="M3060" t="s">
        <v>33</v>
      </c>
      <c r="P3060" s="1" t="s">
        <v>10839</v>
      </c>
      <c r="Q3060" s="1" t="s">
        <v>10324</v>
      </c>
      <c r="R3060" s="1" t="s">
        <v>10324</v>
      </c>
      <c r="S3060" s="1"/>
      <c r="T3060" s="1" t="s">
        <v>1947</v>
      </c>
      <c r="U3060" s="1"/>
      <c r="V3060" s="1">
        <v>611.2</v>
      </c>
      <c r="W3060" s="1">
        <v>611.2</v>
      </c>
      <c r="X3060" s="1" t="s">
        <v>35</v>
      </c>
      <c r="Y3060" s="1">
        <v>611200.0</v>
      </c>
      <c r="Z3060" s="1"/>
      <c r="AA3060" s="1">
        <v>611200.0</v>
      </c>
      <c r="AB3060" s="1"/>
      <c r="AC3060" s="1" t="s">
        <v>36</v>
      </c>
      <c r="AD3060" s="1" t="s">
        <v>10840</v>
      </c>
      <c r="AE3060" s="1" t="s">
        <v>32</v>
      </c>
      <c r="AF3060" s="1" t="s">
        <v>33</v>
      </c>
      <c r="AG3060" s="1" t="s">
        <v>228</v>
      </c>
    </row>
    <row r="3061" spans="1:33">
      <c r="A3061" t="s">
        <v>10841</v>
      </c>
      <c r="B3061" t="s">
        <v>10842</v>
      </c>
      <c r="C3061" t="s">
        <v>314</v>
      </c>
      <c r="E3061" t="s">
        <v>10324</v>
      </c>
      <c r="F3061" t="s">
        <v>10325</v>
      </c>
      <c r="G3061">
        <v>22.24</v>
      </c>
      <c r="H3061">
        <v>22.24</v>
      </c>
      <c r="I3061" t="s">
        <v>179</v>
      </c>
      <c r="J3061" t="s">
        <v>180</v>
      </c>
      <c r="K3061" t="s">
        <v>31</v>
      </c>
      <c r="L3061" t="s">
        <v>32</v>
      </c>
      <c r="M3061" t="s">
        <v>33</v>
      </c>
      <c r="P3061" s="1" t="s">
        <v>10843</v>
      </c>
      <c r="Q3061" s="1" t="s">
        <v>10324</v>
      </c>
      <c r="R3061" s="1" t="s">
        <v>10324</v>
      </c>
      <c r="S3061" s="1"/>
      <c r="T3061" s="1" t="s">
        <v>314</v>
      </c>
      <c r="U3061" s="1"/>
      <c r="V3061" s="1">
        <v>22.24</v>
      </c>
      <c r="W3061" s="1">
        <v>22.24</v>
      </c>
      <c r="X3061" s="1" t="s">
        <v>35</v>
      </c>
      <c r="Y3061" s="1">
        <v>22240.0</v>
      </c>
      <c r="Z3061" s="1"/>
      <c r="AA3061" s="1">
        <v>22240.0</v>
      </c>
      <c r="AB3061" s="1"/>
      <c r="AC3061" s="1" t="s">
        <v>36</v>
      </c>
      <c r="AD3061" s="1" t="s">
        <v>10844</v>
      </c>
      <c r="AE3061" s="1" t="s">
        <v>32</v>
      </c>
      <c r="AF3061" s="1" t="s">
        <v>33</v>
      </c>
      <c r="AG3061" s="1" t="s">
        <v>180</v>
      </c>
    </row>
    <row r="3062" spans="1:33">
      <c r="A3062" t="s">
        <v>10845</v>
      </c>
      <c r="C3062" t="s">
        <v>8119</v>
      </c>
      <c r="E3062" t="s">
        <v>10324</v>
      </c>
      <c r="F3062" t="s">
        <v>10325</v>
      </c>
      <c r="G3062">
        <v>1.64</v>
      </c>
      <c r="H3062">
        <v>1.64</v>
      </c>
      <c r="I3062" t="s">
        <v>269</v>
      </c>
      <c r="J3062" t="s">
        <v>270</v>
      </c>
      <c r="K3062" t="s">
        <v>31</v>
      </c>
      <c r="L3062" t="s">
        <v>32</v>
      </c>
      <c r="M3062" t="s">
        <v>33</v>
      </c>
      <c r="P3062" s="1" t="s">
        <v>10846</v>
      </c>
      <c r="Q3062" s="1" t="s">
        <v>10324</v>
      </c>
      <c r="R3062" s="1" t="s">
        <v>10324</v>
      </c>
      <c r="S3062" s="1"/>
      <c r="T3062" s="1" t="s">
        <v>8119</v>
      </c>
      <c r="U3062" s="1"/>
      <c r="V3062" s="1">
        <v>1.64</v>
      </c>
      <c r="W3062" s="1">
        <v>1.64</v>
      </c>
      <c r="X3062" s="1" t="s">
        <v>35</v>
      </c>
      <c r="Y3062" s="1">
        <v>1640000.0</v>
      </c>
      <c r="Z3062" s="1"/>
      <c r="AA3062" s="1">
        <v>1640000.0</v>
      </c>
      <c r="AB3062" s="1"/>
      <c r="AC3062" s="1" t="s">
        <v>36</v>
      </c>
      <c r="AD3062" s="1" t="s">
        <v>10847</v>
      </c>
      <c r="AE3062" s="1" t="s">
        <v>32</v>
      </c>
      <c r="AF3062" s="1" t="s">
        <v>33</v>
      </c>
      <c r="AG3062" s="1" t="s">
        <v>270</v>
      </c>
    </row>
    <row r="3063" spans="1:33">
      <c r="A3063" t="s">
        <v>10848</v>
      </c>
      <c r="C3063" t="s">
        <v>4596</v>
      </c>
      <c r="D3063" t="s">
        <v>154</v>
      </c>
      <c r="E3063" t="s">
        <v>10324</v>
      </c>
      <c r="F3063" t="s">
        <v>10325</v>
      </c>
      <c r="G3063">
        <v>642.0</v>
      </c>
      <c r="H3063">
        <v>642.0</v>
      </c>
      <c r="I3063" t="s">
        <v>269</v>
      </c>
      <c r="J3063" t="s">
        <v>270</v>
      </c>
      <c r="K3063" t="s">
        <v>31</v>
      </c>
      <c r="L3063" t="s">
        <v>32</v>
      </c>
      <c r="M3063" t="s">
        <v>33</v>
      </c>
      <c r="P3063" s="1" t="s">
        <v>10849</v>
      </c>
      <c r="Q3063" s="1" t="s">
        <v>10324</v>
      </c>
      <c r="R3063" s="1" t="s">
        <v>10324</v>
      </c>
      <c r="S3063" s="1"/>
      <c r="T3063" s="1" t="s">
        <v>4596</v>
      </c>
      <c r="U3063" s="1"/>
      <c r="V3063" s="1">
        <v>642.0</v>
      </c>
      <c r="W3063" s="1">
        <v>642.0</v>
      </c>
      <c r="X3063" s="1" t="s">
        <v>35</v>
      </c>
      <c r="Y3063" s="1">
        <v>642000.0</v>
      </c>
      <c r="Z3063" s="1"/>
      <c r="AA3063" s="1">
        <v>642000.0</v>
      </c>
      <c r="AB3063" s="1"/>
      <c r="AC3063" s="1" t="s">
        <v>36</v>
      </c>
      <c r="AD3063" s="1" t="s">
        <v>10850</v>
      </c>
      <c r="AE3063" s="1" t="s">
        <v>32</v>
      </c>
      <c r="AF3063" s="1" t="s">
        <v>33</v>
      </c>
      <c r="AG3063" s="1" t="s">
        <v>270</v>
      </c>
    </row>
    <row r="3064" spans="1:33">
      <c r="A3064" t="s">
        <v>10851</v>
      </c>
      <c r="B3064" t="s">
        <v>10852</v>
      </c>
      <c r="C3064" t="s">
        <v>47</v>
      </c>
      <c r="E3064" t="s">
        <v>10324</v>
      </c>
      <c r="F3064" t="s">
        <v>10325</v>
      </c>
      <c r="G3064">
        <v>85.96</v>
      </c>
      <c r="H3064">
        <v>85.96</v>
      </c>
      <c r="I3064" t="s">
        <v>2206</v>
      </c>
      <c r="J3064" t="s">
        <v>49</v>
      </c>
      <c r="K3064" t="s">
        <v>31</v>
      </c>
      <c r="L3064" t="s">
        <v>32</v>
      </c>
      <c r="M3064" t="s">
        <v>33</v>
      </c>
      <c r="P3064" s="1" t="s">
        <v>10853</v>
      </c>
      <c r="Q3064" s="1" t="s">
        <v>10324</v>
      </c>
      <c r="R3064" s="1" t="s">
        <v>10324</v>
      </c>
      <c r="S3064" s="1"/>
      <c r="T3064" s="1" t="s">
        <v>47</v>
      </c>
      <c r="U3064" s="1"/>
      <c r="V3064" s="1">
        <v>85.96</v>
      </c>
      <c r="W3064" s="1">
        <v>85.96</v>
      </c>
      <c r="X3064" s="1" t="s">
        <v>35</v>
      </c>
      <c r="Y3064" s="1">
        <v>85960.0</v>
      </c>
      <c r="Z3064" s="1"/>
      <c r="AA3064" s="1">
        <v>85960.0</v>
      </c>
      <c r="AB3064" s="1"/>
      <c r="AC3064" s="1" t="s">
        <v>36</v>
      </c>
      <c r="AD3064" s="1" t="s">
        <v>10850</v>
      </c>
      <c r="AE3064" s="1" t="s">
        <v>32</v>
      </c>
      <c r="AF3064" s="1" t="s">
        <v>33</v>
      </c>
      <c r="AG3064" s="1" t="s">
        <v>49</v>
      </c>
    </row>
    <row r="3065" spans="1:33">
      <c r="A3065" t="s">
        <v>10854</v>
      </c>
      <c r="B3065" t="s">
        <v>10855</v>
      </c>
      <c r="C3065" t="s">
        <v>47</v>
      </c>
      <c r="E3065" t="s">
        <v>10324</v>
      </c>
      <c r="F3065" t="s">
        <v>10325</v>
      </c>
      <c r="G3065">
        <v>20.49</v>
      </c>
      <c r="H3065">
        <v>20.49</v>
      </c>
      <c r="I3065" t="s">
        <v>2206</v>
      </c>
      <c r="J3065" t="s">
        <v>49</v>
      </c>
      <c r="K3065" t="s">
        <v>31</v>
      </c>
      <c r="L3065" t="s">
        <v>32</v>
      </c>
      <c r="M3065" t="s">
        <v>33</v>
      </c>
      <c r="P3065" s="1" t="s">
        <v>10856</v>
      </c>
      <c r="Q3065" s="1" t="s">
        <v>10324</v>
      </c>
      <c r="R3065" s="1" t="s">
        <v>10324</v>
      </c>
      <c r="S3065" s="1"/>
      <c r="T3065" s="1" t="s">
        <v>47</v>
      </c>
      <c r="U3065" s="1"/>
      <c r="V3065" s="1">
        <v>20.49</v>
      </c>
      <c r="W3065" s="1">
        <v>20.49</v>
      </c>
      <c r="X3065" s="1" t="s">
        <v>35</v>
      </c>
      <c r="Y3065" s="1">
        <v>20490.0</v>
      </c>
      <c r="Z3065" s="1"/>
      <c r="AA3065" s="1">
        <v>20490.0</v>
      </c>
      <c r="AB3065" s="1"/>
      <c r="AC3065" s="1" t="s">
        <v>36</v>
      </c>
      <c r="AD3065" s="1" t="s">
        <v>10857</v>
      </c>
      <c r="AE3065" s="1" t="s">
        <v>32</v>
      </c>
      <c r="AF3065" s="1" t="s">
        <v>33</v>
      </c>
      <c r="AG3065" s="1" t="s">
        <v>49</v>
      </c>
    </row>
    <row r="3066" spans="1:33">
      <c r="A3066" t="s">
        <v>10858</v>
      </c>
      <c r="C3066" t="s">
        <v>1587</v>
      </c>
      <c r="D3066" t="s">
        <v>154</v>
      </c>
      <c r="E3066" t="s">
        <v>10324</v>
      </c>
      <c r="F3066" t="s">
        <v>10325</v>
      </c>
      <c r="G3066">
        <v>6.348</v>
      </c>
      <c r="H3066">
        <v>6.348</v>
      </c>
      <c r="I3066" t="s">
        <v>2206</v>
      </c>
      <c r="J3066" t="s">
        <v>49</v>
      </c>
      <c r="K3066" t="s">
        <v>31</v>
      </c>
      <c r="L3066" t="s">
        <v>32</v>
      </c>
      <c r="M3066" t="s">
        <v>33</v>
      </c>
      <c r="P3066" s="1" t="s">
        <v>10859</v>
      </c>
      <c r="Q3066" s="1" t="s">
        <v>10324</v>
      </c>
      <c r="R3066" s="1" t="s">
        <v>10324</v>
      </c>
      <c r="S3066" s="1"/>
      <c r="T3066" s="1" t="s">
        <v>1587</v>
      </c>
      <c r="U3066" s="1"/>
      <c r="V3066" s="1">
        <v>6.348</v>
      </c>
      <c r="W3066" s="1">
        <v>6.348</v>
      </c>
      <c r="X3066" s="1" t="s">
        <v>35</v>
      </c>
      <c r="Y3066" s="1">
        <v>6348000.0</v>
      </c>
      <c r="Z3066" s="1"/>
      <c r="AA3066" s="1">
        <v>6348000.0</v>
      </c>
      <c r="AB3066" s="1"/>
      <c r="AC3066" s="1" t="s">
        <v>36</v>
      </c>
      <c r="AD3066" s="1" t="s">
        <v>10860</v>
      </c>
      <c r="AE3066" s="1" t="s">
        <v>32</v>
      </c>
      <c r="AF3066" s="1" t="s">
        <v>33</v>
      </c>
      <c r="AG3066" s="1" t="s">
        <v>49</v>
      </c>
    </row>
    <row r="3067" spans="1:33">
      <c r="A3067" t="s">
        <v>10861</v>
      </c>
      <c r="B3067" t="s">
        <v>10862</v>
      </c>
      <c r="C3067" t="s">
        <v>47</v>
      </c>
      <c r="E3067" t="s">
        <v>10324</v>
      </c>
      <c r="F3067" t="s">
        <v>10325</v>
      </c>
      <c r="G3067">
        <v>152.14</v>
      </c>
      <c r="H3067">
        <v>152.14</v>
      </c>
      <c r="I3067" t="s">
        <v>2206</v>
      </c>
      <c r="J3067" t="s">
        <v>49</v>
      </c>
      <c r="K3067" t="s">
        <v>31</v>
      </c>
      <c r="L3067" t="s">
        <v>32</v>
      </c>
      <c r="M3067" t="s">
        <v>33</v>
      </c>
      <c r="P3067" s="1" t="s">
        <v>10863</v>
      </c>
      <c r="Q3067" s="1" t="s">
        <v>10324</v>
      </c>
      <c r="R3067" s="1" t="s">
        <v>10324</v>
      </c>
      <c r="S3067" s="1"/>
      <c r="T3067" s="1" t="s">
        <v>47</v>
      </c>
      <c r="U3067" s="1"/>
      <c r="V3067" s="1">
        <v>152.14</v>
      </c>
      <c r="W3067" s="1">
        <v>152.14</v>
      </c>
      <c r="X3067" s="1" t="s">
        <v>35</v>
      </c>
      <c r="Y3067" s="1">
        <v>152140.0</v>
      </c>
      <c r="Z3067" s="1"/>
      <c r="AA3067" s="1">
        <v>152140.0</v>
      </c>
      <c r="AB3067" s="1"/>
      <c r="AC3067" s="1" t="s">
        <v>36</v>
      </c>
      <c r="AD3067" s="1" t="s">
        <v>10864</v>
      </c>
      <c r="AE3067" s="1" t="s">
        <v>32</v>
      </c>
      <c r="AF3067" s="1" t="s">
        <v>33</v>
      </c>
      <c r="AG3067" s="1" t="s">
        <v>49</v>
      </c>
    </row>
    <row r="3068" spans="1:33">
      <c r="A3068" t="s">
        <v>10865</v>
      </c>
      <c r="B3068" t="s">
        <v>10866</v>
      </c>
      <c r="C3068" t="s">
        <v>131</v>
      </c>
      <c r="E3068" t="s">
        <v>10324</v>
      </c>
      <c r="F3068" t="s">
        <v>10325</v>
      </c>
      <c r="G3068">
        <v>40.49</v>
      </c>
      <c r="H3068">
        <v>40.49</v>
      </c>
      <c r="I3068" t="s">
        <v>94</v>
      </c>
      <c r="J3068" t="s">
        <v>95</v>
      </c>
      <c r="K3068" t="s">
        <v>31</v>
      </c>
      <c r="L3068" t="s">
        <v>32</v>
      </c>
      <c r="M3068" t="s">
        <v>33</v>
      </c>
      <c r="P3068" s="1" t="s">
        <v>10867</v>
      </c>
      <c r="Q3068" s="1" t="s">
        <v>10324</v>
      </c>
      <c r="R3068" s="1" t="s">
        <v>10324</v>
      </c>
      <c r="S3068" s="1"/>
      <c r="T3068" s="1" t="s">
        <v>131</v>
      </c>
      <c r="U3068" s="1"/>
      <c r="V3068" s="1">
        <v>40.49</v>
      </c>
      <c r="W3068" s="1">
        <v>40.49</v>
      </c>
      <c r="X3068" s="1" t="s">
        <v>35</v>
      </c>
      <c r="Y3068" s="1">
        <v>40490.0</v>
      </c>
      <c r="Z3068" s="1"/>
      <c r="AA3068" s="1">
        <v>40490.0</v>
      </c>
      <c r="AB3068" s="1"/>
      <c r="AC3068" s="1" t="s">
        <v>36</v>
      </c>
      <c r="AD3068" s="1" t="s">
        <v>10868</v>
      </c>
      <c r="AE3068" s="1" t="s">
        <v>32</v>
      </c>
      <c r="AF3068" s="1" t="s">
        <v>33</v>
      </c>
      <c r="AG3068" s="1" t="s">
        <v>95</v>
      </c>
    </row>
    <row r="3069" spans="1:33">
      <c r="A3069" t="s">
        <v>10869</v>
      </c>
      <c r="B3069" t="s">
        <v>10870</v>
      </c>
      <c r="C3069" t="s">
        <v>47</v>
      </c>
      <c r="E3069" t="s">
        <v>10324</v>
      </c>
      <c r="F3069" t="s">
        <v>10325</v>
      </c>
      <c r="G3069">
        <v>32.99</v>
      </c>
      <c r="H3069">
        <v>32.99</v>
      </c>
      <c r="I3069" t="s">
        <v>2206</v>
      </c>
      <c r="J3069" t="s">
        <v>49</v>
      </c>
      <c r="K3069" t="s">
        <v>31</v>
      </c>
      <c r="L3069" t="s">
        <v>32</v>
      </c>
      <c r="M3069" t="s">
        <v>33</v>
      </c>
      <c r="P3069" s="1" t="s">
        <v>10871</v>
      </c>
      <c r="Q3069" s="1" t="s">
        <v>10324</v>
      </c>
      <c r="R3069" s="1" t="s">
        <v>10324</v>
      </c>
      <c r="S3069" s="1"/>
      <c r="T3069" s="1" t="s">
        <v>47</v>
      </c>
      <c r="U3069" s="1"/>
      <c r="V3069" s="1">
        <v>32.99</v>
      </c>
      <c r="W3069" s="1">
        <v>32.99</v>
      </c>
      <c r="X3069" s="1" t="s">
        <v>35</v>
      </c>
      <c r="Y3069" s="1">
        <v>32990.0</v>
      </c>
      <c r="Z3069" s="1"/>
      <c r="AA3069" s="1">
        <v>32990.0</v>
      </c>
      <c r="AB3069" s="1"/>
      <c r="AC3069" s="1" t="s">
        <v>36</v>
      </c>
      <c r="AD3069" s="1" t="s">
        <v>10872</v>
      </c>
      <c r="AE3069" s="1" t="s">
        <v>32</v>
      </c>
      <c r="AF3069" s="1" t="s">
        <v>33</v>
      </c>
      <c r="AG3069" s="1" t="s">
        <v>49</v>
      </c>
    </row>
    <row r="3070" spans="1:33">
      <c r="A3070" t="s">
        <v>10873</v>
      </c>
      <c r="B3070" t="s">
        <v>10874</v>
      </c>
      <c r="C3070" t="s">
        <v>131</v>
      </c>
      <c r="E3070" t="s">
        <v>10324</v>
      </c>
      <c r="F3070" t="s">
        <v>10325</v>
      </c>
      <c r="G3070">
        <v>540.0</v>
      </c>
      <c r="H3070">
        <v>540.0</v>
      </c>
      <c r="I3070" t="s">
        <v>94</v>
      </c>
      <c r="J3070" t="s">
        <v>95</v>
      </c>
      <c r="K3070" t="s">
        <v>31</v>
      </c>
      <c r="L3070" t="s">
        <v>32</v>
      </c>
      <c r="M3070" t="s">
        <v>33</v>
      </c>
      <c r="P3070" s="1" t="s">
        <v>10875</v>
      </c>
      <c r="Q3070" s="1" t="s">
        <v>10324</v>
      </c>
      <c r="R3070" s="1" t="s">
        <v>10324</v>
      </c>
      <c r="S3070" s="1"/>
      <c r="T3070" s="1" t="s">
        <v>131</v>
      </c>
      <c r="U3070" s="1"/>
      <c r="V3070" s="1">
        <v>540.0</v>
      </c>
      <c r="W3070" s="1">
        <v>540.0</v>
      </c>
      <c r="X3070" s="1" t="s">
        <v>35</v>
      </c>
      <c r="Y3070" s="1">
        <v>540000.0</v>
      </c>
      <c r="Z3070" s="1"/>
      <c r="AA3070" s="1">
        <v>540000.0</v>
      </c>
      <c r="AB3070" s="1"/>
      <c r="AC3070" s="1" t="s">
        <v>36</v>
      </c>
      <c r="AD3070" s="1" t="s">
        <v>10876</v>
      </c>
      <c r="AE3070" s="1" t="s">
        <v>32</v>
      </c>
      <c r="AF3070" s="1" t="s">
        <v>33</v>
      </c>
      <c r="AG3070" s="1" t="s">
        <v>95</v>
      </c>
    </row>
    <row r="3071" spans="1:33">
      <c r="A3071" t="s">
        <v>10877</v>
      </c>
      <c r="C3071" t="s">
        <v>300</v>
      </c>
      <c r="E3071" t="s">
        <v>10324</v>
      </c>
      <c r="F3071" t="s">
        <v>10325</v>
      </c>
      <c r="G3071">
        <v>1.465</v>
      </c>
      <c r="H3071">
        <v>1.465</v>
      </c>
      <c r="I3071" t="s">
        <v>94</v>
      </c>
      <c r="J3071" t="s">
        <v>95</v>
      </c>
      <c r="K3071" t="s">
        <v>31</v>
      </c>
      <c r="L3071" t="s">
        <v>32</v>
      </c>
      <c r="M3071" t="s">
        <v>33</v>
      </c>
      <c r="P3071" s="1" t="s">
        <v>10878</v>
      </c>
      <c r="Q3071" s="1" t="s">
        <v>10324</v>
      </c>
      <c r="R3071" s="1" t="s">
        <v>10324</v>
      </c>
      <c r="S3071" s="1"/>
      <c r="T3071" s="1" t="s">
        <v>302</v>
      </c>
      <c r="U3071" s="1" t="s">
        <v>303</v>
      </c>
      <c r="V3071" s="1">
        <v>1.465</v>
      </c>
      <c r="W3071" s="1">
        <v>1.465</v>
      </c>
      <c r="X3071" s="1" t="s">
        <v>35</v>
      </c>
      <c r="Y3071" s="1">
        <v>1465000.0</v>
      </c>
      <c r="Z3071" s="1"/>
      <c r="AA3071" s="1">
        <v>1465000.0</v>
      </c>
      <c r="AB3071" s="1"/>
      <c r="AC3071" s="1" t="s">
        <v>36</v>
      </c>
      <c r="AD3071" s="1" t="s">
        <v>10879</v>
      </c>
      <c r="AE3071" s="1" t="s">
        <v>32</v>
      </c>
      <c r="AF3071" s="1" t="s">
        <v>33</v>
      </c>
      <c r="AG3071" s="1" t="s">
        <v>95</v>
      </c>
    </row>
    <row r="3072" spans="1:33">
      <c r="A3072" t="s">
        <v>10880</v>
      </c>
      <c r="C3072" t="s">
        <v>558</v>
      </c>
      <c r="D3072" t="s">
        <v>154</v>
      </c>
      <c r="E3072" t="s">
        <v>10324</v>
      </c>
      <c r="F3072" t="s">
        <v>10325</v>
      </c>
      <c r="G3072">
        <v>21.0</v>
      </c>
      <c r="H3072">
        <v>21.0</v>
      </c>
      <c r="I3072" t="s">
        <v>269</v>
      </c>
      <c r="J3072" t="s">
        <v>270</v>
      </c>
      <c r="K3072" t="s">
        <v>31</v>
      </c>
      <c r="L3072" t="s">
        <v>32</v>
      </c>
      <c r="M3072" t="s">
        <v>33</v>
      </c>
      <c r="P3072" s="1" t="s">
        <v>10881</v>
      </c>
      <c r="Q3072" s="1" t="s">
        <v>10324</v>
      </c>
      <c r="R3072" s="1" t="s">
        <v>10324</v>
      </c>
      <c r="S3072" s="1"/>
      <c r="T3072" s="1" t="s">
        <v>560</v>
      </c>
      <c r="U3072" s="1" t="s">
        <v>561</v>
      </c>
      <c r="V3072" s="1">
        <v>21.0</v>
      </c>
      <c r="W3072" s="1">
        <v>21.0</v>
      </c>
      <c r="X3072" s="1" t="s">
        <v>35</v>
      </c>
      <c r="Y3072" s="1">
        <v>21000.0</v>
      </c>
      <c r="Z3072" s="1"/>
      <c r="AA3072" s="1">
        <v>21000.0</v>
      </c>
      <c r="AB3072" s="1"/>
      <c r="AC3072" s="1" t="s">
        <v>36</v>
      </c>
      <c r="AD3072" s="1" t="s">
        <v>10882</v>
      </c>
      <c r="AE3072" s="1" t="s">
        <v>32</v>
      </c>
      <c r="AF3072" s="1" t="s">
        <v>33</v>
      </c>
      <c r="AG3072" s="1" t="s">
        <v>270</v>
      </c>
    </row>
    <row r="3073" spans="1:33">
      <c r="A3073" t="s">
        <v>10883</v>
      </c>
      <c r="C3073" t="s">
        <v>2236</v>
      </c>
      <c r="E3073" t="s">
        <v>10324</v>
      </c>
      <c r="F3073" t="s">
        <v>10325</v>
      </c>
      <c r="G3073">
        <v>492.0</v>
      </c>
      <c r="H3073">
        <v>492.0</v>
      </c>
      <c r="I3073" t="s">
        <v>269</v>
      </c>
      <c r="J3073" t="s">
        <v>270</v>
      </c>
      <c r="K3073" t="s">
        <v>31</v>
      </c>
      <c r="L3073" t="s">
        <v>32</v>
      </c>
      <c r="M3073" t="s">
        <v>33</v>
      </c>
      <c r="P3073" s="1" t="s">
        <v>10884</v>
      </c>
      <c r="Q3073" s="1" t="s">
        <v>10324</v>
      </c>
      <c r="R3073" s="1" t="s">
        <v>10324</v>
      </c>
      <c r="S3073" s="1"/>
      <c r="T3073" s="1" t="s">
        <v>2236</v>
      </c>
      <c r="U3073" s="1"/>
      <c r="V3073" s="1">
        <v>492.0</v>
      </c>
      <c r="W3073" s="1">
        <v>492.0</v>
      </c>
      <c r="X3073" s="1" t="s">
        <v>35</v>
      </c>
      <c r="Y3073" s="1">
        <v>492000.0</v>
      </c>
      <c r="Z3073" s="1"/>
      <c r="AA3073" s="1">
        <v>492000.0</v>
      </c>
      <c r="AB3073" s="1"/>
      <c r="AC3073" s="1" t="s">
        <v>36</v>
      </c>
      <c r="AD3073" s="1" t="s">
        <v>10885</v>
      </c>
      <c r="AE3073" s="1" t="s">
        <v>32</v>
      </c>
      <c r="AF3073" s="1" t="s">
        <v>33</v>
      </c>
      <c r="AG3073" s="1" t="s">
        <v>270</v>
      </c>
    </row>
    <row r="3074" spans="1:33">
      <c r="A3074" t="s">
        <v>10886</v>
      </c>
      <c r="C3074" t="s">
        <v>10887</v>
      </c>
      <c r="E3074" t="s">
        <v>10324</v>
      </c>
      <c r="F3074" t="s">
        <v>10325</v>
      </c>
      <c r="G3074">
        <v>1.882</v>
      </c>
      <c r="H3074">
        <v>1.882</v>
      </c>
      <c r="I3074" t="s">
        <v>269</v>
      </c>
      <c r="J3074" t="s">
        <v>270</v>
      </c>
      <c r="K3074" t="s">
        <v>31</v>
      </c>
      <c r="L3074" t="s">
        <v>32</v>
      </c>
      <c r="M3074" t="s">
        <v>33</v>
      </c>
      <c r="P3074" s="1" t="s">
        <v>10888</v>
      </c>
      <c r="Q3074" s="1" t="s">
        <v>10324</v>
      </c>
      <c r="R3074" s="1" t="s">
        <v>10324</v>
      </c>
      <c r="S3074" s="1"/>
      <c r="T3074" s="1" t="s">
        <v>10887</v>
      </c>
      <c r="U3074" s="1"/>
      <c r="V3074" s="1">
        <v>1.882</v>
      </c>
      <c r="W3074" s="1">
        <v>1.882</v>
      </c>
      <c r="X3074" s="1" t="s">
        <v>35</v>
      </c>
      <c r="Y3074" s="1">
        <v>1882000.0</v>
      </c>
      <c r="Z3074" s="1"/>
      <c r="AA3074" s="1">
        <v>1882000.0</v>
      </c>
      <c r="AB3074" s="1"/>
      <c r="AC3074" s="1" t="s">
        <v>36</v>
      </c>
      <c r="AD3074" s="1" t="s">
        <v>10889</v>
      </c>
      <c r="AE3074" s="1" t="s">
        <v>32</v>
      </c>
      <c r="AF3074" s="1" t="s">
        <v>33</v>
      </c>
      <c r="AG3074" s="1" t="s">
        <v>270</v>
      </c>
    </row>
    <row r="3075" spans="1:33">
      <c r="A3075" t="s">
        <v>10890</v>
      </c>
      <c r="B3075" t="s">
        <v>1337</v>
      </c>
      <c r="C3075" t="s">
        <v>314</v>
      </c>
      <c r="E3075" t="s">
        <v>10324</v>
      </c>
      <c r="F3075" t="s">
        <v>10325</v>
      </c>
      <c r="G3075">
        <v>70.92</v>
      </c>
      <c r="H3075">
        <v>70.92</v>
      </c>
      <c r="I3075" t="s">
        <v>179</v>
      </c>
      <c r="J3075" t="s">
        <v>180</v>
      </c>
      <c r="K3075" t="s">
        <v>31</v>
      </c>
      <c r="L3075" t="s">
        <v>32</v>
      </c>
      <c r="M3075" t="s">
        <v>33</v>
      </c>
      <c r="P3075" s="1" t="s">
        <v>10891</v>
      </c>
      <c r="Q3075" s="1" t="s">
        <v>10324</v>
      </c>
      <c r="R3075" s="1" t="s">
        <v>10324</v>
      </c>
      <c r="S3075" s="1"/>
      <c r="T3075" s="1" t="s">
        <v>314</v>
      </c>
      <c r="U3075" s="1"/>
      <c r="V3075" s="1">
        <v>70.92</v>
      </c>
      <c r="W3075" s="1">
        <v>70.92</v>
      </c>
      <c r="X3075" s="1" t="s">
        <v>35</v>
      </c>
      <c r="Y3075" s="1">
        <v>70920.0</v>
      </c>
      <c r="Z3075" s="1"/>
      <c r="AA3075" s="1">
        <v>70920.0</v>
      </c>
      <c r="AB3075" s="1"/>
      <c r="AC3075" s="1" t="s">
        <v>36</v>
      </c>
      <c r="AD3075" s="1" t="s">
        <v>10892</v>
      </c>
      <c r="AE3075" s="1" t="s">
        <v>32</v>
      </c>
      <c r="AF3075" s="1" t="s">
        <v>33</v>
      </c>
      <c r="AG3075" s="1" t="s">
        <v>180</v>
      </c>
    </row>
    <row r="3076" spans="1:33">
      <c r="A3076" t="s">
        <v>10893</v>
      </c>
      <c r="B3076" t="s">
        <v>2983</v>
      </c>
      <c r="C3076" t="s">
        <v>314</v>
      </c>
      <c r="E3076" t="s">
        <v>10324</v>
      </c>
      <c r="F3076" t="s">
        <v>10325</v>
      </c>
      <c r="G3076">
        <v>37.49</v>
      </c>
      <c r="H3076">
        <v>37.49</v>
      </c>
      <c r="I3076" t="s">
        <v>179</v>
      </c>
      <c r="J3076" t="s">
        <v>180</v>
      </c>
      <c r="K3076" t="s">
        <v>31</v>
      </c>
      <c r="L3076" t="s">
        <v>32</v>
      </c>
      <c r="M3076" t="s">
        <v>33</v>
      </c>
      <c r="P3076" s="1" t="s">
        <v>10894</v>
      </c>
      <c r="Q3076" s="1" t="s">
        <v>10324</v>
      </c>
      <c r="R3076" s="1" t="s">
        <v>10324</v>
      </c>
      <c r="S3076" s="1"/>
      <c r="T3076" s="1" t="s">
        <v>314</v>
      </c>
      <c r="U3076" s="1"/>
      <c r="V3076" s="1">
        <v>37.49</v>
      </c>
      <c r="W3076" s="1">
        <v>37.49</v>
      </c>
      <c r="X3076" s="1" t="s">
        <v>35</v>
      </c>
      <c r="Y3076" s="1">
        <v>37490.0</v>
      </c>
      <c r="Z3076" s="1"/>
      <c r="AA3076" s="1">
        <v>37490.0</v>
      </c>
      <c r="AB3076" s="1"/>
      <c r="AC3076" s="1" t="s">
        <v>36</v>
      </c>
      <c r="AD3076" s="1" t="s">
        <v>10895</v>
      </c>
      <c r="AE3076" s="1" t="s">
        <v>32</v>
      </c>
      <c r="AF3076" s="1" t="s">
        <v>33</v>
      </c>
      <c r="AG3076" s="1" t="s">
        <v>180</v>
      </c>
    </row>
    <row r="3077" spans="1:33">
      <c r="A3077" t="s">
        <v>10896</v>
      </c>
      <c r="C3077" t="s">
        <v>178</v>
      </c>
      <c r="E3077" t="s">
        <v>10324</v>
      </c>
      <c r="F3077" t="s">
        <v>10325</v>
      </c>
      <c r="G3077">
        <v>743.0</v>
      </c>
      <c r="H3077">
        <v>743.0</v>
      </c>
      <c r="I3077" t="s">
        <v>179</v>
      </c>
      <c r="J3077" t="s">
        <v>180</v>
      </c>
      <c r="K3077" t="s">
        <v>31</v>
      </c>
      <c r="L3077" t="s">
        <v>32</v>
      </c>
      <c r="M3077" t="s">
        <v>33</v>
      </c>
      <c r="P3077" s="1" t="s">
        <v>10897</v>
      </c>
      <c r="Q3077" s="1" t="s">
        <v>10324</v>
      </c>
      <c r="R3077" s="1" t="s">
        <v>10324</v>
      </c>
      <c r="S3077" s="1"/>
      <c r="T3077" s="1" t="s">
        <v>178</v>
      </c>
      <c r="U3077" s="1"/>
      <c r="V3077" s="1">
        <v>743.0</v>
      </c>
      <c r="W3077" s="1">
        <v>743.0</v>
      </c>
      <c r="X3077" s="1" t="s">
        <v>35</v>
      </c>
      <c r="Y3077" s="1">
        <v>743000.0</v>
      </c>
      <c r="Z3077" s="1"/>
      <c r="AA3077" s="1">
        <v>743000.0</v>
      </c>
      <c r="AB3077" s="1"/>
      <c r="AC3077" s="1" t="s">
        <v>36</v>
      </c>
      <c r="AD3077" s="1" t="s">
        <v>10898</v>
      </c>
      <c r="AE3077" s="1" t="s">
        <v>32</v>
      </c>
      <c r="AF3077" s="1" t="s">
        <v>33</v>
      </c>
      <c r="AG3077" s="1" t="s">
        <v>180</v>
      </c>
    </row>
    <row r="3078" spans="1:33">
      <c r="A3078" t="s">
        <v>10899</v>
      </c>
      <c r="B3078" t="s">
        <v>2168</v>
      </c>
      <c r="C3078" t="s">
        <v>314</v>
      </c>
      <c r="E3078" t="s">
        <v>10324</v>
      </c>
      <c r="F3078" t="s">
        <v>10325</v>
      </c>
      <c r="G3078">
        <v>110.5</v>
      </c>
      <c r="H3078">
        <v>110.5</v>
      </c>
      <c r="I3078" t="s">
        <v>179</v>
      </c>
      <c r="J3078" t="s">
        <v>180</v>
      </c>
      <c r="K3078" t="s">
        <v>31</v>
      </c>
      <c r="L3078" t="s">
        <v>32</v>
      </c>
      <c r="M3078" t="s">
        <v>33</v>
      </c>
      <c r="P3078" s="1" t="s">
        <v>10900</v>
      </c>
      <c r="Q3078" s="1" t="s">
        <v>10324</v>
      </c>
      <c r="R3078" s="1" t="s">
        <v>10324</v>
      </c>
      <c r="S3078" s="1"/>
      <c r="T3078" s="1" t="s">
        <v>314</v>
      </c>
      <c r="U3078" s="1"/>
      <c r="V3078" s="1">
        <v>110.5</v>
      </c>
      <c r="W3078" s="1">
        <v>110.5</v>
      </c>
      <c r="X3078" s="1" t="s">
        <v>35</v>
      </c>
      <c r="Y3078" s="1">
        <v>110500.0</v>
      </c>
      <c r="Z3078" s="1"/>
      <c r="AA3078" s="1">
        <v>110500.0</v>
      </c>
      <c r="AB3078" s="1"/>
      <c r="AC3078" s="1" t="s">
        <v>36</v>
      </c>
      <c r="AD3078" s="1" t="s">
        <v>10901</v>
      </c>
      <c r="AE3078" s="1" t="s">
        <v>32</v>
      </c>
      <c r="AF3078" s="1" t="s">
        <v>33</v>
      </c>
      <c r="AG3078" s="1" t="s">
        <v>180</v>
      </c>
    </row>
    <row r="3079" spans="1:33">
      <c r="A3079" t="s">
        <v>10902</v>
      </c>
      <c r="C3079" t="s">
        <v>3643</v>
      </c>
      <c r="E3079" t="s">
        <v>10324</v>
      </c>
      <c r="F3079" t="s">
        <v>10325</v>
      </c>
      <c r="G3079">
        <v>1.317</v>
      </c>
      <c r="H3079">
        <v>1.317</v>
      </c>
      <c r="I3079" t="s">
        <v>269</v>
      </c>
      <c r="J3079" t="s">
        <v>270</v>
      </c>
      <c r="K3079" t="s">
        <v>31</v>
      </c>
      <c r="L3079" t="s">
        <v>32</v>
      </c>
      <c r="M3079" t="s">
        <v>33</v>
      </c>
      <c r="P3079" s="1" t="s">
        <v>10903</v>
      </c>
      <c r="Q3079" s="1" t="s">
        <v>10324</v>
      </c>
      <c r="R3079" s="1" t="s">
        <v>10324</v>
      </c>
      <c r="S3079" s="1"/>
      <c r="T3079" s="1" t="s">
        <v>3643</v>
      </c>
      <c r="U3079" s="1"/>
      <c r="V3079" s="1">
        <v>1.317</v>
      </c>
      <c r="W3079" s="1">
        <v>1.317</v>
      </c>
      <c r="X3079" s="1" t="s">
        <v>35</v>
      </c>
      <c r="Y3079" s="1">
        <v>1317750.0</v>
      </c>
      <c r="Z3079" s="1"/>
      <c r="AA3079" s="1">
        <v>1317750.0</v>
      </c>
      <c r="AB3079" s="1"/>
      <c r="AC3079" s="1" t="s">
        <v>36</v>
      </c>
      <c r="AD3079" s="1" t="s">
        <v>10904</v>
      </c>
      <c r="AE3079" s="1" t="s">
        <v>32</v>
      </c>
      <c r="AF3079" s="1" t="s">
        <v>33</v>
      </c>
      <c r="AG3079" s="1" t="s">
        <v>270</v>
      </c>
    </row>
    <row r="3080" spans="1:33">
      <c r="A3080" t="s">
        <v>10905</v>
      </c>
      <c r="C3080" t="s">
        <v>586</v>
      </c>
      <c r="E3080" t="s">
        <v>10324</v>
      </c>
      <c r="F3080" t="s">
        <v>10325</v>
      </c>
      <c r="G3080">
        <v>18.5</v>
      </c>
      <c r="H3080">
        <v>18.5</v>
      </c>
      <c r="I3080" t="s">
        <v>269</v>
      </c>
      <c r="J3080" t="s">
        <v>270</v>
      </c>
      <c r="K3080" t="s">
        <v>31</v>
      </c>
      <c r="L3080" t="s">
        <v>32</v>
      </c>
      <c r="M3080" t="s">
        <v>33</v>
      </c>
      <c r="P3080" s="1" t="s">
        <v>10906</v>
      </c>
      <c r="Q3080" s="1" t="s">
        <v>10324</v>
      </c>
      <c r="R3080" s="1" t="s">
        <v>10324</v>
      </c>
      <c r="S3080" s="1"/>
      <c r="T3080" s="1" t="s">
        <v>586</v>
      </c>
      <c r="U3080" s="1"/>
      <c r="V3080" s="1">
        <v>18.5</v>
      </c>
      <c r="W3080" s="1">
        <v>18.5</v>
      </c>
      <c r="X3080" s="1" t="s">
        <v>35</v>
      </c>
      <c r="Y3080" s="1">
        <v>18500.0</v>
      </c>
      <c r="Z3080" s="1"/>
      <c r="AA3080" s="1">
        <v>18500.0</v>
      </c>
      <c r="AB3080" s="1"/>
      <c r="AC3080" s="1" t="s">
        <v>36</v>
      </c>
      <c r="AD3080" s="1" t="s">
        <v>10907</v>
      </c>
      <c r="AE3080" s="1" t="s">
        <v>32</v>
      </c>
      <c r="AF3080" s="1" t="s">
        <v>33</v>
      </c>
      <c r="AG3080" s="1" t="s">
        <v>270</v>
      </c>
    </row>
    <row r="3081" spans="1:33">
      <c r="A3081" t="s">
        <v>10908</v>
      </c>
      <c r="C3081" t="s">
        <v>558</v>
      </c>
      <c r="D3081" t="s">
        <v>154</v>
      </c>
      <c r="E3081" t="s">
        <v>10324</v>
      </c>
      <c r="F3081" t="s">
        <v>10325</v>
      </c>
      <c r="G3081">
        <v>849.3</v>
      </c>
      <c r="H3081">
        <v>849.3</v>
      </c>
      <c r="I3081" t="s">
        <v>269</v>
      </c>
      <c r="J3081" t="s">
        <v>270</v>
      </c>
      <c r="K3081" t="s">
        <v>31</v>
      </c>
      <c r="L3081" t="s">
        <v>32</v>
      </c>
      <c r="M3081" t="s">
        <v>33</v>
      </c>
      <c r="P3081" s="1" t="s">
        <v>10909</v>
      </c>
      <c r="Q3081" s="1" t="s">
        <v>10324</v>
      </c>
      <c r="R3081" s="1" t="s">
        <v>10324</v>
      </c>
      <c r="S3081" s="1"/>
      <c r="T3081" s="1" t="s">
        <v>560</v>
      </c>
      <c r="U3081" s="1" t="s">
        <v>561</v>
      </c>
      <c r="V3081" s="1">
        <v>849.3</v>
      </c>
      <c r="W3081" s="1">
        <v>849.3</v>
      </c>
      <c r="X3081" s="1" t="s">
        <v>35</v>
      </c>
      <c r="Y3081" s="1">
        <v>849300.0</v>
      </c>
      <c r="Z3081" s="1"/>
      <c r="AA3081" s="1">
        <v>849300.0</v>
      </c>
      <c r="AB3081" s="1"/>
      <c r="AC3081" s="1" t="s">
        <v>36</v>
      </c>
      <c r="AD3081" s="1" t="s">
        <v>10910</v>
      </c>
      <c r="AE3081" s="1" t="s">
        <v>32</v>
      </c>
      <c r="AF3081" s="1" t="s">
        <v>33</v>
      </c>
      <c r="AG3081" s="1" t="s">
        <v>270</v>
      </c>
    </row>
    <row r="3082" spans="1:33">
      <c r="A3082" t="s">
        <v>10911</v>
      </c>
      <c r="C3082" t="s">
        <v>5703</v>
      </c>
      <c r="E3082" t="s">
        <v>10324</v>
      </c>
      <c r="F3082" t="s">
        <v>10325</v>
      </c>
      <c r="G3082">
        <v>2.056</v>
      </c>
      <c r="H3082">
        <v>2.056</v>
      </c>
      <c r="I3082" t="s">
        <v>269</v>
      </c>
      <c r="J3082" t="s">
        <v>270</v>
      </c>
      <c r="K3082" t="s">
        <v>31</v>
      </c>
      <c r="L3082" t="s">
        <v>32</v>
      </c>
      <c r="M3082" t="s">
        <v>33</v>
      </c>
      <c r="P3082" s="1" t="s">
        <v>10912</v>
      </c>
      <c r="Q3082" s="1" t="s">
        <v>10324</v>
      </c>
      <c r="R3082" s="1" t="s">
        <v>10324</v>
      </c>
      <c r="S3082" s="1"/>
      <c r="T3082" s="1" t="s">
        <v>5703</v>
      </c>
      <c r="U3082" s="1"/>
      <c r="V3082" s="1">
        <v>2.056</v>
      </c>
      <c r="W3082" s="1">
        <v>2.056</v>
      </c>
      <c r="X3082" s="1" t="s">
        <v>35</v>
      </c>
      <c r="Y3082" s="1">
        <v>2056000.0</v>
      </c>
      <c r="Z3082" s="1"/>
      <c r="AA3082" s="1">
        <v>2056000.0</v>
      </c>
      <c r="AB3082" s="1"/>
      <c r="AC3082" s="1" t="s">
        <v>36</v>
      </c>
      <c r="AD3082" s="1" t="s">
        <v>10898</v>
      </c>
      <c r="AE3082" s="1" t="s">
        <v>32</v>
      </c>
      <c r="AF3082" s="1" t="s">
        <v>33</v>
      </c>
      <c r="AG3082" s="1" t="s">
        <v>270</v>
      </c>
    </row>
    <row r="3083" spans="1:33">
      <c r="A3083" t="s">
        <v>10913</v>
      </c>
      <c r="C3083" t="s">
        <v>771</v>
      </c>
      <c r="E3083" t="s">
        <v>10324</v>
      </c>
      <c r="F3083" t="s">
        <v>10325</v>
      </c>
      <c r="G3083">
        <v>659.0</v>
      </c>
      <c r="H3083">
        <v>659.0</v>
      </c>
      <c r="I3083" t="s">
        <v>269</v>
      </c>
      <c r="J3083" t="s">
        <v>270</v>
      </c>
      <c r="K3083" t="s">
        <v>31</v>
      </c>
      <c r="L3083" t="s">
        <v>32</v>
      </c>
      <c r="M3083" t="s">
        <v>33</v>
      </c>
      <c r="P3083" s="1" t="s">
        <v>10914</v>
      </c>
      <c r="Q3083" s="1" t="s">
        <v>10324</v>
      </c>
      <c r="R3083" s="1" t="s">
        <v>10324</v>
      </c>
      <c r="S3083" s="1"/>
      <c r="T3083" s="1" t="s">
        <v>771</v>
      </c>
      <c r="U3083" s="1"/>
      <c r="V3083" s="1">
        <v>659.0</v>
      </c>
      <c r="W3083" s="1">
        <v>659.0</v>
      </c>
      <c r="X3083" s="1" t="s">
        <v>35</v>
      </c>
      <c r="Y3083" s="1">
        <v>659000.0</v>
      </c>
      <c r="Z3083" s="1"/>
      <c r="AA3083" s="1">
        <v>659000.0</v>
      </c>
      <c r="AB3083" s="1"/>
      <c r="AC3083" s="1" t="s">
        <v>36</v>
      </c>
      <c r="AD3083" s="1" t="s">
        <v>10892</v>
      </c>
      <c r="AE3083" s="1" t="s">
        <v>32</v>
      </c>
      <c r="AF3083" s="1" t="s">
        <v>33</v>
      </c>
      <c r="AG3083" s="1" t="s">
        <v>270</v>
      </c>
    </row>
    <row r="3084" spans="1:33">
      <c r="A3084" t="s">
        <v>10915</v>
      </c>
      <c r="C3084" t="s">
        <v>806</v>
      </c>
      <c r="D3084" t="s">
        <v>154</v>
      </c>
      <c r="E3084" t="s">
        <v>10324</v>
      </c>
      <c r="F3084" t="s">
        <v>10325</v>
      </c>
      <c r="G3084">
        <v>656.0</v>
      </c>
      <c r="H3084">
        <v>656.0</v>
      </c>
      <c r="I3084" t="s">
        <v>269</v>
      </c>
      <c r="J3084" t="s">
        <v>270</v>
      </c>
      <c r="K3084" t="s">
        <v>31</v>
      </c>
      <c r="L3084" t="s">
        <v>32</v>
      </c>
      <c r="M3084" t="s">
        <v>33</v>
      </c>
      <c r="P3084" s="1" t="s">
        <v>10916</v>
      </c>
      <c r="Q3084" s="1" t="s">
        <v>10324</v>
      </c>
      <c r="R3084" s="1" t="s">
        <v>10324</v>
      </c>
      <c r="S3084" s="1"/>
      <c r="T3084" s="1" t="s">
        <v>806</v>
      </c>
      <c r="U3084" s="1"/>
      <c r="V3084" s="1">
        <v>656.0</v>
      </c>
      <c r="W3084" s="1">
        <v>656.0</v>
      </c>
      <c r="X3084" s="1" t="s">
        <v>35</v>
      </c>
      <c r="Y3084" s="1">
        <v>656000.0</v>
      </c>
      <c r="Z3084" s="1"/>
      <c r="AA3084" s="1">
        <v>656000.0</v>
      </c>
      <c r="AB3084" s="1"/>
      <c r="AC3084" s="1" t="s">
        <v>36</v>
      </c>
      <c r="AD3084" s="1" t="s">
        <v>10917</v>
      </c>
      <c r="AE3084" s="1" t="s">
        <v>32</v>
      </c>
      <c r="AF3084" s="1" t="s">
        <v>33</v>
      </c>
      <c r="AG3084" s="1" t="s">
        <v>270</v>
      </c>
    </row>
    <row r="3085" spans="1:33">
      <c r="A3085" t="s">
        <v>10918</v>
      </c>
      <c r="C3085" t="s">
        <v>10919</v>
      </c>
      <c r="E3085" t="s">
        <v>10324</v>
      </c>
      <c r="F3085" t="s">
        <v>10325</v>
      </c>
      <c r="G3085">
        <v>1.301</v>
      </c>
      <c r="H3085">
        <v>1.301</v>
      </c>
      <c r="I3085" t="s">
        <v>269</v>
      </c>
      <c r="J3085" t="s">
        <v>270</v>
      </c>
      <c r="K3085" t="s">
        <v>31</v>
      </c>
      <c r="L3085" t="s">
        <v>32</v>
      </c>
      <c r="M3085" t="s">
        <v>33</v>
      </c>
      <c r="P3085" s="1" t="s">
        <v>10920</v>
      </c>
      <c r="Q3085" s="1" t="s">
        <v>10324</v>
      </c>
      <c r="R3085" s="1" t="s">
        <v>10324</v>
      </c>
      <c r="S3085" s="1"/>
      <c r="T3085" s="1" t="s">
        <v>10919</v>
      </c>
      <c r="U3085" s="1"/>
      <c r="V3085" s="1">
        <v>1.301</v>
      </c>
      <c r="W3085" s="1">
        <v>1.301</v>
      </c>
      <c r="X3085" s="1" t="s">
        <v>35</v>
      </c>
      <c r="Y3085" s="1">
        <v>1301200.0</v>
      </c>
      <c r="Z3085" s="1"/>
      <c r="AA3085" s="1">
        <v>1301200.0</v>
      </c>
      <c r="AB3085" s="1"/>
      <c r="AC3085" s="1" t="s">
        <v>36</v>
      </c>
      <c r="AD3085" s="1" t="s">
        <v>10921</v>
      </c>
      <c r="AE3085" s="1" t="s">
        <v>32</v>
      </c>
      <c r="AF3085" s="1" t="s">
        <v>33</v>
      </c>
      <c r="AG3085" s="1" t="s">
        <v>270</v>
      </c>
    </row>
    <row r="3086" spans="1:33">
      <c r="A3086" t="s">
        <v>10922</v>
      </c>
      <c r="C3086" t="s">
        <v>8170</v>
      </c>
      <c r="E3086" t="s">
        <v>10324</v>
      </c>
      <c r="F3086" t="s">
        <v>10325</v>
      </c>
      <c r="G3086">
        <v>213.25</v>
      </c>
      <c r="H3086">
        <v>213.25</v>
      </c>
      <c r="I3086" t="s">
        <v>269</v>
      </c>
      <c r="J3086" t="s">
        <v>270</v>
      </c>
      <c r="K3086" t="s">
        <v>31</v>
      </c>
      <c r="L3086" t="s">
        <v>32</v>
      </c>
      <c r="M3086" t="s">
        <v>33</v>
      </c>
      <c r="P3086" s="1" t="s">
        <v>10923</v>
      </c>
      <c r="Q3086" s="1" t="s">
        <v>10324</v>
      </c>
      <c r="R3086" s="1" t="s">
        <v>10324</v>
      </c>
      <c r="S3086" s="1"/>
      <c r="T3086" s="1" t="s">
        <v>8170</v>
      </c>
      <c r="U3086" s="1"/>
      <c r="V3086" s="1">
        <v>213.25</v>
      </c>
      <c r="W3086" s="1">
        <v>213.25</v>
      </c>
      <c r="X3086" s="1" t="s">
        <v>35</v>
      </c>
      <c r="Y3086" s="1">
        <v>213250.0</v>
      </c>
      <c r="Z3086" s="1"/>
      <c r="AA3086" s="1">
        <v>213250.0</v>
      </c>
      <c r="AB3086" s="1"/>
      <c r="AC3086" s="1" t="s">
        <v>36</v>
      </c>
      <c r="AD3086" s="1" t="s">
        <v>10924</v>
      </c>
      <c r="AE3086" s="1" t="s">
        <v>32</v>
      </c>
      <c r="AF3086" s="1" t="s">
        <v>33</v>
      </c>
      <c r="AG3086" s="1" t="s">
        <v>270</v>
      </c>
    </row>
    <row r="3087" spans="1:33">
      <c r="A3087" t="s">
        <v>10925</v>
      </c>
      <c r="C3087" t="s">
        <v>2284</v>
      </c>
      <c r="E3087" t="s">
        <v>10324</v>
      </c>
      <c r="F3087" t="s">
        <v>10325</v>
      </c>
      <c r="G3087">
        <v>1.262</v>
      </c>
      <c r="H3087">
        <v>1.262</v>
      </c>
      <c r="I3087" t="s">
        <v>269</v>
      </c>
      <c r="J3087" t="s">
        <v>270</v>
      </c>
      <c r="K3087" t="s">
        <v>31</v>
      </c>
      <c r="L3087" t="s">
        <v>32</v>
      </c>
      <c r="M3087" t="s">
        <v>33</v>
      </c>
      <c r="P3087" s="1" t="s">
        <v>10926</v>
      </c>
      <c r="Q3087" s="1" t="s">
        <v>10324</v>
      </c>
      <c r="R3087" s="1" t="s">
        <v>10324</v>
      </c>
      <c r="S3087" s="1"/>
      <c r="T3087" s="1" t="s">
        <v>2284</v>
      </c>
      <c r="U3087" s="1"/>
      <c r="V3087" s="1">
        <v>1.262</v>
      </c>
      <c r="W3087" s="1">
        <v>1.262</v>
      </c>
      <c r="X3087" s="1" t="s">
        <v>35</v>
      </c>
      <c r="Y3087" s="1">
        <v>1262800.0</v>
      </c>
      <c r="Z3087" s="1"/>
      <c r="AA3087" s="1">
        <v>1262800.0</v>
      </c>
      <c r="AB3087" s="1"/>
      <c r="AC3087" s="1" t="s">
        <v>36</v>
      </c>
      <c r="AD3087" s="1" t="s">
        <v>10927</v>
      </c>
      <c r="AE3087" s="1" t="s">
        <v>32</v>
      </c>
      <c r="AF3087" s="1" t="s">
        <v>33</v>
      </c>
      <c r="AG3087" s="1" t="s">
        <v>270</v>
      </c>
    </row>
    <row r="3088" spans="1:33">
      <c r="A3088" t="s">
        <v>10928</v>
      </c>
      <c r="B3088" t="s">
        <v>10929</v>
      </c>
      <c r="C3088" t="s">
        <v>314</v>
      </c>
      <c r="E3088" t="s">
        <v>10324</v>
      </c>
      <c r="F3088" t="s">
        <v>10325</v>
      </c>
      <c r="G3088">
        <v>33.74</v>
      </c>
      <c r="H3088">
        <v>33.74</v>
      </c>
      <c r="I3088" t="s">
        <v>179</v>
      </c>
      <c r="J3088" t="s">
        <v>180</v>
      </c>
      <c r="K3088" t="s">
        <v>31</v>
      </c>
      <c r="L3088" t="s">
        <v>32</v>
      </c>
      <c r="M3088" t="s">
        <v>33</v>
      </c>
      <c r="P3088" s="1" t="s">
        <v>10930</v>
      </c>
      <c r="Q3088" s="1" t="s">
        <v>10324</v>
      </c>
      <c r="R3088" s="1" t="s">
        <v>10324</v>
      </c>
      <c r="S3088" s="1"/>
      <c r="T3088" s="1" t="s">
        <v>314</v>
      </c>
      <c r="U3088" s="1"/>
      <c r="V3088" s="1">
        <v>33.74</v>
      </c>
      <c r="W3088" s="1">
        <v>33.74</v>
      </c>
      <c r="X3088" s="1" t="s">
        <v>35</v>
      </c>
      <c r="Y3088" s="1">
        <v>33740.0</v>
      </c>
      <c r="Z3088" s="1"/>
      <c r="AA3088" s="1">
        <v>33740.0</v>
      </c>
      <c r="AB3088" s="1"/>
      <c r="AC3088" s="1" t="s">
        <v>36</v>
      </c>
      <c r="AD3088" s="1" t="s">
        <v>10931</v>
      </c>
      <c r="AE3088" s="1" t="s">
        <v>32</v>
      </c>
      <c r="AF3088" s="1" t="s">
        <v>33</v>
      </c>
      <c r="AG3088" s="1" t="s">
        <v>180</v>
      </c>
    </row>
    <row r="3089" spans="1:33">
      <c r="A3089" t="s">
        <v>10932</v>
      </c>
      <c r="B3089" t="s">
        <v>1280</v>
      </c>
      <c r="C3089" t="s">
        <v>1281</v>
      </c>
      <c r="E3089" t="s">
        <v>10933</v>
      </c>
      <c r="F3089" t="s">
        <v>10934</v>
      </c>
      <c r="G3089">
        <v>360.8</v>
      </c>
      <c r="H3089">
        <v>360.8</v>
      </c>
      <c r="I3089" t="s">
        <v>529</v>
      </c>
      <c r="J3089" t="s">
        <v>530</v>
      </c>
      <c r="K3089" t="s">
        <v>31</v>
      </c>
      <c r="L3089" t="s">
        <v>32</v>
      </c>
      <c r="M3089" t="s">
        <v>33</v>
      </c>
      <c r="P3089" s="1" t="s">
        <v>10935</v>
      </c>
      <c r="Q3089" s="1" t="s">
        <v>10933</v>
      </c>
      <c r="R3089" s="1" t="s">
        <v>10324</v>
      </c>
      <c r="S3089" s="1"/>
      <c r="T3089" s="1" t="s">
        <v>1281</v>
      </c>
      <c r="U3089" s="1"/>
      <c r="V3089" s="1">
        <v>360.8</v>
      </c>
      <c r="W3089" s="1">
        <v>360.8</v>
      </c>
      <c r="X3089" s="1" t="s">
        <v>35</v>
      </c>
      <c r="Y3089" s="1">
        <v>360800.0</v>
      </c>
      <c r="Z3089" s="1"/>
      <c r="AA3089" s="1">
        <v>360800.0</v>
      </c>
      <c r="AB3089" s="1"/>
      <c r="AC3089" s="1" t="s">
        <v>36</v>
      </c>
      <c r="AD3089" s="1" t="s">
        <v>10936</v>
      </c>
      <c r="AE3089" s="1" t="s">
        <v>32</v>
      </c>
      <c r="AF3089" s="1" t="s">
        <v>33</v>
      </c>
      <c r="AG3089" s="1" t="s">
        <v>530</v>
      </c>
    </row>
    <row r="3090" spans="1:33">
      <c r="A3090" t="s">
        <v>10937</v>
      </c>
      <c r="B3090" t="s">
        <v>5943</v>
      </c>
      <c r="C3090" t="s">
        <v>5944</v>
      </c>
      <c r="D3090" t="s">
        <v>154</v>
      </c>
      <c r="E3090" t="s">
        <v>10933</v>
      </c>
      <c r="F3090" t="s">
        <v>10938</v>
      </c>
      <c r="G3090">
        <v>656.0</v>
      </c>
      <c r="H3090">
        <v>656.0</v>
      </c>
      <c r="I3090" t="s">
        <v>529</v>
      </c>
      <c r="J3090" t="s">
        <v>530</v>
      </c>
      <c r="K3090" t="s">
        <v>31</v>
      </c>
      <c r="L3090" t="s">
        <v>32</v>
      </c>
      <c r="M3090" t="s">
        <v>33</v>
      </c>
      <c r="P3090" s="1" t="s">
        <v>10939</v>
      </c>
      <c r="Q3090" s="1" t="s">
        <v>10933</v>
      </c>
      <c r="R3090" s="1" t="s">
        <v>10324</v>
      </c>
      <c r="S3090" s="1"/>
      <c r="T3090" s="1" t="s">
        <v>5944</v>
      </c>
      <c r="U3090" s="1"/>
      <c r="V3090" s="1">
        <v>656.0</v>
      </c>
      <c r="W3090" s="1">
        <v>656.0</v>
      </c>
      <c r="X3090" s="1" t="s">
        <v>35</v>
      </c>
      <c r="Y3090" s="1">
        <v>656000.0</v>
      </c>
      <c r="Z3090" s="1"/>
      <c r="AA3090" s="1">
        <v>656000.0</v>
      </c>
      <c r="AB3090" s="1"/>
      <c r="AC3090" s="1" t="s">
        <v>36</v>
      </c>
      <c r="AD3090" s="1" t="s">
        <v>10940</v>
      </c>
      <c r="AE3090" s="1" t="s">
        <v>32</v>
      </c>
      <c r="AF3090" s="1" t="s">
        <v>33</v>
      </c>
      <c r="AG3090" s="1" t="s">
        <v>530</v>
      </c>
    </row>
    <row r="3091" spans="1:33">
      <c r="A3091" t="s">
        <v>10941</v>
      </c>
      <c r="B3091" t="s">
        <v>10942</v>
      </c>
      <c r="C3091" t="s">
        <v>73</v>
      </c>
      <c r="E3091" t="s">
        <v>10933</v>
      </c>
      <c r="F3091" t="s">
        <v>10938</v>
      </c>
      <c r="G3091">
        <v>4.05</v>
      </c>
      <c r="H3091">
        <v>4.05</v>
      </c>
      <c r="I3091" t="s">
        <v>40</v>
      </c>
      <c r="J3091" t="s">
        <v>41</v>
      </c>
      <c r="K3091" t="s">
        <v>31</v>
      </c>
      <c r="L3091" t="s">
        <v>32</v>
      </c>
      <c r="M3091" t="s">
        <v>33</v>
      </c>
      <c r="P3091" s="1" t="s">
        <v>10943</v>
      </c>
      <c r="Q3091" s="1" t="s">
        <v>10933</v>
      </c>
      <c r="R3091" s="1" t="s">
        <v>10324</v>
      </c>
      <c r="S3091" s="1"/>
      <c r="T3091" s="1" t="s">
        <v>75</v>
      </c>
      <c r="U3091" s="1" t="s">
        <v>76</v>
      </c>
      <c r="V3091" s="1">
        <v>4.05</v>
      </c>
      <c r="W3091" s="1">
        <v>4.05</v>
      </c>
      <c r="X3091" s="1" t="s">
        <v>35</v>
      </c>
      <c r="Y3091" s="1">
        <v>4050000.0</v>
      </c>
      <c r="Z3091" s="1"/>
      <c r="AA3091" s="1">
        <v>4050000.0</v>
      </c>
      <c r="AB3091" s="1"/>
      <c r="AC3091" s="1" t="s">
        <v>36</v>
      </c>
      <c r="AD3091" s="1" t="s">
        <v>10944</v>
      </c>
      <c r="AE3091" s="1" t="s">
        <v>32</v>
      </c>
      <c r="AF3091" s="1" t="s">
        <v>33</v>
      </c>
      <c r="AG3091" s="1" t="s">
        <v>41</v>
      </c>
    </row>
    <row r="3092" spans="1:33">
      <c r="A3092" t="s">
        <v>10945</v>
      </c>
      <c r="B3092" t="s">
        <v>10946</v>
      </c>
      <c r="C3092" t="s">
        <v>47</v>
      </c>
      <c r="E3092" t="s">
        <v>10933</v>
      </c>
      <c r="F3092" t="s">
        <v>10938</v>
      </c>
      <c r="G3092">
        <v>42.98</v>
      </c>
      <c r="H3092">
        <v>42.98</v>
      </c>
      <c r="I3092" t="s">
        <v>2206</v>
      </c>
      <c r="J3092" t="s">
        <v>49</v>
      </c>
      <c r="K3092" t="s">
        <v>31</v>
      </c>
      <c r="L3092" t="s">
        <v>32</v>
      </c>
      <c r="M3092" t="s">
        <v>33</v>
      </c>
      <c r="P3092" s="1" t="s">
        <v>10947</v>
      </c>
      <c r="Q3092" s="1" t="s">
        <v>10933</v>
      </c>
      <c r="R3092" s="1" t="s">
        <v>10933</v>
      </c>
      <c r="S3092" s="1"/>
      <c r="T3092" s="1" t="s">
        <v>47</v>
      </c>
      <c r="U3092" s="1"/>
      <c r="V3092" s="1">
        <v>42.98</v>
      </c>
      <c r="W3092" s="1">
        <v>42.98</v>
      </c>
      <c r="X3092" s="1" t="s">
        <v>35</v>
      </c>
      <c r="Y3092" s="1">
        <v>42980.0</v>
      </c>
      <c r="Z3092" s="1"/>
      <c r="AA3092" s="1">
        <v>42980.0</v>
      </c>
      <c r="AB3092" s="1"/>
      <c r="AC3092" s="1" t="s">
        <v>36</v>
      </c>
      <c r="AD3092" s="1" t="s">
        <v>10948</v>
      </c>
      <c r="AE3092" s="1" t="s">
        <v>32</v>
      </c>
      <c r="AF3092" s="1" t="s">
        <v>33</v>
      </c>
      <c r="AG3092" s="1" t="s">
        <v>49</v>
      </c>
    </row>
    <row r="3093" spans="1:33">
      <c r="A3093" t="s">
        <v>10949</v>
      </c>
      <c r="B3093" t="s">
        <v>10950</v>
      </c>
      <c r="C3093" t="s">
        <v>172</v>
      </c>
      <c r="E3093" t="s">
        <v>10933</v>
      </c>
      <c r="F3093" t="s">
        <v>10938</v>
      </c>
      <c r="G3093">
        <v>20.99</v>
      </c>
      <c r="H3093">
        <v>20.99</v>
      </c>
      <c r="I3093" t="s">
        <v>173</v>
      </c>
      <c r="J3093" t="s">
        <v>174</v>
      </c>
      <c r="K3093" t="s">
        <v>31</v>
      </c>
      <c r="L3093" t="s">
        <v>32</v>
      </c>
      <c r="M3093" t="s">
        <v>33</v>
      </c>
      <c r="P3093" s="1" t="s">
        <v>10951</v>
      </c>
      <c r="Q3093" s="1" t="s">
        <v>10933</v>
      </c>
      <c r="R3093" s="1" t="s">
        <v>10933</v>
      </c>
      <c r="S3093" s="1"/>
      <c r="T3093" s="1" t="s">
        <v>172</v>
      </c>
      <c r="U3093" s="1"/>
      <c r="V3093" s="1">
        <v>20.99</v>
      </c>
      <c r="W3093" s="1">
        <v>20.99</v>
      </c>
      <c r="X3093" s="1" t="s">
        <v>35</v>
      </c>
      <c r="Y3093" s="1">
        <v>20990.0</v>
      </c>
      <c r="Z3093" s="1"/>
      <c r="AA3093" s="1">
        <v>20990.0</v>
      </c>
      <c r="AB3093" s="1"/>
      <c r="AC3093" s="1" t="s">
        <v>36</v>
      </c>
      <c r="AD3093" s="1" t="s">
        <v>10952</v>
      </c>
      <c r="AE3093" s="1" t="s">
        <v>32</v>
      </c>
      <c r="AF3093" s="1" t="s">
        <v>33</v>
      </c>
      <c r="AG3093" s="1" t="s">
        <v>174</v>
      </c>
    </row>
    <row r="3094" spans="1:33">
      <c r="A3094" t="s">
        <v>10953</v>
      </c>
      <c r="C3094" t="s">
        <v>866</v>
      </c>
      <c r="D3094" t="s">
        <v>154</v>
      </c>
      <c r="E3094" t="s">
        <v>10933</v>
      </c>
      <c r="F3094" t="s">
        <v>10938</v>
      </c>
      <c r="G3094">
        <v>336.0</v>
      </c>
      <c r="H3094">
        <v>336.0</v>
      </c>
      <c r="I3094" t="s">
        <v>2206</v>
      </c>
      <c r="J3094" t="s">
        <v>49</v>
      </c>
      <c r="K3094" t="s">
        <v>31</v>
      </c>
      <c r="L3094" t="s">
        <v>32</v>
      </c>
      <c r="M3094" t="s">
        <v>33</v>
      </c>
      <c r="P3094" s="1" t="s">
        <v>10954</v>
      </c>
      <c r="Q3094" s="1" t="s">
        <v>10933</v>
      </c>
      <c r="R3094" s="1" t="s">
        <v>10933</v>
      </c>
      <c r="S3094" s="1"/>
      <c r="T3094" s="1" t="s">
        <v>868</v>
      </c>
      <c r="U3094" s="1" t="s">
        <v>869</v>
      </c>
      <c r="V3094" s="1">
        <v>336.0</v>
      </c>
      <c r="W3094" s="1">
        <v>336.0</v>
      </c>
      <c r="X3094" s="1" t="s">
        <v>35</v>
      </c>
      <c r="Y3094" s="1">
        <v>336000.0</v>
      </c>
      <c r="Z3094" s="1"/>
      <c r="AA3094" s="1">
        <v>336000.0</v>
      </c>
      <c r="AB3094" s="1"/>
      <c r="AC3094" s="1" t="s">
        <v>36</v>
      </c>
      <c r="AD3094" s="1" t="s">
        <v>10955</v>
      </c>
      <c r="AE3094" s="1" t="s">
        <v>32</v>
      </c>
      <c r="AF3094" s="1" t="s">
        <v>33</v>
      </c>
      <c r="AG3094" s="1" t="s">
        <v>49</v>
      </c>
    </row>
    <row r="3095" spans="1:33">
      <c r="A3095" t="s">
        <v>10956</v>
      </c>
      <c r="C3095" t="s">
        <v>10957</v>
      </c>
      <c r="E3095" t="s">
        <v>10933</v>
      </c>
      <c r="F3095" t="s">
        <v>10938</v>
      </c>
      <c r="G3095">
        <v>1.438</v>
      </c>
      <c r="H3095">
        <v>1.438</v>
      </c>
      <c r="I3095" t="s">
        <v>94</v>
      </c>
      <c r="J3095" t="s">
        <v>95</v>
      </c>
      <c r="K3095" t="s">
        <v>31</v>
      </c>
      <c r="L3095" t="s">
        <v>32</v>
      </c>
      <c r="M3095" t="s">
        <v>33</v>
      </c>
      <c r="P3095" s="1" t="s">
        <v>10958</v>
      </c>
      <c r="Q3095" s="1" t="s">
        <v>10933</v>
      </c>
      <c r="R3095" s="1" t="s">
        <v>10933</v>
      </c>
      <c r="S3095" s="1"/>
      <c r="T3095" s="1" t="s">
        <v>10957</v>
      </c>
      <c r="U3095" s="1"/>
      <c r="V3095" s="1">
        <v>1.438</v>
      </c>
      <c r="W3095" s="1">
        <v>1.438</v>
      </c>
      <c r="X3095" s="1" t="s">
        <v>35</v>
      </c>
      <c r="Y3095" s="1">
        <v>1438000.0</v>
      </c>
      <c r="Z3095" s="1"/>
      <c r="AA3095" s="1">
        <v>1438000.0</v>
      </c>
      <c r="AB3095" s="1"/>
      <c r="AC3095" s="1" t="s">
        <v>36</v>
      </c>
      <c r="AD3095" s="1" t="s">
        <v>10959</v>
      </c>
      <c r="AE3095" s="1" t="s">
        <v>32</v>
      </c>
      <c r="AF3095" s="1" t="s">
        <v>33</v>
      </c>
      <c r="AG3095" s="1" t="s">
        <v>95</v>
      </c>
    </row>
    <row r="3096" spans="1:33">
      <c r="A3096" t="s">
        <v>10960</v>
      </c>
      <c r="C3096" t="s">
        <v>1012</v>
      </c>
      <c r="D3096" t="s">
        <v>114</v>
      </c>
      <c r="E3096" t="s">
        <v>10933</v>
      </c>
      <c r="F3096" t="s">
        <v>10938</v>
      </c>
      <c r="G3096">
        <v>1.008</v>
      </c>
      <c r="H3096">
        <v>1.008</v>
      </c>
      <c r="I3096" t="s">
        <v>847</v>
      </c>
      <c r="J3096" t="s">
        <v>848</v>
      </c>
      <c r="K3096" t="s">
        <v>31</v>
      </c>
      <c r="L3096" t="s">
        <v>32</v>
      </c>
      <c r="M3096" t="s">
        <v>33</v>
      </c>
      <c r="P3096" s="1" t="s">
        <v>10961</v>
      </c>
      <c r="Q3096" s="1" t="s">
        <v>10933</v>
      </c>
      <c r="R3096" s="1" t="s">
        <v>10933</v>
      </c>
      <c r="S3096" s="1"/>
      <c r="T3096" s="1" t="s">
        <v>1012</v>
      </c>
      <c r="U3096" s="1"/>
      <c r="V3096" s="1">
        <v>1.008</v>
      </c>
      <c r="W3096" s="1">
        <v>1.008</v>
      </c>
      <c r="X3096" s="1" t="s">
        <v>35</v>
      </c>
      <c r="Y3096" s="1">
        <v>1008500.0</v>
      </c>
      <c r="Z3096" s="1"/>
      <c r="AA3096" s="1">
        <v>1008500.0</v>
      </c>
      <c r="AB3096" s="1"/>
      <c r="AC3096" s="1" t="s">
        <v>36</v>
      </c>
      <c r="AD3096" s="1" t="s">
        <v>10955</v>
      </c>
      <c r="AE3096" s="1" t="s">
        <v>32</v>
      </c>
      <c r="AF3096" s="1" t="s">
        <v>33</v>
      </c>
      <c r="AG3096" s="1" t="s">
        <v>848</v>
      </c>
    </row>
    <row r="3097" spans="1:33">
      <c r="A3097" t="s">
        <v>10962</v>
      </c>
      <c r="C3097" t="s">
        <v>3399</v>
      </c>
      <c r="E3097" t="s">
        <v>10933</v>
      </c>
      <c r="F3097" t="s">
        <v>10938</v>
      </c>
      <c r="G3097">
        <v>710.0</v>
      </c>
      <c r="H3097">
        <v>710.0</v>
      </c>
      <c r="I3097" t="s">
        <v>40</v>
      </c>
      <c r="J3097" t="s">
        <v>41</v>
      </c>
      <c r="K3097" t="s">
        <v>31</v>
      </c>
      <c r="L3097" t="s">
        <v>32</v>
      </c>
      <c r="M3097" t="s">
        <v>33</v>
      </c>
      <c r="P3097" s="1" t="s">
        <v>10963</v>
      </c>
      <c r="Q3097" s="1" t="s">
        <v>10933</v>
      </c>
      <c r="R3097" s="1" t="s">
        <v>10324</v>
      </c>
      <c r="S3097" s="1"/>
      <c r="T3097" s="1" t="s">
        <v>3399</v>
      </c>
      <c r="U3097" s="1"/>
      <c r="V3097" s="1">
        <v>710.0</v>
      </c>
      <c r="W3097" s="1">
        <v>710.0</v>
      </c>
      <c r="X3097" s="1" t="s">
        <v>35</v>
      </c>
      <c r="Y3097" s="1">
        <v>710000.0</v>
      </c>
      <c r="Z3097" s="1"/>
      <c r="AA3097" s="1">
        <v>710000.0</v>
      </c>
      <c r="AB3097" s="1"/>
      <c r="AC3097" s="1" t="s">
        <v>36</v>
      </c>
      <c r="AD3097" s="1" t="s">
        <v>10964</v>
      </c>
      <c r="AE3097" s="1" t="s">
        <v>32</v>
      </c>
      <c r="AF3097" s="1" t="s">
        <v>33</v>
      </c>
      <c r="AG3097" s="1" t="s">
        <v>41</v>
      </c>
    </row>
    <row r="3098" spans="1:33">
      <c r="A3098" t="s">
        <v>10965</v>
      </c>
      <c r="C3098" t="s">
        <v>1933</v>
      </c>
      <c r="E3098" t="s">
        <v>10933</v>
      </c>
      <c r="F3098" t="s">
        <v>10938</v>
      </c>
      <c r="G3098">
        <v>792.5</v>
      </c>
      <c r="H3098">
        <v>792.5</v>
      </c>
      <c r="I3098" t="s">
        <v>40</v>
      </c>
      <c r="J3098" t="s">
        <v>41</v>
      </c>
      <c r="K3098" t="s">
        <v>31</v>
      </c>
      <c r="L3098" t="s">
        <v>32</v>
      </c>
      <c r="M3098" t="s">
        <v>33</v>
      </c>
      <c r="P3098" s="1" t="s">
        <v>10966</v>
      </c>
      <c r="Q3098" s="1" t="s">
        <v>10933</v>
      </c>
      <c r="R3098" s="1" t="s">
        <v>10324</v>
      </c>
      <c r="S3098" s="1"/>
      <c r="T3098" s="1" t="s">
        <v>1933</v>
      </c>
      <c r="U3098" s="1"/>
      <c r="V3098" s="1">
        <v>792.5</v>
      </c>
      <c r="W3098" s="1">
        <v>792.5</v>
      </c>
      <c r="X3098" s="1" t="s">
        <v>35</v>
      </c>
      <c r="Y3098" s="1">
        <v>792500.0</v>
      </c>
      <c r="Z3098" s="1"/>
      <c r="AA3098" s="1">
        <v>792500.0</v>
      </c>
      <c r="AB3098" s="1"/>
      <c r="AC3098" s="1" t="s">
        <v>36</v>
      </c>
      <c r="AD3098" s="1" t="s">
        <v>10964</v>
      </c>
      <c r="AE3098" s="1" t="s">
        <v>32</v>
      </c>
      <c r="AF3098" s="1" t="s">
        <v>33</v>
      </c>
      <c r="AG3098" s="1" t="s">
        <v>41</v>
      </c>
    </row>
    <row r="3099" spans="1:33">
      <c r="A3099" t="s">
        <v>10967</v>
      </c>
      <c r="C3099" t="s">
        <v>10968</v>
      </c>
      <c r="D3099" t="s">
        <v>154</v>
      </c>
      <c r="E3099" t="s">
        <v>10933</v>
      </c>
      <c r="F3099" t="s">
        <v>10938</v>
      </c>
      <c r="G3099">
        <v>889.0</v>
      </c>
      <c r="H3099">
        <v>889.0</v>
      </c>
      <c r="I3099" t="s">
        <v>40</v>
      </c>
      <c r="J3099" t="s">
        <v>41</v>
      </c>
      <c r="K3099" t="s">
        <v>31</v>
      </c>
      <c r="L3099" t="s">
        <v>32</v>
      </c>
      <c r="M3099" t="s">
        <v>33</v>
      </c>
      <c r="P3099" s="1" t="s">
        <v>10969</v>
      </c>
      <c r="Q3099" s="1" t="s">
        <v>10933</v>
      </c>
      <c r="R3099" s="1" t="s">
        <v>10324</v>
      </c>
      <c r="S3099" s="1"/>
      <c r="T3099" s="1" t="s">
        <v>10968</v>
      </c>
      <c r="U3099" s="1"/>
      <c r="V3099" s="1">
        <v>889.0</v>
      </c>
      <c r="W3099" s="1">
        <v>889.0</v>
      </c>
      <c r="X3099" s="1" t="s">
        <v>35</v>
      </c>
      <c r="Y3099" s="1">
        <v>889000.0</v>
      </c>
      <c r="Z3099" s="1"/>
      <c r="AA3099" s="1">
        <v>889000.0</v>
      </c>
      <c r="AB3099" s="1"/>
      <c r="AC3099" s="1" t="s">
        <v>36</v>
      </c>
      <c r="AD3099" s="1" t="s">
        <v>10970</v>
      </c>
      <c r="AE3099" s="1" t="s">
        <v>32</v>
      </c>
      <c r="AF3099" s="1" t="s">
        <v>33</v>
      </c>
      <c r="AG3099" s="1" t="s">
        <v>41</v>
      </c>
    </row>
    <row r="3100" spans="1:33">
      <c r="A3100" t="s">
        <v>10971</v>
      </c>
      <c r="C3100" t="s">
        <v>4566</v>
      </c>
      <c r="E3100" t="s">
        <v>10933</v>
      </c>
      <c r="F3100" t="s">
        <v>10938</v>
      </c>
      <c r="G3100">
        <v>414.5</v>
      </c>
      <c r="H3100">
        <v>414.5</v>
      </c>
      <c r="I3100" t="s">
        <v>173</v>
      </c>
      <c r="J3100" t="s">
        <v>174</v>
      </c>
      <c r="K3100" t="s">
        <v>31</v>
      </c>
      <c r="L3100" t="s">
        <v>32</v>
      </c>
      <c r="M3100" t="s">
        <v>33</v>
      </c>
      <c r="P3100" s="1" t="s">
        <v>10972</v>
      </c>
      <c r="Q3100" s="1" t="s">
        <v>10933</v>
      </c>
      <c r="R3100" s="1" t="s">
        <v>10933</v>
      </c>
      <c r="S3100" s="1"/>
      <c r="T3100" s="1" t="s">
        <v>4566</v>
      </c>
      <c r="U3100" s="1"/>
      <c r="V3100" s="1">
        <v>414.5</v>
      </c>
      <c r="W3100" s="1">
        <v>414.5</v>
      </c>
      <c r="X3100" s="1" t="s">
        <v>35</v>
      </c>
      <c r="Y3100" s="1">
        <v>414500.0</v>
      </c>
      <c r="Z3100" s="1"/>
      <c r="AA3100" s="1">
        <v>414500.0</v>
      </c>
      <c r="AB3100" s="1"/>
      <c r="AC3100" s="1" t="s">
        <v>36</v>
      </c>
      <c r="AD3100" s="1" t="s">
        <v>10973</v>
      </c>
      <c r="AE3100" s="1" t="s">
        <v>32</v>
      </c>
      <c r="AF3100" s="1" t="s">
        <v>33</v>
      </c>
      <c r="AG3100" s="1" t="s">
        <v>174</v>
      </c>
    </row>
    <row r="3101" spans="1:33">
      <c r="A3101" t="s">
        <v>10974</v>
      </c>
      <c r="B3101" t="s">
        <v>57</v>
      </c>
      <c r="C3101" t="s">
        <v>58</v>
      </c>
      <c r="E3101" t="s">
        <v>10933</v>
      </c>
      <c r="F3101" t="s">
        <v>10938</v>
      </c>
      <c r="G3101">
        <v>370.0</v>
      </c>
      <c r="H3101">
        <v>370.0</v>
      </c>
      <c r="I3101" t="s">
        <v>59</v>
      </c>
      <c r="J3101" t="s">
        <v>60</v>
      </c>
      <c r="K3101" t="s">
        <v>31</v>
      </c>
      <c r="L3101" t="s">
        <v>32</v>
      </c>
      <c r="M3101" t="s">
        <v>33</v>
      </c>
      <c r="P3101" s="1" t="s">
        <v>10975</v>
      </c>
      <c r="Q3101" s="1" t="s">
        <v>10933</v>
      </c>
      <c r="R3101" s="1" t="s">
        <v>10933</v>
      </c>
      <c r="S3101" s="1"/>
      <c r="T3101" s="1" t="s">
        <v>58</v>
      </c>
      <c r="U3101" s="1"/>
      <c r="V3101" s="1">
        <v>370.0</v>
      </c>
      <c r="W3101" s="1">
        <v>370.0</v>
      </c>
      <c r="X3101" s="1" t="s">
        <v>35</v>
      </c>
      <c r="Y3101" s="1">
        <v>370000.0</v>
      </c>
      <c r="Z3101" s="1"/>
      <c r="AA3101" s="1">
        <v>370000.0</v>
      </c>
      <c r="AB3101" s="1"/>
      <c r="AC3101" s="1" t="s">
        <v>36</v>
      </c>
      <c r="AD3101" s="1" t="s">
        <v>10959</v>
      </c>
      <c r="AE3101" s="1" t="s">
        <v>32</v>
      </c>
      <c r="AF3101" s="1" t="s">
        <v>33</v>
      </c>
      <c r="AG3101" s="1" t="s">
        <v>60</v>
      </c>
    </row>
    <row r="3102" spans="1:33">
      <c r="A3102" t="s">
        <v>10976</v>
      </c>
      <c r="B3102" t="s">
        <v>10477</v>
      </c>
      <c r="C3102" t="s">
        <v>125</v>
      </c>
      <c r="E3102" t="s">
        <v>10933</v>
      </c>
      <c r="F3102" t="s">
        <v>10938</v>
      </c>
      <c r="G3102">
        <v>44.98</v>
      </c>
      <c r="H3102">
        <v>44.98</v>
      </c>
      <c r="I3102" t="s">
        <v>126</v>
      </c>
      <c r="J3102" t="s">
        <v>127</v>
      </c>
      <c r="K3102" t="s">
        <v>31</v>
      </c>
      <c r="L3102" t="s">
        <v>32</v>
      </c>
      <c r="M3102" t="s">
        <v>33</v>
      </c>
      <c r="P3102" s="1" t="s">
        <v>10977</v>
      </c>
      <c r="Q3102" s="1" t="s">
        <v>10933</v>
      </c>
      <c r="R3102" s="1" t="s">
        <v>10933</v>
      </c>
      <c r="S3102" s="1"/>
      <c r="T3102" s="1" t="s">
        <v>125</v>
      </c>
      <c r="U3102" s="1"/>
      <c r="V3102" s="1">
        <v>44.98</v>
      </c>
      <c r="W3102" s="1">
        <v>44.98</v>
      </c>
      <c r="X3102" s="1" t="s">
        <v>35</v>
      </c>
      <c r="Y3102" s="1">
        <v>44980.0</v>
      </c>
      <c r="Z3102" s="1"/>
      <c r="AA3102" s="1">
        <v>44980.0</v>
      </c>
      <c r="AB3102" s="1"/>
      <c r="AC3102" s="1" t="s">
        <v>36</v>
      </c>
      <c r="AD3102" s="1" t="s">
        <v>10978</v>
      </c>
      <c r="AE3102" s="1" t="s">
        <v>32</v>
      </c>
      <c r="AF3102" s="1" t="s">
        <v>33</v>
      </c>
      <c r="AG3102" s="1" t="s">
        <v>127</v>
      </c>
    </row>
    <row r="3103" spans="1:33">
      <c r="A3103" t="s">
        <v>10979</v>
      </c>
      <c r="C3103" t="s">
        <v>329</v>
      </c>
      <c r="E3103" t="s">
        <v>10933</v>
      </c>
      <c r="F3103" t="s">
        <v>10938</v>
      </c>
      <c r="G3103">
        <v>1.319</v>
      </c>
      <c r="H3103">
        <v>1.319</v>
      </c>
      <c r="I3103" t="s">
        <v>94</v>
      </c>
      <c r="J3103" t="s">
        <v>95</v>
      </c>
      <c r="K3103" t="s">
        <v>31</v>
      </c>
      <c r="L3103" t="s">
        <v>32</v>
      </c>
      <c r="M3103" t="s">
        <v>33</v>
      </c>
      <c r="P3103" s="1" t="s">
        <v>10980</v>
      </c>
      <c r="Q3103" s="1" t="s">
        <v>10933</v>
      </c>
      <c r="R3103" s="1" t="s">
        <v>10933</v>
      </c>
      <c r="S3103" s="1"/>
      <c r="T3103" s="1" t="s">
        <v>331</v>
      </c>
      <c r="U3103" s="1" t="s">
        <v>332</v>
      </c>
      <c r="V3103" s="1">
        <v>1.319</v>
      </c>
      <c r="W3103" s="1">
        <v>1.319</v>
      </c>
      <c r="X3103" s="1" t="s">
        <v>35</v>
      </c>
      <c r="Y3103" s="1">
        <v>1319160.0</v>
      </c>
      <c r="Z3103" s="1"/>
      <c r="AA3103" s="1">
        <v>1319160.0</v>
      </c>
      <c r="AB3103" s="1"/>
      <c r="AC3103" s="1" t="s">
        <v>36</v>
      </c>
      <c r="AD3103" s="1" t="s">
        <v>10964</v>
      </c>
      <c r="AE3103" s="1" t="s">
        <v>32</v>
      </c>
      <c r="AF3103" s="1" t="s">
        <v>33</v>
      </c>
      <c r="AG3103" s="1" t="s">
        <v>95</v>
      </c>
    </row>
    <row r="3104" spans="1:33">
      <c r="A3104" t="s">
        <v>10981</v>
      </c>
      <c r="B3104" t="s">
        <v>10982</v>
      </c>
      <c r="C3104" t="s">
        <v>135</v>
      </c>
      <c r="E3104" t="s">
        <v>10933</v>
      </c>
      <c r="F3104" t="s">
        <v>10938</v>
      </c>
      <c r="G3104">
        <v>49.75</v>
      </c>
      <c r="H3104">
        <v>49.75</v>
      </c>
      <c r="I3104" t="s">
        <v>136</v>
      </c>
      <c r="J3104" t="s">
        <v>137</v>
      </c>
      <c r="K3104" t="s">
        <v>31</v>
      </c>
      <c r="L3104" t="s">
        <v>32</v>
      </c>
      <c r="M3104" t="s">
        <v>33</v>
      </c>
      <c r="P3104" s="1" t="s">
        <v>10983</v>
      </c>
      <c r="Q3104" s="1" t="s">
        <v>10933</v>
      </c>
      <c r="R3104" s="1" t="s">
        <v>10933</v>
      </c>
      <c r="S3104" s="1"/>
      <c r="T3104" s="1" t="s">
        <v>135</v>
      </c>
      <c r="U3104" s="1"/>
      <c r="V3104" s="1">
        <v>49.75</v>
      </c>
      <c r="W3104" s="1">
        <v>49.75</v>
      </c>
      <c r="X3104" s="1" t="s">
        <v>35</v>
      </c>
      <c r="Y3104" s="1">
        <v>49750.0</v>
      </c>
      <c r="Z3104" s="1"/>
      <c r="AA3104" s="1">
        <v>49750.0</v>
      </c>
      <c r="AB3104" s="1"/>
      <c r="AC3104" s="1" t="s">
        <v>36</v>
      </c>
      <c r="AD3104" s="1" t="s">
        <v>10984</v>
      </c>
      <c r="AE3104" s="1" t="s">
        <v>32</v>
      </c>
      <c r="AF3104" s="1" t="s">
        <v>33</v>
      </c>
      <c r="AG3104" s="1" t="s">
        <v>137</v>
      </c>
    </row>
    <row r="3105" spans="1:33">
      <c r="A3105" t="s">
        <v>10985</v>
      </c>
      <c r="B3105" t="s">
        <v>4508</v>
      </c>
      <c r="C3105" t="s">
        <v>268</v>
      </c>
      <c r="E3105" t="s">
        <v>10933</v>
      </c>
      <c r="F3105" t="s">
        <v>10938</v>
      </c>
      <c r="G3105">
        <v>33.75</v>
      </c>
      <c r="H3105">
        <v>33.75</v>
      </c>
      <c r="I3105" t="s">
        <v>269</v>
      </c>
      <c r="J3105" t="s">
        <v>270</v>
      </c>
      <c r="K3105" t="s">
        <v>31</v>
      </c>
      <c r="L3105" t="s">
        <v>32</v>
      </c>
      <c r="M3105" t="s">
        <v>33</v>
      </c>
      <c r="P3105" s="1" t="s">
        <v>10986</v>
      </c>
      <c r="Q3105" s="1" t="s">
        <v>10933</v>
      </c>
      <c r="R3105" s="1" t="s">
        <v>10933</v>
      </c>
      <c r="S3105" s="1"/>
      <c r="T3105" s="1" t="s">
        <v>268</v>
      </c>
      <c r="U3105" s="1"/>
      <c r="V3105" s="1">
        <v>33.75</v>
      </c>
      <c r="W3105" s="1">
        <v>33.75</v>
      </c>
      <c r="X3105" s="1" t="s">
        <v>35</v>
      </c>
      <c r="Y3105" s="1">
        <v>33750.0</v>
      </c>
      <c r="Z3105" s="1"/>
      <c r="AA3105" s="1">
        <v>33750.0</v>
      </c>
      <c r="AB3105" s="1"/>
      <c r="AC3105" s="1" t="s">
        <v>36</v>
      </c>
      <c r="AD3105" s="1" t="s">
        <v>10987</v>
      </c>
      <c r="AE3105" s="1" t="s">
        <v>32</v>
      </c>
      <c r="AF3105" s="1" t="s">
        <v>33</v>
      </c>
      <c r="AG3105" s="1" t="s">
        <v>270</v>
      </c>
    </row>
    <row r="3106" spans="1:33">
      <c r="A3106" t="s">
        <v>10988</v>
      </c>
      <c r="B3106" t="s">
        <v>10989</v>
      </c>
      <c r="C3106" t="s">
        <v>268</v>
      </c>
      <c r="E3106" t="s">
        <v>10933</v>
      </c>
      <c r="F3106" t="s">
        <v>10938</v>
      </c>
      <c r="G3106">
        <v>28.25</v>
      </c>
      <c r="H3106">
        <v>28.25</v>
      </c>
      <c r="I3106" t="s">
        <v>269</v>
      </c>
      <c r="J3106" t="s">
        <v>270</v>
      </c>
      <c r="K3106" t="s">
        <v>31</v>
      </c>
      <c r="L3106" t="s">
        <v>32</v>
      </c>
      <c r="M3106" t="s">
        <v>33</v>
      </c>
      <c r="P3106" s="1" t="s">
        <v>10990</v>
      </c>
      <c r="Q3106" s="1" t="s">
        <v>10933</v>
      </c>
      <c r="R3106" s="1" t="s">
        <v>10933</v>
      </c>
      <c r="S3106" s="1"/>
      <c r="T3106" s="1" t="s">
        <v>268</v>
      </c>
      <c r="U3106" s="1"/>
      <c r="V3106" s="1">
        <v>28.25</v>
      </c>
      <c r="W3106" s="1">
        <v>28.25</v>
      </c>
      <c r="X3106" s="1" t="s">
        <v>35</v>
      </c>
      <c r="Y3106" s="1">
        <v>28250.0</v>
      </c>
      <c r="Z3106" s="1"/>
      <c r="AA3106" s="1">
        <v>28250.0</v>
      </c>
      <c r="AB3106" s="1"/>
      <c r="AC3106" s="1" t="s">
        <v>36</v>
      </c>
      <c r="AD3106" s="1" t="s">
        <v>10991</v>
      </c>
      <c r="AE3106" s="1" t="s">
        <v>32</v>
      </c>
      <c r="AF3106" s="1" t="s">
        <v>33</v>
      </c>
      <c r="AG3106" s="1" t="s">
        <v>270</v>
      </c>
    </row>
    <row r="3107" spans="1:33">
      <c r="A3107" t="s">
        <v>10992</v>
      </c>
      <c r="C3107" t="s">
        <v>3979</v>
      </c>
      <c r="E3107" t="s">
        <v>10933</v>
      </c>
      <c r="F3107" t="s">
        <v>10938</v>
      </c>
      <c r="G3107">
        <v>462.0</v>
      </c>
      <c r="H3107">
        <v>462.0</v>
      </c>
      <c r="I3107" t="s">
        <v>126</v>
      </c>
      <c r="J3107" t="s">
        <v>127</v>
      </c>
      <c r="K3107" t="s">
        <v>31</v>
      </c>
      <c r="L3107" t="s">
        <v>32</v>
      </c>
      <c r="M3107" t="s">
        <v>33</v>
      </c>
      <c r="P3107" s="1" t="s">
        <v>10993</v>
      </c>
      <c r="Q3107" s="1" t="s">
        <v>10933</v>
      </c>
      <c r="R3107" s="1" t="s">
        <v>10933</v>
      </c>
      <c r="S3107" s="1"/>
      <c r="T3107" s="1" t="s">
        <v>3979</v>
      </c>
      <c r="U3107" s="1"/>
      <c r="V3107" s="1">
        <v>462.0</v>
      </c>
      <c r="W3107" s="1">
        <v>462.0</v>
      </c>
      <c r="X3107" s="1" t="s">
        <v>35</v>
      </c>
      <c r="Y3107" s="1">
        <v>462000.0</v>
      </c>
      <c r="Z3107" s="1"/>
      <c r="AA3107" s="1">
        <v>462000.0</v>
      </c>
      <c r="AB3107" s="1"/>
      <c r="AC3107" s="1" t="s">
        <v>36</v>
      </c>
      <c r="AD3107" s="1" t="s">
        <v>10994</v>
      </c>
      <c r="AE3107" s="1" t="s">
        <v>32</v>
      </c>
      <c r="AF3107" s="1" t="s">
        <v>33</v>
      </c>
      <c r="AG3107" s="1" t="s">
        <v>127</v>
      </c>
    </row>
    <row r="3108" spans="1:33">
      <c r="A3108" t="s">
        <v>10995</v>
      </c>
      <c r="C3108" t="s">
        <v>1024</v>
      </c>
      <c r="E3108" t="s">
        <v>10933</v>
      </c>
      <c r="F3108" t="s">
        <v>10938</v>
      </c>
      <c r="G3108">
        <v>358.6</v>
      </c>
      <c r="H3108">
        <v>358.6</v>
      </c>
      <c r="I3108" t="s">
        <v>847</v>
      </c>
      <c r="J3108" t="s">
        <v>848</v>
      </c>
      <c r="K3108" t="s">
        <v>31</v>
      </c>
      <c r="L3108" t="s">
        <v>32</v>
      </c>
      <c r="M3108" t="s">
        <v>33</v>
      </c>
      <c r="P3108" s="1" t="s">
        <v>10996</v>
      </c>
      <c r="Q3108" s="1" t="s">
        <v>10933</v>
      </c>
      <c r="R3108" s="1" t="s">
        <v>10933</v>
      </c>
      <c r="S3108" s="1"/>
      <c r="T3108" s="1" t="s">
        <v>1024</v>
      </c>
      <c r="U3108" s="1"/>
      <c r="V3108" s="1">
        <v>358.6</v>
      </c>
      <c r="W3108" s="1">
        <v>358.6</v>
      </c>
      <c r="X3108" s="1" t="s">
        <v>35</v>
      </c>
      <c r="Y3108" s="1">
        <v>358600.0</v>
      </c>
      <c r="Z3108" s="1"/>
      <c r="AA3108" s="1">
        <v>358600.0</v>
      </c>
      <c r="AB3108" s="1"/>
      <c r="AC3108" s="1" t="s">
        <v>36</v>
      </c>
      <c r="AD3108" s="1" t="s">
        <v>10997</v>
      </c>
      <c r="AE3108" s="1" t="s">
        <v>32</v>
      </c>
      <c r="AF3108" s="1" t="s">
        <v>33</v>
      </c>
      <c r="AG3108" s="1" t="s">
        <v>848</v>
      </c>
    </row>
    <row r="3109" spans="1:33">
      <c r="A3109" t="s">
        <v>10998</v>
      </c>
      <c r="C3109" t="s">
        <v>3410</v>
      </c>
      <c r="E3109" t="s">
        <v>10933</v>
      </c>
      <c r="F3109" t="s">
        <v>10938</v>
      </c>
      <c r="G3109">
        <v>475.9</v>
      </c>
      <c r="H3109">
        <v>475.9</v>
      </c>
      <c r="I3109" t="s">
        <v>2206</v>
      </c>
      <c r="J3109" t="s">
        <v>49</v>
      </c>
      <c r="K3109" t="s">
        <v>31</v>
      </c>
      <c r="L3109" t="s">
        <v>32</v>
      </c>
      <c r="M3109" t="s">
        <v>33</v>
      </c>
      <c r="P3109" s="1" t="s">
        <v>10999</v>
      </c>
      <c r="Q3109" s="1" t="s">
        <v>10933</v>
      </c>
      <c r="R3109" s="1" t="s">
        <v>10933</v>
      </c>
      <c r="S3109" s="1"/>
      <c r="T3109" s="1" t="s">
        <v>3410</v>
      </c>
      <c r="U3109" s="1"/>
      <c r="V3109" s="1">
        <v>475.9</v>
      </c>
      <c r="W3109" s="1">
        <v>475.9</v>
      </c>
      <c r="X3109" s="1" t="s">
        <v>35</v>
      </c>
      <c r="Y3109" s="1">
        <v>476400.0</v>
      </c>
      <c r="Z3109" s="1">
        <v>-500</v>
      </c>
      <c r="AA3109" s="1">
        <v>476400.0</v>
      </c>
      <c r="AB3109" s="1">
        <v>-500</v>
      </c>
      <c r="AC3109" s="1" t="s">
        <v>36</v>
      </c>
      <c r="AD3109" s="1" t="s">
        <v>11000</v>
      </c>
      <c r="AE3109" s="1" t="s">
        <v>32</v>
      </c>
      <c r="AF3109" s="1" t="s">
        <v>33</v>
      </c>
      <c r="AG3109" s="1" t="s">
        <v>49</v>
      </c>
    </row>
    <row r="3110" spans="1:33">
      <c r="A3110" t="s">
        <v>11001</v>
      </c>
      <c r="C3110" t="s">
        <v>1785</v>
      </c>
      <c r="E3110" t="s">
        <v>10933</v>
      </c>
      <c r="F3110" t="s">
        <v>10325</v>
      </c>
      <c r="G3110">
        <v>1.424</v>
      </c>
      <c r="H3110">
        <v>1.424</v>
      </c>
      <c r="I3110" t="s">
        <v>847</v>
      </c>
      <c r="J3110" t="s">
        <v>848</v>
      </c>
      <c r="K3110" t="s">
        <v>31</v>
      </c>
      <c r="L3110" t="s">
        <v>32</v>
      </c>
      <c r="M3110" t="s">
        <v>33</v>
      </c>
      <c r="P3110" s="1" t="s">
        <v>11002</v>
      </c>
      <c r="Q3110" s="1" t="s">
        <v>10933</v>
      </c>
      <c r="R3110" s="1" t="s">
        <v>10933</v>
      </c>
      <c r="S3110" s="1"/>
      <c r="T3110" s="1" t="s">
        <v>1785</v>
      </c>
      <c r="U3110" s="1"/>
      <c r="V3110" s="1">
        <v>1.424</v>
      </c>
      <c r="W3110" s="1">
        <v>1.424</v>
      </c>
      <c r="X3110" s="1" t="s">
        <v>35</v>
      </c>
      <c r="Y3110" s="1">
        <v>1424000.0</v>
      </c>
      <c r="Z3110" s="1"/>
      <c r="AA3110" s="1">
        <v>1424000.0</v>
      </c>
      <c r="AB3110" s="1"/>
      <c r="AC3110" s="1" t="s">
        <v>36</v>
      </c>
      <c r="AD3110" s="1" t="s">
        <v>11003</v>
      </c>
      <c r="AE3110" s="1" t="s">
        <v>32</v>
      </c>
      <c r="AF3110" s="1" t="s">
        <v>33</v>
      </c>
      <c r="AG3110" s="1" t="s">
        <v>848</v>
      </c>
    </row>
    <row r="3111" spans="1:33">
      <c r="A3111" t="s">
        <v>11004</v>
      </c>
      <c r="C3111" t="s">
        <v>11005</v>
      </c>
      <c r="E3111" t="s">
        <v>10933</v>
      </c>
      <c r="F3111" t="s">
        <v>10938</v>
      </c>
      <c r="G3111">
        <v>328.0</v>
      </c>
      <c r="H3111">
        <v>328.0</v>
      </c>
      <c r="I3111" t="s">
        <v>227</v>
      </c>
      <c r="J3111" t="s">
        <v>228</v>
      </c>
      <c r="K3111" t="s">
        <v>31</v>
      </c>
      <c r="L3111" t="s">
        <v>32</v>
      </c>
      <c r="M3111" t="s">
        <v>33</v>
      </c>
      <c r="P3111" s="1" t="s">
        <v>11006</v>
      </c>
      <c r="Q3111" s="1" t="s">
        <v>10933</v>
      </c>
      <c r="R3111" s="1" t="s">
        <v>10933</v>
      </c>
      <c r="S3111" s="1"/>
      <c r="T3111" s="1" t="s">
        <v>11005</v>
      </c>
      <c r="U3111" s="1"/>
      <c r="V3111" s="1">
        <v>328.0</v>
      </c>
      <c r="W3111" s="1">
        <v>328.0</v>
      </c>
      <c r="X3111" s="1" t="s">
        <v>35</v>
      </c>
      <c r="Y3111" s="1">
        <v>328000.0</v>
      </c>
      <c r="Z3111" s="1"/>
      <c r="AA3111" s="1">
        <v>328000.0</v>
      </c>
      <c r="AB3111" s="1"/>
      <c r="AC3111" s="1" t="s">
        <v>36</v>
      </c>
      <c r="AD3111" s="1" t="s">
        <v>11007</v>
      </c>
      <c r="AE3111" s="1" t="s">
        <v>32</v>
      </c>
      <c r="AF3111" s="1" t="s">
        <v>33</v>
      </c>
      <c r="AG3111" s="1" t="s">
        <v>228</v>
      </c>
    </row>
    <row r="3112" spans="1:33">
      <c r="A3112" t="s">
        <v>11008</v>
      </c>
      <c r="B3112" t="s">
        <v>11009</v>
      </c>
      <c r="C3112" t="s">
        <v>906</v>
      </c>
      <c r="E3112" t="s">
        <v>10933</v>
      </c>
      <c r="F3112" t="s">
        <v>10938</v>
      </c>
      <c r="G3112">
        <v>7.44</v>
      </c>
      <c r="H3112">
        <v>7.44</v>
      </c>
      <c r="I3112" t="s">
        <v>847</v>
      </c>
      <c r="J3112" t="s">
        <v>848</v>
      </c>
      <c r="K3112" t="s">
        <v>31</v>
      </c>
      <c r="L3112" t="s">
        <v>32</v>
      </c>
      <c r="M3112" t="s">
        <v>33</v>
      </c>
      <c r="P3112" s="1" t="s">
        <v>11010</v>
      </c>
      <c r="Q3112" s="1" t="s">
        <v>10933</v>
      </c>
      <c r="R3112" s="1" t="s">
        <v>10933</v>
      </c>
      <c r="S3112" s="1"/>
      <c r="T3112" s="1" t="s">
        <v>906</v>
      </c>
      <c r="U3112" s="1"/>
      <c r="V3112" s="1">
        <v>7.44</v>
      </c>
      <c r="W3112" s="1">
        <v>7.44</v>
      </c>
      <c r="X3112" s="1" t="s">
        <v>35</v>
      </c>
      <c r="Y3112" s="1">
        <v>7440.0</v>
      </c>
      <c r="Z3112" s="1"/>
      <c r="AA3112" s="1">
        <v>7440.0</v>
      </c>
      <c r="AB3112" s="1"/>
      <c r="AC3112" s="1" t="s">
        <v>36</v>
      </c>
      <c r="AD3112" s="1" t="s">
        <v>11011</v>
      </c>
      <c r="AE3112" s="1" t="s">
        <v>32</v>
      </c>
      <c r="AF3112" s="1" t="s">
        <v>33</v>
      </c>
      <c r="AG3112" s="1" t="s">
        <v>848</v>
      </c>
    </row>
    <row r="3113" spans="1:33">
      <c r="A3113" t="s">
        <v>11012</v>
      </c>
      <c r="B3113" t="s">
        <v>3168</v>
      </c>
      <c r="C3113" t="s">
        <v>3169</v>
      </c>
      <c r="E3113" t="s">
        <v>10933</v>
      </c>
      <c r="F3113" t="s">
        <v>10938</v>
      </c>
      <c r="G3113">
        <v>1.002</v>
      </c>
      <c r="H3113">
        <v>1.002</v>
      </c>
      <c r="I3113" t="s">
        <v>529</v>
      </c>
      <c r="J3113" t="s">
        <v>530</v>
      </c>
      <c r="K3113" t="s">
        <v>31</v>
      </c>
      <c r="L3113" t="s">
        <v>32</v>
      </c>
      <c r="M3113" t="s">
        <v>33</v>
      </c>
      <c r="P3113" s="1" t="s">
        <v>11013</v>
      </c>
      <c r="Q3113" s="1" t="s">
        <v>10933</v>
      </c>
      <c r="R3113" s="1" t="s">
        <v>10324</v>
      </c>
      <c r="S3113" s="1"/>
      <c r="T3113" s="1" t="s">
        <v>3169</v>
      </c>
      <c r="U3113" s="1"/>
      <c r="V3113" s="1">
        <v>1.002</v>
      </c>
      <c r="W3113" s="1">
        <v>1.002</v>
      </c>
      <c r="X3113" s="1" t="s">
        <v>35</v>
      </c>
      <c r="Y3113" s="1">
        <v>1002498.0</v>
      </c>
      <c r="Z3113" s="1"/>
      <c r="AA3113" s="1">
        <v>1002498.0</v>
      </c>
      <c r="AB3113" s="1"/>
      <c r="AC3113" s="1" t="s">
        <v>36</v>
      </c>
      <c r="AD3113" s="1" t="s">
        <v>11014</v>
      </c>
      <c r="AE3113" s="1" t="s">
        <v>32</v>
      </c>
      <c r="AF3113" s="1" t="s">
        <v>33</v>
      </c>
      <c r="AG3113" s="1" t="s">
        <v>530</v>
      </c>
    </row>
    <row r="3114" spans="1:33">
      <c r="A3114" t="s">
        <v>11015</v>
      </c>
      <c r="B3114" t="s">
        <v>1317</v>
      </c>
      <c r="C3114" t="s">
        <v>1318</v>
      </c>
      <c r="E3114" t="s">
        <v>10933</v>
      </c>
      <c r="F3114" t="s">
        <v>10938</v>
      </c>
      <c r="G3114">
        <v>740.0</v>
      </c>
      <c r="H3114">
        <v>740.0</v>
      </c>
      <c r="I3114" t="s">
        <v>59</v>
      </c>
      <c r="J3114" t="s">
        <v>60</v>
      </c>
      <c r="K3114" t="s">
        <v>31</v>
      </c>
      <c r="L3114" t="s">
        <v>32</v>
      </c>
      <c r="M3114" t="s">
        <v>33</v>
      </c>
      <c r="P3114" s="1" t="s">
        <v>11016</v>
      </c>
      <c r="Q3114" s="1" t="s">
        <v>10933</v>
      </c>
      <c r="R3114" s="1" t="s">
        <v>10933</v>
      </c>
      <c r="S3114" s="1"/>
      <c r="T3114" s="1" t="s">
        <v>1318</v>
      </c>
      <c r="U3114" s="1"/>
      <c r="V3114" s="1">
        <v>740.0</v>
      </c>
      <c r="W3114" s="1">
        <v>740.0</v>
      </c>
      <c r="X3114" s="1" t="s">
        <v>35</v>
      </c>
      <c r="Y3114" s="1">
        <v>740000.0</v>
      </c>
      <c r="Z3114" s="1"/>
      <c r="AA3114" s="1">
        <v>740000.0</v>
      </c>
      <c r="AB3114" s="1"/>
      <c r="AC3114" s="1" t="s">
        <v>36</v>
      </c>
      <c r="AD3114" s="1" t="s">
        <v>11003</v>
      </c>
      <c r="AE3114" s="1" t="s">
        <v>32</v>
      </c>
      <c r="AF3114" s="1" t="s">
        <v>33</v>
      </c>
      <c r="AG3114" s="1" t="s">
        <v>60</v>
      </c>
    </row>
    <row r="3115" spans="1:33">
      <c r="A3115" t="s">
        <v>11017</v>
      </c>
      <c r="B3115" t="s">
        <v>9259</v>
      </c>
      <c r="C3115" t="s">
        <v>314</v>
      </c>
      <c r="E3115" t="s">
        <v>10933</v>
      </c>
      <c r="F3115" t="s">
        <v>10938</v>
      </c>
      <c r="G3115">
        <v>101.22</v>
      </c>
      <c r="H3115">
        <v>101.22</v>
      </c>
      <c r="I3115" t="s">
        <v>179</v>
      </c>
      <c r="J3115" t="s">
        <v>180</v>
      </c>
      <c r="K3115" t="s">
        <v>31</v>
      </c>
      <c r="L3115" t="s">
        <v>32</v>
      </c>
      <c r="M3115" t="s">
        <v>33</v>
      </c>
      <c r="P3115" s="1" t="s">
        <v>11018</v>
      </c>
      <c r="Q3115" s="1" t="s">
        <v>10933</v>
      </c>
      <c r="R3115" s="1" t="s">
        <v>10933</v>
      </c>
      <c r="S3115" s="1"/>
      <c r="T3115" s="1" t="s">
        <v>314</v>
      </c>
      <c r="U3115" s="1"/>
      <c r="V3115" s="1">
        <v>101.22</v>
      </c>
      <c r="W3115" s="1">
        <v>101.22</v>
      </c>
      <c r="X3115" s="1" t="s">
        <v>35</v>
      </c>
      <c r="Y3115" s="1">
        <v>101220.0</v>
      </c>
      <c r="Z3115" s="1"/>
      <c r="AA3115" s="1">
        <v>101220.0</v>
      </c>
      <c r="AB3115" s="1"/>
      <c r="AC3115" s="1" t="s">
        <v>36</v>
      </c>
      <c r="AD3115" s="1" t="s">
        <v>11019</v>
      </c>
      <c r="AE3115" s="1" t="s">
        <v>32</v>
      </c>
      <c r="AF3115" s="1" t="s">
        <v>33</v>
      </c>
      <c r="AG3115" s="1" t="s">
        <v>180</v>
      </c>
    </row>
    <row r="3116" spans="1:33">
      <c r="A3116" t="s">
        <v>11020</v>
      </c>
      <c r="C3116" t="s">
        <v>981</v>
      </c>
      <c r="E3116" t="s">
        <v>10933</v>
      </c>
      <c r="F3116" t="s">
        <v>10938</v>
      </c>
      <c r="G3116">
        <v>45.0</v>
      </c>
      <c r="H3116">
        <v>45.0</v>
      </c>
      <c r="I3116" t="s">
        <v>847</v>
      </c>
      <c r="J3116" t="s">
        <v>848</v>
      </c>
      <c r="K3116" t="s">
        <v>31</v>
      </c>
      <c r="L3116" t="s">
        <v>32</v>
      </c>
      <c r="M3116" t="s">
        <v>33</v>
      </c>
      <c r="P3116" s="1" t="s">
        <v>11021</v>
      </c>
      <c r="Q3116" s="1" t="s">
        <v>10933</v>
      </c>
      <c r="R3116" s="1" t="s">
        <v>10933</v>
      </c>
      <c r="S3116" s="1"/>
      <c r="T3116" s="1" t="s">
        <v>981</v>
      </c>
      <c r="U3116" s="1"/>
      <c r="V3116" s="1">
        <v>45.0</v>
      </c>
      <c r="W3116" s="1">
        <v>45.0</v>
      </c>
      <c r="X3116" s="1" t="s">
        <v>35</v>
      </c>
      <c r="Y3116" s="1">
        <v>45000.0</v>
      </c>
      <c r="Z3116" s="1"/>
      <c r="AA3116" s="1">
        <v>45000.0</v>
      </c>
      <c r="AB3116" s="1"/>
      <c r="AC3116" s="1" t="s">
        <v>36</v>
      </c>
      <c r="AD3116" s="1" t="s">
        <v>11022</v>
      </c>
      <c r="AE3116" s="1" t="s">
        <v>32</v>
      </c>
      <c r="AF3116" s="1" t="s">
        <v>33</v>
      </c>
      <c r="AG3116" s="1" t="s">
        <v>848</v>
      </c>
    </row>
    <row r="3117" spans="1:33">
      <c r="A3117" t="s">
        <v>11023</v>
      </c>
      <c r="B3117" t="s">
        <v>4058</v>
      </c>
      <c r="C3117" t="s">
        <v>4059</v>
      </c>
      <c r="E3117" t="s">
        <v>10933</v>
      </c>
      <c r="F3117" t="s">
        <v>10938</v>
      </c>
      <c r="G3117">
        <v>485.0</v>
      </c>
      <c r="H3117">
        <v>485.0</v>
      </c>
      <c r="I3117" t="s">
        <v>29</v>
      </c>
      <c r="J3117" t="s">
        <v>30</v>
      </c>
      <c r="K3117" t="s">
        <v>31</v>
      </c>
      <c r="L3117" t="s">
        <v>32</v>
      </c>
      <c r="M3117" t="s">
        <v>33</v>
      </c>
      <c r="P3117" s="1" t="s">
        <v>11024</v>
      </c>
      <c r="Q3117" s="1" t="s">
        <v>10933</v>
      </c>
      <c r="R3117" s="1" t="s">
        <v>10933</v>
      </c>
      <c r="S3117" s="1"/>
      <c r="T3117" s="1" t="s">
        <v>4059</v>
      </c>
      <c r="U3117" s="1"/>
      <c r="V3117" s="1">
        <v>485.0</v>
      </c>
      <c r="W3117" s="1">
        <v>485.0</v>
      </c>
      <c r="X3117" s="1" t="s">
        <v>35</v>
      </c>
      <c r="Y3117" s="1">
        <v>485000.0</v>
      </c>
      <c r="Z3117" s="1"/>
      <c r="AA3117" s="1">
        <v>485000.0</v>
      </c>
      <c r="AB3117" s="1"/>
      <c r="AC3117" s="1" t="s">
        <v>36</v>
      </c>
      <c r="AD3117" s="1" t="s">
        <v>11025</v>
      </c>
      <c r="AE3117" s="1" t="s">
        <v>32</v>
      </c>
      <c r="AF3117" s="1" t="s">
        <v>33</v>
      </c>
      <c r="AG3117" s="1" t="s">
        <v>30</v>
      </c>
    </row>
    <row r="3118" spans="1:33">
      <c r="A3118" t="s">
        <v>11026</v>
      </c>
      <c r="C3118" t="s">
        <v>866</v>
      </c>
      <c r="D3118" t="s">
        <v>154</v>
      </c>
      <c r="E3118" t="s">
        <v>10933</v>
      </c>
      <c r="F3118" t="s">
        <v>10938</v>
      </c>
      <c r="G3118">
        <v>882.5</v>
      </c>
      <c r="H3118">
        <v>882.5</v>
      </c>
      <c r="I3118" t="s">
        <v>2206</v>
      </c>
      <c r="J3118" t="s">
        <v>49</v>
      </c>
      <c r="K3118" t="s">
        <v>31</v>
      </c>
      <c r="L3118" t="s">
        <v>32</v>
      </c>
      <c r="M3118" t="s">
        <v>33</v>
      </c>
      <c r="P3118" s="1" t="s">
        <v>11027</v>
      </c>
      <c r="Q3118" s="1" t="s">
        <v>10933</v>
      </c>
      <c r="R3118" s="1" t="s">
        <v>10933</v>
      </c>
      <c r="S3118" s="1"/>
      <c r="T3118" s="1" t="s">
        <v>868</v>
      </c>
      <c r="U3118" s="1" t="s">
        <v>869</v>
      </c>
      <c r="V3118" s="1">
        <v>882.5</v>
      </c>
      <c r="W3118" s="1">
        <v>882.5</v>
      </c>
      <c r="X3118" s="1" t="s">
        <v>35</v>
      </c>
      <c r="Y3118" s="1">
        <v>882500.0</v>
      </c>
      <c r="Z3118" s="1"/>
      <c r="AA3118" s="1">
        <v>882500.0</v>
      </c>
      <c r="AB3118" s="1"/>
      <c r="AC3118" s="1" t="s">
        <v>36</v>
      </c>
      <c r="AD3118" s="1" t="s">
        <v>11028</v>
      </c>
      <c r="AE3118" s="1" t="s">
        <v>32</v>
      </c>
      <c r="AF3118" s="1" t="s">
        <v>33</v>
      </c>
      <c r="AG3118" s="1" t="s">
        <v>49</v>
      </c>
    </row>
    <row r="3119" spans="1:33">
      <c r="A3119" t="s">
        <v>11029</v>
      </c>
      <c r="C3119" t="s">
        <v>1815</v>
      </c>
      <c r="E3119" t="s">
        <v>10933</v>
      </c>
      <c r="F3119" t="s">
        <v>10938</v>
      </c>
      <c r="G3119">
        <v>1.938</v>
      </c>
      <c r="H3119">
        <v>1.938</v>
      </c>
      <c r="I3119" t="s">
        <v>847</v>
      </c>
      <c r="J3119" t="s">
        <v>848</v>
      </c>
      <c r="K3119" t="s">
        <v>31</v>
      </c>
      <c r="L3119" t="s">
        <v>32</v>
      </c>
      <c r="M3119" t="s">
        <v>33</v>
      </c>
      <c r="P3119" s="1" t="s">
        <v>11030</v>
      </c>
      <c r="Q3119" s="1" t="s">
        <v>10933</v>
      </c>
      <c r="R3119" s="1" t="s">
        <v>10933</v>
      </c>
      <c r="S3119" s="1"/>
      <c r="T3119" s="1" t="s">
        <v>1815</v>
      </c>
      <c r="U3119" s="1"/>
      <c r="V3119" s="1">
        <v>1.938</v>
      </c>
      <c r="W3119" s="1">
        <v>1.938</v>
      </c>
      <c r="X3119" s="1" t="s">
        <v>35</v>
      </c>
      <c r="Y3119" s="1">
        <v>1938000.0</v>
      </c>
      <c r="Z3119" s="1"/>
      <c r="AA3119" s="1">
        <v>1938000.0</v>
      </c>
      <c r="AB3119" s="1"/>
      <c r="AC3119" s="1" t="s">
        <v>36</v>
      </c>
      <c r="AD3119" s="1" t="s">
        <v>11031</v>
      </c>
      <c r="AE3119" s="1" t="s">
        <v>32</v>
      </c>
      <c r="AF3119" s="1" t="s">
        <v>33</v>
      </c>
      <c r="AG3119" s="1" t="s">
        <v>848</v>
      </c>
    </row>
    <row r="3120" spans="1:33">
      <c r="A3120" t="s">
        <v>11032</v>
      </c>
      <c r="B3120" t="s">
        <v>11033</v>
      </c>
      <c r="C3120" t="s">
        <v>47</v>
      </c>
      <c r="E3120" t="s">
        <v>10495</v>
      </c>
      <c r="F3120" t="s">
        <v>10496</v>
      </c>
      <c r="G3120">
        <v>40.49</v>
      </c>
      <c r="H3120">
        <v>40.49</v>
      </c>
      <c r="I3120" t="s">
        <v>2206</v>
      </c>
      <c r="J3120" t="s">
        <v>49</v>
      </c>
      <c r="K3120" t="s">
        <v>31</v>
      </c>
      <c r="L3120" t="s">
        <v>32</v>
      </c>
      <c r="M3120" t="s">
        <v>33</v>
      </c>
      <c r="P3120" s="1" t="s">
        <v>11034</v>
      </c>
      <c r="Q3120" s="1" t="s">
        <v>10933</v>
      </c>
      <c r="R3120" s="1" t="s">
        <v>10933</v>
      </c>
      <c r="S3120" s="1"/>
      <c r="T3120" s="1" t="s">
        <v>47</v>
      </c>
      <c r="U3120" s="1"/>
      <c r="V3120" s="1">
        <v>40.49</v>
      </c>
      <c r="W3120" s="1">
        <v>40.49</v>
      </c>
      <c r="X3120" s="1" t="s">
        <v>35</v>
      </c>
      <c r="Y3120" s="1">
        <v>40490.0</v>
      </c>
      <c r="Z3120" s="1"/>
      <c r="AA3120" s="1">
        <v>40490.0</v>
      </c>
      <c r="AB3120" s="1"/>
      <c r="AC3120" s="1" t="s">
        <v>36</v>
      </c>
      <c r="AD3120" s="1" t="s">
        <v>11035</v>
      </c>
      <c r="AE3120" s="1" t="s">
        <v>32</v>
      </c>
      <c r="AF3120" s="1" t="s">
        <v>33</v>
      </c>
      <c r="AG3120" s="1" t="s">
        <v>49</v>
      </c>
    </row>
    <row r="3121" spans="1:33">
      <c r="A3121" t="s">
        <v>11036</v>
      </c>
      <c r="B3121" t="s">
        <v>4199</v>
      </c>
      <c r="C3121" t="s">
        <v>4200</v>
      </c>
      <c r="E3121" t="s">
        <v>10933</v>
      </c>
      <c r="F3121" t="s">
        <v>10938</v>
      </c>
      <c r="G3121">
        <v>231.75</v>
      </c>
      <c r="H3121">
        <v>231.75</v>
      </c>
      <c r="I3121" t="s">
        <v>29</v>
      </c>
      <c r="J3121" t="s">
        <v>30</v>
      </c>
      <c r="K3121" t="s">
        <v>31</v>
      </c>
      <c r="L3121" t="s">
        <v>32</v>
      </c>
      <c r="M3121" t="s">
        <v>33</v>
      </c>
      <c r="P3121" s="1" t="s">
        <v>11037</v>
      </c>
      <c r="Q3121" s="1" t="s">
        <v>10933</v>
      </c>
      <c r="R3121" s="1" t="s">
        <v>10933</v>
      </c>
      <c r="S3121" s="1"/>
      <c r="T3121" s="1" t="s">
        <v>4200</v>
      </c>
      <c r="U3121" s="1"/>
      <c r="V3121" s="1">
        <v>231.75</v>
      </c>
      <c r="W3121" s="1">
        <v>231.75</v>
      </c>
      <c r="X3121" s="1" t="s">
        <v>35</v>
      </c>
      <c r="Y3121" s="1">
        <v>231750.0</v>
      </c>
      <c r="Z3121" s="1"/>
      <c r="AA3121" s="1">
        <v>231750.0</v>
      </c>
      <c r="AB3121" s="1"/>
      <c r="AC3121" s="1" t="s">
        <v>36</v>
      </c>
      <c r="AD3121" s="1" t="s">
        <v>11038</v>
      </c>
      <c r="AE3121" s="1" t="s">
        <v>32</v>
      </c>
      <c r="AF3121" s="1" t="s">
        <v>33</v>
      </c>
      <c r="AG3121" s="1" t="s">
        <v>30</v>
      </c>
    </row>
    <row r="3122" spans="1:33">
      <c r="A3122" t="s">
        <v>11039</v>
      </c>
      <c r="B3122" t="s">
        <v>11040</v>
      </c>
      <c r="C3122" t="s">
        <v>314</v>
      </c>
      <c r="E3122" t="s">
        <v>10933</v>
      </c>
      <c r="F3122" t="s">
        <v>10938</v>
      </c>
      <c r="G3122">
        <v>42.48</v>
      </c>
      <c r="H3122">
        <v>42.48</v>
      </c>
      <c r="I3122" t="s">
        <v>179</v>
      </c>
      <c r="J3122" t="s">
        <v>180</v>
      </c>
      <c r="K3122" t="s">
        <v>31</v>
      </c>
      <c r="L3122" t="s">
        <v>32</v>
      </c>
      <c r="M3122" t="s">
        <v>33</v>
      </c>
      <c r="P3122" s="1" t="s">
        <v>11041</v>
      </c>
      <c r="Q3122" s="1" t="s">
        <v>10933</v>
      </c>
      <c r="R3122" s="1" t="s">
        <v>10933</v>
      </c>
      <c r="S3122" s="1"/>
      <c r="T3122" s="1" t="s">
        <v>314</v>
      </c>
      <c r="U3122" s="1"/>
      <c r="V3122" s="1">
        <v>42.48</v>
      </c>
      <c r="W3122" s="1">
        <v>42.48</v>
      </c>
      <c r="X3122" s="1" t="s">
        <v>35</v>
      </c>
      <c r="Y3122" s="1">
        <v>42480.0</v>
      </c>
      <c r="Z3122" s="1"/>
      <c r="AA3122" s="1">
        <v>42480.0</v>
      </c>
      <c r="AB3122" s="1"/>
      <c r="AC3122" s="1" t="s">
        <v>36</v>
      </c>
      <c r="AD3122" s="1" t="s">
        <v>11042</v>
      </c>
      <c r="AE3122" s="1" t="s">
        <v>32</v>
      </c>
      <c r="AF3122" s="1" t="s">
        <v>33</v>
      </c>
      <c r="AG3122" s="1" t="s">
        <v>180</v>
      </c>
    </row>
    <row r="3123" spans="1:33">
      <c r="A3123" t="s">
        <v>11043</v>
      </c>
      <c r="C3123" t="s">
        <v>6344</v>
      </c>
      <c r="E3123" t="s">
        <v>10933</v>
      </c>
      <c r="F3123" t="s">
        <v>10938</v>
      </c>
      <c r="G3123">
        <v>320.0</v>
      </c>
      <c r="H3123">
        <v>320.0</v>
      </c>
      <c r="I3123" t="s">
        <v>126</v>
      </c>
      <c r="J3123" t="s">
        <v>127</v>
      </c>
      <c r="K3123" t="s">
        <v>31</v>
      </c>
      <c r="L3123" t="s">
        <v>32</v>
      </c>
      <c r="M3123" t="s">
        <v>33</v>
      </c>
      <c r="P3123" s="1" t="s">
        <v>11044</v>
      </c>
      <c r="Q3123" s="1" t="s">
        <v>10933</v>
      </c>
      <c r="R3123" s="1" t="s">
        <v>10933</v>
      </c>
      <c r="S3123" s="1"/>
      <c r="T3123" s="1" t="s">
        <v>6344</v>
      </c>
      <c r="U3123" s="1"/>
      <c r="V3123" s="1">
        <v>320.0</v>
      </c>
      <c r="W3123" s="1">
        <v>320.0</v>
      </c>
      <c r="X3123" s="1" t="s">
        <v>35</v>
      </c>
      <c r="Y3123" s="1">
        <v>320000.0</v>
      </c>
      <c r="Z3123" s="1"/>
      <c r="AA3123" s="1">
        <v>320000.0</v>
      </c>
      <c r="AB3123" s="1"/>
      <c r="AC3123" s="1" t="s">
        <v>36</v>
      </c>
      <c r="AD3123" s="1" t="s">
        <v>11045</v>
      </c>
      <c r="AE3123" s="1" t="s">
        <v>32</v>
      </c>
      <c r="AF3123" s="1" t="s">
        <v>33</v>
      </c>
      <c r="AG3123" s="1" t="s">
        <v>127</v>
      </c>
    </row>
    <row r="3124" spans="1:33">
      <c r="A3124" t="s">
        <v>11046</v>
      </c>
      <c r="C3124" t="s">
        <v>4857</v>
      </c>
      <c r="E3124" t="s">
        <v>10933</v>
      </c>
      <c r="F3124" t="s">
        <v>10938</v>
      </c>
      <c r="G3124">
        <v>320.0</v>
      </c>
      <c r="H3124">
        <v>320.0</v>
      </c>
      <c r="I3124" t="s">
        <v>126</v>
      </c>
      <c r="J3124" t="s">
        <v>127</v>
      </c>
      <c r="K3124" t="s">
        <v>31</v>
      </c>
      <c r="L3124" t="s">
        <v>32</v>
      </c>
      <c r="M3124" t="s">
        <v>33</v>
      </c>
      <c r="P3124" s="1" t="s">
        <v>11047</v>
      </c>
      <c r="Q3124" s="1" t="s">
        <v>10933</v>
      </c>
      <c r="R3124" s="1" t="s">
        <v>10933</v>
      </c>
      <c r="S3124" s="1"/>
      <c r="T3124" s="1" t="s">
        <v>4857</v>
      </c>
      <c r="U3124" s="1"/>
      <c r="V3124" s="1">
        <v>320.0</v>
      </c>
      <c r="W3124" s="1">
        <v>320.0</v>
      </c>
      <c r="X3124" s="1" t="s">
        <v>35</v>
      </c>
      <c r="Y3124" s="1">
        <v>320000.0</v>
      </c>
      <c r="Z3124" s="1"/>
      <c r="AA3124" s="1">
        <v>320000.0</v>
      </c>
      <c r="AB3124" s="1"/>
      <c r="AC3124" s="1" t="s">
        <v>36</v>
      </c>
      <c r="AD3124" s="1" t="s">
        <v>11048</v>
      </c>
      <c r="AE3124" s="1" t="s">
        <v>32</v>
      </c>
      <c r="AF3124" s="1" t="s">
        <v>33</v>
      </c>
      <c r="AG3124" s="1" t="s">
        <v>127</v>
      </c>
    </row>
    <row r="3125" spans="1:33">
      <c r="A3125" t="s">
        <v>11049</v>
      </c>
      <c r="C3125" t="s">
        <v>6628</v>
      </c>
      <c r="E3125" t="s">
        <v>10933</v>
      </c>
      <c r="F3125" t="s">
        <v>10938</v>
      </c>
      <c r="G3125">
        <v>492.0</v>
      </c>
      <c r="H3125">
        <v>492.0</v>
      </c>
      <c r="I3125" t="s">
        <v>269</v>
      </c>
      <c r="J3125" t="s">
        <v>270</v>
      </c>
      <c r="K3125" t="s">
        <v>31</v>
      </c>
      <c r="L3125" t="s">
        <v>32</v>
      </c>
      <c r="M3125" t="s">
        <v>33</v>
      </c>
      <c r="P3125" s="1" t="s">
        <v>11050</v>
      </c>
      <c r="Q3125" s="1" t="s">
        <v>10933</v>
      </c>
      <c r="R3125" s="1" t="s">
        <v>10933</v>
      </c>
      <c r="S3125" s="1"/>
      <c r="T3125" s="1" t="s">
        <v>6628</v>
      </c>
      <c r="U3125" s="1"/>
      <c r="V3125" s="1">
        <v>492.0</v>
      </c>
      <c r="W3125" s="1">
        <v>492.0</v>
      </c>
      <c r="X3125" s="1" t="s">
        <v>35</v>
      </c>
      <c r="Y3125" s="1">
        <v>492000.0</v>
      </c>
      <c r="Z3125" s="1"/>
      <c r="AA3125" s="1">
        <v>492000.0</v>
      </c>
      <c r="AB3125" s="1"/>
      <c r="AC3125" s="1" t="s">
        <v>36</v>
      </c>
      <c r="AD3125" s="1" t="s">
        <v>11051</v>
      </c>
      <c r="AE3125" s="1" t="s">
        <v>32</v>
      </c>
      <c r="AF3125" s="1" t="s">
        <v>33</v>
      </c>
      <c r="AG3125" s="1" t="s">
        <v>270</v>
      </c>
    </row>
    <row r="3126" spans="1:33">
      <c r="A3126" t="s">
        <v>11052</v>
      </c>
      <c r="B3126" t="s">
        <v>11053</v>
      </c>
      <c r="C3126" t="s">
        <v>131</v>
      </c>
      <c r="E3126" t="s">
        <v>10933</v>
      </c>
      <c r="F3126" t="s">
        <v>10938</v>
      </c>
      <c r="G3126">
        <v>240.88</v>
      </c>
      <c r="H3126">
        <v>240.88</v>
      </c>
      <c r="I3126" t="s">
        <v>94</v>
      </c>
      <c r="J3126" t="s">
        <v>95</v>
      </c>
      <c r="K3126" t="s">
        <v>31</v>
      </c>
      <c r="L3126" t="s">
        <v>32</v>
      </c>
      <c r="M3126" t="s">
        <v>33</v>
      </c>
      <c r="P3126" s="1" t="s">
        <v>11054</v>
      </c>
      <c r="Q3126" s="1" t="s">
        <v>10933</v>
      </c>
      <c r="R3126" s="1" t="s">
        <v>10933</v>
      </c>
      <c r="S3126" s="1"/>
      <c r="T3126" s="1" t="s">
        <v>131</v>
      </c>
      <c r="U3126" s="1"/>
      <c r="V3126" s="1">
        <v>240.88</v>
      </c>
      <c r="W3126" s="1">
        <v>240.88</v>
      </c>
      <c r="X3126" s="1" t="s">
        <v>35</v>
      </c>
      <c r="Y3126" s="1">
        <v>240880.0</v>
      </c>
      <c r="Z3126" s="1"/>
      <c r="AA3126" s="1">
        <v>240880.0</v>
      </c>
      <c r="AB3126" s="1"/>
      <c r="AC3126" s="1" t="s">
        <v>36</v>
      </c>
      <c r="AD3126" s="1" t="s">
        <v>11055</v>
      </c>
      <c r="AE3126" s="1" t="s">
        <v>32</v>
      </c>
      <c r="AF3126" s="1" t="s">
        <v>33</v>
      </c>
      <c r="AG3126" s="1" t="s">
        <v>95</v>
      </c>
    </row>
    <row r="3127" spans="1:33">
      <c r="A3127" t="s">
        <v>11056</v>
      </c>
      <c r="B3127" t="s">
        <v>3375</v>
      </c>
      <c r="C3127" t="s">
        <v>125</v>
      </c>
      <c r="E3127" t="s">
        <v>10933</v>
      </c>
      <c r="F3127" t="s">
        <v>10938</v>
      </c>
      <c r="G3127">
        <v>41.98</v>
      </c>
      <c r="H3127">
        <v>41.98</v>
      </c>
      <c r="I3127" t="s">
        <v>126</v>
      </c>
      <c r="J3127" t="s">
        <v>127</v>
      </c>
      <c r="K3127" t="s">
        <v>31</v>
      </c>
      <c r="L3127" t="s">
        <v>32</v>
      </c>
      <c r="M3127" t="s">
        <v>33</v>
      </c>
      <c r="P3127" s="1" t="s">
        <v>11057</v>
      </c>
      <c r="Q3127" s="1" t="s">
        <v>10933</v>
      </c>
      <c r="R3127" s="1" t="s">
        <v>10933</v>
      </c>
      <c r="S3127" s="1"/>
      <c r="T3127" s="1" t="s">
        <v>125</v>
      </c>
      <c r="U3127" s="1"/>
      <c r="V3127" s="1">
        <v>41.98</v>
      </c>
      <c r="W3127" s="1">
        <v>41.98</v>
      </c>
      <c r="X3127" s="1" t="s">
        <v>35</v>
      </c>
      <c r="Y3127" s="1">
        <v>41980.0</v>
      </c>
      <c r="Z3127" s="1"/>
      <c r="AA3127" s="1">
        <v>41980.0</v>
      </c>
      <c r="AB3127" s="1"/>
      <c r="AC3127" s="1" t="s">
        <v>36</v>
      </c>
      <c r="AD3127" s="1" t="s">
        <v>11058</v>
      </c>
      <c r="AE3127" s="1" t="s">
        <v>32</v>
      </c>
      <c r="AF3127" s="1" t="s">
        <v>33</v>
      </c>
      <c r="AG3127" s="1" t="s">
        <v>127</v>
      </c>
    </row>
    <row r="3128" spans="1:33">
      <c r="A3128" t="s">
        <v>11059</v>
      </c>
      <c r="B3128" t="s">
        <v>802</v>
      </c>
      <c r="C3128" t="s">
        <v>314</v>
      </c>
      <c r="E3128" t="s">
        <v>10933</v>
      </c>
      <c r="F3128" t="s">
        <v>10938</v>
      </c>
      <c r="G3128">
        <v>133.94</v>
      </c>
      <c r="H3128">
        <v>133.94</v>
      </c>
      <c r="I3128" t="s">
        <v>179</v>
      </c>
      <c r="J3128" t="s">
        <v>180</v>
      </c>
      <c r="K3128" t="s">
        <v>31</v>
      </c>
      <c r="L3128" t="s">
        <v>32</v>
      </c>
      <c r="M3128" t="s">
        <v>33</v>
      </c>
      <c r="P3128" s="1" t="s">
        <v>11060</v>
      </c>
      <c r="Q3128" s="1" t="s">
        <v>10933</v>
      </c>
      <c r="R3128" s="1" t="s">
        <v>10933</v>
      </c>
      <c r="S3128" s="1"/>
      <c r="T3128" s="1" t="s">
        <v>314</v>
      </c>
      <c r="U3128" s="1"/>
      <c r="V3128" s="1">
        <v>133.94</v>
      </c>
      <c r="W3128" s="1">
        <v>133.94</v>
      </c>
      <c r="X3128" s="1" t="s">
        <v>35</v>
      </c>
      <c r="Y3128" s="1">
        <v>133940.0</v>
      </c>
      <c r="Z3128" s="1"/>
      <c r="AA3128" s="1">
        <v>133940.0</v>
      </c>
      <c r="AB3128" s="1"/>
      <c r="AC3128" s="1" t="s">
        <v>36</v>
      </c>
      <c r="AD3128" s="1" t="s">
        <v>11061</v>
      </c>
      <c r="AE3128" s="1" t="s">
        <v>32</v>
      </c>
      <c r="AF3128" s="1" t="s">
        <v>33</v>
      </c>
      <c r="AG3128" s="1" t="s">
        <v>180</v>
      </c>
    </row>
    <row r="3129" spans="1:33">
      <c r="A3129" t="s">
        <v>11062</v>
      </c>
      <c r="B3129" t="s">
        <v>3211</v>
      </c>
      <c r="C3129" t="s">
        <v>314</v>
      </c>
      <c r="E3129" t="s">
        <v>10933</v>
      </c>
      <c r="F3129" t="s">
        <v>10938</v>
      </c>
      <c r="G3129">
        <v>18.59</v>
      </c>
      <c r="H3129">
        <v>18.59</v>
      </c>
      <c r="I3129" t="s">
        <v>179</v>
      </c>
      <c r="J3129" t="s">
        <v>180</v>
      </c>
      <c r="K3129" t="s">
        <v>31</v>
      </c>
      <c r="L3129" t="s">
        <v>32</v>
      </c>
      <c r="M3129" t="s">
        <v>33</v>
      </c>
      <c r="P3129" s="1" t="s">
        <v>11063</v>
      </c>
      <c r="Q3129" s="1" t="s">
        <v>10933</v>
      </c>
      <c r="R3129" s="1" t="s">
        <v>10933</v>
      </c>
      <c r="S3129" s="1"/>
      <c r="T3129" s="1" t="s">
        <v>314</v>
      </c>
      <c r="U3129" s="1"/>
      <c r="V3129" s="1">
        <v>18.59</v>
      </c>
      <c r="W3129" s="1">
        <v>18.59</v>
      </c>
      <c r="X3129" s="1" t="s">
        <v>35</v>
      </c>
      <c r="Y3129" s="1">
        <v>18590.0</v>
      </c>
      <c r="Z3129" s="1"/>
      <c r="AA3129" s="1">
        <v>18590.0</v>
      </c>
      <c r="AB3129" s="1"/>
      <c r="AC3129" s="1" t="s">
        <v>36</v>
      </c>
      <c r="AD3129" s="1" t="s">
        <v>11025</v>
      </c>
      <c r="AE3129" s="1" t="s">
        <v>32</v>
      </c>
      <c r="AF3129" s="1" t="s">
        <v>33</v>
      </c>
      <c r="AG3129" s="1" t="s">
        <v>180</v>
      </c>
    </row>
    <row r="3130" spans="1:33">
      <c r="A3130" t="s">
        <v>11064</v>
      </c>
      <c r="B3130" t="s">
        <v>11065</v>
      </c>
      <c r="C3130" t="s">
        <v>268</v>
      </c>
      <c r="E3130" t="s">
        <v>10933</v>
      </c>
      <c r="F3130" t="s">
        <v>10938</v>
      </c>
      <c r="G3130">
        <v>50.7</v>
      </c>
      <c r="H3130">
        <v>50.7</v>
      </c>
      <c r="I3130" t="s">
        <v>269</v>
      </c>
      <c r="J3130" t="s">
        <v>270</v>
      </c>
      <c r="K3130" t="s">
        <v>31</v>
      </c>
      <c r="L3130" t="s">
        <v>32</v>
      </c>
      <c r="M3130" t="s">
        <v>33</v>
      </c>
      <c r="P3130" s="1" t="s">
        <v>11066</v>
      </c>
      <c r="Q3130" s="1" t="s">
        <v>10933</v>
      </c>
      <c r="R3130" s="1" t="s">
        <v>10933</v>
      </c>
      <c r="S3130" s="1"/>
      <c r="T3130" s="1" t="s">
        <v>268</v>
      </c>
      <c r="U3130" s="1"/>
      <c r="V3130" s="1">
        <v>50.7</v>
      </c>
      <c r="W3130" s="1">
        <v>50.7</v>
      </c>
      <c r="X3130" s="1" t="s">
        <v>35</v>
      </c>
      <c r="Y3130" s="1">
        <v>50700.0</v>
      </c>
      <c r="Z3130" s="1"/>
      <c r="AA3130" s="1">
        <v>50700.0</v>
      </c>
      <c r="AB3130" s="1"/>
      <c r="AC3130" s="1" t="s">
        <v>36</v>
      </c>
      <c r="AD3130" s="1" t="s">
        <v>11067</v>
      </c>
      <c r="AE3130" s="1" t="s">
        <v>32</v>
      </c>
      <c r="AF3130" s="1" t="s">
        <v>33</v>
      </c>
      <c r="AG3130" s="1" t="s">
        <v>270</v>
      </c>
    </row>
    <row r="3131" spans="1:33">
      <c r="A3131" t="s">
        <v>11068</v>
      </c>
      <c r="C3131" t="s">
        <v>3482</v>
      </c>
      <c r="E3131" t="s">
        <v>10933</v>
      </c>
      <c r="F3131" t="s">
        <v>10938</v>
      </c>
      <c r="G3131">
        <v>1.056</v>
      </c>
      <c r="H3131">
        <v>1.056</v>
      </c>
      <c r="I3131" t="s">
        <v>179</v>
      </c>
      <c r="J3131" t="s">
        <v>180</v>
      </c>
      <c r="K3131" t="s">
        <v>31</v>
      </c>
      <c r="L3131" t="s">
        <v>32</v>
      </c>
      <c r="M3131" t="s">
        <v>33</v>
      </c>
      <c r="P3131" s="1" t="s">
        <v>11069</v>
      </c>
      <c r="Q3131" s="1" t="s">
        <v>10933</v>
      </c>
      <c r="R3131" s="1" t="s">
        <v>10933</v>
      </c>
      <c r="S3131" s="1"/>
      <c r="T3131" s="1" t="s">
        <v>3482</v>
      </c>
      <c r="U3131" s="1"/>
      <c r="V3131" s="1">
        <v>1.056</v>
      </c>
      <c r="W3131" s="1">
        <v>1.056</v>
      </c>
      <c r="X3131" s="1" t="s">
        <v>35</v>
      </c>
      <c r="Y3131" s="1">
        <v>1056000.0</v>
      </c>
      <c r="Z3131" s="1"/>
      <c r="AA3131" s="1">
        <v>1056000.0</v>
      </c>
      <c r="AB3131" s="1"/>
      <c r="AC3131" s="1" t="s">
        <v>36</v>
      </c>
      <c r="AD3131" s="1" t="s">
        <v>11051</v>
      </c>
      <c r="AE3131" s="1" t="s">
        <v>32</v>
      </c>
      <c r="AF3131" s="1" t="s">
        <v>33</v>
      </c>
      <c r="AG3131" s="1" t="s">
        <v>180</v>
      </c>
    </row>
    <row r="3132" spans="1:33">
      <c r="A3132" t="s">
        <v>11070</v>
      </c>
      <c r="C3132" t="s">
        <v>9694</v>
      </c>
      <c r="E3132" t="s">
        <v>10933</v>
      </c>
      <c r="F3132" t="s">
        <v>10938</v>
      </c>
      <c r="G3132">
        <v>407.0</v>
      </c>
      <c r="H3132">
        <v>407.0</v>
      </c>
      <c r="I3132" t="s">
        <v>227</v>
      </c>
      <c r="J3132" t="s">
        <v>228</v>
      </c>
      <c r="K3132" t="s">
        <v>31</v>
      </c>
      <c r="L3132" t="s">
        <v>32</v>
      </c>
      <c r="M3132" t="s">
        <v>33</v>
      </c>
      <c r="P3132" s="1" t="s">
        <v>11071</v>
      </c>
      <c r="Q3132" s="1" t="s">
        <v>10933</v>
      </c>
      <c r="R3132" s="1" t="s">
        <v>10933</v>
      </c>
      <c r="S3132" s="1"/>
      <c r="T3132" s="1" t="s">
        <v>9694</v>
      </c>
      <c r="U3132" s="1"/>
      <c r="V3132" s="1">
        <v>407.0</v>
      </c>
      <c r="W3132" s="1">
        <v>407.0</v>
      </c>
      <c r="X3132" s="1" t="s">
        <v>35</v>
      </c>
      <c r="Y3132" s="1">
        <v>407000.0</v>
      </c>
      <c r="Z3132" s="1"/>
      <c r="AA3132" s="1">
        <v>407000.0</v>
      </c>
      <c r="AB3132" s="1"/>
      <c r="AC3132" s="1" t="s">
        <v>36</v>
      </c>
      <c r="AD3132" s="1" t="s">
        <v>11038</v>
      </c>
      <c r="AE3132" s="1" t="s">
        <v>32</v>
      </c>
      <c r="AF3132" s="1" t="s">
        <v>33</v>
      </c>
      <c r="AG3132" s="1" t="s">
        <v>228</v>
      </c>
    </row>
    <row r="3133" spans="1:33">
      <c r="A3133" t="s">
        <v>11072</v>
      </c>
      <c r="C3133" t="s">
        <v>1695</v>
      </c>
      <c r="E3133" t="s">
        <v>10933</v>
      </c>
      <c r="F3133" t="s">
        <v>10938</v>
      </c>
      <c r="G3133">
        <v>336.0</v>
      </c>
      <c r="H3133">
        <v>336.0</v>
      </c>
      <c r="I3133" t="s">
        <v>2206</v>
      </c>
      <c r="J3133" t="s">
        <v>49</v>
      </c>
      <c r="K3133" t="s">
        <v>31</v>
      </c>
      <c r="L3133" t="s">
        <v>32</v>
      </c>
      <c r="M3133" t="s">
        <v>33</v>
      </c>
      <c r="P3133" s="1" t="s">
        <v>11073</v>
      </c>
      <c r="Q3133" s="1" t="s">
        <v>10933</v>
      </c>
      <c r="R3133" s="1" t="s">
        <v>10933</v>
      </c>
      <c r="S3133" s="1"/>
      <c r="T3133" s="1" t="s">
        <v>1695</v>
      </c>
      <c r="U3133" s="1"/>
      <c r="V3133" s="1">
        <v>336.0</v>
      </c>
      <c r="W3133" s="1">
        <v>336.0</v>
      </c>
      <c r="X3133" s="1" t="s">
        <v>35</v>
      </c>
      <c r="Y3133" s="1">
        <v>336000.0</v>
      </c>
      <c r="Z3133" s="1"/>
      <c r="AA3133" s="1">
        <v>336000.0</v>
      </c>
      <c r="AB3133" s="1"/>
      <c r="AC3133" s="1" t="s">
        <v>36</v>
      </c>
      <c r="AD3133" s="1" t="s">
        <v>11074</v>
      </c>
      <c r="AE3133" s="1" t="s">
        <v>32</v>
      </c>
      <c r="AF3133" s="1" t="s">
        <v>33</v>
      </c>
      <c r="AG3133" s="1" t="s">
        <v>49</v>
      </c>
    </row>
    <row r="3134" spans="1:33">
      <c r="A3134" t="s">
        <v>11075</v>
      </c>
      <c r="C3134" t="s">
        <v>11076</v>
      </c>
      <c r="D3134" t="s">
        <v>154</v>
      </c>
      <c r="E3134" t="s">
        <v>10933</v>
      </c>
      <c r="F3134" t="s">
        <v>10938</v>
      </c>
      <c r="G3134">
        <v>840.0</v>
      </c>
      <c r="H3134">
        <v>840.0</v>
      </c>
      <c r="I3134" t="s">
        <v>94</v>
      </c>
      <c r="J3134" t="s">
        <v>95</v>
      </c>
      <c r="K3134" t="s">
        <v>31</v>
      </c>
      <c r="L3134" t="s">
        <v>32</v>
      </c>
      <c r="M3134" t="s">
        <v>33</v>
      </c>
      <c r="P3134" s="1" t="s">
        <v>11077</v>
      </c>
      <c r="Q3134" s="1" t="s">
        <v>10933</v>
      </c>
      <c r="R3134" s="1" t="s">
        <v>10933</v>
      </c>
      <c r="S3134" s="1"/>
      <c r="T3134" s="1" t="s">
        <v>11078</v>
      </c>
      <c r="U3134" s="1" t="s">
        <v>11079</v>
      </c>
      <c r="V3134" s="1">
        <v>840.0</v>
      </c>
      <c r="W3134" s="1">
        <v>840.0</v>
      </c>
      <c r="X3134" s="1" t="s">
        <v>35</v>
      </c>
      <c r="Y3134" s="1">
        <v>840000.0</v>
      </c>
      <c r="Z3134" s="1"/>
      <c r="AA3134" s="1">
        <v>840000.0</v>
      </c>
      <c r="AB3134" s="1"/>
      <c r="AC3134" s="1" t="s">
        <v>36</v>
      </c>
      <c r="AD3134" s="1" t="s">
        <v>10994</v>
      </c>
      <c r="AE3134" s="1" t="s">
        <v>32</v>
      </c>
      <c r="AF3134" s="1" t="s">
        <v>33</v>
      </c>
      <c r="AG3134" s="1" t="s">
        <v>95</v>
      </c>
    </row>
    <row r="3135" spans="1:33">
      <c r="A3135" t="s">
        <v>11080</v>
      </c>
      <c r="B3135" t="s">
        <v>2134</v>
      </c>
      <c r="C3135" t="s">
        <v>314</v>
      </c>
      <c r="E3135" t="s">
        <v>10933</v>
      </c>
      <c r="F3135" t="s">
        <v>10938</v>
      </c>
      <c r="G3135">
        <v>18.59</v>
      </c>
      <c r="H3135">
        <v>18.59</v>
      </c>
      <c r="I3135" t="s">
        <v>179</v>
      </c>
      <c r="J3135" t="s">
        <v>180</v>
      </c>
      <c r="K3135" t="s">
        <v>31</v>
      </c>
      <c r="L3135" t="s">
        <v>32</v>
      </c>
      <c r="M3135" t="s">
        <v>33</v>
      </c>
      <c r="P3135" s="1" t="s">
        <v>11081</v>
      </c>
      <c r="Q3135" s="1" t="s">
        <v>10933</v>
      </c>
      <c r="R3135" s="1" t="s">
        <v>10933</v>
      </c>
      <c r="S3135" s="1"/>
      <c r="T3135" s="1" t="s">
        <v>314</v>
      </c>
      <c r="U3135" s="1"/>
      <c r="V3135" s="1">
        <v>18.59</v>
      </c>
      <c r="W3135" s="1">
        <v>18.59</v>
      </c>
      <c r="X3135" s="1" t="s">
        <v>35</v>
      </c>
      <c r="Y3135" s="1">
        <v>18590.0</v>
      </c>
      <c r="Z3135" s="1"/>
      <c r="AA3135" s="1">
        <v>18590.0</v>
      </c>
      <c r="AB3135" s="1"/>
      <c r="AC3135" s="1" t="s">
        <v>36</v>
      </c>
      <c r="AD3135" s="1" t="s">
        <v>11082</v>
      </c>
      <c r="AE3135" s="1" t="s">
        <v>32</v>
      </c>
      <c r="AF3135" s="1" t="s">
        <v>33</v>
      </c>
      <c r="AG3135" s="1" t="s">
        <v>180</v>
      </c>
    </row>
    <row r="3136" spans="1:33">
      <c r="A3136" t="s">
        <v>11083</v>
      </c>
      <c r="B3136" t="s">
        <v>11084</v>
      </c>
      <c r="C3136" t="s">
        <v>131</v>
      </c>
      <c r="E3136" t="s">
        <v>10933</v>
      </c>
      <c r="F3136" t="s">
        <v>10938</v>
      </c>
      <c r="G3136">
        <v>28.538</v>
      </c>
      <c r="H3136">
        <v>28.538</v>
      </c>
      <c r="I3136" t="s">
        <v>94</v>
      </c>
      <c r="J3136" t="s">
        <v>95</v>
      </c>
      <c r="K3136" t="s">
        <v>31</v>
      </c>
      <c r="L3136" t="s">
        <v>32</v>
      </c>
      <c r="M3136" t="s">
        <v>33</v>
      </c>
      <c r="P3136" s="1" t="s">
        <v>11085</v>
      </c>
      <c r="Q3136" s="1" t="s">
        <v>10933</v>
      </c>
      <c r="R3136" s="1" t="s">
        <v>10933</v>
      </c>
      <c r="S3136" s="1"/>
      <c r="T3136" s="1" t="s">
        <v>131</v>
      </c>
      <c r="U3136" s="1"/>
      <c r="V3136" s="1">
        <v>28.538</v>
      </c>
      <c r="W3136" s="1">
        <v>28.538</v>
      </c>
      <c r="X3136" s="1" t="s">
        <v>35</v>
      </c>
      <c r="Y3136" s="1">
        <v>28538.0</v>
      </c>
      <c r="Z3136" s="1"/>
      <c r="AA3136" s="1">
        <v>28538.0</v>
      </c>
      <c r="AB3136" s="1"/>
      <c r="AC3136" s="1" t="s">
        <v>36</v>
      </c>
      <c r="AD3136" s="1" t="s">
        <v>11086</v>
      </c>
      <c r="AE3136" s="1" t="s">
        <v>32</v>
      </c>
      <c r="AF3136" s="1" t="s">
        <v>33</v>
      </c>
      <c r="AG3136" s="1" t="s">
        <v>95</v>
      </c>
    </row>
    <row r="3137" spans="1:33">
      <c r="A3137" t="s">
        <v>11087</v>
      </c>
      <c r="B3137" t="s">
        <v>11088</v>
      </c>
      <c r="C3137" t="s">
        <v>125</v>
      </c>
      <c r="E3137" t="s">
        <v>10933</v>
      </c>
      <c r="F3137" t="s">
        <v>10938</v>
      </c>
      <c r="G3137">
        <v>10.296</v>
      </c>
      <c r="H3137">
        <v>10.296</v>
      </c>
      <c r="I3137" t="s">
        <v>126</v>
      </c>
      <c r="J3137" t="s">
        <v>127</v>
      </c>
      <c r="K3137" t="s">
        <v>31</v>
      </c>
      <c r="L3137" t="s">
        <v>32</v>
      </c>
      <c r="M3137" t="s">
        <v>33</v>
      </c>
      <c r="P3137" s="1" t="s">
        <v>11089</v>
      </c>
      <c r="Q3137" s="1" t="s">
        <v>10933</v>
      </c>
      <c r="R3137" s="1" t="s">
        <v>10933</v>
      </c>
      <c r="S3137" s="1"/>
      <c r="T3137" s="1" t="s">
        <v>125</v>
      </c>
      <c r="U3137" s="1"/>
      <c r="V3137" s="1">
        <v>10.296</v>
      </c>
      <c r="W3137" s="1">
        <v>10.296</v>
      </c>
      <c r="X3137" s="1" t="s">
        <v>35</v>
      </c>
      <c r="Y3137" s="1">
        <v>10296.0</v>
      </c>
      <c r="Z3137" s="1"/>
      <c r="AA3137" s="1">
        <v>10296.0</v>
      </c>
      <c r="AB3137" s="1"/>
      <c r="AC3137" s="1" t="s">
        <v>36</v>
      </c>
      <c r="AD3137" s="1" t="s">
        <v>11090</v>
      </c>
      <c r="AE3137" s="1" t="s">
        <v>32</v>
      </c>
      <c r="AF3137" s="1" t="s">
        <v>33</v>
      </c>
      <c r="AG3137" s="1" t="s">
        <v>127</v>
      </c>
    </row>
    <row r="3138" spans="1:33">
      <c r="A3138" t="s">
        <v>11091</v>
      </c>
      <c r="C3138" t="s">
        <v>4109</v>
      </c>
      <c r="D3138" t="s">
        <v>154</v>
      </c>
      <c r="E3138" t="s">
        <v>10933</v>
      </c>
      <c r="F3138" t="s">
        <v>10938</v>
      </c>
      <c r="G3138">
        <v>378.5</v>
      </c>
      <c r="H3138">
        <v>378.5</v>
      </c>
      <c r="I3138" t="s">
        <v>40</v>
      </c>
      <c r="J3138" t="s">
        <v>41</v>
      </c>
      <c r="K3138" t="s">
        <v>31</v>
      </c>
      <c r="L3138" t="s">
        <v>32</v>
      </c>
      <c r="M3138" t="s">
        <v>33</v>
      </c>
      <c r="P3138" s="1" t="s">
        <v>11092</v>
      </c>
      <c r="Q3138" s="1" t="s">
        <v>10933</v>
      </c>
      <c r="R3138" s="1" t="s">
        <v>10324</v>
      </c>
      <c r="S3138" s="1"/>
      <c r="T3138" s="1" t="s">
        <v>4109</v>
      </c>
      <c r="U3138" s="1"/>
      <c r="V3138" s="1">
        <v>378.5</v>
      </c>
      <c r="W3138" s="1">
        <v>378.5</v>
      </c>
      <c r="X3138" s="1" t="s">
        <v>35</v>
      </c>
      <c r="Y3138" s="1">
        <v>378500.0</v>
      </c>
      <c r="Z3138" s="1"/>
      <c r="AA3138" s="1">
        <v>378500.0</v>
      </c>
      <c r="AB3138" s="1"/>
      <c r="AC3138" s="1" t="s">
        <v>36</v>
      </c>
      <c r="AD3138" s="1" t="s">
        <v>11022</v>
      </c>
      <c r="AE3138" s="1" t="s">
        <v>32</v>
      </c>
      <c r="AF3138" s="1" t="s">
        <v>33</v>
      </c>
      <c r="AG3138" s="1" t="s">
        <v>41</v>
      </c>
    </row>
    <row r="3139" spans="1:33">
      <c r="A3139" t="s">
        <v>11093</v>
      </c>
      <c r="B3139" t="s">
        <v>11094</v>
      </c>
      <c r="C3139" t="s">
        <v>73</v>
      </c>
      <c r="E3139" t="s">
        <v>10933</v>
      </c>
      <c r="F3139" t="s">
        <v>10938</v>
      </c>
      <c r="G3139">
        <v>19.49</v>
      </c>
      <c r="H3139">
        <v>19.49</v>
      </c>
      <c r="I3139" t="s">
        <v>40</v>
      </c>
      <c r="J3139" t="s">
        <v>41</v>
      </c>
      <c r="K3139" t="s">
        <v>31</v>
      </c>
      <c r="L3139" t="s">
        <v>32</v>
      </c>
      <c r="M3139" t="s">
        <v>33</v>
      </c>
      <c r="P3139" s="1" t="s">
        <v>11095</v>
      </c>
      <c r="Q3139" s="1" t="s">
        <v>10933</v>
      </c>
      <c r="R3139" s="1" t="s">
        <v>10324</v>
      </c>
      <c r="S3139" s="1"/>
      <c r="T3139" s="1" t="s">
        <v>75</v>
      </c>
      <c r="U3139" s="1" t="s">
        <v>76</v>
      </c>
      <c r="V3139" s="1">
        <v>19.49</v>
      </c>
      <c r="W3139" s="1">
        <v>19.49</v>
      </c>
      <c r="X3139" s="1" t="s">
        <v>35</v>
      </c>
      <c r="Y3139" s="1">
        <v>19490.0</v>
      </c>
      <c r="Z3139" s="1"/>
      <c r="AA3139" s="1">
        <v>19490.0</v>
      </c>
      <c r="AB3139" s="1"/>
      <c r="AC3139" s="1" t="s">
        <v>36</v>
      </c>
      <c r="AD3139" s="1" t="s">
        <v>11096</v>
      </c>
      <c r="AE3139" s="1" t="s">
        <v>32</v>
      </c>
      <c r="AF3139" s="1" t="s">
        <v>33</v>
      </c>
      <c r="AG3139" s="1" t="s">
        <v>41</v>
      </c>
    </row>
    <row r="3140" spans="1:33">
      <c r="A3140" t="s">
        <v>11097</v>
      </c>
      <c r="C3140" t="s">
        <v>725</v>
      </c>
      <c r="E3140" t="s">
        <v>10933</v>
      </c>
      <c r="F3140" t="s">
        <v>10938</v>
      </c>
      <c r="G3140">
        <v>1.362</v>
      </c>
      <c r="H3140">
        <v>1.362</v>
      </c>
      <c r="I3140" t="s">
        <v>136</v>
      </c>
      <c r="J3140" t="s">
        <v>137</v>
      </c>
      <c r="K3140" t="s">
        <v>31</v>
      </c>
      <c r="L3140" t="s">
        <v>32</v>
      </c>
      <c r="M3140" t="s">
        <v>33</v>
      </c>
      <c r="P3140" s="1" t="s">
        <v>11098</v>
      </c>
      <c r="Q3140" s="1" t="s">
        <v>10933</v>
      </c>
      <c r="R3140" s="1" t="s">
        <v>10933</v>
      </c>
      <c r="S3140" s="1"/>
      <c r="T3140" s="1" t="s">
        <v>725</v>
      </c>
      <c r="U3140" s="1"/>
      <c r="V3140" s="1">
        <v>1.362</v>
      </c>
      <c r="W3140" s="1">
        <v>1.362</v>
      </c>
      <c r="X3140" s="1" t="s">
        <v>35</v>
      </c>
      <c r="Y3140" s="1">
        <v>1362000.0</v>
      </c>
      <c r="Z3140" s="1"/>
      <c r="AA3140" s="1">
        <v>1362000.0</v>
      </c>
      <c r="AB3140" s="1"/>
      <c r="AC3140" s="1" t="s">
        <v>36</v>
      </c>
      <c r="AD3140" s="1" t="s">
        <v>11099</v>
      </c>
      <c r="AE3140" s="1" t="s">
        <v>32</v>
      </c>
      <c r="AF3140" s="1" t="s">
        <v>33</v>
      </c>
      <c r="AG3140" s="1" t="s">
        <v>137</v>
      </c>
    </row>
    <row r="3141" spans="1:33">
      <c r="A3141" t="s">
        <v>11100</v>
      </c>
      <c r="C3141" t="s">
        <v>2688</v>
      </c>
      <c r="E3141" t="s">
        <v>10933</v>
      </c>
      <c r="F3141" t="s">
        <v>10938</v>
      </c>
      <c r="G3141">
        <v>672.0</v>
      </c>
      <c r="H3141">
        <v>672.0</v>
      </c>
      <c r="I3141" t="s">
        <v>269</v>
      </c>
      <c r="J3141" t="s">
        <v>270</v>
      </c>
      <c r="K3141" t="s">
        <v>31</v>
      </c>
      <c r="L3141" t="s">
        <v>32</v>
      </c>
      <c r="M3141" t="s">
        <v>33</v>
      </c>
      <c r="P3141" s="1" t="s">
        <v>11101</v>
      </c>
      <c r="Q3141" s="1" t="s">
        <v>10933</v>
      </c>
      <c r="R3141" s="1" t="s">
        <v>10933</v>
      </c>
      <c r="S3141" s="1"/>
      <c r="T3141" s="1" t="s">
        <v>2688</v>
      </c>
      <c r="U3141" s="1"/>
      <c r="V3141" s="1">
        <v>672.0</v>
      </c>
      <c r="W3141" s="1">
        <v>672.0</v>
      </c>
      <c r="X3141" s="1" t="s">
        <v>35</v>
      </c>
      <c r="Y3141" s="1">
        <v>672000.0</v>
      </c>
      <c r="Z3141" s="1"/>
      <c r="AA3141" s="1">
        <v>672000.0</v>
      </c>
      <c r="AB3141" s="1"/>
      <c r="AC3141" s="1" t="s">
        <v>36</v>
      </c>
      <c r="AD3141" s="1" t="s">
        <v>11102</v>
      </c>
      <c r="AE3141" s="1" t="s">
        <v>32</v>
      </c>
      <c r="AF3141" s="1" t="s">
        <v>33</v>
      </c>
      <c r="AG3141" s="1" t="s">
        <v>270</v>
      </c>
    </row>
    <row r="3142" spans="1:33">
      <c r="A3142" t="s">
        <v>11103</v>
      </c>
      <c r="C3142" t="s">
        <v>1613</v>
      </c>
      <c r="E3142" t="s">
        <v>10933</v>
      </c>
      <c r="F3142" t="s">
        <v>10938</v>
      </c>
      <c r="G3142">
        <v>470.0</v>
      </c>
      <c r="H3142">
        <v>470.0</v>
      </c>
      <c r="I3142" t="s">
        <v>570</v>
      </c>
      <c r="J3142" t="s">
        <v>571</v>
      </c>
      <c r="K3142" t="s">
        <v>31</v>
      </c>
      <c r="L3142" t="s">
        <v>32</v>
      </c>
      <c r="M3142" t="s">
        <v>33</v>
      </c>
      <c r="P3142" s="1" t="s">
        <v>11104</v>
      </c>
      <c r="Q3142" s="1" t="s">
        <v>10933</v>
      </c>
      <c r="R3142" s="1" t="s">
        <v>10933</v>
      </c>
      <c r="S3142" s="1"/>
      <c r="T3142" s="1" t="s">
        <v>1613</v>
      </c>
      <c r="U3142" s="1"/>
      <c r="V3142" s="1">
        <v>470.0</v>
      </c>
      <c r="W3142" s="1">
        <v>470.0</v>
      </c>
      <c r="X3142" s="1" t="s">
        <v>35</v>
      </c>
      <c r="Y3142" s="1">
        <v>470000.0</v>
      </c>
      <c r="Z3142" s="1"/>
      <c r="AA3142" s="1">
        <v>470000.0</v>
      </c>
      <c r="AB3142" s="1"/>
      <c r="AC3142" s="1" t="s">
        <v>36</v>
      </c>
      <c r="AD3142" s="1" t="s">
        <v>11105</v>
      </c>
      <c r="AE3142" s="1" t="s">
        <v>32</v>
      </c>
      <c r="AF3142" s="1" t="s">
        <v>33</v>
      </c>
      <c r="AG3142" s="1" t="s">
        <v>571</v>
      </c>
    </row>
    <row r="3143" spans="1:33">
      <c r="A3143" t="s">
        <v>11106</v>
      </c>
      <c r="C3143" t="s">
        <v>6072</v>
      </c>
      <c r="E3143" t="s">
        <v>10933</v>
      </c>
      <c r="F3143" t="s">
        <v>10938</v>
      </c>
      <c r="G3143">
        <v>1.183</v>
      </c>
      <c r="H3143">
        <v>1.183</v>
      </c>
      <c r="I3143" t="s">
        <v>40</v>
      </c>
      <c r="J3143" t="s">
        <v>41</v>
      </c>
      <c r="K3143" t="s">
        <v>31</v>
      </c>
      <c r="L3143" t="s">
        <v>32</v>
      </c>
      <c r="M3143" t="s">
        <v>33</v>
      </c>
      <c r="P3143" s="1" t="s">
        <v>11107</v>
      </c>
      <c r="Q3143" s="1" t="s">
        <v>10933</v>
      </c>
      <c r="R3143" s="1" t="s">
        <v>10324</v>
      </c>
      <c r="S3143" s="1"/>
      <c r="T3143" s="1" t="s">
        <v>6072</v>
      </c>
      <c r="U3143" s="1"/>
      <c r="V3143" s="1">
        <v>1.183</v>
      </c>
      <c r="W3143" s="1">
        <v>1.183</v>
      </c>
      <c r="X3143" s="1" t="s">
        <v>35</v>
      </c>
      <c r="Y3143" s="1">
        <v>1184000.0</v>
      </c>
      <c r="Z3143" s="1">
        <v>-1000</v>
      </c>
      <c r="AA3143" s="1">
        <v>1184000.0</v>
      </c>
      <c r="AB3143" s="1">
        <v>-1000</v>
      </c>
      <c r="AC3143" s="1" t="s">
        <v>36</v>
      </c>
      <c r="AD3143" s="1" t="s">
        <v>11108</v>
      </c>
      <c r="AE3143" s="1" t="s">
        <v>32</v>
      </c>
      <c r="AF3143" s="1" t="s">
        <v>33</v>
      </c>
      <c r="AG3143" s="1" t="s">
        <v>41</v>
      </c>
    </row>
    <row r="3144" spans="1:33">
      <c r="A3144" t="s">
        <v>11109</v>
      </c>
      <c r="B3144" t="s">
        <v>11110</v>
      </c>
      <c r="C3144" t="s">
        <v>125</v>
      </c>
      <c r="E3144" t="s">
        <v>10933</v>
      </c>
      <c r="F3144" t="s">
        <v>10938</v>
      </c>
      <c r="G3144">
        <v>237.86</v>
      </c>
      <c r="H3144">
        <v>237.86</v>
      </c>
      <c r="I3144" t="s">
        <v>126</v>
      </c>
      <c r="J3144" t="s">
        <v>127</v>
      </c>
      <c r="K3144" t="s">
        <v>31</v>
      </c>
      <c r="L3144" t="s">
        <v>32</v>
      </c>
      <c r="M3144" t="s">
        <v>33</v>
      </c>
      <c r="P3144" s="1" t="s">
        <v>11111</v>
      </c>
      <c r="Q3144" s="1" t="s">
        <v>10933</v>
      </c>
      <c r="R3144" s="1" t="s">
        <v>10933</v>
      </c>
      <c r="S3144" s="1"/>
      <c r="T3144" s="1" t="s">
        <v>125</v>
      </c>
      <c r="U3144" s="1"/>
      <c r="V3144" s="1">
        <v>237.86</v>
      </c>
      <c r="W3144" s="1">
        <v>237.86</v>
      </c>
      <c r="X3144" s="1" t="s">
        <v>35</v>
      </c>
      <c r="Y3144" s="1">
        <v>237860.0</v>
      </c>
      <c r="Z3144" s="1"/>
      <c r="AA3144" s="1">
        <v>237860.0</v>
      </c>
      <c r="AB3144" s="1"/>
      <c r="AC3144" s="1" t="s">
        <v>36</v>
      </c>
      <c r="AD3144" s="1" t="s">
        <v>11105</v>
      </c>
      <c r="AE3144" s="1" t="s">
        <v>32</v>
      </c>
      <c r="AF3144" s="1" t="s">
        <v>33</v>
      </c>
      <c r="AG3144" s="1" t="s">
        <v>127</v>
      </c>
    </row>
    <row r="3145" spans="1:33">
      <c r="A3145" t="s">
        <v>11112</v>
      </c>
      <c r="C3145" t="s">
        <v>969</v>
      </c>
      <c r="E3145" t="s">
        <v>10933</v>
      </c>
      <c r="F3145" t="s">
        <v>10938</v>
      </c>
      <c r="G3145">
        <v>320.0</v>
      </c>
      <c r="H3145">
        <v>320.0</v>
      </c>
      <c r="I3145" t="s">
        <v>126</v>
      </c>
      <c r="J3145" t="s">
        <v>127</v>
      </c>
      <c r="K3145" t="s">
        <v>31</v>
      </c>
      <c r="L3145" t="s">
        <v>32</v>
      </c>
      <c r="M3145" t="s">
        <v>33</v>
      </c>
      <c r="P3145" s="1" t="s">
        <v>11113</v>
      </c>
      <c r="Q3145" s="1" t="s">
        <v>10933</v>
      </c>
      <c r="R3145" s="1" t="s">
        <v>10933</v>
      </c>
      <c r="S3145" s="1"/>
      <c r="T3145" s="1" t="s">
        <v>969</v>
      </c>
      <c r="U3145" s="1"/>
      <c r="V3145" s="1">
        <v>320.0</v>
      </c>
      <c r="W3145" s="1">
        <v>320.0</v>
      </c>
      <c r="X3145" s="1" t="s">
        <v>35</v>
      </c>
      <c r="Y3145" s="1">
        <v>320000.0</v>
      </c>
      <c r="Z3145" s="1"/>
      <c r="AA3145" s="1">
        <v>320000.0</v>
      </c>
      <c r="AB3145" s="1"/>
      <c r="AC3145" s="1" t="s">
        <v>36</v>
      </c>
      <c r="AD3145" s="1" t="s">
        <v>11114</v>
      </c>
      <c r="AE3145" s="1" t="s">
        <v>32</v>
      </c>
      <c r="AF3145" s="1" t="s">
        <v>33</v>
      </c>
      <c r="AG3145" s="1" t="s">
        <v>127</v>
      </c>
    </row>
    <row r="3146" spans="1:33">
      <c r="A3146" t="s">
        <v>11115</v>
      </c>
      <c r="C3146" t="s">
        <v>2644</v>
      </c>
      <c r="E3146" t="s">
        <v>10933</v>
      </c>
      <c r="F3146" t="s">
        <v>10938</v>
      </c>
      <c r="G3146">
        <v>960.0</v>
      </c>
      <c r="H3146">
        <v>960.0</v>
      </c>
      <c r="I3146" t="s">
        <v>40</v>
      </c>
      <c r="J3146" t="s">
        <v>41</v>
      </c>
      <c r="K3146" t="s">
        <v>31</v>
      </c>
      <c r="L3146" t="s">
        <v>32</v>
      </c>
      <c r="M3146" t="s">
        <v>33</v>
      </c>
      <c r="P3146" s="1" t="s">
        <v>11116</v>
      </c>
      <c r="Q3146" s="1" t="s">
        <v>10933</v>
      </c>
      <c r="R3146" s="1" t="s">
        <v>10324</v>
      </c>
      <c r="S3146" s="1"/>
      <c r="T3146" s="1" t="s">
        <v>2644</v>
      </c>
      <c r="U3146" s="1"/>
      <c r="V3146" s="1">
        <v>960.0</v>
      </c>
      <c r="W3146" s="1">
        <v>960.0</v>
      </c>
      <c r="X3146" s="1" t="s">
        <v>35</v>
      </c>
      <c r="Y3146" s="1">
        <v>960000.0</v>
      </c>
      <c r="Z3146" s="1"/>
      <c r="AA3146" s="1">
        <v>960000.0</v>
      </c>
      <c r="AB3146" s="1"/>
      <c r="AC3146" s="1" t="s">
        <v>36</v>
      </c>
      <c r="AD3146" s="1" t="s">
        <v>11003</v>
      </c>
      <c r="AE3146" s="1" t="s">
        <v>32</v>
      </c>
      <c r="AF3146" s="1" t="s">
        <v>33</v>
      </c>
      <c r="AG3146" s="1" t="s">
        <v>41</v>
      </c>
    </row>
    <row r="3147" spans="1:33">
      <c r="A3147" t="s">
        <v>11117</v>
      </c>
      <c r="B3147" t="s">
        <v>11118</v>
      </c>
      <c r="C3147" t="s">
        <v>125</v>
      </c>
      <c r="E3147" t="s">
        <v>10933</v>
      </c>
      <c r="F3147" t="s">
        <v>10938</v>
      </c>
      <c r="G3147">
        <v>94.46</v>
      </c>
      <c r="H3147">
        <v>94.46</v>
      </c>
      <c r="I3147" t="s">
        <v>126</v>
      </c>
      <c r="J3147" t="s">
        <v>127</v>
      </c>
      <c r="K3147" t="s">
        <v>31</v>
      </c>
      <c r="L3147" t="s">
        <v>32</v>
      </c>
      <c r="M3147" t="s">
        <v>33</v>
      </c>
      <c r="P3147" s="1" t="s">
        <v>11119</v>
      </c>
      <c r="Q3147" s="1" t="s">
        <v>10933</v>
      </c>
      <c r="R3147" s="1" t="s">
        <v>10933</v>
      </c>
      <c r="S3147" s="1"/>
      <c r="T3147" s="1" t="s">
        <v>125</v>
      </c>
      <c r="U3147" s="1"/>
      <c r="V3147" s="1">
        <v>94.46</v>
      </c>
      <c r="W3147" s="1">
        <v>94.46</v>
      </c>
      <c r="X3147" s="1" t="s">
        <v>35</v>
      </c>
      <c r="Y3147" s="1">
        <v>94460.0</v>
      </c>
      <c r="Z3147" s="1"/>
      <c r="AA3147" s="1">
        <v>94460.0</v>
      </c>
      <c r="AB3147" s="1"/>
      <c r="AC3147" s="1" t="s">
        <v>36</v>
      </c>
      <c r="AD3147" s="1" t="s">
        <v>11120</v>
      </c>
      <c r="AE3147" s="1" t="s">
        <v>32</v>
      </c>
      <c r="AF3147" s="1" t="s">
        <v>33</v>
      </c>
      <c r="AG3147" s="1" t="s">
        <v>127</v>
      </c>
    </row>
    <row r="3148" spans="1:33">
      <c r="A3148" t="s">
        <v>11121</v>
      </c>
      <c r="C3148" t="s">
        <v>810</v>
      </c>
      <c r="D3148" t="s">
        <v>154</v>
      </c>
      <c r="E3148" t="s">
        <v>10933</v>
      </c>
      <c r="F3148" t="s">
        <v>10938</v>
      </c>
      <c r="G3148">
        <v>1.988</v>
      </c>
      <c r="H3148">
        <v>1.988</v>
      </c>
      <c r="I3148" t="s">
        <v>269</v>
      </c>
      <c r="J3148" t="s">
        <v>270</v>
      </c>
      <c r="K3148" t="s">
        <v>31</v>
      </c>
      <c r="L3148" t="s">
        <v>32</v>
      </c>
      <c r="M3148" t="s">
        <v>33</v>
      </c>
      <c r="P3148" s="1" t="s">
        <v>11122</v>
      </c>
      <c r="Q3148" s="1" t="s">
        <v>10933</v>
      </c>
      <c r="R3148" s="1" t="s">
        <v>10933</v>
      </c>
      <c r="S3148" s="1"/>
      <c r="T3148" s="1" t="s">
        <v>810</v>
      </c>
      <c r="U3148" s="1"/>
      <c r="V3148" s="1">
        <v>1.988</v>
      </c>
      <c r="W3148" s="1">
        <v>1.988</v>
      </c>
      <c r="X3148" s="1" t="s">
        <v>35</v>
      </c>
      <c r="Y3148" s="1">
        <v>1988000.0</v>
      </c>
      <c r="Z3148" s="1"/>
      <c r="AA3148" s="1">
        <v>1988000.0</v>
      </c>
      <c r="AB3148" s="1"/>
      <c r="AC3148" s="1" t="s">
        <v>36</v>
      </c>
      <c r="AD3148" s="1" t="s">
        <v>11120</v>
      </c>
      <c r="AE3148" s="1" t="s">
        <v>32</v>
      </c>
      <c r="AF3148" s="1" t="s">
        <v>33</v>
      </c>
      <c r="AG3148" s="1" t="s">
        <v>270</v>
      </c>
    </row>
    <row r="3149" spans="1:33">
      <c r="A3149" t="s">
        <v>11123</v>
      </c>
      <c r="C3149" t="s">
        <v>11124</v>
      </c>
      <c r="E3149" t="s">
        <v>10933</v>
      </c>
      <c r="F3149" t="s">
        <v>10938</v>
      </c>
      <c r="G3149">
        <v>549.5</v>
      </c>
      <c r="H3149">
        <v>549.5</v>
      </c>
      <c r="I3149" t="s">
        <v>179</v>
      </c>
      <c r="J3149" t="s">
        <v>180</v>
      </c>
      <c r="K3149" t="s">
        <v>31</v>
      </c>
      <c r="L3149" t="s">
        <v>32</v>
      </c>
      <c r="M3149" t="s">
        <v>33</v>
      </c>
      <c r="P3149" s="1" t="s">
        <v>11125</v>
      </c>
      <c r="Q3149" s="1" t="s">
        <v>10933</v>
      </c>
      <c r="R3149" s="1" t="s">
        <v>10933</v>
      </c>
      <c r="S3149" s="1"/>
      <c r="T3149" s="1" t="s">
        <v>11124</v>
      </c>
      <c r="U3149" s="1"/>
      <c r="V3149" s="1">
        <v>549.5</v>
      </c>
      <c r="W3149" s="1">
        <v>549.5</v>
      </c>
      <c r="X3149" s="1" t="s">
        <v>35</v>
      </c>
      <c r="Y3149" s="1">
        <v>549500.0</v>
      </c>
      <c r="Z3149" s="1"/>
      <c r="AA3149" s="1">
        <v>549500.0</v>
      </c>
      <c r="AB3149" s="1"/>
      <c r="AC3149" s="1" t="s">
        <v>36</v>
      </c>
      <c r="AD3149" s="1" t="s">
        <v>11126</v>
      </c>
      <c r="AE3149" s="1" t="s">
        <v>32</v>
      </c>
      <c r="AF3149" s="1" t="s">
        <v>33</v>
      </c>
      <c r="AG3149" s="1" t="s">
        <v>180</v>
      </c>
    </row>
    <row r="3150" spans="1:33">
      <c r="A3150" t="s">
        <v>11127</v>
      </c>
      <c r="C3150" t="s">
        <v>135</v>
      </c>
      <c r="E3150" t="s">
        <v>10933</v>
      </c>
      <c r="F3150" t="s">
        <v>10938</v>
      </c>
      <c r="G3150">
        <v>16.9</v>
      </c>
      <c r="H3150">
        <v>16.9</v>
      </c>
      <c r="I3150" t="s">
        <v>136</v>
      </c>
      <c r="J3150" t="s">
        <v>137</v>
      </c>
      <c r="K3150" t="s">
        <v>31</v>
      </c>
      <c r="L3150" t="s">
        <v>32</v>
      </c>
      <c r="M3150" t="s">
        <v>33</v>
      </c>
      <c r="P3150" s="1" t="s">
        <v>11128</v>
      </c>
      <c r="Q3150" s="1" t="s">
        <v>10933</v>
      </c>
      <c r="R3150" s="1" t="s">
        <v>10933</v>
      </c>
      <c r="S3150" s="1"/>
      <c r="T3150" s="1" t="s">
        <v>135</v>
      </c>
      <c r="U3150" s="1"/>
      <c r="V3150" s="1">
        <v>16.9</v>
      </c>
      <c r="W3150" s="1">
        <v>16.9</v>
      </c>
      <c r="X3150" s="1" t="s">
        <v>35</v>
      </c>
      <c r="Y3150" s="1">
        <v>16900.0</v>
      </c>
      <c r="Z3150" s="1"/>
      <c r="AA3150" s="1">
        <v>16900.0</v>
      </c>
      <c r="AB3150" s="1"/>
      <c r="AC3150" s="1" t="s">
        <v>36</v>
      </c>
      <c r="AD3150" s="1" t="s">
        <v>11129</v>
      </c>
      <c r="AE3150" s="1" t="s">
        <v>32</v>
      </c>
      <c r="AF3150" s="1" t="s">
        <v>33</v>
      </c>
      <c r="AG3150" s="1" t="s">
        <v>137</v>
      </c>
    </row>
    <row r="3151" spans="1:33">
      <c r="A3151" t="s">
        <v>11130</v>
      </c>
      <c r="B3151" t="s">
        <v>11131</v>
      </c>
      <c r="C3151" t="s">
        <v>314</v>
      </c>
      <c r="E3151" t="s">
        <v>10933</v>
      </c>
      <c r="F3151" t="s">
        <v>10938</v>
      </c>
      <c r="G3151">
        <v>5.6</v>
      </c>
      <c r="H3151">
        <v>5.6</v>
      </c>
      <c r="I3151" t="s">
        <v>179</v>
      </c>
      <c r="J3151" t="s">
        <v>180</v>
      </c>
      <c r="K3151" t="s">
        <v>31</v>
      </c>
      <c r="L3151" t="s">
        <v>32</v>
      </c>
      <c r="M3151" t="s">
        <v>33</v>
      </c>
      <c r="P3151" s="1" t="s">
        <v>11132</v>
      </c>
      <c r="Q3151" s="1" t="s">
        <v>10933</v>
      </c>
      <c r="R3151" s="1" t="s">
        <v>10933</v>
      </c>
      <c r="S3151" s="1"/>
      <c r="T3151" s="1" t="s">
        <v>314</v>
      </c>
      <c r="U3151" s="1"/>
      <c r="V3151" s="1">
        <v>5.6</v>
      </c>
      <c r="W3151" s="1">
        <v>5.6</v>
      </c>
      <c r="X3151" s="1" t="s">
        <v>35</v>
      </c>
      <c r="Y3151" s="1">
        <v>5600.0</v>
      </c>
      <c r="Z3151" s="1"/>
      <c r="AA3151" s="1">
        <v>5600.0</v>
      </c>
      <c r="AB3151" s="1"/>
      <c r="AC3151" s="1" t="s">
        <v>36</v>
      </c>
      <c r="AD3151" s="1" t="s">
        <v>11129</v>
      </c>
      <c r="AE3151" s="1" t="s">
        <v>32</v>
      </c>
      <c r="AF3151" s="1" t="s">
        <v>33</v>
      </c>
      <c r="AG3151" s="1" t="s">
        <v>180</v>
      </c>
    </row>
    <row r="3152" spans="1:33">
      <c r="A3152" t="s">
        <v>11133</v>
      </c>
      <c r="C3152" t="s">
        <v>1464</v>
      </c>
      <c r="E3152" t="s">
        <v>10933</v>
      </c>
      <c r="F3152" t="s">
        <v>10938</v>
      </c>
      <c r="G3152">
        <v>473.35</v>
      </c>
      <c r="H3152">
        <v>473.35</v>
      </c>
      <c r="I3152" t="s">
        <v>136</v>
      </c>
      <c r="J3152" t="s">
        <v>137</v>
      </c>
      <c r="K3152" t="s">
        <v>31</v>
      </c>
      <c r="L3152" t="s">
        <v>32</v>
      </c>
      <c r="M3152" t="s">
        <v>33</v>
      </c>
      <c r="P3152" s="1" t="s">
        <v>11134</v>
      </c>
      <c r="Q3152" s="1" t="s">
        <v>10933</v>
      </c>
      <c r="R3152" s="1" t="s">
        <v>10933</v>
      </c>
      <c r="S3152" s="1"/>
      <c r="T3152" s="1" t="s">
        <v>1464</v>
      </c>
      <c r="U3152" s="1"/>
      <c r="V3152" s="1">
        <v>473.35</v>
      </c>
      <c r="W3152" s="1">
        <v>473.35</v>
      </c>
      <c r="X3152" s="1" t="s">
        <v>35</v>
      </c>
      <c r="Y3152" s="1">
        <v>473350.0</v>
      </c>
      <c r="Z3152" s="1"/>
      <c r="AA3152" s="1">
        <v>473350.0</v>
      </c>
      <c r="AB3152" s="1"/>
      <c r="AC3152" s="1" t="s">
        <v>36</v>
      </c>
      <c r="AD3152" s="1" t="s">
        <v>11135</v>
      </c>
      <c r="AE3152" s="1" t="s">
        <v>32</v>
      </c>
      <c r="AF3152" s="1" t="s">
        <v>33</v>
      </c>
      <c r="AG3152" s="1" t="s">
        <v>137</v>
      </c>
    </row>
    <row r="3153" spans="1:33">
      <c r="A3153" t="s">
        <v>11136</v>
      </c>
      <c r="B3153" t="s">
        <v>11137</v>
      </c>
      <c r="C3153" t="s">
        <v>73</v>
      </c>
      <c r="E3153" t="s">
        <v>10933</v>
      </c>
      <c r="F3153" t="s">
        <v>10938</v>
      </c>
      <c r="G3153">
        <v>11.816</v>
      </c>
      <c r="H3153">
        <v>11.816</v>
      </c>
      <c r="I3153" t="s">
        <v>40</v>
      </c>
      <c r="J3153" t="s">
        <v>41</v>
      </c>
      <c r="K3153" t="s">
        <v>31</v>
      </c>
      <c r="L3153" t="s">
        <v>32</v>
      </c>
      <c r="M3153" t="s">
        <v>33</v>
      </c>
      <c r="P3153" s="1" t="s">
        <v>11138</v>
      </c>
      <c r="Q3153" s="1" t="s">
        <v>10933</v>
      </c>
      <c r="R3153" s="1" t="s">
        <v>10324</v>
      </c>
      <c r="S3153" s="1"/>
      <c r="T3153" s="1" t="s">
        <v>75</v>
      </c>
      <c r="U3153" s="1" t="s">
        <v>76</v>
      </c>
      <c r="V3153" s="1">
        <v>11.816</v>
      </c>
      <c r="W3153" s="1">
        <v>11.816</v>
      </c>
      <c r="X3153" s="1" t="s">
        <v>35</v>
      </c>
      <c r="Y3153" s="1">
        <v>11816.0</v>
      </c>
      <c r="Z3153" s="1"/>
      <c r="AA3153" s="1">
        <v>11816.0</v>
      </c>
      <c r="AB3153" s="1"/>
      <c r="AC3153" s="1" t="s">
        <v>36</v>
      </c>
      <c r="AD3153" s="1" t="s">
        <v>11139</v>
      </c>
      <c r="AE3153" s="1" t="s">
        <v>32</v>
      </c>
      <c r="AF3153" s="1" t="s">
        <v>33</v>
      </c>
      <c r="AG3153" s="1" t="s">
        <v>41</v>
      </c>
    </row>
    <row r="3154" spans="1:33">
      <c r="A3154" t="s">
        <v>11140</v>
      </c>
      <c r="C3154" t="s">
        <v>145</v>
      </c>
      <c r="E3154" t="s">
        <v>10933</v>
      </c>
      <c r="F3154" t="s">
        <v>10938</v>
      </c>
      <c r="G3154">
        <v>1.032</v>
      </c>
      <c r="H3154">
        <v>1.032</v>
      </c>
      <c r="I3154" t="s">
        <v>136</v>
      </c>
      <c r="J3154" t="s">
        <v>137</v>
      </c>
      <c r="K3154" t="s">
        <v>31</v>
      </c>
      <c r="L3154" t="s">
        <v>32</v>
      </c>
      <c r="M3154" t="s">
        <v>33</v>
      </c>
      <c r="P3154" s="1" t="s">
        <v>11141</v>
      </c>
      <c r="Q3154" s="1" t="s">
        <v>10933</v>
      </c>
      <c r="R3154" s="1" t="s">
        <v>10933</v>
      </c>
      <c r="S3154" s="1"/>
      <c r="T3154" s="1" t="s">
        <v>145</v>
      </c>
      <c r="U3154" s="1"/>
      <c r="V3154" s="1">
        <v>1.032</v>
      </c>
      <c r="W3154" s="1">
        <v>1.032</v>
      </c>
      <c r="X3154" s="1" t="s">
        <v>35</v>
      </c>
      <c r="Y3154" s="1">
        <v>1032500.0</v>
      </c>
      <c r="Z3154" s="1"/>
      <c r="AA3154" s="1">
        <v>1032500.0</v>
      </c>
      <c r="AB3154" s="1"/>
      <c r="AC3154" s="1" t="s">
        <v>36</v>
      </c>
      <c r="AD3154" s="1" t="s">
        <v>11142</v>
      </c>
      <c r="AE3154" s="1" t="s">
        <v>32</v>
      </c>
      <c r="AF3154" s="1" t="s">
        <v>33</v>
      </c>
      <c r="AG3154" s="1" t="s">
        <v>137</v>
      </c>
    </row>
    <row r="3155" spans="1:33">
      <c r="A3155" t="s">
        <v>11143</v>
      </c>
      <c r="C3155" t="s">
        <v>11144</v>
      </c>
      <c r="E3155" t="s">
        <v>10933</v>
      </c>
      <c r="F3155" t="s">
        <v>10938</v>
      </c>
      <c r="G3155">
        <v>328.0</v>
      </c>
      <c r="H3155">
        <v>328.0</v>
      </c>
      <c r="I3155" t="s">
        <v>136</v>
      </c>
      <c r="J3155" t="s">
        <v>137</v>
      </c>
      <c r="K3155" t="s">
        <v>31</v>
      </c>
      <c r="L3155" t="s">
        <v>32</v>
      </c>
      <c r="M3155" t="s">
        <v>33</v>
      </c>
      <c r="P3155" s="1" t="s">
        <v>11145</v>
      </c>
      <c r="Q3155" s="1" t="s">
        <v>10933</v>
      </c>
      <c r="R3155" s="1" t="s">
        <v>10933</v>
      </c>
      <c r="S3155" s="1"/>
      <c r="T3155" s="1" t="s">
        <v>11146</v>
      </c>
      <c r="U3155" s="1" t="s">
        <v>11147</v>
      </c>
      <c r="V3155" s="1">
        <v>328.0</v>
      </c>
      <c r="W3155" s="1">
        <v>328.0</v>
      </c>
      <c r="X3155" s="1" t="s">
        <v>35</v>
      </c>
      <c r="Y3155" s="1">
        <v>328000.0</v>
      </c>
      <c r="Z3155" s="1"/>
      <c r="AA3155" s="1">
        <v>328000.0</v>
      </c>
      <c r="AB3155" s="1"/>
      <c r="AC3155" s="1" t="s">
        <v>36</v>
      </c>
      <c r="AD3155" s="1" t="s">
        <v>11148</v>
      </c>
      <c r="AE3155" s="1" t="s">
        <v>32</v>
      </c>
      <c r="AF3155" s="1" t="s">
        <v>33</v>
      </c>
      <c r="AG3155" s="1" t="s">
        <v>137</v>
      </c>
    </row>
    <row r="3156" spans="1:33">
      <c r="A3156" t="s">
        <v>11149</v>
      </c>
      <c r="C3156" t="s">
        <v>569</v>
      </c>
      <c r="E3156" t="s">
        <v>10933</v>
      </c>
      <c r="F3156" t="s">
        <v>10938</v>
      </c>
      <c r="G3156">
        <v>28.49</v>
      </c>
      <c r="H3156">
        <v>28.49</v>
      </c>
      <c r="I3156" t="s">
        <v>570</v>
      </c>
      <c r="J3156" t="s">
        <v>571</v>
      </c>
      <c r="K3156" t="s">
        <v>31</v>
      </c>
      <c r="L3156" t="s">
        <v>32</v>
      </c>
      <c r="M3156" t="s">
        <v>33</v>
      </c>
      <c r="P3156" s="1" t="s">
        <v>11150</v>
      </c>
      <c r="Q3156" s="1" t="s">
        <v>10933</v>
      </c>
      <c r="R3156" s="1" t="s">
        <v>10933</v>
      </c>
      <c r="S3156" s="1"/>
      <c r="T3156" s="1" t="s">
        <v>569</v>
      </c>
      <c r="U3156" s="1"/>
      <c r="V3156" s="1">
        <v>28.49</v>
      </c>
      <c r="W3156" s="1">
        <v>28.49</v>
      </c>
      <c r="X3156" s="1" t="s">
        <v>35</v>
      </c>
      <c r="Y3156" s="1">
        <v>28490.0</v>
      </c>
      <c r="Z3156" s="1"/>
      <c r="AA3156" s="1">
        <v>28490.0</v>
      </c>
      <c r="AB3156" s="1"/>
      <c r="AC3156" s="1" t="s">
        <v>36</v>
      </c>
      <c r="AD3156" s="1" t="s">
        <v>11151</v>
      </c>
      <c r="AE3156" s="1" t="s">
        <v>32</v>
      </c>
      <c r="AF3156" s="1" t="s">
        <v>33</v>
      </c>
      <c r="AG3156" s="1" t="s">
        <v>571</v>
      </c>
    </row>
    <row r="3157" spans="1:33">
      <c r="A3157" t="s">
        <v>11152</v>
      </c>
      <c r="C3157" t="s">
        <v>755</v>
      </c>
      <c r="E3157" t="s">
        <v>10933</v>
      </c>
      <c r="F3157" t="s">
        <v>10938</v>
      </c>
      <c r="G3157">
        <v>759.25</v>
      </c>
      <c r="H3157">
        <v>759.25</v>
      </c>
      <c r="I3157" t="s">
        <v>136</v>
      </c>
      <c r="J3157" t="s">
        <v>137</v>
      </c>
      <c r="K3157" t="s">
        <v>31</v>
      </c>
      <c r="L3157" t="s">
        <v>32</v>
      </c>
      <c r="M3157" t="s">
        <v>33</v>
      </c>
      <c r="P3157" s="1" t="s">
        <v>11153</v>
      </c>
      <c r="Q3157" s="1" t="s">
        <v>10933</v>
      </c>
      <c r="R3157" s="1" t="s">
        <v>10933</v>
      </c>
      <c r="S3157" s="1"/>
      <c r="T3157" s="1" t="s">
        <v>757</v>
      </c>
      <c r="U3157" s="1" t="s">
        <v>758</v>
      </c>
      <c r="V3157" s="1">
        <v>759.25</v>
      </c>
      <c r="W3157" s="1">
        <v>759.25</v>
      </c>
      <c r="X3157" s="1" t="s">
        <v>35</v>
      </c>
      <c r="Y3157" s="1">
        <v>759250.0</v>
      </c>
      <c r="Z3157" s="1"/>
      <c r="AA3157" s="1">
        <v>759250.0</v>
      </c>
      <c r="AB3157" s="1"/>
      <c r="AC3157" s="1" t="s">
        <v>36</v>
      </c>
      <c r="AD3157" s="1" t="s">
        <v>11151</v>
      </c>
      <c r="AE3157" s="1" t="s">
        <v>32</v>
      </c>
      <c r="AF3157" s="1" t="s">
        <v>33</v>
      </c>
      <c r="AG3157" s="1" t="s">
        <v>137</v>
      </c>
    </row>
    <row r="3158" spans="1:33">
      <c r="A3158" t="s">
        <v>11154</v>
      </c>
      <c r="B3158" t="s">
        <v>11137</v>
      </c>
      <c r="C3158" t="s">
        <v>73</v>
      </c>
      <c r="E3158" t="s">
        <v>10933</v>
      </c>
      <c r="F3158" t="s">
        <v>10938</v>
      </c>
      <c r="G3158">
        <v>21.99</v>
      </c>
      <c r="H3158">
        <v>21.99</v>
      </c>
      <c r="I3158" t="s">
        <v>40</v>
      </c>
      <c r="J3158" t="s">
        <v>41</v>
      </c>
      <c r="K3158" t="s">
        <v>31</v>
      </c>
      <c r="L3158" t="s">
        <v>32</v>
      </c>
      <c r="M3158" t="s">
        <v>33</v>
      </c>
      <c r="P3158" s="1" t="s">
        <v>11155</v>
      </c>
      <c r="Q3158" s="1" t="s">
        <v>10933</v>
      </c>
      <c r="R3158" s="1" t="s">
        <v>10324</v>
      </c>
      <c r="S3158" s="1"/>
      <c r="T3158" s="1" t="s">
        <v>75</v>
      </c>
      <c r="U3158" s="1" t="s">
        <v>76</v>
      </c>
      <c r="V3158" s="1">
        <v>21.99</v>
      </c>
      <c r="W3158" s="1">
        <v>21.99</v>
      </c>
      <c r="X3158" s="1" t="s">
        <v>35</v>
      </c>
      <c r="Y3158" s="1">
        <v>21990.0</v>
      </c>
      <c r="Z3158" s="1"/>
      <c r="AA3158" s="1">
        <v>21990.0</v>
      </c>
      <c r="AB3158" s="1"/>
      <c r="AC3158" s="1" t="s">
        <v>36</v>
      </c>
      <c r="AD3158" s="1" t="s">
        <v>11156</v>
      </c>
      <c r="AE3158" s="1" t="s">
        <v>32</v>
      </c>
      <c r="AF3158" s="1" t="s">
        <v>33</v>
      </c>
      <c r="AG3158" s="1" t="s">
        <v>41</v>
      </c>
    </row>
    <row r="3159" spans="1:33">
      <c r="A3159" t="s">
        <v>11157</v>
      </c>
      <c r="B3159" t="s">
        <v>11158</v>
      </c>
      <c r="C3159" t="s">
        <v>125</v>
      </c>
      <c r="E3159" t="s">
        <v>10933</v>
      </c>
      <c r="F3159" t="s">
        <v>10938</v>
      </c>
      <c r="G3159">
        <v>8.596</v>
      </c>
      <c r="H3159">
        <v>8.596</v>
      </c>
      <c r="I3159" t="s">
        <v>126</v>
      </c>
      <c r="J3159" t="s">
        <v>127</v>
      </c>
      <c r="K3159" t="s">
        <v>31</v>
      </c>
      <c r="L3159" t="s">
        <v>32</v>
      </c>
      <c r="M3159" t="s">
        <v>33</v>
      </c>
      <c r="P3159" s="1" t="s">
        <v>11159</v>
      </c>
      <c r="Q3159" s="1" t="s">
        <v>10933</v>
      </c>
      <c r="R3159" s="1" t="s">
        <v>10933</v>
      </c>
      <c r="S3159" s="1"/>
      <c r="T3159" s="1" t="s">
        <v>125</v>
      </c>
      <c r="U3159" s="1"/>
      <c r="V3159" s="1">
        <v>8.596</v>
      </c>
      <c r="W3159" s="1">
        <v>8.596</v>
      </c>
      <c r="X3159" s="1" t="s">
        <v>35</v>
      </c>
      <c r="Y3159" s="1">
        <v>8596.0</v>
      </c>
      <c r="Z3159" s="1"/>
      <c r="AA3159" s="1">
        <v>8596.0</v>
      </c>
      <c r="AB3159" s="1"/>
      <c r="AC3159" s="1" t="s">
        <v>36</v>
      </c>
      <c r="AD3159" s="1" t="s">
        <v>11160</v>
      </c>
      <c r="AE3159" s="1" t="s">
        <v>32</v>
      </c>
      <c r="AF3159" s="1" t="s">
        <v>33</v>
      </c>
      <c r="AG3159" s="1" t="s">
        <v>127</v>
      </c>
    </row>
    <row r="3160" spans="1:33">
      <c r="A3160" t="s">
        <v>11161</v>
      </c>
      <c r="B3160" t="s">
        <v>11162</v>
      </c>
      <c r="C3160" t="s">
        <v>1298</v>
      </c>
      <c r="E3160" t="s">
        <v>10933</v>
      </c>
      <c r="F3160" t="s">
        <v>10938</v>
      </c>
      <c r="G3160">
        <v>52.996</v>
      </c>
      <c r="H3160">
        <v>52.996</v>
      </c>
      <c r="I3160" t="s">
        <v>529</v>
      </c>
      <c r="J3160" t="s">
        <v>530</v>
      </c>
      <c r="K3160" t="s">
        <v>31</v>
      </c>
      <c r="L3160" t="s">
        <v>32</v>
      </c>
      <c r="M3160" t="s">
        <v>33</v>
      </c>
      <c r="P3160" s="1" t="s">
        <v>11163</v>
      </c>
      <c r="Q3160" s="1" t="s">
        <v>10933</v>
      </c>
      <c r="R3160" s="1" t="s">
        <v>10324</v>
      </c>
      <c r="S3160" s="1"/>
      <c r="T3160" s="1" t="s">
        <v>1298</v>
      </c>
      <c r="U3160" s="1"/>
      <c r="V3160" s="1">
        <v>52.996</v>
      </c>
      <c r="W3160" s="1">
        <v>52.996</v>
      </c>
      <c r="X3160" s="1" t="s">
        <v>35</v>
      </c>
      <c r="Y3160" s="1">
        <v>52996.0</v>
      </c>
      <c r="Z3160" s="1"/>
      <c r="AA3160" s="1">
        <v>52996.0</v>
      </c>
      <c r="AB3160" s="1"/>
      <c r="AC3160" s="1" t="s">
        <v>36</v>
      </c>
      <c r="AD3160" s="1" t="s">
        <v>11164</v>
      </c>
      <c r="AE3160" s="1" t="s">
        <v>32</v>
      </c>
      <c r="AF3160" s="1" t="s">
        <v>33</v>
      </c>
      <c r="AG3160" s="1" t="s">
        <v>530</v>
      </c>
    </row>
    <row r="3161" spans="1:33">
      <c r="A3161" t="s">
        <v>11165</v>
      </c>
      <c r="B3161" t="s">
        <v>3094</v>
      </c>
      <c r="C3161" t="s">
        <v>314</v>
      </c>
      <c r="E3161" t="s">
        <v>10933</v>
      </c>
      <c r="F3161" t="s">
        <v>10938</v>
      </c>
      <c r="G3161">
        <v>81.98</v>
      </c>
      <c r="H3161">
        <v>81.98</v>
      </c>
      <c r="I3161" t="s">
        <v>179</v>
      </c>
      <c r="J3161" t="s">
        <v>180</v>
      </c>
      <c r="K3161" t="s">
        <v>31</v>
      </c>
      <c r="L3161" t="s">
        <v>32</v>
      </c>
      <c r="M3161" t="s">
        <v>33</v>
      </c>
      <c r="P3161" s="1" t="s">
        <v>11166</v>
      </c>
      <c r="Q3161" s="1" t="s">
        <v>10933</v>
      </c>
      <c r="R3161" s="1" t="s">
        <v>10933</v>
      </c>
      <c r="S3161" s="1"/>
      <c r="T3161" s="1" t="s">
        <v>314</v>
      </c>
      <c r="U3161" s="1"/>
      <c r="V3161" s="1">
        <v>81.98</v>
      </c>
      <c r="W3161" s="1">
        <v>81.98</v>
      </c>
      <c r="X3161" s="1" t="s">
        <v>35</v>
      </c>
      <c r="Y3161" s="1">
        <v>81980.0</v>
      </c>
      <c r="Z3161" s="1"/>
      <c r="AA3161" s="1">
        <v>81980.0</v>
      </c>
      <c r="AB3161" s="1"/>
      <c r="AC3161" s="1" t="s">
        <v>36</v>
      </c>
      <c r="AD3161" s="1" t="s">
        <v>11164</v>
      </c>
      <c r="AE3161" s="1" t="s">
        <v>32</v>
      </c>
      <c r="AF3161" s="1" t="s">
        <v>33</v>
      </c>
      <c r="AG3161" s="1" t="s">
        <v>180</v>
      </c>
    </row>
    <row r="3162" spans="1:33">
      <c r="A3162" t="s">
        <v>11167</v>
      </c>
      <c r="C3162" t="s">
        <v>11168</v>
      </c>
      <c r="E3162" t="s">
        <v>10933</v>
      </c>
      <c r="F3162" t="s">
        <v>10938</v>
      </c>
      <c r="G3162">
        <v>664.0</v>
      </c>
      <c r="H3162">
        <v>664.0</v>
      </c>
      <c r="I3162" t="s">
        <v>126</v>
      </c>
      <c r="J3162" t="s">
        <v>127</v>
      </c>
      <c r="K3162" t="s">
        <v>31</v>
      </c>
      <c r="L3162" t="s">
        <v>32</v>
      </c>
      <c r="M3162" t="s">
        <v>33</v>
      </c>
      <c r="P3162" s="1" t="s">
        <v>11169</v>
      </c>
      <c r="Q3162" s="1" t="s">
        <v>10933</v>
      </c>
      <c r="R3162" s="1" t="s">
        <v>10933</v>
      </c>
      <c r="S3162" s="1"/>
      <c r="T3162" s="1" t="s">
        <v>11168</v>
      </c>
      <c r="U3162" s="1"/>
      <c r="V3162" s="1">
        <v>664.0</v>
      </c>
      <c r="W3162" s="1">
        <v>664.0</v>
      </c>
      <c r="X3162" s="1" t="s">
        <v>35</v>
      </c>
      <c r="Y3162" s="1">
        <v>664000.0</v>
      </c>
      <c r="Z3162" s="1"/>
      <c r="AA3162" s="1">
        <v>664000.0</v>
      </c>
      <c r="AB3162" s="1"/>
      <c r="AC3162" s="1" t="s">
        <v>36</v>
      </c>
      <c r="AD3162" s="1" t="s">
        <v>11170</v>
      </c>
      <c r="AE3162" s="1" t="s">
        <v>32</v>
      </c>
      <c r="AF3162" s="1" t="s">
        <v>33</v>
      </c>
      <c r="AG3162" s="1" t="s">
        <v>127</v>
      </c>
    </row>
    <row r="3163" spans="1:33">
      <c r="A3163" t="s">
        <v>11171</v>
      </c>
      <c r="C3163" t="s">
        <v>5851</v>
      </c>
      <c r="E3163" t="s">
        <v>10933</v>
      </c>
      <c r="F3163" t="s">
        <v>10938</v>
      </c>
      <c r="G3163">
        <v>352.0</v>
      </c>
      <c r="H3163">
        <v>352.0</v>
      </c>
      <c r="I3163" t="s">
        <v>179</v>
      </c>
      <c r="J3163" t="s">
        <v>180</v>
      </c>
      <c r="K3163" t="s">
        <v>31</v>
      </c>
      <c r="L3163" t="s">
        <v>32</v>
      </c>
      <c r="M3163" t="s">
        <v>33</v>
      </c>
      <c r="P3163" s="1" t="s">
        <v>11172</v>
      </c>
      <c r="Q3163" s="1" t="s">
        <v>10933</v>
      </c>
      <c r="R3163" s="1" t="s">
        <v>10933</v>
      </c>
      <c r="S3163" s="1"/>
      <c r="T3163" s="1" t="s">
        <v>5851</v>
      </c>
      <c r="U3163" s="1"/>
      <c r="V3163" s="1">
        <v>352.0</v>
      </c>
      <c r="W3163" s="1">
        <v>352.0</v>
      </c>
      <c r="X3163" s="1" t="s">
        <v>35</v>
      </c>
      <c r="Y3163" s="1">
        <v>352000.0</v>
      </c>
      <c r="Z3163" s="1"/>
      <c r="AA3163" s="1">
        <v>352000.0</v>
      </c>
      <c r="AB3163" s="1"/>
      <c r="AC3163" s="1" t="s">
        <v>36</v>
      </c>
      <c r="AD3163" s="1" t="s">
        <v>11173</v>
      </c>
      <c r="AE3163" s="1" t="s">
        <v>32</v>
      </c>
      <c r="AF3163" s="1" t="s">
        <v>33</v>
      </c>
      <c r="AG3163" s="1" t="s">
        <v>180</v>
      </c>
    </row>
    <row r="3164" spans="1:33">
      <c r="A3164" t="s">
        <v>11174</v>
      </c>
      <c r="C3164" t="s">
        <v>259</v>
      </c>
      <c r="D3164" t="s">
        <v>114</v>
      </c>
      <c r="E3164" t="s">
        <v>10933</v>
      </c>
      <c r="F3164" t="s">
        <v>10938</v>
      </c>
      <c r="G3164">
        <v>210.0</v>
      </c>
      <c r="H3164">
        <v>210.0</v>
      </c>
      <c r="I3164" t="s">
        <v>173</v>
      </c>
      <c r="J3164" t="s">
        <v>174</v>
      </c>
      <c r="K3164" t="s">
        <v>31</v>
      </c>
      <c r="L3164" t="s">
        <v>32</v>
      </c>
      <c r="M3164" t="s">
        <v>33</v>
      </c>
      <c r="P3164" s="1" t="s">
        <v>11175</v>
      </c>
      <c r="Q3164" s="1" t="s">
        <v>10933</v>
      </c>
      <c r="R3164" s="1" t="s">
        <v>10933</v>
      </c>
      <c r="S3164" s="1"/>
      <c r="T3164" s="1" t="s">
        <v>259</v>
      </c>
      <c r="U3164" s="1"/>
      <c r="V3164" s="1">
        <v>210.0</v>
      </c>
      <c r="W3164" s="1">
        <v>210.0</v>
      </c>
      <c r="X3164" s="1" t="s">
        <v>35</v>
      </c>
      <c r="Y3164" s="1">
        <v>210000.0</v>
      </c>
      <c r="Z3164" s="1"/>
      <c r="AA3164" s="1">
        <v>210000.0</v>
      </c>
      <c r="AB3164" s="1"/>
      <c r="AC3164" s="1" t="s">
        <v>36</v>
      </c>
      <c r="AD3164" s="1" t="s">
        <v>11176</v>
      </c>
      <c r="AE3164" s="1" t="s">
        <v>32</v>
      </c>
      <c r="AF3164" s="1" t="s">
        <v>33</v>
      </c>
      <c r="AG3164" s="1" t="s">
        <v>174</v>
      </c>
    </row>
    <row r="3165" spans="1:33">
      <c r="A3165" t="s">
        <v>11177</v>
      </c>
      <c r="C3165" t="s">
        <v>827</v>
      </c>
      <c r="D3165" t="s">
        <v>154</v>
      </c>
      <c r="E3165" t="s">
        <v>10933</v>
      </c>
      <c r="F3165" t="s">
        <v>10938</v>
      </c>
      <c r="G3165">
        <v>880.5</v>
      </c>
      <c r="H3165">
        <v>880.5</v>
      </c>
      <c r="I3165" t="s">
        <v>269</v>
      </c>
      <c r="J3165" t="s">
        <v>270</v>
      </c>
      <c r="K3165" t="s">
        <v>31</v>
      </c>
      <c r="L3165" t="s">
        <v>32</v>
      </c>
      <c r="M3165" t="s">
        <v>33</v>
      </c>
      <c r="P3165" s="1" t="s">
        <v>11178</v>
      </c>
      <c r="Q3165" s="1" t="s">
        <v>10933</v>
      </c>
      <c r="R3165" s="1" t="s">
        <v>10933</v>
      </c>
      <c r="S3165" s="1"/>
      <c r="T3165" s="1" t="s">
        <v>827</v>
      </c>
      <c r="U3165" s="1"/>
      <c r="V3165" s="1">
        <v>880.5</v>
      </c>
      <c r="W3165" s="1">
        <v>880.5</v>
      </c>
      <c r="X3165" s="1" t="s">
        <v>35</v>
      </c>
      <c r="Y3165" s="1">
        <v>880500.0</v>
      </c>
      <c r="Z3165" s="1"/>
      <c r="AA3165" s="1">
        <v>880500.0</v>
      </c>
      <c r="AB3165" s="1"/>
      <c r="AC3165" s="1" t="s">
        <v>36</v>
      </c>
      <c r="AD3165" s="1" t="s">
        <v>11179</v>
      </c>
      <c r="AE3165" s="1" t="s">
        <v>32</v>
      </c>
      <c r="AF3165" s="1" t="s">
        <v>33</v>
      </c>
      <c r="AG3165" s="1" t="s">
        <v>270</v>
      </c>
    </row>
    <row r="3166" spans="1:33">
      <c r="A3166" t="s">
        <v>11180</v>
      </c>
      <c r="C3166" t="s">
        <v>1613</v>
      </c>
      <c r="E3166" t="s">
        <v>10933</v>
      </c>
      <c r="F3166" t="s">
        <v>10938</v>
      </c>
      <c r="G3166">
        <v>1.228</v>
      </c>
      <c r="H3166">
        <v>1.228</v>
      </c>
      <c r="I3166" t="s">
        <v>570</v>
      </c>
      <c r="J3166" t="s">
        <v>571</v>
      </c>
      <c r="K3166" t="s">
        <v>31</v>
      </c>
      <c r="L3166" t="s">
        <v>32</v>
      </c>
      <c r="M3166" t="s">
        <v>33</v>
      </c>
      <c r="P3166" s="1" t="s">
        <v>11181</v>
      </c>
      <c r="Q3166" s="1" t="s">
        <v>10933</v>
      </c>
      <c r="R3166" s="1" t="s">
        <v>10933</v>
      </c>
      <c r="S3166" s="1"/>
      <c r="T3166" s="1" t="s">
        <v>1613</v>
      </c>
      <c r="U3166" s="1"/>
      <c r="V3166" s="1">
        <v>1.228</v>
      </c>
      <c r="W3166" s="1">
        <v>1.228</v>
      </c>
      <c r="X3166" s="1" t="s">
        <v>35</v>
      </c>
      <c r="Y3166" s="1">
        <v>1228850.0</v>
      </c>
      <c r="Z3166" s="1"/>
      <c r="AA3166" s="1">
        <v>1228850.0</v>
      </c>
      <c r="AB3166" s="1"/>
      <c r="AC3166" s="1" t="s">
        <v>36</v>
      </c>
      <c r="AD3166" s="1" t="s">
        <v>11182</v>
      </c>
      <c r="AE3166" s="1" t="s">
        <v>32</v>
      </c>
      <c r="AF3166" s="1" t="s">
        <v>33</v>
      </c>
      <c r="AG3166" s="1" t="s">
        <v>571</v>
      </c>
    </row>
    <row r="3167" spans="1:33">
      <c r="A3167" t="s">
        <v>11183</v>
      </c>
      <c r="C3167" t="s">
        <v>3871</v>
      </c>
      <c r="E3167" t="s">
        <v>10933</v>
      </c>
      <c r="F3167" t="s">
        <v>10938</v>
      </c>
      <c r="G3167">
        <v>367.25</v>
      </c>
      <c r="H3167">
        <v>367.25</v>
      </c>
      <c r="I3167" t="s">
        <v>570</v>
      </c>
      <c r="J3167" t="s">
        <v>571</v>
      </c>
      <c r="K3167" t="s">
        <v>31</v>
      </c>
      <c r="L3167" t="s">
        <v>32</v>
      </c>
      <c r="M3167" t="s">
        <v>33</v>
      </c>
      <c r="P3167" s="1" t="s">
        <v>11184</v>
      </c>
      <c r="Q3167" s="1" t="s">
        <v>10933</v>
      </c>
      <c r="R3167" s="1" t="s">
        <v>10933</v>
      </c>
      <c r="S3167" s="1"/>
      <c r="T3167" s="1" t="s">
        <v>3871</v>
      </c>
      <c r="U3167" s="1"/>
      <c r="V3167" s="1">
        <v>367.25</v>
      </c>
      <c r="W3167" s="1">
        <v>367.25</v>
      </c>
      <c r="X3167" s="1" t="s">
        <v>35</v>
      </c>
      <c r="Y3167" s="1">
        <v>367250.0</v>
      </c>
      <c r="Z3167" s="1"/>
      <c r="AA3167" s="1">
        <v>367250.0</v>
      </c>
      <c r="AB3167" s="1"/>
      <c r="AC3167" s="1" t="s">
        <v>36</v>
      </c>
      <c r="AD3167" s="1" t="s">
        <v>11185</v>
      </c>
      <c r="AE3167" s="1" t="s">
        <v>32</v>
      </c>
      <c r="AF3167" s="1" t="s">
        <v>33</v>
      </c>
      <c r="AG3167" s="1" t="s">
        <v>571</v>
      </c>
    </row>
    <row r="3168" spans="1:33">
      <c r="A3168" t="s">
        <v>11186</v>
      </c>
      <c r="C3168" t="s">
        <v>1352</v>
      </c>
      <c r="E3168" t="s">
        <v>10933</v>
      </c>
      <c r="F3168" t="s">
        <v>10938</v>
      </c>
      <c r="G3168">
        <v>2.46</v>
      </c>
      <c r="H3168">
        <v>2.46</v>
      </c>
      <c r="I3168" t="s">
        <v>269</v>
      </c>
      <c r="J3168" t="s">
        <v>270</v>
      </c>
      <c r="K3168" t="s">
        <v>31</v>
      </c>
      <c r="L3168" t="s">
        <v>32</v>
      </c>
      <c r="M3168" t="s">
        <v>33</v>
      </c>
      <c r="P3168" s="1" t="s">
        <v>11187</v>
      </c>
      <c r="Q3168" s="1" t="s">
        <v>10933</v>
      </c>
      <c r="R3168" s="1" t="s">
        <v>10933</v>
      </c>
      <c r="S3168" s="1"/>
      <c r="T3168" s="1" t="s">
        <v>1352</v>
      </c>
      <c r="U3168" s="1"/>
      <c r="V3168" s="1">
        <v>2.46</v>
      </c>
      <c r="W3168" s="1">
        <v>2.46</v>
      </c>
      <c r="X3168" s="1" t="s">
        <v>35</v>
      </c>
      <c r="Y3168" s="1">
        <v>2460000.0</v>
      </c>
      <c r="Z3168" s="1"/>
      <c r="AA3168" s="1">
        <v>2460000.0</v>
      </c>
      <c r="AB3168" s="1"/>
      <c r="AC3168" s="1" t="s">
        <v>36</v>
      </c>
      <c r="AD3168" s="1" t="s">
        <v>11188</v>
      </c>
      <c r="AE3168" s="1" t="s">
        <v>32</v>
      </c>
      <c r="AF3168" s="1" t="s">
        <v>33</v>
      </c>
      <c r="AG3168" s="1" t="s">
        <v>270</v>
      </c>
    </row>
    <row r="3169" spans="1:33">
      <c r="A3169" t="s">
        <v>11189</v>
      </c>
      <c r="B3169" t="s">
        <v>11131</v>
      </c>
      <c r="C3169" t="s">
        <v>314</v>
      </c>
      <c r="E3169" t="s">
        <v>10933</v>
      </c>
      <c r="F3169" t="s">
        <v>10938</v>
      </c>
      <c r="G3169">
        <v>89.51</v>
      </c>
      <c r="H3169">
        <v>89.51</v>
      </c>
      <c r="I3169" t="s">
        <v>179</v>
      </c>
      <c r="J3169" t="s">
        <v>180</v>
      </c>
      <c r="K3169" t="s">
        <v>31</v>
      </c>
      <c r="L3169" t="s">
        <v>32</v>
      </c>
      <c r="M3169" t="s">
        <v>33</v>
      </c>
      <c r="P3169" s="1" t="s">
        <v>11190</v>
      </c>
      <c r="Q3169" s="1" t="s">
        <v>10933</v>
      </c>
      <c r="R3169" s="1" t="s">
        <v>10933</v>
      </c>
      <c r="S3169" s="1"/>
      <c r="T3169" s="1" t="s">
        <v>314</v>
      </c>
      <c r="U3169" s="1"/>
      <c r="V3169" s="1">
        <v>89.51</v>
      </c>
      <c r="W3169" s="1">
        <v>89.51</v>
      </c>
      <c r="X3169" s="1" t="s">
        <v>35</v>
      </c>
      <c r="Y3169" s="1">
        <v>89510.0</v>
      </c>
      <c r="Z3169" s="1"/>
      <c r="AA3169" s="1">
        <v>89510.0</v>
      </c>
      <c r="AB3169" s="1"/>
      <c r="AC3169" s="1" t="s">
        <v>36</v>
      </c>
      <c r="AD3169" s="1" t="s">
        <v>11191</v>
      </c>
      <c r="AE3169" s="1" t="s">
        <v>32</v>
      </c>
      <c r="AF3169" s="1" t="s">
        <v>33</v>
      </c>
      <c r="AG3169" s="1" t="s">
        <v>180</v>
      </c>
    </row>
    <row r="3170" spans="1:33">
      <c r="A3170" t="s">
        <v>11192</v>
      </c>
      <c r="B3170" t="s">
        <v>11193</v>
      </c>
      <c r="C3170" t="s">
        <v>131</v>
      </c>
      <c r="E3170" t="s">
        <v>10933</v>
      </c>
      <c r="F3170" t="s">
        <v>10938</v>
      </c>
      <c r="G3170">
        <v>58.598</v>
      </c>
      <c r="H3170">
        <v>58.598</v>
      </c>
      <c r="I3170" t="s">
        <v>94</v>
      </c>
      <c r="J3170" t="s">
        <v>95</v>
      </c>
      <c r="K3170" t="s">
        <v>31</v>
      </c>
      <c r="L3170" t="s">
        <v>32</v>
      </c>
      <c r="M3170" t="s">
        <v>33</v>
      </c>
      <c r="P3170" s="1" t="s">
        <v>11194</v>
      </c>
      <c r="Q3170" s="1" t="s">
        <v>10933</v>
      </c>
      <c r="R3170" s="1" t="s">
        <v>10933</v>
      </c>
      <c r="S3170" s="1"/>
      <c r="T3170" s="1" t="s">
        <v>131</v>
      </c>
      <c r="U3170" s="1"/>
      <c r="V3170" s="1">
        <v>58.598</v>
      </c>
      <c r="W3170" s="1">
        <v>58.598</v>
      </c>
      <c r="X3170" s="1" t="s">
        <v>35</v>
      </c>
      <c r="Y3170" s="1">
        <v>58598.0</v>
      </c>
      <c r="Z3170" s="1"/>
      <c r="AA3170" s="1">
        <v>58598.0</v>
      </c>
      <c r="AB3170" s="1"/>
      <c r="AC3170" s="1" t="s">
        <v>36</v>
      </c>
      <c r="AD3170" s="1" t="s">
        <v>11188</v>
      </c>
      <c r="AE3170" s="1" t="s">
        <v>32</v>
      </c>
      <c r="AF3170" s="1" t="s">
        <v>33</v>
      </c>
      <c r="AG3170" s="1" t="s">
        <v>95</v>
      </c>
    </row>
    <row r="3171" spans="1:33">
      <c r="A3171" t="s">
        <v>11195</v>
      </c>
      <c r="C3171" t="s">
        <v>11196</v>
      </c>
      <c r="D3171" t="s">
        <v>154</v>
      </c>
      <c r="E3171" t="s">
        <v>10933</v>
      </c>
      <c r="F3171" t="s">
        <v>10938</v>
      </c>
      <c r="G3171">
        <v>1.132</v>
      </c>
      <c r="H3171">
        <v>1.132</v>
      </c>
      <c r="I3171" t="s">
        <v>179</v>
      </c>
      <c r="J3171" t="s">
        <v>180</v>
      </c>
      <c r="K3171" t="s">
        <v>31</v>
      </c>
      <c r="L3171" t="s">
        <v>32</v>
      </c>
      <c r="M3171" t="s">
        <v>33</v>
      </c>
      <c r="P3171" s="1" t="s">
        <v>11197</v>
      </c>
      <c r="Q3171" s="1" t="s">
        <v>10933</v>
      </c>
      <c r="R3171" s="1" t="s">
        <v>10933</v>
      </c>
      <c r="S3171" s="1"/>
      <c r="T3171" s="1" t="s">
        <v>11196</v>
      </c>
      <c r="U3171" s="1"/>
      <c r="V3171" s="1">
        <v>1.132</v>
      </c>
      <c r="W3171" s="1">
        <v>1.132</v>
      </c>
      <c r="X3171" s="1" t="s">
        <v>35</v>
      </c>
      <c r="Y3171" s="1">
        <v>1132650.0</v>
      </c>
      <c r="Z3171" s="1"/>
      <c r="AA3171" s="1">
        <v>1132650.0</v>
      </c>
      <c r="AB3171" s="1"/>
      <c r="AC3171" s="1" t="s">
        <v>36</v>
      </c>
      <c r="AD3171" s="1" t="s">
        <v>11198</v>
      </c>
      <c r="AE3171" s="1" t="s">
        <v>32</v>
      </c>
      <c r="AF3171" s="1" t="s">
        <v>33</v>
      </c>
      <c r="AG3171" s="1" t="s">
        <v>180</v>
      </c>
    </row>
    <row r="3172" spans="1:33">
      <c r="A3172" t="s">
        <v>11199</v>
      </c>
      <c r="C3172" t="s">
        <v>2995</v>
      </c>
      <c r="E3172" t="s">
        <v>10933</v>
      </c>
      <c r="F3172" t="s">
        <v>10938</v>
      </c>
      <c r="G3172">
        <v>119.75</v>
      </c>
      <c r="H3172">
        <v>119.75</v>
      </c>
      <c r="I3172" t="s">
        <v>269</v>
      </c>
      <c r="J3172" t="s">
        <v>270</v>
      </c>
      <c r="K3172" t="s">
        <v>31</v>
      </c>
      <c r="L3172" t="s">
        <v>32</v>
      </c>
      <c r="M3172" t="s">
        <v>33</v>
      </c>
      <c r="P3172" s="1" t="s">
        <v>11200</v>
      </c>
      <c r="Q3172" s="1" t="s">
        <v>10933</v>
      </c>
      <c r="R3172" s="1" t="s">
        <v>10933</v>
      </c>
      <c r="S3172" s="1"/>
      <c r="T3172" s="1" t="s">
        <v>2995</v>
      </c>
      <c r="U3172" s="1"/>
      <c r="V3172" s="1">
        <v>119.75</v>
      </c>
      <c r="W3172" s="1">
        <v>119.75</v>
      </c>
      <c r="X3172" s="1" t="s">
        <v>35</v>
      </c>
      <c r="Y3172" s="1">
        <v>119750.0</v>
      </c>
      <c r="Z3172" s="1"/>
      <c r="AA3172" s="1">
        <v>119750.0</v>
      </c>
      <c r="AB3172" s="1"/>
      <c r="AC3172" s="1" t="s">
        <v>36</v>
      </c>
      <c r="AD3172" s="1" t="s">
        <v>11201</v>
      </c>
      <c r="AE3172" s="1" t="s">
        <v>32</v>
      </c>
      <c r="AF3172" s="1" t="s">
        <v>33</v>
      </c>
      <c r="AG3172" s="1" t="s">
        <v>270</v>
      </c>
    </row>
    <row r="3173" spans="1:33">
      <c r="A3173" t="s">
        <v>11202</v>
      </c>
      <c r="B3173" t="s">
        <v>11203</v>
      </c>
      <c r="C3173" t="s">
        <v>268</v>
      </c>
      <c r="E3173" t="s">
        <v>10933</v>
      </c>
      <c r="F3173" t="s">
        <v>10938</v>
      </c>
      <c r="G3173">
        <v>198.1</v>
      </c>
      <c r="H3173">
        <v>198.1</v>
      </c>
      <c r="I3173" t="s">
        <v>269</v>
      </c>
      <c r="J3173" t="s">
        <v>270</v>
      </c>
      <c r="K3173" t="s">
        <v>31</v>
      </c>
      <c r="L3173" t="s">
        <v>32</v>
      </c>
      <c r="M3173" t="s">
        <v>33</v>
      </c>
      <c r="P3173" s="1" t="s">
        <v>11204</v>
      </c>
      <c r="Q3173" s="1" t="s">
        <v>10933</v>
      </c>
      <c r="R3173" s="1" t="s">
        <v>10933</v>
      </c>
      <c r="S3173" s="1"/>
      <c r="T3173" s="1" t="s">
        <v>268</v>
      </c>
      <c r="U3173" s="1"/>
      <c r="V3173" s="1">
        <v>198.1</v>
      </c>
      <c r="W3173" s="1">
        <v>198.1</v>
      </c>
      <c r="X3173" s="1" t="s">
        <v>35</v>
      </c>
      <c r="Y3173" s="1">
        <v>198100.0</v>
      </c>
      <c r="Z3173" s="1"/>
      <c r="AA3173" s="1">
        <v>198100.0</v>
      </c>
      <c r="AB3173" s="1"/>
      <c r="AC3173" s="1" t="s">
        <v>36</v>
      </c>
      <c r="AD3173" s="1" t="s">
        <v>11205</v>
      </c>
      <c r="AE3173" s="1" t="s">
        <v>32</v>
      </c>
      <c r="AF3173" s="1" t="s">
        <v>33</v>
      </c>
      <c r="AG3173" s="1" t="s">
        <v>270</v>
      </c>
    </row>
    <row r="3174" spans="1:33">
      <c r="A3174" t="s">
        <v>11206</v>
      </c>
      <c r="C3174" t="s">
        <v>5847</v>
      </c>
      <c r="D3174" t="s">
        <v>154</v>
      </c>
      <c r="E3174" t="s">
        <v>10933</v>
      </c>
      <c r="F3174" t="s">
        <v>10938</v>
      </c>
      <c r="G3174">
        <v>1.729</v>
      </c>
      <c r="H3174">
        <v>1.729</v>
      </c>
      <c r="I3174" t="s">
        <v>173</v>
      </c>
      <c r="J3174" t="s">
        <v>174</v>
      </c>
      <c r="K3174" t="s">
        <v>31</v>
      </c>
      <c r="L3174" t="s">
        <v>32</v>
      </c>
      <c r="M3174" t="s">
        <v>33</v>
      </c>
      <c r="P3174" s="1" t="s">
        <v>11207</v>
      </c>
      <c r="Q3174" s="1" t="s">
        <v>10933</v>
      </c>
      <c r="R3174" s="1" t="s">
        <v>10933</v>
      </c>
      <c r="S3174" s="1"/>
      <c r="T3174" s="1" t="s">
        <v>5847</v>
      </c>
      <c r="U3174" s="1"/>
      <c r="V3174" s="1">
        <v>1.729</v>
      </c>
      <c r="W3174" s="1">
        <v>1.729</v>
      </c>
      <c r="X3174" s="1" t="s">
        <v>35</v>
      </c>
      <c r="Y3174" s="1">
        <v>1729000.0</v>
      </c>
      <c r="Z3174" s="1"/>
      <c r="AA3174" s="1">
        <v>1729000.0</v>
      </c>
      <c r="AB3174" s="1"/>
      <c r="AC3174" s="1" t="s">
        <v>36</v>
      </c>
      <c r="AD3174" s="1" t="s">
        <v>11208</v>
      </c>
      <c r="AE3174" s="1" t="s">
        <v>32</v>
      </c>
      <c r="AF3174" s="1" t="s">
        <v>33</v>
      </c>
      <c r="AG3174" s="1" t="s">
        <v>174</v>
      </c>
    </row>
    <row r="3175" spans="1:33">
      <c r="A3175" t="s">
        <v>11209</v>
      </c>
      <c r="C3175" t="s">
        <v>6031</v>
      </c>
      <c r="E3175" t="s">
        <v>10933</v>
      </c>
      <c r="F3175" t="s">
        <v>10938</v>
      </c>
      <c r="G3175">
        <v>494.0</v>
      </c>
      <c r="H3175">
        <v>494.0</v>
      </c>
      <c r="I3175" t="s">
        <v>2206</v>
      </c>
      <c r="J3175" t="s">
        <v>49</v>
      </c>
      <c r="K3175" t="s">
        <v>31</v>
      </c>
      <c r="L3175" t="s">
        <v>32</v>
      </c>
      <c r="M3175" t="s">
        <v>33</v>
      </c>
      <c r="P3175" s="1" t="s">
        <v>11210</v>
      </c>
      <c r="Q3175" s="1" t="s">
        <v>10933</v>
      </c>
      <c r="R3175" s="1" t="s">
        <v>10933</v>
      </c>
      <c r="S3175" s="1"/>
      <c r="T3175" s="1" t="s">
        <v>6031</v>
      </c>
      <c r="U3175" s="1"/>
      <c r="V3175" s="1">
        <v>494.0</v>
      </c>
      <c r="W3175" s="1">
        <v>494.0</v>
      </c>
      <c r="X3175" s="1" t="s">
        <v>35</v>
      </c>
      <c r="Y3175" s="1">
        <v>494000.0</v>
      </c>
      <c r="Z3175" s="1"/>
      <c r="AA3175" s="1">
        <v>494000.0</v>
      </c>
      <c r="AB3175" s="1"/>
      <c r="AC3175" s="1" t="s">
        <v>36</v>
      </c>
      <c r="AD3175" s="1" t="s">
        <v>11211</v>
      </c>
      <c r="AE3175" s="1" t="s">
        <v>32</v>
      </c>
      <c r="AF3175" s="1" t="s">
        <v>33</v>
      </c>
      <c r="AG3175" s="1" t="s">
        <v>49</v>
      </c>
    </row>
    <row r="3176" spans="1:33">
      <c r="A3176" t="s">
        <v>11212</v>
      </c>
      <c r="B3176" t="s">
        <v>444</v>
      </c>
      <c r="C3176" t="s">
        <v>314</v>
      </c>
      <c r="E3176" t="s">
        <v>10933</v>
      </c>
      <c r="F3176" t="s">
        <v>10938</v>
      </c>
      <c r="G3176">
        <v>37.49</v>
      </c>
      <c r="H3176">
        <v>37.49</v>
      </c>
      <c r="I3176" t="s">
        <v>179</v>
      </c>
      <c r="J3176" t="s">
        <v>180</v>
      </c>
      <c r="K3176" t="s">
        <v>31</v>
      </c>
      <c r="L3176" t="s">
        <v>32</v>
      </c>
      <c r="M3176" t="s">
        <v>33</v>
      </c>
      <c r="P3176" s="1" t="s">
        <v>11213</v>
      </c>
      <c r="Q3176" s="1" t="s">
        <v>10933</v>
      </c>
      <c r="R3176" s="1" t="s">
        <v>10933</v>
      </c>
      <c r="S3176" s="1"/>
      <c r="T3176" s="1" t="s">
        <v>314</v>
      </c>
      <c r="U3176" s="1"/>
      <c r="V3176" s="1">
        <v>37.49</v>
      </c>
      <c r="W3176" s="1">
        <v>37.49</v>
      </c>
      <c r="X3176" s="1" t="s">
        <v>35</v>
      </c>
      <c r="Y3176" s="1">
        <v>37490.0</v>
      </c>
      <c r="Z3176" s="1"/>
      <c r="AA3176" s="1">
        <v>37490.0</v>
      </c>
      <c r="AB3176" s="1"/>
      <c r="AC3176" s="1" t="s">
        <v>36</v>
      </c>
      <c r="AD3176" s="1" t="s">
        <v>11214</v>
      </c>
      <c r="AE3176" s="1" t="s">
        <v>32</v>
      </c>
      <c r="AF3176" s="1" t="s">
        <v>33</v>
      </c>
      <c r="AG3176" s="1" t="s">
        <v>180</v>
      </c>
    </row>
    <row r="3177" spans="1:33">
      <c r="A3177" t="s">
        <v>11215</v>
      </c>
      <c r="B3177" t="s">
        <v>3291</v>
      </c>
      <c r="C3177" t="s">
        <v>268</v>
      </c>
      <c r="E3177" t="s">
        <v>10933</v>
      </c>
      <c r="F3177" t="s">
        <v>10938</v>
      </c>
      <c r="G3177">
        <v>141.25</v>
      </c>
      <c r="H3177">
        <v>141.25</v>
      </c>
      <c r="I3177" t="s">
        <v>269</v>
      </c>
      <c r="J3177" t="s">
        <v>270</v>
      </c>
      <c r="K3177" t="s">
        <v>31</v>
      </c>
      <c r="L3177" t="s">
        <v>32</v>
      </c>
      <c r="M3177" t="s">
        <v>33</v>
      </c>
      <c r="P3177" s="1" t="s">
        <v>11216</v>
      </c>
      <c r="Q3177" s="1" t="s">
        <v>10933</v>
      </c>
      <c r="R3177" s="1" t="s">
        <v>10933</v>
      </c>
      <c r="S3177" s="1"/>
      <c r="T3177" s="1" t="s">
        <v>268</v>
      </c>
      <c r="U3177" s="1"/>
      <c r="V3177" s="1">
        <v>141.25</v>
      </c>
      <c r="W3177" s="1">
        <v>141.25</v>
      </c>
      <c r="X3177" s="1" t="s">
        <v>35</v>
      </c>
      <c r="Y3177" s="1">
        <v>141250.0</v>
      </c>
      <c r="Z3177" s="1"/>
      <c r="AA3177" s="1">
        <v>141250.0</v>
      </c>
      <c r="AB3177" s="1"/>
      <c r="AC3177" s="1" t="s">
        <v>36</v>
      </c>
      <c r="AD3177" s="1" t="s">
        <v>11214</v>
      </c>
      <c r="AE3177" s="1" t="s">
        <v>32</v>
      </c>
      <c r="AF3177" s="1" t="s">
        <v>33</v>
      </c>
      <c r="AG3177" s="1" t="s">
        <v>270</v>
      </c>
    </row>
    <row r="3178" spans="1:33">
      <c r="A3178" t="s">
        <v>11217</v>
      </c>
      <c r="C3178" t="s">
        <v>2842</v>
      </c>
      <c r="E3178" t="s">
        <v>10933</v>
      </c>
      <c r="F3178" t="s">
        <v>10938</v>
      </c>
      <c r="G3178">
        <v>1.455</v>
      </c>
      <c r="H3178">
        <v>1.455</v>
      </c>
      <c r="I3178" t="s">
        <v>2206</v>
      </c>
      <c r="J3178" t="s">
        <v>49</v>
      </c>
      <c r="K3178" t="s">
        <v>31</v>
      </c>
      <c r="L3178" t="s">
        <v>32</v>
      </c>
      <c r="M3178" t="s">
        <v>33</v>
      </c>
      <c r="P3178" s="1" t="s">
        <v>11218</v>
      </c>
      <c r="Q3178" s="1" t="s">
        <v>10933</v>
      </c>
      <c r="R3178" s="1" t="s">
        <v>10933</v>
      </c>
      <c r="S3178" s="1"/>
      <c r="T3178" s="1" t="s">
        <v>2842</v>
      </c>
      <c r="U3178" s="1"/>
      <c r="V3178" s="1">
        <v>1.455</v>
      </c>
      <c r="W3178" s="1">
        <v>1.455</v>
      </c>
      <c r="X3178" s="1" t="s">
        <v>35</v>
      </c>
      <c r="Y3178" s="1">
        <v>1456000.0</v>
      </c>
      <c r="Z3178" s="1">
        <v>-1000</v>
      </c>
      <c r="AA3178" s="1">
        <v>1456000.0</v>
      </c>
      <c r="AB3178" s="1">
        <v>-1000</v>
      </c>
      <c r="AC3178" s="1" t="s">
        <v>36</v>
      </c>
      <c r="AD3178" s="1" t="s">
        <v>11219</v>
      </c>
      <c r="AE3178" s="1" t="s">
        <v>32</v>
      </c>
      <c r="AF3178" s="1" t="s">
        <v>33</v>
      </c>
      <c r="AG3178" s="1" t="s">
        <v>49</v>
      </c>
    </row>
    <row r="3179" spans="1:33">
      <c r="A3179" t="s">
        <v>11220</v>
      </c>
      <c r="B3179" t="s">
        <v>11221</v>
      </c>
      <c r="C3179" t="s">
        <v>2741</v>
      </c>
      <c r="E3179" t="s">
        <v>10933</v>
      </c>
      <c r="F3179" t="s">
        <v>10938</v>
      </c>
      <c r="G3179">
        <v>45.0</v>
      </c>
      <c r="H3179">
        <v>45.0</v>
      </c>
      <c r="I3179" t="s">
        <v>2742</v>
      </c>
      <c r="J3179" t="s">
        <v>2743</v>
      </c>
      <c r="K3179" t="s">
        <v>31</v>
      </c>
      <c r="L3179" t="s">
        <v>32</v>
      </c>
      <c r="M3179" t="s">
        <v>33</v>
      </c>
      <c r="P3179" s="1" t="s">
        <v>11222</v>
      </c>
      <c r="Q3179" s="1" t="s">
        <v>10933</v>
      </c>
      <c r="R3179" s="1" t="s">
        <v>10933</v>
      </c>
      <c r="S3179" s="1"/>
      <c r="T3179" s="1" t="s">
        <v>2741</v>
      </c>
      <c r="U3179" s="1"/>
      <c r="V3179" s="1">
        <v>45.0</v>
      </c>
      <c r="W3179" s="1">
        <v>45.0</v>
      </c>
      <c r="X3179" s="1" t="s">
        <v>35</v>
      </c>
      <c r="Y3179" s="1">
        <v>45000.0</v>
      </c>
      <c r="Z3179" s="1"/>
      <c r="AA3179" s="1">
        <v>45000.0</v>
      </c>
      <c r="AB3179" s="1"/>
      <c r="AC3179" s="1" t="s">
        <v>36</v>
      </c>
      <c r="AD3179" s="1" t="s">
        <v>11223</v>
      </c>
      <c r="AE3179" s="1" t="s">
        <v>32</v>
      </c>
      <c r="AF3179" s="1" t="s">
        <v>33</v>
      </c>
      <c r="AG3179" s="1" t="s">
        <v>2743</v>
      </c>
    </row>
    <row r="3180" spans="1:33">
      <c r="A3180" t="s">
        <v>11224</v>
      </c>
      <c r="C3180" t="s">
        <v>187</v>
      </c>
      <c r="E3180" t="s">
        <v>10933</v>
      </c>
      <c r="F3180" t="s">
        <v>10938</v>
      </c>
      <c r="G3180">
        <v>81.98</v>
      </c>
      <c r="H3180">
        <v>81.98</v>
      </c>
      <c r="I3180" t="s">
        <v>179</v>
      </c>
      <c r="J3180" t="s">
        <v>180</v>
      </c>
      <c r="K3180" t="s">
        <v>31</v>
      </c>
      <c r="L3180" t="s">
        <v>32</v>
      </c>
      <c r="M3180" t="s">
        <v>33</v>
      </c>
      <c r="P3180" s="1" t="s">
        <v>11225</v>
      </c>
      <c r="Q3180" s="1" t="s">
        <v>10933</v>
      </c>
      <c r="R3180" s="1" t="s">
        <v>10933</v>
      </c>
      <c r="S3180" s="1"/>
      <c r="T3180" s="1" t="s">
        <v>187</v>
      </c>
      <c r="U3180" s="1"/>
      <c r="V3180" s="1">
        <v>81.98</v>
      </c>
      <c r="W3180" s="1">
        <v>81.98</v>
      </c>
      <c r="X3180" s="1" t="s">
        <v>35</v>
      </c>
      <c r="Y3180" s="1">
        <v>81980.0</v>
      </c>
      <c r="Z3180" s="1"/>
      <c r="AA3180" s="1">
        <v>81980.0</v>
      </c>
      <c r="AB3180" s="1"/>
      <c r="AC3180" s="1" t="s">
        <v>36</v>
      </c>
      <c r="AD3180" s="1" t="s">
        <v>11226</v>
      </c>
      <c r="AE3180" s="1" t="s">
        <v>32</v>
      </c>
      <c r="AF3180" s="1" t="s">
        <v>33</v>
      </c>
      <c r="AG3180" s="1" t="s">
        <v>180</v>
      </c>
    </row>
    <row r="3181" spans="1:33">
      <c r="A3181" t="s">
        <v>11227</v>
      </c>
      <c r="B3181" t="s">
        <v>57</v>
      </c>
      <c r="C3181" t="s">
        <v>58</v>
      </c>
      <c r="E3181" t="s">
        <v>10933</v>
      </c>
      <c r="F3181" t="s">
        <v>10938</v>
      </c>
      <c r="G3181">
        <v>370.0</v>
      </c>
      <c r="H3181">
        <v>370.0</v>
      </c>
      <c r="I3181" t="s">
        <v>59</v>
      </c>
      <c r="J3181" t="s">
        <v>60</v>
      </c>
      <c r="K3181" t="s">
        <v>31</v>
      </c>
      <c r="L3181" t="s">
        <v>32</v>
      </c>
      <c r="M3181" t="s">
        <v>33</v>
      </c>
      <c r="P3181" s="1" t="s">
        <v>11228</v>
      </c>
      <c r="Q3181" s="1" t="s">
        <v>10933</v>
      </c>
      <c r="R3181" s="1" t="s">
        <v>10933</v>
      </c>
      <c r="S3181" s="1"/>
      <c r="T3181" s="1" t="s">
        <v>58</v>
      </c>
      <c r="U3181" s="1"/>
      <c r="V3181" s="1">
        <v>370.0</v>
      </c>
      <c r="W3181" s="1">
        <v>370.0</v>
      </c>
      <c r="X3181" s="1" t="s">
        <v>35</v>
      </c>
      <c r="Y3181" s="1">
        <v>370000.0</v>
      </c>
      <c r="Z3181" s="1"/>
      <c r="AA3181" s="1">
        <v>370000.0</v>
      </c>
      <c r="AB3181" s="1"/>
      <c r="AC3181" s="1" t="s">
        <v>36</v>
      </c>
      <c r="AD3181" s="1" t="s">
        <v>10964</v>
      </c>
      <c r="AE3181" s="1" t="s">
        <v>32</v>
      </c>
      <c r="AF3181" s="1" t="s">
        <v>33</v>
      </c>
      <c r="AG3181" s="1" t="s">
        <v>60</v>
      </c>
    </row>
    <row r="3182" spans="1:33">
      <c r="A3182" t="s">
        <v>11229</v>
      </c>
      <c r="B3182" t="s">
        <v>548</v>
      </c>
      <c r="C3182" t="s">
        <v>73</v>
      </c>
      <c r="E3182" t="s">
        <v>10933</v>
      </c>
      <c r="F3182" t="s">
        <v>10938</v>
      </c>
      <c r="G3182">
        <v>43.98</v>
      </c>
      <c r="H3182">
        <v>43.98</v>
      </c>
      <c r="I3182" t="s">
        <v>40</v>
      </c>
      <c r="J3182" t="s">
        <v>41</v>
      </c>
      <c r="K3182" t="s">
        <v>31</v>
      </c>
      <c r="L3182" t="s">
        <v>32</v>
      </c>
      <c r="M3182" t="s">
        <v>33</v>
      </c>
      <c r="P3182" s="1" t="s">
        <v>11230</v>
      </c>
      <c r="Q3182" s="1" t="s">
        <v>10933</v>
      </c>
      <c r="R3182" s="1" t="s">
        <v>10324</v>
      </c>
      <c r="S3182" s="1"/>
      <c r="T3182" s="1" t="s">
        <v>75</v>
      </c>
      <c r="U3182" s="1" t="s">
        <v>76</v>
      </c>
      <c r="V3182" s="1">
        <v>43.98</v>
      </c>
      <c r="W3182" s="1">
        <v>43.98</v>
      </c>
      <c r="X3182" s="1" t="s">
        <v>35</v>
      </c>
      <c r="Y3182" s="1">
        <v>43980.0</v>
      </c>
      <c r="Z3182" s="1"/>
      <c r="AA3182" s="1">
        <v>43980.0</v>
      </c>
      <c r="AB3182" s="1"/>
      <c r="AC3182" s="1" t="s">
        <v>36</v>
      </c>
      <c r="AD3182" s="1" t="s">
        <v>10984</v>
      </c>
      <c r="AE3182" s="1" t="s">
        <v>32</v>
      </c>
      <c r="AF3182" s="1" t="s">
        <v>33</v>
      </c>
      <c r="AG3182" s="1" t="s">
        <v>41</v>
      </c>
    </row>
    <row r="3183" spans="1:33">
      <c r="A3183" t="s">
        <v>11231</v>
      </c>
      <c r="C3183" t="s">
        <v>1197</v>
      </c>
      <c r="D3183" t="s">
        <v>154</v>
      </c>
      <c r="E3183" t="s">
        <v>10933</v>
      </c>
      <c r="F3183" t="s">
        <v>10938</v>
      </c>
      <c r="G3183">
        <v>590.0</v>
      </c>
      <c r="H3183">
        <v>590.0</v>
      </c>
      <c r="I3183" t="s">
        <v>269</v>
      </c>
      <c r="J3183" t="s">
        <v>270</v>
      </c>
      <c r="K3183" t="s">
        <v>31</v>
      </c>
      <c r="L3183" t="s">
        <v>32</v>
      </c>
      <c r="M3183" t="s">
        <v>33</v>
      </c>
      <c r="P3183" s="1" t="s">
        <v>11232</v>
      </c>
      <c r="Q3183" s="1" t="s">
        <v>10933</v>
      </c>
      <c r="R3183" s="1" t="s">
        <v>10933</v>
      </c>
      <c r="S3183" s="1"/>
      <c r="T3183" s="1" t="s">
        <v>1197</v>
      </c>
      <c r="U3183" s="1"/>
      <c r="V3183" s="1">
        <v>590.0</v>
      </c>
      <c r="W3183" s="1">
        <v>590.0</v>
      </c>
      <c r="X3183" s="1" t="s">
        <v>35</v>
      </c>
      <c r="Y3183" s="1">
        <v>590000.0</v>
      </c>
      <c r="Z3183" s="1"/>
      <c r="AA3183" s="1">
        <v>590000.0</v>
      </c>
      <c r="AB3183" s="1"/>
      <c r="AC3183" s="1" t="s">
        <v>36</v>
      </c>
      <c r="AD3183" s="1" t="s">
        <v>11233</v>
      </c>
      <c r="AE3183" s="1" t="s">
        <v>32</v>
      </c>
      <c r="AF3183" s="1" t="s">
        <v>33</v>
      </c>
      <c r="AG3183" s="1" t="s">
        <v>270</v>
      </c>
    </row>
    <row r="3184" spans="1:33">
      <c r="A3184" t="s">
        <v>11234</v>
      </c>
      <c r="C3184" t="s">
        <v>11235</v>
      </c>
      <c r="E3184" t="s">
        <v>10933</v>
      </c>
      <c r="F3184" t="s">
        <v>10938</v>
      </c>
      <c r="G3184">
        <v>1.765</v>
      </c>
      <c r="H3184">
        <v>1.765</v>
      </c>
      <c r="I3184" t="s">
        <v>94</v>
      </c>
      <c r="J3184" t="s">
        <v>95</v>
      </c>
      <c r="K3184" t="s">
        <v>31</v>
      </c>
      <c r="L3184" t="s">
        <v>32</v>
      </c>
      <c r="M3184" t="s">
        <v>33</v>
      </c>
      <c r="P3184" s="1" t="s">
        <v>11236</v>
      </c>
      <c r="Q3184" s="1" t="s">
        <v>10933</v>
      </c>
      <c r="R3184" s="1" t="s">
        <v>10933</v>
      </c>
      <c r="S3184" s="1"/>
      <c r="T3184" s="1" t="s">
        <v>11235</v>
      </c>
      <c r="U3184" s="1"/>
      <c r="V3184" s="1">
        <v>1.765</v>
      </c>
      <c r="W3184" s="1">
        <v>1.765</v>
      </c>
      <c r="X3184" s="1" t="s">
        <v>35</v>
      </c>
      <c r="Y3184" s="1">
        <v>1765000.0</v>
      </c>
      <c r="Z3184" s="1"/>
      <c r="AA3184" s="1">
        <v>1765000.0</v>
      </c>
      <c r="AB3184" s="1"/>
      <c r="AC3184" s="1" t="s">
        <v>36</v>
      </c>
      <c r="AD3184" s="1" t="s">
        <v>11237</v>
      </c>
      <c r="AE3184" s="1" t="s">
        <v>32</v>
      </c>
      <c r="AF3184" s="1" t="s">
        <v>33</v>
      </c>
      <c r="AG3184" s="1" t="s">
        <v>95</v>
      </c>
    </row>
    <row r="3185" spans="1:33">
      <c r="A3185" t="s">
        <v>11238</v>
      </c>
      <c r="B3185" t="s">
        <v>1768</v>
      </c>
      <c r="C3185" t="s">
        <v>314</v>
      </c>
      <c r="E3185" t="s">
        <v>10933</v>
      </c>
      <c r="F3185" t="s">
        <v>10938</v>
      </c>
      <c r="G3185">
        <v>37.18</v>
      </c>
      <c r="H3185">
        <v>37.18</v>
      </c>
      <c r="I3185" t="s">
        <v>179</v>
      </c>
      <c r="J3185" t="s">
        <v>180</v>
      </c>
      <c r="K3185" t="s">
        <v>31</v>
      </c>
      <c r="L3185" t="s">
        <v>32</v>
      </c>
      <c r="M3185" t="s">
        <v>33</v>
      </c>
      <c r="P3185" s="1" t="s">
        <v>11239</v>
      </c>
      <c r="Q3185" s="1" t="s">
        <v>10933</v>
      </c>
      <c r="R3185" s="1" t="s">
        <v>10933</v>
      </c>
      <c r="S3185" s="1"/>
      <c r="T3185" s="1" t="s">
        <v>314</v>
      </c>
      <c r="U3185" s="1"/>
      <c r="V3185" s="1">
        <v>37.18</v>
      </c>
      <c r="W3185" s="1">
        <v>37.18</v>
      </c>
      <c r="X3185" s="1" t="s">
        <v>35</v>
      </c>
      <c r="Y3185" s="1">
        <v>37180.0</v>
      </c>
      <c r="Z3185" s="1"/>
      <c r="AA3185" s="1">
        <v>37180.0</v>
      </c>
      <c r="AB3185" s="1"/>
      <c r="AC3185" s="1" t="s">
        <v>36</v>
      </c>
      <c r="AD3185" s="1" t="s">
        <v>11240</v>
      </c>
      <c r="AE3185" s="1" t="s">
        <v>32</v>
      </c>
      <c r="AF3185" s="1" t="s">
        <v>33</v>
      </c>
      <c r="AG3185" s="1" t="s">
        <v>180</v>
      </c>
    </row>
    <row r="3186" spans="1:33">
      <c r="A3186" t="s">
        <v>11241</v>
      </c>
      <c r="C3186" t="s">
        <v>984</v>
      </c>
      <c r="E3186" t="s">
        <v>10933</v>
      </c>
      <c r="F3186" t="s">
        <v>10938</v>
      </c>
      <c r="G3186">
        <v>1.501</v>
      </c>
      <c r="H3186">
        <v>1.501</v>
      </c>
      <c r="I3186" t="s">
        <v>269</v>
      </c>
      <c r="J3186" t="s">
        <v>270</v>
      </c>
      <c r="K3186" t="s">
        <v>31</v>
      </c>
      <c r="L3186" t="s">
        <v>32</v>
      </c>
      <c r="M3186" t="s">
        <v>33</v>
      </c>
      <c r="P3186" s="1" t="s">
        <v>11242</v>
      </c>
      <c r="Q3186" s="1" t="s">
        <v>10933</v>
      </c>
      <c r="R3186" s="1" t="s">
        <v>10933</v>
      </c>
      <c r="S3186" s="1"/>
      <c r="T3186" s="1" t="s">
        <v>984</v>
      </c>
      <c r="U3186" s="1"/>
      <c r="V3186" s="1">
        <v>1.501</v>
      </c>
      <c r="W3186" s="1">
        <v>1.501</v>
      </c>
      <c r="X3186" s="1" t="s">
        <v>35</v>
      </c>
      <c r="Y3186" s="1">
        <v>1501000.0</v>
      </c>
      <c r="Z3186" s="1"/>
      <c r="AA3186" s="1">
        <v>1501000.0</v>
      </c>
      <c r="AB3186" s="1"/>
      <c r="AC3186" s="1" t="s">
        <v>36</v>
      </c>
      <c r="AD3186" s="1" t="s">
        <v>11243</v>
      </c>
      <c r="AE3186" s="1" t="s">
        <v>32</v>
      </c>
      <c r="AF3186" s="1" t="s">
        <v>33</v>
      </c>
      <c r="AG3186" s="1" t="s">
        <v>270</v>
      </c>
    </row>
    <row r="3187" spans="1:33">
      <c r="A3187" t="s">
        <v>11244</v>
      </c>
      <c r="C3187" t="s">
        <v>178</v>
      </c>
      <c r="E3187" t="s">
        <v>10933</v>
      </c>
      <c r="F3187" t="s">
        <v>10938</v>
      </c>
      <c r="G3187">
        <v>33.25</v>
      </c>
      <c r="H3187">
        <v>33.25</v>
      </c>
      <c r="I3187" t="s">
        <v>179</v>
      </c>
      <c r="J3187" t="s">
        <v>180</v>
      </c>
      <c r="K3187" t="s">
        <v>31</v>
      </c>
      <c r="L3187" t="s">
        <v>32</v>
      </c>
      <c r="M3187" t="s">
        <v>33</v>
      </c>
      <c r="P3187" s="1" t="s">
        <v>11245</v>
      </c>
      <c r="Q3187" s="1" t="s">
        <v>10933</v>
      </c>
      <c r="R3187" s="1" t="s">
        <v>10933</v>
      </c>
      <c r="S3187" s="1"/>
      <c r="T3187" s="1" t="s">
        <v>178</v>
      </c>
      <c r="U3187" s="1"/>
      <c r="V3187" s="1">
        <v>33.25</v>
      </c>
      <c r="W3187" s="1">
        <v>33.25</v>
      </c>
      <c r="X3187" s="1" t="s">
        <v>35</v>
      </c>
      <c r="Y3187" s="1">
        <v>33250.0</v>
      </c>
      <c r="Z3187" s="1"/>
      <c r="AA3187" s="1">
        <v>33250.0</v>
      </c>
      <c r="AB3187" s="1"/>
      <c r="AC3187" s="1" t="s">
        <v>36</v>
      </c>
      <c r="AD3187" s="1" t="s">
        <v>11237</v>
      </c>
      <c r="AE3187" s="1" t="s">
        <v>32</v>
      </c>
      <c r="AF3187" s="1" t="s">
        <v>33</v>
      </c>
      <c r="AG3187" s="1" t="s">
        <v>180</v>
      </c>
    </row>
    <row r="3188" spans="1:33">
      <c r="A3188" t="s">
        <v>11246</v>
      </c>
      <c r="B3188" t="s">
        <v>1724</v>
      </c>
      <c r="C3188" t="s">
        <v>314</v>
      </c>
      <c r="E3188" t="s">
        <v>10933</v>
      </c>
      <c r="F3188" t="s">
        <v>10938</v>
      </c>
      <c r="G3188">
        <v>61.47</v>
      </c>
      <c r="H3188">
        <v>61.47</v>
      </c>
      <c r="I3188" t="s">
        <v>179</v>
      </c>
      <c r="J3188" t="s">
        <v>180</v>
      </c>
      <c r="K3188" t="s">
        <v>31</v>
      </c>
      <c r="L3188" t="s">
        <v>32</v>
      </c>
      <c r="M3188" t="s">
        <v>33</v>
      </c>
      <c r="P3188" s="1" t="s">
        <v>11247</v>
      </c>
      <c r="Q3188" s="1" t="s">
        <v>10933</v>
      </c>
      <c r="R3188" s="1" t="s">
        <v>10933</v>
      </c>
      <c r="S3188" s="1"/>
      <c r="T3188" s="1" t="s">
        <v>314</v>
      </c>
      <c r="U3188" s="1"/>
      <c r="V3188" s="1">
        <v>61.47</v>
      </c>
      <c r="W3188" s="1">
        <v>61.47</v>
      </c>
      <c r="X3188" s="1" t="s">
        <v>35</v>
      </c>
      <c r="Y3188" s="1">
        <v>61470.0</v>
      </c>
      <c r="Z3188" s="1"/>
      <c r="AA3188" s="1">
        <v>61470.0</v>
      </c>
      <c r="AB3188" s="1"/>
      <c r="AC3188" s="1" t="s">
        <v>36</v>
      </c>
      <c r="AD3188" s="1" t="s">
        <v>11248</v>
      </c>
      <c r="AE3188" s="1" t="s">
        <v>32</v>
      </c>
      <c r="AF3188" s="1" t="s">
        <v>33</v>
      </c>
      <c r="AG3188" s="1" t="s">
        <v>180</v>
      </c>
    </row>
    <row r="3189" spans="1:33">
      <c r="A3189" t="s">
        <v>11249</v>
      </c>
      <c r="C3189" t="s">
        <v>2371</v>
      </c>
      <c r="E3189" t="s">
        <v>10933</v>
      </c>
      <c r="F3189" t="s">
        <v>10938</v>
      </c>
      <c r="G3189">
        <v>1.008</v>
      </c>
      <c r="H3189">
        <v>1.008</v>
      </c>
      <c r="I3189" t="s">
        <v>570</v>
      </c>
      <c r="J3189" t="s">
        <v>571</v>
      </c>
      <c r="K3189" t="s">
        <v>31</v>
      </c>
      <c r="L3189" t="s">
        <v>32</v>
      </c>
      <c r="M3189" t="s">
        <v>33</v>
      </c>
      <c r="P3189" s="1" t="s">
        <v>11250</v>
      </c>
      <c r="Q3189" s="1" t="s">
        <v>10933</v>
      </c>
      <c r="R3189" s="1" t="s">
        <v>10933</v>
      </c>
      <c r="S3189" s="1"/>
      <c r="T3189" s="1" t="s">
        <v>2371</v>
      </c>
      <c r="U3189" s="1"/>
      <c r="V3189" s="1">
        <v>1.008</v>
      </c>
      <c r="W3189" s="1">
        <v>1.008</v>
      </c>
      <c r="X3189" s="1" t="s">
        <v>35</v>
      </c>
      <c r="Y3189" s="1">
        <v>1008000.0</v>
      </c>
      <c r="Z3189" s="1"/>
      <c r="AA3189" s="1">
        <v>1008000.0</v>
      </c>
      <c r="AB3189" s="1"/>
      <c r="AC3189" s="1" t="s">
        <v>36</v>
      </c>
      <c r="AD3189" s="1" t="s">
        <v>11251</v>
      </c>
      <c r="AE3189" s="1" t="s">
        <v>32</v>
      </c>
      <c r="AF3189" s="1" t="s">
        <v>33</v>
      </c>
      <c r="AG3189" s="1" t="s">
        <v>571</v>
      </c>
    </row>
    <row r="3190" spans="1:33">
      <c r="A3190" t="s">
        <v>11252</v>
      </c>
      <c r="B3190" t="s">
        <v>11253</v>
      </c>
      <c r="C3190" t="s">
        <v>131</v>
      </c>
      <c r="E3190" t="s">
        <v>10933</v>
      </c>
      <c r="F3190" t="s">
        <v>10938</v>
      </c>
      <c r="G3190">
        <v>54.99</v>
      </c>
      <c r="H3190">
        <v>54.99</v>
      </c>
      <c r="I3190" t="s">
        <v>94</v>
      </c>
      <c r="J3190" t="s">
        <v>95</v>
      </c>
      <c r="K3190" t="s">
        <v>31</v>
      </c>
      <c r="L3190" t="s">
        <v>32</v>
      </c>
      <c r="M3190" t="s">
        <v>33</v>
      </c>
      <c r="P3190" s="1" t="s">
        <v>11254</v>
      </c>
      <c r="Q3190" s="1" t="s">
        <v>10933</v>
      </c>
      <c r="R3190" s="1" t="s">
        <v>10933</v>
      </c>
      <c r="S3190" s="1"/>
      <c r="T3190" s="1" t="s">
        <v>131</v>
      </c>
      <c r="U3190" s="1"/>
      <c r="V3190" s="1">
        <v>54.99</v>
      </c>
      <c r="W3190" s="1">
        <v>54.99</v>
      </c>
      <c r="X3190" s="1" t="s">
        <v>35</v>
      </c>
      <c r="Y3190" s="1">
        <v>54990.0</v>
      </c>
      <c r="Z3190" s="1"/>
      <c r="AA3190" s="1">
        <v>54990.0</v>
      </c>
      <c r="AB3190" s="1"/>
      <c r="AC3190" s="1" t="s">
        <v>36</v>
      </c>
      <c r="AD3190" s="1" t="s">
        <v>11255</v>
      </c>
      <c r="AE3190" s="1" t="s">
        <v>32</v>
      </c>
      <c r="AF3190" s="1" t="s">
        <v>33</v>
      </c>
      <c r="AG3190" s="1" t="s">
        <v>95</v>
      </c>
    </row>
    <row r="3191" spans="1:33">
      <c r="A3191" t="s">
        <v>11256</v>
      </c>
      <c r="B3191" t="s">
        <v>1108</v>
      </c>
      <c r="C3191" t="s">
        <v>1109</v>
      </c>
      <c r="E3191" t="s">
        <v>10933</v>
      </c>
      <c r="F3191" t="s">
        <v>10938</v>
      </c>
      <c r="G3191">
        <v>1.683</v>
      </c>
      <c r="H3191">
        <v>1.683</v>
      </c>
      <c r="I3191" t="s">
        <v>529</v>
      </c>
      <c r="J3191" t="s">
        <v>530</v>
      </c>
      <c r="K3191" t="s">
        <v>31</v>
      </c>
      <c r="L3191" t="s">
        <v>32</v>
      </c>
      <c r="M3191" t="s">
        <v>33</v>
      </c>
      <c r="P3191" s="1" t="s">
        <v>11257</v>
      </c>
      <c r="Q3191" s="1" t="s">
        <v>10933</v>
      </c>
      <c r="R3191" s="1" t="s">
        <v>10324</v>
      </c>
      <c r="S3191" s="1"/>
      <c r="T3191" s="1" t="s">
        <v>1111</v>
      </c>
      <c r="U3191" s="1" t="s">
        <v>1112</v>
      </c>
      <c r="V3191" s="1">
        <v>1.683</v>
      </c>
      <c r="W3191" s="1">
        <v>1.683</v>
      </c>
      <c r="X3191" s="1" t="s">
        <v>35</v>
      </c>
      <c r="Y3191" s="1">
        <v>1683700.0</v>
      </c>
      <c r="Z3191" s="1"/>
      <c r="AA3191" s="1">
        <v>1683700.0</v>
      </c>
      <c r="AB3191" s="1"/>
      <c r="AC3191" s="1" t="s">
        <v>36</v>
      </c>
      <c r="AD3191" s="1" t="s">
        <v>11258</v>
      </c>
      <c r="AE3191" s="1" t="s">
        <v>32</v>
      </c>
      <c r="AF3191" s="1" t="s">
        <v>33</v>
      </c>
      <c r="AG3191" s="1" t="s">
        <v>530</v>
      </c>
    </row>
    <row r="3192" spans="1:33">
      <c r="A3192" t="s">
        <v>11259</v>
      </c>
      <c r="C3192" t="s">
        <v>638</v>
      </c>
      <c r="D3192" t="s">
        <v>154</v>
      </c>
      <c r="E3192" t="s">
        <v>10933</v>
      </c>
      <c r="F3192" t="s">
        <v>10938</v>
      </c>
      <c r="G3192">
        <v>1.142</v>
      </c>
      <c r="H3192">
        <v>1.142</v>
      </c>
      <c r="I3192" t="s">
        <v>227</v>
      </c>
      <c r="J3192" t="s">
        <v>228</v>
      </c>
      <c r="K3192" t="s">
        <v>31</v>
      </c>
      <c r="L3192" t="s">
        <v>32</v>
      </c>
      <c r="M3192" t="s">
        <v>33</v>
      </c>
      <c r="P3192" s="1" t="s">
        <v>11260</v>
      </c>
      <c r="Q3192" s="1" t="s">
        <v>10933</v>
      </c>
      <c r="R3192" s="1" t="s">
        <v>10933</v>
      </c>
      <c r="S3192" s="1"/>
      <c r="T3192" s="1" t="s">
        <v>640</v>
      </c>
      <c r="U3192" s="1" t="s">
        <v>641</v>
      </c>
      <c r="V3192" s="1">
        <v>1.142</v>
      </c>
      <c r="W3192" s="1">
        <v>1.142</v>
      </c>
      <c r="X3192" s="1" t="s">
        <v>35</v>
      </c>
      <c r="Y3192" s="1">
        <v>1142000.0</v>
      </c>
      <c r="Z3192" s="1"/>
      <c r="AA3192" s="1">
        <v>1142000.0</v>
      </c>
      <c r="AB3192" s="1"/>
      <c r="AC3192" s="1" t="s">
        <v>36</v>
      </c>
      <c r="AD3192" s="1" t="s">
        <v>11261</v>
      </c>
      <c r="AE3192" s="1" t="s">
        <v>32</v>
      </c>
      <c r="AF3192" s="1" t="s">
        <v>33</v>
      </c>
      <c r="AG3192" s="1" t="s">
        <v>228</v>
      </c>
    </row>
    <row r="3193" spans="1:33">
      <c r="A3193" t="s">
        <v>11262</v>
      </c>
      <c r="B3193" t="s">
        <v>11263</v>
      </c>
      <c r="C3193" t="s">
        <v>268</v>
      </c>
      <c r="E3193" t="s">
        <v>10933</v>
      </c>
      <c r="F3193" t="s">
        <v>10938</v>
      </c>
      <c r="G3193">
        <v>28.25</v>
      </c>
      <c r="H3193">
        <v>28.25</v>
      </c>
      <c r="I3193" t="s">
        <v>269</v>
      </c>
      <c r="J3193" t="s">
        <v>270</v>
      </c>
      <c r="K3193" t="s">
        <v>31</v>
      </c>
      <c r="L3193" t="s">
        <v>32</v>
      </c>
      <c r="M3193" t="s">
        <v>33</v>
      </c>
      <c r="P3193" s="1" t="s">
        <v>11264</v>
      </c>
      <c r="Q3193" s="1" t="s">
        <v>10933</v>
      </c>
      <c r="R3193" s="1" t="s">
        <v>10933</v>
      </c>
      <c r="S3193" s="1"/>
      <c r="T3193" s="1" t="s">
        <v>268</v>
      </c>
      <c r="U3193" s="1"/>
      <c r="V3193" s="1">
        <v>28.25</v>
      </c>
      <c r="W3193" s="1">
        <v>28.25</v>
      </c>
      <c r="X3193" s="1" t="s">
        <v>35</v>
      </c>
      <c r="Y3193" s="1">
        <v>28250.0</v>
      </c>
      <c r="Z3193" s="1"/>
      <c r="AA3193" s="1">
        <v>28250.0</v>
      </c>
      <c r="AB3193" s="1"/>
      <c r="AC3193" s="1" t="s">
        <v>36</v>
      </c>
      <c r="AD3193" s="1" t="s">
        <v>11265</v>
      </c>
      <c r="AE3193" s="1" t="s">
        <v>32</v>
      </c>
      <c r="AF3193" s="1" t="s">
        <v>33</v>
      </c>
      <c r="AG3193" s="1" t="s">
        <v>270</v>
      </c>
    </row>
    <row r="3194" spans="1:33">
      <c r="A3194" t="s">
        <v>11266</v>
      </c>
      <c r="B3194" t="s">
        <v>11267</v>
      </c>
      <c r="C3194" t="s">
        <v>47</v>
      </c>
      <c r="E3194" t="s">
        <v>10933</v>
      </c>
      <c r="F3194" t="s">
        <v>10938</v>
      </c>
      <c r="G3194">
        <v>332.48</v>
      </c>
      <c r="H3194">
        <v>332.48</v>
      </c>
      <c r="I3194" t="s">
        <v>2206</v>
      </c>
      <c r="J3194" t="s">
        <v>49</v>
      </c>
      <c r="K3194" t="s">
        <v>31</v>
      </c>
      <c r="L3194" t="s">
        <v>32</v>
      </c>
      <c r="M3194" t="s">
        <v>33</v>
      </c>
      <c r="P3194" s="1" t="s">
        <v>11268</v>
      </c>
      <c r="Q3194" s="1" t="s">
        <v>10933</v>
      </c>
      <c r="R3194" s="1" t="s">
        <v>10933</v>
      </c>
      <c r="S3194" s="1"/>
      <c r="T3194" s="1" t="s">
        <v>47</v>
      </c>
      <c r="U3194" s="1"/>
      <c r="V3194" s="1">
        <v>332.48</v>
      </c>
      <c r="W3194" s="1">
        <v>332.48</v>
      </c>
      <c r="X3194" s="1" t="s">
        <v>35</v>
      </c>
      <c r="Y3194" s="1">
        <v>332480.0</v>
      </c>
      <c r="Z3194" s="1"/>
      <c r="AA3194" s="1">
        <v>332480.0</v>
      </c>
      <c r="AB3194" s="1"/>
      <c r="AC3194" s="1" t="s">
        <v>36</v>
      </c>
      <c r="AD3194" s="1" t="s">
        <v>11269</v>
      </c>
      <c r="AE3194" s="1" t="s">
        <v>32</v>
      </c>
      <c r="AF3194" s="1" t="s">
        <v>33</v>
      </c>
      <c r="AG3194" s="1" t="s">
        <v>49</v>
      </c>
    </row>
    <row r="3195" spans="1:33">
      <c r="A3195" t="s">
        <v>11270</v>
      </c>
      <c r="B3195" t="s">
        <v>11271</v>
      </c>
      <c r="C3195" t="s">
        <v>268</v>
      </c>
      <c r="E3195" t="s">
        <v>10933</v>
      </c>
      <c r="F3195" t="s">
        <v>10938</v>
      </c>
      <c r="G3195">
        <v>33.75</v>
      </c>
      <c r="H3195">
        <v>33.75</v>
      </c>
      <c r="I3195" t="s">
        <v>269</v>
      </c>
      <c r="J3195" t="s">
        <v>270</v>
      </c>
      <c r="K3195" t="s">
        <v>31</v>
      </c>
      <c r="L3195" t="s">
        <v>32</v>
      </c>
      <c r="M3195" t="s">
        <v>33</v>
      </c>
      <c r="P3195" s="1" t="s">
        <v>11272</v>
      </c>
      <c r="Q3195" s="1" t="s">
        <v>10933</v>
      </c>
      <c r="R3195" s="1" t="s">
        <v>10933</v>
      </c>
      <c r="S3195" s="1"/>
      <c r="T3195" s="1" t="s">
        <v>268</v>
      </c>
      <c r="U3195" s="1"/>
      <c r="V3195" s="1">
        <v>33.75</v>
      </c>
      <c r="W3195" s="1">
        <v>33.75</v>
      </c>
      <c r="X3195" s="1" t="s">
        <v>35</v>
      </c>
      <c r="Y3195" s="1">
        <v>33750.0</v>
      </c>
      <c r="Z3195" s="1"/>
      <c r="AA3195" s="1">
        <v>33750.0</v>
      </c>
      <c r="AB3195" s="1"/>
      <c r="AC3195" s="1" t="s">
        <v>36</v>
      </c>
      <c r="AD3195" s="1" t="s">
        <v>11273</v>
      </c>
      <c r="AE3195" s="1" t="s">
        <v>32</v>
      </c>
      <c r="AF3195" s="1" t="s">
        <v>33</v>
      </c>
      <c r="AG3195" s="1" t="s">
        <v>270</v>
      </c>
    </row>
    <row r="3196" spans="1:33">
      <c r="A3196" t="s">
        <v>11274</v>
      </c>
      <c r="C3196" t="s">
        <v>6425</v>
      </c>
      <c r="D3196" t="s">
        <v>114</v>
      </c>
      <c r="E3196" t="s">
        <v>10933</v>
      </c>
      <c r="F3196" t="s">
        <v>10938</v>
      </c>
      <c r="G3196">
        <v>328.0</v>
      </c>
      <c r="H3196">
        <v>328.0</v>
      </c>
      <c r="I3196" t="s">
        <v>269</v>
      </c>
      <c r="J3196" t="s">
        <v>270</v>
      </c>
      <c r="K3196" t="s">
        <v>31</v>
      </c>
      <c r="L3196" t="s">
        <v>32</v>
      </c>
      <c r="M3196" t="s">
        <v>33</v>
      </c>
      <c r="P3196" s="1" t="s">
        <v>11275</v>
      </c>
      <c r="Q3196" s="1" t="s">
        <v>10933</v>
      </c>
      <c r="R3196" s="1" t="s">
        <v>10933</v>
      </c>
      <c r="S3196" s="1"/>
      <c r="T3196" s="1" t="s">
        <v>6425</v>
      </c>
      <c r="U3196" s="1"/>
      <c r="V3196" s="1">
        <v>328.0</v>
      </c>
      <c r="W3196" s="1">
        <v>328.0</v>
      </c>
      <c r="X3196" s="1" t="s">
        <v>35</v>
      </c>
      <c r="Y3196" s="1">
        <v>328000.0</v>
      </c>
      <c r="Z3196" s="1"/>
      <c r="AA3196" s="1">
        <v>328000.0</v>
      </c>
      <c r="AB3196" s="1"/>
      <c r="AC3196" s="1" t="s">
        <v>36</v>
      </c>
      <c r="AD3196" s="1" t="s">
        <v>11276</v>
      </c>
      <c r="AE3196" s="1" t="s">
        <v>32</v>
      </c>
      <c r="AF3196" s="1" t="s">
        <v>33</v>
      </c>
      <c r="AG3196" s="1" t="s">
        <v>270</v>
      </c>
    </row>
    <row r="3197" spans="1:33">
      <c r="A3197" t="s">
        <v>11277</v>
      </c>
      <c r="B3197" t="s">
        <v>11278</v>
      </c>
      <c r="C3197" t="s">
        <v>569</v>
      </c>
      <c r="E3197" t="s">
        <v>10933</v>
      </c>
      <c r="F3197" t="s">
        <v>10938</v>
      </c>
      <c r="G3197">
        <v>98.97</v>
      </c>
      <c r="H3197">
        <v>98.97</v>
      </c>
      <c r="I3197" t="s">
        <v>570</v>
      </c>
      <c r="J3197" t="s">
        <v>571</v>
      </c>
      <c r="K3197" t="s">
        <v>31</v>
      </c>
      <c r="L3197" t="s">
        <v>32</v>
      </c>
      <c r="M3197" t="s">
        <v>33</v>
      </c>
      <c r="P3197" s="1" t="s">
        <v>11279</v>
      </c>
      <c r="Q3197" s="1" t="s">
        <v>10933</v>
      </c>
      <c r="R3197" s="1" t="s">
        <v>10933</v>
      </c>
      <c r="S3197" s="1"/>
      <c r="T3197" s="1" t="s">
        <v>569</v>
      </c>
      <c r="U3197" s="1"/>
      <c r="V3197" s="1">
        <v>98.97</v>
      </c>
      <c r="W3197" s="1">
        <v>98.97</v>
      </c>
      <c r="X3197" s="1" t="s">
        <v>35</v>
      </c>
      <c r="Y3197" s="1">
        <v>98970.0</v>
      </c>
      <c r="Z3197" s="1"/>
      <c r="AA3197" s="1">
        <v>98970.0</v>
      </c>
      <c r="AB3197" s="1"/>
      <c r="AC3197" s="1" t="s">
        <v>36</v>
      </c>
      <c r="AD3197" s="1" t="s">
        <v>11280</v>
      </c>
      <c r="AE3197" s="1" t="s">
        <v>32</v>
      </c>
      <c r="AF3197" s="1" t="s">
        <v>33</v>
      </c>
      <c r="AG3197" s="1" t="s">
        <v>571</v>
      </c>
    </row>
    <row r="3198" spans="1:33">
      <c r="A3198" t="s">
        <v>11281</v>
      </c>
      <c r="C3198" t="s">
        <v>2635</v>
      </c>
      <c r="E3198" t="s">
        <v>10933</v>
      </c>
      <c r="F3198" t="s">
        <v>10938</v>
      </c>
      <c r="G3198">
        <v>3.0</v>
      </c>
      <c r="H3198">
        <v>3.0</v>
      </c>
      <c r="I3198" t="s">
        <v>2206</v>
      </c>
      <c r="J3198" t="s">
        <v>49</v>
      </c>
      <c r="K3198" t="s">
        <v>31</v>
      </c>
      <c r="L3198" t="s">
        <v>32</v>
      </c>
      <c r="M3198" t="s">
        <v>33</v>
      </c>
      <c r="P3198" s="1" t="s">
        <v>11282</v>
      </c>
      <c r="Q3198" s="1" t="s">
        <v>10933</v>
      </c>
      <c r="R3198" s="1" t="s">
        <v>10933</v>
      </c>
      <c r="S3198" s="1"/>
      <c r="T3198" s="1" t="s">
        <v>2635</v>
      </c>
      <c r="U3198" s="1"/>
      <c r="V3198" s="1">
        <v>3.0</v>
      </c>
      <c r="W3198" s="1">
        <v>3.0</v>
      </c>
      <c r="X3198" s="1" t="s">
        <v>35</v>
      </c>
      <c r="Y3198" s="1">
        <v>3000.0</v>
      </c>
      <c r="Z3198" s="1"/>
      <c r="AA3198" s="1">
        <v>3000.0</v>
      </c>
      <c r="AB3198" s="1"/>
      <c r="AC3198" s="1" t="s">
        <v>36</v>
      </c>
      <c r="AD3198" s="1" t="s">
        <v>11283</v>
      </c>
      <c r="AE3198" s="1" t="s">
        <v>32</v>
      </c>
      <c r="AF3198" s="1" t="s">
        <v>33</v>
      </c>
      <c r="AG3198" s="1" t="s">
        <v>49</v>
      </c>
    </row>
    <row r="3199" spans="1:33">
      <c r="A3199" t="s">
        <v>11284</v>
      </c>
      <c r="C3199" t="s">
        <v>11285</v>
      </c>
      <c r="E3199" t="s">
        <v>10933</v>
      </c>
      <c r="F3199" t="s">
        <v>10938</v>
      </c>
      <c r="G3199">
        <v>637.5</v>
      </c>
      <c r="H3199">
        <v>637.5</v>
      </c>
      <c r="I3199" t="s">
        <v>11286</v>
      </c>
      <c r="J3199" t="s">
        <v>540</v>
      </c>
      <c r="K3199" t="s">
        <v>31</v>
      </c>
      <c r="L3199" t="s">
        <v>32</v>
      </c>
      <c r="M3199" t="s">
        <v>33</v>
      </c>
      <c r="P3199" s="1" t="s">
        <v>11287</v>
      </c>
      <c r="Q3199" s="1" t="s">
        <v>10933</v>
      </c>
      <c r="R3199" s="1" t="s">
        <v>10324</v>
      </c>
      <c r="S3199" s="1"/>
      <c r="T3199" s="1" t="s">
        <v>11285</v>
      </c>
      <c r="U3199" s="1"/>
      <c r="V3199" s="1">
        <v>637.5</v>
      </c>
      <c r="W3199" s="1">
        <v>637.5</v>
      </c>
      <c r="X3199" s="1" t="s">
        <v>35</v>
      </c>
      <c r="Y3199" s="1">
        <v>637500.0</v>
      </c>
      <c r="Z3199" s="1"/>
      <c r="AA3199" s="1">
        <v>637500.0</v>
      </c>
      <c r="AB3199" s="1"/>
      <c r="AC3199" s="1" t="s">
        <v>36</v>
      </c>
      <c r="AD3199" s="1" t="s">
        <v>11288</v>
      </c>
      <c r="AE3199" s="1" t="s">
        <v>32</v>
      </c>
      <c r="AF3199" s="1" t="s">
        <v>33</v>
      </c>
      <c r="AG3199" s="1" t="s">
        <v>540</v>
      </c>
    </row>
    <row r="3200" spans="1:33">
      <c r="A3200" t="s">
        <v>11289</v>
      </c>
      <c r="C3200" t="s">
        <v>259</v>
      </c>
      <c r="D3200" t="s">
        <v>114</v>
      </c>
      <c r="E3200" t="s">
        <v>10933</v>
      </c>
      <c r="F3200" t="s">
        <v>10938</v>
      </c>
      <c r="G3200">
        <v>1.09</v>
      </c>
      <c r="H3200">
        <v>1.09</v>
      </c>
      <c r="I3200" t="s">
        <v>173</v>
      </c>
      <c r="J3200" t="s">
        <v>174</v>
      </c>
      <c r="K3200" t="s">
        <v>31</v>
      </c>
      <c r="L3200" t="s">
        <v>32</v>
      </c>
      <c r="M3200" t="s">
        <v>33</v>
      </c>
      <c r="P3200" s="1" t="s">
        <v>11290</v>
      </c>
      <c r="Q3200" s="1" t="s">
        <v>10933</v>
      </c>
      <c r="R3200" s="1" t="s">
        <v>10933</v>
      </c>
      <c r="S3200" s="1"/>
      <c r="T3200" s="1" t="s">
        <v>259</v>
      </c>
      <c r="U3200" s="1"/>
      <c r="V3200" s="1">
        <v>1.09</v>
      </c>
      <c r="W3200" s="1">
        <v>1.09</v>
      </c>
      <c r="X3200" s="1" t="s">
        <v>35</v>
      </c>
      <c r="Y3200" s="1">
        <v>1090000.0</v>
      </c>
      <c r="Z3200" s="1"/>
      <c r="AA3200" s="1">
        <v>1090000.0</v>
      </c>
      <c r="AB3200" s="1"/>
      <c r="AC3200" s="1" t="s">
        <v>36</v>
      </c>
      <c r="AD3200" s="1" t="s">
        <v>11291</v>
      </c>
      <c r="AE3200" s="1" t="s">
        <v>32</v>
      </c>
      <c r="AF3200" s="1" t="s">
        <v>33</v>
      </c>
      <c r="AG3200" s="1" t="s">
        <v>174</v>
      </c>
    </row>
    <row r="3201" spans="1:33">
      <c r="A3201" t="s">
        <v>11292</v>
      </c>
      <c r="B3201" t="s">
        <v>11293</v>
      </c>
      <c r="C3201" t="s">
        <v>172</v>
      </c>
      <c r="E3201" t="s">
        <v>10933</v>
      </c>
      <c r="F3201" t="s">
        <v>10938</v>
      </c>
      <c r="G3201">
        <v>48.655</v>
      </c>
      <c r="H3201">
        <v>48.655</v>
      </c>
      <c r="I3201" t="s">
        <v>173</v>
      </c>
      <c r="J3201" t="s">
        <v>174</v>
      </c>
      <c r="K3201" t="s">
        <v>31</v>
      </c>
      <c r="L3201" t="s">
        <v>32</v>
      </c>
      <c r="M3201" t="s">
        <v>33</v>
      </c>
      <c r="P3201" s="1" t="s">
        <v>11294</v>
      </c>
      <c r="Q3201" s="1" t="s">
        <v>10933</v>
      </c>
      <c r="R3201" s="1" t="s">
        <v>10933</v>
      </c>
      <c r="S3201" s="1"/>
      <c r="T3201" s="1" t="s">
        <v>172</v>
      </c>
      <c r="U3201" s="1"/>
      <c r="V3201" s="1">
        <v>48.655</v>
      </c>
      <c r="W3201" s="1">
        <v>48.655</v>
      </c>
      <c r="X3201" s="1" t="s">
        <v>35</v>
      </c>
      <c r="Y3201" s="1">
        <v>48655.0</v>
      </c>
      <c r="Z3201" s="1"/>
      <c r="AA3201" s="1">
        <v>48655.0</v>
      </c>
      <c r="AB3201" s="1"/>
      <c r="AC3201" s="1" t="s">
        <v>36</v>
      </c>
      <c r="AD3201" s="1" t="s">
        <v>11295</v>
      </c>
      <c r="AE3201" s="1" t="s">
        <v>32</v>
      </c>
      <c r="AF3201" s="1" t="s">
        <v>33</v>
      </c>
      <c r="AG3201" s="1" t="s">
        <v>174</v>
      </c>
    </row>
    <row r="3202" spans="1:33">
      <c r="A3202" t="s">
        <v>11296</v>
      </c>
      <c r="C3202" t="s">
        <v>11297</v>
      </c>
      <c r="E3202" t="s">
        <v>10933</v>
      </c>
      <c r="F3202" t="s">
        <v>10938</v>
      </c>
      <c r="G3202">
        <v>328.0</v>
      </c>
      <c r="H3202">
        <v>328.0</v>
      </c>
      <c r="I3202" t="s">
        <v>227</v>
      </c>
      <c r="J3202" t="s">
        <v>228</v>
      </c>
      <c r="K3202" t="s">
        <v>31</v>
      </c>
      <c r="L3202" t="s">
        <v>32</v>
      </c>
      <c r="M3202" t="s">
        <v>33</v>
      </c>
      <c r="P3202" s="1" t="s">
        <v>11298</v>
      </c>
      <c r="Q3202" s="1" t="s">
        <v>10933</v>
      </c>
      <c r="R3202" s="1" t="s">
        <v>10933</v>
      </c>
      <c r="S3202" s="1"/>
      <c r="T3202" s="1" t="s">
        <v>11297</v>
      </c>
      <c r="U3202" s="1"/>
      <c r="V3202" s="1">
        <v>328.0</v>
      </c>
      <c r="W3202" s="1">
        <v>328.0</v>
      </c>
      <c r="X3202" s="1" t="s">
        <v>35</v>
      </c>
      <c r="Y3202" s="1">
        <v>328000.0</v>
      </c>
      <c r="Z3202" s="1"/>
      <c r="AA3202" s="1">
        <v>328000.0</v>
      </c>
      <c r="AB3202" s="1"/>
      <c r="AC3202" s="1" t="s">
        <v>36</v>
      </c>
      <c r="AD3202" s="1" t="s">
        <v>11299</v>
      </c>
      <c r="AE3202" s="1" t="s">
        <v>32</v>
      </c>
      <c r="AF3202" s="1" t="s">
        <v>33</v>
      </c>
      <c r="AG3202" s="1" t="s">
        <v>228</v>
      </c>
    </row>
    <row r="3203" spans="1:33">
      <c r="A3203" t="s">
        <v>11300</v>
      </c>
      <c r="C3203" t="s">
        <v>11301</v>
      </c>
      <c r="E3203" t="s">
        <v>10933</v>
      </c>
      <c r="F3203" t="s">
        <v>10938</v>
      </c>
      <c r="G3203">
        <v>1.13</v>
      </c>
      <c r="H3203">
        <v>1.13</v>
      </c>
      <c r="I3203" t="s">
        <v>179</v>
      </c>
      <c r="J3203" t="s">
        <v>180</v>
      </c>
      <c r="K3203" t="s">
        <v>31</v>
      </c>
      <c r="L3203" t="s">
        <v>32</v>
      </c>
      <c r="M3203" t="s">
        <v>33</v>
      </c>
      <c r="P3203" s="1" t="s">
        <v>11302</v>
      </c>
      <c r="Q3203" s="1" t="s">
        <v>10933</v>
      </c>
      <c r="R3203" s="1" t="s">
        <v>10933</v>
      </c>
      <c r="S3203" s="1"/>
      <c r="T3203" s="1" t="s">
        <v>11301</v>
      </c>
      <c r="U3203" s="1"/>
      <c r="V3203" s="1">
        <v>1.13</v>
      </c>
      <c r="W3203" s="1">
        <v>1.13</v>
      </c>
      <c r="X3203" s="1" t="s">
        <v>35</v>
      </c>
      <c r="Y3203" s="1">
        <v>1130000.0</v>
      </c>
      <c r="Z3203" s="1"/>
      <c r="AA3203" s="1">
        <v>1130000.0</v>
      </c>
      <c r="AB3203" s="1"/>
      <c r="AC3203" s="1" t="s">
        <v>36</v>
      </c>
      <c r="AD3203" s="1" t="s">
        <v>11303</v>
      </c>
      <c r="AE3203" s="1" t="s">
        <v>32</v>
      </c>
      <c r="AF3203" s="1" t="s">
        <v>33</v>
      </c>
      <c r="AG3203" s="1" t="s">
        <v>180</v>
      </c>
    </row>
    <row r="3204" spans="1:33">
      <c r="A3204" t="s">
        <v>11304</v>
      </c>
      <c r="C3204" t="s">
        <v>2284</v>
      </c>
      <c r="E3204" t="s">
        <v>10933</v>
      </c>
      <c r="F3204" t="s">
        <v>10938</v>
      </c>
      <c r="G3204">
        <v>407.0</v>
      </c>
      <c r="H3204">
        <v>407.0</v>
      </c>
      <c r="I3204" t="s">
        <v>136</v>
      </c>
      <c r="J3204" t="s">
        <v>137</v>
      </c>
      <c r="K3204" t="s">
        <v>31</v>
      </c>
      <c r="L3204" t="s">
        <v>32</v>
      </c>
      <c r="M3204" t="s">
        <v>33</v>
      </c>
      <c r="P3204" s="1" t="s">
        <v>11305</v>
      </c>
      <c r="Q3204" s="1" t="s">
        <v>10933</v>
      </c>
      <c r="R3204" s="1" t="s">
        <v>10933</v>
      </c>
      <c r="S3204" s="1"/>
      <c r="T3204" s="1" t="s">
        <v>2284</v>
      </c>
      <c r="U3204" s="1"/>
      <c r="V3204" s="1">
        <v>407.0</v>
      </c>
      <c r="W3204" s="1">
        <v>407.0</v>
      </c>
      <c r="X3204" s="1" t="s">
        <v>35</v>
      </c>
      <c r="Y3204" s="1">
        <v>407000.0</v>
      </c>
      <c r="Z3204" s="1"/>
      <c r="AA3204" s="1">
        <v>407000.0</v>
      </c>
      <c r="AB3204" s="1"/>
      <c r="AC3204" s="1" t="s">
        <v>36</v>
      </c>
      <c r="AD3204" s="1" t="s">
        <v>11295</v>
      </c>
      <c r="AE3204" s="1" t="s">
        <v>32</v>
      </c>
      <c r="AF3204" s="1" t="s">
        <v>33</v>
      </c>
      <c r="AG3204" s="1" t="s">
        <v>137</v>
      </c>
    </row>
    <row r="3205" spans="1:33">
      <c r="A3205" t="s">
        <v>11306</v>
      </c>
      <c r="C3205" t="s">
        <v>2635</v>
      </c>
      <c r="E3205" t="s">
        <v>10933</v>
      </c>
      <c r="F3205" t="s">
        <v>10938</v>
      </c>
      <c r="G3205">
        <v>649.5</v>
      </c>
      <c r="H3205">
        <v>649.5</v>
      </c>
      <c r="I3205" t="s">
        <v>2206</v>
      </c>
      <c r="J3205" t="s">
        <v>49</v>
      </c>
      <c r="K3205" t="s">
        <v>31</v>
      </c>
      <c r="L3205" t="s">
        <v>32</v>
      </c>
      <c r="M3205" t="s">
        <v>33</v>
      </c>
      <c r="P3205" s="1" t="s">
        <v>11307</v>
      </c>
      <c r="Q3205" s="1" t="s">
        <v>10933</v>
      </c>
      <c r="R3205" s="1" t="s">
        <v>10933</v>
      </c>
      <c r="S3205" s="1"/>
      <c r="T3205" s="1" t="s">
        <v>2635</v>
      </c>
      <c r="U3205" s="1"/>
      <c r="V3205" s="1">
        <v>649.5</v>
      </c>
      <c r="W3205" s="1">
        <v>649.5</v>
      </c>
      <c r="X3205" s="1" t="s">
        <v>35</v>
      </c>
      <c r="Y3205" s="1">
        <v>649500.0</v>
      </c>
      <c r="Z3205" s="1"/>
      <c r="AA3205" s="1">
        <v>649500.0</v>
      </c>
      <c r="AB3205" s="1"/>
      <c r="AC3205" s="1" t="s">
        <v>36</v>
      </c>
      <c r="AD3205" s="1" t="s">
        <v>11308</v>
      </c>
      <c r="AE3205" s="1" t="s">
        <v>32</v>
      </c>
      <c r="AF3205" s="1" t="s">
        <v>33</v>
      </c>
      <c r="AG3205" s="1" t="s">
        <v>49</v>
      </c>
    </row>
    <row r="3206" spans="1:33">
      <c r="A3206" t="s">
        <v>11309</v>
      </c>
      <c r="B3206" t="s">
        <v>57</v>
      </c>
      <c r="C3206" t="s">
        <v>58</v>
      </c>
      <c r="E3206" t="s">
        <v>10933</v>
      </c>
      <c r="F3206" t="s">
        <v>10938</v>
      </c>
      <c r="G3206">
        <v>32.0</v>
      </c>
      <c r="H3206">
        <v>32.0</v>
      </c>
      <c r="I3206" t="s">
        <v>59</v>
      </c>
      <c r="J3206" t="s">
        <v>60</v>
      </c>
      <c r="K3206" t="s">
        <v>31</v>
      </c>
      <c r="L3206" t="s">
        <v>32</v>
      </c>
      <c r="M3206" t="s">
        <v>33</v>
      </c>
      <c r="P3206" s="1" t="s">
        <v>11310</v>
      </c>
      <c r="Q3206" s="1" t="s">
        <v>10933</v>
      </c>
      <c r="R3206" s="1" t="s">
        <v>10933</v>
      </c>
      <c r="S3206" s="1"/>
      <c r="T3206" s="1" t="s">
        <v>58</v>
      </c>
      <c r="U3206" s="1"/>
      <c r="V3206" s="1">
        <v>32.0</v>
      </c>
      <c r="W3206" s="1">
        <v>32.0</v>
      </c>
      <c r="X3206" s="1" t="s">
        <v>35</v>
      </c>
      <c r="Y3206" s="1">
        <v>32000.0</v>
      </c>
      <c r="Z3206" s="1"/>
      <c r="AA3206" s="1">
        <v>32000.0</v>
      </c>
      <c r="AB3206" s="1"/>
      <c r="AC3206" s="1" t="s">
        <v>36</v>
      </c>
      <c r="AD3206" s="1" t="s">
        <v>11311</v>
      </c>
      <c r="AE3206" s="1" t="s">
        <v>32</v>
      </c>
      <c r="AF3206" s="1" t="s">
        <v>33</v>
      </c>
      <c r="AG3206" s="1" t="s">
        <v>60</v>
      </c>
    </row>
    <row r="3207" spans="1:33">
      <c r="A3207" t="s">
        <v>11312</v>
      </c>
      <c r="B3207" t="s">
        <v>11313</v>
      </c>
      <c r="C3207" t="s">
        <v>569</v>
      </c>
      <c r="E3207" t="s">
        <v>10933</v>
      </c>
      <c r="F3207" t="s">
        <v>10938</v>
      </c>
      <c r="G3207">
        <v>20.99</v>
      </c>
      <c r="H3207">
        <v>20.99</v>
      </c>
      <c r="I3207" t="s">
        <v>570</v>
      </c>
      <c r="J3207" t="s">
        <v>571</v>
      </c>
      <c r="K3207" t="s">
        <v>31</v>
      </c>
      <c r="L3207" t="s">
        <v>32</v>
      </c>
      <c r="M3207" t="s">
        <v>33</v>
      </c>
      <c r="P3207" s="1" t="s">
        <v>11314</v>
      </c>
      <c r="Q3207" s="1" t="s">
        <v>10933</v>
      </c>
      <c r="R3207" s="1" t="s">
        <v>10933</v>
      </c>
      <c r="S3207" s="1"/>
      <c r="T3207" s="1" t="s">
        <v>569</v>
      </c>
      <c r="U3207" s="1"/>
      <c r="V3207" s="1">
        <v>20.99</v>
      </c>
      <c r="W3207" s="1">
        <v>20.99</v>
      </c>
      <c r="X3207" s="1" t="s">
        <v>35</v>
      </c>
      <c r="Y3207" s="1">
        <v>20990.0</v>
      </c>
      <c r="Z3207" s="1"/>
      <c r="AA3207" s="1">
        <v>20990.0</v>
      </c>
      <c r="AB3207" s="1"/>
      <c r="AC3207" s="1" t="s">
        <v>36</v>
      </c>
      <c r="AD3207" s="1" t="s">
        <v>11315</v>
      </c>
      <c r="AE3207" s="1" t="s">
        <v>32</v>
      </c>
      <c r="AF3207" s="1" t="s">
        <v>33</v>
      </c>
      <c r="AG3207" s="1" t="s">
        <v>571</v>
      </c>
    </row>
    <row r="3208" spans="1:33">
      <c r="A3208" t="s">
        <v>11316</v>
      </c>
      <c r="B3208" t="s">
        <v>11317</v>
      </c>
      <c r="C3208" t="s">
        <v>73</v>
      </c>
      <c r="E3208" t="s">
        <v>10933</v>
      </c>
      <c r="F3208" t="s">
        <v>10938</v>
      </c>
      <c r="G3208">
        <v>434.0</v>
      </c>
      <c r="H3208">
        <v>434.0</v>
      </c>
      <c r="I3208" t="s">
        <v>40</v>
      </c>
      <c r="J3208" t="s">
        <v>41</v>
      </c>
      <c r="K3208" t="s">
        <v>31</v>
      </c>
      <c r="L3208" t="s">
        <v>32</v>
      </c>
      <c r="M3208" t="s">
        <v>33</v>
      </c>
      <c r="P3208" s="1" t="s">
        <v>11318</v>
      </c>
      <c r="Q3208" s="1" t="s">
        <v>10933</v>
      </c>
      <c r="R3208" s="1" t="s">
        <v>10324</v>
      </c>
      <c r="S3208" s="1"/>
      <c r="T3208" s="1" t="s">
        <v>75</v>
      </c>
      <c r="U3208" s="1" t="s">
        <v>76</v>
      </c>
      <c r="V3208" s="1">
        <v>434.0</v>
      </c>
      <c r="W3208" s="1">
        <v>434.0</v>
      </c>
      <c r="X3208" s="1" t="s">
        <v>35</v>
      </c>
      <c r="Y3208" s="1">
        <v>436.0</v>
      </c>
      <c r="Z3208" s="1">
        <v>-2</v>
      </c>
      <c r="AA3208" s="1">
        <v>436.0</v>
      </c>
      <c r="AB3208" s="1">
        <v>-2</v>
      </c>
      <c r="AC3208" s="1" t="s">
        <v>36</v>
      </c>
      <c r="AD3208" s="1" t="s">
        <v>11319</v>
      </c>
      <c r="AE3208" s="1" t="s">
        <v>32</v>
      </c>
      <c r="AF3208" s="1" t="s">
        <v>33</v>
      </c>
      <c r="AG3208" s="1" t="s">
        <v>41</v>
      </c>
    </row>
    <row r="3209" spans="1:33">
      <c r="A3209" t="s">
        <v>11320</v>
      </c>
      <c r="B3209" t="s">
        <v>4956</v>
      </c>
      <c r="C3209" t="s">
        <v>172</v>
      </c>
      <c r="E3209" t="s">
        <v>10933</v>
      </c>
      <c r="F3209" t="s">
        <v>10938</v>
      </c>
      <c r="G3209">
        <v>16.99</v>
      </c>
      <c r="H3209">
        <v>16.99</v>
      </c>
      <c r="I3209" t="s">
        <v>173</v>
      </c>
      <c r="J3209" t="s">
        <v>174</v>
      </c>
      <c r="K3209" t="s">
        <v>31</v>
      </c>
      <c r="L3209" t="s">
        <v>32</v>
      </c>
      <c r="M3209" t="s">
        <v>33</v>
      </c>
      <c r="P3209" s="1" t="s">
        <v>11321</v>
      </c>
      <c r="Q3209" s="1" t="s">
        <v>10933</v>
      </c>
      <c r="R3209" s="1" t="s">
        <v>10933</v>
      </c>
      <c r="S3209" s="1"/>
      <c r="T3209" s="1" t="s">
        <v>172</v>
      </c>
      <c r="U3209" s="1"/>
      <c r="V3209" s="1">
        <v>16.99</v>
      </c>
      <c r="W3209" s="1">
        <v>16.99</v>
      </c>
      <c r="X3209" s="1" t="s">
        <v>35</v>
      </c>
      <c r="Y3209" s="1">
        <v>16990</v>
      </c>
      <c r="Z3209" s="1"/>
      <c r="AA3209" s="1">
        <v>16990</v>
      </c>
      <c r="AB3209" s="1"/>
      <c r="AC3209" s="1" t="s">
        <v>36</v>
      </c>
      <c r="AD3209" s="1" t="s">
        <v>11322</v>
      </c>
      <c r="AE3209" s="1" t="s">
        <v>32</v>
      </c>
      <c r="AF3209" s="1" t="s">
        <v>33</v>
      </c>
      <c r="AG3209" s="1" t="s">
        <v>174</v>
      </c>
    </row>
    <row r="3210" spans="1:33">
      <c r="A3210" t="s">
        <v>11323</v>
      </c>
      <c r="B3210" t="s">
        <v>11324</v>
      </c>
      <c r="C3210" t="s">
        <v>569</v>
      </c>
      <c r="E3210" t="s">
        <v>10933</v>
      </c>
      <c r="F3210" t="s">
        <v>10938</v>
      </c>
      <c r="G3210">
        <v>21.99</v>
      </c>
      <c r="H3210">
        <v>21.99</v>
      </c>
      <c r="I3210" t="s">
        <v>570</v>
      </c>
      <c r="J3210" t="s">
        <v>571</v>
      </c>
      <c r="K3210" t="s">
        <v>31</v>
      </c>
      <c r="L3210" t="s">
        <v>32</v>
      </c>
      <c r="M3210" t="s">
        <v>33</v>
      </c>
      <c r="P3210" s="1" t="s">
        <v>11325</v>
      </c>
      <c r="Q3210" s="1" t="s">
        <v>10933</v>
      </c>
      <c r="R3210" s="1" t="s">
        <v>10933</v>
      </c>
      <c r="S3210" s="1"/>
      <c r="T3210" s="1" t="s">
        <v>569</v>
      </c>
      <c r="U3210" s="1"/>
      <c r="V3210" s="1">
        <v>21.99</v>
      </c>
      <c r="W3210" s="1">
        <v>21.99</v>
      </c>
      <c r="X3210" s="1" t="s">
        <v>35</v>
      </c>
      <c r="Y3210" s="1">
        <v>21990.0</v>
      </c>
      <c r="Z3210" s="1"/>
      <c r="AA3210" s="1">
        <v>21990.0</v>
      </c>
      <c r="AB3210" s="1"/>
      <c r="AC3210" s="1" t="s">
        <v>36</v>
      </c>
      <c r="AD3210" s="1" t="s">
        <v>11326</v>
      </c>
      <c r="AE3210" s="1" t="s">
        <v>32</v>
      </c>
      <c r="AF3210" s="1" t="s">
        <v>33</v>
      </c>
      <c r="AG3210" s="1" t="s">
        <v>571</v>
      </c>
    </row>
    <row r="3211" spans="1:33">
      <c r="A3211" t="s">
        <v>11327</v>
      </c>
      <c r="B3211" t="s">
        <v>1170</v>
      </c>
      <c r="C3211" t="s">
        <v>1171</v>
      </c>
      <c r="E3211" t="s">
        <v>10933</v>
      </c>
      <c r="F3211" t="s">
        <v>10938</v>
      </c>
      <c r="G3211">
        <v>328.0</v>
      </c>
      <c r="H3211">
        <v>328.0</v>
      </c>
      <c r="I3211" t="s">
        <v>529</v>
      </c>
      <c r="J3211" t="s">
        <v>530</v>
      </c>
      <c r="K3211" t="s">
        <v>31</v>
      </c>
      <c r="L3211" t="s">
        <v>32</v>
      </c>
      <c r="M3211" t="s">
        <v>33</v>
      </c>
      <c r="P3211" s="1" t="s">
        <v>11328</v>
      </c>
      <c r="Q3211" s="1" t="s">
        <v>10933</v>
      </c>
      <c r="R3211" s="1" t="s">
        <v>10324</v>
      </c>
      <c r="S3211" s="1"/>
      <c r="T3211" s="1" t="s">
        <v>1171</v>
      </c>
      <c r="U3211" s="1"/>
      <c r="V3211" s="1">
        <v>328.0</v>
      </c>
      <c r="W3211" s="1">
        <v>328.0</v>
      </c>
      <c r="X3211" s="1" t="s">
        <v>35</v>
      </c>
      <c r="Y3211" s="1">
        <v>328000.0</v>
      </c>
      <c r="Z3211" s="1"/>
      <c r="AA3211" s="1">
        <v>328000.0</v>
      </c>
      <c r="AB3211" s="1"/>
      <c r="AC3211" s="1" t="s">
        <v>36</v>
      </c>
      <c r="AD3211" s="1" t="s">
        <v>11329</v>
      </c>
      <c r="AE3211" s="1" t="s">
        <v>32</v>
      </c>
      <c r="AF3211" s="1" t="s">
        <v>33</v>
      </c>
      <c r="AG3211" s="1" t="s">
        <v>530</v>
      </c>
    </row>
    <row r="3212" spans="1:33">
      <c r="A3212" t="s">
        <v>11330</v>
      </c>
      <c r="C3212" t="s">
        <v>2851</v>
      </c>
      <c r="E3212" t="s">
        <v>10933</v>
      </c>
      <c r="F3212" t="s">
        <v>10938</v>
      </c>
      <c r="G3212">
        <v>520.6</v>
      </c>
      <c r="H3212">
        <v>520.6</v>
      </c>
      <c r="I3212" t="s">
        <v>136</v>
      </c>
      <c r="J3212" t="s">
        <v>137</v>
      </c>
      <c r="K3212" t="s">
        <v>31</v>
      </c>
      <c r="L3212" t="s">
        <v>32</v>
      </c>
      <c r="M3212" t="s">
        <v>33</v>
      </c>
      <c r="P3212" s="1" t="s">
        <v>11331</v>
      </c>
      <c r="Q3212" s="1" t="s">
        <v>10933</v>
      </c>
      <c r="R3212" s="1" t="s">
        <v>10933</v>
      </c>
      <c r="S3212" s="1"/>
      <c r="T3212" s="1" t="s">
        <v>2853</v>
      </c>
      <c r="U3212" s="1" t="s">
        <v>2854</v>
      </c>
      <c r="V3212" s="1">
        <v>520.6</v>
      </c>
      <c r="W3212" s="1">
        <v>520.6</v>
      </c>
      <c r="X3212" s="1" t="s">
        <v>35</v>
      </c>
      <c r="Y3212" s="1">
        <v>520600.0</v>
      </c>
      <c r="Z3212" s="1"/>
      <c r="AA3212" s="1">
        <v>520600.0</v>
      </c>
      <c r="AB3212" s="1"/>
      <c r="AC3212" s="1" t="s">
        <v>36</v>
      </c>
      <c r="AD3212" s="1" t="s">
        <v>11332</v>
      </c>
      <c r="AE3212" s="1" t="s">
        <v>32</v>
      </c>
      <c r="AF3212" s="1" t="s">
        <v>33</v>
      </c>
      <c r="AG3212" s="1" t="s">
        <v>137</v>
      </c>
    </row>
    <row r="3213" spans="1:33">
      <c r="A3213" t="s">
        <v>11333</v>
      </c>
      <c r="C3213" t="s">
        <v>73</v>
      </c>
      <c r="E3213" t="s">
        <v>10933</v>
      </c>
      <c r="F3213" t="s">
        <v>10938</v>
      </c>
      <c r="G3213">
        <v>159.95</v>
      </c>
      <c r="H3213">
        <v>159.95</v>
      </c>
      <c r="I3213" t="s">
        <v>40</v>
      </c>
      <c r="J3213" t="s">
        <v>41</v>
      </c>
      <c r="K3213" t="s">
        <v>31</v>
      </c>
      <c r="L3213" t="s">
        <v>32</v>
      </c>
      <c r="M3213" t="s">
        <v>33</v>
      </c>
      <c r="P3213" s="1" t="s">
        <v>11334</v>
      </c>
      <c r="Q3213" s="1" t="s">
        <v>10933</v>
      </c>
      <c r="R3213" s="1" t="s">
        <v>10324</v>
      </c>
      <c r="S3213" s="1"/>
      <c r="T3213" s="1" t="s">
        <v>75</v>
      </c>
      <c r="U3213" s="1" t="s">
        <v>76</v>
      </c>
      <c r="V3213" s="1">
        <v>159.95</v>
      </c>
      <c r="W3213" s="1">
        <v>159.95</v>
      </c>
      <c r="X3213" s="1" t="s">
        <v>35</v>
      </c>
      <c r="Y3213" s="1">
        <v>159950.0</v>
      </c>
      <c r="Z3213" s="1"/>
      <c r="AA3213" s="1">
        <v>159950.0</v>
      </c>
      <c r="AB3213" s="1"/>
      <c r="AC3213" s="1" t="s">
        <v>36</v>
      </c>
      <c r="AD3213" s="1" t="s">
        <v>11335</v>
      </c>
      <c r="AE3213" s="1" t="s">
        <v>32</v>
      </c>
      <c r="AF3213" s="1" t="s">
        <v>33</v>
      </c>
      <c r="AG3213" s="1" t="s">
        <v>41</v>
      </c>
    </row>
    <row r="3214" spans="1:33">
      <c r="A3214" t="s">
        <v>11336</v>
      </c>
      <c r="B3214" t="s">
        <v>11337</v>
      </c>
      <c r="C3214" t="s">
        <v>47</v>
      </c>
      <c r="E3214" t="s">
        <v>10933</v>
      </c>
      <c r="F3214" t="s">
        <v>10938</v>
      </c>
      <c r="G3214">
        <v>135.0</v>
      </c>
      <c r="H3214">
        <v>135.0</v>
      </c>
      <c r="I3214" t="s">
        <v>2206</v>
      </c>
      <c r="J3214" t="s">
        <v>49</v>
      </c>
      <c r="K3214" t="s">
        <v>31</v>
      </c>
      <c r="L3214" t="s">
        <v>32</v>
      </c>
      <c r="M3214" t="s">
        <v>33</v>
      </c>
      <c r="P3214" s="1" t="s">
        <v>11338</v>
      </c>
      <c r="Q3214" s="1" t="s">
        <v>10933</v>
      </c>
      <c r="R3214" s="1" t="s">
        <v>10933</v>
      </c>
      <c r="S3214" s="1"/>
      <c r="T3214" s="1" t="s">
        <v>47</v>
      </c>
      <c r="U3214" s="1"/>
      <c r="V3214" s="1">
        <v>135.0</v>
      </c>
      <c r="W3214" s="1">
        <v>135.0</v>
      </c>
      <c r="X3214" s="1" t="s">
        <v>35</v>
      </c>
      <c r="Y3214" s="1">
        <v>135000.0</v>
      </c>
      <c r="Z3214" s="1"/>
      <c r="AA3214" s="1">
        <v>135000.0</v>
      </c>
      <c r="AB3214" s="1"/>
      <c r="AC3214" s="1" t="s">
        <v>36</v>
      </c>
      <c r="AD3214" s="1" t="s">
        <v>11326</v>
      </c>
      <c r="AE3214" s="1" t="s">
        <v>32</v>
      </c>
      <c r="AF3214" s="1" t="s">
        <v>33</v>
      </c>
      <c r="AG3214" s="1" t="s">
        <v>49</v>
      </c>
    </row>
    <row r="3215" spans="1:33">
      <c r="A3215" t="s">
        <v>11339</v>
      </c>
      <c r="B3215" t="s">
        <v>11340</v>
      </c>
      <c r="C3215" t="s">
        <v>268</v>
      </c>
      <c r="E3215" t="s">
        <v>10933</v>
      </c>
      <c r="F3215" t="s">
        <v>10938</v>
      </c>
      <c r="G3215">
        <v>16.9</v>
      </c>
      <c r="H3215">
        <v>16.9</v>
      </c>
      <c r="I3215" t="s">
        <v>269</v>
      </c>
      <c r="J3215" t="s">
        <v>270</v>
      </c>
      <c r="K3215" t="s">
        <v>31</v>
      </c>
      <c r="L3215" t="s">
        <v>32</v>
      </c>
      <c r="M3215" t="s">
        <v>33</v>
      </c>
      <c r="P3215" s="1" t="s">
        <v>11341</v>
      </c>
      <c r="Q3215" s="1" t="s">
        <v>10933</v>
      </c>
      <c r="R3215" s="1" t="s">
        <v>10933</v>
      </c>
      <c r="S3215" s="1"/>
      <c r="T3215" s="1" t="s">
        <v>268</v>
      </c>
      <c r="U3215" s="1"/>
      <c r="V3215" s="1">
        <v>16.9</v>
      </c>
      <c r="W3215" s="1">
        <v>16.9</v>
      </c>
      <c r="X3215" s="1" t="s">
        <v>35</v>
      </c>
      <c r="Y3215" s="1">
        <v>16900.0</v>
      </c>
      <c r="Z3215" s="1"/>
      <c r="AA3215" s="1">
        <v>16900.0</v>
      </c>
      <c r="AB3215" s="1"/>
      <c r="AC3215" s="1" t="s">
        <v>36</v>
      </c>
      <c r="AD3215" s="1" t="s">
        <v>11342</v>
      </c>
      <c r="AE3215" s="1" t="s">
        <v>32</v>
      </c>
      <c r="AF3215" s="1" t="s">
        <v>33</v>
      </c>
      <c r="AG3215" s="1" t="s">
        <v>270</v>
      </c>
    </row>
    <row r="3216" spans="1:33">
      <c r="A3216" t="s">
        <v>11343</v>
      </c>
      <c r="B3216" t="s">
        <v>11344</v>
      </c>
      <c r="C3216" t="s">
        <v>131</v>
      </c>
      <c r="E3216" t="s">
        <v>10933</v>
      </c>
      <c r="F3216" t="s">
        <v>10938</v>
      </c>
      <c r="G3216">
        <v>21.99</v>
      </c>
      <c r="H3216">
        <v>21.99</v>
      </c>
      <c r="I3216" t="s">
        <v>94</v>
      </c>
      <c r="J3216" t="s">
        <v>95</v>
      </c>
      <c r="K3216" t="s">
        <v>31</v>
      </c>
      <c r="L3216" t="s">
        <v>32</v>
      </c>
      <c r="M3216" t="s">
        <v>33</v>
      </c>
      <c r="P3216" s="1" t="s">
        <v>11345</v>
      </c>
      <c r="Q3216" s="1" t="s">
        <v>10933</v>
      </c>
      <c r="R3216" s="1" t="s">
        <v>10933</v>
      </c>
      <c r="S3216" s="1"/>
      <c r="T3216" s="1" t="s">
        <v>131</v>
      </c>
      <c r="U3216" s="1"/>
      <c r="V3216" s="1">
        <v>21.99</v>
      </c>
      <c r="W3216" s="1">
        <v>21.99</v>
      </c>
      <c r="X3216" s="1" t="s">
        <v>35</v>
      </c>
      <c r="Y3216" s="1">
        <v>21990.0</v>
      </c>
      <c r="Z3216" s="1"/>
      <c r="AA3216" s="1">
        <v>21990.0</v>
      </c>
      <c r="AB3216" s="1"/>
      <c r="AC3216" s="1" t="s">
        <v>36</v>
      </c>
      <c r="AD3216" s="1" t="s">
        <v>11346</v>
      </c>
      <c r="AE3216" s="1" t="s">
        <v>32</v>
      </c>
      <c r="AF3216" s="1" t="s">
        <v>33</v>
      </c>
      <c r="AG3216" s="1" t="s">
        <v>95</v>
      </c>
    </row>
    <row r="3217" spans="1:33">
      <c r="A3217" t="s">
        <v>11347</v>
      </c>
      <c r="B3217" t="s">
        <v>11348</v>
      </c>
      <c r="C3217" t="s">
        <v>47</v>
      </c>
      <c r="E3217" t="s">
        <v>10933</v>
      </c>
      <c r="F3217" t="s">
        <v>10938</v>
      </c>
      <c r="G3217">
        <v>225.0</v>
      </c>
      <c r="H3217">
        <v>225.0</v>
      </c>
      <c r="I3217" t="s">
        <v>2206</v>
      </c>
      <c r="J3217" t="s">
        <v>49</v>
      </c>
      <c r="K3217" t="s">
        <v>31</v>
      </c>
      <c r="L3217" t="s">
        <v>32</v>
      </c>
      <c r="M3217" t="s">
        <v>33</v>
      </c>
      <c r="P3217" s="1" t="s">
        <v>11349</v>
      </c>
      <c r="Q3217" s="1" t="s">
        <v>10933</v>
      </c>
      <c r="R3217" s="1" t="s">
        <v>10933</v>
      </c>
      <c r="S3217" s="1"/>
      <c r="T3217" s="1" t="s">
        <v>47</v>
      </c>
      <c r="U3217" s="1"/>
      <c r="V3217" s="1">
        <v>225.0</v>
      </c>
      <c r="W3217" s="1">
        <v>225.0</v>
      </c>
      <c r="X3217" s="1" t="s">
        <v>35</v>
      </c>
      <c r="Y3217" s="1">
        <v>225000.0</v>
      </c>
      <c r="Z3217" s="1"/>
      <c r="AA3217" s="1">
        <v>225000.0</v>
      </c>
      <c r="AB3217" s="1"/>
      <c r="AC3217" s="1" t="s">
        <v>36</v>
      </c>
      <c r="AD3217" s="1" t="s">
        <v>11350</v>
      </c>
      <c r="AE3217" s="1" t="s">
        <v>32</v>
      </c>
      <c r="AF3217" s="1" t="s">
        <v>33</v>
      </c>
      <c r="AG3217" s="1" t="s">
        <v>49</v>
      </c>
    </row>
    <row r="3218" spans="1:33">
      <c r="A3218" t="s">
        <v>11351</v>
      </c>
      <c r="C3218" t="s">
        <v>2887</v>
      </c>
      <c r="D3218" t="s">
        <v>154</v>
      </c>
      <c r="E3218" t="s">
        <v>10933</v>
      </c>
      <c r="F3218" t="s">
        <v>10938</v>
      </c>
      <c r="G3218">
        <v>755.0</v>
      </c>
      <c r="H3218">
        <v>755.0</v>
      </c>
      <c r="I3218" t="s">
        <v>94</v>
      </c>
      <c r="J3218" t="s">
        <v>95</v>
      </c>
      <c r="K3218" t="s">
        <v>31</v>
      </c>
      <c r="L3218" t="s">
        <v>32</v>
      </c>
      <c r="M3218" t="s">
        <v>33</v>
      </c>
      <c r="P3218" s="1" t="s">
        <v>11352</v>
      </c>
      <c r="Q3218" s="1" t="s">
        <v>10933</v>
      </c>
      <c r="R3218" s="1" t="s">
        <v>10933</v>
      </c>
      <c r="S3218" s="1"/>
      <c r="T3218" s="1" t="s">
        <v>2889</v>
      </c>
      <c r="U3218" s="1" t="s">
        <v>2890</v>
      </c>
      <c r="V3218" s="1">
        <v>755.0</v>
      </c>
      <c r="W3218" s="1">
        <v>755.0</v>
      </c>
      <c r="X3218" s="1" t="s">
        <v>35</v>
      </c>
      <c r="Y3218" s="1">
        <v>755000.0</v>
      </c>
      <c r="Z3218" s="1"/>
      <c r="AA3218" s="1">
        <v>755000.0</v>
      </c>
      <c r="AB3218" s="1"/>
      <c r="AC3218" s="1" t="s">
        <v>36</v>
      </c>
      <c r="AD3218" s="1" t="s">
        <v>11353</v>
      </c>
      <c r="AE3218" s="1" t="s">
        <v>32</v>
      </c>
      <c r="AF3218" s="1" t="s">
        <v>33</v>
      </c>
      <c r="AG3218" s="1" t="s">
        <v>95</v>
      </c>
    </row>
    <row r="3219" spans="1:33">
      <c r="A3219" t="s">
        <v>11354</v>
      </c>
      <c r="B3219" t="s">
        <v>11355</v>
      </c>
      <c r="C3219" t="s">
        <v>172</v>
      </c>
      <c r="E3219" t="s">
        <v>10933</v>
      </c>
      <c r="F3219" t="s">
        <v>10938</v>
      </c>
      <c r="G3219">
        <v>20.99</v>
      </c>
      <c r="H3219">
        <v>20.99</v>
      </c>
      <c r="I3219" t="s">
        <v>173</v>
      </c>
      <c r="J3219" t="s">
        <v>174</v>
      </c>
      <c r="K3219" t="s">
        <v>31</v>
      </c>
      <c r="L3219" t="s">
        <v>32</v>
      </c>
      <c r="M3219" t="s">
        <v>33</v>
      </c>
      <c r="P3219" s="1" t="s">
        <v>11356</v>
      </c>
      <c r="Q3219" s="1" t="s">
        <v>10933</v>
      </c>
      <c r="R3219" s="1" t="s">
        <v>10933</v>
      </c>
      <c r="S3219" s="1"/>
      <c r="T3219" s="1" t="s">
        <v>172</v>
      </c>
      <c r="U3219" s="1"/>
      <c r="V3219" s="1">
        <v>20.99</v>
      </c>
      <c r="W3219" s="1">
        <v>20.99</v>
      </c>
      <c r="X3219" s="1" t="s">
        <v>35</v>
      </c>
      <c r="Y3219" s="1">
        <v>20990.0</v>
      </c>
      <c r="Z3219" s="1"/>
      <c r="AA3219" s="1">
        <v>20990.0</v>
      </c>
      <c r="AB3219" s="1"/>
      <c r="AC3219" s="1" t="s">
        <v>36</v>
      </c>
      <c r="AD3219" s="1" t="s">
        <v>11357</v>
      </c>
      <c r="AE3219" s="1" t="s">
        <v>32</v>
      </c>
      <c r="AF3219" s="1" t="s">
        <v>33</v>
      </c>
      <c r="AG3219" s="1" t="s">
        <v>174</v>
      </c>
    </row>
    <row r="3220" spans="1:33">
      <c r="A3220" t="s">
        <v>11358</v>
      </c>
      <c r="B3220" t="s">
        <v>11359</v>
      </c>
      <c r="C3220" t="s">
        <v>73</v>
      </c>
      <c r="E3220" t="s">
        <v>10933</v>
      </c>
      <c r="F3220" t="s">
        <v>10938</v>
      </c>
      <c r="G3220">
        <v>49.0</v>
      </c>
      <c r="H3220">
        <v>49.0</v>
      </c>
      <c r="I3220" t="s">
        <v>40</v>
      </c>
      <c r="J3220" t="s">
        <v>41</v>
      </c>
      <c r="K3220" t="s">
        <v>31</v>
      </c>
      <c r="L3220" t="s">
        <v>32</v>
      </c>
      <c r="M3220" t="s">
        <v>33</v>
      </c>
      <c r="P3220" s="1" t="s">
        <v>11360</v>
      </c>
      <c r="Q3220" s="1" t="s">
        <v>10933</v>
      </c>
      <c r="R3220" s="1" t="s">
        <v>10324</v>
      </c>
      <c r="S3220" s="1"/>
      <c r="T3220" s="1" t="s">
        <v>75</v>
      </c>
      <c r="U3220" s="1" t="s">
        <v>76</v>
      </c>
      <c r="V3220" s="1">
        <v>49.0</v>
      </c>
      <c r="W3220" s="1">
        <v>49.0</v>
      </c>
      <c r="X3220" s="1" t="s">
        <v>35</v>
      </c>
      <c r="Y3220" s="1">
        <v>49000.0</v>
      </c>
      <c r="Z3220" s="1"/>
      <c r="AA3220" s="1">
        <v>49000.0</v>
      </c>
      <c r="AB3220" s="1"/>
      <c r="AC3220" s="1" t="s">
        <v>36</v>
      </c>
      <c r="AD3220" s="1" t="s">
        <v>11361</v>
      </c>
      <c r="AE3220" s="1" t="s">
        <v>32</v>
      </c>
      <c r="AF3220" s="1" t="s">
        <v>33</v>
      </c>
      <c r="AG3220" s="1" t="s">
        <v>41</v>
      </c>
    </row>
    <row r="3221" spans="1:33">
      <c r="A3221" t="s">
        <v>11362</v>
      </c>
      <c r="C3221" t="s">
        <v>11363</v>
      </c>
      <c r="D3221" t="s">
        <v>154</v>
      </c>
      <c r="E3221" t="s">
        <v>10933</v>
      </c>
      <c r="F3221" t="s">
        <v>10938</v>
      </c>
      <c r="G3221">
        <v>642.0</v>
      </c>
      <c r="H3221">
        <v>642.0</v>
      </c>
      <c r="I3221" t="s">
        <v>269</v>
      </c>
      <c r="J3221" t="s">
        <v>270</v>
      </c>
      <c r="K3221" t="s">
        <v>31</v>
      </c>
      <c r="L3221" t="s">
        <v>32</v>
      </c>
      <c r="M3221" t="s">
        <v>33</v>
      </c>
      <c r="P3221" s="1" t="s">
        <v>11364</v>
      </c>
      <c r="Q3221" s="1" t="s">
        <v>10933</v>
      </c>
      <c r="R3221" s="1" t="s">
        <v>10933</v>
      </c>
      <c r="S3221" s="1"/>
      <c r="T3221" s="1" t="s">
        <v>11363</v>
      </c>
      <c r="U3221" s="1"/>
      <c r="V3221" s="1">
        <v>642.0</v>
      </c>
      <c r="W3221" s="1">
        <v>642.0</v>
      </c>
      <c r="X3221" s="1" t="s">
        <v>35</v>
      </c>
      <c r="Y3221" s="1">
        <v>642000.0</v>
      </c>
      <c r="Z3221" s="1"/>
      <c r="AA3221" s="1">
        <v>642000.0</v>
      </c>
      <c r="AB3221" s="1"/>
      <c r="AC3221" s="1" t="s">
        <v>36</v>
      </c>
      <c r="AD3221" s="1" t="s">
        <v>11365</v>
      </c>
      <c r="AE3221" s="1" t="s">
        <v>32</v>
      </c>
      <c r="AF3221" s="1" t="s">
        <v>33</v>
      </c>
      <c r="AG3221" s="1" t="s">
        <v>270</v>
      </c>
    </row>
    <row r="3222" spans="1:33">
      <c r="A3222" t="s">
        <v>11366</v>
      </c>
      <c r="C3222" t="s">
        <v>3712</v>
      </c>
      <c r="E3222" t="s">
        <v>10933</v>
      </c>
      <c r="F3222" t="s">
        <v>10938</v>
      </c>
      <c r="G3222">
        <v>320.0</v>
      </c>
      <c r="H3222">
        <v>320.0</v>
      </c>
      <c r="I3222" t="s">
        <v>40</v>
      </c>
      <c r="J3222" t="s">
        <v>41</v>
      </c>
      <c r="K3222" t="s">
        <v>31</v>
      </c>
      <c r="L3222" t="s">
        <v>32</v>
      </c>
      <c r="M3222" t="s">
        <v>33</v>
      </c>
      <c r="P3222" s="1" t="s">
        <v>11367</v>
      </c>
      <c r="Q3222" s="1" t="s">
        <v>10933</v>
      </c>
      <c r="R3222" s="1" t="s">
        <v>10324</v>
      </c>
      <c r="S3222" s="1"/>
      <c r="T3222" s="1" t="s">
        <v>3712</v>
      </c>
      <c r="U3222" s="1"/>
      <c r="V3222" s="1">
        <v>320.0</v>
      </c>
      <c r="W3222" s="1">
        <v>320.0</v>
      </c>
      <c r="X3222" s="1" t="s">
        <v>35</v>
      </c>
      <c r="Y3222" s="1">
        <v>320000.0</v>
      </c>
      <c r="Z3222" s="1"/>
      <c r="AA3222" s="1">
        <v>320000.0</v>
      </c>
      <c r="AB3222" s="1"/>
      <c r="AC3222" s="1" t="s">
        <v>36</v>
      </c>
      <c r="AD3222" s="1" t="s">
        <v>11368</v>
      </c>
      <c r="AE3222" s="1" t="s">
        <v>32</v>
      </c>
      <c r="AF3222" s="1" t="s">
        <v>33</v>
      </c>
      <c r="AG3222" s="1" t="s">
        <v>41</v>
      </c>
    </row>
    <row r="3223" spans="1:33">
      <c r="A3223" t="s">
        <v>11369</v>
      </c>
      <c r="B3223" t="s">
        <v>11370</v>
      </c>
      <c r="C3223" t="s">
        <v>314</v>
      </c>
      <c r="E3223" t="s">
        <v>10933</v>
      </c>
      <c r="F3223" t="s">
        <v>10938</v>
      </c>
      <c r="G3223">
        <v>18.59</v>
      </c>
      <c r="H3223">
        <v>18.59</v>
      </c>
      <c r="I3223" t="s">
        <v>179</v>
      </c>
      <c r="J3223" t="s">
        <v>180</v>
      </c>
      <c r="K3223" t="s">
        <v>31</v>
      </c>
      <c r="L3223" t="s">
        <v>32</v>
      </c>
      <c r="M3223" t="s">
        <v>33</v>
      </c>
      <c r="P3223" s="1" t="s">
        <v>11371</v>
      </c>
      <c r="Q3223" s="1" t="s">
        <v>10933</v>
      </c>
      <c r="R3223" s="1" t="s">
        <v>10933</v>
      </c>
      <c r="S3223" s="1"/>
      <c r="T3223" s="1" t="s">
        <v>314</v>
      </c>
      <c r="U3223" s="1"/>
      <c r="V3223" s="1">
        <v>18.59</v>
      </c>
      <c r="W3223" s="1">
        <v>18.59</v>
      </c>
      <c r="X3223" s="1" t="s">
        <v>35</v>
      </c>
      <c r="Y3223" s="1">
        <v>18590.0</v>
      </c>
      <c r="Z3223" s="1"/>
      <c r="AA3223" s="1">
        <v>18590.0</v>
      </c>
      <c r="AB3223" s="1"/>
      <c r="AC3223" s="1" t="s">
        <v>36</v>
      </c>
      <c r="AD3223" s="1" t="s">
        <v>11372</v>
      </c>
      <c r="AE3223" s="1" t="s">
        <v>32</v>
      </c>
      <c r="AF3223" s="1" t="s">
        <v>33</v>
      </c>
      <c r="AG3223" s="1" t="s">
        <v>180</v>
      </c>
    </row>
    <row r="3224" spans="1:33">
      <c r="A3224" t="s">
        <v>11373</v>
      </c>
      <c r="B3224" t="s">
        <v>1969</v>
      </c>
      <c r="C3224" t="s">
        <v>268</v>
      </c>
      <c r="E3224" t="s">
        <v>10933</v>
      </c>
      <c r="F3224" t="s">
        <v>10938</v>
      </c>
      <c r="G3224">
        <v>248.75</v>
      </c>
      <c r="H3224">
        <v>248.75</v>
      </c>
      <c r="I3224" t="s">
        <v>269</v>
      </c>
      <c r="J3224" t="s">
        <v>270</v>
      </c>
      <c r="K3224" t="s">
        <v>31</v>
      </c>
      <c r="L3224" t="s">
        <v>32</v>
      </c>
      <c r="M3224" t="s">
        <v>33</v>
      </c>
      <c r="P3224" s="1" t="s">
        <v>11374</v>
      </c>
      <c r="Q3224" s="1" t="s">
        <v>10933</v>
      </c>
      <c r="R3224" s="1" t="s">
        <v>10933</v>
      </c>
      <c r="S3224" s="1"/>
      <c r="T3224" s="1" t="s">
        <v>268</v>
      </c>
      <c r="U3224" s="1"/>
      <c r="V3224" s="1">
        <v>248.75</v>
      </c>
      <c r="W3224" s="1">
        <v>248.75</v>
      </c>
      <c r="X3224" s="1" t="s">
        <v>35</v>
      </c>
      <c r="Y3224" s="1">
        <v>248750.0</v>
      </c>
      <c r="Z3224" s="1"/>
      <c r="AA3224" s="1">
        <v>248750.0</v>
      </c>
      <c r="AB3224" s="1"/>
      <c r="AC3224" s="1" t="s">
        <v>36</v>
      </c>
      <c r="AD3224" s="1" t="s">
        <v>11375</v>
      </c>
      <c r="AE3224" s="1" t="s">
        <v>32</v>
      </c>
      <c r="AF3224" s="1" t="s">
        <v>33</v>
      </c>
      <c r="AG3224" s="1" t="s">
        <v>270</v>
      </c>
    </row>
    <row r="3225" spans="1:33">
      <c r="A3225" t="s">
        <v>11376</v>
      </c>
      <c r="C3225" t="s">
        <v>2704</v>
      </c>
      <c r="E3225" t="s">
        <v>10933</v>
      </c>
      <c r="F3225" t="s">
        <v>10938</v>
      </c>
      <c r="G3225">
        <v>720.0</v>
      </c>
      <c r="H3225">
        <v>720.0</v>
      </c>
      <c r="I3225" t="s">
        <v>94</v>
      </c>
      <c r="J3225" t="s">
        <v>95</v>
      </c>
      <c r="K3225" t="s">
        <v>31</v>
      </c>
      <c r="L3225" t="s">
        <v>32</v>
      </c>
      <c r="M3225" t="s">
        <v>33</v>
      </c>
      <c r="P3225" s="1" t="s">
        <v>11377</v>
      </c>
      <c r="Q3225" s="1" t="s">
        <v>10933</v>
      </c>
      <c r="R3225" s="1" t="s">
        <v>10933</v>
      </c>
      <c r="S3225" s="1"/>
      <c r="T3225" s="1" t="s">
        <v>2704</v>
      </c>
      <c r="U3225" s="1"/>
      <c r="V3225" s="1">
        <v>720.0</v>
      </c>
      <c r="W3225" s="1">
        <v>720.0</v>
      </c>
      <c r="X3225" s="1" t="s">
        <v>35</v>
      </c>
      <c r="Y3225" s="1">
        <v>720000.0</v>
      </c>
      <c r="Z3225" s="1"/>
      <c r="AA3225" s="1">
        <v>720000.0</v>
      </c>
      <c r="AB3225" s="1"/>
      <c r="AC3225" s="1" t="s">
        <v>36</v>
      </c>
      <c r="AD3225" s="1" t="s">
        <v>11378</v>
      </c>
      <c r="AE3225" s="1" t="s">
        <v>32</v>
      </c>
      <c r="AF3225" s="1" t="s">
        <v>33</v>
      </c>
      <c r="AG3225" s="1" t="s">
        <v>95</v>
      </c>
    </row>
    <row r="3226" spans="1:33">
      <c r="A3226" t="s">
        <v>11379</v>
      </c>
      <c r="B3226" t="s">
        <v>1834</v>
      </c>
      <c r="C3226" t="s">
        <v>314</v>
      </c>
      <c r="E3226" t="s">
        <v>10933</v>
      </c>
      <c r="F3226" t="s">
        <v>10938</v>
      </c>
      <c r="G3226">
        <v>59.23</v>
      </c>
      <c r="H3226">
        <v>59.23</v>
      </c>
      <c r="I3226" t="s">
        <v>179</v>
      </c>
      <c r="J3226" t="s">
        <v>180</v>
      </c>
      <c r="K3226" t="s">
        <v>31</v>
      </c>
      <c r="L3226" t="s">
        <v>32</v>
      </c>
      <c r="M3226" t="s">
        <v>33</v>
      </c>
      <c r="P3226" s="1" t="s">
        <v>11380</v>
      </c>
      <c r="Q3226" s="1" t="s">
        <v>10933</v>
      </c>
      <c r="R3226" s="1" t="s">
        <v>10933</v>
      </c>
      <c r="S3226" s="1"/>
      <c r="T3226" s="1" t="s">
        <v>314</v>
      </c>
      <c r="U3226" s="1"/>
      <c r="V3226" s="1">
        <v>59.23</v>
      </c>
      <c r="W3226" s="1">
        <v>59.23</v>
      </c>
      <c r="X3226" s="1" t="s">
        <v>35</v>
      </c>
      <c r="Y3226" s="1">
        <v>59230.0</v>
      </c>
      <c r="Z3226" s="1"/>
      <c r="AA3226" s="1">
        <v>59230.0</v>
      </c>
      <c r="AB3226" s="1"/>
      <c r="AC3226" s="1" t="s">
        <v>36</v>
      </c>
      <c r="AD3226" s="1" t="s">
        <v>11381</v>
      </c>
      <c r="AE3226" s="1" t="s">
        <v>32</v>
      </c>
      <c r="AF3226" s="1" t="s">
        <v>33</v>
      </c>
      <c r="AG3226" s="1" t="s">
        <v>180</v>
      </c>
    </row>
    <row r="3227" spans="1:33">
      <c r="A3227" t="s">
        <v>11382</v>
      </c>
      <c r="C3227" t="s">
        <v>2857</v>
      </c>
      <c r="E3227" t="s">
        <v>10933</v>
      </c>
      <c r="F3227" t="s">
        <v>10938</v>
      </c>
      <c r="G3227">
        <v>483.0</v>
      </c>
      <c r="H3227">
        <v>483.0</v>
      </c>
      <c r="I3227" t="s">
        <v>2206</v>
      </c>
      <c r="J3227" t="s">
        <v>49</v>
      </c>
      <c r="K3227" t="s">
        <v>31</v>
      </c>
      <c r="L3227" t="s">
        <v>32</v>
      </c>
      <c r="M3227" t="s">
        <v>33</v>
      </c>
      <c r="P3227" s="1" t="s">
        <v>11383</v>
      </c>
      <c r="Q3227" s="1" t="s">
        <v>10933</v>
      </c>
      <c r="R3227" s="1" t="s">
        <v>10933</v>
      </c>
      <c r="S3227" s="1"/>
      <c r="T3227" s="1" t="s">
        <v>2859</v>
      </c>
      <c r="U3227" s="1" t="s">
        <v>2255</v>
      </c>
      <c r="V3227" s="1">
        <v>483.0</v>
      </c>
      <c r="W3227" s="1">
        <v>483.0</v>
      </c>
      <c r="X3227" s="1" t="s">
        <v>35</v>
      </c>
      <c r="Y3227" s="1">
        <v>483000.0</v>
      </c>
      <c r="Z3227" s="1"/>
      <c r="AA3227" s="1">
        <v>483000.0</v>
      </c>
      <c r="AB3227" s="1"/>
      <c r="AC3227" s="1" t="s">
        <v>36</v>
      </c>
      <c r="AD3227" s="1" t="s">
        <v>11384</v>
      </c>
      <c r="AE3227" s="1" t="s">
        <v>32</v>
      </c>
      <c r="AF3227" s="1" t="s">
        <v>33</v>
      </c>
      <c r="AG3227" s="1" t="s">
        <v>49</v>
      </c>
    </row>
    <row r="3228" spans="1:33">
      <c r="A3228" t="s">
        <v>11385</v>
      </c>
      <c r="C3228" t="s">
        <v>1940</v>
      </c>
      <c r="E3228" t="s">
        <v>10933</v>
      </c>
      <c r="F3228" t="s">
        <v>10938</v>
      </c>
      <c r="G3228">
        <v>607.0</v>
      </c>
      <c r="H3228">
        <v>607.0</v>
      </c>
      <c r="I3228" t="s">
        <v>269</v>
      </c>
      <c r="J3228" t="s">
        <v>270</v>
      </c>
      <c r="K3228" t="s">
        <v>31</v>
      </c>
      <c r="L3228" t="s">
        <v>32</v>
      </c>
      <c r="M3228" t="s">
        <v>33</v>
      </c>
      <c r="P3228" s="1" t="s">
        <v>11386</v>
      </c>
      <c r="Q3228" s="1" t="s">
        <v>10933</v>
      </c>
      <c r="R3228" s="1" t="s">
        <v>10933</v>
      </c>
      <c r="S3228" s="1"/>
      <c r="T3228" s="1" t="s">
        <v>1940</v>
      </c>
      <c r="U3228" s="1"/>
      <c r="V3228" s="1">
        <v>607.0</v>
      </c>
      <c r="W3228" s="1">
        <v>607.0</v>
      </c>
      <c r="X3228" s="1" t="s">
        <v>35</v>
      </c>
      <c r="Y3228" s="1">
        <v>607000.0</v>
      </c>
      <c r="Z3228" s="1"/>
      <c r="AA3228" s="1">
        <v>607000.0</v>
      </c>
      <c r="AB3228" s="1"/>
      <c r="AC3228" s="1" t="s">
        <v>36</v>
      </c>
      <c r="AD3228" s="1" t="s">
        <v>11387</v>
      </c>
      <c r="AE3228" s="1" t="s">
        <v>32</v>
      </c>
      <c r="AF3228" s="1" t="s">
        <v>33</v>
      </c>
      <c r="AG3228" s="1" t="s">
        <v>270</v>
      </c>
    </row>
    <row r="3229" spans="1:33">
      <c r="A3229" t="s">
        <v>11388</v>
      </c>
      <c r="C3229" t="s">
        <v>3751</v>
      </c>
      <c r="E3229" t="s">
        <v>10933</v>
      </c>
      <c r="F3229" t="s">
        <v>10938</v>
      </c>
      <c r="G3229">
        <v>328.0</v>
      </c>
      <c r="H3229">
        <v>328.0</v>
      </c>
      <c r="I3229" t="s">
        <v>269</v>
      </c>
      <c r="J3229" t="s">
        <v>270</v>
      </c>
      <c r="K3229" t="s">
        <v>31</v>
      </c>
      <c r="L3229" t="s">
        <v>32</v>
      </c>
      <c r="M3229" t="s">
        <v>33</v>
      </c>
      <c r="P3229" s="1" t="s">
        <v>11389</v>
      </c>
      <c r="Q3229" s="1" t="s">
        <v>10933</v>
      </c>
      <c r="R3229" s="1" t="s">
        <v>10933</v>
      </c>
      <c r="S3229" s="1"/>
      <c r="T3229" s="1" t="s">
        <v>3751</v>
      </c>
      <c r="U3229" s="1"/>
      <c r="V3229" s="1">
        <v>328.0</v>
      </c>
      <c r="W3229" s="1">
        <v>328.0</v>
      </c>
      <c r="X3229" s="1" t="s">
        <v>35</v>
      </c>
      <c r="Y3229" s="1">
        <v>328000.0</v>
      </c>
      <c r="Z3229" s="1"/>
      <c r="AA3229" s="1">
        <v>328000.0</v>
      </c>
      <c r="AB3229" s="1"/>
      <c r="AC3229" s="1" t="s">
        <v>36</v>
      </c>
      <c r="AD3229" s="1" t="s">
        <v>11390</v>
      </c>
      <c r="AE3229" s="1" t="s">
        <v>32</v>
      </c>
      <c r="AF3229" s="1" t="s">
        <v>33</v>
      </c>
      <c r="AG3229" s="1" t="s">
        <v>270</v>
      </c>
    </row>
    <row r="3230" spans="1:33">
      <c r="A3230" t="s">
        <v>11391</v>
      </c>
      <c r="C3230" t="s">
        <v>827</v>
      </c>
      <c r="D3230" t="s">
        <v>154</v>
      </c>
      <c r="E3230" t="s">
        <v>10933</v>
      </c>
      <c r="F3230" t="s">
        <v>10938</v>
      </c>
      <c r="G3230">
        <v>898.4</v>
      </c>
      <c r="H3230">
        <v>898.4</v>
      </c>
      <c r="I3230" t="s">
        <v>269</v>
      </c>
      <c r="J3230" t="s">
        <v>270</v>
      </c>
      <c r="K3230" t="s">
        <v>31</v>
      </c>
      <c r="L3230" t="s">
        <v>32</v>
      </c>
      <c r="M3230" t="s">
        <v>33</v>
      </c>
      <c r="P3230" s="1" t="s">
        <v>11392</v>
      </c>
      <c r="Q3230" s="1" t="s">
        <v>10933</v>
      </c>
      <c r="R3230" s="1" t="s">
        <v>10933</v>
      </c>
      <c r="S3230" s="1"/>
      <c r="T3230" s="1" t="s">
        <v>827</v>
      </c>
      <c r="U3230" s="1"/>
      <c r="V3230" s="1">
        <v>898.4</v>
      </c>
      <c r="W3230" s="1">
        <v>898.4</v>
      </c>
      <c r="X3230" s="1" t="s">
        <v>35</v>
      </c>
      <c r="Y3230" s="1">
        <v>898400.0</v>
      </c>
      <c r="Z3230" s="1"/>
      <c r="AA3230" s="1">
        <v>898400.0</v>
      </c>
      <c r="AB3230" s="1"/>
      <c r="AC3230" s="1" t="s">
        <v>36</v>
      </c>
      <c r="AD3230" s="1" t="s">
        <v>11393</v>
      </c>
      <c r="AE3230" s="1" t="s">
        <v>32</v>
      </c>
      <c r="AF3230" s="1" t="s">
        <v>33</v>
      </c>
      <c r="AG3230" s="1" t="s">
        <v>270</v>
      </c>
    </row>
    <row r="3231" spans="1:33">
      <c r="A3231" t="s">
        <v>11394</v>
      </c>
      <c r="C3231" t="s">
        <v>3979</v>
      </c>
      <c r="E3231" t="s">
        <v>10933</v>
      </c>
      <c r="F3231" t="s">
        <v>10938</v>
      </c>
      <c r="G3231">
        <v>542.0</v>
      </c>
      <c r="H3231">
        <v>542.0</v>
      </c>
      <c r="I3231" t="s">
        <v>173</v>
      </c>
      <c r="J3231" t="s">
        <v>174</v>
      </c>
      <c r="K3231" t="s">
        <v>31</v>
      </c>
      <c r="L3231" t="s">
        <v>32</v>
      </c>
      <c r="M3231" t="s">
        <v>33</v>
      </c>
      <c r="P3231" s="1" t="s">
        <v>11395</v>
      </c>
      <c r="Q3231" s="1" t="s">
        <v>10933</v>
      </c>
      <c r="R3231" s="1" t="s">
        <v>10933</v>
      </c>
      <c r="S3231" s="1"/>
      <c r="T3231" s="1" t="s">
        <v>3979</v>
      </c>
      <c r="U3231" s="1"/>
      <c r="V3231" s="1">
        <v>542.0</v>
      </c>
      <c r="W3231" s="1">
        <v>542.0</v>
      </c>
      <c r="X3231" s="1" t="s">
        <v>35</v>
      </c>
      <c r="Y3231" s="1">
        <v>542000.0</v>
      </c>
      <c r="Z3231" s="1"/>
      <c r="AA3231" s="1">
        <v>542000.0</v>
      </c>
      <c r="AB3231" s="1"/>
      <c r="AC3231" s="1" t="s">
        <v>36</v>
      </c>
      <c r="AD3231" s="1" t="s">
        <v>11396</v>
      </c>
      <c r="AE3231" s="1" t="s">
        <v>32</v>
      </c>
      <c r="AF3231" s="1" t="s">
        <v>33</v>
      </c>
      <c r="AG3231" s="1" t="s">
        <v>174</v>
      </c>
    </row>
    <row r="3232" spans="1:33">
      <c r="A3232" t="s">
        <v>11397</v>
      </c>
      <c r="B3232" t="s">
        <v>4866</v>
      </c>
      <c r="C3232" t="s">
        <v>125</v>
      </c>
      <c r="E3232" t="s">
        <v>10933</v>
      </c>
      <c r="F3232" t="s">
        <v>10938</v>
      </c>
      <c r="G3232">
        <v>9.525</v>
      </c>
      <c r="H3232">
        <v>9.525</v>
      </c>
      <c r="I3232" t="s">
        <v>126</v>
      </c>
      <c r="J3232" t="s">
        <v>127</v>
      </c>
      <c r="K3232" t="s">
        <v>31</v>
      </c>
      <c r="L3232" t="s">
        <v>32</v>
      </c>
      <c r="M3232" t="s">
        <v>33</v>
      </c>
      <c r="P3232" s="1" t="s">
        <v>11398</v>
      </c>
      <c r="Q3232" s="1" t="s">
        <v>10933</v>
      </c>
      <c r="R3232" s="1" t="s">
        <v>10933</v>
      </c>
      <c r="S3232" s="1"/>
      <c r="T3232" s="1" t="s">
        <v>125</v>
      </c>
      <c r="U3232" s="1"/>
      <c r="V3232" s="1">
        <v>9.525</v>
      </c>
      <c r="W3232" s="1">
        <v>9.525</v>
      </c>
      <c r="X3232" s="1" t="s">
        <v>35</v>
      </c>
      <c r="Y3232" s="1">
        <v>9525.0</v>
      </c>
      <c r="Z3232" s="1"/>
      <c r="AA3232" s="1">
        <v>9525.0</v>
      </c>
      <c r="AB3232" s="1"/>
      <c r="AC3232" s="1" t="s">
        <v>36</v>
      </c>
      <c r="AD3232" s="1" t="s">
        <v>11393</v>
      </c>
      <c r="AE3232" s="1" t="s">
        <v>32</v>
      </c>
      <c r="AF3232" s="1" t="s">
        <v>33</v>
      </c>
      <c r="AG3232" s="1" t="s">
        <v>127</v>
      </c>
    </row>
    <row r="3233" spans="1:33">
      <c r="A3233" t="s">
        <v>11399</v>
      </c>
      <c r="B3233" t="s">
        <v>735</v>
      </c>
      <c r="C3233" t="s">
        <v>736</v>
      </c>
      <c r="E3233" t="s">
        <v>10933</v>
      </c>
      <c r="F3233" t="s">
        <v>10938</v>
      </c>
      <c r="G3233">
        <v>370.0</v>
      </c>
      <c r="H3233">
        <v>370.0</v>
      </c>
      <c r="I3233" t="s">
        <v>59</v>
      </c>
      <c r="J3233" t="s">
        <v>60</v>
      </c>
      <c r="K3233" t="s">
        <v>31</v>
      </c>
      <c r="L3233" t="s">
        <v>32</v>
      </c>
      <c r="M3233" t="s">
        <v>33</v>
      </c>
      <c r="P3233" s="1" t="s">
        <v>11400</v>
      </c>
      <c r="Q3233" s="1" t="s">
        <v>10933</v>
      </c>
      <c r="R3233" s="1" t="s">
        <v>10933</v>
      </c>
      <c r="S3233" s="1"/>
      <c r="T3233" s="1" t="s">
        <v>736</v>
      </c>
      <c r="U3233" s="1"/>
      <c r="V3233" s="1">
        <v>370.0</v>
      </c>
      <c r="W3233" s="1">
        <v>370.0</v>
      </c>
      <c r="X3233" s="1" t="s">
        <v>35</v>
      </c>
      <c r="Y3233" s="1">
        <v>370000.0</v>
      </c>
      <c r="Z3233" s="1"/>
      <c r="AA3233" s="1">
        <v>370000.0</v>
      </c>
      <c r="AB3233" s="1"/>
      <c r="AC3233" s="1" t="s">
        <v>36</v>
      </c>
      <c r="AD3233" s="1" t="s">
        <v>11401</v>
      </c>
      <c r="AE3233" s="1" t="s">
        <v>32</v>
      </c>
      <c r="AF3233" s="1" t="s">
        <v>33</v>
      </c>
      <c r="AG3233" s="1" t="s">
        <v>60</v>
      </c>
    </row>
    <row r="3234" spans="1:33">
      <c r="A3234" t="s">
        <v>11402</v>
      </c>
      <c r="B3234" t="s">
        <v>11403</v>
      </c>
      <c r="C3234" t="s">
        <v>314</v>
      </c>
      <c r="E3234" t="s">
        <v>10933</v>
      </c>
      <c r="F3234" t="s">
        <v>10938</v>
      </c>
      <c r="G3234">
        <v>87.11</v>
      </c>
      <c r="H3234">
        <v>87.11</v>
      </c>
      <c r="I3234" t="s">
        <v>179</v>
      </c>
      <c r="J3234" t="s">
        <v>180</v>
      </c>
      <c r="K3234" t="s">
        <v>31</v>
      </c>
      <c r="L3234" t="s">
        <v>32</v>
      </c>
      <c r="M3234" t="s">
        <v>33</v>
      </c>
      <c r="P3234" s="1" t="s">
        <v>11404</v>
      </c>
      <c r="Q3234" s="1" t="s">
        <v>10933</v>
      </c>
      <c r="R3234" s="1" t="s">
        <v>10933</v>
      </c>
      <c r="S3234" s="1"/>
      <c r="T3234" s="1" t="s">
        <v>314</v>
      </c>
      <c r="U3234" s="1"/>
      <c r="V3234" s="1">
        <v>87.11</v>
      </c>
      <c r="W3234" s="1">
        <v>87.11</v>
      </c>
      <c r="X3234" s="1" t="s">
        <v>35</v>
      </c>
      <c r="Y3234" s="1">
        <v>87110.0</v>
      </c>
      <c r="Z3234" s="1"/>
      <c r="AA3234" s="1">
        <v>87110.0</v>
      </c>
      <c r="AB3234" s="1"/>
      <c r="AC3234" s="1" t="s">
        <v>36</v>
      </c>
      <c r="AD3234" s="1" t="s">
        <v>11405</v>
      </c>
      <c r="AE3234" s="1" t="s">
        <v>32</v>
      </c>
      <c r="AF3234" s="1" t="s">
        <v>33</v>
      </c>
      <c r="AG3234" s="1" t="s">
        <v>180</v>
      </c>
    </row>
    <row r="3235" spans="1:33">
      <c r="A3235" t="s">
        <v>11406</v>
      </c>
      <c r="B3235" t="s">
        <v>11407</v>
      </c>
      <c r="C3235" t="s">
        <v>125</v>
      </c>
      <c r="E3235" t="s">
        <v>10933</v>
      </c>
      <c r="F3235" t="s">
        <v>10938</v>
      </c>
      <c r="G3235">
        <v>4.498</v>
      </c>
      <c r="H3235">
        <v>4.498</v>
      </c>
      <c r="I3235" t="s">
        <v>126</v>
      </c>
      <c r="J3235" t="s">
        <v>127</v>
      </c>
      <c r="K3235" t="s">
        <v>31</v>
      </c>
      <c r="L3235" t="s">
        <v>32</v>
      </c>
      <c r="M3235" t="s">
        <v>33</v>
      </c>
      <c r="P3235" s="1" t="s">
        <v>11408</v>
      </c>
      <c r="Q3235" s="1" t="s">
        <v>10933</v>
      </c>
      <c r="R3235" s="1" t="s">
        <v>10933</v>
      </c>
      <c r="S3235" s="1"/>
      <c r="T3235" s="1" t="s">
        <v>125</v>
      </c>
      <c r="U3235" s="1"/>
      <c r="V3235" s="1">
        <v>4.498</v>
      </c>
      <c r="W3235" s="1">
        <v>4.498</v>
      </c>
      <c r="X3235" s="1" t="s">
        <v>35</v>
      </c>
      <c r="Y3235" s="1">
        <v>4498.0</v>
      </c>
      <c r="Z3235" s="1"/>
      <c r="AA3235" s="1">
        <v>4498.0</v>
      </c>
      <c r="AB3235" s="1"/>
      <c r="AC3235" s="1" t="s">
        <v>36</v>
      </c>
      <c r="AD3235" s="1" t="s">
        <v>11396</v>
      </c>
      <c r="AE3235" s="1" t="s">
        <v>32</v>
      </c>
      <c r="AF3235" s="1" t="s">
        <v>33</v>
      </c>
      <c r="AG3235" s="1" t="s">
        <v>127</v>
      </c>
    </row>
    <row r="3236" spans="1:33">
      <c r="A3236" t="s">
        <v>11409</v>
      </c>
      <c r="C3236" t="s">
        <v>932</v>
      </c>
      <c r="E3236" t="s">
        <v>10933</v>
      </c>
      <c r="F3236" t="s">
        <v>10938</v>
      </c>
      <c r="G3236">
        <v>1.148</v>
      </c>
      <c r="H3236">
        <v>1.148</v>
      </c>
      <c r="I3236" t="s">
        <v>227</v>
      </c>
      <c r="J3236" t="s">
        <v>228</v>
      </c>
      <c r="K3236" t="s">
        <v>31</v>
      </c>
      <c r="L3236" t="s">
        <v>32</v>
      </c>
      <c r="M3236" t="s">
        <v>33</v>
      </c>
      <c r="P3236" s="1" t="s">
        <v>11410</v>
      </c>
      <c r="Q3236" s="1" t="s">
        <v>10933</v>
      </c>
      <c r="R3236" s="1" t="s">
        <v>10933</v>
      </c>
      <c r="S3236" s="1"/>
      <c r="T3236" s="1" t="s">
        <v>932</v>
      </c>
      <c r="U3236" s="1"/>
      <c r="V3236" s="1">
        <v>1.148</v>
      </c>
      <c r="W3236" s="1">
        <v>1.148</v>
      </c>
      <c r="X3236" s="1" t="s">
        <v>35</v>
      </c>
      <c r="Y3236" s="1">
        <v>1148000.0</v>
      </c>
      <c r="Z3236" s="1"/>
      <c r="AA3236" s="1">
        <v>1148000.0</v>
      </c>
      <c r="AB3236" s="1"/>
      <c r="AC3236" s="1" t="s">
        <v>36</v>
      </c>
      <c r="AD3236" s="1" t="s">
        <v>11411</v>
      </c>
      <c r="AE3236" s="1" t="s">
        <v>32</v>
      </c>
      <c r="AF3236" s="1" t="s">
        <v>33</v>
      </c>
      <c r="AG3236" s="1" t="s">
        <v>228</v>
      </c>
    </row>
    <row r="3237" spans="1:33">
      <c r="A3237" t="s">
        <v>11412</v>
      </c>
      <c r="C3237" t="s">
        <v>2857</v>
      </c>
      <c r="E3237" t="s">
        <v>10933</v>
      </c>
      <c r="F3237" t="s">
        <v>10938</v>
      </c>
      <c r="G3237">
        <v>2.156</v>
      </c>
      <c r="H3237">
        <v>2.156</v>
      </c>
      <c r="I3237" t="s">
        <v>2206</v>
      </c>
      <c r="J3237" t="s">
        <v>49</v>
      </c>
      <c r="K3237" t="s">
        <v>31</v>
      </c>
      <c r="L3237" t="s">
        <v>32</v>
      </c>
      <c r="M3237" t="s">
        <v>33</v>
      </c>
      <c r="P3237" s="1" t="s">
        <v>11413</v>
      </c>
      <c r="Q3237" s="1" t="s">
        <v>10933</v>
      </c>
      <c r="R3237" s="1" t="s">
        <v>10933</v>
      </c>
      <c r="S3237" s="1"/>
      <c r="T3237" s="1" t="s">
        <v>2859</v>
      </c>
      <c r="U3237" s="1" t="s">
        <v>2255</v>
      </c>
      <c r="V3237" s="1">
        <v>2.156</v>
      </c>
      <c r="W3237" s="1">
        <v>2.156</v>
      </c>
      <c r="X3237" s="1" t="s">
        <v>35</v>
      </c>
      <c r="Y3237" s="1">
        <v>2156250.0</v>
      </c>
      <c r="Z3237" s="1"/>
      <c r="AA3237" s="1">
        <v>2156250.0</v>
      </c>
      <c r="AB3237" s="1"/>
      <c r="AC3237" s="1" t="s">
        <v>36</v>
      </c>
      <c r="AD3237" s="1" t="s">
        <v>11414</v>
      </c>
      <c r="AE3237" s="1" t="s">
        <v>32</v>
      </c>
      <c r="AF3237" s="1" t="s">
        <v>33</v>
      </c>
      <c r="AG3237" s="1" t="s">
        <v>49</v>
      </c>
    </row>
    <row r="3238" spans="1:33">
      <c r="A3238" t="s">
        <v>11415</v>
      </c>
      <c r="C3238" t="s">
        <v>11416</v>
      </c>
      <c r="E3238" t="s">
        <v>10933</v>
      </c>
      <c r="F3238" t="s">
        <v>10938</v>
      </c>
      <c r="G3238">
        <v>512.0</v>
      </c>
      <c r="H3238">
        <v>512.0</v>
      </c>
      <c r="I3238" t="s">
        <v>179</v>
      </c>
      <c r="J3238" t="s">
        <v>180</v>
      </c>
      <c r="K3238" t="s">
        <v>31</v>
      </c>
      <c r="L3238" t="s">
        <v>32</v>
      </c>
      <c r="M3238" t="s">
        <v>33</v>
      </c>
      <c r="P3238" s="1" t="s">
        <v>11417</v>
      </c>
      <c r="Q3238" s="1" t="s">
        <v>10933</v>
      </c>
      <c r="R3238" s="1" t="s">
        <v>10933</v>
      </c>
      <c r="S3238" s="1"/>
      <c r="T3238" s="1" t="s">
        <v>11416</v>
      </c>
      <c r="U3238" s="1"/>
      <c r="V3238" s="1">
        <v>512.0</v>
      </c>
      <c r="W3238" s="1">
        <v>512.0</v>
      </c>
      <c r="X3238" s="1" t="s">
        <v>35</v>
      </c>
      <c r="Y3238" s="1">
        <v>512000.0</v>
      </c>
      <c r="Z3238" s="1"/>
      <c r="AA3238" s="1">
        <v>512000.0</v>
      </c>
      <c r="AB3238" s="1"/>
      <c r="AC3238" s="1" t="s">
        <v>36</v>
      </c>
      <c r="AD3238" s="1" t="s">
        <v>11418</v>
      </c>
      <c r="AE3238" s="1" t="s">
        <v>32</v>
      </c>
      <c r="AF3238" s="1" t="s">
        <v>33</v>
      </c>
      <c r="AG3238" s="1" t="s">
        <v>180</v>
      </c>
    </row>
    <row r="3239" spans="1:33">
      <c r="A3239" t="s">
        <v>11419</v>
      </c>
      <c r="B3239" t="s">
        <v>11420</v>
      </c>
      <c r="C3239" t="s">
        <v>314</v>
      </c>
      <c r="E3239" t="s">
        <v>10933</v>
      </c>
      <c r="F3239" t="s">
        <v>10938</v>
      </c>
      <c r="G3239">
        <v>52.33</v>
      </c>
      <c r="H3239">
        <v>52.33</v>
      </c>
      <c r="I3239" t="s">
        <v>179</v>
      </c>
      <c r="J3239" t="s">
        <v>180</v>
      </c>
      <c r="K3239" t="s">
        <v>31</v>
      </c>
      <c r="L3239" t="s">
        <v>32</v>
      </c>
      <c r="M3239" t="s">
        <v>33</v>
      </c>
      <c r="P3239" s="1" t="s">
        <v>11421</v>
      </c>
      <c r="Q3239" s="1" t="s">
        <v>10933</v>
      </c>
      <c r="R3239" s="1" t="s">
        <v>10933</v>
      </c>
      <c r="S3239" s="1"/>
      <c r="T3239" s="1" t="s">
        <v>314</v>
      </c>
      <c r="U3239" s="1"/>
      <c r="V3239" s="1">
        <v>52.33</v>
      </c>
      <c r="W3239" s="1">
        <v>52.33</v>
      </c>
      <c r="X3239" s="1" t="s">
        <v>35</v>
      </c>
      <c r="Y3239" s="1">
        <v>52330.0</v>
      </c>
      <c r="Z3239" s="1"/>
      <c r="AA3239" s="1">
        <v>52330.0</v>
      </c>
      <c r="AB3239" s="1"/>
      <c r="AC3239" s="1" t="s">
        <v>36</v>
      </c>
      <c r="AD3239" s="1" t="s">
        <v>11411</v>
      </c>
      <c r="AE3239" s="1" t="s">
        <v>32</v>
      </c>
      <c r="AF3239" s="1" t="s">
        <v>33</v>
      </c>
      <c r="AG3239" s="1" t="s">
        <v>180</v>
      </c>
    </row>
    <row r="3240" spans="1:33">
      <c r="A3240" t="s">
        <v>11422</v>
      </c>
      <c r="C3240" t="s">
        <v>11423</v>
      </c>
      <c r="E3240" t="s">
        <v>10933</v>
      </c>
      <c r="F3240" t="s">
        <v>10938</v>
      </c>
      <c r="G3240">
        <v>2.492</v>
      </c>
      <c r="H3240">
        <v>2.492</v>
      </c>
      <c r="I3240" t="s">
        <v>2206</v>
      </c>
      <c r="J3240" t="s">
        <v>49</v>
      </c>
      <c r="K3240" t="s">
        <v>31</v>
      </c>
      <c r="L3240" t="s">
        <v>32</v>
      </c>
      <c r="M3240" t="s">
        <v>33</v>
      </c>
      <c r="P3240" s="1" t="s">
        <v>11424</v>
      </c>
      <c r="Q3240" s="1" t="s">
        <v>10933</v>
      </c>
      <c r="R3240" s="1" t="s">
        <v>10933</v>
      </c>
      <c r="S3240" s="1"/>
      <c r="T3240" s="1" t="s">
        <v>11423</v>
      </c>
      <c r="U3240" s="1"/>
      <c r="V3240" s="1">
        <v>2.492</v>
      </c>
      <c r="W3240" s="1">
        <v>2.492</v>
      </c>
      <c r="X3240" s="1" t="s">
        <v>35</v>
      </c>
      <c r="Y3240" s="1">
        <v>2492000.0</v>
      </c>
      <c r="Z3240" s="1"/>
      <c r="AA3240" s="1">
        <v>2492000.0</v>
      </c>
      <c r="AB3240" s="1"/>
      <c r="AC3240" s="1" t="s">
        <v>36</v>
      </c>
      <c r="AD3240" s="1" t="s">
        <v>11425</v>
      </c>
      <c r="AE3240" s="1" t="s">
        <v>32</v>
      </c>
      <c r="AF3240" s="1" t="s">
        <v>33</v>
      </c>
      <c r="AG3240" s="1" t="s">
        <v>49</v>
      </c>
    </row>
    <row r="3241" spans="1:33">
      <c r="A3241" t="s">
        <v>11426</v>
      </c>
      <c r="B3241" t="s">
        <v>201</v>
      </c>
      <c r="C3241" t="s">
        <v>202</v>
      </c>
      <c r="D3241" t="s">
        <v>154</v>
      </c>
      <c r="E3241" t="s">
        <v>10933</v>
      </c>
      <c r="F3241" t="s">
        <v>10938</v>
      </c>
      <c r="G3241">
        <v>370.0</v>
      </c>
      <c r="H3241">
        <v>370.0</v>
      </c>
      <c r="I3241" t="s">
        <v>59</v>
      </c>
      <c r="J3241" t="s">
        <v>60</v>
      </c>
      <c r="K3241" t="s">
        <v>31</v>
      </c>
      <c r="L3241" t="s">
        <v>32</v>
      </c>
      <c r="M3241" t="s">
        <v>33</v>
      </c>
      <c r="P3241" s="1" t="s">
        <v>11427</v>
      </c>
      <c r="Q3241" s="1" t="s">
        <v>10933</v>
      </c>
      <c r="R3241" s="1" t="s">
        <v>10933</v>
      </c>
      <c r="S3241" s="1"/>
      <c r="T3241" s="1" t="s">
        <v>202</v>
      </c>
      <c r="U3241" s="1"/>
      <c r="V3241" s="1">
        <v>370.0</v>
      </c>
      <c r="W3241" s="1">
        <v>370.0</v>
      </c>
      <c r="X3241" s="1" t="s">
        <v>35</v>
      </c>
      <c r="Y3241" s="1">
        <v>370000.0</v>
      </c>
      <c r="Z3241" s="1"/>
      <c r="AA3241" s="1">
        <v>370000.0</v>
      </c>
      <c r="AB3241" s="1"/>
      <c r="AC3241" s="1" t="s">
        <v>36</v>
      </c>
      <c r="AD3241" s="1" t="s">
        <v>11428</v>
      </c>
      <c r="AE3241" s="1" t="s">
        <v>32</v>
      </c>
      <c r="AF3241" s="1" t="s">
        <v>33</v>
      </c>
      <c r="AG3241" s="1" t="s">
        <v>60</v>
      </c>
    </row>
    <row r="3242" spans="1:33">
      <c r="A3242" t="s">
        <v>11429</v>
      </c>
      <c r="C3242" t="s">
        <v>190</v>
      </c>
      <c r="D3242" t="s">
        <v>154</v>
      </c>
      <c r="E3242" t="s">
        <v>10933</v>
      </c>
      <c r="F3242" t="s">
        <v>10938</v>
      </c>
      <c r="G3242">
        <v>1.474</v>
      </c>
      <c r="H3242">
        <v>1.474</v>
      </c>
      <c r="I3242" t="s">
        <v>2206</v>
      </c>
      <c r="J3242" t="s">
        <v>49</v>
      </c>
      <c r="K3242" t="s">
        <v>31</v>
      </c>
      <c r="L3242" t="s">
        <v>32</v>
      </c>
      <c r="M3242" t="s">
        <v>33</v>
      </c>
      <c r="P3242" s="1" t="s">
        <v>11430</v>
      </c>
      <c r="Q3242" s="1" t="s">
        <v>10933</v>
      </c>
      <c r="R3242" s="1" t="s">
        <v>10933</v>
      </c>
      <c r="S3242" s="1"/>
      <c r="T3242" s="1" t="s">
        <v>190</v>
      </c>
      <c r="U3242" s="1"/>
      <c r="V3242" s="1">
        <v>1.474</v>
      </c>
      <c r="W3242" s="1">
        <v>1.474</v>
      </c>
      <c r="X3242" s="1" t="s">
        <v>35</v>
      </c>
      <c r="Y3242" s="1">
        <v>1474000.0</v>
      </c>
      <c r="Z3242" s="1"/>
      <c r="AA3242" s="1">
        <v>1474000.0</v>
      </c>
      <c r="AB3242" s="1"/>
      <c r="AC3242" s="1" t="s">
        <v>36</v>
      </c>
      <c r="AD3242" s="1" t="s">
        <v>11431</v>
      </c>
      <c r="AE3242" s="1" t="s">
        <v>32</v>
      </c>
      <c r="AF3242" s="1" t="s">
        <v>33</v>
      </c>
      <c r="AG3242" s="1" t="s">
        <v>49</v>
      </c>
    </row>
    <row r="3243" spans="1:33">
      <c r="A3243" t="s">
        <v>11432</v>
      </c>
      <c r="B3243" t="s">
        <v>11433</v>
      </c>
      <c r="C3243" t="s">
        <v>314</v>
      </c>
      <c r="E3243" t="s">
        <v>10933</v>
      </c>
      <c r="F3243" t="s">
        <v>10938</v>
      </c>
      <c r="G3243">
        <v>31.18</v>
      </c>
      <c r="H3243">
        <v>31.18</v>
      </c>
      <c r="I3243" t="s">
        <v>179</v>
      </c>
      <c r="J3243" t="s">
        <v>180</v>
      </c>
      <c r="K3243" t="s">
        <v>31</v>
      </c>
      <c r="L3243" t="s">
        <v>32</v>
      </c>
      <c r="M3243" t="s">
        <v>33</v>
      </c>
      <c r="P3243" s="1" t="s">
        <v>11434</v>
      </c>
      <c r="Q3243" s="1" t="s">
        <v>10933</v>
      </c>
      <c r="R3243" s="1" t="s">
        <v>10933</v>
      </c>
      <c r="S3243" s="1"/>
      <c r="T3243" s="1" t="s">
        <v>314</v>
      </c>
      <c r="U3243" s="1"/>
      <c r="V3243" s="1">
        <v>31.18</v>
      </c>
      <c r="W3243" s="1">
        <v>31.18</v>
      </c>
      <c r="X3243" s="1" t="s">
        <v>35</v>
      </c>
      <c r="Y3243" s="1">
        <v>31180.0</v>
      </c>
      <c r="Z3243" s="1"/>
      <c r="AA3243" s="1">
        <v>31180.0</v>
      </c>
      <c r="AB3243" s="1"/>
      <c r="AC3243" s="1" t="s">
        <v>36</v>
      </c>
      <c r="AD3243" s="1" t="s">
        <v>11431</v>
      </c>
      <c r="AE3243" s="1" t="s">
        <v>32</v>
      </c>
      <c r="AF3243" s="1" t="s">
        <v>33</v>
      </c>
      <c r="AG3243" s="1" t="s">
        <v>180</v>
      </c>
    </row>
    <row r="3244" spans="1:33">
      <c r="A3244" t="s">
        <v>11435</v>
      </c>
      <c r="C3244" t="s">
        <v>1432</v>
      </c>
      <c r="D3244" t="s">
        <v>114</v>
      </c>
      <c r="E3244" t="s">
        <v>10933</v>
      </c>
      <c r="F3244" t="s">
        <v>10938</v>
      </c>
      <c r="G3244">
        <v>492.0</v>
      </c>
      <c r="H3244">
        <v>492.0</v>
      </c>
      <c r="I3244" t="s">
        <v>227</v>
      </c>
      <c r="J3244" t="s">
        <v>228</v>
      </c>
      <c r="K3244" t="s">
        <v>31</v>
      </c>
      <c r="L3244" t="s">
        <v>32</v>
      </c>
      <c r="M3244" t="s">
        <v>33</v>
      </c>
      <c r="P3244" s="1" t="s">
        <v>11436</v>
      </c>
      <c r="Q3244" s="1" t="s">
        <v>10933</v>
      </c>
      <c r="R3244" s="1" t="s">
        <v>10933</v>
      </c>
      <c r="S3244" s="1"/>
      <c r="T3244" s="1" t="s">
        <v>1432</v>
      </c>
      <c r="U3244" s="1"/>
      <c r="V3244" s="1">
        <v>492.0</v>
      </c>
      <c r="W3244" s="1">
        <v>492.0</v>
      </c>
      <c r="X3244" s="1" t="s">
        <v>35</v>
      </c>
      <c r="Y3244" s="1">
        <v>492000.0</v>
      </c>
      <c r="Z3244" s="1"/>
      <c r="AA3244" s="1">
        <v>492000.0</v>
      </c>
      <c r="AB3244" s="1"/>
      <c r="AC3244" s="1" t="s">
        <v>36</v>
      </c>
      <c r="AD3244" s="1" t="s">
        <v>11428</v>
      </c>
      <c r="AE3244" s="1" t="s">
        <v>32</v>
      </c>
      <c r="AF3244" s="1" t="s">
        <v>33</v>
      </c>
      <c r="AG3244" s="1" t="s">
        <v>228</v>
      </c>
    </row>
    <row r="3245" spans="1:33">
      <c r="A3245" t="s">
        <v>11437</v>
      </c>
      <c r="C3245" t="s">
        <v>2621</v>
      </c>
      <c r="E3245" t="s">
        <v>10933</v>
      </c>
      <c r="F3245" t="s">
        <v>10938</v>
      </c>
      <c r="G3245">
        <v>346.5</v>
      </c>
      <c r="H3245">
        <v>346.5</v>
      </c>
      <c r="I3245" t="s">
        <v>269</v>
      </c>
      <c r="J3245" t="s">
        <v>270</v>
      </c>
      <c r="K3245" t="s">
        <v>31</v>
      </c>
      <c r="L3245" t="s">
        <v>32</v>
      </c>
      <c r="M3245" t="s">
        <v>33</v>
      </c>
      <c r="P3245" s="1" t="s">
        <v>11438</v>
      </c>
      <c r="Q3245" s="1" t="s">
        <v>10933</v>
      </c>
      <c r="R3245" s="1" t="s">
        <v>10933</v>
      </c>
      <c r="S3245" s="1"/>
      <c r="T3245" s="1" t="s">
        <v>2621</v>
      </c>
      <c r="U3245" s="1"/>
      <c r="V3245" s="1">
        <v>346.5</v>
      </c>
      <c r="W3245" s="1">
        <v>346.5</v>
      </c>
      <c r="X3245" s="1" t="s">
        <v>35</v>
      </c>
      <c r="Y3245" s="1">
        <v>346500.0</v>
      </c>
      <c r="Z3245" s="1"/>
      <c r="AA3245" s="1">
        <v>346500.0</v>
      </c>
      <c r="AB3245" s="1"/>
      <c r="AC3245" s="1" t="s">
        <v>36</v>
      </c>
      <c r="AD3245" s="1" t="s">
        <v>11418</v>
      </c>
      <c r="AE3245" s="1" t="s">
        <v>32</v>
      </c>
      <c r="AF3245" s="1" t="s">
        <v>33</v>
      </c>
      <c r="AG3245" s="1" t="s">
        <v>270</v>
      </c>
    </row>
    <row r="3246" spans="1:33">
      <c r="A3246" t="s">
        <v>11439</v>
      </c>
      <c r="B3246" t="s">
        <v>1656</v>
      </c>
      <c r="C3246" t="s">
        <v>135</v>
      </c>
      <c r="E3246" t="s">
        <v>10933</v>
      </c>
      <c r="F3246" t="s">
        <v>10938</v>
      </c>
      <c r="G3246">
        <v>45.15</v>
      </c>
      <c r="H3246">
        <v>45.15</v>
      </c>
      <c r="I3246" t="s">
        <v>136</v>
      </c>
      <c r="J3246" t="s">
        <v>137</v>
      </c>
      <c r="K3246" t="s">
        <v>31</v>
      </c>
      <c r="L3246" t="s">
        <v>32</v>
      </c>
      <c r="M3246" t="s">
        <v>33</v>
      </c>
      <c r="P3246" s="1" t="s">
        <v>11440</v>
      </c>
      <c r="Q3246" s="1" t="s">
        <v>10933</v>
      </c>
      <c r="R3246" s="1" t="s">
        <v>10933</v>
      </c>
      <c r="S3246" s="1"/>
      <c r="T3246" s="1" t="s">
        <v>135</v>
      </c>
      <c r="U3246" s="1"/>
      <c r="V3246" s="1">
        <v>45.15</v>
      </c>
      <c r="W3246" s="1">
        <v>45.15</v>
      </c>
      <c r="X3246" s="1" t="s">
        <v>35</v>
      </c>
      <c r="Y3246" s="1">
        <v>45150.0</v>
      </c>
      <c r="Z3246" s="1"/>
      <c r="AA3246" s="1">
        <v>45150.0</v>
      </c>
      <c r="AB3246" s="1"/>
      <c r="AC3246" s="1" t="s">
        <v>36</v>
      </c>
      <c r="AD3246" s="1" t="s">
        <v>11441</v>
      </c>
      <c r="AE3246" s="1" t="s">
        <v>32</v>
      </c>
      <c r="AF3246" s="1" t="s">
        <v>33</v>
      </c>
      <c r="AG3246" s="1" t="s">
        <v>137</v>
      </c>
    </row>
    <row r="3247" spans="1:33">
      <c r="A3247" t="s">
        <v>11442</v>
      </c>
      <c r="B3247" t="s">
        <v>548</v>
      </c>
      <c r="C3247" t="s">
        <v>73</v>
      </c>
      <c r="E3247" t="s">
        <v>10933</v>
      </c>
      <c r="F3247" t="s">
        <v>10938</v>
      </c>
      <c r="G3247">
        <v>88.966</v>
      </c>
      <c r="H3247">
        <v>88.966</v>
      </c>
      <c r="I3247" t="s">
        <v>40</v>
      </c>
      <c r="J3247" t="s">
        <v>41</v>
      </c>
      <c r="K3247" t="s">
        <v>31</v>
      </c>
      <c r="L3247" t="s">
        <v>32</v>
      </c>
      <c r="M3247" t="s">
        <v>33</v>
      </c>
      <c r="P3247" s="1" t="s">
        <v>11443</v>
      </c>
      <c r="Q3247" s="1" t="s">
        <v>10933</v>
      </c>
      <c r="R3247" s="1" t="s">
        <v>10324</v>
      </c>
      <c r="S3247" s="1"/>
      <c r="T3247" s="1" t="s">
        <v>75</v>
      </c>
      <c r="U3247" s="1" t="s">
        <v>76</v>
      </c>
      <c r="V3247" s="1">
        <v>88.966</v>
      </c>
      <c r="W3247" s="1">
        <v>88.966</v>
      </c>
      <c r="X3247" s="1" t="s">
        <v>35</v>
      </c>
      <c r="Y3247" s="1">
        <v>88966.0</v>
      </c>
      <c r="Z3247" s="1"/>
      <c r="AA3247" s="1">
        <v>88966.0</v>
      </c>
      <c r="AB3247" s="1"/>
      <c r="AC3247" s="1" t="s">
        <v>36</v>
      </c>
      <c r="AD3247" s="1" t="s">
        <v>11444</v>
      </c>
      <c r="AE3247" s="1" t="s">
        <v>32</v>
      </c>
      <c r="AF3247" s="1" t="s">
        <v>33</v>
      </c>
      <c r="AG3247" s="1" t="s">
        <v>41</v>
      </c>
    </row>
    <row r="3248" spans="1:33">
      <c r="A3248" t="s">
        <v>11445</v>
      </c>
      <c r="B3248" t="s">
        <v>11446</v>
      </c>
      <c r="C3248" t="s">
        <v>172</v>
      </c>
      <c r="E3248" t="s">
        <v>10933</v>
      </c>
      <c r="F3248" t="s">
        <v>10938</v>
      </c>
      <c r="G3248">
        <v>31.99</v>
      </c>
      <c r="H3248">
        <v>31.99</v>
      </c>
      <c r="I3248" t="s">
        <v>173</v>
      </c>
      <c r="J3248" t="s">
        <v>174</v>
      </c>
      <c r="K3248" t="s">
        <v>31</v>
      </c>
      <c r="L3248" t="s">
        <v>32</v>
      </c>
      <c r="M3248" t="s">
        <v>33</v>
      </c>
      <c r="P3248" s="1" t="s">
        <v>11447</v>
      </c>
      <c r="Q3248" s="1" t="s">
        <v>10933</v>
      </c>
      <c r="R3248" s="1" t="s">
        <v>10933</v>
      </c>
      <c r="S3248" s="1"/>
      <c r="T3248" s="1" t="s">
        <v>172</v>
      </c>
      <c r="U3248" s="1"/>
      <c r="V3248" s="1">
        <v>31.99</v>
      </c>
      <c r="W3248" s="1">
        <v>31.99</v>
      </c>
      <c r="X3248" s="1" t="s">
        <v>35</v>
      </c>
      <c r="Y3248" s="1">
        <v>31990.0</v>
      </c>
      <c r="Z3248" s="1"/>
      <c r="AA3248" s="1">
        <v>31990.0</v>
      </c>
      <c r="AB3248" s="1"/>
      <c r="AC3248" s="1" t="s">
        <v>36</v>
      </c>
      <c r="AD3248" s="1" t="s">
        <v>11448</v>
      </c>
      <c r="AE3248" s="1" t="s">
        <v>32</v>
      </c>
      <c r="AF3248" s="1" t="s">
        <v>33</v>
      </c>
      <c r="AG3248" s="1" t="s">
        <v>174</v>
      </c>
    </row>
    <row r="3249" spans="1:33">
      <c r="A3249" t="s">
        <v>11449</v>
      </c>
      <c r="C3249" t="s">
        <v>3612</v>
      </c>
      <c r="E3249" t="s">
        <v>10933</v>
      </c>
      <c r="F3249" t="s">
        <v>10938</v>
      </c>
      <c r="G3249">
        <v>492.0</v>
      </c>
      <c r="H3249">
        <v>492.0</v>
      </c>
      <c r="I3249" t="s">
        <v>136</v>
      </c>
      <c r="J3249" t="s">
        <v>137</v>
      </c>
      <c r="K3249" t="s">
        <v>31</v>
      </c>
      <c r="L3249" t="s">
        <v>32</v>
      </c>
      <c r="M3249" t="s">
        <v>33</v>
      </c>
      <c r="P3249" s="1" t="s">
        <v>11450</v>
      </c>
      <c r="Q3249" s="1" t="s">
        <v>10933</v>
      </c>
      <c r="R3249" s="1" t="s">
        <v>10933</v>
      </c>
      <c r="S3249" s="1"/>
      <c r="T3249" s="1" t="s">
        <v>3614</v>
      </c>
      <c r="U3249" s="1" t="s">
        <v>3615</v>
      </c>
      <c r="V3249" s="1">
        <v>492.0</v>
      </c>
      <c r="W3249" s="1">
        <v>492.0</v>
      </c>
      <c r="X3249" s="1" t="s">
        <v>35</v>
      </c>
      <c r="Y3249" s="1">
        <v>492000.0</v>
      </c>
      <c r="Z3249" s="1"/>
      <c r="AA3249" s="1">
        <v>492000.0</v>
      </c>
      <c r="AB3249" s="1"/>
      <c r="AC3249" s="1" t="s">
        <v>36</v>
      </c>
      <c r="AD3249" s="1" t="s">
        <v>11451</v>
      </c>
      <c r="AE3249" s="1" t="s">
        <v>32</v>
      </c>
      <c r="AF3249" s="1" t="s">
        <v>33</v>
      </c>
      <c r="AG3249" s="1" t="s">
        <v>137</v>
      </c>
    </row>
    <row r="3250" spans="1:33">
      <c r="A3250" t="s">
        <v>11452</v>
      </c>
      <c r="C3250" t="s">
        <v>688</v>
      </c>
      <c r="E3250" t="s">
        <v>10933</v>
      </c>
      <c r="F3250" t="s">
        <v>10938</v>
      </c>
      <c r="G3250">
        <v>3.28</v>
      </c>
      <c r="H3250">
        <v>3.28</v>
      </c>
      <c r="I3250" t="s">
        <v>269</v>
      </c>
      <c r="J3250" t="s">
        <v>270</v>
      </c>
      <c r="K3250" t="s">
        <v>31</v>
      </c>
      <c r="L3250" t="s">
        <v>32</v>
      </c>
      <c r="M3250" t="s">
        <v>33</v>
      </c>
      <c r="P3250" s="1" t="s">
        <v>11453</v>
      </c>
      <c r="Q3250" s="1" t="s">
        <v>10933</v>
      </c>
      <c r="R3250" s="1" t="s">
        <v>10933</v>
      </c>
      <c r="S3250" s="1"/>
      <c r="T3250" s="1" t="s">
        <v>688</v>
      </c>
      <c r="U3250" s="1"/>
      <c r="V3250" s="1">
        <v>3.28</v>
      </c>
      <c r="W3250" s="1">
        <v>3.28</v>
      </c>
      <c r="X3250" s="1" t="s">
        <v>35</v>
      </c>
      <c r="Y3250" s="1">
        <v>3280000.0</v>
      </c>
      <c r="Z3250" s="1"/>
      <c r="AA3250" s="1">
        <v>3280000.0</v>
      </c>
      <c r="AB3250" s="1"/>
      <c r="AC3250" s="1" t="s">
        <v>36</v>
      </c>
      <c r="AD3250" s="1" t="s">
        <v>11454</v>
      </c>
      <c r="AE3250" s="1" t="s">
        <v>32</v>
      </c>
      <c r="AF3250" s="1" t="s">
        <v>33</v>
      </c>
      <c r="AG3250" s="1" t="s">
        <v>270</v>
      </c>
    </row>
    <row r="3251" spans="1:33">
      <c r="A3251" t="s">
        <v>11455</v>
      </c>
      <c r="C3251" t="s">
        <v>11456</v>
      </c>
      <c r="E3251" t="s">
        <v>10933</v>
      </c>
      <c r="F3251" t="s">
        <v>10938</v>
      </c>
      <c r="G3251">
        <v>163.92</v>
      </c>
      <c r="H3251">
        <v>163.92</v>
      </c>
      <c r="I3251" t="s">
        <v>2206</v>
      </c>
      <c r="J3251" t="s">
        <v>49</v>
      </c>
      <c r="K3251" t="s">
        <v>31</v>
      </c>
      <c r="L3251" t="s">
        <v>32</v>
      </c>
      <c r="M3251" t="s">
        <v>33</v>
      </c>
      <c r="P3251" s="1" t="s">
        <v>11457</v>
      </c>
      <c r="Q3251" s="1" t="s">
        <v>10933</v>
      </c>
      <c r="R3251" s="1" t="s">
        <v>10933</v>
      </c>
      <c r="S3251" s="1"/>
      <c r="T3251" s="1" t="s">
        <v>11456</v>
      </c>
      <c r="U3251" s="1"/>
      <c r="V3251" s="1">
        <v>163.92</v>
      </c>
      <c r="W3251" s="1">
        <v>163.92</v>
      </c>
      <c r="X3251" s="1" t="s">
        <v>35</v>
      </c>
      <c r="Y3251" s="1">
        <v>163920.0</v>
      </c>
      <c r="Z3251" s="1"/>
      <c r="AA3251" s="1">
        <v>163920.0</v>
      </c>
      <c r="AB3251" s="1"/>
      <c r="AC3251" s="1" t="s">
        <v>36</v>
      </c>
      <c r="AD3251" s="1" t="s">
        <v>11448</v>
      </c>
      <c r="AE3251" s="1" t="s">
        <v>32</v>
      </c>
      <c r="AF3251" s="1" t="s">
        <v>33</v>
      </c>
      <c r="AG3251" s="1" t="s">
        <v>49</v>
      </c>
    </row>
    <row r="3252" spans="1:33">
      <c r="A3252" t="s">
        <v>11458</v>
      </c>
      <c r="C3252" t="s">
        <v>747</v>
      </c>
      <c r="E3252" t="s">
        <v>10933</v>
      </c>
      <c r="F3252" t="s">
        <v>10938</v>
      </c>
      <c r="G3252">
        <v>574.0</v>
      </c>
      <c r="H3252">
        <v>574.0</v>
      </c>
      <c r="I3252" t="s">
        <v>136</v>
      </c>
      <c r="J3252" t="s">
        <v>137</v>
      </c>
      <c r="K3252" t="s">
        <v>31</v>
      </c>
      <c r="L3252" t="s">
        <v>32</v>
      </c>
      <c r="M3252" t="s">
        <v>33</v>
      </c>
      <c r="P3252" s="1" t="s">
        <v>11459</v>
      </c>
      <c r="Q3252" s="1" t="s">
        <v>10933</v>
      </c>
      <c r="R3252" s="1" t="s">
        <v>10933</v>
      </c>
      <c r="S3252" s="1"/>
      <c r="T3252" s="1" t="s">
        <v>747</v>
      </c>
      <c r="U3252" s="1"/>
      <c r="V3252" s="1">
        <v>574.0</v>
      </c>
      <c r="W3252" s="1">
        <v>574.0</v>
      </c>
      <c r="X3252" s="1" t="s">
        <v>35</v>
      </c>
      <c r="Y3252" s="1">
        <v>574000.0</v>
      </c>
      <c r="Z3252" s="1"/>
      <c r="AA3252" s="1">
        <v>574000.0</v>
      </c>
      <c r="AB3252" s="1"/>
      <c r="AC3252" s="1" t="s">
        <v>36</v>
      </c>
      <c r="AD3252" s="1" t="s">
        <v>11444</v>
      </c>
      <c r="AE3252" s="1" t="s">
        <v>32</v>
      </c>
      <c r="AF3252" s="1" t="s">
        <v>33</v>
      </c>
      <c r="AG3252" s="1" t="s">
        <v>137</v>
      </c>
    </row>
    <row r="3253" spans="1:33">
      <c r="A3253" t="s">
        <v>11460</v>
      </c>
      <c r="C3253" t="s">
        <v>2346</v>
      </c>
      <c r="E3253" t="s">
        <v>10933</v>
      </c>
      <c r="F3253" t="s">
        <v>10938</v>
      </c>
      <c r="G3253">
        <v>510.0</v>
      </c>
      <c r="H3253">
        <v>510.0</v>
      </c>
      <c r="I3253" t="s">
        <v>269</v>
      </c>
      <c r="J3253" t="s">
        <v>270</v>
      </c>
      <c r="K3253" t="s">
        <v>31</v>
      </c>
      <c r="L3253" t="s">
        <v>32</v>
      </c>
      <c r="M3253" t="s">
        <v>33</v>
      </c>
      <c r="P3253" s="1" t="s">
        <v>11461</v>
      </c>
      <c r="Q3253" s="1" t="s">
        <v>10933</v>
      </c>
      <c r="R3253" s="1" t="s">
        <v>10933</v>
      </c>
      <c r="S3253" s="1"/>
      <c r="T3253" s="1" t="s">
        <v>2346</v>
      </c>
      <c r="U3253" s="1"/>
      <c r="V3253" s="1">
        <v>510.0</v>
      </c>
      <c r="W3253" s="1">
        <v>510.0</v>
      </c>
      <c r="X3253" s="1" t="s">
        <v>35</v>
      </c>
      <c r="Y3253" s="1">
        <v>510000.0</v>
      </c>
      <c r="Z3253" s="1"/>
      <c r="AA3253" s="1">
        <v>510000.0</v>
      </c>
      <c r="AB3253" s="1"/>
      <c r="AC3253" s="1" t="s">
        <v>36</v>
      </c>
      <c r="AD3253" s="1" t="s">
        <v>11462</v>
      </c>
      <c r="AE3253" s="1" t="s">
        <v>32</v>
      </c>
      <c r="AF3253" s="1" t="s">
        <v>33</v>
      </c>
      <c r="AG3253" s="1" t="s">
        <v>270</v>
      </c>
    </row>
    <row r="3254" spans="1:33">
      <c r="A3254" t="s">
        <v>11463</v>
      </c>
      <c r="C3254" t="s">
        <v>2905</v>
      </c>
      <c r="E3254" t="s">
        <v>10933</v>
      </c>
      <c r="F3254" t="s">
        <v>10938</v>
      </c>
      <c r="G3254">
        <v>2.103</v>
      </c>
      <c r="H3254">
        <v>2.103</v>
      </c>
      <c r="I3254" t="s">
        <v>269</v>
      </c>
      <c r="J3254" t="s">
        <v>270</v>
      </c>
      <c r="K3254" t="s">
        <v>31</v>
      </c>
      <c r="L3254" t="s">
        <v>32</v>
      </c>
      <c r="M3254" t="s">
        <v>33</v>
      </c>
      <c r="P3254" s="1" t="s">
        <v>11464</v>
      </c>
      <c r="Q3254" s="1" t="s">
        <v>10933</v>
      </c>
      <c r="R3254" s="1" t="s">
        <v>10933</v>
      </c>
      <c r="S3254" s="1"/>
      <c r="T3254" s="1" t="s">
        <v>2905</v>
      </c>
      <c r="U3254" s="1"/>
      <c r="V3254" s="1">
        <v>2.103</v>
      </c>
      <c r="W3254" s="1">
        <v>2.103</v>
      </c>
      <c r="X3254" s="1" t="s">
        <v>35</v>
      </c>
      <c r="Y3254" s="1">
        <v>2103000.0</v>
      </c>
      <c r="Z3254" s="1"/>
      <c r="AA3254" s="1">
        <v>2103000.0</v>
      </c>
      <c r="AB3254" s="1"/>
      <c r="AC3254" s="1" t="s">
        <v>36</v>
      </c>
      <c r="AD3254" s="1" t="s">
        <v>11465</v>
      </c>
      <c r="AE3254" s="1" t="s">
        <v>32</v>
      </c>
      <c r="AF3254" s="1" t="s">
        <v>33</v>
      </c>
      <c r="AG3254" s="1" t="s">
        <v>270</v>
      </c>
    </row>
    <row r="3255" spans="1:33">
      <c r="A3255" t="s">
        <v>11466</v>
      </c>
      <c r="C3255" t="s">
        <v>125</v>
      </c>
      <c r="E3255" t="s">
        <v>10933</v>
      </c>
      <c r="F3255" t="s">
        <v>10938</v>
      </c>
      <c r="G3255">
        <v>202.45</v>
      </c>
      <c r="H3255">
        <v>202.45</v>
      </c>
      <c r="I3255" t="s">
        <v>126</v>
      </c>
      <c r="J3255" t="s">
        <v>127</v>
      </c>
      <c r="K3255" t="s">
        <v>31</v>
      </c>
      <c r="L3255" t="s">
        <v>32</v>
      </c>
      <c r="M3255" t="s">
        <v>33</v>
      </c>
      <c r="P3255" s="1" t="s">
        <v>11467</v>
      </c>
      <c r="Q3255" s="1" t="s">
        <v>10933</v>
      </c>
      <c r="R3255" s="1" t="s">
        <v>10933</v>
      </c>
      <c r="S3255" s="1"/>
      <c r="T3255" s="1" t="s">
        <v>125</v>
      </c>
      <c r="U3255" s="1"/>
      <c r="V3255" s="1">
        <v>202.45</v>
      </c>
      <c r="W3255" s="1">
        <v>202.45</v>
      </c>
      <c r="X3255" s="1" t="s">
        <v>35</v>
      </c>
      <c r="Y3255" s="1">
        <v>202450.0</v>
      </c>
      <c r="Z3255" s="1"/>
      <c r="AA3255" s="1">
        <v>202450.0</v>
      </c>
      <c r="AB3255" s="1"/>
      <c r="AC3255" s="1" t="s">
        <v>36</v>
      </c>
      <c r="AD3255" s="1" t="s">
        <v>11468</v>
      </c>
      <c r="AE3255" s="1" t="s">
        <v>32</v>
      </c>
      <c r="AF3255" s="1" t="s">
        <v>33</v>
      </c>
      <c r="AG3255" s="1" t="s">
        <v>127</v>
      </c>
    </row>
    <row r="3256" spans="1:33">
      <c r="A3256" t="s">
        <v>11469</v>
      </c>
      <c r="B3256" t="s">
        <v>11470</v>
      </c>
      <c r="C3256" t="s">
        <v>125</v>
      </c>
      <c r="E3256" t="s">
        <v>10933</v>
      </c>
      <c r="F3256" t="s">
        <v>10938</v>
      </c>
      <c r="G3256">
        <v>61.47</v>
      </c>
      <c r="H3256">
        <v>61.47</v>
      </c>
      <c r="I3256" t="s">
        <v>126</v>
      </c>
      <c r="J3256" t="s">
        <v>127</v>
      </c>
      <c r="K3256" t="s">
        <v>31</v>
      </c>
      <c r="L3256" t="s">
        <v>32</v>
      </c>
      <c r="M3256" t="s">
        <v>33</v>
      </c>
      <c r="P3256" s="1" t="s">
        <v>11471</v>
      </c>
      <c r="Q3256" s="1" t="s">
        <v>10933</v>
      </c>
      <c r="R3256" s="1" t="s">
        <v>10933</v>
      </c>
      <c r="S3256" s="1"/>
      <c r="T3256" s="1" t="s">
        <v>125</v>
      </c>
      <c r="U3256" s="1"/>
      <c r="V3256" s="1">
        <v>61.47</v>
      </c>
      <c r="W3256" s="1">
        <v>61.47</v>
      </c>
      <c r="X3256" s="1" t="s">
        <v>35</v>
      </c>
      <c r="Y3256" s="1">
        <v>61470.0</v>
      </c>
      <c r="Z3256" s="1"/>
      <c r="AA3256" s="1">
        <v>61470.0</v>
      </c>
      <c r="AB3256" s="1"/>
      <c r="AC3256" s="1" t="s">
        <v>36</v>
      </c>
      <c r="AD3256" s="1" t="s">
        <v>11472</v>
      </c>
      <c r="AE3256" s="1" t="s">
        <v>32</v>
      </c>
      <c r="AF3256" s="1" t="s">
        <v>33</v>
      </c>
      <c r="AG3256" s="1" t="s">
        <v>127</v>
      </c>
    </row>
    <row r="3257" spans="1:33">
      <c r="A3257" t="s">
        <v>11473</v>
      </c>
      <c r="C3257" t="s">
        <v>11474</v>
      </c>
      <c r="E3257" t="s">
        <v>10933</v>
      </c>
      <c r="F3257" t="s">
        <v>10938</v>
      </c>
      <c r="G3257">
        <v>357.25</v>
      </c>
      <c r="H3257">
        <v>357.25</v>
      </c>
      <c r="I3257" t="s">
        <v>269</v>
      </c>
      <c r="J3257" t="s">
        <v>270</v>
      </c>
      <c r="K3257" t="s">
        <v>31</v>
      </c>
      <c r="L3257" t="s">
        <v>32</v>
      </c>
      <c r="M3257" t="s">
        <v>33</v>
      </c>
      <c r="P3257" s="1" t="s">
        <v>11475</v>
      </c>
      <c r="Q3257" s="1" t="s">
        <v>10933</v>
      </c>
      <c r="R3257" s="1" t="s">
        <v>10933</v>
      </c>
      <c r="S3257" s="1"/>
      <c r="T3257" s="1" t="s">
        <v>11474</v>
      </c>
      <c r="U3257" s="1"/>
      <c r="V3257" s="1">
        <v>357.25</v>
      </c>
      <c r="W3257" s="1">
        <v>357.25</v>
      </c>
      <c r="X3257" s="1" t="s">
        <v>35</v>
      </c>
      <c r="Y3257" s="1">
        <v>357250.0</v>
      </c>
      <c r="Z3257" s="1"/>
      <c r="AA3257" s="1">
        <v>357250.0</v>
      </c>
      <c r="AB3257" s="1"/>
      <c r="AC3257" s="1" t="s">
        <v>36</v>
      </c>
      <c r="AD3257" s="1" t="s">
        <v>11472</v>
      </c>
      <c r="AE3257" s="1" t="s">
        <v>32</v>
      </c>
      <c r="AF3257" s="1" t="s">
        <v>33</v>
      </c>
      <c r="AG3257" s="1" t="s">
        <v>270</v>
      </c>
    </row>
    <row r="3258" spans="1:33">
      <c r="A3258" t="s">
        <v>11476</v>
      </c>
      <c r="B3258" t="s">
        <v>11477</v>
      </c>
      <c r="C3258" t="s">
        <v>268</v>
      </c>
      <c r="E3258" t="s">
        <v>10933</v>
      </c>
      <c r="F3258" t="s">
        <v>10938</v>
      </c>
      <c r="G3258">
        <v>90.3</v>
      </c>
      <c r="H3258">
        <v>90.3</v>
      </c>
      <c r="I3258" t="s">
        <v>269</v>
      </c>
      <c r="J3258" t="s">
        <v>270</v>
      </c>
      <c r="K3258" t="s">
        <v>31</v>
      </c>
      <c r="L3258" t="s">
        <v>32</v>
      </c>
      <c r="M3258" t="s">
        <v>33</v>
      </c>
      <c r="P3258" s="1" t="s">
        <v>11478</v>
      </c>
      <c r="Q3258" s="1" t="s">
        <v>10933</v>
      </c>
      <c r="R3258" s="1" t="s">
        <v>10933</v>
      </c>
      <c r="S3258" s="1"/>
      <c r="T3258" s="1" t="s">
        <v>268</v>
      </c>
      <c r="U3258" s="1"/>
      <c r="V3258" s="1">
        <v>90.3</v>
      </c>
      <c r="W3258" s="1">
        <v>90.3</v>
      </c>
      <c r="X3258" s="1" t="s">
        <v>35</v>
      </c>
      <c r="Y3258" s="1">
        <v>90300.0</v>
      </c>
      <c r="Z3258" s="1"/>
      <c r="AA3258" s="1">
        <v>90300.0</v>
      </c>
      <c r="AB3258" s="1"/>
      <c r="AC3258" s="1" t="s">
        <v>36</v>
      </c>
      <c r="AD3258" s="1" t="s">
        <v>11479</v>
      </c>
      <c r="AE3258" s="1" t="s">
        <v>32</v>
      </c>
      <c r="AF3258" s="1" t="s">
        <v>33</v>
      </c>
      <c r="AG3258" s="1" t="s">
        <v>270</v>
      </c>
    </row>
    <row r="3259" spans="1:33">
      <c r="A3259" t="s">
        <v>11480</v>
      </c>
      <c r="C3259" t="s">
        <v>827</v>
      </c>
      <c r="D3259" t="s">
        <v>154</v>
      </c>
      <c r="E3259" t="s">
        <v>10933</v>
      </c>
      <c r="F3259" t="s">
        <v>10938</v>
      </c>
      <c r="G3259">
        <v>20.0</v>
      </c>
      <c r="H3259">
        <v>20.0</v>
      </c>
      <c r="I3259" t="s">
        <v>269</v>
      </c>
      <c r="J3259" t="s">
        <v>270</v>
      </c>
      <c r="K3259" t="s">
        <v>31</v>
      </c>
      <c r="L3259" t="s">
        <v>32</v>
      </c>
      <c r="M3259" t="s">
        <v>33</v>
      </c>
      <c r="P3259" s="1" t="s">
        <v>11481</v>
      </c>
      <c r="Q3259" s="1" t="s">
        <v>10933</v>
      </c>
      <c r="R3259" s="1" t="s">
        <v>10933</v>
      </c>
      <c r="S3259" s="1"/>
      <c r="T3259" s="1" t="s">
        <v>827</v>
      </c>
      <c r="U3259" s="1"/>
      <c r="V3259" s="1">
        <v>20.0</v>
      </c>
      <c r="W3259" s="1">
        <v>20.0</v>
      </c>
      <c r="X3259" s="1" t="s">
        <v>35</v>
      </c>
      <c r="Y3259" s="1">
        <v>20000.0</v>
      </c>
      <c r="Z3259" s="1"/>
      <c r="AA3259" s="1">
        <v>20000.0</v>
      </c>
      <c r="AB3259" s="1"/>
      <c r="AC3259" s="1" t="s">
        <v>36</v>
      </c>
      <c r="AD3259" s="1" t="s">
        <v>11482</v>
      </c>
      <c r="AE3259" s="1" t="s">
        <v>32</v>
      </c>
      <c r="AF3259" s="1" t="s">
        <v>33</v>
      </c>
      <c r="AG3259" s="1" t="s">
        <v>270</v>
      </c>
    </row>
    <row r="3260" spans="1:33">
      <c r="A3260" t="s">
        <v>11483</v>
      </c>
      <c r="C3260" t="s">
        <v>405</v>
      </c>
      <c r="E3260" t="s">
        <v>10933</v>
      </c>
      <c r="F3260" t="s">
        <v>10938</v>
      </c>
      <c r="G3260">
        <v>642.0</v>
      </c>
      <c r="H3260">
        <v>642.0</v>
      </c>
      <c r="I3260" t="s">
        <v>269</v>
      </c>
      <c r="J3260" t="s">
        <v>270</v>
      </c>
      <c r="K3260" t="s">
        <v>31</v>
      </c>
      <c r="L3260" t="s">
        <v>32</v>
      </c>
      <c r="M3260" t="s">
        <v>33</v>
      </c>
      <c r="P3260" s="1" t="s">
        <v>11484</v>
      </c>
      <c r="Q3260" s="1" t="s">
        <v>10933</v>
      </c>
      <c r="R3260" s="1" t="s">
        <v>10933</v>
      </c>
      <c r="S3260" s="1"/>
      <c r="T3260" s="1" t="s">
        <v>405</v>
      </c>
      <c r="U3260" s="1"/>
      <c r="V3260" s="1">
        <v>642.0</v>
      </c>
      <c r="W3260" s="1">
        <v>642.0</v>
      </c>
      <c r="X3260" s="1" t="s">
        <v>35</v>
      </c>
      <c r="Y3260" s="1">
        <v>642000.0</v>
      </c>
      <c r="Z3260" s="1"/>
      <c r="AA3260" s="1">
        <v>642000.0</v>
      </c>
      <c r="AB3260" s="1"/>
      <c r="AC3260" s="1" t="s">
        <v>36</v>
      </c>
      <c r="AD3260" s="1" t="s">
        <v>11485</v>
      </c>
      <c r="AE3260" s="1" t="s">
        <v>32</v>
      </c>
      <c r="AF3260" s="1" t="s">
        <v>33</v>
      </c>
      <c r="AG3260" s="1" t="s">
        <v>270</v>
      </c>
    </row>
    <row r="3261" spans="1:33">
      <c r="A3261" t="s">
        <v>11486</v>
      </c>
      <c r="B3261" t="s">
        <v>11487</v>
      </c>
      <c r="C3261" t="s">
        <v>1183</v>
      </c>
      <c r="D3261" t="s">
        <v>114</v>
      </c>
      <c r="E3261" t="s">
        <v>10933</v>
      </c>
      <c r="F3261" t="s">
        <v>10938</v>
      </c>
      <c r="G3261">
        <v>336.0</v>
      </c>
      <c r="H3261">
        <v>336.0</v>
      </c>
      <c r="I3261" t="s">
        <v>29</v>
      </c>
      <c r="J3261" t="s">
        <v>30</v>
      </c>
      <c r="K3261" t="s">
        <v>31</v>
      </c>
      <c r="L3261" t="s">
        <v>32</v>
      </c>
      <c r="M3261" t="s">
        <v>33</v>
      </c>
      <c r="P3261" s="1" t="s">
        <v>11488</v>
      </c>
      <c r="Q3261" s="1" t="s">
        <v>10933</v>
      </c>
      <c r="R3261" s="1" t="s">
        <v>10933</v>
      </c>
      <c r="S3261" s="1"/>
      <c r="T3261" s="1" t="s">
        <v>1185</v>
      </c>
      <c r="U3261" s="1" t="s">
        <v>1186</v>
      </c>
      <c r="V3261" s="1">
        <v>336.0</v>
      </c>
      <c r="W3261" s="1">
        <v>336.0</v>
      </c>
      <c r="X3261" s="1" t="s">
        <v>35</v>
      </c>
      <c r="Y3261" s="1">
        <v>336000.0</v>
      </c>
      <c r="Z3261" s="1"/>
      <c r="AA3261" s="1">
        <v>336000.0</v>
      </c>
      <c r="AB3261" s="1"/>
      <c r="AC3261" s="1" t="s">
        <v>36</v>
      </c>
      <c r="AD3261" s="1" t="s">
        <v>11489</v>
      </c>
      <c r="AE3261" s="1" t="s">
        <v>32</v>
      </c>
      <c r="AF3261" s="1" t="s">
        <v>33</v>
      </c>
      <c r="AG3261" s="1" t="s">
        <v>30</v>
      </c>
    </row>
    <row r="3262" spans="1:33">
      <c r="A3262" t="s">
        <v>11490</v>
      </c>
      <c r="B3262" t="s">
        <v>11491</v>
      </c>
      <c r="C3262" t="s">
        <v>73</v>
      </c>
      <c r="E3262" t="s">
        <v>10933</v>
      </c>
      <c r="F3262" t="s">
        <v>10938</v>
      </c>
      <c r="G3262">
        <v>176.0</v>
      </c>
      <c r="H3262">
        <v>176.0</v>
      </c>
      <c r="I3262" t="s">
        <v>40</v>
      </c>
      <c r="J3262" t="s">
        <v>41</v>
      </c>
      <c r="K3262" t="s">
        <v>31</v>
      </c>
      <c r="L3262" t="s">
        <v>32</v>
      </c>
      <c r="M3262" t="s">
        <v>33</v>
      </c>
      <c r="P3262" s="1" t="s">
        <v>11492</v>
      </c>
      <c r="Q3262" s="1" t="s">
        <v>10933</v>
      </c>
      <c r="R3262" s="1" t="s">
        <v>10324</v>
      </c>
      <c r="S3262" s="1"/>
      <c r="T3262" s="1" t="s">
        <v>75</v>
      </c>
      <c r="U3262" s="1" t="s">
        <v>76</v>
      </c>
      <c r="V3262" s="1">
        <v>176.0</v>
      </c>
      <c r="W3262" s="1">
        <v>176.0</v>
      </c>
      <c r="X3262" s="1" t="s">
        <v>35</v>
      </c>
      <c r="Y3262" s="1">
        <v>176000.0</v>
      </c>
      <c r="Z3262" s="1"/>
      <c r="AA3262" s="1">
        <v>176000.0</v>
      </c>
      <c r="AB3262" s="1"/>
      <c r="AC3262" s="1" t="s">
        <v>36</v>
      </c>
      <c r="AD3262" s="1" t="s">
        <v>11493</v>
      </c>
      <c r="AE3262" s="1" t="s">
        <v>32</v>
      </c>
      <c r="AF3262" s="1" t="s">
        <v>33</v>
      </c>
      <c r="AG3262" s="1" t="s">
        <v>41</v>
      </c>
    </row>
    <row r="3263" spans="1:33">
      <c r="A3263" t="s">
        <v>11494</v>
      </c>
      <c r="C3263" t="s">
        <v>2842</v>
      </c>
      <c r="E3263" t="s">
        <v>10933</v>
      </c>
      <c r="F3263" t="s">
        <v>10938</v>
      </c>
      <c r="G3263">
        <v>320.0</v>
      </c>
      <c r="H3263">
        <v>320.0</v>
      </c>
      <c r="I3263" t="s">
        <v>2206</v>
      </c>
      <c r="J3263" t="s">
        <v>49</v>
      </c>
      <c r="K3263" t="s">
        <v>31</v>
      </c>
      <c r="L3263" t="s">
        <v>32</v>
      </c>
      <c r="M3263" t="s">
        <v>33</v>
      </c>
      <c r="P3263" s="1" t="s">
        <v>11495</v>
      </c>
      <c r="Q3263" s="1" t="s">
        <v>10933</v>
      </c>
      <c r="R3263" s="1" t="s">
        <v>10933</v>
      </c>
      <c r="S3263" s="1"/>
      <c r="T3263" s="1" t="s">
        <v>2842</v>
      </c>
      <c r="U3263" s="1"/>
      <c r="V3263" s="1">
        <v>320.0</v>
      </c>
      <c r="W3263" s="1">
        <v>320.0</v>
      </c>
      <c r="X3263" s="1" t="s">
        <v>35</v>
      </c>
      <c r="Y3263" s="1">
        <v>320000.0</v>
      </c>
      <c r="Z3263" s="1"/>
      <c r="AA3263" s="1">
        <v>320000.0</v>
      </c>
      <c r="AB3263" s="1"/>
      <c r="AC3263" s="1" t="s">
        <v>36</v>
      </c>
      <c r="AD3263" s="1" t="s">
        <v>11496</v>
      </c>
      <c r="AE3263" s="1" t="s">
        <v>32</v>
      </c>
      <c r="AF3263" s="1" t="s">
        <v>33</v>
      </c>
      <c r="AG3263" s="1" t="s">
        <v>49</v>
      </c>
    </row>
    <row r="3264" spans="1:33">
      <c r="A3264" t="s">
        <v>11497</v>
      </c>
      <c r="C3264" t="s">
        <v>1518</v>
      </c>
      <c r="E3264" t="s">
        <v>10933</v>
      </c>
      <c r="F3264" t="s">
        <v>10938</v>
      </c>
      <c r="G3264">
        <v>662.72</v>
      </c>
      <c r="H3264">
        <v>662.72</v>
      </c>
      <c r="I3264" t="s">
        <v>40</v>
      </c>
      <c r="J3264" t="s">
        <v>41</v>
      </c>
      <c r="K3264" t="s">
        <v>31</v>
      </c>
      <c r="L3264" t="s">
        <v>32</v>
      </c>
      <c r="M3264" t="s">
        <v>33</v>
      </c>
      <c r="P3264" s="1" t="s">
        <v>11498</v>
      </c>
      <c r="Q3264" s="1" t="s">
        <v>10933</v>
      </c>
      <c r="R3264" s="1" t="s">
        <v>10324</v>
      </c>
      <c r="S3264" s="1"/>
      <c r="T3264" s="1" t="s">
        <v>1518</v>
      </c>
      <c r="U3264" s="1"/>
      <c r="V3264" s="1">
        <v>662.72</v>
      </c>
      <c r="W3264" s="1">
        <v>662.72</v>
      </c>
      <c r="X3264" s="1" t="s">
        <v>35</v>
      </c>
      <c r="Y3264" s="1">
        <v>662720.0</v>
      </c>
      <c r="Z3264" s="1"/>
      <c r="AA3264" s="1">
        <v>662720.0</v>
      </c>
      <c r="AB3264" s="1"/>
      <c r="AC3264" s="1" t="s">
        <v>36</v>
      </c>
      <c r="AD3264" s="1" t="s">
        <v>11485</v>
      </c>
      <c r="AE3264" s="1" t="s">
        <v>32</v>
      </c>
      <c r="AF3264" s="1" t="s">
        <v>33</v>
      </c>
      <c r="AG3264" s="1" t="s">
        <v>41</v>
      </c>
    </row>
    <row r="3265" spans="1:33">
      <c r="A3265" t="s">
        <v>11499</v>
      </c>
      <c r="C3265" t="s">
        <v>595</v>
      </c>
      <c r="E3265" t="s">
        <v>10933</v>
      </c>
      <c r="F3265" t="s">
        <v>10938</v>
      </c>
      <c r="G3265">
        <v>1.118</v>
      </c>
      <c r="H3265">
        <v>1.118</v>
      </c>
      <c r="I3265" t="s">
        <v>269</v>
      </c>
      <c r="J3265" t="s">
        <v>270</v>
      </c>
      <c r="K3265" t="s">
        <v>31</v>
      </c>
      <c r="L3265" t="s">
        <v>32</v>
      </c>
      <c r="M3265" t="s">
        <v>33</v>
      </c>
      <c r="P3265" s="1" t="s">
        <v>11500</v>
      </c>
      <c r="Q3265" s="1" t="s">
        <v>10933</v>
      </c>
      <c r="R3265" s="1" t="s">
        <v>10933</v>
      </c>
      <c r="S3265" s="1"/>
      <c r="T3265" s="1" t="s">
        <v>595</v>
      </c>
      <c r="U3265" s="1"/>
      <c r="V3265" s="1">
        <v>1.118</v>
      </c>
      <c r="W3265" s="1">
        <v>1.118</v>
      </c>
      <c r="X3265" s="1" t="s">
        <v>35</v>
      </c>
      <c r="Y3265" s="1">
        <v>1118000.0</v>
      </c>
      <c r="Z3265" s="1"/>
      <c r="AA3265" s="1">
        <v>1118000.0</v>
      </c>
      <c r="AB3265" s="1"/>
      <c r="AC3265" s="1" t="s">
        <v>36</v>
      </c>
      <c r="AD3265" s="1" t="s">
        <v>11501</v>
      </c>
      <c r="AE3265" s="1" t="s">
        <v>32</v>
      </c>
      <c r="AF3265" s="1" t="s">
        <v>33</v>
      </c>
      <c r="AG3265" s="1" t="s">
        <v>270</v>
      </c>
    </row>
    <row r="3266" spans="1:33">
      <c r="A3266" t="s">
        <v>11502</v>
      </c>
      <c r="C3266" t="s">
        <v>2938</v>
      </c>
      <c r="E3266" t="s">
        <v>10933</v>
      </c>
      <c r="F3266" t="s">
        <v>10938</v>
      </c>
      <c r="G3266">
        <v>1.051</v>
      </c>
      <c r="H3266">
        <v>1.051</v>
      </c>
      <c r="I3266" t="s">
        <v>269</v>
      </c>
      <c r="J3266" t="s">
        <v>270</v>
      </c>
      <c r="K3266" t="s">
        <v>31</v>
      </c>
      <c r="L3266" t="s">
        <v>32</v>
      </c>
      <c r="M3266" t="s">
        <v>33</v>
      </c>
      <c r="P3266" s="1" t="s">
        <v>11503</v>
      </c>
      <c r="Q3266" s="1" t="s">
        <v>10933</v>
      </c>
      <c r="R3266" s="1" t="s">
        <v>10933</v>
      </c>
      <c r="S3266" s="1"/>
      <c r="T3266" s="1" t="s">
        <v>2938</v>
      </c>
      <c r="U3266" s="1"/>
      <c r="V3266" s="1">
        <v>1.051</v>
      </c>
      <c r="W3266" s="1">
        <v>1.051</v>
      </c>
      <c r="X3266" s="1" t="s">
        <v>35</v>
      </c>
      <c r="Y3266" s="1">
        <v>1051000.0</v>
      </c>
      <c r="Z3266" s="1"/>
      <c r="AA3266" s="1">
        <v>1051000.0</v>
      </c>
      <c r="AB3266" s="1"/>
      <c r="AC3266" s="1" t="s">
        <v>36</v>
      </c>
      <c r="AD3266" s="1" t="s">
        <v>11504</v>
      </c>
      <c r="AE3266" s="1" t="s">
        <v>32</v>
      </c>
      <c r="AF3266" s="1" t="s">
        <v>33</v>
      </c>
      <c r="AG3266" s="1" t="s">
        <v>270</v>
      </c>
    </row>
    <row r="3267" spans="1:33">
      <c r="A3267" t="s">
        <v>11505</v>
      </c>
      <c r="B3267" t="s">
        <v>11506</v>
      </c>
      <c r="C3267" t="s">
        <v>68</v>
      </c>
      <c r="E3267" t="s">
        <v>10933</v>
      </c>
      <c r="F3267" t="s">
        <v>10938</v>
      </c>
      <c r="G3267">
        <v>61.75</v>
      </c>
      <c r="H3267">
        <v>61.75</v>
      </c>
      <c r="I3267" t="s">
        <v>59</v>
      </c>
      <c r="J3267" t="s">
        <v>60</v>
      </c>
      <c r="K3267" t="s">
        <v>31</v>
      </c>
      <c r="L3267" t="s">
        <v>32</v>
      </c>
      <c r="M3267" t="s">
        <v>33</v>
      </c>
      <c r="P3267" s="1" t="s">
        <v>11507</v>
      </c>
      <c r="Q3267" s="1" t="s">
        <v>10933</v>
      </c>
      <c r="R3267" s="1" t="s">
        <v>10933</v>
      </c>
      <c r="S3267" s="1"/>
      <c r="T3267" s="1" t="s">
        <v>68</v>
      </c>
      <c r="U3267" s="1"/>
      <c r="V3267" s="1">
        <v>61.75</v>
      </c>
      <c r="W3267" s="1">
        <v>61.75</v>
      </c>
      <c r="X3267" s="1" t="s">
        <v>35</v>
      </c>
      <c r="Y3267" s="1">
        <v>61750.0</v>
      </c>
      <c r="Z3267" s="1"/>
      <c r="AA3267" s="1">
        <v>61750.0</v>
      </c>
      <c r="AB3267" s="1"/>
      <c r="AC3267" s="1" t="s">
        <v>36</v>
      </c>
      <c r="AD3267" s="1" t="s">
        <v>11508</v>
      </c>
      <c r="AE3267" s="1" t="s">
        <v>32</v>
      </c>
      <c r="AF3267" s="1" t="s">
        <v>33</v>
      </c>
      <c r="AG3267" s="1" t="s">
        <v>60</v>
      </c>
    </row>
    <row r="3268" spans="1:33">
      <c r="A3268" t="s">
        <v>11509</v>
      </c>
      <c r="C3268" t="s">
        <v>4634</v>
      </c>
      <c r="E3268" t="s">
        <v>10933</v>
      </c>
      <c r="F3268" t="s">
        <v>10938</v>
      </c>
      <c r="G3268">
        <v>1.968</v>
      </c>
      <c r="H3268">
        <v>1.968</v>
      </c>
      <c r="I3268" t="s">
        <v>269</v>
      </c>
      <c r="J3268" t="s">
        <v>270</v>
      </c>
      <c r="K3268" t="s">
        <v>31</v>
      </c>
      <c r="L3268" t="s">
        <v>32</v>
      </c>
      <c r="M3268" t="s">
        <v>33</v>
      </c>
      <c r="P3268" s="1" t="s">
        <v>11510</v>
      </c>
      <c r="Q3268" s="1" t="s">
        <v>10933</v>
      </c>
      <c r="R3268" s="1" t="s">
        <v>10933</v>
      </c>
      <c r="S3268" s="1"/>
      <c r="T3268" s="1" t="s">
        <v>4634</v>
      </c>
      <c r="U3268" s="1"/>
      <c r="V3268" s="1">
        <v>1.968</v>
      </c>
      <c r="W3268" s="1">
        <v>1.968</v>
      </c>
      <c r="X3268" s="1" t="s">
        <v>35</v>
      </c>
      <c r="Y3268" s="1">
        <v>1968000.0</v>
      </c>
      <c r="Z3268" s="1"/>
      <c r="AA3268" s="1">
        <v>1968000.0</v>
      </c>
      <c r="AB3268" s="1"/>
      <c r="AC3268" s="1" t="s">
        <v>36</v>
      </c>
      <c r="AD3268" s="1" t="s">
        <v>11511</v>
      </c>
      <c r="AE3268" s="1" t="s">
        <v>32</v>
      </c>
      <c r="AF3268" s="1" t="s">
        <v>33</v>
      </c>
      <c r="AG3268" s="1" t="s">
        <v>270</v>
      </c>
    </row>
    <row r="3269" spans="1:33">
      <c r="A3269" t="s">
        <v>11512</v>
      </c>
      <c r="C3269" t="s">
        <v>866</v>
      </c>
      <c r="D3269" t="s">
        <v>154</v>
      </c>
      <c r="E3269" t="s">
        <v>10933</v>
      </c>
      <c r="F3269" t="s">
        <v>10938</v>
      </c>
      <c r="G3269">
        <v>623.5</v>
      </c>
      <c r="H3269">
        <v>623.5</v>
      </c>
      <c r="I3269" t="s">
        <v>2206</v>
      </c>
      <c r="J3269" t="s">
        <v>49</v>
      </c>
      <c r="K3269" t="s">
        <v>31</v>
      </c>
      <c r="L3269" t="s">
        <v>32</v>
      </c>
      <c r="M3269" t="s">
        <v>33</v>
      </c>
      <c r="P3269" s="1" t="s">
        <v>11513</v>
      </c>
      <c r="Q3269" s="1" t="s">
        <v>10933</v>
      </c>
      <c r="R3269" s="1" t="s">
        <v>10933</v>
      </c>
      <c r="S3269" s="1"/>
      <c r="T3269" s="1" t="s">
        <v>868</v>
      </c>
      <c r="U3269" s="1" t="s">
        <v>869</v>
      </c>
      <c r="V3269" s="1">
        <v>623.5</v>
      </c>
      <c r="W3269" s="1">
        <v>623.5</v>
      </c>
      <c r="X3269" s="1" t="s">
        <v>35</v>
      </c>
      <c r="Y3269" s="1">
        <v>623500.0</v>
      </c>
      <c r="Z3269" s="1"/>
      <c r="AA3269" s="1">
        <v>623500.0</v>
      </c>
      <c r="AB3269" s="1"/>
      <c r="AC3269" s="1" t="s">
        <v>36</v>
      </c>
      <c r="AD3269" s="1" t="s">
        <v>11514</v>
      </c>
      <c r="AE3269" s="1" t="s">
        <v>32</v>
      </c>
      <c r="AF3269" s="1" t="s">
        <v>33</v>
      </c>
      <c r="AG3269" s="1" t="s">
        <v>49</v>
      </c>
    </row>
    <row r="3270" spans="1:33">
      <c r="A3270" t="s">
        <v>11515</v>
      </c>
      <c r="C3270" t="s">
        <v>3729</v>
      </c>
      <c r="D3270" t="s">
        <v>154</v>
      </c>
      <c r="E3270" t="s">
        <v>10933</v>
      </c>
      <c r="F3270" t="s">
        <v>10938</v>
      </c>
      <c r="G3270">
        <v>560.95</v>
      </c>
      <c r="H3270">
        <v>560.95</v>
      </c>
      <c r="I3270" t="s">
        <v>269</v>
      </c>
      <c r="J3270" t="s">
        <v>270</v>
      </c>
      <c r="K3270" t="s">
        <v>31</v>
      </c>
      <c r="L3270" t="s">
        <v>32</v>
      </c>
      <c r="M3270" t="s">
        <v>33</v>
      </c>
      <c r="P3270" s="1" t="s">
        <v>11516</v>
      </c>
      <c r="Q3270" s="1" t="s">
        <v>10933</v>
      </c>
      <c r="R3270" s="1" t="s">
        <v>10933</v>
      </c>
      <c r="S3270" s="1"/>
      <c r="T3270" s="1" t="s">
        <v>3729</v>
      </c>
      <c r="U3270" s="1"/>
      <c r="V3270" s="1">
        <v>560.95</v>
      </c>
      <c r="W3270" s="1">
        <v>560.95</v>
      </c>
      <c r="X3270" s="1" t="s">
        <v>35</v>
      </c>
      <c r="Y3270" s="1">
        <v>560950.0</v>
      </c>
      <c r="Z3270" s="1"/>
      <c r="AA3270" s="1">
        <v>560950.0</v>
      </c>
      <c r="AB3270" s="1"/>
      <c r="AC3270" s="1" t="s">
        <v>36</v>
      </c>
      <c r="AD3270" s="1" t="s">
        <v>11517</v>
      </c>
      <c r="AE3270" s="1" t="s">
        <v>32</v>
      </c>
      <c r="AF3270" s="1" t="s">
        <v>33</v>
      </c>
      <c r="AG3270" s="1" t="s">
        <v>270</v>
      </c>
    </row>
    <row r="3271" spans="1:33">
      <c r="A3271" t="s">
        <v>11518</v>
      </c>
      <c r="C3271" t="s">
        <v>64</v>
      </c>
      <c r="E3271" t="s">
        <v>10933</v>
      </c>
      <c r="F3271" t="s">
        <v>10938</v>
      </c>
      <c r="G3271">
        <v>980.0</v>
      </c>
      <c r="H3271">
        <v>980.0</v>
      </c>
      <c r="I3271" t="s">
        <v>2206</v>
      </c>
      <c r="J3271" t="s">
        <v>49</v>
      </c>
      <c r="K3271" t="s">
        <v>31</v>
      </c>
      <c r="L3271" t="s">
        <v>32</v>
      </c>
      <c r="M3271" t="s">
        <v>33</v>
      </c>
      <c r="P3271" s="1" t="s">
        <v>11519</v>
      </c>
      <c r="Q3271" s="1" t="s">
        <v>10933</v>
      </c>
      <c r="R3271" s="1" t="s">
        <v>10933</v>
      </c>
      <c r="S3271" s="1"/>
      <c r="T3271" s="1" t="s">
        <v>64</v>
      </c>
      <c r="U3271" s="1"/>
      <c r="V3271" s="1">
        <v>980.0</v>
      </c>
      <c r="W3271" s="1">
        <v>980.0</v>
      </c>
      <c r="X3271" s="1" t="s">
        <v>35</v>
      </c>
      <c r="Y3271" s="1">
        <v>980000.0</v>
      </c>
      <c r="Z3271" s="1"/>
      <c r="AA3271" s="1">
        <v>980000.0</v>
      </c>
      <c r="AB3271" s="1"/>
      <c r="AC3271" s="1" t="s">
        <v>36</v>
      </c>
      <c r="AD3271" s="1" t="s">
        <v>11520</v>
      </c>
      <c r="AE3271" s="1" t="s">
        <v>32</v>
      </c>
      <c r="AF3271" s="1" t="s">
        <v>33</v>
      </c>
      <c r="AG3271" s="1" t="s">
        <v>49</v>
      </c>
    </row>
    <row r="3272" spans="1:33">
      <c r="A3272" t="s">
        <v>11521</v>
      </c>
      <c r="C3272" t="s">
        <v>11522</v>
      </c>
      <c r="E3272" t="s">
        <v>10933</v>
      </c>
      <c r="F3272" t="s">
        <v>10938</v>
      </c>
      <c r="G3272">
        <v>922.5</v>
      </c>
      <c r="H3272">
        <v>922.5</v>
      </c>
      <c r="I3272" t="s">
        <v>269</v>
      </c>
      <c r="J3272" t="s">
        <v>270</v>
      </c>
      <c r="K3272" t="s">
        <v>31</v>
      </c>
      <c r="L3272" t="s">
        <v>32</v>
      </c>
      <c r="M3272" t="s">
        <v>33</v>
      </c>
      <c r="P3272" s="1" t="s">
        <v>11523</v>
      </c>
      <c r="Q3272" s="1" t="s">
        <v>10933</v>
      </c>
      <c r="R3272" s="1" t="s">
        <v>10933</v>
      </c>
      <c r="S3272" s="1"/>
      <c r="T3272" s="1" t="s">
        <v>11522</v>
      </c>
      <c r="U3272" s="1"/>
      <c r="V3272" s="1">
        <v>922.5</v>
      </c>
      <c r="W3272" s="1">
        <v>922.5</v>
      </c>
      <c r="X3272" s="1" t="s">
        <v>35</v>
      </c>
      <c r="Y3272" s="1">
        <v>922500.0</v>
      </c>
      <c r="Z3272" s="1"/>
      <c r="AA3272" s="1">
        <v>922500.0</v>
      </c>
      <c r="AB3272" s="1"/>
      <c r="AC3272" s="1" t="s">
        <v>36</v>
      </c>
      <c r="AD3272" s="1" t="s">
        <v>11493</v>
      </c>
      <c r="AE3272" s="1" t="s">
        <v>32</v>
      </c>
      <c r="AF3272" s="1" t="s">
        <v>33</v>
      </c>
      <c r="AG3272" s="1" t="s">
        <v>270</v>
      </c>
    </row>
    <row r="3273" spans="1:33">
      <c r="A3273" t="s">
        <v>11524</v>
      </c>
      <c r="B3273" t="s">
        <v>11525</v>
      </c>
      <c r="C3273" t="s">
        <v>68</v>
      </c>
      <c r="E3273" t="s">
        <v>10933</v>
      </c>
      <c r="F3273" t="s">
        <v>10938</v>
      </c>
      <c r="G3273">
        <v>21.492</v>
      </c>
      <c r="H3273">
        <v>21.492</v>
      </c>
      <c r="I3273" t="s">
        <v>59</v>
      </c>
      <c r="J3273" t="s">
        <v>60</v>
      </c>
      <c r="K3273" t="s">
        <v>31</v>
      </c>
      <c r="L3273" t="s">
        <v>32</v>
      </c>
      <c r="M3273" t="s">
        <v>33</v>
      </c>
      <c r="P3273" s="1" t="s">
        <v>11526</v>
      </c>
      <c r="Q3273" s="1" t="s">
        <v>10933</v>
      </c>
      <c r="R3273" s="1" t="s">
        <v>10933</v>
      </c>
      <c r="S3273" s="1"/>
      <c r="T3273" s="1" t="s">
        <v>68</v>
      </c>
      <c r="U3273" s="1"/>
      <c r="V3273" s="1">
        <v>21.492</v>
      </c>
      <c r="W3273" s="1">
        <v>21.492</v>
      </c>
      <c r="X3273" s="1" t="s">
        <v>35</v>
      </c>
      <c r="Y3273" s="1">
        <v>21492.0</v>
      </c>
      <c r="Z3273" s="1"/>
      <c r="AA3273" s="1">
        <v>21492.0</v>
      </c>
      <c r="AB3273" s="1"/>
      <c r="AC3273" s="1" t="s">
        <v>36</v>
      </c>
      <c r="AD3273" s="1" t="s">
        <v>11527</v>
      </c>
      <c r="AE3273" s="1" t="s">
        <v>32</v>
      </c>
      <c r="AF3273" s="1" t="s">
        <v>33</v>
      </c>
      <c r="AG3273" s="1" t="s">
        <v>60</v>
      </c>
    </row>
    <row r="3274" spans="1:33">
      <c r="A3274" t="s">
        <v>11528</v>
      </c>
      <c r="C3274" t="s">
        <v>1518</v>
      </c>
      <c r="E3274" t="s">
        <v>10933</v>
      </c>
      <c r="F3274" t="s">
        <v>10938</v>
      </c>
      <c r="G3274">
        <v>630.0</v>
      </c>
      <c r="H3274">
        <v>630.0</v>
      </c>
      <c r="I3274" t="s">
        <v>40</v>
      </c>
      <c r="J3274" t="s">
        <v>41</v>
      </c>
      <c r="K3274" t="s">
        <v>31</v>
      </c>
      <c r="L3274" t="s">
        <v>32</v>
      </c>
      <c r="M3274" t="s">
        <v>33</v>
      </c>
      <c r="P3274" s="1" t="s">
        <v>11529</v>
      </c>
      <c r="Q3274" s="1" t="s">
        <v>10933</v>
      </c>
      <c r="R3274" s="1" t="s">
        <v>10324</v>
      </c>
      <c r="S3274" s="1"/>
      <c r="T3274" s="1" t="s">
        <v>1518</v>
      </c>
      <c r="U3274" s="1"/>
      <c r="V3274" s="1">
        <v>630.0</v>
      </c>
      <c r="W3274" s="1">
        <v>630.0</v>
      </c>
      <c r="X3274" s="1" t="s">
        <v>35</v>
      </c>
      <c r="Y3274" s="1">
        <v>630000.0</v>
      </c>
      <c r="Z3274" s="1"/>
      <c r="AA3274" s="1">
        <v>630000.0</v>
      </c>
      <c r="AB3274" s="1"/>
      <c r="AC3274" s="1" t="s">
        <v>36</v>
      </c>
      <c r="AD3274" s="1" t="s">
        <v>11530</v>
      </c>
      <c r="AE3274" s="1" t="s">
        <v>32</v>
      </c>
      <c r="AF3274" s="1" t="s">
        <v>33</v>
      </c>
      <c r="AG3274" s="1" t="s">
        <v>41</v>
      </c>
    </row>
    <row r="3275" spans="1:33">
      <c r="A3275" t="s">
        <v>11531</v>
      </c>
      <c r="B3275" t="s">
        <v>6227</v>
      </c>
      <c r="C3275" t="s">
        <v>6228</v>
      </c>
      <c r="E3275" t="s">
        <v>10933</v>
      </c>
      <c r="F3275" t="s">
        <v>10938</v>
      </c>
      <c r="G3275">
        <v>320.0</v>
      </c>
      <c r="H3275">
        <v>320.0</v>
      </c>
      <c r="I3275" t="s">
        <v>40</v>
      </c>
      <c r="J3275" t="s">
        <v>41</v>
      </c>
      <c r="K3275" t="s">
        <v>31</v>
      </c>
      <c r="L3275" t="s">
        <v>32</v>
      </c>
      <c r="M3275" t="s">
        <v>33</v>
      </c>
      <c r="P3275" s="1" t="s">
        <v>11532</v>
      </c>
      <c r="Q3275" s="1" t="s">
        <v>10933</v>
      </c>
      <c r="R3275" s="1" t="s">
        <v>10324</v>
      </c>
      <c r="S3275" s="1"/>
      <c r="T3275" s="1" t="s">
        <v>6228</v>
      </c>
      <c r="U3275" s="1"/>
      <c r="V3275" s="1">
        <v>320.0</v>
      </c>
      <c r="W3275" s="1">
        <v>320.0</v>
      </c>
      <c r="X3275" s="1" t="s">
        <v>35</v>
      </c>
      <c r="Y3275" s="1">
        <v>320000.0</v>
      </c>
      <c r="Z3275" s="1"/>
      <c r="AA3275" s="1">
        <v>320000.0</v>
      </c>
      <c r="AB3275" s="1"/>
      <c r="AC3275" s="1" t="s">
        <v>36</v>
      </c>
      <c r="AD3275" s="1" t="s">
        <v>11533</v>
      </c>
      <c r="AE3275" s="1" t="s">
        <v>32</v>
      </c>
      <c r="AF3275" s="1" t="s">
        <v>33</v>
      </c>
      <c r="AG3275" s="1" t="s">
        <v>41</v>
      </c>
    </row>
    <row r="3276" spans="1:33">
      <c r="A3276" t="s">
        <v>11534</v>
      </c>
      <c r="C3276" t="s">
        <v>1053</v>
      </c>
      <c r="E3276" t="s">
        <v>10933</v>
      </c>
      <c r="F3276" t="s">
        <v>10938</v>
      </c>
      <c r="G3276">
        <v>1.498</v>
      </c>
      <c r="H3276">
        <v>1.498</v>
      </c>
      <c r="I3276" t="s">
        <v>179</v>
      </c>
      <c r="J3276" t="s">
        <v>180</v>
      </c>
      <c r="K3276" t="s">
        <v>31</v>
      </c>
      <c r="L3276" t="s">
        <v>32</v>
      </c>
      <c r="M3276" t="s">
        <v>33</v>
      </c>
      <c r="P3276" s="1" t="s">
        <v>11535</v>
      </c>
      <c r="Q3276" s="1" t="s">
        <v>10933</v>
      </c>
      <c r="R3276" s="1" t="s">
        <v>10933</v>
      </c>
      <c r="S3276" s="1"/>
      <c r="T3276" s="1" t="s">
        <v>1053</v>
      </c>
      <c r="U3276" s="1"/>
      <c r="V3276" s="1">
        <v>1.498</v>
      </c>
      <c r="W3276" s="1">
        <v>1.498</v>
      </c>
      <c r="X3276" s="1" t="s">
        <v>35</v>
      </c>
      <c r="Y3276" s="1">
        <v>1498000.0</v>
      </c>
      <c r="Z3276" s="1"/>
      <c r="AA3276" s="1">
        <v>1498000.0</v>
      </c>
      <c r="AB3276" s="1"/>
      <c r="AC3276" s="1" t="s">
        <v>36</v>
      </c>
      <c r="AD3276" s="1" t="s">
        <v>11536</v>
      </c>
      <c r="AE3276" s="1" t="s">
        <v>32</v>
      </c>
      <c r="AF3276" s="1" t="s">
        <v>33</v>
      </c>
      <c r="AG3276" s="1" t="s">
        <v>180</v>
      </c>
    </row>
    <row r="3277" spans="1:33">
      <c r="A3277" t="s">
        <v>11537</v>
      </c>
      <c r="C3277" t="s">
        <v>11538</v>
      </c>
      <c r="E3277" t="s">
        <v>10933</v>
      </c>
      <c r="F3277" t="s">
        <v>10938</v>
      </c>
      <c r="G3277">
        <v>714.0</v>
      </c>
      <c r="H3277">
        <v>714.0</v>
      </c>
      <c r="I3277" t="s">
        <v>269</v>
      </c>
      <c r="J3277" t="s">
        <v>270</v>
      </c>
      <c r="K3277" t="s">
        <v>31</v>
      </c>
      <c r="L3277" t="s">
        <v>32</v>
      </c>
      <c r="M3277" t="s">
        <v>33</v>
      </c>
      <c r="P3277" s="1" t="s">
        <v>11539</v>
      </c>
      <c r="Q3277" s="1" t="s">
        <v>10933</v>
      </c>
      <c r="R3277" s="1" t="s">
        <v>10933</v>
      </c>
      <c r="S3277" s="1"/>
      <c r="T3277" s="1" t="s">
        <v>11538</v>
      </c>
      <c r="U3277" s="1"/>
      <c r="V3277" s="1">
        <v>714.0</v>
      </c>
      <c r="W3277" s="1">
        <v>714.0</v>
      </c>
      <c r="X3277" s="1" t="s">
        <v>35</v>
      </c>
      <c r="Y3277" s="1">
        <v>714000.0</v>
      </c>
      <c r="Z3277" s="1"/>
      <c r="AA3277" s="1">
        <v>714000.0</v>
      </c>
      <c r="AB3277" s="1"/>
      <c r="AC3277" s="1" t="s">
        <v>36</v>
      </c>
      <c r="AD3277" s="1" t="s">
        <v>11540</v>
      </c>
      <c r="AE3277" s="1" t="s">
        <v>32</v>
      </c>
      <c r="AF3277" s="1" t="s">
        <v>33</v>
      </c>
      <c r="AG3277" s="1" t="s">
        <v>270</v>
      </c>
    </row>
    <row r="3278" spans="1:33">
      <c r="A3278" t="s">
        <v>11541</v>
      </c>
      <c r="C3278" t="s">
        <v>8067</v>
      </c>
      <c r="E3278" t="s">
        <v>10933</v>
      </c>
      <c r="F3278" t="s">
        <v>10938</v>
      </c>
      <c r="G3278">
        <v>352.0</v>
      </c>
      <c r="H3278">
        <v>352.0</v>
      </c>
      <c r="I3278" t="s">
        <v>179</v>
      </c>
      <c r="J3278" t="s">
        <v>180</v>
      </c>
      <c r="K3278" t="s">
        <v>31</v>
      </c>
      <c r="L3278" t="s">
        <v>32</v>
      </c>
      <c r="M3278" t="s">
        <v>33</v>
      </c>
      <c r="P3278" s="1" t="s">
        <v>11542</v>
      </c>
      <c r="Q3278" s="1" t="s">
        <v>10933</v>
      </c>
      <c r="R3278" s="1" t="s">
        <v>10933</v>
      </c>
      <c r="S3278" s="1"/>
      <c r="T3278" s="1" t="s">
        <v>8067</v>
      </c>
      <c r="U3278" s="1"/>
      <c r="V3278" s="1">
        <v>352.0</v>
      </c>
      <c r="W3278" s="1">
        <v>352.0</v>
      </c>
      <c r="X3278" s="1" t="s">
        <v>35</v>
      </c>
      <c r="Y3278" s="1">
        <v>352000.0</v>
      </c>
      <c r="Z3278" s="1"/>
      <c r="AA3278" s="1">
        <v>352000.0</v>
      </c>
      <c r="AB3278" s="1"/>
      <c r="AC3278" s="1" t="s">
        <v>36</v>
      </c>
      <c r="AD3278" s="1" t="s">
        <v>11543</v>
      </c>
      <c r="AE3278" s="1" t="s">
        <v>32</v>
      </c>
      <c r="AF3278" s="1" t="s">
        <v>33</v>
      </c>
      <c r="AG3278" s="1" t="s">
        <v>180</v>
      </c>
    </row>
    <row r="3279" spans="1:33">
      <c r="A3279" t="s">
        <v>11544</v>
      </c>
      <c r="C3279" t="s">
        <v>6076</v>
      </c>
      <c r="E3279" t="s">
        <v>10933</v>
      </c>
      <c r="F3279" t="s">
        <v>10938</v>
      </c>
      <c r="G3279">
        <v>336.0</v>
      </c>
      <c r="H3279">
        <v>336.0</v>
      </c>
      <c r="I3279" t="s">
        <v>570</v>
      </c>
      <c r="J3279" t="s">
        <v>571</v>
      </c>
      <c r="K3279" t="s">
        <v>31</v>
      </c>
      <c r="L3279" t="s">
        <v>32</v>
      </c>
      <c r="M3279" t="s">
        <v>33</v>
      </c>
      <c r="P3279" s="1" t="s">
        <v>11545</v>
      </c>
      <c r="Q3279" s="1" t="s">
        <v>10933</v>
      </c>
      <c r="R3279" s="1" t="s">
        <v>10933</v>
      </c>
      <c r="S3279" s="1"/>
      <c r="T3279" s="1" t="s">
        <v>6076</v>
      </c>
      <c r="U3279" s="1"/>
      <c r="V3279" s="1">
        <v>336.0</v>
      </c>
      <c r="W3279" s="1">
        <v>336.0</v>
      </c>
      <c r="X3279" s="1" t="s">
        <v>35</v>
      </c>
      <c r="Y3279" s="1">
        <v>336000.0</v>
      </c>
      <c r="Z3279" s="1"/>
      <c r="AA3279" s="1">
        <v>336000.0</v>
      </c>
      <c r="AB3279" s="1"/>
      <c r="AC3279" s="1" t="s">
        <v>36</v>
      </c>
      <c r="AD3279" s="1" t="s">
        <v>11546</v>
      </c>
      <c r="AE3279" s="1" t="s">
        <v>32</v>
      </c>
      <c r="AF3279" s="1" t="s">
        <v>33</v>
      </c>
      <c r="AG3279" s="1" t="s">
        <v>571</v>
      </c>
    </row>
    <row r="3280" spans="1:33">
      <c r="A3280" t="s">
        <v>11547</v>
      </c>
      <c r="C3280" t="s">
        <v>2061</v>
      </c>
      <c r="D3280" t="s">
        <v>154</v>
      </c>
      <c r="E3280" t="s">
        <v>10933</v>
      </c>
      <c r="F3280" t="s">
        <v>10938</v>
      </c>
      <c r="G3280">
        <v>492.0</v>
      </c>
      <c r="H3280">
        <v>492.0</v>
      </c>
      <c r="I3280" t="s">
        <v>269</v>
      </c>
      <c r="J3280" t="s">
        <v>270</v>
      </c>
      <c r="K3280" t="s">
        <v>31</v>
      </c>
      <c r="L3280" t="s">
        <v>32</v>
      </c>
      <c r="M3280" t="s">
        <v>33</v>
      </c>
      <c r="P3280" s="1" t="s">
        <v>11548</v>
      </c>
      <c r="Q3280" s="1" t="s">
        <v>10933</v>
      </c>
      <c r="R3280" s="1" t="s">
        <v>10933</v>
      </c>
      <c r="S3280" s="1"/>
      <c r="T3280" s="1" t="s">
        <v>2061</v>
      </c>
      <c r="U3280" s="1"/>
      <c r="V3280" s="1">
        <v>492.0</v>
      </c>
      <c r="W3280" s="1">
        <v>492.0</v>
      </c>
      <c r="X3280" s="1" t="s">
        <v>35</v>
      </c>
      <c r="Y3280" s="1">
        <v>492000.0</v>
      </c>
      <c r="Z3280" s="1"/>
      <c r="AA3280" s="1">
        <v>492000.0</v>
      </c>
      <c r="AB3280" s="1"/>
      <c r="AC3280" s="1" t="s">
        <v>36</v>
      </c>
      <c r="AD3280" s="1" t="s">
        <v>11549</v>
      </c>
      <c r="AE3280" s="1" t="s">
        <v>32</v>
      </c>
      <c r="AF3280" s="1" t="s">
        <v>33</v>
      </c>
      <c r="AG3280" s="1" t="s">
        <v>270</v>
      </c>
    </row>
    <row r="3281" spans="1:33">
      <c r="A3281" t="s">
        <v>11550</v>
      </c>
      <c r="C3281" t="s">
        <v>7254</v>
      </c>
      <c r="E3281" t="s">
        <v>10933</v>
      </c>
      <c r="F3281" t="s">
        <v>10938</v>
      </c>
      <c r="G3281">
        <v>787.5</v>
      </c>
      <c r="H3281">
        <v>787.5</v>
      </c>
      <c r="I3281" t="s">
        <v>173</v>
      </c>
      <c r="J3281" t="s">
        <v>174</v>
      </c>
      <c r="K3281" t="s">
        <v>31</v>
      </c>
      <c r="L3281" t="s">
        <v>32</v>
      </c>
      <c r="M3281" t="s">
        <v>33</v>
      </c>
      <c r="P3281" s="1" t="s">
        <v>11551</v>
      </c>
      <c r="Q3281" s="1" t="s">
        <v>10933</v>
      </c>
      <c r="R3281" s="1" t="s">
        <v>10933</v>
      </c>
      <c r="S3281" s="1"/>
      <c r="T3281" s="1" t="s">
        <v>7254</v>
      </c>
      <c r="U3281" s="1"/>
      <c r="V3281" s="1">
        <v>787.5</v>
      </c>
      <c r="W3281" s="1">
        <v>787.5</v>
      </c>
      <c r="X3281" s="1" t="s">
        <v>35</v>
      </c>
      <c r="Y3281" s="1">
        <v>787500.0</v>
      </c>
      <c r="Z3281" s="1"/>
      <c r="AA3281" s="1">
        <v>787500.0</v>
      </c>
      <c r="AB3281" s="1"/>
      <c r="AC3281" s="1" t="s">
        <v>36</v>
      </c>
      <c r="AD3281" s="1" t="s">
        <v>11552</v>
      </c>
      <c r="AE3281" s="1" t="s">
        <v>32</v>
      </c>
      <c r="AF3281" s="1" t="s">
        <v>33</v>
      </c>
      <c r="AG3281" s="1" t="s">
        <v>174</v>
      </c>
    </row>
    <row r="3282" spans="1:33">
      <c r="A3282" t="s">
        <v>11553</v>
      </c>
      <c r="C3282" t="s">
        <v>3582</v>
      </c>
      <c r="E3282" t="s">
        <v>10933</v>
      </c>
      <c r="F3282" t="s">
        <v>10938</v>
      </c>
      <c r="G3282">
        <v>414.25</v>
      </c>
      <c r="H3282">
        <v>414.25</v>
      </c>
      <c r="I3282" t="s">
        <v>570</v>
      </c>
      <c r="J3282" t="s">
        <v>571</v>
      </c>
      <c r="K3282" t="s">
        <v>31</v>
      </c>
      <c r="L3282" t="s">
        <v>32</v>
      </c>
      <c r="M3282" t="s">
        <v>33</v>
      </c>
      <c r="P3282" s="1" t="s">
        <v>11554</v>
      </c>
      <c r="Q3282" s="1" t="s">
        <v>10933</v>
      </c>
      <c r="R3282" s="1" t="s">
        <v>10933</v>
      </c>
      <c r="S3282" s="1"/>
      <c r="T3282" s="1" t="s">
        <v>3582</v>
      </c>
      <c r="U3282" s="1"/>
      <c r="V3282" s="1">
        <v>414.25</v>
      </c>
      <c r="W3282" s="1">
        <v>414.25</v>
      </c>
      <c r="X3282" s="1" t="s">
        <v>35</v>
      </c>
      <c r="Y3282" s="1">
        <v>414250.0</v>
      </c>
      <c r="Z3282" s="1"/>
      <c r="AA3282" s="1">
        <v>414250.0</v>
      </c>
      <c r="AB3282" s="1"/>
      <c r="AC3282" s="1" t="s">
        <v>36</v>
      </c>
      <c r="AD3282" s="1" t="s">
        <v>11555</v>
      </c>
      <c r="AE3282" s="1" t="s">
        <v>32</v>
      </c>
      <c r="AF3282" s="1" t="s">
        <v>33</v>
      </c>
      <c r="AG3282" s="1" t="s">
        <v>571</v>
      </c>
    </row>
    <row r="3283" spans="1:33">
      <c r="A3283" t="s">
        <v>11556</v>
      </c>
      <c r="C3283" t="s">
        <v>569</v>
      </c>
      <c r="E3283" t="s">
        <v>10933</v>
      </c>
      <c r="F3283" t="s">
        <v>10938</v>
      </c>
      <c r="G3283">
        <v>20.99</v>
      </c>
      <c r="H3283">
        <v>20.99</v>
      </c>
      <c r="I3283" t="s">
        <v>570</v>
      </c>
      <c r="J3283" t="s">
        <v>571</v>
      </c>
      <c r="K3283" t="s">
        <v>31</v>
      </c>
      <c r="L3283" t="s">
        <v>32</v>
      </c>
      <c r="M3283" t="s">
        <v>33</v>
      </c>
      <c r="P3283" s="1" t="s">
        <v>11557</v>
      </c>
      <c r="Q3283" s="1" t="s">
        <v>10933</v>
      </c>
      <c r="R3283" s="1" t="s">
        <v>10933</v>
      </c>
      <c r="S3283" s="1"/>
      <c r="T3283" s="1" t="s">
        <v>569</v>
      </c>
      <c r="U3283" s="1"/>
      <c r="V3283" s="1">
        <v>20.99</v>
      </c>
      <c r="W3283" s="1">
        <v>20.99</v>
      </c>
      <c r="X3283" s="1" t="s">
        <v>35</v>
      </c>
      <c r="Y3283" s="1">
        <v>20990.0</v>
      </c>
      <c r="Z3283" s="1"/>
      <c r="AA3283" s="1">
        <v>20990.0</v>
      </c>
      <c r="AB3283" s="1"/>
      <c r="AC3283" s="1" t="s">
        <v>36</v>
      </c>
      <c r="AD3283" s="1" t="s">
        <v>11558</v>
      </c>
      <c r="AE3283" s="1" t="s">
        <v>32</v>
      </c>
      <c r="AF3283" s="1" t="s">
        <v>33</v>
      </c>
      <c r="AG3283" s="1" t="s">
        <v>571</v>
      </c>
    </row>
    <row r="3284" spans="1:33">
      <c r="A3284" t="s">
        <v>11559</v>
      </c>
      <c r="B3284" t="s">
        <v>8534</v>
      </c>
      <c r="C3284" t="s">
        <v>47</v>
      </c>
      <c r="E3284" t="s">
        <v>10933</v>
      </c>
      <c r="F3284" t="s">
        <v>10938</v>
      </c>
      <c r="G3284">
        <v>120.0</v>
      </c>
      <c r="H3284">
        <v>120.0</v>
      </c>
      <c r="I3284" t="s">
        <v>2206</v>
      </c>
      <c r="J3284" t="s">
        <v>49</v>
      </c>
      <c r="K3284" t="s">
        <v>31</v>
      </c>
      <c r="L3284" t="s">
        <v>32</v>
      </c>
      <c r="M3284" t="s">
        <v>33</v>
      </c>
      <c r="P3284" s="1" t="s">
        <v>11560</v>
      </c>
      <c r="Q3284" s="1" t="s">
        <v>10933</v>
      </c>
      <c r="R3284" s="1" t="s">
        <v>10933</v>
      </c>
      <c r="S3284" s="1"/>
      <c r="T3284" s="1" t="s">
        <v>47</v>
      </c>
      <c r="U3284" s="1"/>
      <c r="V3284" s="1">
        <v>120.0</v>
      </c>
      <c r="W3284" s="1">
        <v>120.0</v>
      </c>
      <c r="X3284" s="1" t="s">
        <v>35</v>
      </c>
      <c r="Y3284" s="1">
        <v>120000.0</v>
      </c>
      <c r="Z3284" s="1"/>
      <c r="AA3284" s="1">
        <v>120000.0</v>
      </c>
      <c r="AB3284" s="1"/>
      <c r="AC3284" s="1" t="s">
        <v>36</v>
      </c>
      <c r="AD3284" s="1" t="s">
        <v>11561</v>
      </c>
      <c r="AE3284" s="1" t="s">
        <v>32</v>
      </c>
      <c r="AF3284" s="1" t="s">
        <v>33</v>
      </c>
      <c r="AG3284" s="1" t="s">
        <v>49</v>
      </c>
    </row>
    <row r="3285" spans="1:33">
      <c r="A3285" t="s">
        <v>11562</v>
      </c>
      <c r="B3285" t="s">
        <v>2012</v>
      </c>
      <c r="C3285" t="s">
        <v>2013</v>
      </c>
      <c r="E3285" t="s">
        <v>10933</v>
      </c>
      <c r="F3285" t="s">
        <v>10938</v>
      </c>
      <c r="G3285">
        <v>215.0</v>
      </c>
      <c r="H3285">
        <v>215.0</v>
      </c>
      <c r="I3285" t="s">
        <v>59</v>
      </c>
      <c r="J3285" t="s">
        <v>60</v>
      </c>
      <c r="K3285" t="s">
        <v>31</v>
      </c>
      <c r="L3285" t="s">
        <v>32</v>
      </c>
      <c r="M3285" t="s">
        <v>33</v>
      </c>
      <c r="P3285" s="1" t="s">
        <v>11563</v>
      </c>
      <c r="Q3285" s="1" t="s">
        <v>10933</v>
      </c>
      <c r="R3285" s="1" t="s">
        <v>10933</v>
      </c>
      <c r="S3285" s="1"/>
      <c r="T3285" s="1" t="s">
        <v>2013</v>
      </c>
      <c r="U3285" s="1"/>
      <c r="V3285" s="1">
        <v>215.0</v>
      </c>
      <c r="W3285" s="1">
        <v>215.0</v>
      </c>
      <c r="X3285" s="1" t="s">
        <v>35</v>
      </c>
      <c r="Y3285" s="1">
        <v>215000.0</v>
      </c>
      <c r="Z3285" s="1"/>
      <c r="AA3285" s="1">
        <v>215000.0</v>
      </c>
      <c r="AB3285" s="1"/>
      <c r="AC3285" s="1" t="s">
        <v>36</v>
      </c>
      <c r="AD3285" s="1" t="s">
        <v>11564</v>
      </c>
      <c r="AE3285" s="1" t="s">
        <v>32</v>
      </c>
      <c r="AF3285" s="1" t="s">
        <v>33</v>
      </c>
      <c r="AG3285" s="1" t="s">
        <v>60</v>
      </c>
    </row>
    <row r="3286" spans="1:33">
      <c r="A3286" t="s">
        <v>11565</v>
      </c>
      <c r="C3286" t="s">
        <v>4236</v>
      </c>
      <c r="E3286" t="s">
        <v>10933</v>
      </c>
      <c r="F3286" t="s">
        <v>10938</v>
      </c>
      <c r="G3286">
        <v>422.4</v>
      </c>
      <c r="H3286">
        <v>422.4</v>
      </c>
      <c r="I3286" t="s">
        <v>179</v>
      </c>
      <c r="J3286" t="s">
        <v>180</v>
      </c>
      <c r="K3286" t="s">
        <v>31</v>
      </c>
      <c r="L3286" t="s">
        <v>32</v>
      </c>
      <c r="M3286" t="s">
        <v>33</v>
      </c>
      <c r="P3286" s="1" t="s">
        <v>11566</v>
      </c>
      <c r="Q3286" s="1" t="s">
        <v>10933</v>
      </c>
      <c r="R3286" s="1" t="s">
        <v>10933</v>
      </c>
      <c r="S3286" s="1"/>
      <c r="T3286" s="1" t="s">
        <v>4236</v>
      </c>
      <c r="U3286" s="1"/>
      <c r="V3286" s="1">
        <v>422.4</v>
      </c>
      <c r="W3286" s="1">
        <v>422.4</v>
      </c>
      <c r="X3286" s="1" t="s">
        <v>35</v>
      </c>
      <c r="Y3286" s="1">
        <v>422400.0</v>
      </c>
      <c r="Z3286" s="1"/>
      <c r="AA3286" s="1">
        <v>422400.0</v>
      </c>
      <c r="AB3286" s="1"/>
      <c r="AC3286" s="1" t="s">
        <v>36</v>
      </c>
      <c r="AD3286" s="1" t="s">
        <v>11567</v>
      </c>
      <c r="AE3286" s="1" t="s">
        <v>32</v>
      </c>
      <c r="AF3286" s="1" t="s">
        <v>33</v>
      </c>
      <c r="AG3286" s="1" t="s">
        <v>180</v>
      </c>
    </row>
    <row r="3287" spans="1:33">
      <c r="A3287" t="s">
        <v>11568</v>
      </c>
      <c r="C3287" t="s">
        <v>609</v>
      </c>
      <c r="E3287" t="s">
        <v>10933</v>
      </c>
      <c r="F3287" t="s">
        <v>10938</v>
      </c>
      <c r="G3287">
        <v>688.0</v>
      </c>
      <c r="H3287">
        <v>688.0</v>
      </c>
      <c r="I3287" t="s">
        <v>269</v>
      </c>
      <c r="J3287" t="s">
        <v>270</v>
      </c>
      <c r="K3287" t="s">
        <v>31</v>
      </c>
      <c r="L3287" t="s">
        <v>32</v>
      </c>
      <c r="M3287" t="s">
        <v>33</v>
      </c>
      <c r="P3287" s="1" t="s">
        <v>11569</v>
      </c>
      <c r="Q3287" s="1" t="s">
        <v>10933</v>
      </c>
      <c r="R3287" s="1" t="s">
        <v>10933</v>
      </c>
      <c r="S3287" s="1"/>
      <c r="T3287" s="1" t="s">
        <v>609</v>
      </c>
      <c r="U3287" s="1"/>
      <c r="V3287" s="1">
        <v>688.0</v>
      </c>
      <c r="W3287" s="1">
        <v>688.0</v>
      </c>
      <c r="X3287" s="1" t="s">
        <v>35</v>
      </c>
      <c r="Y3287" s="1">
        <v>688000.0</v>
      </c>
      <c r="Z3287" s="1"/>
      <c r="AA3287" s="1">
        <v>688000.0</v>
      </c>
      <c r="AB3287" s="1"/>
      <c r="AC3287" s="1" t="s">
        <v>36</v>
      </c>
      <c r="AD3287" s="1" t="s">
        <v>11570</v>
      </c>
      <c r="AE3287" s="1" t="s">
        <v>32</v>
      </c>
      <c r="AF3287" s="1" t="s">
        <v>33</v>
      </c>
      <c r="AG3287" s="1" t="s">
        <v>270</v>
      </c>
    </row>
    <row r="3288" spans="1:33">
      <c r="A3288" t="s">
        <v>11571</v>
      </c>
      <c r="C3288" t="s">
        <v>1912</v>
      </c>
      <c r="E3288" t="s">
        <v>10933</v>
      </c>
      <c r="F3288" t="s">
        <v>10938</v>
      </c>
      <c r="G3288">
        <v>320.0</v>
      </c>
      <c r="H3288">
        <v>320.0</v>
      </c>
      <c r="I3288" t="s">
        <v>173</v>
      </c>
      <c r="J3288" t="s">
        <v>174</v>
      </c>
      <c r="K3288" t="s">
        <v>31</v>
      </c>
      <c r="L3288" t="s">
        <v>32</v>
      </c>
      <c r="M3288" t="s">
        <v>33</v>
      </c>
      <c r="P3288" s="1" t="s">
        <v>11572</v>
      </c>
      <c r="Q3288" s="1" t="s">
        <v>10933</v>
      </c>
      <c r="R3288" s="1" t="s">
        <v>10933</v>
      </c>
      <c r="S3288" s="1"/>
      <c r="T3288" s="1" t="s">
        <v>1912</v>
      </c>
      <c r="U3288" s="1"/>
      <c r="V3288" s="1">
        <v>320.0</v>
      </c>
      <c r="W3288" s="1">
        <v>320.0</v>
      </c>
      <c r="X3288" s="1" t="s">
        <v>35</v>
      </c>
      <c r="Y3288" s="1">
        <v>320000.0</v>
      </c>
      <c r="Z3288" s="1"/>
      <c r="AA3288" s="1">
        <v>320000.0</v>
      </c>
      <c r="AB3288" s="1"/>
      <c r="AC3288" s="1" t="s">
        <v>36</v>
      </c>
      <c r="AD3288" s="1" t="s">
        <v>11573</v>
      </c>
      <c r="AE3288" s="1" t="s">
        <v>32</v>
      </c>
      <c r="AF3288" s="1" t="s">
        <v>33</v>
      </c>
      <c r="AG3288" s="1" t="s">
        <v>174</v>
      </c>
    </row>
    <row r="3289" spans="1:33">
      <c r="A3289" t="s">
        <v>11574</v>
      </c>
      <c r="C3289" t="s">
        <v>810</v>
      </c>
      <c r="D3289" t="s">
        <v>154</v>
      </c>
      <c r="E3289" t="s">
        <v>10933</v>
      </c>
      <c r="F3289" t="s">
        <v>10938</v>
      </c>
      <c r="G3289">
        <v>1.988</v>
      </c>
      <c r="H3289">
        <v>1.988</v>
      </c>
      <c r="I3289" t="s">
        <v>269</v>
      </c>
      <c r="J3289" t="s">
        <v>270</v>
      </c>
      <c r="K3289" t="s">
        <v>31</v>
      </c>
      <c r="L3289" t="s">
        <v>32</v>
      </c>
      <c r="M3289" t="s">
        <v>33</v>
      </c>
      <c r="P3289" s="1" t="s">
        <v>11575</v>
      </c>
      <c r="Q3289" s="1" t="s">
        <v>10933</v>
      </c>
      <c r="R3289" s="1" t="s">
        <v>10933</v>
      </c>
      <c r="S3289" s="1"/>
      <c r="T3289" s="1" t="s">
        <v>810</v>
      </c>
      <c r="U3289" s="1"/>
      <c r="V3289" s="1">
        <v>1.988</v>
      </c>
      <c r="W3289" s="1">
        <v>1.988</v>
      </c>
      <c r="X3289" s="1" t="s">
        <v>35</v>
      </c>
      <c r="Y3289" s="1">
        <v>1988000.0</v>
      </c>
      <c r="Z3289" s="1"/>
      <c r="AA3289" s="1">
        <v>1988000.0</v>
      </c>
      <c r="AB3289" s="1"/>
      <c r="AC3289" s="1" t="s">
        <v>36</v>
      </c>
      <c r="AD3289" s="1" t="s">
        <v>11576</v>
      </c>
      <c r="AE3289" s="1" t="s">
        <v>32</v>
      </c>
      <c r="AF3289" s="1" t="s">
        <v>33</v>
      </c>
      <c r="AG3289" s="1" t="s">
        <v>270</v>
      </c>
    </row>
    <row r="3290" spans="1:33">
      <c r="A3290" t="s">
        <v>11577</v>
      </c>
      <c r="C3290" t="s">
        <v>831</v>
      </c>
      <c r="D3290" t="s">
        <v>114</v>
      </c>
      <c r="E3290" t="s">
        <v>10933</v>
      </c>
      <c r="F3290" t="s">
        <v>10938</v>
      </c>
      <c r="G3290">
        <v>29.49</v>
      </c>
      <c r="H3290">
        <v>29.49</v>
      </c>
      <c r="I3290" t="s">
        <v>40</v>
      </c>
      <c r="J3290" t="s">
        <v>41</v>
      </c>
      <c r="K3290" t="s">
        <v>31</v>
      </c>
      <c r="L3290" t="s">
        <v>32</v>
      </c>
      <c r="M3290" t="s">
        <v>33</v>
      </c>
      <c r="P3290" s="1" t="s">
        <v>11578</v>
      </c>
      <c r="Q3290" s="1" t="s">
        <v>10933</v>
      </c>
      <c r="R3290" s="1" t="s">
        <v>10324</v>
      </c>
      <c r="S3290" s="1"/>
      <c r="T3290" s="1" t="s">
        <v>831</v>
      </c>
      <c r="U3290" s="1"/>
      <c r="V3290" s="1">
        <v>29.49</v>
      </c>
      <c r="W3290" s="1">
        <v>29.49</v>
      </c>
      <c r="X3290" s="1" t="s">
        <v>35</v>
      </c>
      <c r="Y3290" s="1">
        <v>29500.0</v>
      </c>
      <c r="Z3290" s="1">
        <v>-10</v>
      </c>
      <c r="AA3290" s="1">
        <v>29500.0</v>
      </c>
      <c r="AB3290" s="1">
        <v>-10</v>
      </c>
      <c r="AC3290" s="1" t="s">
        <v>36</v>
      </c>
      <c r="AD3290" s="1" t="s">
        <v>11579</v>
      </c>
      <c r="AE3290" s="1" t="s">
        <v>32</v>
      </c>
      <c r="AF3290" s="1" t="s">
        <v>33</v>
      </c>
      <c r="AG3290" s="1" t="s">
        <v>41</v>
      </c>
    </row>
    <row r="3291" spans="1:33">
      <c r="A3291" t="s">
        <v>11580</v>
      </c>
      <c r="C3291" t="s">
        <v>11581</v>
      </c>
      <c r="E3291" t="s">
        <v>10933</v>
      </c>
      <c r="F3291" t="s">
        <v>10938</v>
      </c>
      <c r="G3291">
        <v>945.0</v>
      </c>
      <c r="H3291">
        <v>945.0</v>
      </c>
      <c r="I3291" t="s">
        <v>40</v>
      </c>
      <c r="J3291" t="s">
        <v>41</v>
      </c>
      <c r="K3291" t="s">
        <v>31</v>
      </c>
      <c r="L3291" t="s">
        <v>32</v>
      </c>
      <c r="M3291" t="s">
        <v>33</v>
      </c>
      <c r="P3291" s="1" t="s">
        <v>11582</v>
      </c>
      <c r="Q3291" s="1" t="s">
        <v>10933</v>
      </c>
      <c r="R3291" s="1" t="s">
        <v>10324</v>
      </c>
      <c r="S3291" s="1"/>
      <c r="T3291" s="1" t="s">
        <v>11581</v>
      </c>
      <c r="U3291" s="1"/>
      <c r="V3291" s="1">
        <v>945.0</v>
      </c>
      <c r="W3291" s="1">
        <v>945.0</v>
      </c>
      <c r="X3291" s="1" t="s">
        <v>35</v>
      </c>
      <c r="Y3291" s="1">
        <v>945000.0</v>
      </c>
      <c r="Z3291" s="1"/>
      <c r="AA3291" s="1">
        <v>945000.0</v>
      </c>
      <c r="AB3291" s="1"/>
      <c r="AC3291" s="1" t="s">
        <v>36</v>
      </c>
      <c r="AD3291" s="1" t="s">
        <v>11579</v>
      </c>
      <c r="AE3291" s="1" t="s">
        <v>32</v>
      </c>
      <c r="AF3291" s="1" t="s">
        <v>33</v>
      </c>
      <c r="AG3291" s="1" t="s">
        <v>41</v>
      </c>
    </row>
    <row r="3292" spans="1:33">
      <c r="A3292" t="s">
        <v>11583</v>
      </c>
      <c r="C3292" t="s">
        <v>11584</v>
      </c>
      <c r="E3292" t="s">
        <v>10933</v>
      </c>
      <c r="F3292" t="s">
        <v>10938</v>
      </c>
      <c r="G3292">
        <v>175.5</v>
      </c>
      <c r="H3292">
        <v>175.5</v>
      </c>
      <c r="I3292" t="s">
        <v>269</v>
      </c>
      <c r="J3292" t="s">
        <v>270</v>
      </c>
      <c r="K3292" t="s">
        <v>31</v>
      </c>
      <c r="L3292" t="s">
        <v>32</v>
      </c>
      <c r="M3292" t="s">
        <v>33</v>
      </c>
      <c r="P3292" s="1" t="s">
        <v>11585</v>
      </c>
      <c r="Q3292" s="1" t="s">
        <v>10933</v>
      </c>
      <c r="R3292" s="1" t="s">
        <v>10933</v>
      </c>
      <c r="S3292" s="1"/>
      <c r="T3292" s="1" t="s">
        <v>11584</v>
      </c>
      <c r="U3292" s="1"/>
      <c r="V3292" s="1">
        <v>175.5</v>
      </c>
      <c r="W3292" s="1">
        <v>175.5</v>
      </c>
      <c r="X3292" s="1" t="s">
        <v>35</v>
      </c>
      <c r="Y3292" s="1">
        <v>175500.0</v>
      </c>
      <c r="Z3292" s="1"/>
      <c r="AA3292" s="1">
        <v>175500.0</v>
      </c>
      <c r="AB3292" s="1"/>
      <c r="AC3292" s="1" t="s">
        <v>36</v>
      </c>
      <c r="AD3292" s="1" t="s">
        <v>11586</v>
      </c>
      <c r="AE3292" s="1" t="s">
        <v>32</v>
      </c>
      <c r="AF3292" s="1" t="s">
        <v>33</v>
      </c>
      <c r="AG3292" s="1" t="s">
        <v>270</v>
      </c>
    </row>
    <row r="3293" spans="1:33">
      <c r="A3293" t="s">
        <v>11587</v>
      </c>
      <c r="C3293" t="s">
        <v>771</v>
      </c>
      <c r="E3293" t="s">
        <v>10933</v>
      </c>
      <c r="F3293" t="s">
        <v>10938</v>
      </c>
      <c r="G3293">
        <v>1.67</v>
      </c>
      <c r="H3293">
        <v>1.67</v>
      </c>
      <c r="I3293" t="s">
        <v>269</v>
      </c>
      <c r="J3293" t="s">
        <v>270</v>
      </c>
      <c r="K3293" t="s">
        <v>31</v>
      </c>
      <c r="L3293" t="s">
        <v>32</v>
      </c>
      <c r="M3293" t="s">
        <v>33</v>
      </c>
      <c r="P3293" s="1" t="s">
        <v>11588</v>
      </c>
      <c r="Q3293" s="1" t="s">
        <v>10933</v>
      </c>
      <c r="R3293" s="1" t="s">
        <v>10933</v>
      </c>
      <c r="S3293" s="1"/>
      <c r="T3293" s="1" t="s">
        <v>771</v>
      </c>
      <c r="U3293" s="1"/>
      <c r="V3293" s="1">
        <v>1.67</v>
      </c>
      <c r="W3293" s="1">
        <v>1.67</v>
      </c>
      <c r="X3293" s="1" t="s">
        <v>35</v>
      </c>
      <c r="Y3293" s="1">
        <v>1670000.0</v>
      </c>
      <c r="Z3293" s="1"/>
      <c r="AA3293" s="1">
        <v>1670000.0</v>
      </c>
      <c r="AB3293" s="1"/>
      <c r="AC3293" s="1" t="s">
        <v>36</v>
      </c>
      <c r="AD3293" s="1" t="s">
        <v>11589</v>
      </c>
      <c r="AE3293" s="1" t="s">
        <v>32</v>
      </c>
      <c r="AF3293" s="1" t="s">
        <v>33</v>
      </c>
      <c r="AG3293" s="1" t="s">
        <v>270</v>
      </c>
    </row>
    <row r="3294" spans="1:33">
      <c r="A3294" t="s">
        <v>11590</v>
      </c>
      <c r="C3294" t="s">
        <v>10919</v>
      </c>
      <c r="E3294" t="s">
        <v>10933</v>
      </c>
      <c r="F3294" t="s">
        <v>10938</v>
      </c>
      <c r="G3294">
        <v>1.892</v>
      </c>
      <c r="H3294">
        <v>1.892</v>
      </c>
      <c r="I3294" t="s">
        <v>269</v>
      </c>
      <c r="J3294" t="s">
        <v>270</v>
      </c>
      <c r="K3294" t="s">
        <v>31</v>
      </c>
      <c r="L3294" t="s">
        <v>32</v>
      </c>
      <c r="M3294" t="s">
        <v>33</v>
      </c>
      <c r="P3294" s="1" t="s">
        <v>11591</v>
      </c>
      <c r="Q3294" s="1" t="s">
        <v>10933</v>
      </c>
      <c r="R3294" s="1" t="s">
        <v>10933</v>
      </c>
      <c r="S3294" s="1"/>
      <c r="T3294" s="1" t="s">
        <v>10919</v>
      </c>
      <c r="U3294" s="1"/>
      <c r="V3294" s="1">
        <v>1.892</v>
      </c>
      <c r="W3294" s="1">
        <v>1.892</v>
      </c>
      <c r="X3294" s="1" t="s">
        <v>35</v>
      </c>
      <c r="Y3294" s="1">
        <v>1892100.0</v>
      </c>
      <c r="Z3294" s="1"/>
      <c r="AA3294" s="1">
        <v>1892100.0</v>
      </c>
      <c r="AB3294" s="1"/>
      <c r="AC3294" s="1" t="s">
        <v>36</v>
      </c>
      <c r="AD3294" s="1" t="s">
        <v>11592</v>
      </c>
      <c r="AE3294" s="1" t="s">
        <v>32</v>
      </c>
      <c r="AF3294" s="1" t="s">
        <v>33</v>
      </c>
      <c r="AG3294" s="1" t="s">
        <v>270</v>
      </c>
    </row>
    <row r="3295" spans="1:33">
      <c r="A3295" t="s">
        <v>11593</v>
      </c>
      <c r="C3295" t="s">
        <v>617</v>
      </c>
      <c r="E3295" t="s">
        <v>10933</v>
      </c>
      <c r="F3295" t="s">
        <v>10938</v>
      </c>
      <c r="G3295">
        <v>950.0</v>
      </c>
      <c r="H3295">
        <v>950.0</v>
      </c>
      <c r="I3295" t="s">
        <v>40</v>
      </c>
      <c r="J3295" t="s">
        <v>41</v>
      </c>
      <c r="K3295" t="s">
        <v>31</v>
      </c>
      <c r="L3295" t="s">
        <v>32</v>
      </c>
      <c r="M3295" t="s">
        <v>33</v>
      </c>
      <c r="P3295" s="1" t="s">
        <v>11594</v>
      </c>
      <c r="Q3295" s="1" t="s">
        <v>10933</v>
      </c>
      <c r="R3295" s="1" t="s">
        <v>10324</v>
      </c>
      <c r="S3295" s="1"/>
      <c r="T3295" s="1" t="s">
        <v>619</v>
      </c>
      <c r="U3295" s="1" t="s">
        <v>620</v>
      </c>
      <c r="V3295" s="1">
        <v>950.0</v>
      </c>
      <c r="W3295" s="1">
        <v>950.0</v>
      </c>
      <c r="X3295" s="1" t="s">
        <v>35</v>
      </c>
      <c r="Y3295" s="1">
        <v>950000.0</v>
      </c>
      <c r="Z3295" s="1"/>
      <c r="AA3295" s="1">
        <v>950000.0</v>
      </c>
      <c r="AB3295" s="1"/>
      <c r="AC3295" s="1" t="s">
        <v>36</v>
      </c>
      <c r="AD3295" s="1" t="s">
        <v>11595</v>
      </c>
      <c r="AE3295" s="1" t="s">
        <v>32</v>
      </c>
      <c r="AF3295" s="1" t="s">
        <v>33</v>
      </c>
      <c r="AG3295" s="1" t="s">
        <v>41</v>
      </c>
    </row>
    <row r="3296" spans="1:33">
      <c r="A3296" t="s">
        <v>11596</v>
      </c>
      <c r="C3296" t="s">
        <v>1087</v>
      </c>
      <c r="E3296" t="s">
        <v>10933</v>
      </c>
      <c r="F3296" t="s">
        <v>10938</v>
      </c>
      <c r="G3296">
        <v>328.0</v>
      </c>
      <c r="H3296">
        <v>328.0</v>
      </c>
      <c r="I3296" t="s">
        <v>269</v>
      </c>
      <c r="J3296" t="s">
        <v>270</v>
      </c>
      <c r="K3296" t="s">
        <v>31</v>
      </c>
      <c r="L3296" t="s">
        <v>32</v>
      </c>
      <c r="M3296" t="s">
        <v>33</v>
      </c>
      <c r="P3296" s="1" t="s">
        <v>11597</v>
      </c>
      <c r="Q3296" s="1" t="s">
        <v>10933</v>
      </c>
      <c r="R3296" s="1" t="s">
        <v>10933</v>
      </c>
      <c r="S3296" s="1"/>
      <c r="T3296" s="1" t="s">
        <v>1087</v>
      </c>
      <c r="U3296" s="1"/>
      <c r="V3296" s="1">
        <v>328.0</v>
      </c>
      <c r="W3296" s="1">
        <v>328.0</v>
      </c>
      <c r="X3296" s="1" t="s">
        <v>35</v>
      </c>
      <c r="Y3296" s="1">
        <v>328000.0</v>
      </c>
      <c r="Z3296" s="1"/>
      <c r="AA3296" s="1">
        <v>328000.0</v>
      </c>
      <c r="AB3296" s="1"/>
      <c r="AC3296" s="1" t="s">
        <v>36</v>
      </c>
      <c r="AD3296" s="1" t="s">
        <v>11598</v>
      </c>
      <c r="AE3296" s="1" t="s">
        <v>32</v>
      </c>
      <c r="AF3296" s="1" t="s">
        <v>33</v>
      </c>
      <c r="AG3296" s="1" t="s">
        <v>270</v>
      </c>
    </row>
    <row r="3297" spans="1:33">
      <c r="A3297" t="s">
        <v>11599</v>
      </c>
      <c r="B3297" t="s">
        <v>11600</v>
      </c>
      <c r="C3297" t="s">
        <v>73</v>
      </c>
      <c r="E3297" t="s">
        <v>10933</v>
      </c>
      <c r="F3297" t="s">
        <v>10938</v>
      </c>
      <c r="G3297">
        <v>20.99</v>
      </c>
      <c r="H3297">
        <v>20.99</v>
      </c>
      <c r="I3297" t="s">
        <v>40</v>
      </c>
      <c r="J3297" t="s">
        <v>41</v>
      </c>
      <c r="K3297" t="s">
        <v>31</v>
      </c>
      <c r="L3297" t="s">
        <v>32</v>
      </c>
      <c r="M3297" t="s">
        <v>33</v>
      </c>
      <c r="P3297" s="1" t="s">
        <v>11601</v>
      </c>
      <c r="Q3297" s="1" t="s">
        <v>10933</v>
      </c>
      <c r="R3297" s="1" t="s">
        <v>10324</v>
      </c>
      <c r="S3297" s="1"/>
      <c r="T3297" s="1" t="s">
        <v>75</v>
      </c>
      <c r="U3297" s="1" t="s">
        <v>76</v>
      </c>
      <c r="V3297" s="1">
        <v>20.99</v>
      </c>
      <c r="W3297" s="1">
        <v>20.99</v>
      </c>
      <c r="X3297" s="1" t="s">
        <v>35</v>
      </c>
      <c r="Y3297" s="1">
        <v>20990.0</v>
      </c>
      <c r="Z3297" s="1"/>
      <c r="AA3297" s="1">
        <v>20990.0</v>
      </c>
      <c r="AB3297" s="1"/>
      <c r="AC3297" s="1" t="s">
        <v>36</v>
      </c>
      <c r="AD3297" s="1" t="s">
        <v>11602</v>
      </c>
      <c r="AE3297" s="1" t="s">
        <v>32</v>
      </c>
      <c r="AF3297" s="1" t="s">
        <v>33</v>
      </c>
      <c r="AG3297" s="1" t="s">
        <v>41</v>
      </c>
    </row>
    <row r="3298" spans="1:33">
      <c r="A3298" t="s">
        <v>11603</v>
      </c>
      <c r="C3298" t="s">
        <v>11604</v>
      </c>
      <c r="E3298" t="s">
        <v>10933</v>
      </c>
      <c r="F3298" t="s">
        <v>10938</v>
      </c>
      <c r="G3298">
        <v>328.0</v>
      </c>
      <c r="H3298">
        <v>328.0</v>
      </c>
      <c r="I3298" t="s">
        <v>269</v>
      </c>
      <c r="J3298" t="s">
        <v>270</v>
      </c>
      <c r="K3298" t="s">
        <v>31</v>
      </c>
      <c r="L3298" t="s">
        <v>32</v>
      </c>
      <c r="M3298" t="s">
        <v>33</v>
      </c>
      <c r="P3298" s="1" t="s">
        <v>11605</v>
      </c>
      <c r="Q3298" s="1" t="s">
        <v>10933</v>
      </c>
      <c r="R3298" s="1" t="s">
        <v>10933</v>
      </c>
      <c r="S3298" s="1"/>
      <c r="T3298" s="1" t="s">
        <v>11604</v>
      </c>
      <c r="U3298" s="1"/>
      <c r="V3298" s="1">
        <v>328.0</v>
      </c>
      <c r="W3298" s="1">
        <v>328.0</v>
      </c>
      <c r="X3298" s="1" t="s">
        <v>35</v>
      </c>
      <c r="Y3298" s="1">
        <v>328000.0</v>
      </c>
      <c r="Z3298" s="1"/>
      <c r="AA3298" s="1">
        <v>328000.0</v>
      </c>
      <c r="AB3298" s="1"/>
      <c r="AC3298" s="1" t="s">
        <v>36</v>
      </c>
      <c r="AD3298" s="1" t="s">
        <v>11606</v>
      </c>
      <c r="AE3298" s="1" t="s">
        <v>32</v>
      </c>
      <c r="AF3298" s="1" t="s">
        <v>33</v>
      </c>
      <c r="AG3298" s="1" t="s">
        <v>270</v>
      </c>
    </row>
    <row r="3299" spans="1:33">
      <c r="A3299" t="s">
        <v>11607</v>
      </c>
      <c r="C3299" t="s">
        <v>11608</v>
      </c>
      <c r="E3299" t="s">
        <v>11609</v>
      </c>
      <c r="F3299" t="s">
        <v>11610</v>
      </c>
      <c r="G3299">
        <v>3.013</v>
      </c>
      <c r="H3299">
        <v>3.013</v>
      </c>
      <c r="I3299" t="s">
        <v>847</v>
      </c>
      <c r="J3299" t="s">
        <v>848</v>
      </c>
      <c r="K3299" t="s">
        <v>31</v>
      </c>
      <c r="L3299" t="s">
        <v>32</v>
      </c>
      <c r="M3299" t="s">
        <v>33</v>
      </c>
      <c r="P3299" s="1" t="s">
        <v>11611</v>
      </c>
      <c r="Q3299" s="1" t="s">
        <v>11609</v>
      </c>
      <c r="R3299" s="1" t="s">
        <v>11609</v>
      </c>
      <c r="S3299" s="1"/>
      <c r="T3299" s="1" t="s">
        <v>11608</v>
      </c>
      <c r="U3299" s="1"/>
      <c r="V3299" s="1">
        <v>3.013</v>
      </c>
      <c r="W3299" s="1">
        <v>3.013</v>
      </c>
      <c r="X3299" s="1" t="s">
        <v>35</v>
      </c>
      <c r="Y3299" s="1">
        <v>3013000.0</v>
      </c>
      <c r="Z3299" s="1"/>
      <c r="AA3299" s="1">
        <v>3013000.0</v>
      </c>
      <c r="AB3299" s="1"/>
      <c r="AC3299" s="1" t="s">
        <v>36</v>
      </c>
      <c r="AD3299" s="1" t="s">
        <v>11612</v>
      </c>
      <c r="AE3299" s="1" t="s">
        <v>32</v>
      </c>
      <c r="AF3299" s="1" t="s">
        <v>33</v>
      </c>
      <c r="AG3299" s="1" t="s">
        <v>848</v>
      </c>
    </row>
    <row r="3300" spans="1:33">
      <c r="A3300" t="s">
        <v>11613</v>
      </c>
      <c r="C3300" t="s">
        <v>153</v>
      </c>
      <c r="D3300" t="s">
        <v>154</v>
      </c>
      <c r="E3300" t="s">
        <v>11609</v>
      </c>
      <c r="F3300" t="s">
        <v>11610</v>
      </c>
      <c r="G3300">
        <v>143.1</v>
      </c>
      <c r="H3300">
        <v>143.1</v>
      </c>
      <c r="I3300" t="s">
        <v>94</v>
      </c>
      <c r="J3300" t="s">
        <v>95</v>
      </c>
      <c r="K3300" t="s">
        <v>31</v>
      </c>
      <c r="L3300" t="s">
        <v>32</v>
      </c>
      <c r="M3300" t="s">
        <v>33</v>
      </c>
      <c r="P3300" s="1" t="s">
        <v>11614</v>
      </c>
      <c r="Q3300" s="1" t="s">
        <v>11609</v>
      </c>
      <c r="R3300" s="1" t="s">
        <v>11609</v>
      </c>
      <c r="S3300" s="1"/>
      <c r="T3300" s="1" t="s">
        <v>156</v>
      </c>
      <c r="U3300" s="1" t="s">
        <v>157</v>
      </c>
      <c r="V3300" s="1">
        <v>143.1</v>
      </c>
      <c r="W3300" s="1">
        <v>143.1</v>
      </c>
      <c r="X3300" s="1" t="s">
        <v>35</v>
      </c>
      <c r="Y3300" s="1">
        <v>143100.0</v>
      </c>
      <c r="Z3300" s="1"/>
      <c r="AA3300" s="1">
        <v>143100.0</v>
      </c>
      <c r="AB3300" s="1"/>
      <c r="AC3300" s="1" t="s">
        <v>36</v>
      </c>
      <c r="AD3300" s="1" t="s">
        <v>11549</v>
      </c>
      <c r="AE3300" s="1" t="s">
        <v>32</v>
      </c>
      <c r="AF3300" s="1" t="s">
        <v>33</v>
      </c>
      <c r="AG3300" s="1" t="s">
        <v>95</v>
      </c>
    </row>
    <row r="3301" spans="1:33">
      <c r="A3301" t="s">
        <v>11615</v>
      </c>
      <c r="B3301" t="s">
        <v>1182</v>
      </c>
      <c r="C3301" t="s">
        <v>1183</v>
      </c>
      <c r="D3301" t="s">
        <v>114</v>
      </c>
      <c r="E3301" t="s">
        <v>11609</v>
      </c>
      <c r="F3301" t="s">
        <v>11610</v>
      </c>
      <c r="G3301">
        <v>504.0</v>
      </c>
      <c r="H3301">
        <v>504.0</v>
      </c>
      <c r="I3301" t="s">
        <v>29</v>
      </c>
      <c r="J3301" t="s">
        <v>30</v>
      </c>
      <c r="K3301" t="s">
        <v>31</v>
      </c>
      <c r="L3301" t="s">
        <v>32</v>
      </c>
      <c r="M3301" t="s">
        <v>33</v>
      </c>
      <c r="P3301" s="1" t="s">
        <v>11616</v>
      </c>
      <c r="Q3301" s="1" t="s">
        <v>11609</v>
      </c>
      <c r="R3301" s="1" t="s">
        <v>11609</v>
      </c>
      <c r="S3301" s="1"/>
      <c r="T3301" s="1" t="s">
        <v>1185</v>
      </c>
      <c r="U3301" s="1" t="s">
        <v>1186</v>
      </c>
      <c r="V3301" s="1">
        <v>504.0</v>
      </c>
      <c r="W3301" s="1">
        <v>504.0</v>
      </c>
      <c r="X3301" s="1" t="s">
        <v>35</v>
      </c>
      <c r="Y3301" s="1">
        <v>504000.0</v>
      </c>
      <c r="Z3301" s="1"/>
      <c r="AA3301" s="1">
        <v>244000.0</v>
      </c>
      <c r="AB3301" s="1">
        <v>260000</v>
      </c>
      <c r="AC3301" s="1" t="s">
        <v>36</v>
      </c>
      <c r="AD3301" s="1" t="s">
        <v>11617</v>
      </c>
      <c r="AE3301" s="1" t="s">
        <v>32</v>
      </c>
      <c r="AF3301" s="1" t="s">
        <v>33</v>
      </c>
      <c r="AG3301" s="1" t="s">
        <v>30</v>
      </c>
    </row>
    <row r="3302" spans="1:33">
      <c r="A3302" t="s">
        <v>11618</v>
      </c>
      <c r="B3302" t="s">
        <v>1182</v>
      </c>
      <c r="C3302" t="s">
        <v>1183</v>
      </c>
      <c r="D3302" t="s">
        <v>114</v>
      </c>
      <c r="E3302" t="s">
        <v>11609</v>
      </c>
      <c r="F3302" t="s">
        <v>11610</v>
      </c>
      <c r="G3302">
        <v>740.0</v>
      </c>
      <c r="H3302">
        <v>740.0</v>
      </c>
      <c r="I3302" t="s">
        <v>29</v>
      </c>
      <c r="J3302" t="s">
        <v>30</v>
      </c>
      <c r="K3302" t="s">
        <v>31</v>
      </c>
      <c r="L3302" t="s">
        <v>32</v>
      </c>
      <c r="M3302" t="s">
        <v>33</v>
      </c>
      <c r="P3302" s="1" t="s">
        <v>11619</v>
      </c>
      <c r="Q3302" s="1" t="s">
        <v>11609</v>
      </c>
      <c r="R3302" s="1" t="s">
        <v>11609</v>
      </c>
      <c r="S3302" s="1"/>
      <c r="T3302" s="1" t="s">
        <v>1185</v>
      </c>
      <c r="U3302" s="1" t="s">
        <v>1186</v>
      </c>
      <c r="V3302" s="1">
        <v>740.0</v>
      </c>
      <c r="W3302" s="1">
        <v>740.0</v>
      </c>
      <c r="X3302" s="1" t="s">
        <v>35</v>
      </c>
      <c r="Y3302" s="1">
        <v>1000000.0</v>
      </c>
      <c r="Z3302" s="1">
        <v>-260000</v>
      </c>
      <c r="AA3302" s="1">
        <v>1000000.0</v>
      </c>
      <c r="AB3302" s="1">
        <v>-260000</v>
      </c>
      <c r="AC3302" s="1" t="s">
        <v>36</v>
      </c>
      <c r="AD3302" s="1" t="s">
        <v>11620</v>
      </c>
      <c r="AE3302" s="1" t="s">
        <v>32</v>
      </c>
      <c r="AF3302" s="1" t="s">
        <v>33</v>
      </c>
      <c r="AG3302" s="1" t="s">
        <v>30</v>
      </c>
    </row>
    <row r="3303" spans="1:33">
      <c r="A3303" t="s">
        <v>11621</v>
      </c>
      <c r="C3303" t="s">
        <v>1815</v>
      </c>
      <c r="E3303" t="s">
        <v>11609</v>
      </c>
      <c r="F3303" t="s">
        <v>11610</v>
      </c>
      <c r="G3303">
        <v>400.0</v>
      </c>
      <c r="H3303">
        <v>400.0</v>
      </c>
      <c r="I3303" t="s">
        <v>847</v>
      </c>
      <c r="J3303" t="s">
        <v>848</v>
      </c>
      <c r="K3303" t="s">
        <v>31</v>
      </c>
      <c r="L3303" t="s">
        <v>32</v>
      </c>
      <c r="M3303" t="s">
        <v>33</v>
      </c>
      <c r="P3303" s="1" t="s">
        <v>11622</v>
      </c>
      <c r="Q3303" s="1" t="s">
        <v>11609</v>
      </c>
      <c r="R3303" s="1" t="s">
        <v>11609</v>
      </c>
      <c r="S3303" s="1"/>
      <c r="T3303" s="1" t="s">
        <v>1815</v>
      </c>
      <c r="U3303" s="1"/>
      <c r="V3303" s="1">
        <v>400.0</v>
      </c>
      <c r="W3303" s="1">
        <v>400.0</v>
      </c>
      <c r="X3303" s="1" t="s">
        <v>35</v>
      </c>
      <c r="Y3303" s="1">
        <v>400000.0</v>
      </c>
      <c r="Z3303" s="1"/>
      <c r="AA3303" s="1">
        <v>400000.0</v>
      </c>
      <c r="AB3303" s="1"/>
      <c r="AC3303" s="1" t="s">
        <v>36</v>
      </c>
      <c r="AD3303" s="1" t="s">
        <v>11623</v>
      </c>
      <c r="AE3303" s="1" t="s">
        <v>32</v>
      </c>
      <c r="AF3303" s="1" t="s">
        <v>33</v>
      </c>
      <c r="AG3303" s="1" t="s">
        <v>848</v>
      </c>
    </row>
    <row r="3304" spans="1:33">
      <c r="A3304" t="s">
        <v>11624</v>
      </c>
      <c r="C3304" t="s">
        <v>11625</v>
      </c>
      <c r="E3304" t="s">
        <v>11609</v>
      </c>
      <c r="F3304" t="s">
        <v>11610</v>
      </c>
      <c r="G3304">
        <v>421.726</v>
      </c>
      <c r="H3304">
        <v>421.726</v>
      </c>
      <c r="I3304" t="s">
        <v>847</v>
      </c>
      <c r="J3304" t="s">
        <v>848</v>
      </c>
      <c r="K3304" t="s">
        <v>31</v>
      </c>
      <c r="L3304" t="s">
        <v>32</v>
      </c>
      <c r="M3304" t="s">
        <v>33</v>
      </c>
      <c r="P3304" s="1" t="s">
        <v>11626</v>
      </c>
      <c r="Q3304" s="1" t="s">
        <v>11609</v>
      </c>
      <c r="R3304" s="1" t="s">
        <v>11609</v>
      </c>
      <c r="S3304" s="1"/>
      <c r="T3304" s="1" t="s">
        <v>11625</v>
      </c>
      <c r="U3304" s="1"/>
      <c r="V3304" s="1">
        <v>421.726</v>
      </c>
      <c r="W3304" s="1">
        <v>421.726</v>
      </c>
      <c r="X3304" s="1" t="s">
        <v>35</v>
      </c>
      <c r="Y3304" s="1">
        <v>421726.0</v>
      </c>
      <c r="Z3304" s="1"/>
      <c r="AA3304" s="1">
        <v>421726.0</v>
      </c>
      <c r="AB3304" s="1"/>
      <c r="AC3304" s="1" t="s">
        <v>36</v>
      </c>
      <c r="AD3304" s="1" t="s">
        <v>11627</v>
      </c>
      <c r="AE3304" s="1" t="s">
        <v>32</v>
      </c>
      <c r="AF3304" s="1" t="s">
        <v>33</v>
      </c>
      <c r="AG3304" s="1" t="s">
        <v>848</v>
      </c>
    </row>
    <row r="3305" spans="1:33">
      <c r="A3305" t="s">
        <v>11628</v>
      </c>
      <c r="B3305" t="s">
        <v>11629</v>
      </c>
      <c r="C3305" t="s">
        <v>125</v>
      </c>
      <c r="E3305" t="s">
        <v>11609</v>
      </c>
      <c r="F3305" t="s">
        <v>11610</v>
      </c>
      <c r="G3305">
        <v>2.659</v>
      </c>
      <c r="H3305">
        <v>2.659</v>
      </c>
      <c r="I3305" t="s">
        <v>126</v>
      </c>
      <c r="J3305" t="s">
        <v>127</v>
      </c>
      <c r="K3305" t="s">
        <v>31</v>
      </c>
      <c r="L3305" t="s">
        <v>32</v>
      </c>
      <c r="M3305" t="s">
        <v>33</v>
      </c>
      <c r="P3305" s="1" t="s">
        <v>11630</v>
      </c>
      <c r="Q3305" s="1" t="s">
        <v>11609</v>
      </c>
      <c r="R3305" s="1" t="s">
        <v>11609</v>
      </c>
      <c r="S3305" s="1"/>
      <c r="T3305" s="1" t="s">
        <v>125</v>
      </c>
      <c r="U3305" s="1"/>
      <c r="V3305" s="1">
        <v>2.659</v>
      </c>
      <c r="W3305" s="1">
        <v>2.659</v>
      </c>
      <c r="X3305" s="1" t="s">
        <v>35</v>
      </c>
      <c r="Y3305" s="1">
        <v>2659.0</v>
      </c>
      <c r="Z3305" s="1"/>
      <c r="AA3305" s="1">
        <v>2659.0</v>
      </c>
      <c r="AB3305" s="1"/>
      <c r="AC3305" s="1" t="s">
        <v>36</v>
      </c>
      <c r="AD3305" s="1" t="s">
        <v>11631</v>
      </c>
      <c r="AE3305" s="1" t="s">
        <v>32</v>
      </c>
      <c r="AF3305" s="1" t="s">
        <v>33</v>
      </c>
      <c r="AG3305" s="1" t="s">
        <v>127</v>
      </c>
    </row>
    <row r="3306" spans="1:33">
      <c r="A3306" t="s">
        <v>11632</v>
      </c>
      <c r="C3306" t="s">
        <v>106</v>
      </c>
      <c r="E3306" t="s">
        <v>11609</v>
      </c>
      <c r="F3306" t="s">
        <v>11610</v>
      </c>
      <c r="G3306">
        <v>735.0</v>
      </c>
      <c r="H3306">
        <v>735.0</v>
      </c>
      <c r="I3306" t="s">
        <v>94</v>
      </c>
      <c r="J3306" t="s">
        <v>95</v>
      </c>
      <c r="K3306" t="s">
        <v>31</v>
      </c>
      <c r="L3306" t="s">
        <v>32</v>
      </c>
      <c r="M3306" t="s">
        <v>33</v>
      </c>
      <c r="P3306" s="1" t="s">
        <v>11633</v>
      </c>
      <c r="Q3306" s="1" t="s">
        <v>11609</v>
      </c>
      <c r="R3306" s="1" t="s">
        <v>11609</v>
      </c>
      <c r="S3306" s="1"/>
      <c r="T3306" s="1" t="s">
        <v>106</v>
      </c>
      <c r="U3306" s="1"/>
      <c r="V3306" s="1">
        <v>735.0</v>
      </c>
      <c r="W3306" s="1">
        <v>735.0</v>
      </c>
      <c r="X3306" s="1" t="s">
        <v>35</v>
      </c>
      <c r="Y3306" s="1">
        <v>735000.0</v>
      </c>
      <c r="Z3306" s="1"/>
      <c r="AA3306" s="1">
        <v>735000.0</v>
      </c>
      <c r="AB3306" s="1"/>
      <c r="AC3306" s="1" t="s">
        <v>36</v>
      </c>
      <c r="AD3306" s="1" t="s">
        <v>11631</v>
      </c>
      <c r="AE3306" s="1" t="s">
        <v>32</v>
      </c>
      <c r="AF3306" s="1" t="s">
        <v>33</v>
      </c>
      <c r="AG3306" s="1" t="s">
        <v>95</v>
      </c>
    </row>
    <row r="3307" spans="1:33">
      <c r="A3307" t="s">
        <v>11634</v>
      </c>
      <c r="B3307" t="s">
        <v>4508</v>
      </c>
      <c r="C3307" t="s">
        <v>268</v>
      </c>
      <c r="E3307" t="s">
        <v>11609</v>
      </c>
      <c r="F3307" t="s">
        <v>11610</v>
      </c>
      <c r="G3307">
        <v>49.75</v>
      </c>
      <c r="H3307">
        <v>49.75</v>
      </c>
      <c r="I3307" t="s">
        <v>269</v>
      </c>
      <c r="J3307" t="s">
        <v>270</v>
      </c>
      <c r="K3307" t="s">
        <v>31</v>
      </c>
      <c r="L3307" t="s">
        <v>32</v>
      </c>
      <c r="M3307" t="s">
        <v>33</v>
      </c>
      <c r="P3307" s="1" t="s">
        <v>11635</v>
      </c>
      <c r="Q3307" s="1" t="s">
        <v>11609</v>
      </c>
      <c r="R3307" s="1" t="s">
        <v>11609</v>
      </c>
      <c r="S3307" s="1"/>
      <c r="T3307" s="1" t="s">
        <v>268</v>
      </c>
      <c r="U3307" s="1"/>
      <c r="V3307" s="1">
        <v>49.75</v>
      </c>
      <c r="W3307" s="1">
        <v>49.75</v>
      </c>
      <c r="X3307" s="1" t="s">
        <v>35</v>
      </c>
      <c r="Y3307" s="1">
        <v>49750.0</v>
      </c>
      <c r="Z3307" s="1"/>
      <c r="AA3307" s="1">
        <v>49750.0</v>
      </c>
      <c r="AB3307" s="1"/>
      <c r="AC3307" s="1" t="s">
        <v>36</v>
      </c>
      <c r="AD3307" s="1" t="s">
        <v>11636</v>
      </c>
      <c r="AE3307" s="1" t="s">
        <v>32</v>
      </c>
      <c r="AF3307" s="1" t="s">
        <v>33</v>
      </c>
      <c r="AG3307" s="1" t="s">
        <v>270</v>
      </c>
    </row>
    <row r="3308" spans="1:33">
      <c r="A3308" t="s">
        <v>11637</v>
      </c>
      <c r="B3308" t="s">
        <v>7460</v>
      </c>
      <c r="C3308" t="s">
        <v>125</v>
      </c>
      <c r="E3308" t="s">
        <v>11609</v>
      </c>
      <c r="F3308" t="s">
        <v>11610</v>
      </c>
      <c r="G3308">
        <v>10.8</v>
      </c>
      <c r="H3308">
        <v>10.8</v>
      </c>
      <c r="I3308" t="s">
        <v>126</v>
      </c>
      <c r="J3308" t="s">
        <v>127</v>
      </c>
      <c r="K3308" t="s">
        <v>31</v>
      </c>
      <c r="L3308" t="s">
        <v>32</v>
      </c>
      <c r="M3308" t="s">
        <v>33</v>
      </c>
      <c r="P3308" s="1" t="s">
        <v>11638</v>
      </c>
      <c r="Q3308" s="1" t="s">
        <v>11609</v>
      </c>
      <c r="R3308" s="1" t="s">
        <v>11609</v>
      </c>
      <c r="S3308" s="1"/>
      <c r="T3308" s="1" t="s">
        <v>125</v>
      </c>
      <c r="U3308" s="1"/>
      <c r="V3308" s="1">
        <v>10.8</v>
      </c>
      <c r="W3308" s="1">
        <v>10.8</v>
      </c>
      <c r="X3308" s="1" t="s">
        <v>35</v>
      </c>
      <c r="Y3308" s="1">
        <v>10800.0</v>
      </c>
      <c r="Z3308" s="1"/>
      <c r="AA3308" s="1">
        <v>10800.0</v>
      </c>
      <c r="AB3308" s="1"/>
      <c r="AC3308" s="1" t="s">
        <v>36</v>
      </c>
      <c r="AD3308" s="1" t="s">
        <v>11639</v>
      </c>
      <c r="AE3308" s="1" t="s">
        <v>32</v>
      </c>
      <c r="AF3308" s="1" t="s">
        <v>33</v>
      </c>
      <c r="AG3308" s="1" t="s">
        <v>127</v>
      </c>
    </row>
    <row r="3309" spans="1:33">
      <c r="A3309" t="s">
        <v>11640</v>
      </c>
      <c r="B3309" t="s">
        <v>439</v>
      </c>
      <c r="C3309" t="s">
        <v>440</v>
      </c>
      <c r="E3309" t="s">
        <v>11609</v>
      </c>
      <c r="F3309" t="s">
        <v>11610</v>
      </c>
      <c r="G3309">
        <v>13.0</v>
      </c>
      <c r="H3309">
        <v>13.0</v>
      </c>
      <c r="I3309" t="s">
        <v>59</v>
      </c>
      <c r="J3309" t="s">
        <v>60</v>
      </c>
      <c r="K3309" t="s">
        <v>31</v>
      </c>
      <c r="L3309" t="s">
        <v>32</v>
      </c>
      <c r="M3309" t="s">
        <v>33</v>
      </c>
      <c r="P3309" s="1" t="s">
        <v>11641</v>
      </c>
      <c r="Q3309" s="1" t="s">
        <v>11609</v>
      </c>
      <c r="R3309" s="1" t="s">
        <v>11609</v>
      </c>
      <c r="S3309" s="1"/>
      <c r="T3309" s="1" t="s">
        <v>440</v>
      </c>
      <c r="U3309" s="1"/>
      <c r="V3309" s="1">
        <v>13.0</v>
      </c>
      <c r="W3309" s="1">
        <v>13.0</v>
      </c>
      <c r="X3309" s="1" t="s">
        <v>35</v>
      </c>
      <c r="Y3309" s="1">
        <v>13000.0</v>
      </c>
      <c r="Z3309" s="1"/>
      <c r="AA3309" s="1">
        <v>13000.0</v>
      </c>
      <c r="AB3309" s="1"/>
      <c r="AC3309" s="1" t="s">
        <v>36</v>
      </c>
      <c r="AD3309" s="1" t="s">
        <v>11642</v>
      </c>
      <c r="AE3309" s="1" t="s">
        <v>32</v>
      </c>
      <c r="AF3309" s="1" t="s">
        <v>33</v>
      </c>
      <c r="AG3309" s="1" t="s">
        <v>60</v>
      </c>
    </row>
    <row r="3310" spans="1:33">
      <c r="A3310" t="s">
        <v>11643</v>
      </c>
      <c r="B3310" t="s">
        <v>6266</v>
      </c>
      <c r="C3310" t="s">
        <v>172</v>
      </c>
      <c r="E3310" t="s">
        <v>11609</v>
      </c>
      <c r="F3310" t="s">
        <v>11610</v>
      </c>
      <c r="G3310">
        <v>4.498</v>
      </c>
      <c r="H3310">
        <v>4.498</v>
      </c>
      <c r="I3310" t="s">
        <v>173</v>
      </c>
      <c r="J3310" t="s">
        <v>174</v>
      </c>
      <c r="K3310" t="s">
        <v>31</v>
      </c>
      <c r="L3310" t="s">
        <v>32</v>
      </c>
      <c r="M3310" t="s">
        <v>33</v>
      </c>
      <c r="P3310" s="1" t="s">
        <v>11644</v>
      </c>
      <c r="Q3310" s="1" t="s">
        <v>11609</v>
      </c>
      <c r="R3310" s="1" t="s">
        <v>11609</v>
      </c>
      <c r="S3310" s="1"/>
      <c r="T3310" s="1" t="s">
        <v>172</v>
      </c>
      <c r="U3310" s="1"/>
      <c r="V3310" s="1">
        <v>4.498</v>
      </c>
      <c r="W3310" s="1">
        <v>4.498</v>
      </c>
      <c r="X3310" s="1" t="s">
        <v>35</v>
      </c>
      <c r="Y3310" s="1">
        <v>4498.0</v>
      </c>
      <c r="Z3310" s="1"/>
      <c r="AA3310" s="1">
        <v>4498.0</v>
      </c>
      <c r="AB3310" s="1"/>
      <c r="AC3310" s="1" t="s">
        <v>36</v>
      </c>
      <c r="AD3310" s="1" t="s">
        <v>11642</v>
      </c>
      <c r="AE3310" s="1" t="s">
        <v>32</v>
      </c>
      <c r="AF3310" s="1" t="s">
        <v>33</v>
      </c>
      <c r="AG3310" s="1" t="s">
        <v>174</v>
      </c>
    </row>
    <row r="3311" spans="1:33">
      <c r="A3311" t="s">
        <v>11645</v>
      </c>
      <c r="C3311" t="s">
        <v>1016</v>
      </c>
      <c r="E3311" t="s">
        <v>11609</v>
      </c>
      <c r="F3311" t="s">
        <v>11610</v>
      </c>
      <c r="G3311">
        <v>38.0</v>
      </c>
      <c r="H3311">
        <v>38.0</v>
      </c>
      <c r="I3311" t="s">
        <v>269</v>
      </c>
      <c r="J3311" t="s">
        <v>270</v>
      </c>
      <c r="K3311" t="s">
        <v>31</v>
      </c>
      <c r="L3311" t="s">
        <v>32</v>
      </c>
      <c r="M3311" t="s">
        <v>33</v>
      </c>
      <c r="P3311" s="1" t="s">
        <v>11646</v>
      </c>
      <c r="Q3311" s="1" t="s">
        <v>11609</v>
      </c>
      <c r="R3311" s="1" t="s">
        <v>11609</v>
      </c>
      <c r="S3311" s="1"/>
      <c r="T3311" s="1" t="s">
        <v>1016</v>
      </c>
      <c r="U3311" s="1"/>
      <c r="V3311" s="1">
        <v>38.0</v>
      </c>
      <c r="W3311" s="1">
        <v>38.0</v>
      </c>
      <c r="X3311" s="1" t="s">
        <v>35</v>
      </c>
      <c r="Y3311" s="1">
        <v>38000.0</v>
      </c>
      <c r="Z3311" s="1"/>
      <c r="AA3311" s="1">
        <v>38000.0</v>
      </c>
      <c r="AB3311" s="1"/>
      <c r="AC3311" s="1" t="s">
        <v>36</v>
      </c>
      <c r="AD3311" s="1" t="s">
        <v>11647</v>
      </c>
      <c r="AE3311" s="1" t="s">
        <v>32</v>
      </c>
      <c r="AF3311" s="1" t="s">
        <v>33</v>
      </c>
      <c r="AG3311" s="1" t="s">
        <v>270</v>
      </c>
    </row>
    <row r="3312" spans="1:33">
      <c r="A3312" t="s">
        <v>11648</v>
      </c>
      <c r="C3312" t="s">
        <v>3385</v>
      </c>
      <c r="E3312" t="s">
        <v>11609</v>
      </c>
      <c r="F3312" t="s">
        <v>11610</v>
      </c>
      <c r="G3312">
        <v>714.2</v>
      </c>
      <c r="H3312">
        <v>714.2</v>
      </c>
      <c r="I3312" t="s">
        <v>847</v>
      </c>
      <c r="J3312" t="s">
        <v>848</v>
      </c>
      <c r="K3312" t="s">
        <v>31</v>
      </c>
      <c r="L3312" t="s">
        <v>32</v>
      </c>
      <c r="M3312" t="s">
        <v>33</v>
      </c>
      <c r="P3312" s="1" t="s">
        <v>11649</v>
      </c>
      <c r="Q3312" s="1" t="s">
        <v>11609</v>
      </c>
      <c r="R3312" s="1" t="s">
        <v>11609</v>
      </c>
      <c r="S3312" s="1"/>
      <c r="T3312" s="1" t="s">
        <v>3385</v>
      </c>
      <c r="U3312" s="1"/>
      <c r="V3312" s="1">
        <v>714.2</v>
      </c>
      <c r="W3312" s="1">
        <v>714.2</v>
      </c>
      <c r="X3312" s="1" t="s">
        <v>35</v>
      </c>
      <c r="Y3312" s="1">
        <v>714200.0</v>
      </c>
      <c r="Z3312" s="1"/>
      <c r="AA3312" s="1">
        <v>714200.0</v>
      </c>
      <c r="AB3312" s="1"/>
      <c r="AC3312" s="1" t="s">
        <v>36</v>
      </c>
      <c r="AD3312" s="1" t="s">
        <v>11650</v>
      </c>
      <c r="AE3312" s="1" t="s">
        <v>32</v>
      </c>
      <c r="AF3312" s="1" t="s">
        <v>33</v>
      </c>
      <c r="AG3312" s="1" t="s">
        <v>848</v>
      </c>
    </row>
    <row r="3313" spans="1:33">
      <c r="A3313" t="s">
        <v>11651</v>
      </c>
      <c r="B3313" t="s">
        <v>57</v>
      </c>
      <c r="C3313" t="s">
        <v>58</v>
      </c>
      <c r="E3313" t="s">
        <v>11609</v>
      </c>
      <c r="F3313" t="s">
        <v>11610</v>
      </c>
      <c r="G3313">
        <v>370.0</v>
      </c>
      <c r="H3313">
        <v>370.0</v>
      </c>
      <c r="I3313" t="s">
        <v>59</v>
      </c>
      <c r="J3313" t="s">
        <v>60</v>
      </c>
      <c r="K3313" t="s">
        <v>31</v>
      </c>
      <c r="L3313" t="s">
        <v>32</v>
      </c>
      <c r="M3313" t="s">
        <v>33</v>
      </c>
      <c r="P3313" s="1" t="s">
        <v>11652</v>
      </c>
      <c r="Q3313" s="1" t="s">
        <v>11609</v>
      </c>
      <c r="R3313" s="1" t="s">
        <v>11609</v>
      </c>
      <c r="S3313" s="1"/>
      <c r="T3313" s="1" t="s">
        <v>58</v>
      </c>
      <c r="U3313" s="1"/>
      <c r="V3313" s="1">
        <v>370.0</v>
      </c>
      <c r="W3313" s="1">
        <v>370.0</v>
      </c>
      <c r="X3313" s="1" t="s">
        <v>35</v>
      </c>
      <c r="Y3313" s="1">
        <v>370000.0</v>
      </c>
      <c r="Z3313" s="1"/>
      <c r="AA3313" s="1">
        <v>370000.0</v>
      </c>
      <c r="AB3313" s="1"/>
      <c r="AC3313" s="1" t="s">
        <v>36</v>
      </c>
      <c r="AD3313" s="1" t="s">
        <v>11653</v>
      </c>
      <c r="AE3313" s="1" t="s">
        <v>32</v>
      </c>
      <c r="AF3313" s="1" t="s">
        <v>33</v>
      </c>
      <c r="AG3313" s="1" t="s">
        <v>60</v>
      </c>
    </row>
    <row r="3314" spans="1:33">
      <c r="A3314" t="s">
        <v>11654</v>
      </c>
      <c r="C3314" t="s">
        <v>11655</v>
      </c>
      <c r="E3314" t="s">
        <v>11609</v>
      </c>
      <c r="F3314" t="s">
        <v>11610</v>
      </c>
      <c r="G3314">
        <v>31.25</v>
      </c>
      <c r="H3314">
        <v>31.25</v>
      </c>
      <c r="I3314" t="s">
        <v>269</v>
      </c>
      <c r="J3314" t="s">
        <v>270</v>
      </c>
      <c r="K3314" t="s">
        <v>31</v>
      </c>
      <c r="L3314" t="s">
        <v>32</v>
      </c>
      <c r="M3314" t="s">
        <v>33</v>
      </c>
      <c r="P3314" s="1" t="s">
        <v>11656</v>
      </c>
      <c r="Q3314" s="1" t="s">
        <v>11609</v>
      </c>
      <c r="R3314" s="1" t="s">
        <v>11609</v>
      </c>
      <c r="S3314" s="1"/>
      <c r="T3314" s="1" t="s">
        <v>11657</v>
      </c>
      <c r="U3314" s="1" t="s">
        <v>11658</v>
      </c>
      <c r="V3314" s="1">
        <v>31.25</v>
      </c>
      <c r="W3314" s="1">
        <v>31.25</v>
      </c>
      <c r="X3314" s="1" t="s">
        <v>35</v>
      </c>
      <c r="Y3314" s="1">
        <v>31250.0</v>
      </c>
      <c r="Z3314" s="1"/>
      <c r="AA3314" s="1">
        <v>31250.0</v>
      </c>
      <c r="AB3314" s="1"/>
      <c r="AC3314" s="1" t="s">
        <v>36</v>
      </c>
      <c r="AD3314" s="1" t="s">
        <v>11659</v>
      </c>
      <c r="AE3314" s="1" t="s">
        <v>32</v>
      </c>
      <c r="AF3314" s="1" t="s">
        <v>33</v>
      </c>
      <c r="AG3314" s="1" t="s">
        <v>270</v>
      </c>
    </row>
    <row r="3315" spans="1:33">
      <c r="A3315" t="s">
        <v>11660</v>
      </c>
      <c r="C3315" t="s">
        <v>695</v>
      </c>
      <c r="D3315" t="s">
        <v>114</v>
      </c>
      <c r="E3315" t="s">
        <v>11609</v>
      </c>
      <c r="F3315" t="s">
        <v>11610</v>
      </c>
      <c r="G3315">
        <v>328.0</v>
      </c>
      <c r="H3315">
        <v>328.0</v>
      </c>
      <c r="I3315" t="s">
        <v>269</v>
      </c>
      <c r="J3315" t="s">
        <v>270</v>
      </c>
      <c r="K3315" t="s">
        <v>31</v>
      </c>
      <c r="L3315" t="s">
        <v>32</v>
      </c>
      <c r="M3315" t="s">
        <v>33</v>
      </c>
      <c r="P3315" s="1" t="s">
        <v>11661</v>
      </c>
      <c r="Q3315" s="1" t="s">
        <v>11609</v>
      </c>
      <c r="R3315" s="1" t="s">
        <v>11609</v>
      </c>
      <c r="S3315" s="1"/>
      <c r="T3315" s="1" t="s">
        <v>695</v>
      </c>
      <c r="U3315" s="1"/>
      <c r="V3315" s="1">
        <v>328.0</v>
      </c>
      <c r="W3315" s="1">
        <v>328.0</v>
      </c>
      <c r="X3315" s="1" t="s">
        <v>35</v>
      </c>
      <c r="Y3315" s="1">
        <v>328000.0</v>
      </c>
      <c r="Z3315" s="1"/>
      <c r="AA3315" s="1">
        <v>328000.0</v>
      </c>
      <c r="AB3315" s="1"/>
      <c r="AC3315" s="1" t="s">
        <v>36</v>
      </c>
      <c r="AD3315" s="1" t="s">
        <v>11659</v>
      </c>
      <c r="AE3315" s="1" t="s">
        <v>32</v>
      </c>
      <c r="AF3315" s="1" t="s">
        <v>33</v>
      </c>
      <c r="AG3315" s="1" t="s">
        <v>270</v>
      </c>
    </row>
    <row r="3316" spans="1:33">
      <c r="A3316" t="s">
        <v>11662</v>
      </c>
      <c r="B3316" t="s">
        <v>11663</v>
      </c>
      <c r="C3316" t="s">
        <v>131</v>
      </c>
      <c r="E3316" t="s">
        <v>11609</v>
      </c>
      <c r="F3316" t="s">
        <v>11610</v>
      </c>
      <c r="G3316">
        <v>110.97</v>
      </c>
      <c r="H3316">
        <v>110.97</v>
      </c>
      <c r="I3316" t="s">
        <v>94</v>
      </c>
      <c r="J3316" t="s">
        <v>95</v>
      </c>
      <c r="K3316" t="s">
        <v>31</v>
      </c>
      <c r="L3316" t="s">
        <v>32</v>
      </c>
      <c r="M3316" t="s">
        <v>33</v>
      </c>
      <c r="P3316" s="1" t="s">
        <v>11664</v>
      </c>
      <c r="Q3316" s="1" t="s">
        <v>11609</v>
      </c>
      <c r="R3316" s="1" t="s">
        <v>11609</v>
      </c>
      <c r="S3316" s="1"/>
      <c r="T3316" s="1" t="s">
        <v>131</v>
      </c>
      <c r="U3316" s="1"/>
      <c r="V3316" s="1">
        <v>110.97</v>
      </c>
      <c r="W3316" s="1">
        <v>110.97</v>
      </c>
      <c r="X3316" s="1" t="s">
        <v>35</v>
      </c>
      <c r="Y3316" s="1">
        <v>110970.0</v>
      </c>
      <c r="Z3316" s="1"/>
      <c r="AA3316" s="1">
        <v>110970.0</v>
      </c>
      <c r="AB3316" s="1"/>
      <c r="AC3316" s="1" t="s">
        <v>36</v>
      </c>
      <c r="AD3316" s="1" t="s">
        <v>11665</v>
      </c>
      <c r="AE3316" s="1" t="s">
        <v>32</v>
      </c>
      <c r="AF3316" s="1" t="s">
        <v>33</v>
      </c>
      <c r="AG3316" s="1" t="s">
        <v>95</v>
      </c>
    </row>
    <row r="3317" spans="1:33">
      <c r="A3317" t="s">
        <v>11666</v>
      </c>
      <c r="C3317" t="s">
        <v>725</v>
      </c>
      <c r="E3317" t="s">
        <v>11609</v>
      </c>
      <c r="F3317" t="s">
        <v>11610</v>
      </c>
      <c r="G3317">
        <v>820.0</v>
      </c>
      <c r="H3317">
        <v>820.0</v>
      </c>
      <c r="I3317" t="s">
        <v>136</v>
      </c>
      <c r="J3317" t="s">
        <v>137</v>
      </c>
      <c r="K3317" t="s">
        <v>31</v>
      </c>
      <c r="L3317" t="s">
        <v>32</v>
      </c>
      <c r="M3317" t="s">
        <v>33</v>
      </c>
      <c r="P3317" s="1" t="s">
        <v>11667</v>
      </c>
      <c r="Q3317" s="1" t="s">
        <v>11609</v>
      </c>
      <c r="R3317" s="1" t="s">
        <v>11609</v>
      </c>
      <c r="S3317" s="1"/>
      <c r="T3317" s="1" t="s">
        <v>725</v>
      </c>
      <c r="U3317" s="1"/>
      <c r="V3317" s="1">
        <v>820.0</v>
      </c>
      <c r="W3317" s="1">
        <v>820.0</v>
      </c>
      <c r="X3317" s="1" t="s">
        <v>35</v>
      </c>
      <c r="Y3317" s="1">
        <v>820000.0</v>
      </c>
      <c r="Z3317" s="1"/>
      <c r="AA3317" s="1">
        <v>820000.0</v>
      </c>
      <c r="AB3317" s="1"/>
      <c r="AC3317" s="1" t="s">
        <v>36</v>
      </c>
      <c r="AD3317" s="1" t="s">
        <v>11668</v>
      </c>
      <c r="AE3317" s="1" t="s">
        <v>32</v>
      </c>
      <c r="AF3317" s="1" t="s">
        <v>33</v>
      </c>
      <c r="AG3317" s="1" t="s">
        <v>137</v>
      </c>
    </row>
    <row r="3318" spans="1:33">
      <c r="A3318" t="s">
        <v>11669</v>
      </c>
      <c r="B3318" t="s">
        <v>4124</v>
      </c>
      <c r="C3318" t="s">
        <v>314</v>
      </c>
      <c r="E3318" t="s">
        <v>11609</v>
      </c>
      <c r="F3318" t="s">
        <v>11610</v>
      </c>
      <c r="G3318">
        <v>52.33</v>
      </c>
      <c r="H3318">
        <v>52.33</v>
      </c>
      <c r="I3318" t="s">
        <v>179</v>
      </c>
      <c r="J3318" t="s">
        <v>180</v>
      </c>
      <c r="K3318" t="s">
        <v>31</v>
      </c>
      <c r="L3318" t="s">
        <v>32</v>
      </c>
      <c r="M3318" t="s">
        <v>33</v>
      </c>
      <c r="P3318" s="1" t="s">
        <v>11670</v>
      </c>
      <c r="Q3318" s="1" t="s">
        <v>11609</v>
      </c>
      <c r="R3318" s="1" t="s">
        <v>11609</v>
      </c>
      <c r="S3318" s="1"/>
      <c r="T3318" s="1" t="s">
        <v>314</v>
      </c>
      <c r="U3318" s="1"/>
      <c r="V3318" s="1">
        <v>52.33</v>
      </c>
      <c r="W3318" s="1">
        <v>52.33</v>
      </c>
      <c r="X3318" s="1" t="s">
        <v>35</v>
      </c>
      <c r="Y3318" s="1">
        <v>52330.0</v>
      </c>
      <c r="Z3318" s="1"/>
      <c r="AA3318" s="1">
        <v>52330.0</v>
      </c>
      <c r="AB3318" s="1"/>
      <c r="AC3318" s="1" t="s">
        <v>36</v>
      </c>
      <c r="AD3318" s="1" t="s">
        <v>11668</v>
      </c>
      <c r="AE3318" s="1" t="s">
        <v>32</v>
      </c>
      <c r="AF3318" s="1" t="s">
        <v>33</v>
      </c>
      <c r="AG3318" s="1" t="s">
        <v>180</v>
      </c>
    </row>
    <row r="3319" spans="1:33">
      <c r="A3319" t="s">
        <v>11671</v>
      </c>
      <c r="C3319" t="s">
        <v>153</v>
      </c>
      <c r="D3319" t="s">
        <v>154</v>
      </c>
      <c r="E3319" t="s">
        <v>11609</v>
      </c>
      <c r="F3319" t="s">
        <v>11610</v>
      </c>
      <c r="G3319">
        <v>396.5</v>
      </c>
      <c r="H3319">
        <v>396.5</v>
      </c>
      <c r="I3319" t="s">
        <v>94</v>
      </c>
      <c r="J3319" t="s">
        <v>95</v>
      </c>
      <c r="K3319" t="s">
        <v>31</v>
      </c>
      <c r="L3319" t="s">
        <v>32</v>
      </c>
      <c r="M3319" t="s">
        <v>33</v>
      </c>
      <c r="P3319" s="1" t="s">
        <v>11672</v>
      </c>
      <c r="Q3319" s="1" t="s">
        <v>11609</v>
      </c>
      <c r="R3319" s="1" t="s">
        <v>11609</v>
      </c>
      <c r="S3319" s="1"/>
      <c r="T3319" s="1" t="s">
        <v>156</v>
      </c>
      <c r="U3319" s="1" t="s">
        <v>157</v>
      </c>
      <c r="V3319" s="1">
        <v>396.5</v>
      </c>
      <c r="W3319" s="1">
        <v>396.5</v>
      </c>
      <c r="X3319" s="1" t="s">
        <v>35</v>
      </c>
      <c r="Y3319" s="1">
        <v>396500.0</v>
      </c>
      <c r="Z3319" s="1"/>
      <c r="AA3319" s="1">
        <v>396500.0</v>
      </c>
      <c r="AB3319" s="1"/>
      <c r="AC3319" s="1" t="s">
        <v>36</v>
      </c>
      <c r="AD3319" s="1" t="s">
        <v>11673</v>
      </c>
      <c r="AE3319" s="1" t="s">
        <v>32</v>
      </c>
      <c r="AF3319" s="1" t="s">
        <v>33</v>
      </c>
      <c r="AG3319" s="1" t="s">
        <v>95</v>
      </c>
    </row>
    <row r="3320" spans="1:33">
      <c r="A3320" t="s">
        <v>11674</v>
      </c>
      <c r="C3320" t="s">
        <v>145</v>
      </c>
      <c r="E3320" t="s">
        <v>11609</v>
      </c>
      <c r="F3320" t="s">
        <v>11610</v>
      </c>
      <c r="G3320">
        <v>583.5</v>
      </c>
      <c r="H3320">
        <v>583.5</v>
      </c>
      <c r="I3320" t="s">
        <v>136</v>
      </c>
      <c r="J3320" t="s">
        <v>137</v>
      </c>
      <c r="K3320" t="s">
        <v>31</v>
      </c>
      <c r="L3320" t="s">
        <v>32</v>
      </c>
      <c r="M3320" t="s">
        <v>33</v>
      </c>
      <c r="P3320" s="1" t="s">
        <v>11675</v>
      </c>
      <c r="Q3320" s="1" t="s">
        <v>11609</v>
      </c>
      <c r="R3320" s="1" t="s">
        <v>11609</v>
      </c>
      <c r="S3320" s="1"/>
      <c r="T3320" s="1" t="s">
        <v>145</v>
      </c>
      <c r="U3320" s="1"/>
      <c r="V3320" s="1">
        <v>583.5</v>
      </c>
      <c r="W3320" s="1">
        <v>583.5</v>
      </c>
      <c r="X3320" s="1" t="s">
        <v>35</v>
      </c>
      <c r="Y3320" s="1">
        <v>583500.0</v>
      </c>
      <c r="Z3320" s="1"/>
      <c r="AA3320" s="1">
        <v>583500.0</v>
      </c>
      <c r="AB3320" s="1"/>
      <c r="AC3320" s="1" t="s">
        <v>36</v>
      </c>
      <c r="AD3320" s="1" t="s">
        <v>11676</v>
      </c>
      <c r="AE3320" s="1" t="s">
        <v>32</v>
      </c>
      <c r="AF3320" s="1" t="s">
        <v>33</v>
      </c>
      <c r="AG3320" s="1" t="s">
        <v>137</v>
      </c>
    </row>
    <row r="3321" spans="1:33">
      <c r="A3321" t="s">
        <v>11677</v>
      </c>
      <c r="C3321" t="s">
        <v>5580</v>
      </c>
      <c r="E3321" t="s">
        <v>11609</v>
      </c>
      <c r="F3321" t="s">
        <v>11610</v>
      </c>
      <c r="G3321">
        <v>420.0</v>
      </c>
      <c r="H3321">
        <v>420.0</v>
      </c>
      <c r="I3321" t="s">
        <v>94</v>
      </c>
      <c r="J3321" t="s">
        <v>95</v>
      </c>
      <c r="K3321" t="s">
        <v>31</v>
      </c>
      <c r="L3321" t="s">
        <v>32</v>
      </c>
      <c r="M3321" t="s">
        <v>33</v>
      </c>
      <c r="P3321" s="1" t="s">
        <v>11678</v>
      </c>
      <c r="Q3321" s="1" t="s">
        <v>11609</v>
      </c>
      <c r="R3321" s="1" t="s">
        <v>11609</v>
      </c>
      <c r="S3321" s="1"/>
      <c r="T3321" s="1" t="s">
        <v>5582</v>
      </c>
      <c r="U3321" s="1" t="s">
        <v>5583</v>
      </c>
      <c r="V3321" s="1">
        <v>420.0</v>
      </c>
      <c r="W3321" s="1">
        <v>420.0</v>
      </c>
      <c r="X3321" s="1" t="s">
        <v>35</v>
      </c>
      <c r="Y3321" s="1">
        <v>420000.0</v>
      </c>
      <c r="Z3321" s="1"/>
      <c r="AA3321" s="1">
        <v>420000.0</v>
      </c>
      <c r="AB3321" s="1"/>
      <c r="AC3321" s="1" t="s">
        <v>36</v>
      </c>
      <c r="AD3321" s="1" t="s">
        <v>11679</v>
      </c>
      <c r="AE3321" s="1" t="s">
        <v>32</v>
      </c>
      <c r="AF3321" s="1" t="s">
        <v>33</v>
      </c>
      <c r="AG3321" s="1" t="s">
        <v>95</v>
      </c>
    </row>
    <row r="3322" spans="1:33">
      <c r="A3322" t="s">
        <v>11680</v>
      </c>
      <c r="C3322" t="s">
        <v>2262</v>
      </c>
      <c r="E3322" t="s">
        <v>11609</v>
      </c>
      <c r="F3322" t="s">
        <v>11610</v>
      </c>
      <c r="G3322">
        <v>881.5</v>
      </c>
      <c r="H3322">
        <v>881.5</v>
      </c>
      <c r="I3322" t="s">
        <v>269</v>
      </c>
      <c r="J3322" t="s">
        <v>270</v>
      </c>
      <c r="K3322" t="s">
        <v>31</v>
      </c>
      <c r="L3322" t="s">
        <v>32</v>
      </c>
      <c r="M3322" t="s">
        <v>33</v>
      </c>
      <c r="P3322" s="1" t="s">
        <v>11681</v>
      </c>
      <c r="Q3322" s="1" t="s">
        <v>11609</v>
      </c>
      <c r="R3322" s="1" t="s">
        <v>11609</v>
      </c>
      <c r="S3322" s="1"/>
      <c r="T3322" s="1" t="s">
        <v>2262</v>
      </c>
      <c r="U3322" s="1"/>
      <c r="V3322" s="1">
        <v>881.5</v>
      </c>
      <c r="W3322" s="1">
        <v>881.5</v>
      </c>
      <c r="X3322" s="1" t="s">
        <v>35</v>
      </c>
      <c r="Y3322" s="1">
        <v>881500.0</v>
      </c>
      <c r="Z3322" s="1"/>
      <c r="AA3322" s="1">
        <v>881500.0</v>
      </c>
      <c r="AB3322" s="1"/>
      <c r="AC3322" s="1" t="s">
        <v>36</v>
      </c>
      <c r="AD3322" s="1" t="s">
        <v>11682</v>
      </c>
      <c r="AE3322" s="1" t="s">
        <v>32</v>
      </c>
      <c r="AF3322" s="1" t="s">
        <v>33</v>
      </c>
      <c r="AG3322" s="1" t="s">
        <v>270</v>
      </c>
    </row>
    <row r="3323" spans="1:33">
      <c r="A3323" t="s">
        <v>11683</v>
      </c>
      <c r="B3323" t="s">
        <v>2716</v>
      </c>
      <c r="C3323" t="s">
        <v>125</v>
      </c>
      <c r="E3323" t="s">
        <v>11609</v>
      </c>
      <c r="F3323" t="s">
        <v>11610</v>
      </c>
      <c r="G3323">
        <v>23.488</v>
      </c>
      <c r="H3323">
        <v>23.488</v>
      </c>
      <c r="I3323" t="s">
        <v>126</v>
      </c>
      <c r="J3323" t="s">
        <v>127</v>
      </c>
      <c r="K3323" t="s">
        <v>31</v>
      </c>
      <c r="L3323" t="s">
        <v>32</v>
      </c>
      <c r="M3323" t="s">
        <v>33</v>
      </c>
      <c r="P3323" s="1" t="s">
        <v>11684</v>
      </c>
      <c r="Q3323" s="1" t="s">
        <v>11609</v>
      </c>
      <c r="R3323" s="1" t="s">
        <v>11609</v>
      </c>
      <c r="S3323" s="1"/>
      <c r="T3323" s="1" t="s">
        <v>125</v>
      </c>
      <c r="U3323" s="1"/>
      <c r="V3323" s="1">
        <v>23.488</v>
      </c>
      <c r="W3323" s="1">
        <v>23.488</v>
      </c>
      <c r="X3323" s="1" t="s">
        <v>35</v>
      </c>
      <c r="Y3323" s="1">
        <v>23488.0</v>
      </c>
      <c r="Z3323" s="1"/>
      <c r="AA3323" s="1">
        <v>23488.0</v>
      </c>
      <c r="AB3323" s="1"/>
      <c r="AC3323" s="1" t="s">
        <v>36</v>
      </c>
      <c r="AD3323" s="1" t="s">
        <v>11685</v>
      </c>
      <c r="AE3323" s="1" t="s">
        <v>32</v>
      </c>
      <c r="AF3323" s="1" t="s">
        <v>33</v>
      </c>
      <c r="AG3323" s="1" t="s">
        <v>127</v>
      </c>
    </row>
    <row r="3324" spans="1:33">
      <c r="A3324" t="s">
        <v>11686</v>
      </c>
      <c r="C3324" t="s">
        <v>11687</v>
      </c>
      <c r="E3324" t="s">
        <v>11609</v>
      </c>
      <c r="F3324" t="s">
        <v>11610</v>
      </c>
      <c r="G3324">
        <v>65.0</v>
      </c>
      <c r="H3324">
        <v>65.0</v>
      </c>
      <c r="I3324" t="s">
        <v>2206</v>
      </c>
      <c r="J3324" t="s">
        <v>49</v>
      </c>
      <c r="K3324" t="s">
        <v>31</v>
      </c>
      <c r="L3324" t="s">
        <v>32</v>
      </c>
      <c r="M3324" t="s">
        <v>33</v>
      </c>
      <c r="P3324" s="1" t="s">
        <v>11688</v>
      </c>
      <c r="Q3324" s="1" t="s">
        <v>11609</v>
      </c>
      <c r="R3324" s="1" t="s">
        <v>11609</v>
      </c>
      <c r="S3324" s="1"/>
      <c r="T3324" s="1" t="s">
        <v>11687</v>
      </c>
      <c r="U3324" s="1"/>
      <c r="V3324" s="1">
        <v>65.0</v>
      </c>
      <c r="W3324" s="1">
        <v>65.0</v>
      </c>
      <c r="X3324" s="1" t="s">
        <v>35</v>
      </c>
      <c r="Y3324" s="1">
        <v>65000.0</v>
      </c>
      <c r="Z3324" s="1"/>
      <c r="AA3324" s="1">
        <v>65000.0</v>
      </c>
      <c r="AB3324" s="1"/>
      <c r="AC3324" s="1" t="s">
        <v>36</v>
      </c>
      <c r="AD3324" s="1" t="s">
        <v>11689</v>
      </c>
      <c r="AE3324" s="1" t="s">
        <v>32</v>
      </c>
      <c r="AF3324" s="1" t="s">
        <v>33</v>
      </c>
      <c r="AG3324" s="1" t="s">
        <v>49</v>
      </c>
    </row>
    <row r="3325" spans="1:33">
      <c r="A3325" t="s">
        <v>11690</v>
      </c>
      <c r="B3325" t="s">
        <v>11691</v>
      </c>
      <c r="C3325" t="s">
        <v>453</v>
      </c>
      <c r="E3325" t="s">
        <v>11609</v>
      </c>
      <c r="F3325" t="s">
        <v>11610</v>
      </c>
      <c r="G3325">
        <v>2.016</v>
      </c>
      <c r="H3325">
        <v>2.016</v>
      </c>
      <c r="I3325" t="s">
        <v>29</v>
      </c>
      <c r="J3325" t="s">
        <v>30</v>
      </c>
      <c r="K3325" t="s">
        <v>31</v>
      </c>
      <c r="L3325" t="s">
        <v>32</v>
      </c>
      <c r="M3325" t="s">
        <v>33</v>
      </c>
      <c r="P3325" s="1" t="s">
        <v>11692</v>
      </c>
      <c r="Q3325" s="1" t="s">
        <v>11609</v>
      </c>
      <c r="R3325" s="1" t="s">
        <v>11609</v>
      </c>
      <c r="S3325" s="1"/>
      <c r="T3325" s="1" t="s">
        <v>453</v>
      </c>
      <c r="U3325" s="1"/>
      <c r="V3325" s="1">
        <v>2.016</v>
      </c>
      <c r="W3325" s="1">
        <v>2.016</v>
      </c>
      <c r="X3325" s="1" t="s">
        <v>35</v>
      </c>
      <c r="Y3325" s="1">
        <v>2016000.0</v>
      </c>
      <c r="Z3325" s="1"/>
      <c r="AA3325" s="1">
        <v>2016000.0</v>
      </c>
      <c r="AB3325" s="1"/>
      <c r="AC3325" s="1" t="s">
        <v>36</v>
      </c>
      <c r="AD3325" s="1" t="s">
        <v>11693</v>
      </c>
      <c r="AE3325" s="1" t="s">
        <v>32</v>
      </c>
      <c r="AF3325" s="1" t="s">
        <v>33</v>
      </c>
      <c r="AG3325" s="1" t="s">
        <v>30</v>
      </c>
    </row>
    <row r="3326" spans="1:33">
      <c r="A3326" t="s">
        <v>11694</v>
      </c>
      <c r="B3326" t="s">
        <v>11695</v>
      </c>
      <c r="C3326" t="s">
        <v>125</v>
      </c>
      <c r="E3326" t="s">
        <v>11609</v>
      </c>
      <c r="F3326" t="s">
        <v>11610</v>
      </c>
      <c r="G3326">
        <v>28.291</v>
      </c>
      <c r="H3326">
        <v>28.291</v>
      </c>
      <c r="I3326" t="s">
        <v>126</v>
      </c>
      <c r="J3326" t="s">
        <v>127</v>
      </c>
      <c r="K3326" t="s">
        <v>31</v>
      </c>
      <c r="L3326" t="s">
        <v>32</v>
      </c>
      <c r="M3326" t="s">
        <v>33</v>
      </c>
      <c r="P3326" s="1" t="s">
        <v>11696</v>
      </c>
      <c r="Q3326" s="1" t="s">
        <v>11609</v>
      </c>
      <c r="R3326" s="1" t="s">
        <v>11609</v>
      </c>
      <c r="S3326" s="1"/>
      <c r="T3326" s="1" t="s">
        <v>125</v>
      </c>
      <c r="U3326" s="1"/>
      <c r="V3326" s="1">
        <v>28.291</v>
      </c>
      <c r="W3326" s="1">
        <v>28.291</v>
      </c>
      <c r="X3326" s="1" t="s">
        <v>35</v>
      </c>
      <c r="Y3326" s="1">
        <v>28291.0</v>
      </c>
      <c r="Z3326" s="1"/>
      <c r="AA3326" s="1">
        <v>28291.0</v>
      </c>
      <c r="AB3326" s="1"/>
      <c r="AC3326" s="1" t="s">
        <v>36</v>
      </c>
      <c r="AD3326" s="1" t="s">
        <v>11697</v>
      </c>
      <c r="AE3326" s="1" t="s">
        <v>32</v>
      </c>
      <c r="AF3326" s="1" t="s">
        <v>33</v>
      </c>
      <c r="AG3326" s="1" t="s">
        <v>127</v>
      </c>
    </row>
    <row r="3327" spans="1:33">
      <c r="A3327" t="s">
        <v>11698</v>
      </c>
      <c r="B3327" t="s">
        <v>717</v>
      </c>
      <c r="C3327" t="s">
        <v>569</v>
      </c>
      <c r="E3327" t="s">
        <v>11609</v>
      </c>
      <c r="F3327" t="s">
        <v>11610</v>
      </c>
      <c r="G3327">
        <v>17.79</v>
      </c>
      <c r="H3327">
        <v>17.79</v>
      </c>
      <c r="I3327" t="s">
        <v>570</v>
      </c>
      <c r="J3327" t="s">
        <v>571</v>
      </c>
      <c r="K3327" t="s">
        <v>31</v>
      </c>
      <c r="L3327" t="s">
        <v>32</v>
      </c>
      <c r="M3327" t="s">
        <v>33</v>
      </c>
      <c r="P3327" s="1" t="s">
        <v>11699</v>
      </c>
      <c r="Q3327" s="1" t="s">
        <v>11609</v>
      </c>
      <c r="R3327" s="1" t="s">
        <v>11609</v>
      </c>
      <c r="S3327" s="1"/>
      <c r="T3327" s="1" t="s">
        <v>569</v>
      </c>
      <c r="U3327" s="1"/>
      <c r="V3327" s="1">
        <v>17.79</v>
      </c>
      <c r="W3327" s="1">
        <v>17.79</v>
      </c>
      <c r="X3327" s="1" t="s">
        <v>35</v>
      </c>
      <c r="Y3327" s="1">
        <v>17790.0</v>
      </c>
      <c r="Z3327" s="1"/>
      <c r="AA3327" s="1">
        <v>17790.0</v>
      </c>
      <c r="AB3327" s="1"/>
      <c r="AC3327" s="1" t="s">
        <v>36</v>
      </c>
      <c r="AD3327" s="1" t="s">
        <v>11693</v>
      </c>
      <c r="AE3327" s="1" t="s">
        <v>32</v>
      </c>
      <c r="AF3327" s="1" t="s">
        <v>33</v>
      </c>
      <c r="AG3327" s="1" t="s">
        <v>571</v>
      </c>
    </row>
    <row r="3328" spans="1:33">
      <c r="A3328" t="s">
        <v>11700</v>
      </c>
      <c r="C3328" t="s">
        <v>8507</v>
      </c>
      <c r="E3328" t="s">
        <v>11609</v>
      </c>
      <c r="F3328" t="s">
        <v>11610</v>
      </c>
      <c r="G3328">
        <v>4.294</v>
      </c>
      <c r="H3328">
        <v>4.294</v>
      </c>
      <c r="I3328" t="s">
        <v>269</v>
      </c>
      <c r="J3328" t="s">
        <v>270</v>
      </c>
      <c r="K3328" t="s">
        <v>31</v>
      </c>
      <c r="L3328" t="s">
        <v>32</v>
      </c>
      <c r="M3328" t="s">
        <v>33</v>
      </c>
      <c r="P3328" s="1" t="s">
        <v>11701</v>
      </c>
      <c r="Q3328" s="1" t="s">
        <v>11609</v>
      </c>
      <c r="R3328" s="1" t="s">
        <v>11609</v>
      </c>
      <c r="S3328" s="1"/>
      <c r="T3328" s="1" t="s">
        <v>8507</v>
      </c>
      <c r="U3328" s="1"/>
      <c r="V3328" s="1">
        <v>4.294</v>
      </c>
      <c r="W3328" s="1">
        <v>4.294</v>
      </c>
      <c r="X3328" s="1" t="s">
        <v>35</v>
      </c>
      <c r="Y3328" s="1">
        <v>4294250</v>
      </c>
      <c r="Z3328" s="1"/>
      <c r="AA3328" s="1">
        <v>4294250</v>
      </c>
      <c r="AB3328" s="1"/>
      <c r="AC3328" s="1" t="s">
        <v>36</v>
      </c>
      <c r="AD3328" s="1" t="s">
        <v>11702</v>
      </c>
      <c r="AE3328" s="1" t="s">
        <v>32</v>
      </c>
      <c r="AF3328" s="1" t="s">
        <v>33</v>
      </c>
      <c r="AG3328" s="1" t="s">
        <v>270</v>
      </c>
    </row>
    <row r="3329" spans="1:33">
      <c r="A3329" t="s">
        <v>11703</v>
      </c>
      <c r="B3329" t="s">
        <v>6746</v>
      </c>
      <c r="C3329" t="s">
        <v>314</v>
      </c>
      <c r="E3329" t="s">
        <v>11609</v>
      </c>
      <c r="F3329" t="s">
        <v>11610</v>
      </c>
      <c r="G3329">
        <v>70.92</v>
      </c>
      <c r="H3329">
        <v>70.92</v>
      </c>
      <c r="I3329" t="s">
        <v>179</v>
      </c>
      <c r="J3329" t="s">
        <v>180</v>
      </c>
      <c r="K3329" t="s">
        <v>31</v>
      </c>
      <c r="L3329" t="s">
        <v>32</v>
      </c>
      <c r="M3329" t="s">
        <v>33</v>
      </c>
      <c r="P3329" s="1" t="s">
        <v>11704</v>
      </c>
      <c r="Q3329" s="1" t="s">
        <v>11609</v>
      </c>
      <c r="R3329" s="1" t="s">
        <v>11609</v>
      </c>
      <c r="S3329" s="1"/>
      <c r="T3329" s="1" t="s">
        <v>314</v>
      </c>
      <c r="U3329" s="1"/>
      <c r="V3329" s="1">
        <v>70.92</v>
      </c>
      <c r="W3329" s="1">
        <v>70.92</v>
      </c>
      <c r="X3329" s="1" t="s">
        <v>35</v>
      </c>
      <c r="Y3329" s="1">
        <v>70920.0</v>
      </c>
      <c r="Z3329" s="1"/>
      <c r="AA3329" s="1">
        <v>70920.0</v>
      </c>
      <c r="AB3329" s="1"/>
      <c r="AC3329" s="1" t="s">
        <v>36</v>
      </c>
      <c r="AD3329" s="1" t="s">
        <v>11705</v>
      </c>
      <c r="AE3329" s="1" t="s">
        <v>32</v>
      </c>
      <c r="AF3329" s="1" t="s">
        <v>33</v>
      </c>
      <c r="AG3329" s="1" t="s">
        <v>180</v>
      </c>
    </row>
    <row r="3330" spans="1:33">
      <c r="A3330" t="s">
        <v>11706</v>
      </c>
      <c r="B3330" t="s">
        <v>4995</v>
      </c>
      <c r="C3330" t="s">
        <v>68</v>
      </c>
      <c r="E3330" t="s">
        <v>11609</v>
      </c>
      <c r="F3330" t="s">
        <v>11610</v>
      </c>
      <c r="G3330">
        <v>10.947</v>
      </c>
      <c r="H3330">
        <v>10.947</v>
      </c>
      <c r="I3330" t="s">
        <v>59</v>
      </c>
      <c r="J3330" t="s">
        <v>60</v>
      </c>
      <c r="K3330" t="s">
        <v>31</v>
      </c>
      <c r="L3330" t="s">
        <v>32</v>
      </c>
      <c r="M3330" t="s">
        <v>33</v>
      </c>
      <c r="P3330" s="1" t="s">
        <v>11707</v>
      </c>
      <c r="Q3330" s="1" t="s">
        <v>11609</v>
      </c>
      <c r="R3330" s="1" t="s">
        <v>11609</v>
      </c>
      <c r="S3330" s="1"/>
      <c r="T3330" s="1" t="s">
        <v>68</v>
      </c>
      <c r="U3330" s="1"/>
      <c r="V3330" s="1">
        <v>10.947</v>
      </c>
      <c r="W3330" s="1">
        <v>10.947</v>
      </c>
      <c r="X3330" s="1" t="s">
        <v>35</v>
      </c>
      <c r="Y3330" s="1">
        <v>10947.0</v>
      </c>
      <c r="Z3330" s="1"/>
      <c r="AA3330" s="1">
        <v>10947.0</v>
      </c>
      <c r="AB3330" s="1"/>
      <c r="AC3330" s="1" t="s">
        <v>36</v>
      </c>
      <c r="AD3330" s="1" t="s">
        <v>11708</v>
      </c>
      <c r="AE3330" s="1" t="s">
        <v>32</v>
      </c>
      <c r="AF3330" s="1" t="s">
        <v>33</v>
      </c>
      <c r="AG3330" s="1" t="s">
        <v>60</v>
      </c>
    </row>
    <row r="3331" spans="1:33">
      <c r="A3331" t="s">
        <v>11709</v>
      </c>
      <c r="B3331" t="s">
        <v>3108</v>
      </c>
      <c r="C3331" t="s">
        <v>314</v>
      </c>
      <c r="E3331" t="s">
        <v>11609</v>
      </c>
      <c r="F3331" t="s">
        <v>11610</v>
      </c>
      <c r="G3331">
        <v>37.18</v>
      </c>
      <c r="H3331">
        <v>37.18</v>
      </c>
      <c r="I3331" t="s">
        <v>179</v>
      </c>
      <c r="J3331" t="s">
        <v>180</v>
      </c>
      <c r="K3331" t="s">
        <v>31</v>
      </c>
      <c r="L3331" t="s">
        <v>32</v>
      </c>
      <c r="M3331" t="s">
        <v>33</v>
      </c>
      <c r="P3331" s="1" t="s">
        <v>11710</v>
      </c>
      <c r="Q3331" s="1" t="s">
        <v>11609</v>
      </c>
      <c r="R3331" s="1" t="s">
        <v>11609</v>
      </c>
      <c r="S3331" s="1"/>
      <c r="T3331" s="1" t="s">
        <v>314</v>
      </c>
      <c r="U3331" s="1"/>
      <c r="V3331" s="1">
        <v>37.18</v>
      </c>
      <c r="W3331" s="1">
        <v>37.18</v>
      </c>
      <c r="X3331" s="1" t="s">
        <v>35</v>
      </c>
      <c r="Y3331" s="1">
        <v>37180.0</v>
      </c>
      <c r="Z3331" s="1"/>
      <c r="AA3331" s="1">
        <v>37180.0</v>
      </c>
      <c r="AB3331" s="1"/>
      <c r="AC3331" s="1" t="s">
        <v>36</v>
      </c>
      <c r="AD3331" s="1" t="s">
        <v>11711</v>
      </c>
      <c r="AE3331" s="1" t="s">
        <v>32</v>
      </c>
      <c r="AF3331" s="1" t="s">
        <v>33</v>
      </c>
      <c r="AG3331" s="1" t="s">
        <v>180</v>
      </c>
    </row>
    <row r="3332" spans="1:33">
      <c r="A3332" t="s">
        <v>11712</v>
      </c>
      <c r="B3332" t="s">
        <v>11713</v>
      </c>
      <c r="C3332" t="s">
        <v>11714</v>
      </c>
      <c r="E3332" t="s">
        <v>11609</v>
      </c>
      <c r="F3332" t="s">
        <v>11610</v>
      </c>
      <c r="G3332">
        <v>1.026</v>
      </c>
      <c r="H3332">
        <v>1.026</v>
      </c>
      <c r="I3332" t="s">
        <v>29</v>
      </c>
      <c r="J3332" t="s">
        <v>30</v>
      </c>
      <c r="K3332" t="s">
        <v>31</v>
      </c>
      <c r="L3332" t="s">
        <v>32</v>
      </c>
      <c r="M3332" t="s">
        <v>33</v>
      </c>
      <c r="P3332" s="1" t="s">
        <v>11715</v>
      </c>
      <c r="Q3332" s="1" t="s">
        <v>11609</v>
      </c>
      <c r="R3332" s="1" t="s">
        <v>11609</v>
      </c>
      <c r="S3332" s="1"/>
      <c r="T3332" s="1" t="s">
        <v>11714</v>
      </c>
      <c r="U3332" s="1"/>
      <c r="V3332" s="1">
        <v>1.026</v>
      </c>
      <c r="W3332" s="1">
        <v>1.026</v>
      </c>
      <c r="X3332" s="1" t="s">
        <v>35</v>
      </c>
      <c r="Y3332" s="1">
        <v>1026500.0</v>
      </c>
      <c r="Z3332" s="1"/>
      <c r="AA3332" s="1">
        <v>1026500.0</v>
      </c>
      <c r="AB3332" s="1"/>
      <c r="AC3332" s="1" t="s">
        <v>36</v>
      </c>
      <c r="AD3332" s="1" t="s">
        <v>11716</v>
      </c>
      <c r="AE3332" s="1" t="s">
        <v>32</v>
      </c>
      <c r="AF3332" s="1" t="s">
        <v>33</v>
      </c>
      <c r="AG3332" s="1" t="s">
        <v>30</v>
      </c>
    </row>
    <row r="3333" spans="1:33">
      <c r="A3333" t="s">
        <v>11717</v>
      </c>
      <c r="B3333" t="s">
        <v>4619</v>
      </c>
      <c r="C3333" t="s">
        <v>4620</v>
      </c>
      <c r="E3333" t="s">
        <v>11609</v>
      </c>
      <c r="F3333" t="s">
        <v>11610</v>
      </c>
      <c r="G3333">
        <v>1.018</v>
      </c>
      <c r="H3333">
        <v>1.018</v>
      </c>
      <c r="I3333" t="s">
        <v>529</v>
      </c>
      <c r="J3333" t="s">
        <v>530</v>
      </c>
      <c r="K3333" t="s">
        <v>31</v>
      </c>
      <c r="L3333" t="s">
        <v>32</v>
      </c>
      <c r="M3333" t="s">
        <v>33</v>
      </c>
      <c r="P3333" s="1" t="s">
        <v>11718</v>
      </c>
      <c r="Q3333" s="1" t="s">
        <v>11609</v>
      </c>
      <c r="R3333" s="1" t="s">
        <v>10933</v>
      </c>
      <c r="S3333" s="1"/>
      <c r="T3333" s="1" t="s">
        <v>4620</v>
      </c>
      <c r="U3333" s="1"/>
      <c r="V3333" s="1">
        <v>1.018</v>
      </c>
      <c r="W3333" s="1">
        <v>1.018</v>
      </c>
      <c r="X3333" s="1" t="s">
        <v>35</v>
      </c>
      <c r="Y3333" s="1">
        <v>1018800.0</v>
      </c>
      <c r="Z3333" s="1"/>
      <c r="AA3333" s="1">
        <v>1018800.0</v>
      </c>
      <c r="AB3333" s="1"/>
      <c r="AC3333" s="1" t="s">
        <v>36</v>
      </c>
      <c r="AD3333" s="1" t="s">
        <v>11719</v>
      </c>
      <c r="AE3333" s="1" t="s">
        <v>32</v>
      </c>
      <c r="AF3333" s="1" t="s">
        <v>33</v>
      </c>
      <c r="AG3333" s="1" t="s">
        <v>530</v>
      </c>
    </row>
    <row r="3334" spans="1:33">
      <c r="A3334" t="s">
        <v>11720</v>
      </c>
      <c r="B3334" t="s">
        <v>4139</v>
      </c>
      <c r="C3334" t="s">
        <v>314</v>
      </c>
      <c r="E3334" t="s">
        <v>11609</v>
      </c>
      <c r="F3334" t="s">
        <v>11610</v>
      </c>
      <c r="G3334">
        <v>18.59</v>
      </c>
      <c r="H3334">
        <v>18.59</v>
      </c>
      <c r="I3334" t="s">
        <v>179</v>
      </c>
      <c r="J3334" t="s">
        <v>180</v>
      </c>
      <c r="K3334" t="s">
        <v>31</v>
      </c>
      <c r="L3334" t="s">
        <v>32</v>
      </c>
      <c r="M3334" t="s">
        <v>33</v>
      </c>
      <c r="P3334" s="1" t="s">
        <v>11721</v>
      </c>
      <c r="Q3334" s="1" t="s">
        <v>11609</v>
      </c>
      <c r="R3334" s="1" t="s">
        <v>11609</v>
      </c>
      <c r="S3334" s="1"/>
      <c r="T3334" s="1" t="s">
        <v>314</v>
      </c>
      <c r="U3334" s="1"/>
      <c r="V3334" s="1">
        <v>18.59</v>
      </c>
      <c r="W3334" s="1">
        <v>18.59</v>
      </c>
      <c r="X3334" s="1" t="s">
        <v>35</v>
      </c>
      <c r="Y3334" s="1">
        <v>18590.0</v>
      </c>
      <c r="Z3334" s="1"/>
      <c r="AA3334" s="1">
        <v>18590.0</v>
      </c>
      <c r="AB3334" s="1"/>
      <c r="AC3334" s="1" t="s">
        <v>36</v>
      </c>
      <c r="AD3334" s="1" t="s">
        <v>11722</v>
      </c>
      <c r="AE3334" s="1" t="s">
        <v>32</v>
      </c>
      <c r="AF3334" s="1" t="s">
        <v>33</v>
      </c>
      <c r="AG3334" s="1" t="s">
        <v>180</v>
      </c>
    </row>
    <row r="3335" spans="1:33">
      <c r="A3335" t="s">
        <v>11723</v>
      </c>
      <c r="C3335" t="s">
        <v>3871</v>
      </c>
      <c r="E3335" t="s">
        <v>11609</v>
      </c>
      <c r="F3335" t="s">
        <v>11610</v>
      </c>
      <c r="G3335">
        <v>592.0</v>
      </c>
      <c r="H3335">
        <v>592.0</v>
      </c>
      <c r="I3335" t="s">
        <v>570</v>
      </c>
      <c r="J3335" t="s">
        <v>571</v>
      </c>
      <c r="K3335" t="s">
        <v>31</v>
      </c>
      <c r="L3335" t="s">
        <v>32</v>
      </c>
      <c r="M3335" t="s">
        <v>33</v>
      </c>
      <c r="P3335" s="1" t="s">
        <v>11724</v>
      </c>
      <c r="Q3335" s="1" t="s">
        <v>11609</v>
      </c>
      <c r="R3335" s="1" t="s">
        <v>11609</v>
      </c>
      <c r="S3335" s="1"/>
      <c r="T3335" s="1" t="s">
        <v>3871</v>
      </c>
      <c r="U3335" s="1"/>
      <c r="V3335" s="1">
        <v>592.0</v>
      </c>
      <c r="W3335" s="1">
        <v>592.0</v>
      </c>
      <c r="X3335" s="1" t="s">
        <v>35</v>
      </c>
      <c r="Y3335" s="1">
        <v>592000.0</v>
      </c>
      <c r="Z3335" s="1"/>
      <c r="AA3335" s="1">
        <v>592000.0</v>
      </c>
      <c r="AB3335" s="1"/>
      <c r="AC3335" s="1" t="s">
        <v>36</v>
      </c>
      <c r="AD3335" s="1" t="s">
        <v>11725</v>
      </c>
      <c r="AE3335" s="1" t="s">
        <v>32</v>
      </c>
      <c r="AF3335" s="1" t="s">
        <v>33</v>
      </c>
      <c r="AG3335" s="1" t="s">
        <v>571</v>
      </c>
    </row>
    <row r="3336" spans="1:33">
      <c r="A3336" t="s">
        <v>11726</v>
      </c>
      <c r="C3336" t="s">
        <v>73</v>
      </c>
      <c r="E3336" t="s">
        <v>11609</v>
      </c>
      <c r="F3336" t="s">
        <v>11610</v>
      </c>
      <c r="G3336">
        <v>20.49</v>
      </c>
      <c r="H3336">
        <v>20.49</v>
      </c>
      <c r="I3336" t="s">
        <v>40</v>
      </c>
      <c r="J3336" t="s">
        <v>41</v>
      </c>
      <c r="K3336" t="s">
        <v>31</v>
      </c>
      <c r="L3336" t="s">
        <v>32</v>
      </c>
      <c r="M3336" t="s">
        <v>33</v>
      </c>
      <c r="P3336" s="1" t="s">
        <v>11727</v>
      </c>
      <c r="Q3336" s="1" t="s">
        <v>11609</v>
      </c>
      <c r="R3336" s="1" t="s">
        <v>10933</v>
      </c>
      <c r="S3336" s="1"/>
      <c r="T3336" s="1" t="s">
        <v>75</v>
      </c>
      <c r="U3336" s="1" t="s">
        <v>76</v>
      </c>
      <c r="V3336" s="1">
        <v>20.49</v>
      </c>
      <c r="W3336" s="1">
        <v>20.49</v>
      </c>
      <c r="X3336" s="1" t="s">
        <v>35</v>
      </c>
      <c r="Y3336" s="1">
        <v>20490.0</v>
      </c>
      <c r="Z3336" s="1"/>
      <c r="AA3336" s="1">
        <v>20490.0</v>
      </c>
      <c r="AB3336" s="1"/>
      <c r="AC3336" s="1" t="s">
        <v>36</v>
      </c>
      <c r="AD3336" s="1" t="s">
        <v>11728</v>
      </c>
      <c r="AE3336" s="1" t="s">
        <v>32</v>
      </c>
      <c r="AF3336" s="1" t="s">
        <v>33</v>
      </c>
      <c r="AG3336" s="1" t="s">
        <v>41</v>
      </c>
    </row>
    <row r="3337" spans="1:33">
      <c r="A3337" t="s">
        <v>11729</v>
      </c>
      <c r="B3337" t="s">
        <v>728</v>
      </c>
      <c r="C3337" t="s">
        <v>569</v>
      </c>
      <c r="E3337" t="s">
        <v>11609</v>
      </c>
      <c r="F3337" t="s">
        <v>11610</v>
      </c>
      <c r="G3337">
        <v>35.62</v>
      </c>
      <c r="H3337">
        <v>35.62</v>
      </c>
      <c r="I3337" t="s">
        <v>570</v>
      </c>
      <c r="J3337" t="s">
        <v>571</v>
      </c>
      <c r="K3337" t="s">
        <v>31</v>
      </c>
      <c r="L3337" t="s">
        <v>32</v>
      </c>
      <c r="M3337" t="s">
        <v>33</v>
      </c>
      <c r="P3337" s="1" t="s">
        <v>11730</v>
      </c>
      <c r="Q3337" s="1" t="s">
        <v>11609</v>
      </c>
      <c r="R3337" s="1" t="s">
        <v>11609</v>
      </c>
      <c r="S3337" s="1"/>
      <c r="T3337" s="1" t="s">
        <v>569</v>
      </c>
      <c r="U3337" s="1"/>
      <c r="V3337" s="1">
        <v>35.62</v>
      </c>
      <c r="W3337" s="1">
        <v>35.62</v>
      </c>
      <c r="X3337" s="1" t="s">
        <v>35</v>
      </c>
      <c r="Y3337" s="1">
        <v>35620.0</v>
      </c>
      <c r="Z3337" s="1"/>
      <c r="AA3337" s="1">
        <v>35620.0</v>
      </c>
      <c r="AB3337" s="1"/>
      <c r="AC3337" s="1" t="s">
        <v>36</v>
      </c>
      <c r="AD3337" s="1" t="s">
        <v>11731</v>
      </c>
      <c r="AE3337" s="1" t="s">
        <v>32</v>
      </c>
      <c r="AF3337" s="1" t="s">
        <v>33</v>
      </c>
      <c r="AG3337" s="1" t="s">
        <v>571</v>
      </c>
    </row>
    <row r="3338" spans="1:33">
      <c r="A3338" t="s">
        <v>11732</v>
      </c>
      <c r="B3338" t="s">
        <v>11733</v>
      </c>
      <c r="C3338" t="s">
        <v>314</v>
      </c>
      <c r="E3338" t="s">
        <v>11609</v>
      </c>
      <c r="F3338" t="s">
        <v>11610</v>
      </c>
      <c r="G3338">
        <v>28.99</v>
      </c>
      <c r="H3338">
        <v>28.99</v>
      </c>
      <c r="I3338" t="s">
        <v>179</v>
      </c>
      <c r="J3338" t="s">
        <v>180</v>
      </c>
      <c r="K3338" t="s">
        <v>31</v>
      </c>
      <c r="L3338" t="s">
        <v>32</v>
      </c>
      <c r="M3338" t="s">
        <v>33</v>
      </c>
      <c r="P3338" s="1" t="s">
        <v>11734</v>
      </c>
      <c r="Q3338" s="1" t="s">
        <v>11609</v>
      </c>
      <c r="R3338" s="1" t="s">
        <v>11609</v>
      </c>
      <c r="S3338" s="1"/>
      <c r="T3338" s="1" t="s">
        <v>314</v>
      </c>
      <c r="U3338" s="1"/>
      <c r="V3338" s="1">
        <v>28.99</v>
      </c>
      <c r="W3338" s="1">
        <v>28.99</v>
      </c>
      <c r="X3338" s="1" t="s">
        <v>35</v>
      </c>
      <c r="Y3338" s="1">
        <v>28990.0</v>
      </c>
      <c r="Z3338" s="1"/>
      <c r="AA3338" s="1">
        <v>28990.0</v>
      </c>
      <c r="AB3338" s="1"/>
      <c r="AC3338" s="1" t="s">
        <v>36</v>
      </c>
      <c r="AD3338" s="1" t="s">
        <v>11735</v>
      </c>
      <c r="AE3338" s="1" t="s">
        <v>32</v>
      </c>
      <c r="AF3338" s="1" t="s">
        <v>33</v>
      </c>
      <c r="AG3338" s="1" t="s">
        <v>180</v>
      </c>
    </row>
    <row r="3339" spans="1:33">
      <c r="A3339" t="s">
        <v>11736</v>
      </c>
      <c r="B3339" t="s">
        <v>8459</v>
      </c>
      <c r="C3339" t="s">
        <v>125</v>
      </c>
      <c r="E3339" t="s">
        <v>11609</v>
      </c>
      <c r="F3339" t="s">
        <v>11610</v>
      </c>
      <c r="G3339">
        <v>64.48</v>
      </c>
      <c r="H3339">
        <v>64.48</v>
      </c>
      <c r="I3339" t="s">
        <v>126</v>
      </c>
      <c r="J3339" t="s">
        <v>127</v>
      </c>
      <c r="K3339" t="s">
        <v>31</v>
      </c>
      <c r="L3339" t="s">
        <v>32</v>
      </c>
      <c r="M3339" t="s">
        <v>33</v>
      </c>
      <c r="P3339" s="1" t="s">
        <v>11737</v>
      </c>
      <c r="Q3339" s="1" t="s">
        <v>11609</v>
      </c>
      <c r="R3339" s="1" t="s">
        <v>11609</v>
      </c>
      <c r="S3339" s="1"/>
      <c r="T3339" s="1" t="s">
        <v>125</v>
      </c>
      <c r="U3339" s="1"/>
      <c r="V3339" s="1">
        <v>64.48</v>
      </c>
      <c r="W3339" s="1">
        <v>64.48</v>
      </c>
      <c r="X3339" s="1" t="s">
        <v>35</v>
      </c>
      <c r="Y3339" s="1">
        <v>64480.0</v>
      </c>
      <c r="Z3339" s="1"/>
      <c r="AA3339" s="1">
        <v>64480.0</v>
      </c>
      <c r="AB3339" s="1"/>
      <c r="AC3339" s="1" t="s">
        <v>36</v>
      </c>
      <c r="AD3339" s="1" t="s">
        <v>11738</v>
      </c>
      <c r="AE3339" s="1" t="s">
        <v>32</v>
      </c>
      <c r="AF3339" s="1" t="s">
        <v>33</v>
      </c>
      <c r="AG3339" s="1" t="s">
        <v>127</v>
      </c>
    </row>
    <row r="3340" spans="1:33">
      <c r="A3340" t="s">
        <v>11739</v>
      </c>
      <c r="B3340" t="s">
        <v>11740</v>
      </c>
      <c r="C3340" t="s">
        <v>314</v>
      </c>
      <c r="E3340" t="s">
        <v>11609</v>
      </c>
      <c r="F3340" t="s">
        <v>11610</v>
      </c>
      <c r="G3340">
        <v>21.24</v>
      </c>
      <c r="H3340">
        <v>21.24</v>
      </c>
      <c r="I3340" t="s">
        <v>179</v>
      </c>
      <c r="J3340" t="s">
        <v>180</v>
      </c>
      <c r="K3340" t="s">
        <v>31</v>
      </c>
      <c r="L3340" t="s">
        <v>32</v>
      </c>
      <c r="M3340" t="s">
        <v>33</v>
      </c>
      <c r="P3340" s="1" t="s">
        <v>11741</v>
      </c>
      <c r="Q3340" s="1" t="s">
        <v>11609</v>
      </c>
      <c r="R3340" s="1" t="s">
        <v>11609</v>
      </c>
      <c r="S3340" s="1"/>
      <c r="T3340" s="1" t="s">
        <v>314</v>
      </c>
      <c r="U3340" s="1"/>
      <c r="V3340" s="1">
        <v>21.24</v>
      </c>
      <c r="W3340" s="1">
        <v>21.24</v>
      </c>
      <c r="X3340" s="1" t="s">
        <v>35</v>
      </c>
      <c r="Y3340" s="1">
        <v>21240.0</v>
      </c>
      <c r="Z3340" s="1"/>
      <c r="AA3340" s="1">
        <v>21240.0</v>
      </c>
      <c r="AB3340" s="1"/>
      <c r="AC3340" s="1" t="s">
        <v>36</v>
      </c>
      <c r="AD3340" s="1" t="s">
        <v>11742</v>
      </c>
      <c r="AE3340" s="1" t="s">
        <v>32</v>
      </c>
      <c r="AF3340" s="1" t="s">
        <v>33</v>
      </c>
      <c r="AG3340" s="1" t="s">
        <v>180</v>
      </c>
    </row>
    <row r="3341" spans="1:33">
      <c r="A3341" t="s">
        <v>11743</v>
      </c>
      <c r="C3341" t="s">
        <v>4120</v>
      </c>
      <c r="E3341" t="s">
        <v>11609</v>
      </c>
      <c r="F3341" t="s">
        <v>11610</v>
      </c>
      <c r="G3341">
        <v>1.085</v>
      </c>
      <c r="H3341">
        <v>1.085</v>
      </c>
      <c r="I3341" t="s">
        <v>269</v>
      </c>
      <c r="J3341" t="s">
        <v>270</v>
      </c>
      <c r="K3341" t="s">
        <v>31</v>
      </c>
      <c r="L3341" t="s">
        <v>32</v>
      </c>
      <c r="M3341" t="s">
        <v>33</v>
      </c>
      <c r="P3341" s="1" t="s">
        <v>11744</v>
      </c>
      <c r="Q3341" s="1" t="s">
        <v>11609</v>
      </c>
      <c r="R3341" s="1" t="s">
        <v>11609</v>
      </c>
      <c r="S3341" s="1"/>
      <c r="T3341" s="1" t="s">
        <v>4120</v>
      </c>
      <c r="U3341" s="1"/>
      <c r="V3341" s="1">
        <v>1.085</v>
      </c>
      <c r="W3341" s="1">
        <v>1.085</v>
      </c>
      <c r="X3341" s="1" t="s">
        <v>35</v>
      </c>
      <c r="Y3341" s="1">
        <v>1085700.0</v>
      </c>
      <c r="Z3341" s="1"/>
      <c r="AA3341" s="1">
        <v>1085700.0</v>
      </c>
      <c r="AB3341" s="1"/>
      <c r="AC3341" s="1" t="s">
        <v>36</v>
      </c>
      <c r="AD3341" s="1" t="s">
        <v>11731</v>
      </c>
      <c r="AE3341" s="1" t="s">
        <v>32</v>
      </c>
      <c r="AF3341" s="1" t="s">
        <v>33</v>
      </c>
      <c r="AG3341" s="1" t="s">
        <v>270</v>
      </c>
    </row>
    <row r="3342" spans="1:33">
      <c r="A3342" t="s">
        <v>11745</v>
      </c>
      <c r="B3342" t="s">
        <v>1976</v>
      </c>
      <c r="C3342" t="s">
        <v>314</v>
      </c>
      <c r="E3342" t="s">
        <v>11609</v>
      </c>
      <c r="F3342" t="s">
        <v>11610</v>
      </c>
      <c r="G3342">
        <v>55.77</v>
      </c>
      <c r="H3342">
        <v>55.77</v>
      </c>
      <c r="I3342" t="s">
        <v>179</v>
      </c>
      <c r="J3342" t="s">
        <v>180</v>
      </c>
      <c r="K3342" t="s">
        <v>31</v>
      </c>
      <c r="L3342" t="s">
        <v>32</v>
      </c>
      <c r="M3342" t="s">
        <v>33</v>
      </c>
      <c r="P3342" s="1" t="s">
        <v>11746</v>
      </c>
      <c r="Q3342" s="1" t="s">
        <v>11609</v>
      </c>
      <c r="R3342" s="1" t="s">
        <v>11609</v>
      </c>
      <c r="S3342" s="1"/>
      <c r="T3342" s="1" t="s">
        <v>314</v>
      </c>
      <c r="U3342" s="1"/>
      <c r="V3342" s="1">
        <v>55.77</v>
      </c>
      <c r="W3342" s="1">
        <v>55.77</v>
      </c>
      <c r="X3342" s="1" t="s">
        <v>35</v>
      </c>
      <c r="Y3342" s="1">
        <v>55770.0</v>
      </c>
      <c r="Z3342" s="1"/>
      <c r="AA3342" s="1">
        <v>55770.0</v>
      </c>
      <c r="AB3342" s="1"/>
      <c r="AC3342" s="1" t="s">
        <v>36</v>
      </c>
      <c r="AD3342" s="1" t="s">
        <v>11747</v>
      </c>
      <c r="AE3342" s="1" t="s">
        <v>32</v>
      </c>
      <c r="AF3342" s="1" t="s">
        <v>33</v>
      </c>
      <c r="AG3342" s="1" t="s">
        <v>180</v>
      </c>
    </row>
    <row r="3343" spans="1:33">
      <c r="A3343" t="s">
        <v>11748</v>
      </c>
      <c r="B3343" t="s">
        <v>2137</v>
      </c>
      <c r="C3343" t="s">
        <v>135</v>
      </c>
      <c r="E3343" t="s">
        <v>11609</v>
      </c>
      <c r="F3343" t="s">
        <v>11610</v>
      </c>
      <c r="G3343">
        <v>45.15</v>
      </c>
      <c r="H3343">
        <v>45.15</v>
      </c>
      <c r="I3343" t="s">
        <v>136</v>
      </c>
      <c r="J3343" t="s">
        <v>137</v>
      </c>
      <c r="K3343" t="s">
        <v>31</v>
      </c>
      <c r="L3343" t="s">
        <v>32</v>
      </c>
      <c r="M3343" t="s">
        <v>33</v>
      </c>
      <c r="P3343" s="1" t="s">
        <v>11749</v>
      </c>
      <c r="Q3343" s="1" t="s">
        <v>11609</v>
      </c>
      <c r="R3343" s="1" t="s">
        <v>11609</v>
      </c>
      <c r="S3343" s="1"/>
      <c r="T3343" s="1" t="s">
        <v>135</v>
      </c>
      <c r="U3343" s="1"/>
      <c r="V3343" s="1">
        <v>45.15</v>
      </c>
      <c r="W3343" s="1">
        <v>45.15</v>
      </c>
      <c r="X3343" s="1" t="s">
        <v>35</v>
      </c>
      <c r="Y3343" s="1">
        <v>45150.0</v>
      </c>
      <c r="Z3343" s="1"/>
      <c r="AA3343" s="1">
        <v>45150.0</v>
      </c>
      <c r="AB3343" s="1"/>
      <c r="AC3343" s="1" t="s">
        <v>36</v>
      </c>
      <c r="AD3343" s="1" t="s">
        <v>11750</v>
      </c>
      <c r="AE3343" s="1" t="s">
        <v>32</v>
      </c>
      <c r="AF3343" s="1" t="s">
        <v>33</v>
      </c>
      <c r="AG3343" s="1" t="s">
        <v>137</v>
      </c>
    </row>
    <row r="3344" spans="1:33">
      <c r="A3344" t="s">
        <v>11751</v>
      </c>
      <c r="B3344" t="s">
        <v>684</v>
      </c>
      <c r="C3344" t="s">
        <v>314</v>
      </c>
      <c r="E3344" t="s">
        <v>11609</v>
      </c>
      <c r="F3344" t="s">
        <v>11610</v>
      </c>
      <c r="G3344">
        <v>70.92</v>
      </c>
      <c r="H3344">
        <v>70.92</v>
      </c>
      <c r="I3344" t="s">
        <v>179</v>
      </c>
      <c r="J3344" t="s">
        <v>180</v>
      </c>
      <c r="K3344" t="s">
        <v>31</v>
      </c>
      <c r="L3344" t="s">
        <v>32</v>
      </c>
      <c r="M3344" t="s">
        <v>33</v>
      </c>
      <c r="P3344" s="1" t="s">
        <v>11752</v>
      </c>
      <c r="Q3344" s="1" t="s">
        <v>11609</v>
      </c>
      <c r="R3344" s="1" t="s">
        <v>11609</v>
      </c>
      <c r="S3344" s="1"/>
      <c r="T3344" s="1" t="s">
        <v>314</v>
      </c>
      <c r="U3344" s="1"/>
      <c r="V3344" s="1">
        <v>70.92</v>
      </c>
      <c r="W3344" s="1">
        <v>70.92</v>
      </c>
      <c r="X3344" s="1" t="s">
        <v>35</v>
      </c>
      <c r="Y3344" s="1">
        <v>70920.0</v>
      </c>
      <c r="Z3344" s="1"/>
      <c r="AA3344" s="1">
        <v>70920.0</v>
      </c>
      <c r="AB3344" s="1"/>
      <c r="AC3344" s="1" t="s">
        <v>36</v>
      </c>
      <c r="AD3344" s="1" t="s">
        <v>11753</v>
      </c>
      <c r="AE3344" s="1" t="s">
        <v>32</v>
      </c>
      <c r="AF3344" s="1" t="s">
        <v>33</v>
      </c>
      <c r="AG3344" s="1" t="s">
        <v>180</v>
      </c>
    </row>
    <row r="3345" spans="1:33">
      <c r="A3345" t="s">
        <v>11754</v>
      </c>
      <c r="B3345" t="s">
        <v>11733</v>
      </c>
      <c r="C3345" t="s">
        <v>314</v>
      </c>
      <c r="E3345" t="s">
        <v>11609</v>
      </c>
      <c r="F3345" t="s">
        <v>11610</v>
      </c>
      <c r="G3345">
        <v>70.92</v>
      </c>
      <c r="H3345">
        <v>70.92</v>
      </c>
      <c r="I3345" t="s">
        <v>179</v>
      </c>
      <c r="J3345" t="s">
        <v>180</v>
      </c>
      <c r="K3345" t="s">
        <v>31</v>
      </c>
      <c r="L3345" t="s">
        <v>32</v>
      </c>
      <c r="M3345" t="s">
        <v>33</v>
      </c>
      <c r="P3345" s="1" t="s">
        <v>11755</v>
      </c>
      <c r="Q3345" s="1" t="s">
        <v>11609</v>
      </c>
      <c r="R3345" s="1" t="s">
        <v>11609</v>
      </c>
      <c r="S3345" s="1"/>
      <c r="T3345" s="1" t="s">
        <v>314</v>
      </c>
      <c r="U3345" s="1"/>
      <c r="V3345" s="1">
        <v>70.92</v>
      </c>
      <c r="W3345" s="1">
        <v>70.92</v>
      </c>
      <c r="X3345" s="1" t="s">
        <v>35</v>
      </c>
      <c r="Y3345" s="1">
        <v>70920.0</v>
      </c>
      <c r="Z3345" s="1"/>
      <c r="AA3345" s="1">
        <v>70920.0</v>
      </c>
      <c r="AB3345" s="1"/>
      <c r="AC3345" s="1" t="s">
        <v>36</v>
      </c>
      <c r="AD3345" s="1" t="s">
        <v>11750</v>
      </c>
      <c r="AE3345" s="1" t="s">
        <v>32</v>
      </c>
      <c r="AF3345" s="1" t="s">
        <v>33</v>
      </c>
      <c r="AG3345" s="1" t="s">
        <v>180</v>
      </c>
    </row>
    <row r="3346" spans="1:33">
      <c r="A3346" t="s">
        <v>11756</v>
      </c>
      <c r="B3346" t="s">
        <v>11757</v>
      </c>
      <c r="C3346" t="s">
        <v>268</v>
      </c>
      <c r="E3346" t="s">
        <v>11609</v>
      </c>
      <c r="F3346" t="s">
        <v>11610</v>
      </c>
      <c r="G3346">
        <v>66.65</v>
      </c>
      <c r="H3346">
        <v>66.65</v>
      </c>
      <c r="I3346" t="s">
        <v>269</v>
      </c>
      <c r="J3346" t="s">
        <v>270</v>
      </c>
      <c r="K3346" t="s">
        <v>31</v>
      </c>
      <c r="L3346" t="s">
        <v>32</v>
      </c>
      <c r="M3346" t="s">
        <v>33</v>
      </c>
      <c r="P3346" s="1" t="s">
        <v>11758</v>
      </c>
      <c r="Q3346" s="1" t="s">
        <v>11609</v>
      </c>
      <c r="R3346" s="1" t="s">
        <v>11609</v>
      </c>
      <c r="S3346" s="1"/>
      <c r="T3346" s="1" t="s">
        <v>268</v>
      </c>
      <c r="U3346" s="1"/>
      <c r="V3346" s="1">
        <v>66.65</v>
      </c>
      <c r="W3346" s="1">
        <v>66.65</v>
      </c>
      <c r="X3346" s="1" t="s">
        <v>35</v>
      </c>
      <c r="Y3346" s="1">
        <v>66650.0</v>
      </c>
      <c r="Z3346" s="1"/>
      <c r="AA3346" s="1">
        <v>66650.0</v>
      </c>
      <c r="AB3346" s="1"/>
      <c r="AC3346" s="1" t="s">
        <v>36</v>
      </c>
      <c r="AD3346" s="1" t="s">
        <v>11759</v>
      </c>
      <c r="AE3346" s="1" t="s">
        <v>32</v>
      </c>
      <c r="AF3346" s="1" t="s">
        <v>33</v>
      </c>
      <c r="AG3346" s="1" t="s">
        <v>270</v>
      </c>
    </row>
    <row r="3347" spans="1:33">
      <c r="A3347" t="s">
        <v>11760</v>
      </c>
      <c r="C3347" t="s">
        <v>3943</v>
      </c>
      <c r="E3347" t="s">
        <v>11609</v>
      </c>
      <c r="F3347" t="s">
        <v>11610</v>
      </c>
      <c r="G3347">
        <v>3.2</v>
      </c>
      <c r="H3347">
        <v>3.2</v>
      </c>
      <c r="I3347" t="s">
        <v>173</v>
      </c>
      <c r="J3347" t="s">
        <v>174</v>
      </c>
      <c r="K3347" t="s">
        <v>31</v>
      </c>
      <c r="L3347" t="s">
        <v>32</v>
      </c>
      <c r="M3347" t="s">
        <v>33</v>
      </c>
      <c r="P3347" s="1" t="s">
        <v>11761</v>
      </c>
      <c r="Q3347" s="1" t="s">
        <v>11609</v>
      </c>
      <c r="R3347" s="1" t="s">
        <v>11609</v>
      </c>
      <c r="S3347" s="1"/>
      <c r="T3347" s="1" t="s">
        <v>3943</v>
      </c>
      <c r="U3347" s="1"/>
      <c r="V3347" s="1">
        <v>3.2</v>
      </c>
      <c r="W3347" s="1">
        <v>3.2</v>
      </c>
      <c r="X3347" s="1" t="s">
        <v>35</v>
      </c>
      <c r="Y3347" s="1">
        <v>3200000.0</v>
      </c>
      <c r="Z3347" s="1"/>
      <c r="AA3347" s="1">
        <v>3200000.0</v>
      </c>
      <c r="AB3347" s="1"/>
      <c r="AC3347" s="1" t="s">
        <v>36</v>
      </c>
      <c r="AD3347" s="1" t="s">
        <v>11762</v>
      </c>
      <c r="AE3347" s="1" t="s">
        <v>32</v>
      </c>
      <c r="AF3347" s="1" t="s">
        <v>33</v>
      </c>
      <c r="AG3347" s="1" t="s">
        <v>174</v>
      </c>
    </row>
    <row r="3348" spans="1:33">
      <c r="A3348" t="s">
        <v>11763</v>
      </c>
      <c r="C3348" t="s">
        <v>6216</v>
      </c>
      <c r="E3348" t="s">
        <v>11609</v>
      </c>
      <c r="F3348" t="s">
        <v>11610</v>
      </c>
      <c r="G3348">
        <v>328.0</v>
      </c>
      <c r="H3348">
        <v>328.0</v>
      </c>
      <c r="I3348" t="s">
        <v>136</v>
      </c>
      <c r="J3348" t="s">
        <v>137</v>
      </c>
      <c r="K3348" t="s">
        <v>31</v>
      </c>
      <c r="L3348" t="s">
        <v>32</v>
      </c>
      <c r="M3348" t="s">
        <v>33</v>
      </c>
      <c r="P3348" s="1" t="s">
        <v>11764</v>
      </c>
      <c r="Q3348" s="1" t="s">
        <v>11609</v>
      </c>
      <c r="R3348" s="1" t="s">
        <v>11609</v>
      </c>
      <c r="S3348" s="1"/>
      <c r="T3348" s="1" t="s">
        <v>6216</v>
      </c>
      <c r="U3348" s="1"/>
      <c r="V3348" s="1">
        <v>328.0</v>
      </c>
      <c r="W3348" s="1">
        <v>328.0</v>
      </c>
      <c r="X3348" s="1" t="s">
        <v>35</v>
      </c>
      <c r="Y3348" s="1">
        <v>328000.0</v>
      </c>
      <c r="Z3348" s="1"/>
      <c r="AA3348" s="1">
        <v>328000.0</v>
      </c>
      <c r="AB3348" s="1"/>
      <c r="AC3348" s="1" t="s">
        <v>36</v>
      </c>
      <c r="AD3348" s="1" t="s">
        <v>11765</v>
      </c>
      <c r="AE3348" s="1" t="s">
        <v>32</v>
      </c>
      <c r="AF3348" s="1" t="s">
        <v>33</v>
      </c>
      <c r="AG3348" s="1" t="s">
        <v>137</v>
      </c>
    </row>
    <row r="3349" spans="1:33">
      <c r="A3349" t="s">
        <v>11766</v>
      </c>
      <c r="C3349" t="s">
        <v>2747</v>
      </c>
      <c r="E3349" t="s">
        <v>11609</v>
      </c>
      <c r="F3349" t="s">
        <v>11610</v>
      </c>
      <c r="G3349">
        <v>328.0</v>
      </c>
      <c r="H3349">
        <v>328.0</v>
      </c>
      <c r="I3349" t="s">
        <v>136</v>
      </c>
      <c r="J3349" t="s">
        <v>137</v>
      </c>
      <c r="K3349" t="s">
        <v>31</v>
      </c>
      <c r="L3349" t="s">
        <v>32</v>
      </c>
      <c r="M3349" t="s">
        <v>33</v>
      </c>
      <c r="P3349" s="1" t="s">
        <v>11767</v>
      </c>
      <c r="Q3349" s="1" t="s">
        <v>11609</v>
      </c>
      <c r="R3349" s="1" t="s">
        <v>11609</v>
      </c>
      <c r="S3349" s="1"/>
      <c r="T3349" s="1" t="s">
        <v>2747</v>
      </c>
      <c r="U3349" s="1"/>
      <c r="V3349" s="1">
        <v>328.0</v>
      </c>
      <c r="W3349" s="1">
        <v>328.0</v>
      </c>
      <c r="X3349" s="1" t="s">
        <v>35</v>
      </c>
      <c r="Y3349" s="1">
        <v>328000.0</v>
      </c>
      <c r="Z3349" s="1"/>
      <c r="AA3349" s="1">
        <v>328000.0</v>
      </c>
      <c r="AB3349" s="1"/>
      <c r="AC3349" s="1" t="s">
        <v>36</v>
      </c>
      <c r="AD3349" s="1" t="s">
        <v>11768</v>
      </c>
      <c r="AE3349" s="1" t="s">
        <v>32</v>
      </c>
      <c r="AF3349" s="1" t="s">
        <v>33</v>
      </c>
      <c r="AG3349" s="1" t="s">
        <v>137</v>
      </c>
    </row>
    <row r="3350" spans="1:33">
      <c r="A3350" t="s">
        <v>11769</v>
      </c>
      <c r="B3350" t="s">
        <v>11770</v>
      </c>
      <c r="C3350" t="s">
        <v>135</v>
      </c>
      <c r="E3350" t="s">
        <v>11609</v>
      </c>
      <c r="F3350" t="s">
        <v>11610</v>
      </c>
      <c r="G3350">
        <v>32.85</v>
      </c>
      <c r="H3350">
        <v>32.85</v>
      </c>
      <c r="I3350" t="s">
        <v>136</v>
      </c>
      <c r="J3350" t="s">
        <v>137</v>
      </c>
      <c r="K3350" t="s">
        <v>31</v>
      </c>
      <c r="L3350" t="s">
        <v>32</v>
      </c>
      <c r="M3350" t="s">
        <v>33</v>
      </c>
      <c r="P3350" s="1" t="s">
        <v>11771</v>
      </c>
      <c r="Q3350" s="1" t="s">
        <v>11609</v>
      </c>
      <c r="R3350" s="1" t="s">
        <v>11609</v>
      </c>
      <c r="S3350" s="1"/>
      <c r="T3350" s="1" t="s">
        <v>135</v>
      </c>
      <c r="U3350" s="1"/>
      <c r="V3350" s="1">
        <v>32.85</v>
      </c>
      <c r="W3350" s="1">
        <v>32.85</v>
      </c>
      <c r="X3350" s="1" t="s">
        <v>35</v>
      </c>
      <c r="Y3350" s="1">
        <v>32850.0</v>
      </c>
      <c r="Z3350" s="1"/>
      <c r="AA3350" s="1">
        <v>32850.0</v>
      </c>
      <c r="AB3350" s="1"/>
      <c r="AC3350" s="1" t="s">
        <v>36</v>
      </c>
      <c r="AD3350" s="1" t="s">
        <v>11772</v>
      </c>
      <c r="AE3350" s="1" t="s">
        <v>32</v>
      </c>
      <c r="AF3350" s="1" t="s">
        <v>33</v>
      </c>
      <c r="AG3350" s="1" t="s">
        <v>137</v>
      </c>
    </row>
    <row r="3351" spans="1:33">
      <c r="A3351" t="s">
        <v>11773</v>
      </c>
      <c r="C3351" t="s">
        <v>1933</v>
      </c>
      <c r="E3351" t="s">
        <v>11609</v>
      </c>
      <c r="F3351" t="s">
        <v>11610</v>
      </c>
      <c r="G3351">
        <v>418.6</v>
      </c>
      <c r="H3351">
        <v>418.6</v>
      </c>
      <c r="I3351" t="s">
        <v>40</v>
      </c>
      <c r="J3351" t="s">
        <v>41</v>
      </c>
      <c r="K3351" t="s">
        <v>31</v>
      </c>
      <c r="L3351" t="s">
        <v>32</v>
      </c>
      <c r="M3351" t="s">
        <v>33</v>
      </c>
      <c r="P3351" s="1" t="s">
        <v>11774</v>
      </c>
      <c r="Q3351" s="1" t="s">
        <v>11609</v>
      </c>
      <c r="R3351" s="1" t="s">
        <v>10933</v>
      </c>
      <c r="S3351" s="1"/>
      <c r="T3351" s="1" t="s">
        <v>1933</v>
      </c>
      <c r="U3351" s="1"/>
      <c r="V3351" s="1">
        <v>418.6</v>
      </c>
      <c r="W3351" s="1">
        <v>418.6</v>
      </c>
      <c r="X3351" s="1" t="s">
        <v>35</v>
      </c>
      <c r="Y3351" s="1">
        <v>418600.0</v>
      </c>
      <c r="Z3351" s="1"/>
      <c r="AA3351" s="1">
        <v>318600.0</v>
      </c>
      <c r="AB3351" s="1">
        <v>100000</v>
      </c>
      <c r="AC3351" s="1" t="s">
        <v>36</v>
      </c>
      <c r="AD3351" s="1" t="s">
        <v>11775</v>
      </c>
      <c r="AE3351" s="1" t="s">
        <v>32</v>
      </c>
      <c r="AF3351" s="1" t="s">
        <v>33</v>
      </c>
      <c r="AG3351" s="1" t="s">
        <v>41</v>
      </c>
    </row>
    <row r="3352" spans="1:33">
      <c r="A3352" t="s">
        <v>11776</v>
      </c>
      <c r="C3352" t="s">
        <v>4874</v>
      </c>
      <c r="E3352" t="s">
        <v>11609</v>
      </c>
      <c r="F3352" t="s">
        <v>11610</v>
      </c>
      <c r="G3352">
        <v>854.0</v>
      </c>
      <c r="H3352">
        <v>854.0</v>
      </c>
      <c r="I3352" t="s">
        <v>269</v>
      </c>
      <c r="J3352" t="s">
        <v>270</v>
      </c>
      <c r="K3352" t="s">
        <v>31</v>
      </c>
      <c r="L3352" t="s">
        <v>32</v>
      </c>
      <c r="M3352" t="s">
        <v>33</v>
      </c>
      <c r="P3352" s="1" t="s">
        <v>11777</v>
      </c>
      <c r="Q3352" s="1" t="s">
        <v>11609</v>
      </c>
      <c r="R3352" s="1" t="s">
        <v>11609</v>
      </c>
      <c r="S3352" s="1"/>
      <c r="T3352" s="1" t="s">
        <v>4874</v>
      </c>
      <c r="U3352" s="1"/>
      <c r="V3352" s="1">
        <v>854.0</v>
      </c>
      <c r="W3352" s="1">
        <v>854.0</v>
      </c>
      <c r="X3352" s="1" t="s">
        <v>35</v>
      </c>
      <c r="Y3352" s="1">
        <v>854000.0</v>
      </c>
      <c r="Z3352" s="1"/>
      <c r="AA3352" s="1">
        <v>854000.0</v>
      </c>
      <c r="AB3352" s="1"/>
      <c r="AC3352" s="1" t="s">
        <v>36</v>
      </c>
      <c r="AD3352" s="1" t="s">
        <v>11772</v>
      </c>
      <c r="AE3352" s="1" t="s">
        <v>32</v>
      </c>
      <c r="AF3352" s="1" t="s">
        <v>33</v>
      </c>
      <c r="AG3352" s="1" t="s">
        <v>270</v>
      </c>
    </row>
    <row r="3353" spans="1:33">
      <c r="A3353" t="s">
        <v>11778</v>
      </c>
      <c r="B3353" t="s">
        <v>11779</v>
      </c>
      <c r="C3353" t="s">
        <v>1298</v>
      </c>
      <c r="E3353" t="s">
        <v>11609</v>
      </c>
      <c r="F3353" t="s">
        <v>11610</v>
      </c>
      <c r="G3353">
        <v>5.448</v>
      </c>
      <c r="H3353">
        <v>5.448</v>
      </c>
      <c r="I3353" t="s">
        <v>529</v>
      </c>
      <c r="J3353" t="s">
        <v>530</v>
      </c>
      <c r="K3353" t="s">
        <v>31</v>
      </c>
      <c r="L3353" t="s">
        <v>32</v>
      </c>
      <c r="M3353" t="s">
        <v>33</v>
      </c>
      <c r="P3353" s="1" t="s">
        <v>11780</v>
      </c>
      <c r="Q3353" s="1" t="s">
        <v>11609</v>
      </c>
      <c r="R3353" s="1" t="s">
        <v>10933</v>
      </c>
      <c r="S3353" s="1"/>
      <c r="T3353" s="1" t="s">
        <v>1298</v>
      </c>
      <c r="U3353" s="1"/>
      <c r="V3353" s="1">
        <v>5.448</v>
      </c>
      <c r="W3353" s="1">
        <v>5.448</v>
      </c>
      <c r="X3353" s="1" t="s">
        <v>35</v>
      </c>
      <c r="Y3353" s="1">
        <v>5448.0</v>
      </c>
      <c r="Z3353" s="1"/>
      <c r="AA3353" s="1">
        <v>5448.0</v>
      </c>
      <c r="AB3353" s="1"/>
      <c r="AC3353" s="1" t="s">
        <v>36</v>
      </c>
      <c r="AD3353" s="1" t="s">
        <v>11781</v>
      </c>
      <c r="AE3353" s="1" t="s">
        <v>32</v>
      </c>
      <c r="AF3353" s="1" t="s">
        <v>33</v>
      </c>
      <c r="AG3353" s="1" t="s">
        <v>530</v>
      </c>
    </row>
    <row r="3354" spans="1:33">
      <c r="A3354" t="s">
        <v>11782</v>
      </c>
      <c r="C3354" t="s">
        <v>1248</v>
      </c>
      <c r="E3354" t="s">
        <v>11609</v>
      </c>
      <c r="F3354" t="s">
        <v>11610</v>
      </c>
      <c r="G3354">
        <v>656.0</v>
      </c>
      <c r="H3354">
        <v>656.0</v>
      </c>
      <c r="I3354" t="s">
        <v>136</v>
      </c>
      <c r="J3354" t="s">
        <v>137</v>
      </c>
      <c r="K3354" t="s">
        <v>31</v>
      </c>
      <c r="L3354" t="s">
        <v>32</v>
      </c>
      <c r="M3354" t="s">
        <v>33</v>
      </c>
      <c r="P3354" s="1" t="s">
        <v>11783</v>
      </c>
      <c r="Q3354" s="1" t="s">
        <v>11609</v>
      </c>
      <c r="R3354" s="1" t="s">
        <v>11609</v>
      </c>
      <c r="S3354" s="1"/>
      <c r="T3354" s="1" t="s">
        <v>1250</v>
      </c>
      <c r="U3354" s="1" t="s">
        <v>1251</v>
      </c>
      <c r="V3354" s="1">
        <v>656.0</v>
      </c>
      <c r="W3354" s="1">
        <v>656.0</v>
      </c>
      <c r="X3354" s="1" t="s">
        <v>35</v>
      </c>
      <c r="Y3354" s="1">
        <v>656000.0</v>
      </c>
      <c r="Z3354" s="1"/>
      <c r="AA3354" s="1">
        <v>656000.0</v>
      </c>
      <c r="AB3354" s="1"/>
      <c r="AC3354" s="1" t="s">
        <v>36</v>
      </c>
      <c r="AD3354" s="1" t="s">
        <v>11781</v>
      </c>
      <c r="AE3354" s="1" t="s">
        <v>32</v>
      </c>
      <c r="AF3354" s="1" t="s">
        <v>33</v>
      </c>
      <c r="AG3354" s="1" t="s">
        <v>137</v>
      </c>
    </row>
    <row r="3355" spans="1:33">
      <c r="A3355" t="s">
        <v>11784</v>
      </c>
      <c r="B3355" t="s">
        <v>11785</v>
      </c>
      <c r="C3355" t="s">
        <v>68</v>
      </c>
      <c r="E3355" t="s">
        <v>11609</v>
      </c>
      <c r="F3355" t="s">
        <v>11610</v>
      </c>
      <c r="G3355">
        <v>15.495</v>
      </c>
      <c r="H3355">
        <v>15.495</v>
      </c>
      <c r="I3355" t="s">
        <v>59</v>
      </c>
      <c r="J3355" t="s">
        <v>60</v>
      </c>
      <c r="K3355" t="s">
        <v>31</v>
      </c>
      <c r="L3355" t="s">
        <v>32</v>
      </c>
      <c r="M3355" t="s">
        <v>33</v>
      </c>
      <c r="P3355" s="1" t="s">
        <v>11786</v>
      </c>
      <c r="Q3355" s="1" t="s">
        <v>11609</v>
      </c>
      <c r="R3355" s="1" t="s">
        <v>11609</v>
      </c>
      <c r="S3355" s="1"/>
      <c r="T3355" s="1" t="s">
        <v>68</v>
      </c>
      <c r="U3355" s="1"/>
      <c r="V3355" s="1">
        <v>15.495</v>
      </c>
      <c r="W3355" s="1">
        <v>15.495</v>
      </c>
      <c r="X3355" s="1" t="s">
        <v>35</v>
      </c>
      <c r="Y3355" s="1">
        <v>15495.0</v>
      </c>
      <c r="Z3355" s="1"/>
      <c r="AA3355" s="1">
        <v>15495.0</v>
      </c>
      <c r="AB3355" s="1"/>
      <c r="AC3355" s="1" t="s">
        <v>36</v>
      </c>
      <c r="AD3355" s="1" t="s">
        <v>11787</v>
      </c>
      <c r="AE3355" s="1" t="s">
        <v>32</v>
      </c>
      <c r="AF3355" s="1" t="s">
        <v>33</v>
      </c>
      <c r="AG3355" s="1" t="s">
        <v>60</v>
      </c>
    </row>
    <row r="3356" spans="1:33">
      <c r="A3356" t="s">
        <v>11788</v>
      </c>
      <c r="C3356" t="s">
        <v>11789</v>
      </c>
      <c r="E3356" t="s">
        <v>11609</v>
      </c>
      <c r="F3356" t="s">
        <v>11610</v>
      </c>
      <c r="G3356">
        <v>3.0</v>
      </c>
      <c r="H3356">
        <v>3.0</v>
      </c>
      <c r="I3356" t="s">
        <v>173</v>
      </c>
      <c r="J3356" t="s">
        <v>174</v>
      </c>
      <c r="K3356" t="s">
        <v>31</v>
      </c>
      <c r="L3356" t="s">
        <v>32</v>
      </c>
      <c r="M3356" t="s">
        <v>33</v>
      </c>
      <c r="P3356" s="1" t="s">
        <v>11790</v>
      </c>
      <c r="Q3356" s="1" t="s">
        <v>11609</v>
      </c>
      <c r="R3356" s="1" t="s">
        <v>11609</v>
      </c>
      <c r="S3356" s="1"/>
      <c r="T3356" s="1" t="s">
        <v>11789</v>
      </c>
      <c r="U3356" s="1"/>
      <c r="V3356" s="1">
        <v>3.0</v>
      </c>
      <c r="W3356" s="1">
        <v>3.0</v>
      </c>
      <c r="X3356" s="1" t="s">
        <v>35</v>
      </c>
      <c r="Y3356" s="1">
        <v>3000.0</v>
      </c>
      <c r="Z3356" s="1"/>
      <c r="AA3356" s="1"/>
      <c r="AB3356" s="1">
        <v>3000</v>
      </c>
      <c r="AC3356" s="1" t="s">
        <v>36</v>
      </c>
      <c r="AD3356" s="1" t="s">
        <v>11791</v>
      </c>
      <c r="AE3356" s="1" t="s">
        <v>32</v>
      </c>
      <c r="AF3356" s="1" t="s">
        <v>33</v>
      </c>
      <c r="AG3356" s="1" t="s">
        <v>174</v>
      </c>
    </row>
    <row r="3357" spans="1:33">
      <c r="A3357" t="s">
        <v>11792</v>
      </c>
      <c r="C3357" t="s">
        <v>589</v>
      </c>
      <c r="D3357" t="s">
        <v>154</v>
      </c>
      <c r="E3357" t="s">
        <v>11609</v>
      </c>
      <c r="F3357" t="s">
        <v>11610</v>
      </c>
      <c r="G3357">
        <v>462.0</v>
      </c>
      <c r="H3357">
        <v>462.0</v>
      </c>
      <c r="I3357" t="s">
        <v>173</v>
      </c>
      <c r="J3357" t="s">
        <v>174</v>
      </c>
      <c r="K3357" t="s">
        <v>31</v>
      </c>
      <c r="L3357" t="s">
        <v>32</v>
      </c>
      <c r="M3357" t="s">
        <v>33</v>
      </c>
      <c r="P3357" s="1" t="s">
        <v>11793</v>
      </c>
      <c r="Q3357" s="1" t="s">
        <v>11609</v>
      </c>
      <c r="R3357" s="1" t="s">
        <v>11609</v>
      </c>
      <c r="S3357" s="1"/>
      <c r="T3357" s="1" t="s">
        <v>591</v>
      </c>
      <c r="U3357" s="1" t="s">
        <v>592</v>
      </c>
      <c r="V3357" s="1">
        <v>462.0</v>
      </c>
      <c r="W3357" s="1">
        <v>462.0</v>
      </c>
      <c r="X3357" s="1" t="s">
        <v>35</v>
      </c>
      <c r="Y3357" s="1">
        <v>462000.0</v>
      </c>
      <c r="Z3357" s="1"/>
      <c r="AA3357" s="1">
        <v>462000.0</v>
      </c>
      <c r="AB3357" s="1"/>
      <c r="AC3357" s="1" t="s">
        <v>36</v>
      </c>
      <c r="AD3357" s="1" t="s">
        <v>11794</v>
      </c>
      <c r="AE3357" s="1" t="s">
        <v>32</v>
      </c>
      <c r="AF3357" s="1" t="s">
        <v>33</v>
      </c>
      <c r="AG3357" s="1" t="s">
        <v>174</v>
      </c>
    </row>
    <row r="3358" spans="1:33">
      <c r="A3358" t="s">
        <v>11795</v>
      </c>
      <c r="B3358" t="s">
        <v>11796</v>
      </c>
      <c r="C3358" t="s">
        <v>125</v>
      </c>
      <c r="E3358" t="s">
        <v>11609</v>
      </c>
      <c r="F3358" t="s">
        <v>11610</v>
      </c>
      <c r="G3358">
        <v>38.98</v>
      </c>
      <c r="H3358">
        <v>38.98</v>
      </c>
      <c r="I3358" t="s">
        <v>126</v>
      </c>
      <c r="J3358" t="s">
        <v>127</v>
      </c>
      <c r="K3358" t="s">
        <v>31</v>
      </c>
      <c r="L3358" t="s">
        <v>32</v>
      </c>
      <c r="M3358" t="s">
        <v>33</v>
      </c>
      <c r="P3358" s="1" t="s">
        <v>11797</v>
      </c>
      <c r="Q3358" s="1" t="s">
        <v>11609</v>
      </c>
      <c r="R3358" s="1" t="s">
        <v>11609</v>
      </c>
      <c r="S3358" s="1"/>
      <c r="T3358" s="1" t="s">
        <v>125</v>
      </c>
      <c r="U3358" s="1"/>
      <c r="V3358" s="1">
        <v>38.98</v>
      </c>
      <c r="W3358" s="1">
        <v>38.98</v>
      </c>
      <c r="X3358" s="1" t="s">
        <v>35</v>
      </c>
      <c r="Y3358" s="1">
        <v>38980.0</v>
      </c>
      <c r="Z3358" s="1"/>
      <c r="AA3358" s="1">
        <v>38980.0</v>
      </c>
      <c r="AB3358" s="1"/>
      <c r="AC3358" s="1" t="s">
        <v>36</v>
      </c>
      <c r="AD3358" s="1" t="s">
        <v>11798</v>
      </c>
      <c r="AE3358" s="1" t="s">
        <v>32</v>
      </c>
      <c r="AF3358" s="1" t="s">
        <v>33</v>
      </c>
      <c r="AG3358" s="1" t="s">
        <v>127</v>
      </c>
    </row>
    <row r="3359" spans="1:33">
      <c r="A3359" t="s">
        <v>11799</v>
      </c>
      <c r="B3359" t="s">
        <v>11800</v>
      </c>
      <c r="C3359" t="s">
        <v>314</v>
      </c>
      <c r="E3359" t="s">
        <v>11609</v>
      </c>
      <c r="F3359" t="s">
        <v>11610</v>
      </c>
      <c r="G3359">
        <v>33.74</v>
      </c>
      <c r="H3359">
        <v>33.74</v>
      </c>
      <c r="I3359" t="s">
        <v>179</v>
      </c>
      <c r="J3359" t="s">
        <v>180</v>
      </c>
      <c r="K3359" t="s">
        <v>31</v>
      </c>
      <c r="L3359" t="s">
        <v>32</v>
      </c>
      <c r="M3359" t="s">
        <v>33</v>
      </c>
      <c r="P3359" s="1" t="s">
        <v>11801</v>
      </c>
      <c r="Q3359" s="1" t="s">
        <v>11609</v>
      </c>
      <c r="R3359" s="1" t="s">
        <v>11609</v>
      </c>
      <c r="S3359" s="1"/>
      <c r="T3359" s="1" t="s">
        <v>314</v>
      </c>
      <c r="U3359" s="1"/>
      <c r="V3359" s="1">
        <v>33.74</v>
      </c>
      <c r="W3359" s="1">
        <v>33.74</v>
      </c>
      <c r="X3359" s="1" t="s">
        <v>35</v>
      </c>
      <c r="Y3359" s="1">
        <v>33740.0</v>
      </c>
      <c r="Z3359" s="1"/>
      <c r="AA3359" s="1">
        <v>33740.0</v>
      </c>
      <c r="AB3359" s="1"/>
      <c r="AC3359" s="1" t="s">
        <v>36</v>
      </c>
      <c r="AD3359" s="1" t="s">
        <v>11794</v>
      </c>
      <c r="AE3359" s="1" t="s">
        <v>32</v>
      </c>
      <c r="AF3359" s="1" t="s">
        <v>33</v>
      </c>
      <c r="AG3359" s="1" t="s">
        <v>180</v>
      </c>
    </row>
    <row r="3360" spans="1:33">
      <c r="A3360" t="s">
        <v>11802</v>
      </c>
      <c r="C3360" t="s">
        <v>6628</v>
      </c>
      <c r="E3360" t="s">
        <v>11609</v>
      </c>
      <c r="F3360" t="s">
        <v>11610</v>
      </c>
      <c r="G3360">
        <v>1.446</v>
      </c>
      <c r="H3360">
        <v>1.446</v>
      </c>
      <c r="I3360" t="s">
        <v>269</v>
      </c>
      <c r="J3360" t="s">
        <v>270</v>
      </c>
      <c r="K3360" t="s">
        <v>31</v>
      </c>
      <c r="L3360" t="s">
        <v>32</v>
      </c>
      <c r="M3360" t="s">
        <v>33</v>
      </c>
      <c r="P3360" s="1" t="s">
        <v>11803</v>
      </c>
      <c r="Q3360" s="1" t="s">
        <v>11609</v>
      </c>
      <c r="R3360" s="1" t="s">
        <v>11609</v>
      </c>
      <c r="S3360" s="1"/>
      <c r="T3360" s="1" t="s">
        <v>6628</v>
      </c>
      <c r="U3360" s="1"/>
      <c r="V3360" s="1">
        <v>1.446</v>
      </c>
      <c r="W3360" s="1">
        <v>1.446</v>
      </c>
      <c r="X3360" s="1" t="s">
        <v>35</v>
      </c>
      <c r="Y3360" s="1">
        <v>1446000.0</v>
      </c>
      <c r="Z3360" s="1"/>
      <c r="AA3360" s="1">
        <v>1446000.0</v>
      </c>
      <c r="AB3360" s="1"/>
      <c r="AC3360" s="1" t="s">
        <v>36</v>
      </c>
      <c r="AD3360" s="1" t="s">
        <v>11804</v>
      </c>
      <c r="AE3360" s="1" t="s">
        <v>32</v>
      </c>
      <c r="AF3360" s="1" t="s">
        <v>33</v>
      </c>
      <c r="AG3360" s="1" t="s">
        <v>270</v>
      </c>
    </row>
    <row r="3361" spans="1:33">
      <c r="A3361" t="s">
        <v>11805</v>
      </c>
      <c r="B3361" t="s">
        <v>11806</v>
      </c>
      <c r="C3361" t="s">
        <v>906</v>
      </c>
      <c r="E3361" t="s">
        <v>11609</v>
      </c>
      <c r="F3361" t="s">
        <v>11610</v>
      </c>
      <c r="G3361">
        <v>19.49</v>
      </c>
      <c r="H3361">
        <v>19.49</v>
      </c>
      <c r="I3361" t="s">
        <v>847</v>
      </c>
      <c r="J3361" t="s">
        <v>848</v>
      </c>
      <c r="K3361" t="s">
        <v>31</v>
      </c>
      <c r="L3361" t="s">
        <v>32</v>
      </c>
      <c r="M3361" t="s">
        <v>33</v>
      </c>
      <c r="P3361" s="1" t="s">
        <v>11807</v>
      </c>
      <c r="Q3361" s="1" t="s">
        <v>11609</v>
      </c>
      <c r="R3361" s="1" t="s">
        <v>11609</v>
      </c>
      <c r="S3361" s="1"/>
      <c r="T3361" s="1" t="s">
        <v>906</v>
      </c>
      <c r="U3361" s="1"/>
      <c r="V3361" s="1">
        <v>19.49</v>
      </c>
      <c r="W3361" s="1">
        <v>19.49</v>
      </c>
      <c r="X3361" s="1" t="s">
        <v>35</v>
      </c>
      <c r="Y3361" s="1">
        <v>19490.0</v>
      </c>
      <c r="Z3361" s="1"/>
      <c r="AA3361" s="1">
        <v>19490.0</v>
      </c>
      <c r="AB3361" s="1"/>
      <c r="AC3361" s="1" t="s">
        <v>36</v>
      </c>
      <c r="AD3361" s="1" t="s">
        <v>11808</v>
      </c>
      <c r="AE3361" s="1" t="s">
        <v>32</v>
      </c>
      <c r="AF3361" s="1" t="s">
        <v>33</v>
      </c>
      <c r="AG3361" s="1" t="s">
        <v>848</v>
      </c>
    </row>
    <row r="3362" spans="1:33">
      <c r="A3362" t="s">
        <v>11809</v>
      </c>
      <c r="B3362" t="s">
        <v>11810</v>
      </c>
      <c r="C3362" t="s">
        <v>1298</v>
      </c>
      <c r="E3362" t="s">
        <v>11609</v>
      </c>
      <c r="F3362" t="s">
        <v>11610</v>
      </c>
      <c r="G3362">
        <v>1.358</v>
      </c>
      <c r="H3362">
        <v>1.358</v>
      </c>
      <c r="I3362" t="s">
        <v>529</v>
      </c>
      <c r="J3362" t="s">
        <v>530</v>
      </c>
      <c r="K3362" t="s">
        <v>31</v>
      </c>
      <c r="L3362" t="s">
        <v>32</v>
      </c>
      <c r="M3362" t="s">
        <v>33</v>
      </c>
      <c r="P3362" s="1" t="s">
        <v>11811</v>
      </c>
      <c r="Q3362" s="1" t="s">
        <v>11609</v>
      </c>
      <c r="R3362" s="1" t="s">
        <v>10933</v>
      </c>
      <c r="S3362" s="1"/>
      <c r="T3362" s="1" t="s">
        <v>1298</v>
      </c>
      <c r="U3362" s="1"/>
      <c r="V3362" s="1">
        <v>1.358</v>
      </c>
      <c r="W3362" s="1">
        <v>1.358</v>
      </c>
      <c r="X3362" s="1" t="s">
        <v>35</v>
      </c>
      <c r="Y3362" s="1">
        <v>1358.0</v>
      </c>
      <c r="Z3362" s="1"/>
      <c r="AA3362" s="1">
        <v>1358.0</v>
      </c>
      <c r="AB3362" s="1"/>
      <c r="AC3362" s="1" t="s">
        <v>36</v>
      </c>
      <c r="AD3362" s="1" t="s">
        <v>11812</v>
      </c>
      <c r="AE3362" s="1" t="s">
        <v>32</v>
      </c>
      <c r="AF3362" s="1" t="s">
        <v>33</v>
      </c>
      <c r="AG3362" s="1" t="s">
        <v>530</v>
      </c>
    </row>
    <row r="3363" spans="1:33">
      <c r="A3363" t="s">
        <v>11813</v>
      </c>
      <c r="B3363" t="s">
        <v>1031</v>
      </c>
      <c r="C3363" t="s">
        <v>8354</v>
      </c>
      <c r="E3363" t="s">
        <v>11609</v>
      </c>
      <c r="F3363" t="s">
        <v>11610</v>
      </c>
      <c r="G3363">
        <v>1.665</v>
      </c>
      <c r="H3363">
        <v>1.665</v>
      </c>
      <c r="I3363" t="s">
        <v>529</v>
      </c>
      <c r="J3363" t="s">
        <v>530</v>
      </c>
      <c r="K3363" t="s">
        <v>31</v>
      </c>
      <c r="L3363" t="s">
        <v>32</v>
      </c>
      <c r="M3363" t="s">
        <v>33</v>
      </c>
      <c r="P3363" s="1" t="s">
        <v>11814</v>
      </c>
      <c r="Q3363" s="1" t="s">
        <v>11609</v>
      </c>
      <c r="R3363" s="1" t="s">
        <v>10933</v>
      </c>
      <c r="S3363" s="1"/>
      <c r="T3363" s="1" t="s">
        <v>8354</v>
      </c>
      <c r="U3363" s="1"/>
      <c r="V3363" s="1">
        <v>1.665</v>
      </c>
      <c r="W3363" s="1">
        <v>1.665</v>
      </c>
      <c r="X3363" s="1" t="s">
        <v>35</v>
      </c>
      <c r="Y3363" s="1">
        <v>1665616.0</v>
      </c>
      <c r="Z3363" s="1"/>
      <c r="AA3363" s="1">
        <v>1665616.0</v>
      </c>
      <c r="AB3363" s="1"/>
      <c r="AC3363" s="1" t="s">
        <v>36</v>
      </c>
      <c r="AD3363" s="1" t="s">
        <v>11731</v>
      </c>
      <c r="AE3363" s="1" t="s">
        <v>32</v>
      </c>
      <c r="AF3363" s="1" t="s">
        <v>33</v>
      </c>
      <c r="AG3363" s="1" t="s">
        <v>530</v>
      </c>
    </row>
    <row r="3364" spans="1:33">
      <c r="A3364" t="s">
        <v>11815</v>
      </c>
      <c r="B3364" t="s">
        <v>7317</v>
      </c>
      <c r="C3364" t="s">
        <v>414</v>
      </c>
      <c r="E3364" t="s">
        <v>11609</v>
      </c>
      <c r="F3364" t="s">
        <v>11610</v>
      </c>
      <c r="G3364">
        <v>738.0</v>
      </c>
      <c r="H3364">
        <v>738.0</v>
      </c>
      <c r="I3364" t="s">
        <v>136</v>
      </c>
      <c r="J3364" t="s">
        <v>137</v>
      </c>
      <c r="K3364" t="s">
        <v>31</v>
      </c>
      <c r="L3364" t="s">
        <v>32</v>
      </c>
      <c r="M3364" t="s">
        <v>33</v>
      </c>
      <c r="P3364" s="1" t="s">
        <v>11816</v>
      </c>
      <c r="Q3364" s="1" t="s">
        <v>11609</v>
      </c>
      <c r="R3364" s="1" t="s">
        <v>11609</v>
      </c>
      <c r="S3364" s="1"/>
      <c r="T3364" s="1" t="s">
        <v>414</v>
      </c>
      <c r="U3364" s="1"/>
      <c r="V3364" s="1">
        <v>738.0</v>
      </c>
      <c r="W3364" s="1">
        <v>738.0</v>
      </c>
      <c r="X3364" s="1" t="s">
        <v>35</v>
      </c>
      <c r="Y3364" s="1">
        <v>738000.0</v>
      </c>
      <c r="Z3364" s="1"/>
      <c r="AA3364" s="1">
        <v>738000.0</v>
      </c>
      <c r="AB3364" s="1"/>
      <c r="AC3364" s="1" t="s">
        <v>36</v>
      </c>
      <c r="AD3364" s="1" t="s">
        <v>11817</v>
      </c>
      <c r="AE3364" s="1" t="s">
        <v>32</v>
      </c>
      <c r="AF3364" s="1" t="s">
        <v>33</v>
      </c>
      <c r="AG3364" s="1" t="s">
        <v>137</v>
      </c>
    </row>
    <row r="3365" spans="1:33">
      <c r="A3365" t="s">
        <v>11818</v>
      </c>
      <c r="C3365" t="s">
        <v>8942</v>
      </c>
      <c r="E3365" t="s">
        <v>11609</v>
      </c>
      <c r="F3365" t="s">
        <v>11610</v>
      </c>
      <c r="G3365">
        <v>55.5</v>
      </c>
      <c r="H3365">
        <v>55.5</v>
      </c>
      <c r="I3365" t="s">
        <v>269</v>
      </c>
      <c r="J3365" t="s">
        <v>270</v>
      </c>
      <c r="K3365" t="s">
        <v>31</v>
      </c>
      <c r="L3365" t="s">
        <v>32</v>
      </c>
      <c r="M3365" t="s">
        <v>33</v>
      </c>
      <c r="P3365" s="1" t="s">
        <v>11819</v>
      </c>
      <c r="Q3365" s="1" t="s">
        <v>11609</v>
      </c>
      <c r="R3365" s="1" t="s">
        <v>11609</v>
      </c>
      <c r="S3365" s="1"/>
      <c r="T3365" s="1" t="s">
        <v>8942</v>
      </c>
      <c r="U3365" s="1"/>
      <c r="V3365" s="1">
        <v>55.5</v>
      </c>
      <c r="W3365" s="1">
        <v>55.5</v>
      </c>
      <c r="X3365" s="1" t="s">
        <v>35</v>
      </c>
      <c r="Y3365" s="1">
        <v>55500.0</v>
      </c>
      <c r="Z3365" s="1"/>
      <c r="AA3365" s="1">
        <v>55500.0</v>
      </c>
      <c r="AB3365" s="1"/>
      <c r="AC3365" s="1" t="s">
        <v>36</v>
      </c>
      <c r="AD3365" s="1" t="s">
        <v>11820</v>
      </c>
      <c r="AE3365" s="1" t="s">
        <v>32</v>
      </c>
      <c r="AF3365" s="1" t="s">
        <v>33</v>
      </c>
      <c r="AG3365" s="1" t="s">
        <v>270</v>
      </c>
    </row>
    <row r="3366" spans="1:33">
      <c r="A3366" t="s">
        <v>11821</v>
      </c>
      <c r="B3366" t="s">
        <v>4143</v>
      </c>
      <c r="C3366" t="s">
        <v>68</v>
      </c>
      <c r="E3366" t="s">
        <v>11609</v>
      </c>
      <c r="F3366" t="s">
        <v>11610</v>
      </c>
      <c r="G3366">
        <v>7.298</v>
      </c>
      <c r="H3366">
        <v>7.298</v>
      </c>
      <c r="I3366" t="s">
        <v>59</v>
      </c>
      <c r="J3366" t="s">
        <v>60</v>
      </c>
      <c r="K3366" t="s">
        <v>31</v>
      </c>
      <c r="L3366" t="s">
        <v>32</v>
      </c>
      <c r="M3366" t="s">
        <v>33</v>
      </c>
      <c r="P3366" s="1" t="s">
        <v>11822</v>
      </c>
      <c r="Q3366" s="1" t="s">
        <v>11609</v>
      </c>
      <c r="R3366" s="1" t="s">
        <v>11609</v>
      </c>
      <c r="S3366" s="1"/>
      <c r="T3366" s="1" t="s">
        <v>68</v>
      </c>
      <c r="U3366" s="1"/>
      <c r="V3366" s="1">
        <v>7.298</v>
      </c>
      <c r="W3366" s="1">
        <v>7.298</v>
      </c>
      <c r="X3366" s="1" t="s">
        <v>35</v>
      </c>
      <c r="Y3366" s="1">
        <v>7298.0</v>
      </c>
      <c r="Z3366" s="1"/>
      <c r="AA3366" s="1">
        <v>7298.0</v>
      </c>
      <c r="AB3366" s="1"/>
      <c r="AC3366" s="1" t="s">
        <v>36</v>
      </c>
      <c r="AD3366" s="1" t="s">
        <v>11823</v>
      </c>
      <c r="AE3366" s="1" t="s">
        <v>32</v>
      </c>
      <c r="AF3366" s="1" t="s">
        <v>33</v>
      </c>
      <c r="AG3366" s="1" t="s">
        <v>60</v>
      </c>
    </row>
    <row r="3367" spans="1:33">
      <c r="A3367" t="s">
        <v>11824</v>
      </c>
      <c r="B3367" t="s">
        <v>3168</v>
      </c>
      <c r="C3367" t="s">
        <v>3169</v>
      </c>
      <c r="E3367" t="s">
        <v>11609</v>
      </c>
      <c r="F3367" t="s">
        <v>11610</v>
      </c>
      <c r="G3367">
        <v>550.0</v>
      </c>
      <c r="H3367">
        <v>550.0</v>
      </c>
      <c r="I3367" t="s">
        <v>529</v>
      </c>
      <c r="J3367" t="s">
        <v>530</v>
      </c>
      <c r="K3367" t="s">
        <v>31</v>
      </c>
      <c r="L3367" t="s">
        <v>32</v>
      </c>
      <c r="M3367" t="s">
        <v>33</v>
      </c>
      <c r="P3367" s="1" t="s">
        <v>11825</v>
      </c>
      <c r="Q3367" s="1" t="s">
        <v>11609</v>
      </c>
      <c r="R3367" s="1" t="s">
        <v>10933</v>
      </c>
      <c r="S3367" s="1"/>
      <c r="T3367" s="1" t="s">
        <v>3169</v>
      </c>
      <c r="U3367" s="1"/>
      <c r="V3367" s="1">
        <v>550.0</v>
      </c>
      <c r="W3367" s="1">
        <v>550.0</v>
      </c>
      <c r="X3367" s="1" t="s">
        <v>35</v>
      </c>
      <c r="Y3367" s="1">
        <v>550000.0</v>
      </c>
      <c r="Z3367" s="1"/>
      <c r="AA3367" s="1">
        <v>550000.0</v>
      </c>
      <c r="AB3367" s="1"/>
      <c r="AC3367" s="1" t="s">
        <v>36</v>
      </c>
      <c r="AD3367" s="1" t="s">
        <v>11826</v>
      </c>
      <c r="AE3367" s="1" t="s">
        <v>32</v>
      </c>
      <c r="AF3367" s="1" t="s">
        <v>33</v>
      </c>
      <c r="AG3367" s="1" t="s">
        <v>530</v>
      </c>
    </row>
    <row r="3368" spans="1:33">
      <c r="A3368" t="s">
        <v>11827</v>
      </c>
      <c r="C3368" t="s">
        <v>969</v>
      </c>
      <c r="E3368" t="s">
        <v>11609</v>
      </c>
      <c r="F3368" t="s">
        <v>11610</v>
      </c>
      <c r="G3368">
        <v>47.0</v>
      </c>
      <c r="H3368">
        <v>47.0</v>
      </c>
      <c r="I3368" t="s">
        <v>126</v>
      </c>
      <c r="J3368" t="s">
        <v>127</v>
      </c>
      <c r="K3368" t="s">
        <v>31</v>
      </c>
      <c r="L3368" t="s">
        <v>32</v>
      </c>
      <c r="M3368" t="s">
        <v>33</v>
      </c>
      <c r="P3368" s="1" t="s">
        <v>11828</v>
      </c>
      <c r="Q3368" s="1" t="s">
        <v>11609</v>
      </c>
      <c r="R3368" s="1" t="s">
        <v>11609</v>
      </c>
      <c r="S3368" s="1"/>
      <c r="T3368" s="1" t="s">
        <v>969</v>
      </c>
      <c r="U3368" s="1"/>
      <c r="V3368" s="1">
        <v>47.0</v>
      </c>
      <c r="W3368" s="1">
        <v>47.0</v>
      </c>
      <c r="X3368" s="1" t="s">
        <v>35</v>
      </c>
      <c r="Y3368" s="1">
        <v>47000.0</v>
      </c>
      <c r="Z3368" s="1"/>
      <c r="AA3368" s="1">
        <v>47000.0</v>
      </c>
      <c r="AB3368" s="1"/>
      <c r="AC3368" s="1" t="s">
        <v>36</v>
      </c>
      <c r="AD3368" s="1" t="s">
        <v>11829</v>
      </c>
      <c r="AE3368" s="1" t="s">
        <v>32</v>
      </c>
      <c r="AF3368" s="1" t="s">
        <v>33</v>
      </c>
      <c r="AG3368" s="1" t="s">
        <v>127</v>
      </c>
    </row>
    <row r="3369" spans="1:33">
      <c r="A3369" t="s">
        <v>11830</v>
      </c>
      <c r="C3369" t="s">
        <v>2236</v>
      </c>
      <c r="E3369" t="s">
        <v>11609</v>
      </c>
      <c r="F3369" t="s">
        <v>11610</v>
      </c>
      <c r="G3369">
        <v>328.0</v>
      </c>
      <c r="H3369">
        <v>328.0</v>
      </c>
      <c r="I3369" t="s">
        <v>269</v>
      </c>
      <c r="J3369" t="s">
        <v>270</v>
      </c>
      <c r="K3369" t="s">
        <v>31</v>
      </c>
      <c r="L3369" t="s">
        <v>32</v>
      </c>
      <c r="M3369" t="s">
        <v>33</v>
      </c>
      <c r="P3369" s="1" t="s">
        <v>11831</v>
      </c>
      <c r="Q3369" s="1" t="s">
        <v>11609</v>
      </c>
      <c r="R3369" s="1" t="s">
        <v>11609</v>
      </c>
      <c r="S3369" s="1"/>
      <c r="T3369" s="1" t="s">
        <v>2236</v>
      </c>
      <c r="U3369" s="1"/>
      <c r="V3369" s="1">
        <v>328.0</v>
      </c>
      <c r="W3369" s="1">
        <v>328.0</v>
      </c>
      <c r="X3369" s="1" t="s">
        <v>35</v>
      </c>
      <c r="Y3369" s="1">
        <v>328000.0</v>
      </c>
      <c r="Z3369" s="1"/>
      <c r="AA3369" s="1">
        <v>328000.0</v>
      </c>
      <c r="AB3369" s="1"/>
      <c r="AC3369" s="1" t="s">
        <v>36</v>
      </c>
      <c r="AD3369" s="1" t="s">
        <v>11832</v>
      </c>
      <c r="AE3369" s="1" t="s">
        <v>32</v>
      </c>
      <c r="AF3369" s="1" t="s">
        <v>33</v>
      </c>
      <c r="AG3369" s="1" t="s">
        <v>270</v>
      </c>
    </row>
    <row r="3370" spans="1:33">
      <c r="A3370" t="s">
        <v>11833</v>
      </c>
      <c r="C3370" t="s">
        <v>7412</v>
      </c>
      <c r="E3370" t="s">
        <v>11609</v>
      </c>
      <c r="F3370" t="s">
        <v>11610</v>
      </c>
      <c r="G3370">
        <v>470.0</v>
      </c>
      <c r="H3370">
        <v>479.4</v>
      </c>
      <c r="I3370" t="s">
        <v>40</v>
      </c>
      <c r="J3370" t="s">
        <v>41</v>
      </c>
      <c r="K3370" t="s">
        <v>31</v>
      </c>
      <c r="L3370" t="s">
        <v>32</v>
      </c>
      <c r="M3370" t="s">
        <v>33</v>
      </c>
      <c r="P3370" s="1" t="s">
        <v>11834</v>
      </c>
      <c r="Q3370" s="1" t="s">
        <v>11609</v>
      </c>
      <c r="R3370" s="1" t="s">
        <v>10933</v>
      </c>
      <c r="S3370" s="1"/>
      <c r="T3370" s="1" t="s">
        <v>7415</v>
      </c>
      <c r="U3370" s="1" t="s">
        <v>7416</v>
      </c>
      <c r="V3370" s="1">
        <v>470.0</v>
      </c>
      <c r="W3370" s="1">
        <v>479.4</v>
      </c>
      <c r="X3370" s="1" t="s">
        <v>35</v>
      </c>
      <c r="Y3370" s="1"/>
      <c r="Z3370" s="1">
        <v>479400</v>
      </c>
      <c r="AA3370" s="1"/>
      <c r="AB3370" s="1">
        <v>479400</v>
      </c>
      <c r="AC3370" s="1" t="s">
        <v>36</v>
      </c>
      <c r="AD3370" s="1" t="s">
        <v>5106</v>
      </c>
      <c r="AE3370" s="1" t="s">
        <v>32</v>
      </c>
      <c r="AF3370" s="1" t="s">
        <v>33</v>
      </c>
      <c r="AG3370" s="1" t="s">
        <v>41</v>
      </c>
    </row>
    <row r="3371" spans="1:33">
      <c r="A3371" t="s">
        <v>11835</v>
      </c>
      <c r="B3371" t="s">
        <v>9813</v>
      </c>
      <c r="C3371" t="s">
        <v>125</v>
      </c>
      <c r="E3371" t="s">
        <v>11609</v>
      </c>
      <c r="F3371" t="s">
        <v>11610</v>
      </c>
      <c r="G3371">
        <v>4.498</v>
      </c>
      <c r="H3371">
        <v>4.498</v>
      </c>
      <c r="I3371" t="s">
        <v>126</v>
      </c>
      <c r="J3371" t="s">
        <v>127</v>
      </c>
      <c r="K3371" t="s">
        <v>31</v>
      </c>
      <c r="L3371" t="s">
        <v>32</v>
      </c>
      <c r="M3371" t="s">
        <v>33</v>
      </c>
      <c r="P3371" s="1" t="s">
        <v>11836</v>
      </c>
      <c r="Q3371" s="1" t="s">
        <v>11609</v>
      </c>
      <c r="R3371" s="1" t="s">
        <v>11609</v>
      </c>
      <c r="S3371" s="1"/>
      <c r="T3371" s="1" t="s">
        <v>125</v>
      </c>
      <c r="U3371" s="1"/>
      <c r="V3371" s="1">
        <v>4.498</v>
      </c>
      <c r="W3371" s="1">
        <v>4.498</v>
      </c>
      <c r="X3371" s="1" t="s">
        <v>35</v>
      </c>
      <c r="Y3371" s="1">
        <v>4498.0</v>
      </c>
      <c r="Z3371" s="1"/>
      <c r="AA3371" s="1">
        <v>4498.0</v>
      </c>
      <c r="AB3371" s="1"/>
      <c r="AC3371" s="1" t="s">
        <v>36</v>
      </c>
      <c r="AD3371" s="1" t="s">
        <v>11837</v>
      </c>
      <c r="AE3371" s="1" t="s">
        <v>32</v>
      </c>
      <c r="AF3371" s="1" t="s">
        <v>33</v>
      </c>
      <c r="AG3371" s="1" t="s">
        <v>127</v>
      </c>
    </row>
    <row r="3372" spans="1:33">
      <c r="A3372" t="s">
        <v>11838</v>
      </c>
      <c r="B3372" t="s">
        <v>3243</v>
      </c>
      <c r="C3372" t="s">
        <v>3244</v>
      </c>
      <c r="E3372" t="s">
        <v>11609</v>
      </c>
      <c r="F3372" t="s">
        <v>11610</v>
      </c>
      <c r="G3372">
        <v>370.0</v>
      </c>
      <c r="H3372">
        <v>370.0</v>
      </c>
      <c r="I3372" t="s">
        <v>59</v>
      </c>
      <c r="J3372" t="s">
        <v>60</v>
      </c>
      <c r="K3372" t="s">
        <v>31</v>
      </c>
      <c r="L3372" t="s">
        <v>32</v>
      </c>
      <c r="M3372" t="s">
        <v>33</v>
      </c>
      <c r="P3372" s="1" t="s">
        <v>11839</v>
      </c>
      <c r="Q3372" s="1" t="s">
        <v>11609</v>
      </c>
      <c r="R3372" s="1" t="s">
        <v>11609</v>
      </c>
      <c r="S3372" s="1"/>
      <c r="T3372" s="1" t="s">
        <v>3246</v>
      </c>
      <c r="U3372" s="1" t="s">
        <v>3247</v>
      </c>
      <c r="V3372" s="1">
        <v>370.0</v>
      </c>
      <c r="W3372" s="1">
        <v>370.0</v>
      </c>
      <c r="X3372" s="1" t="s">
        <v>35</v>
      </c>
      <c r="Y3372" s="1">
        <v>370000.0</v>
      </c>
      <c r="Z3372" s="1"/>
      <c r="AA3372" s="1">
        <v>370000.0</v>
      </c>
      <c r="AB3372" s="1"/>
      <c r="AC3372" s="1" t="s">
        <v>36</v>
      </c>
      <c r="AD3372" s="1" t="s">
        <v>11840</v>
      </c>
      <c r="AE3372" s="1" t="s">
        <v>32</v>
      </c>
      <c r="AF3372" s="1" t="s">
        <v>33</v>
      </c>
      <c r="AG3372" s="1" t="s">
        <v>60</v>
      </c>
    </row>
    <row r="3373" spans="1:33">
      <c r="A3373" t="s">
        <v>11841</v>
      </c>
      <c r="B3373" t="s">
        <v>3960</v>
      </c>
      <c r="C3373" t="s">
        <v>73</v>
      </c>
      <c r="E3373" t="s">
        <v>11609</v>
      </c>
      <c r="F3373" t="s">
        <v>11610</v>
      </c>
      <c r="G3373">
        <v>49.48</v>
      </c>
      <c r="H3373">
        <v>49.48</v>
      </c>
      <c r="I3373" t="s">
        <v>40</v>
      </c>
      <c r="J3373" t="s">
        <v>41</v>
      </c>
      <c r="K3373" t="s">
        <v>31</v>
      </c>
      <c r="L3373" t="s">
        <v>32</v>
      </c>
      <c r="M3373" t="s">
        <v>33</v>
      </c>
      <c r="P3373" s="1" t="s">
        <v>11842</v>
      </c>
      <c r="Q3373" s="1" t="s">
        <v>11609</v>
      </c>
      <c r="R3373" s="1" t="s">
        <v>10933</v>
      </c>
      <c r="S3373" s="1"/>
      <c r="T3373" s="1" t="s">
        <v>75</v>
      </c>
      <c r="U3373" s="1" t="s">
        <v>76</v>
      </c>
      <c r="V3373" s="1">
        <v>49.48</v>
      </c>
      <c r="W3373" s="1">
        <v>49.48</v>
      </c>
      <c r="X3373" s="1" t="s">
        <v>35</v>
      </c>
      <c r="Y3373" s="1">
        <v>49480.0</v>
      </c>
      <c r="Z3373" s="1"/>
      <c r="AA3373" s="1">
        <v>49480.0</v>
      </c>
      <c r="AB3373" s="1"/>
      <c r="AC3373" s="1" t="s">
        <v>36</v>
      </c>
      <c r="AD3373" s="1" t="s">
        <v>11843</v>
      </c>
      <c r="AE3373" s="1" t="s">
        <v>32</v>
      </c>
      <c r="AF3373" s="1" t="s">
        <v>33</v>
      </c>
      <c r="AG3373" s="1" t="s">
        <v>41</v>
      </c>
    </row>
    <row r="3374" spans="1:33">
      <c r="A3374" t="s">
        <v>11844</v>
      </c>
      <c r="B3374" t="s">
        <v>11845</v>
      </c>
      <c r="C3374" t="s">
        <v>47</v>
      </c>
      <c r="E3374" t="s">
        <v>11609</v>
      </c>
      <c r="F3374" t="s">
        <v>11610</v>
      </c>
      <c r="G3374">
        <v>65.97</v>
      </c>
      <c r="H3374">
        <v>65.97</v>
      </c>
      <c r="I3374" t="s">
        <v>2206</v>
      </c>
      <c r="J3374" t="s">
        <v>49</v>
      </c>
      <c r="K3374" t="s">
        <v>31</v>
      </c>
      <c r="L3374" t="s">
        <v>32</v>
      </c>
      <c r="M3374" t="s">
        <v>33</v>
      </c>
      <c r="P3374" s="1" t="s">
        <v>11846</v>
      </c>
      <c r="Q3374" s="1" t="s">
        <v>11609</v>
      </c>
      <c r="R3374" s="1" t="s">
        <v>11609</v>
      </c>
      <c r="S3374" s="1"/>
      <c r="T3374" s="1" t="s">
        <v>47</v>
      </c>
      <c r="U3374" s="1"/>
      <c r="V3374" s="1">
        <v>65.97</v>
      </c>
      <c r="W3374" s="1">
        <v>65.97</v>
      </c>
      <c r="X3374" s="1" t="s">
        <v>35</v>
      </c>
      <c r="Y3374" s="1">
        <v>65970.0</v>
      </c>
      <c r="Z3374" s="1"/>
      <c r="AA3374" s="1">
        <v>65970.0</v>
      </c>
      <c r="AB3374" s="1"/>
      <c r="AC3374" s="1" t="s">
        <v>36</v>
      </c>
      <c r="AD3374" s="1" t="s">
        <v>11843</v>
      </c>
      <c r="AE3374" s="1" t="s">
        <v>32</v>
      </c>
      <c r="AF3374" s="1" t="s">
        <v>33</v>
      </c>
      <c r="AG3374" s="1" t="s">
        <v>49</v>
      </c>
    </row>
    <row r="3375" spans="1:33">
      <c r="A3375" t="s">
        <v>11847</v>
      </c>
      <c r="B3375" t="s">
        <v>2983</v>
      </c>
      <c r="C3375" t="s">
        <v>314</v>
      </c>
      <c r="E3375" t="s">
        <v>11609</v>
      </c>
      <c r="F3375" t="s">
        <v>11610</v>
      </c>
      <c r="G3375">
        <v>5.48</v>
      </c>
      <c r="H3375">
        <v>5.48</v>
      </c>
      <c r="I3375" t="s">
        <v>179</v>
      </c>
      <c r="J3375" t="s">
        <v>180</v>
      </c>
      <c r="K3375" t="s">
        <v>31</v>
      </c>
      <c r="L3375" t="s">
        <v>32</v>
      </c>
      <c r="M3375" t="s">
        <v>33</v>
      </c>
      <c r="P3375" s="1" t="s">
        <v>11848</v>
      </c>
      <c r="Q3375" s="1" t="s">
        <v>11609</v>
      </c>
      <c r="R3375" s="1" t="s">
        <v>11609</v>
      </c>
      <c r="S3375" s="1"/>
      <c r="T3375" s="1" t="s">
        <v>314</v>
      </c>
      <c r="U3375" s="1"/>
      <c r="V3375" s="1">
        <v>5.48</v>
      </c>
      <c r="W3375" s="1">
        <v>5.48</v>
      </c>
      <c r="X3375" s="1" t="s">
        <v>35</v>
      </c>
      <c r="Y3375" s="1">
        <v>5480.0</v>
      </c>
      <c r="Z3375" s="1"/>
      <c r="AA3375" s="1">
        <v>5480.0</v>
      </c>
      <c r="AB3375" s="1"/>
      <c r="AC3375" s="1" t="s">
        <v>36</v>
      </c>
      <c r="AD3375" s="1" t="s">
        <v>11837</v>
      </c>
      <c r="AE3375" s="1" t="s">
        <v>32</v>
      </c>
      <c r="AF3375" s="1" t="s">
        <v>33</v>
      </c>
      <c r="AG3375" s="1" t="s">
        <v>180</v>
      </c>
    </row>
    <row r="3376" spans="1:33">
      <c r="A3376" t="s">
        <v>11849</v>
      </c>
      <c r="B3376" t="s">
        <v>1789</v>
      </c>
      <c r="C3376" t="s">
        <v>1790</v>
      </c>
      <c r="E3376" t="s">
        <v>11609</v>
      </c>
      <c r="F3376" t="s">
        <v>11610</v>
      </c>
      <c r="G3376">
        <v>811.0</v>
      </c>
      <c r="H3376">
        <v>811.0</v>
      </c>
      <c r="I3376" t="s">
        <v>529</v>
      </c>
      <c r="J3376" t="s">
        <v>530</v>
      </c>
      <c r="K3376" t="s">
        <v>31</v>
      </c>
      <c r="L3376" t="s">
        <v>32</v>
      </c>
      <c r="M3376" t="s">
        <v>33</v>
      </c>
      <c r="P3376" s="1" t="s">
        <v>11850</v>
      </c>
      <c r="Q3376" s="1" t="s">
        <v>11609</v>
      </c>
      <c r="R3376" s="1" t="s">
        <v>10933</v>
      </c>
      <c r="S3376" s="1"/>
      <c r="T3376" s="1" t="s">
        <v>1790</v>
      </c>
      <c r="U3376" s="1"/>
      <c r="V3376" s="1">
        <v>811.0</v>
      </c>
      <c r="W3376" s="1">
        <v>811.0</v>
      </c>
      <c r="X3376" s="1" t="s">
        <v>35</v>
      </c>
      <c r="Y3376" s="1">
        <v>811000.0</v>
      </c>
      <c r="Z3376" s="1"/>
      <c r="AA3376" s="1">
        <v>811000.0</v>
      </c>
      <c r="AB3376" s="1"/>
      <c r="AC3376" s="1" t="s">
        <v>36</v>
      </c>
      <c r="AD3376" s="1" t="s">
        <v>11851</v>
      </c>
      <c r="AE3376" s="1" t="s">
        <v>32</v>
      </c>
      <c r="AF3376" s="1" t="s">
        <v>33</v>
      </c>
      <c r="AG3376" s="1" t="s">
        <v>530</v>
      </c>
    </row>
    <row r="3377" spans="1:33">
      <c r="A3377" t="s">
        <v>11852</v>
      </c>
      <c r="B3377" t="s">
        <v>11853</v>
      </c>
      <c r="C3377" t="s">
        <v>131</v>
      </c>
      <c r="E3377" t="s">
        <v>11609</v>
      </c>
      <c r="F3377" t="s">
        <v>11610</v>
      </c>
      <c r="G3377">
        <v>22.0</v>
      </c>
      <c r="H3377">
        <v>22.0</v>
      </c>
      <c r="I3377" t="s">
        <v>94</v>
      </c>
      <c r="J3377" t="s">
        <v>95</v>
      </c>
      <c r="K3377" t="s">
        <v>31</v>
      </c>
      <c r="L3377" t="s">
        <v>32</v>
      </c>
      <c r="M3377" t="s">
        <v>33</v>
      </c>
      <c r="P3377" s="1" t="s">
        <v>11854</v>
      </c>
      <c r="Q3377" s="1" t="s">
        <v>11609</v>
      </c>
      <c r="R3377" s="1" t="s">
        <v>11609</v>
      </c>
      <c r="S3377" s="1"/>
      <c r="T3377" s="1" t="s">
        <v>131</v>
      </c>
      <c r="U3377" s="1"/>
      <c r="V3377" s="1">
        <v>22.0</v>
      </c>
      <c r="W3377" s="1">
        <v>22.0</v>
      </c>
      <c r="X3377" s="1" t="s">
        <v>35</v>
      </c>
      <c r="Y3377" s="1">
        <v>22000.0</v>
      </c>
      <c r="Z3377" s="1"/>
      <c r="AA3377" s="1">
        <v>22000.0</v>
      </c>
      <c r="AB3377" s="1"/>
      <c r="AC3377" s="1" t="s">
        <v>36</v>
      </c>
      <c r="AD3377" s="1" t="s">
        <v>11855</v>
      </c>
      <c r="AE3377" s="1" t="s">
        <v>32</v>
      </c>
      <c r="AF3377" s="1" t="s">
        <v>33</v>
      </c>
      <c r="AG3377" s="1" t="s">
        <v>95</v>
      </c>
    </row>
    <row r="3378" spans="1:33">
      <c r="A3378" t="s">
        <v>11856</v>
      </c>
      <c r="C3378" t="s">
        <v>940</v>
      </c>
      <c r="E3378" t="s">
        <v>11609</v>
      </c>
      <c r="F3378" t="s">
        <v>11610</v>
      </c>
      <c r="G3378">
        <v>328.0</v>
      </c>
      <c r="H3378">
        <v>328.0</v>
      </c>
      <c r="I3378" t="s">
        <v>269</v>
      </c>
      <c r="J3378" t="s">
        <v>270</v>
      </c>
      <c r="K3378" t="s">
        <v>31</v>
      </c>
      <c r="L3378" t="s">
        <v>32</v>
      </c>
      <c r="M3378" t="s">
        <v>33</v>
      </c>
      <c r="P3378" s="1" t="s">
        <v>11857</v>
      </c>
      <c r="Q3378" s="1" t="s">
        <v>11609</v>
      </c>
      <c r="R3378" s="1" t="s">
        <v>11609</v>
      </c>
      <c r="S3378" s="1"/>
      <c r="T3378" s="1" t="s">
        <v>942</v>
      </c>
      <c r="U3378" s="1" t="s">
        <v>943</v>
      </c>
      <c r="V3378" s="1">
        <v>328.0</v>
      </c>
      <c r="W3378" s="1">
        <v>328.0</v>
      </c>
      <c r="X3378" s="1" t="s">
        <v>35</v>
      </c>
      <c r="Y3378" s="1">
        <v>328000.0</v>
      </c>
      <c r="Z3378" s="1"/>
      <c r="AA3378" s="1">
        <v>328000.0</v>
      </c>
      <c r="AB3378" s="1"/>
      <c r="AC3378" s="1" t="s">
        <v>36</v>
      </c>
      <c r="AD3378" s="1" t="s">
        <v>11858</v>
      </c>
      <c r="AE3378" s="1" t="s">
        <v>32</v>
      </c>
      <c r="AF3378" s="1" t="s">
        <v>33</v>
      </c>
      <c r="AG3378" s="1" t="s">
        <v>270</v>
      </c>
    </row>
    <row r="3379" spans="1:33">
      <c r="A3379" t="s">
        <v>11859</v>
      </c>
      <c r="B3379" t="s">
        <v>11860</v>
      </c>
      <c r="C3379" t="s">
        <v>172</v>
      </c>
      <c r="E3379" t="s">
        <v>11609</v>
      </c>
      <c r="F3379" t="s">
        <v>11610</v>
      </c>
      <c r="G3379">
        <v>10.44</v>
      </c>
      <c r="H3379">
        <v>10.44</v>
      </c>
      <c r="I3379" t="s">
        <v>173</v>
      </c>
      <c r="J3379" t="s">
        <v>174</v>
      </c>
      <c r="K3379" t="s">
        <v>31</v>
      </c>
      <c r="L3379" t="s">
        <v>32</v>
      </c>
      <c r="M3379" t="s">
        <v>33</v>
      </c>
      <c r="P3379" s="1" t="s">
        <v>11861</v>
      </c>
      <c r="Q3379" s="1" t="s">
        <v>11609</v>
      </c>
      <c r="R3379" s="1" t="s">
        <v>11609</v>
      </c>
      <c r="S3379" s="1"/>
      <c r="T3379" s="1" t="s">
        <v>172</v>
      </c>
      <c r="U3379" s="1"/>
      <c r="V3379" s="1">
        <v>10.44</v>
      </c>
      <c r="W3379" s="1">
        <v>10.44</v>
      </c>
      <c r="X3379" s="1" t="s">
        <v>35</v>
      </c>
      <c r="Y3379" s="1">
        <v>10440.0</v>
      </c>
      <c r="Z3379" s="1"/>
      <c r="AA3379" s="1">
        <v>10440.0</v>
      </c>
      <c r="AB3379" s="1"/>
      <c r="AC3379" s="1" t="s">
        <v>36</v>
      </c>
      <c r="AD3379" s="1" t="s">
        <v>11862</v>
      </c>
      <c r="AE3379" s="1" t="s">
        <v>32</v>
      </c>
      <c r="AF3379" s="1" t="s">
        <v>33</v>
      </c>
      <c r="AG3379" s="1" t="s">
        <v>174</v>
      </c>
    </row>
    <row r="3380" spans="1:33">
      <c r="A3380" t="s">
        <v>11863</v>
      </c>
      <c r="B3380" t="s">
        <v>11864</v>
      </c>
      <c r="C3380" t="s">
        <v>73</v>
      </c>
      <c r="E3380" t="s">
        <v>11609</v>
      </c>
      <c r="F3380" t="s">
        <v>11610</v>
      </c>
      <c r="G3380">
        <v>21.99</v>
      </c>
      <c r="H3380">
        <v>21.99</v>
      </c>
      <c r="I3380" t="s">
        <v>40</v>
      </c>
      <c r="J3380" t="s">
        <v>41</v>
      </c>
      <c r="K3380" t="s">
        <v>31</v>
      </c>
      <c r="L3380" t="s">
        <v>32</v>
      </c>
      <c r="M3380" t="s">
        <v>33</v>
      </c>
      <c r="P3380" s="1" t="s">
        <v>11865</v>
      </c>
      <c r="Q3380" s="1" t="s">
        <v>11609</v>
      </c>
      <c r="R3380" s="1" t="s">
        <v>10933</v>
      </c>
      <c r="S3380" s="1"/>
      <c r="T3380" s="1" t="s">
        <v>75</v>
      </c>
      <c r="U3380" s="1" t="s">
        <v>76</v>
      </c>
      <c r="V3380" s="1">
        <v>21.99</v>
      </c>
      <c r="W3380" s="1">
        <v>21.99</v>
      </c>
      <c r="X3380" s="1" t="s">
        <v>35</v>
      </c>
      <c r="Y3380" s="1">
        <v>21990.0</v>
      </c>
      <c r="Z3380" s="1"/>
      <c r="AA3380" s="1">
        <v>21990.0</v>
      </c>
      <c r="AB3380" s="1"/>
      <c r="AC3380" s="1" t="s">
        <v>36</v>
      </c>
      <c r="AD3380" s="1" t="s">
        <v>11866</v>
      </c>
      <c r="AE3380" s="1" t="s">
        <v>32</v>
      </c>
      <c r="AF3380" s="1" t="s">
        <v>33</v>
      </c>
      <c r="AG3380" s="1" t="s">
        <v>41</v>
      </c>
    </row>
    <row r="3381" spans="1:33">
      <c r="A3381" t="s">
        <v>11867</v>
      </c>
      <c r="B3381" t="s">
        <v>579</v>
      </c>
      <c r="C3381" t="s">
        <v>73</v>
      </c>
      <c r="E3381" t="s">
        <v>11609</v>
      </c>
      <c r="F3381" t="s">
        <v>11610</v>
      </c>
      <c r="G3381">
        <v>36.98</v>
      </c>
      <c r="H3381">
        <v>36.98</v>
      </c>
      <c r="I3381" t="s">
        <v>40</v>
      </c>
      <c r="J3381" t="s">
        <v>41</v>
      </c>
      <c r="K3381" t="s">
        <v>31</v>
      </c>
      <c r="L3381" t="s">
        <v>32</v>
      </c>
      <c r="M3381" t="s">
        <v>33</v>
      </c>
      <c r="P3381" s="1" t="s">
        <v>11868</v>
      </c>
      <c r="Q3381" s="1" t="s">
        <v>11609</v>
      </c>
      <c r="R3381" s="1" t="s">
        <v>10933</v>
      </c>
      <c r="S3381" s="1"/>
      <c r="T3381" s="1" t="s">
        <v>75</v>
      </c>
      <c r="U3381" s="1" t="s">
        <v>76</v>
      </c>
      <c r="V3381" s="1">
        <v>36.98</v>
      </c>
      <c r="W3381" s="1">
        <v>36.98</v>
      </c>
      <c r="X3381" s="1" t="s">
        <v>35</v>
      </c>
      <c r="Y3381" s="1">
        <v>36980.0</v>
      </c>
      <c r="Z3381" s="1"/>
      <c r="AA3381" s="1">
        <v>36980.0</v>
      </c>
      <c r="AB3381" s="1"/>
      <c r="AC3381" s="1" t="s">
        <v>36</v>
      </c>
      <c r="AD3381" s="1" t="s">
        <v>11869</v>
      </c>
      <c r="AE3381" s="1" t="s">
        <v>32</v>
      </c>
      <c r="AF3381" s="1" t="s">
        <v>33</v>
      </c>
      <c r="AG3381" s="1" t="s">
        <v>41</v>
      </c>
    </row>
    <row r="3382" spans="1:33">
      <c r="A3382" t="s">
        <v>11870</v>
      </c>
      <c r="B3382" t="s">
        <v>4991</v>
      </c>
      <c r="C3382" t="s">
        <v>125</v>
      </c>
      <c r="E3382" t="s">
        <v>11609</v>
      </c>
      <c r="F3382" t="s">
        <v>11610</v>
      </c>
      <c r="G3382">
        <v>38.98</v>
      </c>
      <c r="H3382">
        <v>38.98</v>
      </c>
      <c r="I3382" t="s">
        <v>126</v>
      </c>
      <c r="J3382" t="s">
        <v>127</v>
      </c>
      <c r="K3382" t="s">
        <v>31</v>
      </c>
      <c r="L3382" t="s">
        <v>32</v>
      </c>
      <c r="M3382" t="s">
        <v>33</v>
      </c>
      <c r="P3382" s="1" t="s">
        <v>11871</v>
      </c>
      <c r="Q3382" s="1" t="s">
        <v>11609</v>
      </c>
      <c r="R3382" s="1" t="s">
        <v>11609</v>
      </c>
      <c r="S3382" s="1"/>
      <c r="T3382" s="1" t="s">
        <v>125</v>
      </c>
      <c r="U3382" s="1"/>
      <c r="V3382" s="1">
        <v>38.98</v>
      </c>
      <c r="W3382" s="1">
        <v>38.98</v>
      </c>
      <c r="X3382" s="1" t="s">
        <v>35</v>
      </c>
      <c r="Y3382" s="1">
        <v>38980.0</v>
      </c>
      <c r="Z3382" s="1"/>
      <c r="AA3382" s="1">
        <v>38980.0</v>
      </c>
      <c r="AB3382" s="1"/>
      <c r="AC3382" s="1" t="s">
        <v>36</v>
      </c>
      <c r="AD3382" s="1" t="s">
        <v>11858</v>
      </c>
      <c r="AE3382" s="1" t="s">
        <v>32</v>
      </c>
      <c r="AF3382" s="1" t="s">
        <v>33</v>
      </c>
      <c r="AG3382" s="1" t="s">
        <v>127</v>
      </c>
    </row>
    <row r="3383" spans="1:33">
      <c r="A3383" t="s">
        <v>11872</v>
      </c>
      <c r="C3383" t="s">
        <v>558</v>
      </c>
      <c r="D3383" t="s">
        <v>154</v>
      </c>
      <c r="E3383" t="s">
        <v>11609</v>
      </c>
      <c r="F3383" t="s">
        <v>11610</v>
      </c>
      <c r="G3383">
        <v>328.0</v>
      </c>
      <c r="H3383">
        <v>328.0</v>
      </c>
      <c r="I3383" t="s">
        <v>269</v>
      </c>
      <c r="J3383" t="s">
        <v>270</v>
      </c>
      <c r="K3383" t="s">
        <v>31</v>
      </c>
      <c r="L3383" t="s">
        <v>32</v>
      </c>
      <c r="M3383" t="s">
        <v>33</v>
      </c>
      <c r="P3383" s="1" t="s">
        <v>11873</v>
      </c>
      <c r="Q3383" s="1" t="s">
        <v>11609</v>
      </c>
      <c r="R3383" s="1" t="s">
        <v>11609</v>
      </c>
      <c r="S3383" s="1"/>
      <c r="T3383" s="1" t="s">
        <v>560</v>
      </c>
      <c r="U3383" s="1" t="s">
        <v>561</v>
      </c>
      <c r="V3383" s="1">
        <v>328.0</v>
      </c>
      <c r="W3383" s="1">
        <v>328.0</v>
      </c>
      <c r="X3383" s="1" t="s">
        <v>35</v>
      </c>
      <c r="Y3383" s="1">
        <v>328000.0</v>
      </c>
      <c r="Z3383" s="1"/>
      <c r="AA3383" s="1">
        <v>328000.0</v>
      </c>
      <c r="AB3383" s="1"/>
      <c r="AC3383" s="1" t="s">
        <v>36</v>
      </c>
      <c r="AD3383" s="1" t="s">
        <v>11874</v>
      </c>
      <c r="AE3383" s="1" t="s">
        <v>32</v>
      </c>
      <c r="AF3383" s="1" t="s">
        <v>33</v>
      </c>
      <c r="AG3383" s="1" t="s">
        <v>270</v>
      </c>
    </row>
    <row r="3384" spans="1:33">
      <c r="A3384" t="s">
        <v>11875</v>
      </c>
      <c r="B3384" t="s">
        <v>5989</v>
      </c>
      <c r="C3384" t="s">
        <v>125</v>
      </c>
      <c r="E3384" t="s">
        <v>11609</v>
      </c>
      <c r="F3384" t="s">
        <v>11610</v>
      </c>
      <c r="G3384">
        <v>18.49</v>
      </c>
      <c r="H3384">
        <v>18.49</v>
      </c>
      <c r="I3384" t="s">
        <v>126</v>
      </c>
      <c r="J3384" t="s">
        <v>127</v>
      </c>
      <c r="K3384" t="s">
        <v>31</v>
      </c>
      <c r="L3384" t="s">
        <v>32</v>
      </c>
      <c r="M3384" t="s">
        <v>33</v>
      </c>
      <c r="P3384" s="1" t="s">
        <v>11876</v>
      </c>
      <c r="Q3384" s="1" t="s">
        <v>11609</v>
      </c>
      <c r="R3384" s="1" t="s">
        <v>11609</v>
      </c>
      <c r="S3384" s="1"/>
      <c r="T3384" s="1" t="s">
        <v>125</v>
      </c>
      <c r="U3384" s="1"/>
      <c r="V3384" s="1">
        <v>18.49</v>
      </c>
      <c r="W3384" s="1">
        <v>18.49</v>
      </c>
      <c r="X3384" s="1" t="s">
        <v>35</v>
      </c>
      <c r="Y3384" s="1">
        <v>18490.0</v>
      </c>
      <c r="Z3384" s="1"/>
      <c r="AA3384" s="1">
        <v>18490.0</v>
      </c>
      <c r="AB3384" s="1"/>
      <c r="AC3384" s="1" t="s">
        <v>36</v>
      </c>
      <c r="AD3384" s="1" t="s">
        <v>11866</v>
      </c>
      <c r="AE3384" s="1" t="s">
        <v>32</v>
      </c>
      <c r="AF3384" s="1" t="s">
        <v>33</v>
      </c>
      <c r="AG3384" s="1" t="s">
        <v>127</v>
      </c>
    </row>
    <row r="3385" spans="1:33">
      <c r="A3385" t="s">
        <v>11877</v>
      </c>
      <c r="C3385" t="s">
        <v>11878</v>
      </c>
      <c r="E3385" t="s">
        <v>11609</v>
      </c>
      <c r="F3385" t="s">
        <v>11610</v>
      </c>
      <c r="G3385">
        <v>156.25</v>
      </c>
      <c r="H3385">
        <v>156.25</v>
      </c>
      <c r="I3385" t="s">
        <v>2206</v>
      </c>
      <c r="J3385" t="s">
        <v>49</v>
      </c>
      <c r="K3385" t="s">
        <v>31</v>
      </c>
      <c r="L3385" t="s">
        <v>32</v>
      </c>
      <c r="M3385" t="s">
        <v>33</v>
      </c>
      <c r="P3385" s="1" t="s">
        <v>11879</v>
      </c>
      <c r="Q3385" s="1" t="s">
        <v>11609</v>
      </c>
      <c r="R3385" s="1" t="s">
        <v>11609</v>
      </c>
      <c r="S3385" s="1"/>
      <c r="T3385" s="1" t="s">
        <v>11878</v>
      </c>
      <c r="U3385" s="1"/>
      <c r="V3385" s="1">
        <v>156.25</v>
      </c>
      <c r="W3385" s="1">
        <v>156.25</v>
      </c>
      <c r="X3385" s="1" t="s">
        <v>35</v>
      </c>
      <c r="Y3385" s="1">
        <v>156250.0</v>
      </c>
      <c r="Z3385" s="1"/>
      <c r="AA3385" s="1">
        <v>156250.0</v>
      </c>
      <c r="AB3385" s="1"/>
      <c r="AC3385" s="1" t="s">
        <v>36</v>
      </c>
      <c r="AD3385" s="1" t="s">
        <v>11880</v>
      </c>
      <c r="AE3385" s="1" t="s">
        <v>32</v>
      </c>
      <c r="AF3385" s="1" t="s">
        <v>33</v>
      </c>
      <c r="AG3385" s="1" t="s">
        <v>49</v>
      </c>
    </row>
    <row r="3386" spans="1:33">
      <c r="A3386" t="s">
        <v>11881</v>
      </c>
      <c r="C3386" t="s">
        <v>8119</v>
      </c>
      <c r="E3386" t="s">
        <v>11609</v>
      </c>
      <c r="F3386" t="s">
        <v>11610</v>
      </c>
      <c r="G3386">
        <v>1.64</v>
      </c>
      <c r="H3386">
        <v>1.64</v>
      </c>
      <c r="I3386" t="s">
        <v>269</v>
      </c>
      <c r="J3386" t="s">
        <v>270</v>
      </c>
      <c r="K3386" t="s">
        <v>31</v>
      </c>
      <c r="L3386" t="s">
        <v>32</v>
      </c>
      <c r="M3386" t="s">
        <v>33</v>
      </c>
      <c r="P3386" s="1" t="s">
        <v>11882</v>
      </c>
      <c r="Q3386" s="1" t="s">
        <v>11609</v>
      </c>
      <c r="R3386" s="1" t="s">
        <v>11609</v>
      </c>
      <c r="S3386" s="1"/>
      <c r="T3386" s="1" t="s">
        <v>8119</v>
      </c>
      <c r="U3386" s="1"/>
      <c r="V3386" s="1">
        <v>1.64</v>
      </c>
      <c r="W3386" s="1">
        <v>1.64</v>
      </c>
      <c r="X3386" s="1" t="s">
        <v>35</v>
      </c>
      <c r="Y3386" s="1">
        <v>1640000.0</v>
      </c>
      <c r="Z3386" s="1"/>
      <c r="AA3386" s="1">
        <v>1640000.0</v>
      </c>
      <c r="AB3386" s="1"/>
      <c r="AC3386" s="1" t="s">
        <v>36</v>
      </c>
      <c r="AD3386" s="1" t="s">
        <v>11883</v>
      </c>
      <c r="AE3386" s="1" t="s">
        <v>32</v>
      </c>
      <c r="AF3386" s="1" t="s">
        <v>33</v>
      </c>
      <c r="AG3386" s="1" t="s">
        <v>270</v>
      </c>
    </row>
    <row r="3387" spans="1:33">
      <c r="A3387" t="s">
        <v>11884</v>
      </c>
      <c r="C3387" t="s">
        <v>7734</v>
      </c>
      <c r="E3387" t="s">
        <v>11609</v>
      </c>
      <c r="F3387" t="s">
        <v>11610</v>
      </c>
      <c r="G3387">
        <v>137.0</v>
      </c>
      <c r="H3387">
        <v>137.0</v>
      </c>
      <c r="I3387" t="s">
        <v>570</v>
      </c>
      <c r="J3387" t="s">
        <v>571</v>
      </c>
      <c r="K3387" t="s">
        <v>31</v>
      </c>
      <c r="L3387" t="s">
        <v>32</v>
      </c>
      <c r="M3387" t="s">
        <v>33</v>
      </c>
      <c r="P3387" s="1" t="s">
        <v>11885</v>
      </c>
      <c r="Q3387" s="1" t="s">
        <v>11609</v>
      </c>
      <c r="R3387" s="1" t="s">
        <v>11609</v>
      </c>
      <c r="S3387" s="1"/>
      <c r="T3387" s="1" t="s">
        <v>7734</v>
      </c>
      <c r="U3387" s="1"/>
      <c r="V3387" s="1">
        <v>137.0</v>
      </c>
      <c r="W3387" s="1">
        <v>137.0</v>
      </c>
      <c r="X3387" s="1" t="s">
        <v>35</v>
      </c>
      <c r="Y3387" s="1">
        <v>137000.0</v>
      </c>
      <c r="Z3387" s="1"/>
      <c r="AA3387" s="1">
        <v>137000.0</v>
      </c>
      <c r="AB3387" s="1"/>
      <c r="AC3387" s="1" t="s">
        <v>36</v>
      </c>
      <c r="AD3387" s="1" t="s">
        <v>11862</v>
      </c>
      <c r="AE3387" s="1" t="s">
        <v>32</v>
      </c>
      <c r="AF3387" s="1" t="s">
        <v>33</v>
      </c>
      <c r="AG3387" s="1" t="s">
        <v>571</v>
      </c>
    </row>
    <row r="3388" spans="1:33">
      <c r="A3388" t="s">
        <v>11886</v>
      </c>
      <c r="C3388" t="s">
        <v>5681</v>
      </c>
      <c r="E3388" t="s">
        <v>11609</v>
      </c>
      <c r="F3388" t="s">
        <v>11887</v>
      </c>
      <c r="G3388">
        <v>630.0</v>
      </c>
      <c r="H3388">
        <v>630.0</v>
      </c>
      <c r="I3388" t="s">
        <v>40</v>
      </c>
      <c r="J3388" t="s">
        <v>41</v>
      </c>
      <c r="K3388" t="s">
        <v>31</v>
      </c>
      <c r="L3388" t="s">
        <v>32</v>
      </c>
      <c r="M3388" t="s">
        <v>33</v>
      </c>
      <c r="P3388" s="1" t="s">
        <v>11888</v>
      </c>
      <c r="Q3388" s="1" t="s">
        <v>11609</v>
      </c>
      <c r="R3388" s="1" t="s">
        <v>10933</v>
      </c>
      <c r="S3388" s="1"/>
      <c r="T3388" s="1" t="s">
        <v>5683</v>
      </c>
      <c r="U3388" s="1" t="s">
        <v>5684</v>
      </c>
      <c r="V3388" s="1">
        <v>630.0</v>
      </c>
      <c r="W3388" s="1">
        <v>630.0</v>
      </c>
      <c r="X3388" s="1" t="s">
        <v>35</v>
      </c>
      <c r="Y3388" s="1">
        <v>630000.0</v>
      </c>
      <c r="Z3388" s="1"/>
      <c r="AA3388" s="1">
        <v>630000.0</v>
      </c>
      <c r="AB3388" s="1"/>
      <c r="AC3388" s="1" t="s">
        <v>36</v>
      </c>
      <c r="AD3388" s="1" t="s">
        <v>11889</v>
      </c>
      <c r="AE3388" s="1" t="s">
        <v>32</v>
      </c>
      <c r="AF3388" s="1" t="s">
        <v>33</v>
      </c>
      <c r="AG3388" s="1" t="s">
        <v>41</v>
      </c>
    </row>
    <row r="3389" spans="1:33">
      <c r="A3389" t="s">
        <v>11890</v>
      </c>
      <c r="B3389" t="s">
        <v>11891</v>
      </c>
      <c r="C3389" t="s">
        <v>73</v>
      </c>
      <c r="E3389" t="s">
        <v>11609</v>
      </c>
      <c r="F3389" t="s">
        <v>11887</v>
      </c>
      <c r="G3389">
        <v>41.98</v>
      </c>
      <c r="H3389">
        <v>41.98</v>
      </c>
      <c r="I3389" t="s">
        <v>40</v>
      </c>
      <c r="J3389" t="s">
        <v>41</v>
      </c>
      <c r="K3389" t="s">
        <v>31</v>
      </c>
      <c r="L3389" t="s">
        <v>32</v>
      </c>
      <c r="M3389" t="s">
        <v>33</v>
      </c>
      <c r="P3389" s="1" t="s">
        <v>11892</v>
      </c>
      <c r="Q3389" s="1" t="s">
        <v>11609</v>
      </c>
      <c r="R3389" s="1" t="s">
        <v>10933</v>
      </c>
      <c r="S3389" s="1"/>
      <c r="T3389" s="1" t="s">
        <v>75</v>
      </c>
      <c r="U3389" s="1" t="s">
        <v>76</v>
      </c>
      <c r="V3389" s="1">
        <v>41.98</v>
      </c>
      <c r="W3389" s="1">
        <v>41.98</v>
      </c>
      <c r="X3389" s="1" t="s">
        <v>35</v>
      </c>
      <c r="Y3389" s="1">
        <v>41980.0</v>
      </c>
      <c r="Z3389" s="1"/>
      <c r="AA3389" s="1">
        <v>41980.0</v>
      </c>
      <c r="AB3389" s="1"/>
      <c r="AC3389" s="1" t="s">
        <v>36</v>
      </c>
      <c r="AD3389" s="1" t="s">
        <v>11893</v>
      </c>
      <c r="AE3389" s="1" t="s">
        <v>32</v>
      </c>
      <c r="AF3389" s="1" t="s">
        <v>33</v>
      </c>
      <c r="AG3389" s="1" t="s">
        <v>41</v>
      </c>
    </row>
    <row r="3390" spans="1:33">
      <c r="A3390" t="s">
        <v>11894</v>
      </c>
      <c r="B3390" t="s">
        <v>7317</v>
      </c>
      <c r="C3390" t="s">
        <v>11895</v>
      </c>
      <c r="E3390" t="s">
        <v>11609</v>
      </c>
      <c r="F3390" t="s">
        <v>11610</v>
      </c>
      <c r="G3390">
        <v>16.9</v>
      </c>
      <c r="H3390">
        <v>16.9</v>
      </c>
      <c r="I3390" t="s">
        <v>136</v>
      </c>
      <c r="J3390" t="s">
        <v>137</v>
      </c>
      <c r="K3390" t="s">
        <v>31</v>
      </c>
      <c r="L3390" t="s">
        <v>32</v>
      </c>
      <c r="M3390" t="s">
        <v>33</v>
      </c>
      <c r="P3390" s="1" t="s">
        <v>11896</v>
      </c>
      <c r="Q3390" s="1" t="s">
        <v>11609</v>
      </c>
      <c r="R3390" s="1" t="s">
        <v>11609</v>
      </c>
      <c r="S3390" s="1"/>
      <c r="T3390" s="1" t="s">
        <v>11895</v>
      </c>
      <c r="U3390" s="1"/>
      <c r="V3390" s="1">
        <v>16.9</v>
      </c>
      <c r="W3390" s="1">
        <v>16.9</v>
      </c>
      <c r="X3390" s="1" t="s">
        <v>35</v>
      </c>
      <c r="Y3390" s="1">
        <v>16900.0</v>
      </c>
      <c r="Z3390" s="1"/>
      <c r="AA3390" s="1">
        <v>16900.0</v>
      </c>
      <c r="AB3390" s="1"/>
      <c r="AC3390" s="1" t="s">
        <v>36</v>
      </c>
      <c r="AD3390" s="1" t="s">
        <v>11897</v>
      </c>
      <c r="AE3390" s="1" t="s">
        <v>32</v>
      </c>
      <c r="AF3390" s="1" t="s">
        <v>33</v>
      </c>
      <c r="AG3390" s="1" t="s">
        <v>137</v>
      </c>
    </row>
    <row r="3391" spans="1:33">
      <c r="A3391" t="s">
        <v>11898</v>
      </c>
      <c r="C3391" t="s">
        <v>131</v>
      </c>
      <c r="E3391" t="s">
        <v>11609</v>
      </c>
      <c r="F3391" t="s">
        <v>11610</v>
      </c>
      <c r="G3391">
        <v>20.048</v>
      </c>
      <c r="H3391">
        <v>20.048</v>
      </c>
      <c r="I3391" t="s">
        <v>94</v>
      </c>
      <c r="J3391" t="s">
        <v>95</v>
      </c>
      <c r="K3391" t="s">
        <v>31</v>
      </c>
      <c r="L3391" t="s">
        <v>32</v>
      </c>
      <c r="M3391" t="s">
        <v>33</v>
      </c>
      <c r="P3391" s="1" t="s">
        <v>11899</v>
      </c>
      <c r="Q3391" s="1" t="s">
        <v>11609</v>
      </c>
      <c r="R3391" s="1" t="s">
        <v>11609</v>
      </c>
      <c r="S3391" s="1"/>
      <c r="T3391" s="1" t="s">
        <v>131</v>
      </c>
      <c r="U3391" s="1"/>
      <c r="V3391" s="1">
        <v>20.048</v>
      </c>
      <c r="W3391" s="1">
        <v>20.048</v>
      </c>
      <c r="X3391" s="1" t="s">
        <v>35</v>
      </c>
      <c r="Y3391" s="1">
        <v>20048.0</v>
      </c>
      <c r="Z3391" s="1"/>
      <c r="AA3391" s="1">
        <v>20048.0</v>
      </c>
      <c r="AB3391" s="1"/>
      <c r="AC3391" s="1" t="s">
        <v>36</v>
      </c>
      <c r="AD3391" s="1" t="s">
        <v>11900</v>
      </c>
      <c r="AE3391" s="1" t="s">
        <v>32</v>
      </c>
      <c r="AF3391" s="1" t="s">
        <v>33</v>
      </c>
      <c r="AG3391" s="1" t="s">
        <v>95</v>
      </c>
    </row>
    <row r="3392" spans="1:33">
      <c r="A3392" t="s">
        <v>11901</v>
      </c>
      <c r="C3392" t="s">
        <v>8067</v>
      </c>
      <c r="E3392" t="s">
        <v>11609</v>
      </c>
      <c r="F3392" t="s">
        <v>10938</v>
      </c>
      <c r="G3392">
        <v>352.0</v>
      </c>
      <c r="H3392">
        <v>352.0</v>
      </c>
      <c r="I3392" t="s">
        <v>179</v>
      </c>
      <c r="J3392" t="s">
        <v>180</v>
      </c>
      <c r="K3392" t="s">
        <v>31</v>
      </c>
      <c r="L3392" t="s">
        <v>32</v>
      </c>
      <c r="M3392" t="s">
        <v>33</v>
      </c>
      <c r="P3392" s="1" t="s">
        <v>11902</v>
      </c>
      <c r="Q3392" s="1" t="s">
        <v>11609</v>
      </c>
      <c r="R3392" s="1" t="s">
        <v>11609</v>
      </c>
      <c r="S3392" s="1"/>
      <c r="T3392" s="1" t="s">
        <v>8067</v>
      </c>
      <c r="U3392" s="1"/>
      <c r="V3392" s="1">
        <v>352.0</v>
      </c>
      <c r="W3392" s="1">
        <v>352.0</v>
      </c>
      <c r="X3392" s="1" t="s">
        <v>35</v>
      </c>
      <c r="Y3392" s="1">
        <v>352000.0</v>
      </c>
      <c r="Z3392" s="1"/>
      <c r="AA3392" s="1">
        <v>352000.0</v>
      </c>
      <c r="AB3392" s="1"/>
      <c r="AC3392" s="1" t="s">
        <v>36</v>
      </c>
      <c r="AD3392" s="1" t="s">
        <v>11900</v>
      </c>
      <c r="AE3392" s="1" t="s">
        <v>32</v>
      </c>
      <c r="AF3392" s="1" t="s">
        <v>33</v>
      </c>
      <c r="AG3392" s="1" t="s">
        <v>180</v>
      </c>
    </row>
    <row r="3393" spans="1:33">
      <c r="A3393" t="s">
        <v>11903</v>
      </c>
      <c r="C3393" t="s">
        <v>7605</v>
      </c>
      <c r="E3393" t="s">
        <v>11609</v>
      </c>
      <c r="F3393" t="s">
        <v>11610</v>
      </c>
      <c r="G3393">
        <v>328.0</v>
      </c>
      <c r="H3393">
        <v>328.0</v>
      </c>
      <c r="I3393" t="s">
        <v>136</v>
      </c>
      <c r="J3393" t="s">
        <v>137</v>
      </c>
      <c r="K3393" t="s">
        <v>31</v>
      </c>
      <c r="L3393" t="s">
        <v>32</v>
      </c>
      <c r="M3393" t="s">
        <v>33</v>
      </c>
      <c r="P3393" s="1" t="s">
        <v>11904</v>
      </c>
      <c r="Q3393" s="1" t="s">
        <v>11609</v>
      </c>
      <c r="R3393" s="1" t="s">
        <v>11609</v>
      </c>
      <c r="S3393" s="1"/>
      <c r="T3393" s="1" t="s">
        <v>7605</v>
      </c>
      <c r="U3393" s="1"/>
      <c r="V3393" s="1">
        <v>328.0</v>
      </c>
      <c r="W3393" s="1">
        <v>328.0</v>
      </c>
      <c r="X3393" s="1" t="s">
        <v>35</v>
      </c>
      <c r="Y3393" s="1">
        <v>328000.0</v>
      </c>
      <c r="Z3393" s="1"/>
      <c r="AA3393" s="1">
        <v>328000.0</v>
      </c>
      <c r="AB3393" s="1"/>
      <c r="AC3393" s="1" t="s">
        <v>36</v>
      </c>
      <c r="AD3393" s="1" t="s">
        <v>11905</v>
      </c>
      <c r="AE3393" s="1" t="s">
        <v>32</v>
      </c>
      <c r="AF3393" s="1" t="s">
        <v>33</v>
      </c>
      <c r="AG3393" s="1" t="s">
        <v>137</v>
      </c>
    </row>
    <row r="3394" spans="1:33">
      <c r="A3394" t="s">
        <v>11906</v>
      </c>
      <c r="B3394">
        <v>675790221</v>
      </c>
      <c r="C3394" t="s">
        <v>9611</v>
      </c>
      <c r="E3394" t="s">
        <v>11609</v>
      </c>
      <c r="F3394" t="s">
        <v>11610</v>
      </c>
      <c r="G3394">
        <v>442.8</v>
      </c>
      <c r="H3394">
        <v>442.8</v>
      </c>
      <c r="I3394" t="s">
        <v>136</v>
      </c>
      <c r="J3394" t="s">
        <v>137</v>
      </c>
      <c r="K3394" t="s">
        <v>31</v>
      </c>
      <c r="L3394" t="s">
        <v>32</v>
      </c>
      <c r="M3394" t="s">
        <v>33</v>
      </c>
      <c r="P3394" s="1" t="s">
        <v>11907</v>
      </c>
      <c r="Q3394" s="1" t="s">
        <v>11609</v>
      </c>
      <c r="R3394" s="1" t="s">
        <v>11609</v>
      </c>
      <c r="S3394" s="1"/>
      <c r="T3394" s="1" t="s">
        <v>9615</v>
      </c>
      <c r="U3394" s="1" t="s">
        <v>9616</v>
      </c>
      <c r="V3394" s="1">
        <v>442.8</v>
      </c>
      <c r="W3394" s="1">
        <v>442.8</v>
      </c>
      <c r="X3394" s="1" t="s">
        <v>35</v>
      </c>
      <c r="Y3394" s="1">
        <v>442800.0</v>
      </c>
      <c r="Z3394" s="1"/>
      <c r="AA3394" s="1">
        <v>442800.0</v>
      </c>
      <c r="AB3394" s="1"/>
      <c r="AC3394" s="1" t="s">
        <v>36</v>
      </c>
      <c r="AD3394" s="1" t="s">
        <v>11908</v>
      </c>
      <c r="AE3394" s="1" t="s">
        <v>32</v>
      </c>
      <c r="AF3394" s="1" t="s">
        <v>33</v>
      </c>
      <c r="AG3394" s="1" t="s">
        <v>137</v>
      </c>
    </row>
    <row r="3395" spans="1:33">
      <c r="A3395" t="s">
        <v>11909</v>
      </c>
      <c r="C3395" t="s">
        <v>2617</v>
      </c>
      <c r="E3395" t="s">
        <v>11609</v>
      </c>
      <c r="F3395" t="s">
        <v>11610</v>
      </c>
      <c r="G3395">
        <v>1.056</v>
      </c>
      <c r="H3395">
        <v>1.056</v>
      </c>
      <c r="I3395" t="s">
        <v>179</v>
      </c>
      <c r="J3395" t="s">
        <v>180</v>
      </c>
      <c r="K3395" t="s">
        <v>31</v>
      </c>
      <c r="L3395" t="s">
        <v>32</v>
      </c>
      <c r="M3395" t="s">
        <v>33</v>
      </c>
      <c r="P3395" s="1" t="s">
        <v>11910</v>
      </c>
      <c r="Q3395" s="1" t="s">
        <v>11609</v>
      </c>
      <c r="R3395" s="1" t="s">
        <v>11609</v>
      </c>
      <c r="S3395" s="1"/>
      <c r="T3395" s="1" t="s">
        <v>2617</v>
      </c>
      <c r="U3395" s="1"/>
      <c r="V3395" s="1">
        <v>1.056</v>
      </c>
      <c r="W3395" s="1">
        <v>1.056</v>
      </c>
      <c r="X3395" s="1" t="s">
        <v>35</v>
      </c>
      <c r="Y3395" s="1">
        <v>1056000.0</v>
      </c>
      <c r="Z3395" s="1"/>
      <c r="AA3395" s="1">
        <v>1056000.0</v>
      </c>
      <c r="AB3395" s="1"/>
      <c r="AC3395" s="1" t="s">
        <v>36</v>
      </c>
      <c r="AD3395" s="1" t="s">
        <v>11911</v>
      </c>
      <c r="AE3395" s="1" t="s">
        <v>32</v>
      </c>
      <c r="AF3395" s="1" t="s">
        <v>33</v>
      </c>
      <c r="AG3395" s="1" t="s">
        <v>180</v>
      </c>
    </row>
    <row r="3396" spans="1:33">
      <c r="A3396" t="s">
        <v>11912</v>
      </c>
      <c r="C3396" t="s">
        <v>11789</v>
      </c>
      <c r="E3396" t="s">
        <v>11609</v>
      </c>
      <c r="F3396" t="s">
        <v>11610</v>
      </c>
      <c r="G3396">
        <v>950.0</v>
      </c>
      <c r="H3396">
        <v>950.0</v>
      </c>
      <c r="I3396" t="s">
        <v>173</v>
      </c>
      <c r="J3396" t="s">
        <v>174</v>
      </c>
      <c r="K3396" t="s">
        <v>31</v>
      </c>
      <c r="L3396" t="s">
        <v>32</v>
      </c>
      <c r="M3396" t="s">
        <v>33</v>
      </c>
      <c r="P3396" s="1" t="s">
        <v>11913</v>
      </c>
      <c r="Q3396" s="1" t="s">
        <v>11609</v>
      </c>
      <c r="R3396" s="1" t="s">
        <v>11609</v>
      </c>
      <c r="S3396" s="1"/>
      <c r="T3396" s="1" t="s">
        <v>11789</v>
      </c>
      <c r="U3396" s="1"/>
      <c r="V3396" s="1">
        <v>950.0</v>
      </c>
      <c r="W3396" s="1">
        <v>950.0</v>
      </c>
      <c r="X3396" s="1" t="s">
        <v>35</v>
      </c>
      <c r="Y3396" s="1">
        <v>953000.0</v>
      </c>
      <c r="Z3396" s="1">
        <v>-3000</v>
      </c>
      <c r="AA3396" s="1">
        <v>953000.0</v>
      </c>
      <c r="AB3396" s="1">
        <v>-3000</v>
      </c>
      <c r="AC3396" s="1" t="s">
        <v>36</v>
      </c>
      <c r="AD3396" s="1" t="s">
        <v>11914</v>
      </c>
      <c r="AE3396" s="1" t="s">
        <v>32</v>
      </c>
      <c r="AF3396" s="1" t="s">
        <v>33</v>
      </c>
      <c r="AG3396" s="1" t="s">
        <v>174</v>
      </c>
    </row>
    <row r="3397" spans="1:33">
      <c r="A3397" t="s">
        <v>11915</v>
      </c>
      <c r="B3397" t="s">
        <v>11916</v>
      </c>
      <c r="C3397" t="s">
        <v>314</v>
      </c>
      <c r="E3397" t="s">
        <v>11609</v>
      </c>
      <c r="F3397" t="s">
        <v>11610</v>
      </c>
      <c r="G3397">
        <v>21.689</v>
      </c>
      <c r="H3397">
        <v>21.689</v>
      </c>
      <c r="I3397" t="s">
        <v>179</v>
      </c>
      <c r="J3397" t="s">
        <v>180</v>
      </c>
      <c r="K3397" t="s">
        <v>31</v>
      </c>
      <c r="L3397" t="s">
        <v>32</v>
      </c>
      <c r="M3397" t="s">
        <v>33</v>
      </c>
      <c r="P3397" s="1" t="s">
        <v>11917</v>
      </c>
      <c r="Q3397" s="1" t="s">
        <v>11609</v>
      </c>
      <c r="R3397" s="1" t="s">
        <v>11609</v>
      </c>
      <c r="S3397" s="1"/>
      <c r="T3397" s="1" t="s">
        <v>314</v>
      </c>
      <c r="U3397" s="1"/>
      <c r="V3397" s="1">
        <v>21.689</v>
      </c>
      <c r="W3397" s="1">
        <v>21.689</v>
      </c>
      <c r="X3397" s="1" t="s">
        <v>35</v>
      </c>
      <c r="Y3397" s="1">
        <v>21689.0</v>
      </c>
      <c r="Z3397" s="1"/>
      <c r="AA3397" s="1">
        <v>21689.0</v>
      </c>
      <c r="AB3397" s="1"/>
      <c r="AC3397" s="1" t="s">
        <v>36</v>
      </c>
      <c r="AD3397" s="1" t="s">
        <v>11918</v>
      </c>
      <c r="AE3397" s="1" t="s">
        <v>32</v>
      </c>
      <c r="AF3397" s="1" t="s">
        <v>33</v>
      </c>
      <c r="AG3397" s="1" t="s">
        <v>180</v>
      </c>
    </row>
    <row r="3398" spans="1:33">
      <c r="A3398" t="s">
        <v>11919</v>
      </c>
      <c r="B3398" t="s">
        <v>11920</v>
      </c>
      <c r="C3398" t="s">
        <v>569</v>
      </c>
      <c r="E3398" t="s">
        <v>11609</v>
      </c>
      <c r="F3398" t="s">
        <v>11610</v>
      </c>
      <c r="G3398">
        <v>40.49</v>
      </c>
      <c r="H3398">
        <v>40.49</v>
      </c>
      <c r="I3398" t="s">
        <v>570</v>
      </c>
      <c r="J3398" t="s">
        <v>571</v>
      </c>
      <c r="K3398" t="s">
        <v>31</v>
      </c>
      <c r="L3398" t="s">
        <v>32</v>
      </c>
      <c r="M3398" t="s">
        <v>33</v>
      </c>
      <c r="P3398" s="1" t="s">
        <v>11921</v>
      </c>
      <c r="Q3398" s="1" t="s">
        <v>11609</v>
      </c>
      <c r="R3398" s="1" t="s">
        <v>11609</v>
      </c>
      <c r="S3398" s="1"/>
      <c r="T3398" s="1" t="s">
        <v>569</v>
      </c>
      <c r="U3398" s="1"/>
      <c r="V3398" s="1">
        <v>40.49</v>
      </c>
      <c r="W3398" s="1">
        <v>40.49</v>
      </c>
      <c r="X3398" s="1" t="s">
        <v>35</v>
      </c>
      <c r="Y3398" s="1">
        <v>40490.0</v>
      </c>
      <c r="Z3398" s="1"/>
      <c r="AA3398" s="1">
        <v>40490.0</v>
      </c>
      <c r="AB3398" s="1"/>
      <c r="AC3398" s="1" t="s">
        <v>36</v>
      </c>
      <c r="AD3398" s="1" t="s">
        <v>11922</v>
      </c>
      <c r="AE3398" s="1" t="s">
        <v>32</v>
      </c>
      <c r="AF3398" s="1" t="s">
        <v>33</v>
      </c>
      <c r="AG3398" s="1" t="s">
        <v>571</v>
      </c>
    </row>
    <row r="3399" spans="1:33">
      <c r="A3399" t="s">
        <v>11923</v>
      </c>
      <c r="B3399" t="s">
        <v>11924</v>
      </c>
      <c r="C3399" t="s">
        <v>11925</v>
      </c>
      <c r="E3399" t="s">
        <v>11609</v>
      </c>
      <c r="F3399" t="s">
        <v>11610</v>
      </c>
      <c r="G3399">
        <v>8.3</v>
      </c>
      <c r="H3399">
        <v>8.3</v>
      </c>
      <c r="I3399" t="s">
        <v>469</v>
      </c>
      <c r="J3399" t="s">
        <v>470</v>
      </c>
      <c r="K3399" t="s">
        <v>31</v>
      </c>
      <c r="L3399" t="s">
        <v>32</v>
      </c>
      <c r="M3399" t="s">
        <v>33</v>
      </c>
      <c r="P3399" s="1" t="s">
        <v>11926</v>
      </c>
      <c r="Q3399" s="1" t="s">
        <v>11609</v>
      </c>
      <c r="R3399" s="1" t="s">
        <v>10933</v>
      </c>
      <c r="S3399" s="1"/>
      <c r="T3399" s="1" t="s">
        <v>11927</v>
      </c>
      <c r="U3399" s="1" t="s">
        <v>473</v>
      </c>
      <c r="V3399" s="1">
        <v>8.3</v>
      </c>
      <c r="W3399" s="1">
        <v>8.3</v>
      </c>
      <c r="X3399" s="1" t="s">
        <v>35</v>
      </c>
      <c r="Y3399" s="1">
        <v>8300.0</v>
      </c>
      <c r="Z3399" s="1"/>
      <c r="AA3399" s="1">
        <v>8300.0</v>
      </c>
      <c r="AB3399" s="1"/>
      <c r="AC3399" s="1" t="s">
        <v>36</v>
      </c>
      <c r="AD3399" s="1" t="s">
        <v>11928</v>
      </c>
      <c r="AE3399" s="1" t="s">
        <v>32</v>
      </c>
      <c r="AF3399" s="1" t="s">
        <v>33</v>
      </c>
      <c r="AG3399" s="1" t="s">
        <v>470</v>
      </c>
    </row>
    <row r="3400" spans="1:33">
      <c r="A3400" t="s">
        <v>11929</v>
      </c>
      <c r="C3400" t="s">
        <v>8671</v>
      </c>
      <c r="D3400" t="s">
        <v>114</v>
      </c>
      <c r="E3400" t="s">
        <v>11609</v>
      </c>
      <c r="F3400" t="s">
        <v>11610</v>
      </c>
      <c r="G3400">
        <v>7.58</v>
      </c>
      <c r="H3400">
        <v>7.58</v>
      </c>
      <c r="I3400" t="s">
        <v>94</v>
      </c>
      <c r="J3400" t="s">
        <v>95</v>
      </c>
      <c r="K3400" t="s">
        <v>31</v>
      </c>
      <c r="L3400" t="s">
        <v>32</v>
      </c>
      <c r="M3400" t="s">
        <v>33</v>
      </c>
      <c r="P3400" s="1" t="s">
        <v>11930</v>
      </c>
      <c r="Q3400" s="1" t="s">
        <v>11609</v>
      </c>
      <c r="R3400" s="1" t="s">
        <v>11609</v>
      </c>
      <c r="S3400" s="1"/>
      <c r="T3400" s="1" t="s">
        <v>8673</v>
      </c>
      <c r="U3400" s="1" t="s">
        <v>8674</v>
      </c>
      <c r="V3400" s="1">
        <v>7.58</v>
      </c>
      <c r="W3400" s="1">
        <v>7.58</v>
      </c>
      <c r="X3400" s="1" t="s">
        <v>35</v>
      </c>
      <c r="Y3400" s="1">
        <v>7580.0</v>
      </c>
      <c r="Z3400" s="1"/>
      <c r="AA3400" s="1">
        <v>7580.0</v>
      </c>
      <c r="AB3400" s="1"/>
      <c r="AC3400" s="1" t="s">
        <v>36</v>
      </c>
      <c r="AD3400" s="1" t="s">
        <v>11931</v>
      </c>
      <c r="AE3400" s="1" t="s">
        <v>32</v>
      </c>
      <c r="AF3400" s="1" t="s">
        <v>33</v>
      </c>
      <c r="AG3400" s="1" t="s">
        <v>95</v>
      </c>
    </row>
    <row r="3401" spans="1:33">
      <c r="A3401" t="s">
        <v>11932</v>
      </c>
      <c r="B3401" t="s">
        <v>4730</v>
      </c>
      <c r="C3401" t="s">
        <v>268</v>
      </c>
      <c r="E3401" t="s">
        <v>11609</v>
      </c>
      <c r="F3401" t="s">
        <v>11610</v>
      </c>
      <c r="G3401">
        <v>53.65</v>
      </c>
      <c r="H3401">
        <v>53.65</v>
      </c>
      <c r="I3401" t="s">
        <v>269</v>
      </c>
      <c r="J3401" t="s">
        <v>270</v>
      </c>
      <c r="K3401" t="s">
        <v>31</v>
      </c>
      <c r="L3401" t="s">
        <v>32</v>
      </c>
      <c r="M3401" t="s">
        <v>33</v>
      </c>
      <c r="P3401" s="1" t="s">
        <v>11933</v>
      </c>
      <c r="Q3401" s="1" t="s">
        <v>11609</v>
      </c>
      <c r="R3401" s="1" t="s">
        <v>11609</v>
      </c>
      <c r="S3401" s="1"/>
      <c r="T3401" s="1" t="s">
        <v>268</v>
      </c>
      <c r="U3401" s="1"/>
      <c r="V3401" s="1">
        <v>53.65</v>
      </c>
      <c r="W3401" s="1">
        <v>53.65</v>
      </c>
      <c r="X3401" s="1" t="s">
        <v>35</v>
      </c>
      <c r="Y3401" s="1">
        <v>53650.0</v>
      </c>
      <c r="Z3401" s="1"/>
      <c r="AA3401" s="1">
        <v>53650.0</v>
      </c>
      <c r="AB3401" s="1"/>
      <c r="AC3401" s="1" t="s">
        <v>36</v>
      </c>
      <c r="AD3401" s="1" t="s">
        <v>11931</v>
      </c>
      <c r="AE3401" s="1" t="s">
        <v>32</v>
      </c>
      <c r="AF3401" s="1" t="s">
        <v>33</v>
      </c>
      <c r="AG3401" s="1" t="s">
        <v>270</v>
      </c>
    </row>
    <row r="3402" spans="1:33">
      <c r="A3402" t="s">
        <v>11934</v>
      </c>
      <c r="C3402" t="s">
        <v>5873</v>
      </c>
      <c r="D3402" t="s">
        <v>114</v>
      </c>
      <c r="E3402" t="s">
        <v>11609</v>
      </c>
      <c r="F3402" t="s">
        <v>11610</v>
      </c>
      <c r="G3402">
        <v>447.2</v>
      </c>
      <c r="H3402">
        <v>447.2</v>
      </c>
      <c r="I3402" t="s">
        <v>136</v>
      </c>
      <c r="J3402" t="s">
        <v>137</v>
      </c>
      <c r="K3402" t="s">
        <v>31</v>
      </c>
      <c r="L3402" t="s">
        <v>32</v>
      </c>
      <c r="M3402" t="s">
        <v>33</v>
      </c>
      <c r="P3402" s="1" t="s">
        <v>11935</v>
      </c>
      <c r="Q3402" s="1" t="s">
        <v>11609</v>
      </c>
      <c r="R3402" s="1" t="s">
        <v>11609</v>
      </c>
      <c r="S3402" s="1"/>
      <c r="T3402" s="1" t="s">
        <v>5873</v>
      </c>
      <c r="U3402" s="1"/>
      <c r="V3402" s="1">
        <v>447.2</v>
      </c>
      <c r="W3402" s="1">
        <v>447.2</v>
      </c>
      <c r="X3402" s="1" t="s">
        <v>35</v>
      </c>
      <c r="Y3402" s="1">
        <v>447200.0</v>
      </c>
      <c r="Z3402" s="1"/>
      <c r="AA3402" s="1">
        <v>447200.0</v>
      </c>
      <c r="AB3402" s="1"/>
      <c r="AC3402" s="1" t="s">
        <v>36</v>
      </c>
      <c r="AD3402" s="1" t="s">
        <v>11851</v>
      </c>
      <c r="AE3402" s="1" t="s">
        <v>32</v>
      </c>
      <c r="AF3402" s="1" t="s">
        <v>33</v>
      </c>
      <c r="AG3402" s="1" t="s">
        <v>137</v>
      </c>
    </row>
    <row r="3403" spans="1:33">
      <c r="A3403" t="s">
        <v>11936</v>
      </c>
      <c r="B3403" t="s">
        <v>1170</v>
      </c>
      <c r="C3403" t="s">
        <v>1171</v>
      </c>
      <c r="E3403" t="s">
        <v>11609</v>
      </c>
      <c r="F3403" t="s">
        <v>11610</v>
      </c>
      <c r="G3403">
        <v>698.0</v>
      </c>
      <c r="H3403">
        <v>698.0</v>
      </c>
      <c r="I3403" t="s">
        <v>529</v>
      </c>
      <c r="J3403" t="s">
        <v>530</v>
      </c>
      <c r="K3403" t="s">
        <v>31</v>
      </c>
      <c r="L3403" t="s">
        <v>32</v>
      </c>
      <c r="M3403" t="s">
        <v>33</v>
      </c>
      <c r="P3403" s="1" t="s">
        <v>11937</v>
      </c>
      <c r="Q3403" s="1" t="s">
        <v>11609</v>
      </c>
      <c r="R3403" s="1" t="s">
        <v>10933</v>
      </c>
      <c r="S3403" s="1"/>
      <c r="T3403" s="1" t="s">
        <v>1171</v>
      </c>
      <c r="U3403" s="1"/>
      <c r="V3403" s="1">
        <v>698.0</v>
      </c>
      <c r="W3403" s="1">
        <v>698.0</v>
      </c>
      <c r="X3403" s="1" t="s">
        <v>35</v>
      </c>
      <c r="Y3403" s="1">
        <v>698000.0</v>
      </c>
      <c r="Z3403" s="1"/>
      <c r="AA3403" s="1">
        <v>698000.0</v>
      </c>
      <c r="AB3403" s="1"/>
      <c r="AC3403" s="1" t="s">
        <v>36</v>
      </c>
      <c r="AD3403" s="1" t="s">
        <v>11938</v>
      </c>
      <c r="AE3403" s="1" t="s">
        <v>32</v>
      </c>
      <c r="AF3403" s="1" t="s">
        <v>33</v>
      </c>
      <c r="AG3403" s="1" t="s">
        <v>530</v>
      </c>
    </row>
    <row r="3404" spans="1:33">
      <c r="A3404" t="s">
        <v>11939</v>
      </c>
      <c r="B3404" t="s">
        <v>1560</v>
      </c>
      <c r="C3404" t="s">
        <v>1561</v>
      </c>
      <c r="D3404" t="s">
        <v>154</v>
      </c>
      <c r="E3404" t="s">
        <v>11609</v>
      </c>
      <c r="F3404" t="s">
        <v>11610</v>
      </c>
      <c r="G3404">
        <v>269.5</v>
      </c>
      <c r="H3404">
        <v>269.5</v>
      </c>
      <c r="I3404" t="s">
        <v>529</v>
      </c>
      <c r="J3404" t="s">
        <v>530</v>
      </c>
      <c r="K3404" t="s">
        <v>31</v>
      </c>
      <c r="L3404" t="s">
        <v>32</v>
      </c>
      <c r="M3404" t="s">
        <v>33</v>
      </c>
      <c r="P3404" s="1" t="s">
        <v>11940</v>
      </c>
      <c r="Q3404" s="1" t="s">
        <v>11609</v>
      </c>
      <c r="R3404" s="1" t="s">
        <v>10933</v>
      </c>
      <c r="S3404" s="1"/>
      <c r="T3404" s="1" t="s">
        <v>1564</v>
      </c>
      <c r="U3404" s="1" t="s">
        <v>1565</v>
      </c>
      <c r="V3404" s="1">
        <v>269.5</v>
      </c>
      <c r="W3404" s="1">
        <v>269.5</v>
      </c>
      <c r="X3404" s="1" t="s">
        <v>35</v>
      </c>
      <c r="Y3404" s="1">
        <v>269500.0</v>
      </c>
      <c r="Z3404" s="1"/>
      <c r="AA3404" s="1">
        <v>269500.0</v>
      </c>
      <c r="AB3404" s="1"/>
      <c r="AC3404" s="1" t="s">
        <v>36</v>
      </c>
      <c r="AD3404" s="1" t="s">
        <v>11941</v>
      </c>
      <c r="AE3404" s="1" t="s">
        <v>32</v>
      </c>
      <c r="AF3404" s="1" t="s">
        <v>33</v>
      </c>
      <c r="AG3404" s="1" t="s">
        <v>530</v>
      </c>
    </row>
    <row r="3405" spans="1:33">
      <c r="A3405" t="s">
        <v>11942</v>
      </c>
      <c r="B3405" t="s">
        <v>1924</v>
      </c>
      <c r="C3405" t="s">
        <v>268</v>
      </c>
      <c r="E3405" t="s">
        <v>11609</v>
      </c>
      <c r="F3405" t="s">
        <v>11610</v>
      </c>
      <c r="G3405">
        <v>49.75</v>
      </c>
      <c r="H3405">
        <v>49.75</v>
      </c>
      <c r="I3405" t="s">
        <v>269</v>
      </c>
      <c r="J3405" t="s">
        <v>270</v>
      </c>
      <c r="K3405" t="s">
        <v>31</v>
      </c>
      <c r="L3405" t="s">
        <v>32</v>
      </c>
      <c r="M3405" t="s">
        <v>33</v>
      </c>
      <c r="P3405" s="1" t="s">
        <v>11943</v>
      </c>
      <c r="Q3405" s="1" t="s">
        <v>11609</v>
      </c>
      <c r="R3405" s="1" t="s">
        <v>11609</v>
      </c>
      <c r="S3405" s="1"/>
      <c r="T3405" s="1" t="s">
        <v>268</v>
      </c>
      <c r="U3405" s="1"/>
      <c r="V3405" s="1">
        <v>49.75</v>
      </c>
      <c r="W3405" s="1">
        <v>49.75</v>
      </c>
      <c r="X3405" s="1" t="s">
        <v>35</v>
      </c>
      <c r="Y3405" s="1">
        <v>49750.0</v>
      </c>
      <c r="Z3405" s="1"/>
      <c r="AA3405" s="1">
        <v>49750.0</v>
      </c>
      <c r="AB3405" s="1"/>
      <c r="AC3405" s="1" t="s">
        <v>36</v>
      </c>
      <c r="AD3405" s="1" t="s">
        <v>11944</v>
      </c>
      <c r="AE3405" s="1" t="s">
        <v>32</v>
      </c>
      <c r="AF3405" s="1" t="s">
        <v>33</v>
      </c>
      <c r="AG3405" s="1" t="s">
        <v>270</v>
      </c>
    </row>
    <row r="3406" spans="1:33">
      <c r="A3406" t="s">
        <v>11945</v>
      </c>
      <c r="C3406" t="s">
        <v>4796</v>
      </c>
      <c r="E3406" t="s">
        <v>11609</v>
      </c>
      <c r="F3406" t="s">
        <v>11610</v>
      </c>
      <c r="G3406">
        <v>1.06</v>
      </c>
      <c r="H3406">
        <v>1.06</v>
      </c>
      <c r="I3406" t="s">
        <v>2206</v>
      </c>
      <c r="J3406" t="s">
        <v>49</v>
      </c>
      <c r="K3406" t="s">
        <v>31</v>
      </c>
      <c r="L3406" t="s">
        <v>32</v>
      </c>
      <c r="M3406" t="s">
        <v>33</v>
      </c>
      <c r="P3406" s="1" t="s">
        <v>11946</v>
      </c>
      <c r="Q3406" s="1" t="s">
        <v>11609</v>
      </c>
      <c r="R3406" s="1" t="s">
        <v>11609</v>
      </c>
      <c r="S3406" s="1"/>
      <c r="T3406" s="1" t="s">
        <v>4796</v>
      </c>
      <c r="U3406" s="1"/>
      <c r="V3406" s="1">
        <v>1.06</v>
      </c>
      <c r="W3406" s="1">
        <v>1.06</v>
      </c>
      <c r="X3406" s="1" t="s">
        <v>35</v>
      </c>
      <c r="Y3406" s="1">
        <v>1060000.0</v>
      </c>
      <c r="Z3406" s="1"/>
      <c r="AA3406" s="1">
        <v>1060000.0</v>
      </c>
      <c r="AB3406" s="1"/>
      <c r="AC3406" s="1" t="s">
        <v>36</v>
      </c>
      <c r="AD3406" s="1" t="s">
        <v>11944</v>
      </c>
      <c r="AE3406" s="1" t="s">
        <v>32</v>
      </c>
      <c r="AF3406" s="1" t="s">
        <v>33</v>
      </c>
      <c r="AG3406" s="1" t="s">
        <v>49</v>
      </c>
    </row>
    <row r="3407" spans="1:33">
      <c r="A3407" t="s">
        <v>11947</v>
      </c>
      <c r="B3407" t="s">
        <v>11948</v>
      </c>
      <c r="C3407" t="s">
        <v>47</v>
      </c>
      <c r="E3407" t="s">
        <v>11609</v>
      </c>
      <c r="F3407" t="s">
        <v>11610</v>
      </c>
      <c r="G3407">
        <v>7.497</v>
      </c>
      <c r="H3407">
        <v>7.497</v>
      </c>
      <c r="I3407" t="s">
        <v>2206</v>
      </c>
      <c r="J3407" t="s">
        <v>49</v>
      </c>
      <c r="K3407" t="s">
        <v>31</v>
      </c>
      <c r="L3407" t="s">
        <v>32</v>
      </c>
      <c r="M3407" t="s">
        <v>33</v>
      </c>
      <c r="P3407" s="1" t="s">
        <v>11949</v>
      </c>
      <c r="Q3407" s="1" t="s">
        <v>11609</v>
      </c>
      <c r="R3407" s="1" t="s">
        <v>11609</v>
      </c>
      <c r="S3407" s="1"/>
      <c r="T3407" s="1" t="s">
        <v>47</v>
      </c>
      <c r="U3407" s="1"/>
      <c r="V3407" s="1">
        <v>7.497</v>
      </c>
      <c r="W3407" s="1">
        <v>7.497</v>
      </c>
      <c r="X3407" s="1" t="s">
        <v>35</v>
      </c>
      <c r="Y3407" s="1">
        <v>7497.0</v>
      </c>
      <c r="Z3407" s="1"/>
      <c r="AA3407" s="1">
        <v>7497.0</v>
      </c>
      <c r="AB3407" s="1"/>
      <c r="AC3407" s="1" t="s">
        <v>36</v>
      </c>
      <c r="AD3407" s="1" t="s">
        <v>11950</v>
      </c>
      <c r="AE3407" s="1" t="s">
        <v>32</v>
      </c>
      <c r="AF3407" s="1" t="s">
        <v>33</v>
      </c>
      <c r="AG3407" s="1" t="s">
        <v>49</v>
      </c>
    </row>
    <row r="3408" spans="1:33">
      <c r="A3408" t="s">
        <v>11951</v>
      </c>
      <c r="C3408" t="s">
        <v>1739</v>
      </c>
      <c r="E3408" t="s">
        <v>11609</v>
      </c>
      <c r="F3408" t="s">
        <v>11610</v>
      </c>
      <c r="G3408">
        <v>189.0</v>
      </c>
      <c r="H3408">
        <v>189.0</v>
      </c>
      <c r="I3408" t="s">
        <v>2206</v>
      </c>
      <c r="J3408" t="s">
        <v>49</v>
      </c>
      <c r="K3408" t="s">
        <v>31</v>
      </c>
      <c r="L3408" t="s">
        <v>32</v>
      </c>
      <c r="M3408" t="s">
        <v>33</v>
      </c>
      <c r="P3408" s="1" t="s">
        <v>11952</v>
      </c>
      <c r="Q3408" s="1" t="s">
        <v>11609</v>
      </c>
      <c r="R3408" s="1" t="s">
        <v>11609</v>
      </c>
      <c r="S3408" s="1"/>
      <c r="T3408" s="1" t="s">
        <v>1739</v>
      </c>
      <c r="U3408" s="1"/>
      <c r="V3408" s="1">
        <v>189.0</v>
      </c>
      <c r="W3408" s="1">
        <v>189.0</v>
      </c>
      <c r="X3408" s="1" t="s">
        <v>35</v>
      </c>
      <c r="Y3408" s="1">
        <v>189000.0</v>
      </c>
      <c r="Z3408" s="1"/>
      <c r="AA3408" s="1">
        <v>189000.0</v>
      </c>
      <c r="AB3408" s="1"/>
      <c r="AC3408" s="1" t="s">
        <v>36</v>
      </c>
      <c r="AD3408" s="1" t="s">
        <v>11953</v>
      </c>
      <c r="AE3408" s="1" t="s">
        <v>32</v>
      </c>
      <c r="AF3408" s="1" t="s">
        <v>33</v>
      </c>
      <c r="AG3408" s="1" t="s">
        <v>49</v>
      </c>
    </row>
    <row r="3409" spans="1:33">
      <c r="A3409" t="s">
        <v>11954</v>
      </c>
      <c r="C3409" t="s">
        <v>1998</v>
      </c>
      <c r="E3409" t="s">
        <v>11609</v>
      </c>
      <c r="F3409" t="s">
        <v>11610</v>
      </c>
      <c r="G3409">
        <v>756.0</v>
      </c>
      <c r="H3409">
        <v>756.0</v>
      </c>
      <c r="I3409" t="s">
        <v>269</v>
      </c>
      <c r="J3409" t="s">
        <v>270</v>
      </c>
      <c r="K3409" t="s">
        <v>31</v>
      </c>
      <c r="L3409" t="s">
        <v>32</v>
      </c>
      <c r="M3409" t="s">
        <v>33</v>
      </c>
      <c r="P3409" s="1" t="s">
        <v>11955</v>
      </c>
      <c r="Q3409" s="1" t="s">
        <v>11609</v>
      </c>
      <c r="R3409" s="1" t="s">
        <v>11609</v>
      </c>
      <c r="S3409" s="1"/>
      <c r="T3409" s="1" t="s">
        <v>2000</v>
      </c>
      <c r="U3409" s="1" t="s">
        <v>2001</v>
      </c>
      <c r="V3409" s="1">
        <v>756.0</v>
      </c>
      <c r="W3409" s="1">
        <v>756.0</v>
      </c>
      <c r="X3409" s="1" t="s">
        <v>35</v>
      </c>
      <c r="Y3409" s="1">
        <v>756000.0</v>
      </c>
      <c r="Z3409" s="1"/>
      <c r="AA3409" s="1">
        <v>756000.0</v>
      </c>
      <c r="AB3409" s="1"/>
      <c r="AC3409" s="1" t="s">
        <v>36</v>
      </c>
      <c r="AD3409" s="1" t="s">
        <v>11956</v>
      </c>
      <c r="AE3409" s="1" t="s">
        <v>32</v>
      </c>
      <c r="AF3409" s="1" t="s">
        <v>33</v>
      </c>
      <c r="AG3409" s="1" t="s">
        <v>270</v>
      </c>
    </row>
    <row r="3410" spans="1:33">
      <c r="A3410" t="s">
        <v>11957</v>
      </c>
      <c r="B3410" t="s">
        <v>6080</v>
      </c>
      <c r="C3410" t="s">
        <v>314</v>
      </c>
      <c r="E3410" t="s">
        <v>11609</v>
      </c>
      <c r="F3410" t="s">
        <v>11610</v>
      </c>
      <c r="G3410">
        <v>8.436</v>
      </c>
      <c r="H3410">
        <v>8.436</v>
      </c>
      <c r="I3410" t="s">
        <v>179</v>
      </c>
      <c r="J3410" t="s">
        <v>180</v>
      </c>
      <c r="K3410" t="s">
        <v>31</v>
      </c>
      <c r="L3410" t="s">
        <v>32</v>
      </c>
      <c r="M3410" t="s">
        <v>33</v>
      </c>
      <c r="P3410" s="1" t="s">
        <v>11958</v>
      </c>
      <c r="Q3410" s="1" t="s">
        <v>11609</v>
      </c>
      <c r="R3410" s="1" t="s">
        <v>11609</v>
      </c>
      <c r="S3410" s="1"/>
      <c r="T3410" s="1" t="s">
        <v>314</v>
      </c>
      <c r="U3410" s="1"/>
      <c r="V3410" s="1">
        <v>8.436</v>
      </c>
      <c r="W3410" s="1">
        <v>8.436</v>
      </c>
      <c r="X3410" s="1" t="s">
        <v>35</v>
      </c>
      <c r="Y3410" s="1">
        <v>8436.0</v>
      </c>
      <c r="Z3410" s="1"/>
      <c r="AA3410" s="1">
        <v>8436.0</v>
      </c>
      <c r="AB3410" s="1"/>
      <c r="AC3410" s="1" t="s">
        <v>36</v>
      </c>
      <c r="AD3410" s="1" t="s">
        <v>11959</v>
      </c>
      <c r="AE3410" s="1" t="s">
        <v>32</v>
      </c>
      <c r="AF3410" s="1" t="s">
        <v>33</v>
      </c>
      <c r="AG3410" s="1" t="s">
        <v>180</v>
      </c>
    </row>
    <row r="3411" spans="1:33">
      <c r="A3411" t="s">
        <v>11960</v>
      </c>
      <c r="B3411" t="s">
        <v>11961</v>
      </c>
      <c r="C3411" t="s">
        <v>172</v>
      </c>
      <c r="E3411" t="s">
        <v>11609</v>
      </c>
      <c r="F3411" t="s">
        <v>11610</v>
      </c>
      <c r="G3411">
        <v>21.99</v>
      </c>
      <c r="H3411">
        <v>21.99</v>
      </c>
      <c r="I3411" t="s">
        <v>173</v>
      </c>
      <c r="J3411" t="s">
        <v>174</v>
      </c>
      <c r="K3411" t="s">
        <v>31</v>
      </c>
      <c r="L3411" t="s">
        <v>32</v>
      </c>
      <c r="M3411" t="s">
        <v>33</v>
      </c>
      <c r="P3411" s="1" t="s">
        <v>11962</v>
      </c>
      <c r="Q3411" s="1" t="s">
        <v>11609</v>
      </c>
      <c r="R3411" s="1" t="s">
        <v>11609</v>
      </c>
      <c r="S3411" s="1"/>
      <c r="T3411" s="1" t="s">
        <v>172</v>
      </c>
      <c r="U3411" s="1"/>
      <c r="V3411" s="1">
        <v>21.99</v>
      </c>
      <c r="W3411" s="1">
        <v>21.99</v>
      </c>
      <c r="X3411" s="1" t="s">
        <v>35</v>
      </c>
      <c r="Y3411" s="1">
        <v>21990.0</v>
      </c>
      <c r="Z3411" s="1"/>
      <c r="AA3411" s="1">
        <v>21990.0</v>
      </c>
      <c r="AB3411" s="1"/>
      <c r="AC3411" s="1" t="s">
        <v>36</v>
      </c>
      <c r="AD3411" s="1" t="s">
        <v>11963</v>
      </c>
      <c r="AE3411" s="1" t="s">
        <v>32</v>
      </c>
      <c r="AF3411" s="1" t="s">
        <v>33</v>
      </c>
      <c r="AG3411" s="1" t="s">
        <v>174</v>
      </c>
    </row>
    <row r="3412" spans="1:33">
      <c r="A3412" t="s">
        <v>11964</v>
      </c>
      <c r="B3412" t="s">
        <v>4058</v>
      </c>
      <c r="C3412" t="s">
        <v>4059</v>
      </c>
      <c r="E3412" t="s">
        <v>11609</v>
      </c>
      <c r="F3412" t="s">
        <v>11610</v>
      </c>
      <c r="G3412">
        <v>336.0</v>
      </c>
      <c r="H3412">
        <v>336.0</v>
      </c>
      <c r="I3412" t="s">
        <v>29</v>
      </c>
      <c r="J3412" t="s">
        <v>30</v>
      </c>
      <c r="K3412" t="s">
        <v>31</v>
      </c>
      <c r="L3412" t="s">
        <v>32</v>
      </c>
      <c r="M3412" t="s">
        <v>33</v>
      </c>
      <c r="P3412" s="1" t="s">
        <v>11965</v>
      </c>
      <c r="Q3412" s="1" t="s">
        <v>11609</v>
      </c>
      <c r="R3412" s="1" t="s">
        <v>11609</v>
      </c>
      <c r="S3412" s="1"/>
      <c r="T3412" s="1" t="s">
        <v>4059</v>
      </c>
      <c r="U3412" s="1"/>
      <c r="V3412" s="1">
        <v>336.0</v>
      </c>
      <c r="W3412" s="1">
        <v>336.0</v>
      </c>
      <c r="X3412" s="1" t="s">
        <v>35</v>
      </c>
      <c r="Y3412" s="1">
        <v>336000.0</v>
      </c>
      <c r="Z3412" s="1"/>
      <c r="AA3412" s="1">
        <v>336000.0</v>
      </c>
      <c r="AB3412" s="1"/>
      <c r="AC3412" s="1" t="s">
        <v>36</v>
      </c>
      <c r="AD3412" s="1" t="s">
        <v>11963</v>
      </c>
      <c r="AE3412" s="1" t="s">
        <v>32</v>
      </c>
      <c r="AF3412" s="1" t="s">
        <v>33</v>
      </c>
      <c r="AG3412" s="1" t="s">
        <v>30</v>
      </c>
    </row>
    <row r="3413" spans="1:33">
      <c r="A3413" t="s">
        <v>11966</v>
      </c>
      <c r="B3413" t="s">
        <v>11967</v>
      </c>
      <c r="C3413" t="s">
        <v>172</v>
      </c>
      <c r="E3413" t="s">
        <v>11609</v>
      </c>
      <c r="F3413" t="s">
        <v>11610</v>
      </c>
      <c r="G3413">
        <v>61.97</v>
      </c>
      <c r="H3413">
        <v>61.97</v>
      </c>
      <c r="I3413" t="s">
        <v>173</v>
      </c>
      <c r="J3413" t="s">
        <v>174</v>
      </c>
      <c r="K3413" t="s">
        <v>31</v>
      </c>
      <c r="L3413" t="s">
        <v>32</v>
      </c>
      <c r="M3413" t="s">
        <v>33</v>
      </c>
      <c r="P3413" s="1" t="s">
        <v>11968</v>
      </c>
      <c r="Q3413" s="1" t="s">
        <v>11609</v>
      </c>
      <c r="R3413" s="1" t="s">
        <v>11609</v>
      </c>
      <c r="S3413" s="1"/>
      <c r="T3413" s="1" t="s">
        <v>172</v>
      </c>
      <c r="U3413" s="1"/>
      <c r="V3413" s="1">
        <v>61.97</v>
      </c>
      <c r="W3413" s="1">
        <v>61.97</v>
      </c>
      <c r="X3413" s="1" t="s">
        <v>35</v>
      </c>
      <c r="Y3413" s="1">
        <v>61970.0</v>
      </c>
      <c r="Z3413" s="1"/>
      <c r="AA3413" s="1">
        <v>61970.0</v>
      </c>
      <c r="AB3413" s="1"/>
      <c r="AC3413" s="1" t="s">
        <v>36</v>
      </c>
      <c r="AD3413" s="1" t="s">
        <v>11969</v>
      </c>
      <c r="AE3413" s="1" t="s">
        <v>32</v>
      </c>
      <c r="AF3413" s="1" t="s">
        <v>33</v>
      </c>
      <c r="AG3413" s="1" t="s">
        <v>174</v>
      </c>
    </row>
    <row r="3414" spans="1:33">
      <c r="A3414" t="s">
        <v>11970</v>
      </c>
      <c r="B3414" t="s">
        <v>3904</v>
      </c>
      <c r="C3414" t="s">
        <v>314</v>
      </c>
      <c r="E3414" t="s">
        <v>11609</v>
      </c>
      <c r="F3414" t="s">
        <v>11610</v>
      </c>
      <c r="G3414">
        <v>37.49</v>
      </c>
      <c r="H3414">
        <v>37.49</v>
      </c>
      <c r="I3414" t="s">
        <v>179</v>
      </c>
      <c r="J3414" t="s">
        <v>180</v>
      </c>
      <c r="K3414" t="s">
        <v>31</v>
      </c>
      <c r="L3414" t="s">
        <v>32</v>
      </c>
      <c r="M3414" t="s">
        <v>33</v>
      </c>
      <c r="P3414" s="1" t="s">
        <v>11971</v>
      </c>
      <c r="Q3414" s="1" t="s">
        <v>11609</v>
      </c>
      <c r="R3414" s="1" t="s">
        <v>11609</v>
      </c>
      <c r="S3414" s="1"/>
      <c r="T3414" s="1" t="s">
        <v>314</v>
      </c>
      <c r="U3414" s="1"/>
      <c r="V3414" s="1">
        <v>37.49</v>
      </c>
      <c r="W3414" s="1">
        <v>37.49</v>
      </c>
      <c r="X3414" s="1" t="s">
        <v>35</v>
      </c>
      <c r="Y3414" s="1">
        <v>37490.0</v>
      </c>
      <c r="Z3414" s="1"/>
      <c r="AA3414" s="1">
        <v>37490.0</v>
      </c>
      <c r="AB3414" s="1"/>
      <c r="AC3414" s="1" t="s">
        <v>36</v>
      </c>
      <c r="AD3414" s="1" t="s">
        <v>11972</v>
      </c>
      <c r="AE3414" s="1" t="s">
        <v>32</v>
      </c>
      <c r="AF3414" s="1" t="s">
        <v>33</v>
      </c>
      <c r="AG3414" s="1" t="s">
        <v>180</v>
      </c>
    </row>
    <row r="3415" spans="1:33">
      <c r="A3415" t="s">
        <v>11973</v>
      </c>
      <c r="B3415" t="s">
        <v>11974</v>
      </c>
      <c r="C3415" t="s">
        <v>314</v>
      </c>
      <c r="E3415" t="s">
        <v>11609</v>
      </c>
      <c r="F3415" t="s">
        <v>11610</v>
      </c>
      <c r="G3415">
        <v>40.99</v>
      </c>
      <c r="H3415">
        <v>40.99</v>
      </c>
      <c r="I3415" t="s">
        <v>179</v>
      </c>
      <c r="J3415" t="s">
        <v>180</v>
      </c>
      <c r="K3415" t="s">
        <v>31</v>
      </c>
      <c r="L3415" t="s">
        <v>32</v>
      </c>
      <c r="M3415" t="s">
        <v>33</v>
      </c>
      <c r="P3415" s="1" t="s">
        <v>11975</v>
      </c>
      <c r="Q3415" s="1" t="s">
        <v>11609</v>
      </c>
      <c r="R3415" s="1" t="s">
        <v>11609</v>
      </c>
      <c r="S3415" s="1"/>
      <c r="T3415" s="1" t="s">
        <v>314</v>
      </c>
      <c r="U3415" s="1"/>
      <c r="V3415" s="1">
        <v>40.99</v>
      </c>
      <c r="W3415" s="1">
        <v>40.99</v>
      </c>
      <c r="X3415" s="1" t="s">
        <v>35</v>
      </c>
      <c r="Y3415" s="1">
        <v>40990.0</v>
      </c>
      <c r="Z3415" s="1"/>
      <c r="AA3415" s="1">
        <v>40990.0</v>
      </c>
      <c r="AB3415" s="1"/>
      <c r="AC3415" s="1" t="s">
        <v>36</v>
      </c>
      <c r="AD3415" s="1" t="s">
        <v>11976</v>
      </c>
      <c r="AE3415" s="1" t="s">
        <v>32</v>
      </c>
      <c r="AF3415" s="1" t="s">
        <v>33</v>
      </c>
      <c r="AG3415" s="1" t="s">
        <v>180</v>
      </c>
    </row>
    <row r="3416" spans="1:33">
      <c r="A3416" t="s">
        <v>11977</v>
      </c>
      <c r="B3416" t="s">
        <v>11978</v>
      </c>
      <c r="C3416" t="s">
        <v>47</v>
      </c>
      <c r="E3416" t="s">
        <v>11609</v>
      </c>
      <c r="F3416" t="s">
        <v>11610</v>
      </c>
      <c r="G3416">
        <v>38.98</v>
      </c>
      <c r="H3416">
        <v>38.98</v>
      </c>
      <c r="I3416" t="s">
        <v>2206</v>
      </c>
      <c r="J3416" t="s">
        <v>49</v>
      </c>
      <c r="K3416" t="s">
        <v>31</v>
      </c>
      <c r="L3416" t="s">
        <v>32</v>
      </c>
      <c r="M3416" t="s">
        <v>33</v>
      </c>
      <c r="P3416" s="1" t="s">
        <v>11979</v>
      </c>
      <c r="Q3416" s="1" t="s">
        <v>11609</v>
      </c>
      <c r="R3416" s="1" t="s">
        <v>11609</v>
      </c>
      <c r="S3416" s="1"/>
      <c r="T3416" s="1" t="s">
        <v>47</v>
      </c>
      <c r="U3416" s="1"/>
      <c r="V3416" s="1">
        <v>38.98</v>
      </c>
      <c r="W3416" s="1">
        <v>38.98</v>
      </c>
      <c r="X3416" s="1" t="s">
        <v>35</v>
      </c>
      <c r="Y3416" s="1">
        <v>38980.0</v>
      </c>
      <c r="Z3416" s="1"/>
      <c r="AA3416" s="1">
        <v>38980.0</v>
      </c>
      <c r="AB3416" s="1"/>
      <c r="AC3416" s="1" t="s">
        <v>36</v>
      </c>
      <c r="AD3416" s="1" t="s">
        <v>11980</v>
      </c>
      <c r="AE3416" s="1" t="s">
        <v>32</v>
      </c>
      <c r="AF3416" s="1" t="s">
        <v>33</v>
      </c>
      <c r="AG3416" s="1" t="s">
        <v>49</v>
      </c>
    </row>
    <row r="3417" spans="1:33">
      <c r="A3417" t="s">
        <v>11981</v>
      </c>
      <c r="C3417" t="s">
        <v>3521</v>
      </c>
      <c r="D3417" t="s">
        <v>114</v>
      </c>
      <c r="E3417" t="s">
        <v>11609</v>
      </c>
      <c r="F3417" t="s">
        <v>11610</v>
      </c>
      <c r="G3417">
        <v>938.0</v>
      </c>
      <c r="H3417">
        <v>938.0</v>
      </c>
      <c r="I3417" t="s">
        <v>2206</v>
      </c>
      <c r="J3417" t="s">
        <v>49</v>
      </c>
      <c r="K3417" t="s">
        <v>31</v>
      </c>
      <c r="L3417" t="s">
        <v>32</v>
      </c>
      <c r="M3417" t="s">
        <v>33</v>
      </c>
      <c r="P3417" s="1" t="s">
        <v>11982</v>
      </c>
      <c r="Q3417" s="1" t="s">
        <v>11609</v>
      </c>
      <c r="R3417" s="1" t="s">
        <v>11609</v>
      </c>
      <c r="S3417" s="1"/>
      <c r="T3417" s="1" t="s">
        <v>3523</v>
      </c>
      <c r="U3417" s="1" t="s">
        <v>3524</v>
      </c>
      <c r="V3417" s="1">
        <v>938.0</v>
      </c>
      <c r="W3417" s="1">
        <v>938.0</v>
      </c>
      <c r="X3417" s="1" t="s">
        <v>35</v>
      </c>
      <c r="Y3417" s="1">
        <v>938000.0</v>
      </c>
      <c r="Z3417" s="1"/>
      <c r="AA3417" s="1">
        <v>938000.0</v>
      </c>
      <c r="AB3417" s="1"/>
      <c r="AC3417" s="1" t="s">
        <v>36</v>
      </c>
      <c r="AD3417" s="1" t="s">
        <v>11983</v>
      </c>
      <c r="AE3417" s="1" t="s">
        <v>32</v>
      </c>
      <c r="AF3417" s="1" t="s">
        <v>33</v>
      </c>
      <c r="AG3417" s="1" t="s">
        <v>49</v>
      </c>
    </row>
    <row r="3418" spans="1:33">
      <c r="A3418" t="s">
        <v>11984</v>
      </c>
      <c r="C3418" t="s">
        <v>918</v>
      </c>
      <c r="E3418" t="s">
        <v>11609</v>
      </c>
      <c r="F3418" t="s">
        <v>11610</v>
      </c>
      <c r="G3418">
        <v>539.5</v>
      </c>
      <c r="H3418">
        <v>539.5</v>
      </c>
      <c r="I3418" t="s">
        <v>2206</v>
      </c>
      <c r="J3418" t="s">
        <v>49</v>
      </c>
      <c r="K3418" t="s">
        <v>31</v>
      </c>
      <c r="L3418" t="s">
        <v>32</v>
      </c>
      <c r="M3418" t="s">
        <v>33</v>
      </c>
      <c r="P3418" s="1" t="s">
        <v>11985</v>
      </c>
      <c r="Q3418" s="1" t="s">
        <v>11609</v>
      </c>
      <c r="R3418" s="1" t="s">
        <v>11609</v>
      </c>
      <c r="S3418" s="1"/>
      <c r="T3418" s="1" t="s">
        <v>918</v>
      </c>
      <c r="U3418" s="1"/>
      <c r="V3418" s="1">
        <v>539.5</v>
      </c>
      <c r="W3418" s="1">
        <v>539.5</v>
      </c>
      <c r="X3418" s="1" t="s">
        <v>35</v>
      </c>
      <c r="Y3418" s="1">
        <v>539500.0</v>
      </c>
      <c r="Z3418" s="1"/>
      <c r="AA3418" s="1">
        <v>539500.0</v>
      </c>
      <c r="AB3418" s="1"/>
      <c r="AC3418" s="1" t="s">
        <v>36</v>
      </c>
      <c r="AD3418" s="1" t="s">
        <v>11986</v>
      </c>
      <c r="AE3418" s="1" t="s">
        <v>32</v>
      </c>
      <c r="AF3418" s="1" t="s">
        <v>33</v>
      </c>
      <c r="AG3418" s="1" t="s">
        <v>49</v>
      </c>
    </row>
    <row r="3419" spans="1:33">
      <c r="A3419" t="s">
        <v>11987</v>
      </c>
      <c r="C3419" t="s">
        <v>1732</v>
      </c>
      <c r="E3419" t="s">
        <v>11609</v>
      </c>
      <c r="F3419" t="s">
        <v>11610</v>
      </c>
      <c r="G3419">
        <v>1.796</v>
      </c>
      <c r="H3419">
        <v>1.796</v>
      </c>
      <c r="I3419" t="s">
        <v>94</v>
      </c>
      <c r="J3419" t="s">
        <v>95</v>
      </c>
      <c r="K3419" t="s">
        <v>31</v>
      </c>
      <c r="L3419" t="s">
        <v>32</v>
      </c>
      <c r="M3419" t="s">
        <v>33</v>
      </c>
      <c r="P3419" s="1" t="s">
        <v>11988</v>
      </c>
      <c r="Q3419" s="1" t="s">
        <v>11609</v>
      </c>
      <c r="R3419" s="1" t="s">
        <v>11609</v>
      </c>
      <c r="S3419" s="1"/>
      <c r="T3419" s="1" t="s">
        <v>1732</v>
      </c>
      <c r="U3419" s="1"/>
      <c r="V3419" s="1">
        <v>1.796</v>
      </c>
      <c r="W3419" s="1">
        <v>1.796</v>
      </c>
      <c r="X3419" s="1" t="s">
        <v>35</v>
      </c>
      <c r="Y3419" s="1">
        <v>1796750.0</v>
      </c>
      <c r="Z3419" s="1"/>
      <c r="AA3419" s="1">
        <v>1796750.0</v>
      </c>
      <c r="AB3419" s="1"/>
      <c r="AC3419" s="1" t="s">
        <v>36</v>
      </c>
      <c r="AD3419" s="1" t="s">
        <v>11989</v>
      </c>
      <c r="AE3419" s="1" t="s">
        <v>32</v>
      </c>
      <c r="AF3419" s="1" t="s">
        <v>33</v>
      </c>
      <c r="AG3419" s="1" t="s">
        <v>95</v>
      </c>
    </row>
    <row r="3420" spans="1:33">
      <c r="A3420" t="s">
        <v>11990</v>
      </c>
      <c r="B3420" t="s">
        <v>11991</v>
      </c>
      <c r="C3420" t="s">
        <v>569</v>
      </c>
      <c r="E3420" t="s">
        <v>11609</v>
      </c>
      <c r="F3420" t="s">
        <v>11610</v>
      </c>
      <c r="G3420">
        <v>8.947</v>
      </c>
      <c r="H3420">
        <v>8.947</v>
      </c>
      <c r="I3420" t="s">
        <v>570</v>
      </c>
      <c r="J3420" t="s">
        <v>571</v>
      </c>
      <c r="K3420" t="s">
        <v>31</v>
      </c>
      <c r="L3420" t="s">
        <v>32</v>
      </c>
      <c r="M3420" t="s">
        <v>33</v>
      </c>
      <c r="P3420" s="1" t="s">
        <v>11992</v>
      </c>
      <c r="Q3420" s="1" t="s">
        <v>11609</v>
      </c>
      <c r="R3420" s="1" t="s">
        <v>11609</v>
      </c>
      <c r="S3420" s="1"/>
      <c r="T3420" s="1" t="s">
        <v>569</v>
      </c>
      <c r="U3420" s="1"/>
      <c r="V3420" s="1">
        <v>8.947</v>
      </c>
      <c r="W3420" s="1">
        <v>8.947</v>
      </c>
      <c r="X3420" s="1" t="s">
        <v>35</v>
      </c>
      <c r="Y3420" s="1">
        <v>8957.0</v>
      </c>
      <c r="Z3420" s="1">
        <v>-10</v>
      </c>
      <c r="AA3420" s="1">
        <v>8957.0</v>
      </c>
      <c r="AB3420" s="1">
        <v>-10</v>
      </c>
      <c r="AC3420" s="1" t="s">
        <v>36</v>
      </c>
      <c r="AD3420" s="1" t="s">
        <v>11993</v>
      </c>
      <c r="AE3420" s="1" t="s">
        <v>32</v>
      </c>
      <c r="AF3420" s="1" t="s">
        <v>33</v>
      </c>
      <c r="AG3420" s="1" t="s">
        <v>571</v>
      </c>
    </row>
    <row r="3421" spans="1:33">
      <c r="A3421" t="s">
        <v>11994</v>
      </c>
      <c r="C3421" t="s">
        <v>8067</v>
      </c>
      <c r="E3421" t="s">
        <v>11609</v>
      </c>
      <c r="F3421" t="s">
        <v>10938</v>
      </c>
      <c r="G3421">
        <v>352.0</v>
      </c>
      <c r="H3421">
        <v>352.0</v>
      </c>
      <c r="I3421" t="s">
        <v>179</v>
      </c>
      <c r="J3421" t="s">
        <v>180</v>
      </c>
      <c r="K3421" t="s">
        <v>31</v>
      </c>
      <c r="L3421" t="s">
        <v>32</v>
      </c>
      <c r="M3421" t="s">
        <v>33</v>
      </c>
      <c r="P3421" s="1" t="s">
        <v>11995</v>
      </c>
      <c r="Q3421" s="1" t="s">
        <v>11609</v>
      </c>
      <c r="R3421" s="1" t="s">
        <v>11609</v>
      </c>
      <c r="S3421" s="1"/>
      <c r="T3421" s="1" t="s">
        <v>8067</v>
      </c>
      <c r="U3421" s="1"/>
      <c r="V3421" s="1">
        <v>352.0</v>
      </c>
      <c r="W3421" s="1">
        <v>352.0</v>
      </c>
      <c r="X3421" s="1" t="s">
        <v>35</v>
      </c>
      <c r="Y3421" s="1">
        <v>352000.0</v>
      </c>
      <c r="Z3421" s="1"/>
      <c r="AA3421" s="1">
        <v>352000.0</v>
      </c>
      <c r="AB3421" s="1"/>
      <c r="AC3421" s="1" t="s">
        <v>36</v>
      </c>
      <c r="AD3421" s="1" t="s">
        <v>11996</v>
      </c>
      <c r="AE3421" s="1" t="s">
        <v>32</v>
      </c>
      <c r="AF3421" s="1" t="s">
        <v>33</v>
      </c>
      <c r="AG3421" s="1" t="s">
        <v>180</v>
      </c>
    </row>
    <row r="3422" spans="1:33">
      <c r="A3422" t="s">
        <v>11997</v>
      </c>
      <c r="C3422" t="s">
        <v>6672</v>
      </c>
      <c r="D3422" t="s">
        <v>154</v>
      </c>
      <c r="E3422" t="s">
        <v>11609</v>
      </c>
      <c r="F3422" t="s">
        <v>11610</v>
      </c>
      <c r="G3422">
        <v>720.0</v>
      </c>
      <c r="H3422">
        <v>720.0</v>
      </c>
      <c r="I3422" t="s">
        <v>227</v>
      </c>
      <c r="J3422" t="s">
        <v>228</v>
      </c>
      <c r="K3422" t="s">
        <v>31</v>
      </c>
      <c r="L3422" t="s">
        <v>32</v>
      </c>
      <c r="M3422" t="s">
        <v>33</v>
      </c>
      <c r="P3422" s="1" t="s">
        <v>11998</v>
      </c>
      <c r="Q3422" s="1" t="s">
        <v>11609</v>
      </c>
      <c r="R3422" s="1" t="s">
        <v>11609</v>
      </c>
      <c r="S3422" s="1"/>
      <c r="T3422" s="1" t="s">
        <v>6672</v>
      </c>
      <c r="U3422" s="1"/>
      <c r="V3422" s="1">
        <v>720.0</v>
      </c>
      <c r="W3422" s="1">
        <v>720.0</v>
      </c>
      <c r="X3422" s="1" t="s">
        <v>35</v>
      </c>
      <c r="Y3422" s="1">
        <v>720000.0</v>
      </c>
      <c r="Z3422" s="1"/>
      <c r="AA3422" s="1">
        <v>720000.0</v>
      </c>
      <c r="AB3422" s="1"/>
      <c r="AC3422" s="1" t="s">
        <v>36</v>
      </c>
      <c r="AD3422" s="1" t="s">
        <v>11999</v>
      </c>
      <c r="AE3422" s="1" t="s">
        <v>32</v>
      </c>
      <c r="AF3422" s="1" t="s">
        <v>33</v>
      </c>
      <c r="AG3422" s="1" t="s">
        <v>228</v>
      </c>
    </row>
    <row r="3423" spans="1:33">
      <c r="A3423" t="s">
        <v>12000</v>
      </c>
      <c r="C3423" t="s">
        <v>12001</v>
      </c>
      <c r="D3423" t="s">
        <v>114</v>
      </c>
      <c r="E3423" t="s">
        <v>11609</v>
      </c>
      <c r="F3423" t="s">
        <v>11610</v>
      </c>
      <c r="G3423">
        <v>987.5</v>
      </c>
      <c r="H3423">
        <v>987.5</v>
      </c>
      <c r="I3423" t="s">
        <v>126</v>
      </c>
      <c r="J3423" t="s">
        <v>127</v>
      </c>
      <c r="K3423" t="s">
        <v>31</v>
      </c>
      <c r="L3423" t="s">
        <v>32</v>
      </c>
      <c r="M3423" t="s">
        <v>33</v>
      </c>
      <c r="P3423" s="1" t="s">
        <v>12002</v>
      </c>
      <c r="Q3423" s="1" t="s">
        <v>11609</v>
      </c>
      <c r="R3423" s="1" t="s">
        <v>11609</v>
      </c>
      <c r="S3423" s="1"/>
      <c r="T3423" s="1" t="s">
        <v>12001</v>
      </c>
      <c r="U3423" s="1"/>
      <c r="V3423" s="1">
        <v>987.5</v>
      </c>
      <c r="W3423" s="1">
        <v>987.5</v>
      </c>
      <c r="X3423" s="1" t="s">
        <v>35</v>
      </c>
      <c r="Y3423" s="1">
        <v>987500.0</v>
      </c>
      <c r="Z3423" s="1"/>
      <c r="AA3423" s="1">
        <v>987500.0</v>
      </c>
      <c r="AB3423" s="1"/>
      <c r="AC3423" s="1" t="s">
        <v>36</v>
      </c>
      <c r="AD3423" s="1" t="s">
        <v>12003</v>
      </c>
      <c r="AE3423" s="1" t="s">
        <v>32</v>
      </c>
      <c r="AF3423" s="1" t="s">
        <v>33</v>
      </c>
      <c r="AG3423" s="1" t="s">
        <v>127</v>
      </c>
    </row>
    <row r="3424" spans="1:33">
      <c r="A3424" t="s">
        <v>12004</v>
      </c>
      <c r="B3424" t="s">
        <v>12005</v>
      </c>
      <c r="C3424" t="s">
        <v>68</v>
      </c>
      <c r="E3424" t="s">
        <v>11609</v>
      </c>
      <c r="F3424" t="s">
        <v>11610</v>
      </c>
      <c r="G3424">
        <v>21.49</v>
      </c>
      <c r="H3424">
        <v>21.49</v>
      </c>
      <c r="I3424" t="s">
        <v>59</v>
      </c>
      <c r="J3424" t="s">
        <v>60</v>
      </c>
      <c r="K3424" t="s">
        <v>31</v>
      </c>
      <c r="L3424" t="s">
        <v>32</v>
      </c>
      <c r="M3424" t="s">
        <v>33</v>
      </c>
      <c r="P3424" s="1" t="s">
        <v>12006</v>
      </c>
      <c r="Q3424" s="1" t="s">
        <v>11609</v>
      </c>
      <c r="R3424" s="1" t="s">
        <v>11609</v>
      </c>
      <c r="S3424" s="1"/>
      <c r="T3424" s="1" t="s">
        <v>68</v>
      </c>
      <c r="U3424" s="1"/>
      <c r="V3424" s="1">
        <v>21.49</v>
      </c>
      <c r="W3424" s="1">
        <v>21.49</v>
      </c>
      <c r="X3424" s="1" t="s">
        <v>35</v>
      </c>
      <c r="Y3424" s="1">
        <v>21490.0</v>
      </c>
      <c r="Z3424" s="1"/>
      <c r="AA3424" s="1">
        <v>21490.0</v>
      </c>
      <c r="AB3424" s="1"/>
      <c r="AC3424" s="1" t="s">
        <v>36</v>
      </c>
      <c r="AD3424" s="1" t="s">
        <v>12007</v>
      </c>
      <c r="AE3424" s="1" t="s">
        <v>32</v>
      </c>
      <c r="AF3424" s="1" t="s">
        <v>33</v>
      </c>
      <c r="AG3424" s="1" t="s">
        <v>60</v>
      </c>
    </row>
    <row r="3425" spans="1:33">
      <c r="A3425" t="s">
        <v>12008</v>
      </c>
      <c r="B3425" t="s">
        <v>11317</v>
      </c>
      <c r="C3425" t="s">
        <v>73</v>
      </c>
      <c r="E3425" t="s">
        <v>11609</v>
      </c>
      <c r="F3425" t="s">
        <v>11610</v>
      </c>
      <c r="G3425">
        <v>7.56</v>
      </c>
      <c r="H3425">
        <v>7.56</v>
      </c>
      <c r="I3425" t="s">
        <v>40</v>
      </c>
      <c r="J3425" t="s">
        <v>41</v>
      </c>
      <c r="K3425" t="s">
        <v>31</v>
      </c>
      <c r="L3425" t="s">
        <v>32</v>
      </c>
      <c r="M3425" t="s">
        <v>33</v>
      </c>
      <c r="P3425" s="1" t="s">
        <v>12009</v>
      </c>
      <c r="Q3425" s="1" t="s">
        <v>11609</v>
      </c>
      <c r="R3425" s="1" t="s">
        <v>10933</v>
      </c>
      <c r="S3425" s="1"/>
      <c r="T3425" s="1" t="s">
        <v>75</v>
      </c>
      <c r="U3425" s="1" t="s">
        <v>76</v>
      </c>
      <c r="V3425" s="1">
        <v>7.56</v>
      </c>
      <c r="W3425" s="1">
        <v>7.56</v>
      </c>
      <c r="X3425" s="1" t="s">
        <v>35</v>
      </c>
      <c r="Y3425" s="1">
        <v>7560.0</v>
      </c>
      <c r="Z3425" s="1"/>
      <c r="AA3425" s="1">
        <v>7560.0</v>
      </c>
      <c r="AB3425" s="1"/>
      <c r="AC3425" s="1" t="s">
        <v>36</v>
      </c>
      <c r="AD3425" s="1" t="s">
        <v>12010</v>
      </c>
      <c r="AE3425" s="1" t="s">
        <v>32</v>
      </c>
      <c r="AF3425" s="1" t="s">
        <v>33</v>
      </c>
      <c r="AG3425" s="1" t="s">
        <v>41</v>
      </c>
    </row>
    <row r="3426" spans="1:33">
      <c r="A3426" t="s">
        <v>12011</v>
      </c>
      <c r="C3426" t="s">
        <v>12012</v>
      </c>
      <c r="D3426" t="s">
        <v>114</v>
      </c>
      <c r="E3426" t="s">
        <v>11609</v>
      </c>
      <c r="F3426" t="s">
        <v>11610</v>
      </c>
      <c r="G3426">
        <v>527.0</v>
      </c>
      <c r="H3426">
        <v>527.0</v>
      </c>
      <c r="I3426" t="s">
        <v>179</v>
      </c>
      <c r="J3426" t="s">
        <v>180</v>
      </c>
      <c r="K3426" t="s">
        <v>31</v>
      </c>
      <c r="L3426" t="s">
        <v>32</v>
      </c>
      <c r="M3426" t="s">
        <v>33</v>
      </c>
      <c r="P3426" s="1" t="s">
        <v>12013</v>
      </c>
      <c r="Q3426" s="1" t="s">
        <v>11609</v>
      </c>
      <c r="R3426" s="1" t="s">
        <v>11609</v>
      </c>
      <c r="S3426" s="1"/>
      <c r="T3426" s="1" t="s">
        <v>12012</v>
      </c>
      <c r="U3426" s="1"/>
      <c r="V3426" s="1">
        <v>527.0</v>
      </c>
      <c r="W3426" s="1">
        <v>527.0</v>
      </c>
      <c r="X3426" s="1" t="s">
        <v>35</v>
      </c>
      <c r="Y3426" s="1">
        <v>527000.0</v>
      </c>
      <c r="Z3426" s="1"/>
      <c r="AA3426" s="1">
        <v>527000.0</v>
      </c>
      <c r="AB3426" s="1"/>
      <c r="AC3426" s="1" t="s">
        <v>36</v>
      </c>
      <c r="AD3426" s="1" t="s">
        <v>12014</v>
      </c>
      <c r="AE3426" s="1" t="s">
        <v>32</v>
      </c>
      <c r="AF3426" s="1" t="s">
        <v>33</v>
      </c>
      <c r="AG3426" s="1" t="s">
        <v>180</v>
      </c>
    </row>
    <row r="3427" spans="1:33">
      <c r="A3427" t="s">
        <v>12015</v>
      </c>
      <c r="B3427" t="s">
        <v>255</v>
      </c>
      <c r="C3427" t="s">
        <v>125</v>
      </c>
      <c r="E3427" t="s">
        <v>11609</v>
      </c>
      <c r="F3427" t="s">
        <v>11610</v>
      </c>
      <c r="G3427">
        <v>14.495</v>
      </c>
      <c r="H3427">
        <v>14.495</v>
      </c>
      <c r="I3427" t="s">
        <v>126</v>
      </c>
      <c r="J3427" t="s">
        <v>127</v>
      </c>
      <c r="K3427" t="s">
        <v>31</v>
      </c>
      <c r="L3427" t="s">
        <v>32</v>
      </c>
      <c r="M3427" t="s">
        <v>33</v>
      </c>
      <c r="P3427" s="1" t="s">
        <v>12016</v>
      </c>
      <c r="Q3427" s="1" t="s">
        <v>11609</v>
      </c>
      <c r="R3427" s="1" t="s">
        <v>11609</v>
      </c>
      <c r="S3427" s="1"/>
      <c r="T3427" s="1" t="s">
        <v>125</v>
      </c>
      <c r="U3427" s="1"/>
      <c r="V3427" s="1">
        <v>14.495</v>
      </c>
      <c r="W3427" s="1">
        <v>14.495</v>
      </c>
      <c r="X3427" s="1" t="s">
        <v>35</v>
      </c>
      <c r="Y3427" s="1">
        <v>14495.0</v>
      </c>
      <c r="Z3427" s="1"/>
      <c r="AA3427" s="1">
        <v>14495.0</v>
      </c>
      <c r="AB3427" s="1"/>
      <c r="AC3427" s="1" t="s">
        <v>36</v>
      </c>
      <c r="AD3427" s="1" t="s">
        <v>12017</v>
      </c>
      <c r="AE3427" s="1" t="s">
        <v>32</v>
      </c>
      <c r="AF3427" s="1" t="s">
        <v>33</v>
      </c>
      <c r="AG3427" s="1" t="s">
        <v>127</v>
      </c>
    </row>
    <row r="3428" spans="1:33">
      <c r="A3428" t="s">
        <v>12018</v>
      </c>
      <c r="C3428" t="s">
        <v>288</v>
      </c>
      <c r="D3428" t="s">
        <v>114</v>
      </c>
      <c r="E3428" t="s">
        <v>11609</v>
      </c>
      <c r="F3428" t="s">
        <v>11610</v>
      </c>
      <c r="G3428">
        <v>328.0</v>
      </c>
      <c r="H3428">
        <v>328.0</v>
      </c>
      <c r="I3428" t="s">
        <v>269</v>
      </c>
      <c r="J3428" t="s">
        <v>270</v>
      </c>
      <c r="K3428" t="s">
        <v>31</v>
      </c>
      <c r="L3428" t="s">
        <v>32</v>
      </c>
      <c r="M3428" t="s">
        <v>33</v>
      </c>
      <c r="P3428" s="1" t="s">
        <v>12019</v>
      </c>
      <c r="Q3428" s="1" t="s">
        <v>11609</v>
      </c>
      <c r="R3428" s="1" t="s">
        <v>11609</v>
      </c>
      <c r="S3428" s="1"/>
      <c r="T3428" s="1" t="s">
        <v>288</v>
      </c>
      <c r="U3428" s="1"/>
      <c r="V3428" s="1">
        <v>328.0</v>
      </c>
      <c r="W3428" s="1">
        <v>328.0</v>
      </c>
      <c r="X3428" s="1" t="s">
        <v>35</v>
      </c>
      <c r="Y3428" s="1">
        <v>328000.0</v>
      </c>
      <c r="Z3428" s="1"/>
      <c r="AA3428" s="1">
        <v>328000.0</v>
      </c>
      <c r="AB3428" s="1"/>
      <c r="AC3428" s="1" t="s">
        <v>36</v>
      </c>
      <c r="AD3428" s="1" t="s">
        <v>12020</v>
      </c>
      <c r="AE3428" s="1" t="s">
        <v>32</v>
      </c>
      <c r="AF3428" s="1" t="s">
        <v>33</v>
      </c>
      <c r="AG3428" s="1" t="s">
        <v>270</v>
      </c>
    </row>
    <row r="3429" spans="1:33">
      <c r="A3429" t="s">
        <v>12021</v>
      </c>
      <c r="C3429" t="s">
        <v>654</v>
      </c>
      <c r="E3429" t="s">
        <v>11609</v>
      </c>
      <c r="F3429" t="s">
        <v>11610</v>
      </c>
      <c r="G3429">
        <v>63.5</v>
      </c>
      <c r="H3429">
        <v>63.5</v>
      </c>
      <c r="I3429" t="s">
        <v>136</v>
      </c>
      <c r="J3429" t="s">
        <v>137</v>
      </c>
      <c r="K3429" t="s">
        <v>31</v>
      </c>
      <c r="L3429" t="s">
        <v>32</v>
      </c>
      <c r="M3429" t="s">
        <v>33</v>
      </c>
      <c r="P3429" s="1" t="s">
        <v>12022</v>
      </c>
      <c r="Q3429" s="1" t="s">
        <v>11609</v>
      </c>
      <c r="R3429" s="1" t="s">
        <v>11609</v>
      </c>
      <c r="S3429" s="1"/>
      <c r="T3429" s="1" t="s">
        <v>656</v>
      </c>
      <c r="U3429" s="1" t="s">
        <v>657</v>
      </c>
      <c r="V3429" s="1">
        <v>63.5</v>
      </c>
      <c r="W3429" s="1">
        <v>63.5</v>
      </c>
      <c r="X3429" s="1" t="s">
        <v>35</v>
      </c>
      <c r="Y3429" s="1">
        <v>63500.0</v>
      </c>
      <c r="Z3429" s="1"/>
      <c r="AA3429" s="1">
        <v>63500.0</v>
      </c>
      <c r="AB3429" s="1"/>
      <c r="AC3429" s="1" t="s">
        <v>36</v>
      </c>
      <c r="AD3429" s="1" t="s">
        <v>12023</v>
      </c>
      <c r="AE3429" s="1" t="s">
        <v>32</v>
      </c>
      <c r="AF3429" s="1" t="s">
        <v>33</v>
      </c>
      <c r="AG3429" s="1" t="s">
        <v>137</v>
      </c>
    </row>
    <row r="3430" spans="1:33">
      <c r="A3430" t="s">
        <v>12024</v>
      </c>
      <c r="C3430" t="s">
        <v>7605</v>
      </c>
      <c r="E3430" t="s">
        <v>11609</v>
      </c>
      <c r="F3430" t="s">
        <v>11610</v>
      </c>
      <c r="G3430">
        <v>656.0</v>
      </c>
      <c r="H3430">
        <v>656.0</v>
      </c>
      <c r="I3430" t="s">
        <v>136</v>
      </c>
      <c r="J3430" t="s">
        <v>137</v>
      </c>
      <c r="K3430" t="s">
        <v>31</v>
      </c>
      <c r="L3430" t="s">
        <v>32</v>
      </c>
      <c r="M3430" t="s">
        <v>33</v>
      </c>
      <c r="P3430" s="1" t="s">
        <v>12025</v>
      </c>
      <c r="Q3430" s="1" t="s">
        <v>11609</v>
      </c>
      <c r="R3430" s="1" t="s">
        <v>11609</v>
      </c>
      <c r="S3430" s="1"/>
      <c r="T3430" s="1" t="s">
        <v>7605</v>
      </c>
      <c r="U3430" s="1"/>
      <c r="V3430" s="1">
        <v>656.0</v>
      </c>
      <c r="W3430" s="1">
        <v>656.0</v>
      </c>
      <c r="X3430" s="1" t="s">
        <v>35</v>
      </c>
      <c r="Y3430" s="1">
        <v>656000.0</v>
      </c>
      <c r="Z3430" s="1"/>
      <c r="AA3430" s="1">
        <v>656000.0</v>
      </c>
      <c r="AB3430" s="1"/>
      <c r="AC3430" s="1" t="s">
        <v>36</v>
      </c>
      <c r="AD3430" s="1" t="s">
        <v>12026</v>
      </c>
      <c r="AE3430" s="1" t="s">
        <v>32</v>
      </c>
      <c r="AF3430" s="1" t="s">
        <v>33</v>
      </c>
      <c r="AG3430" s="1" t="s">
        <v>137</v>
      </c>
    </row>
    <row r="3431" spans="1:33">
      <c r="A3431" t="s">
        <v>12027</v>
      </c>
      <c r="B3431" t="s">
        <v>9826</v>
      </c>
      <c r="C3431" t="s">
        <v>1298</v>
      </c>
      <c r="E3431" t="s">
        <v>11609</v>
      </c>
      <c r="F3431" t="s">
        <v>11610</v>
      </c>
      <c r="G3431">
        <v>45.88</v>
      </c>
      <c r="H3431">
        <v>45.88</v>
      </c>
      <c r="I3431" t="s">
        <v>529</v>
      </c>
      <c r="J3431" t="s">
        <v>530</v>
      </c>
      <c r="K3431" t="s">
        <v>31</v>
      </c>
      <c r="L3431" t="s">
        <v>32</v>
      </c>
      <c r="M3431" t="s">
        <v>33</v>
      </c>
      <c r="P3431" s="1" t="s">
        <v>12028</v>
      </c>
      <c r="Q3431" s="1" t="s">
        <v>11609</v>
      </c>
      <c r="R3431" s="1" t="s">
        <v>10933</v>
      </c>
      <c r="S3431" s="1"/>
      <c r="T3431" s="1" t="s">
        <v>1298</v>
      </c>
      <c r="U3431" s="1"/>
      <c r="V3431" s="1">
        <v>45.88</v>
      </c>
      <c r="W3431" s="1">
        <v>45.88</v>
      </c>
      <c r="X3431" s="1" t="s">
        <v>35</v>
      </c>
      <c r="Y3431" s="1">
        <v>45880.0</v>
      </c>
      <c r="Z3431" s="1"/>
      <c r="AA3431" s="1">
        <v>45880.0</v>
      </c>
      <c r="AB3431" s="1"/>
      <c r="AC3431" s="1" t="s">
        <v>36</v>
      </c>
      <c r="AD3431" s="1" t="s">
        <v>12029</v>
      </c>
      <c r="AE3431" s="1" t="s">
        <v>32</v>
      </c>
      <c r="AF3431" s="1" t="s">
        <v>33</v>
      </c>
      <c r="AG3431" s="1" t="s">
        <v>530</v>
      </c>
    </row>
    <row r="3432" spans="1:33">
      <c r="A3432" t="s">
        <v>12030</v>
      </c>
      <c r="B3432" t="s">
        <v>11263</v>
      </c>
      <c r="C3432" t="s">
        <v>268</v>
      </c>
      <c r="E3432" t="s">
        <v>11609</v>
      </c>
      <c r="F3432" t="s">
        <v>11610</v>
      </c>
      <c r="G3432">
        <v>33.8</v>
      </c>
      <c r="H3432">
        <v>33.8</v>
      </c>
      <c r="I3432" t="s">
        <v>269</v>
      </c>
      <c r="J3432" t="s">
        <v>270</v>
      </c>
      <c r="K3432" t="s">
        <v>31</v>
      </c>
      <c r="L3432" t="s">
        <v>32</v>
      </c>
      <c r="M3432" t="s">
        <v>33</v>
      </c>
      <c r="P3432" s="1" t="s">
        <v>12031</v>
      </c>
      <c r="Q3432" s="1" t="s">
        <v>11609</v>
      </c>
      <c r="R3432" s="1" t="s">
        <v>11609</v>
      </c>
      <c r="S3432" s="1"/>
      <c r="T3432" s="1" t="s">
        <v>268</v>
      </c>
      <c r="U3432" s="1"/>
      <c r="V3432" s="1">
        <v>33.8</v>
      </c>
      <c r="W3432" s="1">
        <v>33.8</v>
      </c>
      <c r="X3432" s="1" t="s">
        <v>35</v>
      </c>
      <c r="Y3432" s="1">
        <v>33800.0</v>
      </c>
      <c r="Z3432" s="1"/>
      <c r="AA3432" s="1">
        <v>33800.0</v>
      </c>
      <c r="AB3432" s="1"/>
      <c r="AC3432" s="1" t="s">
        <v>36</v>
      </c>
      <c r="AD3432" s="1" t="s">
        <v>12032</v>
      </c>
      <c r="AE3432" s="1" t="s">
        <v>32</v>
      </c>
      <c r="AF3432" s="1" t="s">
        <v>33</v>
      </c>
      <c r="AG3432" s="1" t="s">
        <v>270</v>
      </c>
    </row>
    <row r="3433" spans="1:33">
      <c r="A3433" t="s">
        <v>12033</v>
      </c>
      <c r="C3433" t="s">
        <v>1594</v>
      </c>
      <c r="E3433" t="s">
        <v>11609</v>
      </c>
      <c r="F3433" t="s">
        <v>11610</v>
      </c>
      <c r="G3433">
        <v>434.5</v>
      </c>
      <c r="H3433">
        <v>434.5</v>
      </c>
      <c r="I3433" t="s">
        <v>179</v>
      </c>
      <c r="J3433" t="s">
        <v>180</v>
      </c>
      <c r="K3433" t="s">
        <v>31</v>
      </c>
      <c r="L3433" t="s">
        <v>32</v>
      </c>
      <c r="M3433" t="s">
        <v>33</v>
      </c>
      <c r="P3433" s="1" t="s">
        <v>12034</v>
      </c>
      <c r="Q3433" s="1" t="s">
        <v>11609</v>
      </c>
      <c r="R3433" s="1" t="s">
        <v>11609</v>
      </c>
      <c r="S3433" s="1"/>
      <c r="T3433" s="1" t="s">
        <v>1594</v>
      </c>
      <c r="U3433" s="1"/>
      <c r="V3433" s="1">
        <v>434.5</v>
      </c>
      <c r="W3433" s="1">
        <v>434.5</v>
      </c>
      <c r="X3433" s="1" t="s">
        <v>35</v>
      </c>
      <c r="Y3433" s="1">
        <v>434500.0</v>
      </c>
      <c r="Z3433" s="1"/>
      <c r="AA3433" s="1">
        <v>434500.0</v>
      </c>
      <c r="AB3433" s="1"/>
      <c r="AC3433" s="1" t="s">
        <v>36</v>
      </c>
      <c r="AD3433" s="1" t="s">
        <v>12029</v>
      </c>
      <c r="AE3433" s="1" t="s">
        <v>32</v>
      </c>
      <c r="AF3433" s="1" t="s">
        <v>33</v>
      </c>
      <c r="AG3433" s="1" t="s">
        <v>180</v>
      </c>
    </row>
    <row r="3434" spans="1:33">
      <c r="A3434" t="s">
        <v>12035</v>
      </c>
      <c r="C3434" t="s">
        <v>922</v>
      </c>
      <c r="E3434" t="s">
        <v>11609</v>
      </c>
      <c r="F3434" t="s">
        <v>11610</v>
      </c>
      <c r="G3434">
        <v>5.514</v>
      </c>
      <c r="H3434">
        <v>5.514</v>
      </c>
      <c r="I3434" t="s">
        <v>227</v>
      </c>
      <c r="J3434" t="s">
        <v>228</v>
      </c>
      <c r="K3434" t="s">
        <v>31</v>
      </c>
      <c r="L3434" t="s">
        <v>32</v>
      </c>
      <c r="M3434" t="s">
        <v>33</v>
      </c>
      <c r="P3434" s="1" t="s">
        <v>12036</v>
      </c>
      <c r="Q3434" s="1" t="s">
        <v>11609</v>
      </c>
      <c r="R3434" s="1" t="s">
        <v>11609</v>
      </c>
      <c r="S3434" s="1"/>
      <c r="T3434" s="1" t="s">
        <v>922</v>
      </c>
      <c r="U3434" s="1"/>
      <c r="V3434" s="1">
        <v>5.514</v>
      </c>
      <c r="W3434" s="1">
        <v>5.514</v>
      </c>
      <c r="X3434" s="1" t="s">
        <v>35</v>
      </c>
      <c r="Y3434" s="1">
        <v>5514200.0</v>
      </c>
      <c r="Z3434" s="1"/>
      <c r="AA3434" s="1">
        <v>5514200.0</v>
      </c>
      <c r="AB3434" s="1"/>
      <c r="AC3434" s="1" t="s">
        <v>36</v>
      </c>
      <c r="AD3434" s="1" t="s">
        <v>12032</v>
      </c>
      <c r="AE3434" s="1" t="s">
        <v>32</v>
      </c>
      <c r="AF3434" s="1" t="s">
        <v>33</v>
      </c>
      <c r="AG3434" s="1" t="s">
        <v>228</v>
      </c>
    </row>
    <row r="3435" spans="1:33">
      <c r="A3435" t="s">
        <v>12037</v>
      </c>
      <c r="B3435" t="s">
        <v>12038</v>
      </c>
      <c r="C3435" t="s">
        <v>172</v>
      </c>
      <c r="E3435" t="s">
        <v>11609</v>
      </c>
      <c r="F3435" t="s">
        <v>11610</v>
      </c>
      <c r="G3435">
        <v>6.449</v>
      </c>
      <c r="H3435">
        <v>6.449</v>
      </c>
      <c r="I3435" t="s">
        <v>173</v>
      </c>
      <c r="J3435" t="s">
        <v>174</v>
      </c>
      <c r="K3435" t="s">
        <v>31</v>
      </c>
      <c r="L3435" t="s">
        <v>32</v>
      </c>
      <c r="M3435" t="s">
        <v>33</v>
      </c>
      <c r="P3435" s="1" t="s">
        <v>12039</v>
      </c>
      <c r="Q3435" s="1" t="s">
        <v>11609</v>
      </c>
      <c r="R3435" s="1" t="s">
        <v>11609</v>
      </c>
      <c r="S3435" s="1"/>
      <c r="T3435" s="1" t="s">
        <v>172</v>
      </c>
      <c r="U3435" s="1"/>
      <c r="V3435" s="1">
        <v>6.449</v>
      </c>
      <c r="W3435" s="1">
        <v>6.449</v>
      </c>
      <c r="X3435" s="1" t="s">
        <v>35</v>
      </c>
      <c r="Y3435" s="1">
        <v>6449.0</v>
      </c>
      <c r="Z3435" s="1"/>
      <c r="AA3435" s="1">
        <v>6449.0</v>
      </c>
      <c r="AB3435" s="1"/>
      <c r="AC3435" s="1" t="s">
        <v>36</v>
      </c>
      <c r="AD3435" s="1" t="s">
        <v>12040</v>
      </c>
      <c r="AE3435" s="1" t="s">
        <v>32</v>
      </c>
      <c r="AF3435" s="1" t="s">
        <v>33</v>
      </c>
      <c r="AG3435" s="1" t="s">
        <v>174</v>
      </c>
    </row>
    <row r="3436" spans="1:33">
      <c r="A3436" t="s">
        <v>12041</v>
      </c>
      <c r="B3436" t="s">
        <v>12042</v>
      </c>
      <c r="C3436" t="s">
        <v>131</v>
      </c>
      <c r="E3436" t="s">
        <v>11609</v>
      </c>
      <c r="F3436" t="s">
        <v>11610</v>
      </c>
      <c r="G3436">
        <v>235.0</v>
      </c>
      <c r="H3436">
        <v>235.0</v>
      </c>
      <c r="I3436" t="s">
        <v>94</v>
      </c>
      <c r="J3436" t="s">
        <v>95</v>
      </c>
      <c r="K3436" t="s">
        <v>31</v>
      </c>
      <c r="L3436" t="s">
        <v>32</v>
      </c>
      <c r="M3436" t="s">
        <v>33</v>
      </c>
      <c r="P3436" s="1" t="s">
        <v>12043</v>
      </c>
      <c r="Q3436" s="1" t="s">
        <v>11609</v>
      </c>
      <c r="R3436" s="1" t="s">
        <v>11609</v>
      </c>
      <c r="S3436" s="1"/>
      <c r="T3436" s="1" t="s">
        <v>131</v>
      </c>
      <c r="U3436" s="1"/>
      <c r="V3436" s="1">
        <v>235.0</v>
      </c>
      <c r="W3436" s="1">
        <v>235.0</v>
      </c>
      <c r="X3436" s="1" t="s">
        <v>35</v>
      </c>
      <c r="Y3436" s="1">
        <v>235000.0</v>
      </c>
      <c r="Z3436" s="1"/>
      <c r="AA3436" s="1">
        <v>235000.0</v>
      </c>
      <c r="AB3436" s="1"/>
      <c r="AC3436" s="1" t="s">
        <v>36</v>
      </c>
      <c r="AD3436" s="1" t="s">
        <v>12040</v>
      </c>
      <c r="AE3436" s="1" t="s">
        <v>32</v>
      </c>
      <c r="AF3436" s="1" t="s">
        <v>33</v>
      </c>
      <c r="AG3436" s="1" t="s">
        <v>95</v>
      </c>
    </row>
    <row r="3437" spans="1:33">
      <c r="A3437" t="s">
        <v>12044</v>
      </c>
      <c r="B3437" t="s">
        <v>12045</v>
      </c>
      <c r="C3437" t="s">
        <v>314</v>
      </c>
      <c r="E3437" t="s">
        <v>11609</v>
      </c>
      <c r="F3437" t="s">
        <v>11610</v>
      </c>
      <c r="G3437">
        <v>33.74</v>
      </c>
      <c r="H3437">
        <v>33.74</v>
      </c>
      <c r="I3437" t="s">
        <v>179</v>
      </c>
      <c r="J3437" t="s">
        <v>180</v>
      </c>
      <c r="K3437" t="s">
        <v>31</v>
      </c>
      <c r="L3437" t="s">
        <v>32</v>
      </c>
      <c r="M3437" t="s">
        <v>33</v>
      </c>
      <c r="P3437" s="1" t="s">
        <v>12046</v>
      </c>
      <c r="Q3437" s="1" t="s">
        <v>11609</v>
      </c>
      <c r="R3437" s="1" t="s">
        <v>11609</v>
      </c>
      <c r="S3437" s="1"/>
      <c r="T3437" s="1" t="s">
        <v>314</v>
      </c>
      <c r="U3437" s="1"/>
      <c r="V3437" s="1">
        <v>33.74</v>
      </c>
      <c r="W3437" s="1">
        <v>33.74</v>
      </c>
      <c r="X3437" s="1" t="s">
        <v>35</v>
      </c>
      <c r="Y3437" s="1">
        <v>33740.0</v>
      </c>
      <c r="Z3437" s="1"/>
      <c r="AA3437" s="1">
        <v>33740.0</v>
      </c>
      <c r="AB3437" s="1"/>
      <c r="AC3437" s="1" t="s">
        <v>36</v>
      </c>
      <c r="AD3437" s="1" t="s">
        <v>12032</v>
      </c>
      <c r="AE3437" s="1" t="s">
        <v>32</v>
      </c>
      <c r="AF3437" s="1" t="s">
        <v>33</v>
      </c>
      <c r="AG3437" s="1" t="s">
        <v>180</v>
      </c>
    </row>
    <row r="3438" spans="1:33">
      <c r="A3438" t="s">
        <v>12047</v>
      </c>
      <c r="C3438" t="s">
        <v>2708</v>
      </c>
      <c r="E3438" t="s">
        <v>11609</v>
      </c>
      <c r="F3438" t="s">
        <v>11610</v>
      </c>
      <c r="G3438">
        <v>320.0</v>
      </c>
      <c r="H3438">
        <v>320.0</v>
      </c>
      <c r="I3438" t="s">
        <v>40</v>
      </c>
      <c r="J3438" t="s">
        <v>41</v>
      </c>
      <c r="K3438" t="s">
        <v>31</v>
      </c>
      <c r="L3438" t="s">
        <v>32</v>
      </c>
      <c r="M3438" t="s">
        <v>33</v>
      </c>
      <c r="P3438" s="1" t="s">
        <v>12048</v>
      </c>
      <c r="Q3438" s="1" t="s">
        <v>11609</v>
      </c>
      <c r="R3438" s="1" t="s">
        <v>10933</v>
      </c>
      <c r="S3438" s="1"/>
      <c r="T3438" s="1" t="s">
        <v>2708</v>
      </c>
      <c r="U3438" s="1"/>
      <c r="V3438" s="1">
        <v>320.0</v>
      </c>
      <c r="W3438" s="1">
        <v>320.0</v>
      </c>
      <c r="X3438" s="1" t="s">
        <v>35</v>
      </c>
      <c r="Y3438" s="1">
        <v>320000.0</v>
      </c>
      <c r="Z3438" s="1"/>
      <c r="AA3438" s="1">
        <v>320000.0</v>
      </c>
      <c r="AB3438" s="1"/>
      <c r="AC3438" s="1" t="s">
        <v>36</v>
      </c>
      <c r="AD3438" s="1" t="s">
        <v>12049</v>
      </c>
      <c r="AE3438" s="1" t="s">
        <v>32</v>
      </c>
      <c r="AF3438" s="1" t="s">
        <v>33</v>
      </c>
      <c r="AG3438" s="1" t="s">
        <v>41</v>
      </c>
    </row>
    <row r="3439" spans="1:33">
      <c r="A3439" t="s">
        <v>12050</v>
      </c>
      <c r="C3439" t="s">
        <v>7605</v>
      </c>
      <c r="E3439" t="s">
        <v>11609</v>
      </c>
      <c r="F3439" t="s">
        <v>11610</v>
      </c>
      <c r="G3439">
        <v>820.0</v>
      </c>
      <c r="H3439">
        <v>820.0</v>
      </c>
      <c r="I3439" t="s">
        <v>136</v>
      </c>
      <c r="J3439" t="s">
        <v>137</v>
      </c>
      <c r="K3439" t="s">
        <v>31</v>
      </c>
      <c r="L3439" t="s">
        <v>32</v>
      </c>
      <c r="M3439" t="s">
        <v>33</v>
      </c>
      <c r="P3439" s="1" t="s">
        <v>12051</v>
      </c>
      <c r="Q3439" s="1" t="s">
        <v>11609</v>
      </c>
      <c r="R3439" s="1" t="s">
        <v>11609</v>
      </c>
      <c r="S3439" s="1"/>
      <c r="T3439" s="1" t="s">
        <v>7605</v>
      </c>
      <c r="U3439" s="1"/>
      <c r="V3439" s="1">
        <v>820.0</v>
      </c>
      <c r="W3439" s="1">
        <v>820.0</v>
      </c>
      <c r="X3439" s="1" t="s">
        <v>35</v>
      </c>
      <c r="Y3439" s="1">
        <v>820000.0</v>
      </c>
      <c r="Z3439" s="1"/>
      <c r="AA3439" s="1">
        <v>820000.0</v>
      </c>
      <c r="AB3439" s="1"/>
      <c r="AC3439" s="1" t="s">
        <v>36</v>
      </c>
      <c r="AD3439" s="1" t="s">
        <v>12052</v>
      </c>
      <c r="AE3439" s="1" t="s">
        <v>32</v>
      </c>
      <c r="AF3439" s="1" t="s">
        <v>33</v>
      </c>
      <c r="AG3439" s="1" t="s">
        <v>137</v>
      </c>
    </row>
    <row r="3440" spans="1:33">
      <c r="A3440" t="s">
        <v>12053</v>
      </c>
      <c r="C3440" t="s">
        <v>1544</v>
      </c>
      <c r="E3440" t="s">
        <v>11609</v>
      </c>
      <c r="F3440" t="s">
        <v>11610</v>
      </c>
      <c r="G3440">
        <v>431.0</v>
      </c>
      <c r="H3440">
        <v>431.0</v>
      </c>
      <c r="I3440" t="s">
        <v>173</v>
      </c>
      <c r="J3440" t="s">
        <v>174</v>
      </c>
      <c r="K3440" t="s">
        <v>31</v>
      </c>
      <c r="L3440" t="s">
        <v>32</v>
      </c>
      <c r="M3440" t="s">
        <v>33</v>
      </c>
      <c r="P3440" s="1" t="s">
        <v>12054</v>
      </c>
      <c r="Q3440" s="1" t="s">
        <v>11609</v>
      </c>
      <c r="R3440" s="1" t="s">
        <v>11609</v>
      </c>
      <c r="S3440" s="1"/>
      <c r="T3440" s="1" t="s">
        <v>1544</v>
      </c>
      <c r="U3440" s="1"/>
      <c r="V3440" s="1">
        <v>431.0</v>
      </c>
      <c r="W3440" s="1">
        <v>431.0</v>
      </c>
      <c r="X3440" s="1" t="s">
        <v>35</v>
      </c>
      <c r="Y3440" s="1">
        <v>431000.0</v>
      </c>
      <c r="Z3440" s="1"/>
      <c r="AA3440" s="1">
        <v>431000.0</v>
      </c>
      <c r="AB3440" s="1"/>
      <c r="AC3440" s="1" t="s">
        <v>36</v>
      </c>
      <c r="AD3440" s="1" t="s">
        <v>12029</v>
      </c>
      <c r="AE3440" s="1" t="s">
        <v>32</v>
      </c>
      <c r="AF3440" s="1" t="s">
        <v>33</v>
      </c>
      <c r="AG3440" s="1" t="s">
        <v>174</v>
      </c>
    </row>
    <row r="3441" spans="1:33">
      <c r="A3441" t="s">
        <v>12055</v>
      </c>
      <c r="C3441" t="s">
        <v>6182</v>
      </c>
      <c r="E3441" t="s">
        <v>11609</v>
      </c>
      <c r="F3441" t="s">
        <v>11610</v>
      </c>
      <c r="G3441">
        <v>656.0</v>
      </c>
      <c r="H3441">
        <v>656.0</v>
      </c>
      <c r="I3441" t="s">
        <v>136</v>
      </c>
      <c r="J3441" t="s">
        <v>137</v>
      </c>
      <c r="K3441" t="s">
        <v>31</v>
      </c>
      <c r="L3441" t="s">
        <v>32</v>
      </c>
      <c r="M3441" t="s">
        <v>33</v>
      </c>
      <c r="P3441" s="1" t="s">
        <v>12056</v>
      </c>
      <c r="Q3441" s="1" t="s">
        <v>11609</v>
      </c>
      <c r="R3441" s="1" t="s">
        <v>11609</v>
      </c>
      <c r="S3441" s="1"/>
      <c r="T3441" s="1" t="s">
        <v>6184</v>
      </c>
      <c r="U3441" s="1" t="s">
        <v>6185</v>
      </c>
      <c r="V3441" s="1">
        <v>656.0</v>
      </c>
      <c r="W3441" s="1">
        <v>656.0</v>
      </c>
      <c r="X3441" s="1" t="s">
        <v>35</v>
      </c>
      <c r="Y3441" s="1">
        <v>656000.0</v>
      </c>
      <c r="Z3441" s="1"/>
      <c r="AA3441" s="1">
        <v>656000.0</v>
      </c>
      <c r="AB3441" s="1"/>
      <c r="AC3441" s="1" t="s">
        <v>36</v>
      </c>
      <c r="AD3441" s="1" t="s">
        <v>12057</v>
      </c>
      <c r="AE3441" s="1" t="s">
        <v>32</v>
      </c>
      <c r="AF3441" s="1" t="s">
        <v>33</v>
      </c>
      <c r="AG3441" s="1" t="s">
        <v>137</v>
      </c>
    </row>
    <row r="3442" spans="1:33">
      <c r="A3442" t="s">
        <v>12058</v>
      </c>
      <c r="B3442" t="s">
        <v>12059</v>
      </c>
      <c r="C3442" t="s">
        <v>314</v>
      </c>
      <c r="E3442" t="s">
        <v>11609</v>
      </c>
      <c r="F3442" t="s">
        <v>11610</v>
      </c>
      <c r="G3442">
        <v>189.71</v>
      </c>
      <c r="H3442">
        <v>189.71</v>
      </c>
      <c r="I3442" t="s">
        <v>179</v>
      </c>
      <c r="J3442" t="s">
        <v>180</v>
      </c>
      <c r="K3442" t="s">
        <v>31</v>
      </c>
      <c r="L3442" t="s">
        <v>32</v>
      </c>
      <c r="M3442" t="s">
        <v>33</v>
      </c>
      <c r="P3442" s="1" t="s">
        <v>12060</v>
      </c>
      <c r="Q3442" s="1" t="s">
        <v>11609</v>
      </c>
      <c r="R3442" s="1" t="s">
        <v>11609</v>
      </c>
      <c r="S3442" s="1"/>
      <c r="T3442" s="1" t="s">
        <v>314</v>
      </c>
      <c r="U3442" s="1"/>
      <c r="V3442" s="1">
        <v>189.71</v>
      </c>
      <c r="W3442" s="1">
        <v>189.71</v>
      </c>
      <c r="X3442" s="1" t="s">
        <v>35</v>
      </c>
      <c r="Y3442" s="1">
        <v>189710.0</v>
      </c>
      <c r="Z3442" s="1"/>
      <c r="AA3442" s="1">
        <v>189710.0</v>
      </c>
      <c r="AB3442" s="1"/>
      <c r="AC3442" s="1" t="s">
        <v>36</v>
      </c>
      <c r="AD3442" s="1" t="s">
        <v>12061</v>
      </c>
      <c r="AE3442" s="1" t="s">
        <v>32</v>
      </c>
      <c r="AF3442" s="1" t="s">
        <v>33</v>
      </c>
      <c r="AG3442" s="1" t="s">
        <v>180</v>
      </c>
    </row>
    <row r="3443" spans="1:33">
      <c r="A3443" t="s">
        <v>12062</v>
      </c>
      <c r="C3443" t="s">
        <v>1998</v>
      </c>
      <c r="E3443" t="s">
        <v>11609</v>
      </c>
      <c r="F3443" t="s">
        <v>11610</v>
      </c>
      <c r="G3443">
        <v>85.0</v>
      </c>
      <c r="H3443">
        <v>85.0</v>
      </c>
      <c r="I3443" t="s">
        <v>269</v>
      </c>
      <c r="J3443" t="s">
        <v>270</v>
      </c>
      <c r="K3443" t="s">
        <v>31</v>
      </c>
      <c r="L3443" t="s">
        <v>32</v>
      </c>
      <c r="M3443" t="s">
        <v>33</v>
      </c>
      <c r="P3443" s="1" t="s">
        <v>12063</v>
      </c>
      <c r="Q3443" s="1" t="s">
        <v>11609</v>
      </c>
      <c r="R3443" s="1" t="s">
        <v>11609</v>
      </c>
      <c r="S3443" s="1"/>
      <c r="T3443" s="1" t="s">
        <v>2000</v>
      </c>
      <c r="U3443" s="1" t="s">
        <v>2001</v>
      </c>
      <c r="V3443" s="1">
        <v>85.0</v>
      </c>
      <c r="W3443" s="1">
        <v>85.0</v>
      </c>
      <c r="X3443" s="1" t="s">
        <v>35</v>
      </c>
      <c r="Y3443" s="1">
        <v>85000.0</v>
      </c>
      <c r="Z3443" s="1"/>
      <c r="AA3443" s="1">
        <v>85000.0</v>
      </c>
      <c r="AB3443" s="1"/>
      <c r="AC3443" s="1" t="s">
        <v>36</v>
      </c>
      <c r="AD3443" s="1" t="s">
        <v>12064</v>
      </c>
      <c r="AE3443" s="1" t="s">
        <v>32</v>
      </c>
      <c r="AF3443" s="1" t="s">
        <v>33</v>
      </c>
      <c r="AG3443" s="1" t="s">
        <v>270</v>
      </c>
    </row>
    <row r="3444" spans="1:33">
      <c r="A3444" t="s">
        <v>12065</v>
      </c>
      <c r="C3444" t="s">
        <v>7734</v>
      </c>
      <c r="E3444" t="s">
        <v>11609</v>
      </c>
      <c r="F3444" t="s">
        <v>11610</v>
      </c>
      <c r="G3444">
        <v>1.08</v>
      </c>
      <c r="H3444">
        <v>1.08</v>
      </c>
      <c r="I3444" t="s">
        <v>570</v>
      </c>
      <c r="J3444" t="s">
        <v>571</v>
      </c>
      <c r="K3444" t="s">
        <v>31</v>
      </c>
      <c r="L3444" t="s">
        <v>32</v>
      </c>
      <c r="M3444" t="s">
        <v>33</v>
      </c>
      <c r="P3444" s="1" t="s">
        <v>12066</v>
      </c>
      <c r="Q3444" s="1" t="s">
        <v>11609</v>
      </c>
      <c r="R3444" s="1" t="s">
        <v>11609</v>
      </c>
      <c r="S3444" s="1"/>
      <c r="T3444" s="1" t="s">
        <v>7734</v>
      </c>
      <c r="U3444" s="1"/>
      <c r="V3444" s="1">
        <v>1.08</v>
      </c>
      <c r="W3444" s="1">
        <v>1.08</v>
      </c>
      <c r="X3444" s="1" t="s">
        <v>35</v>
      </c>
      <c r="Y3444" s="1">
        <v>1080000.0</v>
      </c>
      <c r="Z3444" s="1"/>
      <c r="AA3444" s="1">
        <v>1080000.0</v>
      </c>
      <c r="AB3444" s="1"/>
      <c r="AC3444" s="1" t="s">
        <v>36</v>
      </c>
      <c r="AD3444" s="1" t="s">
        <v>12067</v>
      </c>
      <c r="AE3444" s="1" t="s">
        <v>32</v>
      </c>
      <c r="AF3444" s="1" t="s">
        <v>33</v>
      </c>
      <c r="AG3444" s="1" t="s">
        <v>571</v>
      </c>
    </row>
    <row r="3445" spans="1:33">
      <c r="A3445" t="s">
        <v>12068</v>
      </c>
      <c r="C3445" t="s">
        <v>2916</v>
      </c>
      <c r="E3445" t="s">
        <v>11609</v>
      </c>
      <c r="F3445" t="s">
        <v>11610</v>
      </c>
      <c r="G3445">
        <v>941.4</v>
      </c>
      <c r="H3445">
        <v>941.4</v>
      </c>
      <c r="I3445" t="s">
        <v>269</v>
      </c>
      <c r="J3445" t="s">
        <v>270</v>
      </c>
      <c r="K3445" t="s">
        <v>31</v>
      </c>
      <c r="L3445" t="s">
        <v>32</v>
      </c>
      <c r="M3445" t="s">
        <v>33</v>
      </c>
      <c r="P3445" s="1" t="s">
        <v>12069</v>
      </c>
      <c r="Q3445" s="1" t="s">
        <v>11609</v>
      </c>
      <c r="R3445" s="1" t="s">
        <v>11609</v>
      </c>
      <c r="S3445" s="1"/>
      <c r="T3445" s="1" t="s">
        <v>2916</v>
      </c>
      <c r="U3445" s="1"/>
      <c r="V3445" s="1">
        <v>941.4</v>
      </c>
      <c r="W3445" s="1">
        <v>941.4</v>
      </c>
      <c r="X3445" s="1" t="s">
        <v>35</v>
      </c>
      <c r="Y3445" s="1">
        <v>941400.0</v>
      </c>
      <c r="Z3445" s="1"/>
      <c r="AA3445" s="1">
        <v>941400.0</v>
      </c>
      <c r="AB3445" s="1"/>
      <c r="AC3445" s="1" t="s">
        <v>36</v>
      </c>
      <c r="AD3445" s="1" t="s">
        <v>12070</v>
      </c>
      <c r="AE3445" s="1" t="s">
        <v>32</v>
      </c>
      <c r="AF3445" s="1" t="s">
        <v>33</v>
      </c>
      <c r="AG3445" s="1" t="s">
        <v>270</v>
      </c>
    </row>
    <row r="3446" spans="1:33">
      <c r="A3446" t="s">
        <v>12071</v>
      </c>
      <c r="C3446" t="s">
        <v>12072</v>
      </c>
      <c r="E3446" t="s">
        <v>11609</v>
      </c>
      <c r="F3446" t="s">
        <v>11610</v>
      </c>
      <c r="G3446">
        <v>525.0</v>
      </c>
      <c r="H3446">
        <v>525.0</v>
      </c>
      <c r="I3446" t="s">
        <v>847</v>
      </c>
      <c r="J3446" t="s">
        <v>848</v>
      </c>
      <c r="K3446" t="s">
        <v>31</v>
      </c>
      <c r="L3446" t="s">
        <v>32</v>
      </c>
      <c r="M3446" t="s">
        <v>33</v>
      </c>
      <c r="P3446" s="1" t="s">
        <v>12073</v>
      </c>
      <c r="Q3446" s="1" t="s">
        <v>11609</v>
      </c>
      <c r="R3446" s="1" t="s">
        <v>11609</v>
      </c>
      <c r="S3446" s="1"/>
      <c r="T3446" s="1" t="s">
        <v>12072</v>
      </c>
      <c r="U3446" s="1"/>
      <c r="V3446" s="1">
        <v>525.0</v>
      </c>
      <c r="W3446" s="1">
        <v>525.0</v>
      </c>
      <c r="X3446" s="1" t="s">
        <v>35</v>
      </c>
      <c r="Y3446" s="1">
        <v>525000.0</v>
      </c>
      <c r="Z3446" s="1"/>
      <c r="AA3446" s="1">
        <v>525000.0</v>
      </c>
      <c r="AB3446" s="1"/>
      <c r="AC3446" s="1" t="s">
        <v>36</v>
      </c>
      <c r="AD3446" s="1" t="s">
        <v>12074</v>
      </c>
      <c r="AE3446" s="1" t="s">
        <v>32</v>
      </c>
      <c r="AF3446" s="1" t="s">
        <v>33</v>
      </c>
      <c r="AG3446" s="1" t="s">
        <v>848</v>
      </c>
    </row>
    <row r="3447" spans="1:33">
      <c r="A3447" t="s">
        <v>12075</v>
      </c>
      <c r="C3447" t="s">
        <v>3358</v>
      </c>
      <c r="E3447" t="s">
        <v>11609</v>
      </c>
      <c r="F3447" t="s">
        <v>11610</v>
      </c>
      <c r="G3447">
        <v>504.0</v>
      </c>
      <c r="H3447">
        <v>504.0</v>
      </c>
      <c r="I3447" t="s">
        <v>94</v>
      </c>
      <c r="J3447" t="s">
        <v>95</v>
      </c>
      <c r="K3447" t="s">
        <v>31</v>
      </c>
      <c r="L3447" t="s">
        <v>32</v>
      </c>
      <c r="M3447" t="s">
        <v>33</v>
      </c>
      <c r="P3447" s="1" t="s">
        <v>12076</v>
      </c>
      <c r="Q3447" s="1" t="s">
        <v>11609</v>
      </c>
      <c r="R3447" s="1" t="s">
        <v>11609</v>
      </c>
      <c r="S3447" s="1"/>
      <c r="T3447" s="1" t="s">
        <v>3360</v>
      </c>
      <c r="U3447" s="1" t="s">
        <v>3361</v>
      </c>
      <c r="V3447" s="1">
        <v>504.0</v>
      </c>
      <c r="W3447" s="1">
        <v>504.0</v>
      </c>
      <c r="X3447" s="1" t="s">
        <v>35</v>
      </c>
      <c r="Y3447" s="1">
        <v>504000.0</v>
      </c>
      <c r="Z3447" s="1"/>
      <c r="AA3447" s="1">
        <v>504000.0</v>
      </c>
      <c r="AB3447" s="1"/>
      <c r="AC3447" s="1" t="s">
        <v>36</v>
      </c>
      <c r="AD3447" s="1" t="s">
        <v>12077</v>
      </c>
      <c r="AE3447" s="1" t="s">
        <v>32</v>
      </c>
      <c r="AF3447" s="1" t="s">
        <v>33</v>
      </c>
      <c r="AG3447" s="1" t="s">
        <v>95</v>
      </c>
    </row>
    <row r="3448" spans="1:33">
      <c r="A3448" t="s">
        <v>12078</v>
      </c>
      <c r="C3448" t="s">
        <v>1079</v>
      </c>
      <c r="D3448" t="s">
        <v>114</v>
      </c>
      <c r="E3448" t="s">
        <v>11609</v>
      </c>
      <c r="F3448" t="s">
        <v>11610</v>
      </c>
      <c r="G3448">
        <v>2.81</v>
      </c>
      <c r="H3448">
        <v>2.81</v>
      </c>
      <c r="I3448" t="s">
        <v>269</v>
      </c>
      <c r="J3448" t="s">
        <v>270</v>
      </c>
      <c r="K3448" t="s">
        <v>31</v>
      </c>
      <c r="L3448" t="s">
        <v>32</v>
      </c>
      <c r="M3448" t="s">
        <v>33</v>
      </c>
      <c r="P3448" s="1" t="s">
        <v>12079</v>
      </c>
      <c r="Q3448" s="1" t="s">
        <v>11609</v>
      </c>
      <c r="R3448" s="1" t="s">
        <v>11609</v>
      </c>
      <c r="S3448" s="1"/>
      <c r="T3448" s="1" t="s">
        <v>1079</v>
      </c>
      <c r="U3448" s="1"/>
      <c r="V3448" s="1">
        <v>2.81</v>
      </c>
      <c r="W3448" s="1">
        <v>2.81</v>
      </c>
      <c r="X3448" s="1" t="s">
        <v>35</v>
      </c>
      <c r="Y3448" s="1">
        <v>2810500.0</v>
      </c>
      <c r="Z3448" s="1"/>
      <c r="AA3448" s="1">
        <v>2810500.0</v>
      </c>
      <c r="AB3448" s="1"/>
      <c r="AC3448" s="1" t="s">
        <v>36</v>
      </c>
      <c r="AD3448" s="1" t="s">
        <v>12080</v>
      </c>
      <c r="AE3448" s="1" t="s">
        <v>32</v>
      </c>
      <c r="AF3448" s="1" t="s">
        <v>33</v>
      </c>
      <c r="AG3448" s="1" t="s">
        <v>270</v>
      </c>
    </row>
    <row r="3449" spans="1:33">
      <c r="A3449" t="s">
        <v>12081</v>
      </c>
      <c r="B3449" t="s">
        <v>12082</v>
      </c>
      <c r="C3449" t="s">
        <v>131</v>
      </c>
      <c r="E3449" t="s">
        <v>11609</v>
      </c>
      <c r="F3449" t="s">
        <v>11610</v>
      </c>
      <c r="G3449">
        <v>86.36</v>
      </c>
      <c r="H3449">
        <v>86.36</v>
      </c>
      <c r="I3449" t="s">
        <v>94</v>
      </c>
      <c r="J3449" t="s">
        <v>95</v>
      </c>
      <c r="K3449" t="s">
        <v>31</v>
      </c>
      <c r="L3449" t="s">
        <v>32</v>
      </c>
      <c r="M3449" t="s">
        <v>33</v>
      </c>
      <c r="P3449" s="1" t="s">
        <v>12083</v>
      </c>
      <c r="Q3449" s="1" t="s">
        <v>11609</v>
      </c>
      <c r="R3449" s="1" t="s">
        <v>11609</v>
      </c>
      <c r="S3449" s="1"/>
      <c r="T3449" s="1" t="s">
        <v>131</v>
      </c>
      <c r="U3449" s="1"/>
      <c r="V3449" s="1">
        <v>86.36</v>
      </c>
      <c r="W3449" s="1">
        <v>86.36</v>
      </c>
      <c r="X3449" s="1" t="s">
        <v>35</v>
      </c>
      <c r="Y3449" s="1">
        <v>86360.0</v>
      </c>
      <c r="Z3449" s="1"/>
      <c r="AA3449" s="1">
        <v>86360.0</v>
      </c>
      <c r="AB3449" s="1"/>
      <c r="AC3449" s="1" t="s">
        <v>36</v>
      </c>
      <c r="AD3449" s="1" t="s">
        <v>12080</v>
      </c>
      <c r="AE3449" s="1" t="s">
        <v>32</v>
      </c>
      <c r="AF3449" s="1" t="s">
        <v>33</v>
      </c>
      <c r="AG3449" s="1" t="s">
        <v>95</v>
      </c>
    </row>
    <row r="3450" spans="1:33">
      <c r="A3450" t="s">
        <v>12084</v>
      </c>
      <c r="B3450" t="s">
        <v>12085</v>
      </c>
      <c r="C3450" t="s">
        <v>47</v>
      </c>
      <c r="E3450" t="s">
        <v>11609</v>
      </c>
      <c r="F3450" t="s">
        <v>11610</v>
      </c>
      <c r="G3450">
        <v>32.24</v>
      </c>
      <c r="H3450">
        <v>32.24</v>
      </c>
      <c r="I3450" t="s">
        <v>2206</v>
      </c>
      <c r="J3450" t="s">
        <v>49</v>
      </c>
      <c r="K3450" t="s">
        <v>31</v>
      </c>
      <c r="L3450" t="s">
        <v>32</v>
      </c>
      <c r="M3450" t="s">
        <v>33</v>
      </c>
      <c r="P3450" s="1" t="s">
        <v>12086</v>
      </c>
      <c r="Q3450" s="1" t="s">
        <v>11609</v>
      </c>
      <c r="R3450" s="1" t="s">
        <v>11609</v>
      </c>
      <c r="S3450" s="1"/>
      <c r="T3450" s="1" t="s">
        <v>47</v>
      </c>
      <c r="U3450" s="1"/>
      <c r="V3450" s="1">
        <v>32.24</v>
      </c>
      <c r="W3450" s="1">
        <v>32.24</v>
      </c>
      <c r="X3450" s="1" t="s">
        <v>35</v>
      </c>
      <c r="Y3450" s="1">
        <v>32240.0</v>
      </c>
      <c r="Z3450" s="1"/>
      <c r="AA3450" s="1">
        <v>32240.0</v>
      </c>
      <c r="AB3450" s="1"/>
      <c r="AC3450" s="1" t="s">
        <v>36</v>
      </c>
      <c r="AD3450" s="1" t="s">
        <v>12087</v>
      </c>
      <c r="AE3450" s="1" t="s">
        <v>32</v>
      </c>
      <c r="AF3450" s="1" t="s">
        <v>33</v>
      </c>
      <c r="AG3450" s="1" t="s">
        <v>49</v>
      </c>
    </row>
    <row r="3451" spans="1:33">
      <c r="A3451" t="s">
        <v>12088</v>
      </c>
      <c r="B3451" t="s">
        <v>12089</v>
      </c>
      <c r="C3451" t="s">
        <v>47</v>
      </c>
      <c r="E3451" t="s">
        <v>11609</v>
      </c>
      <c r="F3451" t="s">
        <v>11610</v>
      </c>
      <c r="G3451">
        <v>38.98</v>
      </c>
      <c r="H3451">
        <v>38.98</v>
      </c>
      <c r="I3451" t="s">
        <v>2206</v>
      </c>
      <c r="J3451" t="s">
        <v>49</v>
      </c>
      <c r="K3451" t="s">
        <v>31</v>
      </c>
      <c r="L3451" t="s">
        <v>32</v>
      </c>
      <c r="M3451" t="s">
        <v>33</v>
      </c>
      <c r="P3451" s="1" t="s">
        <v>12090</v>
      </c>
      <c r="Q3451" s="1" t="s">
        <v>11609</v>
      </c>
      <c r="R3451" s="1" t="s">
        <v>11609</v>
      </c>
      <c r="S3451" s="1"/>
      <c r="T3451" s="1" t="s">
        <v>47</v>
      </c>
      <c r="U3451" s="1"/>
      <c r="V3451" s="1">
        <v>38.98</v>
      </c>
      <c r="W3451" s="1">
        <v>38.98</v>
      </c>
      <c r="X3451" s="1" t="s">
        <v>35</v>
      </c>
      <c r="Y3451" s="1">
        <v>38980.0</v>
      </c>
      <c r="Z3451" s="1"/>
      <c r="AA3451" s="1">
        <v>38980.0</v>
      </c>
      <c r="AB3451" s="1"/>
      <c r="AC3451" s="1" t="s">
        <v>36</v>
      </c>
      <c r="AD3451" s="1" t="s">
        <v>12091</v>
      </c>
      <c r="AE3451" s="1" t="s">
        <v>32</v>
      </c>
      <c r="AF3451" s="1" t="s">
        <v>33</v>
      </c>
      <c r="AG3451" s="1" t="s">
        <v>49</v>
      </c>
    </row>
    <row r="3452" spans="1:33">
      <c r="A3452" t="s">
        <v>12092</v>
      </c>
      <c r="C3452" t="s">
        <v>12093</v>
      </c>
      <c r="D3452" t="s">
        <v>114</v>
      </c>
      <c r="E3452" t="s">
        <v>11609</v>
      </c>
      <c r="F3452" t="s">
        <v>11610</v>
      </c>
      <c r="G3452">
        <v>628.5</v>
      </c>
      <c r="H3452">
        <v>628.5</v>
      </c>
      <c r="I3452" t="s">
        <v>269</v>
      </c>
      <c r="J3452" t="s">
        <v>270</v>
      </c>
      <c r="K3452" t="s">
        <v>31</v>
      </c>
      <c r="L3452" t="s">
        <v>32</v>
      </c>
      <c r="M3452" t="s">
        <v>33</v>
      </c>
      <c r="P3452" s="1" t="s">
        <v>12094</v>
      </c>
      <c r="Q3452" s="1" t="s">
        <v>11609</v>
      </c>
      <c r="R3452" s="1" t="s">
        <v>11609</v>
      </c>
      <c r="S3452" s="1"/>
      <c r="T3452" s="1" t="s">
        <v>12093</v>
      </c>
      <c r="U3452" s="1"/>
      <c r="V3452" s="1">
        <v>628.5</v>
      </c>
      <c r="W3452" s="1">
        <v>628.5</v>
      </c>
      <c r="X3452" s="1" t="s">
        <v>35</v>
      </c>
      <c r="Y3452" s="1">
        <v>628500.0</v>
      </c>
      <c r="Z3452" s="1"/>
      <c r="AA3452" s="1">
        <v>628500.0</v>
      </c>
      <c r="AB3452" s="1"/>
      <c r="AC3452" s="1" t="s">
        <v>36</v>
      </c>
      <c r="AD3452" s="1" t="s">
        <v>12095</v>
      </c>
      <c r="AE3452" s="1" t="s">
        <v>32</v>
      </c>
      <c r="AF3452" s="1" t="s">
        <v>33</v>
      </c>
      <c r="AG3452" s="1" t="s">
        <v>270</v>
      </c>
    </row>
    <row r="3453" spans="1:33">
      <c r="A3453" t="s">
        <v>12096</v>
      </c>
      <c r="C3453" t="s">
        <v>6795</v>
      </c>
      <c r="D3453" t="s">
        <v>114</v>
      </c>
      <c r="E3453" t="s">
        <v>11609</v>
      </c>
      <c r="F3453" t="s">
        <v>11610</v>
      </c>
      <c r="G3453">
        <v>1.019</v>
      </c>
      <c r="H3453">
        <v>1.019</v>
      </c>
      <c r="I3453" t="s">
        <v>227</v>
      </c>
      <c r="J3453" t="s">
        <v>228</v>
      </c>
      <c r="K3453" t="s">
        <v>31</v>
      </c>
      <c r="L3453" t="s">
        <v>32</v>
      </c>
      <c r="M3453" t="s">
        <v>33</v>
      </c>
      <c r="P3453" s="1" t="s">
        <v>12097</v>
      </c>
      <c r="Q3453" s="1" t="s">
        <v>11609</v>
      </c>
      <c r="R3453" s="1" t="s">
        <v>11609</v>
      </c>
      <c r="S3453" s="1"/>
      <c r="T3453" s="1" t="s">
        <v>6795</v>
      </c>
      <c r="U3453" s="1"/>
      <c r="V3453" s="1">
        <v>1.019</v>
      </c>
      <c r="W3453" s="1">
        <v>1.019</v>
      </c>
      <c r="X3453" s="1" t="s">
        <v>35</v>
      </c>
      <c r="Y3453" s="1">
        <v>1019500.0</v>
      </c>
      <c r="Z3453" s="1"/>
      <c r="AA3453" s="1">
        <v>1019500.0</v>
      </c>
      <c r="AB3453" s="1"/>
      <c r="AC3453" s="1" t="s">
        <v>36</v>
      </c>
      <c r="AD3453" s="1" t="s">
        <v>12098</v>
      </c>
      <c r="AE3453" s="1" t="s">
        <v>32</v>
      </c>
      <c r="AF3453" s="1" t="s">
        <v>33</v>
      </c>
      <c r="AG3453" s="1" t="s">
        <v>228</v>
      </c>
    </row>
    <row r="3454" spans="1:33">
      <c r="A3454" t="s">
        <v>12099</v>
      </c>
      <c r="B3454" t="s">
        <v>2969</v>
      </c>
      <c r="C3454" t="s">
        <v>125</v>
      </c>
      <c r="E3454" t="s">
        <v>11609</v>
      </c>
      <c r="F3454" t="s">
        <v>11610</v>
      </c>
      <c r="G3454">
        <v>53.74</v>
      </c>
      <c r="H3454">
        <v>53.74</v>
      </c>
      <c r="I3454" t="s">
        <v>126</v>
      </c>
      <c r="J3454" t="s">
        <v>127</v>
      </c>
      <c r="K3454" t="s">
        <v>31</v>
      </c>
      <c r="L3454" t="s">
        <v>32</v>
      </c>
      <c r="M3454" t="s">
        <v>33</v>
      </c>
      <c r="P3454" s="1" t="s">
        <v>12100</v>
      </c>
      <c r="Q3454" s="1" t="s">
        <v>11609</v>
      </c>
      <c r="R3454" s="1" t="s">
        <v>11609</v>
      </c>
      <c r="S3454" s="1"/>
      <c r="T3454" s="1" t="s">
        <v>125</v>
      </c>
      <c r="U3454" s="1"/>
      <c r="V3454" s="1">
        <v>53.74</v>
      </c>
      <c r="W3454" s="1">
        <v>53.74</v>
      </c>
      <c r="X3454" s="1" t="s">
        <v>35</v>
      </c>
      <c r="Y3454" s="1">
        <v>53740.0</v>
      </c>
      <c r="Z3454" s="1"/>
      <c r="AA3454" s="1">
        <v>53740.0</v>
      </c>
      <c r="AB3454" s="1"/>
      <c r="AC3454" s="1" t="s">
        <v>36</v>
      </c>
      <c r="AD3454" s="1" t="s">
        <v>12101</v>
      </c>
      <c r="AE3454" s="1" t="s">
        <v>32</v>
      </c>
      <c r="AF3454" s="1" t="s">
        <v>33</v>
      </c>
      <c r="AG3454" s="1" t="s">
        <v>127</v>
      </c>
    </row>
    <row r="3455" spans="1:33">
      <c r="A3455" t="s">
        <v>12102</v>
      </c>
      <c r="B3455" t="s">
        <v>418</v>
      </c>
      <c r="C3455" t="s">
        <v>125</v>
      </c>
      <c r="E3455" t="s">
        <v>11609</v>
      </c>
      <c r="F3455" t="s">
        <v>11610</v>
      </c>
      <c r="G3455">
        <v>53.978</v>
      </c>
      <c r="H3455">
        <v>53.978</v>
      </c>
      <c r="I3455" t="s">
        <v>126</v>
      </c>
      <c r="J3455" t="s">
        <v>127</v>
      </c>
      <c r="K3455" t="s">
        <v>31</v>
      </c>
      <c r="L3455" t="s">
        <v>32</v>
      </c>
      <c r="M3455" t="s">
        <v>33</v>
      </c>
      <c r="P3455" s="1" t="s">
        <v>12103</v>
      </c>
      <c r="Q3455" s="1" t="s">
        <v>11609</v>
      </c>
      <c r="R3455" s="1" t="s">
        <v>11609</v>
      </c>
      <c r="S3455" s="1"/>
      <c r="T3455" s="1" t="s">
        <v>125</v>
      </c>
      <c r="U3455" s="1"/>
      <c r="V3455" s="1">
        <v>53.978</v>
      </c>
      <c r="W3455" s="1">
        <v>53.978</v>
      </c>
      <c r="X3455" s="1" t="s">
        <v>35</v>
      </c>
      <c r="Y3455" s="1">
        <v>53978.0</v>
      </c>
      <c r="Z3455" s="1"/>
      <c r="AA3455" s="1">
        <v>53978.0</v>
      </c>
      <c r="AB3455" s="1"/>
      <c r="AC3455" s="1" t="s">
        <v>36</v>
      </c>
      <c r="AD3455" s="1" t="s">
        <v>12087</v>
      </c>
      <c r="AE3455" s="1" t="s">
        <v>32</v>
      </c>
      <c r="AF3455" s="1" t="s">
        <v>33</v>
      </c>
      <c r="AG3455" s="1" t="s">
        <v>127</v>
      </c>
    </row>
    <row r="3456" spans="1:33">
      <c r="A3456" t="s">
        <v>12104</v>
      </c>
      <c r="C3456" t="s">
        <v>12105</v>
      </c>
      <c r="D3456" t="s">
        <v>114</v>
      </c>
      <c r="E3456" t="s">
        <v>11609</v>
      </c>
      <c r="F3456" t="s">
        <v>11610</v>
      </c>
      <c r="G3456">
        <v>444.5</v>
      </c>
      <c r="H3456">
        <v>444.5</v>
      </c>
      <c r="I3456" t="s">
        <v>126</v>
      </c>
      <c r="J3456" t="s">
        <v>127</v>
      </c>
      <c r="K3456" t="s">
        <v>31</v>
      </c>
      <c r="L3456" t="s">
        <v>32</v>
      </c>
      <c r="M3456" t="s">
        <v>33</v>
      </c>
      <c r="P3456" s="1" t="s">
        <v>12106</v>
      </c>
      <c r="Q3456" s="1" t="s">
        <v>11609</v>
      </c>
      <c r="R3456" s="1" t="s">
        <v>11609</v>
      </c>
      <c r="S3456" s="1"/>
      <c r="T3456" s="1" t="s">
        <v>12105</v>
      </c>
      <c r="U3456" s="1"/>
      <c r="V3456" s="1">
        <v>444.5</v>
      </c>
      <c r="W3456" s="1">
        <v>444.5</v>
      </c>
      <c r="X3456" s="1" t="s">
        <v>35</v>
      </c>
      <c r="Y3456" s="1">
        <v>444500.0</v>
      </c>
      <c r="Z3456" s="1"/>
      <c r="AA3456" s="1">
        <v>444500.0</v>
      </c>
      <c r="AB3456" s="1"/>
      <c r="AC3456" s="1" t="s">
        <v>36</v>
      </c>
      <c r="AD3456" s="1" t="s">
        <v>12107</v>
      </c>
      <c r="AE3456" s="1" t="s">
        <v>32</v>
      </c>
      <c r="AF3456" s="1" t="s">
        <v>33</v>
      </c>
      <c r="AG3456" s="1" t="s">
        <v>127</v>
      </c>
    </row>
    <row r="3457" spans="1:33">
      <c r="A3457" t="s">
        <v>12108</v>
      </c>
      <c r="B3457" t="s">
        <v>12109</v>
      </c>
      <c r="C3457" t="s">
        <v>314</v>
      </c>
      <c r="E3457" t="s">
        <v>11609</v>
      </c>
      <c r="F3457" t="s">
        <v>11610</v>
      </c>
      <c r="G3457">
        <v>8.94</v>
      </c>
      <c r="H3457">
        <v>8.94</v>
      </c>
      <c r="I3457" t="s">
        <v>179</v>
      </c>
      <c r="J3457" t="s">
        <v>180</v>
      </c>
      <c r="K3457" t="s">
        <v>31</v>
      </c>
      <c r="L3457" t="s">
        <v>32</v>
      </c>
      <c r="M3457" t="s">
        <v>33</v>
      </c>
      <c r="P3457" s="1" t="s">
        <v>12110</v>
      </c>
      <c r="Q3457" s="1" t="s">
        <v>11609</v>
      </c>
      <c r="R3457" s="1" t="s">
        <v>11609</v>
      </c>
      <c r="S3457" s="1"/>
      <c r="T3457" s="1" t="s">
        <v>314</v>
      </c>
      <c r="U3457" s="1"/>
      <c r="V3457" s="1">
        <v>8.94</v>
      </c>
      <c r="W3457" s="1">
        <v>8.94</v>
      </c>
      <c r="X3457" s="1" t="s">
        <v>35</v>
      </c>
      <c r="Y3457" s="1">
        <v>8940.0</v>
      </c>
      <c r="Z3457" s="1"/>
      <c r="AA3457" s="1">
        <v>8940.0</v>
      </c>
      <c r="AB3457" s="1"/>
      <c r="AC3457" s="1" t="s">
        <v>36</v>
      </c>
      <c r="AD3457" s="1" t="s">
        <v>12111</v>
      </c>
      <c r="AE3457" s="1" t="s">
        <v>32</v>
      </c>
      <c r="AF3457" s="1" t="s">
        <v>33</v>
      </c>
      <c r="AG3457" s="1" t="s">
        <v>180</v>
      </c>
    </row>
    <row r="3458" spans="1:33">
      <c r="A3458" t="s">
        <v>12112</v>
      </c>
      <c r="C3458" t="s">
        <v>5876</v>
      </c>
      <c r="E3458" t="s">
        <v>11609</v>
      </c>
      <c r="F3458" t="s">
        <v>11610</v>
      </c>
      <c r="G3458">
        <v>212.5</v>
      </c>
      <c r="H3458">
        <v>212.5</v>
      </c>
      <c r="I3458" t="s">
        <v>179</v>
      </c>
      <c r="J3458" t="s">
        <v>180</v>
      </c>
      <c r="K3458" t="s">
        <v>31</v>
      </c>
      <c r="L3458" t="s">
        <v>32</v>
      </c>
      <c r="M3458" t="s">
        <v>33</v>
      </c>
      <c r="P3458" s="1" t="s">
        <v>12113</v>
      </c>
      <c r="Q3458" s="1" t="s">
        <v>11609</v>
      </c>
      <c r="R3458" s="1" t="s">
        <v>11609</v>
      </c>
      <c r="S3458" s="1"/>
      <c r="T3458" s="1" t="s">
        <v>5876</v>
      </c>
      <c r="U3458" s="1"/>
      <c r="V3458" s="1">
        <v>212.5</v>
      </c>
      <c r="W3458" s="1">
        <v>212.5</v>
      </c>
      <c r="X3458" s="1" t="s">
        <v>35</v>
      </c>
      <c r="Y3458" s="1">
        <v>212500.0</v>
      </c>
      <c r="Z3458" s="1"/>
      <c r="AA3458" s="1">
        <v>212500.0</v>
      </c>
      <c r="AB3458" s="1"/>
      <c r="AC3458" s="1" t="s">
        <v>36</v>
      </c>
      <c r="AD3458" s="1" t="s">
        <v>12114</v>
      </c>
      <c r="AE3458" s="1" t="s">
        <v>32</v>
      </c>
      <c r="AF3458" s="1" t="s">
        <v>33</v>
      </c>
      <c r="AG3458" s="1" t="s">
        <v>180</v>
      </c>
    </row>
    <row r="3459" spans="1:33">
      <c r="A3459" t="s">
        <v>12115</v>
      </c>
      <c r="C3459" t="s">
        <v>489</v>
      </c>
      <c r="D3459" t="s">
        <v>154</v>
      </c>
      <c r="E3459" t="s">
        <v>11609</v>
      </c>
      <c r="F3459" t="s">
        <v>11610</v>
      </c>
      <c r="G3459">
        <v>924.0</v>
      </c>
      <c r="H3459">
        <v>924.0</v>
      </c>
      <c r="I3459" t="s">
        <v>227</v>
      </c>
      <c r="J3459" t="s">
        <v>228</v>
      </c>
      <c r="K3459" t="s">
        <v>31</v>
      </c>
      <c r="L3459" t="s">
        <v>32</v>
      </c>
      <c r="M3459" t="s">
        <v>33</v>
      </c>
      <c r="P3459" s="1" t="s">
        <v>12116</v>
      </c>
      <c r="Q3459" s="1" t="s">
        <v>11609</v>
      </c>
      <c r="R3459" s="1" t="s">
        <v>11609</v>
      </c>
      <c r="S3459" s="1"/>
      <c r="T3459" s="1" t="s">
        <v>489</v>
      </c>
      <c r="U3459" s="1"/>
      <c r="V3459" s="1">
        <v>924.0</v>
      </c>
      <c r="W3459" s="1">
        <v>924.0</v>
      </c>
      <c r="X3459" s="1" t="s">
        <v>35</v>
      </c>
      <c r="Y3459" s="1">
        <v>924000.0</v>
      </c>
      <c r="Z3459" s="1"/>
      <c r="AA3459" s="1">
        <v>924000.0</v>
      </c>
      <c r="AB3459" s="1"/>
      <c r="AC3459" s="1" t="s">
        <v>36</v>
      </c>
      <c r="AD3459" s="1" t="s">
        <v>12117</v>
      </c>
      <c r="AE3459" s="1" t="s">
        <v>32</v>
      </c>
      <c r="AF3459" s="1" t="s">
        <v>33</v>
      </c>
      <c r="AG3459" s="1" t="s">
        <v>228</v>
      </c>
    </row>
    <row r="3460" spans="1:33">
      <c r="A3460" t="s">
        <v>12118</v>
      </c>
      <c r="B3460" t="s">
        <v>9175</v>
      </c>
      <c r="C3460" t="s">
        <v>314</v>
      </c>
      <c r="E3460" t="s">
        <v>11609</v>
      </c>
      <c r="F3460" t="s">
        <v>11610</v>
      </c>
      <c r="G3460">
        <v>173.12</v>
      </c>
      <c r="H3460">
        <v>173.12</v>
      </c>
      <c r="I3460" t="s">
        <v>179</v>
      </c>
      <c r="J3460" t="s">
        <v>180</v>
      </c>
      <c r="K3460" t="s">
        <v>31</v>
      </c>
      <c r="L3460" t="s">
        <v>32</v>
      </c>
      <c r="M3460" t="s">
        <v>33</v>
      </c>
      <c r="P3460" s="1" t="s">
        <v>12119</v>
      </c>
      <c r="Q3460" s="1" t="s">
        <v>11609</v>
      </c>
      <c r="R3460" s="1" t="s">
        <v>11609</v>
      </c>
      <c r="S3460" s="1"/>
      <c r="T3460" s="1" t="s">
        <v>314</v>
      </c>
      <c r="U3460" s="1"/>
      <c r="V3460" s="1">
        <v>173.12</v>
      </c>
      <c r="W3460" s="1">
        <v>173.12</v>
      </c>
      <c r="X3460" s="1" t="s">
        <v>35</v>
      </c>
      <c r="Y3460" s="1">
        <v>173120.0</v>
      </c>
      <c r="Z3460" s="1"/>
      <c r="AA3460" s="1">
        <v>173120.0</v>
      </c>
      <c r="AB3460" s="1"/>
      <c r="AC3460" s="1" t="s">
        <v>36</v>
      </c>
      <c r="AD3460" s="1" t="s">
        <v>12120</v>
      </c>
      <c r="AE3460" s="1" t="s">
        <v>32</v>
      </c>
      <c r="AF3460" s="1" t="s">
        <v>33</v>
      </c>
      <c r="AG3460" s="1" t="s">
        <v>180</v>
      </c>
    </row>
    <row r="3461" spans="1:33">
      <c r="A3461" t="s">
        <v>12121</v>
      </c>
      <c r="C3461" t="s">
        <v>1692</v>
      </c>
      <c r="E3461" t="s">
        <v>11609</v>
      </c>
      <c r="F3461" t="s">
        <v>11610</v>
      </c>
      <c r="G3461">
        <v>453.702</v>
      </c>
      <c r="H3461">
        <v>453.702</v>
      </c>
      <c r="I3461" t="s">
        <v>179</v>
      </c>
      <c r="J3461" t="s">
        <v>180</v>
      </c>
      <c r="K3461" t="s">
        <v>31</v>
      </c>
      <c r="L3461" t="s">
        <v>32</v>
      </c>
      <c r="M3461" t="s">
        <v>33</v>
      </c>
      <c r="P3461" s="1" t="s">
        <v>12122</v>
      </c>
      <c r="Q3461" s="1" t="s">
        <v>11609</v>
      </c>
      <c r="R3461" s="1" t="s">
        <v>11609</v>
      </c>
      <c r="S3461" s="1"/>
      <c r="T3461" s="1" t="s">
        <v>1692</v>
      </c>
      <c r="U3461" s="1"/>
      <c r="V3461" s="1">
        <v>453.702</v>
      </c>
      <c r="W3461" s="1">
        <v>453.702</v>
      </c>
      <c r="X3461" s="1" t="s">
        <v>35</v>
      </c>
      <c r="Y3461" s="1">
        <v>453702.0</v>
      </c>
      <c r="Z3461" s="1"/>
      <c r="AA3461" s="1">
        <v>453702.0</v>
      </c>
      <c r="AB3461" s="1"/>
      <c r="AC3461" s="1" t="s">
        <v>36</v>
      </c>
      <c r="AD3461" s="1" t="s">
        <v>12123</v>
      </c>
      <c r="AE3461" s="1" t="s">
        <v>32</v>
      </c>
      <c r="AF3461" s="1" t="s">
        <v>33</v>
      </c>
      <c r="AG3461" s="1" t="s">
        <v>180</v>
      </c>
    </row>
    <row r="3462" spans="1:33">
      <c r="A3462" t="s">
        <v>12124</v>
      </c>
      <c r="C3462" t="s">
        <v>12125</v>
      </c>
      <c r="E3462" t="s">
        <v>11609</v>
      </c>
      <c r="F3462" t="s">
        <v>11610</v>
      </c>
      <c r="G3462">
        <v>1.542</v>
      </c>
      <c r="H3462">
        <v>1.542</v>
      </c>
      <c r="I3462" t="s">
        <v>40</v>
      </c>
      <c r="J3462" t="s">
        <v>41</v>
      </c>
      <c r="K3462" t="s">
        <v>31</v>
      </c>
      <c r="L3462" t="s">
        <v>32</v>
      </c>
      <c r="M3462" t="s">
        <v>33</v>
      </c>
      <c r="P3462" s="1" t="s">
        <v>12126</v>
      </c>
      <c r="Q3462" s="1" t="s">
        <v>11609</v>
      </c>
      <c r="R3462" s="1" t="s">
        <v>10933</v>
      </c>
      <c r="S3462" s="1"/>
      <c r="T3462" s="1" t="s">
        <v>12125</v>
      </c>
      <c r="U3462" s="1"/>
      <c r="V3462" s="1">
        <v>1.542</v>
      </c>
      <c r="W3462" s="1">
        <v>1.542</v>
      </c>
      <c r="X3462" s="1" t="s">
        <v>35</v>
      </c>
      <c r="Y3462" s="1">
        <v>1542500.0</v>
      </c>
      <c r="Z3462" s="1"/>
      <c r="AA3462" s="1">
        <v>1542500.0</v>
      </c>
      <c r="AB3462" s="1"/>
      <c r="AC3462" s="1" t="s">
        <v>36</v>
      </c>
      <c r="AD3462" s="1" t="s">
        <v>12127</v>
      </c>
      <c r="AE3462" s="1" t="s">
        <v>32</v>
      </c>
      <c r="AF3462" s="1" t="s">
        <v>33</v>
      </c>
      <c r="AG3462" s="1" t="s">
        <v>41</v>
      </c>
    </row>
    <row r="3463" spans="1:33">
      <c r="A3463" t="s">
        <v>12128</v>
      </c>
      <c r="C3463" t="s">
        <v>3083</v>
      </c>
      <c r="E3463" t="s">
        <v>11609</v>
      </c>
      <c r="F3463" t="s">
        <v>11610</v>
      </c>
      <c r="G3463">
        <v>3.15</v>
      </c>
      <c r="H3463">
        <v>3.15</v>
      </c>
      <c r="I3463" t="s">
        <v>126</v>
      </c>
      <c r="J3463" t="s">
        <v>127</v>
      </c>
      <c r="K3463" t="s">
        <v>31</v>
      </c>
      <c r="L3463" t="s">
        <v>32</v>
      </c>
      <c r="M3463" t="s">
        <v>33</v>
      </c>
      <c r="P3463" s="1" t="s">
        <v>12129</v>
      </c>
      <c r="Q3463" s="1" t="s">
        <v>11609</v>
      </c>
      <c r="R3463" s="1" t="s">
        <v>11609</v>
      </c>
      <c r="S3463" s="1"/>
      <c r="T3463" s="1" t="s">
        <v>3083</v>
      </c>
      <c r="U3463" s="1"/>
      <c r="V3463" s="1">
        <v>3.15</v>
      </c>
      <c r="W3463" s="1">
        <v>3.15</v>
      </c>
      <c r="X3463" s="1" t="s">
        <v>35</v>
      </c>
      <c r="Y3463" s="1">
        <v>3150000.0</v>
      </c>
      <c r="Z3463" s="1"/>
      <c r="AA3463" s="1">
        <v>3150000.0</v>
      </c>
      <c r="AB3463" s="1"/>
      <c r="AC3463" s="1" t="s">
        <v>36</v>
      </c>
      <c r="AD3463" s="1" t="s">
        <v>12127</v>
      </c>
      <c r="AE3463" s="1" t="s">
        <v>32</v>
      </c>
      <c r="AF3463" s="1" t="s">
        <v>33</v>
      </c>
      <c r="AG3463" s="1" t="s">
        <v>127</v>
      </c>
    </row>
    <row r="3464" spans="1:33">
      <c r="A3464" t="s">
        <v>12130</v>
      </c>
      <c r="C3464" t="s">
        <v>4388</v>
      </c>
      <c r="E3464" t="s">
        <v>11609</v>
      </c>
      <c r="F3464" t="s">
        <v>11610</v>
      </c>
      <c r="G3464">
        <v>158.0</v>
      </c>
      <c r="H3464">
        <v>158.0</v>
      </c>
      <c r="I3464" t="s">
        <v>227</v>
      </c>
      <c r="J3464" t="s">
        <v>228</v>
      </c>
      <c r="K3464" t="s">
        <v>31</v>
      </c>
      <c r="L3464" t="s">
        <v>32</v>
      </c>
      <c r="M3464" t="s">
        <v>33</v>
      </c>
      <c r="P3464" s="1" t="s">
        <v>12131</v>
      </c>
      <c r="Q3464" s="1" t="s">
        <v>11609</v>
      </c>
      <c r="R3464" s="1" t="s">
        <v>11609</v>
      </c>
      <c r="S3464" s="1"/>
      <c r="T3464" s="1" t="s">
        <v>4390</v>
      </c>
      <c r="U3464" s="1" t="s">
        <v>4391</v>
      </c>
      <c r="V3464" s="1">
        <v>158.0</v>
      </c>
      <c r="W3464" s="1">
        <v>158.0</v>
      </c>
      <c r="X3464" s="1" t="s">
        <v>35</v>
      </c>
      <c r="Y3464" s="1">
        <v>158000.0</v>
      </c>
      <c r="Z3464" s="1"/>
      <c r="AA3464" s="1">
        <v>158000.0</v>
      </c>
      <c r="AB3464" s="1"/>
      <c r="AC3464" s="1" t="s">
        <v>36</v>
      </c>
      <c r="AD3464" s="1" t="s">
        <v>12114</v>
      </c>
      <c r="AE3464" s="1" t="s">
        <v>32</v>
      </c>
      <c r="AF3464" s="1" t="s">
        <v>33</v>
      </c>
      <c r="AG3464" s="1" t="s">
        <v>228</v>
      </c>
    </row>
    <row r="3465" spans="1:33">
      <c r="A3465" t="s">
        <v>12132</v>
      </c>
      <c r="C3465" t="s">
        <v>3803</v>
      </c>
      <c r="E3465" t="s">
        <v>11609</v>
      </c>
      <c r="F3465" t="s">
        <v>11610</v>
      </c>
      <c r="G3465">
        <v>641.0</v>
      </c>
      <c r="H3465">
        <v>641.0</v>
      </c>
      <c r="I3465" t="s">
        <v>173</v>
      </c>
      <c r="J3465" t="s">
        <v>174</v>
      </c>
      <c r="K3465" t="s">
        <v>31</v>
      </c>
      <c r="L3465" t="s">
        <v>32</v>
      </c>
      <c r="M3465" t="s">
        <v>33</v>
      </c>
      <c r="P3465" s="1" t="s">
        <v>12133</v>
      </c>
      <c r="Q3465" s="1" t="s">
        <v>11609</v>
      </c>
      <c r="R3465" s="1" t="s">
        <v>11609</v>
      </c>
      <c r="S3465" s="1"/>
      <c r="T3465" s="1" t="s">
        <v>3803</v>
      </c>
      <c r="U3465" s="1"/>
      <c r="V3465" s="1">
        <v>641.0</v>
      </c>
      <c r="W3465" s="1">
        <v>641.0</v>
      </c>
      <c r="X3465" s="1" t="s">
        <v>35</v>
      </c>
      <c r="Y3465" s="1">
        <v>641000.0</v>
      </c>
      <c r="Z3465" s="1"/>
      <c r="AA3465" s="1">
        <v>641000.0</v>
      </c>
      <c r="AB3465" s="1"/>
      <c r="AC3465" s="1" t="s">
        <v>36</v>
      </c>
      <c r="AD3465" s="1" t="s">
        <v>12127</v>
      </c>
      <c r="AE3465" s="1" t="s">
        <v>32</v>
      </c>
      <c r="AF3465" s="1" t="s">
        <v>33</v>
      </c>
      <c r="AG3465" s="1" t="s">
        <v>174</v>
      </c>
    </row>
    <row r="3466" spans="1:33">
      <c r="A3466" t="s">
        <v>12134</v>
      </c>
      <c r="C3466" t="s">
        <v>2833</v>
      </c>
      <c r="E3466" t="s">
        <v>11609</v>
      </c>
      <c r="F3466" t="s">
        <v>11610</v>
      </c>
      <c r="G3466">
        <v>436.0</v>
      </c>
      <c r="H3466">
        <v>436.0</v>
      </c>
      <c r="I3466" t="s">
        <v>227</v>
      </c>
      <c r="J3466" t="s">
        <v>228</v>
      </c>
      <c r="K3466" t="s">
        <v>31</v>
      </c>
      <c r="L3466" t="s">
        <v>32</v>
      </c>
      <c r="M3466" t="s">
        <v>33</v>
      </c>
      <c r="P3466" s="1" t="s">
        <v>12135</v>
      </c>
      <c r="Q3466" s="1" t="s">
        <v>11609</v>
      </c>
      <c r="R3466" s="1" t="s">
        <v>11609</v>
      </c>
      <c r="S3466" s="1"/>
      <c r="T3466" s="1" t="s">
        <v>2833</v>
      </c>
      <c r="U3466" s="1"/>
      <c r="V3466" s="1">
        <v>436.0</v>
      </c>
      <c r="W3466" s="1">
        <v>436.0</v>
      </c>
      <c r="X3466" s="1" t="s">
        <v>35</v>
      </c>
      <c r="Y3466" s="1">
        <v>436000.0</v>
      </c>
      <c r="Z3466" s="1"/>
      <c r="AA3466" s="1">
        <v>436000.0</v>
      </c>
      <c r="AB3466" s="1"/>
      <c r="AC3466" s="1" t="s">
        <v>36</v>
      </c>
      <c r="AD3466" s="1" t="s">
        <v>12123</v>
      </c>
      <c r="AE3466" s="1" t="s">
        <v>32</v>
      </c>
      <c r="AF3466" s="1" t="s">
        <v>33</v>
      </c>
      <c r="AG3466" s="1" t="s">
        <v>228</v>
      </c>
    </row>
    <row r="3467" spans="1:33">
      <c r="A3467" t="s">
        <v>12136</v>
      </c>
      <c r="B3467" t="s">
        <v>12137</v>
      </c>
      <c r="C3467" t="s">
        <v>314</v>
      </c>
      <c r="E3467" t="s">
        <v>11609</v>
      </c>
      <c r="F3467" t="s">
        <v>11610</v>
      </c>
      <c r="G3467">
        <v>22.24</v>
      </c>
      <c r="H3467">
        <v>22.24</v>
      </c>
      <c r="I3467" t="s">
        <v>179</v>
      </c>
      <c r="J3467" t="s">
        <v>180</v>
      </c>
      <c r="K3467" t="s">
        <v>31</v>
      </c>
      <c r="L3467" t="s">
        <v>32</v>
      </c>
      <c r="M3467" t="s">
        <v>33</v>
      </c>
      <c r="P3467" s="1" t="s">
        <v>12138</v>
      </c>
      <c r="Q3467" s="1" t="s">
        <v>11609</v>
      </c>
      <c r="R3467" s="1" t="s">
        <v>11609</v>
      </c>
      <c r="S3467" s="1"/>
      <c r="T3467" s="1" t="s">
        <v>314</v>
      </c>
      <c r="U3467" s="1"/>
      <c r="V3467" s="1">
        <v>22.24</v>
      </c>
      <c r="W3467" s="1">
        <v>22.24</v>
      </c>
      <c r="X3467" s="1" t="s">
        <v>35</v>
      </c>
      <c r="Y3467" s="1">
        <v>22240.0</v>
      </c>
      <c r="Z3467" s="1"/>
      <c r="AA3467" s="1">
        <v>22240.0</v>
      </c>
      <c r="AB3467" s="1"/>
      <c r="AC3467" s="1" t="s">
        <v>36</v>
      </c>
      <c r="AD3467" s="1" t="s">
        <v>12139</v>
      </c>
      <c r="AE3467" s="1" t="s">
        <v>32</v>
      </c>
      <c r="AF3467" s="1" t="s">
        <v>33</v>
      </c>
      <c r="AG3467" s="1" t="s">
        <v>180</v>
      </c>
    </row>
    <row r="3468" spans="1:33">
      <c r="A3468" t="s">
        <v>12140</v>
      </c>
      <c r="B3468" t="s">
        <v>12141</v>
      </c>
      <c r="C3468" t="s">
        <v>172</v>
      </c>
      <c r="E3468" t="s">
        <v>11609</v>
      </c>
      <c r="F3468" t="s">
        <v>11610</v>
      </c>
      <c r="G3468">
        <v>21.99</v>
      </c>
      <c r="H3468">
        <v>21.99</v>
      </c>
      <c r="I3468" t="s">
        <v>173</v>
      </c>
      <c r="J3468" t="s">
        <v>174</v>
      </c>
      <c r="K3468" t="s">
        <v>31</v>
      </c>
      <c r="L3468" t="s">
        <v>32</v>
      </c>
      <c r="M3468" t="s">
        <v>33</v>
      </c>
      <c r="P3468" s="1" t="s">
        <v>12142</v>
      </c>
      <c r="Q3468" s="1" t="s">
        <v>11609</v>
      </c>
      <c r="R3468" s="1" t="s">
        <v>11609</v>
      </c>
      <c r="S3468" s="1"/>
      <c r="T3468" s="1" t="s">
        <v>172</v>
      </c>
      <c r="U3468" s="1"/>
      <c r="V3468" s="1">
        <v>21.99</v>
      </c>
      <c r="W3468" s="1">
        <v>21.99</v>
      </c>
      <c r="X3468" s="1" t="s">
        <v>35</v>
      </c>
      <c r="Y3468" s="1">
        <v>21990.0</v>
      </c>
      <c r="Z3468" s="1"/>
      <c r="AA3468" s="1">
        <v>21990.0</v>
      </c>
      <c r="AB3468" s="1"/>
      <c r="AC3468" s="1" t="s">
        <v>36</v>
      </c>
      <c r="AD3468" s="1" t="s">
        <v>12143</v>
      </c>
      <c r="AE3468" s="1" t="s">
        <v>32</v>
      </c>
      <c r="AF3468" s="1" t="s">
        <v>33</v>
      </c>
      <c r="AG3468" s="1" t="s">
        <v>174</v>
      </c>
    </row>
    <row r="3469" spans="1:33">
      <c r="A3469" t="s">
        <v>12144</v>
      </c>
      <c r="B3469" t="s">
        <v>12145</v>
      </c>
      <c r="C3469" t="s">
        <v>314</v>
      </c>
      <c r="E3469" t="s">
        <v>11609</v>
      </c>
      <c r="F3469" t="s">
        <v>11610</v>
      </c>
      <c r="G3469">
        <v>27.53</v>
      </c>
      <c r="H3469">
        <v>27.53</v>
      </c>
      <c r="I3469" t="s">
        <v>179</v>
      </c>
      <c r="J3469" t="s">
        <v>180</v>
      </c>
      <c r="K3469" t="s">
        <v>31</v>
      </c>
      <c r="L3469" t="s">
        <v>32</v>
      </c>
      <c r="M3469" t="s">
        <v>33</v>
      </c>
      <c r="P3469" s="1" t="s">
        <v>12146</v>
      </c>
      <c r="Q3469" s="1" t="s">
        <v>11609</v>
      </c>
      <c r="R3469" s="1" t="s">
        <v>11609</v>
      </c>
      <c r="S3469" s="1"/>
      <c r="T3469" s="1" t="s">
        <v>314</v>
      </c>
      <c r="U3469" s="1"/>
      <c r="V3469" s="1">
        <v>27.53</v>
      </c>
      <c r="W3469" s="1">
        <v>27.53</v>
      </c>
      <c r="X3469" s="1" t="s">
        <v>35</v>
      </c>
      <c r="Y3469" s="1">
        <v>27530.0</v>
      </c>
      <c r="Z3469" s="1"/>
      <c r="AA3469" s="1">
        <v>27530.0</v>
      </c>
      <c r="AB3469" s="1"/>
      <c r="AC3469" s="1" t="s">
        <v>36</v>
      </c>
      <c r="AD3469" s="1" t="s">
        <v>12147</v>
      </c>
      <c r="AE3469" s="1" t="s">
        <v>32</v>
      </c>
      <c r="AF3469" s="1" t="s">
        <v>33</v>
      </c>
      <c r="AG3469" s="1" t="s">
        <v>180</v>
      </c>
    </row>
    <row r="3470" spans="1:33">
      <c r="A3470" t="s">
        <v>12148</v>
      </c>
      <c r="B3470" t="s">
        <v>1666</v>
      </c>
      <c r="C3470" t="s">
        <v>26</v>
      </c>
      <c r="E3470" t="s">
        <v>11609</v>
      </c>
      <c r="F3470" t="s">
        <v>11610</v>
      </c>
      <c r="G3470">
        <v>2.25</v>
      </c>
      <c r="H3470">
        <v>2.25</v>
      </c>
      <c r="I3470" t="s">
        <v>29</v>
      </c>
      <c r="J3470" t="s">
        <v>30</v>
      </c>
      <c r="K3470" t="s">
        <v>31</v>
      </c>
      <c r="L3470" t="s">
        <v>32</v>
      </c>
      <c r="M3470" t="s">
        <v>33</v>
      </c>
      <c r="P3470" s="1" t="s">
        <v>12149</v>
      </c>
      <c r="Q3470" s="1" t="s">
        <v>11609</v>
      </c>
      <c r="R3470" s="1" t="s">
        <v>11609</v>
      </c>
      <c r="S3470" s="1"/>
      <c r="T3470" s="1" t="s">
        <v>26</v>
      </c>
      <c r="U3470" s="1"/>
      <c r="V3470" s="1">
        <v>2.25</v>
      </c>
      <c r="W3470" s="1">
        <v>2.25</v>
      </c>
      <c r="X3470" s="1" t="s">
        <v>35</v>
      </c>
      <c r="Y3470" s="1">
        <v>2250.0</v>
      </c>
      <c r="Z3470" s="1"/>
      <c r="AA3470" s="1">
        <v>2250.0</v>
      </c>
      <c r="AB3470" s="1"/>
      <c r="AC3470" s="1" t="s">
        <v>36</v>
      </c>
      <c r="AD3470" s="1" t="s">
        <v>12150</v>
      </c>
      <c r="AE3470" s="1" t="s">
        <v>32</v>
      </c>
      <c r="AF3470" s="1" t="s">
        <v>33</v>
      </c>
      <c r="AG3470" s="1" t="s">
        <v>30</v>
      </c>
    </row>
    <row r="3471" spans="1:33">
      <c r="A3471" t="s">
        <v>12151</v>
      </c>
      <c r="B3471" t="s">
        <v>12152</v>
      </c>
      <c r="C3471" t="s">
        <v>314</v>
      </c>
      <c r="E3471" t="s">
        <v>11609</v>
      </c>
      <c r="F3471" t="s">
        <v>11610</v>
      </c>
      <c r="G3471">
        <v>44.48</v>
      </c>
      <c r="H3471">
        <v>44.48</v>
      </c>
      <c r="I3471" t="s">
        <v>179</v>
      </c>
      <c r="J3471" t="s">
        <v>180</v>
      </c>
      <c r="K3471" t="s">
        <v>31</v>
      </c>
      <c r="L3471" t="s">
        <v>32</v>
      </c>
      <c r="M3471" t="s">
        <v>33</v>
      </c>
      <c r="P3471" s="1" t="s">
        <v>12153</v>
      </c>
      <c r="Q3471" s="1" t="s">
        <v>11609</v>
      </c>
      <c r="R3471" s="1" t="s">
        <v>11609</v>
      </c>
      <c r="S3471" s="1"/>
      <c r="T3471" s="1" t="s">
        <v>314</v>
      </c>
      <c r="U3471" s="1"/>
      <c r="V3471" s="1">
        <v>44.48</v>
      </c>
      <c r="W3471" s="1">
        <v>44.48</v>
      </c>
      <c r="X3471" s="1" t="s">
        <v>35</v>
      </c>
      <c r="Y3471" s="1">
        <v>44480.0</v>
      </c>
      <c r="Z3471" s="1"/>
      <c r="AA3471" s="1">
        <v>44480.0</v>
      </c>
      <c r="AB3471" s="1"/>
      <c r="AC3471" s="1" t="s">
        <v>36</v>
      </c>
      <c r="AD3471" s="1" t="s">
        <v>12154</v>
      </c>
      <c r="AE3471" s="1" t="s">
        <v>32</v>
      </c>
      <c r="AF3471" s="1" t="s">
        <v>33</v>
      </c>
      <c r="AG3471" s="1" t="s">
        <v>180</v>
      </c>
    </row>
    <row r="3472" spans="1:33">
      <c r="A3472" t="s">
        <v>12155</v>
      </c>
      <c r="C3472" t="s">
        <v>1892</v>
      </c>
      <c r="E3472" t="s">
        <v>11609</v>
      </c>
      <c r="F3472" t="s">
        <v>11610</v>
      </c>
      <c r="G3472">
        <v>1.652</v>
      </c>
      <c r="H3472">
        <v>1.652</v>
      </c>
      <c r="I3472" t="s">
        <v>40</v>
      </c>
      <c r="J3472" t="s">
        <v>41</v>
      </c>
      <c r="K3472" t="s">
        <v>31</v>
      </c>
      <c r="L3472" t="s">
        <v>32</v>
      </c>
      <c r="M3472" t="s">
        <v>33</v>
      </c>
      <c r="P3472" s="1" t="s">
        <v>12156</v>
      </c>
      <c r="Q3472" s="1" t="s">
        <v>11609</v>
      </c>
      <c r="R3472" s="1" t="s">
        <v>10933</v>
      </c>
      <c r="S3472" s="1"/>
      <c r="T3472" s="1" t="s">
        <v>1892</v>
      </c>
      <c r="U3472" s="1"/>
      <c r="V3472" s="1">
        <v>1.652</v>
      </c>
      <c r="W3472" s="1">
        <v>1.652</v>
      </c>
      <c r="X3472" s="1" t="s">
        <v>35</v>
      </c>
      <c r="Y3472" s="1">
        <v>1652000.0</v>
      </c>
      <c r="Z3472" s="1"/>
      <c r="AA3472" s="1">
        <v>1652000.0</v>
      </c>
      <c r="AB3472" s="1"/>
      <c r="AC3472" s="1" t="s">
        <v>36</v>
      </c>
      <c r="AD3472" s="1" t="s">
        <v>12157</v>
      </c>
      <c r="AE3472" s="1" t="s">
        <v>32</v>
      </c>
      <c r="AF3472" s="1" t="s">
        <v>33</v>
      </c>
      <c r="AG3472" s="1" t="s">
        <v>41</v>
      </c>
    </row>
    <row r="3473" spans="1:33">
      <c r="A3473" t="s">
        <v>12158</v>
      </c>
      <c r="B3473" t="s">
        <v>12159</v>
      </c>
      <c r="C3473" t="s">
        <v>125</v>
      </c>
      <c r="E3473" t="s">
        <v>11609</v>
      </c>
      <c r="F3473" t="s">
        <v>11610</v>
      </c>
      <c r="G3473">
        <v>7.049</v>
      </c>
      <c r="H3473">
        <v>7.049</v>
      </c>
      <c r="I3473" t="s">
        <v>126</v>
      </c>
      <c r="J3473" t="s">
        <v>127</v>
      </c>
      <c r="K3473" t="s">
        <v>31</v>
      </c>
      <c r="L3473" t="s">
        <v>32</v>
      </c>
      <c r="M3473" t="s">
        <v>33</v>
      </c>
      <c r="P3473" s="1" t="s">
        <v>12160</v>
      </c>
      <c r="Q3473" s="1" t="s">
        <v>11609</v>
      </c>
      <c r="R3473" s="1" t="s">
        <v>11609</v>
      </c>
      <c r="S3473" s="1"/>
      <c r="T3473" s="1" t="s">
        <v>125</v>
      </c>
      <c r="U3473" s="1"/>
      <c r="V3473" s="1">
        <v>7.049</v>
      </c>
      <c r="W3473" s="1">
        <v>7.049</v>
      </c>
      <c r="X3473" s="1" t="s">
        <v>35</v>
      </c>
      <c r="Y3473" s="1">
        <v>7049.0</v>
      </c>
      <c r="Z3473" s="1"/>
      <c r="AA3473" s="1">
        <v>7049.0</v>
      </c>
      <c r="AB3473" s="1"/>
      <c r="AC3473" s="1" t="s">
        <v>36</v>
      </c>
      <c r="AD3473" s="1" t="s">
        <v>12161</v>
      </c>
      <c r="AE3473" s="1" t="s">
        <v>32</v>
      </c>
      <c r="AF3473" s="1" t="s">
        <v>33</v>
      </c>
      <c r="AG3473" s="1" t="s">
        <v>127</v>
      </c>
    </row>
    <row r="3474" spans="1:33">
      <c r="A3474" t="s">
        <v>12162</v>
      </c>
      <c r="B3474" t="s">
        <v>439</v>
      </c>
      <c r="C3474" t="s">
        <v>440</v>
      </c>
      <c r="E3474" t="s">
        <v>11609</v>
      </c>
      <c r="F3474" t="s">
        <v>11610</v>
      </c>
      <c r="G3474">
        <v>63.0</v>
      </c>
      <c r="H3474">
        <v>63.0</v>
      </c>
      <c r="I3474" t="s">
        <v>59</v>
      </c>
      <c r="J3474" t="s">
        <v>60</v>
      </c>
      <c r="K3474" t="s">
        <v>31</v>
      </c>
      <c r="L3474" t="s">
        <v>32</v>
      </c>
      <c r="M3474" t="s">
        <v>33</v>
      </c>
      <c r="P3474" s="1" t="s">
        <v>12163</v>
      </c>
      <c r="Q3474" s="1" t="s">
        <v>11609</v>
      </c>
      <c r="R3474" s="1" t="s">
        <v>11609</v>
      </c>
      <c r="S3474" s="1"/>
      <c r="T3474" s="1" t="s">
        <v>440</v>
      </c>
      <c r="U3474" s="1"/>
      <c r="V3474" s="1">
        <v>63.0</v>
      </c>
      <c r="W3474" s="1">
        <v>63.0</v>
      </c>
      <c r="X3474" s="1" t="s">
        <v>35</v>
      </c>
      <c r="Y3474" s="1">
        <v>63000.0</v>
      </c>
      <c r="Z3474" s="1"/>
      <c r="AA3474" s="1">
        <v>63000.0</v>
      </c>
      <c r="AB3474" s="1"/>
      <c r="AC3474" s="1" t="s">
        <v>36</v>
      </c>
      <c r="AD3474" s="1" t="s">
        <v>12164</v>
      </c>
      <c r="AE3474" s="1" t="s">
        <v>32</v>
      </c>
      <c r="AF3474" s="1" t="s">
        <v>33</v>
      </c>
      <c r="AG3474" s="1" t="s">
        <v>60</v>
      </c>
    </row>
    <row r="3475" spans="1:33">
      <c r="A3475" t="s">
        <v>12165</v>
      </c>
      <c r="C3475" t="s">
        <v>1087</v>
      </c>
      <c r="E3475" t="s">
        <v>11609</v>
      </c>
      <c r="F3475" t="s">
        <v>11610</v>
      </c>
      <c r="G3475">
        <v>328.0</v>
      </c>
      <c r="H3475">
        <v>328.0</v>
      </c>
      <c r="I3475" t="s">
        <v>269</v>
      </c>
      <c r="J3475" t="s">
        <v>270</v>
      </c>
      <c r="K3475" t="s">
        <v>31</v>
      </c>
      <c r="L3475" t="s">
        <v>32</v>
      </c>
      <c r="M3475" t="s">
        <v>33</v>
      </c>
      <c r="P3475" s="1" t="s">
        <v>12166</v>
      </c>
      <c r="Q3475" s="1" t="s">
        <v>11609</v>
      </c>
      <c r="R3475" s="1" t="s">
        <v>11609</v>
      </c>
      <c r="S3475" s="1"/>
      <c r="T3475" s="1" t="s">
        <v>1087</v>
      </c>
      <c r="U3475" s="1"/>
      <c r="V3475" s="1">
        <v>328.0</v>
      </c>
      <c r="W3475" s="1">
        <v>328.0</v>
      </c>
      <c r="X3475" s="1" t="s">
        <v>35</v>
      </c>
      <c r="Y3475" s="1">
        <v>328000.0</v>
      </c>
      <c r="Z3475" s="1"/>
      <c r="AA3475" s="1">
        <v>328000.0</v>
      </c>
      <c r="AB3475" s="1"/>
      <c r="AC3475" s="1" t="s">
        <v>36</v>
      </c>
      <c r="AD3475" s="1" t="s">
        <v>12167</v>
      </c>
      <c r="AE3475" s="1" t="s">
        <v>32</v>
      </c>
      <c r="AF3475" s="1" t="s">
        <v>33</v>
      </c>
      <c r="AG3475" s="1" t="s">
        <v>270</v>
      </c>
    </row>
    <row r="3476" spans="1:33">
      <c r="A3476" t="s">
        <v>12168</v>
      </c>
      <c r="C3476" t="s">
        <v>2876</v>
      </c>
      <c r="E3476" t="s">
        <v>11609</v>
      </c>
      <c r="F3476" t="s">
        <v>11610</v>
      </c>
      <c r="G3476">
        <v>656.0</v>
      </c>
      <c r="H3476">
        <v>656.0</v>
      </c>
      <c r="I3476" t="s">
        <v>269</v>
      </c>
      <c r="J3476" t="s">
        <v>270</v>
      </c>
      <c r="K3476" t="s">
        <v>31</v>
      </c>
      <c r="L3476" t="s">
        <v>32</v>
      </c>
      <c r="M3476" t="s">
        <v>33</v>
      </c>
      <c r="P3476" s="1" t="s">
        <v>12169</v>
      </c>
      <c r="Q3476" s="1" t="s">
        <v>11609</v>
      </c>
      <c r="R3476" s="1" t="s">
        <v>11609</v>
      </c>
      <c r="S3476" s="1"/>
      <c r="T3476" s="1" t="s">
        <v>2876</v>
      </c>
      <c r="U3476" s="1"/>
      <c r="V3476" s="1">
        <v>656.0</v>
      </c>
      <c r="W3476" s="1">
        <v>656.0</v>
      </c>
      <c r="X3476" s="1" t="s">
        <v>35</v>
      </c>
      <c r="Y3476" s="1">
        <v>656000.0</v>
      </c>
      <c r="Z3476" s="1"/>
      <c r="AA3476" s="1">
        <v>656000.0</v>
      </c>
      <c r="AB3476" s="1"/>
      <c r="AC3476" s="1" t="s">
        <v>36</v>
      </c>
      <c r="AD3476" s="1" t="s">
        <v>12170</v>
      </c>
      <c r="AE3476" s="1" t="s">
        <v>32</v>
      </c>
      <c r="AF3476" s="1" t="s">
        <v>33</v>
      </c>
      <c r="AG3476" s="1" t="s">
        <v>270</v>
      </c>
    </row>
    <row r="3477" spans="1:33">
      <c r="A3477" t="s">
        <v>12171</v>
      </c>
      <c r="B3477" t="s">
        <v>12172</v>
      </c>
      <c r="C3477" t="s">
        <v>268</v>
      </c>
      <c r="E3477" t="s">
        <v>11609</v>
      </c>
      <c r="F3477" t="s">
        <v>11610</v>
      </c>
      <c r="G3477">
        <v>57.15</v>
      </c>
      <c r="H3477">
        <v>57.15</v>
      </c>
      <c r="I3477" t="s">
        <v>269</v>
      </c>
      <c r="J3477" t="s">
        <v>270</v>
      </c>
      <c r="K3477" t="s">
        <v>31</v>
      </c>
      <c r="L3477" t="s">
        <v>32</v>
      </c>
      <c r="M3477" t="s">
        <v>33</v>
      </c>
      <c r="P3477" s="1" t="s">
        <v>12173</v>
      </c>
      <c r="Q3477" s="1" t="s">
        <v>11609</v>
      </c>
      <c r="R3477" s="1" t="s">
        <v>11609</v>
      </c>
      <c r="S3477" s="1"/>
      <c r="T3477" s="1" t="s">
        <v>268</v>
      </c>
      <c r="U3477" s="1"/>
      <c r="V3477" s="1">
        <v>57.15</v>
      </c>
      <c r="W3477" s="1">
        <v>57.15</v>
      </c>
      <c r="X3477" s="1" t="s">
        <v>35</v>
      </c>
      <c r="Y3477" s="1">
        <v>57150.0</v>
      </c>
      <c r="Z3477" s="1"/>
      <c r="AA3477" s="1">
        <v>57150.0</v>
      </c>
      <c r="AB3477" s="1"/>
      <c r="AC3477" s="1" t="s">
        <v>36</v>
      </c>
      <c r="AD3477" s="1" t="s">
        <v>12174</v>
      </c>
      <c r="AE3477" s="1" t="s">
        <v>32</v>
      </c>
      <c r="AF3477" s="1" t="s">
        <v>33</v>
      </c>
      <c r="AG3477" s="1" t="s">
        <v>270</v>
      </c>
    </row>
    <row r="3478" spans="1:33">
      <c r="A3478" t="s">
        <v>12175</v>
      </c>
      <c r="B3478" t="s">
        <v>12176</v>
      </c>
      <c r="C3478" t="s">
        <v>125</v>
      </c>
      <c r="E3478" t="s">
        <v>11609</v>
      </c>
      <c r="F3478" t="s">
        <v>11610</v>
      </c>
      <c r="G3478">
        <v>21.99</v>
      </c>
      <c r="H3478">
        <v>21.99</v>
      </c>
      <c r="I3478" t="s">
        <v>126</v>
      </c>
      <c r="J3478" t="s">
        <v>127</v>
      </c>
      <c r="K3478" t="s">
        <v>31</v>
      </c>
      <c r="L3478" t="s">
        <v>32</v>
      </c>
      <c r="M3478" t="s">
        <v>33</v>
      </c>
      <c r="P3478" s="1" t="s">
        <v>12177</v>
      </c>
      <c r="Q3478" s="1" t="s">
        <v>11609</v>
      </c>
      <c r="R3478" s="1" t="s">
        <v>11609</v>
      </c>
      <c r="S3478" s="1"/>
      <c r="T3478" s="1" t="s">
        <v>125</v>
      </c>
      <c r="U3478" s="1"/>
      <c r="V3478" s="1">
        <v>21.99</v>
      </c>
      <c r="W3478" s="1">
        <v>21.99</v>
      </c>
      <c r="X3478" s="1" t="s">
        <v>35</v>
      </c>
      <c r="Y3478" s="1">
        <v>21990.0</v>
      </c>
      <c r="Z3478" s="1"/>
      <c r="AA3478" s="1">
        <v>21990.0</v>
      </c>
      <c r="AB3478" s="1"/>
      <c r="AC3478" s="1" t="s">
        <v>36</v>
      </c>
      <c r="AD3478" s="1" t="s">
        <v>12178</v>
      </c>
      <c r="AE3478" s="1" t="s">
        <v>32</v>
      </c>
      <c r="AF3478" s="1" t="s">
        <v>33</v>
      </c>
      <c r="AG3478" s="1" t="s">
        <v>127</v>
      </c>
    </row>
    <row r="3479" spans="1:33">
      <c r="A3479" t="s">
        <v>12179</v>
      </c>
      <c r="B3479" t="s">
        <v>12180</v>
      </c>
      <c r="C3479" t="s">
        <v>268</v>
      </c>
      <c r="E3479" t="s">
        <v>11609</v>
      </c>
      <c r="F3479" t="s">
        <v>11610</v>
      </c>
      <c r="G3479">
        <v>49.75</v>
      </c>
      <c r="H3479">
        <v>49.75</v>
      </c>
      <c r="I3479" t="s">
        <v>269</v>
      </c>
      <c r="J3479" t="s">
        <v>270</v>
      </c>
      <c r="K3479" t="s">
        <v>31</v>
      </c>
      <c r="L3479" t="s">
        <v>32</v>
      </c>
      <c r="M3479" t="s">
        <v>33</v>
      </c>
      <c r="P3479" s="1" t="s">
        <v>12181</v>
      </c>
      <c r="Q3479" s="1" t="s">
        <v>11609</v>
      </c>
      <c r="R3479" s="1" t="s">
        <v>11609</v>
      </c>
      <c r="S3479" s="1"/>
      <c r="T3479" s="1" t="s">
        <v>268</v>
      </c>
      <c r="U3479" s="1"/>
      <c r="V3479" s="1">
        <v>49.75</v>
      </c>
      <c r="W3479" s="1">
        <v>49.75</v>
      </c>
      <c r="X3479" s="1" t="s">
        <v>35</v>
      </c>
      <c r="Y3479" s="1">
        <v>49750.0</v>
      </c>
      <c r="Z3479" s="1"/>
      <c r="AA3479" s="1">
        <v>49750.0</v>
      </c>
      <c r="AB3479" s="1"/>
      <c r="AC3479" s="1" t="s">
        <v>36</v>
      </c>
      <c r="AD3479" s="1" t="s">
        <v>12182</v>
      </c>
      <c r="AE3479" s="1" t="s">
        <v>32</v>
      </c>
      <c r="AF3479" s="1" t="s">
        <v>33</v>
      </c>
      <c r="AG3479" s="1" t="s">
        <v>270</v>
      </c>
    </row>
    <row r="3480" spans="1:33">
      <c r="A3480" t="s">
        <v>12183</v>
      </c>
      <c r="C3480" t="s">
        <v>12184</v>
      </c>
      <c r="E3480" t="s">
        <v>11609</v>
      </c>
      <c r="F3480" t="s">
        <v>11610</v>
      </c>
      <c r="G3480">
        <v>1.6</v>
      </c>
      <c r="H3480">
        <v>1.6</v>
      </c>
      <c r="I3480" t="s">
        <v>570</v>
      </c>
      <c r="J3480" t="s">
        <v>571</v>
      </c>
      <c r="K3480" t="s">
        <v>31</v>
      </c>
      <c r="L3480" t="s">
        <v>32</v>
      </c>
      <c r="M3480" t="s">
        <v>33</v>
      </c>
      <c r="P3480" s="1" t="s">
        <v>12185</v>
      </c>
      <c r="Q3480" s="1" t="s">
        <v>11609</v>
      </c>
      <c r="R3480" s="1" t="s">
        <v>11609</v>
      </c>
      <c r="S3480" s="1"/>
      <c r="T3480" s="1" t="s">
        <v>12184</v>
      </c>
      <c r="U3480" s="1"/>
      <c r="V3480" s="1">
        <v>1.6</v>
      </c>
      <c r="W3480" s="1">
        <v>1.6</v>
      </c>
      <c r="X3480" s="1" t="s">
        <v>35</v>
      </c>
      <c r="Y3480" s="1">
        <v>1600000.0</v>
      </c>
      <c r="Z3480" s="1"/>
      <c r="AA3480" s="1">
        <v>1600000.0</v>
      </c>
      <c r="AB3480" s="1"/>
      <c r="AC3480" s="1" t="s">
        <v>36</v>
      </c>
      <c r="AD3480" s="1" t="s">
        <v>12139</v>
      </c>
      <c r="AE3480" s="1" t="s">
        <v>32</v>
      </c>
      <c r="AF3480" s="1" t="s">
        <v>33</v>
      </c>
      <c r="AG3480" s="1" t="s">
        <v>571</v>
      </c>
    </row>
    <row r="3481" spans="1:33">
      <c r="A3481" t="s">
        <v>12186</v>
      </c>
      <c r="C3481" t="s">
        <v>1137</v>
      </c>
      <c r="E3481" t="s">
        <v>11609</v>
      </c>
      <c r="F3481" t="s">
        <v>11610</v>
      </c>
      <c r="G3481">
        <v>599.0</v>
      </c>
      <c r="H3481">
        <v>599.0</v>
      </c>
      <c r="I3481" t="s">
        <v>269</v>
      </c>
      <c r="J3481" t="s">
        <v>270</v>
      </c>
      <c r="K3481" t="s">
        <v>31</v>
      </c>
      <c r="L3481" t="s">
        <v>32</v>
      </c>
      <c r="M3481" t="s">
        <v>33</v>
      </c>
      <c r="P3481" s="1" t="s">
        <v>12187</v>
      </c>
      <c r="Q3481" s="1" t="s">
        <v>11609</v>
      </c>
      <c r="R3481" s="1" t="s">
        <v>11609</v>
      </c>
      <c r="S3481" s="1"/>
      <c r="T3481" s="1" t="s">
        <v>1139</v>
      </c>
      <c r="U3481" s="1" t="s">
        <v>1140</v>
      </c>
      <c r="V3481" s="1">
        <v>599.0</v>
      </c>
      <c r="W3481" s="1">
        <v>599.0</v>
      </c>
      <c r="X3481" s="1" t="s">
        <v>35</v>
      </c>
      <c r="Y3481" s="1">
        <v>599000.0</v>
      </c>
      <c r="Z3481" s="1"/>
      <c r="AA3481" s="1">
        <v>599000.0</v>
      </c>
      <c r="AB3481" s="1"/>
      <c r="AC3481" s="1" t="s">
        <v>36</v>
      </c>
      <c r="AD3481" s="1" t="s">
        <v>12188</v>
      </c>
      <c r="AE3481" s="1" t="s">
        <v>32</v>
      </c>
      <c r="AF3481" s="1" t="s">
        <v>33</v>
      </c>
      <c r="AG3481" s="1" t="s">
        <v>270</v>
      </c>
    </row>
    <row r="3482" spans="1:33">
      <c r="A3482" t="s">
        <v>12189</v>
      </c>
      <c r="B3482" t="s">
        <v>12190</v>
      </c>
      <c r="C3482" t="s">
        <v>172</v>
      </c>
      <c r="E3482" t="s">
        <v>11609</v>
      </c>
      <c r="F3482" t="s">
        <v>11610</v>
      </c>
      <c r="G3482">
        <v>104.95</v>
      </c>
      <c r="H3482">
        <v>104.95</v>
      </c>
      <c r="I3482" t="s">
        <v>173</v>
      </c>
      <c r="J3482" t="s">
        <v>174</v>
      </c>
      <c r="K3482" t="s">
        <v>31</v>
      </c>
      <c r="L3482" t="s">
        <v>32</v>
      </c>
      <c r="M3482" t="s">
        <v>33</v>
      </c>
      <c r="P3482" s="1" t="s">
        <v>12191</v>
      </c>
      <c r="Q3482" s="1" t="s">
        <v>11609</v>
      </c>
      <c r="R3482" s="1" t="s">
        <v>11609</v>
      </c>
      <c r="S3482" s="1"/>
      <c r="T3482" s="1" t="s">
        <v>172</v>
      </c>
      <c r="U3482" s="1"/>
      <c r="V3482" s="1">
        <v>104.95</v>
      </c>
      <c r="W3482" s="1">
        <v>104.95</v>
      </c>
      <c r="X3482" s="1" t="s">
        <v>35</v>
      </c>
      <c r="Y3482" s="1">
        <v>104950.0</v>
      </c>
      <c r="Z3482" s="1"/>
      <c r="AA3482" s="1">
        <v>104950.0</v>
      </c>
      <c r="AB3482" s="1"/>
      <c r="AC3482" s="1" t="s">
        <v>36</v>
      </c>
      <c r="AD3482" s="1" t="s">
        <v>12192</v>
      </c>
      <c r="AE3482" s="1" t="s">
        <v>32</v>
      </c>
      <c r="AF3482" s="1" t="s">
        <v>33</v>
      </c>
      <c r="AG3482" s="1" t="s">
        <v>174</v>
      </c>
    </row>
    <row r="3483" spans="1:33">
      <c r="A3483" t="s">
        <v>12193</v>
      </c>
      <c r="C3483" t="s">
        <v>827</v>
      </c>
      <c r="D3483" t="s">
        <v>154</v>
      </c>
      <c r="E3483" t="s">
        <v>11609</v>
      </c>
      <c r="F3483" t="s">
        <v>11610</v>
      </c>
      <c r="G3483">
        <v>60.0</v>
      </c>
      <c r="H3483">
        <v>60.0</v>
      </c>
      <c r="I3483" t="s">
        <v>269</v>
      </c>
      <c r="J3483" t="s">
        <v>270</v>
      </c>
      <c r="K3483" t="s">
        <v>31</v>
      </c>
      <c r="L3483" t="s">
        <v>32</v>
      </c>
      <c r="M3483" t="s">
        <v>33</v>
      </c>
      <c r="P3483" s="1" t="s">
        <v>12194</v>
      </c>
      <c r="Q3483" s="1" t="s">
        <v>11609</v>
      </c>
      <c r="R3483" s="1" t="s">
        <v>11609</v>
      </c>
      <c r="S3483" s="1"/>
      <c r="T3483" s="1" t="s">
        <v>827</v>
      </c>
      <c r="U3483" s="1"/>
      <c r="V3483" s="1">
        <v>60.0</v>
      </c>
      <c r="W3483" s="1">
        <v>60.0</v>
      </c>
      <c r="X3483" s="1" t="s">
        <v>35</v>
      </c>
      <c r="Y3483" s="1">
        <v>60000.0</v>
      </c>
      <c r="Z3483" s="1"/>
      <c r="AA3483" s="1">
        <v>60000.0</v>
      </c>
      <c r="AB3483" s="1"/>
      <c r="AC3483" s="1" t="s">
        <v>36</v>
      </c>
      <c r="AD3483" s="1" t="s">
        <v>12195</v>
      </c>
      <c r="AE3483" s="1" t="s">
        <v>32</v>
      </c>
      <c r="AF3483" s="1" t="s">
        <v>33</v>
      </c>
      <c r="AG3483" s="1" t="s">
        <v>270</v>
      </c>
    </row>
    <row r="3484" spans="1:33">
      <c r="A3484" t="s">
        <v>12196</v>
      </c>
      <c r="C3484" t="s">
        <v>3133</v>
      </c>
      <c r="E3484" t="s">
        <v>11609</v>
      </c>
      <c r="F3484" t="s">
        <v>11610</v>
      </c>
      <c r="G3484">
        <v>519.5</v>
      </c>
      <c r="H3484">
        <v>519.5</v>
      </c>
      <c r="I3484" t="s">
        <v>269</v>
      </c>
      <c r="J3484" t="s">
        <v>270</v>
      </c>
      <c r="K3484" t="s">
        <v>31</v>
      </c>
      <c r="L3484" t="s">
        <v>32</v>
      </c>
      <c r="M3484" t="s">
        <v>33</v>
      </c>
      <c r="P3484" s="1" t="s">
        <v>12197</v>
      </c>
      <c r="Q3484" s="1" t="s">
        <v>11609</v>
      </c>
      <c r="R3484" s="1" t="s">
        <v>11609</v>
      </c>
      <c r="S3484" s="1"/>
      <c r="T3484" s="1" t="s">
        <v>3133</v>
      </c>
      <c r="U3484" s="1"/>
      <c r="V3484" s="1">
        <v>519.5</v>
      </c>
      <c r="W3484" s="1">
        <v>519.5</v>
      </c>
      <c r="X3484" s="1" t="s">
        <v>35</v>
      </c>
      <c r="Y3484" s="1">
        <v>519500.0</v>
      </c>
      <c r="Z3484" s="1"/>
      <c r="AA3484" s="1">
        <v>519500.0</v>
      </c>
      <c r="AB3484" s="1"/>
      <c r="AC3484" s="1" t="s">
        <v>36</v>
      </c>
      <c r="AD3484" s="1" t="s">
        <v>12198</v>
      </c>
      <c r="AE3484" s="1" t="s">
        <v>32</v>
      </c>
      <c r="AF3484" s="1" t="s">
        <v>33</v>
      </c>
      <c r="AG3484" s="1" t="s">
        <v>270</v>
      </c>
    </row>
    <row r="3485" spans="1:33">
      <c r="A3485" t="s">
        <v>12199</v>
      </c>
      <c r="B3485" t="s">
        <v>57</v>
      </c>
      <c r="C3485" t="s">
        <v>58</v>
      </c>
      <c r="E3485" t="s">
        <v>11609</v>
      </c>
      <c r="F3485" t="s">
        <v>11610</v>
      </c>
      <c r="G3485">
        <v>375.0</v>
      </c>
      <c r="H3485">
        <v>375.0</v>
      </c>
      <c r="I3485" t="s">
        <v>59</v>
      </c>
      <c r="J3485" t="s">
        <v>60</v>
      </c>
      <c r="K3485" t="s">
        <v>31</v>
      </c>
      <c r="L3485" t="s">
        <v>32</v>
      </c>
      <c r="M3485" t="s">
        <v>33</v>
      </c>
      <c r="P3485" s="1" t="s">
        <v>12200</v>
      </c>
      <c r="Q3485" s="1" t="s">
        <v>11609</v>
      </c>
      <c r="R3485" s="1" t="s">
        <v>11609</v>
      </c>
      <c r="S3485" s="1"/>
      <c r="T3485" s="1" t="s">
        <v>58</v>
      </c>
      <c r="U3485" s="1"/>
      <c r="V3485" s="1">
        <v>375.0</v>
      </c>
      <c r="W3485" s="1">
        <v>375.0</v>
      </c>
      <c r="X3485" s="1" t="s">
        <v>35</v>
      </c>
      <c r="Y3485" s="1">
        <v>375000.0</v>
      </c>
      <c r="Z3485" s="1"/>
      <c r="AA3485" s="1">
        <v>375000.0</v>
      </c>
      <c r="AB3485" s="1"/>
      <c r="AC3485" s="1" t="s">
        <v>36</v>
      </c>
      <c r="AD3485" s="1" t="s">
        <v>12201</v>
      </c>
      <c r="AE3485" s="1" t="s">
        <v>32</v>
      </c>
      <c r="AF3485" s="1" t="s">
        <v>33</v>
      </c>
      <c r="AG3485" s="1" t="s">
        <v>60</v>
      </c>
    </row>
    <row r="3486" spans="1:33">
      <c r="A3486" t="s">
        <v>12202</v>
      </c>
      <c r="C3486" t="s">
        <v>2236</v>
      </c>
      <c r="E3486" t="s">
        <v>11609</v>
      </c>
      <c r="F3486" t="s">
        <v>11610</v>
      </c>
      <c r="G3486">
        <v>1.189</v>
      </c>
      <c r="H3486">
        <v>1.189</v>
      </c>
      <c r="I3486" t="s">
        <v>269</v>
      </c>
      <c r="J3486" t="s">
        <v>270</v>
      </c>
      <c r="K3486" t="s">
        <v>31</v>
      </c>
      <c r="L3486" t="s">
        <v>32</v>
      </c>
      <c r="M3486" t="s">
        <v>33</v>
      </c>
      <c r="P3486" s="1" t="s">
        <v>12203</v>
      </c>
      <c r="Q3486" s="1" t="s">
        <v>11609</v>
      </c>
      <c r="R3486" s="1" t="s">
        <v>11609</v>
      </c>
      <c r="S3486" s="1"/>
      <c r="T3486" s="1" t="s">
        <v>2236</v>
      </c>
      <c r="U3486" s="1"/>
      <c r="V3486" s="1">
        <v>1.189</v>
      </c>
      <c r="W3486" s="1">
        <v>1.189</v>
      </c>
      <c r="X3486" s="1" t="s">
        <v>35</v>
      </c>
      <c r="Y3486" s="1">
        <v>1189750.0</v>
      </c>
      <c r="Z3486" s="1"/>
      <c r="AA3486" s="1">
        <v>1189750.0</v>
      </c>
      <c r="AB3486" s="1"/>
      <c r="AC3486" s="1" t="s">
        <v>36</v>
      </c>
      <c r="AD3486" s="1" t="s">
        <v>12204</v>
      </c>
      <c r="AE3486" s="1" t="s">
        <v>32</v>
      </c>
      <c r="AF3486" s="1" t="s">
        <v>33</v>
      </c>
      <c r="AG3486" s="1" t="s">
        <v>270</v>
      </c>
    </row>
    <row r="3487" spans="1:33">
      <c r="A3487" t="s">
        <v>12205</v>
      </c>
      <c r="C3487" t="s">
        <v>4746</v>
      </c>
      <c r="E3487" t="s">
        <v>11609</v>
      </c>
      <c r="F3487" t="s">
        <v>11610</v>
      </c>
      <c r="G3487">
        <v>414.5</v>
      </c>
      <c r="H3487">
        <v>414.5</v>
      </c>
      <c r="I3487" t="s">
        <v>173</v>
      </c>
      <c r="J3487" t="s">
        <v>174</v>
      </c>
      <c r="K3487" t="s">
        <v>31</v>
      </c>
      <c r="L3487" t="s">
        <v>32</v>
      </c>
      <c r="M3487" t="s">
        <v>33</v>
      </c>
      <c r="P3487" s="1" t="s">
        <v>12206</v>
      </c>
      <c r="Q3487" s="1" t="s">
        <v>11609</v>
      </c>
      <c r="R3487" s="1" t="s">
        <v>11609</v>
      </c>
      <c r="S3487" s="1"/>
      <c r="T3487" s="1" t="s">
        <v>4746</v>
      </c>
      <c r="U3487" s="1"/>
      <c r="V3487" s="1">
        <v>414.5</v>
      </c>
      <c r="W3487" s="1">
        <v>414.5</v>
      </c>
      <c r="X3487" s="1" t="s">
        <v>35</v>
      </c>
      <c r="Y3487" s="1">
        <v>414500.0</v>
      </c>
      <c r="Z3487" s="1"/>
      <c r="AA3487" s="1">
        <v>414500.0</v>
      </c>
      <c r="AB3487" s="1"/>
      <c r="AC3487" s="1" t="s">
        <v>36</v>
      </c>
      <c r="AD3487" s="1" t="s">
        <v>12182</v>
      </c>
      <c r="AE3487" s="1" t="s">
        <v>32</v>
      </c>
      <c r="AF3487" s="1" t="s">
        <v>33</v>
      </c>
      <c r="AG3487" s="1" t="s">
        <v>174</v>
      </c>
    </row>
    <row r="3488" spans="1:33">
      <c r="A3488" t="s">
        <v>12207</v>
      </c>
      <c r="C3488" t="s">
        <v>2688</v>
      </c>
      <c r="E3488" t="s">
        <v>11609</v>
      </c>
      <c r="F3488" t="s">
        <v>11610</v>
      </c>
      <c r="G3488">
        <v>1.361</v>
      </c>
      <c r="H3488">
        <v>1.361</v>
      </c>
      <c r="I3488" t="s">
        <v>269</v>
      </c>
      <c r="J3488" t="s">
        <v>270</v>
      </c>
      <c r="K3488" t="s">
        <v>31</v>
      </c>
      <c r="L3488" t="s">
        <v>32</v>
      </c>
      <c r="M3488" t="s">
        <v>33</v>
      </c>
      <c r="P3488" s="1" t="s">
        <v>12208</v>
      </c>
      <c r="Q3488" s="1" t="s">
        <v>11609</v>
      </c>
      <c r="R3488" s="1" t="s">
        <v>11609</v>
      </c>
      <c r="S3488" s="1"/>
      <c r="T3488" s="1" t="s">
        <v>2688</v>
      </c>
      <c r="U3488" s="1"/>
      <c r="V3488" s="1">
        <v>1.361</v>
      </c>
      <c r="W3488" s="1">
        <v>1.361</v>
      </c>
      <c r="X3488" s="1" t="s">
        <v>35</v>
      </c>
      <c r="Y3488" s="1">
        <v>1361400.0</v>
      </c>
      <c r="Z3488" s="1"/>
      <c r="AA3488" s="1">
        <v>1361400.0</v>
      </c>
      <c r="AB3488" s="1"/>
      <c r="AC3488" s="1" t="s">
        <v>36</v>
      </c>
      <c r="AD3488" s="1" t="s">
        <v>12209</v>
      </c>
      <c r="AE3488" s="1" t="s">
        <v>32</v>
      </c>
      <c r="AF3488" s="1" t="s">
        <v>33</v>
      </c>
      <c r="AG3488" s="1" t="s">
        <v>270</v>
      </c>
    </row>
    <row r="3489" spans="1:33">
      <c r="A3489" t="s">
        <v>12210</v>
      </c>
      <c r="C3489" t="s">
        <v>2485</v>
      </c>
      <c r="E3489" t="s">
        <v>11609</v>
      </c>
      <c r="F3489" t="s">
        <v>11610</v>
      </c>
      <c r="G3489">
        <v>614.0</v>
      </c>
      <c r="H3489">
        <v>614.0</v>
      </c>
      <c r="I3489" t="s">
        <v>136</v>
      </c>
      <c r="J3489" t="s">
        <v>137</v>
      </c>
      <c r="K3489" t="s">
        <v>31</v>
      </c>
      <c r="L3489" t="s">
        <v>32</v>
      </c>
      <c r="M3489" t="s">
        <v>33</v>
      </c>
      <c r="P3489" s="1" t="s">
        <v>12211</v>
      </c>
      <c r="Q3489" s="1" t="s">
        <v>11609</v>
      </c>
      <c r="R3489" s="1" t="s">
        <v>11609</v>
      </c>
      <c r="S3489" s="1"/>
      <c r="T3489" s="1" t="s">
        <v>2485</v>
      </c>
      <c r="U3489" s="1"/>
      <c r="V3489" s="1">
        <v>614.0</v>
      </c>
      <c r="W3489" s="1">
        <v>614.0</v>
      </c>
      <c r="X3489" s="1" t="s">
        <v>35</v>
      </c>
      <c r="Y3489" s="1">
        <v>614000.0</v>
      </c>
      <c r="Z3489" s="1"/>
      <c r="AA3489" s="1">
        <v>614000.0</v>
      </c>
      <c r="AB3489" s="1"/>
      <c r="AC3489" s="1" t="s">
        <v>36</v>
      </c>
      <c r="AD3489" s="1" t="s">
        <v>12212</v>
      </c>
      <c r="AE3489" s="1" t="s">
        <v>32</v>
      </c>
      <c r="AF3489" s="1" t="s">
        <v>33</v>
      </c>
      <c r="AG3489" s="1" t="s">
        <v>137</v>
      </c>
    </row>
    <row r="3490" spans="1:33">
      <c r="A3490" t="s">
        <v>12213</v>
      </c>
      <c r="B3490" t="s">
        <v>12214</v>
      </c>
      <c r="C3490" t="s">
        <v>125</v>
      </c>
      <c r="E3490" t="s">
        <v>11609</v>
      </c>
      <c r="F3490" t="s">
        <v>11610</v>
      </c>
      <c r="G3490">
        <v>14.495</v>
      </c>
      <c r="H3490">
        <v>14.495</v>
      </c>
      <c r="I3490" t="s">
        <v>126</v>
      </c>
      <c r="J3490" t="s">
        <v>127</v>
      </c>
      <c r="K3490" t="s">
        <v>31</v>
      </c>
      <c r="L3490" t="s">
        <v>32</v>
      </c>
      <c r="M3490" t="s">
        <v>33</v>
      </c>
      <c r="P3490" s="1" t="s">
        <v>12215</v>
      </c>
      <c r="Q3490" s="1" t="s">
        <v>11609</v>
      </c>
      <c r="R3490" s="1" t="s">
        <v>11609</v>
      </c>
      <c r="S3490" s="1"/>
      <c r="T3490" s="1" t="s">
        <v>125</v>
      </c>
      <c r="U3490" s="1"/>
      <c r="V3490" s="1">
        <v>14.495</v>
      </c>
      <c r="W3490" s="1">
        <v>14.495</v>
      </c>
      <c r="X3490" s="1" t="s">
        <v>35</v>
      </c>
      <c r="Y3490" s="1">
        <v>14495.0</v>
      </c>
      <c r="Z3490" s="1"/>
      <c r="AA3490" s="1">
        <v>14495.0</v>
      </c>
      <c r="AB3490" s="1"/>
      <c r="AC3490" s="1" t="s">
        <v>36</v>
      </c>
      <c r="AD3490" s="1" t="s">
        <v>12216</v>
      </c>
      <c r="AE3490" s="1" t="s">
        <v>32</v>
      </c>
      <c r="AF3490" s="1" t="s">
        <v>33</v>
      </c>
      <c r="AG3490" s="1" t="s">
        <v>127</v>
      </c>
    </row>
    <row r="3491" spans="1:33">
      <c r="A3491" t="s">
        <v>12217</v>
      </c>
      <c r="B3491" t="s">
        <v>12218</v>
      </c>
      <c r="C3491" t="s">
        <v>47</v>
      </c>
      <c r="E3491" t="s">
        <v>11609</v>
      </c>
      <c r="F3491" t="s">
        <v>11610</v>
      </c>
      <c r="G3491">
        <v>195.69</v>
      </c>
      <c r="H3491">
        <v>195.69</v>
      </c>
      <c r="I3491" t="s">
        <v>2206</v>
      </c>
      <c r="J3491" t="s">
        <v>49</v>
      </c>
      <c r="K3491" t="s">
        <v>31</v>
      </c>
      <c r="L3491" t="s">
        <v>32</v>
      </c>
      <c r="M3491" t="s">
        <v>33</v>
      </c>
      <c r="P3491" s="1" t="s">
        <v>12219</v>
      </c>
      <c r="Q3491" s="1" t="s">
        <v>11609</v>
      </c>
      <c r="R3491" s="1" t="s">
        <v>11609</v>
      </c>
      <c r="S3491" s="1"/>
      <c r="T3491" s="1" t="s">
        <v>47</v>
      </c>
      <c r="U3491" s="1"/>
      <c r="V3491" s="1">
        <v>195.69</v>
      </c>
      <c r="W3491" s="1">
        <v>195.69</v>
      </c>
      <c r="X3491" s="1" t="s">
        <v>35</v>
      </c>
      <c r="Y3491" s="1">
        <v>195690.0</v>
      </c>
      <c r="Z3491" s="1"/>
      <c r="AA3491" s="1">
        <v>195690.0</v>
      </c>
      <c r="AB3491" s="1"/>
      <c r="AC3491" s="1" t="s">
        <v>36</v>
      </c>
      <c r="AD3491" s="1" t="s">
        <v>12220</v>
      </c>
      <c r="AE3491" s="1" t="s">
        <v>32</v>
      </c>
      <c r="AF3491" s="1" t="s">
        <v>33</v>
      </c>
      <c r="AG3491" s="1" t="s">
        <v>49</v>
      </c>
    </row>
    <row r="3492" spans="1:33">
      <c r="A3492" t="s">
        <v>12221</v>
      </c>
      <c r="B3492" t="s">
        <v>705</v>
      </c>
      <c r="C3492" t="s">
        <v>268</v>
      </c>
      <c r="E3492" t="s">
        <v>11609</v>
      </c>
      <c r="F3492" t="s">
        <v>11610</v>
      </c>
      <c r="G3492">
        <v>66.65</v>
      </c>
      <c r="H3492">
        <v>66.65</v>
      </c>
      <c r="I3492" t="s">
        <v>269</v>
      </c>
      <c r="J3492" t="s">
        <v>270</v>
      </c>
      <c r="K3492" t="s">
        <v>31</v>
      </c>
      <c r="L3492" t="s">
        <v>32</v>
      </c>
      <c r="M3492" t="s">
        <v>33</v>
      </c>
      <c r="P3492" s="1" t="s">
        <v>12222</v>
      </c>
      <c r="Q3492" s="1" t="s">
        <v>11609</v>
      </c>
      <c r="R3492" s="1" t="s">
        <v>11609</v>
      </c>
      <c r="S3492" s="1"/>
      <c r="T3492" s="1" t="s">
        <v>268</v>
      </c>
      <c r="U3492" s="1"/>
      <c r="V3492" s="1">
        <v>66.65</v>
      </c>
      <c r="W3492" s="1">
        <v>66.65</v>
      </c>
      <c r="X3492" s="1" t="s">
        <v>35</v>
      </c>
      <c r="Y3492" s="1">
        <v>66650.0</v>
      </c>
      <c r="Z3492" s="1"/>
      <c r="AA3492" s="1">
        <v>66650.0</v>
      </c>
      <c r="AB3492" s="1"/>
      <c r="AC3492" s="1" t="s">
        <v>36</v>
      </c>
      <c r="AD3492" s="1" t="s">
        <v>12223</v>
      </c>
      <c r="AE3492" s="1" t="s">
        <v>32</v>
      </c>
      <c r="AF3492" s="1" t="s">
        <v>33</v>
      </c>
      <c r="AG3492" s="1" t="s">
        <v>270</v>
      </c>
    </row>
    <row r="3493" spans="1:33">
      <c r="A3493" t="s">
        <v>12224</v>
      </c>
      <c r="B3493" t="s">
        <v>7057</v>
      </c>
      <c r="C3493" t="s">
        <v>172</v>
      </c>
      <c r="E3493" t="s">
        <v>11609</v>
      </c>
      <c r="F3493" t="s">
        <v>11610</v>
      </c>
      <c r="G3493">
        <v>138.438</v>
      </c>
      <c r="H3493">
        <v>138.438</v>
      </c>
      <c r="I3493" t="s">
        <v>173</v>
      </c>
      <c r="J3493" t="s">
        <v>174</v>
      </c>
      <c r="K3493" t="s">
        <v>31</v>
      </c>
      <c r="L3493" t="s">
        <v>32</v>
      </c>
      <c r="M3493" t="s">
        <v>33</v>
      </c>
      <c r="P3493" s="1" t="s">
        <v>12225</v>
      </c>
      <c r="Q3493" s="1" t="s">
        <v>11609</v>
      </c>
      <c r="R3493" s="1" t="s">
        <v>11609</v>
      </c>
      <c r="S3493" s="1"/>
      <c r="T3493" s="1" t="s">
        <v>172</v>
      </c>
      <c r="U3493" s="1"/>
      <c r="V3493" s="1">
        <v>138.438</v>
      </c>
      <c r="W3493" s="1">
        <v>138.438</v>
      </c>
      <c r="X3493" s="1" t="s">
        <v>35</v>
      </c>
      <c r="Y3493" s="1">
        <v>138438.0</v>
      </c>
      <c r="Z3493" s="1"/>
      <c r="AA3493" s="1">
        <v>138438.0</v>
      </c>
      <c r="AB3493" s="1"/>
      <c r="AC3493" s="1" t="s">
        <v>36</v>
      </c>
      <c r="AD3493" s="1" t="s">
        <v>12226</v>
      </c>
      <c r="AE3493" s="1" t="s">
        <v>32</v>
      </c>
      <c r="AF3493" s="1" t="s">
        <v>33</v>
      </c>
      <c r="AG3493" s="1" t="s">
        <v>174</v>
      </c>
    </row>
    <row r="3494" spans="1:33">
      <c r="A3494" t="s">
        <v>12227</v>
      </c>
      <c r="B3494" t="s">
        <v>206</v>
      </c>
      <c r="C3494" t="s">
        <v>207</v>
      </c>
      <c r="E3494" t="s">
        <v>11609</v>
      </c>
      <c r="F3494" t="s">
        <v>11610</v>
      </c>
      <c r="G3494">
        <v>998.0</v>
      </c>
      <c r="H3494">
        <v>998.0</v>
      </c>
      <c r="I3494" t="s">
        <v>59</v>
      </c>
      <c r="J3494" t="s">
        <v>60</v>
      </c>
      <c r="K3494" t="s">
        <v>31</v>
      </c>
      <c r="L3494" t="s">
        <v>32</v>
      </c>
      <c r="M3494" t="s">
        <v>33</v>
      </c>
      <c r="P3494" s="1" t="s">
        <v>12228</v>
      </c>
      <c r="Q3494" s="1" t="s">
        <v>11609</v>
      </c>
      <c r="R3494" s="1" t="s">
        <v>11609</v>
      </c>
      <c r="S3494" s="1"/>
      <c r="T3494" s="1" t="s">
        <v>207</v>
      </c>
      <c r="U3494" s="1"/>
      <c r="V3494" s="1">
        <v>998.0</v>
      </c>
      <c r="W3494" s="1">
        <v>998.0</v>
      </c>
      <c r="X3494" s="1" t="s">
        <v>35</v>
      </c>
      <c r="Y3494" s="1">
        <v>998000.0</v>
      </c>
      <c r="Z3494" s="1"/>
      <c r="AA3494" s="1">
        <v>998000.0</v>
      </c>
      <c r="AB3494" s="1"/>
      <c r="AC3494" s="1" t="s">
        <v>36</v>
      </c>
      <c r="AD3494" s="1" t="s">
        <v>12229</v>
      </c>
      <c r="AE3494" s="1" t="s">
        <v>32</v>
      </c>
      <c r="AF3494" s="1" t="s">
        <v>33</v>
      </c>
      <c r="AG3494" s="1" t="s">
        <v>60</v>
      </c>
    </row>
    <row r="3495" spans="1:33">
      <c r="A3495" t="s">
        <v>12230</v>
      </c>
      <c r="B3495" t="s">
        <v>1404</v>
      </c>
      <c r="C3495" t="s">
        <v>268</v>
      </c>
      <c r="E3495" t="s">
        <v>11609</v>
      </c>
      <c r="F3495" t="s">
        <v>11610</v>
      </c>
      <c r="G3495">
        <v>57.15</v>
      </c>
      <c r="H3495">
        <v>57.15</v>
      </c>
      <c r="I3495" t="s">
        <v>269</v>
      </c>
      <c r="J3495" t="s">
        <v>270</v>
      </c>
      <c r="K3495" t="s">
        <v>31</v>
      </c>
      <c r="L3495" t="s">
        <v>32</v>
      </c>
      <c r="M3495" t="s">
        <v>33</v>
      </c>
      <c r="P3495" s="1" t="s">
        <v>12231</v>
      </c>
      <c r="Q3495" s="1" t="s">
        <v>11609</v>
      </c>
      <c r="R3495" s="1" t="s">
        <v>11609</v>
      </c>
      <c r="S3495" s="1"/>
      <c r="T3495" s="1" t="s">
        <v>268</v>
      </c>
      <c r="U3495" s="1"/>
      <c r="V3495" s="1">
        <v>57.15</v>
      </c>
      <c r="W3495" s="1">
        <v>57.15</v>
      </c>
      <c r="X3495" s="1" t="s">
        <v>35</v>
      </c>
      <c r="Y3495" s="1">
        <v>57150.0</v>
      </c>
      <c r="Z3495" s="1"/>
      <c r="AA3495" s="1">
        <v>57150.0</v>
      </c>
      <c r="AB3495" s="1"/>
      <c r="AC3495" s="1" t="s">
        <v>36</v>
      </c>
      <c r="AD3495" s="1" t="s">
        <v>12232</v>
      </c>
      <c r="AE3495" s="1" t="s">
        <v>32</v>
      </c>
      <c r="AF3495" s="1" t="s">
        <v>33</v>
      </c>
      <c r="AG3495" s="1" t="s">
        <v>270</v>
      </c>
    </row>
    <row r="3496" spans="1:33">
      <c r="A3496" t="s">
        <v>12233</v>
      </c>
      <c r="C3496" t="s">
        <v>3056</v>
      </c>
      <c r="E3496" t="s">
        <v>11609</v>
      </c>
      <c r="F3496" t="s">
        <v>11610</v>
      </c>
      <c r="G3496">
        <v>754.0</v>
      </c>
      <c r="H3496">
        <v>754.0</v>
      </c>
      <c r="I3496" t="s">
        <v>173</v>
      </c>
      <c r="J3496" t="s">
        <v>174</v>
      </c>
      <c r="K3496" t="s">
        <v>31</v>
      </c>
      <c r="L3496" t="s">
        <v>32</v>
      </c>
      <c r="M3496" t="s">
        <v>33</v>
      </c>
      <c r="P3496" s="1" t="s">
        <v>12234</v>
      </c>
      <c r="Q3496" s="1" t="s">
        <v>11609</v>
      </c>
      <c r="R3496" s="1" t="s">
        <v>11609</v>
      </c>
      <c r="S3496" s="1"/>
      <c r="T3496" s="1" t="s">
        <v>3056</v>
      </c>
      <c r="U3496" s="1"/>
      <c r="V3496" s="1">
        <v>754.0</v>
      </c>
      <c r="W3496" s="1">
        <v>754.0</v>
      </c>
      <c r="X3496" s="1" t="s">
        <v>35</v>
      </c>
      <c r="Y3496" s="1">
        <v>754000.0</v>
      </c>
      <c r="Z3496" s="1"/>
      <c r="AA3496" s="1">
        <v>754000.0</v>
      </c>
      <c r="AB3496" s="1"/>
      <c r="AC3496" s="1" t="s">
        <v>36</v>
      </c>
      <c r="AD3496" s="1" t="s">
        <v>12235</v>
      </c>
      <c r="AE3496" s="1" t="s">
        <v>32</v>
      </c>
      <c r="AF3496" s="1" t="s">
        <v>33</v>
      </c>
      <c r="AG3496" s="1" t="s">
        <v>174</v>
      </c>
    </row>
    <row r="3497" spans="1:33">
      <c r="A3497" t="s">
        <v>12236</v>
      </c>
      <c r="C3497" t="s">
        <v>1998</v>
      </c>
      <c r="E3497" t="s">
        <v>11609</v>
      </c>
      <c r="F3497" t="s">
        <v>11610</v>
      </c>
      <c r="G3497">
        <v>574.0</v>
      </c>
      <c r="H3497">
        <v>574.0</v>
      </c>
      <c r="I3497" t="s">
        <v>269</v>
      </c>
      <c r="J3497" t="s">
        <v>270</v>
      </c>
      <c r="K3497" t="s">
        <v>31</v>
      </c>
      <c r="L3497" t="s">
        <v>32</v>
      </c>
      <c r="M3497" t="s">
        <v>33</v>
      </c>
      <c r="P3497" s="1" t="s">
        <v>12237</v>
      </c>
      <c r="Q3497" s="1" t="s">
        <v>11609</v>
      </c>
      <c r="R3497" s="1" t="s">
        <v>11609</v>
      </c>
      <c r="S3497" s="1"/>
      <c r="T3497" s="1" t="s">
        <v>2000</v>
      </c>
      <c r="U3497" s="1" t="s">
        <v>2001</v>
      </c>
      <c r="V3497" s="1">
        <v>574.0</v>
      </c>
      <c r="W3497" s="1">
        <v>574.0</v>
      </c>
      <c r="X3497" s="1" t="s">
        <v>35</v>
      </c>
      <c r="Y3497" s="1">
        <v>574000.0</v>
      </c>
      <c r="Z3497" s="1"/>
      <c r="AA3497" s="1">
        <v>574000.0</v>
      </c>
      <c r="AB3497" s="1"/>
      <c r="AC3497" s="1" t="s">
        <v>36</v>
      </c>
      <c r="AD3497" s="1" t="s">
        <v>12238</v>
      </c>
      <c r="AE3497" s="1" t="s">
        <v>32</v>
      </c>
      <c r="AF3497" s="1" t="s">
        <v>33</v>
      </c>
      <c r="AG3497" s="1" t="s">
        <v>270</v>
      </c>
    </row>
    <row r="3498" spans="1:33">
      <c r="A3498" t="s">
        <v>12239</v>
      </c>
      <c r="C3498" t="s">
        <v>12240</v>
      </c>
      <c r="E3498" t="s">
        <v>11609</v>
      </c>
      <c r="F3498" t="s">
        <v>11610</v>
      </c>
      <c r="G3498">
        <v>209.25</v>
      </c>
      <c r="H3498">
        <v>209.25</v>
      </c>
      <c r="I3498" t="s">
        <v>136</v>
      </c>
      <c r="J3498" t="s">
        <v>137</v>
      </c>
      <c r="K3498" t="s">
        <v>31</v>
      </c>
      <c r="L3498" t="s">
        <v>32</v>
      </c>
      <c r="M3498" t="s">
        <v>33</v>
      </c>
      <c r="P3498" s="1" t="s">
        <v>12241</v>
      </c>
      <c r="Q3498" s="1" t="s">
        <v>11609</v>
      </c>
      <c r="R3498" s="1" t="s">
        <v>11609</v>
      </c>
      <c r="S3498" s="1"/>
      <c r="T3498" s="1" t="s">
        <v>12240</v>
      </c>
      <c r="U3498" s="1"/>
      <c r="V3498" s="1">
        <v>209.25</v>
      </c>
      <c r="W3498" s="1">
        <v>209.25</v>
      </c>
      <c r="X3498" s="1" t="s">
        <v>35</v>
      </c>
      <c r="Y3498" s="1">
        <v>209250.0</v>
      </c>
      <c r="Z3498" s="1"/>
      <c r="AA3498" s="1">
        <v>209250.0</v>
      </c>
      <c r="AB3498" s="1"/>
      <c r="AC3498" s="1" t="s">
        <v>36</v>
      </c>
      <c r="AD3498" s="1" t="s">
        <v>12174</v>
      </c>
      <c r="AE3498" s="1" t="s">
        <v>32</v>
      </c>
      <c r="AF3498" s="1" t="s">
        <v>33</v>
      </c>
      <c r="AG3498" s="1" t="s">
        <v>137</v>
      </c>
    </row>
    <row r="3499" spans="1:33">
      <c r="A3499" t="s">
        <v>12242</v>
      </c>
      <c r="B3499" t="s">
        <v>12243</v>
      </c>
      <c r="C3499" t="s">
        <v>12244</v>
      </c>
      <c r="E3499" t="s">
        <v>11609</v>
      </c>
      <c r="F3499" t="s">
        <v>11610</v>
      </c>
      <c r="G3499">
        <v>328.0</v>
      </c>
      <c r="H3499">
        <v>328.0</v>
      </c>
      <c r="I3499" t="s">
        <v>136</v>
      </c>
      <c r="J3499" t="s">
        <v>137</v>
      </c>
      <c r="K3499" t="s">
        <v>31</v>
      </c>
      <c r="L3499" t="s">
        <v>32</v>
      </c>
      <c r="M3499" t="s">
        <v>33</v>
      </c>
      <c r="P3499" s="1" t="s">
        <v>12245</v>
      </c>
      <c r="Q3499" s="1" t="s">
        <v>11609</v>
      </c>
      <c r="R3499" s="1" t="s">
        <v>11609</v>
      </c>
      <c r="S3499" s="1"/>
      <c r="T3499" s="1" t="s">
        <v>12244</v>
      </c>
      <c r="U3499" s="1"/>
      <c r="V3499" s="1">
        <v>328.0</v>
      </c>
      <c r="W3499" s="1">
        <v>328.0</v>
      </c>
      <c r="X3499" s="1" t="s">
        <v>35</v>
      </c>
      <c r="Y3499" s="1">
        <v>328000.0</v>
      </c>
      <c r="Z3499" s="1"/>
      <c r="AA3499" s="1">
        <v>328000.0</v>
      </c>
      <c r="AB3499" s="1"/>
      <c r="AC3499" s="1" t="s">
        <v>36</v>
      </c>
      <c r="AD3499" s="1" t="s">
        <v>12246</v>
      </c>
      <c r="AE3499" s="1" t="s">
        <v>32</v>
      </c>
      <c r="AF3499" s="1" t="s">
        <v>33</v>
      </c>
      <c r="AG3499" s="1" t="s">
        <v>137</v>
      </c>
    </row>
    <row r="3500" spans="1:33">
      <c r="A3500" t="s">
        <v>12247</v>
      </c>
      <c r="C3500" t="s">
        <v>2284</v>
      </c>
      <c r="E3500" t="s">
        <v>11609</v>
      </c>
      <c r="F3500" t="s">
        <v>11610</v>
      </c>
      <c r="G3500">
        <v>2.258</v>
      </c>
      <c r="H3500">
        <v>2.258</v>
      </c>
      <c r="I3500" t="s">
        <v>269</v>
      </c>
      <c r="J3500" t="s">
        <v>270</v>
      </c>
      <c r="K3500" t="s">
        <v>31</v>
      </c>
      <c r="L3500" t="s">
        <v>32</v>
      </c>
      <c r="M3500" t="s">
        <v>33</v>
      </c>
      <c r="P3500" s="1" t="s">
        <v>12248</v>
      </c>
      <c r="Q3500" s="1" t="s">
        <v>11609</v>
      </c>
      <c r="R3500" s="1" t="s">
        <v>11609</v>
      </c>
      <c r="S3500" s="1"/>
      <c r="T3500" s="1" t="s">
        <v>2284</v>
      </c>
      <c r="U3500" s="1"/>
      <c r="V3500" s="1">
        <v>2.258</v>
      </c>
      <c r="W3500" s="1">
        <v>2.258</v>
      </c>
      <c r="X3500" s="1" t="s">
        <v>35</v>
      </c>
      <c r="Y3500" s="1">
        <v>2258250.0</v>
      </c>
      <c r="Z3500" s="1"/>
      <c r="AA3500" s="1">
        <v>2258250.0</v>
      </c>
      <c r="AB3500" s="1"/>
      <c r="AC3500" s="1" t="s">
        <v>36</v>
      </c>
      <c r="AD3500" s="1" t="s">
        <v>12170</v>
      </c>
      <c r="AE3500" s="1" t="s">
        <v>32</v>
      </c>
      <c r="AF3500" s="1" t="s">
        <v>33</v>
      </c>
      <c r="AG3500" s="1" t="s">
        <v>270</v>
      </c>
    </row>
    <row r="3501" spans="1:33">
      <c r="A3501" t="s">
        <v>12249</v>
      </c>
      <c r="C3501" t="s">
        <v>6099</v>
      </c>
      <c r="E3501" t="s">
        <v>11609</v>
      </c>
      <c r="F3501" t="s">
        <v>11610</v>
      </c>
      <c r="G3501">
        <v>384.75</v>
      </c>
      <c r="H3501">
        <v>384.75</v>
      </c>
      <c r="I3501" t="s">
        <v>179</v>
      </c>
      <c r="J3501" t="s">
        <v>180</v>
      </c>
      <c r="K3501" t="s">
        <v>31</v>
      </c>
      <c r="L3501" t="s">
        <v>32</v>
      </c>
      <c r="M3501" t="s">
        <v>33</v>
      </c>
      <c r="P3501" s="1" t="s">
        <v>12250</v>
      </c>
      <c r="Q3501" s="1" t="s">
        <v>11609</v>
      </c>
      <c r="R3501" s="1" t="s">
        <v>11609</v>
      </c>
      <c r="S3501" s="1"/>
      <c r="T3501" s="1" t="s">
        <v>6099</v>
      </c>
      <c r="U3501" s="1"/>
      <c r="V3501" s="1">
        <v>384.75</v>
      </c>
      <c r="W3501" s="1">
        <v>384.75</v>
      </c>
      <c r="X3501" s="1" t="s">
        <v>35</v>
      </c>
      <c r="Y3501" s="1">
        <v>384750.0</v>
      </c>
      <c r="Z3501" s="1"/>
      <c r="AA3501" s="1">
        <v>384750.0</v>
      </c>
      <c r="AB3501" s="1"/>
      <c r="AC3501" s="1" t="s">
        <v>36</v>
      </c>
      <c r="AD3501" s="1" t="s">
        <v>12251</v>
      </c>
      <c r="AE3501" s="1" t="s">
        <v>32</v>
      </c>
      <c r="AF3501" s="1" t="s">
        <v>33</v>
      </c>
      <c r="AG3501" s="1" t="s">
        <v>180</v>
      </c>
    </row>
    <row r="3502" spans="1:33">
      <c r="A3502" t="s">
        <v>12252</v>
      </c>
      <c r="C3502" t="s">
        <v>5323</v>
      </c>
      <c r="E3502" t="s">
        <v>11609</v>
      </c>
      <c r="F3502" t="s">
        <v>11610</v>
      </c>
      <c r="G3502">
        <v>384.75</v>
      </c>
      <c r="H3502">
        <v>384.75</v>
      </c>
      <c r="I3502" t="s">
        <v>136</v>
      </c>
      <c r="J3502" t="s">
        <v>137</v>
      </c>
      <c r="K3502" t="s">
        <v>31</v>
      </c>
      <c r="L3502" t="s">
        <v>32</v>
      </c>
      <c r="M3502" t="s">
        <v>33</v>
      </c>
      <c r="P3502" s="1" t="s">
        <v>12253</v>
      </c>
      <c r="Q3502" s="1" t="s">
        <v>11609</v>
      </c>
      <c r="R3502" s="1" t="s">
        <v>11609</v>
      </c>
      <c r="S3502" s="1"/>
      <c r="T3502" s="1" t="s">
        <v>5323</v>
      </c>
      <c r="U3502" s="1"/>
      <c r="V3502" s="1">
        <v>384.75</v>
      </c>
      <c r="W3502" s="1">
        <v>384.75</v>
      </c>
      <c r="X3502" s="1" t="s">
        <v>35</v>
      </c>
      <c r="Y3502" s="1">
        <v>384750.0</v>
      </c>
      <c r="Z3502" s="1"/>
      <c r="AA3502" s="1">
        <v>384750.0</v>
      </c>
      <c r="AB3502" s="1"/>
      <c r="AC3502" s="1" t="s">
        <v>36</v>
      </c>
      <c r="AD3502" s="1" t="s">
        <v>12182</v>
      </c>
      <c r="AE3502" s="1" t="s">
        <v>32</v>
      </c>
      <c r="AF3502" s="1" t="s">
        <v>33</v>
      </c>
      <c r="AG3502" s="1" t="s">
        <v>137</v>
      </c>
    </row>
    <row r="3503" spans="1:33">
      <c r="A3503" t="s">
        <v>12254</v>
      </c>
      <c r="C3503" t="s">
        <v>2955</v>
      </c>
      <c r="E3503" t="s">
        <v>11609</v>
      </c>
      <c r="F3503" t="s">
        <v>11610</v>
      </c>
      <c r="G3503">
        <v>1.111</v>
      </c>
      <c r="H3503">
        <v>1.111</v>
      </c>
      <c r="I3503" t="s">
        <v>136</v>
      </c>
      <c r="J3503" t="s">
        <v>137</v>
      </c>
      <c r="K3503" t="s">
        <v>31</v>
      </c>
      <c r="L3503" t="s">
        <v>32</v>
      </c>
      <c r="M3503" t="s">
        <v>33</v>
      </c>
      <c r="P3503" s="1" t="s">
        <v>12255</v>
      </c>
      <c r="Q3503" s="1" t="s">
        <v>11609</v>
      </c>
      <c r="R3503" s="1" t="s">
        <v>11609</v>
      </c>
      <c r="S3503" s="1"/>
      <c r="T3503" s="1" t="s">
        <v>2955</v>
      </c>
      <c r="U3503" s="1"/>
      <c r="V3503" s="1">
        <v>1.111</v>
      </c>
      <c r="W3503" s="1">
        <v>1.111</v>
      </c>
      <c r="X3503" s="1" t="s">
        <v>35</v>
      </c>
      <c r="Y3503" s="1">
        <v>1111000.0</v>
      </c>
      <c r="Z3503" s="1"/>
      <c r="AA3503" s="1">
        <v>1111000.0</v>
      </c>
      <c r="AB3503" s="1"/>
      <c r="AC3503" s="1" t="s">
        <v>36</v>
      </c>
      <c r="AD3503" s="1" t="s">
        <v>12178</v>
      </c>
      <c r="AE3503" s="1" t="s">
        <v>32</v>
      </c>
      <c r="AF3503" s="1" t="s">
        <v>33</v>
      </c>
      <c r="AG3503" s="1" t="s">
        <v>137</v>
      </c>
    </row>
    <row r="3504" spans="1:33">
      <c r="A3504" t="s">
        <v>12256</v>
      </c>
      <c r="B3504" t="s">
        <v>10699</v>
      </c>
      <c r="C3504" t="s">
        <v>47</v>
      </c>
      <c r="E3504" t="s">
        <v>11609</v>
      </c>
      <c r="F3504" t="s">
        <v>11610</v>
      </c>
      <c r="G3504">
        <v>61.49</v>
      </c>
      <c r="H3504">
        <v>61.49</v>
      </c>
      <c r="I3504" t="s">
        <v>2206</v>
      </c>
      <c r="J3504" t="s">
        <v>49</v>
      </c>
      <c r="K3504" t="s">
        <v>31</v>
      </c>
      <c r="L3504" t="s">
        <v>32</v>
      </c>
      <c r="M3504" t="s">
        <v>33</v>
      </c>
      <c r="P3504" s="1" t="s">
        <v>12257</v>
      </c>
      <c r="Q3504" s="1" t="s">
        <v>11609</v>
      </c>
      <c r="R3504" s="1" t="s">
        <v>11609</v>
      </c>
      <c r="S3504" s="1"/>
      <c r="T3504" s="1" t="s">
        <v>47</v>
      </c>
      <c r="U3504" s="1"/>
      <c r="V3504" s="1">
        <v>61.49</v>
      </c>
      <c r="W3504" s="1">
        <v>61.49</v>
      </c>
      <c r="X3504" s="1" t="s">
        <v>35</v>
      </c>
      <c r="Y3504" s="1">
        <v>61490.0</v>
      </c>
      <c r="Z3504" s="1"/>
      <c r="AA3504" s="1">
        <v>61490.0</v>
      </c>
      <c r="AB3504" s="1"/>
      <c r="AC3504" s="1" t="s">
        <v>36</v>
      </c>
      <c r="AD3504" s="1" t="s">
        <v>12258</v>
      </c>
      <c r="AE3504" s="1" t="s">
        <v>32</v>
      </c>
      <c r="AF3504" s="1" t="s">
        <v>33</v>
      </c>
      <c r="AG3504" s="1" t="s">
        <v>49</v>
      </c>
    </row>
    <row r="3505" spans="1:33">
      <c r="A3505" t="s">
        <v>12259</v>
      </c>
      <c r="C3505" t="s">
        <v>654</v>
      </c>
      <c r="E3505" t="s">
        <v>11609</v>
      </c>
      <c r="F3505" t="s">
        <v>11610</v>
      </c>
      <c r="G3505">
        <v>1.501</v>
      </c>
      <c r="H3505">
        <v>1.501</v>
      </c>
      <c r="I3505" t="s">
        <v>136</v>
      </c>
      <c r="J3505" t="s">
        <v>137</v>
      </c>
      <c r="K3505" t="s">
        <v>31</v>
      </c>
      <c r="L3505" t="s">
        <v>32</v>
      </c>
      <c r="M3505" t="s">
        <v>33</v>
      </c>
      <c r="P3505" s="1" t="s">
        <v>12260</v>
      </c>
      <c r="Q3505" s="1" t="s">
        <v>11609</v>
      </c>
      <c r="R3505" s="1" t="s">
        <v>11609</v>
      </c>
      <c r="S3505" s="1"/>
      <c r="T3505" s="1" t="s">
        <v>656</v>
      </c>
      <c r="U3505" s="1" t="s">
        <v>657</v>
      </c>
      <c r="V3505" s="1">
        <v>1.501</v>
      </c>
      <c r="W3505" s="1">
        <v>1.501</v>
      </c>
      <c r="X3505" s="1" t="s">
        <v>35</v>
      </c>
      <c r="Y3505" s="1">
        <v>1501750.0</v>
      </c>
      <c r="Z3505" s="1"/>
      <c r="AA3505" s="1">
        <v>1501750.0</v>
      </c>
      <c r="AB3505" s="1"/>
      <c r="AC3505" s="1" t="s">
        <v>36</v>
      </c>
      <c r="AD3505" s="1" t="s">
        <v>12261</v>
      </c>
      <c r="AE3505" s="1" t="s">
        <v>32</v>
      </c>
      <c r="AF3505" s="1" t="s">
        <v>33</v>
      </c>
      <c r="AG3505" s="1" t="s">
        <v>137</v>
      </c>
    </row>
    <row r="3506" spans="1:33">
      <c r="A3506" t="s">
        <v>12262</v>
      </c>
      <c r="B3506" t="s">
        <v>4987</v>
      </c>
      <c r="C3506" t="s">
        <v>314</v>
      </c>
      <c r="E3506" t="s">
        <v>11609</v>
      </c>
      <c r="F3506" t="s">
        <v>11610</v>
      </c>
      <c r="G3506">
        <v>60.98</v>
      </c>
      <c r="H3506">
        <v>60.98</v>
      </c>
      <c r="I3506" t="s">
        <v>179</v>
      </c>
      <c r="J3506" t="s">
        <v>180</v>
      </c>
      <c r="K3506" t="s">
        <v>31</v>
      </c>
      <c r="L3506" t="s">
        <v>32</v>
      </c>
      <c r="M3506" t="s">
        <v>33</v>
      </c>
      <c r="P3506" s="1" t="s">
        <v>12263</v>
      </c>
      <c r="Q3506" s="1" t="s">
        <v>11609</v>
      </c>
      <c r="R3506" s="1" t="s">
        <v>11609</v>
      </c>
      <c r="S3506" s="1"/>
      <c r="T3506" s="1" t="s">
        <v>314</v>
      </c>
      <c r="U3506" s="1"/>
      <c r="V3506" s="1">
        <v>60.98</v>
      </c>
      <c r="W3506" s="1">
        <v>60.98</v>
      </c>
      <c r="X3506" s="1" t="s">
        <v>35</v>
      </c>
      <c r="Y3506" s="1">
        <v>60980.0</v>
      </c>
      <c r="Z3506" s="1"/>
      <c r="AA3506" s="1">
        <v>60980.0</v>
      </c>
      <c r="AB3506" s="1"/>
      <c r="AC3506" s="1" t="s">
        <v>36</v>
      </c>
      <c r="AD3506" s="1" t="s">
        <v>12264</v>
      </c>
      <c r="AE3506" s="1" t="s">
        <v>32</v>
      </c>
      <c r="AF3506" s="1" t="s">
        <v>33</v>
      </c>
      <c r="AG3506" s="1" t="s">
        <v>180</v>
      </c>
    </row>
    <row r="3507" spans="1:33">
      <c r="A3507" t="s">
        <v>12265</v>
      </c>
      <c r="C3507" t="s">
        <v>7131</v>
      </c>
      <c r="D3507" t="s">
        <v>154</v>
      </c>
      <c r="E3507" t="s">
        <v>11609</v>
      </c>
      <c r="F3507" t="s">
        <v>11610</v>
      </c>
      <c r="G3507">
        <v>626.0</v>
      </c>
      <c r="H3507">
        <v>626.0</v>
      </c>
      <c r="I3507" t="s">
        <v>173</v>
      </c>
      <c r="J3507" t="s">
        <v>174</v>
      </c>
      <c r="K3507" t="s">
        <v>31</v>
      </c>
      <c r="L3507" t="s">
        <v>32</v>
      </c>
      <c r="M3507" t="s">
        <v>33</v>
      </c>
      <c r="P3507" s="1" t="s">
        <v>12266</v>
      </c>
      <c r="Q3507" s="1" t="s">
        <v>11609</v>
      </c>
      <c r="R3507" s="1" t="s">
        <v>11609</v>
      </c>
      <c r="S3507" s="1"/>
      <c r="T3507" s="1" t="s">
        <v>7131</v>
      </c>
      <c r="U3507" s="1"/>
      <c r="V3507" s="1">
        <v>626.0</v>
      </c>
      <c r="W3507" s="1">
        <v>626.0</v>
      </c>
      <c r="X3507" s="1" t="s">
        <v>35</v>
      </c>
      <c r="Y3507" s="1">
        <v>626000.0</v>
      </c>
      <c r="Z3507" s="1"/>
      <c r="AA3507" s="1">
        <v>626000.0</v>
      </c>
      <c r="AB3507" s="1"/>
      <c r="AC3507" s="1" t="s">
        <v>36</v>
      </c>
      <c r="AD3507" s="1" t="s">
        <v>12267</v>
      </c>
      <c r="AE3507" s="1" t="s">
        <v>32</v>
      </c>
      <c r="AF3507" s="1" t="s">
        <v>33</v>
      </c>
      <c r="AG3507" s="1" t="s">
        <v>174</v>
      </c>
    </row>
    <row r="3508" spans="1:33">
      <c r="A3508" t="s">
        <v>12268</v>
      </c>
      <c r="C3508" t="s">
        <v>12240</v>
      </c>
      <c r="E3508" t="s">
        <v>11609</v>
      </c>
      <c r="F3508" t="s">
        <v>11610</v>
      </c>
      <c r="G3508">
        <v>49.75</v>
      </c>
      <c r="H3508">
        <v>49.75</v>
      </c>
      <c r="I3508" t="s">
        <v>136</v>
      </c>
      <c r="J3508" t="s">
        <v>137</v>
      </c>
      <c r="K3508" t="s">
        <v>31</v>
      </c>
      <c r="L3508" t="s">
        <v>32</v>
      </c>
      <c r="M3508" t="s">
        <v>33</v>
      </c>
      <c r="P3508" s="1" t="s">
        <v>12269</v>
      </c>
      <c r="Q3508" s="1" t="s">
        <v>11609</v>
      </c>
      <c r="R3508" s="1" t="s">
        <v>11609</v>
      </c>
      <c r="S3508" s="1"/>
      <c r="T3508" s="1" t="s">
        <v>12240</v>
      </c>
      <c r="U3508" s="1"/>
      <c r="V3508" s="1">
        <v>49.75</v>
      </c>
      <c r="W3508" s="1">
        <v>49.75</v>
      </c>
      <c r="X3508" s="1" t="s">
        <v>35</v>
      </c>
      <c r="Y3508" s="1">
        <v>49750.0</v>
      </c>
      <c r="Z3508" s="1"/>
      <c r="AA3508" s="1">
        <v>49750.0</v>
      </c>
      <c r="AB3508" s="1"/>
      <c r="AC3508" s="1" t="s">
        <v>36</v>
      </c>
      <c r="AD3508" s="1" t="s">
        <v>12270</v>
      </c>
      <c r="AE3508" s="1" t="s">
        <v>32</v>
      </c>
      <c r="AF3508" s="1" t="s">
        <v>33</v>
      </c>
      <c r="AG3508" s="1" t="s">
        <v>137</v>
      </c>
    </row>
    <row r="3509" spans="1:33">
      <c r="A3509" t="s">
        <v>12271</v>
      </c>
      <c r="C3509" t="s">
        <v>558</v>
      </c>
      <c r="D3509" t="s">
        <v>154</v>
      </c>
      <c r="E3509" t="s">
        <v>11609</v>
      </c>
      <c r="F3509" t="s">
        <v>11610</v>
      </c>
      <c r="G3509">
        <v>18.5</v>
      </c>
      <c r="H3509">
        <v>18.5</v>
      </c>
      <c r="I3509" t="s">
        <v>269</v>
      </c>
      <c r="J3509" t="s">
        <v>270</v>
      </c>
      <c r="K3509" t="s">
        <v>31</v>
      </c>
      <c r="L3509" t="s">
        <v>32</v>
      </c>
      <c r="M3509" t="s">
        <v>33</v>
      </c>
      <c r="P3509" s="1" t="s">
        <v>12272</v>
      </c>
      <c r="Q3509" s="1" t="s">
        <v>11609</v>
      </c>
      <c r="R3509" s="1" t="s">
        <v>11609</v>
      </c>
      <c r="S3509" s="1"/>
      <c r="T3509" s="1" t="s">
        <v>560</v>
      </c>
      <c r="U3509" s="1" t="s">
        <v>561</v>
      </c>
      <c r="V3509" s="1">
        <v>18.5</v>
      </c>
      <c r="W3509" s="1">
        <v>18.5</v>
      </c>
      <c r="X3509" s="1" t="s">
        <v>35</v>
      </c>
      <c r="Y3509" s="1">
        <v>18500.0</v>
      </c>
      <c r="Z3509" s="1"/>
      <c r="AA3509" s="1">
        <v>18500.0</v>
      </c>
      <c r="AB3509" s="1"/>
      <c r="AC3509" s="1" t="s">
        <v>36</v>
      </c>
      <c r="AD3509" s="1" t="s">
        <v>12273</v>
      </c>
      <c r="AE3509" s="1" t="s">
        <v>32</v>
      </c>
      <c r="AF3509" s="1" t="s">
        <v>33</v>
      </c>
      <c r="AG3509" s="1" t="s">
        <v>270</v>
      </c>
    </row>
    <row r="3510" spans="1:33">
      <c r="A3510" t="s">
        <v>12274</v>
      </c>
      <c r="C3510" t="s">
        <v>1992</v>
      </c>
      <c r="E3510" t="s">
        <v>11609</v>
      </c>
      <c r="F3510" t="s">
        <v>11610</v>
      </c>
      <c r="G3510">
        <v>626.0</v>
      </c>
      <c r="H3510">
        <v>626.0</v>
      </c>
      <c r="I3510" t="s">
        <v>136</v>
      </c>
      <c r="J3510" t="s">
        <v>137</v>
      </c>
      <c r="K3510" t="s">
        <v>31</v>
      </c>
      <c r="L3510" t="s">
        <v>32</v>
      </c>
      <c r="M3510" t="s">
        <v>33</v>
      </c>
      <c r="P3510" s="1" t="s">
        <v>12275</v>
      </c>
      <c r="Q3510" s="1" t="s">
        <v>11609</v>
      </c>
      <c r="R3510" s="1" t="s">
        <v>11609</v>
      </c>
      <c r="S3510" s="1"/>
      <c r="T3510" s="1" t="s">
        <v>1994</v>
      </c>
      <c r="U3510" s="1" t="s">
        <v>1995</v>
      </c>
      <c r="V3510" s="1">
        <v>626.0</v>
      </c>
      <c r="W3510" s="1">
        <v>626.0</v>
      </c>
      <c r="X3510" s="1" t="s">
        <v>35</v>
      </c>
      <c r="Y3510" s="1">
        <v>626000</v>
      </c>
      <c r="Z3510" s="1"/>
      <c r="AA3510" s="1">
        <v>626000</v>
      </c>
      <c r="AB3510" s="1"/>
      <c r="AC3510" s="1" t="s">
        <v>36</v>
      </c>
      <c r="AD3510" s="1" t="s">
        <v>12276</v>
      </c>
      <c r="AE3510" s="1" t="s">
        <v>32</v>
      </c>
      <c r="AF3510" s="1" t="s">
        <v>33</v>
      </c>
      <c r="AG3510" s="1" t="s">
        <v>137</v>
      </c>
    </row>
    <row r="3511" spans="1:33">
      <c r="A3511" t="s">
        <v>12277</v>
      </c>
      <c r="C3511" t="s">
        <v>1197</v>
      </c>
      <c r="D3511" t="s">
        <v>154</v>
      </c>
      <c r="E3511" t="s">
        <v>11609</v>
      </c>
      <c r="F3511" t="s">
        <v>11610</v>
      </c>
      <c r="G3511">
        <v>1.08</v>
      </c>
      <c r="H3511">
        <v>1.08</v>
      </c>
      <c r="I3511" t="s">
        <v>269</v>
      </c>
      <c r="J3511" t="s">
        <v>270</v>
      </c>
      <c r="K3511" t="s">
        <v>31</v>
      </c>
      <c r="L3511" t="s">
        <v>32</v>
      </c>
      <c r="M3511" t="s">
        <v>33</v>
      </c>
      <c r="P3511" s="1" t="s">
        <v>12278</v>
      </c>
      <c r="Q3511" s="1" t="s">
        <v>11609</v>
      </c>
      <c r="R3511" s="1" t="s">
        <v>11609</v>
      </c>
      <c r="S3511" s="1"/>
      <c r="T3511" s="1" t="s">
        <v>1197</v>
      </c>
      <c r="U3511" s="1"/>
      <c r="V3511" s="1">
        <v>1.08</v>
      </c>
      <c r="W3511" s="1">
        <v>1.08</v>
      </c>
      <c r="X3511" s="1" t="s">
        <v>35</v>
      </c>
      <c r="Y3511" s="1">
        <v>1080000.0</v>
      </c>
      <c r="Z3511" s="1"/>
      <c r="AA3511" s="1">
        <v>1080000.0</v>
      </c>
      <c r="AB3511" s="1"/>
      <c r="AC3511" s="1" t="s">
        <v>36</v>
      </c>
      <c r="AD3511" s="1" t="s">
        <v>12273</v>
      </c>
      <c r="AE3511" s="1" t="s">
        <v>32</v>
      </c>
      <c r="AF3511" s="1" t="s">
        <v>33</v>
      </c>
      <c r="AG3511" s="1" t="s">
        <v>270</v>
      </c>
    </row>
    <row r="3512" spans="1:33">
      <c r="A3512" t="s">
        <v>12279</v>
      </c>
      <c r="C3512" t="s">
        <v>810</v>
      </c>
      <c r="D3512" t="s">
        <v>154</v>
      </c>
      <c r="E3512" t="s">
        <v>11609</v>
      </c>
      <c r="F3512" t="s">
        <v>11610</v>
      </c>
      <c r="G3512">
        <v>2.992</v>
      </c>
      <c r="H3512">
        <v>2.992</v>
      </c>
      <c r="I3512" t="s">
        <v>269</v>
      </c>
      <c r="J3512" t="s">
        <v>270</v>
      </c>
      <c r="K3512" t="s">
        <v>31</v>
      </c>
      <c r="L3512" t="s">
        <v>32</v>
      </c>
      <c r="M3512" t="s">
        <v>33</v>
      </c>
      <c r="P3512" s="1" t="s">
        <v>12280</v>
      </c>
      <c r="Q3512" s="1" t="s">
        <v>11609</v>
      </c>
      <c r="R3512" s="1" t="s">
        <v>11609</v>
      </c>
      <c r="S3512" s="1"/>
      <c r="T3512" s="1" t="s">
        <v>810</v>
      </c>
      <c r="U3512" s="1"/>
      <c r="V3512" s="1">
        <v>2.992</v>
      </c>
      <c r="W3512" s="1">
        <v>2.992</v>
      </c>
      <c r="X3512" s="1" t="s">
        <v>35</v>
      </c>
      <c r="Y3512" s="1">
        <v>2992000.0</v>
      </c>
      <c r="Z3512" s="1"/>
      <c r="AA3512" s="1">
        <v>2992000.0</v>
      </c>
      <c r="AB3512" s="1"/>
      <c r="AC3512" s="1" t="s">
        <v>36</v>
      </c>
      <c r="AD3512" s="1" t="s">
        <v>12251</v>
      </c>
      <c r="AE3512" s="1" t="s">
        <v>32</v>
      </c>
      <c r="AF3512" s="1" t="s">
        <v>33</v>
      </c>
      <c r="AG3512" s="1" t="s">
        <v>270</v>
      </c>
    </row>
    <row r="3513" spans="1:33">
      <c r="A3513" t="s">
        <v>12281</v>
      </c>
      <c r="C3513" t="s">
        <v>145</v>
      </c>
      <c r="E3513" t="s">
        <v>11609</v>
      </c>
      <c r="F3513" t="s">
        <v>11610</v>
      </c>
      <c r="G3513">
        <v>1.474</v>
      </c>
      <c r="H3513">
        <v>1.474</v>
      </c>
      <c r="I3513" t="s">
        <v>136</v>
      </c>
      <c r="J3513" t="s">
        <v>137</v>
      </c>
      <c r="K3513" t="s">
        <v>31</v>
      </c>
      <c r="L3513" t="s">
        <v>32</v>
      </c>
      <c r="M3513" t="s">
        <v>33</v>
      </c>
      <c r="P3513" s="1" t="s">
        <v>12282</v>
      </c>
      <c r="Q3513" s="1" t="s">
        <v>11609</v>
      </c>
      <c r="R3513" s="1" t="s">
        <v>11609</v>
      </c>
      <c r="S3513" s="1"/>
      <c r="T3513" s="1" t="s">
        <v>145</v>
      </c>
      <c r="U3513" s="1"/>
      <c r="V3513" s="1">
        <v>1.474</v>
      </c>
      <c r="W3513" s="1">
        <v>1.474</v>
      </c>
      <c r="X3513" s="1" t="s">
        <v>35</v>
      </c>
      <c r="Y3513" s="1">
        <v>1474300.0</v>
      </c>
      <c r="Z3513" s="1"/>
      <c r="AA3513" s="1">
        <v>1474300.0</v>
      </c>
      <c r="AB3513" s="1"/>
      <c r="AC3513" s="1" t="s">
        <v>36</v>
      </c>
      <c r="AD3513" s="1" t="s">
        <v>12167</v>
      </c>
      <c r="AE3513" s="1" t="s">
        <v>32</v>
      </c>
      <c r="AF3513" s="1" t="s">
        <v>33</v>
      </c>
      <c r="AG3513" s="1" t="s">
        <v>137</v>
      </c>
    </row>
    <row r="3514" spans="1:33">
      <c r="A3514" t="s">
        <v>12283</v>
      </c>
      <c r="C3514" t="s">
        <v>12284</v>
      </c>
      <c r="E3514" t="s">
        <v>11609</v>
      </c>
      <c r="F3514" t="s">
        <v>11610</v>
      </c>
      <c r="G3514">
        <v>630.0</v>
      </c>
      <c r="H3514">
        <v>630.0</v>
      </c>
      <c r="I3514" t="s">
        <v>40</v>
      </c>
      <c r="J3514" t="s">
        <v>41</v>
      </c>
      <c r="K3514" t="s">
        <v>31</v>
      </c>
      <c r="L3514" t="s">
        <v>32</v>
      </c>
      <c r="M3514" t="s">
        <v>33</v>
      </c>
      <c r="P3514" s="1" t="s">
        <v>12285</v>
      </c>
      <c r="Q3514" s="1" t="s">
        <v>11609</v>
      </c>
      <c r="R3514" s="1" t="s">
        <v>10933</v>
      </c>
      <c r="S3514" s="1"/>
      <c r="T3514" s="1" t="s">
        <v>12286</v>
      </c>
      <c r="U3514" s="1" t="s">
        <v>12287</v>
      </c>
      <c r="V3514" s="1">
        <v>630.0</v>
      </c>
      <c r="W3514" s="1">
        <v>630.0</v>
      </c>
      <c r="X3514" s="1" t="s">
        <v>35</v>
      </c>
      <c r="Y3514" s="1">
        <v>630000.0</v>
      </c>
      <c r="Z3514" s="1"/>
      <c r="AA3514" s="1">
        <v>630000.0</v>
      </c>
      <c r="AB3514" s="1"/>
      <c r="AC3514" s="1" t="s">
        <v>36</v>
      </c>
      <c r="AD3514" s="1" t="s">
        <v>12288</v>
      </c>
      <c r="AE3514" s="1" t="s">
        <v>32</v>
      </c>
      <c r="AF3514" s="1" t="s">
        <v>33</v>
      </c>
      <c r="AG3514" s="1" t="s">
        <v>41</v>
      </c>
    </row>
    <row r="3515" spans="1:33">
      <c r="A3515" t="s">
        <v>12289</v>
      </c>
      <c r="B3515" t="s">
        <v>2012</v>
      </c>
      <c r="C3515" t="s">
        <v>2013</v>
      </c>
      <c r="E3515" t="s">
        <v>11609</v>
      </c>
      <c r="F3515" t="s">
        <v>11610</v>
      </c>
      <c r="G3515">
        <v>1.077</v>
      </c>
      <c r="H3515">
        <v>1.077</v>
      </c>
      <c r="I3515" t="s">
        <v>59</v>
      </c>
      <c r="J3515" t="s">
        <v>60</v>
      </c>
      <c r="K3515" t="s">
        <v>12290</v>
      </c>
      <c r="L3515" t="s">
        <v>32</v>
      </c>
      <c r="M3515" t="s">
        <v>33</v>
      </c>
      <c r="P3515" s="1" t="s">
        <v>12291</v>
      </c>
      <c r="Q3515" s="1" t="s">
        <v>11609</v>
      </c>
      <c r="R3515" s="1" t="s">
        <v>11609</v>
      </c>
      <c r="S3515" s="1"/>
      <c r="T3515" s="1" t="s">
        <v>2013</v>
      </c>
      <c r="U3515" s="1"/>
      <c r="V3515" s="1">
        <v>1.077</v>
      </c>
      <c r="W3515" s="1">
        <v>1.077</v>
      </c>
      <c r="X3515" s="1" t="s">
        <v>35</v>
      </c>
      <c r="Y3515" s="1">
        <v>1077000.0</v>
      </c>
      <c r="Z3515" s="1"/>
      <c r="AA3515" s="1">
        <v>1077000.0</v>
      </c>
      <c r="AB3515" s="1"/>
      <c r="AC3515" s="1" t="s">
        <v>36</v>
      </c>
      <c r="AD3515" s="1" t="s">
        <v>12292</v>
      </c>
      <c r="AE3515" s="1" t="s">
        <v>32</v>
      </c>
      <c r="AF3515" s="1" t="s">
        <v>33</v>
      </c>
      <c r="AG3515" s="1" t="s">
        <v>60</v>
      </c>
    </row>
    <row r="3516" spans="1:33">
      <c r="A3516" t="s">
        <v>12293</v>
      </c>
      <c r="C3516" t="s">
        <v>2101</v>
      </c>
      <c r="E3516" t="s">
        <v>11609</v>
      </c>
      <c r="F3516" t="s">
        <v>11610</v>
      </c>
      <c r="G3516">
        <v>328.0</v>
      </c>
      <c r="H3516">
        <v>328.0</v>
      </c>
      <c r="I3516" t="s">
        <v>136</v>
      </c>
      <c r="J3516" t="s">
        <v>137</v>
      </c>
      <c r="K3516" t="s">
        <v>31</v>
      </c>
      <c r="L3516" t="s">
        <v>32</v>
      </c>
      <c r="M3516" t="s">
        <v>33</v>
      </c>
      <c r="P3516" s="1" t="s">
        <v>12294</v>
      </c>
      <c r="Q3516" s="1" t="s">
        <v>11609</v>
      </c>
      <c r="R3516" s="1" t="s">
        <v>11609</v>
      </c>
      <c r="S3516" s="1"/>
      <c r="T3516" s="1" t="s">
        <v>2103</v>
      </c>
      <c r="U3516" s="1" t="s">
        <v>2104</v>
      </c>
      <c r="V3516" s="1">
        <v>328.0</v>
      </c>
      <c r="W3516" s="1">
        <v>328.0</v>
      </c>
      <c r="X3516" s="1" t="s">
        <v>35</v>
      </c>
      <c r="Y3516" s="1">
        <v>328000.0</v>
      </c>
      <c r="Z3516" s="1"/>
      <c r="AA3516" s="1">
        <v>328000.0</v>
      </c>
      <c r="AB3516" s="1"/>
      <c r="AC3516" s="1" t="s">
        <v>36</v>
      </c>
      <c r="AD3516" s="1" t="s">
        <v>12295</v>
      </c>
      <c r="AE3516" s="1" t="s">
        <v>32</v>
      </c>
      <c r="AF3516" s="1" t="s">
        <v>33</v>
      </c>
      <c r="AG3516" s="1" t="s">
        <v>137</v>
      </c>
    </row>
    <row r="3517" spans="1:33">
      <c r="A3517" t="s">
        <v>12296</v>
      </c>
      <c r="C3517" t="s">
        <v>2485</v>
      </c>
      <c r="E3517" t="s">
        <v>11609</v>
      </c>
      <c r="F3517" t="s">
        <v>11610</v>
      </c>
      <c r="G3517">
        <v>1.134</v>
      </c>
      <c r="H3517">
        <v>1.134</v>
      </c>
      <c r="I3517" t="s">
        <v>136</v>
      </c>
      <c r="J3517" t="s">
        <v>137</v>
      </c>
      <c r="K3517" t="s">
        <v>31</v>
      </c>
      <c r="L3517" t="s">
        <v>32</v>
      </c>
      <c r="M3517" t="s">
        <v>33</v>
      </c>
      <c r="P3517" s="1" t="s">
        <v>12297</v>
      </c>
      <c r="Q3517" s="1" t="s">
        <v>11609</v>
      </c>
      <c r="R3517" s="1" t="s">
        <v>11609</v>
      </c>
      <c r="S3517" s="1"/>
      <c r="T3517" s="1" t="s">
        <v>2485</v>
      </c>
      <c r="U3517" s="1"/>
      <c r="V3517" s="1">
        <v>1.134</v>
      </c>
      <c r="W3517" s="1">
        <v>1.134</v>
      </c>
      <c r="X3517" s="1" t="s">
        <v>35</v>
      </c>
      <c r="Y3517" s="1">
        <v>1134000.0</v>
      </c>
      <c r="Z3517" s="1"/>
      <c r="AA3517" s="1">
        <v>1134000.0</v>
      </c>
      <c r="AB3517" s="1"/>
      <c r="AC3517" s="1" t="s">
        <v>36</v>
      </c>
      <c r="AD3517" s="1" t="s">
        <v>12220</v>
      </c>
      <c r="AE3517" s="1" t="s">
        <v>32</v>
      </c>
      <c r="AF3517" s="1" t="s">
        <v>33</v>
      </c>
      <c r="AG3517" s="1" t="s">
        <v>137</v>
      </c>
    </row>
    <row r="3518" spans="1:33">
      <c r="A3518" t="s">
        <v>12298</v>
      </c>
      <c r="C3518" t="s">
        <v>12299</v>
      </c>
      <c r="E3518" t="s">
        <v>11609</v>
      </c>
      <c r="F3518" t="s">
        <v>11610</v>
      </c>
      <c r="G3518">
        <v>210.0</v>
      </c>
      <c r="H3518">
        <v>210.0</v>
      </c>
      <c r="I3518" t="s">
        <v>2206</v>
      </c>
      <c r="J3518" t="s">
        <v>49</v>
      </c>
      <c r="K3518" t="s">
        <v>31</v>
      </c>
      <c r="L3518" t="s">
        <v>32</v>
      </c>
      <c r="M3518" t="s">
        <v>33</v>
      </c>
      <c r="P3518" s="1" t="s">
        <v>12300</v>
      </c>
      <c r="Q3518" s="1" t="s">
        <v>11609</v>
      </c>
      <c r="R3518" s="1" t="s">
        <v>11609</v>
      </c>
      <c r="S3518" s="1"/>
      <c r="T3518" s="1" t="s">
        <v>12299</v>
      </c>
      <c r="U3518" s="1"/>
      <c r="V3518" s="1">
        <v>210.0</v>
      </c>
      <c r="W3518" s="1">
        <v>210.0</v>
      </c>
      <c r="X3518" s="1" t="s">
        <v>35</v>
      </c>
      <c r="Y3518" s="1">
        <v>210000.0</v>
      </c>
      <c r="Z3518" s="1"/>
      <c r="AA3518" s="1">
        <v>210000.0</v>
      </c>
      <c r="AB3518" s="1"/>
      <c r="AC3518" s="1" t="s">
        <v>36</v>
      </c>
      <c r="AD3518" s="1" t="s">
        <v>12301</v>
      </c>
      <c r="AE3518" s="1" t="s">
        <v>32</v>
      </c>
      <c r="AF3518" s="1" t="s">
        <v>33</v>
      </c>
      <c r="AG3518" s="1" t="s">
        <v>49</v>
      </c>
    </row>
    <row r="3519" spans="1:33">
      <c r="A3519" t="s">
        <v>12302</v>
      </c>
      <c r="C3519" t="s">
        <v>725</v>
      </c>
      <c r="E3519" t="s">
        <v>11609</v>
      </c>
      <c r="F3519" t="s">
        <v>11610</v>
      </c>
      <c r="G3519">
        <v>3.21</v>
      </c>
      <c r="H3519">
        <v>3.21</v>
      </c>
      <c r="I3519" t="s">
        <v>136</v>
      </c>
      <c r="J3519" t="s">
        <v>137</v>
      </c>
      <c r="K3519" t="s">
        <v>31</v>
      </c>
      <c r="L3519" t="s">
        <v>32</v>
      </c>
      <c r="M3519" t="s">
        <v>33</v>
      </c>
      <c r="P3519" s="1" t="s">
        <v>12303</v>
      </c>
      <c r="Q3519" s="1" t="s">
        <v>11609</v>
      </c>
      <c r="R3519" s="1" t="s">
        <v>11609</v>
      </c>
      <c r="S3519" s="1"/>
      <c r="T3519" s="1" t="s">
        <v>725</v>
      </c>
      <c r="U3519" s="1"/>
      <c r="V3519" s="1">
        <v>3.21</v>
      </c>
      <c r="W3519" s="1">
        <v>3.21</v>
      </c>
      <c r="X3519" s="1" t="s">
        <v>35</v>
      </c>
      <c r="Y3519" s="1">
        <v>3210000.0</v>
      </c>
      <c r="Z3519" s="1"/>
      <c r="AA3519" s="1">
        <v>3210000.0</v>
      </c>
      <c r="AB3519" s="1"/>
      <c r="AC3519" s="1" t="s">
        <v>36</v>
      </c>
      <c r="AD3519" s="1" t="s">
        <v>12304</v>
      </c>
      <c r="AE3519" s="1" t="s">
        <v>32</v>
      </c>
      <c r="AF3519" s="1" t="s">
        <v>33</v>
      </c>
      <c r="AG3519" s="1" t="s">
        <v>137</v>
      </c>
    </row>
    <row r="3520" spans="1:33">
      <c r="A3520" t="s">
        <v>12305</v>
      </c>
      <c r="B3520" t="s">
        <v>12306</v>
      </c>
      <c r="C3520" t="s">
        <v>268</v>
      </c>
      <c r="E3520" t="s">
        <v>11609</v>
      </c>
      <c r="F3520" t="s">
        <v>11610</v>
      </c>
      <c r="G3520">
        <v>55.79</v>
      </c>
      <c r="H3520">
        <v>55.79</v>
      </c>
      <c r="I3520" t="s">
        <v>269</v>
      </c>
      <c r="J3520" t="s">
        <v>270</v>
      </c>
      <c r="K3520" t="s">
        <v>31</v>
      </c>
      <c r="L3520" t="s">
        <v>32</v>
      </c>
      <c r="M3520" t="s">
        <v>33</v>
      </c>
      <c r="P3520" s="1" t="s">
        <v>12307</v>
      </c>
      <c r="Q3520" s="1" t="s">
        <v>11609</v>
      </c>
      <c r="R3520" s="1" t="s">
        <v>11609</v>
      </c>
      <c r="S3520" s="1"/>
      <c r="T3520" s="1" t="s">
        <v>268</v>
      </c>
      <c r="U3520" s="1"/>
      <c r="V3520" s="1">
        <v>55.79</v>
      </c>
      <c r="W3520" s="1">
        <v>55.79</v>
      </c>
      <c r="X3520" s="1" t="s">
        <v>35</v>
      </c>
      <c r="Y3520" s="1">
        <v>55790.0</v>
      </c>
      <c r="Z3520" s="1"/>
      <c r="AA3520" s="1">
        <v>55790.0</v>
      </c>
      <c r="AB3520" s="1"/>
      <c r="AC3520" s="1" t="s">
        <v>36</v>
      </c>
      <c r="AD3520" s="1" t="s">
        <v>12308</v>
      </c>
      <c r="AE3520" s="1" t="s">
        <v>32</v>
      </c>
      <c r="AF3520" s="1" t="s">
        <v>33</v>
      </c>
      <c r="AG3520" s="1" t="s">
        <v>270</v>
      </c>
    </row>
    <row r="3521" spans="1:33">
      <c r="A3521" t="s">
        <v>12309</v>
      </c>
      <c r="C3521" t="s">
        <v>2989</v>
      </c>
      <c r="E3521" t="s">
        <v>11609</v>
      </c>
      <c r="F3521" t="s">
        <v>11610</v>
      </c>
      <c r="G3521">
        <v>2.335</v>
      </c>
      <c r="H3521">
        <v>2.335</v>
      </c>
      <c r="I3521" t="s">
        <v>136</v>
      </c>
      <c r="J3521" t="s">
        <v>137</v>
      </c>
      <c r="K3521" t="s">
        <v>31</v>
      </c>
      <c r="L3521" t="s">
        <v>32</v>
      </c>
      <c r="M3521" t="s">
        <v>33</v>
      </c>
      <c r="P3521" s="1" t="s">
        <v>12310</v>
      </c>
      <c r="Q3521" s="1" t="s">
        <v>11609</v>
      </c>
      <c r="R3521" s="1" t="s">
        <v>11609</v>
      </c>
      <c r="S3521" s="1"/>
      <c r="T3521" s="1" t="s">
        <v>2991</v>
      </c>
      <c r="U3521" s="1" t="s">
        <v>2992</v>
      </c>
      <c r="V3521" s="1">
        <v>2.335</v>
      </c>
      <c r="W3521" s="1">
        <v>2.335</v>
      </c>
      <c r="X3521" s="1" t="s">
        <v>35</v>
      </c>
      <c r="Y3521" s="1">
        <v>2335500.0</v>
      </c>
      <c r="Z3521" s="1"/>
      <c r="AA3521" s="1">
        <v>2335500.0</v>
      </c>
      <c r="AB3521" s="1"/>
      <c r="AC3521" s="1" t="s">
        <v>36</v>
      </c>
      <c r="AD3521" s="1" t="s">
        <v>12311</v>
      </c>
      <c r="AE3521" s="1" t="s">
        <v>32</v>
      </c>
      <c r="AF3521" s="1" t="s">
        <v>33</v>
      </c>
      <c r="AG3521" s="1" t="s">
        <v>137</v>
      </c>
    </row>
    <row r="3522" spans="1:33">
      <c r="A3522" t="s">
        <v>12312</v>
      </c>
      <c r="B3522" t="s">
        <v>4956</v>
      </c>
      <c r="C3522" t="s">
        <v>172</v>
      </c>
      <c r="E3522" t="s">
        <v>11609</v>
      </c>
      <c r="F3522" t="s">
        <v>11610</v>
      </c>
      <c r="G3522">
        <v>19.445</v>
      </c>
      <c r="H3522">
        <v>19.445</v>
      </c>
      <c r="I3522" t="s">
        <v>173</v>
      </c>
      <c r="J3522" t="s">
        <v>174</v>
      </c>
      <c r="K3522" t="s">
        <v>31</v>
      </c>
      <c r="L3522" t="s">
        <v>32</v>
      </c>
      <c r="M3522" t="s">
        <v>33</v>
      </c>
      <c r="P3522" s="1" t="s">
        <v>12313</v>
      </c>
      <c r="Q3522" s="1" t="s">
        <v>11609</v>
      </c>
      <c r="R3522" s="1" t="s">
        <v>11609</v>
      </c>
      <c r="S3522" s="1"/>
      <c r="T3522" s="1" t="s">
        <v>172</v>
      </c>
      <c r="U3522" s="1"/>
      <c r="V3522" s="1">
        <v>19.445</v>
      </c>
      <c r="W3522" s="1">
        <v>19.445</v>
      </c>
      <c r="X3522" s="1" t="s">
        <v>35</v>
      </c>
      <c r="Y3522" s="1">
        <v>19445.0</v>
      </c>
      <c r="Z3522" s="1"/>
      <c r="AA3522" s="1">
        <v>19445.0</v>
      </c>
      <c r="AB3522" s="1"/>
      <c r="AC3522" s="1" t="s">
        <v>36</v>
      </c>
      <c r="AD3522" s="1" t="s">
        <v>12314</v>
      </c>
      <c r="AE3522" s="1" t="s">
        <v>32</v>
      </c>
      <c r="AF3522" s="1" t="s">
        <v>33</v>
      </c>
      <c r="AG3522" s="1" t="s">
        <v>174</v>
      </c>
    </row>
    <row r="3523" spans="1:33">
      <c r="A3523" t="s">
        <v>12315</v>
      </c>
      <c r="C3523" t="s">
        <v>6182</v>
      </c>
      <c r="E3523" t="s">
        <v>11609</v>
      </c>
      <c r="F3523" t="s">
        <v>11610</v>
      </c>
      <c r="G3523">
        <v>328.0</v>
      </c>
      <c r="H3523">
        <v>328.0</v>
      </c>
      <c r="I3523" t="s">
        <v>136</v>
      </c>
      <c r="J3523" t="s">
        <v>137</v>
      </c>
      <c r="K3523" t="s">
        <v>31</v>
      </c>
      <c r="L3523" t="s">
        <v>32</v>
      </c>
      <c r="M3523" t="s">
        <v>33</v>
      </c>
      <c r="P3523" s="1" t="s">
        <v>12316</v>
      </c>
      <c r="Q3523" s="1" t="s">
        <v>11609</v>
      </c>
      <c r="R3523" s="1" t="s">
        <v>11609</v>
      </c>
      <c r="S3523" s="1"/>
      <c r="T3523" s="1" t="s">
        <v>6184</v>
      </c>
      <c r="U3523" s="1" t="s">
        <v>6185</v>
      </c>
      <c r="V3523" s="1">
        <v>328.0</v>
      </c>
      <c r="W3523" s="1">
        <v>328.0</v>
      </c>
      <c r="X3523" s="1" t="s">
        <v>35</v>
      </c>
      <c r="Y3523" s="1">
        <v>328000.0</v>
      </c>
      <c r="Z3523" s="1"/>
      <c r="AA3523" s="1">
        <v>328000.0</v>
      </c>
      <c r="AB3523" s="1"/>
      <c r="AC3523" s="1" t="s">
        <v>36</v>
      </c>
      <c r="AD3523" s="1" t="s">
        <v>12258</v>
      </c>
      <c r="AE3523" s="1" t="s">
        <v>32</v>
      </c>
      <c r="AF3523" s="1" t="s">
        <v>33</v>
      </c>
      <c r="AG3523" s="1" t="s">
        <v>137</v>
      </c>
    </row>
    <row r="3524" spans="1:33">
      <c r="A3524" t="s">
        <v>12317</v>
      </c>
      <c r="C3524" t="s">
        <v>747</v>
      </c>
      <c r="E3524" t="s">
        <v>11609</v>
      </c>
      <c r="F3524" t="s">
        <v>11610</v>
      </c>
      <c r="G3524">
        <v>984.0</v>
      </c>
      <c r="H3524">
        <v>984.0</v>
      </c>
      <c r="I3524" t="s">
        <v>136</v>
      </c>
      <c r="J3524" t="s">
        <v>137</v>
      </c>
      <c r="K3524" t="s">
        <v>31</v>
      </c>
      <c r="L3524" t="s">
        <v>32</v>
      </c>
      <c r="M3524" t="s">
        <v>33</v>
      </c>
      <c r="P3524" s="1" t="s">
        <v>12318</v>
      </c>
      <c r="Q3524" s="1" t="s">
        <v>11609</v>
      </c>
      <c r="R3524" s="1" t="s">
        <v>11609</v>
      </c>
      <c r="S3524" s="1"/>
      <c r="T3524" s="1" t="s">
        <v>747</v>
      </c>
      <c r="U3524" s="1"/>
      <c r="V3524" s="1">
        <v>984.0</v>
      </c>
      <c r="W3524" s="1">
        <v>984.0</v>
      </c>
      <c r="X3524" s="1" t="s">
        <v>35</v>
      </c>
      <c r="Y3524" s="1">
        <v>984000.0</v>
      </c>
      <c r="Z3524" s="1"/>
      <c r="AA3524" s="1">
        <v>984000.0</v>
      </c>
      <c r="AB3524" s="1"/>
      <c r="AC3524" s="1" t="s">
        <v>36</v>
      </c>
      <c r="AD3524" s="1" t="s">
        <v>12264</v>
      </c>
      <c r="AE3524" s="1" t="s">
        <v>32</v>
      </c>
      <c r="AF3524" s="1" t="s">
        <v>33</v>
      </c>
      <c r="AG3524" s="1" t="s">
        <v>137</v>
      </c>
    </row>
    <row r="3525" spans="1:33">
      <c r="A3525" t="s">
        <v>12319</v>
      </c>
      <c r="B3525" t="s">
        <v>12320</v>
      </c>
      <c r="C3525" t="s">
        <v>12240</v>
      </c>
      <c r="E3525" t="s">
        <v>11609</v>
      </c>
      <c r="F3525" t="s">
        <v>11610</v>
      </c>
      <c r="G3525">
        <v>153.4</v>
      </c>
      <c r="H3525">
        <v>153.4</v>
      </c>
      <c r="I3525" t="s">
        <v>136</v>
      </c>
      <c r="J3525" t="s">
        <v>137</v>
      </c>
      <c r="K3525" t="s">
        <v>31</v>
      </c>
      <c r="L3525" t="s">
        <v>32</v>
      </c>
      <c r="M3525" t="s">
        <v>33</v>
      </c>
      <c r="P3525" s="1" t="s">
        <v>12321</v>
      </c>
      <c r="Q3525" s="1" t="s">
        <v>11609</v>
      </c>
      <c r="R3525" s="1" t="s">
        <v>11609</v>
      </c>
      <c r="S3525" s="1"/>
      <c r="T3525" s="1" t="s">
        <v>12240</v>
      </c>
      <c r="U3525" s="1"/>
      <c r="V3525" s="1">
        <v>153.4</v>
      </c>
      <c r="W3525" s="1">
        <v>153.4</v>
      </c>
      <c r="X3525" s="1" t="s">
        <v>35</v>
      </c>
      <c r="Y3525" s="1">
        <v>153400.0</v>
      </c>
      <c r="Z3525" s="1"/>
      <c r="AA3525" s="1">
        <v>153400.0</v>
      </c>
      <c r="AB3525" s="1"/>
      <c r="AC3525" s="1" t="s">
        <v>36</v>
      </c>
      <c r="AD3525" s="1" t="s">
        <v>12288</v>
      </c>
      <c r="AE3525" s="1" t="s">
        <v>32</v>
      </c>
      <c r="AF3525" s="1" t="s">
        <v>33</v>
      </c>
      <c r="AG3525" s="1" t="s">
        <v>137</v>
      </c>
    </row>
    <row r="3526" spans="1:33">
      <c r="A3526" t="s">
        <v>12322</v>
      </c>
      <c r="C3526" t="s">
        <v>1285</v>
      </c>
      <c r="E3526" t="s">
        <v>11609</v>
      </c>
      <c r="F3526" t="s">
        <v>11610</v>
      </c>
      <c r="G3526">
        <v>320.0</v>
      </c>
      <c r="H3526">
        <v>320.0</v>
      </c>
      <c r="I3526" t="s">
        <v>173</v>
      </c>
      <c r="J3526" t="s">
        <v>174</v>
      </c>
      <c r="K3526" t="s">
        <v>31</v>
      </c>
      <c r="L3526" t="s">
        <v>32</v>
      </c>
      <c r="M3526" t="s">
        <v>33</v>
      </c>
      <c r="P3526" s="1" t="s">
        <v>12323</v>
      </c>
      <c r="Q3526" s="1" t="s">
        <v>11609</v>
      </c>
      <c r="R3526" s="1" t="s">
        <v>11609</v>
      </c>
      <c r="S3526" s="1"/>
      <c r="T3526" s="1" t="s">
        <v>1285</v>
      </c>
      <c r="U3526" s="1"/>
      <c r="V3526" s="1">
        <v>320.0</v>
      </c>
      <c r="W3526" s="1">
        <v>320.0</v>
      </c>
      <c r="X3526" s="1" t="s">
        <v>35</v>
      </c>
      <c r="Y3526" s="1">
        <v>320000.0</v>
      </c>
      <c r="Z3526" s="1"/>
      <c r="AA3526" s="1">
        <v>320000.0</v>
      </c>
      <c r="AB3526" s="1"/>
      <c r="AC3526" s="1" t="s">
        <v>36</v>
      </c>
      <c r="AD3526" s="1" t="s">
        <v>12324</v>
      </c>
      <c r="AE3526" s="1" t="s">
        <v>32</v>
      </c>
      <c r="AF3526" s="1" t="s">
        <v>33</v>
      </c>
      <c r="AG3526" s="1" t="s">
        <v>174</v>
      </c>
    </row>
    <row r="3527" spans="1:33">
      <c r="A3527" t="s">
        <v>12325</v>
      </c>
      <c r="B3527" t="s">
        <v>2611</v>
      </c>
      <c r="C3527" t="s">
        <v>2612</v>
      </c>
      <c r="E3527" t="s">
        <v>11609</v>
      </c>
      <c r="F3527" t="s">
        <v>11610</v>
      </c>
      <c r="G3527">
        <v>840.0</v>
      </c>
      <c r="H3527">
        <v>840.0</v>
      </c>
      <c r="I3527" t="s">
        <v>29</v>
      </c>
      <c r="J3527" t="s">
        <v>30</v>
      </c>
      <c r="K3527" t="s">
        <v>31</v>
      </c>
      <c r="L3527" t="s">
        <v>32</v>
      </c>
      <c r="M3527" t="s">
        <v>33</v>
      </c>
      <c r="P3527" s="1" t="s">
        <v>12326</v>
      </c>
      <c r="Q3527" s="1" t="s">
        <v>11609</v>
      </c>
      <c r="R3527" s="1" t="s">
        <v>11609</v>
      </c>
      <c r="S3527" s="1"/>
      <c r="T3527" s="1" t="s">
        <v>2614</v>
      </c>
      <c r="U3527" s="1" t="s">
        <v>154</v>
      </c>
      <c r="V3527" s="1">
        <v>840.0</v>
      </c>
      <c r="W3527" s="1">
        <v>840.0</v>
      </c>
      <c r="X3527" s="1" t="s">
        <v>35</v>
      </c>
      <c r="Y3527" s="1">
        <v>840000.0</v>
      </c>
      <c r="Z3527" s="1"/>
      <c r="AA3527" s="1">
        <v>840000.0</v>
      </c>
      <c r="AB3527" s="1"/>
      <c r="AC3527" s="1" t="s">
        <v>36</v>
      </c>
      <c r="AD3527" s="1" t="s">
        <v>12235</v>
      </c>
      <c r="AE3527" s="1" t="s">
        <v>32</v>
      </c>
      <c r="AF3527" s="1" t="s">
        <v>33</v>
      </c>
      <c r="AG3527" s="1" t="s">
        <v>30</v>
      </c>
    </row>
    <row r="3528" spans="1:33">
      <c r="A3528" t="s">
        <v>12327</v>
      </c>
      <c r="B3528" t="s">
        <v>2137</v>
      </c>
      <c r="C3528" t="s">
        <v>2201</v>
      </c>
      <c r="E3528" t="s">
        <v>11609</v>
      </c>
      <c r="F3528" t="s">
        <v>11610</v>
      </c>
      <c r="G3528">
        <v>492.0</v>
      </c>
      <c r="H3528">
        <v>492.0</v>
      </c>
      <c r="I3528" t="s">
        <v>529</v>
      </c>
      <c r="J3528" t="s">
        <v>530</v>
      </c>
      <c r="K3528" t="s">
        <v>31</v>
      </c>
      <c r="L3528" t="s">
        <v>32</v>
      </c>
      <c r="M3528" t="s">
        <v>33</v>
      </c>
      <c r="P3528" s="1" t="s">
        <v>12328</v>
      </c>
      <c r="Q3528" s="1" t="s">
        <v>11609</v>
      </c>
      <c r="R3528" s="1" t="s">
        <v>10933</v>
      </c>
      <c r="S3528" s="1"/>
      <c r="T3528" s="1" t="s">
        <v>2201</v>
      </c>
      <c r="U3528" s="1"/>
      <c r="V3528" s="1">
        <v>492.0</v>
      </c>
      <c r="W3528" s="1">
        <v>492.0</v>
      </c>
      <c r="X3528" s="1" t="s">
        <v>35</v>
      </c>
      <c r="Y3528" s="1">
        <v>492000.0</v>
      </c>
      <c r="Z3528" s="1"/>
      <c r="AA3528" s="1">
        <v>492000.0</v>
      </c>
      <c r="AB3528" s="1"/>
      <c r="AC3528" s="1" t="s">
        <v>36</v>
      </c>
      <c r="AD3528" s="1" t="s">
        <v>12329</v>
      </c>
      <c r="AE3528" s="1" t="s">
        <v>32</v>
      </c>
      <c r="AF3528" s="1" t="s">
        <v>33</v>
      </c>
      <c r="AG3528" s="1" t="s">
        <v>530</v>
      </c>
    </row>
    <row r="3529" spans="1:33">
      <c r="A3529" t="s">
        <v>12330</v>
      </c>
      <c r="C3529" t="s">
        <v>4763</v>
      </c>
      <c r="E3529" t="s">
        <v>11609</v>
      </c>
      <c r="F3529" t="s">
        <v>11610</v>
      </c>
      <c r="G3529">
        <v>357.25</v>
      </c>
      <c r="H3529">
        <v>357.25</v>
      </c>
      <c r="I3529" t="s">
        <v>136</v>
      </c>
      <c r="J3529" t="s">
        <v>137</v>
      </c>
      <c r="K3529" t="s">
        <v>31</v>
      </c>
      <c r="L3529" t="s">
        <v>32</v>
      </c>
      <c r="M3529" t="s">
        <v>33</v>
      </c>
      <c r="P3529" s="1" t="s">
        <v>12331</v>
      </c>
      <c r="Q3529" s="1" t="s">
        <v>11609</v>
      </c>
      <c r="R3529" s="1" t="s">
        <v>11609</v>
      </c>
      <c r="S3529" s="1"/>
      <c r="T3529" s="1" t="s">
        <v>4765</v>
      </c>
      <c r="U3529" s="1" t="s">
        <v>4766</v>
      </c>
      <c r="V3529" s="1">
        <v>357.25</v>
      </c>
      <c r="W3529" s="1">
        <v>357.25</v>
      </c>
      <c r="X3529" s="1" t="s">
        <v>35</v>
      </c>
      <c r="Y3529" s="1">
        <v>357250.0</v>
      </c>
      <c r="Z3529" s="1"/>
      <c r="AA3529" s="1">
        <v>357250.0</v>
      </c>
      <c r="AB3529" s="1"/>
      <c r="AC3529" s="1" t="s">
        <v>36</v>
      </c>
      <c r="AD3529" s="1" t="s">
        <v>12332</v>
      </c>
      <c r="AE3529" s="1" t="s">
        <v>32</v>
      </c>
      <c r="AF3529" s="1" t="s">
        <v>33</v>
      </c>
      <c r="AG3529" s="1" t="s">
        <v>137</v>
      </c>
    </row>
    <row r="3530" spans="1:33">
      <c r="A3530" t="s">
        <v>12333</v>
      </c>
      <c r="C3530" t="s">
        <v>4447</v>
      </c>
      <c r="D3530" t="s">
        <v>154</v>
      </c>
      <c r="E3530" t="s">
        <v>11609</v>
      </c>
      <c r="F3530" t="s">
        <v>11610</v>
      </c>
      <c r="G3530">
        <v>771.1</v>
      </c>
      <c r="H3530">
        <v>771.1</v>
      </c>
      <c r="I3530" t="s">
        <v>269</v>
      </c>
      <c r="J3530" t="s">
        <v>270</v>
      </c>
      <c r="K3530" t="s">
        <v>31</v>
      </c>
      <c r="L3530" t="s">
        <v>32</v>
      </c>
      <c r="M3530" t="s">
        <v>33</v>
      </c>
      <c r="P3530" s="1" t="s">
        <v>12334</v>
      </c>
      <c r="Q3530" s="1" t="s">
        <v>11609</v>
      </c>
      <c r="R3530" s="1" t="s">
        <v>11609</v>
      </c>
      <c r="S3530" s="1"/>
      <c r="T3530" s="1" t="s">
        <v>4449</v>
      </c>
      <c r="U3530" s="1" t="s">
        <v>4450</v>
      </c>
      <c r="V3530" s="1">
        <v>771.1</v>
      </c>
      <c r="W3530" s="1">
        <v>771.1</v>
      </c>
      <c r="X3530" s="1" t="s">
        <v>35</v>
      </c>
      <c r="Y3530" s="1">
        <v>771100.0</v>
      </c>
      <c r="Z3530" s="1"/>
      <c r="AA3530" s="1">
        <v>771100.0</v>
      </c>
      <c r="AB3530" s="1"/>
      <c r="AC3530" s="1" t="s">
        <v>36</v>
      </c>
      <c r="AD3530" s="1" t="s">
        <v>12335</v>
      </c>
      <c r="AE3530" s="1" t="s">
        <v>32</v>
      </c>
      <c r="AF3530" s="1" t="s">
        <v>33</v>
      </c>
      <c r="AG3530" s="1" t="s">
        <v>270</v>
      </c>
    </row>
    <row r="3531" spans="1:33">
      <c r="A3531" t="s">
        <v>12336</v>
      </c>
      <c r="B3531" t="s">
        <v>12337</v>
      </c>
      <c r="C3531" t="s">
        <v>47</v>
      </c>
      <c r="E3531" t="s">
        <v>11609</v>
      </c>
      <c r="F3531" t="s">
        <v>11610</v>
      </c>
      <c r="G3531">
        <v>43.98</v>
      </c>
      <c r="H3531">
        <v>43.98</v>
      </c>
      <c r="I3531" t="s">
        <v>2206</v>
      </c>
      <c r="J3531" t="s">
        <v>49</v>
      </c>
      <c r="K3531" t="s">
        <v>31</v>
      </c>
      <c r="L3531" t="s">
        <v>32</v>
      </c>
      <c r="M3531" t="s">
        <v>33</v>
      </c>
      <c r="P3531" s="1" t="s">
        <v>12338</v>
      </c>
      <c r="Q3531" s="1" t="s">
        <v>11609</v>
      </c>
      <c r="R3531" s="1" t="s">
        <v>11609</v>
      </c>
      <c r="S3531" s="1"/>
      <c r="T3531" s="1" t="s">
        <v>47</v>
      </c>
      <c r="U3531" s="1"/>
      <c r="V3531" s="1">
        <v>43.98</v>
      </c>
      <c r="W3531" s="1">
        <v>43.98</v>
      </c>
      <c r="X3531" s="1" t="s">
        <v>35</v>
      </c>
      <c r="Y3531" s="1">
        <v>43980.0</v>
      </c>
      <c r="Z3531" s="1"/>
      <c r="AA3531" s="1">
        <v>43980.0</v>
      </c>
      <c r="AB3531" s="1"/>
      <c r="AC3531" s="1" t="s">
        <v>36</v>
      </c>
      <c r="AD3531" s="1" t="s">
        <v>12339</v>
      </c>
      <c r="AE3531" s="1" t="s">
        <v>32</v>
      </c>
      <c r="AF3531" s="1" t="s">
        <v>33</v>
      </c>
      <c r="AG3531" s="1" t="s">
        <v>49</v>
      </c>
    </row>
    <row r="3532" spans="1:33">
      <c r="A3532" t="s">
        <v>12340</v>
      </c>
      <c r="C3532" t="s">
        <v>3399</v>
      </c>
      <c r="E3532" t="s">
        <v>11609</v>
      </c>
      <c r="F3532" t="s">
        <v>12341</v>
      </c>
      <c r="G3532">
        <v>1.91</v>
      </c>
      <c r="H3532">
        <v>1.91</v>
      </c>
      <c r="I3532" t="s">
        <v>40</v>
      </c>
      <c r="J3532" t="s">
        <v>41</v>
      </c>
      <c r="K3532" t="s">
        <v>31</v>
      </c>
      <c r="L3532" t="s">
        <v>32</v>
      </c>
      <c r="M3532" t="s">
        <v>33</v>
      </c>
      <c r="P3532" s="1" t="s">
        <v>12342</v>
      </c>
      <c r="Q3532" s="1" t="s">
        <v>11609</v>
      </c>
      <c r="R3532" s="1" t="s">
        <v>10933</v>
      </c>
      <c r="S3532" s="1"/>
      <c r="T3532" s="1" t="s">
        <v>3399</v>
      </c>
      <c r="U3532" s="1"/>
      <c r="V3532" s="1">
        <v>1.91</v>
      </c>
      <c r="W3532" s="1">
        <v>1.91</v>
      </c>
      <c r="X3532" s="1" t="s">
        <v>35</v>
      </c>
      <c r="Y3532" s="1">
        <v>1910000.0</v>
      </c>
      <c r="Z3532" s="1"/>
      <c r="AA3532" s="1">
        <v>1910000.0</v>
      </c>
      <c r="AB3532" s="1"/>
      <c r="AC3532" s="1" t="s">
        <v>36</v>
      </c>
      <c r="AD3532" s="1" t="s">
        <v>12324</v>
      </c>
      <c r="AE3532" s="1" t="s">
        <v>32</v>
      </c>
      <c r="AF3532" s="1" t="s">
        <v>33</v>
      </c>
      <c r="AG3532" s="1" t="s">
        <v>41</v>
      </c>
    </row>
    <row r="3533" spans="1:33">
      <c r="A3533" t="s">
        <v>12343</v>
      </c>
      <c r="B3533" t="s">
        <v>12344</v>
      </c>
      <c r="C3533" t="s">
        <v>268</v>
      </c>
      <c r="E3533" t="s">
        <v>11609</v>
      </c>
      <c r="F3533" t="s">
        <v>11610</v>
      </c>
      <c r="G3533">
        <v>187.9</v>
      </c>
      <c r="H3533">
        <v>187.9</v>
      </c>
      <c r="I3533" t="s">
        <v>269</v>
      </c>
      <c r="J3533" t="s">
        <v>270</v>
      </c>
      <c r="K3533" t="s">
        <v>31</v>
      </c>
      <c r="L3533" t="s">
        <v>32</v>
      </c>
      <c r="M3533" t="s">
        <v>33</v>
      </c>
      <c r="P3533" s="1" t="s">
        <v>12345</v>
      </c>
      <c r="Q3533" s="1" t="s">
        <v>11609</v>
      </c>
      <c r="R3533" s="1" t="s">
        <v>11609</v>
      </c>
      <c r="S3533" s="1"/>
      <c r="T3533" s="1" t="s">
        <v>268</v>
      </c>
      <c r="U3533" s="1"/>
      <c r="V3533" s="1">
        <v>187.9</v>
      </c>
      <c r="W3533" s="1">
        <v>187.9</v>
      </c>
      <c r="X3533" s="1" t="s">
        <v>35</v>
      </c>
      <c r="Y3533" s="1">
        <v>187900.0</v>
      </c>
      <c r="Z3533" s="1"/>
      <c r="AA3533" s="1">
        <v>187900.0</v>
      </c>
      <c r="AB3533" s="1"/>
      <c r="AC3533" s="1" t="s">
        <v>36</v>
      </c>
      <c r="AD3533" s="1" t="s">
        <v>12346</v>
      </c>
      <c r="AE3533" s="1" t="s">
        <v>32</v>
      </c>
      <c r="AF3533" s="1" t="s">
        <v>33</v>
      </c>
      <c r="AG3533" s="1" t="s">
        <v>270</v>
      </c>
    </row>
    <row r="3534" spans="1:33">
      <c r="A3534" t="s">
        <v>12347</v>
      </c>
      <c r="B3534" t="s">
        <v>5257</v>
      </c>
      <c r="C3534" t="s">
        <v>314</v>
      </c>
      <c r="E3534" t="s">
        <v>11609</v>
      </c>
      <c r="F3534" t="s">
        <v>11610</v>
      </c>
      <c r="G3534">
        <v>70.92</v>
      </c>
      <c r="H3534">
        <v>70.92</v>
      </c>
      <c r="I3534" t="s">
        <v>179</v>
      </c>
      <c r="J3534" t="s">
        <v>180</v>
      </c>
      <c r="K3534" t="s">
        <v>31</v>
      </c>
      <c r="L3534" t="s">
        <v>32</v>
      </c>
      <c r="M3534" t="s">
        <v>33</v>
      </c>
      <c r="P3534" s="1" t="s">
        <v>12348</v>
      </c>
      <c r="Q3534" s="1" t="s">
        <v>11609</v>
      </c>
      <c r="R3534" s="1" t="s">
        <v>11609</v>
      </c>
      <c r="S3534" s="1"/>
      <c r="T3534" s="1" t="s">
        <v>314</v>
      </c>
      <c r="U3534" s="1"/>
      <c r="V3534" s="1">
        <v>70.92</v>
      </c>
      <c r="W3534" s="1">
        <v>70.92</v>
      </c>
      <c r="X3534" s="1" t="s">
        <v>35</v>
      </c>
      <c r="Y3534" s="1">
        <v>70920.0</v>
      </c>
      <c r="Z3534" s="1"/>
      <c r="AA3534" s="1">
        <v>70920.0</v>
      </c>
      <c r="AB3534" s="1"/>
      <c r="AC3534" s="1" t="s">
        <v>36</v>
      </c>
      <c r="AD3534" s="1" t="s">
        <v>12349</v>
      </c>
      <c r="AE3534" s="1" t="s">
        <v>32</v>
      </c>
      <c r="AF3534" s="1" t="s">
        <v>33</v>
      </c>
      <c r="AG3534" s="1" t="s">
        <v>180</v>
      </c>
    </row>
    <row r="3535" spans="1:33">
      <c r="A3535" t="s">
        <v>12350</v>
      </c>
      <c r="B3535" t="s">
        <v>12351</v>
      </c>
      <c r="C3535" t="s">
        <v>268</v>
      </c>
      <c r="E3535" t="s">
        <v>11609</v>
      </c>
      <c r="F3535" t="s">
        <v>11610</v>
      </c>
      <c r="G3535">
        <v>57.15</v>
      </c>
      <c r="H3535">
        <v>57.15</v>
      </c>
      <c r="I3535" t="s">
        <v>269</v>
      </c>
      <c r="J3535" t="s">
        <v>270</v>
      </c>
      <c r="K3535" t="s">
        <v>31</v>
      </c>
      <c r="L3535" t="s">
        <v>32</v>
      </c>
      <c r="M3535" t="s">
        <v>33</v>
      </c>
      <c r="P3535" s="1" t="s">
        <v>12352</v>
      </c>
      <c r="Q3535" s="1" t="s">
        <v>11609</v>
      </c>
      <c r="R3535" s="1" t="s">
        <v>11609</v>
      </c>
      <c r="S3535" s="1"/>
      <c r="T3535" s="1" t="s">
        <v>268</v>
      </c>
      <c r="U3535" s="1"/>
      <c r="V3535" s="1">
        <v>57.15</v>
      </c>
      <c r="W3535" s="1">
        <v>57.15</v>
      </c>
      <c r="X3535" s="1" t="s">
        <v>35</v>
      </c>
      <c r="Y3535" s="1">
        <v>57150.0</v>
      </c>
      <c r="Z3535" s="1"/>
      <c r="AA3535" s="1">
        <v>57150.0</v>
      </c>
      <c r="AB3535" s="1"/>
      <c r="AC3535" s="1" t="s">
        <v>36</v>
      </c>
      <c r="AD3535" s="1" t="s">
        <v>12353</v>
      </c>
      <c r="AE3535" s="1" t="s">
        <v>32</v>
      </c>
      <c r="AF3535" s="1" t="s">
        <v>33</v>
      </c>
      <c r="AG3535" s="1" t="s">
        <v>270</v>
      </c>
    </row>
    <row r="3536" spans="1:33">
      <c r="A3536" t="s">
        <v>12354</v>
      </c>
      <c r="B3536" t="s">
        <v>12355</v>
      </c>
      <c r="C3536" t="s">
        <v>47</v>
      </c>
      <c r="E3536" t="s">
        <v>11609</v>
      </c>
      <c r="F3536" t="s">
        <v>11610</v>
      </c>
      <c r="G3536">
        <v>50.0</v>
      </c>
      <c r="H3536">
        <v>50.0</v>
      </c>
      <c r="I3536" t="s">
        <v>2206</v>
      </c>
      <c r="J3536" t="s">
        <v>49</v>
      </c>
      <c r="K3536" t="s">
        <v>31</v>
      </c>
      <c r="L3536" t="s">
        <v>32</v>
      </c>
      <c r="M3536" t="s">
        <v>33</v>
      </c>
      <c r="P3536" s="1" t="s">
        <v>12356</v>
      </c>
      <c r="Q3536" s="1" t="s">
        <v>11609</v>
      </c>
      <c r="R3536" s="1" t="s">
        <v>11609</v>
      </c>
      <c r="S3536" s="1"/>
      <c r="T3536" s="1" t="s">
        <v>47</v>
      </c>
      <c r="U3536" s="1"/>
      <c r="V3536" s="1">
        <v>50.0</v>
      </c>
      <c r="W3536" s="1">
        <v>50.0</v>
      </c>
      <c r="X3536" s="1" t="s">
        <v>35</v>
      </c>
      <c r="Y3536" s="1">
        <v>50000.0</v>
      </c>
      <c r="Z3536" s="1"/>
      <c r="AA3536" s="1">
        <v>50000.0</v>
      </c>
      <c r="AB3536" s="1"/>
      <c r="AC3536" s="1" t="s">
        <v>36</v>
      </c>
      <c r="AD3536" s="1" t="s">
        <v>12346</v>
      </c>
      <c r="AE3536" s="1" t="s">
        <v>32</v>
      </c>
      <c r="AF3536" s="1" t="s">
        <v>33</v>
      </c>
      <c r="AG3536" s="1" t="s">
        <v>49</v>
      </c>
    </row>
    <row r="3537" spans="1:33">
      <c r="A3537" t="s">
        <v>12357</v>
      </c>
      <c r="C3537" t="s">
        <v>145</v>
      </c>
      <c r="E3537" t="s">
        <v>11609</v>
      </c>
      <c r="F3537" t="s">
        <v>11610</v>
      </c>
      <c r="G3537">
        <v>520.5</v>
      </c>
      <c r="H3537">
        <v>520.5</v>
      </c>
      <c r="I3537" t="s">
        <v>136</v>
      </c>
      <c r="J3537" t="s">
        <v>137</v>
      </c>
      <c r="K3537" t="s">
        <v>31</v>
      </c>
      <c r="L3537" t="s">
        <v>32</v>
      </c>
      <c r="M3537" t="s">
        <v>33</v>
      </c>
      <c r="P3537" s="1" t="s">
        <v>12358</v>
      </c>
      <c r="Q3537" s="1" t="s">
        <v>11609</v>
      </c>
      <c r="R3537" s="1" t="s">
        <v>11609</v>
      </c>
      <c r="S3537" s="1"/>
      <c r="T3537" s="1" t="s">
        <v>145</v>
      </c>
      <c r="U3537" s="1"/>
      <c r="V3537" s="1">
        <v>520.5</v>
      </c>
      <c r="W3537" s="1">
        <v>520.5</v>
      </c>
      <c r="X3537" s="1" t="s">
        <v>35</v>
      </c>
      <c r="Y3537" s="1">
        <v>520500.0</v>
      </c>
      <c r="Z3537" s="1"/>
      <c r="AA3537" s="1">
        <v>520500.0</v>
      </c>
      <c r="AB3537" s="1"/>
      <c r="AC3537" s="1" t="s">
        <v>36</v>
      </c>
      <c r="AD3537" s="1" t="s">
        <v>12349</v>
      </c>
      <c r="AE3537" s="1" t="s">
        <v>32</v>
      </c>
      <c r="AF3537" s="1" t="s">
        <v>33</v>
      </c>
      <c r="AG3537" s="1" t="s">
        <v>137</v>
      </c>
    </row>
    <row r="3538" spans="1:33">
      <c r="A3538" t="s">
        <v>12359</v>
      </c>
      <c r="B3538" t="s">
        <v>12360</v>
      </c>
      <c r="C3538" t="s">
        <v>125</v>
      </c>
      <c r="E3538" t="s">
        <v>11609</v>
      </c>
      <c r="F3538" t="s">
        <v>11610</v>
      </c>
      <c r="G3538">
        <v>32.49</v>
      </c>
      <c r="H3538">
        <v>32.49</v>
      </c>
      <c r="I3538" t="s">
        <v>126</v>
      </c>
      <c r="J3538" t="s">
        <v>127</v>
      </c>
      <c r="K3538" t="s">
        <v>31</v>
      </c>
      <c r="L3538" t="s">
        <v>32</v>
      </c>
      <c r="M3538" t="s">
        <v>33</v>
      </c>
      <c r="P3538" s="1" t="s">
        <v>12361</v>
      </c>
      <c r="Q3538" s="1" t="s">
        <v>11609</v>
      </c>
      <c r="R3538" s="1" t="s">
        <v>11609</v>
      </c>
      <c r="S3538" s="1"/>
      <c r="T3538" s="1" t="s">
        <v>125</v>
      </c>
      <c r="U3538" s="1"/>
      <c r="V3538" s="1">
        <v>32.49</v>
      </c>
      <c r="W3538" s="1">
        <v>32.49</v>
      </c>
      <c r="X3538" s="1" t="s">
        <v>35</v>
      </c>
      <c r="Y3538" s="1">
        <v>32490.0</v>
      </c>
      <c r="Z3538" s="1"/>
      <c r="AA3538" s="1">
        <v>32490.0</v>
      </c>
      <c r="AB3538" s="1"/>
      <c r="AC3538" s="1" t="s">
        <v>36</v>
      </c>
      <c r="AD3538" s="1" t="s">
        <v>12346</v>
      </c>
      <c r="AE3538" s="1" t="s">
        <v>32</v>
      </c>
      <c r="AF3538" s="1" t="s">
        <v>33</v>
      </c>
      <c r="AG3538" s="1" t="s">
        <v>127</v>
      </c>
    </row>
    <row r="3539" spans="1:33">
      <c r="A3539" t="s">
        <v>12362</v>
      </c>
      <c r="C3539" t="s">
        <v>586</v>
      </c>
      <c r="E3539" t="s">
        <v>11609</v>
      </c>
      <c r="F3539" t="s">
        <v>11610</v>
      </c>
      <c r="G3539">
        <v>105.0</v>
      </c>
      <c r="H3539">
        <v>105.0</v>
      </c>
      <c r="I3539" t="s">
        <v>269</v>
      </c>
      <c r="J3539" t="s">
        <v>270</v>
      </c>
      <c r="K3539" t="s">
        <v>31</v>
      </c>
      <c r="L3539" t="s">
        <v>32</v>
      </c>
      <c r="M3539" t="s">
        <v>33</v>
      </c>
      <c r="P3539" s="1" t="s">
        <v>12363</v>
      </c>
      <c r="Q3539" s="1" t="s">
        <v>11609</v>
      </c>
      <c r="R3539" s="1" t="s">
        <v>11609</v>
      </c>
      <c r="S3539" s="1"/>
      <c r="T3539" s="1" t="s">
        <v>586</v>
      </c>
      <c r="U3539" s="1"/>
      <c r="V3539" s="1">
        <v>105.0</v>
      </c>
      <c r="W3539" s="1">
        <v>105.0</v>
      </c>
      <c r="X3539" s="1" t="s">
        <v>35</v>
      </c>
      <c r="Y3539" s="1">
        <v>105000.0</v>
      </c>
      <c r="Z3539" s="1"/>
      <c r="AA3539" s="1">
        <v>105000.0</v>
      </c>
      <c r="AB3539" s="1"/>
      <c r="AC3539" s="1" t="s">
        <v>36</v>
      </c>
      <c r="AD3539" s="1" t="s">
        <v>12364</v>
      </c>
      <c r="AE3539" s="1" t="s">
        <v>32</v>
      </c>
      <c r="AF3539" s="1" t="s">
        <v>33</v>
      </c>
      <c r="AG3539" s="1" t="s">
        <v>270</v>
      </c>
    </row>
    <row r="3540" spans="1:33">
      <c r="A3540" t="s">
        <v>12365</v>
      </c>
      <c r="B3540" t="s">
        <v>1293</v>
      </c>
      <c r="C3540" t="s">
        <v>125</v>
      </c>
      <c r="E3540" t="s">
        <v>11609</v>
      </c>
      <c r="F3540" t="s">
        <v>11610</v>
      </c>
      <c r="G3540">
        <v>18.49</v>
      </c>
      <c r="H3540">
        <v>18.49</v>
      </c>
      <c r="I3540" t="s">
        <v>126</v>
      </c>
      <c r="J3540" t="s">
        <v>127</v>
      </c>
      <c r="K3540" t="s">
        <v>31</v>
      </c>
      <c r="L3540" t="s">
        <v>32</v>
      </c>
      <c r="M3540" t="s">
        <v>33</v>
      </c>
      <c r="P3540" s="1" t="s">
        <v>12366</v>
      </c>
      <c r="Q3540" s="1" t="s">
        <v>11609</v>
      </c>
      <c r="R3540" s="1" t="s">
        <v>11609</v>
      </c>
      <c r="S3540" s="1"/>
      <c r="T3540" s="1" t="s">
        <v>125</v>
      </c>
      <c r="U3540" s="1"/>
      <c r="V3540" s="1">
        <v>18.49</v>
      </c>
      <c r="W3540" s="1">
        <v>18.49</v>
      </c>
      <c r="X3540" s="1" t="s">
        <v>35</v>
      </c>
      <c r="Y3540" s="1">
        <v>18490.0</v>
      </c>
      <c r="Z3540" s="1"/>
      <c r="AA3540" s="1">
        <v>18490.0</v>
      </c>
      <c r="AB3540" s="1"/>
      <c r="AC3540" s="1" t="s">
        <v>36</v>
      </c>
      <c r="AD3540" s="1" t="s">
        <v>12367</v>
      </c>
      <c r="AE3540" s="1" t="s">
        <v>32</v>
      </c>
      <c r="AF3540" s="1" t="s">
        <v>33</v>
      </c>
      <c r="AG3540" s="1" t="s">
        <v>127</v>
      </c>
    </row>
    <row r="3541" spans="1:33">
      <c r="A3541" t="s">
        <v>12368</v>
      </c>
      <c r="B3541" t="s">
        <v>12369</v>
      </c>
      <c r="C3541" t="s">
        <v>47</v>
      </c>
      <c r="E3541" t="s">
        <v>11609</v>
      </c>
      <c r="F3541" t="s">
        <v>11610</v>
      </c>
      <c r="G3541">
        <v>6.548</v>
      </c>
      <c r="H3541">
        <v>6.548</v>
      </c>
      <c r="I3541" t="s">
        <v>2206</v>
      </c>
      <c r="J3541" t="s">
        <v>49</v>
      </c>
      <c r="K3541" t="s">
        <v>31</v>
      </c>
      <c r="L3541" t="s">
        <v>32</v>
      </c>
      <c r="M3541" t="s">
        <v>33</v>
      </c>
      <c r="P3541" s="1" t="s">
        <v>12370</v>
      </c>
      <c r="Q3541" s="1" t="s">
        <v>11609</v>
      </c>
      <c r="R3541" s="1" t="s">
        <v>11609</v>
      </c>
      <c r="S3541" s="1"/>
      <c r="T3541" s="1" t="s">
        <v>47</v>
      </c>
      <c r="U3541" s="1"/>
      <c r="V3541" s="1">
        <v>6.548</v>
      </c>
      <c r="W3541" s="1">
        <v>6.548</v>
      </c>
      <c r="X3541" s="1" t="s">
        <v>35</v>
      </c>
      <c r="Y3541" s="1">
        <v>6548.0</v>
      </c>
      <c r="Z3541" s="1"/>
      <c r="AA3541" s="1">
        <v>6548.0</v>
      </c>
      <c r="AB3541" s="1"/>
      <c r="AC3541" s="1" t="s">
        <v>36</v>
      </c>
      <c r="AD3541" s="1" t="s">
        <v>12371</v>
      </c>
      <c r="AE3541" s="1" t="s">
        <v>32</v>
      </c>
      <c r="AF3541" s="1" t="s">
        <v>33</v>
      </c>
      <c r="AG3541" s="1" t="s">
        <v>49</v>
      </c>
    </row>
    <row r="3542" spans="1:33">
      <c r="A3542" t="s">
        <v>12372</v>
      </c>
      <c r="B3542" t="s">
        <v>12373</v>
      </c>
      <c r="C3542" t="s">
        <v>12374</v>
      </c>
      <c r="E3542" t="s">
        <v>11609</v>
      </c>
      <c r="F3542" t="s">
        <v>11610</v>
      </c>
      <c r="G3542">
        <v>551.6</v>
      </c>
      <c r="H3542">
        <v>551.6</v>
      </c>
      <c r="I3542" t="s">
        <v>136</v>
      </c>
      <c r="J3542" t="s">
        <v>137</v>
      </c>
      <c r="K3542" t="s">
        <v>31</v>
      </c>
      <c r="L3542" t="s">
        <v>32</v>
      </c>
      <c r="M3542" t="s">
        <v>33</v>
      </c>
      <c r="P3542" s="1" t="s">
        <v>12375</v>
      </c>
      <c r="Q3542" s="1" t="s">
        <v>11609</v>
      </c>
      <c r="R3542" s="1" t="s">
        <v>11609</v>
      </c>
      <c r="S3542" s="1"/>
      <c r="T3542" s="1" t="s">
        <v>12374</v>
      </c>
      <c r="U3542" s="1"/>
      <c r="V3542" s="1">
        <v>551.6</v>
      </c>
      <c r="W3542" s="1">
        <v>551.6</v>
      </c>
      <c r="X3542" s="1" t="s">
        <v>35</v>
      </c>
      <c r="Y3542" s="1">
        <v>551600.0</v>
      </c>
      <c r="Z3542" s="1"/>
      <c r="AA3542" s="1">
        <v>551600.0</v>
      </c>
      <c r="AB3542" s="1"/>
      <c r="AC3542" s="1" t="s">
        <v>36</v>
      </c>
      <c r="AD3542" s="1" t="s">
        <v>12376</v>
      </c>
      <c r="AE3542" s="1" t="s">
        <v>32</v>
      </c>
      <c r="AF3542" s="1" t="s">
        <v>33</v>
      </c>
      <c r="AG3542" s="1" t="s">
        <v>137</v>
      </c>
    </row>
    <row r="3543" spans="1:33">
      <c r="A3543" t="s">
        <v>12377</v>
      </c>
      <c r="C3543" t="s">
        <v>1957</v>
      </c>
      <c r="D3543" t="s">
        <v>154</v>
      </c>
      <c r="E3543" t="s">
        <v>11609</v>
      </c>
      <c r="F3543" t="s">
        <v>11610</v>
      </c>
      <c r="G3543">
        <v>61.5</v>
      </c>
      <c r="H3543">
        <v>61.5</v>
      </c>
      <c r="I3543" t="s">
        <v>227</v>
      </c>
      <c r="J3543" t="s">
        <v>228</v>
      </c>
      <c r="K3543" t="s">
        <v>31</v>
      </c>
      <c r="L3543" t="s">
        <v>32</v>
      </c>
      <c r="M3543" t="s">
        <v>33</v>
      </c>
      <c r="P3543" s="1" t="s">
        <v>12378</v>
      </c>
      <c r="Q3543" s="1" t="s">
        <v>11609</v>
      </c>
      <c r="R3543" s="1" t="s">
        <v>11609</v>
      </c>
      <c r="S3543" s="1"/>
      <c r="T3543" s="1" t="s">
        <v>1957</v>
      </c>
      <c r="U3543" s="1"/>
      <c r="V3543" s="1">
        <v>61.5</v>
      </c>
      <c r="W3543" s="1">
        <v>61.5</v>
      </c>
      <c r="X3543" s="1" t="s">
        <v>35</v>
      </c>
      <c r="Y3543" s="1">
        <v>61500.0</v>
      </c>
      <c r="Z3543" s="1"/>
      <c r="AA3543" s="1">
        <v>61500.0</v>
      </c>
      <c r="AB3543" s="1"/>
      <c r="AC3543" s="1" t="s">
        <v>36</v>
      </c>
      <c r="AD3543" s="1" t="s">
        <v>12379</v>
      </c>
      <c r="AE3543" s="1" t="s">
        <v>32</v>
      </c>
      <c r="AF3543" s="1" t="s">
        <v>33</v>
      </c>
      <c r="AG3543" s="1" t="s">
        <v>228</v>
      </c>
    </row>
    <row r="3544" spans="1:33">
      <c r="A3544" t="s">
        <v>12380</v>
      </c>
      <c r="C3544" t="s">
        <v>4421</v>
      </c>
      <c r="E3544" t="s">
        <v>11609</v>
      </c>
      <c r="F3544" t="s">
        <v>11610</v>
      </c>
      <c r="G3544">
        <v>492.0</v>
      </c>
      <c r="H3544">
        <v>492.0</v>
      </c>
      <c r="I3544" t="s">
        <v>269</v>
      </c>
      <c r="J3544" t="s">
        <v>270</v>
      </c>
      <c r="K3544" t="s">
        <v>31</v>
      </c>
      <c r="L3544" t="s">
        <v>32</v>
      </c>
      <c r="M3544" t="s">
        <v>33</v>
      </c>
      <c r="P3544" s="1" t="s">
        <v>12381</v>
      </c>
      <c r="Q3544" s="1" t="s">
        <v>11609</v>
      </c>
      <c r="R3544" s="1" t="s">
        <v>11609</v>
      </c>
      <c r="S3544" s="1"/>
      <c r="T3544" s="1" t="s">
        <v>4421</v>
      </c>
      <c r="U3544" s="1"/>
      <c r="V3544" s="1">
        <v>492.0</v>
      </c>
      <c r="W3544" s="1">
        <v>492.0</v>
      </c>
      <c r="X3544" s="1" t="s">
        <v>35</v>
      </c>
      <c r="Y3544" s="1">
        <v>492000.0</v>
      </c>
      <c r="Z3544" s="1"/>
      <c r="AA3544" s="1">
        <v>492000.0</v>
      </c>
      <c r="AB3544" s="1"/>
      <c r="AC3544" s="1" t="s">
        <v>36</v>
      </c>
      <c r="AD3544" s="1" t="s">
        <v>12382</v>
      </c>
      <c r="AE3544" s="1" t="s">
        <v>32</v>
      </c>
      <c r="AF3544" s="1" t="s">
        <v>33</v>
      </c>
      <c r="AG3544" s="1" t="s">
        <v>270</v>
      </c>
    </row>
    <row r="3545" spans="1:33">
      <c r="A3545" t="s">
        <v>12383</v>
      </c>
      <c r="C3545" t="s">
        <v>2781</v>
      </c>
      <c r="E3545" t="s">
        <v>11609</v>
      </c>
      <c r="F3545" t="s">
        <v>11610</v>
      </c>
      <c r="G3545">
        <v>23.2</v>
      </c>
      <c r="H3545">
        <v>23.2</v>
      </c>
      <c r="I3545" t="s">
        <v>173</v>
      </c>
      <c r="J3545" t="s">
        <v>174</v>
      </c>
      <c r="K3545" t="s">
        <v>31</v>
      </c>
      <c r="L3545" t="s">
        <v>32</v>
      </c>
      <c r="M3545" t="s">
        <v>33</v>
      </c>
      <c r="P3545" s="1" t="s">
        <v>12384</v>
      </c>
      <c r="Q3545" s="1" t="s">
        <v>11609</v>
      </c>
      <c r="R3545" s="1" t="s">
        <v>11609</v>
      </c>
      <c r="S3545" s="1"/>
      <c r="T3545" s="1" t="s">
        <v>2783</v>
      </c>
      <c r="U3545" s="1" t="s">
        <v>2784</v>
      </c>
      <c r="V3545" s="1">
        <v>23.2</v>
      </c>
      <c r="W3545" s="1">
        <v>23.2</v>
      </c>
      <c r="X3545" s="1" t="s">
        <v>35</v>
      </c>
      <c r="Y3545" s="1">
        <v>23200.0</v>
      </c>
      <c r="Z3545" s="1"/>
      <c r="AA3545" s="1">
        <v>23200.0</v>
      </c>
      <c r="AB3545" s="1"/>
      <c r="AC3545" s="1" t="s">
        <v>36</v>
      </c>
      <c r="AD3545" s="1" t="s">
        <v>12385</v>
      </c>
      <c r="AE3545" s="1" t="s">
        <v>32</v>
      </c>
      <c r="AF3545" s="1" t="s">
        <v>33</v>
      </c>
      <c r="AG3545" s="1" t="s">
        <v>174</v>
      </c>
    </row>
    <row r="3546" spans="1:33">
      <c r="A3546" t="s">
        <v>12386</v>
      </c>
      <c r="C3546" t="s">
        <v>2635</v>
      </c>
      <c r="E3546" t="s">
        <v>11609</v>
      </c>
      <c r="F3546" t="s">
        <v>11610</v>
      </c>
      <c r="G3546">
        <v>504.0</v>
      </c>
      <c r="H3546">
        <v>504.0</v>
      </c>
      <c r="I3546" t="s">
        <v>2206</v>
      </c>
      <c r="J3546" t="s">
        <v>49</v>
      </c>
      <c r="K3546" t="s">
        <v>31</v>
      </c>
      <c r="L3546" t="s">
        <v>32</v>
      </c>
      <c r="M3546" t="s">
        <v>33</v>
      </c>
      <c r="P3546" s="1" t="s">
        <v>12387</v>
      </c>
      <c r="Q3546" s="1" t="s">
        <v>11609</v>
      </c>
      <c r="R3546" s="1" t="s">
        <v>11609</v>
      </c>
      <c r="S3546" s="1"/>
      <c r="T3546" s="1" t="s">
        <v>2635</v>
      </c>
      <c r="U3546" s="1"/>
      <c r="V3546" s="1">
        <v>504.0</v>
      </c>
      <c r="W3546" s="1">
        <v>504.0</v>
      </c>
      <c r="X3546" s="1" t="s">
        <v>35</v>
      </c>
      <c r="Y3546" s="1">
        <v>504000.0</v>
      </c>
      <c r="Z3546" s="1"/>
      <c r="AA3546" s="1">
        <v>504000.0</v>
      </c>
      <c r="AB3546" s="1"/>
      <c r="AC3546" s="1" t="s">
        <v>36</v>
      </c>
      <c r="AD3546" s="1" t="s">
        <v>12388</v>
      </c>
      <c r="AE3546" s="1" t="s">
        <v>32</v>
      </c>
      <c r="AF3546" s="1" t="s">
        <v>33</v>
      </c>
      <c r="AG3546" s="1" t="s">
        <v>49</v>
      </c>
    </row>
    <row r="3547" spans="1:33">
      <c r="A3547" t="s">
        <v>12389</v>
      </c>
      <c r="B3547" t="s">
        <v>3183</v>
      </c>
      <c r="C3547" t="s">
        <v>125</v>
      </c>
      <c r="E3547" t="s">
        <v>11609</v>
      </c>
      <c r="F3547" t="s">
        <v>11610</v>
      </c>
      <c r="G3547">
        <v>8.996</v>
      </c>
      <c r="H3547">
        <v>8.996</v>
      </c>
      <c r="I3547" t="s">
        <v>126</v>
      </c>
      <c r="J3547" t="s">
        <v>127</v>
      </c>
      <c r="K3547" t="s">
        <v>31</v>
      </c>
      <c r="L3547" t="s">
        <v>32</v>
      </c>
      <c r="M3547" t="s">
        <v>33</v>
      </c>
      <c r="P3547" s="1" t="s">
        <v>12390</v>
      </c>
      <c r="Q3547" s="1" t="s">
        <v>11609</v>
      </c>
      <c r="R3547" s="1" t="s">
        <v>11609</v>
      </c>
      <c r="S3547" s="1"/>
      <c r="T3547" s="1" t="s">
        <v>125</v>
      </c>
      <c r="U3547" s="1"/>
      <c r="V3547" s="1">
        <v>8.996</v>
      </c>
      <c r="W3547" s="1">
        <v>8.996</v>
      </c>
      <c r="X3547" s="1" t="s">
        <v>35</v>
      </c>
      <c r="Y3547" s="1">
        <v>8996.0</v>
      </c>
      <c r="Z3547" s="1"/>
      <c r="AA3547" s="1">
        <v>8996.0</v>
      </c>
      <c r="AB3547" s="1"/>
      <c r="AC3547" s="1" t="s">
        <v>36</v>
      </c>
      <c r="AD3547" s="1" t="s">
        <v>12379</v>
      </c>
      <c r="AE3547" s="1" t="s">
        <v>32</v>
      </c>
      <c r="AF3547" s="1" t="s">
        <v>33</v>
      </c>
      <c r="AG3547" s="1" t="s">
        <v>127</v>
      </c>
    </row>
    <row r="3548" spans="1:33">
      <c r="A3548" t="s">
        <v>12391</v>
      </c>
      <c r="C3548" t="s">
        <v>338</v>
      </c>
      <c r="E3548" t="s">
        <v>11609</v>
      </c>
      <c r="F3548" t="s">
        <v>11610</v>
      </c>
      <c r="G3548">
        <v>1.043</v>
      </c>
      <c r="H3548">
        <v>1.043</v>
      </c>
      <c r="I3548" t="s">
        <v>179</v>
      </c>
      <c r="J3548" t="s">
        <v>180</v>
      </c>
      <c r="K3548" t="s">
        <v>31</v>
      </c>
      <c r="L3548" t="s">
        <v>32</v>
      </c>
      <c r="M3548" t="s">
        <v>33</v>
      </c>
      <c r="P3548" s="1" t="s">
        <v>12392</v>
      </c>
      <c r="Q3548" s="1" t="s">
        <v>11609</v>
      </c>
      <c r="R3548" s="1" t="s">
        <v>11609</v>
      </c>
      <c r="S3548" s="1"/>
      <c r="T3548" s="1" t="s">
        <v>338</v>
      </c>
      <c r="U3548" s="1"/>
      <c r="V3548" s="1">
        <v>1.043</v>
      </c>
      <c r="W3548" s="1">
        <v>1.043</v>
      </c>
      <c r="X3548" s="1" t="s">
        <v>35</v>
      </c>
      <c r="Y3548" s="1">
        <v>1043500.0</v>
      </c>
      <c r="Z3548" s="1"/>
      <c r="AA3548" s="1">
        <v>1043500.0</v>
      </c>
      <c r="AB3548" s="1"/>
      <c r="AC3548" s="1" t="s">
        <v>36</v>
      </c>
      <c r="AD3548" s="1" t="s">
        <v>12393</v>
      </c>
      <c r="AE3548" s="1" t="s">
        <v>32</v>
      </c>
      <c r="AF3548" s="1" t="s">
        <v>33</v>
      </c>
      <c r="AG3548" s="1" t="s">
        <v>180</v>
      </c>
    </row>
    <row r="3549" spans="1:33">
      <c r="A3549" t="s">
        <v>12394</v>
      </c>
      <c r="C3549" t="s">
        <v>4850</v>
      </c>
      <c r="E3549" t="s">
        <v>11609</v>
      </c>
      <c r="F3549" t="s">
        <v>11610</v>
      </c>
      <c r="G3549">
        <v>320.0</v>
      </c>
      <c r="H3549">
        <v>320.0</v>
      </c>
      <c r="I3549" t="s">
        <v>126</v>
      </c>
      <c r="J3549" t="s">
        <v>127</v>
      </c>
      <c r="K3549" t="s">
        <v>31</v>
      </c>
      <c r="L3549" t="s">
        <v>32</v>
      </c>
      <c r="M3549" t="s">
        <v>33</v>
      </c>
      <c r="P3549" s="1" t="s">
        <v>12395</v>
      </c>
      <c r="Q3549" s="1" t="s">
        <v>11609</v>
      </c>
      <c r="R3549" s="1" t="s">
        <v>11609</v>
      </c>
      <c r="S3549" s="1"/>
      <c r="T3549" s="1" t="s">
        <v>4850</v>
      </c>
      <c r="U3549" s="1"/>
      <c r="V3549" s="1">
        <v>320.0</v>
      </c>
      <c r="W3549" s="1">
        <v>320.0</v>
      </c>
      <c r="X3549" s="1" t="s">
        <v>35</v>
      </c>
      <c r="Y3549" s="1">
        <v>320000.0</v>
      </c>
      <c r="Z3549" s="1"/>
      <c r="AA3549" s="1">
        <v>320000.0</v>
      </c>
      <c r="AB3549" s="1"/>
      <c r="AC3549" s="1" t="s">
        <v>36</v>
      </c>
      <c r="AD3549" s="1" t="s">
        <v>12396</v>
      </c>
      <c r="AE3549" s="1" t="s">
        <v>32</v>
      </c>
      <c r="AF3549" s="1" t="s">
        <v>33</v>
      </c>
      <c r="AG3549" s="1" t="s">
        <v>127</v>
      </c>
    </row>
    <row r="3550" spans="1:33">
      <c r="A3550" t="s">
        <v>12397</v>
      </c>
      <c r="B3550" t="s">
        <v>12398</v>
      </c>
      <c r="C3550" t="s">
        <v>314</v>
      </c>
      <c r="E3550" t="s">
        <v>11609</v>
      </c>
      <c r="F3550" t="s">
        <v>11610</v>
      </c>
      <c r="G3550">
        <v>52.33</v>
      </c>
      <c r="H3550">
        <v>52.33</v>
      </c>
      <c r="I3550" t="s">
        <v>179</v>
      </c>
      <c r="J3550" t="s">
        <v>180</v>
      </c>
      <c r="K3550" t="s">
        <v>31</v>
      </c>
      <c r="L3550" t="s">
        <v>32</v>
      </c>
      <c r="M3550" t="s">
        <v>33</v>
      </c>
      <c r="P3550" s="1" t="s">
        <v>12399</v>
      </c>
      <c r="Q3550" s="1" t="s">
        <v>11609</v>
      </c>
      <c r="R3550" s="1" t="s">
        <v>11609</v>
      </c>
      <c r="S3550" s="1"/>
      <c r="T3550" s="1" t="s">
        <v>314</v>
      </c>
      <c r="U3550" s="1"/>
      <c r="V3550" s="1">
        <v>52.33</v>
      </c>
      <c r="W3550" s="1">
        <v>52.33</v>
      </c>
      <c r="X3550" s="1" t="s">
        <v>35</v>
      </c>
      <c r="Y3550" s="1">
        <v>52330.0</v>
      </c>
      <c r="Z3550" s="1"/>
      <c r="AA3550" s="1">
        <v>52330.0</v>
      </c>
      <c r="AB3550" s="1"/>
      <c r="AC3550" s="1" t="s">
        <v>36</v>
      </c>
      <c r="AD3550" s="1" t="s">
        <v>12400</v>
      </c>
      <c r="AE3550" s="1" t="s">
        <v>32</v>
      </c>
      <c r="AF3550" s="1" t="s">
        <v>33</v>
      </c>
      <c r="AG3550" s="1" t="s">
        <v>180</v>
      </c>
    </row>
    <row r="3551" spans="1:33">
      <c r="A3551" t="s">
        <v>12401</v>
      </c>
      <c r="C3551" t="s">
        <v>866</v>
      </c>
      <c r="D3551" t="s">
        <v>154</v>
      </c>
      <c r="E3551" t="s">
        <v>11609</v>
      </c>
      <c r="F3551" t="s">
        <v>11610</v>
      </c>
      <c r="G3551">
        <v>881.75</v>
      </c>
      <c r="H3551">
        <v>881.75</v>
      </c>
      <c r="I3551" t="s">
        <v>2206</v>
      </c>
      <c r="J3551" t="s">
        <v>49</v>
      </c>
      <c r="K3551" t="s">
        <v>31</v>
      </c>
      <c r="L3551" t="s">
        <v>32</v>
      </c>
      <c r="M3551" t="s">
        <v>33</v>
      </c>
      <c r="P3551" s="1" t="s">
        <v>12402</v>
      </c>
      <c r="Q3551" s="1" t="s">
        <v>11609</v>
      </c>
      <c r="R3551" s="1" t="s">
        <v>11609</v>
      </c>
      <c r="S3551" s="1"/>
      <c r="T3551" s="1" t="s">
        <v>868</v>
      </c>
      <c r="U3551" s="1" t="s">
        <v>869</v>
      </c>
      <c r="V3551" s="1">
        <v>881.75</v>
      </c>
      <c r="W3551" s="1">
        <v>881.75</v>
      </c>
      <c r="X3551" s="1" t="s">
        <v>35</v>
      </c>
      <c r="Y3551" s="1">
        <v>881750.0</v>
      </c>
      <c r="Z3551" s="1"/>
      <c r="AA3551" s="1">
        <v>881750.0</v>
      </c>
      <c r="AB3551" s="1"/>
      <c r="AC3551" s="1" t="s">
        <v>36</v>
      </c>
      <c r="AD3551" s="1" t="s">
        <v>12403</v>
      </c>
      <c r="AE3551" s="1" t="s">
        <v>32</v>
      </c>
      <c r="AF3551" s="1" t="s">
        <v>33</v>
      </c>
      <c r="AG3551" s="1" t="s">
        <v>49</v>
      </c>
    </row>
    <row r="3552" spans="1:33">
      <c r="A3552" t="s">
        <v>12404</v>
      </c>
      <c r="B3552" t="s">
        <v>12405</v>
      </c>
      <c r="C3552" t="s">
        <v>569</v>
      </c>
      <c r="E3552" t="s">
        <v>11609</v>
      </c>
      <c r="F3552" t="s">
        <v>11610</v>
      </c>
      <c r="G3552">
        <v>425.87</v>
      </c>
      <c r="H3552">
        <v>425.87</v>
      </c>
      <c r="I3552" t="s">
        <v>570</v>
      </c>
      <c r="J3552" t="s">
        <v>571</v>
      </c>
      <c r="K3552" t="s">
        <v>31</v>
      </c>
      <c r="L3552" t="s">
        <v>32</v>
      </c>
      <c r="M3552" t="s">
        <v>33</v>
      </c>
      <c r="P3552" s="1" t="s">
        <v>12406</v>
      </c>
      <c r="Q3552" s="1" t="s">
        <v>11609</v>
      </c>
      <c r="R3552" s="1" t="s">
        <v>11609</v>
      </c>
      <c r="S3552" s="1"/>
      <c r="T3552" s="1" t="s">
        <v>569</v>
      </c>
      <c r="U3552" s="1"/>
      <c r="V3552" s="1">
        <v>425.87</v>
      </c>
      <c r="W3552" s="1">
        <v>425.87</v>
      </c>
      <c r="X3552" s="1" t="s">
        <v>35</v>
      </c>
      <c r="Y3552" s="1">
        <v>425870.0</v>
      </c>
      <c r="Z3552" s="1"/>
      <c r="AA3552" s="1">
        <v>425870.0</v>
      </c>
      <c r="AB3552" s="1"/>
      <c r="AC3552" s="1" t="s">
        <v>36</v>
      </c>
      <c r="AD3552" s="1" t="s">
        <v>12407</v>
      </c>
      <c r="AE3552" s="1" t="s">
        <v>32</v>
      </c>
      <c r="AF3552" s="1" t="s">
        <v>33</v>
      </c>
      <c r="AG3552" s="1" t="s">
        <v>571</v>
      </c>
    </row>
    <row r="3553" spans="1:33">
      <c r="A3553" t="s">
        <v>12408</v>
      </c>
      <c r="B3553" t="s">
        <v>12409</v>
      </c>
      <c r="C3553" t="s">
        <v>2741</v>
      </c>
      <c r="E3553" t="s">
        <v>11609</v>
      </c>
      <c r="F3553" t="s">
        <v>11610</v>
      </c>
      <c r="G3553">
        <v>8.3</v>
      </c>
      <c r="H3553">
        <v>8.3</v>
      </c>
      <c r="I3553" t="s">
        <v>2742</v>
      </c>
      <c r="J3553" t="s">
        <v>2743</v>
      </c>
      <c r="K3553" t="s">
        <v>31</v>
      </c>
      <c r="L3553" t="s">
        <v>32</v>
      </c>
      <c r="M3553" t="s">
        <v>33</v>
      </c>
      <c r="P3553" s="1" t="s">
        <v>12410</v>
      </c>
      <c r="Q3553" s="1" t="s">
        <v>11609</v>
      </c>
      <c r="R3553" s="1" t="s">
        <v>11609</v>
      </c>
      <c r="S3553" s="1"/>
      <c r="T3553" s="1" t="s">
        <v>2741</v>
      </c>
      <c r="U3553" s="1"/>
      <c r="V3553" s="1">
        <v>8.3</v>
      </c>
      <c r="W3553" s="1">
        <v>8.3</v>
      </c>
      <c r="X3553" s="1" t="s">
        <v>35</v>
      </c>
      <c r="Y3553" s="1">
        <v>8300.0</v>
      </c>
      <c r="Z3553" s="1"/>
      <c r="AA3553" s="1">
        <v>8300.0</v>
      </c>
      <c r="AB3553" s="1"/>
      <c r="AC3553" s="1" t="s">
        <v>36</v>
      </c>
      <c r="AD3553" s="1" t="s">
        <v>12411</v>
      </c>
      <c r="AE3553" s="1" t="s">
        <v>32</v>
      </c>
      <c r="AF3553" s="1" t="s">
        <v>33</v>
      </c>
      <c r="AG3553" s="1" t="s">
        <v>2743</v>
      </c>
    </row>
    <row r="3554" spans="1:33">
      <c r="A3554" t="s">
        <v>12412</v>
      </c>
      <c r="C3554" t="s">
        <v>2869</v>
      </c>
      <c r="E3554" t="s">
        <v>11609</v>
      </c>
      <c r="F3554" t="s">
        <v>11610</v>
      </c>
      <c r="G3554">
        <v>2.279</v>
      </c>
      <c r="H3554">
        <v>2.279</v>
      </c>
      <c r="I3554" t="s">
        <v>269</v>
      </c>
      <c r="J3554" t="s">
        <v>270</v>
      </c>
      <c r="K3554" t="s">
        <v>31</v>
      </c>
      <c r="L3554" t="s">
        <v>32</v>
      </c>
      <c r="M3554" t="s">
        <v>33</v>
      </c>
      <c r="P3554" s="1" t="s">
        <v>12413</v>
      </c>
      <c r="Q3554" s="1" t="s">
        <v>11609</v>
      </c>
      <c r="R3554" s="1" t="s">
        <v>11609</v>
      </c>
      <c r="S3554" s="1"/>
      <c r="T3554" s="1" t="s">
        <v>2869</v>
      </c>
      <c r="U3554" s="1"/>
      <c r="V3554" s="1">
        <v>2.279</v>
      </c>
      <c r="W3554" s="1">
        <v>2.279</v>
      </c>
      <c r="X3554" s="1" t="s">
        <v>35</v>
      </c>
      <c r="Y3554" s="1">
        <v>2279500.0</v>
      </c>
      <c r="Z3554" s="1"/>
      <c r="AA3554" s="1">
        <v>2279500.0</v>
      </c>
      <c r="AB3554" s="1"/>
      <c r="AC3554" s="1" t="s">
        <v>36</v>
      </c>
      <c r="AD3554" s="1" t="s">
        <v>12414</v>
      </c>
      <c r="AE3554" s="1" t="s">
        <v>32</v>
      </c>
      <c r="AF3554" s="1" t="s">
        <v>33</v>
      </c>
      <c r="AG3554" s="1" t="s">
        <v>270</v>
      </c>
    </row>
    <row r="3555" spans="1:33">
      <c r="A3555" t="s">
        <v>12415</v>
      </c>
      <c r="C3555" t="s">
        <v>11235</v>
      </c>
      <c r="E3555" t="s">
        <v>12416</v>
      </c>
      <c r="F3555" t="s">
        <v>12341</v>
      </c>
      <c r="G3555">
        <v>1.68</v>
      </c>
      <c r="H3555">
        <v>1.68</v>
      </c>
      <c r="I3555" t="s">
        <v>94</v>
      </c>
      <c r="J3555" t="s">
        <v>95</v>
      </c>
      <c r="K3555" t="s">
        <v>31</v>
      </c>
      <c r="L3555" t="s">
        <v>32</v>
      </c>
      <c r="M3555" t="s">
        <v>33</v>
      </c>
      <c r="P3555" s="1" t="s">
        <v>12417</v>
      </c>
      <c r="Q3555" s="1" t="s">
        <v>12416</v>
      </c>
      <c r="R3555" s="1" t="s">
        <v>12416</v>
      </c>
      <c r="S3555" s="1"/>
      <c r="T3555" s="1" t="s">
        <v>11235</v>
      </c>
      <c r="U3555" s="1"/>
      <c r="V3555" s="1">
        <v>1.68</v>
      </c>
      <c r="W3555" s="1">
        <v>1.68</v>
      </c>
      <c r="X3555" s="1" t="s">
        <v>35</v>
      </c>
      <c r="Y3555" s="1">
        <v>1680000.0</v>
      </c>
      <c r="Z3555" s="1"/>
      <c r="AA3555" s="1">
        <v>1680000.0</v>
      </c>
      <c r="AB3555" s="1"/>
      <c r="AC3555" s="1" t="s">
        <v>36</v>
      </c>
      <c r="AD3555" s="1" t="s">
        <v>12270</v>
      </c>
      <c r="AE3555" s="1" t="s">
        <v>32</v>
      </c>
      <c r="AF3555" s="1" t="s">
        <v>33</v>
      </c>
      <c r="AG3555" s="1" t="s">
        <v>95</v>
      </c>
    </row>
    <row r="3556" spans="1:33">
      <c r="A3556" t="s">
        <v>12418</v>
      </c>
      <c r="C3556" t="s">
        <v>12419</v>
      </c>
      <c r="E3556" t="s">
        <v>12416</v>
      </c>
      <c r="F3556" t="s">
        <v>12341</v>
      </c>
      <c r="G3556">
        <v>642.44</v>
      </c>
      <c r="H3556">
        <v>642.44</v>
      </c>
      <c r="I3556" t="s">
        <v>40</v>
      </c>
      <c r="J3556" t="s">
        <v>41</v>
      </c>
      <c r="K3556" t="s">
        <v>31</v>
      </c>
      <c r="L3556" t="s">
        <v>32</v>
      </c>
      <c r="M3556" t="s">
        <v>33</v>
      </c>
      <c r="P3556" s="1" t="s">
        <v>12420</v>
      </c>
      <c r="Q3556" s="1" t="s">
        <v>12416</v>
      </c>
      <c r="R3556" s="1" t="s">
        <v>11609</v>
      </c>
      <c r="S3556" s="1"/>
      <c r="T3556" s="1" t="s">
        <v>12419</v>
      </c>
      <c r="U3556" s="1"/>
      <c r="V3556" s="1">
        <v>642.44</v>
      </c>
      <c r="W3556" s="1">
        <v>642.44</v>
      </c>
      <c r="X3556" s="1" t="s">
        <v>35</v>
      </c>
      <c r="Y3556" s="1">
        <v>643000.0</v>
      </c>
      <c r="Z3556" s="1">
        <v>-560</v>
      </c>
      <c r="AA3556" s="1">
        <v>643000.0</v>
      </c>
      <c r="AB3556" s="1">
        <v>-560</v>
      </c>
      <c r="AC3556" s="1" t="s">
        <v>36</v>
      </c>
      <c r="AD3556" s="1" t="s">
        <v>12421</v>
      </c>
      <c r="AE3556" s="1" t="s">
        <v>32</v>
      </c>
      <c r="AF3556" s="1" t="s">
        <v>33</v>
      </c>
      <c r="AG3556" s="1" t="s">
        <v>41</v>
      </c>
    </row>
    <row r="3557" spans="1:33">
      <c r="A3557" t="s">
        <v>12422</v>
      </c>
      <c r="B3557" t="s">
        <v>1567</v>
      </c>
      <c r="C3557" t="s">
        <v>26</v>
      </c>
      <c r="E3557" t="s">
        <v>12416</v>
      </c>
      <c r="F3557" t="s">
        <v>12341</v>
      </c>
      <c r="G3557">
        <v>12.7</v>
      </c>
      <c r="H3557">
        <v>12.7</v>
      </c>
      <c r="I3557" t="s">
        <v>29</v>
      </c>
      <c r="J3557" t="s">
        <v>30</v>
      </c>
      <c r="K3557" t="s">
        <v>31</v>
      </c>
      <c r="L3557" t="s">
        <v>32</v>
      </c>
      <c r="M3557" t="s">
        <v>33</v>
      </c>
      <c r="P3557" s="1" t="s">
        <v>12423</v>
      </c>
      <c r="Q3557" s="1" t="s">
        <v>12416</v>
      </c>
      <c r="R3557" s="1" t="s">
        <v>12416</v>
      </c>
      <c r="S3557" s="1"/>
      <c r="T3557" s="1" t="s">
        <v>26</v>
      </c>
      <c r="U3557" s="1"/>
      <c r="V3557" s="1">
        <v>12.7</v>
      </c>
      <c r="W3557" s="1">
        <v>12.7</v>
      </c>
      <c r="X3557" s="1" t="s">
        <v>35</v>
      </c>
      <c r="Y3557" s="1">
        <v>12700.0</v>
      </c>
      <c r="Z3557" s="1"/>
      <c r="AA3557" s="1">
        <v>12700.0</v>
      </c>
      <c r="AB3557" s="1"/>
      <c r="AC3557" s="1" t="s">
        <v>36</v>
      </c>
      <c r="AD3557" s="1" t="s">
        <v>12424</v>
      </c>
      <c r="AE3557" s="1" t="s">
        <v>32</v>
      </c>
      <c r="AF3557" s="1" t="s">
        <v>33</v>
      </c>
      <c r="AG3557" s="1" t="s">
        <v>30</v>
      </c>
    </row>
    <row r="3558" spans="1:33">
      <c r="A3558" t="s">
        <v>12425</v>
      </c>
      <c r="C3558" t="s">
        <v>309</v>
      </c>
      <c r="E3558" t="s">
        <v>12416</v>
      </c>
      <c r="F3558" t="s">
        <v>12341</v>
      </c>
      <c r="G3558">
        <v>336.0</v>
      </c>
      <c r="H3558">
        <v>336.0</v>
      </c>
      <c r="I3558" t="s">
        <v>2206</v>
      </c>
      <c r="J3558" t="s">
        <v>49</v>
      </c>
      <c r="K3558" t="s">
        <v>31</v>
      </c>
      <c r="L3558" t="s">
        <v>32</v>
      </c>
      <c r="M3558" t="s">
        <v>33</v>
      </c>
      <c r="P3558" s="1" t="s">
        <v>12426</v>
      </c>
      <c r="Q3558" s="1" t="s">
        <v>12416</v>
      </c>
      <c r="R3558" s="1" t="s">
        <v>12416</v>
      </c>
      <c r="S3558" s="1"/>
      <c r="T3558" s="1" t="s">
        <v>309</v>
      </c>
      <c r="U3558" s="1"/>
      <c r="V3558" s="1">
        <v>336.0</v>
      </c>
      <c r="W3558" s="1">
        <v>336.0</v>
      </c>
      <c r="X3558" s="1" t="s">
        <v>35</v>
      </c>
      <c r="Y3558" s="1">
        <v>336000.0</v>
      </c>
      <c r="Z3558" s="1"/>
      <c r="AA3558" s="1">
        <v>336000.0</v>
      </c>
      <c r="AB3558" s="1"/>
      <c r="AC3558" s="1" t="s">
        <v>36</v>
      </c>
      <c r="AD3558" s="1" t="s">
        <v>12427</v>
      </c>
      <c r="AE3558" s="1" t="s">
        <v>32</v>
      </c>
      <c r="AF3558" s="1" t="s">
        <v>33</v>
      </c>
      <c r="AG3558" s="1" t="s">
        <v>49</v>
      </c>
    </row>
    <row r="3559" spans="1:33">
      <c r="A3559" t="s">
        <v>12428</v>
      </c>
      <c r="B3559" t="s">
        <v>5943</v>
      </c>
      <c r="C3559" t="s">
        <v>5944</v>
      </c>
      <c r="D3559" t="s">
        <v>154</v>
      </c>
      <c r="E3559" t="s">
        <v>12416</v>
      </c>
      <c r="F3559" t="s">
        <v>12341</v>
      </c>
      <c r="G3559">
        <v>328.0</v>
      </c>
      <c r="H3559">
        <v>328.0</v>
      </c>
      <c r="I3559" t="s">
        <v>529</v>
      </c>
      <c r="J3559" t="s">
        <v>530</v>
      </c>
      <c r="K3559" t="s">
        <v>31</v>
      </c>
      <c r="L3559" t="s">
        <v>32</v>
      </c>
      <c r="M3559" t="s">
        <v>33</v>
      </c>
      <c r="P3559" s="1" t="s">
        <v>12429</v>
      </c>
      <c r="Q3559" s="1" t="s">
        <v>12416</v>
      </c>
      <c r="R3559" s="1" t="s">
        <v>11609</v>
      </c>
      <c r="S3559" s="1"/>
      <c r="T3559" s="1" t="s">
        <v>5944</v>
      </c>
      <c r="U3559" s="1"/>
      <c r="V3559" s="1">
        <v>328.0</v>
      </c>
      <c r="W3559" s="1">
        <v>328.0</v>
      </c>
      <c r="X3559" s="1" t="s">
        <v>35</v>
      </c>
      <c r="Y3559" s="1">
        <v>328000.0</v>
      </c>
      <c r="Z3559" s="1"/>
      <c r="AA3559" s="1">
        <v>328000.0</v>
      </c>
      <c r="AB3559" s="1"/>
      <c r="AC3559" s="1" t="s">
        <v>36</v>
      </c>
      <c r="AD3559" s="1" t="s">
        <v>12430</v>
      </c>
      <c r="AE3559" s="1" t="s">
        <v>1636</v>
      </c>
      <c r="AF3559" s="1" t="s">
        <v>33</v>
      </c>
      <c r="AG3559" s="1" t="s">
        <v>530</v>
      </c>
    </row>
    <row r="3560" spans="1:33">
      <c r="A3560" t="s">
        <v>12431</v>
      </c>
      <c r="C3560" t="s">
        <v>309</v>
      </c>
      <c r="E3560" t="s">
        <v>12416</v>
      </c>
      <c r="F3560" t="s">
        <v>12341</v>
      </c>
      <c r="G3560">
        <v>1.085</v>
      </c>
      <c r="H3560">
        <v>1.085</v>
      </c>
      <c r="I3560" t="s">
        <v>2206</v>
      </c>
      <c r="J3560" t="s">
        <v>49</v>
      </c>
      <c r="K3560" t="s">
        <v>31</v>
      </c>
      <c r="L3560" t="s">
        <v>32</v>
      </c>
      <c r="M3560" t="s">
        <v>33</v>
      </c>
      <c r="P3560" s="1" t="s">
        <v>12432</v>
      </c>
      <c r="Q3560" s="1" t="s">
        <v>12416</v>
      </c>
      <c r="R3560" s="1" t="s">
        <v>12416</v>
      </c>
      <c r="S3560" s="1"/>
      <c r="T3560" s="1" t="s">
        <v>309</v>
      </c>
      <c r="U3560" s="1"/>
      <c r="V3560" s="1">
        <v>1.085</v>
      </c>
      <c r="W3560" s="1">
        <v>1.085</v>
      </c>
      <c r="X3560" s="1" t="s">
        <v>35</v>
      </c>
      <c r="Y3560" s="1">
        <v>1085250.0</v>
      </c>
      <c r="Z3560" s="1"/>
      <c r="AA3560" s="1">
        <v>1085250.0</v>
      </c>
      <c r="AB3560" s="1"/>
      <c r="AC3560" s="1" t="s">
        <v>36</v>
      </c>
      <c r="AD3560" s="1" t="s">
        <v>12433</v>
      </c>
      <c r="AE3560" s="1" t="s">
        <v>32</v>
      </c>
      <c r="AF3560" s="1" t="s">
        <v>33</v>
      </c>
      <c r="AG3560" s="1" t="s">
        <v>49</v>
      </c>
    </row>
    <row r="3561" spans="1:33">
      <c r="A3561" t="s">
        <v>12434</v>
      </c>
      <c r="C3561" t="s">
        <v>12435</v>
      </c>
      <c r="E3561" t="s">
        <v>12416</v>
      </c>
      <c r="F3561" t="s">
        <v>12341</v>
      </c>
      <c r="G3561">
        <v>156.25</v>
      </c>
      <c r="H3561">
        <v>156.25</v>
      </c>
      <c r="I3561" t="s">
        <v>269</v>
      </c>
      <c r="J3561" t="s">
        <v>270</v>
      </c>
      <c r="K3561" t="s">
        <v>31</v>
      </c>
      <c r="L3561" t="s">
        <v>32</v>
      </c>
      <c r="M3561" t="s">
        <v>33</v>
      </c>
      <c r="P3561" s="1" t="s">
        <v>12436</v>
      </c>
      <c r="Q3561" s="1" t="s">
        <v>12416</v>
      </c>
      <c r="R3561" s="1" t="s">
        <v>12416</v>
      </c>
      <c r="S3561" s="1"/>
      <c r="T3561" s="1" t="s">
        <v>12435</v>
      </c>
      <c r="U3561" s="1"/>
      <c r="V3561" s="1">
        <v>156.25</v>
      </c>
      <c r="W3561" s="1">
        <v>156.25</v>
      </c>
      <c r="X3561" s="1" t="s">
        <v>35</v>
      </c>
      <c r="Y3561" s="1">
        <v>156250.0</v>
      </c>
      <c r="Z3561" s="1"/>
      <c r="AA3561" s="1">
        <v>156250.0</v>
      </c>
      <c r="AB3561" s="1"/>
      <c r="AC3561" s="1" t="s">
        <v>36</v>
      </c>
      <c r="AD3561" s="1" t="s">
        <v>12437</v>
      </c>
      <c r="AE3561" s="1" t="s">
        <v>32</v>
      </c>
      <c r="AF3561" s="1" t="s">
        <v>33</v>
      </c>
      <c r="AG3561" s="1" t="s">
        <v>270</v>
      </c>
    </row>
    <row r="3562" spans="1:33">
      <c r="A3562" t="s">
        <v>12438</v>
      </c>
      <c r="B3562" t="s">
        <v>12439</v>
      </c>
      <c r="C3562" t="s">
        <v>47</v>
      </c>
      <c r="E3562" t="s">
        <v>12416</v>
      </c>
      <c r="F3562" t="s">
        <v>12341</v>
      </c>
      <c r="G3562">
        <v>8.996</v>
      </c>
      <c r="H3562">
        <v>8.996</v>
      </c>
      <c r="I3562" t="s">
        <v>2206</v>
      </c>
      <c r="J3562" t="s">
        <v>49</v>
      </c>
      <c r="K3562" t="s">
        <v>31</v>
      </c>
      <c r="L3562" t="s">
        <v>32</v>
      </c>
      <c r="M3562" t="s">
        <v>33</v>
      </c>
      <c r="P3562" s="1" t="s">
        <v>12440</v>
      </c>
      <c r="Q3562" s="1" t="s">
        <v>12416</v>
      </c>
      <c r="R3562" s="1" t="s">
        <v>12416</v>
      </c>
      <c r="S3562" s="1"/>
      <c r="T3562" s="1" t="s">
        <v>47</v>
      </c>
      <c r="U3562" s="1"/>
      <c r="V3562" s="1">
        <v>8.996</v>
      </c>
      <c r="W3562" s="1">
        <v>8.996</v>
      </c>
      <c r="X3562" s="1" t="s">
        <v>35</v>
      </c>
      <c r="Y3562" s="1">
        <v>8996.0</v>
      </c>
      <c r="Z3562" s="1"/>
      <c r="AA3562" s="1">
        <v>8996.0</v>
      </c>
      <c r="AB3562" s="1"/>
      <c r="AC3562" s="1" t="s">
        <v>36</v>
      </c>
      <c r="AD3562" s="1" t="s">
        <v>12441</v>
      </c>
      <c r="AE3562" s="1" t="s">
        <v>32</v>
      </c>
      <c r="AF3562" s="1" t="s">
        <v>33</v>
      </c>
      <c r="AG3562" s="1" t="s">
        <v>49</v>
      </c>
    </row>
    <row r="3563" spans="1:33">
      <c r="A3563" t="s">
        <v>12442</v>
      </c>
      <c r="C3563" t="s">
        <v>464</v>
      </c>
      <c r="E3563" t="s">
        <v>12416</v>
      </c>
      <c r="F3563" t="s">
        <v>12341</v>
      </c>
      <c r="G3563">
        <v>506.0</v>
      </c>
      <c r="H3563">
        <v>506.0</v>
      </c>
      <c r="I3563" t="s">
        <v>126</v>
      </c>
      <c r="J3563" t="s">
        <v>127</v>
      </c>
      <c r="K3563" t="s">
        <v>31</v>
      </c>
      <c r="L3563" t="s">
        <v>32</v>
      </c>
      <c r="M3563" t="s">
        <v>33</v>
      </c>
      <c r="P3563" s="1" t="s">
        <v>12443</v>
      </c>
      <c r="Q3563" s="1" t="s">
        <v>12416</v>
      </c>
      <c r="R3563" s="1" t="s">
        <v>12416</v>
      </c>
      <c r="S3563" s="1"/>
      <c r="T3563" s="1" t="s">
        <v>464</v>
      </c>
      <c r="U3563" s="1"/>
      <c r="V3563" s="1">
        <v>506.0</v>
      </c>
      <c r="W3563" s="1">
        <v>506.0</v>
      </c>
      <c r="X3563" s="1" t="s">
        <v>35</v>
      </c>
      <c r="Y3563" s="1">
        <v>506000.0</v>
      </c>
      <c r="Z3563" s="1"/>
      <c r="AA3563" s="1">
        <v>506000.0</v>
      </c>
      <c r="AB3563" s="1"/>
      <c r="AC3563" s="1" t="s">
        <v>36</v>
      </c>
      <c r="AD3563" s="1" t="s">
        <v>12444</v>
      </c>
      <c r="AE3563" s="1" t="s">
        <v>32</v>
      </c>
      <c r="AF3563" s="1" t="s">
        <v>33</v>
      </c>
      <c r="AG3563" s="1" t="s">
        <v>127</v>
      </c>
    </row>
    <row r="3564" spans="1:33">
      <c r="A3564" t="s">
        <v>12445</v>
      </c>
      <c r="C3564" t="s">
        <v>73</v>
      </c>
      <c r="E3564" t="s">
        <v>12416</v>
      </c>
      <c r="F3564" t="s">
        <v>12341</v>
      </c>
      <c r="G3564">
        <v>43.98</v>
      </c>
      <c r="H3564">
        <v>43.98</v>
      </c>
      <c r="I3564" t="s">
        <v>40</v>
      </c>
      <c r="J3564" t="s">
        <v>41</v>
      </c>
      <c r="K3564" t="s">
        <v>31</v>
      </c>
      <c r="L3564" t="s">
        <v>32</v>
      </c>
      <c r="M3564" t="s">
        <v>33</v>
      </c>
      <c r="P3564" s="1" t="s">
        <v>12446</v>
      </c>
      <c r="Q3564" s="1" t="s">
        <v>12416</v>
      </c>
      <c r="R3564" s="1" t="s">
        <v>11609</v>
      </c>
      <c r="S3564" s="1"/>
      <c r="T3564" s="1" t="s">
        <v>75</v>
      </c>
      <c r="U3564" s="1" t="s">
        <v>76</v>
      </c>
      <c r="V3564" s="1">
        <v>43.98</v>
      </c>
      <c r="W3564" s="1">
        <v>43.98</v>
      </c>
      <c r="X3564" s="1" t="s">
        <v>35</v>
      </c>
      <c r="Y3564" s="1">
        <v>43980.0</v>
      </c>
      <c r="Z3564" s="1"/>
      <c r="AA3564" s="1">
        <v>43980.0</v>
      </c>
      <c r="AB3564" s="1"/>
      <c r="AC3564" s="1" t="s">
        <v>36</v>
      </c>
      <c r="AD3564" s="1" t="s">
        <v>12447</v>
      </c>
      <c r="AE3564" s="1" t="s">
        <v>32</v>
      </c>
      <c r="AF3564" s="1" t="s">
        <v>33</v>
      </c>
      <c r="AG3564" s="1" t="s">
        <v>41</v>
      </c>
    </row>
    <row r="3565" spans="1:33">
      <c r="A3565" t="s">
        <v>12448</v>
      </c>
      <c r="B3565" t="s">
        <v>2631</v>
      </c>
      <c r="C3565" t="s">
        <v>2632</v>
      </c>
      <c r="E3565" t="s">
        <v>12416</v>
      </c>
      <c r="F3565" t="s">
        <v>12341</v>
      </c>
      <c r="G3565">
        <v>91.5</v>
      </c>
      <c r="H3565">
        <v>91.5</v>
      </c>
      <c r="I3565" t="s">
        <v>29</v>
      </c>
      <c r="J3565" t="s">
        <v>30</v>
      </c>
      <c r="K3565" t="s">
        <v>31</v>
      </c>
      <c r="L3565" t="s">
        <v>32</v>
      </c>
      <c r="M3565" t="s">
        <v>33</v>
      </c>
      <c r="P3565" s="1" t="s">
        <v>12449</v>
      </c>
      <c r="Q3565" s="1" t="s">
        <v>12416</v>
      </c>
      <c r="R3565" s="1" t="s">
        <v>12416</v>
      </c>
      <c r="S3565" s="1"/>
      <c r="T3565" s="1" t="s">
        <v>2632</v>
      </c>
      <c r="U3565" s="1"/>
      <c r="V3565" s="1">
        <v>91.5</v>
      </c>
      <c r="W3565" s="1">
        <v>91.5</v>
      </c>
      <c r="X3565" s="1" t="s">
        <v>35</v>
      </c>
      <c r="Y3565" s="1">
        <v>91500.0</v>
      </c>
      <c r="Z3565" s="1"/>
      <c r="AA3565" s="1">
        <v>91500.0</v>
      </c>
      <c r="AB3565" s="1"/>
      <c r="AC3565" s="1" t="s">
        <v>36</v>
      </c>
      <c r="AD3565" s="1" t="s">
        <v>12450</v>
      </c>
      <c r="AE3565" s="1" t="s">
        <v>32</v>
      </c>
      <c r="AF3565" s="1" t="s">
        <v>33</v>
      </c>
      <c r="AG3565" s="1" t="s">
        <v>30</v>
      </c>
    </row>
    <row r="3566" spans="1:33">
      <c r="A3566" t="s">
        <v>12451</v>
      </c>
      <c r="B3566" t="s">
        <v>12452</v>
      </c>
      <c r="C3566" t="s">
        <v>125</v>
      </c>
      <c r="E3566" t="s">
        <v>12416</v>
      </c>
      <c r="F3566" t="s">
        <v>12341</v>
      </c>
      <c r="G3566">
        <v>3.449</v>
      </c>
      <c r="H3566">
        <v>3.449</v>
      </c>
      <c r="I3566" t="s">
        <v>126</v>
      </c>
      <c r="J3566" t="s">
        <v>127</v>
      </c>
      <c r="K3566" t="s">
        <v>31</v>
      </c>
      <c r="L3566" t="s">
        <v>32</v>
      </c>
      <c r="M3566" t="s">
        <v>33</v>
      </c>
      <c r="P3566" s="1" t="s">
        <v>12453</v>
      </c>
      <c r="Q3566" s="1" t="s">
        <v>12416</v>
      </c>
      <c r="R3566" s="1" t="s">
        <v>12416</v>
      </c>
      <c r="S3566" s="1"/>
      <c r="T3566" s="1" t="s">
        <v>125</v>
      </c>
      <c r="U3566" s="1"/>
      <c r="V3566" s="1">
        <v>3.449</v>
      </c>
      <c r="W3566" s="1">
        <v>3.449</v>
      </c>
      <c r="X3566" s="1" t="s">
        <v>35</v>
      </c>
      <c r="Y3566" s="1">
        <v>3449.0</v>
      </c>
      <c r="Z3566" s="1"/>
      <c r="AA3566" s="1">
        <v>3449.0</v>
      </c>
      <c r="AB3566" s="1"/>
      <c r="AC3566" s="1" t="s">
        <v>36</v>
      </c>
      <c r="AD3566" s="1" t="s">
        <v>12454</v>
      </c>
      <c r="AE3566" s="1" t="s">
        <v>32</v>
      </c>
      <c r="AF3566" s="1" t="s">
        <v>33</v>
      </c>
      <c r="AG3566" s="1" t="s">
        <v>127</v>
      </c>
    </row>
    <row r="3567" spans="1:33">
      <c r="A3567" t="s">
        <v>12455</v>
      </c>
      <c r="B3567" t="s">
        <v>12456</v>
      </c>
      <c r="C3567" t="s">
        <v>47</v>
      </c>
      <c r="E3567" t="s">
        <v>12416</v>
      </c>
      <c r="F3567" t="s">
        <v>12341</v>
      </c>
      <c r="G3567">
        <v>169.38</v>
      </c>
      <c r="H3567">
        <v>169.38</v>
      </c>
      <c r="I3567" t="s">
        <v>2206</v>
      </c>
      <c r="J3567" t="s">
        <v>49</v>
      </c>
      <c r="K3567" t="s">
        <v>31</v>
      </c>
      <c r="L3567" t="s">
        <v>32</v>
      </c>
      <c r="M3567" t="s">
        <v>33</v>
      </c>
      <c r="P3567" s="1" t="s">
        <v>12457</v>
      </c>
      <c r="Q3567" s="1" t="s">
        <v>12416</v>
      </c>
      <c r="R3567" s="1" t="s">
        <v>12416</v>
      </c>
      <c r="S3567" s="1"/>
      <c r="T3567" s="1" t="s">
        <v>47</v>
      </c>
      <c r="U3567" s="1"/>
      <c r="V3567" s="1">
        <v>169.38</v>
      </c>
      <c r="W3567" s="1">
        <v>169.38</v>
      </c>
      <c r="X3567" s="1" t="s">
        <v>35</v>
      </c>
      <c r="Y3567" s="1">
        <v>169380.0</v>
      </c>
      <c r="Z3567" s="1"/>
      <c r="AA3567" s="1">
        <v>169380.0</v>
      </c>
      <c r="AB3567" s="1"/>
      <c r="AC3567" s="1" t="s">
        <v>36</v>
      </c>
      <c r="AD3567" s="1" t="s">
        <v>12444</v>
      </c>
      <c r="AE3567" s="1" t="s">
        <v>32</v>
      </c>
      <c r="AF3567" s="1" t="s">
        <v>33</v>
      </c>
      <c r="AG3567" s="1" t="s">
        <v>49</v>
      </c>
    </row>
    <row r="3568" spans="1:33">
      <c r="A3568" t="s">
        <v>12458</v>
      </c>
      <c r="B3568" t="s">
        <v>7104</v>
      </c>
      <c r="C3568" t="s">
        <v>68</v>
      </c>
      <c r="E3568" t="s">
        <v>12416</v>
      </c>
      <c r="F3568" t="s">
        <v>12341</v>
      </c>
      <c r="G3568">
        <v>27.975</v>
      </c>
      <c r="H3568">
        <v>27.975</v>
      </c>
      <c r="I3568" t="s">
        <v>59</v>
      </c>
      <c r="J3568" t="s">
        <v>60</v>
      </c>
      <c r="K3568" t="s">
        <v>31</v>
      </c>
      <c r="L3568" t="s">
        <v>32</v>
      </c>
      <c r="M3568" t="s">
        <v>33</v>
      </c>
      <c r="P3568" s="1" t="s">
        <v>12459</v>
      </c>
      <c r="Q3568" s="1" t="s">
        <v>12416</v>
      </c>
      <c r="R3568" s="1" t="s">
        <v>12416</v>
      </c>
      <c r="S3568" s="1"/>
      <c r="T3568" s="1" t="s">
        <v>68</v>
      </c>
      <c r="U3568" s="1"/>
      <c r="V3568" s="1">
        <v>27.975</v>
      </c>
      <c r="W3568" s="1">
        <v>27.975</v>
      </c>
      <c r="X3568" s="1" t="s">
        <v>35</v>
      </c>
      <c r="Y3568" s="1">
        <v>27975.0</v>
      </c>
      <c r="Z3568" s="1"/>
      <c r="AA3568" s="1">
        <v>27975.0</v>
      </c>
      <c r="AB3568" s="1"/>
      <c r="AC3568" s="1" t="s">
        <v>36</v>
      </c>
      <c r="AD3568" s="1" t="s">
        <v>12460</v>
      </c>
      <c r="AE3568" s="1" t="s">
        <v>32</v>
      </c>
      <c r="AF3568" s="1" t="s">
        <v>33</v>
      </c>
      <c r="AG3568" s="1" t="s">
        <v>60</v>
      </c>
    </row>
    <row r="3569" spans="1:33">
      <c r="A3569" t="s">
        <v>12461</v>
      </c>
      <c r="B3569" t="s">
        <v>12462</v>
      </c>
      <c r="C3569" t="s">
        <v>569</v>
      </c>
      <c r="E3569" t="s">
        <v>12416</v>
      </c>
      <c r="F3569" t="s">
        <v>12341</v>
      </c>
      <c r="G3569">
        <v>63.496</v>
      </c>
      <c r="H3569">
        <v>63.496</v>
      </c>
      <c r="I3569" t="s">
        <v>570</v>
      </c>
      <c r="J3569" t="s">
        <v>571</v>
      </c>
      <c r="K3569" t="s">
        <v>31</v>
      </c>
      <c r="L3569" t="s">
        <v>32</v>
      </c>
      <c r="M3569" t="s">
        <v>33</v>
      </c>
      <c r="P3569" s="1" t="s">
        <v>12463</v>
      </c>
      <c r="Q3569" s="1" t="s">
        <v>12416</v>
      </c>
      <c r="R3569" s="1" t="s">
        <v>12416</v>
      </c>
      <c r="S3569" s="1"/>
      <c r="T3569" s="1" t="s">
        <v>569</v>
      </c>
      <c r="U3569" s="1"/>
      <c r="V3569" s="1">
        <v>63.496</v>
      </c>
      <c r="W3569" s="1">
        <v>63.496</v>
      </c>
      <c r="X3569" s="1" t="s">
        <v>35</v>
      </c>
      <c r="Y3569" s="1">
        <v>63496.0</v>
      </c>
      <c r="Z3569" s="1"/>
      <c r="AA3569" s="1">
        <v>63496.0</v>
      </c>
      <c r="AB3569" s="1"/>
      <c r="AC3569" s="1" t="s">
        <v>36</v>
      </c>
      <c r="AD3569" s="1" t="s">
        <v>12464</v>
      </c>
      <c r="AE3569" s="1" t="s">
        <v>32</v>
      </c>
      <c r="AF3569" s="1" t="s">
        <v>33</v>
      </c>
      <c r="AG3569" s="1" t="s">
        <v>571</v>
      </c>
    </row>
    <row r="3570" spans="1:33">
      <c r="A3570" t="s">
        <v>12465</v>
      </c>
      <c r="B3570" t="s">
        <v>5635</v>
      </c>
      <c r="C3570" t="s">
        <v>47</v>
      </c>
      <c r="E3570" t="s">
        <v>12416</v>
      </c>
      <c r="F3570" t="s">
        <v>12341</v>
      </c>
      <c r="G3570">
        <v>187.17</v>
      </c>
      <c r="H3570">
        <v>187.17</v>
      </c>
      <c r="I3570" t="s">
        <v>2206</v>
      </c>
      <c r="J3570" t="s">
        <v>49</v>
      </c>
      <c r="K3570" t="s">
        <v>31</v>
      </c>
      <c r="L3570" t="s">
        <v>32</v>
      </c>
      <c r="M3570" t="s">
        <v>33</v>
      </c>
      <c r="P3570" s="1" t="s">
        <v>12466</v>
      </c>
      <c r="Q3570" s="1" t="s">
        <v>12416</v>
      </c>
      <c r="R3570" s="1" t="s">
        <v>12416</v>
      </c>
      <c r="S3570" s="1"/>
      <c r="T3570" s="1" t="s">
        <v>47</v>
      </c>
      <c r="U3570" s="1"/>
      <c r="V3570" s="1">
        <v>187.17</v>
      </c>
      <c r="W3570" s="1">
        <v>187.17</v>
      </c>
      <c r="X3570" s="1" t="s">
        <v>35</v>
      </c>
      <c r="Y3570" s="1">
        <v>187170.0</v>
      </c>
      <c r="Z3570" s="1"/>
      <c r="AA3570" s="1">
        <v>187170.0</v>
      </c>
      <c r="AB3570" s="1"/>
      <c r="AC3570" s="1" t="s">
        <v>36</v>
      </c>
      <c r="AD3570" s="1" t="s">
        <v>12467</v>
      </c>
      <c r="AE3570" s="1" t="s">
        <v>32</v>
      </c>
      <c r="AF3570" s="1" t="s">
        <v>33</v>
      </c>
      <c r="AG3570" s="1" t="s">
        <v>49</v>
      </c>
    </row>
    <row r="3571" spans="1:33">
      <c r="A3571" t="s">
        <v>12468</v>
      </c>
      <c r="B3571" t="s">
        <v>4199</v>
      </c>
      <c r="C3571" t="s">
        <v>4200</v>
      </c>
      <c r="E3571" t="s">
        <v>12416</v>
      </c>
      <c r="F3571" t="s">
        <v>12341</v>
      </c>
      <c r="G3571">
        <v>54.0</v>
      </c>
      <c r="H3571">
        <v>54.0</v>
      </c>
      <c r="I3571" t="s">
        <v>29</v>
      </c>
      <c r="J3571" t="s">
        <v>30</v>
      </c>
      <c r="K3571" t="s">
        <v>31</v>
      </c>
      <c r="L3571" t="s">
        <v>32</v>
      </c>
      <c r="M3571" t="s">
        <v>33</v>
      </c>
      <c r="P3571" s="1" t="s">
        <v>12469</v>
      </c>
      <c r="Q3571" s="1" t="s">
        <v>12416</v>
      </c>
      <c r="R3571" s="1" t="s">
        <v>12416</v>
      </c>
      <c r="S3571" s="1"/>
      <c r="T3571" s="1" t="s">
        <v>4200</v>
      </c>
      <c r="U3571" s="1"/>
      <c r="V3571" s="1">
        <v>54.0</v>
      </c>
      <c r="W3571" s="1">
        <v>54.0</v>
      </c>
      <c r="X3571" s="1" t="s">
        <v>35</v>
      </c>
      <c r="Y3571" s="1">
        <v>54000.0</v>
      </c>
      <c r="Z3571" s="1"/>
      <c r="AA3571" s="1"/>
      <c r="AB3571" s="1">
        <v>54000</v>
      </c>
      <c r="AC3571" s="1" t="s">
        <v>36</v>
      </c>
      <c r="AD3571" s="1" t="s">
        <v>12470</v>
      </c>
      <c r="AE3571" s="1" t="s">
        <v>32</v>
      </c>
      <c r="AF3571" s="1" t="s">
        <v>33</v>
      </c>
      <c r="AG3571" s="1" t="s">
        <v>30</v>
      </c>
    </row>
    <row r="3572" spans="1:33">
      <c r="A3572" t="s">
        <v>12471</v>
      </c>
      <c r="B3572" t="s">
        <v>4908</v>
      </c>
      <c r="C3572" t="s">
        <v>26</v>
      </c>
      <c r="E3572" t="s">
        <v>12416</v>
      </c>
      <c r="F3572" t="s">
        <v>12341</v>
      </c>
      <c r="G3572">
        <v>68.52</v>
      </c>
      <c r="H3572">
        <v>68.52</v>
      </c>
      <c r="I3572" t="s">
        <v>29</v>
      </c>
      <c r="J3572" t="s">
        <v>30</v>
      </c>
      <c r="K3572" t="s">
        <v>31</v>
      </c>
      <c r="L3572" t="s">
        <v>32</v>
      </c>
      <c r="M3572" t="s">
        <v>33</v>
      </c>
      <c r="P3572" s="1" t="s">
        <v>12472</v>
      </c>
      <c r="Q3572" s="1" t="s">
        <v>12416</v>
      </c>
      <c r="R3572" s="1" t="s">
        <v>12416</v>
      </c>
      <c r="S3572" s="1"/>
      <c r="T3572" s="1" t="s">
        <v>26</v>
      </c>
      <c r="U3572" s="1"/>
      <c r="V3572" s="1">
        <v>68.52</v>
      </c>
      <c r="W3572" s="1">
        <v>68.52</v>
      </c>
      <c r="X3572" s="1" t="s">
        <v>35</v>
      </c>
      <c r="Y3572" s="1">
        <v>68520.0</v>
      </c>
      <c r="Z3572" s="1"/>
      <c r="AA3572" s="1">
        <v>68520.0</v>
      </c>
      <c r="AB3572" s="1"/>
      <c r="AC3572" s="1" t="s">
        <v>36</v>
      </c>
      <c r="AD3572" s="1" t="s">
        <v>12473</v>
      </c>
      <c r="AE3572" s="1" t="s">
        <v>32</v>
      </c>
      <c r="AF3572" s="1" t="s">
        <v>33</v>
      </c>
      <c r="AG3572" s="1" t="s">
        <v>30</v>
      </c>
    </row>
    <row r="3573" spans="1:33">
      <c r="A3573" t="s">
        <v>12474</v>
      </c>
      <c r="B3573" t="s">
        <v>12475</v>
      </c>
      <c r="C3573" t="s">
        <v>569</v>
      </c>
      <c r="E3573" t="s">
        <v>12416</v>
      </c>
      <c r="F3573" t="s">
        <v>12341</v>
      </c>
      <c r="G3573">
        <v>161.2</v>
      </c>
      <c r="H3573">
        <v>161.2</v>
      </c>
      <c r="I3573" t="s">
        <v>570</v>
      </c>
      <c r="J3573" t="s">
        <v>571</v>
      </c>
      <c r="K3573" t="s">
        <v>31</v>
      </c>
      <c r="L3573" t="s">
        <v>32</v>
      </c>
      <c r="M3573" t="s">
        <v>33</v>
      </c>
      <c r="P3573" s="1" t="s">
        <v>12476</v>
      </c>
      <c r="Q3573" s="1" t="s">
        <v>12416</v>
      </c>
      <c r="R3573" s="1" t="s">
        <v>12416</v>
      </c>
      <c r="S3573" s="1"/>
      <c r="T3573" s="1" t="s">
        <v>569</v>
      </c>
      <c r="U3573" s="1"/>
      <c r="V3573" s="1">
        <v>161.2</v>
      </c>
      <c r="W3573" s="1">
        <v>161.2</v>
      </c>
      <c r="X3573" s="1" t="s">
        <v>35</v>
      </c>
      <c r="Y3573" s="1">
        <v>161200.0</v>
      </c>
      <c r="Z3573" s="1"/>
      <c r="AA3573" s="1">
        <v>161200.0</v>
      </c>
      <c r="AB3573" s="1"/>
      <c r="AC3573" s="1" t="s">
        <v>36</v>
      </c>
      <c r="AD3573" s="1" t="s">
        <v>12477</v>
      </c>
      <c r="AE3573" s="1" t="s">
        <v>32</v>
      </c>
      <c r="AF3573" s="1" t="s">
        <v>33</v>
      </c>
      <c r="AG3573" s="1" t="s">
        <v>571</v>
      </c>
    </row>
    <row r="3574" spans="1:33">
      <c r="A3574" t="s">
        <v>12478</v>
      </c>
      <c r="B3574" t="s">
        <v>12479</v>
      </c>
      <c r="C3574" t="s">
        <v>4200</v>
      </c>
      <c r="E3574" t="s">
        <v>12416</v>
      </c>
      <c r="F3574" t="s">
        <v>12341</v>
      </c>
      <c r="G3574">
        <v>533.5</v>
      </c>
      <c r="H3574">
        <v>533.5</v>
      </c>
      <c r="I3574" t="s">
        <v>29</v>
      </c>
      <c r="J3574" t="s">
        <v>30</v>
      </c>
      <c r="K3574" t="s">
        <v>31</v>
      </c>
      <c r="L3574" t="s">
        <v>32</v>
      </c>
      <c r="M3574" t="s">
        <v>33</v>
      </c>
      <c r="P3574" s="1" t="s">
        <v>12480</v>
      </c>
      <c r="Q3574" s="1" t="s">
        <v>12416</v>
      </c>
      <c r="R3574" s="1" t="s">
        <v>12416</v>
      </c>
      <c r="S3574" s="1"/>
      <c r="T3574" s="1" t="s">
        <v>4200</v>
      </c>
      <c r="U3574" s="1"/>
      <c r="V3574" s="1">
        <v>533.5</v>
      </c>
      <c r="W3574" s="1">
        <v>533.5</v>
      </c>
      <c r="X3574" s="1" t="s">
        <v>35</v>
      </c>
      <c r="Y3574" s="1">
        <v>587500.0</v>
      </c>
      <c r="Z3574" s="1">
        <v>-54000</v>
      </c>
      <c r="AA3574" s="1">
        <v>587500.0</v>
      </c>
      <c r="AB3574" s="1">
        <v>-54000</v>
      </c>
      <c r="AC3574" s="1" t="s">
        <v>36</v>
      </c>
      <c r="AD3574" s="1" t="s">
        <v>12481</v>
      </c>
      <c r="AE3574" s="1" t="s">
        <v>32</v>
      </c>
      <c r="AF3574" s="1" t="s">
        <v>33</v>
      </c>
      <c r="AG3574" s="1" t="s">
        <v>30</v>
      </c>
    </row>
    <row r="3575" spans="1:33">
      <c r="A3575" t="s">
        <v>12482</v>
      </c>
      <c r="C3575" t="s">
        <v>12483</v>
      </c>
      <c r="E3575" t="s">
        <v>12416</v>
      </c>
      <c r="F3575" t="s">
        <v>12341</v>
      </c>
      <c r="G3575">
        <v>1.045</v>
      </c>
      <c r="H3575">
        <v>1.045</v>
      </c>
      <c r="I3575" t="s">
        <v>94</v>
      </c>
      <c r="J3575" t="s">
        <v>95</v>
      </c>
      <c r="K3575" t="s">
        <v>31</v>
      </c>
      <c r="L3575" t="s">
        <v>32</v>
      </c>
      <c r="M3575" t="s">
        <v>33</v>
      </c>
      <c r="P3575" s="1" t="s">
        <v>12484</v>
      </c>
      <c r="Q3575" s="1" t="s">
        <v>12416</v>
      </c>
      <c r="R3575" s="1" t="s">
        <v>12416</v>
      </c>
      <c r="S3575" s="1"/>
      <c r="T3575" s="1" t="s">
        <v>12483</v>
      </c>
      <c r="U3575" s="1"/>
      <c r="V3575" s="1">
        <v>1.045</v>
      </c>
      <c r="W3575" s="1">
        <v>1.045</v>
      </c>
      <c r="X3575" s="1" t="s">
        <v>35</v>
      </c>
      <c r="Y3575" s="1">
        <v>1045500.0</v>
      </c>
      <c r="Z3575" s="1"/>
      <c r="AA3575" s="1">
        <v>1045500.0</v>
      </c>
      <c r="AB3575" s="1"/>
      <c r="AC3575" s="1" t="s">
        <v>36</v>
      </c>
      <c r="AD3575" s="1" t="s">
        <v>12485</v>
      </c>
      <c r="AE3575" s="1" t="s">
        <v>32</v>
      </c>
      <c r="AF3575" s="1" t="s">
        <v>33</v>
      </c>
      <c r="AG3575" s="1" t="s">
        <v>95</v>
      </c>
    </row>
    <row r="3576" spans="1:33">
      <c r="A3576" t="s">
        <v>12486</v>
      </c>
      <c r="C3576" t="s">
        <v>12487</v>
      </c>
      <c r="D3576" t="s">
        <v>154</v>
      </c>
      <c r="E3576" t="s">
        <v>12416</v>
      </c>
      <c r="F3576" t="s">
        <v>12341</v>
      </c>
      <c r="G3576">
        <v>2.491</v>
      </c>
      <c r="H3576">
        <v>2.491</v>
      </c>
      <c r="I3576" t="s">
        <v>126</v>
      </c>
      <c r="J3576" t="s">
        <v>127</v>
      </c>
      <c r="K3576" t="s">
        <v>31</v>
      </c>
      <c r="L3576" t="s">
        <v>32</v>
      </c>
      <c r="M3576" t="s">
        <v>33</v>
      </c>
      <c r="P3576" s="1" t="s">
        <v>12488</v>
      </c>
      <c r="Q3576" s="1" t="s">
        <v>12416</v>
      </c>
      <c r="R3576" s="1" t="s">
        <v>12416</v>
      </c>
      <c r="S3576" s="1"/>
      <c r="T3576" s="1" t="s">
        <v>12487</v>
      </c>
      <c r="U3576" s="1"/>
      <c r="V3576" s="1">
        <v>2.491</v>
      </c>
      <c r="W3576" s="1">
        <v>2.491</v>
      </c>
      <c r="X3576" s="1" t="s">
        <v>35</v>
      </c>
      <c r="Y3576" s="1">
        <v>2491500.0</v>
      </c>
      <c r="Z3576" s="1"/>
      <c r="AA3576" s="1">
        <v>2491500.0</v>
      </c>
      <c r="AB3576" s="1"/>
      <c r="AC3576" s="1" t="s">
        <v>36</v>
      </c>
      <c r="AD3576" s="1" t="s">
        <v>12489</v>
      </c>
      <c r="AE3576" s="1" t="s">
        <v>32</v>
      </c>
      <c r="AF3576" s="1" t="s">
        <v>33</v>
      </c>
      <c r="AG3576" s="1" t="s">
        <v>127</v>
      </c>
    </row>
    <row r="3577" spans="1:33">
      <c r="A3577" t="s">
        <v>12490</v>
      </c>
      <c r="B3577" t="s">
        <v>12491</v>
      </c>
      <c r="C3577" t="s">
        <v>68</v>
      </c>
      <c r="E3577" t="s">
        <v>12416</v>
      </c>
      <c r="F3577" t="s">
        <v>12341</v>
      </c>
      <c r="G3577">
        <v>25.0</v>
      </c>
      <c r="H3577">
        <v>25.0</v>
      </c>
      <c r="I3577" t="s">
        <v>59</v>
      </c>
      <c r="J3577" t="s">
        <v>60</v>
      </c>
      <c r="K3577" t="s">
        <v>31</v>
      </c>
      <c r="L3577" t="s">
        <v>32</v>
      </c>
      <c r="M3577" t="s">
        <v>33</v>
      </c>
      <c r="P3577" s="1" t="s">
        <v>12492</v>
      </c>
      <c r="Q3577" s="1" t="s">
        <v>12416</v>
      </c>
      <c r="R3577" s="1" t="s">
        <v>12416</v>
      </c>
      <c r="S3577" s="1"/>
      <c r="T3577" s="1" t="s">
        <v>68</v>
      </c>
      <c r="U3577" s="1"/>
      <c r="V3577" s="1">
        <v>25.0</v>
      </c>
      <c r="W3577" s="1">
        <v>25.0</v>
      </c>
      <c r="X3577" s="1" t="s">
        <v>35</v>
      </c>
      <c r="Y3577" s="1">
        <v>25000.0</v>
      </c>
      <c r="Z3577" s="1"/>
      <c r="AA3577" s="1">
        <v>25000.0</v>
      </c>
      <c r="AB3577" s="1"/>
      <c r="AC3577" s="1" t="s">
        <v>36</v>
      </c>
      <c r="AD3577" s="1" t="s">
        <v>12493</v>
      </c>
      <c r="AE3577" s="1" t="s">
        <v>32</v>
      </c>
      <c r="AF3577" s="1" t="s">
        <v>33</v>
      </c>
      <c r="AG3577" s="1" t="s">
        <v>60</v>
      </c>
    </row>
    <row r="3578" spans="1:33">
      <c r="A3578" t="s">
        <v>12494</v>
      </c>
      <c r="C3578" t="s">
        <v>2787</v>
      </c>
      <c r="E3578" t="s">
        <v>12416</v>
      </c>
      <c r="F3578" t="s">
        <v>12341</v>
      </c>
      <c r="G3578">
        <v>3.2</v>
      </c>
      <c r="H3578">
        <v>3.2</v>
      </c>
      <c r="I3578" t="s">
        <v>173</v>
      </c>
      <c r="J3578" t="s">
        <v>174</v>
      </c>
      <c r="K3578" t="s">
        <v>31</v>
      </c>
      <c r="L3578" t="s">
        <v>32</v>
      </c>
      <c r="M3578" t="s">
        <v>33</v>
      </c>
      <c r="P3578" s="1" t="s">
        <v>12495</v>
      </c>
      <c r="Q3578" s="1" t="s">
        <v>12416</v>
      </c>
      <c r="R3578" s="1" t="s">
        <v>12416</v>
      </c>
      <c r="S3578" s="1"/>
      <c r="T3578" s="1" t="s">
        <v>2789</v>
      </c>
      <c r="U3578" s="1" t="s">
        <v>2790</v>
      </c>
      <c r="V3578" s="1">
        <v>3.2</v>
      </c>
      <c r="W3578" s="1">
        <v>3.2</v>
      </c>
      <c r="X3578" s="1" t="s">
        <v>35</v>
      </c>
      <c r="Y3578" s="1">
        <v>3200000.0</v>
      </c>
      <c r="Z3578" s="1"/>
      <c r="AA3578" s="1"/>
      <c r="AB3578" s="1">
        <v>3200000</v>
      </c>
      <c r="AC3578" s="1" t="s">
        <v>36</v>
      </c>
      <c r="AD3578" s="1" t="s">
        <v>12496</v>
      </c>
      <c r="AE3578" s="1" t="s">
        <v>32</v>
      </c>
      <c r="AF3578" s="1" t="s">
        <v>33</v>
      </c>
      <c r="AG3578" s="1" t="s">
        <v>174</v>
      </c>
    </row>
    <row r="3579" spans="1:33">
      <c r="A3579" t="s">
        <v>12497</v>
      </c>
      <c r="B3579" t="s">
        <v>1215</v>
      </c>
      <c r="C3579" t="s">
        <v>1216</v>
      </c>
      <c r="D3579" t="s">
        <v>114</v>
      </c>
      <c r="E3579" t="s">
        <v>12416</v>
      </c>
      <c r="F3579" t="s">
        <v>12341</v>
      </c>
      <c r="G3579">
        <v>2.17</v>
      </c>
      <c r="H3579">
        <v>2.17</v>
      </c>
      <c r="I3579" t="s">
        <v>59</v>
      </c>
      <c r="J3579" t="s">
        <v>60</v>
      </c>
      <c r="K3579" t="s">
        <v>31</v>
      </c>
      <c r="L3579" t="s">
        <v>32</v>
      </c>
      <c r="M3579" t="s">
        <v>33</v>
      </c>
      <c r="P3579" s="1" t="s">
        <v>12498</v>
      </c>
      <c r="Q3579" s="1" t="s">
        <v>12416</v>
      </c>
      <c r="R3579" s="1" t="s">
        <v>12416</v>
      </c>
      <c r="S3579" s="1"/>
      <c r="T3579" s="1" t="s">
        <v>1218</v>
      </c>
      <c r="U3579" s="1" t="s">
        <v>1219</v>
      </c>
      <c r="V3579" s="1">
        <v>2.17</v>
      </c>
      <c r="W3579" s="1">
        <v>2.17</v>
      </c>
      <c r="X3579" s="1" t="s">
        <v>35</v>
      </c>
      <c r="Y3579" s="1">
        <v>2170000.0</v>
      </c>
      <c r="Z3579" s="1"/>
      <c r="AA3579" s="1">
        <v>2170000.0</v>
      </c>
      <c r="AB3579" s="1"/>
      <c r="AC3579" s="1" t="s">
        <v>36</v>
      </c>
      <c r="AD3579" s="1" t="s">
        <v>12499</v>
      </c>
      <c r="AE3579" s="1" t="s">
        <v>32</v>
      </c>
      <c r="AF3579" s="1" t="s">
        <v>33</v>
      </c>
      <c r="AG3579" s="1" t="s">
        <v>60</v>
      </c>
    </row>
    <row r="3580" spans="1:33">
      <c r="A3580" t="s">
        <v>12500</v>
      </c>
      <c r="C3580" t="s">
        <v>12501</v>
      </c>
      <c r="E3580" t="s">
        <v>12416</v>
      </c>
      <c r="F3580" t="s">
        <v>12341</v>
      </c>
      <c r="G3580">
        <v>1.436</v>
      </c>
      <c r="H3580">
        <v>1.436</v>
      </c>
      <c r="I3580" t="s">
        <v>269</v>
      </c>
      <c r="J3580" t="s">
        <v>270</v>
      </c>
      <c r="K3580" t="s">
        <v>31</v>
      </c>
      <c r="L3580" t="s">
        <v>32</v>
      </c>
      <c r="M3580" t="s">
        <v>33</v>
      </c>
      <c r="P3580" s="1" t="s">
        <v>12502</v>
      </c>
      <c r="Q3580" s="1" t="s">
        <v>12416</v>
      </c>
      <c r="R3580" s="1" t="s">
        <v>12416</v>
      </c>
      <c r="S3580" s="1"/>
      <c r="T3580" s="1" t="s">
        <v>12501</v>
      </c>
      <c r="U3580" s="1"/>
      <c r="V3580" s="1">
        <v>1.436</v>
      </c>
      <c r="W3580" s="1">
        <v>1.436</v>
      </c>
      <c r="X3580" s="1" t="s">
        <v>35</v>
      </c>
      <c r="Y3580" s="1">
        <v>1436000.0</v>
      </c>
      <c r="Z3580" s="1"/>
      <c r="AA3580" s="1">
        <v>1436000.0</v>
      </c>
      <c r="AB3580" s="1"/>
      <c r="AC3580" s="1" t="s">
        <v>36</v>
      </c>
      <c r="AD3580" s="1" t="s">
        <v>12503</v>
      </c>
      <c r="AE3580" s="1" t="s">
        <v>32</v>
      </c>
      <c r="AF3580" s="1" t="s">
        <v>33</v>
      </c>
      <c r="AG3580" s="1" t="s">
        <v>270</v>
      </c>
    </row>
    <row r="3581" spans="1:33">
      <c r="A3581" t="s">
        <v>12504</v>
      </c>
      <c r="B3581" t="s">
        <v>12505</v>
      </c>
      <c r="C3581" t="s">
        <v>131</v>
      </c>
      <c r="E3581" t="s">
        <v>12416</v>
      </c>
      <c r="F3581" t="s">
        <v>12341</v>
      </c>
      <c r="G3581">
        <v>32.99</v>
      </c>
      <c r="H3581">
        <v>32.99</v>
      </c>
      <c r="I3581" t="s">
        <v>94</v>
      </c>
      <c r="J3581" t="s">
        <v>95</v>
      </c>
      <c r="K3581" t="s">
        <v>31</v>
      </c>
      <c r="L3581" t="s">
        <v>32</v>
      </c>
      <c r="M3581" t="s">
        <v>33</v>
      </c>
      <c r="P3581" s="1" t="s">
        <v>12506</v>
      </c>
      <c r="Q3581" s="1" t="s">
        <v>12416</v>
      </c>
      <c r="R3581" s="1" t="s">
        <v>12416</v>
      </c>
      <c r="S3581" s="1"/>
      <c r="T3581" s="1" t="s">
        <v>131</v>
      </c>
      <c r="U3581" s="1"/>
      <c r="V3581" s="1">
        <v>32.99</v>
      </c>
      <c r="W3581" s="1">
        <v>32.99</v>
      </c>
      <c r="X3581" s="1" t="s">
        <v>35</v>
      </c>
      <c r="Y3581" s="1">
        <v>32990.0</v>
      </c>
      <c r="Z3581" s="1"/>
      <c r="AA3581" s="1">
        <v>32990.0</v>
      </c>
      <c r="AB3581" s="1"/>
      <c r="AC3581" s="1" t="s">
        <v>36</v>
      </c>
      <c r="AD3581" s="1" t="s">
        <v>12507</v>
      </c>
      <c r="AE3581" s="1" t="s">
        <v>32</v>
      </c>
      <c r="AF3581" s="1" t="s">
        <v>33</v>
      </c>
      <c r="AG3581" s="1" t="s">
        <v>95</v>
      </c>
    </row>
    <row r="3582" spans="1:33">
      <c r="A3582" t="s">
        <v>12508</v>
      </c>
      <c r="C3582" t="s">
        <v>2346</v>
      </c>
      <c r="E3582" t="s">
        <v>12416</v>
      </c>
      <c r="F3582" t="s">
        <v>12341</v>
      </c>
      <c r="G3582">
        <v>850.0</v>
      </c>
      <c r="H3582">
        <v>850.0</v>
      </c>
      <c r="I3582" t="s">
        <v>269</v>
      </c>
      <c r="J3582" t="s">
        <v>270</v>
      </c>
      <c r="K3582" t="s">
        <v>31</v>
      </c>
      <c r="L3582" t="s">
        <v>32</v>
      </c>
      <c r="M3582" t="s">
        <v>33</v>
      </c>
      <c r="P3582" s="1" t="s">
        <v>12509</v>
      </c>
      <c r="Q3582" s="1" t="s">
        <v>12416</v>
      </c>
      <c r="R3582" s="1" t="s">
        <v>12416</v>
      </c>
      <c r="S3582" s="1"/>
      <c r="T3582" s="1" t="s">
        <v>2346</v>
      </c>
      <c r="U3582" s="1"/>
      <c r="V3582" s="1">
        <v>850.0</v>
      </c>
      <c r="W3582" s="1">
        <v>850.0</v>
      </c>
      <c r="X3582" s="1" t="s">
        <v>35</v>
      </c>
      <c r="Y3582" s="1">
        <v>850000.0</v>
      </c>
      <c r="Z3582" s="1"/>
      <c r="AA3582" s="1">
        <v>850000.0</v>
      </c>
      <c r="AB3582" s="1"/>
      <c r="AC3582" s="1" t="s">
        <v>36</v>
      </c>
      <c r="AD3582" s="1" t="s">
        <v>12489</v>
      </c>
      <c r="AE3582" s="1" t="s">
        <v>32</v>
      </c>
      <c r="AF3582" s="1" t="s">
        <v>33</v>
      </c>
      <c r="AG3582" s="1" t="s">
        <v>270</v>
      </c>
    </row>
    <row r="3583" spans="1:33">
      <c r="A3583" t="s">
        <v>12510</v>
      </c>
      <c r="B3583" t="s">
        <v>12511</v>
      </c>
      <c r="C3583" t="s">
        <v>68</v>
      </c>
      <c r="E3583" t="s">
        <v>12416</v>
      </c>
      <c r="F3583" t="s">
        <v>12341</v>
      </c>
      <c r="G3583">
        <v>45.0</v>
      </c>
      <c r="H3583">
        <v>45.0</v>
      </c>
      <c r="I3583" t="s">
        <v>59</v>
      </c>
      <c r="J3583" t="s">
        <v>60</v>
      </c>
      <c r="K3583" t="s">
        <v>31</v>
      </c>
      <c r="L3583" t="s">
        <v>32</v>
      </c>
      <c r="M3583" t="s">
        <v>33</v>
      </c>
      <c r="P3583" s="1" t="s">
        <v>12512</v>
      </c>
      <c r="Q3583" s="1" t="s">
        <v>12416</v>
      </c>
      <c r="R3583" s="1" t="s">
        <v>12416</v>
      </c>
      <c r="S3583" s="1"/>
      <c r="T3583" s="1" t="s">
        <v>68</v>
      </c>
      <c r="U3583" s="1"/>
      <c r="V3583" s="1">
        <v>45.0</v>
      </c>
      <c r="W3583" s="1">
        <v>45.0</v>
      </c>
      <c r="X3583" s="1" t="s">
        <v>35</v>
      </c>
      <c r="Y3583" s="1">
        <v>45000.0</v>
      </c>
      <c r="Z3583" s="1"/>
      <c r="AA3583" s="1">
        <v>45000.0</v>
      </c>
      <c r="AB3583" s="1"/>
      <c r="AC3583" s="1" t="s">
        <v>36</v>
      </c>
      <c r="AD3583" s="1" t="s">
        <v>12513</v>
      </c>
      <c r="AE3583" s="1" t="s">
        <v>32</v>
      </c>
      <c r="AF3583" s="1" t="s">
        <v>33</v>
      </c>
      <c r="AG3583" s="1" t="s">
        <v>60</v>
      </c>
    </row>
    <row r="3584" spans="1:33">
      <c r="A3584" t="s">
        <v>12514</v>
      </c>
      <c r="C3584" t="s">
        <v>2525</v>
      </c>
      <c r="E3584" t="s">
        <v>12416</v>
      </c>
      <c r="F3584" t="s">
        <v>12341</v>
      </c>
      <c r="G3584">
        <v>328.0</v>
      </c>
      <c r="H3584">
        <v>328.0</v>
      </c>
      <c r="I3584" t="s">
        <v>269</v>
      </c>
      <c r="J3584" t="s">
        <v>270</v>
      </c>
      <c r="K3584" t="s">
        <v>31</v>
      </c>
      <c r="L3584" t="s">
        <v>32</v>
      </c>
      <c r="M3584" t="s">
        <v>33</v>
      </c>
      <c r="P3584" s="1" t="s">
        <v>12515</v>
      </c>
      <c r="Q3584" s="1" t="s">
        <v>12416</v>
      </c>
      <c r="R3584" s="1" t="s">
        <v>12416</v>
      </c>
      <c r="S3584" s="1"/>
      <c r="T3584" s="1" t="s">
        <v>2525</v>
      </c>
      <c r="U3584" s="1"/>
      <c r="V3584" s="1">
        <v>328.0</v>
      </c>
      <c r="W3584" s="1">
        <v>328.0</v>
      </c>
      <c r="X3584" s="1" t="s">
        <v>35</v>
      </c>
      <c r="Y3584" s="1">
        <v>328000.0</v>
      </c>
      <c r="Z3584" s="1"/>
      <c r="AA3584" s="1">
        <v>328000.0</v>
      </c>
      <c r="AB3584" s="1"/>
      <c r="AC3584" s="1" t="s">
        <v>36</v>
      </c>
      <c r="AD3584" s="1" t="s">
        <v>12516</v>
      </c>
      <c r="AE3584" s="1" t="s">
        <v>32</v>
      </c>
      <c r="AF3584" s="1" t="s">
        <v>33</v>
      </c>
      <c r="AG3584" s="1" t="s">
        <v>270</v>
      </c>
    </row>
    <row r="3585" spans="1:33">
      <c r="A3585" t="s">
        <v>12517</v>
      </c>
      <c r="C3585" t="s">
        <v>131</v>
      </c>
      <c r="E3585" t="s">
        <v>12416</v>
      </c>
      <c r="F3585" t="s">
        <v>12341</v>
      </c>
      <c r="G3585">
        <v>156.55</v>
      </c>
      <c r="H3585">
        <v>156.55</v>
      </c>
      <c r="I3585" t="s">
        <v>94</v>
      </c>
      <c r="J3585" t="s">
        <v>95</v>
      </c>
      <c r="K3585" t="s">
        <v>31</v>
      </c>
      <c r="L3585" t="s">
        <v>32</v>
      </c>
      <c r="M3585" t="s">
        <v>33</v>
      </c>
      <c r="P3585" s="1" t="s">
        <v>12518</v>
      </c>
      <c r="Q3585" s="1" t="s">
        <v>12416</v>
      </c>
      <c r="R3585" s="1" t="s">
        <v>12416</v>
      </c>
      <c r="S3585" s="1"/>
      <c r="T3585" s="1" t="s">
        <v>131</v>
      </c>
      <c r="U3585" s="1"/>
      <c r="V3585" s="1">
        <v>156.55</v>
      </c>
      <c r="W3585" s="1">
        <v>156.55</v>
      </c>
      <c r="X3585" s="1" t="s">
        <v>35</v>
      </c>
      <c r="Y3585" s="1">
        <v>156550.0</v>
      </c>
      <c r="Z3585" s="1"/>
      <c r="AA3585" s="1">
        <v>156550.0</v>
      </c>
      <c r="AB3585" s="1"/>
      <c r="AC3585" s="1" t="s">
        <v>36</v>
      </c>
      <c r="AD3585" s="1" t="s">
        <v>12519</v>
      </c>
      <c r="AE3585" s="1" t="s">
        <v>32</v>
      </c>
      <c r="AF3585" s="1" t="s">
        <v>33</v>
      </c>
      <c r="AG3585" s="1" t="s">
        <v>95</v>
      </c>
    </row>
    <row r="3586" spans="1:33">
      <c r="A3586" t="s">
        <v>12520</v>
      </c>
      <c r="B3586" t="s">
        <v>12521</v>
      </c>
      <c r="C3586" t="s">
        <v>314</v>
      </c>
      <c r="E3586" t="s">
        <v>12416</v>
      </c>
      <c r="F3586" t="s">
        <v>12341</v>
      </c>
      <c r="G3586">
        <v>67.48</v>
      </c>
      <c r="H3586">
        <v>67.48</v>
      </c>
      <c r="I3586" t="s">
        <v>179</v>
      </c>
      <c r="J3586" t="s">
        <v>180</v>
      </c>
      <c r="K3586" t="s">
        <v>31</v>
      </c>
      <c r="L3586" t="s">
        <v>32</v>
      </c>
      <c r="M3586" t="s">
        <v>33</v>
      </c>
      <c r="P3586" s="1" t="s">
        <v>12522</v>
      </c>
      <c r="Q3586" s="1" t="s">
        <v>12416</v>
      </c>
      <c r="R3586" s="1" t="s">
        <v>12416</v>
      </c>
      <c r="S3586" s="1"/>
      <c r="T3586" s="1" t="s">
        <v>314</v>
      </c>
      <c r="U3586" s="1"/>
      <c r="V3586" s="1">
        <v>67.48</v>
      </c>
      <c r="W3586" s="1">
        <v>67.48</v>
      </c>
      <c r="X3586" s="1" t="s">
        <v>35</v>
      </c>
      <c r="Y3586" s="1">
        <v>67480.0</v>
      </c>
      <c r="Z3586" s="1"/>
      <c r="AA3586" s="1">
        <v>67480.0</v>
      </c>
      <c r="AB3586" s="1"/>
      <c r="AC3586" s="1" t="s">
        <v>36</v>
      </c>
      <c r="AD3586" s="1" t="s">
        <v>12523</v>
      </c>
      <c r="AE3586" s="1" t="s">
        <v>32</v>
      </c>
      <c r="AF3586" s="1" t="s">
        <v>33</v>
      </c>
      <c r="AG3586" s="1" t="s">
        <v>180</v>
      </c>
    </row>
    <row r="3587" spans="1:33">
      <c r="A3587" t="s">
        <v>12524</v>
      </c>
      <c r="B3587" t="s">
        <v>9649</v>
      </c>
      <c r="C3587" t="s">
        <v>569</v>
      </c>
      <c r="E3587" t="s">
        <v>12416</v>
      </c>
      <c r="F3587" t="s">
        <v>12341</v>
      </c>
      <c r="G3587">
        <v>17.79</v>
      </c>
      <c r="H3587">
        <v>17.79</v>
      </c>
      <c r="I3587" t="s">
        <v>570</v>
      </c>
      <c r="J3587" t="s">
        <v>571</v>
      </c>
      <c r="K3587" t="s">
        <v>31</v>
      </c>
      <c r="L3587" t="s">
        <v>32</v>
      </c>
      <c r="M3587" t="s">
        <v>33</v>
      </c>
      <c r="P3587" s="1" t="s">
        <v>12525</v>
      </c>
      <c r="Q3587" s="1" t="s">
        <v>12416</v>
      </c>
      <c r="R3587" s="1" t="s">
        <v>12416</v>
      </c>
      <c r="S3587" s="1"/>
      <c r="T3587" s="1" t="s">
        <v>569</v>
      </c>
      <c r="U3587" s="1"/>
      <c r="V3587" s="1">
        <v>17.79</v>
      </c>
      <c r="W3587" s="1">
        <v>17.79</v>
      </c>
      <c r="X3587" s="1" t="s">
        <v>35</v>
      </c>
      <c r="Y3587" s="1">
        <v>17790.0</v>
      </c>
      <c r="Z3587" s="1"/>
      <c r="AA3587" s="1">
        <v>17790.0</v>
      </c>
      <c r="AB3587" s="1"/>
      <c r="AC3587" s="1" t="s">
        <v>36</v>
      </c>
      <c r="AD3587" s="1" t="s">
        <v>12526</v>
      </c>
      <c r="AE3587" s="1" t="s">
        <v>32</v>
      </c>
      <c r="AF3587" s="1" t="s">
        <v>33</v>
      </c>
      <c r="AG3587" s="1" t="s">
        <v>571</v>
      </c>
    </row>
    <row r="3588" spans="1:33">
      <c r="A3588" t="s">
        <v>12527</v>
      </c>
      <c r="B3588" t="s">
        <v>12528</v>
      </c>
      <c r="C3588" t="s">
        <v>268</v>
      </c>
      <c r="E3588" t="s">
        <v>12416</v>
      </c>
      <c r="F3588" t="s">
        <v>12341</v>
      </c>
      <c r="G3588">
        <v>90.95</v>
      </c>
      <c r="H3588">
        <v>90.95</v>
      </c>
      <c r="I3588" t="s">
        <v>269</v>
      </c>
      <c r="J3588" t="s">
        <v>270</v>
      </c>
      <c r="K3588" t="s">
        <v>31</v>
      </c>
      <c r="L3588" t="s">
        <v>32</v>
      </c>
      <c r="M3588" t="s">
        <v>33</v>
      </c>
      <c r="P3588" s="1" t="s">
        <v>12529</v>
      </c>
      <c r="Q3588" s="1" t="s">
        <v>12416</v>
      </c>
      <c r="R3588" s="1" t="s">
        <v>12416</v>
      </c>
      <c r="S3588" s="1"/>
      <c r="T3588" s="1" t="s">
        <v>268</v>
      </c>
      <c r="U3588" s="1"/>
      <c r="V3588" s="1">
        <v>90.95</v>
      </c>
      <c r="W3588" s="1">
        <v>90.95</v>
      </c>
      <c r="X3588" s="1" t="s">
        <v>35</v>
      </c>
      <c r="Y3588" s="1">
        <v>90950.0</v>
      </c>
      <c r="Z3588" s="1"/>
      <c r="AA3588" s="1">
        <v>90950.0</v>
      </c>
      <c r="AB3588" s="1"/>
      <c r="AC3588" s="1" t="s">
        <v>36</v>
      </c>
      <c r="AD3588" s="1" t="s">
        <v>12526</v>
      </c>
      <c r="AE3588" s="1" t="s">
        <v>32</v>
      </c>
      <c r="AF3588" s="1" t="s">
        <v>33</v>
      </c>
      <c r="AG3588" s="1" t="s">
        <v>270</v>
      </c>
    </row>
    <row r="3589" spans="1:33">
      <c r="A3589" t="s">
        <v>12530</v>
      </c>
      <c r="B3589" t="s">
        <v>12531</v>
      </c>
      <c r="C3589" t="s">
        <v>268</v>
      </c>
      <c r="E3589" t="s">
        <v>12416</v>
      </c>
      <c r="F3589" t="s">
        <v>12341</v>
      </c>
      <c r="G3589">
        <v>40.25</v>
      </c>
      <c r="H3589">
        <v>40.25</v>
      </c>
      <c r="I3589" t="s">
        <v>269</v>
      </c>
      <c r="J3589" t="s">
        <v>270</v>
      </c>
      <c r="K3589" t="s">
        <v>31</v>
      </c>
      <c r="L3589" t="s">
        <v>32</v>
      </c>
      <c r="M3589" t="s">
        <v>33</v>
      </c>
      <c r="P3589" s="1" t="s">
        <v>12532</v>
      </c>
      <c r="Q3589" s="1" t="s">
        <v>12416</v>
      </c>
      <c r="R3589" s="1" t="s">
        <v>12416</v>
      </c>
      <c r="S3589" s="1"/>
      <c r="T3589" s="1" t="s">
        <v>268</v>
      </c>
      <c r="U3589" s="1"/>
      <c r="V3589" s="1">
        <v>40.25</v>
      </c>
      <c r="W3589" s="1">
        <v>40.25</v>
      </c>
      <c r="X3589" s="1" t="s">
        <v>35</v>
      </c>
      <c r="Y3589" s="1">
        <v>40250.0</v>
      </c>
      <c r="Z3589" s="1"/>
      <c r="AA3589" s="1">
        <v>40250.0</v>
      </c>
      <c r="AB3589" s="1"/>
      <c r="AC3589" s="1" t="s">
        <v>36</v>
      </c>
      <c r="AD3589" s="1" t="s">
        <v>12533</v>
      </c>
      <c r="AE3589" s="1" t="s">
        <v>32</v>
      </c>
      <c r="AF3589" s="1" t="s">
        <v>33</v>
      </c>
      <c r="AG3589" s="1" t="s">
        <v>270</v>
      </c>
    </row>
    <row r="3590" spans="1:33">
      <c r="A3590" t="s">
        <v>12534</v>
      </c>
      <c r="B3590" t="s">
        <v>4824</v>
      </c>
      <c r="C3590" t="s">
        <v>314</v>
      </c>
      <c r="E3590" t="s">
        <v>12416</v>
      </c>
      <c r="F3590" t="s">
        <v>12341</v>
      </c>
      <c r="G3590">
        <v>30.49</v>
      </c>
      <c r="H3590">
        <v>30.49</v>
      </c>
      <c r="I3590" t="s">
        <v>179</v>
      </c>
      <c r="J3590" t="s">
        <v>180</v>
      </c>
      <c r="K3590" t="s">
        <v>31</v>
      </c>
      <c r="L3590" t="s">
        <v>32</v>
      </c>
      <c r="M3590" t="s">
        <v>33</v>
      </c>
      <c r="P3590" s="1" t="s">
        <v>12535</v>
      </c>
      <c r="Q3590" s="1" t="s">
        <v>12416</v>
      </c>
      <c r="R3590" s="1" t="s">
        <v>12416</v>
      </c>
      <c r="S3590" s="1"/>
      <c r="T3590" s="1" t="s">
        <v>314</v>
      </c>
      <c r="U3590" s="1"/>
      <c r="V3590" s="1">
        <v>30.49</v>
      </c>
      <c r="W3590" s="1">
        <v>30.49</v>
      </c>
      <c r="X3590" s="1" t="s">
        <v>35</v>
      </c>
      <c r="Y3590" s="1">
        <v>30490.0</v>
      </c>
      <c r="Z3590" s="1"/>
      <c r="AA3590" s="1">
        <v>30490.0</v>
      </c>
      <c r="AB3590" s="1"/>
      <c r="AC3590" s="1" t="s">
        <v>36</v>
      </c>
      <c r="AD3590" s="1" t="s">
        <v>12536</v>
      </c>
      <c r="AE3590" s="1" t="s">
        <v>32</v>
      </c>
      <c r="AF3590" s="1" t="s">
        <v>33</v>
      </c>
      <c r="AG3590" s="1" t="s">
        <v>180</v>
      </c>
    </row>
    <row r="3591" spans="1:33">
      <c r="A3591" t="s">
        <v>12537</v>
      </c>
      <c r="C3591" t="s">
        <v>827</v>
      </c>
      <c r="D3591" t="s">
        <v>154</v>
      </c>
      <c r="E3591" t="s">
        <v>12416</v>
      </c>
      <c r="F3591" t="s">
        <v>12341</v>
      </c>
      <c r="G3591">
        <v>802.5</v>
      </c>
      <c r="H3591">
        <v>802.5</v>
      </c>
      <c r="I3591" t="s">
        <v>269</v>
      </c>
      <c r="J3591" t="s">
        <v>270</v>
      </c>
      <c r="K3591" t="s">
        <v>31</v>
      </c>
      <c r="L3591" t="s">
        <v>32</v>
      </c>
      <c r="M3591" t="s">
        <v>33</v>
      </c>
      <c r="P3591" s="1" t="s">
        <v>12538</v>
      </c>
      <c r="Q3591" s="1" t="s">
        <v>12416</v>
      </c>
      <c r="R3591" s="1" t="s">
        <v>12416</v>
      </c>
      <c r="S3591" s="1"/>
      <c r="T3591" s="1" t="s">
        <v>827</v>
      </c>
      <c r="U3591" s="1"/>
      <c r="V3591" s="1">
        <v>802.5</v>
      </c>
      <c r="W3591" s="1">
        <v>802.5</v>
      </c>
      <c r="X3591" s="1" t="s">
        <v>35</v>
      </c>
      <c r="Y3591" s="1">
        <v>802500.0</v>
      </c>
      <c r="Z3591" s="1"/>
      <c r="AA3591" s="1">
        <v>802500.0</v>
      </c>
      <c r="AB3591" s="1"/>
      <c r="AC3591" s="1" t="s">
        <v>36</v>
      </c>
      <c r="AD3591" s="1" t="s">
        <v>12539</v>
      </c>
      <c r="AE3591" s="1" t="s">
        <v>32</v>
      </c>
      <c r="AF3591" s="1" t="s">
        <v>33</v>
      </c>
      <c r="AG3591" s="1" t="s">
        <v>270</v>
      </c>
    </row>
    <row r="3592" spans="1:33">
      <c r="A3592" t="s">
        <v>12540</v>
      </c>
      <c r="B3592" t="s">
        <v>12541</v>
      </c>
      <c r="C3592" t="s">
        <v>172</v>
      </c>
      <c r="E3592" t="s">
        <v>12416</v>
      </c>
      <c r="F3592" t="s">
        <v>12341</v>
      </c>
      <c r="G3592">
        <v>115.95</v>
      </c>
      <c r="H3592">
        <v>115.95</v>
      </c>
      <c r="I3592" t="s">
        <v>173</v>
      </c>
      <c r="J3592" t="s">
        <v>174</v>
      </c>
      <c r="K3592" t="s">
        <v>31</v>
      </c>
      <c r="L3592" t="s">
        <v>32</v>
      </c>
      <c r="M3592" t="s">
        <v>33</v>
      </c>
      <c r="P3592" s="1" t="s">
        <v>12542</v>
      </c>
      <c r="Q3592" s="1" t="s">
        <v>12416</v>
      </c>
      <c r="R3592" s="1" t="s">
        <v>12416</v>
      </c>
      <c r="S3592" s="1"/>
      <c r="T3592" s="1" t="s">
        <v>172</v>
      </c>
      <c r="U3592" s="1"/>
      <c r="V3592" s="1">
        <v>115.95</v>
      </c>
      <c r="W3592" s="1">
        <v>115.95</v>
      </c>
      <c r="X3592" s="1" t="s">
        <v>35</v>
      </c>
      <c r="Y3592" s="1">
        <v>115950.0</v>
      </c>
      <c r="Z3592" s="1"/>
      <c r="AA3592" s="1">
        <v>115950.0</v>
      </c>
      <c r="AB3592" s="1"/>
      <c r="AC3592" s="1" t="s">
        <v>36</v>
      </c>
      <c r="AD3592" s="1" t="s">
        <v>12493</v>
      </c>
      <c r="AE3592" s="1" t="s">
        <v>32</v>
      </c>
      <c r="AF3592" s="1" t="s">
        <v>33</v>
      </c>
      <c r="AG3592" s="1" t="s">
        <v>174</v>
      </c>
    </row>
    <row r="3593" spans="1:33">
      <c r="A3593" t="s">
        <v>12543</v>
      </c>
      <c r="B3593" t="s">
        <v>12544</v>
      </c>
      <c r="C3593" t="s">
        <v>268</v>
      </c>
      <c r="E3593" t="s">
        <v>12416</v>
      </c>
      <c r="F3593" t="s">
        <v>12341</v>
      </c>
      <c r="G3593">
        <v>90.95</v>
      </c>
      <c r="H3593">
        <v>90.95</v>
      </c>
      <c r="I3593" t="s">
        <v>269</v>
      </c>
      <c r="J3593" t="s">
        <v>270</v>
      </c>
      <c r="K3593" t="s">
        <v>31</v>
      </c>
      <c r="L3593" t="s">
        <v>32</v>
      </c>
      <c r="M3593" t="s">
        <v>33</v>
      </c>
      <c r="P3593" s="1" t="s">
        <v>12545</v>
      </c>
      <c r="Q3593" s="1" t="s">
        <v>12416</v>
      </c>
      <c r="R3593" s="1" t="s">
        <v>12416</v>
      </c>
      <c r="S3593" s="1"/>
      <c r="T3593" s="1" t="s">
        <v>268</v>
      </c>
      <c r="U3593" s="1"/>
      <c r="V3593" s="1">
        <v>90.95</v>
      </c>
      <c r="W3593" s="1">
        <v>90.95</v>
      </c>
      <c r="X3593" s="1" t="s">
        <v>35</v>
      </c>
      <c r="Y3593" s="1">
        <v>90950.0</v>
      </c>
      <c r="Z3593" s="1"/>
      <c r="AA3593" s="1">
        <v>90950.0</v>
      </c>
      <c r="AB3593" s="1"/>
      <c r="AC3593" s="1" t="s">
        <v>36</v>
      </c>
      <c r="AD3593" s="1" t="s">
        <v>12546</v>
      </c>
      <c r="AE3593" s="1" t="s">
        <v>32</v>
      </c>
      <c r="AF3593" s="1" t="s">
        <v>33</v>
      </c>
      <c r="AG3593" s="1" t="s">
        <v>270</v>
      </c>
    </row>
    <row r="3594" spans="1:33">
      <c r="A3594" t="s">
        <v>12547</v>
      </c>
      <c r="B3594" t="s">
        <v>12548</v>
      </c>
      <c r="C3594" t="s">
        <v>172</v>
      </c>
      <c r="E3594" t="s">
        <v>12416</v>
      </c>
      <c r="F3594" t="s">
        <v>12341</v>
      </c>
      <c r="G3594">
        <v>9.216</v>
      </c>
      <c r="H3594">
        <v>9.216</v>
      </c>
      <c r="I3594" t="s">
        <v>173</v>
      </c>
      <c r="J3594" t="s">
        <v>174</v>
      </c>
      <c r="K3594" t="s">
        <v>31</v>
      </c>
      <c r="L3594" t="s">
        <v>32</v>
      </c>
      <c r="M3594" t="s">
        <v>33</v>
      </c>
      <c r="P3594" s="1" t="s">
        <v>12549</v>
      </c>
      <c r="Q3594" s="1" t="s">
        <v>12416</v>
      </c>
      <c r="R3594" s="1" t="s">
        <v>12416</v>
      </c>
      <c r="S3594" s="1"/>
      <c r="T3594" s="1" t="s">
        <v>172</v>
      </c>
      <c r="U3594" s="1"/>
      <c r="V3594" s="1">
        <v>9.216</v>
      </c>
      <c r="W3594" s="1">
        <v>9.216</v>
      </c>
      <c r="X3594" s="1" t="s">
        <v>35</v>
      </c>
      <c r="Y3594" s="1">
        <v>9216.0</v>
      </c>
      <c r="Z3594" s="1"/>
      <c r="AA3594" s="1">
        <v>9216.0</v>
      </c>
      <c r="AB3594" s="1"/>
      <c r="AC3594" s="1" t="s">
        <v>36</v>
      </c>
      <c r="AD3594" s="1" t="s">
        <v>12550</v>
      </c>
      <c r="AE3594" s="1" t="s">
        <v>32</v>
      </c>
      <c r="AF3594" s="1" t="s">
        <v>33</v>
      </c>
      <c r="AG3594" s="1" t="s">
        <v>174</v>
      </c>
    </row>
    <row r="3595" spans="1:33">
      <c r="A3595" t="s">
        <v>12551</v>
      </c>
      <c r="B3595" t="s">
        <v>1280</v>
      </c>
      <c r="C3595" t="s">
        <v>1281</v>
      </c>
      <c r="E3595" t="s">
        <v>12416</v>
      </c>
      <c r="F3595" t="s">
        <v>12341</v>
      </c>
      <c r="G3595">
        <v>1.092</v>
      </c>
      <c r="H3595">
        <v>1.092</v>
      </c>
      <c r="I3595" t="s">
        <v>529</v>
      </c>
      <c r="J3595" t="s">
        <v>530</v>
      </c>
      <c r="K3595" t="s">
        <v>31</v>
      </c>
      <c r="L3595" t="s">
        <v>32</v>
      </c>
      <c r="M3595" t="s">
        <v>33</v>
      </c>
      <c r="P3595" s="1" t="s">
        <v>12552</v>
      </c>
      <c r="Q3595" s="1" t="s">
        <v>12416</v>
      </c>
      <c r="R3595" s="1" t="s">
        <v>11609</v>
      </c>
      <c r="S3595" s="1"/>
      <c r="T3595" s="1" t="s">
        <v>1281</v>
      </c>
      <c r="U3595" s="1"/>
      <c r="V3595" s="1">
        <v>1.092</v>
      </c>
      <c r="W3595" s="1">
        <v>1.092</v>
      </c>
      <c r="X3595" s="1" t="s">
        <v>35</v>
      </c>
      <c r="Y3595" s="1">
        <v>1092400.0</v>
      </c>
      <c r="Z3595" s="1"/>
      <c r="AA3595" s="1">
        <v>1092400.0</v>
      </c>
      <c r="AB3595" s="1"/>
      <c r="AC3595" s="1" t="s">
        <v>36</v>
      </c>
      <c r="AD3595" s="1" t="s">
        <v>12553</v>
      </c>
      <c r="AE3595" s="1" t="s">
        <v>32</v>
      </c>
      <c r="AF3595" s="1" t="s">
        <v>33</v>
      </c>
      <c r="AG3595" s="1" t="s">
        <v>530</v>
      </c>
    </row>
    <row r="3596" spans="1:33">
      <c r="A3596" t="s">
        <v>12554</v>
      </c>
      <c r="B3596" t="s">
        <v>4820</v>
      </c>
      <c r="C3596" t="s">
        <v>125</v>
      </c>
      <c r="E3596" t="s">
        <v>12416</v>
      </c>
      <c r="F3596" t="s">
        <v>12341</v>
      </c>
      <c r="G3596">
        <v>8.28</v>
      </c>
      <c r="H3596">
        <v>8.28</v>
      </c>
      <c r="I3596" t="s">
        <v>126</v>
      </c>
      <c r="J3596" t="s">
        <v>127</v>
      </c>
      <c r="K3596" t="s">
        <v>31</v>
      </c>
      <c r="L3596" t="s">
        <v>32</v>
      </c>
      <c r="M3596" t="s">
        <v>33</v>
      </c>
      <c r="P3596" s="1" t="s">
        <v>12555</v>
      </c>
      <c r="Q3596" s="1" t="s">
        <v>12416</v>
      </c>
      <c r="R3596" s="1" t="s">
        <v>12416</v>
      </c>
      <c r="S3596" s="1"/>
      <c r="T3596" s="1" t="s">
        <v>125</v>
      </c>
      <c r="U3596" s="1"/>
      <c r="V3596" s="1">
        <v>8.28</v>
      </c>
      <c r="W3596" s="1">
        <v>8.28</v>
      </c>
      <c r="X3596" s="1" t="s">
        <v>35</v>
      </c>
      <c r="Y3596" s="1">
        <v>8280.0</v>
      </c>
      <c r="Z3596" s="1"/>
      <c r="AA3596" s="1">
        <v>8280.0</v>
      </c>
      <c r="AB3596" s="1"/>
      <c r="AC3596" s="1" t="s">
        <v>36</v>
      </c>
      <c r="AD3596" s="1" t="s">
        <v>12553</v>
      </c>
      <c r="AE3596" s="1" t="s">
        <v>32</v>
      </c>
      <c r="AF3596" s="1" t="s">
        <v>33</v>
      </c>
      <c r="AG3596" s="1" t="s">
        <v>127</v>
      </c>
    </row>
    <row r="3597" spans="1:33">
      <c r="A3597" t="s">
        <v>12556</v>
      </c>
      <c r="B3597" t="s">
        <v>12557</v>
      </c>
      <c r="C3597" t="s">
        <v>73</v>
      </c>
      <c r="E3597" t="s">
        <v>12416</v>
      </c>
      <c r="F3597" t="s">
        <v>12341</v>
      </c>
      <c r="G3597">
        <v>87.96</v>
      </c>
      <c r="H3597">
        <v>87.96</v>
      </c>
      <c r="I3597" t="s">
        <v>40</v>
      </c>
      <c r="J3597" t="s">
        <v>41</v>
      </c>
      <c r="K3597" t="s">
        <v>31</v>
      </c>
      <c r="L3597" t="s">
        <v>32</v>
      </c>
      <c r="M3597" t="s">
        <v>33</v>
      </c>
      <c r="P3597" s="1" t="s">
        <v>12558</v>
      </c>
      <c r="Q3597" s="1" t="s">
        <v>12416</v>
      </c>
      <c r="R3597" s="1" t="s">
        <v>11609</v>
      </c>
      <c r="S3597" s="1"/>
      <c r="T3597" s="1" t="s">
        <v>75</v>
      </c>
      <c r="U3597" s="1" t="s">
        <v>76</v>
      </c>
      <c r="V3597" s="1">
        <v>87.96</v>
      </c>
      <c r="W3597" s="1">
        <v>87.96</v>
      </c>
      <c r="X3597" s="1" t="s">
        <v>35</v>
      </c>
      <c r="Y3597" s="1">
        <v>87960.0</v>
      </c>
      <c r="Z3597" s="1"/>
      <c r="AA3597" s="1">
        <v>87960.0</v>
      </c>
      <c r="AB3597" s="1"/>
      <c r="AC3597" s="1" t="s">
        <v>36</v>
      </c>
      <c r="AD3597" s="1" t="s">
        <v>12550</v>
      </c>
      <c r="AE3597" s="1" t="s">
        <v>32</v>
      </c>
      <c r="AF3597" s="1" t="s">
        <v>33</v>
      </c>
      <c r="AG3597" s="1" t="s">
        <v>41</v>
      </c>
    </row>
    <row r="3598" spans="1:33">
      <c r="A3598" t="s">
        <v>12559</v>
      </c>
      <c r="B3598" t="s">
        <v>4527</v>
      </c>
      <c r="C3598" t="s">
        <v>68</v>
      </c>
      <c r="E3598" t="s">
        <v>12416</v>
      </c>
      <c r="F3598" t="s">
        <v>12341</v>
      </c>
      <c r="G3598">
        <v>26.788</v>
      </c>
      <c r="H3598">
        <v>26.788</v>
      </c>
      <c r="I3598" t="s">
        <v>59</v>
      </c>
      <c r="J3598" t="s">
        <v>60</v>
      </c>
      <c r="K3598" t="s">
        <v>31</v>
      </c>
      <c r="L3598" t="s">
        <v>32</v>
      </c>
      <c r="M3598" t="s">
        <v>33</v>
      </c>
      <c r="P3598" s="1" t="s">
        <v>12560</v>
      </c>
      <c r="Q3598" s="1" t="s">
        <v>12416</v>
      </c>
      <c r="R3598" s="1" t="s">
        <v>12416</v>
      </c>
      <c r="S3598" s="1"/>
      <c r="T3598" s="1" t="s">
        <v>68</v>
      </c>
      <c r="U3598" s="1"/>
      <c r="V3598" s="1">
        <v>26.788</v>
      </c>
      <c r="W3598" s="1">
        <v>26.788</v>
      </c>
      <c r="X3598" s="1" t="s">
        <v>35</v>
      </c>
      <c r="Y3598" s="1">
        <v>26788.0</v>
      </c>
      <c r="Z3598" s="1"/>
      <c r="AA3598" s="1">
        <v>26788.0</v>
      </c>
      <c r="AB3598" s="1"/>
      <c r="AC3598" s="1" t="s">
        <v>36</v>
      </c>
      <c r="AD3598" s="1" t="s">
        <v>12561</v>
      </c>
      <c r="AE3598" s="1" t="s">
        <v>32</v>
      </c>
      <c r="AF3598" s="1" t="s">
        <v>33</v>
      </c>
      <c r="AG3598" s="1" t="s">
        <v>60</v>
      </c>
    </row>
    <row r="3599" spans="1:33">
      <c r="A3599" t="s">
        <v>12562</v>
      </c>
      <c r="C3599" t="s">
        <v>12563</v>
      </c>
      <c r="E3599" t="s">
        <v>12416</v>
      </c>
      <c r="F3599" t="s">
        <v>12341</v>
      </c>
      <c r="G3599">
        <v>320.0</v>
      </c>
      <c r="H3599">
        <v>320.0</v>
      </c>
      <c r="I3599" t="s">
        <v>126</v>
      </c>
      <c r="J3599" t="s">
        <v>127</v>
      </c>
      <c r="K3599" t="s">
        <v>31</v>
      </c>
      <c r="L3599" t="s">
        <v>32</v>
      </c>
      <c r="M3599" t="s">
        <v>33</v>
      </c>
      <c r="P3599" s="1" t="s">
        <v>12564</v>
      </c>
      <c r="Q3599" s="1" t="s">
        <v>12416</v>
      </c>
      <c r="R3599" s="1" t="s">
        <v>12416</v>
      </c>
      <c r="S3599" s="1"/>
      <c r="T3599" s="1" t="s">
        <v>12563</v>
      </c>
      <c r="U3599" s="1"/>
      <c r="V3599" s="1">
        <v>320.0</v>
      </c>
      <c r="W3599" s="1">
        <v>320.0</v>
      </c>
      <c r="X3599" s="1" t="s">
        <v>35</v>
      </c>
      <c r="Y3599" s="1">
        <v>320000.0</v>
      </c>
      <c r="Z3599" s="1"/>
      <c r="AA3599" s="1">
        <v>320000.0</v>
      </c>
      <c r="AB3599" s="1"/>
      <c r="AC3599" s="1" t="s">
        <v>36</v>
      </c>
      <c r="AD3599" s="1" t="s">
        <v>12565</v>
      </c>
      <c r="AE3599" s="1" t="s">
        <v>32</v>
      </c>
      <c r="AF3599" s="1" t="s">
        <v>33</v>
      </c>
      <c r="AG3599" s="1" t="s">
        <v>127</v>
      </c>
    </row>
    <row r="3600" spans="1:33">
      <c r="A3600" t="s">
        <v>12566</v>
      </c>
      <c r="B3600" t="s">
        <v>12567</v>
      </c>
      <c r="C3600" t="s">
        <v>1298</v>
      </c>
      <c r="E3600" t="s">
        <v>12416</v>
      </c>
      <c r="F3600" t="s">
        <v>12341</v>
      </c>
      <c r="G3600">
        <v>17.005</v>
      </c>
      <c r="H3600">
        <v>17.005</v>
      </c>
      <c r="I3600" t="s">
        <v>529</v>
      </c>
      <c r="J3600" t="s">
        <v>530</v>
      </c>
      <c r="K3600" t="s">
        <v>31</v>
      </c>
      <c r="L3600" t="s">
        <v>32</v>
      </c>
      <c r="M3600" t="s">
        <v>33</v>
      </c>
      <c r="P3600" s="1" t="s">
        <v>12568</v>
      </c>
      <c r="Q3600" s="1" t="s">
        <v>12416</v>
      </c>
      <c r="R3600" s="1" t="s">
        <v>11609</v>
      </c>
      <c r="S3600" s="1"/>
      <c r="T3600" s="1" t="s">
        <v>1298</v>
      </c>
      <c r="U3600" s="1"/>
      <c r="V3600" s="1">
        <v>17.005</v>
      </c>
      <c r="W3600" s="1">
        <v>17.005</v>
      </c>
      <c r="X3600" s="1" t="s">
        <v>35</v>
      </c>
      <c r="Y3600" s="1">
        <v>17005.0</v>
      </c>
      <c r="Z3600" s="1"/>
      <c r="AA3600" s="1">
        <v>17005.0</v>
      </c>
      <c r="AB3600" s="1"/>
      <c r="AC3600" s="1" t="s">
        <v>36</v>
      </c>
      <c r="AD3600" s="1" t="s">
        <v>12569</v>
      </c>
      <c r="AE3600" s="1" t="s">
        <v>32</v>
      </c>
      <c r="AF3600" s="1" t="s">
        <v>33</v>
      </c>
      <c r="AG3600" s="1" t="s">
        <v>530</v>
      </c>
    </row>
    <row r="3601" spans="1:33">
      <c r="A3601" t="s">
        <v>12570</v>
      </c>
      <c r="B3601" t="s">
        <v>12571</v>
      </c>
      <c r="C3601" t="s">
        <v>569</v>
      </c>
      <c r="E3601" t="s">
        <v>12416</v>
      </c>
      <c r="F3601" t="s">
        <v>12341</v>
      </c>
      <c r="G3601">
        <v>3.0</v>
      </c>
      <c r="H3601">
        <v>3.0</v>
      </c>
      <c r="I3601" t="s">
        <v>570</v>
      </c>
      <c r="J3601" t="s">
        <v>571</v>
      </c>
      <c r="K3601" t="s">
        <v>31</v>
      </c>
      <c r="L3601" t="s">
        <v>32</v>
      </c>
      <c r="M3601" t="s">
        <v>33</v>
      </c>
      <c r="P3601" s="1" t="s">
        <v>12572</v>
      </c>
      <c r="Q3601" s="1" t="s">
        <v>12416</v>
      </c>
      <c r="R3601" s="1" t="s">
        <v>12416</v>
      </c>
      <c r="S3601" s="1"/>
      <c r="T3601" s="1" t="s">
        <v>569</v>
      </c>
      <c r="U3601" s="1"/>
      <c r="V3601" s="1">
        <v>3.0</v>
      </c>
      <c r="W3601" s="1">
        <v>3.0</v>
      </c>
      <c r="X3601" s="1" t="s">
        <v>35</v>
      </c>
      <c r="Y3601" s="1">
        <v>3000.0</v>
      </c>
      <c r="Z3601" s="1"/>
      <c r="AA3601" s="1">
        <v>3000.0</v>
      </c>
      <c r="AB3601" s="1"/>
      <c r="AC3601" s="1" t="s">
        <v>36</v>
      </c>
      <c r="AD3601" s="1" t="s">
        <v>12573</v>
      </c>
      <c r="AE3601" s="1" t="s">
        <v>32</v>
      </c>
      <c r="AF3601" s="1" t="s">
        <v>33</v>
      </c>
      <c r="AG3601" s="1" t="s">
        <v>571</v>
      </c>
    </row>
    <row r="3602" spans="1:33">
      <c r="A3602" t="s">
        <v>12574</v>
      </c>
      <c r="C3602" t="s">
        <v>1540</v>
      </c>
      <c r="E3602" t="s">
        <v>12416</v>
      </c>
      <c r="F3602" t="s">
        <v>12341</v>
      </c>
      <c r="G3602">
        <v>1.536</v>
      </c>
      <c r="H3602">
        <v>1.536</v>
      </c>
      <c r="I3602" t="s">
        <v>269</v>
      </c>
      <c r="J3602" t="s">
        <v>270</v>
      </c>
      <c r="K3602" t="s">
        <v>31</v>
      </c>
      <c r="L3602" t="s">
        <v>32</v>
      </c>
      <c r="M3602" t="s">
        <v>33</v>
      </c>
      <c r="P3602" s="1" t="s">
        <v>12575</v>
      </c>
      <c r="Q3602" s="1" t="s">
        <v>12416</v>
      </c>
      <c r="R3602" s="1" t="s">
        <v>12416</v>
      </c>
      <c r="S3602" s="1"/>
      <c r="T3602" s="1" t="s">
        <v>1540</v>
      </c>
      <c r="U3602" s="1"/>
      <c r="V3602" s="1">
        <v>1.536</v>
      </c>
      <c r="W3602" s="1">
        <v>1.536</v>
      </c>
      <c r="X3602" s="1" t="s">
        <v>35</v>
      </c>
      <c r="Y3602" s="1">
        <v>1536250.0</v>
      </c>
      <c r="Z3602" s="1"/>
      <c r="AA3602" s="1">
        <v>1536250.0</v>
      </c>
      <c r="AB3602" s="1"/>
      <c r="AC3602" s="1" t="s">
        <v>36</v>
      </c>
      <c r="AD3602" s="1" t="s">
        <v>12576</v>
      </c>
      <c r="AE3602" s="1" t="s">
        <v>32</v>
      </c>
      <c r="AF3602" s="1" t="s">
        <v>33</v>
      </c>
      <c r="AG3602" s="1" t="s">
        <v>270</v>
      </c>
    </row>
    <row r="3603" spans="1:33">
      <c r="A3603" t="s">
        <v>12577</v>
      </c>
      <c r="B3603" t="s">
        <v>219</v>
      </c>
      <c r="C3603" t="s">
        <v>220</v>
      </c>
      <c r="D3603" t="s">
        <v>114</v>
      </c>
      <c r="E3603" t="s">
        <v>12416</v>
      </c>
      <c r="F3603" t="s">
        <v>12341</v>
      </c>
      <c r="G3603">
        <v>64.12</v>
      </c>
      <c r="H3603">
        <v>64.12</v>
      </c>
      <c r="I3603" t="s">
        <v>59</v>
      </c>
      <c r="J3603" t="s">
        <v>60</v>
      </c>
      <c r="K3603" t="s">
        <v>31</v>
      </c>
      <c r="L3603" t="s">
        <v>32</v>
      </c>
      <c r="M3603" t="s">
        <v>33</v>
      </c>
      <c r="P3603" s="1" t="s">
        <v>12578</v>
      </c>
      <c r="Q3603" s="1" t="s">
        <v>12416</v>
      </c>
      <c r="R3603" s="1" t="s">
        <v>12416</v>
      </c>
      <c r="S3603" s="1"/>
      <c r="T3603" s="1" t="s">
        <v>222</v>
      </c>
      <c r="U3603" s="1" t="s">
        <v>223</v>
      </c>
      <c r="V3603" s="1">
        <v>64.12</v>
      </c>
      <c r="W3603" s="1">
        <v>64.12</v>
      </c>
      <c r="X3603" s="1" t="s">
        <v>35</v>
      </c>
      <c r="Y3603" s="1">
        <v>64120.0</v>
      </c>
      <c r="Z3603" s="1"/>
      <c r="AA3603" s="1">
        <v>64120.0</v>
      </c>
      <c r="AB3603" s="1"/>
      <c r="AC3603" s="1" t="s">
        <v>36</v>
      </c>
      <c r="AD3603" s="1" t="s">
        <v>12561</v>
      </c>
      <c r="AE3603" s="1" t="s">
        <v>32</v>
      </c>
      <c r="AF3603" s="1" t="s">
        <v>33</v>
      </c>
      <c r="AG3603" s="1" t="s">
        <v>60</v>
      </c>
    </row>
    <row r="3604" spans="1:33">
      <c r="A3604" t="s">
        <v>12579</v>
      </c>
      <c r="B3604" t="s">
        <v>11263</v>
      </c>
      <c r="C3604" t="s">
        <v>268</v>
      </c>
      <c r="E3604" t="s">
        <v>12416</v>
      </c>
      <c r="F3604" t="s">
        <v>12341</v>
      </c>
      <c r="G3604">
        <v>33.8</v>
      </c>
      <c r="H3604">
        <v>33.8</v>
      </c>
      <c r="I3604" t="s">
        <v>269</v>
      </c>
      <c r="J3604" t="s">
        <v>270</v>
      </c>
      <c r="K3604" t="s">
        <v>31</v>
      </c>
      <c r="L3604" t="s">
        <v>32</v>
      </c>
      <c r="M3604" t="s">
        <v>33</v>
      </c>
      <c r="P3604" s="1" t="s">
        <v>12580</v>
      </c>
      <c r="Q3604" s="1" t="s">
        <v>12416</v>
      </c>
      <c r="R3604" s="1" t="s">
        <v>12416</v>
      </c>
      <c r="S3604" s="1"/>
      <c r="T3604" s="1" t="s">
        <v>268</v>
      </c>
      <c r="U3604" s="1"/>
      <c r="V3604" s="1">
        <v>33.8</v>
      </c>
      <c r="W3604" s="1">
        <v>33.8</v>
      </c>
      <c r="X3604" s="1" t="s">
        <v>35</v>
      </c>
      <c r="Y3604" s="1">
        <v>33800.0</v>
      </c>
      <c r="Z3604" s="1"/>
      <c r="AA3604" s="1">
        <v>33800.0</v>
      </c>
      <c r="AB3604" s="1"/>
      <c r="AC3604" s="1" t="s">
        <v>36</v>
      </c>
      <c r="AD3604" s="1" t="s">
        <v>12581</v>
      </c>
      <c r="AE3604" s="1" t="s">
        <v>32</v>
      </c>
      <c r="AF3604" s="1" t="s">
        <v>33</v>
      </c>
      <c r="AG3604" s="1" t="s">
        <v>270</v>
      </c>
    </row>
    <row r="3605" spans="1:33">
      <c r="A3605" t="s">
        <v>12582</v>
      </c>
      <c r="B3605" t="s">
        <v>12583</v>
      </c>
      <c r="C3605" t="s">
        <v>73</v>
      </c>
      <c r="E3605" t="s">
        <v>12416</v>
      </c>
      <c r="F3605" t="s">
        <v>12341</v>
      </c>
      <c r="G3605">
        <v>242.94</v>
      </c>
      <c r="H3605">
        <v>242.94</v>
      </c>
      <c r="I3605" t="s">
        <v>40</v>
      </c>
      <c r="J3605" t="s">
        <v>41</v>
      </c>
      <c r="K3605" t="s">
        <v>31</v>
      </c>
      <c r="L3605" t="s">
        <v>32</v>
      </c>
      <c r="M3605" t="s">
        <v>33</v>
      </c>
      <c r="P3605" s="1" t="s">
        <v>12584</v>
      </c>
      <c r="Q3605" s="1" t="s">
        <v>12416</v>
      </c>
      <c r="R3605" s="1" t="s">
        <v>11609</v>
      </c>
      <c r="S3605" s="1"/>
      <c r="T3605" s="1" t="s">
        <v>75</v>
      </c>
      <c r="U3605" s="1" t="s">
        <v>76</v>
      </c>
      <c r="V3605" s="1">
        <v>242.94</v>
      </c>
      <c r="W3605" s="1">
        <v>242.94</v>
      </c>
      <c r="X3605" s="1" t="s">
        <v>35</v>
      </c>
      <c r="Y3605" s="1">
        <v>242950.0</v>
      </c>
      <c r="Z3605" s="1">
        <v>-10</v>
      </c>
      <c r="AA3605" s="1">
        <v>242950.0</v>
      </c>
      <c r="AB3605" s="1">
        <v>-10</v>
      </c>
      <c r="AC3605" s="1" t="s">
        <v>36</v>
      </c>
      <c r="AD3605" s="1" t="s">
        <v>12585</v>
      </c>
      <c r="AE3605" s="1" t="s">
        <v>32</v>
      </c>
      <c r="AF3605" s="1" t="s">
        <v>33</v>
      </c>
      <c r="AG3605" s="1" t="s">
        <v>41</v>
      </c>
    </row>
    <row r="3606" spans="1:33">
      <c r="A3606" t="s">
        <v>12586</v>
      </c>
      <c r="B3606" t="s">
        <v>1772</v>
      </c>
      <c r="C3606" t="s">
        <v>1773</v>
      </c>
      <c r="D3606" t="s">
        <v>154</v>
      </c>
      <c r="E3606" t="s">
        <v>12416</v>
      </c>
      <c r="F3606" t="s">
        <v>12341</v>
      </c>
      <c r="G3606">
        <v>2.555</v>
      </c>
      <c r="H3606">
        <v>2.555</v>
      </c>
      <c r="I3606" t="s">
        <v>29</v>
      </c>
      <c r="J3606" t="s">
        <v>30</v>
      </c>
      <c r="K3606" t="s">
        <v>31</v>
      </c>
      <c r="L3606" t="s">
        <v>32</v>
      </c>
      <c r="M3606" t="s">
        <v>33</v>
      </c>
      <c r="P3606" s="1" t="s">
        <v>12587</v>
      </c>
      <c r="Q3606" s="1" t="s">
        <v>12416</v>
      </c>
      <c r="R3606" s="1" t="s">
        <v>12416</v>
      </c>
      <c r="S3606" s="1"/>
      <c r="T3606" s="1" t="s">
        <v>1773</v>
      </c>
      <c r="U3606" s="1"/>
      <c r="V3606" s="1">
        <v>2.555</v>
      </c>
      <c r="W3606" s="1">
        <v>2.555</v>
      </c>
      <c r="X3606" s="1" t="s">
        <v>35</v>
      </c>
      <c r="Y3606" s="1">
        <v>2752500.0</v>
      </c>
      <c r="Z3606" s="1">
        <v>-197500</v>
      </c>
      <c r="AA3606" s="1">
        <v>2752500.0</v>
      </c>
      <c r="AB3606" s="1">
        <v>-197500</v>
      </c>
      <c r="AC3606" s="1" t="s">
        <v>36</v>
      </c>
      <c r="AD3606" s="1" t="s">
        <v>12588</v>
      </c>
      <c r="AE3606" s="1" t="s">
        <v>32</v>
      </c>
      <c r="AF3606" s="1" t="s">
        <v>33</v>
      </c>
      <c r="AG3606" s="1" t="s">
        <v>30</v>
      </c>
    </row>
    <row r="3607" spans="1:33">
      <c r="A3607" t="s">
        <v>12589</v>
      </c>
      <c r="B3607" t="s">
        <v>3168</v>
      </c>
      <c r="C3607" t="s">
        <v>3169</v>
      </c>
      <c r="E3607" t="s">
        <v>12416</v>
      </c>
      <c r="F3607" t="s">
        <v>12341</v>
      </c>
      <c r="G3607">
        <v>961.254</v>
      </c>
      <c r="H3607">
        <v>961.254</v>
      </c>
      <c r="I3607" t="s">
        <v>529</v>
      </c>
      <c r="J3607" t="s">
        <v>530</v>
      </c>
      <c r="K3607" t="s">
        <v>31</v>
      </c>
      <c r="L3607" t="s">
        <v>32</v>
      </c>
      <c r="M3607" t="s">
        <v>33</v>
      </c>
      <c r="P3607" s="1" t="s">
        <v>12590</v>
      </c>
      <c r="Q3607" s="1" t="s">
        <v>12416</v>
      </c>
      <c r="R3607" s="1" t="s">
        <v>11609</v>
      </c>
      <c r="S3607" s="1"/>
      <c r="T3607" s="1" t="s">
        <v>3169</v>
      </c>
      <c r="U3607" s="1"/>
      <c r="V3607" s="1">
        <v>961.254</v>
      </c>
      <c r="W3607" s="1">
        <v>961.254</v>
      </c>
      <c r="X3607" s="1" t="s">
        <v>35</v>
      </c>
      <c r="Y3607" s="1">
        <v>961254.0</v>
      </c>
      <c r="Z3607" s="1"/>
      <c r="AA3607" s="1">
        <v>961254.0</v>
      </c>
      <c r="AB3607" s="1"/>
      <c r="AC3607" s="1" t="s">
        <v>36</v>
      </c>
      <c r="AD3607" s="1" t="s">
        <v>12591</v>
      </c>
      <c r="AE3607" s="1" t="s">
        <v>32</v>
      </c>
      <c r="AF3607" s="1" t="s">
        <v>33</v>
      </c>
      <c r="AG3607" s="1" t="s">
        <v>530</v>
      </c>
    </row>
    <row r="3608" spans="1:33">
      <c r="A3608" t="s">
        <v>12592</v>
      </c>
      <c r="C3608" t="s">
        <v>329</v>
      </c>
      <c r="E3608" t="s">
        <v>12416</v>
      </c>
      <c r="F3608" t="s">
        <v>12341</v>
      </c>
      <c r="G3608">
        <v>750.0</v>
      </c>
      <c r="H3608">
        <v>750.0</v>
      </c>
      <c r="I3608" t="s">
        <v>94</v>
      </c>
      <c r="J3608" t="s">
        <v>95</v>
      </c>
      <c r="K3608" t="s">
        <v>31</v>
      </c>
      <c r="L3608" t="s">
        <v>32</v>
      </c>
      <c r="M3608" t="s">
        <v>33</v>
      </c>
      <c r="P3608" s="1" t="s">
        <v>12593</v>
      </c>
      <c r="Q3608" s="1" t="s">
        <v>12416</v>
      </c>
      <c r="R3608" s="1" t="s">
        <v>12416</v>
      </c>
      <c r="S3608" s="1"/>
      <c r="T3608" s="1" t="s">
        <v>331</v>
      </c>
      <c r="U3608" s="1" t="s">
        <v>332</v>
      </c>
      <c r="V3608" s="1">
        <v>750.0</v>
      </c>
      <c r="W3608" s="1">
        <v>750.0</v>
      </c>
      <c r="X3608" s="1" t="s">
        <v>35</v>
      </c>
      <c r="Y3608" s="1">
        <v>750000.0</v>
      </c>
      <c r="Z3608" s="1"/>
      <c r="AA3608" s="1">
        <v>750000.0</v>
      </c>
      <c r="AB3608" s="1"/>
      <c r="AC3608" s="1" t="s">
        <v>36</v>
      </c>
      <c r="AD3608" s="1" t="s">
        <v>12569</v>
      </c>
      <c r="AE3608" s="1" t="s">
        <v>32</v>
      </c>
      <c r="AF3608" s="1" t="s">
        <v>33</v>
      </c>
      <c r="AG3608" s="1" t="s">
        <v>95</v>
      </c>
    </row>
    <row r="3609" spans="1:33">
      <c r="A3609" t="s">
        <v>12594</v>
      </c>
      <c r="B3609" t="s">
        <v>12595</v>
      </c>
      <c r="C3609" t="s">
        <v>268</v>
      </c>
      <c r="E3609" t="s">
        <v>12416</v>
      </c>
      <c r="F3609" t="s">
        <v>12341</v>
      </c>
      <c r="G3609">
        <v>33.75</v>
      </c>
      <c r="H3609">
        <v>33.75</v>
      </c>
      <c r="I3609" t="s">
        <v>269</v>
      </c>
      <c r="J3609" t="s">
        <v>270</v>
      </c>
      <c r="K3609" t="s">
        <v>31</v>
      </c>
      <c r="L3609" t="s">
        <v>32</v>
      </c>
      <c r="M3609" t="s">
        <v>33</v>
      </c>
      <c r="P3609" s="1" t="s">
        <v>12596</v>
      </c>
      <c r="Q3609" s="1" t="s">
        <v>12416</v>
      </c>
      <c r="R3609" s="1" t="s">
        <v>12416</v>
      </c>
      <c r="S3609" s="1"/>
      <c r="T3609" s="1" t="s">
        <v>268</v>
      </c>
      <c r="U3609" s="1"/>
      <c r="V3609" s="1">
        <v>33.75</v>
      </c>
      <c r="W3609" s="1">
        <v>33.75</v>
      </c>
      <c r="X3609" s="1" t="s">
        <v>35</v>
      </c>
      <c r="Y3609" s="1">
        <v>33750.0</v>
      </c>
      <c r="Z3609" s="1"/>
      <c r="AA3609" s="1">
        <v>33750.0</v>
      </c>
      <c r="AB3609" s="1"/>
      <c r="AC3609" s="1" t="s">
        <v>36</v>
      </c>
      <c r="AD3609" s="1" t="s">
        <v>12597</v>
      </c>
      <c r="AE3609" s="1" t="s">
        <v>32</v>
      </c>
      <c r="AF3609" s="1" t="s">
        <v>33</v>
      </c>
      <c r="AG3609" s="1" t="s">
        <v>270</v>
      </c>
    </row>
    <row r="3610" spans="1:33">
      <c r="A3610" t="s">
        <v>12598</v>
      </c>
      <c r="B3610" t="s">
        <v>1567</v>
      </c>
      <c r="C3610" t="s">
        <v>3147</v>
      </c>
      <c r="E3610" t="s">
        <v>12416</v>
      </c>
      <c r="F3610" t="s">
        <v>12341</v>
      </c>
      <c r="G3610">
        <v>567.0</v>
      </c>
      <c r="H3610">
        <v>567.0</v>
      </c>
      <c r="I3610" t="s">
        <v>29</v>
      </c>
      <c r="J3610" t="s">
        <v>30</v>
      </c>
      <c r="K3610" t="s">
        <v>31</v>
      </c>
      <c r="L3610" t="s">
        <v>32</v>
      </c>
      <c r="M3610" t="s">
        <v>33</v>
      </c>
      <c r="P3610" s="1" t="s">
        <v>12599</v>
      </c>
      <c r="Q3610" s="1" t="s">
        <v>12416</v>
      </c>
      <c r="R3610" s="1" t="s">
        <v>12416</v>
      </c>
      <c r="S3610" s="1"/>
      <c r="T3610" s="1" t="s">
        <v>3147</v>
      </c>
      <c r="U3610" s="1"/>
      <c r="V3610" s="1">
        <v>567.0</v>
      </c>
      <c r="W3610" s="1">
        <v>567.0</v>
      </c>
      <c r="X3610" s="1" t="s">
        <v>35</v>
      </c>
      <c r="Y3610" s="1">
        <v>567000.0</v>
      </c>
      <c r="Z3610" s="1"/>
      <c r="AA3610" s="1">
        <v>567000.0</v>
      </c>
      <c r="AB3610" s="1"/>
      <c r="AC3610" s="1" t="s">
        <v>36</v>
      </c>
      <c r="AD3610" s="1" t="s">
        <v>12600</v>
      </c>
      <c r="AE3610" s="1" t="s">
        <v>32</v>
      </c>
      <c r="AF3610" s="1" t="s">
        <v>33</v>
      </c>
      <c r="AG3610" s="1" t="s">
        <v>30</v>
      </c>
    </row>
    <row r="3611" spans="1:33">
      <c r="A3611" t="s">
        <v>12601</v>
      </c>
      <c r="B3611" t="s">
        <v>12602</v>
      </c>
      <c r="C3611" t="s">
        <v>1807</v>
      </c>
      <c r="E3611" t="s">
        <v>12416</v>
      </c>
      <c r="F3611" t="s">
        <v>12341</v>
      </c>
      <c r="G3611">
        <v>74.0</v>
      </c>
      <c r="H3611">
        <v>74.0</v>
      </c>
      <c r="I3611" t="s">
        <v>29</v>
      </c>
      <c r="J3611" t="s">
        <v>30</v>
      </c>
      <c r="K3611" t="s">
        <v>31</v>
      </c>
      <c r="L3611" t="s">
        <v>32</v>
      </c>
      <c r="M3611" t="s">
        <v>33</v>
      </c>
      <c r="P3611" s="1" t="s">
        <v>12603</v>
      </c>
      <c r="Q3611" s="1" t="s">
        <v>12416</v>
      </c>
      <c r="R3611" s="1" t="s">
        <v>12416</v>
      </c>
      <c r="S3611" s="1"/>
      <c r="T3611" s="1" t="s">
        <v>1807</v>
      </c>
      <c r="U3611" s="1"/>
      <c r="V3611" s="1">
        <v>74.0</v>
      </c>
      <c r="W3611" s="1">
        <v>74.0</v>
      </c>
      <c r="X3611" s="1" t="s">
        <v>35</v>
      </c>
      <c r="Y3611" s="1">
        <v>74000.0</v>
      </c>
      <c r="Z3611" s="1"/>
      <c r="AA3611" s="1">
        <v>19410.0</v>
      </c>
      <c r="AB3611" s="1">
        <v>54590</v>
      </c>
      <c r="AC3611" s="1" t="s">
        <v>36</v>
      </c>
      <c r="AD3611" s="1" t="s">
        <v>12604</v>
      </c>
      <c r="AE3611" s="1" t="s">
        <v>32</v>
      </c>
      <c r="AF3611" s="1" t="s">
        <v>33</v>
      </c>
      <c r="AG3611" s="1" t="s">
        <v>30</v>
      </c>
    </row>
    <row r="3612" spans="1:33">
      <c r="A3612" t="s">
        <v>12605</v>
      </c>
      <c r="C3612" t="s">
        <v>613</v>
      </c>
      <c r="E3612" t="s">
        <v>12416</v>
      </c>
      <c r="F3612" t="s">
        <v>12341</v>
      </c>
      <c r="G3612">
        <v>208.25</v>
      </c>
      <c r="H3612">
        <v>208.25</v>
      </c>
      <c r="I3612" t="s">
        <v>269</v>
      </c>
      <c r="J3612" t="s">
        <v>270</v>
      </c>
      <c r="K3612" t="s">
        <v>31</v>
      </c>
      <c r="L3612" t="s">
        <v>32</v>
      </c>
      <c r="M3612" t="s">
        <v>33</v>
      </c>
      <c r="P3612" s="1" t="s">
        <v>12606</v>
      </c>
      <c r="Q3612" s="1" t="s">
        <v>12416</v>
      </c>
      <c r="R3612" s="1" t="s">
        <v>12416</v>
      </c>
      <c r="S3612" s="1"/>
      <c r="T3612" s="1" t="s">
        <v>613</v>
      </c>
      <c r="U3612" s="1"/>
      <c r="V3612" s="1">
        <v>208.25</v>
      </c>
      <c r="W3612" s="1">
        <v>208.25</v>
      </c>
      <c r="X3612" s="1" t="s">
        <v>35</v>
      </c>
      <c r="Y3612" s="1">
        <v>208250.0</v>
      </c>
      <c r="Z3612" s="1"/>
      <c r="AA3612" s="1">
        <v>208250.0</v>
      </c>
      <c r="AB3612" s="1"/>
      <c r="AC3612" s="1" t="s">
        <v>36</v>
      </c>
      <c r="AD3612" s="1" t="s">
        <v>12607</v>
      </c>
      <c r="AE3612" s="1" t="s">
        <v>32</v>
      </c>
      <c r="AF3612" s="1" t="s">
        <v>33</v>
      </c>
      <c r="AG3612" s="1" t="s">
        <v>270</v>
      </c>
    </row>
    <row r="3613" spans="1:33">
      <c r="A3613" t="s">
        <v>12608</v>
      </c>
      <c r="C3613" t="s">
        <v>2197</v>
      </c>
      <c r="E3613" t="s">
        <v>12416</v>
      </c>
      <c r="F3613" t="s">
        <v>12341</v>
      </c>
      <c r="G3613">
        <v>367.25</v>
      </c>
      <c r="H3613">
        <v>367.25</v>
      </c>
      <c r="I3613" t="s">
        <v>570</v>
      </c>
      <c r="J3613" t="s">
        <v>571</v>
      </c>
      <c r="K3613" t="s">
        <v>31</v>
      </c>
      <c r="L3613" t="s">
        <v>32</v>
      </c>
      <c r="M3613" t="s">
        <v>33</v>
      </c>
      <c r="P3613" s="1" t="s">
        <v>12609</v>
      </c>
      <c r="Q3613" s="1" t="s">
        <v>12416</v>
      </c>
      <c r="R3613" s="1" t="s">
        <v>12416</v>
      </c>
      <c r="S3613" s="1"/>
      <c r="T3613" s="1" t="s">
        <v>2197</v>
      </c>
      <c r="U3613" s="1"/>
      <c r="V3613" s="1">
        <v>367.25</v>
      </c>
      <c r="W3613" s="1">
        <v>367.25</v>
      </c>
      <c r="X3613" s="1" t="s">
        <v>35</v>
      </c>
      <c r="Y3613" s="1">
        <v>367250.0</v>
      </c>
      <c r="Z3613" s="1"/>
      <c r="AA3613" s="1">
        <v>367250.0</v>
      </c>
      <c r="AB3613" s="1"/>
      <c r="AC3613" s="1" t="s">
        <v>36</v>
      </c>
      <c r="AD3613" s="1" t="s">
        <v>12610</v>
      </c>
      <c r="AE3613" s="1" t="s">
        <v>32</v>
      </c>
      <c r="AF3613" s="1" t="s">
        <v>33</v>
      </c>
      <c r="AG3613" s="1" t="s">
        <v>571</v>
      </c>
    </row>
    <row r="3614" spans="1:33">
      <c r="A3614" t="s">
        <v>12611</v>
      </c>
      <c r="B3614" t="s">
        <v>11324</v>
      </c>
      <c r="C3614" t="s">
        <v>569</v>
      </c>
      <c r="E3614" t="s">
        <v>12416</v>
      </c>
      <c r="F3614" t="s">
        <v>12341</v>
      </c>
      <c r="G3614">
        <v>9.22</v>
      </c>
      <c r="H3614">
        <v>9.22</v>
      </c>
      <c r="I3614" t="s">
        <v>570</v>
      </c>
      <c r="J3614" t="s">
        <v>571</v>
      </c>
      <c r="K3614" t="s">
        <v>31</v>
      </c>
      <c r="L3614" t="s">
        <v>32</v>
      </c>
      <c r="M3614" t="s">
        <v>33</v>
      </c>
      <c r="P3614" s="1" t="s">
        <v>12612</v>
      </c>
      <c r="Q3614" s="1" t="s">
        <v>12416</v>
      </c>
      <c r="R3614" s="1" t="s">
        <v>12416</v>
      </c>
      <c r="S3614" s="1"/>
      <c r="T3614" s="1" t="s">
        <v>569</v>
      </c>
      <c r="U3614" s="1"/>
      <c r="V3614" s="1">
        <v>9.22</v>
      </c>
      <c r="W3614" s="1">
        <v>9.22</v>
      </c>
      <c r="X3614" s="1" t="s">
        <v>35</v>
      </c>
      <c r="Y3614" s="1">
        <v>9220.0</v>
      </c>
      <c r="Z3614" s="1"/>
      <c r="AA3614" s="1">
        <v>9220.0</v>
      </c>
      <c r="AB3614" s="1"/>
      <c r="AC3614" s="1" t="s">
        <v>36</v>
      </c>
      <c r="AD3614" s="1" t="s">
        <v>12613</v>
      </c>
      <c r="AE3614" s="1" t="s">
        <v>32</v>
      </c>
      <c r="AF3614" s="1" t="s">
        <v>33</v>
      </c>
      <c r="AG3614" s="1" t="s">
        <v>571</v>
      </c>
    </row>
    <row r="3615" spans="1:33">
      <c r="A3615" t="s">
        <v>12614</v>
      </c>
      <c r="B3615" t="s">
        <v>12615</v>
      </c>
      <c r="C3615" t="s">
        <v>569</v>
      </c>
      <c r="E3615" t="s">
        <v>12416</v>
      </c>
      <c r="F3615" t="s">
        <v>12341</v>
      </c>
      <c r="G3615">
        <v>16.0</v>
      </c>
      <c r="H3615">
        <v>16.0</v>
      </c>
      <c r="I3615" t="s">
        <v>570</v>
      </c>
      <c r="J3615" t="s">
        <v>571</v>
      </c>
      <c r="K3615" t="s">
        <v>31</v>
      </c>
      <c r="L3615" t="s">
        <v>32</v>
      </c>
      <c r="M3615" t="s">
        <v>33</v>
      </c>
      <c r="P3615" s="1" t="s">
        <v>12616</v>
      </c>
      <c r="Q3615" s="1" t="s">
        <v>12416</v>
      </c>
      <c r="R3615" s="1" t="s">
        <v>12416</v>
      </c>
      <c r="S3615" s="1"/>
      <c r="T3615" s="1" t="s">
        <v>569</v>
      </c>
      <c r="U3615" s="1"/>
      <c r="V3615" s="1">
        <v>16.0</v>
      </c>
      <c r="W3615" s="1">
        <v>16.0</v>
      </c>
      <c r="X3615" s="1" t="s">
        <v>35</v>
      </c>
      <c r="Y3615" s="1">
        <v>16000.0</v>
      </c>
      <c r="Z3615" s="1"/>
      <c r="AA3615" s="1">
        <v>16000.0</v>
      </c>
      <c r="AB3615" s="1"/>
      <c r="AC3615" s="1" t="s">
        <v>36</v>
      </c>
      <c r="AD3615" s="1" t="s">
        <v>12617</v>
      </c>
      <c r="AE3615" s="1" t="s">
        <v>32</v>
      </c>
      <c r="AF3615" s="1" t="s">
        <v>33</v>
      </c>
      <c r="AG3615" s="1" t="s">
        <v>571</v>
      </c>
    </row>
    <row r="3616" spans="1:33">
      <c r="A3616" t="s">
        <v>12618</v>
      </c>
      <c r="C3616" t="s">
        <v>638</v>
      </c>
      <c r="D3616" t="s">
        <v>154</v>
      </c>
      <c r="E3616" t="s">
        <v>12416</v>
      </c>
      <c r="F3616" t="s">
        <v>12341</v>
      </c>
      <c r="G3616">
        <v>58.5</v>
      </c>
      <c r="H3616">
        <v>58.5</v>
      </c>
      <c r="I3616" t="s">
        <v>227</v>
      </c>
      <c r="J3616" t="s">
        <v>228</v>
      </c>
      <c r="K3616" t="s">
        <v>31</v>
      </c>
      <c r="L3616" t="s">
        <v>32</v>
      </c>
      <c r="M3616" t="s">
        <v>33</v>
      </c>
      <c r="P3616" s="1" t="s">
        <v>12619</v>
      </c>
      <c r="Q3616" s="1" t="s">
        <v>12416</v>
      </c>
      <c r="R3616" s="1" t="s">
        <v>12416</v>
      </c>
      <c r="S3616" s="1"/>
      <c r="T3616" s="1" t="s">
        <v>640</v>
      </c>
      <c r="U3616" s="1" t="s">
        <v>641</v>
      </c>
      <c r="V3616" s="1">
        <v>58.5</v>
      </c>
      <c r="W3616" s="1">
        <v>58.5</v>
      </c>
      <c r="X3616" s="1" t="s">
        <v>35</v>
      </c>
      <c r="Y3616" s="1">
        <v>58500.0</v>
      </c>
      <c r="Z3616" s="1"/>
      <c r="AA3616" s="1">
        <v>58500.0</v>
      </c>
      <c r="AB3616" s="1"/>
      <c r="AC3616" s="1" t="s">
        <v>36</v>
      </c>
      <c r="AD3616" s="1" t="s">
        <v>12607</v>
      </c>
      <c r="AE3616" s="1" t="s">
        <v>32</v>
      </c>
      <c r="AF3616" s="1" t="s">
        <v>33</v>
      </c>
      <c r="AG3616" s="1" t="s">
        <v>228</v>
      </c>
    </row>
    <row r="3617" spans="1:33">
      <c r="A3617" t="s">
        <v>12620</v>
      </c>
      <c r="B3617" t="s">
        <v>735</v>
      </c>
      <c r="C3617" t="s">
        <v>736</v>
      </c>
      <c r="E3617" t="s">
        <v>12416</v>
      </c>
      <c r="F3617" t="s">
        <v>12341</v>
      </c>
      <c r="G3617">
        <v>54.0</v>
      </c>
      <c r="H3617">
        <v>54.0</v>
      </c>
      <c r="I3617" t="s">
        <v>59</v>
      </c>
      <c r="J3617" t="s">
        <v>60</v>
      </c>
      <c r="K3617" t="s">
        <v>31</v>
      </c>
      <c r="L3617" t="s">
        <v>32</v>
      </c>
      <c r="M3617" t="s">
        <v>33</v>
      </c>
      <c r="P3617" s="1" t="s">
        <v>12621</v>
      </c>
      <c r="Q3617" s="1" t="s">
        <v>12416</v>
      </c>
      <c r="R3617" s="1" t="s">
        <v>12416</v>
      </c>
      <c r="S3617" s="1"/>
      <c r="T3617" s="1" t="s">
        <v>736</v>
      </c>
      <c r="U3617" s="1"/>
      <c r="V3617" s="1">
        <v>54.0</v>
      </c>
      <c r="W3617" s="1">
        <v>54.0</v>
      </c>
      <c r="X3617" s="1" t="s">
        <v>35</v>
      </c>
      <c r="Y3617" s="1">
        <v>54000.0</v>
      </c>
      <c r="Z3617" s="1"/>
      <c r="AA3617" s="1">
        <v>54000.0</v>
      </c>
      <c r="AB3617" s="1"/>
      <c r="AC3617" s="1" t="s">
        <v>36</v>
      </c>
      <c r="AD3617" s="1" t="s">
        <v>12622</v>
      </c>
      <c r="AE3617" s="1" t="s">
        <v>32</v>
      </c>
      <c r="AF3617" s="1" t="s">
        <v>33</v>
      </c>
      <c r="AG3617" s="1" t="s">
        <v>60</v>
      </c>
    </row>
    <row r="3618" spans="1:33">
      <c r="A3618" t="s">
        <v>12623</v>
      </c>
      <c r="B3618" t="s">
        <v>12624</v>
      </c>
      <c r="C3618" t="s">
        <v>569</v>
      </c>
      <c r="E3618" t="s">
        <v>12416</v>
      </c>
      <c r="F3618" t="s">
        <v>12341</v>
      </c>
      <c r="G3618">
        <v>167.776</v>
      </c>
      <c r="H3618">
        <v>167.776</v>
      </c>
      <c r="I3618" t="s">
        <v>570</v>
      </c>
      <c r="J3618" t="s">
        <v>571</v>
      </c>
      <c r="K3618" t="s">
        <v>31</v>
      </c>
      <c r="L3618" t="s">
        <v>32</v>
      </c>
      <c r="M3618" t="s">
        <v>33</v>
      </c>
      <c r="P3618" s="1" t="s">
        <v>12625</v>
      </c>
      <c r="Q3618" s="1" t="s">
        <v>12416</v>
      </c>
      <c r="R3618" s="1" t="s">
        <v>12416</v>
      </c>
      <c r="S3618" s="1"/>
      <c r="T3618" s="1" t="s">
        <v>569</v>
      </c>
      <c r="U3618" s="1"/>
      <c r="V3618" s="1">
        <v>167.776</v>
      </c>
      <c r="W3618" s="1">
        <v>167.776</v>
      </c>
      <c r="X3618" s="1" t="s">
        <v>35</v>
      </c>
      <c r="Y3618" s="1">
        <v>167776.0</v>
      </c>
      <c r="Z3618" s="1"/>
      <c r="AA3618" s="1">
        <v>167776.0</v>
      </c>
      <c r="AB3618" s="1"/>
      <c r="AC3618" s="1" t="s">
        <v>36</v>
      </c>
      <c r="AD3618" s="1" t="s">
        <v>12626</v>
      </c>
      <c r="AE3618" s="1" t="s">
        <v>32</v>
      </c>
      <c r="AF3618" s="1" t="s">
        <v>33</v>
      </c>
      <c r="AG3618" s="1" t="s">
        <v>571</v>
      </c>
    </row>
    <row r="3619" spans="1:33">
      <c r="A3619" t="s">
        <v>12627</v>
      </c>
      <c r="C3619" t="s">
        <v>4926</v>
      </c>
      <c r="D3619" t="s">
        <v>154</v>
      </c>
      <c r="E3619" t="s">
        <v>12416</v>
      </c>
      <c r="F3619" t="s">
        <v>12341</v>
      </c>
      <c r="G3619">
        <v>497.5</v>
      </c>
      <c r="H3619">
        <v>497.5</v>
      </c>
      <c r="I3619" t="s">
        <v>570</v>
      </c>
      <c r="J3619" t="s">
        <v>571</v>
      </c>
      <c r="K3619" t="s">
        <v>31</v>
      </c>
      <c r="L3619" t="s">
        <v>32</v>
      </c>
      <c r="M3619" t="s">
        <v>33</v>
      </c>
      <c r="P3619" s="1" t="s">
        <v>12628</v>
      </c>
      <c r="Q3619" s="1" t="s">
        <v>12416</v>
      </c>
      <c r="R3619" s="1" t="s">
        <v>12416</v>
      </c>
      <c r="S3619" s="1"/>
      <c r="T3619" s="1" t="s">
        <v>4926</v>
      </c>
      <c r="U3619" s="1"/>
      <c r="V3619" s="1">
        <v>497.5</v>
      </c>
      <c r="W3619" s="1">
        <v>497.5</v>
      </c>
      <c r="X3619" s="1" t="s">
        <v>35</v>
      </c>
      <c r="Y3619" s="1">
        <v>497500.0</v>
      </c>
      <c r="Z3619" s="1"/>
      <c r="AA3619" s="1">
        <v>497500.0</v>
      </c>
      <c r="AB3619" s="1"/>
      <c r="AC3619" s="1" t="s">
        <v>36</v>
      </c>
      <c r="AD3619" s="1" t="s">
        <v>12629</v>
      </c>
      <c r="AE3619" s="1" t="s">
        <v>32</v>
      </c>
      <c r="AF3619" s="1" t="s">
        <v>33</v>
      </c>
      <c r="AG3619" s="1" t="s">
        <v>571</v>
      </c>
    </row>
    <row r="3620" spans="1:33">
      <c r="A3620" t="s">
        <v>12630</v>
      </c>
      <c r="B3620" t="s">
        <v>12631</v>
      </c>
      <c r="C3620" t="s">
        <v>172</v>
      </c>
      <c r="E3620" t="s">
        <v>12416</v>
      </c>
      <c r="F3620" t="s">
        <v>12341</v>
      </c>
      <c r="G3620">
        <v>50.97</v>
      </c>
      <c r="H3620">
        <v>50.97</v>
      </c>
      <c r="I3620" t="s">
        <v>173</v>
      </c>
      <c r="J3620" t="s">
        <v>174</v>
      </c>
      <c r="K3620" t="s">
        <v>31</v>
      </c>
      <c r="L3620" t="s">
        <v>32</v>
      </c>
      <c r="M3620" t="s">
        <v>33</v>
      </c>
      <c r="P3620" s="1" t="s">
        <v>12632</v>
      </c>
      <c r="Q3620" s="1" t="s">
        <v>12416</v>
      </c>
      <c r="R3620" s="1" t="s">
        <v>12416</v>
      </c>
      <c r="S3620" s="1"/>
      <c r="T3620" s="1" t="s">
        <v>172</v>
      </c>
      <c r="U3620" s="1"/>
      <c r="V3620" s="1">
        <v>50.97</v>
      </c>
      <c r="W3620" s="1">
        <v>50.97</v>
      </c>
      <c r="X3620" s="1" t="s">
        <v>35</v>
      </c>
      <c r="Y3620" s="1">
        <v>50970.0</v>
      </c>
      <c r="Z3620" s="1"/>
      <c r="AA3620" s="1">
        <v>50970.0</v>
      </c>
      <c r="AB3620" s="1"/>
      <c r="AC3620" s="1" t="s">
        <v>36</v>
      </c>
      <c r="AD3620" s="1" t="s">
        <v>12633</v>
      </c>
      <c r="AE3620" s="1" t="s">
        <v>32</v>
      </c>
      <c r="AF3620" s="1" t="s">
        <v>33</v>
      </c>
      <c r="AG3620" s="1" t="s">
        <v>174</v>
      </c>
    </row>
    <row r="3621" spans="1:33">
      <c r="A3621" t="s">
        <v>12634</v>
      </c>
      <c r="B3621" t="s">
        <v>12635</v>
      </c>
      <c r="C3621" t="s">
        <v>47</v>
      </c>
      <c r="E3621" t="s">
        <v>12416</v>
      </c>
      <c r="F3621" t="s">
        <v>12341</v>
      </c>
      <c r="G3621">
        <v>329.9</v>
      </c>
      <c r="H3621">
        <v>329.9</v>
      </c>
      <c r="I3621" t="s">
        <v>2206</v>
      </c>
      <c r="J3621" t="s">
        <v>49</v>
      </c>
      <c r="K3621" t="s">
        <v>31</v>
      </c>
      <c r="L3621" t="s">
        <v>32</v>
      </c>
      <c r="M3621" t="s">
        <v>33</v>
      </c>
      <c r="P3621" s="1" t="s">
        <v>12636</v>
      </c>
      <c r="Q3621" s="1" t="s">
        <v>12416</v>
      </c>
      <c r="R3621" s="1" t="s">
        <v>12416</v>
      </c>
      <c r="S3621" s="1"/>
      <c r="T3621" s="1" t="s">
        <v>47</v>
      </c>
      <c r="U3621" s="1"/>
      <c r="V3621" s="1">
        <v>329.9</v>
      </c>
      <c r="W3621" s="1">
        <v>329.9</v>
      </c>
      <c r="X3621" s="1" t="s">
        <v>35</v>
      </c>
      <c r="Y3621" s="1">
        <v>329900.0</v>
      </c>
      <c r="Z3621" s="1"/>
      <c r="AA3621" s="1">
        <v>329900.0</v>
      </c>
      <c r="AB3621" s="1"/>
      <c r="AC3621" s="1" t="s">
        <v>36</v>
      </c>
      <c r="AD3621" s="1" t="s">
        <v>12637</v>
      </c>
      <c r="AE3621" s="1" t="s">
        <v>32</v>
      </c>
      <c r="AF3621" s="1" t="s">
        <v>33</v>
      </c>
      <c r="AG3621" s="1" t="s">
        <v>49</v>
      </c>
    </row>
    <row r="3622" spans="1:33">
      <c r="A3622" t="s">
        <v>12638</v>
      </c>
      <c r="C3622" t="s">
        <v>786</v>
      </c>
      <c r="E3622" t="s">
        <v>12416</v>
      </c>
      <c r="F3622" t="s">
        <v>12341</v>
      </c>
      <c r="G3622">
        <v>1.372</v>
      </c>
      <c r="H3622">
        <v>1.372</v>
      </c>
      <c r="I3622" t="s">
        <v>269</v>
      </c>
      <c r="J3622" t="s">
        <v>270</v>
      </c>
      <c r="K3622" t="s">
        <v>31</v>
      </c>
      <c r="L3622" t="s">
        <v>32</v>
      </c>
      <c r="M3622" t="s">
        <v>33</v>
      </c>
      <c r="P3622" s="1" t="s">
        <v>12639</v>
      </c>
      <c r="Q3622" s="1" t="s">
        <v>12416</v>
      </c>
      <c r="R3622" s="1" t="s">
        <v>12416</v>
      </c>
      <c r="S3622" s="1"/>
      <c r="T3622" s="1" t="s">
        <v>786</v>
      </c>
      <c r="U3622" s="1"/>
      <c r="V3622" s="1">
        <v>1.372</v>
      </c>
      <c r="W3622" s="1">
        <v>1.372</v>
      </c>
      <c r="X3622" s="1" t="s">
        <v>35</v>
      </c>
      <c r="Y3622" s="1">
        <v>1372750.0</v>
      </c>
      <c r="Z3622" s="1"/>
      <c r="AA3622" s="1">
        <v>1372750.0</v>
      </c>
      <c r="AB3622" s="1"/>
      <c r="AC3622" s="1" t="s">
        <v>36</v>
      </c>
      <c r="AD3622" s="1" t="s">
        <v>12640</v>
      </c>
      <c r="AE3622" s="1" t="s">
        <v>32</v>
      </c>
      <c r="AF3622" s="1" t="s">
        <v>33</v>
      </c>
      <c r="AG3622" s="1" t="s">
        <v>270</v>
      </c>
    </row>
    <row r="3623" spans="1:33">
      <c r="A3623" t="s">
        <v>12641</v>
      </c>
      <c r="C3623" t="s">
        <v>190</v>
      </c>
      <c r="D3623" t="s">
        <v>154</v>
      </c>
      <c r="E3623" t="s">
        <v>12416</v>
      </c>
      <c r="F3623" t="s">
        <v>12341</v>
      </c>
      <c r="G3623">
        <v>34.5</v>
      </c>
      <c r="H3623">
        <v>34.5</v>
      </c>
      <c r="I3623" t="s">
        <v>2206</v>
      </c>
      <c r="J3623" t="s">
        <v>49</v>
      </c>
      <c r="K3623" t="s">
        <v>31</v>
      </c>
      <c r="L3623" t="s">
        <v>32</v>
      </c>
      <c r="M3623" t="s">
        <v>33</v>
      </c>
      <c r="P3623" s="1" t="s">
        <v>12642</v>
      </c>
      <c r="Q3623" s="1" t="s">
        <v>12416</v>
      </c>
      <c r="R3623" s="1" t="s">
        <v>12416</v>
      </c>
      <c r="S3623" s="1"/>
      <c r="T3623" s="1" t="s">
        <v>190</v>
      </c>
      <c r="U3623" s="1"/>
      <c r="V3623" s="1">
        <v>34.5</v>
      </c>
      <c r="W3623" s="1">
        <v>34.5</v>
      </c>
      <c r="X3623" s="1" t="s">
        <v>35</v>
      </c>
      <c r="Y3623" s="1">
        <v>34500.0</v>
      </c>
      <c r="Z3623" s="1"/>
      <c r="AA3623" s="1">
        <v>34500.0</v>
      </c>
      <c r="AB3623" s="1"/>
      <c r="AC3623" s="1" t="s">
        <v>36</v>
      </c>
      <c r="AD3623" s="1" t="s">
        <v>12617</v>
      </c>
      <c r="AE3623" s="1" t="s">
        <v>32</v>
      </c>
      <c r="AF3623" s="1" t="s">
        <v>33</v>
      </c>
      <c r="AG3623" s="1" t="s">
        <v>49</v>
      </c>
    </row>
    <row r="3624" spans="1:33">
      <c r="A3624" t="s">
        <v>12643</v>
      </c>
      <c r="B3624" t="s">
        <v>12644</v>
      </c>
      <c r="C3624" t="s">
        <v>125</v>
      </c>
      <c r="E3624" t="s">
        <v>12416</v>
      </c>
      <c r="F3624" t="s">
        <v>12341</v>
      </c>
      <c r="G3624">
        <v>5.4</v>
      </c>
      <c r="H3624">
        <v>5.4</v>
      </c>
      <c r="I3624" t="s">
        <v>126</v>
      </c>
      <c r="J3624" t="s">
        <v>127</v>
      </c>
      <c r="K3624" t="s">
        <v>31</v>
      </c>
      <c r="L3624" t="s">
        <v>32</v>
      </c>
      <c r="M3624" t="s">
        <v>33</v>
      </c>
      <c r="P3624" s="1" t="s">
        <v>12645</v>
      </c>
      <c r="Q3624" s="1" t="s">
        <v>12416</v>
      </c>
      <c r="R3624" s="1" t="s">
        <v>12416</v>
      </c>
      <c r="S3624" s="1"/>
      <c r="T3624" s="1" t="s">
        <v>125</v>
      </c>
      <c r="U3624" s="1"/>
      <c r="V3624" s="1">
        <v>5.4</v>
      </c>
      <c r="W3624" s="1">
        <v>5.4</v>
      </c>
      <c r="X3624" s="1" t="s">
        <v>35</v>
      </c>
      <c r="Y3624" s="1">
        <v>5400.0</v>
      </c>
      <c r="Z3624" s="1"/>
      <c r="AA3624" s="1">
        <v>5400.0</v>
      </c>
      <c r="AB3624" s="1"/>
      <c r="AC3624" s="1" t="s">
        <v>36</v>
      </c>
      <c r="AD3624" s="1" t="s">
        <v>12646</v>
      </c>
      <c r="AE3624" s="1" t="s">
        <v>32</v>
      </c>
      <c r="AF3624" s="1" t="s">
        <v>33</v>
      </c>
      <c r="AG3624" s="1" t="s">
        <v>127</v>
      </c>
    </row>
    <row r="3625" spans="1:33">
      <c r="A3625" t="s">
        <v>12647</v>
      </c>
      <c r="C3625" t="s">
        <v>2548</v>
      </c>
      <c r="D3625" t="s">
        <v>154</v>
      </c>
      <c r="E3625" t="s">
        <v>12416</v>
      </c>
      <c r="F3625" t="s">
        <v>12341</v>
      </c>
      <c r="G3625">
        <v>916.3</v>
      </c>
      <c r="H3625">
        <v>916.3</v>
      </c>
      <c r="I3625" t="s">
        <v>269</v>
      </c>
      <c r="J3625" t="s">
        <v>270</v>
      </c>
      <c r="K3625" t="s">
        <v>31</v>
      </c>
      <c r="L3625" t="s">
        <v>32</v>
      </c>
      <c r="M3625" t="s">
        <v>33</v>
      </c>
      <c r="P3625" s="1" t="s">
        <v>12648</v>
      </c>
      <c r="Q3625" s="1" t="s">
        <v>12416</v>
      </c>
      <c r="R3625" s="1" t="s">
        <v>12416</v>
      </c>
      <c r="S3625" s="1"/>
      <c r="T3625" s="1" t="s">
        <v>2548</v>
      </c>
      <c r="U3625" s="1"/>
      <c r="V3625" s="1">
        <v>916.3</v>
      </c>
      <c r="W3625" s="1">
        <v>916.3</v>
      </c>
      <c r="X3625" s="1" t="s">
        <v>35</v>
      </c>
      <c r="Y3625" s="1">
        <v>916300.0</v>
      </c>
      <c r="Z3625" s="1"/>
      <c r="AA3625" s="1">
        <v>916300.0</v>
      </c>
      <c r="AB3625" s="1"/>
      <c r="AC3625" s="1" t="s">
        <v>36</v>
      </c>
      <c r="AD3625" s="1" t="s">
        <v>12646</v>
      </c>
      <c r="AE3625" s="1" t="s">
        <v>32</v>
      </c>
      <c r="AF3625" s="1" t="s">
        <v>33</v>
      </c>
      <c r="AG3625" s="1" t="s">
        <v>270</v>
      </c>
    </row>
    <row r="3626" spans="1:33">
      <c r="A3626" t="s">
        <v>12649</v>
      </c>
      <c r="C3626" t="s">
        <v>558</v>
      </c>
      <c r="D3626" t="s">
        <v>154</v>
      </c>
      <c r="E3626" t="s">
        <v>12416</v>
      </c>
      <c r="F3626" t="s">
        <v>12341</v>
      </c>
      <c r="G3626">
        <v>91.5</v>
      </c>
      <c r="H3626">
        <v>91.5</v>
      </c>
      <c r="I3626" t="s">
        <v>269</v>
      </c>
      <c r="J3626" t="s">
        <v>270</v>
      </c>
      <c r="K3626" t="s">
        <v>31</v>
      </c>
      <c r="L3626" t="s">
        <v>32</v>
      </c>
      <c r="M3626" t="s">
        <v>33</v>
      </c>
      <c r="P3626" s="1" t="s">
        <v>12650</v>
      </c>
      <c r="Q3626" s="1" t="s">
        <v>12416</v>
      </c>
      <c r="R3626" s="1" t="s">
        <v>12416</v>
      </c>
      <c r="S3626" s="1"/>
      <c r="T3626" s="1" t="s">
        <v>560</v>
      </c>
      <c r="U3626" s="1" t="s">
        <v>561</v>
      </c>
      <c r="V3626" s="1">
        <v>91.5</v>
      </c>
      <c r="W3626" s="1">
        <v>91.5</v>
      </c>
      <c r="X3626" s="1" t="s">
        <v>35</v>
      </c>
      <c r="Y3626" s="1">
        <v>91500.0</v>
      </c>
      <c r="Z3626" s="1"/>
      <c r="AA3626" s="1">
        <v>91500.0</v>
      </c>
      <c r="AB3626" s="1"/>
      <c r="AC3626" s="1" t="s">
        <v>36</v>
      </c>
      <c r="AD3626" s="1" t="s">
        <v>12651</v>
      </c>
      <c r="AE3626" s="1" t="s">
        <v>32</v>
      </c>
      <c r="AF3626" s="1" t="s">
        <v>33</v>
      </c>
      <c r="AG3626" s="1" t="s">
        <v>270</v>
      </c>
    </row>
    <row r="3627" spans="1:33">
      <c r="A3627" t="s">
        <v>12652</v>
      </c>
      <c r="C3627" t="s">
        <v>6485</v>
      </c>
      <c r="E3627" t="s">
        <v>12416</v>
      </c>
      <c r="F3627" t="s">
        <v>12341</v>
      </c>
      <c r="G3627">
        <v>336.0</v>
      </c>
      <c r="H3627">
        <v>336.0</v>
      </c>
      <c r="I3627" t="s">
        <v>2206</v>
      </c>
      <c r="J3627" t="s">
        <v>49</v>
      </c>
      <c r="K3627" t="s">
        <v>31</v>
      </c>
      <c r="L3627" t="s">
        <v>32</v>
      </c>
      <c r="M3627" t="s">
        <v>33</v>
      </c>
      <c r="P3627" s="1" t="s">
        <v>12653</v>
      </c>
      <c r="Q3627" s="1" t="s">
        <v>12416</v>
      </c>
      <c r="R3627" s="1" t="s">
        <v>12416</v>
      </c>
      <c r="S3627" s="1"/>
      <c r="T3627" s="1" t="s">
        <v>6485</v>
      </c>
      <c r="U3627" s="1"/>
      <c r="V3627" s="1">
        <v>336.0</v>
      </c>
      <c r="W3627" s="1">
        <v>336.0</v>
      </c>
      <c r="X3627" s="1" t="s">
        <v>35</v>
      </c>
      <c r="Y3627" s="1">
        <v>336000.0</v>
      </c>
      <c r="Z3627" s="1"/>
      <c r="AA3627" s="1">
        <v>336000.0</v>
      </c>
      <c r="AB3627" s="1"/>
      <c r="AC3627" s="1" t="s">
        <v>36</v>
      </c>
      <c r="AD3627" s="1" t="s">
        <v>12633</v>
      </c>
      <c r="AE3627" s="1" t="s">
        <v>32</v>
      </c>
      <c r="AF3627" s="1" t="s">
        <v>33</v>
      </c>
      <c r="AG3627" s="1" t="s">
        <v>49</v>
      </c>
    </row>
    <row r="3628" spans="1:33">
      <c r="A3628" t="s">
        <v>12654</v>
      </c>
      <c r="C3628" t="s">
        <v>73</v>
      </c>
      <c r="E3628" t="s">
        <v>12416</v>
      </c>
      <c r="F3628" t="s">
        <v>12341</v>
      </c>
      <c r="G3628">
        <v>2.7</v>
      </c>
      <c r="H3628">
        <v>2.7</v>
      </c>
      <c r="I3628" t="s">
        <v>40</v>
      </c>
      <c r="J3628" t="s">
        <v>41</v>
      </c>
      <c r="K3628" t="s">
        <v>31</v>
      </c>
      <c r="L3628" t="s">
        <v>32</v>
      </c>
      <c r="M3628" t="s">
        <v>33</v>
      </c>
      <c r="P3628" s="1" t="s">
        <v>12655</v>
      </c>
      <c r="Q3628" s="1" t="s">
        <v>12416</v>
      </c>
      <c r="R3628" s="1" t="s">
        <v>11609</v>
      </c>
      <c r="S3628" s="1"/>
      <c r="T3628" s="1" t="s">
        <v>75</v>
      </c>
      <c r="U3628" s="1" t="s">
        <v>76</v>
      </c>
      <c r="V3628" s="1">
        <v>2.7</v>
      </c>
      <c r="W3628" s="1">
        <v>2.7</v>
      </c>
      <c r="X3628" s="1" t="s">
        <v>35</v>
      </c>
      <c r="Y3628" s="1">
        <v>2700.0</v>
      </c>
      <c r="Z3628" s="1"/>
      <c r="AA3628" s="1">
        <v>2700.0</v>
      </c>
      <c r="AB3628" s="1"/>
      <c r="AC3628" s="1" t="s">
        <v>36</v>
      </c>
      <c r="AD3628" s="1" t="s">
        <v>12656</v>
      </c>
      <c r="AE3628" s="1" t="s">
        <v>32</v>
      </c>
      <c r="AF3628" s="1" t="s">
        <v>33</v>
      </c>
      <c r="AG3628" s="1" t="s">
        <v>41</v>
      </c>
    </row>
    <row r="3629" spans="1:33">
      <c r="A3629" t="s">
        <v>12657</v>
      </c>
      <c r="B3629" t="s">
        <v>12658</v>
      </c>
      <c r="C3629" t="s">
        <v>68</v>
      </c>
      <c r="E3629" t="s">
        <v>12416</v>
      </c>
      <c r="F3629" t="s">
        <v>12341</v>
      </c>
      <c r="G3629">
        <v>3.5</v>
      </c>
      <c r="H3629">
        <v>3.5</v>
      </c>
      <c r="I3629" t="s">
        <v>59</v>
      </c>
      <c r="J3629" t="s">
        <v>60</v>
      </c>
      <c r="K3629" t="s">
        <v>31</v>
      </c>
      <c r="L3629" t="s">
        <v>32</v>
      </c>
      <c r="M3629" t="s">
        <v>33</v>
      </c>
      <c r="P3629" s="1" t="s">
        <v>12659</v>
      </c>
      <c r="Q3629" s="1" t="s">
        <v>12416</v>
      </c>
      <c r="R3629" s="1" t="s">
        <v>12416</v>
      </c>
      <c r="S3629" s="1"/>
      <c r="T3629" s="1" t="s">
        <v>68</v>
      </c>
      <c r="U3629" s="1"/>
      <c r="V3629" s="1">
        <v>3.5</v>
      </c>
      <c r="W3629" s="1">
        <v>3.5</v>
      </c>
      <c r="X3629" s="1" t="s">
        <v>35</v>
      </c>
      <c r="Y3629" s="1">
        <v>3500.0</v>
      </c>
      <c r="Z3629" s="1"/>
      <c r="AA3629" s="1">
        <v>3500.0</v>
      </c>
      <c r="AB3629" s="1"/>
      <c r="AC3629" s="1" t="s">
        <v>36</v>
      </c>
      <c r="AD3629" s="1" t="s">
        <v>12617</v>
      </c>
      <c r="AE3629" s="1" t="s">
        <v>32</v>
      </c>
      <c r="AF3629" s="1" t="s">
        <v>33</v>
      </c>
      <c r="AG3629" s="1" t="s">
        <v>60</v>
      </c>
    </row>
    <row r="3630" spans="1:33">
      <c r="A3630" t="s">
        <v>12660</v>
      </c>
      <c r="C3630" t="s">
        <v>9992</v>
      </c>
      <c r="E3630" t="s">
        <v>12416</v>
      </c>
      <c r="F3630" t="s">
        <v>12341</v>
      </c>
      <c r="G3630">
        <v>635.0</v>
      </c>
      <c r="H3630">
        <v>635.0</v>
      </c>
      <c r="I3630" t="s">
        <v>40</v>
      </c>
      <c r="J3630" t="s">
        <v>41</v>
      </c>
      <c r="K3630" t="s">
        <v>31</v>
      </c>
      <c r="L3630" t="s">
        <v>32</v>
      </c>
      <c r="M3630" t="s">
        <v>33</v>
      </c>
      <c r="P3630" s="1" t="s">
        <v>12661</v>
      </c>
      <c r="Q3630" s="1" t="s">
        <v>12416</v>
      </c>
      <c r="R3630" s="1" t="s">
        <v>11609</v>
      </c>
      <c r="S3630" s="1"/>
      <c r="T3630" s="1" t="s">
        <v>9992</v>
      </c>
      <c r="U3630" s="1"/>
      <c r="V3630" s="1">
        <v>635.0</v>
      </c>
      <c r="W3630" s="1">
        <v>635.0</v>
      </c>
      <c r="X3630" s="1" t="s">
        <v>35</v>
      </c>
      <c r="Y3630" s="1">
        <v>635000.0</v>
      </c>
      <c r="Z3630" s="1"/>
      <c r="AA3630" s="1">
        <v>635000.0</v>
      </c>
      <c r="AB3630" s="1"/>
      <c r="AC3630" s="1" t="s">
        <v>36</v>
      </c>
      <c r="AD3630" s="1" t="s">
        <v>12662</v>
      </c>
      <c r="AE3630" s="1" t="s">
        <v>32</v>
      </c>
      <c r="AF3630" s="1" t="s">
        <v>33</v>
      </c>
      <c r="AG3630" s="1" t="s">
        <v>41</v>
      </c>
    </row>
    <row r="3631" spans="1:33">
      <c r="A3631" t="s">
        <v>12663</v>
      </c>
      <c r="C3631" t="s">
        <v>2262</v>
      </c>
      <c r="E3631" t="s">
        <v>12416</v>
      </c>
      <c r="F3631" t="s">
        <v>12341</v>
      </c>
      <c r="G3631">
        <v>852.0</v>
      </c>
      <c r="H3631">
        <v>852.0</v>
      </c>
      <c r="I3631" t="s">
        <v>269</v>
      </c>
      <c r="J3631" t="s">
        <v>270</v>
      </c>
      <c r="K3631" t="s">
        <v>31</v>
      </c>
      <c r="L3631" t="s">
        <v>32</v>
      </c>
      <c r="M3631" t="s">
        <v>33</v>
      </c>
      <c r="P3631" s="1" t="s">
        <v>12664</v>
      </c>
      <c r="Q3631" s="1" t="s">
        <v>12416</v>
      </c>
      <c r="R3631" s="1" t="s">
        <v>12416</v>
      </c>
      <c r="S3631" s="1"/>
      <c r="T3631" s="1" t="s">
        <v>2262</v>
      </c>
      <c r="U3631" s="1"/>
      <c r="V3631" s="1">
        <v>852.0</v>
      </c>
      <c r="W3631" s="1">
        <v>852.0</v>
      </c>
      <c r="X3631" s="1" t="s">
        <v>35</v>
      </c>
      <c r="Y3631" s="1">
        <v>852000.0</v>
      </c>
      <c r="Z3631" s="1"/>
      <c r="AA3631" s="1">
        <v>852000.0</v>
      </c>
      <c r="AB3631" s="1"/>
      <c r="AC3631" s="1" t="s">
        <v>36</v>
      </c>
      <c r="AD3631" s="1" t="s">
        <v>12665</v>
      </c>
      <c r="AE3631" s="1" t="s">
        <v>32</v>
      </c>
      <c r="AF3631" s="1" t="s">
        <v>33</v>
      </c>
      <c r="AG3631" s="1" t="s">
        <v>270</v>
      </c>
    </row>
    <row r="3632" spans="1:33">
      <c r="A3632" t="s">
        <v>12666</v>
      </c>
      <c r="C3632" t="s">
        <v>866</v>
      </c>
      <c r="D3632" t="s">
        <v>154</v>
      </c>
      <c r="E3632" t="s">
        <v>12416</v>
      </c>
      <c r="F3632" t="s">
        <v>12341</v>
      </c>
      <c r="G3632">
        <v>356.5</v>
      </c>
      <c r="H3632">
        <v>356.5</v>
      </c>
      <c r="I3632" t="s">
        <v>2206</v>
      </c>
      <c r="J3632" t="s">
        <v>49</v>
      </c>
      <c r="K3632" t="s">
        <v>31</v>
      </c>
      <c r="L3632" t="s">
        <v>32</v>
      </c>
      <c r="M3632" t="s">
        <v>33</v>
      </c>
      <c r="P3632" s="1" t="s">
        <v>12667</v>
      </c>
      <c r="Q3632" s="1" t="s">
        <v>12416</v>
      </c>
      <c r="R3632" s="1" t="s">
        <v>12416</v>
      </c>
      <c r="S3632" s="1"/>
      <c r="T3632" s="1" t="s">
        <v>868</v>
      </c>
      <c r="U3632" s="1" t="s">
        <v>869</v>
      </c>
      <c r="V3632" s="1">
        <v>356.5</v>
      </c>
      <c r="W3632" s="1">
        <v>356.5</v>
      </c>
      <c r="X3632" s="1" t="s">
        <v>35</v>
      </c>
      <c r="Y3632" s="1">
        <v>356500.0</v>
      </c>
      <c r="Z3632" s="1"/>
      <c r="AA3632" s="1">
        <v>356500.0</v>
      </c>
      <c r="AB3632" s="1"/>
      <c r="AC3632" s="1" t="s">
        <v>36</v>
      </c>
      <c r="AD3632" s="1" t="s">
        <v>12668</v>
      </c>
      <c r="AE3632" s="1" t="s">
        <v>32</v>
      </c>
      <c r="AF3632" s="1" t="s">
        <v>33</v>
      </c>
      <c r="AG3632" s="1" t="s">
        <v>49</v>
      </c>
    </row>
    <row r="3633" spans="1:33">
      <c r="A3633" t="s">
        <v>12669</v>
      </c>
      <c r="C3633" t="s">
        <v>73</v>
      </c>
      <c r="E3633" t="s">
        <v>12416</v>
      </c>
      <c r="F3633" t="s">
        <v>12341</v>
      </c>
      <c r="G3633">
        <v>50.83</v>
      </c>
      <c r="H3633">
        <v>50.83</v>
      </c>
      <c r="I3633" t="s">
        <v>40</v>
      </c>
      <c r="J3633" t="s">
        <v>41</v>
      </c>
      <c r="K3633" t="s">
        <v>31</v>
      </c>
      <c r="L3633" t="s">
        <v>32</v>
      </c>
      <c r="M3633" t="s">
        <v>33</v>
      </c>
      <c r="P3633" s="1" t="s">
        <v>12670</v>
      </c>
      <c r="Q3633" s="1" t="s">
        <v>12416</v>
      </c>
      <c r="R3633" s="1" t="s">
        <v>11609</v>
      </c>
      <c r="S3633" s="1"/>
      <c r="T3633" s="1" t="s">
        <v>75</v>
      </c>
      <c r="U3633" s="1" t="s">
        <v>76</v>
      </c>
      <c r="V3633" s="1">
        <v>50.83</v>
      </c>
      <c r="W3633" s="1">
        <v>50.83</v>
      </c>
      <c r="X3633" s="1" t="s">
        <v>35</v>
      </c>
      <c r="Y3633" s="1">
        <v>50830.0</v>
      </c>
      <c r="Z3633" s="1"/>
      <c r="AA3633" s="1">
        <v>50830.0</v>
      </c>
      <c r="AB3633" s="1"/>
      <c r="AC3633" s="1" t="s">
        <v>36</v>
      </c>
      <c r="AD3633" s="1" t="s">
        <v>12671</v>
      </c>
      <c r="AE3633" s="1" t="s">
        <v>32</v>
      </c>
      <c r="AF3633" s="1" t="s">
        <v>33</v>
      </c>
      <c r="AG3633" s="1" t="s">
        <v>41</v>
      </c>
    </row>
    <row r="3634" spans="1:33">
      <c r="A3634" t="s">
        <v>12672</v>
      </c>
      <c r="B3634" t="s">
        <v>7247</v>
      </c>
      <c r="C3634" t="s">
        <v>314</v>
      </c>
      <c r="E3634" t="s">
        <v>12416</v>
      </c>
      <c r="F3634" t="s">
        <v>12341</v>
      </c>
      <c r="G3634">
        <v>17.88</v>
      </c>
      <c r="H3634">
        <v>17.88</v>
      </c>
      <c r="I3634" t="s">
        <v>179</v>
      </c>
      <c r="J3634" t="s">
        <v>180</v>
      </c>
      <c r="K3634" t="s">
        <v>31</v>
      </c>
      <c r="L3634" t="s">
        <v>32</v>
      </c>
      <c r="M3634" t="s">
        <v>33</v>
      </c>
      <c r="P3634" s="1" t="s">
        <v>12673</v>
      </c>
      <c r="Q3634" s="1" t="s">
        <v>12416</v>
      </c>
      <c r="R3634" s="1" t="s">
        <v>12416</v>
      </c>
      <c r="S3634" s="1"/>
      <c r="T3634" s="1" t="s">
        <v>314</v>
      </c>
      <c r="U3634" s="1"/>
      <c r="V3634" s="1">
        <v>17.88</v>
      </c>
      <c r="W3634" s="1">
        <v>17.88</v>
      </c>
      <c r="X3634" s="1" t="s">
        <v>35</v>
      </c>
      <c r="Y3634" s="1">
        <v>17880.0</v>
      </c>
      <c r="Z3634" s="1"/>
      <c r="AA3634" s="1">
        <v>17880.0</v>
      </c>
      <c r="AB3634" s="1"/>
      <c r="AC3634" s="1" t="s">
        <v>36</v>
      </c>
      <c r="AD3634" s="1" t="s">
        <v>12671</v>
      </c>
      <c r="AE3634" s="1" t="s">
        <v>32</v>
      </c>
      <c r="AF3634" s="1" t="s">
        <v>33</v>
      </c>
      <c r="AG3634" s="1" t="s">
        <v>180</v>
      </c>
    </row>
    <row r="3635" spans="1:33">
      <c r="A3635" t="s">
        <v>12674</v>
      </c>
      <c r="B3635" t="s">
        <v>1529</v>
      </c>
      <c r="C3635" t="s">
        <v>1530</v>
      </c>
      <c r="D3635" t="s">
        <v>114</v>
      </c>
      <c r="E3635" t="s">
        <v>12416</v>
      </c>
      <c r="F3635" t="s">
        <v>12341</v>
      </c>
      <c r="G3635">
        <v>43.0</v>
      </c>
      <c r="H3635">
        <v>43.0</v>
      </c>
      <c r="I3635" t="s">
        <v>59</v>
      </c>
      <c r="J3635" t="s">
        <v>60</v>
      </c>
      <c r="K3635" t="s">
        <v>31</v>
      </c>
      <c r="L3635" t="s">
        <v>32</v>
      </c>
      <c r="M3635" t="s">
        <v>33</v>
      </c>
      <c r="P3635" s="1" t="s">
        <v>12675</v>
      </c>
      <c r="Q3635" s="1" t="s">
        <v>12416</v>
      </c>
      <c r="R3635" s="1" t="s">
        <v>12416</v>
      </c>
      <c r="S3635" s="1"/>
      <c r="T3635" s="1" t="s">
        <v>1532</v>
      </c>
      <c r="U3635" s="1" t="s">
        <v>1533</v>
      </c>
      <c r="V3635" s="1">
        <v>43.0</v>
      </c>
      <c r="W3635" s="1">
        <v>43.0</v>
      </c>
      <c r="X3635" s="1" t="s">
        <v>35</v>
      </c>
      <c r="Y3635" s="1">
        <v>43000.0</v>
      </c>
      <c r="Z3635" s="1"/>
      <c r="AA3635" s="1">
        <v>43000.0</v>
      </c>
      <c r="AB3635" s="1"/>
      <c r="AC3635" s="1" t="s">
        <v>36</v>
      </c>
      <c r="AD3635" s="1" t="s">
        <v>12676</v>
      </c>
      <c r="AE3635" s="1" t="s">
        <v>32</v>
      </c>
      <c r="AF3635" s="1" t="s">
        <v>33</v>
      </c>
      <c r="AG3635" s="1" t="s">
        <v>60</v>
      </c>
    </row>
    <row r="3636" spans="1:33">
      <c r="A3636" t="s">
        <v>12677</v>
      </c>
      <c r="B3636" t="s">
        <v>12678</v>
      </c>
      <c r="C3636" t="s">
        <v>125</v>
      </c>
      <c r="E3636" t="s">
        <v>12416</v>
      </c>
      <c r="F3636" t="s">
        <v>12341</v>
      </c>
      <c r="G3636">
        <v>64.98</v>
      </c>
      <c r="H3636">
        <v>64.98</v>
      </c>
      <c r="I3636" t="s">
        <v>126</v>
      </c>
      <c r="J3636" t="s">
        <v>127</v>
      </c>
      <c r="K3636" t="s">
        <v>31</v>
      </c>
      <c r="L3636" t="s">
        <v>32</v>
      </c>
      <c r="M3636" t="s">
        <v>33</v>
      </c>
      <c r="P3636" s="1" t="s">
        <v>12679</v>
      </c>
      <c r="Q3636" s="1" t="s">
        <v>12416</v>
      </c>
      <c r="R3636" s="1" t="s">
        <v>12416</v>
      </c>
      <c r="S3636" s="1"/>
      <c r="T3636" s="1" t="s">
        <v>125</v>
      </c>
      <c r="U3636" s="1"/>
      <c r="V3636" s="1">
        <v>64.98</v>
      </c>
      <c r="W3636" s="1">
        <v>64.98</v>
      </c>
      <c r="X3636" s="1" t="s">
        <v>35</v>
      </c>
      <c r="Y3636" s="1">
        <v>64980.0</v>
      </c>
      <c r="Z3636" s="1"/>
      <c r="AA3636" s="1">
        <v>64980.0</v>
      </c>
      <c r="AB3636" s="1"/>
      <c r="AC3636" s="1" t="s">
        <v>36</v>
      </c>
      <c r="AD3636" s="1" t="s">
        <v>12680</v>
      </c>
      <c r="AE3636" s="1" t="s">
        <v>32</v>
      </c>
      <c r="AF3636" s="1" t="s">
        <v>33</v>
      </c>
      <c r="AG3636" s="1" t="s">
        <v>127</v>
      </c>
    </row>
    <row r="3637" spans="1:33">
      <c r="A3637" t="s">
        <v>12681</v>
      </c>
      <c r="B3637" t="s">
        <v>523</v>
      </c>
      <c r="C3637" t="s">
        <v>172</v>
      </c>
      <c r="E3637" t="s">
        <v>12416</v>
      </c>
      <c r="F3637" t="s">
        <v>12341</v>
      </c>
      <c r="G3637">
        <v>53.48</v>
      </c>
      <c r="H3637">
        <v>53.48</v>
      </c>
      <c r="I3637" t="s">
        <v>173</v>
      </c>
      <c r="J3637" t="s">
        <v>174</v>
      </c>
      <c r="K3637" t="s">
        <v>31</v>
      </c>
      <c r="L3637" t="s">
        <v>32</v>
      </c>
      <c r="M3637" t="s">
        <v>33</v>
      </c>
      <c r="P3637" s="1" t="s">
        <v>12682</v>
      </c>
      <c r="Q3637" s="1" t="s">
        <v>12416</v>
      </c>
      <c r="R3637" s="1" t="s">
        <v>12416</v>
      </c>
      <c r="S3637" s="1"/>
      <c r="T3637" s="1" t="s">
        <v>172</v>
      </c>
      <c r="U3637" s="1"/>
      <c r="V3637" s="1">
        <v>53.48</v>
      </c>
      <c r="W3637" s="1">
        <v>53.48</v>
      </c>
      <c r="X3637" s="1" t="s">
        <v>35</v>
      </c>
      <c r="Y3637" s="1">
        <v>53480.0</v>
      </c>
      <c r="Z3637" s="1"/>
      <c r="AA3637" s="1">
        <v>53480.0</v>
      </c>
      <c r="AB3637" s="1"/>
      <c r="AC3637" s="1" t="s">
        <v>36</v>
      </c>
      <c r="AD3637" s="1" t="s">
        <v>12683</v>
      </c>
      <c r="AE3637" s="1" t="s">
        <v>32</v>
      </c>
      <c r="AF3637" s="1" t="s">
        <v>33</v>
      </c>
      <c r="AG3637" s="1" t="s">
        <v>174</v>
      </c>
    </row>
    <row r="3638" spans="1:33">
      <c r="A3638" t="s">
        <v>12684</v>
      </c>
      <c r="B3638" t="s">
        <v>7278</v>
      </c>
      <c r="C3638" t="s">
        <v>268</v>
      </c>
      <c r="E3638" t="s">
        <v>12416</v>
      </c>
      <c r="F3638" t="s">
        <v>12341</v>
      </c>
      <c r="G3638">
        <v>130.3</v>
      </c>
      <c r="H3638">
        <v>130.3</v>
      </c>
      <c r="I3638" t="s">
        <v>269</v>
      </c>
      <c r="J3638" t="s">
        <v>270</v>
      </c>
      <c r="K3638" t="s">
        <v>31</v>
      </c>
      <c r="L3638" t="s">
        <v>32</v>
      </c>
      <c r="M3638" t="s">
        <v>33</v>
      </c>
      <c r="P3638" s="1" t="s">
        <v>12685</v>
      </c>
      <c r="Q3638" s="1" t="s">
        <v>12416</v>
      </c>
      <c r="R3638" s="1" t="s">
        <v>12416</v>
      </c>
      <c r="S3638" s="1"/>
      <c r="T3638" s="1" t="s">
        <v>268</v>
      </c>
      <c r="U3638" s="1"/>
      <c r="V3638" s="1">
        <v>130.3</v>
      </c>
      <c r="W3638" s="1">
        <v>130.3</v>
      </c>
      <c r="X3638" s="1" t="s">
        <v>35</v>
      </c>
      <c r="Y3638" s="1">
        <v>130300.0</v>
      </c>
      <c r="Z3638" s="1"/>
      <c r="AA3638" s="1">
        <v>130300.0</v>
      </c>
      <c r="AB3638" s="1"/>
      <c r="AC3638" s="1" t="s">
        <v>36</v>
      </c>
      <c r="AD3638" s="1" t="s">
        <v>12686</v>
      </c>
      <c r="AE3638" s="1" t="s">
        <v>32</v>
      </c>
      <c r="AF3638" s="1" t="s">
        <v>33</v>
      </c>
      <c r="AG3638" s="1" t="s">
        <v>270</v>
      </c>
    </row>
    <row r="3639" spans="1:33">
      <c r="A3639" t="s">
        <v>12687</v>
      </c>
      <c r="C3639" t="s">
        <v>8374</v>
      </c>
      <c r="E3639" t="s">
        <v>12416</v>
      </c>
      <c r="F3639" t="s">
        <v>12341</v>
      </c>
      <c r="G3639">
        <v>1.968</v>
      </c>
      <c r="H3639">
        <v>1.968</v>
      </c>
      <c r="I3639" t="s">
        <v>227</v>
      </c>
      <c r="J3639" t="s">
        <v>228</v>
      </c>
      <c r="K3639" t="s">
        <v>31</v>
      </c>
      <c r="L3639" t="s">
        <v>32</v>
      </c>
      <c r="M3639" t="s">
        <v>33</v>
      </c>
      <c r="P3639" s="1" t="s">
        <v>12688</v>
      </c>
      <c r="Q3639" s="1" t="s">
        <v>12416</v>
      </c>
      <c r="R3639" s="1" t="s">
        <v>12416</v>
      </c>
      <c r="S3639" s="1"/>
      <c r="T3639" s="1" t="s">
        <v>8374</v>
      </c>
      <c r="U3639" s="1"/>
      <c r="V3639" s="1">
        <v>1.968</v>
      </c>
      <c r="W3639" s="1">
        <v>1.968</v>
      </c>
      <c r="X3639" s="1" t="s">
        <v>35</v>
      </c>
      <c r="Y3639" s="1">
        <v>1968000.0</v>
      </c>
      <c r="Z3639" s="1"/>
      <c r="AA3639" s="1">
        <v>1968000.0</v>
      </c>
      <c r="AB3639" s="1"/>
      <c r="AC3639" s="1" t="s">
        <v>36</v>
      </c>
      <c r="AD3639" s="1" t="s">
        <v>12683</v>
      </c>
      <c r="AE3639" s="1" t="s">
        <v>32</v>
      </c>
      <c r="AF3639" s="1" t="s">
        <v>33</v>
      </c>
      <c r="AG3639" s="1" t="s">
        <v>228</v>
      </c>
    </row>
    <row r="3640" spans="1:33">
      <c r="A3640" t="s">
        <v>12689</v>
      </c>
      <c r="C3640" t="s">
        <v>5458</v>
      </c>
      <c r="E3640" t="s">
        <v>12416</v>
      </c>
      <c r="F3640" t="s">
        <v>12341</v>
      </c>
      <c r="G3640">
        <v>328.0</v>
      </c>
      <c r="H3640">
        <v>328.0</v>
      </c>
      <c r="I3640" t="s">
        <v>269</v>
      </c>
      <c r="J3640" t="s">
        <v>270</v>
      </c>
      <c r="K3640" t="s">
        <v>31</v>
      </c>
      <c r="L3640" t="s">
        <v>32</v>
      </c>
      <c r="M3640" t="s">
        <v>33</v>
      </c>
      <c r="P3640" s="1" t="s">
        <v>12690</v>
      </c>
      <c r="Q3640" s="1" t="s">
        <v>12416</v>
      </c>
      <c r="R3640" s="1" t="s">
        <v>12416</v>
      </c>
      <c r="S3640" s="1"/>
      <c r="T3640" s="1" t="s">
        <v>5458</v>
      </c>
      <c r="U3640" s="1"/>
      <c r="V3640" s="1">
        <v>328.0</v>
      </c>
      <c r="W3640" s="1">
        <v>328.0</v>
      </c>
      <c r="X3640" s="1" t="s">
        <v>35</v>
      </c>
      <c r="Y3640" s="1">
        <v>328000.0</v>
      </c>
      <c r="Z3640" s="1"/>
      <c r="AA3640" s="1">
        <v>328000.0</v>
      </c>
      <c r="AB3640" s="1"/>
      <c r="AC3640" s="1" t="s">
        <v>36</v>
      </c>
      <c r="AD3640" s="1" t="s">
        <v>12691</v>
      </c>
      <c r="AE3640" s="1" t="s">
        <v>32</v>
      </c>
      <c r="AF3640" s="1" t="s">
        <v>33</v>
      </c>
      <c r="AG3640" s="1" t="s">
        <v>270</v>
      </c>
    </row>
    <row r="3641" spans="1:33">
      <c r="A3641" t="s">
        <v>12692</v>
      </c>
      <c r="B3641" t="s">
        <v>12693</v>
      </c>
      <c r="C3641" t="s">
        <v>268</v>
      </c>
      <c r="E3641" t="s">
        <v>12416</v>
      </c>
      <c r="F3641" t="s">
        <v>12341</v>
      </c>
      <c r="G3641">
        <v>40.25</v>
      </c>
      <c r="H3641">
        <v>40.25</v>
      </c>
      <c r="I3641" t="s">
        <v>269</v>
      </c>
      <c r="J3641" t="s">
        <v>270</v>
      </c>
      <c r="K3641" t="s">
        <v>31</v>
      </c>
      <c r="L3641" t="s">
        <v>32</v>
      </c>
      <c r="M3641" t="s">
        <v>33</v>
      </c>
      <c r="P3641" s="1" t="s">
        <v>12694</v>
      </c>
      <c r="Q3641" s="1" t="s">
        <v>12416</v>
      </c>
      <c r="R3641" s="1" t="s">
        <v>12416</v>
      </c>
      <c r="S3641" s="1"/>
      <c r="T3641" s="1" t="s">
        <v>268</v>
      </c>
      <c r="U3641" s="1"/>
      <c r="V3641" s="1">
        <v>40.25</v>
      </c>
      <c r="W3641" s="1">
        <v>40.25</v>
      </c>
      <c r="X3641" s="1" t="s">
        <v>35</v>
      </c>
      <c r="Y3641" s="1">
        <v>40250.0</v>
      </c>
      <c r="Z3641" s="1"/>
      <c r="AA3641" s="1">
        <v>40250.0</v>
      </c>
      <c r="AB3641" s="1"/>
      <c r="AC3641" s="1" t="s">
        <v>36</v>
      </c>
      <c r="AD3641" s="1" t="s">
        <v>12695</v>
      </c>
      <c r="AE3641" s="1" t="s">
        <v>32</v>
      </c>
      <c r="AF3641" s="1" t="s">
        <v>33</v>
      </c>
      <c r="AG3641" s="1" t="s">
        <v>270</v>
      </c>
    </row>
    <row r="3642" spans="1:33">
      <c r="A3642" t="s">
        <v>12696</v>
      </c>
      <c r="B3642" t="s">
        <v>12697</v>
      </c>
      <c r="C3642" t="s">
        <v>569</v>
      </c>
      <c r="E3642" t="s">
        <v>12416</v>
      </c>
      <c r="F3642" t="s">
        <v>12341</v>
      </c>
      <c r="G3642">
        <v>1.36</v>
      </c>
      <c r="H3642">
        <v>1.36</v>
      </c>
      <c r="I3642" t="s">
        <v>570</v>
      </c>
      <c r="J3642" t="s">
        <v>571</v>
      </c>
      <c r="K3642" t="s">
        <v>31</v>
      </c>
      <c r="L3642" t="s">
        <v>32</v>
      </c>
      <c r="M3642" t="s">
        <v>33</v>
      </c>
      <c r="P3642" s="1" t="s">
        <v>12698</v>
      </c>
      <c r="Q3642" s="1" t="s">
        <v>12416</v>
      </c>
      <c r="R3642" s="1" t="s">
        <v>12416</v>
      </c>
      <c r="S3642" s="1"/>
      <c r="T3642" s="1" t="s">
        <v>569</v>
      </c>
      <c r="U3642" s="1"/>
      <c r="V3642" s="1">
        <v>1.36</v>
      </c>
      <c r="W3642" s="1">
        <v>1.36</v>
      </c>
      <c r="X3642" s="1" t="s">
        <v>35</v>
      </c>
      <c r="Y3642" s="1">
        <v>1360.0</v>
      </c>
      <c r="Z3642" s="1"/>
      <c r="AA3642" s="1">
        <v>1360.0</v>
      </c>
      <c r="AB3642" s="1"/>
      <c r="AC3642" s="1" t="s">
        <v>36</v>
      </c>
      <c r="AD3642" s="1" t="s">
        <v>12695</v>
      </c>
      <c r="AE3642" s="1" t="s">
        <v>32</v>
      </c>
      <c r="AF3642" s="1" t="s">
        <v>33</v>
      </c>
      <c r="AG3642" s="1" t="s">
        <v>571</v>
      </c>
    </row>
    <row r="3643" spans="1:33">
      <c r="A3643" t="s">
        <v>12699</v>
      </c>
      <c r="C3643" t="s">
        <v>3552</v>
      </c>
      <c r="E3643" t="s">
        <v>12416</v>
      </c>
      <c r="F3643" t="s">
        <v>12341</v>
      </c>
      <c r="G3643">
        <v>320.0</v>
      </c>
      <c r="H3643">
        <v>320.0</v>
      </c>
      <c r="I3643" t="s">
        <v>40</v>
      </c>
      <c r="J3643" t="s">
        <v>41</v>
      </c>
      <c r="K3643" t="s">
        <v>31</v>
      </c>
      <c r="L3643" t="s">
        <v>32</v>
      </c>
      <c r="M3643" t="s">
        <v>33</v>
      </c>
      <c r="P3643" s="1" t="s">
        <v>12700</v>
      </c>
      <c r="Q3643" s="1" t="s">
        <v>12416</v>
      </c>
      <c r="R3643" s="1" t="s">
        <v>11609</v>
      </c>
      <c r="S3643" s="1"/>
      <c r="T3643" s="1" t="s">
        <v>3554</v>
      </c>
      <c r="U3643" s="1" t="s">
        <v>3555</v>
      </c>
      <c r="V3643" s="1">
        <v>320.0</v>
      </c>
      <c r="W3643" s="1">
        <v>320.0</v>
      </c>
      <c r="X3643" s="1" t="s">
        <v>35</v>
      </c>
      <c r="Y3643" s="1">
        <v>320000.0</v>
      </c>
      <c r="Z3643" s="1"/>
      <c r="AA3643" s="1">
        <v>320000.0</v>
      </c>
      <c r="AB3643" s="1"/>
      <c r="AC3643" s="1" t="s">
        <v>36</v>
      </c>
      <c r="AD3643" s="1" t="s">
        <v>12701</v>
      </c>
      <c r="AE3643" s="1" t="s">
        <v>32</v>
      </c>
      <c r="AF3643" s="1" t="s">
        <v>33</v>
      </c>
      <c r="AG3643" s="1" t="s">
        <v>41</v>
      </c>
    </row>
    <row r="3644" spans="1:33">
      <c r="A3644" t="s">
        <v>12702</v>
      </c>
      <c r="B3644" t="s">
        <v>5943</v>
      </c>
      <c r="C3644" t="s">
        <v>5944</v>
      </c>
      <c r="D3644" t="s">
        <v>154</v>
      </c>
      <c r="E3644" t="s">
        <v>12416</v>
      </c>
      <c r="F3644" t="s">
        <v>12341</v>
      </c>
      <c r="G3644">
        <v>348.36</v>
      </c>
      <c r="H3644">
        <v>348.36</v>
      </c>
      <c r="I3644" t="s">
        <v>529</v>
      </c>
      <c r="J3644" t="s">
        <v>530</v>
      </c>
      <c r="K3644" t="s">
        <v>31</v>
      </c>
      <c r="L3644" t="s">
        <v>32</v>
      </c>
      <c r="M3644" t="s">
        <v>33</v>
      </c>
      <c r="P3644" s="1" t="s">
        <v>12703</v>
      </c>
      <c r="Q3644" s="1" t="s">
        <v>12416</v>
      </c>
      <c r="R3644" s="1" t="s">
        <v>11609</v>
      </c>
      <c r="S3644" s="1"/>
      <c r="T3644" s="1" t="s">
        <v>5944</v>
      </c>
      <c r="U3644" s="1"/>
      <c r="V3644" s="1">
        <v>348.36</v>
      </c>
      <c r="W3644" s="1">
        <v>348.36</v>
      </c>
      <c r="X3644" s="1" t="s">
        <v>35</v>
      </c>
      <c r="Y3644" s="1">
        <v>348360.0</v>
      </c>
      <c r="Z3644" s="1"/>
      <c r="AA3644" s="1">
        <v>348360.0</v>
      </c>
      <c r="AB3644" s="1"/>
      <c r="AC3644" s="1" t="s">
        <v>36</v>
      </c>
      <c r="AD3644" s="1" t="s">
        <v>12695</v>
      </c>
      <c r="AE3644" s="1" t="s">
        <v>32</v>
      </c>
      <c r="AF3644" s="1" t="s">
        <v>33</v>
      </c>
      <c r="AG3644" s="1" t="s">
        <v>530</v>
      </c>
    </row>
    <row r="3645" spans="1:33">
      <c r="A3645" t="s">
        <v>12704</v>
      </c>
      <c r="B3645" t="s">
        <v>7040</v>
      </c>
      <c r="C3645" t="s">
        <v>125</v>
      </c>
      <c r="E3645" t="s">
        <v>12416</v>
      </c>
      <c r="F3645" t="s">
        <v>12341</v>
      </c>
      <c r="G3645">
        <v>32.647</v>
      </c>
      <c r="H3645">
        <v>32.647</v>
      </c>
      <c r="I3645" t="s">
        <v>126</v>
      </c>
      <c r="J3645" t="s">
        <v>127</v>
      </c>
      <c r="K3645" t="s">
        <v>31</v>
      </c>
      <c r="L3645" t="s">
        <v>32</v>
      </c>
      <c r="M3645" t="s">
        <v>33</v>
      </c>
      <c r="P3645" s="1" t="s">
        <v>12705</v>
      </c>
      <c r="Q3645" s="1" t="s">
        <v>12416</v>
      </c>
      <c r="R3645" s="1" t="s">
        <v>12416</v>
      </c>
      <c r="S3645" s="1"/>
      <c r="T3645" s="1" t="s">
        <v>125</v>
      </c>
      <c r="U3645" s="1"/>
      <c r="V3645" s="1">
        <v>32.647</v>
      </c>
      <c r="W3645" s="1">
        <v>32.647</v>
      </c>
      <c r="X3645" s="1" t="s">
        <v>35</v>
      </c>
      <c r="Y3645" s="1">
        <v>32647.0</v>
      </c>
      <c r="Z3645" s="1"/>
      <c r="AA3645" s="1">
        <v>32647.0</v>
      </c>
      <c r="AB3645" s="1"/>
      <c r="AC3645" s="1" t="s">
        <v>36</v>
      </c>
      <c r="AD3645" s="1" t="s">
        <v>12706</v>
      </c>
      <c r="AE3645" s="1" t="s">
        <v>32</v>
      </c>
      <c r="AF3645" s="1" t="s">
        <v>33</v>
      </c>
      <c r="AG3645" s="1" t="s">
        <v>127</v>
      </c>
    </row>
    <row r="3646" spans="1:33">
      <c r="A3646" t="s">
        <v>12707</v>
      </c>
      <c r="B3646" t="s">
        <v>4178</v>
      </c>
      <c r="C3646" t="s">
        <v>4179</v>
      </c>
      <c r="E3646" t="s">
        <v>12416</v>
      </c>
      <c r="F3646" t="s">
        <v>12341</v>
      </c>
      <c r="G3646">
        <v>788.06</v>
      </c>
      <c r="H3646">
        <v>788.06</v>
      </c>
      <c r="I3646" t="s">
        <v>529</v>
      </c>
      <c r="J3646" t="s">
        <v>530</v>
      </c>
      <c r="K3646" t="s">
        <v>31</v>
      </c>
      <c r="L3646" t="s">
        <v>32</v>
      </c>
      <c r="M3646" t="s">
        <v>33</v>
      </c>
      <c r="P3646" s="1" t="s">
        <v>12708</v>
      </c>
      <c r="Q3646" s="1" t="s">
        <v>12416</v>
      </c>
      <c r="R3646" s="1" t="s">
        <v>11609</v>
      </c>
      <c r="S3646" s="1"/>
      <c r="T3646" s="1" t="s">
        <v>4179</v>
      </c>
      <c r="U3646" s="1"/>
      <c r="V3646" s="1">
        <v>788.06</v>
      </c>
      <c r="W3646" s="1">
        <v>788.06</v>
      </c>
      <c r="X3646" s="1" t="s">
        <v>35</v>
      </c>
      <c r="Y3646" s="1">
        <v>788060.0</v>
      </c>
      <c r="Z3646" s="1"/>
      <c r="AA3646" s="1">
        <v>788060.0</v>
      </c>
      <c r="AB3646" s="1"/>
      <c r="AC3646" s="1" t="s">
        <v>36</v>
      </c>
      <c r="AD3646" s="1" t="s">
        <v>12709</v>
      </c>
      <c r="AE3646" s="1" t="s">
        <v>32</v>
      </c>
      <c r="AF3646" s="1" t="s">
        <v>33</v>
      </c>
      <c r="AG3646" s="1" t="s">
        <v>530</v>
      </c>
    </row>
    <row r="3647" spans="1:33">
      <c r="A3647" t="s">
        <v>12710</v>
      </c>
      <c r="C3647" t="s">
        <v>517</v>
      </c>
      <c r="E3647" t="s">
        <v>12416</v>
      </c>
      <c r="F3647" t="s">
        <v>12341</v>
      </c>
      <c r="G3647">
        <v>575.0</v>
      </c>
      <c r="H3647">
        <v>575.0</v>
      </c>
      <c r="I3647" t="s">
        <v>126</v>
      </c>
      <c r="J3647" t="s">
        <v>127</v>
      </c>
      <c r="K3647" t="s">
        <v>31</v>
      </c>
      <c r="L3647" t="s">
        <v>32</v>
      </c>
      <c r="M3647" t="s">
        <v>33</v>
      </c>
      <c r="P3647" s="1" t="s">
        <v>12711</v>
      </c>
      <c r="Q3647" s="1" t="s">
        <v>12416</v>
      </c>
      <c r="R3647" s="1" t="s">
        <v>12416</v>
      </c>
      <c r="S3647" s="1"/>
      <c r="T3647" s="1" t="s">
        <v>517</v>
      </c>
      <c r="U3647" s="1"/>
      <c r="V3647" s="1">
        <v>575.0</v>
      </c>
      <c r="W3647" s="1">
        <v>575.0</v>
      </c>
      <c r="X3647" s="1" t="s">
        <v>35</v>
      </c>
      <c r="Y3647" s="1">
        <v>575000.0</v>
      </c>
      <c r="Z3647" s="1"/>
      <c r="AA3647" s="1">
        <v>575000.0</v>
      </c>
      <c r="AB3647" s="1"/>
      <c r="AC3647" s="1" t="s">
        <v>36</v>
      </c>
      <c r="AD3647" s="1" t="s">
        <v>12712</v>
      </c>
      <c r="AE3647" s="1" t="s">
        <v>32</v>
      </c>
      <c r="AF3647" s="1" t="s">
        <v>33</v>
      </c>
      <c r="AG3647" s="1" t="s">
        <v>127</v>
      </c>
    </row>
    <row r="3648" spans="1:33">
      <c r="A3648" t="s">
        <v>12713</v>
      </c>
      <c r="B3648" t="s">
        <v>2733</v>
      </c>
      <c r="C3648" t="s">
        <v>172</v>
      </c>
      <c r="E3648" t="s">
        <v>12416</v>
      </c>
      <c r="F3648" t="s">
        <v>12341</v>
      </c>
      <c r="G3648">
        <v>45.225</v>
      </c>
      <c r="H3648">
        <v>45.225</v>
      </c>
      <c r="I3648" t="s">
        <v>173</v>
      </c>
      <c r="J3648" t="s">
        <v>174</v>
      </c>
      <c r="K3648" t="s">
        <v>31</v>
      </c>
      <c r="L3648" t="s">
        <v>32</v>
      </c>
      <c r="M3648" t="s">
        <v>33</v>
      </c>
      <c r="P3648" s="1" t="s">
        <v>12714</v>
      </c>
      <c r="Q3648" s="1" t="s">
        <v>12416</v>
      </c>
      <c r="R3648" s="1" t="s">
        <v>12416</v>
      </c>
      <c r="S3648" s="1"/>
      <c r="T3648" s="1" t="s">
        <v>172</v>
      </c>
      <c r="U3648" s="1"/>
      <c r="V3648" s="1">
        <v>45.225</v>
      </c>
      <c r="W3648" s="1">
        <v>45.225</v>
      </c>
      <c r="X3648" s="1" t="s">
        <v>35</v>
      </c>
      <c r="Y3648" s="1">
        <v>45225.0</v>
      </c>
      <c r="Z3648" s="1"/>
      <c r="AA3648" s="1">
        <v>45225.0</v>
      </c>
      <c r="AB3648" s="1"/>
      <c r="AC3648" s="1" t="s">
        <v>36</v>
      </c>
      <c r="AD3648" s="1" t="s">
        <v>12715</v>
      </c>
      <c r="AE3648" s="1" t="s">
        <v>32</v>
      </c>
      <c r="AF3648" s="1" t="s">
        <v>33</v>
      </c>
      <c r="AG3648" s="1" t="s">
        <v>174</v>
      </c>
    </row>
    <row r="3649" spans="1:33">
      <c r="A3649" t="s">
        <v>12716</v>
      </c>
      <c r="C3649" t="s">
        <v>12717</v>
      </c>
      <c r="E3649" t="s">
        <v>12416</v>
      </c>
      <c r="F3649" t="s">
        <v>12341</v>
      </c>
      <c r="G3649">
        <v>1.68</v>
      </c>
      <c r="H3649">
        <v>1.68</v>
      </c>
      <c r="I3649" t="s">
        <v>94</v>
      </c>
      <c r="J3649" t="s">
        <v>95</v>
      </c>
      <c r="K3649" t="s">
        <v>31</v>
      </c>
      <c r="L3649" t="s">
        <v>32</v>
      </c>
      <c r="M3649" t="s">
        <v>33</v>
      </c>
      <c r="P3649" s="1" t="s">
        <v>12718</v>
      </c>
      <c r="Q3649" s="1" t="s">
        <v>12416</v>
      </c>
      <c r="R3649" s="1" t="s">
        <v>12416</v>
      </c>
      <c r="S3649" s="1"/>
      <c r="T3649" s="1" t="s">
        <v>12717</v>
      </c>
      <c r="U3649" s="1"/>
      <c r="V3649" s="1">
        <v>1.68</v>
      </c>
      <c r="W3649" s="1">
        <v>1.68</v>
      </c>
      <c r="X3649" s="1" t="s">
        <v>35</v>
      </c>
      <c r="Y3649" s="1">
        <v>1680000.0</v>
      </c>
      <c r="Z3649" s="1"/>
      <c r="AA3649" s="1">
        <v>1680000.0</v>
      </c>
      <c r="AB3649" s="1"/>
      <c r="AC3649" s="1" t="s">
        <v>36</v>
      </c>
      <c r="AD3649" s="1" t="s">
        <v>12719</v>
      </c>
      <c r="AE3649" s="1" t="s">
        <v>32</v>
      </c>
      <c r="AF3649" s="1" t="s">
        <v>33</v>
      </c>
      <c r="AG3649" s="1" t="s">
        <v>95</v>
      </c>
    </row>
    <row r="3650" spans="1:33">
      <c r="A3650" t="s">
        <v>12720</v>
      </c>
      <c r="C3650" t="s">
        <v>9464</v>
      </c>
      <c r="E3650" t="s">
        <v>12416</v>
      </c>
      <c r="F3650" t="s">
        <v>12341</v>
      </c>
      <c r="G3650">
        <v>640.0</v>
      </c>
      <c r="H3650">
        <v>640.0</v>
      </c>
      <c r="I3650" t="s">
        <v>94</v>
      </c>
      <c r="J3650" t="s">
        <v>95</v>
      </c>
      <c r="K3650" t="s">
        <v>31</v>
      </c>
      <c r="L3650" t="s">
        <v>32</v>
      </c>
      <c r="M3650" t="s">
        <v>33</v>
      </c>
      <c r="P3650" s="1" t="s">
        <v>12721</v>
      </c>
      <c r="Q3650" s="1" t="s">
        <v>12416</v>
      </c>
      <c r="R3650" s="1" t="s">
        <v>12416</v>
      </c>
      <c r="S3650" s="1"/>
      <c r="T3650" s="1" t="s">
        <v>9464</v>
      </c>
      <c r="U3650" s="1"/>
      <c r="V3650" s="1">
        <v>640.0</v>
      </c>
      <c r="W3650" s="1">
        <v>640.0</v>
      </c>
      <c r="X3650" s="1" t="s">
        <v>35</v>
      </c>
      <c r="Y3650" s="1">
        <v>640000.0</v>
      </c>
      <c r="Z3650" s="1"/>
      <c r="AA3650" s="1">
        <v>640000.0</v>
      </c>
      <c r="AB3650" s="1"/>
      <c r="AC3650" s="1" t="s">
        <v>36</v>
      </c>
      <c r="AD3650" s="1" t="s">
        <v>12722</v>
      </c>
      <c r="AE3650" s="1" t="s">
        <v>32</v>
      </c>
      <c r="AF3650" s="1" t="s">
        <v>33</v>
      </c>
      <c r="AG3650" s="1" t="s">
        <v>95</v>
      </c>
    </row>
    <row r="3651" spans="1:33">
      <c r="A3651" t="s">
        <v>12723</v>
      </c>
      <c r="C3651" t="s">
        <v>1016</v>
      </c>
      <c r="E3651" t="s">
        <v>12416</v>
      </c>
      <c r="F3651" t="s">
        <v>12341</v>
      </c>
      <c r="G3651">
        <v>508.0</v>
      </c>
      <c r="H3651">
        <v>508.0</v>
      </c>
      <c r="I3651" t="s">
        <v>269</v>
      </c>
      <c r="J3651" t="s">
        <v>270</v>
      </c>
      <c r="K3651" t="s">
        <v>31</v>
      </c>
      <c r="L3651" t="s">
        <v>32</v>
      </c>
      <c r="M3651" t="s">
        <v>33</v>
      </c>
      <c r="P3651" s="1" t="s">
        <v>12724</v>
      </c>
      <c r="Q3651" s="1" t="s">
        <v>12416</v>
      </c>
      <c r="R3651" s="1" t="s">
        <v>12416</v>
      </c>
      <c r="S3651" s="1"/>
      <c r="T3651" s="1" t="s">
        <v>1016</v>
      </c>
      <c r="U3651" s="1"/>
      <c r="V3651" s="1">
        <v>508.0</v>
      </c>
      <c r="W3651" s="1">
        <v>508.0</v>
      </c>
      <c r="X3651" s="1" t="s">
        <v>35</v>
      </c>
      <c r="Y3651" s="1">
        <v>508000.0</v>
      </c>
      <c r="Z3651" s="1"/>
      <c r="AA3651" s="1">
        <v>508000.0</v>
      </c>
      <c r="AB3651" s="1"/>
      <c r="AC3651" s="1" t="s">
        <v>36</v>
      </c>
      <c r="AD3651" s="1" t="s">
        <v>12725</v>
      </c>
      <c r="AE3651" s="1" t="s">
        <v>32</v>
      </c>
      <c r="AF3651" s="1" t="s">
        <v>33</v>
      </c>
      <c r="AG3651" s="1" t="s">
        <v>270</v>
      </c>
    </row>
    <row r="3652" spans="1:33">
      <c r="A3652" t="s">
        <v>12726</v>
      </c>
      <c r="B3652" t="s">
        <v>12727</v>
      </c>
      <c r="C3652" t="s">
        <v>26</v>
      </c>
      <c r="E3652" t="s">
        <v>12416</v>
      </c>
      <c r="F3652" t="s">
        <v>12341</v>
      </c>
      <c r="G3652">
        <v>3.0</v>
      </c>
      <c r="H3652">
        <v>3.0</v>
      </c>
      <c r="I3652" t="s">
        <v>29</v>
      </c>
      <c r="J3652" t="s">
        <v>30</v>
      </c>
      <c r="K3652" t="s">
        <v>31</v>
      </c>
      <c r="L3652" t="s">
        <v>32</v>
      </c>
      <c r="M3652" t="s">
        <v>33</v>
      </c>
      <c r="P3652" s="1" t="s">
        <v>12728</v>
      </c>
      <c r="Q3652" s="1" t="s">
        <v>12416</v>
      </c>
      <c r="R3652" s="1" t="s">
        <v>12416</v>
      </c>
      <c r="S3652" s="1"/>
      <c r="T3652" s="1" t="s">
        <v>26</v>
      </c>
      <c r="U3652" s="1"/>
      <c r="V3652" s="1">
        <v>3.0</v>
      </c>
      <c r="W3652" s="1">
        <v>3.0</v>
      </c>
      <c r="X3652" s="1" t="s">
        <v>35</v>
      </c>
      <c r="Y3652" s="1">
        <v>3000.0</v>
      </c>
      <c r="Z3652" s="1"/>
      <c r="AA3652" s="1">
        <v>3000.0</v>
      </c>
      <c r="AB3652" s="1"/>
      <c r="AC3652" s="1" t="s">
        <v>36</v>
      </c>
      <c r="AD3652" s="1" t="s">
        <v>12729</v>
      </c>
      <c r="AE3652" s="1" t="s">
        <v>32</v>
      </c>
      <c r="AF3652" s="1" t="s">
        <v>33</v>
      </c>
      <c r="AG3652" s="1" t="s">
        <v>30</v>
      </c>
    </row>
    <row r="3653" spans="1:33">
      <c r="A3653" t="s">
        <v>12730</v>
      </c>
      <c r="C3653" t="s">
        <v>2240</v>
      </c>
      <c r="E3653" t="s">
        <v>12416</v>
      </c>
      <c r="F3653" t="s">
        <v>12341</v>
      </c>
      <c r="G3653">
        <v>423.45</v>
      </c>
      <c r="H3653">
        <v>423.45</v>
      </c>
      <c r="I3653" t="s">
        <v>269</v>
      </c>
      <c r="J3653" t="s">
        <v>270</v>
      </c>
      <c r="K3653" t="s">
        <v>31</v>
      </c>
      <c r="L3653" t="s">
        <v>32</v>
      </c>
      <c r="M3653" t="s">
        <v>33</v>
      </c>
      <c r="P3653" s="1" t="s">
        <v>12731</v>
      </c>
      <c r="Q3653" s="1" t="s">
        <v>12416</v>
      </c>
      <c r="R3653" s="1" t="s">
        <v>12416</v>
      </c>
      <c r="S3653" s="1"/>
      <c r="T3653" s="1" t="s">
        <v>2240</v>
      </c>
      <c r="U3653" s="1"/>
      <c r="V3653" s="1">
        <v>423.45</v>
      </c>
      <c r="W3653" s="1">
        <v>423.45</v>
      </c>
      <c r="X3653" s="1" t="s">
        <v>35</v>
      </c>
      <c r="Y3653" s="1">
        <v>423450.0</v>
      </c>
      <c r="Z3653" s="1"/>
      <c r="AA3653" s="1">
        <v>423450.0</v>
      </c>
      <c r="AB3653" s="1"/>
      <c r="AC3653" s="1" t="s">
        <v>36</v>
      </c>
      <c r="AD3653" s="1" t="s">
        <v>12732</v>
      </c>
      <c r="AE3653" s="1" t="s">
        <v>32</v>
      </c>
      <c r="AF3653" s="1" t="s">
        <v>33</v>
      </c>
      <c r="AG3653" s="1" t="s">
        <v>270</v>
      </c>
    </row>
    <row r="3654" spans="1:33">
      <c r="A3654" t="s">
        <v>12733</v>
      </c>
      <c r="B3654" t="s">
        <v>1567</v>
      </c>
      <c r="C3654" t="s">
        <v>26</v>
      </c>
      <c r="E3654" t="s">
        <v>12416</v>
      </c>
      <c r="F3654" t="s">
        <v>12341</v>
      </c>
      <c r="G3654">
        <v>21.99</v>
      </c>
      <c r="H3654">
        <v>21.99</v>
      </c>
      <c r="I3654" t="s">
        <v>29</v>
      </c>
      <c r="J3654" t="s">
        <v>30</v>
      </c>
      <c r="K3654" t="s">
        <v>31</v>
      </c>
      <c r="L3654" t="s">
        <v>32</v>
      </c>
      <c r="M3654" t="s">
        <v>33</v>
      </c>
      <c r="P3654" s="1" t="s">
        <v>12734</v>
      </c>
      <c r="Q3654" s="1" t="s">
        <v>12416</v>
      </c>
      <c r="R3654" s="1" t="s">
        <v>12416</v>
      </c>
      <c r="S3654" s="1"/>
      <c r="T3654" s="1" t="s">
        <v>26</v>
      </c>
      <c r="U3654" s="1"/>
      <c r="V3654" s="1">
        <v>21.99</v>
      </c>
      <c r="W3654" s="1">
        <v>21.99</v>
      </c>
      <c r="X3654" s="1" t="s">
        <v>35</v>
      </c>
      <c r="Y3654" s="1">
        <v>21990.0</v>
      </c>
      <c r="Z3654" s="1"/>
      <c r="AA3654" s="1">
        <v>21990.0</v>
      </c>
      <c r="AB3654" s="1"/>
      <c r="AC3654" s="1" t="s">
        <v>36</v>
      </c>
      <c r="AD3654" s="1" t="s">
        <v>12735</v>
      </c>
      <c r="AE3654" s="1" t="s">
        <v>32</v>
      </c>
      <c r="AF3654" s="1" t="s">
        <v>33</v>
      </c>
      <c r="AG3654" s="1" t="s">
        <v>30</v>
      </c>
    </row>
    <row r="3655" spans="1:33">
      <c r="A3655" t="s">
        <v>12736</v>
      </c>
      <c r="B3655" t="s">
        <v>602</v>
      </c>
      <c r="C3655" t="s">
        <v>268</v>
      </c>
      <c r="E3655" t="s">
        <v>12416</v>
      </c>
      <c r="F3655" t="s">
        <v>12341</v>
      </c>
      <c r="G3655">
        <v>36.75</v>
      </c>
      <c r="H3655">
        <v>36.75</v>
      </c>
      <c r="I3655" t="s">
        <v>269</v>
      </c>
      <c r="J3655" t="s">
        <v>270</v>
      </c>
      <c r="K3655" t="s">
        <v>31</v>
      </c>
      <c r="L3655" t="s">
        <v>32</v>
      </c>
      <c r="M3655" t="s">
        <v>33</v>
      </c>
      <c r="P3655" s="1" t="s">
        <v>12737</v>
      </c>
      <c r="Q3655" s="1" t="s">
        <v>12416</v>
      </c>
      <c r="R3655" s="1" t="s">
        <v>12416</v>
      </c>
      <c r="S3655" s="1"/>
      <c r="T3655" s="1" t="s">
        <v>268</v>
      </c>
      <c r="U3655" s="1"/>
      <c r="V3655" s="1">
        <v>36.75</v>
      </c>
      <c r="W3655" s="1">
        <v>36.75</v>
      </c>
      <c r="X3655" s="1" t="s">
        <v>35</v>
      </c>
      <c r="Y3655" s="1">
        <v>36750.0</v>
      </c>
      <c r="Z3655" s="1"/>
      <c r="AA3655" s="1">
        <v>36750.0</v>
      </c>
      <c r="AB3655" s="1"/>
      <c r="AC3655" s="1" t="s">
        <v>36</v>
      </c>
      <c r="AD3655" s="1" t="s">
        <v>12729</v>
      </c>
      <c r="AE3655" s="1" t="s">
        <v>32</v>
      </c>
      <c r="AF3655" s="1" t="s">
        <v>33</v>
      </c>
      <c r="AG3655" s="1" t="s">
        <v>270</v>
      </c>
    </row>
    <row r="3656" spans="1:33">
      <c r="A3656" t="s">
        <v>12738</v>
      </c>
      <c r="C3656" t="s">
        <v>3274</v>
      </c>
      <c r="E3656" t="s">
        <v>12416</v>
      </c>
      <c r="F3656" t="s">
        <v>12341</v>
      </c>
      <c r="G3656">
        <v>1.312</v>
      </c>
      <c r="H3656">
        <v>1.312</v>
      </c>
      <c r="I3656" t="s">
        <v>269</v>
      </c>
      <c r="J3656" t="s">
        <v>270</v>
      </c>
      <c r="K3656" t="s">
        <v>31</v>
      </c>
      <c r="L3656" t="s">
        <v>32</v>
      </c>
      <c r="M3656" t="s">
        <v>33</v>
      </c>
      <c r="P3656" s="1" t="s">
        <v>12739</v>
      </c>
      <c r="Q3656" s="1" t="s">
        <v>12416</v>
      </c>
      <c r="R3656" s="1" t="s">
        <v>12416</v>
      </c>
      <c r="S3656" s="1"/>
      <c r="T3656" s="1" t="s">
        <v>3274</v>
      </c>
      <c r="U3656" s="1"/>
      <c r="V3656" s="1">
        <v>1.312</v>
      </c>
      <c r="W3656" s="1">
        <v>1.312</v>
      </c>
      <c r="X3656" s="1" t="s">
        <v>35</v>
      </c>
      <c r="Y3656" s="1">
        <v>1312000.0</v>
      </c>
      <c r="Z3656" s="1"/>
      <c r="AA3656" s="1">
        <v>1312000.0</v>
      </c>
      <c r="AB3656" s="1"/>
      <c r="AC3656" s="1" t="s">
        <v>36</v>
      </c>
      <c r="AD3656" s="1" t="s">
        <v>12740</v>
      </c>
      <c r="AE3656" s="1" t="s">
        <v>32</v>
      </c>
      <c r="AF3656" s="1" t="s">
        <v>33</v>
      </c>
      <c r="AG3656" s="1" t="s">
        <v>270</v>
      </c>
    </row>
    <row r="3657" spans="1:33">
      <c r="A3657" t="s">
        <v>12741</v>
      </c>
      <c r="C3657" t="s">
        <v>5458</v>
      </c>
      <c r="E3657" t="s">
        <v>12416</v>
      </c>
      <c r="F3657" t="s">
        <v>12341</v>
      </c>
      <c r="G3657">
        <v>17.5</v>
      </c>
      <c r="H3657">
        <v>17.5</v>
      </c>
      <c r="I3657" t="s">
        <v>269</v>
      </c>
      <c r="J3657" t="s">
        <v>270</v>
      </c>
      <c r="K3657" t="s">
        <v>31</v>
      </c>
      <c r="L3657" t="s">
        <v>32</v>
      </c>
      <c r="M3657" t="s">
        <v>33</v>
      </c>
      <c r="P3657" s="1" t="s">
        <v>12742</v>
      </c>
      <c r="Q3657" s="1" t="s">
        <v>12416</v>
      </c>
      <c r="R3657" s="1" t="s">
        <v>12416</v>
      </c>
      <c r="S3657" s="1"/>
      <c r="T3657" s="1" t="s">
        <v>5458</v>
      </c>
      <c r="U3657" s="1"/>
      <c r="V3657" s="1">
        <v>17.5</v>
      </c>
      <c r="W3657" s="1">
        <v>17.5</v>
      </c>
      <c r="X3657" s="1" t="s">
        <v>35</v>
      </c>
      <c r="Y3657" s="1">
        <v>17500.0</v>
      </c>
      <c r="Z3657" s="1"/>
      <c r="AA3657" s="1">
        <v>17500.0</v>
      </c>
      <c r="AB3657" s="1"/>
      <c r="AC3657" s="1" t="s">
        <v>36</v>
      </c>
      <c r="AD3657" s="1" t="s">
        <v>12743</v>
      </c>
      <c r="AE3657" s="1" t="s">
        <v>32</v>
      </c>
      <c r="AF3657" s="1" t="s">
        <v>33</v>
      </c>
      <c r="AG3657" s="1" t="s">
        <v>270</v>
      </c>
    </row>
    <row r="3658" spans="1:33">
      <c r="A3658" t="s">
        <v>12744</v>
      </c>
      <c r="B3658" t="s">
        <v>12745</v>
      </c>
      <c r="C3658" t="s">
        <v>172</v>
      </c>
      <c r="E3658" t="s">
        <v>12416</v>
      </c>
      <c r="F3658" t="s">
        <v>12341</v>
      </c>
      <c r="G3658">
        <v>2.52</v>
      </c>
      <c r="H3658">
        <v>2.52</v>
      </c>
      <c r="I3658" t="s">
        <v>173</v>
      </c>
      <c r="J3658" t="s">
        <v>174</v>
      </c>
      <c r="K3658" t="s">
        <v>31</v>
      </c>
      <c r="L3658" t="s">
        <v>32</v>
      </c>
      <c r="M3658" t="s">
        <v>33</v>
      </c>
      <c r="P3658" s="1" t="s">
        <v>12746</v>
      </c>
      <c r="Q3658" s="1" t="s">
        <v>12416</v>
      </c>
      <c r="R3658" s="1" t="s">
        <v>12416</v>
      </c>
      <c r="S3658" s="1"/>
      <c r="T3658" s="1" t="s">
        <v>172</v>
      </c>
      <c r="U3658" s="1"/>
      <c r="V3658" s="1">
        <v>2.52</v>
      </c>
      <c r="W3658" s="1">
        <v>2.52</v>
      </c>
      <c r="X3658" s="1" t="s">
        <v>35</v>
      </c>
      <c r="Y3658" s="1">
        <v>2520.0</v>
      </c>
      <c r="Z3658" s="1"/>
      <c r="AA3658" s="1">
        <v>2520.0</v>
      </c>
      <c r="AB3658" s="1"/>
      <c r="AC3658" s="1" t="s">
        <v>36</v>
      </c>
      <c r="AD3658" s="1" t="s">
        <v>12743</v>
      </c>
      <c r="AE3658" s="1" t="s">
        <v>32</v>
      </c>
      <c r="AF3658" s="1" t="s">
        <v>33</v>
      </c>
      <c r="AG3658" s="1" t="s">
        <v>174</v>
      </c>
    </row>
    <row r="3659" spans="1:33">
      <c r="A3659" t="s">
        <v>12747</v>
      </c>
      <c r="B3659" t="s">
        <v>12748</v>
      </c>
      <c r="C3659" t="s">
        <v>68</v>
      </c>
      <c r="E3659" t="s">
        <v>12416</v>
      </c>
      <c r="F3659" t="s">
        <v>12341</v>
      </c>
      <c r="G3659">
        <v>19.49</v>
      </c>
      <c r="H3659">
        <v>19.49</v>
      </c>
      <c r="I3659" t="s">
        <v>59</v>
      </c>
      <c r="J3659" t="s">
        <v>60</v>
      </c>
      <c r="K3659" t="s">
        <v>31</v>
      </c>
      <c r="L3659" t="s">
        <v>32</v>
      </c>
      <c r="M3659" t="s">
        <v>33</v>
      </c>
      <c r="P3659" s="1" t="s">
        <v>12749</v>
      </c>
      <c r="Q3659" s="1" t="s">
        <v>12416</v>
      </c>
      <c r="R3659" s="1" t="s">
        <v>12416</v>
      </c>
      <c r="S3659" s="1"/>
      <c r="T3659" s="1" t="s">
        <v>68</v>
      </c>
      <c r="U3659" s="1"/>
      <c r="V3659" s="1">
        <v>19.49</v>
      </c>
      <c r="W3659" s="1">
        <v>19.49</v>
      </c>
      <c r="X3659" s="1" t="s">
        <v>35</v>
      </c>
      <c r="Y3659" s="1">
        <v>19490.0</v>
      </c>
      <c r="Z3659" s="1"/>
      <c r="AA3659" s="1">
        <v>19490.0</v>
      </c>
      <c r="AB3659" s="1"/>
      <c r="AC3659" s="1" t="s">
        <v>36</v>
      </c>
      <c r="AD3659" s="1" t="s">
        <v>12750</v>
      </c>
      <c r="AE3659" s="1" t="s">
        <v>32</v>
      </c>
      <c r="AF3659" s="1" t="s">
        <v>33</v>
      </c>
      <c r="AG3659" s="1" t="s">
        <v>60</v>
      </c>
    </row>
    <row r="3660" spans="1:33">
      <c r="A3660" t="s">
        <v>12751</v>
      </c>
      <c r="B3660" t="s">
        <v>12752</v>
      </c>
      <c r="C3660" t="s">
        <v>47</v>
      </c>
      <c r="E3660" t="s">
        <v>12416</v>
      </c>
      <c r="F3660" t="s">
        <v>12341</v>
      </c>
      <c r="G3660">
        <v>36.99</v>
      </c>
      <c r="H3660">
        <v>36.99</v>
      </c>
      <c r="I3660" t="s">
        <v>2206</v>
      </c>
      <c r="J3660" t="s">
        <v>49</v>
      </c>
      <c r="K3660" t="s">
        <v>31</v>
      </c>
      <c r="L3660" t="s">
        <v>32</v>
      </c>
      <c r="M3660" t="s">
        <v>33</v>
      </c>
      <c r="P3660" s="1" t="s">
        <v>12753</v>
      </c>
      <c r="Q3660" s="1" t="s">
        <v>12416</v>
      </c>
      <c r="R3660" s="1" t="s">
        <v>12416</v>
      </c>
      <c r="S3660" s="1"/>
      <c r="T3660" s="1" t="s">
        <v>47</v>
      </c>
      <c r="U3660" s="1"/>
      <c r="V3660" s="1">
        <v>36.99</v>
      </c>
      <c r="W3660" s="1">
        <v>36.99</v>
      </c>
      <c r="X3660" s="1" t="s">
        <v>35</v>
      </c>
      <c r="Y3660" s="1">
        <v>36990.0</v>
      </c>
      <c r="Z3660" s="1"/>
      <c r="AA3660" s="1">
        <v>36990.0</v>
      </c>
      <c r="AB3660" s="1"/>
      <c r="AC3660" s="1" t="s">
        <v>36</v>
      </c>
      <c r="AD3660" s="1" t="s">
        <v>12754</v>
      </c>
      <c r="AE3660" s="1" t="s">
        <v>32</v>
      </c>
      <c r="AF3660" s="1" t="s">
        <v>33</v>
      </c>
      <c r="AG3660" s="1" t="s">
        <v>49</v>
      </c>
    </row>
    <row r="3661" spans="1:33">
      <c r="A3661" t="s">
        <v>12755</v>
      </c>
      <c r="C3661" t="s">
        <v>2266</v>
      </c>
      <c r="E3661" t="s">
        <v>12416</v>
      </c>
      <c r="F3661" t="s">
        <v>12341</v>
      </c>
      <c r="G3661">
        <v>1.051</v>
      </c>
      <c r="H3661">
        <v>1.051</v>
      </c>
      <c r="I3661" t="s">
        <v>269</v>
      </c>
      <c r="J3661" t="s">
        <v>270</v>
      </c>
      <c r="K3661" t="s">
        <v>31</v>
      </c>
      <c r="L3661" t="s">
        <v>32</v>
      </c>
      <c r="M3661" t="s">
        <v>33</v>
      </c>
      <c r="P3661" s="1" t="s">
        <v>12756</v>
      </c>
      <c r="Q3661" s="1" t="s">
        <v>12416</v>
      </c>
      <c r="R3661" s="1" t="s">
        <v>12416</v>
      </c>
      <c r="S3661" s="1"/>
      <c r="T3661" s="1" t="s">
        <v>2266</v>
      </c>
      <c r="U3661" s="1"/>
      <c r="V3661" s="1">
        <v>1.051</v>
      </c>
      <c r="W3661" s="1">
        <v>1.051</v>
      </c>
      <c r="X3661" s="1" t="s">
        <v>35</v>
      </c>
      <c r="Y3661" s="1">
        <v>1051000.0</v>
      </c>
      <c r="Z3661" s="1"/>
      <c r="AA3661" s="1">
        <v>1051000.0</v>
      </c>
      <c r="AB3661" s="1"/>
      <c r="AC3661" s="1" t="s">
        <v>36</v>
      </c>
      <c r="AD3661" s="1" t="s">
        <v>12757</v>
      </c>
      <c r="AE3661" s="1" t="s">
        <v>32</v>
      </c>
      <c r="AF3661" s="1" t="s">
        <v>33</v>
      </c>
      <c r="AG3661" s="1" t="s">
        <v>270</v>
      </c>
    </row>
    <row r="3662" spans="1:33">
      <c r="A3662" t="s">
        <v>12758</v>
      </c>
      <c r="B3662" t="s">
        <v>12759</v>
      </c>
      <c r="C3662" t="s">
        <v>569</v>
      </c>
      <c r="E3662" t="s">
        <v>12416</v>
      </c>
      <c r="F3662" t="s">
        <v>12341</v>
      </c>
      <c r="G3662">
        <v>87.96</v>
      </c>
      <c r="H3662">
        <v>87.96</v>
      </c>
      <c r="I3662" t="s">
        <v>570</v>
      </c>
      <c r="J3662" t="s">
        <v>571</v>
      </c>
      <c r="K3662" t="s">
        <v>31</v>
      </c>
      <c r="L3662" t="s">
        <v>32</v>
      </c>
      <c r="M3662" t="s">
        <v>33</v>
      </c>
      <c r="P3662" s="1" t="s">
        <v>12760</v>
      </c>
      <c r="Q3662" s="1" t="s">
        <v>12416</v>
      </c>
      <c r="R3662" s="1" t="s">
        <v>12416</v>
      </c>
      <c r="S3662" s="1"/>
      <c r="T3662" s="1" t="s">
        <v>569</v>
      </c>
      <c r="U3662" s="1"/>
      <c r="V3662" s="1">
        <v>87.96</v>
      </c>
      <c r="W3662" s="1">
        <v>87.96</v>
      </c>
      <c r="X3662" s="1" t="s">
        <v>35</v>
      </c>
      <c r="Y3662" s="1">
        <v>87960.0</v>
      </c>
      <c r="Z3662" s="1"/>
      <c r="AA3662" s="1">
        <v>87960.0</v>
      </c>
      <c r="AB3662" s="1"/>
      <c r="AC3662" s="1" t="s">
        <v>36</v>
      </c>
      <c r="AD3662" s="1" t="s">
        <v>12757</v>
      </c>
      <c r="AE3662" s="1" t="s">
        <v>32</v>
      </c>
      <c r="AF3662" s="1" t="s">
        <v>33</v>
      </c>
      <c r="AG3662" s="1" t="s">
        <v>571</v>
      </c>
    </row>
    <row r="3663" spans="1:33">
      <c r="A3663" t="s">
        <v>12761</v>
      </c>
      <c r="C3663" t="s">
        <v>3482</v>
      </c>
      <c r="E3663" t="s">
        <v>12416</v>
      </c>
      <c r="F3663" t="s">
        <v>12341</v>
      </c>
      <c r="G3663">
        <v>668.8</v>
      </c>
      <c r="H3663">
        <v>668.8</v>
      </c>
      <c r="I3663" t="s">
        <v>179</v>
      </c>
      <c r="J3663" t="s">
        <v>180</v>
      </c>
      <c r="K3663" t="s">
        <v>31</v>
      </c>
      <c r="L3663" t="s">
        <v>32</v>
      </c>
      <c r="M3663" t="s">
        <v>33</v>
      </c>
      <c r="P3663" s="1" t="s">
        <v>12762</v>
      </c>
      <c r="Q3663" s="1" t="s">
        <v>12416</v>
      </c>
      <c r="R3663" s="1" t="s">
        <v>12416</v>
      </c>
      <c r="S3663" s="1"/>
      <c r="T3663" s="1" t="s">
        <v>3482</v>
      </c>
      <c r="U3663" s="1"/>
      <c r="V3663" s="1">
        <v>668.8</v>
      </c>
      <c r="W3663" s="1">
        <v>668.8</v>
      </c>
      <c r="X3663" s="1" t="s">
        <v>35</v>
      </c>
      <c r="Y3663" s="1">
        <v>668800.0</v>
      </c>
      <c r="Z3663" s="1"/>
      <c r="AA3663" s="1">
        <v>668800.0</v>
      </c>
      <c r="AB3663" s="1"/>
      <c r="AC3663" s="1" t="s">
        <v>36</v>
      </c>
      <c r="AD3663" s="1" t="s">
        <v>12763</v>
      </c>
      <c r="AE3663" s="1" t="s">
        <v>32</v>
      </c>
      <c r="AF3663" s="1" t="s">
        <v>33</v>
      </c>
      <c r="AG3663" s="1" t="s">
        <v>180</v>
      </c>
    </row>
    <row r="3664" spans="1:33">
      <c r="A3664" t="s">
        <v>12764</v>
      </c>
      <c r="B3664" t="s">
        <v>9006</v>
      </c>
      <c r="C3664" t="s">
        <v>569</v>
      </c>
      <c r="E3664" t="s">
        <v>12416</v>
      </c>
      <c r="F3664" t="s">
        <v>12341</v>
      </c>
      <c r="G3664">
        <v>28.49</v>
      </c>
      <c r="H3664">
        <v>28.49</v>
      </c>
      <c r="I3664" t="s">
        <v>570</v>
      </c>
      <c r="J3664" t="s">
        <v>571</v>
      </c>
      <c r="K3664" t="s">
        <v>31</v>
      </c>
      <c r="L3664" t="s">
        <v>32</v>
      </c>
      <c r="M3664" t="s">
        <v>33</v>
      </c>
      <c r="P3664" s="1" t="s">
        <v>12765</v>
      </c>
      <c r="Q3664" s="1" t="s">
        <v>12416</v>
      </c>
      <c r="R3664" s="1" t="s">
        <v>12416</v>
      </c>
      <c r="S3664" s="1"/>
      <c r="T3664" s="1" t="s">
        <v>569</v>
      </c>
      <c r="U3664" s="1"/>
      <c r="V3664" s="1">
        <v>28.49</v>
      </c>
      <c r="W3664" s="1">
        <v>28.49</v>
      </c>
      <c r="X3664" s="1" t="s">
        <v>35</v>
      </c>
      <c r="Y3664" s="1">
        <v>28490.0</v>
      </c>
      <c r="Z3664" s="1"/>
      <c r="AA3664" s="1">
        <v>28490.0</v>
      </c>
      <c r="AB3664" s="1"/>
      <c r="AC3664" s="1" t="s">
        <v>36</v>
      </c>
      <c r="AD3664" s="1" t="s">
        <v>12766</v>
      </c>
      <c r="AE3664" s="1" t="s">
        <v>32</v>
      </c>
      <c r="AF3664" s="1" t="s">
        <v>33</v>
      </c>
      <c r="AG3664" s="1" t="s">
        <v>571</v>
      </c>
    </row>
    <row r="3665" spans="1:33">
      <c r="A3665" t="s">
        <v>12767</v>
      </c>
      <c r="C3665" t="s">
        <v>12768</v>
      </c>
      <c r="E3665" t="s">
        <v>12416</v>
      </c>
      <c r="F3665" t="s">
        <v>12341</v>
      </c>
      <c r="G3665">
        <v>1.426</v>
      </c>
      <c r="H3665">
        <v>1.426</v>
      </c>
      <c r="I3665" t="s">
        <v>269</v>
      </c>
      <c r="J3665" t="s">
        <v>270</v>
      </c>
      <c r="K3665" t="s">
        <v>31</v>
      </c>
      <c r="L3665" t="s">
        <v>32</v>
      </c>
      <c r="M3665" t="s">
        <v>33</v>
      </c>
      <c r="P3665" s="1" t="s">
        <v>12769</v>
      </c>
      <c r="Q3665" s="1" t="s">
        <v>12416</v>
      </c>
      <c r="R3665" s="1" t="s">
        <v>12416</v>
      </c>
      <c r="S3665" s="1"/>
      <c r="T3665" s="1" t="s">
        <v>12768</v>
      </c>
      <c r="U3665" s="1"/>
      <c r="V3665" s="1">
        <v>1.426</v>
      </c>
      <c r="W3665" s="1">
        <v>1.426</v>
      </c>
      <c r="X3665" s="1" t="s">
        <v>35</v>
      </c>
      <c r="Y3665" s="1">
        <v>1426800.0</v>
      </c>
      <c r="Z3665" s="1"/>
      <c r="AA3665" s="1">
        <v>1426800.0</v>
      </c>
      <c r="AB3665" s="1"/>
      <c r="AC3665" s="1" t="s">
        <v>36</v>
      </c>
      <c r="AD3665" s="1" t="s">
        <v>12770</v>
      </c>
      <c r="AE3665" s="1" t="s">
        <v>32</v>
      </c>
      <c r="AF3665" s="1" t="s">
        <v>33</v>
      </c>
      <c r="AG3665" s="1" t="s">
        <v>270</v>
      </c>
    </row>
    <row r="3666" spans="1:33">
      <c r="A3666" t="s">
        <v>12771</v>
      </c>
      <c r="B3666" t="s">
        <v>4983</v>
      </c>
      <c r="C3666" t="s">
        <v>68</v>
      </c>
      <c r="E3666" t="s">
        <v>12416</v>
      </c>
      <c r="F3666" t="s">
        <v>12341</v>
      </c>
      <c r="G3666">
        <v>44.98</v>
      </c>
      <c r="H3666">
        <v>44.98</v>
      </c>
      <c r="I3666" t="s">
        <v>59</v>
      </c>
      <c r="J3666" t="s">
        <v>60</v>
      </c>
      <c r="K3666" t="s">
        <v>31</v>
      </c>
      <c r="L3666" t="s">
        <v>32</v>
      </c>
      <c r="M3666" t="s">
        <v>33</v>
      </c>
      <c r="P3666" s="1" t="s">
        <v>12772</v>
      </c>
      <c r="Q3666" s="1" t="s">
        <v>12416</v>
      </c>
      <c r="R3666" s="1" t="s">
        <v>12416</v>
      </c>
      <c r="S3666" s="1"/>
      <c r="T3666" s="1" t="s">
        <v>68</v>
      </c>
      <c r="U3666" s="1"/>
      <c r="V3666" s="1">
        <v>44.98</v>
      </c>
      <c r="W3666" s="1">
        <v>44.98</v>
      </c>
      <c r="X3666" s="1" t="s">
        <v>35</v>
      </c>
      <c r="Y3666" s="1">
        <v>44980.0</v>
      </c>
      <c r="Z3666" s="1"/>
      <c r="AA3666" s="1">
        <v>44980.0</v>
      </c>
      <c r="AB3666" s="1"/>
      <c r="AC3666" s="1" t="s">
        <v>36</v>
      </c>
      <c r="AD3666" s="1" t="s">
        <v>12773</v>
      </c>
      <c r="AE3666" s="1" t="s">
        <v>32</v>
      </c>
      <c r="AF3666" s="1" t="s">
        <v>33</v>
      </c>
      <c r="AG3666" s="1" t="s">
        <v>60</v>
      </c>
    </row>
    <row r="3667" spans="1:33">
      <c r="A3667" t="s">
        <v>12774</v>
      </c>
      <c r="C3667" t="s">
        <v>2588</v>
      </c>
      <c r="E3667" t="s">
        <v>12416</v>
      </c>
      <c r="F3667" t="s">
        <v>12341</v>
      </c>
      <c r="G3667">
        <v>702.0</v>
      </c>
      <c r="H3667">
        <v>702.0</v>
      </c>
      <c r="I3667" t="s">
        <v>269</v>
      </c>
      <c r="J3667" t="s">
        <v>270</v>
      </c>
      <c r="K3667" t="s">
        <v>31</v>
      </c>
      <c r="L3667" t="s">
        <v>32</v>
      </c>
      <c r="M3667" t="s">
        <v>33</v>
      </c>
      <c r="P3667" s="1" t="s">
        <v>12775</v>
      </c>
      <c r="Q3667" s="1" t="s">
        <v>12416</v>
      </c>
      <c r="R3667" s="1" t="s">
        <v>12416</v>
      </c>
      <c r="S3667" s="1"/>
      <c r="T3667" s="1" t="s">
        <v>2588</v>
      </c>
      <c r="U3667" s="1"/>
      <c r="V3667" s="1">
        <v>702.0</v>
      </c>
      <c r="W3667" s="1">
        <v>702.0</v>
      </c>
      <c r="X3667" s="1" t="s">
        <v>35</v>
      </c>
      <c r="Y3667" s="1">
        <v>702000.0</v>
      </c>
      <c r="Z3667" s="1"/>
      <c r="AA3667" s="1">
        <v>702000.0</v>
      </c>
      <c r="AB3667" s="1"/>
      <c r="AC3667" s="1" t="s">
        <v>36</v>
      </c>
      <c r="AD3667" s="1" t="s">
        <v>12776</v>
      </c>
      <c r="AE3667" s="1" t="s">
        <v>32</v>
      </c>
      <c r="AF3667" s="1" t="s">
        <v>33</v>
      </c>
      <c r="AG3667" s="1" t="s">
        <v>270</v>
      </c>
    </row>
    <row r="3668" spans="1:33">
      <c r="A3668" t="s">
        <v>12777</v>
      </c>
      <c r="B3668" t="s">
        <v>8530</v>
      </c>
      <c r="C3668" t="s">
        <v>314</v>
      </c>
      <c r="E3668" t="s">
        <v>12416</v>
      </c>
      <c r="F3668" t="s">
        <v>12341</v>
      </c>
      <c r="G3668">
        <v>37.18</v>
      </c>
      <c r="H3668">
        <v>37.18</v>
      </c>
      <c r="I3668" t="s">
        <v>179</v>
      </c>
      <c r="J3668" t="s">
        <v>180</v>
      </c>
      <c r="K3668" t="s">
        <v>31</v>
      </c>
      <c r="L3668" t="s">
        <v>32</v>
      </c>
      <c r="M3668" t="s">
        <v>33</v>
      </c>
      <c r="P3668" s="1" t="s">
        <v>12778</v>
      </c>
      <c r="Q3668" s="1" t="s">
        <v>12416</v>
      </c>
      <c r="R3668" s="1" t="s">
        <v>12416</v>
      </c>
      <c r="S3668" s="1"/>
      <c r="T3668" s="1" t="s">
        <v>314</v>
      </c>
      <c r="U3668" s="1"/>
      <c r="V3668" s="1">
        <v>37.18</v>
      </c>
      <c r="W3668" s="1">
        <v>37.18</v>
      </c>
      <c r="X3668" s="1" t="s">
        <v>35</v>
      </c>
      <c r="Y3668" s="1">
        <v>37180.0</v>
      </c>
      <c r="Z3668" s="1"/>
      <c r="AA3668" s="1">
        <v>37180.0</v>
      </c>
      <c r="AB3668" s="1"/>
      <c r="AC3668" s="1" t="s">
        <v>36</v>
      </c>
      <c r="AD3668" s="1" t="s">
        <v>12776</v>
      </c>
      <c r="AE3668" s="1" t="s">
        <v>32</v>
      </c>
      <c r="AF3668" s="1" t="s">
        <v>33</v>
      </c>
      <c r="AG3668" s="1" t="s">
        <v>180</v>
      </c>
    </row>
    <row r="3669" spans="1:33">
      <c r="A3669" t="s">
        <v>12779</v>
      </c>
      <c r="C3669" t="s">
        <v>575</v>
      </c>
      <c r="E3669" t="s">
        <v>12416</v>
      </c>
      <c r="F3669" t="s">
        <v>12341</v>
      </c>
      <c r="G3669">
        <v>497.25</v>
      </c>
      <c r="H3669">
        <v>497.25</v>
      </c>
      <c r="I3669" t="s">
        <v>2206</v>
      </c>
      <c r="J3669" t="s">
        <v>49</v>
      </c>
      <c r="K3669" t="s">
        <v>31</v>
      </c>
      <c r="L3669" t="s">
        <v>32</v>
      </c>
      <c r="M3669" t="s">
        <v>33</v>
      </c>
      <c r="P3669" s="1" t="s">
        <v>12780</v>
      </c>
      <c r="Q3669" s="1" t="s">
        <v>12416</v>
      </c>
      <c r="R3669" s="1" t="s">
        <v>12416</v>
      </c>
      <c r="S3669" s="1"/>
      <c r="T3669" s="1" t="s">
        <v>575</v>
      </c>
      <c r="U3669" s="1"/>
      <c r="V3669" s="1">
        <v>497.25</v>
      </c>
      <c r="W3669" s="1">
        <v>497.25</v>
      </c>
      <c r="X3669" s="1" t="s">
        <v>35</v>
      </c>
      <c r="Y3669" s="1">
        <v>497250.0</v>
      </c>
      <c r="Z3669" s="1"/>
      <c r="AA3669" s="1">
        <v>497250.0</v>
      </c>
      <c r="AB3669" s="1"/>
      <c r="AC3669" s="1" t="s">
        <v>36</v>
      </c>
      <c r="AD3669" s="1" t="s">
        <v>12781</v>
      </c>
      <c r="AE3669" s="1" t="s">
        <v>32</v>
      </c>
      <c r="AF3669" s="1" t="s">
        <v>33</v>
      </c>
      <c r="AG3669" s="1" t="s">
        <v>49</v>
      </c>
    </row>
    <row r="3670" spans="1:33">
      <c r="A3670" t="s">
        <v>12782</v>
      </c>
      <c r="B3670" t="s">
        <v>9378</v>
      </c>
      <c r="C3670" t="s">
        <v>47</v>
      </c>
      <c r="E3670" t="s">
        <v>12416</v>
      </c>
      <c r="F3670" t="s">
        <v>12341</v>
      </c>
      <c r="G3670">
        <v>71.0</v>
      </c>
      <c r="H3670">
        <v>71.0</v>
      </c>
      <c r="I3670" t="s">
        <v>2206</v>
      </c>
      <c r="J3670" t="s">
        <v>49</v>
      </c>
      <c r="K3670" t="s">
        <v>31</v>
      </c>
      <c r="L3670" t="s">
        <v>32</v>
      </c>
      <c r="M3670" t="s">
        <v>33</v>
      </c>
      <c r="P3670" s="1" t="s">
        <v>12783</v>
      </c>
      <c r="Q3670" s="1" t="s">
        <v>12416</v>
      </c>
      <c r="R3670" s="1" t="s">
        <v>12416</v>
      </c>
      <c r="S3670" s="1"/>
      <c r="T3670" s="1" t="s">
        <v>47</v>
      </c>
      <c r="U3670" s="1"/>
      <c r="V3670" s="1">
        <v>71.0</v>
      </c>
      <c r="W3670" s="1">
        <v>71.0</v>
      </c>
      <c r="X3670" s="1" t="s">
        <v>35</v>
      </c>
      <c r="Y3670" s="1">
        <v>71000.0</v>
      </c>
      <c r="Z3670" s="1"/>
      <c r="AA3670" s="1">
        <v>71000.0</v>
      </c>
      <c r="AB3670" s="1"/>
      <c r="AC3670" s="1" t="s">
        <v>36</v>
      </c>
      <c r="AD3670" s="1" t="s">
        <v>12784</v>
      </c>
      <c r="AE3670" s="1" t="s">
        <v>32</v>
      </c>
      <c r="AF3670" s="1" t="s">
        <v>33</v>
      </c>
      <c r="AG3670" s="1" t="s">
        <v>49</v>
      </c>
    </row>
    <row r="3671" spans="1:33">
      <c r="A3671" t="s">
        <v>12785</v>
      </c>
      <c r="B3671" t="s">
        <v>12786</v>
      </c>
      <c r="C3671" t="s">
        <v>12787</v>
      </c>
      <c r="E3671" t="s">
        <v>12416</v>
      </c>
      <c r="F3671" t="s">
        <v>12341</v>
      </c>
      <c r="G3671">
        <v>3.082</v>
      </c>
      <c r="H3671">
        <v>3.082</v>
      </c>
      <c r="I3671" t="s">
        <v>59</v>
      </c>
      <c r="J3671" t="s">
        <v>60</v>
      </c>
      <c r="K3671" t="s">
        <v>31</v>
      </c>
      <c r="L3671" t="s">
        <v>32</v>
      </c>
      <c r="M3671" t="s">
        <v>33</v>
      </c>
      <c r="P3671" s="1" t="s">
        <v>12788</v>
      </c>
      <c r="Q3671" s="1" t="s">
        <v>12416</v>
      </c>
      <c r="R3671" s="1" t="s">
        <v>12416</v>
      </c>
      <c r="S3671" s="1"/>
      <c r="T3671" s="1" t="s">
        <v>12787</v>
      </c>
      <c r="U3671" s="1"/>
      <c r="V3671" s="1">
        <v>3.082</v>
      </c>
      <c r="W3671" s="1">
        <v>3.082</v>
      </c>
      <c r="X3671" s="1" t="s">
        <v>35</v>
      </c>
      <c r="Y3671" s="1">
        <v>3082000.0</v>
      </c>
      <c r="Z3671" s="1"/>
      <c r="AA3671" s="1">
        <v>3082000.0</v>
      </c>
      <c r="AB3671" s="1"/>
      <c r="AC3671" s="1" t="s">
        <v>36</v>
      </c>
      <c r="AD3671" s="1" t="s">
        <v>12784</v>
      </c>
      <c r="AE3671" s="1" t="s">
        <v>32</v>
      </c>
      <c r="AF3671" s="1" t="s">
        <v>33</v>
      </c>
      <c r="AG3671" s="1" t="s">
        <v>60</v>
      </c>
    </row>
    <row r="3672" spans="1:33">
      <c r="A3672" t="s">
        <v>12789</v>
      </c>
      <c r="B3672" t="s">
        <v>9507</v>
      </c>
      <c r="C3672" t="s">
        <v>172</v>
      </c>
      <c r="E3672" t="s">
        <v>12416</v>
      </c>
      <c r="F3672" t="s">
        <v>12341</v>
      </c>
      <c r="G3672">
        <v>145.476</v>
      </c>
      <c r="H3672">
        <v>145.476</v>
      </c>
      <c r="I3672" t="s">
        <v>173</v>
      </c>
      <c r="J3672" t="s">
        <v>174</v>
      </c>
      <c r="K3672" t="s">
        <v>31</v>
      </c>
      <c r="L3672" t="s">
        <v>32</v>
      </c>
      <c r="M3672" t="s">
        <v>33</v>
      </c>
      <c r="P3672" s="1" t="s">
        <v>12790</v>
      </c>
      <c r="Q3672" s="1" t="s">
        <v>12416</v>
      </c>
      <c r="R3672" s="1" t="s">
        <v>12416</v>
      </c>
      <c r="S3672" s="1"/>
      <c r="T3672" s="1" t="s">
        <v>172</v>
      </c>
      <c r="U3672" s="1"/>
      <c r="V3672" s="1">
        <v>145.476</v>
      </c>
      <c r="W3672" s="1">
        <v>145.476</v>
      </c>
      <c r="X3672" s="1" t="s">
        <v>35</v>
      </c>
      <c r="Y3672" s="1">
        <v>145476.0</v>
      </c>
      <c r="Z3672" s="1"/>
      <c r="AA3672" s="1">
        <v>145476.0</v>
      </c>
      <c r="AB3672" s="1"/>
      <c r="AC3672" s="1" t="s">
        <v>36</v>
      </c>
      <c r="AD3672" s="1" t="s">
        <v>12791</v>
      </c>
      <c r="AE3672" s="1" t="s">
        <v>32</v>
      </c>
      <c r="AF3672" s="1" t="s">
        <v>33</v>
      </c>
      <c r="AG3672" s="1" t="s">
        <v>174</v>
      </c>
    </row>
    <row r="3673" spans="1:33">
      <c r="A3673" t="s">
        <v>12792</v>
      </c>
      <c r="C3673" t="s">
        <v>2876</v>
      </c>
      <c r="E3673" t="s">
        <v>12416</v>
      </c>
      <c r="F3673" t="s">
        <v>12341</v>
      </c>
      <c r="G3673">
        <v>720.2</v>
      </c>
      <c r="H3673">
        <v>720.2</v>
      </c>
      <c r="I3673" t="s">
        <v>269</v>
      </c>
      <c r="J3673" t="s">
        <v>270</v>
      </c>
      <c r="K3673" t="s">
        <v>31</v>
      </c>
      <c r="L3673" t="s">
        <v>32</v>
      </c>
      <c r="M3673" t="s">
        <v>33</v>
      </c>
      <c r="P3673" s="1" t="s">
        <v>12793</v>
      </c>
      <c r="Q3673" s="1" t="s">
        <v>12416</v>
      </c>
      <c r="R3673" s="1" t="s">
        <v>12416</v>
      </c>
      <c r="S3673" s="1"/>
      <c r="T3673" s="1" t="s">
        <v>2876</v>
      </c>
      <c r="U3673" s="1"/>
      <c r="V3673" s="1">
        <v>720.2</v>
      </c>
      <c r="W3673" s="1">
        <v>720.2</v>
      </c>
      <c r="X3673" s="1" t="s">
        <v>35</v>
      </c>
      <c r="Y3673" s="1">
        <v>720200.0</v>
      </c>
      <c r="Z3673" s="1"/>
      <c r="AA3673" s="1">
        <v>720200.0</v>
      </c>
      <c r="AB3673" s="1"/>
      <c r="AC3673" s="1" t="s">
        <v>36</v>
      </c>
      <c r="AD3673" s="1" t="s">
        <v>12794</v>
      </c>
      <c r="AE3673" s="1" t="s">
        <v>32</v>
      </c>
      <c r="AF3673" s="1" t="s">
        <v>33</v>
      </c>
      <c r="AG3673" s="1" t="s">
        <v>270</v>
      </c>
    </row>
    <row r="3674" spans="1:33">
      <c r="A3674" t="s">
        <v>12795</v>
      </c>
      <c r="C3674" t="s">
        <v>586</v>
      </c>
      <c r="E3674" t="s">
        <v>12416</v>
      </c>
      <c r="F3674" t="s">
        <v>12341</v>
      </c>
      <c r="G3674">
        <v>17.5</v>
      </c>
      <c r="H3674">
        <v>17.5</v>
      </c>
      <c r="I3674" t="s">
        <v>269</v>
      </c>
      <c r="J3674" t="s">
        <v>270</v>
      </c>
      <c r="K3674" t="s">
        <v>31</v>
      </c>
      <c r="L3674" t="s">
        <v>32</v>
      </c>
      <c r="M3674" t="s">
        <v>33</v>
      </c>
      <c r="P3674" s="1" t="s">
        <v>12796</v>
      </c>
      <c r="Q3674" s="1" t="s">
        <v>12416</v>
      </c>
      <c r="R3674" s="1" t="s">
        <v>12416</v>
      </c>
      <c r="S3674" s="1"/>
      <c r="T3674" s="1" t="s">
        <v>586</v>
      </c>
      <c r="U3674" s="1"/>
      <c r="V3674" s="1">
        <v>17.5</v>
      </c>
      <c r="W3674" s="1">
        <v>17.5</v>
      </c>
      <c r="X3674" s="1" t="s">
        <v>35</v>
      </c>
      <c r="Y3674" s="1">
        <v>17500.0</v>
      </c>
      <c r="Z3674" s="1"/>
      <c r="AA3674" s="1">
        <v>17500.0</v>
      </c>
      <c r="AB3674" s="1"/>
      <c r="AC3674" s="1" t="s">
        <v>36</v>
      </c>
      <c r="AD3674" s="1" t="s">
        <v>12797</v>
      </c>
      <c r="AE3674" s="1" t="s">
        <v>32</v>
      </c>
      <c r="AF3674" s="1" t="s">
        <v>33</v>
      </c>
      <c r="AG3674" s="1" t="s">
        <v>270</v>
      </c>
    </row>
    <row r="3675" spans="1:33">
      <c r="A3675" t="s">
        <v>12798</v>
      </c>
      <c r="C3675" t="s">
        <v>1016</v>
      </c>
      <c r="E3675" t="s">
        <v>12416</v>
      </c>
      <c r="F3675" t="s">
        <v>12341</v>
      </c>
      <c r="G3675">
        <v>20.0</v>
      </c>
      <c r="H3675">
        <v>20.0</v>
      </c>
      <c r="I3675" t="s">
        <v>269</v>
      </c>
      <c r="J3675" t="s">
        <v>270</v>
      </c>
      <c r="K3675" t="s">
        <v>31</v>
      </c>
      <c r="L3675" t="s">
        <v>32</v>
      </c>
      <c r="M3675" t="s">
        <v>33</v>
      </c>
      <c r="P3675" s="1" t="s">
        <v>12799</v>
      </c>
      <c r="Q3675" s="1" t="s">
        <v>12416</v>
      </c>
      <c r="R3675" s="1" t="s">
        <v>12416</v>
      </c>
      <c r="S3675" s="1"/>
      <c r="T3675" s="1" t="s">
        <v>1016</v>
      </c>
      <c r="U3675" s="1"/>
      <c r="V3675" s="1">
        <v>20.0</v>
      </c>
      <c r="W3675" s="1">
        <v>20.0</v>
      </c>
      <c r="X3675" s="1" t="s">
        <v>35</v>
      </c>
      <c r="Y3675" s="1">
        <v>20000.0</v>
      </c>
      <c r="Z3675" s="1"/>
      <c r="AA3675" s="1">
        <v>20000.0</v>
      </c>
      <c r="AB3675" s="1"/>
      <c r="AC3675" s="1" t="s">
        <v>36</v>
      </c>
      <c r="AD3675" s="1" t="s">
        <v>12791</v>
      </c>
      <c r="AE3675" s="1" t="s">
        <v>32</v>
      </c>
      <c r="AF3675" s="1" t="s">
        <v>33</v>
      </c>
      <c r="AG3675" s="1" t="s">
        <v>270</v>
      </c>
    </row>
    <row r="3676" spans="1:33">
      <c r="A3676" t="s">
        <v>12800</v>
      </c>
      <c r="C3676" t="s">
        <v>2607</v>
      </c>
      <c r="E3676" t="s">
        <v>12416</v>
      </c>
      <c r="F3676" t="s">
        <v>12341</v>
      </c>
      <c r="G3676">
        <v>420.0</v>
      </c>
      <c r="H3676">
        <v>420.0</v>
      </c>
      <c r="I3676" t="s">
        <v>570</v>
      </c>
      <c r="J3676" t="s">
        <v>571</v>
      </c>
      <c r="K3676" t="s">
        <v>31</v>
      </c>
      <c r="L3676" t="s">
        <v>32</v>
      </c>
      <c r="M3676" t="s">
        <v>33</v>
      </c>
      <c r="P3676" s="1" t="s">
        <v>12801</v>
      </c>
      <c r="Q3676" s="1" t="s">
        <v>12416</v>
      </c>
      <c r="R3676" s="1" t="s">
        <v>12416</v>
      </c>
      <c r="S3676" s="1"/>
      <c r="T3676" s="1" t="s">
        <v>2607</v>
      </c>
      <c r="U3676" s="1"/>
      <c r="V3676" s="1">
        <v>420.0</v>
      </c>
      <c r="W3676" s="1">
        <v>420.0</v>
      </c>
      <c r="X3676" s="1" t="s">
        <v>35</v>
      </c>
      <c r="Y3676" s="1">
        <v>420000.0</v>
      </c>
      <c r="Z3676" s="1"/>
      <c r="AA3676" s="1">
        <v>420000.0</v>
      </c>
      <c r="AB3676" s="1"/>
      <c r="AC3676" s="1" t="s">
        <v>36</v>
      </c>
      <c r="AD3676" s="1" t="s">
        <v>12802</v>
      </c>
      <c r="AE3676" s="1" t="s">
        <v>32</v>
      </c>
      <c r="AF3676" s="1" t="s">
        <v>33</v>
      </c>
      <c r="AG3676" s="1" t="s">
        <v>571</v>
      </c>
    </row>
    <row r="3677" spans="1:33">
      <c r="A3677" t="s">
        <v>12803</v>
      </c>
      <c r="C3677" t="s">
        <v>2756</v>
      </c>
      <c r="E3677" t="s">
        <v>12416</v>
      </c>
      <c r="F3677" t="s">
        <v>12341</v>
      </c>
      <c r="G3677">
        <v>2.453</v>
      </c>
      <c r="H3677">
        <v>2.453</v>
      </c>
      <c r="I3677" t="s">
        <v>269</v>
      </c>
      <c r="J3677" t="s">
        <v>270</v>
      </c>
      <c r="K3677" t="s">
        <v>31</v>
      </c>
      <c r="L3677" t="s">
        <v>32</v>
      </c>
      <c r="M3677" t="s">
        <v>33</v>
      </c>
      <c r="P3677" s="1" t="s">
        <v>12804</v>
      </c>
      <c r="Q3677" s="1" t="s">
        <v>12416</v>
      </c>
      <c r="R3677" s="1" t="s">
        <v>12416</v>
      </c>
      <c r="S3677" s="1"/>
      <c r="T3677" s="1" t="s">
        <v>2756</v>
      </c>
      <c r="U3677" s="1"/>
      <c r="V3677" s="1">
        <v>2.453</v>
      </c>
      <c r="W3677" s="1">
        <v>2.453</v>
      </c>
      <c r="X3677" s="1" t="s">
        <v>35</v>
      </c>
      <c r="Y3677" s="1">
        <v>2453350</v>
      </c>
      <c r="Z3677" s="1"/>
      <c r="AA3677" s="1">
        <v>2453350</v>
      </c>
      <c r="AB3677" s="1"/>
      <c r="AC3677" s="1" t="s">
        <v>36</v>
      </c>
      <c r="AD3677" s="1" t="s">
        <v>12802</v>
      </c>
      <c r="AE3677" s="1" t="s">
        <v>32</v>
      </c>
      <c r="AF3677" s="1" t="s">
        <v>33</v>
      </c>
      <c r="AG3677" s="1" t="s">
        <v>270</v>
      </c>
    </row>
    <row r="3678" spans="1:33">
      <c r="A3678" t="s">
        <v>12805</v>
      </c>
      <c r="B3678" t="s">
        <v>12806</v>
      </c>
      <c r="C3678" t="s">
        <v>172</v>
      </c>
      <c r="E3678" t="s">
        <v>12416</v>
      </c>
      <c r="F3678" t="s">
        <v>12341</v>
      </c>
      <c r="G3678">
        <v>9.0</v>
      </c>
      <c r="H3678">
        <v>9.0</v>
      </c>
      <c r="I3678" t="s">
        <v>173</v>
      </c>
      <c r="J3678" t="s">
        <v>174</v>
      </c>
      <c r="K3678" t="s">
        <v>31</v>
      </c>
      <c r="L3678" t="s">
        <v>32</v>
      </c>
      <c r="M3678" t="s">
        <v>33</v>
      </c>
      <c r="P3678" s="1" t="s">
        <v>12807</v>
      </c>
      <c r="Q3678" s="1" t="s">
        <v>12416</v>
      </c>
      <c r="R3678" s="1" t="s">
        <v>12416</v>
      </c>
      <c r="S3678" s="1"/>
      <c r="T3678" s="1" t="s">
        <v>172</v>
      </c>
      <c r="U3678" s="1"/>
      <c r="V3678" s="1">
        <v>9.0</v>
      </c>
      <c r="W3678" s="1">
        <v>9.0</v>
      </c>
      <c r="X3678" s="1" t="s">
        <v>35</v>
      </c>
      <c r="Y3678" s="1">
        <v>9000.0</v>
      </c>
      <c r="Z3678" s="1"/>
      <c r="AA3678" s="1">
        <v>9000.0</v>
      </c>
      <c r="AB3678" s="1"/>
      <c r="AC3678" s="1" t="s">
        <v>36</v>
      </c>
      <c r="AD3678" s="1" t="s">
        <v>12808</v>
      </c>
      <c r="AE3678" s="1" t="s">
        <v>32</v>
      </c>
      <c r="AF3678" s="1" t="s">
        <v>33</v>
      </c>
      <c r="AG3678" s="1" t="s">
        <v>174</v>
      </c>
    </row>
    <row r="3679" spans="1:33">
      <c r="A3679" t="s">
        <v>12809</v>
      </c>
      <c r="B3679" t="s">
        <v>1158</v>
      </c>
      <c r="C3679" t="s">
        <v>172</v>
      </c>
      <c r="E3679" t="s">
        <v>12416</v>
      </c>
      <c r="F3679" t="s">
        <v>12341</v>
      </c>
      <c r="G3679">
        <v>10.58</v>
      </c>
      <c r="H3679">
        <v>10.58</v>
      </c>
      <c r="I3679" t="s">
        <v>173</v>
      </c>
      <c r="J3679" t="s">
        <v>174</v>
      </c>
      <c r="K3679" t="s">
        <v>31</v>
      </c>
      <c r="L3679" t="s">
        <v>32</v>
      </c>
      <c r="M3679" t="s">
        <v>33</v>
      </c>
      <c r="P3679" s="1" t="s">
        <v>12810</v>
      </c>
      <c r="Q3679" s="1" t="s">
        <v>12416</v>
      </c>
      <c r="R3679" s="1" t="s">
        <v>12416</v>
      </c>
      <c r="S3679" s="1"/>
      <c r="T3679" s="1" t="s">
        <v>172</v>
      </c>
      <c r="U3679" s="1"/>
      <c r="V3679" s="1">
        <v>10.58</v>
      </c>
      <c r="W3679" s="1">
        <v>10.58</v>
      </c>
      <c r="X3679" s="1" t="s">
        <v>35</v>
      </c>
      <c r="Y3679" s="1">
        <v>10580.0</v>
      </c>
      <c r="Z3679" s="1"/>
      <c r="AA3679" s="1">
        <v>10580.0</v>
      </c>
      <c r="AB3679" s="1"/>
      <c r="AC3679" s="1" t="s">
        <v>36</v>
      </c>
      <c r="AD3679" s="1" t="s">
        <v>12811</v>
      </c>
      <c r="AE3679" s="1" t="s">
        <v>32</v>
      </c>
      <c r="AF3679" s="1" t="s">
        <v>33</v>
      </c>
      <c r="AG3679" s="1" t="s">
        <v>174</v>
      </c>
    </row>
    <row r="3680" spans="1:33">
      <c r="A3680" t="s">
        <v>12812</v>
      </c>
      <c r="C3680" t="s">
        <v>12813</v>
      </c>
      <c r="E3680" t="s">
        <v>12416</v>
      </c>
      <c r="F3680" t="s">
        <v>12341</v>
      </c>
      <c r="G3680">
        <v>320.0</v>
      </c>
      <c r="H3680">
        <v>320.0</v>
      </c>
      <c r="I3680" t="s">
        <v>40</v>
      </c>
      <c r="J3680" t="s">
        <v>41</v>
      </c>
      <c r="K3680" t="s">
        <v>31</v>
      </c>
      <c r="L3680" t="s">
        <v>32</v>
      </c>
      <c r="M3680" t="s">
        <v>33</v>
      </c>
      <c r="P3680" s="1" t="s">
        <v>12814</v>
      </c>
      <c r="Q3680" s="1" t="s">
        <v>12416</v>
      </c>
      <c r="R3680" s="1" t="s">
        <v>11609</v>
      </c>
      <c r="S3680" s="1"/>
      <c r="T3680" s="1" t="s">
        <v>12813</v>
      </c>
      <c r="U3680" s="1"/>
      <c r="V3680" s="1">
        <v>320.0</v>
      </c>
      <c r="W3680" s="1">
        <v>320.0</v>
      </c>
      <c r="X3680" s="1" t="s">
        <v>35</v>
      </c>
      <c r="Y3680" s="1">
        <v>320000.0</v>
      </c>
      <c r="Z3680" s="1"/>
      <c r="AA3680" s="1">
        <v>320000.0</v>
      </c>
      <c r="AB3680" s="1"/>
      <c r="AC3680" s="1" t="s">
        <v>36</v>
      </c>
      <c r="AD3680" s="1" t="s">
        <v>12808</v>
      </c>
      <c r="AE3680" s="1" t="s">
        <v>32</v>
      </c>
      <c r="AF3680" s="1" t="s">
        <v>33</v>
      </c>
      <c r="AG3680" s="1" t="s">
        <v>41</v>
      </c>
    </row>
    <row r="3681" spans="1:33">
      <c r="A3681" t="s">
        <v>12815</v>
      </c>
      <c r="B3681" t="s">
        <v>9378</v>
      </c>
      <c r="C3681" t="s">
        <v>47</v>
      </c>
      <c r="E3681" t="s">
        <v>12416</v>
      </c>
      <c r="F3681" t="s">
        <v>12341</v>
      </c>
      <c r="G3681">
        <v>43.98</v>
      </c>
      <c r="H3681">
        <v>43.98</v>
      </c>
      <c r="I3681" t="s">
        <v>2206</v>
      </c>
      <c r="J3681" t="s">
        <v>49</v>
      </c>
      <c r="K3681" t="s">
        <v>31</v>
      </c>
      <c r="L3681" t="s">
        <v>32</v>
      </c>
      <c r="M3681" t="s">
        <v>33</v>
      </c>
      <c r="P3681" s="1" t="s">
        <v>12816</v>
      </c>
      <c r="Q3681" s="1" t="s">
        <v>12416</v>
      </c>
      <c r="R3681" s="1" t="s">
        <v>12416</v>
      </c>
      <c r="S3681" s="1"/>
      <c r="T3681" s="1" t="s">
        <v>47</v>
      </c>
      <c r="U3681" s="1"/>
      <c r="V3681" s="1">
        <v>43.98</v>
      </c>
      <c r="W3681" s="1">
        <v>43.98</v>
      </c>
      <c r="X3681" s="1" t="s">
        <v>35</v>
      </c>
      <c r="Y3681" s="1">
        <v>43980.0</v>
      </c>
      <c r="Z3681" s="1"/>
      <c r="AA3681" s="1">
        <v>43980.0</v>
      </c>
      <c r="AB3681" s="1"/>
      <c r="AC3681" s="1" t="s">
        <v>36</v>
      </c>
      <c r="AD3681" s="1" t="s">
        <v>12808</v>
      </c>
      <c r="AE3681" s="1" t="s">
        <v>32</v>
      </c>
      <c r="AF3681" s="1" t="s">
        <v>33</v>
      </c>
      <c r="AG3681" s="1" t="s">
        <v>49</v>
      </c>
    </row>
    <row r="3682" spans="1:33">
      <c r="A3682" t="s">
        <v>12817</v>
      </c>
      <c r="C3682" t="s">
        <v>12818</v>
      </c>
      <c r="E3682" t="s">
        <v>12416</v>
      </c>
      <c r="F3682" t="s">
        <v>12341</v>
      </c>
      <c r="G3682">
        <v>1.76</v>
      </c>
      <c r="H3682">
        <v>1.76</v>
      </c>
      <c r="I3682" t="s">
        <v>40</v>
      </c>
      <c r="J3682" t="s">
        <v>41</v>
      </c>
      <c r="K3682" t="s">
        <v>31</v>
      </c>
      <c r="L3682" t="s">
        <v>32</v>
      </c>
      <c r="M3682" t="s">
        <v>33</v>
      </c>
      <c r="P3682" s="1" t="s">
        <v>12819</v>
      </c>
      <c r="Q3682" s="1" t="s">
        <v>12416</v>
      </c>
      <c r="R3682" s="1" t="s">
        <v>11609</v>
      </c>
      <c r="S3682" s="1"/>
      <c r="T3682" s="1" t="s">
        <v>12818</v>
      </c>
      <c r="U3682" s="1"/>
      <c r="V3682" s="1">
        <v>1.76</v>
      </c>
      <c r="W3682" s="1">
        <v>1.76</v>
      </c>
      <c r="X3682" s="1" t="s">
        <v>35</v>
      </c>
      <c r="Y3682" s="1">
        <v>1760000.0</v>
      </c>
      <c r="Z3682" s="1"/>
      <c r="AA3682" s="1">
        <v>1760000.0</v>
      </c>
      <c r="AB3682" s="1"/>
      <c r="AC3682" s="1" t="s">
        <v>36</v>
      </c>
      <c r="AD3682" s="1" t="s">
        <v>12820</v>
      </c>
      <c r="AE3682" s="1" t="s">
        <v>32</v>
      </c>
      <c r="AF3682" s="1" t="s">
        <v>33</v>
      </c>
      <c r="AG3682" s="1" t="s">
        <v>41</v>
      </c>
    </row>
    <row r="3683" spans="1:33">
      <c r="A3683" t="s">
        <v>12821</v>
      </c>
      <c r="C3683" t="s">
        <v>2787</v>
      </c>
      <c r="E3683" t="s">
        <v>12416</v>
      </c>
      <c r="F3683" t="s">
        <v>12341</v>
      </c>
      <c r="G3683">
        <v>940.0</v>
      </c>
      <c r="H3683">
        <v>940.0</v>
      </c>
      <c r="I3683" t="s">
        <v>173</v>
      </c>
      <c r="J3683" t="s">
        <v>174</v>
      </c>
      <c r="K3683" t="s">
        <v>31</v>
      </c>
      <c r="L3683" t="s">
        <v>32</v>
      </c>
      <c r="M3683" t="s">
        <v>33</v>
      </c>
      <c r="P3683" s="1" t="s">
        <v>12822</v>
      </c>
      <c r="Q3683" s="1" t="s">
        <v>12416</v>
      </c>
      <c r="R3683" s="1" t="s">
        <v>12416</v>
      </c>
      <c r="S3683" s="1"/>
      <c r="T3683" s="1" t="s">
        <v>2789</v>
      </c>
      <c r="U3683" s="1" t="s">
        <v>2790</v>
      </c>
      <c r="V3683" s="1">
        <v>940.0</v>
      </c>
      <c r="W3683" s="1">
        <v>940.0</v>
      </c>
      <c r="X3683" s="1" t="s">
        <v>35</v>
      </c>
      <c r="Y3683" s="1">
        <v>4140000.0</v>
      </c>
      <c r="Z3683" s="1">
        <v>-3200000</v>
      </c>
      <c r="AA3683" s="1">
        <v>4140000.0</v>
      </c>
      <c r="AB3683" s="1">
        <v>-3200000</v>
      </c>
      <c r="AC3683" s="1" t="s">
        <v>36</v>
      </c>
      <c r="AD3683" s="1" t="s">
        <v>12823</v>
      </c>
      <c r="AE3683" s="1" t="s">
        <v>32</v>
      </c>
      <c r="AF3683" s="1" t="s">
        <v>33</v>
      </c>
      <c r="AG3683" s="1" t="s">
        <v>174</v>
      </c>
    </row>
    <row r="3684" spans="1:33">
      <c r="A3684" t="s">
        <v>12824</v>
      </c>
      <c r="B3684" t="s">
        <v>4143</v>
      </c>
      <c r="C3684" t="s">
        <v>68</v>
      </c>
      <c r="E3684" t="s">
        <v>12416</v>
      </c>
      <c r="F3684" t="s">
        <v>12341</v>
      </c>
      <c r="G3684">
        <v>30.875</v>
      </c>
      <c r="H3684">
        <v>30.875</v>
      </c>
      <c r="I3684" t="s">
        <v>59</v>
      </c>
      <c r="J3684" t="s">
        <v>60</v>
      </c>
      <c r="K3684" t="s">
        <v>31</v>
      </c>
      <c r="L3684" t="s">
        <v>32</v>
      </c>
      <c r="M3684" t="s">
        <v>33</v>
      </c>
      <c r="P3684" s="1" t="s">
        <v>12825</v>
      </c>
      <c r="Q3684" s="1" t="s">
        <v>12416</v>
      </c>
      <c r="R3684" s="1" t="s">
        <v>12416</v>
      </c>
      <c r="S3684" s="1"/>
      <c r="T3684" s="1" t="s">
        <v>68</v>
      </c>
      <c r="U3684" s="1"/>
      <c r="V3684" s="1">
        <v>30.875</v>
      </c>
      <c r="W3684" s="1">
        <v>30.875</v>
      </c>
      <c r="X3684" s="1" t="s">
        <v>35</v>
      </c>
      <c r="Y3684" s="1">
        <v>30875.0</v>
      </c>
      <c r="Z3684" s="1"/>
      <c r="AA3684" s="1">
        <v>30875.0</v>
      </c>
      <c r="AB3684" s="1"/>
      <c r="AC3684" s="1" t="s">
        <v>36</v>
      </c>
      <c r="AD3684" s="1" t="s">
        <v>12826</v>
      </c>
      <c r="AE3684" s="1" t="s">
        <v>32</v>
      </c>
      <c r="AF3684" s="1" t="s">
        <v>33</v>
      </c>
      <c r="AG3684" s="1" t="s">
        <v>60</v>
      </c>
    </row>
    <row r="3685" spans="1:33">
      <c r="A3685" t="s">
        <v>12827</v>
      </c>
      <c r="C3685" t="s">
        <v>4585</v>
      </c>
      <c r="E3685" t="s">
        <v>12416</v>
      </c>
      <c r="F3685" t="s">
        <v>12341</v>
      </c>
      <c r="G3685">
        <v>859.5</v>
      </c>
      <c r="H3685">
        <v>859.5</v>
      </c>
      <c r="I3685" t="s">
        <v>269</v>
      </c>
      <c r="J3685" t="s">
        <v>270</v>
      </c>
      <c r="K3685" t="s">
        <v>31</v>
      </c>
      <c r="L3685" t="s">
        <v>32</v>
      </c>
      <c r="M3685" t="s">
        <v>33</v>
      </c>
      <c r="P3685" s="1" t="s">
        <v>12828</v>
      </c>
      <c r="Q3685" s="1" t="s">
        <v>12416</v>
      </c>
      <c r="R3685" s="1" t="s">
        <v>12416</v>
      </c>
      <c r="S3685" s="1"/>
      <c r="T3685" s="1" t="s">
        <v>4585</v>
      </c>
      <c r="U3685" s="1"/>
      <c r="V3685" s="1">
        <v>859.5</v>
      </c>
      <c r="W3685" s="1">
        <v>859.5</v>
      </c>
      <c r="X3685" s="1" t="s">
        <v>35</v>
      </c>
      <c r="Y3685" s="1">
        <v>859500.0</v>
      </c>
      <c r="Z3685" s="1"/>
      <c r="AA3685" s="1">
        <v>859500.0</v>
      </c>
      <c r="AB3685" s="1"/>
      <c r="AC3685" s="1" t="s">
        <v>36</v>
      </c>
      <c r="AD3685" s="1" t="s">
        <v>12820</v>
      </c>
      <c r="AE3685" s="1" t="s">
        <v>32</v>
      </c>
      <c r="AF3685" s="1" t="s">
        <v>33</v>
      </c>
      <c r="AG3685" s="1" t="s">
        <v>270</v>
      </c>
    </row>
    <row r="3686" spans="1:33">
      <c r="A3686" t="s">
        <v>12829</v>
      </c>
      <c r="B3686" t="s">
        <v>12830</v>
      </c>
      <c r="C3686" t="s">
        <v>125</v>
      </c>
      <c r="E3686" t="s">
        <v>12416</v>
      </c>
      <c r="F3686" t="s">
        <v>12341</v>
      </c>
      <c r="G3686">
        <v>175.92</v>
      </c>
      <c r="H3686">
        <v>175.92</v>
      </c>
      <c r="I3686" t="s">
        <v>126</v>
      </c>
      <c r="J3686" t="s">
        <v>127</v>
      </c>
      <c r="K3686" t="s">
        <v>31</v>
      </c>
      <c r="L3686" t="s">
        <v>32</v>
      </c>
      <c r="M3686" t="s">
        <v>33</v>
      </c>
      <c r="P3686" s="1" t="s">
        <v>12831</v>
      </c>
      <c r="Q3686" s="1" t="s">
        <v>12416</v>
      </c>
      <c r="R3686" s="1" t="s">
        <v>12416</v>
      </c>
      <c r="S3686" s="1"/>
      <c r="T3686" s="1" t="s">
        <v>125</v>
      </c>
      <c r="U3686" s="1"/>
      <c r="V3686" s="1">
        <v>175.92</v>
      </c>
      <c r="W3686" s="1">
        <v>175.92</v>
      </c>
      <c r="X3686" s="1" t="s">
        <v>35</v>
      </c>
      <c r="Y3686" s="1">
        <v>175920.0</v>
      </c>
      <c r="Z3686" s="1"/>
      <c r="AA3686" s="1">
        <v>175920.0</v>
      </c>
      <c r="AB3686" s="1"/>
      <c r="AC3686" s="1" t="s">
        <v>36</v>
      </c>
      <c r="AD3686" s="1" t="s">
        <v>12832</v>
      </c>
      <c r="AE3686" s="1" t="s">
        <v>32</v>
      </c>
      <c r="AF3686" s="1" t="s">
        <v>33</v>
      </c>
      <c r="AG3686" s="1" t="s">
        <v>127</v>
      </c>
    </row>
    <row r="3687" spans="1:33">
      <c r="A3687" t="s">
        <v>12833</v>
      </c>
      <c r="C3687" t="s">
        <v>12834</v>
      </c>
      <c r="E3687" t="s">
        <v>12416</v>
      </c>
      <c r="F3687" t="s">
        <v>12341</v>
      </c>
      <c r="G3687">
        <v>328.0</v>
      </c>
      <c r="H3687">
        <v>328.0</v>
      </c>
      <c r="I3687" t="s">
        <v>269</v>
      </c>
      <c r="J3687" t="s">
        <v>270</v>
      </c>
      <c r="K3687" t="s">
        <v>31</v>
      </c>
      <c r="L3687" t="s">
        <v>32</v>
      </c>
      <c r="M3687" t="s">
        <v>33</v>
      </c>
      <c r="P3687" s="1" t="s">
        <v>12835</v>
      </c>
      <c r="Q3687" s="1" t="s">
        <v>12416</v>
      </c>
      <c r="R3687" s="1" t="s">
        <v>12416</v>
      </c>
      <c r="S3687" s="1"/>
      <c r="T3687" s="1" t="s">
        <v>12834</v>
      </c>
      <c r="U3687" s="1"/>
      <c r="V3687" s="1">
        <v>328.0</v>
      </c>
      <c r="W3687" s="1">
        <v>328.0</v>
      </c>
      <c r="X3687" s="1" t="s">
        <v>35</v>
      </c>
      <c r="Y3687" s="1">
        <v>328000.0</v>
      </c>
      <c r="Z3687" s="1"/>
      <c r="AA3687" s="1">
        <v>328000.0</v>
      </c>
      <c r="AB3687" s="1"/>
      <c r="AC3687" s="1" t="s">
        <v>36</v>
      </c>
      <c r="AD3687" s="1" t="s">
        <v>12836</v>
      </c>
      <c r="AE3687" s="1" t="s">
        <v>32</v>
      </c>
      <c r="AF3687" s="1" t="s">
        <v>33</v>
      </c>
      <c r="AG3687" s="1" t="s">
        <v>270</v>
      </c>
    </row>
    <row r="3688" spans="1:33">
      <c r="A3688" t="s">
        <v>12837</v>
      </c>
      <c r="B3688" t="s">
        <v>2949</v>
      </c>
      <c r="C3688" t="s">
        <v>314</v>
      </c>
      <c r="E3688" t="s">
        <v>12416</v>
      </c>
      <c r="F3688" t="s">
        <v>12341</v>
      </c>
      <c r="G3688">
        <v>74.67</v>
      </c>
      <c r="H3688">
        <v>74.67</v>
      </c>
      <c r="I3688" t="s">
        <v>179</v>
      </c>
      <c r="J3688" t="s">
        <v>180</v>
      </c>
      <c r="K3688" t="s">
        <v>31</v>
      </c>
      <c r="L3688" t="s">
        <v>32</v>
      </c>
      <c r="M3688" t="s">
        <v>33</v>
      </c>
      <c r="P3688" s="1" t="s">
        <v>12838</v>
      </c>
      <c r="Q3688" s="1" t="s">
        <v>12416</v>
      </c>
      <c r="R3688" s="1" t="s">
        <v>12416</v>
      </c>
      <c r="S3688" s="1"/>
      <c r="T3688" s="1" t="s">
        <v>314</v>
      </c>
      <c r="U3688" s="1"/>
      <c r="V3688" s="1">
        <v>74.67</v>
      </c>
      <c r="W3688" s="1">
        <v>74.67</v>
      </c>
      <c r="X3688" s="1" t="s">
        <v>35</v>
      </c>
      <c r="Y3688" s="1">
        <v>74670.0</v>
      </c>
      <c r="Z3688" s="1"/>
      <c r="AA3688" s="1">
        <v>74670.0</v>
      </c>
      <c r="AB3688" s="1"/>
      <c r="AC3688" s="1" t="s">
        <v>36</v>
      </c>
      <c r="AD3688" s="1" t="s">
        <v>12839</v>
      </c>
      <c r="AE3688" s="1" t="s">
        <v>32</v>
      </c>
      <c r="AF3688" s="1" t="s">
        <v>33</v>
      </c>
      <c r="AG3688" s="1" t="s">
        <v>180</v>
      </c>
    </row>
    <row r="3689" spans="1:33">
      <c r="A3689" t="s">
        <v>12840</v>
      </c>
      <c r="C3689" t="s">
        <v>10179</v>
      </c>
      <c r="E3689" t="s">
        <v>12416</v>
      </c>
      <c r="F3689" t="s">
        <v>12341</v>
      </c>
      <c r="G3689">
        <v>185.0</v>
      </c>
      <c r="H3689">
        <v>185.0</v>
      </c>
      <c r="I3689" t="s">
        <v>2206</v>
      </c>
      <c r="J3689" t="s">
        <v>49</v>
      </c>
      <c r="K3689" t="s">
        <v>31</v>
      </c>
      <c r="L3689" t="s">
        <v>32</v>
      </c>
      <c r="M3689" t="s">
        <v>33</v>
      </c>
      <c r="P3689" s="1" t="s">
        <v>12841</v>
      </c>
      <c r="Q3689" s="1" t="s">
        <v>12416</v>
      </c>
      <c r="R3689" s="1" t="s">
        <v>12416</v>
      </c>
      <c r="S3689" s="1"/>
      <c r="T3689" s="1" t="s">
        <v>10179</v>
      </c>
      <c r="U3689" s="1"/>
      <c r="V3689" s="1">
        <v>185.0</v>
      </c>
      <c r="W3689" s="1">
        <v>185.0</v>
      </c>
      <c r="X3689" s="1" t="s">
        <v>35</v>
      </c>
      <c r="Y3689" s="1">
        <v>185000.0</v>
      </c>
      <c r="Z3689" s="1"/>
      <c r="AA3689" s="1">
        <v>185000.0</v>
      </c>
      <c r="AB3689" s="1"/>
      <c r="AC3689" s="1" t="s">
        <v>36</v>
      </c>
      <c r="AD3689" s="1" t="s">
        <v>12842</v>
      </c>
      <c r="AE3689" s="1" t="s">
        <v>32</v>
      </c>
      <c r="AF3689" s="1" t="s">
        <v>33</v>
      </c>
      <c r="AG3689" s="1" t="s">
        <v>49</v>
      </c>
    </row>
    <row r="3690" spans="1:33">
      <c r="A3690" t="s">
        <v>12843</v>
      </c>
      <c r="B3690" t="s">
        <v>1306</v>
      </c>
      <c r="C3690" t="s">
        <v>268</v>
      </c>
      <c r="E3690" t="s">
        <v>12416</v>
      </c>
      <c r="F3690" t="s">
        <v>12341</v>
      </c>
      <c r="G3690">
        <v>105.15</v>
      </c>
      <c r="H3690">
        <v>105.15</v>
      </c>
      <c r="I3690" t="s">
        <v>269</v>
      </c>
      <c r="J3690" t="s">
        <v>270</v>
      </c>
      <c r="K3690" t="s">
        <v>31</v>
      </c>
      <c r="L3690" t="s">
        <v>32</v>
      </c>
      <c r="M3690" t="s">
        <v>33</v>
      </c>
      <c r="P3690" s="1" t="s">
        <v>12844</v>
      </c>
      <c r="Q3690" s="1" t="s">
        <v>12416</v>
      </c>
      <c r="R3690" s="1" t="s">
        <v>12416</v>
      </c>
      <c r="S3690" s="1"/>
      <c r="T3690" s="1" t="s">
        <v>268</v>
      </c>
      <c r="U3690" s="1"/>
      <c r="V3690" s="1">
        <v>105.15</v>
      </c>
      <c r="W3690" s="1">
        <v>105.15</v>
      </c>
      <c r="X3690" s="1" t="s">
        <v>35</v>
      </c>
      <c r="Y3690" s="1">
        <v>105150.0</v>
      </c>
      <c r="Z3690" s="1"/>
      <c r="AA3690" s="1">
        <v>105150.0</v>
      </c>
      <c r="AB3690" s="1"/>
      <c r="AC3690" s="1" t="s">
        <v>36</v>
      </c>
      <c r="AD3690" s="1" t="s">
        <v>12826</v>
      </c>
      <c r="AE3690" s="1" t="s">
        <v>32</v>
      </c>
      <c r="AF3690" s="1" t="s">
        <v>33</v>
      </c>
      <c r="AG3690" s="1" t="s">
        <v>270</v>
      </c>
    </row>
    <row r="3691" spans="1:33">
      <c r="A3691" t="s">
        <v>12845</v>
      </c>
      <c r="B3691" t="s">
        <v>57</v>
      </c>
      <c r="C3691" t="s">
        <v>58</v>
      </c>
      <c r="E3691" t="s">
        <v>12416</v>
      </c>
      <c r="F3691" t="s">
        <v>12341</v>
      </c>
      <c r="G3691">
        <v>335.0</v>
      </c>
      <c r="H3691">
        <v>335.0</v>
      </c>
      <c r="I3691" t="s">
        <v>59</v>
      </c>
      <c r="J3691" t="s">
        <v>60</v>
      </c>
      <c r="K3691" t="s">
        <v>31</v>
      </c>
      <c r="L3691" t="s">
        <v>32</v>
      </c>
      <c r="M3691" t="s">
        <v>33</v>
      </c>
      <c r="P3691" s="1" t="s">
        <v>12846</v>
      </c>
      <c r="Q3691" s="1" t="s">
        <v>12416</v>
      </c>
      <c r="R3691" s="1" t="s">
        <v>12416</v>
      </c>
      <c r="S3691" s="1"/>
      <c r="T3691" s="1" t="s">
        <v>58</v>
      </c>
      <c r="U3691" s="1"/>
      <c r="V3691" s="1">
        <v>335.0</v>
      </c>
      <c r="W3691" s="1">
        <v>335.0</v>
      </c>
      <c r="X3691" s="1" t="s">
        <v>35</v>
      </c>
      <c r="Y3691" s="1">
        <v>335000.0</v>
      </c>
      <c r="Z3691" s="1"/>
      <c r="AA3691" s="1">
        <v>335000.0</v>
      </c>
      <c r="AB3691" s="1"/>
      <c r="AC3691" s="1" t="s">
        <v>36</v>
      </c>
      <c r="AD3691" s="1" t="s">
        <v>12847</v>
      </c>
      <c r="AE3691" s="1" t="s">
        <v>32</v>
      </c>
      <c r="AF3691" s="1" t="s">
        <v>33</v>
      </c>
      <c r="AG3691" s="1" t="s">
        <v>60</v>
      </c>
    </row>
    <row r="3692" spans="1:33">
      <c r="A3692" t="s">
        <v>12848</v>
      </c>
      <c r="B3692" t="s">
        <v>12849</v>
      </c>
      <c r="C3692" t="s">
        <v>1298</v>
      </c>
      <c r="E3692" t="s">
        <v>12416</v>
      </c>
      <c r="F3692" t="s">
        <v>12341</v>
      </c>
      <c r="G3692">
        <v>28.49</v>
      </c>
      <c r="H3692">
        <v>28.49</v>
      </c>
      <c r="I3692" t="s">
        <v>529</v>
      </c>
      <c r="J3692" t="s">
        <v>530</v>
      </c>
      <c r="K3692" t="s">
        <v>31</v>
      </c>
      <c r="L3692" t="s">
        <v>32</v>
      </c>
      <c r="M3692" t="s">
        <v>33</v>
      </c>
      <c r="P3692" s="1" t="s">
        <v>12850</v>
      </c>
      <c r="Q3692" s="1" t="s">
        <v>12416</v>
      </c>
      <c r="R3692" s="1" t="s">
        <v>11609</v>
      </c>
      <c r="S3692" s="1"/>
      <c r="T3692" s="1" t="s">
        <v>1298</v>
      </c>
      <c r="U3692" s="1"/>
      <c r="V3692" s="1">
        <v>28.49</v>
      </c>
      <c r="W3692" s="1">
        <v>28.49</v>
      </c>
      <c r="X3692" s="1" t="s">
        <v>35</v>
      </c>
      <c r="Y3692" s="1">
        <v>28490.0</v>
      </c>
      <c r="Z3692" s="1"/>
      <c r="AA3692" s="1">
        <v>28490.0</v>
      </c>
      <c r="AB3692" s="1"/>
      <c r="AC3692" s="1" t="s">
        <v>36</v>
      </c>
      <c r="AD3692" s="1" t="s">
        <v>12851</v>
      </c>
      <c r="AE3692" s="1" t="s">
        <v>32</v>
      </c>
      <c r="AF3692" s="1" t="s">
        <v>33</v>
      </c>
      <c r="AG3692" s="1" t="s">
        <v>530</v>
      </c>
    </row>
    <row r="3693" spans="1:33">
      <c r="A3693" t="s">
        <v>12852</v>
      </c>
      <c r="C3693" t="s">
        <v>2621</v>
      </c>
      <c r="E3693" t="s">
        <v>12416</v>
      </c>
      <c r="F3693" t="s">
        <v>12341</v>
      </c>
      <c r="G3693">
        <v>853.5</v>
      </c>
      <c r="H3693">
        <v>853.5</v>
      </c>
      <c r="I3693" t="s">
        <v>269</v>
      </c>
      <c r="J3693" t="s">
        <v>270</v>
      </c>
      <c r="K3693" t="s">
        <v>31</v>
      </c>
      <c r="L3693" t="s">
        <v>32</v>
      </c>
      <c r="M3693" t="s">
        <v>33</v>
      </c>
      <c r="P3693" s="1" t="s">
        <v>12853</v>
      </c>
      <c r="Q3693" s="1" t="s">
        <v>12416</v>
      </c>
      <c r="R3693" s="1" t="s">
        <v>12416</v>
      </c>
      <c r="S3693" s="1"/>
      <c r="T3693" s="1" t="s">
        <v>2621</v>
      </c>
      <c r="U3693" s="1"/>
      <c r="V3693" s="1">
        <v>853.5</v>
      </c>
      <c r="W3693" s="1">
        <v>853.5</v>
      </c>
      <c r="X3693" s="1" t="s">
        <v>35</v>
      </c>
      <c r="Y3693" s="1">
        <v>853500.0</v>
      </c>
      <c r="Z3693" s="1"/>
      <c r="AA3693" s="1">
        <v>853500.0</v>
      </c>
      <c r="AB3693" s="1"/>
      <c r="AC3693" s="1" t="s">
        <v>36</v>
      </c>
      <c r="AD3693" s="1" t="s">
        <v>12854</v>
      </c>
      <c r="AE3693" s="1" t="s">
        <v>32</v>
      </c>
      <c r="AF3693" s="1" t="s">
        <v>33</v>
      </c>
      <c r="AG3693" s="1" t="s">
        <v>270</v>
      </c>
    </row>
    <row r="3694" spans="1:33">
      <c r="A3694" t="s">
        <v>12855</v>
      </c>
      <c r="C3694" t="s">
        <v>3871</v>
      </c>
      <c r="E3694" t="s">
        <v>12416</v>
      </c>
      <c r="F3694" t="s">
        <v>12341</v>
      </c>
      <c r="G3694">
        <v>30.0</v>
      </c>
      <c r="H3694">
        <v>30.0</v>
      </c>
      <c r="I3694" t="s">
        <v>570</v>
      </c>
      <c r="J3694" t="s">
        <v>571</v>
      </c>
      <c r="K3694" t="s">
        <v>31</v>
      </c>
      <c r="L3694" t="s">
        <v>32</v>
      </c>
      <c r="M3694" t="s">
        <v>33</v>
      </c>
      <c r="P3694" s="1" t="s">
        <v>12856</v>
      </c>
      <c r="Q3694" s="1" t="s">
        <v>12416</v>
      </c>
      <c r="R3694" s="1" t="s">
        <v>12416</v>
      </c>
      <c r="S3694" s="1"/>
      <c r="T3694" s="1" t="s">
        <v>3871</v>
      </c>
      <c r="U3694" s="1"/>
      <c r="V3694" s="1">
        <v>30.0</v>
      </c>
      <c r="W3694" s="1">
        <v>30.0</v>
      </c>
      <c r="X3694" s="1" t="s">
        <v>35</v>
      </c>
      <c r="Y3694" s="1">
        <v>30000.0</v>
      </c>
      <c r="Z3694" s="1"/>
      <c r="AA3694" s="1">
        <v>30000.0</v>
      </c>
      <c r="AB3694" s="1"/>
      <c r="AC3694" s="1" t="s">
        <v>36</v>
      </c>
      <c r="AD3694" s="1" t="s">
        <v>12839</v>
      </c>
      <c r="AE3694" s="1" t="s">
        <v>32</v>
      </c>
      <c r="AF3694" s="1" t="s">
        <v>33</v>
      </c>
      <c r="AG3694" s="1" t="s">
        <v>571</v>
      </c>
    </row>
    <row r="3695" spans="1:33">
      <c r="A3695" t="s">
        <v>12857</v>
      </c>
      <c r="C3695" t="s">
        <v>226</v>
      </c>
      <c r="E3695" t="s">
        <v>12416</v>
      </c>
      <c r="F3695" t="s">
        <v>12341</v>
      </c>
      <c r="G3695">
        <v>1.312</v>
      </c>
      <c r="H3695">
        <v>1.312</v>
      </c>
      <c r="I3695" t="s">
        <v>227</v>
      </c>
      <c r="J3695" t="s">
        <v>228</v>
      </c>
      <c r="K3695" t="s">
        <v>31</v>
      </c>
      <c r="L3695" t="s">
        <v>32</v>
      </c>
      <c r="M3695" t="s">
        <v>33</v>
      </c>
      <c r="P3695" s="1" t="s">
        <v>12858</v>
      </c>
      <c r="Q3695" s="1" t="s">
        <v>12416</v>
      </c>
      <c r="R3695" s="1" t="s">
        <v>12416</v>
      </c>
      <c r="S3695" s="1"/>
      <c r="T3695" s="1" t="s">
        <v>226</v>
      </c>
      <c r="U3695" s="1"/>
      <c r="V3695" s="1">
        <v>1.312</v>
      </c>
      <c r="W3695" s="1">
        <v>1.312</v>
      </c>
      <c r="X3695" s="1" t="s">
        <v>35</v>
      </c>
      <c r="Y3695" s="1">
        <v>1312000.0</v>
      </c>
      <c r="Z3695" s="1"/>
      <c r="AA3695" s="1">
        <v>1312000.0</v>
      </c>
      <c r="AB3695" s="1"/>
      <c r="AC3695" s="1" t="s">
        <v>36</v>
      </c>
      <c r="AD3695" s="1" t="s">
        <v>12859</v>
      </c>
      <c r="AE3695" s="1" t="s">
        <v>32</v>
      </c>
      <c r="AF3695" s="1" t="s">
        <v>33</v>
      </c>
      <c r="AG3695" s="1" t="s">
        <v>228</v>
      </c>
    </row>
    <row r="3696" spans="1:33">
      <c r="A3696" t="s">
        <v>12860</v>
      </c>
      <c r="C3696" t="s">
        <v>866</v>
      </c>
      <c r="D3696" t="s">
        <v>154</v>
      </c>
      <c r="E3696" t="s">
        <v>12416</v>
      </c>
      <c r="F3696" t="s">
        <v>12341</v>
      </c>
      <c r="G3696">
        <v>640.0</v>
      </c>
      <c r="H3696">
        <v>640.0</v>
      </c>
      <c r="I3696" t="s">
        <v>2206</v>
      </c>
      <c r="J3696" t="s">
        <v>49</v>
      </c>
      <c r="K3696" t="s">
        <v>31</v>
      </c>
      <c r="L3696" t="s">
        <v>32</v>
      </c>
      <c r="M3696" t="s">
        <v>33</v>
      </c>
      <c r="P3696" s="1" t="s">
        <v>12861</v>
      </c>
      <c r="Q3696" s="1" t="s">
        <v>12416</v>
      </c>
      <c r="R3696" s="1" t="s">
        <v>12416</v>
      </c>
      <c r="S3696" s="1"/>
      <c r="T3696" s="1" t="s">
        <v>868</v>
      </c>
      <c r="U3696" s="1" t="s">
        <v>869</v>
      </c>
      <c r="V3696" s="1">
        <v>640.0</v>
      </c>
      <c r="W3696" s="1">
        <v>640.0</v>
      </c>
      <c r="X3696" s="1" t="s">
        <v>35</v>
      </c>
      <c r="Y3696" s="1">
        <v>640000.0</v>
      </c>
      <c r="Z3696" s="1"/>
      <c r="AA3696" s="1">
        <v>640000.0</v>
      </c>
      <c r="AB3696" s="1"/>
      <c r="AC3696" s="1" t="s">
        <v>36</v>
      </c>
      <c r="AD3696" s="1" t="s">
        <v>12862</v>
      </c>
      <c r="AE3696" s="1" t="s">
        <v>32</v>
      </c>
      <c r="AF3696" s="1" t="s">
        <v>33</v>
      </c>
      <c r="AG3696" s="1" t="s">
        <v>49</v>
      </c>
    </row>
    <row r="3697" spans="1:33">
      <c r="A3697" t="s">
        <v>12863</v>
      </c>
      <c r="B3697" t="s">
        <v>8719</v>
      </c>
      <c r="C3697" t="s">
        <v>8720</v>
      </c>
      <c r="E3697" t="s">
        <v>12416</v>
      </c>
      <c r="F3697" t="s">
        <v>12341</v>
      </c>
      <c r="G3697">
        <v>328.0</v>
      </c>
      <c r="H3697">
        <v>328.0</v>
      </c>
      <c r="I3697" t="s">
        <v>529</v>
      </c>
      <c r="J3697" t="s">
        <v>530</v>
      </c>
      <c r="K3697" t="s">
        <v>31</v>
      </c>
      <c r="L3697" t="s">
        <v>32</v>
      </c>
      <c r="M3697" t="s">
        <v>33</v>
      </c>
      <c r="P3697" s="1" t="s">
        <v>12864</v>
      </c>
      <c r="Q3697" s="1" t="s">
        <v>12416</v>
      </c>
      <c r="R3697" s="1" t="s">
        <v>11609</v>
      </c>
      <c r="S3697" s="1"/>
      <c r="T3697" s="1" t="s">
        <v>8720</v>
      </c>
      <c r="U3697" s="1"/>
      <c r="V3697" s="1">
        <v>328.0</v>
      </c>
      <c r="W3697" s="1">
        <v>328.0</v>
      </c>
      <c r="X3697" s="1" t="s">
        <v>35</v>
      </c>
      <c r="Y3697" s="1">
        <v>328000.0</v>
      </c>
      <c r="Z3697" s="1"/>
      <c r="AA3697" s="1">
        <v>328000.0</v>
      </c>
      <c r="AB3697" s="1"/>
      <c r="AC3697" s="1" t="s">
        <v>36</v>
      </c>
      <c r="AD3697" s="1" t="s">
        <v>12865</v>
      </c>
      <c r="AE3697" s="1" t="s">
        <v>32</v>
      </c>
      <c r="AF3697" s="1" t="s">
        <v>33</v>
      </c>
      <c r="AG3697" s="1" t="s">
        <v>530</v>
      </c>
    </row>
    <row r="3698" spans="1:33">
      <c r="A3698" t="s">
        <v>12866</v>
      </c>
      <c r="B3698" t="s">
        <v>12867</v>
      </c>
      <c r="C3698" t="s">
        <v>26</v>
      </c>
      <c r="E3698" t="s">
        <v>12416</v>
      </c>
      <c r="F3698" t="s">
        <v>12341</v>
      </c>
      <c r="G3698">
        <v>32.24</v>
      </c>
      <c r="H3698">
        <v>32.24</v>
      </c>
      <c r="I3698" t="s">
        <v>29</v>
      </c>
      <c r="J3698" t="s">
        <v>30</v>
      </c>
      <c r="K3698" t="s">
        <v>31</v>
      </c>
      <c r="L3698" t="s">
        <v>32</v>
      </c>
      <c r="M3698" t="s">
        <v>33</v>
      </c>
      <c r="P3698" s="1" t="s">
        <v>12868</v>
      </c>
      <c r="Q3698" s="1" t="s">
        <v>12416</v>
      </c>
      <c r="R3698" s="1" t="s">
        <v>12416</v>
      </c>
      <c r="S3698" s="1"/>
      <c r="T3698" s="1" t="s">
        <v>26</v>
      </c>
      <c r="U3698" s="1"/>
      <c r="V3698" s="1">
        <v>32.24</v>
      </c>
      <c r="W3698" s="1">
        <v>32.24</v>
      </c>
      <c r="X3698" s="1" t="s">
        <v>35</v>
      </c>
      <c r="Y3698" s="1">
        <v>32240.0</v>
      </c>
      <c r="Z3698" s="1"/>
      <c r="AA3698" s="1">
        <v>32240.0</v>
      </c>
      <c r="AB3698" s="1"/>
      <c r="AC3698" s="1" t="s">
        <v>36</v>
      </c>
      <c r="AD3698" s="1" t="s">
        <v>12869</v>
      </c>
      <c r="AE3698" s="1" t="s">
        <v>32</v>
      </c>
      <c r="AF3698" s="1" t="s">
        <v>33</v>
      </c>
      <c r="AG3698" s="1" t="s">
        <v>30</v>
      </c>
    </row>
    <row r="3699" spans="1:33">
      <c r="A3699" t="s">
        <v>12870</v>
      </c>
      <c r="C3699" t="s">
        <v>12871</v>
      </c>
      <c r="E3699" t="s">
        <v>12416</v>
      </c>
      <c r="F3699" t="s">
        <v>12341</v>
      </c>
      <c r="G3699">
        <v>328.0</v>
      </c>
      <c r="H3699">
        <v>328.0</v>
      </c>
      <c r="I3699" t="s">
        <v>269</v>
      </c>
      <c r="J3699" t="s">
        <v>270</v>
      </c>
      <c r="K3699" t="s">
        <v>31</v>
      </c>
      <c r="L3699" t="s">
        <v>32</v>
      </c>
      <c r="M3699" t="s">
        <v>33</v>
      </c>
      <c r="P3699" s="1" t="s">
        <v>12872</v>
      </c>
      <c r="Q3699" s="1" t="s">
        <v>12416</v>
      </c>
      <c r="R3699" s="1" t="s">
        <v>12416</v>
      </c>
      <c r="S3699" s="1"/>
      <c r="T3699" s="1" t="s">
        <v>12871</v>
      </c>
      <c r="U3699" s="1"/>
      <c r="V3699" s="1">
        <v>328.0</v>
      </c>
      <c r="W3699" s="1">
        <v>328.0</v>
      </c>
      <c r="X3699" s="1" t="s">
        <v>35</v>
      </c>
      <c r="Y3699" s="1">
        <v>328000.0</v>
      </c>
      <c r="Z3699" s="1"/>
      <c r="AA3699" s="1">
        <v>328000.0</v>
      </c>
      <c r="AB3699" s="1"/>
      <c r="AC3699" s="1" t="s">
        <v>36</v>
      </c>
      <c r="AD3699" s="1" t="s">
        <v>12873</v>
      </c>
      <c r="AE3699" s="1" t="s">
        <v>32</v>
      </c>
      <c r="AF3699" s="1" t="s">
        <v>33</v>
      </c>
      <c r="AG3699" s="1" t="s">
        <v>270</v>
      </c>
    </row>
    <row r="3700" spans="1:33">
      <c r="A3700" t="s">
        <v>12874</v>
      </c>
      <c r="C3700" t="s">
        <v>12875</v>
      </c>
      <c r="E3700" t="s">
        <v>12416</v>
      </c>
      <c r="F3700" t="s">
        <v>12341</v>
      </c>
      <c r="G3700">
        <v>414.5</v>
      </c>
      <c r="H3700">
        <v>414.5</v>
      </c>
      <c r="I3700" t="s">
        <v>40</v>
      </c>
      <c r="J3700" t="s">
        <v>41</v>
      </c>
      <c r="K3700" t="s">
        <v>31</v>
      </c>
      <c r="L3700" t="s">
        <v>32</v>
      </c>
      <c r="M3700" t="s">
        <v>33</v>
      </c>
      <c r="P3700" s="1" t="s">
        <v>12876</v>
      </c>
      <c r="Q3700" s="1" t="s">
        <v>12416</v>
      </c>
      <c r="R3700" s="1" t="s">
        <v>11609</v>
      </c>
      <c r="S3700" s="1"/>
      <c r="T3700" s="1" t="s">
        <v>12875</v>
      </c>
      <c r="U3700" s="1"/>
      <c r="V3700" s="1">
        <v>414.5</v>
      </c>
      <c r="W3700" s="1">
        <v>414.5</v>
      </c>
      <c r="X3700" s="1" t="s">
        <v>35</v>
      </c>
      <c r="Y3700" s="1">
        <v>414500.0</v>
      </c>
      <c r="Z3700" s="1"/>
      <c r="AA3700" s="1">
        <v>414500.0</v>
      </c>
      <c r="AB3700" s="1"/>
      <c r="AC3700" s="1" t="s">
        <v>36</v>
      </c>
      <c r="AD3700" s="1" t="s">
        <v>12877</v>
      </c>
      <c r="AE3700" s="1" t="s">
        <v>32</v>
      </c>
      <c r="AF3700" s="1" t="s">
        <v>33</v>
      </c>
      <c r="AG3700" s="1" t="s">
        <v>41</v>
      </c>
    </row>
    <row r="3701" spans="1:33">
      <c r="A3701" t="s">
        <v>12878</v>
      </c>
      <c r="B3701" t="s">
        <v>12879</v>
      </c>
      <c r="C3701" t="s">
        <v>73</v>
      </c>
      <c r="E3701" t="s">
        <v>12416</v>
      </c>
      <c r="F3701" t="s">
        <v>12341</v>
      </c>
      <c r="G3701">
        <v>71.73</v>
      </c>
      <c r="H3701">
        <v>71.73</v>
      </c>
      <c r="I3701" t="s">
        <v>40</v>
      </c>
      <c r="J3701" t="s">
        <v>41</v>
      </c>
      <c r="K3701" t="s">
        <v>31</v>
      </c>
      <c r="L3701" t="s">
        <v>32</v>
      </c>
      <c r="M3701" t="s">
        <v>33</v>
      </c>
      <c r="P3701" s="1" t="s">
        <v>12880</v>
      </c>
      <c r="Q3701" s="1" t="s">
        <v>12416</v>
      </c>
      <c r="R3701" s="1" t="s">
        <v>11609</v>
      </c>
      <c r="S3701" s="1"/>
      <c r="T3701" s="1" t="s">
        <v>75</v>
      </c>
      <c r="U3701" s="1" t="s">
        <v>76</v>
      </c>
      <c r="V3701" s="1">
        <v>71.73</v>
      </c>
      <c r="W3701" s="1">
        <v>71.73</v>
      </c>
      <c r="X3701" s="1" t="s">
        <v>35</v>
      </c>
      <c r="Y3701" s="1">
        <v>71730.0</v>
      </c>
      <c r="Z3701" s="1"/>
      <c r="AA3701" s="1">
        <v>71730.0</v>
      </c>
      <c r="AB3701" s="1"/>
      <c r="AC3701" s="1" t="s">
        <v>36</v>
      </c>
      <c r="AD3701" s="1" t="s">
        <v>12881</v>
      </c>
      <c r="AE3701" s="1" t="s">
        <v>32</v>
      </c>
      <c r="AF3701" s="1" t="s">
        <v>33</v>
      </c>
      <c r="AG3701" s="1" t="s">
        <v>41</v>
      </c>
    </row>
    <row r="3702" spans="1:33">
      <c r="A3702" t="s">
        <v>12882</v>
      </c>
      <c r="B3702" t="s">
        <v>12883</v>
      </c>
      <c r="C3702" t="s">
        <v>1298</v>
      </c>
      <c r="E3702" t="s">
        <v>12416</v>
      </c>
      <c r="F3702" t="s">
        <v>12341</v>
      </c>
      <c r="G3702">
        <v>9.694</v>
      </c>
      <c r="H3702">
        <v>9.694</v>
      </c>
      <c r="I3702" t="s">
        <v>529</v>
      </c>
      <c r="J3702" t="s">
        <v>530</v>
      </c>
      <c r="K3702" t="s">
        <v>31</v>
      </c>
      <c r="L3702" t="s">
        <v>32</v>
      </c>
      <c r="M3702" t="s">
        <v>33</v>
      </c>
      <c r="P3702" s="1" t="s">
        <v>12884</v>
      </c>
      <c r="Q3702" s="1" t="s">
        <v>12416</v>
      </c>
      <c r="R3702" s="1" t="s">
        <v>11609</v>
      </c>
      <c r="S3702" s="1"/>
      <c r="T3702" s="1" t="s">
        <v>1298</v>
      </c>
      <c r="U3702" s="1"/>
      <c r="V3702" s="1">
        <v>9.694</v>
      </c>
      <c r="W3702" s="1">
        <v>9.694</v>
      </c>
      <c r="X3702" s="1" t="s">
        <v>35</v>
      </c>
      <c r="Y3702" s="1">
        <v>9694.0</v>
      </c>
      <c r="Z3702" s="1"/>
      <c r="AA3702" s="1">
        <v>9694.0</v>
      </c>
      <c r="AB3702" s="1"/>
      <c r="AC3702" s="1" t="s">
        <v>36</v>
      </c>
      <c r="AD3702" s="1" t="s">
        <v>12885</v>
      </c>
      <c r="AE3702" s="1" t="s">
        <v>32</v>
      </c>
      <c r="AF3702" s="1" t="s">
        <v>33</v>
      </c>
      <c r="AG3702" s="1" t="s">
        <v>530</v>
      </c>
    </row>
    <row r="3703" spans="1:33">
      <c r="A3703" t="s">
        <v>12886</v>
      </c>
      <c r="B3703" t="s">
        <v>12887</v>
      </c>
      <c r="C3703" t="s">
        <v>172</v>
      </c>
      <c r="E3703" t="s">
        <v>12416</v>
      </c>
      <c r="F3703" t="s">
        <v>12341</v>
      </c>
      <c r="G3703">
        <v>17.58</v>
      </c>
      <c r="H3703">
        <v>17.58</v>
      </c>
      <c r="I3703" t="s">
        <v>173</v>
      </c>
      <c r="J3703" t="s">
        <v>174</v>
      </c>
      <c r="K3703" t="s">
        <v>31</v>
      </c>
      <c r="L3703" t="s">
        <v>32</v>
      </c>
      <c r="M3703" t="s">
        <v>33</v>
      </c>
      <c r="P3703" s="1" t="s">
        <v>12888</v>
      </c>
      <c r="Q3703" s="1" t="s">
        <v>12416</v>
      </c>
      <c r="R3703" s="1" t="s">
        <v>12416</v>
      </c>
      <c r="S3703" s="1"/>
      <c r="T3703" s="1" t="s">
        <v>172</v>
      </c>
      <c r="U3703" s="1"/>
      <c r="V3703" s="1">
        <v>17.58</v>
      </c>
      <c r="W3703" s="1">
        <v>17.58</v>
      </c>
      <c r="X3703" s="1" t="s">
        <v>35</v>
      </c>
      <c r="Y3703" s="1">
        <v>17580.0</v>
      </c>
      <c r="Z3703" s="1"/>
      <c r="AA3703" s="1">
        <v>17580.0</v>
      </c>
      <c r="AB3703" s="1"/>
      <c r="AC3703" s="1" t="s">
        <v>36</v>
      </c>
      <c r="AD3703" s="1" t="s">
        <v>12889</v>
      </c>
      <c r="AE3703" s="1" t="s">
        <v>32</v>
      </c>
      <c r="AF3703" s="1" t="s">
        <v>33</v>
      </c>
      <c r="AG3703" s="1" t="s">
        <v>174</v>
      </c>
    </row>
    <row r="3704" spans="1:33">
      <c r="A3704" t="s">
        <v>12890</v>
      </c>
      <c r="B3704" t="s">
        <v>6285</v>
      </c>
      <c r="C3704" t="s">
        <v>68</v>
      </c>
      <c r="E3704" t="s">
        <v>12416</v>
      </c>
      <c r="F3704" t="s">
        <v>12341</v>
      </c>
      <c r="G3704">
        <v>2.6</v>
      </c>
      <c r="H3704">
        <v>2.6</v>
      </c>
      <c r="I3704" t="s">
        <v>59</v>
      </c>
      <c r="J3704" t="s">
        <v>60</v>
      </c>
      <c r="K3704" t="s">
        <v>31</v>
      </c>
      <c r="L3704" t="s">
        <v>32</v>
      </c>
      <c r="M3704" t="s">
        <v>33</v>
      </c>
      <c r="P3704" s="1" t="s">
        <v>12891</v>
      </c>
      <c r="Q3704" s="1" t="s">
        <v>12416</v>
      </c>
      <c r="R3704" s="1" t="s">
        <v>12416</v>
      </c>
      <c r="S3704" s="1"/>
      <c r="T3704" s="1" t="s">
        <v>68</v>
      </c>
      <c r="U3704" s="1"/>
      <c r="V3704" s="1">
        <v>2.6</v>
      </c>
      <c r="W3704" s="1">
        <v>2.6</v>
      </c>
      <c r="X3704" s="1" t="s">
        <v>35</v>
      </c>
      <c r="Y3704" s="1">
        <v>2600.0</v>
      </c>
      <c r="Z3704" s="1"/>
      <c r="AA3704" s="1">
        <v>2600.0</v>
      </c>
      <c r="AB3704" s="1"/>
      <c r="AC3704" s="1" t="s">
        <v>36</v>
      </c>
      <c r="AD3704" s="1" t="s">
        <v>12892</v>
      </c>
      <c r="AE3704" s="1" t="s">
        <v>32</v>
      </c>
      <c r="AF3704" s="1" t="s">
        <v>33</v>
      </c>
      <c r="AG3704" s="1" t="s">
        <v>60</v>
      </c>
    </row>
    <row r="3705" spans="1:33">
      <c r="A3705" t="s">
        <v>12893</v>
      </c>
      <c r="C3705" t="s">
        <v>73</v>
      </c>
      <c r="E3705" t="s">
        <v>12416</v>
      </c>
      <c r="F3705" t="s">
        <v>12341</v>
      </c>
      <c r="G3705">
        <v>21.99</v>
      </c>
      <c r="H3705">
        <v>21.99</v>
      </c>
      <c r="I3705" t="s">
        <v>40</v>
      </c>
      <c r="J3705" t="s">
        <v>41</v>
      </c>
      <c r="K3705" t="s">
        <v>31</v>
      </c>
      <c r="L3705" t="s">
        <v>32</v>
      </c>
      <c r="M3705" t="s">
        <v>33</v>
      </c>
      <c r="P3705" s="1" t="s">
        <v>12894</v>
      </c>
      <c r="Q3705" s="1" t="s">
        <v>12416</v>
      </c>
      <c r="R3705" s="1" t="s">
        <v>11609</v>
      </c>
      <c r="S3705" s="1"/>
      <c r="T3705" s="1" t="s">
        <v>75</v>
      </c>
      <c r="U3705" s="1" t="s">
        <v>76</v>
      </c>
      <c r="V3705" s="1">
        <v>21.99</v>
      </c>
      <c r="W3705" s="1">
        <v>21.99</v>
      </c>
      <c r="X3705" s="1" t="s">
        <v>35</v>
      </c>
      <c r="Y3705" s="1">
        <v>21990.0</v>
      </c>
      <c r="Z3705" s="1"/>
      <c r="AA3705" s="1">
        <v>21990.0</v>
      </c>
      <c r="AB3705" s="1"/>
      <c r="AC3705" s="1" t="s">
        <v>36</v>
      </c>
      <c r="AD3705" s="1" t="s">
        <v>12895</v>
      </c>
      <c r="AE3705" s="1" t="s">
        <v>32</v>
      </c>
      <c r="AF3705" s="1" t="s">
        <v>33</v>
      </c>
      <c r="AG3705" s="1" t="s">
        <v>41</v>
      </c>
    </row>
    <row r="3706" spans="1:33">
      <c r="A3706" t="s">
        <v>12896</v>
      </c>
      <c r="B3706" t="s">
        <v>12897</v>
      </c>
      <c r="C3706" t="s">
        <v>268</v>
      </c>
      <c r="E3706" t="s">
        <v>12416</v>
      </c>
      <c r="F3706" t="s">
        <v>12341</v>
      </c>
      <c r="G3706">
        <v>37.89</v>
      </c>
      <c r="H3706">
        <v>37.89</v>
      </c>
      <c r="I3706" t="s">
        <v>269</v>
      </c>
      <c r="J3706" t="s">
        <v>270</v>
      </c>
      <c r="K3706" t="s">
        <v>31</v>
      </c>
      <c r="L3706" t="s">
        <v>32</v>
      </c>
      <c r="M3706" t="s">
        <v>33</v>
      </c>
      <c r="P3706" s="1" t="s">
        <v>12898</v>
      </c>
      <c r="Q3706" s="1" t="s">
        <v>12416</v>
      </c>
      <c r="R3706" s="1" t="s">
        <v>12416</v>
      </c>
      <c r="S3706" s="1"/>
      <c r="T3706" s="1" t="s">
        <v>268</v>
      </c>
      <c r="U3706" s="1"/>
      <c r="V3706" s="1">
        <v>37.89</v>
      </c>
      <c r="W3706" s="1">
        <v>37.89</v>
      </c>
      <c r="X3706" s="1" t="s">
        <v>35</v>
      </c>
      <c r="Y3706" s="1">
        <v>37890.0</v>
      </c>
      <c r="Z3706" s="1"/>
      <c r="AA3706" s="1">
        <v>37890.0</v>
      </c>
      <c r="AB3706" s="1"/>
      <c r="AC3706" s="1" t="s">
        <v>36</v>
      </c>
      <c r="AD3706" s="1" t="s">
        <v>12899</v>
      </c>
      <c r="AE3706" s="1" t="s">
        <v>32</v>
      </c>
      <c r="AF3706" s="1" t="s">
        <v>33</v>
      </c>
      <c r="AG3706" s="1" t="s">
        <v>270</v>
      </c>
    </row>
    <row r="3707" spans="1:33">
      <c r="A3707" t="s">
        <v>12900</v>
      </c>
      <c r="C3707" t="s">
        <v>4531</v>
      </c>
      <c r="E3707" t="s">
        <v>12416</v>
      </c>
      <c r="F3707" t="s">
        <v>12341</v>
      </c>
      <c r="G3707">
        <v>630.0</v>
      </c>
      <c r="H3707">
        <v>630.0</v>
      </c>
      <c r="I3707" t="s">
        <v>126</v>
      </c>
      <c r="J3707" t="s">
        <v>127</v>
      </c>
      <c r="K3707" t="s">
        <v>31</v>
      </c>
      <c r="L3707" t="s">
        <v>32</v>
      </c>
      <c r="M3707" t="s">
        <v>33</v>
      </c>
      <c r="P3707" s="1" t="s">
        <v>12901</v>
      </c>
      <c r="Q3707" s="1" t="s">
        <v>12416</v>
      </c>
      <c r="R3707" s="1" t="s">
        <v>12416</v>
      </c>
      <c r="S3707" s="1"/>
      <c r="T3707" s="1" t="s">
        <v>4533</v>
      </c>
      <c r="U3707" s="1" t="s">
        <v>4534</v>
      </c>
      <c r="V3707" s="1">
        <v>630.0</v>
      </c>
      <c r="W3707" s="1">
        <v>630.0</v>
      </c>
      <c r="X3707" s="1" t="s">
        <v>35</v>
      </c>
      <c r="Y3707" s="1">
        <v>630000.0</v>
      </c>
      <c r="Z3707" s="1"/>
      <c r="AA3707" s="1">
        <v>590000.0</v>
      </c>
      <c r="AB3707" s="1">
        <v>40000</v>
      </c>
      <c r="AC3707" s="1" t="s">
        <v>36</v>
      </c>
      <c r="AD3707" s="1" t="s">
        <v>12892</v>
      </c>
      <c r="AE3707" s="1" t="s">
        <v>32</v>
      </c>
      <c r="AF3707" s="1" t="s">
        <v>33</v>
      </c>
      <c r="AG3707" s="1" t="s">
        <v>127</v>
      </c>
    </row>
    <row r="3708" spans="1:33">
      <c r="A3708" t="s">
        <v>12902</v>
      </c>
      <c r="B3708" t="s">
        <v>5046</v>
      </c>
      <c r="C3708" t="s">
        <v>5047</v>
      </c>
      <c r="E3708" t="s">
        <v>12416</v>
      </c>
      <c r="F3708" t="s">
        <v>12341</v>
      </c>
      <c r="G3708">
        <v>114.0</v>
      </c>
      <c r="H3708">
        <v>114.0</v>
      </c>
      <c r="I3708" t="s">
        <v>59</v>
      </c>
      <c r="J3708" t="s">
        <v>60</v>
      </c>
      <c r="K3708" t="s">
        <v>31</v>
      </c>
      <c r="L3708" t="s">
        <v>32</v>
      </c>
      <c r="M3708" t="s">
        <v>33</v>
      </c>
      <c r="P3708" s="1" t="s">
        <v>12903</v>
      </c>
      <c r="Q3708" s="1" t="s">
        <v>12416</v>
      </c>
      <c r="R3708" s="1" t="s">
        <v>12416</v>
      </c>
      <c r="S3708" s="1"/>
      <c r="T3708" s="1" t="s">
        <v>5047</v>
      </c>
      <c r="U3708" s="1"/>
      <c r="V3708" s="1">
        <v>114.0</v>
      </c>
      <c r="W3708" s="1">
        <v>114.0</v>
      </c>
      <c r="X3708" s="1" t="s">
        <v>35</v>
      </c>
      <c r="Y3708" s="1">
        <v>114000.0</v>
      </c>
      <c r="Z3708" s="1"/>
      <c r="AA3708" s="1">
        <v>114000.0</v>
      </c>
      <c r="AB3708" s="1"/>
      <c r="AC3708" s="1" t="s">
        <v>36</v>
      </c>
      <c r="AD3708" s="1" t="s">
        <v>12881</v>
      </c>
      <c r="AE3708" s="1" t="s">
        <v>32</v>
      </c>
      <c r="AF3708" s="1" t="s">
        <v>33</v>
      </c>
      <c r="AG3708" s="1" t="s">
        <v>60</v>
      </c>
    </row>
    <row r="3709" spans="1:33">
      <c r="A3709" t="s">
        <v>12904</v>
      </c>
      <c r="B3709" t="s">
        <v>12905</v>
      </c>
      <c r="C3709" t="s">
        <v>1298</v>
      </c>
      <c r="E3709" t="s">
        <v>12416</v>
      </c>
      <c r="F3709" t="s">
        <v>12341</v>
      </c>
      <c r="G3709">
        <v>4.298</v>
      </c>
      <c r="H3709">
        <v>4.298</v>
      </c>
      <c r="I3709" t="s">
        <v>529</v>
      </c>
      <c r="J3709" t="s">
        <v>530</v>
      </c>
      <c r="K3709" t="s">
        <v>31</v>
      </c>
      <c r="L3709" t="s">
        <v>32</v>
      </c>
      <c r="M3709" t="s">
        <v>33</v>
      </c>
      <c r="P3709" s="1" t="s">
        <v>12906</v>
      </c>
      <c r="Q3709" s="1" t="s">
        <v>12416</v>
      </c>
      <c r="R3709" s="1" t="s">
        <v>11609</v>
      </c>
      <c r="S3709" s="1"/>
      <c r="T3709" s="1" t="s">
        <v>1298</v>
      </c>
      <c r="U3709" s="1"/>
      <c r="V3709" s="1">
        <v>4.298</v>
      </c>
      <c r="W3709" s="1">
        <v>4.298</v>
      </c>
      <c r="X3709" s="1" t="s">
        <v>35</v>
      </c>
      <c r="Y3709" s="1">
        <v>4298.0</v>
      </c>
      <c r="Z3709" s="1"/>
      <c r="AA3709" s="1">
        <v>4298.0</v>
      </c>
      <c r="AB3709" s="1"/>
      <c r="AC3709" s="1" t="s">
        <v>36</v>
      </c>
      <c r="AD3709" s="1" t="s">
        <v>12907</v>
      </c>
      <c r="AE3709" s="1" t="s">
        <v>32</v>
      </c>
      <c r="AF3709" s="1" t="s">
        <v>33</v>
      </c>
      <c r="AG3709" s="1" t="s">
        <v>530</v>
      </c>
    </row>
    <row r="3710" spans="1:33">
      <c r="A3710" t="s">
        <v>12908</v>
      </c>
      <c r="B3710" t="s">
        <v>6851</v>
      </c>
      <c r="C3710" t="s">
        <v>47</v>
      </c>
      <c r="E3710" t="s">
        <v>12416</v>
      </c>
      <c r="F3710" t="s">
        <v>12341</v>
      </c>
      <c r="G3710">
        <v>57.328</v>
      </c>
      <c r="H3710">
        <v>57.328</v>
      </c>
      <c r="I3710" t="s">
        <v>2206</v>
      </c>
      <c r="J3710" t="s">
        <v>49</v>
      </c>
      <c r="K3710" t="s">
        <v>31</v>
      </c>
      <c r="L3710" t="s">
        <v>32</v>
      </c>
      <c r="M3710" t="s">
        <v>33</v>
      </c>
      <c r="P3710" s="1" t="s">
        <v>12909</v>
      </c>
      <c r="Q3710" s="1" t="s">
        <v>12416</v>
      </c>
      <c r="R3710" s="1" t="s">
        <v>12416</v>
      </c>
      <c r="S3710" s="1"/>
      <c r="T3710" s="1" t="s">
        <v>47</v>
      </c>
      <c r="U3710" s="1"/>
      <c r="V3710" s="1">
        <v>57.328</v>
      </c>
      <c r="W3710" s="1">
        <v>57.328</v>
      </c>
      <c r="X3710" s="1" t="s">
        <v>35</v>
      </c>
      <c r="Y3710" s="1">
        <v>57328.0</v>
      </c>
      <c r="Z3710" s="1"/>
      <c r="AA3710" s="1">
        <v>57328.0</v>
      </c>
      <c r="AB3710" s="1"/>
      <c r="AC3710" s="1" t="s">
        <v>36</v>
      </c>
      <c r="AD3710" s="1" t="s">
        <v>12895</v>
      </c>
      <c r="AE3710" s="1" t="s">
        <v>32</v>
      </c>
      <c r="AF3710" s="1" t="s">
        <v>33</v>
      </c>
      <c r="AG3710" s="1" t="s">
        <v>49</v>
      </c>
    </row>
    <row r="3711" spans="1:33">
      <c r="A3711" t="s">
        <v>12910</v>
      </c>
      <c r="C3711" t="s">
        <v>1244</v>
      </c>
      <c r="E3711" t="s">
        <v>12416</v>
      </c>
      <c r="F3711" t="s">
        <v>12341</v>
      </c>
      <c r="G3711">
        <v>98.16</v>
      </c>
      <c r="H3711">
        <v>98.16</v>
      </c>
      <c r="I3711" t="s">
        <v>179</v>
      </c>
      <c r="J3711" t="s">
        <v>180</v>
      </c>
      <c r="K3711" t="s">
        <v>31</v>
      </c>
      <c r="L3711" t="s">
        <v>32</v>
      </c>
      <c r="M3711" t="s">
        <v>33</v>
      </c>
      <c r="P3711" s="1" t="s">
        <v>12911</v>
      </c>
      <c r="Q3711" s="1" t="s">
        <v>12416</v>
      </c>
      <c r="R3711" s="1" t="s">
        <v>12416</v>
      </c>
      <c r="S3711" s="1"/>
      <c r="T3711" s="1" t="s">
        <v>1244</v>
      </c>
      <c r="U3711" s="1"/>
      <c r="V3711" s="1">
        <v>98.16</v>
      </c>
      <c r="W3711" s="1">
        <v>98.16</v>
      </c>
      <c r="X3711" s="1" t="s">
        <v>35</v>
      </c>
      <c r="Y3711" s="1">
        <v>98160.0</v>
      </c>
      <c r="Z3711" s="1"/>
      <c r="AA3711" s="1">
        <v>98160.0</v>
      </c>
      <c r="AB3711" s="1"/>
      <c r="AC3711" s="1" t="s">
        <v>36</v>
      </c>
      <c r="AD3711" s="1" t="s">
        <v>12912</v>
      </c>
      <c r="AE3711" s="1" t="s">
        <v>32</v>
      </c>
      <c r="AF3711" s="1" t="s">
        <v>33</v>
      </c>
      <c r="AG3711" s="1" t="s">
        <v>180</v>
      </c>
    </row>
    <row r="3712" spans="1:33">
      <c r="A3712" t="s">
        <v>12913</v>
      </c>
      <c r="B3712" t="s">
        <v>9649</v>
      </c>
      <c r="C3712" t="s">
        <v>569</v>
      </c>
      <c r="E3712" t="s">
        <v>12416</v>
      </c>
      <c r="F3712" t="s">
        <v>12341</v>
      </c>
      <c r="G3712">
        <v>56.22</v>
      </c>
      <c r="H3712">
        <v>56.22</v>
      </c>
      <c r="I3712" t="s">
        <v>570</v>
      </c>
      <c r="J3712" t="s">
        <v>571</v>
      </c>
      <c r="K3712" t="s">
        <v>31</v>
      </c>
      <c r="L3712" t="s">
        <v>32</v>
      </c>
      <c r="M3712" t="s">
        <v>33</v>
      </c>
      <c r="P3712" s="1" t="s">
        <v>12914</v>
      </c>
      <c r="Q3712" s="1" t="s">
        <v>12416</v>
      </c>
      <c r="R3712" s="1" t="s">
        <v>12416</v>
      </c>
      <c r="S3712" s="1"/>
      <c r="T3712" s="1" t="s">
        <v>569</v>
      </c>
      <c r="U3712" s="1"/>
      <c r="V3712" s="1">
        <v>56.22</v>
      </c>
      <c r="W3712" s="1">
        <v>56.22</v>
      </c>
      <c r="X3712" s="1" t="s">
        <v>35</v>
      </c>
      <c r="Y3712" s="1">
        <v>56220.0</v>
      </c>
      <c r="Z3712" s="1"/>
      <c r="AA3712" s="1">
        <v>56220.0</v>
      </c>
      <c r="AB3712" s="1"/>
      <c r="AC3712" s="1" t="s">
        <v>36</v>
      </c>
      <c r="AD3712" s="1" t="s">
        <v>12915</v>
      </c>
      <c r="AE3712" s="1" t="s">
        <v>32</v>
      </c>
      <c r="AF3712" s="1" t="s">
        <v>33</v>
      </c>
      <c r="AG3712" s="1" t="s">
        <v>571</v>
      </c>
    </row>
    <row r="3713" spans="1:33">
      <c r="A3713" t="s">
        <v>12916</v>
      </c>
      <c r="C3713" t="s">
        <v>558</v>
      </c>
      <c r="D3713" t="s">
        <v>154</v>
      </c>
      <c r="E3713" t="s">
        <v>12416</v>
      </c>
      <c r="F3713" t="s">
        <v>12341</v>
      </c>
      <c r="G3713">
        <v>777.7</v>
      </c>
      <c r="H3713">
        <v>777.7</v>
      </c>
      <c r="I3713" t="s">
        <v>269</v>
      </c>
      <c r="J3713" t="s">
        <v>270</v>
      </c>
      <c r="K3713" t="s">
        <v>31</v>
      </c>
      <c r="L3713" t="s">
        <v>32</v>
      </c>
      <c r="M3713" t="s">
        <v>33</v>
      </c>
      <c r="P3713" s="1" t="s">
        <v>12917</v>
      </c>
      <c r="Q3713" s="1" t="s">
        <v>12416</v>
      </c>
      <c r="R3713" s="1" t="s">
        <v>12416</v>
      </c>
      <c r="S3713" s="1"/>
      <c r="T3713" s="1" t="s">
        <v>560</v>
      </c>
      <c r="U3713" s="1" t="s">
        <v>561</v>
      </c>
      <c r="V3713" s="1">
        <v>777.7</v>
      </c>
      <c r="W3713" s="1">
        <v>777.7</v>
      </c>
      <c r="X3713" s="1" t="s">
        <v>35</v>
      </c>
      <c r="Y3713" s="1">
        <v>777700.0</v>
      </c>
      <c r="Z3713" s="1"/>
      <c r="AA3713" s="1">
        <v>777700.0</v>
      </c>
      <c r="AB3713" s="1"/>
      <c r="AC3713" s="1" t="s">
        <v>36</v>
      </c>
      <c r="AD3713" s="1" t="s">
        <v>12912</v>
      </c>
      <c r="AE3713" s="1" t="s">
        <v>32</v>
      </c>
      <c r="AF3713" s="1" t="s">
        <v>33</v>
      </c>
      <c r="AG3713" s="1" t="s">
        <v>270</v>
      </c>
    </row>
    <row r="3714" spans="1:33">
      <c r="A3714" t="s">
        <v>12918</v>
      </c>
      <c r="B3714" t="s">
        <v>12919</v>
      </c>
      <c r="C3714" t="s">
        <v>12920</v>
      </c>
      <c r="E3714" t="s">
        <v>12416</v>
      </c>
      <c r="F3714" t="s">
        <v>12341</v>
      </c>
      <c r="G3714">
        <v>8.088</v>
      </c>
      <c r="H3714">
        <v>8.088</v>
      </c>
      <c r="I3714" t="s">
        <v>59</v>
      </c>
      <c r="J3714" t="s">
        <v>60</v>
      </c>
      <c r="K3714" t="s">
        <v>31</v>
      </c>
      <c r="L3714" t="s">
        <v>32</v>
      </c>
      <c r="M3714" t="s">
        <v>33</v>
      </c>
      <c r="P3714" s="1" t="s">
        <v>12921</v>
      </c>
      <c r="Q3714" s="1" t="s">
        <v>12416</v>
      </c>
      <c r="R3714" s="1" t="s">
        <v>12416</v>
      </c>
      <c r="S3714" s="1"/>
      <c r="T3714" s="1" t="s">
        <v>12920</v>
      </c>
      <c r="U3714" s="1"/>
      <c r="V3714" s="1">
        <v>8.088</v>
      </c>
      <c r="W3714" s="1">
        <v>8.088</v>
      </c>
      <c r="X3714" s="1" t="s">
        <v>35</v>
      </c>
      <c r="Y3714" s="1">
        <v>8088.0</v>
      </c>
      <c r="Z3714" s="1"/>
      <c r="AA3714" s="1">
        <v>8088.0</v>
      </c>
      <c r="AB3714" s="1"/>
      <c r="AC3714" s="1" t="s">
        <v>36</v>
      </c>
      <c r="AD3714" s="1" t="s">
        <v>12922</v>
      </c>
      <c r="AE3714" s="1" t="s">
        <v>32</v>
      </c>
      <c r="AF3714" s="1" t="s">
        <v>33</v>
      </c>
      <c r="AG3714" s="1" t="s">
        <v>60</v>
      </c>
    </row>
    <row r="3715" spans="1:33">
      <c r="A3715" t="s">
        <v>12923</v>
      </c>
      <c r="C3715" t="s">
        <v>190</v>
      </c>
      <c r="D3715" t="s">
        <v>154</v>
      </c>
      <c r="E3715" t="s">
        <v>12416</v>
      </c>
      <c r="F3715" t="s">
        <v>12341</v>
      </c>
      <c r="G3715">
        <v>1.176</v>
      </c>
      <c r="H3715">
        <v>1.176</v>
      </c>
      <c r="I3715" t="s">
        <v>2206</v>
      </c>
      <c r="J3715" t="s">
        <v>49</v>
      </c>
      <c r="K3715" t="s">
        <v>31</v>
      </c>
      <c r="L3715" t="s">
        <v>32</v>
      </c>
      <c r="M3715" t="s">
        <v>33</v>
      </c>
      <c r="P3715" s="1" t="s">
        <v>12924</v>
      </c>
      <c r="Q3715" s="1" t="s">
        <v>12416</v>
      </c>
      <c r="R3715" s="1" t="s">
        <v>12416</v>
      </c>
      <c r="S3715" s="1"/>
      <c r="T3715" s="1" t="s">
        <v>190</v>
      </c>
      <c r="U3715" s="1"/>
      <c r="V3715" s="1">
        <v>1.176</v>
      </c>
      <c r="W3715" s="1">
        <v>1.176</v>
      </c>
      <c r="X3715" s="1" t="s">
        <v>35</v>
      </c>
      <c r="Y3715" s="1">
        <v>1176000.0</v>
      </c>
      <c r="Z3715" s="1"/>
      <c r="AA3715" s="1">
        <v>1176000.0</v>
      </c>
      <c r="AB3715" s="1"/>
      <c r="AC3715" s="1" t="s">
        <v>36</v>
      </c>
      <c r="AD3715" s="1" t="s">
        <v>12507</v>
      </c>
      <c r="AE3715" s="1" t="s">
        <v>32</v>
      </c>
      <c r="AF3715" s="1" t="s">
        <v>33</v>
      </c>
      <c r="AG3715" s="1" t="s">
        <v>49</v>
      </c>
    </row>
    <row r="3716" spans="1:33">
      <c r="A3716" t="s">
        <v>12925</v>
      </c>
      <c r="C3716" t="s">
        <v>2921</v>
      </c>
      <c r="E3716" t="s">
        <v>12416</v>
      </c>
      <c r="F3716" t="s">
        <v>12341</v>
      </c>
      <c r="G3716">
        <v>4.8</v>
      </c>
      <c r="H3716">
        <v>4.8</v>
      </c>
      <c r="I3716" t="s">
        <v>40</v>
      </c>
      <c r="J3716" t="s">
        <v>41</v>
      </c>
      <c r="K3716" t="s">
        <v>31</v>
      </c>
      <c r="L3716" t="s">
        <v>32</v>
      </c>
      <c r="M3716" t="s">
        <v>33</v>
      </c>
      <c r="P3716" s="1" t="s">
        <v>12926</v>
      </c>
      <c r="Q3716" s="1" t="s">
        <v>12416</v>
      </c>
      <c r="R3716" s="1" t="s">
        <v>11609</v>
      </c>
      <c r="S3716" s="1"/>
      <c r="T3716" s="1" t="s">
        <v>2921</v>
      </c>
      <c r="U3716" s="1"/>
      <c r="V3716" s="1">
        <v>4.8</v>
      </c>
      <c r="W3716" s="1">
        <v>4.8</v>
      </c>
      <c r="X3716" s="1" t="s">
        <v>35</v>
      </c>
      <c r="Y3716" s="1">
        <v>4800000.0</v>
      </c>
      <c r="Z3716" s="1"/>
      <c r="AA3716" s="1">
        <v>4800000.0</v>
      </c>
      <c r="AB3716" s="1"/>
      <c r="AC3716" s="1" t="s">
        <v>36</v>
      </c>
      <c r="AD3716" s="1" t="s">
        <v>12927</v>
      </c>
      <c r="AE3716" s="1" t="s">
        <v>32</v>
      </c>
      <c r="AF3716" s="1" t="s">
        <v>33</v>
      </c>
      <c r="AG3716" s="1" t="s">
        <v>41</v>
      </c>
    </row>
    <row r="3717" spans="1:33">
      <c r="A3717" t="s">
        <v>12928</v>
      </c>
      <c r="C3717" t="s">
        <v>2857</v>
      </c>
      <c r="E3717" t="s">
        <v>12416</v>
      </c>
      <c r="F3717" t="s">
        <v>12341</v>
      </c>
      <c r="G3717">
        <v>1.54</v>
      </c>
      <c r="H3717">
        <v>1.54</v>
      </c>
      <c r="I3717" t="s">
        <v>2206</v>
      </c>
      <c r="J3717" t="s">
        <v>49</v>
      </c>
      <c r="K3717" t="s">
        <v>31</v>
      </c>
      <c r="L3717" t="s">
        <v>32</v>
      </c>
      <c r="M3717" t="s">
        <v>33</v>
      </c>
      <c r="P3717" s="1" t="s">
        <v>12929</v>
      </c>
      <c r="Q3717" s="1" t="s">
        <v>12416</v>
      </c>
      <c r="R3717" s="1" t="s">
        <v>12416</v>
      </c>
      <c r="S3717" s="1"/>
      <c r="T3717" s="1" t="s">
        <v>2859</v>
      </c>
      <c r="U3717" s="1" t="s">
        <v>2255</v>
      </c>
      <c r="V3717" s="1">
        <v>1.54</v>
      </c>
      <c r="W3717" s="1">
        <v>1.54</v>
      </c>
      <c r="X3717" s="1" t="s">
        <v>35</v>
      </c>
      <c r="Y3717" s="1">
        <v>1540000.0</v>
      </c>
      <c r="Z3717" s="1"/>
      <c r="AA3717" s="1">
        <v>1540000.0</v>
      </c>
      <c r="AB3717" s="1"/>
      <c r="AC3717" s="1" t="s">
        <v>36</v>
      </c>
      <c r="AD3717" s="1" t="s">
        <v>12930</v>
      </c>
      <c r="AE3717" s="1" t="s">
        <v>32</v>
      </c>
      <c r="AF3717" s="1" t="s">
        <v>33</v>
      </c>
      <c r="AG3717" s="1" t="s">
        <v>49</v>
      </c>
    </row>
    <row r="3718" spans="1:33">
      <c r="A3718" t="s">
        <v>12931</v>
      </c>
      <c r="C3718" t="s">
        <v>901</v>
      </c>
      <c r="D3718" t="s">
        <v>114</v>
      </c>
      <c r="E3718" t="s">
        <v>12416</v>
      </c>
      <c r="F3718" t="s">
        <v>12341</v>
      </c>
      <c r="G3718">
        <v>688.0</v>
      </c>
      <c r="H3718">
        <v>688.0</v>
      </c>
      <c r="I3718" t="s">
        <v>269</v>
      </c>
      <c r="J3718" t="s">
        <v>270</v>
      </c>
      <c r="K3718" t="s">
        <v>31</v>
      </c>
      <c r="L3718" t="s">
        <v>32</v>
      </c>
      <c r="M3718" t="s">
        <v>33</v>
      </c>
      <c r="P3718" s="1" t="s">
        <v>12932</v>
      </c>
      <c r="Q3718" s="1" t="s">
        <v>12416</v>
      </c>
      <c r="R3718" s="1" t="s">
        <v>12416</v>
      </c>
      <c r="S3718" s="1"/>
      <c r="T3718" s="1" t="s">
        <v>901</v>
      </c>
      <c r="U3718" s="1"/>
      <c r="V3718" s="1">
        <v>688.0</v>
      </c>
      <c r="W3718" s="1">
        <v>688.0</v>
      </c>
      <c r="X3718" s="1" t="s">
        <v>35</v>
      </c>
      <c r="Y3718" s="1">
        <v>688000.0</v>
      </c>
      <c r="Z3718" s="1"/>
      <c r="AA3718" s="1">
        <v>688000.0</v>
      </c>
      <c r="AB3718" s="1"/>
      <c r="AC3718" s="1" t="s">
        <v>36</v>
      </c>
      <c r="AD3718" s="1" t="s">
        <v>12922</v>
      </c>
      <c r="AE3718" s="1" t="s">
        <v>32</v>
      </c>
      <c r="AF3718" s="1" t="s">
        <v>33</v>
      </c>
      <c r="AG3718" s="1" t="s">
        <v>270</v>
      </c>
    </row>
    <row r="3719" spans="1:33">
      <c r="A3719" t="s">
        <v>12933</v>
      </c>
      <c r="C3719" t="s">
        <v>5687</v>
      </c>
      <c r="E3719" t="s">
        <v>12416</v>
      </c>
      <c r="F3719" t="s">
        <v>12341</v>
      </c>
      <c r="G3719">
        <v>714.5</v>
      </c>
      <c r="H3719">
        <v>714.5</v>
      </c>
      <c r="I3719" t="s">
        <v>227</v>
      </c>
      <c r="J3719" t="s">
        <v>228</v>
      </c>
      <c r="K3719" t="s">
        <v>31</v>
      </c>
      <c r="L3719" t="s">
        <v>32</v>
      </c>
      <c r="M3719" t="s">
        <v>33</v>
      </c>
      <c r="P3719" s="1" t="s">
        <v>12934</v>
      </c>
      <c r="Q3719" s="1" t="s">
        <v>12416</v>
      </c>
      <c r="R3719" s="1" t="s">
        <v>12416</v>
      </c>
      <c r="S3719" s="1"/>
      <c r="T3719" s="1" t="s">
        <v>5687</v>
      </c>
      <c r="U3719" s="1"/>
      <c r="V3719" s="1">
        <v>714.5</v>
      </c>
      <c r="W3719" s="1">
        <v>714.5</v>
      </c>
      <c r="X3719" s="1" t="s">
        <v>35</v>
      </c>
      <c r="Y3719" s="1">
        <v>714500.0</v>
      </c>
      <c r="Z3719" s="1"/>
      <c r="AA3719" s="1">
        <v>714500.0</v>
      </c>
      <c r="AB3719" s="1"/>
      <c r="AC3719" s="1" t="s">
        <v>36</v>
      </c>
      <c r="AD3719" s="1" t="s">
        <v>12826</v>
      </c>
      <c r="AE3719" s="1" t="s">
        <v>32</v>
      </c>
      <c r="AF3719" s="1" t="s">
        <v>33</v>
      </c>
      <c r="AG3719" s="1" t="s">
        <v>228</v>
      </c>
    </row>
    <row r="3720" spans="1:33">
      <c r="A3720" t="s">
        <v>12935</v>
      </c>
      <c r="C3720" t="s">
        <v>1087</v>
      </c>
      <c r="E3720" t="s">
        <v>12416</v>
      </c>
      <c r="F3720" t="s">
        <v>12341</v>
      </c>
      <c r="G3720">
        <v>865.0</v>
      </c>
      <c r="H3720">
        <v>865.0</v>
      </c>
      <c r="I3720" t="s">
        <v>269</v>
      </c>
      <c r="J3720" t="s">
        <v>270</v>
      </c>
      <c r="K3720" t="s">
        <v>31</v>
      </c>
      <c r="L3720" t="s">
        <v>32</v>
      </c>
      <c r="M3720" t="s">
        <v>33</v>
      </c>
      <c r="P3720" s="1" t="s">
        <v>12936</v>
      </c>
      <c r="Q3720" s="1" t="s">
        <v>12416</v>
      </c>
      <c r="R3720" s="1" t="s">
        <v>12416</v>
      </c>
      <c r="S3720" s="1"/>
      <c r="T3720" s="1" t="s">
        <v>1087</v>
      </c>
      <c r="U3720" s="1"/>
      <c r="V3720" s="1">
        <v>865.0</v>
      </c>
      <c r="W3720" s="1">
        <v>865.0</v>
      </c>
      <c r="X3720" s="1" t="s">
        <v>35</v>
      </c>
      <c r="Y3720" s="1">
        <v>865000.0</v>
      </c>
      <c r="Z3720" s="1"/>
      <c r="AA3720" s="1">
        <v>865000.0</v>
      </c>
      <c r="AB3720" s="1"/>
      <c r="AC3720" s="1" t="s">
        <v>36</v>
      </c>
      <c r="AD3720" s="1" t="s">
        <v>12937</v>
      </c>
      <c r="AE3720" s="1" t="s">
        <v>32</v>
      </c>
      <c r="AF3720" s="1" t="s">
        <v>33</v>
      </c>
      <c r="AG3720" s="1" t="s">
        <v>270</v>
      </c>
    </row>
    <row r="3721" spans="1:33">
      <c r="A3721" t="s">
        <v>12938</v>
      </c>
      <c r="B3721" t="s">
        <v>1965</v>
      </c>
      <c r="C3721" t="s">
        <v>314</v>
      </c>
      <c r="E3721" t="s">
        <v>12416</v>
      </c>
      <c r="F3721" t="s">
        <v>12341</v>
      </c>
      <c r="G3721">
        <v>71.23</v>
      </c>
      <c r="H3721">
        <v>71.23</v>
      </c>
      <c r="I3721" t="s">
        <v>179</v>
      </c>
      <c r="J3721" t="s">
        <v>180</v>
      </c>
      <c r="K3721" t="s">
        <v>31</v>
      </c>
      <c r="L3721" t="s">
        <v>32</v>
      </c>
      <c r="M3721" t="s">
        <v>33</v>
      </c>
      <c r="P3721" s="1" t="s">
        <v>12939</v>
      </c>
      <c r="Q3721" s="1" t="s">
        <v>12416</v>
      </c>
      <c r="R3721" s="1" t="s">
        <v>12416</v>
      </c>
      <c r="S3721" s="1"/>
      <c r="T3721" s="1" t="s">
        <v>314</v>
      </c>
      <c r="U3721" s="1"/>
      <c r="V3721" s="1">
        <v>71.23</v>
      </c>
      <c r="W3721" s="1">
        <v>71.23</v>
      </c>
      <c r="X3721" s="1" t="s">
        <v>35</v>
      </c>
      <c r="Y3721" s="1">
        <v>71230.0</v>
      </c>
      <c r="Z3721" s="1"/>
      <c r="AA3721" s="1">
        <v>71230.0</v>
      </c>
      <c r="AB3721" s="1"/>
      <c r="AC3721" s="1" t="s">
        <v>36</v>
      </c>
      <c r="AD3721" s="1" t="s">
        <v>12927</v>
      </c>
      <c r="AE3721" s="1" t="s">
        <v>32</v>
      </c>
      <c r="AF3721" s="1" t="s">
        <v>33</v>
      </c>
      <c r="AG3721" s="1" t="s">
        <v>180</v>
      </c>
    </row>
    <row r="3722" spans="1:33">
      <c r="A3722" t="s">
        <v>12940</v>
      </c>
      <c r="C3722" t="s">
        <v>3871</v>
      </c>
      <c r="E3722" t="s">
        <v>12416</v>
      </c>
      <c r="F3722" t="s">
        <v>12341</v>
      </c>
      <c r="G3722">
        <v>516.0</v>
      </c>
      <c r="H3722">
        <v>516.0</v>
      </c>
      <c r="I3722" t="s">
        <v>570</v>
      </c>
      <c r="J3722" t="s">
        <v>571</v>
      </c>
      <c r="K3722" t="s">
        <v>31</v>
      </c>
      <c r="L3722" t="s">
        <v>32</v>
      </c>
      <c r="M3722" t="s">
        <v>33</v>
      </c>
      <c r="P3722" s="1" t="s">
        <v>12941</v>
      </c>
      <c r="Q3722" s="1" t="s">
        <v>12416</v>
      </c>
      <c r="R3722" s="1" t="s">
        <v>12416</v>
      </c>
      <c r="S3722" s="1"/>
      <c r="T3722" s="1" t="s">
        <v>3871</v>
      </c>
      <c r="U3722" s="1"/>
      <c r="V3722" s="1">
        <v>516.0</v>
      </c>
      <c r="W3722" s="1">
        <v>516.0</v>
      </c>
      <c r="X3722" s="1" t="s">
        <v>35</v>
      </c>
      <c r="Y3722" s="1">
        <v>516000.0</v>
      </c>
      <c r="Z3722" s="1"/>
      <c r="AA3722" s="1">
        <v>516000.0</v>
      </c>
      <c r="AB3722" s="1"/>
      <c r="AC3722" s="1" t="s">
        <v>36</v>
      </c>
      <c r="AD3722" s="1" t="s">
        <v>12942</v>
      </c>
      <c r="AE3722" s="1" t="s">
        <v>32</v>
      </c>
      <c r="AF3722" s="1" t="s">
        <v>33</v>
      </c>
      <c r="AG3722" s="1" t="s">
        <v>571</v>
      </c>
    </row>
    <row r="3723" spans="1:33">
      <c r="A3723" t="s">
        <v>12943</v>
      </c>
      <c r="C3723" t="s">
        <v>73</v>
      </c>
      <c r="E3723" t="s">
        <v>12416</v>
      </c>
      <c r="F3723" t="s">
        <v>12341</v>
      </c>
      <c r="G3723">
        <v>43.98</v>
      </c>
      <c r="H3723">
        <v>43.98</v>
      </c>
      <c r="I3723" t="s">
        <v>40</v>
      </c>
      <c r="J3723" t="s">
        <v>41</v>
      </c>
      <c r="K3723" t="s">
        <v>31</v>
      </c>
      <c r="L3723" t="s">
        <v>32</v>
      </c>
      <c r="M3723" t="s">
        <v>33</v>
      </c>
      <c r="P3723" s="1" t="s">
        <v>12944</v>
      </c>
      <c r="Q3723" s="1" t="s">
        <v>12416</v>
      </c>
      <c r="R3723" s="1" t="s">
        <v>11609</v>
      </c>
      <c r="S3723" s="1"/>
      <c r="T3723" s="1" t="s">
        <v>75</v>
      </c>
      <c r="U3723" s="1" t="s">
        <v>76</v>
      </c>
      <c r="V3723" s="1">
        <v>43.98</v>
      </c>
      <c r="W3723" s="1">
        <v>43.98</v>
      </c>
      <c r="X3723" s="1" t="s">
        <v>35</v>
      </c>
      <c r="Y3723" s="1">
        <v>43980.0</v>
      </c>
      <c r="Z3723" s="1"/>
      <c r="AA3723" s="1">
        <v>43980.0</v>
      </c>
      <c r="AB3723" s="1"/>
      <c r="AC3723" s="1" t="s">
        <v>36</v>
      </c>
      <c r="AD3723" s="1" t="s">
        <v>12945</v>
      </c>
      <c r="AE3723" s="1" t="s">
        <v>32</v>
      </c>
      <c r="AF3723" s="1" t="s">
        <v>33</v>
      </c>
      <c r="AG3723" s="1" t="s">
        <v>41</v>
      </c>
    </row>
    <row r="3724" spans="1:33">
      <c r="A3724" t="s">
        <v>12946</v>
      </c>
      <c r="C3724" t="s">
        <v>1053</v>
      </c>
      <c r="E3724" t="s">
        <v>12416</v>
      </c>
      <c r="F3724" t="s">
        <v>12341</v>
      </c>
      <c r="G3724">
        <v>424.0</v>
      </c>
      <c r="H3724">
        <v>424.0</v>
      </c>
      <c r="I3724" t="s">
        <v>179</v>
      </c>
      <c r="J3724" t="s">
        <v>180</v>
      </c>
      <c r="K3724" t="s">
        <v>31</v>
      </c>
      <c r="L3724" t="s">
        <v>32</v>
      </c>
      <c r="M3724" t="s">
        <v>33</v>
      </c>
      <c r="P3724" s="1" t="s">
        <v>12947</v>
      </c>
      <c r="Q3724" s="1" t="s">
        <v>12416</v>
      </c>
      <c r="R3724" s="1" t="s">
        <v>12416</v>
      </c>
      <c r="S3724" s="1"/>
      <c r="T3724" s="1" t="s">
        <v>1053</v>
      </c>
      <c r="U3724" s="1"/>
      <c r="V3724" s="1">
        <v>424.0</v>
      </c>
      <c r="W3724" s="1">
        <v>424.0</v>
      </c>
      <c r="X3724" s="1" t="s">
        <v>35</v>
      </c>
      <c r="Y3724" s="1">
        <v>424000.0</v>
      </c>
      <c r="Z3724" s="1"/>
      <c r="AA3724" s="1">
        <v>424000.0</v>
      </c>
      <c r="AB3724" s="1"/>
      <c r="AC3724" s="1" t="s">
        <v>36</v>
      </c>
      <c r="AD3724" s="1" t="s">
        <v>12948</v>
      </c>
      <c r="AE3724" s="1" t="s">
        <v>32</v>
      </c>
      <c r="AF3724" s="1" t="s">
        <v>33</v>
      </c>
      <c r="AG3724" s="1" t="s">
        <v>180</v>
      </c>
    </row>
    <row r="3725" spans="1:33">
      <c r="A3725" t="s">
        <v>12949</v>
      </c>
      <c r="C3725" t="s">
        <v>12950</v>
      </c>
      <c r="E3725" t="s">
        <v>12416</v>
      </c>
      <c r="F3725" t="s">
        <v>12341</v>
      </c>
      <c r="G3725">
        <v>694.5</v>
      </c>
      <c r="H3725">
        <v>694.5</v>
      </c>
      <c r="I3725" t="s">
        <v>173</v>
      </c>
      <c r="J3725" t="s">
        <v>174</v>
      </c>
      <c r="K3725" t="s">
        <v>31</v>
      </c>
      <c r="L3725" t="s">
        <v>32</v>
      </c>
      <c r="M3725" t="s">
        <v>33</v>
      </c>
      <c r="P3725" s="1" t="s">
        <v>12951</v>
      </c>
      <c r="Q3725" s="1" t="s">
        <v>12416</v>
      </c>
      <c r="R3725" s="1" t="s">
        <v>12416</v>
      </c>
      <c r="S3725" s="1"/>
      <c r="T3725" s="1" t="s">
        <v>12950</v>
      </c>
      <c r="U3725" s="1"/>
      <c r="V3725" s="1">
        <v>694.5</v>
      </c>
      <c r="W3725" s="1">
        <v>694.5</v>
      </c>
      <c r="X3725" s="1" t="s">
        <v>35</v>
      </c>
      <c r="Y3725" s="1">
        <v>694500.0</v>
      </c>
      <c r="Z3725" s="1"/>
      <c r="AA3725" s="1">
        <v>694500.0</v>
      </c>
      <c r="AB3725" s="1"/>
      <c r="AC3725" s="1" t="s">
        <v>36</v>
      </c>
      <c r="AD3725" s="1" t="s">
        <v>12952</v>
      </c>
      <c r="AE3725" s="1" t="s">
        <v>32</v>
      </c>
      <c r="AF3725" s="1" t="s">
        <v>33</v>
      </c>
      <c r="AG3725" s="1" t="s">
        <v>174</v>
      </c>
    </row>
    <row r="3726" spans="1:33">
      <c r="A3726" t="s">
        <v>12953</v>
      </c>
      <c r="C3726" t="s">
        <v>73</v>
      </c>
      <c r="E3726" t="s">
        <v>12416</v>
      </c>
      <c r="F3726" t="s">
        <v>12341</v>
      </c>
      <c r="G3726">
        <v>20.99</v>
      </c>
      <c r="H3726">
        <v>20.99</v>
      </c>
      <c r="I3726" t="s">
        <v>40</v>
      </c>
      <c r="J3726" t="s">
        <v>41</v>
      </c>
      <c r="K3726" t="s">
        <v>31</v>
      </c>
      <c r="L3726" t="s">
        <v>32</v>
      </c>
      <c r="M3726" t="s">
        <v>33</v>
      </c>
      <c r="P3726" s="1" t="s">
        <v>12954</v>
      </c>
      <c r="Q3726" s="1" t="s">
        <v>12416</v>
      </c>
      <c r="R3726" s="1" t="s">
        <v>11609</v>
      </c>
      <c r="S3726" s="1"/>
      <c r="T3726" s="1" t="s">
        <v>75</v>
      </c>
      <c r="U3726" s="1" t="s">
        <v>76</v>
      </c>
      <c r="V3726" s="1">
        <v>20.99</v>
      </c>
      <c r="W3726" s="1">
        <v>20.99</v>
      </c>
      <c r="X3726" s="1" t="s">
        <v>35</v>
      </c>
      <c r="Y3726" s="1">
        <v>20990.0</v>
      </c>
      <c r="Z3726" s="1"/>
      <c r="AA3726" s="1">
        <v>20990.0</v>
      </c>
      <c r="AB3726" s="1"/>
      <c r="AC3726" s="1" t="s">
        <v>36</v>
      </c>
      <c r="AD3726" s="1" t="s">
        <v>12955</v>
      </c>
      <c r="AE3726" s="1" t="s">
        <v>32</v>
      </c>
      <c r="AF3726" s="1" t="s">
        <v>33</v>
      </c>
      <c r="AG3726" s="1" t="s">
        <v>41</v>
      </c>
    </row>
    <row r="3727" spans="1:33">
      <c r="A3727" t="s">
        <v>12956</v>
      </c>
      <c r="C3727" t="s">
        <v>73</v>
      </c>
      <c r="E3727" t="s">
        <v>12416</v>
      </c>
      <c r="F3727" t="s">
        <v>12341</v>
      </c>
      <c r="G3727">
        <v>4.39</v>
      </c>
      <c r="H3727">
        <v>4.39</v>
      </c>
      <c r="I3727" t="s">
        <v>40</v>
      </c>
      <c r="J3727" t="s">
        <v>41</v>
      </c>
      <c r="K3727" t="s">
        <v>31</v>
      </c>
      <c r="L3727" t="s">
        <v>32</v>
      </c>
      <c r="M3727" t="s">
        <v>33</v>
      </c>
      <c r="P3727" s="1" t="s">
        <v>12957</v>
      </c>
      <c r="Q3727" s="1" t="s">
        <v>12416</v>
      </c>
      <c r="R3727" s="1" t="s">
        <v>11609</v>
      </c>
      <c r="S3727" s="1"/>
      <c r="T3727" s="1" t="s">
        <v>75</v>
      </c>
      <c r="U3727" s="1" t="s">
        <v>76</v>
      </c>
      <c r="V3727" s="1">
        <v>4.39</v>
      </c>
      <c r="W3727" s="1">
        <v>4.39</v>
      </c>
      <c r="X3727" s="1" t="s">
        <v>35</v>
      </c>
      <c r="Y3727" s="1">
        <v>4390.0</v>
      </c>
      <c r="Z3727" s="1"/>
      <c r="AA3727" s="1">
        <v>4390.0</v>
      </c>
      <c r="AB3727" s="1"/>
      <c r="AC3727" s="1" t="s">
        <v>36</v>
      </c>
      <c r="AD3727" s="1" t="s">
        <v>12958</v>
      </c>
      <c r="AE3727" s="1" t="s">
        <v>32</v>
      </c>
      <c r="AF3727" s="1" t="s">
        <v>33</v>
      </c>
      <c r="AG3727" s="1" t="s">
        <v>41</v>
      </c>
    </row>
    <row r="3728" spans="1:33">
      <c r="A3728" t="s">
        <v>12959</v>
      </c>
      <c r="C3728" t="s">
        <v>12960</v>
      </c>
      <c r="E3728" t="s">
        <v>12416</v>
      </c>
      <c r="F3728" t="s">
        <v>12341</v>
      </c>
      <c r="G3728">
        <v>362.0</v>
      </c>
      <c r="H3728">
        <v>362.0</v>
      </c>
      <c r="I3728" t="s">
        <v>126</v>
      </c>
      <c r="J3728" t="s">
        <v>127</v>
      </c>
      <c r="K3728" t="s">
        <v>31</v>
      </c>
      <c r="L3728" t="s">
        <v>32</v>
      </c>
      <c r="M3728" t="s">
        <v>33</v>
      </c>
      <c r="P3728" s="1" t="s">
        <v>12961</v>
      </c>
      <c r="Q3728" s="1" t="s">
        <v>12416</v>
      </c>
      <c r="R3728" s="1" t="s">
        <v>12416</v>
      </c>
      <c r="S3728" s="1"/>
      <c r="T3728" s="1" t="s">
        <v>12962</v>
      </c>
      <c r="U3728" s="1" t="s">
        <v>12963</v>
      </c>
      <c r="V3728" s="1">
        <v>362.0</v>
      </c>
      <c r="W3728" s="1">
        <v>362.0</v>
      </c>
      <c r="X3728" s="1" t="s">
        <v>35</v>
      </c>
      <c r="Y3728" s="1">
        <v>362000.0</v>
      </c>
      <c r="Z3728" s="1"/>
      <c r="AA3728" s="1">
        <v>362000.0</v>
      </c>
      <c r="AB3728" s="1"/>
      <c r="AC3728" s="1" t="s">
        <v>36</v>
      </c>
      <c r="AD3728" s="1" t="s">
        <v>12964</v>
      </c>
      <c r="AE3728" s="1" t="s">
        <v>32</v>
      </c>
      <c r="AF3728" s="1" t="s">
        <v>33</v>
      </c>
      <c r="AG3728" s="1" t="s">
        <v>127</v>
      </c>
    </row>
    <row r="3729" spans="1:33">
      <c r="A3729" t="s">
        <v>12965</v>
      </c>
      <c r="C3729" t="s">
        <v>2617</v>
      </c>
      <c r="E3729" t="s">
        <v>12416</v>
      </c>
      <c r="F3729" t="s">
        <v>12341</v>
      </c>
      <c r="G3729">
        <v>86.0</v>
      </c>
      <c r="H3729">
        <v>86.0</v>
      </c>
      <c r="I3729" t="s">
        <v>179</v>
      </c>
      <c r="J3729" t="s">
        <v>180</v>
      </c>
      <c r="K3729" t="s">
        <v>31</v>
      </c>
      <c r="L3729" t="s">
        <v>32</v>
      </c>
      <c r="M3729" t="s">
        <v>33</v>
      </c>
      <c r="P3729" s="1" t="s">
        <v>12966</v>
      </c>
      <c r="Q3729" s="1" t="s">
        <v>12416</v>
      </c>
      <c r="R3729" s="1" t="s">
        <v>12416</v>
      </c>
      <c r="S3729" s="1"/>
      <c r="T3729" s="1" t="s">
        <v>2617</v>
      </c>
      <c r="U3729" s="1"/>
      <c r="V3729" s="1">
        <v>86.0</v>
      </c>
      <c r="W3729" s="1">
        <v>86.0</v>
      </c>
      <c r="X3729" s="1" t="s">
        <v>35</v>
      </c>
      <c r="Y3729" s="1">
        <v>86000.0</v>
      </c>
      <c r="Z3729" s="1"/>
      <c r="AA3729" s="1">
        <v>86000.0</v>
      </c>
      <c r="AB3729" s="1"/>
      <c r="AC3729" s="1" t="s">
        <v>36</v>
      </c>
      <c r="AD3729" s="1" t="s">
        <v>12967</v>
      </c>
      <c r="AE3729" s="1" t="s">
        <v>32</v>
      </c>
      <c r="AF3729" s="1" t="s">
        <v>33</v>
      </c>
      <c r="AG3729" s="1" t="s">
        <v>180</v>
      </c>
    </row>
    <row r="3730" spans="1:33">
      <c r="A3730" t="s">
        <v>12968</v>
      </c>
      <c r="B3730" t="s">
        <v>12969</v>
      </c>
      <c r="C3730" t="s">
        <v>68</v>
      </c>
      <c r="E3730" t="s">
        <v>12416</v>
      </c>
      <c r="F3730" t="s">
        <v>12341</v>
      </c>
      <c r="G3730">
        <v>11.716</v>
      </c>
      <c r="H3730">
        <v>11.716</v>
      </c>
      <c r="I3730" t="s">
        <v>59</v>
      </c>
      <c r="J3730" t="s">
        <v>60</v>
      </c>
      <c r="K3730" t="s">
        <v>31</v>
      </c>
      <c r="L3730" t="s">
        <v>32</v>
      </c>
      <c r="M3730" t="s">
        <v>33</v>
      </c>
      <c r="P3730" s="1" t="s">
        <v>12970</v>
      </c>
      <c r="Q3730" s="1" t="s">
        <v>12416</v>
      </c>
      <c r="R3730" s="1" t="s">
        <v>12416</v>
      </c>
      <c r="S3730" s="1"/>
      <c r="T3730" s="1" t="s">
        <v>68</v>
      </c>
      <c r="U3730" s="1"/>
      <c r="V3730" s="1">
        <v>11.716</v>
      </c>
      <c r="W3730" s="1">
        <v>11.716</v>
      </c>
      <c r="X3730" s="1" t="s">
        <v>35</v>
      </c>
      <c r="Y3730" s="1">
        <v>11716.0</v>
      </c>
      <c r="Z3730" s="1"/>
      <c r="AA3730" s="1">
        <v>11716.0</v>
      </c>
      <c r="AB3730" s="1"/>
      <c r="AC3730" s="1" t="s">
        <v>36</v>
      </c>
      <c r="AD3730" s="1" t="s">
        <v>12971</v>
      </c>
      <c r="AE3730" s="1" t="s">
        <v>32</v>
      </c>
      <c r="AF3730" s="1" t="s">
        <v>33</v>
      </c>
      <c r="AG3730" s="1" t="s">
        <v>60</v>
      </c>
    </row>
    <row r="3731" spans="1:33">
      <c r="A3731" t="s">
        <v>12972</v>
      </c>
      <c r="C3731" t="s">
        <v>2617</v>
      </c>
      <c r="E3731" t="s">
        <v>12416</v>
      </c>
      <c r="F3731" t="s">
        <v>12341</v>
      </c>
      <c r="G3731">
        <v>1.359</v>
      </c>
      <c r="H3731">
        <v>1.359</v>
      </c>
      <c r="I3731" t="s">
        <v>179</v>
      </c>
      <c r="J3731" t="s">
        <v>180</v>
      </c>
      <c r="K3731" t="s">
        <v>31</v>
      </c>
      <c r="L3731" t="s">
        <v>32</v>
      </c>
      <c r="M3731" t="s">
        <v>33</v>
      </c>
      <c r="P3731" s="1" t="s">
        <v>12973</v>
      </c>
      <c r="Q3731" s="1" t="s">
        <v>12416</v>
      </c>
      <c r="R3731" s="1" t="s">
        <v>12416</v>
      </c>
      <c r="S3731" s="1"/>
      <c r="T3731" s="1" t="s">
        <v>2617</v>
      </c>
      <c r="U3731" s="1"/>
      <c r="V3731" s="1">
        <v>1.359</v>
      </c>
      <c r="W3731" s="1">
        <v>1.359</v>
      </c>
      <c r="X3731" s="1" t="s">
        <v>35</v>
      </c>
      <c r="Y3731" s="1">
        <v>1359000.0</v>
      </c>
      <c r="Z3731" s="1"/>
      <c r="AA3731" s="1">
        <v>1359000.0</v>
      </c>
      <c r="AB3731" s="1"/>
      <c r="AC3731" s="1" t="s">
        <v>36</v>
      </c>
      <c r="AD3731" s="1" t="s">
        <v>12964</v>
      </c>
      <c r="AE3731" s="1" t="s">
        <v>32</v>
      </c>
      <c r="AF3731" s="1" t="s">
        <v>33</v>
      </c>
      <c r="AG3731" s="1" t="s">
        <v>180</v>
      </c>
    </row>
    <row r="3732" spans="1:33">
      <c r="A3732" t="s">
        <v>12974</v>
      </c>
      <c r="C3732" t="s">
        <v>613</v>
      </c>
      <c r="E3732" t="s">
        <v>12416</v>
      </c>
      <c r="F3732" t="s">
        <v>12341</v>
      </c>
      <c r="G3732">
        <v>45.0</v>
      </c>
      <c r="H3732">
        <v>45.0</v>
      </c>
      <c r="I3732" t="s">
        <v>269</v>
      </c>
      <c r="J3732" t="s">
        <v>270</v>
      </c>
      <c r="K3732" t="s">
        <v>31</v>
      </c>
      <c r="L3732" t="s">
        <v>32</v>
      </c>
      <c r="M3732" t="s">
        <v>33</v>
      </c>
      <c r="P3732" s="1" t="s">
        <v>12975</v>
      </c>
      <c r="Q3732" s="1" t="s">
        <v>12416</v>
      </c>
      <c r="R3732" s="1" t="s">
        <v>12416</v>
      </c>
      <c r="S3732" s="1"/>
      <c r="T3732" s="1" t="s">
        <v>613</v>
      </c>
      <c r="U3732" s="1"/>
      <c r="V3732" s="1">
        <v>45.0</v>
      </c>
      <c r="W3732" s="1">
        <v>45.0</v>
      </c>
      <c r="X3732" s="1" t="s">
        <v>35</v>
      </c>
      <c r="Y3732" s="1">
        <v>45000.0</v>
      </c>
      <c r="Z3732" s="1"/>
      <c r="AA3732" s="1">
        <v>45000.0</v>
      </c>
      <c r="AB3732" s="1"/>
      <c r="AC3732" s="1" t="s">
        <v>36</v>
      </c>
      <c r="AD3732" s="1" t="s">
        <v>12976</v>
      </c>
      <c r="AE3732" s="1" t="s">
        <v>32</v>
      </c>
      <c r="AF3732" s="1" t="s">
        <v>33</v>
      </c>
      <c r="AG3732" s="1" t="s">
        <v>270</v>
      </c>
    </row>
    <row r="3733" spans="1:33">
      <c r="A3733" t="s">
        <v>12977</v>
      </c>
      <c r="C3733" t="s">
        <v>806</v>
      </c>
      <c r="D3733" t="s">
        <v>154</v>
      </c>
      <c r="E3733" t="s">
        <v>12416</v>
      </c>
      <c r="F3733" t="s">
        <v>12341</v>
      </c>
      <c r="G3733">
        <v>878.0</v>
      </c>
      <c r="H3733">
        <v>878.0</v>
      </c>
      <c r="I3733" t="s">
        <v>269</v>
      </c>
      <c r="J3733" t="s">
        <v>270</v>
      </c>
      <c r="K3733" t="s">
        <v>31</v>
      </c>
      <c r="L3733" t="s">
        <v>32</v>
      </c>
      <c r="M3733" t="s">
        <v>33</v>
      </c>
      <c r="P3733" s="1" t="s">
        <v>12978</v>
      </c>
      <c r="Q3733" s="1" t="s">
        <v>12416</v>
      </c>
      <c r="R3733" s="1" t="s">
        <v>12416</v>
      </c>
      <c r="S3733" s="1"/>
      <c r="T3733" s="1" t="s">
        <v>806</v>
      </c>
      <c r="U3733" s="1"/>
      <c r="V3733" s="1">
        <v>878.0</v>
      </c>
      <c r="W3733" s="1">
        <v>878.0</v>
      </c>
      <c r="X3733" s="1" t="s">
        <v>35</v>
      </c>
      <c r="Y3733" s="1">
        <v>878000.0</v>
      </c>
      <c r="Z3733" s="1"/>
      <c r="AA3733" s="1">
        <v>878000.0</v>
      </c>
      <c r="AB3733" s="1"/>
      <c r="AC3733" s="1" t="s">
        <v>36</v>
      </c>
      <c r="AD3733" s="1" t="s">
        <v>12971</v>
      </c>
      <c r="AE3733" s="1" t="s">
        <v>32</v>
      </c>
      <c r="AF3733" s="1" t="s">
        <v>33</v>
      </c>
      <c r="AG3733" s="1" t="s">
        <v>270</v>
      </c>
    </row>
    <row r="3734" spans="1:33">
      <c r="A3734" t="s">
        <v>12979</v>
      </c>
      <c r="C3734" t="s">
        <v>506</v>
      </c>
      <c r="E3734" t="s">
        <v>12416</v>
      </c>
      <c r="F3734" t="s">
        <v>12341</v>
      </c>
      <c r="G3734">
        <v>1.707</v>
      </c>
      <c r="H3734">
        <v>1.707</v>
      </c>
      <c r="I3734" t="s">
        <v>269</v>
      </c>
      <c r="J3734" t="s">
        <v>270</v>
      </c>
      <c r="K3734" t="s">
        <v>31</v>
      </c>
      <c r="L3734" t="s">
        <v>32</v>
      </c>
      <c r="M3734" t="s">
        <v>33</v>
      </c>
      <c r="P3734" s="1" t="s">
        <v>12980</v>
      </c>
      <c r="Q3734" s="1" t="s">
        <v>12416</v>
      </c>
      <c r="R3734" s="1" t="s">
        <v>12416</v>
      </c>
      <c r="S3734" s="1"/>
      <c r="T3734" s="1" t="s">
        <v>506</v>
      </c>
      <c r="U3734" s="1"/>
      <c r="V3734" s="1">
        <v>1.707</v>
      </c>
      <c r="W3734" s="1">
        <v>1.707</v>
      </c>
      <c r="X3734" s="1" t="s">
        <v>35</v>
      </c>
      <c r="Y3734" s="1">
        <v>1707000.0</v>
      </c>
      <c r="Z3734" s="1"/>
      <c r="AA3734" s="1">
        <v>1707000.0</v>
      </c>
      <c r="AB3734" s="1"/>
      <c r="AC3734" s="1" t="s">
        <v>36</v>
      </c>
      <c r="AD3734" s="1" t="s">
        <v>12981</v>
      </c>
      <c r="AE3734" s="1" t="s">
        <v>32</v>
      </c>
      <c r="AF3734" s="1" t="s">
        <v>33</v>
      </c>
      <c r="AG3734" s="1" t="s">
        <v>270</v>
      </c>
    </row>
    <row r="3735" spans="1:33">
      <c r="A3735" t="s">
        <v>12982</v>
      </c>
      <c r="B3735" t="s">
        <v>12983</v>
      </c>
      <c r="C3735" t="s">
        <v>569</v>
      </c>
      <c r="E3735" t="s">
        <v>12416</v>
      </c>
      <c r="F3735" t="s">
        <v>12341</v>
      </c>
      <c r="G3735">
        <v>24.338</v>
      </c>
      <c r="H3735">
        <v>24.338</v>
      </c>
      <c r="I3735" t="s">
        <v>570</v>
      </c>
      <c r="J3735" t="s">
        <v>571</v>
      </c>
      <c r="K3735" t="s">
        <v>31</v>
      </c>
      <c r="L3735" t="s">
        <v>32</v>
      </c>
      <c r="M3735" t="s">
        <v>33</v>
      </c>
      <c r="P3735" s="1" t="s">
        <v>12984</v>
      </c>
      <c r="Q3735" s="1" t="s">
        <v>12416</v>
      </c>
      <c r="R3735" s="1" t="s">
        <v>12416</v>
      </c>
      <c r="S3735" s="1"/>
      <c r="T3735" s="1" t="s">
        <v>569</v>
      </c>
      <c r="U3735" s="1"/>
      <c r="V3735" s="1">
        <v>24.338</v>
      </c>
      <c r="W3735" s="1">
        <v>24.338</v>
      </c>
      <c r="X3735" s="1" t="s">
        <v>35</v>
      </c>
      <c r="Y3735" s="1">
        <v>24338.0</v>
      </c>
      <c r="Z3735" s="1"/>
      <c r="AA3735" s="1">
        <v>24338.0</v>
      </c>
      <c r="AB3735" s="1"/>
      <c r="AC3735" s="1" t="s">
        <v>36</v>
      </c>
      <c r="AD3735" s="1" t="s">
        <v>12985</v>
      </c>
      <c r="AE3735" s="1" t="s">
        <v>32</v>
      </c>
      <c r="AF3735" s="1" t="s">
        <v>33</v>
      </c>
      <c r="AG3735" s="1" t="s">
        <v>571</v>
      </c>
    </row>
    <row r="3736" spans="1:33">
      <c r="A3736" t="s">
        <v>12986</v>
      </c>
      <c r="C3736" t="s">
        <v>674</v>
      </c>
      <c r="E3736" t="s">
        <v>12416</v>
      </c>
      <c r="F3736" t="s">
        <v>12341</v>
      </c>
      <c r="G3736">
        <v>738.0</v>
      </c>
      <c r="H3736">
        <v>738.0</v>
      </c>
      <c r="I3736" t="s">
        <v>269</v>
      </c>
      <c r="J3736" t="s">
        <v>270</v>
      </c>
      <c r="K3736" t="s">
        <v>31</v>
      </c>
      <c r="L3736" t="s">
        <v>32</v>
      </c>
      <c r="M3736" t="s">
        <v>33</v>
      </c>
      <c r="P3736" s="1" t="s">
        <v>12987</v>
      </c>
      <c r="Q3736" s="1" t="s">
        <v>12416</v>
      </c>
      <c r="R3736" s="1" t="s">
        <v>12416</v>
      </c>
      <c r="S3736" s="1"/>
      <c r="T3736" s="1" t="s">
        <v>674</v>
      </c>
      <c r="U3736" s="1"/>
      <c r="V3736" s="1">
        <v>738.0</v>
      </c>
      <c r="W3736" s="1">
        <v>738.0</v>
      </c>
      <c r="X3736" s="1" t="s">
        <v>35</v>
      </c>
      <c r="Y3736" s="1">
        <v>738000.0</v>
      </c>
      <c r="Z3736" s="1"/>
      <c r="AA3736" s="1">
        <v>738000.0</v>
      </c>
      <c r="AB3736" s="1"/>
      <c r="AC3736" s="1" t="s">
        <v>36</v>
      </c>
      <c r="AD3736" s="1" t="s">
        <v>12988</v>
      </c>
      <c r="AE3736" s="1" t="s">
        <v>32</v>
      </c>
      <c r="AF3736" s="1" t="s">
        <v>33</v>
      </c>
      <c r="AG3736" s="1" t="s">
        <v>270</v>
      </c>
    </row>
    <row r="3737" spans="1:33">
      <c r="A3737" t="s">
        <v>12989</v>
      </c>
      <c r="B3737" t="s">
        <v>12990</v>
      </c>
      <c r="C3737" t="s">
        <v>2741</v>
      </c>
      <c r="E3737" t="s">
        <v>12416</v>
      </c>
      <c r="F3737" t="s">
        <v>12341</v>
      </c>
      <c r="G3737">
        <v>3.0</v>
      </c>
      <c r="H3737">
        <v>3.0</v>
      </c>
      <c r="I3737" t="s">
        <v>2742</v>
      </c>
      <c r="J3737" t="s">
        <v>2743</v>
      </c>
      <c r="K3737" t="s">
        <v>31</v>
      </c>
      <c r="L3737" t="s">
        <v>32</v>
      </c>
      <c r="M3737" t="s">
        <v>33</v>
      </c>
      <c r="P3737" s="1" t="s">
        <v>12991</v>
      </c>
      <c r="Q3737" s="1" t="s">
        <v>12416</v>
      </c>
      <c r="R3737" s="1" t="s">
        <v>12416</v>
      </c>
      <c r="S3737" s="1"/>
      <c r="T3737" s="1" t="s">
        <v>2741</v>
      </c>
      <c r="U3737" s="1"/>
      <c r="V3737" s="1">
        <v>3.0</v>
      </c>
      <c r="W3737" s="1">
        <v>3.0</v>
      </c>
      <c r="X3737" s="1" t="s">
        <v>35</v>
      </c>
      <c r="Y3737" s="1">
        <v>3000.0</v>
      </c>
      <c r="Z3737" s="1"/>
      <c r="AA3737" s="1">
        <v>3000.0</v>
      </c>
      <c r="AB3737" s="1"/>
      <c r="AC3737" s="1" t="s">
        <v>36</v>
      </c>
      <c r="AD3737" s="1" t="s">
        <v>12992</v>
      </c>
      <c r="AE3737" s="1" t="s">
        <v>32</v>
      </c>
      <c r="AF3737" s="1" t="s">
        <v>33</v>
      </c>
      <c r="AG3737" s="1" t="s">
        <v>2743</v>
      </c>
    </row>
    <row r="3738" spans="1:33">
      <c r="A3738" t="s">
        <v>12993</v>
      </c>
      <c r="B3738" t="s">
        <v>12994</v>
      </c>
      <c r="C3738" t="s">
        <v>414</v>
      </c>
      <c r="E3738" t="s">
        <v>12416</v>
      </c>
      <c r="F3738" t="s">
        <v>12341</v>
      </c>
      <c r="G3738">
        <v>355.0</v>
      </c>
      <c r="H3738">
        <v>355.0</v>
      </c>
      <c r="I3738" t="s">
        <v>539</v>
      </c>
      <c r="J3738" t="s">
        <v>540</v>
      </c>
      <c r="K3738" t="s">
        <v>31</v>
      </c>
      <c r="L3738" t="s">
        <v>32</v>
      </c>
      <c r="M3738" t="s">
        <v>33</v>
      </c>
      <c r="P3738" s="1" t="s">
        <v>12995</v>
      </c>
      <c r="Q3738" s="1" t="s">
        <v>12416</v>
      </c>
      <c r="R3738" s="1" t="s">
        <v>11609</v>
      </c>
      <c r="S3738" s="1"/>
      <c r="T3738" s="1" t="s">
        <v>414</v>
      </c>
      <c r="U3738" s="1"/>
      <c r="V3738" s="1">
        <v>355.0</v>
      </c>
      <c r="W3738" s="1">
        <v>355.0</v>
      </c>
      <c r="X3738" s="1" t="s">
        <v>35</v>
      </c>
      <c r="Y3738" s="1">
        <v>355000.0</v>
      </c>
      <c r="Z3738" s="1"/>
      <c r="AA3738" s="1">
        <v>355000.0</v>
      </c>
      <c r="AB3738" s="1"/>
      <c r="AC3738" s="1" t="s">
        <v>36</v>
      </c>
      <c r="AD3738" s="1" t="s">
        <v>12996</v>
      </c>
      <c r="AE3738" s="1" t="s">
        <v>32</v>
      </c>
      <c r="AF3738" s="1" t="s">
        <v>33</v>
      </c>
      <c r="AG3738" s="1" t="s">
        <v>540</v>
      </c>
    </row>
    <row r="3739" spans="1:33">
      <c r="A3739" t="s">
        <v>12997</v>
      </c>
      <c r="B3739" t="s">
        <v>12998</v>
      </c>
      <c r="C3739" t="s">
        <v>268</v>
      </c>
      <c r="E3739" t="s">
        <v>12416</v>
      </c>
      <c r="F3739" t="s">
        <v>12341</v>
      </c>
      <c r="G3739">
        <v>97.45</v>
      </c>
      <c r="H3739">
        <v>97.45</v>
      </c>
      <c r="I3739" t="s">
        <v>269</v>
      </c>
      <c r="J3739" t="s">
        <v>270</v>
      </c>
      <c r="K3739" t="s">
        <v>31</v>
      </c>
      <c r="L3739" t="s">
        <v>32</v>
      </c>
      <c r="M3739" t="s">
        <v>33</v>
      </c>
      <c r="P3739" s="1" t="s">
        <v>12999</v>
      </c>
      <c r="Q3739" s="1" t="s">
        <v>12416</v>
      </c>
      <c r="R3739" s="1" t="s">
        <v>12416</v>
      </c>
      <c r="S3739" s="1"/>
      <c r="T3739" s="1" t="s">
        <v>268</v>
      </c>
      <c r="U3739" s="1"/>
      <c r="V3739" s="1">
        <v>97.45</v>
      </c>
      <c r="W3739" s="1">
        <v>97.45</v>
      </c>
      <c r="X3739" s="1" t="s">
        <v>35</v>
      </c>
      <c r="Y3739" s="1">
        <v>97450.0</v>
      </c>
      <c r="Z3739" s="1"/>
      <c r="AA3739" s="1">
        <v>97450.0</v>
      </c>
      <c r="AB3739" s="1"/>
      <c r="AC3739" s="1" t="s">
        <v>36</v>
      </c>
      <c r="AD3739" s="1" t="s">
        <v>13000</v>
      </c>
      <c r="AE3739" s="1" t="s">
        <v>32</v>
      </c>
      <c r="AF3739" s="1" t="s">
        <v>33</v>
      </c>
      <c r="AG3739" s="1" t="s">
        <v>270</v>
      </c>
    </row>
    <row r="3740" spans="1:33">
      <c r="A3740" t="s">
        <v>13001</v>
      </c>
      <c r="B3740" t="s">
        <v>13002</v>
      </c>
      <c r="C3740" t="s">
        <v>268</v>
      </c>
      <c r="E3740" t="s">
        <v>12416</v>
      </c>
      <c r="F3740" t="s">
        <v>12341</v>
      </c>
      <c r="G3740">
        <v>16.9</v>
      </c>
      <c r="H3740">
        <v>16.9</v>
      </c>
      <c r="I3740" t="s">
        <v>269</v>
      </c>
      <c r="J3740" t="s">
        <v>270</v>
      </c>
      <c r="K3740" t="s">
        <v>31</v>
      </c>
      <c r="L3740" t="s">
        <v>32</v>
      </c>
      <c r="M3740" t="s">
        <v>33</v>
      </c>
      <c r="P3740" s="1" t="s">
        <v>13003</v>
      </c>
      <c r="Q3740" s="1" t="s">
        <v>12416</v>
      </c>
      <c r="R3740" s="1" t="s">
        <v>12416</v>
      </c>
      <c r="S3740" s="1"/>
      <c r="T3740" s="1" t="s">
        <v>268</v>
      </c>
      <c r="U3740" s="1"/>
      <c r="V3740" s="1">
        <v>16.9</v>
      </c>
      <c r="W3740" s="1">
        <v>16.9</v>
      </c>
      <c r="X3740" s="1" t="s">
        <v>35</v>
      </c>
      <c r="Y3740" s="1">
        <v>16900.0</v>
      </c>
      <c r="Z3740" s="1"/>
      <c r="AA3740" s="1">
        <v>16900.0</v>
      </c>
      <c r="AB3740" s="1"/>
      <c r="AC3740" s="1" t="s">
        <v>36</v>
      </c>
      <c r="AD3740" s="1" t="s">
        <v>13004</v>
      </c>
      <c r="AE3740" s="1" t="s">
        <v>32</v>
      </c>
      <c r="AF3740" s="1" t="s">
        <v>33</v>
      </c>
      <c r="AG3740" s="1" t="s">
        <v>270</v>
      </c>
    </row>
    <row r="3741" spans="1:33">
      <c r="A3741" t="s">
        <v>13005</v>
      </c>
      <c r="B3741" t="s">
        <v>13006</v>
      </c>
      <c r="C3741" t="s">
        <v>569</v>
      </c>
      <c r="E3741" t="s">
        <v>12416</v>
      </c>
      <c r="F3741" t="s">
        <v>12341</v>
      </c>
      <c r="G3741">
        <v>146.96</v>
      </c>
      <c r="H3741">
        <v>146.96</v>
      </c>
      <c r="I3741" t="s">
        <v>570</v>
      </c>
      <c r="J3741" t="s">
        <v>571</v>
      </c>
      <c r="K3741" t="s">
        <v>31</v>
      </c>
      <c r="L3741" t="s">
        <v>32</v>
      </c>
      <c r="M3741" t="s">
        <v>33</v>
      </c>
      <c r="P3741" s="1" t="s">
        <v>13007</v>
      </c>
      <c r="Q3741" s="1" t="s">
        <v>12416</v>
      </c>
      <c r="R3741" s="1" t="s">
        <v>12416</v>
      </c>
      <c r="S3741" s="1"/>
      <c r="T3741" s="1" t="s">
        <v>569</v>
      </c>
      <c r="U3741" s="1"/>
      <c r="V3741" s="1">
        <v>146.96</v>
      </c>
      <c r="W3741" s="1">
        <v>146.96</v>
      </c>
      <c r="X3741" s="1" t="s">
        <v>35</v>
      </c>
      <c r="Y3741" s="1">
        <v>146960.0</v>
      </c>
      <c r="Z3741" s="1"/>
      <c r="AA3741" s="1">
        <v>146960.0</v>
      </c>
      <c r="AB3741" s="1"/>
      <c r="AC3741" s="1" t="s">
        <v>36</v>
      </c>
      <c r="AD3741" s="1" t="s">
        <v>13008</v>
      </c>
      <c r="AE3741" s="1" t="s">
        <v>32</v>
      </c>
      <c r="AF3741" s="1" t="s">
        <v>33</v>
      </c>
      <c r="AG3741" s="1" t="s">
        <v>571</v>
      </c>
    </row>
    <row r="3742" spans="1:33">
      <c r="A3742" t="s">
        <v>13009</v>
      </c>
      <c r="C3742" t="s">
        <v>13010</v>
      </c>
      <c r="E3742" t="s">
        <v>12416</v>
      </c>
      <c r="F3742" t="s">
        <v>12341</v>
      </c>
      <c r="G3742">
        <v>410.0</v>
      </c>
      <c r="H3742">
        <v>410.0</v>
      </c>
      <c r="I3742" t="s">
        <v>269</v>
      </c>
      <c r="J3742" t="s">
        <v>270</v>
      </c>
      <c r="K3742" t="s">
        <v>31</v>
      </c>
      <c r="L3742" t="s">
        <v>32</v>
      </c>
      <c r="M3742" t="s">
        <v>33</v>
      </c>
      <c r="P3742" s="1" t="s">
        <v>13011</v>
      </c>
      <c r="Q3742" s="1" t="s">
        <v>12416</v>
      </c>
      <c r="R3742" s="1" t="s">
        <v>12416</v>
      </c>
      <c r="S3742" s="1"/>
      <c r="T3742" s="1" t="s">
        <v>13010</v>
      </c>
      <c r="U3742" s="1"/>
      <c r="V3742" s="1">
        <v>410.0</v>
      </c>
      <c r="W3742" s="1">
        <v>410.0</v>
      </c>
      <c r="X3742" s="1" t="s">
        <v>35</v>
      </c>
      <c r="Y3742" s="1">
        <v>410000.0</v>
      </c>
      <c r="Z3742" s="1"/>
      <c r="AA3742" s="1">
        <v>410000.0</v>
      </c>
      <c r="AB3742" s="1"/>
      <c r="AC3742" s="1" t="s">
        <v>36</v>
      </c>
      <c r="AD3742" s="1" t="s">
        <v>13008</v>
      </c>
      <c r="AE3742" s="1" t="s">
        <v>32</v>
      </c>
      <c r="AF3742" s="1" t="s">
        <v>33</v>
      </c>
      <c r="AG3742" s="1" t="s">
        <v>270</v>
      </c>
    </row>
    <row r="3743" spans="1:33">
      <c r="A3743" t="s">
        <v>13012</v>
      </c>
      <c r="B3743" t="s">
        <v>2375</v>
      </c>
      <c r="C3743" t="s">
        <v>268</v>
      </c>
      <c r="E3743" t="s">
        <v>12416</v>
      </c>
      <c r="F3743" t="s">
        <v>12341</v>
      </c>
      <c r="G3743">
        <v>16.9</v>
      </c>
      <c r="H3743">
        <v>16.9</v>
      </c>
      <c r="I3743" t="s">
        <v>269</v>
      </c>
      <c r="J3743" t="s">
        <v>270</v>
      </c>
      <c r="K3743" t="s">
        <v>31</v>
      </c>
      <c r="L3743" t="s">
        <v>32</v>
      </c>
      <c r="M3743" t="s">
        <v>33</v>
      </c>
      <c r="P3743" s="1" t="s">
        <v>13013</v>
      </c>
      <c r="Q3743" s="1" t="s">
        <v>12416</v>
      </c>
      <c r="R3743" s="1" t="s">
        <v>12416</v>
      </c>
      <c r="S3743" s="1"/>
      <c r="T3743" s="1" t="s">
        <v>268</v>
      </c>
      <c r="U3743" s="1"/>
      <c r="V3743" s="1">
        <v>16.9</v>
      </c>
      <c r="W3743" s="1">
        <v>16.9</v>
      </c>
      <c r="X3743" s="1" t="s">
        <v>35</v>
      </c>
      <c r="Y3743" s="1">
        <v>16900.0</v>
      </c>
      <c r="Z3743" s="1"/>
      <c r="AA3743" s="1">
        <v>16900.0</v>
      </c>
      <c r="AB3743" s="1"/>
      <c r="AC3743" s="1" t="s">
        <v>36</v>
      </c>
      <c r="AD3743" s="1" t="s">
        <v>13014</v>
      </c>
      <c r="AE3743" s="1" t="s">
        <v>32</v>
      </c>
      <c r="AF3743" s="1" t="s">
        <v>33</v>
      </c>
      <c r="AG3743" s="1" t="s">
        <v>270</v>
      </c>
    </row>
    <row r="3744" spans="1:33">
      <c r="A3744" t="s">
        <v>13015</v>
      </c>
      <c r="B3744" t="s">
        <v>13016</v>
      </c>
      <c r="C3744" t="s">
        <v>68</v>
      </c>
      <c r="E3744" t="s">
        <v>12416</v>
      </c>
      <c r="F3744" t="s">
        <v>12341</v>
      </c>
      <c r="G3744">
        <v>31.6</v>
      </c>
      <c r="H3744">
        <v>31.6</v>
      </c>
      <c r="I3744" t="s">
        <v>59</v>
      </c>
      <c r="J3744" t="s">
        <v>60</v>
      </c>
      <c r="K3744" t="s">
        <v>31</v>
      </c>
      <c r="L3744" t="s">
        <v>32</v>
      </c>
      <c r="M3744" t="s">
        <v>33</v>
      </c>
      <c r="P3744" s="1" t="s">
        <v>13017</v>
      </c>
      <c r="Q3744" s="1" t="s">
        <v>12416</v>
      </c>
      <c r="R3744" s="1" t="s">
        <v>12416</v>
      </c>
      <c r="S3744" s="1"/>
      <c r="T3744" s="1" t="s">
        <v>68</v>
      </c>
      <c r="U3744" s="1"/>
      <c r="V3744" s="1">
        <v>31.6</v>
      </c>
      <c r="W3744" s="1">
        <v>31.6</v>
      </c>
      <c r="X3744" s="1" t="s">
        <v>35</v>
      </c>
      <c r="Y3744" s="1">
        <v>31600.0</v>
      </c>
      <c r="Z3744" s="1"/>
      <c r="AA3744" s="1">
        <v>31600.0</v>
      </c>
      <c r="AB3744" s="1"/>
      <c r="AC3744" s="1" t="s">
        <v>36</v>
      </c>
      <c r="AD3744" s="1" t="s">
        <v>12955</v>
      </c>
      <c r="AE3744" s="1" t="s">
        <v>32</v>
      </c>
      <c r="AF3744" s="1" t="s">
        <v>33</v>
      </c>
      <c r="AG3744" s="1" t="s">
        <v>60</v>
      </c>
    </row>
    <row r="3745" spans="1:33">
      <c r="A3745" t="s">
        <v>13018</v>
      </c>
      <c r="C3745" t="s">
        <v>73</v>
      </c>
      <c r="E3745" t="s">
        <v>12416</v>
      </c>
      <c r="F3745" t="s">
        <v>12341</v>
      </c>
      <c r="G3745">
        <v>19.49</v>
      </c>
      <c r="H3745">
        <v>19.49</v>
      </c>
      <c r="I3745" t="s">
        <v>40</v>
      </c>
      <c r="J3745" t="s">
        <v>41</v>
      </c>
      <c r="K3745" t="s">
        <v>31</v>
      </c>
      <c r="L3745" t="s">
        <v>32</v>
      </c>
      <c r="M3745" t="s">
        <v>33</v>
      </c>
      <c r="P3745" s="1" t="s">
        <v>13019</v>
      </c>
      <c r="Q3745" s="1" t="s">
        <v>12416</v>
      </c>
      <c r="R3745" s="1" t="s">
        <v>11609</v>
      </c>
      <c r="S3745" s="1"/>
      <c r="T3745" s="1" t="s">
        <v>75</v>
      </c>
      <c r="U3745" s="1" t="s">
        <v>76</v>
      </c>
      <c r="V3745" s="1">
        <v>19.49</v>
      </c>
      <c r="W3745" s="1">
        <v>19.49</v>
      </c>
      <c r="X3745" s="1" t="s">
        <v>35</v>
      </c>
      <c r="Y3745" s="1">
        <v>19490.0</v>
      </c>
      <c r="Z3745" s="1"/>
      <c r="AA3745" s="1">
        <v>19490.0</v>
      </c>
      <c r="AB3745" s="1"/>
      <c r="AC3745" s="1" t="s">
        <v>36</v>
      </c>
      <c r="AD3745" s="1" t="s">
        <v>13020</v>
      </c>
      <c r="AE3745" s="1" t="s">
        <v>32</v>
      </c>
      <c r="AF3745" s="1" t="s">
        <v>33</v>
      </c>
      <c r="AG3745" s="1" t="s">
        <v>41</v>
      </c>
    </row>
    <row r="3746" spans="1:33">
      <c r="A3746" t="s">
        <v>13021</v>
      </c>
      <c r="B3746" t="s">
        <v>4204</v>
      </c>
      <c r="C3746" t="s">
        <v>125</v>
      </c>
      <c r="E3746" t="s">
        <v>12416</v>
      </c>
      <c r="F3746" t="s">
        <v>12341</v>
      </c>
      <c r="G3746">
        <v>5.619</v>
      </c>
      <c r="H3746">
        <v>5.619</v>
      </c>
      <c r="I3746" t="s">
        <v>126</v>
      </c>
      <c r="J3746" t="s">
        <v>127</v>
      </c>
      <c r="K3746" t="s">
        <v>31</v>
      </c>
      <c r="L3746" t="s">
        <v>32</v>
      </c>
      <c r="M3746" t="s">
        <v>33</v>
      </c>
      <c r="P3746" s="1" t="s">
        <v>13022</v>
      </c>
      <c r="Q3746" s="1" t="s">
        <v>12416</v>
      </c>
      <c r="R3746" s="1" t="s">
        <v>12416</v>
      </c>
      <c r="S3746" s="1"/>
      <c r="T3746" s="1" t="s">
        <v>125</v>
      </c>
      <c r="U3746" s="1"/>
      <c r="V3746" s="1">
        <v>5.619</v>
      </c>
      <c r="W3746" s="1">
        <v>5.619</v>
      </c>
      <c r="X3746" s="1" t="s">
        <v>35</v>
      </c>
      <c r="Y3746" s="1">
        <v>5619.0</v>
      </c>
      <c r="Z3746" s="1"/>
      <c r="AA3746" s="1">
        <v>5619.0</v>
      </c>
      <c r="AB3746" s="1"/>
      <c r="AC3746" s="1" t="s">
        <v>36</v>
      </c>
      <c r="AD3746" s="1" t="s">
        <v>13023</v>
      </c>
      <c r="AE3746" s="1" t="s">
        <v>32</v>
      </c>
      <c r="AF3746" s="1" t="s">
        <v>33</v>
      </c>
      <c r="AG3746" s="1" t="s">
        <v>127</v>
      </c>
    </row>
    <row r="3747" spans="1:33">
      <c r="A3747" t="s">
        <v>13024</v>
      </c>
      <c r="B3747" t="s">
        <v>13025</v>
      </c>
      <c r="C3747" t="s">
        <v>172</v>
      </c>
      <c r="E3747" t="s">
        <v>12416</v>
      </c>
      <c r="F3747" t="s">
        <v>12341</v>
      </c>
      <c r="G3747">
        <v>9.598</v>
      </c>
      <c r="H3747">
        <v>9.598</v>
      </c>
      <c r="I3747" t="s">
        <v>173</v>
      </c>
      <c r="J3747" t="s">
        <v>174</v>
      </c>
      <c r="K3747" t="s">
        <v>31</v>
      </c>
      <c r="L3747" t="s">
        <v>32</v>
      </c>
      <c r="M3747" t="s">
        <v>33</v>
      </c>
      <c r="P3747" s="1" t="s">
        <v>13026</v>
      </c>
      <c r="Q3747" s="1" t="s">
        <v>12416</v>
      </c>
      <c r="R3747" s="1" t="s">
        <v>12416</v>
      </c>
      <c r="S3747" s="1"/>
      <c r="T3747" s="1" t="s">
        <v>172</v>
      </c>
      <c r="U3747" s="1"/>
      <c r="V3747" s="1">
        <v>9.598</v>
      </c>
      <c r="W3747" s="1">
        <v>9.598</v>
      </c>
      <c r="X3747" s="1" t="s">
        <v>35</v>
      </c>
      <c r="Y3747" s="1">
        <v>9598.0</v>
      </c>
      <c r="Z3747" s="1"/>
      <c r="AA3747" s="1">
        <v>9598.0</v>
      </c>
      <c r="AB3747" s="1"/>
      <c r="AC3747" s="1" t="s">
        <v>36</v>
      </c>
      <c r="AD3747" s="1" t="s">
        <v>13027</v>
      </c>
      <c r="AE3747" s="1" t="s">
        <v>32</v>
      </c>
      <c r="AF3747" s="1" t="s">
        <v>33</v>
      </c>
      <c r="AG3747" s="1" t="s">
        <v>174</v>
      </c>
    </row>
    <row r="3748" spans="1:33">
      <c r="A3748" t="s">
        <v>13028</v>
      </c>
      <c r="C3748" t="s">
        <v>1261</v>
      </c>
      <c r="E3748" t="s">
        <v>12416</v>
      </c>
      <c r="F3748" t="s">
        <v>12341</v>
      </c>
      <c r="G3748">
        <v>562.75</v>
      </c>
      <c r="H3748">
        <v>562.75</v>
      </c>
      <c r="I3748" t="s">
        <v>2206</v>
      </c>
      <c r="J3748" t="s">
        <v>49</v>
      </c>
      <c r="K3748" t="s">
        <v>31</v>
      </c>
      <c r="L3748" t="s">
        <v>32</v>
      </c>
      <c r="M3748" t="s">
        <v>33</v>
      </c>
      <c r="P3748" s="1" t="s">
        <v>13029</v>
      </c>
      <c r="Q3748" s="1" t="s">
        <v>12416</v>
      </c>
      <c r="R3748" s="1" t="s">
        <v>12416</v>
      </c>
      <c r="S3748" s="1"/>
      <c r="T3748" s="1" t="s">
        <v>1261</v>
      </c>
      <c r="U3748" s="1"/>
      <c r="V3748" s="1">
        <v>562.75</v>
      </c>
      <c r="W3748" s="1">
        <v>562.75</v>
      </c>
      <c r="X3748" s="1" t="s">
        <v>35</v>
      </c>
      <c r="Y3748" s="1">
        <v>562750.0</v>
      </c>
      <c r="Z3748" s="1"/>
      <c r="AA3748" s="1">
        <v>562750.0</v>
      </c>
      <c r="AB3748" s="1"/>
      <c r="AC3748" s="1" t="s">
        <v>36</v>
      </c>
      <c r="AD3748" s="1" t="s">
        <v>13030</v>
      </c>
      <c r="AE3748" s="1" t="s">
        <v>32</v>
      </c>
      <c r="AF3748" s="1" t="s">
        <v>33</v>
      </c>
      <c r="AG3748" s="1" t="s">
        <v>49</v>
      </c>
    </row>
    <row r="3749" spans="1:33">
      <c r="A3749" t="s">
        <v>13031</v>
      </c>
      <c r="C3749" t="s">
        <v>2266</v>
      </c>
      <c r="E3749" t="s">
        <v>12416</v>
      </c>
      <c r="F3749" t="s">
        <v>12341</v>
      </c>
      <c r="G3749">
        <v>850.4</v>
      </c>
      <c r="H3749">
        <v>850.4</v>
      </c>
      <c r="I3749" t="s">
        <v>269</v>
      </c>
      <c r="J3749" t="s">
        <v>270</v>
      </c>
      <c r="K3749" t="s">
        <v>31</v>
      </c>
      <c r="L3749" t="s">
        <v>32</v>
      </c>
      <c r="M3749" t="s">
        <v>33</v>
      </c>
      <c r="P3749" s="1" t="s">
        <v>13032</v>
      </c>
      <c r="Q3749" s="1" t="s">
        <v>12416</v>
      </c>
      <c r="R3749" s="1" t="s">
        <v>12416</v>
      </c>
      <c r="S3749" s="1"/>
      <c r="T3749" s="1" t="s">
        <v>2266</v>
      </c>
      <c r="U3749" s="1"/>
      <c r="V3749" s="1">
        <v>850.4</v>
      </c>
      <c r="W3749" s="1">
        <v>850.4</v>
      </c>
      <c r="X3749" s="1" t="s">
        <v>35</v>
      </c>
      <c r="Y3749" s="1">
        <v>850400.0</v>
      </c>
      <c r="Z3749" s="1"/>
      <c r="AA3749" s="1">
        <v>850400.0</v>
      </c>
      <c r="AB3749" s="1"/>
      <c r="AC3749" s="1" t="s">
        <v>36</v>
      </c>
      <c r="AD3749" s="1" t="s">
        <v>13033</v>
      </c>
      <c r="AE3749" s="1" t="s">
        <v>32</v>
      </c>
      <c r="AF3749" s="1" t="s">
        <v>33</v>
      </c>
      <c r="AG3749" s="1" t="s">
        <v>270</v>
      </c>
    </row>
    <row r="3750" spans="1:33">
      <c r="A3750" t="s">
        <v>13034</v>
      </c>
      <c r="C3750" t="s">
        <v>13035</v>
      </c>
      <c r="D3750" t="s">
        <v>114</v>
      </c>
      <c r="E3750" t="s">
        <v>12416</v>
      </c>
      <c r="F3750" t="s">
        <v>12341</v>
      </c>
      <c r="G3750">
        <v>328.0</v>
      </c>
      <c r="H3750">
        <v>328.0</v>
      </c>
      <c r="I3750" t="s">
        <v>269</v>
      </c>
      <c r="J3750" t="s">
        <v>270</v>
      </c>
      <c r="K3750" t="s">
        <v>31</v>
      </c>
      <c r="L3750" t="s">
        <v>32</v>
      </c>
      <c r="M3750" t="s">
        <v>33</v>
      </c>
      <c r="P3750" s="1" t="s">
        <v>13036</v>
      </c>
      <c r="Q3750" s="1" t="s">
        <v>12416</v>
      </c>
      <c r="R3750" s="1" t="s">
        <v>12416</v>
      </c>
      <c r="S3750" s="1"/>
      <c r="T3750" s="1" t="s">
        <v>13037</v>
      </c>
      <c r="U3750" s="1" t="s">
        <v>13038</v>
      </c>
      <c r="V3750" s="1">
        <v>328.0</v>
      </c>
      <c r="W3750" s="1">
        <v>328.0</v>
      </c>
      <c r="X3750" s="1" t="s">
        <v>35</v>
      </c>
      <c r="Y3750" s="1">
        <v>328000.0</v>
      </c>
      <c r="Z3750" s="1"/>
      <c r="AA3750" s="1">
        <v>328000.0</v>
      </c>
      <c r="AB3750" s="1"/>
      <c r="AC3750" s="1" t="s">
        <v>36</v>
      </c>
      <c r="AD3750" s="1" t="s">
        <v>13039</v>
      </c>
      <c r="AE3750" s="1" t="s">
        <v>32</v>
      </c>
      <c r="AF3750" s="1" t="s">
        <v>33</v>
      </c>
      <c r="AG3750" s="1" t="s">
        <v>270</v>
      </c>
    </row>
    <row r="3751" spans="1:33">
      <c r="A3751" t="s">
        <v>13040</v>
      </c>
      <c r="B3751" t="s">
        <v>444</v>
      </c>
      <c r="C3751" t="s">
        <v>314</v>
      </c>
      <c r="E3751" t="s">
        <v>12416</v>
      </c>
      <c r="F3751" t="s">
        <v>12341</v>
      </c>
      <c r="G3751">
        <v>37.49</v>
      </c>
      <c r="H3751">
        <v>37.49</v>
      </c>
      <c r="I3751" t="s">
        <v>179</v>
      </c>
      <c r="J3751" t="s">
        <v>180</v>
      </c>
      <c r="K3751" t="s">
        <v>31</v>
      </c>
      <c r="L3751" t="s">
        <v>32</v>
      </c>
      <c r="M3751" t="s">
        <v>33</v>
      </c>
      <c r="P3751" s="1" t="s">
        <v>13041</v>
      </c>
      <c r="Q3751" s="1" t="s">
        <v>12416</v>
      </c>
      <c r="R3751" s="1" t="s">
        <v>12416</v>
      </c>
      <c r="S3751" s="1"/>
      <c r="T3751" s="1" t="s">
        <v>314</v>
      </c>
      <c r="U3751" s="1"/>
      <c r="V3751" s="1">
        <v>37.49</v>
      </c>
      <c r="W3751" s="1">
        <v>37.49</v>
      </c>
      <c r="X3751" s="1" t="s">
        <v>35</v>
      </c>
      <c r="Y3751" s="1">
        <v>37490.0</v>
      </c>
      <c r="Z3751" s="1"/>
      <c r="AA3751" s="1">
        <v>37490.0</v>
      </c>
      <c r="AB3751" s="1"/>
      <c r="AC3751" s="1" t="s">
        <v>36</v>
      </c>
      <c r="AD3751" s="1" t="s">
        <v>13042</v>
      </c>
      <c r="AE3751" s="1" t="s">
        <v>32</v>
      </c>
      <c r="AF3751" s="1" t="s">
        <v>33</v>
      </c>
      <c r="AG3751" s="1" t="s">
        <v>180</v>
      </c>
    </row>
    <row r="3752" spans="1:33">
      <c r="A3752" t="s">
        <v>13043</v>
      </c>
      <c r="C3752" t="s">
        <v>73</v>
      </c>
      <c r="E3752" t="s">
        <v>12416</v>
      </c>
      <c r="F3752" t="s">
        <v>12341</v>
      </c>
      <c r="G3752">
        <v>20.49</v>
      </c>
      <c r="H3752">
        <v>20.49</v>
      </c>
      <c r="I3752" t="s">
        <v>40</v>
      </c>
      <c r="J3752" t="s">
        <v>41</v>
      </c>
      <c r="K3752" t="s">
        <v>31</v>
      </c>
      <c r="L3752" t="s">
        <v>32</v>
      </c>
      <c r="M3752" t="s">
        <v>33</v>
      </c>
      <c r="P3752" s="1" t="s">
        <v>13044</v>
      </c>
      <c r="Q3752" s="1" t="s">
        <v>12416</v>
      </c>
      <c r="R3752" s="1" t="s">
        <v>11609</v>
      </c>
      <c r="S3752" s="1"/>
      <c r="T3752" s="1" t="s">
        <v>75</v>
      </c>
      <c r="U3752" s="1" t="s">
        <v>76</v>
      </c>
      <c r="V3752" s="1">
        <v>20.49</v>
      </c>
      <c r="W3752" s="1">
        <v>20.49</v>
      </c>
      <c r="X3752" s="1" t="s">
        <v>35</v>
      </c>
      <c r="Y3752" s="1">
        <v>20490.0</v>
      </c>
      <c r="Z3752" s="1"/>
      <c r="AA3752" s="1">
        <v>20490.0</v>
      </c>
      <c r="AB3752" s="1"/>
      <c r="AC3752" s="1" t="s">
        <v>36</v>
      </c>
      <c r="AD3752" s="1" t="s">
        <v>13045</v>
      </c>
      <c r="AE3752" s="1" t="s">
        <v>32</v>
      </c>
      <c r="AF3752" s="1" t="s">
        <v>33</v>
      </c>
      <c r="AG3752" s="1" t="s">
        <v>41</v>
      </c>
    </row>
    <row r="3753" spans="1:33">
      <c r="A3753" t="s">
        <v>13046</v>
      </c>
      <c r="B3753" t="s">
        <v>13047</v>
      </c>
      <c r="C3753" t="s">
        <v>125</v>
      </c>
      <c r="E3753" t="s">
        <v>12416</v>
      </c>
      <c r="F3753" t="s">
        <v>12341</v>
      </c>
      <c r="G3753">
        <v>16.99</v>
      </c>
      <c r="H3753">
        <v>16.99</v>
      </c>
      <c r="I3753" t="s">
        <v>126</v>
      </c>
      <c r="J3753" t="s">
        <v>127</v>
      </c>
      <c r="K3753" t="s">
        <v>31</v>
      </c>
      <c r="L3753" t="s">
        <v>32</v>
      </c>
      <c r="M3753" t="s">
        <v>33</v>
      </c>
      <c r="P3753" s="1" t="s">
        <v>13048</v>
      </c>
      <c r="Q3753" s="1" t="s">
        <v>12416</v>
      </c>
      <c r="R3753" s="1" t="s">
        <v>12416</v>
      </c>
      <c r="S3753" s="1"/>
      <c r="T3753" s="1" t="s">
        <v>125</v>
      </c>
      <c r="U3753" s="1"/>
      <c r="V3753" s="1">
        <v>16.99</v>
      </c>
      <c r="W3753" s="1">
        <v>16.99</v>
      </c>
      <c r="X3753" s="1" t="s">
        <v>35</v>
      </c>
      <c r="Y3753" s="1">
        <v>16990.0</v>
      </c>
      <c r="Z3753" s="1"/>
      <c r="AA3753" s="1">
        <v>16990.0</v>
      </c>
      <c r="AB3753" s="1"/>
      <c r="AC3753" s="1" t="s">
        <v>36</v>
      </c>
      <c r="AD3753" s="1" t="s">
        <v>13042</v>
      </c>
      <c r="AE3753" s="1" t="s">
        <v>32</v>
      </c>
      <c r="AF3753" s="1" t="s">
        <v>33</v>
      </c>
      <c r="AG3753" s="1" t="s">
        <v>127</v>
      </c>
    </row>
    <row r="3754" spans="1:33">
      <c r="A3754" t="s">
        <v>13049</v>
      </c>
      <c r="B3754" t="s">
        <v>2168</v>
      </c>
      <c r="C3754" t="s">
        <v>314</v>
      </c>
      <c r="E3754" t="s">
        <v>12416</v>
      </c>
      <c r="F3754" t="s">
        <v>12341</v>
      </c>
      <c r="G3754">
        <v>122.21</v>
      </c>
      <c r="H3754">
        <v>122.21</v>
      </c>
      <c r="I3754" t="s">
        <v>179</v>
      </c>
      <c r="J3754" t="s">
        <v>180</v>
      </c>
      <c r="K3754" t="s">
        <v>31</v>
      </c>
      <c r="L3754" t="s">
        <v>32</v>
      </c>
      <c r="M3754" t="s">
        <v>33</v>
      </c>
      <c r="P3754" s="1" t="s">
        <v>13050</v>
      </c>
      <c r="Q3754" s="1" t="s">
        <v>12416</v>
      </c>
      <c r="R3754" s="1" t="s">
        <v>12416</v>
      </c>
      <c r="S3754" s="1"/>
      <c r="T3754" s="1" t="s">
        <v>314</v>
      </c>
      <c r="U3754" s="1"/>
      <c r="V3754" s="1">
        <v>122.21</v>
      </c>
      <c r="W3754" s="1">
        <v>122.21</v>
      </c>
      <c r="X3754" s="1" t="s">
        <v>35</v>
      </c>
      <c r="Y3754" s="1">
        <v>122210.0</v>
      </c>
      <c r="Z3754" s="1"/>
      <c r="AA3754" s="1">
        <v>122210.0</v>
      </c>
      <c r="AB3754" s="1"/>
      <c r="AC3754" s="1" t="s">
        <v>36</v>
      </c>
      <c r="AD3754" s="1" t="s">
        <v>13051</v>
      </c>
      <c r="AE3754" s="1" t="s">
        <v>32</v>
      </c>
      <c r="AF3754" s="1" t="s">
        <v>33</v>
      </c>
      <c r="AG3754" s="1" t="s">
        <v>180</v>
      </c>
    </row>
    <row r="3755" spans="1:33">
      <c r="A3755" t="s">
        <v>13052</v>
      </c>
      <c r="C3755" t="s">
        <v>1858</v>
      </c>
      <c r="E3755" t="s">
        <v>12416</v>
      </c>
      <c r="F3755" t="s">
        <v>12341</v>
      </c>
      <c r="G3755">
        <v>4.0</v>
      </c>
      <c r="H3755">
        <v>4.0</v>
      </c>
      <c r="I3755" t="s">
        <v>227</v>
      </c>
      <c r="J3755" t="s">
        <v>228</v>
      </c>
      <c r="K3755" t="s">
        <v>31</v>
      </c>
      <c r="L3755" t="s">
        <v>32</v>
      </c>
      <c r="M3755" t="s">
        <v>33</v>
      </c>
      <c r="P3755" s="1" t="s">
        <v>13053</v>
      </c>
      <c r="Q3755" s="1" t="s">
        <v>12416</v>
      </c>
      <c r="R3755" s="1" t="s">
        <v>12416</v>
      </c>
      <c r="S3755" s="1"/>
      <c r="T3755" s="1" t="s">
        <v>1858</v>
      </c>
      <c r="U3755" s="1"/>
      <c r="V3755" s="1">
        <v>4.0</v>
      </c>
      <c r="W3755" s="1">
        <v>4.0</v>
      </c>
      <c r="X3755" s="1" t="s">
        <v>35</v>
      </c>
      <c r="Y3755" s="1">
        <v>4000.0</v>
      </c>
      <c r="Z3755" s="1"/>
      <c r="AA3755" s="1">
        <v>4000.0</v>
      </c>
      <c r="AB3755" s="1"/>
      <c r="AC3755" s="1" t="s">
        <v>36</v>
      </c>
      <c r="AD3755" s="1" t="s">
        <v>13033</v>
      </c>
      <c r="AE3755" s="1" t="s">
        <v>32</v>
      </c>
      <c r="AF3755" s="1" t="s">
        <v>33</v>
      </c>
      <c r="AG3755" s="1" t="s">
        <v>228</v>
      </c>
    </row>
    <row r="3756" spans="1:33">
      <c r="A3756" t="s">
        <v>13054</v>
      </c>
      <c r="C3756" t="s">
        <v>2695</v>
      </c>
      <c r="E3756" t="s">
        <v>12416</v>
      </c>
      <c r="F3756" t="s">
        <v>12341</v>
      </c>
      <c r="G3756">
        <v>515.75</v>
      </c>
      <c r="H3756">
        <v>515.75</v>
      </c>
      <c r="I3756" t="s">
        <v>179</v>
      </c>
      <c r="J3756" t="s">
        <v>180</v>
      </c>
      <c r="K3756" t="s">
        <v>31</v>
      </c>
      <c r="L3756" t="s">
        <v>32</v>
      </c>
      <c r="M3756" t="s">
        <v>33</v>
      </c>
      <c r="P3756" s="1" t="s">
        <v>13055</v>
      </c>
      <c r="Q3756" s="1" t="s">
        <v>12416</v>
      </c>
      <c r="R3756" s="1" t="s">
        <v>12416</v>
      </c>
      <c r="S3756" s="1"/>
      <c r="T3756" s="1" t="s">
        <v>2697</v>
      </c>
      <c r="U3756" s="1" t="s">
        <v>2698</v>
      </c>
      <c r="V3756" s="1">
        <v>515.75</v>
      </c>
      <c r="W3756" s="1">
        <v>515.75</v>
      </c>
      <c r="X3756" s="1" t="s">
        <v>35</v>
      </c>
      <c r="Y3756" s="1">
        <v>515750.0</v>
      </c>
      <c r="Z3756" s="1"/>
      <c r="AA3756" s="1">
        <v>515750.0</v>
      </c>
      <c r="AB3756" s="1"/>
      <c r="AC3756" s="1" t="s">
        <v>36</v>
      </c>
      <c r="AD3756" s="1" t="s">
        <v>13056</v>
      </c>
      <c r="AE3756" s="1" t="s">
        <v>32</v>
      </c>
      <c r="AF3756" s="1" t="s">
        <v>33</v>
      </c>
      <c r="AG3756" s="1" t="s">
        <v>180</v>
      </c>
    </row>
    <row r="3757" spans="1:33">
      <c r="A3757" t="s">
        <v>13057</v>
      </c>
      <c r="C3757" t="s">
        <v>2223</v>
      </c>
      <c r="E3757" t="s">
        <v>12416</v>
      </c>
      <c r="F3757" t="s">
        <v>12341</v>
      </c>
      <c r="G3757">
        <v>410.0</v>
      </c>
      <c r="H3757">
        <v>410.0</v>
      </c>
      <c r="I3757" t="s">
        <v>269</v>
      </c>
      <c r="J3757" t="s">
        <v>270</v>
      </c>
      <c r="K3757" t="s">
        <v>31</v>
      </c>
      <c r="L3757" t="s">
        <v>32</v>
      </c>
      <c r="M3757" t="s">
        <v>33</v>
      </c>
      <c r="P3757" s="1" t="s">
        <v>13058</v>
      </c>
      <c r="Q3757" s="1" t="s">
        <v>12416</v>
      </c>
      <c r="R3757" s="1" t="s">
        <v>12416</v>
      </c>
      <c r="S3757" s="1"/>
      <c r="T3757" s="1" t="s">
        <v>2225</v>
      </c>
      <c r="U3757" s="1" t="s">
        <v>2226</v>
      </c>
      <c r="V3757" s="1">
        <v>410.0</v>
      </c>
      <c r="W3757" s="1">
        <v>410.0</v>
      </c>
      <c r="X3757" s="1" t="s">
        <v>35</v>
      </c>
      <c r="Y3757" s="1">
        <v>410000.0</v>
      </c>
      <c r="Z3757" s="1"/>
      <c r="AA3757" s="1">
        <v>410000.0</v>
      </c>
      <c r="AB3757" s="1"/>
      <c r="AC3757" s="1" t="s">
        <v>36</v>
      </c>
      <c r="AD3757" s="1" t="s">
        <v>13059</v>
      </c>
      <c r="AE3757" s="1" t="s">
        <v>32</v>
      </c>
      <c r="AF3757" s="1" t="s">
        <v>33</v>
      </c>
      <c r="AG3757" s="1" t="s">
        <v>270</v>
      </c>
    </row>
    <row r="3758" spans="1:33">
      <c r="A3758" t="s">
        <v>13060</v>
      </c>
      <c r="C3758" t="s">
        <v>13061</v>
      </c>
      <c r="E3758" t="s">
        <v>12416</v>
      </c>
      <c r="F3758" t="s">
        <v>12341</v>
      </c>
      <c r="G3758">
        <v>542.63</v>
      </c>
      <c r="H3758">
        <v>542.63</v>
      </c>
      <c r="I3758" t="s">
        <v>2206</v>
      </c>
      <c r="J3758" t="s">
        <v>49</v>
      </c>
      <c r="K3758" t="s">
        <v>31</v>
      </c>
      <c r="L3758" t="s">
        <v>32</v>
      </c>
      <c r="M3758" t="s">
        <v>33</v>
      </c>
      <c r="P3758" s="1" t="s">
        <v>13062</v>
      </c>
      <c r="Q3758" s="1" t="s">
        <v>12416</v>
      </c>
      <c r="R3758" s="1" t="s">
        <v>12416</v>
      </c>
      <c r="S3758" s="1"/>
      <c r="T3758" s="1" t="s">
        <v>13061</v>
      </c>
      <c r="U3758" s="1"/>
      <c r="V3758" s="1">
        <v>542.63</v>
      </c>
      <c r="W3758" s="1">
        <v>542.63</v>
      </c>
      <c r="X3758" s="1" t="s">
        <v>35</v>
      </c>
      <c r="Y3758" s="1">
        <v>543000.0</v>
      </c>
      <c r="Z3758" s="1">
        <v>-370</v>
      </c>
      <c r="AA3758" s="1">
        <v>543000.0</v>
      </c>
      <c r="AB3758" s="1">
        <v>-370</v>
      </c>
      <c r="AC3758" s="1" t="s">
        <v>36</v>
      </c>
      <c r="AD3758" s="1" t="s">
        <v>13063</v>
      </c>
      <c r="AE3758" s="1" t="s">
        <v>32</v>
      </c>
      <c r="AF3758" s="1" t="s">
        <v>33</v>
      </c>
      <c r="AG3758" s="1" t="s">
        <v>49</v>
      </c>
    </row>
    <row r="3759" spans="1:33">
      <c r="A3759" t="s">
        <v>13064</v>
      </c>
      <c r="B3759" t="s">
        <v>13065</v>
      </c>
      <c r="C3759" t="s">
        <v>125</v>
      </c>
      <c r="E3759" t="s">
        <v>12416</v>
      </c>
      <c r="F3759" t="s">
        <v>12341</v>
      </c>
      <c r="G3759">
        <v>4.05</v>
      </c>
      <c r="H3759">
        <v>4.05</v>
      </c>
      <c r="I3759" t="s">
        <v>126</v>
      </c>
      <c r="J3759" t="s">
        <v>127</v>
      </c>
      <c r="K3759" t="s">
        <v>31</v>
      </c>
      <c r="L3759" t="s">
        <v>32</v>
      </c>
      <c r="M3759" t="s">
        <v>33</v>
      </c>
      <c r="P3759" s="1" t="s">
        <v>13066</v>
      </c>
      <c r="Q3759" s="1" t="s">
        <v>12416</v>
      </c>
      <c r="R3759" s="1" t="s">
        <v>12416</v>
      </c>
      <c r="S3759" s="1"/>
      <c r="T3759" s="1" t="s">
        <v>125</v>
      </c>
      <c r="U3759" s="1"/>
      <c r="V3759" s="1">
        <v>4.05</v>
      </c>
      <c r="W3759" s="1">
        <v>4.05</v>
      </c>
      <c r="X3759" s="1" t="s">
        <v>35</v>
      </c>
      <c r="Y3759" s="1">
        <v>4050.0</v>
      </c>
      <c r="Z3759" s="1"/>
      <c r="AA3759" s="1">
        <v>4050.0</v>
      </c>
      <c r="AB3759" s="1"/>
      <c r="AC3759" s="1" t="s">
        <v>36</v>
      </c>
      <c r="AD3759" s="1" t="s">
        <v>13067</v>
      </c>
      <c r="AE3759" s="1" t="s">
        <v>32</v>
      </c>
      <c r="AF3759" s="1" t="s">
        <v>33</v>
      </c>
      <c r="AG3759" s="1" t="s">
        <v>127</v>
      </c>
    </row>
    <row r="3760" spans="1:33">
      <c r="A3760" t="s">
        <v>13068</v>
      </c>
      <c r="C3760" t="s">
        <v>2887</v>
      </c>
      <c r="D3760" t="s">
        <v>154</v>
      </c>
      <c r="E3760" t="s">
        <v>12416</v>
      </c>
      <c r="F3760" t="s">
        <v>12341</v>
      </c>
      <c r="G3760">
        <v>336.0</v>
      </c>
      <c r="H3760">
        <v>336.0</v>
      </c>
      <c r="I3760" t="s">
        <v>94</v>
      </c>
      <c r="J3760" t="s">
        <v>95</v>
      </c>
      <c r="K3760" t="s">
        <v>31</v>
      </c>
      <c r="L3760" t="s">
        <v>32</v>
      </c>
      <c r="M3760" t="s">
        <v>33</v>
      </c>
      <c r="P3760" s="1" t="s">
        <v>13069</v>
      </c>
      <c r="Q3760" s="1" t="s">
        <v>12416</v>
      </c>
      <c r="R3760" s="1" t="s">
        <v>12416</v>
      </c>
      <c r="S3760" s="1"/>
      <c r="T3760" s="1" t="s">
        <v>2889</v>
      </c>
      <c r="U3760" s="1" t="s">
        <v>2890</v>
      </c>
      <c r="V3760" s="1">
        <v>336.0</v>
      </c>
      <c r="W3760" s="1">
        <v>336.0</v>
      </c>
      <c r="X3760" s="1" t="s">
        <v>35</v>
      </c>
      <c r="Y3760" s="1">
        <v>336000.0</v>
      </c>
      <c r="Z3760" s="1"/>
      <c r="AA3760" s="1">
        <v>336000.0</v>
      </c>
      <c r="AB3760" s="1"/>
      <c r="AC3760" s="1" t="s">
        <v>36</v>
      </c>
      <c r="AD3760" s="1" t="s">
        <v>12981</v>
      </c>
      <c r="AE3760" s="1" t="s">
        <v>32</v>
      </c>
      <c r="AF3760" s="1" t="s">
        <v>33</v>
      </c>
      <c r="AG3760" s="1" t="s">
        <v>95</v>
      </c>
    </row>
    <row r="3761" spans="1:33">
      <c r="A3761" t="s">
        <v>13070</v>
      </c>
      <c r="C3761" t="s">
        <v>2673</v>
      </c>
      <c r="E3761" t="s">
        <v>12416</v>
      </c>
      <c r="F3761" t="s">
        <v>12341</v>
      </c>
      <c r="G3761">
        <v>941.5</v>
      </c>
      <c r="H3761">
        <v>941.5</v>
      </c>
      <c r="I3761" t="s">
        <v>40</v>
      </c>
      <c r="J3761" t="s">
        <v>41</v>
      </c>
      <c r="K3761" t="s">
        <v>31</v>
      </c>
      <c r="L3761" t="s">
        <v>32</v>
      </c>
      <c r="M3761" t="s">
        <v>33</v>
      </c>
      <c r="P3761" s="1" t="s">
        <v>13071</v>
      </c>
      <c r="Q3761" s="1" t="s">
        <v>12416</v>
      </c>
      <c r="R3761" s="1" t="s">
        <v>11609</v>
      </c>
      <c r="S3761" s="1"/>
      <c r="T3761" s="1" t="s">
        <v>2673</v>
      </c>
      <c r="U3761" s="1"/>
      <c r="V3761" s="1">
        <v>941.5</v>
      </c>
      <c r="W3761" s="1">
        <v>941.5</v>
      </c>
      <c r="X3761" s="1" t="s">
        <v>35</v>
      </c>
      <c r="Y3761" s="1">
        <v>941500.0</v>
      </c>
      <c r="Z3761" s="1"/>
      <c r="AA3761" s="1">
        <v>941500.0</v>
      </c>
      <c r="AB3761" s="1"/>
      <c r="AC3761" s="1" t="s">
        <v>36</v>
      </c>
      <c r="AD3761" s="1" t="s">
        <v>13072</v>
      </c>
      <c r="AE3761" s="1" t="s">
        <v>32</v>
      </c>
      <c r="AF3761" s="1" t="s">
        <v>33</v>
      </c>
      <c r="AG3761" s="1" t="s">
        <v>41</v>
      </c>
    </row>
    <row r="3762" spans="1:33">
      <c r="A3762" t="s">
        <v>13073</v>
      </c>
      <c r="B3762" t="s">
        <v>13074</v>
      </c>
      <c r="C3762" t="s">
        <v>314</v>
      </c>
      <c r="E3762" t="s">
        <v>12416</v>
      </c>
      <c r="F3762" t="s">
        <v>12341</v>
      </c>
      <c r="G3762">
        <v>40.99</v>
      </c>
      <c r="H3762">
        <v>40.99</v>
      </c>
      <c r="I3762" t="s">
        <v>179</v>
      </c>
      <c r="J3762" t="s">
        <v>180</v>
      </c>
      <c r="K3762" t="s">
        <v>31</v>
      </c>
      <c r="L3762" t="s">
        <v>32</v>
      </c>
      <c r="M3762" t="s">
        <v>33</v>
      </c>
      <c r="P3762" s="1" t="s">
        <v>13075</v>
      </c>
      <c r="Q3762" s="1" t="s">
        <v>12416</v>
      </c>
      <c r="R3762" s="1" t="s">
        <v>12416</v>
      </c>
      <c r="S3762" s="1"/>
      <c r="T3762" s="1" t="s">
        <v>314</v>
      </c>
      <c r="U3762" s="1"/>
      <c r="V3762" s="1">
        <v>40.99</v>
      </c>
      <c r="W3762" s="1">
        <v>40.99</v>
      </c>
      <c r="X3762" s="1" t="s">
        <v>35</v>
      </c>
      <c r="Y3762" s="1">
        <v>40990.0</v>
      </c>
      <c r="Z3762" s="1"/>
      <c r="AA3762" s="1">
        <v>40990.0</v>
      </c>
      <c r="AB3762" s="1"/>
      <c r="AC3762" s="1" t="s">
        <v>36</v>
      </c>
      <c r="AD3762" s="1" t="s">
        <v>13076</v>
      </c>
      <c r="AE3762" s="1" t="s">
        <v>32</v>
      </c>
      <c r="AF3762" s="1" t="s">
        <v>33</v>
      </c>
      <c r="AG3762" s="1" t="s">
        <v>180</v>
      </c>
    </row>
    <row r="3763" spans="1:33">
      <c r="A3763" t="s">
        <v>13077</v>
      </c>
      <c r="B3763" t="s">
        <v>13078</v>
      </c>
      <c r="C3763" t="s">
        <v>125</v>
      </c>
      <c r="E3763" t="s">
        <v>12416</v>
      </c>
      <c r="F3763" t="s">
        <v>12341</v>
      </c>
      <c r="G3763">
        <v>16.86</v>
      </c>
      <c r="H3763">
        <v>16.86</v>
      </c>
      <c r="I3763" t="s">
        <v>126</v>
      </c>
      <c r="J3763" t="s">
        <v>127</v>
      </c>
      <c r="K3763" t="s">
        <v>31</v>
      </c>
      <c r="L3763" t="s">
        <v>32</v>
      </c>
      <c r="M3763" t="s">
        <v>33</v>
      </c>
      <c r="P3763" s="1" t="s">
        <v>13079</v>
      </c>
      <c r="Q3763" s="1" t="s">
        <v>12416</v>
      </c>
      <c r="R3763" s="1" t="s">
        <v>12416</v>
      </c>
      <c r="S3763" s="1"/>
      <c r="T3763" s="1" t="s">
        <v>125</v>
      </c>
      <c r="U3763" s="1"/>
      <c r="V3763" s="1">
        <v>16.86</v>
      </c>
      <c r="W3763" s="1">
        <v>16.86</v>
      </c>
      <c r="X3763" s="1" t="s">
        <v>35</v>
      </c>
      <c r="Y3763" s="1">
        <v>16860.0</v>
      </c>
      <c r="Z3763" s="1"/>
      <c r="AA3763" s="1">
        <v>16860.0</v>
      </c>
      <c r="AB3763" s="1"/>
      <c r="AC3763" s="1" t="s">
        <v>36</v>
      </c>
      <c r="AD3763" s="1" t="s">
        <v>13080</v>
      </c>
      <c r="AE3763" s="1" t="s">
        <v>32</v>
      </c>
      <c r="AF3763" s="1" t="s">
        <v>33</v>
      </c>
      <c r="AG3763" s="1" t="s">
        <v>127</v>
      </c>
    </row>
    <row r="3764" spans="1:33">
      <c r="A3764" t="s">
        <v>13081</v>
      </c>
      <c r="C3764" t="s">
        <v>13082</v>
      </c>
      <c r="E3764" t="s">
        <v>12416</v>
      </c>
      <c r="F3764" t="s">
        <v>12341</v>
      </c>
      <c r="G3764">
        <v>320.0</v>
      </c>
      <c r="H3764">
        <v>320.0</v>
      </c>
      <c r="I3764" t="s">
        <v>2206</v>
      </c>
      <c r="J3764" t="s">
        <v>49</v>
      </c>
      <c r="K3764" t="s">
        <v>31</v>
      </c>
      <c r="L3764" t="s">
        <v>32</v>
      </c>
      <c r="M3764" t="s">
        <v>33</v>
      </c>
      <c r="P3764" s="1" t="s">
        <v>13083</v>
      </c>
      <c r="Q3764" s="1" t="s">
        <v>12416</v>
      </c>
      <c r="R3764" s="1" t="s">
        <v>12416</v>
      </c>
      <c r="S3764" s="1"/>
      <c r="T3764" s="1" t="s">
        <v>13082</v>
      </c>
      <c r="U3764" s="1"/>
      <c r="V3764" s="1">
        <v>320.0</v>
      </c>
      <c r="W3764" s="1">
        <v>320.0</v>
      </c>
      <c r="X3764" s="1" t="s">
        <v>35</v>
      </c>
      <c r="Y3764" s="1">
        <v>320000.0</v>
      </c>
      <c r="Z3764" s="1"/>
      <c r="AA3764" s="1">
        <v>320000.0</v>
      </c>
      <c r="AB3764" s="1"/>
      <c r="AC3764" s="1" t="s">
        <v>36</v>
      </c>
      <c r="AD3764" s="1" t="s">
        <v>13076</v>
      </c>
      <c r="AE3764" s="1" t="s">
        <v>32</v>
      </c>
      <c r="AF3764" s="1" t="s">
        <v>33</v>
      </c>
      <c r="AG3764" s="1" t="s">
        <v>49</v>
      </c>
    </row>
    <row r="3765" spans="1:33">
      <c r="A3765" t="s">
        <v>13084</v>
      </c>
      <c r="B3765" t="s">
        <v>13085</v>
      </c>
      <c r="C3765" t="s">
        <v>125</v>
      </c>
      <c r="E3765" t="s">
        <v>12416</v>
      </c>
      <c r="F3765" t="s">
        <v>12341</v>
      </c>
      <c r="G3765">
        <v>62.97</v>
      </c>
      <c r="H3765">
        <v>62.97</v>
      </c>
      <c r="I3765" t="s">
        <v>126</v>
      </c>
      <c r="J3765" t="s">
        <v>127</v>
      </c>
      <c r="K3765" t="s">
        <v>31</v>
      </c>
      <c r="L3765" t="s">
        <v>32</v>
      </c>
      <c r="M3765" t="s">
        <v>33</v>
      </c>
      <c r="P3765" s="1" t="s">
        <v>13086</v>
      </c>
      <c r="Q3765" s="1" t="s">
        <v>12416</v>
      </c>
      <c r="R3765" s="1" t="s">
        <v>12416</v>
      </c>
      <c r="S3765" s="1"/>
      <c r="T3765" s="1" t="s">
        <v>125</v>
      </c>
      <c r="U3765" s="1"/>
      <c r="V3765" s="1">
        <v>62.97</v>
      </c>
      <c r="W3765" s="1">
        <v>62.97</v>
      </c>
      <c r="X3765" s="1" t="s">
        <v>35</v>
      </c>
      <c r="Y3765" s="1">
        <v>62970.0</v>
      </c>
      <c r="Z3765" s="1"/>
      <c r="AA3765" s="1">
        <v>62970.0</v>
      </c>
      <c r="AB3765" s="1"/>
      <c r="AC3765" s="1" t="s">
        <v>36</v>
      </c>
      <c r="AD3765" s="1" t="s">
        <v>13087</v>
      </c>
      <c r="AE3765" s="1" t="s">
        <v>32</v>
      </c>
      <c r="AF3765" s="1" t="s">
        <v>33</v>
      </c>
      <c r="AG3765" s="1" t="s">
        <v>127</v>
      </c>
    </row>
    <row r="3766" spans="1:33">
      <c r="A3766" t="s">
        <v>13088</v>
      </c>
      <c r="C3766" t="s">
        <v>1447</v>
      </c>
      <c r="D3766" t="s">
        <v>114</v>
      </c>
      <c r="E3766" t="s">
        <v>12416</v>
      </c>
      <c r="F3766" t="s">
        <v>12341</v>
      </c>
      <c r="G3766">
        <v>873.45</v>
      </c>
      <c r="H3766">
        <v>873.45</v>
      </c>
      <c r="I3766" t="s">
        <v>269</v>
      </c>
      <c r="J3766" t="s">
        <v>270</v>
      </c>
      <c r="K3766" t="s">
        <v>31</v>
      </c>
      <c r="L3766" t="s">
        <v>32</v>
      </c>
      <c r="M3766" t="s">
        <v>33</v>
      </c>
      <c r="P3766" s="1" t="s">
        <v>13089</v>
      </c>
      <c r="Q3766" s="1" t="s">
        <v>12416</v>
      </c>
      <c r="R3766" s="1" t="s">
        <v>12416</v>
      </c>
      <c r="S3766" s="1"/>
      <c r="T3766" s="1" t="s">
        <v>1449</v>
      </c>
      <c r="U3766" s="1" t="s">
        <v>1450</v>
      </c>
      <c r="V3766" s="1">
        <v>873.45</v>
      </c>
      <c r="W3766" s="1">
        <v>873.45</v>
      </c>
      <c r="X3766" s="1" t="s">
        <v>35</v>
      </c>
      <c r="Y3766" s="1">
        <v>873450.0</v>
      </c>
      <c r="Z3766" s="1"/>
      <c r="AA3766" s="1">
        <v>873450.0</v>
      </c>
      <c r="AB3766" s="1"/>
      <c r="AC3766" s="1" t="s">
        <v>36</v>
      </c>
      <c r="AD3766" s="1" t="s">
        <v>13090</v>
      </c>
      <c r="AE3766" s="1" t="s">
        <v>32</v>
      </c>
      <c r="AF3766" s="1" t="s">
        <v>33</v>
      </c>
      <c r="AG3766" s="1" t="s">
        <v>270</v>
      </c>
    </row>
    <row r="3767" spans="1:33">
      <c r="A3767" t="s">
        <v>13091</v>
      </c>
      <c r="C3767" t="s">
        <v>644</v>
      </c>
      <c r="E3767" t="s">
        <v>12416</v>
      </c>
      <c r="F3767" t="s">
        <v>12341</v>
      </c>
      <c r="G3767">
        <v>550.0</v>
      </c>
      <c r="H3767">
        <v>550.0</v>
      </c>
      <c r="I3767" t="s">
        <v>227</v>
      </c>
      <c r="J3767" t="s">
        <v>228</v>
      </c>
      <c r="K3767" t="s">
        <v>31</v>
      </c>
      <c r="L3767" t="s">
        <v>32</v>
      </c>
      <c r="M3767" t="s">
        <v>33</v>
      </c>
      <c r="P3767" s="1" t="s">
        <v>13092</v>
      </c>
      <c r="Q3767" s="1" t="s">
        <v>12416</v>
      </c>
      <c r="R3767" s="1" t="s">
        <v>12416</v>
      </c>
      <c r="S3767" s="1"/>
      <c r="T3767" s="1" t="s">
        <v>644</v>
      </c>
      <c r="U3767" s="1"/>
      <c r="V3767" s="1">
        <v>550.0</v>
      </c>
      <c r="W3767" s="1">
        <v>550.0</v>
      </c>
      <c r="X3767" s="1" t="s">
        <v>35</v>
      </c>
      <c r="Y3767" s="1">
        <v>550000.0</v>
      </c>
      <c r="Z3767" s="1"/>
      <c r="AA3767" s="1">
        <v>550000.0</v>
      </c>
      <c r="AB3767" s="1"/>
      <c r="AC3767" s="1" t="s">
        <v>36</v>
      </c>
      <c r="AD3767" s="1" t="s">
        <v>13093</v>
      </c>
      <c r="AE3767" s="1" t="s">
        <v>32</v>
      </c>
      <c r="AF3767" s="1" t="s">
        <v>33</v>
      </c>
      <c r="AG3767" s="1" t="s">
        <v>228</v>
      </c>
    </row>
    <row r="3768" spans="1:33">
      <c r="A3768" t="s">
        <v>13094</v>
      </c>
      <c r="B3768" t="s">
        <v>13095</v>
      </c>
      <c r="C3768" t="s">
        <v>125</v>
      </c>
      <c r="E3768" t="s">
        <v>12416</v>
      </c>
      <c r="F3768" t="s">
        <v>11610</v>
      </c>
      <c r="G3768">
        <v>13.894</v>
      </c>
      <c r="H3768">
        <v>13.894</v>
      </c>
      <c r="I3768" t="s">
        <v>126</v>
      </c>
      <c r="J3768" t="s">
        <v>127</v>
      </c>
      <c r="K3768" t="s">
        <v>31</v>
      </c>
      <c r="L3768" t="s">
        <v>32</v>
      </c>
      <c r="M3768" t="s">
        <v>33</v>
      </c>
      <c r="P3768" s="1" t="s">
        <v>13096</v>
      </c>
      <c r="Q3768" s="1" t="s">
        <v>12416</v>
      </c>
      <c r="R3768" s="1" t="s">
        <v>12416</v>
      </c>
      <c r="S3768" s="1"/>
      <c r="T3768" s="1" t="s">
        <v>125</v>
      </c>
      <c r="U3768" s="1"/>
      <c r="V3768" s="1">
        <v>13.894</v>
      </c>
      <c r="W3768" s="1">
        <v>13.894</v>
      </c>
      <c r="X3768" s="1" t="s">
        <v>35</v>
      </c>
      <c r="Y3768" s="1">
        <v>13894.0</v>
      </c>
      <c r="Z3768" s="1"/>
      <c r="AA3768" s="1">
        <v>13894.0</v>
      </c>
      <c r="AB3768" s="1"/>
      <c r="AC3768" s="1" t="s">
        <v>36</v>
      </c>
      <c r="AD3768" s="1" t="s">
        <v>13097</v>
      </c>
      <c r="AE3768" s="1" t="s">
        <v>32</v>
      </c>
      <c r="AF3768" s="1" t="s">
        <v>33</v>
      </c>
      <c r="AG3768" s="1" t="s">
        <v>127</v>
      </c>
    </row>
    <row r="3769" spans="1:33">
      <c r="A3769" t="s">
        <v>13098</v>
      </c>
      <c r="C3769" t="s">
        <v>644</v>
      </c>
      <c r="E3769" t="s">
        <v>12416</v>
      </c>
      <c r="F3769" t="s">
        <v>12341</v>
      </c>
      <c r="G3769">
        <v>656.0</v>
      </c>
      <c r="H3769">
        <v>656.0</v>
      </c>
      <c r="I3769" t="s">
        <v>227</v>
      </c>
      <c r="J3769" t="s">
        <v>228</v>
      </c>
      <c r="K3769" t="s">
        <v>31</v>
      </c>
      <c r="L3769" t="s">
        <v>32</v>
      </c>
      <c r="M3769" t="s">
        <v>33</v>
      </c>
      <c r="P3769" s="1" t="s">
        <v>13099</v>
      </c>
      <c r="Q3769" s="1" t="s">
        <v>12416</v>
      </c>
      <c r="R3769" s="1" t="s">
        <v>12416</v>
      </c>
      <c r="S3769" s="1"/>
      <c r="T3769" s="1" t="s">
        <v>644</v>
      </c>
      <c r="U3769" s="1"/>
      <c r="V3769" s="1">
        <v>656.0</v>
      </c>
      <c r="W3769" s="1">
        <v>656.0</v>
      </c>
      <c r="X3769" s="1" t="s">
        <v>35</v>
      </c>
      <c r="Y3769" s="1">
        <v>656000.0</v>
      </c>
      <c r="Z3769" s="1"/>
      <c r="AA3769" s="1">
        <v>656000.0</v>
      </c>
      <c r="AB3769" s="1"/>
      <c r="AC3769" s="1" t="s">
        <v>36</v>
      </c>
      <c r="AD3769" s="1" t="s">
        <v>13100</v>
      </c>
      <c r="AE3769" s="1" t="s">
        <v>32</v>
      </c>
      <c r="AF3769" s="1" t="s">
        <v>33</v>
      </c>
      <c r="AG3769" s="1" t="s">
        <v>228</v>
      </c>
    </row>
    <row r="3770" spans="1:33">
      <c r="A3770" t="s">
        <v>13101</v>
      </c>
      <c r="C3770" t="s">
        <v>1476</v>
      </c>
      <c r="E3770" t="s">
        <v>12416</v>
      </c>
      <c r="F3770" t="s">
        <v>12341</v>
      </c>
      <c r="G3770">
        <v>630.0</v>
      </c>
      <c r="H3770">
        <v>630.0</v>
      </c>
      <c r="I3770" t="s">
        <v>126</v>
      </c>
      <c r="J3770" t="s">
        <v>127</v>
      </c>
      <c r="K3770" t="s">
        <v>31</v>
      </c>
      <c r="L3770" t="s">
        <v>32</v>
      </c>
      <c r="M3770" t="s">
        <v>33</v>
      </c>
      <c r="P3770" s="1" t="s">
        <v>13102</v>
      </c>
      <c r="Q3770" s="1" t="s">
        <v>12416</v>
      </c>
      <c r="R3770" s="1" t="s">
        <v>12416</v>
      </c>
      <c r="S3770" s="1"/>
      <c r="T3770" s="1" t="s">
        <v>1476</v>
      </c>
      <c r="U3770" s="1"/>
      <c r="V3770" s="1">
        <v>630.0</v>
      </c>
      <c r="W3770" s="1">
        <v>630.0</v>
      </c>
      <c r="X3770" s="1" t="s">
        <v>35</v>
      </c>
      <c r="Y3770" s="1">
        <v>630000.0</v>
      </c>
      <c r="Z3770" s="1"/>
      <c r="AA3770" s="1">
        <v>630000.0</v>
      </c>
      <c r="AB3770" s="1"/>
      <c r="AC3770" s="1" t="s">
        <v>36</v>
      </c>
      <c r="AD3770" s="1" t="s">
        <v>13103</v>
      </c>
      <c r="AE3770" s="1" t="s">
        <v>32</v>
      </c>
      <c r="AF3770" s="1" t="s">
        <v>33</v>
      </c>
      <c r="AG3770" s="1" t="s">
        <v>127</v>
      </c>
    </row>
    <row r="3771" spans="1:33">
      <c r="A3771" t="s">
        <v>13104</v>
      </c>
      <c r="B3771" t="s">
        <v>13105</v>
      </c>
      <c r="C3771" t="s">
        <v>268</v>
      </c>
      <c r="E3771" t="s">
        <v>12416</v>
      </c>
      <c r="F3771" t="s">
        <v>12341</v>
      </c>
      <c r="G3771">
        <v>16.9</v>
      </c>
      <c r="H3771">
        <v>16.9</v>
      </c>
      <c r="I3771" t="s">
        <v>269</v>
      </c>
      <c r="J3771" t="s">
        <v>270</v>
      </c>
      <c r="K3771" t="s">
        <v>31</v>
      </c>
      <c r="L3771" t="s">
        <v>32</v>
      </c>
      <c r="M3771" t="s">
        <v>33</v>
      </c>
      <c r="P3771" s="1" t="s">
        <v>13106</v>
      </c>
      <c r="Q3771" s="1" t="s">
        <v>12416</v>
      </c>
      <c r="R3771" s="1" t="s">
        <v>12416</v>
      </c>
      <c r="S3771" s="1"/>
      <c r="T3771" s="1" t="s">
        <v>268</v>
      </c>
      <c r="U3771" s="1"/>
      <c r="V3771" s="1">
        <v>16.9</v>
      </c>
      <c r="W3771" s="1">
        <v>16.9</v>
      </c>
      <c r="X3771" s="1" t="s">
        <v>35</v>
      </c>
      <c r="Y3771" s="1">
        <v>16900.0</v>
      </c>
      <c r="Z3771" s="1"/>
      <c r="AA3771" s="1">
        <v>16900.0</v>
      </c>
      <c r="AB3771" s="1"/>
      <c r="AC3771" s="1" t="s">
        <v>36</v>
      </c>
      <c r="AD3771" s="1" t="s">
        <v>13107</v>
      </c>
      <c r="AE3771" s="1" t="s">
        <v>32</v>
      </c>
      <c r="AF3771" s="1" t="s">
        <v>33</v>
      </c>
      <c r="AG3771" s="1" t="s">
        <v>270</v>
      </c>
    </row>
    <row r="3772" spans="1:33">
      <c r="A3772" t="s">
        <v>13108</v>
      </c>
      <c r="C3772" t="s">
        <v>73</v>
      </c>
      <c r="E3772" t="s">
        <v>12416</v>
      </c>
      <c r="F3772" t="s">
        <v>12341</v>
      </c>
      <c r="G3772">
        <v>214.9</v>
      </c>
      <c r="H3772">
        <v>214.9</v>
      </c>
      <c r="I3772" t="s">
        <v>40</v>
      </c>
      <c r="J3772" t="s">
        <v>41</v>
      </c>
      <c r="K3772" t="s">
        <v>31</v>
      </c>
      <c r="L3772" t="s">
        <v>32</v>
      </c>
      <c r="M3772" t="s">
        <v>33</v>
      </c>
      <c r="P3772" s="1" t="s">
        <v>13109</v>
      </c>
      <c r="Q3772" s="1" t="s">
        <v>12416</v>
      </c>
      <c r="R3772" s="1" t="s">
        <v>11609</v>
      </c>
      <c r="S3772" s="1"/>
      <c r="T3772" s="1" t="s">
        <v>75</v>
      </c>
      <c r="U3772" s="1" t="s">
        <v>76</v>
      </c>
      <c r="V3772" s="1">
        <v>214.9</v>
      </c>
      <c r="W3772" s="1">
        <v>214.9</v>
      </c>
      <c r="X3772" s="1" t="s">
        <v>35</v>
      </c>
      <c r="Y3772" s="1">
        <v>214900.0</v>
      </c>
      <c r="Z3772" s="1"/>
      <c r="AA3772" s="1">
        <v>214900.0</v>
      </c>
      <c r="AB3772" s="1"/>
      <c r="AC3772" s="1" t="s">
        <v>36</v>
      </c>
      <c r="AD3772" s="1" t="s">
        <v>13110</v>
      </c>
      <c r="AE3772" s="1" t="s">
        <v>32</v>
      </c>
      <c r="AF3772" s="1" t="s">
        <v>33</v>
      </c>
      <c r="AG3772" s="1" t="s">
        <v>41</v>
      </c>
    </row>
    <row r="3773" spans="1:33">
      <c r="A3773" t="s">
        <v>13111</v>
      </c>
      <c r="B3773" t="s">
        <v>13112</v>
      </c>
      <c r="C3773" t="s">
        <v>172</v>
      </c>
      <c r="E3773" t="s">
        <v>12416</v>
      </c>
      <c r="F3773" t="s">
        <v>12341</v>
      </c>
      <c r="G3773">
        <v>97.47</v>
      </c>
      <c r="H3773">
        <v>97.47</v>
      </c>
      <c r="I3773" t="s">
        <v>173</v>
      </c>
      <c r="J3773" t="s">
        <v>174</v>
      </c>
      <c r="K3773" t="s">
        <v>31</v>
      </c>
      <c r="L3773" t="s">
        <v>32</v>
      </c>
      <c r="M3773" t="s">
        <v>33</v>
      </c>
      <c r="P3773" s="1" t="s">
        <v>13113</v>
      </c>
      <c r="Q3773" s="1" t="s">
        <v>12416</v>
      </c>
      <c r="R3773" s="1" t="s">
        <v>12416</v>
      </c>
      <c r="S3773" s="1"/>
      <c r="T3773" s="1" t="s">
        <v>172</v>
      </c>
      <c r="U3773" s="1"/>
      <c r="V3773" s="1">
        <v>97.47</v>
      </c>
      <c r="W3773" s="1">
        <v>97.47</v>
      </c>
      <c r="X3773" s="1" t="s">
        <v>35</v>
      </c>
      <c r="Y3773" s="1">
        <v>97470.0</v>
      </c>
      <c r="Z3773" s="1"/>
      <c r="AA3773" s="1">
        <v>97470.0</v>
      </c>
      <c r="AB3773" s="1"/>
      <c r="AC3773" s="1" t="s">
        <v>36</v>
      </c>
      <c r="AD3773" s="1" t="s">
        <v>13114</v>
      </c>
      <c r="AE3773" s="1" t="s">
        <v>32</v>
      </c>
      <c r="AF3773" s="1" t="s">
        <v>33</v>
      </c>
      <c r="AG3773" s="1" t="s">
        <v>174</v>
      </c>
    </row>
    <row r="3774" spans="1:33">
      <c r="A3774" t="s">
        <v>13115</v>
      </c>
      <c r="C3774" t="s">
        <v>8989</v>
      </c>
      <c r="E3774" t="s">
        <v>12416</v>
      </c>
      <c r="F3774" t="s">
        <v>12341</v>
      </c>
      <c r="G3774">
        <v>320.0</v>
      </c>
      <c r="H3774">
        <v>320.0</v>
      </c>
      <c r="I3774" t="s">
        <v>40</v>
      </c>
      <c r="J3774" t="s">
        <v>41</v>
      </c>
      <c r="K3774" t="s">
        <v>31</v>
      </c>
      <c r="L3774" t="s">
        <v>32</v>
      </c>
      <c r="M3774" t="s">
        <v>33</v>
      </c>
      <c r="P3774" s="1" t="s">
        <v>13116</v>
      </c>
      <c r="Q3774" s="1" t="s">
        <v>12416</v>
      </c>
      <c r="R3774" s="1" t="s">
        <v>11609</v>
      </c>
      <c r="S3774" s="1"/>
      <c r="T3774" s="1" t="s">
        <v>8989</v>
      </c>
      <c r="U3774" s="1"/>
      <c r="V3774" s="1">
        <v>320.0</v>
      </c>
      <c r="W3774" s="1">
        <v>320.0</v>
      </c>
      <c r="X3774" s="1" t="s">
        <v>35</v>
      </c>
      <c r="Y3774" s="1">
        <v>320000.0</v>
      </c>
      <c r="Z3774" s="1"/>
      <c r="AA3774" s="1">
        <v>320000.0</v>
      </c>
      <c r="AB3774" s="1"/>
      <c r="AC3774" s="1" t="s">
        <v>36</v>
      </c>
      <c r="AD3774" s="1" t="s">
        <v>13114</v>
      </c>
      <c r="AE3774" s="1" t="s">
        <v>32</v>
      </c>
      <c r="AF3774" s="1" t="s">
        <v>33</v>
      </c>
      <c r="AG3774" s="1" t="s">
        <v>41</v>
      </c>
    </row>
    <row r="3775" spans="1:33">
      <c r="A3775" t="s">
        <v>13117</v>
      </c>
      <c r="C3775" t="s">
        <v>866</v>
      </c>
      <c r="D3775" t="s">
        <v>154</v>
      </c>
      <c r="E3775" t="s">
        <v>12416</v>
      </c>
      <c r="F3775" t="s">
        <v>12341</v>
      </c>
      <c r="G3775">
        <v>336.0</v>
      </c>
      <c r="H3775">
        <v>336.0</v>
      </c>
      <c r="I3775" t="s">
        <v>2206</v>
      </c>
      <c r="J3775" t="s">
        <v>49</v>
      </c>
      <c r="K3775" t="s">
        <v>31</v>
      </c>
      <c r="L3775" t="s">
        <v>32</v>
      </c>
      <c r="M3775" t="s">
        <v>33</v>
      </c>
      <c r="P3775" s="1" t="s">
        <v>13118</v>
      </c>
      <c r="Q3775" s="1" t="s">
        <v>12416</v>
      </c>
      <c r="R3775" s="1" t="s">
        <v>12416</v>
      </c>
      <c r="S3775" s="1"/>
      <c r="T3775" s="1" t="s">
        <v>868</v>
      </c>
      <c r="U3775" s="1" t="s">
        <v>869</v>
      </c>
      <c r="V3775" s="1">
        <v>336.0</v>
      </c>
      <c r="W3775" s="1">
        <v>336.0</v>
      </c>
      <c r="X3775" s="1" t="s">
        <v>35</v>
      </c>
      <c r="Y3775" s="1">
        <v>336000.0</v>
      </c>
      <c r="Z3775" s="1"/>
      <c r="AA3775" s="1">
        <v>336000.0</v>
      </c>
      <c r="AB3775" s="1"/>
      <c r="AC3775" s="1" t="s">
        <v>36</v>
      </c>
      <c r="AD3775" s="1" t="s">
        <v>13114</v>
      </c>
      <c r="AE3775" s="1" t="s">
        <v>32</v>
      </c>
      <c r="AF3775" s="1" t="s">
        <v>33</v>
      </c>
      <c r="AG3775" s="1" t="s">
        <v>49</v>
      </c>
    </row>
    <row r="3776" spans="1:33">
      <c r="A3776" t="s">
        <v>13119</v>
      </c>
      <c r="B3776" t="s">
        <v>13120</v>
      </c>
      <c r="C3776" t="s">
        <v>300</v>
      </c>
      <c r="E3776" t="s">
        <v>12416</v>
      </c>
      <c r="F3776" t="s">
        <v>12341</v>
      </c>
      <c r="G3776">
        <v>420.0</v>
      </c>
      <c r="H3776">
        <v>420.0</v>
      </c>
      <c r="I3776" t="s">
        <v>94</v>
      </c>
      <c r="J3776" t="s">
        <v>95</v>
      </c>
      <c r="K3776" t="s">
        <v>31</v>
      </c>
      <c r="L3776" t="s">
        <v>32</v>
      </c>
      <c r="M3776" t="s">
        <v>33</v>
      </c>
      <c r="P3776" s="1" t="s">
        <v>13121</v>
      </c>
      <c r="Q3776" s="1" t="s">
        <v>12416</v>
      </c>
      <c r="R3776" s="1" t="s">
        <v>12416</v>
      </c>
      <c r="S3776" s="1"/>
      <c r="T3776" s="1" t="s">
        <v>302</v>
      </c>
      <c r="U3776" s="1" t="s">
        <v>303</v>
      </c>
      <c r="V3776" s="1">
        <v>420.0</v>
      </c>
      <c r="W3776" s="1">
        <v>420.0</v>
      </c>
      <c r="X3776" s="1" t="s">
        <v>35</v>
      </c>
      <c r="Y3776" s="1">
        <v>420000.0</v>
      </c>
      <c r="Z3776" s="1"/>
      <c r="AA3776" s="1">
        <v>420000.0</v>
      </c>
      <c r="AB3776" s="1"/>
      <c r="AC3776" s="1" t="s">
        <v>36</v>
      </c>
      <c r="AD3776" s="1" t="s">
        <v>13097</v>
      </c>
      <c r="AE3776" s="1" t="s">
        <v>32</v>
      </c>
      <c r="AF3776" s="1" t="s">
        <v>33</v>
      </c>
      <c r="AG3776" s="1" t="s">
        <v>95</v>
      </c>
    </row>
    <row r="3777" spans="1:33">
      <c r="A3777" t="s">
        <v>13122</v>
      </c>
      <c r="B3777" t="s">
        <v>13123</v>
      </c>
      <c r="C3777" t="s">
        <v>131</v>
      </c>
      <c r="E3777" t="s">
        <v>12416</v>
      </c>
      <c r="F3777" t="s">
        <v>12341</v>
      </c>
      <c r="G3777">
        <v>20.49</v>
      </c>
      <c r="H3777">
        <v>20.49</v>
      </c>
      <c r="I3777" t="s">
        <v>94</v>
      </c>
      <c r="J3777" t="s">
        <v>95</v>
      </c>
      <c r="K3777" t="s">
        <v>31</v>
      </c>
      <c r="L3777" t="s">
        <v>32</v>
      </c>
      <c r="M3777" t="s">
        <v>33</v>
      </c>
      <c r="P3777" s="1" t="s">
        <v>13124</v>
      </c>
      <c r="Q3777" s="1" t="s">
        <v>12416</v>
      </c>
      <c r="R3777" s="1" t="s">
        <v>12416</v>
      </c>
      <c r="S3777" s="1"/>
      <c r="T3777" s="1" t="s">
        <v>131</v>
      </c>
      <c r="U3777" s="1"/>
      <c r="V3777" s="1">
        <v>20.49</v>
      </c>
      <c r="W3777" s="1">
        <v>20.49</v>
      </c>
      <c r="X3777" s="1" t="s">
        <v>35</v>
      </c>
      <c r="Y3777" s="1">
        <v>20490.0</v>
      </c>
      <c r="Z3777" s="1"/>
      <c r="AA3777" s="1">
        <v>20490.0</v>
      </c>
      <c r="AB3777" s="1"/>
      <c r="AC3777" s="1" t="s">
        <v>36</v>
      </c>
      <c r="AD3777" s="1" t="s">
        <v>13114</v>
      </c>
      <c r="AE3777" s="1" t="s">
        <v>32</v>
      </c>
      <c r="AF3777" s="1" t="s">
        <v>33</v>
      </c>
      <c r="AG3777" s="1" t="s">
        <v>95</v>
      </c>
    </row>
    <row r="3778" spans="1:33">
      <c r="A3778" t="s">
        <v>13125</v>
      </c>
      <c r="B3778" t="s">
        <v>13126</v>
      </c>
      <c r="C3778" t="s">
        <v>125</v>
      </c>
      <c r="E3778" t="s">
        <v>12416</v>
      </c>
      <c r="F3778" t="s">
        <v>12341</v>
      </c>
      <c r="G3778">
        <v>33.98</v>
      </c>
      <c r="H3778">
        <v>33.98</v>
      </c>
      <c r="I3778" t="s">
        <v>126</v>
      </c>
      <c r="J3778" t="s">
        <v>127</v>
      </c>
      <c r="K3778" t="s">
        <v>31</v>
      </c>
      <c r="L3778" t="s">
        <v>32</v>
      </c>
      <c r="M3778" t="s">
        <v>33</v>
      </c>
      <c r="P3778" s="1" t="s">
        <v>13127</v>
      </c>
      <c r="Q3778" s="1" t="s">
        <v>12416</v>
      </c>
      <c r="R3778" s="1" t="s">
        <v>12416</v>
      </c>
      <c r="S3778" s="1"/>
      <c r="T3778" s="1" t="s">
        <v>125</v>
      </c>
      <c r="U3778" s="1"/>
      <c r="V3778" s="1">
        <v>33.98</v>
      </c>
      <c r="W3778" s="1">
        <v>33.98</v>
      </c>
      <c r="X3778" s="1" t="s">
        <v>35</v>
      </c>
      <c r="Y3778" s="1">
        <v>33980.0</v>
      </c>
      <c r="Z3778" s="1"/>
      <c r="AA3778" s="1">
        <v>33980.0</v>
      </c>
      <c r="AB3778" s="1"/>
      <c r="AC3778" s="1" t="s">
        <v>36</v>
      </c>
      <c r="AD3778" s="1" t="s">
        <v>13128</v>
      </c>
      <c r="AE3778" s="1" t="s">
        <v>32</v>
      </c>
      <c r="AF3778" s="1" t="s">
        <v>33</v>
      </c>
      <c r="AG3778" s="1" t="s">
        <v>127</v>
      </c>
    </row>
    <row r="3779" spans="1:33">
      <c r="A3779" t="s">
        <v>13129</v>
      </c>
      <c r="C3779" t="s">
        <v>1858</v>
      </c>
      <c r="E3779" t="s">
        <v>12416</v>
      </c>
      <c r="F3779" t="s">
        <v>12341</v>
      </c>
      <c r="G3779">
        <v>410.0</v>
      </c>
      <c r="H3779">
        <v>410.0</v>
      </c>
      <c r="I3779" t="s">
        <v>227</v>
      </c>
      <c r="J3779" t="s">
        <v>228</v>
      </c>
      <c r="K3779" t="s">
        <v>31</v>
      </c>
      <c r="L3779" t="s">
        <v>32</v>
      </c>
      <c r="M3779" t="s">
        <v>33</v>
      </c>
      <c r="P3779" s="1" t="s">
        <v>13130</v>
      </c>
      <c r="Q3779" s="1" t="s">
        <v>12416</v>
      </c>
      <c r="R3779" s="1" t="s">
        <v>12416</v>
      </c>
      <c r="S3779" s="1"/>
      <c r="T3779" s="1" t="s">
        <v>1858</v>
      </c>
      <c r="U3779" s="1"/>
      <c r="V3779" s="1">
        <v>410.0</v>
      </c>
      <c r="W3779" s="1">
        <v>410.0</v>
      </c>
      <c r="X3779" s="1" t="s">
        <v>35</v>
      </c>
      <c r="Y3779" s="1">
        <v>410000.0</v>
      </c>
      <c r="Z3779" s="1"/>
      <c r="AA3779" s="1">
        <v>410000.0</v>
      </c>
      <c r="AB3779" s="1"/>
      <c r="AC3779" s="1" t="s">
        <v>36</v>
      </c>
      <c r="AD3779" s="1" t="s">
        <v>13131</v>
      </c>
      <c r="AE3779" s="1" t="s">
        <v>32</v>
      </c>
      <c r="AF3779" s="1" t="s">
        <v>33</v>
      </c>
      <c r="AG3779" s="1" t="s">
        <v>228</v>
      </c>
    </row>
    <row r="3780" spans="1:33">
      <c r="A3780" t="s">
        <v>13132</v>
      </c>
      <c r="B3780" t="s">
        <v>13047</v>
      </c>
      <c r="C3780" t="s">
        <v>125</v>
      </c>
      <c r="E3780" t="s">
        <v>12416</v>
      </c>
      <c r="F3780" t="s">
        <v>12341</v>
      </c>
      <c r="G3780">
        <v>72.38</v>
      </c>
      <c r="H3780">
        <v>72.38</v>
      </c>
      <c r="I3780" t="s">
        <v>126</v>
      </c>
      <c r="J3780" t="s">
        <v>127</v>
      </c>
      <c r="K3780" t="s">
        <v>31</v>
      </c>
      <c r="L3780" t="s">
        <v>32</v>
      </c>
      <c r="M3780" t="s">
        <v>33</v>
      </c>
      <c r="P3780" s="1" t="s">
        <v>13133</v>
      </c>
      <c r="Q3780" s="1" t="s">
        <v>12416</v>
      </c>
      <c r="R3780" s="1" t="s">
        <v>12416</v>
      </c>
      <c r="S3780" s="1"/>
      <c r="T3780" s="1" t="s">
        <v>125</v>
      </c>
      <c r="U3780" s="1"/>
      <c r="V3780" s="1">
        <v>72.38</v>
      </c>
      <c r="W3780" s="1">
        <v>72.38</v>
      </c>
      <c r="X3780" s="1" t="s">
        <v>35</v>
      </c>
      <c r="Y3780" s="1">
        <v>72380.0</v>
      </c>
      <c r="Z3780" s="1"/>
      <c r="AA3780" s="1">
        <v>72380.0</v>
      </c>
      <c r="AB3780" s="1"/>
      <c r="AC3780" s="1" t="s">
        <v>36</v>
      </c>
      <c r="AD3780" s="1" t="s">
        <v>13100</v>
      </c>
      <c r="AE3780" s="1" t="s">
        <v>32</v>
      </c>
      <c r="AF3780" s="1" t="s">
        <v>33</v>
      </c>
      <c r="AG3780" s="1" t="s">
        <v>127</v>
      </c>
    </row>
    <row r="3781" spans="1:33">
      <c r="A3781" t="s">
        <v>13134</v>
      </c>
      <c r="C3781" t="s">
        <v>647</v>
      </c>
      <c r="E3781" t="s">
        <v>12416</v>
      </c>
      <c r="F3781" t="s">
        <v>12341</v>
      </c>
      <c r="G3781">
        <v>790.0</v>
      </c>
      <c r="H3781">
        <v>790.0</v>
      </c>
      <c r="I3781" t="s">
        <v>173</v>
      </c>
      <c r="J3781" t="s">
        <v>174</v>
      </c>
      <c r="K3781" t="s">
        <v>31</v>
      </c>
      <c r="L3781" t="s">
        <v>32</v>
      </c>
      <c r="M3781" t="s">
        <v>33</v>
      </c>
      <c r="P3781" s="1" t="s">
        <v>13135</v>
      </c>
      <c r="Q3781" s="1" t="s">
        <v>12416</v>
      </c>
      <c r="R3781" s="1" t="s">
        <v>12416</v>
      </c>
      <c r="S3781" s="1"/>
      <c r="T3781" s="1" t="s">
        <v>647</v>
      </c>
      <c r="U3781" s="1"/>
      <c r="V3781" s="1">
        <v>790.0</v>
      </c>
      <c r="W3781" s="1">
        <v>790.0</v>
      </c>
      <c r="X3781" s="1" t="s">
        <v>35</v>
      </c>
      <c r="Y3781" s="1">
        <v>790000.0</v>
      </c>
      <c r="Z3781" s="1"/>
      <c r="AA3781" s="1">
        <v>790000.0</v>
      </c>
      <c r="AB3781" s="1"/>
      <c r="AC3781" s="1" t="s">
        <v>36</v>
      </c>
      <c r="AD3781" s="1" t="s">
        <v>13136</v>
      </c>
      <c r="AE3781" s="1" t="s">
        <v>32</v>
      </c>
      <c r="AF3781" s="1" t="s">
        <v>33</v>
      </c>
      <c r="AG3781" s="1" t="s">
        <v>174</v>
      </c>
    </row>
    <row r="3782" spans="1:33">
      <c r="A3782" t="s">
        <v>13137</v>
      </c>
      <c r="C3782" t="s">
        <v>13138</v>
      </c>
      <c r="D3782" t="s">
        <v>114</v>
      </c>
      <c r="E3782" t="s">
        <v>12416</v>
      </c>
      <c r="F3782" t="s">
        <v>12341</v>
      </c>
      <c r="G3782">
        <v>320.0</v>
      </c>
      <c r="H3782">
        <v>320.0</v>
      </c>
      <c r="I3782" t="s">
        <v>126</v>
      </c>
      <c r="J3782" t="s">
        <v>127</v>
      </c>
      <c r="K3782" t="s">
        <v>31</v>
      </c>
      <c r="L3782" t="s">
        <v>32</v>
      </c>
      <c r="M3782" t="s">
        <v>33</v>
      </c>
      <c r="P3782" s="1" t="s">
        <v>13139</v>
      </c>
      <c r="Q3782" s="1" t="s">
        <v>12416</v>
      </c>
      <c r="R3782" s="1" t="s">
        <v>12416</v>
      </c>
      <c r="S3782" s="1"/>
      <c r="T3782" s="1" t="s">
        <v>13138</v>
      </c>
      <c r="U3782" s="1"/>
      <c r="V3782" s="1">
        <v>320.0</v>
      </c>
      <c r="W3782" s="1">
        <v>320.0</v>
      </c>
      <c r="X3782" s="1" t="s">
        <v>35</v>
      </c>
      <c r="Y3782" s="1">
        <v>320000.0</v>
      </c>
      <c r="Z3782" s="1"/>
      <c r="AA3782" s="1">
        <v>320000.0</v>
      </c>
      <c r="AB3782" s="1"/>
      <c r="AC3782" s="1" t="s">
        <v>36</v>
      </c>
      <c r="AD3782" s="1" t="s">
        <v>13140</v>
      </c>
      <c r="AE3782" s="1" t="s">
        <v>32</v>
      </c>
      <c r="AF3782" s="1" t="s">
        <v>33</v>
      </c>
      <c r="AG3782" s="1" t="s">
        <v>127</v>
      </c>
    </row>
    <row r="3783" spans="1:33">
      <c r="A3783" t="s">
        <v>13141</v>
      </c>
      <c r="C3783" t="s">
        <v>73</v>
      </c>
      <c r="E3783" t="s">
        <v>12416</v>
      </c>
      <c r="F3783" t="s">
        <v>12341</v>
      </c>
      <c r="G3783">
        <v>81.1</v>
      </c>
      <c r="H3783">
        <v>81.1</v>
      </c>
      <c r="I3783" t="s">
        <v>40</v>
      </c>
      <c r="J3783" t="s">
        <v>41</v>
      </c>
      <c r="K3783" t="s">
        <v>31</v>
      </c>
      <c r="L3783" t="s">
        <v>32</v>
      </c>
      <c r="M3783" t="s">
        <v>33</v>
      </c>
      <c r="P3783" s="1" t="s">
        <v>13142</v>
      </c>
      <c r="Q3783" s="1" t="s">
        <v>12416</v>
      </c>
      <c r="R3783" s="1" t="s">
        <v>11609</v>
      </c>
      <c r="S3783" s="1"/>
      <c r="T3783" s="1" t="s">
        <v>75</v>
      </c>
      <c r="U3783" s="1" t="s">
        <v>76</v>
      </c>
      <c r="V3783" s="1">
        <v>81.1</v>
      </c>
      <c r="W3783" s="1">
        <v>81.1</v>
      </c>
      <c r="X3783" s="1" t="s">
        <v>35</v>
      </c>
      <c r="Y3783" s="1">
        <v>81100.0</v>
      </c>
      <c r="Z3783" s="1"/>
      <c r="AA3783" s="1">
        <v>81100.0</v>
      </c>
      <c r="AB3783" s="1"/>
      <c r="AC3783" s="1" t="s">
        <v>36</v>
      </c>
      <c r="AD3783" s="1" t="s">
        <v>13136</v>
      </c>
      <c r="AE3783" s="1" t="s">
        <v>32</v>
      </c>
      <c r="AF3783" s="1" t="s">
        <v>33</v>
      </c>
      <c r="AG3783" s="1" t="s">
        <v>41</v>
      </c>
    </row>
    <row r="3784" spans="1:33">
      <c r="A3784" t="s">
        <v>13143</v>
      </c>
      <c r="B3784" t="s">
        <v>1337</v>
      </c>
      <c r="C3784" t="s">
        <v>314</v>
      </c>
      <c r="E3784" t="s">
        <v>12416</v>
      </c>
      <c r="F3784" t="s">
        <v>12341</v>
      </c>
      <c r="G3784">
        <v>160.43</v>
      </c>
      <c r="H3784">
        <v>160.43</v>
      </c>
      <c r="I3784" t="s">
        <v>179</v>
      </c>
      <c r="J3784" t="s">
        <v>180</v>
      </c>
      <c r="K3784" t="s">
        <v>31</v>
      </c>
      <c r="L3784" t="s">
        <v>32</v>
      </c>
      <c r="M3784" t="s">
        <v>33</v>
      </c>
      <c r="P3784" s="1" t="s">
        <v>13144</v>
      </c>
      <c r="Q3784" s="1" t="s">
        <v>12416</v>
      </c>
      <c r="R3784" s="1" t="s">
        <v>12416</v>
      </c>
      <c r="S3784" s="1"/>
      <c r="T3784" s="1" t="s">
        <v>314</v>
      </c>
      <c r="U3784" s="1"/>
      <c r="V3784" s="1">
        <v>160.43</v>
      </c>
      <c r="W3784" s="1">
        <v>160.43</v>
      </c>
      <c r="X3784" s="1" t="s">
        <v>35</v>
      </c>
      <c r="Y3784" s="1">
        <v>160430.0</v>
      </c>
      <c r="Z3784" s="1"/>
      <c r="AA3784" s="1">
        <v>160430.0</v>
      </c>
      <c r="AB3784" s="1"/>
      <c r="AC3784" s="1" t="s">
        <v>36</v>
      </c>
      <c r="AD3784" s="1" t="s">
        <v>13145</v>
      </c>
      <c r="AE3784" s="1" t="s">
        <v>32</v>
      </c>
      <c r="AF3784" s="1" t="s">
        <v>33</v>
      </c>
      <c r="AG3784" s="1" t="s">
        <v>180</v>
      </c>
    </row>
    <row r="3785" spans="1:33">
      <c r="A3785" t="s">
        <v>13146</v>
      </c>
      <c r="C3785" t="s">
        <v>4610</v>
      </c>
      <c r="E3785" t="s">
        <v>12416</v>
      </c>
      <c r="F3785" t="s">
        <v>12341</v>
      </c>
      <c r="G3785">
        <v>960.0</v>
      </c>
      <c r="H3785">
        <v>960.0</v>
      </c>
      <c r="I3785" t="s">
        <v>126</v>
      </c>
      <c r="J3785" t="s">
        <v>127</v>
      </c>
      <c r="K3785" t="s">
        <v>31</v>
      </c>
      <c r="L3785" t="s">
        <v>32</v>
      </c>
      <c r="M3785" t="s">
        <v>33</v>
      </c>
      <c r="P3785" s="1" t="s">
        <v>13147</v>
      </c>
      <c r="Q3785" s="1" t="s">
        <v>12416</v>
      </c>
      <c r="R3785" s="1" t="s">
        <v>12416</v>
      </c>
      <c r="S3785" s="1"/>
      <c r="T3785" s="1" t="s">
        <v>4612</v>
      </c>
      <c r="U3785" s="1" t="s">
        <v>4613</v>
      </c>
      <c r="V3785" s="1">
        <v>960.0</v>
      </c>
      <c r="W3785" s="1">
        <v>960.0</v>
      </c>
      <c r="X3785" s="1" t="s">
        <v>35</v>
      </c>
      <c r="Y3785" s="1">
        <v>960000.0</v>
      </c>
      <c r="Z3785" s="1"/>
      <c r="AA3785" s="1">
        <v>960000.0</v>
      </c>
      <c r="AB3785" s="1"/>
      <c r="AC3785" s="1" t="s">
        <v>36</v>
      </c>
      <c r="AD3785" s="1" t="s">
        <v>13148</v>
      </c>
      <c r="AE3785" s="1" t="s">
        <v>32</v>
      </c>
      <c r="AF3785" s="1" t="s">
        <v>33</v>
      </c>
      <c r="AG3785" s="1" t="s">
        <v>127</v>
      </c>
    </row>
    <row r="3786" spans="1:33">
      <c r="A3786" t="s">
        <v>13149</v>
      </c>
      <c r="B3786" t="s">
        <v>13150</v>
      </c>
      <c r="C3786" t="s">
        <v>73</v>
      </c>
      <c r="E3786" t="s">
        <v>12416</v>
      </c>
      <c r="F3786" t="s">
        <v>12341</v>
      </c>
      <c r="G3786">
        <v>18.49</v>
      </c>
      <c r="H3786">
        <v>18.49</v>
      </c>
      <c r="I3786" t="s">
        <v>40</v>
      </c>
      <c r="J3786" t="s">
        <v>41</v>
      </c>
      <c r="K3786" t="s">
        <v>31</v>
      </c>
      <c r="L3786" t="s">
        <v>32</v>
      </c>
      <c r="M3786" t="s">
        <v>33</v>
      </c>
      <c r="P3786" s="1" t="s">
        <v>13151</v>
      </c>
      <c r="Q3786" s="1" t="s">
        <v>12416</v>
      </c>
      <c r="R3786" s="1" t="s">
        <v>11609</v>
      </c>
      <c r="S3786" s="1"/>
      <c r="T3786" s="1" t="s">
        <v>75</v>
      </c>
      <c r="U3786" s="1" t="s">
        <v>76</v>
      </c>
      <c r="V3786" s="1">
        <v>18.49</v>
      </c>
      <c r="W3786" s="1">
        <v>18.49</v>
      </c>
      <c r="X3786" s="1" t="s">
        <v>35</v>
      </c>
      <c r="Y3786" s="1">
        <v>18490.0</v>
      </c>
      <c r="Z3786" s="1"/>
      <c r="AA3786" s="1">
        <v>18490.0</v>
      </c>
      <c r="AB3786" s="1"/>
      <c r="AC3786" s="1" t="s">
        <v>36</v>
      </c>
      <c r="AD3786" s="1" t="s">
        <v>13152</v>
      </c>
      <c r="AE3786" s="1" t="s">
        <v>32</v>
      </c>
      <c r="AF3786" s="1" t="s">
        <v>33</v>
      </c>
      <c r="AG3786" s="1" t="s">
        <v>41</v>
      </c>
    </row>
    <row r="3787" spans="1:33">
      <c r="A3787" t="s">
        <v>13153</v>
      </c>
      <c r="C3787" t="s">
        <v>1912</v>
      </c>
      <c r="E3787" t="s">
        <v>12416</v>
      </c>
      <c r="F3787" t="s">
        <v>12341</v>
      </c>
      <c r="G3787">
        <v>617.0</v>
      </c>
      <c r="H3787">
        <v>617.0</v>
      </c>
      <c r="I3787" t="s">
        <v>173</v>
      </c>
      <c r="J3787" t="s">
        <v>174</v>
      </c>
      <c r="K3787" t="s">
        <v>31</v>
      </c>
      <c r="L3787" t="s">
        <v>32</v>
      </c>
      <c r="M3787" t="s">
        <v>33</v>
      </c>
      <c r="P3787" s="1" t="s">
        <v>13154</v>
      </c>
      <c r="Q3787" s="1" t="s">
        <v>12416</v>
      </c>
      <c r="R3787" s="1" t="s">
        <v>12416</v>
      </c>
      <c r="S3787" s="1"/>
      <c r="T3787" s="1" t="s">
        <v>1912</v>
      </c>
      <c r="U3787" s="1"/>
      <c r="V3787" s="1">
        <v>617.0</v>
      </c>
      <c r="W3787" s="1">
        <v>617.0</v>
      </c>
      <c r="X3787" s="1" t="s">
        <v>35</v>
      </c>
      <c r="Y3787" s="1">
        <v>617000.0</v>
      </c>
      <c r="Z3787" s="1"/>
      <c r="AA3787" s="1">
        <v>617000.0</v>
      </c>
      <c r="AB3787" s="1"/>
      <c r="AC3787" s="1" t="s">
        <v>36</v>
      </c>
      <c r="AD3787" s="1" t="s">
        <v>13155</v>
      </c>
      <c r="AE3787" s="1" t="s">
        <v>32</v>
      </c>
      <c r="AF3787" s="1" t="s">
        <v>33</v>
      </c>
      <c r="AG3787" s="1" t="s">
        <v>174</v>
      </c>
    </row>
    <row r="3788" spans="1:33">
      <c r="A3788" t="s">
        <v>13156</v>
      </c>
      <c r="C3788" t="s">
        <v>1739</v>
      </c>
      <c r="E3788" t="s">
        <v>12416</v>
      </c>
      <c r="F3788" t="s">
        <v>12341</v>
      </c>
      <c r="G3788">
        <v>656.0</v>
      </c>
      <c r="H3788">
        <v>656.0</v>
      </c>
      <c r="I3788" t="s">
        <v>2206</v>
      </c>
      <c r="J3788" t="s">
        <v>49</v>
      </c>
      <c r="K3788" t="s">
        <v>31</v>
      </c>
      <c r="L3788" t="s">
        <v>32</v>
      </c>
      <c r="M3788" t="s">
        <v>33</v>
      </c>
      <c r="P3788" s="1" t="s">
        <v>13157</v>
      </c>
      <c r="Q3788" s="1" t="s">
        <v>12416</v>
      </c>
      <c r="R3788" s="1" t="s">
        <v>12416</v>
      </c>
      <c r="S3788" s="1"/>
      <c r="T3788" s="1" t="s">
        <v>1739</v>
      </c>
      <c r="U3788" s="1"/>
      <c r="V3788" s="1">
        <v>656.0</v>
      </c>
      <c r="W3788" s="1">
        <v>656.0</v>
      </c>
      <c r="X3788" s="1" t="s">
        <v>35</v>
      </c>
      <c r="Y3788" s="1">
        <v>656000.0</v>
      </c>
      <c r="Z3788" s="1"/>
      <c r="AA3788" s="1">
        <v>656000.0</v>
      </c>
      <c r="AB3788" s="1"/>
      <c r="AC3788" s="1" t="s">
        <v>36</v>
      </c>
      <c r="AD3788" s="1" t="s">
        <v>13155</v>
      </c>
      <c r="AE3788" s="1" t="s">
        <v>32</v>
      </c>
      <c r="AF3788" s="1" t="s">
        <v>33</v>
      </c>
      <c r="AG3788" s="1" t="s">
        <v>49</v>
      </c>
    </row>
    <row r="3789" spans="1:33">
      <c r="A3789" t="s">
        <v>13158</v>
      </c>
      <c r="C3789" t="s">
        <v>4726</v>
      </c>
      <c r="E3789" t="s">
        <v>12416</v>
      </c>
      <c r="F3789" t="s">
        <v>12341</v>
      </c>
      <c r="G3789">
        <v>392.2</v>
      </c>
      <c r="H3789">
        <v>392.2</v>
      </c>
      <c r="I3789" t="s">
        <v>269</v>
      </c>
      <c r="J3789" t="s">
        <v>270</v>
      </c>
      <c r="K3789" t="s">
        <v>31</v>
      </c>
      <c r="L3789" t="s">
        <v>32</v>
      </c>
      <c r="M3789" t="s">
        <v>33</v>
      </c>
      <c r="P3789" s="1" t="s">
        <v>13159</v>
      </c>
      <c r="Q3789" s="1" t="s">
        <v>12416</v>
      </c>
      <c r="R3789" s="1" t="s">
        <v>12416</v>
      </c>
      <c r="S3789" s="1"/>
      <c r="T3789" s="1" t="s">
        <v>4726</v>
      </c>
      <c r="U3789" s="1"/>
      <c r="V3789" s="1">
        <v>392.2</v>
      </c>
      <c r="W3789" s="1">
        <v>392.2</v>
      </c>
      <c r="X3789" s="1" t="s">
        <v>35</v>
      </c>
      <c r="Y3789" s="1">
        <v>392200.0</v>
      </c>
      <c r="Z3789" s="1"/>
      <c r="AA3789" s="1">
        <v>392200.0</v>
      </c>
      <c r="AB3789" s="1"/>
      <c r="AC3789" s="1" t="s">
        <v>36</v>
      </c>
      <c r="AD3789" s="1" t="s">
        <v>13160</v>
      </c>
      <c r="AE3789" s="1" t="s">
        <v>32</v>
      </c>
      <c r="AF3789" s="1" t="s">
        <v>33</v>
      </c>
      <c r="AG3789" s="1" t="s">
        <v>270</v>
      </c>
    </row>
    <row r="3790" spans="1:33">
      <c r="A3790" t="s">
        <v>13161</v>
      </c>
      <c r="C3790" t="s">
        <v>4844</v>
      </c>
      <c r="E3790" t="s">
        <v>12416</v>
      </c>
      <c r="F3790" t="s">
        <v>12341</v>
      </c>
      <c r="G3790">
        <v>1.694</v>
      </c>
      <c r="H3790">
        <v>1.694</v>
      </c>
      <c r="I3790" t="s">
        <v>269</v>
      </c>
      <c r="J3790" t="s">
        <v>270</v>
      </c>
      <c r="K3790" t="s">
        <v>31</v>
      </c>
      <c r="L3790" t="s">
        <v>32</v>
      </c>
      <c r="M3790" t="s">
        <v>33</v>
      </c>
      <c r="P3790" s="1" t="s">
        <v>13162</v>
      </c>
      <c r="Q3790" s="1" t="s">
        <v>12416</v>
      </c>
      <c r="R3790" s="1" t="s">
        <v>12416</v>
      </c>
      <c r="S3790" s="1"/>
      <c r="T3790" s="1" t="s">
        <v>4844</v>
      </c>
      <c r="U3790" s="1"/>
      <c r="V3790" s="1">
        <v>1.694</v>
      </c>
      <c r="W3790" s="1">
        <v>1.694</v>
      </c>
      <c r="X3790" s="1" t="s">
        <v>35</v>
      </c>
      <c r="Y3790" s="1">
        <v>1694000.0</v>
      </c>
      <c r="Z3790" s="1"/>
      <c r="AA3790" s="1">
        <v>1694000.0</v>
      </c>
      <c r="AB3790" s="1"/>
      <c r="AC3790" s="1" t="s">
        <v>36</v>
      </c>
      <c r="AD3790" s="1" t="s">
        <v>13163</v>
      </c>
      <c r="AE3790" s="1" t="s">
        <v>32</v>
      </c>
      <c r="AF3790" s="1" t="s">
        <v>33</v>
      </c>
      <c r="AG3790" s="1" t="s">
        <v>270</v>
      </c>
    </row>
    <row r="3791" spans="1:33">
      <c r="A3791" t="s">
        <v>13164</v>
      </c>
      <c r="B3791" t="s">
        <v>13165</v>
      </c>
      <c r="C3791" t="s">
        <v>73</v>
      </c>
      <c r="E3791" t="s">
        <v>12416</v>
      </c>
      <c r="F3791" t="s">
        <v>12341</v>
      </c>
      <c r="G3791">
        <v>12.19</v>
      </c>
      <c r="H3791">
        <v>12.19</v>
      </c>
      <c r="I3791" t="s">
        <v>40</v>
      </c>
      <c r="J3791" t="s">
        <v>41</v>
      </c>
      <c r="K3791" t="s">
        <v>31</v>
      </c>
      <c r="L3791" t="s">
        <v>32</v>
      </c>
      <c r="M3791" t="s">
        <v>33</v>
      </c>
      <c r="P3791" s="1" t="s">
        <v>13166</v>
      </c>
      <c r="Q3791" s="1" t="s">
        <v>12416</v>
      </c>
      <c r="R3791" s="1" t="s">
        <v>11609</v>
      </c>
      <c r="S3791" s="1"/>
      <c r="T3791" s="1" t="s">
        <v>75</v>
      </c>
      <c r="U3791" s="1" t="s">
        <v>76</v>
      </c>
      <c r="V3791" s="1">
        <v>12.19</v>
      </c>
      <c r="W3791" s="1">
        <v>12.19</v>
      </c>
      <c r="X3791" s="1" t="s">
        <v>35</v>
      </c>
      <c r="Y3791" s="1">
        <v>12190.0</v>
      </c>
      <c r="Z3791" s="1"/>
      <c r="AA3791" s="1">
        <v>12190.0</v>
      </c>
      <c r="AB3791" s="1"/>
      <c r="AC3791" s="1" t="s">
        <v>36</v>
      </c>
      <c r="AD3791" s="1" t="s">
        <v>13167</v>
      </c>
      <c r="AE3791" s="1" t="s">
        <v>32</v>
      </c>
      <c r="AF3791" s="1" t="s">
        <v>33</v>
      </c>
      <c r="AG3791" s="1" t="s">
        <v>41</v>
      </c>
    </row>
    <row r="3792" spans="1:33">
      <c r="A3792" t="s">
        <v>13168</v>
      </c>
      <c r="C3792" t="s">
        <v>2022</v>
      </c>
      <c r="E3792" t="s">
        <v>12416</v>
      </c>
      <c r="F3792" t="s">
        <v>12341</v>
      </c>
      <c r="G3792">
        <v>1.014</v>
      </c>
      <c r="H3792">
        <v>1.014</v>
      </c>
      <c r="I3792" t="s">
        <v>173</v>
      </c>
      <c r="J3792" t="s">
        <v>174</v>
      </c>
      <c r="K3792" t="s">
        <v>31</v>
      </c>
      <c r="L3792" t="s">
        <v>32</v>
      </c>
      <c r="M3792" t="s">
        <v>33</v>
      </c>
      <c r="P3792" s="1" t="s">
        <v>13169</v>
      </c>
      <c r="Q3792" s="1" t="s">
        <v>12416</v>
      </c>
      <c r="R3792" s="1" t="s">
        <v>12416</v>
      </c>
      <c r="S3792" s="1"/>
      <c r="T3792" s="1" t="s">
        <v>2022</v>
      </c>
      <c r="U3792" s="1"/>
      <c r="V3792" s="1">
        <v>1.014</v>
      </c>
      <c r="W3792" s="1">
        <v>1.014</v>
      </c>
      <c r="X3792" s="1" t="s">
        <v>35</v>
      </c>
      <c r="Y3792" s="1">
        <v>1014000.0</v>
      </c>
      <c r="Z3792" s="1"/>
      <c r="AA3792" s="1">
        <v>1014000.0</v>
      </c>
      <c r="AB3792" s="1"/>
      <c r="AC3792" s="1" t="s">
        <v>36</v>
      </c>
      <c r="AD3792" s="1" t="s">
        <v>13170</v>
      </c>
      <c r="AE3792" s="1" t="s">
        <v>32</v>
      </c>
      <c r="AF3792" s="1" t="s">
        <v>33</v>
      </c>
      <c r="AG3792" s="1" t="s">
        <v>174</v>
      </c>
    </row>
    <row r="3793" spans="1:33">
      <c r="A3793" t="s">
        <v>13171</v>
      </c>
      <c r="C3793" t="s">
        <v>3663</v>
      </c>
      <c r="E3793" t="s">
        <v>12416</v>
      </c>
      <c r="F3793" t="s">
        <v>12341</v>
      </c>
      <c r="G3793">
        <v>3.768</v>
      </c>
      <c r="H3793">
        <v>3.768</v>
      </c>
      <c r="I3793" t="s">
        <v>269</v>
      </c>
      <c r="J3793" t="s">
        <v>270</v>
      </c>
      <c r="K3793" t="s">
        <v>31</v>
      </c>
      <c r="L3793" t="s">
        <v>32</v>
      </c>
      <c r="M3793" t="s">
        <v>33</v>
      </c>
      <c r="P3793" s="1" t="s">
        <v>13172</v>
      </c>
      <c r="Q3793" s="1" t="s">
        <v>12416</v>
      </c>
      <c r="R3793" s="1" t="s">
        <v>12416</v>
      </c>
      <c r="S3793" s="1"/>
      <c r="T3793" s="1" t="s">
        <v>3663</v>
      </c>
      <c r="U3793" s="1"/>
      <c r="V3793" s="1">
        <v>3.768</v>
      </c>
      <c r="W3793" s="1">
        <v>3.768</v>
      </c>
      <c r="X3793" s="1" t="s">
        <v>35</v>
      </c>
      <c r="Y3793" s="1">
        <v>3768000.0</v>
      </c>
      <c r="Z3793" s="1"/>
      <c r="AA3793" s="1">
        <v>3768000.0</v>
      </c>
      <c r="AB3793" s="1"/>
      <c r="AC3793" s="1" t="s">
        <v>36</v>
      </c>
      <c r="AD3793" s="1" t="s">
        <v>13170</v>
      </c>
      <c r="AE3793" s="1" t="s">
        <v>32</v>
      </c>
      <c r="AF3793" s="1" t="s">
        <v>33</v>
      </c>
      <c r="AG3793" s="1" t="s">
        <v>270</v>
      </c>
    </row>
    <row r="3794" spans="1:33">
      <c r="A3794" t="s">
        <v>13173</v>
      </c>
      <c r="C3794" t="s">
        <v>1692</v>
      </c>
      <c r="E3794" t="s">
        <v>12416</v>
      </c>
      <c r="F3794" t="s">
        <v>12341</v>
      </c>
      <c r="G3794">
        <v>352.0</v>
      </c>
      <c r="H3794">
        <v>352.0</v>
      </c>
      <c r="I3794" t="s">
        <v>179</v>
      </c>
      <c r="J3794" t="s">
        <v>180</v>
      </c>
      <c r="K3794" t="s">
        <v>31</v>
      </c>
      <c r="L3794" t="s">
        <v>32</v>
      </c>
      <c r="M3794" t="s">
        <v>33</v>
      </c>
      <c r="P3794" s="1" t="s">
        <v>13174</v>
      </c>
      <c r="Q3794" s="1" t="s">
        <v>12416</v>
      </c>
      <c r="R3794" s="1" t="s">
        <v>12416</v>
      </c>
      <c r="S3794" s="1"/>
      <c r="T3794" s="1" t="s">
        <v>1692</v>
      </c>
      <c r="U3794" s="1"/>
      <c r="V3794" s="1">
        <v>352.0</v>
      </c>
      <c r="W3794" s="1">
        <v>352.0</v>
      </c>
      <c r="X3794" s="1" t="s">
        <v>35</v>
      </c>
      <c r="Y3794" s="1">
        <v>352000.0</v>
      </c>
      <c r="Z3794" s="1"/>
      <c r="AA3794" s="1">
        <v>352000.0</v>
      </c>
      <c r="AB3794" s="1"/>
      <c r="AC3794" s="1" t="s">
        <v>36</v>
      </c>
      <c r="AD3794" s="1" t="s">
        <v>13175</v>
      </c>
      <c r="AE3794" s="1" t="s">
        <v>32</v>
      </c>
      <c r="AF3794" s="1" t="s">
        <v>33</v>
      </c>
      <c r="AG3794" s="1" t="s">
        <v>180</v>
      </c>
    </row>
    <row r="3795" spans="1:33">
      <c r="A3795" t="s">
        <v>13176</v>
      </c>
      <c r="C3795" t="s">
        <v>13177</v>
      </c>
      <c r="D3795" t="s">
        <v>114</v>
      </c>
      <c r="E3795" t="s">
        <v>12416</v>
      </c>
      <c r="F3795" t="s">
        <v>12341</v>
      </c>
      <c r="G3795">
        <v>987.0</v>
      </c>
      <c r="H3795">
        <v>987.0</v>
      </c>
      <c r="I3795" t="s">
        <v>269</v>
      </c>
      <c r="J3795" t="s">
        <v>270</v>
      </c>
      <c r="K3795" t="s">
        <v>31</v>
      </c>
      <c r="L3795" t="s">
        <v>32</v>
      </c>
      <c r="M3795" t="s">
        <v>33</v>
      </c>
      <c r="P3795" s="1" t="s">
        <v>13178</v>
      </c>
      <c r="Q3795" s="1" t="s">
        <v>12416</v>
      </c>
      <c r="R3795" s="1" t="s">
        <v>12416</v>
      </c>
      <c r="S3795" s="1"/>
      <c r="T3795" s="1" t="s">
        <v>13177</v>
      </c>
      <c r="U3795" s="1"/>
      <c r="V3795" s="1">
        <v>987.0</v>
      </c>
      <c r="W3795" s="1">
        <v>987.0</v>
      </c>
      <c r="X3795" s="1" t="s">
        <v>35</v>
      </c>
      <c r="Y3795" s="1">
        <v>987000.0</v>
      </c>
      <c r="Z3795" s="1"/>
      <c r="AA3795" s="1">
        <v>987000.0</v>
      </c>
      <c r="AB3795" s="1"/>
      <c r="AC3795" s="1" t="s">
        <v>36</v>
      </c>
      <c r="AD3795" s="1" t="s">
        <v>13179</v>
      </c>
      <c r="AE3795" s="1" t="s">
        <v>32</v>
      </c>
      <c r="AF3795" s="1" t="s">
        <v>33</v>
      </c>
      <c r="AG3795" s="1" t="s">
        <v>270</v>
      </c>
    </row>
    <row r="3796" spans="1:33">
      <c r="A3796" t="s">
        <v>13180</v>
      </c>
      <c r="C3796" t="s">
        <v>73</v>
      </c>
      <c r="E3796" t="s">
        <v>12416</v>
      </c>
      <c r="F3796" t="s">
        <v>12341</v>
      </c>
      <c r="G3796">
        <v>20.99</v>
      </c>
      <c r="H3796">
        <v>20.99</v>
      </c>
      <c r="I3796" t="s">
        <v>40</v>
      </c>
      <c r="J3796" t="s">
        <v>41</v>
      </c>
      <c r="K3796" t="s">
        <v>31</v>
      </c>
      <c r="L3796" t="s">
        <v>32</v>
      </c>
      <c r="M3796" t="s">
        <v>33</v>
      </c>
      <c r="P3796" s="1" t="s">
        <v>13181</v>
      </c>
      <c r="Q3796" s="1" t="s">
        <v>12416</v>
      </c>
      <c r="R3796" s="1" t="s">
        <v>11609</v>
      </c>
      <c r="S3796" s="1"/>
      <c r="T3796" s="1" t="s">
        <v>75</v>
      </c>
      <c r="U3796" s="1" t="s">
        <v>76</v>
      </c>
      <c r="V3796" s="1">
        <v>20.99</v>
      </c>
      <c r="W3796" s="1">
        <v>20.99</v>
      </c>
      <c r="X3796" s="1" t="s">
        <v>35</v>
      </c>
      <c r="Y3796" s="1">
        <v>20990.0</v>
      </c>
      <c r="Z3796" s="1"/>
      <c r="AA3796" s="1">
        <v>20990.0</v>
      </c>
      <c r="AB3796" s="1"/>
      <c r="AC3796" s="1" t="s">
        <v>36</v>
      </c>
      <c r="AD3796" s="1" t="s">
        <v>13182</v>
      </c>
      <c r="AE3796" s="1" t="s">
        <v>32</v>
      </c>
      <c r="AF3796" s="1" t="s">
        <v>33</v>
      </c>
      <c r="AG3796" s="1" t="s">
        <v>41</v>
      </c>
    </row>
    <row r="3797" spans="1:33">
      <c r="A3797" t="s">
        <v>13183</v>
      </c>
      <c r="B3797" t="s">
        <v>206</v>
      </c>
      <c r="C3797" t="s">
        <v>207</v>
      </c>
      <c r="E3797" t="s">
        <v>12416</v>
      </c>
      <c r="F3797" t="s">
        <v>12341</v>
      </c>
      <c r="G3797">
        <v>370.0</v>
      </c>
      <c r="H3797">
        <v>370.0</v>
      </c>
      <c r="I3797" t="s">
        <v>59</v>
      </c>
      <c r="J3797" t="s">
        <v>60</v>
      </c>
      <c r="K3797" t="s">
        <v>31</v>
      </c>
      <c r="L3797" t="s">
        <v>32</v>
      </c>
      <c r="M3797" t="s">
        <v>33</v>
      </c>
      <c r="P3797" s="1" t="s">
        <v>13184</v>
      </c>
      <c r="Q3797" s="1" t="s">
        <v>12416</v>
      </c>
      <c r="R3797" s="1" t="s">
        <v>12416</v>
      </c>
      <c r="S3797" s="1"/>
      <c r="T3797" s="1" t="s">
        <v>207</v>
      </c>
      <c r="U3797" s="1"/>
      <c r="V3797" s="1">
        <v>370.0</v>
      </c>
      <c r="W3797" s="1">
        <v>370.0</v>
      </c>
      <c r="X3797" s="1" t="s">
        <v>35</v>
      </c>
      <c r="Y3797" s="1">
        <v>370000.0</v>
      </c>
      <c r="Z3797" s="1"/>
      <c r="AA3797" s="1">
        <v>370000.0</v>
      </c>
      <c r="AB3797" s="1"/>
      <c r="AC3797" s="1" t="s">
        <v>36</v>
      </c>
      <c r="AD3797" s="1" t="s">
        <v>13185</v>
      </c>
      <c r="AE3797" s="1" t="s">
        <v>32</v>
      </c>
      <c r="AF3797" s="1" t="s">
        <v>33</v>
      </c>
      <c r="AG3797" s="1" t="s">
        <v>60</v>
      </c>
    </row>
    <row r="3798" spans="1:33">
      <c r="A3798" t="s">
        <v>13186</v>
      </c>
      <c r="B3798" t="s">
        <v>57</v>
      </c>
      <c r="C3798" t="s">
        <v>58</v>
      </c>
      <c r="E3798" t="s">
        <v>12416</v>
      </c>
      <c r="F3798" t="s">
        <v>12341</v>
      </c>
      <c r="G3798">
        <v>370.0</v>
      </c>
      <c r="H3798">
        <v>370.0</v>
      </c>
      <c r="I3798" t="s">
        <v>59</v>
      </c>
      <c r="J3798" t="s">
        <v>60</v>
      </c>
      <c r="K3798" t="s">
        <v>31</v>
      </c>
      <c r="L3798" t="s">
        <v>32</v>
      </c>
      <c r="M3798" t="s">
        <v>33</v>
      </c>
      <c r="P3798" s="1" t="s">
        <v>13187</v>
      </c>
      <c r="Q3798" s="1" t="s">
        <v>12416</v>
      </c>
      <c r="R3798" s="1" t="s">
        <v>12416</v>
      </c>
      <c r="S3798" s="1"/>
      <c r="T3798" s="1" t="s">
        <v>58</v>
      </c>
      <c r="U3798" s="1"/>
      <c r="V3798" s="1">
        <v>370.0</v>
      </c>
      <c r="W3798" s="1">
        <v>370.0</v>
      </c>
      <c r="X3798" s="1" t="s">
        <v>35</v>
      </c>
      <c r="Y3798" s="1">
        <v>370000.0</v>
      </c>
      <c r="Z3798" s="1"/>
      <c r="AA3798" s="1">
        <v>370000.0</v>
      </c>
      <c r="AB3798" s="1"/>
      <c r="AC3798" s="1" t="s">
        <v>36</v>
      </c>
      <c r="AD3798" s="1" t="s">
        <v>12851</v>
      </c>
      <c r="AE3798" s="1" t="s">
        <v>32</v>
      </c>
      <c r="AF3798" s="1" t="s">
        <v>33</v>
      </c>
      <c r="AG3798" s="1" t="s">
        <v>60</v>
      </c>
    </row>
    <row r="3799" spans="1:33">
      <c r="A3799" t="s">
        <v>13188</v>
      </c>
      <c r="B3799" t="s">
        <v>13189</v>
      </c>
      <c r="C3799" t="s">
        <v>569</v>
      </c>
      <c r="E3799" t="s">
        <v>12416</v>
      </c>
      <c r="F3799" t="s">
        <v>12341</v>
      </c>
      <c r="G3799">
        <v>41.98</v>
      </c>
      <c r="H3799">
        <v>41.98</v>
      </c>
      <c r="I3799" t="s">
        <v>570</v>
      </c>
      <c r="J3799" t="s">
        <v>571</v>
      </c>
      <c r="K3799" t="s">
        <v>31</v>
      </c>
      <c r="L3799" t="s">
        <v>32</v>
      </c>
      <c r="M3799" t="s">
        <v>33</v>
      </c>
      <c r="P3799" s="1" t="s">
        <v>13190</v>
      </c>
      <c r="Q3799" s="1" t="s">
        <v>12416</v>
      </c>
      <c r="R3799" s="1" t="s">
        <v>12416</v>
      </c>
      <c r="S3799" s="1"/>
      <c r="T3799" s="1" t="s">
        <v>569</v>
      </c>
      <c r="U3799" s="1"/>
      <c r="V3799" s="1">
        <v>41.98</v>
      </c>
      <c r="W3799" s="1">
        <v>41.98</v>
      </c>
      <c r="X3799" s="1" t="s">
        <v>35</v>
      </c>
      <c r="Y3799" s="1">
        <v>41980.0</v>
      </c>
      <c r="Z3799" s="1"/>
      <c r="AA3799" s="1">
        <v>41980.0</v>
      </c>
      <c r="AB3799" s="1"/>
      <c r="AC3799" s="1" t="s">
        <v>36</v>
      </c>
      <c r="AD3799" s="1" t="s">
        <v>13191</v>
      </c>
      <c r="AE3799" s="1" t="s">
        <v>32</v>
      </c>
      <c r="AF3799" s="1" t="s">
        <v>33</v>
      </c>
      <c r="AG3799" s="1" t="s">
        <v>571</v>
      </c>
    </row>
    <row r="3800" spans="1:33">
      <c r="A3800" t="s">
        <v>13192</v>
      </c>
      <c r="B3800" t="s">
        <v>13193</v>
      </c>
      <c r="C3800" t="s">
        <v>172</v>
      </c>
      <c r="E3800" t="s">
        <v>12416</v>
      </c>
      <c r="F3800" t="s">
        <v>12341</v>
      </c>
      <c r="G3800">
        <v>109.95</v>
      </c>
      <c r="H3800">
        <v>109.95</v>
      </c>
      <c r="I3800" t="s">
        <v>173</v>
      </c>
      <c r="J3800" t="s">
        <v>174</v>
      </c>
      <c r="K3800" t="s">
        <v>31</v>
      </c>
      <c r="L3800" t="s">
        <v>32</v>
      </c>
      <c r="M3800" t="s">
        <v>33</v>
      </c>
      <c r="P3800" s="1" t="s">
        <v>13194</v>
      </c>
      <c r="Q3800" s="1" t="s">
        <v>12416</v>
      </c>
      <c r="R3800" s="1" t="s">
        <v>12416</v>
      </c>
      <c r="S3800" s="1"/>
      <c r="T3800" s="1" t="s">
        <v>172</v>
      </c>
      <c r="U3800" s="1"/>
      <c r="V3800" s="1">
        <v>109.95</v>
      </c>
      <c r="W3800" s="1">
        <v>109.95</v>
      </c>
      <c r="X3800" s="1" t="s">
        <v>35</v>
      </c>
      <c r="Y3800" s="1">
        <v>109950.0</v>
      </c>
      <c r="Z3800" s="1"/>
      <c r="AA3800" s="1">
        <v>109950.0</v>
      </c>
      <c r="AB3800" s="1"/>
      <c r="AC3800" s="1" t="s">
        <v>36</v>
      </c>
      <c r="AD3800" s="1" t="s">
        <v>13195</v>
      </c>
      <c r="AE3800" s="1" t="s">
        <v>32</v>
      </c>
      <c r="AF3800" s="1" t="s">
        <v>33</v>
      </c>
      <c r="AG3800" s="1" t="s">
        <v>174</v>
      </c>
    </row>
    <row r="3801" spans="1:33">
      <c r="A3801" t="s">
        <v>13196</v>
      </c>
      <c r="B3801" t="s">
        <v>13197</v>
      </c>
      <c r="C3801" t="s">
        <v>47</v>
      </c>
      <c r="E3801" t="s">
        <v>12416</v>
      </c>
      <c r="F3801" t="s">
        <v>12341</v>
      </c>
      <c r="G3801">
        <v>151.25</v>
      </c>
      <c r="H3801">
        <v>151.25</v>
      </c>
      <c r="I3801" t="s">
        <v>2206</v>
      </c>
      <c r="J3801" t="s">
        <v>49</v>
      </c>
      <c r="K3801" t="s">
        <v>31</v>
      </c>
      <c r="L3801" t="s">
        <v>32</v>
      </c>
      <c r="M3801" t="s">
        <v>33</v>
      </c>
      <c r="P3801" s="1" t="s">
        <v>13198</v>
      </c>
      <c r="Q3801" s="1" t="s">
        <v>12416</v>
      </c>
      <c r="R3801" s="1" t="s">
        <v>12416</v>
      </c>
      <c r="S3801" s="1"/>
      <c r="T3801" s="1" t="s">
        <v>47</v>
      </c>
      <c r="U3801" s="1"/>
      <c r="V3801" s="1">
        <v>151.25</v>
      </c>
      <c r="W3801" s="1">
        <v>151.25</v>
      </c>
      <c r="X3801" s="1" t="s">
        <v>35</v>
      </c>
      <c r="Y3801" s="1">
        <v>151250.0</v>
      </c>
      <c r="Z3801" s="1"/>
      <c r="AA3801" s="1">
        <v>151250.0</v>
      </c>
      <c r="AB3801" s="1"/>
      <c r="AC3801" s="1" t="s">
        <v>36</v>
      </c>
      <c r="AD3801" s="1" t="s">
        <v>13199</v>
      </c>
      <c r="AE3801" s="1" t="s">
        <v>32</v>
      </c>
      <c r="AF3801" s="1" t="s">
        <v>33</v>
      </c>
      <c r="AG3801" s="1" t="s">
        <v>49</v>
      </c>
    </row>
    <row r="3802" spans="1:33">
      <c r="A3802" t="s">
        <v>13200</v>
      </c>
      <c r="B3802" t="s">
        <v>13201</v>
      </c>
      <c r="C3802" t="s">
        <v>314</v>
      </c>
      <c r="E3802" t="s">
        <v>12416</v>
      </c>
      <c r="F3802" t="s">
        <v>12341</v>
      </c>
      <c r="G3802">
        <v>37.49</v>
      </c>
      <c r="H3802">
        <v>37.49</v>
      </c>
      <c r="I3802" t="s">
        <v>179</v>
      </c>
      <c r="J3802" t="s">
        <v>180</v>
      </c>
      <c r="K3802" t="s">
        <v>31</v>
      </c>
      <c r="L3802" t="s">
        <v>32</v>
      </c>
      <c r="M3802" t="s">
        <v>33</v>
      </c>
      <c r="P3802" s="1" t="s">
        <v>13202</v>
      </c>
      <c r="Q3802" s="1" t="s">
        <v>12416</v>
      </c>
      <c r="R3802" s="1" t="s">
        <v>12416</v>
      </c>
      <c r="S3802" s="1"/>
      <c r="T3802" s="1" t="s">
        <v>314</v>
      </c>
      <c r="U3802" s="1"/>
      <c r="V3802" s="1">
        <v>37.49</v>
      </c>
      <c r="W3802" s="1">
        <v>37.49</v>
      </c>
      <c r="X3802" s="1" t="s">
        <v>35</v>
      </c>
      <c r="Y3802" s="1">
        <v>37490.0</v>
      </c>
      <c r="Z3802" s="1"/>
      <c r="AA3802" s="1">
        <v>37490.0</v>
      </c>
      <c r="AB3802" s="1"/>
      <c r="AC3802" s="1" t="s">
        <v>36</v>
      </c>
      <c r="AD3802" s="1" t="s">
        <v>13195</v>
      </c>
      <c r="AE3802" s="1" t="s">
        <v>32</v>
      </c>
      <c r="AF3802" s="1" t="s">
        <v>33</v>
      </c>
      <c r="AG3802" s="1" t="s">
        <v>180</v>
      </c>
    </row>
    <row r="3803" spans="1:33">
      <c r="A3803" t="s">
        <v>13203</v>
      </c>
      <c r="B3803" t="s">
        <v>13204</v>
      </c>
      <c r="C3803" t="s">
        <v>268</v>
      </c>
      <c r="E3803" t="s">
        <v>12416</v>
      </c>
      <c r="F3803" t="s">
        <v>12341</v>
      </c>
      <c r="G3803">
        <v>56.5</v>
      </c>
      <c r="H3803">
        <v>56.5</v>
      </c>
      <c r="I3803" t="s">
        <v>269</v>
      </c>
      <c r="J3803" t="s">
        <v>270</v>
      </c>
      <c r="K3803" t="s">
        <v>31</v>
      </c>
      <c r="L3803" t="s">
        <v>32</v>
      </c>
      <c r="M3803" t="s">
        <v>33</v>
      </c>
      <c r="P3803" s="1" t="s">
        <v>13205</v>
      </c>
      <c r="Q3803" s="1" t="s">
        <v>12416</v>
      </c>
      <c r="R3803" s="1" t="s">
        <v>12416</v>
      </c>
      <c r="S3803" s="1"/>
      <c r="T3803" s="1" t="s">
        <v>268</v>
      </c>
      <c r="U3803" s="1"/>
      <c r="V3803" s="1">
        <v>56.5</v>
      </c>
      <c r="W3803" s="1">
        <v>56.5</v>
      </c>
      <c r="X3803" s="1" t="s">
        <v>35</v>
      </c>
      <c r="Y3803" s="1">
        <v>56500.0</v>
      </c>
      <c r="Z3803" s="1"/>
      <c r="AA3803" s="1">
        <v>56500.0</v>
      </c>
      <c r="AB3803" s="1"/>
      <c r="AC3803" s="1" t="s">
        <v>36</v>
      </c>
      <c r="AD3803" s="1" t="s">
        <v>13206</v>
      </c>
      <c r="AE3803" s="1" t="s">
        <v>32</v>
      </c>
      <c r="AF3803" s="1" t="s">
        <v>33</v>
      </c>
      <c r="AG3803" s="1" t="s">
        <v>270</v>
      </c>
    </row>
    <row r="3804" spans="1:33">
      <c r="A3804" t="s">
        <v>13207</v>
      </c>
      <c r="B3804" t="s">
        <v>8212</v>
      </c>
      <c r="C3804" t="s">
        <v>569</v>
      </c>
      <c r="E3804" t="s">
        <v>12416</v>
      </c>
      <c r="F3804" t="s">
        <v>12341</v>
      </c>
      <c r="G3804">
        <v>44.28</v>
      </c>
      <c r="H3804">
        <v>44.28</v>
      </c>
      <c r="I3804" t="s">
        <v>570</v>
      </c>
      <c r="J3804" t="s">
        <v>571</v>
      </c>
      <c r="K3804" t="s">
        <v>31</v>
      </c>
      <c r="L3804" t="s">
        <v>32</v>
      </c>
      <c r="M3804" t="s">
        <v>33</v>
      </c>
      <c r="P3804" s="1" t="s">
        <v>13208</v>
      </c>
      <c r="Q3804" s="1" t="s">
        <v>12416</v>
      </c>
      <c r="R3804" s="1" t="s">
        <v>12416</v>
      </c>
      <c r="S3804" s="1"/>
      <c r="T3804" s="1" t="s">
        <v>569</v>
      </c>
      <c r="U3804" s="1"/>
      <c r="V3804" s="1">
        <v>44.28</v>
      </c>
      <c r="W3804" s="1">
        <v>44.28</v>
      </c>
      <c r="X3804" s="1" t="s">
        <v>35</v>
      </c>
      <c r="Y3804" s="1">
        <v>44280.0</v>
      </c>
      <c r="Z3804" s="1"/>
      <c r="AA3804" s="1">
        <v>44280.0</v>
      </c>
      <c r="AB3804" s="1"/>
      <c r="AC3804" s="1" t="s">
        <v>36</v>
      </c>
      <c r="AD3804" s="1" t="s">
        <v>13209</v>
      </c>
      <c r="AE3804" s="1" t="s">
        <v>32</v>
      </c>
      <c r="AF3804" s="1" t="s">
        <v>33</v>
      </c>
      <c r="AG3804" s="1" t="s">
        <v>571</v>
      </c>
    </row>
    <row r="3805" spans="1:33">
      <c r="A3805" t="s">
        <v>13210</v>
      </c>
      <c r="B3805" t="s">
        <v>717</v>
      </c>
      <c r="C3805" t="s">
        <v>569</v>
      </c>
      <c r="E3805" t="s">
        <v>12416</v>
      </c>
      <c r="F3805" t="s">
        <v>12341</v>
      </c>
      <c r="G3805">
        <v>58.28</v>
      </c>
      <c r="H3805">
        <v>58.28</v>
      </c>
      <c r="I3805" t="s">
        <v>570</v>
      </c>
      <c r="J3805" t="s">
        <v>571</v>
      </c>
      <c r="K3805" t="s">
        <v>31</v>
      </c>
      <c r="L3805" t="s">
        <v>32</v>
      </c>
      <c r="M3805" t="s">
        <v>33</v>
      </c>
      <c r="P3805" s="1" t="s">
        <v>13211</v>
      </c>
      <c r="Q3805" s="1" t="s">
        <v>12416</v>
      </c>
      <c r="R3805" s="1" t="s">
        <v>12416</v>
      </c>
      <c r="S3805" s="1"/>
      <c r="T3805" s="1" t="s">
        <v>569</v>
      </c>
      <c r="U3805" s="1"/>
      <c r="V3805" s="1">
        <v>58.28</v>
      </c>
      <c r="W3805" s="1">
        <v>58.28</v>
      </c>
      <c r="X3805" s="1" t="s">
        <v>35</v>
      </c>
      <c r="Y3805" s="1">
        <v>58280.0</v>
      </c>
      <c r="Z3805" s="1"/>
      <c r="AA3805" s="1">
        <v>58280.0</v>
      </c>
      <c r="AB3805" s="1"/>
      <c r="AC3805" s="1" t="s">
        <v>36</v>
      </c>
      <c r="AD3805" s="1" t="s">
        <v>13212</v>
      </c>
      <c r="AE3805" s="1" t="s">
        <v>32</v>
      </c>
      <c r="AF3805" s="1" t="s">
        <v>33</v>
      </c>
      <c r="AG3805" s="1" t="s">
        <v>571</v>
      </c>
    </row>
    <row r="3806" spans="1:33">
      <c r="A3806" t="s">
        <v>13213</v>
      </c>
      <c r="B3806" t="s">
        <v>13214</v>
      </c>
      <c r="C3806" t="s">
        <v>47</v>
      </c>
      <c r="E3806" t="s">
        <v>12416</v>
      </c>
      <c r="F3806" t="s">
        <v>12341</v>
      </c>
      <c r="G3806">
        <v>86.36</v>
      </c>
      <c r="H3806">
        <v>86.36</v>
      </c>
      <c r="I3806" t="s">
        <v>2206</v>
      </c>
      <c r="J3806" t="s">
        <v>49</v>
      </c>
      <c r="K3806" t="s">
        <v>31</v>
      </c>
      <c r="L3806" t="s">
        <v>32</v>
      </c>
      <c r="M3806" t="s">
        <v>33</v>
      </c>
      <c r="P3806" s="1" t="s">
        <v>13215</v>
      </c>
      <c r="Q3806" s="1" t="s">
        <v>12416</v>
      </c>
      <c r="R3806" s="1" t="s">
        <v>12416</v>
      </c>
      <c r="S3806" s="1"/>
      <c r="T3806" s="1" t="s">
        <v>47</v>
      </c>
      <c r="U3806" s="1"/>
      <c r="V3806" s="1">
        <v>86.36</v>
      </c>
      <c r="W3806" s="1">
        <v>86.36</v>
      </c>
      <c r="X3806" s="1" t="s">
        <v>35</v>
      </c>
      <c r="Y3806" s="1">
        <v>86360.0</v>
      </c>
      <c r="Z3806" s="1"/>
      <c r="AA3806" s="1">
        <v>86360.0</v>
      </c>
      <c r="AB3806" s="1"/>
      <c r="AC3806" s="1" t="s">
        <v>36</v>
      </c>
      <c r="AD3806" s="1" t="s">
        <v>13216</v>
      </c>
      <c r="AE3806" s="1" t="s">
        <v>32</v>
      </c>
      <c r="AF3806" s="1" t="s">
        <v>33</v>
      </c>
      <c r="AG3806" s="1" t="s">
        <v>49</v>
      </c>
    </row>
    <row r="3807" spans="1:33">
      <c r="A3807" t="s">
        <v>13217</v>
      </c>
      <c r="B3807" t="s">
        <v>10268</v>
      </c>
      <c r="C3807" t="s">
        <v>268</v>
      </c>
      <c r="E3807" t="s">
        <v>12416</v>
      </c>
      <c r="F3807" t="s">
        <v>12341</v>
      </c>
      <c r="G3807">
        <v>66.65</v>
      </c>
      <c r="H3807">
        <v>66.65</v>
      </c>
      <c r="I3807" t="s">
        <v>269</v>
      </c>
      <c r="J3807" t="s">
        <v>270</v>
      </c>
      <c r="K3807" t="s">
        <v>31</v>
      </c>
      <c r="L3807" t="s">
        <v>32</v>
      </c>
      <c r="M3807" t="s">
        <v>33</v>
      </c>
      <c r="P3807" s="1" t="s">
        <v>13218</v>
      </c>
      <c r="Q3807" s="1" t="s">
        <v>12416</v>
      </c>
      <c r="R3807" s="1" t="s">
        <v>12416</v>
      </c>
      <c r="S3807" s="1"/>
      <c r="T3807" s="1" t="s">
        <v>268</v>
      </c>
      <c r="U3807" s="1"/>
      <c r="V3807" s="1">
        <v>66.65</v>
      </c>
      <c r="W3807" s="1">
        <v>66.65</v>
      </c>
      <c r="X3807" s="1" t="s">
        <v>35</v>
      </c>
      <c r="Y3807" s="1">
        <v>66650.0</v>
      </c>
      <c r="Z3807" s="1"/>
      <c r="AA3807" s="1">
        <v>66650.0</v>
      </c>
      <c r="AB3807" s="1"/>
      <c r="AC3807" s="1" t="s">
        <v>36</v>
      </c>
      <c r="AD3807" s="1" t="s">
        <v>13219</v>
      </c>
      <c r="AE3807" s="1" t="s">
        <v>32</v>
      </c>
      <c r="AF3807" s="1" t="s">
        <v>33</v>
      </c>
      <c r="AG3807" s="1" t="s">
        <v>270</v>
      </c>
    </row>
    <row r="3808" spans="1:33">
      <c r="A3808" t="s">
        <v>13220</v>
      </c>
      <c r="C3808" t="s">
        <v>178</v>
      </c>
      <c r="E3808" t="s">
        <v>12416</v>
      </c>
      <c r="F3808" t="s">
        <v>12341</v>
      </c>
      <c r="G3808">
        <v>515.75</v>
      </c>
      <c r="H3808">
        <v>515.75</v>
      </c>
      <c r="I3808" t="s">
        <v>179</v>
      </c>
      <c r="J3808" t="s">
        <v>180</v>
      </c>
      <c r="K3808" t="s">
        <v>31</v>
      </c>
      <c r="L3808" t="s">
        <v>32</v>
      </c>
      <c r="M3808" t="s">
        <v>33</v>
      </c>
      <c r="P3808" s="1" t="s">
        <v>13221</v>
      </c>
      <c r="Q3808" s="1" t="s">
        <v>12416</v>
      </c>
      <c r="R3808" s="1" t="s">
        <v>12416</v>
      </c>
      <c r="S3808" s="1"/>
      <c r="T3808" s="1" t="s">
        <v>178</v>
      </c>
      <c r="U3808" s="1"/>
      <c r="V3808" s="1">
        <v>515.75</v>
      </c>
      <c r="W3808" s="1">
        <v>515.75</v>
      </c>
      <c r="X3808" s="1" t="s">
        <v>35</v>
      </c>
      <c r="Y3808" s="1">
        <v>515750.0</v>
      </c>
      <c r="Z3808" s="1"/>
      <c r="AA3808" s="1">
        <v>515750.0</v>
      </c>
      <c r="AB3808" s="1"/>
      <c r="AC3808" s="1" t="s">
        <v>36</v>
      </c>
      <c r="AD3808" s="1" t="s">
        <v>13222</v>
      </c>
      <c r="AE3808" s="1" t="s">
        <v>32</v>
      </c>
      <c r="AF3808" s="1" t="s">
        <v>33</v>
      </c>
      <c r="AG3808" s="1" t="s">
        <v>180</v>
      </c>
    </row>
    <row r="3809" spans="1:33">
      <c r="A3809" t="s">
        <v>13223</v>
      </c>
      <c r="C3809" t="s">
        <v>5851</v>
      </c>
      <c r="E3809" t="s">
        <v>12416</v>
      </c>
      <c r="F3809" t="s">
        <v>12341</v>
      </c>
      <c r="G3809">
        <v>352.0</v>
      </c>
      <c r="H3809">
        <v>352.0</v>
      </c>
      <c r="I3809" t="s">
        <v>179</v>
      </c>
      <c r="J3809" t="s">
        <v>180</v>
      </c>
      <c r="K3809" t="s">
        <v>31</v>
      </c>
      <c r="L3809" t="s">
        <v>32</v>
      </c>
      <c r="M3809" t="s">
        <v>33</v>
      </c>
      <c r="P3809" s="1" t="s">
        <v>13224</v>
      </c>
      <c r="Q3809" s="1" t="s">
        <v>12416</v>
      </c>
      <c r="R3809" s="1" t="s">
        <v>12416</v>
      </c>
      <c r="S3809" s="1"/>
      <c r="T3809" s="1" t="s">
        <v>5851</v>
      </c>
      <c r="U3809" s="1"/>
      <c r="V3809" s="1">
        <v>352.0</v>
      </c>
      <c r="W3809" s="1">
        <v>352.0</v>
      </c>
      <c r="X3809" s="1" t="s">
        <v>35</v>
      </c>
      <c r="Y3809" s="1">
        <v>352000.0</v>
      </c>
      <c r="Z3809" s="1"/>
      <c r="AA3809" s="1">
        <v>352000.0</v>
      </c>
      <c r="AB3809" s="1"/>
      <c r="AC3809" s="1" t="s">
        <v>36</v>
      </c>
      <c r="AD3809" s="1" t="s">
        <v>13209</v>
      </c>
      <c r="AE3809" s="1" t="s">
        <v>32</v>
      </c>
      <c r="AF3809" s="1" t="s">
        <v>33</v>
      </c>
      <c r="AG3809" s="1" t="s">
        <v>180</v>
      </c>
    </row>
    <row r="3810" spans="1:33">
      <c r="A3810" t="s">
        <v>13225</v>
      </c>
      <c r="B3810" t="s">
        <v>13226</v>
      </c>
      <c r="C3810" t="s">
        <v>125</v>
      </c>
      <c r="E3810" t="s">
        <v>12416</v>
      </c>
      <c r="F3810" t="s">
        <v>12341</v>
      </c>
      <c r="G3810">
        <v>44.478</v>
      </c>
      <c r="H3810">
        <v>44.478</v>
      </c>
      <c r="I3810" t="s">
        <v>126</v>
      </c>
      <c r="J3810" t="s">
        <v>127</v>
      </c>
      <c r="K3810" t="s">
        <v>31</v>
      </c>
      <c r="L3810" t="s">
        <v>32</v>
      </c>
      <c r="M3810" t="s">
        <v>33</v>
      </c>
      <c r="P3810" s="1" t="s">
        <v>13227</v>
      </c>
      <c r="Q3810" s="1" t="s">
        <v>12416</v>
      </c>
      <c r="R3810" s="1" t="s">
        <v>12416</v>
      </c>
      <c r="S3810" s="1"/>
      <c r="T3810" s="1" t="s">
        <v>125</v>
      </c>
      <c r="U3810" s="1"/>
      <c r="V3810" s="1">
        <v>44.478</v>
      </c>
      <c r="W3810" s="1">
        <v>44.478</v>
      </c>
      <c r="X3810" s="1" t="s">
        <v>35</v>
      </c>
      <c r="Y3810" s="1">
        <v>44478.0</v>
      </c>
      <c r="Z3810" s="1"/>
      <c r="AA3810" s="1">
        <v>44478.0</v>
      </c>
      <c r="AB3810" s="1"/>
      <c r="AC3810" s="1" t="s">
        <v>36</v>
      </c>
      <c r="AD3810" s="1" t="s">
        <v>13228</v>
      </c>
      <c r="AE3810" s="1" t="s">
        <v>32</v>
      </c>
      <c r="AF3810" s="1" t="s">
        <v>33</v>
      </c>
      <c r="AG3810" s="1" t="s">
        <v>127</v>
      </c>
    </row>
    <row r="3811" spans="1:33">
      <c r="A3811" t="s">
        <v>13229</v>
      </c>
      <c r="B3811" t="s">
        <v>13230</v>
      </c>
      <c r="C3811" t="s">
        <v>1920</v>
      </c>
      <c r="E3811" t="s">
        <v>12416</v>
      </c>
      <c r="F3811" t="s">
        <v>12341</v>
      </c>
      <c r="G3811">
        <v>914.0</v>
      </c>
      <c r="H3811">
        <v>914.0</v>
      </c>
      <c r="I3811" t="s">
        <v>40</v>
      </c>
      <c r="J3811" t="s">
        <v>41</v>
      </c>
      <c r="K3811" t="s">
        <v>31</v>
      </c>
      <c r="L3811" t="s">
        <v>32</v>
      </c>
      <c r="M3811" t="s">
        <v>33</v>
      </c>
      <c r="P3811" s="1" t="s">
        <v>13231</v>
      </c>
      <c r="Q3811" s="1" t="s">
        <v>12416</v>
      </c>
      <c r="R3811" s="1" t="s">
        <v>11609</v>
      </c>
      <c r="S3811" s="1"/>
      <c r="T3811" s="1" t="s">
        <v>1920</v>
      </c>
      <c r="U3811" s="1"/>
      <c r="V3811" s="1">
        <v>914.0</v>
      </c>
      <c r="W3811" s="1">
        <v>914.0</v>
      </c>
      <c r="X3811" s="1" t="s">
        <v>35</v>
      </c>
      <c r="Y3811" s="1">
        <v>914000.0</v>
      </c>
      <c r="Z3811" s="1"/>
      <c r="AA3811" s="1">
        <v>914000.0</v>
      </c>
      <c r="AB3811" s="1"/>
      <c r="AC3811" s="1" t="s">
        <v>36</v>
      </c>
      <c r="AD3811" s="1" t="s">
        <v>13232</v>
      </c>
      <c r="AE3811" s="1" t="s">
        <v>32</v>
      </c>
      <c r="AF3811" s="1" t="s">
        <v>33</v>
      </c>
      <c r="AG3811" s="1" t="s">
        <v>41</v>
      </c>
    </row>
    <row r="3812" spans="1:33">
      <c r="A3812" t="s">
        <v>13233</v>
      </c>
      <c r="C3812" t="s">
        <v>827</v>
      </c>
      <c r="D3812" t="s">
        <v>154</v>
      </c>
      <c r="E3812" t="s">
        <v>12416</v>
      </c>
      <c r="F3812" t="s">
        <v>12341</v>
      </c>
      <c r="G3812">
        <v>40.0</v>
      </c>
      <c r="H3812">
        <v>40.0</v>
      </c>
      <c r="I3812" t="s">
        <v>269</v>
      </c>
      <c r="J3812" t="s">
        <v>270</v>
      </c>
      <c r="K3812" t="s">
        <v>31</v>
      </c>
      <c r="L3812" t="s">
        <v>32</v>
      </c>
      <c r="M3812" t="s">
        <v>33</v>
      </c>
      <c r="P3812" s="1" t="s">
        <v>13234</v>
      </c>
      <c r="Q3812" s="1" t="s">
        <v>12416</v>
      </c>
      <c r="R3812" s="1" t="s">
        <v>12416</v>
      </c>
      <c r="S3812" s="1"/>
      <c r="T3812" s="1" t="s">
        <v>827</v>
      </c>
      <c r="U3812" s="1"/>
      <c r="V3812" s="1">
        <v>40.0</v>
      </c>
      <c r="W3812" s="1">
        <v>40.0</v>
      </c>
      <c r="X3812" s="1" t="s">
        <v>35</v>
      </c>
      <c r="Y3812" s="1">
        <v>40000.0</v>
      </c>
      <c r="Z3812" s="1"/>
      <c r="AA3812" s="1">
        <v>40000.0</v>
      </c>
      <c r="AB3812" s="1"/>
      <c r="AC3812" s="1" t="s">
        <v>36</v>
      </c>
      <c r="AD3812" s="1" t="s">
        <v>13235</v>
      </c>
      <c r="AE3812" s="1" t="s">
        <v>32</v>
      </c>
      <c r="AF3812" s="1" t="s">
        <v>33</v>
      </c>
      <c r="AG3812" s="1" t="s">
        <v>270</v>
      </c>
    </row>
    <row r="3813" spans="1:33">
      <c r="A3813" t="s">
        <v>13236</v>
      </c>
      <c r="B3813" t="s">
        <v>13237</v>
      </c>
      <c r="C3813" t="s">
        <v>172</v>
      </c>
      <c r="E3813" t="s">
        <v>12416</v>
      </c>
      <c r="F3813" t="s">
        <v>12341</v>
      </c>
      <c r="G3813">
        <v>5.65</v>
      </c>
      <c r="H3813">
        <v>5.65</v>
      </c>
      <c r="I3813" t="s">
        <v>173</v>
      </c>
      <c r="J3813" t="s">
        <v>174</v>
      </c>
      <c r="K3813" t="s">
        <v>31</v>
      </c>
      <c r="L3813" t="s">
        <v>32</v>
      </c>
      <c r="M3813" t="s">
        <v>33</v>
      </c>
      <c r="P3813" s="1" t="s">
        <v>13238</v>
      </c>
      <c r="Q3813" s="1" t="s">
        <v>12416</v>
      </c>
      <c r="R3813" s="1" t="s">
        <v>12416</v>
      </c>
      <c r="S3813" s="1"/>
      <c r="T3813" s="1" t="s">
        <v>172</v>
      </c>
      <c r="U3813" s="1"/>
      <c r="V3813" s="1">
        <v>5.65</v>
      </c>
      <c r="W3813" s="1">
        <v>5.65</v>
      </c>
      <c r="X3813" s="1" t="s">
        <v>35</v>
      </c>
      <c r="Y3813" s="1">
        <v>5650.0</v>
      </c>
      <c r="Z3813" s="1"/>
      <c r="AA3813" s="1">
        <v>5650.0</v>
      </c>
      <c r="AB3813" s="1"/>
      <c r="AC3813" s="1" t="s">
        <v>36</v>
      </c>
      <c r="AD3813" s="1" t="s">
        <v>13239</v>
      </c>
      <c r="AE3813" s="1" t="s">
        <v>32</v>
      </c>
      <c r="AF3813" s="1" t="s">
        <v>33</v>
      </c>
      <c r="AG3813" s="1" t="s">
        <v>174</v>
      </c>
    </row>
    <row r="3814" spans="1:33">
      <c r="A3814" t="s">
        <v>13240</v>
      </c>
      <c r="B3814" t="s">
        <v>13241</v>
      </c>
      <c r="C3814" t="s">
        <v>125</v>
      </c>
      <c r="E3814" t="s">
        <v>12416</v>
      </c>
      <c r="F3814" t="s">
        <v>12341</v>
      </c>
      <c r="G3814">
        <v>18.49</v>
      </c>
      <c r="H3814">
        <v>18.49</v>
      </c>
      <c r="I3814" t="s">
        <v>126</v>
      </c>
      <c r="J3814" t="s">
        <v>127</v>
      </c>
      <c r="K3814" t="s">
        <v>31</v>
      </c>
      <c r="L3814" t="s">
        <v>32</v>
      </c>
      <c r="M3814" t="s">
        <v>33</v>
      </c>
      <c r="P3814" s="1" t="s">
        <v>13242</v>
      </c>
      <c r="Q3814" s="1" t="s">
        <v>12416</v>
      </c>
      <c r="R3814" s="1" t="s">
        <v>12416</v>
      </c>
      <c r="S3814" s="1"/>
      <c r="T3814" s="1" t="s">
        <v>125</v>
      </c>
      <c r="U3814" s="1"/>
      <c r="V3814" s="1">
        <v>18.49</v>
      </c>
      <c r="W3814" s="1">
        <v>18.49</v>
      </c>
      <c r="X3814" s="1" t="s">
        <v>35</v>
      </c>
      <c r="Y3814" s="1">
        <v>18490.0</v>
      </c>
      <c r="Z3814" s="1"/>
      <c r="AA3814" s="1">
        <v>18490.0</v>
      </c>
      <c r="AB3814" s="1"/>
      <c r="AC3814" s="1" t="s">
        <v>36</v>
      </c>
      <c r="AD3814" s="1" t="s">
        <v>13239</v>
      </c>
      <c r="AE3814" s="1" t="s">
        <v>32</v>
      </c>
      <c r="AF3814" s="1" t="s">
        <v>33</v>
      </c>
      <c r="AG3814" s="1" t="s">
        <v>127</v>
      </c>
    </row>
    <row r="3815" spans="1:33">
      <c r="A3815" t="s">
        <v>13243</v>
      </c>
      <c r="C3815" t="s">
        <v>13244</v>
      </c>
      <c r="E3815" t="s">
        <v>12416</v>
      </c>
      <c r="F3815" t="s">
        <v>12341</v>
      </c>
      <c r="G3815">
        <v>478.6</v>
      </c>
      <c r="H3815">
        <v>478.6</v>
      </c>
      <c r="I3815" t="s">
        <v>269</v>
      </c>
      <c r="J3815" t="s">
        <v>270</v>
      </c>
      <c r="K3815" t="s">
        <v>31</v>
      </c>
      <c r="L3815" t="s">
        <v>32</v>
      </c>
      <c r="M3815" t="s">
        <v>33</v>
      </c>
      <c r="P3815" s="1" t="s">
        <v>13245</v>
      </c>
      <c r="Q3815" s="1" t="s">
        <v>12416</v>
      </c>
      <c r="R3815" s="1" t="s">
        <v>12416</v>
      </c>
      <c r="S3815" s="1"/>
      <c r="T3815" s="1" t="s">
        <v>13244</v>
      </c>
      <c r="U3815" s="1"/>
      <c r="V3815" s="1">
        <v>478.6</v>
      </c>
      <c r="W3815" s="1">
        <v>478.6</v>
      </c>
      <c r="X3815" s="1" t="s">
        <v>35</v>
      </c>
      <c r="Y3815" s="1">
        <v>478600.0</v>
      </c>
      <c r="Z3815" s="1"/>
      <c r="AA3815" s="1">
        <v>478600.0</v>
      </c>
      <c r="AB3815" s="1"/>
      <c r="AC3815" s="1" t="s">
        <v>36</v>
      </c>
      <c r="AD3815" s="1" t="s">
        <v>13239</v>
      </c>
      <c r="AE3815" s="1" t="s">
        <v>32</v>
      </c>
      <c r="AF3815" s="1" t="s">
        <v>33</v>
      </c>
      <c r="AG3815" s="1" t="s">
        <v>270</v>
      </c>
    </row>
    <row r="3816" spans="1:33">
      <c r="A3816" t="s">
        <v>13246</v>
      </c>
      <c r="B3816" t="s">
        <v>13247</v>
      </c>
      <c r="C3816" t="s">
        <v>569</v>
      </c>
      <c r="E3816" t="s">
        <v>12416</v>
      </c>
      <c r="F3816" t="s">
        <v>12341</v>
      </c>
      <c r="G3816">
        <v>17.79</v>
      </c>
      <c r="H3816">
        <v>17.79</v>
      </c>
      <c r="I3816" t="s">
        <v>570</v>
      </c>
      <c r="J3816" t="s">
        <v>571</v>
      </c>
      <c r="K3816" t="s">
        <v>31</v>
      </c>
      <c r="L3816" t="s">
        <v>32</v>
      </c>
      <c r="M3816" t="s">
        <v>33</v>
      </c>
      <c r="P3816" s="1" t="s">
        <v>13248</v>
      </c>
      <c r="Q3816" s="1" t="s">
        <v>12416</v>
      </c>
      <c r="R3816" s="1" t="s">
        <v>12416</v>
      </c>
      <c r="S3816" s="1"/>
      <c r="T3816" s="1" t="s">
        <v>569</v>
      </c>
      <c r="U3816" s="1"/>
      <c r="V3816" s="1">
        <v>17.79</v>
      </c>
      <c r="W3816" s="1">
        <v>17.79</v>
      </c>
      <c r="X3816" s="1" t="s">
        <v>35</v>
      </c>
      <c r="Y3816" s="1">
        <v>17790.0</v>
      </c>
      <c r="Z3816" s="1"/>
      <c r="AA3816" s="1">
        <v>17790.0</v>
      </c>
      <c r="AB3816" s="1"/>
      <c r="AC3816" s="1" t="s">
        <v>36</v>
      </c>
      <c r="AD3816" s="1" t="s">
        <v>13222</v>
      </c>
      <c r="AE3816" s="1" t="s">
        <v>32</v>
      </c>
      <c r="AF3816" s="1" t="s">
        <v>33</v>
      </c>
      <c r="AG3816" s="1" t="s">
        <v>571</v>
      </c>
    </row>
    <row r="3817" spans="1:33">
      <c r="A3817" t="s">
        <v>13249</v>
      </c>
      <c r="B3817" t="s">
        <v>13250</v>
      </c>
      <c r="C3817" t="s">
        <v>414</v>
      </c>
      <c r="E3817" t="s">
        <v>12416</v>
      </c>
      <c r="F3817" t="s">
        <v>12341</v>
      </c>
      <c r="G3817">
        <v>500.0</v>
      </c>
      <c r="H3817">
        <v>500.0</v>
      </c>
      <c r="I3817" t="s">
        <v>539</v>
      </c>
      <c r="J3817" t="s">
        <v>540</v>
      </c>
      <c r="K3817" t="s">
        <v>31</v>
      </c>
      <c r="L3817" t="s">
        <v>32</v>
      </c>
      <c r="M3817" t="s">
        <v>33</v>
      </c>
      <c r="P3817" s="1" t="s">
        <v>13251</v>
      </c>
      <c r="Q3817" s="1" t="s">
        <v>12416</v>
      </c>
      <c r="R3817" s="1" t="s">
        <v>6133</v>
      </c>
      <c r="S3817" s="1"/>
      <c r="T3817" s="1" t="s">
        <v>414</v>
      </c>
      <c r="U3817" s="1"/>
      <c r="V3817" s="1">
        <v>500.0</v>
      </c>
      <c r="W3817" s="1">
        <v>500.0</v>
      </c>
      <c r="X3817" s="1" t="s">
        <v>35</v>
      </c>
      <c r="Y3817" s="1">
        <v>500000.0</v>
      </c>
      <c r="Z3817" s="1"/>
      <c r="AA3817" s="1">
        <v>500000.0</v>
      </c>
      <c r="AB3817" s="1"/>
      <c r="AC3817" s="1" t="s">
        <v>36</v>
      </c>
      <c r="AD3817" s="1" t="s">
        <v>13252</v>
      </c>
      <c r="AE3817" s="1" t="s">
        <v>32</v>
      </c>
      <c r="AF3817" s="1" t="s">
        <v>33</v>
      </c>
      <c r="AG3817" s="1" t="s">
        <v>540</v>
      </c>
    </row>
    <row r="3818" spans="1:33">
      <c r="A3818" t="s">
        <v>13253</v>
      </c>
      <c r="C3818" t="s">
        <v>2284</v>
      </c>
      <c r="E3818" t="s">
        <v>12416</v>
      </c>
      <c r="F3818" t="s">
        <v>12341</v>
      </c>
      <c r="G3818">
        <v>2.698</v>
      </c>
      <c r="H3818">
        <v>2.698</v>
      </c>
      <c r="I3818" t="s">
        <v>269</v>
      </c>
      <c r="J3818" t="s">
        <v>270</v>
      </c>
      <c r="K3818" t="s">
        <v>31</v>
      </c>
      <c r="L3818" t="s">
        <v>32</v>
      </c>
      <c r="M3818" t="s">
        <v>33</v>
      </c>
      <c r="P3818" s="1" t="s">
        <v>13254</v>
      </c>
      <c r="Q3818" s="1" t="s">
        <v>12416</v>
      </c>
      <c r="R3818" s="1" t="s">
        <v>12416</v>
      </c>
      <c r="S3818" s="1"/>
      <c r="T3818" s="1" t="s">
        <v>2284</v>
      </c>
      <c r="U3818" s="1"/>
      <c r="V3818" s="1">
        <v>2.698</v>
      </c>
      <c r="W3818" s="1">
        <v>2.698</v>
      </c>
      <c r="X3818" s="1" t="s">
        <v>35</v>
      </c>
      <c r="Y3818" s="1">
        <v>2698000.0</v>
      </c>
      <c r="Z3818" s="1"/>
      <c r="AA3818" s="1">
        <v>2698000.0</v>
      </c>
      <c r="AB3818" s="1"/>
      <c r="AC3818" s="1" t="s">
        <v>36</v>
      </c>
      <c r="AD3818" s="1" t="s">
        <v>13255</v>
      </c>
      <c r="AE3818" s="1" t="s">
        <v>32</v>
      </c>
      <c r="AF3818" s="1" t="s">
        <v>33</v>
      </c>
      <c r="AG3818" s="1" t="s">
        <v>270</v>
      </c>
    </row>
    <row r="3819" spans="1:33">
      <c r="A3819" t="s">
        <v>13256</v>
      </c>
      <c r="C3819" t="s">
        <v>859</v>
      </c>
      <c r="D3819" t="s">
        <v>114</v>
      </c>
      <c r="E3819" t="s">
        <v>12416</v>
      </c>
      <c r="F3819" t="s">
        <v>12341</v>
      </c>
      <c r="G3819">
        <v>1.051</v>
      </c>
      <c r="H3819">
        <v>1.051</v>
      </c>
      <c r="I3819" t="s">
        <v>269</v>
      </c>
      <c r="J3819" t="s">
        <v>270</v>
      </c>
      <c r="K3819" t="s">
        <v>31</v>
      </c>
      <c r="L3819" t="s">
        <v>32</v>
      </c>
      <c r="M3819" t="s">
        <v>33</v>
      </c>
      <c r="P3819" s="1" t="s">
        <v>13257</v>
      </c>
      <c r="Q3819" s="1" t="s">
        <v>12416</v>
      </c>
      <c r="R3819" s="1" t="s">
        <v>12416</v>
      </c>
      <c r="S3819" s="1"/>
      <c r="T3819" s="1" t="s">
        <v>859</v>
      </c>
      <c r="U3819" s="1"/>
      <c r="V3819" s="1">
        <v>1.051</v>
      </c>
      <c r="W3819" s="1">
        <v>1.051</v>
      </c>
      <c r="X3819" s="1" t="s">
        <v>35</v>
      </c>
      <c r="Y3819" s="1">
        <v>1051000.0</v>
      </c>
      <c r="Z3819" s="1"/>
      <c r="AA3819" s="1">
        <v>1051000.0</v>
      </c>
      <c r="AB3819" s="1"/>
      <c r="AC3819" s="1" t="s">
        <v>36</v>
      </c>
      <c r="AD3819" s="1" t="s">
        <v>13258</v>
      </c>
      <c r="AE3819" s="1" t="s">
        <v>32</v>
      </c>
      <c r="AF3819" s="1" t="s">
        <v>33</v>
      </c>
      <c r="AG3819" s="1" t="s">
        <v>270</v>
      </c>
    </row>
    <row r="3820" spans="1:33">
      <c r="A3820" t="s">
        <v>13259</v>
      </c>
      <c r="C3820" t="s">
        <v>6574</v>
      </c>
      <c r="E3820" t="s">
        <v>12416</v>
      </c>
      <c r="F3820" t="s">
        <v>12341</v>
      </c>
      <c r="G3820">
        <v>320.0</v>
      </c>
      <c r="H3820">
        <v>320.0</v>
      </c>
      <c r="I3820" t="s">
        <v>40</v>
      </c>
      <c r="J3820" t="s">
        <v>41</v>
      </c>
      <c r="K3820" t="s">
        <v>31</v>
      </c>
      <c r="L3820" t="s">
        <v>32</v>
      </c>
      <c r="M3820" t="s">
        <v>33</v>
      </c>
      <c r="P3820" s="1" t="s">
        <v>13260</v>
      </c>
      <c r="Q3820" s="1" t="s">
        <v>12416</v>
      </c>
      <c r="R3820" s="1" t="s">
        <v>11609</v>
      </c>
      <c r="S3820" s="1"/>
      <c r="T3820" s="1" t="s">
        <v>6574</v>
      </c>
      <c r="U3820" s="1"/>
      <c r="V3820" s="1">
        <v>320.0</v>
      </c>
      <c r="W3820" s="1">
        <v>320.0</v>
      </c>
      <c r="X3820" s="1" t="s">
        <v>35</v>
      </c>
      <c r="Y3820" s="1">
        <v>320000.0</v>
      </c>
      <c r="Z3820" s="1"/>
      <c r="AA3820" s="1">
        <v>320000.0</v>
      </c>
      <c r="AB3820" s="1"/>
      <c r="AC3820" s="1" t="s">
        <v>36</v>
      </c>
      <c r="AD3820" s="1" t="s">
        <v>13261</v>
      </c>
      <c r="AE3820" s="1" t="s">
        <v>32</v>
      </c>
      <c r="AF3820" s="1" t="s">
        <v>33</v>
      </c>
      <c r="AG3820" s="1" t="s">
        <v>41</v>
      </c>
    </row>
    <row r="3821" spans="1:33">
      <c r="A3821" t="s">
        <v>13262</v>
      </c>
      <c r="B3821" t="s">
        <v>4886</v>
      </c>
      <c r="C3821" t="s">
        <v>47</v>
      </c>
      <c r="E3821" t="s">
        <v>12416</v>
      </c>
      <c r="F3821" t="s">
        <v>12341</v>
      </c>
      <c r="G3821">
        <v>154.93</v>
      </c>
      <c r="H3821">
        <v>154.93</v>
      </c>
      <c r="I3821" t="s">
        <v>2206</v>
      </c>
      <c r="J3821" t="s">
        <v>49</v>
      </c>
      <c r="K3821" t="s">
        <v>31</v>
      </c>
      <c r="L3821" t="s">
        <v>32</v>
      </c>
      <c r="M3821" t="s">
        <v>33</v>
      </c>
      <c r="P3821" s="1" t="s">
        <v>13263</v>
      </c>
      <c r="Q3821" s="1" t="s">
        <v>12416</v>
      </c>
      <c r="R3821" s="1" t="s">
        <v>12416</v>
      </c>
      <c r="S3821" s="1"/>
      <c r="T3821" s="1" t="s">
        <v>47</v>
      </c>
      <c r="U3821" s="1"/>
      <c r="V3821" s="1">
        <v>154.93</v>
      </c>
      <c r="W3821" s="1">
        <v>154.93</v>
      </c>
      <c r="X3821" s="1" t="s">
        <v>35</v>
      </c>
      <c r="Y3821" s="1">
        <v>154930.0</v>
      </c>
      <c r="Z3821" s="1"/>
      <c r="AA3821" s="1">
        <v>154930.0</v>
      </c>
      <c r="AB3821" s="1"/>
      <c r="AC3821" s="1" t="s">
        <v>36</v>
      </c>
      <c r="AD3821" s="1" t="s">
        <v>13264</v>
      </c>
      <c r="AE3821" s="1" t="s">
        <v>32</v>
      </c>
      <c r="AF3821" s="1" t="s">
        <v>33</v>
      </c>
      <c r="AG3821" s="1" t="s">
        <v>49</v>
      </c>
    </row>
    <row r="3822" spans="1:33">
      <c r="A3822" t="s">
        <v>13265</v>
      </c>
      <c r="C3822" t="s">
        <v>810</v>
      </c>
      <c r="D3822" t="s">
        <v>154</v>
      </c>
      <c r="E3822" t="s">
        <v>12416</v>
      </c>
      <c r="F3822" t="s">
        <v>12341</v>
      </c>
      <c r="G3822">
        <v>1.988</v>
      </c>
      <c r="H3822">
        <v>1.988</v>
      </c>
      <c r="I3822" t="s">
        <v>269</v>
      </c>
      <c r="J3822" t="s">
        <v>270</v>
      </c>
      <c r="K3822" t="s">
        <v>31</v>
      </c>
      <c r="L3822" t="s">
        <v>32</v>
      </c>
      <c r="M3822" t="s">
        <v>33</v>
      </c>
      <c r="P3822" s="1" t="s">
        <v>13266</v>
      </c>
      <c r="Q3822" s="1" t="s">
        <v>12416</v>
      </c>
      <c r="R3822" s="1" t="s">
        <v>12416</v>
      </c>
      <c r="S3822" s="1"/>
      <c r="T3822" s="1" t="s">
        <v>810</v>
      </c>
      <c r="U3822" s="1"/>
      <c r="V3822" s="1">
        <v>1.988</v>
      </c>
      <c r="W3822" s="1">
        <v>1.988</v>
      </c>
      <c r="X3822" s="1" t="s">
        <v>35</v>
      </c>
      <c r="Y3822" s="1">
        <v>1988000.0</v>
      </c>
      <c r="Z3822" s="1"/>
      <c r="AA3822" s="1">
        <v>1988000.0</v>
      </c>
      <c r="AB3822" s="1"/>
      <c r="AC3822" s="1" t="s">
        <v>36</v>
      </c>
      <c r="AD3822" s="1" t="s">
        <v>13267</v>
      </c>
      <c r="AE3822" s="1" t="s">
        <v>32</v>
      </c>
      <c r="AF3822" s="1" t="s">
        <v>33</v>
      </c>
      <c r="AG3822" s="1" t="s">
        <v>270</v>
      </c>
    </row>
    <row r="3823" spans="1:33">
      <c r="A3823" t="s">
        <v>13268</v>
      </c>
      <c r="C3823" t="s">
        <v>806</v>
      </c>
      <c r="D3823" t="s">
        <v>154</v>
      </c>
      <c r="E3823" t="s">
        <v>12416</v>
      </c>
      <c r="F3823" t="s">
        <v>12341</v>
      </c>
      <c r="G3823">
        <v>656.0</v>
      </c>
      <c r="H3823">
        <v>656.0</v>
      </c>
      <c r="I3823" t="s">
        <v>269</v>
      </c>
      <c r="J3823" t="s">
        <v>270</v>
      </c>
      <c r="K3823" t="s">
        <v>31</v>
      </c>
      <c r="L3823" t="s">
        <v>32</v>
      </c>
      <c r="M3823" t="s">
        <v>33</v>
      </c>
      <c r="P3823" s="1" t="s">
        <v>13269</v>
      </c>
      <c r="Q3823" s="1" t="s">
        <v>12416</v>
      </c>
      <c r="R3823" s="1" t="s">
        <v>12416</v>
      </c>
      <c r="S3823" s="1"/>
      <c r="T3823" s="1" t="s">
        <v>806</v>
      </c>
      <c r="U3823" s="1"/>
      <c r="V3823" s="1">
        <v>656.0</v>
      </c>
      <c r="W3823" s="1">
        <v>656.0</v>
      </c>
      <c r="X3823" s="1" t="s">
        <v>35</v>
      </c>
      <c r="Y3823" s="1">
        <v>656000.0</v>
      </c>
      <c r="Z3823" s="1"/>
      <c r="AA3823" s="1">
        <v>656000.0</v>
      </c>
      <c r="AB3823" s="1"/>
      <c r="AC3823" s="1" t="s">
        <v>36</v>
      </c>
      <c r="AD3823" s="1" t="s">
        <v>13270</v>
      </c>
      <c r="AE3823" s="1" t="s">
        <v>32</v>
      </c>
      <c r="AF3823" s="1" t="s">
        <v>33</v>
      </c>
      <c r="AG3823" s="1" t="s">
        <v>270</v>
      </c>
    </row>
    <row r="3824" spans="1:33">
      <c r="A3824" t="s">
        <v>13271</v>
      </c>
      <c r="C3824" t="s">
        <v>2688</v>
      </c>
      <c r="E3824" t="s">
        <v>12416</v>
      </c>
      <c r="F3824" t="s">
        <v>12341</v>
      </c>
      <c r="G3824">
        <v>633.3</v>
      </c>
      <c r="H3824">
        <v>633.3</v>
      </c>
      <c r="I3824" t="s">
        <v>269</v>
      </c>
      <c r="J3824" t="s">
        <v>270</v>
      </c>
      <c r="K3824" t="s">
        <v>31</v>
      </c>
      <c r="L3824" t="s">
        <v>32</v>
      </c>
      <c r="M3824" t="s">
        <v>33</v>
      </c>
      <c r="P3824" s="1" t="s">
        <v>13272</v>
      </c>
      <c r="Q3824" s="1" t="s">
        <v>12416</v>
      </c>
      <c r="R3824" s="1" t="s">
        <v>12416</v>
      </c>
      <c r="S3824" s="1"/>
      <c r="T3824" s="1" t="s">
        <v>2688</v>
      </c>
      <c r="U3824" s="1"/>
      <c r="V3824" s="1">
        <v>633.3</v>
      </c>
      <c r="W3824" s="1">
        <v>633.3</v>
      </c>
      <c r="X3824" s="1" t="s">
        <v>35</v>
      </c>
      <c r="Y3824" s="1">
        <v>633300.0</v>
      </c>
      <c r="Z3824" s="1"/>
      <c r="AA3824" s="1">
        <v>633300.0</v>
      </c>
      <c r="AB3824" s="1"/>
      <c r="AC3824" s="1" t="s">
        <v>36</v>
      </c>
      <c r="AD3824" s="1" t="s">
        <v>13273</v>
      </c>
      <c r="AE3824" s="1" t="s">
        <v>32</v>
      </c>
      <c r="AF3824" s="1" t="s">
        <v>33</v>
      </c>
      <c r="AG3824" s="1" t="s">
        <v>270</v>
      </c>
    </row>
    <row r="3825" spans="1:33">
      <c r="A3825" t="s">
        <v>13274</v>
      </c>
      <c r="B3825" t="s">
        <v>2422</v>
      </c>
      <c r="C3825" t="s">
        <v>314</v>
      </c>
      <c r="E3825" t="s">
        <v>12416</v>
      </c>
      <c r="F3825" t="s">
        <v>12341</v>
      </c>
      <c r="G3825">
        <v>37.18</v>
      </c>
      <c r="H3825">
        <v>37.18</v>
      </c>
      <c r="I3825" t="s">
        <v>179</v>
      </c>
      <c r="J3825" t="s">
        <v>180</v>
      </c>
      <c r="K3825" t="s">
        <v>31</v>
      </c>
      <c r="L3825" t="s">
        <v>32</v>
      </c>
      <c r="M3825" t="s">
        <v>33</v>
      </c>
      <c r="P3825" s="1" t="s">
        <v>13275</v>
      </c>
      <c r="Q3825" s="1" t="s">
        <v>12416</v>
      </c>
      <c r="R3825" s="1" t="s">
        <v>12416</v>
      </c>
      <c r="S3825" s="1"/>
      <c r="T3825" s="1" t="s">
        <v>314</v>
      </c>
      <c r="U3825" s="1"/>
      <c r="V3825" s="1">
        <v>37.18</v>
      </c>
      <c r="W3825" s="1">
        <v>37.18</v>
      </c>
      <c r="X3825" s="1" t="s">
        <v>35</v>
      </c>
      <c r="Y3825" s="1">
        <v>37180.0</v>
      </c>
      <c r="Z3825" s="1"/>
      <c r="AA3825" s="1">
        <v>37180.0</v>
      </c>
      <c r="AB3825" s="1"/>
      <c r="AC3825" s="1" t="s">
        <v>36</v>
      </c>
      <c r="AD3825" s="1" t="s">
        <v>13276</v>
      </c>
      <c r="AE3825" s="1" t="s">
        <v>32</v>
      </c>
      <c r="AF3825" s="1" t="s">
        <v>33</v>
      </c>
      <c r="AG3825" s="1" t="s">
        <v>180</v>
      </c>
    </row>
    <row r="3826" spans="1:33">
      <c r="A3826" t="s">
        <v>13277</v>
      </c>
      <c r="C3826" t="s">
        <v>226</v>
      </c>
      <c r="E3826" t="s">
        <v>12416</v>
      </c>
      <c r="F3826" t="s">
        <v>12341</v>
      </c>
      <c r="G3826">
        <v>720.0</v>
      </c>
      <c r="H3826">
        <v>720.0</v>
      </c>
      <c r="I3826" t="s">
        <v>227</v>
      </c>
      <c r="J3826" t="s">
        <v>228</v>
      </c>
      <c r="K3826" t="s">
        <v>31</v>
      </c>
      <c r="L3826" t="s">
        <v>32</v>
      </c>
      <c r="M3826" t="s">
        <v>33</v>
      </c>
      <c r="P3826" s="1" t="s">
        <v>13278</v>
      </c>
      <c r="Q3826" s="1" t="s">
        <v>12416</v>
      </c>
      <c r="R3826" s="1" t="s">
        <v>12416</v>
      </c>
      <c r="S3826" s="1"/>
      <c r="T3826" s="1" t="s">
        <v>226</v>
      </c>
      <c r="U3826" s="1"/>
      <c r="V3826" s="1">
        <v>720.0</v>
      </c>
      <c r="W3826" s="1">
        <v>720.0</v>
      </c>
      <c r="X3826" s="1" t="s">
        <v>35</v>
      </c>
      <c r="Y3826" s="1">
        <v>720000.0</v>
      </c>
      <c r="Z3826" s="1"/>
      <c r="AA3826" s="1">
        <v>720000.0</v>
      </c>
      <c r="AB3826" s="1"/>
      <c r="AC3826" s="1" t="s">
        <v>36</v>
      </c>
      <c r="AD3826" s="1" t="s">
        <v>13279</v>
      </c>
      <c r="AE3826" s="1" t="s">
        <v>32</v>
      </c>
      <c r="AF3826" s="1" t="s">
        <v>33</v>
      </c>
      <c r="AG3826" s="1" t="s">
        <v>228</v>
      </c>
    </row>
    <row r="3827" spans="1:33">
      <c r="A3827" t="s">
        <v>13280</v>
      </c>
      <c r="C3827" t="s">
        <v>763</v>
      </c>
      <c r="E3827" t="s">
        <v>12416</v>
      </c>
      <c r="F3827" t="s">
        <v>12341</v>
      </c>
      <c r="G3827">
        <v>918.0</v>
      </c>
      <c r="H3827">
        <v>918.0</v>
      </c>
      <c r="I3827" t="s">
        <v>179</v>
      </c>
      <c r="J3827" t="s">
        <v>180</v>
      </c>
      <c r="K3827" t="s">
        <v>31</v>
      </c>
      <c r="L3827" t="s">
        <v>32</v>
      </c>
      <c r="M3827" t="s">
        <v>33</v>
      </c>
      <c r="P3827" s="1" t="s">
        <v>13281</v>
      </c>
      <c r="Q3827" s="1" t="s">
        <v>12416</v>
      </c>
      <c r="R3827" s="1" t="s">
        <v>12416</v>
      </c>
      <c r="S3827" s="1"/>
      <c r="T3827" s="1" t="s">
        <v>763</v>
      </c>
      <c r="U3827" s="1"/>
      <c r="V3827" s="1">
        <v>918.0</v>
      </c>
      <c r="W3827" s="1">
        <v>918.0</v>
      </c>
      <c r="X3827" s="1" t="s">
        <v>35</v>
      </c>
      <c r="Y3827" s="1">
        <v>918000.0</v>
      </c>
      <c r="Z3827" s="1"/>
      <c r="AA3827" s="1">
        <v>918000.0</v>
      </c>
      <c r="AB3827" s="1"/>
      <c r="AC3827" s="1" t="s">
        <v>36</v>
      </c>
      <c r="AD3827" s="1" t="s">
        <v>13282</v>
      </c>
      <c r="AE3827" s="1" t="s">
        <v>32</v>
      </c>
      <c r="AF3827" s="1" t="s">
        <v>33</v>
      </c>
      <c r="AG3827" s="1" t="s">
        <v>180</v>
      </c>
    </row>
    <row r="3828" spans="1:33">
      <c r="A3828" t="s">
        <v>13283</v>
      </c>
      <c r="C3828" t="s">
        <v>695</v>
      </c>
      <c r="D3828" t="s">
        <v>114</v>
      </c>
      <c r="E3828" t="s">
        <v>12416</v>
      </c>
      <c r="F3828" t="s">
        <v>12341</v>
      </c>
      <c r="G3828">
        <v>2.008</v>
      </c>
      <c r="H3828">
        <v>2.008</v>
      </c>
      <c r="I3828" t="s">
        <v>269</v>
      </c>
      <c r="J3828" t="s">
        <v>270</v>
      </c>
      <c r="K3828" t="s">
        <v>31</v>
      </c>
      <c r="L3828" t="s">
        <v>32</v>
      </c>
      <c r="M3828" t="s">
        <v>33</v>
      </c>
      <c r="P3828" s="1" t="s">
        <v>13284</v>
      </c>
      <c r="Q3828" s="1" t="s">
        <v>12416</v>
      </c>
      <c r="R3828" s="1" t="s">
        <v>12416</v>
      </c>
      <c r="S3828" s="1"/>
      <c r="T3828" s="1" t="s">
        <v>695</v>
      </c>
      <c r="U3828" s="1"/>
      <c r="V3828" s="1">
        <v>2.008</v>
      </c>
      <c r="W3828" s="1">
        <v>2.008</v>
      </c>
      <c r="X3828" s="1" t="s">
        <v>35</v>
      </c>
      <c r="Y3828" s="1">
        <v>2008500.0</v>
      </c>
      <c r="Z3828" s="1"/>
      <c r="AA3828" s="1">
        <v>2008500.0</v>
      </c>
      <c r="AB3828" s="1"/>
      <c r="AC3828" s="1" t="s">
        <v>36</v>
      </c>
      <c r="AD3828" s="1" t="s">
        <v>13285</v>
      </c>
      <c r="AE3828" s="1" t="s">
        <v>32</v>
      </c>
      <c r="AF3828" s="1" t="s">
        <v>33</v>
      </c>
      <c r="AG3828" s="1" t="s">
        <v>270</v>
      </c>
    </row>
    <row r="3829" spans="1:33">
      <c r="A3829" t="s">
        <v>13286</v>
      </c>
      <c r="B3829" t="s">
        <v>3904</v>
      </c>
      <c r="C3829" t="s">
        <v>314</v>
      </c>
      <c r="E3829" t="s">
        <v>12416</v>
      </c>
      <c r="F3829" t="s">
        <v>12341</v>
      </c>
      <c r="G3829">
        <v>162.94</v>
      </c>
      <c r="H3829">
        <v>162.94</v>
      </c>
      <c r="I3829" t="s">
        <v>179</v>
      </c>
      <c r="J3829" t="s">
        <v>180</v>
      </c>
      <c r="K3829" t="s">
        <v>31</v>
      </c>
      <c r="L3829" t="s">
        <v>32</v>
      </c>
      <c r="M3829" t="s">
        <v>33</v>
      </c>
      <c r="P3829" s="1" t="s">
        <v>13287</v>
      </c>
      <c r="Q3829" s="1" t="s">
        <v>12416</v>
      </c>
      <c r="R3829" s="1" t="s">
        <v>12416</v>
      </c>
      <c r="S3829" s="1"/>
      <c r="T3829" s="1" t="s">
        <v>314</v>
      </c>
      <c r="U3829" s="1"/>
      <c r="V3829" s="1">
        <v>162.94</v>
      </c>
      <c r="W3829" s="1">
        <v>162.94</v>
      </c>
      <c r="X3829" s="1" t="s">
        <v>35</v>
      </c>
      <c r="Y3829" s="1">
        <v>162940.0</v>
      </c>
      <c r="Z3829" s="1"/>
      <c r="AA3829" s="1">
        <v>162940.0</v>
      </c>
      <c r="AB3829" s="1"/>
      <c r="AC3829" s="1" t="s">
        <v>36</v>
      </c>
      <c r="AD3829" s="1" t="s">
        <v>13288</v>
      </c>
      <c r="AE3829" s="1" t="s">
        <v>32</v>
      </c>
      <c r="AF3829" s="1" t="s">
        <v>33</v>
      </c>
      <c r="AG3829" s="1" t="s">
        <v>180</v>
      </c>
    </row>
    <row r="3830" spans="1:33">
      <c r="A3830" t="s">
        <v>13289</v>
      </c>
      <c r="B3830" t="s">
        <v>7317</v>
      </c>
      <c r="C3830" t="s">
        <v>268</v>
      </c>
      <c r="E3830" t="s">
        <v>12416</v>
      </c>
      <c r="F3830" t="s">
        <v>12341</v>
      </c>
      <c r="G3830">
        <v>33.8</v>
      </c>
      <c r="H3830">
        <v>33.8</v>
      </c>
      <c r="I3830" t="s">
        <v>269</v>
      </c>
      <c r="J3830" t="s">
        <v>270</v>
      </c>
      <c r="K3830" t="s">
        <v>31</v>
      </c>
      <c r="L3830" t="s">
        <v>32</v>
      </c>
      <c r="M3830" t="s">
        <v>33</v>
      </c>
      <c r="P3830" s="1" t="s">
        <v>13290</v>
      </c>
      <c r="Q3830" s="1" t="s">
        <v>12416</v>
      </c>
      <c r="R3830" s="1" t="s">
        <v>12416</v>
      </c>
      <c r="S3830" s="1"/>
      <c r="T3830" s="1" t="s">
        <v>268</v>
      </c>
      <c r="U3830" s="1"/>
      <c r="V3830" s="1">
        <v>33.8</v>
      </c>
      <c r="W3830" s="1">
        <v>33.8</v>
      </c>
      <c r="X3830" s="1" t="s">
        <v>35</v>
      </c>
      <c r="Y3830" s="1">
        <v>33800.0</v>
      </c>
      <c r="Z3830" s="1"/>
      <c r="AA3830" s="1">
        <v>33800.0</v>
      </c>
      <c r="AB3830" s="1"/>
      <c r="AC3830" s="1" t="s">
        <v>36</v>
      </c>
      <c r="AD3830" s="1" t="s">
        <v>13291</v>
      </c>
      <c r="AE3830" s="1" t="s">
        <v>32</v>
      </c>
      <c r="AF3830" s="1" t="s">
        <v>33</v>
      </c>
      <c r="AG3830" s="1" t="s">
        <v>270</v>
      </c>
    </row>
    <row r="3831" spans="1:33">
      <c r="A3831" t="s">
        <v>13292</v>
      </c>
      <c r="C3831" t="s">
        <v>2474</v>
      </c>
      <c r="E3831" t="s">
        <v>12416</v>
      </c>
      <c r="F3831" t="s">
        <v>12341</v>
      </c>
      <c r="G3831">
        <v>711.55</v>
      </c>
      <c r="H3831">
        <v>711.55</v>
      </c>
      <c r="I3831" t="s">
        <v>179</v>
      </c>
      <c r="J3831" t="s">
        <v>180</v>
      </c>
      <c r="K3831" t="s">
        <v>31</v>
      </c>
      <c r="L3831" t="s">
        <v>32</v>
      </c>
      <c r="M3831" t="s">
        <v>33</v>
      </c>
      <c r="P3831" s="1" t="s">
        <v>13293</v>
      </c>
      <c r="Q3831" s="1" t="s">
        <v>12416</v>
      </c>
      <c r="R3831" s="1" t="s">
        <v>12416</v>
      </c>
      <c r="S3831" s="1"/>
      <c r="T3831" s="1" t="s">
        <v>2474</v>
      </c>
      <c r="U3831" s="1"/>
      <c r="V3831" s="1">
        <v>711.55</v>
      </c>
      <c r="W3831" s="1">
        <v>711.55</v>
      </c>
      <c r="X3831" s="1" t="s">
        <v>35</v>
      </c>
      <c r="Y3831" s="1">
        <v>711550.0</v>
      </c>
      <c r="Z3831" s="1"/>
      <c r="AA3831" s="1">
        <v>711550.0</v>
      </c>
      <c r="AB3831" s="1"/>
      <c r="AC3831" s="1" t="s">
        <v>36</v>
      </c>
      <c r="AD3831" s="1" t="s">
        <v>13294</v>
      </c>
      <c r="AE3831" s="1" t="s">
        <v>32</v>
      </c>
      <c r="AF3831" s="1" t="s">
        <v>33</v>
      </c>
      <c r="AG3831" s="1" t="s">
        <v>180</v>
      </c>
    </row>
    <row r="3832" spans="1:33">
      <c r="A3832" t="s">
        <v>13295</v>
      </c>
      <c r="C3832" t="s">
        <v>4555</v>
      </c>
      <c r="E3832" t="s">
        <v>12416</v>
      </c>
      <c r="F3832" t="s">
        <v>12341</v>
      </c>
      <c r="G3832">
        <v>655.0</v>
      </c>
      <c r="H3832">
        <v>655.0</v>
      </c>
      <c r="I3832" t="s">
        <v>179</v>
      </c>
      <c r="J3832" t="s">
        <v>180</v>
      </c>
      <c r="K3832" t="s">
        <v>31</v>
      </c>
      <c r="L3832" t="s">
        <v>32</v>
      </c>
      <c r="M3832" t="s">
        <v>33</v>
      </c>
      <c r="P3832" s="1" t="s">
        <v>13296</v>
      </c>
      <c r="Q3832" s="1" t="s">
        <v>12416</v>
      </c>
      <c r="R3832" s="1" t="s">
        <v>12416</v>
      </c>
      <c r="S3832" s="1"/>
      <c r="T3832" s="1" t="s">
        <v>4555</v>
      </c>
      <c r="U3832" s="1"/>
      <c r="V3832" s="1">
        <v>655.0</v>
      </c>
      <c r="W3832" s="1">
        <v>655.0</v>
      </c>
      <c r="X3832" s="1" t="s">
        <v>35</v>
      </c>
      <c r="Y3832" s="1">
        <v>655000.0</v>
      </c>
      <c r="Z3832" s="1"/>
      <c r="AA3832" s="1">
        <v>655000.0</v>
      </c>
      <c r="AB3832" s="1"/>
      <c r="AC3832" s="1" t="s">
        <v>36</v>
      </c>
      <c r="AD3832" s="1" t="s">
        <v>13297</v>
      </c>
      <c r="AE3832" s="1" t="s">
        <v>32</v>
      </c>
      <c r="AF3832" s="1" t="s">
        <v>33</v>
      </c>
      <c r="AG3832" s="1" t="s">
        <v>180</v>
      </c>
    </row>
    <row r="3833" spans="1:33">
      <c r="A3833" t="s">
        <v>13298</v>
      </c>
      <c r="C3833" t="s">
        <v>106</v>
      </c>
      <c r="E3833" t="s">
        <v>10495</v>
      </c>
      <c r="F3833" t="s">
        <v>10496</v>
      </c>
      <c r="G3833">
        <v>738.0</v>
      </c>
      <c r="H3833">
        <v>738.0</v>
      </c>
      <c r="I3833" t="s">
        <v>94</v>
      </c>
      <c r="J3833" t="s">
        <v>95</v>
      </c>
      <c r="K3833" t="s">
        <v>31</v>
      </c>
      <c r="L3833" t="s">
        <v>32</v>
      </c>
      <c r="M3833" t="s">
        <v>33</v>
      </c>
      <c r="P3833" s="1" t="s">
        <v>13299</v>
      </c>
      <c r="Q3833" s="1" t="s">
        <v>10495</v>
      </c>
      <c r="R3833" s="1" t="s">
        <v>10495</v>
      </c>
      <c r="S3833" s="1"/>
      <c r="T3833" s="1" t="s">
        <v>106</v>
      </c>
      <c r="U3833" s="1"/>
      <c r="V3833" s="1">
        <v>738.0</v>
      </c>
      <c r="W3833" s="1">
        <v>738.0</v>
      </c>
      <c r="X3833" s="1" t="s">
        <v>35</v>
      </c>
      <c r="Y3833" s="1">
        <v>738000.0</v>
      </c>
      <c r="Z3833" s="1"/>
      <c r="AA3833" s="1">
        <v>738000.0</v>
      </c>
      <c r="AB3833" s="1"/>
      <c r="AC3833" s="1" t="s">
        <v>36</v>
      </c>
      <c r="AD3833" s="1" t="s">
        <v>13140</v>
      </c>
      <c r="AE3833" s="1" t="s">
        <v>32</v>
      </c>
      <c r="AF3833" s="1" t="s">
        <v>33</v>
      </c>
      <c r="AG3833" s="1" t="s">
        <v>95</v>
      </c>
    </row>
    <row r="3834" spans="1:33">
      <c r="A3834" t="s">
        <v>13300</v>
      </c>
      <c r="B3834" t="s">
        <v>712</v>
      </c>
      <c r="C3834" t="s">
        <v>713</v>
      </c>
      <c r="E3834" t="s">
        <v>10495</v>
      </c>
      <c r="F3834" t="s">
        <v>10496</v>
      </c>
      <c r="G3834">
        <v>140.0</v>
      </c>
      <c r="H3834">
        <v>140.0</v>
      </c>
      <c r="I3834" t="s">
        <v>59</v>
      </c>
      <c r="J3834" t="s">
        <v>60</v>
      </c>
      <c r="K3834" t="s">
        <v>31</v>
      </c>
      <c r="L3834" t="s">
        <v>32</v>
      </c>
      <c r="M3834" t="s">
        <v>33</v>
      </c>
      <c r="P3834" s="1" t="s">
        <v>13301</v>
      </c>
      <c r="Q3834" s="1" t="s">
        <v>10495</v>
      </c>
      <c r="R3834" s="1" t="s">
        <v>10495</v>
      </c>
      <c r="S3834" s="1"/>
      <c r="T3834" s="1" t="s">
        <v>713</v>
      </c>
      <c r="U3834" s="1"/>
      <c r="V3834" s="1">
        <v>140.0</v>
      </c>
      <c r="W3834" s="1">
        <v>140.0</v>
      </c>
      <c r="X3834" s="1" t="s">
        <v>35</v>
      </c>
      <c r="Y3834" s="1">
        <v>140000.0</v>
      </c>
      <c r="Z3834" s="1"/>
      <c r="AA3834" s="1">
        <v>140000.0</v>
      </c>
      <c r="AB3834" s="1"/>
      <c r="AC3834" s="1" t="s">
        <v>36</v>
      </c>
      <c r="AD3834" s="1" t="s">
        <v>13302</v>
      </c>
      <c r="AE3834" s="1" t="s">
        <v>32</v>
      </c>
      <c r="AF3834" s="1" t="s">
        <v>33</v>
      </c>
      <c r="AG3834" s="1" t="s">
        <v>60</v>
      </c>
    </row>
    <row r="3835" spans="1:33">
      <c r="A3835" t="s">
        <v>13303</v>
      </c>
      <c r="C3835" t="s">
        <v>10678</v>
      </c>
      <c r="E3835" t="s">
        <v>10495</v>
      </c>
      <c r="F3835" t="s">
        <v>10496</v>
      </c>
      <c r="G3835">
        <v>676.0</v>
      </c>
      <c r="H3835">
        <v>676.0</v>
      </c>
      <c r="I3835" t="s">
        <v>570</v>
      </c>
      <c r="J3835" t="s">
        <v>571</v>
      </c>
      <c r="K3835" t="s">
        <v>31</v>
      </c>
      <c r="L3835" t="s">
        <v>32</v>
      </c>
      <c r="M3835" t="s">
        <v>33</v>
      </c>
      <c r="P3835" s="1" t="s">
        <v>13304</v>
      </c>
      <c r="Q3835" s="1" t="s">
        <v>10495</v>
      </c>
      <c r="R3835" s="1" t="s">
        <v>10495</v>
      </c>
      <c r="S3835" s="1"/>
      <c r="T3835" s="1" t="s">
        <v>10678</v>
      </c>
      <c r="U3835" s="1"/>
      <c r="V3835" s="1">
        <v>676.0</v>
      </c>
      <c r="W3835" s="1">
        <v>676.0</v>
      </c>
      <c r="X3835" s="1" t="s">
        <v>35</v>
      </c>
      <c r="Y3835" s="1">
        <v>676000.0</v>
      </c>
      <c r="Z3835" s="1"/>
      <c r="AA3835" s="1">
        <v>676000.0</v>
      </c>
      <c r="AB3835" s="1"/>
      <c r="AC3835" s="1" t="s">
        <v>36</v>
      </c>
      <c r="AD3835" s="1" t="s">
        <v>13302</v>
      </c>
      <c r="AE3835" s="1" t="s">
        <v>32</v>
      </c>
      <c r="AF3835" s="1" t="s">
        <v>33</v>
      </c>
      <c r="AG3835" s="1" t="s">
        <v>571</v>
      </c>
    </row>
    <row r="3836" spans="1:33">
      <c r="A3836" t="s">
        <v>13305</v>
      </c>
      <c r="C3836" t="s">
        <v>1020</v>
      </c>
      <c r="E3836" t="s">
        <v>10495</v>
      </c>
      <c r="F3836" t="s">
        <v>10496</v>
      </c>
      <c r="G3836">
        <v>665.7</v>
      </c>
      <c r="H3836">
        <v>665.7</v>
      </c>
      <c r="I3836" t="s">
        <v>847</v>
      </c>
      <c r="J3836" t="s">
        <v>848</v>
      </c>
      <c r="K3836" t="s">
        <v>31</v>
      </c>
      <c r="L3836" t="s">
        <v>32</v>
      </c>
      <c r="M3836" t="s">
        <v>33</v>
      </c>
      <c r="P3836" s="1" t="s">
        <v>13306</v>
      </c>
      <c r="Q3836" s="1" t="s">
        <v>10495</v>
      </c>
      <c r="R3836" s="1" t="s">
        <v>10495</v>
      </c>
      <c r="S3836" s="1"/>
      <c r="T3836" s="1" t="s">
        <v>1020</v>
      </c>
      <c r="U3836" s="1"/>
      <c r="V3836" s="1">
        <v>665.7</v>
      </c>
      <c r="W3836" s="1">
        <v>665.7</v>
      </c>
      <c r="X3836" s="1" t="s">
        <v>35</v>
      </c>
      <c r="Y3836" s="1">
        <v>665700.0</v>
      </c>
      <c r="Z3836" s="1"/>
      <c r="AA3836" s="1">
        <v>665700.0</v>
      </c>
      <c r="AB3836" s="1"/>
      <c r="AC3836" s="1" t="s">
        <v>36</v>
      </c>
      <c r="AD3836" s="1" t="s">
        <v>13307</v>
      </c>
      <c r="AE3836" s="1" t="s">
        <v>32</v>
      </c>
      <c r="AF3836" s="1" t="s">
        <v>33</v>
      </c>
      <c r="AG3836" s="1" t="s">
        <v>848</v>
      </c>
    </row>
    <row r="3837" spans="1:33">
      <c r="A3837" t="s">
        <v>13308</v>
      </c>
      <c r="B3837" t="s">
        <v>13309</v>
      </c>
      <c r="C3837" t="s">
        <v>26</v>
      </c>
      <c r="E3837" t="s">
        <v>10495</v>
      </c>
      <c r="F3837" t="s">
        <v>10496</v>
      </c>
      <c r="G3837">
        <v>4.76</v>
      </c>
      <c r="H3837">
        <v>4.76</v>
      </c>
      <c r="I3837" t="s">
        <v>29</v>
      </c>
      <c r="J3837" t="s">
        <v>30</v>
      </c>
      <c r="K3837" t="s">
        <v>31</v>
      </c>
      <c r="L3837" t="s">
        <v>32</v>
      </c>
      <c r="M3837" t="s">
        <v>33</v>
      </c>
      <c r="P3837" s="1" t="s">
        <v>13310</v>
      </c>
      <c r="Q3837" s="1" t="s">
        <v>10495</v>
      </c>
      <c r="R3837" s="1" t="s">
        <v>10495</v>
      </c>
      <c r="S3837" s="1"/>
      <c r="T3837" s="1" t="s">
        <v>26</v>
      </c>
      <c r="U3837" s="1"/>
      <c r="V3837" s="1">
        <v>4.76</v>
      </c>
      <c r="W3837" s="1">
        <v>4.76</v>
      </c>
      <c r="X3837" s="1" t="s">
        <v>35</v>
      </c>
      <c r="Y3837" s="1">
        <v>4760.0</v>
      </c>
      <c r="Z3837" s="1"/>
      <c r="AA3837" s="1">
        <v>4760.0</v>
      </c>
      <c r="AB3837" s="1"/>
      <c r="AC3837" s="1" t="s">
        <v>36</v>
      </c>
      <c r="AD3837" s="1" t="s">
        <v>13311</v>
      </c>
      <c r="AE3837" s="1" t="s">
        <v>32</v>
      </c>
      <c r="AF3837" s="1" t="s">
        <v>33</v>
      </c>
      <c r="AG3837" s="1" t="s">
        <v>30</v>
      </c>
    </row>
    <row r="3838" spans="1:33">
      <c r="A3838" t="s">
        <v>13312</v>
      </c>
      <c r="B3838" t="s">
        <v>13313</v>
      </c>
      <c r="C3838" t="s">
        <v>47</v>
      </c>
      <c r="E3838" t="s">
        <v>10495</v>
      </c>
      <c r="F3838" t="s">
        <v>10496</v>
      </c>
      <c r="G3838">
        <v>11.0</v>
      </c>
      <c r="H3838">
        <v>11.0</v>
      </c>
      <c r="I3838" t="s">
        <v>2206</v>
      </c>
      <c r="J3838" t="s">
        <v>49</v>
      </c>
      <c r="K3838" t="s">
        <v>31</v>
      </c>
      <c r="L3838" t="s">
        <v>32</v>
      </c>
      <c r="M3838" t="s">
        <v>33</v>
      </c>
      <c r="P3838" s="1" t="s">
        <v>13314</v>
      </c>
      <c r="Q3838" s="1" t="s">
        <v>10495</v>
      </c>
      <c r="R3838" s="1" t="s">
        <v>10495</v>
      </c>
      <c r="S3838" s="1"/>
      <c r="T3838" s="1" t="s">
        <v>47</v>
      </c>
      <c r="U3838" s="1"/>
      <c r="V3838" s="1">
        <v>11.0</v>
      </c>
      <c r="W3838" s="1">
        <v>11.0</v>
      </c>
      <c r="X3838" s="1" t="s">
        <v>35</v>
      </c>
      <c r="Y3838" s="1">
        <v>11000.0</v>
      </c>
      <c r="Z3838" s="1"/>
      <c r="AA3838" s="1">
        <v>11000.0</v>
      </c>
      <c r="AB3838" s="1"/>
      <c r="AC3838" s="1" t="s">
        <v>36</v>
      </c>
      <c r="AD3838" s="1" t="s">
        <v>13315</v>
      </c>
      <c r="AE3838" s="1" t="s">
        <v>32</v>
      </c>
      <c r="AF3838" s="1" t="s">
        <v>33</v>
      </c>
      <c r="AG3838" s="1" t="s">
        <v>49</v>
      </c>
    </row>
    <row r="3839" spans="1:33">
      <c r="A3839" t="s">
        <v>13316</v>
      </c>
      <c r="C3839" t="s">
        <v>11608</v>
      </c>
      <c r="E3839" t="s">
        <v>10495</v>
      </c>
      <c r="F3839" t="s">
        <v>10496</v>
      </c>
      <c r="G3839">
        <v>800.0</v>
      </c>
      <c r="H3839">
        <v>800.0</v>
      </c>
      <c r="I3839" t="s">
        <v>847</v>
      </c>
      <c r="J3839" t="s">
        <v>848</v>
      </c>
      <c r="K3839" t="s">
        <v>31</v>
      </c>
      <c r="L3839" t="s">
        <v>32</v>
      </c>
      <c r="M3839" t="s">
        <v>33</v>
      </c>
      <c r="P3839" s="1" t="s">
        <v>13317</v>
      </c>
      <c r="Q3839" s="1" t="s">
        <v>10495</v>
      </c>
      <c r="R3839" s="1" t="s">
        <v>10495</v>
      </c>
      <c r="S3839" s="1"/>
      <c r="T3839" s="1" t="s">
        <v>11608</v>
      </c>
      <c r="U3839" s="1"/>
      <c r="V3839" s="1">
        <v>800.0</v>
      </c>
      <c r="W3839" s="1">
        <v>800.0</v>
      </c>
      <c r="X3839" s="1" t="s">
        <v>35</v>
      </c>
      <c r="Y3839" s="1">
        <v>800000.0</v>
      </c>
      <c r="Z3839" s="1"/>
      <c r="AA3839" s="1">
        <v>800000.0</v>
      </c>
      <c r="AB3839" s="1"/>
      <c r="AC3839" s="1" t="s">
        <v>36</v>
      </c>
      <c r="AD3839" s="1" t="s">
        <v>13318</v>
      </c>
      <c r="AE3839" s="1" t="s">
        <v>32</v>
      </c>
      <c r="AF3839" s="1" t="s">
        <v>33</v>
      </c>
      <c r="AG3839" s="1" t="s">
        <v>848</v>
      </c>
    </row>
    <row r="3840" spans="1:33">
      <c r="A3840" t="s">
        <v>13319</v>
      </c>
      <c r="B3840" t="s">
        <v>3168</v>
      </c>
      <c r="C3840" t="s">
        <v>3169</v>
      </c>
      <c r="E3840" t="s">
        <v>10495</v>
      </c>
      <c r="F3840" t="s">
        <v>10496</v>
      </c>
      <c r="G3840">
        <v>328.0</v>
      </c>
      <c r="H3840">
        <v>328.0</v>
      </c>
      <c r="I3840" t="s">
        <v>529</v>
      </c>
      <c r="J3840" t="s">
        <v>530</v>
      </c>
      <c r="K3840" t="s">
        <v>31</v>
      </c>
      <c r="L3840" t="s">
        <v>32</v>
      </c>
      <c r="M3840" t="s">
        <v>33</v>
      </c>
      <c r="P3840" s="1" t="s">
        <v>13320</v>
      </c>
      <c r="Q3840" s="1" t="s">
        <v>10495</v>
      </c>
      <c r="R3840" s="1" t="s">
        <v>13321</v>
      </c>
      <c r="S3840" s="1"/>
      <c r="T3840" s="1" t="s">
        <v>3169</v>
      </c>
      <c r="U3840" s="1"/>
      <c r="V3840" s="1">
        <v>328.0</v>
      </c>
      <c r="W3840" s="1">
        <v>328.0</v>
      </c>
      <c r="X3840" s="1" t="s">
        <v>35</v>
      </c>
      <c r="Y3840" s="1">
        <v>328000.0</v>
      </c>
      <c r="Z3840" s="1"/>
      <c r="AA3840" s="1">
        <v>328000.0</v>
      </c>
      <c r="AB3840" s="1"/>
      <c r="AC3840" s="1" t="s">
        <v>36</v>
      </c>
      <c r="AD3840" s="1" t="s">
        <v>13322</v>
      </c>
      <c r="AE3840" s="1" t="s">
        <v>32</v>
      </c>
      <c r="AF3840" s="1" t="s">
        <v>33</v>
      </c>
      <c r="AG3840" s="1" t="s">
        <v>530</v>
      </c>
    </row>
    <row r="3841" spans="1:33">
      <c r="A3841" t="s">
        <v>13323</v>
      </c>
      <c r="C3841" t="s">
        <v>13324</v>
      </c>
      <c r="E3841" t="s">
        <v>10495</v>
      </c>
      <c r="F3841" t="s">
        <v>10496</v>
      </c>
      <c r="G3841">
        <v>160.0</v>
      </c>
      <c r="H3841">
        <v>160.0</v>
      </c>
      <c r="I3841" t="s">
        <v>2206</v>
      </c>
      <c r="J3841" t="s">
        <v>49</v>
      </c>
      <c r="K3841" t="s">
        <v>31</v>
      </c>
      <c r="L3841" t="s">
        <v>32</v>
      </c>
      <c r="M3841" t="s">
        <v>33</v>
      </c>
      <c r="P3841" s="1" t="s">
        <v>13325</v>
      </c>
      <c r="Q3841" s="1" t="s">
        <v>10495</v>
      </c>
      <c r="R3841" s="1" t="s">
        <v>10495</v>
      </c>
      <c r="S3841" s="1"/>
      <c r="T3841" s="1" t="s">
        <v>13326</v>
      </c>
      <c r="U3841" s="1" t="s">
        <v>13327</v>
      </c>
      <c r="V3841" s="1">
        <v>160.0</v>
      </c>
      <c r="W3841" s="1">
        <v>160.0</v>
      </c>
      <c r="X3841" s="1" t="s">
        <v>35</v>
      </c>
      <c r="Y3841" s="1">
        <v>160000.0</v>
      </c>
      <c r="Z3841" s="1"/>
      <c r="AA3841" s="1">
        <v>160000.0</v>
      </c>
      <c r="AB3841" s="1"/>
      <c r="AC3841" s="1" t="s">
        <v>36</v>
      </c>
      <c r="AD3841" s="1" t="s">
        <v>13328</v>
      </c>
      <c r="AE3841" s="1" t="s">
        <v>32</v>
      </c>
      <c r="AF3841" s="1" t="s">
        <v>33</v>
      </c>
      <c r="AG3841" s="1" t="s">
        <v>49</v>
      </c>
    </row>
    <row r="3842" spans="1:33">
      <c r="A3842" t="s">
        <v>13329</v>
      </c>
      <c r="B3842" t="s">
        <v>13330</v>
      </c>
      <c r="C3842" t="s">
        <v>73</v>
      </c>
      <c r="E3842" t="s">
        <v>10495</v>
      </c>
      <c r="F3842" t="s">
        <v>10496</v>
      </c>
      <c r="G3842">
        <v>3.25</v>
      </c>
      <c r="H3842">
        <v>3.25</v>
      </c>
      <c r="I3842" t="s">
        <v>13331</v>
      </c>
      <c r="J3842" t="s">
        <v>41</v>
      </c>
      <c r="K3842" t="s">
        <v>31</v>
      </c>
      <c r="L3842" t="s">
        <v>32</v>
      </c>
      <c r="M3842" t="s">
        <v>33</v>
      </c>
      <c r="P3842" s="1" t="s">
        <v>13332</v>
      </c>
      <c r="Q3842" s="1" t="s">
        <v>10495</v>
      </c>
      <c r="R3842" s="1" t="s">
        <v>13321</v>
      </c>
      <c r="S3842" s="1"/>
      <c r="T3842" s="1" t="s">
        <v>75</v>
      </c>
      <c r="U3842" s="1" t="s">
        <v>76</v>
      </c>
      <c r="V3842" s="1">
        <v>3.25</v>
      </c>
      <c r="W3842" s="1">
        <v>3.25</v>
      </c>
      <c r="X3842" s="1" t="s">
        <v>35</v>
      </c>
      <c r="Y3842" s="1">
        <v>3250.0</v>
      </c>
      <c r="Z3842" s="1"/>
      <c r="AA3842" s="1">
        <v>3250.0</v>
      </c>
      <c r="AB3842" s="1"/>
      <c r="AC3842" s="1" t="s">
        <v>36</v>
      </c>
      <c r="AD3842" s="1" t="s">
        <v>13333</v>
      </c>
      <c r="AE3842" s="1" t="s">
        <v>32</v>
      </c>
      <c r="AF3842" s="1" t="s">
        <v>33</v>
      </c>
      <c r="AG3842" s="1" t="s">
        <v>41</v>
      </c>
    </row>
    <row r="3843" spans="1:33">
      <c r="A3843" t="s">
        <v>13334</v>
      </c>
      <c r="B3843" t="s">
        <v>13335</v>
      </c>
      <c r="C3843" t="s">
        <v>73</v>
      </c>
      <c r="E3843" t="s">
        <v>10495</v>
      </c>
      <c r="F3843" t="s">
        <v>10496</v>
      </c>
      <c r="G3843">
        <v>78.0</v>
      </c>
      <c r="H3843">
        <v>78.0</v>
      </c>
      <c r="I3843" t="s">
        <v>13331</v>
      </c>
      <c r="J3843" t="s">
        <v>41</v>
      </c>
      <c r="K3843" t="s">
        <v>31</v>
      </c>
      <c r="L3843" t="s">
        <v>32</v>
      </c>
      <c r="M3843" t="s">
        <v>33</v>
      </c>
      <c r="P3843" s="1" t="s">
        <v>13336</v>
      </c>
      <c r="Q3843" s="1" t="s">
        <v>10495</v>
      </c>
      <c r="R3843" s="1" t="s">
        <v>13321</v>
      </c>
      <c r="S3843" s="1"/>
      <c r="T3843" s="1" t="s">
        <v>75</v>
      </c>
      <c r="U3843" s="1" t="s">
        <v>76</v>
      </c>
      <c r="V3843" s="1">
        <v>78.0</v>
      </c>
      <c r="W3843" s="1">
        <v>78.0</v>
      </c>
      <c r="X3843" s="1" t="s">
        <v>35</v>
      </c>
      <c r="Y3843" s="1">
        <v>78000.0</v>
      </c>
      <c r="Z3843" s="1"/>
      <c r="AA3843" s="1">
        <v>78000.0</v>
      </c>
      <c r="AB3843" s="1"/>
      <c r="AC3843" s="1" t="s">
        <v>36</v>
      </c>
      <c r="AD3843" s="1" t="s">
        <v>13337</v>
      </c>
      <c r="AE3843" s="1" t="s">
        <v>32</v>
      </c>
      <c r="AF3843" s="1" t="s">
        <v>33</v>
      </c>
      <c r="AG3843" s="1" t="s">
        <v>41</v>
      </c>
    </row>
    <row r="3844" spans="1:33">
      <c r="A3844" t="s">
        <v>13338</v>
      </c>
      <c r="B3844" t="s">
        <v>13339</v>
      </c>
      <c r="C3844" t="s">
        <v>13324</v>
      </c>
      <c r="E3844" t="s">
        <v>10495</v>
      </c>
      <c r="F3844" t="s">
        <v>10496</v>
      </c>
      <c r="G3844">
        <v>1.242</v>
      </c>
      <c r="H3844">
        <v>1.242</v>
      </c>
      <c r="I3844" t="s">
        <v>59</v>
      </c>
      <c r="J3844" t="s">
        <v>60</v>
      </c>
      <c r="K3844" t="s">
        <v>31</v>
      </c>
      <c r="L3844" t="s">
        <v>32</v>
      </c>
      <c r="M3844" t="s">
        <v>33</v>
      </c>
      <c r="P3844" s="1" t="s">
        <v>13340</v>
      </c>
      <c r="Q3844" s="1" t="s">
        <v>10495</v>
      </c>
      <c r="R3844" s="1" t="s">
        <v>10495</v>
      </c>
      <c r="S3844" s="1"/>
      <c r="T3844" s="1" t="s">
        <v>13326</v>
      </c>
      <c r="U3844" s="1" t="s">
        <v>13327</v>
      </c>
      <c r="V3844" s="1">
        <v>1.242</v>
      </c>
      <c r="W3844" s="1">
        <v>1.242</v>
      </c>
      <c r="X3844" s="1" t="s">
        <v>35</v>
      </c>
      <c r="Y3844" s="1">
        <v>1242500.0</v>
      </c>
      <c r="Z3844" s="1"/>
      <c r="AA3844" s="1">
        <v>1242500.0</v>
      </c>
      <c r="AB3844" s="1"/>
      <c r="AC3844" s="1" t="s">
        <v>36</v>
      </c>
      <c r="AD3844" s="1" t="s">
        <v>13341</v>
      </c>
      <c r="AE3844" s="1" t="s">
        <v>32</v>
      </c>
      <c r="AF3844" s="1" t="s">
        <v>33</v>
      </c>
      <c r="AG3844" s="1" t="s">
        <v>60</v>
      </c>
    </row>
    <row r="3845" spans="1:33">
      <c r="A3845" t="s">
        <v>13342</v>
      </c>
      <c r="B3845" t="s">
        <v>1757</v>
      </c>
      <c r="C3845" t="s">
        <v>1758</v>
      </c>
      <c r="E3845" t="s">
        <v>10495</v>
      </c>
      <c r="F3845" t="s">
        <v>10496</v>
      </c>
      <c r="G3845">
        <v>1.041</v>
      </c>
      <c r="H3845">
        <v>1.041</v>
      </c>
      <c r="I3845" t="s">
        <v>529</v>
      </c>
      <c r="J3845" t="s">
        <v>530</v>
      </c>
      <c r="K3845" t="s">
        <v>31</v>
      </c>
      <c r="L3845" t="s">
        <v>32</v>
      </c>
      <c r="M3845" t="s">
        <v>33</v>
      </c>
      <c r="P3845" s="1" t="s">
        <v>13343</v>
      </c>
      <c r="Q3845" s="1" t="s">
        <v>10495</v>
      </c>
      <c r="R3845" s="1" t="s">
        <v>13321</v>
      </c>
      <c r="S3845" s="1"/>
      <c r="T3845" s="1" t="s">
        <v>1758</v>
      </c>
      <c r="U3845" s="1"/>
      <c r="V3845" s="1">
        <v>1.041</v>
      </c>
      <c r="W3845" s="1">
        <v>1.041</v>
      </c>
      <c r="X3845" s="1" t="s">
        <v>35</v>
      </c>
      <c r="Y3845" s="1">
        <v>1041380.0</v>
      </c>
      <c r="Z3845" s="1"/>
      <c r="AA3845" s="1">
        <v>1041380.0</v>
      </c>
      <c r="AB3845" s="1"/>
      <c r="AC3845" s="1" t="s">
        <v>36</v>
      </c>
      <c r="AD3845" s="1" t="s">
        <v>13328</v>
      </c>
      <c r="AE3845" s="1" t="s">
        <v>32</v>
      </c>
      <c r="AF3845" s="1" t="s">
        <v>33</v>
      </c>
      <c r="AG3845" s="1" t="s">
        <v>530</v>
      </c>
    </row>
    <row r="3846" spans="1:33">
      <c r="A3846" t="s">
        <v>13344</v>
      </c>
      <c r="C3846" t="s">
        <v>13345</v>
      </c>
      <c r="E3846" t="s">
        <v>10495</v>
      </c>
      <c r="F3846" t="s">
        <v>10496</v>
      </c>
      <c r="G3846">
        <v>504.0</v>
      </c>
      <c r="H3846">
        <v>504.0</v>
      </c>
      <c r="I3846" t="s">
        <v>2206</v>
      </c>
      <c r="J3846" t="s">
        <v>49</v>
      </c>
      <c r="K3846" t="s">
        <v>31</v>
      </c>
      <c r="L3846" t="s">
        <v>32</v>
      </c>
      <c r="M3846" t="s">
        <v>33</v>
      </c>
      <c r="P3846" s="1" t="s">
        <v>13346</v>
      </c>
      <c r="Q3846" s="1" t="s">
        <v>10495</v>
      </c>
      <c r="R3846" s="1" t="s">
        <v>10495</v>
      </c>
      <c r="S3846" s="1"/>
      <c r="T3846" s="1" t="s">
        <v>13345</v>
      </c>
      <c r="U3846" s="1"/>
      <c r="V3846" s="1">
        <v>504.0</v>
      </c>
      <c r="W3846" s="1">
        <v>504.0</v>
      </c>
      <c r="X3846" s="1" t="s">
        <v>35</v>
      </c>
      <c r="Y3846" s="1">
        <v>504000.0</v>
      </c>
      <c r="Z3846" s="1"/>
      <c r="AA3846" s="1">
        <v>504000.0</v>
      </c>
      <c r="AB3846" s="1"/>
      <c r="AC3846" s="1" t="s">
        <v>36</v>
      </c>
      <c r="AD3846" s="1" t="s">
        <v>13347</v>
      </c>
      <c r="AE3846" s="1" t="s">
        <v>32</v>
      </c>
      <c r="AF3846" s="1" t="s">
        <v>33</v>
      </c>
      <c r="AG3846" s="1" t="s">
        <v>49</v>
      </c>
    </row>
    <row r="3847" spans="1:33">
      <c r="A3847" t="s">
        <v>13348</v>
      </c>
      <c r="B3847" t="s">
        <v>13349</v>
      </c>
      <c r="C3847" t="s">
        <v>1587</v>
      </c>
      <c r="D3847" t="s">
        <v>154</v>
      </c>
      <c r="E3847" t="s">
        <v>10495</v>
      </c>
      <c r="F3847" t="s">
        <v>10496</v>
      </c>
      <c r="G3847">
        <v>1.562</v>
      </c>
      <c r="H3847">
        <v>1.562</v>
      </c>
      <c r="I3847" t="s">
        <v>29</v>
      </c>
      <c r="J3847" t="s">
        <v>30</v>
      </c>
      <c r="K3847" t="s">
        <v>31</v>
      </c>
      <c r="L3847" t="s">
        <v>32</v>
      </c>
      <c r="M3847" t="s">
        <v>33</v>
      </c>
      <c r="P3847" s="1" t="s">
        <v>13350</v>
      </c>
      <c r="Q3847" s="1" t="s">
        <v>10495</v>
      </c>
      <c r="R3847" s="1" t="s">
        <v>10495</v>
      </c>
      <c r="S3847" s="1"/>
      <c r="T3847" s="1" t="s">
        <v>1587</v>
      </c>
      <c r="U3847" s="1"/>
      <c r="V3847" s="1">
        <v>1.562</v>
      </c>
      <c r="W3847" s="1">
        <v>1.562</v>
      </c>
      <c r="X3847" s="1" t="s">
        <v>35</v>
      </c>
      <c r="Y3847" s="1">
        <v>1562000.0</v>
      </c>
      <c r="Z3847" s="1"/>
      <c r="AA3847" s="1">
        <v>1562000.0</v>
      </c>
      <c r="AB3847" s="1"/>
      <c r="AC3847" s="1" t="s">
        <v>36</v>
      </c>
      <c r="AD3847" s="1" t="s">
        <v>13351</v>
      </c>
      <c r="AE3847" s="1" t="s">
        <v>32</v>
      </c>
      <c r="AF3847" s="1" t="s">
        <v>33</v>
      </c>
      <c r="AG3847" s="1" t="s">
        <v>30</v>
      </c>
    </row>
    <row r="3848" spans="1:33">
      <c r="A3848" t="s">
        <v>13352</v>
      </c>
      <c r="C3848" t="s">
        <v>872</v>
      </c>
      <c r="E3848" t="s">
        <v>10495</v>
      </c>
      <c r="F3848" t="s">
        <v>10496</v>
      </c>
      <c r="G3848">
        <v>30.25</v>
      </c>
      <c r="H3848">
        <v>30.25</v>
      </c>
      <c r="I3848" t="s">
        <v>2206</v>
      </c>
      <c r="J3848" t="s">
        <v>49</v>
      </c>
      <c r="K3848" t="s">
        <v>31</v>
      </c>
      <c r="L3848" t="s">
        <v>32</v>
      </c>
      <c r="M3848" t="s">
        <v>33</v>
      </c>
      <c r="P3848" s="1" t="s">
        <v>13353</v>
      </c>
      <c r="Q3848" s="1" t="s">
        <v>10495</v>
      </c>
      <c r="R3848" s="1" t="s">
        <v>10495</v>
      </c>
      <c r="S3848" s="1"/>
      <c r="T3848" s="1" t="s">
        <v>872</v>
      </c>
      <c r="U3848" s="1"/>
      <c r="V3848" s="1">
        <v>30.25</v>
      </c>
      <c r="W3848" s="1">
        <v>30.25</v>
      </c>
      <c r="X3848" s="1" t="s">
        <v>35</v>
      </c>
      <c r="Y3848" s="1">
        <v>30250.0</v>
      </c>
      <c r="Z3848" s="1"/>
      <c r="AA3848" s="1">
        <v>30250.0</v>
      </c>
      <c r="AB3848" s="1"/>
      <c r="AC3848" s="1" t="s">
        <v>36</v>
      </c>
      <c r="AD3848" s="1" t="s">
        <v>13354</v>
      </c>
      <c r="AE3848" s="1" t="s">
        <v>32</v>
      </c>
      <c r="AF3848" s="1" t="s">
        <v>33</v>
      </c>
      <c r="AG3848" s="1" t="s">
        <v>49</v>
      </c>
    </row>
    <row r="3849" spans="1:33">
      <c r="A3849" t="s">
        <v>13355</v>
      </c>
      <c r="C3849" t="s">
        <v>13356</v>
      </c>
      <c r="E3849" t="s">
        <v>10495</v>
      </c>
      <c r="F3849" t="s">
        <v>10496</v>
      </c>
      <c r="G3849">
        <v>328.0</v>
      </c>
      <c r="H3849">
        <v>328.0</v>
      </c>
      <c r="I3849" t="s">
        <v>136</v>
      </c>
      <c r="J3849" t="s">
        <v>137</v>
      </c>
      <c r="K3849" t="s">
        <v>31</v>
      </c>
      <c r="L3849" t="s">
        <v>32</v>
      </c>
      <c r="M3849" t="s">
        <v>33</v>
      </c>
      <c r="P3849" s="1" t="s">
        <v>13357</v>
      </c>
      <c r="Q3849" s="1" t="s">
        <v>10495</v>
      </c>
      <c r="R3849" s="1" t="s">
        <v>10495</v>
      </c>
      <c r="S3849" s="1"/>
      <c r="T3849" s="1" t="s">
        <v>13358</v>
      </c>
      <c r="U3849" s="1" t="s">
        <v>13359</v>
      </c>
      <c r="V3849" s="1">
        <v>328.0</v>
      </c>
      <c r="W3849" s="1">
        <v>328.0</v>
      </c>
      <c r="X3849" s="1" t="s">
        <v>35</v>
      </c>
      <c r="Y3849" s="1">
        <v>328000.0</v>
      </c>
      <c r="Z3849" s="1"/>
      <c r="AA3849" s="1">
        <v>328000.0</v>
      </c>
      <c r="AB3849" s="1"/>
      <c r="AC3849" s="1" t="s">
        <v>36</v>
      </c>
      <c r="AD3849" s="1" t="s">
        <v>13360</v>
      </c>
      <c r="AE3849" s="1" t="s">
        <v>32</v>
      </c>
      <c r="AF3849" s="1" t="s">
        <v>33</v>
      </c>
      <c r="AG3849" s="1" t="s">
        <v>137</v>
      </c>
    </row>
    <row r="3850" spans="1:33">
      <c r="A3850" t="s">
        <v>13361</v>
      </c>
      <c r="B3850" t="s">
        <v>13362</v>
      </c>
      <c r="C3850" t="s">
        <v>569</v>
      </c>
      <c r="E3850" t="s">
        <v>10495</v>
      </c>
      <c r="F3850" t="s">
        <v>10496</v>
      </c>
      <c r="G3850">
        <v>20.99</v>
      </c>
      <c r="H3850">
        <v>20.99</v>
      </c>
      <c r="I3850" t="s">
        <v>570</v>
      </c>
      <c r="J3850" t="s">
        <v>571</v>
      </c>
      <c r="K3850" t="s">
        <v>31</v>
      </c>
      <c r="L3850" t="s">
        <v>32</v>
      </c>
      <c r="M3850" t="s">
        <v>33</v>
      </c>
      <c r="P3850" s="1" t="s">
        <v>13363</v>
      </c>
      <c r="Q3850" s="1" t="s">
        <v>10495</v>
      </c>
      <c r="R3850" s="1" t="s">
        <v>10495</v>
      </c>
      <c r="S3850" s="1"/>
      <c r="T3850" s="1" t="s">
        <v>569</v>
      </c>
      <c r="U3850" s="1"/>
      <c r="V3850" s="1">
        <v>20.99</v>
      </c>
      <c r="W3850" s="1">
        <v>20.99</v>
      </c>
      <c r="X3850" s="1" t="s">
        <v>35</v>
      </c>
      <c r="Y3850" s="1">
        <v>20990.0</v>
      </c>
      <c r="Z3850" s="1"/>
      <c r="AA3850" s="1">
        <v>20990.0</v>
      </c>
      <c r="AB3850" s="1"/>
      <c r="AC3850" s="1" t="s">
        <v>36</v>
      </c>
      <c r="AD3850" s="1" t="s">
        <v>13364</v>
      </c>
      <c r="AE3850" s="1" t="s">
        <v>32</v>
      </c>
      <c r="AF3850" s="1" t="s">
        <v>33</v>
      </c>
      <c r="AG3850" s="1" t="s">
        <v>571</v>
      </c>
    </row>
    <row r="3851" spans="1:33">
      <c r="A3851" t="s">
        <v>13365</v>
      </c>
      <c r="B3851" t="s">
        <v>13366</v>
      </c>
      <c r="C3851" t="s">
        <v>172</v>
      </c>
      <c r="E3851" t="s">
        <v>10495</v>
      </c>
      <c r="F3851" t="s">
        <v>10496</v>
      </c>
      <c r="G3851">
        <v>33.98</v>
      </c>
      <c r="H3851">
        <v>33.98</v>
      </c>
      <c r="I3851" t="s">
        <v>173</v>
      </c>
      <c r="J3851" t="s">
        <v>174</v>
      </c>
      <c r="K3851" t="s">
        <v>31</v>
      </c>
      <c r="L3851" t="s">
        <v>32</v>
      </c>
      <c r="M3851" t="s">
        <v>33</v>
      </c>
      <c r="P3851" s="1" t="s">
        <v>13367</v>
      </c>
      <c r="Q3851" s="1" t="s">
        <v>10495</v>
      </c>
      <c r="R3851" s="1" t="s">
        <v>10495</v>
      </c>
      <c r="S3851" s="1"/>
      <c r="T3851" s="1" t="s">
        <v>172</v>
      </c>
      <c r="U3851" s="1"/>
      <c r="V3851" s="1">
        <v>33.98</v>
      </c>
      <c r="W3851" s="1">
        <v>33.98</v>
      </c>
      <c r="X3851" s="1" t="s">
        <v>35</v>
      </c>
      <c r="Y3851" s="1">
        <v>33980.0</v>
      </c>
      <c r="Z3851" s="1"/>
      <c r="AA3851" s="1">
        <v>33980.0</v>
      </c>
      <c r="AB3851" s="1"/>
      <c r="AC3851" s="1" t="s">
        <v>36</v>
      </c>
      <c r="AD3851" s="1" t="s">
        <v>13368</v>
      </c>
      <c r="AE3851" s="1" t="s">
        <v>32</v>
      </c>
      <c r="AF3851" s="1" t="s">
        <v>33</v>
      </c>
      <c r="AG3851" s="1" t="s">
        <v>174</v>
      </c>
    </row>
    <row r="3852" spans="1:33">
      <c r="A3852" t="s">
        <v>13369</v>
      </c>
      <c r="C3852" t="s">
        <v>3689</v>
      </c>
      <c r="E3852" t="s">
        <v>10495</v>
      </c>
      <c r="F3852" t="s">
        <v>10496</v>
      </c>
      <c r="G3852">
        <v>352.0</v>
      </c>
      <c r="H3852">
        <v>352.0</v>
      </c>
      <c r="I3852" t="s">
        <v>179</v>
      </c>
      <c r="J3852" t="s">
        <v>180</v>
      </c>
      <c r="K3852" t="s">
        <v>31</v>
      </c>
      <c r="L3852" t="s">
        <v>32</v>
      </c>
      <c r="M3852" t="s">
        <v>33</v>
      </c>
      <c r="P3852" s="1" t="s">
        <v>13370</v>
      </c>
      <c r="Q3852" s="1" t="s">
        <v>10495</v>
      </c>
      <c r="R3852" s="1" t="s">
        <v>10495</v>
      </c>
      <c r="S3852" s="1"/>
      <c r="T3852" s="1" t="s">
        <v>3689</v>
      </c>
      <c r="U3852" s="1"/>
      <c r="V3852" s="1">
        <v>352.0</v>
      </c>
      <c r="W3852" s="1">
        <v>352.0</v>
      </c>
      <c r="X3852" s="1" t="s">
        <v>35</v>
      </c>
      <c r="Y3852" s="1">
        <v>352000.0</v>
      </c>
      <c r="Z3852" s="1"/>
      <c r="AA3852" s="1">
        <v>352000.0</v>
      </c>
      <c r="AB3852" s="1"/>
      <c r="AC3852" s="1" t="s">
        <v>36</v>
      </c>
      <c r="AD3852" s="1" t="s">
        <v>13371</v>
      </c>
      <c r="AE3852" s="1" t="s">
        <v>32</v>
      </c>
      <c r="AF3852" s="1" t="s">
        <v>33</v>
      </c>
      <c r="AG3852" s="1" t="s">
        <v>180</v>
      </c>
    </row>
    <row r="3853" spans="1:33">
      <c r="A3853" t="s">
        <v>13372</v>
      </c>
      <c r="B3853" t="s">
        <v>3125</v>
      </c>
      <c r="C3853" t="s">
        <v>569</v>
      </c>
      <c r="E3853" t="s">
        <v>10495</v>
      </c>
      <c r="F3853" t="s">
        <v>10496</v>
      </c>
      <c r="G3853">
        <v>76.818</v>
      </c>
      <c r="H3853">
        <v>76.818</v>
      </c>
      <c r="I3853" t="s">
        <v>570</v>
      </c>
      <c r="J3853" t="s">
        <v>571</v>
      </c>
      <c r="K3853" t="s">
        <v>31</v>
      </c>
      <c r="L3853" t="s">
        <v>32</v>
      </c>
      <c r="M3853" t="s">
        <v>33</v>
      </c>
      <c r="P3853" s="1" t="s">
        <v>13373</v>
      </c>
      <c r="Q3853" s="1" t="s">
        <v>10495</v>
      </c>
      <c r="R3853" s="1" t="s">
        <v>10495</v>
      </c>
      <c r="S3853" s="1"/>
      <c r="T3853" s="1" t="s">
        <v>569</v>
      </c>
      <c r="U3853" s="1"/>
      <c r="V3853" s="1">
        <v>76.818</v>
      </c>
      <c r="W3853" s="1">
        <v>76.818</v>
      </c>
      <c r="X3853" s="1" t="s">
        <v>35</v>
      </c>
      <c r="Y3853" s="1">
        <v>76818.0</v>
      </c>
      <c r="Z3853" s="1"/>
      <c r="AA3853" s="1">
        <v>76818.0</v>
      </c>
      <c r="AB3853" s="1"/>
      <c r="AC3853" s="1" t="s">
        <v>36</v>
      </c>
      <c r="AD3853" s="1" t="s">
        <v>13374</v>
      </c>
      <c r="AE3853" s="1" t="s">
        <v>32</v>
      </c>
      <c r="AF3853" s="1" t="s">
        <v>33</v>
      </c>
      <c r="AG3853" s="1" t="s">
        <v>571</v>
      </c>
    </row>
    <row r="3854" spans="1:33">
      <c r="A3854" t="s">
        <v>13375</v>
      </c>
      <c r="C3854" t="s">
        <v>955</v>
      </c>
      <c r="D3854" t="s">
        <v>114</v>
      </c>
      <c r="E3854" t="s">
        <v>10495</v>
      </c>
      <c r="F3854" t="s">
        <v>10496</v>
      </c>
      <c r="G3854">
        <v>630.0</v>
      </c>
      <c r="H3854">
        <v>630.0</v>
      </c>
      <c r="I3854" t="s">
        <v>13331</v>
      </c>
      <c r="J3854" t="s">
        <v>41</v>
      </c>
      <c r="K3854" t="s">
        <v>31</v>
      </c>
      <c r="L3854" t="s">
        <v>32</v>
      </c>
      <c r="M3854" t="s">
        <v>33</v>
      </c>
      <c r="P3854" s="1" t="s">
        <v>13376</v>
      </c>
      <c r="Q3854" s="1" t="s">
        <v>10495</v>
      </c>
      <c r="R3854" s="1" t="s">
        <v>13321</v>
      </c>
      <c r="S3854" s="1"/>
      <c r="T3854" s="1" t="s">
        <v>955</v>
      </c>
      <c r="U3854" s="1"/>
      <c r="V3854" s="1">
        <v>630.0</v>
      </c>
      <c r="W3854" s="1">
        <v>630.0</v>
      </c>
      <c r="X3854" s="1" t="s">
        <v>35</v>
      </c>
      <c r="Y3854" s="1">
        <v>630000.0</v>
      </c>
      <c r="Z3854" s="1"/>
      <c r="AA3854" s="1">
        <v>630000.0</v>
      </c>
      <c r="AB3854" s="1"/>
      <c r="AC3854" s="1" t="s">
        <v>36</v>
      </c>
      <c r="AD3854" s="1" t="s">
        <v>13377</v>
      </c>
      <c r="AE3854" s="1" t="s">
        <v>32</v>
      </c>
      <c r="AF3854" s="1" t="s">
        <v>33</v>
      </c>
      <c r="AG3854" s="1" t="s">
        <v>41</v>
      </c>
    </row>
    <row r="3855" spans="1:33">
      <c r="A3855" t="s">
        <v>13378</v>
      </c>
      <c r="C3855" t="s">
        <v>554</v>
      </c>
      <c r="E3855" t="s">
        <v>10495</v>
      </c>
      <c r="F3855" t="s">
        <v>10496</v>
      </c>
      <c r="G3855">
        <v>777.0</v>
      </c>
      <c r="H3855">
        <v>777.0</v>
      </c>
      <c r="I3855" t="s">
        <v>13331</v>
      </c>
      <c r="J3855" t="s">
        <v>41</v>
      </c>
      <c r="K3855" t="s">
        <v>31</v>
      </c>
      <c r="L3855" t="s">
        <v>32</v>
      </c>
      <c r="M3855" t="s">
        <v>33</v>
      </c>
      <c r="P3855" s="1" t="s">
        <v>13379</v>
      </c>
      <c r="Q3855" s="1" t="s">
        <v>10495</v>
      </c>
      <c r="R3855" s="1" t="s">
        <v>13321</v>
      </c>
      <c r="S3855" s="1"/>
      <c r="T3855" s="1" t="s">
        <v>554</v>
      </c>
      <c r="U3855" s="1"/>
      <c r="V3855" s="1">
        <v>777.0</v>
      </c>
      <c r="W3855" s="1">
        <v>777.0</v>
      </c>
      <c r="X3855" s="1" t="s">
        <v>35</v>
      </c>
      <c r="Y3855" s="1">
        <v>777000.0</v>
      </c>
      <c r="Z3855" s="1"/>
      <c r="AA3855" s="1">
        <v>777000.0</v>
      </c>
      <c r="AB3855" s="1"/>
      <c r="AC3855" s="1" t="s">
        <v>36</v>
      </c>
      <c r="AD3855" s="1" t="s">
        <v>13380</v>
      </c>
      <c r="AE3855" s="1" t="s">
        <v>32</v>
      </c>
      <c r="AF3855" s="1" t="s">
        <v>33</v>
      </c>
      <c r="AG3855" s="1" t="s">
        <v>41</v>
      </c>
    </row>
    <row r="3856" spans="1:33">
      <c r="A3856" t="s">
        <v>13381</v>
      </c>
      <c r="C3856" t="s">
        <v>13035</v>
      </c>
      <c r="D3856" t="s">
        <v>114</v>
      </c>
      <c r="E3856" t="s">
        <v>10495</v>
      </c>
      <c r="F3856" t="s">
        <v>10496</v>
      </c>
      <c r="G3856">
        <v>29.25</v>
      </c>
      <c r="H3856">
        <v>29.25</v>
      </c>
      <c r="I3856" t="s">
        <v>269</v>
      </c>
      <c r="J3856" t="s">
        <v>270</v>
      </c>
      <c r="K3856" t="s">
        <v>31</v>
      </c>
      <c r="L3856" t="s">
        <v>32</v>
      </c>
      <c r="M3856" t="s">
        <v>33</v>
      </c>
      <c r="P3856" s="1" t="s">
        <v>13382</v>
      </c>
      <c r="Q3856" s="1" t="s">
        <v>10495</v>
      </c>
      <c r="R3856" s="1" t="s">
        <v>10495</v>
      </c>
      <c r="S3856" s="1"/>
      <c r="T3856" s="1" t="s">
        <v>13037</v>
      </c>
      <c r="U3856" s="1" t="s">
        <v>13038</v>
      </c>
      <c r="V3856" s="1">
        <v>29.25</v>
      </c>
      <c r="W3856" s="1">
        <v>29.25</v>
      </c>
      <c r="X3856" s="1" t="s">
        <v>35</v>
      </c>
      <c r="Y3856" s="1">
        <v>29250.0</v>
      </c>
      <c r="Z3856" s="1"/>
      <c r="AA3856" s="1">
        <v>29250.0</v>
      </c>
      <c r="AB3856" s="1"/>
      <c r="AC3856" s="1" t="s">
        <v>36</v>
      </c>
      <c r="AD3856" s="1" t="s">
        <v>13368</v>
      </c>
      <c r="AE3856" s="1" t="s">
        <v>32</v>
      </c>
      <c r="AF3856" s="1" t="s">
        <v>33</v>
      </c>
      <c r="AG3856" s="1" t="s">
        <v>270</v>
      </c>
    </row>
    <row r="3857" spans="1:33">
      <c r="A3857" t="s">
        <v>13383</v>
      </c>
      <c r="B3857" t="s">
        <v>13384</v>
      </c>
      <c r="C3857" t="s">
        <v>68</v>
      </c>
      <c r="E3857" t="s">
        <v>10495</v>
      </c>
      <c r="F3857" t="s">
        <v>10496</v>
      </c>
      <c r="G3857">
        <v>4.598</v>
      </c>
      <c r="H3857">
        <v>4.598</v>
      </c>
      <c r="I3857" t="s">
        <v>59</v>
      </c>
      <c r="J3857" t="s">
        <v>60</v>
      </c>
      <c r="K3857" t="s">
        <v>31</v>
      </c>
      <c r="L3857" t="s">
        <v>32</v>
      </c>
      <c r="M3857" t="s">
        <v>33</v>
      </c>
      <c r="P3857" s="1" t="s">
        <v>13385</v>
      </c>
      <c r="Q3857" s="1" t="s">
        <v>10495</v>
      </c>
      <c r="R3857" s="1" t="s">
        <v>10495</v>
      </c>
      <c r="S3857" s="1"/>
      <c r="T3857" s="1" t="s">
        <v>68</v>
      </c>
      <c r="U3857" s="1"/>
      <c r="V3857" s="1">
        <v>4.598</v>
      </c>
      <c r="W3857" s="1">
        <v>4.598</v>
      </c>
      <c r="X3857" s="1" t="s">
        <v>35</v>
      </c>
      <c r="Y3857" s="1">
        <v>4598.0</v>
      </c>
      <c r="Z3857" s="1"/>
      <c r="AA3857" s="1">
        <v>4598.0</v>
      </c>
      <c r="AB3857" s="1"/>
      <c r="AC3857" s="1" t="s">
        <v>36</v>
      </c>
      <c r="AD3857" s="1" t="s">
        <v>13386</v>
      </c>
      <c r="AE3857" s="1" t="s">
        <v>32</v>
      </c>
      <c r="AF3857" s="1" t="s">
        <v>33</v>
      </c>
      <c r="AG3857" s="1" t="s">
        <v>60</v>
      </c>
    </row>
    <row r="3858" spans="1:33">
      <c r="A3858" t="s">
        <v>13387</v>
      </c>
      <c r="B3858" t="s">
        <v>13388</v>
      </c>
      <c r="C3858" t="s">
        <v>12240</v>
      </c>
      <c r="E3858" t="s">
        <v>10495</v>
      </c>
      <c r="F3858" t="s">
        <v>10496</v>
      </c>
      <c r="G3858">
        <v>181.8</v>
      </c>
      <c r="H3858">
        <v>181.8</v>
      </c>
      <c r="I3858" t="s">
        <v>136</v>
      </c>
      <c r="J3858" t="s">
        <v>137</v>
      </c>
      <c r="K3858" t="s">
        <v>31</v>
      </c>
      <c r="L3858" t="s">
        <v>32</v>
      </c>
      <c r="M3858" t="s">
        <v>33</v>
      </c>
      <c r="P3858" s="1" t="s">
        <v>13389</v>
      </c>
      <c r="Q3858" s="1" t="s">
        <v>10495</v>
      </c>
      <c r="R3858" s="1" t="s">
        <v>10495</v>
      </c>
      <c r="S3858" s="1"/>
      <c r="T3858" s="1" t="s">
        <v>12240</v>
      </c>
      <c r="U3858" s="1"/>
      <c r="V3858" s="1">
        <v>181.8</v>
      </c>
      <c r="W3858" s="1">
        <v>181.8</v>
      </c>
      <c r="X3858" s="1" t="s">
        <v>35</v>
      </c>
      <c r="Y3858" s="1">
        <v>181800.0</v>
      </c>
      <c r="Z3858" s="1"/>
      <c r="AA3858" s="1">
        <v>181800.0</v>
      </c>
      <c r="AB3858" s="1"/>
      <c r="AC3858" s="1" t="s">
        <v>36</v>
      </c>
      <c r="AD3858" s="1" t="s">
        <v>13390</v>
      </c>
      <c r="AE3858" s="1" t="s">
        <v>32</v>
      </c>
      <c r="AF3858" s="1" t="s">
        <v>33</v>
      </c>
      <c r="AG3858" s="1" t="s">
        <v>137</v>
      </c>
    </row>
    <row r="3859" spans="1:33">
      <c r="A3859" t="s">
        <v>13391</v>
      </c>
      <c r="B3859" t="s">
        <v>735</v>
      </c>
      <c r="C3859" t="s">
        <v>736</v>
      </c>
      <c r="E3859" t="s">
        <v>10495</v>
      </c>
      <c r="F3859" t="s">
        <v>10496</v>
      </c>
      <c r="G3859">
        <v>370.0</v>
      </c>
      <c r="H3859">
        <v>370.0</v>
      </c>
      <c r="I3859" t="s">
        <v>59</v>
      </c>
      <c r="J3859" t="s">
        <v>60</v>
      </c>
      <c r="K3859" t="s">
        <v>31</v>
      </c>
      <c r="L3859" t="s">
        <v>32</v>
      </c>
      <c r="M3859" t="s">
        <v>33</v>
      </c>
      <c r="P3859" s="1" t="s">
        <v>13392</v>
      </c>
      <c r="Q3859" s="1" t="s">
        <v>10495</v>
      </c>
      <c r="R3859" s="1" t="s">
        <v>10495</v>
      </c>
      <c r="S3859" s="1"/>
      <c r="T3859" s="1" t="s">
        <v>736</v>
      </c>
      <c r="U3859" s="1"/>
      <c r="V3859" s="1">
        <v>370.0</v>
      </c>
      <c r="W3859" s="1">
        <v>370.0</v>
      </c>
      <c r="X3859" s="1" t="s">
        <v>35</v>
      </c>
      <c r="Y3859" s="1">
        <v>370000.0</v>
      </c>
      <c r="Z3859" s="1"/>
      <c r="AA3859" s="1">
        <v>370000.0</v>
      </c>
      <c r="AB3859" s="1"/>
      <c r="AC3859" s="1" t="s">
        <v>36</v>
      </c>
      <c r="AD3859" s="1" t="s">
        <v>13393</v>
      </c>
      <c r="AE3859" s="1" t="s">
        <v>32</v>
      </c>
      <c r="AF3859" s="1" t="s">
        <v>33</v>
      </c>
      <c r="AG3859" s="1" t="s">
        <v>60</v>
      </c>
    </row>
    <row r="3860" spans="1:33">
      <c r="A3860" t="s">
        <v>13394</v>
      </c>
      <c r="C3860" t="s">
        <v>5580</v>
      </c>
      <c r="E3860" t="s">
        <v>10495</v>
      </c>
      <c r="F3860" t="s">
        <v>10496</v>
      </c>
      <c r="G3860">
        <v>734.3</v>
      </c>
      <c r="H3860">
        <v>734.3</v>
      </c>
      <c r="I3860" t="s">
        <v>94</v>
      </c>
      <c r="J3860" t="s">
        <v>95</v>
      </c>
      <c r="K3860" t="s">
        <v>31</v>
      </c>
      <c r="L3860" t="s">
        <v>32</v>
      </c>
      <c r="M3860" t="s">
        <v>33</v>
      </c>
      <c r="P3860" s="1" t="s">
        <v>13395</v>
      </c>
      <c r="Q3860" s="1" t="s">
        <v>10495</v>
      </c>
      <c r="R3860" s="1" t="s">
        <v>10495</v>
      </c>
      <c r="S3860" s="1"/>
      <c r="T3860" s="1" t="s">
        <v>5582</v>
      </c>
      <c r="U3860" s="1" t="s">
        <v>5583</v>
      </c>
      <c r="V3860" s="1">
        <v>734.3</v>
      </c>
      <c r="W3860" s="1">
        <v>734.3</v>
      </c>
      <c r="X3860" s="1" t="s">
        <v>35</v>
      </c>
      <c r="Y3860" s="1">
        <v>734300.0</v>
      </c>
      <c r="Z3860" s="1"/>
      <c r="AA3860" s="1">
        <v>734300.0</v>
      </c>
      <c r="AB3860" s="1"/>
      <c r="AC3860" s="1" t="s">
        <v>36</v>
      </c>
      <c r="AD3860" s="1" t="s">
        <v>13374</v>
      </c>
      <c r="AE3860" s="1" t="s">
        <v>32</v>
      </c>
      <c r="AF3860" s="1" t="s">
        <v>33</v>
      </c>
      <c r="AG3860" s="1" t="s">
        <v>95</v>
      </c>
    </row>
    <row r="3861" spans="1:33">
      <c r="A3861" t="s">
        <v>13396</v>
      </c>
      <c r="B3861" t="s">
        <v>13397</v>
      </c>
      <c r="C3861" t="s">
        <v>68</v>
      </c>
      <c r="E3861" t="s">
        <v>10495</v>
      </c>
      <c r="F3861" t="s">
        <v>10496</v>
      </c>
      <c r="G3861">
        <v>41.99</v>
      </c>
      <c r="H3861">
        <v>41.99</v>
      </c>
      <c r="I3861" t="s">
        <v>59</v>
      </c>
      <c r="J3861" t="s">
        <v>60</v>
      </c>
      <c r="K3861" t="s">
        <v>31</v>
      </c>
      <c r="L3861" t="s">
        <v>32</v>
      </c>
      <c r="M3861" t="s">
        <v>33</v>
      </c>
      <c r="P3861" s="1" t="s">
        <v>13398</v>
      </c>
      <c r="Q3861" s="1" t="s">
        <v>10495</v>
      </c>
      <c r="R3861" s="1" t="s">
        <v>10495</v>
      </c>
      <c r="S3861" s="1"/>
      <c r="T3861" s="1" t="s">
        <v>68</v>
      </c>
      <c r="U3861" s="1"/>
      <c r="V3861" s="1">
        <v>41.99</v>
      </c>
      <c r="W3861" s="1">
        <v>41.99</v>
      </c>
      <c r="X3861" s="1" t="s">
        <v>35</v>
      </c>
      <c r="Y3861" s="1">
        <v>41990.0</v>
      </c>
      <c r="Z3861" s="1"/>
      <c r="AA3861" s="1">
        <v>41990.0</v>
      </c>
      <c r="AB3861" s="1"/>
      <c r="AC3861" s="1" t="s">
        <v>36</v>
      </c>
      <c r="AD3861" s="1" t="s">
        <v>13399</v>
      </c>
      <c r="AE3861" s="1" t="s">
        <v>32</v>
      </c>
      <c r="AF3861" s="1" t="s">
        <v>33</v>
      </c>
      <c r="AG3861" s="1" t="s">
        <v>60</v>
      </c>
    </row>
    <row r="3862" spans="1:33">
      <c r="A3862" t="s">
        <v>13400</v>
      </c>
      <c r="C3862" t="s">
        <v>1732</v>
      </c>
      <c r="E3862" t="s">
        <v>10495</v>
      </c>
      <c r="F3862" t="s">
        <v>10496</v>
      </c>
      <c r="G3862">
        <v>1.68</v>
      </c>
      <c r="H3862">
        <v>1.68</v>
      </c>
      <c r="I3862" t="s">
        <v>94</v>
      </c>
      <c r="J3862" t="s">
        <v>95</v>
      </c>
      <c r="K3862" t="s">
        <v>31</v>
      </c>
      <c r="L3862" t="s">
        <v>32</v>
      </c>
      <c r="M3862" t="s">
        <v>33</v>
      </c>
      <c r="P3862" s="1" t="s">
        <v>13401</v>
      </c>
      <c r="Q3862" s="1" t="s">
        <v>10495</v>
      </c>
      <c r="R3862" s="1" t="s">
        <v>10495</v>
      </c>
      <c r="S3862" s="1"/>
      <c r="T3862" s="1" t="s">
        <v>1732</v>
      </c>
      <c r="U3862" s="1"/>
      <c r="V3862" s="1">
        <v>1.68</v>
      </c>
      <c r="W3862" s="1">
        <v>1.68</v>
      </c>
      <c r="X3862" s="1" t="s">
        <v>35</v>
      </c>
      <c r="Y3862" s="1">
        <v>1680000.0</v>
      </c>
      <c r="Z3862" s="1"/>
      <c r="AA3862" s="1">
        <v>1680000.0</v>
      </c>
      <c r="AB3862" s="1"/>
      <c r="AC3862" s="1" t="s">
        <v>36</v>
      </c>
      <c r="AD3862" s="1" t="s">
        <v>13402</v>
      </c>
      <c r="AE3862" s="1" t="s">
        <v>32</v>
      </c>
      <c r="AF3862" s="1" t="s">
        <v>33</v>
      </c>
      <c r="AG3862" s="1" t="s">
        <v>95</v>
      </c>
    </row>
    <row r="3863" spans="1:33">
      <c r="A3863" t="s">
        <v>13403</v>
      </c>
      <c r="B3863" t="s">
        <v>3652</v>
      </c>
      <c r="C3863" t="s">
        <v>314</v>
      </c>
      <c r="E3863" t="s">
        <v>10495</v>
      </c>
      <c r="F3863" t="s">
        <v>10496</v>
      </c>
      <c r="G3863">
        <v>7.792</v>
      </c>
      <c r="H3863">
        <v>7.792</v>
      </c>
      <c r="I3863" t="s">
        <v>179</v>
      </c>
      <c r="J3863" t="s">
        <v>180</v>
      </c>
      <c r="K3863" t="s">
        <v>31</v>
      </c>
      <c r="L3863" t="s">
        <v>32</v>
      </c>
      <c r="M3863" t="s">
        <v>33</v>
      </c>
      <c r="P3863" s="1" t="s">
        <v>13404</v>
      </c>
      <c r="Q3863" s="1" t="s">
        <v>10495</v>
      </c>
      <c r="R3863" s="1" t="s">
        <v>10495</v>
      </c>
      <c r="S3863" s="1"/>
      <c r="T3863" s="1" t="s">
        <v>314</v>
      </c>
      <c r="U3863" s="1"/>
      <c r="V3863" s="1">
        <v>7.792</v>
      </c>
      <c r="W3863" s="1">
        <v>7.792</v>
      </c>
      <c r="X3863" s="1" t="s">
        <v>35</v>
      </c>
      <c r="Y3863" s="1">
        <v>7792.0</v>
      </c>
      <c r="Z3863" s="1"/>
      <c r="AA3863" s="1">
        <v>7792.0</v>
      </c>
      <c r="AB3863" s="1"/>
      <c r="AC3863" s="1" t="s">
        <v>36</v>
      </c>
      <c r="AD3863" s="1" t="s">
        <v>13405</v>
      </c>
      <c r="AE3863" s="1" t="s">
        <v>32</v>
      </c>
      <c r="AF3863" s="1" t="s">
        <v>33</v>
      </c>
      <c r="AG3863" s="1" t="s">
        <v>180</v>
      </c>
    </row>
    <row r="3864" spans="1:33">
      <c r="A3864" t="s">
        <v>13406</v>
      </c>
      <c r="C3864" t="s">
        <v>13082</v>
      </c>
      <c r="E3864" t="s">
        <v>10495</v>
      </c>
      <c r="F3864" t="s">
        <v>10496</v>
      </c>
      <c r="G3864">
        <v>336.0</v>
      </c>
      <c r="H3864">
        <v>336.0</v>
      </c>
      <c r="I3864" t="s">
        <v>2206</v>
      </c>
      <c r="J3864" t="s">
        <v>49</v>
      </c>
      <c r="K3864" t="s">
        <v>31</v>
      </c>
      <c r="L3864" t="s">
        <v>32</v>
      </c>
      <c r="M3864" t="s">
        <v>33</v>
      </c>
      <c r="P3864" s="1" t="s">
        <v>13407</v>
      </c>
      <c r="Q3864" s="1" t="s">
        <v>10495</v>
      </c>
      <c r="R3864" s="1" t="s">
        <v>10495</v>
      </c>
      <c r="S3864" s="1"/>
      <c r="T3864" s="1" t="s">
        <v>13082</v>
      </c>
      <c r="U3864" s="1"/>
      <c r="V3864" s="1">
        <v>336.0</v>
      </c>
      <c r="W3864" s="1">
        <v>336.0</v>
      </c>
      <c r="X3864" s="1" t="s">
        <v>35</v>
      </c>
      <c r="Y3864" s="1">
        <v>336000.0</v>
      </c>
      <c r="Z3864" s="1"/>
      <c r="AA3864" s="1">
        <v>336000.0</v>
      </c>
      <c r="AB3864" s="1"/>
      <c r="AC3864" s="1" t="s">
        <v>36</v>
      </c>
      <c r="AD3864" s="1" t="s">
        <v>13408</v>
      </c>
      <c r="AE3864" s="1" t="s">
        <v>32</v>
      </c>
      <c r="AF3864" s="1" t="s">
        <v>33</v>
      </c>
      <c r="AG3864" s="1" t="s">
        <v>49</v>
      </c>
    </row>
    <row r="3865" spans="1:33">
      <c r="A3865" t="s">
        <v>13409</v>
      </c>
      <c r="B3865" t="s">
        <v>430</v>
      </c>
      <c r="C3865" t="s">
        <v>431</v>
      </c>
      <c r="E3865" t="s">
        <v>10495</v>
      </c>
      <c r="F3865" t="s">
        <v>10496</v>
      </c>
      <c r="G3865">
        <v>455.5</v>
      </c>
      <c r="H3865">
        <v>455.5</v>
      </c>
      <c r="I3865" t="s">
        <v>59</v>
      </c>
      <c r="J3865" t="s">
        <v>60</v>
      </c>
      <c r="K3865" t="s">
        <v>31</v>
      </c>
      <c r="L3865" t="s">
        <v>32</v>
      </c>
      <c r="M3865" t="s">
        <v>33</v>
      </c>
      <c r="P3865" s="1" t="s">
        <v>13410</v>
      </c>
      <c r="Q3865" s="1" t="s">
        <v>10495</v>
      </c>
      <c r="R3865" s="1" t="s">
        <v>10495</v>
      </c>
      <c r="S3865" s="1"/>
      <c r="T3865" s="1" t="s">
        <v>431</v>
      </c>
      <c r="U3865" s="1"/>
      <c r="V3865" s="1">
        <v>455.5</v>
      </c>
      <c r="W3865" s="1">
        <v>455.5</v>
      </c>
      <c r="X3865" s="1" t="s">
        <v>35</v>
      </c>
      <c r="Y3865" s="1">
        <v>455500.0</v>
      </c>
      <c r="Z3865" s="1"/>
      <c r="AA3865" s="1">
        <v>455500.0</v>
      </c>
      <c r="AB3865" s="1"/>
      <c r="AC3865" s="1" t="s">
        <v>36</v>
      </c>
      <c r="AD3865" s="1" t="s">
        <v>13411</v>
      </c>
      <c r="AE3865" s="1" t="s">
        <v>32</v>
      </c>
      <c r="AF3865" s="1" t="s">
        <v>33</v>
      </c>
      <c r="AG3865" s="1" t="s">
        <v>60</v>
      </c>
    </row>
    <row r="3866" spans="1:33">
      <c r="A3866" t="s">
        <v>13412</v>
      </c>
      <c r="B3866" t="s">
        <v>13413</v>
      </c>
      <c r="C3866" t="s">
        <v>68</v>
      </c>
      <c r="E3866" t="s">
        <v>10495</v>
      </c>
      <c r="F3866" t="s">
        <v>10496</v>
      </c>
      <c r="G3866">
        <v>22.49</v>
      </c>
      <c r="H3866">
        <v>22.49</v>
      </c>
      <c r="I3866" t="s">
        <v>59</v>
      </c>
      <c r="J3866" t="s">
        <v>60</v>
      </c>
      <c r="K3866" t="s">
        <v>31</v>
      </c>
      <c r="L3866" t="s">
        <v>32</v>
      </c>
      <c r="M3866" t="s">
        <v>33</v>
      </c>
      <c r="P3866" s="1" t="s">
        <v>13414</v>
      </c>
      <c r="Q3866" s="1" t="s">
        <v>10495</v>
      </c>
      <c r="R3866" s="1" t="s">
        <v>10495</v>
      </c>
      <c r="S3866" s="1"/>
      <c r="T3866" s="1" t="s">
        <v>68</v>
      </c>
      <c r="U3866" s="1"/>
      <c r="V3866" s="1">
        <v>22.49</v>
      </c>
      <c r="W3866" s="1">
        <v>22.49</v>
      </c>
      <c r="X3866" s="1" t="s">
        <v>35</v>
      </c>
      <c r="Y3866" s="1">
        <v>22490.0</v>
      </c>
      <c r="Z3866" s="1"/>
      <c r="AA3866" s="1">
        <v>22490.0</v>
      </c>
      <c r="AB3866" s="1"/>
      <c r="AC3866" s="1" t="s">
        <v>36</v>
      </c>
      <c r="AD3866" s="1" t="s">
        <v>13415</v>
      </c>
      <c r="AE3866" s="1" t="s">
        <v>32</v>
      </c>
      <c r="AF3866" s="1" t="s">
        <v>33</v>
      </c>
      <c r="AG3866" s="1" t="s">
        <v>60</v>
      </c>
    </row>
    <row r="3867" spans="1:33">
      <c r="A3867" t="s">
        <v>13416</v>
      </c>
      <c r="B3867" t="s">
        <v>57</v>
      </c>
      <c r="C3867" t="s">
        <v>58</v>
      </c>
      <c r="E3867" t="s">
        <v>10495</v>
      </c>
      <c r="F3867" t="s">
        <v>10496</v>
      </c>
      <c r="G3867">
        <v>555.0</v>
      </c>
      <c r="H3867">
        <v>555.0</v>
      </c>
      <c r="I3867" t="s">
        <v>59</v>
      </c>
      <c r="J3867" t="s">
        <v>60</v>
      </c>
      <c r="K3867" t="s">
        <v>31</v>
      </c>
      <c r="L3867" t="s">
        <v>32</v>
      </c>
      <c r="M3867" t="s">
        <v>33</v>
      </c>
      <c r="P3867" s="1" t="s">
        <v>13417</v>
      </c>
      <c r="Q3867" s="1" t="s">
        <v>10495</v>
      </c>
      <c r="R3867" s="1" t="s">
        <v>10495</v>
      </c>
      <c r="S3867" s="1"/>
      <c r="T3867" s="1" t="s">
        <v>58</v>
      </c>
      <c r="U3867" s="1"/>
      <c r="V3867" s="1">
        <v>555.0</v>
      </c>
      <c r="W3867" s="1">
        <v>555.0</v>
      </c>
      <c r="X3867" s="1" t="s">
        <v>35</v>
      </c>
      <c r="Y3867" s="1">
        <v>555000.0</v>
      </c>
      <c r="Z3867" s="1"/>
      <c r="AA3867" s="1">
        <v>553000.0</v>
      </c>
      <c r="AB3867" s="1">
        <v>2000</v>
      </c>
      <c r="AC3867" s="1" t="s">
        <v>36</v>
      </c>
      <c r="AD3867" s="1" t="s">
        <v>13418</v>
      </c>
      <c r="AE3867" s="1" t="s">
        <v>32</v>
      </c>
      <c r="AF3867" s="1" t="s">
        <v>33</v>
      </c>
      <c r="AG3867" s="1" t="s">
        <v>60</v>
      </c>
    </row>
    <row r="3868" spans="1:33">
      <c r="A3868" t="s">
        <v>13419</v>
      </c>
      <c r="B3868" t="s">
        <v>2983</v>
      </c>
      <c r="C3868" t="s">
        <v>314</v>
      </c>
      <c r="E3868" t="s">
        <v>10495</v>
      </c>
      <c r="F3868" t="s">
        <v>10496</v>
      </c>
      <c r="G3868">
        <v>37.49</v>
      </c>
      <c r="H3868">
        <v>37.49</v>
      </c>
      <c r="I3868" t="s">
        <v>179</v>
      </c>
      <c r="J3868" t="s">
        <v>180</v>
      </c>
      <c r="K3868" t="s">
        <v>31</v>
      </c>
      <c r="L3868" t="s">
        <v>32</v>
      </c>
      <c r="M3868" t="s">
        <v>33</v>
      </c>
      <c r="P3868" s="1" t="s">
        <v>13420</v>
      </c>
      <c r="Q3868" s="1" t="s">
        <v>10495</v>
      </c>
      <c r="R3868" s="1" t="s">
        <v>10495</v>
      </c>
      <c r="S3868" s="1"/>
      <c r="T3868" s="1" t="s">
        <v>314</v>
      </c>
      <c r="U3868" s="1"/>
      <c r="V3868" s="1">
        <v>37.49</v>
      </c>
      <c r="W3868" s="1">
        <v>37.49</v>
      </c>
      <c r="X3868" s="1" t="s">
        <v>35</v>
      </c>
      <c r="Y3868" s="1">
        <v>37490.0</v>
      </c>
      <c r="Z3868" s="1"/>
      <c r="AA3868" s="1">
        <v>37490.0</v>
      </c>
      <c r="AB3868" s="1"/>
      <c r="AC3868" s="1" t="s">
        <v>36</v>
      </c>
      <c r="AD3868" s="1" t="s">
        <v>13421</v>
      </c>
      <c r="AE3868" s="1" t="s">
        <v>32</v>
      </c>
      <c r="AF3868" s="1" t="s">
        <v>33</v>
      </c>
      <c r="AG3868" s="1" t="s">
        <v>180</v>
      </c>
    </row>
    <row r="3869" spans="1:33">
      <c r="A3869" t="s">
        <v>13422</v>
      </c>
      <c r="B3869" t="s">
        <v>13423</v>
      </c>
      <c r="C3869" t="s">
        <v>131</v>
      </c>
      <c r="E3869" t="s">
        <v>10495</v>
      </c>
      <c r="F3869" t="s">
        <v>10496</v>
      </c>
      <c r="G3869">
        <v>53.37</v>
      </c>
      <c r="H3869">
        <v>53.37</v>
      </c>
      <c r="I3869" t="s">
        <v>94</v>
      </c>
      <c r="J3869" t="s">
        <v>95</v>
      </c>
      <c r="K3869" t="s">
        <v>31</v>
      </c>
      <c r="L3869" t="s">
        <v>32</v>
      </c>
      <c r="M3869" t="s">
        <v>33</v>
      </c>
      <c r="P3869" s="1" t="s">
        <v>13424</v>
      </c>
      <c r="Q3869" s="1" t="s">
        <v>10495</v>
      </c>
      <c r="R3869" s="1" t="s">
        <v>10495</v>
      </c>
      <c r="S3869" s="1"/>
      <c r="T3869" s="1" t="s">
        <v>131</v>
      </c>
      <c r="U3869" s="1"/>
      <c r="V3869" s="1">
        <v>53.37</v>
      </c>
      <c r="W3869" s="1">
        <v>53.37</v>
      </c>
      <c r="X3869" s="1" t="s">
        <v>35</v>
      </c>
      <c r="Y3869" s="1">
        <v>53370.0</v>
      </c>
      <c r="Z3869" s="1"/>
      <c r="AA3869" s="1">
        <v>53370.0</v>
      </c>
      <c r="AB3869" s="1"/>
      <c r="AC3869" s="1" t="s">
        <v>36</v>
      </c>
      <c r="AD3869" s="1" t="s">
        <v>13425</v>
      </c>
      <c r="AE3869" s="1" t="s">
        <v>32</v>
      </c>
      <c r="AF3869" s="1" t="s">
        <v>33</v>
      </c>
      <c r="AG3869" s="1" t="s">
        <v>95</v>
      </c>
    </row>
    <row r="3870" spans="1:33">
      <c r="A3870" t="s">
        <v>13426</v>
      </c>
      <c r="C3870" t="s">
        <v>13010</v>
      </c>
      <c r="E3870" t="s">
        <v>10495</v>
      </c>
      <c r="F3870" t="s">
        <v>10496</v>
      </c>
      <c r="G3870">
        <v>2.385</v>
      </c>
      <c r="H3870">
        <v>2.385</v>
      </c>
      <c r="I3870" t="s">
        <v>269</v>
      </c>
      <c r="J3870" t="s">
        <v>270</v>
      </c>
      <c r="K3870" t="s">
        <v>31</v>
      </c>
      <c r="L3870" t="s">
        <v>32</v>
      </c>
      <c r="M3870" t="s">
        <v>33</v>
      </c>
      <c r="P3870" s="1" t="s">
        <v>13427</v>
      </c>
      <c r="Q3870" s="1" t="s">
        <v>10495</v>
      </c>
      <c r="R3870" s="1" t="s">
        <v>10495</v>
      </c>
      <c r="S3870" s="1"/>
      <c r="T3870" s="1" t="s">
        <v>13010</v>
      </c>
      <c r="U3870" s="1"/>
      <c r="V3870" s="1">
        <v>2.385</v>
      </c>
      <c r="W3870" s="1">
        <v>2.385</v>
      </c>
      <c r="X3870" s="1" t="s">
        <v>35</v>
      </c>
      <c r="Y3870" s="1">
        <v>2385500.0</v>
      </c>
      <c r="Z3870" s="1"/>
      <c r="AA3870" s="1">
        <v>2385500.0</v>
      </c>
      <c r="AB3870" s="1"/>
      <c r="AC3870" s="1" t="s">
        <v>36</v>
      </c>
      <c r="AD3870" s="1" t="s">
        <v>13428</v>
      </c>
      <c r="AE3870" s="1" t="s">
        <v>32</v>
      </c>
      <c r="AF3870" s="1" t="s">
        <v>33</v>
      </c>
      <c r="AG3870" s="1" t="s">
        <v>270</v>
      </c>
    </row>
    <row r="3871" spans="1:33">
      <c r="A3871" t="s">
        <v>13429</v>
      </c>
      <c r="B3871" t="s">
        <v>13430</v>
      </c>
      <c r="C3871" t="s">
        <v>47</v>
      </c>
      <c r="E3871" t="s">
        <v>10495</v>
      </c>
      <c r="F3871" t="s">
        <v>10496</v>
      </c>
      <c r="G3871">
        <v>15.593</v>
      </c>
      <c r="H3871">
        <v>15.593</v>
      </c>
      <c r="I3871" t="s">
        <v>2206</v>
      </c>
      <c r="J3871" t="s">
        <v>49</v>
      </c>
      <c r="K3871" t="s">
        <v>31</v>
      </c>
      <c r="L3871" t="s">
        <v>32</v>
      </c>
      <c r="M3871" t="s">
        <v>33</v>
      </c>
      <c r="P3871" s="1" t="s">
        <v>13431</v>
      </c>
      <c r="Q3871" s="1" t="s">
        <v>10495</v>
      </c>
      <c r="R3871" s="1" t="s">
        <v>10495</v>
      </c>
      <c r="S3871" s="1"/>
      <c r="T3871" s="1" t="s">
        <v>47</v>
      </c>
      <c r="U3871" s="1"/>
      <c r="V3871" s="1">
        <v>15.593</v>
      </c>
      <c r="W3871" s="1">
        <v>15.593</v>
      </c>
      <c r="X3871" s="1" t="s">
        <v>35</v>
      </c>
      <c r="Y3871" s="1">
        <v>15593.0</v>
      </c>
      <c r="Z3871" s="1"/>
      <c r="AA3871" s="1">
        <v>15593.0</v>
      </c>
      <c r="AB3871" s="1"/>
      <c r="AC3871" s="1" t="s">
        <v>36</v>
      </c>
      <c r="AD3871" s="1" t="s">
        <v>13432</v>
      </c>
      <c r="AE3871" s="1" t="s">
        <v>32</v>
      </c>
      <c r="AF3871" s="1" t="s">
        <v>33</v>
      </c>
      <c r="AG3871" s="1" t="s">
        <v>49</v>
      </c>
    </row>
    <row r="3872" spans="1:33">
      <c r="A3872" t="s">
        <v>13433</v>
      </c>
      <c r="B3872" t="s">
        <v>201</v>
      </c>
      <c r="C3872" t="s">
        <v>202</v>
      </c>
      <c r="D3872" t="s">
        <v>154</v>
      </c>
      <c r="E3872" t="s">
        <v>10495</v>
      </c>
      <c r="F3872" t="s">
        <v>10496</v>
      </c>
      <c r="G3872">
        <v>357.5</v>
      </c>
      <c r="H3872">
        <v>357.5</v>
      </c>
      <c r="I3872" t="s">
        <v>59</v>
      </c>
      <c r="J3872" t="s">
        <v>60</v>
      </c>
      <c r="K3872" t="s">
        <v>31</v>
      </c>
      <c r="L3872" t="s">
        <v>32</v>
      </c>
      <c r="M3872" t="s">
        <v>33</v>
      </c>
      <c r="P3872" s="1" t="s">
        <v>13434</v>
      </c>
      <c r="Q3872" s="1" t="s">
        <v>10495</v>
      </c>
      <c r="R3872" s="1" t="s">
        <v>10495</v>
      </c>
      <c r="S3872" s="1"/>
      <c r="T3872" s="1" t="s">
        <v>202</v>
      </c>
      <c r="U3872" s="1"/>
      <c r="V3872" s="1">
        <v>357.5</v>
      </c>
      <c r="W3872" s="1">
        <v>357.5</v>
      </c>
      <c r="X3872" s="1" t="s">
        <v>35</v>
      </c>
      <c r="Y3872" s="1">
        <v>357500.0</v>
      </c>
      <c r="Z3872" s="1"/>
      <c r="AA3872" s="1">
        <v>357500.0</v>
      </c>
      <c r="AB3872" s="1"/>
      <c r="AC3872" s="1" t="s">
        <v>36</v>
      </c>
      <c r="AD3872" s="1" t="s">
        <v>13435</v>
      </c>
      <c r="AE3872" s="1" t="s">
        <v>32</v>
      </c>
      <c r="AF3872" s="1" t="s">
        <v>33</v>
      </c>
      <c r="AG3872" s="1" t="s">
        <v>60</v>
      </c>
    </row>
    <row r="3873" spans="1:33">
      <c r="A3873" t="s">
        <v>13436</v>
      </c>
      <c r="B3873" t="s">
        <v>13437</v>
      </c>
      <c r="C3873" t="s">
        <v>13438</v>
      </c>
      <c r="E3873" t="s">
        <v>10495</v>
      </c>
      <c r="F3873" t="s">
        <v>10496</v>
      </c>
      <c r="G3873">
        <v>102.658</v>
      </c>
      <c r="H3873">
        <v>102.658</v>
      </c>
      <c r="I3873" t="s">
        <v>59</v>
      </c>
      <c r="J3873" t="s">
        <v>60</v>
      </c>
      <c r="K3873" t="s">
        <v>31</v>
      </c>
      <c r="L3873" t="s">
        <v>32</v>
      </c>
      <c r="M3873" t="s">
        <v>33</v>
      </c>
      <c r="P3873" s="1" t="s">
        <v>13439</v>
      </c>
      <c r="Q3873" s="1" t="s">
        <v>10495</v>
      </c>
      <c r="R3873" s="1" t="s">
        <v>10495</v>
      </c>
      <c r="S3873" s="1"/>
      <c r="T3873" s="1" t="s">
        <v>13438</v>
      </c>
      <c r="U3873" s="1"/>
      <c r="V3873" s="1">
        <v>102.658</v>
      </c>
      <c r="W3873" s="1">
        <v>102.658</v>
      </c>
      <c r="X3873" s="1" t="s">
        <v>35</v>
      </c>
      <c r="Y3873" s="1">
        <v>102658.0</v>
      </c>
      <c r="Z3873" s="1"/>
      <c r="AA3873" s="1">
        <v>102658.0</v>
      </c>
      <c r="AB3873" s="1"/>
      <c r="AC3873" s="1" t="s">
        <v>36</v>
      </c>
      <c r="AD3873" s="1" t="s">
        <v>13399</v>
      </c>
      <c r="AE3873" s="1" t="s">
        <v>32</v>
      </c>
      <c r="AF3873" s="1" t="s">
        <v>33</v>
      </c>
      <c r="AG3873" s="1" t="s">
        <v>60</v>
      </c>
    </row>
    <row r="3874" spans="1:33">
      <c r="A3874" t="s">
        <v>13440</v>
      </c>
      <c r="B3874" t="s">
        <v>13441</v>
      </c>
      <c r="C3874" t="s">
        <v>73</v>
      </c>
      <c r="E3874" t="s">
        <v>10495</v>
      </c>
      <c r="F3874" t="s">
        <v>10496</v>
      </c>
      <c r="G3874">
        <v>21.488</v>
      </c>
      <c r="H3874">
        <v>21.488</v>
      </c>
      <c r="I3874" t="s">
        <v>13331</v>
      </c>
      <c r="J3874" t="s">
        <v>41</v>
      </c>
      <c r="K3874" t="s">
        <v>31</v>
      </c>
      <c r="L3874" t="s">
        <v>32</v>
      </c>
      <c r="M3874" t="s">
        <v>33</v>
      </c>
      <c r="P3874" s="1" t="s">
        <v>13442</v>
      </c>
      <c r="Q3874" s="1" t="s">
        <v>10495</v>
      </c>
      <c r="R3874" s="1" t="s">
        <v>13321</v>
      </c>
      <c r="S3874" s="1"/>
      <c r="T3874" s="1" t="s">
        <v>75</v>
      </c>
      <c r="U3874" s="1" t="s">
        <v>76</v>
      </c>
      <c r="V3874" s="1">
        <v>21.488</v>
      </c>
      <c r="W3874" s="1">
        <v>21.488</v>
      </c>
      <c r="X3874" s="1" t="s">
        <v>35</v>
      </c>
      <c r="Y3874" s="1">
        <v>21488.0</v>
      </c>
      <c r="Z3874" s="1"/>
      <c r="AA3874" s="1">
        <v>21488.0</v>
      </c>
      <c r="AB3874" s="1"/>
      <c r="AC3874" s="1" t="s">
        <v>36</v>
      </c>
      <c r="AD3874" s="1" t="s">
        <v>13443</v>
      </c>
      <c r="AE3874" s="1" t="s">
        <v>32</v>
      </c>
      <c r="AF3874" s="1" t="s">
        <v>33</v>
      </c>
      <c r="AG3874" s="1" t="s">
        <v>41</v>
      </c>
    </row>
    <row r="3875" spans="1:33">
      <c r="A3875" t="s">
        <v>13444</v>
      </c>
      <c r="B3875" t="s">
        <v>13445</v>
      </c>
      <c r="C3875" t="s">
        <v>73</v>
      </c>
      <c r="E3875" t="s">
        <v>10495</v>
      </c>
      <c r="F3875" t="s">
        <v>10496</v>
      </c>
      <c r="G3875">
        <v>186.97</v>
      </c>
      <c r="H3875">
        <v>186.97</v>
      </c>
      <c r="I3875" t="s">
        <v>13331</v>
      </c>
      <c r="J3875" t="s">
        <v>41</v>
      </c>
      <c r="K3875" t="s">
        <v>31</v>
      </c>
      <c r="L3875" t="s">
        <v>32</v>
      </c>
      <c r="M3875" t="s">
        <v>33</v>
      </c>
      <c r="P3875" s="1" t="s">
        <v>13446</v>
      </c>
      <c r="Q3875" s="1" t="s">
        <v>10495</v>
      </c>
      <c r="R3875" s="1" t="s">
        <v>13321</v>
      </c>
      <c r="S3875" s="1"/>
      <c r="T3875" s="1" t="s">
        <v>75</v>
      </c>
      <c r="U3875" s="1" t="s">
        <v>76</v>
      </c>
      <c r="V3875" s="1">
        <v>186.97</v>
      </c>
      <c r="W3875" s="1">
        <v>186.97</v>
      </c>
      <c r="X3875" s="1" t="s">
        <v>35</v>
      </c>
      <c r="Y3875" s="1">
        <v>186970.0</v>
      </c>
      <c r="Z3875" s="1"/>
      <c r="AA3875" s="1">
        <v>186970.0</v>
      </c>
      <c r="AB3875" s="1"/>
      <c r="AC3875" s="1" t="s">
        <v>36</v>
      </c>
      <c r="AD3875" s="1" t="s">
        <v>13443</v>
      </c>
      <c r="AE3875" s="1" t="s">
        <v>32</v>
      </c>
      <c r="AF3875" s="1" t="s">
        <v>33</v>
      </c>
      <c r="AG3875" s="1" t="s">
        <v>41</v>
      </c>
    </row>
    <row r="3876" spans="1:33">
      <c r="A3876" t="s">
        <v>13447</v>
      </c>
      <c r="C3876" t="s">
        <v>4624</v>
      </c>
      <c r="E3876" t="s">
        <v>10495</v>
      </c>
      <c r="F3876" t="s">
        <v>10496</v>
      </c>
      <c r="G3876">
        <v>630.0</v>
      </c>
      <c r="H3876">
        <v>630.0</v>
      </c>
      <c r="I3876" t="s">
        <v>126</v>
      </c>
      <c r="J3876" t="s">
        <v>127</v>
      </c>
      <c r="K3876" t="s">
        <v>31</v>
      </c>
      <c r="L3876" t="s">
        <v>32</v>
      </c>
      <c r="M3876" t="s">
        <v>33</v>
      </c>
      <c r="P3876" s="1" t="s">
        <v>13448</v>
      </c>
      <c r="Q3876" s="1" t="s">
        <v>10495</v>
      </c>
      <c r="R3876" s="1" t="s">
        <v>10495</v>
      </c>
      <c r="S3876" s="1"/>
      <c r="T3876" s="1" t="s">
        <v>4624</v>
      </c>
      <c r="U3876" s="1"/>
      <c r="V3876" s="1">
        <v>630.0</v>
      </c>
      <c r="W3876" s="1">
        <v>630.0</v>
      </c>
      <c r="X3876" s="1" t="s">
        <v>35</v>
      </c>
      <c r="Y3876" s="1">
        <v>630000.0</v>
      </c>
      <c r="Z3876" s="1"/>
      <c r="AA3876" s="1">
        <v>630000.0</v>
      </c>
      <c r="AB3876" s="1"/>
      <c r="AC3876" s="1" t="s">
        <v>36</v>
      </c>
      <c r="AD3876" s="1" t="s">
        <v>13449</v>
      </c>
      <c r="AE3876" s="1" t="s">
        <v>32</v>
      </c>
      <c r="AF3876" s="1" t="s">
        <v>33</v>
      </c>
      <c r="AG3876" s="1" t="s">
        <v>127</v>
      </c>
    </row>
    <row r="3877" spans="1:33">
      <c r="A3877" t="s">
        <v>13450</v>
      </c>
      <c r="C3877" t="s">
        <v>5539</v>
      </c>
      <c r="E3877" t="s">
        <v>10495</v>
      </c>
      <c r="F3877" t="s">
        <v>10496</v>
      </c>
      <c r="G3877">
        <v>2.481</v>
      </c>
      <c r="H3877">
        <v>2.481</v>
      </c>
      <c r="I3877" t="s">
        <v>269</v>
      </c>
      <c r="J3877" t="s">
        <v>270</v>
      </c>
      <c r="K3877" t="s">
        <v>31</v>
      </c>
      <c r="L3877" t="s">
        <v>32</v>
      </c>
      <c r="M3877" t="s">
        <v>33</v>
      </c>
      <c r="P3877" s="1" t="s">
        <v>13451</v>
      </c>
      <c r="Q3877" s="1" t="s">
        <v>10495</v>
      </c>
      <c r="R3877" s="1" t="s">
        <v>10495</v>
      </c>
      <c r="S3877" s="1"/>
      <c r="T3877" s="1" t="s">
        <v>5539</v>
      </c>
      <c r="U3877" s="1"/>
      <c r="V3877" s="1">
        <v>2.481</v>
      </c>
      <c r="W3877" s="1">
        <v>2.481</v>
      </c>
      <c r="X3877" s="1" t="s">
        <v>35</v>
      </c>
      <c r="Y3877" s="1">
        <v>2481650.0</v>
      </c>
      <c r="Z3877" s="1"/>
      <c r="AA3877" s="1">
        <v>2481650.0</v>
      </c>
      <c r="AB3877" s="1"/>
      <c r="AC3877" s="1" t="s">
        <v>36</v>
      </c>
      <c r="AD3877" s="1" t="s">
        <v>13452</v>
      </c>
      <c r="AE3877" s="1" t="s">
        <v>32</v>
      </c>
      <c r="AF3877" s="1" t="s">
        <v>33</v>
      </c>
      <c r="AG3877" s="1" t="s">
        <v>270</v>
      </c>
    </row>
    <row r="3878" spans="1:33">
      <c r="A3878" t="s">
        <v>13453</v>
      </c>
      <c r="B3878" t="s">
        <v>255</v>
      </c>
      <c r="C3878" t="s">
        <v>125</v>
      </c>
      <c r="E3878" t="s">
        <v>10495</v>
      </c>
      <c r="F3878" t="s">
        <v>10496</v>
      </c>
      <c r="G3878">
        <v>14.495</v>
      </c>
      <c r="H3878">
        <v>14.495</v>
      </c>
      <c r="I3878" t="s">
        <v>126</v>
      </c>
      <c r="J3878" t="s">
        <v>127</v>
      </c>
      <c r="K3878" t="s">
        <v>31</v>
      </c>
      <c r="L3878" t="s">
        <v>32</v>
      </c>
      <c r="M3878" t="s">
        <v>33</v>
      </c>
      <c r="P3878" s="1" t="s">
        <v>13454</v>
      </c>
      <c r="Q3878" s="1" t="s">
        <v>10495</v>
      </c>
      <c r="R3878" s="1" t="s">
        <v>10495</v>
      </c>
      <c r="S3878" s="1"/>
      <c r="T3878" s="1" t="s">
        <v>125</v>
      </c>
      <c r="U3878" s="1"/>
      <c r="V3878" s="1">
        <v>14.495</v>
      </c>
      <c r="W3878" s="1">
        <v>14.495</v>
      </c>
      <c r="X3878" s="1" t="s">
        <v>35</v>
      </c>
      <c r="Y3878" s="1">
        <v>14495.0</v>
      </c>
      <c r="Z3878" s="1"/>
      <c r="AA3878" s="1">
        <v>14495.0</v>
      </c>
      <c r="AB3878" s="1"/>
      <c r="AC3878" s="1" t="s">
        <v>36</v>
      </c>
      <c r="AD3878" s="1" t="s">
        <v>13455</v>
      </c>
      <c r="AE3878" s="1" t="s">
        <v>32</v>
      </c>
      <c r="AF3878" s="1" t="s">
        <v>33</v>
      </c>
      <c r="AG3878" s="1" t="s">
        <v>127</v>
      </c>
    </row>
    <row r="3879" spans="1:33">
      <c r="A3879" t="s">
        <v>13456</v>
      </c>
      <c r="C3879" t="s">
        <v>1024</v>
      </c>
      <c r="E3879" t="s">
        <v>10495</v>
      </c>
      <c r="F3879" t="s">
        <v>10496</v>
      </c>
      <c r="G3879">
        <v>326.0</v>
      </c>
      <c r="H3879">
        <v>326.0</v>
      </c>
      <c r="I3879" t="s">
        <v>847</v>
      </c>
      <c r="J3879" t="s">
        <v>848</v>
      </c>
      <c r="K3879" t="s">
        <v>31</v>
      </c>
      <c r="L3879" t="s">
        <v>32</v>
      </c>
      <c r="M3879" t="s">
        <v>33</v>
      </c>
      <c r="P3879" s="1" t="s">
        <v>13457</v>
      </c>
      <c r="Q3879" s="1" t="s">
        <v>10495</v>
      </c>
      <c r="R3879" s="1" t="s">
        <v>10495</v>
      </c>
      <c r="S3879" s="1"/>
      <c r="T3879" s="1" t="s">
        <v>1024</v>
      </c>
      <c r="U3879" s="1"/>
      <c r="V3879" s="1">
        <v>326.0</v>
      </c>
      <c r="W3879" s="1">
        <v>326.0</v>
      </c>
      <c r="X3879" s="1" t="s">
        <v>35</v>
      </c>
      <c r="Y3879" s="1">
        <v>326000.0</v>
      </c>
      <c r="Z3879" s="1"/>
      <c r="AA3879" s="1">
        <v>326000.0</v>
      </c>
      <c r="AB3879" s="1"/>
      <c r="AC3879" s="1" t="s">
        <v>36</v>
      </c>
      <c r="AD3879" s="1" t="s">
        <v>13458</v>
      </c>
      <c r="AE3879" s="1" t="s">
        <v>32</v>
      </c>
      <c r="AF3879" s="1" t="s">
        <v>33</v>
      </c>
      <c r="AG3879" s="1" t="s">
        <v>848</v>
      </c>
    </row>
    <row r="3880" spans="1:33">
      <c r="A3880" t="s">
        <v>13459</v>
      </c>
      <c r="C3880" t="s">
        <v>12563</v>
      </c>
      <c r="E3880" t="s">
        <v>10495</v>
      </c>
      <c r="F3880" t="s">
        <v>10496</v>
      </c>
      <c r="G3880">
        <v>617.5</v>
      </c>
      <c r="H3880">
        <v>617.5</v>
      </c>
      <c r="I3880" t="s">
        <v>126</v>
      </c>
      <c r="J3880" t="s">
        <v>127</v>
      </c>
      <c r="K3880" t="s">
        <v>31</v>
      </c>
      <c r="L3880" t="s">
        <v>32</v>
      </c>
      <c r="M3880" t="s">
        <v>33</v>
      </c>
      <c r="P3880" s="1" t="s">
        <v>13460</v>
      </c>
      <c r="Q3880" s="1" t="s">
        <v>10495</v>
      </c>
      <c r="R3880" s="1" t="s">
        <v>10495</v>
      </c>
      <c r="S3880" s="1"/>
      <c r="T3880" s="1" t="s">
        <v>12563</v>
      </c>
      <c r="U3880" s="1"/>
      <c r="V3880" s="1">
        <v>617.5</v>
      </c>
      <c r="W3880" s="1">
        <v>617.5</v>
      </c>
      <c r="X3880" s="1" t="s">
        <v>35</v>
      </c>
      <c r="Y3880" s="1">
        <v>617500.0</v>
      </c>
      <c r="Z3880" s="1"/>
      <c r="AA3880" s="1">
        <v>617500.0</v>
      </c>
      <c r="AB3880" s="1"/>
      <c r="AC3880" s="1" t="s">
        <v>36</v>
      </c>
      <c r="AD3880" s="1" t="s">
        <v>13458</v>
      </c>
      <c r="AE3880" s="1" t="s">
        <v>32</v>
      </c>
      <c r="AF3880" s="1" t="s">
        <v>33</v>
      </c>
      <c r="AG3880" s="1" t="s">
        <v>127</v>
      </c>
    </row>
    <row r="3881" spans="1:33">
      <c r="A3881" t="s">
        <v>13461</v>
      </c>
      <c r="C3881" t="s">
        <v>1617</v>
      </c>
      <c r="E3881" t="s">
        <v>10495</v>
      </c>
      <c r="F3881" t="s">
        <v>10496</v>
      </c>
      <c r="G3881">
        <v>556.8</v>
      </c>
      <c r="H3881">
        <v>556.8</v>
      </c>
      <c r="I3881" t="s">
        <v>847</v>
      </c>
      <c r="J3881" t="s">
        <v>848</v>
      </c>
      <c r="K3881" t="s">
        <v>31</v>
      </c>
      <c r="L3881" t="s">
        <v>32</v>
      </c>
      <c r="M3881" t="s">
        <v>33</v>
      </c>
      <c r="P3881" s="1" t="s">
        <v>13462</v>
      </c>
      <c r="Q3881" s="1" t="s">
        <v>10495</v>
      </c>
      <c r="R3881" s="1" t="s">
        <v>10495</v>
      </c>
      <c r="S3881" s="1"/>
      <c r="T3881" s="1" t="s">
        <v>1617</v>
      </c>
      <c r="U3881" s="1"/>
      <c r="V3881" s="1">
        <v>556.8</v>
      </c>
      <c r="W3881" s="1">
        <v>556.8</v>
      </c>
      <c r="X3881" s="1" t="s">
        <v>35</v>
      </c>
      <c r="Y3881" s="1">
        <v>556800.0</v>
      </c>
      <c r="Z3881" s="1"/>
      <c r="AA3881" s="1">
        <v>556800.0</v>
      </c>
      <c r="AB3881" s="1"/>
      <c r="AC3881" s="1" t="s">
        <v>36</v>
      </c>
      <c r="AD3881" s="1" t="s">
        <v>13415</v>
      </c>
      <c r="AE3881" s="1" t="s">
        <v>32</v>
      </c>
      <c r="AF3881" s="1" t="s">
        <v>33</v>
      </c>
      <c r="AG3881" s="1" t="s">
        <v>848</v>
      </c>
    </row>
    <row r="3882" spans="1:33">
      <c r="A3882" t="s">
        <v>13463</v>
      </c>
      <c r="B3882" t="s">
        <v>13464</v>
      </c>
      <c r="C3882" t="s">
        <v>68</v>
      </c>
      <c r="E3882" t="s">
        <v>10495</v>
      </c>
      <c r="F3882" t="s">
        <v>10496</v>
      </c>
      <c r="G3882">
        <v>9.196</v>
      </c>
      <c r="H3882">
        <v>9.196</v>
      </c>
      <c r="I3882" t="s">
        <v>59</v>
      </c>
      <c r="J3882" t="s">
        <v>60</v>
      </c>
      <c r="K3882" t="s">
        <v>31</v>
      </c>
      <c r="L3882" t="s">
        <v>32</v>
      </c>
      <c r="M3882" t="s">
        <v>33</v>
      </c>
      <c r="P3882" s="1" t="s">
        <v>13465</v>
      </c>
      <c r="Q3882" s="1" t="s">
        <v>10495</v>
      </c>
      <c r="R3882" s="1" t="s">
        <v>10495</v>
      </c>
      <c r="S3882" s="1"/>
      <c r="T3882" s="1" t="s">
        <v>68</v>
      </c>
      <c r="U3882" s="1"/>
      <c r="V3882" s="1">
        <v>9.196</v>
      </c>
      <c r="W3882" s="1">
        <v>9.196</v>
      </c>
      <c r="X3882" s="1" t="s">
        <v>35</v>
      </c>
      <c r="Y3882" s="1">
        <v>9196.0</v>
      </c>
      <c r="Z3882" s="1"/>
      <c r="AA3882" s="1">
        <v>9196.0</v>
      </c>
      <c r="AB3882" s="1"/>
      <c r="AC3882" s="1" t="s">
        <v>36</v>
      </c>
      <c r="AD3882" s="1" t="s">
        <v>13466</v>
      </c>
      <c r="AE3882" s="1" t="s">
        <v>32</v>
      </c>
      <c r="AF3882" s="1" t="s">
        <v>33</v>
      </c>
      <c r="AG3882" s="1" t="s">
        <v>60</v>
      </c>
    </row>
    <row r="3883" spans="1:33">
      <c r="A3883" t="s">
        <v>13467</v>
      </c>
      <c r="B3883" t="s">
        <v>1800</v>
      </c>
      <c r="C3883" t="s">
        <v>906</v>
      </c>
      <c r="E3883" t="s">
        <v>10495</v>
      </c>
      <c r="F3883" t="s">
        <v>10496</v>
      </c>
      <c r="G3883">
        <v>7.44</v>
      </c>
      <c r="H3883">
        <v>7.44</v>
      </c>
      <c r="I3883" t="s">
        <v>847</v>
      </c>
      <c r="J3883" t="s">
        <v>848</v>
      </c>
      <c r="K3883" t="s">
        <v>31</v>
      </c>
      <c r="L3883" t="s">
        <v>32</v>
      </c>
      <c r="M3883" t="s">
        <v>33</v>
      </c>
      <c r="P3883" s="1" t="s">
        <v>13468</v>
      </c>
      <c r="Q3883" s="1" t="s">
        <v>10495</v>
      </c>
      <c r="R3883" s="1" t="s">
        <v>10495</v>
      </c>
      <c r="S3883" s="1"/>
      <c r="T3883" s="1" t="s">
        <v>906</v>
      </c>
      <c r="U3883" s="1"/>
      <c r="V3883" s="1">
        <v>7.44</v>
      </c>
      <c r="W3883" s="1">
        <v>7.44</v>
      </c>
      <c r="X3883" s="1" t="s">
        <v>35</v>
      </c>
      <c r="Y3883" s="1">
        <v>7440.0</v>
      </c>
      <c r="Z3883" s="1"/>
      <c r="AA3883" s="1">
        <v>7440.0</v>
      </c>
      <c r="AB3883" s="1"/>
      <c r="AC3883" s="1" t="s">
        <v>36</v>
      </c>
      <c r="AD3883" s="1" t="s">
        <v>13469</v>
      </c>
      <c r="AE3883" s="1" t="s">
        <v>32</v>
      </c>
      <c r="AF3883" s="1" t="s">
        <v>33</v>
      </c>
      <c r="AG3883" s="1" t="s">
        <v>848</v>
      </c>
    </row>
    <row r="3884" spans="1:33">
      <c r="A3884" t="s">
        <v>13470</v>
      </c>
      <c r="C3884" t="s">
        <v>13471</v>
      </c>
      <c r="E3884" t="s">
        <v>10495</v>
      </c>
      <c r="F3884" t="s">
        <v>10496</v>
      </c>
      <c r="G3884">
        <v>1.971</v>
      </c>
      <c r="H3884">
        <v>1.971</v>
      </c>
      <c r="I3884" t="s">
        <v>269</v>
      </c>
      <c r="J3884" t="s">
        <v>270</v>
      </c>
      <c r="K3884" t="s">
        <v>31</v>
      </c>
      <c r="L3884" t="s">
        <v>32</v>
      </c>
      <c r="M3884" t="s">
        <v>33</v>
      </c>
      <c r="P3884" s="1" t="s">
        <v>13472</v>
      </c>
      <c r="Q3884" s="1" t="s">
        <v>10495</v>
      </c>
      <c r="R3884" s="1" t="s">
        <v>10495</v>
      </c>
      <c r="S3884" s="1"/>
      <c r="T3884" s="1" t="s">
        <v>13471</v>
      </c>
      <c r="U3884" s="1"/>
      <c r="V3884" s="1">
        <v>1.971</v>
      </c>
      <c r="W3884" s="1">
        <v>1.971</v>
      </c>
      <c r="X3884" s="1" t="s">
        <v>35</v>
      </c>
      <c r="Y3884" s="1">
        <v>1971000.0</v>
      </c>
      <c r="Z3884" s="1"/>
      <c r="AA3884" s="1">
        <v>1971000.0</v>
      </c>
      <c r="AB3884" s="1"/>
      <c r="AC3884" s="1" t="s">
        <v>36</v>
      </c>
      <c r="AD3884" s="1" t="s">
        <v>13466</v>
      </c>
      <c r="AE3884" s="1" t="s">
        <v>32</v>
      </c>
      <c r="AF3884" s="1" t="s">
        <v>33</v>
      </c>
      <c r="AG3884" s="1" t="s">
        <v>270</v>
      </c>
    </row>
    <row r="3885" spans="1:33">
      <c r="A3885" t="s">
        <v>13473</v>
      </c>
      <c r="C3885" t="s">
        <v>5873</v>
      </c>
      <c r="D3885" t="s">
        <v>114</v>
      </c>
      <c r="E3885" t="s">
        <v>10495</v>
      </c>
      <c r="F3885" t="s">
        <v>10496</v>
      </c>
      <c r="G3885">
        <v>328.0</v>
      </c>
      <c r="H3885">
        <v>328.0</v>
      </c>
      <c r="I3885" t="s">
        <v>136</v>
      </c>
      <c r="J3885" t="s">
        <v>137</v>
      </c>
      <c r="K3885" t="s">
        <v>31</v>
      </c>
      <c r="L3885" t="s">
        <v>32</v>
      </c>
      <c r="M3885" t="s">
        <v>33</v>
      </c>
      <c r="P3885" s="1" t="s">
        <v>13474</v>
      </c>
      <c r="Q3885" s="1" t="s">
        <v>10495</v>
      </c>
      <c r="R3885" s="1" t="s">
        <v>10495</v>
      </c>
      <c r="S3885" s="1"/>
      <c r="T3885" s="1" t="s">
        <v>5873</v>
      </c>
      <c r="U3885" s="1"/>
      <c r="V3885" s="1">
        <v>328.0</v>
      </c>
      <c r="W3885" s="1">
        <v>328.0</v>
      </c>
      <c r="X3885" s="1" t="s">
        <v>35</v>
      </c>
      <c r="Y3885" s="1">
        <v>328000.0</v>
      </c>
      <c r="Z3885" s="1"/>
      <c r="AA3885" s="1">
        <v>328000.0</v>
      </c>
      <c r="AB3885" s="1"/>
      <c r="AC3885" s="1" t="s">
        <v>36</v>
      </c>
      <c r="AD3885" s="1" t="s">
        <v>13475</v>
      </c>
      <c r="AE3885" s="1" t="s">
        <v>32</v>
      </c>
      <c r="AF3885" s="1" t="s">
        <v>33</v>
      </c>
      <c r="AG3885" s="1" t="s">
        <v>137</v>
      </c>
    </row>
    <row r="3886" spans="1:33">
      <c r="A3886" t="s">
        <v>13476</v>
      </c>
      <c r="B3886" t="s">
        <v>950</v>
      </c>
      <c r="C3886" t="s">
        <v>951</v>
      </c>
      <c r="E3886" t="s">
        <v>10495</v>
      </c>
      <c r="F3886" t="s">
        <v>10496</v>
      </c>
      <c r="G3886">
        <v>8.48</v>
      </c>
      <c r="H3886">
        <v>8.48</v>
      </c>
      <c r="I3886" t="s">
        <v>59</v>
      </c>
      <c r="J3886" t="s">
        <v>60</v>
      </c>
      <c r="K3886" t="s">
        <v>31</v>
      </c>
      <c r="L3886" t="s">
        <v>32</v>
      </c>
      <c r="M3886" t="s">
        <v>33</v>
      </c>
      <c r="P3886" s="1" t="s">
        <v>13477</v>
      </c>
      <c r="Q3886" s="1" t="s">
        <v>10495</v>
      </c>
      <c r="R3886" s="1" t="s">
        <v>10495</v>
      </c>
      <c r="S3886" s="1"/>
      <c r="T3886" s="1" t="s">
        <v>951</v>
      </c>
      <c r="U3886" s="1"/>
      <c r="V3886" s="1">
        <v>8.48</v>
      </c>
      <c r="W3886" s="1">
        <v>8.48</v>
      </c>
      <c r="X3886" s="1" t="s">
        <v>35</v>
      </c>
      <c r="Y3886" s="1">
        <v>8480.0</v>
      </c>
      <c r="Z3886" s="1"/>
      <c r="AA3886" s="1">
        <v>8480.0</v>
      </c>
      <c r="AB3886" s="1"/>
      <c r="AC3886" s="1" t="s">
        <v>36</v>
      </c>
      <c r="AD3886" s="1" t="s">
        <v>13478</v>
      </c>
      <c r="AE3886" s="1" t="s">
        <v>32</v>
      </c>
      <c r="AF3886" s="1" t="s">
        <v>33</v>
      </c>
      <c r="AG3886" s="1" t="s">
        <v>60</v>
      </c>
    </row>
    <row r="3887" spans="1:33">
      <c r="A3887" t="s">
        <v>13479</v>
      </c>
      <c r="C3887" t="s">
        <v>13480</v>
      </c>
      <c r="D3887" t="s">
        <v>154</v>
      </c>
      <c r="E3887" t="s">
        <v>10495</v>
      </c>
      <c r="F3887" t="s">
        <v>10496</v>
      </c>
      <c r="G3887">
        <v>342.0</v>
      </c>
      <c r="H3887">
        <v>342.0</v>
      </c>
      <c r="I3887" t="s">
        <v>227</v>
      </c>
      <c r="J3887" t="s">
        <v>228</v>
      </c>
      <c r="K3887" t="s">
        <v>31</v>
      </c>
      <c r="L3887" t="s">
        <v>32</v>
      </c>
      <c r="M3887" t="s">
        <v>33</v>
      </c>
      <c r="P3887" s="1" t="s">
        <v>13481</v>
      </c>
      <c r="Q3887" s="1" t="s">
        <v>10495</v>
      </c>
      <c r="R3887" s="1" t="s">
        <v>10495</v>
      </c>
      <c r="S3887" s="1"/>
      <c r="T3887" s="1" t="s">
        <v>13482</v>
      </c>
      <c r="U3887" s="1" t="s">
        <v>13483</v>
      </c>
      <c r="V3887" s="1">
        <v>342.0</v>
      </c>
      <c r="W3887" s="1">
        <v>342.0</v>
      </c>
      <c r="X3887" s="1" t="s">
        <v>35</v>
      </c>
      <c r="Y3887" s="1">
        <v>342000.0</v>
      </c>
      <c r="Z3887" s="1"/>
      <c r="AA3887" s="1">
        <v>342000.0</v>
      </c>
      <c r="AB3887" s="1"/>
      <c r="AC3887" s="1" t="s">
        <v>36</v>
      </c>
      <c r="AD3887" s="1" t="s">
        <v>13484</v>
      </c>
      <c r="AE3887" s="1" t="s">
        <v>32</v>
      </c>
      <c r="AF3887" s="1" t="s">
        <v>33</v>
      </c>
      <c r="AG3887" s="1" t="s">
        <v>228</v>
      </c>
    </row>
    <row r="3888" spans="1:33">
      <c r="A3888" t="s">
        <v>13485</v>
      </c>
      <c r="C3888" t="s">
        <v>13486</v>
      </c>
      <c r="E3888" t="s">
        <v>10495</v>
      </c>
      <c r="F3888" t="s">
        <v>10496</v>
      </c>
      <c r="G3888">
        <v>630.0</v>
      </c>
      <c r="H3888">
        <v>630.0</v>
      </c>
      <c r="I3888" t="s">
        <v>173</v>
      </c>
      <c r="J3888" t="s">
        <v>174</v>
      </c>
      <c r="K3888" t="s">
        <v>31</v>
      </c>
      <c r="L3888" t="s">
        <v>32</v>
      </c>
      <c r="M3888" t="s">
        <v>33</v>
      </c>
      <c r="P3888" s="1" t="s">
        <v>13487</v>
      </c>
      <c r="Q3888" s="1" t="s">
        <v>10495</v>
      </c>
      <c r="R3888" s="1" t="s">
        <v>10495</v>
      </c>
      <c r="S3888" s="1"/>
      <c r="T3888" s="1" t="s">
        <v>13486</v>
      </c>
      <c r="U3888" s="1"/>
      <c r="V3888" s="1">
        <v>630.0</v>
      </c>
      <c r="W3888" s="1">
        <v>630.0</v>
      </c>
      <c r="X3888" s="1" t="s">
        <v>35</v>
      </c>
      <c r="Y3888" s="1">
        <v>630000.0</v>
      </c>
      <c r="Z3888" s="1"/>
      <c r="AA3888" s="1">
        <v>630000.0</v>
      </c>
      <c r="AB3888" s="1"/>
      <c r="AC3888" s="1" t="s">
        <v>36</v>
      </c>
      <c r="AD3888" s="1" t="s">
        <v>13475</v>
      </c>
      <c r="AE3888" s="1" t="s">
        <v>32</v>
      </c>
      <c r="AF3888" s="1" t="s">
        <v>33</v>
      </c>
      <c r="AG3888" s="1" t="s">
        <v>174</v>
      </c>
    </row>
    <row r="3889" spans="1:33">
      <c r="A3889" t="s">
        <v>13488</v>
      </c>
      <c r="C3889" t="s">
        <v>187</v>
      </c>
      <c r="E3889" t="s">
        <v>10495</v>
      </c>
      <c r="F3889" t="s">
        <v>10496</v>
      </c>
      <c r="G3889">
        <v>44.842</v>
      </c>
      <c r="H3889">
        <v>44.842</v>
      </c>
      <c r="I3889" t="s">
        <v>179</v>
      </c>
      <c r="J3889" t="s">
        <v>180</v>
      </c>
      <c r="K3889" t="s">
        <v>31</v>
      </c>
      <c r="L3889" t="s">
        <v>32</v>
      </c>
      <c r="M3889" t="s">
        <v>33</v>
      </c>
      <c r="P3889" s="1" t="s">
        <v>13489</v>
      </c>
      <c r="Q3889" s="1" t="s">
        <v>10495</v>
      </c>
      <c r="R3889" s="1" t="s">
        <v>10495</v>
      </c>
      <c r="S3889" s="1"/>
      <c r="T3889" s="1" t="s">
        <v>187</v>
      </c>
      <c r="U3889" s="1"/>
      <c r="V3889" s="1">
        <v>44.842</v>
      </c>
      <c r="W3889" s="1">
        <v>44.842</v>
      </c>
      <c r="X3889" s="1" t="s">
        <v>35</v>
      </c>
      <c r="Y3889" s="1">
        <v>44842.0</v>
      </c>
      <c r="Z3889" s="1"/>
      <c r="AA3889" s="1">
        <v>44842.0</v>
      </c>
      <c r="AB3889" s="1"/>
      <c r="AC3889" s="1" t="s">
        <v>36</v>
      </c>
      <c r="AD3889" s="1" t="s">
        <v>13478</v>
      </c>
      <c r="AE3889" s="1" t="s">
        <v>32</v>
      </c>
      <c r="AF3889" s="1" t="s">
        <v>33</v>
      </c>
      <c r="AG3889" s="1" t="s">
        <v>180</v>
      </c>
    </row>
    <row r="3890" spans="1:33">
      <c r="A3890" t="s">
        <v>13490</v>
      </c>
      <c r="C3890" t="s">
        <v>3399</v>
      </c>
      <c r="E3890" t="s">
        <v>10495</v>
      </c>
      <c r="F3890" t="s">
        <v>10496</v>
      </c>
      <c r="G3890">
        <v>640.0</v>
      </c>
      <c r="H3890">
        <v>640.0</v>
      </c>
      <c r="I3890" t="s">
        <v>13331</v>
      </c>
      <c r="J3890" t="s">
        <v>41</v>
      </c>
      <c r="K3890" t="s">
        <v>31</v>
      </c>
      <c r="L3890" t="s">
        <v>32</v>
      </c>
      <c r="M3890" t="s">
        <v>33</v>
      </c>
      <c r="P3890" s="1" t="s">
        <v>13491</v>
      </c>
      <c r="Q3890" s="1" t="s">
        <v>10495</v>
      </c>
      <c r="R3890" s="1" t="s">
        <v>13321</v>
      </c>
      <c r="S3890" s="1"/>
      <c r="T3890" s="1" t="s">
        <v>3399</v>
      </c>
      <c r="U3890" s="1"/>
      <c r="V3890" s="1">
        <v>640.0</v>
      </c>
      <c r="W3890" s="1">
        <v>640.0</v>
      </c>
      <c r="X3890" s="1" t="s">
        <v>35</v>
      </c>
      <c r="Y3890" s="1">
        <v>640000.0</v>
      </c>
      <c r="Z3890" s="1"/>
      <c r="AA3890" s="1">
        <v>640000.0</v>
      </c>
      <c r="AB3890" s="1"/>
      <c r="AC3890" s="1" t="s">
        <v>36</v>
      </c>
      <c r="AD3890" s="1" t="s">
        <v>13492</v>
      </c>
      <c r="AE3890" s="1" t="s">
        <v>32</v>
      </c>
      <c r="AF3890" s="1" t="s">
        <v>33</v>
      </c>
      <c r="AG3890" s="1" t="s">
        <v>41</v>
      </c>
    </row>
    <row r="3891" spans="1:33">
      <c r="A3891" t="s">
        <v>13493</v>
      </c>
      <c r="B3891" t="s">
        <v>1560</v>
      </c>
      <c r="C3891" t="s">
        <v>1561</v>
      </c>
      <c r="D3891" t="s">
        <v>154</v>
      </c>
      <c r="E3891" t="s">
        <v>10495</v>
      </c>
      <c r="F3891" t="s">
        <v>10496</v>
      </c>
      <c r="G3891">
        <v>435.8</v>
      </c>
      <c r="H3891">
        <v>435.8</v>
      </c>
      <c r="I3891" t="s">
        <v>529</v>
      </c>
      <c r="J3891" t="s">
        <v>530</v>
      </c>
      <c r="K3891" t="s">
        <v>31</v>
      </c>
      <c r="L3891" t="s">
        <v>32</v>
      </c>
      <c r="M3891" t="s">
        <v>33</v>
      </c>
      <c r="P3891" s="1" t="s">
        <v>13494</v>
      </c>
      <c r="Q3891" s="1" t="s">
        <v>10495</v>
      </c>
      <c r="R3891" s="1" t="s">
        <v>13321</v>
      </c>
      <c r="S3891" s="1"/>
      <c r="T3891" s="1" t="s">
        <v>1564</v>
      </c>
      <c r="U3891" s="1" t="s">
        <v>1565</v>
      </c>
      <c r="V3891" s="1">
        <v>435.8</v>
      </c>
      <c r="W3891" s="1">
        <v>435.8</v>
      </c>
      <c r="X3891" s="1" t="s">
        <v>35</v>
      </c>
      <c r="Y3891" s="1">
        <v>435800.0</v>
      </c>
      <c r="Z3891" s="1"/>
      <c r="AA3891" s="1">
        <v>435800.0</v>
      </c>
      <c r="AB3891" s="1"/>
      <c r="AC3891" s="1" t="s">
        <v>36</v>
      </c>
      <c r="AD3891" s="1" t="s">
        <v>13495</v>
      </c>
      <c r="AE3891" s="1" t="s">
        <v>32</v>
      </c>
      <c r="AF3891" s="1" t="s">
        <v>33</v>
      </c>
      <c r="AG3891" s="1" t="s">
        <v>530</v>
      </c>
    </row>
    <row r="3892" spans="1:33">
      <c r="A3892" t="s">
        <v>13496</v>
      </c>
      <c r="C3892" t="s">
        <v>264</v>
      </c>
      <c r="E3892" t="s">
        <v>10495</v>
      </c>
      <c r="F3892" t="s">
        <v>10496</v>
      </c>
      <c r="G3892">
        <v>655.0</v>
      </c>
      <c r="H3892">
        <v>655.0</v>
      </c>
      <c r="I3892" t="s">
        <v>13331</v>
      </c>
      <c r="J3892" t="s">
        <v>41</v>
      </c>
      <c r="K3892" t="s">
        <v>31</v>
      </c>
      <c r="L3892" t="s">
        <v>32</v>
      </c>
      <c r="M3892" t="s">
        <v>33</v>
      </c>
      <c r="P3892" s="1" t="s">
        <v>13497</v>
      </c>
      <c r="Q3892" s="1" t="s">
        <v>10495</v>
      </c>
      <c r="R3892" s="1" t="s">
        <v>13321</v>
      </c>
      <c r="S3892" s="1"/>
      <c r="T3892" s="1" t="s">
        <v>264</v>
      </c>
      <c r="U3892" s="1"/>
      <c r="V3892" s="1">
        <v>655.0</v>
      </c>
      <c r="W3892" s="1">
        <v>655.0</v>
      </c>
      <c r="X3892" s="1" t="s">
        <v>35</v>
      </c>
      <c r="Y3892" s="1">
        <v>655000.0</v>
      </c>
      <c r="Z3892" s="1"/>
      <c r="AA3892" s="1">
        <v>655000.0</v>
      </c>
      <c r="AB3892" s="1"/>
      <c r="AC3892" s="1" t="s">
        <v>36</v>
      </c>
      <c r="AD3892" s="1" t="s">
        <v>13495</v>
      </c>
      <c r="AE3892" s="1" t="s">
        <v>32</v>
      </c>
      <c r="AF3892" s="1" t="s">
        <v>33</v>
      </c>
      <c r="AG3892" s="1" t="s">
        <v>41</v>
      </c>
    </row>
    <row r="3893" spans="1:33">
      <c r="A3893" t="s">
        <v>13498</v>
      </c>
      <c r="B3893" t="s">
        <v>13499</v>
      </c>
      <c r="C3893" t="s">
        <v>73</v>
      </c>
      <c r="E3893" t="s">
        <v>10495</v>
      </c>
      <c r="F3893" t="s">
        <v>10496</v>
      </c>
      <c r="G3893">
        <v>6.498</v>
      </c>
      <c r="H3893">
        <v>6.498</v>
      </c>
      <c r="I3893" t="s">
        <v>13331</v>
      </c>
      <c r="J3893" t="s">
        <v>41</v>
      </c>
      <c r="K3893" t="s">
        <v>31</v>
      </c>
      <c r="L3893" t="s">
        <v>32</v>
      </c>
      <c r="M3893" t="s">
        <v>33</v>
      </c>
      <c r="P3893" s="1" t="s">
        <v>13500</v>
      </c>
      <c r="Q3893" s="1" t="s">
        <v>10495</v>
      </c>
      <c r="R3893" s="1" t="s">
        <v>13321</v>
      </c>
      <c r="S3893" s="1"/>
      <c r="T3893" s="1" t="s">
        <v>75</v>
      </c>
      <c r="U3893" s="1" t="s">
        <v>76</v>
      </c>
      <c r="V3893" s="1">
        <v>6.498</v>
      </c>
      <c r="W3893" s="1">
        <v>6.498</v>
      </c>
      <c r="X3893" s="1" t="s">
        <v>35</v>
      </c>
      <c r="Y3893" s="1">
        <v>6498.0</v>
      </c>
      <c r="Z3893" s="1"/>
      <c r="AA3893" s="1">
        <v>6498.0</v>
      </c>
      <c r="AB3893" s="1"/>
      <c r="AC3893" s="1" t="s">
        <v>36</v>
      </c>
      <c r="AD3893" s="1" t="s">
        <v>13501</v>
      </c>
      <c r="AE3893" s="1" t="s">
        <v>32</v>
      </c>
      <c r="AF3893" s="1" t="s">
        <v>33</v>
      </c>
      <c r="AG3893" s="1" t="s">
        <v>41</v>
      </c>
    </row>
    <row r="3894" spans="1:33">
      <c r="A3894" t="s">
        <v>13502</v>
      </c>
      <c r="B3894" t="s">
        <v>1232</v>
      </c>
      <c r="C3894" t="s">
        <v>1233</v>
      </c>
      <c r="E3894" t="s">
        <v>10495</v>
      </c>
      <c r="F3894" t="s">
        <v>10496</v>
      </c>
      <c r="G3894">
        <v>328.0</v>
      </c>
      <c r="H3894">
        <v>328.0</v>
      </c>
      <c r="I3894" t="s">
        <v>529</v>
      </c>
      <c r="J3894" t="s">
        <v>530</v>
      </c>
      <c r="K3894" t="s">
        <v>31</v>
      </c>
      <c r="L3894" t="s">
        <v>32</v>
      </c>
      <c r="M3894" t="s">
        <v>33</v>
      </c>
      <c r="P3894" s="1" t="s">
        <v>13503</v>
      </c>
      <c r="Q3894" s="1" t="s">
        <v>10495</v>
      </c>
      <c r="R3894" s="1" t="s">
        <v>13321</v>
      </c>
      <c r="S3894" s="1"/>
      <c r="T3894" s="1" t="s">
        <v>1233</v>
      </c>
      <c r="U3894" s="1"/>
      <c r="V3894" s="1">
        <v>328.0</v>
      </c>
      <c r="W3894" s="1">
        <v>328.0</v>
      </c>
      <c r="X3894" s="1" t="s">
        <v>35</v>
      </c>
      <c r="Y3894" s="1">
        <v>328000.0</v>
      </c>
      <c r="Z3894" s="1"/>
      <c r="AA3894" s="1">
        <v>328000.0</v>
      </c>
      <c r="AB3894" s="1"/>
      <c r="AC3894" s="1" t="s">
        <v>36</v>
      </c>
      <c r="AD3894" s="1" t="s">
        <v>13504</v>
      </c>
      <c r="AE3894" s="1" t="s">
        <v>32</v>
      </c>
      <c r="AF3894" s="1" t="s">
        <v>33</v>
      </c>
      <c r="AG3894" s="1" t="s">
        <v>530</v>
      </c>
    </row>
    <row r="3895" spans="1:33">
      <c r="A3895" t="s">
        <v>13505</v>
      </c>
      <c r="C3895" t="s">
        <v>13506</v>
      </c>
      <c r="D3895" t="s">
        <v>114</v>
      </c>
      <c r="E3895" t="s">
        <v>10495</v>
      </c>
      <c r="F3895" t="s">
        <v>10496</v>
      </c>
      <c r="G3895">
        <v>563.12</v>
      </c>
      <c r="H3895">
        <v>563.12</v>
      </c>
      <c r="I3895" t="s">
        <v>126</v>
      </c>
      <c r="J3895" t="s">
        <v>127</v>
      </c>
      <c r="K3895" t="s">
        <v>31</v>
      </c>
      <c r="L3895" t="s">
        <v>32</v>
      </c>
      <c r="M3895" t="s">
        <v>33</v>
      </c>
      <c r="P3895" s="1" t="s">
        <v>13507</v>
      </c>
      <c r="Q3895" s="1" t="s">
        <v>10495</v>
      </c>
      <c r="R3895" s="1" t="s">
        <v>10495</v>
      </c>
      <c r="S3895" s="1"/>
      <c r="T3895" s="1" t="s">
        <v>13508</v>
      </c>
      <c r="U3895" s="1" t="s">
        <v>13509</v>
      </c>
      <c r="V3895" s="1">
        <v>563.12</v>
      </c>
      <c r="W3895" s="1">
        <v>563.12</v>
      </c>
      <c r="X3895" s="1" t="s">
        <v>35</v>
      </c>
      <c r="Y3895" s="1">
        <v>563120.0</v>
      </c>
      <c r="Z3895" s="1"/>
      <c r="AA3895" s="1">
        <v>563120.0</v>
      </c>
      <c r="AB3895" s="1"/>
      <c r="AC3895" s="1" t="s">
        <v>36</v>
      </c>
      <c r="AD3895" s="1" t="s">
        <v>13510</v>
      </c>
      <c r="AE3895" s="1" t="s">
        <v>32</v>
      </c>
      <c r="AF3895" s="1" t="s">
        <v>33</v>
      </c>
      <c r="AG3895" s="1" t="s">
        <v>127</v>
      </c>
    </row>
    <row r="3896" spans="1:33">
      <c r="A3896" t="s">
        <v>13511</v>
      </c>
      <c r="B3896" t="s">
        <v>3211</v>
      </c>
      <c r="C3896" t="s">
        <v>314</v>
      </c>
      <c r="E3896" t="s">
        <v>10495</v>
      </c>
      <c r="F3896" t="s">
        <v>10496</v>
      </c>
      <c r="G3896">
        <v>33.74</v>
      </c>
      <c r="H3896">
        <v>33.74</v>
      </c>
      <c r="I3896" t="s">
        <v>179</v>
      </c>
      <c r="J3896" t="s">
        <v>180</v>
      </c>
      <c r="K3896" t="s">
        <v>31</v>
      </c>
      <c r="L3896" t="s">
        <v>32</v>
      </c>
      <c r="M3896" t="s">
        <v>33</v>
      </c>
      <c r="P3896" s="1" t="s">
        <v>13512</v>
      </c>
      <c r="Q3896" s="1" t="s">
        <v>10495</v>
      </c>
      <c r="R3896" s="1" t="s">
        <v>10495</v>
      </c>
      <c r="S3896" s="1"/>
      <c r="T3896" s="1" t="s">
        <v>314</v>
      </c>
      <c r="U3896" s="1"/>
      <c r="V3896" s="1">
        <v>33.74</v>
      </c>
      <c r="W3896" s="1">
        <v>33.74</v>
      </c>
      <c r="X3896" s="1" t="s">
        <v>35</v>
      </c>
      <c r="Y3896" s="1">
        <v>33740.0</v>
      </c>
      <c r="Z3896" s="1"/>
      <c r="AA3896" s="1">
        <v>33740.0</v>
      </c>
      <c r="AB3896" s="1"/>
      <c r="AC3896" s="1" t="s">
        <v>36</v>
      </c>
      <c r="AD3896" s="1" t="s">
        <v>13513</v>
      </c>
      <c r="AE3896" s="1" t="s">
        <v>32</v>
      </c>
      <c r="AF3896" s="1" t="s">
        <v>33</v>
      </c>
      <c r="AG3896" s="1" t="s">
        <v>180</v>
      </c>
    </row>
    <row r="3897" spans="1:33">
      <c r="A3897" t="s">
        <v>13514</v>
      </c>
      <c r="B3897" t="s">
        <v>13515</v>
      </c>
      <c r="C3897" t="s">
        <v>68</v>
      </c>
      <c r="E3897" t="s">
        <v>10495</v>
      </c>
      <c r="F3897" t="s">
        <v>10496</v>
      </c>
      <c r="G3897">
        <v>29.99</v>
      </c>
      <c r="H3897">
        <v>29.99</v>
      </c>
      <c r="I3897" t="s">
        <v>59</v>
      </c>
      <c r="J3897" t="s">
        <v>60</v>
      </c>
      <c r="K3897" t="s">
        <v>31</v>
      </c>
      <c r="L3897" t="s">
        <v>32</v>
      </c>
      <c r="M3897" t="s">
        <v>33</v>
      </c>
      <c r="P3897" s="1" t="s">
        <v>13516</v>
      </c>
      <c r="Q3897" s="1" t="s">
        <v>10495</v>
      </c>
      <c r="R3897" s="1" t="s">
        <v>10495</v>
      </c>
      <c r="S3897" s="1"/>
      <c r="T3897" s="1" t="s">
        <v>68</v>
      </c>
      <c r="U3897" s="1"/>
      <c r="V3897" s="1">
        <v>29.99</v>
      </c>
      <c r="W3897" s="1">
        <v>29.99</v>
      </c>
      <c r="X3897" s="1" t="s">
        <v>35</v>
      </c>
      <c r="Y3897" s="1">
        <v>29990.0</v>
      </c>
      <c r="Z3897" s="1"/>
      <c r="AA3897" s="1">
        <v>29990.0</v>
      </c>
      <c r="AB3897" s="1"/>
      <c r="AC3897" s="1" t="s">
        <v>36</v>
      </c>
      <c r="AD3897" s="1" t="s">
        <v>13517</v>
      </c>
      <c r="AE3897" s="1" t="s">
        <v>32</v>
      </c>
      <c r="AF3897" s="1" t="s">
        <v>33</v>
      </c>
      <c r="AG3897" s="1" t="s">
        <v>60</v>
      </c>
    </row>
    <row r="3898" spans="1:33">
      <c r="A3898" t="s">
        <v>13518</v>
      </c>
      <c r="C3898" t="s">
        <v>3250</v>
      </c>
      <c r="E3898" t="s">
        <v>10495</v>
      </c>
      <c r="F3898" t="s">
        <v>10496</v>
      </c>
      <c r="G3898">
        <v>3.321</v>
      </c>
      <c r="H3898">
        <v>3.321</v>
      </c>
      <c r="I3898" t="s">
        <v>269</v>
      </c>
      <c r="J3898" t="s">
        <v>270</v>
      </c>
      <c r="K3898" t="s">
        <v>31</v>
      </c>
      <c r="L3898" t="s">
        <v>32</v>
      </c>
      <c r="M3898" t="s">
        <v>33</v>
      </c>
      <c r="P3898" s="1" t="s">
        <v>13519</v>
      </c>
      <c r="Q3898" s="1" t="s">
        <v>10495</v>
      </c>
      <c r="R3898" s="1" t="s">
        <v>10495</v>
      </c>
      <c r="S3898" s="1"/>
      <c r="T3898" s="1" t="s">
        <v>3252</v>
      </c>
      <c r="U3898" s="1" t="s">
        <v>3253</v>
      </c>
      <c r="V3898" s="1">
        <v>3.321</v>
      </c>
      <c r="W3898" s="1">
        <v>3.321</v>
      </c>
      <c r="X3898" s="1" t="s">
        <v>35</v>
      </c>
      <c r="Y3898" s="1">
        <v>3321250.0</v>
      </c>
      <c r="Z3898" s="1"/>
      <c r="AA3898" s="1">
        <v>3321250.0</v>
      </c>
      <c r="AB3898" s="1"/>
      <c r="AC3898" s="1" t="s">
        <v>36</v>
      </c>
      <c r="AD3898" s="1" t="s">
        <v>13501</v>
      </c>
      <c r="AE3898" s="1" t="s">
        <v>32</v>
      </c>
      <c r="AF3898" s="1" t="s">
        <v>33</v>
      </c>
      <c r="AG3898" s="1" t="s">
        <v>270</v>
      </c>
    </row>
    <row r="3899" spans="1:33">
      <c r="A3899" t="s">
        <v>13520</v>
      </c>
      <c r="C3899" t="s">
        <v>11124</v>
      </c>
      <c r="E3899" t="s">
        <v>10495</v>
      </c>
      <c r="F3899" t="s">
        <v>10496</v>
      </c>
      <c r="G3899">
        <v>180.0</v>
      </c>
      <c r="H3899">
        <v>180.0</v>
      </c>
      <c r="I3899" t="s">
        <v>179</v>
      </c>
      <c r="J3899" t="s">
        <v>180</v>
      </c>
      <c r="K3899" t="s">
        <v>31</v>
      </c>
      <c r="L3899" t="s">
        <v>32</v>
      </c>
      <c r="M3899" t="s">
        <v>33</v>
      </c>
      <c r="P3899" s="1" t="s">
        <v>13521</v>
      </c>
      <c r="Q3899" s="1" t="s">
        <v>10495</v>
      </c>
      <c r="R3899" s="1" t="s">
        <v>10495</v>
      </c>
      <c r="S3899" s="1"/>
      <c r="T3899" s="1" t="s">
        <v>11124</v>
      </c>
      <c r="U3899" s="1"/>
      <c r="V3899" s="1">
        <v>180.0</v>
      </c>
      <c r="W3899" s="1">
        <v>180.0</v>
      </c>
      <c r="X3899" s="1" t="s">
        <v>35</v>
      </c>
      <c r="Y3899" s="1">
        <v>180000.0</v>
      </c>
      <c r="Z3899" s="1"/>
      <c r="AA3899" s="1">
        <v>180000.0</v>
      </c>
      <c r="AB3899" s="1"/>
      <c r="AC3899" s="1" t="s">
        <v>36</v>
      </c>
      <c r="AD3899" s="1" t="s">
        <v>13522</v>
      </c>
      <c r="AE3899" s="1" t="s">
        <v>32</v>
      </c>
      <c r="AF3899" s="1" t="s">
        <v>33</v>
      </c>
      <c r="AG3899" s="1" t="s">
        <v>180</v>
      </c>
    </row>
    <row r="3900" spans="1:33">
      <c r="A3900" t="s">
        <v>13523</v>
      </c>
      <c r="C3900" t="s">
        <v>1933</v>
      </c>
      <c r="E3900" t="s">
        <v>10495</v>
      </c>
      <c r="F3900" t="s">
        <v>10496</v>
      </c>
      <c r="G3900">
        <v>640.0</v>
      </c>
      <c r="H3900">
        <v>640.0</v>
      </c>
      <c r="I3900" t="s">
        <v>13331</v>
      </c>
      <c r="J3900" t="s">
        <v>41</v>
      </c>
      <c r="K3900" t="s">
        <v>31</v>
      </c>
      <c r="L3900" t="s">
        <v>32</v>
      </c>
      <c r="M3900" t="s">
        <v>33</v>
      </c>
      <c r="P3900" s="1" t="s">
        <v>13524</v>
      </c>
      <c r="Q3900" s="1" t="s">
        <v>10495</v>
      </c>
      <c r="R3900" s="1" t="s">
        <v>13321</v>
      </c>
      <c r="S3900" s="1"/>
      <c r="T3900" s="1" t="s">
        <v>1933</v>
      </c>
      <c r="U3900" s="1"/>
      <c r="V3900" s="1">
        <v>640.0</v>
      </c>
      <c r="W3900" s="1">
        <v>640.0</v>
      </c>
      <c r="X3900" s="1" t="s">
        <v>35</v>
      </c>
      <c r="Y3900" s="1">
        <v>640000.0</v>
      </c>
      <c r="Z3900" s="1"/>
      <c r="AA3900" s="1">
        <v>640000.0</v>
      </c>
      <c r="AB3900" s="1"/>
      <c r="AC3900" s="1" t="s">
        <v>36</v>
      </c>
      <c r="AD3900" s="1" t="s">
        <v>13517</v>
      </c>
      <c r="AE3900" s="1" t="s">
        <v>32</v>
      </c>
      <c r="AF3900" s="1" t="s">
        <v>33</v>
      </c>
      <c r="AG3900" s="1" t="s">
        <v>41</v>
      </c>
    </row>
    <row r="3901" spans="1:33">
      <c r="A3901" t="s">
        <v>13525</v>
      </c>
      <c r="B3901" t="s">
        <v>2648</v>
      </c>
      <c r="C3901" t="s">
        <v>569</v>
      </c>
      <c r="E3901" t="s">
        <v>10495</v>
      </c>
      <c r="F3901" t="s">
        <v>10496</v>
      </c>
      <c r="G3901">
        <v>6.098</v>
      </c>
      <c r="H3901">
        <v>6.098</v>
      </c>
      <c r="I3901" t="s">
        <v>570</v>
      </c>
      <c r="J3901" t="s">
        <v>571</v>
      </c>
      <c r="K3901" t="s">
        <v>31</v>
      </c>
      <c r="L3901" t="s">
        <v>32</v>
      </c>
      <c r="M3901" t="s">
        <v>33</v>
      </c>
      <c r="P3901" s="1" t="s">
        <v>13526</v>
      </c>
      <c r="Q3901" s="1" t="s">
        <v>10495</v>
      </c>
      <c r="R3901" s="1" t="s">
        <v>10495</v>
      </c>
      <c r="S3901" s="1"/>
      <c r="T3901" s="1" t="s">
        <v>569</v>
      </c>
      <c r="U3901" s="1"/>
      <c r="V3901" s="1">
        <v>6.098</v>
      </c>
      <c r="W3901" s="1">
        <v>6.098</v>
      </c>
      <c r="X3901" s="1" t="s">
        <v>35</v>
      </c>
      <c r="Y3901" s="1">
        <v>6098.0</v>
      </c>
      <c r="Z3901" s="1"/>
      <c r="AA3901" s="1">
        <v>6098.0</v>
      </c>
      <c r="AB3901" s="1"/>
      <c r="AC3901" s="1" t="s">
        <v>36</v>
      </c>
      <c r="AD3901" s="1" t="s">
        <v>13527</v>
      </c>
      <c r="AE3901" s="1" t="s">
        <v>32</v>
      </c>
      <c r="AF3901" s="1" t="s">
        <v>33</v>
      </c>
      <c r="AG3901" s="1" t="s">
        <v>571</v>
      </c>
    </row>
    <row r="3902" spans="1:33">
      <c r="A3902" t="s">
        <v>13528</v>
      </c>
      <c r="B3902" t="s">
        <v>12678</v>
      </c>
      <c r="C3902" t="s">
        <v>125</v>
      </c>
      <c r="E3902" t="s">
        <v>10495</v>
      </c>
      <c r="F3902" t="s">
        <v>10496</v>
      </c>
      <c r="G3902">
        <v>7.44</v>
      </c>
      <c r="H3902">
        <v>7.44</v>
      </c>
      <c r="I3902" t="s">
        <v>126</v>
      </c>
      <c r="J3902" t="s">
        <v>127</v>
      </c>
      <c r="K3902" t="s">
        <v>31</v>
      </c>
      <c r="L3902" t="s">
        <v>32</v>
      </c>
      <c r="M3902" t="s">
        <v>33</v>
      </c>
      <c r="P3902" s="1" t="s">
        <v>13529</v>
      </c>
      <c r="Q3902" s="1" t="s">
        <v>10495</v>
      </c>
      <c r="R3902" s="1" t="s">
        <v>10495</v>
      </c>
      <c r="S3902" s="1"/>
      <c r="T3902" s="1" t="s">
        <v>125</v>
      </c>
      <c r="U3902" s="1"/>
      <c r="V3902" s="1">
        <v>7.44</v>
      </c>
      <c r="W3902" s="1">
        <v>7.44</v>
      </c>
      <c r="X3902" s="1" t="s">
        <v>35</v>
      </c>
      <c r="Y3902" s="1">
        <v>7440.0</v>
      </c>
      <c r="Z3902" s="1"/>
      <c r="AA3902" s="1">
        <v>7440.0</v>
      </c>
      <c r="AB3902" s="1"/>
      <c r="AC3902" s="1" t="s">
        <v>36</v>
      </c>
      <c r="AD3902" s="1" t="s">
        <v>13530</v>
      </c>
      <c r="AE3902" s="1" t="s">
        <v>32</v>
      </c>
      <c r="AF3902" s="1" t="s">
        <v>33</v>
      </c>
      <c r="AG3902" s="1" t="s">
        <v>127</v>
      </c>
    </row>
    <row r="3903" spans="1:33">
      <c r="A3903" t="s">
        <v>13531</v>
      </c>
      <c r="B3903" t="s">
        <v>13441</v>
      </c>
      <c r="C3903" t="s">
        <v>73</v>
      </c>
      <c r="E3903" t="s">
        <v>10495</v>
      </c>
      <c r="F3903" t="s">
        <v>10496</v>
      </c>
      <c r="G3903">
        <v>72.98</v>
      </c>
      <c r="H3903">
        <v>72.98</v>
      </c>
      <c r="I3903" t="s">
        <v>13331</v>
      </c>
      <c r="J3903" t="s">
        <v>41</v>
      </c>
      <c r="K3903" t="s">
        <v>31</v>
      </c>
      <c r="L3903" t="s">
        <v>32</v>
      </c>
      <c r="M3903" t="s">
        <v>33</v>
      </c>
      <c r="P3903" s="1" t="s">
        <v>13532</v>
      </c>
      <c r="Q3903" s="1" t="s">
        <v>10495</v>
      </c>
      <c r="R3903" s="1" t="s">
        <v>13321</v>
      </c>
      <c r="S3903" s="1"/>
      <c r="T3903" s="1" t="s">
        <v>75</v>
      </c>
      <c r="U3903" s="1" t="s">
        <v>76</v>
      </c>
      <c r="V3903" s="1">
        <v>72.98</v>
      </c>
      <c r="W3903" s="1">
        <v>72.98</v>
      </c>
      <c r="X3903" s="1" t="s">
        <v>35</v>
      </c>
      <c r="Y3903" s="1">
        <v>72980.0</v>
      </c>
      <c r="Z3903" s="1"/>
      <c r="AA3903" s="1">
        <v>72980.0</v>
      </c>
      <c r="AB3903" s="1"/>
      <c r="AC3903" s="1" t="s">
        <v>36</v>
      </c>
      <c r="AD3903" s="1" t="s">
        <v>13533</v>
      </c>
      <c r="AE3903" s="1" t="s">
        <v>32</v>
      </c>
      <c r="AF3903" s="1" t="s">
        <v>33</v>
      </c>
      <c r="AG3903" s="1" t="s">
        <v>41</v>
      </c>
    </row>
    <row r="3904" spans="1:33">
      <c r="A3904" t="s">
        <v>13534</v>
      </c>
      <c r="C3904" t="s">
        <v>368</v>
      </c>
      <c r="E3904" t="s">
        <v>10495</v>
      </c>
      <c r="F3904" t="s">
        <v>10496</v>
      </c>
      <c r="G3904">
        <v>393.6</v>
      </c>
      <c r="H3904">
        <v>393.6</v>
      </c>
      <c r="I3904" t="s">
        <v>136</v>
      </c>
      <c r="J3904" t="s">
        <v>137</v>
      </c>
      <c r="K3904" t="s">
        <v>31</v>
      </c>
      <c r="L3904" t="s">
        <v>32</v>
      </c>
      <c r="M3904" t="s">
        <v>33</v>
      </c>
      <c r="P3904" s="1" t="s">
        <v>13535</v>
      </c>
      <c r="Q3904" s="1" t="s">
        <v>10495</v>
      </c>
      <c r="R3904" s="1" t="s">
        <v>10495</v>
      </c>
      <c r="S3904" s="1"/>
      <c r="T3904" s="1" t="s">
        <v>370</v>
      </c>
      <c r="U3904" s="1" t="s">
        <v>371</v>
      </c>
      <c r="V3904" s="1">
        <v>393.6</v>
      </c>
      <c r="W3904" s="1">
        <v>393.6</v>
      </c>
      <c r="X3904" s="1" t="s">
        <v>35</v>
      </c>
      <c r="Y3904" s="1">
        <v>393600.0</v>
      </c>
      <c r="Z3904" s="1"/>
      <c r="AA3904" s="1">
        <v>393600.0</v>
      </c>
      <c r="AB3904" s="1"/>
      <c r="AC3904" s="1" t="s">
        <v>36</v>
      </c>
      <c r="AD3904" s="1" t="s">
        <v>13536</v>
      </c>
      <c r="AE3904" s="1" t="s">
        <v>32</v>
      </c>
      <c r="AF3904" s="1" t="s">
        <v>33</v>
      </c>
      <c r="AG3904" s="1" t="s">
        <v>137</v>
      </c>
    </row>
    <row r="3905" spans="1:33">
      <c r="A3905" t="s">
        <v>13537</v>
      </c>
      <c r="C3905" t="s">
        <v>13538</v>
      </c>
      <c r="E3905" t="s">
        <v>10495</v>
      </c>
      <c r="F3905" t="s">
        <v>10496</v>
      </c>
      <c r="G3905">
        <v>564.5</v>
      </c>
      <c r="H3905">
        <v>564.5</v>
      </c>
      <c r="I3905" t="s">
        <v>570</v>
      </c>
      <c r="J3905" t="s">
        <v>571</v>
      </c>
      <c r="K3905" t="s">
        <v>31</v>
      </c>
      <c r="L3905" t="s">
        <v>32</v>
      </c>
      <c r="M3905" t="s">
        <v>33</v>
      </c>
      <c r="P3905" s="1" t="s">
        <v>13539</v>
      </c>
      <c r="Q3905" s="1" t="s">
        <v>10495</v>
      </c>
      <c r="R3905" s="1" t="s">
        <v>10495</v>
      </c>
      <c r="S3905" s="1"/>
      <c r="T3905" s="1" t="s">
        <v>13540</v>
      </c>
      <c r="U3905" s="1" t="s">
        <v>13541</v>
      </c>
      <c r="V3905" s="1">
        <v>564.5</v>
      </c>
      <c r="W3905" s="1">
        <v>564.5</v>
      </c>
      <c r="X3905" s="1" t="s">
        <v>35</v>
      </c>
      <c r="Y3905" s="1">
        <v>564500.0</v>
      </c>
      <c r="Z3905" s="1"/>
      <c r="AA3905" s="1">
        <v>564500.0</v>
      </c>
      <c r="AB3905" s="1"/>
      <c r="AC3905" s="1" t="s">
        <v>36</v>
      </c>
      <c r="AD3905" s="1" t="s">
        <v>13542</v>
      </c>
      <c r="AE3905" s="1" t="s">
        <v>32</v>
      </c>
      <c r="AF3905" s="1" t="s">
        <v>33</v>
      </c>
      <c r="AG3905" s="1" t="s">
        <v>571</v>
      </c>
    </row>
    <row r="3906" spans="1:33">
      <c r="A3906" t="s">
        <v>13543</v>
      </c>
      <c r="B3906" t="s">
        <v>9936</v>
      </c>
      <c r="C3906" t="s">
        <v>172</v>
      </c>
      <c r="E3906" t="s">
        <v>10495</v>
      </c>
      <c r="F3906" t="s">
        <v>10496</v>
      </c>
      <c r="G3906">
        <v>55.98</v>
      </c>
      <c r="H3906">
        <v>55.98</v>
      </c>
      <c r="I3906" t="s">
        <v>173</v>
      </c>
      <c r="J3906" t="s">
        <v>174</v>
      </c>
      <c r="K3906" t="s">
        <v>31</v>
      </c>
      <c r="L3906" t="s">
        <v>32</v>
      </c>
      <c r="M3906" t="s">
        <v>33</v>
      </c>
      <c r="P3906" s="1" t="s">
        <v>13544</v>
      </c>
      <c r="Q3906" s="1" t="s">
        <v>10495</v>
      </c>
      <c r="R3906" s="1" t="s">
        <v>10495</v>
      </c>
      <c r="S3906" s="1"/>
      <c r="T3906" s="1" t="s">
        <v>172</v>
      </c>
      <c r="U3906" s="1"/>
      <c r="V3906" s="1">
        <v>55.98</v>
      </c>
      <c r="W3906" s="1">
        <v>55.98</v>
      </c>
      <c r="X3906" s="1" t="s">
        <v>35</v>
      </c>
      <c r="Y3906" s="1">
        <v>55980.0</v>
      </c>
      <c r="Z3906" s="1"/>
      <c r="AA3906" s="1">
        <v>55980.0</v>
      </c>
      <c r="AB3906" s="1"/>
      <c r="AC3906" s="1" t="s">
        <v>36</v>
      </c>
      <c r="AD3906" s="1" t="s">
        <v>13545</v>
      </c>
      <c r="AE3906" s="1" t="s">
        <v>32</v>
      </c>
      <c r="AF3906" s="1" t="s">
        <v>33</v>
      </c>
      <c r="AG3906" s="1" t="s">
        <v>174</v>
      </c>
    </row>
    <row r="3907" spans="1:33">
      <c r="A3907" t="s">
        <v>13546</v>
      </c>
      <c r="B3907" t="s">
        <v>5764</v>
      </c>
      <c r="C3907" t="s">
        <v>314</v>
      </c>
      <c r="E3907" t="s">
        <v>10495</v>
      </c>
      <c r="F3907" t="s">
        <v>10496</v>
      </c>
      <c r="G3907">
        <v>52.33</v>
      </c>
      <c r="H3907">
        <v>52.33</v>
      </c>
      <c r="I3907" t="s">
        <v>179</v>
      </c>
      <c r="J3907" t="s">
        <v>180</v>
      </c>
      <c r="K3907" t="s">
        <v>31</v>
      </c>
      <c r="L3907" t="s">
        <v>32</v>
      </c>
      <c r="M3907" t="s">
        <v>33</v>
      </c>
      <c r="P3907" s="1" t="s">
        <v>13547</v>
      </c>
      <c r="Q3907" s="1" t="s">
        <v>10495</v>
      </c>
      <c r="R3907" s="1" t="s">
        <v>10495</v>
      </c>
      <c r="S3907" s="1"/>
      <c r="T3907" s="1" t="s">
        <v>314</v>
      </c>
      <c r="U3907" s="1"/>
      <c r="V3907" s="1">
        <v>52.33</v>
      </c>
      <c r="W3907" s="1">
        <v>52.33</v>
      </c>
      <c r="X3907" s="1" t="s">
        <v>35</v>
      </c>
      <c r="Y3907" s="1">
        <v>52330.0</v>
      </c>
      <c r="Z3907" s="1"/>
      <c r="AA3907" s="1">
        <v>52330.0</v>
      </c>
      <c r="AB3907" s="1"/>
      <c r="AC3907" s="1" t="s">
        <v>36</v>
      </c>
      <c r="AD3907" s="1" t="s">
        <v>13533</v>
      </c>
      <c r="AE3907" s="1" t="s">
        <v>32</v>
      </c>
      <c r="AF3907" s="1" t="s">
        <v>33</v>
      </c>
      <c r="AG3907" s="1" t="s">
        <v>180</v>
      </c>
    </row>
    <row r="3908" spans="1:33">
      <c r="A3908" t="s">
        <v>13548</v>
      </c>
      <c r="C3908" t="s">
        <v>586</v>
      </c>
      <c r="E3908" t="s">
        <v>10495</v>
      </c>
      <c r="F3908" t="s">
        <v>10496</v>
      </c>
      <c r="G3908">
        <v>410.0</v>
      </c>
      <c r="H3908">
        <v>410.0</v>
      </c>
      <c r="I3908" t="s">
        <v>269</v>
      </c>
      <c r="J3908" t="s">
        <v>270</v>
      </c>
      <c r="K3908" t="s">
        <v>31</v>
      </c>
      <c r="L3908" t="s">
        <v>32</v>
      </c>
      <c r="M3908" t="s">
        <v>33</v>
      </c>
      <c r="P3908" s="1" t="s">
        <v>13549</v>
      </c>
      <c r="Q3908" s="1" t="s">
        <v>10495</v>
      </c>
      <c r="R3908" s="1" t="s">
        <v>10495</v>
      </c>
      <c r="S3908" s="1"/>
      <c r="T3908" s="1" t="s">
        <v>586</v>
      </c>
      <c r="U3908" s="1"/>
      <c r="V3908" s="1">
        <v>410.0</v>
      </c>
      <c r="W3908" s="1">
        <v>410.0</v>
      </c>
      <c r="X3908" s="1" t="s">
        <v>35</v>
      </c>
      <c r="Y3908" s="1">
        <v>410000.0</v>
      </c>
      <c r="Z3908" s="1"/>
      <c r="AA3908" s="1">
        <v>410000.0</v>
      </c>
      <c r="AB3908" s="1"/>
      <c r="AC3908" s="1" t="s">
        <v>36</v>
      </c>
      <c r="AD3908" s="1" t="s">
        <v>13550</v>
      </c>
      <c r="AE3908" s="1" t="s">
        <v>32</v>
      </c>
      <c r="AF3908" s="1" t="s">
        <v>33</v>
      </c>
      <c r="AG3908" s="1" t="s">
        <v>270</v>
      </c>
    </row>
    <row r="3909" spans="1:33">
      <c r="A3909" t="s">
        <v>13551</v>
      </c>
      <c r="B3909" t="s">
        <v>7978</v>
      </c>
      <c r="C3909" t="s">
        <v>1298</v>
      </c>
      <c r="E3909" t="s">
        <v>10495</v>
      </c>
      <c r="F3909" t="s">
        <v>10496</v>
      </c>
      <c r="G3909">
        <v>3.489</v>
      </c>
      <c r="H3909">
        <v>3.489</v>
      </c>
      <c r="I3909" t="s">
        <v>529</v>
      </c>
      <c r="J3909" t="s">
        <v>530</v>
      </c>
      <c r="K3909" t="s">
        <v>31</v>
      </c>
      <c r="L3909" t="s">
        <v>32</v>
      </c>
      <c r="M3909" t="s">
        <v>33</v>
      </c>
      <c r="P3909" s="1" t="s">
        <v>13552</v>
      </c>
      <c r="Q3909" s="1" t="s">
        <v>10495</v>
      </c>
      <c r="R3909" s="1" t="s">
        <v>13321</v>
      </c>
      <c r="S3909" s="1"/>
      <c r="T3909" s="1" t="s">
        <v>1298</v>
      </c>
      <c r="U3909" s="1"/>
      <c r="V3909" s="1">
        <v>3.489</v>
      </c>
      <c r="W3909" s="1">
        <v>3.489</v>
      </c>
      <c r="X3909" s="1" t="s">
        <v>35</v>
      </c>
      <c r="Y3909" s="1">
        <v>3489.0</v>
      </c>
      <c r="Z3909" s="1"/>
      <c r="AA3909" s="1">
        <v>3489.0</v>
      </c>
      <c r="AB3909" s="1"/>
      <c r="AC3909" s="1" t="s">
        <v>36</v>
      </c>
      <c r="AD3909" s="1" t="s">
        <v>13553</v>
      </c>
      <c r="AE3909" s="1" t="s">
        <v>32</v>
      </c>
      <c r="AF3909" s="1" t="s">
        <v>33</v>
      </c>
      <c r="AG3909" s="1" t="s">
        <v>530</v>
      </c>
    </row>
    <row r="3910" spans="1:33">
      <c r="A3910" t="s">
        <v>13554</v>
      </c>
      <c r="B3910" t="s">
        <v>13555</v>
      </c>
      <c r="C3910" t="s">
        <v>13556</v>
      </c>
      <c r="E3910" t="s">
        <v>10495</v>
      </c>
      <c r="F3910" t="s">
        <v>10496</v>
      </c>
      <c r="G3910">
        <v>631.0</v>
      </c>
      <c r="H3910">
        <v>631.0</v>
      </c>
      <c r="I3910" t="s">
        <v>136</v>
      </c>
      <c r="J3910" t="s">
        <v>137</v>
      </c>
      <c r="K3910" t="s">
        <v>31</v>
      </c>
      <c r="L3910" t="s">
        <v>32</v>
      </c>
      <c r="M3910" t="s">
        <v>33</v>
      </c>
      <c r="P3910" s="1" t="s">
        <v>13557</v>
      </c>
      <c r="Q3910" s="1" t="s">
        <v>10495</v>
      </c>
      <c r="R3910" s="1" t="s">
        <v>10495</v>
      </c>
      <c r="S3910" s="1"/>
      <c r="T3910" s="1" t="s">
        <v>13556</v>
      </c>
      <c r="U3910" s="1"/>
      <c r="V3910" s="1">
        <v>631.0</v>
      </c>
      <c r="W3910" s="1">
        <v>631.0</v>
      </c>
      <c r="X3910" s="1" t="s">
        <v>35</v>
      </c>
      <c r="Y3910" s="1">
        <v>631000.0</v>
      </c>
      <c r="Z3910" s="1"/>
      <c r="AA3910" s="1">
        <v>631000.0</v>
      </c>
      <c r="AB3910" s="1"/>
      <c r="AC3910" s="1" t="s">
        <v>36</v>
      </c>
      <c r="AD3910" s="1" t="s">
        <v>13558</v>
      </c>
      <c r="AE3910" s="1" t="s">
        <v>32</v>
      </c>
      <c r="AF3910" s="1" t="s">
        <v>33</v>
      </c>
      <c r="AG3910" s="1" t="s">
        <v>137</v>
      </c>
    </row>
    <row r="3911" spans="1:33">
      <c r="A3911" t="s">
        <v>13559</v>
      </c>
      <c r="C3911" t="s">
        <v>3196</v>
      </c>
      <c r="E3911" t="s">
        <v>10495</v>
      </c>
      <c r="F3911" t="s">
        <v>10496</v>
      </c>
      <c r="G3911">
        <v>556.3</v>
      </c>
      <c r="H3911">
        <v>556.3</v>
      </c>
      <c r="I3911" t="s">
        <v>847</v>
      </c>
      <c r="J3911" t="s">
        <v>848</v>
      </c>
      <c r="K3911" t="s">
        <v>31</v>
      </c>
      <c r="L3911" t="s">
        <v>32</v>
      </c>
      <c r="M3911" t="s">
        <v>33</v>
      </c>
      <c r="P3911" s="1" t="s">
        <v>13560</v>
      </c>
      <c r="Q3911" s="1" t="s">
        <v>10495</v>
      </c>
      <c r="R3911" s="1" t="s">
        <v>10495</v>
      </c>
      <c r="S3911" s="1"/>
      <c r="T3911" s="1" t="s">
        <v>3196</v>
      </c>
      <c r="U3911" s="1"/>
      <c r="V3911" s="1">
        <v>556.3</v>
      </c>
      <c r="W3911" s="1">
        <v>556.3</v>
      </c>
      <c r="X3911" s="1" t="s">
        <v>35</v>
      </c>
      <c r="Y3911" s="1">
        <v>556300.0</v>
      </c>
      <c r="Z3911" s="1"/>
      <c r="AA3911" s="1">
        <v>556300.0</v>
      </c>
      <c r="AB3911" s="1"/>
      <c r="AC3911" s="1" t="s">
        <v>36</v>
      </c>
      <c r="AD3911" s="1" t="s">
        <v>13561</v>
      </c>
      <c r="AE3911" s="1" t="s">
        <v>32</v>
      </c>
      <c r="AF3911" s="1" t="s">
        <v>33</v>
      </c>
      <c r="AG3911" s="1" t="s">
        <v>848</v>
      </c>
    </row>
    <row r="3912" spans="1:33">
      <c r="A3912" t="s">
        <v>13562</v>
      </c>
      <c r="B3912" t="s">
        <v>13563</v>
      </c>
      <c r="C3912" t="s">
        <v>314</v>
      </c>
      <c r="E3912" t="s">
        <v>10495</v>
      </c>
      <c r="F3912" t="s">
        <v>10496</v>
      </c>
      <c r="G3912">
        <v>124.15</v>
      </c>
      <c r="H3912">
        <v>124.15</v>
      </c>
      <c r="I3912" t="s">
        <v>179</v>
      </c>
      <c r="J3912" t="s">
        <v>180</v>
      </c>
      <c r="K3912" t="s">
        <v>31</v>
      </c>
      <c r="L3912" t="s">
        <v>32</v>
      </c>
      <c r="M3912" t="s">
        <v>33</v>
      </c>
      <c r="P3912" s="1" t="s">
        <v>13564</v>
      </c>
      <c r="Q3912" s="1" t="s">
        <v>10495</v>
      </c>
      <c r="R3912" s="1" t="s">
        <v>10495</v>
      </c>
      <c r="S3912" s="1"/>
      <c r="T3912" s="1" t="s">
        <v>314</v>
      </c>
      <c r="U3912" s="1"/>
      <c r="V3912" s="1">
        <v>124.15</v>
      </c>
      <c r="W3912" s="1">
        <v>124.15</v>
      </c>
      <c r="X3912" s="1" t="s">
        <v>35</v>
      </c>
      <c r="Y3912" s="1">
        <v>124150.0</v>
      </c>
      <c r="Z3912" s="1"/>
      <c r="AA3912" s="1">
        <v>124150.0</v>
      </c>
      <c r="AB3912" s="1"/>
      <c r="AC3912" s="1" t="s">
        <v>36</v>
      </c>
      <c r="AD3912" s="1" t="s">
        <v>13553</v>
      </c>
      <c r="AE3912" s="1" t="s">
        <v>32</v>
      </c>
      <c r="AF3912" s="1" t="s">
        <v>33</v>
      </c>
      <c r="AG3912" s="1" t="s">
        <v>180</v>
      </c>
    </row>
    <row r="3913" spans="1:33">
      <c r="A3913" t="s">
        <v>13565</v>
      </c>
      <c r="B3913" t="s">
        <v>13566</v>
      </c>
      <c r="C3913" t="s">
        <v>47</v>
      </c>
      <c r="E3913" t="s">
        <v>10495</v>
      </c>
      <c r="F3913" t="s">
        <v>10496</v>
      </c>
      <c r="G3913">
        <v>2.0</v>
      </c>
      <c r="H3913">
        <v>2.0</v>
      </c>
      <c r="I3913" t="s">
        <v>2206</v>
      </c>
      <c r="J3913" t="s">
        <v>49</v>
      </c>
      <c r="K3913" t="s">
        <v>31</v>
      </c>
      <c r="L3913" t="s">
        <v>32</v>
      </c>
      <c r="M3913" t="s">
        <v>33</v>
      </c>
      <c r="P3913" s="1" t="s">
        <v>13567</v>
      </c>
      <c r="Q3913" s="1" t="s">
        <v>10495</v>
      </c>
      <c r="R3913" s="1" t="s">
        <v>10495</v>
      </c>
      <c r="S3913" s="1"/>
      <c r="T3913" s="1" t="s">
        <v>47</v>
      </c>
      <c r="U3913" s="1"/>
      <c r="V3913" s="1">
        <v>2.0</v>
      </c>
      <c r="W3913" s="1">
        <v>2.0</v>
      </c>
      <c r="X3913" s="1" t="s">
        <v>35</v>
      </c>
      <c r="Y3913" s="1">
        <v>2000.0</v>
      </c>
      <c r="Z3913" s="1"/>
      <c r="AA3913" s="1">
        <v>2000.0</v>
      </c>
      <c r="AB3913" s="1"/>
      <c r="AC3913" s="1" t="s">
        <v>36</v>
      </c>
      <c r="AD3913" s="1" t="s">
        <v>13536</v>
      </c>
      <c r="AE3913" s="1" t="s">
        <v>32</v>
      </c>
      <c r="AF3913" s="1" t="s">
        <v>33</v>
      </c>
      <c r="AG3913" s="1" t="s">
        <v>49</v>
      </c>
    </row>
    <row r="3914" spans="1:33">
      <c r="A3914" t="s">
        <v>13568</v>
      </c>
      <c r="B3914" t="s">
        <v>4558</v>
      </c>
      <c r="C3914" t="s">
        <v>125</v>
      </c>
      <c r="E3914" t="s">
        <v>10495</v>
      </c>
      <c r="F3914" t="s">
        <v>10496</v>
      </c>
      <c r="G3914">
        <v>3.0</v>
      </c>
      <c r="H3914">
        <v>3.0</v>
      </c>
      <c r="I3914" t="s">
        <v>126</v>
      </c>
      <c r="J3914" t="s">
        <v>127</v>
      </c>
      <c r="K3914" t="s">
        <v>31</v>
      </c>
      <c r="L3914" t="s">
        <v>32</v>
      </c>
      <c r="M3914" t="s">
        <v>33</v>
      </c>
      <c r="P3914" s="1" t="s">
        <v>13569</v>
      </c>
      <c r="Q3914" s="1" t="s">
        <v>10495</v>
      </c>
      <c r="R3914" s="1" t="s">
        <v>10495</v>
      </c>
      <c r="S3914" s="1"/>
      <c r="T3914" s="1" t="s">
        <v>125</v>
      </c>
      <c r="U3914" s="1"/>
      <c r="V3914" s="1">
        <v>3.0</v>
      </c>
      <c r="W3914" s="1">
        <v>3.0</v>
      </c>
      <c r="X3914" s="1" t="s">
        <v>35</v>
      </c>
      <c r="Y3914" s="1">
        <v>3000.0</v>
      </c>
      <c r="Z3914" s="1"/>
      <c r="AA3914" s="1">
        <v>3000.0</v>
      </c>
      <c r="AB3914" s="1"/>
      <c r="AC3914" s="1" t="s">
        <v>36</v>
      </c>
      <c r="AD3914" s="1" t="s">
        <v>13550</v>
      </c>
      <c r="AE3914" s="1" t="s">
        <v>32</v>
      </c>
      <c r="AF3914" s="1" t="s">
        <v>33</v>
      </c>
      <c r="AG3914" s="1" t="s">
        <v>127</v>
      </c>
    </row>
    <row r="3915" spans="1:33">
      <c r="A3915" t="s">
        <v>13570</v>
      </c>
      <c r="B3915" t="s">
        <v>13571</v>
      </c>
      <c r="C3915" t="s">
        <v>172</v>
      </c>
      <c r="E3915" t="s">
        <v>10495</v>
      </c>
      <c r="F3915" t="s">
        <v>10496</v>
      </c>
      <c r="G3915">
        <v>2.52</v>
      </c>
      <c r="H3915">
        <v>2.52</v>
      </c>
      <c r="I3915" t="s">
        <v>173</v>
      </c>
      <c r="J3915" t="s">
        <v>174</v>
      </c>
      <c r="K3915" t="s">
        <v>31</v>
      </c>
      <c r="L3915" t="s">
        <v>32</v>
      </c>
      <c r="M3915" t="s">
        <v>33</v>
      </c>
      <c r="P3915" s="1" t="s">
        <v>13572</v>
      </c>
      <c r="Q3915" s="1" t="s">
        <v>10495</v>
      </c>
      <c r="R3915" s="1" t="s">
        <v>10495</v>
      </c>
      <c r="S3915" s="1"/>
      <c r="T3915" s="1" t="s">
        <v>172</v>
      </c>
      <c r="U3915" s="1"/>
      <c r="V3915" s="1">
        <v>2.52</v>
      </c>
      <c r="W3915" s="1">
        <v>2.52</v>
      </c>
      <c r="X3915" s="1" t="s">
        <v>35</v>
      </c>
      <c r="Y3915" s="1">
        <v>2520.0</v>
      </c>
      <c r="Z3915" s="1"/>
      <c r="AA3915" s="1">
        <v>2520.0</v>
      </c>
      <c r="AB3915" s="1"/>
      <c r="AC3915" s="1" t="s">
        <v>36</v>
      </c>
      <c r="AD3915" s="1" t="s">
        <v>13573</v>
      </c>
      <c r="AE3915" s="1" t="s">
        <v>32</v>
      </c>
      <c r="AF3915" s="1" t="s">
        <v>33</v>
      </c>
      <c r="AG3915" s="1" t="s">
        <v>174</v>
      </c>
    </row>
    <row r="3916" spans="1:33">
      <c r="A3916" t="s">
        <v>13574</v>
      </c>
      <c r="C3916" t="s">
        <v>558</v>
      </c>
      <c r="D3916" t="s">
        <v>154</v>
      </c>
      <c r="E3916" t="s">
        <v>10495</v>
      </c>
      <c r="F3916" t="s">
        <v>10496</v>
      </c>
      <c r="G3916">
        <v>60.5</v>
      </c>
      <c r="H3916">
        <v>60.5</v>
      </c>
      <c r="I3916" t="s">
        <v>269</v>
      </c>
      <c r="J3916" t="s">
        <v>270</v>
      </c>
      <c r="K3916" t="s">
        <v>31</v>
      </c>
      <c r="L3916" t="s">
        <v>32</v>
      </c>
      <c r="M3916" t="s">
        <v>33</v>
      </c>
      <c r="P3916" s="1" t="s">
        <v>13575</v>
      </c>
      <c r="Q3916" s="1" t="s">
        <v>10495</v>
      </c>
      <c r="R3916" s="1" t="s">
        <v>10495</v>
      </c>
      <c r="S3916" s="1"/>
      <c r="T3916" s="1" t="s">
        <v>560</v>
      </c>
      <c r="U3916" s="1" t="s">
        <v>561</v>
      </c>
      <c r="V3916" s="1">
        <v>60.5</v>
      </c>
      <c r="W3916" s="1">
        <v>60.5</v>
      </c>
      <c r="X3916" s="1" t="s">
        <v>35</v>
      </c>
      <c r="Y3916" s="1">
        <v>60500.0</v>
      </c>
      <c r="Z3916" s="1"/>
      <c r="AA3916" s="1">
        <v>60500.0</v>
      </c>
      <c r="AB3916" s="1"/>
      <c r="AC3916" s="1" t="s">
        <v>36</v>
      </c>
      <c r="AD3916" s="1" t="s">
        <v>13553</v>
      </c>
      <c r="AE3916" s="1" t="s">
        <v>32</v>
      </c>
      <c r="AF3916" s="1" t="s">
        <v>33</v>
      </c>
      <c r="AG3916" s="1" t="s">
        <v>270</v>
      </c>
    </row>
    <row r="3917" spans="1:33">
      <c r="A3917" t="s">
        <v>13576</v>
      </c>
      <c r="C3917" t="s">
        <v>1692</v>
      </c>
      <c r="E3917" t="s">
        <v>10495</v>
      </c>
      <c r="F3917" t="s">
        <v>10496</v>
      </c>
      <c r="G3917">
        <v>730.0</v>
      </c>
      <c r="H3917">
        <v>730.0</v>
      </c>
      <c r="I3917" t="s">
        <v>179</v>
      </c>
      <c r="J3917" t="s">
        <v>180</v>
      </c>
      <c r="K3917" t="s">
        <v>31</v>
      </c>
      <c r="L3917" t="s">
        <v>32</v>
      </c>
      <c r="M3917" t="s">
        <v>33</v>
      </c>
      <c r="P3917" s="1" t="s">
        <v>13577</v>
      </c>
      <c r="Q3917" s="1" t="s">
        <v>10495</v>
      </c>
      <c r="R3917" s="1" t="s">
        <v>10495</v>
      </c>
      <c r="S3917" s="1"/>
      <c r="T3917" s="1" t="s">
        <v>1692</v>
      </c>
      <c r="U3917" s="1"/>
      <c r="V3917" s="1">
        <v>730.0</v>
      </c>
      <c r="W3917" s="1">
        <v>730.0</v>
      </c>
      <c r="X3917" s="1" t="s">
        <v>35</v>
      </c>
      <c r="Y3917" s="1">
        <v>730000.0</v>
      </c>
      <c r="Z3917" s="1"/>
      <c r="AA3917" s="1">
        <v>730000.0</v>
      </c>
      <c r="AB3917" s="1"/>
      <c r="AC3917" s="1" t="s">
        <v>36</v>
      </c>
      <c r="AD3917" s="1" t="s">
        <v>13495</v>
      </c>
      <c r="AE3917" s="1" t="s">
        <v>32</v>
      </c>
      <c r="AF3917" s="1" t="s">
        <v>33</v>
      </c>
      <c r="AG3917" s="1" t="s">
        <v>180</v>
      </c>
    </row>
    <row r="3918" spans="1:33">
      <c r="A3918" t="s">
        <v>13578</v>
      </c>
      <c r="B3918" t="s">
        <v>13579</v>
      </c>
      <c r="C3918" t="s">
        <v>68</v>
      </c>
      <c r="E3918" t="s">
        <v>10495</v>
      </c>
      <c r="F3918" t="s">
        <v>10496</v>
      </c>
      <c r="G3918">
        <v>4.598</v>
      </c>
      <c r="H3918">
        <v>4.598</v>
      </c>
      <c r="I3918" t="s">
        <v>59</v>
      </c>
      <c r="J3918" t="s">
        <v>60</v>
      </c>
      <c r="K3918" t="s">
        <v>31</v>
      </c>
      <c r="L3918" t="s">
        <v>32</v>
      </c>
      <c r="M3918" t="s">
        <v>33</v>
      </c>
      <c r="P3918" s="1" t="s">
        <v>13580</v>
      </c>
      <c r="Q3918" s="1" t="s">
        <v>10495</v>
      </c>
      <c r="R3918" s="1" t="s">
        <v>10495</v>
      </c>
      <c r="S3918" s="1"/>
      <c r="T3918" s="1" t="s">
        <v>68</v>
      </c>
      <c r="U3918" s="1"/>
      <c r="V3918" s="1">
        <v>4.598</v>
      </c>
      <c r="W3918" s="1">
        <v>4.598</v>
      </c>
      <c r="X3918" s="1" t="s">
        <v>35</v>
      </c>
      <c r="Y3918" s="1">
        <v>4598.0</v>
      </c>
      <c r="Z3918" s="1"/>
      <c r="AA3918" s="1">
        <v>4598.0</v>
      </c>
      <c r="AB3918" s="1"/>
      <c r="AC3918" s="1" t="s">
        <v>36</v>
      </c>
      <c r="AD3918" s="1" t="s">
        <v>13581</v>
      </c>
      <c r="AE3918" s="1" t="s">
        <v>32</v>
      </c>
      <c r="AF3918" s="1" t="s">
        <v>33</v>
      </c>
      <c r="AG3918" s="1" t="s">
        <v>60</v>
      </c>
    </row>
    <row r="3919" spans="1:33">
      <c r="A3919" t="s">
        <v>13582</v>
      </c>
      <c r="B3919" t="s">
        <v>13583</v>
      </c>
      <c r="C3919" t="s">
        <v>268</v>
      </c>
      <c r="E3919" t="s">
        <v>10495</v>
      </c>
      <c r="F3919" t="s">
        <v>10496</v>
      </c>
      <c r="G3919">
        <v>155.0</v>
      </c>
      <c r="H3919">
        <v>155.0</v>
      </c>
      <c r="I3919" t="s">
        <v>269</v>
      </c>
      <c r="J3919" t="s">
        <v>270</v>
      </c>
      <c r="K3919" t="s">
        <v>31</v>
      </c>
      <c r="L3919" t="s">
        <v>32</v>
      </c>
      <c r="M3919" t="s">
        <v>33</v>
      </c>
      <c r="P3919" s="1" t="s">
        <v>13584</v>
      </c>
      <c r="Q3919" s="1" t="s">
        <v>10495</v>
      </c>
      <c r="R3919" s="1" t="s">
        <v>10495</v>
      </c>
      <c r="S3919" s="1"/>
      <c r="T3919" s="1" t="s">
        <v>268</v>
      </c>
      <c r="U3919" s="1"/>
      <c r="V3919" s="1">
        <v>155.0</v>
      </c>
      <c r="W3919" s="1">
        <v>155.0</v>
      </c>
      <c r="X3919" s="1" t="s">
        <v>35</v>
      </c>
      <c r="Y3919" s="1">
        <v>155000.0</v>
      </c>
      <c r="Z3919" s="1"/>
      <c r="AA3919" s="1">
        <v>155000.0</v>
      </c>
      <c r="AB3919" s="1"/>
      <c r="AC3919" s="1" t="s">
        <v>36</v>
      </c>
      <c r="AD3919" s="1" t="s">
        <v>13527</v>
      </c>
      <c r="AE3919" s="1" t="s">
        <v>32</v>
      </c>
      <c r="AF3919" s="1" t="s">
        <v>33</v>
      </c>
      <c r="AG3919" s="1" t="s">
        <v>270</v>
      </c>
    </row>
    <row r="3920" spans="1:33">
      <c r="A3920" t="s">
        <v>13585</v>
      </c>
      <c r="C3920" t="s">
        <v>852</v>
      </c>
      <c r="E3920" t="s">
        <v>10495</v>
      </c>
      <c r="F3920" t="s">
        <v>10496</v>
      </c>
      <c r="G3920">
        <v>634.0</v>
      </c>
      <c r="H3920">
        <v>634.0</v>
      </c>
      <c r="I3920" t="s">
        <v>847</v>
      </c>
      <c r="J3920" t="s">
        <v>848</v>
      </c>
      <c r="K3920" t="s">
        <v>31</v>
      </c>
      <c r="L3920" t="s">
        <v>32</v>
      </c>
      <c r="M3920" t="s">
        <v>33</v>
      </c>
      <c r="P3920" s="1" t="s">
        <v>13586</v>
      </c>
      <c r="Q3920" s="1" t="s">
        <v>10495</v>
      </c>
      <c r="R3920" s="1" t="s">
        <v>10495</v>
      </c>
      <c r="S3920" s="1"/>
      <c r="T3920" s="1" t="s">
        <v>852</v>
      </c>
      <c r="U3920" s="1"/>
      <c r="V3920" s="1">
        <v>634.0</v>
      </c>
      <c r="W3920" s="1">
        <v>634.0</v>
      </c>
      <c r="X3920" s="1" t="s">
        <v>35</v>
      </c>
      <c r="Y3920" s="1">
        <v>634000.0</v>
      </c>
      <c r="Z3920" s="1"/>
      <c r="AA3920" s="1">
        <v>634000.0</v>
      </c>
      <c r="AB3920" s="1"/>
      <c r="AC3920" s="1" t="s">
        <v>36</v>
      </c>
      <c r="AD3920" s="1" t="s">
        <v>13504</v>
      </c>
      <c r="AE3920" s="1" t="s">
        <v>32</v>
      </c>
      <c r="AF3920" s="1" t="s">
        <v>33</v>
      </c>
      <c r="AG3920" s="1" t="s">
        <v>848</v>
      </c>
    </row>
    <row r="3921" spans="1:33">
      <c r="A3921" t="s">
        <v>13587</v>
      </c>
      <c r="B3921" t="s">
        <v>305</v>
      </c>
      <c r="C3921" t="s">
        <v>125</v>
      </c>
      <c r="E3921" t="s">
        <v>10495</v>
      </c>
      <c r="F3921" t="s">
        <v>10496</v>
      </c>
      <c r="G3921">
        <v>11.238</v>
      </c>
      <c r="H3921">
        <v>11.238</v>
      </c>
      <c r="I3921" t="s">
        <v>126</v>
      </c>
      <c r="J3921" t="s">
        <v>127</v>
      </c>
      <c r="K3921" t="s">
        <v>31</v>
      </c>
      <c r="L3921" t="s">
        <v>32</v>
      </c>
      <c r="M3921" t="s">
        <v>33</v>
      </c>
      <c r="P3921" s="1" t="s">
        <v>13588</v>
      </c>
      <c r="Q3921" s="1" t="s">
        <v>10495</v>
      </c>
      <c r="R3921" s="1" t="s">
        <v>10495</v>
      </c>
      <c r="S3921" s="1"/>
      <c r="T3921" s="1" t="s">
        <v>125</v>
      </c>
      <c r="U3921" s="1"/>
      <c r="V3921" s="1">
        <v>11.238</v>
      </c>
      <c r="W3921" s="1">
        <v>11.238</v>
      </c>
      <c r="X3921" s="1" t="s">
        <v>35</v>
      </c>
      <c r="Y3921" s="1">
        <v>11238.0</v>
      </c>
      <c r="Z3921" s="1"/>
      <c r="AA3921" s="1">
        <v>11238.0</v>
      </c>
      <c r="AB3921" s="1"/>
      <c r="AC3921" s="1" t="s">
        <v>36</v>
      </c>
      <c r="AD3921" s="1" t="s">
        <v>13573</v>
      </c>
      <c r="AE3921" s="1" t="s">
        <v>32</v>
      </c>
      <c r="AF3921" s="1" t="s">
        <v>33</v>
      </c>
      <c r="AG3921" s="1" t="s">
        <v>127</v>
      </c>
    </row>
    <row r="3922" spans="1:33">
      <c r="A3922" t="s">
        <v>13589</v>
      </c>
      <c r="C3922" t="s">
        <v>13590</v>
      </c>
      <c r="E3922" t="s">
        <v>10495</v>
      </c>
      <c r="F3922" t="s">
        <v>10496</v>
      </c>
      <c r="G3922">
        <v>738.1</v>
      </c>
      <c r="H3922">
        <v>738.1</v>
      </c>
      <c r="I3922" t="s">
        <v>847</v>
      </c>
      <c r="J3922" t="s">
        <v>848</v>
      </c>
      <c r="K3922" t="s">
        <v>31</v>
      </c>
      <c r="L3922" t="s">
        <v>32</v>
      </c>
      <c r="M3922" t="s">
        <v>33</v>
      </c>
      <c r="P3922" s="1" t="s">
        <v>13591</v>
      </c>
      <c r="Q3922" s="1" t="s">
        <v>10495</v>
      </c>
      <c r="R3922" s="1" t="s">
        <v>10495</v>
      </c>
      <c r="S3922" s="1"/>
      <c r="T3922" s="1" t="s">
        <v>13590</v>
      </c>
      <c r="U3922" s="1"/>
      <c r="V3922" s="1">
        <v>738.1</v>
      </c>
      <c r="W3922" s="1">
        <v>738.1</v>
      </c>
      <c r="X3922" s="1" t="s">
        <v>35</v>
      </c>
      <c r="Y3922" s="1">
        <v>738100.0</v>
      </c>
      <c r="Z3922" s="1"/>
      <c r="AA3922" s="1">
        <v>738100.0</v>
      </c>
      <c r="AB3922" s="1"/>
      <c r="AC3922" s="1" t="s">
        <v>36</v>
      </c>
      <c r="AD3922" s="1" t="s">
        <v>13527</v>
      </c>
      <c r="AE3922" s="1" t="s">
        <v>32</v>
      </c>
      <c r="AF3922" s="1" t="s">
        <v>33</v>
      </c>
      <c r="AG3922" s="1" t="s">
        <v>848</v>
      </c>
    </row>
    <row r="3923" spans="1:33">
      <c r="A3923" t="s">
        <v>13592</v>
      </c>
      <c r="C3923" t="s">
        <v>725</v>
      </c>
      <c r="E3923" t="s">
        <v>10495</v>
      </c>
      <c r="F3923" t="s">
        <v>10496</v>
      </c>
      <c r="G3923">
        <v>2.06</v>
      </c>
      <c r="H3923">
        <v>2.06</v>
      </c>
      <c r="I3923" t="s">
        <v>136</v>
      </c>
      <c r="J3923" t="s">
        <v>137</v>
      </c>
      <c r="K3923" t="s">
        <v>31</v>
      </c>
      <c r="L3923" t="s">
        <v>32</v>
      </c>
      <c r="M3923" t="s">
        <v>33</v>
      </c>
      <c r="P3923" s="1" t="s">
        <v>13593</v>
      </c>
      <c r="Q3923" s="1" t="s">
        <v>10495</v>
      </c>
      <c r="R3923" s="1" t="s">
        <v>10495</v>
      </c>
      <c r="S3923" s="1"/>
      <c r="T3923" s="1" t="s">
        <v>725</v>
      </c>
      <c r="U3923" s="1"/>
      <c r="V3923" s="1">
        <v>2.06</v>
      </c>
      <c r="W3923" s="1">
        <v>2.06</v>
      </c>
      <c r="X3923" s="1" t="s">
        <v>35</v>
      </c>
      <c r="Y3923" s="1">
        <v>2060000.0</v>
      </c>
      <c r="Z3923" s="1"/>
      <c r="AA3923" s="1">
        <v>2060000.0</v>
      </c>
      <c r="AB3923" s="1"/>
      <c r="AC3923" s="1" t="s">
        <v>36</v>
      </c>
      <c r="AD3923" s="1" t="s">
        <v>13594</v>
      </c>
      <c r="AE3923" s="1" t="s">
        <v>32</v>
      </c>
      <c r="AF3923" s="1" t="s">
        <v>33</v>
      </c>
      <c r="AG3923" s="1" t="s">
        <v>137</v>
      </c>
    </row>
    <row r="3924" spans="1:33">
      <c r="A3924" t="s">
        <v>13595</v>
      </c>
      <c r="C3924" t="s">
        <v>13596</v>
      </c>
      <c r="E3924" t="s">
        <v>10495</v>
      </c>
      <c r="F3924" t="s">
        <v>10496</v>
      </c>
      <c r="G3924">
        <v>1.296</v>
      </c>
      <c r="H3924">
        <v>1.296</v>
      </c>
      <c r="I3924" t="s">
        <v>2206</v>
      </c>
      <c r="J3924" t="s">
        <v>49</v>
      </c>
      <c r="K3924" t="s">
        <v>31</v>
      </c>
      <c r="L3924" t="s">
        <v>32</v>
      </c>
      <c r="M3924" t="s">
        <v>33</v>
      </c>
      <c r="P3924" s="1" t="s">
        <v>13597</v>
      </c>
      <c r="Q3924" s="1" t="s">
        <v>10495</v>
      </c>
      <c r="R3924" s="1" t="s">
        <v>10495</v>
      </c>
      <c r="S3924" s="1"/>
      <c r="T3924" s="1" t="s">
        <v>13596</v>
      </c>
      <c r="U3924" s="1"/>
      <c r="V3924" s="1">
        <v>1.296</v>
      </c>
      <c r="W3924" s="1">
        <v>1.296</v>
      </c>
      <c r="X3924" s="1" t="s">
        <v>35</v>
      </c>
      <c r="Y3924" s="1">
        <v>1296000.0</v>
      </c>
      <c r="Z3924" s="1"/>
      <c r="AA3924" s="1">
        <v>1296000.0</v>
      </c>
      <c r="AB3924" s="1"/>
      <c r="AC3924" s="1" t="s">
        <v>36</v>
      </c>
      <c r="AD3924" s="1" t="s">
        <v>13598</v>
      </c>
      <c r="AE3924" s="1" t="s">
        <v>32</v>
      </c>
      <c r="AF3924" s="1" t="s">
        <v>33</v>
      </c>
      <c r="AG3924" s="1" t="s">
        <v>49</v>
      </c>
    </row>
    <row r="3925" spans="1:33">
      <c r="A3925" t="s">
        <v>13599</v>
      </c>
      <c r="C3925" t="s">
        <v>1209</v>
      </c>
      <c r="D3925" t="s">
        <v>114</v>
      </c>
      <c r="E3925" t="s">
        <v>10495</v>
      </c>
      <c r="F3925" t="s">
        <v>10496</v>
      </c>
      <c r="G3925">
        <v>670.0</v>
      </c>
      <c r="H3925">
        <v>670.0</v>
      </c>
      <c r="I3925" t="s">
        <v>173</v>
      </c>
      <c r="J3925" t="s">
        <v>174</v>
      </c>
      <c r="K3925" t="s">
        <v>31</v>
      </c>
      <c r="L3925" t="s">
        <v>32</v>
      </c>
      <c r="M3925" t="s">
        <v>33</v>
      </c>
      <c r="P3925" s="1" t="s">
        <v>13600</v>
      </c>
      <c r="Q3925" s="1" t="s">
        <v>10495</v>
      </c>
      <c r="R3925" s="1" t="s">
        <v>10495</v>
      </c>
      <c r="S3925" s="1"/>
      <c r="T3925" s="1" t="s">
        <v>1211</v>
      </c>
      <c r="U3925" s="1" t="s">
        <v>1212</v>
      </c>
      <c r="V3925" s="1">
        <v>670.0</v>
      </c>
      <c r="W3925" s="1">
        <v>670.0</v>
      </c>
      <c r="X3925" s="1" t="s">
        <v>35</v>
      </c>
      <c r="Y3925" s="1">
        <v>670000.0</v>
      </c>
      <c r="Z3925" s="1"/>
      <c r="AA3925" s="1">
        <v>670000.0</v>
      </c>
      <c r="AB3925" s="1"/>
      <c r="AC3925" s="1" t="s">
        <v>36</v>
      </c>
      <c r="AD3925" s="1" t="s">
        <v>13601</v>
      </c>
      <c r="AE3925" s="1" t="s">
        <v>32</v>
      </c>
      <c r="AF3925" s="1" t="s">
        <v>33</v>
      </c>
      <c r="AG3925" s="1" t="s">
        <v>174</v>
      </c>
    </row>
    <row r="3926" spans="1:33">
      <c r="A3926" t="s">
        <v>13602</v>
      </c>
      <c r="B3926" t="s">
        <v>12919</v>
      </c>
      <c r="C3926" t="s">
        <v>12920</v>
      </c>
      <c r="E3926" t="s">
        <v>10495</v>
      </c>
      <c r="F3926" t="s">
        <v>10496</v>
      </c>
      <c r="G3926">
        <v>22.49</v>
      </c>
      <c r="H3926">
        <v>22.49</v>
      </c>
      <c r="I3926" t="s">
        <v>59</v>
      </c>
      <c r="J3926" t="s">
        <v>60</v>
      </c>
      <c r="K3926" t="s">
        <v>31</v>
      </c>
      <c r="L3926" t="s">
        <v>32</v>
      </c>
      <c r="M3926" t="s">
        <v>33</v>
      </c>
      <c r="P3926" s="1" t="s">
        <v>13603</v>
      </c>
      <c r="Q3926" s="1" t="s">
        <v>10495</v>
      </c>
      <c r="R3926" s="1" t="s">
        <v>10495</v>
      </c>
      <c r="S3926" s="1"/>
      <c r="T3926" s="1" t="s">
        <v>12920</v>
      </c>
      <c r="U3926" s="1"/>
      <c r="V3926" s="1">
        <v>22.49</v>
      </c>
      <c r="W3926" s="1">
        <v>22.49</v>
      </c>
      <c r="X3926" s="1" t="s">
        <v>35</v>
      </c>
      <c r="Y3926" s="1">
        <v>22490.0</v>
      </c>
      <c r="Z3926" s="1"/>
      <c r="AA3926" s="1">
        <v>22490.0</v>
      </c>
      <c r="AB3926" s="1"/>
      <c r="AC3926" s="1" t="s">
        <v>36</v>
      </c>
      <c r="AD3926" s="1" t="s">
        <v>13604</v>
      </c>
      <c r="AE3926" s="1" t="s">
        <v>32</v>
      </c>
      <c r="AF3926" s="1" t="s">
        <v>33</v>
      </c>
      <c r="AG3926" s="1" t="s">
        <v>60</v>
      </c>
    </row>
    <row r="3927" spans="1:33">
      <c r="A3927" t="s">
        <v>13605</v>
      </c>
      <c r="B3927" t="s">
        <v>914</v>
      </c>
      <c r="C3927" t="s">
        <v>314</v>
      </c>
      <c r="E3927" t="s">
        <v>10495</v>
      </c>
      <c r="F3927" t="s">
        <v>10496</v>
      </c>
      <c r="G3927">
        <v>60.98</v>
      </c>
      <c r="H3927">
        <v>60.98</v>
      </c>
      <c r="I3927" t="s">
        <v>179</v>
      </c>
      <c r="J3927" t="s">
        <v>180</v>
      </c>
      <c r="K3927" t="s">
        <v>31</v>
      </c>
      <c r="L3927" t="s">
        <v>32</v>
      </c>
      <c r="M3927" t="s">
        <v>33</v>
      </c>
      <c r="P3927" s="1" t="s">
        <v>13606</v>
      </c>
      <c r="Q3927" s="1" t="s">
        <v>10495</v>
      </c>
      <c r="R3927" s="1" t="s">
        <v>10495</v>
      </c>
      <c r="S3927" s="1"/>
      <c r="T3927" s="1" t="s">
        <v>314</v>
      </c>
      <c r="U3927" s="1"/>
      <c r="V3927" s="1">
        <v>60.98</v>
      </c>
      <c r="W3927" s="1">
        <v>60.98</v>
      </c>
      <c r="X3927" s="1" t="s">
        <v>35</v>
      </c>
      <c r="Y3927" s="1">
        <v>60980.0</v>
      </c>
      <c r="Z3927" s="1"/>
      <c r="AA3927" s="1">
        <v>60980.0</v>
      </c>
      <c r="AB3927" s="1"/>
      <c r="AC3927" s="1" t="s">
        <v>36</v>
      </c>
      <c r="AD3927" s="1" t="s">
        <v>13573</v>
      </c>
      <c r="AE3927" s="1" t="s">
        <v>32</v>
      </c>
      <c r="AF3927" s="1" t="s">
        <v>33</v>
      </c>
      <c r="AG3927" s="1" t="s">
        <v>180</v>
      </c>
    </row>
    <row r="3928" spans="1:33">
      <c r="A3928" t="s">
        <v>13607</v>
      </c>
      <c r="B3928" t="s">
        <v>13608</v>
      </c>
      <c r="C3928" t="s">
        <v>26</v>
      </c>
      <c r="E3928" t="s">
        <v>10495</v>
      </c>
      <c r="F3928" t="s">
        <v>10496</v>
      </c>
      <c r="G3928">
        <v>2.72</v>
      </c>
      <c r="H3928">
        <v>2.72</v>
      </c>
      <c r="I3928" t="s">
        <v>29</v>
      </c>
      <c r="J3928" t="s">
        <v>30</v>
      </c>
      <c r="K3928" t="s">
        <v>31</v>
      </c>
      <c r="L3928" t="s">
        <v>32</v>
      </c>
      <c r="M3928" t="s">
        <v>33</v>
      </c>
      <c r="P3928" s="1" t="s">
        <v>13609</v>
      </c>
      <c r="Q3928" s="1" t="s">
        <v>10495</v>
      </c>
      <c r="R3928" s="1" t="s">
        <v>10495</v>
      </c>
      <c r="S3928" s="1"/>
      <c r="T3928" s="1" t="s">
        <v>26</v>
      </c>
      <c r="U3928" s="1"/>
      <c r="V3928" s="1">
        <v>2.72</v>
      </c>
      <c r="W3928" s="1">
        <v>2.72</v>
      </c>
      <c r="X3928" s="1" t="s">
        <v>35</v>
      </c>
      <c r="Y3928" s="1">
        <v>2720.0</v>
      </c>
      <c r="Z3928" s="1"/>
      <c r="AA3928" s="1">
        <v>2720.0</v>
      </c>
      <c r="AB3928" s="1"/>
      <c r="AC3928" s="1" t="s">
        <v>36</v>
      </c>
      <c r="AD3928" s="1" t="s">
        <v>13610</v>
      </c>
      <c r="AE3928" s="1" t="s">
        <v>32</v>
      </c>
      <c r="AF3928" s="1" t="s">
        <v>33</v>
      </c>
      <c r="AG3928" s="1" t="s">
        <v>30</v>
      </c>
    </row>
    <row r="3929" spans="1:33">
      <c r="A3929" t="s">
        <v>13611</v>
      </c>
      <c r="B3929" t="s">
        <v>13612</v>
      </c>
      <c r="C3929" t="s">
        <v>68</v>
      </c>
      <c r="E3929" t="s">
        <v>10495</v>
      </c>
      <c r="F3929" t="s">
        <v>10496</v>
      </c>
      <c r="G3929">
        <v>22.49</v>
      </c>
      <c r="H3929">
        <v>22.49</v>
      </c>
      <c r="I3929" t="s">
        <v>59</v>
      </c>
      <c r="J3929" t="s">
        <v>60</v>
      </c>
      <c r="K3929" t="s">
        <v>31</v>
      </c>
      <c r="L3929" t="s">
        <v>32</v>
      </c>
      <c r="M3929" t="s">
        <v>33</v>
      </c>
      <c r="P3929" s="1" t="s">
        <v>13613</v>
      </c>
      <c r="Q3929" s="1" t="s">
        <v>10495</v>
      </c>
      <c r="R3929" s="1" t="s">
        <v>10495</v>
      </c>
      <c r="S3929" s="1"/>
      <c r="T3929" s="1" t="s">
        <v>68</v>
      </c>
      <c r="U3929" s="1"/>
      <c r="V3929" s="1">
        <v>22.49</v>
      </c>
      <c r="W3929" s="1">
        <v>22.49</v>
      </c>
      <c r="X3929" s="1" t="s">
        <v>35</v>
      </c>
      <c r="Y3929" s="1">
        <v>22490.0</v>
      </c>
      <c r="Z3929" s="1"/>
      <c r="AA3929" s="1">
        <v>22490.0</v>
      </c>
      <c r="AB3929" s="1"/>
      <c r="AC3929" s="1" t="s">
        <v>36</v>
      </c>
      <c r="AD3929" s="1" t="s">
        <v>13614</v>
      </c>
      <c r="AE3929" s="1" t="s">
        <v>32</v>
      </c>
      <c r="AF3929" s="1" t="s">
        <v>33</v>
      </c>
      <c r="AG3929" s="1" t="s">
        <v>60</v>
      </c>
    </row>
    <row r="3930" spans="1:33">
      <c r="A3930" t="s">
        <v>13615</v>
      </c>
      <c r="C3930" t="s">
        <v>8208</v>
      </c>
      <c r="E3930" t="s">
        <v>10495</v>
      </c>
      <c r="F3930" t="s">
        <v>10496</v>
      </c>
      <c r="G3930">
        <v>1.084</v>
      </c>
      <c r="H3930">
        <v>1.084</v>
      </c>
      <c r="I3930" t="s">
        <v>269</v>
      </c>
      <c r="J3930" t="s">
        <v>270</v>
      </c>
      <c r="K3930" t="s">
        <v>31</v>
      </c>
      <c r="L3930" t="s">
        <v>32</v>
      </c>
      <c r="M3930" t="s">
        <v>33</v>
      </c>
      <c r="P3930" s="1" t="s">
        <v>13616</v>
      </c>
      <c r="Q3930" s="1" t="s">
        <v>10495</v>
      </c>
      <c r="R3930" s="1" t="s">
        <v>10495</v>
      </c>
      <c r="S3930" s="1"/>
      <c r="T3930" s="1" t="s">
        <v>8208</v>
      </c>
      <c r="U3930" s="1"/>
      <c r="V3930" s="1">
        <v>1.084</v>
      </c>
      <c r="W3930" s="1">
        <v>1.084</v>
      </c>
      <c r="X3930" s="1" t="s">
        <v>35</v>
      </c>
      <c r="Y3930" s="1">
        <v>1084800.0</v>
      </c>
      <c r="Z3930" s="1"/>
      <c r="AA3930" s="1">
        <v>1084800.0</v>
      </c>
      <c r="AB3930" s="1"/>
      <c r="AC3930" s="1" t="s">
        <v>36</v>
      </c>
      <c r="AD3930" s="1" t="s">
        <v>13553</v>
      </c>
      <c r="AE3930" s="1" t="s">
        <v>32</v>
      </c>
      <c r="AF3930" s="1" t="s">
        <v>33</v>
      </c>
      <c r="AG3930" s="1" t="s">
        <v>270</v>
      </c>
    </row>
    <row r="3931" spans="1:33">
      <c r="A3931" t="s">
        <v>13617</v>
      </c>
      <c r="B3931" t="s">
        <v>1841</v>
      </c>
      <c r="C3931" t="s">
        <v>68</v>
      </c>
      <c r="E3931" t="s">
        <v>10495</v>
      </c>
      <c r="F3931" t="s">
        <v>10496</v>
      </c>
      <c r="G3931">
        <v>59.98</v>
      </c>
      <c r="H3931">
        <v>59.98</v>
      </c>
      <c r="I3931" t="s">
        <v>59</v>
      </c>
      <c r="J3931" t="s">
        <v>60</v>
      </c>
      <c r="K3931" t="s">
        <v>31</v>
      </c>
      <c r="L3931" t="s">
        <v>32</v>
      </c>
      <c r="M3931" t="s">
        <v>33</v>
      </c>
      <c r="P3931" s="1" t="s">
        <v>13618</v>
      </c>
      <c r="Q3931" s="1" t="s">
        <v>10495</v>
      </c>
      <c r="R3931" s="1" t="s">
        <v>10495</v>
      </c>
      <c r="S3931" s="1"/>
      <c r="T3931" s="1" t="s">
        <v>68</v>
      </c>
      <c r="U3931" s="1"/>
      <c r="V3931" s="1">
        <v>59.98</v>
      </c>
      <c r="W3931" s="1">
        <v>59.98</v>
      </c>
      <c r="X3931" s="1" t="s">
        <v>35</v>
      </c>
      <c r="Y3931" s="1">
        <v>59980.0</v>
      </c>
      <c r="Z3931" s="1"/>
      <c r="AA3931" s="1">
        <v>59980.0</v>
      </c>
      <c r="AB3931" s="1"/>
      <c r="AC3931" s="1" t="s">
        <v>36</v>
      </c>
      <c r="AD3931" s="1" t="s">
        <v>13619</v>
      </c>
      <c r="AE3931" s="1" t="s">
        <v>32</v>
      </c>
      <c r="AF3931" s="1" t="s">
        <v>33</v>
      </c>
      <c r="AG3931" s="1" t="s">
        <v>60</v>
      </c>
    </row>
    <row r="3932" spans="1:33">
      <c r="A3932" t="s">
        <v>13620</v>
      </c>
      <c r="B3932" t="s">
        <v>802</v>
      </c>
      <c r="C3932" t="s">
        <v>314</v>
      </c>
      <c r="E3932" t="s">
        <v>10495</v>
      </c>
      <c r="F3932" t="s">
        <v>10496</v>
      </c>
      <c r="G3932">
        <v>135.224</v>
      </c>
      <c r="H3932">
        <v>135.224</v>
      </c>
      <c r="I3932" t="s">
        <v>179</v>
      </c>
      <c r="J3932" t="s">
        <v>180</v>
      </c>
      <c r="K3932" t="s">
        <v>31</v>
      </c>
      <c r="L3932" t="s">
        <v>32</v>
      </c>
      <c r="M3932" t="s">
        <v>33</v>
      </c>
      <c r="P3932" s="1" t="s">
        <v>13621</v>
      </c>
      <c r="Q3932" s="1" t="s">
        <v>10495</v>
      </c>
      <c r="R3932" s="1" t="s">
        <v>10495</v>
      </c>
      <c r="S3932" s="1"/>
      <c r="T3932" s="1" t="s">
        <v>314</v>
      </c>
      <c r="U3932" s="1"/>
      <c r="V3932" s="1">
        <v>135.224</v>
      </c>
      <c r="W3932" s="1">
        <v>135.224</v>
      </c>
      <c r="X3932" s="1" t="s">
        <v>35</v>
      </c>
      <c r="Y3932" s="1">
        <v>135224.0</v>
      </c>
      <c r="Z3932" s="1"/>
      <c r="AA3932" s="1">
        <v>135224.0</v>
      </c>
      <c r="AB3932" s="1"/>
      <c r="AC3932" s="1" t="s">
        <v>36</v>
      </c>
      <c r="AD3932" s="1" t="s">
        <v>13622</v>
      </c>
      <c r="AE3932" s="1" t="s">
        <v>32</v>
      </c>
      <c r="AF3932" s="1" t="s">
        <v>33</v>
      </c>
      <c r="AG3932" s="1" t="s">
        <v>180</v>
      </c>
    </row>
    <row r="3933" spans="1:33">
      <c r="A3933" t="s">
        <v>13623</v>
      </c>
      <c r="C3933" t="s">
        <v>106</v>
      </c>
      <c r="E3933" t="s">
        <v>10495</v>
      </c>
      <c r="F3933" t="s">
        <v>10496</v>
      </c>
      <c r="G3933">
        <v>640.0</v>
      </c>
      <c r="H3933">
        <v>640.0</v>
      </c>
      <c r="I3933" t="s">
        <v>94</v>
      </c>
      <c r="J3933" t="s">
        <v>95</v>
      </c>
      <c r="K3933" t="s">
        <v>31</v>
      </c>
      <c r="L3933" t="s">
        <v>32</v>
      </c>
      <c r="M3933" t="s">
        <v>33</v>
      </c>
      <c r="P3933" s="1" t="s">
        <v>13624</v>
      </c>
      <c r="Q3933" s="1" t="s">
        <v>10495</v>
      </c>
      <c r="R3933" s="1" t="s">
        <v>10495</v>
      </c>
      <c r="S3933" s="1"/>
      <c r="T3933" s="1" t="s">
        <v>106</v>
      </c>
      <c r="U3933" s="1"/>
      <c r="V3933" s="1">
        <v>640.0</v>
      </c>
      <c r="W3933" s="1">
        <v>640.0</v>
      </c>
      <c r="X3933" s="1" t="s">
        <v>35</v>
      </c>
      <c r="Y3933" s="1">
        <v>640000.0</v>
      </c>
      <c r="Z3933" s="1"/>
      <c r="AA3933" s="1">
        <v>640000.0</v>
      </c>
      <c r="AB3933" s="1"/>
      <c r="AC3933" s="1" t="s">
        <v>36</v>
      </c>
      <c r="AD3933" s="1" t="s">
        <v>13625</v>
      </c>
      <c r="AE3933" s="1" t="s">
        <v>32</v>
      </c>
      <c r="AF3933" s="1" t="s">
        <v>33</v>
      </c>
      <c r="AG3933" s="1" t="s">
        <v>95</v>
      </c>
    </row>
    <row r="3934" spans="1:33">
      <c r="A3934" t="s">
        <v>13626</v>
      </c>
      <c r="C3934" t="s">
        <v>4575</v>
      </c>
      <c r="E3934" t="s">
        <v>10495</v>
      </c>
      <c r="F3934" t="s">
        <v>10496</v>
      </c>
      <c r="G3934">
        <v>29.25</v>
      </c>
      <c r="H3934">
        <v>29.25</v>
      </c>
      <c r="I3934" t="s">
        <v>2206</v>
      </c>
      <c r="J3934" t="s">
        <v>49</v>
      </c>
      <c r="K3934" t="s">
        <v>31</v>
      </c>
      <c r="L3934" t="s">
        <v>32</v>
      </c>
      <c r="M3934" t="s">
        <v>33</v>
      </c>
      <c r="P3934" s="1" t="s">
        <v>13627</v>
      </c>
      <c r="Q3934" s="1" t="s">
        <v>10495</v>
      </c>
      <c r="R3934" s="1" t="s">
        <v>10495</v>
      </c>
      <c r="S3934" s="1"/>
      <c r="T3934" s="1" t="s">
        <v>4575</v>
      </c>
      <c r="U3934" s="1"/>
      <c r="V3934" s="1">
        <v>29.25</v>
      </c>
      <c r="W3934" s="1">
        <v>29.25</v>
      </c>
      <c r="X3934" s="1" t="s">
        <v>35</v>
      </c>
      <c r="Y3934" s="1">
        <v>29250.0</v>
      </c>
      <c r="Z3934" s="1"/>
      <c r="AA3934" s="1">
        <v>29250.0</v>
      </c>
      <c r="AB3934" s="1"/>
      <c r="AC3934" s="1" t="s">
        <v>36</v>
      </c>
      <c r="AD3934" s="1" t="s">
        <v>13628</v>
      </c>
      <c r="AE3934" s="1" t="s">
        <v>32</v>
      </c>
      <c r="AF3934" s="1" t="s">
        <v>33</v>
      </c>
      <c r="AG3934" s="1" t="s">
        <v>49</v>
      </c>
    </row>
    <row r="3935" spans="1:33">
      <c r="A3935" t="s">
        <v>13629</v>
      </c>
      <c r="B3935" t="s">
        <v>13630</v>
      </c>
      <c r="C3935" t="s">
        <v>125</v>
      </c>
      <c r="E3935" t="s">
        <v>10495</v>
      </c>
      <c r="F3935" t="s">
        <v>10496</v>
      </c>
      <c r="G3935">
        <v>169.9</v>
      </c>
      <c r="H3935">
        <v>169.9</v>
      </c>
      <c r="I3935" t="s">
        <v>126</v>
      </c>
      <c r="J3935" t="s">
        <v>127</v>
      </c>
      <c r="K3935" t="s">
        <v>31</v>
      </c>
      <c r="L3935" t="s">
        <v>32</v>
      </c>
      <c r="M3935" t="s">
        <v>33</v>
      </c>
      <c r="P3935" s="1" t="s">
        <v>13631</v>
      </c>
      <c r="Q3935" s="1" t="s">
        <v>10495</v>
      </c>
      <c r="R3935" s="1" t="s">
        <v>10495</v>
      </c>
      <c r="S3935" s="1"/>
      <c r="T3935" s="1" t="s">
        <v>125</v>
      </c>
      <c r="U3935" s="1"/>
      <c r="V3935" s="1">
        <v>169.9</v>
      </c>
      <c r="W3935" s="1">
        <v>169.9</v>
      </c>
      <c r="X3935" s="1" t="s">
        <v>35</v>
      </c>
      <c r="Y3935" s="1">
        <v>169900.0</v>
      </c>
      <c r="Z3935" s="1"/>
      <c r="AA3935" s="1">
        <v>169900.0</v>
      </c>
      <c r="AB3935" s="1"/>
      <c r="AC3935" s="1" t="s">
        <v>36</v>
      </c>
      <c r="AD3935" s="1" t="s">
        <v>13622</v>
      </c>
      <c r="AE3935" s="1" t="s">
        <v>32</v>
      </c>
      <c r="AF3935" s="1" t="s">
        <v>33</v>
      </c>
      <c r="AG3935" s="1" t="s">
        <v>127</v>
      </c>
    </row>
    <row r="3936" spans="1:33">
      <c r="A3936" t="s">
        <v>13632</v>
      </c>
      <c r="B3936" t="s">
        <v>2012</v>
      </c>
      <c r="C3936" t="s">
        <v>2013</v>
      </c>
      <c r="E3936" t="s">
        <v>10495</v>
      </c>
      <c r="F3936" t="s">
        <v>10496</v>
      </c>
      <c r="G3936">
        <v>410.0</v>
      </c>
      <c r="H3936">
        <v>410.0</v>
      </c>
      <c r="I3936" t="s">
        <v>59</v>
      </c>
      <c r="J3936" t="s">
        <v>60</v>
      </c>
      <c r="K3936" t="s">
        <v>31</v>
      </c>
      <c r="L3936" t="s">
        <v>32</v>
      </c>
      <c r="M3936" t="s">
        <v>33</v>
      </c>
      <c r="P3936" s="1" t="s">
        <v>13633</v>
      </c>
      <c r="Q3936" s="1" t="s">
        <v>10495</v>
      </c>
      <c r="R3936" s="1" t="s">
        <v>10495</v>
      </c>
      <c r="S3936" s="1"/>
      <c r="T3936" s="1" t="s">
        <v>2013</v>
      </c>
      <c r="U3936" s="1"/>
      <c r="V3936" s="1">
        <v>410.0</v>
      </c>
      <c r="W3936" s="1">
        <v>410.0</v>
      </c>
      <c r="X3936" s="1" t="s">
        <v>35</v>
      </c>
      <c r="Y3936" s="1">
        <v>410000.0</v>
      </c>
      <c r="Z3936" s="1"/>
      <c r="AA3936" s="1">
        <v>410000.0</v>
      </c>
      <c r="AB3936" s="1"/>
      <c r="AC3936" s="1" t="s">
        <v>36</v>
      </c>
      <c r="AD3936" s="1" t="s">
        <v>13573</v>
      </c>
      <c r="AE3936" s="1" t="s">
        <v>32</v>
      </c>
      <c r="AF3936" s="1" t="s">
        <v>33</v>
      </c>
      <c r="AG3936" s="1" t="s">
        <v>60</v>
      </c>
    </row>
    <row r="3937" spans="1:33">
      <c r="A3937" t="s">
        <v>13634</v>
      </c>
      <c r="C3937" t="s">
        <v>2804</v>
      </c>
      <c r="E3937" t="s">
        <v>10495</v>
      </c>
      <c r="F3937" t="s">
        <v>10496</v>
      </c>
      <c r="G3937">
        <v>360.8</v>
      </c>
      <c r="H3937">
        <v>360.8</v>
      </c>
      <c r="I3937" t="s">
        <v>136</v>
      </c>
      <c r="J3937" t="s">
        <v>137</v>
      </c>
      <c r="K3937" t="s">
        <v>31</v>
      </c>
      <c r="L3937" t="s">
        <v>32</v>
      </c>
      <c r="M3937" t="s">
        <v>33</v>
      </c>
      <c r="P3937" s="1" t="s">
        <v>13635</v>
      </c>
      <c r="Q3937" s="1" t="s">
        <v>10495</v>
      </c>
      <c r="R3937" s="1" t="s">
        <v>10495</v>
      </c>
      <c r="S3937" s="1"/>
      <c r="T3937" s="1" t="s">
        <v>2804</v>
      </c>
      <c r="U3937" s="1"/>
      <c r="V3937" s="1">
        <v>360.8</v>
      </c>
      <c r="W3937" s="1">
        <v>360.8</v>
      </c>
      <c r="X3937" s="1" t="s">
        <v>35</v>
      </c>
      <c r="Y3937" s="1">
        <v>360800.0</v>
      </c>
      <c r="Z3937" s="1"/>
      <c r="AA3937" s="1">
        <v>360800.0</v>
      </c>
      <c r="AB3937" s="1"/>
      <c r="AC3937" s="1" t="s">
        <v>36</v>
      </c>
      <c r="AD3937" s="1" t="s">
        <v>13636</v>
      </c>
      <c r="AE3937" s="1" t="s">
        <v>32</v>
      </c>
      <c r="AF3937" s="1" t="s">
        <v>33</v>
      </c>
      <c r="AG3937" s="1" t="s">
        <v>137</v>
      </c>
    </row>
    <row r="3938" spans="1:33">
      <c r="A3938" t="s">
        <v>13637</v>
      </c>
      <c r="C3938" t="s">
        <v>13638</v>
      </c>
      <c r="E3938" t="s">
        <v>10495</v>
      </c>
      <c r="F3938" t="s">
        <v>10496</v>
      </c>
      <c r="G3938">
        <v>2.669</v>
      </c>
      <c r="H3938">
        <v>2.669</v>
      </c>
      <c r="I3938" t="s">
        <v>227</v>
      </c>
      <c r="J3938" t="s">
        <v>228</v>
      </c>
      <c r="K3938" t="s">
        <v>31</v>
      </c>
      <c r="L3938" t="s">
        <v>32</v>
      </c>
      <c r="M3938" t="s">
        <v>33</v>
      </c>
      <c r="P3938" s="1" t="s">
        <v>13639</v>
      </c>
      <c r="Q3938" s="1" t="s">
        <v>10495</v>
      </c>
      <c r="R3938" s="1" t="s">
        <v>10495</v>
      </c>
      <c r="S3938" s="1"/>
      <c r="T3938" s="1" t="s">
        <v>13638</v>
      </c>
      <c r="U3938" s="1"/>
      <c r="V3938" s="1">
        <v>2.669</v>
      </c>
      <c r="W3938" s="1">
        <v>2.669</v>
      </c>
      <c r="X3938" s="1" t="s">
        <v>35</v>
      </c>
      <c r="Y3938" s="1">
        <v>2669200.0</v>
      </c>
      <c r="Z3938" s="1"/>
      <c r="AA3938" s="1">
        <v>2669200.0</v>
      </c>
      <c r="AB3938" s="1"/>
      <c r="AC3938" s="1" t="s">
        <v>36</v>
      </c>
      <c r="AD3938" s="1" t="s">
        <v>13640</v>
      </c>
      <c r="AE3938" s="1" t="s">
        <v>32</v>
      </c>
      <c r="AF3938" s="1" t="s">
        <v>33</v>
      </c>
      <c r="AG3938" s="1" t="s">
        <v>228</v>
      </c>
    </row>
    <row r="3939" spans="1:33">
      <c r="A3939" t="s">
        <v>13641</v>
      </c>
      <c r="B3939" t="s">
        <v>13642</v>
      </c>
      <c r="C3939" t="s">
        <v>125</v>
      </c>
      <c r="E3939" t="s">
        <v>10495</v>
      </c>
      <c r="F3939" t="s">
        <v>10496</v>
      </c>
      <c r="G3939">
        <v>27.99</v>
      </c>
      <c r="H3939">
        <v>27.99</v>
      </c>
      <c r="I3939" t="s">
        <v>126</v>
      </c>
      <c r="J3939" t="s">
        <v>127</v>
      </c>
      <c r="K3939" t="s">
        <v>31</v>
      </c>
      <c r="L3939" t="s">
        <v>32</v>
      </c>
      <c r="M3939" t="s">
        <v>33</v>
      </c>
      <c r="P3939" s="1" t="s">
        <v>13643</v>
      </c>
      <c r="Q3939" s="1" t="s">
        <v>10495</v>
      </c>
      <c r="R3939" s="1" t="s">
        <v>10495</v>
      </c>
      <c r="S3939" s="1"/>
      <c r="T3939" s="1" t="s">
        <v>125</v>
      </c>
      <c r="U3939" s="1"/>
      <c r="V3939" s="1">
        <v>27.99</v>
      </c>
      <c r="W3939" s="1">
        <v>27.99</v>
      </c>
      <c r="X3939" s="1" t="s">
        <v>35</v>
      </c>
      <c r="Y3939" s="1">
        <v>27990.0</v>
      </c>
      <c r="Z3939" s="1"/>
      <c r="AA3939" s="1">
        <v>27990.0</v>
      </c>
      <c r="AB3939" s="1"/>
      <c r="AC3939" s="1" t="s">
        <v>36</v>
      </c>
      <c r="AD3939" s="1" t="s">
        <v>13644</v>
      </c>
      <c r="AE3939" s="1" t="s">
        <v>32</v>
      </c>
      <c r="AF3939" s="1" t="s">
        <v>33</v>
      </c>
      <c r="AG3939" s="1" t="s">
        <v>127</v>
      </c>
    </row>
    <row r="3940" spans="1:33">
      <c r="A3940" t="s">
        <v>13645</v>
      </c>
      <c r="C3940" t="s">
        <v>1761</v>
      </c>
      <c r="E3940" t="s">
        <v>10495</v>
      </c>
      <c r="F3940" t="s">
        <v>10496</v>
      </c>
      <c r="G3940">
        <v>491.0</v>
      </c>
      <c r="H3940">
        <v>491.0</v>
      </c>
      <c r="I3940" t="s">
        <v>179</v>
      </c>
      <c r="J3940" t="s">
        <v>180</v>
      </c>
      <c r="K3940" t="s">
        <v>31</v>
      </c>
      <c r="L3940" t="s">
        <v>32</v>
      </c>
      <c r="M3940" t="s">
        <v>33</v>
      </c>
      <c r="P3940" s="1" t="s">
        <v>13646</v>
      </c>
      <c r="Q3940" s="1" t="s">
        <v>10495</v>
      </c>
      <c r="R3940" s="1" t="s">
        <v>10495</v>
      </c>
      <c r="S3940" s="1"/>
      <c r="T3940" s="1" t="s">
        <v>1761</v>
      </c>
      <c r="U3940" s="1"/>
      <c r="V3940" s="1">
        <v>491.0</v>
      </c>
      <c r="W3940" s="1">
        <v>491.0</v>
      </c>
      <c r="X3940" s="1" t="s">
        <v>35</v>
      </c>
      <c r="Y3940" s="1">
        <v>491000.0</v>
      </c>
      <c r="Z3940" s="1"/>
      <c r="AA3940" s="1">
        <v>491000.0</v>
      </c>
      <c r="AB3940" s="1"/>
      <c r="AC3940" s="1" t="s">
        <v>36</v>
      </c>
      <c r="AD3940" s="1" t="s">
        <v>13647</v>
      </c>
      <c r="AE3940" s="1" t="s">
        <v>32</v>
      </c>
      <c r="AF3940" s="1" t="s">
        <v>33</v>
      </c>
      <c r="AG3940" s="1" t="s">
        <v>180</v>
      </c>
    </row>
    <row r="3941" spans="1:33">
      <c r="A3941" t="s">
        <v>13648</v>
      </c>
      <c r="B3941" t="s">
        <v>13649</v>
      </c>
      <c r="C3941" t="s">
        <v>47</v>
      </c>
      <c r="E3941" t="s">
        <v>10495</v>
      </c>
      <c r="F3941" t="s">
        <v>10496</v>
      </c>
      <c r="G3941">
        <v>202.45</v>
      </c>
      <c r="H3941">
        <v>202.45</v>
      </c>
      <c r="I3941" t="s">
        <v>2206</v>
      </c>
      <c r="J3941" t="s">
        <v>49</v>
      </c>
      <c r="K3941" t="s">
        <v>31</v>
      </c>
      <c r="L3941" t="s">
        <v>32</v>
      </c>
      <c r="M3941" t="s">
        <v>33</v>
      </c>
      <c r="P3941" s="1" t="s">
        <v>13650</v>
      </c>
      <c r="Q3941" s="1" t="s">
        <v>10495</v>
      </c>
      <c r="R3941" s="1" t="s">
        <v>10495</v>
      </c>
      <c r="S3941" s="1"/>
      <c r="T3941" s="1" t="s">
        <v>47</v>
      </c>
      <c r="U3941" s="1"/>
      <c r="V3941" s="1">
        <v>202.45</v>
      </c>
      <c r="W3941" s="1">
        <v>202.45</v>
      </c>
      <c r="X3941" s="1" t="s">
        <v>35</v>
      </c>
      <c r="Y3941" s="1">
        <v>202450.0</v>
      </c>
      <c r="Z3941" s="1"/>
      <c r="AA3941" s="1">
        <v>202450.0</v>
      </c>
      <c r="AB3941" s="1"/>
      <c r="AC3941" s="1" t="s">
        <v>36</v>
      </c>
      <c r="AD3941" s="1" t="s">
        <v>13636</v>
      </c>
      <c r="AE3941" s="1" t="s">
        <v>32</v>
      </c>
      <c r="AF3941" s="1" t="s">
        <v>33</v>
      </c>
      <c r="AG3941" s="1" t="s">
        <v>49</v>
      </c>
    </row>
    <row r="3942" spans="1:33">
      <c r="A3942" t="s">
        <v>13651</v>
      </c>
      <c r="C3942" t="s">
        <v>7680</v>
      </c>
      <c r="E3942" t="s">
        <v>10495</v>
      </c>
      <c r="F3942" t="s">
        <v>10496</v>
      </c>
      <c r="G3942">
        <v>62.0</v>
      </c>
      <c r="H3942">
        <v>62.0</v>
      </c>
      <c r="I3942" t="s">
        <v>126</v>
      </c>
      <c r="J3942" t="s">
        <v>127</v>
      </c>
      <c r="K3942" t="s">
        <v>31</v>
      </c>
      <c r="L3942" t="s">
        <v>32</v>
      </c>
      <c r="M3942" t="s">
        <v>33</v>
      </c>
      <c r="P3942" s="1" t="s">
        <v>13652</v>
      </c>
      <c r="Q3942" s="1" t="s">
        <v>10495</v>
      </c>
      <c r="R3942" s="1" t="s">
        <v>10495</v>
      </c>
      <c r="S3942" s="1"/>
      <c r="T3942" s="1" t="s">
        <v>7680</v>
      </c>
      <c r="U3942" s="1"/>
      <c r="V3942" s="1">
        <v>62.0</v>
      </c>
      <c r="W3942" s="1">
        <v>62.0</v>
      </c>
      <c r="X3942" s="1" t="s">
        <v>35</v>
      </c>
      <c r="Y3942" s="1">
        <v>62000.0</v>
      </c>
      <c r="Z3942" s="1"/>
      <c r="AA3942" s="1">
        <v>62000.0</v>
      </c>
      <c r="AB3942" s="1"/>
      <c r="AC3942" s="1" t="s">
        <v>36</v>
      </c>
      <c r="AD3942" s="1" t="s">
        <v>13636</v>
      </c>
      <c r="AE3942" s="1" t="s">
        <v>32</v>
      </c>
      <c r="AF3942" s="1" t="s">
        <v>33</v>
      </c>
      <c r="AG3942" s="1" t="s">
        <v>127</v>
      </c>
    </row>
    <row r="3943" spans="1:33">
      <c r="A3943" t="s">
        <v>13653</v>
      </c>
      <c r="C3943" t="s">
        <v>6216</v>
      </c>
      <c r="E3943" t="s">
        <v>10495</v>
      </c>
      <c r="F3943" t="s">
        <v>10496</v>
      </c>
      <c r="G3943">
        <v>672.4</v>
      </c>
      <c r="H3943">
        <v>672.4</v>
      </c>
      <c r="I3943" t="s">
        <v>136</v>
      </c>
      <c r="J3943" t="s">
        <v>137</v>
      </c>
      <c r="K3943" t="s">
        <v>31</v>
      </c>
      <c r="L3943" t="s">
        <v>32</v>
      </c>
      <c r="M3943" t="s">
        <v>33</v>
      </c>
      <c r="P3943" s="1" t="s">
        <v>13654</v>
      </c>
      <c r="Q3943" s="1" t="s">
        <v>10495</v>
      </c>
      <c r="R3943" s="1" t="s">
        <v>10495</v>
      </c>
      <c r="S3943" s="1"/>
      <c r="T3943" s="1" t="s">
        <v>6216</v>
      </c>
      <c r="U3943" s="1"/>
      <c r="V3943" s="1">
        <v>672.4</v>
      </c>
      <c r="W3943" s="1">
        <v>672.4</v>
      </c>
      <c r="X3943" s="1" t="s">
        <v>35</v>
      </c>
      <c r="Y3943" s="1">
        <v>672400.0</v>
      </c>
      <c r="Z3943" s="1"/>
      <c r="AA3943" s="1">
        <v>672400.0</v>
      </c>
      <c r="AB3943" s="1"/>
      <c r="AC3943" s="1" t="s">
        <v>36</v>
      </c>
      <c r="AD3943" s="1" t="s">
        <v>13640</v>
      </c>
      <c r="AE3943" s="1" t="s">
        <v>32</v>
      </c>
      <c r="AF3943" s="1" t="s">
        <v>33</v>
      </c>
      <c r="AG3943" s="1" t="s">
        <v>137</v>
      </c>
    </row>
    <row r="3944" spans="1:33">
      <c r="A3944" t="s">
        <v>13655</v>
      </c>
      <c r="B3944" t="s">
        <v>13656</v>
      </c>
      <c r="C3944" t="s">
        <v>125</v>
      </c>
      <c r="E3944" t="s">
        <v>10495</v>
      </c>
      <c r="F3944" t="s">
        <v>10496</v>
      </c>
      <c r="G3944">
        <v>132.94</v>
      </c>
      <c r="H3944">
        <v>132.94</v>
      </c>
      <c r="I3944" t="s">
        <v>126</v>
      </c>
      <c r="J3944" t="s">
        <v>127</v>
      </c>
      <c r="K3944" t="s">
        <v>31</v>
      </c>
      <c r="L3944" t="s">
        <v>32</v>
      </c>
      <c r="M3944" t="s">
        <v>33</v>
      </c>
      <c r="P3944" s="1" t="s">
        <v>13657</v>
      </c>
      <c r="Q3944" s="1" t="s">
        <v>10495</v>
      </c>
      <c r="R3944" s="1" t="s">
        <v>10495</v>
      </c>
      <c r="S3944" s="1"/>
      <c r="T3944" s="1" t="s">
        <v>125</v>
      </c>
      <c r="U3944" s="1"/>
      <c r="V3944" s="1">
        <v>132.94</v>
      </c>
      <c r="W3944" s="1">
        <v>132.94</v>
      </c>
      <c r="X3944" s="1" t="s">
        <v>35</v>
      </c>
      <c r="Y3944" s="1">
        <v>132940.0</v>
      </c>
      <c r="Z3944" s="1"/>
      <c r="AA3944" s="1">
        <v>132940.0</v>
      </c>
      <c r="AB3944" s="1"/>
      <c r="AC3944" s="1" t="s">
        <v>36</v>
      </c>
      <c r="AD3944" s="1" t="s">
        <v>13619</v>
      </c>
      <c r="AE3944" s="1" t="s">
        <v>32</v>
      </c>
      <c r="AF3944" s="1" t="s">
        <v>33</v>
      </c>
      <c r="AG3944" s="1" t="s">
        <v>127</v>
      </c>
    </row>
    <row r="3945" spans="1:33">
      <c r="A3945" t="s">
        <v>13658</v>
      </c>
      <c r="B3945" t="s">
        <v>11203</v>
      </c>
      <c r="C3945" t="s">
        <v>268</v>
      </c>
      <c r="E3945" t="s">
        <v>10495</v>
      </c>
      <c r="F3945" t="s">
        <v>10496</v>
      </c>
      <c r="G3945">
        <v>33.75</v>
      </c>
      <c r="H3945">
        <v>33.75</v>
      </c>
      <c r="I3945" t="s">
        <v>269</v>
      </c>
      <c r="J3945" t="s">
        <v>270</v>
      </c>
      <c r="K3945" t="s">
        <v>31</v>
      </c>
      <c r="L3945" t="s">
        <v>32</v>
      </c>
      <c r="M3945" t="s">
        <v>33</v>
      </c>
      <c r="P3945" s="1" t="s">
        <v>13659</v>
      </c>
      <c r="Q3945" s="1" t="s">
        <v>10495</v>
      </c>
      <c r="R3945" s="1" t="s">
        <v>10495</v>
      </c>
      <c r="S3945" s="1"/>
      <c r="T3945" s="1" t="s">
        <v>268</v>
      </c>
      <c r="U3945" s="1"/>
      <c r="V3945" s="1">
        <v>33.75</v>
      </c>
      <c r="W3945" s="1">
        <v>33.75</v>
      </c>
      <c r="X3945" s="1" t="s">
        <v>35</v>
      </c>
      <c r="Y3945" s="1">
        <v>33750.0</v>
      </c>
      <c r="Z3945" s="1"/>
      <c r="AA3945" s="1">
        <v>33750.0</v>
      </c>
      <c r="AB3945" s="1"/>
      <c r="AC3945" s="1" t="s">
        <v>36</v>
      </c>
      <c r="AD3945" s="1" t="s">
        <v>13647</v>
      </c>
      <c r="AE3945" s="1" t="s">
        <v>32</v>
      </c>
      <c r="AF3945" s="1" t="s">
        <v>33</v>
      </c>
      <c r="AG3945" s="1" t="s">
        <v>270</v>
      </c>
    </row>
    <row r="3946" spans="1:33">
      <c r="A3946" t="s">
        <v>13660</v>
      </c>
      <c r="C3946" t="s">
        <v>872</v>
      </c>
      <c r="E3946" t="s">
        <v>10495</v>
      </c>
      <c r="F3946" t="s">
        <v>10496</v>
      </c>
      <c r="G3946">
        <v>245.847</v>
      </c>
      <c r="H3946">
        <v>245.847</v>
      </c>
      <c r="I3946" t="s">
        <v>2206</v>
      </c>
      <c r="J3946" t="s">
        <v>49</v>
      </c>
      <c r="K3946" t="s">
        <v>31</v>
      </c>
      <c r="L3946" t="s">
        <v>32</v>
      </c>
      <c r="M3946" t="s">
        <v>33</v>
      </c>
      <c r="P3946" s="1" t="s">
        <v>13661</v>
      </c>
      <c r="Q3946" s="1" t="s">
        <v>10495</v>
      </c>
      <c r="R3946" s="1" t="s">
        <v>10495</v>
      </c>
      <c r="S3946" s="1"/>
      <c r="T3946" s="1" t="s">
        <v>872</v>
      </c>
      <c r="U3946" s="1"/>
      <c r="V3946" s="1">
        <v>245.847</v>
      </c>
      <c r="W3946" s="1">
        <v>245.847</v>
      </c>
      <c r="X3946" s="1" t="s">
        <v>35</v>
      </c>
      <c r="Y3946" s="1">
        <v>245847.0</v>
      </c>
      <c r="Z3946" s="1"/>
      <c r="AA3946" s="1">
        <v>245847.0</v>
      </c>
      <c r="AB3946" s="1"/>
      <c r="AC3946" s="1" t="s">
        <v>36</v>
      </c>
      <c r="AD3946" s="1" t="s">
        <v>13662</v>
      </c>
      <c r="AE3946" s="1" t="s">
        <v>32</v>
      </c>
      <c r="AF3946" s="1" t="s">
        <v>33</v>
      </c>
      <c r="AG3946" s="1" t="s">
        <v>49</v>
      </c>
    </row>
    <row r="3947" spans="1:33">
      <c r="A3947" t="s">
        <v>13663</v>
      </c>
      <c r="C3947" t="s">
        <v>586</v>
      </c>
      <c r="E3947" t="s">
        <v>10495</v>
      </c>
      <c r="F3947" t="s">
        <v>10496</v>
      </c>
      <c r="G3947">
        <v>52.5</v>
      </c>
      <c r="H3947">
        <v>52.5</v>
      </c>
      <c r="I3947" t="s">
        <v>269</v>
      </c>
      <c r="J3947" t="s">
        <v>270</v>
      </c>
      <c r="K3947" t="s">
        <v>31</v>
      </c>
      <c r="L3947" t="s">
        <v>32</v>
      </c>
      <c r="M3947" t="s">
        <v>33</v>
      </c>
      <c r="P3947" s="1" t="s">
        <v>13664</v>
      </c>
      <c r="Q3947" s="1" t="s">
        <v>10495</v>
      </c>
      <c r="R3947" s="1" t="s">
        <v>10495</v>
      </c>
      <c r="S3947" s="1"/>
      <c r="T3947" s="1" t="s">
        <v>586</v>
      </c>
      <c r="U3947" s="1"/>
      <c r="V3947" s="1">
        <v>52.5</v>
      </c>
      <c r="W3947" s="1">
        <v>52.5</v>
      </c>
      <c r="X3947" s="1" t="s">
        <v>35</v>
      </c>
      <c r="Y3947" s="1">
        <v>52500.0</v>
      </c>
      <c r="Z3947" s="1"/>
      <c r="AA3947" s="1">
        <v>52500.0</v>
      </c>
      <c r="AB3947" s="1"/>
      <c r="AC3947" s="1" t="s">
        <v>36</v>
      </c>
      <c r="AD3947" s="1" t="s">
        <v>13665</v>
      </c>
      <c r="AE3947" s="1" t="s">
        <v>32</v>
      </c>
      <c r="AF3947" s="1" t="s">
        <v>33</v>
      </c>
      <c r="AG3947" s="1" t="s">
        <v>270</v>
      </c>
    </row>
    <row r="3948" spans="1:33">
      <c r="A3948" t="s">
        <v>13666</v>
      </c>
      <c r="C3948" t="s">
        <v>1197</v>
      </c>
      <c r="D3948" t="s">
        <v>154</v>
      </c>
      <c r="E3948" t="s">
        <v>10495</v>
      </c>
      <c r="F3948" t="s">
        <v>10496</v>
      </c>
      <c r="G3948">
        <v>720.0</v>
      </c>
      <c r="H3948">
        <v>720.0</v>
      </c>
      <c r="I3948" t="s">
        <v>269</v>
      </c>
      <c r="J3948" t="s">
        <v>270</v>
      </c>
      <c r="K3948" t="s">
        <v>31</v>
      </c>
      <c r="L3948" t="s">
        <v>32</v>
      </c>
      <c r="M3948" t="s">
        <v>33</v>
      </c>
      <c r="P3948" s="1" t="s">
        <v>13667</v>
      </c>
      <c r="Q3948" s="1" t="s">
        <v>10495</v>
      </c>
      <c r="R3948" s="1" t="s">
        <v>10495</v>
      </c>
      <c r="S3948" s="1"/>
      <c r="T3948" s="1" t="s">
        <v>1197</v>
      </c>
      <c r="U3948" s="1"/>
      <c r="V3948" s="1">
        <v>720.0</v>
      </c>
      <c r="W3948" s="1">
        <v>720.0</v>
      </c>
      <c r="X3948" s="1" t="s">
        <v>35</v>
      </c>
      <c r="Y3948" s="1">
        <v>720000.0</v>
      </c>
      <c r="Z3948" s="1"/>
      <c r="AA3948" s="1">
        <v>720000.0</v>
      </c>
      <c r="AB3948" s="1"/>
      <c r="AC3948" s="1" t="s">
        <v>36</v>
      </c>
      <c r="AD3948" s="1" t="s">
        <v>13668</v>
      </c>
      <c r="AE3948" s="1" t="s">
        <v>32</v>
      </c>
      <c r="AF3948" s="1" t="s">
        <v>33</v>
      </c>
      <c r="AG3948" s="1" t="s">
        <v>270</v>
      </c>
    </row>
    <row r="3949" spans="1:33">
      <c r="A3949" t="s">
        <v>13669</v>
      </c>
      <c r="B3949" t="s">
        <v>13670</v>
      </c>
      <c r="C3949" t="s">
        <v>268</v>
      </c>
      <c r="E3949" t="s">
        <v>10495</v>
      </c>
      <c r="F3949" t="s">
        <v>10496</v>
      </c>
      <c r="G3949">
        <v>74.05</v>
      </c>
      <c r="H3949">
        <v>74.05</v>
      </c>
      <c r="I3949" t="s">
        <v>269</v>
      </c>
      <c r="J3949" t="s">
        <v>270</v>
      </c>
      <c r="K3949" t="s">
        <v>31</v>
      </c>
      <c r="L3949" t="s">
        <v>32</v>
      </c>
      <c r="M3949" t="s">
        <v>33</v>
      </c>
      <c r="P3949" s="1" t="s">
        <v>13671</v>
      </c>
      <c r="Q3949" s="1" t="s">
        <v>10495</v>
      </c>
      <c r="R3949" s="1" t="s">
        <v>10495</v>
      </c>
      <c r="S3949" s="1"/>
      <c r="T3949" s="1" t="s">
        <v>268</v>
      </c>
      <c r="U3949" s="1"/>
      <c r="V3949" s="1">
        <v>74.05</v>
      </c>
      <c r="W3949" s="1">
        <v>74.05</v>
      </c>
      <c r="X3949" s="1" t="s">
        <v>35</v>
      </c>
      <c r="Y3949" s="1">
        <v>74050.0</v>
      </c>
      <c r="Z3949" s="1"/>
      <c r="AA3949" s="1">
        <v>74050.0</v>
      </c>
      <c r="AB3949" s="1"/>
      <c r="AC3949" s="1" t="s">
        <v>36</v>
      </c>
      <c r="AD3949" s="1" t="s">
        <v>13672</v>
      </c>
      <c r="AE3949" s="1" t="s">
        <v>32</v>
      </c>
      <c r="AF3949" s="1" t="s">
        <v>33</v>
      </c>
      <c r="AG3949" s="1" t="s">
        <v>270</v>
      </c>
    </row>
    <row r="3950" spans="1:33">
      <c r="A3950" t="s">
        <v>13673</v>
      </c>
      <c r="C3950" t="s">
        <v>872</v>
      </c>
      <c r="E3950" t="s">
        <v>10495</v>
      </c>
      <c r="F3950" t="s">
        <v>10496</v>
      </c>
      <c r="G3950">
        <v>235.057</v>
      </c>
      <c r="H3950">
        <v>235.057</v>
      </c>
      <c r="I3950" t="s">
        <v>2206</v>
      </c>
      <c r="J3950" t="s">
        <v>49</v>
      </c>
      <c r="K3950" t="s">
        <v>31</v>
      </c>
      <c r="L3950" t="s">
        <v>32</v>
      </c>
      <c r="M3950" t="s">
        <v>33</v>
      </c>
      <c r="P3950" s="1" t="s">
        <v>13674</v>
      </c>
      <c r="Q3950" s="1" t="s">
        <v>10495</v>
      </c>
      <c r="R3950" s="1" t="s">
        <v>10495</v>
      </c>
      <c r="S3950" s="1"/>
      <c r="T3950" s="1" t="s">
        <v>872</v>
      </c>
      <c r="U3950" s="1"/>
      <c r="V3950" s="1">
        <v>235.057</v>
      </c>
      <c r="W3950" s="1">
        <v>235.057</v>
      </c>
      <c r="X3950" s="1" t="s">
        <v>35</v>
      </c>
      <c r="Y3950" s="1">
        <v>235057.0</v>
      </c>
      <c r="Z3950" s="1"/>
      <c r="AA3950" s="1">
        <v>235057.0</v>
      </c>
      <c r="AB3950" s="1"/>
      <c r="AC3950" s="1" t="s">
        <v>36</v>
      </c>
      <c r="AD3950" s="1" t="s">
        <v>13675</v>
      </c>
      <c r="AE3950" s="1" t="s">
        <v>32</v>
      </c>
      <c r="AF3950" s="1" t="s">
        <v>33</v>
      </c>
      <c r="AG3950" s="1" t="s">
        <v>49</v>
      </c>
    </row>
    <row r="3951" spans="1:33">
      <c r="A3951" t="s">
        <v>13676</v>
      </c>
      <c r="C3951" t="s">
        <v>13677</v>
      </c>
      <c r="E3951" t="s">
        <v>10495</v>
      </c>
      <c r="F3951" t="s">
        <v>10496</v>
      </c>
      <c r="G3951">
        <v>397.0</v>
      </c>
      <c r="H3951">
        <v>397.0</v>
      </c>
      <c r="I3951" t="s">
        <v>179</v>
      </c>
      <c r="J3951" t="s">
        <v>180</v>
      </c>
      <c r="K3951" t="s">
        <v>31</v>
      </c>
      <c r="L3951" t="s">
        <v>32</v>
      </c>
      <c r="M3951" t="s">
        <v>33</v>
      </c>
      <c r="P3951" s="1" t="s">
        <v>13678</v>
      </c>
      <c r="Q3951" s="1" t="s">
        <v>10495</v>
      </c>
      <c r="R3951" s="1" t="s">
        <v>10495</v>
      </c>
      <c r="S3951" s="1"/>
      <c r="T3951" s="1" t="s">
        <v>13677</v>
      </c>
      <c r="U3951" s="1"/>
      <c r="V3951" s="1">
        <v>397.0</v>
      </c>
      <c r="W3951" s="1">
        <v>397.0</v>
      </c>
      <c r="X3951" s="1" t="s">
        <v>35</v>
      </c>
      <c r="Y3951" s="1">
        <v>397000.0</v>
      </c>
      <c r="Z3951" s="1"/>
      <c r="AA3951" s="1">
        <v>397000.0</v>
      </c>
      <c r="AB3951" s="1"/>
      <c r="AC3951" s="1" t="s">
        <v>36</v>
      </c>
      <c r="AD3951" s="1" t="s">
        <v>13665</v>
      </c>
      <c r="AE3951" s="1" t="s">
        <v>32</v>
      </c>
      <c r="AF3951" s="1" t="s">
        <v>33</v>
      </c>
      <c r="AG3951" s="1" t="s">
        <v>180</v>
      </c>
    </row>
    <row r="3952" spans="1:33">
      <c r="A3952" t="s">
        <v>13679</v>
      </c>
      <c r="B3952" t="s">
        <v>5426</v>
      </c>
      <c r="C3952" t="s">
        <v>125</v>
      </c>
      <c r="E3952" t="s">
        <v>10495</v>
      </c>
      <c r="F3952" t="s">
        <v>10496</v>
      </c>
      <c r="G3952">
        <v>23.488</v>
      </c>
      <c r="H3952">
        <v>23.488</v>
      </c>
      <c r="I3952" t="s">
        <v>126</v>
      </c>
      <c r="J3952" t="s">
        <v>127</v>
      </c>
      <c r="K3952" t="s">
        <v>31</v>
      </c>
      <c r="L3952" t="s">
        <v>32</v>
      </c>
      <c r="M3952" t="s">
        <v>33</v>
      </c>
      <c r="P3952" s="1" t="s">
        <v>13680</v>
      </c>
      <c r="Q3952" s="1" t="s">
        <v>10495</v>
      </c>
      <c r="R3952" s="1" t="s">
        <v>10495</v>
      </c>
      <c r="S3952" s="1"/>
      <c r="T3952" s="1" t="s">
        <v>125</v>
      </c>
      <c r="U3952" s="1"/>
      <c r="V3952" s="1">
        <v>23.488</v>
      </c>
      <c r="W3952" s="1">
        <v>23.488</v>
      </c>
      <c r="X3952" s="1" t="s">
        <v>35</v>
      </c>
      <c r="Y3952" s="1">
        <v>23488.0</v>
      </c>
      <c r="Z3952" s="1"/>
      <c r="AA3952" s="1">
        <v>23488.0</v>
      </c>
      <c r="AB3952" s="1"/>
      <c r="AC3952" s="1" t="s">
        <v>36</v>
      </c>
      <c r="AD3952" s="1" t="s">
        <v>13625</v>
      </c>
      <c r="AE3952" s="1" t="s">
        <v>32</v>
      </c>
      <c r="AF3952" s="1" t="s">
        <v>33</v>
      </c>
      <c r="AG3952" s="1" t="s">
        <v>127</v>
      </c>
    </row>
    <row r="3953" spans="1:33">
      <c r="A3953" t="s">
        <v>13681</v>
      </c>
      <c r="C3953" t="s">
        <v>3410</v>
      </c>
      <c r="E3953" t="s">
        <v>10495</v>
      </c>
      <c r="F3953" t="s">
        <v>10496</v>
      </c>
      <c r="G3953">
        <v>4.0</v>
      </c>
      <c r="H3953">
        <v>4.0</v>
      </c>
      <c r="I3953" t="s">
        <v>2206</v>
      </c>
      <c r="J3953" t="s">
        <v>49</v>
      </c>
      <c r="K3953" t="s">
        <v>31</v>
      </c>
      <c r="L3953" t="s">
        <v>32</v>
      </c>
      <c r="M3953" t="s">
        <v>33</v>
      </c>
      <c r="P3953" s="1" t="s">
        <v>13682</v>
      </c>
      <c r="Q3953" s="1" t="s">
        <v>10495</v>
      </c>
      <c r="R3953" s="1" t="s">
        <v>10495</v>
      </c>
      <c r="S3953" s="1"/>
      <c r="T3953" s="1" t="s">
        <v>3410</v>
      </c>
      <c r="U3953" s="1"/>
      <c r="V3953" s="1">
        <v>4.0</v>
      </c>
      <c r="W3953" s="1">
        <v>4.0</v>
      </c>
      <c r="X3953" s="1" t="s">
        <v>35</v>
      </c>
      <c r="Y3953" s="1">
        <v>4000000.0</v>
      </c>
      <c r="Z3953" s="1"/>
      <c r="AA3953" s="1">
        <v>4000000.0</v>
      </c>
      <c r="AB3953" s="1"/>
      <c r="AC3953" s="1" t="s">
        <v>36</v>
      </c>
      <c r="AD3953" s="1" t="s">
        <v>13683</v>
      </c>
      <c r="AE3953" s="1" t="s">
        <v>32</v>
      </c>
      <c r="AF3953" s="1" t="s">
        <v>33</v>
      </c>
      <c r="AG3953" s="1" t="s">
        <v>49</v>
      </c>
    </row>
    <row r="3954" spans="1:33">
      <c r="A3954" t="s">
        <v>13684</v>
      </c>
      <c r="C3954" t="s">
        <v>13685</v>
      </c>
      <c r="E3954" t="s">
        <v>10495</v>
      </c>
      <c r="F3954" t="s">
        <v>10496</v>
      </c>
      <c r="G3954">
        <v>820.0</v>
      </c>
      <c r="H3954">
        <v>820.0</v>
      </c>
      <c r="I3954" t="s">
        <v>136</v>
      </c>
      <c r="J3954" t="s">
        <v>137</v>
      </c>
      <c r="K3954" t="s">
        <v>31</v>
      </c>
      <c r="L3954" t="s">
        <v>32</v>
      </c>
      <c r="M3954" t="s">
        <v>33</v>
      </c>
      <c r="P3954" s="1" t="s">
        <v>13686</v>
      </c>
      <c r="Q3954" s="1" t="s">
        <v>10495</v>
      </c>
      <c r="R3954" s="1" t="s">
        <v>10495</v>
      </c>
      <c r="S3954" s="1"/>
      <c r="T3954" s="1" t="s">
        <v>13685</v>
      </c>
      <c r="U3954" s="1"/>
      <c r="V3954" s="1">
        <v>820.0</v>
      </c>
      <c r="W3954" s="1">
        <v>820.0</v>
      </c>
      <c r="X3954" s="1" t="s">
        <v>35</v>
      </c>
      <c r="Y3954" s="1">
        <v>820000.0</v>
      </c>
      <c r="Z3954" s="1"/>
      <c r="AA3954" s="1">
        <v>820000.0</v>
      </c>
      <c r="AB3954" s="1"/>
      <c r="AC3954" s="1" t="s">
        <v>36</v>
      </c>
      <c r="AD3954" s="1" t="s">
        <v>13687</v>
      </c>
      <c r="AE3954" s="1" t="s">
        <v>32</v>
      </c>
      <c r="AF3954" s="1" t="s">
        <v>33</v>
      </c>
      <c r="AG3954" s="1" t="s">
        <v>137</v>
      </c>
    </row>
    <row r="3955" spans="1:33">
      <c r="A3955" t="s">
        <v>13688</v>
      </c>
      <c r="C3955" t="s">
        <v>13689</v>
      </c>
      <c r="E3955" t="s">
        <v>10495</v>
      </c>
      <c r="F3955" t="s">
        <v>10496</v>
      </c>
      <c r="G3955">
        <v>471.2</v>
      </c>
      <c r="H3955">
        <v>471.2</v>
      </c>
      <c r="I3955" t="s">
        <v>269</v>
      </c>
      <c r="J3955" t="s">
        <v>270</v>
      </c>
      <c r="K3955" t="s">
        <v>31</v>
      </c>
      <c r="L3955" t="s">
        <v>32</v>
      </c>
      <c r="M3955" t="s">
        <v>33</v>
      </c>
      <c r="P3955" s="1" t="s">
        <v>13690</v>
      </c>
      <c r="Q3955" s="1" t="s">
        <v>10495</v>
      </c>
      <c r="R3955" s="1" t="s">
        <v>10495</v>
      </c>
      <c r="S3955" s="1"/>
      <c r="T3955" s="1" t="s">
        <v>13689</v>
      </c>
      <c r="U3955" s="1"/>
      <c r="V3955" s="1">
        <v>471.2</v>
      </c>
      <c r="W3955" s="1">
        <v>471.2</v>
      </c>
      <c r="X3955" s="1" t="s">
        <v>35</v>
      </c>
      <c r="Y3955" s="1">
        <v>471200.0</v>
      </c>
      <c r="Z3955" s="1"/>
      <c r="AA3955" s="1">
        <v>471200.0</v>
      </c>
      <c r="AB3955" s="1"/>
      <c r="AC3955" s="1" t="s">
        <v>36</v>
      </c>
      <c r="AD3955" s="1" t="s">
        <v>13687</v>
      </c>
      <c r="AE3955" s="1" t="s">
        <v>32</v>
      </c>
      <c r="AF3955" s="1" t="s">
        <v>33</v>
      </c>
      <c r="AG3955" s="1" t="s">
        <v>270</v>
      </c>
    </row>
    <row r="3956" spans="1:33">
      <c r="A3956" t="s">
        <v>13691</v>
      </c>
      <c r="C3956" t="s">
        <v>13692</v>
      </c>
      <c r="E3956" t="s">
        <v>10495</v>
      </c>
      <c r="F3956" t="s">
        <v>10496</v>
      </c>
      <c r="G3956">
        <v>320.0</v>
      </c>
      <c r="H3956">
        <v>320.0</v>
      </c>
      <c r="I3956" t="s">
        <v>173</v>
      </c>
      <c r="J3956" t="s">
        <v>174</v>
      </c>
      <c r="K3956" t="s">
        <v>31</v>
      </c>
      <c r="L3956" t="s">
        <v>32</v>
      </c>
      <c r="M3956" t="s">
        <v>33</v>
      </c>
      <c r="P3956" s="1" t="s">
        <v>13693</v>
      </c>
      <c r="Q3956" s="1" t="s">
        <v>10495</v>
      </c>
      <c r="R3956" s="1" t="s">
        <v>10495</v>
      </c>
      <c r="S3956" s="1"/>
      <c r="T3956" s="1" t="s">
        <v>13692</v>
      </c>
      <c r="U3956" s="1"/>
      <c r="V3956" s="1">
        <v>320.0</v>
      </c>
      <c r="W3956" s="1">
        <v>320.0</v>
      </c>
      <c r="X3956" s="1" t="s">
        <v>35</v>
      </c>
      <c r="Y3956" s="1">
        <v>320000.0</v>
      </c>
      <c r="Z3956" s="1"/>
      <c r="AA3956" s="1">
        <v>320000.0</v>
      </c>
      <c r="AB3956" s="1"/>
      <c r="AC3956" s="1" t="s">
        <v>36</v>
      </c>
      <c r="AD3956" s="1" t="s">
        <v>13694</v>
      </c>
      <c r="AE3956" s="1" t="s">
        <v>32</v>
      </c>
      <c r="AF3956" s="1" t="s">
        <v>33</v>
      </c>
      <c r="AG3956" s="1" t="s">
        <v>174</v>
      </c>
    </row>
    <row r="3957" spans="1:33">
      <c r="A3957" t="s">
        <v>13695</v>
      </c>
      <c r="C3957" t="s">
        <v>866</v>
      </c>
      <c r="D3957" t="s">
        <v>154</v>
      </c>
      <c r="E3957" t="s">
        <v>10495</v>
      </c>
      <c r="F3957" t="s">
        <v>10496</v>
      </c>
      <c r="G3957">
        <v>336.0</v>
      </c>
      <c r="H3957">
        <v>336.0</v>
      </c>
      <c r="I3957" t="s">
        <v>2206</v>
      </c>
      <c r="J3957" t="s">
        <v>49</v>
      </c>
      <c r="K3957" t="s">
        <v>31</v>
      </c>
      <c r="L3957" t="s">
        <v>32</v>
      </c>
      <c r="M3957" t="s">
        <v>33</v>
      </c>
      <c r="P3957" s="1" t="s">
        <v>13696</v>
      </c>
      <c r="Q3957" s="1" t="s">
        <v>10495</v>
      </c>
      <c r="R3957" s="1" t="s">
        <v>10495</v>
      </c>
      <c r="S3957" s="1"/>
      <c r="T3957" s="1" t="s">
        <v>868</v>
      </c>
      <c r="U3957" s="1" t="s">
        <v>869</v>
      </c>
      <c r="V3957" s="1">
        <v>336.0</v>
      </c>
      <c r="W3957" s="1">
        <v>336.0</v>
      </c>
      <c r="X3957" s="1" t="s">
        <v>35</v>
      </c>
      <c r="Y3957" s="1">
        <v>336000.0</v>
      </c>
      <c r="Z3957" s="1"/>
      <c r="AA3957" s="1">
        <v>336000.0</v>
      </c>
      <c r="AB3957" s="1"/>
      <c r="AC3957" s="1" t="s">
        <v>36</v>
      </c>
      <c r="AD3957" s="1" t="s">
        <v>13697</v>
      </c>
      <c r="AE3957" s="1" t="s">
        <v>32</v>
      </c>
      <c r="AF3957" s="1" t="s">
        <v>33</v>
      </c>
      <c r="AG3957" s="1" t="s">
        <v>49</v>
      </c>
    </row>
    <row r="3958" spans="1:33">
      <c r="A3958" t="s">
        <v>13698</v>
      </c>
      <c r="C3958" t="s">
        <v>506</v>
      </c>
      <c r="E3958" t="s">
        <v>10495</v>
      </c>
      <c r="F3958" t="s">
        <v>10496</v>
      </c>
      <c r="G3958">
        <v>328.0</v>
      </c>
      <c r="H3958">
        <v>328.0</v>
      </c>
      <c r="I3958" t="s">
        <v>269</v>
      </c>
      <c r="J3958" t="s">
        <v>270</v>
      </c>
      <c r="K3958" t="s">
        <v>31</v>
      </c>
      <c r="L3958" t="s">
        <v>32</v>
      </c>
      <c r="M3958" t="s">
        <v>33</v>
      </c>
      <c r="P3958" s="1" t="s">
        <v>13699</v>
      </c>
      <c r="Q3958" s="1" t="s">
        <v>10495</v>
      </c>
      <c r="R3958" s="1" t="s">
        <v>10495</v>
      </c>
      <c r="S3958" s="1"/>
      <c r="T3958" s="1" t="s">
        <v>506</v>
      </c>
      <c r="U3958" s="1"/>
      <c r="V3958" s="1">
        <v>328.0</v>
      </c>
      <c r="W3958" s="1">
        <v>328.0</v>
      </c>
      <c r="X3958" s="1" t="s">
        <v>35</v>
      </c>
      <c r="Y3958" s="1">
        <v>328000.0</v>
      </c>
      <c r="Z3958" s="1"/>
      <c r="AA3958" s="1">
        <v>328000.0</v>
      </c>
      <c r="AB3958" s="1"/>
      <c r="AC3958" s="1" t="s">
        <v>36</v>
      </c>
      <c r="AD3958" s="1" t="s">
        <v>13700</v>
      </c>
      <c r="AE3958" s="1" t="s">
        <v>1636</v>
      </c>
      <c r="AF3958" s="1" t="s">
        <v>33</v>
      </c>
      <c r="AG3958" s="1" t="s">
        <v>270</v>
      </c>
    </row>
    <row r="3959" spans="1:33">
      <c r="A3959" t="s">
        <v>13701</v>
      </c>
      <c r="C3959" t="s">
        <v>3129</v>
      </c>
      <c r="E3959" t="s">
        <v>10495</v>
      </c>
      <c r="F3959" t="s">
        <v>10496</v>
      </c>
      <c r="G3959">
        <v>328.0</v>
      </c>
      <c r="H3959">
        <v>328.0</v>
      </c>
      <c r="I3959" t="s">
        <v>269</v>
      </c>
      <c r="J3959" t="s">
        <v>270</v>
      </c>
      <c r="K3959" t="s">
        <v>31</v>
      </c>
      <c r="L3959" t="s">
        <v>32</v>
      </c>
      <c r="M3959" t="s">
        <v>33</v>
      </c>
      <c r="P3959" s="1" t="s">
        <v>13702</v>
      </c>
      <c r="Q3959" s="1" t="s">
        <v>10495</v>
      </c>
      <c r="R3959" s="1" t="s">
        <v>10495</v>
      </c>
      <c r="S3959" s="1"/>
      <c r="T3959" s="1" t="s">
        <v>3129</v>
      </c>
      <c r="U3959" s="1"/>
      <c r="V3959" s="1">
        <v>328.0</v>
      </c>
      <c r="W3959" s="1">
        <v>328.0</v>
      </c>
      <c r="X3959" s="1" t="s">
        <v>35</v>
      </c>
      <c r="Y3959" s="1">
        <v>328000.0</v>
      </c>
      <c r="Z3959" s="1"/>
      <c r="AA3959" s="1">
        <v>328000.0</v>
      </c>
      <c r="AB3959" s="1"/>
      <c r="AC3959" s="1" t="s">
        <v>36</v>
      </c>
      <c r="AD3959" s="1" t="s">
        <v>13694</v>
      </c>
      <c r="AE3959" s="1" t="s">
        <v>32</v>
      </c>
      <c r="AF3959" s="1" t="s">
        <v>33</v>
      </c>
      <c r="AG3959" s="1" t="s">
        <v>270</v>
      </c>
    </row>
    <row r="3960" spans="1:33">
      <c r="A3960" t="s">
        <v>13703</v>
      </c>
      <c r="B3960" t="s">
        <v>13704</v>
      </c>
      <c r="C3960" t="s">
        <v>314</v>
      </c>
      <c r="E3960" t="s">
        <v>10495</v>
      </c>
      <c r="F3960" t="s">
        <v>10496</v>
      </c>
      <c r="G3960">
        <v>22.24</v>
      </c>
      <c r="H3960">
        <v>22.24</v>
      </c>
      <c r="I3960" t="s">
        <v>179</v>
      </c>
      <c r="J3960" t="s">
        <v>180</v>
      </c>
      <c r="K3960" t="s">
        <v>31</v>
      </c>
      <c r="L3960" t="s">
        <v>32</v>
      </c>
      <c r="M3960" t="s">
        <v>33</v>
      </c>
      <c r="P3960" s="1" t="s">
        <v>13705</v>
      </c>
      <c r="Q3960" s="1" t="s">
        <v>10495</v>
      </c>
      <c r="R3960" s="1" t="s">
        <v>10495</v>
      </c>
      <c r="S3960" s="1"/>
      <c r="T3960" s="1" t="s">
        <v>314</v>
      </c>
      <c r="U3960" s="1"/>
      <c r="V3960" s="1">
        <v>22.24</v>
      </c>
      <c r="W3960" s="1">
        <v>22.24</v>
      </c>
      <c r="X3960" s="1" t="s">
        <v>35</v>
      </c>
      <c r="Y3960" s="1">
        <v>22240.0</v>
      </c>
      <c r="Z3960" s="1"/>
      <c r="AA3960" s="1">
        <v>22240.0</v>
      </c>
      <c r="AB3960" s="1"/>
      <c r="AC3960" s="1" t="s">
        <v>36</v>
      </c>
      <c r="AD3960" s="1" t="s">
        <v>13700</v>
      </c>
      <c r="AE3960" s="1" t="s">
        <v>32</v>
      </c>
      <c r="AF3960" s="1" t="s">
        <v>33</v>
      </c>
      <c r="AG3960" s="1" t="s">
        <v>180</v>
      </c>
    </row>
    <row r="3961" spans="1:33">
      <c r="A3961" t="s">
        <v>13706</v>
      </c>
      <c r="B3961" t="s">
        <v>11403</v>
      </c>
      <c r="C3961" t="s">
        <v>314</v>
      </c>
      <c r="E3961" t="s">
        <v>10495</v>
      </c>
      <c r="F3961" t="s">
        <v>10496</v>
      </c>
      <c r="G3961">
        <v>37.18</v>
      </c>
      <c r="H3961">
        <v>37.18</v>
      </c>
      <c r="I3961" t="s">
        <v>179</v>
      </c>
      <c r="J3961" t="s">
        <v>180</v>
      </c>
      <c r="K3961" t="s">
        <v>31</v>
      </c>
      <c r="L3961" t="s">
        <v>32</v>
      </c>
      <c r="M3961" t="s">
        <v>33</v>
      </c>
      <c r="P3961" s="1" t="s">
        <v>13707</v>
      </c>
      <c r="Q3961" s="1" t="s">
        <v>10495</v>
      </c>
      <c r="R3961" s="1" t="s">
        <v>10495</v>
      </c>
      <c r="S3961" s="1"/>
      <c r="T3961" s="1" t="s">
        <v>314</v>
      </c>
      <c r="U3961" s="1"/>
      <c r="V3961" s="1">
        <v>37.18</v>
      </c>
      <c r="W3961" s="1">
        <v>37.18</v>
      </c>
      <c r="X3961" s="1" t="s">
        <v>35</v>
      </c>
      <c r="Y3961" s="1">
        <v>37180.0</v>
      </c>
      <c r="Z3961" s="1"/>
      <c r="AA3961" s="1">
        <v>37180.0</v>
      </c>
      <c r="AB3961" s="1"/>
      <c r="AC3961" s="1" t="s">
        <v>36</v>
      </c>
      <c r="AD3961" s="1" t="s">
        <v>13708</v>
      </c>
      <c r="AE3961" s="1" t="s">
        <v>32</v>
      </c>
      <c r="AF3961" s="1" t="s">
        <v>33</v>
      </c>
      <c r="AG3961" s="1" t="s">
        <v>180</v>
      </c>
    </row>
    <row r="3962" spans="1:33">
      <c r="A3962" t="s">
        <v>13709</v>
      </c>
      <c r="C3962" t="s">
        <v>2371</v>
      </c>
      <c r="E3962" t="s">
        <v>10495</v>
      </c>
      <c r="F3962" t="s">
        <v>10496</v>
      </c>
      <c r="G3962">
        <v>2.51</v>
      </c>
      <c r="H3962">
        <v>2.51</v>
      </c>
      <c r="I3962" t="s">
        <v>570</v>
      </c>
      <c r="J3962" t="s">
        <v>571</v>
      </c>
      <c r="K3962" t="s">
        <v>31</v>
      </c>
      <c r="L3962" t="s">
        <v>32</v>
      </c>
      <c r="M3962" t="s">
        <v>33</v>
      </c>
      <c r="P3962" s="1" t="s">
        <v>13710</v>
      </c>
      <c r="Q3962" s="1" t="s">
        <v>10495</v>
      </c>
      <c r="R3962" s="1" t="s">
        <v>10495</v>
      </c>
      <c r="S3962" s="1"/>
      <c r="T3962" s="1" t="s">
        <v>2371</v>
      </c>
      <c r="U3962" s="1"/>
      <c r="V3962" s="1">
        <v>2.51</v>
      </c>
      <c r="W3962" s="1">
        <v>2.51</v>
      </c>
      <c r="X3962" s="1" t="s">
        <v>35</v>
      </c>
      <c r="Y3962" s="1">
        <v>2510000.0</v>
      </c>
      <c r="Z3962" s="1"/>
      <c r="AA3962" s="1">
        <v>2510000.0</v>
      </c>
      <c r="AB3962" s="1"/>
      <c r="AC3962" s="1" t="s">
        <v>36</v>
      </c>
      <c r="AD3962" s="1" t="s">
        <v>13711</v>
      </c>
      <c r="AE3962" s="1" t="s">
        <v>32</v>
      </c>
      <c r="AF3962" s="1" t="s">
        <v>33</v>
      </c>
      <c r="AG3962" s="1" t="s">
        <v>571</v>
      </c>
    </row>
    <row r="3963" spans="1:33">
      <c r="A3963" t="s">
        <v>13712</v>
      </c>
      <c r="C3963" t="s">
        <v>464</v>
      </c>
      <c r="E3963" t="s">
        <v>10495</v>
      </c>
      <c r="F3963" t="s">
        <v>10496</v>
      </c>
      <c r="G3963">
        <v>640.0</v>
      </c>
      <c r="H3963">
        <v>640.0</v>
      </c>
      <c r="I3963" t="s">
        <v>126</v>
      </c>
      <c r="J3963" t="s">
        <v>127</v>
      </c>
      <c r="K3963" t="s">
        <v>31</v>
      </c>
      <c r="L3963" t="s">
        <v>32</v>
      </c>
      <c r="M3963" t="s">
        <v>33</v>
      </c>
      <c r="P3963" s="1" t="s">
        <v>13713</v>
      </c>
      <c r="Q3963" s="1" t="s">
        <v>10495</v>
      </c>
      <c r="R3963" s="1" t="s">
        <v>10495</v>
      </c>
      <c r="S3963" s="1"/>
      <c r="T3963" s="1" t="s">
        <v>464</v>
      </c>
      <c r="U3963" s="1"/>
      <c r="V3963" s="1">
        <v>640.0</v>
      </c>
      <c r="W3963" s="1">
        <v>640.0</v>
      </c>
      <c r="X3963" s="1" t="s">
        <v>35</v>
      </c>
      <c r="Y3963" s="1">
        <v>640000.0</v>
      </c>
      <c r="Z3963" s="1"/>
      <c r="AA3963" s="1">
        <v>640000.0</v>
      </c>
      <c r="AB3963" s="1"/>
      <c r="AC3963" s="1" t="s">
        <v>36</v>
      </c>
      <c r="AD3963" s="1" t="s">
        <v>13714</v>
      </c>
      <c r="AE3963" s="1" t="s">
        <v>32</v>
      </c>
      <c r="AF3963" s="1" t="s">
        <v>33</v>
      </c>
      <c r="AG3963" s="1" t="s">
        <v>127</v>
      </c>
    </row>
    <row r="3964" spans="1:33">
      <c r="A3964" t="s">
        <v>13715</v>
      </c>
      <c r="C3964" t="s">
        <v>13716</v>
      </c>
      <c r="E3964" t="s">
        <v>10495</v>
      </c>
      <c r="F3964" t="s">
        <v>10496</v>
      </c>
      <c r="G3964">
        <v>548.5</v>
      </c>
      <c r="H3964">
        <v>548.5</v>
      </c>
      <c r="I3964" t="s">
        <v>173</v>
      </c>
      <c r="J3964" t="s">
        <v>174</v>
      </c>
      <c r="K3964" t="s">
        <v>31</v>
      </c>
      <c r="L3964" t="s">
        <v>32</v>
      </c>
      <c r="M3964" t="s">
        <v>33</v>
      </c>
      <c r="P3964" s="1" t="s">
        <v>13717</v>
      </c>
      <c r="Q3964" s="1" t="s">
        <v>10495</v>
      </c>
      <c r="R3964" s="1" t="s">
        <v>10495</v>
      </c>
      <c r="S3964" s="1"/>
      <c r="T3964" s="1" t="s">
        <v>13718</v>
      </c>
      <c r="U3964" s="1" t="s">
        <v>13719</v>
      </c>
      <c r="V3964" s="1">
        <v>548.5</v>
      </c>
      <c r="W3964" s="1">
        <v>548.5</v>
      </c>
      <c r="X3964" s="1" t="s">
        <v>35</v>
      </c>
      <c r="Y3964" s="1">
        <v>548500.0</v>
      </c>
      <c r="Z3964" s="1"/>
      <c r="AA3964" s="1">
        <v>548500.0</v>
      </c>
      <c r="AB3964" s="1"/>
      <c r="AC3964" s="1" t="s">
        <v>36</v>
      </c>
      <c r="AD3964" s="1" t="s">
        <v>13720</v>
      </c>
      <c r="AE3964" s="1" t="s">
        <v>32</v>
      </c>
      <c r="AF3964" s="1" t="s">
        <v>33</v>
      </c>
      <c r="AG3964" s="1" t="s">
        <v>174</v>
      </c>
    </row>
    <row r="3965" spans="1:33">
      <c r="A3965" t="s">
        <v>13721</v>
      </c>
      <c r="B3965" t="s">
        <v>13722</v>
      </c>
      <c r="C3965" t="s">
        <v>125</v>
      </c>
      <c r="E3965" t="s">
        <v>10495</v>
      </c>
      <c r="F3965" t="s">
        <v>10496</v>
      </c>
      <c r="G3965">
        <v>20.99</v>
      </c>
      <c r="H3965">
        <v>20.99</v>
      </c>
      <c r="I3965" t="s">
        <v>126</v>
      </c>
      <c r="J3965" t="s">
        <v>127</v>
      </c>
      <c r="K3965" t="s">
        <v>31</v>
      </c>
      <c r="L3965" t="s">
        <v>32</v>
      </c>
      <c r="M3965" t="s">
        <v>33</v>
      </c>
      <c r="P3965" s="1" t="s">
        <v>13723</v>
      </c>
      <c r="Q3965" s="1" t="s">
        <v>10495</v>
      </c>
      <c r="R3965" s="1" t="s">
        <v>10495</v>
      </c>
      <c r="S3965" s="1"/>
      <c r="T3965" s="1" t="s">
        <v>125</v>
      </c>
      <c r="U3965" s="1"/>
      <c r="V3965" s="1">
        <v>20.99</v>
      </c>
      <c r="W3965" s="1">
        <v>20.99</v>
      </c>
      <c r="X3965" s="1" t="s">
        <v>35</v>
      </c>
      <c r="Y3965" s="1">
        <v>20990.0</v>
      </c>
      <c r="Z3965" s="1"/>
      <c r="AA3965" s="1">
        <v>20990.0</v>
      </c>
      <c r="AB3965" s="1"/>
      <c r="AC3965" s="1" t="s">
        <v>36</v>
      </c>
      <c r="AD3965" s="1" t="s">
        <v>13724</v>
      </c>
      <c r="AE3965" s="1" t="s">
        <v>32</v>
      </c>
      <c r="AF3965" s="1" t="s">
        <v>33</v>
      </c>
      <c r="AG3965" s="1" t="s">
        <v>127</v>
      </c>
    </row>
    <row r="3966" spans="1:33">
      <c r="A3966" t="s">
        <v>13725</v>
      </c>
      <c r="B3966" t="s">
        <v>13726</v>
      </c>
      <c r="C3966" t="s">
        <v>125</v>
      </c>
      <c r="E3966" t="s">
        <v>10495</v>
      </c>
      <c r="F3966" t="s">
        <v>10496</v>
      </c>
      <c r="G3966">
        <v>20.99</v>
      </c>
      <c r="H3966">
        <v>20.99</v>
      </c>
      <c r="I3966" t="s">
        <v>126</v>
      </c>
      <c r="J3966" t="s">
        <v>127</v>
      </c>
      <c r="K3966" t="s">
        <v>31</v>
      </c>
      <c r="L3966" t="s">
        <v>32</v>
      </c>
      <c r="M3966" t="s">
        <v>33</v>
      </c>
      <c r="P3966" s="1" t="s">
        <v>13727</v>
      </c>
      <c r="Q3966" s="1" t="s">
        <v>10495</v>
      </c>
      <c r="R3966" s="1" t="s">
        <v>10495</v>
      </c>
      <c r="S3966" s="1"/>
      <c r="T3966" s="1" t="s">
        <v>125</v>
      </c>
      <c r="U3966" s="1"/>
      <c r="V3966" s="1">
        <v>20.99</v>
      </c>
      <c r="W3966" s="1">
        <v>20.99</v>
      </c>
      <c r="X3966" s="1" t="s">
        <v>35</v>
      </c>
      <c r="Y3966" s="1">
        <v>20990.0</v>
      </c>
      <c r="Z3966" s="1"/>
      <c r="AA3966" s="1">
        <v>20990.0</v>
      </c>
      <c r="AB3966" s="1"/>
      <c r="AC3966" s="1" t="s">
        <v>36</v>
      </c>
      <c r="AD3966" s="1" t="s">
        <v>13720</v>
      </c>
      <c r="AE3966" s="1" t="s">
        <v>32</v>
      </c>
      <c r="AF3966" s="1" t="s">
        <v>33</v>
      </c>
      <c r="AG3966" s="1" t="s">
        <v>127</v>
      </c>
    </row>
    <row r="3967" spans="1:33">
      <c r="A3967" t="s">
        <v>13728</v>
      </c>
      <c r="B3967" t="s">
        <v>13729</v>
      </c>
      <c r="C3967" t="s">
        <v>569</v>
      </c>
      <c r="E3967" t="s">
        <v>10495</v>
      </c>
      <c r="F3967" t="s">
        <v>10496</v>
      </c>
      <c r="G3967">
        <v>28.49</v>
      </c>
      <c r="H3967">
        <v>28.49</v>
      </c>
      <c r="I3967" t="s">
        <v>570</v>
      </c>
      <c r="J3967" t="s">
        <v>571</v>
      </c>
      <c r="K3967" t="s">
        <v>31</v>
      </c>
      <c r="L3967" t="s">
        <v>32</v>
      </c>
      <c r="M3967" t="s">
        <v>33</v>
      </c>
      <c r="P3967" s="1" t="s">
        <v>13730</v>
      </c>
      <c r="Q3967" s="1" t="s">
        <v>10495</v>
      </c>
      <c r="R3967" s="1" t="s">
        <v>10495</v>
      </c>
      <c r="S3967" s="1"/>
      <c r="T3967" s="1" t="s">
        <v>569</v>
      </c>
      <c r="U3967" s="1"/>
      <c r="V3967" s="1">
        <v>28.49</v>
      </c>
      <c r="W3967" s="1">
        <v>28.49</v>
      </c>
      <c r="X3967" s="1" t="s">
        <v>35</v>
      </c>
      <c r="Y3967" s="1">
        <v>28490.0</v>
      </c>
      <c r="Z3967" s="1"/>
      <c r="AA3967" s="1">
        <v>28490.0</v>
      </c>
      <c r="AB3967" s="1"/>
      <c r="AC3967" s="1" t="s">
        <v>36</v>
      </c>
      <c r="AD3967" s="1" t="s">
        <v>13731</v>
      </c>
      <c r="AE3967" s="1" t="s">
        <v>32</v>
      </c>
      <c r="AF3967" s="1" t="s">
        <v>33</v>
      </c>
      <c r="AG3967" s="1" t="s">
        <v>571</v>
      </c>
    </row>
    <row r="3968" spans="1:33">
      <c r="A3968" t="s">
        <v>13732</v>
      </c>
      <c r="B3968" t="s">
        <v>10545</v>
      </c>
      <c r="C3968" t="s">
        <v>12240</v>
      </c>
      <c r="E3968" t="s">
        <v>10495</v>
      </c>
      <c r="F3968" t="s">
        <v>10496</v>
      </c>
      <c r="G3968">
        <v>54.99</v>
      </c>
      <c r="H3968">
        <v>54.99</v>
      </c>
      <c r="I3968" t="s">
        <v>136</v>
      </c>
      <c r="J3968" t="s">
        <v>137</v>
      </c>
      <c r="K3968" t="s">
        <v>31</v>
      </c>
      <c r="L3968" t="s">
        <v>32</v>
      </c>
      <c r="M3968" t="s">
        <v>33</v>
      </c>
      <c r="P3968" s="1" t="s">
        <v>13733</v>
      </c>
      <c r="Q3968" s="1" t="s">
        <v>10495</v>
      </c>
      <c r="R3968" s="1" t="s">
        <v>10495</v>
      </c>
      <c r="S3968" s="1"/>
      <c r="T3968" s="1" t="s">
        <v>12240</v>
      </c>
      <c r="U3968" s="1"/>
      <c r="V3968" s="1">
        <v>54.99</v>
      </c>
      <c r="W3968" s="1">
        <v>54.99</v>
      </c>
      <c r="X3968" s="1" t="s">
        <v>35</v>
      </c>
      <c r="Y3968" s="1">
        <v>54990.0</v>
      </c>
      <c r="Z3968" s="1"/>
      <c r="AA3968" s="1">
        <v>54990.0</v>
      </c>
      <c r="AB3968" s="1"/>
      <c r="AC3968" s="1" t="s">
        <v>36</v>
      </c>
      <c r="AD3968" s="1" t="s">
        <v>13734</v>
      </c>
      <c r="AE3968" s="1" t="s">
        <v>32</v>
      </c>
      <c r="AF3968" s="1" t="s">
        <v>33</v>
      </c>
      <c r="AG3968" s="1" t="s">
        <v>137</v>
      </c>
    </row>
    <row r="3969" spans="1:33">
      <c r="A3969" t="s">
        <v>13735</v>
      </c>
      <c r="B3969" t="s">
        <v>7317</v>
      </c>
      <c r="C3969" t="s">
        <v>268</v>
      </c>
      <c r="E3969" t="s">
        <v>10495</v>
      </c>
      <c r="F3969" t="s">
        <v>10496</v>
      </c>
      <c r="G3969">
        <v>437.0</v>
      </c>
      <c r="H3969">
        <v>437.0</v>
      </c>
      <c r="I3969" t="s">
        <v>269</v>
      </c>
      <c r="J3969" t="s">
        <v>270</v>
      </c>
      <c r="K3969" t="s">
        <v>31</v>
      </c>
      <c r="L3969" t="s">
        <v>32</v>
      </c>
      <c r="M3969" t="s">
        <v>33</v>
      </c>
      <c r="P3969" s="1" t="s">
        <v>13736</v>
      </c>
      <c r="Q3969" s="1" t="s">
        <v>10495</v>
      </c>
      <c r="R3969" s="1" t="s">
        <v>10495</v>
      </c>
      <c r="S3969" s="1"/>
      <c r="T3969" s="1" t="s">
        <v>268</v>
      </c>
      <c r="U3969" s="1"/>
      <c r="V3969" s="1">
        <v>437.0</v>
      </c>
      <c r="W3969" s="1">
        <v>437.0</v>
      </c>
      <c r="X3969" s="1" t="s">
        <v>35</v>
      </c>
      <c r="Y3969" s="1">
        <v>437000.0</v>
      </c>
      <c r="Z3969" s="1"/>
      <c r="AA3969" s="1">
        <v>437000.0</v>
      </c>
      <c r="AB3969" s="1"/>
      <c r="AC3969" s="1" t="s">
        <v>36</v>
      </c>
      <c r="AD3969" s="1" t="s">
        <v>13734</v>
      </c>
      <c r="AE3969" s="1" t="s">
        <v>32</v>
      </c>
      <c r="AF3969" s="1" t="s">
        <v>33</v>
      </c>
      <c r="AG3969" s="1" t="s">
        <v>270</v>
      </c>
    </row>
    <row r="3970" spans="1:33">
      <c r="A3970" t="s">
        <v>13737</v>
      </c>
      <c r="B3970" t="s">
        <v>13738</v>
      </c>
      <c r="C3970" t="s">
        <v>26</v>
      </c>
      <c r="E3970" t="s">
        <v>10495</v>
      </c>
      <c r="F3970" t="s">
        <v>10496</v>
      </c>
      <c r="G3970">
        <v>3.0</v>
      </c>
      <c r="H3970">
        <v>3.0</v>
      </c>
      <c r="I3970" t="s">
        <v>29</v>
      </c>
      <c r="J3970" t="s">
        <v>30</v>
      </c>
      <c r="K3970" t="s">
        <v>31</v>
      </c>
      <c r="L3970" t="s">
        <v>32</v>
      </c>
      <c r="M3970" t="s">
        <v>33</v>
      </c>
      <c r="P3970" s="1" t="s">
        <v>13739</v>
      </c>
      <c r="Q3970" s="1" t="s">
        <v>10495</v>
      </c>
      <c r="R3970" s="1" t="s">
        <v>10495</v>
      </c>
      <c r="S3970" s="1"/>
      <c r="T3970" s="1" t="s">
        <v>26</v>
      </c>
      <c r="U3970" s="1"/>
      <c r="V3970" s="1">
        <v>3.0</v>
      </c>
      <c r="W3970" s="1">
        <v>3.0</v>
      </c>
      <c r="X3970" s="1" t="s">
        <v>35</v>
      </c>
      <c r="Y3970" s="1">
        <v>3000.0</v>
      </c>
      <c r="Z3970" s="1"/>
      <c r="AA3970" s="1">
        <v>3000.0</v>
      </c>
      <c r="AB3970" s="1"/>
      <c r="AC3970" s="1" t="s">
        <v>36</v>
      </c>
      <c r="AD3970" s="1" t="s">
        <v>13527</v>
      </c>
      <c r="AE3970" s="1" t="s">
        <v>32</v>
      </c>
      <c r="AF3970" s="1" t="s">
        <v>33</v>
      </c>
      <c r="AG3970" s="1" t="s">
        <v>30</v>
      </c>
    </row>
    <row r="3971" spans="1:33">
      <c r="A3971" t="s">
        <v>13740</v>
      </c>
      <c r="B3971" t="s">
        <v>251</v>
      </c>
      <c r="C3971" t="s">
        <v>125</v>
      </c>
      <c r="E3971" t="s">
        <v>10495</v>
      </c>
      <c r="F3971" t="s">
        <v>10496</v>
      </c>
      <c r="G3971">
        <v>19.69</v>
      </c>
      <c r="H3971">
        <v>19.69</v>
      </c>
      <c r="I3971" t="s">
        <v>126</v>
      </c>
      <c r="J3971" t="s">
        <v>127</v>
      </c>
      <c r="K3971" t="s">
        <v>31</v>
      </c>
      <c r="L3971" t="s">
        <v>32</v>
      </c>
      <c r="M3971" t="s">
        <v>33</v>
      </c>
      <c r="P3971" s="1" t="s">
        <v>13741</v>
      </c>
      <c r="Q3971" s="1" t="s">
        <v>10495</v>
      </c>
      <c r="R3971" s="1" t="s">
        <v>10495</v>
      </c>
      <c r="S3971" s="1"/>
      <c r="T3971" s="1" t="s">
        <v>125</v>
      </c>
      <c r="U3971" s="1"/>
      <c r="V3971" s="1">
        <v>19.69</v>
      </c>
      <c r="W3971" s="1">
        <v>19.69</v>
      </c>
      <c r="X3971" s="1" t="s">
        <v>35</v>
      </c>
      <c r="Y3971" s="1">
        <v>19690.0</v>
      </c>
      <c r="Z3971" s="1"/>
      <c r="AA3971" s="1">
        <v>19690.0</v>
      </c>
      <c r="AB3971" s="1"/>
      <c r="AC3971" s="1" t="s">
        <v>36</v>
      </c>
      <c r="AD3971" s="1" t="s">
        <v>13742</v>
      </c>
      <c r="AE3971" s="1" t="s">
        <v>32</v>
      </c>
      <c r="AF3971" s="1" t="s">
        <v>33</v>
      </c>
      <c r="AG3971" s="1" t="s">
        <v>127</v>
      </c>
    </row>
    <row r="3972" spans="1:33">
      <c r="A3972" t="s">
        <v>13743</v>
      </c>
      <c r="B3972" t="s">
        <v>5834</v>
      </c>
      <c r="C3972" t="s">
        <v>5835</v>
      </c>
      <c r="D3972" t="s">
        <v>154</v>
      </c>
      <c r="E3972" t="s">
        <v>10495</v>
      </c>
      <c r="F3972" t="s">
        <v>10496</v>
      </c>
      <c r="G3972">
        <v>404.34</v>
      </c>
      <c r="H3972">
        <v>404.34</v>
      </c>
      <c r="I3972" t="s">
        <v>59</v>
      </c>
      <c r="J3972" t="s">
        <v>60</v>
      </c>
      <c r="K3972" t="s">
        <v>31</v>
      </c>
      <c r="L3972" t="s">
        <v>32</v>
      </c>
      <c r="M3972" t="s">
        <v>33</v>
      </c>
      <c r="P3972" s="1" t="s">
        <v>13744</v>
      </c>
      <c r="Q3972" s="1" t="s">
        <v>10495</v>
      </c>
      <c r="R3972" s="1" t="s">
        <v>10495</v>
      </c>
      <c r="S3972" s="1"/>
      <c r="T3972" s="1" t="s">
        <v>5835</v>
      </c>
      <c r="U3972" s="1"/>
      <c r="V3972" s="1">
        <v>404.34</v>
      </c>
      <c r="W3972" s="1">
        <v>404.34</v>
      </c>
      <c r="X3972" s="1" t="s">
        <v>35</v>
      </c>
      <c r="Y3972" s="1">
        <v>404340.0</v>
      </c>
      <c r="Z3972" s="1"/>
      <c r="AA3972" s="1">
        <v>404340.0</v>
      </c>
      <c r="AB3972" s="1"/>
      <c r="AC3972" s="1" t="s">
        <v>36</v>
      </c>
      <c r="AD3972" s="1" t="s">
        <v>13745</v>
      </c>
      <c r="AE3972" s="1" t="s">
        <v>32</v>
      </c>
      <c r="AF3972" s="1" t="s">
        <v>33</v>
      </c>
      <c r="AG3972" s="1" t="s">
        <v>60</v>
      </c>
    </row>
    <row r="3973" spans="1:33">
      <c r="A3973" t="s">
        <v>13746</v>
      </c>
      <c r="B3973" t="s">
        <v>206</v>
      </c>
      <c r="C3973" t="s">
        <v>207</v>
      </c>
      <c r="E3973" t="s">
        <v>10495</v>
      </c>
      <c r="F3973" t="s">
        <v>10496</v>
      </c>
      <c r="G3973">
        <v>779.5</v>
      </c>
      <c r="H3973">
        <v>779.5</v>
      </c>
      <c r="I3973" t="s">
        <v>59</v>
      </c>
      <c r="J3973" t="s">
        <v>60</v>
      </c>
      <c r="K3973" t="s">
        <v>31</v>
      </c>
      <c r="L3973" t="s">
        <v>32</v>
      </c>
      <c r="M3973" t="s">
        <v>33</v>
      </c>
      <c r="P3973" s="1" t="s">
        <v>13747</v>
      </c>
      <c r="Q3973" s="1" t="s">
        <v>10495</v>
      </c>
      <c r="R3973" s="1" t="s">
        <v>10495</v>
      </c>
      <c r="S3973" s="1"/>
      <c r="T3973" s="1" t="s">
        <v>207</v>
      </c>
      <c r="U3973" s="1"/>
      <c r="V3973" s="1">
        <v>779.5</v>
      </c>
      <c r="W3973" s="1">
        <v>779.5</v>
      </c>
      <c r="X3973" s="1" t="s">
        <v>35</v>
      </c>
      <c r="Y3973" s="1">
        <v>779500.0</v>
      </c>
      <c r="Z3973" s="1"/>
      <c r="AA3973" s="1">
        <v>779500.0</v>
      </c>
      <c r="AB3973" s="1"/>
      <c r="AC3973" s="1" t="s">
        <v>36</v>
      </c>
      <c r="AD3973" s="1" t="s">
        <v>13748</v>
      </c>
      <c r="AE3973" s="1" t="s">
        <v>32</v>
      </c>
      <c r="AF3973" s="1" t="s">
        <v>33</v>
      </c>
      <c r="AG3973" s="1" t="s">
        <v>60</v>
      </c>
    </row>
    <row r="3974" spans="1:33">
      <c r="A3974" t="s">
        <v>13749</v>
      </c>
      <c r="B3974" t="s">
        <v>13750</v>
      </c>
      <c r="C3974" t="s">
        <v>47</v>
      </c>
      <c r="E3974" t="s">
        <v>10495</v>
      </c>
      <c r="F3974" t="s">
        <v>10496</v>
      </c>
      <c r="G3974">
        <v>65.98</v>
      </c>
      <c r="H3974">
        <v>65.98</v>
      </c>
      <c r="I3974" t="s">
        <v>2206</v>
      </c>
      <c r="J3974" t="s">
        <v>49</v>
      </c>
      <c r="K3974" t="s">
        <v>31</v>
      </c>
      <c r="L3974" t="s">
        <v>32</v>
      </c>
      <c r="M3974" t="s">
        <v>33</v>
      </c>
      <c r="P3974" s="1" t="s">
        <v>13751</v>
      </c>
      <c r="Q3974" s="1" t="s">
        <v>10495</v>
      </c>
      <c r="R3974" s="1" t="s">
        <v>10495</v>
      </c>
      <c r="S3974" s="1"/>
      <c r="T3974" s="1" t="s">
        <v>47</v>
      </c>
      <c r="U3974" s="1"/>
      <c r="V3974" s="1">
        <v>65.98</v>
      </c>
      <c r="W3974" s="1">
        <v>65.98</v>
      </c>
      <c r="X3974" s="1" t="s">
        <v>35</v>
      </c>
      <c r="Y3974" s="1">
        <v>65980.0</v>
      </c>
      <c r="Z3974" s="1"/>
      <c r="AA3974" s="1">
        <v>65980.0</v>
      </c>
      <c r="AB3974" s="1"/>
      <c r="AC3974" s="1" t="s">
        <v>36</v>
      </c>
      <c r="AD3974" s="1" t="s">
        <v>13644</v>
      </c>
      <c r="AE3974" s="1" t="s">
        <v>32</v>
      </c>
      <c r="AF3974" s="1" t="s">
        <v>33</v>
      </c>
      <c r="AG3974" s="1" t="s">
        <v>49</v>
      </c>
    </row>
    <row r="3975" spans="1:33">
      <c r="A3975" t="s">
        <v>13752</v>
      </c>
      <c r="C3975" t="s">
        <v>810</v>
      </c>
      <c r="D3975" t="s">
        <v>154</v>
      </c>
      <c r="E3975" t="s">
        <v>10495</v>
      </c>
      <c r="F3975" t="s">
        <v>10496</v>
      </c>
      <c r="G3975">
        <v>3.421</v>
      </c>
      <c r="H3975">
        <v>3.421</v>
      </c>
      <c r="I3975" t="s">
        <v>269</v>
      </c>
      <c r="J3975" t="s">
        <v>270</v>
      </c>
      <c r="K3975" t="s">
        <v>31</v>
      </c>
      <c r="L3975" t="s">
        <v>32</v>
      </c>
      <c r="M3975" t="s">
        <v>33</v>
      </c>
      <c r="P3975" s="1" t="s">
        <v>13753</v>
      </c>
      <c r="Q3975" s="1" t="s">
        <v>10495</v>
      </c>
      <c r="R3975" s="1" t="s">
        <v>10495</v>
      </c>
      <c r="S3975" s="1"/>
      <c r="T3975" s="1" t="s">
        <v>810</v>
      </c>
      <c r="U3975" s="1"/>
      <c r="V3975" s="1">
        <v>3.421</v>
      </c>
      <c r="W3975" s="1">
        <v>3.421</v>
      </c>
      <c r="X3975" s="1" t="s">
        <v>35</v>
      </c>
      <c r="Y3975" s="1">
        <v>3421000.0</v>
      </c>
      <c r="Z3975" s="1"/>
      <c r="AA3975" s="1">
        <v>3421000.0</v>
      </c>
      <c r="AB3975" s="1"/>
      <c r="AC3975" s="1" t="s">
        <v>36</v>
      </c>
      <c r="AD3975" s="1" t="s">
        <v>13754</v>
      </c>
      <c r="AE3975" s="1" t="s">
        <v>32</v>
      </c>
      <c r="AF3975" s="1" t="s">
        <v>33</v>
      </c>
      <c r="AG3975" s="1" t="s">
        <v>270</v>
      </c>
    </row>
    <row r="3976" spans="1:33">
      <c r="A3976" t="s">
        <v>13755</v>
      </c>
      <c r="C3976" t="s">
        <v>13756</v>
      </c>
      <c r="E3976" t="s">
        <v>10495</v>
      </c>
      <c r="F3976" t="s">
        <v>10496</v>
      </c>
      <c r="G3976">
        <v>336.0</v>
      </c>
      <c r="H3976">
        <v>336.0</v>
      </c>
      <c r="I3976" t="s">
        <v>2206</v>
      </c>
      <c r="J3976" t="s">
        <v>49</v>
      </c>
      <c r="K3976" t="s">
        <v>31</v>
      </c>
      <c r="L3976" t="s">
        <v>32</v>
      </c>
      <c r="M3976" t="s">
        <v>33</v>
      </c>
      <c r="P3976" s="1" t="s">
        <v>13757</v>
      </c>
      <c r="Q3976" s="1" t="s">
        <v>10495</v>
      </c>
      <c r="R3976" s="1" t="s">
        <v>10495</v>
      </c>
      <c r="S3976" s="1"/>
      <c r="T3976" s="1" t="s">
        <v>13756</v>
      </c>
      <c r="U3976" s="1"/>
      <c r="V3976" s="1">
        <v>336.0</v>
      </c>
      <c r="W3976" s="1">
        <v>336.0</v>
      </c>
      <c r="X3976" s="1" t="s">
        <v>35</v>
      </c>
      <c r="Y3976" s="1">
        <v>336000.0</v>
      </c>
      <c r="Z3976" s="1"/>
      <c r="AA3976" s="1">
        <v>336000.0</v>
      </c>
      <c r="AB3976" s="1"/>
      <c r="AC3976" s="1" t="s">
        <v>36</v>
      </c>
      <c r="AD3976" s="1" t="s">
        <v>13758</v>
      </c>
      <c r="AE3976" s="1" t="s">
        <v>32</v>
      </c>
      <c r="AF3976" s="1" t="s">
        <v>33</v>
      </c>
      <c r="AG3976" s="1" t="s">
        <v>49</v>
      </c>
    </row>
    <row r="3977" spans="1:33">
      <c r="A3977" t="s">
        <v>13759</v>
      </c>
      <c r="B3977" t="s">
        <v>2556</v>
      </c>
      <c r="C3977" t="s">
        <v>2557</v>
      </c>
      <c r="E3977" t="s">
        <v>10495</v>
      </c>
      <c r="F3977" t="s">
        <v>10496</v>
      </c>
      <c r="G3977">
        <v>370.0</v>
      </c>
      <c r="H3977">
        <v>370.0</v>
      </c>
      <c r="I3977" t="s">
        <v>59</v>
      </c>
      <c r="J3977" t="s">
        <v>60</v>
      </c>
      <c r="K3977" t="s">
        <v>31</v>
      </c>
      <c r="L3977" t="s">
        <v>32</v>
      </c>
      <c r="M3977" t="s">
        <v>33</v>
      </c>
      <c r="P3977" s="1" t="s">
        <v>13760</v>
      </c>
      <c r="Q3977" s="1" t="s">
        <v>10495</v>
      </c>
      <c r="R3977" s="1" t="s">
        <v>10495</v>
      </c>
      <c r="S3977" s="1"/>
      <c r="T3977" s="1" t="s">
        <v>2557</v>
      </c>
      <c r="U3977" s="1"/>
      <c r="V3977" s="1">
        <v>370.0</v>
      </c>
      <c r="W3977" s="1">
        <v>370.0</v>
      </c>
      <c r="X3977" s="1" t="s">
        <v>35</v>
      </c>
      <c r="Y3977" s="1">
        <v>370000.0</v>
      </c>
      <c r="Z3977" s="1"/>
      <c r="AA3977" s="1">
        <v>370000.0</v>
      </c>
      <c r="AB3977" s="1"/>
      <c r="AC3977" s="1" t="s">
        <v>36</v>
      </c>
      <c r="AD3977" s="1" t="s">
        <v>13758</v>
      </c>
      <c r="AE3977" s="1" t="s">
        <v>32</v>
      </c>
      <c r="AF3977" s="1" t="s">
        <v>33</v>
      </c>
      <c r="AG3977" s="1" t="s">
        <v>60</v>
      </c>
    </row>
    <row r="3978" spans="1:33">
      <c r="A3978" t="s">
        <v>13761</v>
      </c>
      <c r="B3978" t="s">
        <v>2533</v>
      </c>
      <c r="C3978" t="s">
        <v>569</v>
      </c>
      <c r="E3978" t="s">
        <v>10495</v>
      </c>
      <c r="F3978" t="s">
        <v>10496</v>
      </c>
      <c r="G3978">
        <v>177.06</v>
      </c>
      <c r="H3978">
        <v>177.06</v>
      </c>
      <c r="I3978" t="s">
        <v>570</v>
      </c>
      <c r="J3978" t="s">
        <v>571</v>
      </c>
      <c r="K3978" t="s">
        <v>31</v>
      </c>
      <c r="L3978" t="s">
        <v>32</v>
      </c>
      <c r="M3978" t="s">
        <v>33</v>
      </c>
      <c r="P3978" s="1" t="s">
        <v>13762</v>
      </c>
      <c r="Q3978" s="1" t="s">
        <v>10495</v>
      </c>
      <c r="R3978" s="1" t="s">
        <v>10495</v>
      </c>
      <c r="S3978" s="1"/>
      <c r="T3978" s="1" t="s">
        <v>569</v>
      </c>
      <c r="U3978" s="1"/>
      <c r="V3978" s="1">
        <v>177.06</v>
      </c>
      <c r="W3978" s="1">
        <v>177.06</v>
      </c>
      <c r="X3978" s="1" t="s">
        <v>35</v>
      </c>
      <c r="Y3978" s="1">
        <v>177060.0</v>
      </c>
      <c r="Z3978" s="1"/>
      <c r="AA3978" s="1">
        <v>177060.0</v>
      </c>
      <c r="AB3978" s="1"/>
      <c r="AC3978" s="1" t="s">
        <v>36</v>
      </c>
      <c r="AD3978" s="1" t="s">
        <v>13763</v>
      </c>
      <c r="AE3978" s="1" t="s">
        <v>32</v>
      </c>
      <c r="AF3978" s="1" t="s">
        <v>33</v>
      </c>
      <c r="AG3978" s="1" t="s">
        <v>571</v>
      </c>
    </row>
    <row r="3979" spans="1:33">
      <c r="A3979" t="s">
        <v>13764</v>
      </c>
      <c r="C3979" t="s">
        <v>670</v>
      </c>
      <c r="E3979" t="s">
        <v>10495</v>
      </c>
      <c r="F3979" t="s">
        <v>10496</v>
      </c>
      <c r="G3979">
        <v>328.0</v>
      </c>
      <c r="H3979">
        <v>328.0</v>
      </c>
      <c r="I3979" t="s">
        <v>269</v>
      </c>
      <c r="J3979" t="s">
        <v>270</v>
      </c>
      <c r="K3979" t="s">
        <v>31</v>
      </c>
      <c r="L3979" t="s">
        <v>32</v>
      </c>
      <c r="M3979" t="s">
        <v>33</v>
      </c>
      <c r="P3979" s="1" t="s">
        <v>13765</v>
      </c>
      <c r="Q3979" s="1" t="s">
        <v>10495</v>
      </c>
      <c r="R3979" s="1" t="s">
        <v>10495</v>
      </c>
      <c r="S3979" s="1"/>
      <c r="T3979" s="1" t="s">
        <v>670</v>
      </c>
      <c r="U3979" s="1"/>
      <c r="V3979" s="1">
        <v>328.0</v>
      </c>
      <c r="W3979" s="1">
        <v>328.0</v>
      </c>
      <c r="X3979" s="1" t="s">
        <v>35</v>
      </c>
      <c r="Y3979" s="1">
        <v>328000.0</v>
      </c>
      <c r="Z3979" s="1"/>
      <c r="AA3979" s="1">
        <v>328000.0</v>
      </c>
      <c r="AB3979" s="1"/>
      <c r="AC3979" s="1" t="s">
        <v>36</v>
      </c>
      <c r="AD3979" s="1" t="s">
        <v>13766</v>
      </c>
      <c r="AE3979" s="1" t="s">
        <v>32</v>
      </c>
      <c r="AF3979" s="1" t="s">
        <v>33</v>
      </c>
      <c r="AG3979" s="1" t="s">
        <v>270</v>
      </c>
    </row>
    <row r="3980" spans="1:33">
      <c r="A3980" t="s">
        <v>13767</v>
      </c>
      <c r="C3980" t="s">
        <v>6031</v>
      </c>
      <c r="E3980" t="s">
        <v>10495</v>
      </c>
      <c r="F3980" t="s">
        <v>10496</v>
      </c>
      <c r="G3980">
        <v>336.0</v>
      </c>
      <c r="H3980">
        <v>336.0</v>
      </c>
      <c r="I3980" t="s">
        <v>2206</v>
      </c>
      <c r="J3980" t="s">
        <v>49</v>
      </c>
      <c r="K3980" t="s">
        <v>31</v>
      </c>
      <c r="L3980" t="s">
        <v>32</v>
      </c>
      <c r="M3980" t="s">
        <v>33</v>
      </c>
      <c r="P3980" s="1" t="s">
        <v>13768</v>
      </c>
      <c r="Q3980" s="1" t="s">
        <v>10495</v>
      </c>
      <c r="R3980" s="1" t="s">
        <v>10495</v>
      </c>
      <c r="S3980" s="1"/>
      <c r="T3980" s="1" t="s">
        <v>6031</v>
      </c>
      <c r="U3980" s="1"/>
      <c r="V3980" s="1">
        <v>336.0</v>
      </c>
      <c r="W3980" s="1">
        <v>336.0</v>
      </c>
      <c r="X3980" s="1" t="s">
        <v>35</v>
      </c>
      <c r="Y3980" s="1">
        <v>336000.0</v>
      </c>
      <c r="Z3980" s="1"/>
      <c r="AA3980" s="1">
        <v>336000.0</v>
      </c>
      <c r="AB3980" s="1"/>
      <c r="AC3980" s="1" t="s">
        <v>36</v>
      </c>
      <c r="AD3980" s="1" t="s">
        <v>13625</v>
      </c>
      <c r="AE3980" s="1" t="s">
        <v>32</v>
      </c>
      <c r="AF3980" s="1" t="s">
        <v>33</v>
      </c>
      <c r="AG3980" s="1" t="s">
        <v>49</v>
      </c>
    </row>
    <row r="3981" spans="1:33">
      <c r="A3981" t="s">
        <v>13769</v>
      </c>
      <c r="C3981" t="s">
        <v>13035</v>
      </c>
      <c r="D3981" t="s">
        <v>114</v>
      </c>
      <c r="E3981" t="s">
        <v>10495</v>
      </c>
      <c r="F3981" t="s">
        <v>10496</v>
      </c>
      <c r="G3981">
        <v>1.367</v>
      </c>
      <c r="H3981">
        <v>1.367</v>
      </c>
      <c r="I3981" t="s">
        <v>269</v>
      </c>
      <c r="J3981" t="s">
        <v>270</v>
      </c>
      <c r="K3981" t="s">
        <v>31</v>
      </c>
      <c r="L3981" t="s">
        <v>32</v>
      </c>
      <c r="M3981" t="s">
        <v>33</v>
      </c>
      <c r="P3981" s="1" t="s">
        <v>13770</v>
      </c>
      <c r="Q3981" s="1" t="s">
        <v>10495</v>
      </c>
      <c r="R3981" s="1" t="s">
        <v>10495</v>
      </c>
      <c r="S3981" s="1"/>
      <c r="T3981" s="1" t="s">
        <v>13037</v>
      </c>
      <c r="U3981" s="1" t="s">
        <v>13038</v>
      </c>
      <c r="V3981" s="1">
        <v>1.367</v>
      </c>
      <c r="W3981" s="1">
        <v>1.367</v>
      </c>
      <c r="X3981" s="1" t="s">
        <v>35</v>
      </c>
      <c r="Y3981" s="1">
        <v>1367900.0</v>
      </c>
      <c r="Z3981" s="1"/>
      <c r="AA3981" s="1">
        <v>1367900.0</v>
      </c>
      <c r="AB3981" s="1"/>
      <c r="AC3981" s="1" t="s">
        <v>36</v>
      </c>
      <c r="AD3981" s="1" t="s">
        <v>13708</v>
      </c>
      <c r="AE3981" s="1" t="s">
        <v>32</v>
      </c>
      <c r="AF3981" s="1" t="s">
        <v>33</v>
      </c>
      <c r="AG3981" s="1" t="s">
        <v>270</v>
      </c>
    </row>
    <row r="3982" spans="1:33">
      <c r="A3982" t="s">
        <v>13771</v>
      </c>
      <c r="B3982" t="s">
        <v>9175</v>
      </c>
      <c r="C3982" t="s">
        <v>314</v>
      </c>
      <c r="E3982" t="s">
        <v>10495</v>
      </c>
      <c r="F3982" t="s">
        <v>10496</v>
      </c>
      <c r="G3982">
        <v>37.18</v>
      </c>
      <c r="H3982">
        <v>37.18</v>
      </c>
      <c r="I3982" t="s">
        <v>179</v>
      </c>
      <c r="J3982" t="s">
        <v>180</v>
      </c>
      <c r="K3982" t="s">
        <v>31</v>
      </c>
      <c r="L3982" t="s">
        <v>32</v>
      </c>
      <c r="M3982" t="s">
        <v>33</v>
      </c>
      <c r="P3982" s="1" t="s">
        <v>13772</v>
      </c>
      <c r="Q3982" s="1" t="s">
        <v>10495</v>
      </c>
      <c r="R3982" s="1" t="s">
        <v>10495</v>
      </c>
      <c r="S3982" s="1"/>
      <c r="T3982" s="1" t="s">
        <v>314</v>
      </c>
      <c r="U3982" s="1"/>
      <c r="V3982" s="1">
        <v>37.18</v>
      </c>
      <c r="W3982" s="1">
        <v>37.18</v>
      </c>
      <c r="X3982" s="1" t="s">
        <v>35</v>
      </c>
      <c r="Y3982" s="1">
        <v>37180.0</v>
      </c>
      <c r="Z3982" s="1"/>
      <c r="AA3982" s="1">
        <v>37180.0</v>
      </c>
      <c r="AB3982" s="1"/>
      <c r="AC3982" s="1" t="s">
        <v>36</v>
      </c>
      <c r="AD3982" s="1" t="s">
        <v>13773</v>
      </c>
      <c r="AE3982" s="1" t="s">
        <v>32</v>
      </c>
      <c r="AF3982" s="1" t="s">
        <v>33</v>
      </c>
      <c r="AG3982" s="1" t="s">
        <v>180</v>
      </c>
    </row>
    <row r="3983" spans="1:33">
      <c r="A3983" t="s">
        <v>13774</v>
      </c>
      <c r="B3983" t="s">
        <v>13775</v>
      </c>
      <c r="C3983" t="s">
        <v>2741</v>
      </c>
      <c r="E3983" t="s">
        <v>10495</v>
      </c>
      <c r="F3983" t="s">
        <v>10496</v>
      </c>
      <c r="G3983">
        <v>75.0</v>
      </c>
      <c r="H3983">
        <v>75.0</v>
      </c>
      <c r="I3983" t="s">
        <v>2742</v>
      </c>
      <c r="J3983" t="s">
        <v>2743</v>
      </c>
      <c r="K3983" t="s">
        <v>31</v>
      </c>
      <c r="L3983" t="s">
        <v>32</v>
      </c>
      <c r="M3983" t="s">
        <v>33</v>
      </c>
      <c r="P3983" s="1" t="s">
        <v>13776</v>
      </c>
      <c r="Q3983" s="1" t="s">
        <v>10495</v>
      </c>
      <c r="R3983" s="1" t="s">
        <v>10495</v>
      </c>
      <c r="S3983" s="1"/>
      <c r="T3983" s="1" t="s">
        <v>2741</v>
      </c>
      <c r="U3983" s="1"/>
      <c r="V3983" s="1">
        <v>75.0</v>
      </c>
      <c r="W3983" s="1">
        <v>75.0</v>
      </c>
      <c r="X3983" s="1" t="s">
        <v>35</v>
      </c>
      <c r="Y3983" s="1">
        <v>75000.0</v>
      </c>
      <c r="Z3983" s="1"/>
      <c r="AA3983" s="1">
        <v>75000.0</v>
      </c>
      <c r="AB3983" s="1"/>
      <c r="AC3983" s="1" t="s">
        <v>36</v>
      </c>
      <c r="AD3983" s="1" t="s">
        <v>13777</v>
      </c>
      <c r="AE3983" s="1" t="s">
        <v>32</v>
      </c>
      <c r="AF3983" s="1" t="s">
        <v>33</v>
      </c>
      <c r="AG3983" s="1" t="s">
        <v>2743</v>
      </c>
    </row>
    <row r="3984" spans="1:33">
      <c r="A3984" t="s">
        <v>13778</v>
      </c>
      <c r="C3984" t="s">
        <v>827</v>
      </c>
      <c r="D3984" t="s">
        <v>154</v>
      </c>
      <c r="E3984" t="s">
        <v>10495</v>
      </c>
      <c r="F3984" t="s">
        <v>10496</v>
      </c>
      <c r="G3984">
        <v>1.038</v>
      </c>
      <c r="H3984">
        <v>1.038</v>
      </c>
      <c r="I3984" t="s">
        <v>269</v>
      </c>
      <c r="J3984" t="s">
        <v>270</v>
      </c>
      <c r="K3984" t="s">
        <v>31</v>
      </c>
      <c r="L3984" t="s">
        <v>32</v>
      </c>
      <c r="M3984" t="s">
        <v>33</v>
      </c>
      <c r="P3984" s="1" t="s">
        <v>13779</v>
      </c>
      <c r="Q3984" s="1" t="s">
        <v>10495</v>
      </c>
      <c r="R3984" s="1" t="s">
        <v>10495</v>
      </c>
      <c r="S3984" s="1"/>
      <c r="T3984" s="1" t="s">
        <v>827</v>
      </c>
      <c r="U3984" s="1"/>
      <c r="V3984" s="1">
        <v>1.038</v>
      </c>
      <c r="W3984" s="1">
        <v>1.038</v>
      </c>
      <c r="X3984" s="1" t="s">
        <v>35</v>
      </c>
      <c r="Y3984" s="1">
        <v>1038200.0</v>
      </c>
      <c r="Z3984" s="1"/>
      <c r="AA3984" s="1">
        <v>1038200.0</v>
      </c>
      <c r="AB3984" s="1"/>
      <c r="AC3984" s="1" t="s">
        <v>36</v>
      </c>
      <c r="AD3984" s="1" t="s">
        <v>13780</v>
      </c>
      <c r="AE3984" s="1" t="s">
        <v>32</v>
      </c>
      <c r="AF3984" s="1" t="s">
        <v>33</v>
      </c>
      <c r="AG3984" s="1" t="s">
        <v>270</v>
      </c>
    </row>
    <row r="3985" spans="1:33">
      <c r="A3985" t="s">
        <v>13781</v>
      </c>
      <c r="C3985" t="s">
        <v>13782</v>
      </c>
      <c r="E3985" t="s">
        <v>10495</v>
      </c>
      <c r="F3985" t="s">
        <v>10496</v>
      </c>
      <c r="G3985">
        <v>328.0</v>
      </c>
      <c r="H3985">
        <v>328.0</v>
      </c>
      <c r="I3985" t="s">
        <v>136</v>
      </c>
      <c r="J3985" t="s">
        <v>137</v>
      </c>
      <c r="K3985" t="s">
        <v>31</v>
      </c>
      <c r="L3985" t="s">
        <v>32</v>
      </c>
      <c r="M3985" t="s">
        <v>33</v>
      </c>
      <c r="P3985" s="1" t="s">
        <v>13783</v>
      </c>
      <c r="Q3985" s="1" t="s">
        <v>10495</v>
      </c>
      <c r="R3985" s="1" t="s">
        <v>10495</v>
      </c>
      <c r="S3985" s="1"/>
      <c r="T3985" s="1" t="s">
        <v>13784</v>
      </c>
      <c r="U3985" s="1" t="s">
        <v>13785</v>
      </c>
      <c r="V3985" s="1">
        <v>328.0</v>
      </c>
      <c r="W3985" s="1">
        <v>328.0</v>
      </c>
      <c r="X3985" s="1" t="s">
        <v>35</v>
      </c>
      <c r="Y3985" s="1">
        <v>328000.0</v>
      </c>
      <c r="Z3985" s="1"/>
      <c r="AA3985" s="1">
        <v>328000.0</v>
      </c>
      <c r="AB3985" s="1"/>
      <c r="AC3985" s="1" t="s">
        <v>36</v>
      </c>
      <c r="AD3985" s="1" t="s">
        <v>13786</v>
      </c>
      <c r="AE3985" s="1" t="s">
        <v>32</v>
      </c>
      <c r="AF3985" s="1" t="s">
        <v>33</v>
      </c>
      <c r="AG3985" s="1" t="s">
        <v>137</v>
      </c>
    </row>
    <row r="3986" spans="1:33">
      <c r="A3986" t="s">
        <v>13787</v>
      </c>
      <c r="B3986" t="s">
        <v>13788</v>
      </c>
      <c r="C3986" t="s">
        <v>73</v>
      </c>
      <c r="E3986" t="s">
        <v>10495</v>
      </c>
      <c r="F3986" t="s">
        <v>10496</v>
      </c>
      <c r="G3986">
        <v>17.3</v>
      </c>
      <c r="H3986">
        <v>17.3</v>
      </c>
      <c r="I3986" t="s">
        <v>13331</v>
      </c>
      <c r="J3986" t="s">
        <v>41</v>
      </c>
      <c r="K3986" t="s">
        <v>12290</v>
      </c>
      <c r="L3986" t="s">
        <v>32</v>
      </c>
      <c r="M3986" t="s">
        <v>33</v>
      </c>
      <c r="P3986" s="1" t="s">
        <v>13789</v>
      </c>
      <c r="Q3986" s="1" t="s">
        <v>10495</v>
      </c>
      <c r="R3986" s="1" t="s">
        <v>13321</v>
      </c>
      <c r="S3986" s="1"/>
      <c r="T3986" s="1" t="s">
        <v>75</v>
      </c>
      <c r="U3986" s="1" t="s">
        <v>76</v>
      </c>
      <c r="V3986" s="1">
        <v>17.3</v>
      </c>
      <c r="W3986" s="1">
        <v>17.3</v>
      </c>
      <c r="X3986" s="1" t="s">
        <v>35</v>
      </c>
      <c r="Y3986" s="1">
        <v>17300.0</v>
      </c>
      <c r="Z3986" s="1"/>
      <c r="AA3986" s="1">
        <v>17300.0</v>
      </c>
      <c r="AB3986" s="1"/>
      <c r="AC3986" s="1" t="s">
        <v>36</v>
      </c>
      <c r="AD3986" s="1" t="s">
        <v>13786</v>
      </c>
      <c r="AE3986" s="1" t="s">
        <v>32</v>
      </c>
      <c r="AF3986" s="1" t="s">
        <v>33</v>
      </c>
      <c r="AG3986" s="1" t="s">
        <v>41</v>
      </c>
    </row>
    <row r="3987" spans="1:33">
      <c r="A3987" t="s">
        <v>13790</v>
      </c>
      <c r="B3987" t="s">
        <v>13791</v>
      </c>
      <c r="C3987" t="s">
        <v>68</v>
      </c>
      <c r="E3987" t="s">
        <v>10495</v>
      </c>
      <c r="F3987" t="s">
        <v>10496</v>
      </c>
      <c r="G3987">
        <v>11.85</v>
      </c>
      <c r="H3987">
        <v>11.85</v>
      </c>
      <c r="I3987" t="s">
        <v>59</v>
      </c>
      <c r="J3987" t="s">
        <v>60</v>
      </c>
      <c r="K3987" t="s">
        <v>31</v>
      </c>
      <c r="L3987" t="s">
        <v>32</v>
      </c>
      <c r="M3987" t="s">
        <v>33</v>
      </c>
      <c r="P3987" s="1" t="s">
        <v>13792</v>
      </c>
      <c r="Q3987" s="1" t="s">
        <v>10495</v>
      </c>
      <c r="R3987" s="1" t="s">
        <v>10495</v>
      </c>
      <c r="S3987" s="1"/>
      <c r="T3987" s="1" t="s">
        <v>68</v>
      </c>
      <c r="U3987" s="1"/>
      <c r="V3987" s="1">
        <v>11.85</v>
      </c>
      <c r="W3987" s="1">
        <v>11.85</v>
      </c>
      <c r="X3987" s="1" t="s">
        <v>35</v>
      </c>
      <c r="Y3987" s="1">
        <v>11850.0</v>
      </c>
      <c r="Z3987" s="1"/>
      <c r="AA3987" s="1">
        <v>11850.0</v>
      </c>
      <c r="AB3987" s="1"/>
      <c r="AC3987" s="1" t="s">
        <v>36</v>
      </c>
      <c r="AD3987" s="1" t="s">
        <v>13780</v>
      </c>
      <c r="AE3987" s="1" t="s">
        <v>32</v>
      </c>
      <c r="AF3987" s="1" t="s">
        <v>33</v>
      </c>
      <c r="AG3987" s="1" t="s">
        <v>60</v>
      </c>
    </row>
    <row r="3988" spans="1:33">
      <c r="A3988" t="s">
        <v>13793</v>
      </c>
      <c r="C3988" t="s">
        <v>13794</v>
      </c>
      <c r="E3988" t="s">
        <v>10495</v>
      </c>
      <c r="F3988" t="s">
        <v>10496</v>
      </c>
      <c r="G3988">
        <v>1.312</v>
      </c>
      <c r="H3988">
        <v>1.312</v>
      </c>
      <c r="I3988" t="s">
        <v>136</v>
      </c>
      <c r="J3988" t="s">
        <v>137</v>
      </c>
      <c r="K3988" t="s">
        <v>31</v>
      </c>
      <c r="L3988" t="s">
        <v>32</v>
      </c>
      <c r="M3988" t="s">
        <v>33</v>
      </c>
      <c r="P3988" s="1" t="s">
        <v>13795</v>
      </c>
      <c r="Q3988" s="1" t="s">
        <v>10495</v>
      </c>
      <c r="R3988" s="1" t="s">
        <v>10495</v>
      </c>
      <c r="S3988" s="1"/>
      <c r="T3988" s="1" t="s">
        <v>13794</v>
      </c>
      <c r="U3988" s="1"/>
      <c r="V3988" s="1">
        <v>1.312</v>
      </c>
      <c r="W3988" s="1">
        <v>1.312</v>
      </c>
      <c r="X3988" s="1" t="s">
        <v>35</v>
      </c>
      <c r="Y3988" s="1">
        <v>1312000.0</v>
      </c>
      <c r="Z3988" s="1"/>
      <c r="AA3988" s="1">
        <v>1312000.0</v>
      </c>
      <c r="AB3988" s="1"/>
      <c r="AC3988" s="1" t="s">
        <v>36</v>
      </c>
      <c r="AD3988" s="1" t="s">
        <v>13796</v>
      </c>
      <c r="AE3988" s="1" t="s">
        <v>32</v>
      </c>
      <c r="AF3988" s="1" t="s">
        <v>33</v>
      </c>
      <c r="AG3988" s="1" t="s">
        <v>137</v>
      </c>
    </row>
    <row r="3989" spans="1:33">
      <c r="A3989" t="s">
        <v>13797</v>
      </c>
      <c r="C3989" t="s">
        <v>1432</v>
      </c>
      <c r="D3989" t="s">
        <v>114</v>
      </c>
      <c r="E3989" t="s">
        <v>10495</v>
      </c>
      <c r="F3989" t="s">
        <v>10496</v>
      </c>
      <c r="G3989">
        <v>410.0</v>
      </c>
      <c r="H3989">
        <v>410.0</v>
      </c>
      <c r="I3989" t="s">
        <v>227</v>
      </c>
      <c r="J3989" t="s">
        <v>228</v>
      </c>
      <c r="K3989" t="s">
        <v>31</v>
      </c>
      <c r="L3989" t="s">
        <v>32</v>
      </c>
      <c r="M3989" t="s">
        <v>33</v>
      </c>
      <c r="P3989" s="1" t="s">
        <v>13798</v>
      </c>
      <c r="Q3989" s="1" t="s">
        <v>10495</v>
      </c>
      <c r="R3989" s="1" t="s">
        <v>10495</v>
      </c>
      <c r="S3989" s="1"/>
      <c r="T3989" s="1" t="s">
        <v>1432</v>
      </c>
      <c r="U3989" s="1"/>
      <c r="V3989" s="1">
        <v>410.0</v>
      </c>
      <c r="W3989" s="1">
        <v>410.0</v>
      </c>
      <c r="X3989" s="1" t="s">
        <v>35</v>
      </c>
      <c r="Y3989" s="1">
        <v>410000.0</v>
      </c>
      <c r="Z3989" s="1"/>
      <c r="AA3989" s="1">
        <v>410000.0</v>
      </c>
      <c r="AB3989" s="1"/>
      <c r="AC3989" s="1" t="s">
        <v>36</v>
      </c>
      <c r="AD3989" s="1" t="s">
        <v>13799</v>
      </c>
      <c r="AE3989" s="1" t="s">
        <v>32</v>
      </c>
      <c r="AF3989" s="1" t="s">
        <v>33</v>
      </c>
      <c r="AG3989" s="1" t="s">
        <v>228</v>
      </c>
    </row>
    <row r="3990" spans="1:33">
      <c r="A3990" t="s">
        <v>13800</v>
      </c>
      <c r="C3990" t="s">
        <v>1352</v>
      </c>
      <c r="E3990" t="s">
        <v>10495</v>
      </c>
      <c r="F3990" t="s">
        <v>10496</v>
      </c>
      <c r="G3990">
        <v>2.46</v>
      </c>
      <c r="H3990">
        <v>2.46</v>
      </c>
      <c r="I3990" t="s">
        <v>269</v>
      </c>
      <c r="J3990" t="s">
        <v>270</v>
      </c>
      <c r="K3990" t="s">
        <v>31</v>
      </c>
      <c r="L3990" t="s">
        <v>32</v>
      </c>
      <c r="M3990" t="s">
        <v>33</v>
      </c>
      <c r="P3990" s="1" t="s">
        <v>13801</v>
      </c>
      <c r="Q3990" s="1" t="s">
        <v>10495</v>
      </c>
      <c r="R3990" s="1" t="s">
        <v>10495</v>
      </c>
      <c r="S3990" s="1"/>
      <c r="T3990" s="1" t="s">
        <v>1352</v>
      </c>
      <c r="U3990" s="1"/>
      <c r="V3990" s="1">
        <v>2.46</v>
      </c>
      <c r="W3990" s="1">
        <v>2.46</v>
      </c>
      <c r="X3990" s="1" t="s">
        <v>35</v>
      </c>
      <c r="Y3990" s="1">
        <v>2460000.0</v>
      </c>
      <c r="Z3990" s="1"/>
      <c r="AA3990" s="1">
        <v>2460000.0</v>
      </c>
      <c r="AB3990" s="1"/>
      <c r="AC3990" s="1" t="s">
        <v>36</v>
      </c>
      <c r="AD3990" s="1" t="s">
        <v>13802</v>
      </c>
      <c r="AE3990" s="1" t="s">
        <v>32</v>
      </c>
      <c r="AF3990" s="1" t="s">
        <v>33</v>
      </c>
      <c r="AG3990" s="1" t="s">
        <v>270</v>
      </c>
    </row>
    <row r="3991" spans="1:33">
      <c r="A3991" t="s">
        <v>13803</v>
      </c>
      <c r="C3991" t="s">
        <v>405</v>
      </c>
      <c r="E3991" t="s">
        <v>10495</v>
      </c>
      <c r="F3991" t="s">
        <v>10496</v>
      </c>
      <c r="G3991">
        <v>1.558</v>
      </c>
      <c r="H3991">
        <v>1.558</v>
      </c>
      <c r="I3991" t="s">
        <v>269</v>
      </c>
      <c r="J3991" t="s">
        <v>270</v>
      </c>
      <c r="K3991" t="s">
        <v>31</v>
      </c>
      <c r="L3991" t="s">
        <v>32</v>
      </c>
      <c r="M3991" t="s">
        <v>33</v>
      </c>
      <c r="P3991" s="1" t="s">
        <v>13804</v>
      </c>
      <c r="Q3991" s="1" t="s">
        <v>10495</v>
      </c>
      <c r="R3991" s="1" t="s">
        <v>10495</v>
      </c>
      <c r="S3991" s="1"/>
      <c r="T3991" s="1" t="s">
        <v>405</v>
      </c>
      <c r="U3991" s="1"/>
      <c r="V3991" s="1">
        <v>1.558</v>
      </c>
      <c r="W3991" s="1">
        <v>1.558</v>
      </c>
      <c r="X3991" s="1" t="s">
        <v>35</v>
      </c>
      <c r="Y3991" s="1">
        <v>1558000.0</v>
      </c>
      <c r="Z3991" s="1"/>
      <c r="AA3991" s="1">
        <v>1558000.0</v>
      </c>
      <c r="AB3991" s="1"/>
      <c r="AC3991" s="1" t="s">
        <v>36</v>
      </c>
      <c r="AD3991" s="1" t="s">
        <v>13805</v>
      </c>
      <c r="AE3991" s="1" t="s">
        <v>32</v>
      </c>
      <c r="AF3991" s="1" t="s">
        <v>33</v>
      </c>
      <c r="AG3991" s="1" t="s">
        <v>270</v>
      </c>
    </row>
    <row r="3992" spans="1:33">
      <c r="A3992" t="s">
        <v>13806</v>
      </c>
      <c r="C3992" t="s">
        <v>2804</v>
      </c>
      <c r="E3992" t="s">
        <v>10495</v>
      </c>
      <c r="F3992" t="s">
        <v>10496</v>
      </c>
      <c r="G3992">
        <v>360.8</v>
      </c>
      <c r="H3992">
        <v>360.8</v>
      </c>
      <c r="I3992" t="s">
        <v>136</v>
      </c>
      <c r="J3992" t="s">
        <v>137</v>
      </c>
      <c r="K3992" t="s">
        <v>31</v>
      </c>
      <c r="L3992" t="s">
        <v>32</v>
      </c>
      <c r="M3992" t="s">
        <v>33</v>
      </c>
      <c r="P3992" s="1" t="s">
        <v>13807</v>
      </c>
      <c r="Q3992" s="1" t="s">
        <v>10495</v>
      </c>
      <c r="R3992" s="1" t="s">
        <v>10495</v>
      </c>
      <c r="S3992" s="1"/>
      <c r="T3992" s="1" t="s">
        <v>2804</v>
      </c>
      <c r="U3992" s="1"/>
      <c r="V3992" s="1">
        <v>360.8</v>
      </c>
      <c r="W3992" s="1">
        <v>360.8</v>
      </c>
      <c r="X3992" s="1" t="s">
        <v>35</v>
      </c>
      <c r="Y3992" s="1">
        <v>360800.0</v>
      </c>
      <c r="Z3992" s="1"/>
      <c r="AA3992" s="1">
        <v>360800.0</v>
      </c>
      <c r="AB3992" s="1"/>
      <c r="AC3992" s="1" t="s">
        <v>36</v>
      </c>
      <c r="AD3992" s="1" t="s">
        <v>13802</v>
      </c>
      <c r="AE3992" s="1" t="s">
        <v>32</v>
      </c>
      <c r="AF3992" s="1" t="s">
        <v>33</v>
      </c>
      <c r="AG3992" s="1" t="s">
        <v>137</v>
      </c>
    </row>
    <row r="3993" spans="1:33">
      <c r="A3993" t="s">
        <v>13808</v>
      </c>
      <c r="C3993" t="s">
        <v>5956</v>
      </c>
      <c r="E3993" t="s">
        <v>10495</v>
      </c>
      <c r="F3993" t="s">
        <v>10496</v>
      </c>
      <c r="G3993">
        <v>770.0</v>
      </c>
      <c r="H3993">
        <v>770.0</v>
      </c>
      <c r="I3993" t="s">
        <v>13331</v>
      </c>
      <c r="J3993" t="s">
        <v>41</v>
      </c>
      <c r="K3993" t="s">
        <v>31</v>
      </c>
      <c r="L3993" t="s">
        <v>32</v>
      </c>
      <c r="M3993" t="s">
        <v>33</v>
      </c>
      <c r="P3993" s="1" t="s">
        <v>13809</v>
      </c>
      <c r="Q3993" s="1" t="s">
        <v>10495</v>
      </c>
      <c r="R3993" s="1" t="s">
        <v>13321</v>
      </c>
      <c r="S3993" s="1"/>
      <c r="T3993" s="1" t="s">
        <v>5956</v>
      </c>
      <c r="U3993" s="1"/>
      <c r="V3993" s="1">
        <v>770.0</v>
      </c>
      <c r="W3993" s="1">
        <v>770.0</v>
      </c>
      <c r="X3993" s="1" t="s">
        <v>35</v>
      </c>
      <c r="Y3993" s="1">
        <v>770000.0</v>
      </c>
      <c r="Z3993" s="1"/>
      <c r="AA3993" s="1">
        <v>770000.0</v>
      </c>
      <c r="AB3993" s="1"/>
      <c r="AC3993" s="1" t="s">
        <v>36</v>
      </c>
      <c r="AD3993" s="1" t="s">
        <v>13810</v>
      </c>
      <c r="AE3993" s="1" t="s">
        <v>32</v>
      </c>
      <c r="AF3993" s="1" t="s">
        <v>33</v>
      </c>
      <c r="AG3993" s="1" t="s">
        <v>41</v>
      </c>
    </row>
    <row r="3994" spans="1:33">
      <c r="A3994" t="s">
        <v>13811</v>
      </c>
      <c r="C3994" t="s">
        <v>6006</v>
      </c>
      <c r="E3994" t="s">
        <v>10495</v>
      </c>
      <c r="F3994" t="s">
        <v>10496</v>
      </c>
      <c r="G3994">
        <v>420.0</v>
      </c>
      <c r="H3994">
        <v>420.0</v>
      </c>
      <c r="I3994" t="s">
        <v>2206</v>
      </c>
      <c r="J3994" t="s">
        <v>49</v>
      </c>
      <c r="K3994" t="s">
        <v>31</v>
      </c>
      <c r="L3994" t="s">
        <v>32</v>
      </c>
      <c r="M3994" t="s">
        <v>33</v>
      </c>
      <c r="P3994" s="1" t="s">
        <v>13812</v>
      </c>
      <c r="Q3994" s="1" t="s">
        <v>10495</v>
      </c>
      <c r="R3994" s="1" t="s">
        <v>10495</v>
      </c>
      <c r="S3994" s="1"/>
      <c r="T3994" s="1" t="s">
        <v>6006</v>
      </c>
      <c r="U3994" s="1"/>
      <c r="V3994" s="1">
        <v>420.0</v>
      </c>
      <c r="W3994" s="1">
        <v>420.0</v>
      </c>
      <c r="X3994" s="1" t="s">
        <v>35</v>
      </c>
      <c r="Y3994" s="1">
        <v>420000.0</v>
      </c>
      <c r="Z3994" s="1"/>
      <c r="AA3994" s="1">
        <v>420000.0</v>
      </c>
      <c r="AB3994" s="1"/>
      <c r="AC3994" s="1" t="s">
        <v>36</v>
      </c>
      <c r="AD3994" s="1" t="s">
        <v>13813</v>
      </c>
      <c r="AE3994" s="1" t="s">
        <v>32</v>
      </c>
      <c r="AF3994" s="1" t="s">
        <v>33</v>
      </c>
      <c r="AG3994" s="1" t="s">
        <v>49</v>
      </c>
    </row>
    <row r="3995" spans="1:33">
      <c r="A3995" t="s">
        <v>13814</v>
      </c>
      <c r="C3995" t="s">
        <v>670</v>
      </c>
      <c r="E3995" t="s">
        <v>10495</v>
      </c>
      <c r="F3995" t="s">
        <v>10496</v>
      </c>
      <c r="G3995">
        <v>328.0</v>
      </c>
      <c r="H3995">
        <v>328.0</v>
      </c>
      <c r="I3995" t="s">
        <v>136</v>
      </c>
      <c r="J3995" t="s">
        <v>137</v>
      </c>
      <c r="K3995" t="s">
        <v>31</v>
      </c>
      <c r="L3995" t="s">
        <v>32</v>
      </c>
      <c r="M3995" t="s">
        <v>33</v>
      </c>
      <c r="P3995" s="1" t="s">
        <v>13815</v>
      </c>
      <c r="Q3995" s="1" t="s">
        <v>10495</v>
      </c>
      <c r="R3995" s="1" t="s">
        <v>10495</v>
      </c>
      <c r="S3995" s="1"/>
      <c r="T3995" s="1" t="s">
        <v>670</v>
      </c>
      <c r="U3995" s="1"/>
      <c r="V3995" s="1">
        <v>328.0</v>
      </c>
      <c r="W3995" s="1">
        <v>328.0</v>
      </c>
      <c r="X3995" s="1" t="s">
        <v>35</v>
      </c>
      <c r="Y3995" s="1">
        <v>328000.0</v>
      </c>
      <c r="Z3995" s="1"/>
      <c r="AA3995" s="1">
        <v>328000.0</v>
      </c>
      <c r="AB3995" s="1"/>
      <c r="AC3995" s="1" t="s">
        <v>36</v>
      </c>
      <c r="AD3995" s="1" t="s">
        <v>13816</v>
      </c>
      <c r="AE3995" s="1" t="s">
        <v>32</v>
      </c>
      <c r="AF3995" s="1" t="s">
        <v>33</v>
      </c>
      <c r="AG3995" s="1" t="s">
        <v>137</v>
      </c>
    </row>
    <row r="3996" spans="1:33">
      <c r="A3996" t="s">
        <v>13817</v>
      </c>
      <c r="B3996" t="s">
        <v>215</v>
      </c>
      <c r="C3996" t="s">
        <v>125</v>
      </c>
      <c r="E3996" t="s">
        <v>10495</v>
      </c>
      <c r="F3996" t="s">
        <v>10496</v>
      </c>
      <c r="G3996">
        <v>48.98</v>
      </c>
      <c r="H3996">
        <v>48.98</v>
      </c>
      <c r="I3996" t="s">
        <v>126</v>
      </c>
      <c r="J3996" t="s">
        <v>127</v>
      </c>
      <c r="K3996" t="s">
        <v>31</v>
      </c>
      <c r="L3996" t="s">
        <v>32</v>
      </c>
      <c r="M3996" t="s">
        <v>33</v>
      </c>
      <c r="P3996" s="1" t="s">
        <v>13818</v>
      </c>
      <c r="Q3996" s="1" t="s">
        <v>10495</v>
      </c>
      <c r="R3996" s="1" t="s">
        <v>10495</v>
      </c>
      <c r="S3996" s="1"/>
      <c r="T3996" s="1" t="s">
        <v>125</v>
      </c>
      <c r="U3996" s="1"/>
      <c r="V3996" s="1">
        <v>48.98</v>
      </c>
      <c r="W3996" s="1">
        <v>48.98</v>
      </c>
      <c r="X3996" s="1" t="s">
        <v>35</v>
      </c>
      <c r="Y3996" s="1">
        <v>48980.0</v>
      </c>
      <c r="Z3996" s="1"/>
      <c r="AA3996" s="1">
        <v>48980.0</v>
      </c>
      <c r="AB3996" s="1"/>
      <c r="AC3996" s="1" t="s">
        <v>36</v>
      </c>
      <c r="AD3996" s="1" t="s">
        <v>13819</v>
      </c>
      <c r="AE3996" s="1" t="s">
        <v>32</v>
      </c>
      <c r="AF3996" s="1" t="s">
        <v>33</v>
      </c>
      <c r="AG3996" s="1" t="s">
        <v>127</v>
      </c>
    </row>
    <row r="3997" spans="1:33">
      <c r="A3997" t="s">
        <v>13820</v>
      </c>
      <c r="B3997" t="s">
        <v>13821</v>
      </c>
      <c r="C3997" t="s">
        <v>47</v>
      </c>
      <c r="E3997" t="s">
        <v>10495</v>
      </c>
      <c r="F3997" t="s">
        <v>10496</v>
      </c>
      <c r="G3997">
        <v>71.16</v>
      </c>
      <c r="H3997">
        <v>71.16</v>
      </c>
      <c r="I3997" t="s">
        <v>2206</v>
      </c>
      <c r="J3997" t="s">
        <v>49</v>
      </c>
      <c r="K3997" t="s">
        <v>31</v>
      </c>
      <c r="L3997" t="s">
        <v>32</v>
      </c>
      <c r="M3997" t="s">
        <v>33</v>
      </c>
      <c r="P3997" s="1" t="s">
        <v>13822</v>
      </c>
      <c r="Q3997" s="1" t="s">
        <v>10495</v>
      </c>
      <c r="R3997" s="1" t="s">
        <v>10495</v>
      </c>
      <c r="S3997" s="1"/>
      <c r="T3997" s="1" t="s">
        <v>47</v>
      </c>
      <c r="U3997" s="1"/>
      <c r="V3997" s="1">
        <v>71.16</v>
      </c>
      <c r="W3997" s="1">
        <v>71.16</v>
      </c>
      <c r="X3997" s="1" t="s">
        <v>35</v>
      </c>
      <c r="Y3997" s="1">
        <v>71160.0</v>
      </c>
      <c r="Z3997" s="1"/>
      <c r="AA3997" s="1">
        <v>71160.0</v>
      </c>
      <c r="AB3997" s="1"/>
      <c r="AC3997" s="1" t="s">
        <v>36</v>
      </c>
      <c r="AD3997" s="1" t="s">
        <v>13823</v>
      </c>
      <c r="AE3997" s="1" t="s">
        <v>32</v>
      </c>
      <c r="AF3997" s="1" t="s">
        <v>33</v>
      </c>
      <c r="AG3997" s="1" t="s">
        <v>49</v>
      </c>
    </row>
    <row r="3998" spans="1:33">
      <c r="A3998" t="s">
        <v>13824</v>
      </c>
      <c r="C3998" t="s">
        <v>11363</v>
      </c>
      <c r="D3998" t="s">
        <v>154</v>
      </c>
      <c r="E3998" t="s">
        <v>10495</v>
      </c>
      <c r="F3998" t="s">
        <v>10496</v>
      </c>
      <c r="G3998">
        <v>656.0</v>
      </c>
      <c r="H3998">
        <v>656.0</v>
      </c>
      <c r="I3998" t="s">
        <v>269</v>
      </c>
      <c r="J3998" t="s">
        <v>270</v>
      </c>
      <c r="K3998" t="s">
        <v>31</v>
      </c>
      <c r="L3998" t="s">
        <v>32</v>
      </c>
      <c r="M3998" t="s">
        <v>33</v>
      </c>
      <c r="P3998" s="1" t="s">
        <v>13825</v>
      </c>
      <c r="Q3998" s="1" t="s">
        <v>10495</v>
      </c>
      <c r="R3998" s="1" t="s">
        <v>10495</v>
      </c>
      <c r="S3998" s="1"/>
      <c r="T3998" s="1" t="s">
        <v>11363</v>
      </c>
      <c r="U3998" s="1"/>
      <c r="V3998" s="1">
        <v>656.0</v>
      </c>
      <c r="W3998" s="1">
        <v>656.0</v>
      </c>
      <c r="X3998" s="1" t="s">
        <v>35</v>
      </c>
      <c r="Y3998" s="1">
        <v>656000.0</v>
      </c>
      <c r="Z3998" s="1"/>
      <c r="AA3998" s="1">
        <v>656000.0</v>
      </c>
      <c r="AB3998" s="1"/>
      <c r="AC3998" s="1" t="s">
        <v>36</v>
      </c>
      <c r="AD3998" s="1" t="s">
        <v>13826</v>
      </c>
      <c r="AE3998" s="1" t="s">
        <v>32</v>
      </c>
      <c r="AF3998" s="1" t="s">
        <v>33</v>
      </c>
      <c r="AG3998" s="1" t="s">
        <v>270</v>
      </c>
    </row>
    <row r="3999" spans="1:33">
      <c r="A3999" t="s">
        <v>13827</v>
      </c>
      <c r="B3999" t="s">
        <v>13828</v>
      </c>
      <c r="C3999" t="s">
        <v>47</v>
      </c>
      <c r="E3999" t="s">
        <v>10933</v>
      </c>
      <c r="F3999" t="s">
        <v>10938</v>
      </c>
      <c r="G3999">
        <v>40.49</v>
      </c>
      <c r="H3999">
        <v>40.49</v>
      </c>
      <c r="I3999" t="s">
        <v>2206</v>
      </c>
      <c r="J3999" t="s">
        <v>49</v>
      </c>
      <c r="K3999" t="s">
        <v>31</v>
      </c>
      <c r="L3999" t="s">
        <v>32</v>
      </c>
      <c r="M3999" t="s">
        <v>33</v>
      </c>
      <c r="P3999" s="1" t="s">
        <v>13829</v>
      </c>
      <c r="Q3999" s="1" t="s">
        <v>10495</v>
      </c>
      <c r="R3999" s="1" t="s">
        <v>10495</v>
      </c>
      <c r="S3999" s="1"/>
      <c r="T3999" s="1" t="s">
        <v>47</v>
      </c>
      <c r="U3999" s="1"/>
      <c r="V3999" s="1">
        <v>40.49</v>
      </c>
      <c r="W3999" s="1">
        <v>40.49</v>
      </c>
      <c r="X3999" s="1" t="s">
        <v>35</v>
      </c>
      <c r="Y3999" s="1">
        <v>40490.0</v>
      </c>
      <c r="Z3999" s="1"/>
      <c r="AA3999" s="1">
        <v>40490.0</v>
      </c>
      <c r="AB3999" s="1"/>
      <c r="AC3999" s="1" t="s">
        <v>36</v>
      </c>
      <c r="AD3999" s="1" t="s">
        <v>13830</v>
      </c>
      <c r="AE3999" s="1" t="s">
        <v>32</v>
      </c>
      <c r="AF3999" s="1" t="s">
        <v>33</v>
      </c>
      <c r="AG3999" s="1" t="s">
        <v>49</v>
      </c>
    </row>
    <row r="4000" spans="1:33">
      <c r="A4000" t="s">
        <v>13831</v>
      </c>
      <c r="C4000" t="s">
        <v>755</v>
      </c>
      <c r="E4000" t="s">
        <v>10495</v>
      </c>
      <c r="F4000" t="s">
        <v>10496</v>
      </c>
      <c r="G4000">
        <v>328.0</v>
      </c>
      <c r="H4000">
        <v>328.0</v>
      </c>
      <c r="I4000" t="s">
        <v>136</v>
      </c>
      <c r="J4000" t="s">
        <v>137</v>
      </c>
      <c r="K4000" t="s">
        <v>31</v>
      </c>
      <c r="L4000" t="s">
        <v>32</v>
      </c>
      <c r="M4000" t="s">
        <v>33</v>
      </c>
      <c r="P4000" s="1" t="s">
        <v>13832</v>
      </c>
      <c r="Q4000" s="1" t="s">
        <v>10495</v>
      </c>
      <c r="R4000" s="1" t="s">
        <v>10495</v>
      </c>
      <c r="S4000" s="1"/>
      <c r="T4000" s="1" t="s">
        <v>757</v>
      </c>
      <c r="U4000" s="1" t="s">
        <v>758</v>
      </c>
      <c r="V4000" s="1">
        <v>328.0</v>
      </c>
      <c r="W4000" s="1">
        <v>328.0</v>
      </c>
      <c r="X4000" s="1" t="s">
        <v>35</v>
      </c>
      <c r="Y4000" s="1">
        <v>328000.0</v>
      </c>
      <c r="Z4000" s="1"/>
      <c r="AA4000" s="1">
        <v>328000.0</v>
      </c>
      <c r="AB4000" s="1"/>
      <c r="AC4000" s="1" t="s">
        <v>36</v>
      </c>
      <c r="AD4000" s="1" t="s">
        <v>13826</v>
      </c>
      <c r="AE4000" s="1" t="s">
        <v>32</v>
      </c>
      <c r="AF4000" s="1" t="s">
        <v>33</v>
      </c>
      <c r="AG4000" s="1" t="s">
        <v>137</v>
      </c>
    </row>
    <row r="4001" spans="1:33">
      <c r="A4001" t="s">
        <v>13833</v>
      </c>
      <c r="C4001" t="s">
        <v>3979</v>
      </c>
      <c r="E4001" t="s">
        <v>10495</v>
      </c>
      <c r="F4001" t="s">
        <v>10496</v>
      </c>
      <c r="G4001">
        <v>872.0</v>
      </c>
      <c r="H4001">
        <v>872.0</v>
      </c>
      <c r="I4001" t="s">
        <v>173</v>
      </c>
      <c r="J4001" t="s">
        <v>174</v>
      </c>
      <c r="K4001" t="s">
        <v>31</v>
      </c>
      <c r="L4001" t="s">
        <v>32</v>
      </c>
      <c r="M4001" t="s">
        <v>33</v>
      </c>
      <c r="P4001" s="1" t="s">
        <v>13834</v>
      </c>
      <c r="Q4001" s="1" t="s">
        <v>10495</v>
      </c>
      <c r="R4001" s="1" t="s">
        <v>10495</v>
      </c>
      <c r="S4001" s="1"/>
      <c r="T4001" s="1" t="s">
        <v>3979</v>
      </c>
      <c r="U4001" s="1"/>
      <c r="V4001" s="1">
        <v>872.0</v>
      </c>
      <c r="W4001" s="1">
        <v>872.0</v>
      </c>
      <c r="X4001" s="1" t="s">
        <v>35</v>
      </c>
      <c r="Y4001" s="1">
        <v>872000.0</v>
      </c>
      <c r="Z4001" s="1"/>
      <c r="AA4001" s="1">
        <v>872000.0</v>
      </c>
      <c r="AB4001" s="1"/>
      <c r="AC4001" s="1" t="s">
        <v>36</v>
      </c>
      <c r="AD4001" s="1" t="s">
        <v>13826</v>
      </c>
      <c r="AE4001" s="1" t="s">
        <v>32</v>
      </c>
      <c r="AF4001" s="1" t="s">
        <v>33</v>
      </c>
      <c r="AG4001" s="1" t="s">
        <v>174</v>
      </c>
    </row>
    <row r="4002" spans="1:33">
      <c r="A4002" t="s">
        <v>13835</v>
      </c>
      <c r="B4002" t="s">
        <v>13836</v>
      </c>
      <c r="C4002" t="s">
        <v>2741</v>
      </c>
      <c r="E4002" t="s">
        <v>10495</v>
      </c>
      <c r="F4002" t="s">
        <v>10496</v>
      </c>
      <c r="G4002">
        <v>25.0</v>
      </c>
      <c r="H4002">
        <v>25.0</v>
      </c>
      <c r="I4002" t="s">
        <v>2742</v>
      </c>
      <c r="J4002" t="s">
        <v>2743</v>
      </c>
      <c r="K4002" t="s">
        <v>31</v>
      </c>
      <c r="L4002" t="s">
        <v>32</v>
      </c>
      <c r="M4002" t="s">
        <v>33</v>
      </c>
      <c r="P4002" s="1" t="s">
        <v>13837</v>
      </c>
      <c r="Q4002" s="1" t="s">
        <v>10495</v>
      </c>
      <c r="R4002" s="1" t="s">
        <v>10495</v>
      </c>
      <c r="S4002" s="1"/>
      <c r="T4002" s="1" t="s">
        <v>2741</v>
      </c>
      <c r="U4002" s="1"/>
      <c r="V4002" s="1">
        <v>25.0</v>
      </c>
      <c r="W4002" s="1">
        <v>25.0</v>
      </c>
      <c r="X4002" s="1" t="s">
        <v>35</v>
      </c>
      <c r="Y4002" s="1">
        <v>25000.0</v>
      </c>
      <c r="Z4002" s="1"/>
      <c r="AA4002" s="1">
        <v>25000.0</v>
      </c>
      <c r="AB4002" s="1"/>
      <c r="AC4002" s="1" t="s">
        <v>36</v>
      </c>
      <c r="AD4002" s="1" t="s">
        <v>13823</v>
      </c>
      <c r="AE4002" s="1" t="s">
        <v>32</v>
      </c>
      <c r="AF4002" s="1" t="s">
        <v>33</v>
      </c>
      <c r="AG4002" s="1" t="s">
        <v>2743</v>
      </c>
    </row>
    <row r="4003" spans="1:33">
      <c r="A4003" t="s">
        <v>13838</v>
      </c>
      <c r="C4003" t="s">
        <v>4531</v>
      </c>
      <c r="E4003" t="s">
        <v>10495</v>
      </c>
      <c r="F4003" t="s">
        <v>10496</v>
      </c>
      <c r="G4003">
        <v>320.0</v>
      </c>
      <c r="H4003">
        <v>320.0</v>
      </c>
      <c r="I4003" t="s">
        <v>126</v>
      </c>
      <c r="J4003" t="s">
        <v>127</v>
      </c>
      <c r="K4003" t="s">
        <v>31</v>
      </c>
      <c r="L4003" t="s">
        <v>32</v>
      </c>
      <c r="M4003" t="s">
        <v>33</v>
      </c>
      <c r="P4003" s="1" t="s">
        <v>13839</v>
      </c>
      <c r="Q4003" s="1" t="s">
        <v>10495</v>
      </c>
      <c r="R4003" s="1" t="s">
        <v>10495</v>
      </c>
      <c r="S4003" s="1"/>
      <c r="T4003" s="1" t="s">
        <v>4533</v>
      </c>
      <c r="U4003" s="1" t="s">
        <v>4534</v>
      </c>
      <c r="V4003" s="1">
        <v>320.0</v>
      </c>
      <c r="W4003" s="1">
        <v>320.0</v>
      </c>
      <c r="X4003" s="1" t="s">
        <v>35</v>
      </c>
      <c r="Y4003" s="1">
        <v>360000.0</v>
      </c>
      <c r="Z4003" s="1">
        <v>-40000</v>
      </c>
      <c r="AA4003" s="1">
        <v>360000.0</v>
      </c>
      <c r="AB4003" s="1">
        <v>-40000</v>
      </c>
      <c r="AC4003" s="1" t="s">
        <v>36</v>
      </c>
      <c r="AD4003" s="1" t="s">
        <v>13840</v>
      </c>
      <c r="AE4003" s="1" t="s">
        <v>32</v>
      </c>
      <c r="AF4003" s="1" t="s">
        <v>33</v>
      </c>
      <c r="AG4003" s="1" t="s">
        <v>127</v>
      </c>
    </row>
    <row r="4004" spans="1:33">
      <c r="A4004" t="s">
        <v>13841</v>
      </c>
      <c r="B4004" t="s">
        <v>13842</v>
      </c>
      <c r="C4004" t="s">
        <v>12240</v>
      </c>
      <c r="E4004" t="s">
        <v>10495</v>
      </c>
      <c r="F4004" t="s">
        <v>10496</v>
      </c>
      <c r="G4004">
        <v>95.85</v>
      </c>
      <c r="H4004">
        <v>95.85</v>
      </c>
      <c r="I4004" t="s">
        <v>136</v>
      </c>
      <c r="J4004" t="s">
        <v>137</v>
      </c>
      <c r="K4004" t="s">
        <v>31</v>
      </c>
      <c r="L4004" t="s">
        <v>32</v>
      </c>
      <c r="M4004" t="s">
        <v>33</v>
      </c>
      <c r="P4004" s="1" t="s">
        <v>13843</v>
      </c>
      <c r="Q4004" s="1" t="s">
        <v>10495</v>
      </c>
      <c r="R4004" s="1" t="s">
        <v>10495</v>
      </c>
      <c r="S4004" s="1"/>
      <c r="T4004" s="1" t="s">
        <v>12240</v>
      </c>
      <c r="U4004" s="1"/>
      <c r="V4004" s="1">
        <v>95.85</v>
      </c>
      <c r="W4004" s="1">
        <v>95.85</v>
      </c>
      <c r="X4004" s="1" t="s">
        <v>35</v>
      </c>
      <c r="Y4004" s="1">
        <v>95850.0</v>
      </c>
      <c r="Z4004" s="1"/>
      <c r="AA4004" s="1">
        <v>95850.0</v>
      </c>
      <c r="AB4004" s="1"/>
      <c r="AC4004" s="1" t="s">
        <v>36</v>
      </c>
      <c r="AD4004" s="1" t="s">
        <v>13844</v>
      </c>
      <c r="AE4004" s="1" t="s">
        <v>32</v>
      </c>
      <c r="AF4004" s="1" t="s">
        <v>33</v>
      </c>
      <c r="AG4004" s="1" t="s">
        <v>137</v>
      </c>
    </row>
    <row r="4005" spans="1:33">
      <c r="A4005" t="s">
        <v>13845</v>
      </c>
      <c r="B4005" t="s">
        <v>1000</v>
      </c>
      <c r="C4005" t="s">
        <v>314</v>
      </c>
      <c r="E4005" t="s">
        <v>10495</v>
      </c>
      <c r="F4005" t="s">
        <v>10496</v>
      </c>
      <c r="G4005">
        <v>52.33</v>
      </c>
      <c r="H4005">
        <v>52.33</v>
      </c>
      <c r="I4005" t="s">
        <v>179</v>
      </c>
      <c r="J4005" t="s">
        <v>180</v>
      </c>
      <c r="K4005" t="s">
        <v>31</v>
      </c>
      <c r="L4005" t="s">
        <v>32</v>
      </c>
      <c r="M4005" t="s">
        <v>33</v>
      </c>
      <c r="P4005" s="1" t="s">
        <v>13846</v>
      </c>
      <c r="Q4005" s="1" t="s">
        <v>10495</v>
      </c>
      <c r="R4005" s="1" t="s">
        <v>10495</v>
      </c>
      <c r="S4005" s="1"/>
      <c r="T4005" s="1" t="s">
        <v>314</v>
      </c>
      <c r="U4005" s="1"/>
      <c r="V4005" s="1">
        <v>52.33</v>
      </c>
      <c r="W4005" s="1">
        <v>52.33</v>
      </c>
      <c r="X4005" s="1" t="s">
        <v>35</v>
      </c>
      <c r="Y4005" s="1">
        <v>52330.0</v>
      </c>
      <c r="Z4005" s="1"/>
      <c r="AA4005" s="1">
        <v>52330.0</v>
      </c>
      <c r="AB4005" s="1"/>
      <c r="AC4005" s="1" t="s">
        <v>36</v>
      </c>
      <c r="AD4005" s="1" t="s">
        <v>13847</v>
      </c>
      <c r="AE4005" s="1" t="s">
        <v>32</v>
      </c>
      <c r="AF4005" s="1" t="s">
        <v>33</v>
      </c>
      <c r="AG4005" s="1" t="s">
        <v>180</v>
      </c>
    </row>
    <row r="4006" spans="1:33">
      <c r="A4006" t="s">
        <v>13848</v>
      </c>
      <c r="C4006" t="s">
        <v>6216</v>
      </c>
      <c r="E4006" t="s">
        <v>10495</v>
      </c>
      <c r="F4006" t="s">
        <v>10496</v>
      </c>
      <c r="G4006">
        <v>1.64</v>
      </c>
      <c r="H4006">
        <v>1.64</v>
      </c>
      <c r="I4006" t="s">
        <v>136</v>
      </c>
      <c r="J4006" t="s">
        <v>137</v>
      </c>
      <c r="K4006" t="s">
        <v>31</v>
      </c>
      <c r="L4006" t="s">
        <v>32</v>
      </c>
      <c r="M4006" t="s">
        <v>33</v>
      </c>
      <c r="P4006" s="1" t="s">
        <v>13849</v>
      </c>
      <c r="Q4006" s="1" t="s">
        <v>10495</v>
      </c>
      <c r="R4006" s="1" t="s">
        <v>10495</v>
      </c>
      <c r="S4006" s="1"/>
      <c r="T4006" s="1" t="s">
        <v>6216</v>
      </c>
      <c r="U4006" s="1"/>
      <c r="V4006" s="1">
        <v>1.64</v>
      </c>
      <c r="W4006" s="1">
        <v>1.64</v>
      </c>
      <c r="X4006" s="1" t="s">
        <v>35</v>
      </c>
      <c r="Y4006" s="1">
        <v>1640000.0</v>
      </c>
      <c r="Z4006" s="1"/>
      <c r="AA4006" s="1">
        <v>1640000.0</v>
      </c>
      <c r="AB4006" s="1"/>
      <c r="AC4006" s="1" t="s">
        <v>36</v>
      </c>
      <c r="AD4006" s="1" t="s">
        <v>13850</v>
      </c>
      <c r="AE4006" s="1" t="s">
        <v>32</v>
      </c>
      <c r="AF4006" s="1" t="s">
        <v>33</v>
      </c>
      <c r="AG4006" s="1" t="s">
        <v>137</v>
      </c>
    </row>
    <row r="4007" spans="1:33">
      <c r="A4007" t="s">
        <v>13851</v>
      </c>
      <c r="C4007" t="s">
        <v>8297</v>
      </c>
      <c r="E4007" t="s">
        <v>10495</v>
      </c>
      <c r="F4007" t="s">
        <v>10496</v>
      </c>
      <c r="G4007">
        <v>328.0</v>
      </c>
      <c r="H4007">
        <v>328.0</v>
      </c>
      <c r="I4007" t="s">
        <v>136</v>
      </c>
      <c r="J4007" t="s">
        <v>137</v>
      </c>
      <c r="K4007" t="s">
        <v>31</v>
      </c>
      <c r="L4007" t="s">
        <v>32</v>
      </c>
      <c r="M4007" t="s">
        <v>33</v>
      </c>
      <c r="P4007" s="1" t="s">
        <v>13852</v>
      </c>
      <c r="Q4007" s="1" t="s">
        <v>10495</v>
      </c>
      <c r="R4007" s="1" t="s">
        <v>10495</v>
      </c>
      <c r="S4007" s="1"/>
      <c r="T4007" s="1" t="s">
        <v>8299</v>
      </c>
      <c r="U4007" s="1" t="s">
        <v>8300</v>
      </c>
      <c r="V4007" s="1">
        <v>328.0</v>
      </c>
      <c r="W4007" s="1">
        <v>328.0</v>
      </c>
      <c r="X4007" s="1" t="s">
        <v>35</v>
      </c>
      <c r="Y4007" s="1">
        <v>328000.0</v>
      </c>
      <c r="Z4007" s="1"/>
      <c r="AA4007" s="1">
        <v>328000.0</v>
      </c>
      <c r="AB4007" s="1"/>
      <c r="AC4007" s="1" t="s">
        <v>36</v>
      </c>
      <c r="AD4007" s="1" t="s">
        <v>13853</v>
      </c>
      <c r="AE4007" s="1" t="s">
        <v>32</v>
      </c>
      <c r="AF4007" s="1" t="s">
        <v>33</v>
      </c>
      <c r="AG4007" s="1" t="s">
        <v>137</v>
      </c>
    </row>
    <row r="4008" spans="1:33">
      <c r="A4008" t="s">
        <v>13854</v>
      </c>
      <c r="B4008" t="s">
        <v>13855</v>
      </c>
      <c r="C4008" t="s">
        <v>73</v>
      </c>
      <c r="E4008" t="s">
        <v>10495</v>
      </c>
      <c r="F4008" t="s">
        <v>10496</v>
      </c>
      <c r="G4008">
        <v>36.49</v>
      </c>
      <c r="H4008">
        <v>36.49</v>
      </c>
      <c r="I4008" t="s">
        <v>13331</v>
      </c>
      <c r="J4008" t="s">
        <v>41</v>
      </c>
      <c r="K4008" t="s">
        <v>31</v>
      </c>
      <c r="L4008" t="s">
        <v>32</v>
      </c>
      <c r="M4008" t="s">
        <v>33</v>
      </c>
      <c r="P4008" s="1" t="s">
        <v>13856</v>
      </c>
      <c r="Q4008" s="1" t="s">
        <v>10495</v>
      </c>
      <c r="R4008" s="1" t="s">
        <v>13321</v>
      </c>
      <c r="S4008" s="1"/>
      <c r="T4008" s="1" t="s">
        <v>75</v>
      </c>
      <c r="U4008" s="1" t="s">
        <v>76</v>
      </c>
      <c r="V4008" s="1">
        <v>36.49</v>
      </c>
      <c r="W4008" s="1">
        <v>36.49</v>
      </c>
      <c r="X4008" s="1" t="s">
        <v>35</v>
      </c>
      <c r="Y4008" s="1">
        <v>36490.0</v>
      </c>
      <c r="Z4008" s="1"/>
      <c r="AA4008" s="1">
        <v>36490.0</v>
      </c>
      <c r="AB4008" s="1"/>
      <c r="AC4008" s="1" t="s">
        <v>36</v>
      </c>
      <c r="AD4008" s="1" t="s">
        <v>13816</v>
      </c>
      <c r="AE4008" s="1" t="s">
        <v>32</v>
      </c>
      <c r="AF4008" s="1" t="s">
        <v>33</v>
      </c>
      <c r="AG4008" s="1" t="s">
        <v>41</v>
      </c>
    </row>
    <row r="4009" spans="1:33">
      <c r="A4009" t="s">
        <v>13857</v>
      </c>
      <c r="B4009" t="s">
        <v>13858</v>
      </c>
      <c r="C4009" t="s">
        <v>12240</v>
      </c>
      <c r="E4009" t="s">
        <v>10495</v>
      </c>
      <c r="F4009" t="s">
        <v>10496</v>
      </c>
      <c r="G4009">
        <v>45.15</v>
      </c>
      <c r="H4009">
        <v>45.15</v>
      </c>
      <c r="I4009" t="s">
        <v>136</v>
      </c>
      <c r="J4009" t="s">
        <v>137</v>
      </c>
      <c r="K4009" t="s">
        <v>31</v>
      </c>
      <c r="L4009" t="s">
        <v>32</v>
      </c>
      <c r="M4009" t="s">
        <v>33</v>
      </c>
      <c r="P4009" s="1" t="s">
        <v>13859</v>
      </c>
      <c r="Q4009" s="1" t="s">
        <v>10495</v>
      </c>
      <c r="R4009" s="1" t="s">
        <v>10495</v>
      </c>
      <c r="S4009" s="1"/>
      <c r="T4009" s="1" t="s">
        <v>12240</v>
      </c>
      <c r="U4009" s="1"/>
      <c r="V4009" s="1">
        <v>45.15</v>
      </c>
      <c r="W4009" s="1">
        <v>45.15</v>
      </c>
      <c r="X4009" s="1" t="s">
        <v>35</v>
      </c>
      <c r="Y4009" s="1">
        <v>45150.0</v>
      </c>
      <c r="Z4009" s="1"/>
      <c r="AA4009" s="1">
        <v>45150.0</v>
      </c>
      <c r="AB4009" s="1"/>
      <c r="AC4009" s="1" t="s">
        <v>36</v>
      </c>
      <c r="AD4009" s="1" t="s">
        <v>13860</v>
      </c>
      <c r="AE4009" s="1" t="s">
        <v>32</v>
      </c>
      <c r="AF4009" s="1" t="s">
        <v>33</v>
      </c>
      <c r="AG4009" s="1" t="s">
        <v>137</v>
      </c>
    </row>
    <row r="4010" spans="1:33">
      <c r="A4010" t="s">
        <v>13861</v>
      </c>
      <c r="B4010" t="s">
        <v>13862</v>
      </c>
      <c r="C4010" t="s">
        <v>12240</v>
      </c>
      <c r="E4010" t="s">
        <v>10495</v>
      </c>
      <c r="F4010" t="s">
        <v>10496</v>
      </c>
      <c r="G4010">
        <v>28.25</v>
      </c>
      <c r="H4010">
        <v>28.25</v>
      </c>
      <c r="I4010" t="s">
        <v>136</v>
      </c>
      <c r="J4010" t="s">
        <v>137</v>
      </c>
      <c r="K4010" t="s">
        <v>31</v>
      </c>
      <c r="L4010" t="s">
        <v>32</v>
      </c>
      <c r="M4010" t="s">
        <v>33</v>
      </c>
      <c r="P4010" s="1" t="s">
        <v>13863</v>
      </c>
      <c r="Q4010" s="1" t="s">
        <v>10495</v>
      </c>
      <c r="R4010" s="1" t="s">
        <v>10495</v>
      </c>
      <c r="S4010" s="1"/>
      <c r="T4010" s="1" t="s">
        <v>12240</v>
      </c>
      <c r="U4010" s="1"/>
      <c r="V4010" s="1">
        <v>28.25</v>
      </c>
      <c r="W4010" s="1">
        <v>28.25</v>
      </c>
      <c r="X4010" s="1" t="s">
        <v>35</v>
      </c>
      <c r="Y4010" s="1">
        <v>28250.0</v>
      </c>
      <c r="Z4010" s="1"/>
      <c r="AA4010" s="1">
        <v>28250.0</v>
      </c>
      <c r="AB4010" s="1"/>
      <c r="AC4010" s="1" t="s">
        <v>36</v>
      </c>
      <c r="AD4010" s="1" t="s">
        <v>13864</v>
      </c>
      <c r="AE4010" s="1" t="s">
        <v>32</v>
      </c>
      <c r="AF4010" s="1" t="s">
        <v>33</v>
      </c>
      <c r="AG4010" s="1" t="s">
        <v>137</v>
      </c>
    </row>
    <row r="4011" spans="1:33">
      <c r="A4011" t="s">
        <v>13865</v>
      </c>
      <c r="C4011" t="s">
        <v>9058</v>
      </c>
      <c r="E4011" t="s">
        <v>10495</v>
      </c>
      <c r="F4011" t="s">
        <v>10496</v>
      </c>
      <c r="G4011">
        <v>328.0</v>
      </c>
      <c r="H4011">
        <v>328.0</v>
      </c>
      <c r="I4011" t="s">
        <v>269</v>
      </c>
      <c r="J4011" t="s">
        <v>270</v>
      </c>
      <c r="K4011" t="s">
        <v>31</v>
      </c>
      <c r="L4011" t="s">
        <v>32</v>
      </c>
      <c r="M4011" t="s">
        <v>33</v>
      </c>
      <c r="P4011" s="1" t="s">
        <v>13866</v>
      </c>
      <c r="Q4011" s="1" t="s">
        <v>10495</v>
      </c>
      <c r="R4011" s="1" t="s">
        <v>10495</v>
      </c>
      <c r="S4011" s="1"/>
      <c r="T4011" s="1" t="s">
        <v>9058</v>
      </c>
      <c r="U4011" s="1"/>
      <c r="V4011" s="1">
        <v>328.0</v>
      </c>
      <c r="W4011" s="1">
        <v>328.0</v>
      </c>
      <c r="X4011" s="1" t="s">
        <v>35</v>
      </c>
      <c r="Y4011" s="1">
        <v>328000.0</v>
      </c>
      <c r="Z4011" s="1"/>
      <c r="AA4011" s="1">
        <v>328000.0</v>
      </c>
      <c r="AB4011" s="1"/>
      <c r="AC4011" s="1" t="s">
        <v>36</v>
      </c>
      <c r="AD4011" s="1" t="s">
        <v>13867</v>
      </c>
      <c r="AE4011" s="1" t="s">
        <v>32</v>
      </c>
      <c r="AF4011" s="1" t="s">
        <v>33</v>
      </c>
      <c r="AG4011" s="1" t="s">
        <v>270</v>
      </c>
    </row>
    <row r="4012" spans="1:33">
      <c r="A4012" t="s">
        <v>13868</v>
      </c>
      <c r="C4012" t="s">
        <v>866</v>
      </c>
      <c r="D4012" t="s">
        <v>154</v>
      </c>
      <c r="E4012" t="s">
        <v>10495</v>
      </c>
      <c r="F4012" t="s">
        <v>10496</v>
      </c>
      <c r="G4012">
        <v>516.0</v>
      </c>
      <c r="H4012">
        <v>516.0</v>
      </c>
      <c r="I4012" t="s">
        <v>2206</v>
      </c>
      <c r="J4012" t="s">
        <v>49</v>
      </c>
      <c r="K4012" t="s">
        <v>31</v>
      </c>
      <c r="L4012" t="s">
        <v>32</v>
      </c>
      <c r="M4012" t="s">
        <v>33</v>
      </c>
      <c r="P4012" s="1" t="s">
        <v>13869</v>
      </c>
      <c r="Q4012" s="1" t="s">
        <v>10495</v>
      </c>
      <c r="R4012" s="1" t="s">
        <v>10495</v>
      </c>
      <c r="S4012" s="1"/>
      <c r="T4012" s="1" t="s">
        <v>868</v>
      </c>
      <c r="U4012" s="1" t="s">
        <v>869</v>
      </c>
      <c r="V4012" s="1">
        <v>516.0</v>
      </c>
      <c r="W4012" s="1">
        <v>516.0</v>
      </c>
      <c r="X4012" s="1" t="s">
        <v>35</v>
      </c>
      <c r="Y4012" s="1">
        <v>516000.0</v>
      </c>
      <c r="Z4012" s="1"/>
      <c r="AA4012" s="1">
        <v>516000.0</v>
      </c>
      <c r="AB4012" s="1"/>
      <c r="AC4012" s="1" t="s">
        <v>36</v>
      </c>
      <c r="AD4012" s="1" t="s">
        <v>13867</v>
      </c>
      <c r="AE4012" s="1" t="s">
        <v>32</v>
      </c>
      <c r="AF4012" s="1" t="s">
        <v>33</v>
      </c>
      <c r="AG4012" s="1" t="s">
        <v>49</v>
      </c>
    </row>
    <row r="4013" spans="1:33">
      <c r="A4013" t="s">
        <v>13870</v>
      </c>
      <c r="B4013" t="s">
        <v>13871</v>
      </c>
      <c r="C4013" t="s">
        <v>47</v>
      </c>
      <c r="E4013" t="s">
        <v>10495</v>
      </c>
      <c r="F4013" t="s">
        <v>10496</v>
      </c>
      <c r="G4013">
        <v>21.99</v>
      </c>
      <c r="H4013">
        <v>21.99</v>
      </c>
      <c r="I4013" t="s">
        <v>2206</v>
      </c>
      <c r="J4013" t="s">
        <v>49</v>
      </c>
      <c r="K4013" t="s">
        <v>31</v>
      </c>
      <c r="L4013" t="s">
        <v>32</v>
      </c>
      <c r="M4013" t="s">
        <v>33</v>
      </c>
      <c r="P4013" s="1" t="s">
        <v>13872</v>
      </c>
      <c r="Q4013" s="1" t="s">
        <v>10495</v>
      </c>
      <c r="R4013" s="1" t="s">
        <v>10495</v>
      </c>
      <c r="S4013" s="1"/>
      <c r="T4013" s="1" t="s">
        <v>47</v>
      </c>
      <c r="U4013" s="1"/>
      <c r="V4013" s="1">
        <v>21.99</v>
      </c>
      <c r="W4013" s="1">
        <v>21.99</v>
      </c>
      <c r="X4013" s="1" t="s">
        <v>35</v>
      </c>
      <c r="Y4013" s="1">
        <v>21990.0</v>
      </c>
      <c r="Z4013" s="1"/>
      <c r="AA4013" s="1">
        <v>21990.0</v>
      </c>
      <c r="AB4013" s="1"/>
      <c r="AC4013" s="1" t="s">
        <v>36</v>
      </c>
      <c r="AD4013" s="1" t="s">
        <v>13873</v>
      </c>
      <c r="AE4013" s="1" t="s">
        <v>32</v>
      </c>
      <c r="AF4013" s="1" t="s">
        <v>33</v>
      </c>
      <c r="AG4013" s="1" t="s">
        <v>49</v>
      </c>
    </row>
    <row r="4014" spans="1:33">
      <c r="A4014" t="s">
        <v>13874</v>
      </c>
      <c r="C4014" t="s">
        <v>1587</v>
      </c>
      <c r="D4014" t="s">
        <v>154</v>
      </c>
      <c r="E4014" t="s">
        <v>10495</v>
      </c>
      <c r="F4014" t="s">
        <v>10496</v>
      </c>
      <c r="G4014">
        <v>7.626</v>
      </c>
      <c r="H4014">
        <v>7.626</v>
      </c>
      <c r="I4014" t="s">
        <v>2206</v>
      </c>
      <c r="J4014" t="s">
        <v>49</v>
      </c>
      <c r="K4014" t="s">
        <v>31</v>
      </c>
      <c r="L4014" t="s">
        <v>32</v>
      </c>
      <c r="M4014" t="s">
        <v>33</v>
      </c>
      <c r="P4014" s="1" t="s">
        <v>13875</v>
      </c>
      <c r="Q4014" s="1" t="s">
        <v>10495</v>
      </c>
      <c r="R4014" s="1" t="s">
        <v>10495</v>
      </c>
      <c r="S4014" s="1"/>
      <c r="T4014" s="1" t="s">
        <v>1587</v>
      </c>
      <c r="U4014" s="1"/>
      <c r="V4014" s="1">
        <v>7.626</v>
      </c>
      <c r="W4014" s="1">
        <v>7.626</v>
      </c>
      <c r="X4014" s="1" t="s">
        <v>35</v>
      </c>
      <c r="Y4014" s="1">
        <v>7626250.0</v>
      </c>
      <c r="Z4014" s="1"/>
      <c r="AA4014" s="1">
        <v>7626250.0</v>
      </c>
      <c r="AB4014" s="1"/>
      <c r="AC4014" s="1" t="s">
        <v>36</v>
      </c>
      <c r="AD4014" s="1" t="s">
        <v>13876</v>
      </c>
      <c r="AE4014" s="1" t="s">
        <v>32</v>
      </c>
      <c r="AF4014" s="1" t="s">
        <v>33</v>
      </c>
      <c r="AG4014" s="1" t="s">
        <v>49</v>
      </c>
    </row>
    <row r="4015" spans="1:33">
      <c r="A4015" t="s">
        <v>13877</v>
      </c>
      <c r="B4015" t="s">
        <v>13878</v>
      </c>
      <c r="C4015" t="s">
        <v>131</v>
      </c>
      <c r="E4015" t="s">
        <v>10495</v>
      </c>
      <c r="F4015" t="s">
        <v>10496</v>
      </c>
      <c r="G4015">
        <v>20.99</v>
      </c>
      <c r="H4015">
        <v>20.99</v>
      </c>
      <c r="I4015" t="s">
        <v>94</v>
      </c>
      <c r="J4015" t="s">
        <v>95</v>
      </c>
      <c r="K4015" t="s">
        <v>31</v>
      </c>
      <c r="L4015" t="s">
        <v>32</v>
      </c>
      <c r="M4015" t="s">
        <v>33</v>
      </c>
      <c r="P4015" s="1" t="s">
        <v>13879</v>
      </c>
      <c r="Q4015" s="1" t="s">
        <v>10495</v>
      </c>
      <c r="R4015" s="1" t="s">
        <v>10495</v>
      </c>
      <c r="S4015" s="1"/>
      <c r="T4015" s="1" t="s">
        <v>131</v>
      </c>
      <c r="U4015" s="1"/>
      <c r="V4015" s="1">
        <v>20.99</v>
      </c>
      <c r="W4015" s="1">
        <v>20.99</v>
      </c>
      <c r="X4015" s="1" t="s">
        <v>35</v>
      </c>
      <c r="Y4015" s="1">
        <v>20990.0</v>
      </c>
      <c r="Z4015" s="1"/>
      <c r="AA4015" s="1">
        <v>20990.0</v>
      </c>
      <c r="AB4015" s="1"/>
      <c r="AC4015" s="1" t="s">
        <v>36</v>
      </c>
      <c r="AD4015" s="1" t="s">
        <v>13880</v>
      </c>
      <c r="AE4015" s="1" t="s">
        <v>32</v>
      </c>
      <c r="AF4015" s="1" t="s">
        <v>33</v>
      </c>
      <c r="AG4015" s="1" t="s">
        <v>95</v>
      </c>
    </row>
    <row r="4016" spans="1:33">
      <c r="A4016" t="s">
        <v>13881</v>
      </c>
      <c r="C4016" t="s">
        <v>1468</v>
      </c>
      <c r="E4016" t="s">
        <v>10495</v>
      </c>
      <c r="F4016" t="s">
        <v>10496</v>
      </c>
      <c r="G4016">
        <v>344.4</v>
      </c>
      <c r="H4016">
        <v>344.4</v>
      </c>
      <c r="I4016" t="s">
        <v>269</v>
      </c>
      <c r="J4016" t="s">
        <v>270</v>
      </c>
      <c r="K4016" t="s">
        <v>31</v>
      </c>
      <c r="L4016" t="s">
        <v>32</v>
      </c>
      <c r="M4016" t="s">
        <v>33</v>
      </c>
      <c r="P4016" s="1" t="s">
        <v>13882</v>
      </c>
      <c r="Q4016" s="1" t="s">
        <v>10495</v>
      </c>
      <c r="R4016" s="1" t="s">
        <v>10495</v>
      </c>
      <c r="S4016" s="1"/>
      <c r="T4016" s="1" t="s">
        <v>1468</v>
      </c>
      <c r="U4016" s="1"/>
      <c r="V4016" s="1">
        <v>344.4</v>
      </c>
      <c r="W4016" s="1">
        <v>344.4</v>
      </c>
      <c r="X4016" s="1" t="s">
        <v>35</v>
      </c>
      <c r="Y4016" s="1">
        <v>344400.0</v>
      </c>
      <c r="Z4016" s="1"/>
      <c r="AA4016" s="1">
        <v>344400.0</v>
      </c>
      <c r="AB4016" s="1"/>
      <c r="AC4016" s="1" t="s">
        <v>36</v>
      </c>
      <c r="AD4016" s="1" t="s">
        <v>13883</v>
      </c>
      <c r="AE4016" s="1" t="s">
        <v>32</v>
      </c>
      <c r="AF4016" s="1" t="s">
        <v>33</v>
      </c>
      <c r="AG4016" s="1" t="s">
        <v>270</v>
      </c>
    </row>
    <row r="4017" spans="1:33">
      <c r="A4017" t="s">
        <v>13884</v>
      </c>
      <c r="C4017" t="s">
        <v>1053</v>
      </c>
      <c r="E4017" t="s">
        <v>10495</v>
      </c>
      <c r="F4017" t="s">
        <v>10496</v>
      </c>
      <c r="G4017">
        <v>893.0</v>
      </c>
      <c r="H4017">
        <v>893.0</v>
      </c>
      <c r="I4017" t="s">
        <v>179</v>
      </c>
      <c r="J4017" t="s">
        <v>180</v>
      </c>
      <c r="K4017" t="s">
        <v>31</v>
      </c>
      <c r="L4017" t="s">
        <v>32</v>
      </c>
      <c r="M4017" t="s">
        <v>33</v>
      </c>
      <c r="P4017" s="1" t="s">
        <v>13885</v>
      </c>
      <c r="Q4017" s="1" t="s">
        <v>10495</v>
      </c>
      <c r="R4017" s="1" t="s">
        <v>10495</v>
      </c>
      <c r="S4017" s="1"/>
      <c r="T4017" s="1" t="s">
        <v>1053</v>
      </c>
      <c r="U4017" s="1"/>
      <c r="V4017" s="1">
        <v>893.0</v>
      </c>
      <c r="W4017" s="1">
        <v>893.0</v>
      </c>
      <c r="X4017" s="1" t="s">
        <v>35</v>
      </c>
      <c r="Y4017" s="1">
        <v>893000.0</v>
      </c>
      <c r="Z4017" s="1"/>
      <c r="AA4017" s="1">
        <v>893000.0</v>
      </c>
      <c r="AB4017" s="1"/>
      <c r="AC4017" s="1" t="s">
        <v>36</v>
      </c>
      <c r="AD4017" s="1" t="s">
        <v>13883</v>
      </c>
      <c r="AE4017" s="1" t="s">
        <v>32</v>
      </c>
      <c r="AF4017" s="1" t="s">
        <v>33</v>
      </c>
      <c r="AG4017" s="1" t="s">
        <v>180</v>
      </c>
    </row>
    <row r="4018" spans="1:33">
      <c r="A4018" t="s">
        <v>13886</v>
      </c>
      <c r="C4018" t="s">
        <v>4421</v>
      </c>
      <c r="E4018" t="s">
        <v>10495</v>
      </c>
      <c r="F4018" t="s">
        <v>10496</v>
      </c>
      <c r="G4018">
        <v>328.0</v>
      </c>
      <c r="H4018">
        <v>328.0</v>
      </c>
      <c r="I4018" t="s">
        <v>269</v>
      </c>
      <c r="J4018" t="s">
        <v>270</v>
      </c>
      <c r="K4018" t="s">
        <v>31</v>
      </c>
      <c r="L4018" t="s">
        <v>32</v>
      </c>
      <c r="M4018" t="s">
        <v>33</v>
      </c>
      <c r="P4018" s="1" t="s">
        <v>13887</v>
      </c>
      <c r="Q4018" s="1" t="s">
        <v>10495</v>
      </c>
      <c r="R4018" s="1" t="s">
        <v>10495</v>
      </c>
      <c r="S4018" s="1"/>
      <c r="T4018" s="1" t="s">
        <v>4421</v>
      </c>
      <c r="U4018" s="1"/>
      <c r="V4018" s="1">
        <v>328.0</v>
      </c>
      <c r="W4018" s="1">
        <v>328.0</v>
      </c>
      <c r="X4018" s="1" t="s">
        <v>35</v>
      </c>
      <c r="Y4018" s="1">
        <v>328000.0</v>
      </c>
      <c r="Z4018" s="1"/>
      <c r="AA4018" s="1">
        <v>328000.0</v>
      </c>
      <c r="AB4018" s="1"/>
      <c r="AC4018" s="1" t="s">
        <v>36</v>
      </c>
      <c r="AD4018" s="1" t="s">
        <v>13888</v>
      </c>
      <c r="AE4018" s="1" t="s">
        <v>32</v>
      </c>
      <c r="AF4018" s="1" t="s">
        <v>33</v>
      </c>
      <c r="AG4018" s="1" t="s">
        <v>270</v>
      </c>
    </row>
    <row r="4019" spans="1:33">
      <c r="A4019" t="s">
        <v>13889</v>
      </c>
      <c r="B4019" t="s">
        <v>13890</v>
      </c>
      <c r="C4019" t="s">
        <v>125</v>
      </c>
      <c r="E4019" t="s">
        <v>10495</v>
      </c>
      <c r="F4019" t="s">
        <v>10496</v>
      </c>
      <c r="G4019">
        <v>12.0</v>
      </c>
      <c r="H4019">
        <v>12.0</v>
      </c>
      <c r="I4019" t="s">
        <v>126</v>
      </c>
      <c r="J4019" t="s">
        <v>127</v>
      </c>
      <c r="K4019" t="s">
        <v>31</v>
      </c>
      <c r="L4019" t="s">
        <v>32</v>
      </c>
      <c r="M4019" t="s">
        <v>33</v>
      </c>
      <c r="P4019" s="1" t="s">
        <v>13891</v>
      </c>
      <c r="Q4019" s="1" t="s">
        <v>10495</v>
      </c>
      <c r="R4019" s="1" t="s">
        <v>10495</v>
      </c>
      <c r="S4019" s="1"/>
      <c r="T4019" s="1" t="s">
        <v>125</v>
      </c>
      <c r="U4019" s="1"/>
      <c r="V4019" s="1">
        <v>12.0</v>
      </c>
      <c r="W4019" s="1">
        <v>12.0</v>
      </c>
      <c r="X4019" s="1" t="s">
        <v>35</v>
      </c>
      <c r="Y4019" s="1">
        <v>12000.0</v>
      </c>
      <c r="Z4019" s="1"/>
      <c r="AA4019" s="1">
        <v>12000.0</v>
      </c>
      <c r="AB4019" s="1"/>
      <c r="AC4019" s="1" t="s">
        <v>36</v>
      </c>
      <c r="AD4019" s="1" t="s">
        <v>13883</v>
      </c>
      <c r="AE4019" s="1" t="s">
        <v>32</v>
      </c>
      <c r="AF4019" s="1" t="s">
        <v>33</v>
      </c>
      <c r="AG4019" s="1" t="s">
        <v>127</v>
      </c>
    </row>
    <row r="4020" spans="1:33">
      <c r="A4020" t="s">
        <v>13892</v>
      </c>
      <c r="B4020" t="s">
        <v>13893</v>
      </c>
      <c r="C4020" t="s">
        <v>47</v>
      </c>
      <c r="E4020" t="s">
        <v>10616</v>
      </c>
      <c r="F4020" t="s">
        <v>10617</v>
      </c>
      <c r="G4020">
        <v>11.0</v>
      </c>
      <c r="H4020">
        <v>11.0</v>
      </c>
      <c r="I4020" t="s">
        <v>2206</v>
      </c>
      <c r="J4020" t="s">
        <v>49</v>
      </c>
      <c r="K4020" t="s">
        <v>31</v>
      </c>
      <c r="L4020" t="s">
        <v>32</v>
      </c>
      <c r="M4020" t="s">
        <v>33</v>
      </c>
      <c r="P4020" s="1" t="s">
        <v>13894</v>
      </c>
      <c r="Q4020" s="1" t="s">
        <v>10495</v>
      </c>
      <c r="R4020" s="1" t="s">
        <v>10495</v>
      </c>
      <c r="S4020" s="1"/>
      <c r="T4020" s="1" t="s">
        <v>47</v>
      </c>
      <c r="U4020" s="1"/>
      <c r="V4020" s="1">
        <v>11.0</v>
      </c>
      <c r="W4020" s="1">
        <v>11.0</v>
      </c>
      <c r="X4020" s="1" t="s">
        <v>35</v>
      </c>
      <c r="Y4020" s="1">
        <v>11000.0</v>
      </c>
      <c r="Z4020" s="1"/>
      <c r="AA4020" s="1">
        <v>11000.0</v>
      </c>
      <c r="AB4020" s="1"/>
      <c r="AC4020" s="1" t="s">
        <v>36</v>
      </c>
      <c r="AD4020" s="1" t="s">
        <v>13895</v>
      </c>
      <c r="AE4020" s="1" t="s">
        <v>32</v>
      </c>
      <c r="AF4020" s="1" t="s">
        <v>33</v>
      </c>
      <c r="AG4020" s="1" t="s">
        <v>49</v>
      </c>
    </row>
    <row r="4021" spans="1:33">
      <c r="A4021" t="s">
        <v>13896</v>
      </c>
      <c r="C4021" t="s">
        <v>6786</v>
      </c>
      <c r="E4021" t="s">
        <v>10495</v>
      </c>
      <c r="F4021" t="s">
        <v>10496</v>
      </c>
      <c r="G4021">
        <v>336.0</v>
      </c>
      <c r="H4021">
        <v>336.0</v>
      </c>
      <c r="I4021" t="s">
        <v>94</v>
      </c>
      <c r="J4021" t="s">
        <v>95</v>
      </c>
      <c r="K4021" t="s">
        <v>31</v>
      </c>
      <c r="L4021" t="s">
        <v>32</v>
      </c>
      <c r="M4021" t="s">
        <v>33</v>
      </c>
      <c r="P4021" s="1" t="s">
        <v>13897</v>
      </c>
      <c r="Q4021" s="1" t="s">
        <v>10495</v>
      </c>
      <c r="R4021" s="1" t="s">
        <v>10495</v>
      </c>
      <c r="S4021" s="1"/>
      <c r="T4021" s="1" t="s">
        <v>6786</v>
      </c>
      <c r="U4021" s="1"/>
      <c r="V4021" s="1">
        <v>336.0</v>
      </c>
      <c r="W4021" s="1">
        <v>336.0</v>
      </c>
      <c r="X4021" s="1" t="s">
        <v>35</v>
      </c>
      <c r="Y4021" s="1">
        <v>336000.0</v>
      </c>
      <c r="Z4021" s="1"/>
      <c r="AA4021" s="1">
        <v>336000.0</v>
      </c>
      <c r="AB4021" s="1"/>
      <c r="AC4021" s="1" t="s">
        <v>36</v>
      </c>
      <c r="AD4021" s="1" t="s">
        <v>13819</v>
      </c>
      <c r="AE4021" s="1" t="s">
        <v>32</v>
      </c>
      <c r="AF4021" s="1" t="s">
        <v>33</v>
      </c>
      <c r="AG4021" s="1" t="s">
        <v>95</v>
      </c>
    </row>
    <row r="4022" spans="1:33">
      <c r="A4022" t="s">
        <v>13898</v>
      </c>
      <c r="C4022" t="s">
        <v>300</v>
      </c>
      <c r="E4022" t="s">
        <v>10495</v>
      </c>
      <c r="F4022" t="s">
        <v>10496</v>
      </c>
      <c r="G4022">
        <v>1.27</v>
      </c>
      <c r="H4022">
        <v>1.27</v>
      </c>
      <c r="I4022" t="s">
        <v>94</v>
      </c>
      <c r="J4022" t="s">
        <v>95</v>
      </c>
      <c r="K4022" t="s">
        <v>31</v>
      </c>
      <c r="L4022" t="s">
        <v>32</v>
      </c>
      <c r="M4022" t="s">
        <v>33</v>
      </c>
      <c r="P4022" s="1" t="s">
        <v>13899</v>
      </c>
      <c r="Q4022" s="1" t="s">
        <v>10495</v>
      </c>
      <c r="R4022" s="1" t="s">
        <v>10495</v>
      </c>
      <c r="S4022" s="1"/>
      <c r="T4022" s="1" t="s">
        <v>302</v>
      </c>
      <c r="U4022" s="1" t="s">
        <v>303</v>
      </c>
      <c r="V4022" s="1">
        <v>1.27</v>
      </c>
      <c r="W4022" s="1">
        <v>1.27</v>
      </c>
      <c r="X4022" s="1" t="s">
        <v>35</v>
      </c>
      <c r="Y4022" s="1">
        <v>1270000.0</v>
      </c>
      <c r="Z4022" s="1"/>
      <c r="AA4022" s="1">
        <v>1270000.0</v>
      </c>
      <c r="AB4022" s="1"/>
      <c r="AC4022" s="1" t="s">
        <v>36</v>
      </c>
      <c r="AD4022" s="1" t="s">
        <v>13826</v>
      </c>
      <c r="AE4022" s="1" t="s">
        <v>32</v>
      </c>
      <c r="AF4022" s="1" t="s">
        <v>33</v>
      </c>
      <c r="AG4022" s="1" t="s">
        <v>95</v>
      </c>
    </row>
    <row r="4023" spans="1:33">
      <c r="A4023" t="s">
        <v>13900</v>
      </c>
      <c r="C4023" t="s">
        <v>786</v>
      </c>
      <c r="E4023" t="s">
        <v>10495</v>
      </c>
      <c r="F4023" t="s">
        <v>10496</v>
      </c>
      <c r="G4023">
        <v>608.4</v>
      </c>
      <c r="H4023">
        <v>608.4</v>
      </c>
      <c r="I4023" t="s">
        <v>269</v>
      </c>
      <c r="J4023" t="s">
        <v>270</v>
      </c>
      <c r="K4023" t="s">
        <v>31</v>
      </c>
      <c r="L4023" t="s">
        <v>32</v>
      </c>
      <c r="M4023" t="s">
        <v>33</v>
      </c>
      <c r="P4023" s="1" t="s">
        <v>13901</v>
      </c>
      <c r="Q4023" s="1" t="s">
        <v>10495</v>
      </c>
      <c r="R4023" s="1" t="s">
        <v>10495</v>
      </c>
      <c r="S4023" s="1"/>
      <c r="T4023" s="1" t="s">
        <v>786</v>
      </c>
      <c r="U4023" s="1"/>
      <c r="V4023" s="1">
        <v>608.4</v>
      </c>
      <c r="W4023" s="1">
        <v>608.4</v>
      </c>
      <c r="X4023" s="1" t="s">
        <v>35</v>
      </c>
      <c r="Y4023" s="1">
        <v>608400.0</v>
      </c>
      <c r="Z4023" s="1"/>
      <c r="AA4023" s="1">
        <v>608400.0</v>
      </c>
      <c r="AB4023" s="1"/>
      <c r="AC4023" s="1" t="s">
        <v>36</v>
      </c>
      <c r="AD4023" s="1" t="s">
        <v>13902</v>
      </c>
      <c r="AE4023" s="1" t="s">
        <v>32</v>
      </c>
      <c r="AF4023" s="1" t="s">
        <v>33</v>
      </c>
      <c r="AG4023" s="1" t="s">
        <v>270</v>
      </c>
    </row>
    <row r="4024" spans="1:33">
      <c r="A4024" t="s">
        <v>13903</v>
      </c>
      <c r="C4024" t="s">
        <v>558</v>
      </c>
      <c r="D4024" t="s">
        <v>154</v>
      </c>
      <c r="E4024" t="s">
        <v>10495</v>
      </c>
      <c r="F4024" t="s">
        <v>10496</v>
      </c>
      <c r="G4024">
        <v>21.0</v>
      </c>
      <c r="H4024">
        <v>21.0</v>
      </c>
      <c r="I4024" t="s">
        <v>269</v>
      </c>
      <c r="J4024" t="s">
        <v>270</v>
      </c>
      <c r="K4024" t="s">
        <v>31</v>
      </c>
      <c r="L4024" t="s">
        <v>32</v>
      </c>
      <c r="M4024" t="s">
        <v>33</v>
      </c>
      <c r="P4024" s="1" t="s">
        <v>13904</v>
      </c>
      <c r="Q4024" s="1" t="s">
        <v>10495</v>
      </c>
      <c r="R4024" s="1" t="s">
        <v>10495</v>
      </c>
      <c r="S4024" s="1"/>
      <c r="T4024" s="1" t="s">
        <v>560</v>
      </c>
      <c r="U4024" s="1" t="s">
        <v>561</v>
      </c>
      <c r="V4024" s="1">
        <v>21.0</v>
      </c>
      <c r="W4024" s="1">
        <v>21.0</v>
      </c>
      <c r="X4024" s="1" t="s">
        <v>35</v>
      </c>
      <c r="Y4024" s="1">
        <v>21000.0</v>
      </c>
      <c r="Z4024" s="1"/>
      <c r="AA4024" s="1">
        <v>21000.0</v>
      </c>
      <c r="AB4024" s="1"/>
      <c r="AC4024" s="1" t="s">
        <v>36</v>
      </c>
      <c r="AD4024" s="1" t="s">
        <v>13905</v>
      </c>
      <c r="AE4024" s="1" t="s">
        <v>32</v>
      </c>
      <c r="AF4024" s="1" t="s">
        <v>33</v>
      </c>
      <c r="AG4024" s="1" t="s">
        <v>270</v>
      </c>
    </row>
    <row r="4025" spans="1:33">
      <c r="A4025" t="s">
        <v>13906</v>
      </c>
      <c r="B4025" t="s">
        <v>13907</v>
      </c>
      <c r="C4025" t="s">
        <v>268</v>
      </c>
      <c r="E4025" t="s">
        <v>10495</v>
      </c>
      <c r="F4025" t="s">
        <v>10496</v>
      </c>
      <c r="G4025">
        <v>83.55</v>
      </c>
      <c r="H4025">
        <v>83.55</v>
      </c>
      <c r="I4025" t="s">
        <v>269</v>
      </c>
      <c r="J4025" t="s">
        <v>270</v>
      </c>
      <c r="K4025" t="s">
        <v>31</v>
      </c>
      <c r="L4025" t="s">
        <v>32</v>
      </c>
      <c r="M4025" t="s">
        <v>33</v>
      </c>
      <c r="P4025" s="1" t="s">
        <v>13908</v>
      </c>
      <c r="Q4025" s="1" t="s">
        <v>10495</v>
      </c>
      <c r="R4025" s="1" t="s">
        <v>10495</v>
      </c>
      <c r="S4025" s="1"/>
      <c r="T4025" s="1" t="s">
        <v>268</v>
      </c>
      <c r="U4025" s="1"/>
      <c r="V4025" s="1">
        <v>83.55</v>
      </c>
      <c r="W4025" s="1">
        <v>83.55</v>
      </c>
      <c r="X4025" s="1" t="s">
        <v>35</v>
      </c>
      <c r="Y4025" s="1">
        <v>83550.0</v>
      </c>
      <c r="Z4025" s="1"/>
      <c r="AA4025" s="1">
        <v>83550.0</v>
      </c>
      <c r="AB4025" s="1"/>
      <c r="AC4025" s="1" t="s">
        <v>36</v>
      </c>
      <c r="AD4025" s="1" t="s">
        <v>13909</v>
      </c>
      <c r="AE4025" s="1" t="s">
        <v>32</v>
      </c>
      <c r="AF4025" s="1" t="s">
        <v>33</v>
      </c>
      <c r="AG4025" s="1" t="s">
        <v>270</v>
      </c>
    </row>
    <row r="4026" spans="1:33">
      <c r="A4026" t="s">
        <v>13910</v>
      </c>
      <c r="B4026" t="s">
        <v>13911</v>
      </c>
      <c r="C4026" t="s">
        <v>314</v>
      </c>
      <c r="E4026" t="s">
        <v>10495</v>
      </c>
      <c r="F4026" t="s">
        <v>10496</v>
      </c>
      <c r="G4026">
        <v>22.24</v>
      </c>
      <c r="H4026">
        <v>22.24</v>
      </c>
      <c r="I4026" t="s">
        <v>179</v>
      </c>
      <c r="J4026" t="s">
        <v>180</v>
      </c>
      <c r="K4026" t="s">
        <v>31</v>
      </c>
      <c r="L4026" t="s">
        <v>32</v>
      </c>
      <c r="M4026" t="s">
        <v>33</v>
      </c>
      <c r="P4026" s="1" t="s">
        <v>13912</v>
      </c>
      <c r="Q4026" s="1" t="s">
        <v>10495</v>
      </c>
      <c r="R4026" s="1" t="s">
        <v>10495</v>
      </c>
      <c r="S4026" s="1"/>
      <c r="T4026" s="1" t="s">
        <v>314</v>
      </c>
      <c r="U4026" s="1"/>
      <c r="V4026" s="1">
        <v>22.24</v>
      </c>
      <c r="W4026" s="1">
        <v>22.24</v>
      </c>
      <c r="X4026" s="1" t="s">
        <v>35</v>
      </c>
      <c r="Y4026" s="1">
        <v>22240.0</v>
      </c>
      <c r="Z4026" s="1"/>
      <c r="AA4026" s="1">
        <v>22240.0</v>
      </c>
      <c r="AB4026" s="1"/>
      <c r="AC4026" s="1" t="s">
        <v>36</v>
      </c>
      <c r="AD4026" s="1" t="s">
        <v>13902</v>
      </c>
      <c r="AE4026" s="1" t="s">
        <v>32</v>
      </c>
      <c r="AF4026" s="1" t="s">
        <v>33</v>
      </c>
      <c r="AG4026" s="1" t="s">
        <v>180</v>
      </c>
    </row>
    <row r="4027" spans="1:33">
      <c r="A4027" t="s">
        <v>13913</v>
      </c>
      <c r="B4027" t="s">
        <v>13914</v>
      </c>
      <c r="C4027" t="s">
        <v>47</v>
      </c>
      <c r="E4027" t="s">
        <v>10495</v>
      </c>
      <c r="F4027" t="s">
        <v>10496</v>
      </c>
      <c r="G4027">
        <v>41.98</v>
      </c>
      <c r="H4027">
        <v>41.98</v>
      </c>
      <c r="I4027" t="s">
        <v>2206</v>
      </c>
      <c r="J4027" t="s">
        <v>49</v>
      </c>
      <c r="K4027" t="s">
        <v>31</v>
      </c>
      <c r="L4027" t="s">
        <v>32</v>
      </c>
      <c r="M4027" t="s">
        <v>33</v>
      </c>
      <c r="P4027" s="1" t="s">
        <v>13915</v>
      </c>
      <c r="Q4027" s="1" t="s">
        <v>10495</v>
      </c>
      <c r="R4027" s="1" t="s">
        <v>10495</v>
      </c>
      <c r="S4027" s="1"/>
      <c r="T4027" s="1" t="s">
        <v>47</v>
      </c>
      <c r="U4027" s="1"/>
      <c r="V4027" s="1">
        <v>41.98</v>
      </c>
      <c r="W4027" s="1">
        <v>41.98</v>
      </c>
      <c r="X4027" s="1" t="s">
        <v>35</v>
      </c>
      <c r="Y4027" s="1">
        <v>41980.0</v>
      </c>
      <c r="Z4027" s="1"/>
      <c r="AA4027" s="1">
        <v>41980.0</v>
      </c>
      <c r="AB4027" s="1"/>
      <c r="AC4027" s="1" t="s">
        <v>36</v>
      </c>
      <c r="AD4027" s="1" t="s">
        <v>13916</v>
      </c>
      <c r="AE4027" s="1" t="s">
        <v>32</v>
      </c>
      <c r="AF4027" s="1" t="s">
        <v>33</v>
      </c>
      <c r="AG4027" s="1" t="s">
        <v>49</v>
      </c>
    </row>
    <row r="4028" spans="1:33">
      <c r="A4028" t="s">
        <v>13917</v>
      </c>
      <c r="B4028" t="s">
        <v>13918</v>
      </c>
      <c r="C4028" t="s">
        <v>131</v>
      </c>
      <c r="E4028" t="s">
        <v>10495</v>
      </c>
      <c r="F4028" t="s">
        <v>10496</v>
      </c>
      <c r="G4028">
        <v>80.98</v>
      </c>
      <c r="H4028">
        <v>80.98</v>
      </c>
      <c r="I4028" t="s">
        <v>94</v>
      </c>
      <c r="J4028" t="s">
        <v>95</v>
      </c>
      <c r="K4028" t="s">
        <v>31</v>
      </c>
      <c r="L4028" t="s">
        <v>32</v>
      </c>
      <c r="M4028" t="s">
        <v>33</v>
      </c>
      <c r="P4028" s="1" t="s">
        <v>13919</v>
      </c>
      <c r="Q4028" s="1" t="s">
        <v>10495</v>
      </c>
      <c r="R4028" s="1" t="s">
        <v>10495</v>
      </c>
      <c r="S4028" s="1"/>
      <c r="T4028" s="1" t="s">
        <v>131</v>
      </c>
      <c r="U4028" s="1"/>
      <c r="V4028" s="1">
        <v>80.98</v>
      </c>
      <c r="W4028" s="1">
        <v>80.98</v>
      </c>
      <c r="X4028" s="1" t="s">
        <v>35</v>
      </c>
      <c r="Y4028" s="1">
        <v>80980.0</v>
      </c>
      <c r="Z4028" s="1"/>
      <c r="AA4028" s="1">
        <v>80980.0</v>
      </c>
      <c r="AB4028" s="1"/>
      <c r="AC4028" s="1" t="s">
        <v>36</v>
      </c>
      <c r="AD4028" s="1" t="s">
        <v>13920</v>
      </c>
      <c r="AE4028" s="1" t="s">
        <v>32</v>
      </c>
      <c r="AF4028" s="1" t="s">
        <v>33</v>
      </c>
      <c r="AG4028" s="1" t="s">
        <v>95</v>
      </c>
    </row>
    <row r="4029" spans="1:33">
      <c r="A4029" t="s">
        <v>13921</v>
      </c>
      <c r="B4029" t="s">
        <v>13922</v>
      </c>
      <c r="C4029" t="s">
        <v>13923</v>
      </c>
      <c r="D4029" t="s">
        <v>114</v>
      </c>
      <c r="E4029" t="s">
        <v>10495</v>
      </c>
      <c r="F4029" t="s">
        <v>10496</v>
      </c>
      <c r="G4029">
        <v>16.96</v>
      </c>
      <c r="H4029">
        <v>16.96</v>
      </c>
      <c r="I4029" t="s">
        <v>59</v>
      </c>
      <c r="J4029" t="s">
        <v>60</v>
      </c>
      <c r="K4029" t="s">
        <v>31</v>
      </c>
      <c r="L4029" t="s">
        <v>32</v>
      </c>
      <c r="M4029" t="s">
        <v>33</v>
      </c>
      <c r="P4029" s="1" t="s">
        <v>13924</v>
      </c>
      <c r="Q4029" s="1" t="s">
        <v>10495</v>
      </c>
      <c r="R4029" s="1" t="s">
        <v>10495</v>
      </c>
      <c r="S4029" s="1"/>
      <c r="T4029" s="1" t="s">
        <v>13923</v>
      </c>
      <c r="U4029" s="1"/>
      <c r="V4029" s="1">
        <v>16.96</v>
      </c>
      <c r="W4029" s="1">
        <v>16.96</v>
      </c>
      <c r="X4029" s="1" t="s">
        <v>35</v>
      </c>
      <c r="Y4029" s="1">
        <v>16960.0</v>
      </c>
      <c r="Z4029" s="1"/>
      <c r="AA4029" s="1">
        <v>16960.0</v>
      </c>
      <c r="AB4029" s="1"/>
      <c r="AC4029" s="1" t="s">
        <v>36</v>
      </c>
      <c r="AD4029" s="1" t="s">
        <v>13449</v>
      </c>
      <c r="AE4029" s="1" t="s">
        <v>32</v>
      </c>
      <c r="AF4029" s="1" t="s">
        <v>33</v>
      </c>
      <c r="AG4029" s="1" t="s">
        <v>60</v>
      </c>
    </row>
    <row r="4030" spans="1:33">
      <c r="A4030" t="s">
        <v>13925</v>
      </c>
      <c r="C4030" t="s">
        <v>609</v>
      </c>
      <c r="E4030" t="s">
        <v>10495</v>
      </c>
      <c r="F4030" t="s">
        <v>10496</v>
      </c>
      <c r="G4030">
        <v>962.5</v>
      </c>
      <c r="H4030">
        <v>962.5</v>
      </c>
      <c r="I4030" t="s">
        <v>269</v>
      </c>
      <c r="J4030" t="s">
        <v>270</v>
      </c>
      <c r="K4030" t="s">
        <v>31</v>
      </c>
      <c r="L4030" t="s">
        <v>32</v>
      </c>
      <c r="M4030" t="s">
        <v>33</v>
      </c>
      <c r="P4030" s="1" t="s">
        <v>13926</v>
      </c>
      <c r="Q4030" s="1" t="s">
        <v>10495</v>
      </c>
      <c r="R4030" s="1" t="s">
        <v>10495</v>
      </c>
      <c r="S4030" s="1"/>
      <c r="T4030" s="1" t="s">
        <v>609</v>
      </c>
      <c r="U4030" s="1"/>
      <c r="V4030" s="1">
        <v>962.5</v>
      </c>
      <c r="W4030" s="1">
        <v>962.5</v>
      </c>
      <c r="X4030" s="1" t="s">
        <v>35</v>
      </c>
      <c r="Y4030" s="1">
        <v>962500.0</v>
      </c>
      <c r="Z4030" s="1"/>
      <c r="AA4030" s="1">
        <v>962500.0</v>
      </c>
      <c r="AB4030" s="1"/>
      <c r="AC4030" s="1" t="s">
        <v>36</v>
      </c>
      <c r="AD4030" s="1" t="s">
        <v>13927</v>
      </c>
      <c r="AE4030" s="1" t="s">
        <v>32</v>
      </c>
      <c r="AF4030" s="1" t="s">
        <v>33</v>
      </c>
      <c r="AG4030" s="1" t="s">
        <v>270</v>
      </c>
    </row>
    <row r="4031" spans="1:33">
      <c r="A4031" t="s">
        <v>13928</v>
      </c>
      <c r="B4031" t="s">
        <v>13929</v>
      </c>
      <c r="C4031" t="s">
        <v>68</v>
      </c>
      <c r="E4031" t="s">
        <v>10495</v>
      </c>
      <c r="F4031" t="s">
        <v>10496</v>
      </c>
      <c r="G4031">
        <v>146.94</v>
      </c>
      <c r="H4031">
        <v>146.94</v>
      </c>
      <c r="I4031" t="s">
        <v>59</v>
      </c>
      <c r="J4031" t="s">
        <v>60</v>
      </c>
      <c r="K4031" t="s">
        <v>31</v>
      </c>
      <c r="L4031" t="s">
        <v>32</v>
      </c>
      <c r="M4031" t="s">
        <v>33</v>
      </c>
      <c r="P4031" s="1" t="s">
        <v>13930</v>
      </c>
      <c r="Q4031" s="1" t="s">
        <v>10495</v>
      </c>
      <c r="R4031" s="1" t="s">
        <v>10495</v>
      </c>
      <c r="S4031" s="1"/>
      <c r="T4031" s="1" t="s">
        <v>68</v>
      </c>
      <c r="U4031" s="1"/>
      <c r="V4031" s="1">
        <v>146.94</v>
      </c>
      <c r="W4031" s="1">
        <v>146.94</v>
      </c>
      <c r="X4031" s="1" t="s">
        <v>35</v>
      </c>
      <c r="Y4031" s="1">
        <v>146940.0</v>
      </c>
      <c r="Z4031" s="1"/>
      <c r="AA4031" s="1">
        <v>146940.0</v>
      </c>
      <c r="AB4031" s="1"/>
      <c r="AC4031" s="1" t="s">
        <v>36</v>
      </c>
      <c r="AD4031" s="1" t="s">
        <v>13931</v>
      </c>
      <c r="AE4031" s="1" t="s">
        <v>32</v>
      </c>
      <c r="AF4031" s="1" t="s">
        <v>33</v>
      </c>
      <c r="AG4031" s="1" t="s">
        <v>60</v>
      </c>
    </row>
    <row r="4032" spans="1:33">
      <c r="A4032" t="s">
        <v>13932</v>
      </c>
      <c r="B4032" t="s">
        <v>13933</v>
      </c>
      <c r="C4032" t="s">
        <v>68</v>
      </c>
      <c r="E4032" t="s">
        <v>10495</v>
      </c>
      <c r="F4032" t="s">
        <v>10496</v>
      </c>
      <c r="G4032">
        <v>4.598</v>
      </c>
      <c r="H4032">
        <v>4.598</v>
      </c>
      <c r="I4032" t="s">
        <v>59</v>
      </c>
      <c r="J4032" t="s">
        <v>60</v>
      </c>
      <c r="K4032" t="s">
        <v>31</v>
      </c>
      <c r="L4032" t="s">
        <v>32</v>
      </c>
      <c r="M4032" t="s">
        <v>33</v>
      </c>
      <c r="P4032" s="1" t="s">
        <v>13934</v>
      </c>
      <c r="Q4032" s="1" t="s">
        <v>10495</v>
      </c>
      <c r="R4032" s="1" t="s">
        <v>10495</v>
      </c>
      <c r="S4032" s="1"/>
      <c r="T4032" s="1" t="s">
        <v>68</v>
      </c>
      <c r="U4032" s="1"/>
      <c r="V4032" s="1">
        <v>4.598</v>
      </c>
      <c r="W4032" s="1">
        <v>4.598</v>
      </c>
      <c r="X4032" s="1" t="s">
        <v>35</v>
      </c>
      <c r="Y4032" s="1">
        <v>4598.0</v>
      </c>
      <c r="Z4032" s="1"/>
      <c r="AA4032" s="1">
        <v>4598.0</v>
      </c>
      <c r="AB4032" s="1"/>
      <c r="AC4032" s="1" t="s">
        <v>36</v>
      </c>
      <c r="AD4032" s="1" t="s">
        <v>13935</v>
      </c>
      <c r="AE4032" s="1" t="s">
        <v>32</v>
      </c>
      <c r="AF4032" s="1" t="s">
        <v>33</v>
      </c>
      <c r="AG4032" s="1" t="s">
        <v>60</v>
      </c>
    </row>
    <row r="4033" spans="1:33">
      <c r="A4033" t="s">
        <v>13936</v>
      </c>
      <c r="B4033" t="s">
        <v>5575</v>
      </c>
      <c r="C4033" t="s">
        <v>5576</v>
      </c>
      <c r="E4033" t="s">
        <v>10495</v>
      </c>
      <c r="F4033" t="s">
        <v>10496</v>
      </c>
      <c r="G4033">
        <v>13.396</v>
      </c>
      <c r="H4033">
        <v>13.396</v>
      </c>
      <c r="I4033" t="s">
        <v>59</v>
      </c>
      <c r="J4033" t="s">
        <v>60</v>
      </c>
      <c r="K4033" t="s">
        <v>31</v>
      </c>
      <c r="L4033" t="s">
        <v>32</v>
      </c>
      <c r="M4033" t="s">
        <v>33</v>
      </c>
      <c r="P4033" s="1" t="s">
        <v>13937</v>
      </c>
      <c r="Q4033" s="1" t="s">
        <v>10495</v>
      </c>
      <c r="R4033" s="1" t="s">
        <v>10495</v>
      </c>
      <c r="S4033" s="1"/>
      <c r="T4033" s="1" t="s">
        <v>5576</v>
      </c>
      <c r="U4033" s="1"/>
      <c r="V4033" s="1">
        <v>13.396</v>
      </c>
      <c r="W4033" s="1">
        <v>13.396</v>
      </c>
      <c r="X4033" s="1" t="s">
        <v>35</v>
      </c>
      <c r="Y4033" s="1">
        <v>13396.0</v>
      </c>
      <c r="Z4033" s="1"/>
      <c r="AA4033" s="1">
        <v>13396.0</v>
      </c>
      <c r="AB4033" s="1"/>
      <c r="AC4033" s="1" t="s">
        <v>36</v>
      </c>
      <c r="AD4033" s="1" t="s">
        <v>13938</v>
      </c>
      <c r="AE4033" s="1" t="s">
        <v>32</v>
      </c>
      <c r="AF4033" s="1" t="s">
        <v>33</v>
      </c>
      <c r="AG4033" s="1" t="s">
        <v>60</v>
      </c>
    </row>
    <row r="4034" spans="1:33">
      <c r="A4034" t="s">
        <v>13939</v>
      </c>
      <c r="B4034" t="s">
        <v>13940</v>
      </c>
      <c r="C4034" t="s">
        <v>47</v>
      </c>
      <c r="E4034" t="s">
        <v>10495</v>
      </c>
      <c r="F4034" t="s">
        <v>10496</v>
      </c>
      <c r="G4034">
        <v>19.75</v>
      </c>
      <c r="H4034">
        <v>19.75</v>
      </c>
      <c r="I4034" t="s">
        <v>2206</v>
      </c>
      <c r="J4034" t="s">
        <v>49</v>
      </c>
      <c r="K4034" t="s">
        <v>31</v>
      </c>
      <c r="L4034" t="s">
        <v>32</v>
      </c>
      <c r="M4034" t="s">
        <v>33</v>
      </c>
      <c r="P4034" s="1" t="s">
        <v>13941</v>
      </c>
      <c r="Q4034" s="1" t="s">
        <v>10495</v>
      </c>
      <c r="R4034" s="1" t="s">
        <v>10495</v>
      </c>
      <c r="S4034" s="1"/>
      <c r="T4034" s="1" t="s">
        <v>47</v>
      </c>
      <c r="U4034" s="1"/>
      <c r="V4034" s="1">
        <v>19.75</v>
      </c>
      <c r="W4034" s="1">
        <v>19.75</v>
      </c>
      <c r="X4034" s="1" t="s">
        <v>35</v>
      </c>
      <c r="Y4034" s="1">
        <v>19750.0</v>
      </c>
      <c r="Z4034" s="1"/>
      <c r="AA4034" s="1">
        <v>19750.0</v>
      </c>
      <c r="AB4034" s="1"/>
      <c r="AC4034" s="1" t="s">
        <v>36</v>
      </c>
      <c r="AD4034" s="1" t="s">
        <v>13942</v>
      </c>
      <c r="AE4034" s="1" t="s">
        <v>32</v>
      </c>
      <c r="AF4034" s="1" t="s">
        <v>33</v>
      </c>
      <c r="AG4034" s="1" t="s">
        <v>49</v>
      </c>
    </row>
    <row r="4035" spans="1:33">
      <c r="A4035" t="s">
        <v>13943</v>
      </c>
      <c r="B4035" t="s">
        <v>7061</v>
      </c>
      <c r="C4035" t="s">
        <v>314</v>
      </c>
      <c r="E4035" t="s">
        <v>10495</v>
      </c>
      <c r="F4035" t="s">
        <v>10496</v>
      </c>
      <c r="G4035">
        <v>70.92</v>
      </c>
      <c r="H4035">
        <v>70.92</v>
      </c>
      <c r="I4035" t="s">
        <v>179</v>
      </c>
      <c r="J4035" t="s">
        <v>180</v>
      </c>
      <c r="K4035" t="s">
        <v>31</v>
      </c>
      <c r="L4035" t="s">
        <v>32</v>
      </c>
      <c r="M4035" t="s">
        <v>33</v>
      </c>
      <c r="P4035" s="1" t="s">
        <v>13944</v>
      </c>
      <c r="Q4035" s="1" t="s">
        <v>10495</v>
      </c>
      <c r="R4035" s="1" t="s">
        <v>10495</v>
      </c>
      <c r="S4035" s="1"/>
      <c r="T4035" s="1" t="s">
        <v>314</v>
      </c>
      <c r="U4035" s="1"/>
      <c r="V4035" s="1">
        <v>70.92</v>
      </c>
      <c r="W4035" s="1">
        <v>70.92</v>
      </c>
      <c r="X4035" s="1" t="s">
        <v>35</v>
      </c>
      <c r="Y4035" s="1">
        <v>70920.0</v>
      </c>
      <c r="Z4035" s="1"/>
      <c r="AA4035" s="1">
        <v>70920.0</v>
      </c>
      <c r="AB4035" s="1"/>
      <c r="AC4035" s="1" t="s">
        <v>36</v>
      </c>
      <c r="AD4035" s="1" t="s">
        <v>13935</v>
      </c>
      <c r="AE4035" s="1" t="s">
        <v>32</v>
      </c>
      <c r="AF4035" s="1" t="s">
        <v>33</v>
      </c>
      <c r="AG4035" s="1" t="s">
        <v>180</v>
      </c>
    </row>
    <row r="4036" spans="1:33">
      <c r="A4036" t="s">
        <v>13945</v>
      </c>
      <c r="B4036" t="s">
        <v>13946</v>
      </c>
      <c r="C4036" t="s">
        <v>125</v>
      </c>
      <c r="E4036" t="s">
        <v>10495</v>
      </c>
      <c r="F4036" t="s">
        <v>10496</v>
      </c>
      <c r="G4036">
        <v>4.44</v>
      </c>
      <c r="H4036">
        <v>4.44</v>
      </c>
      <c r="I4036" t="s">
        <v>126</v>
      </c>
      <c r="J4036" t="s">
        <v>127</v>
      </c>
      <c r="K4036" t="s">
        <v>31</v>
      </c>
      <c r="L4036" t="s">
        <v>32</v>
      </c>
      <c r="M4036" t="s">
        <v>33</v>
      </c>
      <c r="P4036" s="1" t="s">
        <v>13947</v>
      </c>
      <c r="Q4036" s="1" t="s">
        <v>10495</v>
      </c>
      <c r="R4036" s="1" t="s">
        <v>10495</v>
      </c>
      <c r="S4036" s="1"/>
      <c r="T4036" s="1" t="s">
        <v>125</v>
      </c>
      <c r="U4036" s="1"/>
      <c r="V4036" s="1">
        <v>4.44</v>
      </c>
      <c r="W4036" s="1">
        <v>4.44</v>
      </c>
      <c r="X4036" s="1" t="s">
        <v>35</v>
      </c>
      <c r="Y4036" s="1">
        <v>4440.0</v>
      </c>
      <c r="Z4036" s="1"/>
      <c r="AA4036" s="1">
        <v>4440.0</v>
      </c>
      <c r="AB4036" s="1"/>
      <c r="AC4036" s="1" t="s">
        <v>36</v>
      </c>
      <c r="AD4036" s="1" t="s">
        <v>13948</v>
      </c>
      <c r="AE4036" s="1" t="s">
        <v>32</v>
      </c>
      <c r="AF4036" s="1" t="s">
        <v>33</v>
      </c>
      <c r="AG4036" s="1" t="s">
        <v>127</v>
      </c>
    </row>
    <row r="4037" spans="1:33">
      <c r="A4037" t="s">
        <v>13949</v>
      </c>
      <c r="B4037" t="s">
        <v>5575</v>
      </c>
      <c r="C4037" t="s">
        <v>5576</v>
      </c>
      <c r="E4037" t="s">
        <v>10495</v>
      </c>
      <c r="F4037" t="s">
        <v>10496</v>
      </c>
      <c r="G4037">
        <v>166.43</v>
      </c>
      <c r="H4037">
        <v>166.43</v>
      </c>
      <c r="I4037" t="s">
        <v>59</v>
      </c>
      <c r="J4037" t="s">
        <v>60</v>
      </c>
      <c r="K4037" t="s">
        <v>31</v>
      </c>
      <c r="L4037" t="s">
        <v>32</v>
      </c>
      <c r="M4037" t="s">
        <v>33</v>
      </c>
      <c r="P4037" s="1" t="s">
        <v>13950</v>
      </c>
      <c r="Q4037" s="1" t="s">
        <v>10495</v>
      </c>
      <c r="R4037" s="1" t="s">
        <v>10495</v>
      </c>
      <c r="S4037" s="1"/>
      <c r="T4037" s="1" t="s">
        <v>5576</v>
      </c>
      <c r="U4037" s="1"/>
      <c r="V4037" s="1">
        <v>166.43</v>
      </c>
      <c r="W4037" s="1">
        <v>166.43</v>
      </c>
      <c r="X4037" s="1" t="s">
        <v>35</v>
      </c>
      <c r="Y4037" s="1">
        <v>166430.0</v>
      </c>
      <c r="Z4037" s="1"/>
      <c r="AA4037" s="1">
        <v>166430.0</v>
      </c>
      <c r="AB4037" s="1"/>
      <c r="AC4037" s="1" t="s">
        <v>36</v>
      </c>
      <c r="AD4037" s="1" t="s">
        <v>13951</v>
      </c>
      <c r="AE4037" s="1" t="s">
        <v>32</v>
      </c>
      <c r="AF4037" s="1" t="s">
        <v>33</v>
      </c>
      <c r="AG4037" s="1" t="s">
        <v>60</v>
      </c>
    </row>
    <row r="4038" spans="1:33">
      <c r="A4038" t="s">
        <v>13952</v>
      </c>
      <c r="B4038" t="s">
        <v>13953</v>
      </c>
      <c r="C4038" t="s">
        <v>125</v>
      </c>
      <c r="E4038" t="s">
        <v>10495</v>
      </c>
      <c r="F4038" t="s">
        <v>10496</v>
      </c>
      <c r="G4038">
        <v>162.42</v>
      </c>
      <c r="H4038">
        <v>162.42</v>
      </c>
      <c r="I4038" t="s">
        <v>126</v>
      </c>
      <c r="J4038" t="s">
        <v>127</v>
      </c>
      <c r="K4038" t="s">
        <v>31</v>
      </c>
      <c r="L4038" t="s">
        <v>32</v>
      </c>
      <c r="M4038" t="s">
        <v>33</v>
      </c>
      <c r="P4038" s="1" t="s">
        <v>13954</v>
      </c>
      <c r="Q4038" s="1" t="s">
        <v>10495</v>
      </c>
      <c r="R4038" s="1" t="s">
        <v>10495</v>
      </c>
      <c r="S4038" s="1"/>
      <c r="T4038" s="1" t="s">
        <v>125</v>
      </c>
      <c r="U4038" s="1"/>
      <c r="V4038" s="1">
        <v>162.42</v>
      </c>
      <c r="W4038" s="1">
        <v>162.42</v>
      </c>
      <c r="X4038" s="1" t="s">
        <v>35</v>
      </c>
      <c r="Y4038" s="1">
        <v>162420.0</v>
      </c>
      <c r="Z4038" s="1"/>
      <c r="AA4038" s="1">
        <v>162420.0</v>
      </c>
      <c r="AB4038" s="1"/>
      <c r="AC4038" s="1" t="s">
        <v>36</v>
      </c>
      <c r="AD4038" s="1" t="s">
        <v>13931</v>
      </c>
      <c r="AE4038" s="1" t="s">
        <v>32</v>
      </c>
      <c r="AF4038" s="1" t="s">
        <v>33</v>
      </c>
      <c r="AG4038" s="1" t="s">
        <v>127</v>
      </c>
    </row>
    <row r="4039" spans="1:33">
      <c r="A4039" t="s">
        <v>13955</v>
      </c>
      <c r="C4039" t="s">
        <v>1285</v>
      </c>
      <c r="E4039" t="s">
        <v>10495</v>
      </c>
      <c r="F4039" t="s">
        <v>10496</v>
      </c>
      <c r="G4039">
        <v>950.0</v>
      </c>
      <c r="H4039">
        <v>950.0</v>
      </c>
      <c r="I4039" t="s">
        <v>173</v>
      </c>
      <c r="J4039" t="s">
        <v>174</v>
      </c>
      <c r="K4039" t="s">
        <v>31</v>
      </c>
      <c r="L4039" t="s">
        <v>32</v>
      </c>
      <c r="M4039" t="s">
        <v>33</v>
      </c>
      <c r="P4039" s="1" t="s">
        <v>13956</v>
      </c>
      <c r="Q4039" s="1" t="s">
        <v>10495</v>
      </c>
      <c r="R4039" s="1" t="s">
        <v>10495</v>
      </c>
      <c r="S4039" s="1"/>
      <c r="T4039" s="1" t="s">
        <v>1285</v>
      </c>
      <c r="U4039" s="1"/>
      <c r="V4039" s="1">
        <v>950.0</v>
      </c>
      <c r="W4039" s="1">
        <v>950.0</v>
      </c>
      <c r="X4039" s="1" t="s">
        <v>35</v>
      </c>
      <c r="Y4039" s="1">
        <v>950000.0</v>
      </c>
      <c r="Z4039" s="1"/>
      <c r="AA4039" s="1">
        <v>950000.0</v>
      </c>
      <c r="AB4039" s="1"/>
      <c r="AC4039" s="1" t="s">
        <v>36</v>
      </c>
      <c r="AD4039" s="1" t="s">
        <v>13957</v>
      </c>
      <c r="AE4039" s="1" t="s">
        <v>32</v>
      </c>
      <c r="AF4039" s="1" t="s">
        <v>33</v>
      </c>
      <c r="AG4039" s="1" t="s">
        <v>174</v>
      </c>
    </row>
    <row r="4040" spans="1:33">
      <c r="A4040" t="s">
        <v>13958</v>
      </c>
      <c r="B4040" t="s">
        <v>13959</v>
      </c>
      <c r="C4040" t="s">
        <v>131</v>
      </c>
      <c r="E4040" t="s">
        <v>10495</v>
      </c>
      <c r="F4040" t="s">
        <v>10496</v>
      </c>
      <c r="G4040">
        <v>36.98</v>
      </c>
      <c r="H4040">
        <v>36.98</v>
      </c>
      <c r="I4040" t="s">
        <v>94</v>
      </c>
      <c r="J4040" t="s">
        <v>95</v>
      </c>
      <c r="K4040" t="s">
        <v>31</v>
      </c>
      <c r="L4040" t="s">
        <v>32</v>
      </c>
      <c r="M4040" t="s">
        <v>33</v>
      </c>
      <c r="P4040" s="1" t="s">
        <v>13960</v>
      </c>
      <c r="Q4040" s="1" t="s">
        <v>10495</v>
      </c>
      <c r="R4040" s="1" t="s">
        <v>10495</v>
      </c>
      <c r="S4040" s="1"/>
      <c r="T4040" s="1" t="s">
        <v>131</v>
      </c>
      <c r="U4040" s="1"/>
      <c r="V4040" s="1">
        <v>36.98</v>
      </c>
      <c r="W4040" s="1">
        <v>36.98</v>
      </c>
      <c r="X4040" s="1" t="s">
        <v>35</v>
      </c>
      <c r="Y4040" s="1">
        <v>36980.0</v>
      </c>
      <c r="Z4040" s="1"/>
      <c r="AA4040" s="1">
        <v>36980.0</v>
      </c>
      <c r="AB4040" s="1"/>
      <c r="AC4040" s="1" t="s">
        <v>36</v>
      </c>
      <c r="AD4040" s="1" t="s">
        <v>13961</v>
      </c>
      <c r="AE4040" s="1" t="s">
        <v>32</v>
      </c>
      <c r="AF4040" s="1" t="s">
        <v>33</v>
      </c>
      <c r="AG4040" s="1" t="s">
        <v>95</v>
      </c>
    </row>
    <row r="4041" spans="1:33">
      <c r="A4041" t="s">
        <v>13962</v>
      </c>
      <c r="C4041" t="s">
        <v>2688</v>
      </c>
      <c r="E4041" t="s">
        <v>10495</v>
      </c>
      <c r="F4041" t="s">
        <v>10496</v>
      </c>
      <c r="G4041">
        <v>328.0</v>
      </c>
      <c r="H4041">
        <v>328.0</v>
      </c>
      <c r="I4041" t="s">
        <v>269</v>
      </c>
      <c r="J4041" t="s">
        <v>270</v>
      </c>
      <c r="K4041" t="s">
        <v>31</v>
      </c>
      <c r="L4041" t="s">
        <v>32</v>
      </c>
      <c r="M4041" t="s">
        <v>33</v>
      </c>
      <c r="P4041" s="1" t="s">
        <v>13963</v>
      </c>
      <c r="Q4041" s="1" t="s">
        <v>10495</v>
      </c>
      <c r="R4041" s="1" t="s">
        <v>10495</v>
      </c>
      <c r="S4041" s="1"/>
      <c r="T4041" s="1" t="s">
        <v>2688</v>
      </c>
      <c r="U4041" s="1"/>
      <c r="V4041" s="1">
        <v>328.0</v>
      </c>
      <c r="W4041" s="1">
        <v>328.0</v>
      </c>
      <c r="X4041" s="1" t="s">
        <v>35</v>
      </c>
      <c r="Y4041" s="1">
        <v>328000.0</v>
      </c>
      <c r="Z4041" s="1"/>
      <c r="AA4041" s="1">
        <v>328000.0</v>
      </c>
      <c r="AB4041" s="1"/>
      <c r="AC4041" s="1" t="s">
        <v>36</v>
      </c>
      <c r="AD4041" s="1" t="s">
        <v>13964</v>
      </c>
      <c r="AE4041" s="1" t="s">
        <v>32</v>
      </c>
      <c r="AF4041" s="1" t="s">
        <v>33</v>
      </c>
      <c r="AG4041" s="1" t="s">
        <v>270</v>
      </c>
    </row>
    <row r="4042" spans="1:33">
      <c r="A4042" t="s">
        <v>13965</v>
      </c>
      <c r="B4042" t="s">
        <v>5575</v>
      </c>
      <c r="C4042" t="s">
        <v>5576</v>
      </c>
      <c r="E4042" t="s">
        <v>10495</v>
      </c>
      <c r="F4042" t="s">
        <v>10496</v>
      </c>
      <c r="G4042">
        <v>26.188</v>
      </c>
      <c r="H4042">
        <v>26.188</v>
      </c>
      <c r="I4042" t="s">
        <v>59</v>
      </c>
      <c r="J4042" t="s">
        <v>60</v>
      </c>
      <c r="K4042" t="s">
        <v>31</v>
      </c>
      <c r="L4042" t="s">
        <v>32</v>
      </c>
      <c r="M4042" t="s">
        <v>33</v>
      </c>
      <c r="P4042" s="1" t="s">
        <v>13966</v>
      </c>
      <c r="Q4042" s="1" t="s">
        <v>10495</v>
      </c>
      <c r="R4042" s="1" t="s">
        <v>10495</v>
      </c>
      <c r="S4042" s="1"/>
      <c r="T4042" s="1" t="s">
        <v>5576</v>
      </c>
      <c r="U4042" s="1"/>
      <c r="V4042" s="1">
        <v>26.188</v>
      </c>
      <c r="W4042" s="1">
        <v>26.188</v>
      </c>
      <c r="X4042" s="1" t="s">
        <v>35</v>
      </c>
      <c r="Y4042" s="1">
        <v>26188.0</v>
      </c>
      <c r="Z4042" s="1"/>
      <c r="AA4042" s="1">
        <v>26188.0</v>
      </c>
      <c r="AB4042" s="1"/>
      <c r="AC4042" s="1" t="s">
        <v>36</v>
      </c>
      <c r="AD4042" s="1" t="s">
        <v>13967</v>
      </c>
      <c r="AE4042" s="1" t="s">
        <v>32</v>
      </c>
      <c r="AF4042" s="1" t="s">
        <v>33</v>
      </c>
      <c r="AG4042" s="1" t="s">
        <v>60</v>
      </c>
    </row>
    <row r="4043" spans="1:33">
      <c r="A4043" t="s">
        <v>13968</v>
      </c>
      <c r="C4043" t="s">
        <v>806</v>
      </c>
      <c r="D4043" t="s">
        <v>154</v>
      </c>
      <c r="E4043" t="s">
        <v>10495</v>
      </c>
      <c r="F4043" t="s">
        <v>10496</v>
      </c>
      <c r="G4043">
        <v>656.0</v>
      </c>
      <c r="H4043">
        <v>656.0</v>
      </c>
      <c r="I4043" t="s">
        <v>269</v>
      </c>
      <c r="J4043" t="s">
        <v>270</v>
      </c>
      <c r="K4043" t="s">
        <v>31</v>
      </c>
      <c r="L4043" t="s">
        <v>32</v>
      </c>
      <c r="M4043" t="s">
        <v>33</v>
      </c>
      <c r="P4043" s="1" t="s">
        <v>13969</v>
      </c>
      <c r="Q4043" s="1" t="s">
        <v>10495</v>
      </c>
      <c r="R4043" s="1" t="s">
        <v>10495</v>
      </c>
      <c r="S4043" s="1"/>
      <c r="T4043" s="1" t="s">
        <v>806</v>
      </c>
      <c r="U4043" s="1"/>
      <c r="V4043" s="1">
        <v>656.0</v>
      </c>
      <c r="W4043" s="1">
        <v>656.0</v>
      </c>
      <c r="X4043" s="1" t="s">
        <v>35</v>
      </c>
      <c r="Y4043" s="1">
        <v>656000.0</v>
      </c>
      <c r="Z4043" s="1"/>
      <c r="AA4043" s="1">
        <v>656000.0</v>
      </c>
      <c r="AB4043" s="1"/>
      <c r="AC4043" s="1" t="s">
        <v>36</v>
      </c>
      <c r="AD4043" s="1" t="s">
        <v>13970</v>
      </c>
      <c r="AE4043" s="1" t="s">
        <v>32</v>
      </c>
      <c r="AF4043" s="1" t="s">
        <v>33</v>
      </c>
      <c r="AG4043" s="1" t="s">
        <v>270</v>
      </c>
    </row>
    <row r="4044" spans="1:33">
      <c r="A4044" t="s">
        <v>13971</v>
      </c>
      <c r="C4044" t="s">
        <v>2747</v>
      </c>
      <c r="E4044" t="s">
        <v>10495</v>
      </c>
      <c r="F4044" t="s">
        <v>10496</v>
      </c>
      <c r="G4044">
        <v>802.2</v>
      </c>
      <c r="H4044">
        <v>802.2</v>
      </c>
      <c r="I4044" t="s">
        <v>269</v>
      </c>
      <c r="J4044" t="s">
        <v>270</v>
      </c>
      <c r="K4044" t="s">
        <v>31</v>
      </c>
      <c r="L4044" t="s">
        <v>32</v>
      </c>
      <c r="M4044" t="s">
        <v>33</v>
      </c>
      <c r="P4044" s="1" t="s">
        <v>13972</v>
      </c>
      <c r="Q4044" s="1" t="s">
        <v>10495</v>
      </c>
      <c r="R4044" s="1" t="s">
        <v>10495</v>
      </c>
      <c r="S4044" s="1"/>
      <c r="T4044" s="1" t="s">
        <v>2747</v>
      </c>
      <c r="U4044" s="1"/>
      <c r="V4044" s="1">
        <v>802.2</v>
      </c>
      <c r="W4044" s="1">
        <v>802.2</v>
      </c>
      <c r="X4044" s="1" t="s">
        <v>35</v>
      </c>
      <c r="Y4044" s="1">
        <v>802200.0</v>
      </c>
      <c r="Z4044" s="1"/>
      <c r="AA4044" s="1">
        <v>802200.0</v>
      </c>
      <c r="AB4044" s="1"/>
      <c r="AC4044" s="1" t="s">
        <v>36</v>
      </c>
      <c r="AD4044" s="1" t="s">
        <v>13973</v>
      </c>
      <c r="AE4044" s="1" t="s">
        <v>32</v>
      </c>
      <c r="AF4044" s="1" t="s">
        <v>33</v>
      </c>
      <c r="AG4044" s="1" t="s">
        <v>270</v>
      </c>
    </row>
    <row r="4045" spans="1:33">
      <c r="A4045" t="s">
        <v>13974</v>
      </c>
      <c r="B4045" t="s">
        <v>7350</v>
      </c>
      <c r="C4045" t="s">
        <v>569</v>
      </c>
      <c r="E4045" t="s">
        <v>10495</v>
      </c>
      <c r="F4045" t="s">
        <v>10496</v>
      </c>
      <c r="G4045">
        <v>28.49</v>
      </c>
      <c r="H4045">
        <v>28.49</v>
      </c>
      <c r="I4045" t="s">
        <v>570</v>
      </c>
      <c r="J4045" t="s">
        <v>571</v>
      </c>
      <c r="K4045" t="s">
        <v>31</v>
      </c>
      <c r="L4045" t="s">
        <v>32</v>
      </c>
      <c r="M4045" t="s">
        <v>33</v>
      </c>
      <c r="P4045" s="1" t="s">
        <v>13975</v>
      </c>
      <c r="Q4045" s="1" t="s">
        <v>10495</v>
      </c>
      <c r="R4045" s="1" t="s">
        <v>10495</v>
      </c>
      <c r="S4045" s="1"/>
      <c r="T4045" s="1" t="s">
        <v>569</v>
      </c>
      <c r="U4045" s="1"/>
      <c r="V4045" s="1">
        <v>28.49</v>
      </c>
      <c r="W4045" s="1">
        <v>28.49</v>
      </c>
      <c r="X4045" s="1" t="s">
        <v>35</v>
      </c>
      <c r="Y4045" s="1">
        <v>28490.0</v>
      </c>
      <c r="Z4045" s="1"/>
      <c r="AA4045" s="1">
        <v>28490.0</v>
      </c>
      <c r="AB4045" s="1"/>
      <c r="AC4045" s="1" t="s">
        <v>36</v>
      </c>
      <c r="AD4045" s="1" t="s">
        <v>13967</v>
      </c>
      <c r="AE4045" s="1" t="s">
        <v>32</v>
      </c>
      <c r="AF4045" s="1" t="s">
        <v>33</v>
      </c>
      <c r="AG4045" s="1" t="s">
        <v>571</v>
      </c>
    </row>
    <row r="4046" spans="1:33">
      <c r="A4046" t="s">
        <v>13976</v>
      </c>
      <c r="C4046" t="s">
        <v>695</v>
      </c>
      <c r="D4046" t="s">
        <v>114</v>
      </c>
      <c r="E4046" t="s">
        <v>10495</v>
      </c>
      <c r="F4046" t="s">
        <v>10496</v>
      </c>
      <c r="G4046">
        <v>328.0</v>
      </c>
      <c r="H4046">
        <v>328.0</v>
      </c>
      <c r="I4046" t="s">
        <v>269</v>
      </c>
      <c r="J4046" t="s">
        <v>270</v>
      </c>
      <c r="K4046" t="s">
        <v>31</v>
      </c>
      <c r="L4046" t="s">
        <v>32</v>
      </c>
      <c r="M4046" t="s">
        <v>33</v>
      </c>
      <c r="P4046" s="1" t="s">
        <v>13977</v>
      </c>
      <c r="Q4046" s="1" t="s">
        <v>10495</v>
      </c>
      <c r="R4046" s="1" t="s">
        <v>10495</v>
      </c>
      <c r="S4046" s="1"/>
      <c r="T4046" s="1" t="s">
        <v>695</v>
      </c>
      <c r="U4046" s="1"/>
      <c r="V4046" s="1">
        <v>328.0</v>
      </c>
      <c r="W4046" s="1">
        <v>328.0</v>
      </c>
      <c r="X4046" s="1" t="s">
        <v>35</v>
      </c>
      <c r="Y4046" s="1">
        <v>328000.0</v>
      </c>
      <c r="Z4046" s="1"/>
      <c r="AA4046" s="1">
        <v>328000.0</v>
      </c>
      <c r="AB4046" s="1"/>
      <c r="AC4046" s="1" t="s">
        <v>36</v>
      </c>
      <c r="AD4046" s="1" t="s">
        <v>13978</v>
      </c>
      <c r="AE4046" s="1" t="s">
        <v>32</v>
      </c>
      <c r="AF4046" s="1" t="s">
        <v>33</v>
      </c>
      <c r="AG4046" s="1" t="s">
        <v>270</v>
      </c>
    </row>
    <row r="4047" spans="1:33">
      <c r="A4047" t="s">
        <v>13979</v>
      </c>
      <c r="B4047" t="s">
        <v>13980</v>
      </c>
      <c r="C4047" t="s">
        <v>125</v>
      </c>
      <c r="E4047" t="s">
        <v>10495</v>
      </c>
      <c r="F4047" t="s">
        <v>10496</v>
      </c>
      <c r="G4047">
        <v>20.99</v>
      </c>
      <c r="H4047">
        <v>20.99</v>
      </c>
      <c r="I4047" t="s">
        <v>126</v>
      </c>
      <c r="J4047" t="s">
        <v>127</v>
      </c>
      <c r="K4047" t="s">
        <v>31</v>
      </c>
      <c r="L4047" t="s">
        <v>32</v>
      </c>
      <c r="M4047" t="s">
        <v>33</v>
      </c>
      <c r="P4047" s="1" t="s">
        <v>13981</v>
      </c>
      <c r="Q4047" s="1" t="s">
        <v>10495</v>
      </c>
      <c r="R4047" s="1" t="s">
        <v>10495</v>
      </c>
      <c r="S4047" s="1"/>
      <c r="T4047" s="1" t="s">
        <v>125</v>
      </c>
      <c r="U4047" s="1"/>
      <c r="V4047" s="1">
        <v>20.99</v>
      </c>
      <c r="W4047" s="1">
        <v>20.99</v>
      </c>
      <c r="X4047" s="1" t="s">
        <v>35</v>
      </c>
      <c r="Y4047" s="1">
        <v>20990.0</v>
      </c>
      <c r="Z4047" s="1"/>
      <c r="AA4047" s="1">
        <v>20990.0</v>
      </c>
      <c r="AB4047" s="1"/>
      <c r="AC4047" s="1" t="s">
        <v>36</v>
      </c>
      <c r="AD4047" s="1" t="s">
        <v>13982</v>
      </c>
      <c r="AE4047" s="1" t="s">
        <v>32</v>
      </c>
      <c r="AF4047" s="1" t="s">
        <v>33</v>
      </c>
      <c r="AG4047" s="1" t="s">
        <v>127</v>
      </c>
    </row>
    <row r="4048" spans="1:33">
      <c r="A4048" t="s">
        <v>13983</v>
      </c>
      <c r="B4048" t="s">
        <v>13984</v>
      </c>
      <c r="C4048" t="s">
        <v>68</v>
      </c>
      <c r="E4048" t="s">
        <v>10495</v>
      </c>
      <c r="F4048" t="s">
        <v>10496</v>
      </c>
      <c r="G4048">
        <v>19.233</v>
      </c>
      <c r="H4048">
        <v>19.233</v>
      </c>
      <c r="I4048" t="s">
        <v>59</v>
      </c>
      <c r="J4048" t="s">
        <v>60</v>
      </c>
      <c r="K4048" t="s">
        <v>31</v>
      </c>
      <c r="L4048" t="s">
        <v>32</v>
      </c>
      <c r="M4048" t="s">
        <v>33</v>
      </c>
      <c r="P4048" s="1" t="s">
        <v>13985</v>
      </c>
      <c r="Q4048" s="1" t="s">
        <v>10495</v>
      </c>
      <c r="R4048" s="1" t="s">
        <v>10495</v>
      </c>
      <c r="S4048" s="1"/>
      <c r="T4048" s="1" t="s">
        <v>68</v>
      </c>
      <c r="U4048" s="1"/>
      <c r="V4048" s="1">
        <v>19.233</v>
      </c>
      <c r="W4048" s="1">
        <v>19.233</v>
      </c>
      <c r="X4048" s="1" t="s">
        <v>35</v>
      </c>
      <c r="Y4048" s="1">
        <v>19233.0</v>
      </c>
      <c r="Z4048" s="1"/>
      <c r="AA4048" s="1">
        <v>19233.0</v>
      </c>
      <c r="AB4048" s="1"/>
      <c r="AC4048" s="1" t="s">
        <v>36</v>
      </c>
      <c r="AD4048" s="1" t="s">
        <v>13970</v>
      </c>
      <c r="AE4048" s="1" t="s">
        <v>32</v>
      </c>
      <c r="AF4048" s="1" t="s">
        <v>33</v>
      </c>
      <c r="AG4048" s="1" t="s">
        <v>60</v>
      </c>
    </row>
    <row r="4049" spans="1:33">
      <c r="A4049" t="s">
        <v>13986</v>
      </c>
      <c r="B4049" t="s">
        <v>13987</v>
      </c>
      <c r="C4049" t="s">
        <v>125</v>
      </c>
      <c r="E4049" t="s">
        <v>10495</v>
      </c>
      <c r="F4049" t="s">
        <v>10496</v>
      </c>
      <c r="G4049">
        <v>20.99</v>
      </c>
      <c r="H4049">
        <v>20.99</v>
      </c>
      <c r="I4049" t="s">
        <v>126</v>
      </c>
      <c r="J4049" t="s">
        <v>127</v>
      </c>
      <c r="K4049" t="s">
        <v>31</v>
      </c>
      <c r="L4049" t="s">
        <v>32</v>
      </c>
      <c r="M4049" t="s">
        <v>33</v>
      </c>
      <c r="P4049" s="1" t="s">
        <v>13988</v>
      </c>
      <c r="Q4049" s="1" t="s">
        <v>10495</v>
      </c>
      <c r="R4049" s="1" t="s">
        <v>10495</v>
      </c>
      <c r="S4049" s="1"/>
      <c r="T4049" s="1" t="s">
        <v>125</v>
      </c>
      <c r="U4049" s="1"/>
      <c r="V4049" s="1">
        <v>20.99</v>
      </c>
      <c r="W4049" s="1">
        <v>20.99</v>
      </c>
      <c r="X4049" s="1" t="s">
        <v>35</v>
      </c>
      <c r="Y4049" s="1">
        <v>20990.0</v>
      </c>
      <c r="Z4049" s="1"/>
      <c r="AA4049" s="1">
        <v>20990.0</v>
      </c>
      <c r="AB4049" s="1"/>
      <c r="AC4049" s="1" t="s">
        <v>36</v>
      </c>
      <c r="AD4049" s="1" t="s">
        <v>13989</v>
      </c>
      <c r="AE4049" s="1" t="s">
        <v>32</v>
      </c>
      <c r="AF4049" s="1" t="s">
        <v>33</v>
      </c>
      <c r="AG4049" s="1" t="s">
        <v>127</v>
      </c>
    </row>
    <row r="4050" spans="1:33">
      <c r="A4050" t="s">
        <v>13990</v>
      </c>
      <c r="C4050" t="s">
        <v>13991</v>
      </c>
      <c r="E4050" t="s">
        <v>10495</v>
      </c>
      <c r="F4050" t="s">
        <v>10496</v>
      </c>
      <c r="G4050">
        <v>32.99</v>
      </c>
      <c r="H4050">
        <v>32.99</v>
      </c>
      <c r="I4050" t="s">
        <v>570</v>
      </c>
      <c r="J4050" t="s">
        <v>571</v>
      </c>
      <c r="K4050" t="s">
        <v>31</v>
      </c>
      <c r="L4050" t="s">
        <v>32</v>
      </c>
      <c r="M4050" t="s">
        <v>33</v>
      </c>
      <c r="P4050" s="1" t="s">
        <v>13992</v>
      </c>
      <c r="Q4050" s="1" t="s">
        <v>10495</v>
      </c>
      <c r="R4050" s="1" t="s">
        <v>10495</v>
      </c>
      <c r="S4050" s="1"/>
      <c r="T4050" s="1" t="s">
        <v>13991</v>
      </c>
      <c r="U4050" s="1"/>
      <c r="V4050" s="1">
        <v>32.99</v>
      </c>
      <c r="W4050" s="1">
        <v>32.99</v>
      </c>
      <c r="X4050" s="1" t="s">
        <v>35</v>
      </c>
      <c r="Y4050" s="1">
        <v>32990.0</v>
      </c>
      <c r="Z4050" s="1"/>
      <c r="AA4050" s="1">
        <v>32990.0</v>
      </c>
      <c r="AB4050" s="1"/>
      <c r="AC4050" s="1" t="s">
        <v>36</v>
      </c>
      <c r="AD4050" s="1" t="s">
        <v>13982</v>
      </c>
      <c r="AE4050" s="1" t="s">
        <v>32</v>
      </c>
      <c r="AF4050" s="1" t="s">
        <v>33</v>
      </c>
      <c r="AG4050" s="1" t="s">
        <v>571</v>
      </c>
    </row>
    <row r="4051" spans="1:33">
      <c r="A4051" t="s">
        <v>13993</v>
      </c>
      <c r="B4051" t="s">
        <v>13729</v>
      </c>
      <c r="C4051" t="s">
        <v>569</v>
      </c>
      <c r="E4051" t="s">
        <v>10495</v>
      </c>
      <c r="F4051" t="s">
        <v>10496</v>
      </c>
      <c r="G4051">
        <v>98.97</v>
      </c>
      <c r="H4051">
        <v>98.97</v>
      </c>
      <c r="I4051" t="s">
        <v>570</v>
      </c>
      <c r="J4051" t="s">
        <v>571</v>
      </c>
      <c r="K4051" t="s">
        <v>31</v>
      </c>
      <c r="L4051" t="s">
        <v>32</v>
      </c>
      <c r="M4051" t="s">
        <v>33</v>
      </c>
      <c r="P4051" s="1" t="s">
        <v>13994</v>
      </c>
      <c r="Q4051" s="1" t="s">
        <v>10495</v>
      </c>
      <c r="R4051" s="1" t="s">
        <v>10495</v>
      </c>
      <c r="S4051" s="1"/>
      <c r="T4051" s="1" t="s">
        <v>569</v>
      </c>
      <c r="U4051" s="1"/>
      <c r="V4051" s="1">
        <v>98.97</v>
      </c>
      <c r="W4051" s="1">
        <v>98.97</v>
      </c>
      <c r="X4051" s="1" t="s">
        <v>35</v>
      </c>
      <c r="Y4051" s="1">
        <v>98970.0</v>
      </c>
      <c r="Z4051" s="1"/>
      <c r="AA4051" s="1">
        <v>98970.0</v>
      </c>
      <c r="AB4051" s="1"/>
      <c r="AC4051" s="1" t="s">
        <v>36</v>
      </c>
      <c r="AD4051" s="1" t="s">
        <v>13995</v>
      </c>
      <c r="AE4051" s="1" t="s">
        <v>32</v>
      </c>
      <c r="AF4051" s="1" t="s">
        <v>33</v>
      </c>
      <c r="AG4051" s="1" t="s">
        <v>571</v>
      </c>
    </row>
    <row r="4052" spans="1:33">
      <c r="A4052" t="s">
        <v>13996</v>
      </c>
      <c r="C4052" t="s">
        <v>9676</v>
      </c>
      <c r="E4052" t="s">
        <v>10616</v>
      </c>
      <c r="F4052" t="s">
        <v>10617</v>
      </c>
      <c r="G4052">
        <v>160.5</v>
      </c>
      <c r="H4052">
        <v>160.5</v>
      </c>
      <c r="I4052" t="s">
        <v>9677</v>
      </c>
      <c r="J4052" t="s">
        <v>9678</v>
      </c>
      <c r="K4052" t="s">
        <v>31</v>
      </c>
      <c r="L4052" t="s">
        <v>32</v>
      </c>
      <c r="M4052" t="s">
        <v>33</v>
      </c>
      <c r="P4052" s="1" t="s">
        <v>13997</v>
      </c>
      <c r="Q4052" s="1" t="s">
        <v>10616</v>
      </c>
      <c r="R4052" s="1" t="s">
        <v>10495</v>
      </c>
      <c r="S4052" s="1"/>
      <c r="T4052" s="1" t="s">
        <v>9676</v>
      </c>
      <c r="U4052" s="1"/>
      <c r="V4052" s="1">
        <v>160.5</v>
      </c>
      <c r="W4052" s="1">
        <v>160.5</v>
      </c>
      <c r="X4052" s="1" t="s">
        <v>35</v>
      </c>
      <c r="Y4052" s="1">
        <v>160500.0</v>
      </c>
      <c r="Z4052" s="1"/>
      <c r="AA4052" s="1">
        <v>160500.0</v>
      </c>
      <c r="AB4052" s="1"/>
      <c r="AC4052" s="1" t="s">
        <v>36</v>
      </c>
      <c r="AD4052" s="1" t="s">
        <v>13998</v>
      </c>
      <c r="AE4052" s="1" t="s">
        <v>32</v>
      </c>
      <c r="AF4052" s="1" t="s">
        <v>33</v>
      </c>
      <c r="AG4052" s="1" t="s">
        <v>9678</v>
      </c>
    </row>
    <row r="4053" spans="1:33">
      <c r="A4053" t="s">
        <v>13999</v>
      </c>
      <c r="B4053" t="s">
        <v>12602</v>
      </c>
      <c r="C4053" t="s">
        <v>1807</v>
      </c>
      <c r="E4053" t="s">
        <v>10616</v>
      </c>
      <c r="F4053" t="s">
        <v>10617</v>
      </c>
      <c r="G4053">
        <v>3.217</v>
      </c>
      <c r="H4053">
        <v>3.217</v>
      </c>
      <c r="I4053" t="s">
        <v>29</v>
      </c>
      <c r="J4053" t="s">
        <v>30</v>
      </c>
      <c r="K4053" t="s">
        <v>31</v>
      </c>
      <c r="L4053" t="s">
        <v>32</v>
      </c>
      <c r="M4053" t="s">
        <v>33</v>
      </c>
      <c r="P4053" s="1" t="s">
        <v>14000</v>
      </c>
      <c r="Q4053" s="1" t="s">
        <v>10616</v>
      </c>
      <c r="R4053" s="1" t="s">
        <v>10616</v>
      </c>
      <c r="S4053" s="1"/>
      <c r="T4053" s="1" t="s">
        <v>1807</v>
      </c>
      <c r="U4053" s="1"/>
      <c r="V4053" s="1">
        <v>3.217</v>
      </c>
      <c r="W4053" s="1">
        <v>3.217</v>
      </c>
      <c r="X4053" s="1" t="s">
        <v>35</v>
      </c>
      <c r="Y4053" s="1">
        <v>3272160.0</v>
      </c>
      <c r="Z4053" s="1">
        <v>-54590</v>
      </c>
      <c r="AA4053" s="1">
        <v>3272160.0</v>
      </c>
      <c r="AB4053" s="1">
        <v>-54590</v>
      </c>
      <c r="AC4053" s="1" t="s">
        <v>36</v>
      </c>
      <c r="AD4053" s="1" t="s">
        <v>12781</v>
      </c>
      <c r="AE4053" s="1" t="s">
        <v>32</v>
      </c>
      <c r="AF4053" s="1" t="s">
        <v>33</v>
      </c>
      <c r="AG4053" s="1" t="s">
        <v>30</v>
      </c>
    </row>
    <row r="4054" spans="1:33">
      <c r="A4054" t="s">
        <v>14001</v>
      </c>
      <c r="B4054" t="s">
        <v>14002</v>
      </c>
      <c r="C4054" t="s">
        <v>6199</v>
      </c>
      <c r="E4054" t="s">
        <v>10616</v>
      </c>
      <c r="F4054" t="s">
        <v>10617</v>
      </c>
      <c r="G4054">
        <v>2.239</v>
      </c>
      <c r="H4054">
        <v>2.239</v>
      </c>
      <c r="I4054" t="s">
        <v>29</v>
      </c>
      <c r="J4054" t="s">
        <v>30</v>
      </c>
      <c r="K4054" t="s">
        <v>31</v>
      </c>
      <c r="L4054" t="s">
        <v>32</v>
      </c>
      <c r="M4054" t="s">
        <v>33</v>
      </c>
      <c r="P4054" s="1" t="s">
        <v>14003</v>
      </c>
      <c r="Q4054" s="1" t="s">
        <v>10616</v>
      </c>
      <c r="R4054" s="1" t="s">
        <v>10616</v>
      </c>
      <c r="S4054" s="1"/>
      <c r="T4054" s="1" t="s">
        <v>6199</v>
      </c>
      <c r="U4054" s="1"/>
      <c r="V4054" s="1">
        <v>2.239</v>
      </c>
      <c r="W4054" s="1">
        <v>2.239</v>
      </c>
      <c r="X4054" s="1" t="s">
        <v>35</v>
      </c>
      <c r="Y4054" s="1">
        <v>2239000.0</v>
      </c>
      <c r="Z4054" s="1"/>
      <c r="AA4054" s="1">
        <v>2239000.0</v>
      </c>
      <c r="AB4054" s="1"/>
      <c r="AC4054" s="1" t="s">
        <v>36</v>
      </c>
      <c r="AD4054" s="1" t="s">
        <v>14004</v>
      </c>
      <c r="AE4054" s="1" t="s">
        <v>32</v>
      </c>
      <c r="AF4054" s="1" t="s">
        <v>33</v>
      </c>
      <c r="AG4054" s="1" t="s">
        <v>30</v>
      </c>
    </row>
    <row r="4055" spans="1:33">
      <c r="A4055" t="s">
        <v>14005</v>
      </c>
      <c r="B4055" t="s">
        <v>14006</v>
      </c>
      <c r="C4055" t="s">
        <v>73</v>
      </c>
      <c r="E4055" t="s">
        <v>10616</v>
      </c>
      <c r="F4055" t="s">
        <v>10617</v>
      </c>
      <c r="G4055">
        <v>132.94</v>
      </c>
      <c r="H4055">
        <v>132.94</v>
      </c>
      <c r="I4055" t="s">
        <v>13331</v>
      </c>
      <c r="J4055" t="s">
        <v>41</v>
      </c>
      <c r="K4055" t="s">
        <v>31</v>
      </c>
      <c r="L4055" t="s">
        <v>32</v>
      </c>
      <c r="M4055" t="s">
        <v>33</v>
      </c>
      <c r="P4055" s="1" t="s">
        <v>14007</v>
      </c>
      <c r="Q4055" s="1" t="s">
        <v>10616</v>
      </c>
      <c r="R4055" s="1" t="s">
        <v>10616</v>
      </c>
      <c r="S4055" s="1"/>
      <c r="T4055" s="1" t="s">
        <v>75</v>
      </c>
      <c r="U4055" s="1" t="s">
        <v>76</v>
      </c>
      <c r="V4055" s="1">
        <v>132.94</v>
      </c>
      <c r="W4055" s="1">
        <v>132.94</v>
      </c>
      <c r="X4055" s="1" t="s">
        <v>35</v>
      </c>
      <c r="Y4055" s="1">
        <v>132940.0</v>
      </c>
      <c r="Z4055" s="1"/>
      <c r="AA4055" s="1">
        <v>132940.0</v>
      </c>
      <c r="AB4055" s="1"/>
      <c r="AC4055" s="1" t="s">
        <v>36</v>
      </c>
      <c r="AD4055" s="1" t="s">
        <v>13844</v>
      </c>
      <c r="AE4055" s="1" t="s">
        <v>32</v>
      </c>
      <c r="AF4055" s="1" t="s">
        <v>33</v>
      </c>
      <c r="AG4055" s="1" t="s">
        <v>41</v>
      </c>
    </row>
    <row r="4056" spans="1:33">
      <c r="A4056" t="s">
        <v>14008</v>
      </c>
      <c r="C4056" t="s">
        <v>375</v>
      </c>
      <c r="D4056" t="s">
        <v>154</v>
      </c>
      <c r="E4056" t="s">
        <v>10616</v>
      </c>
      <c r="F4056" t="s">
        <v>10617</v>
      </c>
      <c r="G4056">
        <v>6.35</v>
      </c>
      <c r="H4056">
        <v>6.35</v>
      </c>
      <c r="I4056" t="s">
        <v>126</v>
      </c>
      <c r="J4056" t="s">
        <v>127</v>
      </c>
      <c r="K4056" t="s">
        <v>31</v>
      </c>
      <c r="L4056" t="s">
        <v>32</v>
      </c>
      <c r="M4056" t="s">
        <v>33</v>
      </c>
      <c r="P4056" s="1" t="s">
        <v>14009</v>
      </c>
      <c r="Q4056" s="1" t="s">
        <v>10616</v>
      </c>
      <c r="R4056" s="1" t="s">
        <v>10616</v>
      </c>
      <c r="S4056" s="1"/>
      <c r="T4056" s="1" t="s">
        <v>377</v>
      </c>
      <c r="U4056" s="1" t="s">
        <v>378</v>
      </c>
      <c r="V4056" s="1">
        <v>6.35</v>
      </c>
      <c r="W4056" s="1">
        <v>6.35</v>
      </c>
      <c r="X4056" s="1" t="s">
        <v>35</v>
      </c>
      <c r="Y4056" s="1">
        <v>6350000.0</v>
      </c>
      <c r="Z4056" s="1"/>
      <c r="AA4056" s="1">
        <v>6350000.0</v>
      </c>
      <c r="AB4056" s="1"/>
      <c r="AC4056" s="1" t="s">
        <v>36</v>
      </c>
      <c r="AD4056" s="1" t="s">
        <v>14010</v>
      </c>
      <c r="AE4056" s="1" t="s">
        <v>32</v>
      </c>
      <c r="AF4056" s="1" t="s">
        <v>33</v>
      </c>
      <c r="AG4056" s="1" t="s">
        <v>127</v>
      </c>
    </row>
    <row r="4057" spans="1:33">
      <c r="A4057" t="s">
        <v>14011</v>
      </c>
      <c r="B4057" t="s">
        <v>1280</v>
      </c>
      <c r="C4057" t="s">
        <v>1281</v>
      </c>
      <c r="E4057" t="s">
        <v>10616</v>
      </c>
      <c r="F4057" t="s">
        <v>10617</v>
      </c>
      <c r="G4057">
        <v>452.8</v>
      </c>
      <c r="H4057">
        <v>452.8</v>
      </c>
      <c r="I4057" t="s">
        <v>529</v>
      </c>
      <c r="J4057" t="s">
        <v>530</v>
      </c>
      <c r="K4057" t="s">
        <v>31</v>
      </c>
      <c r="L4057" t="s">
        <v>32</v>
      </c>
      <c r="M4057" t="s">
        <v>33</v>
      </c>
      <c r="P4057" s="1" t="s">
        <v>14012</v>
      </c>
      <c r="Q4057" s="1" t="s">
        <v>10616</v>
      </c>
      <c r="R4057" s="1" t="s">
        <v>10495</v>
      </c>
      <c r="S4057" s="1"/>
      <c r="T4057" s="1" t="s">
        <v>1281</v>
      </c>
      <c r="U4057" s="1"/>
      <c r="V4057" s="1">
        <v>452.8</v>
      </c>
      <c r="W4057" s="1">
        <v>452.8</v>
      </c>
      <c r="X4057" s="1" t="s">
        <v>35</v>
      </c>
      <c r="Y4057" s="1">
        <v>452800.0</v>
      </c>
      <c r="Z4057" s="1"/>
      <c r="AA4057" s="1">
        <v>452800.0</v>
      </c>
      <c r="AB4057" s="1"/>
      <c r="AC4057" s="1" t="s">
        <v>36</v>
      </c>
      <c r="AD4057" s="1" t="s">
        <v>14013</v>
      </c>
      <c r="AE4057" s="1" t="s">
        <v>32</v>
      </c>
      <c r="AF4057" s="1" t="s">
        <v>33</v>
      </c>
      <c r="AG4057" s="1" t="s">
        <v>530</v>
      </c>
    </row>
    <row r="4058" spans="1:33">
      <c r="A4058" t="s">
        <v>14014</v>
      </c>
      <c r="C4058" t="s">
        <v>1020</v>
      </c>
      <c r="E4058" t="s">
        <v>10616</v>
      </c>
      <c r="F4058" t="s">
        <v>10617</v>
      </c>
      <c r="G4058">
        <v>816.0</v>
      </c>
      <c r="H4058">
        <v>816.0</v>
      </c>
      <c r="I4058" t="s">
        <v>847</v>
      </c>
      <c r="J4058" t="s">
        <v>848</v>
      </c>
      <c r="K4058" t="s">
        <v>31</v>
      </c>
      <c r="L4058" t="s">
        <v>32</v>
      </c>
      <c r="M4058" t="s">
        <v>33</v>
      </c>
      <c r="P4058" s="1" t="s">
        <v>14015</v>
      </c>
      <c r="Q4058" s="1" t="s">
        <v>10616</v>
      </c>
      <c r="R4058" s="1" t="s">
        <v>10616</v>
      </c>
      <c r="S4058" s="1"/>
      <c r="T4058" s="1" t="s">
        <v>1020</v>
      </c>
      <c r="U4058" s="1"/>
      <c r="V4058" s="1">
        <v>816.0</v>
      </c>
      <c r="W4058" s="1">
        <v>816.0</v>
      </c>
      <c r="X4058" s="1" t="s">
        <v>35</v>
      </c>
      <c r="Y4058" s="1">
        <v>816000.0</v>
      </c>
      <c r="Z4058" s="1"/>
      <c r="AA4058" s="1">
        <v>816000.0</v>
      </c>
      <c r="AB4058" s="1"/>
      <c r="AC4058" s="1" t="s">
        <v>36</v>
      </c>
      <c r="AD4058" s="1" t="s">
        <v>14016</v>
      </c>
      <c r="AE4058" s="1" t="s">
        <v>32</v>
      </c>
      <c r="AF4058" s="1" t="s">
        <v>33</v>
      </c>
      <c r="AG4058" s="1" t="s">
        <v>848</v>
      </c>
    </row>
    <row r="4059" spans="1:33">
      <c r="A4059" t="s">
        <v>14017</v>
      </c>
      <c r="B4059" t="s">
        <v>12786</v>
      </c>
      <c r="C4059" t="s">
        <v>12787</v>
      </c>
      <c r="E4059" t="s">
        <v>10616</v>
      </c>
      <c r="F4059" t="s">
        <v>10617</v>
      </c>
      <c r="G4059">
        <v>21.5</v>
      </c>
      <c r="H4059">
        <v>21.5</v>
      </c>
      <c r="I4059" t="s">
        <v>59</v>
      </c>
      <c r="J4059" t="s">
        <v>60</v>
      </c>
      <c r="K4059" t="s">
        <v>31</v>
      </c>
      <c r="L4059" t="s">
        <v>32</v>
      </c>
      <c r="M4059" t="s">
        <v>33</v>
      </c>
      <c r="P4059" s="1" t="s">
        <v>14018</v>
      </c>
      <c r="Q4059" s="1" t="s">
        <v>10616</v>
      </c>
      <c r="R4059" s="1" t="s">
        <v>10616</v>
      </c>
      <c r="S4059" s="1"/>
      <c r="T4059" s="1" t="s">
        <v>12787</v>
      </c>
      <c r="U4059" s="1"/>
      <c r="V4059" s="1">
        <v>21.5</v>
      </c>
      <c r="W4059" s="1">
        <v>21.5</v>
      </c>
      <c r="X4059" s="1" t="s">
        <v>35</v>
      </c>
      <c r="Y4059" s="1">
        <v>21500.0</v>
      </c>
      <c r="Z4059" s="1"/>
      <c r="AA4059" s="1">
        <v>21500.0</v>
      </c>
      <c r="AB4059" s="1"/>
      <c r="AC4059" s="1" t="s">
        <v>36</v>
      </c>
      <c r="AD4059" s="1" t="s">
        <v>14016</v>
      </c>
      <c r="AE4059" s="1" t="s">
        <v>32</v>
      </c>
      <c r="AF4059" s="1" t="s">
        <v>33</v>
      </c>
      <c r="AG4059" s="1" t="s">
        <v>60</v>
      </c>
    </row>
    <row r="4060" spans="1:33">
      <c r="A4060" t="s">
        <v>14019</v>
      </c>
      <c r="B4060" t="s">
        <v>4983</v>
      </c>
      <c r="C4060" t="s">
        <v>68</v>
      </c>
      <c r="E4060" t="s">
        <v>10616</v>
      </c>
      <c r="F4060" t="s">
        <v>10617</v>
      </c>
      <c r="G4060">
        <v>22.49</v>
      </c>
      <c r="H4060">
        <v>22.49</v>
      </c>
      <c r="I4060" t="s">
        <v>59</v>
      </c>
      <c r="J4060" t="s">
        <v>60</v>
      </c>
      <c r="K4060" t="s">
        <v>31</v>
      </c>
      <c r="L4060" t="s">
        <v>32</v>
      </c>
      <c r="M4060" t="s">
        <v>33</v>
      </c>
      <c r="P4060" s="1" t="s">
        <v>14020</v>
      </c>
      <c r="Q4060" s="1" t="s">
        <v>10616</v>
      </c>
      <c r="R4060" s="1" t="s">
        <v>10616</v>
      </c>
      <c r="S4060" s="1"/>
      <c r="T4060" s="1" t="s">
        <v>68</v>
      </c>
      <c r="U4060" s="1"/>
      <c r="V4060" s="1">
        <v>22.49</v>
      </c>
      <c r="W4060" s="1">
        <v>22.49</v>
      </c>
      <c r="X4060" s="1" t="s">
        <v>35</v>
      </c>
      <c r="Y4060" s="1">
        <v>22490.0</v>
      </c>
      <c r="Z4060" s="1"/>
      <c r="AA4060" s="1">
        <v>22490.0</v>
      </c>
      <c r="AB4060" s="1"/>
      <c r="AC4060" s="1" t="s">
        <v>36</v>
      </c>
      <c r="AD4060" s="1" t="s">
        <v>14021</v>
      </c>
      <c r="AE4060" s="1" t="s">
        <v>32</v>
      </c>
      <c r="AF4060" s="1" t="s">
        <v>33</v>
      </c>
      <c r="AG4060" s="1" t="s">
        <v>60</v>
      </c>
    </row>
    <row r="4061" spans="1:33">
      <c r="A4061" t="s">
        <v>14022</v>
      </c>
      <c r="B4061" t="s">
        <v>14023</v>
      </c>
      <c r="C4061" t="s">
        <v>47</v>
      </c>
      <c r="E4061" t="s">
        <v>10616</v>
      </c>
      <c r="F4061" t="s">
        <v>10617</v>
      </c>
      <c r="G4061">
        <v>307.4</v>
      </c>
      <c r="H4061">
        <v>307.4</v>
      </c>
      <c r="I4061" t="s">
        <v>2206</v>
      </c>
      <c r="J4061" t="s">
        <v>49</v>
      </c>
      <c r="K4061" t="s">
        <v>31</v>
      </c>
      <c r="L4061" t="s">
        <v>32</v>
      </c>
      <c r="M4061" t="s">
        <v>33</v>
      </c>
      <c r="P4061" s="1" t="s">
        <v>14024</v>
      </c>
      <c r="Q4061" s="1" t="s">
        <v>10616</v>
      </c>
      <c r="R4061" s="1" t="s">
        <v>10616</v>
      </c>
      <c r="S4061" s="1"/>
      <c r="T4061" s="1" t="s">
        <v>47</v>
      </c>
      <c r="U4061" s="1"/>
      <c r="V4061" s="1">
        <v>307.4</v>
      </c>
      <c r="W4061" s="1">
        <v>307.4</v>
      </c>
      <c r="X4061" s="1" t="s">
        <v>35</v>
      </c>
      <c r="Y4061" s="1">
        <v>307400.0</v>
      </c>
      <c r="Z4061" s="1"/>
      <c r="AA4061" s="1">
        <v>307400.0</v>
      </c>
      <c r="AB4061" s="1"/>
      <c r="AC4061" s="1" t="s">
        <v>36</v>
      </c>
      <c r="AD4061" s="1" t="s">
        <v>14025</v>
      </c>
      <c r="AE4061" s="1" t="s">
        <v>32</v>
      </c>
      <c r="AF4061" s="1" t="s">
        <v>33</v>
      </c>
      <c r="AG4061" s="1" t="s">
        <v>49</v>
      </c>
    </row>
    <row r="4062" spans="1:33">
      <c r="A4062" t="s">
        <v>14026</v>
      </c>
      <c r="C4062" t="s">
        <v>14027</v>
      </c>
      <c r="E4062" t="s">
        <v>10616</v>
      </c>
      <c r="F4062" t="s">
        <v>10617</v>
      </c>
      <c r="G4062">
        <v>635.0</v>
      </c>
      <c r="H4062">
        <v>635.0</v>
      </c>
      <c r="I4062" t="s">
        <v>173</v>
      </c>
      <c r="J4062" t="s">
        <v>174</v>
      </c>
      <c r="K4062" t="s">
        <v>31</v>
      </c>
      <c r="L4062" t="s">
        <v>32</v>
      </c>
      <c r="M4062" t="s">
        <v>33</v>
      </c>
      <c r="P4062" s="1" t="s">
        <v>14028</v>
      </c>
      <c r="Q4062" s="1" t="s">
        <v>10616</v>
      </c>
      <c r="R4062" s="1" t="s">
        <v>10616</v>
      </c>
      <c r="S4062" s="1"/>
      <c r="T4062" s="1" t="s">
        <v>14027</v>
      </c>
      <c r="U4062" s="1"/>
      <c r="V4062" s="1">
        <v>635.0</v>
      </c>
      <c r="W4062" s="1">
        <v>635.0</v>
      </c>
      <c r="X4062" s="1" t="s">
        <v>35</v>
      </c>
      <c r="Y4062" s="1">
        <v>635000.0</v>
      </c>
      <c r="Z4062" s="1"/>
      <c r="AA4062" s="1">
        <v>635000.0</v>
      </c>
      <c r="AB4062" s="1"/>
      <c r="AC4062" s="1" t="s">
        <v>36</v>
      </c>
      <c r="AD4062" s="1" t="s">
        <v>14029</v>
      </c>
      <c r="AE4062" s="1" t="s">
        <v>32</v>
      </c>
      <c r="AF4062" s="1" t="s">
        <v>33</v>
      </c>
      <c r="AG4062" s="1" t="s">
        <v>174</v>
      </c>
    </row>
    <row r="4063" spans="1:33">
      <c r="A4063" t="s">
        <v>14030</v>
      </c>
      <c r="B4063" t="s">
        <v>1649</v>
      </c>
      <c r="C4063" t="s">
        <v>1408</v>
      </c>
      <c r="E4063" t="s">
        <v>10616</v>
      </c>
      <c r="F4063" t="s">
        <v>10617</v>
      </c>
      <c r="G4063">
        <v>108.0</v>
      </c>
      <c r="H4063">
        <v>108.0</v>
      </c>
      <c r="I4063" t="s">
        <v>529</v>
      </c>
      <c r="J4063" t="s">
        <v>530</v>
      </c>
      <c r="K4063" t="s">
        <v>31</v>
      </c>
      <c r="L4063" t="s">
        <v>32</v>
      </c>
      <c r="M4063" t="s">
        <v>33</v>
      </c>
      <c r="P4063" s="1" t="s">
        <v>14031</v>
      </c>
      <c r="Q4063" s="1" t="s">
        <v>10616</v>
      </c>
      <c r="R4063" s="1" t="s">
        <v>10495</v>
      </c>
      <c r="S4063" s="1"/>
      <c r="T4063" s="1" t="s">
        <v>1408</v>
      </c>
      <c r="U4063" s="1"/>
      <c r="V4063" s="1">
        <v>108.0</v>
      </c>
      <c r="W4063" s="1">
        <v>108.0</v>
      </c>
      <c r="X4063" s="1" t="s">
        <v>35</v>
      </c>
      <c r="Y4063" s="1">
        <v>108000.0</v>
      </c>
      <c r="Z4063" s="1"/>
      <c r="AA4063" s="1">
        <v>108000.0</v>
      </c>
      <c r="AB4063" s="1"/>
      <c r="AC4063" s="1" t="s">
        <v>36</v>
      </c>
      <c r="AD4063" s="1" t="s">
        <v>14032</v>
      </c>
      <c r="AE4063" s="1" t="s">
        <v>32</v>
      </c>
      <c r="AF4063" s="1" t="s">
        <v>33</v>
      </c>
      <c r="AG4063" s="1" t="s">
        <v>530</v>
      </c>
    </row>
    <row r="4064" spans="1:33">
      <c r="A4064" t="s">
        <v>14033</v>
      </c>
      <c r="C4064" t="s">
        <v>1587</v>
      </c>
      <c r="D4064" t="s">
        <v>154</v>
      </c>
      <c r="E4064" t="s">
        <v>10616</v>
      </c>
      <c r="F4064" t="s">
        <v>10617</v>
      </c>
      <c r="G4064">
        <v>108.0</v>
      </c>
      <c r="H4064">
        <v>108.0</v>
      </c>
      <c r="I4064" t="s">
        <v>2206</v>
      </c>
      <c r="J4064" t="s">
        <v>49</v>
      </c>
      <c r="K4064" t="s">
        <v>31</v>
      </c>
      <c r="L4064" t="s">
        <v>32</v>
      </c>
      <c r="M4064" t="s">
        <v>33</v>
      </c>
      <c r="P4064" s="1" t="s">
        <v>14034</v>
      </c>
      <c r="Q4064" s="1" t="s">
        <v>10616</v>
      </c>
      <c r="R4064" s="1" t="s">
        <v>10616</v>
      </c>
      <c r="S4064" s="1"/>
      <c r="T4064" s="1" t="s">
        <v>1587</v>
      </c>
      <c r="U4064" s="1"/>
      <c r="V4064" s="1">
        <v>108.0</v>
      </c>
      <c r="W4064" s="1">
        <v>108.0</v>
      </c>
      <c r="X4064" s="1" t="s">
        <v>35</v>
      </c>
      <c r="Y4064" s="1">
        <v>108000.0</v>
      </c>
      <c r="Z4064" s="1"/>
      <c r="AA4064" s="1">
        <v>108000.0</v>
      </c>
      <c r="AB4064" s="1"/>
      <c r="AC4064" s="1" t="s">
        <v>36</v>
      </c>
      <c r="AD4064" s="1" t="s">
        <v>14035</v>
      </c>
      <c r="AE4064" s="1" t="s">
        <v>32</v>
      </c>
      <c r="AF4064" s="1" t="s">
        <v>33</v>
      </c>
      <c r="AG4064" s="1" t="s">
        <v>49</v>
      </c>
    </row>
    <row r="4065" spans="1:33">
      <c r="A4065" t="s">
        <v>14036</v>
      </c>
      <c r="B4065" t="s">
        <v>14037</v>
      </c>
      <c r="C4065" t="s">
        <v>68</v>
      </c>
      <c r="E4065" t="s">
        <v>10616</v>
      </c>
      <c r="F4065" t="s">
        <v>10617</v>
      </c>
      <c r="G4065">
        <v>53.98</v>
      </c>
      <c r="H4065">
        <v>53.98</v>
      </c>
      <c r="I4065" t="s">
        <v>59</v>
      </c>
      <c r="J4065" t="s">
        <v>60</v>
      </c>
      <c r="K4065" t="s">
        <v>31</v>
      </c>
      <c r="L4065" t="s">
        <v>32</v>
      </c>
      <c r="M4065" t="s">
        <v>33</v>
      </c>
      <c r="P4065" s="1" t="s">
        <v>14038</v>
      </c>
      <c r="Q4065" s="1" t="s">
        <v>10616</v>
      </c>
      <c r="R4065" s="1" t="s">
        <v>10616</v>
      </c>
      <c r="S4065" s="1"/>
      <c r="T4065" s="1" t="s">
        <v>68</v>
      </c>
      <c r="U4065" s="1"/>
      <c r="V4065" s="1">
        <v>53.98</v>
      </c>
      <c r="W4065" s="1">
        <v>53.98</v>
      </c>
      <c r="X4065" s="1" t="s">
        <v>35</v>
      </c>
      <c r="Y4065" s="1">
        <v>53980.0</v>
      </c>
      <c r="Z4065" s="1"/>
      <c r="AA4065" s="1">
        <v>53980.0</v>
      </c>
      <c r="AB4065" s="1"/>
      <c r="AC4065" s="1" t="s">
        <v>36</v>
      </c>
      <c r="AD4065" s="1" t="s">
        <v>14039</v>
      </c>
      <c r="AE4065" s="1" t="s">
        <v>32</v>
      </c>
      <c r="AF4065" s="1" t="s">
        <v>33</v>
      </c>
      <c r="AG4065" s="1" t="s">
        <v>60</v>
      </c>
    </row>
    <row r="4066" spans="1:33">
      <c r="A4066" t="s">
        <v>14040</v>
      </c>
      <c r="B4066" t="s">
        <v>14041</v>
      </c>
      <c r="C4066" t="s">
        <v>268</v>
      </c>
      <c r="E4066" t="s">
        <v>10616</v>
      </c>
      <c r="F4066" t="s">
        <v>10617</v>
      </c>
      <c r="G4066">
        <v>57.15</v>
      </c>
      <c r="H4066">
        <v>57.15</v>
      </c>
      <c r="I4066" t="s">
        <v>269</v>
      </c>
      <c r="J4066" t="s">
        <v>270</v>
      </c>
      <c r="K4066" t="s">
        <v>31</v>
      </c>
      <c r="L4066" t="s">
        <v>32</v>
      </c>
      <c r="M4066" t="s">
        <v>33</v>
      </c>
      <c r="P4066" s="1" t="s">
        <v>14042</v>
      </c>
      <c r="Q4066" s="1" t="s">
        <v>10616</v>
      </c>
      <c r="R4066" s="1" t="s">
        <v>10616</v>
      </c>
      <c r="S4066" s="1"/>
      <c r="T4066" s="1" t="s">
        <v>268</v>
      </c>
      <c r="U4066" s="1"/>
      <c r="V4066" s="1">
        <v>57.15</v>
      </c>
      <c r="W4066" s="1">
        <v>57.15</v>
      </c>
      <c r="X4066" s="1" t="s">
        <v>35</v>
      </c>
      <c r="Y4066" s="1">
        <v>57150.0</v>
      </c>
      <c r="Z4066" s="1"/>
      <c r="AA4066" s="1">
        <v>57150.0</v>
      </c>
      <c r="AB4066" s="1"/>
      <c r="AC4066" s="1" t="s">
        <v>36</v>
      </c>
      <c r="AD4066" s="1" t="s">
        <v>14043</v>
      </c>
      <c r="AE4066" s="1" t="s">
        <v>32</v>
      </c>
      <c r="AF4066" s="1" t="s">
        <v>33</v>
      </c>
      <c r="AG4066" s="1" t="s">
        <v>270</v>
      </c>
    </row>
    <row r="4067" spans="1:33">
      <c r="A4067" t="s">
        <v>14044</v>
      </c>
      <c r="B4067" t="s">
        <v>14045</v>
      </c>
      <c r="C4067" t="s">
        <v>569</v>
      </c>
      <c r="E4067" t="s">
        <v>10616</v>
      </c>
      <c r="F4067" t="s">
        <v>10617</v>
      </c>
      <c r="G4067">
        <v>43.98</v>
      </c>
      <c r="H4067">
        <v>43.98</v>
      </c>
      <c r="I4067" t="s">
        <v>570</v>
      </c>
      <c r="J4067" t="s">
        <v>571</v>
      </c>
      <c r="K4067" t="s">
        <v>31</v>
      </c>
      <c r="L4067" t="s">
        <v>32</v>
      </c>
      <c r="M4067" t="s">
        <v>33</v>
      </c>
      <c r="P4067" s="1" t="s">
        <v>14046</v>
      </c>
      <c r="Q4067" s="1" t="s">
        <v>10616</v>
      </c>
      <c r="R4067" s="1" t="s">
        <v>10616</v>
      </c>
      <c r="S4067" s="1"/>
      <c r="T4067" s="1" t="s">
        <v>569</v>
      </c>
      <c r="U4067" s="1"/>
      <c r="V4067" s="1">
        <v>43.98</v>
      </c>
      <c r="W4067" s="1">
        <v>43.98</v>
      </c>
      <c r="X4067" s="1" t="s">
        <v>35</v>
      </c>
      <c r="Y4067" s="1">
        <v>43980.0</v>
      </c>
      <c r="Z4067" s="1"/>
      <c r="AA4067" s="1">
        <v>43980.0</v>
      </c>
      <c r="AB4067" s="1"/>
      <c r="AC4067" s="1" t="s">
        <v>36</v>
      </c>
      <c r="AD4067" s="1" t="s">
        <v>14047</v>
      </c>
      <c r="AE4067" s="1" t="s">
        <v>32</v>
      </c>
      <c r="AF4067" s="1" t="s">
        <v>33</v>
      </c>
      <c r="AG4067" s="1" t="s">
        <v>571</v>
      </c>
    </row>
    <row r="4068" spans="1:33">
      <c r="A4068" t="s">
        <v>14048</v>
      </c>
      <c r="B4068" t="s">
        <v>14049</v>
      </c>
      <c r="C4068" t="s">
        <v>314</v>
      </c>
      <c r="E4068" t="s">
        <v>10616</v>
      </c>
      <c r="F4068" t="s">
        <v>10617</v>
      </c>
      <c r="G4068">
        <v>22.24</v>
      </c>
      <c r="H4068">
        <v>22.24</v>
      </c>
      <c r="I4068" t="s">
        <v>179</v>
      </c>
      <c r="J4068" t="s">
        <v>180</v>
      </c>
      <c r="K4068" t="s">
        <v>31</v>
      </c>
      <c r="L4068" t="s">
        <v>32</v>
      </c>
      <c r="M4068" t="s">
        <v>33</v>
      </c>
      <c r="P4068" s="1" t="s">
        <v>14050</v>
      </c>
      <c r="Q4068" s="1" t="s">
        <v>10616</v>
      </c>
      <c r="R4068" s="1" t="s">
        <v>10616</v>
      </c>
      <c r="S4068" s="1"/>
      <c r="T4068" s="1" t="s">
        <v>314</v>
      </c>
      <c r="U4068" s="1"/>
      <c r="V4068" s="1">
        <v>22.24</v>
      </c>
      <c r="W4068" s="1">
        <v>22.24</v>
      </c>
      <c r="X4068" s="1" t="s">
        <v>35</v>
      </c>
      <c r="Y4068" s="1">
        <v>22240.0</v>
      </c>
      <c r="Z4068" s="1"/>
      <c r="AA4068" s="1">
        <v>22240.0</v>
      </c>
      <c r="AB4068" s="1"/>
      <c r="AC4068" s="1" t="s">
        <v>36</v>
      </c>
      <c r="AD4068" s="1" t="s">
        <v>14051</v>
      </c>
      <c r="AE4068" s="1" t="s">
        <v>32</v>
      </c>
      <c r="AF4068" s="1" t="s">
        <v>33</v>
      </c>
      <c r="AG4068" s="1" t="s">
        <v>180</v>
      </c>
    </row>
    <row r="4069" spans="1:33">
      <c r="A4069" t="s">
        <v>14052</v>
      </c>
      <c r="B4069" t="s">
        <v>206</v>
      </c>
      <c r="C4069" t="s">
        <v>207</v>
      </c>
      <c r="E4069" t="s">
        <v>10616</v>
      </c>
      <c r="F4069" t="s">
        <v>10617</v>
      </c>
      <c r="G4069">
        <v>54.0</v>
      </c>
      <c r="H4069">
        <v>54.0</v>
      </c>
      <c r="I4069" t="s">
        <v>59</v>
      </c>
      <c r="J4069" t="s">
        <v>60</v>
      </c>
      <c r="K4069" t="s">
        <v>31</v>
      </c>
      <c r="L4069" t="s">
        <v>32</v>
      </c>
      <c r="M4069" t="s">
        <v>33</v>
      </c>
      <c r="P4069" s="1" t="s">
        <v>14053</v>
      </c>
      <c r="Q4069" s="1" t="s">
        <v>10616</v>
      </c>
      <c r="R4069" s="1" t="s">
        <v>10616</v>
      </c>
      <c r="S4069" s="1"/>
      <c r="T4069" s="1" t="s">
        <v>207</v>
      </c>
      <c r="U4069" s="1"/>
      <c r="V4069" s="1">
        <v>54.0</v>
      </c>
      <c r="W4069" s="1">
        <v>54.0</v>
      </c>
      <c r="X4069" s="1" t="s">
        <v>35</v>
      </c>
      <c r="Y4069" s="1">
        <v>54000.0</v>
      </c>
      <c r="Z4069" s="1"/>
      <c r="AA4069" s="1">
        <v>54000.0</v>
      </c>
      <c r="AB4069" s="1"/>
      <c r="AC4069" s="1" t="s">
        <v>36</v>
      </c>
      <c r="AD4069" s="1" t="s">
        <v>14054</v>
      </c>
      <c r="AE4069" s="1" t="s">
        <v>32</v>
      </c>
      <c r="AF4069" s="1" t="s">
        <v>33</v>
      </c>
      <c r="AG4069" s="1" t="s">
        <v>60</v>
      </c>
    </row>
    <row r="4070" spans="1:33">
      <c r="A4070" t="s">
        <v>14055</v>
      </c>
      <c r="C4070" t="s">
        <v>674</v>
      </c>
      <c r="E4070" t="s">
        <v>10616</v>
      </c>
      <c r="F4070" t="s">
        <v>10617</v>
      </c>
      <c r="G4070">
        <v>872.0</v>
      </c>
      <c r="H4070">
        <v>872.0</v>
      </c>
      <c r="I4070" t="s">
        <v>269</v>
      </c>
      <c r="J4070" t="s">
        <v>270</v>
      </c>
      <c r="K4070" t="s">
        <v>31</v>
      </c>
      <c r="L4070" t="s">
        <v>32</v>
      </c>
      <c r="M4070" t="s">
        <v>33</v>
      </c>
      <c r="P4070" s="1" t="s">
        <v>14056</v>
      </c>
      <c r="Q4070" s="1" t="s">
        <v>10616</v>
      </c>
      <c r="R4070" s="1" t="s">
        <v>10616</v>
      </c>
      <c r="S4070" s="1"/>
      <c r="T4070" s="1" t="s">
        <v>674</v>
      </c>
      <c r="U4070" s="1"/>
      <c r="V4070" s="1">
        <v>872.0</v>
      </c>
      <c r="W4070" s="1">
        <v>872.0</v>
      </c>
      <c r="X4070" s="1" t="s">
        <v>35</v>
      </c>
      <c r="Y4070" s="1">
        <v>872000.0</v>
      </c>
      <c r="Z4070" s="1"/>
      <c r="AA4070" s="1">
        <v>872000.0</v>
      </c>
      <c r="AB4070" s="1"/>
      <c r="AC4070" s="1" t="s">
        <v>36</v>
      </c>
      <c r="AD4070" s="1" t="s">
        <v>14057</v>
      </c>
      <c r="AE4070" s="1" t="s">
        <v>32</v>
      </c>
      <c r="AF4070" s="1" t="s">
        <v>33</v>
      </c>
      <c r="AG4070" s="1" t="s">
        <v>270</v>
      </c>
    </row>
    <row r="4071" spans="1:33">
      <c r="A4071" t="s">
        <v>14058</v>
      </c>
      <c r="B4071" t="s">
        <v>14059</v>
      </c>
      <c r="C4071" t="s">
        <v>47</v>
      </c>
      <c r="E4071" t="s">
        <v>10616</v>
      </c>
      <c r="F4071" t="s">
        <v>10617</v>
      </c>
      <c r="G4071">
        <v>241.89</v>
      </c>
      <c r="H4071">
        <v>241.89</v>
      </c>
      <c r="I4071" t="s">
        <v>2206</v>
      </c>
      <c r="J4071" t="s">
        <v>49</v>
      </c>
      <c r="K4071" t="s">
        <v>31</v>
      </c>
      <c r="L4071" t="s">
        <v>32</v>
      </c>
      <c r="M4071" t="s">
        <v>33</v>
      </c>
      <c r="P4071" s="1" t="s">
        <v>14060</v>
      </c>
      <c r="Q4071" s="1" t="s">
        <v>10616</v>
      </c>
      <c r="R4071" s="1" t="s">
        <v>10616</v>
      </c>
      <c r="S4071" s="1"/>
      <c r="T4071" s="1" t="s">
        <v>47</v>
      </c>
      <c r="U4071" s="1"/>
      <c r="V4071" s="1">
        <v>241.89</v>
      </c>
      <c r="W4071" s="1">
        <v>241.89</v>
      </c>
      <c r="X4071" s="1" t="s">
        <v>35</v>
      </c>
      <c r="Y4071" s="1">
        <v>241890.0</v>
      </c>
      <c r="Z4071" s="1"/>
      <c r="AA4071" s="1">
        <v>241890.0</v>
      </c>
      <c r="AB4071" s="1"/>
      <c r="AC4071" s="1" t="s">
        <v>36</v>
      </c>
      <c r="AD4071" s="1" t="s">
        <v>14061</v>
      </c>
      <c r="AE4071" s="1" t="s">
        <v>32</v>
      </c>
      <c r="AF4071" s="1" t="s">
        <v>33</v>
      </c>
      <c r="AG4071" s="1" t="s">
        <v>49</v>
      </c>
    </row>
    <row r="4072" spans="1:33">
      <c r="A4072" t="s">
        <v>14062</v>
      </c>
      <c r="B4072" t="s">
        <v>14063</v>
      </c>
      <c r="C4072" t="s">
        <v>26</v>
      </c>
      <c r="E4072" t="s">
        <v>10616</v>
      </c>
      <c r="F4072" t="s">
        <v>10617</v>
      </c>
      <c r="G4072">
        <v>196.12</v>
      </c>
      <c r="H4072">
        <v>196.12</v>
      </c>
      <c r="I4072" t="s">
        <v>29</v>
      </c>
      <c r="J4072" t="s">
        <v>30</v>
      </c>
      <c r="K4072" t="s">
        <v>31</v>
      </c>
      <c r="L4072" t="s">
        <v>32</v>
      </c>
      <c r="M4072" t="s">
        <v>33</v>
      </c>
      <c r="P4072" s="1" t="s">
        <v>14064</v>
      </c>
      <c r="Q4072" s="1" t="s">
        <v>10616</v>
      </c>
      <c r="R4072" s="1" t="s">
        <v>10616</v>
      </c>
      <c r="S4072" s="1"/>
      <c r="T4072" s="1" t="s">
        <v>26</v>
      </c>
      <c r="U4072" s="1"/>
      <c r="V4072" s="1">
        <v>196.12</v>
      </c>
      <c r="W4072" s="1">
        <v>196.12</v>
      </c>
      <c r="X4072" s="1" t="s">
        <v>35</v>
      </c>
      <c r="Y4072" s="1">
        <v>196120.0</v>
      </c>
      <c r="Z4072" s="1"/>
      <c r="AA4072" s="1">
        <v>196120.0</v>
      </c>
      <c r="AB4072" s="1"/>
      <c r="AC4072" s="1" t="s">
        <v>36</v>
      </c>
      <c r="AD4072" s="1" t="s">
        <v>14065</v>
      </c>
      <c r="AE4072" s="1" t="s">
        <v>32</v>
      </c>
      <c r="AF4072" s="1" t="s">
        <v>33</v>
      </c>
      <c r="AG4072" s="1" t="s">
        <v>30</v>
      </c>
    </row>
    <row r="4073" spans="1:33">
      <c r="A4073" t="s">
        <v>14066</v>
      </c>
      <c r="B4073" t="s">
        <v>14067</v>
      </c>
      <c r="C4073" t="s">
        <v>172</v>
      </c>
      <c r="E4073" t="s">
        <v>10616</v>
      </c>
      <c r="F4073" t="s">
        <v>10617</v>
      </c>
      <c r="G4073">
        <v>28.96</v>
      </c>
      <c r="H4073">
        <v>28.96</v>
      </c>
      <c r="I4073" t="s">
        <v>173</v>
      </c>
      <c r="J4073" t="s">
        <v>174</v>
      </c>
      <c r="K4073" t="s">
        <v>31</v>
      </c>
      <c r="L4073" t="s">
        <v>32</v>
      </c>
      <c r="M4073" t="s">
        <v>33</v>
      </c>
      <c r="P4073" s="1" t="s">
        <v>14068</v>
      </c>
      <c r="Q4073" s="1" t="s">
        <v>10616</v>
      </c>
      <c r="R4073" s="1" t="s">
        <v>10616</v>
      </c>
      <c r="S4073" s="1"/>
      <c r="T4073" s="1" t="s">
        <v>172</v>
      </c>
      <c r="U4073" s="1"/>
      <c r="V4073" s="1">
        <v>28.96</v>
      </c>
      <c r="W4073" s="1">
        <v>28.96</v>
      </c>
      <c r="X4073" s="1" t="s">
        <v>35</v>
      </c>
      <c r="Y4073" s="1">
        <v>28960.0</v>
      </c>
      <c r="Z4073" s="1"/>
      <c r="AA4073" s="1">
        <v>28960.0</v>
      </c>
      <c r="AB4073" s="1"/>
      <c r="AC4073" s="1" t="s">
        <v>36</v>
      </c>
      <c r="AD4073" s="1" t="s">
        <v>14061</v>
      </c>
      <c r="AE4073" s="1" t="s">
        <v>32</v>
      </c>
      <c r="AF4073" s="1" t="s">
        <v>33</v>
      </c>
      <c r="AG4073" s="1" t="s">
        <v>174</v>
      </c>
    </row>
    <row r="4074" spans="1:33">
      <c r="A4074" t="s">
        <v>14069</v>
      </c>
      <c r="B4074" t="s">
        <v>14070</v>
      </c>
      <c r="C4074" t="s">
        <v>68</v>
      </c>
      <c r="E4074" t="s">
        <v>10616</v>
      </c>
      <c r="F4074" t="s">
        <v>10617</v>
      </c>
      <c r="G4074">
        <v>22.49</v>
      </c>
      <c r="H4074">
        <v>22.49</v>
      </c>
      <c r="I4074" t="s">
        <v>59</v>
      </c>
      <c r="J4074" t="s">
        <v>60</v>
      </c>
      <c r="K4074" t="s">
        <v>31</v>
      </c>
      <c r="L4074" t="s">
        <v>32</v>
      </c>
      <c r="M4074" t="s">
        <v>33</v>
      </c>
      <c r="P4074" s="1" t="s">
        <v>14071</v>
      </c>
      <c r="Q4074" s="1" t="s">
        <v>10616</v>
      </c>
      <c r="R4074" s="1" t="s">
        <v>10616</v>
      </c>
      <c r="S4074" s="1"/>
      <c r="T4074" s="1" t="s">
        <v>68</v>
      </c>
      <c r="U4074" s="1"/>
      <c r="V4074" s="1">
        <v>22.49</v>
      </c>
      <c r="W4074" s="1">
        <v>22.49</v>
      </c>
      <c r="X4074" s="1" t="s">
        <v>35</v>
      </c>
      <c r="Y4074" s="1">
        <v>22490.0</v>
      </c>
      <c r="Z4074" s="1"/>
      <c r="AA4074" s="1">
        <v>22490.0</v>
      </c>
      <c r="AB4074" s="1"/>
      <c r="AC4074" s="1" t="s">
        <v>36</v>
      </c>
      <c r="AD4074" s="1" t="s">
        <v>14072</v>
      </c>
      <c r="AE4074" s="1" t="s">
        <v>32</v>
      </c>
      <c r="AF4074" s="1" t="s">
        <v>33</v>
      </c>
      <c r="AG4074" s="1" t="s">
        <v>60</v>
      </c>
    </row>
    <row r="4075" spans="1:33">
      <c r="A4075" t="s">
        <v>14073</v>
      </c>
      <c r="B4075" t="s">
        <v>13980</v>
      </c>
      <c r="C4075" t="s">
        <v>125</v>
      </c>
      <c r="E4075" t="s">
        <v>10616</v>
      </c>
      <c r="F4075" t="s">
        <v>10617</v>
      </c>
      <c r="G4075">
        <v>44.98</v>
      </c>
      <c r="H4075">
        <v>44.98</v>
      </c>
      <c r="I4075" t="s">
        <v>126</v>
      </c>
      <c r="J4075" t="s">
        <v>127</v>
      </c>
      <c r="K4075" t="s">
        <v>31</v>
      </c>
      <c r="L4075" t="s">
        <v>32</v>
      </c>
      <c r="M4075" t="s">
        <v>33</v>
      </c>
      <c r="P4075" s="1" t="s">
        <v>14074</v>
      </c>
      <c r="Q4075" s="1" t="s">
        <v>10616</v>
      </c>
      <c r="R4075" s="1" t="s">
        <v>10616</v>
      </c>
      <c r="S4075" s="1"/>
      <c r="T4075" s="1" t="s">
        <v>125</v>
      </c>
      <c r="U4075" s="1"/>
      <c r="V4075" s="1">
        <v>44.98</v>
      </c>
      <c r="W4075" s="1">
        <v>44.98</v>
      </c>
      <c r="X4075" s="1" t="s">
        <v>35</v>
      </c>
      <c r="Y4075" s="1">
        <v>44980.0</v>
      </c>
      <c r="Z4075" s="1"/>
      <c r="AA4075" s="1">
        <v>44980.0</v>
      </c>
      <c r="AB4075" s="1"/>
      <c r="AC4075" s="1" t="s">
        <v>36</v>
      </c>
      <c r="AD4075" s="1" t="s">
        <v>14075</v>
      </c>
      <c r="AE4075" s="1" t="s">
        <v>32</v>
      </c>
      <c r="AF4075" s="1" t="s">
        <v>33</v>
      </c>
      <c r="AG4075" s="1" t="s">
        <v>127</v>
      </c>
    </row>
    <row r="4076" spans="1:33">
      <c r="A4076" t="s">
        <v>14076</v>
      </c>
      <c r="B4076" t="s">
        <v>5834</v>
      </c>
      <c r="C4076" t="s">
        <v>68</v>
      </c>
      <c r="E4076" t="s">
        <v>10616</v>
      </c>
      <c r="F4076" t="s">
        <v>10617</v>
      </c>
      <c r="G4076">
        <v>49.02</v>
      </c>
      <c r="H4076">
        <v>49.02</v>
      </c>
      <c r="I4076" t="s">
        <v>59</v>
      </c>
      <c r="J4076" t="s">
        <v>60</v>
      </c>
      <c r="K4076" t="s">
        <v>31</v>
      </c>
      <c r="L4076" t="s">
        <v>32</v>
      </c>
      <c r="M4076" t="s">
        <v>33</v>
      </c>
      <c r="P4076" s="1" t="s">
        <v>14077</v>
      </c>
      <c r="Q4076" s="1" t="s">
        <v>10616</v>
      </c>
      <c r="R4076" s="1" t="s">
        <v>10616</v>
      </c>
      <c r="S4076" s="1"/>
      <c r="T4076" s="1" t="s">
        <v>68</v>
      </c>
      <c r="U4076" s="1"/>
      <c r="V4076" s="1">
        <v>49.02</v>
      </c>
      <c r="W4076" s="1">
        <v>49.02</v>
      </c>
      <c r="X4076" s="1" t="s">
        <v>35</v>
      </c>
      <c r="Y4076" s="1">
        <v>49020.0</v>
      </c>
      <c r="Z4076" s="1"/>
      <c r="AA4076" s="1">
        <v>49020.0</v>
      </c>
      <c r="AB4076" s="1"/>
      <c r="AC4076" s="1" t="s">
        <v>36</v>
      </c>
      <c r="AD4076" s="1" t="s">
        <v>14065</v>
      </c>
      <c r="AE4076" s="1" t="s">
        <v>32</v>
      </c>
      <c r="AF4076" s="1" t="s">
        <v>33</v>
      </c>
      <c r="AG4076" s="1" t="s">
        <v>60</v>
      </c>
    </row>
    <row r="4077" spans="1:33">
      <c r="A4077" t="s">
        <v>14078</v>
      </c>
      <c r="C4077" t="s">
        <v>10179</v>
      </c>
      <c r="E4077" t="s">
        <v>10616</v>
      </c>
      <c r="F4077" t="s">
        <v>10617</v>
      </c>
      <c r="G4077">
        <v>656.0</v>
      </c>
      <c r="H4077">
        <v>656.0</v>
      </c>
      <c r="I4077" t="s">
        <v>269</v>
      </c>
      <c r="J4077" t="s">
        <v>270</v>
      </c>
      <c r="K4077" t="s">
        <v>31</v>
      </c>
      <c r="L4077" t="s">
        <v>32</v>
      </c>
      <c r="M4077" t="s">
        <v>33</v>
      </c>
      <c r="P4077" s="1" t="s">
        <v>14079</v>
      </c>
      <c r="Q4077" s="1" t="s">
        <v>10616</v>
      </c>
      <c r="R4077" s="1" t="s">
        <v>10616</v>
      </c>
      <c r="S4077" s="1"/>
      <c r="T4077" s="1" t="s">
        <v>10179</v>
      </c>
      <c r="U4077" s="1"/>
      <c r="V4077" s="1">
        <v>656.0</v>
      </c>
      <c r="W4077" s="1">
        <v>656.0</v>
      </c>
      <c r="X4077" s="1" t="s">
        <v>35</v>
      </c>
      <c r="Y4077" s="1">
        <v>656000.0</v>
      </c>
      <c r="Z4077" s="1"/>
      <c r="AA4077" s="1">
        <v>656000.0</v>
      </c>
      <c r="AB4077" s="1"/>
      <c r="AC4077" s="1" t="s">
        <v>36</v>
      </c>
      <c r="AD4077" s="1" t="s">
        <v>14080</v>
      </c>
      <c r="AE4077" s="1" t="s">
        <v>32</v>
      </c>
      <c r="AF4077" s="1" t="s">
        <v>33</v>
      </c>
      <c r="AG4077" s="1" t="s">
        <v>270</v>
      </c>
    </row>
    <row r="4078" spans="1:33">
      <c r="A4078" t="s">
        <v>14081</v>
      </c>
      <c r="B4078" t="s">
        <v>14082</v>
      </c>
      <c r="C4078" t="s">
        <v>47</v>
      </c>
      <c r="E4078" t="s">
        <v>10616</v>
      </c>
      <c r="F4078" t="s">
        <v>10617</v>
      </c>
      <c r="G4078">
        <v>305.89</v>
      </c>
      <c r="H4078">
        <v>305.89</v>
      </c>
      <c r="I4078" t="s">
        <v>2206</v>
      </c>
      <c r="J4078" t="s">
        <v>49</v>
      </c>
      <c r="K4078" t="s">
        <v>31</v>
      </c>
      <c r="L4078" t="s">
        <v>32</v>
      </c>
      <c r="M4078" t="s">
        <v>33</v>
      </c>
      <c r="P4078" s="1" t="s">
        <v>14083</v>
      </c>
      <c r="Q4078" s="1" t="s">
        <v>10616</v>
      </c>
      <c r="R4078" s="1" t="s">
        <v>10616</v>
      </c>
      <c r="S4078" s="1"/>
      <c r="T4078" s="1" t="s">
        <v>47</v>
      </c>
      <c r="U4078" s="1"/>
      <c r="V4078" s="1">
        <v>305.89</v>
      </c>
      <c r="W4078" s="1">
        <v>305.89</v>
      </c>
      <c r="X4078" s="1" t="s">
        <v>35</v>
      </c>
      <c r="Y4078" s="1">
        <v>305890.0</v>
      </c>
      <c r="Z4078" s="1"/>
      <c r="AA4078" s="1">
        <v>305890.0</v>
      </c>
      <c r="AB4078" s="1"/>
      <c r="AC4078" s="1" t="s">
        <v>36</v>
      </c>
      <c r="AD4078" s="1" t="s">
        <v>14084</v>
      </c>
      <c r="AE4078" s="1" t="s">
        <v>32</v>
      </c>
      <c r="AF4078" s="1" t="s">
        <v>33</v>
      </c>
      <c r="AG4078" s="1" t="s">
        <v>49</v>
      </c>
    </row>
    <row r="4079" spans="1:33">
      <c r="A4079" t="s">
        <v>14085</v>
      </c>
      <c r="B4079" t="s">
        <v>14086</v>
      </c>
      <c r="C4079" t="s">
        <v>26</v>
      </c>
      <c r="E4079" t="s">
        <v>10616</v>
      </c>
      <c r="F4079" t="s">
        <v>10617</v>
      </c>
      <c r="G4079">
        <v>20.99</v>
      </c>
      <c r="H4079">
        <v>20.99</v>
      </c>
      <c r="I4079" t="s">
        <v>29</v>
      </c>
      <c r="J4079" t="s">
        <v>30</v>
      </c>
      <c r="K4079" t="s">
        <v>31</v>
      </c>
      <c r="L4079" t="s">
        <v>32</v>
      </c>
      <c r="M4079" t="s">
        <v>33</v>
      </c>
      <c r="P4079" s="1" t="s">
        <v>14087</v>
      </c>
      <c r="Q4079" s="1" t="s">
        <v>10616</v>
      </c>
      <c r="R4079" s="1" t="s">
        <v>10616</v>
      </c>
      <c r="S4079" s="1"/>
      <c r="T4079" s="1" t="s">
        <v>26</v>
      </c>
      <c r="U4079" s="1"/>
      <c r="V4079" s="1">
        <v>20.99</v>
      </c>
      <c r="W4079" s="1">
        <v>20.99</v>
      </c>
      <c r="X4079" s="1" t="s">
        <v>35</v>
      </c>
      <c r="Y4079" s="1">
        <v>20990.0</v>
      </c>
      <c r="Z4079" s="1"/>
      <c r="AA4079" s="1">
        <v>20990.0</v>
      </c>
      <c r="AB4079" s="1"/>
      <c r="AC4079" s="1" t="s">
        <v>36</v>
      </c>
      <c r="AD4079" s="1" t="s">
        <v>14088</v>
      </c>
      <c r="AE4079" s="1" t="s">
        <v>32</v>
      </c>
      <c r="AF4079" s="1" t="s">
        <v>33</v>
      </c>
      <c r="AG4079" s="1" t="s">
        <v>30</v>
      </c>
    </row>
    <row r="4080" spans="1:33">
      <c r="A4080" t="s">
        <v>14089</v>
      </c>
      <c r="C4080" t="s">
        <v>1151</v>
      </c>
      <c r="E4080" t="s">
        <v>10616</v>
      </c>
      <c r="F4080" t="s">
        <v>10617</v>
      </c>
      <c r="G4080">
        <v>720.0</v>
      </c>
      <c r="H4080">
        <v>720.0</v>
      </c>
      <c r="I4080" t="s">
        <v>227</v>
      </c>
      <c r="J4080" t="s">
        <v>228</v>
      </c>
      <c r="K4080" t="s">
        <v>31</v>
      </c>
      <c r="L4080" t="s">
        <v>32</v>
      </c>
      <c r="M4080" t="s">
        <v>33</v>
      </c>
      <c r="P4080" s="1" t="s">
        <v>14090</v>
      </c>
      <c r="Q4080" s="1" t="s">
        <v>10616</v>
      </c>
      <c r="R4080" s="1" t="s">
        <v>10616</v>
      </c>
      <c r="S4080" s="1"/>
      <c r="T4080" s="1" t="s">
        <v>1151</v>
      </c>
      <c r="U4080" s="1"/>
      <c r="V4080" s="1">
        <v>720.0</v>
      </c>
      <c r="W4080" s="1">
        <v>720.0</v>
      </c>
      <c r="X4080" s="1" t="s">
        <v>35</v>
      </c>
      <c r="Y4080" s="1">
        <v>720000.0</v>
      </c>
      <c r="Z4080" s="1"/>
      <c r="AA4080" s="1">
        <v>720000.0</v>
      </c>
      <c r="AB4080" s="1"/>
      <c r="AC4080" s="1" t="s">
        <v>36</v>
      </c>
      <c r="AD4080" s="1" t="s">
        <v>14091</v>
      </c>
      <c r="AE4080" s="1" t="s">
        <v>32</v>
      </c>
      <c r="AF4080" s="1" t="s">
        <v>33</v>
      </c>
      <c r="AG4080" s="1" t="s">
        <v>228</v>
      </c>
    </row>
    <row r="4081" spans="1:33">
      <c r="A4081" t="s">
        <v>14092</v>
      </c>
      <c r="C4081" t="s">
        <v>131</v>
      </c>
      <c r="E4081" t="s">
        <v>10616</v>
      </c>
      <c r="F4081" t="s">
        <v>10617</v>
      </c>
      <c r="G4081">
        <v>98.97</v>
      </c>
      <c r="H4081">
        <v>98.97</v>
      </c>
      <c r="I4081" t="s">
        <v>14093</v>
      </c>
      <c r="J4081" t="s">
        <v>95</v>
      </c>
      <c r="K4081" t="s">
        <v>31</v>
      </c>
      <c r="L4081" t="s">
        <v>32</v>
      </c>
      <c r="M4081" t="s">
        <v>33</v>
      </c>
      <c r="P4081" s="1" t="s">
        <v>14094</v>
      </c>
      <c r="Q4081" s="1" t="s">
        <v>10616</v>
      </c>
      <c r="R4081" s="1" t="s">
        <v>10616</v>
      </c>
      <c r="S4081" s="1"/>
      <c r="T4081" s="1" t="s">
        <v>131</v>
      </c>
      <c r="U4081" s="1"/>
      <c r="V4081" s="1">
        <v>98.97</v>
      </c>
      <c r="W4081" s="1">
        <v>98.97</v>
      </c>
      <c r="X4081" s="1" t="s">
        <v>35</v>
      </c>
      <c r="Y4081" s="1">
        <v>98970.0</v>
      </c>
      <c r="Z4081" s="1"/>
      <c r="AA4081" s="1">
        <v>98970.0</v>
      </c>
      <c r="AB4081" s="1"/>
      <c r="AC4081" s="1" t="s">
        <v>36</v>
      </c>
      <c r="AD4081" s="1" t="s">
        <v>14095</v>
      </c>
      <c r="AE4081" s="1" t="s">
        <v>32</v>
      </c>
      <c r="AF4081" s="1" t="s">
        <v>33</v>
      </c>
      <c r="AG4081" s="1" t="s">
        <v>95</v>
      </c>
    </row>
    <row r="4082" spans="1:33">
      <c r="A4082" t="s">
        <v>14096</v>
      </c>
      <c r="B4082" t="s">
        <v>14097</v>
      </c>
      <c r="C4082" t="s">
        <v>73</v>
      </c>
      <c r="E4082" t="s">
        <v>10616</v>
      </c>
      <c r="F4082" t="s">
        <v>10617</v>
      </c>
      <c r="G4082">
        <v>14.89</v>
      </c>
      <c r="H4082">
        <v>14.89</v>
      </c>
      <c r="I4082" t="s">
        <v>13331</v>
      </c>
      <c r="J4082" t="s">
        <v>41</v>
      </c>
      <c r="K4082" t="s">
        <v>31</v>
      </c>
      <c r="L4082" t="s">
        <v>32</v>
      </c>
      <c r="M4082" t="s">
        <v>33</v>
      </c>
      <c r="P4082" s="1" t="s">
        <v>14098</v>
      </c>
      <c r="Q4082" s="1" t="s">
        <v>10616</v>
      </c>
      <c r="R4082" s="1" t="s">
        <v>10495</v>
      </c>
      <c r="S4082" s="1"/>
      <c r="T4082" s="1" t="s">
        <v>75</v>
      </c>
      <c r="U4082" s="1" t="s">
        <v>76</v>
      </c>
      <c r="V4082" s="1">
        <v>14.89</v>
      </c>
      <c r="W4082" s="1">
        <v>14.89</v>
      </c>
      <c r="X4082" s="1" t="s">
        <v>35</v>
      </c>
      <c r="Y4082" s="1">
        <v>14890.0</v>
      </c>
      <c r="Z4082" s="1"/>
      <c r="AA4082" s="1">
        <v>14890.0</v>
      </c>
      <c r="AB4082" s="1"/>
      <c r="AC4082" s="1" t="s">
        <v>36</v>
      </c>
      <c r="AD4082" s="1" t="s">
        <v>14099</v>
      </c>
      <c r="AE4082" s="1" t="s">
        <v>32</v>
      </c>
      <c r="AF4082" s="1" t="s">
        <v>33</v>
      </c>
      <c r="AG4082" s="1" t="s">
        <v>41</v>
      </c>
    </row>
    <row r="4083" spans="1:33">
      <c r="A4083" t="s">
        <v>14100</v>
      </c>
      <c r="C4083" t="s">
        <v>2781</v>
      </c>
      <c r="E4083" t="s">
        <v>10616</v>
      </c>
      <c r="F4083" t="s">
        <v>10617</v>
      </c>
      <c r="G4083">
        <v>1.44</v>
      </c>
      <c r="H4083">
        <v>1.44</v>
      </c>
      <c r="I4083" t="s">
        <v>173</v>
      </c>
      <c r="J4083" t="s">
        <v>174</v>
      </c>
      <c r="K4083" t="s">
        <v>31</v>
      </c>
      <c r="L4083" t="s">
        <v>32</v>
      </c>
      <c r="M4083" t="s">
        <v>33</v>
      </c>
      <c r="P4083" s="1" t="s">
        <v>14101</v>
      </c>
      <c r="Q4083" s="1" t="s">
        <v>10616</v>
      </c>
      <c r="R4083" s="1" t="s">
        <v>10616</v>
      </c>
      <c r="S4083" s="1"/>
      <c r="T4083" s="1" t="s">
        <v>2783</v>
      </c>
      <c r="U4083" s="1" t="s">
        <v>2784</v>
      </c>
      <c r="V4083" s="1">
        <v>1.44</v>
      </c>
      <c r="W4083" s="1">
        <v>1.44</v>
      </c>
      <c r="X4083" s="1" t="s">
        <v>35</v>
      </c>
      <c r="Y4083" s="1">
        <v>1440000.0</v>
      </c>
      <c r="Z4083" s="1"/>
      <c r="AA4083" s="1">
        <v>1440000.0</v>
      </c>
      <c r="AB4083" s="1"/>
      <c r="AC4083" s="1" t="s">
        <v>36</v>
      </c>
      <c r="AD4083" s="1" t="s">
        <v>14102</v>
      </c>
      <c r="AE4083" s="1" t="s">
        <v>32</v>
      </c>
      <c r="AF4083" s="1" t="s">
        <v>33</v>
      </c>
      <c r="AG4083" s="1" t="s">
        <v>174</v>
      </c>
    </row>
    <row r="4084" spans="1:33">
      <c r="A4084" t="s">
        <v>14103</v>
      </c>
      <c r="B4084" t="s">
        <v>14104</v>
      </c>
      <c r="C4084" t="s">
        <v>47</v>
      </c>
      <c r="E4084" t="s">
        <v>10616</v>
      </c>
      <c r="F4084" t="s">
        <v>10617</v>
      </c>
      <c r="G4084">
        <v>20.99</v>
      </c>
      <c r="H4084">
        <v>20.99</v>
      </c>
      <c r="I4084" t="s">
        <v>2206</v>
      </c>
      <c r="J4084" t="s">
        <v>49</v>
      </c>
      <c r="K4084" t="s">
        <v>31</v>
      </c>
      <c r="L4084" t="s">
        <v>32</v>
      </c>
      <c r="M4084" t="s">
        <v>33</v>
      </c>
      <c r="P4084" s="1" t="s">
        <v>14105</v>
      </c>
      <c r="Q4084" s="1" t="s">
        <v>10616</v>
      </c>
      <c r="R4084" s="1" t="s">
        <v>10616</v>
      </c>
      <c r="S4084" s="1"/>
      <c r="T4084" s="1" t="s">
        <v>47</v>
      </c>
      <c r="U4084" s="1"/>
      <c r="V4084" s="1">
        <v>20.99</v>
      </c>
      <c r="W4084" s="1">
        <v>20.99</v>
      </c>
      <c r="X4084" s="1" t="s">
        <v>35</v>
      </c>
      <c r="Y4084" s="1">
        <v>20990.0</v>
      </c>
      <c r="Z4084" s="1"/>
      <c r="AA4084" s="1">
        <v>20990.0</v>
      </c>
      <c r="AB4084" s="1"/>
      <c r="AC4084" s="1" t="s">
        <v>36</v>
      </c>
      <c r="AD4084" s="1" t="s">
        <v>14099</v>
      </c>
      <c r="AE4084" s="1" t="s">
        <v>32</v>
      </c>
      <c r="AF4084" s="1" t="s">
        <v>33</v>
      </c>
      <c r="AG4084" s="1" t="s">
        <v>49</v>
      </c>
    </row>
    <row r="4085" spans="1:33">
      <c r="A4085" t="s">
        <v>14106</v>
      </c>
      <c r="B4085" t="s">
        <v>14107</v>
      </c>
      <c r="C4085" t="s">
        <v>314</v>
      </c>
      <c r="E4085" t="s">
        <v>10616</v>
      </c>
      <c r="F4085" t="s">
        <v>10617</v>
      </c>
      <c r="G4085">
        <v>133.44</v>
      </c>
      <c r="H4085">
        <v>133.44</v>
      </c>
      <c r="I4085" t="s">
        <v>179</v>
      </c>
      <c r="J4085" t="s">
        <v>180</v>
      </c>
      <c r="K4085" t="s">
        <v>31</v>
      </c>
      <c r="L4085" t="s">
        <v>32</v>
      </c>
      <c r="M4085" t="s">
        <v>33</v>
      </c>
      <c r="P4085" s="1" t="s">
        <v>14108</v>
      </c>
      <c r="Q4085" s="1" t="s">
        <v>10616</v>
      </c>
      <c r="R4085" s="1" t="s">
        <v>10616</v>
      </c>
      <c r="S4085" s="1"/>
      <c r="T4085" s="1" t="s">
        <v>314</v>
      </c>
      <c r="U4085" s="1"/>
      <c r="V4085" s="1">
        <v>133.44</v>
      </c>
      <c r="W4085" s="1">
        <v>133.44</v>
      </c>
      <c r="X4085" s="1" t="s">
        <v>35</v>
      </c>
      <c r="Y4085" s="1">
        <v>133440.0</v>
      </c>
      <c r="Z4085" s="1"/>
      <c r="AA4085" s="1">
        <v>133440.0</v>
      </c>
      <c r="AB4085" s="1"/>
      <c r="AC4085" s="1" t="s">
        <v>36</v>
      </c>
      <c r="AD4085" s="1" t="s">
        <v>14109</v>
      </c>
      <c r="AE4085" s="1" t="s">
        <v>32</v>
      </c>
      <c r="AF4085" s="1" t="s">
        <v>33</v>
      </c>
      <c r="AG4085" s="1" t="s">
        <v>180</v>
      </c>
    </row>
    <row r="4086" spans="1:33">
      <c r="A4086" t="s">
        <v>14110</v>
      </c>
      <c r="B4086" t="s">
        <v>14111</v>
      </c>
      <c r="C4086" t="s">
        <v>314</v>
      </c>
      <c r="E4086" t="s">
        <v>10616</v>
      </c>
      <c r="F4086" t="s">
        <v>10617</v>
      </c>
      <c r="G4086">
        <v>21.24</v>
      </c>
      <c r="H4086">
        <v>21.24</v>
      </c>
      <c r="I4086" t="s">
        <v>179</v>
      </c>
      <c r="J4086" t="s">
        <v>180</v>
      </c>
      <c r="K4086" t="s">
        <v>31</v>
      </c>
      <c r="L4086" t="s">
        <v>32</v>
      </c>
      <c r="M4086" t="s">
        <v>33</v>
      </c>
      <c r="P4086" s="1" t="s">
        <v>14112</v>
      </c>
      <c r="Q4086" s="1" t="s">
        <v>10616</v>
      </c>
      <c r="R4086" s="1" t="s">
        <v>10616</v>
      </c>
      <c r="S4086" s="1"/>
      <c r="T4086" s="1" t="s">
        <v>314</v>
      </c>
      <c r="U4086" s="1"/>
      <c r="V4086" s="1">
        <v>21.24</v>
      </c>
      <c r="W4086" s="1">
        <v>21.24</v>
      </c>
      <c r="X4086" s="1" t="s">
        <v>35</v>
      </c>
      <c r="Y4086" s="1">
        <v>21240.0</v>
      </c>
      <c r="Z4086" s="1"/>
      <c r="AA4086" s="1">
        <v>21240.0</v>
      </c>
      <c r="AB4086" s="1"/>
      <c r="AC4086" s="1" t="s">
        <v>36</v>
      </c>
      <c r="AD4086" s="1" t="s">
        <v>14113</v>
      </c>
      <c r="AE4086" s="1" t="s">
        <v>32</v>
      </c>
      <c r="AF4086" s="1" t="s">
        <v>33</v>
      </c>
      <c r="AG4086" s="1" t="s">
        <v>180</v>
      </c>
    </row>
    <row r="4087" spans="1:33">
      <c r="A4087" t="s">
        <v>14114</v>
      </c>
      <c r="B4087" t="s">
        <v>14115</v>
      </c>
      <c r="C4087" t="s">
        <v>14116</v>
      </c>
      <c r="D4087" t="s">
        <v>154</v>
      </c>
      <c r="E4087" t="s">
        <v>10616</v>
      </c>
      <c r="F4087" t="s">
        <v>10617</v>
      </c>
      <c r="G4087">
        <v>696.0</v>
      </c>
      <c r="H4087">
        <v>696.0</v>
      </c>
      <c r="I4087" t="s">
        <v>29</v>
      </c>
      <c r="J4087" t="s">
        <v>30</v>
      </c>
      <c r="K4087" t="s">
        <v>31</v>
      </c>
      <c r="L4087" t="s">
        <v>32</v>
      </c>
      <c r="M4087" t="s">
        <v>33</v>
      </c>
      <c r="P4087" s="1" t="s">
        <v>14117</v>
      </c>
      <c r="Q4087" s="1" t="s">
        <v>10616</v>
      </c>
      <c r="R4087" s="1" t="s">
        <v>10616</v>
      </c>
      <c r="S4087" s="1"/>
      <c r="T4087" s="1" t="s">
        <v>14118</v>
      </c>
      <c r="U4087" s="1" t="s">
        <v>14119</v>
      </c>
      <c r="V4087" s="1">
        <v>696.0</v>
      </c>
      <c r="W4087" s="1">
        <v>696.0</v>
      </c>
      <c r="X4087" s="1" t="s">
        <v>35</v>
      </c>
      <c r="Y4087" s="1">
        <v>696000.0</v>
      </c>
      <c r="Z4087" s="1"/>
      <c r="AA4087" s="1">
        <v>696000.0</v>
      </c>
      <c r="AB4087" s="1"/>
      <c r="AC4087" s="1" t="s">
        <v>36</v>
      </c>
      <c r="AD4087" s="1" t="s">
        <v>14109</v>
      </c>
      <c r="AE4087" s="1" t="s">
        <v>32</v>
      </c>
      <c r="AF4087" s="1" t="s">
        <v>33</v>
      </c>
      <c r="AG4087" s="1" t="s">
        <v>30</v>
      </c>
    </row>
    <row r="4088" spans="1:33">
      <c r="A4088" t="s">
        <v>14120</v>
      </c>
      <c r="C4088" t="s">
        <v>569</v>
      </c>
      <c r="E4088" t="s">
        <v>10616</v>
      </c>
      <c r="F4088" t="s">
        <v>10617</v>
      </c>
      <c r="G4088">
        <v>41.98</v>
      </c>
      <c r="H4088">
        <v>41.98</v>
      </c>
      <c r="I4088" t="s">
        <v>570</v>
      </c>
      <c r="J4088" t="s">
        <v>571</v>
      </c>
      <c r="K4088" t="s">
        <v>31</v>
      </c>
      <c r="L4088" t="s">
        <v>32</v>
      </c>
      <c r="M4088" t="s">
        <v>33</v>
      </c>
      <c r="P4088" s="1" t="s">
        <v>14121</v>
      </c>
      <c r="Q4088" s="1" t="s">
        <v>10616</v>
      </c>
      <c r="R4088" s="1" t="s">
        <v>10616</v>
      </c>
      <c r="S4088" s="1"/>
      <c r="T4088" s="1" t="s">
        <v>569</v>
      </c>
      <c r="U4088" s="1"/>
      <c r="V4088" s="1">
        <v>41.98</v>
      </c>
      <c r="W4088" s="1">
        <v>41.98</v>
      </c>
      <c r="X4088" s="1" t="s">
        <v>35</v>
      </c>
      <c r="Y4088" s="1">
        <v>41980.0</v>
      </c>
      <c r="Z4088" s="1"/>
      <c r="AA4088" s="1">
        <v>41980.0</v>
      </c>
      <c r="AB4088" s="1"/>
      <c r="AC4088" s="1" t="s">
        <v>36</v>
      </c>
      <c r="AD4088" s="1" t="s">
        <v>14122</v>
      </c>
      <c r="AE4088" s="1" t="s">
        <v>32</v>
      </c>
      <c r="AF4088" s="1" t="s">
        <v>33</v>
      </c>
      <c r="AG4088" s="1" t="s">
        <v>571</v>
      </c>
    </row>
    <row r="4089" spans="1:33">
      <c r="A4089" t="s">
        <v>14123</v>
      </c>
      <c r="C4089" t="s">
        <v>1285</v>
      </c>
      <c r="E4089" t="s">
        <v>10616</v>
      </c>
      <c r="F4089" t="s">
        <v>10617</v>
      </c>
      <c r="G4089">
        <v>320.0</v>
      </c>
      <c r="H4089">
        <v>320.0</v>
      </c>
      <c r="I4089" t="s">
        <v>13331</v>
      </c>
      <c r="J4089" t="s">
        <v>41</v>
      </c>
      <c r="K4089" t="s">
        <v>31</v>
      </c>
      <c r="L4089" t="s">
        <v>32</v>
      </c>
      <c r="M4089" t="s">
        <v>33</v>
      </c>
      <c r="P4089" s="1" t="s">
        <v>14124</v>
      </c>
      <c r="Q4089" s="1" t="s">
        <v>10616</v>
      </c>
      <c r="R4089" s="1" t="s">
        <v>10495</v>
      </c>
      <c r="S4089" s="1"/>
      <c r="T4089" s="1" t="s">
        <v>1285</v>
      </c>
      <c r="U4089" s="1"/>
      <c r="V4089" s="1">
        <v>320.0</v>
      </c>
      <c r="W4089" s="1">
        <v>320.0</v>
      </c>
      <c r="X4089" s="1" t="s">
        <v>35</v>
      </c>
      <c r="Y4089" s="1">
        <v>320000.0</v>
      </c>
      <c r="Z4089" s="1"/>
      <c r="AA4089" s="1">
        <v>320000.0</v>
      </c>
      <c r="AB4089" s="1"/>
      <c r="AC4089" s="1" t="s">
        <v>36</v>
      </c>
      <c r="AD4089" s="1" t="s">
        <v>14125</v>
      </c>
      <c r="AE4089" s="1" t="s">
        <v>32</v>
      </c>
      <c r="AF4089" s="1" t="s">
        <v>33</v>
      </c>
      <c r="AG4089" s="1" t="s">
        <v>41</v>
      </c>
    </row>
    <row r="4090" spans="1:33">
      <c r="A4090" t="s">
        <v>14126</v>
      </c>
      <c r="C4090" t="s">
        <v>1998</v>
      </c>
      <c r="E4090" t="s">
        <v>10616</v>
      </c>
      <c r="F4090" t="s">
        <v>10617</v>
      </c>
      <c r="G4090">
        <v>745.9</v>
      </c>
      <c r="H4090">
        <v>745.9</v>
      </c>
      <c r="I4090" t="s">
        <v>269</v>
      </c>
      <c r="J4090" t="s">
        <v>270</v>
      </c>
      <c r="K4090" t="s">
        <v>31</v>
      </c>
      <c r="L4090" t="s">
        <v>32</v>
      </c>
      <c r="M4090" t="s">
        <v>33</v>
      </c>
      <c r="P4090" s="1" t="s">
        <v>14127</v>
      </c>
      <c r="Q4090" s="1" t="s">
        <v>10616</v>
      </c>
      <c r="R4090" s="1" t="s">
        <v>10616</v>
      </c>
      <c r="S4090" s="1"/>
      <c r="T4090" s="1" t="s">
        <v>2000</v>
      </c>
      <c r="U4090" s="1" t="s">
        <v>2001</v>
      </c>
      <c r="V4090" s="1">
        <v>745.9</v>
      </c>
      <c r="W4090" s="1">
        <v>745.9</v>
      </c>
      <c r="X4090" s="1" t="s">
        <v>35</v>
      </c>
      <c r="Y4090" s="1">
        <v>745900.0</v>
      </c>
      <c r="Z4090" s="1"/>
      <c r="AA4090" s="1">
        <v>745900.0</v>
      </c>
      <c r="AB4090" s="1"/>
      <c r="AC4090" s="1" t="s">
        <v>36</v>
      </c>
      <c r="AD4090" s="1" t="s">
        <v>14128</v>
      </c>
      <c r="AE4090" s="1" t="s">
        <v>32</v>
      </c>
      <c r="AF4090" s="1" t="s">
        <v>33</v>
      </c>
      <c r="AG4090" s="1" t="s">
        <v>270</v>
      </c>
    </row>
    <row r="4091" spans="1:33">
      <c r="A4091" t="s">
        <v>14129</v>
      </c>
      <c r="C4091" t="s">
        <v>1728</v>
      </c>
      <c r="E4091" t="s">
        <v>10616</v>
      </c>
      <c r="F4091" t="s">
        <v>10617</v>
      </c>
      <c r="G4091">
        <v>856.8</v>
      </c>
      <c r="H4091">
        <v>856.8</v>
      </c>
      <c r="I4091" t="s">
        <v>14093</v>
      </c>
      <c r="J4091" t="s">
        <v>95</v>
      </c>
      <c r="K4091" t="s">
        <v>31</v>
      </c>
      <c r="L4091" t="s">
        <v>32</v>
      </c>
      <c r="M4091" t="s">
        <v>33</v>
      </c>
      <c r="P4091" s="1" t="s">
        <v>14130</v>
      </c>
      <c r="Q4091" s="1" t="s">
        <v>10616</v>
      </c>
      <c r="R4091" s="1" t="s">
        <v>10616</v>
      </c>
      <c r="S4091" s="1"/>
      <c r="T4091" s="1" t="s">
        <v>1728</v>
      </c>
      <c r="U4091" s="1"/>
      <c r="V4091" s="1">
        <v>856.8</v>
      </c>
      <c r="W4091" s="1">
        <v>856.8</v>
      </c>
      <c r="X4091" s="1" t="s">
        <v>35</v>
      </c>
      <c r="Y4091" s="1">
        <v>856800.0</v>
      </c>
      <c r="Z4091" s="1"/>
      <c r="AA4091" s="1">
        <v>856800.0</v>
      </c>
      <c r="AB4091" s="1"/>
      <c r="AC4091" s="1" t="s">
        <v>36</v>
      </c>
      <c r="AD4091" s="1" t="s">
        <v>14131</v>
      </c>
      <c r="AE4091" s="1" t="s">
        <v>32</v>
      </c>
      <c r="AF4091" s="1" t="s">
        <v>33</v>
      </c>
      <c r="AG4091" s="1" t="s">
        <v>95</v>
      </c>
    </row>
    <row r="4092" spans="1:33">
      <c r="A4092" t="s">
        <v>14132</v>
      </c>
      <c r="C4092" t="s">
        <v>14133</v>
      </c>
      <c r="E4092" t="s">
        <v>10616</v>
      </c>
      <c r="F4092" t="s">
        <v>10617</v>
      </c>
      <c r="G4092">
        <v>3.829</v>
      </c>
      <c r="H4092">
        <v>3.829</v>
      </c>
      <c r="I4092" t="s">
        <v>13331</v>
      </c>
      <c r="J4092" t="s">
        <v>41</v>
      </c>
      <c r="K4092" t="s">
        <v>31</v>
      </c>
      <c r="L4092" t="s">
        <v>32</v>
      </c>
      <c r="M4092" t="s">
        <v>33</v>
      </c>
      <c r="P4092" s="1" t="s">
        <v>14134</v>
      </c>
      <c r="Q4092" s="1" t="s">
        <v>10616</v>
      </c>
      <c r="R4092" s="1" t="s">
        <v>10495</v>
      </c>
      <c r="S4092" s="1"/>
      <c r="T4092" s="1" t="s">
        <v>14133</v>
      </c>
      <c r="U4092" s="1"/>
      <c r="V4092" s="1">
        <v>3.829</v>
      </c>
      <c r="W4092" s="1">
        <v>3.829</v>
      </c>
      <c r="X4092" s="1" t="s">
        <v>35</v>
      </c>
      <c r="Y4092" s="1">
        <v>3829000.0</v>
      </c>
      <c r="Z4092" s="1"/>
      <c r="AA4092" s="1">
        <v>3829000.0</v>
      </c>
      <c r="AB4092" s="1"/>
      <c r="AC4092" s="1" t="s">
        <v>36</v>
      </c>
      <c r="AD4092" s="1" t="s">
        <v>14135</v>
      </c>
      <c r="AE4092" s="1" t="s">
        <v>32</v>
      </c>
      <c r="AF4092" s="1" t="s">
        <v>33</v>
      </c>
      <c r="AG4092" s="1" t="s">
        <v>41</v>
      </c>
    </row>
    <row r="4093" spans="1:33">
      <c r="A4093" t="s">
        <v>14136</v>
      </c>
      <c r="B4093" t="s">
        <v>14137</v>
      </c>
      <c r="C4093" t="s">
        <v>125</v>
      </c>
      <c r="E4093" t="s">
        <v>10616</v>
      </c>
      <c r="F4093" t="s">
        <v>10617</v>
      </c>
      <c r="G4093">
        <v>50.48</v>
      </c>
      <c r="H4093">
        <v>50.48</v>
      </c>
      <c r="I4093" t="s">
        <v>126</v>
      </c>
      <c r="J4093" t="s">
        <v>127</v>
      </c>
      <c r="K4093" t="s">
        <v>31</v>
      </c>
      <c r="L4093" t="s">
        <v>32</v>
      </c>
      <c r="M4093" t="s">
        <v>33</v>
      </c>
      <c r="P4093" s="1" t="s">
        <v>14138</v>
      </c>
      <c r="Q4093" s="1" t="s">
        <v>10616</v>
      </c>
      <c r="R4093" s="1" t="s">
        <v>10616</v>
      </c>
      <c r="S4093" s="1"/>
      <c r="T4093" s="1" t="s">
        <v>125</v>
      </c>
      <c r="U4093" s="1"/>
      <c r="V4093" s="1">
        <v>50.48</v>
      </c>
      <c r="W4093" s="1">
        <v>50.48</v>
      </c>
      <c r="X4093" s="1" t="s">
        <v>35</v>
      </c>
      <c r="Y4093" s="1">
        <v>50480.0</v>
      </c>
      <c r="Z4093" s="1"/>
      <c r="AA4093" s="1">
        <v>50480.0</v>
      </c>
      <c r="AB4093" s="1"/>
      <c r="AC4093" s="1" t="s">
        <v>36</v>
      </c>
      <c r="AD4093" s="1" t="s">
        <v>14139</v>
      </c>
      <c r="AE4093" s="1" t="s">
        <v>32</v>
      </c>
      <c r="AF4093" s="1" t="s">
        <v>33</v>
      </c>
      <c r="AG4093" s="1" t="s">
        <v>127</v>
      </c>
    </row>
    <row r="4094" spans="1:33">
      <c r="A4094" t="s">
        <v>14140</v>
      </c>
      <c r="B4094" t="s">
        <v>14141</v>
      </c>
      <c r="C4094" t="s">
        <v>268</v>
      </c>
      <c r="E4094" t="s">
        <v>10616</v>
      </c>
      <c r="F4094" t="s">
        <v>10617</v>
      </c>
      <c r="G4094">
        <v>16.9</v>
      </c>
      <c r="H4094">
        <v>16.9</v>
      </c>
      <c r="I4094" t="s">
        <v>269</v>
      </c>
      <c r="J4094" t="s">
        <v>270</v>
      </c>
      <c r="K4094" t="s">
        <v>31</v>
      </c>
      <c r="L4094" t="s">
        <v>32</v>
      </c>
      <c r="M4094" t="s">
        <v>33</v>
      </c>
      <c r="P4094" s="1" t="s">
        <v>14142</v>
      </c>
      <c r="Q4094" s="1" t="s">
        <v>10616</v>
      </c>
      <c r="R4094" s="1" t="s">
        <v>10616</v>
      </c>
      <c r="S4094" s="1"/>
      <c r="T4094" s="1" t="s">
        <v>268</v>
      </c>
      <c r="U4094" s="1"/>
      <c r="V4094" s="1">
        <v>16.9</v>
      </c>
      <c r="W4094" s="1">
        <v>16.9</v>
      </c>
      <c r="X4094" s="1" t="s">
        <v>35</v>
      </c>
      <c r="Y4094" s="1">
        <v>16900.0</v>
      </c>
      <c r="Z4094" s="1"/>
      <c r="AA4094" s="1">
        <v>16900.0</v>
      </c>
      <c r="AB4094" s="1"/>
      <c r="AC4094" s="1" t="s">
        <v>36</v>
      </c>
      <c r="AD4094" s="1" t="s">
        <v>14143</v>
      </c>
      <c r="AE4094" s="1" t="s">
        <v>32</v>
      </c>
      <c r="AF4094" s="1" t="s">
        <v>33</v>
      </c>
      <c r="AG4094" s="1" t="s">
        <v>270</v>
      </c>
    </row>
    <row r="4095" spans="1:33">
      <c r="A4095" t="s">
        <v>14144</v>
      </c>
      <c r="C4095" t="s">
        <v>14145</v>
      </c>
      <c r="E4095" t="s">
        <v>10616</v>
      </c>
      <c r="F4095" t="s">
        <v>10617</v>
      </c>
      <c r="G4095">
        <v>630.0</v>
      </c>
      <c r="H4095">
        <v>630.0</v>
      </c>
      <c r="I4095" t="s">
        <v>13331</v>
      </c>
      <c r="J4095" t="s">
        <v>41</v>
      </c>
      <c r="K4095" t="s">
        <v>31</v>
      </c>
      <c r="L4095" t="s">
        <v>32</v>
      </c>
      <c r="M4095" t="s">
        <v>33</v>
      </c>
      <c r="P4095" s="1" t="s">
        <v>14146</v>
      </c>
      <c r="Q4095" s="1" t="s">
        <v>10616</v>
      </c>
      <c r="R4095" s="1" t="s">
        <v>10495</v>
      </c>
      <c r="S4095" s="1"/>
      <c r="T4095" s="1" t="s">
        <v>14145</v>
      </c>
      <c r="U4095" s="1"/>
      <c r="V4095" s="1">
        <v>630.0</v>
      </c>
      <c r="W4095" s="1">
        <v>630.0</v>
      </c>
      <c r="X4095" s="1" t="s">
        <v>35</v>
      </c>
      <c r="Y4095" s="1">
        <v>630000.0</v>
      </c>
      <c r="Z4095" s="1"/>
      <c r="AA4095" s="1">
        <v>630000.0</v>
      </c>
      <c r="AB4095" s="1"/>
      <c r="AC4095" s="1" t="s">
        <v>36</v>
      </c>
      <c r="AD4095" s="1" t="s">
        <v>14147</v>
      </c>
      <c r="AE4095" s="1" t="s">
        <v>32</v>
      </c>
      <c r="AF4095" s="1" t="s">
        <v>33</v>
      </c>
      <c r="AG4095" s="1" t="s">
        <v>41</v>
      </c>
    </row>
    <row r="4096" spans="1:33">
      <c r="A4096" t="s">
        <v>14148</v>
      </c>
      <c r="B4096" t="s">
        <v>14149</v>
      </c>
      <c r="C4096" t="s">
        <v>906</v>
      </c>
      <c r="E4096" t="s">
        <v>10616</v>
      </c>
      <c r="F4096" t="s">
        <v>10617</v>
      </c>
      <c r="G4096">
        <v>49.98</v>
      </c>
      <c r="H4096">
        <v>49.98</v>
      </c>
      <c r="I4096" t="s">
        <v>847</v>
      </c>
      <c r="J4096" t="s">
        <v>848</v>
      </c>
      <c r="K4096" t="s">
        <v>31</v>
      </c>
      <c r="L4096" t="s">
        <v>32</v>
      </c>
      <c r="M4096" t="s">
        <v>33</v>
      </c>
      <c r="P4096" s="1" t="s">
        <v>14150</v>
      </c>
      <c r="Q4096" s="1" t="s">
        <v>10616</v>
      </c>
      <c r="R4096" s="1" t="s">
        <v>10616</v>
      </c>
      <c r="S4096" s="1"/>
      <c r="T4096" s="1" t="s">
        <v>906</v>
      </c>
      <c r="U4096" s="1"/>
      <c r="V4096" s="1">
        <v>49.98</v>
      </c>
      <c r="W4096" s="1">
        <v>49.98</v>
      </c>
      <c r="X4096" s="1" t="s">
        <v>35</v>
      </c>
      <c r="Y4096" s="1">
        <v>50000.0</v>
      </c>
      <c r="Z4096" s="1">
        <v>-20</v>
      </c>
      <c r="AA4096" s="1">
        <v>50000.0</v>
      </c>
      <c r="AB4096" s="1">
        <v>-20</v>
      </c>
      <c r="AC4096" s="1" t="s">
        <v>36</v>
      </c>
      <c r="AD4096" s="1" t="s">
        <v>14147</v>
      </c>
      <c r="AE4096" s="1" t="s">
        <v>32</v>
      </c>
      <c r="AF4096" s="1" t="s">
        <v>33</v>
      </c>
      <c r="AG4096" s="1" t="s">
        <v>848</v>
      </c>
    </row>
    <row r="4097" spans="1:33">
      <c r="A4097" t="s">
        <v>14151</v>
      </c>
      <c r="C4097" t="s">
        <v>14152</v>
      </c>
      <c r="E4097" t="s">
        <v>10616</v>
      </c>
      <c r="F4097" t="s">
        <v>10617</v>
      </c>
      <c r="G4097">
        <v>462.0</v>
      </c>
      <c r="H4097">
        <v>462.0</v>
      </c>
      <c r="I4097" t="s">
        <v>13331</v>
      </c>
      <c r="J4097" t="s">
        <v>41</v>
      </c>
      <c r="K4097" t="s">
        <v>31</v>
      </c>
      <c r="L4097" t="s">
        <v>32</v>
      </c>
      <c r="M4097" t="s">
        <v>33</v>
      </c>
      <c r="P4097" s="1" t="s">
        <v>14153</v>
      </c>
      <c r="Q4097" s="1" t="s">
        <v>10616</v>
      </c>
      <c r="R4097" s="1" t="s">
        <v>10495</v>
      </c>
      <c r="S4097" s="1"/>
      <c r="T4097" s="1" t="s">
        <v>14152</v>
      </c>
      <c r="U4097" s="1"/>
      <c r="V4097" s="1">
        <v>462.0</v>
      </c>
      <c r="W4097" s="1">
        <v>462.0</v>
      </c>
      <c r="X4097" s="1" t="s">
        <v>35</v>
      </c>
      <c r="Y4097" s="1">
        <v>462000.0</v>
      </c>
      <c r="Z4097" s="1"/>
      <c r="AA4097" s="1">
        <v>462000.0</v>
      </c>
      <c r="AB4097" s="1"/>
      <c r="AC4097" s="1" t="s">
        <v>36</v>
      </c>
      <c r="AD4097" s="1" t="s">
        <v>14154</v>
      </c>
      <c r="AE4097" s="1" t="s">
        <v>32</v>
      </c>
      <c r="AF4097" s="1" t="s">
        <v>33</v>
      </c>
      <c r="AG4097" s="1" t="s">
        <v>41</v>
      </c>
    </row>
    <row r="4098" spans="1:33">
      <c r="A4098" t="s">
        <v>14155</v>
      </c>
      <c r="C4098" t="s">
        <v>14156</v>
      </c>
      <c r="E4098" t="s">
        <v>10616</v>
      </c>
      <c r="F4098" t="s">
        <v>10617</v>
      </c>
      <c r="G4098">
        <v>1.025</v>
      </c>
      <c r="H4098">
        <v>1.025</v>
      </c>
      <c r="I4098" t="s">
        <v>173</v>
      </c>
      <c r="J4098" t="s">
        <v>174</v>
      </c>
      <c r="K4098" t="s">
        <v>31</v>
      </c>
      <c r="L4098" t="s">
        <v>32</v>
      </c>
      <c r="M4098" t="s">
        <v>33</v>
      </c>
      <c r="P4098" s="1" t="s">
        <v>14157</v>
      </c>
      <c r="Q4098" s="1" t="s">
        <v>10616</v>
      </c>
      <c r="R4098" s="1" t="s">
        <v>10616</v>
      </c>
      <c r="S4098" s="1"/>
      <c r="T4098" s="1" t="s">
        <v>14156</v>
      </c>
      <c r="U4098" s="1"/>
      <c r="V4098" s="1">
        <v>1.025</v>
      </c>
      <c r="W4098" s="1">
        <v>1.025</v>
      </c>
      <c r="X4098" s="1" t="s">
        <v>35</v>
      </c>
      <c r="Y4098" s="1">
        <v>1025000.0</v>
      </c>
      <c r="Z4098" s="1"/>
      <c r="AA4098" s="1">
        <v>1025000.0</v>
      </c>
      <c r="AB4098" s="1"/>
      <c r="AC4098" s="1" t="s">
        <v>36</v>
      </c>
      <c r="AD4098" s="1" t="s">
        <v>14158</v>
      </c>
      <c r="AE4098" s="1" t="s">
        <v>32</v>
      </c>
      <c r="AF4098" s="1" t="s">
        <v>33</v>
      </c>
      <c r="AG4098" s="1" t="s">
        <v>174</v>
      </c>
    </row>
    <row r="4099" spans="1:33">
      <c r="A4099" t="s">
        <v>14159</v>
      </c>
      <c r="C4099" t="s">
        <v>1720</v>
      </c>
      <c r="E4099" t="s">
        <v>10616</v>
      </c>
      <c r="F4099" t="s">
        <v>10617</v>
      </c>
      <c r="G4099">
        <v>630.0</v>
      </c>
      <c r="H4099">
        <v>630.0</v>
      </c>
      <c r="I4099" t="s">
        <v>173</v>
      </c>
      <c r="J4099" t="s">
        <v>174</v>
      </c>
      <c r="K4099" t="s">
        <v>31</v>
      </c>
      <c r="L4099" t="s">
        <v>32</v>
      </c>
      <c r="M4099" t="s">
        <v>33</v>
      </c>
      <c r="P4099" s="1" t="s">
        <v>14160</v>
      </c>
      <c r="Q4099" s="1" t="s">
        <v>10616</v>
      </c>
      <c r="R4099" s="1" t="s">
        <v>10616</v>
      </c>
      <c r="S4099" s="1"/>
      <c r="T4099" s="1" t="s">
        <v>1720</v>
      </c>
      <c r="U4099" s="1"/>
      <c r="V4099" s="1">
        <v>630.0</v>
      </c>
      <c r="W4099" s="1">
        <v>630.0</v>
      </c>
      <c r="X4099" s="1" t="s">
        <v>35</v>
      </c>
      <c r="Y4099" s="1">
        <v>630000.0</v>
      </c>
      <c r="Z4099" s="1"/>
      <c r="AA4099" s="1">
        <v>550000.0</v>
      </c>
      <c r="AB4099" s="1">
        <v>80000</v>
      </c>
      <c r="AC4099" s="1" t="s">
        <v>36</v>
      </c>
      <c r="AD4099" s="1" t="s">
        <v>14161</v>
      </c>
      <c r="AE4099" s="1" t="s">
        <v>32</v>
      </c>
      <c r="AF4099" s="1" t="s">
        <v>33</v>
      </c>
      <c r="AG4099" s="1" t="s">
        <v>174</v>
      </c>
    </row>
    <row r="4100" spans="1:33">
      <c r="A4100" t="s">
        <v>14162</v>
      </c>
      <c r="C4100" t="s">
        <v>1012</v>
      </c>
      <c r="D4100" t="s">
        <v>114</v>
      </c>
      <c r="E4100" t="s">
        <v>10616</v>
      </c>
      <c r="F4100" t="s">
        <v>10617</v>
      </c>
      <c r="G4100">
        <v>121.47</v>
      </c>
      <c r="H4100">
        <v>121.47</v>
      </c>
      <c r="I4100" t="s">
        <v>847</v>
      </c>
      <c r="J4100" t="s">
        <v>848</v>
      </c>
      <c r="K4100" t="s">
        <v>31</v>
      </c>
      <c r="L4100" t="s">
        <v>32</v>
      </c>
      <c r="M4100" t="s">
        <v>33</v>
      </c>
      <c r="P4100" s="1" t="s">
        <v>14163</v>
      </c>
      <c r="Q4100" s="1" t="s">
        <v>10616</v>
      </c>
      <c r="R4100" s="1" t="s">
        <v>10616</v>
      </c>
      <c r="S4100" s="1"/>
      <c r="T4100" s="1" t="s">
        <v>1012</v>
      </c>
      <c r="U4100" s="1"/>
      <c r="V4100" s="1">
        <v>121.47</v>
      </c>
      <c r="W4100" s="1">
        <v>121.47</v>
      </c>
      <c r="X4100" s="1" t="s">
        <v>35</v>
      </c>
      <c r="Y4100" s="1">
        <v>121470.0</v>
      </c>
      <c r="Z4100" s="1"/>
      <c r="AA4100" s="1">
        <v>121470.0</v>
      </c>
      <c r="AB4100" s="1"/>
      <c r="AC4100" s="1" t="s">
        <v>36</v>
      </c>
      <c r="AD4100" s="1" t="s">
        <v>14164</v>
      </c>
      <c r="AE4100" s="1" t="s">
        <v>32</v>
      </c>
      <c r="AF4100" s="1" t="s">
        <v>33</v>
      </c>
      <c r="AG4100" s="1" t="s">
        <v>848</v>
      </c>
    </row>
    <row r="4101" spans="1:33">
      <c r="A4101" t="s">
        <v>14165</v>
      </c>
      <c r="B4101" t="s">
        <v>10643</v>
      </c>
      <c r="C4101" t="s">
        <v>172</v>
      </c>
      <c r="E4101" t="s">
        <v>10616</v>
      </c>
      <c r="F4101" t="s">
        <v>10617</v>
      </c>
      <c r="G4101">
        <v>41.98</v>
      </c>
      <c r="H4101">
        <v>41.98</v>
      </c>
      <c r="I4101" t="s">
        <v>173</v>
      </c>
      <c r="J4101" t="s">
        <v>174</v>
      </c>
      <c r="K4101" t="s">
        <v>31</v>
      </c>
      <c r="L4101" t="s">
        <v>32</v>
      </c>
      <c r="M4101" t="s">
        <v>33</v>
      </c>
      <c r="P4101" s="1" t="s">
        <v>14166</v>
      </c>
      <c r="Q4101" s="1" t="s">
        <v>10616</v>
      </c>
      <c r="R4101" s="1" t="s">
        <v>10616</v>
      </c>
      <c r="S4101" s="1"/>
      <c r="T4101" s="1" t="s">
        <v>172</v>
      </c>
      <c r="U4101" s="1"/>
      <c r="V4101" s="1">
        <v>41.98</v>
      </c>
      <c r="W4101" s="1">
        <v>41.98</v>
      </c>
      <c r="X4101" s="1" t="s">
        <v>35</v>
      </c>
      <c r="Y4101" s="1">
        <v>41980.0</v>
      </c>
      <c r="Z4101" s="1"/>
      <c r="AA4101" s="1">
        <v>41980.0</v>
      </c>
      <c r="AB4101" s="1"/>
      <c r="AC4101" s="1" t="s">
        <v>36</v>
      </c>
      <c r="AD4101" s="1" t="s">
        <v>14167</v>
      </c>
      <c r="AE4101" s="1" t="s">
        <v>32</v>
      </c>
      <c r="AF4101" s="1" t="s">
        <v>33</v>
      </c>
      <c r="AG4101" s="1" t="s">
        <v>174</v>
      </c>
    </row>
    <row r="4102" spans="1:33">
      <c r="A4102" t="s">
        <v>14168</v>
      </c>
      <c r="C4102" t="s">
        <v>996</v>
      </c>
      <c r="E4102" t="s">
        <v>10616</v>
      </c>
      <c r="F4102" t="s">
        <v>10617</v>
      </c>
      <c r="G4102">
        <v>326.0</v>
      </c>
      <c r="H4102">
        <v>326.0</v>
      </c>
      <c r="I4102" t="s">
        <v>847</v>
      </c>
      <c r="J4102" t="s">
        <v>848</v>
      </c>
      <c r="K4102" t="s">
        <v>31</v>
      </c>
      <c r="L4102" t="s">
        <v>32</v>
      </c>
      <c r="M4102" t="s">
        <v>33</v>
      </c>
      <c r="P4102" s="1" t="s">
        <v>14169</v>
      </c>
      <c r="Q4102" s="1" t="s">
        <v>10616</v>
      </c>
      <c r="R4102" s="1" t="s">
        <v>10616</v>
      </c>
      <c r="S4102" s="1"/>
      <c r="T4102" s="1" t="s">
        <v>996</v>
      </c>
      <c r="U4102" s="1"/>
      <c r="V4102" s="1">
        <v>326.0</v>
      </c>
      <c r="W4102" s="1">
        <v>326.0</v>
      </c>
      <c r="X4102" s="1" t="s">
        <v>35</v>
      </c>
      <c r="Y4102" s="1">
        <v>326000.0</v>
      </c>
      <c r="Z4102" s="1"/>
      <c r="AA4102" s="1">
        <v>326000.0</v>
      </c>
      <c r="AB4102" s="1"/>
      <c r="AC4102" s="1" t="s">
        <v>36</v>
      </c>
      <c r="AD4102" s="1" t="s">
        <v>14170</v>
      </c>
      <c r="AE4102" s="1" t="s">
        <v>32</v>
      </c>
      <c r="AF4102" s="1" t="s">
        <v>33</v>
      </c>
      <c r="AG4102" s="1" t="s">
        <v>848</v>
      </c>
    </row>
    <row r="4103" spans="1:33">
      <c r="A4103" t="s">
        <v>14171</v>
      </c>
      <c r="C4103" t="s">
        <v>4712</v>
      </c>
      <c r="D4103" t="s">
        <v>154</v>
      </c>
      <c r="E4103" t="s">
        <v>10616</v>
      </c>
      <c r="F4103" t="s">
        <v>10617</v>
      </c>
      <c r="G4103">
        <v>320.0</v>
      </c>
      <c r="H4103">
        <v>320.0</v>
      </c>
      <c r="I4103" t="s">
        <v>126</v>
      </c>
      <c r="J4103" t="s">
        <v>127</v>
      </c>
      <c r="K4103" t="s">
        <v>31</v>
      </c>
      <c r="L4103" t="s">
        <v>32</v>
      </c>
      <c r="M4103" t="s">
        <v>33</v>
      </c>
      <c r="P4103" s="1" t="s">
        <v>14172</v>
      </c>
      <c r="Q4103" s="1" t="s">
        <v>10616</v>
      </c>
      <c r="R4103" s="1" t="s">
        <v>10616</v>
      </c>
      <c r="S4103" s="1"/>
      <c r="T4103" s="1" t="s">
        <v>4712</v>
      </c>
      <c r="U4103" s="1"/>
      <c r="V4103" s="1">
        <v>320.0</v>
      </c>
      <c r="W4103" s="1">
        <v>320.0</v>
      </c>
      <c r="X4103" s="1" t="s">
        <v>35</v>
      </c>
      <c r="Y4103" s="1">
        <v>320000.0</v>
      </c>
      <c r="Z4103" s="1"/>
      <c r="AA4103" s="1">
        <v>320000.0</v>
      </c>
      <c r="AB4103" s="1"/>
      <c r="AC4103" s="1" t="s">
        <v>36</v>
      </c>
      <c r="AD4103" s="1" t="s">
        <v>14167</v>
      </c>
      <c r="AE4103" s="1" t="s">
        <v>32</v>
      </c>
      <c r="AF4103" s="1" t="s">
        <v>33</v>
      </c>
      <c r="AG4103" s="1" t="s">
        <v>127</v>
      </c>
    </row>
    <row r="4104" spans="1:33">
      <c r="A4104" t="s">
        <v>14173</v>
      </c>
      <c r="C4104" t="s">
        <v>1016</v>
      </c>
      <c r="E4104" t="s">
        <v>10616</v>
      </c>
      <c r="F4104" t="s">
        <v>10617</v>
      </c>
      <c r="G4104">
        <v>17.5</v>
      </c>
      <c r="H4104">
        <v>17.5</v>
      </c>
      <c r="I4104" t="s">
        <v>269</v>
      </c>
      <c r="J4104" t="s">
        <v>270</v>
      </c>
      <c r="K4104" t="s">
        <v>31</v>
      </c>
      <c r="L4104" t="s">
        <v>32</v>
      </c>
      <c r="M4104" t="s">
        <v>33</v>
      </c>
      <c r="P4104" s="1" t="s">
        <v>14174</v>
      </c>
      <c r="Q4104" s="1" t="s">
        <v>10616</v>
      </c>
      <c r="R4104" s="1" t="s">
        <v>10616</v>
      </c>
      <c r="S4104" s="1"/>
      <c r="T4104" s="1" t="s">
        <v>1016</v>
      </c>
      <c r="U4104" s="1"/>
      <c r="V4104" s="1">
        <v>17.5</v>
      </c>
      <c r="W4104" s="1">
        <v>17.5</v>
      </c>
      <c r="X4104" s="1" t="s">
        <v>35</v>
      </c>
      <c r="Y4104" s="1">
        <v>17500.0</v>
      </c>
      <c r="Z4104" s="1"/>
      <c r="AA4104" s="1">
        <v>17500.0</v>
      </c>
      <c r="AB4104" s="1"/>
      <c r="AC4104" s="1" t="s">
        <v>36</v>
      </c>
      <c r="AD4104" s="1" t="s">
        <v>14175</v>
      </c>
      <c r="AE4104" s="1" t="s">
        <v>32</v>
      </c>
      <c r="AF4104" s="1" t="s">
        <v>33</v>
      </c>
      <c r="AG4104" s="1" t="s">
        <v>270</v>
      </c>
    </row>
    <row r="4105" spans="1:33">
      <c r="A4105" t="s">
        <v>14176</v>
      </c>
      <c r="B4105" t="s">
        <v>14177</v>
      </c>
      <c r="C4105" t="s">
        <v>125</v>
      </c>
      <c r="E4105" t="s">
        <v>10616</v>
      </c>
      <c r="F4105" t="s">
        <v>10617</v>
      </c>
      <c r="G4105">
        <v>5.998</v>
      </c>
      <c r="H4105">
        <v>5.998</v>
      </c>
      <c r="I4105" t="s">
        <v>126</v>
      </c>
      <c r="J4105" t="s">
        <v>127</v>
      </c>
      <c r="K4105" t="s">
        <v>31</v>
      </c>
      <c r="L4105" t="s">
        <v>32</v>
      </c>
      <c r="M4105" t="s">
        <v>33</v>
      </c>
      <c r="P4105" s="1" t="s">
        <v>14178</v>
      </c>
      <c r="Q4105" s="1" t="s">
        <v>10616</v>
      </c>
      <c r="R4105" s="1" t="s">
        <v>10616</v>
      </c>
      <c r="S4105" s="1"/>
      <c r="T4105" s="1" t="s">
        <v>125</v>
      </c>
      <c r="U4105" s="1"/>
      <c r="V4105" s="1">
        <v>5.998</v>
      </c>
      <c r="W4105" s="1">
        <v>5.998</v>
      </c>
      <c r="X4105" s="1" t="s">
        <v>35</v>
      </c>
      <c r="Y4105" s="1">
        <v>5998.0</v>
      </c>
      <c r="Z4105" s="1"/>
      <c r="AA4105" s="1">
        <v>5998.0</v>
      </c>
      <c r="AB4105" s="1"/>
      <c r="AC4105" s="1" t="s">
        <v>36</v>
      </c>
      <c r="AD4105" s="1" t="s">
        <v>14179</v>
      </c>
      <c r="AE4105" s="1" t="s">
        <v>32</v>
      </c>
      <c r="AF4105" s="1" t="s">
        <v>33</v>
      </c>
      <c r="AG4105" s="1" t="s">
        <v>127</v>
      </c>
    </row>
    <row r="4106" spans="1:33">
      <c r="A4106" t="s">
        <v>14180</v>
      </c>
      <c r="B4106" t="s">
        <v>14181</v>
      </c>
      <c r="C4106" t="s">
        <v>906</v>
      </c>
      <c r="E4106" t="s">
        <v>10616</v>
      </c>
      <c r="F4106" t="s">
        <v>10617</v>
      </c>
      <c r="G4106">
        <v>430.64</v>
      </c>
      <c r="H4106">
        <v>430.64</v>
      </c>
      <c r="I4106" t="s">
        <v>847</v>
      </c>
      <c r="J4106" t="s">
        <v>848</v>
      </c>
      <c r="K4106" t="s">
        <v>31</v>
      </c>
      <c r="L4106" t="s">
        <v>32</v>
      </c>
      <c r="M4106" t="s">
        <v>33</v>
      </c>
      <c r="P4106" s="1" t="s">
        <v>14182</v>
      </c>
      <c r="Q4106" s="1" t="s">
        <v>10616</v>
      </c>
      <c r="R4106" s="1" t="s">
        <v>10616</v>
      </c>
      <c r="S4106" s="1"/>
      <c r="T4106" s="1" t="s">
        <v>906</v>
      </c>
      <c r="U4106" s="1"/>
      <c r="V4106" s="1">
        <v>430.64</v>
      </c>
      <c r="W4106" s="1">
        <v>430.64</v>
      </c>
      <c r="X4106" s="1" t="s">
        <v>35</v>
      </c>
      <c r="Y4106" s="1">
        <v>430640.0</v>
      </c>
      <c r="Z4106" s="1"/>
      <c r="AA4106" s="1">
        <v>430640.0</v>
      </c>
      <c r="AB4106" s="1"/>
      <c r="AC4106" s="1" t="s">
        <v>36</v>
      </c>
      <c r="AD4106" s="1" t="s">
        <v>14183</v>
      </c>
      <c r="AE4106" s="1" t="s">
        <v>32</v>
      </c>
      <c r="AF4106" s="1" t="s">
        <v>33</v>
      </c>
      <c r="AG4106" s="1" t="s">
        <v>848</v>
      </c>
    </row>
    <row r="4107" spans="1:33">
      <c r="A4107" t="s">
        <v>14184</v>
      </c>
      <c r="C4107" t="s">
        <v>226</v>
      </c>
      <c r="E4107" t="s">
        <v>10616</v>
      </c>
      <c r="F4107" t="s">
        <v>10617</v>
      </c>
      <c r="G4107">
        <v>642.0</v>
      </c>
      <c r="H4107">
        <v>642.0</v>
      </c>
      <c r="I4107" t="s">
        <v>227</v>
      </c>
      <c r="J4107" t="s">
        <v>228</v>
      </c>
      <c r="K4107" t="s">
        <v>31</v>
      </c>
      <c r="L4107" t="s">
        <v>32</v>
      </c>
      <c r="M4107" t="s">
        <v>33</v>
      </c>
      <c r="P4107" s="1" t="s">
        <v>14185</v>
      </c>
      <c r="Q4107" s="1" t="s">
        <v>10616</v>
      </c>
      <c r="R4107" s="1" t="s">
        <v>10616</v>
      </c>
      <c r="S4107" s="1"/>
      <c r="T4107" s="1" t="s">
        <v>226</v>
      </c>
      <c r="U4107" s="1"/>
      <c r="V4107" s="1">
        <v>642.0</v>
      </c>
      <c r="W4107" s="1">
        <v>642.0</v>
      </c>
      <c r="X4107" s="1" t="s">
        <v>35</v>
      </c>
      <c r="Y4107" s="1">
        <v>642000.0</v>
      </c>
      <c r="Z4107" s="1"/>
      <c r="AA4107" s="1">
        <v>642000.0</v>
      </c>
      <c r="AB4107" s="1"/>
      <c r="AC4107" s="1" t="s">
        <v>36</v>
      </c>
      <c r="AD4107" s="1" t="s">
        <v>14186</v>
      </c>
      <c r="AE4107" s="1" t="s">
        <v>32</v>
      </c>
      <c r="AF4107" s="1" t="s">
        <v>33</v>
      </c>
      <c r="AG4107" s="1" t="s">
        <v>228</v>
      </c>
    </row>
    <row r="4108" spans="1:33">
      <c r="A4108" t="s">
        <v>14187</v>
      </c>
      <c r="C4108" t="s">
        <v>955</v>
      </c>
      <c r="D4108" t="s">
        <v>114</v>
      </c>
      <c r="E4108" t="s">
        <v>10616</v>
      </c>
      <c r="F4108" t="s">
        <v>10617</v>
      </c>
      <c r="G4108">
        <v>960.0</v>
      </c>
      <c r="H4108">
        <v>960.0</v>
      </c>
      <c r="I4108" t="s">
        <v>13331</v>
      </c>
      <c r="J4108" t="s">
        <v>41</v>
      </c>
      <c r="K4108" t="s">
        <v>31</v>
      </c>
      <c r="L4108" t="s">
        <v>32</v>
      </c>
      <c r="M4108" t="s">
        <v>33</v>
      </c>
      <c r="P4108" s="1" t="s">
        <v>14188</v>
      </c>
      <c r="Q4108" s="1" t="s">
        <v>10616</v>
      </c>
      <c r="R4108" s="1" t="s">
        <v>10495</v>
      </c>
      <c r="S4108" s="1"/>
      <c r="T4108" s="1" t="s">
        <v>955</v>
      </c>
      <c r="U4108" s="1"/>
      <c r="V4108" s="1">
        <v>960.0</v>
      </c>
      <c r="W4108" s="1">
        <v>960.0</v>
      </c>
      <c r="X4108" s="1" t="s">
        <v>35</v>
      </c>
      <c r="Y4108" s="1">
        <v>960000.0</v>
      </c>
      <c r="Z4108" s="1"/>
      <c r="AA4108" s="1">
        <v>960000.0</v>
      </c>
      <c r="AB4108" s="1"/>
      <c r="AC4108" s="1" t="s">
        <v>36</v>
      </c>
      <c r="AD4108" s="1" t="s">
        <v>14183</v>
      </c>
      <c r="AE4108" s="1" t="s">
        <v>32</v>
      </c>
      <c r="AF4108" s="1" t="s">
        <v>33</v>
      </c>
      <c r="AG4108" s="1" t="s">
        <v>41</v>
      </c>
    </row>
    <row r="4109" spans="1:33">
      <c r="A4109" t="s">
        <v>14189</v>
      </c>
      <c r="B4109" t="s">
        <v>14190</v>
      </c>
      <c r="C4109" t="s">
        <v>73</v>
      </c>
      <c r="E4109" t="s">
        <v>10616</v>
      </c>
      <c r="F4109" t="s">
        <v>10617</v>
      </c>
      <c r="G4109">
        <v>4.498</v>
      </c>
      <c r="H4109">
        <v>4.498</v>
      </c>
      <c r="I4109" t="s">
        <v>13331</v>
      </c>
      <c r="J4109" t="s">
        <v>41</v>
      </c>
      <c r="K4109" t="s">
        <v>31</v>
      </c>
      <c r="L4109" t="s">
        <v>32</v>
      </c>
      <c r="M4109" t="s">
        <v>33</v>
      </c>
      <c r="P4109" s="1" t="s">
        <v>14191</v>
      </c>
      <c r="Q4109" s="1" t="s">
        <v>10616</v>
      </c>
      <c r="R4109" s="1" t="s">
        <v>10495</v>
      </c>
      <c r="S4109" s="1"/>
      <c r="T4109" s="1" t="s">
        <v>75</v>
      </c>
      <c r="U4109" s="1" t="s">
        <v>76</v>
      </c>
      <c r="V4109" s="1">
        <v>4.498</v>
      </c>
      <c r="W4109" s="1">
        <v>4.498</v>
      </c>
      <c r="X4109" s="1" t="s">
        <v>35</v>
      </c>
      <c r="Y4109" s="1">
        <v>4590.0</v>
      </c>
      <c r="Z4109" s="1">
        <v>-92</v>
      </c>
      <c r="AA4109" s="1">
        <v>4590.0</v>
      </c>
      <c r="AB4109" s="1">
        <v>-92</v>
      </c>
      <c r="AC4109" s="1" t="s">
        <v>36</v>
      </c>
      <c r="AD4109" s="1" t="s">
        <v>14192</v>
      </c>
      <c r="AE4109" s="1" t="s">
        <v>32</v>
      </c>
      <c r="AF4109" s="1" t="s">
        <v>33</v>
      </c>
      <c r="AG4109" s="1" t="s">
        <v>41</v>
      </c>
    </row>
    <row r="4110" spans="1:33">
      <c r="A4110" t="s">
        <v>14193</v>
      </c>
      <c r="B4110" t="s">
        <v>14194</v>
      </c>
      <c r="C4110" t="s">
        <v>125</v>
      </c>
      <c r="E4110" t="s">
        <v>10616</v>
      </c>
      <c r="F4110" t="s">
        <v>10617</v>
      </c>
      <c r="G4110">
        <v>40.233</v>
      </c>
      <c r="H4110">
        <v>40.233</v>
      </c>
      <c r="I4110" t="s">
        <v>126</v>
      </c>
      <c r="J4110" t="s">
        <v>127</v>
      </c>
      <c r="K4110" t="s">
        <v>31</v>
      </c>
      <c r="L4110" t="s">
        <v>32</v>
      </c>
      <c r="M4110" t="s">
        <v>33</v>
      </c>
      <c r="P4110" s="1" t="s">
        <v>14195</v>
      </c>
      <c r="Q4110" s="1" t="s">
        <v>10616</v>
      </c>
      <c r="R4110" s="1" t="s">
        <v>10616</v>
      </c>
      <c r="S4110" s="1"/>
      <c r="T4110" s="1" t="s">
        <v>125</v>
      </c>
      <c r="U4110" s="1"/>
      <c r="V4110" s="1">
        <v>40.233</v>
      </c>
      <c r="W4110" s="1">
        <v>40.233</v>
      </c>
      <c r="X4110" s="1" t="s">
        <v>35</v>
      </c>
      <c r="Y4110" s="1">
        <v>40233.0</v>
      </c>
      <c r="Z4110" s="1"/>
      <c r="AA4110" s="1">
        <v>40233.0</v>
      </c>
      <c r="AB4110" s="1"/>
      <c r="AC4110" s="1" t="s">
        <v>36</v>
      </c>
      <c r="AD4110" s="1" t="s">
        <v>14196</v>
      </c>
      <c r="AE4110" s="1" t="s">
        <v>32</v>
      </c>
      <c r="AF4110" s="1" t="s">
        <v>33</v>
      </c>
      <c r="AG4110" s="1" t="s">
        <v>127</v>
      </c>
    </row>
    <row r="4111" spans="1:33">
      <c r="A4111" t="s">
        <v>14197</v>
      </c>
      <c r="C4111" t="s">
        <v>2989</v>
      </c>
      <c r="E4111" t="s">
        <v>10616</v>
      </c>
      <c r="F4111" t="s">
        <v>10617</v>
      </c>
      <c r="G4111">
        <v>2.265</v>
      </c>
      <c r="H4111">
        <v>2.265</v>
      </c>
      <c r="I4111" t="s">
        <v>136</v>
      </c>
      <c r="J4111" t="s">
        <v>137</v>
      </c>
      <c r="K4111" t="s">
        <v>31</v>
      </c>
      <c r="L4111" t="s">
        <v>32</v>
      </c>
      <c r="M4111" t="s">
        <v>33</v>
      </c>
      <c r="P4111" s="1" t="s">
        <v>14198</v>
      </c>
      <c r="Q4111" s="1" t="s">
        <v>10616</v>
      </c>
      <c r="R4111" s="1" t="s">
        <v>10616</v>
      </c>
      <c r="S4111" s="1"/>
      <c r="T4111" s="1" t="s">
        <v>2991</v>
      </c>
      <c r="U4111" s="1" t="s">
        <v>2992</v>
      </c>
      <c r="V4111" s="1">
        <v>2.265</v>
      </c>
      <c r="W4111" s="1">
        <v>2.265</v>
      </c>
      <c r="X4111" s="1" t="s">
        <v>35</v>
      </c>
      <c r="Y4111" s="1">
        <v>2265000.0</v>
      </c>
      <c r="Z4111" s="1"/>
      <c r="AA4111" s="1">
        <v>2265000.0</v>
      </c>
      <c r="AB4111" s="1"/>
      <c r="AC4111" s="1" t="s">
        <v>36</v>
      </c>
      <c r="AD4111" s="1" t="s">
        <v>14199</v>
      </c>
      <c r="AE4111" s="1" t="s">
        <v>32</v>
      </c>
      <c r="AF4111" s="1" t="s">
        <v>33</v>
      </c>
      <c r="AG4111" s="1" t="s">
        <v>137</v>
      </c>
    </row>
    <row r="4112" spans="1:33">
      <c r="A4112" t="s">
        <v>14200</v>
      </c>
      <c r="C4112" t="s">
        <v>4857</v>
      </c>
      <c r="E4112" t="s">
        <v>10616</v>
      </c>
      <c r="F4112" t="s">
        <v>10617</v>
      </c>
      <c r="G4112">
        <v>320.0</v>
      </c>
      <c r="H4112">
        <v>320.0</v>
      </c>
      <c r="I4112" t="s">
        <v>126</v>
      </c>
      <c r="J4112" t="s">
        <v>127</v>
      </c>
      <c r="K4112" t="s">
        <v>31</v>
      </c>
      <c r="L4112" t="s">
        <v>32</v>
      </c>
      <c r="M4112" t="s">
        <v>33</v>
      </c>
      <c r="P4112" s="1" t="s">
        <v>14201</v>
      </c>
      <c r="Q4112" s="1" t="s">
        <v>10616</v>
      </c>
      <c r="R4112" s="1" t="s">
        <v>10616</v>
      </c>
      <c r="S4112" s="1"/>
      <c r="T4112" s="1" t="s">
        <v>4857</v>
      </c>
      <c r="U4112" s="1"/>
      <c r="V4112" s="1">
        <v>320.0</v>
      </c>
      <c r="W4112" s="1">
        <v>320.0</v>
      </c>
      <c r="X4112" s="1" t="s">
        <v>35</v>
      </c>
      <c r="Y4112" s="1">
        <v>320000.0</v>
      </c>
      <c r="Z4112" s="1"/>
      <c r="AA4112" s="1">
        <v>320000.0</v>
      </c>
      <c r="AB4112" s="1"/>
      <c r="AC4112" s="1" t="s">
        <v>36</v>
      </c>
      <c r="AD4112" s="1" t="s">
        <v>14202</v>
      </c>
      <c r="AE4112" s="1" t="s">
        <v>32</v>
      </c>
      <c r="AF4112" s="1" t="s">
        <v>33</v>
      </c>
      <c r="AG4112" s="1" t="s">
        <v>127</v>
      </c>
    </row>
    <row r="4113" spans="1:33">
      <c r="A4113" t="s">
        <v>14203</v>
      </c>
      <c r="B4113" t="s">
        <v>14204</v>
      </c>
      <c r="C4113" t="s">
        <v>68</v>
      </c>
      <c r="E4113" t="s">
        <v>10616</v>
      </c>
      <c r="F4113" t="s">
        <v>10617</v>
      </c>
      <c r="G4113">
        <v>26.225</v>
      </c>
      <c r="H4113">
        <v>26.225</v>
      </c>
      <c r="I4113" t="s">
        <v>59</v>
      </c>
      <c r="J4113" t="s">
        <v>60</v>
      </c>
      <c r="K4113" t="s">
        <v>31</v>
      </c>
      <c r="L4113" t="s">
        <v>32</v>
      </c>
      <c r="M4113" t="s">
        <v>33</v>
      </c>
      <c r="P4113" s="1" t="s">
        <v>14205</v>
      </c>
      <c r="Q4113" s="1" t="s">
        <v>10616</v>
      </c>
      <c r="R4113" s="1" t="s">
        <v>10616</v>
      </c>
      <c r="S4113" s="1"/>
      <c r="T4113" s="1" t="s">
        <v>68</v>
      </c>
      <c r="U4113" s="1"/>
      <c r="V4113" s="1">
        <v>26.225</v>
      </c>
      <c r="W4113" s="1">
        <v>26.225</v>
      </c>
      <c r="X4113" s="1" t="s">
        <v>35</v>
      </c>
      <c r="Y4113" s="1">
        <v>26225.0</v>
      </c>
      <c r="Z4113" s="1"/>
      <c r="AA4113" s="1">
        <v>26225.0</v>
      </c>
      <c r="AB4113" s="1"/>
      <c r="AC4113" s="1" t="s">
        <v>36</v>
      </c>
      <c r="AD4113" s="1" t="s">
        <v>14170</v>
      </c>
      <c r="AE4113" s="1" t="s">
        <v>32</v>
      </c>
      <c r="AF4113" s="1" t="s">
        <v>33</v>
      </c>
      <c r="AG4113" s="1" t="s">
        <v>60</v>
      </c>
    </row>
    <row r="4114" spans="1:33">
      <c r="A4114" t="s">
        <v>14206</v>
      </c>
      <c r="B4114" t="s">
        <v>1031</v>
      </c>
      <c r="C4114" t="s">
        <v>8354</v>
      </c>
      <c r="E4114" t="s">
        <v>10616</v>
      </c>
      <c r="F4114" t="s">
        <v>10617</v>
      </c>
      <c r="G4114">
        <v>1.516</v>
      </c>
      <c r="H4114">
        <v>1.516</v>
      </c>
      <c r="I4114" t="s">
        <v>529</v>
      </c>
      <c r="J4114" t="s">
        <v>530</v>
      </c>
      <c r="K4114" t="s">
        <v>31</v>
      </c>
      <c r="L4114" t="s">
        <v>32</v>
      </c>
      <c r="M4114" t="s">
        <v>33</v>
      </c>
      <c r="P4114" s="1" t="s">
        <v>14207</v>
      </c>
      <c r="Q4114" s="1" t="s">
        <v>10616</v>
      </c>
      <c r="R4114" s="1" t="s">
        <v>10495</v>
      </c>
      <c r="S4114" s="1"/>
      <c r="T4114" s="1" t="s">
        <v>8354</v>
      </c>
      <c r="U4114" s="1"/>
      <c r="V4114" s="1">
        <v>1.516</v>
      </c>
      <c r="W4114" s="1">
        <v>1.516</v>
      </c>
      <c r="X4114" s="1" t="s">
        <v>35</v>
      </c>
      <c r="Y4114" s="1">
        <v>1516000.0</v>
      </c>
      <c r="Z4114" s="1"/>
      <c r="AA4114" s="1">
        <v>1516000.0</v>
      </c>
      <c r="AB4114" s="1"/>
      <c r="AC4114" s="1" t="s">
        <v>36</v>
      </c>
      <c r="AD4114" s="1" t="s">
        <v>14208</v>
      </c>
      <c r="AE4114" s="1" t="s">
        <v>32</v>
      </c>
      <c r="AF4114" s="1" t="s">
        <v>33</v>
      </c>
      <c r="AG4114" s="1" t="s">
        <v>530</v>
      </c>
    </row>
    <row r="4115" spans="1:33">
      <c r="A4115" t="s">
        <v>14209</v>
      </c>
      <c r="B4115" t="s">
        <v>14210</v>
      </c>
      <c r="C4115" t="s">
        <v>172</v>
      </c>
      <c r="E4115" t="s">
        <v>10616</v>
      </c>
      <c r="F4115" t="s">
        <v>10617</v>
      </c>
      <c r="G4115">
        <v>1.68</v>
      </c>
      <c r="H4115">
        <v>1.68</v>
      </c>
      <c r="I4115" t="s">
        <v>173</v>
      </c>
      <c r="J4115" t="s">
        <v>174</v>
      </c>
      <c r="K4115" t="s">
        <v>31</v>
      </c>
      <c r="L4115" t="s">
        <v>32</v>
      </c>
      <c r="M4115" t="s">
        <v>33</v>
      </c>
      <c r="P4115" s="1" t="s">
        <v>14211</v>
      </c>
      <c r="Q4115" s="1" t="s">
        <v>10616</v>
      </c>
      <c r="R4115" s="1" t="s">
        <v>10616</v>
      </c>
      <c r="S4115" s="1"/>
      <c r="T4115" s="1" t="s">
        <v>172</v>
      </c>
      <c r="U4115" s="1"/>
      <c r="V4115" s="1">
        <v>1.68</v>
      </c>
      <c r="W4115" s="1">
        <v>1.68</v>
      </c>
      <c r="X4115" s="1" t="s">
        <v>35</v>
      </c>
      <c r="Y4115" s="1">
        <v>1680.0</v>
      </c>
      <c r="Z4115" s="1"/>
      <c r="AA4115" s="1">
        <v>1680.0</v>
      </c>
      <c r="AB4115" s="1"/>
      <c r="AC4115" s="1" t="s">
        <v>36</v>
      </c>
      <c r="AD4115" s="1" t="s">
        <v>14212</v>
      </c>
      <c r="AE4115" s="1" t="s">
        <v>32</v>
      </c>
      <c r="AF4115" s="1" t="s">
        <v>33</v>
      </c>
      <c r="AG4115" s="1" t="s">
        <v>174</v>
      </c>
    </row>
    <row r="4116" spans="1:33">
      <c r="A4116" t="s">
        <v>14213</v>
      </c>
      <c r="B4116" t="s">
        <v>2172</v>
      </c>
      <c r="C4116" t="s">
        <v>2173</v>
      </c>
      <c r="E4116" t="s">
        <v>10616</v>
      </c>
      <c r="F4116" t="s">
        <v>10617</v>
      </c>
      <c r="G4116">
        <v>809.73</v>
      </c>
      <c r="H4116">
        <v>809.73</v>
      </c>
      <c r="I4116" t="s">
        <v>529</v>
      </c>
      <c r="J4116" t="s">
        <v>530</v>
      </c>
      <c r="K4116" t="s">
        <v>31</v>
      </c>
      <c r="L4116" t="s">
        <v>32</v>
      </c>
      <c r="M4116" t="s">
        <v>33</v>
      </c>
      <c r="P4116" s="1" t="s">
        <v>14214</v>
      </c>
      <c r="Q4116" s="1" t="s">
        <v>10616</v>
      </c>
      <c r="R4116" s="1" t="s">
        <v>10495</v>
      </c>
      <c r="S4116" s="1"/>
      <c r="T4116" s="1" t="s">
        <v>2173</v>
      </c>
      <c r="U4116" s="1"/>
      <c r="V4116" s="1">
        <v>809.73</v>
      </c>
      <c r="W4116" s="1">
        <v>809.73</v>
      </c>
      <c r="X4116" s="1" t="s">
        <v>35</v>
      </c>
      <c r="Y4116" s="1">
        <v>809730.0</v>
      </c>
      <c r="Z4116" s="1"/>
      <c r="AA4116" s="1">
        <v>809730.0</v>
      </c>
      <c r="AB4116" s="1"/>
      <c r="AC4116" s="1" t="s">
        <v>36</v>
      </c>
      <c r="AD4116" s="1" t="s">
        <v>14215</v>
      </c>
      <c r="AE4116" s="1" t="s">
        <v>32</v>
      </c>
      <c r="AF4116" s="1" t="s">
        <v>33</v>
      </c>
      <c r="AG4116" s="1" t="s">
        <v>530</v>
      </c>
    </row>
    <row r="4117" spans="1:33">
      <c r="A4117" t="s">
        <v>14216</v>
      </c>
      <c r="C4117" t="s">
        <v>6035</v>
      </c>
      <c r="E4117" t="s">
        <v>10616</v>
      </c>
      <c r="F4117" t="s">
        <v>10617</v>
      </c>
      <c r="G4117">
        <v>655.0</v>
      </c>
      <c r="H4117">
        <v>655.0</v>
      </c>
      <c r="I4117" t="s">
        <v>173</v>
      </c>
      <c r="J4117" t="s">
        <v>174</v>
      </c>
      <c r="K4117" t="s">
        <v>31</v>
      </c>
      <c r="L4117" t="s">
        <v>32</v>
      </c>
      <c r="M4117" t="s">
        <v>33</v>
      </c>
      <c r="P4117" s="1" t="s">
        <v>14217</v>
      </c>
      <c r="Q4117" s="1" t="s">
        <v>10616</v>
      </c>
      <c r="R4117" s="1" t="s">
        <v>10616</v>
      </c>
      <c r="S4117" s="1"/>
      <c r="T4117" s="1" t="s">
        <v>6035</v>
      </c>
      <c r="U4117" s="1"/>
      <c r="V4117" s="1">
        <v>655.0</v>
      </c>
      <c r="W4117" s="1">
        <v>655.0</v>
      </c>
      <c r="X4117" s="1" t="s">
        <v>35</v>
      </c>
      <c r="Y4117" s="1">
        <v>655000.0</v>
      </c>
      <c r="Z4117" s="1"/>
      <c r="AA4117" s="1">
        <v>655000.0</v>
      </c>
      <c r="AB4117" s="1"/>
      <c r="AC4117" s="1" t="s">
        <v>36</v>
      </c>
      <c r="AD4117" s="1" t="s">
        <v>14218</v>
      </c>
      <c r="AE4117" s="1" t="s">
        <v>32</v>
      </c>
      <c r="AF4117" s="1" t="s">
        <v>33</v>
      </c>
      <c r="AG4117" s="1" t="s">
        <v>174</v>
      </c>
    </row>
    <row r="4118" spans="1:33">
      <c r="A4118" t="s">
        <v>14219</v>
      </c>
      <c r="B4118" t="s">
        <v>14220</v>
      </c>
      <c r="C4118" t="s">
        <v>5825</v>
      </c>
      <c r="D4118" t="s">
        <v>154</v>
      </c>
      <c r="E4118" t="s">
        <v>10616</v>
      </c>
      <c r="F4118" t="s">
        <v>10617</v>
      </c>
      <c r="G4118">
        <v>656.0</v>
      </c>
      <c r="H4118">
        <v>656.0</v>
      </c>
      <c r="I4118" t="s">
        <v>529</v>
      </c>
      <c r="J4118" t="s">
        <v>530</v>
      </c>
      <c r="K4118" t="s">
        <v>31</v>
      </c>
      <c r="L4118" t="s">
        <v>32</v>
      </c>
      <c r="M4118" t="s">
        <v>33</v>
      </c>
      <c r="P4118" s="1" t="s">
        <v>14221</v>
      </c>
      <c r="Q4118" s="1" t="s">
        <v>10616</v>
      </c>
      <c r="R4118" s="1" t="s">
        <v>10495</v>
      </c>
      <c r="S4118" s="1"/>
      <c r="T4118" s="1" t="s">
        <v>5825</v>
      </c>
      <c r="U4118" s="1"/>
      <c r="V4118" s="1">
        <v>656.0</v>
      </c>
      <c r="W4118" s="1">
        <v>656.0</v>
      </c>
      <c r="X4118" s="1" t="s">
        <v>35</v>
      </c>
      <c r="Y4118" s="1">
        <v>656000.0</v>
      </c>
      <c r="Z4118" s="1"/>
      <c r="AA4118" s="1">
        <v>656000.0</v>
      </c>
      <c r="AB4118" s="1"/>
      <c r="AC4118" s="1" t="s">
        <v>36</v>
      </c>
      <c r="AD4118" s="1" t="s">
        <v>14222</v>
      </c>
      <c r="AE4118" s="1" t="s">
        <v>32</v>
      </c>
      <c r="AF4118" s="1" t="s">
        <v>33</v>
      </c>
      <c r="AG4118" s="1" t="s">
        <v>530</v>
      </c>
    </row>
    <row r="4119" spans="1:33">
      <c r="A4119" t="s">
        <v>14223</v>
      </c>
      <c r="B4119" t="s">
        <v>14224</v>
      </c>
      <c r="C4119" t="s">
        <v>47</v>
      </c>
      <c r="E4119" t="s">
        <v>14225</v>
      </c>
      <c r="F4119" t="s">
        <v>14226</v>
      </c>
      <c r="G4119">
        <v>11.0</v>
      </c>
      <c r="H4119">
        <v>11.0</v>
      </c>
      <c r="I4119" t="s">
        <v>2206</v>
      </c>
      <c r="J4119" t="s">
        <v>49</v>
      </c>
      <c r="K4119" t="s">
        <v>31</v>
      </c>
      <c r="L4119" t="s">
        <v>32</v>
      </c>
      <c r="M4119" t="s">
        <v>33</v>
      </c>
      <c r="P4119" s="1" t="s">
        <v>14227</v>
      </c>
      <c r="Q4119" s="1" t="s">
        <v>10616</v>
      </c>
      <c r="R4119" s="1" t="s">
        <v>10616</v>
      </c>
      <c r="S4119" s="1"/>
      <c r="T4119" s="1" t="s">
        <v>47</v>
      </c>
      <c r="U4119" s="1"/>
      <c r="V4119" s="1">
        <v>11.0</v>
      </c>
      <c r="W4119" s="1">
        <v>11.0</v>
      </c>
      <c r="X4119" s="1" t="s">
        <v>35</v>
      </c>
      <c r="Y4119" s="1">
        <v>11000.0</v>
      </c>
      <c r="Z4119" s="1"/>
      <c r="AA4119" s="1">
        <v>11000.0</v>
      </c>
      <c r="AB4119" s="1"/>
      <c r="AC4119" s="1" t="s">
        <v>36</v>
      </c>
      <c r="AD4119" s="1" t="s">
        <v>14228</v>
      </c>
      <c r="AE4119" s="1" t="s">
        <v>32</v>
      </c>
      <c r="AF4119" s="1" t="s">
        <v>33</v>
      </c>
      <c r="AG4119" s="1" t="s">
        <v>49</v>
      </c>
    </row>
    <row r="4120" spans="1:33">
      <c r="A4120" t="s">
        <v>14229</v>
      </c>
      <c r="C4120" t="s">
        <v>2266</v>
      </c>
      <c r="E4120" t="s">
        <v>10616</v>
      </c>
      <c r="F4120" t="s">
        <v>10617</v>
      </c>
      <c r="G4120">
        <v>720.75</v>
      </c>
      <c r="H4120">
        <v>720.75</v>
      </c>
      <c r="I4120" t="s">
        <v>269</v>
      </c>
      <c r="J4120" t="s">
        <v>270</v>
      </c>
      <c r="K4120" t="s">
        <v>31</v>
      </c>
      <c r="L4120" t="s">
        <v>32</v>
      </c>
      <c r="M4120" t="s">
        <v>33</v>
      </c>
      <c r="P4120" s="1" t="s">
        <v>14230</v>
      </c>
      <c r="Q4120" s="1" t="s">
        <v>10616</v>
      </c>
      <c r="R4120" s="1" t="s">
        <v>10616</v>
      </c>
      <c r="S4120" s="1"/>
      <c r="T4120" s="1" t="s">
        <v>2266</v>
      </c>
      <c r="U4120" s="1"/>
      <c r="V4120" s="1">
        <v>720.75</v>
      </c>
      <c r="W4120" s="1">
        <v>720.75</v>
      </c>
      <c r="X4120" s="1" t="s">
        <v>35</v>
      </c>
      <c r="Y4120" s="1">
        <v>720750.0</v>
      </c>
      <c r="Z4120" s="1"/>
      <c r="AA4120" s="1">
        <v>720750.0</v>
      </c>
      <c r="AB4120" s="1"/>
      <c r="AC4120" s="1" t="s">
        <v>36</v>
      </c>
      <c r="AD4120" s="1" t="s">
        <v>14231</v>
      </c>
      <c r="AE4120" s="1" t="s">
        <v>32</v>
      </c>
      <c r="AF4120" s="1" t="s">
        <v>33</v>
      </c>
      <c r="AG4120" s="1" t="s">
        <v>270</v>
      </c>
    </row>
    <row r="4121" spans="1:33">
      <c r="A4121" t="s">
        <v>14232</v>
      </c>
      <c r="B4121" t="s">
        <v>14233</v>
      </c>
      <c r="C4121" t="s">
        <v>172</v>
      </c>
      <c r="E4121" t="s">
        <v>10616</v>
      </c>
      <c r="F4121" t="s">
        <v>10617</v>
      </c>
      <c r="G4121">
        <v>23.488</v>
      </c>
      <c r="H4121">
        <v>23.488</v>
      </c>
      <c r="I4121" t="s">
        <v>173</v>
      </c>
      <c r="J4121" t="s">
        <v>174</v>
      </c>
      <c r="K4121" t="s">
        <v>31</v>
      </c>
      <c r="L4121" t="s">
        <v>32</v>
      </c>
      <c r="M4121" t="s">
        <v>33</v>
      </c>
      <c r="P4121" s="1" t="s">
        <v>14234</v>
      </c>
      <c r="Q4121" s="1" t="s">
        <v>10616</v>
      </c>
      <c r="R4121" s="1" t="s">
        <v>10616</v>
      </c>
      <c r="S4121" s="1"/>
      <c r="T4121" s="1" t="s">
        <v>172</v>
      </c>
      <c r="U4121" s="1"/>
      <c r="V4121" s="1">
        <v>23.488</v>
      </c>
      <c r="W4121" s="1">
        <v>23.488</v>
      </c>
      <c r="X4121" s="1" t="s">
        <v>35</v>
      </c>
      <c r="Y4121" s="1">
        <v>23488.0</v>
      </c>
      <c r="Z4121" s="1"/>
      <c r="AA4121" s="1">
        <v>23488.0</v>
      </c>
      <c r="AB4121" s="1"/>
      <c r="AC4121" s="1" t="s">
        <v>36</v>
      </c>
      <c r="AD4121" s="1" t="s">
        <v>14235</v>
      </c>
      <c r="AE4121" s="1" t="s">
        <v>32</v>
      </c>
      <c r="AF4121" s="1" t="s">
        <v>33</v>
      </c>
      <c r="AG4121" s="1" t="s">
        <v>174</v>
      </c>
    </row>
    <row r="4122" spans="1:33">
      <c r="A4122" t="s">
        <v>14236</v>
      </c>
      <c r="C4122" t="s">
        <v>569</v>
      </c>
      <c r="E4122" t="s">
        <v>10616</v>
      </c>
      <c r="F4122" t="s">
        <v>10617</v>
      </c>
      <c r="G4122">
        <v>19.15</v>
      </c>
      <c r="H4122">
        <v>19.15</v>
      </c>
      <c r="I4122" t="s">
        <v>570</v>
      </c>
      <c r="J4122" t="s">
        <v>571</v>
      </c>
      <c r="K4122" t="s">
        <v>31</v>
      </c>
      <c r="L4122" t="s">
        <v>32</v>
      </c>
      <c r="M4122" t="s">
        <v>33</v>
      </c>
      <c r="P4122" s="1" t="s">
        <v>14237</v>
      </c>
      <c r="Q4122" s="1" t="s">
        <v>10616</v>
      </c>
      <c r="R4122" s="1" t="s">
        <v>10616</v>
      </c>
      <c r="S4122" s="1"/>
      <c r="T4122" s="1" t="s">
        <v>569</v>
      </c>
      <c r="U4122" s="1"/>
      <c r="V4122" s="1">
        <v>19.15</v>
      </c>
      <c r="W4122" s="1">
        <v>19.15</v>
      </c>
      <c r="X4122" s="1" t="s">
        <v>35</v>
      </c>
      <c r="Y4122" s="1">
        <v>19150.0</v>
      </c>
      <c r="Z4122" s="1"/>
      <c r="AA4122" s="1">
        <v>19150.0</v>
      </c>
      <c r="AB4122" s="1"/>
      <c r="AC4122" s="1" t="s">
        <v>36</v>
      </c>
      <c r="AD4122" s="1" t="s">
        <v>14179</v>
      </c>
      <c r="AE4122" s="1" t="s">
        <v>32</v>
      </c>
      <c r="AF4122" s="1" t="s">
        <v>33</v>
      </c>
      <c r="AG4122" s="1" t="s">
        <v>571</v>
      </c>
    </row>
    <row r="4123" spans="1:33">
      <c r="A4123" t="s">
        <v>14238</v>
      </c>
      <c r="C4123" t="s">
        <v>14239</v>
      </c>
      <c r="D4123" t="s">
        <v>154</v>
      </c>
      <c r="E4123" t="s">
        <v>10616</v>
      </c>
      <c r="F4123" t="s">
        <v>10617</v>
      </c>
      <c r="G4123">
        <v>892.0</v>
      </c>
      <c r="H4123">
        <v>892.0</v>
      </c>
      <c r="I4123" t="s">
        <v>126</v>
      </c>
      <c r="J4123" t="s">
        <v>127</v>
      </c>
      <c r="K4123" t="s">
        <v>31</v>
      </c>
      <c r="L4123" t="s">
        <v>32</v>
      </c>
      <c r="M4123" t="s">
        <v>33</v>
      </c>
      <c r="P4123" s="1" t="s">
        <v>14240</v>
      </c>
      <c r="Q4123" s="1" t="s">
        <v>10616</v>
      </c>
      <c r="R4123" s="1" t="s">
        <v>10616</v>
      </c>
      <c r="S4123" s="1"/>
      <c r="T4123" s="1" t="s">
        <v>14241</v>
      </c>
      <c r="U4123" s="1" t="s">
        <v>14242</v>
      </c>
      <c r="V4123" s="1">
        <v>892.0</v>
      </c>
      <c r="W4123" s="1">
        <v>892.0</v>
      </c>
      <c r="X4123" s="1" t="s">
        <v>35</v>
      </c>
      <c r="Y4123" s="1">
        <v>892000.0</v>
      </c>
      <c r="Z4123" s="1"/>
      <c r="AA4123" s="1">
        <v>892000.0</v>
      </c>
      <c r="AB4123" s="1"/>
      <c r="AC4123" s="1" t="s">
        <v>36</v>
      </c>
      <c r="AD4123" s="1" t="s">
        <v>14218</v>
      </c>
      <c r="AE4123" s="1" t="s">
        <v>32</v>
      </c>
      <c r="AF4123" s="1" t="s">
        <v>33</v>
      </c>
      <c r="AG4123" s="1" t="s">
        <v>127</v>
      </c>
    </row>
    <row r="4124" spans="1:33">
      <c r="A4124" t="s">
        <v>14243</v>
      </c>
      <c r="B4124" t="s">
        <v>4619</v>
      </c>
      <c r="C4124" t="s">
        <v>4620</v>
      </c>
      <c r="E4124" t="s">
        <v>10616</v>
      </c>
      <c r="F4124" t="s">
        <v>10617</v>
      </c>
      <c r="G4124">
        <v>715.55</v>
      </c>
      <c r="H4124">
        <v>715.55</v>
      </c>
      <c r="I4124" t="s">
        <v>529</v>
      </c>
      <c r="J4124" t="s">
        <v>530</v>
      </c>
      <c r="K4124" t="s">
        <v>31</v>
      </c>
      <c r="L4124" t="s">
        <v>32</v>
      </c>
      <c r="M4124" t="s">
        <v>33</v>
      </c>
      <c r="P4124" s="1" t="s">
        <v>14244</v>
      </c>
      <c r="Q4124" s="1" t="s">
        <v>10616</v>
      </c>
      <c r="R4124" s="1" t="s">
        <v>10495</v>
      </c>
      <c r="S4124" s="1"/>
      <c r="T4124" s="1" t="s">
        <v>4620</v>
      </c>
      <c r="U4124" s="1"/>
      <c r="V4124" s="1">
        <v>715.55</v>
      </c>
      <c r="W4124" s="1">
        <v>715.55</v>
      </c>
      <c r="X4124" s="1" t="s">
        <v>35</v>
      </c>
      <c r="Y4124" s="1">
        <v>715550.0</v>
      </c>
      <c r="Z4124" s="1"/>
      <c r="AA4124" s="1">
        <v>715550.0</v>
      </c>
      <c r="AB4124" s="1"/>
      <c r="AC4124" s="1" t="s">
        <v>36</v>
      </c>
      <c r="AD4124" s="1" t="s">
        <v>14231</v>
      </c>
      <c r="AE4124" s="1" t="s">
        <v>32</v>
      </c>
      <c r="AF4124" s="1" t="s">
        <v>33</v>
      </c>
      <c r="AG4124" s="1" t="s">
        <v>530</v>
      </c>
    </row>
    <row r="4125" spans="1:33">
      <c r="A4125" t="s">
        <v>14245</v>
      </c>
      <c r="B4125" t="s">
        <v>14246</v>
      </c>
      <c r="C4125" t="s">
        <v>68</v>
      </c>
      <c r="E4125" t="s">
        <v>10616</v>
      </c>
      <c r="F4125" t="s">
        <v>10617</v>
      </c>
      <c r="G4125">
        <v>7.0</v>
      </c>
      <c r="H4125">
        <v>7.0</v>
      </c>
      <c r="I4125" t="s">
        <v>59</v>
      </c>
      <c r="J4125" t="s">
        <v>60</v>
      </c>
      <c r="K4125" t="s">
        <v>31</v>
      </c>
      <c r="L4125" t="s">
        <v>32</v>
      </c>
      <c r="M4125" t="s">
        <v>33</v>
      </c>
      <c r="P4125" s="1" t="s">
        <v>14247</v>
      </c>
      <c r="Q4125" s="1" t="s">
        <v>10616</v>
      </c>
      <c r="R4125" s="1" t="s">
        <v>10616</v>
      </c>
      <c r="S4125" s="1"/>
      <c r="T4125" s="1" t="s">
        <v>68</v>
      </c>
      <c r="U4125" s="1"/>
      <c r="V4125" s="1">
        <v>7.0</v>
      </c>
      <c r="W4125" s="1">
        <v>7.0</v>
      </c>
      <c r="X4125" s="1" t="s">
        <v>35</v>
      </c>
      <c r="Y4125" s="1">
        <v>7000.0</v>
      </c>
      <c r="Z4125" s="1"/>
      <c r="AA4125" s="1">
        <v>7000.0</v>
      </c>
      <c r="AB4125" s="1"/>
      <c r="AC4125" s="1" t="s">
        <v>36</v>
      </c>
      <c r="AD4125" s="1" t="s">
        <v>14248</v>
      </c>
      <c r="AE4125" s="1" t="s">
        <v>32</v>
      </c>
      <c r="AF4125" s="1" t="s">
        <v>33</v>
      </c>
      <c r="AG4125" s="1" t="s">
        <v>60</v>
      </c>
    </row>
    <row r="4126" spans="1:33">
      <c r="A4126" t="s">
        <v>14249</v>
      </c>
      <c r="B4126" t="s">
        <v>14250</v>
      </c>
      <c r="C4126" t="s">
        <v>68</v>
      </c>
      <c r="E4126" t="s">
        <v>10616</v>
      </c>
      <c r="F4126" t="s">
        <v>10617</v>
      </c>
      <c r="G4126">
        <v>29.99</v>
      </c>
      <c r="H4126">
        <v>29.99</v>
      </c>
      <c r="I4126" t="s">
        <v>59</v>
      </c>
      <c r="J4126" t="s">
        <v>60</v>
      </c>
      <c r="K4126" t="s">
        <v>31</v>
      </c>
      <c r="L4126" t="s">
        <v>32</v>
      </c>
      <c r="M4126" t="s">
        <v>33</v>
      </c>
      <c r="P4126" s="1" t="s">
        <v>14251</v>
      </c>
      <c r="Q4126" s="1" t="s">
        <v>10616</v>
      </c>
      <c r="R4126" s="1" t="s">
        <v>10616</v>
      </c>
      <c r="S4126" s="1"/>
      <c r="T4126" s="1" t="s">
        <v>68</v>
      </c>
      <c r="U4126" s="1"/>
      <c r="V4126" s="1">
        <v>29.99</v>
      </c>
      <c r="W4126" s="1">
        <v>29.99</v>
      </c>
      <c r="X4126" s="1" t="s">
        <v>35</v>
      </c>
      <c r="Y4126" s="1">
        <v>29990.0</v>
      </c>
      <c r="Z4126" s="1"/>
      <c r="AA4126" s="1">
        <v>29990.0</v>
      </c>
      <c r="AB4126" s="1"/>
      <c r="AC4126" s="1" t="s">
        <v>36</v>
      </c>
      <c r="AD4126" s="1" t="s">
        <v>14252</v>
      </c>
      <c r="AE4126" s="1" t="s">
        <v>32</v>
      </c>
      <c r="AF4126" s="1" t="s">
        <v>33</v>
      </c>
      <c r="AG4126" s="1" t="s">
        <v>60</v>
      </c>
    </row>
    <row r="4127" spans="1:33">
      <c r="A4127" t="s">
        <v>14253</v>
      </c>
      <c r="B4127" t="s">
        <v>14254</v>
      </c>
      <c r="C4127" t="s">
        <v>906</v>
      </c>
      <c r="E4127" t="s">
        <v>10616</v>
      </c>
      <c r="F4127" t="s">
        <v>10617</v>
      </c>
      <c r="G4127">
        <v>272.234</v>
      </c>
      <c r="H4127">
        <v>272.234</v>
      </c>
      <c r="I4127" t="s">
        <v>847</v>
      </c>
      <c r="J4127" t="s">
        <v>848</v>
      </c>
      <c r="K4127" t="s">
        <v>31</v>
      </c>
      <c r="L4127" t="s">
        <v>32</v>
      </c>
      <c r="M4127" t="s">
        <v>33</v>
      </c>
      <c r="P4127" s="1" t="s">
        <v>14255</v>
      </c>
      <c r="Q4127" s="1" t="s">
        <v>10616</v>
      </c>
      <c r="R4127" s="1" t="s">
        <v>10616</v>
      </c>
      <c r="S4127" s="1"/>
      <c r="T4127" s="1" t="s">
        <v>906</v>
      </c>
      <c r="U4127" s="1"/>
      <c r="V4127" s="1">
        <v>272.234</v>
      </c>
      <c r="W4127" s="1">
        <v>272.234</v>
      </c>
      <c r="X4127" s="1" t="s">
        <v>35</v>
      </c>
      <c r="Y4127" s="1">
        <v>272234.0</v>
      </c>
      <c r="Z4127" s="1"/>
      <c r="AA4127" s="1">
        <v>272234.0</v>
      </c>
      <c r="AB4127" s="1"/>
      <c r="AC4127" s="1" t="s">
        <v>36</v>
      </c>
      <c r="AD4127" s="1" t="s">
        <v>14256</v>
      </c>
      <c r="AE4127" s="1" t="s">
        <v>32</v>
      </c>
      <c r="AF4127" s="1" t="s">
        <v>33</v>
      </c>
      <c r="AG4127" s="1" t="s">
        <v>848</v>
      </c>
    </row>
    <row r="4128" spans="1:33">
      <c r="A4128" t="s">
        <v>14257</v>
      </c>
      <c r="C4128" t="s">
        <v>2548</v>
      </c>
      <c r="D4128" t="s">
        <v>154</v>
      </c>
      <c r="E4128" t="s">
        <v>10616</v>
      </c>
      <c r="F4128" t="s">
        <v>10617</v>
      </c>
      <c r="G4128">
        <v>820.0</v>
      </c>
      <c r="H4128">
        <v>820.0</v>
      </c>
      <c r="I4128" t="s">
        <v>269</v>
      </c>
      <c r="J4128" t="s">
        <v>270</v>
      </c>
      <c r="K4128" t="s">
        <v>31</v>
      </c>
      <c r="L4128" t="s">
        <v>32</v>
      </c>
      <c r="M4128" t="s">
        <v>33</v>
      </c>
      <c r="P4128" s="1" t="s">
        <v>14258</v>
      </c>
      <c r="Q4128" s="1" t="s">
        <v>10616</v>
      </c>
      <c r="R4128" s="1" t="s">
        <v>10616</v>
      </c>
      <c r="S4128" s="1"/>
      <c r="T4128" s="1" t="s">
        <v>2548</v>
      </c>
      <c r="U4128" s="1"/>
      <c r="V4128" s="1">
        <v>820.0</v>
      </c>
      <c r="W4128" s="1">
        <v>820.0</v>
      </c>
      <c r="X4128" s="1" t="s">
        <v>35</v>
      </c>
      <c r="Y4128" s="1">
        <v>820000.0</v>
      </c>
      <c r="Z4128" s="1"/>
      <c r="AA4128" s="1">
        <v>820000.0</v>
      </c>
      <c r="AB4128" s="1"/>
      <c r="AC4128" s="1" t="s">
        <v>36</v>
      </c>
      <c r="AD4128" s="1" t="s">
        <v>14259</v>
      </c>
      <c r="AE4128" s="1" t="s">
        <v>32</v>
      </c>
      <c r="AF4128" s="1" t="s">
        <v>33</v>
      </c>
      <c r="AG4128" s="1" t="s">
        <v>270</v>
      </c>
    </row>
    <row r="4129" spans="1:33">
      <c r="A4129" t="s">
        <v>14260</v>
      </c>
      <c r="C4129" t="s">
        <v>14261</v>
      </c>
      <c r="D4129" t="s">
        <v>154</v>
      </c>
      <c r="E4129" t="s">
        <v>10616</v>
      </c>
      <c r="F4129" t="s">
        <v>10617</v>
      </c>
      <c r="G4129">
        <v>1.027</v>
      </c>
      <c r="H4129">
        <v>1.027</v>
      </c>
      <c r="I4129" t="s">
        <v>126</v>
      </c>
      <c r="J4129" t="s">
        <v>127</v>
      </c>
      <c r="K4129" t="s">
        <v>31</v>
      </c>
      <c r="L4129" t="s">
        <v>32</v>
      </c>
      <c r="M4129" t="s">
        <v>33</v>
      </c>
      <c r="P4129" s="1" t="s">
        <v>14262</v>
      </c>
      <c r="Q4129" s="1" t="s">
        <v>10616</v>
      </c>
      <c r="R4129" s="1" t="s">
        <v>10616</v>
      </c>
      <c r="S4129" s="1"/>
      <c r="T4129" s="1" t="s">
        <v>14261</v>
      </c>
      <c r="U4129" s="1"/>
      <c r="V4129" s="1">
        <v>1.027</v>
      </c>
      <c r="W4129" s="1">
        <v>1.027</v>
      </c>
      <c r="X4129" s="1" t="s">
        <v>35</v>
      </c>
      <c r="Y4129" s="1">
        <v>1027000.0</v>
      </c>
      <c r="Z4129" s="1"/>
      <c r="AA4129" s="1">
        <v>1027000.0</v>
      </c>
      <c r="AB4129" s="1"/>
      <c r="AC4129" s="1" t="s">
        <v>36</v>
      </c>
      <c r="AD4129" s="1" t="s">
        <v>14263</v>
      </c>
      <c r="AE4129" s="1" t="s">
        <v>32</v>
      </c>
      <c r="AF4129" s="1" t="s">
        <v>33</v>
      </c>
      <c r="AG4129" s="1" t="s">
        <v>127</v>
      </c>
    </row>
    <row r="4130" spans="1:33">
      <c r="A4130" t="s">
        <v>14264</v>
      </c>
      <c r="B4130" t="s">
        <v>267</v>
      </c>
      <c r="C4130" t="s">
        <v>268</v>
      </c>
      <c r="E4130" t="s">
        <v>10616</v>
      </c>
      <c r="F4130" t="s">
        <v>10617</v>
      </c>
      <c r="G4130">
        <v>33.8</v>
      </c>
      <c r="H4130">
        <v>33.8</v>
      </c>
      <c r="I4130" t="s">
        <v>269</v>
      </c>
      <c r="J4130" t="s">
        <v>270</v>
      </c>
      <c r="K4130" t="s">
        <v>31</v>
      </c>
      <c r="L4130" t="s">
        <v>32</v>
      </c>
      <c r="M4130" t="s">
        <v>33</v>
      </c>
      <c r="P4130" s="1" t="s">
        <v>14265</v>
      </c>
      <c r="Q4130" s="1" t="s">
        <v>10616</v>
      </c>
      <c r="R4130" s="1" t="s">
        <v>10616</v>
      </c>
      <c r="S4130" s="1"/>
      <c r="T4130" s="1" t="s">
        <v>268</v>
      </c>
      <c r="U4130" s="1"/>
      <c r="V4130" s="1">
        <v>33.8</v>
      </c>
      <c r="W4130" s="1">
        <v>33.8</v>
      </c>
      <c r="X4130" s="1" t="s">
        <v>35</v>
      </c>
      <c r="Y4130" s="1">
        <v>33800.0</v>
      </c>
      <c r="Z4130" s="1"/>
      <c r="AA4130" s="1">
        <v>33800.0</v>
      </c>
      <c r="AB4130" s="1"/>
      <c r="AC4130" s="1" t="s">
        <v>36</v>
      </c>
      <c r="AD4130" s="1" t="s">
        <v>14266</v>
      </c>
      <c r="AE4130" s="1" t="s">
        <v>32</v>
      </c>
      <c r="AF4130" s="1" t="s">
        <v>33</v>
      </c>
      <c r="AG4130" s="1" t="s">
        <v>270</v>
      </c>
    </row>
    <row r="4131" spans="1:33">
      <c r="A4131" t="s">
        <v>14267</v>
      </c>
      <c r="B4131" t="s">
        <v>1232</v>
      </c>
      <c r="C4131" t="s">
        <v>1233</v>
      </c>
      <c r="E4131" t="s">
        <v>10616</v>
      </c>
      <c r="F4131" t="s">
        <v>10617</v>
      </c>
      <c r="G4131">
        <v>638.0</v>
      </c>
      <c r="H4131">
        <v>638.0</v>
      </c>
      <c r="I4131" t="s">
        <v>529</v>
      </c>
      <c r="J4131" t="s">
        <v>530</v>
      </c>
      <c r="K4131" t="s">
        <v>31</v>
      </c>
      <c r="L4131" t="s">
        <v>32</v>
      </c>
      <c r="M4131" t="s">
        <v>33</v>
      </c>
      <c r="P4131" s="1" t="s">
        <v>14268</v>
      </c>
      <c r="Q4131" s="1" t="s">
        <v>10616</v>
      </c>
      <c r="R4131" s="1" t="s">
        <v>10495</v>
      </c>
      <c r="S4131" s="1"/>
      <c r="T4131" s="1" t="s">
        <v>1233</v>
      </c>
      <c r="U4131" s="1"/>
      <c r="V4131" s="1">
        <v>638.0</v>
      </c>
      <c r="W4131" s="1">
        <v>638.0</v>
      </c>
      <c r="X4131" s="1" t="s">
        <v>35</v>
      </c>
      <c r="Y4131" s="1">
        <v>638000.0</v>
      </c>
      <c r="Z4131" s="1"/>
      <c r="AA4131" s="1">
        <v>638000.0</v>
      </c>
      <c r="AB4131" s="1"/>
      <c r="AC4131" s="1" t="s">
        <v>36</v>
      </c>
      <c r="AD4131" s="1" t="s">
        <v>14269</v>
      </c>
      <c r="AE4131" s="1" t="s">
        <v>32</v>
      </c>
      <c r="AF4131" s="1" t="s">
        <v>33</v>
      </c>
      <c r="AG4131" s="1" t="s">
        <v>530</v>
      </c>
    </row>
    <row r="4132" spans="1:33">
      <c r="A4132" t="s">
        <v>14270</v>
      </c>
      <c r="B4132" t="s">
        <v>14271</v>
      </c>
      <c r="C4132" t="s">
        <v>14272</v>
      </c>
      <c r="E4132" t="s">
        <v>10616</v>
      </c>
      <c r="F4132" t="s">
        <v>10617</v>
      </c>
      <c r="G4132">
        <v>22.49</v>
      </c>
      <c r="H4132">
        <v>22.49</v>
      </c>
      <c r="I4132" t="s">
        <v>59</v>
      </c>
      <c r="J4132" t="s">
        <v>60</v>
      </c>
      <c r="K4132" t="s">
        <v>31</v>
      </c>
      <c r="L4132" t="s">
        <v>32</v>
      </c>
      <c r="M4132" t="s">
        <v>33</v>
      </c>
      <c r="P4132" s="1" t="s">
        <v>14273</v>
      </c>
      <c r="Q4132" s="1" t="s">
        <v>10616</v>
      </c>
      <c r="R4132" s="1" t="s">
        <v>10616</v>
      </c>
      <c r="S4132" s="1"/>
      <c r="T4132" s="1" t="s">
        <v>14272</v>
      </c>
      <c r="U4132" s="1"/>
      <c r="V4132" s="1">
        <v>22.49</v>
      </c>
      <c r="W4132" s="1">
        <v>22.49</v>
      </c>
      <c r="X4132" s="1" t="s">
        <v>35</v>
      </c>
      <c r="Y4132" s="1">
        <v>22490.0</v>
      </c>
      <c r="Z4132" s="1"/>
      <c r="AA4132" s="1">
        <v>22490.0</v>
      </c>
      <c r="AB4132" s="1"/>
      <c r="AC4132" s="1" t="s">
        <v>36</v>
      </c>
      <c r="AD4132" s="1" t="s">
        <v>14274</v>
      </c>
      <c r="AE4132" s="1" t="s">
        <v>32</v>
      </c>
      <c r="AF4132" s="1" t="s">
        <v>33</v>
      </c>
      <c r="AG4132" s="1" t="s">
        <v>60</v>
      </c>
    </row>
    <row r="4133" spans="1:33">
      <c r="A4133" t="s">
        <v>14275</v>
      </c>
      <c r="B4133" t="s">
        <v>14276</v>
      </c>
      <c r="C4133" t="s">
        <v>187</v>
      </c>
      <c r="E4133" t="s">
        <v>10616</v>
      </c>
      <c r="F4133" t="s">
        <v>10617</v>
      </c>
      <c r="G4133">
        <v>320.86</v>
      </c>
      <c r="H4133">
        <v>320.86</v>
      </c>
      <c r="I4133" t="s">
        <v>179</v>
      </c>
      <c r="J4133" t="s">
        <v>180</v>
      </c>
      <c r="K4133" t="s">
        <v>31</v>
      </c>
      <c r="L4133" t="s">
        <v>32</v>
      </c>
      <c r="M4133" t="s">
        <v>33</v>
      </c>
      <c r="P4133" s="1" t="s">
        <v>14277</v>
      </c>
      <c r="Q4133" s="1" t="s">
        <v>10616</v>
      </c>
      <c r="R4133" s="1" t="s">
        <v>10616</v>
      </c>
      <c r="S4133" s="1"/>
      <c r="T4133" s="1" t="s">
        <v>187</v>
      </c>
      <c r="U4133" s="1"/>
      <c r="V4133" s="1">
        <v>320.86</v>
      </c>
      <c r="W4133" s="1">
        <v>320.86</v>
      </c>
      <c r="X4133" s="1" t="s">
        <v>35</v>
      </c>
      <c r="Y4133" s="1">
        <v>320860.0</v>
      </c>
      <c r="Z4133" s="1"/>
      <c r="AA4133" s="1">
        <v>320860.0</v>
      </c>
      <c r="AB4133" s="1"/>
      <c r="AC4133" s="1" t="s">
        <v>36</v>
      </c>
      <c r="AD4133" s="1" t="s">
        <v>14222</v>
      </c>
      <c r="AE4133" s="1" t="s">
        <v>32</v>
      </c>
      <c r="AF4133" s="1" t="s">
        <v>33</v>
      </c>
      <c r="AG4133" s="1" t="s">
        <v>180</v>
      </c>
    </row>
    <row r="4134" spans="1:33">
      <c r="A4134" t="s">
        <v>14278</v>
      </c>
      <c r="B4134" t="s">
        <v>14279</v>
      </c>
      <c r="C4134" t="s">
        <v>172</v>
      </c>
      <c r="E4134" t="s">
        <v>10616</v>
      </c>
      <c r="F4134" t="s">
        <v>10617</v>
      </c>
      <c r="G4134">
        <v>20.99</v>
      </c>
      <c r="H4134">
        <v>20.99</v>
      </c>
      <c r="I4134" t="s">
        <v>173</v>
      </c>
      <c r="J4134" t="s">
        <v>174</v>
      </c>
      <c r="K4134" t="s">
        <v>31</v>
      </c>
      <c r="L4134" t="s">
        <v>32</v>
      </c>
      <c r="M4134" t="s">
        <v>33</v>
      </c>
      <c r="P4134" s="1" t="s">
        <v>14280</v>
      </c>
      <c r="Q4134" s="1" t="s">
        <v>10616</v>
      </c>
      <c r="R4134" s="1" t="s">
        <v>10616</v>
      </c>
      <c r="S4134" s="1"/>
      <c r="T4134" s="1" t="s">
        <v>172</v>
      </c>
      <c r="U4134" s="1"/>
      <c r="V4134" s="1">
        <v>20.99</v>
      </c>
      <c r="W4134" s="1">
        <v>20.99</v>
      </c>
      <c r="X4134" s="1" t="s">
        <v>35</v>
      </c>
      <c r="Y4134" s="1">
        <v>20990.0</v>
      </c>
      <c r="Z4134" s="1"/>
      <c r="AA4134" s="1">
        <v>20990.0</v>
      </c>
      <c r="AB4134" s="1"/>
      <c r="AC4134" s="1" t="s">
        <v>36</v>
      </c>
      <c r="AD4134" s="1" t="s">
        <v>14281</v>
      </c>
      <c r="AE4134" s="1" t="s">
        <v>32</v>
      </c>
      <c r="AF4134" s="1" t="s">
        <v>33</v>
      </c>
      <c r="AG4134" s="1" t="s">
        <v>174</v>
      </c>
    </row>
    <row r="4135" spans="1:33">
      <c r="A4135" t="s">
        <v>14282</v>
      </c>
      <c r="C4135" t="s">
        <v>3871</v>
      </c>
      <c r="E4135" t="s">
        <v>10616</v>
      </c>
      <c r="F4135" t="s">
        <v>10617</v>
      </c>
      <c r="G4135">
        <v>375.5</v>
      </c>
      <c r="H4135">
        <v>375.5</v>
      </c>
      <c r="I4135" t="s">
        <v>570</v>
      </c>
      <c r="J4135" t="s">
        <v>571</v>
      </c>
      <c r="K4135" t="s">
        <v>31</v>
      </c>
      <c r="L4135" t="s">
        <v>32</v>
      </c>
      <c r="M4135" t="s">
        <v>33</v>
      </c>
      <c r="P4135" s="1" t="s">
        <v>14283</v>
      </c>
      <c r="Q4135" s="1" t="s">
        <v>10616</v>
      </c>
      <c r="R4135" s="1" t="s">
        <v>10616</v>
      </c>
      <c r="S4135" s="1"/>
      <c r="T4135" s="1" t="s">
        <v>3871</v>
      </c>
      <c r="U4135" s="1"/>
      <c r="V4135" s="1">
        <v>375.5</v>
      </c>
      <c r="W4135" s="1">
        <v>375.5</v>
      </c>
      <c r="X4135" s="1" t="s">
        <v>35</v>
      </c>
      <c r="Y4135" s="1">
        <v>375500.0</v>
      </c>
      <c r="Z4135" s="1"/>
      <c r="AA4135" s="1">
        <v>375500.0</v>
      </c>
      <c r="AB4135" s="1"/>
      <c r="AC4135" s="1" t="s">
        <v>36</v>
      </c>
      <c r="AD4135" s="1" t="s">
        <v>14284</v>
      </c>
      <c r="AE4135" s="1" t="s">
        <v>32</v>
      </c>
      <c r="AF4135" s="1" t="s">
        <v>33</v>
      </c>
      <c r="AG4135" s="1" t="s">
        <v>571</v>
      </c>
    </row>
    <row r="4136" spans="1:33">
      <c r="A4136" t="s">
        <v>14285</v>
      </c>
      <c r="C4136" t="s">
        <v>558</v>
      </c>
      <c r="D4136" t="s">
        <v>154</v>
      </c>
      <c r="E4136" t="s">
        <v>10616</v>
      </c>
      <c r="F4136" t="s">
        <v>10617</v>
      </c>
      <c r="G4136">
        <v>21.0</v>
      </c>
      <c r="H4136">
        <v>21.0</v>
      </c>
      <c r="I4136" t="s">
        <v>269</v>
      </c>
      <c r="J4136" t="s">
        <v>270</v>
      </c>
      <c r="K4136" t="s">
        <v>31</v>
      </c>
      <c r="L4136" t="s">
        <v>32</v>
      </c>
      <c r="M4136" t="s">
        <v>33</v>
      </c>
      <c r="P4136" s="1" t="s">
        <v>14286</v>
      </c>
      <c r="Q4136" s="1" t="s">
        <v>10616</v>
      </c>
      <c r="R4136" s="1" t="s">
        <v>10616</v>
      </c>
      <c r="S4136" s="1"/>
      <c r="T4136" s="1" t="s">
        <v>560</v>
      </c>
      <c r="U4136" s="1" t="s">
        <v>561</v>
      </c>
      <c r="V4136" s="1">
        <v>21.0</v>
      </c>
      <c r="W4136" s="1">
        <v>21.0</v>
      </c>
      <c r="X4136" s="1" t="s">
        <v>35</v>
      </c>
      <c r="Y4136" s="1">
        <v>21000.0</v>
      </c>
      <c r="Z4136" s="1"/>
      <c r="AA4136" s="1">
        <v>21000.0</v>
      </c>
      <c r="AB4136" s="1"/>
      <c r="AC4136" s="1" t="s">
        <v>36</v>
      </c>
      <c r="AD4136" s="1" t="s">
        <v>14287</v>
      </c>
      <c r="AE4136" s="1" t="s">
        <v>32</v>
      </c>
      <c r="AF4136" s="1" t="s">
        <v>33</v>
      </c>
      <c r="AG4136" s="1" t="s">
        <v>270</v>
      </c>
    </row>
    <row r="4137" spans="1:33">
      <c r="A4137" t="s">
        <v>14288</v>
      </c>
      <c r="C4137" t="s">
        <v>806</v>
      </c>
      <c r="D4137" t="s">
        <v>154</v>
      </c>
      <c r="E4137" t="s">
        <v>10616</v>
      </c>
      <c r="F4137" t="s">
        <v>10617</v>
      </c>
      <c r="G4137">
        <v>1.432</v>
      </c>
      <c r="H4137">
        <v>1.432</v>
      </c>
      <c r="I4137" t="s">
        <v>269</v>
      </c>
      <c r="J4137" t="s">
        <v>270</v>
      </c>
      <c r="K4137" t="s">
        <v>31</v>
      </c>
      <c r="L4137" t="s">
        <v>32</v>
      </c>
      <c r="M4137" t="s">
        <v>33</v>
      </c>
      <c r="P4137" s="1" t="s">
        <v>14289</v>
      </c>
      <c r="Q4137" s="1" t="s">
        <v>10616</v>
      </c>
      <c r="R4137" s="1" t="s">
        <v>10616</v>
      </c>
      <c r="S4137" s="1"/>
      <c r="T4137" s="1" t="s">
        <v>806</v>
      </c>
      <c r="U4137" s="1"/>
      <c r="V4137" s="1">
        <v>1.432</v>
      </c>
      <c r="W4137" s="1">
        <v>1.432</v>
      </c>
      <c r="X4137" s="1" t="s">
        <v>35</v>
      </c>
      <c r="Y4137" s="1">
        <v>1432000.0</v>
      </c>
      <c r="Z4137" s="1"/>
      <c r="AA4137" s="1">
        <v>1432000.0</v>
      </c>
      <c r="AB4137" s="1"/>
      <c r="AC4137" s="1" t="s">
        <v>36</v>
      </c>
      <c r="AD4137" s="1" t="s">
        <v>14290</v>
      </c>
      <c r="AE4137" s="1" t="s">
        <v>32</v>
      </c>
      <c r="AF4137" s="1" t="s">
        <v>33</v>
      </c>
      <c r="AG4137" s="1" t="s">
        <v>270</v>
      </c>
    </row>
    <row r="4138" spans="1:33">
      <c r="A4138" t="s">
        <v>14291</v>
      </c>
      <c r="C4138" t="s">
        <v>3871</v>
      </c>
      <c r="E4138" t="s">
        <v>10616</v>
      </c>
      <c r="F4138" t="s">
        <v>10617</v>
      </c>
      <c r="G4138">
        <v>500.34</v>
      </c>
      <c r="H4138">
        <v>500.34</v>
      </c>
      <c r="I4138" t="s">
        <v>570</v>
      </c>
      <c r="J4138" t="s">
        <v>571</v>
      </c>
      <c r="K4138" t="s">
        <v>31</v>
      </c>
      <c r="L4138" t="s">
        <v>32</v>
      </c>
      <c r="M4138" t="s">
        <v>33</v>
      </c>
      <c r="P4138" s="1" t="s">
        <v>14292</v>
      </c>
      <c r="Q4138" s="1" t="s">
        <v>10616</v>
      </c>
      <c r="R4138" s="1" t="s">
        <v>10616</v>
      </c>
      <c r="S4138" s="1"/>
      <c r="T4138" s="1" t="s">
        <v>3871</v>
      </c>
      <c r="U4138" s="1"/>
      <c r="V4138" s="1">
        <v>500.34</v>
      </c>
      <c r="W4138" s="1">
        <v>500.34</v>
      </c>
      <c r="X4138" s="1" t="s">
        <v>35</v>
      </c>
      <c r="Y4138" s="1">
        <v>500340.0</v>
      </c>
      <c r="Z4138" s="1"/>
      <c r="AA4138" s="1">
        <v>500340.0</v>
      </c>
      <c r="AB4138" s="1"/>
      <c r="AC4138" s="1" t="s">
        <v>36</v>
      </c>
      <c r="AD4138" s="1" t="s">
        <v>14293</v>
      </c>
      <c r="AE4138" s="1" t="s">
        <v>32</v>
      </c>
      <c r="AF4138" s="1" t="s">
        <v>33</v>
      </c>
      <c r="AG4138" s="1" t="s">
        <v>571</v>
      </c>
    </row>
    <row r="4139" spans="1:33">
      <c r="A4139" t="s">
        <v>14294</v>
      </c>
      <c r="C4139" t="s">
        <v>901</v>
      </c>
      <c r="D4139" t="s">
        <v>114</v>
      </c>
      <c r="E4139" t="s">
        <v>10616</v>
      </c>
      <c r="F4139" t="s">
        <v>10617</v>
      </c>
      <c r="G4139">
        <v>752.2</v>
      </c>
      <c r="H4139">
        <v>752.2</v>
      </c>
      <c r="I4139" t="s">
        <v>269</v>
      </c>
      <c r="J4139" t="s">
        <v>270</v>
      </c>
      <c r="K4139" t="s">
        <v>31</v>
      </c>
      <c r="L4139" t="s">
        <v>32</v>
      </c>
      <c r="M4139" t="s">
        <v>33</v>
      </c>
      <c r="P4139" s="1" t="s">
        <v>14295</v>
      </c>
      <c r="Q4139" s="1" t="s">
        <v>10616</v>
      </c>
      <c r="R4139" s="1" t="s">
        <v>10616</v>
      </c>
      <c r="S4139" s="1"/>
      <c r="T4139" s="1" t="s">
        <v>901</v>
      </c>
      <c r="U4139" s="1"/>
      <c r="V4139" s="1">
        <v>752.2</v>
      </c>
      <c r="W4139" s="1">
        <v>752.2</v>
      </c>
      <c r="X4139" s="1" t="s">
        <v>35</v>
      </c>
      <c r="Y4139" s="1">
        <v>752200.0</v>
      </c>
      <c r="Z4139" s="1"/>
      <c r="AA4139" s="1">
        <v>752200.0</v>
      </c>
      <c r="AB4139" s="1"/>
      <c r="AC4139" s="1" t="s">
        <v>36</v>
      </c>
      <c r="AD4139" s="1" t="s">
        <v>14296</v>
      </c>
      <c r="AE4139" s="1" t="s">
        <v>32</v>
      </c>
      <c r="AF4139" s="1" t="s">
        <v>33</v>
      </c>
      <c r="AG4139" s="1" t="s">
        <v>270</v>
      </c>
    </row>
    <row r="4140" spans="1:33">
      <c r="A4140" t="s">
        <v>14297</v>
      </c>
      <c r="B4140" t="s">
        <v>1757</v>
      </c>
      <c r="C4140" t="s">
        <v>1758</v>
      </c>
      <c r="E4140" t="s">
        <v>10616</v>
      </c>
      <c r="F4140" t="s">
        <v>10617</v>
      </c>
      <c r="G4140">
        <v>760.7</v>
      </c>
      <c r="H4140">
        <v>760.7</v>
      </c>
      <c r="I4140" t="s">
        <v>529</v>
      </c>
      <c r="J4140" t="s">
        <v>530</v>
      </c>
      <c r="K4140" t="s">
        <v>31</v>
      </c>
      <c r="L4140" t="s">
        <v>32</v>
      </c>
      <c r="M4140" t="s">
        <v>33</v>
      </c>
      <c r="P4140" s="1" t="s">
        <v>14298</v>
      </c>
      <c r="Q4140" s="1" t="s">
        <v>10616</v>
      </c>
      <c r="R4140" s="1" t="s">
        <v>10495</v>
      </c>
      <c r="S4140" s="1"/>
      <c r="T4140" s="1" t="s">
        <v>1758</v>
      </c>
      <c r="U4140" s="1"/>
      <c r="V4140" s="1">
        <v>760.7</v>
      </c>
      <c r="W4140" s="1">
        <v>760.7</v>
      </c>
      <c r="X4140" s="1" t="s">
        <v>35</v>
      </c>
      <c r="Y4140" s="1">
        <v>760700.0</v>
      </c>
      <c r="Z4140" s="1"/>
      <c r="AA4140" s="1">
        <v>760700.0</v>
      </c>
      <c r="AB4140" s="1"/>
      <c r="AC4140" s="1" t="s">
        <v>36</v>
      </c>
      <c r="AD4140" s="1" t="s">
        <v>14299</v>
      </c>
      <c r="AE4140" s="1" t="s">
        <v>32</v>
      </c>
      <c r="AF4140" s="1" t="s">
        <v>33</v>
      </c>
      <c r="AG4140" s="1" t="s">
        <v>530</v>
      </c>
    </row>
    <row r="4141" spans="1:33">
      <c r="A4141" t="s">
        <v>14300</v>
      </c>
      <c r="B4141" t="s">
        <v>1666</v>
      </c>
      <c r="C4141" t="s">
        <v>26</v>
      </c>
      <c r="E4141" t="s">
        <v>10616</v>
      </c>
      <c r="F4141" t="s">
        <v>10617</v>
      </c>
      <c r="G4141">
        <v>40.135</v>
      </c>
      <c r="H4141">
        <v>40.135</v>
      </c>
      <c r="I4141" t="s">
        <v>29</v>
      </c>
      <c r="J4141" t="s">
        <v>30</v>
      </c>
      <c r="K4141" t="s">
        <v>31</v>
      </c>
      <c r="L4141" t="s">
        <v>32</v>
      </c>
      <c r="M4141" t="s">
        <v>33</v>
      </c>
      <c r="P4141" s="1" t="s">
        <v>14301</v>
      </c>
      <c r="Q4141" s="1" t="s">
        <v>10616</v>
      </c>
      <c r="R4141" s="1" t="s">
        <v>10616</v>
      </c>
      <c r="S4141" s="1"/>
      <c r="T4141" s="1" t="s">
        <v>26</v>
      </c>
      <c r="U4141" s="1"/>
      <c r="V4141" s="1">
        <v>40.135</v>
      </c>
      <c r="W4141" s="1">
        <v>40.135</v>
      </c>
      <c r="X4141" s="1" t="s">
        <v>35</v>
      </c>
      <c r="Y4141" s="1">
        <v>40135.0</v>
      </c>
      <c r="Z4141" s="1"/>
      <c r="AA4141" s="1">
        <v>40135.0</v>
      </c>
      <c r="AB4141" s="1"/>
      <c r="AC4141" s="1" t="s">
        <v>36</v>
      </c>
      <c r="AD4141" s="1" t="s">
        <v>14302</v>
      </c>
      <c r="AE4141" s="1" t="s">
        <v>32</v>
      </c>
      <c r="AF4141" s="1" t="s">
        <v>33</v>
      </c>
      <c r="AG4141" s="1" t="s">
        <v>30</v>
      </c>
    </row>
    <row r="4142" spans="1:33">
      <c r="A4142" t="s">
        <v>14303</v>
      </c>
      <c r="C4142" t="s">
        <v>569</v>
      </c>
      <c r="E4142" t="s">
        <v>10616</v>
      </c>
      <c r="F4142" t="s">
        <v>10617</v>
      </c>
      <c r="G4142">
        <v>35.71</v>
      </c>
      <c r="H4142">
        <v>35.71</v>
      </c>
      <c r="I4142" t="s">
        <v>570</v>
      </c>
      <c r="J4142" t="s">
        <v>571</v>
      </c>
      <c r="K4142" t="s">
        <v>31</v>
      </c>
      <c r="L4142" t="s">
        <v>32</v>
      </c>
      <c r="M4142" t="s">
        <v>33</v>
      </c>
      <c r="P4142" s="1" t="s">
        <v>14304</v>
      </c>
      <c r="Q4142" s="1" t="s">
        <v>10616</v>
      </c>
      <c r="R4142" s="1" t="s">
        <v>10616</v>
      </c>
      <c r="S4142" s="1"/>
      <c r="T4142" s="1" t="s">
        <v>569</v>
      </c>
      <c r="U4142" s="1"/>
      <c r="V4142" s="1">
        <v>35.71</v>
      </c>
      <c r="W4142" s="1">
        <v>35.71</v>
      </c>
      <c r="X4142" s="1" t="s">
        <v>35</v>
      </c>
      <c r="Y4142" s="1">
        <v>35710.0</v>
      </c>
      <c r="Z4142" s="1"/>
      <c r="AA4142" s="1">
        <v>35710.0</v>
      </c>
      <c r="AB4142" s="1"/>
      <c r="AC4142" s="1" t="s">
        <v>36</v>
      </c>
      <c r="AD4142" s="1" t="s">
        <v>14305</v>
      </c>
      <c r="AE4142" s="1" t="s">
        <v>32</v>
      </c>
      <c r="AF4142" s="1" t="s">
        <v>33</v>
      </c>
      <c r="AG4142" s="1" t="s">
        <v>571</v>
      </c>
    </row>
    <row r="4143" spans="1:33">
      <c r="A4143" t="s">
        <v>14306</v>
      </c>
      <c r="C4143" t="s">
        <v>14307</v>
      </c>
      <c r="D4143" t="s">
        <v>114</v>
      </c>
      <c r="E4143" t="s">
        <v>10616</v>
      </c>
      <c r="F4143" t="s">
        <v>10617</v>
      </c>
      <c r="G4143">
        <v>328.0</v>
      </c>
      <c r="H4143">
        <v>328.0</v>
      </c>
      <c r="I4143" t="s">
        <v>227</v>
      </c>
      <c r="J4143" t="s">
        <v>228</v>
      </c>
      <c r="K4143" t="s">
        <v>31</v>
      </c>
      <c r="L4143" t="s">
        <v>32</v>
      </c>
      <c r="M4143" t="s">
        <v>33</v>
      </c>
      <c r="P4143" s="1" t="s">
        <v>14308</v>
      </c>
      <c r="Q4143" s="1" t="s">
        <v>10616</v>
      </c>
      <c r="R4143" s="1" t="s">
        <v>10616</v>
      </c>
      <c r="S4143" s="1"/>
      <c r="T4143" s="1" t="s">
        <v>14307</v>
      </c>
      <c r="U4143" s="1"/>
      <c r="V4143" s="1">
        <v>328.0</v>
      </c>
      <c r="W4143" s="1">
        <v>328.0</v>
      </c>
      <c r="X4143" s="1" t="s">
        <v>35</v>
      </c>
      <c r="Y4143" s="1">
        <v>328000.0</v>
      </c>
      <c r="Z4143" s="1"/>
      <c r="AA4143" s="1">
        <v>328000.0</v>
      </c>
      <c r="AB4143" s="1"/>
      <c r="AC4143" s="1" t="s">
        <v>36</v>
      </c>
      <c r="AD4143" s="1" t="s">
        <v>14309</v>
      </c>
      <c r="AE4143" s="1" t="s">
        <v>32</v>
      </c>
      <c r="AF4143" s="1" t="s">
        <v>33</v>
      </c>
      <c r="AG4143" s="1" t="s">
        <v>228</v>
      </c>
    </row>
    <row r="4144" spans="1:33">
      <c r="A4144" t="s">
        <v>14310</v>
      </c>
      <c r="B4144" t="s">
        <v>14311</v>
      </c>
      <c r="C4144" t="s">
        <v>172</v>
      </c>
      <c r="E4144" t="s">
        <v>10616</v>
      </c>
      <c r="F4144" t="s">
        <v>10617</v>
      </c>
      <c r="G4144">
        <v>40.73</v>
      </c>
      <c r="H4144">
        <v>40.73</v>
      </c>
      <c r="I4144" t="s">
        <v>173</v>
      </c>
      <c r="J4144" t="s">
        <v>174</v>
      </c>
      <c r="K4144" t="s">
        <v>31</v>
      </c>
      <c r="L4144" t="s">
        <v>32</v>
      </c>
      <c r="M4144" t="s">
        <v>33</v>
      </c>
      <c r="P4144" s="1" t="s">
        <v>14312</v>
      </c>
      <c r="Q4144" s="1" t="s">
        <v>10616</v>
      </c>
      <c r="R4144" s="1" t="s">
        <v>10616</v>
      </c>
      <c r="S4144" s="1"/>
      <c r="T4144" s="1" t="s">
        <v>172</v>
      </c>
      <c r="U4144" s="1"/>
      <c r="V4144" s="1">
        <v>40.73</v>
      </c>
      <c r="W4144" s="1">
        <v>40.73</v>
      </c>
      <c r="X4144" s="1" t="s">
        <v>35</v>
      </c>
      <c r="Y4144" s="1">
        <v>40730.0</v>
      </c>
      <c r="Z4144" s="1"/>
      <c r="AA4144" s="1">
        <v>40730.0</v>
      </c>
      <c r="AB4144" s="1"/>
      <c r="AC4144" s="1" t="s">
        <v>36</v>
      </c>
      <c r="AD4144" s="1" t="s">
        <v>14313</v>
      </c>
      <c r="AE4144" s="1" t="s">
        <v>32</v>
      </c>
      <c r="AF4144" s="1" t="s">
        <v>33</v>
      </c>
      <c r="AG4144" s="1" t="s">
        <v>174</v>
      </c>
    </row>
    <row r="4145" spans="1:33">
      <c r="A4145" t="s">
        <v>14314</v>
      </c>
      <c r="B4145" t="s">
        <v>1874</v>
      </c>
      <c r="C4145" t="s">
        <v>314</v>
      </c>
      <c r="E4145" t="s">
        <v>10616</v>
      </c>
      <c r="F4145" t="s">
        <v>10617</v>
      </c>
      <c r="G4145">
        <v>8.938</v>
      </c>
      <c r="H4145">
        <v>8.938</v>
      </c>
      <c r="I4145" t="s">
        <v>179</v>
      </c>
      <c r="J4145" t="s">
        <v>180</v>
      </c>
      <c r="K4145" t="s">
        <v>31</v>
      </c>
      <c r="L4145" t="s">
        <v>32</v>
      </c>
      <c r="M4145" t="s">
        <v>33</v>
      </c>
      <c r="P4145" s="1" t="s">
        <v>14315</v>
      </c>
      <c r="Q4145" s="1" t="s">
        <v>10616</v>
      </c>
      <c r="R4145" s="1" t="s">
        <v>10616</v>
      </c>
      <c r="S4145" s="1"/>
      <c r="T4145" s="1" t="s">
        <v>314</v>
      </c>
      <c r="U4145" s="1"/>
      <c r="V4145" s="1">
        <v>8.938</v>
      </c>
      <c r="W4145" s="1">
        <v>8.938</v>
      </c>
      <c r="X4145" s="1" t="s">
        <v>35</v>
      </c>
      <c r="Y4145" s="1">
        <v>8938.0</v>
      </c>
      <c r="Z4145" s="1"/>
      <c r="AA4145" s="1">
        <v>8938.0</v>
      </c>
      <c r="AB4145" s="1"/>
      <c r="AC4145" s="1" t="s">
        <v>36</v>
      </c>
      <c r="AD4145" s="1" t="s">
        <v>14316</v>
      </c>
      <c r="AE4145" s="1" t="s">
        <v>32</v>
      </c>
      <c r="AF4145" s="1" t="s">
        <v>33</v>
      </c>
      <c r="AG4145" s="1" t="s">
        <v>180</v>
      </c>
    </row>
    <row r="4146" spans="1:33">
      <c r="A4146" t="s">
        <v>14317</v>
      </c>
      <c r="C4146" t="s">
        <v>3582</v>
      </c>
      <c r="E4146" t="s">
        <v>10616</v>
      </c>
      <c r="F4146" t="s">
        <v>10617</v>
      </c>
      <c r="G4146">
        <v>400.0</v>
      </c>
      <c r="H4146">
        <v>400.0</v>
      </c>
      <c r="I4146" t="s">
        <v>570</v>
      </c>
      <c r="J4146" t="s">
        <v>571</v>
      </c>
      <c r="K4146" t="s">
        <v>31</v>
      </c>
      <c r="L4146" t="s">
        <v>32</v>
      </c>
      <c r="M4146" t="s">
        <v>33</v>
      </c>
      <c r="P4146" s="1" t="s">
        <v>14318</v>
      </c>
      <c r="Q4146" s="1" t="s">
        <v>10616</v>
      </c>
      <c r="R4146" s="1" t="s">
        <v>10616</v>
      </c>
      <c r="S4146" s="1"/>
      <c r="T4146" s="1" t="s">
        <v>3582</v>
      </c>
      <c r="U4146" s="1"/>
      <c r="V4146" s="1">
        <v>400.0</v>
      </c>
      <c r="W4146" s="1">
        <v>400.0</v>
      </c>
      <c r="X4146" s="1" t="s">
        <v>35</v>
      </c>
      <c r="Y4146" s="1">
        <v>400000.0</v>
      </c>
      <c r="Z4146" s="1"/>
      <c r="AA4146" s="1">
        <v>400000.0</v>
      </c>
      <c r="AB4146" s="1"/>
      <c r="AC4146" s="1" t="s">
        <v>36</v>
      </c>
      <c r="AD4146" s="1" t="s">
        <v>14319</v>
      </c>
      <c r="AE4146" s="1" t="s">
        <v>32</v>
      </c>
      <c r="AF4146" s="1" t="s">
        <v>33</v>
      </c>
      <c r="AG4146" s="1" t="s">
        <v>571</v>
      </c>
    </row>
    <row r="4147" spans="1:33">
      <c r="A4147" t="s">
        <v>14320</v>
      </c>
      <c r="B4147" t="s">
        <v>14321</v>
      </c>
      <c r="C4147" t="s">
        <v>172</v>
      </c>
      <c r="E4147" t="s">
        <v>10616</v>
      </c>
      <c r="F4147" t="s">
        <v>10617</v>
      </c>
      <c r="G4147">
        <v>3.0</v>
      </c>
      <c r="H4147">
        <v>3.0</v>
      </c>
      <c r="I4147" t="s">
        <v>173</v>
      </c>
      <c r="J4147" t="s">
        <v>174</v>
      </c>
      <c r="K4147" t="s">
        <v>31</v>
      </c>
      <c r="L4147" t="s">
        <v>32</v>
      </c>
      <c r="M4147" t="s">
        <v>33</v>
      </c>
      <c r="P4147" s="1" t="s">
        <v>14322</v>
      </c>
      <c r="Q4147" s="1" t="s">
        <v>10616</v>
      </c>
      <c r="R4147" s="1" t="s">
        <v>10616</v>
      </c>
      <c r="S4147" s="1"/>
      <c r="T4147" s="1" t="s">
        <v>172</v>
      </c>
      <c r="U4147" s="1"/>
      <c r="V4147" s="1">
        <v>3.0</v>
      </c>
      <c r="W4147" s="1">
        <v>3.0</v>
      </c>
      <c r="X4147" s="1" t="s">
        <v>35</v>
      </c>
      <c r="Y4147" s="1">
        <v>3000.0</v>
      </c>
      <c r="Z4147" s="1"/>
      <c r="AA4147" s="1">
        <v>3000.0</v>
      </c>
      <c r="AB4147" s="1"/>
      <c r="AC4147" s="1" t="s">
        <v>36</v>
      </c>
      <c r="AD4147" s="1" t="s">
        <v>14323</v>
      </c>
      <c r="AE4147" s="1" t="s">
        <v>32</v>
      </c>
      <c r="AF4147" s="1" t="s">
        <v>33</v>
      </c>
      <c r="AG4147" s="1" t="s">
        <v>174</v>
      </c>
    </row>
    <row r="4148" spans="1:33">
      <c r="A4148" t="s">
        <v>14324</v>
      </c>
      <c r="B4148" t="s">
        <v>3889</v>
      </c>
      <c r="C4148" t="s">
        <v>268</v>
      </c>
      <c r="E4148" t="s">
        <v>10616</v>
      </c>
      <c r="F4148" t="s">
        <v>10617</v>
      </c>
      <c r="G4148">
        <v>16.9</v>
      </c>
      <c r="H4148">
        <v>16.9</v>
      </c>
      <c r="I4148" t="s">
        <v>269</v>
      </c>
      <c r="J4148" t="s">
        <v>270</v>
      </c>
      <c r="K4148" t="s">
        <v>31</v>
      </c>
      <c r="L4148" t="s">
        <v>32</v>
      </c>
      <c r="M4148" t="s">
        <v>33</v>
      </c>
      <c r="P4148" s="1" t="s">
        <v>14325</v>
      </c>
      <c r="Q4148" s="1" t="s">
        <v>10616</v>
      </c>
      <c r="R4148" s="1" t="s">
        <v>10616</v>
      </c>
      <c r="S4148" s="1"/>
      <c r="T4148" s="1" t="s">
        <v>268</v>
      </c>
      <c r="U4148" s="1"/>
      <c r="V4148" s="1">
        <v>16.9</v>
      </c>
      <c r="W4148" s="1">
        <v>16.9</v>
      </c>
      <c r="X4148" s="1" t="s">
        <v>35</v>
      </c>
      <c r="Y4148" s="1">
        <v>16900.0</v>
      </c>
      <c r="Z4148" s="1"/>
      <c r="AA4148" s="1">
        <v>16900.0</v>
      </c>
      <c r="AB4148" s="1"/>
      <c r="AC4148" s="1" t="s">
        <v>36</v>
      </c>
      <c r="AD4148" s="1" t="s">
        <v>14326</v>
      </c>
      <c r="AE4148" s="1" t="s">
        <v>32</v>
      </c>
      <c r="AF4148" s="1" t="s">
        <v>33</v>
      </c>
      <c r="AG4148" s="1" t="s">
        <v>270</v>
      </c>
    </row>
    <row r="4149" spans="1:33">
      <c r="A4149" t="s">
        <v>14327</v>
      </c>
      <c r="C4149" t="s">
        <v>2876</v>
      </c>
      <c r="E4149" t="s">
        <v>10616</v>
      </c>
      <c r="F4149" t="s">
        <v>10617</v>
      </c>
      <c r="G4149">
        <v>328.0</v>
      </c>
      <c r="H4149">
        <v>328.0</v>
      </c>
      <c r="I4149" t="s">
        <v>269</v>
      </c>
      <c r="J4149" t="s">
        <v>270</v>
      </c>
      <c r="K4149" t="s">
        <v>31</v>
      </c>
      <c r="L4149" t="s">
        <v>32</v>
      </c>
      <c r="M4149" t="s">
        <v>33</v>
      </c>
      <c r="P4149" s="1" t="s">
        <v>14328</v>
      </c>
      <c r="Q4149" s="1" t="s">
        <v>10616</v>
      </c>
      <c r="R4149" s="1" t="s">
        <v>10616</v>
      </c>
      <c r="S4149" s="1"/>
      <c r="T4149" s="1" t="s">
        <v>2876</v>
      </c>
      <c r="U4149" s="1"/>
      <c r="V4149" s="1">
        <v>328.0</v>
      </c>
      <c r="W4149" s="1">
        <v>328.0</v>
      </c>
      <c r="X4149" s="1" t="s">
        <v>35</v>
      </c>
      <c r="Y4149" s="1">
        <v>328000.0</v>
      </c>
      <c r="Z4149" s="1"/>
      <c r="AA4149" s="1">
        <v>328000.0</v>
      </c>
      <c r="AB4149" s="1"/>
      <c r="AC4149" s="1" t="s">
        <v>36</v>
      </c>
      <c r="AD4149" s="1" t="s">
        <v>14329</v>
      </c>
      <c r="AE4149" s="1" t="s">
        <v>32</v>
      </c>
      <c r="AF4149" s="1" t="s">
        <v>33</v>
      </c>
      <c r="AG4149" s="1" t="s">
        <v>270</v>
      </c>
    </row>
    <row r="4150" spans="1:33">
      <c r="A4150" t="s">
        <v>14330</v>
      </c>
      <c r="B4150" t="s">
        <v>14331</v>
      </c>
      <c r="C4150" t="s">
        <v>314</v>
      </c>
      <c r="E4150" t="s">
        <v>10616</v>
      </c>
      <c r="F4150" t="s">
        <v>10617</v>
      </c>
      <c r="G4150">
        <v>18.59</v>
      </c>
      <c r="H4150">
        <v>18.59</v>
      </c>
      <c r="I4150" t="s">
        <v>179</v>
      </c>
      <c r="J4150" t="s">
        <v>180</v>
      </c>
      <c r="K4150" t="s">
        <v>31</v>
      </c>
      <c r="L4150" t="s">
        <v>32</v>
      </c>
      <c r="M4150" t="s">
        <v>33</v>
      </c>
      <c r="P4150" s="1" t="s">
        <v>14332</v>
      </c>
      <c r="Q4150" s="1" t="s">
        <v>10616</v>
      </c>
      <c r="R4150" s="1" t="s">
        <v>10616</v>
      </c>
      <c r="S4150" s="1"/>
      <c r="T4150" s="1" t="s">
        <v>314</v>
      </c>
      <c r="U4150" s="1"/>
      <c r="V4150" s="1">
        <v>18.59</v>
      </c>
      <c r="W4150" s="1">
        <v>18.59</v>
      </c>
      <c r="X4150" s="1" t="s">
        <v>35</v>
      </c>
      <c r="Y4150" s="1">
        <v>18590.0</v>
      </c>
      <c r="Z4150" s="1"/>
      <c r="AA4150" s="1">
        <v>18590.0</v>
      </c>
      <c r="AB4150" s="1"/>
      <c r="AC4150" s="1" t="s">
        <v>36</v>
      </c>
      <c r="AD4150" s="1" t="s">
        <v>14323</v>
      </c>
      <c r="AE4150" s="1" t="s">
        <v>32</v>
      </c>
      <c r="AF4150" s="1" t="s">
        <v>33</v>
      </c>
      <c r="AG4150" s="1" t="s">
        <v>180</v>
      </c>
    </row>
    <row r="4151" spans="1:33">
      <c r="A4151" t="s">
        <v>14333</v>
      </c>
      <c r="B4151" t="s">
        <v>57</v>
      </c>
      <c r="C4151" t="s">
        <v>58</v>
      </c>
      <c r="E4151" t="s">
        <v>10616</v>
      </c>
      <c r="F4151" t="s">
        <v>10617</v>
      </c>
      <c r="G4151">
        <v>375.0</v>
      </c>
      <c r="H4151">
        <v>375.0</v>
      </c>
      <c r="I4151" t="s">
        <v>59</v>
      </c>
      <c r="J4151" t="s">
        <v>60</v>
      </c>
      <c r="K4151" t="s">
        <v>31</v>
      </c>
      <c r="L4151" t="s">
        <v>32</v>
      </c>
      <c r="M4151" t="s">
        <v>33</v>
      </c>
      <c r="P4151" s="1" t="s">
        <v>14334</v>
      </c>
      <c r="Q4151" s="1" t="s">
        <v>10616</v>
      </c>
      <c r="R4151" s="1" t="s">
        <v>10616</v>
      </c>
      <c r="S4151" s="1"/>
      <c r="T4151" s="1" t="s">
        <v>58</v>
      </c>
      <c r="U4151" s="1"/>
      <c r="V4151" s="1">
        <v>375.0</v>
      </c>
      <c r="W4151" s="1">
        <v>375.0</v>
      </c>
      <c r="X4151" s="1" t="s">
        <v>35</v>
      </c>
      <c r="Y4151" s="1">
        <v>377000.0</v>
      </c>
      <c r="Z4151" s="1">
        <v>-2000</v>
      </c>
      <c r="AA4151" s="1">
        <v>377000.0</v>
      </c>
      <c r="AB4151" s="1">
        <v>-2000</v>
      </c>
      <c r="AC4151" s="1" t="s">
        <v>36</v>
      </c>
      <c r="AD4151" s="1" t="s">
        <v>14323</v>
      </c>
      <c r="AE4151" s="1" t="s">
        <v>32</v>
      </c>
      <c r="AF4151" s="1" t="s">
        <v>33</v>
      </c>
      <c r="AG4151" s="1" t="s">
        <v>60</v>
      </c>
    </row>
    <row r="4152" spans="1:33">
      <c r="A4152" t="s">
        <v>14335</v>
      </c>
      <c r="C4152" t="s">
        <v>1053</v>
      </c>
      <c r="E4152" t="s">
        <v>10616</v>
      </c>
      <c r="F4152" t="s">
        <v>10617</v>
      </c>
      <c r="G4152">
        <v>235.0</v>
      </c>
      <c r="H4152">
        <v>235.0</v>
      </c>
      <c r="I4152" t="s">
        <v>179</v>
      </c>
      <c r="J4152" t="s">
        <v>180</v>
      </c>
      <c r="K4152" t="s">
        <v>31</v>
      </c>
      <c r="L4152" t="s">
        <v>32</v>
      </c>
      <c r="M4152" t="s">
        <v>33</v>
      </c>
      <c r="P4152" s="1" t="s">
        <v>14336</v>
      </c>
      <c r="Q4152" s="1" t="s">
        <v>10616</v>
      </c>
      <c r="R4152" s="1" t="s">
        <v>10616</v>
      </c>
      <c r="S4152" s="1"/>
      <c r="T4152" s="1" t="s">
        <v>1053</v>
      </c>
      <c r="U4152" s="1"/>
      <c r="V4152" s="1">
        <v>235.0</v>
      </c>
      <c r="W4152" s="1">
        <v>235.0</v>
      </c>
      <c r="X4152" s="1" t="s">
        <v>35</v>
      </c>
      <c r="Y4152" s="1">
        <v>235000.0</v>
      </c>
      <c r="Z4152" s="1"/>
      <c r="AA4152" s="1">
        <v>235000.0</v>
      </c>
      <c r="AB4152" s="1"/>
      <c r="AC4152" s="1" t="s">
        <v>36</v>
      </c>
      <c r="AD4152" s="1" t="s">
        <v>14337</v>
      </c>
      <c r="AE4152" s="1" t="s">
        <v>32</v>
      </c>
      <c r="AF4152" s="1" t="s">
        <v>33</v>
      </c>
      <c r="AG4152" s="1" t="s">
        <v>180</v>
      </c>
    </row>
    <row r="4153" spans="1:33">
      <c r="A4153" t="s">
        <v>14338</v>
      </c>
      <c r="B4153" t="s">
        <v>1965</v>
      </c>
      <c r="C4153" t="s">
        <v>314</v>
      </c>
      <c r="E4153" t="s">
        <v>10616</v>
      </c>
      <c r="F4153" t="s">
        <v>10617</v>
      </c>
      <c r="G4153">
        <v>67.48</v>
      </c>
      <c r="H4153">
        <v>67.48</v>
      </c>
      <c r="I4153" t="s">
        <v>179</v>
      </c>
      <c r="J4153" t="s">
        <v>180</v>
      </c>
      <c r="K4153" t="s">
        <v>31</v>
      </c>
      <c r="L4153" t="s">
        <v>32</v>
      </c>
      <c r="M4153" t="s">
        <v>33</v>
      </c>
      <c r="P4153" s="1" t="s">
        <v>14339</v>
      </c>
      <c r="Q4153" s="1" t="s">
        <v>10616</v>
      </c>
      <c r="R4153" s="1" t="s">
        <v>10616</v>
      </c>
      <c r="S4153" s="1"/>
      <c r="T4153" s="1" t="s">
        <v>314</v>
      </c>
      <c r="U4153" s="1"/>
      <c r="V4153" s="1">
        <v>67.48</v>
      </c>
      <c r="W4153" s="1">
        <v>67.48</v>
      </c>
      <c r="X4153" s="1" t="s">
        <v>35</v>
      </c>
      <c r="Y4153" s="1">
        <v>67480.0</v>
      </c>
      <c r="Z4153" s="1"/>
      <c r="AA4153" s="1">
        <v>67480.0</v>
      </c>
      <c r="AB4153" s="1"/>
      <c r="AC4153" s="1" t="s">
        <v>36</v>
      </c>
      <c r="AD4153" s="1" t="s">
        <v>14340</v>
      </c>
      <c r="AE4153" s="1" t="s">
        <v>32</v>
      </c>
      <c r="AF4153" s="1" t="s">
        <v>33</v>
      </c>
      <c r="AG4153" s="1" t="s">
        <v>180</v>
      </c>
    </row>
    <row r="4154" spans="1:33">
      <c r="A4154" t="s">
        <v>14341</v>
      </c>
      <c r="C4154" t="s">
        <v>1594</v>
      </c>
      <c r="E4154" t="s">
        <v>10616</v>
      </c>
      <c r="F4154" t="s">
        <v>10496</v>
      </c>
      <c r="G4154">
        <v>450.25</v>
      </c>
      <c r="H4154">
        <v>450.25</v>
      </c>
      <c r="I4154" t="s">
        <v>179</v>
      </c>
      <c r="J4154" t="s">
        <v>180</v>
      </c>
      <c r="K4154" t="s">
        <v>31</v>
      </c>
      <c r="L4154" t="s">
        <v>32</v>
      </c>
      <c r="M4154" t="s">
        <v>33</v>
      </c>
      <c r="P4154" s="1" t="s">
        <v>14342</v>
      </c>
      <c r="Q4154" s="1" t="s">
        <v>10616</v>
      </c>
      <c r="R4154" s="1" t="s">
        <v>10616</v>
      </c>
      <c r="S4154" s="1"/>
      <c r="T4154" s="1" t="s">
        <v>1594</v>
      </c>
      <c r="U4154" s="1"/>
      <c r="V4154" s="1">
        <v>450.25</v>
      </c>
      <c r="W4154" s="1">
        <v>450.25</v>
      </c>
      <c r="X4154" s="1" t="s">
        <v>35</v>
      </c>
      <c r="Y4154" s="1">
        <v>450250.0</v>
      </c>
      <c r="Z4154" s="1"/>
      <c r="AA4154" s="1">
        <v>450250.0</v>
      </c>
      <c r="AB4154" s="1"/>
      <c r="AC4154" s="1" t="s">
        <v>36</v>
      </c>
      <c r="AD4154" s="1" t="s">
        <v>14343</v>
      </c>
      <c r="AE4154" s="1" t="s">
        <v>32</v>
      </c>
      <c r="AF4154" s="1" t="s">
        <v>33</v>
      </c>
      <c r="AG4154" s="1" t="s">
        <v>180</v>
      </c>
    </row>
    <row r="4155" spans="1:33">
      <c r="A4155" t="s">
        <v>14344</v>
      </c>
      <c r="B4155" t="s">
        <v>1317</v>
      </c>
      <c r="C4155" t="s">
        <v>1318</v>
      </c>
      <c r="E4155" t="s">
        <v>10616</v>
      </c>
      <c r="F4155" t="s">
        <v>10617</v>
      </c>
      <c r="G4155">
        <v>740.0</v>
      </c>
      <c r="H4155">
        <v>740.0</v>
      </c>
      <c r="I4155" t="s">
        <v>59</v>
      </c>
      <c r="J4155" t="s">
        <v>60</v>
      </c>
      <c r="K4155" t="s">
        <v>31</v>
      </c>
      <c r="L4155" t="s">
        <v>32</v>
      </c>
      <c r="M4155" t="s">
        <v>33</v>
      </c>
      <c r="P4155" s="1" t="s">
        <v>14345</v>
      </c>
      <c r="Q4155" s="1" t="s">
        <v>10616</v>
      </c>
      <c r="R4155" s="1" t="s">
        <v>10616</v>
      </c>
      <c r="S4155" s="1"/>
      <c r="T4155" s="1" t="s">
        <v>1318</v>
      </c>
      <c r="U4155" s="1"/>
      <c r="V4155" s="1">
        <v>740.0</v>
      </c>
      <c r="W4155" s="1">
        <v>740.0</v>
      </c>
      <c r="X4155" s="1" t="s">
        <v>35</v>
      </c>
      <c r="Y4155" s="1">
        <v>740000.0</v>
      </c>
      <c r="Z4155" s="1"/>
      <c r="AA4155" s="1">
        <v>740000.0</v>
      </c>
      <c r="AB4155" s="1"/>
      <c r="AC4155" s="1" t="s">
        <v>36</v>
      </c>
      <c r="AD4155" s="1" t="s">
        <v>14346</v>
      </c>
      <c r="AE4155" s="1" t="s">
        <v>32</v>
      </c>
      <c r="AF4155" s="1" t="s">
        <v>33</v>
      </c>
      <c r="AG4155" s="1" t="s">
        <v>60</v>
      </c>
    </row>
    <row r="4156" spans="1:33">
      <c r="A4156" t="s">
        <v>14347</v>
      </c>
      <c r="C4156" t="s">
        <v>4692</v>
      </c>
      <c r="E4156" t="s">
        <v>10616</v>
      </c>
      <c r="F4156" t="s">
        <v>10617</v>
      </c>
      <c r="G4156">
        <v>620.5</v>
      </c>
      <c r="H4156">
        <v>620.5</v>
      </c>
      <c r="I4156" t="s">
        <v>13331</v>
      </c>
      <c r="J4156" t="s">
        <v>41</v>
      </c>
      <c r="K4156" t="s">
        <v>31</v>
      </c>
      <c r="L4156" t="s">
        <v>32</v>
      </c>
      <c r="M4156" t="s">
        <v>33</v>
      </c>
      <c r="P4156" s="1" t="s">
        <v>14348</v>
      </c>
      <c r="Q4156" s="1" t="s">
        <v>10616</v>
      </c>
      <c r="R4156" s="1" t="s">
        <v>10616</v>
      </c>
      <c r="S4156" s="1"/>
      <c r="T4156" s="1" t="s">
        <v>4692</v>
      </c>
      <c r="U4156" s="1"/>
      <c r="V4156" s="1">
        <v>620.5</v>
      </c>
      <c r="W4156" s="1">
        <v>620.5</v>
      </c>
      <c r="X4156" s="1" t="s">
        <v>35</v>
      </c>
      <c r="Y4156" s="1">
        <v>620500.0</v>
      </c>
      <c r="Z4156" s="1"/>
      <c r="AA4156" s="1">
        <v>620500.0</v>
      </c>
      <c r="AB4156" s="1"/>
      <c r="AC4156" s="1" t="s">
        <v>36</v>
      </c>
      <c r="AD4156" s="1" t="s">
        <v>14212</v>
      </c>
      <c r="AE4156" s="1" t="s">
        <v>32</v>
      </c>
      <c r="AF4156" s="1" t="s">
        <v>33</v>
      </c>
      <c r="AG4156" s="1" t="s">
        <v>41</v>
      </c>
    </row>
    <row r="4157" spans="1:33">
      <c r="A4157" t="s">
        <v>14349</v>
      </c>
      <c r="C4157" t="s">
        <v>5687</v>
      </c>
      <c r="E4157" t="s">
        <v>10616</v>
      </c>
      <c r="F4157" t="s">
        <v>10617</v>
      </c>
      <c r="G4157">
        <v>720.0</v>
      </c>
      <c r="H4157">
        <v>720.0</v>
      </c>
      <c r="I4157" t="s">
        <v>227</v>
      </c>
      <c r="J4157" t="s">
        <v>228</v>
      </c>
      <c r="K4157" t="s">
        <v>31</v>
      </c>
      <c r="L4157" t="s">
        <v>32</v>
      </c>
      <c r="M4157" t="s">
        <v>33</v>
      </c>
      <c r="P4157" s="1" t="s">
        <v>14350</v>
      </c>
      <c r="Q4157" s="1" t="s">
        <v>10616</v>
      </c>
      <c r="R4157" s="1" t="s">
        <v>10616</v>
      </c>
      <c r="S4157" s="1"/>
      <c r="T4157" s="1" t="s">
        <v>5687</v>
      </c>
      <c r="U4157" s="1"/>
      <c r="V4157" s="1">
        <v>720.0</v>
      </c>
      <c r="W4157" s="1">
        <v>720.0</v>
      </c>
      <c r="X4157" s="1" t="s">
        <v>35</v>
      </c>
      <c r="Y4157" s="1">
        <v>720000.0</v>
      </c>
      <c r="Z4157" s="1"/>
      <c r="AA4157" s="1">
        <v>720000.0</v>
      </c>
      <c r="AB4157" s="1"/>
      <c r="AC4157" s="1" t="s">
        <v>36</v>
      </c>
      <c r="AD4157" s="1" t="s">
        <v>14351</v>
      </c>
      <c r="AE4157" s="1" t="s">
        <v>32</v>
      </c>
      <c r="AF4157" s="1" t="s">
        <v>33</v>
      </c>
      <c r="AG4157" s="1" t="s">
        <v>228</v>
      </c>
    </row>
    <row r="4158" spans="1:33">
      <c r="A4158" t="s">
        <v>14352</v>
      </c>
      <c r="C4158" t="s">
        <v>14353</v>
      </c>
      <c r="E4158" t="s">
        <v>10616</v>
      </c>
      <c r="F4158" t="s">
        <v>10617</v>
      </c>
      <c r="G4158">
        <v>1.6</v>
      </c>
      <c r="H4158">
        <v>1.6</v>
      </c>
      <c r="I4158" t="s">
        <v>13331</v>
      </c>
      <c r="J4158" t="s">
        <v>41</v>
      </c>
      <c r="K4158" t="s">
        <v>31</v>
      </c>
      <c r="L4158" t="s">
        <v>32</v>
      </c>
      <c r="M4158" t="s">
        <v>33</v>
      </c>
      <c r="P4158" s="1" t="s">
        <v>14354</v>
      </c>
      <c r="Q4158" s="1" t="s">
        <v>10616</v>
      </c>
      <c r="R4158" s="1" t="s">
        <v>10495</v>
      </c>
      <c r="S4158" s="1"/>
      <c r="T4158" s="1" t="s">
        <v>14353</v>
      </c>
      <c r="U4158" s="1"/>
      <c r="V4158" s="1">
        <v>1.6</v>
      </c>
      <c r="W4158" s="1">
        <v>1.6</v>
      </c>
      <c r="X4158" s="1" t="s">
        <v>35</v>
      </c>
      <c r="Y4158" s="1">
        <v>1600000.0</v>
      </c>
      <c r="Z4158" s="1"/>
      <c r="AA4158" s="1">
        <v>1600000.0</v>
      </c>
      <c r="AB4158" s="1"/>
      <c r="AC4158" s="1" t="s">
        <v>36</v>
      </c>
      <c r="AD4158" s="1" t="s">
        <v>14355</v>
      </c>
      <c r="AE4158" s="1" t="s">
        <v>32</v>
      </c>
      <c r="AF4158" s="1" t="s">
        <v>33</v>
      </c>
      <c r="AG4158" s="1" t="s">
        <v>41</v>
      </c>
    </row>
    <row r="4159" spans="1:33">
      <c r="A4159" t="s">
        <v>14356</v>
      </c>
      <c r="C4159" t="s">
        <v>569</v>
      </c>
      <c r="E4159" t="s">
        <v>10616</v>
      </c>
      <c r="F4159" t="s">
        <v>10617</v>
      </c>
      <c r="G4159">
        <v>109.226</v>
      </c>
      <c r="H4159">
        <v>109.226</v>
      </c>
      <c r="I4159" t="s">
        <v>570</v>
      </c>
      <c r="J4159" t="s">
        <v>571</v>
      </c>
      <c r="K4159" t="s">
        <v>31</v>
      </c>
      <c r="L4159" t="s">
        <v>32</v>
      </c>
      <c r="M4159" t="s">
        <v>33</v>
      </c>
      <c r="P4159" s="1" t="s">
        <v>14357</v>
      </c>
      <c r="Q4159" s="1" t="s">
        <v>10616</v>
      </c>
      <c r="R4159" s="1" t="s">
        <v>10616</v>
      </c>
      <c r="S4159" s="1"/>
      <c r="T4159" s="1" t="s">
        <v>569</v>
      </c>
      <c r="U4159" s="1"/>
      <c r="V4159" s="1">
        <v>109.226</v>
      </c>
      <c r="W4159" s="1">
        <v>109.226</v>
      </c>
      <c r="X4159" s="1" t="s">
        <v>35</v>
      </c>
      <c r="Y4159" s="1">
        <v>109226.0</v>
      </c>
      <c r="Z4159" s="1"/>
      <c r="AA4159" s="1">
        <v>109226.0</v>
      </c>
      <c r="AB4159" s="1"/>
      <c r="AC4159" s="1" t="s">
        <v>36</v>
      </c>
      <c r="AD4159" s="1" t="s">
        <v>14358</v>
      </c>
      <c r="AE4159" s="1" t="s">
        <v>32</v>
      </c>
      <c r="AF4159" s="1" t="s">
        <v>33</v>
      </c>
      <c r="AG4159" s="1" t="s">
        <v>571</v>
      </c>
    </row>
    <row r="4160" spans="1:33">
      <c r="A4160" t="s">
        <v>14359</v>
      </c>
      <c r="B4160" t="s">
        <v>14360</v>
      </c>
      <c r="C4160" t="s">
        <v>314</v>
      </c>
      <c r="E4160" t="s">
        <v>10616</v>
      </c>
      <c r="F4160" t="s">
        <v>10617</v>
      </c>
      <c r="G4160">
        <v>61.47</v>
      </c>
      <c r="H4160">
        <v>61.47</v>
      </c>
      <c r="I4160" t="s">
        <v>179</v>
      </c>
      <c r="J4160" t="s">
        <v>180</v>
      </c>
      <c r="K4160" t="s">
        <v>31</v>
      </c>
      <c r="L4160" t="s">
        <v>32</v>
      </c>
      <c r="M4160" t="s">
        <v>33</v>
      </c>
      <c r="P4160" s="1" t="s">
        <v>14361</v>
      </c>
      <c r="Q4160" s="1" t="s">
        <v>10616</v>
      </c>
      <c r="R4160" s="1" t="s">
        <v>10616</v>
      </c>
      <c r="S4160" s="1"/>
      <c r="T4160" s="1" t="s">
        <v>314</v>
      </c>
      <c r="U4160" s="1"/>
      <c r="V4160" s="1">
        <v>61.47</v>
      </c>
      <c r="W4160" s="1">
        <v>61.47</v>
      </c>
      <c r="X4160" s="1" t="s">
        <v>35</v>
      </c>
      <c r="Y4160" s="1">
        <v>61470.0</v>
      </c>
      <c r="Z4160" s="1"/>
      <c r="AA4160" s="1">
        <v>61470.0</v>
      </c>
      <c r="AB4160" s="1"/>
      <c r="AC4160" s="1" t="s">
        <v>36</v>
      </c>
      <c r="AD4160" s="1" t="s">
        <v>14362</v>
      </c>
      <c r="AE4160" s="1" t="s">
        <v>32</v>
      </c>
      <c r="AF4160" s="1" t="s">
        <v>33</v>
      </c>
      <c r="AG4160" s="1" t="s">
        <v>180</v>
      </c>
    </row>
    <row r="4161" spans="1:33">
      <c r="A4161" t="s">
        <v>14363</v>
      </c>
      <c r="B4161" t="s">
        <v>14364</v>
      </c>
      <c r="C4161" t="s">
        <v>68</v>
      </c>
      <c r="E4161" t="s">
        <v>10616</v>
      </c>
      <c r="F4161" t="s">
        <v>10617</v>
      </c>
      <c r="G4161">
        <v>48.175</v>
      </c>
      <c r="H4161">
        <v>48.175</v>
      </c>
      <c r="I4161" t="s">
        <v>59</v>
      </c>
      <c r="J4161" t="s">
        <v>60</v>
      </c>
      <c r="K4161" t="s">
        <v>31</v>
      </c>
      <c r="L4161" t="s">
        <v>32</v>
      </c>
      <c r="M4161" t="s">
        <v>33</v>
      </c>
      <c r="P4161" s="1" t="s">
        <v>14365</v>
      </c>
      <c r="Q4161" s="1" t="s">
        <v>10616</v>
      </c>
      <c r="R4161" s="1" t="s">
        <v>10616</v>
      </c>
      <c r="S4161" s="1"/>
      <c r="T4161" s="1" t="s">
        <v>68</v>
      </c>
      <c r="U4161" s="1"/>
      <c r="V4161" s="1">
        <v>48.175</v>
      </c>
      <c r="W4161" s="1">
        <v>48.175</v>
      </c>
      <c r="X4161" s="1" t="s">
        <v>35</v>
      </c>
      <c r="Y4161" s="1">
        <v>48175.0</v>
      </c>
      <c r="Z4161" s="1"/>
      <c r="AA4161" s="1">
        <v>48175.0</v>
      </c>
      <c r="AB4161" s="1"/>
      <c r="AC4161" s="1" t="s">
        <v>36</v>
      </c>
      <c r="AD4161" s="1" t="s">
        <v>14366</v>
      </c>
      <c r="AE4161" s="1" t="s">
        <v>32</v>
      </c>
      <c r="AF4161" s="1" t="s">
        <v>33</v>
      </c>
      <c r="AG4161" s="1" t="s">
        <v>60</v>
      </c>
    </row>
    <row r="4162" spans="1:33">
      <c r="A4162" t="s">
        <v>14367</v>
      </c>
      <c r="B4162" t="s">
        <v>14368</v>
      </c>
      <c r="C4162" t="s">
        <v>569</v>
      </c>
      <c r="E4162" t="s">
        <v>10616</v>
      </c>
      <c r="F4162" t="s">
        <v>10617</v>
      </c>
      <c r="G4162">
        <v>28.49</v>
      </c>
      <c r="H4162">
        <v>28.49</v>
      </c>
      <c r="I4162" t="s">
        <v>570</v>
      </c>
      <c r="J4162" t="s">
        <v>571</v>
      </c>
      <c r="K4162" t="s">
        <v>31</v>
      </c>
      <c r="L4162" t="s">
        <v>32</v>
      </c>
      <c r="M4162" t="s">
        <v>33</v>
      </c>
      <c r="P4162" s="1" t="s">
        <v>14369</v>
      </c>
      <c r="Q4162" s="1" t="s">
        <v>10616</v>
      </c>
      <c r="R4162" s="1" t="s">
        <v>10616</v>
      </c>
      <c r="S4162" s="1"/>
      <c r="T4162" s="1" t="s">
        <v>569</v>
      </c>
      <c r="U4162" s="1"/>
      <c r="V4162" s="1">
        <v>28.49</v>
      </c>
      <c r="W4162" s="1">
        <v>28.49</v>
      </c>
      <c r="X4162" s="1" t="s">
        <v>35</v>
      </c>
      <c r="Y4162" s="1">
        <v>28490.0</v>
      </c>
      <c r="Z4162" s="1"/>
      <c r="AA4162" s="1">
        <v>28490.0</v>
      </c>
      <c r="AB4162" s="1"/>
      <c r="AC4162" s="1" t="s">
        <v>36</v>
      </c>
      <c r="AD4162" s="1" t="s">
        <v>14370</v>
      </c>
      <c r="AE4162" s="1" t="s">
        <v>32</v>
      </c>
      <c r="AF4162" s="1" t="s">
        <v>33</v>
      </c>
      <c r="AG4162" s="1" t="s">
        <v>571</v>
      </c>
    </row>
    <row r="4163" spans="1:33">
      <c r="A4163" t="s">
        <v>14371</v>
      </c>
      <c r="B4163" t="s">
        <v>14372</v>
      </c>
      <c r="C4163" t="s">
        <v>125</v>
      </c>
      <c r="E4163" t="s">
        <v>10616</v>
      </c>
      <c r="F4163" t="s">
        <v>10617</v>
      </c>
      <c r="G4163">
        <v>4.72</v>
      </c>
      <c r="H4163">
        <v>4.72</v>
      </c>
      <c r="I4163" t="s">
        <v>126</v>
      </c>
      <c r="J4163" t="s">
        <v>127</v>
      </c>
      <c r="K4163" t="s">
        <v>31</v>
      </c>
      <c r="L4163" t="s">
        <v>32</v>
      </c>
      <c r="M4163" t="s">
        <v>33</v>
      </c>
      <c r="P4163" s="1" t="s">
        <v>14373</v>
      </c>
      <c r="Q4163" s="1" t="s">
        <v>10616</v>
      </c>
      <c r="R4163" s="1" t="s">
        <v>10616</v>
      </c>
      <c r="S4163" s="1"/>
      <c r="T4163" s="1" t="s">
        <v>125</v>
      </c>
      <c r="U4163" s="1"/>
      <c r="V4163" s="1">
        <v>4.72</v>
      </c>
      <c r="W4163" s="1">
        <v>4.72</v>
      </c>
      <c r="X4163" s="1" t="s">
        <v>35</v>
      </c>
      <c r="Y4163" s="1">
        <v>4720.0</v>
      </c>
      <c r="Z4163" s="1"/>
      <c r="AA4163" s="1">
        <v>4720.0</v>
      </c>
      <c r="AB4163" s="1"/>
      <c r="AC4163" s="1" t="s">
        <v>36</v>
      </c>
      <c r="AD4163" s="1" t="s">
        <v>14374</v>
      </c>
      <c r="AE4163" s="1" t="s">
        <v>32</v>
      </c>
      <c r="AF4163" s="1" t="s">
        <v>33</v>
      </c>
      <c r="AG4163" s="1" t="s">
        <v>127</v>
      </c>
    </row>
    <row r="4164" spans="1:33">
      <c r="A4164" t="s">
        <v>14375</v>
      </c>
      <c r="B4164" t="s">
        <v>14376</v>
      </c>
      <c r="C4164" t="s">
        <v>314</v>
      </c>
      <c r="E4164" t="s">
        <v>10616</v>
      </c>
      <c r="F4164" t="s">
        <v>10617</v>
      </c>
      <c r="G4164">
        <v>44.3</v>
      </c>
      <c r="H4164">
        <v>44.3</v>
      </c>
      <c r="I4164" t="s">
        <v>179</v>
      </c>
      <c r="J4164" t="s">
        <v>180</v>
      </c>
      <c r="K4164" t="s">
        <v>31</v>
      </c>
      <c r="L4164" t="s">
        <v>32</v>
      </c>
      <c r="M4164" t="s">
        <v>33</v>
      </c>
      <c r="P4164" s="1" t="s">
        <v>14377</v>
      </c>
      <c r="Q4164" s="1" t="s">
        <v>10616</v>
      </c>
      <c r="R4164" s="1" t="s">
        <v>10616</v>
      </c>
      <c r="S4164" s="1"/>
      <c r="T4164" s="1" t="s">
        <v>314</v>
      </c>
      <c r="U4164" s="1"/>
      <c r="V4164" s="1">
        <v>44.3</v>
      </c>
      <c r="W4164" s="1">
        <v>44.3</v>
      </c>
      <c r="X4164" s="1" t="s">
        <v>35</v>
      </c>
      <c r="Y4164" s="1">
        <v>44300.0</v>
      </c>
      <c r="Z4164" s="1"/>
      <c r="AA4164" s="1">
        <v>44300.0</v>
      </c>
      <c r="AB4164" s="1"/>
      <c r="AC4164" s="1" t="s">
        <v>36</v>
      </c>
      <c r="AD4164" s="1" t="s">
        <v>14378</v>
      </c>
      <c r="AE4164" s="1" t="s">
        <v>32</v>
      </c>
      <c r="AF4164" s="1" t="s">
        <v>33</v>
      </c>
      <c r="AG4164" s="1" t="s">
        <v>180</v>
      </c>
    </row>
    <row r="4165" spans="1:33">
      <c r="A4165" t="s">
        <v>14379</v>
      </c>
      <c r="B4165" t="s">
        <v>14380</v>
      </c>
      <c r="C4165" t="s">
        <v>314</v>
      </c>
      <c r="E4165" t="s">
        <v>10616</v>
      </c>
      <c r="F4165" t="s">
        <v>10617</v>
      </c>
      <c r="G4165">
        <v>44.48</v>
      </c>
      <c r="H4165">
        <v>44.48</v>
      </c>
      <c r="I4165" t="s">
        <v>179</v>
      </c>
      <c r="J4165" t="s">
        <v>180</v>
      </c>
      <c r="K4165" t="s">
        <v>31</v>
      </c>
      <c r="L4165" t="s">
        <v>32</v>
      </c>
      <c r="M4165" t="s">
        <v>33</v>
      </c>
      <c r="P4165" s="1" t="s">
        <v>14381</v>
      </c>
      <c r="Q4165" s="1" t="s">
        <v>10616</v>
      </c>
      <c r="R4165" s="1" t="s">
        <v>10616</v>
      </c>
      <c r="S4165" s="1"/>
      <c r="T4165" s="1" t="s">
        <v>314</v>
      </c>
      <c r="U4165" s="1"/>
      <c r="V4165" s="1">
        <v>44.48</v>
      </c>
      <c r="W4165" s="1">
        <v>44.48</v>
      </c>
      <c r="X4165" s="1" t="s">
        <v>35</v>
      </c>
      <c r="Y4165" s="1">
        <v>44480.0</v>
      </c>
      <c r="Z4165" s="1"/>
      <c r="AA4165" s="1">
        <v>44480.0</v>
      </c>
      <c r="AB4165" s="1"/>
      <c r="AC4165" s="1" t="s">
        <v>36</v>
      </c>
      <c r="AD4165" s="1" t="s">
        <v>14382</v>
      </c>
      <c r="AE4165" s="1" t="s">
        <v>32</v>
      </c>
      <c r="AF4165" s="1" t="s">
        <v>33</v>
      </c>
      <c r="AG4165" s="1" t="s">
        <v>180</v>
      </c>
    </row>
    <row r="4166" spans="1:33">
      <c r="A4166" t="s">
        <v>14383</v>
      </c>
      <c r="C4166" t="s">
        <v>1904</v>
      </c>
      <c r="E4166" t="s">
        <v>10616</v>
      </c>
      <c r="F4166" t="s">
        <v>10617</v>
      </c>
      <c r="G4166">
        <v>357.25</v>
      </c>
      <c r="H4166">
        <v>357.25</v>
      </c>
      <c r="I4166" t="s">
        <v>269</v>
      </c>
      <c r="J4166" t="s">
        <v>270</v>
      </c>
      <c r="K4166" t="s">
        <v>31</v>
      </c>
      <c r="L4166" t="s">
        <v>32</v>
      </c>
      <c r="M4166" t="s">
        <v>33</v>
      </c>
      <c r="P4166" s="1" t="s">
        <v>14384</v>
      </c>
      <c r="Q4166" s="1" t="s">
        <v>10616</v>
      </c>
      <c r="R4166" s="1" t="s">
        <v>10616</v>
      </c>
      <c r="S4166" s="1"/>
      <c r="T4166" s="1" t="s">
        <v>1904</v>
      </c>
      <c r="U4166" s="1"/>
      <c r="V4166" s="1">
        <v>357.25</v>
      </c>
      <c r="W4166" s="1">
        <v>357.25</v>
      </c>
      <c r="X4166" s="1" t="s">
        <v>35</v>
      </c>
      <c r="Y4166" s="1">
        <v>357250.0</v>
      </c>
      <c r="Z4166" s="1"/>
      <c r="AA4166" s="1">
        <v>357250.0</v>
      </c>
      <c r="AB4166" s="1"/>
      <c r="AC4166" s="1" t="s">
        <v>36</v>
      </c>
      <c r="AD4166" s="1" t="s">
        <v>14378</v>
      </c>
      <c r="AE4166" s="1" t="s">
        <v>32</v>
      </c>
      <c r="AF4166" s="1" t="s">
        <v>33</v>
      </c>
      <c r="AG4166" s="1" t="s">
        <v>270</v>
      </c>
    </row>
    <row r="4167" spans="1:33">
      <c r="A4167" t="s">
        <v>14385</v>
      </c>
      <c r="C4167" t="s">
        <v>1197</v>
      </c>
      <c r="D4167" t="s">
        <v>154</v>
      </c>
      <c r="E4167" t="s">
        <v>10616</v>
      </c>
      <c r="F4167" t="s">
        <v>10617</v>
      </c>
      <c r="G4167">
        <v>695.0</v>
      </c>
      <c r="H4167">
        <v>695.0</v>
      </c>
      <c r="I4167" t="s">
        <v>269</v>
      </c>
      <c r="J4167" t="s">
        <v>270</v>
      </c>
      <c r="K4167" t="s">
        <v>31</v>
      </c>
      <c r="L4167" t="s">
        <v>32</v>
      </c>
      <c r="M4167" t="s">
        <v>33</v>
      </c>
      <c r="P4167" s="1" t="s">
        <v>14386</v>
      </c>
      <c r="Q4167" s="1" t="s">
        <v>10616</v>
      </c>
      <c r="R4167" s="1" t="s">
        <v>10616</v>
      </c>
      <c r="S4167" s="1"/>
      <c r="T4167" s="1" t="s">
        <v>1197</v>
      </c>
      <c r="U4167" s="1"/>
      <c r="V4167" s="1">
        <v>695.0</v>
      </c>
      <c r="W4167" s="1">
        <v>695.0</v>
      </c>
      <c r="X4167" s="1" t="s">
        <v>35</v>
      </c>
      <c r="Y4167" s="1">
        <v>695000.0</v>
      </c>
      <c r="Z4167" s="1"/>
      <c r="AA4167" s="1">
        <v>695000.0</v>
      </c>
      <c r="AB4167" s="1"/>
      <c r="AC4167" s="1" t="s">
        <v>36</v>
      </c>
      <c r="AD4167" s="1" t="s">
        <v>14374</v>
      </c>
      <c r="AE4167" s="1" t="s">
        <v>32</v>
      </c>
      <c r="AF4167" s="1" t="s">
        <v>33</v>
      </c>
      <c r="AG4167" s="1" t="s">
        <v>270</v>
      </c>
    </row>
    <row r="4168" spans="1:33">
      <c r="A4168" t="s">
        <v>14387</v>
      </c>
      <c r="B4168" t="s">
        <v>14372</v>
      </c>
      <c r="C4168" t="s">
        <v>125</v>
      </c>
      <c r="E4168" t="s">
        <v>10616</v>
      </c>
      <c r="F4168" t="s">
        <v>10617</v>
      </c>
      <c r="G4168">
        <v>14.91</v>
      </c>
      <c r="H4168">
        <v>14.91</v>
      </c>
      <c r="I4168" t="s">
        <v>126</v>
      </c>
      <c r="J4168" t="s">
        <v>127</v>
      </c>
      <c r="K4168" t="s">
        <v>31</v>
      </c>
      <c r="L4168" t="s">
        <v>32</v>
      </c>
      <c r="M4168" t="s">
        <v>33</v>
      </c>
      <c r="P4168" s="1" t="s">
        <v>14388</v>
      </c>
      <c r="Q4168" s="1" t="s">
        <v>10616</v>
      </c>
      <c r="R4168" s="1" t="s">
        <v>10616</v>
      </c>
      <c r="S4168" s="1"/>
      <c r="T4168" s="1" t="s">
        <v>125</v>
      </c>
      <c r="U4168" s="1"/>
      <c r="V4168" s="1">
        <v>14.91</v>
      </c>
      <c r="W4168" s="1">
        <v>14.91</v>
      </c>
      <c r="X4168" s="1" t="s">
        <v>35</v>
      </c>
      <c r="Y4168" s="1">
        <v>14910.0</v>
      </c>
      <c r="Z4168" s="1"/>
      <c r="AA4168" s="1">
        <v>14910.0</v>
      </c>
      <c r="AB4168" s="1"/>
      <c r="AC4168" s="1" t="s">
        <v>36</v>
      </c>
      <c r="AD4168" s="1" t="s">
        <v>14389</v>
      </c>
      <c r="AE4168" s="1" t="s">
        <v>32</v>
      </c>
      <c r="AF4168" s="1" t="s">
        <v>33</v>
      </c>
      <c r="AG4168" s="1" t="s">
        <v>127</v>
      </c>
    </row>
    <row r="4169" spans="1:33">
      <c r="A4169" t="s">
        <v>14390</v>
      </c>
      <c r="B4169" t="s">
        <v>14391</v>
      </c>
      <c r="C4169" t="s">
        <v>268</v>
      </c>
      <c r="E4169" t="s">
        <v>10616</v>
      </c>
      <c r="F4169" t="s">
        <v>10617</v>
      </c>
      <c r="G4169">
        <v>49.75</v>
      </c>
      <c r="H4169">
        <v>49.75</v>
      </c>
      <c r="I4169" t="s">
        <v>269</v>
      </c>
      <c r="J4169" t="s">
        <v>270</v>
      </c>
      <c r="K4169" t="s">
        <v>31</v>
      </c>
      <c r="L4169" t="s">
        <v>32</v>
      </c>
      <c r="M4169" t="s">
        <v>33</v>
      </c>
      <c r="P4169" s="1" t="s">
        <v>14392</v>
      </c>
      <c r="Q4169" s="1" t="s">
        <v>10616</v>
      </c>
      <c r="R4169" s="1" t="s">
        <v>10616</v>
      </c>
      <c r="S4169" s="1"/>
      <c r="T4169" s="1" t="s">
        <v>268</v>
      </c>
      <c r="U4169" s="1"/>
      <c r="V4169" s="1">
        <v>49.75</v>
      </c>
      <c r="W4169" s="1">
        <v>49.75</v>
      </c>
      <c r="X4169" s="1" t="s">
        <v>35</v>
      </c>
      <c r="Y4169" s="1">
        <v>49750.0</v>
      </c>
      <c r="Z4169" s="1"/>
      <c r="AA4169" s="1">
        <v>49750.0</v>
      </c>
      <c r="AB4169" s="1"/>
      <c r="AC4169" s="1" t="s">
        <v>36</v>
      </c>
      <c r="AD4169" s="1" t="s">
        <v>14393</v>
      </c>
      <c r="AE4169" s="1" t="s">
        <v>32</v>
      </c>
      <c r="AF4169" s="1" t="s">
        <v>33</v>
      </c>
      <c r="AG4169" s="1" t="s">
        <v>270</v>
      </c>
    </row>
    <row r="4170" spans="1:33">
      <c r="A4170" t="s">
        <v>14394</v>
      </c>
      <c r="B4170" t="s">
        <v>14395</v>
      </c>
      <c r="C4170" t="s">
        <v>73</v>
      </c>
      <c r="E4170" t="s">
        <v>10616</v>
      </c>
      <c r="F4170" t="s">
        <v>10617</v>
      </c>
      <c r="G4170">
        <v>161.96</v>
      </c>
      <c r="H4170">
        <v>161.96</v>
      </c>
      <c r="I4170" t="s">
        <v>13331</v>
      </c>
      <c r="J4170" t="s">
        <v>41</v>
      </c>
      <c r="K4170" t="s">
        <v>31</v>
      </c>
      <c r="L4170" t="s">
        <v>32</v>
      </c>
      <c r="M4170" t="s">
        <v>33</v>
      </c>
      <c r="P4170" s="1" t="s">
        <v>14396</v>
      </c>
      <c r="Q4170" s="1" t="s">
        <v>10616</v>
      </c>
      <c r="R4170" s="1" t="s">
        <v>10495</v>
      </c>
      <c r="S4170" s="1"/>
      <c r="T4170" s="1" t="s">
        <v>75</v>
      </c>
      <c r="U4170" s="1" t="s">
        <v>76</v>
      </c>
      <c r="V4170" s="1">
        <v>161.96</v>
      </c>
      <c r="W4170" s="1">
        <v>161.96</v>
      </c>
      <c r="X4170" s="1" t="s">
        <v>35</v>
      </c>
      <c r="Y4170" s="1">
        <v>161960.0</v>
      </c>
      <c r="Z4170" s="1"/>
      <c r="AA4170" s="1">
        <v>161960.0</v>
      </c>
      <c r="AB4170" s="1"/>
      <c r="AC4170" s="1" t="s">
        <v>36</v>
      </c>
      <c r="AD4170" s="1" t="s">
        <v>14397</v>
      </c>
      <c r="AE4170" s="1" t="s">
        <v>32</v>
      </c>
      <c r="AF4170" s="1" t="s">
        <v>33</v>
      </c>
      <c r="AG4170" s="1" t="s">
        <v>41</v>
      </c>
    </row>
    <row r="4171" spans="1:33">
      <c r="A4171" t="s">
        <v>14398</v>
      </c>
      <c r="C4171" t="s">
        <v>14399</v>
      </c>
      <c r="E4171" t="s">
        <v>10616</v>
      </c>
      <c r="F4171" t="s">
        <v>10617</v>
      </c>
      <c r="G4171">
        <v>2.596</v>
      </c>
      <c r="H4171">
        <v>2.596</v>
      </c>
      <c r="I4171" t="s">
        <v>227</v>
      </c>
      <c r="J4171" t="s">
        <v>228</v>
      </c>
      <c r="K4171" t="s">
        <v>31</v>
      </c>
      <c r="L4171" t="s">
        <v>32</v>
      </c>
      <c r="M4171" t="s">
        <v>33</v>
      </c>
      <c r="P4171" s="1" t="s">
        <v>14400</v>
      </c>
      <c r="Q4171" s="1" t="s">
        <v>10616</v>
      </c>
      <c r="R4171" s="1" t="s">
        <v>10616</v>
      </c>
      <c r="S4171" s="1"/>
      <c r="T4171" s="1" t="s">
        <v>14399</v>
      </c>
      <c r="U4171" s="1"/>
      <c r="V4171" s="1">
        <v>2.596</v>
      </c>
      <c r="W4171" s="1">
        <v>2.596</v>
      </c>
      <c r="X4171" s="1" t="s">
        <v>35</v>
      </c>
      <c r="Y4171" s="1">
        <v>2596000.0</v>
      </c>
      <c r="Z4171" s="1"/>
      <c r="AA4171" s="1">
        <v>2596000.0</v>
      </c>
      <c r="AB4171" s="1"/>
      <c r="AC4171" s="1" t="s">
        <v>36</v>
      </c>
      <c r="AD4171" s="1" t="s">
        <v>14389</v>
      </c>
      <c r="AE4171" s="1" t="s">
        <v>32</v>
      </c>
      <c r="AF4171" s="1" t="s">
        <v>33</v>
      </c>
      <c r="AG4171" s="1" t="s">
        <v>228</v>
      </c>
    </row>
    <row r="4172" spans="1:33">
      <c r="A4172" t="s">
        <v>14401</v>
      </c>
      <c r="C4172" t="s">
        <v>12483</v>
      </c>
      <c r="E4172" t="s">
        <v>10616</v>
      </c>
      <c r="F4172" t="s">
        <v>10617</v>
      </c>
      <c r="G4172">
        <v>336.0</v>
      </c>
      <c r="H4172">
        <v>336.0</v>
      </c>
      <c r="I4172" t="s">
        <v>14093</v>
      </c>
      <c r="J4172" t="s">
        <v>95</v>
      </c>
      <c r="K4172" t="s">
        <v>31</v>
      </c>
      <c r="L4172" t="s">
        <v>32</v>
      </c>
      <c r="M4172" t="s">
        <v>33</v>
      </c>
      <c r="P4172" s="1" t="s">
        <v>14402</v>
      </c>
      <c r="Q4172" s="1" t="s">
        <v>10616</v>
      </c>
      <c r="R4172" s="1" t="s">
        <v>10616</v>
      </c>
      <c r="S4172" s="1"/>
      <c r="T4172" s="1" t="s">
        <v>12483</v>
      </c>
      <c r="U4172" s="1"/>
      <c r="V4172" s="1">
        <v>336.0</v>
      </c>
      <c r="W4172" s="1">
        <v>336.0</v>
      </c>
      <c r="X4172" s="1" t="s">
        <v>35</v>
      </c>
      <c r="Y4172" s="1">
        <v>336000.0</v>
      </c>
      <c r="Z4172" s="1"/>
      <c r="AA4172" s="1">
        <v>336000.0</v>
      </c>
      <c r="AB4172" s="1"/>
      <c r="AC4172" s="1" t="s">
        <v>36</v>
      </c>
      <c r="AD4172" s="1" t="s">
        <v>14403</v>
      </c>
      <c r="AE4172" s="1" t="s">
        <v>32</v>
      </c>
      <c r="AF4172" s="1" t="s">
        <v>33</v>
      </c>
      <c r="AG4172" s="1" t="s">
        <v>95</v>
      </c>
    </row>
    <row r="4173" spans="1:33">
      <c r="A4173" t="s">
        <v>14404</v>
      </c>
      <c r="B4173" t="s">
        <v>14405</v>
      </c>
      <c r="C4173" t="s">
        <v>172</v>
      </c>
      <c r="E4173" t="s">
        <v>10616</v>
      </c>
      <c r="F4173" t="s">
        <v>10617</v>
      </c>
      <c r="G4173">
        <v>24.99</v>
      </c>
      <c r="H4173">
        <v>24.99</v>
      </c>
      <c r="I4173" t="s">
        <v>173</v>
      </c>
      <c r="J4173" t="s">
        <v>174</v>
      </c>
      <c r="K4173" t="s">
        <v>31</v>
      </c>
      <c r="L4173" t="s">
        <v>32</v>
      </c>
      <c r="M4173" t="s">
        <v>33</v>
      </c>
      <c r="P4173" s="1" t="s">
        <v>14406</v>
      </c>
      <c r="Q4173" s="1" t="s">
        <v>10616</v>
      </c>
      <c r="R4173" s="1" t="s">
        <v>10616</v>
      </c>
      <c r="S4173" s="1"/>
      <c r="T4173" s="1" t="s">
        <v>172</v>
      </c>
      <c r="U4173" s="1"/>
      <c r="V4173" s="1">
        <v>24.99</v>
      </c>
      <c r="W4173" s="1">
        <v>24.99</v>
      </c>
      <c r="X4173" s="1" t="s">
        <v>35</v>
      </c>
      <c r="Y4173" s="1">
        <v>24990.0</v>
      </c>
      <c r="Z4173" s="1"/>
      <c r="AA4173" s="1">
        <v>24990.0</v>
      </c>
      <c r="AB4173" s="1"/>
      <c r="AC4173" s="1" t="s">
        <v>36</v>
      </c>
      <c r="AD4173" s="1" t="s">
        <v>14407</v>
      </c>
      <c r="AE4173" s="1" t="s">
        <v>32</v>
      </c>
      <c r="AF4173" s="1" t="s">
        <v>33</v>
      </c>
      <c r="AG4173" s="1" t="s">
        <v>174</v>
      </c>
    </row>
    <row r="4174" spans="1:33">
      <c r="A4174" t="s">
        <v>14408</v>
      </c>
      <c r="C4174" t="s">
        <v>3133</v>
      </c>
      <c r="E4174" t="s">
        <v>10616</v>
      </c>
      <c r="F4174" t="s">
        <v>10617</v>
      </c>
      <c r="G4174">
        <v>720.0</v>
      </c>
      <c r="H4174">
        <v>720.0</v>
      </c>
      <c r="I4174" t="s">
        <v>269</v>
      </c>
      <c r="J4174" t="s">
        <v>270</v>
      </c>
      <c r="K4174" t="s">
        <v>31</v>
      </c>
      <c r="L4174" t="s">
        <v>32</v>
      </c>
      <c r="M4174" t="s">
        <v>33</v>
      </c>
      <c r="P4174" s="1" t="s">
        <v>14409</v>
      </c>
      <c r="Q4174" s="1" t="s">
        <v>10616</v>
      </c>
      <c r="R4174" s="1" t="s">
        <v>10616</v>
      </c>
      <c r="S4174" s="1"/>
      <c r="T4174" s="1" t="s">
        <v>3133</v>
      </c>
      <c r="U4174" s="1"/>
      <c r="V4174" s="1">
        <v>720.0</v>
      </c>
      <c r="W4174" s="1">
        <v>720.0</v>
      </c>
      <c r="X4174" s="1" t="s">
        <v>35</v>
      </c>
      <c r="Y4174" s="1">
        <v>720000.0</v>
      </c>
      <c r="Z4174" s="1"/>
      <c r="AA4174" s="1">
        <v>720000.0</v>
      </c>
      <c r="AB4174" s="1"/>
      <c r="AC4174" s="1" t="s">
        <v>36</v>
      </c>
      <c r="AD4174" s="1" t="s">
        <v>14410</v>
      </c>
      <c r="AE4174" s="1" t="s">
        <v>32</v>
      </c>
      <c r="AF4174" s="1" t="s">
        <v>33</v>
      </c>
      <c r="AG4174" s="1" t="s">
        <v>270</v>
      </c>
    </row>
    <row r="4175" spans="1:33">
      <c r="A4175" t="s">
        <v>14411</v>
      </c>
      <c r="B4175" t="s">
        <v>14412</v>
      </c>
      <c r="C4175" t="s">
        <v>125</v>
      </c>
      <c r="E4175" t="s">
        <v>10616</v>
      </c>
      <c r="F4175" t="s">
        <v>10617</v>
      </c>
      <c r="G4175">
        <v>36.49</v>
      </c>
      <c r="H4175">
        <v>36.49</v>
      </c>
      <c r="I4175" t="s">
        <v>126</v>
      </c>
      <c r="J4175" t="s">
        <v>127</v>
      </c>
      <c r="K4175" t="s">
        <v>31</v>
      </c>
      <c r="L4175" t="s">
        <v>32</v>
      </c>
      <c r="M4175" t="s">
        <v>33</v>
      </c>
      <c r="P4175" s="1" t="s">
        <v>14413</v>
      </c>
      <c r="Q4175" s="1" t="s">
        <v>10616</v>
      </c>
      <c r="R4175" s="1" t="s">
        <v>10616</v>
      </c>
      <c r="S4175" s="1"/>
      <c r="T4175" s="1" t="s">
        <v>125</v>
      </c>
      <c r="U4175" s="1"/>
      <c r="V4175" s="1">
        <v>36.49</v>
      </c>
      <c r="W4175" s="1">
        <v>36.49</v>
      </c>
      <c r="X4175" s="1" t="s">
        <v>35</v>
      </c>
      <c r="Y4175" s="1">
        <v>36490.0</v>
      </c>
      <c r="Z4175" s="1"/>
      <c r="AA4175" s="1">
        <v>36490.0</v>
      </c>
      <c r="AB4175" s="1"/>
      <c r="AC4175" s="1" t="s">
        <v>36</v>
      </c>
      <c r="AD4175" s="1" t="s">
        <v>14414</v>
      </c>
      <c r="AE4175" s="1" t="s">
        <v>32</v>
      </c>
      <c r="AF4175" s="1" t="s">
        <v>33</v>
      </c>
      <c r="AG4175" s="1" t="s">
        <v>127</v>
      </c>
    </row>
    <row r="4176" spans="1:33">
      <c r="A4176" t="s">
        <v>14415</v>
      </c>
      <c r="C4176" t="s">
        <v>288</v>
      </c>
      <c r="D4176" t="s">
        <v>114</v>
      </c>
      <c r="E4176" t="s">
        <v>10616</v>
      </c>
      <c r="F4176" t="s">
        <v>10617</v>
      </c>
      <c r="G4176">
        <v>328.0</v>
      </c>
      <c r="H4176">
        <v>328.0</v>
      </c>
      <c r="I4176" t="s">
        <v>269</v>
      </c>
      <c r="J4176" t="s">
        <v>270</v>
      </c>
      <c r="K4176" t="s">
        <v>31</v>
      </c>
      <c r="L4176" t="s">
        <v>32</v>
      </c>
      <c r="M4176" t="s">
        <v>33</v>
      </c>
      <c r="P4176" s="1" t="s">
        <v>14416</v>
      </c>
      <c r="Q4176" s="1" t="s">
        <v>10616</v>
      </c>
      <c r="R4176" s="1" t="s">
        <v>10616</v>
      </c>
      <c r="S4176" s="1"/>
      <c r="T4176" s="1" t="s">
        <v>288</v>
      </c>
      <c r="U4176" s="1"/>
      <c r="V4176" s="1">
        <v>328.0</v>
      </c>
      <c r="W4176" s="1">
        <v>328.0</v>
      </c>
      <c r="X4176" s="1" t="s">
        <v>35</v>
      </c>
      <c r="Y4176" s="1">
        <v>328000.0</v>
      </c>
      <c r="Z4176" s="1"/>
      <c r="AA4176" s="1">
        <v>328000.0</v>
      </c>
      <c r="AB4176" s="1"/>
      <c r="AC4176" s="1" t="s">
        <v>36</v>
      </c>
      <c r="AD4176" s="1" t="s">
        <v>14403</v>
      </c>
      <c r="AE4176" s="1" t="s">
        <v>32</v>
      </c>
      <c r="AF4176" s="1" t="s">
        <v>33</v>
      </c>
      <c r="AG4176" s="1" t="s">
        <v>270</v>
      </c>
    </row>
    <row r="4177" spans="1:33">
      <c r="A4177" t="s">
        <v>14417</v>
      </c>
      <c r="C4177" t="s">
        <v>11235</v>
      </c>
      <c r="E4177" t="s">
        <v>10616</v>
      </c>
      <c r="F4177" t="s">
        <v>10617</v>
      </c>
      <c r="G4177">
        <v>1.68</v>
      </c>
      <c r="H4177">
        <v>1.68</v>
      </c>
      <c r="I4177" t="s">
        <v>14093</v>
      </c>
      <c r="J4177" t="s">
        <v>95</v>
      </c>
      <c r="K4177" t="s">
        <v>31</v>
      </c>
      <c r="L4177" t="s">
        <v>32</v>
      </c>
      <c r="M4177" t="s">
        <v>33</v>
      </c>
      <c r="P4177" s="1" t="s">
        <v>14418</v>
      </c>
      <c r="Q4177" s="1" t="s">
        <v>10616</v>
      </c>
      <c r="R4177" s="1" t="s">
        <v>10616</v>
      </c>
      <c r="S4177" s="1"/>
      <c r="T4177" s="1" t="s">
        <v>11235</v>
      </c>
      <c r="U4177" s="1"/>
      <c r="V4177" s="1">
        <v>1.68</v>
      </c>
      <c r="W4177" s="1">
        <v>1.68</v>
      </c>
      <c r="X4177" s="1" t="s">
        <v>35</v>
      </c>
      <c r="Y4177" s="1">
        <v>1680000.0</v>
      </c>
      <c r="Z4177" s="1"/>
      <c r="AA4177" s="1">
        <v>1680000.0</v>
      </c>
      <c r="AB4177" s="1"/>
      <c r="AC4177" s="1" t="s">
        <v>36</v>
      </c>
      <c r="AD4177" s="1" t="s">
        <v>14419</v>
      </c>
      <c r="AE4177" s="1" t="s">
        <v>32</v>
      </c>
      <c r="AF4177" s="1" t="s">
        <v>33</v>
      </c>
      <c r="AG4177" s="1" t="s">
        <v>95</v>
      </c>
    </row>
    <row r="4178" spans="1:33">
      <c r="A4178" t="s">
        <v>14420</v>
      </c>
      <c r="B4178" t="s">
        <v>14421</v>
      </c>
      <c r="C4178" t="s">
        <v>125</v>
      </c>
      <c r="E4178" t="s">
        <v>10616</v>
      </c>
      <c r="F4178" t="s">
        <v>10617</v>
      </c>
      <c r="G4178">
        <v>12.544</v>
      </c>
      <c r="H4178">
        <v>12.544</v>
      </c>
      <c r="I4178" t="s">
        <v>126</v>
      </c>
      <c r="J4178" t="s">
        <v>127</v>
      </c>
      <c r="K4178" t="s">
        <v>31</v>
      </c>
      <c r="L4178" t="s">
        <v>32</v>
      </c>
      <c r="M4178" t="s">
        <v>33</v>
      </c>
      <c r="P4178" s="1" t="s">
        <v>14422</v>
      </c>
      <c r="Q4178" s="1" t="s">
        <v>10616</v>
      </c>
      <c r="R4178" s="1" t="s">
        <v>10616</v>
      </c>
      <c r="S4178" s="1"/>
      <c r="T4178" s="1" t="s">
        <v>125</v>
      </c>
      <c r="U4178" s="1"/>
      <c r="V4178" s="1">
        <v>12.544</v>
      </c>
      <c r="W4178" s="1">
        <v>12.544</v>
      </c>
      <c r="X4178" s="1" t="s">
        <v>35</v>
      </c>
      <c r="Y4178" s="1">
        <v>12544.0</v>
      </c>
      <c r="Z4178" s="1"/>
      <c r="AA4178" s="1">
        <v>12544.0</v>
      </c>
      <c r="AB4178" s="1"/>
      <c r="AC4178" s="1" t="s">
        <v>36</v>
      </c>
      <c r="AD4178" s="1" t="s">
        <v>14423</v>
      </c>
      <c r="AE4178" s="1" t="s">
        <v>32</v>
      </c>
      <c r="AF4178" s="1" t="s">
        <v>33</v>
      </c>
      <c r="AG4178" s="1" t="s">
        <v>127</v>
      </c>
    </row>
    <row r="4179" spans="1:33">
      <c r="A4179" t="s">
        <v>14424</v>
      </c>
      <c r="B4179" t="s">
        <v>14425</v>
      </c>
      <c r="C4179" t="s">
        <v>906</v>
      </c>
      <c r="E4179" t="s">
        <v>10616</v>
      </c>
      <c r="F4179" t="s">
        <v>10617</v>
      </c>
      <c r="G4179">
        <v>132.75</v>
      </c>
      <c r="H4179">
        <v>132.75</v>
      </c>
      <c r="I4179" t="s">
        <v>847</v>
      </c>
      <c r="J4179" t="s">
        <v>848</v>
      </c>
      <c r="K4179" t="s">
        <v>31</v>
      </c>
      <c r="L4179" t="s">
        <v>32</v>
      </c>
      <c r="M4179" t="s">
        <v>33</v>
      </c>
      <c r="P4179" s="1" t="s">
        <v>14426</v>
      </c>
      <c r="Q4179" s="1" t="s">
        <v>10616</v>
      </c>
      <c r="R4179" s="1" t="s">
        <v>10616</v>
      </c>
      <c r="S4179" s="1"/>
      <c r="T4179" s="1" t="s">
        <v>906</v>
      </c>
      <c r="U4179" s="1"/>
      <c r="V4179" s="1">
        <v>132.75</v>
      </c>
      <c r="W4179" s="1">
        <v>132.75</v>
      </c>
      <c r="X4179" s="1" t="s">
        <v>35</v>
      </c>
      <c r="Y4179" s="1">
        <v>132750.0</v>
      </c>
      <c r="Z4179" s="1"/>
      <c r="AA4179" s="1">
        <v>132750.0</v>
      </c>
      <c r="AB4179" s="1"/>
      <c r="AC4179" s="1" t="s">
        <v>36</v>
      </c>
      <c r="AD4179" s="1" t="s">
        <v>14427</v>
      </c>
      <c r="AE4179" s="1" t="s">
        <v>32</v>
      </c>
      <c r="AF4179" s="1" t="s">
        <v>33</v>
      </c>
      <c r="AG4179" s="1" t="s">
        <v>848</v>
      </c>
    </row>
    <row r="4180" spans="1:33">
      <c r="A4180" t="s">
        <v>14428</v>
      </c>
      <c r="B4180" t="s">
        <v>5257</v>
      </c>
      <c r="C4180" t="s">
        <v>314</v>
      </c>
      <c r="E4180" t="s">
        <v>10616</v>
      </c>
      <c r="F4180" t="s">
        <v>10617</v>
      </c>
      <c r="G4180">
        <v>18.59</v>
      </c>
      <c r="H4180">
        <v>18.59</v>
      </c>
      <c r="I4180" t="s">
        <v>179</v>
      </c>
      <c r="J4180" t="s">
        <v>180</v>
      </c>
      <c r="K4180" t="s">
        <v>31</v>
      </c>
      <c r="L4180" t="s">
        <v>32</v>
      </c>
      <c r="M4180" t="s">
        <v>33</v>
      </c>
      <c r="P4180" s="1" t="s">
        <v>14429</v>
      </c>
      <c r="Q4180" s="1" t="s">
        <v>10616</v>
      </c>
      <c r="R4180" s="1" t="s">
        <v>10616</v>
      </c>
      <c r="S4180" s="1"/>
      <c r="T4180" s="1" t="s">
        <v>314</v>
      </c>
      <c r="U4180" s="1"/>
      <c r="V4180" s="1">
        <v>18.59</v>
      </c>
      <c r="W4180" s="1">
        <v>18.59</v>
      </c>
      <c r="X4180" s="1" t="s">
        <v>35</v>
      </c>
      <c r="Y4180" s="1">
        <v>18590.0</v>
      </c>
      <c r="Z4180" s="1"/>
      <c r="AA4180" s="1">
        <v>18590.0</v>
      </c>
      <c r="AB4180" s="1"/>
      <c r="AC4180" s="1" t="s">
        <v>36</v>
      </c>
      <c r="AD4180" s="1" t="s">
        <v>14430</v>
      </c>
      <c r="AE4180" s="1" t="s">
        <v>32</v>
      </c>
      <c r="AF4180" s="1" t="s">
        <v>33</v>
      </c>
      <c r="AG4180" s="1" t="s">
        <v>180</v>
      </c>
    </row>
    <row r="4181" spans="1:33">
      <c r="A4181" t="s">
        <v>14431</v>
      </c>
      <c r="B4181" t="s">
        <v>14432</v>
      </c>
      <c r="C4181" t="s">
        <v>47</v>
      </c>
      <c r="E4181" t="s">
        <v>10616</v>
      </c>
      <c r="F4181" t="s">
        <v>10617</v>
      </c>
      <c r="G4181">
        <v>4.298</v>
      </c>
      <c r="H4181">
        <v>4.298</v>
      </c>
      <c r="I4181" t="s">
        <v>2206</v>
      </c>
      <c r="J4181" t="s">
        <v>49</v>
      </c>
      <c r="K4181" t="s">
        <v>31</v>
      </c>
      <c r="L4181" t="s">
        <v>32</v>
      </c>
      <c r="M4181" t="s">
        <v>33</v>
      </c>
      <c r="P4181" s="1" t="s">
        <v>14433</v>
      </c>
      <c r="Q4181" s="1" t="s">
        <v>10616</v>
      </c>
      <c r="R4181" s="1" t="s">
        <v>10616</v>
      </c>
      <c r="S4181" s="1"/>
      <c r="T4181" s="1" t="s">
        <v>47</v>
      </c>
      <c r="U4181" s="1"/>
      <c r="V4181" s="1">
        <v>4.298</v>
      </c>
      <c r="W4181" s="1">
        <v>4.298</v>
      </c>
      <c r="X4181" s="1" t="s">
        <v>35</v>
      </c>
      <c r="Y4181" s="1">
        <v>4298.0</v>
      </c>
      <c r="Z4181" s="1"/>
      <c r="AA4181" s="1">
        <v>4298.0</v>
      </c>
      <c r="AB4181" s="1"/>
      <c r="AC4181" s="1" t="s">
        <v>36</v>
      </c>
      <c r="AD4181" s="1" t="s">
        <v>14434</v>
      </c>
      <c r="AE4181" s="1" t="s">
        <v>32</v>
      </c>
      <c r="AF4181" s="1" t="s">
        <v>33</v>
      </c>
      <c r="AG4181" s="1" t="s">
        <v>49</v>
      </c>
    </row>
    <row r="4182" spans="1:33">
      <c r="A4182" t="s">
        <v>14435</v>
      </c>
      <c r="B4182" t="s">
        <v>2489</v>
      </c>
      <c r="C4182" t="s">
        <v>2490</v>
      </c>
      <c r="D4182" t="s">
        <v>154</v>
      </c>
      <c r="E4182" t="s">
        <v>10616</v>
      </c>
      <c r="F4182" t="s">
        <v>10617</v>
      </c>
      <c r="G4182">
        <v>584.1</v>
      </c>
      <c r="H4182">
        <v>584.1</v>
      </c>
      <c r="I4182" t="s">
        <v>529</v>
      </c>
      <c r="J4182" t="s">
        <v>530</v>
      </c>
      <c r="K4182" t="s">
        <v>31</v>
      </c>
      <c r="L4182" t="s">
        <v>32</v>
      </c>
      <c r="M4182" t="s">
        <v>33</v>
      </c>
      <c r="P4182" s="1" t="s">
        <v>14436</v>
      </c>
      <c r="Q4182" s="1" t="s">
        <v>10616</v>
      </c>
      <c r="R4182" s="1" t="s">
        <v>10495</v>
      </c>
      <c r="S4182" s="1"/>
      <c r="T4182" s="1" t="s">
        <v>2490</v>
      </c>
      <c r="U4182" s="1"/>
      <c r="V4182" s="1">
        <v>584.1</v>
      </c>
      <c r="W4182" s="1">
        <v>584.1</v>
      </c>
      <c r="X4182" s="1" t="s">
        <v>35</v>
      </c>
      <c r="Y4182" s="1">
        <v>584100.0</v>
      </c>
      <c r="Z4182" s="1"/>
      <c r="AA4182" s="1">
        <v>584100.0</v>
      </c>
      <c r="AB4182" s="1"/>
      <c r="AC4182" s="1" t="s">
        <v>36</v>
      </c>
      <c r="AD4182" s="1" t="s">
        <v>14437</v>
      </c>
      <c r="AE4182" s="1" t="s">
        <v>32</v>
      </c>
      <c r="AF4182" s="1" t="s">
        <v>33</v>
      </c>
      <c r="AG4182" s="1" t="s">
        <v>530</v>
      </c>
    </row>
    <row r="4183" spans="1:33">
      <c r="A4183" t="s">
        <v>14438</v>
      </c>
      <c r="C4183" t="s">
        <v>14439</v>
      </c>
      <c r="E4183" t="s">
        <v>10616</v>
      </c>
      <c r="F4183" t="s">
        <v>10617</v>
      </c>
      <c r="G4183">
        <v>602.6</v>
      </c>
      <c r="H4183">
        <v>602.6</v>
      </c>
      <c r="I4183" t="s">
        <v>13331</v>
      </c>
      <c r="J4183" t="s">
        <v>41</v>
      </c>
      <c r="K4183" t="s">
        <v>31</v>
      </c>
      <c r="L4183" t="s">
        <v>32</v>
      </c>
      <c r="M4183" t="s">
        <v>33</v>
      </c>
      <c r="P4183" s="1" t="s">
        <v>14440</v>
      </c>
      <c r="Q4183" s="1" t="s">
        <v>10616</v>
      </c>
      <c r="R4183" s="1" t="s">
        <v>10495</v>
      </c>
      <c r="S4183" s="1"/>
      <c r="T4183" s="1" t="s">
        <v>14439</v>
      </c>
      <c r="U4183" s="1"/>
      <c r="V4183" s="1">
        <v>602.6</v>
      </c>
      <c r="W4183" s="1">
        <v>602.6</v>
      </c>
      <c r="X4183" s="1" t="s">
        <v>35</v>
      </c>
      <c r="Y4183" s="1">
        <v>602600.0</v>
      </c>
      <c r="Z4183" s="1"/>
      <c r="AA4183" s="1">
        <v>602600.0</v>
      </c>
      <c r="AB4183" s="1"/>
      <c r="AC4183" s="1" t="s">
        <v>36</v>
      </c>
      <c r="AD4183" s="1" t="s">
        <v>14437</v>
      </c>
      <c r="AE4183" s="1" t="s">
        <v>32</v>
      </c>
      <c r="AF4183" s="1" t="s">
        <v>33</v>
      </c>
      <c r="AG4183" s="1" t="s">
        <v>41</v>
      </c>
    </row>
    <row r="4184" spans="1:33">
      <c r="A4184" t="s">
        <v>14441</v>
      </c>
      <c r="B4184" t="s">
        <v>897</v>
      </c>
      <c r="C4184" t="s">
        <v>314</v>
      </c>
      <c r="E4184" t="s">
        <v>10616</v>
      </c>
      <c r="F4184" t="s">
        <v>10617</v>
      </c>
      <c r="G4184">
        <v>70.92</v>
      </c>
      <c r="H4184">
        <v>70.92</v>
      </c>
      <c r="I4184" t="s">
        <v>179</v>
      </c>
      <c r="J4184" t="s">
        <v>180</v>
      </c>
      <c r="K4184" t="s">
        <v>31</v>
      </c>
      <c r="L4184" t="s">
        <v>32</v>
      </c>
      <c r="M4184" t="s">
        <v>33</v>
      </c>
      <c r="P4184" s="1" t="s">
        <v>14442</v>
      </c>
      <c r="Q4184" s="1" t="s">
        <v>10616</v>
      </c>
      <c r="R4184" s="1" t="s">
        <v>10616</v>
      </c>
      <c r="S4184" s="1"/>
      <c r="T4184" s="1" t="s">
        <v>314</v>
      </c>
      <c r="U4184" s="1"/>
      <c r="V4184" s="1">
        <v>70.92</v>
      </c>
      <c r="W4184" s="1">
        <v>70.92</v>
      </c>
      <c r="X4184" s="1" t="s">
        <v>35</v>
      </c>
      <c r="Y4184" s="1">
        <v>70920.0</v>
      </c>
      <c r="Z4184" s="1"/>
      <c r="AA4184" s="1">
        <v>70920.0</v>
      </c>
      <c r="AB4184" s="1"/>
      <c r="AC4184" s="1" t="s">
        <v>36</v>
      </c>
      <c r="AD4184" s="1" t="s">
        <v>14443</v>
      </c>
      <c r="AE4184" s="1" t="s">
        <v>32</v>
      </c>
      <c r="AF4184" s="1" t="s">
        <v>33</v>
      </c>
      <c r="AG4184" s="1" t="s">
        <v>180</v>
      </c>
    </row>
    <row r="4185" spans="1:33">
      <c r="A4185" t="s">
        <v>14444</v>
      </c>
      <c r="C4185" t="s">
        <v>2395</v>
      </c>
      <c r="E4185" t="s">
        <v>10616</v>
      </c>
      <c r="F4185" t="s">
        <v>10617</v>
      </c>
      <c r="G4185">
        <v>1.26</v>
      </c>
      <c r="H4185">
        <v>1.26</v>
      </c>
      <c r="I4185" t="s">
        <v>13331</v>
      </c>
      <c r="J4185" t="s">
        <v>41</v>
      </c>
      <c r="K4185" t="s">
        <v>31</v>
      </c>
      <c r="L4185" t="s">
        <v>32</v>
      </c>
      <c r="M4185" t="s">
        <v>33</v>
      </c>
      <c r="P4185" s="1" t="s">
        <v>14445</v>
      </c>
      <c r="Q4185" s="1" t="s">
        <v>10616</v>
      </c>
      <c r="R4185" s="1" t="s">
        <v>10495</v>
      </c>
      <c r="S4185" s="1"/>
      <c r="T4185" s="1" t="s">
        <v>2397</v>
      </c>
      <c r="U4185" s="1" t="s">
        <v>2398</v>
      </c>
      <c r="V4185" s="1">
        <v>1.26</v>
      </c>
      <c r="W4185" s="1">
        <v>1.26</v>
      </c>
      <c r="X4185" s="1" t="s">
        <v>35</v>
      </c>
      <c r="Y4185" s="1">
        <v>1260000.0</v>
      </c>
      <c r="Z4185" s="1"/>
      <c r="AA4185" s="1">
        <v>1260000.0</v>
      </c>
      <c r="AB4185" s="1"/>
      <c r="AC4185" s="1" t="s">
        <v>36</v>
      </c>
      <c r="AD4185" s="1" t="s">
        <v>14434</v>
      </c>
      <c r="AE4185" s="1" t="s">
        <v>32</v>
      </c>
      <c r="AF4185" s="1" t="s">
        <v>33</v>
      </c>
      <c r="AG4185" s="1" t="s">
        <v>41</v>
      </c>
    </row>
    <row r="4186" spans="1:33">
      <c r="A4186" t="s">
        <v>14446</v>
      </c>
      <c r="C4186" t="s">
        <v>1720</v>
      </c>
      <c r="E4186" t="s">
        <v>10616</v>
      </c>
      <c r="F4186" t="s">
        <v>10617</v>
      </c>
      <c r="G4186">
        <v>640.0</v>
      </c>
      <c r="H4186">
        <v>640.0</v>
      </c>
      <c r="I4186" t="s">
        <v>173</v>
      </c>
      <c r="J4186" t="s">
        <v>174</v>
      </c>
      <c r="K4186" t="s">
        <v>31</v>
      </c>
      <c r="L4186" t="s">
        <v>32</v>
      </c>
      <c r="M4186" t="s">
        <v>33</v>
      </c>
      <c r="P4186" s="1" t="s">
        <v>14447</v>
      </c>
      <c r="Q4186" s="1" t="s">
        <v>10616</v>
      </c>
      <c r="R4186" s="1" t="s">
        <v>10616</v>
      </c>
      <c r="S4186" s="1"/>
      <c r="T4186" s="1" t="s">
        <v>1720</v>
      </c>
      <c r="U4186" s="1"/>
      <c r="V4186" s="1">
        <v>640.0</v>
      </c>
      <c r="W4186" s="1">
        <v>640.0</v>
      </c>
      <c r="X4186" s="1" t="s">
        <v>35</v>
      </c>
      <c r="Y4186" s="1">
        <v>720000.0</v>
      </c>
      <c r="Z4186" s="1">
        <v>-80000</v>
      </c>
      <c r="AA4186" s="1">
        <v>720000.0</v>
      </c>
      <c r="AB4186" s="1">
        <v>-80000</v>
      </c>
      <c r="AC4186" s="1" t="s">
        <v>36</v>
      </c>
      <c r="AD4186" s="1" t="s">
        <v>14448</v>
      </c>
      <c r="AE4186" s="1" t="s">
        <v>32</v>
      </c>
      <c r="AF4186" s="1" t="s">
        <v>33</v>
      </c>
      <c r="AG4186" s="1" t="s">
        <v>174</v>
      </c>
    </row>
    <row r="4187" spans="1:33">
      <c r="A4187" t="s">
        <v>14449</v>
      </c>
      <c r="C4187" t="s">
        <v>3133</v>
      </c>
      <c r="E4187" t="s">
        <v>10616</v>
      </c>
      <c r="F4187" t="s">
        <v>10617</v>
      </c>
      <c r="G4187">
        <v>987.5</v>
      </c>
      <c r="H4187">
        <v>987.5</v>
      </c>
      <c r="I4187" t="s">
        <v>269</v>
      </c>
      <c r="J4187" t="s">
        <v>270</v>
      </c>
      <c r="K4187" t="s">
        <v>31</v>
      </c>
      <c r="L4187" t="s">
        <v>32</v>
      </c>
      <c r="M4187" t="s">
        <v>33</v>
      </c>
      <c r="P4187" s="1" t="s">
        <v>14450</v>
      </c>
      <c r="Q4187" s="1" t="s">
        <v>10616</v>
      </c>
      <c r="R4187" s="1" t="s">
        <v>10616</v>
      </c>
      <c r="S4187" s="1"/>
      <c r="T4187" s="1" t="s">
        <v>3133</v>
      </c>
      <c r="U4187" s="1"/>
      <c r="V4187" s="1">
        <v>987.5</v>
      </c>
      <c r="W4187" s="1">
        <v>987.5</v>
      </c>
      <c r="X4187" s="1" t="s">
        <v>35</v>
      </c>
      <c r="Y4187" s="1">
        <v>987500.0</v>
      </c>
      <c r="Z4187" s="1"/>
      <c r="AA4187" s="1">
        <v>987500.0</v>
      </c>
      <c r="AB4187" s="1"/>
      <c r="AC4187" s="1" t="s">
        <v>36</v>
      </c>
      <c r="AD4187" s="1" t="s">
        <v>14443</v>
      </c>
      <c r="AE4187" s="1" t="s">
        <v>32</v>
      </c>
      <c r="AF4187" s="1" t="s">
        <v>33</v>
      </c>
      <c r="AG4187" s="1" t="s">
        <v>270</v>
      </c>
    </row>
    <row r="4188" spans="1:33">
      <c r="A4188" t="s">
        <v>14451</v>
      </c>
      <c r="B4188" t="s">
        <v>13922</v>
      </c>
      <c r="C4188" t="s">
        <v>13923</v>
      </c>
      <c r="D4188" t="s">
        <v>114</v>
      </c>
      <c r="E4188" t="s">
        <v>10616</v>
      </c>
      <c r="F4188" t="s">
        <v>10617</v>
      </c>
      <c r="G4188">
        <v>44.98</v>
      </c>
      <c r="H4188">
        <v>44.98</v>
      </c>
      <c r="I4188" t="s">
        <v>59</v>
      </c>
      <c r="J4188" t="s">
        <v>60</v>
      </c>
      <c r="K4188" t="s">
        <v>31</v>
      </c>
      <c r="L4188" t="s">
        <v>32</v>
      </c>
      <c r="M4188" t="s">
        <v>33</v>
      </c>
      <c r="P4188" s="1" t="s">
        <v>14452</v>
      </c>
      <c r="Q4188" s="1" t="s">
        <v>10616</v>
      </c>
      <c r="R4188" s="1" t="s">
        <v>10616</v>
      </c>
      <c r="S4188" s="1"/>
      <c r="T4188" s="1" t="s">
        <v>13923</v>
      </c>
      <c r="U4188" s="1"/>
      <c r="V4188" s="1">
        <v>44.98</v>
      </c>
      <c r="W4188" s="1">
        <v>44.98</v>
      </c>
      <c r="X4188" s="1" t="s">
        <v>35</v>
      </c>
      <c r="Y4188" s="1">
        <v>44980.0</v>
      </c>
      <c r="Z4188" s="1"/>
      <c r="AA4188" s="1">
        <v>44980.0</v>
      </c>
      <c r="AB4188" s="1"/>
      <c r="AC4188" s="1" t="s">
        <v>36</v>
      </c>
      <c r="AD4188" s="1" t="s">
        <v>14453</v>
      </c>
      <c r="AE4188" s="1" t="s">
        <v>32</v>
      </c>
      <c r="AF4188" s="1" t="s">
        <v>33</v>
      </c>
      <c r="AG4188" s="1" t="s">
        <v>60</v>
      </c>
    </row>
    <row r="4189" spans="1:33">
      <c r="A4189" t="s">
        <v>14454</v>
      </c>
      <c r="B4189" t="s">
        <v>14455</v>
      </c>
      <c r="C4189" t="s">
        <v>414</v>
      </c>
      <c r="E4189" t="s">
        <v>10616</v>
      </c>
      <c r="F4189" t="s">
        <v>10617</v>
      </c>
      <c r="G4189">
        <v>45.0</v>
      </c>
      <c r="H4189">
        <v>45.0</v>
      </c>
      <c r="I4189" t="s">
        <v>539</v>
      </c>
      <c r="J4189" t="s">
        <v>540</v>
      </c>
      <c r="K4189" t="s">
        <v>31</v>
      </c>
      <c r="L4189" t="s">
        <v>32</v>
      </c>
      <c r="M4189" t="s">
        <v>33</v>
      </c>
      <c r="P4189" s="1" t="s">
        <v>14456</v>
      </c>
      <c r="Q4189" s="1" t="s">
        <v>10616</v>
      </c>
      <c r="R4189" s="1" t="s">
        <v>10495</v>
      </c>
      <c r="S4189" s="1"/>
      <c r="T4189" s="1" t="s">
        <v>414</v>
      </c>
      <c r="U4189" s="1"/>
      <c r="V4189" s="1">
        <v>45.0</v>
      </c>
      <c r="W4189" s="1">
        <v>45.0</v>
      </c>
      <c r="X4189" s="1" t="s">
        <v>35</v>
      </c>
      <c r="Y4189" s="1">
        <v>45000.0</v>
      </c>
      <c r="Z4189" s="1"/>
      <c r="AA4189" s="1">
        <v>45000.0</v>
      </c>
      <c r="AB4189" s="1"/>
      <c r="AC4189" s="1" t="s">
        <v>36</v>
      </c>
      <c r="AD4189" s="1" t="s">
        <v>13276</v>
      </c>
      <c r="AE4189" s="1" t="s">
        <v>32</v>
      </c>
      <c r="AF4189" s="1" t="s">
        <v>33</v>
      </c>
      <c r="AG4189" s="1" t="s">
        <v>540</v>
      </c>
    </row>
    <row r="4190" spans="1:33">
      <c r="A4190" t="s">
        <v>14457</v>
      </c>
      <c r="C4190" t="s">
        <v>984</v>
      </c>
      <c r="E4190" t="s">
        <v>10616</v>
      </c>
      <c r="F4190" t="s">
        <v>10617</v>
      </c>
      <c r="G4190">
        <v>328.0</v>
      </c>
      <c r="H4190">
        <v>328.0</v>
      </c>
      <c r="I4190" t="s">
        <v>269</v>
      </c>
      <c r="J4190" t="s">
        <v>270</v>
      </c>
      <c r="K4190" t="s">
        <v>31</v>
      </c>
      <c r="L4190" t="s">
        <v>32</v>
      </c>
      <c r="M4190" t="s">
        <v>33</v>
      </c>
      <c r="P4190" s="1" t="s">
        <v>14458</v>
      </c>
      <c r="Q4190" s="1" t="s">
        <v>10616</v>
      </c>
      <c r="R4190" s="1" t="s">
        <v>10616</v>
      </c>
      <c r="S4190" s="1"/>
      <c r="T4190" s="1" t="s">
        <v>984</v>
      </c>
      <c r="U4190" s="1"/>
      <c r="V4190" s="1">
        <v>328.0</v>
      </c>
      <c r="W4190" s="1">
        <v>328.0</v>
      </c>
      <c r="X4190" s="1" t="s">
        <v>35</v>
      </c>
      <c r="Y4190" s="1">
        <v>328000.0</v>
      </c>
      <c r="Z4190" s="1"/>
      <c r="AA4190" s="1">
        <v>328000.0</v>
      </c>
      <c r="AB4190" s="1"/>
      <c r="AC4190" s="1" t="s">
        <v>36</v>
      </c>
      <c r="AD4190" s="1" t="s">
        <v>14434</v>
      </c>
      <c r="AE4190" s="1" t="s">
        <v>32</v>
      </c>
      <c r="AF4190" s="1" t="s">
        <v>33</v>
      </c>
      <c r="AG4190" s="1" t="s">
        <v>270</v>
      </c>
    </row>
    <row r="4191" spans="1:33">
      <c r="A4191" t="s">
        <v>14459</v>
      </c>
      <c r="B4191" t="s">
        <v>6019</v>
      </c>
      <c r="C4191" t="s">
        <v>314</v>
      </c>
      <c r="E4191" t="s">
        <v>10616</v>
      </c>
      <c r="F4191" t="s">
        <v>10617</v>
      </c>
      <c r="G4191">
        <v>81.98</v>
      </c>
      <c r="H4191">
        <v>81.98</v>
      </c>
      <c r="I4191" t="s">
        <v>179</v>
      </c>
      <c r="J4191" t="s">
        <v>180</v>
      </c>
      <c r="K4191" t="s">
        <v>31</v>
      </c>
      <c r="L4191" t="s">
        <v>32</v>
      </c>
      <c r="M4191" t="s">
        <v>33</v>
      </c>
      <c r="P4191" s="1" t="s">
        <v>14460</v>
      </c>
      <c r="Q4191" s="1" t="s">
        <v>10616</v>
      </c>
      <c r="R4191" s="1" t="s">
        <v>10616</v>
      </c>
      <c r="S4191" s="1"/>
      <c r="T4191" s="1" t="s">
        <v>314</v>
      </c>
      <c r="U4191" s="1"/>
      <c r="V4191" s="1">
        <v>81.98</v>
      </c>
      <c r="W4191" s="1">
        <v>81.98</v>
      </c>
      <c r="X4191" s="1" t="s">
        <v>35</v>
      </c>
      <c r="Y4191" s="1">
        <v>81980.0</v>
      </c>
      <c r="Z4191" s="1"/>
      <c r="AA4191" s="1">
        <v>81980.0</v>
      </c>
      <c r="AB4191" s="1"/>
      <c r="AC4191" s="1" t="s">
        <v>36</v>
      </c>
      <c r="AD4191" s="1" t="s">
        <v>14448</v>
      </c>
      <c r="AE4191" s="1" t="s">
        <v>32</v>
      </c>
      <c r="AF4191" s="1" t="s">
        <v>33</v>
      </c>
      <c r="AG4191" s="1" t="s">
        <v>180</v>
      </c>
    </row>
    <row r="4192" spans="1:33">
      <c r="A4192" t="s">
        <v>14461</v>
      </c>
      <c r="C4192" t="s">
        <v>2955</v>
      </c>
      <c r="E4192" t="s">
        <v>10616</v>
      </c>
      <c r="F4192" t="s">
        <v>10617</v>
      </c>
      <c r="G4192">
        <v>720.0</v>
      </c>
      <c r="H4192">
        <v>720.0</v>
      </c>
      <c r="I4192" t="s">
        <v>269</v>
      </c>
      <c r="J4192" t="s">
        <v>270</v>
      </c>
      <c r="K4192" t="s">
        <v>31</v>
      </c>
      <c r="L4192" t="s">
        <v>32</v>
      </c>
      <c r="M4192" t="s">
        <v>33</v>
      </c>
      <c r="P4192" s="1" t="s">
        <v>14462</v>
      </c>
      <c r="Q4192" s="1" t="s">
        <v>10616</v>
      </c>
      <c r="R4192" s="1" t="s">
        <v>10616</v>
      </c>
      <c r="S4192" s="1"/>
      <c r="T4192" s="1" t="s">
        <v>2955</v>
      </c>
      <c r="U4192" s="1"/>
      <c r="V4192" s="1">
        <v>720.0</v>
      </c>
      <c r="W4192" s="1">
        <v>720.0</v>
      </c>
      <c r="X4192" s="1" t="s">
        <v>35</v>
      </c>
      <c r="Y4192" s="1">
        <v>720000.0</v>
      </c>
      <c r="Z4192" s="1"/>
      <c r="AA4192" s="1">
        <v>720000.0</v>
      </c>
      <c r="AB4192" s="1"/>
      <c r="AC4192" s="1" t="s">
        <v>36</v>
      </c>
      <c r="AD4192" s="1" t="s">
        <v>14463</v>
      </c>
      <c r="AE4192" s="1" t="s">
        <v>32</v>
      </c>
      <c r="AF4192" s="1" t="s">
        <v>33</v>
      </c>
      <c r="AG4192" s="1" t="s">
        <v>270</v>
      </c>
    </row>
    <row r="4193" spans="1:33">
      <c r="A4193" t="s">
        <v>14464</v>
      </c>
      <c r="C4193" t="s">
        <v>1488</v>
      </c>
      <c r="E4193" t="s">
        <v>10616</v>
      </c>
      <c r="F4193" t="s">
        <v>10617</v>
      </c>
      <c r="G4193">
        <v>155.0</v>
      </c>
      <c r="H4193">
        <v>155.0</v>
      </c>
      <c r="I4193" t="s">
        <v>13331</v>
      </c>
      <c r="J4193" t="s">
        <v>41</v>
      </c>
      <c r="K4193" t="s">
        <v>31</v>
      </c>
      <c r="L4193" t="s">
        <v>32</v>
      </c>
      <c r="M4193" t="s">
        <v>33</v>
      </c>
      <c r="P4193" s="1" t="s">
        <v>14465</v>
      </c>
      <c r="Q4193" s="1" t="s">
        <v>10616</v>
      </c>
      <c r="R4193" s="1" t="s">
        <v>10495</v>
      </c>
      <c r="S4193" s="1"/>
      <c r="T4193" s="1" t="s">
        <v>1488</v>
      </c>
      <c r="U4193" s="1"/>
      <c r="V4193" s="1">
        <v>155.0</v>
      </c>
      <c r="W4193" s="1">
        <v>155.0</v>
      </c>
      <c r="X4193" s="1" t="s">
        <v>35</v>
      </c>
      <c r="Y4193" s="1">
        <v>155000.0</v>
      </c>
      <c r="Z4193" s="1"/>
      <c r="AA4193" s="1">
        <v>155000.0</v>
      </c>
      <c r="AB4193" s="1"/>
      <c r="AC4193" s="1" t="s">
        <v>36</v>
      </c>
      <c r="AD4193" s="1" t="s">
        <v>14466</v>
      </c>
      <c r="AE4193" s="1" t="s">
        <v>32</v>
      </c>
      <c r="AF4193" s="1" t="s">
        <v>33</v>
      </c>
      <c r="AG4193" s="1" t="s">
        <v>41</v>
      </c>
    </row>
    <row r="4194" spans="1:33">
      <c r="A4194" t="s">
        <v>14467</v>
      </c>
      <c r="C4194" t="s">
        <v>5647</v>
      </c>
      <c r="E4194" t="s">
        <v>10616</v>
      </c>
      <c r="F4194" t="s">
        <v>10617</v>
      </c>
      <c r="G4194">
        <v>326.0</v>
      </c>
      <c r="H4194">
        <v>326.0</v>
      </c>
      <c r="I4194" t="s">
        <v>847</v>
      </c>
      <c r="J4194" t="s">
        <v>848</v>
      </c>
      <c r="K4194" t="s">
        <v>31</v>
      </c>
      <c r="L4194" t="s">
        <v>32</v>
      </c>
      <c r="M4194" t="s">
        <v>33</v>
      </c>
      <c r="P4194" s="1" t="s">
        <v>14468</v>
      </c>
      <c r="Q4194" s="1" t="s">
        <v>10616</v>
      </c>
      <c r="R4194" s="1" t="s">
        <v>10616</v>
      </c>
      <c r="S4194" s="1"/>
      <c r="T4194" s="1" t="s">
        <v>5647</v>
      </c>
      <c r="U4194" s="1"/>
      <c r="V4194" s="1">
        <v>326.0</v>
      </c>
      <c r="W4194" s="1">
        <v>326.0</v>
      </c>
      <c r="X4194" s="1" t="s">
        <v>35</v>
      </c>
      <c r="Y4194" s="1">
        <v>326000.0</v>
      </c>
      <c r="Z4194" s="1"/>
      <c r="AA4194" s="1">
        <v>326000.0</v>
      </c>
      <c r="AB4194" s="1"/>
      <c r="AC4194" s="1" t="s">
        <v>36</v>
      </c>
      <c r="AD4194" s="1" t="s">
        <v>14469</v>
      </c>
      <c r="AE4194" s="1" t="s">
        <v>32</v>
      </c>
      <c r="AF4194" s="1" t="s">
        <v>33</v>
      </c>
      <c r="AG4194" s="1" t="s">
        <v>848</v>
      </c>
    </row>
    <row r="4195" spans="1:33">
      <c r="A4195" t="s">
        <v>14470</v>
      </c>
      <c r="C4195" t="s">
        <v>866</v>
      </c>
      <c r="D4195" t="s">
        <v>154</v>
      </c>
      <c r="E4195" t="s">
        <v>10616</v>
      </c>
      <c r="F4195" t="s">
        <v>10617</v>
      </c>
      <c r="G4195">
        <v>640.0</v>
      </c>
      <c r="H4195">
        <v>640.0</v>
      </c>
      <c r="I4195" t="s">
        <v>2206</v>
      </c>
      <c r="J4195" t="s">
        <v>49</v>
      </c>
      <c r="K4195" t="s">
        <v>31</v>
      </c>
      <c r="L4195" t="s">
        <v>32</v>
      </c>
      <c r="M4195" t="s">
        <v>33</v>
      </c>
      <c r="P4195" s="1" t="s">
        <v>14471</v>
      </c>
      <c r="Q4195" s="1" t="s">
        <v>10616</v>
      </c>
      <c r="R4195" s="1" t="s">
        <v>10616</v>
      </c>
      <c r="S4195" s="1"/>
      <c r="T4195" s="1" t="s">
        <v>868</v>
      </c>
      <c r="U4195" s="1" t="s">
        <v>869</v>
      </c>
      <c r="V4195" s="1">
        <v>640.0</v>
      </c>
      <c r="W4195" s="1">
        <v>640.0</v>
      </c>
      <c r="X4195" s="1" t="s">
        <v>35</v>
      </c>
      <c r="Y4195" s="1">
        <v>640000.0</v>
      </c>
      <c r="Z4195" s="1"/>
      <c r="AA4195" s="1">
        <v>640000.0</v>
      </c>
      <c r="AB4195" s="1"/>
      <c r="AC4195" s="1" t="s">
        <v>36</v>
      </c>
      <c r="AD4195" s="1" t="s">
        <v>14472</v>
      </c>
      <c r="AE4195" s="1" t="s">
        <v>32</v>
      </c>
      <c r="AF4195" s="1" t="s">
        <v>33</v>
      </c>
      <c r="AG4195" s="1" t="s">
        <v>49</v>
      </c>
    </row>
    <row r="4196" spans="1:33">
      <c r="A4196" t="s">
        <v>14473</v>
      </c>
      <c r="B4196" t="s">
        <v>14474</v>
      </c>
      <c r="C4196" t="s">
        <v>314</v>
      </c>
      <c r="E4196" t="s">
        <v>10616</v>
      </c>
      <c r="F4196" t="s">
        <v>10617</v>
      </c>
      <c r="G4196">
        <v>88.96</v>
      </c>
      <c r="H4196">
        <v>88.96</v>
      </c>
      <c r="I4196" t="s">
        <v>179</v>
      </c>
      <c r="J4196" t="s">
        <v>180</v>
      </c>
      <c r="K4196" t="s">
        <v>31</v>
      </c>
      <c r="L4196" t="s">
        <v>32</v>
      </c>
      <c r="M4196" t="s">
        <v>33</v>
      </c>
      <c r="P4196" s="1" t="s">
        <v>14475</v>
      </c>
      <c r="Q4196" s="1" t="s">
        <v>10616</v>
      </c>
      <c r="R4196" s="1" t="s">
        <v>10616</v>
      </c>
      <c r="S4196" s="1"/>
      <c r="T4196" s="1" t="s">
        <v>314</v>
      </c>
      <c r="U4196" s="1"/>
      <c r="V4196" s="1">
        <v>88.96</v>
      </c>
      <c r="W4196" s="1">
        <v>88.96</v>
      </c>
      <c r="X4196" s="1" t="s">
        <v>35</v>
      </c>
      <c r="Y4196" s="1">
        <v>88960.0</v>
      </c>
      <c r="Z4196" s="1"/>
      <c r="AA4196" s="1">
        <v>88960.0</v>
      </c>
      <c r="AB4196" s="1"/>
      <c r="AC4196" s="1" t="s">
        <v>36</v>
      </c>
      <c r="AD4196" s="1" t="s">
        <v>14476</v>
      </c>
      <c r="AE4196" s="1" t="s">
        <v>32</v>
      </c>
      <c r="AF4196" s="1" t="s">
        <v>33</v>
      </c>
      <c r="AG4196" s="1" t="s">
        <v>180</v>
      </c>
    </row>
    <row r="4197" spans="1:33">
      <c r="A4197" t="s">
        <v>14477</v>
      </c>
      <c r="B4197" t="s">
        <v>14478</v>
      </c>
      <c r="C4197" t="s">
        <v>1298</v>
      </c>
      <c r="E4197" t="s">
        <v>10616</v>
      </c>
      <c r="F4197" t="s">
        <v>10617</v>
      </c>
      <c r="G4197">
        <v>20.49</v>
      </c>
      <c r="H4197">
        <v>20.49</v>
      </c>
      <c r="I4197" t="s">
        <v>529</v>
      </c>
      <c r="J4197" t="s">
        <v>530</v>
      </c>
      <c r="K4197" t="s">
        <v>31</v>
      </c>
      <c r="L4197" t="s">
        <v>32</v>
      </c>
      <c r="M4197" t="s">
        <v>33</v>
      </c>
      <c r="P4197" s="1" t="s">
        <v>14479</v>
      </c>
      <c r="Q4197" s="1" t="s">
        <v>10616</v>
      </c>
      <c r="R4197" s="1" t="s">
        <v>10495</v>
      </c>
      <c r="S4197" s="1"/>
      <c r="T4197" s="1" t="s">
        <v>1298</v>
      </c>
      <c r="U4197" s="1"/>
      <c r="V4197" s="1">
        <v>20.49</v>
      </c>
      <c r="W4197" s="1">
        <v>20.49</v>
      </c>
      <c r="X4197" s="1" t="s">
        <v>35</v>
      </c>
      <c r="Y4197" s="1">
        <v>20490.0</v>
      </c>
      <c r="Z4197" s="1"/>
      <c r="AA4197" s="1">
        <v>20490.0</v>
      </c>
      <c r="AB4197" s="1"/>
      <c r="AC4197" s="1" t="s">
        <v>36</v>
      </c>
      <c r="AD4197" s="1" t="s">
        <v>14480</v>
      </c>
      <c r="AE4197" s="1" t="s">
        <v>32</v>
      </c>
      <c r="AF4197" s="1" t="s">
        <v>33</v>
      </c>
      <c r="AG4197" s="1" t="s">
        <v>530</v>
      </c>
    </row>
    <row r="4198" spans="1:33">
      <c r="A4198" t="s">
        <v>14481</v>
      </c>
      <c r="C4198" t="s">
        <v>14482</v>
      </c>
      <c r="E4198" t="s">
        <v>10616</v>
      </c>
      <c r="F4198" t="s">
        <v>10617</v>
      </c>
      <c r="G4198">
        <v>1.255</v>
      </c>
      <c r="H4198">
        <v>1.255</v>
      </c>
      <c r="I4198" t="s">
        <v>126</v>
      </c>
      <c r="J4198" t="s">
        <v>127</v>
      </c>
      <c r="K4198" t="s">
        <v>31</v>
      </c>
      <c r="L4198" t="s">
        <v>32</v>
      </c>
      <c r="M4198" t="s">
        <v>33</v>
      </c>
      <c r="P4198" s="1" t="s">
        <v>14483</v>
      </c>
      <c r="Q4198" s="1" t="s">
        <v>10616</v>
      </c>
      <c r="R4198" s="1" t="s">
        <v>10616</v>
      </c>
      <c r="S4198" s="1"/>
      <c r="T4198" s="1" t="s">
        <v>14482</v>
      </c>
      <c r="U4198" s="1"/>
      <c r="V4198" s="1">
        <v>1.255</v>
      </c>
      <c r="W4198" s="1">
        <v>1.255</v>
      </c>
      <c r="X4198" s="1" t="s">
        <v>35</v>
      </c>
      <c r="Y4198" s="1">
        <v>1255000.0</v>
      </c>
      <c r="Z4198" s="1"/>
      <c r="AA4198" s="1">
        <v>1255000.0</v>
      </c>
      <c r="AB4198" s="1"/>
      <c r="AC4198" s="1" t="s">
        <v>36</v>
      </c>
      <c r="AD4198" s="1" t="s">
        <v>14480</v>
      </c>
      <c r="AE4198" s="1" t="s">
        <v>32</v>
      </c>
      <c r="AF4198" s="1" t="s">
        <v>33</v>
      </c>
      <c r="AG4198" s="1" t="s">
        <v>127</v>
      </c>
    </row>
    <row r="4199" spans="1:33">
      <c r="A4199" t="s">
        <v>14484</v>
      </c>
      <c r="C4199" t="s">
        <v>1957</v>
      </c>
      <c r="D4199" t="s">
        <v>154</v>
      </c>
      <c r="E4199" t="s">
        <v>10616</v>
      </c>
      <c r="F4199" t="s">
        <v>10617</v>
      </c>
      <c r="G4199">
        <v>1.312</v>
      </c>
      <c r="H4199">
        <v>1.312</v>
      </c>
      <c r="I4199" t="s">
        <v>227</v>
      </c>
      <c r="J4199" t="s">
        <v>228</v>
      </c>
      <c r="K4199" t="s">
        <v>31</v>
      </c>
      <c r="L4199" t="s">
        <v>32</v>
      </c>
      <c r="M4199" t="s">
        <v>33</v>
      </c>
      <c r="P4199" s="1" t="s">
        <v>14485</v>
      </c>
      <c r="Q4199" s="1" t="s">
        <v>10616</v>
      </c>
      <c r="R4199" s="1" t="s">
        <v>10616</v>
      </c>
      <c r="S4199" s="1"/>
      <c r="T4199" s="1" t="s">
        <v>1957</v>
      </c>
      <c r="U4199" s="1"/>
      <c r="V4199" s="1">
        <v>1.312</v>
      </c>
      <c r="W4199" s="1">
        <v>1.312</v>
      </c>
      <c r="X4199" s="1" t="s">
        <v>35</v>
      </c>
      <c r="Y4199" s="1">
        <v>1312000.0</v>
      </c>
      <c r="Z4199" s="1"/>
      <c r="AA4199" s="1">
        <v>1312000.0</v>
      </c>
      <c r="AB4199" s="1"/>
      <c r="AC4199" s="1" t="s">
        <v>36</v>
      </c>
      <c r="AD4199" s="1" t="s">
        <v>14486</v>
      </c>
      <c r="AE4199" s="1" t="s">
        <v>32</v>
      </c>
      <c r="AF4199" s="1" t="s">
        <v>33</v>
      </c>
      <c r="AG4199" s="1" t="s">
        <v>228</v>
      </c>
    </row>
    <row r="4200" spans="1:33">
      <c r="A4200" t="s">
        <v>14487</v>
      </c>
      <c r="C4200" t="s">
        <v>2216</v>
      </c>
      <c r="E4200" t="s">
        <v>10616</v>
      </c>
      <c r="F4200" t="s">
        <v>10617</v>
      </c>
      <c r="G4200">
        <v>410.0</v>
      </c>
      <c r="H4200">
        <v>410.0</v>
      </c>
      <c r="I4200" t="s">
        <v>227</v>
      </c>
      <c r="J4200" t="s">
        <v>228</v>
      </c>
      <c r="K4200" t="s">
        <v>31</v>
      </c>
      <c r="L4200" t="s">
        <v>32</v>
      </c>
      <c r="M4200" t="s">
        <v>33</v>
      </c>
      <c r="P4200" s="1" t="s">
        <v>14488</v>
      </c>
      <c r="Q4200" s="1" t="s">
        <v>10616</v>
      </c>
      <c r="R4200" s="1" t="s">
        <v>10616</v>
      </c>
      <c r="S4200" s="1"/>
      <c r="T4200" s="1" t="s">
        <v>2216</v>
      </c>
      <c r="U4200" s="1"/>
      <c r="V4200" s="1">
        <v>410.0</v>
      </c>
      <c r="W4200" s="1">
        <v>410.0</v>
      </c>
      <c r="X4200" s="1" t="s">
        <v>35</v>
      </c>
      <c r="Y4200" s="1">
        <v>410000.0</v>
      </c>
      <c r="Z4200" s="1"/>
      <c r="AA4200" s="1">
        <v>410000.0</v>
      </c>
      <c r="AB4200" s="1"/>
      <c r="AC4200" s="1" t="s">
        <v>36</v>
      </c>
      <c r="AD4200" s="1" t="s">
        <v>14463</v>
      </c>
      <c r="AE4200" s="1" t="s">
        <v>32</v>
      </c>
      <c r="AF4200" s="1" t="s">
        <v>33</v>
      </c>
      <c r="AG4200" s="1" t="s">
        <v>228</v>
      </c>
    </row>
    <row r="4201" spans="1:33">
      <c r="A4201" t="s">
        <v>14489</v>
      </c>
      <c r="C4201" t="s">
        <v>6672</v>
      </c>
      <c r="D4201" t="s">
        <v>154</v>
      </c>
      <c r="E4201" t="s">
        <v>10616</v>
      </c>
      <c r="F4201" t="s">
        <v>10617</v>
      </c>
      <c r="G4201">
        <v>574.0</v>
      </c>
      <c r="H4201">
        <v>574.0</v>
      </c>
      <c r="I4201" t="s">
        <v>227</v>
      </c>
      <c r="J4201" t="s">
        <v>228</v>
      </c>
      <c r="K4201" t="s">
        <v>31</v>
      </c>
      <c r="L4201" t="s">
        <v>32</v>
      </c>
      <c r="M4201" t="s">
        <v>33</v>
      </c>
      <c r="P4201" s="1" t="s">
        <v>14490</v>
      </c>
      <c r="Q4201" s="1" t="s">
        <v>10616</v>
      </c>
      <c r="R4201" s="1" t="s">
        <v>10616</v>
      </c>
      <c r="S4201" s="1"/>
      <c r="T4201" s="1" t="s">
        <v>6672</v>
      </c>
      <c r="U4201" s="1"/>
      <c r="V4201" s="1">
        <v>574.0</v>
      </c>
      <c r="W4201" s="1">
        <v>574.0</v>
      </c>
      <c r="X4201" s="1" t="s">
        <v>35</v>
      </c>
      <c r="Y4201" s="1">
        <v>574000.0</v>
      </c>
      <c r="Z4201" s="1"/>
      <c r="AA4201" s="1">
        <v>574000.0</v>
      </c>
      <c r="AB4201" s="1"/>
      <c r="AC4201" s="1" t="s">
        <v>36</v>
      </c>
      <c r="AD4201" s="1" t="s">
        <v>14469</v>
      </c>
      <c r="AE4201" s="1" t="s">
        <v>32</v>
      </c>
      <c r="AF4201" s="1" t="s">
        <v>33</v>
      </c>
      <c r="AG4201" s="1" t="s">
        <v>228</v>
      </c>
    </row>
    <row r="4202" spans="1:33">
      <c r="A4202" t="s">
        <v>14491</v>
      </c>
      <c r="C4202" t="s">
        <v>14492</v>
      </c>
      <c r="E4202" t="s">
        <v>10616</v>
      </c>
      <c r="F4202" t="s">
        <v>10617</v>
      </c>
      <c r="G4202">
        <v>328.0</v>
      </c>
      <c r="H4202">
        <v>328.0</v>
      </c>
      <c r="I4202" t="s">
        <v>269</v>
      </c>
      <c r="J4202" t="s">
        <v>270</v>
      </c>
      <c r="K4202" t="s">
        <v>31</v>
      </c>
      <c r="L4202" t="s">
        <v>32</v>
      </c>
      <c r="M4202" t="s">
        <v>33</v>
      </c>
      <c r="P4202" s="1" t="s">
        <v>14493</v>
      </c>
      <c r="Q4202" s="1" t="s">
        <v>10616</v>
      </c>
      <c r="R4202" s="1" t="s">
        <v>10616</v>
      </c>
      <c r="S4202" s="1"/>
      <c r="T4202" s="1" t="s">
        <v>14492</v>
      </c>
      <c r="U4202" s="1"/>
      <c r="V4202" s="1">
        <v>328.0</v>
      </c>
      <c r="W4202" s="1">
        <v>328.0</v>
      </c>
      <c r="X4202" s="1" t="s">
        <v>35</v>
      </c>
      <c r="Y4202" s="1">
        <v>328000.0</v>
      </c>
      <c r="Z4202" s="1"/>
      <c r="AA4202" s="1">
        <v>328000.0</v>
      </c>
      <c r="AB4202" s="1"/>
      <c r="AC4202" s="1" t="s">
        <v>36</v>
      </c>
      <c r="AD4202" s="1" t="s">
        <v>14476</v>
      </c>
      <c r="AE4202" s="1" t="s">
        <v>32</v>
      </c>
      <c r="AF4202" s="1" t="s">
        <v>33</v>
      </c>
      <c r="AG4202" s="1" t="s">
        <v>270</v>
      </c>
    </row>
    <row r="4203" spans="1:33">
      <c r="A4203" t="s">
        <v>14494</v>
      </c>
      <c r="C4203" t="s">
        <v>1522</v>
      </c>
      <c r="E4203" t="s">
        <v>10616</v>
      </c>
      <c r="F4203" t="s">
        <v>10617</v>
      </c>
      <c r="G4203">
        <v>3.28</v>
      </c>
      <c r="H4203">
        <v>3.28</v>
      </c>
      <c r="I4203" t="s">
        <v>227</v>
      </c>
      <c r="J4203" t="s">
        <v>228</v>
      </c>
      <c r="K4203" t="s">
        <v>31</v>
      </c>
      <c r="L4203" t="s">
        <v>32</v>
      </c>
      <c r="M4203" t="s">
        <v>33</v>
      </c>
      <c r="P4203" s="1" t="s">
        <v>14495</v>
      </c>
      <c r="Q4203" s="1" t="s">
        <v>10616</v>
      </c>
      <c r="R4203" s="1" t="s">
        <v>10616</v>
      </c>
      <c r="S4203" s="1"/>
      <c r="T4203" s="1" t="s">
        <v>1522</v>
      </c>
      <c r="U4203" s="1"/>
      <c r="V4203" s="1">
        <v>3.28</v>
      </c>
      <c r="W4203" s="1">
        <v>3.28</v>
      </c>
      <c r="X4203" s="1" t="s">
        <v>35</v>
      </c>
      <c r="Y4203" s="1">
        <v>3280000.0</v>
      </c>
      <c r="Z4203" s="1"/>
      <c r="AA4203" s="1">
        <v>3280000.0</v>
      </c>
      <c r="AB4203" s="1"/>
      <c r="AC4203" s="1" t="s">
        <v>36</v>
      </c>
      <c r="AD4203" s="1" t="s">
        <v>14419</v>
      </c>
      <c r="AE4203" s="1" t="s">
        <v>32</v>
      </c>
      <c r="AF4203" s="1" t="s">
        <v>33</v>
      </c>
      <c r="AG4203" s="1" t="s">
        <v>228</v>
      </c>
    </row>
    <row r="4204" spans="1:33">
      <c r="A4204" t="s">
        <v>14496</v>
      </c>
      <c r="C4204" t="s">
        <v>932</v>
      </c>
      <c r="E4204" t="s">
        <v>10616</v>
      </c>
      <c r="F4204" t="s">
        <v>10617</v>
      </c>
      <c r="G4204">
        <v>984.0</v>
      </c>
      <c r="H4204">
        <v>984.0</v>
      </c>
      <c r="I4204" t="s">
        <v>227</v>
      </c>
      <c r="J4204" t="s">
        <v>228</v>
      </c>
      <c r="K4204" t="s">
        <v>31</v>
      </c>
      <c r="L4204" t="s">
        <v>32</v>
      </c>
      <c r="M4204" t="s">
        <v>33</v>
      </c>
      <c r="P4204" s="1" t="s">
        <v>14497</v>
      </c>
      <c r="Q4204" s="1" t="s">
        <v>10616</v>
      </c>
      <c r="R4204" s="1" t="s">
        <v>10616</v>
      </c>
      <c r="S4204" s="1"/>
      <c r="T4204" s="1" t="s">
        <v>932</v>
      </c>
      <c r="U4204" s="1"/>
      <c r="V4204" s="1">
        <v>984.0</v>
      </c>
      <c r="W4204" s="1">
        <v>984.0</v>
      </c>
      <c r="X4204" s="1" t="s">
        <v>35</v>
      </c>
      <c r="Y4204" s="1">
        <v>984000.0</v>
      </c>
      <c r="Z4204" s="1"/>
      <c r="AA4204" s="1">
        <v>984000.0</v>
      </c>
      <c r="AB4204" s="1"/>
      <c r="AC4204" s="1" t="s">
        <v>36</v>
      </c>
      <c r="AD4204" s="1" t="s">
        <v>14498</v>
      </c>
      <c r="AE4204" s="1" t="s">
        <v>32</v>
      </c>
      <c r="AF4204" s="1" t="s">
        <v>33</v>
      </c>
      <c r="AG4204" s="1" t="s">
        <v>228</v>
      </c>
    </row>
    <row r="4205" spans="1:33">
      <c r="A4205" t="s">
        <v>14499</v>
      </c>
      <c r="B4205" t="s">
        <v>4987</v>
      </c>
      <c r="C4205" t="s">
        <v>314</v>
      </c>
      <c r="E4205" t="s">
        <v>10616</v>
      </c>
      <c r="F4205" t="s">
        <v>10617</v>
      </c>
      <c r="G4205">
        <v>100.46</v>
      </c>
      <c r="H4205">
        <v>100.46</v>
      </c>
      <c r="I4205" t="s">
        <v>179</v>
      </c>
      <c r="J4205" t="s">
        <v>180</v>
      </c>
      <c r="K4205" t="s">
        <v>31</v>
      </c>
      <c r="L4205" t="s">
        <v>32</v>
      </c>
      <c r="M4205" t="s">
        <v>33</v>
      </c>
      <c r="P4205" s="1" t="s">
        <v>14500</v>
      </c>
      <c r="Q4205" s="1" t="s">
        <v>10616</v>
      </c>
      <c r="R4205" s="1" t="s">
        <v>10616</v>
      </c>
      <c r="S4205" s="1"/>
      <c r="T4205" s="1" t="s">
        <v>314</v>
      </c>
      <c r="U4205" s="1"/>
      <c r="V4205" s="1">
        <v>100.46</v>
      </c>
      <c r="W4205" s="1">
        <v>100.46</v>
      </c>
      <c r="X4205" s="1" t="s">
        <v>35</v>
      </c>
      <c r="Y4205" s="1">
        <v>100460.0</v>
      </c>
      <c r="Z4205" s="1"/>
      <c r="AA4205" s="1">
        <v>100460.0</v>
      </c>
      <c r="AB4205" s="1"/>
      <c r="AC4205" s="1" t="s">
        <v>36</v>
      </c>
      <c r="AD4205" s="1" t="s">
        <v>14501</v>
      </c>
      <c r="AE4205" s="1" t="s">
        <v>32</v>
      </c>
      <c r="AF4205" s="1" t="s">
        <v>33</v>
      </c>
      <c r="AG4205" s="1" t="s">
        <v>180</v>
      </c>
    </row>
    <row r="4206" spans="1:33">
      <c r="A4206" t="s">
        <v>14502</v>
      </c>
      <c r="C4206" t="s">
        <v>11005</v>
      </c>
      <c r="E4206" t="s">
        <v>10616</v>
      </c>
      <c r="F4206" t="s">
        <v>10617</v>
      </c>
      <c r="G4206">
        <v>407.0</v>
      </c>
      <c r="H4206">
        <v>407.0</v>
      </c>
      <c r="I4206" t="s">
        <v>227</v>
      </c>
      <c r="J4206" t="s">
        <v>228</v>
      </c>
      <c r="K4206" t="s">
        <v>31</v>
      </c>
      <c r="L4206" t="s">
        <v>32</v>
      </c>
      <c r="M4206" t="s">
        <v>33</v>
      </c>
      <c r="P4206" s="1" t="s">
        <v>14503</v>
      </c>
      <c r="Q4206" s="1" t="s">
        <v>10616</v>
      </c>
      <c r="R4206" s="1" t="s">
        <v>10616</v>
      </c>
      <c r="S4206" s="1"/>
      <c r="T4206" s="1" t="s">
        <v>11005</v>
      </c>
      <c r="U4206" s="1"/>
      <c r="V4206" s="1">
        <v>407.0</v>
      </c>
      <c r="W4206" s="1">
        <v>407.0</v>
      </c>
      <c r="X4206" s="1" t="s">
        <v>35</v>
      </c>
      <c r="Y4206" s="1">
        <v>407000.0</v>
      </c>
      <c r="Z4206" s="1"/>
      <c r="AA4206" s="1">
        <v>407000.0</v>
      </c>
      <c r="AB4206" s="1"/>
      <c r="AC4206" s="1" t="s">
        <v>36</v>
      </c>
      <c r="AD4206" s="1" t="s">
        <v>14504</v>
      </c>
      <c r="AE4206" s="1" t="s">
        <v>32</v>
      </c>
      <c r="AF4206" s="1" t="s">
        <v>33</v>
      </c>
      <c r="AG4206" s="1" t="s">
        <v>228</v>
      </c>
    </row>
    <row r="4207" spans="1:33">
      <c r="A4207" t="s">
        <v>14505</v>
      </c>
      <c r="B4207" t="s">
        <v>1969</v>
      </c>
      <c r="C4207" t="s">
        <v>73</v>
      </c>
      <c r="E4207" t="s">
        <v>10616</v>
      </c>
      <c r="F4207" t="s">
        <v>10617</v>
      </c>
      <c r="G4207">
        <v>4.298</v>
      </c>
      <c r="H4207">
        <v>4.298</v>
      </c>
      <c r="I4207" t="s">
        <v>13331</v>
      </c>
      <c r="J4207" t="s">
        <v>41</v>
      </c>
      <c r="K4207" t="s">
        <v>31</v>
      </c>
      <c r="L4207" t="s">
        <v>32</v>
      </c>
      <c r="M4207" t="s">
        <v>33</v>
      </c>
      <c r="P4207" s="1" t="s">
        <v>14506</v>
      </c>
      <c r="Q4207" s="1" t="s">
        <v>10616</v>
      </c>
      <c r="R4207" s="1" t="s">
        <v>10495</v>
      </c>
      <c r="S4207" s="1"/>
      <c r="T4207" s="1" t="s">
        <v>75</v>
      </c>
      <c r="U4207" s="1" t="s">
        <v>76</v>
      </c>
      <c r="V4207" s="1">
        <v>4.298</v>
      </c>
      <c r="W4207" s="1">
        <v>4.298</v>
      </c>
      <c r="X4207" s="1" t="s">
        <v>35</v>
      </c>
      <c r="Y4207" s="1">
        <v>4298.0</v>
      </c>
      <c r="Z4207" s="1"/>
      <c r="AA4207" s="1">
        <v>4298.0</v>
      </c>
      <c r="AB4207" s="1"/>
      <c r="AC4207" s="1" t="s">
        <v>36</v>
      </c>
      <c r="AD4207" s="1" t="s">
        <v>14507</v>
      </c>
      <c r="AE4207" s="1" t="s">
        <v>32</v>
      </c>
      <c r="AF4207" s="1" t="s">
        <v>33</v>
      </c>
      <c r="AG4207" s="1" t="s">
        <v>41</v>
      </c>
    </row>
    <row r="4208" spans="1:33">
      <c r="A4208" t="s">
        <v>14508</v>
      </c>
      <c r="C4208" t="s">
        <v>3079</v>
      </c>
      <c r="D4208" t="s">
        <v>154</v>
      </c>
      <c r="E4208" t="s">
        <v>10616</v>
      </c>
      <c r="F4208" t="s">
        <v>10617</v>
      </c>
      <c r="G4208">
        <v>656.0</v>
      </c>
      <c r="H4208">
        <v>656.0</v>
      </c>
      <c r="I4208" t="s">
        <v>227</v>
      </c>
      <c r="J4208" t="s">
        <v>228</v>
      </c>
      <c r="K4208" t="s">
        <v>31</v>
      </c>
      <c r="L4208" t="s">
        <v>32</v>
      </c>
      <c r="M4208" t="s">
        <v>33</v>
      </c>
      <c r="P4208" s="1" t="s">
        <v>14509</v>
      </c>
      <c r="Q4208" s="1" t="s">
        <v>10616</v>
      </c>
      <c r="R4208" s="1" t="s">
        <v>10616</v>
      </c>
      <c r="S4208" s="1"/>
      <c r="T4208" s="1" t="s">
        <v>3079</v>
      </c>
      <c r="U4208" s="1"/>
      <c r="V4208" s="1">
        <v>656.0</v>
      </c>
      <c r="W4208" s="1">
        <v>656.0</v>
      </c>
      <c r="X4208" s="1" t="s">
        <v>35</v>
      </c>
      <c r="Y4208" s="1">
        <v>656000.0</v>
      </c>
      <c r="Z4208" s="1"/>
      <c r="AA4208" s="1">
        <v>656000.0</v>
      </c>
      <c r="AB4208" s="1"/>
      <c r="AC4208" s="1" t="s">
        <v>36</v>
      </c>
      <c r="AD4208" s="1" t="s">
        <v>14510</v>
      </c>
      <c r="AE4208" s="1" t="s">
        <v>32</v>
      </c>
      <c r="AF4208" s="1" t="s">
        <v>33</v>
      </c>
      <c r="AG4208" s="1" t="s">
        <v>228</v>
      </c>
    </row>
    <row r="4209" spans="1:33">
      <c r="A4209" t="s">
        <v>14511</v>
      </c>
      <c r="B4209" t="s">
        <v>14512</v>
      </c>
      <c r="C4209" t="s">
        <v>73</v>
      </c>
      <c r="E4209" t="s">
        <v>10616</v>
      </c>
      <c r="F4209" t="s">
        <v>10617</v>
      </c>
      <c r="G4209">
        <v>31.99</v>
      </c>
      <c r="H4209">
        <v>31.99</v>
      </c>
      <c r="I4209" t="s">
        <v>13331</v>
      </c>
      <c r="J4209" t="s">
        <v>41</v>
      </c>
      <c r="K4209" t="s">
        <v>31</v>
      </c>
      <c r="L4209" t="s">
        <v>32</v>
      </c>
      <c r="M4209" t="s">
        <v>33</v>
      </c>
      <c r="P4209" s="1" t="s">
        <v>14513</v>
      </c>
      <c r="Q4209" s="1" t="s">
        <v>10616</v>
      </c>
      <c r="R4209" s="1" t="s">
        <v>10495</v>
      </c>
      <c r="S4209" s="1"/>
      <c r="T4209" s="1" t="s">
        <v>75</v>
      </c>
      <c r="U4209" s="1" t="s">
        <v>76</v>
      </c>
      <c r="V4209" s="1">
        <v>31.99</v>
      </c>
      <c r="W4209" s="1">
        <v>31.99</v>
      </c>
      <c r="X4209" s="1" t="s">
        <v>35</v>
      </c>
      <c r="Y4209" s="1">
        <v>31990.0</v>
      </c>
      <c r="Z4209" s="1"/>
      <c r="AA4209" s="1">
        <v>31990.0</v>
      </c>
      <c r="AB4209" s="1"/>
      <c r="AC4209" s="1" t="s">
        <v>36</v>
      </c>
      <c r="AD4209" s="1" t="s">
        <v>14514</v>
      </c>
      <c r="AE4209" s="1" t="s">
        <v>32</v>
      </c>
      <c r="AF4209" s="1" t="s">
        <v>33</v>
      </c>
      <c r="AG4209" s="1" t="s">
        <v>41</v>
      </c>
    </row>
    <row r="4210" spans="1:33">
      <c r="A4210" t="s">
        <v>14515</v>
      </c>
      <c r="B4210" t="s">
        <v>14516</v>
      </c>
      <c r="C4210" t="s">
        <v>47</v>
      </c>
      <c r="E4210" t="s">
        <v>10616</v>
      </c>
      <c r="F4210" t="s">
        <v>10617</v>
      </c>
      <c r="G4210">
        <v>97.06</v>
      </c>
      <c r="H4210">
        <v>97.06</v>
      </c>
      <c r="I4210" t="s">
        <v>2206</v>
      </c>
      <c r="J4210" t="s">
        <v>49</v>
      </c>
      <c r="K4210" t="s">
        <v>31</v>
      </c>
      <c r="L4210" t="s">
        <v>32</v>
      </c>
      <c r="M4210" t="s">
        <v>33</v>
      </c>
      <c r="P4210" s="1" t="s">
        <v>14517</v>
      </c>
      <c r="Q4210" s="1" t="s">
        <v>10616</v>
      </c>
      <c r="R4210" s="1" t="s">
        <v>10616</v>
      </c>
      <c r="S4210" s="1"/>
      <c r="T4210" s="1" t="s">
        <v>47</v>
      </c>
      <c r="U4210" s="1"/>
      <c r="V4210" s="1">
        <v>97.06</v>
      </c>
      <c r="W4210" s="1">
        <v>97.06</v>
      </c>
      <c r="X4210" s="1" t="s">
        <v>35</v>
      </c>
      <c r="Y4210" s="1">
        <v>97060</v>
      </c>
      <c r="Z4210" s="1"/>
      <c r="AA4210" s="1">
        <v>97060</v>
      </c>
      <c r="AB4210" s="1"/>
      <c r="AC4210" s="1" t="s">
        <v>36</v>
      </c>
      <c r="AD4210" s="1" t="s">
        <v>14518</v>
      </c>
      <c r="AE4210" s="1" t="s">
        <v>32</v>
      </c>
      <c r="AF4210" s="1" t="s">
        <v>33</v>
      </c>
      <c r="AG4210" s="1" t="s">
        <v>49</v>
      </c>
    </row>
    <row r="4211" spans="1:33">
      <c r="A4211" t="s">
        <v>14519</v>
      </c>
      <c r="B4211" t="s">
        <v>14520</v>
      </c>
      <c r="C4211" t="s">
        <v>125</v>
      </c>
      <c r="E4211" t="s">
        <v>10616</v>
      </c>
      <c r="F4211" t="s">
        <v>10617</v>
      </c>
      <c r="G4211">
        <v>24.518</v>
      </c>
      <c r="H4211">
        <v>24.518</v>
      </c>
      <c r="I4211" t="s">
        <v>126</v>
      </c>
      <c r="J4211" t="s">
        <v>127</v>
      </c>
      <c r="K4211" t="s">
        <v>31</v>
      </c>
      <c r="L4211" t="s">
        <v>32</v>
      </c>
      <c r="M4211" t="s">
        <v>33</v>
      </c>
      <c r="P4211" s="1" t="s">
        <v>14521</v>
      </c>
      <c r="Q4211" s="1" t="s">
        <v>10616</v>
      </c>
      <c r="R4211" s="1" t="s">
        <v>10616</v>
      </c>
      <c r="S4211" s="1"/>
      <c r="T4211" s="1" t="s">
        <v>125</v>
      </c>
      <c r="U4211" s="1"/>
      <c r="V4211" s="1">
        <v>24.518</v>
      </c>
      <c r="W4211" s="1">
        <v>24.518</v>
      </c>
      <c r="X4211" s="1" t="s">
        <v>35</v>
      </c>
      <c r="Y4211" s="1">
        <v>24518.0</v>
      </c>
      <c r="Z4211" s="1"/>
      <c r="AA4211" s="1">
        <v>24518.0</v>
      </c>
      <c r="AB4211" s="1"/>
      <c r="AC4211" s="1" t="s">
        <v>36</v>
      </c>
      <c r="AD4211" s="1" t="s">
        <v>14522</v>
      </c>
      <c r="AE4211" s="1" t="s">
        <v>32</v>
      </c>
      <c r="AF4211" s="1" t="s">
        <v>33</v>
      </c>
      <c r="AG4211" s="1" t="s">
        <v>127</v>
      </c>
    </row>
    <row r="4212" spans="1:33">
      <c r="A4212" t="s">
        <v>14523</v>
      </c>
      <c r="B4212" t="s">
        <v>14524</v>
      </c>
      <c r="C4212" t="s">
        <v>172</v>
      </c>
      <c r="E4212" t="s">
        <v>10616</v>
      </c>
      <c r="F4212" t="s">
        <v>10617</v>
      </c>
      <c r="G4212">
        <v>3.0</v>
      </c>
      <c r="H4212">
        <v>3.0</v>
      </c>
      <c r="I4212" t="s">
        <v>173</v>
      </c>
      <c r="J4212" t="s">
        <v>174</v>
      </c>
      <c r="K4212" t="s">
        <v>31</v>
      </c>
      <c r="L4212" t="s">
        <v>32</v>
      </c>
      <c r="M4212" t="s">
        <v>33</v>
      </c>
      <c r="P4212" s="1" t="s">
        <v>14525</v>
      </c>
      <c r="Q4212" s="1" t="s">
        <v>10616</v>
      </c>
      <c r="R4212" s="1" t="s">
        <v>10616</v>
      </c>
      <c r="S4212" s="1"/>
      <c r="T4212" s="1" t="s">
        <v>172</v>
      </c>
      <c r="U4212" s="1"/>
      <c r="V4212" s="1">
        <v>3.0</v>
      </c>
      <c r="W4212" s="1">
        <v>3.0</v>
      </c>
      <c r="X4212" s="1" t="s">
        <v>35</v>
      </c>
      <c r="Y4212" s="1">
        <v>3000.0</v>
      </c>
      <c r="Z4212" s="1"/>
      <c r="AA4212" s="1">
        <v>3000.0</v>
      </c>
      <c r="AB4212" s="1"/>
      <c r="AC4212" s="1" t="s">
        <v>36</v>
      </c>
      <c r="AD4212" s="1" t="s">
        <v>14526</v>
      </c>
      <c r="AE4212" s="1" t="s">
        <v>32</v>
      </c>
      <c r="AF4212" s="1" t="s">
        <v>33</v>
      </c>
      <c r="AG4212" s="1" t="s">
        <v>174</v>
      </c>
    </row>
    <row r="4213" spans="1:33">
      <c r="A4213" t="s">
        <v>14527</v>
      </c>
      <c r="C4213" t="s">
        <v>1408</v>
      </c>
      <c r="E4213" t="s">
        <v>10616</v>
      </c>
      <c r="F4213" t="s">
        <v>10617</v>
      </c>
      <c r="G4213">
        <v>976.0</v>
      </c>
      <c r="H4213">
        <v>976.0</v>
      </c>
      <c r="I4213" t="s">
        <v>2206</v>
      </c>
      <c r="J4213" t="s">
        <v>49</v>
      </c>
      <c r="K4213" t="s">
        <v>31</v>
      </c>
      <c r="L4213" t="s">
        <v>32</v>
      </c>
      <c r="M4213" t="s">
        <v>33</v>
      </c>
      <c r="P4213" s="1" t="s">
        <v>14528</v>
      </c>
      <c r="Q4213" s="1" t="s">
        <v>10616</v>
      </c>
      <c r="R4213" s="1" t="s">
        <v>10616</v>
      </c>
      <c r="S4213" s="1"/>
      <c r="T4213" s="1" t="s">
        <v>1408</v>
      </c>
      <c r="U4213" s="1"/>
      <c r="V4213" s="1">
        <v>976.0</v>
      </c>
      <c r="W4213" s="1">
        <v>976.0</v>
      </c>
      <c r="X4213" s="1" t="s">
        <v>35</v>
      </c>
      <c r="Y4213" s="1">
        <v>976000.0</v>
      </c>
      <c r="Z4213" s="1"/>
      <c r="AA4213" s="1">
        <v>976000.0</v>
      </c>
      <c r="AB4213" s="1"/>
      <c r="AC4213" s="1" t="s">
        <v>36</v>
      </c>
      <c r="AD4213" s="1" t="s">
        <v>14529</v>
      </c>
      <c r="AE4213" s="1" t="s">
        <v>32</v>
      </c>
      <c r="AF4213" s="1" t="s">
        <v>33</v>
      </c>
      <c r="AG4213" s="1" t="s">
        <v>49</v>
      </c>
    </row>
    <row r="4214" spans="1:33">
      <c r="A4214" t="s">
        <v>14530</v>
      </c>
      <c r="C4214" t="s">
        <v>264</v>
      </c>
      <c r="E4214" t="s">
        <v>10616</v>
      </c>
      <c r="F4214" t="s">
        <v>10617</v>
      </c>
      <c r="G4214">
        <v>320.0</v>
      </c>
      <c r="H4214">
        <v>320.0</v>
      </c>
      <c r="I4214" t="s">
        <v>13331</v>
      </c>
      <c r="J4214" t="s">
        <v>41</v>
      </c>
      <c r="K4214" t="s">
        <v>31</v>
      </c>
      <c r="L4214" t="s">
        <v>32</v>
      </c>
      <c r="M4214" t="s">
        <v>33</v>
      </c>
      <c r="P4214" s="1" t="s">
        <v>14531</v>
      </c>
      <c r="Q4214" s="1" t="s">
        <v>10616</v>
      </c>
      <c r="R4214" s="1" t="s">
        <v>10495</v>
      </c>
      <c r="S4214" s="1"/>
      <c r="T4214" s="1" t="s">
        <v>264</v>
      </c>
      <c r="U4214" s="1"/>
      <c r="V4214" s="1">
        <v>320.0</v>
      </c>
      <c r="W4214" s="1">
        <v>320.0</v>
      </c>
      <c r="X4214" s="1" t="s">
        <v>35</v>
      </c>
      <c r="Y4214" s="1">
        <v>320000.0</v>
      </c>
      <c r="Z4214" s="1"/>
      <c r="AA4214" s="1">
        <v>320000.0</v>
      </c>
      <c r="AB4214" s="1"/>
      <c r="AC4214" s="1" t="s">
        <v>36</v>
      </c>
      <c r="AD4214" s="1" t="s">
        <v>14514</v>
      </c>
      <c r="AE4214" s="1" t="s">
        <v>32</v>
      </c>
      <c r="AF4214" s="1" t="s">
        <v>33</v>
      </c>
      <c r="AG4214" s="1" t="s">
        <v>41</v>
      </c>
    </row>
    <row r="4215" spans="1:33">
      <c r="A4215" t="s">
        <v>14532</v>
      </c>
      <c r="C4215" t="s">
        <v>14533</v>
      </c>
      <c r="E4215" t="s">
        <v>10616</v>
      </c>
      <c r="F4215" t="s">
        <v>10617</v>
      </c>
      <c r="G4215">
        <v>4.151</v>
      </c>
      <c r="H4215">
        <v>4.151</v>
      </c>
      <c r="I4215" t="s">
        <v>847</v>
      </c>
      <c r="J4215" t="s">
        <v>848</v>
      </c>
      <c r="K4215" t="s">
        <v>31</v>
      </c>
      <c r="L4215" t="s">
        <v>32</v>
      </c>
      <c r="M4215" t="s">
        <v>33</v>
      </c>
      <c r="P4215" s="1" t="s">
        <v>14534</v>
      </c>
      <c r="Q4215" s="1" t="s">
        <v>10616</v>
      </c>
      <c r="R4215" s="1" t="s">
        <v>10616</v>
      </c>
      <c r="S4215" s="1"/>
      <c r="T4215" s="1" t="s">
        <v>14533</v>
      </c>
      <c r="U4215" s="1"/>
      <c r="V4215" s="1">
        <v>4.151</v>
      </c>
      <c r="W4215" s="1">
        <v>4.151</v>
      </c>
      <c r="X4215" s="1" t="s">
        <v>35</v>
      </c>
      <c r="Y4215" s="1">
        <v>4151600.0</v>
      </c>
      <c r="Z4215" s="1"/>
      <c r="AA4215" s="1">
        <v>4151600.0</v>
      </c>
      <c r="AB4215" s="1"/>
      <c r="AC4215" s="1" t="s">
        <v>36</v>
      </c>
      <c r="AD4215" s="1" t="s">
        <v>14535</v>
      </c>
      <c r="AE4215" s="1" t="s">
        <v>32</v>
      </c>
      <c r="AF4215" s="1" t="s">
        <v>33</v>
      </c>
      <c r="AG4215" s="1" t="s">
        <v>848</v>
      </c>
    </row>
    <row r="4216" spans="1:33">
      <c r="A4216" t="s">
        <v>14536</v>
      </c>
      <c r="B4216" t="s">
        <v>14537</v>
      </c>
      <c r="C4216" t="s">
        <v>125</v>
      </c>
      <c r="E4216" t="s">
        <v>10616</v>
      </c>
      <c r="F4216" t="s">
        <v>10617</v>
      </c>
      <c r="G4216">
        <v>265.38</v>
      </c>
      <c r="H4216">
        <v>265.38</v>
      </c>
      <c r="I4216" t="s">
        <v>126</v>
      </c>
      <c r="J4216" t="s">
        <v>127</v>
      </c>
      <c r="K4216" t="s">
        <v>31</v>
      </c>
      <c r="L4216" t="s">
        <v>32</v>
      </c>
      <c r="M4216" t="s">
        <v>33</v>
      </c>
      <c r="P4216" s="1" t="s">
        <v>14538</v>
      </c>
      <c r="Q4216" s="1" t="s">
        <v>10616</v>
      </c>
      <c r="R4216" s="1" t="s">
        <v>10616</v>
      </c>
      <c r="S4216" s="1"/>
      <c r="T4216" s="1" t="s">
        <v>125</v>
      </c>
      <c r="U4216" s="1"/>
      <c r="V4216" s="1">
        <v>265.38</v>
      </c>
      <c r="W4216" s="1">
        <v>265.38</v>
      </c>
      <c r="X4216" s="1" t="s">
        <v>35</v>
      </c>
      <c r="Y4216" s="1">
        <v>265380.0</v>
      </c>
      <c r="Z4216" s="1"/>
      <c r="AA4216" s="1">
        <v>265380.0</v>
      </c>
      <c r="AB4216" s="1"/>
      <c r="AC4216" s="1" t="s">
        <v>36</v>
      </c>
      <c r="AD4216" s="1" t="s">
        <v>14539</v>
      </c>
      <c r="AE4216" s="1" t="s">
        <v>32</v>
      </c>
      <c r="AF4216" s="1" t="s">
        <v>33</v>
      </c>
      <c r="AG4216" s="1" t="s">
        <v>127</v>
      </c>
    </row>
    <row r="4217" spans="1:33">
      <c r="A4217" t="s">
        <v>14540</v>
      </c>
      <c r="C4217" t="s">
        <v>14541</v>
      </c>
      <c r="D4217" t="s">
        <v>114</v>
      </c>
      <c r="E4217" t="s">
        <v>10616</v>
      </c>
      <c r="F4217" t="s">
        <v>10617</v>
      </c>
      <c r="G4217">
        <v>670.0</v>
      </c>
      <c r="H4217">
        <v>670.0</v>
      </c>
      <c r="I4217" t="s">
        <v>269</v>
      </c>
      <c r="J4217" t="s">
        <v>270</v>
      </c>
      <c r="K4217" t="s">
        <v>31</v>
      </c>
      <c r="L4217" t="s">
        <v>32</v>
      </c>
      <c r="M4217" t="s">
        <v>33</v>
      </c>
      <c r="P4217" s="1" t="s">
        <v>14542</v>
      </c>
      <c r="Q4217" s="1" t="s">
        <v>10616</v>
      </c>
      <c r="R4217" s="1" t="s">
        <v>10616</v>
      </c>
      <c r="S4217" s="1"/>
      <c r="T4217" s="1" t="s">
        <v>14541</v>
      </c>
      <c r="U4217" s="1"/>
      <c r="V4217" s="1">
        <v>670.0</v>
      </c>
      <c r="W4217" s="1">
        <v>670.0</v>
      </c>
      <c r="X4217" s="1" t="s">
        <v>35</v>
      </c>
      <c r="Y4217" s="1">
        <v>670000.0</v>
      </c>
      <c r="Z4217" s="1"/>
      <c r="AA4217" s="1">
        <v>670000.0</v>
      </c>
      <c r="AB4217" s="1"/>
      <c r="AC4217" s="1" t="s">
        <v>36</v>
      </c>
      <c r="AD4217" s="1" t="s">
        <v>14543</v>
      </c>
      <c r="AE4217" s="1" t="s">
        <v>32</v>
      </c>
      <c r="AF4217" s="1" t="s">
        <v>33</v>
      </c>
      <c r="AG4217" s="1" t="s">
        <v>270</v>
      </c>
    </row>
    <row r="4218" spans="1:33">
      <c r="A4218" t="s">
        <v>14544</v>
      </c>
      <c r="B4218" t="s">
        <v>14545</v>
      </c>
      <c r="C4218" t="s">
        <v>73</v>
      </c>
      <c r="E4218" t="s">
        <v>10616</v>
      </c>
      <c r="F4218" t="s">
        <v>10617</v>
      </c>
      <c r="G4218">
        <v>48.766</v>
      </c>
      <c r="H4218">
        <v>48.766</v>
      </c>
      <c r="I4218" t="s">
        <v>13331</v>
      </c>
      <c r="J4218" t="s">
        <v>41</v>
      </c>
      <c r="K4218" t="s">
        <v>31</v>
      </c>
      <c r="L4218" t="s">
        <v>32</v>
      </c>
      <c r="M4218" t="s">
        <v>33</v>
      </c>
      <c r="P4218" s="1" t="s">
        <v>14546</v>
      </c>
      <c r="Q4218" s="1" t="s">
        <v>10616</v>
      </c>
      <c r="R4218" s="1" t="s">
        <v>10495</v>
      </c>
      <c r="S4218" s="1"/>
      <c r="T4218" s="1" t="s">
        <v>75</v>
      </c>
      <c r="U4218" s="1" t="s">
        <v>76</v>
      </c>
      <c r="V4218" s="1">
        <v>48.766</v>
      </c>
      <c r="W4218" s="1">
        <v>48.766</v>
      </c>
      <c r="X4218" s="1" t="s">
        <v>35</v>
      </c>
      <c r="Y4218" s="1">
        <v>48766.0</v>
      </c>
      <c r="Z4218" s="1"/>
      <c r="AA4218" s="1">
        <v>48766.0</v>
      </c>
      <c r="AB4218" s="1"/>
      <c r="AC4218" s="1" t="s">
        <v>36</v>
      </c>
      <c r="AD4218" s="1" t="s">
        <v>14547</v>
      </c>
      <c r="AE4218" s="1" t="s">
        <v>32</v>
      </c>
      <c r="AF4218" s="1" t="s">
        <v>33</v>
      </c>
      <c r="AG4218" s="1" t="s">
        <v>41</v>
      </c>
    </row>
    <row r="4219" spans="1:33">
      <c r="A4219" t="s">
        <v>14548</v>
      </c>
      <c r="B4219" t="s">
        <v>14549</v>
      </c>
      <c r="C4219" t="s">
        <v>906</v>
      </c>
      <c r="E4219" t="s">
        <v>10616</v>
      </c>
      <c r="F4219" t="s">
        <v>10617</v>
      </c>
      <c r="G4219">
        <v>65.38</v>
      </c>
      <c r="H4219">
        <v>65.38</v>
      </c>
      <c r="I4219" t="s">
        <v>847</v>
      </c>
      <c r="J4219" t="s">
        <v>848</v>
      </c>
      <c r="K4219" t="s">
        <v>31</v>
      </c>
      <c r="L4219" t="s">
        <v>32</v>
      </c>
      <c r="M4219" t="s">
        <v>33</v>
      </c>
      <c r="P4219" s="1" t="s">
        <v>14550</v>
      </c>
      <c r="Q4219" s="1" t="s">
        <v>10616</v>
      </c>
      <c r="R4219" s="1" t="s">
        <v>10616</v>
      </c>
      <c r="S4219" s="1"/>
      <c r="T4219" s="1" t="s">
        <v>906</v>
      </c>
      <c r="U4219" s="1"/>
      <c r="V4219" s="1">
        <v>65.38</v>
      </c>
      <c r="W4219" s="1">
        <v>65.38</v>
      </c>
      <c r="X4219" s="1" t="s">
        <v>35</v>
      </c>
      <c r="Y4219" s="1">
        <v>65380.0</v>
      </c>
      <c r="Z4219" s="1"/>
      <c r="AA4219" s="1">
        <v>65380.0</v>
      </c>
      <c r="AB4219" s="1"/>
      <c r="AC4219" s="1" t="s">
        <v>36</v>
      </c>
      <c r="AD4219" s="1" t="s">
        <v>14551</v>
      </c>
      <c r="AE4219" s="1" t="s">
        <v>32</v>
      </c>
      <c r="AF4219" s="1" t="s">
        <v>33</v>
      </c>
      <c r="AG4219" s="1" t="s">
        <v>848</v>
      </c>
    </row>
    <row r="4220" spans="1:33">
      <c r="A4220" t="s">
        <v>14552</v>
      </c>
      <c r="C4220" t="s">
        <v>2921</v>
      </c>
      <c r="E4220" t="s">
        <v>10616</v>
      </c>
      <c r="F4220" t="s">
        <v>10617</v>
      </c>
      <c r="G4220">
        <v>960.0</v>
      </c>
      <c r="H4220">
        <v>960.0</v>
      </c>
      <c r="I4220" t="s">
        <v>13331</v>
      </c>
      <c r="J4220" t="s">
        <v>41</v>
      </c>
      <c r="K4220" t="s">
        <v>31</v>
      </c>
      <c r="L4220" t="s">
        <v>32</v>
      </c>
      <c r="M4220" t="s">
        <v>33</v>
      </c>
      <c r="P4220" s="1" t="s">
        <v>14553</v>
      </c>
      <c r="Q4220" s="1" t="s">
        <v>10616</v>
      </c>
      <c r="R4220" s="1" t="s">
        <v>10495</v>
      </c>
      <c r="S4220" s="1"/>
      <c r="T4220" s="1" t="s">
        <v>2921</v>
      </c>
      <c r="U4220" s="1"/>
      <c r="V4220" s="1">
        <v>960.0</v>
      </c>
      <c r="W4220" s="1">
        <v>960.0</v>
      </c>
      <c r="X4220" s="1" t="s">
        <v>35</v>
      </c>
      <c r="Y4220" s="1">
        <v>960000.0</v>
      </c>
      <c r="Z4220" s="1"/>
      <c r="AA4220" s="1">
        <v>960000.0</v>
      </c>
      <c r="AB4220" s="1"/>
      <c r="AC4220" s="1" t="s">
        <v>36</v>
      </c>
      <c r="AD4220" s="1" t="s">
        <v>14554</v>
      </c>
      <c r="AE4220" s="1" t="s">
        <v>32</v>
      </c>
      <c r="AF4220" s="1" t="s">
        <v>33</v>
      </c>
      <c r="AG4220" s="1" t="s">
        <v>41</v>
      </c>
    </row>
    <row r="4221" spans="1:33">
      <c r="A4221" t="s">
        <v>14555</v>
      </c>
      <c r="B4221" t="s">
        <v>6858</v>
      </c>
      <c r="C4221" t="s">
        <v>268</v>
      </c>
      <c r="E4221" t="s">
        <v>10616</v>
      </c>
      <c r="F4221" t="s">
        <v>10617</v>
      </c>
      <c r="G4221">
        <v>36.75</v>
      </c>
      <c r="H4221">
        <v>36.75</v>
      </c>
      <c r="I4221" t="s">
        <v>269</v>
      </c>
      <c r="J4221" t="s">
        <v>270</v>
      </c>
      <c r="K4221" t="s">
        <v>31</v>
      </c>
      <c r="L4221" t="s">
        <v>32</v>
      </c>
      <c r="M4221" t="s">
        <v>33</v>
      </c>
      <c r="P4221" s="1" t="s">
        <v>14556</v>
      </c>
      <c r="Q4221" s="1" t="s">
        <v>10616</v>
      </c>
      <c r="R4221" s="1" t="s">
        <v>10616</v>
      </c>
      <c r="S4221" s="1"/>
      <c r="T4221" s="1" t="s">
        <v>268</v>
      </c>
      <c r="U4221" s="1"/>
      <c r="V4221" s="1">
        <v>36.75</v>
      </c>
      <c r="W4221" s="1">
        <v>36.75</v>
      </c>
      <c r="X4221" s="1" t="s">
        <v>35</v>
      </c>
      <c r="Y4221" s="1">
        <v>36750.0</v>
      </c>
      <c r="Z4221" s="1"/>
      <c r="AA4221" s="1">
        <v>36750.0</v>
      </c>
      <c r="AB4221" s="1"/>
      <c r="AC4221" s="1" t="s">
        <v>36</v>
      </c>
      <c r="AD4221" s="1" t="s">
        <v>14557</v>
      </c>
      <c r="AE4221" s="1" t="s">
        <v>32</v>
      </c>
      <c r="AF4221" s="1" t="s">
        <v>33</v>
      </c>
      <c r="AG4221" s="1" t="s">
        <v>270</v>
      </c>
    </row>
    <row r="4222" spans="1:33">
      <c r="A4222" t="s">
        <v>14558</v>
      </c>
      <c r="B4222" t="s">
        <v>14559</v>
      </c>
      <c r="C4222" t="s">
        <v>314</v>
      </c>
      <c r="E4222" t="s">
        <v>10616</v>
      </c>
      <c r="F4222" t="s">
        <v>10617</v>
      </c>
      <c r="G4222">
        <v>30.49</v>
      </c>
      <c r="H4222">
        <v>30.49</v>
      </c>
      <c r="I4222" t="s">
        <v>179</v>
      </c>
      <c r="J4222" t="s">
        <v>180</v>
      </c>
      <c r="K4222" t="s">
        <v>31</v>
      </c>
      <c r="L4222" t="s">
        <v>32</v>
      </c>
      <c r="M4222" t="s">
        <v>33</v>
      </c>
      <c r="P4222" s="1" t="s">
        <v>14560</v>
      </c>
      <c r="Q4222" s="1" t="s">
        <v>10616</v>
      </c>
      <c r="R4222" s="1" t="s">
        <v>10616</v>
      </c>
      <c r="S4222" s="1"/>
      <c r="T4222" s="1" t="s">
        <v>314</v>
      </c>
      <c r="U4222" s="1"/>
      <c r="V4222" s="1">
        <v>30.49</v>
      </c>
      <c r="W4222" s="1">
        <v>30.49</v>
      </c>
      <c r="X4222" s="1" t="s">
        <v>35</v>
      </c>
      <c r="Y4222" s="1">
        <v>30490.0</v>
      </c>
      <c r="Z4222" s="1"/>
      <c r="AA4222" s="1">
        <v>30490.0</v>
      </c>
      <c r="AB4222" s="1"/>
      <c r="AC4222" s="1" t="s">
        <v>36</v>
      </c>
      <c r="AD4222" s="1" t="s">
        <v>14561</v>
      </c>
      <c r="AE4222" s="1" t="s">
        <v>32</v>
      </c>
      <c r="AF4222" s="1" t="s">
        <v>33</v>
      </c>
      <c r="AG4222" s="1" t="s">
        <v>180</v>
      </c>
    </row>
    <row r="4223" spans="1:33">
      <c r="A4223" t="s">
        <v>14562</v>
      </c>
      <c r="C4223" t="s">
        <v>14563</v>
      </c>
      <c r="E4223" t="s">
        <v>10616</v>
      </c>
      <c r="F4223" t="s">
        <v>10617</v>
      </c>
      <c r="G4223">
        <v>328.0</v>
      </c>
      <c r="H4223">
        <v>328.0</v>
      </c>
      <c r="I4223" t="s">
        <v>269</v>
      </c>
      <c r="J4223" t="s">
        <v>270</v>
      </c>
      <c r="K4223" t="s">
        <v>31</v>
      </c>
      <c r="L4223" t="s">
        <v>32</v>
      </c>
      <c r="M4223" t="s">
        <v>33</v>
      </c>
      <c r="P4223" s="1" t="s">
        <v>14564</v>
      </c>
      <c r="Q4223" s="1" t="s">
        <v>10616</v>
      </c>
      <c r="R4223" s="1" t="s">
        <v>10616</v>
      </c>
      <c r="S4223" s="1"/>
      <c r="T4223" s="1" t="s">
        <v>14563</v>
      </c>
      <c r="U4223" s="1"/>
      <c r="V4223" s="1">
        <v>328.0</v>
      </c>
      <c r="W4223" s="1">
        <v>328.0</v>
      </c>
      <c r="X4223" s="1" t="s">
        <v>35</v>
      </c>
      <c r="Y4223" s="1">
        <v>328000.0</v>
      </c>
      <c r="Z4223" s="1"/>
      <c r="AA4223" s="1">
        <v>328000.0</v>
      </c>
      <c r="AB4223" s="1"/>
      <c r="AC4223" s="1" t="s">
        <v>36</v>
      </c>
      <c r="AD4223" s="1" t="s">
        <v>14565</v>
      </c>
      <c r="AE4223" s="1" t="s">
        <v>32</v>
      </c>
      <c r="AF4223" s="1" t="s">
        <v>33</v>
      </c>
      <c r="AG4223" s="1" t="s">
        <v>270</v>
      </c>
    </row>
    <row r="4224" spans="1:33">
      <c r="A4224" t="s">
        <v>14566</v>
      </c>
      <c r="B4224" t="s">
        <v>5935</v>
      </c>
      <c r="C4224" t="s">
        <v>314</v>
      </c>
      <c r="E4224" t="s">
        <v>10616</v>
      </c>
      <c r="F4224" t="s">
        <v>10617</v>
      </c>
      <c r="G4224">
        <v>202.44</v>
      </c>
      <c r="H4224">
        <v>202.44</v>
      </c>
      <c r="I4224" t="s">
        <v>179</v>
      </c>
      <c r="J4224" t="s">
        <v>180</v>
      </c>
      <c r="K4224" t="s">
        <v>31</v>
      </c>
      <c r="L4224" t="s">
        <v>32</v>
      </c>
      <c r="M4224" t="s">
        <v>33</v>
      </c>
      <c r="P4224" s="1" t="s">
        <v>14567</v>
      </c>
      <c r="Q4224" s="1" t="s">
        <v>10616</v>
      </c>
      <c r="R4224" s="1" t="s">
        <v>10616</v>
      </c>
      <c r="S4224" s="1"/>
      <c r="T4224" s="1" t="s">
        <v>314</v>
      </c>
      <c r="U4224" s="1"/>
      <c r="V4224" s="1">
        <v>202.44</v>
      </c>
      <c r="W4224" s="1">
        <v>202.44</v>
      </c>
      <c r="X4224" s="1" t="s">
        <v>35</v>
      </c>
      <c r="Y4224" s="1">
        <v>202440.0</v>
      </c>
      <c r="Z4224" s="1"/>
      <c r="AA4224" s="1">
        <v>202440.0</v>
      </c>
      <c r="AB4224" s="1"/>
      <c r="AC4224" s="1" t="s">
        <v>36</v>
      </c>
      <c r="AD4224" s="1" t="s">
        <v>14568</v>
      </c>
      <c r="AE4224" s="1" t="s">
        <v>32</v>
      </c>
      <c r="AF4224" s="1" t="s">
        <v>33</v>
      </c>
      <c r="AG4224" s="1" t="s">
        <v>180</v>
      </c>
    </row>
    <row r="4225" spans="1:33">
      <c r="A4225" t="s">
        <v>14569</v>
      </c>
      <c r="C4225" t="s">
        <v>1166</v>
      </c>
      <c r="E4225" t="s">
        <v>10616</v>
      </c>
      <c r="F4225" t="s">
        <v>10617</v>
      </c>
      <c r="G4225">
        <v>664.0</v>
      </c>
      <c r="H4225">
        <v>664.0</v>
      </c>
      <c r="I4225" t="s">
        <v>14093</v>
      </c>
      <c r="J4225" t="s">
        <v>95</v>
      </c>
      <c r="K4225" t="s">
        <v>31</v>
      </c>
      <c r="L4225" t="s">
        <v>32</v>
      </c>
      <c r="M4225" t="s">
        <v>33</v>
      </c>
      <c r="P4225" s="1" t="s">
        <v>14570</v>
      </c>
      <c r="Q4225" s="1" t="s">
        <v>10616</v>
      </c>
      <c r="R4225" s="1" t="s">
        <v>10616</v>
      </c>
      <c r="S4225" s="1"/>
      <c r="T4225" s="1" t="s">
        <v>1166</v>
      </c>
      <c r="U4225" s="1"/>
      <c r="V4225" s="1">
        <v>664.0</v>
      </c>
      <c r="W4225" s="1">
        <v>664.0</v>
      </c>
      <c r="X4225" s="1" t="s">
        <v>35</v>
      </c>
      <c r="Y4225" s="1">
        <v>664000.0</v>
      </c>
      <c r="Z4225" s="1"/>
      <c r="AA4225" s="1">
        <v>664000.0</v>
      </c>
      <c r="AB4225" s="1"/>
      <c r="AC4225" s="1" t="s">
        <v>36</v>
      </c>
      <c r="AD4225" s="1" t="s">
        <v>14571</v>
      </c>
      <c r="AE4225" s="1" t="s">
        <v>32</v>
      </c>
      <c r="AF4225" s="1" t="s">
        <v>33</v>
      </c>
      <c r="AG4225" s="1" t="s">
        <v>95</v>
      </c>
    </row>
    <row r="4226" spans="1:33">
      <c r="A4226" t="s">
        <v>14572</v>
      </c>
      <c r="B4226" t="s">
        <v>3313</v>
      </c>
      <c r="C4226" t="s">
        <v>3314</v>
      </c>
      <c r="E4226" t="s">
        <v>10616</v>
      </c>
      <c r="F4226" t="s">
        <v>10617</v>
      </c>
      <c r="G4226">
        <v>235.0</v>
      </c>
      <c r="H4226">
        <v>235.0</v>
      </c>
      <c r="I4226" t="s">
        <v>29</v>
      </c>
      <c r="J4226" t="s">
        <v>30</v>
      </c>
      <c r="K4226" t="s">
        <v>31</v>
      </c>
      <c r="L4226" t="s">
        <v>32</v>
      </c>
      <c r="M4226" t="s">
        <v>33</v>
      </c>
      <c r="P4226" s="1" t="s">
        <v>14573</v>
      </c>
      <c r="Q4226" s="1" t="s">
        <v>10616</v>
      </c>
      <c r="R4226" s="1" t="s">
        <v>10616</v>
      </c>
      <c r="S4226" s="1"/>
      <c r="T4226" s="1" t="s">
        <v>3314</v>
      </c>
      <c r="U4226" s="1"/>
      <c r="V4226" s="1">
        <v>235.0</v>
      </c>
      <c r="W4226" s="1">
        <v>235.0</v>
      </c>
      <c r="X4226" s="1" t="s">
        <v>35</v>
      </c>
      <c r="Y4226" s="1">
        <v>235000.0</v>
      </c>
      <c r="Z4226" s="1"/>
      <c r="AA4226" s="1">
        <v>235000.0</v>
      </c>
      <c r="AB4226" s="1"/>
      <c r="AC4226" s="1" t="s">
        <v>36</v>
      </c>
      <c r="AD4226" s="1" t="s">
        <v>14574</v>
      </c>
      <c r="AE4226" s="1" t="s">
        <v>32</v>
      </c>
      <c r="AF4226" s="1" t="s">
        <v>33</v>
      </c>
      <c r="AG4226" s="1" t="s">
        <v>30</v>
      </c>
    </row>
    <row r="4227" spans="1:33">
      <c r="A4227" t="s">
        <v>14575</v>
      </c>
      <c r="C4227" t="s">
        <v>1807</v>
      </c>
      <c r="E4227" t="s">
        <v>10616</v>
      </c>
      <c r="F4227" t="s">
        <v>10617</v>
      </c>
      <c r="G4227">
        <v>328.0</v>
      </c>
      <c r="H4227">
        <v>328.0</v>
      </c>
      <c r="I4227" t="s">
        <v>269</v>
      </c>
      <c r="J4227" t="s">
        <v>270</v>
      </c>
      <c r="K4227" t="s">
        <v>31</v>
      </c>
      <c r="L4227" t="s">
        <v>32</v>
      </c>
      <c r="M4227" t="s">
        <v>33</v>
      </c>
      <c r="P4227" s="1" t="s">
        <v>14576</v>
      </c>
      <c r="Q4227" s="1" t="s">
        <v>10616</v>
      </c>
      <c r="R4227" s="1" t="s">
        <v>10616</v>
      </c>
      <c r="S4227" s="1"/>
      <c r="T4227" s="1" t="s">
        <v>1807</v>
      </c>
      <c r="U4227" s="1"/>
      <c r="V4227" s="1">
        <v>328.0</v>
      </c>
      <c r="W4227" s="1">
        <v>328.0</v>
      </c>
      <c r="X4227" s="1" t="s">
        <v>35</v>
      </c>
      <c r="Y4227" s="1">
        <v>328000.0</v>
      </c>
      <c r="Z4227" s="1"/>
      <c r="AA4227" s="1">
        <v>328000.0</v>
      </c>
      <c r="AB4227" s="1"/>
      <c r="AC4227" s="1" t="s">
        <v>36</v>
      </c>
      <c r="AD4227" s="1" t="s">
        <v>14561</v>
      </c>
      <c r="AE4227" s="1" t="s">
        <v>32</v>
      </c>
      <c r="AF4227" s="1" t="s">
        <v>33</v>
      </c>
      <c r="AG4227" s="1" t="s">
        <v>270</v>
      </c>
    </row>
    <row r="4228" spans="1:33">
      <c r="A4228" t="s">
        <v>14577</v>
      </c>
      <c r="B4228" t="s">
        <v>6285</v>
      </c>
      <c r="C4228" t="s">
        <v>68</v>
      </c>
      <c r="E4228" t="s">
        <v>10616</v>
      </c>
      <c r="F4228" t="s">
        <v>10617</v>
      </c>
      <c r="G4228">
        <v>22.49</v>
      </c>
      <c r="H4228">
        <v>22.49</v>
      </c>
      <c r="I4228" t="s">
        <v>59</v>
      </c>
      <c r="J4228" t="s">
        <v>60</v>
      </c>
      <c r="K4228" t="s">
        <v>31</v>
      </c>
      <c r="L4228" t="s">
        <v>32</v>
      </c>
      <c r="M4228" t="s">
        <v>33</v>
      </c>
      <c r="P4228" s="1" t="s">
        <v>14578</v>
      </c>
      <c r="Q4228" s="1" t="s">
        <v>10616</v>
      </c>
      <c r="R4228" s="1" t="s">
        <v>10616</v>
      </c>
      <c r="S4228" s="1"/>
      <c r="T4228" s="1" t="s">
        <v>68</v>
      </c>
      <c r="U4228" s="1"/>
      <c r="V4228" s="1">
        <v>22.49</v>
      </c>
      <c r="W4228" s="1">
        <v>22.49</v>
      </c>
      <c r="X4228" s="1" t="s">
        <v>35</v>
      </c>
      <c r="Y4228" s="1">
        <v>22490.0</v>
      </c>
      <c r="Z4228" s="1"/>
      <c r="AA4228" s="1">
        <v>22490.0</v>
      </c>
      <c r="AB4228" s="1"/>
      <c r="AC4228" s="1" t="s">
        <v>36</v>
      </c>
      <c r="AD4228" s="1" t="s">
        <v>14579</v>
      </c>
      <c r="AE4228" s="1" t="s">
        <v>32</v>
      </c>
      <c r="AF4228" s="1" t="s">
        <v>33</v>
      </c>
      <c r="AG4228" s="1" t="s">
        <v>60</v>
      </c>
    </row>
    <row r="4229" spans="1:33">
      <c r="A4229" t="s">
        <v>14580</v>
      </c>
      <c r="C4229" t="s">
        <v>747</v>
      </c>
      <c r="E4229" t="s">
        <v>10616</v>
      </c>
      <c r="F4229" t="s">
        <v>10617</v>
      </c>
      <c r="G4229">
        <v>326.0</v>
      </c>
      <c r="H4229">
        <v>326.0</v>
      </c>
      <c r="I4229" t="s">
        <v>269</v>
      </c>
      <c r="J4229" t="s">
        <v>270</v>
      </c>
      <c r="K4229" t="s">
        <v>31</v>
      </c>
      <c r="L4229" t="s">
        <v>32</v>
      </c>
      <c r="M4229" t="s">
        <v>33</v>
      </c>
      <c r="P4229" s="1" t="s">
        <v>14581</v>
      </c>
      <c r="Q4229" s="1" t="s">
        <v>10616</v>
      </c>
      <c r="R4229" s="1" t="s">
        <v>10616</v>
      </c>
      <c r="S4229" s="1"/>
      <c r="T4229" s="1" t="s">
        <v>747</v>
      </c>
      <c r="U4229" s="1"/>
      <c r="V4229" s="1">
        <v>326.0</v>
      </c>
      <c r="W4229" s="1">
        <v>326.0</v>
      </c>
      <c r="X4229" s="1" t="s">
        <v>35</v>
      </c>
      <c r="Y4229" s="1">
        <v>326000.0</v>
      </c>
      <c r="Z4229" s="1"/>
      <c r="AA4229" s="1">
        <v>326000.0</v>
      </c>
      <c r="AB4229" s="1"/>
      <c r="AC4229" s="1" t="s">
        <v>36</v>
      </c>
      <c r="AD4229" s="1" t="s">
        <v>14579</v>
      </c>
      <c r="AE4229" s="1" t="s">
        <v>32</v>
      </c>
      <c r="AF4229" s="1" t="s">
        <v>33</v>
      </c>
      <c r="AG4229" s="1" t="s">
        <v>270</v>
      </c>
    </row>
    <row r="4230" spans="1:33">
      <c r="A4230" t="s">
        <v>14582</v>
      </c>
      <c r="B4230" t="s">
        <v>14583</v>
      </c>
      <c r="C4230" t="s">
        <v>268</v>
      </c>
      <c r="E4230" t="s">
        <v>10616</v>
      </c>
      <c r="F4230" t="s">
        <v>10617</v>
      </c>
      <c r="G4230">
        <v>36.75</v>
      </c>
      <c r="H4230">
        <v>36.75</v>
      </c>
      <c r="I4230" t="s">
        <v>269</v>
      </c>
      <c r="J4230" t="s">
        <v>270</v>
      </c>
      <c r="K4230" t="s">
        <v>31</v>
      </c>
      <c r="L4230" t="s">
        <v>32</v>
      </c>
      <c r="M4230" t="s">
        <v>33</v>
      </c>
      <c r="P4230" s="1" t="s">
        <v>14584</v>
      </c>
      <c r="Q4230" s="1" t="s">
        <v>10616</v>
      </c>
      <c r="R4230" s="1" t="s">
        <v>10616</v>
      </c>
      <c r="S4230" s="1"/>
      <c r="T4230" s="1" t="s">
        <v>268</v>
      </c>
      <c r="U4230" s="1"/>
      <c r="V4230" s="1">
        <v>36.75</v>
      </c>
      <c r="W4230" s="1">
        <v>36.75</v>
      </c>
      <c r="X4230" s="1" t="s">
        <v>35</v>
      </c>
      <c r="Y4230" s="1">
        <v>36750.0</v>
      </c>
      <c r="Z4230" s="1"/>
      <c r="AA4230" s="1">
        <v>36750.0</v>
      </c>
      <c r="AB4230" s="1"/>
      <c r="AC4230" s="1" t="s">
        <v>36</v>
      </c>
      <c r="AD4230" s="1" t="s">
        <v>14585</v>
      </c>
      <c r="AE4230" s="1" t="s">
        <v>32</v>
      </c>
      <c r="AF4230" s="1" t="s">
        <v>33</v>
      </c>
      <c r="AG4230" s="1" t="s">
        <v>270</v>
      </c>
    </row>
    <row r="4231" spans="1:33">
      <c r="A4231" t="s">
        <v>14586</v>
      </c>
      <c r="B4231" t="s">
        <v>14587</v>
      </c>
      <c r="C4231" t="s">
        <v>14588</v>
      </c>
      <c r="D4231" t="s">
        <v>154</v>
      </c>
      <c r="E4231" t="s">
        <v>10616</v>
      </c>
      <c r="F4231" t="s">
        <v>10617</v>
      </c>
      <c r="G4231">
        <v>612.4</v>
      </c>
      <c r="H4231">
        <v>612.4</v>
      </c>
      <c r="I4231" t="s">
        <v>529</v>
      </c>
      <c r="J4231" t="s">
        <v>530</v>
      </c>
      <c r="K4231" t="s">
        <v>31</v>
      </c>
      <c r="L4231" t="s">
        <v>32</v>
      </c>
      <c r="M4231" t="s">
        <v>33</v>
      </c>
      <c r="P4231" s="1" t="s">
        <v>14589</v>
      </c>
      <c r="Q4231" s="1" t="s">
        <v>10616</v>
      </c>
      <c r="R4231" s="1" t="s">
        <v>10495</v>
      </c>
      <c r="S4231" s="1"/>
      <c r="T4231" s="1" t="s">
        <v>14588</v>
      </c>
      <c r="U4231" s="1"/>
      <c r="V4231" s="1">
        <v>612.4</v>
      </c>
      <c r="W4231" s="1">
        <v>612.4</v>
      </c>
      <c r="X4231" s="1" t="s">
        <v>35</v>
      </c>
      <c r="Y4231" s="1">
        <v>612400.0</v>
      </c>
      <c r="Z4231" s="1"/>
      <c r="AA4231" s="1">
        <v>612400.0</v>
      </c>
      <c r="AB4231" s="1"/>
      <c r="AC4231" s="1" t="s">
        <v>36</v>
      </c>
      <c r="AD4231" s="1" t="s">
        <v>14590</v>
      </c>
      <c r="AE4231" s="1" t="s">
        <v>32</v>
      </c>
      <c r="AF4231" s="1" t="s">
        <v>33</v>
      </c>
      <c r="AG4231" s="1" t="s">
        <v>530</v>
      </c>
    </row>
    <row r="4232" spans="1:33">
      <c r="A4232" t="s">
        <v>14591</v>
      </c>
      <c r="C4232" t="s">
        <v>3087</v>
      </c>
      <c r="D4232" t="s">
        <v>154</v>
      </c>
      <c r="E4232" t="s">
        <v>10616</v>
      </c>
      <c r="F4232" t="s">
        <v>10617</v>
      </c>
      <c r="G4232">
        <v>640.0</v>
      </c>
      <c r="H4232">
        <v>640.0</v>
      </c>
      <c r="I4232" t="s">
        <v>2206</v>
      </c>
      <c r="J4232" t="s">
        <v>49</v>
      </c>
      <c r="K4232" t="s">
        <v>31</v>
      </c>
      <c r="L4232" t="s">
        <v>32</v>
      </c>
      <c r="M4232" t="s">
        <v>33</v>
      </c>
      <c r="P4232" s="1" t="s">
        <v>14592</v>
      </c>
      <c r="Q4232" s="1" t="s">
        <v>10616</v>
      </c>
      <c r="R4232" s="1" t="s">
        <v>10616</v>
      </c>
      <c r="S4232" s="1"/>
      <c r="T4232" s="1" t="s">
        <v>3087</v>
      </c>
      <c r="U4232" s="1"/>
      <c r="V4232" s="1">
        <v>640.0</v>
      </c>
      <c r="W4232" s="1">
        <v>640.0</v>
      </c>
      <c r="X4232" s="1" t="s">
        <v>35</v>
      </c>
      <c r="Y4232" s="1">
        <v>640000.0</v>
      </c>
      <c r="Z4232" s="1"/>
      <c r="AA4232" s="1">
        <v>640000.0</v>
      </c>
      <c r="AB4232" s="1"/>
      <c r="AC4232" s="1" t="s">
        <v>36</v>
      </c>
      <c r="AD4232" s="1" t="s">
        <v>13853</v>
      </c>
      <c r="AE4232" s="1" t="s">
        <v>32</v>
      </c>
      <c r="AF4232" s="1" t="s">
        <v>33</v>
      </c>
      <c r="AG4232" s="1" t="s">
        <v>49</v>
      </c>
    </row>
    <row r="4233" spans="1:33">
      <c r="A4233" t="s">
        <v>14593</v>
      </c>
      <c r="B4233" t="s">
        <v>14594</v>
      </c>
      <c r="C4233" t="s">
        <v>314</v>
      </c>
      <c r="E4233" t="s">
        <v>10616</v>
      </c>
      <c r="F4233" t="s">
        <v>10617</v>
      </c>
      <c r="G4233">
        <v>19.784</v>
      </c>
      <c r="H4233">
        <v>19.784</v>
      </c>
      <c r="I4233" t="s">
        <v>179</v>
      </c>
      <c r="J4233" t="s">
        <v>180</v>
      </c>
      <c r="K4233" t="s">
        <v>31</v>
      </c>
      <c r="L4233" t="s">
        <v>32</v>
      </c>
      <c r="M4233" t="s">
        <v>33</v>
      </c>
      <c r="P4233" s="1" t="s">
        <v>14595</v>
      </c>
      <c r="Q4233" s="1" t="s">
        <v>10616</v>
      </c>
      <c r="R4233" s="1" t="s">
        <v>10616</v>
      </c>
      <c r="S4233" s="1"/>
      <c r="T4233" s="1" t="s">
        <v>314</v>
      </c>
      <c r="U4233" s="1"/>
      <c r="V4233" s="1">
        <v>19.784</v>
      </c>
      <c r="W4233" s="1">
        <v>19.784</v>
      </c>
      <c r="X4233" s="1" t="s">
        <v>35</v>
      </c>
      <c r="Y4233" s="1">
        <v>19784.0</v>
      </c>
      <c r="Z4233" s="1"/>
      <c r="AA4233" s="1">
        <v>19784.0</v>
      </c>
      <c r="AB4233" s="1"/>
      <c r="AC4233" s="1" t="s">
        <v>36</v>
      </c>
      <c r="AD4233" s="1" t="s">
        <v>14596</v>
      </c>
      <c r="AE4233" s="1" t="s">
        <v>32</v>
      </c>
      <c r="AF4233" s="1" t="s">
        <v>33</v>
      </c>
      <c r="AG4233" s="1" t="s">
        <v>180</v>
      </c>
    </row>
    <row r="4234" spans="1:33">
      <c r="A4234" t="s">
        <v>14597</v>
      </c>
      <c r="B4234" t="s">
        <v>3640</v>
      </c>
      <c r="C4234" t="s">
        <v>26</v>
      </c>
      <c r="E4234" t="s">
        <v>10616</v>
      </c>
      <c r="F4234" t="s">
        <v>10617</v>
      </c>
      <c r="G4234">
        <v>1.36</v>
      </c>
      <c r="H4234">
        <v>1.36</v>
      </c>
      <c r="I4234" t="s">
        <v>29</v>
      </c>
      <c r="J4234" t="s">
        <v>30</v>
      </c>
      <c r="K4234" t="s">
        <v>31</v>
      </c>
      <c r="L4234" t="s">
        <v>32</v>
      </c>
      <c r="M4234" t="s">
        <v>33</v>
      </c>
      <c r="P4234" s="1" t="s">
        <v>14598</v>
      </c>
      <c r="Q4234" s="1" t="s">
        <v>10616</v>
      </c>
      <c r="R4234" s="1" t="s">
        <v>10616</v>
      </c>
      <c r="S4234" s="1"/>
      <c r="T4234" s="1" t="s">
        <v>26</v>
      </c>
      <c r="U4234" s="1"/>
      <c r="V4234" s="1">
        <v>1.36</v>
      </c>
      <c r="W4234" s="1">
        <v>1.36</v>
      </c>
      <c r="X4234" s="1" t="s">
        <v>35</v>
      </c>
      <c r="Y4234" s="1">
        <v>1360.0</v>
      </c>
      <c r="Z4234" s="1"/>
      <c r="AA4234" s="1">
        <v>1360.0</v>
      </c>
      <c r="AB4234" s="1"/>
      <c r="AC4234" s="1" t="s">
        <v>36</v>
      </c>
      <c r="AD4234" s="1" t="s">
        <v>14590</v>
      </c>
      <c r="AE4234" s="1" t="s">
        <v>32</v>
      </c>
      <c r="AF4234" s="1" t="s">
        <v>33</v>
      </c>
      <c r="AG4234" s="1" t="s">
        <v>30</v>
      </c>
    </row>
    <row r="4235" spans="1:33">
      <c r="A4235" t="s">
        <v>14599</v>
      </c>
      <c r="B4235" t="s">
        <v>456</v>
      </c>
      <c r="C4235" t="s">
        <v>125</v>
      </c>
      <c r="E4235" t="s">
        <v>10616</v>
      </c>
      <c r="F4235" t="s">
        <v>10617</v>
      </c>
      <c r="G4235">
        <v>21.99</v>
      </c>
      <c r="H4235">
        <v>21.99</v>
      </c>
      <c r="I4235" t="s">
        <v>126</v>
      </c>
      <c r="J4235" t="s">
        <v>127</v>
      </c>
      <c r="K4235" t="s">
        <v>31</v>
      </c>
      <c r="L4235" t="s">
        <v>32</v>
      </c>
      <c r="M4235" t="s">
        <v>33</v>
      </c>
      <c r="P4235" s="1" t="s">
        <v>14600</v>
      </c>
      <c r="Q4235" s="1" t="s">
        <v>10616</v>
      </c>
      <c r="R4235" s="1" t="s">
        <v>10616</v>
      </c>
      <c r="S4235" s="1"/>
      <c r="T4235" s="1" t="s">
        <v>125</v>
      </c>
      <c r="U4235" s="1"/>
      <c r="V4235" s="1">
        <v>21.99</v>
      </c>
      <c r="W4235" s="1">
        <v>21.99</v>
      </c>
      <c r="X4235" s="1" t="s">
        <v>35</v>
      </c>
      <c r="Y4235" s="1">
        <v>21990.0</v>
      </c>
      <c r="Z4235" s="1"/>
      <c r="AA4235" s="1">
        <v>21990.0</v>
      </c>
      <c r="AB4235" s="1"/>
      <c r="AC4235" s="1" t="s">
        <v>36</v>
      </c>
      <c r="AD4235" s="1" t="s">
        <v>14601</v>
      </c>
      <c r="AE4235" s="1" t="s">
        <v>32</v>
      </c>
      <c r="AF4235" s="1" t="s">
        <v>33</v>
      </c>
      <c r="AG4235" s="1" t="s">
        <v>127</v>
      </c>
    </row>
    <row r="4236" spans="1:33">
      <c r="A4236" t="s">
        <v>14602</v>
      </c>
      <c r="B4236" t="s">
        <v>3027</v>
      </c>
      <c r="C4236" t="s">
        <v>172</v>
      </c>
      <c r="E4236" t="s">
        <v>10616</v>
      </c>
      <c r="F4236" t="s">
        <v>10617</v>
      </c>
      <c r="G4236">
        <v>21.99</v>
      </c>
      <c r="H4236">
        <v>21.99</v>
      </c>
      <c r="I4236" t="s">
        <v>173</v>
      </c>
      <c r="J4236" t="s">
        <v>174</v>
      </c>
      <c r="K4236" t="s">
        <v>31</v>
      </c>
      <c r="L4236" t="s">
        <v>32</v>
      </c>
      <c r="M4236" t="s">
        <v>33</v>
      </c>
      <c r="P4236" s="1" t="s">
        <v>14603</v>
      </c>
      <c r="Q4236" s="1" t="s">
        <v>10616</v>
      </c>
      <c r="R4236" s="1" t="s">
        <v>10616</v>
      </c>
      <c r="S4236" s="1"/>
      <c r="T4236" s="1" t="s">
        <v>172</v>
      </c>
      <c r="U4236" s="1"/>
      <c r="V4236" s="1">
        <v>21.99</v>
      </c>
      <c r="W4236" s="1">
        <v>21.99</v>
      </c>
      <c r="X4236" s="1" t="s">
        <v>35</v>
      </c>
      <c r="Y4236" s="1">
        <v>21990.0</v>
      </c>
      <c r="Z4236" s="1"/>
      <c r="AA4236" s="1">
        <v>21990.0</v>
      </c>
      <c r="AB4236" s="1"/>
      <c r="AC4236" s="1" t="s">
        <v>36</v>
      </c>
      <c r="AD4236" s="1" t="s">
        <v>14604</v>
      </c>
      <c r="AE4236" s="1" t="s">
        <v>32</v>
      </c>
      <c r="AF4236" s="1" t="s">
        <v>33</v>
      </c>
      <c r="AG4236" s="1" t="s">
        <v>174</v>
      </c>
    </row>
    <row r="4237" spans="1:33">
      <c r="A4237" t="s">
        <v>14605</v>
      </c>
      <c r="C4237" t="s">
        <v>14606</v>
      </c>
      <c r="E4237" t="s">
        <v>10616</v>
      </c>
      <c r="F4237" t="s">
        <v>10617</v>
      </c>
      <c r="G4237">
        <v>29.25</v>
      </c>
      <c r="H4237">
        <v>29.25</v>
      </c>
      <c r="I4237" t="s">
        <v>136</v>
      </c>
      <c r="J4237" t="s">
        <v>137</v>
      </c>
      <c r="K4237" t="s">
        <v>31</v>
      </c>
      <c r="L4237" t="s">
        <v>32</v>
      </c>
      <c r="M4237" t="s">
        <v>33</v>
      </c>
      <c r="P4237" s="1" t="s">
        <v>14607</v>
      </c>
      <c r="Q4237" s="1" t="s">
        <v>10616</v>
      </c>
      <c r="R4237" s="1" t="s">
        <v>10616</v>
      </c>
      <c r="S4237" s="1"/>
      <c r="T4237" s="1" t="s">
        <v>14608</v>
      </c>
      <c r="U4237" s="1" t="s">
        <v>14609</v>
      </c>
      <c r="V4237" s="1">
        <v>29.25</v>
      </c>
      <c r="W4237" s="1">
        <v>29.25</v>
      </c>
      <c r="X4237" s="1" t="s">
        <v>35</v>
      </c>
      <c r="Y4237" s="1">
        <v>29250.0</v>
      </c>
      <c r="Z4237" s="1"/>
      <c r="AA4237" s="1">
        <v>29250.0</v>
      </c>
      <c r="AB4237" s="1"/>
      <c r="AC4237" s="1" t="s">
        <v>36</v>
      </c>
      <c r="AD4237" s="1" t="s">
        <v>14610</v>
      </c>
      <c r="AE4237" s="1" t="s">
        <v>32</v>
      </c>
      <c r="AF4237" s="1" t="s">
        <v>33</v>
      </c>
      <c r="AG4237" s="1" t="s">
        <v>137</v>
      </c>
    </row>
    <row r="4238" spans="1:33">
      <c r="A4238" t="s">
        <v>14611</v>
      </c>
      <c r="B4238" t="s">
        <v>7925</v>
      </c>
      <c r="C4238" t="s">
        <v>314</v>
      </c>
      <c r="E4238" t="s">
        <v>10616</v>
      </c>
      <c r="F4238" t="s">
        <v>10617</v>
      </c>
      <c r="G4238">
        <v>89.51</v>
      </c>
      <c r="H4238">
        <v>89.51</v>
      </c>
      <c r="I4238" t="s">
        <v>179</v>
      </c>
      <c r="J4238" t="s">
        <v>180</v>
      </c>
      <c r="K4238" t="s">
        <v>31</v>
      </c>
      <c r="L4238" t="s">
        <v>32</v>
      </c>
      <c r="M4238" t="s">
        <v>33</v>
      </c>
      <c r="P4238" s="1" t="s">
        <v>14612</v>
      </c>
      <c r="Q4238" s="1" t="s">
        <v>10616</v>
      </c>
      <c r="R4238" s="1" t="s">
        <v>10616</v>
      </c>
      <c r="S4238" s="1"/>
      <c r="T4238" s="1" t="s">
        <v>314</v>
      </c>
      <c r="U4238" s="1"/>
      <c r="V4238" s="1">
        <v>89.51</v>
      </c>
      <c r="W4238" s="1">
        <v>89.51</v>
      </c>
      <c r="X4238" s="1" t="s">
        <v>35</v>
      </c>
      <c r="Y4238" s="1">
        <v>89510.0</v>
      </c>
      <c r="Z4238" s="1"/>
      <c r="AA4238" s="1">
        <v>89510.0</v>
      </c>
      <c r="AB4238" s="1"/>
      <c r="AC4238" s="1" t="s">
        <v>36</v>
      </c>
      <c r="AD4238" s="1" t="s">
        <v>14590</v>
      </c>
      <c r="AE4238" s="1" t="s">
        <v>32</v>
      </c>
      <c r="AF4238" s="1" t="s">
        <v>33</v>
      </c>
      <c r="AG4238" s="1" t="s">
        <v>180</v>
      </c>
    </row>
    <row r="4239" spans="1:33">
      <c r="A4239" t="s">
        <v>14613</v>
      </c>
      <c r="C4239" t="s">
        <v>14614</v>
      </c>
      <c r="E4239" t="s">
        <v>10616</v>
      </c>
      <c r="F4239" t="s">
        <v>10617</v>
      </c>
      <c r="G4239">
        <v>640.0</v>
      </c>
      <c r="H4239">
        <v>640.0</v>
      </c>
      <c r="I4239" t="s">
        <v>173</v>
      </c>
      <c r="J4239" t="s">
        <v>174</v>
      </c>
      <c r="K4239" t="s">
        <v>31</v>
      </c>
      <c r="L4239" t="s">
        <v>32</v>
      </c>
      <c r="M4239" t="s">
        <v>33</v>
      </c>
      <c r="P4239" s="1" t="s">
        <v>14615</v>
      </c>
      <c r="Q4239" s="1" t="s">
        <v>10616</v>
      </c>
      <c r="R4239" s="1" t="s">
        <v>10616</v>
      </c>
      <c r="S4239" s="1"/>
      <c r="T4239" s="1" t="s">
        <v>14614</v>
      </c>
      <c r="U4239" s="1"/>
      <c r="V4239" s="1">
        <v>640.0</v>
      </c>
      <c r="W4239" s="1">
        <v>640.0</v>
      </c>
      <c r="X4239" s="1" t="s">
        <v>35</v>
      </c>
      <c r="Y4239" s="1">
        <v>640000.0</v>
      </c>
      <c r="Z4239" s="1"/>
      <c r="AA4239" s="1">
        <v>640000.0</v>
      </c>
      <c r="AB4239" s="1"/>
      <c r="AC4239" s="1" t="s">
        <v>36</v>
      </c>
      <c r="AD4239" s="1" t="s">
        <v>14616</v>
      </c>
      <c r="AE4239" s="1" t="s">
        <v>32</v>
      </c>
      <c r="AF4239" s="1" t="s">
        <v>33</v>
      </c>
      <c r="AG4239" s="1" t="s">
        <v>174</v>
      </c>
    </row>
    <row r="4240" spans="1:33">
      <c r="A4240" t="s">
        <v>14617</v>
      </c>
      <c r="C4240" t="s">
        <v>7293</v>
      </c>
      <c r="E4240" t="s">
        <v>10616</v>
      </c>
      <c r="F4240" t="s">
        <v>10617</v>
      </c>
      <c r="G4240">
        <v>588.7</v>
      </c>
      <c r="H4240">
        <v>588.7</v>
      </c>
      <c r="I4240" t="s">
        <v>269</v>
      </c>
      <c r="J4240" t="s">
        <v>270</v>
      </c>
      <c r="K4240" t="s">
        <v>31</v>
      </c>
      <c r="L4240" t="s">
        <v>32</v>
      </c>
      <c r="M4240" t="s">
        <v>33</v>
      </c>
      <c r="P4240" s="1" t="s">
        <v>14618</v>
      </c>
      <c r="Q4240" s="1" t="s">
        <v>10616</v>
      </c>
      <c r="R4240" s="1" t="s">
        <v>10616</v>
      </c>
      <c r="S4240" s="1"/>
      <c r="T4240" s="1" t="s">
        <v>7293</v>
      </c>
      <c r="U4240" s="1"/>
      <c r="V4240" s="1">
        <v>588.7</v>
      </c>
      <c r="W4240" s="1">
        <v>588.7</v>
      </c>
      <c r="X4240" s="1" t="s">
        <v>35</v>
      </c>
      <c r="Y4240" s="1">
        <v>588700.0</v>
      </c>
      <c r="Z4240" s="1"/>
      <c r="AA4240" s="1">
        <v>588700.0</v>
      </c>
      <c r="AB4240" s="1"/>
      <c r="AC4240" s="1" t="s">
        <v>36</v>
      </c>
      <c r="AD4240" s="1" t="s">
        <v>14619</v>
      </c>
      <c r="AE4240" s="1" t="s">
        <v>32</v>
      </c>
      <c r="AF4240" s="1" t="s">
        <v>33</v>
      </c>
      <c r="AG4240" s="1" t="s">
        <v>270</v>
      </c>
    </row>
    <row r="4241" spans="1:33">
      <c r="A4241" t="s">
        <v>14620</v>
      </c>
      <c r="C4241" t="s">
        <v>1024</v>
      </c>
      <c r="E4241" t="s">
        <v>10616</v>
      </c>
      <c r="F4241" t="s">
        <v>10617</v>
      </c>
      <c r="G4241">
        <v>960.0</v>
      </c>
      <c r="H4241">
        <v>960.0</v>
      </c>
      <c r="I4241" t="s">
        <v>847</v>
      </c>
      <c r="J4241" t="s">
        <v>848</v>
      </c>
      <c r="K4241" t="s">
        <v>31</v>
      </c>
      <c r="L4241" t="s">
        <v>32</v>
      </c>
      <c r="M4241" t="s">
        <v>33</v>
      </c>
      <c r="P4241" s="1" t="s">
        <v>14621</v>
      </c>
      <c r="Q4241" s="1" t="s">
        <v>10616</v>
      </c>
      <c r="R4241" s="1" t="s">
        <v>10616</v>
      </c>
      <c r="S4241" s="1"/>
      <c r="T4241" s="1" t="s">
        <v>1024</v>
      </c>
      <c r="U4241" s="1"/>
      <c r="V4241" s="1">
        <v>960.0</v>
      </c>
      <c r="W4241" s="1">
        <v>960.0</v>
      </c>
      <c r="X4241" s="1" t="s">
        <v>35</v>
      </c>
      <c r="Y4241" s="1">
        <v>960000.0</v>
      </c>
      <c r="Z4241" s="1"/>
      <c r="AA4241" s="1">
        <v>960000.0</v>
      </c>
      <c r="AB4241" s="1"/>
      <c r="AC4241" s="1" t="s">
        <v>36</v>
      </c>
      <c r="AD4241" s="1" t="s">
        <v>14622</v>
      </c>
      <c r="AE4241" s="1" t="s">
        <v>32</v>
      </c>
      <c r="AF4241" s="1" t="s">
        <v>33</v>
      </c>
      <c r="AG4241" s="1" t="s">
        <v>848</v>
      </c>
    </row>
    <row r="4242" spans="1:33">
      <c r="A4242" t="s">
        <v>14623</v>
      </c>
      <c r="C4242" t="s">
        <v>575</v>
      </c>
      <c r="E4242" t="s">
        <v>10616</v>
      </c>
      <c r="F4242" t="s">
        <v>10617</v>
      </c>
      <c r="G4242">
        <v>336.0</v>
      </c>
      <c r="H4242">
        <v>336.0</v>
      </c>
      <c r="I4242" t="s">
        <v>14093</v>
      </c>
      <c r="J4242" t="s">
        <v>95</v>
      </c>
      <c r="K4242" t="s">
        <v>31</v>
      </c>
      <c r="L4242" t="s">
        <v>32</v>
      </c>
      <c r="M4242" t="s">
        <v>33</v>
      </c>
      <c r="P4242" s="1" t="s">
        <v>14624</v>
      </c>
      <c r="Q4242" s="1" t="s">
        <v>10616</v>
      </c>
      <c r="R4242" s="1" t="s">
        <v>10616</v>
      </c>
      <c r="S4242" s="1"/>
      <c r="T4242" s="1" t="s">
        <v>575</v>
      </c>
      <c r="U4242" s="1"/>
      <c r="V4242" s="1">
        <v>336.0</v>
      </c>
      <c r="W4242" s="1">
        <v>336.0</v>
      </c>
      <c r="X4242" s="1" t="s">
        <v>35</v>
      </c>
      <c r="Y4242" s="1">
        <v>336000.0</v>
      </c>
      <c r="Z4242" s="1"/>
      <c r="AA4242" s="1">
        <v>336000.0</v>
      </c>
      <c r="AB4242" s="1"/>
      <c r="AC4242" s="1" t="s">
        <v>36</v>
      </c>
      <c r="AD4242" s="1" t="s">
        <v>14622</v>
      </c>
      <c r="AE4242" s="1" t="s">
        <v>32</v>
      </c>
      <c r="AF4242" s="1" t="s">
        <v>33</v>
      </c>
      <c r="AG4242" s="1" t="s">
        <v>95</v>
      </c>
    </row>
    <row r="4243" spans="1:33">
      <c r="A4243" t="s">
        <v>14625</v>
      </c>
      <c r="C4243" t="s">
        <v>2410</v>
      </c>
      <c r="E4243" t="s">
        <v>10616</v>
      </c>
      <c r="F4243" t="s">
        <v>10617</v>
      </c>
      <c r="G4243">
        <v>760.0</v>
      </c>
      <c r="H4243">
        <v>760.0</v>
      </c>
      <c r="I4243" t="s">
        <v>269</v>
      </c>
      <c r="J4243" t="s">
        <v>270</v>
      </c>
      <c r="K4243" t="s">
        <v>31</v>
      </c>
      <c r="L4243" t="s">
        <v>32</v>
      </c>
      <c r="M4243" t="s">
        <v>33</v>
      </c>
      <c r="P4243" s="1" t="s">
        <v>14626</v>
      </c>
      <c r="Q4243" s="1" t="s">
        <v>10616</v>
      </c>
      <c r="R4243" s="1" t="s">
        <v>10616</v>
      </c>
      <c r="S4243" s="1"/>
      <c r="T4243" s="1" t="s">
        <v>2410</v>
      </c>
      <c r="U4243" s="1"/>
      <c r="V4243" s="1">
        <v>760.0</v>
      </c>
      <c r="W4243" s="1">
        <v>760.0</v>
      </c>
      <c r="X4243" s="1" t="s">
        <v>35</v>
      </c>
      <c r="Y4243" s="1">
        <v>760000.0</v>
      </c>
      <c r="Z4243" s="1"/>
      <c r="AA4243" s="1">
        <v>760000.0</v>
      </c>
      <c r="AB4243" s="1"/>
      <c r="AC4243" s="1" t="s">
        <v>36</v>
      </c>
      <c r="AD4243" s="1" t="s">
        <v>14627</v>
      </c>
      <c r="AE4243" s="1" t="s">
        <v>32</v>
      </c>
      <c r="AF4243" s="1" t="s">
        <v>33</v>
      </c>
      <c r="AG4243" s="1" t="s">
        <v>270</v>
      </c>
    </row>
    <row r="4244" spans="1:33">
      <c r="A4244" t="s">
        <v>14628</v>
      </c>
      <c r="B4244" t="s">
        <v>14629</v>
      </c>
      <c r="C4244" t="s">
        <v>47</v>
      </c>
      <c r="E4244" t="s">
        <v>10616</v>
      </c>
      <c r="F4244" t="s">
        <v>10617</v>
      </c>
      <c r="G4244">
        <v>20.99</v>
      </c>
      <c r="H4244">
        <v>20.99</v>
      </c>
      <c r="I4244" t="s">
        <v>2206</v>
      </c>
      <c r="J4244" t="s">
        <v>49</v>
      </c>
      <c r="K4244" t="s">
        <v>31</v>
      </c>
      <c r="L4244" t="s">
        <v>32</v>
      </c>
      <c r="M4244" t="s">
        <v>33</v>
      </c>
      <c r="P4244" s="1" t="s">
        <v>14630</v>
      </c>
      <c r="Q4244" s="1" t="s">
        <v>10616</v>
      </c>
      <c r="R4244" s="1" t="s">
        <v>10616</v>
      </c>
      <c r="S4244" s="1"/>
      <c r="T4244" s="1" t="s">
        <v>47</v>
      </c>
      <c r="U4244" s="1"/>
      <c r="V4244" s="1">
        <v>20.99</v>
      </c>
      <c r="W4244" s="1">
        <v>20.99</v>
      </c>
      <c r="X4244" s="1" t="s">
        <v>35</v>
      </c>
      <c r="Y4244" s="1">
        <v>20990.0</v>
      </c>
      <c r="Z4244" s="1"/>
      <c r="AA4244" s="1">
        <v>20990.0</v>
      </c>
      <c r="AB4244" s="1"/>
      <c r="AC4244" s="1" t="s">
        <v>36</v>
      </c>
      <c r="AD4244" s="1" t="s">
        <v>14631</v>
      </c>
      <c r="AE4244" s="1" t="s">
        <v>32</v>
      </c>
      <c r="AF4244" s="1" t="s">
        <v>33</v>
      </c>
      <c r="AG4244" s="1" t="s">
        <v>49</v>
      </c>
    </row>
    <row r="4245" spans="1:33">
      <c r="A4245" t="s">
        <v>14632</v>
      </c>
      <c r="B4245" t="s">
        <v>14633</v>
      </c>
      <c r="C4245" t="s">
        <v>268</v>
      </c>
      <c r="E4245" t="s">
        <v>10616</v>
      </c>
      <c r="F4245" t="s">
        <v>10617</v>
      </c>
      <c r="G4245">
        <v>33.75</v>
      </c>
      <c r="H4245">
        <v>33.75</v>
      </c>
      <c r="I4245" t="s">
        <v>269</v>
      </c>
      <c r="J4245" t="s">
        <v>270</v>
      </c>
      <c r="K4245" t="s">
        <v>31</v>
      </c>
      <c r="L4245" t="s">
        <v>32</v>
      </c>
      <c r="M4245" t="s">
        <v>33</v>
      </c>
      <c r="P4245" s="1" t="s">
        <v>14634</v>
      </c>
      <c r="Q4245" s="1" t="s">
        <v>10616</v>
      </c>
      <c r="R4245" s="1" t="s">
        <v>10616</v>
      </c>
      <c r="S4245" s="1"/>
      <c r="T4245" s="1" t="s">
        <v>268</v>
      </c>
      <c r="U4245" s="1"/>
      <c r="V4245" s="1">
        <v>33.75</v>
      </c>
      <c r="W4245" s="1">
        <v>33.75</v>
      </c>
      <c r="X4245" s="1" t="s">
        <v>35</v>
      </c>
      <c r="Y4245" s="1">
        <v>33750.0</v>
      </c>
      <c r="Z4245" s="1"/>
      <c r="AA4245" s="1">
        <v>33750.0</v>
      </c>
      <c r="AB4245" s="1"/>
      <c r="AC4245" s="1" t="s">
        <v>36</v>
      </c>
      <c r="AD4245" s="1" t="s">
        <v>14635</v>
      </c>
      <c r="AE4245" s="1" t="s">
        <v>32</v>
      </c>
      <c r="AF4245" s="1" t="s">
        <v>33</v>
      </c>
      <c r="AG4245" s="1" t="s">
        <v>270</v>
      </c>
    </row>
    <row r="4246" spans="1:33">
      <c r="A4246" t="s">
        <v>14636</v>
      </c>
      <c r="C4246" t="s">
        <v>14637</v>
      </c>
      <c r="D4246" t="s">
        <v>114</v>
      </c>
      <c r="E4246" t="s">
        <v>10616</v>
      </c>
      <c r="F4246" t="s">
        <v>10617</v>
      </c>
      <c r="G4246">
        <v>679.5</v>
      </c>
      <c r="H4246">
        <v>679.5</v>
      </c>
      <c r="I4246" t="s">
        <v>179</v>
      </c>
      <c r="J4246" t="s">
        <v>180</v>
      </c>
      <c r="K4246" t="s">
        <v>31</v>
      </c>
      <c r="L4246" t="s">
        <v>32</v>
      </c>
      <c r="M4246" t="s">
        <v>33</v>
      </c>
      <c r="P4246" s="1" t="s">
        <v>14638</v>
      </c>
      <c r="Q4246" s="1" t="s">
        <v>10616</v>
      </c>
      <c r="R4246" s="1" t="s">
        <v>10616</v>
      </c>
      <c r="S4246" s="1"/>
      <c r="T4246" s="1" t="s">
        <v>14637</v>
      </c>
      <c r="U4246" s="1"/>
      <c r="V4246" s="1">
        <v>679.5</v>
      </c>
      <c r="W4246" s="1">
        <v>679.5</v>
      </c>
      <c r="X4246" s="1" t="s">
        <v>35</v>
      </c>
      <c r="Y4246" s="1">
        <v>679500.0</v>
      </c>
      <c r="Z4246" s="1"/>
      <c r="AA4246" s="1">
        <v>679500.0</v>
      </c>
      <c r="AB4246" s="1"/>
      <c r="AC4246" s="1" t="s">
        <v>36</v>
      </c>
      <c r="AD4246" s="1" t="s">
        <v>14639</v>
      </c>
      <c r="AE4246" s="1" t="s">
        <v>32</v>
      </c>
      <c r="AF4246" s="1" t="s">
        <v>33</v>
      </c>
      <c r="AG4246" s="1" t="s">
        <v>180</v>
      </c>
    </row>
    <row r="4247" spans="1:33">
      <c r="A4247" t="s">
        <v>14640</v>
      </c>
      <c r="B4247" t="s">
        <v>14641</v>
      </c>
      <c r="C4247" t="s">
        <v>47</v>
      </c>
      <c r="E4247" t="s">
        <v>10616</v>
      </c>
      <c r="F4247" t="s">
        <v>10617</v>
      </c>
      <c r="G4247">
        <v>50.78</v>
      </c>
      <c r="H4247">
        <v>50.78</v>
      </c>
      <c r="I4247" t="s">
        <v>2206</v>
      </c>
      <c r="J4247" t="s">
        <v>49</v>
      </c>
      <c r="K4247" t="s">
        <v>31</v>
      </c>
      <c r="L4247" t="s">
        <v>32</v>
      </c>
      <c r="M4247" t="s">
        <v>33</v>
      </c>
      <c r="P4247" s="1" t="s">
        <v>14642</v>
      </c>
      <c r="Q4247" s="1" t="s">
        <v>10616</v>
      </c>
      <c r="R4247" s="1" t="s">
        <v>10616</v>
      </c>
      <c r="S4247" s="1"/>
      <c r="T4247" s="1" t="s">
        <v>47</v>
      </c>
      <c r="U4247" s="1"/>
      <c r="V4247" s="1">
        <v>50.78</v>
      </c>
      <c r="W4247" s="1">
        <v>50.78</v>
      </c>
      <c r="X4247" s="1" t="s">
        <v>35</v>
      </c>
      <c r="Y4247" s="1">
        <v>50780.0</v>
      </c>
      <c r="Z4247" s="1"/>
      <c r="AA4247" s="1">
        <v>50780.0</v>
      </c>
      <c r="AB4247" s="1"/>
      <c r="AC4247" s="1" t="s">
        <v>36</v>
      </c>
      <c r="AD4247" s="1" t="s">
        <v>14643</v>
      </c>
      <c r="AE4247" s="1" t="s">
        <v>32</v>
      </c>
      <c r="AF4247" s="1" t="s">
        <v>33</v>
      </c>
      <c r="AG4247" s="1" t="s">
        <v>49</v>
      </c>
    </row>
    <row r="4248" spans="1:33">
      <c r="A4248" t="s">
        <v>14644</v>
      </c>
      <c r="C4248" t="s">
        <v>14645</v>
      </c>
      <c r="D4248" t="s">
        <v>114</v>
      </c>
      <c r="E4248" t="s">
        <v>10616</v>
      </c>
      <c r="F4248" t="s">
        <v>10617</v>
      </c>
      <c r="G4248">
        <v>656.0</v>
      </c>
      <c r="H4248">
        <v>656.0</v>
      </c>
      <c r="I4248" t="s">
        <v>2206</v>
      </c>
      <c r="J4248" t="s">
        <v>49</v>
      </c>
      <c r="K4248" t="s">
        <v>31</v>
      </c>
      <c r="L4248" t="s">
        <v>32</v>
      </c>
      <c r="M4248" t="s">
        <v>33</v>
      </c>
      <c r="P4248" s="1" t="s">
        <v>14646</v>
      </c>
      <c r="Q4248" s="1" t="s">
        <v>10616</v>
      </c>
      <c r="R4248" s="1" t="s">
        <v>10616</v>
      </c>
      <c r="S4248" s="1"/>
      <c r="T4248" s="1" t="s">
        <v>14647</v>
      </c>
      <c r="U4248" s="1" t="s">
        <v>14648</v>
      </c>
      <c r="V4248" s="1">
        <v>656.0</v>
      </c>
      <c r="W4248" s="1">
        <v>656.0</v>
      </c>
      <c r="X4248" s="1" t="s">
        <v>35</v>
      </c>
      <c r="Y4248" s="1">
        <v>656000.0</v>
      </c>
      <c r="Z4248" s="1"/>
      <c r="AA4248" s="1">
        <v>656000.0</v>
      </c>
      <c r="AB4248" s="1"/>
      <c r="AC4248" s="1" t="s">
        <v>36</v>
      </c>
      <c r="AD4248" s="1" t="s">
        <v>14649</v>
      </c>
      <c r="AE4248" s="1" t="s">
        <v>32</v>
      </c>
      <c r="AF4248" s="1" t="s">
        <v>33</v>
      </c>
      <c r="AG4248" s="1" t="s">
        <v>49</v>
      </c>
    </row>
    <row r="4249" spans="1:33">
      <c r="A4249" t="s">
        <v>14650</v>
      </c>
      <c r="C4249" t="s">
        <v>4645</v>
      </c>
      <c r="E4249" t="s">
        <v>10616</v>
      </c>
      <c r="F4249" t="s">
        <v>10617</v>
      </c>
      <c r="G4249">
        <v>630.0</v>
      </c>
      <c r="H4249">
        <v>630.0</v>
      </c>
      <c r="I4249" t="s">
        <v>126</v>
      </c>
      <c r="J4249" t="s">
        <v>127</v>
      </c>
      <c r="K4249" t="s">
        <v>31</v>
      </c>
      <c r="L4249" t="s">
        <v>32</v>
      </c>
      <c r="M4249" t="s">
        <v>33</v>
      </c>
      <c r="P4249" s="1" t="s">
        <v>14651</v>
      </c>
      <c r="Q4249" s="1" t="s">
        <v>10616</v>
      </c>
      <c r="R4249" s="1" t="s">
        <v>10616</v>
      </c>
      <c r="S4249" s="1"/>
      <c r="T4249" s="1" t="s">
        <v>4645</v>
      </c>
      <c r="U4249" s="1"/>
      <c r="V4249" s="1">
        <v>630.0</v>
      </c>
      <c r="W4249" s="1">
        <v>630.0</v>
      </c>
      <c r="X4249" s="1" t="s">
        <v>35</v>
      </c>
      <c r="Y4249" s="1">
        <v>630000.0</v>
      </c>
      <c r="Z4249" s="1"/>
      <c r="AA4249" s="1">
        <v>630000.0</v>
      </c>
      <c r="AB4249" s="1"/>
      <c r="AC4249" s="1" t="s">
        <v>36</v>
      </c>
      <c r="AD4249" s="1" t="s">
        <v>14590</v>
      </c>
      <c r="AE4249" s="1" t="s">
        <v>32</v>
      </c>
      <c r="AF4249" s="1" t="s">
        <v>33</v>
      </c>
      <c r="AG4249" s="1" t="s">
        <v>127</v>
      </c>
    </row>
    <row r="4250" spans="1:33">
      <c r="A4250" t="s">
        <v>14652</v>
      </c>
      <c r="B4250" t="s">
        <v>14653</v>
      </c>
      <c r="C4250" t="s">
        <v>268</v>
      </c>
      <c r="E4250" t="s">
        <v>10616</v>
      </c>
      <c r="F4250" t="s">
        <v>10617</v>
      </c>
      <c r="G4250">
        <v>36.75</v>
      </c>
      <c r="H4250">
        <v>36.75</v>
      </c>
      <c r="I4250" t="s">
        <v>269</v>
      </c>
      <c r="J4250" t="s">
        <v>270</v>
      </c>
      <c r="K4250" t="s">
        <v>31</v>
      </c>
      <c r="L4250" t="s">
        <v>32</v>
      </c>
      <c r="M4250" t="s">
        <v>33</v>
      </c>
      <c r="P4250" s="1" t="s">
        <v>14654</v>
      </c>
      <c r="Q4250" s="1" t="s">
        <v>10616</v>
      </c>
      <c r="R4250" s="1" t="s">
        <v>10616</v>
      </c>
      <c r="S4250" s="1"/>
      <c r="T4250" s="1" t="s">
        <v>268</v>
      </c>
      <c r="U4250" s="1"/>
      <c r="V4250" s="1">
        <v>36.75</v>
      </c>
      <c r="W4250" s="1">
        <v>36.75</v>
      </c>
      <c r="X4250" s="1" t="s">
        <v>35</v>
      </c>
      <c r="Y4250" s="1">
        <v>36750.0</v>
      </c>
      <c r="Z4250" s="1"/>
      <c r="AA4250" s="1">
        <v>36750.0</v>
      </c>
      <c r="AB4250" s="1"/>
      <c r="AC4250" s="1" t="s">
        <v>36</v>
      </c>
      <c r="AD4250" s="1" t="s">
        <v>14655</v>
      </c>
      <c r="AE4250" s="1" t="s">
        <v>32</v>
      </c>
      <c r="AF4250" s="1" t="s">
        <v>33</v>
      </c>
      <c r="AG4250" s="1" t="s">
        <v>270</v>
      </c>
    </row>
    <row r="4251" spans="1:33">
      <c r="A4251" t="s">
        <v>14656</v>
      </c>
      <c r="B4251" t="s">
        <v>14657</v>
      </c>
      <c r="C4251" t="s">
        <v>47</v>
      </c>
      <c r="E4251" t="s">
        <v>14225</v>
      </c>
      <c r="F4251" t="s">
        <v>14226</v>
      </c>
      <c r="G4251">
        <v>19.49</v>
      </c>
      <c r="H4251">
        <v>19.49</v>
      </c>
      <c r="I4251" t="s">
        <v>2206</v>
      </c>
      <c r="J4251" t="s">
        <v>49</v>
      </c>
      <c r="K4251" t="s">
        <v>31</v>
      </c>
      <c r="L4251" t="s">
        <v>32</v>
      </c>
      <c r="M4251" t="s">
        <v>33</v>
      </c>
      <c r="P4251" s="1" t="s">
        <v>14658</v>
      </c>
      <c r="Q4251" s="1" t="s">
        <v>10616</v>
      </c>
      <c r="R4251" s="1" t="s">
        <v>10616</v>
      </c>
      <c r="S4251" s="1"/>
      <c r="T4251" s="1" t="s">
        <v>47</v>
      </c>
      <c r="U4251" s="1"/>
      <c r="V4251" s="1">
        <v>19.49</v>
      </c>
      <c r="W4251" s="1">
        <v>19.49</v>
      </c>
      <c r="X4251" s="1" t="s">
        <v>35</v>
      </c>
      <c r="Y4251" s="1">
        <v>19490.0</v>
      </c>
      <c r="Z4251" s="1"/>
      <c r="AA4251" s="1">
        <v>19490.0</v>
      </c>
      <c r="AB4251" s="1"/>
      <c r="AC4251" s="1" t="s">
        <v>36</v>
      </c>
      <c r="AD4251" s="1" t="s">
        <v>14659</v>
      </c>
      <c r="AE4251" s="1" t="s">
        <v>32</v>
      </c>
      <c r="AF4251" s="1" t="s">
        <v>33</v>
      </c>
      <c r="AG4251" s="1" t="s">
        <v>49</v>
      </c>
    </row>
    <row r="4252" spans="1:33">
      <c r="A4252" t="s">
        <v>14660</v>
      </c>
      <c r="B4252" t="s">
        <v>14661</v>
      </c>
      <c r="C4252" t="s">
        <v>314</v>
      </c>
      <c r="E4252" t="s">
        <v>10616</v>
      </c>
      <c r="F4252" t="s">
        <v>10617</v>
      </c>
      <c r="G4252">
        <v>37.18</v>
      </c>
      <c r="H4252">
        <v>37.18</v>
      </c>
      <c r="I4252" t="s">
        <v>179</v>
      </c>
      <c r="J4252" t="s">
        <v>180</v>
      </c>
      <c r="K4252" t="s">
        <v>31</v>
      </c>
      <c r="L4252" t="s">
        <v>32</v>
      </c>
      <c r="M4252" t="s">
        <v>33</v>
      </c>
      <c r="P4252" s="1" t="s">
        <v>14662</v>
      </c>
      <c r="Q4252" s="1" t="s">
        <v>10616</v>
      </c>
      <c r="R4252" s="1" t="s">
        <v>10616</v>
      </c>
      <c r="S4252" s="1"/>
      <c r="T4252" s="1" t="s">
        <v>314</v>
      </c>
      <c r="U4252" s="1"/>
      <c r="V4252" s="1">
        <v>37.18</v>
      </c>
      <c r="W4252" s="1">
        <v>37.18</v>
      </c>
      <c r="X4252" s="1" t="s">
        <v>35</v>
      </c>
      <c r="Y4252" s="1">
        <v>37180.0</v>
      </c>
      <c r="Z4252" s="1"/>
      <c r="AA4252" s="1">
        <v>37180.0</v>
      </c>
      <c r="AB4252" s="1"/>
      <c r="AC4252" s="1" t="s">
        <v>36</v>
      </c>
      <c r="AD4252" s="1" t="s">
        <v>14663</v>
      </c>
      <c r="AE4252" s="1" t="s">
        <v>32</v>
      </c>
      <c r="AF4252" s="1" t="s">
        <v>33</v>
      </c>
      <c r="AG4252" s="1" t="s">
        <v>180</v>
      </c>
    </row>
    <row r="4253" spans="1:33">
      <c r="A4253" t="s">
        <v>14664</v>
      </c>
      <c r="B4253" t="s">
        <v>8059</v>
      </c>
      <c r="C4253" t="s">
        <v>314</v>
      </c>
      <c r="E4253" t="s">
        <v>10616</v>
      </c>
      <c r="F4253" t="s">
        <v>10617</v>
      </c>
      <c r="G4253">
        <v>39.83</v>
      </c>
      <c r="H4253">
        <v>39.83</v>
      </c>
      <c r="I4253" t="s">
        <v>179</v>
      </c>
      <c r="J4253" t="s">
        <v>180</v>
      </c>
      <c r="K4253" t="s">
        <v>31</v>
      </c>
      <c r="L4253" t="s">
        <v>32</v>
      </c>
      <c r="M4253" t="s">
        <v>33</v>
      </c>
      <c r="P4253" s="1" t="s">
        <v>14665</v>
      </c>
      <c r="Q4253" s="1" t="s">
        <v>10616</v>
      </c>
      <c r="R4253" s="1" t="s">
        <v>10616</v>
      </c>
      <c r="S4253" s="1"/>
      <c r="T4253" s="1" t="s">
        <v>314</v>
      </c>
      <c r="U4253" s="1"/>
      <c r="V4253" s="1">
        <v>39.83</v>
      </c>
      <c r="W4253" s="1">
        <v>39.83</v>
      </c>
      <c r="X4253" s="1" t="s">
        <v>35</v>
      </c>
      <c r="Y4253" s="1">
        <v>39830.0</v>
      </c>
      <c r="Z4253" s="1"/>
      <c r="AA4253" s="1">
        <v>39830.0</v>
      </c>
      <c r="AB4253" s="1"/>
      <c r="AC4253" s="1" t="s">
        <v>36</v>
      </c>
      <c r="AD4253" s="1" t="s">
        <v>14666</v>
      </c>
      <c r="AE4253" s="1" t="s">
        <v>32</v>
      </c>
      <c r="AF4253" s="1" t="s">
        <v>33</v>
      </c>
      <c r="AG4253" s="1" t="s">
        <v>180</v>
      </c>
    </row>
    <row r="4254" spans="1:33">
      <c r="A4254" t="s">
        <v>14667</v>
      </c>
      <c r="B4254" t="s">
        <v>14668</v>
      </c>
      <c r="C4254" t="s">
        <v>68</v>
      </c>
      <c r="E4254" t="s">
        <v>10616</v>
      </c>
      <c r="F4254" t="s">
        <v>10617</v>
      </c>
      <c r="G4254">
        <v>9.457</v>
      </c>
      <c r="H4254">
        <v>9.457</v>
      </c>
      <c r="I4254" t="s">
        <v>59</v>
      </c>
      <c r="J4254" t="s">
        <v>60</v>
      </c>
      <c r="K4254" t="s">
        <v>31</v>
      </c>
      <c r="L4254" t="s">
        <v>32</v>
      </c>
      <c r="M4254" t="s">
        <v>33</v>
      </c>
      <c r="P4254" s="1" t="s">
        <v>14669</v>
      </c>
      <c r="Q4254" s="1" t="s">
        <v>10616</v>
      </c>
      <c r="R4254" s="1" t="s">
        <v>10616</v>
      </c>
      <c r="S4254" s="1"/>
      <c r="T4254" s="1" t="s">
        <v>68</v>
      </c>
      <c r="U4254" s="1"/>
      <c r="V4254" s="1">
        <v>9.457</v>
      </c>
      <c r="W4254" s="1">
        <v>9.457</v>
      </c>
      <c r="X4254" s="1" t="s">
        <v>35</v>
      </c>
      <c r="Y4254" s="1">
        <v>9457.0</v>
      </c>
      <c r="Z4254" s="1"/>
      <c r="AA4254" s="1">
        <v>9457.0</v>
      </c>
      <c r="AB4254" s="1"/>
      <c r="AC4254" s="1" t="s">
        <v>36</v>
      </c>
      <c r="AD4254" s="1" t="s">
        <v>14670</v>
      </c>
      <c r="AE4254" s="1" t="s">
        <v>32</v>
      </c>
      <c r="AF4254" s="1" t="s">
        <v>33</v>
      </c>
      <c r="AG4254" s="1" t="s">
        <v>60</v>
      </c>
    </row>
    <row r="4255" spans="1:33">
      <c r="A4255" t="s">
        <v>14671</v>
      </c>
      <c r="C4255" t="s">
        <v>329</v>
      </c>
      <c r="E4255" t="s">
        <v>10616</v>
      </c>
      <c r="F4255" t="s">
        <v>10617</v>
      </c>
      <c r="G4255">
        <v>504.0</v>
      </c>
      <c r="H4255">
        <v>504.0</v>
      </c>
      <c r="I4255" t="s">
        <v>94</v>
      </c>
      <c r="J4255" t="s">
        <v>95</v>
      </c>
      <c r="K4255" t="s">
        <v>31</v>
      </c>
      <c r="L4255" t="s">
        <v>32</v>
      </c>
      <c r="M4255" t="s">
        <v>33</v>
      </c>
      <c r="P4255" s="1" t="s">
        <v>14672</v>
      </c>
      <c r="Q4255" s="1" t="s">
        <v>10616</v>
      </c>
      <c r="R4255" s="1" t="s">
        <v>10616</v>
      </c>
      <c r="S4255" s="1"/>
      <c r="T4255" s="1" t="s">
        <v>331</v>
      </c>
      <c r="U4255" s="1" t="s">
        <v>332</v>
      </c>
      <c r="V4255" s="1">
        <v>504.0</v>
      </c>
      <c r="W4255" s="1">
        <v>504.0</v>
      </c>
      <c r="X4255" s="1" t="s">
        <v>35</v>
      </c>
      <c r="Y4255" s="1">
        <v>504000.0</v>
      </c>
      <c r="Z4255" s="1"/>
      <c r="AA4255" s="1">
        <v>504000.0</v>
      </c>
      <c r="AB4255" s="1"/>
      <c r="AC4255" s="1" t="s">
        <v>36</v>
      </c>
      <c r="AD4255" s="1" t="s">
        <v>14673</v>
      </c>
      <c r="AE4255" s="1" t="s">
        <v>32</v>
      </c>
      <c r="AF4255" s="1" t="s">
        <v>33</v>
      </c>
      <c r="AG4255" s="1" t="s">
        <v>95</v>
      </c>
    </row>
    <row r="4256" spans="1:33">
      <c r="A4256" t="s">
        <v>14674</v>
      </c>
      <c r="C4256" t="s">
        <v>595</v>
      </c>
      <c r="E4256" t="s">
        <v>10616</v>
      </c>
      <c r="F4256" t="s">
        <v>10617</v>
      </c>
      <c r="G4256">
        <v>656.0</v>
      </c>
      <c r="H4256">
        <v>656.0</v>
      </c>
      <c r="I4256" t="s">
        <v>269</v>
      </c>
      <c r="J4256" t="s">
        <v>270</v>
      </c>
      <c r="K4256" t="s">
        <v>31</v>
      </c>
      <c r="L4256" t="s">
        <v>32</v>
      </c>
      <c r="M4256" t="s">
        <v>33</v>
      </c>
      <c r="P4256" s="1" t="s">
        <v>14675</v>
      </c>
      <c r="Q4256" s="1" t="s">
        <v>10616</v>
      </c>
      <c r="R4256" s="1" t="s">
        <v>10616</v>
      </c>
      <c r="S4256" s="1"/>
      <c r="T4256" s="1" t="s">
        <v>595</v>
      </c>
      <c r="U4256" s="1"/>
      <c r="V4256" s="1">
        <v>656.0</v>
      </c>
      <c r="W4256" s="1">
        <v>656.0</v>
      </c>
      <c r="X4256" s="1" t="s">
        <v>35</v>
      </c>
      <c r="Y4256" s="1">
        <v>656000.0</v>
      </c>
      <c r="Z4256" s="1"/>
      <c r="AA4256" s="1">
        <v>656000.0</v>
      </c>
      <c r="AB4256" s="1"/>
      <c r="AC4256" s="1" t="s">
        <v>36</v>
      </c>
      <c r="AD4256" s="1" t="s">
        <v>14676</v>
      </c>
      <c r="AE4256" s="1" t="s">
        <v>32</v>
      </c>
      <c r="AF4256" s="1" t="s">
        <v>33</v>
      </c>
      <c r="AG4256" s="1" t="s">
        <v>270</v>
      </c>
    </row>
    <row r="4257" spans="1:33">
      <c r="A4257" t="s">
        <v>14677</v>
      </c>
      <c r="B4257" t="s">
        <v>1976</v>
      </c>
      <c r="C4257" t="s">
        <v>314</v>
      </c>
      <c r="E4257" t="s">
        <v>10616</v>
      </c>
      <c r="F4257" t="s">
        <v>10617</v>
      </c>
      <c r="G4257">
        <v>37.18</v>
      </c>
      <c r="H4257">
        <v>37.18</v>
      </c>
      <c r="I4257" t="s">
        <v>179</v>
      </c>
      <c r="J4257" t="s">
        <v>180</v>
      </c>
      <c r="K4257" t="s">
        <v>31</v>
      </c>
      <c r="L4257" t="s">
        <v>32</v>
      </c>
      <c r="M4257" t="s">
        <v>33</v>
      </c>
      <c r="P4257" s="1" t="s">
        <v>14678</v>
      </c>
      <c r="Q4257" s="1" t="s">
        <v>10616</v>
      </c>
      <c r="R4257" s="1" t="s">
        <v>10616</v>
      </c>
      <c r="S4257" s="1"/>
      <c r="T4257" s="1" t="s">
        <v>314</v>
      </c>
      <c r="U4257" s="1"/>
      <c r="V4257" s="1">
        <v>37.18</v>
      </c>
      <c r="W4257" s="1">
        <v>37.18</v>
      </c>
      <c r="X4257" s="1" t="s">
        <v>35</v>
      </c>
      <c r="Y4257" s="1">
        <v>37180.0</v>
      </c>
      <c r="Z4257" s="1"/>
      <c r="AA4257" s="1">
        <v>37180.0</v>
      </c>
      <c r="AB4257" s="1"/>
      <c r="AC4257" s="1" t="s">
        <v>36</v>
      </c>
      <c r="AD4257" s="1" t="s">
        <v>14670</v>
      </c>
      <c r="AE4257" s="1" t="s">
        <v>32</v>
      </c>
      <c r="AF4257" s="1" t="s">
        <v>33</v>
      </c>
      <c r="AG4257" s="1" t="s">
        <v>180</v>
      </c>
    </row>
    <row r="4258" spans="1:33">
      <c r="A4258" t="s">
        <v>14679</v>
      </c>
      <c r="C4258" t="s">
        <v>7485</v>
      </c>
      <c r="E4258" t="s">
        <v>10616</v>
      </c>
      <c r="F4258" t="s">
        <v>10617</v>
      </c>
      <c r="G4258">
        <v>403.2</v>
      </c>
      <c r="H4258">
        <v>403.2</v>
      </c>
      <c r="I4258" t="s">
        <v>94</v>
      </c>
      <c r="J4258" t="s">
        <v>95</v>
      </c>
      <c r="K4258" t="s">
        <v>31</v>
      </c>
      <c r="L4258" t="s">
        <v>32</v>
      </c>
      <c r="M4258" t="s">
        <v>33</v>
      </c>
      <c r="P4258" s="1" t="s">
        <v>14680</v>
      </c>
      <c r="Q4258" s="1" t="s">
        <v>10616</v>
      </c>
      <c r="R4258" s="1" t="s">
        <v>10616</v>
      </c>
      <c r="S4258" s="1"/>
      <c r="T4258" s="1" t="s">
        <v>7485</v>
      </c>
      <c r="U4258" s="1"/>
      <c r="V4258" s="1">
        <v>403.2</v>
      </c>
      <c r="W4258" s="1">
        <v>403.2</v>
      </c>
      <c r="X4258" s="1" t="s">
        <v>35</v>
      </c>
      <c r="Y4258" s="1">
        <v>403200.0</v>
      </c>
      <c r="Z4258" s="1"/>
      <c r="AA4258" s="1">
        <v>403200.0</v>
      </c>
      <c r="AB4258" s="1"/>
      <c r="AC4258" s="1" t="s">
        <v>36</v>
      </c>
      <c r="AD4258" s="1" t="s">
        <v>14681</v>
      </c>
      <c r="AE4258" s="1" t="s">
        <v>32</v>
      </c>
      <c r="AF4258" s="1" t="s">
        <v>33</v>
      </c>
      <c r="AG4258" s="1" t="s">
        <v>95</v>
      </c>
    </row>
    <row r="4259" spans="1:33">
      <c r="A4259" t="s">
        <v>14682</v>
      </c>
      <c r="C4259" t="s">
        <v>392</v>
      </c>
      <c r="E4259" t="s">
        <v>10616</v>
      </c>
      <c r="F4259" t="s">
        <v>10617</v>
      </c>
      <c r="G4259">
        <v>504.0</v>
      </c>
      <c r="H4259">
        <v>504.0</v>
      </c>
      <c r="I4259" t="s">
        <v>2206</v>
      </c>
      <c r="J4259" t="s">
        <v>49</v>
      </c>
      <c r="K4259" t="s">
        <v>31</v>
      </c>
      <c r="L4259" t="s">
        <v>32</v>
      </c>
      <c r="M4259" t="s">
        <v>33</v>
      </c>
      <c r="P4259" s="1" t="s">
        <v>14683</v>
      </c>
      <c r="Q4259" s="1" t="s">
        <v>10616</v>
      </c>
      <c r="R4259" s="1" t="s">
        <v>10616</v>
      </c>
      <c r="S4259" s="1"/>
      <c r="T4259" s="1" t="s">
        <v>392</v>
      </c>
      <c r="U4259" s="1"/>
      <c r="V4259" s="1">
        <v>504.0</v>
      </c>
      <c r="W4259" s="1">
        <v>504.0</v>
      </c>
      <c r="X4259" s="1" t="s">
        <v>35</v>
      </c>
      <c r="Y4259" s="1">
        <v>504000.0</v>
      </c>
      <c r="Z4259" s="1"/>
      <c r="AA4259" s="1">
        <v>504000.0</v>
      </c>
      <c r="AB4259" s="1"/>
      <c r="AC4259" s="1" t="s">
        <v>36</v>
      </c>
      <c r="AD4259" s="1" t="s">
        <v>14684</v>
      </c>
      <c r="AE4259" s="1" t="s">
        <v>32</v>
      </c>
      <c r="AF4259" s="1" t="s">
        <v>33</v>
      </c>
      <c r="AG4259" s="1" t="s">
        <v>49</v>
      </c>
    </row>
    <row r="4260" spans="1:33">
      <c r="A4260" t="s">
        <v>14685</v>
      </c>
      <c r="B4260" t="s">
        <v>14686</v>
      </c>
      <c r="C4260" t="s">
        <v>26</v>
      </c>
      <c r="E4260" t="s">
        <v>10616</v>
      </c>
      <c r="F4260" t="s">
        <v>10617</v>
      </c>
      <c r="G4260">
        <v>147.96</v>
      </c>
      <c r="H4260">
        <v>147.96</v>
      </c>
      <c r="I4260" t="s">
        <v>29</v>
      </c>
      <c r="J4260" t="s">
        <v>30</v>
      </c>
      <c r="K4260" t="s">
        <v>31</v>
      </c>
      <c r="L4260" t="s">
        <v>32</v>
      </c>
      <c r="M4260" t="s">
        <v>33</v>
      </c>
      <c r="P4260" s="1" t="s">
        <v>14687</v>
      </c>
      <c r="Q4260" s="1" t="s">
        <v>10616</v>
      </c>
      <c r="R4260" s="1" t="s">
        <v>10616</v>
      </c>
      <c r="S4260" s="1"/>
      <c r="T4260" s="1" t="s">
        <v>26</v>
      </c>
      <c r="U4260" s="1"/>
      <c r="V4260" s="1">
        <v>147.96</v>
      </c>
      <c r="W4260" s="1">
        <v>147.96</v>
      </c>
      <c r="X4260" s="1" t="s">
        <v>35</v>
      </c>
      <c r="Y4260" s="1">
        <v>147960.0</v>
      </c>
      <c r="Z4260" s="1"/>
      <c r="AA4260" s="1">
        <v>147960.0</v>
      </c>
      <c r="AB4260" s="1"/>
      <c r="AC4260" s="1" t="s">
        <v>36</v>
      </c>
      <c r="AD4260" s="1" t="s">
        <v>14663</v>
      </c>
      <c r="AE4260" s="1" t="s">
        <v>32</v>
      </c>
      <c r="AF4260" s="1" t="s">
        <v>33</v>
      </c>
      <c r="AG4260" s="1" t="s">
        <v>30</v>
      </c>
    </row>
    <row r="4261" spans="1:33">
      <c r="A4261" t="s">
        <v>14688</v>
      </c>
      <c r="C4261" t="s">
        <v>1285</v>
      </c>
      <c r="E4261" t="s">
        <v>10616</v>
      </c>
      <c r="F4261" t="s">
        <v>10617</v>
      </c>
      <c r="G4261">
        <v>640.0</v>
      </c>
      <c r="H4261">
        <v>640.0</v>
      </c>
      <c r="I4261" t="s">
        <v>173</v>
      </c>
      <c r="J4261" t="s">
        <v>174</v>
      </c>
      <c r="K4261" t="s">
        <v>31</v>
      </c>
      <c r="L4261" t="s">
        <v>32</v>
      </c>
      <c r="M4261" t="s">
        <v>33</v>
      </c>
      <c r="P4261" s="1" t="s">
        <v>14689</v>
      </c>
      <c r="Q4261" s="1" t="s">
        <v>10616</v>
      </c>
      <c r="R4261" s="1" t="s">
        <v>10616</v>
      </c>
      <c r="S4261" s="1"/>
      <c r="T4261" s="1" t="s">
        <v>1285</v>
      </c>
      <c r="U4261" s="1"/>
      <c r="V4261" s="1">
        <v>640.0</v>
      </c>
      <c r="W4261" s="1">
        <v>640.0</v>
      </c>
      <c r="X4261" s="1" t="s">
        <v>35</v>
      </c>
      <c r="Y4261" s="1">
        <v>640000.0</v>
      </c>
      <c r="Z4261" s="1"/>
      <c r="AA4261" s="1">
        <v>640000.0</v>
      </c>
      <c r="AB4261" s="1"/>
      <c r="AC4261" s="1" t="s">
        <v>36</v>
      </c>
      <c r="AD4261" s="1" t="s">
        <v>14690</v>
      </c>
      <c r="AE4261" s="1" t="s">
        <v>32</v>
      </c>
      <c r="AF4261" s="1" t="s">
        <v>33</v>
      </c>
      <c r="AG4261" s="1" t="s">
        <v>174</v>
      </c>
    </row>
    <row r="4262" spans="1:33">
      <c r="A4262" t="s">
        <v>14691</v>
      </c>
      <c r="B4262" t="s">
        <v>1453</v>
      </c>
      <c r="C4262" t="s">
        <v>314</v>
      </c>
      <c r="E4262" t="s">
        <v>10616</v>
      </c>
      <c r="F4262" t="s">
        <v>10617</v>
      </c>
      <c r="G4262">
        <v>28.99</v>
      </c>
      <c r="H4262">
        <v>28.99</v>
      </c>
      <c r="I4262" t="s">
        <v>179</v>
      </c>
      <c r="J4262" t="s">
        <v>180</v>
      </c>
      <c r="K4262" t="s">
        <v>31</v>
      </c>
      <c r="L4262" t="s">
        <v>32</v>
      </c>
      <c r="M4262" t="s">
        <v>33</v>
      </c>
      <c r="P4262" s="1" t="s">
        <v>14692</v>
      </c>
      <c r="Q4262" s="1" t="s">
        <v>10616</v>
      </c>
      <c r="R4262" s="1" t="s">
        <v>10616</v>
      </c>
      <c r="S4262" s="1"/>
      <c r="T4262" s="1" t="s">
        <v>314</v>
      </c>
      <c r="U4262" s="1"/>
      <c r="V4262" s="1">
        <v>28.99</v>
      </c>
      <c r="W4262" s="1">
        <v>28.99</v>
      </c>
      <c r="X4262" s="1" t="s">
        <v>35</v>
      </c>
      <c r="Y4262" s="1">
        <v>28990.0</v>
      </c>
      <c r="Z4262" s="1"/>
      <c r="AA4262" s="1">
        <v>28990.0</v>
      </c>
      <c r="AB4262" s="1"/>
      <c r="AC4262" s="1" t="s">
        <v>36</v>
      </c>
      <c r="AD4262" s="1" t="s">
        <v>14693</v>
      </c>
      <c r="AE4262" s="1" t="s">
        <v>32</v>
      </c>
      <c r="AF4262" s="1" t="s">
        <v>33</v>
      </c>
      <c r="AG4262" s="1" t="s">
        <v>180</v>
      </c>
    </row>
    <row r="4263" spans="1:33">
      <c r="A4263" t="s">
        <v>14694</v>
      </c>
      <c r="C4263" t="s">
        <v>3083</v>
      </c>
      <c r="E4263" t="s">
        <v>10616</v>
      </c>
      <c r="F4263" t="s">
        <v>10617</v>
      </c>
      <c r="G4263">
        <v>630.0</v>
      </c>
      <c r="H4263">
        <v>630.0</v>
      </c>
      <c r="I4263" t="s">
        <v>126</v>
      </c>
      <c r="J4263" t="s">
        <v>127</v>
      </c>
      <c r="K4263" t="s">
        <v>31</v>
      </c>
      <c r="L4263" t="s">
        <v>32</v>
      </c>
      <c r="M4263" t="s">
        <v>33</v>
      </c>
      <c r="P4263" s="1" t="s">
        <v>14695</v>
      </c>
      <c r="Q4263" s="1" t="s">
        <v>10616</v>
      </c>
      <c r="R4263" s="1" t="s">
        <v>10616</v>
      </c>
      <c r="S4263" s="1"/>
      <c r="T4263" s="1" t="s">
        <v>3083</v>
      </c>
      <c r="U4263" s="1"/>
      <c r="V4263" s="1">
        <v>630.0</v>
      </c>
      <c r="W4263" s="1">
        <v>630.0</v>
      </c>
      <c r="X4263" s="1" t="s">
        <v>35</v>
      </c>
      <c r="Y4263" s="1">
        <v>630000.0</v>
      </c>
      <c r="Z4263" s="1"/>
      <c r="AA4263" s="1">
        <v>630000.0</v>
      </c>
      <c r="AB4263" s="1"/>
      <c r="AC4263" s="1" t="s">
        <v>36</v>
      </c>
      <c r="AD4263" s="1" t="s">
        <v>14696</v>
      </c>
      <c r="AE4263" s="1" t="s">
        <v>32</v>
      </c>
      <c r="AF4263" s="1" t="s">
        <v>33</v>
      </c>
      <c r="AG4263" s="1" t="s">
        <v>127</v>
      </c>
    </row>
    <row r="4264" spans="1:33">
      <c r="A4264" t="s">
        <v>14697</v>
      </c>
      <c r="B4264" t="s">
        <v>14698</v>
      </c>
      <c r="C4264" t="s">
        <v>314</v>
      </c>
      <c r="E4264" t="s">
        <v>10616</v>
      </c>
      <c r="F4264" t="s">
        <v>10496</v>
      </c>
      <c r="G4264">
        <v>119.16</v>
      </c>
      <c r="H4264">
        <v>119.16</v>
      </c>
      <c r="I4264" t="s">
        <v>179</v>
      </c>
      <c r="J4264" t="s">
        <v>180</v>
      </c>
      <c r="K4264" t="s">
        <v>31</v>
      </c>
      <c r="L4264" t="s">
        <v>32</v>
      </c>
      <c r="M4264" t="s">
        <v>33</v>
      </c>
      <c r="P4264" s="1" t="s">
        <v>14699</v>
      </c>
      <c r="Q4264" s="1" t="s">
        <v>10616</v>
      </c>
      <c r="R4264" s="1" t="s">
        <v>10616</v>
      </c>
      <c r="S4264" s="1"/>
      <c r="T4264" s="1" t="s">
        <v>314</v>
      </c>
      <c r="U4264" s="1"/>
      <c r="V4264" s="1">
        <v>119.16</v>
      </c>
      <c r="W4264" s="1">
        <v>119.16</v>
      </c>
      <c r="X4264" s="1" t="s">
        <v>35</v>
      </c>
      <c r="Y4264" s="1">
        <v>119160.0</v>
      </c>
      <c r="Z4264" s="1"/>
      <c r="AA4264" s="1">
        <v>119160.0</v>
      </c>
      <c r="AB4264" s="1"/>
      <c r="AC4264" s="1" t="s">
        <v>36</v>
      </c>
      <c r="AD4264" s="1" t="s">
        <v>14700</v>
      </c>
      <c r="AE4264" s="1" t="s">
        <v>32</v>
      </c>
      <c r="AF4264" s="1" t="s">
        <v>33</v>
      </c>
      <c r="AG4264" s="1" t="s">
        <v>180</v>
      </c>
    </row>
    <row r="4265" spans="1:33">
      <c r="A4265" t="s">
        <v>14701</v>
      </c>
      <c r="C4265" t="s">
        <v>14702</v>
      </c>
      <c r="D4265" t="s">
        <v>154</v>
      </c>
      <c r="E4265" t="s">
        <v>10616</v>
      </c>
      <c r="F4265" t="s">
        <v>10617</v>
      </c>
      <c r="G4265">
        <v>886.0</v>
      </c>
      <c r="H4265">
        <v>886.0</v>
      </c>
      <c r="I4265" t="s">
        <v>2206</v>
      </c>
      <c r="J4265" t="s">
        <v>49</v>
      </c>
      <c r="K4265" t="s">
        <v>31</v>
      </c>
      <c r="L4265" t="s">
        <v>32</v>
      </c>
      <c r="M4265" t="s">
        <v>33</v>
      </c>
      <c r="P4265" s="1" t="s">
        <v>14703</v>
      </c>
      <c r="Q4265" s="1" t="s">
        <v>10616</v>
      </c>
      <c r="R4265" s="1" t="s">
        <v>10616</v>
      </c>
      <c r="S4265" s="1"/>
      <c r="T4265" s="1" t="s">
        <v>14704</v>
      </c>
      <c r="U4265" s="1" t="s">
        <v>14705</v>
      </c>
      <c r="V4265" s="1">
        <v>886.0</v>
      </c>
      <c r="W4265" s="1">
        <v>886.0</v>
      </c>
      <c r="X4265" s="1" t="s">
        <v>35</v>
      </c>
      <c r="Y4265" s="1">
        <v>886000.0</v>
      </c>
      <c r="Z4265" s="1"/>
      <c r="AA4265" s="1">
        <v>886000.0</v>
      </c>
      <c r="AB4265" s="1"/>
      <c r="AC4265" s="1" t="s">
        <v>36</v>
      </c>
      <c r="AD4265" s="1" t="s">
        <v>14706</v>
      </c>
      <c r="AE4265" s="1" t="s">
        <v>32</v>
      </c>
      <c r="AF4265" s="1" t="s">
        <v>33</v>
      </c>
      <c r="AG4265" s="1" t="s">
        <v>49</v>
      </c>
    </row>
    <row r="4266" spans="1:33">
      <c r="A4266" t="s">
        <v>14707</v>
      </c>
      <c r="B4266" t="s">
        <v>14708</v>
      </c>
      <c r="C4266" t="s">
        <v>314</v>
      </c>
      <c r="E4266" t="s">
        <v>10616</v>
      </c>
      <c r="F4266" t="s">
        <v>10617</v>
      </c>
      <c r="G4266">
        <v>5.48</v>
      </c>
      <c r="H4266">
        <v>5.48</v>
      </c>
      <c r="I4266" t="s">
        <v>179</v>
      </c>
      <c r="J4266" t="s">
        <v>180</v>
      </c>
      <c r="K4266" t="s">
        <v>31</v>
      </c>
      <c r="L4266" t="s">
        <v>32</v>
      </c>
      <c r="M4266" t="s">
        <v>33</v>
      </c>
      <c r="P4266" s="1" t="s">
        <v>14709</v>
      </c>
      <c r="Q4266" s="1" t="s">
        <v>10616</v>
      </c>
      <c r="R4266" s="1" t="s">
        <v>10616</v>
      </c>
      <c r="S4266" s="1"/>
      <c r="T4266" s="1" t="s">
        <v>314</v>
      </c>
      <c r="U4266" s="1"/>
      <c r="V4266" s="1">
        <v>5.48</v>
      </c>
      <c r="W4266" s="1">
        <v>5.48</v>
      </c>
      <c r="X4266" s="1" t="s">
        <v>35</v>
      </c>
      <c r="Y4266" s="1">
        <v>5480.0</v>
      </c>
      <c r="Z4266" s="1"/>
      <c r="AA4266" s="1">
        <v>5480.0</v>
      </c>
      <c r="AB4266" s="1"/>
      <c r="AC4266" s="1" t="s">
        <v>36</v>
      </c>
      <c r="AD4266" s="1" t="s">
        <v>14710</v>
      </c>
      <c r="AE4266" s="1" t="s">
        <v>32</v>
      </c>
      <c r="AF4266" s="1" t="s">
        <v>33</v>
      </c>
      <c r="AG4266" s="1" t="s">
        <v>180</v>
      </c>
    </row>
    <row r="4267" spans="1:33">
      <c r="A4267" t="s">
        <v>14711</v>
      </c>
      <c r="B4267" t="s">
        <v>4803</v>
      </c>
      <c r="C4267" t="s">
        <v>125</v>
      </c>
      <c r="E4267" t="s">
        <v>10616</v>
      </c>
      <c r="F4267" t="s">
        <v>10617</v>
      </c>
      <c r="G4267">
        <v>14.88</v>
      </c>
      <c r="H4267">
        <v>14.88</v>
      </c>
      <c r="I4267" t="s">
        <v>126</v>
      </c>
      <c r="J4267" t="s">
        <v>127</v>
      </c>
      <c r="K4267" t="s">
        <v>31</v>
      </c>
      <c r="L4267" t="s">
        <v>32</v>
      </c>
      <c r="M4267" t="s">
        <v>33</v>
      </c>
      <c r="P4267" s="1" t="s">
        <v>14712</v>
      </c>
      <c r="Q4267" s="1" t="s">
        <v>10616</v>
      </c>
      <c r="R4267" s="1" t="s">
        <v>10616</v>
      </c>
      <c r="S4267" s="1"/>
      <c r="T4267" s="1" t="s">
        <v>125</v>
      </c>
      <c r="U4267" s="1"/>
      <c r="V4267" s="1">
        <v>14.88</v>
      </c>
      <c r="W4267" s="1">
        <v>14.88</v>
      </c>
      <c r="X4267" s="1" t="s">
        <v>35</v>
      </c>
      <c r="Y4267" s="1">
        <v>14880.0</v>
      </c>
      <c r="Z4267" s="1"/>
      <c r="AA4267" s="1">
        <v>14880.0</v>
      </c>
      <c r="AB4267" s="1"/>
      <c r="AC4267" s="1" t="s">
        <v>36</v>
      </c>
      <c r="AD4267" s="1" t="s">
        <v>14713</v>
      </c>
      <c r="AE4267" s="1" t="s">
        <v>32</v>
      </c>
      <c r="AF4267" s="1" t="s">
        <v>33</v>
      </c>
      <c r="AG4267" s="1" t="s">
        <v>127</v>
      </c>
    </row>
    <row r="4268" spans="1:33">
      <c r="A4268" t="s">
        <v>14714</v>
      </c>
      <c r="C4268" t="s">
        <v>2995</v>
      </c>
      <c r="E4268" t="s">
        <v>10616</v>
      </c>
      <c r="F4268" t="s">
        <v>10617</v>
      </c>
      <c r="G4268">
        <v>521.1</v>
      </c>
      <c r="H4268">
        <v>521.1</v>
      </c>
      <c r="I4268" t="s">
        <v>269</v>
      </c>
      <c r="J4268" t="s">
        <v>270</v>
      </c>
      <c r="K4268" t="s">
        <v>31</v>
      </c>
      <c r="L4268" t="s">
        <v>32</v>
      </c>
      <c r="M4268" t="s">
        <v>33</v>
      </c>
      <c r="P4268" s="1" t="s">
        <v>14715</v>
      </c>
      <c r="Q4268" s="1" t="s">
        <v>10616</v>
      </c>
      <c r="R4268" s="1" t="s">
        <v>10616</v>
      </c>
      <c r="S4268" s="1"/>
      <c r="T4268" s="1" t="s">
        <v>2995</v>
      </c>
      <c r="U4268" s="1"/>
      <c r="V4268" s="1">
        <v>521.1</v>
      </c>
      <c r="W4268" s="1">
        <v>521.1</v>
      </c>
      <c r="X4268" s="1" t="s">
        <v>35</v>
      </c>
      <c r="Y4268" s="1">
        <v>521100.0</v>
      </c>
      <c r="Z4268" s="1"/>
      <c r="AA4268" s="1">
        <v>521100.0</v>
      </c>
      <c r="AB4268" s="1"/>
      <c r="AC4268" s="1" t="s">
        <v>36</v>
      </c>
      <c r="AD4268" s="1" t="s">
        <v>14716</v>
      </c>
      <c r="AE4268" s="1" t="s">
        <v>32</v>
      </c>
      <c r="AF4268" s="1" t="s">
        <v>33</v>
      </c>
      <c r="AG4268" s="1" t="s">
        <v>270</v>
      </c>
    </row>
    <row r="4269" spans="1:33">
      <c r="A4269" t="s">
        <v>14717</v>
      </c>
      <c r="B4269" t="s">
        <v>57</v>
      </c>
      <c r="C4269" t="s">
        <v>58</v>
      </c>
      <c r="E4269" t="s">
        <v>10616</v>
      </c>
      <c r="F4269" t="s">
        <v>10617</v>
      </c>
      <c r="G4269">
        <v>592.0</v>
      </c>
      <c r="H4269">
        <v>592.0</v>
      </c>
      <c r="I4269" t="s">
        <v>59</v>
      </c>
      <c r="J4269" t="s">
        <v>60</v>
      </c>
      <c r="K4269" t="s">
        <v>31</v>
      </c>
      <c r="L4269" t="s">
        <v>32</v>
      </c>
      <c r="M4269" t="s">
        <v>33</v>
      </c>
      <c r="P4269" s="1" t="s">
        <v>14718</v>
      </c>
      <c r="Q4269" s="1" t="s">
        <v>10616</v>
      </c>
      <c r="R4269" s="1" t="s">
        <v>10616</v>
      </c>
      <c r="S4269" s="1"/>
      <c r="T4269" s="1" t="s">
        <v>58</v>
      </c>
      <c r="U4269" s="1"/>
      <c r="V4269" s="1">
        <v>592.0</v>
      </c>
      <c r="W4269" s="1">
        <v>592.0</v>
      </c>
      <c r="X4269" s="1" t="s">
        <v>35</v>
      </c>
      <c r="Y4269" s="1">
        <v>592000.0</v>
      </c>
      <c r="Z4269" s="1"/>
      <c r="AA4269" s="1">
        <v>592000.0</v>
      </c>
      <c r="AB4269" s="1"/>
      <c r="AC4269" s="1" t="s">
        <v>36</v>
      </c>
      <c r="AD4269" s="1" t="s">
        <v>14719</v>
      </c>
      <c r="AE4269" s="1" t="s">
        <v>32</v>
      </c>
      <c r="AF4269" s="1" t="s">
        <v>33</v>
      </c>
      <c r="AG4269" s="1" t="s">
        <v>60</v>
      </c>
    </row>
    <row r="4270" spans="1:33">
      <c r="A4270" t="s">
        <v>14720</v>
      </c>
      <c r="C4270" t="s">
        <v>2887</v>
      </c>
      <c r="D4270" t="s">
        <v>154</v>
      </c>
      <c r="E4270" t="s">
        <v>10616</v>
      </c>
      <c r="F4270" t="s">
        <v>10617</v>
      </c>
      <c r="G4270">
        <v>1.051</v>
      </c>
      <c r="H4270">
        <v>1.051</v>
      </c>
      <c r="I4270" t="s">
        <v>94</v>
      </c>
      <c r="J4270" t="s">
        <v>95</v>
      </c>
      <c r="K4270" t="s">
        <v>31</v>
      </c>
      <c r="L4270" t="s">
        <v>32</v>
      </c>
      <c r="M4270" t="s">
        <v>33</v>
      </c>
      <c r="P4270" s="1" t="s">
        <v>14721</v>
      </c>
      <c r="Q4270" s="1" t="s">
        <v>10616</v>
      </c>
      <c r="R4270" s="1" t="s">
        <v>10616</v>
      </c>
      <c r="S4270" s="1"/>
      <c r="T4270" s="1" t="s">
        <v>2889</v>
      </c>
      <c r="U4270" s="1" t="s">
        <v>2890</v>
      </c>
      <c r="V4270" s="1">
        <v>1.051</v>
      </c>
      <c r="W4270" s="1">
        <v>1.051</v>
      </c>
      <c r="X4270" s="1" t="s">
        <v>35</v>
      </c>
      <c r="Y4270" s="1">
        <v>1051900.0</v>
      </c>
      <c r="Z4270" s="1"/>
      <c r="AA4270" s="1">
        <v>1051900.0</v>
      </c>
      <c r="AB4270" s="1"/>
      <c r="AC4270" s="1" t="s">
        <v>36</v>
      </c>
      <c r="AD4270" s="1" t="s">
        <v>14706</v>
      </c>
      <c r="AE4270" s="1" t="s">
        <v>32</v>
      </c>
      <c r="AF4270" s="1" t="s">
        <v>33</v>
      </c>
      <c r="AG4270" s="1" t="s">
        <v>95</v>
      </c>
    </row>
    <row r="4271" spans="1:33">
      <c r="A4271" t="s">
        <v>14722</v>
      </c>
      <c r="B4271" t="s">
        <v>3875</v>
      </c>
      <c r="C4271" t="s">
        <v>268</v>
      </c>
      <c r="E4271" t="s">
        <v>10616</v>
      </c>
      <c r="F4271" t="s">
        <v>10617</v>
      </c>
      <c r="G4271">
        <v>40.25</v>
      </c>
      <c r="H4271">
        <v>40.25</v>
      </c>
      <c r="I4271" t="s">
        <v>269</v>
      </c>
      <c r="J4271" t="s">
        <v>270</v>
      </c>
      <c r="K4271" t="s">
        <v>31</v>
      </c>
      <c r="L4271" t="s">
        <v>32</v>
      </c>
      <c r="M4271" t="s">
        <v>33</v>
      </c>
      <c r="P4271" s="1" t="s">
        <v>14723</v>
      </c>
      <c r="Q4271" s="1" t="s">
        <v>10616</v>
      </c>
      <c r="R4271" s="1" t="s">
        <v>10616</v>
      </c>
      <c r="S4271" s="1"/>
      <c r="T4271" s="1" t="s">
        <v>268</v>
      </c>
      <c r="U4271" s="1"/>
      <c r="V4271" s="1">
        <v>40.25</v>
      </c>
      <c r="W4271" s="1">
        <v>40.25</v>
      </c>
      <c r="X4271" s="1" t="s">
        <v>35</v>
      </c>
      <c r="Y4271" s="1">
        <v>40250.0</v>
      </c>
      <c r="Z4271" s="1"/>
      <c r="AA4271" s="1">
        <v>40250.0</v>
      </c>
      <c r="AB4271" s="1"/>
      <c r="AC4271" s="1" t="s">
        <v>36</v>
      </c>
      <c r="AD4271" s="1" t="s">
        <v>14724</v>
      </c>
      <c r="AE4271" s="1" t="s">
        <v>32</v>
      </c>
      <c r="AF4271" s="1" t="s">
        <v>33</v>
      </c>
      <c r="AG4271" s="1" t="s">
        <v>270</v>
      </c>
    </row>
    <row r="4272" spans="1:33">
      <c r="A4272" t="s">
        <v>14725</v>
      </c>
      <c r="B4272" t="s">
        <v>11193</v>
      </c>
      <c r="C4272" t="s">
        <v>131</v>
      </c>
      <c r="E4272" t="s">
        <v>10616</v>
      </c>
      <c r="F4272" t="s">
        <v>10617</v>
      </c>
      <c r="G4272">
        <v>68.57</v>
      </c>
      <c r="H4272">
        <v>68.57</v>
      </c>
      <c r="I4272" t="s">
        <v>94</v>
      </c>
      <c r="J4272" t="s">
        <v>95</v>
      </c>
      <c r="K4272" t="s">
        <v>31</v>
      </c>
      <c r="L4272" t="s">
        <v>32</v>
      </c>
      <c r="M4272" t="s">
        <v>33</v>
      </c>
      <c r="P4272" s="1" t="s">
        <v>14726</v>
      </c>
      <c r="Q4272" s="1" t="s">
        <v>10616</v>
      </c>
      <c r="R4272" s="1" t="s">
        <v>10616</v>
      </c>
      <c r="S4272" s="1"/>
      <c r="T4272" s="1" t="s">
        <v>131</v>
      </c>
      <c r="U4272" s="1"/>
      <c r="V4272" s="1">
        <v>68.57</v>
      </c>
      <c r="W4272" s="1">
        <v>68.57</v>
      </c>
      <c r="X4272" s="1" t="s">
        <v>35</v>
      </c>
      <c r="Y4272" s="1">
        <v>68570.0</v>
      </c>
      <c r="Z4272" s="1"/>
      <c r="AA4272" s="1">
        <v>68570.0</v>
      </c>
      <c r="AB4272" s="1"/>
      <c r="AC4272" s="1" t="s">
        <v>36</v>
      </c>
      <c r="AD4272" s="1" t="s">
        <v>14727</v>
      </c>
      <c r="AE4272" s="1" t="s">
        <v>32</v>
      </c>
      <c r="AF4272" s="1" t="s">
        <v>33</v>
      </c>
      <c r="AG4272" s="1" t="s">
        <v>95</v>
      </c>
    </row>
    <row r="4273" spans="1:33">
      <c r="A4273" t="s">
        <v>14728</v>
      </c>
      <c r="B4273" t="s">
        <v>3875</v>
      </c>
      <c r="C4273" t="s">
        <v>268</v>
      </c>
      <c r="E4273" t="s">
        <v>10616</v>
      </c>
      <c r="F4273" t="s">
        <v>10617</v>
      </c>
      <c r="G4273">
        <v>16.9</v>
      </c>
      <c r="H4273">
        <v>16.9</v>
      </c>
      <c r="I4273" t="s">
        <v>269</v>
      </c>
      <c r="J4273" t="s">
        <v>270</v>
      </c>
      <c r="K4273" t="s">
        <v>31</v>
      </c>
      <c r="L4273" t="s">
        <v>32</v>
      </c>
      <c r="M4273" t="s">
        <v>33</v>
      </c>
      <c r="P4273" s="1" t="s">
        <v>14729</v>
      </c>
      <c r="Q4273" s="1" t="s">
        <v>10616</v>
      </c>
      <c r="R4273" s="1" t="s">
        <v>10616</v>
      </c>
      <c r="S4273" s="1"/>
      <c r="T4273" s="1" t="s">
        <v>268</v>
      </c>
      <c r="U4273" s="1"/>
      <c r="V4273" s="1">
        <v>16.9</v>
      </c>
      <c r="W4273" s="1">
        <v>16.9</v>
      </c>
      <c r="X4273" s="1" t="s">
        <v>35</v>
      </c>
      <c r="Y4273" s="1">
        <v>16900.0</v>
      </c>
      <c r="Z4273" s="1"/>
      <c r="AA4273" s="1">
        <v>16900.0</v>
      </c>
      <c r="AB4273" s="1"/>
      <c r="AC4273" s="1" t="s">
        <v>36</v>
      </c>
      <c r="AD4273" s="1" t="s">
        <v>14631</v>
      </c>
      <c r="AE4273" s="1" t="s">
        <v>32</v>
      </c>
      <c r="AF4273" s="1" t="s">
        <v>33</v>
      </c>
      <c r="AG4273" s="1" t="s">
        <v>270</v>
      </c>
    </row>
    <row r="4274" spans="1:33">
      <c r="A4274" t="s">
        <v>14730</v>
      </c>
      <c r="B4274" t="s">
        <v>2189</v>
      </c>
      <c r="C4274" t="s">
        <v>68</v>
      </c>
      <c r="E4274" t="s">
        <v>10616</v>
      </c>
      <c r="F4274" t="s">
        <v>10617</v>
      </c>
      <c r="G4274">
        <v>93.87</v>
      </c>
      <c r="H4274">
        <v>93.87</v>
      </c>
      <c r="I4274" t="s">
        <v>59</v>
      </c>
      <c r="J4274" t="s">
        <v>60</v>
      </c>
      <c r="K4274" t="s">
        <v>31</v>
      </c>
      <c r="L4274" t="s">
        <v>32</v>
      </c>
      <c r="M4274" t="s">
        <v>33</v>
      </c>
      <c r="P4274" s="1" t="s">
        <v>14731</v>
      </c>
      <c r="Q4274" s="1" t="s">
        <v>10616</v>
      </c>
      <c r="R4274" s="1" t="s">
        <v>10616</v>
      </c>
      <c r="S4274" s="1"/>
      <c r="T4274" s="1" t="s">
        <v>68</v>
      </c>
      <c r="U4274" s="1"/>
      <c r="V4274" s="1">
        <v>93.87</v>
      </c>
      <c r="W4274" s="1">
        <v>93.87</v>
      </c>
      <c r="X4274" s="1" t="s">
        <v>35</v>
      </c>
      <c r="Y4274" s="1">
        <v>93870.0</v>
      </c>
      <c r="Z4274" s="1"/>
      <c r="AA4274" s="1">
        <v>93870.0</v>
      </c>
      <c r="AB4274" s="1"/>
      <c r="AC4274" s="1" t="s">
        <v>36</v>
      </c>
      <c r="AD4274" s="1" t="s">
        <v>14732</v>
      </c>
      <c r="AE4274" s="1" t="s">
        <v>32</v>
      </c>
      <c r="AF4274" s="1" t="s">
        <v>33</v>
      </c>
      <c r="AG4274" s="1" t="s">
        <v>60</v>
      </c>
    </row>
    <row r="4275" spans="1:33">
      <c r="A4275" t="s">
        <v>14733</v>
      </c>
      <c r="B4275" t="s">
        <v>2463</v>
      </c>
      <c r="C4275" t="s">
        <v>125</v>
      </c>
      <c r="E4275" t="s">
        <v>10616</v>
      </c>
      <c r="F4275" t="s">
        <v>10617</v>
      </c>
      <c r="G4275">
        <v>6.28</v>
      </c>
      <c r="H4275">
        <v>6.28</v>
      </c>
      <c r="I4275" t="s">
        <v>126</v>
      </c>
      <c r="J4275" t="s">
        <v>127</v>
      </c>
      <c r="K4275" t="s">
        <v>31</v>
      </c>
      <c r="L4275" t="s">
        <v>32</v>
      </c>
      <c r="M4275" t="s">
        <v>33</v>
      </c>
      <c r="P4275" s="1" t="s">
        <v>14734</v>
      </c>
      <c r="Q4275" s="1" t="s">
        <v>10616</v>
      </c>
      <c r="R4275" s="1" t="s">
        <v>10616</v>
      </c>
      <c r="S4275" s="1"/>
      <c r="T4275" s="1" t="s">
        <v>125</v>
      </c>
      <c r="U4275" s="1"/>
      <c r="V4275" s="1">
        <v>6.28</v>
      </c>
      <c r="W4275" s="1">
        <v>6.28</v>
      </c>
      <c r="X4275" s="1" t="s">
        <v>35</v>
      </c>
      <c r="Y4275" s="1">
        <v>6280.0</v>
      </c>
      <c r="Z4275" s="1"/>
      <c r="AA4275" s="1">
        <v>6280.0</v>
      </c>
      <c r="AB4275" s="1"/>
      <c r="AC4275" s="1" t="s">
        <v>36</v>
      </c>
      <c r="AD4275" s="1" t="s">
        <v>14735</v>
      </c>
      <c r="AE4275" s="1" t="s">
        <v>32</v>
      </c>
      <c r="AF4275" s="1" t="s">
        <v>33</v>
      </c>
      <c r="AG4275" s="1" t="s">
        <v>127</v>
      </c>
    </row>
    <row r="4276" spans="1:33">
      <c r="A4276" t="s">
        <v>14736</v>
      </c>
      <c r="B4276" t="s">
        <v>14737</v>
      </c>
      <c r="C4276" t="s">
        <v>125</v>
      </c>
      <c r="E4276" t="s">
        <v>10616</v>
      </c>
      <c r="F4276" t="s">
        <v>10617</v>
      </c>
      <c r="G4276">
        <v>8.168</v>
      </c>
      <c r="H4276">
        <v>8.168</v>
      </c>
      <c r="I4276" t="s">
        <v>126</v>
      </c>
      <c r="J4276" t="s">
        <v>127</v>
      </c>
      <c r="K4276" t="s">
        <v>31</v>
      </c>
      <c r="L4276" t="s">
        <v>32</v>
      </c>
      <c r="M4276" t="s">
        <v>33</v>
      </c>
      <c r="P4276" s="1" t="s">
        <v>14738</v>
      </c>
      <c r="Q4276" s="1" t="s">
        <v>10616</v>
      </c>
      <c r="R4276" s="1" t="s">
        <v>10616</v>
      </c>
      <c r="S4276" s="1"/>
      <c r="T4276" s="1" t="s">
        <v>125</v>
      </c>
      <c r="U4276" s="1"/>
      <c r="V4276" s="1">
        <v>8.168</v>
      </c>
      <c r="W4276" s="1">
        <v>8.168</v>
      </c>
      <c r="X4276" s="1" t="s">
        <v>35</v>
      </c>
      <c r="Y4276" s="1">
        <v>8168.0</v>
      </c>
      <c r="Z4276" s="1"/>
      <c r="AA4276" s="1">
        <v>8168.0</v>
      </c>
      <c r="AB4276" s="1"/>
      <c r="AC4276" s="1" t="s">
        <v>36</v>
      </c>
      <c r="AD4276" s="1" t="s">
        <v>14739</v>
      </c>
      <c r="AE4276" s="1" t="s">
        <v>32</v>
      </c>
      <c r="AF4276" s="1" t="s">
        <v>33</v>
      </c>
      <c r="AG4276" s="1" t="s">
        <v>127</v>
      </c>
    </row>
    <row r="4277" spans="1:33">
      <c r="A4277" t="s">
        <v>14740</v>
      </c>
      <c r="B4277" t="s">
        <v>14741</v>
      </c>
      <c r="C4277" t="s">
        <v>268</v>
      </c>
      <c r="E4277" t="s">
        <v>10616</v>
      </c>
      <c r="F4277" t="s">
        <v>10617</v>
      </c>
      <c r="G4277">
        <v>16.9</v>
      </c>
      <c r="H4277">
        <v>16.9</v>
      </c>
      <c r="I4277" t="s">
        <v>269</v>
      </c>
      <c r="J4277" t="s">
        <v>270</v>
      </c>
      <c r="K4277" t="s">
        <v>31</v>
      </c>
      <c r="L4277" t="s">
        <v>32</v>
      </c>
      <c r="M4277" t="s">
        <v>33</v>
      </c>
      <c r="P4277" s="1" t="s">
        <v>14742</v>
      </c>
      <c r="Q4277" s="1" t="s">
        <v>10616</v>
      </c>
      <c r="R4277" s="1" t="s">
        <v>10616</v>
      </c>
      <c r="S4277" s="1"/>
      <c r="T4277" s="1" t="s">
        <v>268</v>
      </c>
      <c r="U4277" s="1"/>
      <c r="V4277" s="1">
        <v>16.9</v>
      </c>
      <c r="W4277" s="1">
        <v>16.9</v>
      </c>
      <c r="X4277" s="1" t="s">
        <v>35</v>
      </c>
      <c r="Y4277" s="1">
        <v>16900.0</v>
      </c>
      <c r="Z4277" s="1"/>
      <c r="AA4277" s="1">
        <v>16900.0</v>
      </c>
      <c r="AB4277" s="1"/>
      <c r="AC4277" s="1" t="s">
        <v>36</v>
      </c>
      <c r="AD4277" s="1" t="s">
        <v>14743</v>
      </c>
      <c r="AE4277" s="1" t="s">
        <v>32</v>
      </c>
      <c r="AF4277" s="1" t="s">
        <v>33</v>
      </c>
      <c r="AG4277" s="1" t="s">
        <v>270</v>
      </c>
    </row>
    <row r="4278" spans="1:33">
      <c r="A4278" t="s">
        <v>14744</v>
      </c>
      <c r="C4278" t="s">
        <v>453</v>
      </c>
      <c r="E4278" t="s">
        <v>10616</v>
      </c>
      <c r="F4278" t="s">
        <v>10617</v>
      </c>
      <c r="G4278">
        <v>979.5</v>
      </c>
      <c r="H4278">
        <v>979.5</v>
      </c>
      <c r="I4278" t="s">
        <v>126</v>
      </c>
      <c r="J4278" t="s">
        <v>127</v>
      </c>
      <c r="K4278" t="s">
        <v>31</v>
      </c>
      <c r="L4278" t="s">
        <v>32</v>
      </c>
      <c r="M4278" t="s">
        <v>33</v>
      </c>
      <c r="P4278" s="1" t="s">
        <v>14745</v>
      </c>
      <c r="Q4278" s="1" t="s">
        <v>10616</v>
      </c>
      <c r="R4278" s="1" t="s">
        <v>10616</v>
      </c>
      <c r="S4278" s="1"/>
      <c r="T4278" s="1" t="s">
        <v>453</v>
      </c>
      <c r="U4278" s="1"/>
      <c r="V4278" s="1">
        <v>979.5</v>
      </c>
      <c r="W4278" s="1">
        <v>979.5</v>
      </c>
      <c r="X4278" s="1" t="s">
        <v>35</v>
      </c>
      <c r="Y4278" s="1">
        <v>979500.0</v>
      </c>
      <c r="Z4278" s="1"/>
      <c r="AA4278" s="1">
        <v>979500.0</v>
      </c>
      <c r="AB4278" s="1"/>
      <c r="AC4278" s="1" t="s">
        <v>36</v>
      </c>
      <c r="AD4278" s="1" t="s">
        <v>14746</v>
      </c>
      <c r="AE4278" s="1" t="s">
        <v>32</v>
      </c>
      <c r="AF4278" s="1" t="s">
        <v>33</v>
      </c>
      <c r="AG4278" s="1" t="s">
        <v>127</v>
      </c>
    </row>
    <row r="4279" spans="1:33">
      <c r="A4279" t="s">
        <v>14747</v>
      </c>
      <c r="B4279" t="s">
        <v>14748</v>
      </c>
      <c r="C4279" t="s">
        <v>268</v>
      </c>
      <c r="E4279" t="s">
        <v>10616</v>
      </c>
      <c r="F4279" t="s">
        <v>10617</v>
      </c>
      <c r="G4279">
        <v>73.4</v>
      </c>
      <c r="H4279">
        <v>73.4</v>
      </c>
      <c r="I4279" t="s">
        <v>269</v>
      </c>
      <c r="J4279" t="s">
        <v>270</v>
      </c>
      <c r="K4279" t="s">
        <v>31</v>
      </c>
      <c r="L4279" t="s">
        <v>32</v>
      </c>
      <c r="M4279" t="s">
        <v>33</v>
      </c>
      <c r="P4279" s="1" t="s">
        <v>14749</v>
      </c>
      <c r="Q4279" s="1" t="s">
        <v>10616</v>
      </c>
      <c r="R4279" s="1" t="s">
        <v>10616</v>
      </c>
      <c r="S4279" s="1"/>
      <c r="T4279" s="1" t="s">
        <v>268</v>
      </c>
      <c r="U4279" s="1"/>
      <c r="V4279" s="1">
        <v>73.4</v>
      </c>
      <c r="W4279" s="1">
        <v>73.4</v>
      </c>
      <c r="X4279" s="1" t="s">
        <v>35</v>
      </c>
      <c r="Y4279" s="1">
        <v>73400.0</v>
      </c>
      <c r="Z4279" s="1"/>
      <c r="AA4279" s="1">
        <v>73400.0</v>
      </c>
      <c r="AB4279" s="1"/>
      <c r="AC4279" s="1" t="s">
        <v>36</v>
      </c>
      <c r="AD4279" s="1" t="s">
        <v>14750</v>
      </c>
      <c r="AE4279" s="1" t="s">
        <v>32</v>
      </c>
      <c r="AF4279" s="1" t="s">
        <v>33</v>
      </c>
      <c r="AG4279" s="1" t="s">
        <v>270</v>
      </c>
    </row>
    <row r="4280" spans="1:33">
      <c r="A4280" t="s">
        <v>14751</v>
      </c>
      <c r="B4280" t="s">
        <v>14752</v>
      </c>
      <c r="C4280" t="s">
        <v>47</v>
      </c>
      <c r="E4280" t="s">
        <v>10616</v>
      </c>
      <c r="F4280" t="s">
        <v>10617</v>
      </c>
      <c r="G4280">
        <v>20.99</v>
      </c>
      <c r="H4280">
        <v>20.99</v>
      </c>
      <c r="I4280" t="s">
        <v>2206</v>
      </c>
      <c r="J4280" t="s">
        <v>49</v>
      </c>
      <c r="K4280" t="s">
        <v>31</v>
      </c>
      <c r="L4280" t="s">
        <v>32</v>
      </c>
      <c r="M4280" t="s">
        <v>33</v>
      </c>
      <c r="P4280" s="1" t="s">
        <v>14753</v>
      </c>
      <c r="Q4280" s="1" t="s">
        <v>10616</v>
      </c>
      <c r="R4280" s="1" t="s">
        <v>10616</v>
      </c>
      <c r="S4280" s="1"/>
      <c r="T4280" s="1" t="s">
        <v>47</v>
      </c>
      <c r="U4280" s="1"/>
      <c r="V4280" s="1">
        <v>20.99</v>
      </c>
      <c r="W4280" s="1">
        <v>20.99</v>
      </c>
      <c r="X4280" s="1" t="s">
        <v>35</v>
      </c>
      <c r="Y4280" s="1">
        <v>21000.0</v>
      </c>
      <c r="Z4280" s="1">
        <v>-10</v>
      </c>
      <c r="AA4280" s="1">
        <v>21000.0</v>
      </c>
      <c r="AB4280" s="1">
        <v>-10</v>
      </c>
      <c r="AC4280" s="1" t="s">
        <v>36</v>
      </c>
      <c r="AD4280" s="1" t="s">
        <v>14754</v>
      </c>
      <c r="AE4280" s="1" t="s">
        <v>32</v>
      </c>
      <c r="AF4280" s="1" t="s">
        <v>33</v>
      </c>
      <c r="AG4280" s="1" t="s">
        <v>49</v>
      </c>
    </row>
    <row r="4281" spans="1:33">
      <c r="A4281" t="s">
        <v>14755</v>
      </c>
      <c r="C4281" t="s">
        <v>2872</v>
      </c>
      <c r="E4281" t="s">
        <v>10616</v>
      </c>
      <c r="F4281" t="s">
        <v>10617</v>
      </c>
      <c r="G4281">
        <v>2.485</v>
      </c>
      <c r="H4281">
        <v>2.485</v>
      </c>
      <c r="I4281" t="s">
        <v>2206</v>
      </c>
      <c r="J4281" t="s">
        <v>49</v>
      </c>
      <c r="K4281" t="s">
        <v>31</v>
      </c>
      <c r="L4281" t="s">
        <v>32</v>
      </c>
      <c r="M4281" t="s">
        <v>33</v>
      </c>
      <c r="P4281" s="1" t="s">
        <v>14756</v>
      </c>
      <c r="Q4281" s="1" t="s">
        <v>10616</v>
      </c>
      <c r="R4281" s="1" t="s">
        <v>10616</v>
      </c>
      <c r="S4281" s="1"/>
      <c r="T4281" s="1" t="s">
        <v>2872</v>
      </c>
      <c r="U4281" s="1"/>
      <c r="V4281" s="1">
        <v>2.485</v>
      </c>
      <c r="W4281" s="1">
        <v>2.485</v>
      </c>
      <c r="X4281" s="1" t="s">
        <v>35</v>
      </c>
      <c r="Y4281" s="1">
        <v>2485000.0</v>
      </c>
      <c r="Z4281" s="1"/>
      <c r="AA4281" s="1">
        <v>2485000.0</v>
      </c>
      <c r="AB4281" s="1"/>
      <c r="AC4281" s="1" t="s">
        <v>36</v>
      </c>
      <c r="AD4281" s="1" t="s">
        <v>14757</v>
      </c>
      <c r="AE4281" s="1" t="s">
        <v>32</v>
      </c>
      <c r="AF4281" s="1" t="s">
        <v>33</v>
      </c>
      <c r="AG4281" s="1" t="s">
        <v>49</v>
      </c>
    </row>
    <row r="4282" spans="1:33">
      <c r="A4282" t="s">
        <v>14758</v>
      </c>
      <c r="C4282" t="s">
        <v>1677</v>
      </c>
      <c r="E4282" t="s">
        <v>10616</v>
      </c>
      <c r="F4282" t="s">
        <v>10617</v>
      </c>
      <c r="G4282">
        <v>21.0</v>
      </c>
      <c r="H4282">
        <v>21.0</v>
      </c>
      <c r="I4282" t="s">
        <v>269</v>
      </c>
      <c r="J4282" t="s">
        <v>270</v>
      </c>
      <c r="K4282" t="s">
        <v>31</v>
      </c>
      <c r="L4282" t="s">
        <v>32</v>
      </c>
      <c r="M4282" t="s">
        <v>33</v>
      </c>
      <c r="P4282" s="1" t="s">
        <v>14759</v>
      </c>
      <c r="Q4282" s="1" t="s">
        <v>10616</v>
      </c>
      <c r="R4282" s="1" t="s">
        <v>10616</v>
      </c>
      <c r="S4282" s="1"/>
      <c r="T4282" s="1" t="s">
        <v>1677</v>
      </c>
      <c r="U4282" s="1"/>
      <c r="V4282" s="1">
        <v>21.0</v>
      </c>
      <c r="W4282" s="1">
        <v>21.0</v>
      </c>
      <c r="X4282" s="1" t="s">
        <v>35</v>
      </c>
      <c r="Y4282" s="1">
        <v>21000.0</v>
      </c>
      <c r="Z4282" s="1"/>
      <c r="AA4282" s="1">
        <v>21000.0</v>
      </c>
      <c r="AB4282" s="1"/>
      <c r="AC4282" s="1" t="s">
        <v>36</v>
      </c>
      <c r="AD4282" s="1" t="s">
        <v>14760</v>
      </c>
      <c r="AE4282" s="1" t="s">
        <v>32</v>
      </c>
      <c r="AF4282" s="1" t="s">
        <v>33</v>
      </c>
      <c r="AG4282" s="1" t="s">
        <v>270</v>
      </c>
    </row>
    <row r="4283" spans="1:33">
      <c r="A4283" t="s">
        <v>14761</v>
      </c>
      <c r="C4283" t="s">
        <v>4850</v>
      </c>
      <c r="E4283" t="s">
        <v>10616</v>
      </c>
      <c r="F4283" t="s">
        <v>10617</v>
      </c>
      <c r="G4283">
        <v>630.0</v>
      </c>
      <c r="H4283">
        <v>630.0</v>
      </c>
      <c r="I4283" t="s">
        <v>126</v>
      </c>
      <c r="J4283" t="s">
        <v>127</v>
      </c>
      <c r="K4283" t="s">
        <v>31</v>
      </c>
      <c r="L4283" t="s">
        <v>32</v>
      </c>
      <c r="M4283" t="s">
        <v>33</v>
      </c>
      <c r="P4283" s="1" t="s">
        <v>14762</v>
      </c>
      <c r="Q4283" s="1" t="s">
        <v>10616</v>
      </c>
      <c r="R4283" s="1" t="s">
        <v>10616</v>
      </c>
      <c r="S4283" s="1"/>
      <c r="T4283" s="1" t="s">
        <v>4850</v>
      </c>
      <c r="U4283" s="1"/>
      <c r="V4283" s="1">
        <v>630.0</v>
      </c>
      <c r="W4283" s="1">
        <v>630.0</v>
      </c>
      <c r="X4283" s="1" t="s">
        <v>35</v>
      </c>
      <c r="Y4283" s="1">
        <v>630000.0</v>
      </c>
      <c r="Z4283" s="1"/>
      <c r="AA4283" s="1">
        <v>630000.0</v>
      </c>
      <c r="AB4283" s="1"/>
      <c r="AC4283" s="1" t="s">
        <v>36</v>
      </c>
      <c r="AD4283" s="1" t="s">
        <v>14763</v>
      </c>
      <c r="AE4283" s="1" t="s">
        <v>32</v>
      </c>
      <c r="AF4283" s="1" t="s">
        <v>33</v>
      </c>
      <c r="AG4283" s="1" t="s">
        <v>127</v>
      </c>
    </row>
    <row r="4284" spans="1:33">
      <c r="A4284" t="s">
        <v>14764</v>
      </c>
      <c r="C4284" t="s">
        <v>2688</v>
      </c>
      <c r="E4284" t="s">
        <v>10616</v>
      </c>
      <c r="F4284" t="s">
        <v>10617</v>
      </c>
      <c r="G4284">
        <v>1.291</v>
      </c>
      <c r="H4284">
        <v>1.291</v>
      </c>
      <c r="I4284" t="s">
        <v>269</v>
      </c>
      <c r="J4284" t="s">
        <v>270</v>
      </c>
      <c r="K4284" t="s">
        <v>31</v>
      </c>
      <c r="L4284" t="s">
        <v>32</v>
      </c>
      <c r="M4284" t="s">
        <v>33</v>
      </c>
      <c r="P4284" s="1" t="s">
        <v>14765</v>
      </c>
      <c r="Q4284" s="1" t="s">
        <v>10616</v>
      </c>
      <c r="R4284" s="1" t="s">
        <v>10616</v>
      </c>
      <c r="S4284" s="1"/>
      <c r="T4284" s="1" t="s">
        <v>2688</v>
      </c>
      <c r="U4284" s="1"/>
      <c r="V4284" s="1">
        <v>1.291</v>
      </c>
      <c r="W4284" s="1">
        <v>1.291</v>
      </c>
      <c r="X4284" s="1" t="s">
        <v>35</v>
      </c>
      <c r="Y4284" s="1">
        <v>1291500.0</v>
      </c>
      <c r="Z4284" s="1"/>
      <c r="AA4284" s="1">
        <v>1291500.0</v>
      </c>
      <c r="AB4284" s="1"/>
      <c r="AC4284" s="1" t="s">
        <v>36</v>
      </c>
      <c r="AD4284" s="1" t="s">
        <v>14766</v>
      </c>
      <c r="AE4284" s="1" t="s">
        <v>32</v>
      </c>
      <c r="AF4284" s="1" t="s">
        <v>33</v>
      </c>
      <c r="AG4284" s="1" t="s">
        <v>270</v>
      </c>
    </row>
    <row r="4285" spans="1:33">
      <c r="A4285" t="s">
        <v>14767</v>
      </c>
      <c r="C4285" t="s">
        <v>609</v>
      </c>
      <c r="E4285" t="s">
        <v>10616</v>
      </c>
      <c r="F4285" t="s">
        <v>10617</v>
      </c>
      <c r="G4285">
        <v>688.0</v>
      </c>
      <c r="H4285">
        <v>688.0</v>
      </c>
      <c r="I4285" t="s">
        <v>269</v>
      </c>
      <c r="J4285" t="s">
        <v>270</v>
      </c>
      <c r="K4285" t="s">
        <v>31</v>
      </c>
      <c r="L4285" t="s">
        <v>32</v>
      </c>
      <c r="M4285" t="s">
        <v>33</v>
      </c>
      <c r="P4285" s="1" t="s">
        <v>14768</v>
      </c>
      <c r="Q4285" s="1" t="s">
        <v>10616</v>
      </c>
      <c r="R4285" s="1" t="s">
        <v>10616</v>
      </c>
      <c r="S4285" s="1"/>
      <c r="T4285" s="1" t="s">
        <v>609</v>
      </c>
      <c r="U4285" s="1"/>
      <c r="V4285" s="1">
        <v>688.0</v>
      </c>
      <c r="W4285" s="1">
        <v>688.0</v>
      </c>
      <c r="X4285" s="1" t="s">
        <v>35</v>
      </c>
      <c r="Y4285" s="1">
        <v>688000.0</v>
      </c>
      <c r="Z4285" s="1"/>
      <c r="AA4285" s="1">
        <v>688000.0</v>
      </c>
      <c r="AB4285" s="1"/>
      <c r="AC4285" s="1" t="s">
        <v>36</v>
      </c>
      <c r="AD4285" s="1" t="s">
        <v>14769</v>
      </c>
      <c r="AE4285" s="1" t="s">
        <v>32</v>
      </c>
      <c r="AF4285" s="1" t="s">
        <v>33</v>
      </c>
      <c r="AG4285" s="1" t="s">
        <v>270</v>
      </c>
    </row>
    <row r="4286" spans="1:33">
      <c r="A4286" t="s">
        <v>14770</v>
      </c>
      <c r="C4286" t="s">
        <v>6628</v>
      </c>
      <c r="E4286" t="s">
        <v>10616</v>
      </c>
      <c r="F4286" t="s">
        <v>10617</v>
      </c>
      <c r="G4286">
        <v>656.0</v>
      </c>
      <c r="H4286">
        <v>656.0</v>
      </c>
      <c r="I4286" t="s">
        <v>269</v>
      </c>
      <c r="J4286" t="s">
        <v>270</v>
      </c>
      <c r="K4286" t="s">
        <v>31</v>
      </c>
      <c r="L4286" t="s">
        <v>32</v>
      </c>
      <c r="M4286" t="s">
        <v>33</v>
      </c>
      <c r="P4286" s="1" t="s">
        <v>14771</v>
      </c>
      <c r="Q4286" s="1" t="s">
        <v>10616</v>
      </c>
      <c r="R4286" s="1" t="s">
        <v>10616</v>
      </c>
      <c r="S4286" s="1"/>
      <c r="T4286" s="1" t="s">
        <v>6628</v>
      </c>
      <c r="U4286" s="1"/>
      <c r="V4286" s="1">
        <v>656.0</v>
      </c>
      <c r="W4286" s="1">
        <v>656.0</v>
      </c>
      <c r="X4286" s="1" t="s">
        <v>35</v>
      </c>
      <c r="Y4286" s="1">
        <v>656000.0</v>
      </c>
      <c r="Z4286" s="1"/>
      <c r="AA4286" s="1">
        <v>656000.0</v>
      </c>
      <c r="AB4286" s="1"/>
      <c r="AC4286" s="1" t="s">
        <v>36</v>
      </c>
      <c r="AD4286" s="1" t="s">
        <v>14772</v>
      </c>
      <c r="AE4286" s="1" t="s">
        <v>32</v>
      </c>
      <c r="AF4286" s="1" t="s">
        <v>33</v>
      </c>
      <c r="AG4286" s="1" t="s">
        <v>270</v>
      </c>
    </row>
    <row r="4287" spans="1:33">
      <c r="A4287" t="s">
        <v>14773</v>
      </c>
      <c r="C4287" t="s">
        <v>6986</v>
      </c>
      <c r="D4287" t="s">
        <v>114</v>
      </c>
      <c r="E4287" t="s">
        <v>10616</v>
      </c>
      <c r="F4287" t="s">
        <v>10617</v>
      </c>
      <c r="G4287">
        <v>10.07</v>
      </c>
      <c r="H4287">
        <v>10.07</v>
      </c>
      <c r="I4287" t="s">
        <v>2206</v>
      </c>
      <c r="J4287" t="s">
        <v>49</v>
      </c>
      <c r="K4287" t="s">
        <v>31</v>
      </c>
      <c r="L4287" t="s">
        <v>32</v>
      </c>
      <c r="M4287" t="s">
        <v>33</v>
      </c>
      <c r="P4287" s="1" t="s">
        <v>14774</v>
      </c>
      <c r="Q4287" s="1" t="s">
        <v>10616</v>
      </c>
      <c r="R4287" s="1" t="s">
        <v>10616</v>
      </c>
      <c r="S4287" s="1"/>
      <c r="T4287" s="1" t="s">
        <v>6986</v>
      </c>
      <c r="U4287" s="1"/>
      <c r="V4287" s="1">
        <v>10.07</v>
      </c>
      <c r="W4287" s="1">
        <v>10.07</v>
      </c>
      <c r="X4287" s="1" t="s">
        <v>35</v>
      </c>
      <c r="Y4287" s="1">
        <v>10070500.0</v>
      </c>
      <c r="Z4287" s="1"/>
      <c r="AA4287" s="1">
        <v>10070500.0</v>
      </c>
      <c r="AB4287" s="1"/>
      <c r="AC4287" s="1" t="s">
        <v>36</v>
      </c>
      <c r="AD4287" s="1" t="s">
        <v>14775</v>
      </c>
      <c r="AE4287" s="1" t="s">
        <v>32</v>
      </c>
      <c r="AF4287" s="1" t="s">
        <v>33</v>
      </c>
      <c r="AG4287" s="1" t="s">
        <v>49</v>
      </c>
    </row>
    <row r="4288" spans="1:33">
      <c r="A4288" t="s">
        <v>14776</v>
      </c>
      <c r="C4288" t="s">
        <v>859</v>
      </c>
      <c r="D4288" t="s">
        <v>114</v>
      </c>
      <c r="E4288" t="s">
        <v>10616</v>
      </c>
      <c r="F4288" t="s">
        <v>10617</v>
      </c>
      <c r="G4288">
        <v>1.051</v>
      </c>
      <c r="H4288">
        <v>1.051</v>
      </c>
      <c r="I4288" t="s">
        <v>269</v>
      </c>
      <c r="J4288" t="s">
        <v>270</v>
      </c>
      <c r="K4288" t="s">
        <v>31</v>
      </c>
      <c r="L4288" t="s">
        <v>32</v>
      </c>
      <c r="M4288" t="s">
        <v>33</v>
      </c>
      <c r="P4288" s="1" t="s">
        <v>14777</v>
      </c>
      <c r="Q4288" s="1" t="s">
        <v>10616</v>
      </c>
      <c r="R4288" s="1" t="s">
        <v>10616</v>
      </c>
      <c r="S4288" s="1"/>
      <c r="T4288" s="1" t="s">
        <v>859</v>
      </c>
      <c r="U4288" s="1"/>
      <c r="V4288" s="1">
        <v>1.051</v>
      </c>
      <c r="W4288" s="1">
        <v>1.051</v>
      </c>
      <c r="X4288" s="1" t="s">
        <v>35</v>
      </c>
      <c r="Y4288" s="1">
        <v>1051000.0</v>
      </c>
      <c r="Z4288" s="1"/>
      <c r="AA4288" s="1">
        <v>1051000.0</v>
      </c>
      <c r="AB4288" s="1"/>
      <c r="AC4288" s="1" t="s">
        <v>36</v>
      </c>
      <c r="AD4288" s="1" t="s">
        <v>14778</v>
      </c>
      <c r="AE4288" s="1" t="s">
        <v>32</v>
      </c>
      <c r="AF4288" s="1" t="s">
        <v>33</v>
      </c>
      <c r="AG4288" s="1" t="s">
        <v>270</v>
      </c>
    </row>
    <row r="4289" spans="1:33">
      <c r="A4289" t="s">
        <v>14779</v>
      </c>
      <c r="C4289" t="s">
        <v>932</v>
      </c>
      <c r="E4289" t="s">
        <v>10616</v>
      </c>
      <c r="F4289" t="s">
        <v>10617</v>
      </c>
      <c r="G4289">
        <v>61.5</v>
      </c>
      <c r="H4289">
        <v>61.5</v>
      </c>
      <c r="I4289" t="s">
        <v>227</v>
      </c>
      <c r="J4289" t="s">
        <v>228</v>
      </c>
      <c r="K4289" t="s">
        <v>31</v>
      </c>
      <c r="L4289" t="s">
        <v>32</v>
      </c>
      <c r="M4289" t="s">
        <v>33</v>
      </c>
      <c r="P4289" s="1" t="s">
        <v>14780</v>
      </c>
      <c r="Q4289" s="1" t="s">
        <v>10616</v>
      </c>
      <c r="R4289" s="1" t="s">
        <v>10616</v>
      </c>
      <c r="S4289" s="1"/>
      <c r="T4289" s="1" t="s">
        <v>932</v>
      </c>
      <c r="U4289" s="1"/>
      <c r="V4289" s="1">
        <v>61.5</v>
      </c>
      <c r="W4289" s="1">
        <v>61.5</v>
      </c>
      <c r="X4289" s="1" t="s">
        <v>35</v>
      </c>
      <c r="Y4289" s="1">
        <v>61500.0</v>
      </c>
      <c r="Z4289" s="1"/>
      <c r="AA4289" s="1">
        <v>61500.0</v>
      </c>
      <c r="AB4289" s="1"/>
      <c r="AC4289" s="1" t="s">
        <v>36</v>
      </c>
      <c r="AD4289" s="1" t="s">
        <v>14781</v>
      </c>
      <c r="AE4289" s="1" t="s">
        <v>32</v>
      </c>
      <c r="AF4289" s="1" t="s">
        <v>33</v>
      </c>
      <c r="AG4289" s="1" t="s">
        <v>228</v>
      </c>
    </row>
    <row r="4290" spans="1:33">
      <c r="A4290" t="s">
        <v>14782</v>
      </c>
      <c r="C4290" t="s">
        <v>1087</v>
      </c>
      <c r="E4290" t="s">
        <v>10616</v>
      </c>
      <c r="F4290" t="s">
        <v>10617</v>
      </c>
      <c r="G4290">
        <v>656.0</v>
      </c>
      <c r="H4290">
        <v>656.0</v>
      </c>
      <c r="I4290" t="s">
        <v>269</v>
      </c>
      <c r="J4290" t="s">
        <v>270</v>
      </c>
      <c r="K4290" t="s">
        <v>31</v>
      </c>
      <c r="L4290" t="s">
        <v>32</v>
      </c>
      <c r="M4290" t="s">
        <v>33</v>
      </c>
      <c r="P4290" s="1" t="s">
        <v>14783</v>
      </c>
      <c r="Q4290" s="1" t="s">
        <v>10616</v>
      </c>
      <c r="R4290" s="1" t="s">
        <v>10616</v>
      </c>
      <c r="S4290" s="1"/>
      <c r="T4290" s="1" t="s">
        <v>1087</v>
      </c>
      <c r="U4290" s="1"/>
      <c r="V4290" s="1">
        <v>656.0</v>
      </c>
      <c r="W4290" s="1">
        <v>656.0</v>
      </c>
      <c r="X4290" s="1" t="s">
        <v>35</v>
      </c>
      <c r="Y4290" s="1">
        <v>656000.0</v>
      </c>
      <c r="Z4290" s="1"/>
      <c r="AA4290" s="1">
        <v>656000.0</v>
      </c>
      <c r="AB4290" s="1"/>
      <c r="AC4290" s="1" t="s">
        <v>36</v>
      </c>
      <c r="AD4290" s="1" t="s">
        <v>14784</v>
      </c>
      <c r="AE4290" s="1" t="s">
        <v>32</v>
      </c>
      <c r="AF4290" s="1" t="s">
        <v>33</v>
      </c>
      <c r="AG4290" s="1" t="s">
        <v>270</v>
      </c>
    </row>
    <row r="4291" spans="1:33">
      <c r="A4291" t="s">
        <v>14785</v>
      </c>
      <c r="B4291" t="s">
        <v>4040</v>
      </c>
      <c r="C4291" t="s">
        <v>4041</v>
      </c>
      <c r="E4291" t="s">
        <v>10616</v>
      </c>
      <c r="F4291" t="s">
        <v>10617</v>
      </c>
      <c r="G4291">
        <v>17.645</v>
      </c>
      <c r="H4291">
        <v>17.645</v>
      </c>
      <c r="I4291" t="s">
        <v>59</v>
      </c>
      <c r="J4291" t="s">
        <v>60</v>
      </c>
      <c r="K4291" t="s">
        <v>31</v>
      </c>
      <c r="L4291" t="s">
        <v>32</v>
      </c>
      <c r="M4291" t="s">
        <v>33</v>
      </c>
      <c r="P4291" s="1" t="s">
        <v>14786</v>
      </c>
      <c r="Q4291" s="1" t="s">
        <v>10616</v>
      </c>
      <c r="R4291" s="1" t="s">
        <v>10616</v>
      </c>
      <c r="S4291" s="1"/>
      <c r="T4291" s="1" t="s">
        <v>4041</v>
      </c>
      <c r="U4291" s="1"/>
      <c r="V4291" s="1">
        <v>17.645</v>
      </c>
      <c r="W4291" s="1">
        <v>17.645</v>
      </c>
      <c r="X4291" s="1" t="s">
        <v>35</v>
      </c>
      <c r="Y4291" s="1">
        <v>17645.0</v>
      </c>
      <c r="Z4291" s="1"/>
      <c r="AA4291" s="1">
        <v>17645.0</v>
      </c>
      <c r="AB4291" s="1"/>
      <c r="AC4291" s="1" t="s">
        <v>36</v>
      </c>
      <c r="AD4291" s="1" t="s">
        <v>14787</v>
      </c>
      <c r="AE4291" s="1" t="s">
        <v>32</v>
      </c>
      <c r="AF4291" s="1" t="s">
        <v>33</v>
      </c>
      <c r="AG4291" s="1" t="s">
        <v>60</v>
      </c>
    </row>
    <row r="4292" spans="1:33">
      <c r="A4292" t="s">
        <v>14788</v>
      </c>
      <c r="B4292" t="s">
        <v>1768</v>
      </c>
      <c r="C4292" t="s">
        <v>314</v>
      </c>
      <c r="E4292" t="s">
        <v>10616</v>
      </c>
      <c r="F4292" t="s">
        <v>10617</v>
      </c>
      <c r="G4292">
        <v>55.77</v>
      </c>
      <c r="H4292">
        <v>55.77</v>
      </c>
      <c r="I4292" t="s">
        <v>179</v>
      </c>
      <c r="J4292" t="s">
        <v>180</v>
      </c>
      <c r="K4292" t="s">
        <v>31</v>
      </c>
      <c r="L4292" t="s">
        <v>32</v>
      </c>
      <c r="M4292" t="s">
        <v>33</v>
      </c>
      <c r="P4292" s="1" t="s">
        <v>14789</v>
      </c>
      <c r="Q4292" s="1" t="s">
        <v>10616</v>
      </c>
      <c r="R4292" s="1" t="s">
        <v>10616</v>
      </c>
      <c r="S4292" s="1"/>
      <c r="T4292" s="1" t="s">
        <v>314</v>
      </c>
      <c r="U4292" s="1"/>
      <c r="V4292" s="1">
        <v>55.77</v>
      </c>
      <c r="W4292" s="1">
        <v>55.77</v>
      </c>
      <c r="X4292" s="1" t="s">
        <v>35</v>
      </c>
      <c r="Y4292" s="1">
        <v>55770.0</v>
      </c>
      <c r="Z4292" s="1"/>
      <c r="AA4292" s="1">
        <v>55770.0</v>
      </c>
      <c r="AB4292" s="1"/>
      <c r="AC4292" s="1" t="s">
        <v>36</v>
      </c>
      <c r="AD4292" s="1" t="s">
        <v>14790</v>
      </c>
      <c r="AE4292" s="1" t="s">
        <v>32</v>
      </c>
      <c r="AF4292" s="1" t="s">
        <v>33</v>
      </c>
      <c r="AG4292" s="1" t="s">
        <v>180</v>
      </c>
    </row>
    <row r="4293" spans="1:33">
      <c r="A4293" t="s">
        <v>14791</v>
      </c>
      <c r="B4293" t="s">
        <v>14792</v>
      </c>
      <c r="C4293" t="s">
        <v>47</v>
      </c>
      <c r="E4293" t="s">
        <v>10616</v>
      </c>
      <c r="F4293" t="s">
        <v>10617</v>
      </c>
      <c r="G4293">
        <v>100.81</v>
      </c>
      <c r="H4293">
        <v>100.81</v>
      </c>
      <c r="I4293" t="s">
        <v>2206</v>
      </c>
      <c r="J4293" t="s">
        <v>49</v>
      </c>
      <c r="K4293" t="s">
        <v>31</v>
      </c>
      <c r="L4293" t="s">
        <v>32</v>
      </c>
      <c r="M4293" t="s">
        <v>33</v>
      </c>
      <c r="P4293" s="1" t="s">
        <v>14793</v>
      </c>
      <c r="Q4293" s="1" t="s">
        <v>10616</v>
      </c>
      <c r="R4293" s="1" t="s">
        <v>10616</v>
      </c>
      <c r="S4293" s="1"/>
      <c r="T4293" s="1" t="s">
        <v>47</v>
      </c>
      <c r="U4293" s="1"/>
      <c r="V4293" s="1">
        <v>100.81</v>
      </c>
      <c r="W4293" s="1">
        <v>100.81</v>
      </c>
      <c r="X4293" s="1" t="s">
        <v>35</v>
      </c>
      <c r="Y4293" s="1">
        <v>100810.0</v>
      </c>
      <c r="Z4293" s="1"/>
      <c r="AA4293" s="1">
        <v>100810.0</v>
      </c>
      <c r="AB4293" s="1"/>
      <c r="AC4293" s="1" t="s">
        <v>36</v>
      </c>
      <c r="AD4293" s="1" t="s">
        <v>14794</v>
      </c>
      <c r="AE4293" s="1" t="s">
        <v>32</v>
      </c>
      <c r="AF4293" s="1" t="s">
        <v>33</v>
      </c>
      <c r="AG4293" s="1" t="s">
        <v>49</v>
      </c>
    </row>
    <row r="4294" spans="1:33">
      <c r="A4294" t="s">
        <v>14795</v>
      </c>
      <c r="C4294" t="s">
        <v>4575</v>
      </c>
      <c r="E4294" t="s">
        <v>10616</v>
      </c>
      <c r="F4294" t="s">
        <v>10617</v>
      </c>
      <c r="G4294">
        <v>3.176</v>
      </c>
      <c r="H4294">
        <v>3.176</v>
      </c>
      <c r="I4294" t="s">
        <v>2206</v>
      </c>
      <c r="J4294" t="s">
        <v>49</v>
      </c>
      <c r="K4294" t="s">
        <v>31</v>
      </c>
      <c r="L4294" t="s">
        <v>32</v>
      </c>
      <c r="M4294" t="s">
        <v>33</v>
      </c>
      <c r="P4294" s="1" t="s">
        <v>14796</v>
      </c>
      <c r="Q4294" s="1" t="s">
        <v>10616</v>
      </c>
      <c r="R4294" s="1" t="s">
        <v>10616</v>
      </c>
      <c r="S4294" s="1"/>
      <c r="T4294" s="1" t="s">
        <v>4575</v>
      </c>
      <c r="U4294" s="1"/>
      <c r="V4294" s="1">
        <v>3.176</v>
      </c>
      <c r="W4294" s="1">
        <v>3.176</v>
      </c>
      <c r="X4294" s="1" t="s">
        <v>35</v>
      </c>
      <c r="Y4294" s="1">
        <v>3176250.0</v>
      </c>
      <c r="Z4294" s="1"/>
      <c r="AA4294" s="1">
        <v>3176250.0</v>
      </c>
      <c r="AB4294" s="1"/>
      <c r="AC4294" s="1" t="s">
        <v>36</v>
      </c>
      <c r="AD4294" s="1" t="s">
        <v>14797</v>
      </c>
      <c r="AE4294" s="1" t="s">
        <v>32</v>
      </c>
      <c r="AF4294" s="1" t="s">
        <v>33</v>
      </c>
      <c r="AG4294" s="1" t="s">
        <v>49</v>
      </c>
    </row>
    <row r="4295" spans="1:33">
      <c r="A4295" t="s">
        <v>14798</v>
      </c>
      <c r="B4295" t="s">
        <v>14799</v>
      </c>
      <c r="C4295" t="s">
        <v>47</v>
      </c>
      <c r="E4295" t="s">
        <v>10616</v>
      </c>
      <c r="F4295" t="s">
        <v>10617</v>
      </c>
      <c r="G4295">
        <v>21.99</v>
      </c>
      <c r="H4295">
        <v>21.99</v>
      </c>
      <c r="I4295" t="s">
        <v>2206</v>
      </c>
      <c r="J4295" t="s">
        <v>49</v>
      </c>
      <c r="K4295" t="s">
        <v>31</v>
      </c>
      <c r="L4295" t="s">
        <v>32</v>
      </c>
      <c r="M4295" t="s">
        <v>33</v>
      </c>
      <c r="P4295" s="1" t="s">
        <v>14800</v>
      </c>
      <c r="Q4295" s="1" t="s">
        <v>10616</v>
      </c>
      <c r="R4295" s="1" t="s">
        <v>10616</v>
      </c>
      <c r="S4295" s="1"/>
      <c r="T4295" s="1" t="s">
        <v>47</v>
      </c>
      <c r="U4295" s="1"/>
      <c r="V4295" s="1">
        <v>21.99</v>
      </c>
      <c r="W4295" s="1">
        <v>21.99</v>
      </c>
      <c r="X4295" s="1" t="s">
        <v>35</v>
      </c>
      <c r="Y4295" s="1">
        <v>21990.0</v>
      </c>
      <c r="Z4295" s="1"/>
      <c r="AA4295" s="1">
        <v>21990.0</v>
      </c>
      <c r="AB4295" s="1"/>
      <c r="AC4295" s="1" t="s">
        <v>36</v>
      </c>
      <c r="AD4295" s="1" t="s">
        <v>14801</v>
      </c>
      <c r="AE4295" s="1" t="s">
        <v>32</v>
      </c>
      <c r="AF4295" s="1" t="s">
        <v>33</v>
      </c>
      <c r="AG4295" s="1" t="s">
        <v>49</v>
      </c>
    </row>
    <row r="4296" spans="1:33">
      <c r="A4296" t="s">
        <v>14802</v>
      </c>
      <c r="B4296" t="s">
        <v>891</v>
      </c>
      <c r="C4296" t="s">
        <v>892</v>
      </c>
      <c r="E4296" t="s">
        <v>14225</v>
      </c>
      <c r="F4296" t="s">
        <v>14226</v>
      </c>
      <c r="G4296">
        <v>101.75</v>
      </c>
      <c r="H4296">
        <v>101.75</v>
      </c>
      <c r="I4296" t="s">
        <v>29</v>
      </c>
      <c r="J4296" t="s">
        <v>30</v>
      </c>
      <c r="K4296" t="s">
        <v>31</v>
      </c>
      <c r="L4296" t="s">
        <v>32</v>
      </c>
      <c r="M4296" t="s">
        <v>33</v>
      </c>
      <c r="P4296" s="1" t="s">
        <v>14803</v>
      </c>
      <c r="Q4296" s="1" t="s">
        <v>14225</v>
      </c>
      <c r="R4296" s="1" t="s">
        <v>14225</v>
      </c>
      <c r="S4296" s="1"/>
      <c r="T4296" s="1" t="s">
        <v>894</v>
      </c>
      <c r="U4296" s="1" t="s">
        <v>154</v>
      </c>
      <c r="V4296" s="1">
        <v>101.75</v>
      </c>
      <c r="W4296" s="1">
        <v>101.75</v>
      </c>
      <c r="X4296" s="1" t="s">
        <v>35</v>
      </c>
      <c r="Y4296" s="1">
        <v>101750.0</v>
      </c>
      <c r="Z4296" s="1"/>
      <c r="AA4296" s="1">
        <v>99000.0</v>
      </c>
      <c r="AB4296" s="1">
        <v>2750</v>
      </c>
      <c r="AC4296" s="1" t="s">
        <v>36</v>
      </c>
      <c r="AD4296" s="1" t="s">
        <v>12450</v>
      </c>
      <c r="AE4296" s="1" t="s">
        <v>32</v>
      </c>
      <c r="AF4296" s="1" t="s">
        <v>33</v>
      </c>
      <c r="AG4296" s="1" t="s">
        <v>30</v>
      </c>
    </row>
    <row r="4297" spans="1:33">
      <c r="A4297" t="s">
        <v>14804</v>
      </c>
      <c r="C4297" t="s">
        <v>14145</v>
      </c>
      <c r="E4297" t="s">
        <v>14225</v>
      </c>
      <c r="F4297" t="s">
        <v>14226</v>
      </c>
      <c r="G4297">
        <v>200.0</v>
      </c>
      <c r="H4297">
        <v>200.0</v>
      </c>
      <c r="I4297" t="s">
        <v>126</v>
      </c>
      <c r="J4297" t="s">
        <v>127</v>
      </c>
      <c r="K4297" t="s">
        <v>31</v>
      </c>
      <c r="L4297" t="s">
        <v>32</v>
      </c>
      <c r="M4297" t="s">
        <v>33</v>
      </c>
      <c r="P4297" s="1" t="s">
        <v>14805</v>
      </c>
      <c r="Q4297" s="1" t="s">
        <v>14225</v>
      </c>
      <c r="R4297" s="1" t="s">
        <v>14225</v>
      </c>
      <c r="S4297" s="1"/>
      <c r="T4297" s="1" t="s">
        <v>14145</v>
      </c>
      <c r="U4297" s="1"/>
      <c r="V4297" s="1">
        <v>200.0</v>
      </c>
      <c r="W4297" s="1">
        <v>200.0</v>
      </c>
      <c r="X4297" s="1" t="s">
        <v>35</v>
      </c>
      <c r="Y4297" s="1">
        <v>200000.0</v>
      </c>
      <c r="Z4297" s="1"/>
      <c r="AA4297" s="1">
        <v>200000.0</v>
      </c>
      <c r="AB4297" s="1"/>
      <c r="AC4297" s="1" t="s">
        <v>36</v>
      </c>
      <c r="AD4297" s="1" t="s">
        <v>14806</v>
      </c>
      <c r="AE4297" s="1" t="s">
        <v>32</v>
      </c>
      <c r="AF4297" s="1" t="s">
        <v>33</v>
      </c>
      <c r="AG4297" s="1" t="s">
        <v>127</v>
      </c>
    </row>
    <row r="4298" spans="1:33">
      <c r="A4298" t="s">
        <v>14807</v>
      </c>
      <c r="C4298" t="s">
        <v>6216</v>
      </c>
      <c r="E4298" t="s">
        <v>14225</v>
      </c>
      <c r="F4298" t="s">
        <v>14226</v>
      </c>
      <c r="G4298">
        <v>494.25</v>
      </c>
      <c r="H4298">
        <v>494.25</v>
      </c>
      <c r="I4298" t="s">
        <v>136</v>
      </c>
      <c r="J4298" t="s">
        <v>137</v>
      </c>
      <c r="K4298" t="s">
        <v>31</v>
      </c>
      <c r="L4298" t="s">
        <v>32</v>
      </c>
      <c r="M4298" t="s">
        <v>33</v>
      </c>
      <c r="P4298" s="1" t="s">
        <v>14808</v>
      </c>
      <c r="Q4298" s="1" t="s">
        <v>14225</v>
      </c>
      <c r="R4298" s="1" t="s">
        <v>14225</v>
      </c>
      <c r="S4298" s="1"/>
      <c r="T4298" s="1" t="s">
        <v>6216</v>
      </c>
      <c r="U4298" s="1"/>
      <c r="V4298" s="1">
        <v>494.25</v>
      </c>
      <c r="W4298" s="1">
        <v>494.25</v>
      </c>
      <c r="X4298" s="1" t="s">
        <v>35</v>
      </c>
      <c r="Y4298" s="1">
        <v>494250.0</v>
      </c>
      <c r="Z4298" s="1"/>
      <c r="AA4298" s="1">
        <v>494250.0</v>
      </c>
      <c r="AB4298" s="1"/>
      <c r="AC4298" s="1" t="s">
        <v>36</v>
      </c>
      <c r="AD4298" s="1" t="s">
        <v>14809</v>
      </c>
      <c r="AE4298" s="1" t="s">
        <v>32</v>
      </c>
      <c r="AF4298" s="1" t="s">
        <v>33</v>
      </c>
      <c r="AG4298" s="1" t="s">
        <v>137</v>
      </c>
    </row>
    <row r="4299" spans="1:33">
      <c r="A4299" t="s">
        <v>14810</v>
      </c>
      <c r="C4299" t="s">
        <v>6813</v>
      </c>
      <c r="E4299" t="s">
        <v>14225</v>
      </c>
      <c r="F4299" t="s">
        <v>14226</v>
      </c>
      <c r="G4299">
        <v>352.0</v>
      </c>
      <c r="H4299">
        <v>352.0</v>
      </c>
      <c r="I4299" t="s">
        <v>179</v>
      </c>
      <c r="J4299" t="s">
        <v>180</v>
      </c>
      <c r="K4299" t="s">
        <v>31</v>
      </c>
      <c r="L4299" t="s">
        <v>32</v>
      </c>
      <c r="M4299" t="s">
        <v>33</v>
      </c>
      <c r="P4299" s="1" t="s">
        <v>14811</v>
      </c>
      <c r="Q4299" s="1" t="s">
        <v>14225</v>
      </c>
      <c r="R4299" s="1" t="s">
        <v>14225</v>
      </c>
      <c r="S4299" s="1"/>
      <c r="T4299" s="1" t="s">
        <v>6813</v>
      </c>
      <c r="U4299" s="1"/>
      <c r="V4299" s="1">
        <v>352.0</v>
      </c>
      <c r="W4299" s="1">
        <v>352.0</v>
      </c>
      <c r="X4299" s="1" t="s">
        <v>35</v>
      </c>
      <c r="Y4299" s="1">
        <v>352000.0</v>
      </c>
      <c r="Z4299" s="1"/>
      <c r="AA4299" s="1">
        <v>352000.0</v>
      </c>
      <c r="AB4299" s="1"/>
      <c r="AC4299" s="1" t="s">
        <v>36</v>
      </c>
      <c r="AD4299" s="1" t="s">
        <v>14812</v>
      </c>
      <c r="AE4299" s="1" t="s">
        <v>32</v>
      </c>
      <c r="AF4299" s="1" t="s">
        <v>33</v>
      </c>
      <c r="AG4299" s="1" t="s">
        <v>180</v>
      </c>
    </row>
    <row r="4300" spans="1:33">
      <c r="A4300" t="s">
        <v>14813</v>
      </c>
      <c r="B4300" t="s">
        <v>14814</v>
      </c>
      <c r="C4300" t="s">
        <v>5652</v>
      </c>
      <c r="E4300" t="s">
        <v>14225</v>
      </c>
      <c r="F4300" t="s">
        <v>14226</v>
      </c>
      <c r="G4300">
        <v>17.5</v>
      </c>
      <c r="H4300">
        <v>17.5</v>
      </c>
      <c r="I4300" t="s">
        <v>469</v>
      </c>
      <c r="J4300" t="s">
        <v>470</v>
      </c>
      <c r="K4300" t="s">
        <v>31</v>
      </c>
      <c r="L4300" t="s">
        <v>32</v>
      </c>
      <c r="M4300" t="s">
        <v>33</v>
      </c>
      <c r="P4300" s="1" t="s">
        <v>14815</v>
      </c>
      <c r="Q4300" s="1" t="s">
        <v>14225</v>
      </c>
      <c r="R4300" s="1" t="s">
        <v>10616</v>
      </c>
      <c r="S4300" s="1"/>
      <c r="T4300" s="1" t="s">
        <v>5654</v>
      </c>
      <c r="U4300" s="1" t="s">
        <v>5655</v>
      </c>
      <c r="V4300" s="1">
        <v>17.5</v>
      </c>
      <c r="W4300" s="1">
        <v>17.5</v>
      </c>
      <c r="X4300" s="1" t="s">
        <v>35</v>
      </c>
      <c r="Y4300" s="1">
        <v>17500.0</v>
      </c>
      <c r="Z4300" s="1"/>
      <c r="AA4300" s="1">
        <v>17500.0</v>
      </c>
      <c r="AB4300" s="1"/>
      <c r="AC4300" s="1" t="s">
        <v>36</v>
      </c>
      <c r="AD4300" s="1" t="s">
        <v>14816</v>
      </c>
      <c r="AE4300" s="1" t="s">
        <v>32</v>
      </c>
      <c r="AF4300" s="1" t="s">
        <v>33</v>
      </c>
      <c r="AG4300" s="1" t="s">
        <v>470</v>
      </c>
    </row>
    <row r="4301" spans="1:33">
      <c r="A4301" t="s">
        <v>14817</v>
      </c>
      <c r="C4301" t="s">
        <v>981</v>
      </c>
      <c r="E4301" t="s">
        <v>14225</v>
      </c>
      <c r="F4301" t="s">
        <v>14226</v>
      </c>
      <c r="G4301">
        <v>731.0</v>
      </c>
      <c r="H4301">
        <v>731.0</v>
      </c>
      <c r="I4301" t="s">
        <v>847</v>
      </c>
      <c r="J4301" t="s">
        <v>848</v>
      </c>
      <c r="K4301" t="s">
        <v>31</v>
      </c>
      <c r="L4301" t="s">
        <v>32</v>
      </c>
      <c r="M4301" t="s">
        <v>33</v>
      </c>
      <c r="P4301" s="1" t="s">
        <v>14818</v>
      </c>
      <c r="Q4301" s="1" t="s">
        <v>14225</v>
      </c>
      <c r="R4301" s="1" t="s">
        <v>14225</v>
      </c>
      <c r="S4301" s="1"/>
      <c r="T4301" s="1" t="s">
        <v>981</v>
      </c>
      <c r="U4301" s="1"/>
      <c r="V4301" s="1">
        <v>731.0</v>
      </c>
      <c r="W4301" s="1">
        <v>731.0</v>
      </c>
      <c r="X4301" s="1" t="s">
        <v>35</v>
      </c>
      <c r="Y4301" s="1">
        <v>731000.0</v>
      </c>
      <c r="Z4301" s="1"/>
      <c r="AA4301" s="1">
        <v>731000.0</v>
      </c>
      <c r="AB4301" s="1"/>
      <c r="AC4301" s="1" t="s">
        <v>36</v>
      </c>
      <c r="AD4301" s="1" t="s">
        <v>14819</v>
      </c>
      <c r="AE4301" s="1" t="s">
        <v>32</v>
      </c>
      <c r="AF4301" s="1" t="s">
        <v>33</v>
      </c>
      <c r="AG4301" s="1" t="s">
        <v>848</v>
      </c>
    </row>
    <row r="4302" spans="1:33">
      <c r="A4302" t="s">
        <v>14820</v>
      </c>
      <c r="B4302" t="s">
        <v>14821</v>
      </c>
      <c r="C4302" t="s">
        <v>26</v>
      </c>
      <c r="E4302" t="s">
        <v>14225</v>
      </c>
      <c r="F4302" t="s">
        <v>14226</v>
      </c>
      <c r="G4302">
        <v>5.997</v>
      </c>
      <c r="H4302">
        <v>5.997</v>
      </c>
      <c r="I4302" t="s">
        <v>29</v>
      </c>
      <c r="J4302" t="s">
        <v>30</v>
      </c>
      <c r="K4302" t="s">
        <v>31</v>
      </c>
      <c r="L4302" t="s">
        <v>32</v>
      </c>
      <c r="M4302" t="s">
        <v>33</v>
      </c>
      <c r="P4302" s="1" t="s">
        <v>14822</v>
      </c>
      <c r="Q4302" s="1" t="s">
        <v>14225</v>
      </c>
      <c r="R4302" s="1" t="s">
        <v>14225</v>
      </c>
      <c r="S4302" s="1"/>
      <c r="T4302" s="1" t="s">
        <v>26</v>
      </c>
      <c r="U4302" s="1"/>
      <c r="V4302" s="1">
        <v>5.997</v>
      </c>
      <c r="W4302" s="1">
        <v>5.997</v>
      </c>
      <c r="X4302" s="1" t="s">
        <v>35</v>
      </c>
      <c r="Y4302" s="1">
        <v>5997.0</v>
      </c>
      <c r="Z4302" s="1"/>
      <c r="AA4302" s="1">
        <v>5997.0</v>
      </c>
      <c r="AB4302" s="1"/>
      <c r="AC4302" s="1" t="s">
        <v>36</v>
      </c>
      <c r="AD4302" s="1" t="s">
        <v>14823</v>
      </c>
      <c r="AE4302" s="1" t="s">
        <v>32</v>
      </c>
      <c r="AF4302" s="1" t="s">
        <v>33</v>
      </c>
      <c r="AG4302" s="1" t="s">
        <v>30</v>
      </c>
    </row>
    <row r="4303" spans="1:33">
      <c r="A4303" t="s">
        <v>14824</v>
      </c>
      <c r="B4303" t="s">
        <v>14825</v>
      </c>
      <c r="C4303" t="s">
        <v>26</v>
      </c>
      <c r="E4303" t="s">
        <v>14225</v>
      </c>
      <c r="F4303" t="s">
        <v>14226</v>
      </c>
      <c r="G4303">
        <v>6.0</v>
      </c>
      <c r="H4303">
        <v>6.0</v>
      </c>
      <c r="I4303" t="s">
        <v>29</v>
      </c>
      <c r="J4303" t="s">
        <v>30</v>
      </c>
      <c r="K4303" t="s">
        <v>31</v>
      </c>
      <c r="L4303" t="s">
        <v>32</v>
      </c>
      <c r="M4303" t="s">
        <v>33</v>
      </c>
      <c r="P4303" s="1" t="s">
        <v>14826</v>
      </c>
      <c r="Q4303" s="1" t="s">
        <v>14225</v>
      </c>
      <c r="R4303" s="1" t="s">
        <v>14225</v>
      </c>
      <c r="S4303" s="1"/>
      <c r="T4303" s="1" t="s">
        <v>26</v>
      </c>
      <c r="U4303" s="1"/>
      <c r="V4303" s="1">
        <v>6.0</v>
      </c>
      <c r="W4303" s="1">
        <v>6.0</v>
      </c>
      <c r="X4303" s="1" t="s">
        <v>35</v>
      </c>
      <c r="Y4303" s="1">
        <v>6222.0</v>
      </c>
      <c r="Z4303" s="1">
        <v>-222</v>
      </c>
      <c r="AA4303" s="1">
        <v>6222.0</v>
      </c>
      <c r="AB4303" s="1">
        <v>-222</v>
      </c>
      <c r="AC4303" s="1" t="s">
        <v>36</v>
      </c>
      <c r="AD4303" s="1" t="s">
        <v>14827</v>
      </c>
      <c r="AE4303" s="1" t="s">
        <v>32</v>
      </c>
      <c r="AF4303" s="1" t="s">
        <v>33</v>
      </c>
      <c r="AG4303" s="1" t="s">
        <v>30</v>
      </c>
    </row>
    <row r="4304" spans="1:33">
      <c r="A4304" t="s">
        <v>14828</v>
      </c>
      <c r="B4304" t="s">
        <v>14829</v>
      </c>
      <c r="C4304" t="s">
        <v>892</v>
      </c>
      <c r="E4304" t="s">
        <v>14225</v>
      </c>
      <c r="F4304" t="s">
        <v>14226</v>
      </c>
      <c r="G4304">
        <v>2.425</v>
      </c>
      <c r="H4304">
        <v>2.425</v>
      </c>
      <c r="I4304" t="s">
        <v>29</v>
      </c>
      <c r="J4304" t="s">
        <v>30</v>
      </c>
      <c r="K4304" t="s">
        <v>31</v>
      </c>
      <c r="L4304" t="s">
        <v>32</v>
      </c>
      <c r="M4304" t="s">
        <v>33</v>
      </c>
      <c r="P4304" s="1" t="s">
        <v>14830</v>
      </c>
      <c r="Q4304" s="1" t="s">
        <v>14225</v>
      </c>
      <c r="R4304" s="1" t="s">
        <v>14225</v>
      </c>
      <c r="S4304" s="1"/>
      <c r="T4304" s="1" t="s">
        <v>894</v>
      </c>
      <c r="U4304" s="1" t="s">
        <v>154</v>
      </c>
      <c r="V4304" s="1">
        <v>2.425</v>
      </c>
      <c r="W4304" s="1">
        <v>2.425</v>
      </c>
      <c r="X4304" s="1" t="s">
        <v>35</v>
      </c>
      <c r="Y4304" s="1">
        <v>2427950.0</v>
      </c>
      <c r="Z4304" s="1">
        <v>-2750</v>
      </c>
      <c r="AA4304" s="1">
        <v>2427950.0</v>
      </c>
      <c r="AB4304" s="1">
        <v>-2750</v>
      </c>
      <c r="AC4304" s="1" t="s">
        <v>36</v>
      </c>
      <c r="AD4304" s="1" t="s">
        <v>14831</v>
      </c>
      <c r="AE4304" s="1" t="s">
        <v>32</v>
      </c>
      <c r="AF4304" s="1" t="s">
        <v>33</v>
      </c>
      <c r="AG4304" s="1" t="s">
        <v>30</v>
      </c>
    </row>
    <row r="4305" spans="1:33">
      <c r="A4305" t="s">
        <v>14832</v>
      </c>
      <c r="B4305" t="s">
        <v>14833</v>
      </c>
      <c r="C4305" t="s">
        <v>12240</v>
      </c>
      <c r="E4305" t="s">
        <v>14225</v>
      </c>
      <c r="F4305" t="s">
        <v>14226</v>
      </c>
      <c r="G4305">
        <v>62.05</v>
      </c>
      <c r="H4305">
        <v>62.05</v>
      </c>
      <c r="I4305" t="s">
        <v>136</v>
      </c>
      <c r="J4305" t="s">
        <v>137</v>
      </c>
      <c r="K4305" t="s">
        <v>31</v>
      </c>
      <c r="L4305" t="s">
        <v>32</v>
      </c>
      <c r="M4305" t="s">
        <v>33</v>
      </c>
      <c r="P4305" s="1" t="s">
        <v>14834</v>
      </c>
      <c r="Q4305" s="1" t="s">
        <v>14225</v>
      </c>
      <c r="R4305" s="1" t="s">
        <v>14225</v>
      </c>
      <c r="S4305" s="1"/>
      <c r="T4305" s="1" t="s">
        <v>12240</v>
      </c>
      <c r="U4305" s="1"/>
      <c r="V4305" s="1">
        <v>62.05</v>
      </c>
      <c r="W4305" s="1">
        <v>62.05</v>
      </c>
      <c r="X4305" s="1" t="s">
        <v>35</v>
      </c>
      <c r="Y4305" s="1">
        <v>62050.0</v>
      </c>
      <c r="Z4305" s="1"/>
      <c r="AA4305" s="1">
        <v>62050.0</v>
      </c>
      <c r="AB4305" s="1"/>
      <c r="AC4305" s="1" t="s">
        <v>36</v>
      </c>
      <c r="AD4305" s="1" t="s">
        <v>14835</v>
      </c>
      <c r="AE4305" s="1" t="s">
        <v>32</v>
      </c>
      <c r="AF4305" s="1" t="s">
        <v>33</v>
      </c>
      <c r="AG4305" s="1" t="s">
        <v>137</v>
      </c>
    </row>
    <row r="4306" spans="1:33">
      <c r="A4306" t="s">
        <v>14836</v>
      </c>
      <c r="B4306" t="s">
        <v>14837</v>
      </c>
      <c r="C4306" t="s">
        <v>68</v>
      </c>
      <c r="E4306" t="s">
        <v>14225</v>
      </c>
      <c r="F4306" t="s">
        <v>14226</v>
      </c>
      <c r="G4306">
        <v>13.429</v>
      </c>
      <c r="H4306">
        <v>13.429</v>
      </c>
      <c r="I4306" t="s">
        <v>59</v>
      </c>
      <c r="J4306" t="s">
        <v>60</v>
      </c>
      <c r="K4306" t="s">
        <v>31</v>
      </c>
      <c r="L4306" t="s">
        <v>32</v>
      </c>
      <c r="M4306" t="s">
        <v>33</v>
      </c>
      <c r="P4306" s="1" t="s">
        <v>14838</v>
      </c>
      <c r="Q4306" s="1" t="s">
        <v>14225</v>
      </c>
      <c r="R4306" s="1" t="s">
        <v>14225</v>
      </c>
      <c r="S4306" s="1"/>
      <c r="T4306" s="1" t="s">
        <v>68</v>
      </c>
      <c r="U4306" s="1"/>
      <c r="V4306" s="1">
        <v>13.429</v>
      </c>
      <c r="W4306" s="1">
        <v>13.429</v>
      </c>
      <c r="X4306" s="1" t="s">
        <v>35</v>
      </c>
      <c r="Y4306" s="1">
        <v>13429.0</v>
      </c>
      <c r="Z4306" s="1"/>
      <c r="AA4306" s="1">
        <v>13429.0</v>
      </c>
      <c r="AB4306" s="1"/>
      <c r="AC4306" s="1" t="s">
        <v>36</v>
      </c>
      <c r="AD4306" s="1" t="s">
        <v>14839</v>
      </c>
      <c r="AE4306" s="1" t="s">
        <v>32</v>
      </c>
      <c r="AF4306" s="1" t="s">
        <v>33</v>
      </c>
      <c r="AG4306" s="1" t="s">
        <v>60</v>
      </c>
    </row>
    <row r="4307" spans="1:33">
      <c r="A4307" t="s">
        <v>14840</v>
      </c>
      <c r="B4307" t="s">
        <v>14841</v>
      </c>
      <c r="C4307" t="s">
        <v>314</v>
      </c>
      <c r="E4307" t="s">
        <v>14225</v>
      </c>
      <c r="F4307" t="s">
        <v>14226</v>
      </c>
      <c r="G4307">
        <v>44.48</v>
      </c>
      <c r="H4307">
        <v>44.48</v>
      </c>
      <c r="I4307" t="s">
        <v>179</v>
      </c>
      <c r="J4307" t="s">
        <v>180</v>
      </c>
      <c r="K4307" t="s">
        <v>31</v>
      </c>
      <c r="L4307" t="s">
        <v>32</v>
      </c>
      <c r="M4307" t="s">
        <v>33</v>
      </c>
      <c r="P4307" s="1" t="s">
        <v>14842</v>
      </c>
      <c r="Q4307" s="1" t="s">
        <v>14225</v>
      </c>
      <c r="R4307" s="1" t="s">
        <v>14225</v>
      </c>
      <c r="S4307" s="1"/>
      <c r="T4307" s="1" t="s">
        <v>314</v>
      </c>
      <c r="U4307" s="1"/>
      <c r="V4307" s="1">
        <v>44.48</v>
      </c>
      <c r="W4307" s="1">
        <v>44.48</v>
      </c>
      <c r="X4307" s="1" t="s">
        <v>35</v>
      </c>
      <c r="Y4307" s="1">
        <v>44480.0</v>
      </c>
      <c r="Z4307" s="1"/>
      <c r="AA4307" s="1">
        <v>44480.0</v>
      </c>
      <c r="AB4307" s="1"/>
      <c r="AC4307" s="1" t="s">
        <v>36</v>
      </c>
      <c r="AD4307" s="1" t="s">
        <v>14843</v>
      </c>
      <c r="AE4307" s="1" t="s">
        <v>32</v>
      </c>
      <c r="AF4307" s="1" t="s">
        <v>33</v>
      </c>
      <c r="AG4307" s="1" t="s">
        <v>180</v>
      </c>
    </row>
    <row r="4308" spans="1:33">
      <c r="A4308" t="s">
        <v>14844</v>
      </c>
      <c r="B4308" t="s">
        <v>14845</v>
      </c>
      <c r="C4308" t="s">
        <v>12240</v>
      </c>
      <c r="E4308" t="s">
        <v>14225</v>
      </c>
      <c r="F4308" t="s">
        <v>14226</v>
      </c>
      <c r="G4308">
        <v>16.9</v>
      </c>
      <c r="H4308">
        <v>16.9</v>
      </c>
      <c r="I4308" t="s">
        <v>136</v>
      </c>
      <c r="J4308" t="s">
        <v>137</v>
      </c>
      <c r="K4308" t="s">
        <v>31</v>
      </c>
      <c r="L4308" t="s">
        <v>32</v>
      </c>
      <c r="M4308" t="s">
        <v>33</v>
      </c>
      <c r="P4308" s="1" t="s">
        <v>14846</v>
      </c>
      <c r="Q4308" s="1" t="s">
        <v>14225</v>
      </c>
      <c r="R4308" s="1" t="s">
        <v>14225</v>
      </c>
      <c r="S4308" s="1"/>
      <c r="T4308" s="1" t="s">
        <v>12240</v>
      </c>
      <c r="U4308" s="1"/>
      <c r="V4308" s="1">
        <v>16.9</v>
      </c>
      <c r="W4308" s="1">
        <v>16.9</v>
      </c>
      <c r="X4308" s="1" t="s">
        <v>35</v>
      </c>
      <c r="Y4308" s="1">
        <v>16900.0</v>
      </c>
      <c r="Z4308" s="1"/>
      <c r="AA4308" s="1">
        <v>16900.0</v>
      </c>
      <c r="AB4308" s="1"/>
      <c r="AC4308" s="1" t="s">
        <v>36</v>
      </c>
      <c r="AD4308" s="1" t="s">
        <v>14847</v>
      </c>
      <c r="AE4308" s="1" t="s">
        <v>32</v>
      </c>
      <c r="AF4308" s="1" t="s">
        <v>33</v>
      </c>
      <c r="AG4308" s="1" t="s">
        <v>137</v>
      </c>
    </row>
    <row r="4309" spans="1:33">
      <c r="A4309" t="s">
        <v>14848</v>
      </c>
      <c r="C4309" t="s">
        <v>1617</v>
      </c>
      <c r="E4309" t="s">
        <v>14225</v>
      </c>
      <c r="F4309" t="s">
        <v>14226</v>
      </c>
      <c r="G4309">
        <v>453.9</v>
      </c>
      <c r="H4309">
        <v>453.9</v>
      </c>
      <c r="I4309" t="s">
        <v>847</v>
      </c>
      <c r="J4309" t="s">
        <v>848</v>
      </c>
      <c r="K4309" t="s">
        <v>31</v>
      </c>
      <c r="L4309" t="s">
        <v>32</v>
      </c>
      <c r="M4309" t="s">
        <v>33</v>
      </c>
      <c r="P4309" s="1" t="s">
        <v>14849</v>
      </c>
      <c r="Q4309" s="1" t="s">
        <v>14225</v>
      </c>
      <c r="R4309" s="1" t="s">
        <v>14225</v>
      </c>
      <c r="S4309" s="1"/>
      <c r="T4309" s="1" t="s">
        <v>1617</v>
      </c>
      <c r="U4309" s="1"/>
      <c r="V4309" s="1">
        <v>453.9</v>
      </c>
      <c r="W4309" s="1">
        <v>453.9</v>
      </c>
      <c r="X4309" s="1" t="s">
        <v>35</v>
      </c>
      <c r="Y4309" s="1">
        <v>453900.0</v>
      </c>
      <c r="Z4309" s="1"/>
      <c r="AA4309" s="1">
        <v>453900.0</v>
      </c>
      <c r="AB4309" s="1"/>
      <c r="AC4309" s="1" t="s">
        <v>36</v>
      </c>
      <c r="AD4309" s="1" t="s">
        <v>14850</v>
      </c>
      <c r="AE4309" s="1" t="s">
        <v>32</v>
      </c>
      <c r="AF4309" s="1" t="s">
        <v>33</v>
      </c>
      <c r="AG4309" s="1" t="s">
        <v>848</v>
      </c>
    </row>
    <row r="4310" spans="1:33">
      <c r="A4310" t="s">
        <v>14851</v>
      </c>
      <c r="C4310" t="s">
        <v>7605</v>
      </c>
      <c r="E4310" t="s">
        <v>14225</v>
      </c>
      <c r="F4310" t="s">
        <v>14226</v>
      </c>
      <c r="G4310">
        <v>540.25</v>
      </c>
      <c r="H4310">
        <v>540.25</v>
      </c>
      <c r="I4310" t="s">
        <v>136</v>
      </c>
      <c r="J4310" t="s">
        <v>137</v>
      </c>
      <c r="K4310" t="s">
        <v>31</v>
      </c>
      <c r="L4310" t="s">
        <v>32</v>
      </c>
      <c r="M4310" t="s">
        <v>33</v>
      </c>
      <c r="P4310" s="1" t="s">
        <v>14852</v>
      </c>
      <c r="Q4310" s="1" t="s">
        <v>14225</v>
      </c>
      <c r="R4310" s="1" t="s">
        <v>14225</v>
      </c>
      <c r="S4310" s="1"/>
      <c r="T4310" s="1" t="s">
        <v>7605</v>
      </c>
      <c r="U4310" s="1"/>
      <c r="V4310" s="1">
        <v>540.25</v>
      </c>
      <c r="W4310" s="1">
        <v>540.25</v>
      </c>
      <c r="X4310" s="1" t="s">
        <v>35</v>
      </c>
      <c r="Y4310" s="1">
        <v>540250.0</v>
      </c>
      <c r="Z4310" s="1"/>
      <c r="AA4310" s="1">
        <v>540250.0</v>
      </c>
      <c r="AB4310" s="1"/>
      <c r="AC4310" s="1" t="s">
        <v>36</v>
      </c>
      <c r="AD4310" s="1" t="s">
        <v>14853</v>
      </c>
      <c r="AE4310" s="1" t="s">
        <v>32</v>
      </c>
      <c r="AF4310" s="1" t="s">
        <v>33</v>
      </c>
      <c r="AG4310" s="1" t="s">
        <v>137</v>
      </c>
    </row>
    <row r="4311" spans="1:33">
      <c r="A4311" t="s">
        <v>14854</v>
      </c>
      <c r="B4311" t="s">
        <v>12541</v>
      </c>
      <c r="C4311" t="s">
        <v>172</v>
      </c>
      <c r="E4311" t="s">
        <v>14225</v>
      </c>
      <c r="F4311" t="s">
        <v>14226</v>
      </c>
      <c r="G4311">
        <v>103.45</v>
      </c>
      <c r="H4311">
        <v>103.45</v>
      </c>
      <c r="I4311" t="s">
        <v>173</v>
      </c>
      <c r="J4311" t="s">
        <v>174</v>
      </c>
      <c r="K4311" t="s">
        <v>31</v>
      </c>
      <c r="L4311" t="s">
        <v>32</v>
      </c>
      <c r="M4311" t="s">
        <v>33</v>
      </c>
      <c r="P4311" s="1" t="s">
        <v>14855</v>
      </c>
      <c r="Q4311" s="1" t="s">
        <v>14225</v>
      </c>
      <c r="R4311" s="1" t="s">
        <v>14225</v>
      </c>
      <c r="S4311" s="1"/>
      <c r="T4311" s="1" t="s">
        <v>172</v>
      </c>
      <c r="U4311" s="1"/>
      <c r="V4311" s="1">
        <v>103.45</v>
      </c>
      <c r="W4311" s="1">
        <v>103.45</v>
      </c>
      <c r="X4311" s="1" t="s">
        <v>35</v>
      </c>
      <c r="Y4311" s="1">
        <v>103450.0</v>
      </c>
      <c r="Z4311" s="1"/>
      <c r="AA4311" s="1">
        <v>103450.0</v>
      </c>
      <c r="AB4311" s="1"/>
      <c r="AC4311" s="1" t="s">
        <v>36</v>
      </c>
      <c r="AD4311" s="1" t="s">
        <v>14856</v>
      </c>
      <c r="AE4311" s="1" t="s">
        <v>32</v>
      </c>
      <c r="AF4311" s="1" t="s">
        <v>33</v>
      </c>
      <c r="AG4311" s="1" t="s">
        <v>174</v>
      </c>
    </row>
    <row r="4312" spans="1:33">
      <c r="A4312" t="s">
        <v>14857</v>
      </c>
      <c r="B4312" t="s">
        <v>14858</v>
      </c>
      <c r="C4312" t="s">
        <v>906</v>
      </c>
      <c r="E4312" t="s">
        <v>14225</v>
      </c>
      <c r="F4312" t="s">
        <v>14226</v>
      </c>
      <c r="G4312">
        <v>40.49</v>
      </c>
      <c r="H4312">
        <v>40.49</v>
      </c>
      <c r="I4312" t="s">
        <v>847</v>
      </c>
      <c r="J4312" t="s">
        <v>848</v>
      </c>
      <c r="K4312" t="s">
        <v>31</v>
      </c>
      <c r="L4312" t="s">
        <v>32</v>
      </c>
      <c r="M4312" t="s">
        <v>33</v>
      </c>
      <c r="P4312" s="1" t="s">
        <v>14859</v>
      </c>
      <c r="Q4312" s="1" t="s">
        <v>14225</v>
      </c>
      <c r="R4312" s="1" t="s">
        <v>14225</v>
      </c>
      <c r="S4312" s="1"/>
      <c r="T4312" s="1" t="s">
        <v>906</v>
      </c>
      <c r="U4312" s="1"/>
      <c r="V4312" s="1">
        <v>40.49</v>
      </c>
      <c r="W4312" s="1">
        <v>40.49</v>
      </c>
      <c r="X4312" s="1" t="s">
        <v>35</v>
      </c>
      <c r="Y4312" s="1">
        <v>40490.0</v>
      </c>
      <c r="Z4312" s="1"/>
      <c r="AA4312" s="1">
        <v>40490.0</v>
      </c>
      <c r="AB4312" s="1"/>
      <c r="AC4312" s="1" t="s">
        <v>36</v>
      </c>
      <c r="AD4312" s="1" t="s">
        <v>14860</v>
      </c>
      <c r="AE4312" s="1" t="s">
        <v>32</v>
      </c>
      <c r="AF4312" s="1" t="s">
        <v>33</v>
      </c>
      <c r="AG4312" s="1" t="s">
        <v>848</v>
      </c>
    </row>
    <row r="4313" spans="1:33">
      <c r="A4313" t="s">
        <v>14861</v>
      </c>
      <c r="C4313" t="s">
        <v>691</v>
      </c>
      <c r="E4313" t="s">
        <v>14225</v>
      </c>
      <c r="F4313" t="s">
        <v>14226</v>
      </c>
      <c r="G4313">
        <v>1.208</v>
      </c>
      <c r="H4313">
        <v>1.208</v>
      </c>
      <c r="I4313" t="s">
        <v>136</v>
      </c>
      <c r="J4313" t="s">
        <v>137</v>
      </c>
      <c r="K4313" t="s">
        <v>31</v>
      </c>
      <c r="L4313" t="s">
        <v>32</v>
      </c>
      <c r="M4313" t="s">
        <v>33</v>
      </c>
      <c r="P4313" s="1" t="s">
        <v>14862</v>
      </c>
      <c r="Q4313" s="1" t="s">
        <v>14225</v>
      </c>
      <c r="R4313" s="1" t="s">
        <v>14225</v>
      </c>
      <c r="S4313" s="1"/>
      <c r="T4313" s="1" t="s">
        <v>691</v>
      </c>
      <c r="U4313" s="1"/>
      <c r="V4313" s="1">
        <v>1.208</v>
      </c>
      <c r="W4313" s="1">
        <v>1.208</v>
      </c>
      <c r="X4313" s="1" t="s">
        <v>35</v>
      </c>
      <c r="Y4313" s="1">
        <v>1208450.0</v>
      </c>
      <c r="Z4313" s="1"/>
      <c r="AA4313" s="1">
        <v>1208450.0</v>
      </c>
      <c r="AB4313" s="1"/>
      <c r="AC4313" s="1" t="s">
        <v>36</v>
      </c>
      <c r="AD4313" s="1" t="s">
        <v>14863</v>
      </c>
      <c r="AE4313" s="1" t="s">
        <v>32</v>
      </c>
      <c r="AF4313" s="1" t="s">
        <v>33</v>
      </c>
      <c r="AG4313" s="1" t="s">
        <v>137</v>
      </c>
    </row>
    <row r="4314" spans="1:33">
      <c r="A4314" t="s">
        <v>14864</v>
      </c>
      <c r="C4314" t="s">
        <v>992</v>
      </c>
      <c r="E4314" t="s">
        <v>14225</v>
      </c>
      <c r="F4314" t="s">
        <v>14226</v>
      </c>
      <c r="G4314">
        <v>941.1</v>
      </c>
      <c r="H4314">
        <v>941.1</v>
      </c>
      <c r="I4314" t="s">
        <v>847</v>
      </c>
      <c r="J4314" t="s">
        <v>848</v>
      </c>
      <c r="K4314" t="s">
        <v>31</v>
      </c>
      <c r="L4314" t="s">
        <v>32</v>
      </c>
      <c r="M4314" t="s">
        <v>33</v>
      </c>
      <c r="P4314" s="1" t="s">
        <v>14865</v>
      </c>
      <c r="Q4314" s="1" t="s">
        <v>14225</v>
      </c>
      <c r="R4314" s="1" t="s">
        <v>14225</v>
      </c>
      <c r="S4314" s="1"/>
      <c r="T4314" s="1" t="s">
        <v>992</v>
      </c>
      <c r="U4314" s="1"/>
      <c r="V4314" s="1">
        <v>941.1</v>
      </c>
      <c r="W4314" s="1">
        <v>941.1</v>
      </c>
      <c r="X4314" s="1" t="s">
        <v>35</v>
      </c>
      <c r="Y4314" s="1">
        <v>941100.0</v>
      </c>
      <c r="Z4314" s="1"/>
      <c r="AA4314" s="1">
        <v>941100.0</v>
      </c>
      <c r="AB4314" s="1"/>
      <c r="AC4314" s="1" t="s">
        <v>36</v>
      </c>
      <c r="AD4314" s="1" t="s">
        <v>14866</v>
      </c>
      <c r="AE4314" s="1" t="s">
        <v>32</v>
      </c>
      <c r="AF4314" s="1" t="s">
        <v>33</v>
      </c>
      <c r="AG4314" s="1" t="s">
        <v>848</v>
      </c>
    </row>
    <row r="4315" spans="1:33">
      <c r="A4315" t="s">
        <v>14867</v>
      </c>
      <c r="C4315" t="s">
        <v>8297</v>
      </c>
      <c r="E4315" t="s">
        <v>14225</v>
      </c>
      <c r="F4315" t="s">
        <v>14226</v>
      </c>
      <c r="G4315">
        <v>328.0</v>
      </c>
      <c r="H4315">
        <v>328.0</v>
      </c>
      <c r="I4315" t="s">
        <v>136</v>
      </c>
      <c r="J4315" t="s">
        <v>137</v>
      </c>
      <c r="K4315" t="s">
        <v>31</v>
      </c>
      <c r="L4315" t="s">
        <v>32</v>
      </c>
      <c r="M4315" t="s">
        <v>33</v>
      </c>
      <c r="P4315" s="1" t="s">
        <v>14868</v>
      </c>
      <c r="Q4315" s="1" t="s">
        <v>14225</v>
      </c>
      <c r="R4315" s="1" t="s">
        <v>14225</v>
      </c>
      <c r="S4315" s="1"/>
      <c r="T4315" s="1" t="s">
        <v>8299</v>
      </c>
      <c r="U4315" s="1" t="s">
        <v>8300</v>
      </c>
      <c r="V4315" s="1">
        <v>328.0</v>
      </c>
      <c r="W4315" s="1">
        <v>328.0</v>
      </c>
      <c r="X4315" s="1" t="s">
        <v>35</v>
      </c>
      <c r="Y4315" s="1">
        <v>328000.0</v>
      </c>
      <c r="Z4315" s="1"/>
      <c r="AA4315" s="1">
        <v>328000.0</v>
      </c>
      <c r="AB4315" s="1"/>
      <c r="AC4315" s="1" t="s">
        <v>36</v>
      </c>
      <c r="AD4315" s="1" t="s">
        <v>14869</v>
      </c>
      <c r="AE4315" s="1" t="s">
        <v>32</v>
      </c>
      <c r="AF4315" s="1" t="s">
        <v>33</v>
      </c>
      <c r="AG4315" s="1" t="s">
        <v>137</v>
      </c>
    </row>
    <row r="4316" spans="1:33">
      <c r="A4316" t="s">
        <v>14870</v>
      </c>
      <c r="B4316" t="s">
        <v>444</v>
      </c>
      <c r="C4316" t="s">
        <v>314</v>
      </c>
      <c r="E4316" t="s">
        <v>14225</v>
      </c>
      <c r="F4316" t="s">
        <v>14226</v>
      </c>
      <c r="G4316">
        <v>37.49</v>
      </c>
      <c r="H4316">
        <v>37.49</v>
      </c>
      <c r="I4316" t="s">
        <v>179</v>
      </c>
      <c r="J4316" t="s">
        <v>180</v>
      </c>
      <c r="K4316" t="s">
        <v>31</v>
      </c>
      <c r="L4316" t="s">
        <v>32</v>
      </c>
      <c r="M4316" t="s">
        <v>33</v>
      </c>
      <c r="P4316" s="1" t="s">
        <v>14871</v>
      </c>
      <c r="Q4316" s="1" t="s">
        <v>14225</v>
      </c>
      <c r="R4316" s="1" t="s">
        <v>14225</v>
      </c>
      <c r="S4316" s="1"/>
      <c r="T4316" s="1" t="s">
        <v>314</v>
      </c>
      <c r="U4316" s="1"/>
      <c r="V4316" s="1">
        <v>37.49</v>
      </c>
      <c r="W4316" s="1">
        <v>37.49</v>
      </c>
      <c r="X4316" s="1" t="s">
        <v>35</v>
      </c>
      <c r="Y4316" s="1">
        <v>37490.0</v>
      </c>
      <c r="Z4316" s="1"/>
      <c r="AA4316" s="1">
        <v>37490.0</v>
      </c>
      <c r="AB4316" s="1"/>
      <c r="AC4316" s="1" t="s">
        <v>36</v>
      </c>
      <c r="AD4316" s="1" t="s">
        <v>14872</v>
      </c>
      <c r="AE4316" s="1" t="s">
        <v>32</v>
      </c>
      <c r="AF4316" s="1" t="s">
        <v>33</v>
      </c>
      <c r="AG4316" s="1" t="s">
        <v>180</v>
      </c>
    </row>
    <row r="4317" spans="1:33">
      <c r="A4317" t="s">
        <v>14873</v>
      </c>
      <c r="C4317" t="s">
        <v>14874</v>
      </c>
      <c r="E4317" t="s">
        <v>14225</v>
      </c>
      <c r="F4317" t="s">
        <v>14226</v>
      </c>
      <c r="G4317">
        <v>537.15</v>
      </c>
      <c r="H4317">
        <v>537.15</v>
      </c>
      <c r="I4317" t="s">
        <v>136</v>
      </c>
      <c r="J4317" t="s">
        <v>137</v>
      </c>
      <c r="K4317" t="s">
        <v>31</v>
      </c>
      <c r="L4317" t="s">
        <v>32</v>
      </c>
      <c r="M4317" t="s">
        <v>33</v>
      </c>
      <c r="P4317" s="1" t="s">
        <v>14875</v>
      </c>
      <c r="Q4317" s="1" t="s">
        <v>14225</v>
      </c>
      <c r="R4317" s="1" t="s">
        <v>14225</v>
      </c>
      <c r="S4317" s="1"/>
      <c r="T4317" s="1" t="s">
        <v>14876</v>
      </c>
      <c r="U4317" s="1" t="s">
        <v>14877</v>
      </c>
      <c r="V4317" s="1">
        <v>537.15</v>
      </c>
      <c r="W4317" s="1">
        <v>537.15</v>
      </c>
      <c r="X4317" s="1" t="s">
        <v>35</v>
      </c>
      <c r="Y4317" s="1">
        <v>537150.0</v>
      </c>
      <c r="Z4317" s="1"/>
      <c r="AA4317" s="1">
        <v>537150.0</v>
      </c>
      <c r="AB4317" s="1"/>
      <c r="AC4317" s="1" t="s">
        <v>36</v>
      </c>
      <c r="AD4317" s="1" t="s">
        <v>14856</v>
      </c>
      <c r="AE4317" s="1" t="s">
        <v>32</v>
      </c>
      <c r="AF4317" s="1" t="s">
        <v>33</v>
      </c>
      <c r="AG4317" s="1" t="s">
        <v>137</v>
      </c>
    </row>
    <row r="4318" spans="1:33">
      <c r="A4318" t="s">
        <v>14878</v>
      </c>
      <c r="C4318" t="s">
        <v>8196</v>
      </c>
      <c r="E4318" t="s">
        <v>14225</v>
      </c>
      <c r="F4318" t="s">
        <v>14226</v>
      </c>
      <c r="G4318">
        <v>610.5</v>
      </c>
      <c r="H4318">
        <v>610.5</v>
      </c>
      <c r="I4318" t="s">
        <v>136</v>
      </c>
      <c r="J4318" t="s">
        <v>137</v>
      </c>
      <c r="K4318" t="s">
        <v>31</v>
      </c>
      <c r="L4318" t="s">
        <v>32</v>
      </c>
      <c r="M4318" t="s">
        <v>33</v>
      </c>
      <c r="P4318" s="1" t="s">
        <v>14879</v>
      </c>
      <c r="Q4318" s="1" t="s">
        <v>14225</v>
      </c>
      <c r="R4318" s="1" t="s">
        <v>14225</v>
      </c>
      <c r="S4318" s="1"/>
      <c r="T4318" s="1" t="s">
        <v>8196</v>
      </c>
      <c r="U4318" s="1"/>
      <c r="V4318" s="1">
        <v>610.5</v>
      </c>
      <c r="W4318" s="1">
        <v>610.5</v>
      </c>
      <c r="X4318" s="1" t="s">
        <v>35</v>
      </c>
      <c r="Y4318" s="1">
        <v>610500.0</v>
      </c>
      <c r="Z4318" s="1"/>
      <c r="AA4318" s="1">
        <v>610500.0</v>
      </c>
      <c r="AB4318" s="1"/>
      <c r="AC4318" s="1" t="s">
        <v>36</v>
      </c>
      <c r="AD4318" s="1" t="s">
        <v>14880</v>
      </c>
      <c r="AE4318" s="1" t="s">
        <v>32</v>
      </c>
      <c r="AF4318" s="1" t="s">
        <v>33</v>
      </c>
      <c r="AG4318" s="1" t="s">
        <v>137</v>
      </c>
    </row>
    <row r="4319" spans="1:33">
      <c r="A4319" t="s">
        <v>14881</v>
      </c>
      <c r="C4319" t="s">
        <v>11608</v>
      </c>
      <c r="E4319" t="s">
        <v>14225</v>
      </c>
      <c r="F4319" t="s">
        <v>14226</v>
      </c>
      <c r="G4319">
        <v>3.99</v>
      </c>
      <c r="H4319">
        <v>3.99</v>
      </c>
      <c r="I4319" t="s">
        <v>847</v>
      </c>
      <c r="J4319" t="s">
        <v>848</v>
      </c>
      <c r="K4319" t="s">
        <v>31</v>
      </c>
      <c r="L4319" t="s">
        <v>32</v>
      </c>
      <c r="M4319" t="s">
        <v>33</v>
      </c>
      <c r="P4319" s="1" t="s">
        <v>14882</v>
      </c>
      <c r="Q4319" s="1" t="s">
        <v>14225</v>
      </c>
      <c r="R4319" s="1" t="s">
        <v>14225</v>
      </c>
      <c r="S4319" s="1"/>
      <c r="T4319" s="1" t="s">
        <v>11608</v>
      </c>
      <c r="U4319" s="1"/>
      <c r="V4319" s="1">
        <v>3.99</v>
      </c>
      <c r="W4319" s="1">
        <v>3.99</v>
      </c>
      <c r="X4319" s="1" t="s">
        <v>35</v>
      </c>
      <c r="Y4319" s="1">
        <v>3990000.0</v>
      </c>
      <c r="Z4319" s="1"/>
      <c r="AA4319" s="1">
        <v>3990000.0</v>
      </c>
      <c r="AB4319" s="1"/>
      <c r="AC4319" s="1" t="s">
        <v>36</v>
      </c>
      <c r="AD4319" s="1" t="s">
        <v>14883</v>
      </c>
      <c r="AE4319" s="1" t="s">
        <v>32</v>
      </c>
      <c r="AF4319" s="1" t="s">
        <v>33</v>
      </c>
      <c r="AG4319" s="1" t="s">
        <v>848</v>
      </c>
    </row>
    <row r="4320" spans="1:33">
      <c r="A4320" t="s">
        <v>14884</v>
      </c>
      <c r="C4320" t="s">
        <v>3509</v>
      </c>
      <c r="E4320" t="s">
        <v>14225</v>
      </c>
      <c r="F4320" t="s">
        <v>14226</v>
      </c>
      <c r="G4320">
        <v>508.0</v>
      </c>
      <c r="H4320">
        <v>508.0</v>
      </c>
      <c r="I4320" t="s">
        <v>136</v>
      </c>
      <c r="J4320" t="s">
        <v>137</v>
      </c>
      <c r="K4320" t="s">
        <v>31</v>
      </c>
      <c r="L4320" t="s">
        <v>32</v>
      </c>
      <c r="M4320" t="s">
        <v>33</v>
      </c>
      <c r="P4320" s="1" t="s">
        <v>14885</v>
      </c>
      <c r="Q4320" s="1" t="s">
        <v>14225</v>
      </c>
      <c r="R4320" s="1" t="s">
        <v>14225</v>
      </c>
      <c r="S4320" s="1"/>
      <c r="T4320" s="1" t="s">
        <v>3509</v>
      </c>
      <c r="U4320" s="1"/>
      <c r="V4320" s="1">
        <v>508.0</v>
      </c>
      <c r="W4320" s="1">
        <v>508.0</v>
      </c>
      <c r="X4320" s="1" t="s">
        <v>35</v>
      </c>
      <c r="Y4320" s="1">
        <v>508000.0</v>
      </c>
      <c r="Z4320" s="1"/>
      <c r="AA4320" s="1">
        <v>508000.0</v>
      </c>
      <c r="AB4320" s="1"/>
      <c r="AC4320" s="1" t="s">
        <v>36</v>
      </c>
      <c r="AD4320" s="1" t="s">
        <v>14886</v>
      </c>
      <c r="AE4320" s="1" t="s">
        <v>32</v>
      </c>
      <c r="AF4320" s="1" t="s">
        <v>33</v>
      </c>
      <c r="AG4320" s="1" t="s">
        <v>137</v>
      </c>
    </row>
    <row r="4321" spans="1:33">
      <c r="A4321" t="s">
        <v>14887</v>
      </c>
      <c r="C4321" t="s">
        <v>14888</v>
      </c>
      <c r="E4321" t="s">
        <v>14225</v>
      </c>
      <c r="F4321" t="s">
        <v>14226</v>
      </c>
      <c r="G4321">
        <v>640.0</v>
      </c>
      <c r="H4321">
        <v>640.0</v>
      </c>
      <c r="I4321" t="s">
        <v>94</v>
      </c>
      <c r="J4321" t="s">
        <v>95</v>
      </c>
      <c r="K4321" t="s">
        <v>31</v>
      </c>
      <c r="L4321" t="s">
        <v>32</v>
      </c>
      <c r="M4321" t="s">
        <v>33</v>
      </c>
      <c r="P4321" s="1" t="s">
        <v>14889</v>
      </c>
      <c r="Q4321" s="1" t="s">
        <v>14225</v>
      </c>
      <c r="R4321" s="1" t="s">
        <v>14225</v>
      </c>
      <c r="S4321" s="1"/>
      <c r="T4321" s="1" t="s">
        <v>14888</v>
      </c>
      <c r="U4321" s="1"/>
      <c r="V4321" s="1">
        <v>640.0</v>
      </c>
      <c r="W4321" s="1">
        <v>640.0</v>
      </c>
      <c r="X4321" s="1" t="s">
        <v>35</v>
      </c>
      <c r="Y4321" s="1">
        <v>640000.0</v>
      </c>
      <c r="Z4321" s="1"/>
      <c r="AA4321" s="1">
        <v>640000.0</v>
      </c>
      <c r="AB4321" s="1"/>
      <c r="AC4321" s="1" t="s">
        <v>36</v>
      </c>
      <c r="AD4321" s="1" t="s">
        <v>14890</v>
      </c>
      <c r="AE4321" s="1" t="s">
        <v>32</v>
      </c>
      <c r="AF4321" s="1" t="s">
        <v>33</v>
      </c>
      <c r="AG4321" s="1" t="s">
        <v>95</v>
      </c>
    </row>
    <row r="4322" spans="1:33">
      <c r="A4322" t="s">
        <v>14891</v>
      </c>
      <c r="B4322" t="s">
        <v>14892</v>
      </c>
      <c r="C4322" t="s">
        <v>47</v>
      </c>
      <c r="E4322" t="s">
        <v>14225</v>
      </c>
      <c r="F4322" t="s">
        <v>14226</v>
      </c>
      <c r="G4322">
        <v>12.894</v>
      </c>
      <c r="H4322">
        <v>12.894</v>
      </c>
      <c r="I4322" t="s">
        <v>2206</v>
      </c>
      <c r="J4322" t="s">
        <v>49</v>
      </c>
      <c r="K4322" t="s">
        <v>31</v>
      </c>
      <c r="L4322" t="s">
        <v>32</v>
      </c>
      <c r="M4322" t="s">
        <v>33</v>
      </c>
      <c r="P4322" s="1" t="s">
        <v>14893</v>
      </c>
      <c r="Q4322" s="1" t="s">
        <v>14225</v>
      </c>
      <c r="R4322" s="1" t="s">
        <v>14225</v>
      </c>
      <c r="S4322" s="1"/>
      <c r="T4322" s="1" t="s">
        <v>47</v>
      </c>
      <c r="U4322" s="1"/>
      <c r="V4322" s="1">
        <v>12.894</v>
      </c>
      <c r="W4322" s="1">
        <v>12.894</v>
      </c>
      <c r="X4322" s="1" t="s">
        <v>35</v>
      </c>
      <c r="Y4322" s="1">
        <v>12894.0</v>
      </c>
      <c r="Z4322" s="1"/>
      <c r="AA4322" s="1">
        <v>12894.0</v>
      </c>
      <c r="AB4322" s="1"/>
      <c r="AC4322" s="1" t="s">
        <v>36</v>
      </c>
      <c r="AD4322" s="1" t="s">
        <v>14894</v>
      </c>
      <c r="AE4322" s="1" t="s">
        <v>32</v>
      </c>
      <c r="AF4322" s="1" t="s">
        <v>33</v>
      </c>
      <c r="AG4322" s="1" t="s">
        <v>49</v>
      </c>
    </row>
    <row r="4323" spans="1:33">
      <c r="A4323" t="s">
        <v>14895</v>
      </c>
      <c r="B4323" t="s">
        <v>4551</v>
      </c>
      <c r="C4323" t="s">
        <v>125</v>
      </c>
      <c r="E4323" t="s">
        <v>14225</v>
      </c>
      <c r="F4323" t="s">
        <v>14226</v>
      </c>
      <c r="G4323">
        <v>20.99</v>
      </c>
      <c r="H4323">
        <v>20.99</v>
      </c>
      <c r="I4323" t="s">
        <v>126</v>
      </c>
      <c r="J4323" t="s">
        <v>127</v>
      </c>
      <c r="K4323" t="s">
        <v>31</v>
      </c>
      <c r="L4323" t="s">
        <v>32</v>
      </c>
      <c r="M4323" t="s">
        <v>33</v>
      </c>
      <c r="P4323" s="1" t="s">
        <v>14896</v>
      </c>
      <c r="Q4323" s="1" t="s">
        <v>14225</v>
      </c>
      <c r="R4323" s="1" t="s">
        <v>14225</v>
      </c>
      <c r="S4323" s="1"/>
      <c r="T4323" s="1" t="s">
        <v>125</v>
      </c>
      <c r="U4323" s="1"/>
      <c r="V4323" s="1">
        <v>20.99</v>
      </c>
      <c r="W4323" s="1">
        <v>20.99</v>
      </c>
      <c r="X4323" s="1" t="s">
        <v>35</v>
      </c>
      <c r="Y4323" s="1">
        <v>20990.0</v>
      </c>
      <c r="Z4323" s="1"/>
      <c r="AA4323" s="1">
        <v>20990.0</v>
      </c>
      <c r="AB4323" s="1"/>
      <c r="AC4323" s="1" t="s">
        <v>36</v>
      </c>
      <c r="AD4323" s="1" t="s">
        <v>14890</v>
      </c>
      <c r="AE4323" s="1" t="s">
        <v>32</v>
      </c>
      <c r="AF4323" s="1" t="s">
        <v>33</v>
      </c>
      <c r="AG4323" s="1" t="s">
        <v>127</v>
      </c>
    </row>
    <row r="4324" spans="1:33">
      <c r="A4324" t="s">
        <v>14897</v>
      </c>
      <c r="C4324" t="s">
        <v>7775</v>
      </c>
      <c r="E4324" t="s">
        <v>14225</v>
      </c>
      <c r="F4324" t="s">
        <v>14226</v>
      </c>
      <c r="G4324">
        <v>1.437</v>
      </c>
      <c r="H4324">
        <v>1.437</v>
      </c>
      <c r="I4324" t="s">
        <v>227</v>
      </c>
      <c r="J4324" t="s">
        <v>228</v>
      </c>
      <c r="K4324" t="s">
        <v>31</v>
      </c>
      <c r="L4324" t="s">
        <v>32</v>
      </c>
      <c r="M4324" t="s">
        <v>33</v>
      </c>
      <c r="P4324" s="1" t="s">
        <v>14898</v>
      </c>
      <c r="Q4324" s="1" t="s">
        <v>14225</v>
      </c>
      <c r="R4324" s="1" t="s">
        <v>14225</v>
      </c>
      <c r="S4324" s="1"/>
      <c r="T4324" s="1" t="s">
        <v>7777</v>
      </c>
      <c r="U4324" s="1" t="s">
        <v>7778</v>
      </c>
      <c r="V4324" s="1">
        <v>1.437</v>
      </c>
      <c r="W4324" s="1">
        <v>1.437</v>
      </c>
      <c r="X4324" s="1" t="s">
        <v>35</v>
      </c>
      <c r="Y4324" s="1">
        <v>1437800.0</v>
      </c>
      <c r="Z4324" s="1"/>
      <c r="AA4324" s="1">
        <v>1437800.0</v>
      </c>
      <c r="AB4324" s="1"/>
      <c r="AC4324" s="1" t="s">
        <v>36</v>
      </c>
      <c r="AD4324" s="1" t="s">
        <v>14886</v>
      </c>
      <c r="AE4324" s="1" t="s">
        <v>32</v>
      </c>
      <c r="AF4324" s="1" t="s">
        <v>33</v>
      </c>
      <c r="AG4324" s="1" t="s">
        <v>228</v>
      </c>
    </row>
    <row r="4325" spans="1:33">
      <c r="A4325" t="s">
        <v>14899</v>
      </c>
      <c r="C4325" t="s">
        <v>14900</v>
      </c>
      <c r="E4325" t="s">
        <v>14225</v>
      </c>
      <c r="F4325" t="s">
        <v>14226</v>
      </c>
      <c r="G4325">
        <v>425.0</v>
      </c>
      <c r="H4325">
        <v>425.0</v>
      </c>
      <c r="I4325" t="s">
        <v>2206</v>
      </c>
      <c r="J4325" t="s">
        <v>49</v>
      </c>
      <c r="K4325" t="s">
        <v>31</v>
      </c>
      <c r="L4325" t="s">
        <v>32</v>
      </c>
      <c r="M4325" t="s">
        <v>33</v>
      </c>
      <c r="P4325" s="1" t="s">
        <v>14901</v>
      </c>
      <c r="Q4325" s="1" t="s">
        <v>14225</v>
      </c>
      <c r="R4325" s="1" t="s">
        <v>14225</v>
      </c>
      <c r="S4325" s="1"/>
      <c r="T4325" s="1" t="s">
        <v>14900</v>
      </c>
      <c r="U4325" s="1"/>
      <c r="V4325" s="1">
        <v>425.0</v>
      </c>
      <c r="W4325" s="1">
        <v>425.0</v>
      </c>
      <c r="X4325" s="1" t="s">
        <v>35</v>
      </c>
      <c r="Y4325" s="1">
        <v>425000.0</v>
      </c>
      <c r="Z4325" s="1"/>
      <c r="AA4325" s="1">
        <v>425000.0</v>
      </c>
      <c r="AB4325" s="1"/>
      <c r="AC4325" s="1" t="s">
        <v>36</v>
      </c>
      <c r="AD4325" s="1" t="s">
        <v>14902</v>
      </c>
      <c r="AE4325" s="1" t="s">
        <v>32</v>
      </c>
      <c r="AF4325" s="1" t="s">
        <v>33</v>
      </c>
      <c r="AG4325" s="1" t="s">
        <v>49</v>
      </c>
    </row>
    <row r="4326" spans="1:33">
      <c r="A4326" t="s">
        <v>14903</v>
      </c>
      <c r="B4326" t="s">
        <v>14904</v>
      </c>
      <c r="C4326" t="s">
        <v>314</v>
      </c>
      <c r="E4326" t="s">
        <v>14225</v>
      </c>
      <c r="F4326" t="s">
        <v>14226</v>
      </c>
      <c r="G4326">
        <v>43.558</v>
      </c>
      <c r="H4326">
        <v>43.558</v>
      </c>
      <c r="I4326" t="s">
        <v>179</v>
      </c>
      <c r="J4326" t="s">
        <v>180</v>
      </c>
      <c r="K4326" t="s">
        <v>31</v>
      </c>
      <c r="L4326" t="s">
        <v>32</v>
      </c>
      <c r="M4326" t="s">
        <v>33</v>
      </c>
      <c r="P4326" s="1" t="s">
        <v>14905</v>
      </c>
      <c r="Q4326" s="1" t="s">
        <v>14225</v>
      </c>
      <c r="R4326" s="1" t="s">
        <v>14225</v>
      </c>
      <c r="S4326" s="1"/>
      <c r="T4326" s="1" t="s">
        <v>314</v>
      </c>
      <c r="U4326" s="1"/>
      <c r="V4326" s="1">
        <v>43.558</v>
      </c>
      <c r="W4326" s="1">
        <v>43.558</v>
      </c>
      <c r="X4326" s="1" t="s">
        <v>35</v>
      </c>
      <c r="Y4326" s="1">
        <v>43558.0</v>
      </c>
      <c r="Z4326" s="1"/>
      <c r="AA4326" s="1">
        <v>43558.0</v>
      </c>
      <c r="AB4326" s="1"/>
      <c r="AC4326" s="1" t="s">
        <v>36</v>
      </c>
      <c r="AD4326" s="1" t="s">
        <v>14906</v>
      </c>
      <c r="AE4326" s="1" t="s">
        <v>32</v>
      </c>
      <c r="AF4326" s="1" t="s">
        <v>33</v>
      </c>
      <c r="AG4326" s="1" t="s">
        <v>180</v>
      </c>
    </row>
    <row r="4327" spans="1:33">
      <c r="A4327" t="s">
        <v>14907</v>
      </c>
      <c r="B4327" t="s">
        <v>14908</v>
      </c>
      <c r="C4327" t="s">
        <v>68</v>
      </c>
      <c r="E4327" t="s">
        <v>14225</v>
      </c>
      <c r="F4327" t="s">
        <v>14226</v>
      </c>
      <c r="G4327">
        <v>21.49</v>
      </c>
      <c r="H4327">
        <v>21.49</v>
      </c>
      <c r="I4327" t="s">
        <v>59</v>
      </c>
      <c r="J4327" t="s">
        <v>60</v>
      </c>
      <c r="K4327" t="s">
        <v>31</v>
      </c>
      <c r="L4327" t="s">
        <v>32</v>
      </c>
      <c r="M4327" t="s">
        <v>33</v>
      </c>
      <c r="P4327" s="1" t="s">
        <v>14909</v>
      </c>
      <c r="Q4327" s="1" t="s">
        <v>14225</v>
      </c>
      <c r="R4327" s="1" t="s">
        <v>14225</v>
      </c>
      <c r="S4327" s="1"/>
      <c r="T4327" s="1" t="s">
        <v>68</v>
      </c>
      <c r="U4327" s="1"/>
      <c r="V4327" s="1">
        <v>21.49</v>
      </c>
      <c r="W4327" s="1">
        <v>21.49</v>
      </c>
      <c r="X4327" s="1" t="s">
        <v>35</v>
      </c>
      <c r="Y4327" s="1">
        <v>21490.0</v>
      </c>
      <c r="Z4327" s="1"/>
      <c r="AA4327" s="1">
        <v>21490.0</v>
      </c>
      <c r="AB4327" s="1"/>
      <c r="AC4327" s="1" t="s">
        <v>36</v>
      </c>
      <c r="AD4327" s="1" t="s">
        <v>14910</v>
      </c>
      <c r="AE4327" s="1" t="s">
        <v>32</v>
      </c>
      <c r="AF4327" s="1" t="s">
        <v>33</v>
      </c>
      <c r="AG4327" s="1" t="s">
        <v>60</v>
      </c>
    </row>
    <row r="4328" spans="1:33">
      <c r="A4328" t="s">
        <v>14911</v>
      </c>
      <c r="C4328" t="s">
        <v>1866</v>
      </c>
      <c r="E4328" t="s">
        <v>14225</v>
      </c>
      <c r="F4328" t="s">
        <v>14226</v>
      </c>
      <c r="G4328">
        <v>328.0</v>
      </c>
      <c r="H4328">
        <v>328.0</v>
      </c>
      <c r="I4328" t="s">
        <v>136</v>
      </c>
      <c r="J4328" t="s">
        <v>137</v>
      </c>
      <c r="K4328" t="s">
        <v>31</v>
      </c>
      <c r="L4328" t="s">
        <v>32</v>
      </c>
      <c r="M4328" t="s">
        <v>33</v>
      </c>
      <c r="P4328" s="1" t="s">
        <v>14912</v>
      </c>
      <c r="Q4328" s="1" t="s">
        <v>14225</v>
      </c>
      <c r="R4328" s="1" t="s">
        <v>14225</v>
      </c>
      <c r="S4328" s="1"/>
      <c r="T4328" s="1" t="s">
        <v>1866</v>
      </c>
      <c r="U4328" s="1"/>
      <c r="V4328" s="1">
        <v>328.0</v>
      </c>
      <c r="W4328" s="1">
        <v>328.0</v>
      </c>
      <c r="X4328" s="1" t="s">
        <v>35</v>
      </c>
      <c r="Y4328" s="1">
        <v>328000.0</v>
      </c>
      <c r="Z4328" s="1"/>
      <c r="AA4328" s="1">
        <v>328000.0</v>
      </c>
      <c r="AB4328" s="1"/>
      <c r="AC4328" s="1" t="s">
        <v>36</v>
      </c>
      <c r="AD4328" s="1" t="s">
        <v>14906</v>
      </c>
      <c r="AE4328" s="1" t="s">
        <v>32</v>
      </c>
      <c r="AF4328" s="1" t="s">
        <v>33</v>
      </c>
      <c r="AG4328" s="1" t="s">
        <v>137</v>
      </c>
    </row>
    <row r="4329" spans="1:33">
      <c r="A4329" t="s">
        <v>14913</v>
      </c>
      <c r="C4329" t="s">
        <v>7605</v>
      </c>
      <c r="E4329" t="s">
        <v>14225</v>
      </c>
      <c r="F4329" t="s">
        <v>14226</v>
      </c>
      <c r="G4329">
        <v>328.0</v>
      </c>
      <c r="H4329">
        <v>328.0</v>
      </c>
      <c r="I4329" t="s">
        <v>136</v>
      </c>
      <c r="J4329" t="s">
        <v>137</v>
      </c>
      <c r="K4329" t="s">
        <v>31</v>
      </c>
      <c r="L4329" t="s">
        <v>32</v>
      </c>
      <c r="M4329" t="s">
        <v>33</v>
      </c>
      <c r="P4329" s="1" t="s">
        <v>14914</v>
      </c>
      <c r="Q4329" s="1" t="s">
        <v>14225</v>
      </c>
      <c r="R4329" s="1" t="s">
        <v>14225</v>
      </c>
      <c r="S4329" s="1"/>
      <c r="T4329" s="1" t="s">
        <v>7605</v>
      </c>
      <c r="U4329" s="1"/>
      <c r="V4329" s="1">
        <v>328.0</v>
      </c>
      <c r="W4329" s="1">
        <v>328.0</v>
      </c>
      <c r="X4329" s="1" t="s">
        <v>35</v>
      </c>
      <c r="Y4329" s="1">
        <v>328000.0</v>
      </c>
      <c r="Z4329" s="1"/>
      <c r="AA4329" s="1">
        <v>328000.0</v>
      </c>
      <c r="AB4329" s="1"/>
      <c r="AC4329" s="1" t="s">
        <v>36</v>
      </c>
      <c r="AD4329" s="1" t="s">
        <v>14915</v>
      </c>
      <c r="AE4329" s="1" t="s">
        <v>32</v>
      </c>
      <c r="AF4329" s="1" t="s">
        <v>33</v>
      </c>
      <c r="AG4329" s="1" t="s">
        <v>137</v>
      </c>
    </row>
    <row r="4330" spans="1:33">
      <c r="A4330" t="s">
        <v>14916</v>
      </c>
      <c r="C4330" t="s">
        <v>2101</v>
      </c>
      <c r="E4330" t="s">
        <v>14225</v>
      </c>
      <c r="F4330" t="s">
        <v>14226</v>
      </c>
      <c r="G4330">
        <v>719.0</v>
      </c>
      <c r="H4330">
        <v>719.0</v>
      </c>
      <c r="I4330" t="s">
        <v>136</v>
      </c>
      <c r="J4330" t="s">
        <v>137</v>
      </c>
      <c r="K4330" t="s">
        <v>31</v>
      </c>
      <c r="L4330" t="s">
        <v>32</v>
      </c>
      <c r="M4330" t="s">
        <v>33</v>
      </c>
      <c r="P4330" s="1" t="s">
        <v>14917</v>
      </c>
      <c r="Q4330" s="1" t="s">
        <v>14225</v>
      </c>
      <c r="R4330" s="1" t="s">
        <v>14225</v>
      </c>
      <c r="S4330" s="1"/>
      <c r="T4330" s="1" t="s">
        <v>2103</v>
      </c>
      <c r="U4330" s="1" t="s">
        <v>2104</v>
      </c>
      <c r="V4330" s="1">
        <v>719.0</v>
      </c>
      <c r="W4330" s="1">
        <v>719.0</v>
      </c>
      <c r="X4330" s="1" t="s">
        <v>35</v>
      </c>
      <c r="Y4330" s="1">
        <v>719000.0</v>
      </c>
      <c r="Z4330" s="1"/>
      <c r="AA4330" s="1">
        <v>719000.0</v>
      </c>
      <c r="AB4330" s="1"/>
      <c r="AC4330" s="1" t="s">
        <v>36</v>
      </c>
      <c r="AD4330" s="1" t="s">
        <v>14918</v>
      </c>
      <c r="AE4330" s="1" t="s">
        <v>32</v>
      </c>
      <c r="AF4330" s="1" t="s">
        <v>33</v>
      </c>
      <c r="AG4330" s="1" t="s">
        <v>137</v>
      </c>
    </row>
    <row r="4331" spans="1:33">
      <c r="A4331" t="s">
        <v>14919</v>
      </c>
      <c r="C4331" t="s">
        <v>1016</v>
      </c>
      <c r="E4331" t="s">
        <v>14225</v>
      </c>
      <c r="F4331" t="s">
        <v>14226</v>
      </c>
      <c r="G4331">
        <v>17.5</v>
      </c>
      <c r="H4331">
        <v>17.5</v>
      </c>
      <c r="I4331" t="s">
        <v>269</v>
      </c>
      <c r="J4331" t="s">
        <v>270</v>
      </c>
      <c r="K4331" t="s">
        <v>31</v>
      </c>
      <c r="L4331" t="s">
        <v>32</v>
      </c>
      <c r="M4331" t="s">
        <v>33</v>
      </c>
      <c r="P4331" s="1" t="s">
        <v>14920</v>
      </c>
      <c r="Q4331" s="1" t="s">
        <v>14225</v>
      </c>
      <c r="R4331" s="1" t="s">
        <v>14225</v>
      </c>
      <c r="S4331" s="1"/>
      <c r="T4331" s="1" t="s">
        <v>1016</v>
      </c>
      <c r="U4331" s="1"/>
      <c r="V4331" s="1">
        <v>17.5</v>
      </c>
      <c r="W4331" s="1">
        <v>17.5</v>
      </c>
      <c r="X4331" s="1" t="s">
        <v>35</v>
      </c>
      <c r="Y4331" s="1">
        <v>17500.0</v>
      </c>
      <c r="Z4331" s="1"/>
      <c r="AA4331" s="1">
        <v>17500.0</v>
      </c>
      <c r="AB4331" s="1"/>
      <c r="AC4331" s="1" t="s">
        <v>36</v>
      </c>
      <c r="AD4331" s="1" t="s">
        <v>14921</v>
      </c>
      <c r="AE4331" s="1" t="s">
        <v>32</v>
      </c>
      <c r="AF4331" s="1" t="s">
        <v>33</v>
      </c>
      <c r="AG4331" s="1" t="s">
        <v>270</v>
      </c>
    </row>
    <row r="4332" spans="1:33">
      <c r="A4332" t="s">
        <v>14922</v>
      </c>
      <c r="C4332" t="s">
        <v>1992</v>
      </c>
      <c r="E4332" t="s">
        <v>14225</v>
      </c>
      <c r="F4332" t="s">
        <v>14226</v>
      </c>
      <c r="G4332">
        <v>328.0</v>
      </c>
      <c r="H4332">
        <v>328.0</v>
      </c>
      <c r="I4332" t="s">
        <v>136</v>
      </c>
      <c r="J4332" t="s">
        <v>137</v>
      </c>
      <c r="K4332" t="s">
        <v>31</v>
      </c>
      <c r="L4332" t="s">
        <v>32</v>
      </c>
      <c r="M4332" t="s">
        <v>33</v>
      </c>
      <c r="P4332" s="1" t="s">
        <v>14923</v>
      </c>
      <c r="Q4332" s="1" t="s">
        <v>14225</v>
      </c>
      <c r="R4332" s="1" t="s">
        <v>14225</v>
      </c>
      <c r="S4332" s="1"/>
      <c r="T4332" s="1" t="s">
        <v>1994</v>
      </c>
      <c r="U4332" s="1" t="s">
        <v>1995</v>
      </c>
      <c r="V4332" s="1">
        <v>328.0</v>
      </c>
      <c r="W4332" s="1">
        <v>328.0</v>
      </c>
      <c r="X4332" s="1" t="s">
        <v>35</v>
      </c>
      <c r="Y4332" s="1">
        <v>328000.0</v>
      </c>
      <c r="Z4332" s="1"/>
      <c r="AA4332" s="1">
        <v>328000.0</v>
      </c>
      <c r="AB4332" s="1"/>
      <c r="AC4332" s="1" t="s">
        <v>36</v>
      </c>
      <c r="AD4332" s="1" t="s">
        <v>14924</v>
      </c>
      <c r="AE4332" s="1" t="s">
        <v>32</v>
      </c>
      <c r="AF4332" s="1" t="s">
        <v>33</v>
      </c>
      <c r="AG4332" s="1" t="s">
        <v>137</v>
      </c>
    </row>
    <row r="4333" spans="1:33">
      <c r="A4333" t="s">
        <v>14925</v>
      </c>
      <c r="C4333" t="s">
        <v>827</v>
      </c>
      <c r="D4333" t="s">
        <v>154</v>
      </c>
      <c r="E4333" t="s">
        <v>14225</v>
      </c>
      <c r="F4333" t="s">
        <v>14226</v>
      </c>
      <c r="G4333">
        <v>40.0</v>
      </c>
      <c r="H4333">
        <v>40.0</v>
      </c>
      <c r="I4333" t="s">
        <v>269</v>
      </c>
      <c r="J4333" t="s">
        <v>270</v>
      </c>
      <c r="K4333" t="s">
        <v>31</v>
      </c>
      <c r="L4333" t="s">
        <v>32</v>
      </c>
      <c r="M4333" t="s">
        <v>33</v>
      </c>
      <c r="P4333" s="1" t="s">
        <v>14926</v>
      </c>
      <c r="Q4333" s="1" t="s">
        <v>14225</v>
      </c>
      <c r="R4333" s="1" t="s">
        <v>14225</v>
      </c>
      <c r="S4333" s="1"/>
      <c r="T4333" s="1" t="s">
        <v>827</v>
      </c>
      <c r="U4333" s="1"/>
      <c r="V4333" s="1">
        <v>40.0</v>
      </c>
      <c r="W4333" s="1">
        <v>40.0</v>
      </c>
      <c r="X4333" s="1" t="s">
        <v>35</v>
      </c>
      <c r="Y4333" s="1">
        <v>40000.0</v>
      </c>
      <c r="Z4333" s="1"/>
      <c r="AA4333" s="1">
        <v>40000.0</v>
      </c>
      <c r="AB4333" s="1"/>
      <c r="AC4333" s="1" t="s">
        <v>36</v>
      </c>
      <c r="AD4333" s="1" t="s">
        <v>14927</v>
      </c>
      <c r="AE4333" s="1" t="s">
        <v>32</v>
      </c>
      <c r="AF4333" s="1" t="s">
        <v>33</v>
      </c>
      <c r="AG4333" s="1" t="s">
        <v>270</v>
      </c>
    </row>
    <row r="4334" spans="1:33">
      <c r="A4334" t="s">
        <v>14928</v>
      </c>
      <c r="C4334" t="s">
        <v>747</v>
      </c>
      <c r="E4334" t="s">
        <v>14225</v>
      </c>
      <c r="F4334" t="s">
        <v>14226</v>
      </c>
      <c r="G4334">
        <v>984.0</v>
      </c>
      <c r="H4334">
        <v>984.0</v>
      </c>
      <c r="I4334" t="s">
        <v>136</v>
      </c>
      <c r="J4334" t="s">
        <v>137</v>
      </c>
      <c r="K4334" t="s">
        <v>31</v>
      </c>
      <c r="L4334" t="s">
        <v>32</v>
      </c>
      <c r="M4334" t="s">
        <v>33</v>
      </c>
      <c r="P4334" s="1" t="s">
        <v>14929</v>
      </c>
      <c r="Q4334" s="1" t="s">
        <v>14225</v>
      </c>
      <c r="R4334" s="1" t="s">
        <v>14225</v>
      </c>
      <c r="S4334" s="1"/>
      <c r="T4334" s="1" t="s">
        <v>747</v>
      </c>
      <c r="U4334" s="1"/>
      <c r="V4334" s="1">
        <v>984.0</v>
      </c>
      <c r="W4334" s="1">
        <v>984.0</v>
      </c>
      <c r="X4334" s="1" t="s">
        <v>35</v>
      </c>
      <c r="Y4334" s="1">
        <v>984000.0</v>
      </c>
      <c r="Z4334" s="1"/>
      <c r="AA4334" s="1">
        <v>984000.0</v>
      </c>
      <c r="AB4334" s="1"/>
      <c r="AC4334" s="1" t="s">
        <v>36</v>
      </c>
      <c r="AD4334" s="1" t="s">
        <v>14921</v>
      </c>
      <c r="AE4334" s="1" t="s">
        <v>32</v>
      </c>
      <c r="AF4334" s="1" t="s">
        <v>33</v>
      </c>
      <c r="AG4334" s="1" t="s">
        <v>137</v>
      </c>
    </row>
    <row r="4335" spans="1:33">
      <c r="A4335" t="s">
        <v>14930</v>
      </c>
      <c r="C4335" t="s">
        <v>14931</v>
      </c>
      <c r="E4335" t="s">
        <v>14225</v>
      </c>
      <c r="F4335" t="s">
        <v>14226</v>
      </c>
      <c r="G4335">
        <v>738.0</v>
      </c>
      <c r="H4335">
        <v>738.0</v>
      </c>
      <c r="I4335" t="s">
        <v>136</v>
      </c>
      <c r="J4335" t="s">
        <v>137</v>
      </c>
      <c r="K4335" t="s">
        <v>31</v>
      </c>
      <c r="L4335" t="s">
        <v>32</v>
      </c>
      <c r="M4335" t="s">
        <v>33</v>
      </c>
      <c r="P4335" s="1" t="s">
        <v>14932</v>
      </c>
      <c r="Q4335" s="1" t="s">
        <v>14225</v>
      </c>
      <c r="R4335" s="1" t="s">
        <v>14225</v>
      </c>
      <c r="S4335" s="1"/>
      <c r="T4335" s="1" t="s">
        <v>14931</v>
      </c>
      <c r="U4335" s="1"/>
      <c r="V4335" s="1">
        <v>738.0</v>
      </c>
      <c r="W4335" s="1">
        <v>738.0</v>
      </c>
      <c r="X4335" s="1" t="s">
        <v>35</v>
      </c>
      <c r="Y4335" s="1">
        <v>738000.0</v>
      </c>
      <c r="Z4335" s="1"/>
      <c r="AA4335" s="1">
        <v>738000.0</v>
      </c>
      <c r="AB4335" s="1"/>
      <c r="AC4335" s="1" t="s">
        <v>36</v>
      </c>
      <c r="AD4335" s="1" t="s">
        <v>14933</v>
      </c>
      <c r="AE4335" s="1" t="s">
        <v>32</v>
      </c>
      <c r="AF4335" s="1" t="s">
        <v>33</v>
      </c>
      <c r="AG4335" s="1" t="s">
        <v>137</v>
      </c>
    </row>
    <row r="4336" spans="1:33">
      <c r="A4336" t="s">
        <v>14934</v>
      </c>
      <c r="C4336" t="s">
        <v>797</v>
      </c>
      <c r="D4336" t="s">
        <v>798</v>
      </c>
      <c r="E4336" t="s">
        <v>14225</v>
      </c>
      <c r="F4336" t="s">
        <v>14226</v>
      </c>
      <c r="G4336">
        <v>1.64</v>
      </c>
      <c r="H4336">
        <v>1.64</v>
      </c>
      <c r="I4336" t="s">
        <v>136</v>
      </c>
      <c r="J4336" t="s">
        <v>137</v>
      </c>
      <c r="K4336" t="s">
        <v>31</v>
      </c>
      <c r="L4336" t="s">
        <v>32</v>
      </c>
      <c r="M4336" t="s">
        <v>33</v>
      </c>
      <c r="P4336" s="1" t="s">
        <v>14935</v>
      </c>
      <c r="Q4336" s="1" t="s">
        <v>14225</v>
      </c>
      <c r="R4336" s="1" t="s">
        <v>14225</v>
      </c>
      <c r="S4336" s="1"/>
      <c r="T4336" s="1" t="s">
        <v>797</v>
      </c>
      <c r="U4336" s="1"/>
      <c r="V4336" s="1">
        <v>1.64</v>
      </c>
      <c r="W4336" s="1">
        <v>1.64</v>
      </c>
      <c r="X4336" s="1" t="s">
        <v>35</v>
      </c>
      <c r="Y4336" s="1">
        <v>1640000.0</v>
      </c>
      <c r="Z4336" s="1"/>
      <c r="AA4336" s="1">
        <v>1640000.0</v>
      </c>
      <c r="AB4336" s="1"/>
      <c r="AC4336" s="1" t="s">
        <v>36</v>
      </c>
      <c r="AD4336" s="1" t="s">
        <v>14936</v>
      </c>
      <c r="AE4336" s="1" t="s">
        <v>32</v>
      </c>
      <c r="AF4336" s="1" t="s">
        <v>33</v>
      </c>
      <c r="AG4336" s="1" t="s">
        <v>137</v>
      </c>
    </row>
    <row r="4337" spans="1:33">
      <c r="A4337" t="s">
        <v>14937</v>
      </c>
      <c r="C4337" t="s">
        <v>14938</v>
      </c>
      <c r="E4337" t="s">
        <v>14225</v>
      </c>
      <c r="F4337" t="s">
        <v>14226</v>
      </c>
      <c r="G4337">
        <v>328.0</v>
      </c>
      <c r="H4337">
        <v>328.0</v>
      </c>
      <c r="I4337" t="s">
        <v>136</v>
      </c>
      <c r="J4337" t="s">
        <v>137</v>
      </c>
      <c r="K4337" t="s">
        <v>31</v>
      </c>
      <c r="L4337" t="s">
        <v>32</v>
      </c>
      <c r="M4337" t="s">
        <v>33</v>
      </c>
      <c r="P4337" s="1" t="s">
        <v>14939</v>
      </c>
      <c r="Q4337" s="1" t="s">
        <v>14225</v>
      </c>
      <c r="R4337" s="1" t="s">
        <v>14225</v>
      </c>
      <c r="S4337" s="1"/>
      <c r="T4337" s="1" t="s">
        <v>14940</v>
      </c>
      <c r="U4337" s="1" t="s">
        <v>14941</v>
      </c>
      <c r="V4337" s="1">
        <v>328.0</v>
      </c>
      <c r="W4337" s="1">
        <v>328.0</v>
      </c>
      <c r="X4337" s="1" t="s">
        <v>35</v>
      </c>
      <c r="Y4337" s="1">
        <v>328000.0</v>
      </c>
      <c r="Z4337" s="1"/>
      <c r="AA4337" s="1">
        <v>328000.0</v>
      </c>
      <c r="AB4337" s="1"/>
      <c r="AC4337" s="1" t="s">
        <v>36</v>
      </c>
      <c r="AD4337" s="1" t="s">
        <v>14942</v>
      </c>
      <c r="AE4337" s="1" t="s">
        <v>32</v>
      </c>
      <c r="AF4337" s="1" t="s">
        <v>33</v>
      </c>
      <c r="AG4337" s="1" t="s">
        <v>137</v>
      </c>
    </row>
    <row r="4338" spans="1:33">
      <c r="A4338" t="s">
        <v>14943</v>
      </c>
      <c r="C4338" t="s">
        <v>5580</v>
      </c>
      <c r="E4338" t="s">
        <v>14225</v>
      </c>
      <c r="F4338" t="s">
        <v>14226</v>
      </c>
      <c r="G4338">
        <v>340.5</v>
      </c>
      <c r="H4338">
        <v>340.5</v>
      </c>
      <c r="I4338" t="s">
        <v>94</v>
      </c>
      <c r="J4338" t="s">
        <v>95</v>
      </c>
      <c r="K4338" t="s">
        <v>31</v>
      </c>
      <c r="L4338" t="s">
        <v>32</v>
      </c>
      <c r="M4338" t="s">
        <v>33</v>
      </c>
      <c r="P4338" s="1" t="s">
        <v>14944</v>
      </c>
      <c r="Q4338" s="1" t="s">
        <v>14225</v>
      </c>
      <c r="R4338" s="1" t="s">
        <v>14225</v>
      </c>
      <c r="S4338" s="1"/>
      <c r="T4338" s="1" t="s">
        <v>5582</v>
      </c>
      <c r="U4338" s="1" t="s">
        <v>5583</v>
      </c>
      <c r="V4338" s="1">
        <v>340.5</v>
      </c>
      <c r="W4338" s="1">
        <v>340.5</v>
      </c>
      <c r="X4338" s="1" t="s">
        <v>35</v>
      </c>
      <c r="Y4338" s="1">
        <v>340500.0</v>
      </c>
      <c r="Z4338" s="1"/>
      <c r="AA4338" s="1">
        <v>340500.0</v>
      </c>
      <c r="AB4338" s="1"/>
      <c r="AC4338" s="1" t="s">
        <v>36</v>
      </c>
      <c r="AD4338" s="1" t="s">
        <v>14945</v>
      </c>
      <c r="AE4338" s="1" t="s">
        <v>32</v>
      </c>
      <c r="AF4338" s="1" t="s">
        <v>33</v>
      </c>
      <c r="AG4338" s="1" t="s">
        <v>95</v>
      </c>
    </row>
    <row r="4339" spans="1:33">
      <c r="A4339" t="s">
        <v>14946</v>
      </c>
      <c r="C4339" t="s">
        <v>153</v>
      </c>
      <c r="D4339" t="s">
        <v>154</v>
      </c>
      <c r="E4339" t="s">
        <v>14225</v>
      </c>
      <c r="F4339" t="s">
        <v>14226</v>
      </c>
      <c r="G4339">
        <v>70.5</v>
      </c>
      <c r="H4339">
        <v>70.5</v>
      </c>
      <c r="I4339" t="s">
        <v>94</v>
      </c>
      <c r="J4339" t="s">
        <v>95</v>
      </c>
      <c r="K4339" t="s">
        <v>31</v>
      </c>
      <c r="L4339" t="s">
        <v>32</v>
      </c>
      <c r="M4339" t="s">
        <v>33</v>
      </c>
      <c r="P4339" s="1" t="s">
        <v>14947</v>
      </c>
      <c r="Q4339" s="1" t="s">
        <v>14225</v>
      </c>
      <c r="R4339" s="1" t="s">
        <v>14225</v>
      </c>
      <c r="S4339" s="1"/>
      <c r="T4339" s="1" t="s">
        <v>156</v>
      </c>
      <c r="U4339" s="1" t="s">
        <v>157</v>
      </c>
      <c r="V4339" s="1">
        <v>70.5</v>
      </c>
      <c r="W4339" s="1">
        <v>70.5</v>
      </c>
      <c r="X4339" s="1" t="s">
        <v>35</v>
      </c>
      <c r="Y4339" s="1">
        <v>70500.0</v>
      </c>
      <c r="Z4339" s="1"/>
      <c r="AA4339" s="1">
        <v>70500.0</v>
      </c>
      <c r="AB4339" s="1"/>
      <c r="AC4339" s="1" t="s">
        <v>36</v>
      </c>
      <c r="AD4339" s="1" t="s">
        <v>14948</v>
      </c>
      <c r="AE4339" s="1" t="s">
        <v>32</v>
      </c>
      <c r="AF4339" s="1" t="s">
        <v>33</v>
      </c>
      <c r="AG4339" s="1" t="s">
        <v>95</v>
      </c>
    </row>
    <row r="4340" spans="1:33">
      <c r="A4340" t="s">
        <v>14949</v>
      </c>
      <c r="C4340" t="s">
        <v>3381</v>
      </c>
      <c r="E4340" t="s">
        <v>14225</v>
      </c>
      <c r="F4340" t="s">
        <v>14226</v>
      </c>
      <c r="G4340">
        <v>720.0</v>
      </c>
      <c r="H4340">
        <v>720.0</v>
      </c>
      <c r="I4340" t="s">
        <v>94</v>
      </c>
      <c r="J4340" t="s">
        <v>95</v>
      </c>
      <c r="K4340" t="s">
        <v>31</v>
      </c>
      <c r="L4340" t="s">
        <v>32</v>
      </c>
      <c r="M4340" t="s">
        <v>33</v>
      </c>
      <c r="P4340" s="1" t="s">
        <v>14950</v>
      </c>
      <c r="Q4340" s="1" t="s">
        <v>14225</v>
      </c>
      <c r="R4340" s="1" t="s">
        <v>14225</v>
      </c>
      <c r="S4340" s="1"/>
      <c r="T4340" s="1" t="s">
        <v>3381</v>
      </c>
      <c r="U4340" s="1"/>
      <c r="V4340" s="1">
        <v>720.0</v>
      </c>
      <c r="W4340" s="1">
        <v>720.0</v>
      </c>
      <c r="X4340" s="1" t="s">
        <v>35</v>
      </c>
      <c r="Y4340" s="1">
        <v>720000.0</v>
      </c>
      <c r="Z4340" s="1"/>
      <c r="AA4340" s="1">
        <v>720000.0</v>
      </c>
      <c r="AB4340" s="1"/>
      <c r="AC4340" s="1" t="s">
        <v>36</v>
      </c>
      <c r="AD4340" s="1" t="s">
        <v>14927</v>
      </c>
      <c r="AE4340" s="1" t="s">
        <v>32</v>
      </c>
      <c r="AF4340" s="1" t="s">
        <v>33</v>
      </c>
      <c r="AG4340" s="1" t="s">
        <v>95</v>
      </c>
    </row>
    <row r="4341" spans="1:33">
      <c r="A4341" t="s">
        <v>14951</v>
      </c>
      <c r="C4341" t="s">
        <v>259</v>
      </c>
      <c r="D4341" t="s">
        <v>114</v>
      </c>
      <c r="E4341" t="s">
        <v>14225</v>
      </c>
      <c r="F4341" t="s">
        <v>14226</v>
      </c>
      <c r="G4341">
        <v>763.5</v>
      </c>
      <c r="H4341">
        <v>763.5</v>
      </c>
      <c r="I4341" t="s">
        <v>173</v>
      </c>
      <c r="J4341" t="s">
        <v>174</v>
      </c>
      <c r="K4341" t="s">
        <v>31</v>
      </c>
      <c r="L4341" t="s">
        <v>32</v>
      </c>
      <c r="M4341" t="s">
        <v>33</v>
      </c>
      <c r="P4341" s="1" t="s">
        <v>14952</v>
      </c>
      <c r="Q4341" s="1" t="s">
        <v>14225</v>
      </c>
      <c r="R4341" s="1" t="s">
        <v>14225</v>
      </c>
      <c r="S4341" s="1"/>
      <c r="T4341" s="1" t="s">
        <v>259</v>
      </c>
      <c r="U4341" s="1"/>
      <c r="V4341" s="1">
        <v>763.5</v>
      </c>
      <c r="W4341" s="1">
        <v>763.5</v>
      </c>
      <c r="X4341" s="1" t="s">
        <v>35</v>
      </c>
      <c r="Y4341" s="1">
        <v>763500.0</v>
      </c>
      <c r="Z4341" s="1"/>
      <c r="AA4341" s="1">
        <v>763500.0</v>
      </c>
      <c r="AB4341" s="1"/>
      <c r="AC4341" s="1" t="s">
        <v>36</v>
      </c>
      <c r="AD4341" s="1" t="s">
        <v>14953</v>
      </c>
      <c r="AE4341" s="1" t="s">
        <v>32</v>
      </c>
      <c r="AF4341" s="1" t="s">
        <v>33</v>
      </c>
      <c r="AG4341" s="1" t="s">
        <v>174</v>
      </c>
    </row>
    <row r="4342" spans="1:33">
      <c r="A4342" t="s">
        <v>14954</v>
      </c>
      <c r="B4342" t="s">
        <v>14955</v>
      </c>
      <c r="C4342" t="s">
        <v>1866</v>
      </c>
      <c r="E4342" t="s">
        <v>14225</v>
      </c>
      <c r="F4342" t="s">
        <v>14226</v>
      </c>
      <c r="G4342">
        <v>840.0</v>
      </c>
      <c r="H4342">
        <v>840.0</v>
      </c>
      <c r="I4342" t="s">
        <v>29</v>
      </c>
      <c r="J4342" t="s">
        <v>30</v>
      </c>
      <c r="K4342" t="s">
        <v>31</v>
      </c>
      <c r="L4342" t="s">
        <v>32</v>
      </c>
      <c r="M4342" t="s">
        <v>33</v>
      </c>
      <c r="P4342" s="1" t="s">
        <v>14956</v>
      </c>
      <c r="Q4342" s="1" t="s">
        <v>14225</v>
      </c>
      <c r="R4342" s="1" t="s">
        <v>14225</v>
      </c>
      <c r="S4342" s="1"/>
      <c r="T4342" s="1" t="s">
        <v>1866</v>
      </c>
      <c r="U4342" s="1"/>
      <c r="V4342" s="1">
        <v>840.0</v>
      </c>
      <c r="W4342" s="1">
        <v>840.0</v>
      </c>
      <c r="X4342" s="1" t="s">
        <v>35</v>
      </c>
      <c r="Y4342" s="1">
        <v>840000.0</v>
      </c>
      <c r="Z4342" s="1"/>
      <c r="AA4342" s="1">
        <v>840000.0</v>
      </c>
      <c r="AB4342" s="1"/>
      <c r="AC4342" s="1" t="s">
        <v>36</v>
      </c>
      <c r="AD4342" s="1" t="s">
        <v>14957</v>
      </c>
      <c r="AE4342" s="1" t="s">
        <v>32</v>
      </c>
      <c r="AF4342" s="1" t="s">
        <v>33</v>
      </c>
      <c r="AG4342" s="1" t="s">
        <v>30</v>
      </c>
    </row>
    <row r="4343" spans="1:33">
      <c r="A4343" t="s">
        <v>14958</v>
      </c>
      <c r="B4343" t="s">
        <v>14959</v>
      </c>
      <c r="C4343" t="s">
        <v>14960</v>
      </c>
      <c r="E4343" t="s">
        <v>14225</v>
      </c>
      <c r="F4343" t="s">
        <v>14226</v>
      </c>
      <c r="G4343">
        <v>420.796</v>
      </c>
      <c r="H4343">
        <v>420.796</v>
      </c>
      <c r="I4343" t="s">
        <v>529</v>
      </c>
      <c r="J4343" t="s">
        <v>530</v>
      </c>
      <c r="K4343" t="s">
        <v>31</v>
      </c>
      <c r="L4343" t="s">
        <v>32</v>
      </c>
      <c r="M4343" t="s">
        <v>33</v>
      </c>
      <c r="P4343" s="1" t="s">
        <v>14961</v>
      </c>
      <c r="Q4343" s="1" t="s">
        <v>14225</v>
      </c>
      <c r="R4343" s="1" t="s">
        <v>10616</v>
      </c>
      <c r="S4343" s="1"/>
      <c r="T4343" s="1" t="s">
        <v>14960</v>
      </c>
      <c r="U4343" s="1"/>
      <c r="V4343" s="1">
        <v>420.796</v>
      </c>
      <c r="W4343" s="1">
        <v>420.796</v>
      </c>
      <c r="X4343" s="1" t="s">
        <v>35</v>
      </c>
      <c r="Y4343" s="1">
        <v>420796.0</v>
      </c>
      <c r="Z4343" s="1"/>
      <c r="AA4343" s="1">
        <v>420796.0</v>
      </c>
      <c r="AB4343" s="1"/>
      <c r="AC4343" s="1" t="s">
        <v>36</v>
      </c>
      <c r="AD4343" s="1" t="s">
        <v>14962</v>
      </c>
      <c r="AE4343" s="1" t="s">
        <v>32</v>
      </c>
      <c r="AF4343" s="1" t="s">
        <v>33</v>
      </c>
      <c r="AG4343" s="1" t="s">
        <v>530</v>
      </c>
    </row>
    <row r="4344" spans="1:33">
      <c r="A4344" t="s">
        <v>14963</v>
      </c>
      <c r="B4344" t="s">
        <v>14964</v>
      </c>
      <c r="C4344" t="s">
        <v>125</v>
      </c>
      <c r="E4344" t="s">
        <v>14225</v>
      </c>
      <c r="F4344" t="s">
        <v>14226</v>
      </c>
      <c r="G4344">
        <v>25.84</v>
      </c>
      <c r="H4344">
        <v>25.84</v>
      </c>
      <c r="I4344" t="s">
        <v>126</v>
      </c>
      <c r="J4344" t="s">
        <v>127</v>
      </c>
      <c r="K4344" t="s">
        <v>31</v>
      </c>
      <c r="L4344" t="s">
        <v>32</v>
      </c>
      <c r="M4344" t="s">
        <v>33</v>
      </c>
      <c r="P4344" s="1" t="s">
        <v>14965</v>
      </c>
      <c r="Q4344" s="1" t="s">
        <v>14225</v>
      </c>
      <c r="R4344" s="1" t="s">
        <v>14225</v>
      </c>
      <c r="S4344" s="1"/>
      <c r="T4344" s="1" t="s">
        <v>125</v>
      </c>
      <c r="U4344" s="1"/>
      <c r="V4344" s="1">
        <v>25.84</v>
      </c>
      <c r="W4344" s="1">
        <v>25.84</v>
      </c>
      <c r="X4344" s="1" t="s">
        <v>35</v>
      </c>
      <c r="Y4344" s="1">
        <v>25840.0</v>
      </c>
      <c r="Z4344" s="1"/>
      <c r="AA4344" s="1">
        <v>25840.0</v>
      </c>
      <c r="AB4344" s="1"/>
      <c r="AC4344" s="1" t="s">
        <v>36</v>
      </c>
      <c r="AD4344" s="1" t="s">
        <v>14966</v>
      </c>
      <c r="AE4344" s="1" t="s">
        <v>32</v>
      </c>
      <c r="AF4344" s="1" t="s">
        <v>33</v>
      </c>
      <c r="AG4344" s="1" t="s">
        <v>127</v>
      </c>
    </row>
    <row r="4345" spans="1:33">
      <c r="A4345" t="s">
        <v>14967</v>
      </c>
      <c r="B4345" t="s">
        <v>14968</v>
      </c>
      <c r="C4345" t="s">
        <v>14969</v>
      </c>
      <c r="E4345" t="s">
        <v>14225</v>
      </c>
      <c r="F4345" t="s">
        <v>14226</v>
      </c>
      <c r="G4345">
        <v>953.818</v>
      </c>
      <c r="H4345">
        <v>953.818</v>
      </c>
      <c r="I4345" t="s">
        <v>529</v>
      </c>
      <c r="J4345" t="s">
        <v>530</v>
      </c>
      <c r="K4345" t="s">
        <v>31</v>
      </c>
      <c r="L4345" t="s">
        <v>32</v>
      </c>
      <c r="M4345" t="s">
        <v>33</v>
      </c>
      <c r="P4345" s="1" t="s">
        <v>14970</v>
      </c>
      <c r="Q4345" s="1" t="s">
        <v>14225</v>
      </c>
      <c r="R4345" s="1" t="s">
        <v>10616</v>
      </c>
      <c r="S4345" s="1"/>
      <c r="T4345" s="1" t="s">
        <v>14969</v>
      </c>
      <c r="U4345" s="1"/>
      <c r="V4345" s="1">
        <v>953.818</v>
      </c>
      <c r="W4345" s="1">
        <v>953.818</v>
      </c>
      <c r="X4345" s="1" t="s">
        <v>35</v>
      </c>
      <c r="Y4345" s="1">
        <v>953818.0</v>
      </c>
      <c r="Z4345" s="1"/>
      <c r="AA4345" s="1">
        <v>953818.0</v>
      </c>
      <c r="AB4345" s="1"/>
      <c r="AC4345" s="1" t="s">
        <v>36</v>
      </c>
      <c r="AD4345" s="1" t="s">
        <v>14902</v>
      </c>
      <c r="AE4345" s="1" t="s">
        <v>32</v>
      </c>
      <c r="AF4345" s="1" t="s">
        <v>33</v>
      </c>
      <c r="AG4345" s="1" t="s">
        <v>530</v>
      </c>
    </row>
    <row r="4346" spans="1:33">
      <c r="A4346" t="s">
        <v>14971</v>
      </c>
      <c r="B4346" t="s">
        <v>14972</v>
      </c>
      <c r="C4346" t="s">
        <v>14973</v>
      </c>
      <c r="E4346" t="s">
        <v>14225</v>
      </c>
      <c r="F4346" t="s">
        <v>14226</v>
      </c>
      <c r="G4346">
        <v>1.68</v>
      </c>
      <c r="H4346">
        <v>1.68</v>
      </c>
      <c r="I4346" t="s">
        <v>29</v>
      </c>
      <c r="J4346" t="s">
        <v>30</v>
      </c>
      <c r="K4346" t="s">
        <v>31</v>
      </c>
      <c r="L4346" t="s">
        <v>32</v>
      </c>
      <c r="M4346" t="s">
        <v>33</v>
      </c>
      <c r="P4346" s="1" t="s">
        <v>14974</v>
      </c>
      <c r="Q4346" s="1" t="s">
        <v>14225</v>
      </c>
      <c r="R4346" s="1" t="s">
        <v>14225</v>
      </c>
      <c r="S4346" s="1"/>
      <c r="T4346" s="1" t="s">
        <v>14973</v>
      </c>
      <c r="U4346" s="1"/>
      <c r="V4346" s="1">
        <v>1.68</v>
      </c>
      <c r="W4346" s="1">
        <v>1.68</v>
      </c>
      <c r="X4346" s="1" t="s">
        <v>35</v>
      </c>
      <c r="Y4346" s="1">
        <v>1680000.0</v>
      </c>
      <c r="Z4346" s="1"/>
      <c r="AA4346" s="1">
        <v>1680000.0</v>
      </c>
      <c r="AB4346" s="1"/>
      <c r="AC4346" s="1" t="s">
        <v>36</v>
      </c>
      <c r="AD4346" s="1" t="s">
        <v>14906</v>
      </c>
      <c r="AE4346" s="1" t="s">
        <v>32</v>
      </c>
      <c r="AF4346" s="1" t="s">
        <v>33</v>
      </c>
      <c r="AG4346" s="1" t="s">
        <v>30</v>
      </c>
    </row>
    <row r="4347" spans="1:33">
      <c r="A4347" t="s">
        <v>14975</v>
      </c>
      <c r="C4347" t="s">
        <v>688</v>
      </c>
      <c r="E4347" t="s">
        <v>14225</v>
      </c>
      <c r="F4347" t="s">
        <v>14226</v>
      </c>
      <c r="G4347">
        <v>4.92</v>
      </c>
      <c r="H4347">
        <v>4.92</v>
      </c>
      <c r="I4347" t="s">
        <v>269</v>
      </c>
      <c r="J4347" t="s">
        <v>270</v>
      </c>
      <c r="K4347" t="s">
        <v>31</v>
      </c>
      <c r="L4347" t="s">
        <v>32</v>
      </c>
      <c r="M4347" t="s">
        <v>33</v>
      </c>
      <c r="P4347" s="1" t="s">
        <v>14976</v>
      </c>
      <c r="Q4347" s="1" t="s">
        <v>14225</v>
      </c>
      <c r="R4347" s="1" t="s">
        <v>14225</v>
      </c>
      <c r="S4347" s="1"/>
      <c r="T4347" s="1" t="s">
        <v>688</v>
      </c>
      <c r="U4347" s="1"/>
      <c r="V4347" s="1">
        <v>4.92</v>
      </c>
      <c r="W4347" s="1">
        <v>4.92</v>
      </c>
      <c r="X4347" s="1" t="s">
        <v>35</v>
      </c>
      <c r="Y4347" s="1">
        <v>4920000.0</v>
      </c>
      <c r="Z4347" s="1"/>
      <c r="AA4347" s="1">
        <v>4920000.0</v>
      </c>
      <c r="AB4347" s="1"/>
      <c r="AC4347" s="1" t="s">
        <v>36</v>
      </c>
      <c r="AD4347" s="1" t="s">
        <v>14977</v>
      </c>
      <c r="AE4347" s="1" t="s">
        <v>32</v>
      </c>
      <c r="AF4347" s="1" t="s">
        <v>33</v>
      </c>
      <c r="AG4347" s="1" t="s">
        <v>270</v>
      </c>
    </row>
    <row r="4348" spans="1:33">
      <c r="A4348" t="s">
        <v>14978</v>
      </c>
      <c r="B4348" t="s">
        <v>2611</v>
      </c>
      <c r="C4348" t="s">
        <v>2612</v>
      </c>
      <c r="E4348" t="s">
        <v>14225</v>
      </c>
      <c r="F4348" t="s">
        <v>14226</v>
      </c>
      <c r="G4348">
        <v>1.56</v>
      </c>
      <c r="H4348">
        <v>1.56</v>
      </c>
      <c r="I4348" t="s">
        <v>29</v>
      </c>
      <c r="J4348" t="s">
        <v>30</v>
      </c>
      <c r="K4348" t="s">
        <v>31</v>
      </c>
      <c r="L4348" t="s">
        <v>32</v>
      </c>
      <c r="M4348" t="s">
        <v>33</v>
      </c>
      <c r="P4348" s="1" t="s">
        <v>14979</v>
      </c>
      <c r="Q4348" s="1" t="s">
        <v>14225</v>
      </c>
      <c r="R4348" s="1" t="s">
        <v>14225</v>
      </c>
      <c r="S4348" s="1"/>
      <c r="T4348" s="1" t="s">
        <v>2614</v>
      </c>
      <c r="U4348" s="1" t="s">
        <v>154</v>
      </c>
      <c r="V4348" s="1">
        <v>1.56</v>
      </c>
      <c r="W4348" s="1">
        <v>1.56</v>
      </c>
      <c r="X4348" s="1" t="s">
        <v>35</v>
      </c>
      <c r="Y4348" s="1">
        <v>1560000.0</v>
      </c>
      <c r="Z4348" s="1"/>
      <c r="AA4348" s="1">
        <v>1560000.0</v>
      </c>
      <c r="AB4348" s="1"/>
      <c r="AC4348" s="1" t="s">
        <v>36</v>
      </c>
      <c r="AD4348" s="1" t="s">
        <v>14880</v>
      </c>
      <c r="AE4348" s="1" t="s">
        <v>32</v>
      </c>
      <c r="AF4348" s="1" t="s">
        <v>33</v>
      </c>
      <c r="AG4348" s="1" t="s">
        <v>30</v>
      </c>
    </row>
    <row r="4349" spans="1:33">
      <c r="A4349" t="s">
        <v>14980</v>
      </c>
      <c r="C4349" t="s">
        <v>852</v>
      </c>
      <c r="E4349" t="s">
        <v>14225</v>
      </c>
      <c r="F4349" t="s">
        <v>14226</v>
      </c>
      <c r="G4349">
        <v>326.0</v>
      </c>
      <c r="H4349">
        <v>326.0</v>
      </c>
      <c r="I4349" t="s">
        <v>847</v>
      </c>
      <c r="J4349" t="s">
        <v>848</v>
      </c>
      <c r="K4349" t="s">
        <v>31</v>
      </c>
      <c r="L4349" t="s">
        <v>32</v>
      </c>
      <c r="M4349" t="s">
        <v>33</v>
      </c>
      <c r="P4349" s="1" t="s">
        <v>14981</v>
      </c>
      <c r="Q4349" s="1" t="s">
        <v>14225</v>
      </c>
      <c r="R4349" s="1" t="s">
        <v>14225</v>
      </c>
      <c r="S4349" s="1"/>
      <c r="T4349" s="1" t="s">
        <v>852</v>
      </c>
      <c r="U4349" s="1"/>
      <c r="V4349" s="1">
        <v>326.0</v>
      </c>
      <c r="W4349" s="1">
        <v>326.0</v>
      </c>
      <c r="X4349" s="1" t="s">
        <v>35</v>
      </c>
      <c r="Y4349" s="1">
        <v>326000.0</v>
      </c>
      <c r="Z4349" s="1"/>
      <c r="AA4349" s="1">
        <v>326000.0</v>
      </c>
      <c r="AB4349" s="1"/>
      <c r="AC4349" s="1" t="s">
        <v>36</v>
      </c>
      <c r="AD4349" s="1" t="s">
        <v>14982</v>
      </c>
      <c r="AE4349" s="1" t="s">
        <v>32</v>
      </c>
      <c r="AF4349" s="1" t="s">
        <v>33</v>
      </c>
      <c r="AG4349" s="1" t="s">
        <v>848</v>
      </c>
    </row>
    <row r="4350" spans="1:33">
      <c r="A4350" t="s">
        <v>14983</v>
      </c>
      <c r="B4350" t="s">
        <v>1772</v>
      </c>
      <c r="C4350" t="s">
        <v>1773</v>
      </c>
      <c r="D4350" t="s">
        <v>154</v>
      </c>
      <c r="E4350" t="s">
        <v>14225</v>
      </c>
      <c r="F4350" t="s">
        <v>14226</v>
      </c>
      <c r="G4350">
        <v>4.2</v>
      </c>
      <c r="H4350">
        <v>4.2</v>
      </c>
      <c r="I4350" t="s">
        <v>29</v>
      </c>
      <c r="J4350" t="s">
        <v>30</v>
      </c>
      <c r="K4350" t="s">
        <v>31</v>
      </c>
      <c r="L4350" t="s">
        <v>32</v>
      </c>
      <c r="M4350" t="s">
        <v>33</v>
      </c>
      <c r="P4350" s="1" t="s">
        <v>14984</v>
      </c>
      <c r="Q4350" s="1" t="s">
        <v>14225</v>
      </c>
      <c r="R4350" s="1" t="s">
        <v>14225</v>
      </c>
      <c r="S4350" s="1"/>
      <c r="T4350" s="1" t="s">
        <v>1773</v>
      </c>
      <c r="U4350" s="1"/>
      <c r="V4350" s="1">
        <v>4.2</v>
      </c>
      <c r="W4350" s="1">
        <v>4.2</v>
      </c>
      <c r="X4350" s="1" t="s">
        <v>35</v>
      </c>
      <c r="Y4350" s="1">
        <v>4200000.0</v>
      </c>
      <c r="Z4350" s="1"/>
      <c r="AA4350" s="1">
        <v>4200000.0</v>
      </c>
      <c r="AB4350" s="1"/>
      <c r="AC4350" s="1" t="s">
        <v>36</v>
      </c>
      <c r="AD4350" s="1" t="s">
        <v>14985</v>
      </c>
      <c r="AE4350" s="1" t="s">
        <v>32</v>
      </c>
      <c r="AF4350" s="1" t="s">
        <v>33</v>
      </c>
      <c r="AG4350" s="1" t="s">
        <v>30</v>
      </c>
    </row>
    <row r="4351" spans="1:33">
      <c r="A4351" t="s">
        <v>14986</v>
      </c>
      <c r="C4351" t="s">
        <v>131</v>
      </c>
      <c r="E4351" t="s">
        <v>14225</v>
      </c>
      <c r="F4351" t="s">
        <v>14226</v>
      </c>
      <c r="G4351">
        <v>106.74</v>
      </c>
      <c r="H4351">
        <v>106.74</v>
      </c>
      <c r="I4351" t="s">
        <v>94</v>
      </c>
      <c r="J4351" t="s">
        <v>95</v>
      </c>
      <c r="K4351" t="s">
        <v>31</v>
      </c>
      <c r="L4351" t="s">
        <v>32</v>
      </c>
      <c r="M4351" t="s">
        <v>33</v>
      </c>
      <c r="P4351" s="1" t="s">
        <v>14987</v>
      </c>
      <c r="Q4351" s="1" t="s">
        <v>14225</v>
      </c>
      <c r="R4351" s="1" t="s">
        <v>14225</v>
      </c>
      <c r="S4351" s="1"/>
      <c r="T4351" s="1" t="s">
        <v>131</v>
      </c>
      <c r="U4351" s="1"/>
      <c r="V4351" s="1">
        <v>106.74</v>
      </c>
      <c r="W4351" s="1">
        <v>106.74</v>
      </c>
      <c r="X4351" s="1" t="s">
        <v>35</v>
      </c>
      <c r="Y4351" s="1">
        <v>106740.0</v>
      </c>
      <c r="Z4351" s="1"/>
      <c r="AA4351" s="1">
        <v>106740.0</v>
      </c>
      <c r="AB4351" s="1"/>
      <c r="AC4351" s="1" t="s">
        <v>36</v>
      </c>
      <c r="AD4351" s="1" t="s">
        <v>14988</v>
      </c>
      <c r="AE4351" s="1" t="s">
        <v>32</v>
      </c>
      <c r="AF4351" s="1" t="s">
        <v>33</v>
      </c>
      <c r="AG4351" s="1" t="s">
        <v>95</v>
      </c>
    </row>
    <row r="4352" spans="1:33">
      <c r="A4352" t="s">
        <v>14989</v>
      </c>
      <c r="C4352" t="s">
        <v>2262</v>
      </c>
      <c r="E4352" t="s">
        <v>14225</v>
      </c>
      <c r="F4352" t="s">
        <v>14226</v>
      </c>
      <c r="G4352">
        <v>1.259</v>
      </c>
      <c r="H4352">
        <v>1.259</v>
      </c>
      <c r="I4352" t="s">
        <v>269</v>
      </c>
      <c r="J4352" t="s">
        <v>270</v>
      </c>
      <c r="K4352" t="s">
        <v>31</v>
      </c>
      <c r="L4352" t="s">
        <v>32</v>
      </c>
      <c r="M4352" t="s">
        <v>33</v>
      </c>
      <c r="P4352" s="1" t="s">
        <v>14990</v>
      </c>
      <c r="Q4352" s="1" t="s">
        <v>14225</v>
      </c>
      <c r="R4352" s="1" t="s">
        <v>14225</v>
      </c>
      <c r="S4352" s="1"/>
      <c r="T4352" s="1" t="s">
        <v>2262</v>
      </c>
      <c r="U4352" s="1"/>
      <c r="V4352" s="1">
        <v>1.259</v>
      </c>
      <c r="W4352" s="1">
        <v>1.259</v>
      </c>
      <c r="X4352" s="1" t="s">
        <v>35</v>
      </c>
      <c r="Y4352" s="1">
        <v>1259750.0</v>
      </c>
      <c r="Z4352" s="1"/>
      <c r="AA4352" s="1">
        <v>1259750.0</v>
      </c>
      <c r="AB4352" s="1"/>
      <c r="AC4352" s="1" t="s">
        <v>36</v>
      </c>
      <c r="AD4352" s="1" t="s">
        <v>14991</v>
      </c>
      <c r="AE4352" s="1" t="s">
        <v>32</v>
      </c>
      <c r="AF4352" s="1" t="s">
        <v>33</v>
      </c>
      <c r="AG4352" s="1" t="s">
        <v>270</v>
      </c>
    </row>
    <row r="4353" spans="1:33">
      <c r="A4353" t="s">
        <v>14992</v>
      </c>
      <c r="C4353" t="s">
        <v>14993</v>
      </c>
      <c r="E4353" t="s">
        <v>14225</v>
      </c>
      <c r="F4353" t="s">
        <v>14226</v>
      </c>
      <c r="G4353">
        <v>320.0</v>
      </c>
      <c r="H4353">
        <v>320.0</v>
      </c>
      <c r="I4353" t="s">
        <v>173</v>
      </c>
      <c r="J4353" t="s">
        <v>174</v>
      </c>
      <c r="K4353" t="s">
        <v>31</v>
      </c>
      <c r="L4353" t="s">
        <v>32</v>
      </c>
      <c r="M4353" t="s">
        <v>33</v>
      </c>
      <c r="P4353" s="1" t="s">
        <v>14994</v>
      </c>
      <c r="Q4353" s="1" t="s">
        <v>14225</v>
      </c>
      <c r="R4353" s="1" t="s">
        <v>14225</v>
      </c>
      <c r="S4353" s="1"/>
      <c r="T4353" s="1" t="s">
        <v>14993</v>
      </c>
      <c r="U4353" s="1"/>
      <c r="V4353" s="1">
        <v>320.0</v>
      </c>
      <c r="W4353" s="1">
        <v>320.0</v>
      </c>
      <c r="X4353" s="1" t="s">
        <v>35</v>
      </c>
      <c r="Y4353" s="1">
        <v>320000.0</v>
      </c>
      <c r="Z4353" s="1"/>
      <c r="AA4353" s="1">
        <v>320000.0</v>
      </c>
      <c r="AB4353" s="1"/>
      <c r="AC4353" s="1" t="s">
        <v>36</v>
      </c>
      <c r="AD4353" s="1" t="s">
        <v>14995</v>
      </c>
      <c r="AE4353" s="1" t="s">
        <v>32</v>
      </c>
      <c r="AF4353" s="1" t="s">
        <v>33</v>
      </c>
      <c r="AG4353" s="1" t="s">
        <v>174</v>
      </c>
    </row>
    <row r="4354" spans="1:33">
      <c r="A4354" t="s">
        <v>14996</v>
      </c>
      <c r="B4354" t="s">
        <v>7237</v>
      </c>
      <c r="C4354" t="s">
        <v>125</v>
      </c>
      <c r="E4354" t="s">
        <v>14225</v>
      </c>
      <c r="F4354" t="s">
        <v>14226</v>
      </c>
      <c r="G4354">
        <v>8.998</v>
      </c>
      <c r="H4354">
        <v>8.998</v>
      </c>
      <c r="I4354" t="s">
        <v>126</v>
      </c>
      <c r="J4354" t="s">
        <v>127</v>
      </c>
      <c r="K4354" t="s">
        <v>31</v>
      </c>
      <c r="L4354" t="s">
        <v>32</v>
      </c>
      <c r="M4354" t="s">
        <v>33</v>
      </c>
      <c r="P4354" s="1" t="s">
        <v>14997</v>
      </c>
      <c r="Q4354" s="1" t="s">
        <v>14225</v>
      </c>
      <c r="R4354" s="1" t="s">
        <v>14225</v>
      </c>
      <c r="S4354" s="1"/>
      <c r="T4354" s="1" t="s">
        <v>125</v>
      </c>
      <c r="U4354" s="1"/>
      <c r="V4354" s="1">
        <v>8.998</v>
      </c>
      <c r="W4354" s="1">
        <v>8.998</v>
      </c>
      <c r="X4354" s="1" t="s">
        <v>35</v>
      </c>
      <c r="Y4354" s="1">
        <v>8998.0</v>
      </c>
      <c r="Z4354" s="1"/>
      <c r="AA4354" s="1">
        <v>8998.0</v>
      </c>
      <c r="AB4354" s="1"/>
      <c r="AC4354" s="1" t="s">
        <v>36</v>
      </c>
      <c r="AD4354" s="1" t="s">
        <v>14998</v>
      </c>
      <c r="AE4354" s="1" t="s">
        <v>32</v>
      </c>
      <c r="AF4354" s="1" t="s">
        <v>33</v>
      </c>
      <c r="AG4354" s="1" t="s">
        <v>127</v>
      </c>
    </row>
    <row r="4355" spans="1:33">
      <c r="A4355" t="s">
        <v>14999</v>
      </c>
      <c r="C4355" t="s">
        <v>15000</v>
      </c>
      <c r="E4355" t="s">
        <v>14225</v>
      </c>
      <c r="F4355" t="s">
        <v>14226</v>
      </c>
      <c r="G4355">
        <v>328.0</v>
      </c>
      <c r="H4355">
        <v>328.0</v>
      </c>
      <c r="I4355" t="s">
        <v>269</v>
      </c>
      <c r="J4355" t="s">
        <v>270</v>
      </c>
      <c r="K4355" t="s">
        <v>31</v>
      </c>
      <c r="L4355" t="s">
        <v>32</v>
      </c>
      <c r="M4355" t="s">
        <v>33</v>
      </c>
      <c r="P4355" s="1" t="s">
        <v>15001</v>
      </c>
      <c r="Q4355" s="1" t="s">
        <v>14225</v>
      </c>
      <c r="R4355" s="1" t="s">
        <v>14225</v>
      </c>
      <c r="S4355" s="1"/>
      <c r="T4355" s="1" t="s">
        <v>15002</v>
      </c>
      <c r="U4355" s="1" t="s">
        <v>15003</v>
      </c>
      <c r="V4355" s="1">
        <v>328.0</v>
      </c>
      <c r="W4355" s="1">
        <v>328.0</v>
      </c>
      <c r="X4355" s="1" t="s">
        <v>35</v>
      </c>
      <c r="Y4355" s="1">
        <v>328000.0</v>
      </c>
      <c r="Z4355" s="1"/>
      <c r="AA4355" s="1">
        <v>328000.0</v>
      </c>
      <c r="AB4355" s="1"/>
      <c r="AC4355" s="1" t="s">
        <v>36</v>
      </c>
      <c r="AD4355" s="1" t="s">
        <v>14995</v>
      </c>
      <c r="AE4355" s="1" t="s">
        <v>32</v>
      </c>
      <c r="AF4355" s="1" t="s">
        <v>33</v>
      </c>
      <c r="AG4355" s="1" t="s">
        <v>270</v>
      </c>
    </row>
    <row r="4356" spans="1:33">
      <c r="A4356" t="s">
        <v>15004</v>
      </c>
      <c r="B4356" t="s">
        <v>15005</v>
      </c>
      <c r="C4356" t="s">
        <v>268</v>
      </c>
      <c r="E4356" t="s">
        <v>14225</v>
      </c>
      <c r="F4356" t="s">
        <v>14226</v>
      </c>
      <c r="G4356">
        <v>60.0</v>
      </c>
      <c r="H4356">
        <v>60.0</v>
      </c>
      <c r="I4356" t="s">
        <v>269</v>
      </c>
      <c r="J4356" t="s">
        <v>270</v>
      </c>
      <c r="K4356" t="s">
        <v>31</v>
      </c>
      <c r="L4356" t="s">
        <v>32</v>
      </c>
      <c r="M4356" t="s">
        <v>33</v>
      </c>
      <c r="P4356" s="1" t="s">
        <v>15006</v>
      </c>
      <c r="Q4356" s="1" t="s">
        <v>14225</v>
      </c>
      <c r="R4356" s="1" t="s">
        <v>14225</v>
      </c>
      <c r="S4356" s="1"/>
      <c r="T4356" s="1" t="s">
        <v>268</v>
      </c>
      <c r="U4356" s="1"/>
      <c r="V4356" s="1">
        <v>60.0</v>
      </c>
      <c r="W4356" s="1">
        <v>60.0</v>
      </c>
      <c r="X4356" s="1" t="s">
        <v>35</v>
      </c>
      <c r="Y4356" s="1">
        <v>60000.0</v>
      </c>
      <c r="Z4356" s="1"/>
      <c r="AA4356" s="1">
        <v>60000.0</v>
      </c>
      <c r="AB4356" s="1"/>
      <c r="AC4356" s="1" t="s">
        <v>36</v>
      </c>
      <c r="AD4356" s="1" t="s">
        <v>15007</v>
      </c>
      <c r="AE4356" s="1" t="s">
        <v>32</v>
      </c>
      <c r="AF4356" s="1" t="s">
        <v>33</v>
      </c>
      <c r="AG4356" s="1" t="s">
        <v>270</v>
      </c>
    </row>
    <row r="4357" spans="1:33">
      <c r="A4357" t="s">
        <v>15008</v>
      </c>
      <c r="B4357" t="s">
        <v>1108</v>
      </c>
      <c r="C4357" t="s">
        <v>1109</v>
      </c>
      <c r="E4357" t="s">
        <v>14225</v>
      </c>
      <c r="F4357" t="s">
        <v>14226</v>
      </c>
      <c r="G4357">
        <v>328.0</v>
      </c>
      <c r="H4357">
        <v>328.0</v>
      </c>
      <c r="I4357" t="s">
        <v>529</v>
      </c>
      <c r="J4357" t="s">
        <v>530</v>
      </c>
      <c r="K4357" t="s">
        <v>31</v>
      </c>
      <c r="L4357" t="s">
        <v>32</v>
      </c>
      <c r="M4357" t="s">
        <v>33</v>
      </c>
      <c r="P4357" s="1" t="s">
        <v>15009</v>
      </c>
      <c r="Q4357" s="1" t="s">
        <v>14225</v>
      </c>
      <c r="R4357" s="1" t="s">
        <v>10616</v>
      </c>
      <c r="S4357" s="1"/>
      <c r="T4357" s="1" t="s">
        <v>1111</v>
      </c>
      <c r="U4357" s="1" t="s">
        <v>1112</v>
      </c>
      <c r="V4357" s="1">
        <v>328.0</v>
      </c>
      <c r="W4357" s="1">
        <v>328.0</v>
      </c>
      <c r="X4357" s="1" t="s">
        <v>35</v>
      </c>
      <c r="Y4357" s="1">
        <v>328000.0</v>
      </c>
      <c r="Z4357" s="1"/>
      <c r="AA4357" s="1">
        <v>328000.0</v>
      </c>
      <c r="AB4357" s="1"/>
      <c r="AC4357" s="1" t="s">
        <v>36</v>
      </c>
      <c r="AD4357" s="1" t="s">
        <v>15010</v>
      </c>
      <c r="AE4357" s="1" t="s">
        <v>32</v>
      </c>
      <c r="AF4357" s="1" t="s">
        <v>33</v>
      </c>
      <c r="AG4357" s="1" t="s">
        <v>530</v>
      </c>
    </row>
    <row r="4358" spans="1:33">
      <c r="A4358" t="s">
        <v>15011</v>
      </c>
      <c r="C4358" t="s">
        <v>15012</v>
      </c>
      <c r="E4358" t="s">
        <v>14225</v>
      </c>
      <c r="F4358" t="s">
        <v>14226</v>
      </c>
      <c r="G4358">
        <v>336.0</v>
      </c>
      <c r="H4358">
        <v>336.0</v>
      </c>
      <c r="I4358" t="s">
        <v>2206</v>
      </c>
      <c r="J4358" t="s">
        <v>49</v>
      </c>
      <c r="K4358" t="s">
        <v>31</v>
      </c>
      <c r="L4358" t="s">
        <v>32</v>
      </c>
      <c r="M4358" t="s">
        <v>33</v>
      </c>
      <c r="P4358" s="1" t="s">
        <v>15013</v>
      </c>
      <c r="Q4358" s="1" t="s">
        <v>14225</v>
      </c>
      <c r="R4358" s="1" t="s">
        <v>14225</v>
      </c>
      <c r="S4358" s="1"/>
      <c r="T4358" s="1" t="s">
        <v>15014</v>
      </c>
      <c r="U4358" s="1" t="s">
        <v>473</v>
      </c>
      <c r="V4358" s="1">
        <v>336.0</v>
      </c>
      <c r="W4358" s="1">
        <v>336.0</v>
      </c>
      <c r="X4358" s="1" t="s">
        <v>35</v>
      </c>
      <c r="Y4358" s="1">
        <v>336000.0</v>
      </c>
      <c r="Z4358" s="1"/>
      <c r="AA4358" s="1">
        <v>336000.0</v>
      </c>
      <c r="AB4358" s="1"/>
      <c r="AC4358" s="1" t="s">
        <v>36</v>
      </c>
      <c r="AD4358" s="1" t="s">
        <v>15015</v>
      </c>
      <c r="AE4358" s="1" t="s">
        <v>32</v>
      </c>
      <c r="AF4358" s="1" t="s">
        <v>33</v>
      </c>
      <c r="AG4358" s="1" t="s">
        <v>49</v>
      </c>
    </row>
    <row r="4359" spans="1:33">
      <c r="A4359" t="s">
        <v>15016</v>
      </c>
      <c r="C4359" t="s">
        <v>2240</v>
      </c>
      <c r="E4359" t="s">
        <v>14225</v>
      </c>
      <c r="F4359" t="s">
        <v>14226</v>
      </c>
      <c r="G4359">
        <v>392.2</v>
      </c>
      <c r="H4359">
        <v>392.2</v>
      </c>
      <c r="I4359" t="s">
        <v>269</v>
      </c>
      <c r="J4359" t="s">
        <v>270</v>
      </c>
      <c r="K4359" t="s">
        <v>31</v>
      </c>
      <c r="L4359" t="s">
        <v>32</v>
      </c>
      <c r="M4359" t="s">
        <v>33</v>
      </c>
      <c r="P4359" s="1" t="s">
        <v>15017</v>
      </c>
      <c r="Q4359" s="1" t="s">
        <v>14225</v>
      </c>
      <c r="R4359" s="1" t="s">
        <v>14225</v>
      </c>
      <c r="S4359" s="1"/>
      <c r="T4359" s="1" t="s">
        <v>2240</v>
      </c>
      <c r="U4359" s="1"/>
      <c r="V4359" s="1">
        <v>392.2</v>
      </c>
      <c r="W4359" s="1">
        <v>392.2</v>
      </c>
      <c r="X4359" s="1" t="s">
        <v>35</v>
      </c>
      <c r="Y4359" s="1">
        <v>392200.0</v>
      </c>
      <c r="Z4359" s="1"/>
      <c r="AA4359" s="1">
        <v>392200.0</v>
      </c>
      <c r="AB4359" s="1"/>
      <c r="AC4359" s="1" t="s">
        <v>36</v>
      </c>
      <c r="AD4359" s="1" t="s">
        <v>15018</v>
      </c>
      <c r="AE4359" s="1" t="s">
        <v>32</v>
      </c>
      <c r="AF4359" s="1" t="s">
        <v>33</v>
      </c>
      <c r="AG4359" s="1" t="s">
        <v>270</v>
      </c>
    </row>
    <row r="4360" spans="1:33">
      <c r="A4360" t="s">
        <v>15019</v>
      </c>
      <c r="C4360" t="s">
        <v>4484</v>
      </c>
      <c r="E4360" t="s">
        <v>14225</v>
      </c>
      <c r="F4360" t="s">
        <v>14226</v>
      </c>
      <c r="G4360">
        <v>825.0</v>
      </c>
      <c r="H4360">
        <v>825.0</v>
      </c>
      <c r="I4360" t="s">
        <v>126</v>
      </c>
      <c r="J4360" t="s">
        <v>127</v>
      </c>
      <c r="K4360" t="s">
        <v>31</v>
      </c>
      <c r="L4360" t="s">
        <v>32</v>
      </c>
      <c r="M4360" t="s">
        <v>33</v>
      </c>
      <c r="P4360" s="1" t="s">
        <v>15020</v>
      </c>
      <c r="Q4360" s="1" t="s">
        <v>14225</v>
      </c>
      <c r="R4360" s="1" t="s">
        <v>14225</v>
      </c>
      <c r="S4360" s="1"/>
      <c r="T4360" s="1" t="s">
        <v>4484</v>
      </c>
      <c r="U4360" s="1"/>
      <c r="V4360" s="1">
        <v>825.0</v>
      </c>
      <c r="W4360" s="1">
        <v>825.0</v>
      </c>
      <c r="X4360" s="1" t="s">
        <v>35</v>
      </c>
      <c r="Y4360" s="1">
        <v>825000.0</v>
      </c>
      <c r="Z4360" s="1"/>
      <c r="AA4360" s="1">
        <v>825000.0</v>
      </c>
      <c r="AB4360" s="1"/>
      <c r="AC4360" s="1" t="s">
        <v>36</v>
      </c>
      <c r="AD4360" s="1" t="s">
        <v>15010</v>
      </c>
      <c r="AE4360" s="1" t="s">
        <v>32</v>
      </c>
      <c r="AF4360" s="1" t="s">
        <v>33</v>
      </c>
      <c r="AG4360" s="1" t="s">
        <v>127</v>
      </c>
    </row>
    <row r="4361" spans="1:33">
      <c r="A4361" t="s">
        <v>15021</v>
      </c>
      <c r="B4361" t="s">
        <v>15022</v>
      </c>
      <c r="C4361" t="s">
        <v>314</v>
      </c>
      <c r="E4361" t="s">
        <v>14225</v>
      </c>
      <c r="F4361" t="s">
        <v>14226</v>
      </c>
      <c r="G4361">
        <v>18.59</v>
      </c>
      <c r="H4361">
        <v>18.59</v>
      </c>
      <c r="I4361" t="s">
        <v>179</v>
      </c>
      <c r="J4361" t="s">
        <v>180</v>
      </c>
      <c r="K4361" t="s">
        <v>31</v>
      </c>
      <c r="L4361" t="s">
        <v>32</v>
      </c>
      <c r="M4361" t="s">
        <v>33</v>
      </c>
      <c r="P4361" s="1" t="s">
        <v>15023</v>
      </c>
      <c r="Q4361" s="1" t="s">
        <v>14225</v>
      </c>
      <c r="R4361" s="1" t="s">
        <v>14225</v>
      </c>
      <c r="S4361" s="1"/>
      <c r="T4361" s="1" t="s">
        <v>314</v>
      </c>
      <c r="U4361" s="1"/>
      <c r="V4361" s="1">
        <v>18.59</v>
      </c>
      <c r="W4361" s="1">
        <v>18.59</v>
      </c>
      <c r="X4361" s="1" t="s">
        <v>35</v>
      </c>
      <c r="Y4361" s="1">
        <v>18590.0</v>
      </c>
      <c r="Z4361" s="1"/>
      <c r="AA4361" s="1">
        <v>18590.0</v>
      </c>
      <c r="AB4361" s="1"/>
      <c r="AC4361" s="1" t="s">
        <v>36</v>
      </c>
      <c r="AD4361" s="1" t="s">
        <v>15024</v>
      </c>
      <c r="AE4361" s="1" t="s">
        <v>32</v>
      </c>
      <c r="AF4361" s="1" t="s">
        <v>33</v>
      </c>
      <c r="AG4361" s="1" t="s">
        <v>180</v>
      </c>
    </row>
    <row r="4362" spans="1:33">
      <c r="A4362" t="s">
        <v>15025</v>
      </c>
      <c r="B4362" t="s">
        <v>1649</v>
      </c>
      <c r="C4362" t="s">
        <v>1408</v>
      </c>
      <c r="E4362" t="s">
        <v>14225</v>
      </c>
      <c r="F4362" t="s">
        <v>14226</v>
      </c>
      <c r="G4362">
        <v>1.294</v>
      </c>
      <c r="H4362">
        <v>1.294</v>
      </c>
      <c r="I4362" t="s">
        <v>529</v>
      </c>
      <c r="J4362" t="s">
        <v>530</v>
      </c>
      <c r="K4362" t="s">
        <v>31</v>
      </c>
      <c r="L4362" t="s">
        <v>32</v>
      </c>
      <c r="M4362" t="s">
        <v>33</v>
      </c>
      <c r="P4362" s="1" t="s">
        <v>15026</v>
      </c>
      <c r="Q4362" s="1" t="s">
        <v>14225</v>
      </c>
      <c r="R4362" s="1" t="s">
        <v>10616</v>
      </c>
      <c r="S4362" s="1"/>
      <c r="T4362" s="1" t="s">
        <v>1408</v>
      </c>
      <c r="U4362" s="1"/>
      <c r="V4362" s="1">
        <v>1.294</v>
      </c>
      <c r="W4362" s="1">
        <v>1.294</v>
      </c>
      <c r="X4362" s="1" t="s">
        <v>35</v>
      </c>
      <c r="Y4362" s="1">
        <v>1294000.0</v>
      </c>
      <c r="Z4362" s="1"/>
      <c r="AA4362" s="1">
        <v>1294000.0</v>
      </c>
      <c r="AB4362" s="1"/>
      <c r="AC4362" s="1" t="s">
        <v>36</v>
      </c>
      <c r="AD4362" s="1" t="s">
        <v>15027</v>
      </c>
      <c r="AE4362" s="1" t="s">
        <v>32</v>
      </c>
      <c r="AF4362" s="1" t="s">
        <v>33</v>
      </c>
      <c r="AG4362" s="1" t="s">
        <v>530</v>
      </c>
    </row>
    <row r="4363" spans="1:33">
      <c r="A4363" t="s">
        <v>15028</v>
      </c>
      <c r="B4363" t="s">
        <v>650</v>
      </c>
      <c r="C4363" t="s">
        <v>314</v>
      </c>
      <c r="E4363" t="s">
        <v>14225</v>
      </c>
      <c r="F4363" t="s">
        <v>14226</v>
      </c>
      <c r="G4363">
        <v>150.78</v>
      </c>
      <c r="H4363">
        <v>150.78</v>
      </c>
      <c r="I4363" t="s">
        <v>179</v>
      </c>
      <c r="J4363" t="s">
        <v>180</v>
      </c>
      <c r="K4363" t="s">
        <v>31</v>
      </c>
      <c r="L4363" t="s">
        <v>32</v>
      </c>
      <c r="M4363" t="s">
        <v>33</v>
      </c>
      <c r="P4363" s="1" t="s">
        <v>15029</v>
      </c>
      <c r="Q4363" s="1" t="s">
        <v>14225</v>
      </c>
      <c r="R4363" s="1" t="s">
        <v>14225</v>
      </c>
      <c r="S4363" s="1"/>
      <c r="T4363" s="1" t="s">
        <v>314</v>
      </c>
      <c r="U4363" s="1"/>
      <c r="V4363" s="1">
        <v>150.78</v>
      </c>
      <c r="W4363" s="1">
        <v>150.78</v>
      </c>
      <c r="X4363" s="1" t="s">
        <v>35</v>
      </c>
      <c r="Y4363" s="1">
        <v>150780.0</v>
      </c>
      <c r="Z4363" s="1"/>
      <c r="AA4363" s="1">
        <v>150780.0</v>
      </c>
      <c r="AB4363" s="1"/>
      <c r="AC4363" s="1" t="s">
        <v>36</v>
      </c>
      <c r="AD4363" s="1" t="s">
        <v>15030</v>
      </c>
      <c r="AE4363" s="1" t="s">
        <v>32</v>
      </c>
      <c r="AF4363" s="1" t="s">
        <v>33</v>
      </c>
      <c r="AG4363" s="1" t="s">
        <v>180</v>
      </c>
    </row>
    <row r="4364" spans="1:33">
      <c r="A4364" t="s">
        <v>15031</v>
      </c>
      <c r="B4364" t="s">
        <v>705</v>
      </c>
      <c r="C4364" t="s">
        <v>268</v>
      </c>
      <c r="E4364" t="s">
        <v>14225</v>
      </c>
      <c r="F4364" t="s">
        <v>14226</v>
      </c>
      <c r="G4364">
        <v>36.75</v>
      </c>
      <c r="H4364">
        <v>36.75</v>
      </c>
      <c r="I4364" t="s">
        <v>269</v>
      </c>
      <c r="J4364" t="s">
        <v>270</v>
      </c>
      <c r="K4364" t="s">
        <v>31</v>
      </c>
      <c r="L4364" t="s">
        <v>32</v>
      </c>
      <c r="M4364" t="s">
        <v>33</v>
      </c>
      <c r="P4364" s="1" t="s">
        <v>15032</v>
      </c>
      <c r="Q4364" s="1" t="s">
        <v>14225</v>
      </c>
      <c r="R4364" s="1" t="s">
        <v>14225</v>
      </c>
      <c r="S4364" s="1"/>
      <c r="T4364" s="1" t="s">
        <v>268</v>
      </c>
      <c r="U4364" s="1"/>
      <c r="V4364" s="1">
        <v>36.75</v>
      </c>
      <c r="W4364" s="1">
        <v>36.75</v>
      </c>
      <c r="X4364" s="1" t="s">
        <v>35</v>
      </c>
      <c r="Y4364" s="1">
        <v>36750.0</v>
      </c>
      <c r="Z4364" s="1"/>
      <c r="AA4364" s="1">
        <v>36750.0</v>
      </c>
      <c r="AB4364" s="1"/>
      <c r="AC4364" s="1" t="s">
        <v>36</v>
      </c>
      <c r="AD4364" s="1" t="s">
        <v>15033</v>
      </c>
      <c r="AE4364" s="1" t="s">
        <v>32</v>
      </c>
      <c r="AF4364" s="1" t="s">
        <v>33</v>
      </c>
      <c r="AG4364" s="1" t="s">
        <v>270</v>
      </c>
    </row>
    <row r="4365" spans="1:33">
      <c r="A4365" t="s">
        <v>15034</v>
      </c>
      <c r="B4365" t="s">
        <v>9275</v>
      </c>
      <c r="C4365" t="s">
        <v>68</v>
      </c>
      <c r="E4365" t="s">
        <v>14225</v>
      </c>
      <c r="F4365" t="s">
        <v>14226</v>
      </c>
      <c r="G4365">
        <v>47.4</v>
      </c>
      <c r="H4365">
        <v>47.4</v>
      </c>
      <c r="I4365" t="s">
        <v>59</v>
      </c>
      <c r="J4365" t="s">
        <v>60</v>
      </c>
      <c r="K4365" t="s">
        <v>31</v>
      </c>
      <c r="L4365" t="s">
        <v>32</v>
      </c>
      <c r="M4365" t="s">
        <v>33</v>
      </c>
      <c r="P4365" s="1" t="s">
        <v>15035</v>
      </c>
      <c r="Q4365" s="1" t="s">
        <v>14225</v>
      </c>
      <c r="R4365" s="1" t="s">
        <v>14225</v>
      </c>
      <c r="S4365" s="1"/>
      <c r="T4365" s="1" t="s">
        <v>68</v>
      </c>
      <c r="U4365" s="1"/>
      <c r="V4365" s="1">
        <v>47.4</v>
      </c>
      <c r="W4365" s="1">
        <v>47.4</v>
      </c>
      <c r="X4365" s="1" t="s">
        <v>35</v>
      </c>
      <c r="Y4365" s="1">
        <v>47400.0</v>
      </c>
      <c r="Z4365" s="1"/>
      <c r="AA4365" s="1">
        <v>47400.0</v>
      </c>
      <c r="AB4365" s="1"/>
      <c r="AC4365" s="1" t="s">
        <v>36</v>
      </c>
      <c r="AD4365" s="1" t="s">
        <v>15027</v>
      </c>
      <c r="AE4365" s="1" t="s">
        <v>32</v>
      </c>
      <c r="AF4365" s="1" t="s">
        <v>33</v>
      </c>
      <c r="AG4365" s="1" t="s">
        <v>60</v>
      </c>
    </row>
    <row r="4366" spans="1:33">
      <c r="A4366" t="s">
        <v>15036</v>
      </c>
      <c r="B4366" t="s">
        <v>15037</v>
      </c>
      <c r="C4366" t="s">
        <v>73</v>
      </c>
      <c r="E4366" t="s">
        <v>14225</v>
      </c>
      <c r="F4366" t="s">
        <v>14226</v>
      </c>
      <c r="G4366">
        <v>89.99</v>
      </c>
      <c r="H4366">
        <v>89.99</v>
      </c>
      <c r="I4366" t="s">
        <v>40</v>
      </c>
      <c r="J4366" t="s">
        <v>41</v>
      </c>
      <c r="K4366" t="s">
        <v>31</v>
      </c>
      <c r="L4366" t="s">
        <v>32</v>
      </c>
      <c r="M4366" t="s">
        <v>33</v>
      </c>
      <c r="P4366" s="1" t="s">
        <v>15038</v>
      </c>
      <c r="Q4366" s="1" t="s">
        <v>14225</v>
      </c>
      <c r="R4366" s="1" t="s">
        <v>10616</v>
      </c>
      <c r="S4366" s="1"/>
      <c r="T4366" s="1" t="s">
        <v>75</v>
      </c>
      <c r="U4366" s="1" t="s">
        <v>76</v>
      </c>
      <c r="V4366" s="1">
        <v>89.99</v>
      </c>
      <c r="W4366" s="1">
        <v>89.99</v>
      </c>
      <c r="X4366" s="1" t="s">
        <v>35</v>
      </c>
      <c r="Y4366" s="1">
        <v>90000.0</v>
      </c>
      <c r="Z4366" s="1">
        <v>-10</v>
      </c>
      <c r="AA4366" s="1">
        <v>90000.0</v>
      </c>
      <c r="AB4366" s="1">
        <v>-10</v>
      </c>
      <c r="AC4366" s="1" t="s">
        <v>36</v>
      </c>
      <c r="AD4366" s="1" t="s">
        <v>15039</v>
      </c>
      <c r="AE4366" s="1" t="s">
        <v>32</v>
      </c>
      <c r="AF4366" s="1" t="s">
        <v>33</v>
      </c>
      <c r="AG4366" s="1" t="s">
        <v>41</v>
      </c>
    </row>
    <row r="4367" spans="1:33">
      <c r="A4367" t="s">
        <v>15040</v>
      </c>
      <c r="C4367" t="s">
        <v>4120</v>
      </c>
      <c r="E4367" t="s">
        <v>14225</v>
      </c>
      <c r="F4367" t="s">
        <v>14226</v>
      </c>
      <c r="G4367">
        <v>2.707</v>
      </c>
      <c r="H4367">
        <v>2.707</v>
      </c>
      <c r="I4367" t="s">
        <v>269</v>
      </c>
      <c r="J4367" t="s">
        <v>270</v>
      </c>
      <c r="K4367" t="s">
        <v>31</v>
      </c>
      <c r="L4367" t="s">
        <v>32</v>
      </c>
      <c r="M4367" t="s">
        <v>33</v>
      </c>
      <c r="P4367" s="1" t="s">
        <v>15041</v>
      </c>
      <c r="Q4367" s="1" t="s">
        <v>14225</v>
      </c>
      <c r="R4367" s="1" t="s">
        <v>14225</v>
      </c>
      <c r="S4367" s="1"/>
      <c r="T4367" s="1" t="s">
        <v>4120</v>
      </c>
      <c r="U4367" s="1"/>
      <c r="V4367" s="1">
        <v>2.707</v>
      </c>
      <c r="W4367" s="1">
        <v>2.707</v>
      </c>
      <c r="X4367" s="1" t="s">
        <v>35</v>
      </c>
      <c r="Y4367" s="1">
        <v>2707500.0</v>
      </c>
      <c r="Z4367" s="1"/>
      <c r="AA4367" s="1">
        <v>2707500.0</v>
      </c>
      <c r="AB4367" s="1"/>
      <c r="AC4367" s="1" t="s">
        <v>36</v>
      </c>
      <c r="AD4367" s="1" t="s">
        <v>15024</v>
      </c>
      <c r="AE4367" s="1" t="s">
        <v>32</v>
      </c>
      <c r="AF4367" s="1" t="s">
        <v>33</v>
      </c>
      <c r="AG4367" s="1" t="s">
        <v>270</v>
      </c>
    </row>
    <row r="4368" spans="1:33">
      <c r="A4368" t="s">
        <v>15042</v>
      </c>
      <c r="B4368" t="s">
        <v>6220</v>
      </c>
      <c r="C4368" t="s">
        <v>6221</v>
      </c>
      <c r="D4368" t="s">
        <v>114</v>
      </c>
      <c r="E4368" t="s">
        <v>14225</v>
      </c>
      <c r="F4368" t="s">
        <v>14226</v>
      </c>
      <c r="G4368">
        <v>1.441</v>
      </c>
      <c r="H4368">
        <v>1.441</v>
      </c>
      <c r="I4368" t="s">
        <v>529</v>
      </c>
      <c r="J4368" t="s">
        <v>530</v>
      </c>
      <c r="K4368" t="s">
        <v>31</v>
      </c>
      <c r="L4368" t="s">
        <v>32</v>
      </c>
      <c r="M4368" t="s">
        <v>33</v>
      </c>
      <c r="P4368" s="1" t="s">
        <v>15043</v>
      </c>
      <c r="Q4368" s="1" t="s">
        <v>14225</v>
      </c>
      <c r="R4368" s="1" t="s">
        <v>10616</v>
      </c>
      <c r="S4368" s="1"/>
      <c r="T4368" s="1" t="s">
        <v>6221</v>
      </c>
      <c r="U4368" s="1"/>
      <c r="V4368" s="1">
        <v>1.441</v>
      </c>
      <c r="W4368" s="1">
        <v>1.441</v>
      </c>
      <c r="X4368" s="1" t="s">
        <v>35</v>
      </c>
      <c r="Y4368" s="1">
        <v>1441000.0</v>
      </c>
      <c r="Z4368" s="1"/>
      <c r="AA4368" s="1">
        <v>1441000.0</v>
      </c>
      <c r="AB4368" s="1"/>
      <c r="AC4368" s="1" t="s">
        <v>36</v>
      </c>
      <c r="AD4368" s="1" t="s">
        <v>15044</v>
      </c>
      <c r="AE4368" s="1" t="s">
        <v>32</v>
      </c>
      <c r="AF4368" s="1" t="s">
        <v>33</v>
      </c>
      <c r="AG4368" s="1" t="s">
        <v>530</v>
      </c>
    </row>
    <row r="4369" spans="1:33">
      <c r="A4369" t="s">
        <v>15045</v>
      </c>
      <c r="B4369" t="s">
        <v>1170</v>
      </c>
      <c r="C4369" t="s">
        <v>1171</v>
      </c>
      <c r="E4369" t="s">
        <v>14225</v>
      </c>
      <c r="F4369" t="s">
        <v>14226</v>
      </c>
      <c r="G4369">
        <v>691.4</v>
      </c>
      <c r="H4369">
        <v>691.4</v>
      </c>
      <c r="I4369" t="s">
        <v>529</v>
      </c>
      <c r="J4369" t="s">
        <v>530</v>
      </c>
      <c r="K4369" t="s">
        <v>31</v>
      </c>
      <c r="L4369" t="s">
        <v>32</v>
      </c>
      <c r="M4369" t="s">
        <v>33</v>
      </c>
      <c r="P4369" s="1" t="s">
        <v>15046</v>
      </c>
      <c r="Q4369" s="1" t="s">
        <v>14225</v>
      </c>
      <c r="R4369" s="1" t="s">
        <v>10616</v>
      </c>
      <c r="S4369" s="1"/>
      <c r="T4369" s="1" t="s">
        <v>1171</v>
      </c>
      <c r="U4369" s="1"/>
      <c r="V4369" s="1">
        <v>691.4</v>
      </c>
      <c r="W4369" s="1">
        <v>691.4</v>
      </c>
      <c r="X4369" s="1" t="s">
        <v>35</v>
      </c>
      <c r="Y4369" s="1">
        <v>691400.0</v>
      </c>
      <c r="Z4369" s="1"/>
      <c r="AA4369" s="1">
        <v>691400.0</v>
      </c>
      <c r="AB4369" s="1"/>
      <c r="AC4369" s="1" t="s">
        <v>36</v>
      </c>
      <c r="AD4369" s="1" t="s">
        <v>15047</v>
      </c>
      <c r="AE4369" s="1" t="s">
        <v>32</v>
      </c>
      <c r="AF4369" s="1" t="s">
        <v>33</v>
      </c>
      <c r="AG4369" s="1" t="s">
        <v>530</v>
      </c>
    </row>
    <row r="4370" spans="1:33">
      <c r="A4370" t="s">
        <v>15048</v>
      </c>
      <c r="C4370" t="s">
        <v>827</v>
      </c>
      <c r="D4370" t="s">
        <v>154</v>
      </c>
      <c r="E4370" t="s">
        <v>14225</v>
      </c>
      <c r="F4370" t="s">
        <v>14226</v>
      </c>
      <c r="G4370">
        <v>54.0</v>
      </c>
      <c r="H4370">
        <v>54.0</v>
      </c>
      <c r="I4370" t="s">
        <v>269</v>
      </c>
      <c r="J4370" t="s">
        <v>270</v>
      </c>
      <c r="K4370" t="s">
        <v>31</v>
      </c>
      <c r="L4370" t="s">
        <v>32</v>
      </c>
      <c r="M4370" t="s">
        <v>33</v>
      </c>
      <c r="P4370" s="1" t="s">
        <v>15049</v>
      </c>
      <c r="Q4370" s="1" t="s">
        <v>14225</v>
      </c>
      <c r="R4370" s="1" t="s">
        <v>14225</v>
      </c>
      <c r="S4370" s="1"/>
      <c r="T4370" s="1" t="s">
        <v>827</v>
      </c>
      <c r="U4370" s="1"/>
      <c r="V4370" s="1">
        <v>54.0</v>
      </c>
      <c r="W4370" s="1">
        <v>54.0</v>
      </c>
      <c r="X4370" s="1" t="s">
        <v>35</v>
      </c>
      <c r="Y4370" s="1">
        <v>54000.0</v>
      </c>
      <c r="Z4370" s="1"/>
      <c r="AA4370" s="1">
        <v>54000.0</v>
      </c>
      <c r="AB4370" s="1"/>
      <c r="AC4370" s="1" t="s">
        <v>36</v>
      </c>
      <c r="AD4370" s="1" t="s">
        <v>15050</v>
      </c>
      <c r="AE4370" s="1" t="s">
        <v>32</v>
      </c>
      <c r="AF4370" s="1" t="s">
        <v>33</v>
      </c>
      <c r="AG4370" s="1" t="s">
        <v>270</v>
      </c>
    </row>
    <row r="4371" spans="1:33">
      <c r="A4371" t="s">
        <v>15051</v>
      </c>
      <c r="C4371" t="s">
        <v>14993</v>
      </c>
      <c r="E4371" t="s">
        <v>14225</v>
      </c>
      <c r="F4371" t="s">
        <v>14226</v>
      </c>
      <c r="G4371">
        <v>97.47</v>
      </c>
      <c r="H4371">
        <v>97.47</v>
      </c>
      <c r="I4371" t="s">
        <v>173</v>
      </c>
      <c r="J4371" t="s">
        <v>174</v>
      </c>
      <c r="K4371" t="s">
        <v>31</v>
      </c>
      <c r="L4371" t="s">
        <v>32</v>
      </c>
      <c r="M4371" t="s">
        <v>33</v>
      </c>
      <c r="P4371" s="1" t="s">
        <v>15052</v>
      </c>
      <c r="Q4371" s="1" t="s">
        <v>14225</v>
      </c>
      <c r="R4371" s="1" t="s">
        <v>14225</v>
      </c>
      <c r="S4371" s="1"/>
      <c r="T4371" s="1" t="s">
        <v>14993</v>
      </c>
      <c r="U4371" s="1"/>
      <c r="V4371" s="1">
        <v>97.47</v>
      </c>
      <c r="W4371" s="1">
        <v>97.47</v>
      </c>
      <c r="X4371" s="1" t="s">
        <v>35</v>
      </c>
      <c r="Y4371" s="1">
        <v>97470.0</v>
      </c>
      <c r="Z4371" s="1"/>
      <c r="AA4371" s="1">
        <v>97470.0</v>
      </c>
      <c r="AB4371" s="1"/>
      <c r="AC4371" s="1" t="s">
        <v>36</v>
      </c>
      <c r="AD4371" s="1" t="s">
        <v>15053</v>
      </c>
      <c r="AE4371" s="1" t="s">
        <v>32</v>
      </c>
      <c r="AF4371" s="1" t="s">
        <v>33</v>
      </c>
      <c r="AG4371" s="1" t="s">
        <v>174</v>
      </c>
    </row>
    <row r="4372" spans="1:33">
      <c r="A4372" t="s">
        <v>15054</v>
      </c>
      <c r="B4372" t="s">
        <v>15055</v>
      </c>
      <c r="C4372" t="s">
        <v>268</v>
      </c>
      <c r="E4372" t="s">
        <v>14225</v>
      </c>
      <c r="F4372" t="s">
        <v>14226</v>
      </c>
      <c r="G4372">
        <v>33.75</v>
      </c>
      <c r="H4372">
        <v>33.75</v>
      </c>
      <c r="I4372" t="s">
        <v>269</v>
      </c>
      <c r="J4372" t="s">
        <v>270</v>
      </c>
      <c r="K4372" t="s">
        <v>31</v>
      </c>
      <c r="L4372" t="s">
        <v>32</v>
      </c>
      <c r="M4372" t="s">
        <v>33</v>
      </c>
      <c r="P4372" s="1" t="s">
        <v>15056</v>
      </c>
      <c r="Q4372" s="1" t="s">
        <v>14225</v>
      </c>
      <c r="R4372" s="1" t="s">
        <v>14225</v>
      </c>
      <c r="S4372" s="1"/>
      <c r="T4372" s="1" t="s">
        <v>268</v>
      </c>
      <c r="U4372" s="1"/>
      <c r="V4372" s="1">
        <v>33.75</v>
      </c>
      <c r="W4372" s="1">
        <v>33.75</v>
      </c>
      <c r="X4372" s="1" t="s">
        <v>35</v>
      </c>
      <c r="Y4372" s="1">
        <v>33750.0</v>
      </c>
      <c r="Z4372" s="1"/>
      <c r="AA4372" s="1">
        <v>33750.0</v>
      </c>
      <c r="AB4372" s="1"/>
      <c r="AC4372" s="1" t="s">
        <v>36</v>
      </c>
      <c r="AD4372" s="1" t="s">
        <v>15057</v>
      </c>
      <c r="AE4372" s="1" t="s">
        <v>32</v>
      </c>
      <c r="AF4372" s="1" t="s">
        <v>33</v>
      </c>
      <c r="AG4372" s="1" t="s">
        <v>270</v>
      </c>
    </row>
    <row r="4373" spans="1:33">
      <c r="A4373" t="s">
        <v>15058</v>
      </c>
      <c r="B4373" t="s">
        <v>15059</v>
      </c>
      <c r="C4373" t="s">
        <v>15060</v>
      </c>
      <c r="E4373" t="s">
        <v>14225</v>
      </c>
      <c r="F4373" t="s">
        <v>14226</v>
      </c>
      <c r="G4373">
        <v>42.488</v>
      </c>
      <c r="H4373">
        <v>42.488</v>
      </c>
      <c r="I4373" t="s">
        <v>59</v>
      </c>
      <c r="J4373" t="s">
        <v>60</v>
      </c>
      <c r="K4373" t="s">
        <v>31</v>
      </c>
      <c r="L4373" t="s">
        <v>32</v>
      </c>
      <c r="M4373" t="s">
        <v>33</v>
      </c>
      <c r="P4373" s="1" t="s">
        <v>15061</v>
      </c>
      <c r="Q4373" s="1" t="s">
        <v>14225</v>
      </c>
      <c r="R4373" s="1" t="s">
        <v>14225</v>
      </c>
      <c r="S4373" s="1"/>
      <c r="T4373" s="1" t="s">
        <v>15060</v>
      </c>
      <c r="U4373" s="1"/>
      <c r="V4373" s="1">
        <v>42.488</v>
      </c>
      <c r="W4373" s="1">
        <v>42.488</v>
      </c>
      <c r="X4373" s="1" t="s">
        <v>35</v>
      </c>
      <c r="Y4373" s="1">
        <v>42488.0</v>
      </c>
      <c r="Z4373" s="1"/>
      <c r="AA4373" s="1">
        <v>42488.0</v>
      </c>
      <c r="AB4373" s="1"/>
      <c r="AC4373" s="1" t="s">
        <v>36</v>
      </c>
      <c r="AD4373" s="1" t="s">
        <v>15062</v>
      </c>
      <c r="AE4373" s="1" t="s">
        <v>32</v>
      </c>
      <c r="AF4373" s="1" t="s">
        <v>33</v>
      </c>
      <c r="AG4373" s="1" t="s">
        <v>60</v>
      </c>
    </row>
    <row r="4374" spans="1:33">
      <c r="A4374" t="s">
        <v>15063</v>
      </c>
      <c r="C4374" t="s">
        <v>1197</v>
      </c>
      <c r="D4374" t="s">
        <v>154</v>
      </c>
      <c r="E4374" t="s">
        <v>14225</v>
      </c>
      <c r="F4374" t="s">
        <v>14226</v>
      </c>
      <c r="G4374">
        <v>703.0</v>
      </c>
      <c r="H4374">
        <v>703.0</v>
      </c>
      <c r="I4374" t="s">
        <v>269</v>
      </c>
      <c r="J4374" t="s">
        <v>270</v>
      </c>
      <c r="K4374" t="s">
        <v>31</v>
      </c>
      <c r="L4374" t="s">
        <v>32</v>
      </c>
      <c r="M4374" t="s">
        <v>33</v>
      </c>
      <c r="P4374" s="1" t="s">
        <v>15064</v>
      </c>
      <c r="Q4374" s="1" t="s">
        <v>14225</v>
      </c>
      <c r="R4374" s="1" t="s">
        <v>14225</v>
      </c>
      <c r="S4374" s="1"/>
      <c r="T4374" s="1" t="s">
        <v>1197</v>
      </c>
      <c r="U4374" s="1"/>
      <c r="V4374" s="1">
        <v>703.0</v>
      </c>
      <c r="W4374" s="1">
        <v>703.0</v>
      </c>
      <c r="X4374" s="1" t="s">
        <v>35</v>
      </c>
      <c r="Y4374" s="1">
        <v>703000.0</v>
      </c>
      <c r="Z4374" s="1"/>
      <c r="AA4374" s="1">
        <v>703000.0</v>
      </c>
      <c r="AB4374" s="1"/>
      <c r="AC4374" s="1" t="s">
        <v>36</v>
      </c>
      <c r="AD4374" s="1" t="s">
        <v>15065</v>
      </c>
      <c r="AE4374" s="1" t="s">
        <v>32</v>
      </c>
      <c r="AF4374" s="1" t="s">
        <v>33</v>
      </c>
      <c r="AG4374" s="1" t="s">
        <v>270</v>
      </c>
    </row>
    <row r="4375" spans="1:33">
      <c r="A4375" t="s">
        <v>15066</v>
      </c>
      <c r="C4375" t="s">
        <v>1940</v>
      </c>
      <c r="E4375" t="s">
        <v>14225</v>
      </c>
      <c r="F4375" t="s">
        <v>14226</v>
      </c>
      <c r="G4375">
        <v>435.6</v>
      </c>
      <c r="H4375">
        <v>435.6</v>
      </c>
      <c r="I4375" t="s">
        <v>269</v>
      </c>
      <c r="J4375" t="s">
        <v>270</v>
      </c>
      <c r="K4375" t="s">
        <v>31</v>
      </c>
      <c r="L4375" t="s">
        <v>32</v>
      </c>
      <c r="M4375" t="s">
        <v>33</v>
      </c>
      <c r="P4375" s="1" t="s">
        <v>15067</v>
      </c>
      <c r="Q4375" s="1" t="s">
        <v>14225</v>
      </c>
      <c r="R4375" s="1" t="s">
        <v>14225</v>
      </c>
      <c r="S4375" s="1"/>
      <c r="T4375" s="1" t="s">
        <v>1940</v>
      </c>
      <c r="U4375" s="1"/>
      <c r="V4375" s="1">
        <v>435.6</v>
      </c>
      <c r="W4375" s="1">
        <v>435.6</v>
      </c>
      <c r="X4375" s="1" t="s">
        <v>35</v>
      </c>
      <c r="Y4375" s="1">
        <v>435600.0</v>
      </c>
      <c r="Z4375" s="1"/>
      <c r="AA4375" s="1">
        <v>435600.0</v>
      </c>
      <c r="AB4375" s="1"/>
      <c r="AC4375" s="1" t="s">
        <v>36</v>
      </c>
      <c r="AD4375" s="1" t="s">
        <v>15068</v>
      </c>
      <c r="AE4375" s="1" t="s">
        <v>32</v>
      </c>
      <c r="AF4375" s="1" t="s">
        <v>33</v>
      </c>
      <c r="AG4375" s="1" t="s">
        <v>270</v>
      </c>
    </row>
    <row r="4376" spans="1:33">
      <c r="A4376" t="s">
        <v>15069</v>
      </c>
      <c r="B4376" t="s">
        <v>5639</v>
      </c>
      <c r="C4376" t="s">
        <v>5640</v>
      </c>
      <c r="E4376" t="s">
        <v>14225</v>
      </c>
      <c r="F4376" t="s">
        <v>14226</v>
      </c>
      <c r="G4376">
        <v>328.0</v>
      </c>
      <c r="H4376">
        <v>328.0</v>
      </c>
      <c r="I4376" t="s">
        <v>529</v>
      </c>
      <c r="J4376" t="s">
        <v>530</v>
      </c>
      <c r="K4376" t="s">
        <v>31</v>
      </c>
      <c r="L4376" t="s">
        <v>32</v>
      </c>
      <c r="M4376" t="s">
        <v>33</v>
      </c>
      <c r="P4376" s="1" t="s">
        <v>15070</v>
      </c>
      <c r="Q4376" s="1" t="s">
        <v>14225</v>
      </c>
      <c r="R4376" s="1" t="s">
        <v>10616</v>
      </c>
      <c r="S4376" s="1"/>
      <c r="T4376" s="1" t="s">
        <v>5640</v>
      </c>
      <c r="U4376" s="1"/>
      <c r="V4376" s="1">
        <v>328.0</v>
      </c>
      <c r="W4376" s="1">
        <v>328.0</v>
      </c>
      <c r="X4376" s="1" t="s">
        <v>35</v>
      </c>
      <c r="Y4376" s="1">
        <v>328000.0</v>
      </c>
      <c r="Z4376" s="1"/>
      <c r="AA4376" s="1">
        <v>328000.0</v>
      </c>
      <c r="AB4376" s="1"/>
      <c r="AC4376" s="1" t="s">
        <v>36</v>
      </c>
      <c r="AD4376" s="1" t="s">
        <v>15071</v>
      </c>
      <c r="AE4376" s="1" t="s">
        <v>32</v>
      </c>
      <c r="AF4376" s="1" t="s">
        <v>33</v>
      </c>
      <c r="AG4376" s="1" t="s">
        <v>530</v>
      </c>
    </row>
    <row r="4377" spans="1:33">
      <c r="A4377" t="s">
        <v>15072</v>
      </c>
      <c r="C4377" t="s">
        <v>5703</v>
      </c>
      <c r="E4377" t="s">
        <v>14225</v>
      </c>
      <c r="F4377" t="s">
        <v>14226</v>
      </c>
      <c r="G4377">
        <v>1.298</v>
      </c>
      <c r="H4377">
        <v>1.298</v>
      </c>
      <c r="I4377" t="s">
        <v>269</v>
      </c>
      <c r="J4377" t="s">
        <v>270</v>
      </c>
      <c r="K4377" t="s">
        <v>31</v>
      </c>
      <c r="L4377" t="s">
        <v>32</v>
      </c>
      <c r="M4377" t="s">
        <v>33</v>
      </c>
      <c r="P4377" s="1" t="s">
        <v>15073</v>
      </c>
      <c r="Q4377" s="1" t="s">
        <v>14225</v>
      </c>
      <c r="R4377" s="1" t="s">
        <v>14225</v>
      </c>
      <c r="S4377" s="1"/>
      <c r="T4377" s="1" t="s">
        <v>5703</v>
      </c>
      <c r="U4377" s="1"/>
      <c r="V4377" s="1">
        <v>1.298</v>
      </c>
      <c r="W4377" s="1">
        <v>1.298</v>
      </c>
      <c r="X4377" s="1" t="s">
        <v>35</v>
      </c>
      <c r="Y4377" s="1">
        <v>1298050.0</v>
      </c>
      <c r="Z4377" s="1"/>
      <c r="AA4377" s="1">
        <v>1298050.0</v>
      </c>
      <c r="AB4377" s="1"/>
      <c r="AC4377" s="1" t="s">
        <v>36</v>
      </c>
      <c r="AD4377" s="1" t="s">
        <v>14866</v>
      </c>
      <c r="AE4377" s="1" t="s">
        <v>32</v>
      </c>
      <c r="AF4377" s="1" t="s">
        <v>33</v>
      </c>
      <c r="AG4377" s="1" t="s">
        <v>270</v>
      </c>
    </row>
    <row r="4378" spans="1:33">
      <c r="A4378" t="s">
        <v>15074</v>
      </c>
      <c r="C4378" t="s">
        <v>827</v>
      </c>
      <c r="D4378" t="s">
        <v>154</v>
      </c>
      <c r="E4378" t="s">
        <v>14225</v>
      </c>
      <c r="F4378" t="s">
        <v>14226</v>
      </c>
      <c r="G4378">
        <v>886.8</v>
      </c>
      <c r="H4378">
        <v>886.8</v>
      </c>
      <c r="I4378" t="s">
        <v>269</v>
      </c>
      <c r="J4378" t="s">
        <v>270</v>
      </c>
      <c r="K4378" t="s">
        <v>31</v>
      </c>
      <c r="L4378" t="s">
        <v>32</v>
      </c>
      <c r="M4378" t="s">
        <v>33</v>
      </c>
      <c r="P4378" s="1" t="s">
        <v>15075</v>
      </c>
      <c r="Q4378" s="1" t="s">
        <v>14225</v>
      </c>
      <c r="R4378" s="1" t="s">
        <v>14225</v>
      </c>
      <c r="S4378" s="1"/>
      <c r="T4378" s="1" t="s">
        <v>827</v>
      </c>
      <c r="U4378" s="1"/>
      <c r="V4378" s="1">
        <v>886.8</v>
      </c>
      <c r="W4378" s="1">
        <v>886.8</v>
      </c>
      <c r="X4378" s="1" t="s">
        <v>35</v>
      </c>
      <c r="Y4378" s="1">
        <v>886800.0</v>
      </c>
      <c r="Z4378" s="1"/>
      <c r="AA4378" s="1">
        <v>886800.0</v>
      </c>
      <c r="AB4378" s="1"/>
      <c r="AC4378" s="1" t="s">
        <v>36</v>
      </c>
      <c r="AD4378" s="1" t="s">
        <v>15071</v>
      </c>
      <c r="AE4378" s="1" t="s">
        <v>32</v>
      </c>
      <c r="AF4378" s="1" t="s">
        <v>33</v>
      </c>
      <c r="AG4378" s="1" t="s">
        <v>270</v>
      </c>
    </row>
    <row r="4379" spans="1:33">
      <c r="A4379" t="s">
        <v>15076</v>
      </c>
      <c r="B4379" t="s">
        <v>735</v>
      </c>
      <c r="C4379" t="s">
        <v>736</v>
      </c>
      <c r="E4379" t="s">
        <v>14225</v>
      </c>
      <c r="F4379" t="s">
        <v>14226</v>
      </c>
      <c r="G4379">
        <v>370.0</v>
      </c>
      <c r="H4379">
        <v>370.0</v>
      </c>
      <c r="I4379" t="s">
        <v>59</v>
      </c>
      <c r="J4379" t="s">
        <v>60</v>
      </c>
      <c r="K4379" t="s">
        <v>31</v>
      </c>
      <c r="L4379" t="s">
        <v>32</v>
      </c>
      <c r="M4379" t="s">
        <v>33</v>
      </c>
      <c r="P4379" s="1" t="s">
        <v>15077</v>
      </c>
      <c r="Q4379" s="1" t="s">
        <v>14225</v>
      </c>
      <c r="R4379" s="1" t="s">
        <v>14225</v>
      </c>
      <c r="S4379" s="1"/>
      <c r="T4379" s="1" t="s">
        <v>736</v>
      </c>
      <c r="U4379" s="1"/>
      <c r="V4379" s="1">
        <v>370.0</v>
      </c>
      <c r="W4379" s="1">
        <v>370.0</v>
      </c>
      <c r="X4379" s="1" t="s">
        <v>35</v>
      </c>
      <c r="Y4379" s="1">
        <v>370000.0</v>
      </c>
      <c r="Z4379" s="1"/>
      <c r="AA4379" s="1">
        <v>370000.0</v>
      </c>
      <c r="AB4379" s="1"/>
      <c r="AC4379" s="1" t="s">
        <v>36</v>
      </c>
      <c r="AD4379" s="1" t="s">
        <v>15078</v>
      </c>
      <c r="AE4379" s="1" t="s">
        <v>32</v>
      </c>
      <c r="AF4379" s="1" t="s">
        <v>33</v>
      </c>
      <c r="AG4379" s="1" t="s">
        <v>60</v>
      </c>
    </row>
    <row r="4380" spans="1:33">
      <c r="A4380" t="s">
        <v>15079</v>
      </c>
      <c r="B4380" t="s">
        <v>15080</v>
      </c>
      <c r="C4380" t="s">
        <v>314</v>
      </c>
      <c r="E4380" t="s">
        <v>14225</v>
      </c>
      <c r="F4380" t="s">
        <v>14226</v>
      </c>
      <c r="G4380">
        <v>11.5</v>
      </c>
      <c r="H4380">
        <v>11.5</v>
      </c>
      <c r="I4380" t="s">
        <v>179</v>
      </c>
      <c r="J4380" t="s">
        <v>180</v>
      </c>
      <c r="K4380" t="s">
        <v>31</v>
      </c>
      <c r="L4380" t="s">
        <v>32</v>
      </c>
      <c r="M4380" t="s">
        <v>33</v>
      </c>
      <c r="P4380" s="1" t="s">
        <v>15081</v>
      </c>
      <c r="Q4380" s="1" t="s">
        <v>14225</v>
      </c>
      <c r="R4380" s="1" t="s">
        <v>14225</v>
      </c>
      <c r="S4380" s="1"/>
      <c r="T4380" s="1" t="s">
        <v>314</v>
      </c>
      <c r="U4380" s="1"/>
      <c r="V4380" s="1">
        <v>11.5</v>
      </c>
      <c r="W4380" s="1">
        <v>11.5</v>
      </c>
      <c r="X4380" s="1" t="s">
        <v>35</v>
      </c>
      <c r="Y4380" s="1">
        <v>11500.0</v>
      </c>
      <c r="Z4380" s="1"/>
      <c r="AA4380" s="1">
        <v>11500.0</v>
      </c>
      <c r="AB4380" s="1"/>
      <c r="AC4380" s="1" t="s">
        <v>36</v>
      </c>
      <c r="AD4380" s="1" t="s">
        <v>15082</v>
      </c>
      <c r="AE4380" s="1" t="s">
        <v>32</v>
      </c>
      <c r="AF4380" s="1" t="s">
        <v>33</v>
      </c>
      <c r="AG4380" s="1" t="s">
        <v>180</v>
      </c>
    </row>
    <row r="4381" spans="1:33">
      <c r="A4381" t="s">
        <v>15083</v>
      </c>
      <c r="B4381" t="s">
        <v>6266</v>
      </c>
      <c r="C4381" t="s">
        <v>172</v>
      </c>
      <c r="E4381" t="s">
        <v>14225</v>
      </c>
      <c r="F4381" t="s">
        <v>14226</v>
      </c>
      <c r="G4381">
        <v>3.0</v>
      </c>
      <c r="H4381">
        <v>3.0</v>
      </c>
      <c r="I4381" t="s">
        <v>173</v>
      </c>
      <c r="J4381" t="s">
        <v>174</v>
      </c>
      <c r="K4381" t="s">
        <v>31</v>
      </c>
      <c r="L4381" t="s">
        <v>32</v>
      </c>
      <c r="M4381" t="s">
        <v>33</v>
      </c>
      <c r="P4381" s="1" t="s">
        <v>15084</v>
      </c>
      <c r="Q4381" s="1" t="s">
        <v>14225</v>
      </c>
      <c r="R4381" s="1" t="s">
        <v>14225</v>
      </c>
      <c r="S4381" s="1"/>
      <c r="T4381" s="1" t="s">
        <v>172</v>
      </c>
      <c r="U4381" s="1"/>
      <c r="V4381" s="1">
        <v>3.0</v>
      </c>
      <c r="W4381" s="1">
        <v>3.0</v>
      </c>
      <c r="X4381" s="1" t="s">
        <v>35</v>
      </c>
      <c r="Y4381" s="1">
        <v>3000.0</v>
      </c>
      <c r="Z4381" s="1"/>
      <c r="AA4381" s="1">
        <v>3000.0</v>
      </c>
      <c r="AB4381" s="1"/>
      <c r="AC4381" s="1" t="s">
        <v>36</v>
      </c>
      <c r="AD4381" s="1" t="s">
        <v>15085</v>
      </c>
      <c r="AE4381" s="1" t="s">
        <v>32</v>
      </c>
      <c r="AF4381" s="1" t="s">
        <v>33</v>
      </c>
      <c r="AG4381" s="1" t="s">
        <v>174</v>
      </c>
    </row>
    <row r="4382" spans="1:33">
      <c r="A4382" t="s">
        <v>15086</v>
      </c>
      <c r="B4382" t="s">
        <v>15087</v>
      </c>
      <c r="C4382" t="s">
        <v>68</v>
      </c>
      <c r="E4382" t="s">
        <v>14225</v>
      </c>
      <c r="F4382" t="s">
        <v>14226</v>
      </c>
      <c r="G4382">
        <v>4.598</v>
      </c>
      <c r="H4382">
        <v>4.598</v>
      </c>
      <c r="I4382" t="s">
        <v>59</v>
      </c>
      <c r="J4382" t="s">
        <v>60</v>
      </c>
      <c r="K4382" t="s">
        <v>31</v>
      </c>
      <c r="L4382" t="s">
        <v>32</v>
      </c>
      <c r="M4382" t="s">
        <v>33</v>
      </c>
      <c r="P4382" s="1" t="s">
        <v>15088</v>
      </c>
      <c r="Q4382" s="1" t="s">
        <v>14225</v>
      </c>
      <c r="R4382" s="1" t="s">
        <v>14225</v>
      </c>
      <c r="S4382" s="1"/>
      <c r="T4382" s="1" t="s">
        <v>68</v>
      </c>
      <c r="U4382" s="1"/>
      <c r="V4382" s="1">
        <v>4.598</v>
      </c>
      <c r="W4382" s="1">
        <v>4.598</v>
      </c>
      <c r="X4382" s="1" t="s">
        <v>35</v>
      </c>
      <c r="Y4382" s="1">
        <v>4598.0</v>
      </c>
      <c r="Z4382" s="1"/>
      <c r="AA4382" s="1">
        <v>4598.0</v>
      </c>
      <c r="AB4382" s="1"/>
      <c r="AC4382" s="1" t="s">
        <v>36</v>
      </c>
      <c r="AD4382" s="1" t="s">
        <v>15085</v>
      </c>
      <c r="AE4382" s="1" t="s">
        <v>32</v>
      </c>
      <c r="AF4382" s="1" t="s">
        <v>33</v>
      </c>
      <c r="AG4382" s="1" t="s">
        <v>60</v>
      </c>
    </row>
    <row r="4383" spans="1:33">
      <c r="A4383" t="s">
        <v>15089</v>
      </c>
      <c r="C4383" t="s">
        <v>866</v>
      </c>
      <c r="D4383" t="s">
        <v>154</v>
      </c>
      <c r="E4383" t="s">
        <v>14225</v>
      </c>
      <c r="F4383" t="s">
        <v>14226</v>
      </c>
      <c r="G4383">
        <v>398.5</v>
      </c>
      <c r="H4383">
        <v>398.5</v>
      </c>
      <c r="I4383" t="s">
        <v>2206</v>
      </c>
      <c r="J4383" t="s">
        <v>49</v>
      </c>
      <c r="K4383" t="s">
        <v>31</v>
      </c>
      <c r="L4383" t="s">
        <v>32</v>
      </c>
      <c r="M4383" t="s">
        <v>33</v>
      </c>
      <c r="P4383" s="1" t="s">
        <v>15090</v>
      </c>
      <c r="Q4383" s="1" t="s">
        <v>14225</v>
      </c>
      <c r="R4383" s="1" t="s">
        <v>14225</v>
      </c>
      <c r="S4383" s="1"/>
      <c r="T4383" s="1" t="s">
        <v>868</v>
      </c>
      <c r="U4383" s="1" t="s">
        <v>869</v>
      </c>
      <c r="V4383" s="1">
        <v>398.5</v>
      </c>
      <c r="W4383" s="1">
        <v>398.5</v>
      </c>
      <c r="X4383" s="1" t="s">
        <v>35</v>
      </c>
      <c r="Y4383" s="1">
        <v>398500.0</v>
      </c>
      <c r="Z4383" s="1"/>
      <c r="AA4383" s="1">
        <v>398500.0</v>
      </c>
      <c r="AB4383" s="1"/>
      <c r="AC4383" s="1" t="s">
        <v>36</v>
      </c>
      <c r="AD4383" s="1" t="s">
        <v>15091</v>
      </c>
      <c r="AE4383" s="1" t="s">
        <v>32</v>
      </c>
      <c r="AF4383" s="1" t="s">
        <v>33</v>
      </c>
      <c r="AG4383" s="1" t="s">
        <v>49</v>
      </c>
    </row>
    <row r="4384" spans="1:33">
      <c r="A4384" t="s">
        <v>15092</v>
      </c>
      <c r="C4384" t="s">
        <v>2644</v>
      </c>
      <c r="E4384" t="s">
        <v>14225</v>
      </c>
      <c r="F4384" t="s">
        <v>14226</v>
      </c>
      <c r="G4384">
        <v>1.6</v>
      </c>
      <c r="H4384">
        <v>1.6</v>
      </c>
      <c r="I4384" t="s">
        <v>40</v>
      </c>
      <c r="J4384" t="s">
        <v>41</v>
      </c>
      <c r="K4384" t="s">
        <v>31</v>
      </c>
      <c r="L4384" t="s">
        <v>32</v>
      </c>
      <c r="M4384" t="s">
        <v>33</v>
      </c>
      <c r="P4384" s="1" t="s">
        <v>15093</v>
      </c>
      <c r="Q4384" s="1" t="s">
        <v>14225</v>
      </c>
      <c r="R4384" s="1" t="s">
        <v>10616</v>
      </c>
      <c r="S4384" s="1"/>
      <c r="T4384" s="1" t="s">
        <v>2644</v>
      </c>
      <c r="U4384" s="1"/>
      <c r="V4384" s="1">
        <v>1.6</v>
      </c>
      <c r="W4384" s="1">
        <v>1.6</v>
      </c>
      <c r="X4384" s="1" t="s">
        <v>35</v>
      </c>
      <c r="Y4384" s="1">
        <v>1600000.0</v>
      </c>
      <c r="Z4384" s="1"/>
      <c r="AA4384" s="1">
        <v>1600000.0</v>
      </c>
      <c r="AB4384" s="1"/>
      <c r="AC4384" s="1" t="s">
        <v>36</v>
      </c>
      <c r="AD4384" s="1" t="s">
        <v>15094</v>
      </c>
      <c r="AE4384" s="1" t="s">
        <v>32</v>
      </c>
      <c r="AF4384" s="1" t="s">
        <v>33</v>
      </c>
      <c r="AG4384" s="1" t="s">
        <v>41</v>
      </c>
    </row>
    <row r="4385" spans="1:33">
      <c r="A4385" t="s">
        <v>15095</v>
      </c>
      <c r="C4385" t="s">
        <v>2057</v>
      </c>
      <c r="E4385" t="s">
        <v>14225</v>
      </c>
      <c r="F4385" t="s">
        <v>14226</v>
      </c>
      <c r="G4385">
        <v>2.624</v>
      </c>
      <c r="H4385">
        <v>2.624</v>
      </c>
      <c r="I4385" t="s">
        <v>269</v>
      </c>
      <c r="J4385" t="s">
        <v>270</v>
      </c>
      <c r="K4385" t="s">
        <v>31</v>
      </c>
      <c r="L4385" t="s">
        <v>32</v>
      </c>
      <c r="M4385" t="s">
        <v>33</v>
      </c>
      <c r="P4385" s="1" t="s">
        <v>15096</v>
      </c>
      <c r="Q4385" s="1" t="s">
        <v>14225</v>
      </c>
      <c r="R4385" s="1" t="s">
        <v>14225</v>
      </c>
      <c r="S4385" s="1"/>
      <c r="T4385" s="1" t="s">
        <v>2057</v>
      </c>
      <c r="U4385" s="1"/>
      <c r="V4385" s="1">
        <v>2.624</v>
      </c>
      <c r="W4385" s="1">
        <v>2.624</v>
      </c>
      <c r="X4385" s="1" t="s">
        <v>35</v>
      </c>
      <c r="Y4385" s="1">
        <v>2624000.0</v>
      </c>
      <c r="Z4385" s="1"/>
      <c r="AA4385" s="1">
        <v>2624000.0</v>
      </c>
      <c r="AB4385" s="1"/>
      <c r="AC4385" s="1" t="s">
        <v>36</v>
      </c>
      <c r="AD4385" s="1" t="s">
        <v>15097</v>
      </c>
      <c r="AE4385" s="1" t="s">
        <v>32</v>
      </c>
      <c r="AF4385" s="1" t="s">
        <v>33</v>
      </c>
      <c r="AG4385" s="1" t="s">
        <v>270</v>
      </c>
    </row>
    <row r="4386" spans="1:33">
      <c r="A4386" t="s">
        <v>15098</v>
      </c>
      <c r="B4386" t="s">
        <v>15099</v>
      </c>
      <c r="C4386" t="s">
        <v>47</v>
      </c>
      <c r="E4386" t="s">
        <v>14225</v>
      </c>
      <c r="F4386" t="s">
        <v>14226</v>
      </c>
      <c r="G4386">
        <v>2.72</v>
      </c>
      <c r="H4386">
        <v>2.72</v>
      </c>
      <c r="I4386" t="s">
        <v>2206</v>
      </c>
      <c r="J4386" t="s">
        <v>49</v>
      </c>
      <c r="K4386" t="s">
        <v>31</v>
      </c>
      <c r="L4386" t="s">
        <v>32</v>
      </c>
      <c r="M4386" t="s">
        <v>33</v>
      </c>
      <c r="P4386" s="1" t="s">
        <v>15100</v>
      </c>
      <c r="Q4386" s="1" t="s">
        <v>14225</v>
      </c>
      <c r="R4386" s="1" t="s">
        <v>14225</v>
      </c>
      <c r="S4386" s="1"/>
      <c r="T4386" s="1" t="s">
        <v>47</v>
      </c>
      <c r="U4386" s="1"/>
      <c r="V4386" s="1">
        <v>2.72</v>
      </c>
      <c r="W4386" s="1">
        <v>2.72</v>
      </c>
      <c r="X4386" s="1" t="s">
        <v>35</v>
      </c>
      <c r="Y4386" s="1">
        <v>2720</v>
      </c>
      <c r="Z4386" s="1"/>
      <c r="AA4386" s="1">
        <v>2720</v>
      </c>
      <c r="AB4386" s="1"/>
      <c r="AC4386" s="1" t="s">
        <v>36</v>
      </c>
      <c r="AD4386" s="1" t="s">
        <v>15101</v>
      </c>
      <c r="AE4386" s="1" t="s">
        <v>32</v>
      </c>
      <c r="AF4386" s="1" t="s">
        <v>33</v>
      </c>
      <c r="AG4386" s="1" t="s">
        <v>49</v>
      </c>
    </row>
    <row r="4387" spans="1:33">
      <c r="A4387" t="s">
        <v>15102</v>
      </c>
      <c r="B4387" t="s">
        <v>15103</v>
      </c>
      <c r="C4387" t="s">
        <v>314</v>
      </c>
      <c r="E4387" t="s">
        <v>14225</v>
      </c>
      <c r="F4387" t="s">
        <v>14226</v>
      </c>
      <c r="G4387">
        <v>167.724</v>
      </c>
      <c r="H4387">
        <v>167.724</v>
      </c>
      <c r="I4387" t="s">
        <v>179</v>
      </c>
      <c r="J4387" t="s">
        <v>180</v>
      </c>
      <c r="K4387" t="s">
        <v>31</v>
      </c>
      <c r="L4387" t="s">
        <v>32</v>
      </c>
      <c r="M4387" t="s">
        <v>33</v>
      </c>
      <c r="P4387" s="1" t="s">
        <v>15104</v>
      </c>
      <c r="Q4387" s="1" t="s">
        <v>14225</v>
      </c>
      <c r="R4387" s="1" t="s">
        <v>14225</v>
      </c>
      <c r="S4387" s="1"/>
      <c r="T4387" s="1" t="s">
        <v>314</v>
      </c>
      <c r="U4387" s="1"/>
      <c r="V4387" s="1">
        <v>167.724</v>
      </c>
      <c r="W4387" s="1">
        <v>167.724</v>
      </c>
      <c r="X4387" s="1" t="s">
        <v>35</v>
      </c>
      <c r="Y4387" s="1">
        <v>167724.0</v>
      </c>
      <c r="Z4387" s="1"/>
      <c r="AA4387" s="1">
        <v>167724.0</v>
      </c>
      <c r="AB4387" s="1"/>
      <c r="AC4387" s="1" t="s">
        <v>36</v>
      </c>
      <c r="AD4387" s="1" t="s">
        <v>15105</v>
      </c>
      <c r="AE4387" s="1" t="s">
        <v>32</v>
      </c>
      <c r="AF4387" s="1" t="s">
        <v>33</v>
      </c>
      <c r="AG4387" s="1" t="s">
        <v>180</v>
      </c>
    </row>
    <row r="4388" spans="1:33">
      <c r="A4388" t="s">
        <v>15106</v>
      </c>
      <c r="B4388" t="s">
        <v>15107</v>
      </c>
      <c r="C4388" t="s">
        <v>47</v>
      </c>
      <c r="E4388" t="s">
        <v>14225</v>
      </c>
      <c r="F4388" t="s">
        <v>14226</v>
      </c>
      <c r="G4388">
        <v>75.275</v>
      </c>
      <c r="H4388">
        <v>75.275</v>
      </c>
      <c r="I4388" t="s">
        <v>2206</v>
      </c>
      <c r="J4388" t="s">
        <v>49</v>
      </c>
      <c r="K4388" t="s">
        <v>31</v>
      </c>
      <c r="L4388" t="s">
        <v>32</v>
      </c>
      <c r="M4388" t="s">
        <v>33</v>
      </c>
      <c r="P4388" s="1" t="s">
        <v>15108</v>
      </c>
      <c r="Q4388" s="1" t="s">
        <v>14225</v>
      </c>
      <c r="R4388" s="1" t="s">
        <v>14225</v>
      </c>
      <c r="S4388" s="1"/>
      <c r="T4388" s="1" t="s">
        <v>47</v>
      </c>
      <c r="U4388" s="1"/>
      <c r="V4388" s="1">
        <v>75.275</v>
      </c>
      <c r="W4388" s="1">
        <v>75.275</v>
      </c>
      <c r="X4388" s="1" t="s">
        <v>35</v>
      </c>
      <c r="Y4388" s="1">
        <v>75275.0</v>
      </c>
      <c r="Z4388" s="1"/>
      <c r="AA4388" s="1">
        <v>75275.0</v>
      </c>
      <c r="AB4388" s="1"/>
      <c r="AC4388" s="1" t="s">
        <v>36</v>
      </c>
      <c r="AD4388" s="1" t="s">
        <v>15109</v>
      </c>
      <c r="AE4388" s="1" t="s">
        <v>32</v>
      </c>
      <c r="AF4388" s="1" t="s">
        <v>33</v>
      </c>
      <c r="AG4388" s="1" t="s">
        <v>49</v>
      </c>
    </row>
    <row r="4389" spans="1:33">
      <c r="A4389" t="s">
        <v>15110</v>
      </c>
      <c r="C4389" t="s">
        <v>4236</v>
      </c>
      <c r="E4389" t="s">
        <v>14225</v>
      </c>
      <c r="F4389" t="s">
        <v>14226</v>
      </c>
      <c r="G4389">
        <v>352.0</v>
      </c>
      <c r="H4389">
        <v>352.0</v>
      </c>
      <c r="I4389" t="s">
        <v>179</v>
      </c>
      <c r="J4389" t="s">
        <v>180</v>
      </c>
      <c r="K4389" t="s">
        <v>31</v>
      </c>
      <c r="L4389" t="s">
        <v>32</v>
      </c>
      <c r="M4389" t="s">
        <v>33</v>
      </c>
      <c r="P4389" s="1" t="s">
        <v>15111</v>
      </c>
      <c r="Q4389" s="1" t="s">
        <v>14225</v>
      </c>
      <c r="R4389" s="1" t="s">
        <v>14225</v>
      </c>
      <c r="S4389" s="1"/>
      <c r="T4389" s="1" t="s">
        <v>4236</v>
      </c>
      <c r="U4389" s="1"/>
      <c r="V4389" s="1">
        <v>352.0</v>
      </c>
      <c r="W4389" s="1">
        <v>352.0</v>
      </c>
      <c r="X4389" s="1" t="s">
        <v>35</v>
      </c>
      <c r="Y4389" s="1">
        <v>352000.0</v>
      </c>
      <c r="Z4389" s="1"/>
      <c r="AA4389" s="1">
        <v>352000.0</v>
      </c>
      <c r="AB4389" s="1"/>
      <c r="AC4389" s="1" t="s">
        <v>36</v>
      </c>
      <c r="AD4389" s="1" t="s">
        <v>15112</v>
      </c>
      <c r="AE4389" s="1" t="s">
        <v>32</v>
      </c>
      <c r="AF4389" s="1" t="s">
        <v>33</v>
      </c>
      <c r="AG4389" s="1" t="s">
        <v>180</v>
      </c>
    </row>
    <row r="4390" spans="1:33">
      <c r="A4390" t="s">
        <v>15113</v>
      </c>
      <c r="B4390" t="s">
        <v>15114</v>
      </c>
      <c r="C4390" t="s">
        <v>172</v>
      </c>
      <c r="E4390" t="s">
        <v>14225</v>
      </c>
      <c r="F4390" t="s">
        <v>14226</v>
      </c>
      <c r="G4390">
        <v>31.99</v>
      </c>
      <c r="H4390">
        <v>31.99</v>
      </c>
      <c r="I4390" t="s">
        <v>173</v>
      </c>
      <c r="J4390" t="s">
        <v>174</v>
      </c>
      <c r="K4390" t="s">
        <v>31</v>
      </c>
      <c r="L4390" t="s">
        <v>32</v>
      </c>
      <c r="M4390" t="s">
        <v>33</v>
      </c>
      <c r="P4390" s="1" t="s">
        <v>15115</v>
      </c>
      <c r="Q4390" s="1" t="s">
        <v>14225</v>
      </c>
      <c r="R4390" s="1" t="s">
        <v>14225</v>
      </c>
      <c r="S4390" s="1"/>
      <c r="T4390" s="1" t="s">
        <v>172</v>
      </c>
      <c r="U4390" s="1"/>
      <c r="V4390" s="1">
        <v>31.99</v>
      </c>
      <c r="W4390" s="1">
        <v>31.99</v>
      </c>
      <c r="X4390" s="1" t="s">
        <v>35</v>
      </c>
      <c r="Y4390" s="1">
        <v>31990.0</v>
      </c>
      <c r="Z4390" s="1"/>
      <c r="AA4390" s="1">
        <v>31990.0</v>
      </c>
      <c r="AB4390" s="1"/>
      <c r="AC4390" s="1" t="s">
        <v>36</v>
      </c>
      <c r="AD4390" s="1" t="s">
        <v>15116</v>
      </c>
      <c r="AE4390" s="1" t="s">
        <v>32</v>
      </c>
      <c r="AF4390" s="1" t="s">
        <v>33</v>
      </c>
      <c r="AG4390" s="1" t="s">
        <v>174</v>
      </c>
    </row>
    <row r="4391" spans="1:33">
      <c r="A4391" t="s">
        <v>15117</v>
      </c>
      <c r="C4391" t="s">
        <v>2825</v>
      </c>
      <c r="E4391" t="s">
        <v>14225</v>
      </c>
      <c r="F4391" t="s">
        <v>14226</v>
      </c>
      <c r="G4391">
        <v>4.315</v>
      </c>
      <c r="H4391">
        <v>4.315</v>
      </c>
      <c r="I4391" t="s">
        <v>126</v>
      </c>
      <c r="J4391" t="s">
        <v>127</v>
      </c>
      <c r="K4391" t="s">
        <v>31</v>
      </c>
      <c r="L4391" t="s">
        <v>32</v>
      </c>
      <c r="M4391" t="s">
        <v>33</v>
      </c>
      <c r="P4391" s="1" t="s">
        <v>15118</v>
      </c>
      <c r="Q4391" s="1" t="s">
        <v>14225</v>
      </c>
      <c r="R4391" s="1" t="s">
        <v>14225</v>
      </c>
      <c r="S4391" s="1"/>
      <c r="T4391" s="1" t="s">
        <v>2825</v>
      </c>
      <c r="U4391" s="1"/>
      <c r="V4391" s="1">
        <v>4.315</v>
      </c>
      <c r="W4391" s="1">
        <v>4.315</v>
      </c>
      <c r="X4391" s="1" t="s">
        <v>35</v>
      </c>
      <c r="Y4391" s="1">
        <v>4315000.0</v>
      </c>
      <c r="Z4391" s="1"/>
      <c r="AA4391" s="1"/>
      <c r="AB4391" s="1">
        <v>4315000</v>
      </c>
      <c r="AC4391" s="1" t="s">
        <v>36</v>
      </c>
      <c r="AD4391" s="1" t="s">
        <v>15109</v>
      </c>
      <c r="AE4391" s="1" t="s">
        <v>32</v>
      </c>
      <c r="AF4391" s="1" t="s">
        <v>33</v>
      </c>
      <c r="AG4391" s="1" t="s">
        <v>127</v>
      </c>
    </row>
    <row r="4392" spans="1:33">
      <c r="A4392" t="s">
        <v>15119</v>
      </c>
      <c r="B4392" t="s">
        <v>15120</v>
      </c>
      <c r="C4392" t="s">
        <v>268</v>
      </c>
      <c r="E4392" t="s">
        <v>14225</v>
      </c>
      <c r="F4392" t="s">
        <v>14226</v>
      </c>
      <c r="G4392">
        <v>49.75</v>
      </c>
      <c r="H4392">
        <v>49.75</v>
      </c>
      <c r="I4392" t="s">
        <v>269</v>
      </c>
      <c r="J4392" t="s">
        <v>270</v>
      </c>
      <c r="K4392" t="s">
        <v>31</v>
      </c>
      <c r="L4392" t="s">
        <v>32</v>
      </c>
      <c r="M4392" t="s">
        <v>33</v>
      </c>
      <c r="P4392" s="1" t="s">
        <v>15121</v>
      </c>
      <c r="Q4392" s="1" t="s">
        <v>14225</v>
      </c>
      <c r="R4392" s="1" t="s">
        <v>14225</v>
      </c>
      <c r="S4392" s="1"/>
      <c r="T4392" s="1" t="s">
        <v>268</v>
      </c>
      <c r="U4392" s="1"/>
      <c r="V4392" s="1">
        <v>49.75</v>
      </c>
      <c r="W4392" s="1">
        <v>49.75</v>
      </c>
      <c r="X4392" s="1" t="s">
        <v>35</v>
      </c>
      <c r="Y4392" s="1">
        <v>49750.0</v>
      </c>
      <c r="Z4392" s="1"/>
      <c r="AA4392" s="1">
        <v>49750.0</v>
      </c>
      <c r="AB4392" s="1"/>
      <c r="AC4392" s="1" t="s">
        <v>36</v>
      </c>
      <c r="AD4392" s="1" t="s">
        <v>15122</v>
      </c>
      <c r="AE4392" s="1" t="s">
        <v>32</v>
      </c>
      <c r="AF4392" s="1" t="s">
        <v>33</v>
      </c>
      <c r="AG4392" s="1" t="s">
        <v>270</v>
      </c>
    </row>
    <row r="4393" spans="1:33">
      <c r="A4393" t="s">
        <v>15123</v>
      </c>
      <c r="C4393" t="s">
        <v>1012</v>
      </c>
      <c r="D4393" t="s">
        <v>114</v>
      </c>
      <c r="E4393" t="s">
        <v>14225</v>
      </c>
      <c r="F4393" t="s">
        <v>14226</v>
      </c>
      <c r="G4393">
        <v>326.0</v>
      </c>
      <c r="H4393">
        <v>326.0</v>
      </c>
      <c r="I4393" t="s">
        <v>847</v>
      </c>
      <c r="J4393" t="s">
        <v>848</v>
      </c>
      <c r="K4393" t="s">
        <v>31</v>
      </c>
      <c r="L4393" t="s">
        <v>32</v>
      </c>
      <c r="M4393" t="s">
        <v>33</v>
      </c>
      <c r="P4393" s="1" t="s">
        <v>15124</v>
      </c>
      <c r="Q4393" s="1" t="s">
        <v>14225</v>
      </c>
      <c r="R4393" s="1" t="s">
        <v>14225</v>
      </c>
      <c r="S4393" s="1"/>
      <c r="T4393" s="1" t="s">
        <v>1012</v>
      </c>
      <c r="U4393" s="1"/>
      <c r="V4393" s="1">
        <v>326.0</v>
      </c>
      <c r="W4393" s="1">
        <v>326.0</v>
      </c>
      <c r="X4393" s="1" t="s">
        <v>35</v>
      </c>
      <c r="Y4393" s="1">
        <v>326000.0</v>
      </c>
      <c r="Z4393" s="1"/>
      <c r="AA4393" s="1">
        <v>326000.0</v>
      </c>
      <c r="AB4393" s="1"/>
      <c r="AC4393" s="1" t="s">
        <v>36</v>
      </c>
      <c r="AD4393" s="1" t="s">
        <v>15125</v>
      </c>
      <c r="AE4393" s="1" t="s">
        <v>32</v>
      </c>
      <c r="AF4393" s="1" t="s">
        <v>33</v>
      </c>
      <c r="AG4393" s="1" t="s">
        <v>848</v>
      </c>
    </row>
    <row r="4394" spans="1:33">
      <c r="A4394" t="s">
        <v>15126</v>
      </c>
      <c r="B4394" t="s">
        <v>15127</v>
      </c>
      <c r="C4394" t="s">
        <v>73</v>
      </c>
      <c r="E4394" t="s">
        <v>14225</v>
      </c>
      <c r="F4394" t="s">
        <v>14226</v>
      </c>
      <c r="G4394">
        <v>36.49</v>
      </c>
      <c r="H4394">
        <v>36.49</v>
      </c>
      <c r="I4394" t="s">
        <v>40</v>
      </c>
      <c r="J4394" t="s">
        <v>41</v>
      </c>
      <c r="K4394" t="s">
        <v>31</v>
      </c>
      <c r="L4394" t="s">
        <v>32</v>
      </c>
      <c r="M4394" t="s">
        <v>33</v>
      </c>
      <c r="P4394" s="1" t="s">
        <v>15128</v>
      </c>
      <c r="Q4394" s="1" t="s">
        <v>14225</v>
      </c>
      <c r="R4394" s="1" t="s">
        <v>10616</v>
      </c>
      <c r="S4394" s="1"/>
      <c r="T4394" s="1" t="s">
        <v>75</v>
      </c>
      <c r="U4394" s="1" t="s">
        <v>76</v>
      </c>
      <c r="V4394" s="1">
        <v>36.49</v>
      </c>
      <c r="W4394" s="1">
        <v>36.49</v>
      </c>
      <c r="X4394" s="1" t="s">
        <v>35</v>
      </c>
      <c r="Y4394" s="1">
        <v>36490.0</v>
      </c>
      <c r="Z4394" s="1"/>
      <c r="AA4394" s="1">
        <v>36490.0</v>
      </c>
      <c r="AB4394" s="1"/>
      <c r="AC4394" s="1" t="s">
        <v>36</v>
      </c>
      <c r="AD4394" s="1" t="s">
        <v>15129</v>
      </c>
      <c r="AE4394" s="1" t="s">
        <v>32</v>
      </c>
      <c r="AF4394" s="1" t="s">
        <v>33</v>
      </c>
      <c r="AG4394" s="1" t="s">
        <v>41</v>
      </c>
    </row>
    <row r="4395" spans="1:33">
      <c r="A4395" t="s">
        <v>15130</v>
      </c>
      <c r="B4395" t="s">
        <v>14364</v>
      </c>
      <c r="C4395" t="s">
        <v>68</v>
      </c>
      <c r="E4395" t="s">
        <v>14225</v>
      </c>
      <c r="F4395" t="s">
        <v>14226</v>
      </c>
      <c r="G4395">
        <v>29.99</v>
      </c>
      <c r="H4395">
        <v>29.99</v>
      </c>
      <c r="I4395" t="s">
        <v>59</v>
      </c>
      <c r="J4395" t="s">
        <v>60</v>
      </c>
      <c r="K4395" t="s">
        <v>31</v>
      </c>
      <c r="L4395" t="s">
        <v>32</v>
      </c>
      <c r="M4395" t="s">
        <v>33</v>
      </c>
      <c r="P4395" s="1" t="s">
        <v>15131</v>
      </c>
      <c r="Q4395" s="1" t="s">
        <v>14225</v>
      </c>
      <c r="R4395" s="1" t="s">
        <v>14225</v>
      </c>
      <c r="S4395" s="1"/>
      <c r="T4395" s="1" t="s">
        <v>68</v>
      </c>
      <c r="U4395" s="1"/>
      <c r="V4395" s="1">
        <v>29.99</v>
      </c>
      <c r="W4395" s="1">
        <v>29.99</v>
      </c>
      <c r="X4395" s="1" t="s">
        <v>35</v>
      </c>
      <c r="Y4395" s="1">
        <v>29990.0</v>
      </c>
      <c r="Z4395" s="1"/>
      <c r="AA4395" s="1">
        <v>29990.0</v>
      </c>
      <c r="AB4395" s="1"/>
      <c r="AC4395" s="1" t="s">
        <v>36</v>
      </c>
      <c r="AD4395" s="1" t="s">
        <v>15132</v>
      </c>
      <c r="AE4395" s="1" t="s">
        <v>32</v>
      </c>
      <c r="AF4395" s="1" t="s">
        <v>33</v>
      </c>
      <c r="AG4395" s="1" t="s">
        <v>60</v>
      </c>
    </row>
    <row r="4396" spans="1:33">
      <c r="A4396" t="s">
        <v>15133</v>
      </c>
      <c r="C4396" t="s">
        <v>1447</v>
      </c>
      <c r="D4396" t="s">
        <v>114</v>
      </c>
      <c r="E4396" t="s">
        <v>14225</v>
      </c>
      <c r="F4396" t="s">
        <v>14226</v>
      </c>
      <c r="G4396">
        <v>688.0</v>
      </c>
      <c r="H4396">
        <v>688.0</v>
      </c>
      <c r="I4396" t="s">
        <v>269</v>
      </c>
      <c r="J4396" t="s">
        <v>270</v>
      </c>
      <c r="K4396" t="s">
        <v>31</v>
      </c>
      <c r="L4396" t="s">
        <v>32</v>
      </c>
      <c r="M4396" t="s">
        <v>33</v>
      </c>
      <c r="P4396" s="1" t="s">
        <v>15134</v>
      </c>
      <c r="Q4396" s="1" t="s">
        <v>14225</v>
      </c>
      <c r="R4396" s="1" t="s">
        <v>14225</v>
      </c>
      <c r="S4396" s="1"/>
      <c r="T4396" s="1" t="s">
        <v>1449</v>
      </c>
      <c r="U4396" s="1" t="s">
        <v>1450</v>
      </c>
      <c r="V4396" s="1">
        <v>688.0</v>
      </c>
      <c r="W4396" s="1">
        <v>688.0</v>
      </c>
      <c r="X4396" s="1" t="s">
        <v>35</v>
      </c>
      <c r="Y4396" s="1">
        <v>688000.0</v>
      </c>
      <c r="Z4396" s="1"/>
      <c r="AA4396" s="1">
        <v>688000.0</v>
      </c>
      <c r="AB4396" s="1"/>
      <c r="AC4396" s="1" t="s">
        <v>36</v>
      </c>
      <c r="AD4396" s="1" t="s">
        <v>15125</v>
      </c>
      <c r="AE4396" s="1" t="s">
        <v>32</v>
      </c>
      <c r="AF4396" s="1" t="s">
        <v>33</v>
      </c>
      <c r="AG4396" s="1" t="s">
        <v>270</v>
      </c>
    </row>
    <row r="4397" spans="1:33">
      <c r="A4397" t="s">
        <v>15135</v>
      </c>
      <c r="B4397" t="s">
        <v>15136</v>
      </c>
      <c r="C4397" t="s">
        <v>268</v>
      </c>
      <c r="E4397" t="s">
        <v>14225</v>
      </c>
      <c r="F4397" t="s">
        <v>14226</v>
      </c>
      <c r="G4397">
        <v>84.75</v>
      </c>
      <c r="H4397">
        <v>84.75</v>
      </c>
      <c r="I4397" t="s">
        <v>269</v>
      </c>
      <c r="J4397" t="s">
        <v>270</v>
      </c>
      <c r="K4397" t="s">
        <v>31</v>
      </c>
      <c r="L4397" t="s">
        <v>32</v>
      </c>
      <c r="M4397" t="s">
        <v>33</v>
      </c>
      <c r="P4397" s="1" t="s">
        <v>15137</v>
      </c>
      <c r="Q4397" s="1" t="s">
        <v>14225</v>
      </c>
      <c r="R4397" s="1" t="s">
        <v>14225</v>
      </c>
      <c r="S4397" s="1"/>
      <c r="T4397" s="1" t="s">
        <v>268</v>
      </c>
      <c r="U4397" s="1"/>
      <c r="V4397" s="1">
        <v>84.75</v>
      </c>
      <c r="W4397" s="1">
        <v>84.75</v>
      </c>
      <c r="X4397" s="1" t="s">
        <v>35</v>
      </c>
      <c r="Y4397" s="1">
        <v>84750.0</v>
      </c>
      <c r="Z4397" s="1"/>
      <c r="AA4397" s="1">
        <v>84750.0</v>
      </c>
      <c r="AB4397" s="1"/>
      <c r="AC4397" s="1" t="s">
        <v>36</v>
      </c>
      <c r="AD4397" s="1" t="s">
        <v>15138</v>
      </c>
      <c r="AE4397" s="1" t="s">
        <v>32</v>
      </c>
      <c r="AF4397" s="1" t="s">
        <v>33</v>
      </c>
      <c r="AG4397" s="1" t="s">
        <v>270</v>
      </c>
    </row>
    <row r="4398" spans="1:33">
      <c r="A4398" t="s">
        <v>15139</v>
      </c>
      <c r="B4398" t="s">
        <v>15140</v>
      </c>
      <c r="C4398" t="s">
        <v>15141</v>
      </c>
      <c r="E4398" t="s">
        <v>14225</v>
      </c>
      <c r="F4398" t="s">
        <v>14226</v>
      </c>
      <c r="G4398">
        <v>462.5</v>
      </c>
      <c r="H4398">
        <v>462.5</v>
      </c>
      <c r="I4398" t="s">
        <v>59</v>
      </c>
      <c r="J4398" t="s">
        <v>60</v>
      </c>
      <c r="K4398" t="s">
        <v>31</v>
      </c>
      <c r="L4398" t="s">
        <v>32</v>
      </c>
      <c r="M4398" t="s">
        <v>33</v>
      </c>
      <c r="P4398" s="1" t="s">
        <v>15142</v>
      </c>
      <c r="Q4398" s="1" t="s">
        <v>14225</v>
      </c>
      <c r="R4398" s="1" t="s">
        <v>14225</v>
      </c>
      <c r="S4398" s="1"/>
      <c r="T4398" s="1" t="s">
        <v>15141</v>
      </c>
      <c r="U4398" s="1"/>
      <c r="V4398" s="1">
        <v>462.5</v>
      </c>
      <c r="W4398" s="1">
        <v>462.5</v>
      </c>
      <c r="X4398" s="1" t="s">
        <v>35</v>
      </c>
      <c r="Y4398" s="1">
        <v>462500.0</v>
      </c>
      <c r="Z4398" s="1"/>
      <c r="AA4398" s="1">
        <v>462500.0</v>
      </c>
      <c r="AB4398" s="1"/>
      <c r="AC4398" s="1" t="s">
        <v>36</v>
      </c>
      <c r="AD4398" s="1" t="s">
        <v>15138</v>
      </c>
      <c r="AE4398" s="1" t="s">
        <v>32</v>
      </c>
      <c r="AF4398" s="1" t="s">
        <v>33</v>
      </c>
      <c r="AG4398" s="1" t="s">
        <v>60</v>
      </c>
    </row>
    <row r="4399" spans="1:33">
      <c r="A4399" t="s">
        <v>15143</v>
      </c>
      <c r="B4399" t="s">
        <v>15144</v>
      </c>
      <c r="C4399" t="s">
        <v>172</v>
      </c>
      <c r="E4399" t="s">
        <v>14225</v>
      </c>
      <c r="F4399" t="s">
        <v>14226</v>
      </c>
      <c r="G4399">
        <v>20.99</v>
      </c>
      <c r="H4399">
        <v>20.99</v>
      </c>
      <c r="I4399" t="s">
        <v>173</v>
      </c>
      <c r="J4399" t="s">
        <v>174</v>
      </c>
      <c r="K4399" t="s">
        <v>31</v>
      </c>
      <c r="L4399" t="s">
        <v>32</v>
      </c>
      <c r="M4399" t="s">
        <v>33</v>
      </c>
      <c r="P4399" s="1" t="s">
        <v>15145</v>
      </c>
      <c r="Q4399" s="1" t="s">
        <v>14225</v>
      </c>
      <c r="R4399" s="1" t="s">
        <v>14225</v>
      </c>
      <c r="S4399" s="1"/>
      <c r="T4399" s="1" t="s">
        <v>172</v>
      </c>
      <c r="U4399" s="1"/>
      <c r="V4399" s="1">
        <v>20.99</v>
      </c>
      <c r="W4399" s="1">
        <v>20.99</v>
      </c>
      <c r="X4399" s="1" t="s">
        <v>35</v>
      </c>
      <c r="Y4399" s="1">
        <v>20990.0</v>
      </c>
      <c r="Z4399" s="1"/>
      <c r="AA4399" s="1">
        <v>20990.0</v>
      </c>
      <c r="AB4399" s="1"/>
      <c r="AC4399" s="1" t="s">
        <v>36</v>
      </c>
      <c r="AD4399" s="1" t="s">
        <v>15146</v>
      </c>
      <c r="AE4399" s="1" t="s">
        <v>32</v>
      </c>
      <c r="AF4399" s="1" t="s">
        <v>33</v>
      </c>
      <c r="AG4399" s="1" t="s">
        <v>174</v>
      </c>
    </row>
    <row r="4400" spans="1:33">
      <c r="A4400" t="s">
        <v>15147</v>
      </c>
      <c r="B4400" t="s">
        <v>15148</v>
      </c>
      <c r="C4400" t="s">
        <v>906</v>
      </c>
      <c r="E4400" t="s">
        <v>14225</v>
      </c>
      <c r="F4400" t="s">
        <v>14226</v>
      </c>
      <c r="G4400">
        <v>49.98</v>
      </c>
      <c r="H4400">
        <v>49.98</v>
      </c>
      <c r="I4400" t="s">
        <v>847</v>
      </c>
      <c r="J4400" t="s">
        <v>848</v>
      </c>
      <c r="K4400" t="s">
        <v>31</v>
      </c>
      <c r="L4400" t="s">
        <v>32</v>
      </c>
      <c r="M4400" t="s">
        <v>33</v>
      </c>
      <c r="P4400" s="1" t="s">
        <v>15149</v>
      </c>
      <c r="Q4400" s="1" t="s">
        <v>14225</v>
      </c>
      <c r="R4400" s="1" t="s">
        <v>14225</v>
      </c>
      <c r="S4400" s="1"/>
      <c r="T4400" s="1" t="s">
        <v>906</v>
      </c>
      <c r="U4400" s="1"/>
      <c r="V4400" s="1">
        <v>49.98</v>
      </c>
      <c r="W4400" s="1">
        <v>49.98</v>
      </c>
      <c r="X4400" s="1" t="s">
        <v>35</v>
      </c>
      <c r="Y4400" s="1">
        <v>49980.0</v>
      </c>
      <c r="Z4400" s="1"/>
      <c r="AA4400" s="1">
        <v>49980.0</v>
      </c>
      <c r="AB4400" s="1"/>
      <c r="AC4400" s="1" t="s">
        <v>36</v>
      </c>
      <c r="AD4400" s="1" t="s">
        <v>15150</v>
      </c>
      <c r="AE4400" s="1" t="s">
        <v>32</v>
      </c>
      <c r="AF4400" s="1" t="s">
        <v>33</v>
      </c>
      <c r="AG4400" s="1" t="s">
        <v>848</v>
      </c>
    </row>
    <row r="4401" spans="1:33">
      <c r="A4401" t="s">
        <v>15151</v>
      </c>
      <c r="C4401" t="s">
        <v>4670</v>
      </c>
      <c r="E4401" t="s">
        <v>14225</v>
      </c>
      <c r="F4401" t="s">
        <v>10617</v>
      </c>
      <c r="G4401">
        <v>352.0</v>
      </c>
      <c r="H4401">
        <v>352.0</v>
      </c>
      <c r="I4401" t="s">
        <v>179</v>
      </c>
      <c r="J4401" t="s">
        <v>180</v>
      </c>
      <c r="K4401" t="s">
        <v>31</v>
      </c>
      <c r="L4401" t="s">
        <v>32</v>
      </c>
      <c r="M4401" t="s">
        <v>33</v>
      </c>
      <c r="P4401" s="1" t="s">
        <v>15152</v>
      </c>
      <c r="Q4401" s="1" t="s">
        <v>14225</v>
      </c>
      <c r="R4401" s="1" t="s">
        <v>14225</v>
      </c>
      <c r="S4401" s="1"/>
      <c r="T4401" s="1" t="s">
        <v>4670</v>
      </c>
      <c r="U4401" s="1"/>
      <c r="V4401" s="1">
        <v>352.0</v>
      </c>
      <c r="W4401" s="1">
        <v>352.0</v>
      </c>
      <c r="X4401" s="1" t="s">
        <v>35</v>
      </c>
      <c r="Y4401" s="1">
        <v>352000.0</v>
      </c>
      <c r="Z4401" s="1"/>
      <c r="AA4401" s="1">
        <v>352000.0</v>
      </c>
      <c r="AB4401" s="1"/>
      <c r="AC4401" s="1" t="s">
        <v>36</v>
      </c>
      <c r="AD4401" s="1" t="s">
        <v>15153</v>
      </c>
      <c r="AE4401" s="1" t="s">
        <v>32</v>
      </c>
      <c r="AF4401" s="1" t="s">
        <v>33</v>
      </c>
      <c r="AG4401" s="1" t="s">
        <v>180</v>
      </c>
    </row>
    <row r="4402" spans="1:33">
      <c r="A4402" t="s">
        <v>15154</v>
      </c>
      <c r="B4402" t="s">
        <v>15148</v>
      </c>
      <c r="C4402" t="s">
        <v>906</v>
      </c>
      <c r="E4402" t="s">
        <v>14225</v>
      </c>
      <c r="F4402" t="s">
        <v>14226</v>
      </c>
      <c r="G4402">
        <v>86.45</v>
      </c>
      <c r="H4402">
        <v>86.45</v>
      </c>
      <c r="I4402" t="s">
        <v>847</v>
      </c>
      <c r="J4402" t="s">
        <v>848</v>
      </c>
      <c r="K4402" t="s">
        <v>31</v>
      </c>
      <c r="L4402" t="s">
        <v>32</v>
      </c>
      <c r="M4402" t="s">
        <v>33</v>
      </c>
      <c r="P4402" s="1" t="s">
        <v>15155</v>
      </c>
      <c r="Q4402" s="1" t="s">
        <v>14225</v>
      </c>
      <c r="R4402" s="1" t="s">
        <v>14225</v>
      </c>
      <c r="S4402" s="1"/>
      <c r="T4402" s="1" t="s">
        <v>906</v>
      </c>
      <c r="U4402" s="1"/>
      <c r="V4402" s="1">
        <v>86.45</v>
      </c>
      <c r="W4402" s="1">
        <v>86.45</v>
      </c>
      <c r="X4402" s="1" t="s">
        <v>35</v>
      </c>
      <c r="Y4402" s="1">
        <v>86450.0</v>
      </c>
      <c r="Z4402" s="1"/>
      <c r="AA4402" s="1">
        <v>86450.0</v>
      </c>
      <c r="AB4402" s="1"/>
      <c r="AC4402" s="1" t="s">
        <v>36</v>
      </c>
      <c r="AD4402" s="1" t="s">
        <v>15156</v>
      </c>
      <c r="AE4402" s="1" t="s">
        <v>32</v>
      </c>
      <c r="AF4402" s="1" t="s">
        <v>33</v>
      </c>
      <c r="AG4402" s="1" t="s">
        <v>848</v>
      </c>
    </row>
    <row r="4403" spans="1:33">
      <c r="A4403" t="s">
        <v>15157</v>
      </c>
      <c r="C4403" t="s">
        <v>1244</v>
      </c>
      <c r="E4403" t="s">
        <v>14225</v>
      </c>
      <c r="F4403" t="s">
        <v>14226</v>
      </c>
      <c r="G4403">
        <v>107.1</v>
      </c>
      <c r="H4403">
        <v>107.1</v>
      </c>
      <c r="I4403" t="s">
        <v>179</v>
      </c>
      <c r="J4403" t="s">
        <v>180</v>
      </c>
      <c r="K4403" t="s">
        <v>31</v>
      </c>
      <c r="L4403" t="s">
        <v>32</v>
      </c>
      <c r="M4403" t="s">
        <v>33</v>
      </c>
      <c r="P4403" s="1" t="s">
        <v>15158</v>
      </c>
      <c r="Q4403" s="1" t="s">
        <v>14225</v>
      </c>
      <c r="R4403" s="1" t="s">
        <v>14225</v>
      </c>
      <c r="S4403" s="1"/>
      <c r="T4403" s="1" t="s">
        <v>1244</v>
      </c>
      <c r="U4403" s="1"/>
      <c r="V4403" s="1">
        <v>107.1</v>
      </c>
      <c r="W4403" s="1">
        <v>107.1</v>
      </c>
      <c r="X4403" s="1" t="s">
        <v>35</v>
      </c>
      <c r="Y4403" s="1">
        <v>107100.0</v>
      </c>
      <c r="Z4403" s="1"/>
      <c r="AA4403" s="1">
        <v>107100.0</v>
      </c>
      <c r="AB4403" s="1"/>
      <c r="AC4403" s="1" t="s">
        <v>36</v>
      </c>
      <c r="AD4403" s="1" t="s">
        <v>15159</v>
      </c>
      <c r="AE4403" s="1" t="s">
        <v>32</v>
      </c>
      <c r="AF4403" s="1" t="s">
        <v>33</v>
      </c>
      <c r="AG4403" s="1" t="s">
        <v>180</v>
      </c>
    </row>
    <row r="4404" spans="1:33">
      <c r="A4404" t="s">
        <v>15160</v>
      </c>
      <c r="C4404" t="s">
        <v>3482</v>
      </c>
      <c r="E4404" t="s">
        <v>14225</v>
      </c>
      <c r="F4404" t="s">
        <v>14226</v>
      </c>
      <c r="G4404">
        <v>255.0</v>
      </c>
      <c r="H4404">
        <v>255.0</v>
      </c>
      <c r="I4404" t="s">
        <v>179</v>
      </c>
      <c r="J4404" t="s">
        <v>180</v>
      </c>
      <c r="K4404" t="s">
        <v>31</v>
      </c>
      <c r="L4404" t="s">
        <v>32</v>
      </c>
      <c r="M4404" t="s">
        <v>33</v>
      </c>
      <c r="P4404" s="1" t="s">
        <v>15161</v>
      </c>
      <c r="Q4404" s="1" t="s">
        <v>14225</v>
      </c>
      <c r="R4404" s="1" t="s">
        <v>14225</v>
      </c>
      <c r="S4404" s="1"/>
      <c r="T4404" s="1" t="s">
        <v>3482</v>
      </c>
      <c r="U4404" s="1"/>
      <c r="V4404" s="1">
        <v>255.0</v>
      </c>
      <c r="W4404" s="1">
        <v>255.0</v>
      </c>
      <c r="X4404" s="1" t="s">
        <v>35</v>
      </c>
      <c r="Y4404" s="1">
        <v>255000.0</v>
      </c>
      <c r="Z4404" s="1"/>
      <c r="AA4404" s="1">
        <v>255000.0</v>
      </c>
      <c r="AB4404" s="1"/>
      <c r="AC4404" s="1" t="s">
        <v>36</v>
      </c>
      <c r="AD4404" s="1" t="s">
        <v>15162</v>
      </c>
      <c r="AE4404" s="1" t="s">
        <v>32</v>
      </c>
      <c r="AF4404" s="1" t="s">
        <v>33</v>
      </c>
      <c r="AG4404" s="1" t="s">
        <v>180</v>
      </c>
    </row>
    <row r="4405" spans="1:33">
      <c r="A4405" t="s">
        <v>15163</v>
      </c>
      <c r="B4405" t="s">
        <v>15164</v>
      </c>
      <c r="C4405" t="s">
        <v>314</v>
      </c>
      <c r="E4405" t="s">
        <v>14225</v>
      </c>
      <c r="F4405" t="s">
        <v>14226</v>
      </c>
      <c r="G4405">
        <v>111.2</v>
      </c>
      <c r="H4405">
        <v>111.2</v>
      </c>
      <c r="I4405" t="s">
        <v>179</v>
      </c>
      <c r="J4405" t="s">
        <v>180</v>
      </c>
      <c r="K4405" t="s">
        <v>31</v>
      </c>
      <c r="L4405" t="s">
        <v>32</v>
      </c>
      <c r="M4405" t="s">
        <v>33</v>
      </c>
      <c r="P4405" s="1" t="s">
        <v>15165</v>
      </c>
      <c r="Q4405" s="1" t="s">
        <v>14225</v>
      </c>
      <c r="R4405" s="1" t="s">
        <v>14225</v>
      </c>
      <c r="S4405" s="1"/>
      <c r="T4405" s="1" t="s">
        <v>314</v>
      </c>
      <c r="U4405" s="1"/>
      <c r="V4405" s="1">
        <v>111.2</v>
      </c>
      <c r="W4405" s="1">
        <v>111.2</v>
      </c>
      <c r="X4405" s="1" t="s">
        <v>35</v>
      </c>
      <c r="Y4405" s="1">
        <v>111200.0</v>
      </c>
      <c r="Z4405" s="1"/>
      <c r="AA4405" s="1">
        <v>111200.0</v>
      </c>
      <c r="AB4405" s="1"/>
      <c r="AC4405" s="1" t="s">
        <v>36</v>
      </c>
      <c r="AD4405" s="1" t="s">
        <v>15109</v>
      </c>
      <c r="AE4405" s="1" t="s">
        <v>32</v>
      </c>
      <c r="AF4405" s="1" t="s">
        <v>33</v>
      </c>
      <c r="AG4405" s="1" t="s">
        <v>180</v>
      </c>
    </row>
    <row r="4406" spans="1:33">
      <c r="A4406" t="s">
        <v>15166</v>
      </c>
      <c r="B4406" t="s">
        <v>15167</v>
      </c>
      <c r="C4406" t="s">
        <v>73</v>
      </c>
      <c r="E4406" t="s">
        <v>14225</v>
      </c>
      <c r="F4406" t="s">
        <v>14226</v>
      </c>
      <c r="G4406">
        <v>43.98</v>
      </c>
      <c r="H4406">
        <v>43.98</v>
      </c>
      <c r="I4406" t="s">
        <v>40</v>
      </c>
      <c r="J4406" t="s">
        <v>41</v>
      </c>
      <c r="K4406" t="s">
        <v>31</v>
      </c>
      <c r="L4406" t="s">
        <v>32</v>
      </c>
      <c r="M4406" t="s">
        <v>33</v>
      </c>
      <c r="P4406" s="1" t="s">
        <v>15168</v>
      </c>
      <c r="Q4406" s="1" t="s">
        <v>14225</v>
      </c>
      <c r="R4406" s="1" t="s">
        <v>10616</v>
      </c>
      <c r="S4406" s="1"/>
      <c r="T4406" s="1" t="s">
        <v>75</v>
      </c>
      <c r="U4406" s="1" t="s">
        <v>76</v>
      </c>
      <c r="V4406" s="1">
        <v>43.98</v>
      </c>
      <c r="W4406" s="1">
        <v>43.98</v>
      </c>
      <c r="X4406" s="1" t="s">
        <v>35</v>
      </c>
      <c r="Y4406" s="1">
        <v>43980.0</v>
      </c>
      <c r="Z4406" s="1"/>
      <c r="AA4406" s="1">
        <v>43980.0</v>
      </c>
      <c r="AB4406" s="1"/>
      <c r="AC4406" s="1" t="s">
        <v>36</v>
      </c>
      <c r="AD4406" s="1" t="s">
        <v>15169</v>
      </c>
      <c r="AE4406" s="1" t="s">
        <v>32</v>
      </c>
      <c r="AF4406" s="1" t="s">
        <v>33</v>
      </c>
      <c r="AG4406" s="1" t="s">
        <v>41</v>
      </c>
    </row>
    <row r="4407" spans="1:33">
      <c r="A4407" t="s">
        <v>15170</v>
      </c>
      <c r="B4407" t="s">
        <v>4135</v>
      </c>
      <c r="C4407" t="s">
        <v>569</v>
      </c>
      <c r="E4407" t="s">
        <v>14225</v>
      </c>
      <c r="F4407" t="s">
        <v>14226</v>
      </c>
      <c r="G4407">
        <v>104.95</v>
      </c>
      <c r="H4407">
        <v>104.95</v>
      </c>
      <c r="I4407" t="s">
        <v>570</v>
      </c>
      <c r="J4407" t="s">
        <v>571</v>
      </c>
      <c r="K4407" t="s">
        <v>31</v>
      </c>
      <c r="L4407" t="s">
        <v>32</v>
      </c>
      <c r="M4407" t="s">
        <v>33</v>
      </c>
      <c r="P4407" s="1" t="s">
        <v>15171</v>
      </c>
      <c r="Q4407" s="1" t="s">
        <v>14225</v>
      </c>
      <c r="R4407" s="1" t="s">
        <v>14225</v>
      </c>
      <c r="S4407" s="1"/>
      <c r="T4407" s="1" t="s">
        <v>569</v>
      </c>
      <c r="U4407" s="1"/>
      <c r="V4407" s="1">
        <v>104.95</v>
      </c>
      <c r="W4407" s="1">
        <v>104.95</v>
      </c>
      <c r="X4407" s="1" t="s">
        <v>35</v>
      </c>
      <c r="Y4407" s="1">
        <v>104950.0</v>
      </c>
      <c r="Z4407" s="1"/>
      <c r="AA4407" s="1">
        <v>104950.0</v>
      </c>
      <c r="AB4407" s="1"/>
      <c r="AC4407" s="1" t="s">
        <v>36</v>
      </c>
      <c r="AD4407" s="1" t="s">
        <v>15172</v>
      </c>
      <c r="AE4407" s="1" t="s">
        <v>32</v>
      </c>
      <c r="AF4407" s="1" t="s">
        <v>33</v>
      </c>
      <c r="AG4407" s="1" t="s">
        <v>571</v>
      </c>
    </row>
    <row r="4408" spans="1:33">
      <c r="A4408" t="s">
        <v>15173</v>
      </c>
      <c r="C4408" t="s">
        <v>1912</v>
      </c>
      <c r="E4408" t="s">
        <v>14225</v>
      </c>
      <c r="F4408" t="s">
        <v>14226</v>
      </c>
      <c r="G4408">
        <v>383.0</v>
      </c>
      <c r="H4408">
        <v>383.0</v>
      </c>
      <c r="I4408" t="s">
        <v>173</v>
      </c>
      <c r="J4408" t="s">
        <v>174</v>
      </c>
      <c r="K4408" t="s">
        <v>31</v>
      </c>
      <c r="L4408" t="s">
        <v>32</v>
      </c>
      <c r="M4408" t="s">
        <v>33</v>
      </c>
      <c r="P4408" s="1" t="s">
        <v>15174</v>
      </c>
      <c r="Q4408" s="1" t="s">
        <v>14225</v>
      </c>
      <c r="R4408" s="1" t="s">
        <v>14225</v>
      </c>
      <c r="S4408" s="1"/>
      <c r="T4408" s="1" t="s">
        <v>1912</v>
      </c>
      <c r="U4408" s="1"/>
      <c r="V4408" s="1">
        <v>383.0</v>
      </c>
      <c r="W4408" s="1">
        <v>383.0</v>
      </c>
      <c r="X4408" s="1" t="s">
        <v>35</v>
      </c>
      <c r="Y4408" s="1">
        <v>383000.0</v>
      </c>
      <c r="Z4408" s="1"/>
      <c r="AA4408" s="1">
        <v>383000.0</v>
      </c>
      <c r="AB4408" s="1"/>
      <c r="AC4408" s="1" t="s">
        <v>36</v>
      </c>
      <c r="AD4408" s="1" t="s">
        <v>15175</v>
      </c>
      <c r="AE4408" s="1" t="s">
        <v>32</v>
      </c>
      <c r="AF4408" s="1" t="s">
        <v>33</v>
      </c>
      <c r="AG4408" s="1" t="s">
        <v>174</v>
      </c>
    </row>
    <row r="4409" spans="1:33">
      <c r="A4409" t="s">
        <v>15176</v>
      </c>
      <c r="B4409" t="s">
        <v>2920</v>
      </c>
      <c r="C4409" t="s">
        <v>2921</v>
      </c>
      <c r="E4409" t="s">
        <v>14225</v>
      </c>
      <c r="F4409" t="s">
        <v>14226</v>
      </c>
      <c r="G4409">
        <v>260.0</v>
      </c>
      <c r="H4409">
        <v>260.0</v>
      </c>
      <c r="I4409" t="s">
        <v>40</v>
      </c>
      <c r="J4409" t="s">
        <v>41</v>
      </c>
      <c r="K4409" t="s">
        <v>31</v>
      </c>
      <c r="L4409" t="s">
        <v>32</v>
      </c>
      <c r="M4409" t="s">
        <v>33</v>
      </c>
      <c r="P4409" s="1" t="s">
        <v>15177</v>
      </c>
      <c r="Q4409" s="1" t="s">
        <v>14225</v>
      </c>
      <c r="R4409" s="1" t="s">
        <v>10616</v>
      </c>
      <c r="S4409" s="1"/>
      <c r="T4409" s="1" t="s">
        <v>2921</v>
      </c>
      <c r="U4409" s="1"/>
      <c r="V4409" s="1">
        <v>260.0</v>
      </c>
      <c r="W4409" s="1">
        <v>260.0</v>
      </c>
      <c r="X4409" s="1" t="s">
        <v>35</v>
      </c>
      <c r="Y4409" s="1">
        <v>260000.0</v>
      </c>
      <c r="Z4409" s="1"/>
      <c r="AA4409" s="1">
        <v>260000.0</v>
      </c>
      <c r="AB4409" s="1"/>
      <c r="AC4409" s="1" t="s">
        <v>36</v>
      </c>
      <c r="AD4409" s="1" t="s">
        <v>15175</v>
      </c>
      <c r="AE4409" s="1" t="s">
        <v>32</v>
      </c>
      <c r="AF4409" s="1" t="s">
        <v>33</v>
      </c>
      <c r="AG4409" s="1" t="s">
        <v>41</v>
      </c>
    </row>
    <row r="4410" spans="1:33">
      <c r="A4410" t="s">
        <v>15178</v>
      </c>
      <c r="B4410" t="s">
        <v>15179</v>
      </c>
      <c r="C4410" t="s">
        <v>314</v>
      </c>
      <c r="E4410" t="s">
        <v>14225</v>
      </c>
      <c r="F4410" t="s">
        <v>14226</v>
      </c>
      <c r="G4410">
        <v>18.59</v>
      </c>
      <c r="H4410">
        <v>18.59</v>
      </c>
      <c r="I4410" t="s">
        <v>179</v>
      </c>
      <c r="J4410" t="s">
        <v>180</v>
      </c>
      <c r="K4410" t="s">
        <v>31</v>
      </c>
      <c r="L4410" t="s">
        <v>32</v>
      </c>
      <c r="M4410" t="s">
        <v>33</v>
      </c>
      <c r="P4410" s="1" t="s">
        <v>15180</v>
      </c>
      <c r="Q4410" s="1" t="s">
        <v>14225</v>
      </c>
      <c r="R4410" s="1" t="s">
        <v>14225</v>
      </c>
      <c r="S4410" s="1"/>
      <c r="T4410" s="1" t="s">
        <v>314</v>
      </c>
      <c r="U4410" s="1"/>
      <c r="V4410" s="1">
        <v>18.59</v>
      </c>
      <c r="W4410" s="1">
        <v>18.59</v>
      </c>
      <c r="X4410" s="1" t="s">
        <v>35</v>
      </c>
      <c r="Y4410" s="1">
        <v>18590.0</v>
      </c>
      <c r="Z4410" s="1"/>
      <c r="AA4410" s="1">
        <v>18590.0</v>
      </c>
      <c r="AB4410" s="1"/>
      <c r="AC4410" s="1" t="s">
        <v>36</v>
      </c>
      <c r="AD4410" s="1" t="s">
        <v>15181</v>
      </c>
      <c r="AE4410" s="1" t="s">
        <v>32</v>
      </c>
      <c r="AF4410" s="1" t="s">
        <v>33</v>
      </c>
      <c r="AG4410" s="1" t="s">
        <v>180</v>
      </c>
    </row>
    <row r="4411" spans="1:33">
      <c r="A4411" t="s">
        <v>15182</v>
      </c>
      <c r="B4411" t="s">
        <v>3904</v>
      </c>
      <c r="C4411" t="s">
        <v>314</v>
      </c>
      <c r="E4411" t="s">
        <v>14225</v>
      </c>
      <c r="F4411" t="s">
        <v>14226</v>
      </c>
      <c r="G4411">
        <v>147.14</v>
      </c>
      <c r="H4411">
        <v>147.14</v>
      </c>
      <c r="I4411" t="s">
        <v>179</v>
      </c>
      <c r="J4411" t="s">
        <v>180</v>
      </c>
      <c r="K4411" t="s">
        <v>31</v>
      </c>
      <c r="L4411" t="s">
        <v>32</v>
      </c>
      <c r="M4411" t="s">
        <v>33</v>
      </c>
      <c r="P4411" s="1" t="s">
        <v>15183</v>
      </c>
      <c r="Q4411" s="1" t="s">
        <v>14225</v>
      </c>
      <c r="R4411" s="1" t="s">
        <v>14225</v>
      </c>
      <c r="S4411" s="1"/>
      <c r="T4411" s="1" t="s">
        <v>314</v>
      </c>
      <c r="U4411" s="1"/>
      <c r="V4411" s="1">
        <v>147.14</v>
      </c>
      <c r="W4411" s="1">
        <v>147.14</v>
      </c>
      <c r="X4411" s="1" t="s">
        <v>35</v>
      </c>
      <c r="Y4411" s="1">
        <v>147140.0</v>
      </c>
      <c r="Z4411" s="1"/>
      <c r="AA4411" s="1">
        <v>147140.0</v>
      </c>
      <c r="AB4411" s="1"/>
      <c r="AC4411" s="1" t="s">
        <v>36</v>
      </c>
      <c r="AD4411" s="1" t="s">
        <v>15184</v>
      </c>
      <c r="AE4411" s="1" t="s">
        <v>32</v>
      </c>
      <c r="AF4411" s="1" t="s">
        <v>33</v>
      </c>
      <c r="AG4411" s="1" t="s">
        <v>180</v>
      </c>
    </row>
    <row r="4412" spans="1:33">
      <c r="A4412" t="s">
        <v>15185</v>
      </c>
      <c r="C4412" t="s">
        <v>2708</v>
      </c>
      <c r="E4412" t="s">
        <v>14225</v>
      </c>
      <c r="F4412" t="s">
        <v>14226</v>
      </c>
      <c r="G4412">
        <v>320.0</v>
      </c>
      <c r="H4412">
        <v>320.0</v>
      </c>
      <c r="I4412" t="s">
        <v>40</v>
      </c>
      <c r="J4412" t="s">
        <v>41</v>
      </c>
      <c r="K4412" t="s">
        <v>31</v>
      </c>
      <c r="L4412" t="s">
        <v>32</v>
      </c>
      <c r="M4412" t="s">
        <v>33</v>
      </c>
      <c r="P4412" s="1" t="s">
        <v>15186</v>
      </c>
      <c r="Q4412" s="1" t="s">
        <v>14225</v>
      </c>
      <c r="R4412" s="1" t="s">
        <v>10616</v>
      </c>
      <c r="S4412" s="1"/>
      <c r="T4412" s="1" t="s">
        <v>2708</v>
      </c>
      <c r="U4412" s="1"/>
      <c r="V4412" s="1">
        <v>320.0</v>
      </c>
      <c r="W4412" s="1">
        <v>320.0</v>
      </c>
      <c r="X4412" s="1" t="s">
        <v>35</v>
      </c>
      <c r="Y4412" s="1">
        <v>320000.0</v>
      </c>
      <c r="Z4412" s="1"/>
      <c r="AA4412" s="1">
        <v>320000.0</v>
      </c>
      <c r="AB4412" s="1"/>
      <c r="AC4412" s="1" t="s">
        <v>36</v>
      </c>
      <c r="AD4412" s="1" t="s">
        <v>15187</v>
      </c>
      <c r="AE4412" s="1" t="s">
        <v>32</v>
      </c>
      <c r="AF4412" s="1" t="s">
        <v>33</v>
      </c>
      <c r="AG4412" s="1" t="s">
        <v>41</v>
      </c>
    </row>
    <row r="4413" spans="1:33">
      <c r="A4413" t="s">
        <v>15188</v>
      </c>
      <c r="C4413" t="s">
        <v>1522</v>
      </c>
      <c r="E4413" t="s">
        <v>14225</v>
      </c>
      <c r="F4413" t="s">
        <v>14226</v>
      </c>
      <c r="G4413">
        <v>328.0</v>
      </c>
      <c r="H4413">
        <v>328.0</v>
      </c>
      <c r="I4413" t="s">
        <v>227</v>
      </c>
      <c r="J4413" t="s">
        <v>228</v>
      </c>
      <c r="K4413" t="s">
        <v>31</v>
      </c>
      <c r="L4413" t="s">
        <v>32</v>
      </c>
      <c r="M4413" t="s">
        <v>33</v>
      </c>
      <c r="P4413" s="1" t="s">
        <v>15189</v>
      </c>
      <c r="Q4413" s="1" t="s">
        <v>14225</v>
      </c>
      <c r="R4413" s="1" t="s">
        <v>14225</v>
      </c>
      <c r="S4413" s="1"/>
      <c r="T4413" s="1" t="s">
        <v>1522</v>
      </c>
      <c r="U4413" s="1"/>
      <c r="V4413" s="1">
        <v>328.0</v>
      </c>
      <c r="W4413" s="1">
        <v>328.0</v>
      </c>
      <c r="X4413" s="1" t="s">
        <v>35</v>
      </c>
      <c r="Y4413" s="1">
        <v>328000.0</v>
      </c>
      <c r="Z4413" s="1"/>
      <c r="AA4413" s="1">
        <v>328000.0</v>
      </c>
      <c r="AB4413" s="1"/>
      <c r="AC4413" s="1" t="s">
        <v>36</v>
      </c>
      <c r="AD4413" s="1" t="s">
        <v>15190</v>
      </c>
      <c r="AE4413" s="1" t="s">
        <v>32</v>
      </c>
      <c r="AF4413" s="1" t="s">
        <v>33</v>
      </c>
      <c r="AG4413" s="1" t="s">
        <v>228</v>
      </c>
    </row>
    <row r="4414" spans="1:33">
      <c r="A4414" t="s">
        <v>15191</v>
      </c>
      <c r="C4414" t="s">
        <v>5539</v>
      </c>
      <c r="E4414" t="s">
        <v>14225</v>
      </c>
      <c r="F4414" t="s">
        <v>14226</v>
      </c>
      <c r="G4414">
        <v>415.0</v>
      </c>
      <c r="H4414">
        <v>415.0</v>
      </c>
      <c r="I4414" t="s">
        <v>2206</v>
      </c>
      <c r="J4414" t="s">
        <v>49</v>
      </c>
      <c r="K4414" t="s">
        <v>31</v>
      </c>
      <c r="L4414" t="s">
        <v>32</v>
      </c>
      <c r="M4414" t="s">
        <v>33</v>
      </c>
      <c r="P4414" s="1" t="s">
        <v>15192</v>
      </c>
      <c r="Q4414" s="1" t="s">
        <v>14225</v>
      </c>
      <c r="R4414" s="1" t="s">
        <v>14225</v>
      </c>
      <c r="S4414" s="1"/>
      <c r="T4414" s="1" t="s">
        <v>5539</v>
      </c>
      <c r="U4414" s="1"/>
      <c r="V4414" s="1">
        <v>415.0</v>
      </c>
      <c r="W4414" s="1">
        <v>415.0</v>
      </c>
      <c r="X4414" s="1" t="s">
        <v>35</v>
      </c>
      <c r="Y4414" s="1">
        <v>415000.0</v>
      </c>
      <c r="Z4414" s="1"/>
      <c r="AA4414" s="1">
        <v>415000.0</v>
      </c>
      <c r="AB4414" s="1"/>
      <c r="AC4414" s="1" t="s">
        <v>36</v>
      </c>
      <c r="AD4414" s="1" t="s">
        <v>15181</v>
      </c>
      <c r="AE4414" s="1" t="s">
        <v>32</v>
      </c>
      <c r="AF4414" s="1" t="s">
        <v>33</v>
      </c>
      <c r="AG4414" s="1" t="s">
        <v>49</v>
      </c>
    </row>
    <row r="4415" spans="1:33">
      <c r="A4415" t="s">
        <v>15193</v>
      </c>
      <c r="C4415" t="s">
        <v>2876</v>
      </c>
      <c r="E4415" t="s">
        <v>14225</v>
      </c>
      <c r="F4415" t="s">
        <v>14226</v>
      </c>
      <c r="G4415">
        <v>752.3</v>
      </c>
      <c r="H4415">
        <v>752.3</v>
      </c>
      <c r="I4415" t="s">
        <v>269</v>
      </c>
      <c r="J4415" t="s">
        <v>270</v>
      </c>
      <c r="K4415" t="s">
        <v>31</v>
      </c>
      <c r="L4415" t="s">
        <v>32</v>
      </c>
      <c r="M4415" t="s">
        <v>33</v>
      </c>
      <c r="P4415" s="1" t="s">
        <v>15194</v>
      </c>
      <c r="Q4415" s="1" t="s">
        <v>14225</v>
      </c>
      <c r="R4415" s="1" t="s">
        <v>14225</v>
      </c>
      <c r="S4415" s="1"/>
      <c r="T4415" s="1" t="s">
        <v>2876</v>
      </c>
      <c r="U4415" s="1"/>
      <c r="V4415" s="1">
        <v>752.3</v>
      </c>
      <c r="W4415" s="1">
        <v>752.3</v>
      </c>
      <c r="X4415" s="1" t="s">
        <v>35</v>
      </c>
      <c r="Y4415" s="1">
        <v>752300.0</v>
      </c>
      <c r="Z4415" s="1"/>
      <c r="AA4415" s="1">
        <v>752300.0</v>
      </c>
      <c r="AB4415" s="1"/>
      <c r="AC4415" s="1" t="s">
        <v>36</v>
      </c>
      <c r="AD4415" s="1" t="s">
        <v>15195</v>
      </c>
      <c r="AE4415" s="1" t="s">
        <v>32</v>
      </c>
      <c r="AF4415" s="1" t="s">
        <v>33</v>
      </c>
      <c r="AG4415" s="1" t="s">
        <v>270</v>
      </c>
    </row>
    <row r="4416" spans="1:33">
      <c r="A4416" t="s">
        <v>15196</v>
      </c>
      <c r="C4416" t="s">
        <v>226</v>
      </c>
      <c r="E4416" t="s">
        <v>14225</v>
      </c>
      <c r="F4416" t="s">
        <v>14226</v>
      </c>
      <c r="G4416">
        <v>1.587</v>
      </c>
      <c r="H4416">
        <v>1.587</v>
      </c>
      <c r="I4416" t="s">
        <v>227</v>
      </c>
      <c r="J4416" t="s">
        <v>228</v>
      </c>
      <c r="K4416" t="s">
        <v>31</v>
      </c>
      <c r="L4416" t="s">
        <v>32</v>
      </c>
      <c r="M4416" t="s">
        <v>33</v>
      </c>
      <c r="P4416" s="1" t="s">
        <v>15197</v>
      </c>
      <c r="Q4416" s="1" t="s">
        <v>14225</v>
      </c>
      <c r="R4416" s="1" t="s">
        <v>14225</v>
      </c>
      <c r="S4416" s="1"/>
      <c r="T4416" s="1" t="s">
        <v>226</v>
      </c>
      <c r="U4416" s="1"/>
      <c r="V4416" s="1">
        <v>1.587</v>
      </c>
      <c r="W4416" s="1">
        <v>1.587</v>
      </c>
      <c r="X4416" s="1" t="s">
        <v>35</v>
      </c>
      <c r="Y4416" s="1">
        <v>1587000.0</v>
      </c>
      <c r="Z4416" s="1"/>
      <c r="AA4416" s="1">
        <v>1587000.0</v>
      </c>
      <c r="AB4416" s="1"/>
      <c r="AC4416" s="1" t="s">
        <v>36</v>
      </c>
      <c r="AD4416" s="1" t="s">
        <v>15198</v>
      </c>
      <c r="AE4416" s="1" t="s">
        <v>32</v>
      </c>
      <c r="AF4416" s="1" t="s">
        <v>33</v>
      </c>
      <c r="AG4416" s="1" t="s">
        <v>228</v>
      </c>
    </row>
    <row r="4417" spans="1:33">
      <c r="A4417" t="s">
        <v>15199</v>
      </c>
      <c r="C4417" t="s">
        <v>15200</v>
      </c>
      <c r="D4417" t="s">
        <v>114</v>
      </c>
      <c r="E4417" t="s">
        <v>14225</v>
      </c>
      <c r="F4417" t="s">
        <v>14226</v>
      </c>
      <c r="G4417">
        <v>5.845</v>
      </c>
      <c r="H4417">
        <v>5.845</v>
      </c>
      <c r="I4417" t="s">
        <v>269</v>
      </c>
      <c r="J4417" t="s">
        <v>270</v>
      </c>
      <c r="K4417" t="s">
        <v>31</v>
      </c>
      <c r="L4417" t="s">
        <v>32</v>
      </c>
      <c r="M4417" t="s">
        <v>33</v>
      </c>
      <c r="P4417" s="1" t="s">
        <v>15201</v>
      </c>
      <c r="Q4417" s="1" t="s">
        <v>14225</v>
      </c>
      <c r="R4417" s="1" t="s">
        <v>14225</v>
      </c>
      <c r="S4417" s="1"/>
      <c r="T4417" s="1" t="s">
        <v>15200</v>
      </c>
      <c r="U4417" s="1"/>
      <c r="V4417" s="1">
        <v>5.845</v>
      </c>
      <c r="W4417" s="1">
        <v>5.845</v>
      </c>
      <c r="X4417" s="1" t="s">
        <v>35</v>
      </c>
      <c r="Y4417" s="1">
        <v>5845000.0</v>
      </c>
      <c r="Z4417" s="1"/>
      <c r="AA4417" s="1">
        <v>5845000.0</v>
      </c>
      <c r="AB4417" s="1"/>
      <c r="AC4417" s="1" t="s">
        <v>36</v>
      </c>
      <c r="AD4417" s="1" t="s">
        <v>15202</v>
      </c>
      <c r="AE4417" s="1" t="s">
        <v>32</v>
      </c>
      <c r="AF4417" s="1" t="s">
        <v>33</v>
      </c>
      <c r="AG4417" s="1" t="s">
        <v>270</v>
      </c>
    </row>
    <row r="4418" spans="1:33">
      <c r="A4418" t="s">
        <v>15203</v>
      </c>
      <c r="B4418" t="s">
        <v>57</v>
      </c>
      <c r="C4418" t="s">
        <v>58</v>
      </c>
      <c r="E4418" t="s">
        <v>14225</v>
      </c>
      <c r="F4418" t="s">
        <v>14226</v>
      </c>
      <c r="G4418">
        <v>54.0</v>
      </c>
      <c r="H4418">
        <v>54.0</v>
      </c>
      <c r="I4418" t="s">
        <v>59</v>
      </c>
      <c r="J4418" t="s">
        <v>60</v>
      </c>
      <c r="K4418" t="s">
        <v>31</v>
      </c>
      <c r="L4418" t="s">
        <v>32</v>
      </c>
      <c r="M4418" t="s">
        <v>33</v>
      </c>
      <c r="P4418" s="1" t="s">
        <v>15204</v>
      </c>
      <c r="Q4418" s="1" t="s">
        <v>14225</v>
      </c>
      <c r="R4418" s="1" t="s">
        <v>14225</v>
      </c>
      <c r="S4418" s="1"/>
      <c r="T4418" s="1" t="s">
        <v>58</v>
      </c>
      <c r="U4418" s="1"/>
      <c r="V4418" s="1">
        <v>54.0</v>
      </c>
      <c r="W4418" s="1">
        <v>54.0</v>
      </c>
      <c r="X4418" s="1" t="s">
        <v>35</v>
      </c>
      <c r="Y4418" s="1">
        <v>54000.0</v>
      </c>
      <c r="Z4418" s="1"/>
      <c r="AA4418" s="1">
        <v>54000.0</v>
      </c>
      <c r="AB4418" s="1"/>
      <c r="AC4418" s="1" t="s">
        <v>36</v>
      </c>
      <c r="AD4418" s="1" t="s">
        <v>15202</v>
      </c>
      <c r="AE4418" s="1" t="s">
        <v>32</v>
      </c>
      <c r="AF4418" s="1" t="s">
        <v>33</v>
      </c>
      <c r="AG4418" s="1" t="s">
        <v>60</v>
      </c>
    </row>
    <row r="4419" spans="1:33">
      <c r="A4419" t="s">
        <v>15205</v>
      </c>
      <c r="B4419" t="s">
        <v>201</v>
      </c>
      <c r="C4419" t="s">
        <v>202</v>
      </c>
      <c r="D4419" t="s">
        <v>154</v>
      </c>
      <c r="E4419" t="s">
        <v>14225</v>
      </c>
      <c r="F4419" t="s">
        <v>14226</v>
      </c>
      <c r="G4419">
        <v>84.0</v>
      </c>
      <c r="H4419">
        <v>84.0</v>
      </c>
      <c r="I4419" t="s">
        <v>59</v>
      </c>
      <c r="J4419" t="s">
        <v>60</v>
      </c>
      <c r="K4419" t="s">
        <v>31</v>
      </c>
      <c r="L4419" t="s">
        <v>32</v>
      </c>
      <c r="M4419" t="s">
        <v>33</v>
      </c>
      <c r="P4419" s="1" t="s">
        <v>15206</v>
      </c>
      <c r="Q4419" s="1" t="s">
        <v>14225</v>
      </c>
      <c r="R4419" s="1" t="s">
        <v>14225</v>
      </c>
      <c r="S4419" s="1"/>
      <c r="T4419" s="1" t="s">
        <v>202</v>
      </c>
      <c r="U4419" s="1"/>
      <c r="V4419" s="1">
        <v>84.0</v>
      </c>
      <c r="W4419" s="1">
        <v>84.0</v>
      </c>
      <c r="X4419" s="1" t="s">
        <v>35</v>
      </c>
      <c r="Y4419" s="1">
        <v>84000.0</v>
      </c>
      <c r="Z4419" s="1"/>
      <c r="AA4419" s="1">
        <v>84000.0</v>
      </c>
      <c r="AB4419" s="1"/>
      <c r="AC4419" s="1" t="s">
        <v>36</v>
      </c>
      <c r="AD4419" s="1" t="s">
        <v>15207</v>
      </c>
      <c r="AE4419" s="1" t="s">
        <v>32</v>
      </c>
      <c r="AF4419" s="1" t="s">
        <v>33</v>
      </c>
      <c r="AG4419" s="1" t="s">
        <v>60</v>
      </c>
    </row>
    <row r="4420" spans="1:33">
      <c r="A4420" t="s">
        <v>15208</v>
      </c>
      <c r="B4420" t="s">
        <v>15209</v>
      </c>
      <c r="C4420" t="s">
        <v>131</v>
      </c>
      <c r="E4420" t="s">
        <v>14225</v>
      </c>
      <c r="F4420" t="s">
        <v>14226</v>
      </c>
      <c r="G4420">
        <v>18.49</v>
      </c>
      <c r="H4420">
        <v>18.49</v>
      </c>
      <c r="I4420" t="s">
        <v>94</v>
      </c>
      <c r="J4420" t="s">
        <v>95</v>
      </c>
      <c r="K4420" t="s">
        <v>31</v>
      </c>
      <c r="L4420" t="s">
        <v>32</v>
      </c>
      <c r="M4420" t="s">
        <v>33</v>
      </c>
      <c r="P4420" s="1" t="s">
        <v>15210</v>
      </c>
      <c r="Q4420" s="1" t="s">
        <v>14225</v>
      </c>
      <c r="R4420" s="1" t="s">
        <v>14225</v>
      </c>
      <c r="S4420" s="1"/>
      <c r="T4420" s="1" t="s">
        <v>131</v>
      </c>
      <c r="U4420" s="1"/>
      <c r="V4420" s="1">
        <v>18.49</v>
      </c>
      <c r="W4420" s="1">
        <v>18.49</v>
      </c>
      <c r="X4420" s="1" t="s">
        <v>35</v>
      </c>
      <c r="Y4420" s="1">
        <v>18490.0</v>
      </c>
      <c r="Z4420" s="1"/>
      <c r="AA4420" s="1">
        <v>18490.0</v>
      </c>
      <c r="AB4420" s="1"/>
      <c r="AC4420" s="1" t="s">
        <v>36</v>
      </c>
      <c r="AD4420" s="1" t="s">
        <v>15207</v>
      </c>
      <c r="AE4420" s="1" t="s">
        <v>32</v>
      </c>
      <c r="AF4420" s="1" t="s">
        <v>33</v>
      </c>
      <c r="AG4420" s="1" t="s">
        <v>95</v>
      </c>
    </row>
    <row r="4421" spans="1:33">
      <c r="A4421" t="s">
        <v>15211</v>
      </c>
      <c r="C4421" t="s">
        <v>3260</v>
      </c>
      <c r="D4421" t="s">
        <v>114</v>
      </c>
      <c r="E4421" t="s">
        <v>14225</v>
      </c>
      <c r="F4421" t="s">
        <v>14226</v>
      </c>
      <c r="G4421">
        <v>514.2</v>
      </c>
      <c r="H4421">
        <v>514.2</v>
      </c>
      <c r="I4421" t="s">
        <v>269</v>
      </c>
      <c r="J4421" t="s">
        <v>270</v>
      </c>
      <c r="K4421" t="s">
        <v>31</v>
      </c>
      <c r="L4421" t="s">
        <v>32</v>
      </c>
      <c r="M4421" t="s">
        <v>33</v>
      </c>
      <c r="P4421" s="1" t="s">
        <v>15212</v>
      </c>
      <c r="Q4421" s="1" t="s">
        <v>14225</v>
      </c>
      <c r="R4421" s="1" t="s">
        <v>14225</v>
      </c>
      <c r="S4421" s="1"/>
      <c r="T4421" s="1" t="s">
        <v>3260</v>
      </c>
      <c r="U4421" s="1"/>
      <c r="V4421" s="1">
        <v>514.2</v>
      </c>
      <c r="W4421" s="1">
        <v>514.2</v>
      </c>
      <c r="X4421" s="1" t="s">
        <v>35</v>
      </c>
      <c r="Y4421" s="1">
        <v>514200.0</v>
      </c>
      <c r="Z4421" s="1"/>
      <c r="AA4421" s="1">
        <v>514200.0</v>
      </c>
      <c r="AB4421" s="1"/>
      <c r="AC4421" s="1" t="s">
        <v>36</v>
      </c>
      <c r="AD4421" s="1" t="s">
        <v>15213</v>
      </c>
      <c r="AE4421" s="1" t="s">
        <v>32</v>
      </c>
      <c r="AF4421" s="1" t="s">
        <v>33</v>
      </c>
      <c r="AG4421" s="1" t="s">
        <v>270</v>
      </c>
    </row>
    <row r="4422" spans="1:33">
      <c r="A4422" t="s">
        <v>15214</v>
      </c>
      <c r="B4422" t="s">
        <v>15215</v>
      </c>
      <c r="C4422" t="s">
        <v>47</v>
      </c>
      <c r="E4422" t="s">
        <v>14225</v>
      </c>
      <c r="F4422" t="s">
        <v>14226</v>
      </c>
      <c r="G4422">
        <v>47.278</v>
      </c>
      <c r="H4422">
        <v>47.278</v>
      </c>
      <c r="I4422" t="s">
        <v>2206</v>
      </c>
      <c r="J4422" t="s">
        <v>49</v>
      </c>
      <c r="K4422" t="s">
        <v>31</v>
      </c>
      <c r="L4422" t="s">
        <v>32</v>
      </c>
      <c r="M4422" t="s">
        <v>33</v>
      </c>
      <c r="P4422" s="1" t="s">
        <v>15216</v>
      </c>
      <c r="Q4422" s="1" t="s">
        <v>14225</v>
      </c>
      <c r="R4422" s="1" t="s">
        <v>14225</v>
      </c>
      <c r="S4422" s="1"/>
      <c r="T4422" s="1" t="s">
        <v>47</v>
      </c>
      <c r="U4422" s="1"/>
      <c r="V4422" s="1">
        <v>47.278</v>
      </c>
      <c r="W4422" s="1">
        <v>47.278</v>
      </c>
      <c r="X4422" s="1" t="s">
        <v>35</v>
      </c>
      <c r="Y4422" s="1">
        <v>47278.0</v>
      </c>
      <c r="Z4422" s="1"/>
      <c r="AA4422" s="1">
        <v>47278.0</v>
      </c>
      <c r="AB4422" s="1"/>
      <c r="AC4422" s="1" t="s">
        <v>36</v>
      </c>
      <c r="AD4422" s="1" t="s">
        <v>15217</v>
      </c>
      <c r="AE4422" s="1" t="s">
        <v>32</v>
      </c>
      <c r="AF4422" s="1" t="s">
        <v>33</v>
      </c>
      <c r="AG4422" s="1" t="s">
        <v>49</v>
      </c>
    </row>
    <row r="4423" spans="1:33">
      <c r="A4423" t="s">
        <v>15218</v>
      </c>
      <c r="B4423" t="s">
        <v>5246</v>
      </c>
      <c r="C4423" t="s">
        <v>68</v>
      </c>
      <c r="E4423" t="s">
        <v>14225</v>
      </c>
      <c r="F4423" t="s">
        <v>14226</v>
      </c>
      <c r="G4423">
        <v>114.0</v>
      </c>
      <c r="H4423">
        <v>114.0</v>
      </c>
      <c r="I4423" t="s">
        <v>59</v>
      </c>
      <c r="J4423" t="s">
        <v>60</v>
      </c>
      <c r="K4423" t="s">
        <v>31</v>
      </c>
      <c r="L4423" t="s">
        <v>32</v>
      </c>
      <c r="M4423" t="s">
        <v>33</v>
      </c>
      <c r="P4423" s="1" t="s">
        <v>15219</v>
      </c>
      <c r="Q4423" s="1" t="s">
        <v>14225</v>
      </c>
      <c r="R4423" s="1" t="s">
        <v>14225</v>
      </c>
      <c r="S4423" s="1"/>
      <c r="T4423" s="1" t="s">
        <v>68</v>
      </c>
      <c r="U4423" s="1"/>
      <c r="V4423" s="1">
        <v>114.0</v>
      </c>
      <c r="W4423" s="1">
        <v>114.0</v>
      </c>
      <c r="X4423" s="1" t="s">
        <v>35</v>
      </c>
      <c r="Y4423" s="1">
        <v>114000.0</v>
      </c>
      <c r="Z4423" s="1"/>
      <c r="AA4423" s="1">
        <v>114000.0</v>
      </c>
      <c r="AB4423" s="1"/>
      <c r="AC4423" s="1" t="s">
        <v>36</v>
      </c>
      <c r="AD4423" s="1" t="s">
        <v>15220</v>
      </c>
      <c r="AE4423" s="1" t="s">
        <v>32</v>
      </c>
      <c r="AF4423" s="1" t="s">
        <v>33</v>
      </c>
      <c r="AG4423" s="1" t="s">
        <v>60</v>
      </c>
    </row>
    <row r="4424" spans="1:33">
      <c r="A4424" t="s">
        <v>15221</v>
      </c>
      <c r="B4424" t="s">
        <v>15222</v>
      </c>
      <c r="C4424" t="s">
        <v>569</v>
      </c>
      <c r="E4424" t="s">
        <v>14225</v>
      </c>
      <c r="F4424" t="s">
        <v>14226</v>
      </c>
      <c r="G4424">
        <v>1.999</v>
      </c>
      <c r="H4424">
        <v>1.999</v>
      </c>
      <c r="I4424" t="s">
        <v>570</v>
      </c>
      <c r="J4424" t="s">
        <v>571</v>
      </c>
      <c r="K4424" t="s">
        <v>31</v>
      </c>
      <c r="L4424" t="s">
        <v>32</v>
      </c>
      <c r="M4424" t="s">
        <v>33</v>
      </c>
      <c r="P4424" s="1" t="s">
        <v>15223</v>
      </c>
      <c r="Q4424" s="1" t="s">
        <v>14225</v>
      </c>
      <c r="R4424" s="1" t="s">
        <v>14225</v>
      </c>
      <c r="S4424" s="1"/>
      <c r="T4424" s="1" t="s">
        <v>569</v>
      </c>
      <c r="U4424" s="1"/>
      <c r="V4424" s="1">
        <v>1.999</v>
      </c>
      <c r="W4424" s="1">
        <v>1.999</v>
      </c>
      <c r="X4424" s="1" t="s">
        <v>35</v>
      </c>
      <c r="Y4424" s="1">
        <v>1999.0</v>
      </c>
      <c r="Z4424" s="1"/>
      <c r="AA4424" s="1">
        <v>1999.0</v>
      </c>
      <c r="AB4424" s="1"/>
      <c r="AC4424" s="1" t="s">
        <v>36</v>
      </c>
      <c r="AD4424" s="1" t="s">
        <v>15224</v>
      </c>
      <c r="AE4424" s="1" t="s">
        <v>32</v>
      </c>
      <c r="AF4424" s="1" t="s">
        <v>33</v>
      </c>
      <c r="AG4424" s="1" t="s">
        <v>571</v>
      </c>
    </row>
    <row r="4425" spans="1:33">
      <c r="A4425" t="s">
        <v>15225</v>
      </c>
      <c r="B4425" t="s">
        <v>4956</v>
      </c>
      <c r="C4425" t="s">
        <v>172</v>
      </c>
      <c r="E4425" t="s">
        <v>14225</v>
      </c>
      <c r="F4425" t="s">
        <v>14226</v>
      </c>
      <c r="G4425">
        <v>50.725</v>
      </c>
      <c r="H4425">
        <v>50.725</v>
      </c>
      <c r="I4425" t="s">
        <v>173</v>
      </c>
      <c r="J4425" t="s">
        <v>174</v>
      </c>
      <c r="K4425" t="s">
        <v>31</v>
      </c>
      <c r="L4425" t="s">
        <v>32</v>
      </c>
      <c r="M4425" t="s">
        <v>33</v>
      </c>
      <c r="P4425" s="1" t="s">
        <v>15226</v>
      </c>
      <c r="Q4425" s="1" t="s">
        <v>14225</v>
      </c>
      <c r="R4425" s="1" t="s">
        <v>14225</v>
      </c>
      <c r="S4425" s="1"/>
      <c r="T4425" s="1" t="s">
        <v>172</v>
      </c>
      <c r="U4425" s="1"/>
      <c r="V4425" s="1">
        <v>50.725</v>
      </c>
      <c r="W4425" s="1">
        <v>50.725</v>
      </c>
      <c r="X4425" s="1" t="s">
        <v>35</v>
      </c>
      <c r="Y4425" s="1">
        <v>50725.0</v>
      </c>
      <c r="Z4425" s="1"/>
      <c r="AA4425" s="1">
        <v>50725.0</v>
      </c>
      <c r="AB4425" s="1"/>
      <c r="AC4425" s="1" t="s">
        <v>36</v>
      </c>
      <c r="AD4425" s="1" t="s">
        <v>15227</v>
      </c>
      <c r="AE4425" s="1" t="s">
        <v>32</v>
      </c>
      <c r="AF4425" s="1" t="s">
        <v>33</v>
      </c>
      <c r="AG4425" s="1" t="s">
        <v>174</v>
      </c>
    </row>
    <row r="4426" spans="1:33">
      <c r="A4426" t="s">
        <v>15228</v>
      </c>
      <c r="C4426" t="s">
        <v>7734</v>
      </c>
      <c r="E4426" t="s">
        <v>14225</v>
      </c>
      <c r="F4426" t="s">
        <v>14226</v>
      </c>
      <c r="G4426">
        <v>420.0</v>
      </c>
      <c r="H4426">
        <v>420.0</v>
      </c>
      <c r="I4426" t="s">
        <v>570</v>
      </c>
      <c r="J4426" t="s">
        <v>571</v>
      </c>
      <c r="K4426" t="s">
        <v>31</v>
      </c>
      <c r="L4426" t="s">
        <v>32</v>
      </c>
      <c r="M4426" t="s">
        <v>33</v>
      </c>
      <c r="P4426" s="1" t="s">
        <v>15229</v>
      </c>
      <c r="Q4426" s="1" t="s">
        <v>14225</v>
      </c>
      <c r="R4426" s="1" t="s">
        <v>14225</v>
      </c>
      <c r="S4426" s="1"/>
      <c r="T4426" s="1" t="s">
        <v>7734</v>
      </c>
      <c r="U4426" s="1"/>
      <c r="V4426" s="1">
        <v>420.0</v>
      </c>
      <c r="W4426" s="1">
        <v>420.0</v>
      </c>
      <c r="X4426" s="1" t="s">
        <v>35</v>
      </c>
      <c r="Y4426" s="1">
        <v>420000.0</v>
      </c>
      <c r="Z4426" s="1"/>
      <c r="AA4426" s="1">
        <v>420000.0</v>
      </c>
      <c r="AB4426" s="1"/>
      <c r="AC4426" s="1" t="s">
        <v>36</v>
      </c>
      <c r="AD4426" s="1" t="s">
        <v>15230</v>
      </c>
      <c r="AE4426" s="1" t="s">
        <v>32</v>
      </c>
      <c r="AF4426" s="1" t="s">
        <v>33</v>
      </c>
      <c r="AG4426" s="1" t="s">
        <v>571</v>
      </c>
    </row>
    <row r="4427" spans="1:33">
      <c r="A4427" t="s">
        <v>15231</v>
      </c>
      <c r="B4427" t="s">
        <v>15232</v>
      </c>
      <c r="C4427" t="s">
        <v>47</v>
      </c>
      <c r="E4427" t="s">
        <v>14225</v>
      </c>
      <c r="F4427" t="s">
        <v>14226</v>
      </c>
      <c r="G4427">
        <v>45.631</v>
      </c>
      <c r="H4427">
        <v>45.631</v>
      </c>
      <c r="I4427" t="s">
        <v>2206</v>
      </c>
      <c r="J4427" t="s">
        <v>49</v>
      </c>
      <c r="K4427" t="s">
        <v>31</v>
      </c>
      <c r="L4427" t="s">
        <v>32</v>
      </c>
      <c r="M4427" t="s">
        <v>33</v>
      </c>
      <c r="P4427" s="1" t="s">
        <v>15233</v>
      </c>
      <c r="Q4427" s="1" t="s">
        <v>14225</v>
      </c>
      <c r="R4427" s="1" t="s">
        <v>14225</v>
      </c>
      <c r="S4427" s="1"/>
      <c r="T4427" s="1" t="s">
        <v>47</v>
      </c>
      <c r="U4427" s="1"/>
      <c r="V4427" s="1">
        <v>45.631</v>
      </c>
      <c r="W4427" s="1">
        <v>45.631</v>
      </c>
      <c r="X4427" s="1" t="s">
        <v>35</v>
      </c>
      <c r="Y4427" s="1">
        <v>45631.0</v>
      </c>
      <c r="Z4427" s="1"/>
      <c r="AA4427" s="1">
        <v>45631.0</v>
      </c>
      <c r="AB4427" s="1"/>
      <c r="AC4427" s="1" t="s">
        <v>36</v>
      </c>
      <c r="AD4427" s="1" t="s">
        <v>15234</v>
      </c>
      <c r="AE4427" s="1" t="s">
        <v>32</v>
      </c>
      <c r="AF4427" s="1" t="s">
        <v>33</v>
      </c>
      <c r="AG4427" s="1" t="s">
        <v>49</v>
      </c>
    </row>
    <row r="4428" spans="1:33">
      <c r="A4428" t="s">
        <v>15235</v>
      </c>
      <c r="B4428" t="s">
        <v>4820</v>
      </c>
      <c r="C4428" t="s">
        <v>125</v>
      </c>
      <c r="E4428" t="s">
        <v>14225</v>
      </c>
      <c r="F4428" t="s">
        <v>14226</v>
      </c>
      <c r="G4428">
        <v>52.09</v>
      </c>
      <c r="H4428">
        <v>52.09</v>
      </c>
      <c r="I4428" t="s">
        <v>126</v>
      </c>
      <c r="J4428" t="s">
        <v>127</v>
      </c>
      <c r="K4428" t="s">
        <v>31</v>
      </c>
      <c r="L4428" t="s">
        <v>32</v>
      </c>
      <c r="M4428" t="s">
        <v>33</v>
      </c>
      <c r="P4428" s="1" t="s">
        <v>15236</v>
      </c>
      <c r="Q4428" s="1" t="s">
        <v>14225</v>
      </c>
      <c r="R4428" s="1" t="s">
        <v>14225</v>
      </c>
      <c r="S4428" s="1"/>
      <c r="T4428" s="1" t="s">
        <v>125</v>
      </c>
      <c r="U4428" s="1"/>
      <c r="V4428" s="1">
        <v>52.09</v>
      </c>
      <c r="W4428" s="1">
        <v>52.09</v>
      </c>
      <c r="X4428" s="1" t="s">
        <v>35</v>
      </c>
      <c r="Y4428" s="1">
        <v>52090.0</v>
      </c>
      <c r="Z4428" s="1"/>
      <c r="AA4428" s="1">
        <v>52090.0</v>
      </c>
      <c r="AB4428" s="1"/>
      <c r="AC4428" s="1" t="s">
        <v>36</v>
      </c>
      <c r="AD4428" s="1" t="s">
        <v>15237</v>
      </c>
      <c r="AE4428" s="1" t="s">
        <v>32</v>
      </c>
      <c r="AF4428" s="1" t="s">
        <v>33</v>
      </c>
      <c r="AG4428" s="1" t="s">
        <v>127</v>
      </c>
    </row>
    <row r="4429" spans="1:33">
      <c r="A4429" t="s">
        <v>15238</v>
      </c>
      <c r="C4429" t="s">
        <v>10313</v>
      </c>
      <c r="E4429" t="s">
        <v>14225</v>
      </c>
      <c r="F4429" t="s">
        <v>14226</v>
      </c>
      <c r="G4429">
        <v>1.64</v>
      </c>
      <c r="H4429">
        <v>1.64</v>
      </c>
      <c r="I4429" t="s">
        <v>269</v>
      </c>
      <c r="J4429" t="s">
        <v>270</v>
      </c>
      <c r="K4429" t="s">
        <v>31</v>
      </c>
      <c r="L4429" t="s">
        <v>32</v>
      </c>
      <c r="M4429" t="s">
        <v>33</v>
      </c>
      <c r="P4429" s="1" t="s">
        <v>15239</v>
      </c>
      <c r="Q4429" s="1" t="s">
        <v>14225</v>
      </c>
      <c r="R4429" s="1" t="s">
        <v>14225</v>
      </c>
      <c r="S4429" s="1"/>
      <c r="T4429" s="1" t="s">
        <v>10313</v>
      </c>
      <c r="U4429" s="1"/>
      <c r="V4429" s="1">
        <v>1.64</v>
      </c>
      <c r="W4429" s="1">
        <v>1.64</v>
      </c>
      <c r="X4429" s="1" t="s">
        <v>35</v>
      </c>
      <c r="Y4429" s="1">
        <v>1640000.0</v>
      </c>
      <c r="Z4429" s="1"/>
      <c r="AA4429" s="1">
        <v>1640000.0</v>
      </c>
      <c r="AB4429" s="1"/>
      <c r="AC4429" s="1" t="s">
        <v>36</v>
      </c>
      <c r="AD4429" s="1" t="s">
        <v>15240</v>
      </c>
      <c r="AE4429" s="1" t="s">
        <v>32</v>
      </c>
      <c r="AF4429" s="1" t="s">
        <v>33</v>
      </c>
      <c r="AG4429" s="1" t="s">
        <v>270</v>
      </c>
    </row>
    <row r="4430" spans="1:33">
      <c r="A4430" t="s">
        <v>15241</v>
      </c>
      <c r="B4430" t="s">
        <v>15222</v>
      </c>
      <c r="C4430" t="s">
        <v>569</v>
      </c>
      <c r="E4430" t="s">
        <v>14225</v>
      </c>
      <c r="F4430" t="s">
        <v>14226</v>
      </c>
      <c r="G4430">
        <v>3.049</v>
      </c>
      <c r="H4430">
        <v>3.049</v>
      </c>
      <c r="I4430" t="s">
        <v>570</v>
      </c>
      <c r="J4430" t="s">
        <v>571</v>
      </c>
      <c r="K4430" t="s">
        <v>31</v>
      </c>
      <c r="L4430" t="s">
        <v>32</v>
      </c>
      <c r="M4430" t="s">
        <v>33</v>
      </c>
      <c r="P4430" s="1" t="s">
        <v>15242</v>
      </c>
      <c r="Q4430" s="1" t="s">
        <v>14225</v>
      </c>
      <c r="R4430" s="1" t="s">
        <v>14225</v>
      </c>
      <c r="S4430" s="1"/>
      <c r="T4430" s="1" t="s">
        <v>569</v>
      </c>
      <c r="U4430" s="1"/>
      <c r="V4430" s="1">
        <v>3.049</v>
      </c>
      <c r="W4430" s="1">
        <v>3.049</v>
      </c>
      <c r="X4430" s="1" t="s">
        <v>35</v>
      </c>
      <c r="Y4430" s="1">
        <v>3050.0</v>
      </c>
      <c r="Z4430" s="1">
        <v>-1</v>
      </c>
      <c r="AA4430" s="1">
        <v>3050.0</v>
      </c>
      <c r="AB4430" s="1">
        <v>-1</v>
      </c>
      <c r="AC4430" s="1" t="s">
        <v>36</v>
      </c>
      <c r="AD4430" s="1" t="s">
        <v>15243</v>
      </c>
      <c r="AE4430" s="1" t="s">
        <v>32</v>
      </c>
      <c r="AF4430" s="1" t="s">
        <v>33</v>
      </c>
      <c r="AG4430" s="1" t="s">
        <v>571</v>
      </c>
    </row>
    <row r="4431" spans="1:33">
      <c r="A4431" t="s">
        <v>15244</v>
      </c>
      <c r="C4431" t="s">
        <v>786</v>
      </c>
      <c r="E4431" t="s">
        <v>14225</v>
      </c>
      <c r="F4431" t="s">
        <v>14226</v>
      </c>
      <c r="G4431">
        <v>558.3</v>
      </c>
      <c r="H4431">
        <v>558.3</v>
      </c>
      <c r="I4431" t="s">
        <v>269</v>
      </c>
      <c r="J4431" t="s">
        <v>270</v>
      </c>
      <c r="K4431" t="s">
        <v>31</v>
      </c>
      <c r="L4431" t="s">
        <v>32</v>
      </c>
      <c r="M4431" t="s">
        <v>33</v>
      </c>
      <c r="P4431" s="1" t="s">
        <v>15245</v>
      </c>
      <c r="Q4431" s="1" t="s">
        <v>14225</v>
      </c>
      <c r="R4431" s="1" t="s">
        <v>14225</v>
      </c>
      <c r="S4431" s="1"/>
      <c r="T4431" s="1" t="s">
        <v>786</v>
      </c>
      <c r="U4431" s="1"/>
      <c r="V4431" s="1">
        <v>558.3</v>
      </c>
      <c r="W4431" s="1">
        <v>558.3</v>
      </c>
      <c r="X4431" s="1" t="s">
        <v>35</v>
      </c>
      <c r="Y4431" s="1">
        <v>558300.0</v>
      </c>
      <c r="Z4431" s="1"/>
      <c r="AA4431" s="1">
        <v>558300.0</v>
      </c>
      <c r="AB4431" s="1"/>
      <c r="AC4431" s="1" t="s">
        <v>36</v>
      </c>
      <c r="AD4431" s="1" t="s">
        <v>15246</v>
      </c>
      <c r="AE4431" s="1" t="s">
        <v>32</v>
      </c>
      <c r="AF4431" s="1" t="s">
        <v>33</v>
      </c>
      <c r="AG4431" s="1" t="s">
        <v>270</v>
      </c>
    </row>
    <row r="4432" spans="1:33">
      <c r="A4432" t="s">
        <v>15247</v>
      </c>
      <c r="C4432" t="s">
        <v>15248</v>
      </c>
      <c r="D4432" t="s">
        <v>154</v>
      </c>
      <c r="E4432" t="s">
        <v>14225</v>
      </c>
      <c r="F4432" t="s">
        <v>14226</v>
      </c>
      <c r="G4432">
        <v>383.0</v>
      </c>
      <c r="H4432">
        <v>383.0</v>
      </c>
      <c r="I4432" t="s">
        <v>126</v>
      </c>
      <c r="J4432" t="s">
        <v>127</v>
      </c>
      <c r="K4432" t="s">
        <v>31</v>
      </c>
      <c r="L4432" t="s">
        <v>32</v>
      </c>
      <c r="M4432" t="s">
        <v>33</v>
      </c>
      <c r="P4432" s="1" t="s">
        <v>15249</v>
      </c>
      <c r="Q4432" s="1" t="s">
        <v>14225</v>
      </c>
      <c r="R4432" s="1" t="s">
        <v>14225</v>
      </c>
      <c r="S4432" s="1"/>
      <c r="T4432" s="1" t="s">
        <v>15248</v>
      </c>
      <c r="U4432" s="1"/>
      <c r="V4432" s="1">
        <v>383.0</v>
      </c>
      <c r="W4432" s="1">
        <v>383.0</v>
      </c>
      <c r="X4432" s="1" t="s">
        <v>35</v>
      </c>
      <c r="Y4432" s="1">
        <v>383000.0</v>
      </c>
      <c r="Z4432" s="1"/>
      <c r="AA4432" s="1">
        <v>383000.0</v>
      </c>
      <c r="AB4432" s="1"/>
      <c r="AC4432" s="1" t="s">
        <v>36</v>
      </c>
      <c r="AD4432" s="1" t="s">
        <v>15217</v>
      </c>
      <c r="AE4432" s="1" t="s">
        <v>32</v>
      </c>
      <c r="AF4432" s="1" t="s">
        <v>33</v>
      </c>
      <c r="AG4432" s="1" t="s">
        <v>127</v>
      </c>
    </row>
    <row r="4433" spans="1:33">
      <c r="A4433" t="s">
        <v>15250</v>
      </c>
      <c r="C4433" t="s">
        <v>1087</v>
      </c>
      <c r="E4433" t="s">
        <v>14225</v>
      </c>
      <c r="F4433" t="s">
        <v>14226</v>
      </c>
      <c r="G4433">
        <v>328.0</v>
      </c>
      <c r="H4433">
        <v>328.0</v>
      </c>
      <c r="I4433" t="s">
        <v>269</v>
      </c>
      <c r="J4433" t="s">
        <v>270</v>
      </c>
      <c r="K4433" t="s">
        <v>31</v>
      </c>
      <c r="L4433" t="s">
        <v>32</v>
      </c>
      <c r="M4433" t="s">
        <v>33</v>
      </c>
      <c r="P4433" s="1" t="s">
        <v>15251</v>
      </c>
      <c r="Q4433" s="1" t="s">
        <v>14225</v>
      </c>
      <c r="R4433" s="1" t="s">
        <v>14225</v>
      </c>
      <c r="S4433" s="1"/>
      <c r="T4433" s="1" t="s">
        <v>1087</v>
      </c>
      <c r="U4433" s="1"/>
      <c r="V4433" s="1">
        <v>328.0</v>
      </c>
      <c r="W4433" s="1">
        <v>328.0</v>
      </c>
      <c r="X4433" s="1" t="s">
        <v>35</v>
      </c>
      <c r="Y4433" s="1">
        <v>328000.0</v>
      </c>
      <c r="Z4433" s="1"/>
      <c r="AA4433" s="1">
        <v>328000.0</v>
      </c>
      <c r="AB4433" s="1"/>
      <c r="AC4433" s="1" t="s">
        <v>36</v>
      </c>
      <c r="AD4433" s="1" t="s">
        <v>15252</v>
      </c>
      <c r="AE4433" s="1" t="s">
        <v>32</v>
      </c>
      <c r="AF4433" s="1" t="s">
        <v>33</v>
      </c>
      <c r="AG4433" s="1" t="s">
        <v>270</v>
      </c>
    </row>
    <row r="4434" spans="1:33">
      <c r="A4434" t="s">
        <v>15253</v>
      </c>
      <c r="C4434" t="s">
        <v>15254</v>
      </c>
      <c r="E4434" t="s">
        <v>14225</v>
      </c>
      <c r="F4434" t="s">
        <v>14226</v>
      </c>
      <c r="G4434">
        <v>1.735</v>
      </c>
      <c r="H4434">
        <v>1.735</v>
      </c>
      <c r="I4434" t="s">
        <v>173</v>
      </c>
      <c r="J4434" t="s">
        <v>174</v>
      </c>
      <c r="K4434" t="s">
        <v>31</v>
      </c>
      <c r="L4434" t="s">
        <v>32</v>
      </c>
      <c r="M4434" t="s">
        <v>33</v>
      </c>
      <c r="P4434" s="1" t="s">
        <v>15255</v>
      </c>
      <c r="Q4434" s="1" t="s">
        <v>14225</v>
      </c>
      <c r="R4434" s="1" t="s">
        <v>14225</v>
      </c>
      <c r="S4434" s="1"/>
      <c r="T4434" s="1" t="s">
        <v>15254</v>
      </c>
      <c r="U4434" s="1"/>
      <c r="V4434" s="1">
        <v>1.735</v>
      </c>
      <c r="W4434" s="1">
        <v>1.735</v>
      </c>
      <c r="X4434" s="1" t="s">
        <v>35</v>
      </c>
      <c r="Y4434" s="1">
        <v>1735000.0</v>
      </c>
      <c r="Z4434" s="1"/>
      <c r="AA4434" s="1">
        <v>1735000.0</v>
      </c>
      <c r="AB4434" s="1"/>
      <c r="AC4434" s="1" t="s">
        <v>36</v>
      </c>
      <c r="AD4434" s="1" t="s">
        <v>15256</v>
      </c>
      <c r="AE4434" s="1" t="s">
        <v>32</v>
      </c>
      <c r="AF4434" s="1" t="s">
        <v>33</v>
      </c>
      <c r="AG4434" s="1" t="s">
        <v>174</v>
      </c>
    </row>
    <row r="4435" spans="1:33">
      <c r="A4435" t="s">
        <v>15257</v>
      </c>
      <c r="B4435" t="s">
        <v>3224</v>
      </c>
      <c r="C4435" t="s">
        <v>68</v>
      </c>
      <c r="E4435" t="s">
        <v>14225</v>
      </c>
      <c r="F4435" t="s">
        <v>14226</v>
      </c>
      <c r="G4435">
        <v>70.735</v>
      </c>
      <c r="H4435">
        <v>70.735</v>
      </c>
      <c r="I4435" t="s">
        <v>59</v>
      </c>
      <c r="J4435" t="s">
        <v>60</v>
      </c>
      <c r="K4435" t="s">
        <v>31</v>
      </c>
      <c r="L4435" t="s">
        <v>32</v>
      </c>
      <c r="M4435" t="s">
        <v>33</v>
      </c>
      <c r="P4435" s="1" t="s">
        <v>15258</v>
      </c>
      <c r="Q4435" s="1" t="s">
        <v>14225</v>
      </c>
      <c r="R4435" s="1" t="s">
        <v>14225</v>
      </c>
      <c r="S4435" s="1"/>
      <c r="T4435" s="1" t="s">
        <v>68</v>
      </c>
      <c r="U4435" s="1"/>
      <c r="V4435" s="1">
        <v>70.735</v>
      </c>
      <c r="W4435" s="1">
        <v>70.735</v>
      </c>
      <c r="X4435" s="1" t="s">
        <v>35</v>
      </c>
      <c r="Y4435" s="1">
        <v>70735.0</v>
      </c>
      <c r="Z4435" s="1"/>
      <c r="AA4435" s="1">
        <v>70735.0</v>
      </c>
      <c r="AB4435" s="1"/>
      <c r="AC4435" s="1" t="s">
        <v>36</v>
      </c>
      <c r="AD4435" s="1" t="s">
        <v>15259</v>
      </c>
      <c r="AE4435" s="1" t="s">
        <v>32</v>
      </c>
      <c r="AF4435" s="1" t="s">
        <v>33</v>
      </c>
      <c r="AG4435" s="1" t="s">
        <v>60</v>
      </c>
    </row>
    <row r="4436" spans="1:33">
      <c r="A4436" t="s">
        <v>15260</v>
      </c>
      <c r="B4436" t="s">
        <v>15261</v>
      </c>
      <c r="C4436" t="s">
        <v>172</v>
      </c>
      <c r="E4436" t="s">
        <v>14225</v>
      </c>
      <c r="F4436" t="s">
        <v>14226</v>
      </c>
      <c r="G4436">
        <v>5.4</v>
      </c>
      <c r="H4436">
        <v>5.4</v>
      </c>
      <c r="I4436" t="s">
        <v>173</v>
      </c>
      <c r="J4436" t="s">
        <v>174</v>
      </c>
      <c r="K4436" t="s">
        <v>31</v>
      </c>
      <c r="L4436" t="s">
        <v>32</v>
      </c>
      <c r="M4436" t="s">
        <v>33</v>
      </c>
      <c r="P4436" s="1" t="s">
        <v>15262</v>
      </c>
      <c r="Q4436" s="1" t="s">
        <v>14225</v>
      </c>
      <c r="R4436" s="1" t="s">
        <v>14225</v>
      </c>
      <c r="S4436" s="1"/>
      <c r="T4436" s="1" t="s">
        <v>172</v>
      </c>
      <c r="U4436" s="1"/>
      <c r="V4436" s="1">
        <v>5.4</v>
      </c>
      <c r="W4436" s="1">
        <v>5.4</v>
      </c>
      <c r="X4436" s="1" t="s">
        <v>35</v>
      </c>
      <c r="Y4436" s="1">
        <v>5400.0</v>
      </c>
      <c r="Z4436" s="1"/>
      <c r="AA4436" s="1">
        <v>5400.0</v>
      </c>
      <c r="AB4436" s="1"/>
      <c r="AC4436" s="1" t="s">
        <v>36</v>
      </c>
      <c r="AD4436" s="1" t="s">
        <v>15263</v>
      </c>
      <c r="AE4436" s="1" t="s">
        <v>32</v>
      </c>
      <c r="AF4436" s="1" t="s">
        <v>33</v>
      </c>
      <c r="AG4436" s="1" t="s">
        <v>174</v>
      </c>
    </row>
    <row r="4437" spans="1:33">
      <c r="A4437" t="s">
        <v>15264</v>
      </c>
      <c r="C4437" t="s">
        <v>3500</v>
      </c>
      <c r="E4437" t="s">
        <v>14225</v>
      </c>
      <c r="F4437" t="s">
        <v>14226</v>
      </c>
      <c r="G4437">
        <v>1.75</v>
      </c>
      <c r="H4437">
        <v>1.75</v>
      </c>
      <c r="I4437" t="s">
        <v>173</v>
      </c>
      <c r="J4437" t="s">
        <v>174</v>
      </c>
      <c r="K4437" t="s">
        <v>31</v>
      </c>
      <c r="L4437" t="s">
        <v>32</v>
      </c>
      <c r="M4437" t="s">
        <v>33</v>
      </c>
      <c r="P4437" s="1" t="s">
        <v>15265</v>
      </c>
      <c r="Q4437" s="1" t="s">
        <v>14225</v>
      </c>
      <c r="R4437" s="1" t="s">
        <v>14225</v>
      </c>
      <c r="S4437" s="1"/>
      <c r="T4437" s="1" t="s">
        <v>3502</v>
      </c>
      <c r="U4437" s="1" t="s">
        <v>3503</v>
      </c>
      <c r="V4437" s="1">
        <v>1.75</v>
      </c>
      <c r="W4437" s="1">
        <v>1.75</v>
      </c>
      <c r="X4437" s="1" t="s">
        <v>35</v>
      </c>
      <c r="Y4437" s="1">
        <v>1750000.0</v>
      </c>
      <c r="Z4437" s="1"/>
      <c r="AA4437" s="1">
        <v>1750000.0</v>
      </c>
      <c r="AB4437" s="1"/>
      <c r="AC4437" s="1" t="s">
        <v>36</v>
      </c>
      <c r="AD4437" s="1" t="s">
        <v>15266</v>
      </c>
      <c r="AE4437" s="1" t="s">
        <v>32</v>
      </c>
      <c r="AF4437" s="1" t="s">
        <v>33</v>
      </c>
      <c r="AG4437" s="1" t="s">
        <v>174</v>
      </c>
    </row>
    <row r="4438" spans="1:33">
      <c r="A4438" t="s">
        <v>15267</v>
      </c>
      <c r="C4438" t="s">
        <v>464</v>
      </c>
      <c r="E4438" t="s">
        <v>14225</v>
      </c>
      <c r="F4438" t="s">
        <v>14226</v>
      </c>
      <c r="G4438">
        <v>986.5</v>
      </c>
      <c r="H4438">
        <v>986.5</v>
      </c>
      <c r="I4438" t="s">
        <v>126</v>
      </c>
      <c r="J4438" t="s">
        <v>127</v>
      </c>
      <c r="K4438" t="s">
        <v>31</v>
      </c>
      <c r="L4438" t="s">
        <v>32</v>
      </c>
      <c r="M4438" t="s">
        <v>33</v>
      </c>
      <c r="P4438" s="1" t="s">
        <v>15268</v>
      </c>
      <c r="Q4438" s="1" t="s">
        <v>14225</v>
      </c>
      <c r="R4438" s="1" t="s">
        <v>14225</v>
      </c>
      <c r="S4438" s="1"/>
      <c r="T4438" s="1" t="s">
        <v>464</v>
      </c>
      <c r="U4438" s="1"/>
      <c r="V4438" s="1">
        <v>986.5</v>
      </c>
      <c r="W4438" s="1">
        <v>986.5</v>
      </c>
      <c r="X4438" s="1" t="s">
        <v>35</v>
      </c>
      <c r="Y4438" s="1">
        <v>986500.0</v>
      </c>
      <c r="Z4438" s="1"/>
      <c r="AA4438" s="1">
        <v>986500.0</v>
      </c>
      <c r="AB4438" s="1"/>
      <c r="AC4438" s="1" t="s">
        <v>36</v>
      </c>
      <c r="AD4438" s="1" t="s">
        <v>15263</v>
      </c>
      <c r="AE4438" s="1" t="s">
        <v>32</v>
      </c>
      <c r="AF4438" s="1" t="s">
        <v>33</v>
      </c>
      <c r="AG4438" s="1" t="s">
        <v>127</v>
      </c>
    </row>
    <row r="4439" spans="1:33">
      <c r="A4439" t="s">
        <v>15269</v>
      </c>
      <c r="C4439" t="s">
        <v>4645</v>
      </c>
      <c r="E4439" t="s">
        <v>14225</v>
      </c>
      <c r="F4439" t="s">
        <v>14226</v>
      </c>
      <c r="G4439">
        <v>320.0</v>
      </c>
      <c r="H4439">
        <v>320.0</v>
      </c>
      <c r="I4439" t="s">
        <v>126</v>
      </c>
      <c r="J4439" t="s">
        <v>127</v>
      </c>
      <c r="K4439" t="s">
        <v>31</v>
      </c>
      <c r="L4439" t="s">
        <v>32</v>
      </c>
      <c r="M4439" t="s">
        <v>33</v>
      </c>
      <c r="P4439" s="1" t="s">
        <v>15270</v>
      </c>
      <c r="Q4439" s="1" t="s">
        <v>14225</v>
      </c>
      <c r="R4439" s="1" t="s">
        <v>14225</v>
      </c>
      <c r="S4439" s="1"/>
      <c r="T4439" s="1" t="s">
        <v>4645</v>
      </c>
      <c r="U4439" s="1"/>
      <c r="V4439" s="1">
        <v>320.0</v>
      </c>
      <c r="W4439" s="1">
        <v>320.0</v>
      </c>
      <c r="X4439" s="1" t="s">
        <v>35</v>
      </c>
      <c r="Y4439" s="1">
        <v>320000.0</v>
      </c>
      <c r="Z4439" s="1"/>
      <c r="AA4439" s="1">
        <v>320000.0</v>
      </c>
      <c r="AB4439" s="1"/>
      <c r="AC4439" s="1" t="s">
        <v>36</v>
      </c>
      <c r="AD4439" s="1" t="s">
        <v>15271</v>
      </c>
      <c r="AE4439" s="1" t="s">
        <v>32</v>
      </c>
      <c r="AF4439" s="1" t="s">
        <v>33</v>
      </c>
      <c r="AG4439" s="1" t="s">
        <v>127</v>
      </c>
    </row>
    <row r="4440" spans="1:33">
      <c r="A4440" t="s">
        <v>15272</v>
      </c>
      <c r="C4440" t="s">
        <v>3621</v>
      </c>
      <c r="E4440" t="s">
        <v>14225</v>
      </c>
      <c r="F4440" t="s">
        <v>14226</v>
      </c>
      <c r="G4440">
        <v>1.6</v>
      </c>
      <c r="H4440">
        <v>1.6</v>
      </c>
      <c r="I4440" t="s">
        <v>173</v>
      </c>
      <c r="J4440" t="s">
        <v>174</v>
      </c>
      <c r="K4440" t="s">
        <v>31</v>
      </c>
      <c r="L4440" t="s">
        <v>32</v>
      </c>
      <c r="M4440" t="s">
        <v>33</v>
      </c>
      <c r="P4440" s="1" t="s">
        <v>15273</v>
      </c>
      <c r="Q4440" s="1" t="s">
        <v>14225</v>
      </c>
      <c r="R4440" s="1" t="s">
        <v>14225</v>
      </c>
      <c r="S4440" s="1"/>
      <c r="T4440" s="1" t="s">
        <v>3621</v>
      </c>
      <c r="U4440" s="1"/>
      <c r="V4440" s="1">
        <v>1.6</v>
      </c>
      <c r="W4440" s="1">
        <v>1.6</v>
      </c>
      <c r="X4440" s="1" t="s">
        <v>35</v>
      </c>
      <c r="Y4440" s="1">
        <v>1600000.0</v>
      </c>
      <c r="Z4440" s="1"/>
      <c r="AA4440" s="1">
        <v>1600000.0</v>
      </c>
      <c r="AB4440" s="1"/>
      <c r="AC4440" s="1" t="s">
        <v>36</v>
      </c>
      <c r="AD4440" s="1" t="s">
        <v>15274</v>
      </c>
      <c r="AE4440" s="1" t="s">
        <v>32</v>
      </c>
      <c r="AF4440" s="1" t="s">
        <v>33</v>
      </c>
      <c r="AG4440" s="1" t="s">
        <v>174</v>
      </c>
    </row>
    <row r="4441" spans="1:33">
      <c r="A4441" t="s">
        <v>15275</v>
      </c>
      <c r="C4441" t="s">
        <v>8809</v>
      </c>
      <c r="E4441" t="s">
        <v>14225</v>
      </c>
      <c r="F4441" t="s">
        <v>14226</v>
      </c>
      <c r="G4441">
        <v>320.0</v>
      </c>
      <c r="H4441">
        <v>320.0</v>
      </c>
      <c r="I4441" t="s">
        <v>173</v>
      </c>
      <c r="J4441" t="s">
        <v>174</v>
      </c>
      <c r="K4441" t="s">
        <v>31</v>
      </c>
      <c r="L4441" t="s">
        <v>32</v>
      </c>
      <c r="M4441" t="s">
        <v>33</v>
      </c>
      <c r="P4441" s="1" t="s">
        <v>15276</v>
      </c>
      <c r="Q4441" s="1" t="s">
        <v>14225</v>
      </c>
      <c r="R4441" s="1" t="s">
        <v>14225</v>
      </c>
      <c r="S4441" s="1"/>
      <c r="T4441" s="1" t="s">
        <v>8809</v>
      </c>
      <c r="U4441" s="1"/>
      <c r="V4441" s="1">
        <v>320.0</v>
      </c>
      <c r="W4441" s="1">
        <v>320.0</v>
      </c>
      <c r="X4441" s="1" t="s">
        <v>35</v>
      </c>
      <c r="Y4441" s="1">
        <v>320000.0</v>
      </c>
      <c r="Z4441" s="1"/>
      <c r="AA4441" s="1">
        <v>320000.0</v>
      </c>
      <c r="AB4441" s="1"/>
      <c r="AC4441" s="1" t="s">
        <v>36</v>
      </c>
      <c r="AD4441" s="1" t="s">
        <v>15277</v>
      </c>
      <c r="AE4441" s="1" t="s">
        <v>32</v>
      </c>
      <c r="AF4441" s="1" t="s">
        <v>33</v>
      </c>
      <c r="AG4441" s="1" t="s">
        <v>174</v>
      </c>
    </row>
    <row r="4442" spans="1:33">
      <c r="A4442" t="s">
        <v>15278</v>
      </c>
      <c r="C4442" t="s">
        <v>10524</v>
      </c>
      <c r="E4442" t="s">
        <v>14225</v>
      </c>
      <c r="F4442" t="s">
        <v>14226</v>
      </c>
      <c r="G4442">
        <v>320.0</v>
      </c>
      <c r="H4442">
        <v>320.0</v>
      </c>
      <c r="I4442" t="s">
        <v>173</v>
      </c>
      <c r="J4442" t="s">
        <v>174</v>
      </c>
      <c r="K4442" t="s">
        <v>31</v>
      </c>
      <c r="L4442" t="s">
        <v>32</v>
      </c>
      <c r="M4442" t="s">
        <v>33</v>
      </c>
      <c r="P4442" s="1" t="s">
        <v>15279</v>
      </c>
      <c r="Q4442" s="1" t="s">
        <v>14225</v>
      </c>
      <c r="R4442" s="1" t="s">
        <v>14225</v>
      </c>
      <c r="S4442" s="1"/>
      <c r="T4442" s="1" t="s">
        <v>10524</v>
      </c>
      <c r="U4442" s="1"/>
      <c r="V4442" s="1">
        <v>320.0</v>
      </c>
      <c r="W4442" s="1">
        <v>320.0</v>
      </c>
      <c r="X4442" s="1" t="s">
        <v>35</v>
      </c>
      <c r="Y4442" s="1">
        <v>320000.0</v>
      </c>
      <c r="Z4442" s="1"/>
      <c r="AA4442" s="1">
        <v>320000.0</v>
      </c>
      <c r="AB4442" s="1"/>
      <c r="AC4442" s="1" t="s">
        <v>36</v>
      </c>
      <c r="AD4442" s="1" t="s">
        <v>15280</v>
      </c>
      <c r="AE4442" s="1" t="s">
        <v>32</v>
      </c>
      <c r="AF4442" s="1" t="s">
        <v>33</v>
      </c>
      <c r="AG4442" s="1" t="s">
        <v>174</v>
      </c>
    </row>
    <row r="4443" spans="1:33">
      <c r="A4443" t="s">
        <v>15281</v>
      </c>
      <c r="B4443" t="s">
        <v>510</v>
      </c>
      <c r="C4443" t="s">
        <v>125</v>
      </c>
      <c r="E4443" t="s">
        <v>14225</v>
      </c>
      <c r="F4443" t="s">
        <v>14226</v>
      </c>
      <c r="G4443">
        <v>121.47</v>
      </c>
      <c r="H4443">
        <v>121.47</v>
      </c>
      <c r="I4443" t="s">
        <v>126</v>
      </c>
      <c r="J4443" t="s">
        <v>127</v>
      </c>
      <c r="K4443" t="s">
        <v>31</v>
      </c>
      <c r="L4443" t="s">
        <v>32</v>
      </c>
      <c r="M4443" t="s">
        <v>33</v>
      </c>
      <c r="P4443" s="1" t="s">
        <v>15282</v>
      </c>
      <c r="Q4443" s="1" t="s">
        <v>14225</v>
      </c>
      <c r="R4443" s="1" t="s">
        <v>14225</v>
      </c>
      <c r="S4443" s="1"/>
      <c r="T4443" s="1" t="s">
        <v>125</v>
      </c>
      <c r="U4443" s="1"/>
      <c r="V4443" s="1">
        <v>121.47</v>
      </c>
      <c r="W4443" s="1">
        <v>121.47</v>
      </c>
      <c r="X4443" s="1" t="s">
        <v>35</v>
      </c>
      <c r="Y4443" s="1">
        <v>121470.0</v>
      </c>
      <c r="Z4443" s="1"/>
      <c r="AA4443" s="1">
        <v>121470.0</v>
      </c>
      <c r="AB4443" s="1"/>
      <c r="AC4443" s="1" t="s">
        <v>36</v>
      </c>
      <c r="AD4443" s="1" t="s">
        <v>15243</v>
      </c>
      <c r="AE4443" s="1" t="s">
        <v>32</v>
      </c>
      <c r="AF4443" s="1" t="s">
        <v>33</v>
      </c>
      <c r="AG4443" s="1" t="s">
        <v>127</v>
      </c>
    </row>
    <row r="4444" spans="1:33">
      <c r="A4444" t="s">
        <v>15283</v>
      </c>
      <c r="C4444" t="s">
        <v>15284</v>
      </c>
      <c r="D4444" t="s">
        <v>114</v>
      </c>
      <c r="E4444" t="s">
        <v>14225</v>
      </c>
      <c r="F4444" t="s">
        <v>14226</v>
      </c>
      <c r="G4444">
        <v>778.5</v>
      </c>
      <c r="H4444">
        <v>778.5</v>
      </c>
      <c r="I4444" t="s">
        <v>173</v>
      </c>
      <c r="J4444" t="s">
        <v>174</v>
      </c>
      <c r="K4444" t="s">
        <v>31</v>
      </c>
      <c r="L4444" t="s">
        <v>32</v>
      </c>
      <c r="M4444" t="s">
        <v>33</v>
      </c>
      <c r="P4444" s="1" t="s">
        <v>15285</v>
      </c>
      <c r="Q4444" s="1" t="s">
        <v>14225</v>
      </c>
      <c r="R4444" s="1" t="s">
        <v>14225</v>
      </c>
      <c r="S4444" s="1"/>
      <c r="T4444" s="1" t="s">
        <v>15284</v>
      </c>
      <c r="U4444" s="1"/>
      <c r="V4444" s="1">
        <v>778.5</v>
      </c>
      <c r="W4444" s="1">
        <v>778.5</v>
      </c>
      <c r="X4444" s="1" t="s">
        <v>35</v>
      </c>
      <c r="Y4444" s="1">
        <v>778500.0</v>
      </c>
      <c r="Z4444" s="1"/>
      <c r="AA4444" s="1">
        <v>778500.0</v>
      </c>
      <c r="AB4444" s="1"/>
      <c r="AC4444" s="1" t="s">
        <v>36</v>
      </c>
      <c r="AD4444" s="1" t="s">
        <v>15286</v>
      </c>
      <c r="AE4444" s="1" t="s">
        <v>32</v>
      </c>
      <c r="AF4444" s="1" t="s">
        <v>33</v>
      </c>
      <c r="AG4444" s="1" t="s">
        <v>174</v>
      </c>
    </row>
    <row r="4445" spans="1:33">
      <c r="A4445" t="s">
        <v>15287</v>
      </c>
      <c r="B4445" t="s">
        <v>15288</v>
      </c>
      <c r="C4445" t="s">
        <v>125</v>
      </c>
      <c r="E4445" t="s">
        <v>14225</v>
      </c>
      <c r="F4445" t="s">
        <v>14226</v>
      </c>
      <c r="G4445">
        <v>55.97</v>
      </c>
      <c r="H4445">
        <v>55.97</v>
      </c>
      <c r="I4445" t="s">
        <v>126</v>
      </c>
      <c r="J4445" t="s">
        <v>127</v>
      </c>
      <c r="K4445" t="s">
        <v>31</v>
      </c>
      <c r="L4445" t="s">
        <v>32</v>
      </c>
      <c r="M4445" t="s">
        <v>33</v>
      </c>
      <c r="P4445" s="1" t="s">
        <v>15289</v>
      </c>
      <c r="Q4445" s="1" t="s">
        <v>14225</v>
      </c>
      <c r="R4445" s="1" t="s">
        <v>14225</v>
      </c>
      <c r="S4445" s="1"/>
      <c r="T4445" s="1" t="s">
        <v>125</v>
      </c>
      <c r="U4445" s="1"/>
      <c r="V4445" s="1">
        <v>55.97</v>
      </c>
      <c r="W4445" s="1">
        <v>55.97</v>
      </c>
      <c r="X4445" s="1" t="s">
        <v>35</v>
      </c>
      <c r="Y4445" s="1">
        <v>55970.0</v>
      </c>
      <c r="Z4445" s="1"/>
      <c r="AA4445" s="1">
        <v>55970.0</v>
      </c>
      <c r="AB4445" s="1"/>
      <c r="AC4445" s="1" t="s">
        <v>36</v>
      </c>
      <c r="AD4445" s="1" t="s">
        <v>15286</v>
      </c>
      <c r="AE4445" s="1" t="s">
        <v>32</v>
      </c>
      <c r="AF4445" s="1" t="s">
        <v>33</v>
      </c>
      <c r="AG4445" s="1" t="s">
        <v>127</v>
      </c>
    </row>
    <row r="4446" spans="1:33">
      <c r="A4446" t="s">
        <v>15290</v>
      </c>
      <c r="B4446" t="s">
        <v>1772</v>
      </c>
      <c r="C4446" t="s">
        <v>1773</v>
      </c>
      <c r="D4446" t="s">
        <v>154</v>
      </c>
      <c r="E4446" t="s">
        <v>14225</v>
      </c>
      <c r="F4446" t="s">
        <v>14226</v>
      </c>
      <c r="G4446">
        <v>640.0</v>
      </c>
      <c r="H4446">
        <v>640.0</v>
      </c>
      <c r="I4446" t="s">
        <v>29</v>
      </c>
      <c r="J4446" t="s">
        <v>30</v>
      </c>
      <c r="K4446" t="s">
        <v>31</v>
      </c>
      <c r="L4446" t="s">
        <v>32</v>
      </c>
      <c r="M4446" t="s">
        <v>33</v>
      </c>
      <c r="P4446" s="1" t="s">
        <v>15291</v>
      </c>
      <c r="Q4446" s="1" t="s">
        <v>14225</v>
      </c>
      <c r="R4446" s="1" t="s">
        <v>14225</v>
      </c>
      <c r="S4446" s="1"/>
      <c r="T4446" s="1" t="s">
        <v>1773</v>
      </c>
      <c r="U4446" s="1"/>
      <c r="V4446" s="1">
        <v>640.0</v>
      </c>
      <c r="W4446" s="1">
        <v>640.0</v>
      </c>
      <c r="X4446" s="1" t="s">
        <v>35</v>
      </c>
      <c r="Y4446" s="1">
        <v>640000.0</v>
      </c>
      <c r="Z4446" s="1"/>
      <c r="AA4446" s="1">
        <v>640000.0</v>
      </c>
      <c r="AB4446" s="1"/>
      <c r="AC4446" s="1" t="s">
        <v>36</v>
      </c>
      <c r="AD4446" s="1" t="s">
        <v>15292</v>
      </c>
      <c r="AE4446" s="1" t="s">
        <v>32</v>
      </c>
      <c r="AF4446" s="1" t="s">
        <v>33</v>
      </c>
      <c r="AG4446" s="1" t="s">
        <v>30</v>
      </c>
    </row>
    <row r="4447" spans="1:33">
      <c r="A4447" t="s">
        <v>15293</v>
      </c>
      <c r="C4447" t="s">
        <v>3133</v>
      </c>
      <c r="E4447" t="s">
        <v>14225</v>
      </c>
      <c r="F4447" t="s">
        <v>14226</v>
      </c>
      <c r="G4447">
        <v>328.0</v>
      </c>
      <c r="H4447">
        <v>328.0</v>
      </c>
      <c r="I4447" t="s">
        <v>269</v>
      </c>
      <c r="J4447" t="s">
        <v>270</v>
      </c>
      <c r="K4447" t="s">
        <v>31</v>
      </c>
      <c r="L4447" t="s">
        <v>32</v>
      </c>
      <c r="M4447" t="s">
        <v>33</v>
      </c>
      <c r="P4447" s="1" t="s">
        <v>15294</v>
      </c>
      <c r="Q4447" s="1" t="s">
        <v>14225</v>
      </c>
      <c r="R4447" s="1" t="s">
        <v>14225</v>
      </c>
      <c r="S4447" s="1"/>
      <c r="T4447" s="1" t="s">
        <v>3133</v>
      </c>
      <c r="U4447" s="1"/>
      <c r="V4447" s="1">
        <v>328.0</v>
      </c>
      <c r="W4447" s="1">
        <v>328.0</v>
      </c>
      <c r="X4447" s="1" t="s">
        <v>35</v>
      </c>
      <c r="Y4447" s="1">
        <v>328000.0</v>
      </c>
      <c r="Z4447" s="1"/>
      <c r="AA4447" s="1">
        <v>328000.0</v>
      </c>
      <c r="AB4447" s="1"/>
      <c r="AC4447" s="1" t="s">
        <v>36</v>
      </c>
      <c r="AD4447" s="1" t="s">
        <v>15295</v>
      </c>
      <c r="AE4447" s="1" t="s">
        <v>32</v>
      </c>
      <c r="AF4447" s="1" t="s">
        <v>33</v>
      </c>
      <c r="AG4447" s="1" t="s">
        <v>270</v>
      </c>
    </row>
    <row r="4448" spans="1:33">
      <c r="A4448" t="s">
        <v>15296</v>
      </c>
      <c r="B4448" t="s">
        <v>15297</v>
      </c>
      <c r="C4448" t="s">
        <v>68</v>
      </c>
      <c r="E4448" t="s">
        <v>14225</v>
      </c>
      <c r="F4448" t="s">
        <v>14226</v>
      </c>
      <c r="G4448">
        <v>22.49</v>
      </c>
      <c r="H4448">
        <v>22.49</v>
      </c>
      <c r="I4448" t="s">
        <v>59</v>
      </c>
      <c r="J4448" t="s">
        <v>60</v>
      </c>
      <c r="K4448" t="s">
        <v>31</v>
      </c>
      <c r="L4448" t="s">
        <v>32</v>
      </c>
      <c r="M4448" t="s">
        <v>33</v>
      </c>
      <c r="P4448" s="1" t="s">
        <v>15298</v>
      </c>
      <c r="Q4448" s="1" t="s">
        <v>14225</v>
      </c>
      <c r="R4448" s="1" t="s">
        <v>14225</v>
      </c>
      <c r="S4448" s="1"/>
      <c r="T4448" s="1" t="s">
        <v>68</v>
      </c>
      <c r="U4448" s="1"/>
      <c r="V4448" s="1">
        <v>22.49</v>
      </c>
      <c r="W4448" s="1">
        <v>22.49</v>
      </c>
      <c r="X4448" s="1" t="s">
        <v>35</v>
      </c>
      <c r="Y4448" s="1">
        <v>22490.0</v>
      </c>
      <c r="Z4448" s="1"/>
      <c r="AA4448" s="1">
        <v>22490.0</v>
      </c>
      <c r="AB4448" s="1"/>
      <c r="AC4448" s="1" t="s">
        <v>36</v>
      </c>
      <c r="AD4448" s="1" t="s">
        <v>15299</v>
      </c>
      <c r="AE4448" s="1" t="s">
        <v>32</v>
      </c>
      <c r="AF4448" s="1" t="s">
        <v>33</v>
      </c>
      <c r="AG4448" s="1" t="s">
        <v>60</v>
      </c>
    </row>
    <row r="4449" spans="1:33">
      <c r="A4449" t="s">
        <v>15300</v>
      </c>
      <c r="C4449" t="s">
        <v>15301</v>
      </c>
      <c r="E4449" t="s">
        <v>14225</v>
      </c>
      <c r="F4449" t="s">
        <v>14226</v>
      </c>
      <c r="G4449">
        <v>640.0</v>
      </c>
      <c r="H4449">
        <v>640.0</v>
      </c>
      <c r="I4449" t="s">
        <v>40</v>
      </c>
      <c r="J4449" t="s">
        <v>41</v>
      </c>
      <c r="K4449" t="s">
        <v>31</v>
      </c>
      <c r="L4449" t="s">
        <v>32</v>
      </c>
      <c r="M4449" t="s">
        <v>33</v>
      </c>
      <c r="P4449" s="1" t="s">
        <v>15302</v>
      </c>
      <c r="Q4449" s="1" t="s">
        <v>14225</v>
      </c>
      <c r="R4449" s="1" t="s">
        <v>10616</v>
      </c>
      <c r="S4449" s="1"/>
      <c r="T4449" s="1" t="s">
        <v>15301</v>
      </c>
      <c r="U4449" s="1"/>
      <c r="V4449" s="1">
        <v>640.0</v>
      </c>
      <c r="W4449" s="1">
        <v>640.0</v>
      </c>
      <c r="X4449" s="1" t="s">
        <v>35</v>
      </c>
      <c r="Y4449" s="1">
        <v>640000.0</v>
      </c>
      <c r="Z4449" s="1"/>
      <c r="AA4449" s="1">
        <v>640000.0</v>
      </c>
      <c r="AB4449" s="1"/>
      <c r="AC4449" s="1" t="s">
        <v>36</v>
      </c>
      <c r="AD4449" s="1" t="s">
        <v>15303</v>
      </c>
      <c r="AE4449" s="1" t="s">
        <v>32</v>
      </c>
      <c r="AF4449" s="1" t="s">
        <v>33</v>
      </c>
      <c r="AG4449" s="1" t="s">
        <v>41</v>
      </c>
    </row>
    <row r="4450" spans="1:33">
      <c r="A4450" t="s">
        <v>15304</v>
      </c>
      <c r="B4450" t="s">
        <v>15305</v>
      </c>
      <c r="C4450" t="s">
        <v>172</v>
      </c>
      <c r="E4450" t="s">
        <v>14225</v>
      </c>
      <c r="F4450" t="s">
        <v>14226</v>
      </c>
      <c r="G4450">
        <v>20.991</v>
      </c>
      <c r="H4450">
        <v>20.991</v>
      </c>
      <c r="I4450" t="s">
        <v>173</v>
      </c>
      <c r="J4450" t="s">
        <v>174</v>
      </c>
      <c r="K4450" t="s">
        <v>31</v>
      </c>
      <c r="L4450" t="s">
        <v>32</v>
      </c>
      <c r="M4450" t="s">
        <v>33</v>
      </c>
      <c r="P4450" s="1" t="s">
        <v>15306</v>
      </c>
      <c r="Q4450" s="1" t="s">
        <v>14225</v>
      </c>
      <c r="R4450" s="1" t="s">
        <v>14225</v>
      </c>
      <c r="S4450" s="1"/>
      <c r="T4450" s="1" t="s">
        <v>172</v>
      </c>
      <c r="U4450" s="1"/>
      <c r="V4450" s="1">
        <v>20.991</v>
      </c>
      <c r="W4450" s="1">
        <v>20.991</v>
      </c>
      <c r="X4450" s="1" t="s">
        <v>35</v>
      </c>
      <c r="Y4450" s="1">
        <v>20991.0</v>
      </c>
      <c r="Z4450" s="1"/>
      <c r="AA4450" s="1">
        <v>20991.0</v>
      </c>
      <c r="AB4450" s="1"/>
      <c r="AC4450" s="1" t="s">
        <v>36</v>
      </c>
      <c r="AD4450" s="1" t="s">
        <v>15307</v>
      </c>
      <c r="AE4450" s="1" t="s">
        <v>32</v>
      </c>
      <c r="AF4450" s="1" t="s">
        <v>33</v>
      </c>
      <c r="AG4450" s="1" t="s">
        <v>174</v>
      </c>
    </row>
    <row r="4451" spans="1:33">
      <c r="A4451" t="s">
        <v>15308</v>
      </c>
      <c r="B4451" t="s">
        <v>15309</v>
      </c>
      <c r="C4451" t="s">
        <v>15310</v>
      </c>
      <c r="E4451" t="s">
        <v>14225</v>
      </c>
      <c r="F4451" t="s">
        <v>14226</v>
      </c>
      <c r="G4451">
        <v>1.12</v>
      </c>
      <c r="H4451">
        <v>1.12</v>
      </c>
      <c r="I4451" t="s">
        <v>40</v>
      </c>
      <c r="J4451" t="s">
        <v>41</v>
      </c>
      <c r="K4451" t="s">
        <v>31</v>
      </c>
      <c r="L4451" t="s">
        <v>32</v>
      </c>
      <c r="M4451" t="s">
        <v>33</v>
      </c>
      <c r="P4451" s="1" t="s">
        <v>15311</v>
      </c>
      <c r="Q4451" s="1" t="s">
        <v>14225</v>
      </c>
      <c r="R4451" s="1" t="s">
        <v>10616</v>
      </c>
      <c r="S4451" s="1"/>
      <c r="T4451" s="1" t="s">
        <v>15310</v>
      </c>
      <c r="U4451" s="1"/>
      <c r="V4451" s="1">
        <v>1.12</v>
      </c>
      <c r="W4451" s="1">
        <v>1.12</v>
      </c>
      <c r="X4451" s="1" t="s">
        <v>35</v>
      </c>
      <c r="Y4451" s="1">
        <v>1120000.0</v>
      </c>
      <c r="Z4451" s="1"/>
      <c r="AA4451" s="1">
        <v>1120000.0</v>
      </c>
      <c r="AB4451" s="1"/>
      <c r="AC4451" s="1" t="s">
        <v>36</v>
      </c>
      <c r="AD4451" s="1" t="s">
        <v>15159</v>
      </c>
      <c r="AE4451" s="1" t="s">
        <v>32</v>
      </c>
      <c r="AF4451" s="1" t="s">
        <v>33</v>
      </c>
      <c r="AG4451" s="1" t="s">
        <v>41</v>
      </c>
    </row>
    <row r="4452" spans="1:33">
      <c r="A4452" t="s">
        <v>15312</v>
      </c>
      <c r="C4452" t="s">
        <v>3417</v>
      </c>
      <c r="D4452" t="s">
        <v>114</v>
      </c>
      <c r="E4452" t="s">
        <v>14225</v>
      </c>
      <c r="F4452" t="s">
        <v>14226</v>
      </c>
      <c r="G4452">
        <v>328.0</v>
      </c>
      <c r="H4452">
        <v>328.0</v>
      </c>
      <c r="I4452" t="s">
        <v>269</v>
      </c>
      <c r="J4452" t="s">
        <v>270</v>
      </c>
      <c r="K4452" t="s">
        <v>31</v>
      </c>
      <c r="L4452" t="s">
        <v>32</v>
      </c>
      <c r="M4452" t="s">
        <v>33</v>
      </c>
      <c r="P4452" s="1" t="s">
        <v>15313</v>
      </c>
      <c r="Q4452" s="1" t="s">
        <v>14225</v>
      </c>
      <c r="R4452" s="1" t="s">
        <v>14225</v>
      </c>
      <c r="S4452" s="1"/>
      <c r="T4452" s="1" t="s">
        <v>3417</v>
      </c>
      <c r="U4452" s="1"/>
      <c r="V4452" s="1">
        <v>328.0</v>
      </c>
      <c r="W4452" s="1">
        <v>328.0</v>
      </c>
      <c r="X4452" s="1" t="s">
        <v>35</v>
      </c>
      <c r="Y4452" s="1">
        <v>328000.0</v>
      </c>
      <c r="Z4452" s="1"/>
      <c r="AA4452" s="1">
        <v>328000.0</v>
      </c>
      <c r="AB4452" s="1"/>
      <c r="AC4452" s="1" t="s">
        <v>36</v>
      </c>
      <c r="AD4452" s="1" t="s">
        <v>15314</v>
      </c>
      <c r="AE4452" s="1" t="s">
        <v>32</v>
      </c>
      <c r="AF4452" s="1" t="s">
        <v>33</v>
      </c>
      <c r="AG4452" s="1" t="s">
        <v>270</v>
      </c>
    </row>
    <row r="4453" spans="1:33">
      <c r="A4453" t="s">
        <v>15315</v>
      </c>
      <c r="B4453" t="s">
        <v>15316</v>
      </c>
      <c r="C4453" t="s">
        <v>131</v>
      </c>
      <c r="E4453" t="s">
        <v>14225</v>
      </c>
      <c r="F4453" t="s">
        <v>14226</v>
      </c>
      <c r="G4453">
        <v>32.24</v>
      </c>
      <c r="H4453">
        <v>32.24</v>
      </c>
      <c r="I4453" t="s">
        <v>94</v>
      </c>
      <c r="J4453" t="s">
        <v>95</v>
      </c>
      <c r="K4453" t="s">
        <v>31</v>
      </c>
      <c r="L4453" t="s">
        <v>32</v>
      </c>
      <c r="M4453" t="s">
        <v>33</v>
      </c>
      <c r="P4453" s="1" t="s">
        <v>15317</v>
      </c>
      <c r="Q4453" s="1" t="s">
        <v>14225</v>
      </c>
      <c r="R4453" s="1" t="s">
        <v>14225</v>
      </c>
      <c r="S4453" s="1"/>
      <c r="T4453" s="1" t="s">
        <v>131</v>
      </c>
      <c r="U4453" s="1"/>
      <c r="V4453" s="1">
        <v>32.24</v>
      </c>
      <c r="W4453" s="1">
        <v>32.24</v>
      </c>
      <c r="X4453" s="1" t="s">
        <v>35</v>
      </c>
      <c r="Y4453" s="1">
        <v>32240.0</v>
      </c>
      <c r="Z4453" s="1"/>
      <c r="AA4453" s="1">
        <v>32240.0</v>
      </c>
      <c r="AB4453" s="1"/>
      <c r="AC4453" s="1" t="s">
        <v>36</v>
      </c>
      <c r="AD4453" s="1" t="s">
        <v>15307</v>
      </c>
      <c r="AE4453" s="1" t="s">
        <v>32</v>
      </c>
      <c r="AF4453" s="1" t="s">
        <v>33</v>
      </c>
      <c r="AG4453" s="1" t="s">
        <v>95</v>
      </c>
    </row>
    <row r="4454" spans="1:33">
      <c r="A4454" t="s">
        <v>15318</v>
      </c>
      <c r="B4454" t="s">
        <v>12180</v>
      </c>
      <c r="C4454" t="s">
        <v>268</v>
      </c>
      <c r="E4454" t="s">
        <v>14225</v>
      </c>
      <c r="F4454" t="s">
        <v>14226</v>
      </c>
      <c r="G4454">
        <v>113.0</v>
      </c>
      <c r="H4454">
        <v>113.0</v>
      </c>
      <c r="I4454" t="s">
        <v>269</v>
      </c>
      <c r="J4454" t="s">
        <v>270</v>
      </c>
      <c r="K4454" t="s">
        <v>31</v>
      </c>
      <c r="L4454" t="s">
        <v>32</v>
      </c>
      <c r="M4454" t="s">
        <v>33</v>
      </c>
      <c r="P4454" s="1" t="s">
        <v>15319</v>
      </c>
      <c r="Q4454" s="1" t="s">
        <v>14225</v>
      </c>
      <c r="R4454" s="1" t="s">
        <v>14225</v>
      </c>
      <c r="S4454" s="1"/>
      <c r="T4454" s="1" t="s">
        <v>268</v>
      </c>
      <c r="U4454" s="1"/>
      <c r="V4454" s="1">
        <v>113.0</v>
      </c>
      <c r="W4454" s="1">
        <v>113.0</v>
      </c>
      <c r="X4454" s="1" t="s">
        <v>35</v>
      </c>
      <c r="Y4454" s="1">
        <v>113000.0</v>
      </c>
      <c r="Z4454" s="1"/>
      <c r="AA4454" s="1">
        <v>113000.0</v>
      </c>
      <c r="AB4454" s="1"/>
      <c r="AC4454" s="1" t="s">
        <v>36</v>
      </c>
      <c r="AD4454" s="1" t="s">
        <v>15320</v>
      </c>
      <c r="AE4454" s="1" t="s">
        <v>32</v>
      </c>
      <c r="AF4454" s="1" t="s">
        <v>33</v>
      </c>
      <c r="AG4454" s="1" t="s">
        <v>270</v>
      </c>
    </row>
    <row r="4455" spans="1:33">
      <c r="A4455" t="s">
        <v>15321</v>
      </c>
      <c r="B4455" t="s">
        <v>15322</v>
      </c>
      <c r="C4455" t="s">
        <v>314</v>
      </c>
      <c r="E4455" t="s">
        <v>14225</v>
      </c>
      <c r="F4455" t="s">
        <v>14226</v>
      </c>
      <c r="G4455">
        <v>55.77</v>
      </c>
      <c r="H4455">
        <v>55.77</v>
      </c>
      <c r="I4455" t="s">
        <v>179</v>
      </c>
      <c r="J4455" t="s">
        <v>180</v>
      </c>
      <c r="K4455" t="s">
        <v>31</v>
      </c>
      <c r="L4455" t="s">
        <v>32</v>
      </c>
      <c r="M4455" t="s">
        <v>33</v>
      </c>
      <c r="P4455" s="1" t="s">
        <v>15323</v>
      </c>
      <c r="Q4455" s="1" t="s">
        <v>14225</v>
      </c>
      <c r="R4455" s="1" t="s">
        <v>14225</v>
      </c>
      <c r="S4455" s="1"/>
      <c r="T4455" s="1" t="s">
        <v>314</v>
      </c>
      <c r="U4455" s="1"/>
      <c r="V4455" s="1">
        <v>55.77</v>
      </c>
      <c r="W4455" s="1">
        <v>55.77</v>
      </c>
      <c r="X4455" s="1" t="s">
        <v>35</v>
      </c>
      <c r="Y4455" s="1">
        <v>55770.0</v>
      </c>
      <c r="Z4455" s="1"/>
      <c r="AA4455" s="1">
        <v>55770.0</v>
      </c>
      <c r="AB4455" s="1"/>
      <c r="AC4455" s="1" t="s">
        <v>36</v>
      </c>
      <c r="AD4455" s="1" t="s">
        <v>15307</v>
      </c>
      <c r="AE4455" s="1" t="s">
        <v>32</v>
      </c>
      <c r="AF4455" s="1" t="s">
        <v>33</v>
      </c>
      <c r="AG4455" s="1" t="s">
        <v>180</v>
      </c>
    </row>
    <row r="4456" spans="1:33">
      <c r="A4456" t="s">
        <v>15324</v>
      </c>
      <c r="B4456" t="s">
        <v>15325</v>
      </c>
      <c r="C4456" t="s">
        <v>15326</v>
      </c>
      <c r="E4456" t="s">
        <v>14225</v>
      </c>
      <c r="F4456" t="s">
        <v>14226</v>
      </c>
      <c r="G4456">
        <v>724.9</v>
      </c>
      <c r="H4456">
        <v>724.9</v>
      </c>
      <c r="I4456" t="s">
        <v>529</v>
      </c>
      <c r="J4456" t="s">
        <v>530</v>
      </c>
      <c r="K4456" t="s">
        <v>31</v>
      </c>
      <c r="L4456" t="s">
        <v>32</v>
      </c>
      <c r="M4456" t="s">
        <v>33</v>
      </c>
      <c r="P4456" s="1" t="s">
        <v>15327</v>
      </c>
      <c r="Q4456" s="1" t="s">
        <v>14225</v>
      </c>
      <c r="R4456" s="1" t="s">
        <v>10616</v>
      </c>
      <c r="S4456" s="1"/>
      <c r="T4456" s="1" t="s">
        <v>15326</v>
      </c>
      <c r="U4456" s="1"/>
      <c r="V4456" s="1">
        <v>724.9</v>
      </c>
      <c r="W4456" s="1">
        <v>724.9</v>
      </c>
      <c r="X4456" s="1" t="s">
        <v>35</v>
      </c>
      <c r="Y4456" s="1">
        <v>724900.0</v>
      </c>
      <c r="Z4456" s="1"/>
      <c r="AA4456" s="1">
        <v>724900.0</v>
      </c>
      <c r="AB4456" s="1"/>
      <c r="AC4456" s="1" t="s">
        <v>36</v>
      </c>
      <c r="AD4456" s="1" t="s">
        <v>15328</v>
      </c>
      <c r="AE4456" s="1" t="s">
        <v>32</v>
      </c>
      <c r="AF4456" s="1" t="s">
        <v>33</v>
      </c>
      <c r="AG4456" s="1" t="s">
        <v>530</v>
      </c>
    </row>
    <row r="4457" spans="1:33">
      <c r="A4457" t="s">
        <v>15329</v>
      </c>
      <c r="C4457" t="s">
        <v>2916</v>
      </c>
      <c r="E4457" t="s">
        <v>14225</v>
      </c>
      <c r="F4457" t="s">
        <v>14226</v>
      </c>
      <c r="G4457">
        <v>1.007</v>
      </c>
      <c r="H4457">
        <v>1.007</v>
      </c>
      <c r="I4457" t="s">
        <v>269</v>
      </c>
      <c r="J4457" t="s">
        <v>270</v>
      </c>
      <c r="K4457" t="s">
        <v>31</v>
      </c>
      <c r="L4457" t="s">
        <v>32</v>
      </c>
      <c r="M4457" t="s">
        <v>33</v>
      </c>
      <c r="P4457" s="1" t="s">
        <v>15330</v>
      </c>
      <c r="Q4457" s="1" t="s">
        <v>14225</v>
      </c>
      <c r="R4457" s="1" t="s">
        <v>14225</v>
      </c>
      <c r="S4457" s="1"/>
      <c r="T4457" s="1" t="s">
        <v>2916</v>
      </c>
      <c r="U4457" s="1"/>
      <c r="V4457" s="1">
        <v>1.007</v>
      </c>
      <c r="W4457" s="1">
        <v>1.007</v>
      </c>
      <c r="X4457" s="1" t="s">
        <v>35</v>
      </c>
      <c r="Y4457" s="1">
        <v>1007000.0</v>
      </c>
      <c r="Z4457" s="1"/>
      <c r="AA4457" s="1">
        <v>1007000</v>
      </c>
      <c r="AB4457" s="1"/>
      <c r="AC4457" s="1" t="s">
        <v>36</v>
      </c>
      <c r="AD4457" s="1" t="s">
        <v>15307</v>
      </c>
      <c r="AE4457" s="1" t="s">
        <v>32</v>
      </c>
      <c r="AF4457" s="1" t="s">
        <v>33</v>
      </c>
      <c r="AG4457" s="1" t="s">
        <v>270</v>
      </c>
    </row>
    <row r="4458" spans="1:33">
      <c r="A4458" t="s">
        <v>15331</v>
      </c>
      <c r="B4458" t="s">
        <v>381</v>
      </c>
      <c r="C4458" t="s">
        <v>382</v>
      </c>
      <c r="E4458" t="s">
        <v>14225</v>
      </c>
      <c r="F4458" t="s">
        <v>14226</v>
      </c>
      <c r="G4458">
        <v>1.366</v>
      </c>
      <c r="H4458">
        <v>1.366</v>
      </c>
      <c r="I4458" t="s">
        <v>40</v>
      </c>
      <c r="J4458" t="s">
        <v>41</v>
      </c>
      <c r="K4458" t="s">
        <v>31</v>
      </c>
      <c r="L4458" t="s">
        <v>32</v>
      </c>
      <c r="M4458" t="s">
        <v>33</v>
      </c>
      <c r="P4458" s="1" t="s">
        <v>15332</v>
      </c>
      <c r="Q4458" s="1" t="s">
        <v>14225</v>
      </c>
      <c r="R4458" s="1" t="s">
        <v>10616</v>
      </c>
      <c r="S4458" s="1"/>
      <c r="T4458" s="1" t="s">
        <v>382</v>
      </c>
      <c r="U4458" s="1"/>
      <c r="V4458" s="1">
        <v>1.366</v>
      </c>
      <c r="W4458" s="1">
        <v>1.366</v>
      </c>
      <c r="X4458" s="1" t="s">
        <v>35</v>
      </c>
      <c r="Y4458" s="1">
        <v>1366000</v>
      </c>
      <c r="Z4458" s="1"/>
      <c r="AA4458" s="1">
        <v>1366000</v>
      </c>
      <c r="AB4458" s="1"/>
      <c r="AC4458" s="1" t="s">
        <v>36</v>
      </c>
      <c r="AD4458" s="1" t="s">
        <v>15333</v>
      </c>
      <c r="AE4458" s="1" t="s">
        <v>32</v>
      </c>
      <c r="AF4458" s="1" t="s">
        <v>33</v>
      </c>
      <c r="AG4458" s="1" t="s">
        <v>41</v>
      </c>
    </row>
    <row r="4459" spans="1:33">
      <c r="A4459" t="s">
        <v>15334</v>
      </c>
      <c r="C4459" t="s">
        <v>1416</v>
      </c>
      <c r="E4459" t="s">
        <v>14225</v>
      </c>
      <c r="F4459" t="s">
        <v>14226</v>
      </c>
      <c r="G4459">
        <v>630.0</v>
      </c>
      <c r="H4459">
        <v>630.0</v>
      </c>
      <c r="I4459" t="s">
        <v>40</v>
      </c>
      <c r="J4459" t="s">
        <v>41</v>
      </c>
      <c r="K4459" t="s">
        <v>31</v>
      </c>
      <c r="L4459" t="s">
        <v>32</v>
      </c>
      <c r="M4459" t="s">
        <v>33</v>
      </c>
      <c r="P4459" s="1" t="s">
        <v>15335</v>
      </c>
      <c r="Q4459" s="1" t="s">
        <v>14225</v>
      </c>
      <c r="R4459" s="1" t="s">
        <v>10616</v>
      </c>
      <c r="S4459" s="1"/>
      <c r="T4459" s="1" t="s">
        <v>1416</v>
      </c>
      <c r="U4459" s="1"/>
      <c r="V4459" s="1">
        <v>630.0</v>
      </c>
      <c r="W4459" s="1">
        <v>630.0</v>
      </c>
      <c r="X4459" s="1" t="s">
        <v>35</v>
      </c>
      <c r="Y4459" s="1">
        <v>630000</v>
      </c>
      <c r="Z4459" s="1"/>
      <c r="AA4459" s="1">
        <v>630000</v>
      </c>
      <c r="AB4459" s="1"/>
      <c r="AC4459" s="1" t="s">
        <v>36</v>
      </c>
      <c r="AD4459" s="1" t="s">
        <v>15150</v>
      </c>
      <c r="AE4459" s="1" t="s">
        <v>32</v>
      </c>
      <c r="AF4459" s="1" t="s">
        <v>33</v>
      </c>
      <c r="AG4459" s="1" t="s">
        <v>41</v>
      </c>
    </row>
    <row r="4460" spans="1:33">
      <c r="A4460" t="s">
        <v>15336</v>
      </c>
      <c r="B4460" t="s">
        <v>15337</v>
      </c>
      <c r="C4460" t="s">
        <v>1933</v>
      </c>
      <c r="E4460" t="s">
        <v>14225</v>
      </c>
      <c r="F4460" t="s">
        <v>14226</v>
      </c>
      <c r="G4460">
        <v>1.59</v>
      </c>
      <c r="H4460">
        <v>1.59</v>
      </c>
      <c r="I4460" t="s">
        <v>40</v>
      </c>
      <c r="J4460" t="s">
        <v>41</v>
      </c>
      <c r="K4460" t="s">
        <v>31</v>
      </c>
      <c r="L4460" t="s">
        <v>32</v>
      </c>
      <c r="M4460" t="s">
        <v>33</v>
      </c>
      <c r="P4460" s="1" t="s">
        <v>15338</v>
      </c>
      <c r="Q4460" s="1" t="s">
        <v>14225</v>
      </c>
      <c r="R4460" s="1" t="s">
        <v>10616</v>
      </c>
      <c r="S4460" s="1"/>
      <c r="T4460" s="1" t="s">
        <v>1933</v>
      </c>
      <c r="U4460" s="1"/>
      <c r="V4460" s="1">
        <v>1.59</v>
      </c>
      <c r="W4460" s="1">
        <v>1.59</v>
      </c>
      <c r="X4460" s="1" t="s">
        <v>35</v>
      </c>
      <c r="Y4460" s="1">
        <v>1690000</v>
      </c>
      <c r="Z4460" s="1">
        <v>-100000</v>
      </c>
      <c r="AA4460" s="1">
        <v>1690000</v>
      </c>
      <c r="AB4460" s="1">
        <v>-100000</v>
      </c>
      <c r="AC4460" s="1" t="s">
        <v>36</v>
      </c>
      <c r="AD4460" s="1" t="s">
        <v>15339</v>
      </c>
      <c r="AE4460" s="1" t="s">
        <v>32</v>
      </c>
      <c r="AF4460" s="1" t="s">
        <v>33</v>
      </c>
      <c r="AG4460" s="1" t="s">
        <v>41</v>
      </c>
    </row>
    <row r="4461" spans="1:33">
      <c r="A4461" t="s">
        <v>15340</v>
      </c>
      <c r="C4461" t="s">
        <v>338</v>
      </c>
      <c r="E4461" t="s">
        <v>14225</v>
      </c>
      <c r="F4461" t="s">
        <v>14226</v>
      </c>
      <c r="G4461">
        <v>352.0</v>
      </c>
      <c r="H4461">
        <v>352.0</v>
      </c>
      <c r="I4461" t="s">
        <v>179</v>
      </c>
      <c r="J4461" t="s">
        <v>180</v>
      </c>
      <c r="K4461" t="s">
        <v>31</v>
      </c>
      <c r="L4461" t="s">
        <v>32</v>
      </c>
      <c r="M4461" t="s">
        <v>33</v>
      </c>
      <c r="P4461" s="1" t="s">
        <v>15341</v>
      </c>
      <c r="Q4461" s="1" t="s">
        <v>14225</v>
      </c>
      <c r="R4461" s="1" t="s">
        <v>14225</v>
      </c>
      <c r="S4461" s="1"/>
      <c r="T4461" s="1" t="s">
        <v>338</v>
      </c>
      <c r="U4461" s="1"/>
      <c r="V4461" s="1">
        <v>352.0</v>
      </c>
      <c r="W4461" s="1">
        <v>352.0</v>
      </c>
      <c r="X4461" s="1" t="s">
        <v>35</v>
      </c>
      <c r="Y4461" s="1">
        <v>352000</v>
      </c>
      <c r="Z4461" s="1"/>
      <c r="AA4461" s="1">
        <v>352000</v>
      </c>
      <c r="AB4461" s="1"/>
      <c r="AC4461" s="1" t="s">
        <v>36</v>
      </c>
      <c r="AD4461" s="1" t="s">
        <v>15342</v>
      </c>
      <c r="AE4461" s="1" t="s">
        <v>32</v>
      </c>
      <c r="AF4461" s="1" t="s">
        <v>33</v>
      </c>
      <c r="AG4461" s="1" t="s">
        <v>180</v>
      </c>
    </row>
    <row r="4462" spans="1:33">
      <c r="A4462" t="s">
        <v>15343</v>
      </c>
      <c r="B4462" t="s">
        <v>3747</v>
      </c>
      <c r="C4462" t="s">
        <v>9335</v>
      </c>
      <c r="E4462" t="s">
        <v>14225</v>
      </c>
      <c r="F4462" t="s">
        <v>14226</v>
      </c>
      <c r="G4462">
        <v>221.92</v>
      </c>
      <c r="H4462">
        <v>221.92</v>
      </c>
      <c r="I4462" t="s">
        <v>59</v>
      </c>
      <c r="J4462" t="s">
        <v>60</v>
      </c>
      <c r="K4462" t="s">
        <v>31</v>
      </c>
      <c r="L4462" t="s">
        <v>32</v>
      </c>
      <c r="M4462" t="s">
        <v>33</v>
      </c>
      <c r="P4462" s="1" t="s">
        <v>15344</v>
      </c>
      <c r="Q4462" s="1" t="s">
        <v>14225</v>
      </c>
      <c r="R4462" s="1" t="s">
        <v>14225</v>
      </c>
      <c r="S4462" s="1"/>
      <c r="T4462" s="1" t="s">
        <v>9335</v>
      </c>
      <c r="U4462" s="1"/>
      <c r="V4462" s="1">
        <v>221.92</v>
      </c>
      <c r="W4462" s="1">
        <v>221.92</v>
      </c>
      <c r="X4462" s="1" t="s">
        <v>35</v>
      </c>
      <c r="Y4462" s="1">
        <v>221990</v>
      </c>
      <c r="Z4462" s="1">
        <v>-70</v>
      </c>
      <c r="AA4462" s="1">
        <v>221990</v>
      </c>
      <c r="AB4462" s="1">
        <v>-70</v>
      </c>
      <c r="AC4462" s="1" t="s">
        <v>36</v>
      </c>
      <c r="AD4462" s="1" t="s">
        <v>15246</v>
      </c>
      <c r="AE4462" s="1" t="s">
        <v>32</v>
      </c>
      <c r="AF4462" s="1" t="s">
        <v>33</v>
      </c>
      <c r="AG4462" s="1" t="s">
        <v>60</v>
      </c>
    </row>
    <row r="4463" spans="1:33">
      <c r="A4463" t="s">
        <v>15345</v>
      </c>
      <c r="C4463" t="s">
        <v>1892</v>
      </c>
      <c r="E4463" t="s">
        <v>14225</v>
      </c>
      <c r="F4463" t="s">
        <v>14226</v>
      </c>
      <c r="G4463">
        <v>1.972</v>
      </c>
      <c r="H4463">
        <v>1.972</v>
      </c>
      <c r="I4463" t="s">
        <v>40</v>
      </c>
      <c r="J4463" t="s">
        <v>41</v>
      </c>
      <c r="K4463" t="s">
        <v>31</v>
      </c>
      <c r="L4463" t="s">
        <v>32</v>
      </c>
      <c r="M4463" t="s">
        <v>33</v>
      </c>
      <c r="P4463" s="1" t="s">
        <v>15346</v>
      </c>
      <c r="Q4463" s="1" t="s">
        <v>14225</v>
      </c>
      <c r="R4463" s="1" t="s">
        <v>10616</v>
      </c>
      <c r="S4463" s="1"/>
      <c r="T4463" s="1" t="s">
        <v>1892</v>
      </c>
      <c r="U4463" s="1"/>
      <c r="V4463" s="1">
        <v>1.972</v>
      </c>
      <c r="W4463" s="1">
        <v>1.972</v>
      </c>
      <c r="X4463" s="1" t="s">
        <v>35</v>
      </c>
      <c r="Y4463" s="1">
        <v>1972000</v>
      </c>
      <c r="Z4463" s="1"/>
      <c r="AA4463" s="1">
        <v>1972000</v>
      </c>
      <c r="AB4463" s="1"/>
      <c r="AC4463" s="1" t="s">
        <v>36</v>
      </c>
      <c r="AD4463" s="1" t="s">
        <v>15105</v>
      </c>
      <c r="AE4463" s="1" t="s">
        <v>32</v>
      </c>
      <c r="AF4463" s="1" t="s">
        <v>33</v>
      </c>
      <c r="AG4463" s="1" t="s">
        <v>41</v>
      </c>
    </row>
    <row r="4464" spans="1:33">
      <c r="A4464" t="s">
        <v>15347</v>
      </c>
      <c r="C4464" t="s">
        <v>2474</v>
      </c>
      <c r="E4464" t="s">
        <v>14225</v>
      </c>
      <c r="F4464" t="s">
        <v>14226</v>
      </c>
      <c r="G4464">
        <v>446.2</v>
      </c>
      <c r="H4464">
        <v>446.2</v>
      </c>
      <c r="I4464" t="s">
        <v>179</v>
      </c>
      <c r="J4464" t="s">
        <v>180</v>
      </c>
      <c r="K4464" t="s">
        <v>31</v>
      </c>
      <c r="L4464" t="s">
        <v>32</v>
      </c>
      <c r="M4464" t="s">
        <v>33</v>
      </c>
      <c r="P4464" s="1" t="s">
        <v>15348</v>
      </c>
      <c r="Q4464" s="1" t="s">
        <v>14225</v>
      </c>
      <c r="R4464" s="1" t="s">
        <v>14225</v>
      </c>
      <c r="S4464" s="1"/>
      <c r="T4464" s="1" t="s">
        <v>2474</v>
      </c>
      <c r="U4464" s="1"/>
      <c r="V4464" s="1">
        <v>446.2</v>
      </c>
      <c r="W4464" s="1">
        <v>446.2</v>
      </c>
      <c r="X4464" s="1" t="s">
        <v>35</v>
      </c>
      <c r="Y4464" s="1">
        <v>446200</v>
      </c>
      <c r="Z4464" s="1"/>
      <c r="AA4464" s="1">
        <v>446200</v>
      </c>
      <c r="AB4464" s="1"/>
      <c r="AC4464" s="1" t="s">
        <v>36</v>
      </c>
      <c r="AD4464" s="1" t="s">
        <v>15349</v>
      </c>
      <c r="AE4464" s="1" t="s">
        <v>32</v>
      </c>
      <c r="AF4464" s="1" t="s">
        <v>33</v>
      </c>
      <c r="AG4464" s="1" t="s">
        <v>180</v>
      </c>
    </row>
    <row r="4465" spans="1:33">
      <c r="A4465" t="s">
        <v>15350</v>
      </c>
      <c r="B4465" t="s">
        <v>15351</v>
      </c>
      <c r="C4465" t="s">
        <v>172</v>
      </c>
      <c r="E4465" t="s">
        <v>14225</v>
      </c>
      <c r="F4465" t="s">
        <v>14226</v>
      </c>
      <c r="G4465">
        <v>185.587</v>
      </c>
      <c r="H4465">
        <v>185.587</v>
      </c>
      <c r="I4465" t="s">
        <v>173</v>
      </c>
      <c r="J4465" t="s">
        <v>174</v>
      </c>
      <c r="K4465" t="s">
        <v>31</v>
      </c>
      <c r="L4465" t="s">
        <v>32</v>
      </c>
      <c r="M4465" t="s">
        <v>33</v>
      </c>
      <c r="P4465" s="1" t="s">
        <v>15352</v>
      </c>
      <c r="Q4465" s="1" t="s">
        <v>14225</v>
      </c>
      <c r="R4465" s="1" t="s">
        <v>14225</v>
      </c>
      <c r="S4465" s="1"/>
      <c r="T4465" s="1" t="s">
        <v>172</v>
      </c>
      <c r="U4465" s="1"/>
      <c r="V4465" s="1">
        <v>185.587</v>
      </c>
      <c r="W4465" s="1">
        <v>185.587</v>
      </c>
      <c r="X4465" s="1" t="s">
        <v>35</v>
      </c>
      <c r="Y4465" s="1">
        <v>185587</v>
      </c>
      <c r="Z4465" s="1"/>
      <c r="AA4465" s="1">
        <v>185587</v>
      </c>
      <c r="AB4465" s="1"/>
      <c r="AC4465" s="1" t="s">
        <v>36</v>
      </c>
      <c r="AD4465" s="1" t="s">
        <v>15353</v>
      </c>
      <c r="AE4465" s="1" t="s">
        <v>32</v>
      </c>
      <c r="AF4465" s="1" t="s">
        <v>33</v>
      </c>
      <c r="AG4465" s="1" t="s">
        <v>174</v>
      </c>
    </row>
    <row r="4466" spans="1:33">
      <c r="A4466" t="s">
        <v>15354</v>
      </c>
      <c r="B4466" t="s">
        <v>15355</v>
      </c>
      <c r="C4466" t="s">
        <v>125</v>
      </c>
      <c r="E4466" t="s">
        <v>14225</v>
      </c>
      <c r="F4466" t="s">
        <v>14226</v>
      </c>
      <c r="G4466">
        <v>16.99</v>
      </c>
      <c r="H4466">
        <v>16.99</v>
      </c>
      <c r="I4466" t="s">
        <v>126</v>
      </c>
      <c r="J4466" t="s">
        <v>127</v>
      </c>
      <c r="K4466" t="s">
        <v>31</v>
      </c>
      <c r="L4466" t="s">
        <v>32</v>
      </c>
      <c r="M4466" t="s">
        <v>33</v>
      </c>
      <c r="P4466" s="1" t="s">
        <v>15356</v>
      </c>
      <c r="Q4466" s="1" t="s">
        <v>14225</v>
      </c>
      <c r="R4466" s="1" t="s">
        <v>14225</v>
      </c>
      <c r="S4466" s="1"/>
      <c r="T4466" s="1" t="s">
        <v>125</v>
      </c>
      <c r="U4466" s="1"/>
      <c r="V4466" s="1">
        <v>16.99</v>
      </c>
      <c r="W4466" s="1">
        <v>16.99</v>
      </c>
      <c r="X4466" s="1" t="s">
        <v>35</v>
      </c>
      <c r="Y4466" s="1">
        <v>16990</v>
      </c>
      <c r="Z4466" s="1"/>
      <c r="AA4466" s="1">
        <v>16990</v>
      </c>
      <c r="AB4466" s="1"/>
      <c r="AC4466" s="1" t="s">
        <v>36</v>
      </c>
      <c r="AD4466" s="1" t="s">
        <v>15357</v>
      </c>
      <c r="AE4466" s="1" t="s">
        <v>32</v>
      </c>
      <c r="AF4466" s="1" t="s">
        <v>33</v>
      </c>
      <c r="AG4466" s="1" t="s">
        <v>127</v>
      </c>
    </row>
    <row r="4467" spans="1:33">
      <c r="A4467" t="s">
        <v>15358</v>
      </c>
      <c r="B4467" t="s">
        <v>10272</v>
      </c>
      <c r="C4467" t="s">
        <v>47</v>
      </c>
      <c r="E4467" t="s">
        <v>15359</v>
      </c>
      <c r="F4467" t="s">
        <v>10934</v>
      </c>
      <c r="G4467">
        <v>11.0</v>
      </c>
      <c r="H4467">
        <v>11.0</v>
      </c>
      <c r="I4467" t="s">
        <v>2206</v>
      </c>
      <c r="J4467" t="s">
        <v>49</v>
      </c>
      <c r="K4467" t="s">
        <v>31</v>
      </c>
      <c r="L4467" t="s">
        <v>32</v>
      </c>
      <c r="M4467" t="s">
        <v>33</v>
      </c>
      <c r="P4467" s="1" t="s">
        <v>15360</v>
      </c>
      <c r="Q4467" s="1" t="s">
        <v>14225</v>
      </c>
      <c r="R4467" s="1" t="s">
        <v>14225</v>
      </c>
      <c r="S4467" s="1"/>
      <c r="T4467" s="1" t="s">
        <v>47</v>
      </c>
      <c r="U4467" s="1"/>
      <c r="V4467" s="1">
        <v>11.0</v>
      </c>
      <c r="W4467" s="1">
        <v>11.0</v>
      </c>
      <c r="X4467" s="1" t="s">
        <v>35</v>
      </c>
      <c r="Y4467" s="1">
        <v>11000</v>
      </c>
      <c r="Z4467" s="1"/>
      <c r="AA4467" s="1">
        <v>11000</v>
      </c>
      <c r="AB4467" s="1"/>
      <c r="AC4467" s="1" t="s">
        <v>36</v>
      </c>
      <c r="AD4467" s="1" t="s">
        <v>15361</v>
      </c>
      <c r="AE4467" s="1" t="s">
        <v>32</v>
      </c>
      <c r="AF4467" s="1" t="s">
        <v>33</v>
      </c>
      <c r="AG4467" s="1" t="s">
        <v>49</v>
      </c>
    </row>
    <row r="4468" spans="1:33">
      <c r="A4468" t="s">
        <v>15362</v>
      </c>
      <c r="B4468" t="s">
        <v>14748</v>
      </c>
      <c r="C4468" t="s">
        <v>73</v>
      </c>
      <c r="E4468" t="s">
        <v>14225</v>
      </c>
      <c r="F4468" t="s">
        <v>14226</v>
      </c>
      <c r="G4468">
        <v>20.544</v>
      </c>
      <c r="H4468">
        <v>20.544</v>
      </c>
      <c r="I4468" t="s">
        <v>40</v>
      </c>
      <c r="J4468" t="s">
        <v>41</v>
      </c>
      <c r="K4468" t="s">
        <v>31</v>
      </c>
      <c r="L4468" t="s">
        <v>32</v>
      </c>
      <c r="M4468" t="s">
        <v>33</v>
      </c>
      <c r="P4468" s="1" t="s">
        <v>15363</v>
      </c>
      <c r="Q4468" s="1" t="s">
        <v>14225</v>
      </c>
      <c r="R4468" s="1" t="s">
        <v>10616</v>
      </c>
      <c r="S4468" s="1"/>
      <c r="T4468" s="1" t="s">
        <v>75</v>
      </c>
      <c r="U4468" s="1" t="s">
        <v>76</v>
      </c>
      <c r="V4468" s="1">
        <v>20.544</v>
      </c>
      <c r="W4468" s="1">
        <v>20.544</v>
      </c>
      <c r="X4468" s="1" t="s">
        <v>35</v>
      </c>
      <c r="Y4468" s="1">
        <v>20544</v>
      </c>
      <c r="Z4468" s="1"/>
      <c r="AA4468" s="1">
        <v>20544</v>
      </c>
      <c r="AB4468" s="1"/>
      <c r="AC4468" s="1" t="s">
        <v>36</v>
      </c>
      <c r="AD4468" s="1" t="s">
        <v>15085</v>
      </c>
      <c r="AE4468" s="1" t="s">
        <v>32</v>
      </c>
      <c r="AF4468" s="1" t="s">
        <v>33</v>
      </c>
      <c r="AG4468" s="1" t="s">
        <v>41</v>
      </c>
    </row>
    <row r="4469" spans="1:33">
      <c r="A4469" t="s">
        <v>15364</v>
      </c>
      <c r="C4469" t="s">
        <v>64</v>
      </c>
      <c r="E4469" t="s">
        <v>14225</v>
      </c>
      <c r="F4469" t="s">
        <v>14226</v>
      </c>
      <c r="G4469">
        <v>2.52</v>
      </c>
      <c r="H4469">
        <v>2.52</v>
      </c>
      <c r="I4469" t="s">
        <v>2206</v>
      </c>
      <c r="J4469" t="s">
        <v>49</v>
      </c>
      <c r="K4469" t="s">
        <v>31</v>
      </c>
      <c r="L4469" t="s">
        <v>32</v>
      </c>
      <c r="M4469" t="s">
        <v>33</v>
      </c>
      <c r="P4469" s="1" t="s">
        <v>15365</v>
      </c>
      <c r="Q4469" s="1" t="s">
        <v>14225</v>
      </c>
      <c r="R4469" s="1" t="s">
        <v>14225</v>
      </c>
      <c r="S4469" s="1"/>
      <c r="T4469" s="1" t="s">
        <v>64</v>
      </c>
      <c r="U4469" s="1"/>
      <c r="V4469" s="1">
        <v>2.52</v>
      </c>
      <c r="W4469" s="1">
        <v>2.52</v>
      </c>
      <c r="X4469" s="1" t="s">
        <v>35</v>
      </c>
      <c r="Y4469" s="1">
        <v>2520000</v>
      </c>
      <c r="Z4469" s="1"/>
      <c r="AA4469" s="1">
        <v>2520000</v>
      </c>
      <c r="AB4469" s="1"/>
      <c r="AC4469" s="1" t="s">
        <v>36</v>
      </c>
      <c r="AD4469" s="1" t="s">
        <v>15366</v>
      </c>
      <c r="AE4469" s="1" t="s">
        <v>32</v>
      </c>
      <c r="AF4469" s="1" t="s">
        <v>33</v>
      </c>
      <c r="AG4469" s="1" t="s">
        <v>49</v>
      </c>
    </row>
    <row r="4470" spans="1:33">
      <c r="A4470" t="s">
        <v>15367</v>
      </c>
      <c r="B4470" t="s">
        <v>15368</v>
      </c>
      <c r="C4470" t="s">
        <v>73</v>
      </c>
      <c r="E4470" t="s">
        <v>14225</v>
      </c>
      <c r="F4470" t="s">
        <v>14226</v>
      </c>
      <c r="G4470">
        <v>5.42</v>
      </c>
      <c r="H4470">
        <v>5.42</v>
      </c>
      <c r="I4470" t="s">
        <v>40</v>
      </c>
      <c r="J4470" t="s">
        <v>41</v>
      </c>
      <c r="K4470" t="s">
        <v>31</v>
      </c>
      <c r="L4470" t="s">
        <v>32</v>
      </c>
      <c r="M4470" t="s">
        <v>33</v>
      </c>
      <c r="P4470" s="1" t="s">
        <v>15369</v>
      </c>
      <c r="Q4470" s="1" t="s">
        <v>14225</v>
      </c>
      <c r="R4470" s="1" t="s">
        <v>10616</v>
      </c>
      <c r="S4470" s="1"/>
      <c r="T4470" s="1" t="s">
        <v>75</v>
      </c>
      <c r="U4470" s="1" t="s">
        <v>76</v>
      </c>
      <c r="V4470" s="1">
        <v>5.42</v>
      </c>
      <c r="W4470" s="1">
        <v>5.42</v>
      </c>
      <c r="X4470" s="1" t="s">
        <v>35</v>
      </c>
      <c r="Y4470" s="1">
        <v>5420</v>
      </c>
      <c r="Z4470" s="1"/>
      <c r="AA4470" s="1">
        <v>5420</v>
      </c>
      <c r="AB4470" s="1"/>
      <c r="AC4470" s="1" t="s">
        <v>36</v>
      </c>
      <c r="AD4470" s="1" t="s">
        <v>15370</v>
      </c>
      <c r="AE4470" s="1" t="s">
        <v>32</v>
      </c>
      <c r="AF4470" s="1" t="s">
        <v>33</v>
      </c>
      <c r="AG4470" s="1" t="s">
        <v>41</v>
      </c>
    </row>
    <row r="4471" spans="1:33">
      <c r="A4471" t="s">
        <v>15371</v>
      </c>
      <c r="B4471" t="s">
        <v>12571</v>
      </c>
      <c r="C4471" t="s">
        <v>569</v>
      </c>
      <c r="E4471" t="s">
        <v>14225</v>
      </c>
      <c r="F4471" t="s">
        <v>14226</v>
      </c>
      <c r="G4471">
        <v>34.26</v>
      </c>
      <c r="H4471">
        <v>34.26</v>
      </c>
      <c r="I4471" t="s">
        <v>570</v>
      </c>
      <c r="J4471" t="s">
        <v>571</v>
      </c>
      <c r="K4471" t="s">
        <v>31</v>
      </c>
      <c r="L4471" t="s">
        <v>32</v>
      </c>
      <c r="M4471" t="s">
        <v>33</v>
      </c>
      <c r="P4471" s="1" t="s">
        <v>15372</v>
      </c>
      <c r="Q4471" s="1" t="s">
        <v>14225</v>
      </c>
      <c r="R4471" s="1" t="s">
        <v>14225</v>
      </c>
      <c r="S4471" s="1"/>
      <c r="T4471" s="1" t="s">
        <v>569</v>
      </c>
      <c r="U4471" s="1"/>
      <c r="V4471" s="1">
        <v>34.26</v>
      </c>
      <c r="W4471" s="1">
        <v>34.26</v>
      </c>
      <c r="X4471" s="1" t="s">
        <v>35</v>
      </c>
      <c r="Y4471" s="1">
        <v>34260</v>
      </c>
      <c r="Z4471" s="1"/>
      <c r="AA4471" s="1">
        <v>34260</v>
      </c>
      <c r="AB4471" s="1"/>
      <c r="AC4471" s="1" t="s">
        <v>36</v>
      </c>
      <c r="AD4471" s="1" t="s">
        <v>15373</v>
      </c>
      <c r="AE4471" s="1" t="s">
        <v>32</v>
      </c>
      <c r="AF4471" s="1" t="s">
        <v>33</v>
      </c>
      <c r="AG4471" s="1" t="s">
        <v>571</v>
      </c>
    </row>
    <row r="4472" spans="1:33">
      <c r="A4472" t="s">
        <v>15374</v>
      </c>
      <c r="C4472" t="s">
        <v>15375</v>
      </c>
      <c r="E4472" t="s">
        <v>14225</v>
      </c>
      <c r="F4472" t="s">
        <v>14226</v>
      </c>
      <c r="G4472">
        <v>641.1</v>
      </c>
      <c r="H4472">
        <v>641.1</v>
      </c>
      <c r="I4472" t="s">
        <v>126</v>
      </c>
      <c r="J4472" t="s">
        <v>127</v>
      </c>
      <c r="K4472" t="s">
        <v>31</v>
      </c>
      <c r="L4472" t="s">
        <v>32</v>
      </c>
      <c r="M4472" t="s">
        <v>33</v>
      </c>
      <c r="P4472" s="1" t="s">
        <v>15376</v>
      </c>
      <c r="Q4472" s="1" t="s">
        <v>14225</v>
      </c>
      <c r="R4472" s="1" t="s">
        <v>14225</v>
      </c>
      <c r="S4472" s="1"/>
      <c r="T4472" s="1" t="s">
        <v>15375</v>
      </c>
      <c r="U4472" s="1"/>
      <c r="V4472" s="1">
        <v>641.1</v>
      </c>
      <c r="W4472" s="1">
        <v>641.1</v>
      </c>
      <c r="X4472" s="1" t="s">
        <v>35</v>
      </c>
      <c r="Y4472" s="1">
        <v>641100</v>
      </c>
      <c r="Z4472" s="1"/>
      <c r="AA4472" s="1">
        <v>641100</v>
      </c>
      <c r="AB4472" s="1"/>
      <c r="AC4472" s="1" t="s">
        <v>36</v>
      </c>
      <c r="AD4472" s="1" t="s">
        <v>15377</v>
      </c>
      <c r="AE4472" s="1" t="s">
        <v>32</v>
      </c>
      <c r="AF4472" s="1" t="s">
        <v>33</v>
      </c>
      <c r="AG4472" s="1" t="s">
        <v>127</v>
      </c>
    </row>
    <row r="4473" spans="1:33">
      <c r="A4473" t="s">
        <v>15378</v>
      </c>
      <c r="C4473" t="s">
        <v>638</v>
      </c>
      <c r="D4473" t="s">
        <v>154</v>
      </c>
      <c r="E4473" t="s">
        <v>14225</v>
      </c>
      <c r="F4473" t="s">
        <v>14226</v>
      </c>
      <c r="G4473">
        <v>676.0</v>
      </c>
      <c r="H4473">
        <v>676.0</v>
      </c>
      <c r="I4473" t="s">
        <v>227</v>
      </c>
      <c r="J4473" t="s">
        <v>228</v>
      </c>
      <c r="K4473" t="s">
        <v>31</v>
      </c>
      <c r="L4473" t="s">
        <v>32</v>
      </c>
      <c r="M4473" t="s">
        <v>33</v>
      </c>
      <c r="P4473" s="1" t="s">
        <v>15379</v>
      </c>
      <c r="Q4473" s="1" t="s">
        <v>14225</v>
      </c>
      <c r="R4473" s="1" t="s">
        <v>14225</v>
      </c>
      <c r="S4473" s="1"/>
      <c r="T4473" s="1" t="s">
        <v>640</v>
      </c>
      <c r="U4473" s="1" t="s">
        <v>641</v>
      </c>
      <c r="V4473" s="1">
        <v>676.0</v>
      </c>
      <c r="W4473" s="1">
        <v>676.0</v>
      </c>
      <c r="X4473" s="1" t="s">
        <v>35</v>
      </c>
      <c r="Y4473" s="1">
        <v>676000</v>
      </c>
      <c r="Z4473" s="1"/>
      <c r="AA4473" s="1">
        <v>676000</v>
      </c>
      <c r="AB4473" s="1"/>
      <c r="AC4473" s="1" t="s">
        <v>36</v>
      </c>
      <c r="AD4473" s="1" t="s">
        <v>15357</v>
      </c>
      <c r="AE4473" s="1" t="s">
        <v>32</v>
      </c>
      <c r="AF4473" s="1" t="s">
        <v>33</v>
      </c>
      <c r="AG4473" s="1" t="s">
        <v>228</v>
      </c>
    </row>
    <row r="4474" spans="1:33">
      <c r="A4474" t="s">
        <v>15380</v>
      </c>
      <c r="B4474" t="s">
        <v>3146</v>
      </c>
      <c r="C4474" t="s">
        <v>26</v>
      </c>
      <c r="E4474" t="s">
        <v>14225</v>
      </c>
      <c r="F4474" t="s">
        <v>14226</v>
      </c>
      <c r="G4474">
        <v>2.54</v>
      </c>
      <c r="H4474">
        <v>2.54</v>
      </c>
      <c r="I4474" t="s">
        <v>29</v>
      </c>
      <c r="J4474" t="s">
        <v>30</v>
      </c>
      <c r="K4474" t="s">
        <v>31</v>
      </c>
      <c r="L4474" t="s">
        <v>32</v>
      </c>
      <c r="M4474" t="s">
        <v>33</v>
      </c>
      <c r="P4474" s="1" t="s">
        <v>15381</v>
      </c>
      <c r="Q4474" s="1" t="s">
        <v>14225</v>
      </c>
      <c r="R4474" s="1" t="s">
        <v>14225</v>
      </c>
      <c r="S4474" s="1"/>
      <c r="T4474" s="1" t="s">
        <v>26</v>
      </c>
      <c r="U4474" s="1"/>
      <c r="V4474" s="1">
        <v>2.54</v>
      </c>
      <c r="W4474" s="1">
        <v>2.54</v>
      </c>
      <c r="X4474" s="1" t="s">
        <v>35</v>
      </c>
      <c r="Y4474" s="1">
        <v>2540</v>
      </c>
      <c r="Z4474" s="1"/>
      <c r="AA4474" s="1">
        <v>2540</v>
      </c>
      <c r="AB4474" s="1"/>
      <c r="AC4474" s="1" t="s">
        <v>36</v>
      </c>
      <c r="AD4474" s="1" t="s">
        <v>15382</v>
      </c>
      <c r="AE4474" s="1" t="s">
        <v>32</v>
      </c>
      <c r="AF4474" s="1" t="s">
        <v>33</v>
      </c>
      <c r="AG4474" s="1" t="s">
        <v>30</v>
      </c>
    </row>
    <row r="4475" spans="1:33">
      <c r="A4475" t="s">
        <v>15383</v>
      </c>
      <c r="B4475" t="s">
        <v>15384</v>
      </c>
      <c r="C4475" t="s">
        <v>314</v>
      </c>
      <c r="E4475" t="s">
        <v>14225</v>
      </c>
      <c r="F4475" t="s">
        <v>14226</v>
      </c>
      <c r="G4475">
        <v>22.24</v>
      </c>
      <c r="H4475">
        <v>22.24</v>
      </c>
      <c r="I4475" t="s">
        <v>179</v>
      </c>
      <c r="J4475" t="s">
        <v>180</v>
      </c>
      <c r="K4475" t="s">
        <v>31</v>
      </c>
      <c r="L4475" t="s">
        <v>32</v>
      </c>
      <c r="M4475" t="s">
        <v>33</v>
      </c>
      <c r="P4475" s="1" t="s">
        <v>15385</v>
      </c>
      <c r="Q4475" s="1" t="s">
        <v>14225</v>
      </c>
      <c r="R4475" s="1" t="s">
        <v>14225</v>
      </c>
      <c r="S4475" s="1"/>
      <c r="T4475" s="1" t="s">
        <v>314</v>
      </c>
      <c r="U4475" s="1"/>
      <c r="V4475" s="1">
        <v>22.24</v>
      </c>
      <c r="W4475" s="1">
        <v>22.24</v>
      </c>
      <c r="X4475" s="1" t="s">
        <v>35</v>
      </c>
      <c r="Y4475" s="1">
        <v>22240</v>
      </c>
      <c r="Z4475" s="1"/>
      <c r="AA4475" s="1">
        <v>22240</v>
      </c>
      <c r="AB4475" s="1"/>
      <c r="AC4475" s="1" t="s">
        <v>36</v>
      </c>
      <c r="AD4475" s="1" t="s">
        <v>15386</v>
      </c>
      <c r="AE4475" s="1" t="s">
        <v>32</v>
      </c>
      <c r="AF4475" s="1" t="s">
        <v>33</v>
      </c>
      <c r="AG4475" s="1" t="s">
        <v>180</v>
      </c>
    </row>
    <row r="4476" spans="1:33">
      <c r="A4476" t="s">
        <v>15387</v>
      </c>
      <c r="B4476" t="s">
        <v>548</v>
      </c>
      <c r="C4476" t="s">
        <v>73</v>
      </c>
      <c r="E4476" t="s">
        <v>14225</v>
      </c>
      <c r="F4476" t="s">
        <v>14226</v>
      </c>
      <c r="G4476">
        <v>88.966</v>
      </c>
      <c r="H4476">
        <v>88.966</v>
      </c>
      <c r="I4476" t="s">
        <v>40</v>
      </c>
      <c r="J4476" t="s">
        <v>41</v>
      </c>
      <c r="K4476" t="s">
        <v>31</v>
      </c>
      <c r="L4476" t="s">
        <v>32</v>
      </c>
      <c r="M4476" t="s">
        <v>33</v>
      </c>
      <c r="P4476" s="1" t="s">
        <v>15388</v>
      </c>
      <c r="Q4476" s="1" t="s">
        <v>14225</v>
      </c>
      <c r="R4476" s="1" t="s">
        <v>10616</v>
      </c>
      <c r="S4476" s="1"/>
      <c r="T4476" s="1" t="s">
        <v>75</v>
      </c>
      <c r="U4476" s="1" t="s">
        <v>76</v>
      </c>
      <c r="V4476" s="1">
        <v>88.966</v>
      </c>
      <c r="W4476" s="1">
        <v>88.966</v>
      </c>
      <c r="X4476" s="1" t="s">
        <v>35</v>
      </c>
      <c r="Y4476" s="1">
        <v>88966</v>
      </c>
      <c r="Z4476" s="1"/>
      <c r="AA4476" s="1">
        <v>88966</v>
      </c>
      <c r="AB4476" s="1"/>
      <c r="AC4476" s="1" t="s">
        <v>36</v>
      </c>
      <c r="AD4476" s="1" t="s">
        <v>15389</v>
      </c>
      <c r="AE4476" s="1" t="s">
        <v>32</v>
      </c>
      <c r="AF4476" s="1" t="s">
        <v>33</v>
      </c>
      <c r="AG4476" s="1" t="s">
        <v>41</v>
      </c>
    </row>
    <row r="4477" spans="1:33">
      <c r="A4477" t="s">
        <v>15390</v>
      </c>
      <c r="B4477" t="s">
        <v>15391</v>
      </c>
      <c r="C4477" t="s">
        <v>314</v>
      </c>
      <c r="E4477" t="s">
        <v>14225</v>
      </c>
      <c r="F4477" t="s">
        <v>14226</v>
      </c>
      <c r="G4477">
        <v>78.17</v>
      </c>
      <c r="H4477">
        <v>78.17</v>
      </c>
      <c r="I4477" t="s">
        <v>179</v>
      </c>
      <c r="J4477" t="s">
        <v>180</v>
      </c>
      <c r="K4477" t="s">
        <v>31</v>
      </c>
      <c r="L4477" t="s">
        <v>32</v>
      </c>
      <c r="M4477" t="s">
        <v>33</v>
      </c>
      <c r="P4477" s="1" t="s">
        <v>15392</v>
      </c>
      <c r="Q4477" s="1" t="s">
        <v>14225</v>
      </c>
      <c r="R4477" s="1" t="s">
        <v>14225</v>
      </c>
      <c r="S4477" s="1"/>
      <c r="T4477" s="1" t="s">
        <v>314</v>
      </c>
      <c r="U4477" s="1"/>
      <c r="V4477" s="1">
        <v>78.17</v>
      </c>
      <c r="W4477" s="1">
        <v>78.17</v>
      </c>
      <c r="X4477" s="1" t="s">
        <v>35</v>
      </c>
      <c r="Y4477" s="1">
        <v>78170</v>
      </c>
      <c r="Z4477" s="1"/>
      <c r="AA4477" s="1">
        <v>78170</v>
      </c>
      <c r="AB4477" s="1"/>
      <c r="AC4477" s="1" t="s">
        <v>36</v>
      </c>
      <c r="AD4477" s="1" t="s">
        <v>15393</v>
      </c>
      <c r="AE4477" s="1" t="s">
        <v>32</v>
      </c>
      <c r="AF4477" s="1" t="s">
        <v>33</v>
      </c>
      <c r="AG4477" s="1" t="s">
        <v>180</v>
      </c>
    </row>
    <row r="4478" spans="1:33">
      <c r="A4478" t="s">
        <v>15394</v>
      </c>
      <c r="B4478" t="s">
        <v>15395</v>
      </c>
      <c r="C4478" t="s">
        <v>73</v>
      </c>
      <c r="E4478" t="s">
        <v>14225</v>
      </c>
      <c r="F4478" t="s">
        <v>14226</v>
      </c>
      <c r="G4478">
        <v>20.99</v>
      </c>
      <c r="H4478">
        <v>20.99</v>
      </c>
      <c r="I4478" t="s">
        <v>40</v>
      </c>
      <c r="J4478" t="s">
        <v>41</v>
      </c>
      <c r="K4478" t="s">
        <v>31</v>
      </c>
      <c r="L4478" t="s">
        <v>32</v>
      </c>
      <c r="M4478" t="s">
        <v>33</v>
      </c>
      <c r="P4478" s="1" t="s">
        <v>15396</v>
      </c>
      <c r="Q4478" s="1" t="s">
        <v>14225</v>
      </c>
      <c r="R4478" s="1" t="s">
        <v>10616</v>
      </c>
      <c r="S4478" s="1"/>
      <c r="T4478" s="1" t="s">
        <v>75</v>
      </c>
      <c r="U4478" s="1" t="s">
        <v>76</v>
      </c>
      <c r="V4478" s="1">
        <v>20.99</v>
      </c>
      <c r="W4478" s="1">
        <v>20.99</v>
      </c>
      <c r="X4478" s="1" t="s">
        <v>35</v>
      </c>
      <c r="Y4478" s="1">
        <v>20990</v>
      </c>
      <c r="Z4478" s="1"/>
      <c r="AA4478" s="1">
        <v>20990</v>
      </c>
      <c r="AB4478" s="1"/>
      <c r="AC4478" s="1" t="s">
        <v>36</v>
      </c>
      <c r="AD4478" s="1" t="s">
        <v>15397</v>
      </c>
      <c r="AE4478" s="1" t="s">
        <v>32</v>
      </c>
      <c r="AF4478" s="1" t="s">
        <v>33</v>
      </c>
      <c r="AG4478" s="1" t="s">
        <v>41</v>
      </c>
    </row>
    <row r="4479" spans="1:33">
      <c r="A4479" t="s">
        <v>15398</v>
      </c>
      <c r="B4479" t="s">
        <v>15399</v>
      </c>
      <c r="C4479" t="s">
        <v>125</v>
      </c>
      <c r="E4479" t="s">
        <v>14225</v>
      </c>
      <c r="F4479" t="s">
        <v>14226</v>
      </c>
      <c r="G4479">
        <v>62.97</v>
      </c>
      <c r="H4479">
        <v>62.97</v>
      </c>
      <c r="I4479" t="s">
        <v>126</v>
      </c>
      <c r="J4479" t="s">
        <v>127</v>
      </c>
      <c r="K4479" t="s">
        <v>31</v>
      </c>
      <c r="L4479" t="s">
        <v>32</v>
      </c>
      <c r="M4479" t="s">
        <v>33</v>
      </c>
      <c r="P4479" s="1" t="s">
        <v>15400</v>
      </c>
      <c r="Q4479" s="1" t="s">
        <v>14225</v>
      </c>
      <c r="R4479" s="1" t="s">
        <v>14225</v>
      </c>
      <c r="S4479" s="1"/>
      <c r="T4479" s="1" t="s">
        <v>125</v>
      </c>
      <c r="U4479" s="1"/>
      <c r="V4479" s="1">
        <v>62.97</v>
      </c>
      <c r="W4479" s="1">
        <v>62.97</v>
      </c>
      <c r="X4479" s="1" t="s">
        <v>35</v>
      </c>
      <c r="Y4479" s="1">
        <v>62970</v>
      </c>
      <c r="Z4479" s="1"/>
      <c r="AA4479" s="1">
        <v>62970</v>
      </c>
      <c r="AB4479" s="1"/>
      <c r="AC4479" s="1" t="s">
        <v>36</v>
      </c>
      <c r="AD4479" s="1" t="s">
        <v>15401</v>
      </c>
      <c r="AE4479" s="1" t="s">
        <v>32</v>
      </c>
      <c r="AF4479" s="1" t="s">
        <v>33</v>
      </c>
      <c r="AG4479" s="1" t="s">
        <v>127</v>
      </c>
    </row>
    <row r="4480" spans="1:33">
      <c r="A4480" t="s">
        <v>15402</v>
      </c>
      <c r="C4480" t="s">
        <v>6581</v>
      </c>
      <c r="E4480" t="s">
        <v>14225</v>
      </c>
      <c r="F4480" t="s">
        <v>14226</v>
      </c>
      <c r="G4480">
        <v>3.733</v>
      </c>
      <c r="H4480">
        <v>3.733</v>
      </c>
      <c r="I4480" t="s">
        <v>2206</v>
      </c>
      <c r="J4480" t="s">
        <v>49</v>
      </c>
      <c r="K4480" t="s">
        <v>31</v>
      </c>
      <c r="L4480" t="s">
        <v>32</v>
      </c>
      <c r="M4480" t="s">
        <v>33</v>
      </c>
      <c r="P4480" s="1" t="s">
        <v>15403</v>
      </c>
      <c r="Q4480" s="1" t="s">
        <v>14225</v>
      </c>
      <c r="R4480" s="1" t="s">
        <v>14225</v>
      </c>
      <c r="S4480" s="1"/>
      <c r="T4480" s="1" t="s">
        <v>6581</v>
      </c>
      <c r="U4480" s="1"/>
      <c r="V4480" s="1">
        <v>3.733</v>
      </c>
      <c r="W4480" s="1">
        <v>3.733</v>
      </c>
      <c r="X4480" s="1" t="s">
        <v>35</v>
      </c>
      <c r="Y4480" s="1">
        <v>3733600</v>
      </c>
      <c r="Z4480" s="1"/>
      <c r="AA4480" s="1">
        <v>3733600</v>
      </c>
      <c r="AB4480" s="1"/>
      <c r="AC4480" s="1" t="s">
        <v>36</v>
      </c>
      <c r="AD4480" s="1" t="s">
        <v>15404</v>
      </c>
      <c r="AE4480" s="1" t="s">
        <v>32</v>
      </c>
      <c r="AF4480" s="1" t="s">
        <v>33</v>
      </c>
      <c r="AG4480" s="1" t="s">
        <v>49</v>
      </c>
    </row>
    <row r="4481" spans="1:33">
      <c r="A4481" t="s">
        <v>15405</v>
      </c>
      <c r="B4481" t="s">
        <v>10830</v>
      </c>
      <c r="C4481" t="s">
        <v>47</v>
      </c>
      <c r="E4481" t="s">
        <v>14225</v>
      </c>
      <c r="F4481" t="s">
        <v>14226</v>
      </c>
      <c r="G4481">
        <v>106.74</v>
      </c>
      <c r="H4481">
        <v>106.74</v>
      </c>
      <c r="I4481" t="s">
        <v>2206</v>
      </c>
      <c r="J4481" t="s">
        <v>49</v>
      </c>
      <c r="K4481" t="s">
        <v>31</v>
      </c>
      <c r="L4481" t="s">
        <v>32</v>
      </c>
      <c r="M4481" t="s">
        <v>33</v>
      </c>
      <c r="P4481" s="1" t="s">
        <v>15406</v>
      </c>
      <c r="Q4481" s="1" t="s">
        <v>14225</v>
      </c>
      <c r="R4481" s="1" t="s">
        <v>14225</v>
      </c>
      <c r="S4481" s="1"/>
      <c r="T4481" s="1" t="s">
        <v>47</v>
      </c>
      <c r="U4481" s="1"/>
      <c r="V4481" s="1">
        <v>106.74</v>
      </c>
      <c r="W4481" s="1">
        <v>106.74</v>
      </c>
      <c r="X4481" s="1" t="s">
        <v>35</v>
      </c>
      <c r="Y4481" s="1">
        <v>106740</v>
      </c>
      <c r="Z4481" s="1"/>
      <c r="AA4481" s="1">
        <v>106740</v>
      </c>
      <c r="AB4481" s="1"/>
      <c r="AC4481" s="1" t="s">
        <v>36</v>
      </c>
      <c r="AD4481" s="1" t="s">
        <v>15401</v>
      </c>
      <c r="AE4481" s="1" t="s">
        <v>32</v>
      </c>
      <c r="AF4481" s="1" t="s">
        <v>33</v>
      </c>
      <c r="AG4481" s="1" t="s">
        <v>49</v>
      </c>
    </row>
    <row r="4482" spans="1:33">
      <c r="A4482" t="s">
        <v>15407</v>
      </c>
      <c r="C4482" t="s">
        <v>1514</v>
      </c>
      <c r="E4482" t="s">
        <v>14225</v>
      </c>
      <c r="F4482" t="s">
        <v>14226</v>
      </c>
      <c r="G4482">
        <v>58.5</v>
      </c>
      <c r="H4482">
        <v>58.5</v>
      </c>
      <c r="I4482" t="s">
        <v>2206</v>
      </c>
      <c r="J4482" t="s">
        <v>49</v>
      </c>
      <c r="K4482" t="s">
        <v>31</v>
      </c>
      <c r="L4482" t="s">
        <v>32</v>
      </c>
      <c r="M4482" t="s">
        <v>33</v>
      </c>
      <c r="P4482" s="1" t="s">
        <v>15408</v>
      </c>
      <c r="Q4482" s="1" t="s">
        <v>14225</v>
      </c>
      <c r="R4482" s="1" t="s">
        <v>14225</v>
      </c>
      <c r="S4482" s="1"/>
      <c r="T4482" s="1" t="s">
        <v>1514</v>
      </c>
      <c r="U4482" s="1"/>
      <c r="V4482" s="1">
        <v>58.5</v>
      </c>
      <c r="W4482" s="1">
        <v>58.5</v>
      </c>
      <c r="X4482" s="1" t="s">
        <v>35</v>
      </c>
      <c r="Y4482" s="1">
        <v>58500</v>
      </c>
      <c r="Z4482" s="1"/>
      <c r="AA4482" s="1">
        <v>58500</v>
      </c>
      <c r="AB4482" s="1"/>
      <c r="AC4482" s="1" t="s">
        <v>36</v>
      </c>
      <c r="AD4482" s="1" t="s">
        <v>15409</v>
      </c>
      <c r="AE4482" s="1" t="s">
        <v>32</v>
      </c>
      <c r="AF4482" s="1" t="s">
        <v>33</v>
      </c>
      <c r="AG4482" s="1" t="s">
        <v>49</v>
      </c>
    </row>
    <row r="4483" spans="1:33">
      <c r="A4483" t="s">
        <v>15410</v>
      </c>
      <c r="B4483" t="s">
        <v>15411</v>
      </c>
      <c r="C4483" t="s">
        <v>47</v>
      </c>
      <c r="E4483" t="s">
        <v>14225</v>
      </c>
      <c r="F4483" t="s">
        <v>14226</v>
      </c>
      <c r="G4483">
        <v>80.98</v>
      </c>
      <c r="H4483">
        <v>80.98</v>
      </c>
      <c r="I4483" t="s">
        <v>2206</v>
      </c>
      <c r="J4483" t="s">
        <v>49</v>
      </c>
      <c r="K4483" t="s">
        <v>31</v>
      </c>
      <c r="L4483" t="s">
        <v>32</v>
      </c>
      <c r="M4483" t="s">
        <v>33</v>
      </c>
      <c r="P4483" s="1" t="s">
        <v>15412</v>
      </c>
      <c r="Q4483" s="1" t="s">
        <v>14225</v>
      </c>
      <c r="R4483" s="1" t="s">
        <v>14225</v>
      </c>
      <c r="S4483" s="1"/>
      <c r="T4483" s="1" t="s">
        <v>47</v>
      </c>
      <c r="U4483" s="1"/>
      <c r="V4483" s="1">
        <v>80.98</v>
      </c>
      <c r="W4483" s="1">
        <v>80.98</v>
      </c>
      <c r="X4483" s="1" t="s">
        <v>35</v>
      </c>
      <c r="Y4483" s="1">
        <v>80980</v>
      </c>
      <c r="Z4483" s="1"/>
      <c r="AA4483" s="1">
        <v>80980</v>
      </c>
      <c r="AB4483" s="1"/>
      <c r="AC4483" s="1" t="s">
        <v>36</v>
      </c>
      <c r="AD4483" s="1" t="s">
        <v>15413</v>
      </c>
      <c r="AE4483" s="1" t="s">
        <v>32</v>
      </c>
      <c r="AF4483" s="1" t="s">
        <v>33</v>
      </c>
      <c r="AG4483" s="1" t="s">
        <v>49</v>
      </c>
    </row>
    <row r="4484" spans="1:33">
      <c r="A4484" t="s">
        <v>15414</v>
      </c>
      <c r="C4484" t="s">
        <v>10919</v>
      </c>
      <c r="E4484" t="s">
        <v>14225</v>
      </c>
      <c r="F4484" t="s">
        <v>14226</v>
      </c>
      <c r="G4484">
        <v>1.002</v>
      </c>
      <c r="H4484">
        <v>1.002</v>
      </c>
      <c r="I4484" t="s">
        <v>269</v>
      </c>
      <c r="J4484" t="s">
        <v>270</v>
      </c>
      <c r="K4484" t="s">
        <v>31</v>
      </c>
      <c r="L4484" t="s">
        <v>32</v>
      </c>
      <c r="M4484" t="s">
        <v>33</v>
      </c>
      <c r="P4484" s="1" t="s">
        <v>15415</v>
      </c>
      <c r="Q4484" s="1" t="s">
        <v>14225</v>
      </c>
      <c r="R4484" s="1" t="s">
        <v>14225</v>
      </c>
      <c r="S4484" s="1"/>
      <c r="T4484" s="1" t="s">
        <v>10919</v>
      </c>
      <c r="U4484" s="1"/>
      <c r="V4484" s="1">
        <v>1.002</v>
      </c>
      <c r="W4484" s="1">
        <v>1.002</v>
      </c>
      <c r="X4484" s="1" t="s">
        <v>35</v>
      </c>
      <c r="Y4484" s="1">
        <v>1002000</v>
      </c>
      <c r="Z4484" s="1"/>
      <c r="AA4484" s="1">
        <v>1002000</v>
      </c>
      <c r="AB4484" s="1"/>
      <c r="AC4484" s="1" t="s">
        <v>36</v>
      </c>
      <c r="AD4484" s="1" t="s">
        <v>15416</v>
      </c>
      <c r="AE4484" s="1" t="s">
        <v>32</v>
      </c>
      <c r="AF4484" s="1" t="s">
        <v>33</v>
      </c>
      <c r="AG4484" s="1" t="s">
        <v>270</v>
      </c>
    </row>
    <row r="4485" spans="1:33">
      <c r="A4485" t="s">
        <v>15417</v>
      </c>
      <c r="B4485" t="s">
        <v>15418</v>
      </c>
      <c r="C4485" t="s">
        <v>73</v>
      </c>
      <c r="E4485" t="s">
        <v>14225</v>
      </c>
      <c r="F4485" t="s">
        <v>14226</v>
      </c>
      <c r="G4485">
        <v>7.59</v>
      </c>
      <c r="H4485">
        <v>7.59</v>
      </c>
      <c r="I4485" t="s">
        <v>40</v>
      </c>
      <c r="J4485" t="s">
        <v>41</v>
      </c>
      <c r="K4485" t="s">
        <v>31</v>
      </c>
      <c r="L4485" t="s">
        <v>32</v>
      </c>
      <c r="M4485" t="s">
        <v>33</v>
      </c>
      <c r="P4485" s="1" t="s">
        <v>15419</v>
      </c>
      <c r="Q4485" s="1" t="s">
        <v>14225</v>
      </c>
      <c r="R4485" s="1" t="s">
        <v>10616</v>
      </c>
      <c r="S4485" s="1"/>
      <c r="T4485" s="1" t="s">
        <v>75</v>
      </c>
      <c r="U4485" s="1" t="s">
        <v>76</v>
      </c>
      <c r="V4485" s="1">
        <v>7.59</v>
      </c>
      <c r="W4485" s="1">
        <v>7.59</v>
      </c>
      <c r="X4485" s="1" t="s">
        <v>35</v>
      </c>
      <c r="Y4485" s="1">
        <v>7600</v>
      </c>
      <c r="Z4485" s="1">
        <v>-10</v>
      </c>
      <c r="AA4485" s="1">
        <v>7600</v>
      </c>
      <c r="AB4485" s="1">
        <v>-10</v>
      </c>
      <c r="AC4485" s="1" t="s">
        <v>36</v>
      </c>
      <c r="AD4485" s="1" t="s">
        <v>15420</v>
      </c>
      <c r="AE4485" s="1" t="s">
        <v>32</v>
      </c>
      <c r="AF4485" s="1" t="s">
        <v>33</v>
      </c>
      <c r="AG4485" s="1" t="s">
        <v>41</v>
      </c>
    </row>
    <row r="4486" spans="1:33">
      <c r="A4486" t="s">
        <v>15421</v>
      </c>
      <c r="B4486" t="s">
        <v>3146</v>
      </c>
      <c r="C4486" t="s">
        <v>26</v>
      </c>
      <c r="E4486" t="s">
        <v>14225</v>
      </c>
      <c r="F4486" t="s">
        <v>14226</v>
      </c>
      <c r="G4486">
        <v>5.95</v>
      </c>
      <c r="H4486">
        <v>5.95</v>
      </c>
      <c r="I4486" t="s">
        <v>29</v>
      </c>
      <c r="J4486" t="s">
        <v>30</v>
      </c>
      <c r="K4486" t="s">
        <v>31</v>
      </c>
      <c r="L4486" t="s">
        <v>32</v>
      </c>
      <c r="M4486" t="s">
        <v>33</v>
      </c>
      <c r="P4486" s="1" t="s">
        <v>15422</v>
      </c>
      <c r="Q4486" s="1" t="s">
        <v>14225</v>
      </c>
      <c r="R4486" s="1" t="s">
        <v>14225</v>
      </c>
      <c r="S4486" s="1"/>
      <c r="T4486" s="1" t="s">
        <v>26</v>
      </c>
      <c r="U4486" s="1"/>
      <c r="V4486" s="1">
        <v>5.95</v>
      </c>
      <c r="W4486" s="1">
        <v>5.95</v>
      </c>
      <c r="X4486" s="1" t="s">
        <v>35</v>
      </c>
      <c r="Y4486" s="1">
        <v>5950</v>
      </c>
      <c r="Z4486" s="1"/>
      <c r="AA4486" s="1">
        <v>5950</v>
      </c>
      <c r="AB4486" s="1"/>
      <c r="AC4486" s="1" t="s">
        <v>36</v>
      </c>
      <c r="AD4486" s="1" t="s">
        <v>15423</v>
      </c>
      <c r="AE4486" s="1" t="s">
        <v>32</v>
      </c>
      <c r="AF4486" s="1" t="s">
        <v>33</v>
      </c>
      <c r="AG4486" s="1" t="s">
        <v>30</v>
      </c>
    </row>
    <row r="4487" spans="1:33">
      <c r="A4487" t="s">
        <v>15424</v>
      </c>
      <c r="B4487" t="s">
        <v>4491</v>
      </c>
      <c r="C4487" t="s">
        <v>47</v>
      </c>
      <c r="E4487" t="s">
        <v>15359</v>
      </c>
      <c r="F4487" t="s">
        <v>10934</v>
      </c>
      <c r="G4487">
        <v>19.49</v>
      </c>
      <c r="H4487">
        <v>19.49</v>
      </c>
      <c r="I4487" t="s">
        <v>2206</v>
      </c>
      <c r="J4487" t="s">
        <v>49</v>
      </c>
      <c r="K4487" t="s">
        <v>31</v>
      </c>
      <c r="L4487" t="s">
        <v>32</v>
      </c>
      <c r="M4487" t="s">
        <v>33</v>
      </c>
      <c r="P4487" s="1" t="s">
        <v>15425</v>
      </c>
      <c r="Q4487" s="1" t="s">
        <v>14225</v>
      </c>
      <c r="R4487" s="1" t="s">
        <v>14225</v>
      </c>
      <c r="S4487" s="1"/>
      <c r="T4487" s="1" t="s">
        <v>47</v>
      </c>
      <c r="U4487" s="1"/>
      <c r="V4487" s="1">
        <v>19.49</v>
      </c>
      <c r="W4487" s="1">
        <v>19.49</v>
      </c>
      <c r="X4487" s="1" t="s">
        <v>35</v>
      </c>
      <c r="Y4487" s="1">
        <v>19490</v>
      </c>
      <c r="Z4487" s="1"/>
      <c r="AA4487" s="1">
        <v>19490</v>
      </c>
      <c r="AB4487" s="1"/>
      <c r="AC4487" s="1" t="s">
        <v>36</v>
      </c>
      <c r="AD4487" s="1" t="s">
        <v>15426</v>
      </c>
      <c r="AE4487" s="1" t="s">
        <v>32</v>
      </c>
      <c r="AF4487" s="1" t="s">
        <v>33</v>
      </c>
      <c r="AG4487" s="1" t="s">
        <v>49</v>
      </c>
    </row>
    <row r="4488" spans="1:33">
      <c r="A4488" t="s">
        <v>15427</v>
      </c>
      <c r="B4488" t="s">
        <v>3146</v>
      </c>
      <c r="C4488" t="s">
        <v>3147</v>
      </c>
      <c r="E4488" t="s">
        <v>14225</v>
      </c>
      <c r="F4488" t="s">
        <v>14226</v>
      </c>
      <c r="G4488">
        <v>504.0</v>
      </c>
      <c r="H4488">
        <v>504.0</v>
      </c>
      <c r="I4488" t="s">
        <v>29</v>
      </c>
      <c r="J4488" t="s">
        <v>30</v>
      </c>
      <c r="K4488" t="s">
        <v>31</v>
      </c>
      <c r="L4488" t="s">
        <v>32</v>
      </c>
      <c r="M4488" t="s">
        <v>33</v>
      </c>
      <c r="P4488" s="1" t="s">
        <v>15428</v>
      </c>
      <c r="Q4488" s="1" t="s">
        <v>14225</v>
      </c>
      <c r="R4488" s="1" t="s">
        <v>14225</v>
      </c>
      <c r="S4488" s="1"/>
      <c r="T4488" s="1" t="s">
        <v>3147</v>
      </c>
      <c r="U4488" s="1"/>
      <c r="V4488" s="1">
        <v>504.0</v>
      </c>
      <c r="W4488" s="1">
        <v>504.0</v>
      </c>
      <c r="X4488" s="1" t="s">
        <v>35</v>
      </c>
      <c r="Y4488" s="1">
        <v>504000</v>
      </c>
      <c r="Z4488" s="1"/>
      <c r="AA4488" s="1">
        <v>504000</v>
      </c>
      <c r="AB4488" s="1"/>
      <c r="AC4488" s="1" t="s">
        <v>36</v>
      </c>
      <c r="AD4488" s="1" t="s">
        <v>15409</v>
      </c>
      <c r="AE4488" s="1" t="s">
        <v>32</v>
      </c>
      <c r="AF4488" s="1" t="s">
        <v>33</v>
      </c>
      <c r="AG4488" s="1" t="s">
        <v>30</v>
      </c>
    </row>
    <row r="4489" spans="1:33">
      <c r="A4489" t="s">
        <v>15429</v>
      </c>
      <c r="B4489" t="s">
        <v>15430</v>
      </c>
      <c r="C4489" t="s">
        <v>47</v>
      </c>
      <c r="E4489" t="s">
        <v>14225</v>
      </c>
      <c r="F4489" t="s">
        <v>14226</v>
      </c>
      <c r="G4489">
        <v>17.79</v>
      </c>
      <c r="H4489">
        <v>17.79</v>
      </c>
      <c r="I4489" t="s">
        <v>2206</v>
      </c>
      <c r="J4489" t="s">
        <v>49</v>
      </c>
      <c r="K4489" t="s">
        <v>31</v>
      </c>
      <c r="L4489" t="s">
        <v>32</v>
      </c>
      <c r="M4489" t="s">
        <v>33</v>
      </c>
      <c r="P4489" s="1" t="s">
        <v>15431</v>
      </c>
      <c r="Q4489" s="1" t="s">
        <v>14225</v>
      </c>
      <c r="R4489" s="1" t="s">
        <v>14225</v>
      </c>
      <c r="S4489" s="1"/>
      <c r="T4489" s="1" t="s">
        <v>47</v>
      </c>
      <c r="U4489" s="1"/>
      <c r="V4489" s="1">
        <v>17.79</v>
      </c>
      <c r="W4489" s="1">
        <v>17.79</v>
      </c>
      <c r="X4489" s="1" t="s">
        <v>35</v>
      </c>
      <c r="Y4489" s="1">
        <v>17790</v>
      </c>
      <c r="Z4489" s="1"/>
      <c r="AA4489" s="1">
        <v>17790</v>
      </c>
      <c r="AB4489" s="1"/>
      <c r="AC4489" s="1" t="s">
        <v>36</v>
      </c>
      <c r="AD4489" s="1" t="s">
        <v>15432</v>
      </c>
      <c r="AE4489" s="1" t="s">
        <v>32</v>
      </c>
      <c r="AF4489" s="1" t="s">
        <v>33</v>
      </c>
      <c r="AG4489" s="1" t="s">
        <v>49</v>
      </c>
    </row>
    <row r="4490" spans="1:33">
      <c r="A4490" t="s">
        <v>15433</v>
      </c>
      <c r="B4490" t="s">
        <v>15434</v>
      </c>
      <c r="C4490" t="s">
        <v>314</v>
      </c>
      <c r="E4490" t="s">
        <v>14225</v>
      </c>
      <c r="F4490" t="s">
        <v>14226</v>
      </c>
      <c r="G4490">
        <v>19.386</v>
      </c>
      <c r="H4490">
        <v>19.386</v>
      </c>
      <c r="I4490" t="s">
        <v>179</v>
      </c>
      <c r="J4490" t="s">
        <v>180</v>
      </c>
      <c r="K4490" t="s">
        <v>31</v>
      </c>
      <c r="L4490" t="s">
        <v>32</v>
      </c>
      <c r="M4490" t="s">
        <v>33</v>
      </c>
      <c r="P4490" s="1" t="s">
        <v>15435</v>
      </c>
      <c r="Q4490" s="1" t="s">
        <v>14225</v>
      </c>
      <c r="R4490" s="1" t="s">
        <v>14225</v>
      </c>
      <c r="S4490" s="1"/>
      <c r="T4490" s="1" t="s">
        <v>314</v>
      </c>
      <c r="U4490" s="1"/>
      <c r="V4490" s="1">
        <v>19.386</v>
      </c>
      <c r="W4490" s="1">
        <v>19.386</v>
      </c>
      <c r="X4490" s="1" t="s">
        <v>35</v>
      </c>
      <c r="Y4490" s="1">
        <v>19386</v>
      </c>
      <c r="Z4490" s="1"/>
      <c r="AA4490" s="1">
        <v>19386</v>
      </c>
      <c r="AB4490" s="1"/>
      <c r="AC4490" s="1" t="s">
        <v>36</v>
      </c>
      <c r="AD4490" s="1" t="s">
        <v>15436</v>
      </c>
      <c r="AE4490" s="1" t="s">
        <v>32</v>
      </c>
      <c r="AF4490" s="1" t="s">
        <v>33</v>
      </c>
      <c r="AG4490" s="1" t="s">
        <v>180</v>
      </c>
    </row>
    <row r="4491" spans="1:33">
      <c r="A4491" t="s">
        <v>15437</v>
      </c>
      <c r="C4491" t="s">
        <v>2284</v>
      </c>
      <c r="E4491" t="s">
        <v>14225</v>
      </c>
      <c r="F4491" t="s">
        <v>14226</v>
      </c>
      <c r="G4491">
        <v>984.0</v>
      </c>
      <c r="H4491">
        <v>984.0</v>
      </c>
      <c r="I4491" t="s">
        <v>269</v>
      </c>
      <c r="J4491" t="s">
        <v>270</v>
      </c>
      <c r="K4491" t="s">
        <v>31</v>
      </c>
      <c r="L4491" t="s">
        <v>32</v>
      </c>
      <c r="M4491" t="s">
        <v>33</v>
      </c>
      <c r="P4491" s="1" t="s">
        <v>15438</v>
      </c>
      <c r="Q4491" s="1" t="s">
        <v>14225</v>
      </c>
      <c r="R4491" s="1" t="s">
        <v>14225</v>
      </c>
      <c r="S4491" s="1"/>
      <c r="T4491" s="1" t="s">
        <v>2284</v>
      </c>
      <c r="U4491" s="1"/>
      <c r="V4491" s="1">
        <v>984.0</v>
      </c>
      <c r="W4491" s="1">
        <v>984.0</v>
      </c>
      <c r="X4491" s="1" t="s">
        <v>35</v>
      </c>
      <c r="Y4491" s="1">
        <v>984000</v>
      </c>
      <c r="Z4491" s="1"/>
      <c r="AA4491" s="1">
        <v>984000</v>
      </c>
      <c r="AB4491" s="1"/>
      <c r="AC4491" s="1" t="s">
        <v>36</v>
      </c>
      <c r="AD4491" s="1" t="s">
        <v>15439</v>
      </c>
      <c r="AE4491" s="1" t="s">
        <v>32</v>
      </c>
      <c r="AF4491" s="1" t="s">
        <v>33</v>
      </c>
      <c r="AG4491" s="1" t="s">
        <v>270</v>
      </c>
    </row>
    <row r="4492" spans="1:33">
      <c r="A4492" t="s">
        <v>15440</v>
      </c>
      <c r="B4492" t="s">
        <v>15441</v>
      </c>
      <c r="C4492" t="s">
        <v>268</v>
      </c>
      <c r="E4492" t="s">
        <v>14225</v>
      </c>
      <c r="F4492" t="s">
        <v>14226</v>
      </c>
      <c r="G4492">
        <v>28.25</v>
      </c>
      <c r="H4492">
        <v>28.25</v>
      </c>
      <c r="I4492" t="s">
        <v>269</v>
      </c>
      <c r="J4492" t="s">
        <v>270</v>
      </c>
      <c r="K4492" t="s">
        <v>31</v>
      </c>
      <c r="L4492" t="s">
        <v>32</v>
      </c>
      <c r="M4492" t="s">
        <v>33</v>
      </c>
      <c r="P4492" s="1" t="s">
        <v>15442</v>
      </c>
      <c r="Q4492" s="1" t="s">
        <v>14225</v>
      </c>
      <c r="R4492" s="1" t="s">
        <v>14225</v>
      </c>
      <c r="S4492" s="1"/>
      <c r="T4492" s="1" t="s">
        <v>268</v>
      </c>
      <c r="U4492" s="1"/>
      <c r="V4492" s="1">
        <v>28.25</v>
      </c>
      <c r="W4492" s="1">
        <v>28.25</v>
      </c>
      <c r="X4492" s="1" t="s">
        <v>35</v>
      </c>
      <c r="Y4492" s="1">
        <v>28250</v>
      </c>
      <c r="Z4492" s="1"/>
      <c r="AA4492" s="1">
        <v>28250</v>
      </c>
      <c r="AB4492" s="1"/>
      <c r="AC4492" s="1" t="s">
        <v>36</v>
      </c>
      <c r="AD4492" s="1" t="s">
        <v>15443</v>
      </c>
      <c r="AE4492" s="1" t="s">
        <v>32</v>
      </c>
      <c r="AF4492" s="1" t="s">
        <v>33</v>
      </c>
      <c r="AG4492" s="1" t="s">
        <v>270</v>
      </c>
    </row>
    <row r="4493" spans="1:33">
      <c r="A4493" t="s">
        <v>15444</v>
      </c>
      <c r="B4493" t="s">
        <v>15005</v>
      </c>
      <c r="C4493" t="s">
        <v>268</v>
      </c>
      <c r="E4493" t="s">
        <v>14225</v>
      </c>
      <c r="F4493" t="s">
        <v>14226</v>
      </c>
      <c r="G4493">
        <v>169.0</v>
      </c>
      <c r="H4493">
        <v>169.0</v>
      </c>
      <c r="I4493" t="s">
        <v>269</v>
      </c>
      <c r="J4493" t="s">
        <v>270</v>
      </c>
      <c r="K4493" t="s">
        <v>31</v>
      </c>
      <c r="L4493" t="s">
        <v>32</v>
      </c>
      <c r="M4493" t="s">
        <v>33</v>
      </c>
      <c r="P4493" s="1" t="s">
        <v>15445</v>
      </c>
      <c r="Q4493" s="1" t="s">
        <v>14225</v>
      </c>
      <c r="R4493" s="1" t="s">
        <v>14225</v>
      </c>
      <c r="S4493" s="1"/>
      <c r="T4493" s="1" t="s">
        <v>268</v>
      </c>
      <c r="U4493" s="1"/>
      <c r="V4493" s="1">
        <v>169.0</v>
      </c>
      <c r="W4493" s="1">
        <v>169.0</v>
      </c>
      <c r="X4493" s="1" t="s">
        <v>35</v>
      </c>
      <c r="Y4493" s="1">
        <v>169000</v>
      </c>
      <c r="Z4493" s="1"/>
      <c r="AA4493" s="1">
        <v>169000</v>
      </c>
      <c r="AB4493" s="1"/>
      <c r="AC4493" s="1" t="s">
        <v>36</v>
      </c>
      <c r="AD4493" s="1" t="s">
        <v>15446</v>
      </c>
      <c r="AE4493" s="1" t="s">
        <v>32</v>
      </c>
      <c r="AF4493" s="1" t="s">
        <v>33</v>
      </c>
      <c r="AG4493" s="1" t="s">
        <v>270</v>
      </c>
    </row>
    <row r="4494" spans="1:33">
      <c r="A4494" t="s">
        <v>15447</v>
      </c>
      <c r="B4494" t="s">
        <v>5003</v>
      </c>
      <c r="C4494" t="s">
        <v>26</v>
      </c>
      <c r="E4494" t="s">
        <v>14225</v>
      </c>
      <c r="F4494" t="s">
        <v>14226</v>
      </c>
      <c r="G4494">
        <v>6.0</v>
      </c>
      <c r="H4494">
        <v>6.0</v>
      </c>
      <c r="I4494" t="s">
        <v>29</v>
      </c>
      <c r="J4494" t="s">
        <v>30</v>
      </c>
      <c r="K4494" t="s">
        <v>31</v>
      </c>
      <c r="L4494" t="s">
        <v>32</v>
      </c>
      <c r="M4494" t="s">
        <v>33</v>
      </c>
      <c r="P4494" s="1" t="s">
        <v>15448</v>
      </c>
      <c r="Q4494" s="1" t="s">
        <v>14225</v>
      </c>
      <c r="R4494" s="1" t="s">
        <v>14225</v>
      </c>
      <c r="S4494" s="1"/>
      <c r="T4494" s="1" t="s">
        <v>26</v>
      </c>
      <c r="U4494" s="1"/>
      <c r="V4494" s="1">
        <v>6.0</v>
      </c>
      <c r="W4494" s="1">
        <v>6.0</v>
      </c>
      <c r="X4494" s="1" t="s">
        <v>35</v>
      </c>
      <c r="Y4494" s="1">
        <v>6000</v>
      </c>
      <c r="Z4494" s="1"/>
      <c r="AA4494" s="1">
        <v>6000</v>
      </c>
      <c r="AB4494" s="1"/>
      <c r="AC4494" s="1" t="s">
        <v>36</v>
      </c>
      <c r="AD4494" s="1" t="s">
        <v>15449</v>
      </c>
      <c r="AE4494" s="1" t="s">
        <v>32</v>
      </c>
      <c r="AF4494" s="1" t="s">
        <v>33</v>
      </c>
      <c r="AG4494" s="1" t="s">
        <v>30</v>
      </c>
    </row>
    <row r="4495" spans="1:33">
      <c r="A4495" t="s">
        <v>15450</v>
      </c>
      <c r="B4495" t="s">
        <v>15451</v>
      </c>
      <c r="C4495" t="s">
        <v>47</v>
      </c>
      <c r="E4495" t="s">
        <v>14225</v>
      </c>
      <c r="F4495" t="s">
        <v>14226</v>
      </c>
      <c r="G4495">
        <v>8.0</v>
      </c>
      <c r="H4495">
        <v>8.0</v>
      </c>
      <c r="I4495" t="s">
        <v>2206</v>
      </c>
      <c r="J4495" t="s">
        <v>49</v>
      </c>
      <c r="K4495" t="s">
        <v>31</v>
      </c>
      <c r="L4495" t="s">
        <v>32</v>
      </c>
      <c r="M4495" t="s">
        <v>33</v>
      </c>
      <c r="P4495" s="1" t="s">
        <v>15452</v>
      </c>
      <c r="Q4495" s="1" t="s">
        <v>14225</v>
      </c>
      <c r="R4495" s="1" t="s">
        <v>14225</v>
      </c>
      <c r="S4495" s="1"/>
      <c r="T4495" s="1" t="s">
        <v>47</v>
      </c>
      <c r="U4495" s="1"/>
      <c r="V4495" s="1">
        <v>8.0</v>
      </c>
      <c r="W4495" s="1">
        <v>8.0</v>
      </c>
      <c r="X4495" s="1" t="s">
        <v>35</v>
      </c>
      <c r="Y4495" s="1">
        <v>8000</v>
      </c>
      <c r="Z4495" s="1"/>
      <c r="AA4495" s="1">
        <v>8000</v>
      </c>
      <c r="AB4495" s="1"/>
      <c r="AC4495" s="1" t="s">
        <v>36</v>
      </c>
      <c r="AD4495" s="1" t="s">
        <v>15453</v>
      </c>
      <c r="AE4495" s="1" t="s">
        <v>32</v>
      </c>
      <c r="AF4495" s="1" t="s">
        <v>33</v>
      </c>
      <c r="AG4495" s="1" t="s">
        <v>49</v>
      </c>
    </row>
    <row r="4496" spans="1:33">
      <c r="A4496" t="s">
        <v>15454</v>
      </c>
      <c r="C4496" t="s">
        <v>3689</v>
      </c>
      <c r="E4496" t="s">
        <v>14225</v>
      </c>
      <c r="F4496" t="s">
        <v>14226</v>
      </c>
      <c r="G4496">
        <v>352.0</v>
      </c>
      <c r="H4496">
        <v>352.0</v>
      </c>
      <c r="I4496" t="s">
        <v>179</v>
      </c>
      <c r="J4496" t="s">
        <v>180</v>
      </c>
      <c r="K4496" t="s">
        <v>31</v>
      </c>
      <c r="L4496" t="s">
        <v>32</v>
      </c>
      <c r="M4496" t="s">
        <v>33</v>
      </c>
      <c r="P4496" s="1" t="s">
        <v>15455</v>
      </c>
      <c r="Q4496" s="1" t="s">
        <v>14225</v>
      </c>
      <c r="R4496" s="1" t="s">
        <v>14225</v>
      </c>
      <c r="S4496" s="1"/>
      <c r="T4496" s="1" t="s">
        <v>3689</v>
      </c>
      <c r="U4496" s="1"/>
      <c r="V4496" s="1">
        <v>352.0</v>
      </c>
      <c r="W4496" s="1">
        <v>352.0</v>
      </c>
      <c r="X4496" s="1" t="s">
        <v>35</v>
      </c>
      <c r="Y4496" s="1">
        <v>352000</v>
      </c>
      <c r="Z4496" s="1"/>
      <c r="AA4496" s="1">
        <v>352000</v>
      </c>
      <c r="AB4496" s="1"/>
      <c r="AC4496" s="1" t="s">
        <v>36</v>
      </c>
      <c r="AD4496" s="1" t="s">
        <v>15456</v>
      </c>
      <c r="AE4496" s="1" t="s">
        <v>32</v>
      </c>
      <c r="AF4496" s="1" t="s">
        <v>33</v>
      </c>
      <c r="AG4496" s="1" t="s">
        <v>180</v>
      </c>
    </row>
    <row r="4497" spans="1:33">
      <c r="A4497" t="s">
        <v>15457</v>
      </c>
      <c r="B4497" t="s">
        <v>15458</v>
      </c>
      <c r="C4497" t="s">
        <v>268</v>
      </c>
      <c r="E4497" t="s">
        <v>14225</v>
      </c>
      <c r="F4497" t="s">
        <v>14226</v>
      </c>
      <c r="G4497">
        <v>16.9</v>
      </c>
      <c r="H4497">
        <v>16.9</v>
      </c>
      <c r="I4497" t="s">
        <v>269</v>
      </c>
      <c r="J4497" t="s">
        <v>270</v>
      </c>
      <c r="K4497" t="s">
        <v>31</v>
      </c>
      <c r="L4497" t="s">
        <v>32</v>
      </c>
      <c r="M4497" t="s">
        <v>33</v>
      </c>
      <c r="P4497" s="1" t="s">
        <v>15459</v>
      </c>
      <c r="Q4497" s="1" t="s">
        <v>14225</v>
      </c>
      <c r="R4497" s="1" t="s">
        <v>14225</v>
      </c>
      <c r="S4497" s="1"/>
      <c r="T4497" s="1" t="s">
        <v>268</v>
      </c>
      <c r="U4497" s="1"/>
      <c r="V4497" s="1">
        <v>16.9</v>
      </c>
      <c r="W4497" s="1">
        <v>16.9</v>
      </c>
      <c r="X4497" s="1" t="s">
        <v>35</v>
      </c>
      <c r="Y4497" s="1">
        <v>16900</v>
      </c>
      <c r="Z4497" s="1"/>
      <c r="AA4497" s="1">
        <v>16900</v>
      </c>
      <c r="AB4497" s="1"/>
      <c r="AC4497" s="1" t="s">
        <v>36</v>
      </c>
      <c r="AD4497" s="1" t="s">
        <v>15460</v>
      </c>
      <c r="AE4497" s="1" t="s">
        <v>32</v>
      </c>
      <c r="AF4497" s="1" t="s">
        <v>33</v>
      </c>
      <c r="AG4497" s="1" t="s">
        <v>270</v>
      </c>
    </row>
    <row r="4498" spans="1:33">
      <c r="A4498" t="s">
        <v>15461</v>
      </c>
      <c r="B4498" t="s">
        <v>12624</v>
      </c>
      <c r="C4498" t="s">
        <v>569</v>
      </c>
      <c r="E4498" t="s">
        <v>14225</v>
      </c>
      <c r="F4498" t="s">
        <v>14226</v>
      </c>
      <c r="G4498">
        <v>149.986</v>
      </c>
      <c r="H4498">
        <v>149.986</v>
      </c>
      <c r="I4498" t="s">
        <v>570</v>
      </c>
      <c r="J4498" t="s">
        <v>571</v>
      </c>
      <c r="K4498" t="s">
        <v>31</v>
      </c>
      <c r="L4498" t="s">
        <v>32</v>
      </c>
      <c r="M4498" t="s">
        <v>33</v>
      </c>
      <c r="P4498" s="1" t="s">
        <v>15462</v>
      </c>
      <c r="Q4498" s="1" t="s">
        <v>14225</v>
      </c>
      <c r="R4498" s="1" t="s">
        <v>14225</v>
      </c>
      <c r="S4498" s="1"/>
      <c r="T4498" s="1" t="s">
        <v>569</v>
      </c>
      <c r="U4498" s="1"/>
      <c r="V4498" s="1">
        <v>149.986</v>
      </c>
      <c r="W4498" s="1">
        <v>149.986</v>
      </c>
      <c r="X4498" s="1" t="s">
        <v>35</v>
      </c>
      <c r="Y4498" s="1">
        <v>149986</v>
      </c>
      <c r="Z4498" s="1"/>
      <c r="AA4498" s="1">
        <v>149986</v>
      </c>
      <c r="AB4498" s="1"/>
      <c r="AC4498" s="1" t="s">
        <v>36</v>
      </c>
      <c r="AD4498" s="1" t="s">
        <v>15463</v>
      </c>
      <c r="AE4498" s="1" t="s">
        <v>32</v>
      </c>
      <c r="AF4498" s="1" t="s">
        <v>33</v>
      </c>
      <c r="AG4498" s="1" t="s">
        <v>571</v>
      </c>
    </row>
    <row r="4499" spans="1:33">
      <c r="A4499" t="s">
        <v>15464</v>
      </c>
      <c r="C4499" t="s">
        <v>15465</v>
      </c>
      <c r="E4499" t="s">
        <v>14225</v>
      </c>
      <c r="F4499" t="s">
        <v>14226</v>
      </c>
      <c r="G4499">
        <v>984.0</v>
      </c>
      <c r="H4499">
        <v>984.0</v>
      </c>
      <c r="I4499" t="s">
        <v>269</v>
      </c>
      <c r="J4499" t="s">
        <v>270</v>
      </c>
      <c r="K4499" t="s">
        <v>31</v>
      </c>
      <c r="L4499" t="s">
        <v>32</v>
      </c>
      <c r="M4499" t="s">
        <v>33</v>
      </c>
      <c r="P4499" s="1" t="s">
        <v>15466</v>
      </c>
      <c r="Q4499" s="1" t="s">
        <v>14225</v>
      </c>
      <c r="R4499" s="1" t="s">
        <v>14225</v>
      </c>
      <c r="S4499" s="1"/>
      <c r="T4499" s="1" t="s">
        <v>15465</v>
      </c>
      <c r="U4499" s="1"/>
      <c r="V4499" s="1">
        <v>984.0</v>
      </c>
      <c r="W4499" s="1">
        <v>984.0</v>
      </c>
      <c r="X4499" s="1" t="s">
        <v>35</v>
      </c>
      <c r="Y4499" s="1">
        <v>984000</v>
      </c>
      <c r="Z4499" s="1"/>
      <c r="AA4499" s="1">
        <v>984000</v>
      </c>
      <c r="AB4499" s="1"/>
      <c r="AC4499" s="1" t="s">
        <v>36</v>
      </c>
      <c r="AD4499" s="1" t="s">
        <v>15467</v>
      </c>
      <c r="AE4499" s="1" t="s">
        <v>32</v>
      </c>
      <c r="AF4499" s="1" t="s">
        <v>33</v>
      </c>
      <c r="AG4499" s="1" t="s">
        <v>270</v>
      </c>
    </row>
    <row r="4500" spans="1:33">
      <c r="A4500" t="s">
        <v>15468</v>
      </c>
      <c r="C4500" t="s">
        <v>3871</v>
      </c>
      <c r="E4500" t="s">
        <v>14225</v>
      </c>
      <c r="F4500" t="s">
        <v>14226</v>
      </c>
      <c r="G4500">
        <v>693.5</v>
      </c>
      <c r="H4500">
        <v>693.5</v>
      </c>
      <c r="I4500" t="s">
        <v>570</v>
      </c>
      <c r="J4500" t="s">
        <v>571</v>
      </c>
      <c r="K4500" t="s">
        <v>31</v>
      </c>
      <c r="L4500" t="s">
        <v>32</v>
      </c>
      <c r="M4500" t="s">
        <v>33</v>
      </c>
      <c r="P4500" s="1" t="s">
        <v>15469</v>
      </c>
      <c r="Q4500" s="1" t="s">
        <v>14225</v>
      </c>
      <c r="R4500" s="1" t="s">
        <v>14225</v>
      </c>
      <c r="S4500" s="1"/>
      <c r="T4500" s="1" t="s">
        <v>3871</v>
      </c>
      <c r="U4500" s="1"/>
      <c r="V4500" s="1">
        <v>693.5</v>
      </c>
      <c r="W4500" s="1">
        <v>693.5</v>
      </c>
      <c r="X4500" s="1" t="s">
        <v>35</v>
      </c>
      <c r="Y4500" s="1">
        <v>693500</v>
      </c>
      <c r="Z4500" s="1"/>
      <c r="AA4500" s="1">
        <v>693500</v>
      </c>
      <c r="AB4500" s="1"/>
      <c r="AC4500" s="1" t="s">
        <v>36</v>
      </c>
      <c r="AD4500" s="1" t="s">
        <v>15470</v>
      </c>
      <c r="AE4500" s="1" t="s">
        <v>32</v>
      </c>
      <c r="AF4500" s="1" t="s">
        <v>33</v>
      </c>
      <c r="AG4500" s="1" t="s">
        <v>571</v>
      </c>
    </row>
    <row r="4501" spans="1:33">
      <c r="A4501" t="s">
        <v>15471</v>
      </c>
      <c r="B4501" t="s">
        <v>15472</v>
      </c>
      <c r="C4501" t="s">
        <v>47</v>
      </c>
      <c r="E4501" t="s">
        <v>14225</v>
      </c>
      <c r="F4501" t="s">
        <v>14226</v>
      </c>
      <c r="G4501">
        <v>21.99</v>
      </c>
      <c r="H4501">
        <v>21.99</v>
      </c>
      <c r="I4501" t="s">
        <v>2206</v>
      </c>
      <c r="J4501" t="s">
        <v>49</v>
      </c>
      <c r="K4501" t="s">
        <v>31</v>
      </c>
      <c r="L4501" t="s">
        <v>32</v>
      </c>
      <c r="M4501" t="s">
        <v>33</v>
      </c>
      <c r="P4501" s="1" t="s">
        <v>15473</v>
      </c>
      <c r="Q4501" s="1" t="s">
        <v>14225</v>
      </c>
      <c r="R4501" s="1" t="s">
        <v>14225</v>
      </c>
      <c r="S4501" s="1"/>
      <c r="T4501" s="1" t="s">
        <v>47</v>
      </c>
      <c r="U4501" s="1"/>
      <c r="V4501" s="1">
        <v>21.99</v>
      </c>
      <c r="W4501" s="1">
        <v>21.99</v>
      </c>
      <c r="X4501" s="1" t="s">
        <v>35</v>
      </c>
      <c r="Y4501" s="1">
        <v>21990</v>
      </c>
      <c r="Z4501" s="1"/>
      <c r="AA4501" s="1">
        <v>21990</v>
      </c>
      <c r="AB4501" s="1"/>
      <c r="AC4501" s="1" t="s">
        <v>36</v>
      </c>
      <c r="AD4501" s="1" t="s">
        <v>15474</v>
      </c>
      <c r="AE4501" s="1" t="s">
        <v>32</v>
      </c>
      <c r="AF4501" s="1" t="s">
        <v>33</v>
      </c>
      <c r="AG4501" s="1" t="s">
        <v>49</v>
      </c>
    </row>
    <row r="4502" spans="1:33">
      <c r="A4502" t="s">
        <v>15475</v>
      </c>
      <c r="C4502" t="s">
        <v>1197</v>
      </c>
      <c r="D4502" t="s">
        <v>154</v>
      </c>
      <c r="E4502" t="s">
        <v>14225</v>
      </c>
      <c r="F4502" t="s">
        <v>14226</v>
      </c>
      <c r="G4502">
        <v>724.0</v>
      </c>
      <c r="H4502">
        <v>724.0</v>
      </c>
      <c r="I4502" t="s">
        <v>269</v>
      </c>
      <c r="J4502" t="s">
        <v>270</v>
      </c>
      <c r="K4502" t="s">
        <v>31</v>
      </c>
      <c r="L4502" t="s">
        <v>32</v>
      </c>
      <c r="M4502" t="s">
        <v>33</v>
      </c>
      <c r="P4502" s="1" t="s">
        <v>15476</v>
      </c>
      <c r="Q4502" s="1" t="s">
        <v>14225</v>
      </c>
      <c r="R4502" s="1" t="s">
        <v>14225</v>
      </c>
      <c r="S4502" s="1"/>
      <c r="T4502" s="1" t="s">
        <v>1197</v>
      </c>
      <c r="U4502" s="1"/>
      <c r="V4502" s="1">
        <v>724.0</v>
      </c>
      <c r="W4502" s="1">
        <v>724.0</v>
      </c>
      <c r="X4502" s="1" t="s">
        <v>35</v>
      </c>
      <c r="Y4502" s="1">
        <v>724000</v>
      </c>
      <c r="Z4502" s="1"/>
      <c r="AA4502" s="1">
        <v>724000</v>
      </c>
      <c r="AB4502" s="1"/>
      <c r="AC4502" s="1" t="s">
        <v>36</v>
      </c>
      <c r="AD4502" s="1" t="s">
        <v>15453</v>
      </c>
      <c r="AE4502" s="1" t="s">
        <v>32</v>
      </c>
      <c r="AF4502" s="1" t="s">
        <v>33</v>
      </c>
      <c r="AG4502" s="1" t="s">
        <v>270</v>
      </c>
    </row>
    <row r="4503" spans="1:33">
      <c r="A4503" t="s">
        <v>15477</v>
      </c>
      <c r="C4503" t="s">
        <v>1739</v>
      </c>
      <c r="E4503" t="s">
        <v>14225</v>
      </c>
      <c r="F4503" t="s">
        <v>14226</v>
      </c>
      <c r="G4503">
        <v>367.25</v>
      </c>
      <c r="H4503">
        <v>367.25</v>
      </c>
      <c r="I4503" t="s">
        <v>2206</v>
      </c>
      <c r="J4503" t="s">
        <v>49</v>
      </c>
      <c r="K4503" t="s">
        <v>31</v>
      </c>
      <c r="L4503" t="s">
        <v>32</v>
      </c>
      <c r="M4503" t="s">
        <v>33</v>
      </c>
      <c r="P4503" s="1" t="s">
        <v>15478</v>
      </c>
      <c r="Q4503" s="1" t="s">
        <v>14225</v>
      </c>
      <c r="R4503" s="1" t="s">
        <v>14225</v>
      </c>
      <c r="S4503" s="1"/>
      <c r="T4503" s="1" t="s">
        <v>1739</v>
      </c>
      <c r="U4503" s="1"/>
      <c r="V4503" s="1">
        <v>367.25</v>
      </c>
      <c r="W4503" s="1">
        <v>367.25</v>
      </c>
      <c r="X4503" s="1" t="s">
        <v>35</v>
      </c>
      <c r="Y4503" s="1">
        <v>367250</v>
      </c>
      <c r="Z4503" s="1"/>
      <c r="AA4503" s="1">
        <v>367250</v>
      </c>
      <c r="AB4503" s="1"/>
      <c r="AC4503" s="1" t="s">
        <v>36</v>
      </c>
      <c r="AD4503" s="1" t="s">
        <v>15479</v>
      </c>
      <c r="AE4503" s="1" t="s">
        <v>32</v>
      </c>
      <c r="AF4503" s="1" t="s">
        <v>33</v>
      </c>
      <c r="AG4503" s="1" t="s">
        <v>49</v>
      </c>
    </row>
    <row r="4504" spans="1:33">
      <c r="A4504" t="s">
        <v>15480</v>
      </c>
      <c r="B4504" t="s">
        <v>15481</v>
      </c>
      <c r="C4504" t="s">
        <v>314</v>
      </c>
      <c r="E4504" t="s">
        <v>14225</v>
      </c>
      <c r="F4504" t="s">
        <v>14226</v>
      </c>
      <c r="G4504">
        <v>18.49</v>
      </c>
      <c r="H4504">
        <v>18.49</v>
      </c>
      <c r="I4504" t="s">
        <v>179</v>
      </c>
      <c r="J4504" t="s">
        <v>180</v>
      </c>
      <c r="K4504" t="s">
        <v>31</v>
      </c>
      <c r="L4504" t="s">
        <v>32</v>
      </c>
      <c r="M4504" t="s">
        <v>33</v>
      </c>
      <c r="P4504" s="1" t="s">
        <v>15482</v>
      </c>
      <c r="Q4504" s="1" t="s">
        <v>14225</v>
      </c>
      <c r="R4504" s="1" t="s">
        <v>14225</v>
      </c>
      <c r="S4504" s="1"/>
      <c r="T4504" s="1" t="s">
        <v>314</v>
      </c>
      <c r="U4504" s="1"/>
      <c r="V4504" s="1">
        <v>18.49</v>
      </c>
      <c r="W4504" s="1">
        <v>18.49</v>
      </c>
      <c r="X4504" s="1" t="s">
        <v>35</v>
      </c>
      <c r="Y4504" s="1">
        <v>18490</v>
      </c>
      <c r="Z4504" s="1"/>
      <c r="AA4504" s="1">
        <v>18490</v>
      </c>
      <c r="AB4504" s="1"/>
      <c r="AC4504" s="1" t="s">
        <v>36</v>
      </c>
      <c r="AD4504" s="1" t="s">
        <v>15483</v>
      </c>
      <c r="AE4504" s="1" t="s">
        <v>32</v>
      </c>
      <c r="AF4504" s="1" t="s">
        <v>33</v>
      </c>
      <c r="AG4504" s="1" t="s">
        <v>180</v>
      </c>
    </row>
    <row r="4505" spans="1:33">
      <c r="A4505" t="s">
        <v>15484</v>
      </c>
      <c r="B4505" t="s">
        <v>15485</v>
      </c>
      <c r="C4505" t="s">
        <v>569</v>
      </c>
      <c r="E4505" t="s">
        <v>14225</v>
      </c>
      <c r="F4505" t="s">
        <v>14226</v>
      </c>
      <c r="G4505">
        <v>20.99</v>
      </c>
      <c r="H4505">
        <v>20.99</v>
      </c>
      <c r="I4505" t="s">
        <v>570</v>
      </c>
      <c r="J4505" t="s">
        <v>571</v>
      </c>
      <c r="K4505" t="s">
        <v>31</v>
      </c>
      <c r="L4505" t="s">
        <v>32</v>
      </c>
      <c r="M4505" t="s">
        <v>33</v>
      </c>
      <c r="P4505" s="1" t="s">
        <v>15486</v>
      </c>
      <c r="Q4505" s="1" t="s">
        <v>14225</v>
      </c>
      <c r="R4505" s="1" t="s">
        <v>14225</v>
      </c>
      <c r="S4505" s="1"/>
      <c r="T4505" s="1" t="s">
        <v>569</v>
      </c>
      <c r="U4505" s="1"/>
      <c r="V4505" s="1">
        <v>20.99</v>
      </c>
      <c r="W4505" s="1">
        <v>20.99</v>
      </c>
      <c r="X4505" s="1" t="s">
        <v>35</v>
      </c>
      <c r="Y4505" s="1">
        <v>20990</v>
      </c>
      <c r="Z4505" s="1"/>
      <c r="AA4505" s="1">
        <v>20990</v>
      </c>
      <c r="AB4505" s="1"/>
      <c r="AC4505" s="1" t="s">
        <v>36</v>
      </c>
      <c r="AD4505" s="1" t="s">
        <v>15479</v>
      </c>
      <c r="AE4505" s="1" t="s">
        <v>32</v>
      </c>
      <c r="AF4505" s="1" t="s">
        <v>33</v>
      </c>
      <c r="AG4505" s="1" t="s">
        <v>571</v>
      </c>
    </row>
    <row r="4506" spans="1:33">
      <c r="A4506" t="s">
        <v>15487</v>
      </c>
      <c r="B4506" t="s">
        <v>13247</v>
      </c>
      <c r="C4506" t="s">
        <v>569</v>
      </c>
      <c r="E4506" t="s">
        <v>14225</v>
      </c>
      <c r="F4506" t="s">
        <v>14226</v>
      </c>
      <c r="G4506">
        <v>17.79</v>
      </c>
      <c r="H4506">
        <v>17.79</v>
      </c>
      <c r="I4506" t="s">
        <v>570</v>
      </c>
      <c r="J4506" t="s">
        <v>571</v>
      </c>
      <c r="K4506" t="s">
        <v>31</v>
      </c>
      <c r="L4506" t="s">
        <v>32</v>
      </c>
      <c r="M4506" t="s">
        <v>33</v>
      </c>
      <c r="P4506" s="1" t="s">
        <v>15488</v>
      </c>
      <c r="Q4506" s="1" t="s">
        <v>14225</v>
      </c>
      <c r="R4506" s="1" t="s">
        <v>14225</v>
      </c>
      <c r="S4506" s="1"/>
      <c r="T4506" s="1" t="s">
        <v>569</v>
      </c>
      <c r="U4506" s="1"/>
      <c r="V4506" s="1">
        <v>17.79</v>
      </c>
      <c r="W4506" s="1">
        <v>17.79</v>
      </c>
      <c r="X4506" s="1" t="s">
        <v>35</v>
      </c>
      <c r="Y4506" s="1">
        <v>17790</v>
      </c>
      <c r="Z4506" s="1"/>
      <c r="AA4506" s="1">
        <v>17790</v>
      </c>
      <c r="AB4506" s="1"/>
      <c r="AC4506" s="1" t="s">
        <v>36</v>
      </c>
      <c r="AD4506" s="1" t="s">
        <v>15489</v>
      </c>
      <c r="AE4506" s="1" t="s">
        <v>32</v>
      </c>
      <c r="AF4506" s="1" t="s">
        <v>33</v>
      </c>
      <c r="AG4506" s="1" t="s">
        <v>571</v>
      </c>
    </row>
    <row r="4507" spans="1:33">
      <c r="A4507" t="s">
        <v>15490</v>
      </c>
      <c r="C4507" t="s">
        <v>2247</v>
      </c>
      <c r="D4507" t="s">
        <v>154</v>
      </c>
      <c r="E4507" t="s">
        <v>14225</v>
      </c>
      <c r="F4507" t="s">
        <v>14226</v>
      </c>
      <c r="G4507">
        <v>2.137</v>
      </c>
      <c r="H4507">
        <v>2.137</v>
      </c>
      <c r="I4507" t="s">
        <v>269</v>
      </c>
      <c r="J4507" t="s">
        <v>270</v>
      </c>
      <c r="K4507" t="s">
        <v>31</v>
      </c>
      <c r="L4507" t="s">
        <v>32</v>
      </c>
      <c r="M4507" t="s">
        <v>33</v>
      </c>
      <c r="P4507" s="1" t="s">
        <v>15491</v>
      </c>
      <c r="Q4507" s="1" t="s">
        <v>14225</v>
      </c>
      <c r="R4507" s="1" t="s">
        <v>14225</v>
      </c>
      <c r="S4507" s="1"/>
      <c r="T4507" s="1" t="s">
        <v>2247</v>
      </c>
      <c r="U4507" s="1"/>
      <c r="V4507" s="1">
        <v>2.137</v>
      </c>
      <c r="W4507" s="1">
        <v>2.137</v>
      </c>
      <c r="X4507" s="1" t="s">
        <v>35</v>
      </c>
      <c r="Y4507" s="1">
        <v>2137000</v>
      </c>
      <c r="Z4507" s="1"/>
      <c r="AA4507" s="1">
        <v>2137000</v>
      </c>
      <c r="AB4507" s="1"/>
      <c r="AC4507" s="1" t="s">
        <v>36</v>
      </c>
      <c r="AD4507" s="1" t="s">
        <v>15492</v>
      </c>
      <c r="AE4507" s="1" t="s">
        <v>32</v>
      </c>
      <c r="AF4507" s="1" t="s">
        <v>33</v>
      </c>
      <c r="AG4507" s="1" t="s">
        <v>270</v>
      </c>
    </row>
    <row r="4508" spans="1:33">
      <c r="A4508" t="s">
        <v>15493</v>
      </c>
      <c r="B4508" t="s">
        <v>2920</v>
      </c>
      <c r="C4508" t="s">
        <v>2921</v>
      </c>
      <c r="E4508" t="s">
        <v>14225</v>
      </c>
      <c r="F4508" t="s">
        <v>14226</v>
      </c>
      <c r="G4508">
        <v>4.63</v>
      </c>
      <c r="H4508">
        <v>4.63</v>
      </c>
      <c r="I4508" t="s">
        <v>40</v>
      </c>
      <c r="J4508" t="s">
        <v>41</v>
      </c>
      <c r="K4508" t="s">
        <v>31</v>
      </c>
      <c r="L4508" t="s">
        <v>32</v>
      </c>
      <c r="M4508" t="s">
        <v>33</v>
      </c>
      <c r="P4508" s="1" t="s">
        <v>15494</v>
      </c>
      <c r="Q4508" s="1" t="s">
        <v>14225</v>
      </c>
      <c r="R4508" s="1" t="s">
        <v>10616</v>
      </c>
      <c r="S4508" s="1"/>
      <c r="T4508" s="1" t="s">
        <v>2921</v>
      </c>
      <c r="U4508" s="1"/>
      <c r="V4508" s="1">
        <v>4.63</v>
      </c>
      <c r="W4508" s="1">
        <v>4.63</v>
      </c>
      <c r="X4508" s="1" t="s">
        <v>35</v>
      </c>
      <c r="Y4508" s="1">
        <v>4630000</v>
      </c>
      <c r="Z4508" s="1"/>
      <c r="AA4508" s="1">
        <v>4630000</v>
      </c>
      <c r="AB4508" s="1"/>
      <c r="AC4508" s="1" t="s">
        <v>36</v>
      </c>
      <c r="AD4508" s="1" t="s">
        <v>15097</v>
      </c>
      <c r="AE4508" s="1" t="s">
        <v>32</v>
      </c>
      <c r="AF4508" s="1" t="s">
        <v>33</v>
      </c>
      <c r="AG4508" s="1" t="s">
        <v>41</v>
      </c>
    </row>
    <row r="4509" spans="1:33">
      <c r="A4509" t="s">
        <v>15495</v>
      </c>
      <c r="C4509" t="s">
        <v>4484</v>
      </c>
      <c r="E4509" t="s">
        <v>14225</v>
      </c>
      <c r="F4509" t="s">
        <v>14226</v>
      </c>
      <c r="G4509">
        <v>1.092</v>
      </c>
      <c r="H4509">
        <v>1.092</v>
      </c>
      <c r="I4509" t="s">
        <v>126</v>
      </c>
      <c r="J4509" t="s">
        <v>127</v>
      </c>
      <c r="K4509" t="s">
        <v>31</v>
      </c>
      <c r="L4509" t="s">
        <v>32</v>
      </c>
      <c r="M4509" t="s">
        <v>33</v>
      </c>
      <c r="P4509" s="1" t="s">
        <v>15496</v>
      </c>
      <c r="Q4509" s="1" t="s">
        <v>14225</v>
      </c>
      <c r="R4509" s="1" t="s">
        <v>14225</v>
      </c>
      <c r="S4509" s="1"/>
      <c r="T4509" s="1" t="s">
        <v>4484</v>
      </c>
      <c r="U4509" s="1"/>
      <c r="V4509" s="1">
        <v>1.092</v>
      </c>
      <c r="W4509" s="1">
        <v>1.092</v>
      </c>
      <c r="X4509" s="1" t="s">
        <v>35</v>
      </c>
      <c r="Y4509" s="1">
        <v>1092000</v>
      </c>
      <c r="Z4509" s="1"/>
      <c r="AA4509" s="1">
        <v>952000</v>
      </c>
      <c r="AB4509" s="1">
        <v>140000</v>
      </c>
      <c r="AC4509" s="1" t="s">
        <v>36</v>
      </c>
      <c r="AD4509" s="1" t="s">
        <v>15202</v>
      </c>
      <c r="AE4509" s="1" t="s">
        <v>32</v>
      </c>
      <c r="AF4509" s="1" t="s">
        <v>33</v>
      </c>
      <c r="AG4509" s="1" t="s">
        <v>127</v>
      </c>
    </row>
    <row r="4510" spans="1:33">
      <c r="A4510" t="s">
        <v>15497</v>
      </c>
      <c r="B4510" t="s">
        <v>2168</v>
      </c>
      <c r="C4510" t="s">
        <v>314</v>
      </c>
      <c r="E4510" t="s">
        <v>14225</v>
      </c>
      <c r="F4510" t="s">
        <v>14226</v>
      </c>
      <c r="G4510">
        <v>20.99</v>
      </c>
      <c r="H4510">
        <v>20.99</v>
      </c>
      <c r="I4510" t="s">
        <v>179</v>
      </c>
      <c r="J4510" t="s">
        <v>180</v>
      </c>
      <c r="K4510" t="s">
        <v>31</v>
      </c>
      <c r="L4510" t="s">
        <v>32</v>
      </c>
      <c r="M4510" t="s">
        <v>33</v>
      </c>
      <c r="P4510" s="1" t="s">
        <v>15498</v>
      </c>
      <c r="Q4510" s="1" t="s">
        <v>14225</v>
      </c>
      <c r="R4510" s="1" t="s">
        <v>14225</v>
      </c>
      <c r="S4510" s="1"/>
      <c r="T4510" s="1" t="s">
        <v>314</v>
      </c>
      <c r="U4510" s="1"/>
      <c r="V4510" s="1">
        <v>20.99</v>
      </c>
      <c r="W4510" s="1">
        <v>20.99</v>
      </c>
      <c r="X4510" s="1" t="s">
        <v>35</v>
      </c>
      <c r="Y4510" s="1">
        <v>20990</v>
      </c>
      <c r="Z4510" s="1"/>
      <c r="AA4510" s="1">
        <v>20990</v>
      </c>
      <c r="AB4510" s="1"/>
      <c r="AC4510" s="1" t="s">
        <v>36</v>
      </c>
      <c r="AD4510" s="1" t="s">
        <v>15499</v>
      </c>
      <c r="AE4510" s="1" t="s">
        <v>32</v>
      </c>
      <c r="AF4510" s="1" t="s">
        <v>33</v>
      </c>
      <c r="AG4510" s="1" t="s">
        <v>180</v>
      </c>
    </row>
    <row r="4511" spans="1:33">
      <c r="A4511" t="s">
        <v>15500</v>
      </c>
      <c r="C4511" t="s">
        <v>595</v>
      </c>
      <c r="E4511" t="s">
        <v>14225</v>
      </c>
      <c r="F4511" t="s">
        <v>14226</v>
      </c>
      <c r="G4511">
        <v>328.0</v>
      </c>
      <c r="H4511">
        <v>328.0</v>
      </c>
      <c r="I4511" t="s">
        <v>269</v>
      </c>
      <c r="J4511" t="s">
        <v>270</v>
      </c>
      <c r="K4511" t="s">
        <v>31</v>
      </c>
      <c r="L4511" t="s">
        <v>32</v>
      </c>
      <c r="M4511" t="s">
        <v>33</v>
      </c>
      <c r="P4511" s="1" t="s">
        <v>15501</v>
      </c>
      <c r="Q4511" s="1" t="s">
        <v>14225</v>
      </c>
      <c r="R4511" s="1" t="s">
        <v>14225</v>
      </c>
      <c r="S4511" s="1"/>
      <c r="T4511" s="1" t="s">
        <v>595</v>
      </c>
      <c r="U4511" s="1"/>
      <c r="V4511" s="1">
        <v>328.0</v>
      </c>
      <c r="W4511" s="1">
        <v>328.0</v>
      </c>
      <c r="X4511" s="1" t="s">
        <v>35</v>
      </c>
      <c r="Y4511" s="1">
        <v>328000</v>
      </c>
      <c r="Z4511" s="1"/>
      <c r="AA4511" s="1">
        <v>328000</v>
      </c>
      <c r="AB4511" s="1"/>
      <c r="AC4511" s="1" t="s">
        <v>36</v>
      </c>
      <c r="AD4511" s="1" t="s">
        <v>15502</v>
      </c>
      <c r="AE4511" s="1" t="s">
        <v>32</v>
      </c>
      <c r="AF4511" s="1" t="s">
        <v>33</v>
      </c>
      <c r="AG4511" s="1" t="s">
        <v>270</v>
      </c>
    </row>
    <row r="4512" spans="1:33">
      <c r="A4512" t="s">
        <v>15503</v>
      </c>
      <c r="C4512" t="s">
        <v>595</v>
      </c>
      <c r="E4512" t="s">
        <v>14225</v>
      </c>
      <c r="F4512" t="s">
        <v>14226</v>
      </c>
      <c r="G4512">
        <v>970.0</v>
      </c>
      <c r="H4512">
        <v>970.0</v>
      </c>
      <c r="I4512" t="s">
        <v>269</v>
      </c>
      <c r="J4512" t="s">
        <v>270</v>
      </c>
      <c r="K4512" t="s">
        <v>31</v>
      </c>
      <c r="L4512" t="s">
        <v>32</v>
      </c>
      <c r="M4512" t="s">
        <v>33</v>
      </c>
      <c r="P4512" s="1" t="s">
        <v>15504</v>
      </c>
      <c r="Q4512" s="1" t="s">
        <v>14225</v>
      </c>
      <c r="R4512" s="1" t="s">
        <v>14225</v>
      </c>
      <c r="S4512" s="1"/>
      <c r="T4512" s="1" t="s">
        <v>595</v>
      </c>
      <c r="U4512" s="1"/>
      <c r="V4512" s="1">
        <v>970.0</v>
      </c>
      <c r="W4512" s="1">
        <v>970.0</v>
      </c>
      <c r="X4512" s="1" t="s">
        <v>35</v>
      </c>
      <c r="Y4512" s="1">
        <v>970000</v>
      </c>
      <c r="Z4512" s="1"/>
      <c r="AA4512" s="1">
        <v>970000</v>
      </c>
      <c r="AB4512" s="1"/>
      <c r="AC4512" s="1" t="s">
        <v>36</v>
      </c>
      <c r="AD4512" s="1" t="s">
        <v>15505</v>
      </c>
      <c r="AE4512" s="1" t="s">
        <v>32</v>
      </c>
      <c r="AF4512" s="1" t="s">
        <v>33</v>
      </c>
      <c r="AG4512" s="1" t="s">
        <v>270</v>
      </c>
    </row>
    <row r="4513" spans="1:33">
      <c r="A4513" t="s">
        <v>15506</v>
      </c>
      <c r="C4513" t="s">
        <v>15507</v>
      </c>
      <c r="E4513" t="s">
        <v>14225</v>
      </c>
      <c r="F4513" t="s">
        <v>14226</v>
      </c>
      <c r="G4513">
        <v>410.0</v>
      </c>
      <c r="H4513">
        <v>410.0</v>
      </c>
      <c r="I4513" t="s">
        <v>269</v>
      </c>
      <c r="J4513" t="s">
        <v>270</v>
      </c>
      <c r="K4513" t="s">
        <v>31</v>
      </c>
      <c r="L4513" t="s">
        <v>32</v>
      </c>
      <c r="M4513" t="s">
        <v>33</v>
      </c>
      <c r="P4513" s="1" t="s">
        <v>15508</v>
      </c>
      <c r="Q4513" s="1" t="s">
        <v>14225</v>
      </c>
      <c r="R4513" s="1" t="s">
        <v>14225</v>
      </c>
      <c r="S4513" s="1"/>
      <c r="T4513" s="1" t="s">
        <v>15509</v>
      </c>
      <c r="U4513" s="1" t="s">
        <v>15510</v>
      </c>
      <c r="V4513" s="1">
        <v>410.0</v>
      </c>
      <c r="W4513" s="1">
        <v>410.0</v>
      </c>
      <c r="X4513" s="1" t="s">
        <v>35</v>
      </c>
      <c r="Y4513" s="1">
        <v>410000</v>
      </c>
      <c r="Z4513" s="1"/>
      <c r="AA4513" s="1">
        <v>410000</v>
      </c>
      <c r="AB4513" s="1"/>
      <c r="AC4513" s="1" t="s">
        <v>36</v>
      </c>
      <c r="AD4513" s="1" t="s">
        <v>15511</v>
      </c>
      <c r="AE4513" s="1" t="s">
        <v>32</v>
      </c>
      <c r="AF4513" s="1" t="s">
        <v>33</v>
      </c>
      <c r="AG4513" s="1" t="s">
        <v>270</v>
      </c>
    </row>
    <row r="4514" spans="1:33">
      <c r="A4514" t="s">
        <v>15512</v>
      </c>
      <c r="C4514" t="s">
        <v>1998</v>
      </c>
      <c r="E4514" t="s">
        <v>14225</v>
      </c>
      <c r="F4514" t="s">
        <v>14226</v>
      </c>
      <c r="G4514">
        <v>993.5</v>
      </c>
      <c r="H4514">
        <v>993.5</v>
      </c>
      <c r="I4514" t="s">
        <v>269</v>
      </c>
      <c r="J4514" t="s">
        <v>270</v>
      </c>
      <c r="K4514" t="s">
        <v>31</v>
      </c>
      <c r="L4514" t="s">
        <v>32</v>
      </c>
      <c r="M4514" t="s">
        <v>33</v>
      </c>
      <c r="P4514" s="1" t="s">
        <v>15513</v>
      </c>
      <c r="Q4514" s="1" t="s">
        <v>14225</v>
      </c>
      <c r="R4514" s="1" t="s">
        <v>14225</v>
      </c>
      <c r="S4514" s="1"/>
      <c r="T4514" s="1" t="s">
        <v>2000</v>
      </c>
      <c r="U4514" s="1" t="s">
        <v>2001</v>
      </c>
      <c r="V4514" s="1">
        <v>993.5</v>
      </c>
      <c r="W4514" s="1">
        <v>993.5</v>
      </c>
      <c r="X4514" s="1" t="s">
        <v>35</v>
      </c>
      <c r="Y4514" s="1">
        <v>993500</v>
      </c>
      <c r="Z4514" s="1"/>
      <c r="AA4514" s="1">
        <v>993500</v>
      </c>
      <c r="AB4514" s="1"/>
      <c r="AC4514" s="1" t="s">
        <v>36</v>
      </c>
      <c r="AD4514" s="1" t="s">
        <v>15514</v>
      </c>
      <c r="AE4514" s="1" t="s">
        <v>32</v>
      </c>
      <c r="AF4514" s="1" t="s">
        <v>33</v>
      </c>
      <c r="AG4514" s="1" t="s">
        <v>270</v>
      </c>
    </row>
    <row r="4515" spans="1:33">
      <c r="A4515" t="s">
        <v>15515</v>
      </c>
      <c r="C4515" t="s">
        <v>586</v>
      </c>
      <c r="E4515" t="s">
        <v>14225</v>
      </c>
      <c r="F4515" t="s">
        <v>14226</v>
      </c>
      <c r="G4515">
        <v>35.0</v>
      </c>
      <c r="H4515">
        <v>35.0</v>
      </c>
      <c r="I4515" t="s">
        <v>269</v>
      </c>
      <c r="J4515" t="s">
        <v>270</v>
      </c>
      <c r="K4515" t="s">
        <v>31</v>
      </c>
      <c r="L4515" t="s">
        <v>32</v>
      </c>
      <c r="M4515" t="s">
        <v>33</v>
      </c>
      <c r="P4515" s="1" t="s">
        <v>15516</v>
      </c>
      <c r="Q4515" s="1" t="s">
        <v>14225</v>
      </c>
      <c r="R4515" s="1" t="s">
        <v>14225</v>
      </c>
      <c r="S4515" s="1"/>
      <c r="T4515" s="1" t="s">
        <v>586</v>
      </c>
      <c r="U4515" s="1"/>
      <c r="V4515" s="1">
        <v>35.0</v>
      </c>
      <c r="W4515" s="1">
        <v>35.0</v>
      </c>
      <c r="X4515" s="1" t="s">
        <v>35</v>
      </c>
      <c r="Y4515" s="1">
        <v>35000</v>
      </c>
      <c r="Z4515" s="1"/>
      <c r="AA4515" s="1">
        <v>35000</v>
      </c>
      <c r="AB4515" s="1"/>
      <c r="AC4515" s="1" t="s">
        <v>36</v>
      </c>
      <c r="AD4515" s="1" t="s">
        <v>15517</v>
      </c>
      <c r="AE4515" s="1" t="s">
        <v>32</v>
      </c>
      <c r="AF4515" s="1" t="s">
        <v>33</v>
      </c>
      <c r="AG4515" s="1" t="s">
        <v>270</v>
      </c>
    </row>
    <row r="4516" spans="1:33">
      <c r="A4516" t="s">
        <v>15518</v>
      </c>
      <c r="B4516" t="s">
        <v>15519</v>
      </c>
      <c r="C4516" t="s">
        <v>268</v>
      </c>
      <c r="E4516" t="s">
        <v>14225</v>
      </c>
      <c r="F4516" t="s">
        <v>14226</v>
      </c>
      <c r="G4516">
        <v>49.75</v>
      </c>
      <c r="H4516">
        <v>49.75</v>
      </c>
      <c r="I4516" t="s">
        <v>269</v>
      </c>
      <c r="J4516" t="s">
        <v>270</v>
      </c>
      <c r="K4516" t="s">
        <v>31</v>
      </c>
      <c r="L4516" t="s">
        <v>32</v>
      </c>
      <c r="M4516" t="s">
        <v>33</v>
      </c>
      <c r="P4516" s="1" t="s">
        <v>15520</v>
      </c>
      <c r="Q4516" s="1" t="s">
        <v>14225</v>
      </c>
      <c r="R4516" s="1" t="s">
        <v>14225</v>
      </c>
      <c r="S4516" s="1"/>
      <c r="T4516" s="1" t="s">
        <v>268</v>
      </c>
      <c r="U4516" s="1"/>
      <c r="V4516" s="1">
        <v>49.75</v>
      </c>
      <c r="W4516" s="1">
        <v>49.75</v>
      </c>
      <c r="X4516" s="1" t="s">
        <v>35</v>
      </c>
      <c r="Y4516" s="1">
        <v>49750</v>
      </c>
      <c r="Z4516" s="1"/>
      <c r="AA4516" s="1">
        <v>49750</v>
      </c>
      <c r="AB4516" s="1"/>
      <c r="AC4516" s="1" t="s">
        <v>36</v>
      </c>
      <c r="AD4516" s="1" t="s">
        <v>15521</v>
      </c>
      <c r="AE4516" s="1" t="s">
        <v>32</v>
      </c>
      <c r="AF4516" s="1" t="s">
        <v>33</v>
      </c>
      <c r="AG4516" s="1" t="s">
        <v>270</v>
      </c>
    </row>
    <row r="4517" spans="1:33">
      <c r="A4517" t="s">
        <v>15522</v>
      </c>
      <c r="C4517" t="s">
        <v>1079</v>
      </c>
      <c r="D4517" t="s">
        <v>114</v>
      </c>
      <c r="E4517" t="s">
        <v>14225</v>
      </c>
      <c r="F4517" t="s">
        <v>14226</v>
      </c>
      <c r="G4517">
        <v>2.81</v>
      </c>
      <c r="H4517">
        <v>2.81</v>
      </c>
      <c r="I4517" t="s">
        <v>269</v>
      </c>
      <c r="J4517" t="s">
        <v>270</v>
      </c>
      <c r="K4517" t="s">
        <v>31</v>
      </c>
      <c r="L4517" t="s">
        <v>32</v>
      </c>
      <c r="M4517" t="s">
        <v>33</v>
      </c>
      <c r="P4517" s="1" t="s">
        <v>15523</v>
      </c>
      <c r="Q4517" s="1" t="s">
        <v>14225</v>
      </c>
      <c r="R4517" s="1" t="s">
        <v>14225</v>
      </c>
      <c r="S4517" s="1"/>
      <c r="T4517" s="1" t="s">
        <v>1079</v>
      </c>
      <c r="U4517" s="1"/>
      <c r="V4517" s="1">
        <v>2.81</v>
      </c>
      <c r="W4517" s="1">
        <v>2.81</v>
      </c>
      <c r="X4517" s="1" t="s">
        <v>35</v>
      </c>
      <c r="Y4517" s="1">
        <v>2810500</v>
      </c>
      <c r="Z4517" s="1"/>
      <c r="AA4517" s="1">
        <v>2810500</v>
      </c>
      <c r="AB4517" s="1"/>
      <c r="AC4517" s="1" t="s">
        <v>36</v>
      </c>
      <c r="AD4517" s="1" t="s">
        <v>15524</v>
      </c>
      <c r="AE4517" s="1" t="s">
        <v>32</v>
      </c>
      <c r="AF4517" s="1" t="s">
        <v>33</v>
      </c>
      <c r="AG4517" s="1" t="s">
        <v>270</v>
      </c>
    </row>
    <row r="4518" spans="1:33">
      <c r="A4518" t="s">
        <v>15525</v>
      </c>
      <c r="B4518" t="s">
        <v>15526</v>
      </c>
      <c r="C4518" t="s">
        <v>172</v>
      </c>
      <c r="E4518" t="s">
        <v>14225</v>
      </c>
      <c r="F4518" t="s">
        <v>14226</v>
      </c>
      <c r="G4518">
        <v>219.9</v>
      </c>
      <c r="H4518">
        <v>219.9</v>
      </c>
      <c r="I4518" t="s">
        <v>173</v>
      </c>
      <c r="J4518" t="s">
        <v>174</v>
      </c>
      <c r="K4518" t="s">
        <v>31</v>
      </c>
      <c r="L4518" t="s">
        <v>32</v>
      </c>
      <c r="M4518" t="s">
        <v>33</v>
      </c>
      <c r="P4518" s="1" t="s">
        <v>15527</v>
      </c>
      <c r="Q4518" s="1" t="s">
        <v>14225</v>
      </c>
      <c r="R4518" s="1" t="s">
        <v>14225</v>
      </c>
      <c r="S4518" s="1"/>
      <c r="T4518" s="1" t="s">
        <v>172</v>
      </c>
      <c r="U4518" s="1"/>
      <c r="V4518" s="1">
        <v>219.9</v>
      </c>
      <c r="W4518" s="1">
        <v>219.9</v>
      </c>
      <c r="X4518" s="1" t="s">
        <v>35</v>
      </c>
      <c r="Y4518" s="1">
        <v>219900</v>
      </c>
      <c r="Z4518" s="1"/>
      <c r="AA4518" s="1">
        <v>219900</v>
      </c>
      <c r="AB4518" s="1"/>
      <c r="AC4518" s="1" t="s">
        <v>36</v>
      </c>
      <c r="AD4518" s="1" t="s">
        <v>15502</v>
      </c>
      <c r="AE4518" s="1" t="s">
        <v>32</v>
      </c>
      <c r="AF4518" s="1" t="s">
        <v>33</v>
      </c>
      <c r="AG4518" s="1" t="s">
        <v>174</v>
      </c>
    </row>
    <row r="4519" spans="1:33">
      <c r="A4519" t="s">
        <v>15528</v>
      </c>
      <c r="B4519" t="s">
        <v>4820</v>
      </c>
      <c r="C4519" t="s">
        <v>125</v>
      </c>
      <c r="E4519" t="s">
        <v>14225</v>
      </c>
      <c r="F4519" t="s">
        <v>14226</v>
      </c>
      <c r="G4519">
        <v>26.48</v>
      </c>
      <c r="H4519">
        <v>26.48</v>
      </c>
      <c r="I4519" t="s">
        <v>126</v>
      </c>
      <c r="J4519" t="s">
        <v>127</v>
      </c>
      <c r="K4519" t="s">
        <v>31</v>
      </c>
      <c r="L4519" t="s">
        <v>32</v>
      </c>
      <c r="M4519" t="s">
        <v>33</v>
      </c>
      <c r="P4519" s="1" t="s">
        <v>15529</v>
      </c>
      <c r="Q4519" s="1" t="s">
        <v>14225</v>
      </c>
      <c r="R4519" s="1" t="s">
        <v>14225</v>
      </c>
      <c r="S4519" s="1"/>
      <c r="T4519" s="1" t="s">
        <v>125</v>
      </c>
      <c r="U4519" s="1"/>
      <c r="V4519" s="1">
        <v>26.48</v>
      </c>
      <c r="W4519" s="1">
        <v>26.48</v>
      </c>
      <c r="X4519" s="1" t="s">
        <v>35</v>
      </c>
      <c r="Y4519" s="1">
        <v>26480</v>
      </c>
      <c r="Z4519" s="1"/>
      <c r="AA4519" s="1">
        <v>26480</v>
      </c>
      <c r="AB4519" s="1"/>
      <c r="AC4519" s="1" t="s">
        <v>36</v>
      </c>
      <c r="AD4519" s="1" t="s">
        <v>15530</v>
      </c>
      <c r="AE4519" s="1" t="s">
        <v>32</v>
      </c>
      <c r="AF4519" s="1" t="s">
        <v>33</v>
      </c>
      <c r="AG4519" s="1" t="s">
        <v>127</v>
      </c>
    </row>
    <row r="4520" spans="1:33">
      <c r="A4520" t="s">
        <v>15531</v>
      </c>
      <c r="C4520" t="s">
        <v>827</v>
      </c>
      <c r="D4520" t="s">
        <v>154</v>
      </c>
      <c r="E4520" t="s">
        <v>14225</v>
      </c>
      <c r="F4520" t="s">
        <v>14226</v>
      </c>
      <c r="G4520">
        <v>858.4</v>
      </c>
      <c r="H4520">
        <v>858.4</v>
      </c>
      <c r="I4520" t="s">
        <v>269</v>
      </c>
      <c r="J4520" t="s">
        <v>270</v>
      </c>
      <c r="K4520" t="s">
        <v>31</v>
      </c>
      <c r="L4520" t="s">
        <v>32</v>
      </c>
      <c r="M4520" t="s">
        <v>33</v>
      </c>
      <c r="P4520" s="1" t="s">
        <v>15532</v>
      </c>
      <c r="Q4520" s="1" t="s">
        <v>14225</v>
      </c>
      <c r="R4520" s="1" t="s">
        <v>14225</v>
      </c>
      <c r="S4520" s="1"/>
      <c r="T4520" s="1" t="s">
        <v>827</v>
      </c>
      <c r="U4520" s="1"/>
      <c r="V4520" s="1">
        <v>858.4</v>
      </c>
      <c r="W4520" s="1">
        <v>858.4</v>
      </c>
      <c r="X4520" s="1" t="s">
        <v>35</v>
      </c>
      <c r="Y4520" s="1">
        <v>858400</v>
      </c>
      <c r="Z4520" s="1"/>
      <c r="AA4520" s="1">
        <v>858400</v>
      </c>
      <c r="AB4520" s="1"/>
      <c r="AC4520" s="1" t="s">
        <v>36</v>
      </c>
      <c r="AD4520" s="1" t="s">
        <v>15533</v>
      </c>
      <c r="AE4520" s="1" t="s">
        <v>32</v>
      </c>
      <c r="AF4520" s="1" t="s">
        <v>33</v>
      </c>
      <c r="AG4520" s="1" t="s">
        <v>270</v>
      </c>
    </row>
    <row r="4521" spans="1:33">
      <c r="A4521" t="s">
        <v>15534</v>
      </c>
      <c r="C4521" t="s">
        <v>15535</v>
      </c>
      <c r="E4521" t="s">
        <v>14225</v>
      </c>
      <c r="F4521" t="s">
        <v>14226</v>
      </c>
      <c r="G4521">
        <v>21.0</v>
      </c>
      <c r="H4521">
        <v>21.0</v>
      </c>
      <c r="I4521" t="s">
        <v>269</v>
      </c>
      <c r="J4521" t="s">
        <v>270</v>
      </c>
      <c r="K4521" t="s">
        <v>31</v>
      </c>
      <c r="L4521" t="s">
        <v>32</v>
      </c>
      <c r="M4521" t="s">
        <v>33</v>
      </c>
      <c r="P4521" s="1" t="s">
        <v>15536</v>
      </c>
      <c r="Q4521" s="1" t="s">
        <v>14225</v>
      </c>
      <c r="R4521" s="1" t="s">
        <v>14225</v>
      </c>
      <c r="S4521" s="1"/>
      <c r="T4521" s="1" t="s">
        <v>15535</v>
      </c>
      <c r="U4521" s="1"/>
      <c r="V4521" s="1">
        <v>21.0</v>
      </c>
      <c r="W4521" s="1">
        <v>21.0</v>
      </c>
      <c r="X4521" s="1" t="s">
        <v>35</v>
      </c>
      <c r="Y4521" s="1">
        <v>21000</v>
      </c>
      <c r="Z4521" s="1"/>
      <c r="AA4521" s="1">
        <v>21000</v>
      </c>
      <c r="AB4521" s="1"/>
      <c r="AC4521" s="1" t="s">
        <v>36</v>
      </c>
      <c r="AD4521" s="1" t="s">
        <v>15537</v>
      </c>
      <c r="AE4521" s="1" t="s">
        <v>1636</v>
      </c>
      <c r="AF4521" s="1" t="s">
        <v>33</v>
      </c>
      <c r="AG4521" s="1" t="s">
        <v>270</v>
      </c>
    </row>
    <row r="4522" spans="1:33">
      <c r="A4522" t="s">
        <v>15538</v>
      </c>
      <c r="C4522" t="s">
        <v>763</v>
      </c>
      <c r="E4522" t="s">
        <v>14225</v>
      </c>
      <c r="F4522" t="s">
        <v>14226</v>
      </c>
      <c r="G4522">
        <v>700.0</v>
      </c>
      <c r="H4522">
        <v>700.0</v>
      </c>
      <c r="I4522" t="s">
        <v>179</v>
      </c>
      <c r="J4522" t="s">
        <v>180</v>
      </c>
      <c r="K4522" t="s">
        <v>31</v>
      </c>
      <c r="L4522" t="s">
        <v>32</v>
      </c>
      <c r="M4522" t="s">
        <v>33</v>
      </c>
      <c r="P4522" s="1" t="s">
        <v>15539</v>
      </c>
      <c r="Q4522" s="1" t="s">
        <v>14225</v>
      </c>
      <c r="R4522" s="1" t="s">
        <v>14225</v>
      </c>
      <c r="S4522" s="1"/>
      <c r="T4522" s="1" t="s">
        <v>763</v>
      </c>
      <c r="U4522" s="1"/>
      <c r="V4522" s="1">
        <v>700.0</v>
      </c>
      <c r="W4522" s="1">
        <v>700.0</v>
      </c>
      <c r="X4522" s="1" t="s">
        <v>35</v>
      </c>
      <c r="Y4522" s="1">
        <v>700000</v>
      </c>
      <c r="Z4522" s="1"/>
      <c r="AA4522" s="1">
        <v>700000</v>
      </c>
      <c r="AB4522" s="1"/>
      <c r="AC4522" s="1" t="s">
        <v>36</v>
      </c>
      <c r="AD4522" s="1" t="s">
        <v>15540</v>
      </c>
      <c r="AE4522" s="1" t="s">
        <v>32</v>
      </c>
      <c r="AF4522" s="1" t="s">
        <v>33</v>
      </c>
      <c r="AG4522" s="1" t="s">
        <v>180</v>
      </c>
    </row>
    <row r="4523" spans="1:33">
      <c r="A4523" t="s">
        <v>15541</v>
      </c>
      <c r="C4523" t="s">
        <v>5458</v>
      </c>
      <c r="E4523" t="s">
        <v>14225</v>
      </c>
      <c r="F4523" t="s">
        <v>14226</v>
      </c>
      <c r="G4523">
        <v>508.0</v>
      </c>
      <c r="H4523">
        <v>508.0</v>
      </c>
      <c r="I4523" t="s">
        <v>269</v>
      </c>
      <c r="J4523" t="s">
        <v>270</v>
      </c>
      <c r="K4523" t="s">
        <v>31</v>
      </c>
      <c r="L4523" t="s">
        <v>32</v>
      </c>
      <c r="M4523" t="s">
        <v>33</v>
      </c>
      <c r="P4523" s="1" t="s">
        <v>15542</v>
      </c>
      <c r="Q4523" s="1" t="s">
        <v>14225</v>
      </c>
      <c r="R4523" s="1" t="s">
        <v>14225</v>
      </c>
      <c r="S4523" s="1"/>
      <c r="T4523" s="1" t="s">
        <v>5458</v>
      </c>
      <c r="U4523" s="1"/>
      <c r="V4523" s="1">
        <v>508.0</v>
      </c>
      <c r="W4523" s="1">
        <v>508.0</v>
      </c>
      <c r="X4523" s="1" t="s">
        <v>35</v>
      </c>
      <c r="Y4523" s="1">
        <v>508000</v>
      </c>
      <c r="Z4523" s="1"/>
      <c r="AA4523" s="1">
        <v>508000</v>
      </c>
      <c r="AB4523" s="1"/>
      <c r="AC4523" s="1" t="s">
        <v>36</v>
      </c>
      <c r="AD4523" s="1" t="s">
        <v>15543</v>
      </c>
      <c r="AE4523" s="1" t="s">
        <v>32</v>
      </c>
      <c r="AF4523" s="1" t="s">
        <v>33</v>
      </c>
      <c r="AG4523" s="1" t="s">
        <v>270</v>
      </c>
    </row>
    <row r="4524" spans="1:33">
      <c r="A4524" t="s">
        <v>15544</v>
      </c>
      <c r="C4524" t="s">
        <v>4555</v>
      </c>
      <c r="E4524" t="s">
        <v>14225</v>
      </c>
      <c r="F4524" t="s">
        <v>14226</v>
      </c>
      <c r="G4524">
        <v>515.75</v>
      </c>
      <c r="H4524">
        <v>515.75</v>
      </c>
      <c r="I4524" t="s">
        <v>179</v>
      </c>
      <c r="J4524" t="s">
        <v>180</v>
      </c>
      <c r="K4524" t="s">
        <v>31</v>
      </c>
      <c r="L4524" t="s">
        <v>32</v>
      </c>
      <c r="M4524" t="s">
        <v>33</v>
      </c>
      <c r="P4524" s="1" t="s">
        <v>15545</v>
      </c>
      <c r="Q4524" s="1" t="s">
        <v>14225</v>
      </c>
      <c r="R4524" s="1" t="s">
        <v>14225</v>
      </c>
      <c r="S4524" s="1"/>
      <c r="T4524" s="1" t="s">
        <v>4555</v>
      </c>
      <c r="U4524" s="1"/>
      <c r="V4524" s="1">
        <v>515.75</v>
      </c>
      <c r="W4524" s="1">
        <v>515.75</v>
      </c>
      <c r="X4524" s="1" t="s">
        <v>35</v>
      </c>
      <c r="Y4524" s="1">
        <v>515750</v>
      </c>
      <c r="Z4524" s="1"/>
      <c r="AA4524" s="1">
        <v>515750</v>
      </c>
      <c r="AB4524" s="1"/>
      <c r="AC4524" s="1" t="s">
        <v>36</v>
      </c>
      <c r="AD4524" s="1" t="s">
        <v>15546</v>
      </c>
      <c r="AE4524" s="1" t="s">
        <v>32</v>
      </c>
      <c r="AF4524" s="1" t="s">
        <v>33</v>
      </c>
      <c r="AG4524" s="1" t="s">
        <v>180</v>
      </c>
    </row>
    <row r="4525" spans="1:33">
      <c r="A4525" t="s">
        <v>15547</v>
      </c>
      <c r="B4525" t="s">
        <v>15548</v>
      </c>
      <c r="C4525" t="s">
        <v>26</v>
      </c>
      <c r="E4525" t="s">
        <v>15359</v>
      </c>
      <c r="F4525" t="s">
        <v>10934</v>
      </c>
      <c r="G4525">
        <v>26.94</v>
      </c>
      <c r="H4525">
        <v>26.94</v>
      </c>
      <c r="I4525" t="s">
        <v>29</v>
      </c>
      <c r="J4525" t="s">
        <v>30</v>
      </c>
      <c r="K4525" t="s">
        <v>31</v>
      </c>
      <c r="L4525" t="s">
        <v>32</v>
      </c>
      <c r="M4525" t="s">
        <v>33</v>
      </c>
      <c r="P4525" s="1" t="s">
        <v>15549</v>
      </c>
      <c r="Q4525" s="1" t="s">
        <v>15359</v>
      </c>
      <c r="R4525" s="1" t="s">
        <v>15359</v>
      </c>
      <c r="S4525" s="1"/>
      <c r="T4525" s="1" t="s">
        <v>26</v>
      </c>
      <c r="U4525" s="1"/>
      <c r="V4525" s="1">
        <v>26.94</v>
      </c>
      <c r="W4525" s="1">
        <v>26.94</v>
      </c>
      <c r="X4525" s="1" t="s">
        <v>35</v>
      </c>
      <c r="Y4525" s="1">
        <v>26940</v>
      </c>
      <c r="Z4525" s="1"/>
      <c r="AA4525" s="1">
        <v>26940</v>
      </c>
      <c r="AB4525" s="1"/>
      <c r="AC4525" s="1" t="s">
        <v>36</v>
      </c>
      <c r="AD4525" s="1" t="s">
        <v>15550</v>
      </c>
      <c r="AE4525" s="1" t="s">
        <v>32</v>
      </c>
      <c r="AF4525" s="1" t="s">
        <v>33</v>
      </c>
      <c r="AG4525" s="1" t="s">
        <v>30</v>
      </c>
    </row>
    <row r="4526" spans="1:33">
      <c r="A4526" t="s">
        <v>15551</v>
      </c>
      <c r="C4526" t="s">
        <v>14145</v>
      </c>
      <c r="E4526" t="s">
        <v>15359</v>
      </c>
      <c r="F4526" t="s">
        <v>10934</v>
      </c>
      <c r="G4526">
        <v>9.891</v>
      </c>
      <c r="H4526">
        <v>9.891</v>
      </c>
      <c r="I4526" t="s">
        <v>126</v>
      </c>
      <c r="J4526" t="s">
        <v>127</v>
      </c>
      <c r="K4526" t="s">
        <v>31</v>
      </c>
      <c r="L4526" t="s">
        <v>32</v>
      </c>
      <c r="M4526" t="s">
        <v>33</v>
      </c>
      <c r="P4526" s="1" t="s">
        <v>15552</v>
      </c>
      <c r="Q4526" s="1" t="s">
        <v>15359</v>
      </c>
      <c r="R4526" s="1" t="s">
        <v>15359</v>
      </c>
      <c r="S4526" s="1"/>
      <c r="T4526" s="1" t="s">
        <v>14145</v>
      </c>
      <c r="U4526" s="1"/>
      <c r="V4526" s="1">
        <v>9.891</v>
      </c>
      <c r="W4526" s="1">
        <v>9.891</v>
      </c>
      <c r="X4526" s="1" t="s">
        <v>35</v>
      </c>
      <c r="Y4526" s="1">
        <v>9893000</v>
      </c>
      <c r="Z4526" s="1">
        <v>-2000</v>
      </c>
      <c r="AA4526" s="1">
        <v>9893000</v>
      </c>
      <c r="AB4526" s="1">
        <v>-2000</v>
      </c>
      <c r="AC4526" s="1" t="s">
        <v>36</v>
      </c>
      <c r="AD4526" s="1" t="s">
        <v>15349</v>
      </c>
      <c r="AE4526" s="1" t="s">
        <v>32</v>
      </c>
      <c r="AF4526" s="1" t="s">
        <v>33</v>
      </c>
      <c r="AG4526" s="1" t="s">
        <v>127</v>
      </c>
    </row>
    <row r="4527" spans="1:33">
      <c r="A4527" t="s">
        <v>15553</v>
      </c>
      <c r="C4527" t="s">
        <v>7412</v>
      </c>
      <c r="E4527" t="s">
        <v>15359</v>
      </c>
      <c r="F4527" t="s">
        <v>10934</v>
      </c>
      <c r="G4527">
        <v>1.102</v>
      </c>
      <c r="H4527">
        <v>1.124</v>
      </c>
      <c r="I4527" t="s">
        <v>40</v>
      </c>
      <c r="J4527" t="s">
        <v>41</v>
      </c>
      <c r="K4527" t="s">
        <v>31</v>
      </c>
      <c r="L4527" t="s">
        <v>32</v>
      </c>
      <c r="M4527" t="s">
        <v>33</v>
      </c>
      <c r="P4527" s="1" t="s">
        <v>15554</v>
      </c>
      <c r="Q4527" s="1" t="s">
        <v>15359</v>
      </c>
      <c r="R4527" s="1" t="s">
        <v>14225</v>
      </c>
      <c r="S4527" s="1"/>
      <c r="T4527" s="1" t="s">
        <v>7415</v>
      </c>
      <c r="U4527" s="1" t="s">
        <v>7416</v>
      </c>
      <c r="V4527" s="1">
        <v>1.102</v>
      </c>
      <c r="W4527" s="1">
        <v>1.124</v>
      </c>
      <c r="X4527" s="1" t="s">
        <v>35</v>
      </c>
      <c r="Y4527" s="1"/>
      <c r="Z4527" s="1">
        <v>1124550</v>
      </c>
      <c r="AA4527" s="1"/>
      <c r="AB4527" s="1">
        <v>1124550</v>
      </c>
      <c r="AC4527" s="1" t="s">
        <v>36</v>
      </c>
      <c r="AD4527" s="1" t="s">
        <v>5106</v>
      </c>
      <c r="AE4527" s="1" t="s">
        <v>32</v>
      </c>
      <c r="AF4527" s="1" t="s">
        <v>33</v>
      </c>
      <c r="AG4527" s="1" t="s">
        <v>41</v>
      </c>
    </row>
    <row r="4528" spans="1:33">
      <c r="A4528" t="s">
        <v>15555</v>
      </c>
      <c r="C4528" t="s">
        <v>725</v>
      </c>
      <c r="E4528" t="s">
        <v>15359</v>
      </c>
      <c r="F4528" t="s">
        <v>10934</v>
      </c>
      <c r="G4528">
        <v>3.28</v>
      </c>
      <c r="H4528">
        <v>3.28</v>
      </c>
      <c r="I4528" t="s">
        <v>136</v>
      </c>
      <c r="J4528" t="s">
        <v>137</v>
      </c>
      <c r="K4528" t="s">
        <v>31</v>
      </c>
      <c r="L4528" t="s">
        <v>32</v>
      </c>
      <c r="M4528" t="s">
        <v>33</v>
      </c>
      <c r="P4528" s="1" t="s">
        <v>15556</v>
      </c>
      <c r="Q4528" s="1" t="s">
        <v>15359</v>
      </c>
      <c r="R4528" s="1" t="s">
        <v>15359</v>
      </c>
      <c r="S4528" s="1"/>
      <c r="T4528" s="1" t="s">
        <v>725</v>
      </c>
      <c r="U4528" s="1"/>
      <c r="V4528" s="1">
        <v>3.28</v>
      </c>
      <c r="W4528" s="1">
        <v>3.28</v>
      </c>
      <c r="X4528" s="1" t="s">
        <v>35</v>
      </c>
      <c r="Y4528" s="1">
        <v>3280000</v>
      </c>
      <c r="Z4528" s="1"/>
      <c r="AA4528" s="1">
        <v>3280000</v>
      </c>
      <c r="AB4528" s="1"/>
      <c r="AC4528" s="1" t="s">
        <v>36</v>
      </c>
      <c r="AD4528" s="1" t="s">
        <v>15557</v>
      </c>
      <c r="AE4528" s="1" t="s">
        <v>32</v>
      </c>
      <c r="AF4528" s="1" t="s">
        <v>33</v>
      </c>
      <c r="AG4528" s="1" t="s">
        <v>137</v>
      </c>
    </row>
    <row r="4529" spans="1:33">
      <c r="A4529" t="s">
        <v>15558</v>
      </c>
      <c r="C4529" t="s">
        <v>145</v>
      </c>
      <c r="E4529" t="s">
        <v>15359</v>
      </c>
      <c r="F4529" t="s">
        <v>10934</v>
      </c>
      <c r="G4529">
        <v>768.65</v>
      </c>
      <c r="H4529">
        <v>768.65</v>
      </c>
      <c r="I4529" t="s">
        <v>136</v>
      </c>
      <c r="J4529" t="s">
        <v>137</v>
      </c>
      <c r="K4529" t="s">
        <v>31</v>
      </c>
      <c r="L4529" t="s">
        <v>32</v>
      </c>
      <c r="M4529" t="s">
        <v>33</v>
      </c>
      <c r="P4529" s="1" t="s">
        <v>15559</v>
      </c>
      <c r="Q4529" s="1" t="s">
        <v>15359</v>
      </c>
      <c r="R4529" s="1" t="s">
        <v>15359</v>
      </c>
      <c r="S4529" s="1"/>
      <c r="T4529" s="1" t="s">
        <v>145</v>
      </c>
      <c r="U4529" s="1"/>
      <c r="V4529" s="1">
        <v>768.65</v>
      </c>
      <c r="W4529" s="1">
        <v>768.65</v>
      </c>
      <c r="X4529" s="1" t="s">
        <v>35</v>
      </c>
      <c r="Y4529" s="1">
        <v>768650</v>
      </c>
      <c r="Z4529" s="1"/>
      <c r="AA4529" s="1">
        <v>768650</v>
      </c>
      <c r="AB4529" s="1"/>
      <c r="AC4529" s="1" t="s">
        <v>36</v>
      </c>
      <c r="AD4529" s="1" t="s">
        <v>15560</v>
      </c>
      <c r="AE4529" s="1" t="s">
        <v>32</v>
      </c>
      <c r="AF4529" s="1" t="s">
        <v>33</v>
      </c>
      <c r="AG4529" s="1" t="s">
        <v>137</v>
      </c>
    </row>
    <row r="4530" spans="1:33">
      <c r="A4530" t="s">
        <v>15561</v>
      </c>
      <c r="C4530" t="s">
        <v>300</v>
      </c>
      <c r="E4530" t="s">
        <v>15359</v>
      </c>
      <c r="F4530" t="s">
        <v>10934</v>
      </c>
      <c r="G4530">
        <v>1.63</v>
      </c>
      <c r="H4530">
        <v>1.63</v>
      </c>
      <c r="I4530" t="s">
        <v>94</v>
      </c>
      <c r="J4530" t="s">
        <v>95</v>
      </c>
      <c r="K4530" t="s">
        <v>31</v>
      </c>
      <c r="L4530" t="s">
        <v>32</v>
      </c>
      <c r="M4530" t="s">
        <v>33</v>
      </c>
      <c r="P4530" s="1" t="s">
        <v>15562</v>
      </c>
      <c r="Q4530" s="1" t="s">
        <v>15359</v>
      </c>
      <c r="R4530" s="1" t="s">
        <v>15359</v>
      </c>
      <c r="S4530" s="1"/>
      <c r="T4530" s="1" t="s">
        <v>302</v>
      </c>
      <c r="U4530" s="1" t="s">
        <v>303</v>
      </c>
      <c r="V4530" s="1">
        <v>1.63</v>
      </c>
      <c r="W4530" s="1">
        <v>1.63</v>
      </c>
      <c r="X4530" s="1" t="s">
        <v>35</v>
      </c>
      <c r="Y4530" s="1">
        <v>1630000</v>
      </c>
      <c r="Z4530" s="1"/>
      <c r="AA4530" s="1">
        <v>1630000</v>
      </c>
      <c r="AB4530" s="1"/>
      <c r="AC4530" s="1" t="s">
        <v>36</v>
      </c>
      <c r="AD4530" s="1" t="s">
        <v>15540</v>
      </c>
      <c r="AE4530" s="1" t="s">
        <v>32</v>
      </c>
      <c r="AF4530" s="1" t="s">
        <v>33</v>
      </c>
      <c r="AG4530" s="1" t="s">
        <v>95</v>
      </c>
    </row>
    <row r="4531" spans="1:33">
      <c r="A4531" t="s">
        <v>15563</v>
      </c>
      <c r="B4531" t="s">
        <v>15564</v>
      </c>
      <c r="C4531" t="s">
        <v>26</v>
      </c>
      <c r="E4531" t="s">
        <v>15359</v>
      </c>
      <c r="F4531" t="s">
        <v>10934</v>
      </c>
      <c r="G4531">
        <v>68.52</v>
      </c>
      <c r="H4531">
        <v>68.52</v>
      </c>
      <c r="I4531" t="s">
        <v>29</v>
      </c>
      <c r="J4531" t="s">
        <v>30</v>
      </c>
      <c r="K4531" t="s">
        <v>31</v>
      </c>
      <c r="L4531" t="s">
        <v>32</v>
      </c>
      <c r="M4531" t="s">
        <v>33</v>
      </c>
      <c r="P4531" s="1" t="s">
        <v>15565</v>
      </c>
      <c r="Q4531" s="1" t="s">
        <v>15359</v>
      </c>
      <c r="R4531" s="1" t="s">
        <v>15359</v>
      </c>
      <c r="S4531" s="1"/>
      <c r="T4531" s="1" t="s">
        <v>26</v>
      </c>
      <c r="U4531" s="1"/>
      <c r="V4531" s="1">
        <v>68.52</v>
      </c>
      <c r="W4531" s="1">
        <v>68.52</v>
      </c>
      <c r="X4531" s="1" t="s">
        <v>35</v>
      </c>
      <c r="Y4531" s="1">
        <v>68520</v>
      </c>
      <c r="Z4531" s="1"/>
      <c r="AA4531" s="1">
        <v>68520</v>
      </c>
      <c r="AB4531" s="1"/>
      <c r="AC4531" s="1" t="s">
        <v>36</v>
      </c>
      <c r="AD4531" s="1" t="s">
        <v>15566</v>
      </c>
      <c r="AE4531" s="1" t="s">
        <v>32</v>
      </c>
      <c r="AF4531" s="1" t="s">
        <v>33</v>
      </c>
      <c r="AG4531" s="1" t="s">
        <v>30</v>
      </c>
    </row>
    <row r="4532" spans="1:33">
      <c r="A4532" t="s">
        <v>15567</v>
      </c>
      <c r="B4532" t="s">
        <v>5943</v>
      </c>
      <c r="C4532" t="s">
        <v>5944</v>
      </c>
      <c r="D4532" t="s">
        <v>154</v>
      </c>
      <c r="E4532" t="s">
        <v>15359</v>
      </c>
      <c r="F4532" t="s">
        <v>10934</v>
      </c>
      <c r="G4532">
        <v>328.0</v>
      </c>
      <c r="H4532">
        <v>328.0</v>
      </c>
      <c r="I4532" t="s">
        <v>529</v>
      </c>
      <c r="J4532" t="s">
        <v>530</v>
      </c>
      <c r="K4532" t="s">
        <v>31</v>
      </c>
      <c r="L4532" t="s">
        <v>32</v>
      </c>
      <c r="M4532" t="s">
        <v>33</v>
      </c>
      <c r="P4532" s="1" t="s">
        <v>15568</v>
      </c>
      <c r="Q4532" s="1" t="s">
        <v>15359</v>
      </c>
      <c r="R4532" s="1" t="s">
        <v>14225</v>
      </c>
      <c r="S4532" s="1"/>
      <c r="T4532" s="1" t="s">
        <v>5944</v>
      </c>
      <c r="U4532" s="1"/>
      <c r="V4532" s="1">
        <v>328.0</v>
      </c>
      <c r="W4532" s="1">
        <v>328.0</v>
      </c>
      <c r="X4532" s="1" t="s">
        <v>35</v>
      </c>
      <c r="Y4532" s="1">
        <v>328000</v>
      </c>
      <c r="Z4532" s="1"/>
      <c r="AA4532" s="1">
        <v>328000</v>
      </c>
      <c r="AB4532" s="1"/>
      <c r="AC4532" s="1" t="s">
        <v>36</v>
      </c>
      <c r="AD4532" s="1" t="s">
        <v>15569</v>
      </c>
      <c r="AE4532" s="1" t="s">
        <v>32</v>
      </c>
      <c r="AF4532" s="1" t="s">
        <v>33</v>
      </c>
      <c r="AG4532" s="1" t="s">
        <v>530</v>
      </c>
    </row>
    <row r="4533" spans="1:33">
      <c r="A4533" t="s">
        <v>15570</v>
      </c>
      <c r="B4533" t="s">
        <v>1280</v>
      </c>
      <c r="C4533" t="s">
        <v>1281</v>
      </c>
      <c r="E4533" t="s">
        <v>15359</v>
      </c>
      <c r="F4533" t="s">
        <v>10934</v>
      </c>
      <c r="G4533">
        <v>421.6</v>
      </c>
      <c r="H4533">
        <v>421.6</v>
      </c>
      <c r="I4533" t="s">
        <v>529</v>
      </c>
      <c r="J4533" t="s">
        <v>530</v>
      </c>
      <c r="K4533" t="s">
        <v>31</v>
      </c>
      <c r="L4533" t="s">
        <v>32</v>
      </c>
      <c r="M4533" t="s">
        <v>33</v>
      </c>
      <c r="P4533" s="1" t="s">
        <v>15571</v>
      </c>
      <c r="Q4533" s="1" t="s">
        <v>15359</v>
      </c>
      <c r="R4533" s="1" t="s">
        <v>14225</v>
      </c>
      <c r="S4533" s="1"/>
      <c r="T4533" s="1" t="s">
        <v>1281</v>
      </c>
      <c r="U4533" s="1"/>
      <c r="V4533" s="1">
        <v>421.6</v>
      </c>
      <c r="W4533" s="1">
        <v>421.6</v>
      </c>
      <c r="X4533" s="1" t="s">
        <v>35</v>
      </c>
      <c r="Y4533" s="1">
        <v>421600</v>
      </c>
      <c r="Z4533" s="1"/>
      <c r="AA4533" s="1">
        <v>421600</v>
      </c>
      <c r="AB4533" s="1"/>
      <c r="AC4533" s="1" t="s">
        <v>36</v>
      </c>
      <c r="AD4533" s="1" t="s">
        <v>15572</v>
      </c>
      <c r="AE4533" s="1" t="s">
        <v>32</v>
      </c>
      <c r="AF4533" s="1" t="s">
        <v>33</v>
      </c>
      <c r="AG4533" s="1" t="s">
        <v>530</v>
      </c>
    </row>
    <row r="4534" spans="1:33">
      <c r="A4534" t="s">
        <v>15573</v>
      </c>
      <c r="B4534" t="s">
        <v>527</v>
      </c>
      <c r="C4534" t="s">
        <v>528</v>
      </c>
      <c r="E4534" t="s">
        <v>15359</v>
      </c>
      <c r="F4534" t="s">
        <v>10934</v>
      </c>
      <c r="G4534">
        <v>751.7</v>
      </c>
      <c r="H4534">
        <v>751.7</v>
      </c>
      <c r="I4534" t="s">
        <v>529</v>
      </c>
      <c r="J4534" t="s">
        <v>530</v>
      </c>
      <c r="K4534" t="s">
        <v>31</v>
      </c>
      <c r="L4534" t="s">
        <v>32</v>
      </c>
      <c r="M4534" t="s">
        <v>33</v>
      </c>
      <c r="P4534" s="1" t="s">
        <v>15574</v>
      </c>
      <c r="Q4534" s="1" t="s">
        <v>15359</v>
      </c>
      <c r="R4534" s="1" t="s">
        <v>14225</v>
      </c>
      <c r="S4534" s="1"/>
      <c r="T4534" s="1" t="s">
        <v>528</v>
      </c>
      <c r="U4534" s="1"/>
      <c r="V4534" s="1">
        <v>751.7</v>
      </c>
      <c r="W4534" s="1">
        <v>751.7</v>
      </c>
      <c r="X4534" s="1" t="s">
        <v>35</v>
      </c>
      <c r="Y4534" s="1">
        <v>751700</v>
      </c>
      <c r="Z4534" s="1"/>
      <c r="AA4534" s="1">
        <v>751700</v>
      </c>
      <c r="AB4534" s="1"/>
      <c r="AC4534" s="1" t="s">
        <v>36</v>
      </c>
      <c r="AD4534" s="1" t="s">
        <v>15575</v>
      </c>
      <c r="AE4534" s="1" t="s">
        <v>32</v>
      </c>
      <c r="AF4534" s="1" t="s">
        <v>33</v>
      </c>
      <c r="AG4534" s="1" t="s">
        <v>530</v>
      </c>
    </row>
    <row r="4535" spans="1:33">
      <c r="A4535" t="s">
        <v>15576</v>
      </c>
      <c r="B4535" t="s">
        <v>15577</v>
      </c>
      <c r="C4535" t="s">
        <v>47</v>
      </c>
      <c r="E4535" t="s">
        <v>15359</v>
      </c>
      <c r="F4535" t="s">
        <v>10934</v>
      </c>
      <c r="G4535">
        <v>35.58</v>
      </c>
      <c r="H4535">
        <v>35.58</v>
      </c>
      <c r="I4535" t="s">
        <v>2206</v>
      </c>
      <c r="J4535" t="s">
        <v>49</v>
      </c>
      <c r="K4535" t="s">
        <v>31</v>
      </c>
      <c r="L4535" t="s">
        <v>32</v>
      </c>
      <c r="M4535" t="s">
        <v>33</v>
      </c>
      <c r="P4535" s="1" t="s">
        <v>15578</v>
      </c>
      <c r="Q4535" s="1" t="s">
        <v>15359</v>
      </c>
      <c r="R4535" s="1" t="s">
        <v>15359</v>
      </c>
      <c r="S4535" s="1"/>
      <c r="T4535" s="1" t="s">
        <v>47</v>
      </c>
      <c r="U4535" s="1"/>
      <c r="V4535" s="1">
        <v>35.58</v>
      </c>
      <c r="W4535" s="1">
        <v>35.58</v>
      </c>
      <c r="X4535" s="1" t="s">
        <v>35</v>
      </c>
      <c r="Y4535" s="1">
        <v>35580</v>
      </c>
      <c r="Z4535" s="1"/>
      <c r="AA4535" s="1">
        <v>35580</v>
      </c>
      <c r="AB4535" s="1"/>
      <c r="AC4535" s="1" t="s">
        <v>36</v>
      </c>
      <c r="AD4535" s="1" t="s">
        <v>15579</v>
      </c>
      <c r="AE4535" s="1" t="s">
        <v>32</v>
      </c>
      <c r="AF4535" s="1" t="s">
        <v>33</v>
      </c>
      <c r="AG4535" s="1" t="s">
        <v>49</v>
      </c>
    </row>
    <row r="4536" spans="1:33">
      <c r="A4536" t="s">
        <v>15580</v>
      </c>
      <c r="C4536" t="s">
        <v>153</v>
      </c>
      <c r="D4536" t="s">
        <v>154</v>
      </c>
      <c r="E4536" t="s">
        <v>15359</v>
      </c>
      <c r="F4536" t="s">
        <v>10934</v>
      </c>
      <c r="G4536">
        <v>1.157</v>
      </c>
      <c r="H4536">
        <v>1.157</v>
      </c>
      <c r="I4536" t="s">
        <v>94</v>
      </c>
      <c r="J4536" t="s">
        <v>95</v>
      </c>
      <c r="K4536" t="s">
        <v>31</v>
      </c>
      <c r="L4536" t="s">
        <v>32</v>
      </c>
      <c r="M4536" t="s">
        <v>33</v>
      </c>
      <c r="P4536" s="1" t="s">
        <v>15581</v>
      </c>
      <c r="Q4536" s="1" t="s">
        <v>15359</v>
      </c>
      <c r="R4536" s="1" t="s">
        <v>15359</v>
      </c>
      <c r="S4536" s="1"/>
      <c r="T4536" s="1" t="s">
        <v>156</v>
      </c>
      <c r="U4536" s="1" t="s">
        <v>157</v>
      </c>
      <c r="V4536" s="1">
        <v>1.157</v>
      </c>
      <c r="W4536" s="1">
        <v>1.157</v>
      </c>
      <c r="X4536" s="1" t="s">
        <v>35</v>
      </c>
      <c r="Y4536" s="1">
        <v>1157250</v>
      </c>
      <c r="Z4536" s="1"/>
      <c r="AA4536" s="1">
        <v>1157250</v>
      </c>
      <c r="AB4536" s="1"/>
      <c r="AC4536" s="1" t="s">
        <v>36</v>
      </c>
      <c r="AD4536" s="1" t="s">
        <v>15572</v>
      </c>
      <c r="AE4536" s="1" t="s">
        <v>32</v>
      </c>
      <c r="AF4536" s="1" t="s">
        <v>33</v>
      </c>
      <c r="AG4536" s="1" t="s">
        <v>95</v>
      </c>
    </row>
    <row r="4537" spans="1:33">
      <c r="A4537" t="s">
        <v>15582</v>
      </c>
      <c r="C4537" t="s">
        <v>725</v>
      </c>
      <c r="E4537" t="s">
        <v>15359</v>
      </c>
      <c r="F4537" t="s">
        <v>10934</v>
      </c>
      <c r="G4537">
        <v>2.416</v>
      </c>
      <c r="H4537">
        <v>2.416</v>
      </c>
      <c r="I4537" t="s">
        <v>136</v>
      </c>
      <c r="J4537" t="s">
        <v>137</v>
      </c>
      <c r="K4537" t="s">
        <v>31</v>
      </c>
      <c r="L4537" t="s">
        <v>32</v>
      </c>
      <c r="M4537" t="s">
        <v>33</v>
      </c>
      <c r="P4537" s="1" t="s">
        <v>15583</v>
      </c>
      <c r="Q4537" s="1" t="s">
        <v>15359</v>
      </c>
      <c r="R4537" s="1" t="s">
        <v>15359</v>
      </c>
      <c r="S4537" s="1"/>
      <c r="T4537" s="1" t="s">
        <v>725</v>
      </c>
      <c r="U4537" s="1"/>
      <c r="V4537" s="1">
        <v>2.416</v>
      </c>
      <c r="W4537" s="1">
        <v>2.416</v>
      </c>
      <c r="X4537" s="1" t="s">
        <v>35</v>
      </c>
      <c r="Y4537" s="1">
        <v>2416000</v>
      </c>
      <c r="Z4537" s="1"/>
      <c r="AA4537" s="1">
        <v>2416000</v>
      </c>
      <c r="AB4537" s="1"/>
      <c r="AC4537" s="1" t="s">
        <v>36</v>
      </c>
      <c r="AD4537" s="1" t="s">
        <v>15584</v>
      </c>
      <c r="AE4537" s="1" t="s">
        <v>32</v>
      </c>
      <c r="AF4537" s="1" t="s">
        <v>33</v>
      </c>
      <c r="AG4537" s="1" t="s">
        <v>137</v>
      </c>
    </row>
    <row r="4538" spans="1:33">
      <c r="A4538" t="s">
        <v>15585</v>
      </c>
      <c r="B4538" t="s">
        <v>15586</v>
      </c>
      <c r="C4538" t="s">
        <v>26</v>
      </c>
      <c r="E4538" t="s">
        <v>15359</v>
      </c>
      <c r="F4538" t="s">
        <v>10934</v>
      </c>
      <c r="G4538">
        <v>11.0</v>
      </c>
      <c r="H4538">
        <v>11.0</v>
      </c>
      <c r="I4538" t="s">
        <v>29</v>
      </c>
      <c r="J4538" t="s">
        <v>30</v>
      </c>
      <c r="K4538" t="s">
        <v>31</v>
      </c>
      <c r="L4538" t="s">
        <v>32</v>
      </c>
      <c r="M4538" t="s">
        <v>33</v>
      </c>
      <c r="P4538" s="1" t="s">
        <v>15587</v>
      </c>
      <c r="Q4538" s="1" t="s">
        <v>15359</v>
      </c>
      <c r="R4538" s="1" t="s">
        <v>15359</v>
      </c>
      <c r="S4538" s="1"/>
      <c r="T4538" s="1" t="s">
        <v>26</v>
      </c>
      <c r="U4538" s="1"/>
      <c r="V4538" s="1">
        <v>11.0</v>
      </c>
      <c r="W4538" s="1">
        <v>11.0</v>
      </c>
      <c r="X4538" s="1" t="s">
        <v>35</v>
      </c>
      <c r="Y4538" s="1">
        <v>11000</v>
      </c>
      <c r="Z4538" s="1"/>
      <c r="AA4538" s="1">
        <v>11000</v>
      </c>
      <c r="AB4538" s="1"/>
      <c r="AC4538" s="1" t="s">
        <v>36</v>
      </c>
      <c r="AD4538" s="1" t="s">
        <v>15588</v>
      </c>
      <c r="AE4538" s="1" t="s">
        <v>32</v>
      </c>
      <c r="AF4538" s="1" t="s">
        <v>33</v>
      </c>
      <c r="AG4538" s="1" t="s">
        <v>30</v>
      </c>
    </row>
    <row r="4539" spans="1:33">
      <c r="A4539" t="s">
        <v>15589</v>
      </c>
      <c r="C4539" t="s">
        <v>131</v>
      </c>
      <c r="E4539" t="s">
        <v>15359</v>
      </c>
      <c r="F4539" t="s">
        <v>10934</v>
      </c>
      <c r="G4539">
        <v>17.79</v>
      </c>
      <c r="H4539">
        <v>17.79</v>
      </c>
      <c r="I4539" t="s">
        <v>94</v>
      </c>
      <c r="J4539" t="s">
        <v>95</v>
      </c>
      <c r="K4539" t="s">
        <v>31</v>
      </c>
      <c r="L4539" t="s">
        <v>32</v>
      </c>
      <c r="M4539" t="s">
        <v>33</v>
      </c>
      <c r="P4539" s="1" t="s">
        <v>15590</v>
      </c>
      <c r="Q4539" s="1" t="s">
        <v>15359</v>
      </c>
      <c r="R4539" s="1" t="s">
        <v>15359</v>
      </c>
      <c r="S4539" s="1"/>
      <c r="T4539" s="1" t="s">
        <v>131</v>
      </c>
      <c r="U4539" s="1"/>
      <c r="V4539" s="1">
        <v>17.79</v>
      </c>
      <c r="W4539" s="1">
        <v>17.79</v>
      </c>
      <c r="X4539" s="1" t="s">
        <v>35</v>
      </c>
      <c r="Y4539" s="1">
        <v>17790</v>
      </c>
      <c r="Z4539" s="1"/>
      <c r="AA4539" s="1">
        <v>17790</v>
      </c>
      <c r="AB4539" s="1"/>
      <c r="AC4539" s="1" t="s">
        <v>36</v>
      </c>
      <c r="AD4539" s="1" t="s">
        <v>15591</v>
      </c>
      <c r="AE4539" s="1" t="s">
        <v>32</v>
      </c>
      <c r="AF4539" s="1" t="s">
        <v>33</v>
      </c>
      <c r="AG4539" s="1" t="s">
        <v>95</v>
      </c>
    </row>
    <row r="4540" spans="1:33">
      <c r="A4540" t="s">
        <v>15592</v>
      </c>
      <c r="B4540" t="s">
        <v>15593</v>
      </c>
      <c r="C4540" t="s">
        <v>125</v>
      </c>
      <c r="E4540" t="s">
        <v>15359</v>
      </c>
      <c r="F4540" t="s">
        <v>10934</v>
      </c>
      <c r="G4540">
        <v>14.517</v>
      </c>
      <c r="H4540">
        <v>14.517</v>
      </c>
      <c r="I4540" t="s">
        <v>126</v>
      </c>
      <c r="J4540" t="s">
        <v>127</v>
      </c>
      <c r="K4540" t="s">
        <v>31</v>
      </c>
      <c r="L4540" t="s">
        <v>32</v>
      </c>
      <c r="M4540" t="s">
        <v>33</v>
      </c>
      <c r="P4540" s="1" t="s">
        <v>15594</v>
      </c>
      <c r="Q4540" s="1" t="s">
        <v>15359</v>
      </c>
      <c r="R4540" s="1" t="s">
        <v>15359</v>
      </c>
      <c r="S4540" s="1"/>
      <c r="T4540" s="1" t="s">
        <v>125</v>
      </c>
      <c r="U4540" s="1"/>
      <c r="V4540" s="1">
        <v>14.517</v>
      </c>
      <c r="W4540" s="1">
        <v>14.517</v>
      </c>
      <c r="X4540" s="1" t="s">
        <v>35</v>
      </c>
      <c r="Y4540" s="1">
        <v>14517</v>
      </c>
      <c r="Z4540" s="1"/>
      <c r="AA4540" s="1">
        <v>14517</v>
      </c>
      <c r="AB4540" s="1"/>
      <c r="AC4540" s="1" t="s">
        <v>36</v>
      </c>
      <c r="AD4540" s="1" t="s">
        <v>15595</v>
      </c>
      <c r="AE4540" s="1" t="s">
        <v>32</v>
      </c>
      <c r="AF4540" s="1" t="s">
        <v>33</v>
      </c>
      <c r="AG4540" s="1" t="s">
        <v>127</v>
      </c>
    </row>
    <row r="4541" spans="1:33">
      <c r="A4541" t="s">
        <v>15596</v>
      </c>
      <c r="B4541" t="s">
        <v>15597</v>
      </c>
      <c r="C4541" t="s">
        <v>47</v>
      </c>
      <c r="E4541" t="s">
        <v>15359</v>
      </c>
      <c r="F4541" t="s">
        <v>10934</v>
      </c>
      <c r="G4541">
        <v>17.0</v>
      </c>
      <c r="H4541">
        <v>17.0</v>
      </c>
      <c r="I4541" t="s">
        <v>2206</v>
      </c>
      <c r="J4541" t="s">
        <v>49</v>
      </c>
      <c r="K4541" t="s">
        <v>31</v>
      </c>
      <c r="L4541" t="s">
        <v>32</v>
      </c>
      <c r="M4541" t="s">
        <v>33</v>
      </c>
      <c r="P4541" s="1" t="s">
        <v>15598</v>
      </c>
      <c r="Q4541" s="1" t="s">
        <v>15359</v>
      </c>
      <c r="R4541" s="1" t="s">
        <v>15359</v>
      </c>
      <c r="S4541" s="1"/>
      <c r="T4541" s="1" t="s">
        <v>47</v>
      </c>
      <c r="U4541" s="1"/>
      <c r="V4541" s="1">
        <v>17.0</v>
      </c>
      <c r="W4541" s="1">
        <v>17.0</v>
      </c>
      <c r="X4541" s="1" t="s">
        <v>35</v>
      </c>
      <c r="Y4541" s="1">
        <v>17004</v>
      </c>
      <c r="Z4541" s="1">
        <v>-4</v>
      </c>
      <c r="AA4541" s="1">
        <v>17004</v>
      </c>
      <c r="AB4541" s="1">
        <v>-4</v>
      </c>
      <c r="AC4541" s="1" t="s">
        <v>36</v>
      </c>
      <c r="AD4541" s="1" t="s">
        <v>15595</v>
      </c>
      <c r="AE4541" s="1" t="s">
        <v>32</v>
      </c>
      <c r="AF4541" s="1" t="s">
        <v>33</v>
      </c>
      <c r="AG4541" s="1" t="s">
        <v>49</v>
      </c>
    </row>
    <row r="4542" spans="1:33">
      <c r="A4542" t="s">
        <v>15599</v>
      </c>
      <c r="C4542" t="s">
        <v>1815</v>
      </c>
      <c r="E4542" t="s">
        <v>15359</v>
      </c>
      <c r="F4542" t="s">
        <v>10934</v>
      </c>
      <c r="G4542">
        <v>754.8</v>
      </c>
      <c r="H4542">
        <v>754.8</v>
      </c>
      <c r="I4542" t="s">
        <v>847</v>
      </c>
      <c r="J4542" t="s">
        <v>848</v>
      </c>
      <c r="K4542" t="s">
        <v>31</v>
      </c>
      <c r="L4542" t="s">
        <v>32</v>
      </c>
      <c r="M4542" t="s">
        <v>33</v>
      </c>
      <c r="P4542" s="1" t="s">
        <v>15600</v>
      </c>
      <c r="Q4542" s="1" t="s">
        <v>15359</v>
      </c>
      <c r="R4542" s="1" t="s">
        <v>15359</v>
      </c>
      <c r="S4542" s="1"/>
      <c r="T4542" s="1" t="s">
        <v>1815</v>
      </c>
      <c r="U4542" s="1"/>
      <c r="V4542" s="1">
        <v>754.8</v>
      </c>
      <c r="W4542" s="1">
        <v>754.8</v>
      </c>
      <c r="X4542" s="1" t="s">
        <v>35</v>
      </c>
      <c r="Y4542" s="1">
        <v>754800</v>
      </c>
      <c r="Z4542" s="1"/>
      <c r="AA4542" s="1">
        <v>754800</v>
      </c>
      <c r="AB4542" s="1"/>
      <c r="AC4542" s="1" t="s">
        <v>36</v>
      </c>
      <c r="AD4542" s="1" t="s">
        <v>15601</v>
      </c>
      <c r="AE4542" s="1" t="s">
        <v>32</v>
      </c>
      <c r="AF4542" s="1" t="s">
        <v>33</v>
      </c>
      <c r="AG4542" s="1" t="s">
        <v>848</v>
      </c>
    </row>
    <row r="4543" spans="1:33">
      <c r="A4543" t="s">
        <v>15602</v>
      </c>
      <c r="B4543" t="s">
        <v>1317</v>
      </c>
      <c r="C4543" t="s">
        <v>1318</v>
      </c>
      <c r="E4543" t="s">
        <v>15359</v>
      </c>
      <c r="F4543" t="s">
        <v>10934</v>
      </c>
      <c r="G4543">
        <v>740.0</v>
      </c>
      <c r="H4543">
        <v>740.0</v>
      </c>
      <c r="I4543" t="s">
        <v>59</v>
      </c>
      <c r="J4543" t="s">
        <v>60</v>
      </c>
      <c r="K4543" t="s">
        <v>31</v>
      </c>
      <c r="L4543" t="s">
        <v>32</v>
      </c>
      <c r="M4543" t="s">
        <v>33</v>
      </c>
      <c r="P4543" s="1" t="s">
        <v>15603</v>
      </c>
      <c r="Q4543" s="1" t="s">
        <v>15359</v>
      </c>
      <c r="R4543" s="1" t="s">
        <v>15359</v>
      </c>
      <c r="S4543" s="1"/>
      <c r="T4543" s="1" t="s">
        <v>1318</v>
      </c>
      <c r="U4543" s="1"/>
      <c r="V4543" s="1">
        <v>740.0</v>
      </c>
      <c r="W4543" s="1">
        <v>740.0</v>
      </c>
      <c r="X4543" s="1" t="s">
        <v>35</v>
      </c>
      <c r="Y4543" s="1">
        <v>740000</v>
      </c>
      <c r="Z4543" s="1"/>
      <c r="AA4543" s="1">
        <v>740000</v>
      </c>
      <c r="AB4543" s="1"/>
      <c r="AC4543" s="1" t="s">
        <v>36</v>
      </c>
      <c r="AD4543" s="1" t="s">
        <v>15604</v>
      </c>
      <c r="AE4543" s="1" t="s">
        <v>32</v>
      </c>
      <c r="AF4543" s="1" t="s">
        <v>33</v>
      </c>
      <c r="AG4543" s="1" t="s">
        <v>60</v>
      </c>
    </row>
    <row r="4544" spans="1:33">
      <c r="A4544" t="s">
        <v>15605</v>
      </c>
      <c r="B4544" t="s">
        <v>6982</v>
      </c>
      <c r="C4544" t="s">
        <v>6983</v>
      </c>
      <c r="D4544" t="s">
        <v>114</v>
      </c>
      <c r="E4544" t="s">
        <v>15359</v>
      </c>
      <c r="F4544" t="s">
        <v>10934</v>
      </c>
      <c r="G4544">
        <v>68.686</v>
      </c>
      <c r="H4544">
        <v>68.686</v>
      </c>
      <c r="I4544" t="s">
        <v>59</v>
      </c>
      <c r="J4544" t="s">
        <v>60</v>
      </c>
      <c r="K4544" t="s">
        <v>31</v>
      </c>
      <c r="L4544" t="s">
        <v>32</v>
      </c>
      <c r="M4544" t="s">
        <v>33</v>
      </c>
      <c r="P4544" s="1" t="s">
        <v>15606</v>
      </c>
      <c r="Q4544" s="1" t="s">
        <v>15359</v>
      </c>
      <c r="R4544" s="1" t="s">
        <v>15359</v>
      </c>
      <c r="S4544" s="1"/>
      <c r="T4544" s="1" t="s">
        <v>6983</v>
      </c>
      <c r="U4544" s="1"/>
      <c r="V4544" s="1">
        <v>68.686</v>
      </c>
      <c r="W4544" s="1">
        <v>68.686</v>
      </c>
      <c r="X4544" s="1" t="s">
        <v>35</v>
      </c>
      <c r="Y4544" s="1">
        <v>68686</v>
      </c>
      <c r="Z4544" s="1"/>
      <c r="AA4544" s="1">
        <v>68686</v>
      </c>
      <c r="AB4544" s="1"/>
      <c r="AC4544" s="1" t="s">
        <v>36</v>
      </c>
      <c r="AD4544" s="1" t="s">
        <v>15607</v>
      </c>
      <c r="AE4544" s="1" t="s">
        <v>32</v>
      </c>
      <c r="AF4544" s="1" t="s">
        <v>33</v>
      </c>
      <c r="AG4544" s="1" t="s">
        <v>60</v>
      </c>
    </row>
    <row r="4545" spans="1:33">
      <c r="A4545" t="s">
        <v>15608</v>
      </c>
      <c r="B4545" t="s">
        <v>1598</v>
      </c>
      <c r="C4545" t="s">
        <v>827</v>
      </c>
      <c r="D4545" t="s">
        <v>154</v>
      </c>
      <c r="E4545" t="s">
        <v>15359</v>
      </c>
      <c r="F4545" t="s">
        <v>10934</v>
      </c>
      <c r="G4545">
        <v>1.982</v>
      </c>
      <c r="H4545">
        <v>1.982</v>
      </c>
      <c r="I4545" t="s">
        <v>529</v>
      </c>
      <c r="J4545" t="s">
        <v>530</v>
      </c>
      <c r="K4545" t="s">
        <v>31</v>
      </c>
      <c r="L4545" t="s">
        <v>32</v>
      </c>
      <c r="M4545" t="s">
        <v>33</v>
      </c>
      <c r="P4545" s="1" t="s">
        <v>15609</v>
      </c>
      <c r="Q4545" s="1" t="s">
        <v>15359</v>
      </c>
      <c r="R4545" s="1" t="s">
        <v>14225</v>
      </c>
      <c r="S4545" s="1"/>
      <c r="T4545" s="1" t="s">
        <v>827</v>
      </c>
      <c r="U4545" s="1"/>
      <c r="V4545" s="1">
        <v>1.982</v>
      </c>
      <c r="W4545" s="1">
        <v>1.982</v>
      </c>
      <c r="X4545" s="1" t="s">
        <v>35</v>
      </c>
      <c r="Y4545" s="1">
        <v>1982800</v>
      </c>
      <c r="Z4545" s="1"/>
      <c r="AA4545" s="1">
        <v>1982800</v>
      </c>
      <c r="AB4545" s="1"/>
      <c r="AC4545" s="1" t="s">
        <v>36</v>
      </c>
      <c r="AD4545" s="1" t="s">
        <v>15610</v>
      </c>
      <c r="AE4545" s="1" t="s">
        <v>32</v>
      </c>
      <c r="AF4545" s="1" t="s">
        <v>33</v>
      </c>
      <c r="AG4545" s="1" t="s">
        <v>530</v>
      </c>
    </row>
    <row r="4546" spans="1:33">
      <c r="A4546" t="s">
        <v>15611</v>
      </c>
      <c r="B4546" t="s">
        <v>717</v>
      </c>
      <c r="C4546" t="s">
        <v>569</v>
      </c>
      <c r="E4546" t="s">
        <v>15359</v>
      </c>
      <c r="F4546" t="s">
        <v>10934</v>
      </c>
      <c r="G4546">
        <v>1.36</v>
      </c>
      <c r="H4546">
        <v>1.36</v>
      </c>
      <c r="I4546" t="s">
        <v>570</v>
      </c>
      <c r="J4546" t="s">
        <v>571</v>
      </c>
      <c r="K4546" t="s">
        <v>31</v>
      </c>
      <c r="L4546" t="s">
        <v>32</v>
      </c>
      <c r="M4546" t="s">
        <v>33</v>
      </c>
      <c r="P4546" s="1" t="s">
        <v>15612</v>
      </c>
      <c r="Q4546" s="1" t="s">
        <v>15359</v>
      </c>
      <c r="R4546" s="1" t="s">
        <v>15359</v>
      </c>
      <c r="S4546" s="1"/>
      <c r="T4546" s="1" t="s">
        <v>569</v>
      </c>
      <c r="U4546" s="1"/>
      <c r="V4546" s="1">
        <v>1.36</v>
      </c>
      <c r="W4546" s="1">
        <v>1.36</v>
      </c>
      <c r="X4546" s="1" t="s">
        <v>35</v>
      </c>
      <c r="Y4546" s="1">
        <v>1360</v>
      </c>
      <c r="Z4546" s="1"/>
      <c r="AA4546" s="1">
        <v>1360</v>
      </c>
      <c r="AB4546" s="1"/>
      <c r="AC4546" s="1" t="s">
        <v>36</v>
      </c>
      <c r="AD4546" s="1" t="s">
        <v>15613</v>
      </c>
      <c r="AE4546" s="1" t="s">
        <v>32</v>
      </c>
      <c r="AF4546" s="1" t="s">
        <v>33</v>
      </c>
      <c r="AG4546" s="1" t="s">
        <v>571</v>
      </c>
    </row>
    <row r="4547" spans="1:33">
      <c r="A4547" t="s">
        <v>15614</v>
      </c>
      <c r="B4547" t="s">
        <v>4730</v>
      </c>
      <c r="C4547" t="s">
        <v>569</v>
      </c>
      <c r="E4547" t="s">
        <v>15359</v>
      </c>
      <c r="F4547" t="s">
        <v>10934</v>
      </c>
      <c r="G4547">
        <v>36.99</v>
      </c>
      <c r="H4547">
        <v>36.99</v>
      </c>
      <c r="I4547" t="s">
        <v>570</v>
      </c>
      <c r="J4547" t="s">
        <v>571</v>
      </c>
      <c r="K4547" t="s">
        <v>31</v>
      </c>
      <c r="L4547" t="s">
        <v>32</v>
      </c>
      <c r="M4547" t="s">
        <v>33</v>
      </c>
      <c r="P4547" s="1" t="s">
        <v>15615</v>
      </c>
      <c r="Q4547" s="1" t="s">
        <v>15359</v>
      </c>
      <c r="R4547" s="1" t="s">
        <v>15359</v>
      </c>
      <c r="S4547" s="1"/>
      <c r="T4547" s="1" t="s">
        <v>569</v>
      </c>
      <c r="U4547" s="1"/>
      <c r="V4547" s="1">
        <v>36.99</v>
      </c>
      <c r="W4547" s="1">
        <v>36.99</v>
      </c>
      <c r="X4547" s="1" t="s">
        <v>35</v>
      </c>
      <c r="Y4547" s="1">
        <v>36990</v>
      </c>
      <c r="Z4547" s="1"/>
      <c r="AA4547" s="1">
        <v>36990</v>
      </c>
      <c r="AB4547" s="1"/>
      <c r="AC4547" s="1" t="s">
        <v>36</v>
      </c>
      <c r="AD4547" s="1" t="s">
        <v>15616</v>
      </c>
      <c r="AE4547" s="1" t="s">
        <v>32</v>
      </c>
      <c r="AF4547" s="1" t="s">
        <v>33</v>
      </c>
      <c r="AG4547" s="1" t="s">
        <v>571</v>
      </c>
    </row>
    <row r="4548" spans="1:33">
      <c r="A4548" t="s">
        <v>15617</v>
      </c>
      <c r="C4548" t="s">
        <v>575</v>
      </c>
      <c r="E4548" t="s">
        <v>15359</v>
      </c>
      <c r="F4548" t="s">
        <v>10934</v>
      </c>
      <c r="G4548">
        <v>336.0</v>
      </c>
      <c r="H4548">
        <v>336.0</v>
      </c>
      <c r="I4548" t="s">
        <v>94</v>
      </c>
      <c r="J4548" t="s">
        <v>95</v>
      </c>
      <c r="K4548" t="s">
        <v>31</v>
      </c>
      <c r="L4548" t="s">
        <v>32</v>
      </c>
      <c r="M4548" t="s">
        <v>33</v>
      </c>
      <c r="P4548" s="1" t="s">
        <v>15618</v>
      </c>
      <c r="Q4548" s="1" t="s">
        <v>15359</v>
      </c>
      <c r="R4548" s="1" t="s">
        <v>15359</v>
      </c>
      <c r="S4548" s="1"/>
      <c r="T4548" s="1" t="s">
        <v>575</v>
      </c>
      <c r="U4548" s="1"/>
      <c r="V4548" s="1">
        <v>336.0</v>
      </c>
      <c r="W4548" s="1">
        <v>336.0</v>
      </c>
      <c r="X4548" s="1" t="s">
        <v>35</v>
      </c>
      <c r="Y4548" s="1">
        <v>336000</v>
      </c>
      <c r="Z4548" s="1"/>
      <c r="AA4548" s="1">
        <v>336000</v>
      </c>
      <c r="AB4548" s="1"/>
      <c r="AC4548" s="1" t="s">
        <v>36</v>
      </c>
      <c r="AD4548" s="1" t="s">
        <v>15604</v>
      </c>
      <c r="AE4548" s="1" t="s">
        <v>32</v>
      </c>
      <c r="AF4548" s="1" t="s">
        <v>33</v>
      </c>
      <c r="AG4548" s="1" t="s">
        <v>95</v>
      </c>
    </row>
    <row r="4549" spans="1:33">
      <c r="A4549" t="s">
        <v>15619</v>
      </c>
      <c r="C4549" t="s">
        <v>4045</v>
      </c>
      <c r="E4549" t="s">
        <v>15359</v>
      </c>
      <c r="F4549" t="s">
        <v>10934</v>
      </c>
      <c r="G4549">
        <v>1.317</v>
      </c>
      <c r="H4549">
        <v>1.317</v>
      </c>
      <c r="I4549" t="s">
        <v>94</v>
      </c>
      <c r="J4549" t="s">
        <v>95</v>
      </c>
      <c r="K4549" t="s">
        <v>31</v>
      </c>
      <c r="L4549" t="s">
        <v>32</v>
      </c>
      <c r="M4549" t="s">
        <v>33</v>
      </c>
      <c r="P4549" s="1" t="s">
        <v>15620</v>
      </c>
      <c r="Q4549" s="1" t="s">
        <v>15359</v>
      </c>
      <c r="R4549" s="1" t="s">
        <v>15359</v>
      </c>
      <c r="S4549" s="1"/>
      <c r="T4549" s="1" t="s">
        <v>4047</v>
      </c>
      <c r="U4549" s="1" t="s">
        <v>4048</v>
      </c>
      <c r="V4549" s="1">
        <v>1.317</v>
      </c>
      <c r="W4549" s="1">
        <v>1.317</v>
      </c>
      <c r="X4549" s="1" t="s">
        <v>35</v>
      </c>
      <c r="Y4549" s="1">
        <v>1317550</v>
      </c>
      <c r="Z4549" s="1"/>
      <c r="AA4549" s="1">
        <v>1317550</v>
      </c>
      <c r="AB4549" s="1"/>
      <c r="AC4549" s="1" t="s">
        <v>36</v>
      </c>
      <c r="AD4549" s="1" t="s">
        <v>15613</v>
      </c>
      <c r="AE4549" s="1" t="s">
        <v>32</v>
      </c>
      <c r="AF4549" s="1" t="s">
        <v>33</v>
      </c>
      <c r="AG4549" s="1" t="s">
        <v>95</v>
      </c>
    </row>
    <row r="4550" spans="1:33">
      <c r="A4550" t="s">
        <v>15621</v>
      </c>
      <c r="B4550" t="s">
        <v>15622</v>
      </c>
      <c r="C4550" t="s">
        <v>172</v>
      </c>
      <c r="E4550" t="s">
        <v>15359</v>
      </c>
      <c r="F4550" t="s">
        <v>10934</v>
      </c>
      <c r="G4550">
        <v>9.997</v>
      </c>
      <c r="H4550">
        <v>9.997</v>
      </c>
      <c r="I4550" t="s">
        <v>173</v>
      </c>
      <c r="J4550" t="s">
        <v>174</v>
      </c>
      <c r="K4550" t="s">
        <v>31</v>
      </c>
      <c r="L4550" t="s">
        <v>32</v>
      </c>
      <c r="M4550" t="s">
        <v>33</v>
      </c>
      <c r="P4550" s="1" t="s">
        <v>15623</v>
      </c>
      <c r="Q4550" s="1" t="s">
        <v>15359</v>
      </c>
      <c r="R4550" s="1" t="s">
        <v>15359</v>
      </c>
      <c r="S4550" s="1"/>
      <c r="T4550" s="1" t="s">
        <v>172</v>
      </c>
      <c r="U4550" s="1"/>
      <c r="V4550" s="1">
        <v>9.997</v>
      </c>
      <c r="W4550" s="1">
        <v>9.997</v>
      </c>
      <c r="X4550" s="1" t="s">
        <v>35</v>
      </c>
      <c r="Y4550" s="1">
        <v>9997</v>
      </c>
      <c r="Z4550" s="1"/>
      <c r="AA4550" s="1">
        <v>9997</v>
      </c>
      <c r="AB4550" s="1"/>
      <c r="AC4550" s="1" t="s">
        <v>36</v>
      </c>
      <c r="AD4550" s="1" t="s">
        <v>15624</v>
      </c>
      <c r="AE4550" s="1" t="s">
        <v>32</v>
      </c>
      <c r="AF4550" s="1" t="s">
        <v>33</v>
      </c>
      <c r="AG4550" s="1" t="s">
        <v>174</v>
      </c>
    </row>
    <row r="4551" spans="1:33">
      <c r="A4551" t="s">
        <v>15625</v>
      </c>
      <c r="B4551" t="s">
        <v>2012</v>
      </c>
      <c r="C4551" t="s">
        <v>2013</v>
      </c>
      <c r="E4551" t="s">
        <v>15359</v>
      </c>
      <c r="F4551" t="s">
        <v>10934</v>
      </c>
      <c r="G4551">
        <v>370.0</v>
      </c>
      <c r="H4551">
        <v>370.0</v>
      </c>
      <c r="I4551" t="s">
        <v>59</v>
      </c>
      <c r="J4551" t="s">
        <v>60</v>
      </c>
      <c r="K4551" t="s">
        <v>31</v>
      </c>
      <c r="L4551" t="s">
        <v>32</v>
      </c>
      <c r="M4551" t="s">
        <v>33</v>
      </c>
      <c r="P4551" s="1" t="s">
        <v>15626</v>
      </c>
      <c r="Q4551" s="1" t="s">
        <v>15359</v>
      </c>
      <c r="R4551" s="1" t="s">
        <v>15359</v>
      </c>
      <c r="S4551" s="1"/>
      <c r="T4551" s="1" t="s">
        <v>2013</v>
      </c>
      <c r="U4551" s="1"/>
      <c r="V4551" s="1">
        <v>370.0</v>
      </c>
      <c r="W4551" s="1">
        <v>370.0</v>
      </c>
      <c r="X4551" s="1" t="s">
        <v>35</v>
      </c>
      <c r="Y4551" s="1">
        <v>370000</v>
      </c>
      <c r="Z4551" s="1"/>
      <c r="AA4551" s="1">
        <v>370000</v>
      </c>
      <c r="AB4551" s="1"/>
      <c r="AC4551" s="1" t="s">
        <v>36</v>
      </c>
      <c r="AD4551" s="1" t="s">
        <v>15627</v>
      </c>
      <c r="AE4551" s="1" t="s">
        <v>32</v>
      </c>
      <c r="AF4551" s="1" t="s">
        <v>33</v>
      </c>
      <c r="AG4551" s="1" t="s">
        <v>60</v>
      </c>
    </row>
    <row r="4552" spans="1:33">
      <c r="A4552" t="s">
        <v>15628</v>
      </c>
      <c r="B4552" t="s">
        <v>15629</v>
      </c>
      <c r="C4552" t="s">
        <v>47</v>
      </c>
      <c r="E4552" t="s">
        <v>15359</v>
      </c>
      <c r="F4552" t="s">
        <v>10934</v>
      </c>
      <c r="G4552">
        <v>21.99</v>
      </c>
      <c r="H4552">
        <v>21.99</v>
      </c>
      <c r="I4552" t="s">
        <v>2206</v>
      </c>
      <c r="J4552" t="s">
        <v>49</v>
      </c>
      <c r="K4552" t="s">
        <v>31</v>
      </c>
      <c r="L4552" t="s">
        <v>32</v>
      </c>
      <c r="M4552" t="s">
        <v>33</v>
      </c>
      <c r="P4552" s="1" t="s">
        <v>15630</v>
      </c>
      <c r="Q4552" s="1" t="s">
        <v>15359</v>
      </c>
      <c r="R4552" s="1" t="s">
        <v>15359</v>
      </c>
      <c r="S4552" s="1"/>
      <c r="T4552" s="1" t="s">
        <v>47</v>
      </c>
      <c r="U4552" s="1"/>
      <c r="V4552" s="1">
        <v>21.99</v>
      </c>
      <c r="W4552" s="1">
        <v>21.99</v>
      </c>
      <c r="X4552" s="1" t="s">
        <v>35</v>
      </c>
      <c r="Y4552" s="1">
        <v>22000</v>
      </c>
      <c r="Z4552" s="1">
        <v>-10</v>
      </c>
      <c r="AA4552" s="1">
        <v>22000</v>
      </c>
      <c r="AB4552" s="1">
        <v>-10</v>
      </c>
      <c r="AC4552" s="1" t="s">
        <v>36</v>
      </c>
      <c r="AD4552" s="1" t="s">
        <v>15631</v>
      </c>
      <c r="AE4552" s="1" t="s">
        <v>32</v>
      </c>
      <c r="AF4552" s="1" t="s">
        <v>33</v>
      </c>
      <c r="AG4552" s="1" t="s">
        <v>49</v>
      </c>
    </row>
    <row r="4553" spans="1:33">
      <c r="A4553" t="s">
        <v>15632</v>
      </c>
      <c r="B4553" t="s">
        <v>15633</v>
      </c>
      <c r="C4553" t="s">
        <v>15634</v>
      </c>
      <c r="D4553" t="s">
        <v>114</v>
      </c>
      <c r="E4553" t="s">
        <v>15359</v>
      </c>
      <c r="F4553" t="s">
        <v>10934</v>
      </c>
      <c r="G4553">
        <v>60.0</v>
      </c>
      <c r="H4553">
        <v>60.0</v>
      </c>
      <c r="I4553" t="s">
        <v>59</v>
      </c>
      <c r="J4553" t="s">
        <v>60</v>
      </c>
      <c r="K4553" t="s">
        <v>31</v>
      </c>
      <c r="L4553" t="s">
        <v>32</v>
      </c>
      <c r="M4553" t="s">
        <v>33</v>
      </c>
      <c r="P4553" s="1" t="s">
        <v>15635</v>
      </c>
      <c r="Q4553" s="1" t="s">
        <v>15359</v>
      </c>
      <c r="R4553" s="1" t="s">
        <v>15359</v>
      </c>
      <c r="S4553" s="1"/>
      <c r="T4553" s="1" t="s">
        <v>15634</v>
      </c>
      <c r="U4553" s="1"/>
      <c r="V4553" s="1">
        <v>60.0</v>
      </c>
      <c r="W4553" s="1">
        <v>60.0</v>
      </c>
      <c r="X4553" s="1" t="s">
        <v>35</v>
      </c>
      <c r="Y4553" s="1">
        <v>60000</v>
      </c>
      <c r="Z4553" s="1"/>
      <c r="AA4553" s="1">
        <v>60000</v>
      </c>
      <c r="AB4553" s="1"/>
      <c r="AC4553" s="1" t="s">
        <v>36</v>
      </c>
      <c r="AD4553" s="1" t="s">
        <v>15636</v>
      </c>
      <c r="AE4553" s="1" t="s">
        <v>32</v>
      </c>
      <c r="AF4553" s="1" t="s">
        <v>33</v>
      </c>
      <c r="AG4553" s="1" t="s">
        <v>60</v>
      </c>
    </row>
    <row r="4554" spans="1:33">
      <c r="A4554" t="s">
        <v>15637</v>
      </c>
      <c r="B4554" t="s">
        <v>15638</v>
      </c>
      <c r="C4554" t="s">
        <v>68</v>
      </c>
      <c r="E4554" t="s">
        <v>15359</v>
      </c>
      <c r="F4554" t="s">
        <v>10934</v>
      </c>
      <c r="G4554">
        <v>137.45</v>
      </c>
      <c r="H4554">
        <v>137.45</v>
      </c>
      <c r="I4554" t="s">
        <v>59</v>
      </c>
      <c r="J4554" t="s">
        <v>60</v>
      </c>
      <c r="K4554" t="s">
        <v>31</v>
      </c>
      <c r="L4554" t="s">
        <v>32</v>
      </c>
      <c r="M4554" t="s">
        <v>33</v>
      </c>
      <c r="P4554" s="1" t="s">
        <v>15639</v>
      </c>
      <c r="Q4554" s="1" t="s">
        <v>15359</v>
      </c>
      <c r="R4554" s="1" t="s">
        <v>15359</v>
      </c>
      <c r="S4554" s="1"/>
      <c r="T4554" s="1" t="s">
        <v>68</v>
      </c>
      <c r="U4554" s="1"/>
      <c r="V4554" s="1">
        <v>137.45</v>
      </c>
      <c r="W4554" s="1">
        <v>137.45</v>
      </c>
      <c r="X4554" s="1" t="s">
        <v>35</v>
      </c>
      <c r="Y4554" s="1">
        <v>137450</v>
      </c>
      <c r="Z4554" s="1"/>
      <c r="AA4554" s="1">
        <v>137450</v>
      </c>
      <c r="AB4554" s="1"/>
      <c r="AC4554" s="1" t="s">
        <v>36</v>
      </c>
      <c r="AD4554" s="1" t="s">
        <v>15624</v>
      </c>
      <c r="AE4554" s="1" t="s">
        <v>32</v>
      </c>
      <c r="AF4554" s="1" t="s">
        <v>33</v>
      </c>
      <c r="AG4554" s="1" t="s">
        <v>60</v>
      </c>
    </row>
    <row r="4555" spans="1:33">
      <c r="A4555" t="s">
        <v>15640</v>
      </c>
      <c r="B4555" t="s">
        <v>11525</v>
      </c>
      <c r="C4555" t="s">
        <v>68</v>
      </c>
      <c r="E4555" t="s">
        <v>15359</v>
      </c>
      <c r="F4555" t="s">
        <v>10934</v>
      </c>
      <c r="G4555">
        <v>10.545</v>
      </c>
      <c r="H4555">
        <v>10.545</v>
      </c>
      <c r="I4555" t="s">
        <v>59</v>
      </c>
      <c r="J4555" t="s">
        <v>60</v>
      </c>
      <c r="K4555" t="s">
        <v>31</v>
      </c>
      <c r="L4555" t="s">
        <v>32</v>
      </c>
      <c r="M4555" t="s">
        <v>33</v>
      </c>
      <c r="P4555" s="1" t="s">
        <v>15641</v>
      </c>
      <c r="Q4555" s="1" t="s">
        <v>15359</v>
      </c>
      <c r="R4555" s="1" t="s">
        <v>15359</v>
      </c>
      <c r="S4555" s="1"/>
      <c r="T4555" s="1" t="s">
        <v>68</v>
      </c>
      <c r="U4555" s="1"/>
      <c r="V4555" s="1">
        <v>10.545</v>
      </c>
      <c r="W4555" s="1">
        <v>10.545</v>
      </c>
      <c r="X4555" s="1" t="s">
        <v>35</v>
      </c>
      <c r="Y4555" s="1">
        <v>10545</v>
      </c>
      <c r="Z4555" s="1"/>
      <c r="AA4555" s="1">
        <v>10545</v>
      </c>
      <c r="AB4555" s="1"/>
      <c r="AC4555" s="1" t="s">
        <v>36</v>
      </c>
      <c r="AD4555" s="1" t="s">
        <v>15642</v>
      </c>
      <c r="AE4555" s="1" t="s">
        <v>32</v>
      </c>
      <c r="AF4555" s="1" t="s">
        <v>33</v>
      </c>
      <c r="AG4555" s="1" t="s">
        <v>60</v>
      </c>
    </row>
    <row r="4556" spans="1:33">
      <c r="A4556" t="s">
        <v>15643</v>
      </c>
      <c r="C4556" t="s">
        <v>4585</v>
      </c>
      <c r="E4556" t="s">
        <v>15359</v>
      </c>
      <c r="F4556" t="s">
        <v>10934</v>
      </c>
      <c r="G4556">
        <v>400.0</v>
      </c>
      <c r="H4556">
        <v>400.0</v>
      </c>
      <c r="I4556" t="s">
        <v>269</v>
      </c>
      <c r="J4556" t="s">
        <v>270</v>
      </c>
      <c r="K4556" t="s">
        <v>31</v>
      </c>
      <c r="L4556" t="s">
        <v>32</v>
      </c>
      <c r="M4556" t="s">
        <v>33</v>
      </c>
      <c r="P4556" s="1" t="s">
        <v>15644</v>
      </c>
      <c r="Q4556" s="1" t="s">
        <v>15359</v>
      </c>
      <c r="R4556" s="1" t="s">
        <v>15359</v>
      </c>
      <c r="S4556" s="1"/>
      <c r="T4556" s="1" t="s">
        <v>4585</v>
      </c>
      <c r="U4556" s="1"/>
      <c r="V4556" s="1">
        <v>400.0</v>
      </c>
      <c r="W4556" s="1">
        <v>400.0</v>
      </c>
      <c r="X4556" s="1" t="s">
        <v>35</v>
      </c>
      <c r="Y4556" s="1">
        <v>400000</v>
      </c>
      <c r="Z4556" s="1"/>
      <c r="AA4556" s="1">
        <v>400000</v>
      </c>
      <c r="AB4556" s="1"/>
      <c r="AC4556" s="1" t="s">
        <v>36</v>
      </c>
      <c r="AD4556" s="1" t="s">
        <v>15645</v>
      </c>
      <c r="AE4556" s="1" t="s">
        <v>32</v>
      </c>
      <c r="AF4556" s="1" t="s">
        <v>33</v>
      </c>
      <c r="AG4556" s="1" t="s">
        <v>270</v>
      </c>
    </row>
    <row r="4557" spans="1:33">
      <c r="A4557" t="s">
        <v>15646</v>
      </c>
      <c r="C4557" t="s">
        <v>2525</v>
      </c>
      <c r="E4557" t="s">
        <v>15359</v>
      </c>
      <c r="F4557" t="s">
        <v>10934</v>
      </c>
      <c r="G4557">
        <v>451.0</v>
      </c>
      <c r="H4557">
        <v>451.0</v>
      </c>
      <c r="I4557" t="s">
        <v>269</v>
      </c>
      <c r="J4557" t="s">
        <v>270</v>
      </c>
      <c r="K4557" t="s">
        <v>31</v>
      </c>
      <c r="L4557" t="s">
        <v>32</v>
      </c>
      <c r="M4557" t="s">
        <v>33</v>
      </c>
      <c r="P4557" s="1" t="s">
        <v>15647</v>
      </c>
      <c r="Q4557" s="1" t="s">
        <v>15359</v>
      </c>
      <c r="R4557" s="1" t="s">
        <v>15359</v>
      </c>
      <c r="S4557" s="1"/>
      <c r="T4557" s="1" t="s">
        <v>2525</v>
      </c>
      <c r="U4557" s="1"/>
      <c r="V4557" s="1">
        <v>451.0</v>
      </c>
      <c r="W4557" s="1">
        <v>451.0</v>
      </c>
      <c r="X4557" s="1" t="s">
        <v>35</v>
      </c>
      <c r="Y4557" s="1">
        <v>451000</v>
      </c>
      <c r="Z4557" s="1"/>
      <c r="AA4557" s="1">
        <v>451000</v>
      </c>
      <c r="AB4557" s="1"/>
      <c r="AC4557" s="1" t="s">
        <v>36</v>
      </c>
      <c r="AD4557" s="1" t="s">
        <v>15648</v>
      </c>
      <c r="AE4557" s="1" t="s">
        <v>32</v>
      </c>
      <c r="AF4557" s="1" t="s">
        <v>33</v>
      </c>
      <c r="AG4557" s="1" t="s">
        <v>270</v>
      </c>
    </row>
    <row r="4558" spans="1:33">
      <c r="A4558" t="s">
        <v>15649</v>
      </c>
      <c r="B4558" t="s">
        <v>15650</v>
      </c>
      <c r="C4558" t="s">
        <v>47</v>
      </c>
      <c r="E4558" t="s">
        <v>15359</v>
      </c>
      <c r="F4558" t="s">
        <v>10934</v>
      </c>
      <c r="G4558">
        <v>21.99</v>
      </c>
      <c r="H4558">
        <v>21.99</v>
      </c>
      <c r="I4558" t="s">
        <v>2206</v>
      </c>
      <c r="J4558" t="s">
        <v>49</v>
      </c>
      <c r="K4558" t="s">
        <v>31</v>
      </c>
      <c r="L4558" t="s">
        <v>32</v>
      </c>
      <c r="M4558" t="s">
        <v>33</v>
      </c>
      <c r="P4558" s="1" t="s">
        <v>15651</v>
      </c>
      <c r="Q4558" s="1" t="s">
        <v>15359</v>
      </c>
      <c r="R4558" s="1" t="s">
        <v>15359</v>
      </c>
      <c r="S4558" s="1"/>
      <c r="T4558" s="1" t="s">
        <v>47</v>
      </c>
      <c r="U4558" s="1"/>
      <c r="V4558" s="1">
        <v>21.99</v>
      </c>
      <c r="W4558" s="1">
        <v>21.99</v>
      </c>
      <c r="X4558" s="1" t="s">
        <v>35</v>
      </c>
      <c r="Y4558" s="1">
        <v>21990</v>
      </c>
      <c r="Z4558" s="1"/>
      <c r="AA4558" s="1">
        <v>21990</v>
      </c>
      <c r="AB4558" s="1"/>
      <c r="AC4558" s="1" t="s">
        <v>36</v>
      </c>
      <c r="AD4558" s="1" t="s">
        <v>15652</v>
      </c>
      <c r="AE4558" s="1" t="s">
        <v>32</v>
      </c>
      <c r="AF4558" s="1" t="s">
        <v>33</v>
      </c>
      <c r="AG4558" s="1" t="s">
        <v>49</v>
      </c>
    </row>
    <row r="4559" spans="1:33">
      <c r="A4559" t="s">
        <v>15653</v>
      </c>
      <c r="B4559" t="s">
        <v>9310</v>
      </c>
      <c r="C4559" t="s">
        <v>569</v>
      </c>
      <c r="E4559" t="s">
        <v>15359</v>
      </c>
      <c r="F4559" t="s">
        <v>10934</v>
      </c>
      <c r="G4559">
        <v>40.49</v>
      </c>
      <c r="H4559">
        <v>40.49</v>
      </c>
      <c r="I4559" t="s">
        <v>570</v>
      </c>
      <c r="J4559" t="s">
        <v>571</v>
      </c>
      <c r="K4559" t="s">
        <v>31</v>
      </c>
      <c r="L4559" t="s">
        <v>32</v>
      </c>
      <c r="M4559" t="s">
        <v>33</v>
      </c>
      <c r="P4559" s="1" t="s">
        <v>15654</v>
      </c>
      <c r="Q4559" s="1" t="s">
        <v>15359</v>
      </c>
      <c r="R4559" s="1" t="s">
        <v>15359</v>
      </c>
      <c r="S4559" s="1"/>
      <c r="T4559" s="1" t="s">
        <v>569</v>
      </c>
      <c r="U4559" s="1"/>
      <c r="V4559" s="1">
        <v>40.49</v>
      </c>
      <c r="W4559" s="1">
        <v>40.49</v>
      </c>
      <c r="X4559" s="1" t="s">
        <v>35</v>
      </c>
      <c r="Y4559" s="1">
        <v>40490</v>
      </c>
      <c r="Z4559" s="1"/>
      <c r="AA4559" s="1">
        <v>40490</v>
      </c>
      <c r="AB4559" s="1"/>
      <c r="AC4559" s="1" t="s">
        <v>36</v>
      </c>
      <c r="AD4559" s="1" t="s">
        <v>15648</v>
      </c>
      <c r="AE4559" s="1" t="s">
        <v>32</v>
      </c>
      <c r="AF4559" s="1" t="s">
        <v>33</v>
      </c>
      <c r="AG4559" s="1" t="s">
        <v>571</v>
      </c>
    </row>
    <row r="4560" spans="1:33">
      <c r="A4560" t="s">
        <v>15655</v>
      </c>
      <c r="C4560" t="s">
        <v>1777</v>
      </c>
      <c r="E4560" t="s">
        <v>15359</v>
      </c>
      <c r="F4560" t="s">
        <v>10934</v>
      </c>
      <c r="G4560">
        <v>893.5</v>
      </c>
      <c r="H4560">
        <v>893.5</v>
      </c>
      <c r="I4560" t="s">
        <v>40</v>
      </c>
      <c r="J4560" t="s">
        <v>41</v>
      </c>
      <c r="K4560" t="s">
        <v>31</v>
      </c>
      <c r="L4560" t="s">
        <v>32</v>
      </c>
      <c r="M4560" t="s">
        <v>33</v>
      </c>
      <c r="P4560" s="1" t="s">
        <v>15656</v>
      </c>
      <c r="Q4560" s="1" t="s">
        <v>15359</v>
      </c>
      <c r="R4560" s="1" t="s">
        <v>14225</v>
      </c>
      <c r="S4560" s="1"/>
      <c r="T4560" s="1" t="s">
        <v>1777</v>
      </c>
      <c r="U4560" s="1"/>
      <c r="V4560" s="1">
        <v>893.5</v>
      </c>
      <c r="W4560" s="1">
        <v>893.5</v>
      </c>
      <c r="X4560" s="1" t="s">
        <v>35</v>
      </c>
      <c r="Y4560" s="1">
        <v>893500</v>
      </c>
      <c r="Z4560" s="1"/>
      <c r="AA4560" s="1">
        <v>893500</v>
      </c>
      <c r="AB4560" s="1"/>
      <c r="AC4560" s="1" t="s">
        <v>36</v>
      </c>
      <c r="AD4560" s="1" t="s">
        <v>15652</v>
      </c>
      <c r="AE4560" s="1" t="s">
        <v>32</v>
      </c>
      <c r="AF4560" s="1" t="s">
        <v>33</v>
      </c>
      <c r="AG4560" s="1" t="s">
        <v>41</v>
      </c>
    </row>
    <row r="4561" spans="1:33">
      <c r="A4561" t="s">
        <v>15657</v>
      </c>
      <c r="B4561" t="s">
        <v>905</v>
      </c>
      <c r="C4561" t="s">
        <v>906</v>
      </c>
      <c r="E4561" t="s">
        <v>15359</v>
      </c>
      <c r="F4561" t="s">
        <v>10934</v>
      </c>
      <c r="G4561">
        <v>69.16</v>
      </c>
      <c r="H4561">
        <v>69.16</v>
      </c>
      <c r="I4561" t="s">
        <v>847</v>
      </c>
      <c r="J4561" t="s">
        <v>848</v>
      </c>
      <c r="K4561" t="s">
        <v>31</v>
      </c>
      <c r="L4561" t="s">
        <v>32</v>
      </c>
      <c r="M4561" t="s">
        <v>33</v>
      </c>
      <c r="P4561" s="1" t="s">
        <v>15658</v>
      </c>
      <c r="Q4561" s="1" t="s">
        <v>15359</v>
      </c>
      <c r="R4561" s="1" t="s">
        <v>15359</v>
      </c>
      <c r="S4561" s="1"/>
      <c r="T4561" s="1" t="s">
        <v>906</v>
      </c>
      <c r="U4561" s="1"/>
      <c r="V4561" s="1">
        <v>69.16</v>
      </c>
      <c r="W4561" s="1">
        <v>69.16</v>
      </c>
      <c r="X4561" s="1" t="s">
        <v>35</v>
      </c>
      <c r="Y4561" s="1">
        <v>69160</v>
      </c>
      <c r="Z4561" s="1"/>
      <c r="AA4561" s="1">
        <v>69160</v>
      </c>
      <c r="AB4561" s="1"/>
      <c r="AC4561" s="1" t="s">
        <v>36</v>
      </c>
      <c r="AD4561" s="1" t="s">
        <v>15659</v>
      </c>
      <c r="AE4561" s="1" t="s">
        <v>32</v>
      </c>
      <c r="AF4561" s="1" t="s">
        <v>33</v>
      </c>
      <c r="AG4561" s="1" t="s">
        <v>848</v>
      </c>
    </row>
    <row r="4562" spans="1:33">
      <c r="A4562" t="s">
        <v>15660</v>
      </c>
      <c r="C4562" t="s">
        <v>1248</v>
      </c>
      <c r="E4562" t="s">
        <v>15359</v>
      </c>
      <c r="F4562" t="s">
        <v>10934</v>
      </c>
      <c r="G4562">
        <v>58.5</v>
      </c>
      <c r="H4562">
        <v>58.5</v>
      </c>
      <c r="I4562" t="s">
        <v>269</v>
      </c>
      <c r="J4562" t="s">
        <v>270</v>
      </c>
      <c r="K4562" t="s">
        <v>31</v>
      </c>
      <c r="L4562" t="s">
        <v>32</v>
      </c>
      <c r="M4562" t="s">
        <v>33</v>
      </c>
      <c r="P4562" s="1" t="s">
        <v>15661</v>
      </c>
      <c r="Q4562" s="1" t="s">
        <v>15359</v>
      </c>
      <c r="R4562" s="1" t="s">
        <v>15359</v>
      </c>
      <c r="S4562" s="1"/>
      <c r="T4562" s="1" t="s">
        <v>1250</v>
      </c>
      <c r="U4562" s="1" t="s">
        <v>1251</v>
      </c>
      <c r="V4562" s="1">
        <v>58.5</v>
      </c>
      <c r="W4562" s="1">
        <v>58.5</v>
      </c>
      <c r="X4562" s="1" t="s">
        <v>35</v>
      </c>
      <c r="Y4562" s="1">
        <v>58500</v>
      </c>
      <c r="Z4562" s="1"/>
      <c r="AA4562" s="1">
        <v>58500</v>
      </c>
      <c r="AB4562" s="1"/>
      <c r="AC4562" s="1" t="s">
        <v>36</v>
      </c>
      <c r="AD4562" s="1" t="s">
        <v>15662</v>
      </c>
      <c r="AE4562" s="1" t="s">
        <v>32</v>
      </c>
      <c r="AF4562" s="1" t="s">
        <v>33</v>
      </c>
      <c r="AG4562" s="1" t="s">
        <v>270</v>
      </c>
    </row>
    <row r="4563" spans="1:33">
      <c r="A4563" t="s">
        <v>15663</v>
      </c>
      <c r="B4563" t="s">
        <v>9923</v>
      </c>
      <c r="C4563" t="s">
        <v>68</v>
      </c>
      <c r="E4563" t="s">
        <v>15359</v>
      </c>
      <c r="F4563" t="s">
        <v>10934</v>
      </c>
      <c r="G4563">
        <v>3.649</v>
      </c>
      <c r="H4563">
        <v>3.649</v>
      </c>
      <c r="I4563" t="s">
        <v>59</v>
      </c>
      <c r="J4563" t="s">
        <v>60</v>
      </c>
      <c r="K4563" t="s">
        <v>31</v>
      </c>
      <c r="L4563" t="s">
        <v>32</v>
      </c>
      <c r="M4563" t="s">
        <v>33</v>
      </c>
      <c r="P4563" s="1" t="s">
        <v>15664</v>
      </c>
      <c r="Q4563" s="1" t="s">
        <v>15359</v>
      </c>
      <c r="R4563" s="1" t="s">
        <v>15359</v>
      </c>
      <c r="S4563" s="1"/>
      <c r="T4563" s="1" t="s">
        <v>68</v>
      </c>
      <c r="U4563" s="1"/>
      <c r="V4563" s="1">
        <v>3.649</v>
      </c>
      <c r="W4563" s="1">
        <v>3.649</v>
      </c>
      <c r="X4563" s="1" t="s">
        <v>35</v>
      </c>
      <c r="Y4563" s="1">
        <v>3649</v>
      </c>
      <c r="Z4563" s="1"/>
      <c r="AA4563" s="1">
        <v>3649</v>
      </c>
      <c r="AB4563" s="1"/>
      <c r="AC4563" s="1" t="s">
        <v>36</v>
      </c>
      <c r="AD4563" s="1" t="s">
        <v>15665</v>
      </c>
      <c r="AE4563" s="1" t="s">
        <v>32</v>
      </c>
      <c r="AF4563" s="1" t="s">
        <v>33</v>
      </c>
      <c r="AG4563" s="1" t="s">
        <v>60</v>
      </c>
    </row>
    <row r="4564" spans="1:33">
      <c r="A4564" t="s">
        <v>15666</v>
      </c>
      <c r="C4564" t="s">
        <v>1024</v>
      </c>
      <c r="E4564" t="s">
        <v>15359</v>
      </c>
      <c r="F4564" t="s">
        <v>10934</v>
      </c>
      <c r="G4564">
        <v>326.0</v>
      </c>
      <c r="H4564">
        <v>326.0</v>
      </c>
      <c r="I4564" t="s">
        <v>847</v>
      </c>
      <c r="J4564" t="s">
        <v>848</v>
      </c>
      <c r="K4564" t="s">
        <v>31</v>
      </c>
      <c r="L4564" t="s">
        <v>32</v>
      </c>
      <c r="M4564" t="s">
        <v>33</v>
      </c>
      <c r="P4564" s="1" t="s">
        <v>15667</v>
      </c>
      <c r="Q4564" s="1" t="s">
        <v>15359</v>
      </c>
      <c r="R4564" s="1" t="s">
        <v>15359</v>
      </c>
      <c r="S4564" s="1"/>
      <c r="T4564" s="1" t="s">
        <v>1024</v>
      </c>
      <c r="U4564" s="1"/>
      <c r="V4564" s="1">
        <v>326.0</v>
      </c>
      <c r="W4564" s="1">
        <v>326.0</v>
      </c>
      <c r="X4564" s="1" t="s">
        <v>35</v>
      </c>
      <c r="Y4564" s="1">
        <v>326000</v>
      </c>
      <c r="Z4564" s="1"/>
      <c r="AA4564" s="1">
        <v>326000</v>
      </c>
      <c r="AB4564" s="1"/>
      <c r="AC4564" s="1" t="s">
        <v>36</v>
      </c>
      <c r="AD4564" s="1" t="s">
        <v>15668</v>
      </c>
      <c r="AE4564" s="1" t="s">
        <v>32</v>
      </c>
      <c r="AF4564" s="1" t="s">
        <v>33</v>
      </c>
      <c r="AG4564" s="1" t="s">
        <v>848</v>
      </c>
    </row>
    <row r="4565" spans="1:33">
      <c r="A4565" t="s">
        <v>15669</v>
      </c>
      <c r="C4565" t="s">
        <v>5851</v>
      </c>
      <c r="E4565" t="s">
        <v>15359</v>
      </c>
      <c r="F4565" t="s">
        <v>10934</v>
      </c>
      <c r="G4565">
        <v>438.0</v>
      </c>
      <c r="H4565">
        <v>438.0</v>
      </c>
      <c r="I4565" t="s">
        <v>179</v>
      </c>
      <c r="J4565" t="s">
        <v>180</v>
      </c>
      <c r="K4565" t="s">
        <v>31</v>
      </c>
      <c r="L4565" t="s">
        <v>32</v>
      </c>
      <c r="M4565" t="s">
        <v>33</v>
      </c>
      <c r="P4565" s="1" t="s">
        <v>15670</v>
      </c>
      <c r="Q4565" s="1" t="s">
        <v>15359</v>
      </c>
      <c r="R4565" s="1" t="s">
        <v>15359</v>
      </c>
      <c r="S4565" s="1"/>
      <c r="T4565" s="1" t="s">
        <v>5851</v>
      </c>
      <c r="U4565" s="1"/>
      <c r="V4565" s="1">
        <v>438.0</v>
      </c>
      <c r="W4565" s="1">
        <v>438.0</v>
      </c>
      <c r="X4565" s="1" t="s">
        <v>35</v>
      </c>
      <c r="Y4565" s="1">
        <v>438000</v>
      </c>
      <c r="Z4565" s="1"/>
      <c r="AA4565" s="1">
        <v>438000</v>
      </c>
      <c r="AB4565" s="1"/>
      <c r="AC4565" s="1" t="s">
        <v>36</v>
      </c>
      <c r="AD4565" s="1" t="s">
        <v>15671</v>
      </c>
      <c r="AE4565" s="1" t="s">
        <v>32</v>
      </c>
      <c r="AF4565" s="1" t="s">
        <v>33</v>
      </c>
      <c r="AG4565" s="1" t="s">
        <v>180</v>
      </c>
    </row>
    <row r="4566" spans="1:33">
      <c r="A4566" t="s">
        <v>15672</v>
      </c>
      <c r="C4566" t="s">
        <v>2544</v>
      </c>
      <c r="E4566" t="s">
        <v>15359</v>
      </c>
      <c r="F4566" t="s">
        <v>10934</v>
      </c>
      <c r="G4566">
        <v>4.63</v>
      </c>
      <c r="H4566">
        <v>4.63</v>
      </c>
      <c r="I4566" t="s">
        <v>847</v>
      </c>
      <c r="J4566" t="s">
        <v>848</v>
      </c>
      <c r="K4566" t="s">
        <v>31</v>
      </c>
      <c r="L4566" t="s">
        <v>32</v>
      </c>
      <c r="M4566" t="s">
        <v>33</v>
      </c>
      <c r="P4566" s="1" t="s">
        <v>15673</v>
      </c>
      <c r="Q4566" s="1" t="s">
        <v>15359</v>
      </c>
      <c r="R4566" s="1" t="s">
        <v>15359</v>
      </c>
      <c r="S4566" s="1"/>
      <c r="T4566" s="1" t="s">
        <v>2544</v>
      </c>
      <c r="U4566" s="1"/>
      <c r="V4566" s="1">
        <v>4.63</v>
      </c>
      <c r="W4566" s="1">
        <v>4.63</v>
      </c>
      <c r="X4566" s="1" t="s">
        <v>35</v>
      </c>
      <c r="Y4566" s="1">
        <v>4630000</v>
      </c>
      <c r="Z4566" s="1"/>
      <c r="AA4566" s="1">
        <v>4630000</v>
      </c>
      <c r="AB4566" s="1"/>
      <c r="AC4566" s="1" t="s">
        <v>36</v>
      </c>
      <c r="AD4566" s="1" t="s">
        <v>15674</v>
      </c>
      <c r="AE4566" s="1" t="s">
        <v>32</v>
      </c>
      <c r="AF4566" s="1" t="s">
        <v>33</v>
      </c>
      <c r="AG4566" s="1" t="s">
        <v>848</v>
      </c>
    </row>
    <row r="4567" spans="1:33">
      <c r="A4567" t="s">
        <v>15675</v>
      </c>
      <c r="C4567" t="s">
        <v>1957</v>
      </c>
      <c r="D4567" t="s">
        <v>154</v>
      </c>
      <c r="E4567" t="s">
        <v>15359</v>
      </c>
      <c r="F4567" t="s">
        <v>10934</v>
      </c>
      <c r="G4567">
        <v>492.0</v>
      </c>
      <c r="H4567">
        <v>492.0</v>
      </c>
      <c r="I4567" t="s">
        <v>227</v>
      </c>
      <c r="J4567" t="s">
        <v>228</v>
      </c>
      <c r="K4567" t="s">
        <v>31</v>
      </c>
      <c r="L4567" t="s">
        <v>32</v>
      </c>
      <c r="M4567" t="s">
        <v>33</v>
      </c>
      <c r="P4567" s="1" t="s">
        <v>15676</v>
      </c>
      <c r="Q4567" s="1" t="s">
        <v>15359</v>
      </c>
      <c r="R4567" s="1" t="s">
        <v>15359</v>
      </c>
      <c r="S4567" s="1"/>
      <c r="T4567" s="1" t="s">
        <v>1957</v>
      </c>
      <c r="U4567" s="1"/>
      <c r="V4567" s="1">
        <v>492.0</v>
      </c>
      <c r="W4567" s="1">
        <v>492.0</v>
      </c>
      <c r="X4567" s="1" t="s">
        <v>35</v>
      </c>
      <c r="Y4567" s="1">
        <v>492000</v>
      </c>
      <c r="Z4567" s="1"/>
      <c r="AA4567" s="1">
        <v>492000</v>
      </c>
      <c r="AB4567" s="1"/>
      <c r="AC4567" s="1" t="s">
        <v>36</v>
      </c>
      <c r="AD4567" s="1" t="s">
        <v>15677</v>
      </c>
      <c r="AE4567" s="1" t="s">
        <v>32</v>
      </c>
      <c r="AF4567" s="1" t="s">
        <v>33</v>
      </c>
      <c r="AG4567" s="1" t="s">
        <v>228</v>
      </c>
    </row>
    <row r="4568" spans="1:33">
      <c r="A4568" t="s">
        <v>15678</v>
      </c>
      <c r="B4568" t="s">
        <v>15679</v>
      </c>
      <c r="C4568" t="s">
        <v>26</v>
      </c>
      <c r="E4568" t="s">
        <v>15359</v>
      </c>
      <c r="F4568" t="s">
        <v>10934</v>
      </c>
      <c r="G4568">
        <v>11.9</v>
      </c>
      <c r="H4568">
        <v>11.9</v>
      </c>
      <c r="I4568" t="s">
        <v>29</v>
      </c>
      <c r="J4568" t="s">
        <v>30</v>
      </c>
      <c r="K4568" t="s">
        <v>31</v>
      </c>
      <c r="L4568" t="s">
        <v>32</v>
      </c>
      <c r="M4568" t="s">
        <v>33</v>
      </c>
      <c r="P4568" s="1" t="s">
        <v>15680</v>
      </c>
      <c r="Q4568" s="1" t="s">
        <v>15359</v>
      </c>
      <c r="R4568" s="1" t="s">
        <v>15359</v>
      </c>
      <c r="S4568" s="1"/>
      <c r="T4568" s="1" t="s">
        <v>26</v>
      </c>
      <c r="U4568" s="1"/>
      <c r="V4568" s="1">
        <v>11.9</v>
      </c>
      <c r="W4568" s="1">
        <v>11.9</v>
      </c>
      <c r="X4568" s="1" t="s">
        <v>35</v>
      </c>
      <c r="Y4568" s="1">
        <v>11900</v>
      </c>
      <c r="Z4568" s="1"/>
      <c r="AA4568" s="1">
        <v>11900</v>
      </c>
      <c r="AB4568" s="1"/>
      <c r="AC4568" s="1" t="s">
        <v>36</v>
      </c>
      <c r="AD4568" s="1" t="s">
        <v>15681</v>
      </c>
      <c r="AE4568" s="1" t="s">
        <v>32</v>
      </c>
      <c r="AF4568" s="1" t="s">
        <v>33</v>
      </c>
      <c r="AG4568" s="1" t="s">
        <v>30</v>
      </c>
    </row>
    <row r="4569" spans="1:33">
      <c r="A4569" t="s">
        <v>15682</v>
      </c>
      <c r="B4569" t="s">
        <v>1337</v>
      </c>
      <c r="C4569" t="s">
        <v>314</v>
      </c>
      <c r="E4569" t="s">
        <v>15359</v>
      </c>
      <c r="F4569" t="s">
        <v>10934</v>
      </c>
      <c r="G4569">
        <v>70.92</v>
      </c>
      <c r="H4569">
        <v>70.92</v>
      </c>
      <c r="I4569" t="s">
        <v>179</v>
      </c>
      <c r="J4569" t="s">
        <v>180</v>
      </c>
      <c r="K4569" t="s">
        <v>31</v>
      </c>
      <c r="L4569" t="s">
        <v>32</v>
      </c>
      <c r="M4569" t="s">
        <v>33</v>
      </c>
      <c r="P4569" s="1" t="s">
        <v>15683</v>
      </c>
      <c r="Q4569" s="1" t="s">
        <v>15359</v>
      </c>
      <c r="R4569" s="1" t="s">
        <v>15359</v>
      </c>
      <c r="S4569" s="1"/>
      <c r="T4569" s="1" t="s">
        <v>314</v>
      </c>
      <c r="U4569" s="1"/>
      <c r="V4569" s="1">
        <v>70.92</v>
      </c>
      <c r="W4569" s="1">
        <v>70.92</v>
      </c>
      <c r="X4569" s="1" t="s">
        <v>35</v>
      </c>
      <c r="Y4569" s="1">
        <v>70920</v>
      </c>
      <c r="Z4569" s="1"/>
      <c r="AA4569" s="1">
        <v>70920</v>
      </c>
      <c r="AB4569" s="1"/>
      <c r="AC4569" s="1" t="s">
        <v>36</v>
      </c>
      <c r="AD4569" s="1" t="s">
        <v>15684</v>
      </c>
      <c r="AE4569" s="1" t="s">
        <v>32</v>
      </c>
      <c r="AF4569" s="1" t="s">
        <v>33</v>
      </c>
      <c r="AG4569" s="1" t="s">
        <v>180</v>
      </c>
    </row>
    <row r="4570" spans="1:33">
      <c r="A4570" t="s">
        <v>15685</v>
      </c>
      <c r="B4570" t="s">
        <v>3108</v>
      </c>
      <c r="C4570" t="s">
        <v>314</v>
      </c>
      <c r="E4570" t="s">
        <v>15359</v>
      </c>
      <c r="F4570" t="s">
        <v>10934</v>
      </c>
      <c r="G4570">
        <v>37.18</v>
      </c>
      <c r="H4570">
        <v>37.18</v>
      </c>
      <c r="I4570" t="s">
        <v>179</v>
      </c>
      <c r="J4570" t="s">
        <v>180</v>
      </c>
      <c r="K4570" t="s">
        <v>31</v>
      </c>
      <c r="L4570" t="s">
        <v>32</v>
      </c>
      <c r="M4570" t="s">
        <v>33</v>
      </c>
      <c r="P4570" s="1" t="s">
        <v>15686</v>
      </c>
      <c r="Q4570" s="1" t="s">
        <v>15359</v>
      </c>
      <c r="R4570" s="1" t="s">
        <v>15359</v>
      </c>
      <c r="S4570" s="1"/>
      <c r="T4570" s="1" t="s">
        <v>314</v>
      </c>
      <c r="U4570" s="1"/>
      <c r="V4570" s="1">
        <v>37.18</v>
      </c>
      <c r="W4570" s="1">
        <v>37.18</v>
      </c>
      <c r="X4570" s="1" t="s">
        <v>35</v>
      </c>
      <c r="Y4570" s="1">
        <v>37180</v>
      </c>
      <c r="Z4570" s="1"/>
      <c r="AA4570" s="1">
        <v>37180</v>
      </c>
      <c r="AB4570" s="1"/>
      <c r="AC4570" s="1" t="s">
        <v>36</v>
      </c>
      <c r="AD4570" s="1" t="s">
        <v>15687</v>
      </c>
      <c r="AE4570" s="1" t="s">
        <v>32</v>
      </c>
      <c r="AF4570" s="1" t="s">
        <v>33</v>
      </c>
      <c r="AG4570" s="1" t="s">
        <v>180</v>
      </c>
    </row>
    <row r="4571" spans="1:33">
      <c r="A4571" t="s">
        <v>15688</v>
      </c>
      <c r="B4571" t="s">
        <v>15689</v>
      </c>
      <c r="C4571" t="s">
        <v>314</v>
      </c>
      <c r="E4571" t="s">
        <v>15359</v>
      </c>
      <c r="F4571" t="s">
        <v>10934</v>
      </c>
      <c r="G4571">
        <v>89.51</v>
      </c>
      <c r="H4571">
        <v>89.51</v>
      </c>
      <c r="I4571" t="s">
        <v>179</v>
      </c>
      <c r="J4571" t="s">
        <v>180</v>
      </c>
      <c r="K4571" t="s">
        <v>31</v>
      </c>
      <c r="L4571" t="s">
        <v>32</v>
      </c>
      <c r="M4571" t="s">
        <v>33</v>
      </c>
      <c r="P4571" s="1" t="s">
        <v>15690</v>
      </c>
      <c r="Q4571" s="1" t="s">
        <v>15359</v>
      </c>
      <c r="R4571" s="1" t="s">
        <v>15359</v>
      </c>
      <c r="S4571" s="1"/>
      <c r="T4571" s="1" t="s">
        <v>314</v>
      </c>
      <c r="U4571" s="1"/>
      <c r="V4571" s="1">
        <v>89.51</v>
      </c>
      <c r="W4571" s="1">
        <v>89.51</v>
      </c>
      <c r="X4571" s="1" t="s">
        <v>35</v>
      </c>
      <c r="Y4571" s="1">
        <v>89510</v>
      </c>
      <c r="Z4571" s="1"/>
      <c r="AA4571" s="1">
        <v>89510</v>
      </c>
      <c r="AB4571" s="1"/>
      <c r="AC4571" s="1" t="s">
        <v>36</v>
      </c>
      <c r="AD4571" s="1" t="s">
        <v>15691</v>
      </c>
      <c r="AE4571" s="1" t="s">
        <v>32</v>
      </c>
      <c r="AF4571" s="1" t="s">
        <v>33</v>
      </c>
      <c r="AG4571" s="1" t="s">
        <v>180</v>
      </c>
    </row>
    <row r="4572" spans="1:33">
      <c r="A4572" t="s">
        <v>15692</v>
      </c>
      <c r="B4572" t="s">
        <v>7577</v>
      </c>
      <c r="C4572" t="s">
        <v>1298</v>
      </c>
      <c r="E4572" t="s">
        <v>15359</v>
      </c>
      <c r="F4572" t="s">
        <v>10934</v>
      </c>
      <c r="G4572">
        <v>8.336</v>
      </c>
      <c r="H4572">
        <v>8.336</v>
      </c>
      <c r="I4572" t="s">
        <v>529</v>
      </c>
      <c r="J4572" t="s">
        <v>530</v>
      </c>
      <c r="K4572" t="s">
        <v>31</v>
      </c>
      <c r="L4572" t="s">
        <v>32</v>
      </c>
      <c r="M4572" t="s">
        <v>33</v>
      </c>
      <c r="P4572" s="1" t="s">
        <v>15693</v>
      </c>
      <c r="Q4572" s="1" t="s">
        <v>15359</v>
      </c>
      <c r="R4572" s="1" t="s">
        <v>14225</v>
      </c>
      <c r="S4572" s="1"/>
      <c r="T4572" s="1" t="s">
        <v>1298</v>
      </c>
      <c r="U4572" s="1"/>
      <c r="V4572" s="1">
        <v>8.336</v>
      </c>
      <c r="W4572" s="1">
        <v>8.336</v>
      </c>
      <c r="X4572" s="1" t="s">
        <v>35</v>
      </c>
      <c r="Y4572" s="1">
        <v>8336</v>
      </c>
      <c r="Z4572" s="1"/>
      <c r="AA4572" s="1">
        <v>8336</v>
      </c>
      <c r="AB4572" s="1"/>
      <c r="AC4572" s="1" t="s">
        <v>36</v>
      </c>
      <c r="AD4572" s="1" t="s">
        <v>15694</v>
      </c>
      <c r="AE4572" s="1" t="s">
        <v>32</v>
      </c>
      <c r="AF4572" s="1" t="s">
        <v>33</v>
      </c>
      <c r="AG4572" s="1" t="s">
        <v>530</v>
      </c>
    </row>
    <row r="4573" spans="1:33">
      <c r="A4573" t="s">
        <v>15695</v>
      </c>
      <c r="B4573" t="s">
        <v>15696</v>
      </c>
      <c r="C4573" t="s">
        <v>47</v>
      </c>
      <c r="E4573" t="s">
        <v>15359</v>
      </c>
      <c r="F4573" t="s">
        <v>10934</v>
      </c>
      <c r="G4573">
        <v>175.92</v>
      </c>
      <c r="H4573">
        <v>175.92</v>
      </c>
      <c r="I4573" t="s">
        <v>2206</v>
      </c>
      <c r="J4573" t="s">
        <v>49</v>
      </c>
      <c r="K4573" t="s">
        <v>31</v>
      </c>
      <c r="L4573" t="s">
        <v>32</v>
      </c>
      <c r="M4573" t="s">
        <v>33</v>
      </c>
      <c r="P4573" s="1" t="s">
        <v>15697</v>
      </c>
      <c r="Q4573" s="1" t="s">
        <v>15359</v>
      </c>
      <c r="R4573" s="1" t="s">
        <v>15359</v>
      </c>
      <c r="S4573" s="1"/>
      <c r="T4573" s="1" t="s">
        <v>47</v>
      </c>
      <c r="U4573" s="1"/>
      <c r="V4573" s="1">
        <v>175.92</v>
      </c>
      <c r="W4573" s="1">
        <v>175.92</v>
      </c>
      <c r="X4573" s="1" t="s">
        <v>35</v>
      </c>
      <c r="Y4573" s="1">
        <v>175920</v>
      </c>
      <c r="Z4573" s="1"/>
      <c r="AA4573" s="1">
        <v>175920</v>
      </c>
      <c r="AB4573" s="1"/>
      <c r="AC4573" s="1" t="s">
        <v>36</v>
      </c>
      <c r="AD4573" s="1" t="s">
        <v>15691</v>
      </c>
      <c r="AE4573" s="1" t="s">
        <v>32</v>
      </c>
      <c r="AF4573" s="1" t="s">
        <v>33</v>
      </c>
      <c r="AG4573" s="1" t="s">
        <v>49</v>
      </c>
    </row>
    <row r="4574" spans="1:33">
      <c r="A4574" t="s">
        <v>15698</v>
      </c>
      <c r="B4574" t="s">
        <v>13047</v>
      </c>
      <c r="C4574" t="s">
        <v>125</v>
      </c>
      <c r="E4574" t="s">
        <v>15359</v>
      </c>
      <c r="F4574" t="s">
        <v>10934</v>
      </c>
      <c r="G4574">
        <v>59.478</v>
      </c>
      <c r="H4574">
        <v>59.478</v>
      </c>
      <c r="I4574" t="s">
        <v>126</v>
      </c>
      <c r="J4574" t="s">
        <v>127</v>
      </c>
      <c r="K4574" t="s">
        <v>31</v>
      </c>
      <c r="L4574" t="s">
        <v>32</v>
      </c>
      <c r="M4574" t="s">
        <v>33</v>
      </c>
      <c r="P4574" s="1" t="s">
        <v>15699</v>
      </c>
      <c r="Q4574" s="1" t="s">
        <v>15359</v>
      </c>
      <c r="R4574" s="1" t="s">
        <v>15359</v>
      </c>
      <c r="S4574" s="1"/>
      <c r="T4574" s="1" t="s">
        <v>125</v>
      </c>
      <c r="U4574" s="1"/>
      <c r="V4574" s="1">
        <v>59.478</v>
      </c>
      <c r="W4574" s="1">
        <v>59.478</v>
      </c>
      <c r="X4574" s="1" t="s">
        <v>35</v>
      </c>
      <c r="Y4574" s="1">
        <v>59478</v>
      </c>
      <c r="Z4574" s="1"/>
      <c r="AA4574" s="1">
        <v>59478</v>
      </c>
      <c r="AB4574" s="1"/>
      <c r="AC4574" s="1" t="s">
        <v>36</v>
      </c>
      <c r="AD4574" s="1" t="s">
        <v>15700</v>
      </c>
      <c r="AE4574" s="1" t="s">
        <v>32</v>
      </c>
      <c r="AF4574" s="1" t="s">
        <v>33</v>
      </c>
      <c r="AG4574" s="1" t="s">
        <v>127</v>
      </c>
    </row>
    <row r="4575" spans="1:33">
      <c r="A4575" t="s">
        <v>15701</v>
      </c>
      <c r="C4575" t="s">
        <v>866</v>
      </c>
      <c r="D4575" t="s">
        <v>154</v>
      </c>
      <c r="E4575" t="s">
        <v>15359</v>
      </c>
      <c r="F4575" t="s">
        <v>10934</v>
      </c>
      <c r="G4575">
        <v>556.25</v>
      </c>
      <c r="H4575">
        <v>556.25</v>
      </c>
      <c r="I4575" t="s">
        <v>2206</v>
      </c>
      <c r="J4575" t="s">
        <v>49</v>
      </c>
      <c r="K4575" t="s">
        <v>31</v>
      </c>
      <c r="L4575" t="s">
        <v>32</v>
      </c>
      <c r="M4575" t="s">
        <v>33</v>
      </c>
      <c r="P4575" s="1" t="s">
        <v>15702</v>
      </c>
      <c r="Q4575" s="1" t="s">
        <v>15359</v>
      </c>
      <c r="R4575" s="1" t="s">
        <v>15359</v>
      </c>
      <c r="S4575" s="1"/>
      <c r="T4575" s="1" t="s">
        <v>868</v>
      </c>
      <c r="U4575" s="1" t="s">
        <v>869</v>
      </c>
      <c r="V4575" s="1">
        <v>556.25</v>
      </c>
      <c r="W4575" s="1">
        <v>556.25</v>
      </c>
      <c r="X4575" s="1" t="s">
        <v>35</v>
      </c>
      <c r="Y4575" s="1">
        <v>556250</v>
      </c>
      <c r="Z4575" s="1"/>
      <c r="AA4575" s="1">
        <v>556250</v>
      </c>
      <c r="AB4575" s="1"/>
      <c r="AC4575" s="1" t="s">
        <v>36</v>
      </c>
      <c r="AD4575" s="1" t="s">
        <v>15700</v>
      </c>
      <c r="AE4575" s="1" t="s">
        <v>32</v>
      </c>
      <c r="AF4575" s="1" t="s">
        <v>33</v>
      </c>
      <c r="AG4575" s="1" t="s">
        <v>49</v>
      </c>
    </row>
    <row r="4576" spans="1:33">
      <c r="A4576" t="s">
        <v>15703</v>
      </c>
      <c r="B4576" t="s">
        <v>206</v>
      </c>
      <c r="C4576" t="s">
        <v>207</v>
      </c>
      <c r="E4576" t="s">
        <v>15359</v>
      </c>
      <c r="F4576" t="s">
        <v>10934</v>
      </c>
      <c r="G4576">
        <v>370.0</v>
      </c>
      <c r="H4576">
        <v>370.0</v>
      </c>
      <c r="I4576" t="s">
        <v>59</v>
      </c>
      <c r="J4576" t="s">
        <v>60</v>
      </c>
      <c r="K4576" t="s">
        <v>31</v>
      </c>
      <c r="L4576" t="s">
        <v>32</v>
      </c>
      <c r="M4576" t="s">
        <v>33</v>
      </c>
      <c r="P4576" s="1" t="s">
        <v>15704</v>
      </c>
      <c r="Q4576" s="1" t="s">
        <v>15359</v>
      </c>
      <c r="R4576" s="1" t="s">
        <v>15359</v>
      </c>
      <c r="S4576" s="1"/>
      <c r="T4576" s="1" t="s">
        <v>207</v>
      </c>
      <c r="U4576" s="1"/>
      <c r="V4576" s="1">
        <v>370.0</v>
      </c>
      <c r="W4576" s="1">
        <v>370.0</v>
      </c>
      <c r="X4576" s="1" t="s">
        <v>35</v>
      </c>
      <c r="Y4576" s="1">
        <v>370000</v>
      </c>
      <c r="Z4576" s="1"/>
      <c r="AA4576" s="1">
        <v>370000</v>
      </c>
      <c r="AB4576" s="1"/>
      <c r="AC4576" s="1" t="s">
        <v>36</v>
      </c>
      <c r="AD4576" s="1" t="s">
        <v>15705</v>
      </c>
      <c r="AE4576" s="1" t="s">
        <v>32</v>
      </c>
      <c r="AF4576" s="1" t="s">
        <v>33</v>
      </c>
      <c r="AG4576" s="1" t="s">
        <v>60</v>
      </c>
    </row>
    <row r="4577" spans="1:33">
      <c r="A4577" t="s">
        <v>15706</v>
      </c>
      <c r="B4577" t="s">
        <v>15707</v>
      </c>
      <c r="C4577" t="s">
        <v>125</v>
      </c>
      <c r="E4577" t="s">
        <v>15359</v>
      </c>
      <c r="F4577" t="s">
        <v>10934</v>
      </c>
      <c r="G4577">
        <v>16.99</v>
      </c>
      <c r="H4577">
        <v>16.99</v>
      </c>
      <c r="I4577" t="s">
        <v>126</v>
      </c>
      <c r="J4577" t="s">
        <v>127</v>
      </c>
      <c r="K4577" t="s">
        <v>31</v>
      </c>
      <c r="L4577" t="s">
        <v>32</v>
      </c>
      <c r="M4577" t="s">
        <v>33</v>
      </c>
      <c r="P4577" s="1" t="s">
        <v>15708</v>
      </c>
      <c r="Q4577" s="1" t="s">
        <v>15359</v>
      </c>
      <c r="R4577" s="1" t="s">
        <v>15359</v>
      </c>
      <c r="S4577" s="1"/>
      <c r="T4577" s="1" t="s">
        <v>125</v>
      </c>
      <c r="U4577" s="1"/>
      <c r="V4577" s="1">
        <v>16.99</v>
      </c>
      <c r="W4577" s="1">
        <v>16.99</v>
      </c>
      <c r="X4577" s="1" t="s">
        <v>35</v>
      </c>
      <c r="Y4577" s="1">
        <v>16990</v>
      </c>
      <c r="Z4577" s="1"/>
      <c r="AA4577" s="1">
        <v>16990</v>
      </c>
      <c r="AB4577" s="1"/>
      <c r="AC4577" s="1" t="s">
        <v>36</v>
      </c>
      <c r="AD4577" s="1" t="s">
        <v>15709</v>
      </c>
      <c r="AE4577" s="1" t="s">
        <v>32</v>
      </c>
      <c r="AF4577" s="1" t="s">
        <v>33</v>
      </c>
      <c r="AG4577" s="1" t="s">
        <v>127</v>
      </c>
    </row>
    <row r="4578" spans="1:33">
      <c r="A4578" t="s">
        <v>15710</v>
      </c>
      <c r="C4578" t="s">
        <v>810</v>
      </c>
      <c r="D4578" t="s">
        <v>154</v>
      </c>
      <c r="E4578" t="s">
        <v>15359</v>
      </c>
      <c r="F4578" t="s">
        <v>10934</v>
      </c>
      <c r="G4578">
        <v>1.988</v>
      </c>
      <c r="H4578">
        <v>1.988</v>
      </c>
      <c r="I4578" t="s">
        <v>269</v>
      </c>
      <c r="J4578" t="s">
        <v>270</v>
      </c>
      <c r="K4578" t="s">
        <v>31</v>
      </c>
      <c r="L4578" t="s">
        <v>32</v>
      </c>
      <c r="M4578" t="s">
        <v>33</v>
      </c>
      <c r="P4578" s="1" t="s">
        <v>15711</v>
      </c>
      <c r="Q4578" s="1" t="s">
        <v>15359</v>
      </c>
      <c r="R4578" s="1" t="s">
        <v>15359</v>
      </c>
      <c r="S4578" s="1"/>
      <c r="T4578" s="1" t="s">
        <v>810</v>
      </c>
      <c r="U4578" s="1"/>
      <c r="V4578" s="1">
        <v>1.988</v>
      </c>
      <c r="W4578" s="1">
        <v>1.988</v>
      </c>
      <c r="X4578" s="1" t="s">
        <v>35</v>
      </c>
      <c r="Y4578" s="1">
        <v>1988000</v>
      </c>
      <c r="Z4578" s="1"/>
      <c r="AA4578" s="1">
        <v>1988000</v>
      </c>
      <c r="AB4578" s="1"/>
      <c r="AC4578" s="1" t="s">
        <v>36</v>
      </c>
      <c r="AD4578" s="1" t="s">
        <v>15712</v>
      </c>
      <c r="AE4578" s="1" t="s">
        <v>32</v>
      </c>
      <c r="AF4578" s="1" t="s">
        <v>33</v>
      </c>
      <c r="AG4578" s="1" t="s">
        <v>270</v>
      </c>
    </row>
    <row r="4579" spans="1:33">
      <c r="A4579" t="s">
        <v>15713</v>
      </c>
      <c r="C4579" t="s">
        <v>8119</v>
      </c>
      <c r="E4579" t="s">
        <v>15359</v>
      </c>
      <c r="F4579" t="s">
        <v>10934</v>
      </c>
      <c r="G4579">
        <v>1.64</v>
      </c>
      <c r="H4579">
        <v>1.64</v>
      </c>
      <c r="I4579" t="s">
        <v>269</v>
      </c>
      <c r="J4579" t="s">
        <v>270</v>
      </c>
      <c r="K4579" t="s">
        <v>31</v>
      </c>
      <c r="L4579" t="s">
        <v>32</v>
      </c>
      <c r="M4579" t="s">
        <v>33</v>
      </c>
      <c r="P4579" s="1" t="s">
        <v>15714</v>
      </c>
      <c r="Q4579" s="1" t="s">
        <v>15359</v>
      </c>
      <c r="R4579" s="1" t="s">
        <v>15359</v>
      </c>
      <c r="S4579" s="1"/>
      <c r="T4579" s="1" t="s">
        <v>8119</v>
      </c>
      <c r="U4579" s="1"/>
      <c r="V4579" s="1">
        <v>1.64</v>
      </c>
      <c r="W4579" s="1">
        <v>1.64</v>
      </c>
      <c r="X4579" s="1" t="s">
        <v>35</v>
      </c>
      <c r="Y4579" s="1">
        <v>1640000</v>
      </c>
      <c r="Z4579" s="1"/>
      <c r="AA4579" s="1">
        <v>1640000</v>
      </c>
      <c r="AB4579" s="1"/>
      <c r="AC4579" s="1" t="s">
        <v>36</v>
      </c>
      <c r="AD4579" s="1" t="s">
        <v>15715</v>
      </c>
      <c r="AE4579" s="1" t="s">
        <v>32</v>
      </c>
      <c r="AF4579" s="1" t="s">
        <v>33</v>
      </c>
      <c r="AG4579" s="1" t="s">
        <v>270</v>
      </c>
    </row>
    <row r="4580" spans="1:33">
      <c r="A4580" t="s">
        <v>15716</v>
      </c>
      <c r="C4580" t="s">
        <v>5876</v>
      </c>
      <c r="E4580" t="s">
        <v>15359</v>
      </c>
      <c r="F4580" t="s">
        <v>10934</v>
      </c>
      <c r="G4580">
        <v>821.6</v>
      </c>
      <c r="H4580">
        <v>821.6</v>
      </c>
      <c r="I4580" t="s">
        <v>179</v>
      </c>
      <c r="J4580" t="s">
        <v>180</v>
      </c>
      <c r="K4580" t="s">
        <v>31</v>
      </c>
      <c r="L4580" t="s">
        <v>32</v>
      </c>
      <c r="M4580" t="s">
        <v>33</v>
      </c>
      <c r="P4580" s="1" t="s">
        <v>15717</v>
      </c>
      <c r="Q4580" s="1" t="s">
        <v>15359</v>
      </c>
      <c r="R4580" s="1" t="s">
        <v>15359</v>
      </c>
      <c r="S4580" s="1"/>
      <c r="T4580" s="1" t="s">
        <v>5876</v>
      </c>
      <c r="U4580" s="1"/>
      <c r="V4580" s="1">
        <v>821.6</v>
      </c>
      <c r="W4580" s="1">
        <v>821.6</v>
      </c>
      <c r="X4580" s="1" t="s">
        <v>35</v>
      </c>
      <c r="Y4580" s="1">
        <v>821600</v>
      </c>
      <c r="Z4580" s="1"/>
      <c r="AA4580" s="1">
        <v>821600</v>
      </c>
      <c r="AB4580" s="1"/>
      <c r="AC4580" s="1" t="s">
        <v>36</v>
      </c>
      <c r="AD4580" s="1" t="s">
        <v>15718</v>
      </c>
      <c r="AE4580" s="1" t="s">
        <v>32</v>
      </c>
      <c r="AF4580" s="1" t="s">
        <v>33</v>
      </c>
      <c r="AG4580" s="1" t="s">
        <v>180</v>
      </c>
    </row>
    <row r="4581" spans="1:33">
      <c r="A4581" t="s">
        <v>15719</v>
      </c>
      <c r="C4581" t="s">
        <v>2621</v>
      </c>
      <c r="E4581" t="s">
        <v>15359</v>
      </c>
      <c r="F4581" t="s">
        <v>10934</v>
      </c>
      <c r="G4581">
        <v>357.25</v>
      </c>
      <c r="H4581">
        <v>357.25</v>
      </c>
      <c r="I4581" t="s">
        <v>269</v>
      </c>
      <c r="J4581" t="s">
        <v>270</v>
      </c>
      <c r="K4581" t="s">
        <v>31</v>
      </c>
      <c r="L4581" t="s">
        <v>32</v>
      </c>
      <c r="M4581" t="s">
        <v>33</v>
      </c>
      <c r="P4581" s="1" t="s">
        <v>15720</v>
      </c>
      <c r="Q4581" s="1" t="s">
        <v>15359</v>
      </c>
      <c r="R4581" s="1" t="s">
        <v>15359</v>
      </c>
      <c r="S4581" s="1"/>
      <c r="T4581" s="1" t="s">
        <v>2621</v>
      </c>
      <c r="U4581" s="1"/>
      <c r="V4581" s="1">
        <v>357.25</v>
      </c>
      <c r="W4581" s="1">
        <v>357.25</v>
      </c>
      <c r="X4581" s="1" t="s">
        <v>35</v>
      </c>
      <c r="Y4581" s="1">
        <v>357250</v>
      </c>
      <c r="Z4581" s="1"/>
      <c r="AA4581" s="1">
        <v>357250</v>
      </c>
      <c r="AB4581" s="1"/>
      <c r="AC4581" s="1" t="s">
        <v>36</v>
      </c>
      <c r="AD4581" s="1" t="s">
        <v>15721</v>
      </c>
      <c r="AE4581" s="1" t="s">
        <v>32</v>
      </c>
      <c r="AF4581" s="1" t="s">
        <v>33</v>
      </c>
      <c r="AG4581" s="1" t="s">
        <v>270</v>
      </c>
    </row>
    <row r="4582" spans="1:33">
      <c r="A4582" t="s">
        <v>15722</v>
      </c>
      <c r="B4582" t="s">
        <v>2999</v>
      </c>
      <c r="C4582" t="s">
        <v>268</v>
      </c>
      <c r="E4582" t="s">
        <v>15359</v>
      </c>
      <c r="F4582" t="s">
        <v>10934</v>
      </c>
      <c r="G4582">
        <v>33.8</v>
      </c>
      <c r="H4582">
        <v>33.8</v>
      </c>
      <c r="I4582" t="s">
        <v>269</v>
      </c>
      <c r="J4582" t="s">
        <v>270</v>
      </c>
      <c r="K4582" t="s">
        <v>31</v>
      </c>
      <c r="L4582" t="s">
        <v>32</v>
      </c>
      <c r="M4582" t="s">
        <v>33</v>
      </c>
      <c r="P4582" s="1" t="s">
        <v>15723</v>
      </c>
      <c r="Q4582" s="1" t="s">
        <v>15359</v>
      </c>
      <c r="R4582" s="1" t="s">
        <v>15359</v>
      </c>
      <c r="S4582" s="1"/>
      <c r="T4582" s="1" t="s">
        <v>268</v>
      </c>
      <c r="U4582" s="1"/>
      <c r="V4582" s="1">
        <v>33.8</v>
      </c>
      <c r="W4582" s="1">
        <v>33.8</v>
      </c>
      <c r="X4582" s="1" t="s">
        <v>35</v>
      </c>
      <c r="Y4582" s="1">
        <v>33800</v>
      </c>
      <c r="Z4582" s="1"/>
      <c r="AA4582" s="1">
        <v>33800</v>
      </c>
      <c r="AB4582" s="1"/>
      <c r="AC4582" s="1" t="s">
        <v>36</v>
      </c>
      <c r="AD4582" s="1" t="s">
        <v>15724</v>
      </c>
      <c r="AE4582" s="1" t="s">
        <v>32</v>
      </c>
      <c r="AF4582" s="1" t="s">
        <v>33</v>
      </c>
      <c r="AG4582" s="1" t="s">
        <v>270</v>
      </c>
    </row>
    <row r="4583" spans="1:33">
      <c r="A4583" t="s">
        <v>15725</v>
      </c>
      <c r="C4583" t="s">
        <v>2833</v>
      </c>
      <c r="E4583" t="s">
        <v>15359</v>
      </c>
      <c r="F4583" t="s">
        <v>10934</v>
      </c>
      <c r="G4583">
        <v>328.0</v>
      </c>
      <c r="H4583">
        <v>328.0</v>
      </c>
      <c r="I4583" t="s">
        <v>227</v>
      </c>
      <c r="J4583" t="s">
        <v>228</v>
      </c>
      <c r="K4583" t="s">
        <v>31</v>
      </c>
      <c r="L4583" t="s">
        <v>32</v>
      </c>
      <c r="M4583" t="s">
        <v>33</v>
      </c>
      <c r="P4583" s="1" t="s">
        <v>15726</v>
      </c>
      <c r="Q4583" s="1" t="s">
        <v>15359</v>
      </c>
      <c r="R4583" s="1" t="s">
        <v>15359</v>
      </c>
      <c r="S4583" s="1"/>
      <c r="T4583" s="1" t="s">
        <v>2833</v>
      </c>
      <c r="U4583" s="1"/>
      <c r="V4583" s="1">
        <v>328.0</v>
      </c>
      <c r="W4583" s="1">
        <v>328.0</v>
      </c>
      <c r="X4583" s="1" t="s">
        <v>35</v>
      </c>
      <c r="Y4583" s="1">
        <v>328000</v>
      </c>
      <c r="Z4583" s="1"/>
      <c r="AA4583" s="1">
        <v>328000</v>
      </c>
      <c r="AB4583" s="1"/>
      <c r="AC4583" s="1" t="s">
        <v>36</v>
      </c>
      <c r="AD4583" s="1" t="s">
        <v>15727</v>
      </c>
      <c r="AE4583" s="1" t="s">
        <v>32</v>
      </c>
      <c r="AF4583" s="1" t="s">
        <v>33</v>
      </c>
      <c r="AG4583" s="1" t="s">
        <v>228</v>
      </c>
    </row>
    <row r="4584" spans="1:33">
      <c r="A4584" t="s">
        <v>15728</v>
      </c>
      <c r="C4584" t="s">
        <v>5376</v>
      </c>
      <c r="D4584" t="s">
        <v>154</v>
      </c>
      <c r="E4584" t="s">
        <v>15359</v>
      </c>
      <c r="F4584" t="s">
        <v>10934</v>
      </c>
      <c r="G4584">
        <v>1.003</v>
      </c>
      <c r="H4584">
        <v>1.003</v>
      </c>
      <c r="I4584" t="s">
        <v>40</v>
      </c>
      <c r="J4584" t="s">
        <v>41</v>
      </c>
      <c r="K4584" t="s">
        <v>31</v>
      </c>
      <c r="L4584" t="s">
        <v>32</v>
      </c>
      <c r="M4584" t="s">
        <v>33</v>
      </c>
      <c r="P4584" s="1" t="s">
        <v>15729</v>
      </c>
      <c r="Q4584" s="1" t="s">
        <v>15359</v>
      </c>
      <c r="R4584" s="1" t="s">
        <v>14225</v>
      </c>
      <c r="S4584" s="1"/>
      <c r="T4584" s="1" t="s">
        <v>5376</v>
      </c>
      <c r="U4584" s="1"/>
      <c r="V4584" s="1">
        <v>1.003</v>
      </c>
      <c r="W4584" s="1">
        <v>1.003</v>
      </c>
      <c r="X4584" s="1" t="s">
        <v>35</v>
      </c>
      <c r="Y4584" s="1">
        <v>1003500</v>
      </c>
      <c r="Z4584" s="1"/>
      <c r="AA4584" s="1">
        <v>1003500</v>
      </c>
      <c r="AB4584" s="1"/>
      <c r="AC4584" s="1" t="s">
        <v>36</v>
      </c>
      <c r="AD4584" s="1" t="s">
        <v>15694</v>
      </c>
      <c r="AE4584" s="1" t="s">
        <v>32</v>
      </c>
      <c r="AF4584" s="1" t="s">
        <v>33</v>
      </c>
      <c r="AG4584" s="1" t="s">
        <v>41</v>
      </c>
    </row>
    <row r="4585" spans="1:33">
      <c r="A4585" t="s">
        <v>15730</v>
      </c>
      <c r="B4585" t="s">
        <v>9987</v>
      </c>
      <c r="C4585" t="s">
        <v>125</v>
      </c>
      <c r="E4585" t="s">
        <v>15359</v>
      </c>
      <c r="F4585" t="s">
        <v>10934</v>
      </c>
      <c r="G4585">
        <v>62.97</v>
      </c>
      <c r="H4585">
        <v>62.97</v>
      </c>
      <c r="I4585" t="s">
        <v>126</v>
      </c>
      <c r="J4585" t="s">
        <v>127</v>
      </c>
      <c r="K4585" t="s">
        <v>31</v>
      </c>
      <c r="L4585" t="s">
        <v>32</v>
      </c>
      <c r="M4585" t="s">
        <v>33</v>
      </c>
      <c r="P4585" s="1" t="s">
        <v>15731</v>
      </c>
      <c r="Q4585" s="1" t="s">
        <v>15359</v>
      </c>
      <c r="R4585" s="1" t="s">
        <v>15359</v>
      </c>
      <c r="S4585" s="1"/>
      <c r="T4585" s="1" t="s">
        <v>125</v>
      </c>
      <c r="U4585" s="1"/>
      <c r="V4585" s="1">
        <v>62.97</v>
      </c>
      <c r="W4585" s="1">
        <v>62.97</v>
      </c>
      <c r="X4585" s="1" t="s">
        <v>35</v>
      </c>
      <c r="Y4585" s="1">
        <v>62970</v>
      </c>
      <c r="Z4585" s="1"/>
      <c r="AA4585" s="1">
        <v>62970</v>
      </c>
      <c r="AB4585" s="1"/>
      <c r="AC4585" s="1" t="s">
        <v>36</v>
      </c>
      <c r="AD4585" s="1" t="s">
        <v>15732</v>
      </c>
      <c r="AE4585" s="1" t="s">
        <v>32</v>
      </c>
      <c r="AF4585" s="1" t="s">
        <v>33</v>
      </c>
      <c r="AG4585" s="1" t="s">
        <v>127</v>
      </c>
    </row>
    <row r="4586" spans="1:33">
      <c r="A4586" t="s">
        <v>15733</v>
      </c>
      <c r="C4586" t="s">
        <v>4421</v>
      </c>
      <c r="E4586" t="s">
        <v>15359</v>
      </c>
      <c r="F4586" t="s">
        <v>10934</v>
      </c>
      <c r="G4586">
        <v>328.0</v>
      </c>
      <c r="H4586">
        <v>328.0</v>
      </c>
      <c r="I4586" t="s">
        <v>269</v>
      </c>
      <c r="J4586" t="s">
        <v>270</v>
      </c>
      <c r="K4586" t="s">
        <v>31</v>
      </c>
      <c r="L4586" t="s">
        <v>32</v>
      </c>
      <c r="M4586" t="s">
        <v>33</v>
      </c>
      <c r="P4586" s="1" t="s">
        <v>15734</v>
      </c>
      <c r="Q4586" s="1" t="s">
        <v>15359</v>
      </c>
      <c r="R4586" s="1" t="s">
        <v>15359</v>
      </c>
      <c r="S4586" s="1"/>
      <c r="T4586" s="1" t="s">
        <v>4421</v>
      </c>
      <c r="U4586" s="1"/>
      <c r="V4586" s="1">
        <v>328.0</v>
      </c>
      <c r="W4586" s="1">
        <v>328.0</v>
      </c>
      <c r="X4586" s="1" t="s">
        <v>35</v>
      </c>
      <c r="Y4586" s="1">
        <v>328000</v>
      </c>
      <c r="Z4586" s="1"/>
      <c r="AA4586" s="1">
        <v>328000</v>
      </c>
      <c r="AB4586" s="1"/>
      <c r="AC4586" s="1" t="s">
        <v>36</v>
      </c>
      <c r="AD4586" s="1" t="s">
        <v>15735</v>
      </c>
      <c r="AE4586" s="1" t="s">
        <v>32</v>
      </c>
      <c r="AF4586" s="1" t="s">
        <v>33</v>
      </c>
      <c r="AG4586" s="1" t="s">
        <v>270</v>
      </c>
    </row>
    <row r="4587" spans="1:33">
      <c r="A4587" t="s">
        <v>15736</v>
      </c>
      <c r="C4587" t="s">
        <v>6216</v>
      </c>
      <c r="E4587" t="s">
        <v>15359</v>
      </c>
      <c r="F4587" t="s">
        <v>10934</v>
      </c>
      <c r="G4587">
        <v>328.0</v>
      </c>
      <c r="H4587">
        <v>328.0</v>
      </c>
      <c r="I4587" t="s">
        <v>136</v>
      </c>
      <c r="J4587" t="s">
        <v>137</v>
      </c>
      <c r="K4587" t="s">
        <v>31</v>
      </c>
      <c r="L4587" t="s">
        <v>32</v>
      </c>
      <c r="M4587" t="s">
        <v>33</v>
      </c>
      <c r="P4587" s="1" t="s">
        <v>15737</v>
      </c>
      <c r="Q4587" s="1" t="s">
        <v>15359</v>
      </c>
      <c r="R4587" s="1" t="s">
        <v>15359</v>
      </c>
      <c r="S4587" s="1"/>
      <c r="T4587" s="1" t="s">
        <v>6216</v>
      </c>
      <c r="U4587" s="1"/>
      <c r="V4587" s="1">
        <v>328.0</v>
      </c>
      <c r="W4587" s="1">
        <v>328.0</v>
      </c>
      <c r="X4587" s="1" t="s">
        <v>35</v>
      </c>
      <c r="Y4587" s="1">
        <v>328000</v>
      </c>
      <c r="Z4587" s="1"/>
      <c r="AA4587" s="1">
        <v>328000</v>
      </c>
      <c r="AB4587" s="1"/>
      <c r="AC4587" s="1" t="s">
        <v>36</v>
      </c>
      <c r="AD4587" s="1" t="s">
        <v>15738</v>
      </c>
      <c r="AE4587" s="1" t="s">
        <v>32</v>
      </c>
      <c r="AF4587" s="1" t="s">
        <v>33</v>
      </c>
      <c r="AG4587" s="1" t="s">
        <v>137</v>
      </c>
    </row>
    <row r="4588" spans="1:33">
      <c r="A4588" t="s">
        <v>15739</v>
      </c>
      <c r="C4588" t="s">
        <v>558</v>
      </c>
      <c r="D4588" t="s">
        <v>154</v>
      </c>
      <c r="E4588" t="s">
        <v>15359</v>
      </c>
      <c r="F4588" t="s">
        <v>10934</v>
      </c>
      <c r="G4588">
        <v>42.0</v>
      </c>
      <c r="H4588">
        <v>42.0</v>
      </c>
      <c r="I4588" t="s">
        <v>269</v>
      </c>
      <c r="J4588" t="s">
        <v>270</v>
      </c>
      <c r="K4588" t="s">
        <v>31</v>
      </c>
      <c r="L4588" t="s">
        <v>32</v>
      </c>
      <c r="M4588" t="s">
        <v>33</v>
      </c>
      <c r="P4588" s="1" t="s">
        <v>15740</v>
      </c>
      <c r="Q4588" s="1" t="s">
        <v>15359</v>
      </c>
      <c r="R4588" s="1" t="s">
        <v>15359</v>
      </c>
      <c r="S4588" s="1"/>
      <c r="T4588" s="1" t="s">
        <v>560</v>
      </c>
      <c r="U4588" s="1" t="s">
        <v>561</v>
      </c>
      <c r="V4588" s="1">
        <v>42.0</v>
      </c>
      <c r="W4588" s="1">
        <v>42.0</v>
      </c>
      <c r="X4588" s="1" t="s">
        <v>35</v>
      </c>
      <c r="Y4588" s="1">
        <v>42000</v>
      </c>
      <c r="Z4588" s="1"/>
      <c r="AA4588" s="1">
        <v>42000</v>
      </c>
      <c r="AB4588" s="1"/>
      <c r="AC4588" s="1" t="s">
        <v>36</v>
      </c>
      <c r="AD4588" s="1" t="s">
        <v>15741</v>
      </c>
      <c r="AE4588" s="1" t="s">
        <v>32</v>
      </c>
      <c r="AF4588" s="1" t="s">
        <v>33</v>
      </c>
      <c r="AG4588" s="1" t="s">
        <v>270</v>
      </c>
    </row>
    <row r="4589" spans="1:33">
      <c r="A4589" t="s">
        <v>15742</v>
      </c>
      <c r="C4589" t="s">
        <v>13480</v>
      </c>
      <c r="D4589" t="s">
        <v>154</v>
      </c>
      <c r="E4589" t="s">
        <v>15359</v>
      </c>
      <c r="F4589" t="s">
        <v>10934</v>
      </c>
      <c r="G4589">
        <v>3.119</v>
      </c>
      <c r="H4589">
        <v>3.119</v>
      </c>
      <c r="I4589" t="s">
        <v>227</v>
      </c>
      <c r="J4589" t="s">
        <v>228</v>
      </c>
      <c r="K4589" t="s">
        <v>31</v>
      </c>
      <c r="L4589" t="s">
        <v>32</v>
      </c>
      <c r="M4589" t="s">
        <v>33</v>
      </c>
      <c r="P4589" s="1" t="s">
        <v>15743</v>
      </c>
      <c r="Q4589" s="1" t="s">
        <v>15359</v>
      </c>
      <c r="R4589" s="1" t="s">
        <v>15359</v>
      </c>
      <c r="S4589" s="1"/>
      <c r="T4589" s="1" t="s">
        <v>13482</v>
      </c>
      <c r="U4589" s="1" t="s">
        <v>13483</v>
      </c>
      <c r="V4589" s="1">
        <v>3.119</v>
      </c>
      <c r="W4589" s="1">
        <v>3.119</v>
      </c>
      <c r="X4589" s="1" t="s">
        <v>35</v>
      </c>
      <c r="Y4589" s="1">
        <v>3119750</v>
      </c>
      <c r="Z4589" s="1"/>
      <c r="AA4589" s="1">
        <v>3119750</v>
      </c>
      <c r="AB4589" s="1"/>
      <c r="AC4589" s="1" t="s">
        <v>36</v>
      </c>
      <c r="AD4589" s="1" t="s">
        <v>15744</v>
      </c>
      <c r="AE4589" s="1" t="s">
        <v>32</v>
      </c>
      <c r="AF4589" s="1" t="s">
        <v>33</v>
      </c>
      <c r="AG4589" s="1" t="s">
        <v>228</v>
      </c>
    </row>
    <row r="4590" spans="1:33">
      <c r="A4590" t="s">
        <v>15745</v>
      </c>
      <c r="B4590" t="s">
        <v>6019</v>
      </c>
      <c r="C4590" t="s">
        <v>314</v>
      </c>
      <c r="E4590" t="s">
        <v>15359</v>
      </c>
      <c r="F4590" t="s">
        <v>10934</v>
      </c>
      <c r="G4590">
        <v>40.99</v>
      </c>
      <c r="H4590">
        <v>40.99</v>
      </c>
      <c r="I4590" t="s">
        <v>179</v>
      </c>
      <c r="J4590" t="s">
        <v>180</v>
      </c>
      <c r="K4590" t="s">
        <v>31</v>
      </c>
      <c r="L4590" t="s">
        <v>32</v>
      </c>
      <c r="M4590" t="s">
        <v>33</v>
      </c>
      <c r="P4590" s="1" t="s">
        <v>15746</v>
      </c>
      <c r="Q4590" s="1" t="s">
        <v>15359</v>
      </c>
      <c r="R4590" s="1" t="s">
        <v>15359</v>
      </c>
      <c r="S4590" s="1"/>
      <c r="T4590" s="1" t="s">
        <v>314</v>
      </c>
      <c r="U4590" s="1"/>
      <c r="V4590" s="1">
        <v>40.99</v>
      </c>
      <c r="W4590" s="1">
        <v>40.99</v>
      </c>
      <c r="X4590" s="1" t="s">
        <v>35</v>
      </c>
      <c r="Y4590" s="1">
        <v>40990</v>
      </c>
      <c r="Z4590" s="1"/>
      <c r="AA4590" s="1">
        <v>40990</v>
      </c>
      <c r="AB4590" s="1"/>
      <c r="AC4590" s="1" t="s">
        <v>36</v>
      </c>
      <c r="AD4590" s="1" t="s">
        <v>15747</v>
      </c>
      <c r="AE4590" s="1" t="s">
        <v>32</v>
      </c>
      <c r="AF4590" s="1" t="s">
        <v>33</v>
      </c>
      <c r="AG4590" s="1" t="s">
        <v>180</v>
      </c>
    </row>
    <row r="4591" spans="1:33">
      <c r="A4591" t="s">
        <v>15748</v>
      </c>
      <c r="C4591" t="s">
        <v>3079</v>
      </c>
      <c r="D4591" t="s">
        <v>154</v>
      </c>
      <c r="E4591" t="s">
        <v>15359</v>
      </c>
      <c r="F4591" t="s">
        <v>10934</v>
      </c>
      <c r="G4591">
        <v>656.0</v>
      </c>
      <c r="H4591">
        <v>656.0</v>
      </c>
      <c r="I4591" t="s">
        <v>227</v>
      </c>
      <c r="J4591" t="s">
        <v>228</v>
      </c>
      <c r="K4591" t="s">
        <v>31</v>
      </c>
      <c r="L4591" t="s">
        <v>32</v>
      </c>
      <c r="M4591" t="s">
        <v>33</v>
      </c>
      <c r="P4591" s="1" t="s">
        <v>15749</v>
      </c>
      <c r="Q4591" s="1" t="s">
        <v>15359</v>
      </c>
      <c r="R4591" s="1" t="s">
        <v>15359</v>
      </c>
      <c r="S4591" s="1"/>
      <c r="T4591" s="1" t="s">
        <v>3079</v>
      </c>
      <c r="U4591" s="1"/>
      <c r="V4591" s="1">
        <v>656.0</v>
      </c>
      <c r="W4591" s="1">
        <v>656.0</v>
      </c>
      <c r="X4591" s="1" t="s">
        <v>35</v>
      </c>
      <c r="Y4591" s="1">
        <v>656000</v>
      </c>
      <c r="Z4591" s="1"/>
      <c r="AA4591" s="1">
        <v>656000</v>
      </c>
      <c r="AB4591" s="1"/>
      <c r="AC4591" s="1" t="s">
        <v>36</v>
      </c>
      <c r="AD4591" s="1" t="s">
        <v>15741</v>
      </c>
      <c r="AE4591" s="1" t="s">
        <v>32</v>
      </c>
      <c r="AF4591" s="1" t="s">
        <v>33</v>
      </c>
      <c r="AG4591" s="1" t="s">
        <v>228</v>
      </c>
    </row>
    <row r="4592" spans="1:33">
      <c r="A4592" t="s">
        <v>15750</v>
      </c>
      <c r="C4592" t="s">
        <v>5876</v>
      </c>
      <c r="E4592" t="s">
        <v>15359</v>
      </c>
      <c r="F4592" t="s">
        <v>10934</v>
      </c>
      <c r="G4592">
        <v>352.0</v>
      </c>
      <c r="H4592">
        <v>352.0</v>
      </c>
      <c r="I4592" t="s">
        <v>179</v>
      </c>
      <c r="J4592" t="s">
        <v>180</v>
      </c>
      <c r="K4592" t="s">
        <v>31</v>
      </c>
      <c r="L4592" t="s">
        <v>32</v>
      </c>
      <c r="M4592" t="s">
        <v>33</v>
      </c>
      <c r="P4592" s="1" t="s">
        <v>15751</v>
      </c>
      <c r="Q4592" s="1" t="s">
        <v>15359</v>
      </c>
      <c r="R4592" s="1" t="s">
        <v>15359</v>
      </c>
      <c r="S4592" s="1"/>
      <c r="T4592" s="1" t="s">
        <v>5876</v>
      </c>
      <c r="U4592" s="1"/>
      <c r="V4592" s="1">
        <v>352.0</v>
      </c>
      <c r="W4592" s="1">
        <v>352.0</v>
      </c>
      <c r="X4592" s="1" t="s">
        <v>35</v>
      </c>
      <c r="Y4592" s="1">
        <v>352000</v>
      </c>
      <c r="Z4592" s="1"/>
      <c r="AA4592" s="1">
        <v>352000</v>
      </c>
      <c r="AB4592" s="1"/>
      <c r="AC4592" s="1" t="s">
        <v>36</v>
      </c>
      <c r="AD4592" s="1" t="s">
        <v>15752</v>
      </c>
      <c r="AE4592" s="1" t="s">
        <v>32</v>
      </c>
      <c r="AF4592" s="1" t="s">
        <v>33</v>
      </c>
      <c r="AG4592" s="1" t="s">
        <v>180</v>
      </c>
    </row>
    <row r="4593" spans="1:33">
      <c r="A4593" t="s">
        <v>15753</v>
      </c>
      <c r="B4593" t="s">
        <v>15754</v>
      </c>
      <c r="C4593" t="s">
        <v>314</v>
      </c>
      <c r="E4593" t="s">
        <v>15359</v>
      </c>
      <c r="F4593" t="s">
        <v>10934</v>
      </c>
      <c r="G4593">
        <v>10.516</v>
      </c>
      <c r="H4593">
        <v>10.516</v>
      </c>
      <c r="I4593" t="s">
        <v>179</v>
      </c>
      <c r="J4593" t="s">
        <v>180</v>
      </c>
      <c r="K4593" t="s">
        <v>31</v>
      </c>
      <c r="L4593" t="s">
        <v>32</v>
      </c>
      <c r="M4593" t="s">
        <v>33</v>
      </c>
      <c r="P4593" s="1" t="s">
        <v>15755</v>
      </c>
      <c r="Q4593" s="1" t="s">
        <v>15359</v>
      </c>
      <c r="R4593" s="1" t="s">
        <v>15359</v>
      </c>
      <c r="S4593" s="1"/>
      <c r="T4593" s="1" t="s">
        <v>314</v>
      </c>
      <c r="U4593" s="1"/>
      <c r="V4593" s="1">
        <v>10.516</v>
      </c>
      <c r="W4593" s="1">
        <v>10.516</v>
      </c>
      <c r="X4593" s="1" t="s">
        <v>35</v>
      </c>
      <c r="Y4593" s="1">
        <v>10516</v>
      </c>
      <c r="Z4593" s="1"/>
      <c r="AA4593" s="1">
        <v>10516</v>
      </c>
      <c r="AB4593" s="1"/>
      <c r="AC4593" s="1" t="s">
        <v>36</v>
      </c>
      <c r="AD4593" s="1" t="s">
        <v>15756</v>
      </c>
      <c r="AE4593" s="1" t="s">
        <v>32</v>
      </c>
      <c r="AF4593" s="1" t="s">
        <v>33</v>
      </c>
      <c r="AG4593" s="1" t="s">
        <v>180</v>
      </c>
    </row>
    <row r="4594" spans="1:33">
      <c r="A4594" t="s">
        <v>15757</v>
      </c>
      <c r="B4594" t="s">
        <v>743</v>
      </c>
      <c r="C4594" t="s">
        <v>744</v>
      </c>
      <c r="E4594" t="s">
        <v>15359</v>
      </c>
      <c r="F4594" t="s">
        <v>10934</v>
      </c>
      <c r="G4594">
        <v>30.0</v>
      </c>
      <c r="H4594">
        <v>30.0</v>
      </c>
      <c r="I4594" t="s">
        <v>59</v>
      </c>
      <c r="J4594" t="s">
        <v>60</v>
      </c>
      <c r="K4594" t="s">
        <v>31</v>
      </c>
      <c r="L4594" t="s">
        <v>32</v>
      </c>
      <c r="M4594" t="s">
        <v>33</v>
      </c>
      <c r="P4594" s="1" t="s">
        <v>15758</v>
      </c>
      <c r="Q4594" s="1" t="s">
        <v>15359</v>
      </c>
      <c r="R4594" s="1" t="s">
        <v>15359</v>
      </c>
      <c r="S4594" s="1"/>
      <c r="T4594" s="1" t="s">
        <v>744</v>
      </c>
      <c r="U4594" s="1"/>
      <c r="V4594" s="1">
        <v>30.0</v>
      </c>
      <c r="W4594" s="1">
        <v>30.0</v>
      </c>
      <c r="X4594" s="1" t="s">
        <v>35</v>
      </c>
      <c r="Y4594" s="1">
        <v>30000</v>
      </c>
      <c r="Z4594" s="1"/>
      <c r="AA4594" s="1">
        <v>30000</v>
      </c>
      <c r="AB4594" s="1"/>
      <c r="AC4594" s="1" t="s">
        <v>36</v>
      </c>
      <c r="AD4594" s="1" t="s">
        <v>15759</v>
      </c>
      <c r="AE4594" s="1" t="s">
        <v>32</v>
      </c>
      <c r="AF4594" s="1" t="s">
        <v>33</v>
      </c>
      <c r="AG4594" s="1" t="s">
        <v>60</v>
      </c>
    </row>
    <row r="4595" spans="1:33">
      <c r="A4595" t="s">
        <v>15760</v>
      </c>
      <c r="B4595" t="s">
        <v>3466</v>
      </c>
      <c r="C4595" t="s">
        <v>268</v>
      </c>
      <c r="E4595" t="s">
        <v>15359</v>
      </c>
      <c r="F4595" t="s">
        <v>10934</v>
      </c>
      <c r="G4595">
        <v>28.25</v>
      </c>
      <c r="H4595">
        <v>28.25</v>
      </c>
      <c r="I4595" t="s">
        <v>269</v>
      </c>
      <c r="J4595" t="s">
        <v>270</v>
      </c>
      <c r="K4595" t="s">
        <v>31</v>
      </c>
      <c r="L4595" t="s">
        <v>32</v>
      </c>
      <c r="M4595" t="s">
        <v>33</v>
      </c>
      <c r="P4595" s="1" t="s">
        <v>15761</v>
      </c>
      <c r="Q4595" s="1" t="s">
        <v>15359</v>
      </c>
      <c r="R4595" s="1" t="s">
        <v>15359</v>
      </c>
      <c r="S4595" s="1"/>
      <c r="T4595" s="1" t="s">
        <v>268</v>
      </c>
      <c r="U4595" s="1"/>
      <c r="V4595" s="1">
        <v>28.25</v>
      </c>
      <c r="W4595" s="1">
        <v>28.25</v>
      </c>
      <c r="X4595" s="1" t="s">
        <v>35</v>
      </c>
      <c r="Y4595" s="1">
        <v>28250</v>
      </c>
      <c r="Z4595" s="1"/>
      <c r="AA4595" s="1">
        <v>28250</v>
      </c>
      <c r="AB4595" s="1"/>
      <c r="AC4595" s="1" t="s">
        <v>36</v>
      </c>
      <c r="AD4595" s="1" t="s">
        <v>15762</v>
      </c>
      <c r="AE4595" s="1" t="s">
        <v>32</v>
      </c>
      <c r="AF4595" s="1" t="s">
        <v>33</v>
      </c>
      <c r="AG4595" s="1" t="s">
        <v>270</v>
      </c>
    </row>
    <row r="4596" spans="1:33">
      <c r="A4596" t="s">
        <v>15763</v>
      </c>
      <c r="B4596" t="s">
        <v>11800</v>
      </c>
      <c r="C4596" t="s">
        <v>314</v>
      </c>
      <c r="E4596" t="s">
        <v>15359</v>
      </c>
      <c r="F4596" t="s">
        <v>10934</v>
      </c>
      <c r="G4596">
        <v>27.72</v>
      </c>
      <c r="H4596">
        <v>27.72</v>
      </c>
      <c r="I4596" t="s">
        <v>179</v>
      </c>
      <c r="J4596" t="s">
        <v>180</v>
      </c>
      <c r="K4596" t="s">
        <v>31</v>
      </c>
      <c r="L4596" t="s">
        <v>32</v>
      </c>
      <c r="M4596" t="s">
        <v>33</v>
      </c>
      <c r="P4596" s="1" t="s">
        <v>15764</v>
      </c>
      <c r="Q4596" s="1" t="s">
        <v>15359</v>
      </c>
      <c r="R4596" s="1" t="s">
        <v>15359</v>
      </c>
      <c r="S4596" s="1"/>
      <c r="T4596" s="1" t="s">
        <v>314</v>
      </c>
      <c r="U4596" s="1"/>
      <c r="V4596" s="1">
        <v>27.72</v>
      </c>
      <c r="W4596" s="1">
        <v>27.72</v>
      </c>
      <c r="X4596" s="1" t="s">
        <v>35</v>
      </c>
      <c r="Y4596" s="1">
        <v>27720</v>
      </c>
      <c r="Z4596" s="1"/>
      <c r="AA4596" s="1">
        <v>27720</v>
      </c>
      <c r="AB4596" s="1"/>
      <c r="AC4596" s="1" t="s">
        <v>36</v>
      </c>
      <c r="AD4596" s="1" t="s">
        <v>15765</v>
      </c>
      <c r="AE4596" s="1" t="s">
        <v>32</v>
      </c>
      <c r="AF4596" s="1" t="s">
        <v>33</v>
      </c>
      <c r="AG4596" s="1" t="s">
        <v>180</v>
      </c>
    </row>
    <row r="4597" spans="1:33">
      <c r="A4597" t="s">
        <v>15766</v>
      </c>
      <c r="C4597" t="s">
        <v>6344</v>
      </c>
      <c r="E4597" t="s">
        <v>15359</v>
      </c>
      <c r="F4597" t="s">
        <v>10934</v>
      </c>
      <c r="G4597">
        <v>320.0</v>
      </c>
      <c r="H4597">
        <v>320.0</v>
      </c>
      <c r="I4597" t="s">
        <v>126</v>
      </c>
      <c r="J4597" t="s">
        <v>127</v>
      </c>
      <c r="K4597" t="s">
        <v>31</v>
      </c>
      <c r="L4597" t="s">
        <v>32</v>
      </c>
      <c r="M4597" t="s">
        <v>33</v>
      </c>
      <c r="P4597" s="1" t="s">
        <v>15767</v>
      </c>
      <c r="Q4597" s="1" t="s">
        <v>15359</v>
      </c>
      <c r="R4597" s="1" t="s">
        <v>15359</v>
      </c>
      <c r="S4597" s="1"/>
      <c r="T4597" s="1" t="s">
        <v>6344</v>
      </c>
      <c r="U4597" s="1"/>
      <c r="V4597" s="1">
        <v>320.0</v>
      </c>
      <c r="W4597" s="1">
        <v>320.0</v>
      </c>
      <c r="X4597" s="1" t="s">
        <v>35</v>
      </c>
      <c r="Y4597" s="1">
        <v>320000</v>
      </c>
      <c r="Z4597" s="1"/>
      <c r="AA4597" s="1">
        <v>320000</v>
      </c>
      <c r="AB4597" s="1"/>
      <c r="AC4597" s="1" t="s">
        <v>36</v>
      </c>
      <c r="AD4597" s="1" t="s">
        <v>15762</v>
      </c>
      <c r="AE4597" s="1" t="s">
        <v>32</v>
      </c>
      <c r="AF4597" s="1" t="s">
        <v>33</v>
      </c>
      <c r="AG4597" s="1" t="s">
        <v>127</v>
      </c>
    </row>
    <row r="4598" spans="1:33">
      <c r="A4598" t="s">
        <v>15768</v>
      </c>
      <c r="B4598" t="s">
        <v>684</v>
      </c>
      <c r="C4598" t="s">
        <v>314</v>
      </c>
      <c r="E4598" t="s">
        <v>15359</v>
      </c>
      <c r="F4598" t="s">
        <v>10934</v>
      </c>
      <c r="G4598">
        <v>152.24</v>
      </c>
      <c r="H4598">
        <v>152.24</v>
      </c>
      <c r="I4598" t="s">
        <v>179</v>
      </c>
      <c r="J4598" t="s">
        <v>180</v>
      </c>
      <c r="K4598" t="s">
        <v>31</v>
      </c>
      <c r="L4598" t="s">
        <v>32</v>
      </c>
      <c r="M4598" t="s">
        <v>33</v>
      </c>
      <c r="P4598" s="1" t="s">
        <v>15769</v>
      </c>
      <c r="Q4598" s="1" t="s">
        <v>15359</v>
      </c>
      <c r="R4598" s="1" t="s">
        <v>15359</v>
      </c>
      <c r="S4598" s="1"/>
      <c r="T4598" s="1" t="s">
        <v>314</v>
      </c>
      <c r="U4598" s="1"/>
      <c r="V4598" s="1">
        <v>152.24</v>
      </c>
      <c r="W4598" s="1">
        <v>152.24</v>
      </c>
      <c r="X4598" s="1" t="s">
        <v>35</v>
      </c>
      <c r="Y4598" s="1">
        <v>152240</v>
      </c>
      <c r="Z4598" s="1"/>
      <c r="AA4598" s="1">
        <v>152240</v>
      </c>
      <c r="AB4598" s="1"/>
      <c r="AC4598" s="1" t="s">
        <v>36</v>
      </c>
      <c r="AD4598" s="1" t="s">
        <v>15770</v>
      </c>
      <c r="AE4598" s="1" t="s">
        <v>32</v>
      </c>
      <c r="AF4598" s="1" t="s">
        <v>33</v>
      </c>
      <c r="AG4598" s="1" t="s">
        <v>180</v>
      </c>
    </row>
    <row r="4599" spans="1:33">
      <c r="A4599" t="s">
        <v>15771</v>
      </c>
      <c r="C4599" t="s">
        <v>12960</v>
      </c>
      <c r="E4599" t="s">
        <v>15359</v>
      </c>
      <c r="F4599" t="s">
        <v>10934</v>
      </c>
      <c r="G4599">
        <v>740.0</v>
      </c>
      <c r="H4599">
        <v>740.0</v>
      </c>
      <c r="I4599" t="s">
        <v>126</v>
      </c>
      <c r="J4599" t="s">
        <v>127</v>
      </c>
      <c r="K4599" t="s">
        <v>31</v>
      </c>
      <c r="L4599" t="s">
        <v>32</v>
      </c>
      <c r="M4599" t="s">
        <v>33</v>
      </c>
      <c r="P4599" s="1" t="s">
        <v>15772</v>
      </c>
      <c r="Q4599" s="1" t="s">
        <v>15359</v>
      </c>
      <c r="R4599" s="1" t="s">
        <v>15359</v>
      </c>
      <c r="S4599" s="1"/>
      <c r="T4599" s="1" t="s">
        <v>12962</v>
      </c>
      <c r="U4599" s="1" t="s">
        <v>12963</v>
      </c>
      <c r="V4599" s="1">
        <v>740.0</v>
      </c>
      <c r="W4599" s="1">
        <v>740.0</v>
      </c>
      <c r="X4599" s="1" t="s">
        <v>35</v>
      </c>
      <c r="Y4599" s="1">
        <v>740000</v>
      </c>
      <c r="Z4599" s="1"/>
      <c r="AA4599" s="1">
        <v>740000</v>
      </c>
      <c r="AB4599" s="1"/>
      <c r="AC4599" s="1" t="s">
        <v>36</v>
      </c>
      <c r="AD4599" s="1" t="s">
        <v>15759</v>
      </c>
      <c r="AE4599" s="1" t="s">
        <v>32</v>
      </c>
      <c r="AF4599" s="1" t="s">
        <v>33</v>
      </c>
      <c r="AG4599" s="1" t="s">
        <v>127</v>
      </c>
    </row>
    <row r="4600" spans="1:33">
      <c r="A4600" t="s">
        <v>15773</v>
      </c>
      <c r="C4600" t="s">
        <v>7182</v>
      </c>
      <c r="D4600" t="s">
        <v>154</v>
      </c>
      <c r="E4600" t="s">
        <v>15359</v>
      </c>
      <c r="F4600" t="s">
        <v>10934</v>
      </c>
      <c r="G4600">
        <v>884.0</v>
      </c>
      <c r="H4600">
        <v>884.0</v>
      </c>
      <c r="I4600" t="s">
        <v>126</v>
      </c>
      <c r="J4600" t="s">
        <v>127</v>
      </c>
      <c r="K4600" t="s">
        <v>31</v>
      </c>
      <c r="L4600" t="s">
        <v>32</v>
      </c>
      <c r="M4600" t="s">
        <v>33</v>
      </c>
      <c r="P4600" s="1" t="s">
        <v>15774</v>
      </c>
      <c r="Q4600" s="1" t="s">
        <v>15359</v>
      </c>
      <c r="R4600" s="1" t="s">
        <v>15359</v>
      </c>
      <c r="S4600" s="1"/>
      <c r="T4600" s="1" t="s">
        <v>7184</v>
      </c>
      <c r="U4600" s="1" t="s">
        <v>7185</v>
      </c>
      <c r="V4600" s="1">
        <v>884.0</v>
      </c>
      <c r="W4600" s="1">
        <v>884.0</v>
      </c>
      <c r="X4600" s="1" t="s">
        <v>35</v>
      </c>
      <c r="Y4600" s="1">
        <v>884000</v>
      </c>
      <c r="Z4600" s="1"/>
      <c r="AA4600" s="1">
        <v>884000</v>
      </c>
      <c r="AB4600" s="1"/>
      <c r="AC4600" s="1" t="s">
        <v>36</v>
      </c>
      <c r="AD4600" s="1" t="s">
        <v>15775</v>
      </c>
      <c r="AE4600" s="1" t="s">
        <v>32</v>
      </c>
      <c r="AF4600" s="1" t="s">
        <v>33</v>
      </c>
      <c r="AG4600" s="1" t="s">
        <v>127</v>
      </c>
    </row>
    <row r="4601" spans="1:33">
      <c r="A4601" t="s">
        <v>15776</v>
      </c>
      <c r="B4601" t="s">
        <v>15777</v>
      </c>
      <c r="C4601" t="s">
        <v>314</v>
      </c>
      <c r="E4601" t="s">
        <v>15359</v>
      </c>
      <c r="F4601" t="s">
        <v>10934</v>
      </c>
      <c r="G4601">
        <v>8.94</v>
      </c>
      <c r="H4601">
        <v>8.94</v>
      </c>
      <c r="I4601" t="s">
        <v>179</v>
      </c>
      <c r="J4601" t="s">
        <v>180</v>
      </c>
      <c r="K4601" t="s">
        <v>31</v>
      </c>
      <c r="L4601" t="s">
        <v>32</v>
      </c>
      <c r="M4601" t="s">
        <v>33</v>
      </c>
      <c r="P4601" s="1" t="s">
        <v>15778</v>
      </c>
      <c r="Q4601" s="1" t="s">
        <v>15359</v>
      </c>
      <c r="R4601" s="1" t="s">
        <v>15359</v>
      </c>
      <c r="S4601" s="1"/>
      <c r="T4601" s="1" t="s">
        <v>314</v>
      </c>
      <c r="U4601" s="1"/>
      <c r="V4601" s="1">
        <v>8.94</v>
      </c>
      <c r="W4601" s="1">
        <v>8.94</v>
      </c>
      <c r="X4601" s="1" t="s">
        <v>35</v>
      </c>
      <c r="Y4601" s="1">
        <v>8940</v>
      </c>
      <c r="Z4601" s="1"/>
      <c r="AA4601" s="1">
        <v>8940</v>
      </c>
      <c r="AB4601" s="1"/>
      <c r="AC4601" s="1" t="s">
        <v>36</v>
      </c>
      <c r="AD4601" s="1" t="s">
        <v>15779</v>
      </c>
      <c r="AE4601" s="1" t="s">
        <v>32</v>
      </c>
      <c r="AF4601" s="1" t="s">
        <v>33</v>
      </c>
      <c r="AG4601" s="1" t="s">
        <v>180</v>
      </c>
    </row>
    <row r="4602" spans="1:33">
      <c r="A4602" t="s">
        <v>15780</v>
      </c>
      <c r="B4602" t="s">
        <v>1487</v>
      </c>
      <c r="C4602" t="s">
        <v>1488</v>
      </c>
      <c r="E4602" t="s">
        <v>15359</v>
      </c>
      <c r="F4602" t="s">
        <v>10934</v>
      </c>
      <c r="G4602">
        <v>1.26</v>
      </c>
      <c r="H4602">
        <v>1.26</v>
      </c>
      <c r="I4602" t="s">
        <v>40</v>
      </c>
      <c r="J4602" t="s">
        <v>41</v>
      </c>
      <c r="K4602" t="s">
        <v>31</v>
      </c>
      <c r="L4602" t="s">
        <v>32</v>
      </c>
      <c r="M4602" t="s">
        <v>33</v>
      </c>
      <c r="P4602" s="1" t="s">
        <v>15781</v>
      </c>
      <c r="Q4602" s="1" t="s">
        <v>15359</v>
      </c>
      <c r="R4602" s="1" t="s">
        <v>14225</v>
      </c>
      <c r="S4602" s="1"/>
      <c r="T4602" s="1" t="s">
        <v>1488</v>
      </c>
      <c r="U4602" s="1"/>
      <c r="V4602" s="1">
        <v>1.26</v>
      </c>
      <c r="W4602" s="1">
        <v>1.26</v>
      </c>
      <c r="X4602" s="1" t="s">
        <v>35</v>
      </c>
      <c r="Y4602" s="1">
        <v>1260000</v>
      </c>
      <c r="Z4602" s="1"/>
      <c r="AA4602" s="1">
        <v>1260000</v>
      </c>
      <c r="AB4602" s="1"/>
      <c r="AC4602" s="1" t="s">
        <v>36</v>
      </c>
      <c r="AD4602" s="1" t="s">
        <v>15782</v>
      </c>
      <c r="AE4602" s="1" t="s">
        <v>32</v>
      </c>
      <c r="AF4602" s="1" t="s">
        <v>33</v>
      </c>
      <c r="AG4602" s="1" t="s">
        <v>41</v>
      </c>
    </row>
    <row r="4603" spans="1:33">
      <c r="A4603" t="s">
        <v>15783</v>
      </c>
      <c r="B4603" t="s">
        <v>2459</v>
      </c>
      <c r="C4603" t="s">
        <v>125</v>
      </c>
      <c r="E4603" t="s">
        <v>15359</v>
      </c>
      <c r="F4603" t="s">
        <v>10934</v>
      </c>
      <c r="G4603">
        <v>12.508</v>
      </c>
      <c r="H4603">
        <v>12.508</v>
      </c>
      <c r="I4603" t="s">
        <v>126</v>
      </c>
      <c r="J4603" t="s">
        <v>127</v>
      </c>
      <c r="K4603" t="s">
        <v>31</v>
      </c>
      <c r="L4603" t="s">
        <v>32</v>
      </c>
      <c r="M4603" t="s">
        <v>33</v>
      </c>
      <c r="P4603" s="1" t="s">
        <v>15784</v>
      </c>
      <c r="Q4603" s="1" t="s">
        <v>15359</v>
      </c>
      <c r="R4603" s="1" t="s">
        <v>15359</v>
      </c>
      <c r="S4603" s="1"/>
      <c r="T4603" s="1" t="s">
        <v>125</v>
      </c>
      <c r="U4603" s="1"/>
      <c r="V4603" s="1">
        <v>12.508</v>
      </c>
      <c r="W4603" s="1">
        <v>12.508</v>
      </c>
      <c r="X4603" s="1" t="s">
        <v>35</v>
      </c>
      <c r="Y4603" s="1">
        <v>12508</v>
      </c>
      <c r="Z4603" s="1"/>
      <c r="AA4603" s="1">
        <v>12508</v>
      </c>
      <c r="AB4603" s="1"/>
      <c r="AC4603" s="1" t="s">
        <v>36</v>
      </c>
      <c r="AD4603" s="1" t="s">
        <v>15752</v>
      </c>
      <c r="AE4603" s="1" t="s">
        <v>32</v>
      </c>
      <c r="AF4603" s="1" t="s">
        <v>33</v>
      </c>
      <c r="AG4603" s="1" t="s">
        <v>127</v>
      </c>
    </row>
    <row r="4604" spans="1:33">
      <c r="A4604" t="s">
        <v>15785</v>
      </c>
      <c r="B4604" t="s">
        <v>15786</v>
      </c>
      <c r="C4604" t="s">
        <v>1298</v>
      </c>
      <c r="E4604" t="s">
        <v>15359</v>
      </c>
      <c r="F4604" t="s">
        <v>10934</v>
      </c>
      <c r="G4604">
        <v>15.5</v>
      </c>
      <c r="H4604">
        <v>15.5</v>
      </c>
      <c r="I4604" t="s">
        <v>529</v>
      </c>
      <c r="J4604" t="s">
        <v>530</v>
      </c>
      <c r="K4604" t="s">
        <v>31</v>
      </c>
      <c r="L4604" t="s">
        <v>32</v>
      </c>
      <c r="M4604" t="s">
        <v>33</v>
      </c>
      <c r="P4604" s="1" t="s">
        <v>15787</v>
      </c>
      <c r="Q4604" s="1" t="s">
        <v>15359</v>
      </c>
      <c r="R4604" s="1" t="s">
        <v>14225</v>
      </c>
      <c r="S4604" s="1"/>
      <c r="T4604" s="1" t="s">
        <v>1298</v>
      </c>
      <c r="U4604" s="1"/>
      <c r="V4604" s="1">
        <v>15.5</v>
      </c>
      <c r="W4604" s="1">
        <v>15.5</v>
      </c>
      <c r="X4604" s="1" t="s">
        <v>35</v>
      </c>
      <c r="Y4604" s="1">
        <v>15500</v>
      </c>
      <c r="Z4604" s="1"/>
      <c r="AA4604" s="1">
        <v>15500</v>
      </c>
      <c r="AB4604" s="1"/>
      <c r="AC4604" s="1" t="s">
        <v>36</v>
      </c>
      <c r="AD4604" s="1" t="s">
        <v>15788</v>
      </c>
      <c r="AE4604" s="1" t="s">
        <v>32</v>
      </c>
      <c r="AF4604" s="1" t="s">
        <v>33</v>
      </c>
      <c r="AG4604" s="1" t="s">
        <v>530</v>
      </c>
    </row>
    <row r="4605" spans="1:33">
      <c r="A4605" t="s">
        <v>15789</v>
      </c>
      <c r="B4605" t="s">
        <v>15790</v>
      </c>
      <c r="C4605" t="s">
        <v>73</v>
      </c>
      <c r="E4605" t="s">
        <v>15359</v>
      </c>
      <c r="F4605" t="s">
        <v>10934</v>
      </c>
      <c r="G4605">
        <v>19.49</v>
      </c>
      <c r="H4605">
        <v>19.49</v>
      </c>
      <c r="I4605" t="s">
        <v>40</v>
      </c>
      <c r="J4605" t="s">
        <v>41</v>
      </c>
      <c r="K4605" t="s">
        <v>31</v>
      </c>
      <c r="L4605" t="s">
        <v>32</v>
      </c>
      <c r="M4605" t="s">
        <v>33</v>
      </c>
      <c r="P4605" s="1" t="s">
        <v>15791</v>
      </c>
      <c r="Q4605" s="1" t="s">
        <v>15359</v>
      </c>
      <c r="R4605" s="1" t="s">
        <v>14225</v>
      </c>
      <c r="S4605" s="1"/>
      <c r="T4605" s="1" t="s">
        <v>75</v>
      </c>
      <c r="U4605" s="1" t="s">
        <v>76</v>
      </c>
      <c r="V4605" s="1">
        <v>19.49</v>
      </c>
      <c r="W4605" s="1">
        <v>19.49</v>
      </c>
      <c r="X4605" s="1" t="s">
        <v>35</v>
      </c>
      <c r="Y4605" s="1">
        <v>19490</v>
      </c>
      <c r="Z4605" s="1"/>
      <c r="AA4605" s="1">
        <v>19490</v>
      </c>
      <c r="AB4605" s="1"/>
      <c r="AC4605" s="1" t="s">
        <v>36</v>
      </c>
      <c r="AD4605" s="1" t="s">
        <v>15687</v>
      </c>
      <c r="AE4605" s="1" t="s">
        <v>32</v>
      </c>
      <c r="AF4605" s="1" t="s">
        <v>33</v>
      </c>
      <c r="AG4605" s="1" t="s">
        <v>41</v>
      </c>
    </row>
    <row r="4606" spans="1:33">
      <c r="A4606" t="s">
        <v>15792</v>
      </c>
      <c r="C4606" t="s">
        <v>6216</v>
      </c>
      <c r="E4606" t="s">
        <v>15359</v>
      </c>
      <c r="F4606" t="s">
        <v>10934</v>
      </c>
      <c r="G4606">
        <v>1.014</v>
      </c>
      <c r="H4606">
        <v>1.014</v>
      </c>
      <c r="I4606" t="s">
        <v>136</v>
      </c>
      <c r="J4606" t="s">
        <v>137</v>
      </c>
      <c r="K4606" t="s">
        <v>31</v>
      </c>
      <c r="L4606" t="s">
        <v>32</v>
      </c>
      <c r="M4606" t="s">
        <v>33</v>
      </c>
      <c r="P4606" s="1" t="s">
        <v>15793</v>
      </c>
      <c r="Q4606" s="1" t="s">
        <v>15359</v>
      </c>
      <c r="R4606" s="1" t="s">
        <v>15359</v>
      </c>
      <c r="S4606" s="1"/>
      <c r="T4606" s="1" t="s">
        <v>6216</v>
      </c>
      <c r="U4606" s="1"/>
      <c r="V4606" s="1">
        <v>1.014</v>
      </c>
      <c r="W4606" s="1">
        <v>1.014</v>
      </c>
      <c r="X4606" s="1" t="s">
        <v>35</v>
      </c>
      <c r="Y4606" s="1">
        <v>1014500</v>
      </c>
      <c r="Z4606" s="1"/>
      <c r="AA4606" s="1">
        <v>1014500</v>
      </c>
      <c r="AB4606" s="1"/>
      <c r="AC4606" s="1" t="s">
        <v>36</v>
      </c>
      <c r="AD4606" s="1" t="s">
        <v>15794</v>
      </c>
      <c r="AE4606" s="1" t="s">
        <v>32</v>
      </c>
      <c r="AF4606" s="1" t="s">
        <v>33</v>
      </c>
      <c r="AG4606" s="1" t="s">
        <v>137</v>
      </c>
    </row>
    <row r="4607" spans="1:33">
      <c r="A4607" t="s">
        <v>15795</v>
      </c>
      <c r="C4607" t="s">
        <v>184</v>
      </c>
      <c r="E4607" t="s">
        <v>15359</v>
      </c>
      <c r="F4607" t="s">
        <v>10934</v>
      </c>
      <c r="G4607">
        <v>62.5</v>
      </c>
      <c r="H4607">
        <v>62.5</v>
      </c>
      <c r="I4607" t="s">
        <v>227</v>
      </c>
      <c r="J4607" t="s">
        <v>228</v>
      </c>
      <c r="K4607" t="s">
        <v>31</v>
      </c>
      <c r="L4607" t="s">
        <v>32</v>
      </c>
      <c r="M4607" t="s">
        <v>33</v>
      </c>
      <c r="P4607" s="1" t="s">
        <v>15796</v>
      </c>
      <c r="Q4607" s="1" t="s">
        <v>15359</v>
      </c>
      <c r="R4607" s="1" t="s">
        <v>15359</v>
      </c>
      <c r="S4607" s="1"/>
      <c r="T4607" s="1" t="s">
        <v>184</v>
      </c>
      <c r="U4607" s="1"/>
      <c r="V4607" s="1">
        <v>62.5</v>
      </c>
      <c r="W4607" s="1">
        <v>62.5</v>
      </c>
      <c r="X4607" s="1" t="s">
        <v>35</v>
      </c>
      <c r="Y4607" s="1">
        <v>62500</v>
      </c>
      <c r="Z4607" s="1"/>
      <c r="AA4607" s="1">
        <v>62500</v>
      </c>
      <c r="AB4607" s="1"/>
      <c r="AC4607" s="1" t="s">
        <v>36</v>
      </c>
      <c r="AD4607" s="1" t="s">
        <v>15788</v>
      </c>
      <c r="AE4607" s="1" t="s">
        <v>32</v>
      </c>
      <c r="AF4607" s="1" t="s">
        <v>33</v>
      </c>
      <c r="AG4607" s="1" t="s">
        <v>228</v>
      </c>
    </row>
    <row r="4608" spans="1:33">
      <c r="A4608" t="s">
        <v>15797</v>
      </c>
      <c r="B4608" t="s">
        <v>7317</v>
      </c>
      <c r="C4608" t="s">
        <v>268</v>
      </c>
      <c r="E4608" t="s">
        <v>15359</v>
      </c>
      <c r="F4608" t="s">
        <v>10934</v>
      </c>
      <c r="G4608">
        <v>144.0</v>
      </c>
      <c r="H4608">
        <v>144.0</v>
      </c>
      <c r="I4608" t="s">
        <v>269</v>
      </c>
      <c r="J4608" t="s">
        <v>270</v>
      </c>
      <c r="K4608" t="s">
        <v>31</v>
      </c>
      <c r="L4608" t="s">
        <v>32</v>
      </c>
      <c r="M4608" t="s">
        <v>33</v>
      </c>
      <c r="P4608" s="1" t="s">
        <v>15798</v>
      </c>
      <c r="Q4608" s="1" t="s">
        <v>15359</v>
      </c>
      <c r="R4608" s="1" t="s">
        <v>15359</v>
      </c>
      <c r="S4608" s="1"/>
      <c r="T4608" s="1" t="s">
        <v>268</v>
      </c>
      <c r="U4608" s="1"/>
      <c r="V4608" s="1">
        <v>144.0</v>
      </c>
      <c r="W4608" s="1">
        <v>144.0</v>
      </c>
      <c r="X4608" s="1" t="s">
        <v>35</v>
      </c>
      <c r="Y4608" s="1">
        <v>144000</v>
      </c>
      <c r="Z4608" s="1"/>
      <c r="AA4608" s="1">
        <v>144000</v>
      </c>
      <c r="AB4608" s="1"/>
      <c r="AC4608" s="1" t="s">
        <v>36</v>
      </c>
      <c r="AD4608" s="1" t="s">
        <v>15727</v>
      </c>
      <c r="AE4608" s="1" t="s">
        <v>32</v>
      </c>
      <c r="AF4608" s="1" t="s">
        <v>33</v>
      </c>
      <c r="AG4608" s="1" t="s">
        <v>270</v>
      </c>
    </row>
    <row r="4609" spans="1:33">
      <c r="A4609" t="s">
        <v>15799</v>
      </c>
      <c r="C4609" t="s">
        <v>3612</v>
      </c>
      <c r="E4609" t="s">
        <v>15359</v>
      </c>
      <c r="F4609" t="s">
        <v>10934</v>
      </c>
      <c r="G4609">
        <v>693.25</v>
      </c>
      <c r="H4609">
        <v>693.25</v>
      </c>
      <c r="I4609" t="s">
        <v>136</v>
      </c>
      <c r="J4609" t="s">
        <v>137</v>
      </c>
      <c r="K4609" t="s">
        <v>31</v>
      </c>
      <c r="L4609" t="s">
        <v>32</v>
      </c>
      <c r="M4609" t="s">
        <v>33</v>
      </c>
      <c r="P4609" s="1" t="s">
        <v>15800</v>
      </c>
      <c r="Q4609" s="1" t="s">
        <v>15359</v>
      </c>
      <c r="R4609" s="1" t="s">
        <v>15359</v>
      </c>
      <c r="S4609" s="1"/>
      <c r="T4609" s="1" t="s">
        <v>3614</v>
      </c>
      <c r="U4609" s="1" t="s">
        <v>3615</v>
      </c>
      <c r="V4609" s="1">
        <v>693.25</v>
      </c>
      <c r="W4609" s="1">
        <v>693.25</v>
      </c>
      <c r="X4609" s="1" t="s">
        <v>35</v>
      </c>
      <c r="Y4609" s="1">
        <v>693250</v>
      </c>
      <c r="Z4609" s="1"/>
      <c r="AA4609" s="1">
        <v>693250</v>
      </c>
      <c r="AB4609" s="1"/>
      <c r="AC4609" s="1" t="s">
        <v>36</v>
      </c>
      <c r="AD4609" s="1" t="s">
        <v>15801</v>
      </c>
      <c r="AE4609" s="1" t="s">
        <v>32</v>
      </c>
      <c r="AF4609" s="1" t="s">
        <v>33</v>
      </c>
      <c r="AG4609" s="1" t="s">
        <v>137</v>
      </c>
    </row>
    <row r="4610" spans="1:33">
      <c r="A4610" t="s">
        <v>15802</v>
      </c>
      <c r="B4610" t="s">
        <v>4131</v>
      </c>
      <c r="C4610" t="s">
        <v>268</v>
      </c>
      <c r="E4610" t="s">
        <v>15359</v>
      </c>
      <c r="F4610" t="s">
        <v>10934</v>
      </c>
      <c r="G4610">
        <v>214.95</v>
      </c>
      <c r="H4610">
        <v>214.95</v>
      </c>
      <c r="I4610" t="s">
        <v>269</v>
      </c>
      <c r="J4610" t="s">
        <v>270</v>
      </c>
      <c r="K4610" t="s">
        <v>31</v>
      </c>
      <c r="L4610" t="s">
        <v>32</v>
      </c>
      <c r="M4610" t="s">
        <v>33</v>
      </c>
      <c r="P4610" s="1" t="s">
        <v>15803</v>
      </c>
      <c r="Q4610" s="1" t="s">
        <v>15359</v>
      </c>
      <c r="R4610" s="1" t="s">
        <v>15359</v>
      </c>
      <c r="S4610" s="1"/>
      <c r="T4610" s="1" t="s">
        <v>268</v>
      </c>
      <c r="U4610" s="1"/>
      <c r="V4610" s="1">
        <v>214.95</v>
      </c>
      <c r="W4610" s="1">
        <v>214.95</v>
      </c>
      <c r="X4610" s="1" t="s">
        <v>35</v>
      </c>
      <c r="Y4610" s="1">
        <v>214950</v>
      </c>
      <c r="Z4610" s="1"/>
      <c r="AA4610" s="1">
        <v>214950</v>
      </c>
      <c r="AB4610" s="1"/>
      <c r="AC4610" s="1" t="s">
        <v>36</v>
      </c>
      <c r="AD4610" s="1" t="s">
        <v>15779</v>
      </c>
      <c r="AE4610" s="1" t="s">
        <v>32</v>
      </c>
      <c r="AF4610" s="1" t="s">
        <v>33</v>
      </c>
      <c r="AG4610" s="1" t="s">
        <v>270</v>
      </c>
    </row>
    <row r="4611" spans="1:33">
      <c r="A4611" t="s">
        <v>15804</v>
      </c>
      <c r="B4611" t="s">
        <v>15805</v>
      </c>
      <c r="C4611" t="s">
        <v>569</v>
      </c>
      <c r="E4611" t="s">
        <v>15359</v>
      </c>
      <c r="F4611" t="s">
        <v>10934</v>
      </c>
      <c r="G4611">
        <v>36.99</v>
      </c>
      <c r="H4611">
        <v>36.99</v>
      </c>
      <c r="I4611" t="s">
        <v>570</v>
      </c>
      <c r="J4611" t="s">
        <v>571</v>
      </c>
      <c r="K4611" t="s">
        <v>31</v>
      </c>
      <c r="L4611" t="s">
        <v>32</v>
      </c>
      <c r="M4611" t="s">
        <v>33</v>
      </c>
      <c r="P4611" s="1" t="s">
        <v>15806</v>
      </c>
      <c r="Q4611" s="1" t="s">
        <v>15359</v>
      </c>
      <c r="R4611" s="1" t="s">
        <v>15359</v>
      </c>
      <c r="S4611" s="1"/>
      <c r="T4611" s="1" t="s">
        <v>569</v>
      </c>
      <c r="U4611" s="1"/>
      <c r="V4611" s="1">
        <v>36.99</v>
      </c>
      <c r="W4611" s="1">
        <v>36.99</v>
      </c>
      <c r="X4611" s="1" t="s">
        <v>35</v>
      </c>
      <c r="Y4611" s="1">
        <v>36990</v>
      </c>
      <c r="Z4611" s="1"/>
      <c r="AA4611" s="1">
        <v>36990</v>
      </c>
      <c r="AB4611" s="1"/>
      <c r="AC4611" s="1" t="s">
        <v>36</v>
      </c>
      <c r="AD4611" s="1" t="s">
        <v>15765</v>
      </c>
      <c r="AE4611" s="1" t="s">
        <v>32</v>
      </c>
      <c r="AF4611" s="1" t="s">
        <v>33</v>
      </c>
      <c r="AG4611" s="1" t="s">
        <v>571</v>
      </c>
    </row>
    <row r="4612" spans="1:33">
      <c r="A4612" t="s">
        <v>15807</v>
      </c>
      <c r="C4612" t="s">
        <v>1464</v>
      </c>
      <c r="E4612" t="s">
        <v>15359</v>
      </c>
      <c r="F4612" t="s">
        <v>10934</v>
      </c>
      <c r="G4612">
        <v>665.1</v>
      </c>
      <c r="H4612">
        <v>665.1</v>
      </c>
      <c r="I4612" t="s">
        <v>136</v>
      </c>
      <c r="J4612" t="s">
        <v>137</v>
      </c>
      <c r="K4612" t="s">
        <v>31</v>
      </c>
      <c r="L4612" t="s">
        <v>32</v>
      </c>
      <c r="M4612" t="s">
        <v>33</v>
      </c>
      <c r="P4612" s="1" t="s">
        <v>15808</v>
      </c>
      <c r="Q4612" s="1" t="s">
        <v>15359</v>
      </c>
      <c r="R4612" s="1" t="s">
        <v>15359</v>
      </c>
      <c r="S4612" s="1"/>
      <c r="T4612" s="1" t="s">
        <v>1464</v>
      </c>
      <c r="U4612" s="1"/>
      <c r="V4612" s="1">
        <v>665.1</v>
      </c>
      <c r="W4612" s="1">
        <v>665.1</v>
      </c>
      <c r="X4612" s="1" t="s">
        <v>35</v>
      </c>
      <c r="Y4612" s="1">
        <v>665100</v>
      </c>
      <c r="Z4612" s="1"/>
      <c r="AA4612" s="1">
        <v>665100</v>
      </c>
      <c r="AB4612" s="1"/>
      <c r="AC4612" s="1" t="s">
        <v>36</v>
      </c>
      <c r="AD4612" s="1" t="s">
        <v>15809</v>
      </c>
      <c r="AE4612" s="1" t="s">
        <v>32</v>
      </c>
      <c r="AF4612" s="1" t="s">
        <v>33</v>
      </c>
      <c r="AG4612" s="1" t="s">
        <v>137</v>
      </c>
    </row>
    <row r="4613" spans="1:33">
      <c r="A4613" t="s">
        <v>15810</v>
      </c>
      <c r="B4613" t="s">
        <v>9987</v>
      </c>
      <c r="C4613" t="s">
        <v>125</v>
      </c>
      <c r="E4613" t="s">
        <v>15359</v>
      </c>
      <c r="F4613" t="s">
        <v>10934</v>
      </c>
      <c r="G4613">
        <v>135.206</v>
      </c>
      <c r="H4613">
        <v>135.206</v>
      </c>
      <c r="I4613" t="s">
        <v>126</v>
      </c>
      <c r="J4613" t="s">
        <v>127</v>
      </c>
      <c r="K4613" t="s">
        <v>31</v>
      </c>
      <c r="L4613" t="s">
        <v>32</v>
      </c>
      <c r="M4613" t="s">
        <v>33</v>
      </c>
      <c r="P4613" s="1" t="s">
        <v>15811</v>
      </c>
      <c r="Q4613" s="1" t="s">
        <v>15359</v>
      </c>
      <c r="R4613" s="1" t="s">
        <v>15359</v>
      </c>
      <c r="S4613" s="1"/>
      <c r="T4613" s="1" t="s">
        <v>125</v>
      </c>
      <c r="U4613" s="1"/>
      <c r="V4613" s="1">
        <v>135.206</v>
      </c>
      <c r="W4613" s="1">
        <v>135.206</v>
      </c>
      <c r="X4613" s="1" t="s">
        <v>35</v>
      </c>
      <c r="Y4613" s="1">
        <v>135206</v>
      </c>
      <c r="Z4613" s="1"/>
      <c r="AA4613" s="1">
        <v>135206</v>
      </c>
      <c r="AB4613" s="1"/>
      <c r="AC4613" s="1" t="s">
        <v>36</v>
      </c>
      <c r="AD4613" s="1" t="s">
        <v>15812</v>
      </c>
      <c r="AE4613" s="1" t="s">
        <v>32</v>
      </c>
      <c r="AF4613" s="1" t="s">
        <v>33</v>
      </c>
      <c r="AG4613" s="1" t="s">
        <v>127</v>
      </c>
    </row>
    <row r="4614" spans="1:33">
      <c r="A4614" t="s">
        <v>15813</v>
      </c>
      <c r="B4614" t="s">
        <v>15814</v>
      </c>
      <c r="C4614" t="s">
        <v>2741</v>
      </c>
      <c r="E4614" t="s">
        <v>15359</v>
      </c>
      <c r="F4614" t="s">
        <v>10934</v>
      </c>
      <c r="G4614">
        <v>8.3</v>
      </c>
      <c r="H4614">
        <v>8.3</v>
      </c>
      <c r="I4614" t="s">
        <v>2742</v>
      </c>
      <c r="J4614" t="s">
        <v>2743</v>
      </c>
      <c r="K4614" t="s">
        <v>31</v>
      </c>
      <c r="L4614" t="s">
        <v>32</v>
      </c>
      <c r="M4614" t="s">
        <v>33</v>
      </c>
      <c r="P4614" s="1" t="s">
        <v>15815</v>
      </c>
      <c r="Q4614" s="1" t="s">
        <v>15359</v>
      </c>
      <c r="R4614" s="1" t="s">
        <v>15359</v>
      </c>
      <c r="S4614" s="1"/>
      <c r="T4614" s="1" t="s">
        <v>2741</v>
      </c>
      <c r="U4614" s="1"/>
      <c r="V4614" s="1">
        <v>8.3</v>
      </c>
      <c r="W4614" s="1">
        <v>8.3</v>
      </c>
      <c r="X4614" s="1" t="s">
        <v>35</v>
      </c>
      <c r="Y4614" s="1">
        <v>8300</v>
      </c>
      <c r="Z4614" s="1"/>
      <c r="AA4614" s="1">
        <v>8300</v>
      </c>
      <c r="AB4614" s="1"/>
      <c r="AC4614" s="1" t="s">
        <v>36</v>
      </c>
      <c r="AD4614" s="1" t="s">
        <v>15812</v>
      </c>
      <c r="AE4614" s="1" t="s">
        <v>32</v>
      </c>
      <c r="AF4614" s="1" t="s">
        <v>33</v>
      </c>
      <c r="AG4614" s="1" t="s">
        <v>2743</v>
      </c>
    </row>
    <row r="4615" spans="1:33">
      <c r="A4615" t="s">
        <v>15816</v>
      </c>
      <c r="B4615" t="s">
        <v>15817</v>
      </c>
      <c r="C4615" t="s">
        <v>15818</v>
      </c>
      <c r="E4615" t="s">
        <v>15359</v>
      </c>
      <c r="F4615" t="s">
        <v>10934</v>
      </c>
      <c r="G4615">
        <v>7.544</v>
      </c>
      <c r="H4615">
        <v>7.544</v>
      </c>
      <c r="I4615" t="s">
        <v>136</v>
      </c>
      <c r="J4615" t="s">
        <v>137</v>
      </c>
      <c r="K4615" t="s">
        <v>31</v>
      </c>
      <c r="L4615" t="s">
        <v>32</v>
      </c>
      <c r="M4615" t="s">
        <v>33</v>
      </c>
      <c r="P4615" s="1" t="s">
        <v>15819</v>
      </c>
      <c r="Q4615" s="1" t="s">
        <v>15359</v>
      </c>
      <c r="R4615" s="1" t="s">
        <v>15359</v>
      </c>
      <c r="S4615" s="1"/>
      <c r="T4615" s="1" t="s">
        <v>15818</v>
      </c>
      <c r="U4615" s="1"/>
      <c r="V4615" s="1">
        <v>7.544</v>
      </c>
      <c r="W4615" s="1">
        <v>7.544</v>
      </c>
      <c r="X4615" s="1" t="s">
        <v>35</v>
      </c>
      <c r="Y4615" s="1">
        <v>7544000</v>
      </c>
      <c r="Z4615" s="1"/>
      <c r="AA4615" s="1">
        <v>7544000</v>
      </c>
      <c r="AB4615" s="1"/>
      <c r="AC4615" s="1" t="s">
        <v>36</v>
      </c>
      <c r="AD4615" s="1" t="s">
        <v>15820</v>
      </c>
      <c r="AE4615" s="1" t="s">
        <v>32</v>
      </c>
      <c r="AF4615" s="1" t="s">
        <v>33</v>
      </c>
      <c r="AG4615" s="1" t="s">
        <v>137</v>
      </c>
    </row>
    <row r="4616" spans="1:33">
      <c r="A4616" t="s">
        <v>15821</v>
      </c>
      <c r="C4616" t="s">
        <v>15822</v>
      </c>
      <c r="E4616" t="s">
        <v>15359</v>
      </c>
      <c r="F4616" t="s">
        <v>10934</v>
      </c>
      <c r="G4616">
        <v>177.9</v>
      </c>
      <c r="H4616">
        <v>177.9</v>
      </c>
      <c r="I4616" t="s">
        <v>94</v>
      </c>
      <c r="J4616" t="s">
        <v>95</v>
      </c>
      <c r="K4616" t="s">
        <v>31</v>
      </c>
      <c r="L4616" t="s">
        <v>32</v>
      </c>
      <c r="M4616" t="s">
        <v>33</v>
      </c>
      <c r="P4616" s="1" t="s">
        <v>15823</v>
      </c>
      <c r="Q4616" s="1" t="s">
        <v>15359</v>
      </c>
      <c r="R4616" s="1" t="s">
        <v>15359</v>
      </c>
      <c r="S4616" s="1"/>
      <c r="T4616" s="1" t="s">
        <v>15822</v>
      </c>
      <c r="U4616" s="1"/>
      <c r="V4616" s="1">
        <v>177.9</v>
      </c>
      <c r="W4616" s="1">
        <v>177.9</v>
      </c>
      <c r="X4616" s="1" t="s">
        <v>35</v>
      </c>
      <c r="Y4616" s="1">
        <v>177900</v>
      </c>
      <c r="Z4616" s="1"/>
      <c r="AA4616" s="1">
        <v>177900</v>
      </c>
      <c r="AB4616" s="1"/>
      <c r="AC4616" s="1" t="s">
        <v>36</v>
      </c>
      <c r="AD4616" s="1" t="s">
        <v>15824</v>
      </c>
      <c r="AE4616" s="1" t="s">
        <v>32</v>
      </c>
      <c r="AF4616" s="1" t="s">
        <v>33</v>
      </c>
      <c r="AG4616" s="1" t="s">
        <v>95</v>
      </c>
    </row>
    <row r="4617" spans="1:33">
      <c r="A4617" t="s">
        <v>15825</v>
      </c>
      <c r="B4617" t="s">
        <v>15826</v>
      </c>
      <c r="C4617" t="s">
        <v>47</v>
      </c>
      <c r="E4617" t="s">
        <v>15359</v>
      </c>
      <c r="F4617" t="s">
        <v>10934</v>
      </c>
      <c r="G4617">
        <v>14.745</v>
      </c>
      <c r="H4617">
        <v>14.745</v>
      </c>
      <c r="I4617" t="s">
        <v>2206</v>
      </c>
      <c r="J4617" t="s">
        <v>49</v>
      </c>
      <c r="K4617" t="s">
        <v>31</v>
      </c>
      <c r="L4617" t="s">
        <v>32</v>
      </c>
      <c r="M4617" t="s">
        <v>33</v>
      </c>
      <c r="P4617" s="1" t="s">
        <v>15827</v>
      </c>
      <c r="Q4617" s="1" t="s">
        <v>15359</v>
      </c>
      <c r="R4617" s="1" t="s">
        <v>15359</v>
      </c>
      <c r="S4617" s="1"/>
      <c r="T4617" s="1" t="s">
        <v>47</v>
      </c>
      <c r="U4617" s="1"/>
      <c r="V4617" s="1">
        <v>14.745</v>
      </c>
      <c r="W4617" s="1">
        <v>14.745</v>
      </c>
      <c r="X4617" s="1" t="s">
        <v>35</v>
      </c>
      <c r="Y4617" s="1">
        <v>14745</v>
      </c>
      <c r="Z4617" s="1"/>
      <c r="AA4617" s="1">
        <v>14745</v>
      </c>
      <c r="AB4617" s="1"/>
      <c r="AC4617" s="1" t="s">
        <v>36</v>
      </c>
      <c r="AD4617" s="1" t="s">
        <v>15828</v>
      </c>
      <c r="AE4617" s="1" t="s">
        <v>32</v>
      </c>
      <c r="AF4617" s="1" t="s">
        <v>33</v>
      </c>
      <c r="AG4617" s="1" t="s">
        <v>49</v>
      </c>
    </row>
    <row r="4618" spans="1:33">
      <c r="A4618" t="s">
        <v>15829</v>
      </c>
      <c r="B4618" t="s">
        <v>3327</v>
      </c>
      <c r="C4618" t="s">
        <v>125</v>
      </c>
      <c r="E4618" t="s">
        <v>15359</v>
      </c>
      <c r="F4618" t="s">
        <v>10934</v>
      </c>
      <c r="G4618">
        <v>85.56</v>
      </c>
      <c r="H4618">
        <v>85.56</v>
      </c>
      <c r="I4618" t="s">
        <v>126</v>
      </c>
      <c r="J4618" t="s">
        <v>127</v>
      </c>
      <c r="K4618" t="s">
        <v>31</v>
      </c>
      <c r="L4618" t="s">
        <v>32</v>
      </c>
      <c r="M4618" t="s">
        <v>33</v>
      </c>
      <c r="P4618" s="1" t="s">
        <v>15830</v>
      </c>
      <c r="Q4618" s="1" t="s">
        <v>15359</v>
      </c>
      <c r="R4618" s="1" t="s">
        <v>15359</v>
      </c>
      <c r="S4618" s="1"/>
      <c r="T4618" s="1" t="s">
        <v>125</v>
      </c>
      <c r="U4618" s="1"/>
      <c r="V4618" s="1">
        <v>85.56</v>
      </c>
      <c r="W4618" s="1">
        <v>85.56</v>
      </c>
      <c r="X4618" s="1" t="s">
        <v>35</v>
      </c>
      <c r="Y4618" s="1">
        <v>85560</v>
      </c>
      <c r="Z4618" s="1"/>
      <c r="AA4618" s="1">
        <v>85560</v>
      </c>
      <c r="AB4618" s="1"/>
      <c r="AC4618" s="1" t="s">
        <v>36</v>
      </c>
      <c r="AD4618" s="1" t="s">
        <v>15831</v>
      </c>
      <c r="AE4618" s="1" t="s">
        <v>32</v>
      </c>
      <c r="AF4618" s="1" t="s">
        <v>33</v>
      </c>
      <c r="AG4618" s="1" t="s">
        <v>127</v>
      </c>
    </row>
    <row r="4619" spans="1:33">
      <c r="A4619" t="s">
        <v>15832</v>
      </c>
      <c r="C4619" t="s">
        <v>15833</v>
      </c>
      <c r="E4619" t="s">
        <v>15359</v>
      </c>
      <c r="F4619" t="s">
        <v>10934</v>
      </c>
      <c r="G4619">
        <v>2.16</v>
      </c>
      <c r="H4619">
        <v>2.16</v>
      </c>
      <c r="I4619" t="s">
        <v>269</v>
      </c>
      <c r="J4619" t="s">
        <v>270</v>
      </c>
      <c r="K4619" t="s">
        <v>31</v>
      </c>
      <c r="L4619" t="s">
        <v>32</v>
      </c>
      <c r="M4619" t="s">
        <v>33</v>
      </c>
      <c r="P4619" s="1" t="s">
        <v>15834</v>
      </c>
      <c r="Q4619" s="1" t="s">
        <v>15359</v>
      </c>
      <c r="R4619" s="1" t="s">
        <v>15359</v>
      </c>
      <c r="S4619" s="1"/>
      <c r="T4619" s="1" t="s">
        <v>15833</v>
      </c>
      <c r="U4619" s="1"/>
      <c r="V4619" s="1">
        <v>2.16</v>
      </c>
      <c r="W4619" s="1">
        <v>2.16</v>
      </c>
      <c r="X4619" s="1" t="s">
        <v>35</v>
      </c>
      <c r="Y4619" s="1">
        <v>2160000</v>
      </c>
      <c r="Z4619" s="1"/>
      <c r="AA4619" s="1">
        <v>2160000</v>
      </c>
      <c r="AB4619" s="1"/>
      <c r="AC4619" s="1" t="s">
        <v>36</v>
      </c>
      <c r="AD4619" s="1" t="s">
        <v>15820</v>
      </c>
      <c r="AE4619" s="1" t="s">
        <v>32</v>
      </c>
      <c r="AF4619" s="1" t="s">
        <v>33</v>
      </c>
      <c r="AG4619" s="1" t="s">
        <v>270</v>
      </c>
    </row>
    <row r="4620" spans="1:33">
      <c r="A4620" t="s">
        <v>15835</v>
      </c>
      <c r="C4620" t="s">
        <v>15836</v>
      </c>
      <c r="E4620" t="s">
        <v>15359</v>
      </c>
      <c r="F4620" t="s">
        <v>10934</v>
      </c>
      <c r="G4620">
        <v>820.0</v>
      </c>
      <c r="H4620">
        <v>820.0</v>
      </c>
      <c r="I4620" t="s">
        <v>136</v>
      </c>
      <c r="J4620" t="s">
        <v>137</v>
      </c>
      <c r="K4620" t="s">
        <v>31</v>
      </c>
      <c r="L4620" t="s">
        <v>32</v>
      </c>
      <c r="M4620" t="s">
        <v>33</v>
      </c>
      <c r="P4620" s="1" t="s">
        <v>15837</v>
      </c>
      <c r="Q4620" s="1" t="s">
        <v>15359</v>
      </c>
      <c r="R4620" s="1" t="s">
        <v>15359</v>
      </c>
      <c r="S4620" s="1"/>
      <c r="T4620" s="1" t="s">
        <v>15836</v>
      </c>
      <c r="U4620" s="1"/>
      <c r="V4620" s="1">
        <v>820.0</v>
      </c>
      <c r="W4620" s="1">
        <v>820.0</v>
      </c>
      <c r="X4620" s="1" t="s">
        <v>35</v>
      </c>
      <c r="Y4620" s="1">
        <v>820000</v>
      </c>
      <c r="Z4620" s="1"/>
      <c r="AA4620" s="1">
        <v>820000</v>
      </c>
      <c r="AB4620" s="1"/>
      <c r="AC4620" s="1" t="s">
        <v>36</v>
      </c>
      <c r="AD4620" s="1" t="s">
        <v>15838</v>
      </c>
      <c r="AE4620" s="1" t="s">
        <v>32</v>
      </c>
      <c r="AF4620" s="1" t="s">
        <v>33</v>
      </c>
      <c r="AG4620" s="1" t="s">
        <v>137</v>
      </c>
    </row>
    <row r="4621" spans="1:33">
      <c r="A4621" t="s">
        <v>15839</v>
      </c>
      <c r="C4621" t="s">
        <v>5873</v>
      </c>
      <c r="D4621" t="s">
        <v>114</v>
      </c>
      <c r="E4621" t="s">
        <v>15359</v>
      </c>
      <c r="F4621" t="s">
        <v>10934</v>
      </c>
      <c r="G4621">
        <v>328.0</v>
      </c>
      <c r="H4621">
        <v>328.0</v>
      </c>
      <c r="I4621" t="s">
        <v>136</v>
      </c>
      <c r="J4621" t="s">
        <v>137</v>
      </c>
      <c r="K4621" t="s">
        <v>31</v>
      </c>
      <c r="L4621" t="s">
        <v>32</v>
      </c>
      <c r="M4621" t="s">
        <v>33</v>
      </c>
      <c r="P4621" s="1" t="s">
        <v>15840</v>
      </c>
      <c r="Q4621" s="1" t="s">
        <v>15359</v>
      </c>
      <c r="R4621" s="1" t="s">
        <v>15359</v>
      </c>
      <c r="S4621" s="1"/>
      <c r="T4621" s="1" t="s">
        <v>5873</v>
      </c>
      <c r="U4621" s="1"/>
      <c r="V4621" s="1">
        <v>328.0</v>
      </c>
      <c r="W4621" s="1">
        <v>328.0</v>
      </c>
      <c r="X4621" s="1" t="s">
        <v>35</v>
      </c>
      <c r="Y4621" s="1">
        <v>328000</v>
      </c>
      <c r="Z4621" s="1"/>
      <c r="AA4621" s="1">
        <v>328000</v>
      </c>
      <c r="AB4621" s="1"/>
      <c r="AC4621" s="1" t="s">
        <v>36</v>
      </c>
      <c r="AD4621" s="1" t="s">
        <v>15841</v>
      </c>
      <c r="AE4621" s="1" t="s">
        <v>32</v>
      </c>
      <c r="AF4621" s="1" t="s">
        <v>33</v>
      </c>
      <c r="AG4621" s="1" t="s">
        <v>137</v>
      </c>
    </row>
    <row r="4622" spans="1:33">
      <c r="A4622" t="s">
        <v>15842</v>
      </c>
      <c r="B4622" t="s">
        <v>15826</v>
      </c>
      <c r="C4622" t="s">
        <v>47</v>
      </c>
      <c r="E4622" t="s">
        <v>15359</v>
      </c>
      <c r="F4622" t="s">
        <v>10934</v>
      </c>
      <c r="G4622">
        <v>14.745</v>
      </c>
      <c r="H4622">
        <v>14.745</v>
      </c>
      <c r="I4622" t="s">
        <v>2206</v>
      </c>
      <c r="J4622" t="s">
        <v>49</v>
      </c>
      <c r="K4622" t="s">
        <v>31</v>
      </c>
      <c r="L4622" t="s">
        <v>32</v>
      </c>
      <c r="M4622" t="s">
        <v>33</v>
      </c>
      <c r="P4622" s="1" t="s">
        <v>15843</v>
      </c>
      <c r="Q4622" s="1" t="s">
        <v>15359</v>
      </c>
      <c r="R4622" s="1" t="s">
        <v>15359</v>
      </c>
      <c r="S4622" s="1"/>
      <c r="T4622" s="1" t="s">
        <v>47</v>
      </c>
      <c r="U4622" s="1"/>
      <c r="V4622" s="1">
        <v>14.745</v>
      </c>
      <c r="W4622" s="1">
        <v>14.745</v>
      </c>
      <c r="X4622" s="1" t="s">
        <v>35</v>
      </c>
      <c r="Y4622" s="1">
        <v>14745</v>
      </c>
      <c r="Z4622" s="1"/>
      <c r="AA4622" s="1">
        <v>14745</v>
      </c>
      <c r="AB4622" s="1"/>
      <c r="AC4622" s="1" t="s">
        <v>36</v>
      </c>
      <c r="AD4622" s="1" t="s">
        <v>15820</v>
      </c>
      <c r="AE4622" s="1" t="s">
        <v>32</v>
      </c>
      <c r="AF4622" s="1" t="s">
        <v>33</v>
      </c>
      <c r="AG4622" s="1" t="s">
        <v>49</v>
      </c>
    </row>
    <row r="4623" spans="1:33">
      <c r="A4623" t="s">
        <v>15844</v>
      </c>
      <c r="B4623" t="s">
        <v>15845</v>
      </c>
      <c r="C4623" t="s">
        <v>172</v>
      </c>
      <c r="E4623" t="s">
        <v>15359</v>
      </c>
      <c r="F4623" t="s">
        <v>10934</v>
      </c>
      <c r="G4623">
        <v>4.298</v>
      </c>
      <c r="H4623">
        <v>4.298</v>
      </c>
      <c r="I4623" t="s">
        <v>173</v>
      </c>
      <c r="J4623" t="s">
        <v>174</v>
      </c>
      <c r="K4623" t="s">
        <v>31</v>
      </c>
      <c r="L4623" t="s">
        <v>32</v>
      </c>
      <c r="M4623" t="s">
        <v>33</v>
      </c>
      <c r="P4623" s="1" t="s">
        <v>15846</v>
      </c>
      <c r="Q4623" s="1" t="s">
        <v>15359</v>
      </c>
      <c r="R4623" s="1" t="s">
        <v>15359</v>
      </c>
      <c r="S4623" s="1"/>
      <c r="T4623" s="1" t="s">
        <v>172</v>
      </c>
      <c r="U4623" s="1"/>
      <c r="V4623" s="1">
        <v>4.298</v>
      </c>
      <c r="W4623" s="1">
        <v>4.298</v>
      </c>
      <c r="X4623" s="1" t="s">
        <v>35</v>
      </c>
      <c r="Y4623" s="1">
        <v>4300</v>
      </c>
      <c r="Z4623" s="1">
        <v>-2</v>
      </c>
      <c r="AA4623" s="1">
        <v>4300</v>
      </c>
      <c r="AB4623" s="1">
        <v>-2</v>
      </c>
      <c r="AC4623" s="1" t="s">
        <v>36</v>
      </c>
      <c r="AD4623" s="1" t="s">
        <v>15847</v>
      </c>
      <c r="AE4623" s="1" t="s">
        <v>32</v>
      </c>
      <c r="AF4623" s="1" t="s">
        <v>33</v>
      </c>
      <c r="AG4623" s="1" t="s">
        <v>174</v>
      </c>
    </row>
    <row r="4624" spans="1:33">
      <c r="A4624" t="s">
        <v>15848</v>
      </c>
      <c r="B4624" t="s">
        <v>15849</v>
      </c>
      <c r="C4624" t="s">
        <v>15850</v>
      </c>
      <c r="E4624" t="s">
        <v>15359</v>
      </c>
      <c r="F4624" t="s">
        <v>10934</v>
      </c>
      <c r="G4624">
        <v>403.0</v>
      </c>
      <c r="H4624">
        <v>403.0</v>
      </c>
      <c r="I4624" t="s">
        <v>136</v>
      </c>
      <c r="J4624" t="s">
        <v>137</v>
      </c>
      <c r="K4624" t="s">
        <v>31</v>
      </c>
      <c r="L4624" t="s">
        <v>32</v>
      </c>
      <c r="M4624" t="s">
        <v>33</v>
      </c>
      <c r="P4624" s="1" t="s">
        <v>15851</v>
      </c>
      <c r="Q4624" s="1" t="s">
        <v>15359</v>
      </c>
      <c r="R4624" s="1" t="s">
        <v>15359</v>
      </c>
      <c r="S4624" s="1"/>
      <c r="T4624" s="1" t="s">
        <v>15850</v>
      </c>
      <c r="U4624" s="1"/>
      <c r="V4624" s="1">
        <v>403.0</v>
      </c>
      <c r="W4624" s="1">
        <v>403.0</v>
      </c>
      <c r="X4624" s="1" t="s">
        <v>35</v>
      </c>
      <c r="Y4624" s="1">
        <v>403000</v>
      </c>
      <c r="Z4624" s="1"/>
      <c r="AA4624" s="1">
        <v>403000</v>
      </c>
      <c r="AB4624" s="1"/>
      <c r="AC4624" s="1" t="s">
        <v>36</v>
      </c>
      <c r="AD4624" s="1" t="s">
        <v>15852</v>
      </c>
      <c r="AE4624" s="1" t="s">
        <v>32</v>
      </c>
      <c r="AF4624" s="1" t="s">
        <v>33</v>
      </c>
      <c r="AG4624" s="1" t="s">
        <v>137</v>
      </c>
    </row>
    <row r="4625" spans="1:33">
      <c r="A4625" t="s">
        <v>15853</v>
      </c>
      <c r="C4625" t="s">
        <v>405</v>
      </c>
      <c r="E4625" t="s">
        <v>15359</v>
      </c>
      <c r="F4625" t="s">
        <v>10934</v>
      </c>
      <c r="G4625">
        <v>574.0</v>
      </c>
      <c r="H4625">
        <v>574.0</v>
      </c>
      <c r="I4625" t="s">
        <v>136</v>
      </c>
      <c r="J4625" t="s">
        <v>137</v>
      </c>
      <c r="K4625" t="s">
        <v>31</v>
      </c>
      <c r="L4625" t="s">
        <v>32</v>
      </c>
      <c r="M4625" t="s">
        <v>33</v>
      </c>
      <c r="P4625" s="1" t="s">
        <v>15854</v>
      </c>
      <c r="Q4625" s="1" t="s">
        <v>15359</v>
      </c>
      <c r="R4625" s="1" t="s">
        <v>15359</v>
      </c>
      <c r="S4625" s="1"/>
      <c r="T4625" s="1" t="s">
        <v>405</v>
      </c>
      <c r="U4625" s="1"/>
      <c r="V4625" s="1">
        <v>574.0</v>
      </c>
      <c r="W4625" s="1">
        <v>574.0</v>
      </c>
      <c r="X4625" s="1" t="s">
        <v>35</v>
      </c>
      <c r="Y4625" s="1">
        <v>574000</v>
      </c>
      <c r="Z4625" s="1"/>
      <c r="AA4625" s="1">
        <v>574000</v>
      </c>
      <c r="AB4625" s="1"/>
      <c r="AC4625" s="1" t="s">
        <v>36</v>
      </c>
      <c r="AD4625" s="1" t="s">
        <v>15855</v>
      </c>
      <c r="AE4625" s="1" t="s">
        <v>32</v>
      </c>
      <c r="AF4625" s="1" t="s">
        <v>33</v>
      </c>
      <c r="AG4625" s="1" t="s">
        <v>137</v>
      </c>
    </row>
    <row r="4626" spans="1:33">
      <c r="A4626" t="s">
        <v>15856</v>
      </c>
      <c r="C4626" t="s">
        <v>755</v>
      </c>
      <c r="E4626" t="s">
        <v>15359</v>
      </c>
      <c r="F4626" t="s">
        <v>10934</v>
      </c>
      <c r="G4626">
        <v>642.0</v>
      </c>
      <c r="H4626">
        <v>642.0</v>
      </c>
      <c r="I4626" t="s">
        <v>136</v>
      </c>
      <c r="J4626" t="s">
        <v>137</v>
      </c>
      <c r="K4626" t="s">
        <v>31</v>
      </c>
      <c r="L4626" t="s">
        <v>32</v>
      </c>
      <c r="M4626" t="s">
        <v>33</v>
      </c>
      <c r="P4626" s="1" t="s">
        <v>15857</v>
      </c>
      <c r="Q4626" s="1" t="s">
        <v>15359</v>
      </c>
      <c r="R4626" s="1" t="s">
        <v>15359</v>
      </c>
      <c r="S4626" s="1"/>
      <c r="T4626" s="1" t="s">
        <v>757</v>
      </c>
      <c r="U4626" s="1" t="s">
        <v>758</v>
      </c>
      <c r="V4626" s="1">
        <v>642.0</v>
      </c>
      <c r="W4626" s="1">
        <v>642.0</v>
      </c>
      <c r="X4626" s="1" t="s">
        <v>35</v>
      </c>
      <c r="Y4626" s="1">
        <v>642000</v>
      </c>
      <c r="Z4626" s="1"/>
      <c r="AA4626" s="1">
        <v>642000</v>
      </c>
      <c r="AB4626" s="1"/>
      <c r="AC4626" s="1" t="s">
        <v>36</v>
      </c>
      <c r="AD4626" s="1" t="s">
        <v>15858</v>
      </c>
      <c r="AE4626" s="1" t="s">
        <v>32</v>
      </c>
      <c r="AF4626" s="1" t="s">
        <v>33</v>
      </c>
      <c r="AG4626" s="1" t="s">
        <v>137</v>
      </c>
    </row>
    <row r="4627" spans="1:33">
      <c r="A4627" t="s">
        <v>15859</v>
      </c>
      <c r="C4627" t="s">
        <v>1468</v>
      </c>
      <c r="E4627" t="s">
        <v>15359</v>
      </c>
      <c r="F4627" t="s">
        <v>10934</v>
      </c>
      <c r="G4627">
        <v>344.4</v>
      </c>
      <c r="H4627">
        <v>344.4</v>
      </c>
      <c r="I4627" t="s">
        <v>136</v>
      </c>
      <c r="J4627" t="s">
        <v>137</v>
      </c>
      <c r="K4627" t="s">
        <v>31</v>
      </c>
      <c r="L4627" t="s">
        <v>32</v>
      </c>
      <c r="M4627" t="s">
        <v>33</v>
      </c>
      <c r="P4627" s="1" t="s">
        <v>15860</v>
      </c>
      <c r="Q4627" s="1" t="s">
        <v>15359</v>
      </c>
      <c r="R4627" s="1" t="s">
        <v>15359</v>
      </c>
      <c r="S4627" s="1"/>
      <c r="T4627" s="1" t="s">
        <v>1468</v>
      </c>
      <c r="U4627" s="1"/>
      <c r="V4627" s="1">
        <v>344.4</v>
      </c>
      <c r="W4627" s="1">
        <v>344.4</v>
      </c>
      <c r="X4627" s="1" t="s">
        <v>35</v>
      </c>
      <c r="Y4627" s="1">
        <v>344400</v>
      </c>
      <c r="Z4627" s="1"/>
      <c r="AA4627" s="1">
        <v>344400</v>
      </c>
      <c r="AB4627" s="1"/>
      <c r="AC4627" s="1" t="s">
        <v>36</v>
      </c>
      <c r="AD4627" s="1" t="s">
        <v>15847</v>
      </c>
      <c r="AE4627" s="1" t="s">
        <v>32</v>
      </c>
      <c r="AF4627" s="1" t="s">
        <v>33</v>
      </c>
      <c r="AG4627" s="1" t="s">
        <v>137</v>
      </c>
    </row>
    <row r="4628" spans="1:33">
      <c r="A4628" t="s">
        <v>15861</v>
      </c>
      <c r="C4628" t="s">
        <v>1992</v>
      </c>
      <c r="E4628" t="s">
        <v>15359</v>
      </c>
      <c r="F4628" t="s">
        <v>10934</v>
      </c>
      <c r="G4628">
        <v>1.475</v>
      </c>
      <c r="H4628">
        <v>1.475</v>
      </c>
      <c r="I4628" t="s">
        <v>136</v>
      </c>
      <c r="J4628" t="s">
        <v>137</v>
      </c>
      <c r="K4628" t="s">
        <v>31</v>
      </c>
      <c r="L4628" t="s">
        <v>32</v>
      </c>
      <c r="M4628" t="s">
        <v>33</v>
      </c>
      <c r="P4628" s="1" t="s">
        <v>15862</v>
      </c>
      <c r="Q4628" s="1" t="s">
        <v>15359</v>
      </c>
      <c r="R4628" s="1" t="s">
        <v>15359</v>
      </c>
      <c r="S4628" s="1"/>
      <c r="T4628" s="1" t="s">
        <v>1994</v>
      </c>
      <c r="U4628" s="1" t="s">
        <v>1995</v>
      </c>
      <c r="V4628" s="1">
        <v>1.475</v>
      </c>
      <c r="W4628" s="1">
        <v>1.475</v>
      </c>
      <c r="X4628" s="1" t="s">
        <v>35</v>
      </c>
      <c r="Y4628" s="1">
        <v>1475250</v>
      </c>
      <c r="Z4628" s="1"/>
      <c r="AA4628" s="1">
        <v>1475250</v>
      </c>
      <c r="AB4628" s="1"/>
      <c r="AC4628" s="1" t="s">
        <v>36</v>
      </c>
      <c r="AD4628" s="1" t="s">
        <v>15863</v>
      </c>
      <c r="AE4628" s="1" t="s">
        <v>32</v>
      </c>
      <c r="AF4628" s="1" t="s">
        <v>33</v>
      </c>
      <c r="AG4628" s="1" t="s">
        <v>137</v>
      </c>
    </row>
    <row r="4629" spans="1:33">
      <c r="A4629" t="s">
        <v>15864</v>
      </c>
      <c r="C4629" t="s">
        <v>1957</v>
      </c>
      <c r="D4629" t="s">
        <v>154</v>
      </c>
      <c r="E4629" t="s">
        <v>15359</v>
      </c>
      <c r="F4629" t="s">
        <v>10934</v>
      </c>
      <c r="G4629">
        <v>720.0</v>
      </c>
      <c r="H4629">
        <v>720.0</v>
      </c>
      <c r="I4629" t="s">
        <v>227</v>
      </c>
      <c r="J4629" t="s">
        <v>228</v>
      </c>
      <c r="K4629" t="s">
        <v>31</v>
      </c>
      <c r="L4629" t="s">
        <v>32</v>
      </c>
      <c r="M4629" t="s">
        <v>33</v>
      </c>
      <c r="P4629" s="1" t="s">
        <v>15865</v>
      </c>
      <c r="Q4629" s="1" t="s">
        <v>15359</v>
      </c>
      <c r="R4629" s="1" t="s">
        <v>15359</v>
      </c>
      <c r="S4629" s="1"/>
      <c r="T4629" s="1" t="s">
        <v>1957</v>
      </c>
      <c r="U4629" s="1"/>
      <c r="V4629" s="1">
        <v>720.0</v>
      </c>
      <c r="W4629" s="1">
        <v>720.0</v>
      </c>
      <c r="X4629" s="1" t="s">
        <v>35</v>
      </c>
      <c r="Y4629" s="1">
        <v>720000</v>
      </c>
      <c r="Z4629" s="1"/>
      <c r="AA4629" s="1">
        <v>720000</v>
      </c>
      <c r="AB4629" s="1"/>
      <c r="AC4629" s="1" t="s">
        <v>36</v>
      </c>
      <c r="AD4629" s="1" t="s">
        <v>15866</v>
      </c>
      <c r="AE4629" s="1" t="s">
        <v>32</v>
      </c>
      <c r="AF4629" s="1" t="s">
        <v>33</v>
      </c>
      <c r="AG4629" s="1" t="s">
        <v>228</v>
      </c>
    </row>
    <row r="4630" spans="1:33">
      <c r="A4630" t="s">
        <v>15867</v>
      </c>
      <c r="C4630" t="s">
        <v>586</v>
      </c>
      <c r="E4630" t="s">
        <v>15359</v>
      </c>
      <c r="F4630" t="s">
        <v>10934</v>
      </c>
      <c r="G4630">
        <v>19.5</v>
      </c>
      <c r="H4630">
        <v>19.5</v>
      </c>
      <c r="I4630" t="s">
        <v>269</v>
      </c>
      <c r="J4630" t="s">
        <v>270</v>
      </c>
      <c r="K4630" t="s">
        <v>31</v>
      </c>
      <c r="L4630" t="s">
        <v>32</v>
      </c>
      <c r="M4630" t="s">
        <v>33</v>
      </c>
      <c r="P4630" s="1" t="s">
        <v>15868</v>
      </c>
      <c r="Q4630" s="1" t="s">
        <v>15359</v>
      </c>
      <c r="R4630" s="1" t="s">
        <v>15359</v>
      </c>
      <c r="S4630" s="1"/>
      <c r="T4630" s="1" t="s">
        <v>586</v>
      </c>
      <c r="U4630" s="1"/>
      <c r="V4630" s="1">
        <v>19.5</v>
      </c>
      <c r="W4630" s="1">
        <v>19.5</v>
      </c>
      <c r="X4630" s="1" t="s">
        <v>35</v>
      </c>
      <c r="Y4630" s="1">
        <v>19500</v>
      </c>
      <c r="Z4630" s="1"/>
      <c r="AA4630" s="1">
        <v>19500</v>
      </c>
      <c r="AB4630" s="1"/>
      <c r="AC4630" s="1" t="s">
        <v>36</v>
      </c>
      <c r="AD4630" s="1" t="s">
        <v>15863</v>
      </c>
      <c r="AE4630" s="1" t="s">
        <v>32</v>
      </c>
      <c r="AF4630" s="1" t="s">
        <v>33</v>
      </c>
      <c r="AG4630" s="1" t="s">
        <v>270</v>
      </c>
    </row>
    <row r="4631" spans="1:33">
      <c r="A4631" t="s">
        <v>15869</v>
      </c>
      <c r="C4631" t="s">
        <v>15870</v>
      </c>
      <c r="E4631" t="s">
        <v>15359</v>
      </c>
      <c r="F4631" t="s">
        <v>10934</v>
      </c>
      <c r="G4631">
        <v>547.5</v>
      </c>
      <c r="H4631">
        <v>547.5</v>
      </c>
      <c r="I4631" t="s">
        <v>136</v>
      </c>
      <c r="J4631" t="s">
        <v>137</v>
      </c>
      <c r="K4631" t="s">
        <v>31</v>
      </c>
      <c r="L4631" t="s">
        <v>32</v>
      </c>
      <c r="M4631" t="s">
        <v>33</v>
      </c>
      <c r="P4631" s="1" t="s">
        <v>15871</v>
      </c>
      <c r="Q4631" s="1" t="s">
        <v>15359</v>
      </c>
      <c r="R4631" s="1" t="s">
        <v>15359</v>
      </c>
      <c r="S4631" s="1"/>
      <c r="T4631" s="1" t="s">
        <v>15870</v>
      </c>
      <c r="U4631" s="1"/>
      <c r="V4631" s="1">
        <v>547.5</v>
      </c>
      <c r="W4631" s="1">
        <v>547.5</v>
      </c>
      <c r="X4631" s="1" t="s">
        <v>35</v>
      </c>
      <c r="Y4631" s="1">
        <v>547500</v>
      </c>
      <c r="Z4631" s="1"/>
      <c r="AA4631" s="1">
        <v>547500</v>
      </c>
      <c r="AB4631" s="1"/>
      <c r="AC4631" s="1" t="s">
        <v>36</v>
      </c>
      <c r="AD4631" s="1" t="s">
        <v>15872</v>
      </c>
      <c r="AE4631" s="1" t="s">
        <v>32</v>
      </c>
      <c r="AF4631" s="1" t="s">
        <v>33</v>
      </c>
      <c r="AG4631" s="1" t="s">
        <v>137</v>
      </c>
    </row>
    <row r="4632" spans="1:33">
      <c r="A4632" t="s">
        <v>15873</v>
      </c>
      <c r="C4632" t="s">
        <v>1866</v>
      </c>
      <c r="E4632" t="s">
        <v>15359</v>
      </c>
      <c r="F4632" t="s">
        <v>10934</v>
      </c>
      <c r="G4632">
        <v>492.0</v>
      </c>
      <c r="H4632">
        <v>492.0</v>
      </c>
      <c r="I4632" t="s">
        <v>269</v>
      </c>
      <c r="J4632" t="s">
        <v>270</v>
      </c>
      <c r="K4632" t="s">
        <v>31</v>
      </c>
      <c r="L4632" t="s">
        <v>32</v>
      </c>
      <c r="M4632" t="s">
        <v>33</v>
      </c>
      <c r="P4632" s="1" t="s">
        <v>15874</v>
      </c>
      <c r="Q4632" s="1" t="s">
        <v>15359</v>
      </c>
      <c r="R4632" s="1" t="s">
        <v>15359</v>
      </c>
      <c r="S4632" s="1"/>
      <c r="T4632" s="1" t="s">
        <v>1866</v>
      </c>
      <c r="U4632" s="1"/>
      <c r="V4632" s="1">
        <v>492.0</v>
      </c>
      <c r="W4632" s="1">
        <v>492.0</v>
      </c>
      <c r="X4632" s="1" t="s">
        <v>35</v>
      </c>
      <c r="Y4632" s="1">
        <v>492000</v>
      </c>
      <c r="Z4632" s="1"/>
      <c r="AA4632" s="1">
        <v>492000</v>
      </c>
      <c r="AB4632" s="1"/>
      <c r="AC4632" s="1" t="s">
        <v>36</v>
      </c>
      <c r="AD4632" s="1" t="s">
        <v>15875</v>
      </c>
      <c r="AE4632" s="1" t="s">
        <v>32</v>
      </c>
      <c r="AF4632" s="1" t="s">
        <v>33</v>
      </c>
      <c r="AG4632" s="1" t="s">
        <v>270</v>
      </c>
    </row>
    <row r="4633" spans="1:33">
      <c r="A4633" t="s">
        <v>15876</v>
      </c>
      <c r="C4633" t="s">
        <v>2955</v>
      </c>
      <c r="E4633" t="s">
        <v>15359</v>
      </c>
      <c r="F4633" t="s">
        <v>10934</v>
      </c>
      <c r="G4633">
        <v>7.473</v>
      </c>
      <c r="H4633">
        <v>7.473</v>
      </c>
      <c r="I4633" t="s">
        <v>136</v>
      </c>
      <c r="J4633" t="s">
        <v>137</v>
      </c>
      <c r="K4633" t="s">
        <v>31</v>
      </c>
      <c r="L4633" t="s">
        <v>32</v>
      </c>
      <c r="M4633" t="s">
        <v>33</v>
      </c>
      <c r="P4633" s="1" t="s">
        <v>15877</v>
      </c>
      <c r="Q4633" s="1" t="s">
        <v>15359</v>
      </c>
      <c r="R4633" s="1" t="s">
        <v>15359</v>
      </c>
      <c r="S4633" s="1"/>
      <c r="T4633" s="1" t="s">
        <v>2955</v>
      </c>
      <c r="U4633" s="1"/>
      <c r="V4633" s="1">
        <v>7.473</v>
      </c>
      <c r="W4633" s="1">
        <v>7.473</v>
      </c>
      <c r="X4633" s="1" t="s">
        <v>35</v>
      </c>
      <c r="Y4633" s="1">
        <v>7473000</v>
      </c>
      <c r="Z4633" s="1"/>
      <c r="AA4633" s="1">
        <v>7473000</v>
      </c>
      <c r="AB4633" s="1"/>
      <c r="AC4633" s="1" t="s">
        <v>36</v>
      </c>
      <c r="AD4633" s="1" t="s">
        <v>15812</v>
      </c>
      <c r="AE4633" s="1" t="s">
        <v>32</v>
      </c>
      <c r="AF4633" s="1" t="s">
        <v>33</v>
      </c>
      <c r="AG4633" s="1" t="s">
        <v>137</v>
      </c>
    </row>
    <row r="4634" spans="1:33">
      <c r="A4634" t="s">
        <v>15878</v>
      </c>
      <c r="B4634" t="s">
        <v>15879</v>
      </c>
      <c r="C4634" t="s">
        <v>268</v>
      </c>
      <c r="E4634" t="s">
        <v>15359</v>
      </c>
      <c r="F4634" t="s">
        <v>10934</v>
      </c>
      <c r="G4634">
        <v>32.85</v>
      </c>
      <c r="H4634">
        <v>32.85</v>
      </c>
      <c r="I4634" t="s">
        <v>269</v>
      </c>
      <c r="J4634" t="s">
        <v>270</v>
      </c>
      <c r="K4634" t="s">
        <v>31</v>
      </c>
      <c r="L4634" t="s">
        <v>32</v>
      </c>
      <c r="M4634" t="s">
        <v>33</v>
      </c>
      <c r="P4634" s="1" t="s">
        <v>15880</v>
      </c>
      <c r="Q4634" s="1" t="s">
        <v>15359</v>
      </c>
      <c r="R4634" s="1" t="s">
        <v>15359</v>
      </c>
      <c r="S4634" s="1"/>
      <c r="T4634" s="1" t="s">
        <v>268</v>
      </c>
      <c r="U4634" s="1"/>
      <c r="V4634" s="1">
        <v>32.85</v>
      </c>
      <c r="W4634" s="1">
        <v>32.85</v>
      </c>
      <c r="X4634" s="1" t="s">
        <v>35</v>
      </c>
      <c r="Y4634" s="1">
        <v>32850</v>
      </c>
      <c r="Z4634" s="1"/>
      <c r="AA4634" s="1">
        <v>32850</v>
      </c>
      <c r="AB4634" s="1"/>
      <c r="AC4634" s="1" t="s">
        <v>36</v>
      </c>
      <c r="AD4634" s="1" t="s">
        <v>15881</v>
      </c>
      <c r="AE4634" s="1" t="s">
        <v>32</v>
      </c>
      <c r="AF4634" s="1" t="s">
        <v>33</v>
      </c>
      <c r="AG4634" s="1" t="s">
        <v>270</v>
      </c>
    </row>
    <row r="4635" spans="1:33">
      <c r="A4635" t="s">
        <v>15882</v>
      </c>
      <c r="B4635" t="s">
        <v>8845</v>
      </c>
      <c r="C4635" t="s">
        <v>47</v>
      </c>
      <c r="E4635" t="s">
        <v>15359</v>
      </c>
      <c r="F4635" t="s">
        <v>10934</v>
      </c>
      <c r="G4635">
        <v>90.788</v>
      </c>
      <c r="H4635">
        <v>90.788</v>
      </c>
      <c r="I4635" t="s">
        <v>2206</v>
      </c>
      <c r="J4635" t="s">
        <v>49</v>
      </c>
      <c r="K4635" t="s">
        <v>31</v>
      </c>
      <c r="L4635" t="s">
        <v>32</v>
      </c>
      <c r="M4635" t="s">
        <v>33</v>
      </c>
      <c r="P4635" s="1" t="s">
        <v>15883</v>
      </c>
      <c r="Q4635" s="1" t="s">
        <v>15359</v>
      </c>
      <c r="R4635" s="1" t="s">
        <v>15359</v>
      </c>
      <c r="S4635" s="1"/>
      <c r="T4635" s="1" t="s">
        <v>47</v>
      </c>
      <c r="U4635" s="1"/>
      <c r="V4635" s="1">
        <v>90.788</v>
      </c>
      <c r="W4635" s="1">
        <v>90.788</v>
      </c>
      <c r="X4635" s="1" t="s">
        <v>35</v>
      </c>
      <c r="Y4635" s="1">
        <v>90788</v>
      </c>
      <c r="Z4635" s="1"/>
      <c r="AA4635" s="1">
        <v>90788</v>
      </c>
      <c r="AB4635" s="1"/>
      <c r="AC4635" s="1" t="s">
        <v>36</v>
      </c>
      <c r="AD4635" s="1" t="s">
        <v>15884</v>
      </c>
      <c r="AE4635" s="1" t="s">
        <v>32</v>
      </c>
      <c r="AF4635" s="1" t="s">
        <v>33</v>
      </c>
      <c r="AG4635" s="1" t="s">
        <v>49</v>
      </c>
    </row>
    <row r="4636" spans="1:33">
      <c r="A4636" t="s">
        <v>15885</v>
      </c>
      <c r="C4636" t="s">
        <v>681</v>
      </c>
      <c r="E4636" t="s">
        <v>15359</v>
      </c>
      <c r="F4636" t="s">
        <v>10934</v>
      </c>
      <c r="G4636">
        <v>784.1</v>
      </c>
      <c r="H4636">
        <v>784.1</v>
      </c>
      <c r="I4636" t="s">
        <v>136</v>
      </c>
      <c r="J4636" t="s">
        <v>137</v>
      </c>
      <c r="K4636" t="s">
        <v>31</v>
      </c>
      <c r="L4636" t="s">
        <v>32</v>
      </c>
      <c r="M4636" t="s">
        <v>33</v>
      </c>
      <c r="P4636" s="1" t="s">
        <v>15886</v>
      </c>
      <c r="Q4636" s="1" t="s">
        <v>15359</v>
      </c>
      <c r="R4636" s="1" t="s">
        <v>15359</v>
      </c>
      <c r="S4636" s="1"/>
      <c r="T4636" s="1" t="s">
        <v>681</v>
      </c>
      <c r="U4636" s="1"/>
      <c r="V4636" s="1">
        <v>784.1</v>
      </c>
      <c r="W4636" s="1">
        <v>784.1</v>
      </c>
      <c r="X4636" s="1" t="s">
        <v>35</v>
      </c>
      <c r="Y4636" s="1">
        <v>784100</v>
      </c>
      <c r="Z4636" s="1"/>
      <c r="AA4636" s="1">
        <v>784100</v>
      </c>
      <c r="AB4636" s="1"/>
      <c r="AC4636" s="1" t="s">
        <v>36</v>
      </c>
      <c r="AD4636" s="1" t="s">
        <v>15881</v>
      </c>
      <c r="AE4636" s="1" t="s">
        <v>32</v>
      </c>
      <c r="AF4636" s="1" t="s">
        <v>33</v>
      </c>
      <c r="AG4636" s="1" t="s">
        <v>137</v>
      </c>
    </row>
    <row r="4637" spans="1:33">
      <c r="A4637" t="s">
        <v>15887</v>
      </c>
      <c r="C4637" t="s">
        <v>670</v>
      </c>
      <c r="E4637" t="s">
        <v>15359</v>
      </c>
      <c r="F4637" t="s">
        <v>10934</v>
      </c>
      <c r="G4637">
        <v>328.0</v>
      </c>
      <c r="H4637">
        <v>328.0</v>
      </c>
      <c r="I4637" t="s">
        <v>136</v>
      </c>
      <c r="J4637" t="s">
        <v>137</v>
      </c>
      <c r="K4637" t="s">
        <v>31</v>
      </c>
      <c r="L4637" t="s">
        <v>32</v>
      </c>
      <c r="M4637" t="s">
        <v>33</v>
      </c>
      <c r="P4637" s="1" t="s">
        <v>15888</v>
      </c>
      <c r="Q4637" s="1" t="s">
        <v>15359</v>
      </c>
      <c r="R4637" s="1" t="s">
        <v>15359</v>
      </c>
      <c r="S4637" s="1"/>
      <c r="T4637" s="1" t="s">
        <v>670</v>
      </c>
      <c r="U4637" s="1"/>
      <c r="V4637" s="1">
        <v>328.0</v>
      </c>
      <c r="W4637" s="1">
        <v>328.0</v>
      </c>
      <c r="X4637" s="1" t="s">
        <v>35</v>
      </c>
      <c r="Y4637" s="1">
        <v>328000</v>
      </c>
      <c r="Z4637" s="1"/>
      <c r="AA4637" s="1">
        <v>328000</v>
      </c>
      <c r="AB4637" s="1"/>
      <c r="AC4637" s="1" t="s">
        <v>36</v>
      </c>
      <c r="AD4637" s="1" t="s">
        <v>15889</v>
      </c>
      <c r="AE4637" s="1" t="s">
        <v>32</v>
      </c>
      <c r="AF4637" s="1" t="s">
        <v>33</v>
      </c>
      <c r="AG4637" s="1" t="s">
        <v>137</v>
      </c>
    </row>
    <row r="4638" spans="1:33">
      <c r="A4638" t="s">
        <v>15890</v>
      </c>
      <c r="B4638" t="s">
        <v>7857</v>
      </c>
      <c r="C4638" t="s">
        <v>268</v>
      </c>
      <c r="E4638" t="s">
        <v>15359</v>
      </c>
      <c r="F4638" t="s">
        <v>10934</v>
      </c>
      <c r="G4638">
        <v>28.25</v>
      </c>
      <c r="H4638">
        <v>28.25</v>
      </c>
      <c r="I4638" t="s">
        <v>269</v>
      </c>
      <c r="J4638" t="s">
        <v>270</v>
      </c>
      <c r="K4638" t="s">
        <v>31</v>
      </c>
      <c r="L4638" t="s">
        <v>32</v>
      </c>
      <c r="M4638" t="s">
        <v>33</v>
      </c>
      <c r="P4638" s="1" t="s">
        <v>15891</v>
      </c>
      <c r="Q4638" s="1" t="s">
        <v>15359</v>
      </c>
      <c r="R4638" s="1" t="s">
        <v>15359</v>
      </c>
      <c r="S4638" s="1"/>
      <c r="T4638" s="1" t="s">
        <v>268</v>
      </c>
      <c r="U4638" s="1"/>
      <c r="V4638" s="1">
        <v>28.25</v>
      </c>
      <c r="W4638" s="1">
        <v>28.25</v>
      </c>
      <c r="X4638" s="1" t="s">
        <v>35</v>
      </c>
      <c r="Y4638" s="1">
        <v>28250</v>
      </c>
      <c r="Z4638" s="1"/>
      <c r="AA4638" s="1">
        <v>28250</v>
      </c>
      <c r="AB4638" s="1"/>
      <c r="AC4638" s="1" t="s">
        <v>36</v>
      </c>
      <c r="AD4638" s="1" t="s">
        <v>15889</v>
      </c>
      <c r="AE4638" s="1" t="s">
        <v>32</v>
      </c>
      <c r="AF4638" s="1" t="s">
        <v>33</v>
      </c>
      <c r="AG4638" s="1" t="s">
        <v>270</v>
      </c>
    </row>
    <row r="4639" spans="1:33">
      <c r="A4639" t="s">
        <v>15892</v>
      </c>
      <c r="B4639" t="s">
        <v>206</v>
      </c>
      <c r="C4639" t="s">
        <v>207</v>
      </c>
      <c r="E4639" t="s">
        <v>15359</v>
      </c>
      <c r="F4639" t="s">
        <v>10934</v>
      </c>
      <c r="G4639">
        <v>454.0</v>
      </c>
      <c r="H4639">
        <v>454.0</v>
      </c>
      <c r="I4639" t="s">
        <v>59</v>
      </c>
      <c r="J4639" t="s">
        <v>60</v>
      </c>
      <c r="K4639" t="s">
        <v>31</v>
      </c>
      <c r="L4639" t="s">
        <v>32</v>
      </c>
      <c r="M4639" t="s">
        <v>33</v>
      </c>
      <c r="P4639" s="1" t="s">
        <v>15893</v>
      </c>
      <c r="Q4639" s="1" t="s">
        <v>15359</v>
      </c>
      <c r="R4639" s="1" t="s">
        <v>15359</v>
      </c>
      <c r="S4639" s="1"/>
      <c r="T4639" s="1" t="s">
        <v>207</v>
      </c>
      <c r="U4639" s="1"/>
      <c r="V4639" s="1">
        <v>454.0</v>
      </c>
      <c r="W4639" s="1">
        <v>454.0</v>
      </c>
      <c r="X4639" s="1" t="s">
        <v>35</v>
      </c>
      <c r="Y4639" s="1">
        <v>454000</v>
      </c>
      <c r="Z4639" s="1"/>
      <c r="AA4639" s="1">
        <v>454000</v>
      </c>
      <c r="AB4639" s="1"/>
      <c r="AC4639" s="1" t="s">
        <v>36</v>
      </c>
      <c r="AD4639" s="1" t="s">
        <v>15894</v>
      </c>
      <c r="AE4639" s="1" t="s">
        <v>32</v>
      </c>
      <c r="AF4639" s="1" t="s">
        <v>33</v>
      </c>
      <c r="AG4639" s="1" t="s">
        <v>60</v>
      </c>
    </row>
    <row r="4640" spans="1:33">
      <c r="A4640" t="s">
        <v>15895</v>
      </c>
      <c r="B4640">
        <v>672074666</v>
      </c>
      <c r="C4640" t="s">
        <v>6628</v>
      </c>
      <c r="E4640" t="s">
        <v>15359</v>
      </c>
      <c r="F4640" t="s">
        <v>10934</v>
      </c>
      <c r="G4640">
        <v>357.5</v>
      </c>
      <c r="H4640">
        <v>357.5</v>
      </c>
      <c r="I4640" t="s">
        <v>136</v>
      </c>
      <c r="J4640" t="s">
        <v>137</v>
      </c>
      <c r="K4640" t="s">
        <v>31</v>
      </c>
      <c r="L4640" t="s">
        <v>32</v>
      </c>
      <c r="M4640" t="s">
        <v>33</v>
      </c>
      <c r="P4640" s="1" t="s">
        <v>15896</v>
      </c>
      <c r="Q4640" s="1" t="s">
        <v>15359</v>
      </c>
      <c r="R4640" s="1" t="s">
        <v>15359</v>
      </c>
      <c r="S4640" s="1"/>
      <c r="T4640" s="1" t="s">
        <v>6628</v>
      </c>
      <c r="U4640" s="1"/>
      <c r="V4640" s="1">
        <v>357.5</v>
      </c>
      <c r="W4640" s="1">
        <v>357.5</v>
      </c>
      <c r="X4640" s="1" t="s">
        <v>35</v>
      </c>
      <c r="Y4640" s="1">
        <v>357500</v>
      </c>
      <c r="Z4640" s="1"/>
      <c r="AA4640" s="1">
        <v>357500</v>
      </c>
      <c r="AB4640" s="1"/>
      <c r="AC4640" s="1" t="s">
        <v>36</v>
      </c>
      <c r="AD4640" s="1" t="s">
        <v>15897</v>
      </c>
      <c r="AE4640" s="1" t="s">
        <v>32</v>
      </c>
      <c r="AF4640" s="1" t="s">
        <v>33</v>
      </c>
      <c r="AG4640" s="1" t="s">
        <v>137</v>
      </c>
    </row>
    <row r="4641" spans="1:33">
      <c r="A4641" t="s">
        <v>15898</v>
      </c>
      <c r="C4641" t="s">
        <v>3582</v>
      </c>
      <c r="E4641" t="s">
        <v>15359</v>
      </c>
      <c r="F4641" t="s">
        <v>10934</v>
      </c>
      <c r="G4641">
        <v>1.038</v>
      </c>
      <c r="H4641">
        <v>1.038</v>
      </c>
      <c r="I4641" t="s">
        <v>570</v>
      </c>
      <c r="J4641" t="s">
        <v>571</v>
      </c>
      <c r="K4641" t="s">
        <v>31</v>
      </c>
      <c r="L4641" t="s">
        <v>32</v>
      </c>
      <c r="M4641" t="s">
        <v>33</v>
      </c>
      <c r="P4641" s="1" t="s">
        <v>15899</v>
      </c>
      <c r="Q4641" s="1" t="s">
        <v>15359</v>
      </c>
      <c r="R4641" s="1" t="s">
        <v>15359</v>
      </c>
      <c r="S4641" s="1"/>
      <c r="T4641" s="1" t="s">
        <v>3582</v>
      </c>
      <c r="U4641" s="1"/>
      <c r="V4641" s="1">
        <v>1.038</v>
      </c>
      <c r="W4641" s="1">
        <v>1.038</v>
      </c>
      <c r="X4641" s="1" t="s">
        <v>35</v>
      </c>
      <c r="Y4641" s="1">
        <v>1038500</v>
      </c>
      <c r="Z4641" s="1"/>
      <c r="AA4641" s="1">
        <v>1038500</v>
      </c>
      <c r="AB4641" s="1"/>
      <c r="AC4641" s="1" t="s">
        <v>36</v>
      </c>
      <c r="AD4641" s="1" t="s">
        <v>15900</v>
      </c>
      <c r="AE4641" s="1" t="s">
        <v>32</v>
      </c>
      <c r="AF4641" s="1" t="s">
        <v>33</v>
      </c>
      <c r="AG4641" s="1" t="s">
        <v>571</v>
      </c>
    </row>
    <row r="4642" spans="1:33">
      <c r="A4642" t="s">
        <v>15901</v>
      </c>
      <c r="B4642">
        <v>691496428</v>
      </c>
      <c r="C4642" t="s">
        <v>2266</v>
      </c>
      <c r="E4642" t="s">
        <v>15359</v>
      </c>
      <c r="F4642" t="s">
        <v>10934</v>
      </c>
      <c r="G4642">
        <v>486.0</v>
      </c>
      <c r="H4642">
        <v>486.0</v>
      </c>
      <c r="I4642" t="s">
        <v>136</v>
      </c>
      <c r="J4642" t="s">
        <v>137</v>
      </c>
      <c r="K4642" t="s">
        <v>31</v>
      </c>
      <c r="L4642" t="s">
        <v>32</v>
      </c>
      <c r="M4642" t="s">
        <v>33</v>
      </c>
      <c r="P4642" s="1" t="s">
        <v>15902</v>
      </c>
      <c r="Q4642" s="1" t="s">
        <v>15359</v>
      </c>
      <c r="R4642" s="1" t="s">
        <v>15359</v>
      </c>
      <c r="S4642" s="1"/>
      <c r="T4642" s="1" t="s">
        <v>2266</v>
      </c>
      <c r="U4642" s="1"/>
      <c r="V4642" s="1">
        <v>486.0</v>
      </c>
      <c r="W4642" s="1">
        <v>486.0</v>
      </c>
      <c r="X4642" s="1" t="s">
        <v>35</v>
      </c>
      <c r="Y4642" s="1">
        <v>486000</v>
      </c>
      <c r="Z4642" s="1"/>
      <c r="AA4642" s="1">
        <v>486000</v>
      </c>
      <c r="AB4642" s="1"/>
      <c r="AC4642" s="1" t="s">
        <v>36</v>
      </c>
      <c r="AD4642" s="1" t="s">
        <v>15903</v>
      </c>
      <c r="AE4642" s="1" t="s">
        <v>32</v>
      </c>
      <c r="AF4642" s="1" t="s">
        <v>33</v>
      </c>
      <c r="AG4642" s="1" t="s">
        <v>137</v>
      </c>
    </row>
    <row r="4643" spans="1:33">
      <c r="A4643" t="s">
        <v>15904</v>
      </c>
      <c r="B4643" t="s">
        <v>15905</v>
      </c>
      <c r="C4643" t="s">
        <v>131</v>
      </c>
      <c r="E4643" t="s">
        <v>15359</v>
      </c>
      <c r="F4643" t="s">
        <v>10934</v>
      </c>
      <c r="G4643">
        <v>40.49</v>
      </c>
      <c r="H4643">
        <v>40.49</v>
      </c>
      <c r="I4643" t="s">
        <v>94</v>
      </c>
      <c r="J4643" t="s">
        <v>95</v>
      </c>
      <c r="K4643" t="s">
        <v>31</v>
      </c>
      <c r="L4643" t="s">
        <v>32</v>
      </c>
      <c r="M4643" t="s">
        <v>33</v>
      </c>
      <c r="P4643" s="1" t="s">
        <v>15906</v>
      </c>
      <c r="Q4643" s="1" t="s">
        <v>15359</v>
      </c>
      <c r="R4643" s="1" t="s">
        <v>15359</v>
      </c>
      <c r="S4643" s="1"/>
      <c r="T4643" s="1" t="s">
        <v>131</v>
      </c>
      <c r="U4643" s="1"/>
      <c r="V4643" s="1">
        <v>40.49</v>
      </c>
      <c r="W4643" s="1">
        <v>40.49</v>
      </c>
      <c r="X4643" s="1" t="s">
        <v>35</v>
      </c>
      <c r="Y4643" s="1">
        <v>40490</v>
      </c>
      <c r="Z4643" s="1"/>
      <c r="AA4643" s="1">
        <v>40490</v>
      </c>
      <c r="AB4643" s="1"/>
      <c r="AC4643" s="1" t="s">
        <v>36</v>
      </c>
      <c r="AD4643" s="1" t="s">
        <v>15907</v>
      </c>
      <c r="AE4643" s="1" t="s">
        <v>32</v>
      </c>
      <c r="AF4643" s="1" t="s">
        <v>33</v>
      </c>
      <c r="AG4643" s="1" t="s">
        <v>95</v>
      </c>
    </row>
    <row r="4644" spans="1:33">
      <c r="A4644" t="s">
        <v>15908</v>
      </c>
      <c r="C4644" t="s">
        <v>961</v>
      </c>
      <c r="E4644" t="s">
        <v>15359</v>
      </c>
      <c r="F4644" t="s">
        <v>10934</v>
      </c>
      <c r="G4644">
        <v>785.5</v>
      </c>
      <c r="H4644">
        <v>785.5</v>
      </c>
      <c r="I4644" t="s">
        <v>570</v>
      </c>
      <c r="J4644" t="s">
        <v>571</v>
      </c>
      <c r="K4644" t="s">
        <v>31</v>
      </c>
      <c r="L4644" t="s">
        <v>32</v>
      </c>
      <c r="M4644" t="s">
        <v>33</v>
      </c>
      <c r="P4644" s="1" t="s">
        <v>15909</v>
      </c>
      <c r="Q4644" s="1" t="s">
        <v>15359</v>
      </c>
      <c r="R4644" s="1" t="s">
        <v>15359</v>
      </c>
      <c r="S4644" s="1"/>
      <c r="T4644" s="1" t="s">
        <v>961</v>
      </c>
      <c r="U4644" s="1"/>
      <c r="V4644" s="1">
        <v>785.5</v>
      </c>
      <c r="W4644" s="1">
        <v>785.5</v>
      </c>
      <c r="X4644" s="1" t="s">
        <v>35</v>
      </c>
      <c r="Y4644" s="1">
        <v>785500</v>
      </c>
      <c r="Z4644" s="1"/>
      <c r="AA4644" s="1">
        <v>785500</v>
      </c>
      <c r="AB4644" s="1"/>
      <c r="AC4644" s="1" t="s">
        <v>36</v>
      </c>
      <c r="AD4644" s="1" t="s">
        <v>15884</v>
      </c>
      <c r="AE4644" s="1" t="s">
        <v>32</v>
      </c>
      <c r="AF4644" s="1" t="s">
        <v>33</v>
      </c>
      <c r="AG4644" s="1" t="s">
        <v>571</v>
      </c>
    </row>
    <row r="4645" spans="1:33">
      <c r="A4645" t="s">
        <v>15910</v>
      </c>
      <c r="C4645" t="s">
        <v>4926</v>
      </c>
      <c r="D4645" t="s">
        <v>154</v>
      </c>
      <c r="E4645" t="s">
        <v>15359</v>
      </c>
      <c r="F4645" t="s">
        <v>10934</v>
      </c>
      <c r="G4645">
        <v>496.0</v>
      </c>
      <c r="H4645">
        <v>496.0</v>
      </c>
      <c r="I4645" t="s">
        <v>570</v>
      </c>
      <c r="J4645" t="s">
        <v>571</v>
      </c>
      <c r="K4645" t="s">
        <v>31</v>
      </c>
      <c r="L4645" t="s">
        <v>32</v>
      </c>
      <c r="M4645" t="s">
        <v>33</v>
      </c>
      <c r="P4645" s="1" t="s">
        <v>15911</v>
      </c>
      <c r="Q4645" s="1" t="s">
        <v>15359</v>
      </c>
      <c r="R4645" s="1" t="s">
        <v>15359</v>
      </c>
      <c r="S4645" s="1"/>
      <c r="T4645" s="1" t="s">
        <v>4926</v>
      </c>
      <c r="U4645" s="1"/>
      <c r="V4645" s="1">
        <v>496.0</v>
      </c>
      <c r="W4645" s="1">
        <v>496.0</v>
      </c>
      <c r="X4645" s="1" t="s">
        <v>35</v>
      </c>
      <c r="Y4645" s="1">
        <v>496000</v>
      </c>
      <c r="Z4645" s="1"/>
      <c r="AA4645" s="1">
        <v>496000</v>
      </c>
      <c r="AB4645" s="1"/>
      <c r="AC4645" s="1" t="s">
        <v>36</v>
      </c>
      <c r="AD4645" s="1" t="s">
        <v>15858</v>
      </c>
      <c r="AE4645" s="1" t="s">
        <v>32</v>
      </c>
      <c r="AF4645" s="1" t="s">
        <v>33</v>
      </c>
      <c r="AG4645" s="1" t="s">
        <v>571</v>
      </c>
    </row>
    <row r="4646" spans="1:33">
      <c r="A4646" t="s">
        <v>15912</v>
      </c>
      <c r="B4646" t="s">
        <v>4349</v>
      </c>
      <c r="C4646" t="s">
        <v>68</v>
      </c>
      <c r="E4646" t="s">
        <v>15359</v>
      </c>
      <c r="F4646" t="s">
        <v>10934</v>
      </c>
      <c r="G4646">
        <v>49.48</v>
      </c>
      <c r="H4646">
        <v>49.48</v>
      </c>
      <c r="I4646" t="s">
        <v>59</v>
      </c>
      <c r="J4646" t="s">
        <v>60</v>
      </c>
      <c r="K4646" t="s">
        <v>31</v>
      </c>
      <c r="L4646" t="s">
        <v>32</v>
      </c>
      <c r="M4646" t="s">
        <v>33</v>
      </c>
      <c r="P4646" s="1" t="s">
        <v>15913</v>
      </c>
      <c r="Q4646" s="1" t="s">
        <v>15359</v>
      </c>
      <c r="R4646" s="1" t="s">
        <v>15359</v>
      </c>
      <c r="S4646" s="1"/>
      <c r="T4646" s="1" t="s">
        <v>68</v>
      </c>
      <c r="U4646" s="1"/>
      <c r="V4646" s="1">
        <v>49.48</v>
      </c>
      <c r="W4646" s="1">
        <v>49.48</v>
      </c>
      <c r="X4646" s="1" t="s">
        <v>35</v>
      </c>
      <c r="Y4646" s="1">
        <v>49480</v>
      </c>
      <c r="Z4646" s="1"/>
      <c r="AA4646" s="1">
        <v>49480</v>
      </c>
      <c r="AB4646" s="1"/>
      <c r="AC4646" s="1" t="s">
        <v>36</v>
      </c>
      <c r="AD4646" s="1" t="s">
        <v>15914</v>
      </c>
      <c r="AE4646" s="1" t="s">
        <v>32</v>
      </c>
      <c r="AF4646" s="1" t="s">
        <v>33</v>
      </c>
      <c r="AG4646" s="1" t="s">
        <v>60</v>
      </c>
    </row>
    <row r="4647" spans="1:33">
      <c r="A4647" t="s">
        <v>15915</v>
      </c>
      <c r="B4647" t="s">
        <v>15916</v>
      </c>
      <c r="C4647" t="s">
        <v>131</v>
      </c>
      <c r="E4647" t="s">
        <v>15359</v>
      </c>
      <c r="F4647" t="s">
        <v>10934</v>
      </c>
      <c r="G4647">
        <v>65.98</v>
      </c>
      <c r="H4647">
        <v>65.98</v>
      </c>
      <c r="I4647" t="s">
        <v>94</v>
      </c>
      <c r="J4647" t="s">
        <v>95</v>
      </c>
      <c r="K4647" t="s">
        <v>31</v>
      </c>
      <c r="L4647" t="s">
        <v>32</v>
      </c>
      <c r="M4647" t="s">
        <v>33</v>
      </c>
      <c r="P4647" s="1" t="s">
        <v>15917</v>
      </c>
      <c r="Q4647" s="1" t="s">
        <v>15359</v>
      </c>
      <c r="R4647" s="1" t="s">
        <v>15359</v>
      </c>
      <c r="S4647" s="1"/>
      <c r="T4647" s="1" t="s">
        <v>131</v>
      </c>
      <c r="U4647" s="1"/>
      <c r="V4647" s="1">
        <v>65.98</v>
      </c>
      <c r="W4647" s="1">
        <v>65.98</v>
      </c>
      <c r="X4647" s="1" t="s">
        <v>35</v>
      </c>
      <c r="Y4647" s="1">
        <v>65980</v>
      </c>
      <c r="Z4647" s="1"/>
      <c r="AA4647" s="1">
        <v>65980</v>
      </c>
      <c r="AB4647" s="1"/>
      <c r="AC4647" s="1" t="s">
        <v>36</v>
      </c>
      <c r="AD4647" s="1" t="s">
        <v>15918</v>
      </c>
      <c r="AE4647" s="1" t="s">
        <v>32</v>
      </c>
      <c r="AF4647" s="1" t="s">
        <v>33</v>
      </c>
      <c r="AG4647" s="1" t="s">
        <v>95</v>
      </c>
    </row>
    <row r="4648" spans="1:33">
      <c r="A4648" t="s">
        <v>15919</v>
      </c>
      <c r="C4648" t="s">
        <v>1735</v>
      </c>
      <c r="E4648" t="s">
        <v>15359</v>
      </c>
      <c r="F4648" t="s">
        <v>10934</v>
      </c>
      <c r="G4648">
        <v>328.0</v>
      </c>
      <c r="H4648">
        <v>328.0</v>
      </c>
      <c r="I4648" t="s">
        <v>269</v>
      </c>
      <c r="J4648" t="s">
        <v>270</v>
      </c>
      <c r="K4648" t="s">
        <v>31</v>
      </c>
      <c r="L4648" t="s">
        <v>32</v>
      </c>
      <c r="M4648" t="s">
        <v>33</v>
      </c>
      <c r="P4648" s="1" t="s">
        <v>15920</v>
      </c>
      <c r="Q4648" s="1" t="s">
        <v>15359</v>
      </c>
      <c r="R4648" s="1" t="s">
        <v>15359</v>
      </c>
      <c r="S4648" s="1"/>
      <c r="T4648" s="1" t="s">
        <v>1735</v>
      </c>
      <c r="U4648" s="1"/>
      <c r="V4648" s="1">
        <v>328.0</v>
      </c>
      <c r="W4648" s="1">
        <v>328.0</v>
      </c>
      <c r="X4648" s="1" t="s">
        <v>35</v>
      </c>
      <c r="Y4648" s="1">
        <v>328000</v>
      </c>
      <c r="Z4648" s="1"/>
      <c r="AA4648" s="1">
        <v>328000</v>
      </c>
      <c r="AB4648" s="1"/>
      <c r="AC4648" s="1" t="s">
        <v>36</v>
      </c>
      <c r="AD4648" s="1" t="s">
        <v>15921</v>
      </c>
      <c r="AE4648" s="1" t="s">
        <v>32</v>
      </c>
      <c r="AF4648" s="1" t="s">
        <v>33</v>
      </c>
      <c r="AG4648" s="1" t="s">
        <v>270</v>
      </c>
    </row>
    <row r="4649" spans="1:33">
      <c r="A4649" t="s">
        <v>15922</v>
      </c>
      <c r="B4649" t="s">
        <v>15679</v>
      </c>
      <c r="C4649" t="s">
        <v>26</v>
      </c>
      <c r="E4649" t="s">
        <v>15359</v>
      </c>
      <c r="F4649" t="s">
        <v>10934</v>
      </c>
      <c r="G4649">
        <v>2.54</v>
      </c>
      <c r="H4649">
        <v>2.54</v>
      </c>
      <c r="I4649" t="s">
        <v>29</v>
      </c>
      <c r="J4649" t="s">
        <v>30</v>
      </c>
      <c r="K4649" t="s">
        <v>31</v>
      </c>
      <c r="L4649" t="s">
        <v>32</v>
      </c>
      <c r="M4649" t="s">
        <v>33</v>
      </c>
      <c r="P4649" s="1" t="s">
        <v>15923</v>
      </c>
      <c r="Q4649" s="1" t="s">
        <v>15359</v>
      </c>
      <c r="R4649" s="1" t="s">
        <v>15359</v>
      </c>
      <c r="S4649" s="1"/>
      <c r="T4649" s="1" t="s">
        <v>26</v>
      </c>
      <c r="U4649" s="1"/>
      <c r="V4649" s="1">
        <v>2.54</v>
      </c>
      <c r="W4649" s="1">
        <v>2.54</v>
      </c>
      <c r="X4649" s="1" t="s">
        <v>35</v>
      </c>
      <c r="Y4649" s="1">
        <v>2540</v>
      </c>
      <c r="Z4649" s="1"/>
      <c r="AA4649" s="1">
        <v>2540</v>
      </c>
      <c r="AB4649" s="1"/>
      <c r="AC4649" s="1" t="s">
        <v>36</v>
      </c>
      <c r="AD4649" s="1" t="s">
        <v>15924</v>
      </c>
      <c r="AE4649" s="1" t="s">
        <v>32</v>
      </c>
      <c r="AF4649" s="1" t="s">
        <v>33</v>
      </c>
      <c r="AG4649" s="1" t="s">
        <v>30</v>
      </c>
    </row>
    <row r="4650" spans="1:33">
      <c r="A4650" t="s">
        <v>15925</v>
      </c>
      <c r="C4650" t="s">
        <v>4236</v>
      </c>
      <c r="E4650" t="s">
        <v>15359</v>
      </c>
      <c r="F4650" t="s">
        <v>10934</v>
      </c>
      <c r="G4650">
        <v>188.0</v>
      </c>
      <c r="H4650">
        <v>188.0</v>
      </c>
      <c r="I4650" t="s">
        <v>179</v>
      </c>
      <c r="J4650" t="s">
        <v>180</v>
      </c>
      <c r="K4650" t="s">
        <v>31</v>
      </c>
      <c r="L4650" t="s">
        <v>32</v>
      </c>
      <c r="M4650" t="s">
        <v>33</v>
      </c>
      <c r="P4650" s="1" t="s">
        <v>15926</v>
      </c>
      <c r="Q4650" s="1" t="s">
        <v>15359</v>
      </c>
      <c r="R4650" s="1" t="s">
        <v>15359</v>
      </c>
      <c r="S4650" s="1"/>
      <c r="T4650" s="1" t="s">
        <v>4236</v>
      </c>
      <c r="U4650" s="1"/>
      <c r="V4650" s="1">
        <v>188.0</v>
      </c>
      <c r="W4650" s="1">
        <v>188.0</v>
      </c>
      <c r="X4650" s="1" t="s">
        <v>35</v>
      </c>
      <c r="Y4650" s="1">
        <v>188000</v>
      </c>
      <c r="Z4650" s="1"/>
      <c r="AA4650" s="1">
        <v>188000</v>
      </c>
      <c r="AB4650" s="1"/>
      <c r="AC4650" s="1" t="s">
        <v>36</v>
      </c>
      <c r="AD4650" s="1" t="s">
        <v>15918</v>
      </c>
      <c r="AE4650" s="1" t="s">
        <v>32</v>
      </c>
      <c r="AF4650" s="1" t="s">
        <v>33</v>
      </c>
      <c r="AG4650" s="1" t="s">
        <v>180</v>
      </c>
    </row>
    <row r="4651" spans="1:33">
      <c r="A4651" t="s">
        <v>15927</v>
      </c>
      <c r="C4651" t="s">
        <v>2756</v>
      </c>
      <c r="E4651" t="s">
        <v>15359</v>
      </c>
      <c r="F4651" t="s">
        <v>10934</v>
      </c>
      <c r="G4651">
        <v>2.321</v>
      </c>
      <c r="H4651">
        <v>2.321</v>
      </c>
      <c r="I4651" t="s">
        <v>269</v>
      </c>
      <c r="J4651" t="s">
        <v>270</v>
      </c>
      <c r="K4651" t="s">
        <v>31</v>
      </c>
      <c r="L4651" t="s">
        <v>32</v>
      </c>
      <c r="M4651" t="s">
        <v>33</v>
      </c>
      <c r="P4651" s="1" t="s">
        <v>15928</v>
      </c>
      <c r="Q4651" s="1" t="s">
        <v>15359</v>
      </c>
      <c r="R4651" s="1" t="s">
        <v>15359</v>
      </c>
      <c r="S4651" s="1"/>
      <c r="T4651" s="1" t="s">
        <v>2756</v>
      </c>
      <c r="U4651" s="1"/>
      <c r="V4651" s="1">
        <v>2.321</v>
      </c>
      <c r="W4651" s="1">
        <v>2.321</v>
      </c>
      <c r="X4651" s="1" t="s">
        <v>35</v>
      </c>
      <c r="Y4651" s="1">
        <v>2321000</v>
      </c>
      <c r="Z4651" s="1"/>
      <c r="AA4651" s="1">
        <v>2321000</v>
      </c>
      <c r="AB4651" s="1"/>
      <c r="AC4651" s="1" t="s">
        <v>36</v>
      </c>
      <c r="AD4651" s="1" t="s">
        <v>15924</v>
      </c>
      <c r="AE4651" s="1" t="s">
        <v>32</v>
      </c>
      <c r="AF4651" s="1" t="s">
        <v>33</v>
      </c>
      <c r="AG4651" s="1" t="s">
        <v>270</v>
      </c>
    </row>
    <row r="4652" spans="1:33">
      <c r="A4652" t="s">
        <v>15929</v>
      </c>
      <c r="C4652" t="s">
        <v>1325</v>
      </c>
      <c r="E4652" t="s">
        <v>15359</v>
      </c>
      <c r="F4652" t="s">
        <v>10934</v>
      </c>
      <c r="G4652">
        <v>826.4</v>
      </c>
      <c r="H4652">
        <v>826.4</v>
      </c>
      <c r="I4652" t="s">
        <v>269</v>
      </c>
      <c r="J4652" t="s">
        <v>270</v>
      </c>
      <c r="K4652" t="s">
        <v>31</v>
      </c>
      <c r="L4652" t="s">
        <v>32</v>
      </c>
      <c r="M4652" t="s">
        <v>33</v>
      </c>
      <c r="P4652" s="1" t="s">
        <v>15930</v>
      </c>
      <c r="Q4652" s="1" t="s">
        <v>15359</v>
      </c>
      <c r="R4652" s="1" t="s">
        <v>15359</v>
      </c>
      <c r="S4652" s="1"/>
      <c r="T4652" s="1" t="s">
        <v>1325</v>
      </c>
      <c r="U4652" s="1"/>
      <c r="V4652" s="1">
        <v>826.4</v>
      </c>
      <c r="W4652" s="1">
        <v>826.4</v>
      </c>
      <c r="X4652" s="1" t="s">
        <v>35</v>
      </c>
      <c r="Y4652" s="1">
        <v>826400</v>
      </c>
      <c r="Z4652" s="1"/>
      <c r="AA4652" s="1">
        <v>826400</v>
      </c>
      <c r="AB4652" s="1"/>
      <c r="AC4652" s="1" t="s">
        <v>36</v>
      </c>
      <c r="AD4652" s="1" t="s">
        <v>15931</v>
      </c>
      <c r="AE4652" s="1" t="s">
        <v>32</v>
      </c>
      <c r="AF4652" s="1" t="s">
        <v>33</v>
      </c>
      <c r="AG4652" s="1" t="s">
        <v>270</v>
      </c>
    </row>
    <row r="4653" spans="1:33">
      <c r="A4653" t="s">
        <v>15932</v>
      </c>
      <c r="C4653" t="s">
        <v>3689</v>
      </c>
      <c r="E4653" t="s">
        <v>15359</v>
      </c>
      <c r="F4653" t="s">
        <v>14226</v>
      </c>
      <c r="G4653">
        <v>1.007</v>
      </c>
      <c r="H4653">
        <v>1.007</v>
      </c>
      <c r="I4653" t="s">
        <v>179</v>
      </c>
      <c r="J4653" t="s">
        <v>180</v>
      </c>
      <c r="K4653" t="s">
        <v>31</v>
      </c>
      <c r="L4653" t="s">
        <v>32</v>
      </c>
      <c r="M4653" t="s">
        <v>33</v>
      </c>
      <c r="P4653" s="1" t="s">
        <v>15933</v>
      </c>
      <c r="Q4653" s="1" t="s">
        <v>15359</v>
      </c>
      <c r="R4653" s="1" t="s">
        <v>15359</v>
      </c>
      <c r="S4653" s="1"/>
      <c r="T4653" s="1" t="s">
        <v>3689</v>
      </c>
      <c r="U4653" s="1"/>
      <c r="V4653" s="1">
        <v>1.007</v>
      </c>
      <c r="W4653" s="1">
        <v>1.007</v>
      </c>
      <c r="X4653" s="1" t="s">
        <v>35</v>
      </c>
      <c r="Y4653" s="1">
        <v>1007000</v>
      </c>
      <c r="Z4653" s="1"/>
      <c r="AA4653" s="1">
        <v>1007000</v>
      </c>
      <c r="AB4653" s="1"/>
      <c r="AC4653" s="1" t="s">
        <v>36</v>
      </c>
      <c r="AD4653" s="1" t="s">
        <v>15934</v>
      </c>
      <c r="AE4653" s="1" t="s">
        <v>32</v>
      </c>
      <c r="AF4653" s="1" t="s">
        <v>33</v>
      </c>
      <c r="AG4653" s="1" t="s">
        <v>180</v>
      </c>
    </row>
    <row r="4654" spans="1:33">
      <c r="A4654" t="s">
        <v>15935</v>
      </c>
      <c r="B4654" t="s">
        <v>15936</v>
      </c>
      <c r="C4654" t="s">
        <v>131</v>
      </c>
      <c r="E4654" t="s">
        <v>15359</v>
      </c>
      <c r="F4654" t="s">
        <v>10934</v>
      </c>
      <c r="G4654">
        <v>152.14</v>
      </c>
      <c r="H4654">
        <v>152.14</v>
      </c>
      <c r="I4654" t="s">
        <v>94</v>
      </c>
      <c r="J4654" t="s">
        <v>95</v>
      </c>
      <c r="K4654" t="s">
        <v>31</v>
      </c>
      <c r="L4654" t="s">
        <v>32</v>
      </c>
      <c r="M4654" t="s">
        <v>33</v>
      </c>
      <c r="P4654" s="1" t="s">
        <v>15937</v>
      </c>
      <c r="Q4654" s="1" t="s">
        <v>15359</v>
      </c>
      <c r="R4654" s="1" t="s">
        <v>15359</v>
      </c>
      <c r="S4654" s="1"/>
      <c r="T4654" s="1" t="s">
        <v>131</v>
      </c>
      <c r="U4654" s="1"/>
      <c r="V4654" s="1">
        <v>152.14</v>
      </c>
      <c r="W4654" s="1">
        <v>152.14</v>
      </c>
      <c r="X4654" s="1" t="s">
        <v>35</v>
      </c>
      <c r="Y4654" s="1">
        <v>152140</v>
      </c>
      <c r="Z4654" s="1"/>
      <c r="AA4654" s="1">
        <v>152140</v>
      </c>
      <c r="AB4654" s="1"/>
      <c r="AC4654" s="1" t="s">
        <v>36</v>
      </c>
      <c r="AD4654" s="1" t="s">
        <v>15938</v>
      </c>
      <c r="AE4654" s="1" t="s">
        <v>32</v>
      </c>
      <c r="AF4654" s="1" t="s">
        <v>33</v>
      </c>
      <c r="AG4654" s="1" t="s">
        <v>95</v>
      </c>
    </row>
    <row r="4655" spans="1:33">
      <c r="A4655" t="s">
        <v>15939</v>
      </c>
      <c r="B4655" t="s">
        <v>2422</v>
      </c>
      <c r="C4655" t="s">
        <v>314</v>
      </c>
      <c r="E4655" t="s">
        <v>15359</v>
      </c>
      <c r="F4655" t="s">
        <v>10934</v>
      </c>
      <c r="G4655">
        <v>18.59</v>
      </c>
      <c r="H4655">
        <v>18.59</v>
      </c>
      <c r="I4655" t="s">
        <v>179</v>
      </c>
      <c r="J4655" t="s">
        <v>180</v>
      </c>
      <c r="K4655" t="s">
        <v>31</v>
      </c>
      <c r="L4655" t="s">
        <v>32</v>
      </c>
      <c r="M4655" t="s">
        <v>33</v>
      </c>
      <c r="P4655" s="1" t="s">
        <v>15940</v>
      </c>
      <c r="Q4655" s="1" t="s">
        <v>15359</v>
      </c>
      <c r="R4655" s="1" t="s">
        <v>15359</v>
      </c>
      <c r="S4655" s="1"/>
      <c r="T4655" s="1" t="s">
        <v>314</v>
      </c>
      <c r="U4655" s="1"/>
      <c r="V4655" s="1">
        <v>18.59</v>
      </c>
      <c r="W4655" s="1">
        <v>18.59</v>
      </c>
      <c r="X4655" s="1" t="s">
        <v>35</v>
      </c>
      <c r="Y4655" s="1">
        <v>18590</v>
      </c>
      <c r="Z4655" s="1"/>
      <c r="AA4655" s="1">
        <v>18590</v>
      </c>
      <c r="AB4655" s="1"/>
      <c r="AC4655" s="1" t="s">
        <v>36</v>
      </c>
      <c r="AD4655" s="1" t="s">
        <v>15941</v>
      </c>
      <c r="AE4655" s="1" t="s">
        <v>32</v>
      </c>
      <c r="AF4655" s="1" t="s">
        <v>33</v>
      </c>
      <c r="AG4655" s="1" t="s">
        <v>180</v>
      </c>
    </row>
    <row r="4656" spans="1:33">
      <c r="A4656" t="s">
        <v>15942</v>
      </c>
      <c r="C4656" t="s">
        <v>15943</v>
      </c>
      <c r="E4656" t="s">
        <v>15359</v>
      </c>
      <c r="F4656" t="s">
        <v>10934</v>
      </c>
      <c r="G4656">
        <v>2.7</v>
      </c>
      <c r="H4656">
        <v>2.7</v>
      </c>
      <c r="I4656" t="s">
        <v>2206</v>
      </c>
      <c r="J4656" t="s">
        <v>49</v>
      </c>
      <c r="K4656" t="s">
        <v>31</v>
      </c>
      <c r="L4656" t="s">
        <v>32</v>
      </c>
      <c r="M4656" t="s">
        <v>33</v>
      </c>
      <c r="P4656" s="1" t="s">
        <v>15944</v>
      </c>
      <c r="Q4656" s="1" t="s">
        <v>15359</v>
      </c>
      <c r="R4656" s="1" t="s">
        <v>15359</v>
      </c>
      <c r="S4656" s="1"/>
      <c r="T4656" s="1" t="s">
        <v>15945</v>
      </c>
      <c r="U4656" s="1" t="s">
        <v>15946</v>
      </c>
      <c r="V4656" s="1">
        <v>2.7</v>
      </c>
      <c r="W4656" s="1">
        <v>2.7</v>
      </c>
      <c r="X4656" s="1" t="s">
        <v>35</v>
      </c>
      <c r="Y4656" s="1">
        <v>2700000</v>
      </c>
      <c r="Z4656" s="1"/>
      <c r="AA4656" s="1">
        <v>2700000</v>
      </c>
      <c r="AB4656" s="1"/>
      <c r="AC4656" s="1" t="s">
        <v>36</v>
      </c>
      <c r="AD4656" s="1" t="s">
        <v>15918</v>
      </c>
      <c r="AE4656" s="1" t="s">
        <v>32</v>
      </c>
      <c r="AF4656" s="1" t="s">
        <v>33</v>
      </c>
      <c r="AG4656" s="1" t="s">
        <v>49</v>
      </c>
    </row>
    <row r="4657" spans="1:33">
      <c r="A4657" t="s">
        <v>15947</v>
      </c>
      <c r="B4657" t="s">
        <v>15948</v>
      </c>
      <c r="C4657" t="s">
        <v>172</v>
      </c>
      <c r="E4657" t="s">
        <v>15359</v>
      </c>
      <c r="F4657" t="s">
        <v>10934</v>
      </c>
      <c r="G4657">
        <v>27.285</v>
      </c>
      <c r="H4657">
        <v>27.285</v>
      </c>
      <c r="I4657" t="s">
        <v>173</v>
      </c>
      <c r="J4657" t="s">
        <v>174</v>
      </c>
      <c r="K4657" t="s">
        <v>31</v>
      </c>
      <c r="L4657" t="s">
        <v>32</v>
      </c>
      <c r="M4657" t="s">
        <v>33</v>
      </c>
      <c r="P4657" s="1" t="s">
        <v>15949</v>
      </c>
      <c r="Q4657" s="1" t="s">
        <v>15359</v>
      </c>
      <c r="R4657" s="1" t="s">
        <v>15359</v>
      </c>
      <c r="S4657" s="1"/>
      <c r="T4657" s="1" t="s">
        <v>172</v>
      </c>
      <c r="U4657" s="1"/>
      <c r="V4657" s="1">
        <v>27.285</v>
      </c>
      <c r="W4657" s="1">
        <v>27.285</v>
      </c>
      <c r="X4657" s="1" t="s">
        <v>35</v>
      </c>
      <c r="Y4657" s="1">
        <v>27285</v>
      </c>
      <c r="Z4657" s="1"/>
      <c r="AA4657" s="1">
        <v>27285</v>
      </c>
      <c r="AB4657" s="1"/>
      <c r="AC4657" s="1" t="s">
        <v>36</v>
      </c>
      <c r="AD4657" s="1" t="s">
        <v>15950</v>
      </c>
      <c r="AE4657" s="1" t="s">
        <v>32</v>
      </c>
      <c r="AF4657" s="1" t="s">
        <v>33</v>
      </c>
      <c r="AG4657" s="1" t="s">
        <v>174</v>
      </c>
    </row>
    <row r="4658" spans="1:33">
      <c r="A4658" t="s">
        <v>15951</v>
      </c>
      <c r="C4658" t="s">
        <v>1468</v>
      </c>
      <c r="E4658" t="s">
        <v>15359</v>
      </c>
      <c r="F4658" t="s">
        <v>10934</v>
      </c>
      <c r="G4658">
        <v>2.46</v>
      </c>
      <c r="H4658">
        <v>2.46</v>
      </c>
      <c r="I4658" t="s">
        <v>269</v>
      </c>
      <c r="J4658" t="s">
        <v>270</v>
      </c>
      <c r="K4658" t="s">
        <v>31</v>
      </c>
      <c r="L4658" t="s">
        <v>32</v>
      </c>
      <c r="M4658" t="s">
        <v>33</v>
      </c>
      <c r="P4658" s="1" t="s">
        <v>15952</v>
      </c>
      <c r="Q4658" s="1" t="s">
        <v>15359</v>
      </c>
      <c r="R4658" s="1" t="s">
        <v>15359</v>
      </c>
      <c r="S4658" s="1"/>
      <c r="T4658" s="1" t="s">
        <v>1468</v>
      </c>
      <c r="U4658" s="1"/>
      <c r="V4658" s="1">
        <v>2.46</v>
      </c>
      <c r="W4658" s="1">
        <v>2.46</v>
      </c>
      <c r="X4658" s="1" t="s">
        <v>35</v>
      </c>
      <c r="Y4658" s="1">
        <v>2460000</v>
      </c>
      <c r="Z4658" s="1"/>
      <c r="AA4658" s="1">
        <v>2460000</v>
      </c>
      <c r="AB4658" s="1"/>
      <c r="AC4658" s="1" t="s">
        <v>36</v>
      </c>
      <c r="AD4658" s="1" t="s">
        <v>15953</v>
      </c>
      <c r="AE4658" s="1" t="s">
        <v>32</v>
      </c>
      <c r="AF4658" s="1" t="s">
        <v>33</v>
      </c>
      <c r="AG4658" s="1" t="s">
        <v>270</v>
      </c>
    </row>
    <row r="4659" spans="1:33">
      <c r="A4659" t="s">
        <v>15954</v>
      </c>
      <c r="C4659" t="s">
        <v>2857</v>
      </c>
      <c r="E4659" t="s">
        <v>15359</v>
      </c>
      <c r="F4659" t="s">
        <v>10934</v>
      </c>
      <c r="G4659">
        <v>2.301</v>
      </c>
      <c r="H4659">
        <v>2.301</v>
      </c>
      <c r="I4659" t="s">
        <v>2206</v>
      </c>
      <c r="J4659" t="s">
        <v>49</v>
      </c>
      <c r="K4659" t="s">
        <v>31</v>
      </c>
      <c r="L4659" t="s">
        <v>32</v>
      </c>
      <c r="M4659" t="s">
        <v>33</v>
      </c>
      <c r="P4659" s="1" t="s">
        <v>15955</v>
      </c>
      <c r="Q4659" s="1" t="s">
        <v>15359</v>
      </c>
      <c r="R4659" s="1" t="s">
        <v>15359</v>
      </c>
      <c r="S4659" s="1"/>
      <c r="T4659" s="1" t="s">
        <v>2859</v>
      </c>
      <c r="U4659" s="1" t="s">
        <v>2255</v>
      </c>
      <c r="V4659" s="1">
        <v>2.301</v>
      </c>
      <c r="W4659" s="1">
        <v>2.301</v>
      </c>
      <c r="X4659" s="1" t="s">
        <v>35</v>
      </c>
      <c r="Y4659" s="1">
        <v>2301000</v>
      </c>
      <c r="Z4659" s="1"/>
      <c r="AA4659" s="1">
        <v>2301000</v>
      </c>
      <c r="AB4659" s="1"/>
      <c r="AC4659" s="1" t="s">
        <v>36</v>
      </c>
      <c r="AD4659" s="1" t="s">
        <v>15907</v>
      </c>
      <c r="AE4659" s="1" t="s">
        <v>32</v>
      </c>
      <c r="AF4659" s="1" t="s">
        <v>33</v>
      </c>
      <c r="AG4659" s="1" t="s">
        <v>49</v>
      </c>
    </row>
    <row r="4660" spans="1:33">
      <c r="A4660" t="s">
        <v>15956</v>
      </c>
      <c r="B4660" t="s">
        <v>735</v>
      </c>
      <c r="C4660" t="s">
        <v>736</v>
      </c>
      <c r="E4660" t="s">
        <v>15359</v>
      </c>
      <c r="F4660" t="s">
        <v>10934</v>
      </c>
      <c r="G4660">
        <v>462.5</v>
      </c>
      <c r="H4660">
        <v>462.5</v>
      </c>
      <c r="I4660" t="s">
        <v>59</v>
      </c>
      <c r="J4660" t="s">
        <v>60</v>
      </c>
      <c r="K4660" t="s">
        <v>31</v>
      </c>
      <c r="L4660" t="s">
        <v>32</v>
      </c>
      <c r="M4660" t="s">
        <v>33</v>
      </c>
      <c r="P4660" s="1" t="s">
        <v>15957</v>
      </c>
      <c r="Q4660" s="1" t="s">
        <v>15359</v>
      </c>
      <c r="R4660" s="1" t="s">
        <v>15359</v>
      </c>
      <c r="S4660" s="1"/>
      <c r="T4660" s="1" t="s">
        <v>736</v>
      </c>
      <c r="U4660" s="1"/>
      <c r="V4660" s="1">
        <v>462.5</v>
      </c>
      <c r="W4660" s="1">
        <v>462.5</v>
      </c>
      <c r="X4660" s="1" t="s">
        <v>35</v>
      </c>
      <c r="Y4660" s="1">
        <v>462500</v>
      </c>
      <c r="Z4660" s="1"/>
      <c r="AA4660" s="1">
        <v>462500</v>
      </c>
      <c r="AB4660" s="1"/>
      <c r="AC4660" s="1" t="s">
        <v>36</v>
      </c>
      <c r="AD4660" s="1" t="s">
        <v>15958</v>
      </c>
      <c r="AE4660" s="1" t="s">
        <v>32</v>
      </c>
      <c r="AF4660" s="1" t="s">
        <v>33</v>
      </c>
      <c r="AG4660" s="1" t="s">
        <v>60</v>
      </c>
    </row>
    <row r="4661" spans="1:33">
      <c r="A4661" t="s">
        <v>15959</v>
      </c>
      <c r="C4661" t="s">
        <v>2825</v>
      </c>
      <c r="E4661" t="s">
        <v>15359</v>
      </c>
      <c r="F4661" t="s">
        <v>10934</v>
      </c>
      <c r="G4661">
        <v>1.6</v>
      </c>
      <c r="H4661">
        <v>1.6</v>
      </c>
      <c r="I4661" t="s">
        <v>126</v>
      </c>
      <c r="J4661" t="s">
        <v>127</v>
      </c>
      <c r="K4661" t="s">
        <v>31</v>
      </c>
      <c r="L4661" t="s">
        <v>32</v>
      </c>
      <c r="M4661" t="s">
        <v>33</v>
      </c>
      <c r="P4661" s="1" t="s">
        <v>15960</v>
      </c>
      <c r="Q4661" s="1" t="s">
        <v>15359</v>
      </c>
      <c r="R4661" s="1" t="s">
        <v>15359</v>
      </c>
      <c r="S4661" s="1"/>
      <c r="T4661" s="1" t="s">
        <v>2825</v>
      </c>
      <c r="U4661" s="1"/>
      <c r="V4661" s="1">
        <v>1.6</v>
      </c>
      <c r="W4661" s="1">
        <v>1.6</v>
      </c>
      <c r="X4661" s="1" t="s">
        <v>35</v>
      </c>
      <c r="Y4661" s="1">
        <v>5915000</v>
      </c>
      <c r="Z4661" s="1">
        <v>-4315000</v>
      </c>
      <c r="AA4661" s="1">
        <v>5915000</v>
      </c>
      <c r="AB4661" s="1">
        <v>-4315000</v>
      </c>
      <c r="AC4661" s="1" t="s">
        <v>36</v>
      </c>
      <c r="AD4661" s="1" t="s">
        <v>15961</v>
      </c>
      <c r="AE4661" s="1" t="s">
        <v>32</v>
      </c>
      <c r="AF4661" s="1" t="s">
        <v>33</v>
      </c>
      <c r="AG4661" s="1" t="s">
        <v>127</v>
      </c>
    </row>
    <row r="4662" spans="1:33">
      <c r="A4662" t="s">
        <v>15962</v>
      </c>
      <c r="C4662" t="s">
        <v>1424</v>
      </c>
      <c r="E4662" t="s">
        <v>15359</v>
      </c>
      <c r="F4662" t="s">
        <v>10934</v>
      </c>
      <c r="G4662">
        <v>400.0</v>
      </c>
      <c r="H4662">
        <v>400.0</v>
      </c>
      <c r="I4662" t="s">
        <v>126</v>
      </c>
      <c r="J4662" t="s">
        <v>127</v>
      </c>
      <c r="K4662" t="s">
        <v>31</v>
      </c>
      <c r="L4662" t="s">
        <v>32</v>
      </c>
      <c r="M4662" t="s">
        <v>33</v>
      </c>
      <c r="P4662" s="1" t="s">
        <v>15963</v>
      </c>
      <c r="Q4662" s="1" t="s">
        <v>15359</v>
      </c>
      <c r="R4662" s="1" t="s">
        <v>15359</v>
      </c>
      <c r="S4662" s="1"/>
      <c r="T4662" s="1" t="s">
        <v>1424</v>
      </c>
      <c r="U4662" s="1"/>
      <c r="V4662" s="1">
        <v>400.0</v>
      </c>
      <c r="W4662" s="1">
        <v>400.0</v>
      </c>
      <c r="X4662" s="1" t="s">
        <v>35</v>
      </c>
      <c r="Y4662" s="1">
        <v>400000</v>
      </c>
      <c r="Z4662" s="1"/>
      <c r="AA4662" s="1">
        <v>400000</v>
      </c>
      <c r="AB4662" s="1"/>
      <c r="AC4662" s="1" t="s">
        <v>36</v>
      </c>
      <c r="AD4662" s="1" t="s">
        <v>15964</v>
      </c>
      <c r="AE4662" s="1" t="s">
        <v>32</v>
      </c>
      <c r="AF4662" s="1" t="s">
        <v>33</v>
      </c>
      <c r="AG4662" s="1" t="s">
        <v>127</v>
      </c>
    </row>
    <row r="4663" spans="1:33">
      <c r="A4663" t="s">
        <v>15965</v>
      </c>
      <c r="C4663" t="s">
        <v>725</v>
      </c>
      <c r="E4663" t="s">
        <v>15359</v>
      </c>
      <c r="F4663" t="s">
        <v>10934</v>
      </c>
      <c r="G4663">
        <v>1.64</v>
      </c>
      <c r="H4663">
        <v>1.64</v>
      </c>
      <c r="I4663" t="s">
        <v>269</v>
      </c>
      <c r="J4663" t="s">
        <v>270</v>
      </c>
      <c r="K4663" t="s">
        <v>31</v>
      </c>
      <c r="L4663" t="s">
        <v>32</v>
      </c>
      <c r="M4663" t="s">
        <v>33</v>
      </c>
      <c r="P4663" s="1" t="s">
        <v>15966</v>
      </c>
      <c r="Q4663" s="1" t="s">
        <v>15359</v>
      </c>
      <c r="R4663" s="1" t="s">
        <v>15359</v>
      </c>
      <c r="S4663" s="1"/>
      <c r="T4663" s="1" t="s">
        <v>725</v>
      </c>
      <c r="U4663" s="1"/>
      <c r="V4663" s="1">
        <v>1.64</v>
      </c>
      <c r="W4663" s="1">
        <v>1.64</v>
      </c>
      <c r="X4663" s="1" t="s">
        <v>35</v>
      </c>
      <c r="Y4663" s="1">
        <v>1640000</v>
      </c>
      <c r="Z4663" s="1"/>
      <c r="AA4663" s="1">
        <v>1640000</v>
      </c>
      <c r="AB4663" s="1"/>
      <c r="AC4663" s="1" t="s">
        <v>36</v>
      </c>
      <c r="AD4663" s="1" t="s">
        <v>15967</v>
      </c>
      <c r="AE4663" s="1" t="s">
        <v>32</v>
      </c>
      <c r="AF4663" s="1" t="s">
        <v>33</v>
      </c>
      <c r="AG4663" s="1" t="s">
        <v>270</v>
      </c>
    </row>
    <row r="4664" spans="1:33">
      <c r="A4664" t="s">
        <v>15968</v>
      </c>
      <c r="C4664" t="s">
        <v>2737</v>
      </c>
      <c r="E4664" t="s">
        <v>15359</v>
      </c>
      <c r="F4664" t="s">
        <v>10934</v>
      </c>
      <c r="G4664">
        <v>85.0</v>
      </c>
      <c r="H4664">
        <v>85.0</v>
      </c>
      <c r="I4664" t="s">
        <v>136</v>
      </c>
      <c r="J4664" t="s">
        <v>137</v>
      </c>
      <c r="K4664" t="s">
        <v>31</v>
      </c>
      <c r="L4664" t="s">
        <v>32</v>
      </c>
      <c r="M4664" t="s">
        <v>33</v>
      </c>
      <c r="P4664" s="1" t="s">
        <v>15969</v>
      </c>
      <c r="Q4664" s="1" t="s">
        <v>15359</v>
      </c>
      <c r="R4664" s="1" t="s">
        <v>15359</v>
      </c>
      <c r="S4664" s="1"/>
      <c r="T4664" s="1" t="s">
        <v>2737</v>
      </c>
      <c r="U4664" s="1"/>
      <c r="V4664" s="1">
        <v>85.0</v>
      </c>
      <c r="W4664" s="1">
        <v>85.0</v>
      </c>
      <c r="X4664" s="1" t="s">
        <v>35</v>
      </c>
      <c r="Y4664" s="1">
        <v>85000</v>
      </c>
      <c r="Z4664" s="1"/>
      <c r="AA4664" s="1">
        <v>85000</v>
      </c>
      <c r="AB4664" s="1"/>
      <c r="AC4664" s="1" t="s">
        <v>36</v>
      </c>
      <c r="AD4664" s="1" t="s">
        <v>15970</v>
      </c>
      <c r="AE4664" s="1" t="s">
        <v>32</v>
      </c>
      <c r="AF4664" s="1" t="s">
        <v>33</v>
      </c>
      <c r="AG4664" s="1" t="s">
        <v>137</v>
      </c>
    </row>
    <row r="4665" spans="1:33">
      <c r="A4665" t="s">
        <v>15971</v>
      </c>
      <c r="C4665" t="s">
        <v>1129</v>
      </c>
      <c r="E4665" t="s">
        <v>15359</v>
      </c>
      <c r="F4665" t="s">
        <v>10934</v>
      </c>
      <c r="G4665">
        <v>336.0</v>
      </c>
      <c r="H4665">
        <v>336.0</v>
      </c>
      <c r="I4665" t="s">
        <v>2206</v>
      </c>
      <c r="J4665" t="s">
        <v>49</v>
      </c>
      <c r="K4665" t="s">
        <v>31</v>
      </c>
      <c r="L4665" t="s">
        <v>32</v>
      </c>
      <c r="M4665" t="s">
        <v>33</v>
      </c>
      <c r="P4665" s="1" t="s">
        <v>15972</v>
      </c>
      <c r="Q4665" s="1" t="s">
        <v>15359</v>
      </c>
      <c r="R4665" s="1" t="s">
        <v>15359</v>
      </c>
      <c r="S4665" s="1"/>
      <c r="T4665" s="1" t="s">
        <v>1129</v>
      </c>
      <c r="U4665" s="1"/>
      <c r="V4665" s="1">
        <v>336.0</v>
      </c>
      <c r="W4665" s="1">
        <v>336.0</v>
      </c>
      <c r="X4665" s="1" t="s">
        <v>35</v>
      </c>
      <c r="Y4665" s="1">
        <v>336000</v>
      </c>
      <c r="Z4665" s="1"/>
      <c r="AA4665" s="1">
        <v>336000</v>
      </c>
      <c r="AB4665" s="1"/>
      <c r="AC4665" s="1" t="s">
        <v>36</v>
      </c>
      <c r="AD4665" s="1" t="s">
        <v>15973</v>
      </c>
      <c r="AE4665" s="1" t="s">
        <v>32</v>
      </c>
      <c r="AF4665" s="1" t="s">
        <v>33</v>
      </c>
      <c r="AG4665" s="1" t="s">
        <v>49</v>
      </c>
    </row>
    <row r="4666" spans="1:33">
      <c r="A4666" t="s">
        <v>15974</v>
      </c>
      <c r="C4666" t="s">
        <v>1594</v>
      </c>
      <c r="E4666" t="s">
        <v>15359</v>
      </c>
      <c r="F4666" t="s">
        <v>10934</v>
      </c>
      <c r="G4666">
        <v>795.938</v>
      </c>
      <c r="H4666">
        <v>795.938</v>
      </c>
      <c r="I4666" t="s">
        <v>179</v>
      </c>
      <c r="J4666" t="s">
        <v>180</v>
      </c>
      <c r="K4666" t="s">
        <v>31</v>
      </c>
      <c r="L4666" t="s">
        <v>32</v>
      </c>
      <c r="M4666" t="s">
        <v>33</v>
      </c>
      <c r="P4666" s="1" t="s">
        <v>15975</v>
      </c>
      <c r="Q4666" s="1" t="s">
        <v>15359</v>
      </c>
      <c r="R4666" s="1" t="s">
        <v>15359</v>
      </c>
      <c r="S4666" s="1"/>
      <c r="T4666" s="1" t="s">
        <v>1594</v>
      </c>
      <c r="U4666" s="1"/>
      <c r="V4666" s="1">
        <v>795.938</v>
      </c>
      <c r="W4666" s="1">
        <v>795.938</v>
      </c>
      <c r="X4666" s="1" t="s">
        <v>35</v>
      </c>
      <c r="Y4666" s="1">
        <v>795938</v>
      </c>
      <c r="Z4666" s="1"/>
      <c r="AA4666" s="1">
        <v>795938</v>
      </c>
      <c r="AB4666" s="1"/>
      <c r="AC4666" s="1" t="s">
        <v>36</v>
      </c>
      <c r="AD4666" s="1" t="s">
        <v>15950</v>
      </c>
      <c r="AE4666" s="1" t="s">
        <v>32</v>
      </c>
      <c r="AF4666" s="1" t="s">
        <v>33</v>
      </c>
      <c r="AG4666" s="1" t="s">
        <v>180</v>
      </c>
    </row>
    <row r="4667" spans="1:33">
      <c r="A4667" t="s">
        <v>15976</v>
      </c>
      <c r="B4667" t="s">
        <v>3755</v>
      </c>
      <c r="C4667" t="s">
        <v>268</v>
      </c>
      <c r="E4667" t="s">
        <v>15359</v>
      </c>
      <c r="F4667" t="s">
        <v>10934</v>
      </c>
      <c r="G4667">
        <v>135.2</v>
      </c>
      <c r="H4667">
        <v>135.2</v>
      </c>
      <c r="I4667" t="s">
        <v>269</v>
      </c>
      <c r="J4667" t="s">
        <v>270</v>
      </c>
      <c r="K4667" t="s">
        <v>31</v>
      </c>
      <c r="L4667" t="s">
        <v>32</v>
      </c>
      <c r="M4667" t="s">
        <v>33</v>
      </c>
      <c r="P4667" s="1" t="s">
        <v>15977</v>
      </c>
      <c r="Q4667" s="1" t="s">
        <v>15359</v>
      </c>
      <c r="R4667" s="1" t="s">
        <v>15359</v>
      </c>
      <c r="S4667" s="1"/>
      <c r="T4667" s="1" t="s">
        <v>268</v>
      </c>
      <c r="U4667" s="1"/>
      <c r="V4667" s="1">
        <v>135.2</v>
      </c>
      <c r="W4667" s="1">
        <v>135.2</v>
      </c>
      <c r="X4667" s="1" t="s">
        <v>35</v>
      </c>
      <c r="Y4667" s="1">
        <v>135200</v>
      </c>
      <c r="Z4667" s="1"/>
      <c r="AA4667" s="1">
        <v>135200</v>
      </c>
      <c r="AB4667" s="1"/>
      <c r="AC4667" s="1" t="s">
        <v>36</v>
      </c>
      <c r="AD4667" s="1" t="s">
        <v>15978</v>
      </c>
      <c r="AE4667" s="1" t="s">
        <v>32</v>
      </c>
      <c r="AF4667" s="1" t="s">
        <v>33</v>
      </c>
      <c r="AG4667" s="1" t="s">
        <v>270</v>
      </c>
    </row>
    <row r="4668" spans="1:33">
      <c r="A4668" t="s">
        <v>15979</v>
      </c>
      <c r="C4668" t="s">
        <v>5120</v>
      </c>
      <c r="D4668" t="s">
        <v>154</v>
      </c>
      <c r="E4668" t="s">
        <v>15359</v>
      </c>
      <c r="F4668" t="s">
        <v>10934</v>
      </c>
      <c r="G4668">
        <v>336.0</v>
      </c>
      <c r="H4668">
        <v>336.0</v>
      </c>
      <c r="I4668" t="s">
        <v>2206</v>
      </c>
      <c r="J4668" t="s">
        <v>49</v>
      </c>
      <c r="K4668" t="s">
        <v>31</v>
      </c>
      <c r="L4668" t="s">
        <v>32</v>
      </c>
      <c r="M4668" t="s">
        <v>33</v>
      </c>
      <c r="P4668" s="1" t="s">
        <v>15980</v>
      </c>
      <c r="Q4668" s="1" t="s">
        <v>15359</v>
      </c>
      <c r="R4668" s="1" t="s">
        <v>15359</v>
      </c>
      <c r="S4668" s="1"/>
      <c r="T4668" s="1" t="s">
        <v>5122</v>
      </c>
      <c r="U4668" s="1" t="s">
        <v>5123</v>
      </c>
      <c r="V4668" s="1">
        <v>336.0</v>
      </c>
      <c r="W4668" s="1">
        <v>336.0</v>
      </c>
      <c r="X4668" s="1" t="s">
        <v>35</v>
      </c>
      <c r="Y4668" s="1">
        <v>336000</v>
      </c>
      <c r="Z4668" s="1"/>
      <c r="AA4668" s="1">
        <v>336000</v>
      </c>
      <c r="AB4668" s="1"/>
      <c r="AC4668" s="1" t="s">
        <v>36</v>
      </c>
      <c r="AD4668" s="1" t="s">
        <v>15981</v>
      </c>
      <c r="AE4668" s="1" t="s">
        <v>32</v>
      </c>
      <c r="AF4668" s="1" t="s">
        <v>33</v>
      </c>
      <c r="AG4668" s="1" t="s">
        <v>49</v>
      </c>
    </row>
    <row r="4669" spans="1:33">
      <c r="A4669" t="s">
        <v>15982</v>
      </c>
      <c r="C4669" t="s">
        <v>2938</v>
      </c>
      <c r="E4669" t="s">
        <v>15359</v>
      </c>
      <c r="F4669" t="s">
        <v>10934</v>
      </c>
      <c r="G4669">
        <v>918.25</v>
      </c>
      <c r="H4669">
        <v>918.25</v>
      </c>
      <c r="I4669" t="s">
        <v>269</v>
      </c>
      <c r="J4669" t="s">
        <v>270</v>
      </c>
      <c r="K4669" t="s">
        <v>31</v>
      </c>
      <c r="L4669" t="s">
        <v>32</v>
      </c>
      <c r="M4669" t="s">
        <v>33</v>
      </c>
      <c r="P4669" s="1" t="s">
        <v>15983</v>
      </c>
      <c r="Q4669" s="1" t="s">
        <v>15359</v>
      </c>
      <c r="R4669" s="1" t="s">
        <v>15359</v>
      </c>
      <c r="S4669" s="1"/>
      <c r="T4669" s="1" t="s">
        <v>2938</v>
      </c>
      <c r="U4669" s="1"/>
      <c r="V4669" s="1">
        <v>918.25</v>
      </c>
      <c r="W4669" s="1">
        <v>918.25</v>
      </c>
      <c r="X4669" s="1" t="s">
        <v>35</v>
      </c>
      <c r="Y4669" s="1">
        <v>918250</v>
      </c>
      <c r="Z4669" s="1"/>
      <c r="AA4669" s="1">
        <v>918250</v>
      </c>
      <c r="AB4669" s="1"/>
      <c r="AC4669" s="1" t="s">
        <v>36</v>
      </c>
      <c r="AD4669" s="1" t="s">
        <v>15984</v>
      </c>
      <c r="AE4669" s="1" t="s">
        <v>32</v>
      </c>
      <c r="AF4669" s="1" t="s">
        <v>33</v>
      </c>
      <c r="AG4669" s="1" t="s">
        <v>270</v>
      </c>
    </row>
    <row r="4670" spans="1:33">
      <c r="A4670" t="s">
        <v>15985</v>
      </c>
      <c r="B4670" t="s">
        <v>15986</v>
      </c>
      <c r="C4670" t="s">
        <v>314</v>
      </c>
      <c r="E4670" t="s">
        <v>15359</v>
      </c>
      <c r="F4670" t="s">
        <v>10934</v>
      </c>
      <c r="G4670">
        <v>123.25</v>
      </c>
      <c r="H4670">
        <v>123.25</v>
      </c>
      <c r="I4670" t="s">
        <v>179</v>
      </c>
      <c r="J4670" t="s">
        <v>180</v>
      </c>
      <c r="K4670" t="s">
        <v>31</v>
      </c>
      <c r="L4670" t="s">
        <v>32</v>
      </c>
      <c r="M4670" t="s">
        <v>33</v>
      </c>
      <c r="P4670" s="1" t="s">
        <v>15987</v>
      </c>
      <c r="Q4670" s="1" t="s">
        <v>15359</v>
      </c>
      <c r="R4670" s="1" t="s">
        <v>15359</v>
      </c>
      <c r="S4670" s="1"/>
      <c r="T4670" s="1" t="s">
        <v>314</v>
      </c>
      <c r="U4670" s="1"/>
      <c r="V4670" s="1">
        <v>123.25</v>
      </c>
      <c r="W4670" s="1">
        <v>123.25</v>
      </c>
      <c r="X4670" s="1" t="s">
        <v>35</v>
      </c>
      <c r="Y4670" s="1">
        <v>123250</v>
      </c>
      <c r="Z4670" s="1"/>
      <c r="AA4670" s="1">
        <v>123250</v>
      </c>
      <c r="AB4670" s="1"/>
      <c r="AC4670" s="1" t="s">
        <v>36</v>
      </c>
      <c r="AD4670" s="1" t="s">
        <v>15988</v>
      </c>
      <c r="AE4670" s="1" t="s">
        <v>32</v>
      </c>
      <c r="AF4670" s="1" t="s">
        <v>33</v>
      </c>
      <c r="AG4670" s="1" t="s">
        <v>180</v>
      </c>
    </row>
    <row r="4671" spans="1:33">
      <c r="A4671" t="s">
        <v>15989</v>
      </c>
      <c r="C4671" t="s">
        <v>3250</v>
      </c>
      <c r="E4671" t="s">
        <v>15359</v>
      </c>
      <c r="F4671" t="s">
        <v>10934</v>
      </c>
      <c r="G4671">
        <v>1.185</v>
      </c>
      <c r="H4671">
        <v>1.185</v>
      </c>
      <c r="I4671" t="s">
        <v>269</v>
      </c>
      <c r="J4671" t="s">
        <v>270</v>
      </c>
      <c r="K4671" t="s">
        <v>31</v>
      </c>
      <c r="L4671" t="s">
        <v>32</v>
      </c>
      <c r="M4671" t="s">
        <v>33</v>
      </c>
      <c r="P4671" s="1" t="s">
        <v>15990</v>
      </c>
      <c r="Q4671" s="1" t="s">
        <v>15359</v>
      </c>
      <c r="R4671" s="1" t="s">
        <v>15359</v>
      </c>
      <c r="S4671" s="1"/>
      <c r="T4671" s="1" t="s">
        <v>3252</v>
      </c>
      <c r="U4671" s="1" t="s">
        <v>3253</v>
      </c>
      <c r="V4671" s="1">
        <v>1.185</v>
      </c>
      <c r="W4671" s="1">
        <v>1.185</v>
      </c>
      <c r="X4671" s="1" t="s">
        <v>35</v>
      </c>
      <c r="Y4671" s="1">
        <v>1185000</v>
      </c>
      <c r="Z4671" s="1"/>
      <c r="AA4671" s="1">
        <v>1185000</v>
      </c>
      <c r="AB4671" s="1"/>
      <c r="AC4671" s="1" t="s">
        <v>36</v>
      </c>
      <c r="AD4671" s="1" t="s">
        <v>15991</v>
      </c>
      <c r="AE4671" s="1" t="s">
        <v>32</v>
      </c>
      <c r="AF4671" s="1" t="s">
        <v>33</v>
      </c>
      <c r="AG4671" s="1" t="s">
        <v>270</v>
      </c>
    </row>
    <row r="4672" spans="1:33">
      <c r="A4672" t="s">
        <v>15992</v>
      </c>
      <c r="B4672" t="s">
        <v>15993</v>
      </c>
      <c r="C4672" t="s">
        <v>73</v>
      </c>
      <c r="E4672" t="s">
        <v>15359</v>
      </c>
      <c r="F4672" t="s">
        <v>10934</v>
      </c>
      <c r="G4672">
        <v>20.49</v>
      </c>
      <c r="H4672">
        <v>20.49</v>
      </c>
      <c r="I4672" t="s">
        <v>40</v>
      </c>
      <c r="J4672" t="s">
        <v>41</v>
      </c>
      <c r="K4672" t="s">
        <v>31</v>
      </c>
      <c r="L4672" t="s">
        <v>32</v>
      </c>
      <c r="M4672" t="s">
        <v>33</v>
      </c>
      <c r="P4672" s="1" t="s">
        <v>15994</v>
      </c>
      <c r="Q4672" s="1" t="s">
        <v>15359</v>
      </c>
      <c r="R4672" s="1" t="s">
        <v>14225</v>
      </c>
      <c r="S4672" s="1"/>
      <c r="T4672" s="1" t="s">
        <v>75</v>
      </c>
      <c r="U4672" s="1" t="s">
        <v>76</v>
      </c>
      <c r="V4672" s="1">
        <v>20.49</v>
      </c>
      <c r="W4672" s="1">
        <v>20.49</v>
      </c>
      <c r="X4672" s="1" t="s">
        <v>35</v>
      </c>
      <c r="Y4672" s="1">
        <v>20490</v>
      </c>
      <c r="Z4672" s="1"/>
      <c r="AA4672" s="1">
        <v>20490</v>
      </c>
      <c r="AB4672" s="1"/>
      <c r="AC4672" s="1" t="s">
        <v>36</v>
      </c>
      <c r="AD4672" s="1" t="s">
        <v>15995</v>
      </c>
      <c r="AE4672" s="1" t="s">
        <v>32</v>
      </c>
      <c r="AF4672" s="1" t="s">
        <v>33</v>
      </c>
      <c r="AG4672" s="1" t="s">
        <v>41</v>
      </c>
    </row>
    <row r="4673" spans="1:33">
      <c r="A4673" t="s">
        <v>15996</v>
      </c>
      <c r="C4673" t="s">
        <v>4658</v>
      </c>
      <c r="D4673" t="s">
        <v>154</v>
      </c>
      <c r="E4673" t="s">
        <v>15359</v>
      </c>
      <c r="F4673" t="s">
        <v>10934</v>
      </c>
      <c r="G4673">
        <v>105.0</v>
      </c>
      <c r="H4673">
        <v>105.0</v>
      </c>
      <c r="I4673" t="s">
        <v>94</v>
      </c>
      <c r="J4673" t="s">
        <v>95</v>
      </c>
      <c r="K4673" t="s">
        <v>31</v>
      </c>
      <c r="L4673" t="s">
        <v>32</v>
      </c>
      <c r="M4673" t="s">
        <v>33</v>
      </c>
      <c r="P4673" s="1" t="s">
        <v>15997</v>
      </c>
      <c r="Q4673" s="1" t="s">
        <v>15359</v>
      </c>
      <c r="R4673" s="1" t="s">
        <v>15359</v>
      </c>
      <c r="S4673" s="1"/>
      <c r="T4673" s="1" t="s">
        <v>4658</v>
      </c>
      <c r="U4673" s="1"/>
      <c r="V4673" s="1">
        <v>105.0</v>
      </c>
      <c r="W4673" s="1">
        <v>105.0</v>
      </c>
      <c r="X4673" s="1" t="s">
        <v>35</v>
      </c>
      <c r="Y4673" s="1">
        <v>105000</v>
      </c>
      <c r="Z4673" s="1"/>
      <c r="AA4673" s="1">
        <v>105000</v>
      </c>
      <c r="AB4673" s="1"/>
      <c r="AC4673" s="1" t="s">
        <v>36</v>
      </c>
      <c r="AD4673" s="1" t="s">
        <v>15998</v>
      </c>
      <c r="AE4673" s="1" t="s">
        <v>32</v>
      </c>
      <c r="AF4673" s="1" t="s">
        <v>33</v>
      </c>
      <c r="AG4673" s="1" t="s">
        <v>95</v>
      </c>
    </row>
    <row r="4674" spans="1:33">
      <c r="A4674" t="s">
        <v>15999</v>
      </c>
      <c r="B4674" t="s">
        <v>16000</v>
      </c>
      <c r="C4674" t="s">
        <v>26</v>
      </c>
      <c r="E4674" t="s">
        <v>15359</v>
      </c>
      <c r="F4674" t="s">
        <v>10934</v>
      </c>
      <c r="G4674">
        <v>41.98</v>
      </c>
      <c r="H4674">
        <v>41.98</v>
      </c>
      <c r="I4674" t="s">
        <v>29</v>
      </c>
      <c r="J4674" t="s">
        <v>30</v>
      </c>
      <c r="K4674" t="s">
        <v>31</v>
      </c>
      <c r="L4674" t="s">
        <v>32</v>
      </c>
      <c r="M4674" t="s">
        <v>33</v>
      </c>
      <c r="P4674" s="1" t="s">
        <v>16001</v>
      </c>
      <c r="Q4674" s="1" t="s">
        <v>15359</v>
      </c>
      <c r="R4674" s="1" t="s">
        <v>15359</v>
      </c>
      <c r="S4674" s="1"/>
      <c r="T4674" s="1" t="s">
        <v>26</v>
      </c>
      <c r="U4674" s="1"/>
      <c r="V4674" s="1">
        <v>41.98</v>
      </c>
      <c r="W4674" s="1">
        <v>41.98</v>
      </c>
      <c r="X4674" s="1" t="s">
        <v>35</v>
      </c>
      <c r="Y4674" s="1">
        <v>41980</v>
      </c>
      <c r="Z4674" s="1"/>
      <c r="AA4674" s="1">
        <v>41980</v>
      </c>
      <c r="AB4674" s="1"/>
      <c r="AC4674" s="1" t="s">
        <v>36</v>
      </c>
      <c r="AD4674" s="1" t="s">
        <v>15995</v>
      </c>
      <c r="AE4674" s="1" t="s">
        <v>32</v>
      </c>
      <c r="AF4674" s="1" t="s">
        <v>33</v>
      </c>
      <c r="AG4674" s="1" t="s">
        <v>30</v>
      </c>
    </row>
    <row r="4675" spans="1:33">
      <c r="A4675" t="s">
        <v>16002</v>
      </c>
      <c r="B4675" t="s">
        <v>16003</v>
      </c>
      <c r="C4675" t="s">
        <v>47</v>
      </c>
      <c r="E4675" t="s">
        <v>15359</v>
      </c>
      <c r="F4675" t="s">
        <v>10934</v>
      </c>
      <c r="G4675">
        <v>68.57</v>
      </c>
      <c r="H4675">
        <v>68.57</v>
      </c>
      <c r="I4675" t="s">
        <v>2206</v>
      </c>
      <c r="J4675" t="s">
        <v>49</v>
      </c>
      <c r="K4675" t="s">
        <v>31</v>
      </c>
      <c r="L4675" t="s">
        <v>32</v>
      </c>
      <c r="M4675" t="s">
        <v>33</v>
      </c>
      <c r="P4675" s="1" t="s">
        <v>16004</v>
      </c>
      <c r="Q4675" s="1" t="s">
        <v>15359</v>
      </c>
      <c r="R4675" s="1" t="s">
        <v>15359</v>
      </c>
      <c r="S4675" s="1"/>
      <c r="T4675" s="1" t="s">
        <v>47</v>
      </c>
      <c r="U4675" s="1"/>
      <c r="V4675" s="1">
        <v>68.57</v>
      </c>
      <c r="W4675" s="1">
        <v>68.57</v>
      </c>
      <c r="X4675" s="1" t="s">
        <v>35</v>
      </c>
      <c r="Y4675" s="1">
        <v>68570</v>
      </c>
      <c r="Z4675" s="1"/>
      <c r="AA4675" s="1">
        <v>68570</v>
      </c>
      <c r="AB4675" s="1"/>
      <c r="AC4675" s="1" t="s">
        <v>36</v>
      </c>
      <c r="AD4675" s="1" t="s">
        <v>15995</v>
      </c>
      <c r="AE4675" s="1" t="s">
        <v>32</v>
      </c>
      <c r="AF4675" s="1" t="s">
        <v>33</v>
      </c>
      <c r="AG4675" s="1" t="s">
        <v>49</v>
      </c>
    </row>
    <row r="4676" spans="1:33">
      <c r="A4676" t="s">
        <v>16005</v>
      </c>
      <c r="C4676" t="s">
        <v>14353</v>
      </c>
      <c r="E4676" t="s">
        <v>15359</v>
      </c>
      <c r="F4676" t="s">
        <v>10934</v>
      </c>
      <c r="G4676">
        <v>320.0</v>
      </c>
      <c r="H4676">
        <v>320.0</v>
      </c>
      <c r="I4676" t="s">
        <v>40</v>
      </c>
      <c r="J4676" t="s">
        <v>41</v>
      </c>
      <c r="K4676" t="s">
        <v>31</v>
      </c>
      <c r="L4676" t="s">
        <v>32</v>
      </c>
      <c r="M4676" t="s">
        <v>33</v>
      </c>
      <c r="P4676" s="1" t="s">
        <v>16006</v>
      </c>
      <c r="Q4676" s="1" t="s">
        <v>15359</v>
      </c>
      <c r="R4676" s="1" t="s">
        <v>14225</v>
      </c>
      <c r="S4676" s="1"/>
      <c r="T4676" s="1" t="s">
        <v>14353</v>
      </c>
      <c r="U4676" s="1"/>
      <c r="V4676" s="1">
        <v>320.0</v>
      </c>
      <c r="W4676" s="1">
        <v>320.0</v>
      </c>
      <c r="X4676" s="1" t="s">
        <v>35</v>
      </c>
      <c r="Y4676" s="1">
        <v>320000</v>
      </c>
      <c r="Z4676" s="1"/>
      <c r="AA4676" s="1">
        <v>320000</v>
      </c>
      <c r="AB4676" s="1"/>
      <c r="AC4676" s="1" t="s">
        <v>36</v>
      </c>
      <c r="AD4676" s="1" t="s">
        <v>16007</v>
      </c>
      <c r="AE4676" s="1" t="s">
        <v>32</v>
      </c>
      <c r="AF4676" s="1" t="s">
        <v>33</v>
      </c>
      <c r="AG4676" s="1" t="s">
        <v>41</v>
      </c>
    </row>
    <row r="4677" spans="1:33">
      <c r="A4677" t="s">
        <v>16008</v>
      </c>
      <c r="B4677" t="s">
        <v>7903</v>
      </c>
      <c r="C4677" t="s">
        <v>314</v>
      </c>
      <c r="E4677" t="s">
        <v>15359</v>
      </c>
      <c r="F4677" t="s">
        <v>10934</v>
      </c>
      <c r="G4677">
        <v>24.56</v>
      </c>
      <c r="H4677">
        <v>24.56</v>
      </c>
      <c r="I4677" t="s">
        <v>179</v>
      </c>
      <c r="J4677" t="s">
        <v>180</v>
      </c>
      <c r="K4677" t="s">
        <v>31</v>
      </c>
      <c r="L4677" t="s">
        <v>32</v>
      </c>
      <c r="M4677" t="s">
        <v>33</v>
      </c>
      <c r="P4677" s="1" t="s">
        <v>16009</v>
      </c>
      <c r="Q4677" s="1" t="s">
        <v>15359</v>
      </c>
      <c r="R4677" s="1" t="s">
        <v>15359</v>
      </c>
      <c r="S4677" s="1"/>
      <c r="T4677" s="1" t="s">
        <v>314</v>
      </c>
      <c r="U4677" s="1"/>
      <c r="V4677" s="1">
        <v>24.56</v>
      </c>
      <c r="W4677" s="1">
        <v>24.56</v>
      </c>
      <c r="X4677" s="1" t="s">
        <v>35</v>
      </c>
      <c r="Y4677" s="1">
        <v>24560</v>
      </c>
      <c r="Z4677" s="1"/>
      <c r="AA4677" s="1">
        <v>24560</v>
      </c>
      <c r="AB4677" s="1"/>
      <c r="AC4677" s="1" t="s">
        <v>36</v>
      </c>
      <c r="AD4677" s="1" t="s">
        <v>16010</v>
      </c>
      <c r="AE4677" s="1" t="s">
        <v>32</v>
      </c>
      <c r="AF4677" s="1" t="s">
        <v>33</v>
      </c>
      <c r="AG4677" s="1" t="s">
        <v>180</v>
      </c>
    </row>
    <row r="4678" spans="1:33">
      <c r="A4678" t="s">
        <v>16011</v>
      </c>
      <c r="C4678" t="s">
        <v>11581</v>
      </c>
      <c r="E4678" t="s">
        <v>15359</v>
      </c>
      <c r="F4678" t="s">
        <v>10934</v>
      </c>
      <c r="G4678">
        <v>693.0</v>
      </c>
      <c r="H4678">
        <v>693.0</v>
      </c>
      <c r="I4678" t="s">
        <v>40</v>
      </c>
      <c r="J4678" t="s">
        <v>41</v>
      </c>
      <c r="K4678" t="s">
        <v>31</v>
      </c>
      <c r="L4678" t="s">
        <v>32</v>
      </c>
      <c r="M4678" t="s">
        <v>33</v>
      </c>
      <c r="P4678" s="1" t="s">
        <v>16012</v>
      </c>
      <c r="Q4678" s="1" t="s">
        <v>15359</v>
      </c>
      <c r="R4678" s="1" t="s">
        <v>14225</v>
      </c>
      <c r="S4678" s="1"/>
      <c r="T4678" s="1" t="s">
        <v>11581</v>
      </c>
      <c r="U4678" s="1"/>
      <c r="V4678" s="1">
        <v>693.0</v>
      </c>
      <c r="W4678" s="1">
        <v>693.0</v>
      </c>
      <c r="X4678" s="1" t="s">
        <v>35</v>
      </c>
      <c r="Y4678" s="1">
        <v>693000</v>
      </c>
      <c r="Z4678" s="1"/>
      <c r="AA4678" s="1">
        <v>693000</v>
      </c>
      <c r="AB4678" s="1"/>
      <c r="AC4678" s="1" t="s">
        <v>36</v>
      </c>
      <c r="AD4678" s="1" t="s">
        <v>16013</v>
      </c>
      <c r="AE4678" s="1" t="s">
        <v>32</v>
      </c>
      <c r="AF4678" s="1" t="s">
        <v>33</v>
      </c>
      <c r="AG4678" s="1" t="s">
        <v>41</v>
      </c>
    </row>
    <row r="4679" spans="1:33">
      <c r="A4679" t="s">
        <v>16014</v>
      </c>
      <c r="C4679" t="s">
        <v>226</v>
      </c>
      <c r="E4679" t="s">
        <v>15359</v>
      </c>
      <c r="F4679" t="s">
        <v>10934</v>
      </c>
      <c r="G4679">
        <v>424.3</v>
      </c>
      <c r="H4679">
        <v>424.3</v>
      </c>
      <c r="I4679" t="s">
        <v>227</v>
      </c>
      <c r="J4679" t="s">
        <v>228</v>
      </c>
      <c r="K4679" t="s">
        <v>31</v>
      </c>
      <c r="L4679" t="s">
        <v>32</v>
      </c>
      <c r="M4679" t="s">
        <v>33</v>
      </c>
      <c r="P4679" s="1" t="s">
        <v>16015</v>
      </c>
      <c r="Q4679" s="1" t="s">
        <v>15359</v>
      </c>
      <c r="R4679" s="1" t="s">
        <v>15359</v>
      </c>
      <c r="S4679" s="1"/>
      <c r="T4679" s="1" t="s">
        <v>226</v>
      </c>
      <c r="U4679" s="1"/>
      <c r="V4679" s="1">
        <v>424.3</v>
      </c>
      <c r="W4679" s="1">
        <v>424.3</v>
      </c>
      <c r="X4679" s="1" t="s">
        <v>35</v>
      </c>
      <c r="Y4679" s="1">
        <v>424300</v>
      </c>
      <c r="Z4679" s="1"/>
      <c r="AA4679" s="1">
        <v>424300</v>
      </c>
      <c r="AB4679" s="1"/>
      <c r="AC4679" s="1" t="s">
        <v>36</v>
      </c>
      <c r="AD4679" s="1" t="s">
        <v>16016</v>
      </c>
      <c r="AE4679" s="1" t="s">
        <v>32</v>
      </c>
      <c r="AF4679" s="1" t="s">
        <v>33</v>
      </c>
      <c r="AG4679" s="1" t="s">
        <v>228</v>
      </c>
    </row>
    <row r="4680" spans="1:33">
      <c r="A4680" t="s">
        <v>16017</v>
      </c>
      <c r="B4680" t="s">
        <v>16018</v>
      </c>
      <c r="C4680" t="s">
        <v>73</v>
      </c>
      <c r="E4680" t="s">
        <v>15359</v>
      </c>
      <c r="F4680" t="s">
        <v>10934</v>
      </c>
      <c r="G4680">
        <v>90.0</v>
      </c>
      <c r="H4680">
        <v>90.0</v>
      </c>
      <c r="I4680" t="s">
        <v>40</v>
      </c>
      <c r="J4680" t="s">
        <v>41</v>
      </c>
      <c r="K4680" t="s">
        <v>31</v>
      </c>
      <c r="L4680" t="s">
        <v>32</v>
      </c>
      <c r="M4680" t="s">
        <v>33</v>
      </c>
      <c r="P4680" s="1" t="s">
        <v>16019</v>
      </c>
      <c r="Q4680" s="1" t="s">
        <v>15359</v>
      </c>
      <c r="R4680" s="1" t="s">
        <v>14225</v>
      </c>
      <c r="S4680" s="1"/>
      <c r="T4680" s="1" t="s">
        <v>75</v>
      </c>
      <c r="U4680" s="1" t="s">
        <v>76</v>
      </c>
      <c r="V4680" s="1">
        <v>90.0</v>
      </c>
      <c r="W4680" s="1">
        <v>90.0</v>
      </c>
      <c r="X4680" s="1" t="s">
        <v>35</v>
      </c>
      <c r="Y4680" s="1">
        <v>90000</v>
      </c>
      <c r="Z4680" s="1"/>
      <c r="AA4680" s="1">
        <v>90000</v>
      </c>
      <c r="AB4680" s="1"/>
      <c r="AC4680" s="1" t="s">
        <v>36</v>
      </c>
      <c r="AD4680" s="1" t="s">
        <v>16020</v>
      </c>
      <c r="AE4680" s="1" t="s">
        <v>32</v>
      </c>
      <c r="AF4680" s="1" t="s">
        <v>33</v>
      </c>
      <c r="AG4680" s="1" t="s">
        <v>41</v>
      </c>
    </row>
    <row r="4681" spans="1:33">
      <c r="A4681" t="s">
        <v>16021</v>
      </c>
      <c r="C4681" t="s">
        <v>6795</v>
      </c>
      <c r="D4681" t="s">
        <v>114</v>
      </c>
      <c r="E4681" t="s">
        <v>15359</v>
      </c>
      <c r="F4681" t="s">
        <v>10934</v>
      </c>
      <c r="G4681">
        <v>1.026</v>
      </c>
      <c r="H4681">
        <v>1.026</v>
      </c>
      <c r="I4681" t="s">
        <v>227</v>
      </c>
      <c r="J4681" t="s">
        <v>228</v>
      </c>
      <c r="K4681" t="s">
        <v>31</v>
      </c>
      <c r="L4681" t="s">
        <v>32</v>
      </c>
      <c r="M4681" t="s">
        <v>33</v>
      </c>
      <c r="P4681" s="1" t="s">
        <v>16022</v>
      </c>
      <c r="Q4681" s="1" t="s">
        <v>15359</v>
      </c>
      <c r="R4681" s="1" t="s">
        <v>15359</v>
      </c>
      <c r="S4681" s="1"/>
      <c r="T4681" s="1" t="s">
        <v>6795</v>
      </c>
      <c r="U4681" s="1"/>
      <c r="V4681" s="1">
        <v>1.026</v>
      </c>
      <c r="W4681" s="1">
        <v>1.026</v>
      </c>
      <c r="X4681" s="1" t="s">
        <v>35</v>
      </c>
      <c r="Y4681" s="1">
        <v>1026500</v>
      </c>
      <c r="Z4681" s="1"/>
      <c r="AA4681" s="1">
        <v>1026500</v>
      </c>
      <c r="AB4681" s="1"/>
      <c r="AC4681" s="1" t="s">
        <v>36</v>
      </c>
      <c r="AD4681" s="1" t="s">
        <v>16023</v>
      </c>
      <c r="AE4681" s="1" t="s">
        <v>32</v>
      </c>
      <c r="AF4681" s="1" t="s">
        <v>33</v>
      </c>
      <c r="AG4681" s="1" t="s">
        <v>228</v>
      </c>
    </row>
    <row r="4682" spans="1:33">
      <c r="A4682" t="s">
        <v>16024</v>
      </c>
      <c r="B4682" t="s">
        <v>7117</v>
      </c>
      <c r="C4682" t="s">
        <v>47</v>
      </c>
      <c r="E4682" t="s">
        <v>15359</v>
      </c>
      <c r="F4682" t="s">
        <v>10934</v>
      </c>
      <c r="G4682">
        <v>80.98</v>
      </c>
      <c r="H4682">
        <v>80.98</v>
      </c>
      <c r="I4682" t="s">
        <v>2206</v>
      </c>
      <c r="J4682" t="s">
        <v>49</v>
      </c>
      <c r="K4682" t="s">
        <v>31</v>
      </c>
      <c r="L4682" t="s">
        <v>32</v>
      </c>
      <c r="M4682" t="s">
        <v>33</v>
      </c>
      <c r="P4682" s="1" t="s">
        <v>16025</v>
      </c>
      <c r="Q4682" s="1" t="s">
        <v>15359</v>
      </c>
      <c r="R4682" s="1" t="s">
        <v>15359</v>
      </c>
      <c r="S4682" s="1"/>
      <c r="T4682" s="1" t="s">
        <v>47</v>
      </c>
      <c r="U4682" s="1"/>
      <c r="V4682" s="1">
        <v>80.98</v>
      </c>
      <c r="W4682" s="1">
        <v>80.98</v>
      </c>
      <c r="X4682" s="1" t="s">
        <v>35</v>
      </c>
      <c r="Y4682" s="1">
        <v>80980</v>
      </c>
      <c r="Z4682" s="1"/>
      <c r="AA4682" s="1">
        <v>80980</v>
      </c>
      <c r="AB4682" s="1"/>
      <c r="AC4682" s="1" t="s">
        <v>36</v>
      </c>
      <c r="AD4682" s="1" t="s">
        <v>16026</v>
      </c>
      <c r="AE4682" s="1" t="s">
        <v>32</v>
      </c>
      <c r="AF4682" s="1" t="s">
        <v>33</v>
      </c>
      <c r="AG4682" s="1" t="s">
        <v>49</v>
      </c>
    </row>
    <row r="4683" spans="1:33">
      <c r="A4683" t="s">
        <v>16027</v>
      </c>
      <c r="B4683" t="s">
        <v>16028</v>
      </c>
      <c r="C4683" t="s">
        <v>47</v>
      </c>
      <c r="E4683" t="s">
        <v>10324</v>
      </c>
      <c r="F4683" t="s">
        <v>10325</v>
      </c>
      <c r="G4683">
        <v>19.49</v>
      </c>
      <c r="H4683">
        <v>19.49</v>
      </c>
      <c r="I4683" t="s">
        <v>2206</v>
      </c>
      <c r="J4683" t="s">
        <v>49</v>
      </c>
      <c r="K4683" t="s">
        <v>31</v>
      </c>
      <c r="L4683" t="s">
        <v>32</v>
      </c>
      <c r="M4683" t="s">
        <v>33</v>
      </c>
      <c r="P4683" s="1" t="s">
        <v>16029</v>
      </c>
      <c r="Q4683" s="1" t="s">
        <v>15359</v>
      </c>
      <c r="R4683" s="1" t="s">
        <v>15359</v>
      </c>
      <c r="S4683" s="1"/>
      <c r="T4683" s="1" t="s">
        <v>47</v>
      </c>
      <c r="U4683" s="1"/>
      <c r="V4683" s="1">
        <v>19.49</v>
      </c>
      <c r="W4683" s="1">
        <v>19.49</v>
      </c>
      <c r="X4683" s="1" t="s">
        <v>35</v>
      </c>
      <c r="Y4683" s="1">
        <v>19490</v>
      </c>
      <c r="Z4683" s="1"/>
      <c r="AA4683" s="1">
        <v>19490</v>
      </c>
      <c r="AB4683" s="1"/>
      <c r="AC4683" s="1" t="s">
        <v>36</v>
      </c>
      <c r="AD4683" s="1" t="s">
        <v>16020</v>
      </c>
      <c r="AE4683" s="1" t="s">
        <v>32</v>
      </c>
      <c r="AF4683" s="1" t="s">
        <v>33</v>
      </c>
      <c r="AG4683" s="1" t="s">
        <v>49</v>
      </c>
    </row>
    <row r="4684" spans="1:33">
      <c r="A4684" t="s">
        <v>16030</v>
      </c>
      <c r="C4684" t="s">
        <v>8208</v>
      </c>
      <c r="E4684" t="s">
        <v>15359</v>
      </c>
      <c r="F4684" t="s">
        <v>10934</v>
      </c>
      <c r="G4684">
        <v>2.52</v>
      </c>
      <c r="H4684">
        <v>2.52</v>
      </c>
      <c r="I4684" t="s">
        <v>269</v>
      </c>
      <c r="J4684" t="s">
        <v>270</v>
      </c>
      <c r="K4684" t="s">
        <v>31</v>
      </c>
      <c r="L4684" t="s">
        <v>32</v>
      </c>
      <c r="M4684" t="s">
        <v>33</v>
      </c>
      <c r="P4684" s="1" t="s">
        <v>16031</v>
      </c>
      <c r="Q4684" s="1" t="s">
        <v>15359</v>
      </c>
      <c r="R4684" s="1" t="s">
        <v>15359</v>
      </c>
      <c r="S4684" s="1"/>
      <c r="T4684" s="1" t="s">
        <v>8208</v>
      </c>
      <c r="U4684" s="1"/>
      <c r="V4684" s="1">
        <v>2.52</v>
      </c>
      <c r="W4684" s="1">
        <v>2.52</v>
      </c>
      <c r="X4684" s="1" t="s">
        <v>35</v>
      </c>
      <c r="Y4684" s="1">
        <v>2520000</v>
      </c>
      <c r="Z4684" s="1"/>
      <c r="AA4684" s="1">
        <v>2520000</v>
      </c>
      <c r="AB4684" s="1"/>
      <c r="AC4684" s="1" t="s">
        <v>36</v>
      </c>
      <c r="AD4684" s="1" t="s">
        <v>16032</v>
      </c>
      <c r="AE4684" s="1" t="s">
        <v>32</v>
      </c>
      <c r="AF4684" s="1" t="s">
        <v>33</v>
      </c>
      <c r="AG4684" s="1" t="s">
        <v>270</v>
      </c>
    </row>
    <row r="4685" spans="1:33">
      <c r="A4685" t="s">
        <v>16033</v>
      </c>
      <c r="B4685" t="s">
        <v>1201</v>
      </c>
      <c r="C4685" t="s">
        <v>172</v>
      </c>
      <c r="E4685" t="s">
        <v>15359</v>
      </c>
      <c r="F4685" t="s">
        <v>10934</v>
      </c>
      <c r="G4685">
        <v>32.49</v>
      </c>
      <c r="H4685">
        <v>32.49</v>
      </c>
      <c r="I4685" t="s">
        <v>173</v>
      </c>
      <c r="J4685" t="s">
        <v>174</v>
      </c>
      <c r="K4685" t="s">
        <v>31</v>
      </c>
      <c r="L4685" t="s">
        <v>32</v>
      </c>
      <c r="M4685" t="s">
        <v>33</v>
      </c>
      <c r="P4685" s="1" t="s">
        <v>16034</v>
      </c>
      <c r="Q4685" s="1" t="s">
        <v>15359</v>
      </c>
      <c r="R4685" s="1" t="s">
        <v>15359</v>
      </c>
      <c r="S4685" s="1"/>
      <c r="T4685" s="1" t="s">
        <v>172</v>
      </c>
      <c r="U4685" s="1"/>
      <c r="V4685" s="1">
        <v>32.49</v>
      </c>
      <c r="W4685" s="1">
        <v>32.49</v>
      </c>
      <c r="X4685" s="1" t="s">
        <v>35</v>
      </c>
      <c r="Y4685" s="1">
        <v>32490</v>
      </c>
      <c r="Z4685" s="1"/>
      <c r="AA4685" s="1">
        <v>32490</v>
      </c>
      <c r="AB4685" s="1"/>
      <c r="AC4685" s="1" t="s">
        <v>36</v>
      </c>
      <c r="AD4685" s="1" t="s">
        <v>16035</v>
      </c>
      <c r="AE4685" s="1" t="s">
        <v>32</v>
      </c>
      <c r="AF4685" s="1" t="s">
        <v>33</v>
      </c>
      <c r="AG4685" s="1" t="s">
        <v>174</v>
      </c>
    </row>
    <row r="4686" spans="1:33">
      <c r="A4686" t="s">
        <v>16036</v>
      </c>
      <c r="B4686" t="s">
        <v>16037</v>
      </c>
      <c r="C4686" t="s">
        <v>314</v>
      </c>
      <c r="E4686" t="s">
        <v>15359</v>
      </c>
      <c r="F4686" t="s">
        <v>10934</v>
      </c>
      <c r="G4686">
        <v>18.59</v>
      </c>
      <c r="H4686">
        <v>18.59</v>
      </c>
      <c r="I4686" t="s">
        <v>179</v>
      </c>
      <c r="J4686" t="s">
        <v>180</v>
      </c>
      <c r="K4686" t="s">
        <v>31</v>
      </c>
      <c r="L4686" t="s">
        <v>32</v>
      </c>
      <c r="M4686" t="s">
        <v>33</v>
      </c>
      <c r="P4686" s="1" t="s">
        <v>16038</v>
      </c>
      <c r="Q4686" s="1" t="s">
        <v>15359</v>
      </c>
      <c r="R4686" s="1" t="s">
        <v>15359</v>
      </c>
      <c r="S4686" s="1"/>
      <c r="T4686" s="1" t="s">
        <v>314</v>
      </c>
      <c r="U4686" s="1"/>
      <c r="V4686" s="1">
        <v>18.59</v>
      </c>
      <c r="W4686" s="1">
        <v>18.59</v>
      </c>
      <c r="X4686" s="1" t="s">
        <v>35</v>
      </c>
      <c r="Y4686" s="1">
        <v>18590</v>
      </c>
      <c r="Z4686" s="1"/>
      <c r="AA4686" s="1">
        <v>18590</v>
      </c>
      <c r="AB4686" s="1"/>
      <c r="AC4686" s="1" t="s">
        <v>36</v>
      </c>
      <c r="AD4686" s="1" t="s">
        <v>16039</v>
      </c>
      <c r="AE4686" s="1" t="s">
        <v>32</v>
      </c>
      <c r="AF4686" s="1" t="s">
        <v>33</v>
      </c>
      <c r="AG4686" s="1" t="s">
        <v>180</v>
      </c>
    </row>
    <row r="4687" spans="1:33">
      <c r="A4687" t="s">
        <v>16040</v>
      </c>
      <c r="B4687" t="s">
        <v>16041</v>
      </c>
      <c r="C4687" t="s">
        <v>47</v>
      </c>
      <c r="E4687" t="s">
        <v>10324</v>
      </c>
      <c r="F4687" t="s">
        <v>10325</v>
      </c>
      <c r="G4687">
        <v>11.0</v>
      </c>
      <c r="H4687">
        <v>11.0</v>
      </c>
      <c r="I4687" t="s">
        <v>2206</v>
      </c>
      <c r="J4687" t="s">
        <v>49</v>
      </c>
      <c r="K4687" t="s">
        <v>31</v>
      </c>
      <c r="L4687" t="s">
        <v>32</v>
      </c>
      <c r="M4687" t="s">
        <v>33</v>
      </c>
      <c r="P4687" s="1" t="s">
        <v>16042</v>
      </c>
      <c r="Q4687" s="1" t="s">
        <v>15359</v>
      </c>
      <c r="R4687" s="1" t="s">
        <v>15359</v>
      </c>
      <c r="S4687" s="1"/>
      <c r="T4687" s="1" t="s">
        <v>47</v>
      </c>
      <c r="U4687" s="1"/>
      <c r="V4687" s="1">
        <v>11.0</v>
      </c>
      <c r="W4687" s="1">
        <v>11.0</v>
      </c>
      <c r="X4687" s="1" t="s">
        <v>35</v>
      </c>
      <c r="Y4687" s="1">
        <v>11000</v>
      </c>
      <c r="Z4687" s="1"/>
      <c r="AA4687" s="1">
        <v>11000</v>
      </c>
      <c r="AB4687" s="1"/>
      <c r="AC4687" s="1" t="s">
        <v>36</v>
      </c>
      <c r="AD4687" s="1" t="s">
        <v>16043</v>
      </c>
      <c r="AE4687" s="1" t="s">
        <v>32</v>
      </c>
      <c r="AF4687" s="1" t="s">
        <v>33</v>
      </c>
      <c r="AG4687" s="1" t="s">
        <v>49</v>
      </c>
    </row>
    <row r="4688" spans="1:33">
      <c r="A4688" t="s">
        <v>16044</v>
      </c>
      <c r="C4688" t="s">
        <v>4236</v>
      </c>
      <c r="E4688" t="s">
        <v>15359</v>
      </c>
      <c r="F4688" t="s">
        <v>10934</v>
      </c>
      <c r="G4688">
        <v>381.6</v>
      </c>
      <c r="H4688">
        <v>381.6</v>
      </c>
      <c r="I4688" t="s">
        <v>179</v>
      </c>
      <c r="J4688" t="s">
        <v>180</v>
      </c>
      <c r="K4688" t="s">
        <v>31</v>
      </c>
      <c r="L4688" t="s">
        <v>32</v>
      </c>
      <c r="M4688" t="s">
        <v>33</v>
      </c>
      <c r="P4688" s="1" t="s">
        <v>16045</v>
      </c>
      <c r="Q4688" s="1" t="s">
        <v>15359</v>
      </c>
      <c r="R4688" s="1" t="s">
        <v>15359</v>
      </c>
      <c r="S4688" s="1"/>
      <c r="T4688" s="1" t="s">
        <v>4236</v>
      </c>
      <c r="U4688" s="1"/>
      <c r="V4688" s="1">
        <v>381.6</v>
      </c>
      <c r="W4688" s="1">
        <v>381.6</v>
      </c>
      <c r="X4688" s="1" t="s">
        <v>35</v>
      </c>
      <c r="Y4688" s="1">
        <v>381600</v>
      </c>
      <c r="Z4688" s="1"/>
      <c r="AA4688" s="1">
        <v>381600</v>
      </c>
      <c r="AB4688" s="1"/>
      <c r="AC4688" s="1" t="s">
        <v>36</v>
      </c>
      <c r="AD4688" s="1" t="s">
        <v>16046</v>
      </c>
      <c r="AE4688" s="1" t="s">
        <v>32</v>
      </c>
      <c r="AF4688" s="1" t="s">
        <v>33</v>
      </c>
      <c r="AG4688" s="1" t="s">
        <v>180</v>
      </c>
    </row>
    <row r="4689" spans="1:33">
      <c r="A4689" t="s">
        <v>16047</v>
      </c>
      <c r="B4689" t="s">
        <v>16048</v>
      </c>
      <c r="C4689" t="s">
        <v>47</v>
      </c>
      <c r="E4689" t="s">
        <v>15359</v>
      </c>
      <c r="F4689" t="s">
        <v>10934</v>
      </c>
      <c r="G4689">
        <v>12.894</v>
      </c>
      <c r="H4689">
        <v>12.894</v>
      </c>
      <c r="I4689" t="s">
        <v>2206</v>
      </c>
      <c r="J4689" t="s">
        <v>49</v>
      </c>
      <c r="K4689" t="s">
        <v>31</v>
      </c>
      <c r="L4689" t="s">
        <v>32</v>
      </c>
      <c r="M4689" t="s">
        <v>33</v>
      </c>
      <c r="P4689" s="1" t="s">
        <v>16049</v>
      </c>
      <c r="Q4689" s="1" t="s">
        <v>15359</v>
      </c>
      <c r="R4689" s="1" t="s">
        <v>15359</v>
      </c>
      <c r="S4689" s="1"/>
      <c r="T4689" s="1" t="s">
        <v>47</v>
      </c>
      <c r="U4689" s="1"/>
      <c r="V4689" s="1">
        <v>12.894</v>
      </c>
      <c r="W4689" s="1">
        <v>12.894</v>
      </c>
      <c r="X4689" s="1" t="s">
        <v>35</v>
      </c>
      <c r="Y4689" s="1">
        <v>12894</v>
      </c>
      <c r="Z4689" s="1"/>
      <c r="AA4689" s="1">
        <v>12894</v>
      </c>
      <c r="AB4689" s="1"/>
      <c r="AC4689" s="1" t="s">
        <v>36</v>
      </c>
      <c r="AD4689" s="1" t="s">
        <v>16050</v>
      </c>
      <c r="AE4689" s="1" t="s">
        <v>32</v>
      </c>
      <c r="AF4689" s="1" t="s">
        <v>33</v>
      </c>
      <c r="AG4689" s="1" t="s">
        <v>49</v>
      </c>
    </row>
    <row r="4690" spans="1:33">
      <c r="A4690" t="s">
        <v>16051</v>
      </c>
      <c r="B4690" t="s">
        <v>16028</v>
      </c>
      <c r="C4690" t="s">
        <v>47</v>
      </c>
      <c r="E4690" t="s">
        <v>15359</v>
      </c>
      <c r="F4690" t="s">
        <v>10934</v>
      </c>
      <c r="G4690">
        <v>3.499</v>
      </c>
      <c r="H4690">
        <v>3.499</v>
      </c>
      <c r="I4690" t="s">
        <v>2206</v>
      </c>
      <c r="J4690" t="s">
        <v>49</v>
      </c>
      <c r="K4690" t="s">
        <v>31</v>
      </c>
      <c r="L4690" t="s">
        <v>32</v>
      </c>
      <c r="M4690" t="s">
        <v>33</v>
      </c>
      <c r="P4690" s="1" t="s">
        <v>16052</v>
      </c>
      <c r="Q4690" s="1" t="s">
        <v>15359</v>
      </c>
      <c r="R4690" s="1" t="s">
        <v>15359</v>
      </c>
      <c r="S4690" s="1"/>
      <c r="T4690" s="1" t="s">
        <v>47</v>
      </c>
      <c r="U4690" s="1"/>
      <c r="V4690" s="1">
        <v>3.499</v>
      </c>
      <c r="W4690" s="1">
        <v>3.499</v>
      </c>
      <c r="X4690" s="1" t="s">
        <v>35</v>
      </c>
      <c r="Y4690" s="1">
        <v>3499</v>
      </c>
      <c r="Z4690" s="1"/>
      <c r="AA4690" s="1">
        <v>3499</v>
      </c>
      <c r="AB4690" s="1"/>
      <c r="AC4690" s="1" t="s">
        <v>36</v>
      </c>
      <c r="AD4690" s="1" t="s">
        <v>16053</v>
      </c>
      <c r="AE4690" s="1" t="s">
        <v>32</v>
      </c>
      <c r="AF4690" s="1" t="s">
        <v>33</v>
      </c>
      <c r="AG4690" s="1" t="s">
        <v>49</v>
      </c>
    </row>
    <row r="4691" spans="1:33">
      <c r="A4691" t="s">
        <v>16054</v>
      </c>
      <c r="C4691" t="s">
        <v>8086</v>
      </c>
      <c r="E4691" t="s">
        <v>15359</v>
      </c>
      <c r="F4691" t="s">
        <v>10934</v>
      </c>
      <c r="G4691">
        <v>4.92</v>
      </c>
      <c r="H4691">
        <v>4.92</v>
      </c>
      <c r="I4691" t="s">
        <v>269</v>
      </c>
      <c r="J4691" t="s">
        <v>270</v>
      </c>
      <c r="K4691" t="s">
        <v>31</v>
      </c>
      <c r="L4691" t="s">
        <v>32</v>
      </c>
      <c r="M4691" t="s">
        <v>33</v>
      </c>
      <c r="P4691" s="1" t="s">
        <v>16055</v>
      </c>
      <c r="Q4691" s="1" t="s">
        <v>15359</v>
      </c>
      <c r="R4691" s="1" t="s">
        <v>15359</v>
      </c>
      <c r="S4691" s="1"/>
      <c r="T4691" s="1" t="s">
        <v>8086</v>
      </c>
      <c r="U4691" s="1"/>
      <c r="V4691" s="1">
        <v>4.92</v>
      </c>
      <c r="W4691" s="1">
        <v>4.92</v>
      </c>
      <c r="X4691" s="1" t="s">
        <v>35</v>
      </c>
      <c r="Y4691" s="1">
        <v>4920000</v>
      </c>
      <c r="Z4691" s="1"/>
      <c r="AA4691" s="1">
        <v>4920000</v>
      </c>
      <c r="AB4691" s="1"/>
      <c r="AC4691" s="1" t="s">
        <v>36</v>
      </c>
      <c r="AD4691" s="1" t="s">
        <v>16050</v>
      </c>
      <c r="AE4691" s="1" t="s">
        <v>32</v>
      </c>
      <c r="AF4691" s="1" t="s">
        <v>33</v>
      </c>
      <c r="AG4691" s="1" t="s">
        <v>270</v>
      </c>
    </row>
    <row r="4692" spans="1:33">
      <c r="A4692" t="s">
        <v>16056</v>
      </c>
      <c r="B4692" t="s">
        <v>16057</v>
      </c>
      <c r="C4692" t="s">
        <v>12184</v>
      </c>
      <c r="E4692" t="s">
        <v>15359</v>
      </c>
      <c r="F4692" t="s">
        <v>10934</v>
      </c>
      <c r="G4692">
        <v>790.0</v>
      </c>
      <c r="H4692">
        <v>790.0</v>
      </c>
      <c r="I4692" t="s">
        <v>29</v>
      </c>
      <c r="J4692" t="s">
        <v>30</v>
      </c>
      <c r="K4692" t="s">
        <v>31</v>
      </c>
      <c r="L4692" t="s">
        <v>32</v>
      </c>
      <c r="M4692" t="s">
        <v>33</v>
      </c>
      <c r="P4692" s="1" t="s">
        <v>16058</v>
      </c>
      <c r="Q4692" s="1" t="s">
        <v>15359</v>
      </c>
      <c r="R4692" s="1" t="s">
        <v>15359</v>
      </c>
      <c r="S4692" s="1"/>
      <c r="T4692" s="1" t="s">
        <v>12184</v>
      </c>
      <c r="U4692" s="1"/>
      <c r="V4692" s="1">
        <v>790.0</v>
      </c>
      <c r="W4692" s="1">
        <v>790.0</v>
      </c>
      <c r="X4692" s="1" t="s">
        <v>35</v>
      </c>
      <c r="Y4692" s="1">
        <v>790000</v>
      </c>
      <c r="Z4692" s="1"/>
      <c r="AA4692" s="1">
        <v>790000</v>
      </c>
      <c r="AB4692" s="1"/>
      <c r="AC4692" s="1" t="s">
        <v>36</v>
      </c>
      <c r="AD4692" s="1" t="s">
        <v>16059</v>
      </c>
      <c r="AE4692" s="1" t="s">
        <v>32</v>
      </c>
      <c r="AF4692" s="1" t="s">
        <v>33</v>
      </c>
      <c r="AG4692" s="1" t="s">
        <v>30</v>
      </c>
    </row>
    <row r="4693" spans="1:33">
      <c r="A4693" t="s">
        <v>16060</v>
      </c>
      <c r="B4693" t="s">
        <v>16061</v>
      </c>
      <c r="C4693" t="s">
        <v>314</v>
      </c>
      <c r="E4693" t="s">
        <v>15359</v>
      </c>
      <c r="F4693" t="s">
        <v>10934</v>
      </c>
      <c r="G4693">
        <v>18.59</v>
      </c>
      <c r="H4693">
        <v>18.59</v>
      </c>
      <c r="I4693" t="s">
        <v>179</v>
      </c>
      <c r="J4693" t="s">
        <v>180</v>
      </c>
      <c r="K4693" t="s">
        <v>31</v>
      </c>
      <c r="L4693" t="s">
        <v>32</v>
      </c>
      <c r="M4693" t="s">
        <v>33</v>
      </c>
      <c r="P4693" s="1" t="s">
        <v>16062</v>
      </c>
      <c r="Q4693" s="1" t="s">
        <v>15359</v>
      </c>
      <c r="R4693" s="1" t="s">
        <v>15359</v>
      </c>
      <c r="S4693" s="1"/>
      <c r="T4693" s="1" t="s">
        <v>314</v>
      </c>
      <c r="U4693" s="1"/>
      <c r="V4693" s="1">
        <v>18.59</v>
      </c>
      <c r="W4693" s="1">
        <v>18.59</v>
      </c>
      <c r="X4693" s="1" t="s">
        <v>35</v>
      </c>
      <c r="Y4693" s="1">
        <v>18590</v>
      </c>
      <c r="Z4693" s="1"/>
      <c r="AA4693" s="1">
        <v>18590</v>
      </c>
      <c r="AB4693" s="1"/>
      <c r="AC4693" s="1" t="s">
        <v>36</v>
      </c>
      <c r="AD4693" s="1" t="s">
        <v>16050</v>
      </c>
      <c r="AE4693" s="1" t="s">
        <v>32</v>
      </c>
      <c r="AF4693" s="1" t="s">
        <v>33</v>
      </c>
      <c r="AG4693" s="1" t="s">
        <v>180</v>
      </c>
    </row>
    <row r="4694" spans="1:33">
      <c r="A4694" t="s">
        <v>16063</v>
      </c>
      <c r="C4694" t="s">
        <v>6076</v>
      </c>
      <c r="E4694" t="s">
        <v>15359</v>
      </c>
      <c r="F4694" t="s">
        <v>10934</v>
      </c>
      <c r="G4694">
        <v>2.96</v>
      </c>
      <c r="H4694">
        <v>2.96</v>
      </c>
      <c r="I4694" t="s">
        <v>2206</v>
      </c>
      <c r="J4694" t="s">
        <v>49</v>
      </c>
      <c r="K4694" t="s">
        <v>31</v>
      </c>
      <c r="L4694" t="s">
        <v>32</v>
      </c>
      <c r="M4694" t="s">
        <v>33</v>
      </c>
      <c r="P4694" s="1" t="s">
        <v>16064</v>
      </c>
      <c r="Q4694" s="1" t="s">
        <v>15359</v>
      </c>
      <c r="R4694" s="1" t="s">
        <v>15359</v>
      </c>
      <c r="S4694" s="1"/>
      <c r="T4694" s="1" t="s">
        <v>6076</v>
      </c>
      <c r="U4694" s="1"/>
      <c r="V4694" s="1">
        <v>2.96</v>
      </c>
      <c r="W4694" s="1">
        <v>2.96</v>
      </c>
      <c r="X4694" s="1" t="s">
        <v>35</v>
      </c>
      <c r="Y4694" s="1">
        <v>2960000</v>
      </c>
      <c r="Z4694" s="1"/>
      <c r="AA4694" s="1">
        <v>2960000</v>
      </c>
      <c r="AB4694" s="1"/>
      <c r="AC4694" s="1" t="s">
        <v>36</v>
      </c>
      <c r="AD4694" s="1" t="s">
        <v>16065</v>
      </c>
      <c r="AE4694" s="1" t="s">
        <v>32</v>
      </c>
      <c r="AF4694" s="1" t="s">
        <v>33</v>
      </c>
      <c r="AG4694" s="1" t="s">
        <v>49</v>
      </c>
    </row>
    <row r="4695" spans="1:33">
      <c r="A4695" t="s">
        <v>16066</v>
      </c>
      <c r="C4695" t="s">
        <v>569</v>
      </c>
      <c r="E4695" t="s">
        <v>15359</v>
      </c>
      <c r="F4695" t="s">
        <v>10934</v>
      </c>
      <c r="G4695">
        <v>6.408</v>
      </c>
      <c r="H4695">
        <v>6.408</v>
      </c>
      <c r="I4695" t="s">
        <v>570</v>
      </c>
      <c r="J4695" t="s">
        <v>571</v>
      </c>
      <c r="K4695" t="s">
        <v>31</v>
      </c>
      <c r="L4695" t="s">
        <v>32</v>
      </c>
      <c r="M4695" t="s">
        <v>33</v>
      </c>
      <c r="P4695" s="1" t="s">
        <v>16067</v>
      </c>
      <c r="Q4695" s="1" t="s">
        <v>15359</v>
      </c>
      <c r="R4695" s="1" t="s">
        <v>15359</v>
      </c>
      <c r="S4695" s="1"/>
      <c r="T4695" s="1" t="s">
        <v>569</v>
      </c>
      <c r="U4695" s="1"/>
      <c r="V4695" s="1">
        <v>6.408</v>
      </c>
      <c r="W4695" s="1">
        <v>6.408</v>
      </c>
      <c r="X4695" s="1" t="s">
        <v>35</v>
      </c>
      <c r="Y4695" s="1">
        <v>6408</v>
      </c>
      <c r="Z4695" s="1"/>
      <c r="AA4695" s="1">
        <v>6408</v>
      </c>
      <c r="AB4695" s="1"/>
      <c r="AC4695" s="1" t="s">
        <v>36</v>
      </c>
      <c r="AD4695" s="1" t="s">
        <v>16068</v>
      </c>
      <c r="AE4695" s="1" t="s">
        <v>32</v>
      </c>
      <c r="AF4695" s="1" t="s">
        <v>33</v>
      </c>
      <c r="AG4695" s="1" t="s">
        <v>571</v>
      </c>
    </row>
    <row r="4696" spans="1:33">
      <c r="A4696" t="s">
        <v>16069</v>
      </c>
      <c r="C4696" t="s">
        <v>1476</v>
      </c>
      <c r="E4696" t="s">
        <v>15359</v>
      </c>
      <c r="F4696" t="s">
        <v>10934</v>
      </c>
      <c r="G4696">
        <v>640.0</v>
      </c>
      <c r="H4696">
        <v>640.0</v>
      </c>
      <c r="I4696" t="s">
        <v>126</v>
      </c>
      <c r="J4696" t="s">
        <v>127</v>
      </c>
      <c r="K4696" t="s">
        <v>31</v>
      </c>
      <c r="L4696" t="s">
        <v>32</v>
      </c>
      <c r="M4696" t="s">
        <v>33</v>
      </c>
      <c r="P4696" s="1" t="s">
        <v>16070</v>
      </c>
      <c r="Q4696" s="1" t="s">
        <v>15359</v>
      </c>
      <c r="R4696" s="1" t="s">
        <v>15359</v>
      </c>
      <c r="S4696" s="1"/>
      <c r="T4696" s="1" t="s">
        <v>1476</v>
      </c>
      <c r="U4696" s="1"/>
      <c r="V4696" s="1">
        <v>640.0</v>
      </c>
      <c r="W4696" s="1">
        <v>640.0</v>
      </c>
      <c r="X4696" s="1" t="s">
        <v>35</v>
      </c>
      <c r="Y4696" s="1">
        <v>640000</v>
      </c>
      <c r="Z4696" s="1"/>
      <c r="AA4696" s="1">
        <v>640000</v>
      </c>
      <c r="AB4696" s="1"/>
      <c r="AC4696" s="1" t="s">
        <v>36</v>
      </c>
      <c r="AD4696" s="1" t="s">
        <v>16071</v>
      </c>
      <c r="AE4696" s="1" t="s">
        <v>32</v>
      </c>
      <c r="AF4696" s="1" t="s">
        <v>33</v>
      </c>
      <c r="AG4696" s="1" t="s">
        <v>127</v>
      </c>
    </row>
    <row r="4697" spans="1:33">
      <c r="A4697" t="s">
        <v>16072</v>
      </c>
      <c r="B4697" t="s">
        <v>3039</v>
      </c>
      <c r="C4697" t="s">
        <v>68</v>
      </c>
      <c r="E4697" t="s">
        <v>15359</v>
      </c>
      <c r="F4697" t="s">
        <v>10934</v>
      </c>
      <c r="G4697">
        <v>2.78</v>
      </c>
      <c r="H4697">
        <v>2.78</v>
      </c>
      <c r="I4697" t="s">
        <v>59</v>
      </c>
      <c r="J4697" t="s">
        <v>60</v>
      </c>
      <c r="K4697" t="s">
        <v>31</v>
      </c>
      <c r="L4697" t="s">
        <v>32</v>
      </c>
      <c r="M4697" t="s">
        <v>33</v>
      </c>
      <c r="P4697" s="1" t="s">
        <v>16073</v>
      </c>
      <c r="Q4697" s="1" t="s">
        <v>15359</v>
      </c>
      <c r="R4697" s="1" t="s">
        <v>15359</v>
      </c>
      <c r="S4697" s="1"/>
      <c r="T4697" s="1" t="s">
        <v>68</v>
      </c>
      <c r="U4697" s="1"/>
      <c r="V4697" s="1">
        <v>2.78</v>
      </c>
      <c r="W4697" s="1">
        <v>2.78</v>
      </c>
      <c r="X4697" s="1" t="s">
        <v>35</v>
      </c>
      <c r="Y4697" s="1">
        <v>2780</v>
      </c>
      <c r="Z4697" s="1"/>
      <c r="AA4697" s="1">
        <v>2780</v>
      </c>
      <c r="AB4697" s="1"/>
      <c r="AC4697" s="1" t="s">
        <v>36</v>
      </c>
      <c r="AD4697" s="1" t="s">
        <v>16071</v>
      </c>
      <c r="AE4697" s="1" t="s">
        <v>32</v>
      </c>
      <c r="AF4697" s="1" t="s">
        <v>33</v>
      </c>
      <c r="AG4697" s="1" t="s">
        <v>60</v>
      </c>
    </row>
    <row r="4698" spans="1:33">
      <c r="A4698" t="s">
        <v>16074</v>
      </c>
      <c r="C4698" t="s">
        <v>2216</v>
      </c>
      <c r="E4698" t="s">
        <v>15359</v>
      </c>
      <c r="F4698" t="s">
        <v>10934</v>
      </c>
      <c r="G4698">
        <v>652.5</v>
      </c>
      <c r="H4698">
        <v>652.5</v>
      </c>
      <c r="I4698" t="s">
        <v>227</v>
      </c>
      <c r="J4698" t="s">
        <v>228</v>
      </c>
      <c r="K4698" t="s">
        <v>31</v>
      </c>
      <c r="L4698" t="s">
        <v>32</v>
      </c>
      <c r="M4698" t="s">
        <v>33</v>
      </c>
      <c r="P4698" s="1" t="s">
        <v>16075</v>
      </c>
      <c r="Q4698" s="1" t="s">
        <v>15359</v>
      </c>
      <c r="R4698" s="1" t="s">
        <v>15359</v>
      </c>
      <c r="S4698" s="1"/>
      <c r="T4698" s="1" t="s">
        <v>2216</v>
      </c>
      <c r="U4698" s="1"/>
      <c r="V4698" s="1">
        <v>652.5</v>
      </c>
      <c r="W4698" s="1">
        <v>652.5</v>
      </c>
      <c r="X4698" s="1" t="s">
        <v>35</v>
      </c>
      <c r="Y4698" s="1">
        <v>652500</v>
      </c>
      <c r="Z4698" s="1"/>
      <c r="AA4698" s="1">
        <v>652500</v>
      </c>
      <c r="AB4698" s="1"/>
      <c r="AC4698" s="1" t="s">
        <v>36</v>
      </c>
      <c r="AD4698" s="1" t="s">
        <v>16076</v>
      </c>
      <c r="AE4698" s="1" t="s">
        <v>32</v>
      </c>
      <c r="AF4698" s="1" t="s">
        <v>33</v>
      </c>
      <c r="AG4698" s="1" t="s">
        <v>228</v>
      </c>
    </row>
    <row r="4699" spans="1:33">
      <c r="A4699" t="s">
        <v>16077</v>
      </c>
      <c r="C4699" t="s">
        <v>2688</v>
      </c>
      <c r="E4699" t="s">
        <v>15359</v>
      </c>
      <c r="F4699" t="s">
        <v>10934</v>
      </c>
      <c r="G4699">
        <v>793.9</v>
      </c>
      <c r="H4699">
        <v>793.9</v>
      </c>
      <c r="I4699" t="s">
        <v>269</v>
      </c>
      <c r="J4699" t="s">
        <v>270</v>
      </c>
      <c r="K4699" t="s">
        <v>31</v>
      </c>
      <c r="L4699" t="s">
        <v>32</v>
      </c>
      <c r="M4699" t="s">
        <v>33</v>
      </c>
      <c r="P4699" s="1" t="s">
        <v>16078</v>
      </c>
      <c r="Q4699" s="1" t="s">
        <v>15359</v>
      </c>
      <c r="R4699" s="1" t="s">
        <v>15359</v>
      </c>
      <c r="S4699" s="1"/>
      <c r="T4699" s="1" t="s">
        <v>2688</v>
      </c>
      <c r="U4699" s="1"/>
      <c r="V4699" s="1">
        <v>793.9</v>
      </c>
      <c r="W4699" s="1">
        <v>793.9</v>
      </c>
      <c r="X4699" s="1" t="s">
        <v>35</v>
      </c>
      <c r="Y4699" s="1">
        <v>793900</v>
      </c>
      <c r="Z4699" s="1"/>
      <c r="AA4699" s="1">
        <v>793900</v>
      </c>
      <c r="AB4699" s="1"/>
      <c r="AC4699" s="1" t="s">
        <v>36</v>
      </c>
      <c r="AD4699" s="1" t="s">
        <v>16079</v>
      </c>
      <c r="AE4699" s="1" t="s">
        <v>32</v>
      </c>
      <c r="AF4699" s="1" t="s">
        <v>33</v>
      </c>
      <c r="AG4699" s="1" t="s">
        <v>270</v>
      </c>
    </row>
    <row r="4700" spans="1:33">
      <c r="A4700" t="s">
        <v>16080</v>
      </c>
      <c r="C4700" t="s">
        <v>6031</v>
      </c>
      <c r="E4700" t="s">
        <v>15359</v>
      </c>
      <c r="F4700" t="s">
        <v>10934</v>
      </c>
      <c r="G4700">
        <v>336.0</v>
      </c>
      <c r="H4700">
        <v>336.0</v>
      </c>
      <c r="I4700" t="s">
        <v>2206</v>
      </c>
      <c r="J4700" t="s">
        <v>49</v>
      </c>
      <c r="K4700" t="s">
        <v>31</v>
      </c>
      <c r="L4700" t="s">
        <v>32</v>
      </c>
      <c r="M4700" t="s">
        <v>33</v>
      </c>
      <c r="P4700" s="1" t="s">
        <v>16081</v>
      </c>
      <c r="Q4700" s="1" t="s">
        <v>15359</v>
      </c>
      <c r="R4700" s="1" t="s">
        <v>15359</v>
      </c>
      <c r="S4700" s="1"/>
      <c r="T4700" s="1" t="s">
        <v>6031</v>
      </c>
      <c r="U4700" s="1"/>
      <c r="V4700" s="1">
        <v>336.0</v>
      </c>
      <c r="W4700" s="1">
        <v>336.0</v>
      </c>
      <c r="X4700" s="1" t="s">
        <v>35</v>
      </c>
      <c r="Y4700" s="1">
        <v>336000</v>
      </c>
      <c r="Z4700" s="1"/>
      <c r="AA4700" s="1">
        <v>336000</v>
      </c>
      <c r="AB4700" s="1"/>
      <c r="AC4700" s="1" t="s">
        <v>36</v>
      </c>
      <c r="AD4700" s="1" t="s">
        <v>16082</v>
      </c>
      <c r="AE4700" s="1" t="s">
        <v>32</v>
      </c>
      <c r="AF4700" s="1" t="s">
        <v>33</v>
      </c>
      <c r="AG4700" s="1" t="s">
        <v>49</v>
      </c>
    </row>
    <row r="4701" spans="1:33">
      <c r="A4701" t="s">
        <v>16083</v>
      </c>
      <c r="C4701" t="s">
        <v>6057</v>
      </c>
      <c r="D4701" t="s">
        <v>154</v>
      </c>
      <c r="E4701" t="s">
        <v>15359</v>
      </c>
      <c r="F4701" t="s">
        <v>10934</v>
      </c>
      <c r="G4701">
        <v>139.0</v>
      </c>
      <c r="H4701">
        <v>139.0</v>
      </c>
      <c r="I4701" t="s">
        <v>179</v>
      </c>
      <c r="J4701" t="s">
        <v>180</v>
      </c>
      <c r="K4701" t="s">
        <v>31</v>
      </c>
      <c r="L4701" t="s">
        <v>32</v>
      </c>
      <c r="M4701" t="s">
        <v>33</v>
      </c>
      <c r="P4701" s="1" t="s">
        <v>16084</v>
      </c>
      <c r="Q4701" s="1" t="s">
        <v>15359</v>
      </c>
      <c r="R4701" s="1" t="s">
        <v>15359</v>
      </c>
      <c r="S4701" s="1"/>
      <c r="T4701" s="1" t="s">
        <v>6057</v>
      </c>
      <c r="U4701" s="1"/>
      <c r="V4701" s="1">
        <v>139.0</v>
      </c>
      <c r="W4701" s="1">
        <v>139.0</v>
      </c>
      <c r="X4701" s="1" t="s">
        <v>35</v>
      </c>
      <c r="Y4701" s="1">
        <v>139000</v>
      </c>
      <c r="Z4701" s="1"/>
      <c r="AA4701" s="1">
        <v>139000</v>
      </c>
      <c r="AB4701" s="1"/>
      <c r="AC4701" s="1" t="s">
        <v>36</v>
      </c>
      <c r="AD4701" s="1" t="s">
        <v>16082</v>
      </c>
      <c r="AE4701" s="1" t="s">
        <v>32</v>
      </c>
      <c r="AF4701" s="1" t="s">
        <v>33</v>
      </c>
      <c r="AG4701" s="1" t="s">
        <v>180</v>
      </c>
    </row>
    <row r="4702" spans="1:33">
      <c r="A4702" t="s">
        <v>16085</v>
      </c>
      <c r="C4702" t="s">
        <v>2804</v>
      </c>
      <c r="E4702" t="s">
        <v>15359</v>
      </c>
      <c r="F4702" t="s">
        <v>10934</v>
      </c>
      <c r="G4702">
        <v>328.0</v>
      </c>
      <c r="H4702">
        <v>328.0</v>
      </c>
      <c r="I4702" t="s">
        <v>269</v>
      </c>
      <c r="J4702" t="s">
        <v>270</v>
      </c>
      <c r="K4702" t="s">
        <v>31</v>
      </c>
      <c r="L4702" t="s">
        <v>32</v>
      </c>
      <c r="M4702" t="s">
        <v>33</v>
      </c>
      <c r="P4702" s="1" t="s">
        <v>16086</v>
      </c>
      <c r="Q4702" s="1" t="s">
        <v>15359</v>
      </c>
      <c r="R4702" s="1" t="s">
        <v>15359</v>
      </c>
      <c r="S4702" s="1"/>
      <c r="T4702" s="1" t="s">
        <v>2804</v>
      </c>
      <c r="U4702" s="1"/>
      <c r="V4702" s="1">
        <v>328.0</v>
      </c>
      <c r="W4702" s="1">
        <v>328.0</v>
      </c>
      <c r="X4702" s="1" t="s">
        <v>35</v>
      </c>
      <c r="Y4702" s="1">
        <v>328000</v>
      </c>
      <c r="Z4702" s="1"/>
      <c r="AA4702" s="1">
        <v>328000</v>
      </c>
      <c r="AB4702" s="1"/>
      <c r="AC4702" s="1" t="s">
        <v>36</v>
      </c>
      <c r="AD4702" s="1" t="s">
        <v>16087</v>
      </c>
      <c r="AE4702" s="1" t="s">
        <v>32</v>
      </c>
      <c r="AF4702" s="1" t="s">
        <v>33</v>
      </c>
      <c r="AG4702" s="1" t="s">
        <v>270</v>
      </c>
    </row>
    <row r="4703" spans="1:33">
      <c r="A4703" t="s">
        <v>16088</v>
      </c>
      <c r="C4703" t="s">
        <v>184</v>
      </c>
      <c r="E4703" t="s">
        <v>15359</v>
      </c>
      <c r="F4703" t="s">
        <v>10934</v>
      </c>
      <c r="G4703">
        <v>1.58</v>
      </c>
      <c r="H4703">
        <v>1.58</v>
      </c>
      <c r="I4703" t="s">
        <v>269</v>
      </c>
      <c r="J4703" t="s">
        <v>270</v>
      </c>
      <c r="K4703" t="s">
        <v>31</v>
      </c>
      <c r="L4703" t="s">
        <v>32</v>
      </c>
      <c r="M4703" t="s">
        <v>33</v>
      </c>
      <c r="P4703" s="1" t="s">
        <v>16089</v>
      </c>
      <c r="Q4703" s="1" t="s">
        <v>15359</v>
      </c>
      <c r="R4703" s="1" t="s">
        <v>15359</v>
      </c>
      <c r="S4703" s="1"/>
      <c r="T4703" s="1" t="s">
        <v>184</v>
      </c>
      <c r="U4703" s="1"/>
      <c r="V4703" s="1">
        <v>1.58</v>
      </c>
      <c r="W4703" s="1">
        <v>1.58</v>
      </c>
      <c r="X4703" s="1" t="s">
        <v>35</v>
      </c>
      <c r="Y4703" s="1">
        <v>1580000</v>
      </c>
      <c r="Z4703" s="1"/>
      <c r="AA4703" s="1">
        <v>1580000</v>
      </c>
      <c r="AB4703" s="1"/>
      <c r="AC4703" s="1" t="s">
        <v>36</v>
      </c>
      <c r="AD4703" s="1" t="s">
        <v>16090</v>
      </c>
      <c r="AE4703" s="1" t="s">
        <v>32</v>
      </c>
      <c r="AF4703" s="1" t="s">
        <v>33</v>
      </c>
      <c r="AG4703" s="1" t="s">
        <v>270</v>
      </c>
    </row>
    <row r="4704" spans="1:33">
      <c r="A4704" t="s">
        <v>16091</v>
      </c>
      <c r="B4704" t="s">
        <v>16092</v>
      </c>
      <c r="C4704" t="s">
        <v>125</v>
      </c>
      <c r="E4704" t="s">
        <v>15359</v>
      </c>
      <c r="F4704" t="s">
        <v>10934</v>
      </c>
      <c r="G4704">
        <v>33.98</v>
      </c>
      <c r="H4704">
        <v>33.98</v>
      </c>
      <c r="I4704" t="s">
        <v>126</v>
      </c>
      <c r="J4704" t="s">
        <v>127</v>
      </c>
      <c r="K4704" t="s">
        <v>31</v>
      </c>
      <c r="L4704" t="s">
        <v>32</v>
      </c>
      <c r="M4704" t="s">
        <v>33</v>
      </c>
      <c r="P4704" s="1" t="s">
        <v>16093</v>
      </c>
      <c r="Q4704" s="1" t="s">
        <v>15359</v>
      </c>
      <c r="R4704" s="1" t="s">
        <v>15359</v>
      </c>
      <c r="S4704" s="1"/>
      <c r="T4704" s="1" t="s">
        <v>125</v>
      </c>
      <c r="U4704" s="1"/>
      <c r="V4704" s="1">
        <v>33.98</v>
      </c>
      <c r="W4704" s="1">
        <v>33.98</v>
      </c>
      <c r="X4704" s="1" t="s">
        <v>35</v>
      </c>
      <c r="Y4704" s="1">
        <v>33980</v>
      </c>
      <c r="Z4704" s="1"/>
      <c r="AA4704" s="1">
        <v>33980</v>
      </c>
      <c r="AB4704" s="1"/>
      <c r="AC4704" s="1" t="s">
        <v>36</v>
      </c>
      <c r="AD4704" s="1" t="s">
        <v>16090</v>
      </c>
      <c r="AE4704" s="1" t="s">
        <v>32</v>
      </c>
      <c r="AF4704" s="1" t="s">
        <v>33</v>
      </c>
      <c r="AG4704" s="1" t="s">
        <v>127</v>
      </c>
    </row>
    <row r="4705" spans="1:33">
      <c r="A4705" t="s">
        <v>16094</v>
      </c>
      <c r="B4705" t="s">
        <v>57</v>
      </c>
      <c r="C4705" t="s">
        <v>58</v>
      </c>
      <c r="E4705" t="s">
        <v>15359</v>
      </c>
      <c r="F4705" t="s">
        <v>10934</v>
      </c>
      <c r="G4705">
        <v>462.5</v>
      </c>
      <c r="H4705">
        <v>462.5</v>
      </c>
      <c r="I4705" t="s">
        <v>59</v>
      </c>
      <c r="J4705" t="s">
        <v>60</v>
      </c>
      <c r="K4705" t="s">
        <v>31</v>
      </c>
      <c r="L4705" t="s">
        <v>32</v>
      </c>
      <c r="M4705" t="s">
        <v>33</v>
      </c>
      <c r="P4705" s="1" t="s">
        <v>16095</v>
      </c>
      <c r="Q4705" s="1" t="s">
        <v>15359</v>
      </c>
      <c r="R4705" s="1" t="s">
        <v>15359</v>
      </c>
      <c r="S4705" s="1"/>
      <c r="T4705" s="1" t="s">
        <v>58</v>
      </c>
      <c r="U4705" s="1"/>
      <c r="V4705" s="1">
        <v>462.5</v>
      </c>
      <c r="W4705" s="1">
        <v>462.5</v>
      </c>
      <c r="X4705" s="1" t="s">
        <v>35</v>
      </c>
      <c r="Y4705" s="1">
        <v>462500</v>
      </c>
      <c r="Z4705" s="1"/>
      <c r="AA4705" s="1">
        <v>462500</v>
      </c>
      <c r="AB4705" s="1"/>
      <c r="AC4705" s="1" t="s">
        <v>36</v>
      </c>
      <c r="AD4705" s="1" t="s">
        <v>16096</v>
      </c>
      <c r="AE4705" s="1" t="s">
        <v>32</v>
      </c>
      <c r="AF4705" s="1" t="s">
        <v>33</v>
      </c>
      <c r="AG4705" s="1" t="s">
        <v>60</v>
      </c>
    </row>
    <row r="4706" spans="1:33">
      <c r="A4706" t="s">
        <v>16097</v>
      </c>
      <c r="B4706" t="s">
        <v>7082</v>
      </c>
      <c r="C4706" t="s">
        <v>7083</v>
      </c>
      <c r="E4706" t="s">
        <v>15359</v>
      </c>
      <c r="F4706" t="s">
        <v>10934</v>
      </c>
      <c r="G4706">
        <v>1.017</v>
      </c>
      <c r="H4706">
        <v>1.017</v>
      </c>
      <c r="I4706" t="s">
        <v>40</v>
      </c>
      <c r="J4706" t="s">
        <v>41</v>
      </c>
      <c r="K4706" t="s">
        <v>31</v>
      </c>
      <c r="L4706" t="s">
        <v>32</v>
      </c>
      <c r="M4706" t="s">
        <v>33</v>
      </c>
      <c r="P4706" s="1" t="s">
        <v>16098</v>
      </c>
      <c r="Q4706" s="1" t="s">
        <v>15359</v>
      </c>
      <c r="R4706" s="1" t="s">
        <v>14225</v>
      </c>
      <c r="S4706" s="1"/>
      <c r="T4706" s="1" t="s">
        <v>7083</v>
      </c>
      <c r="U4706" s="1"/>
      <c r="V4706" s="1">
        <v>1.017</v>
      </c>
      <c r="W4706" s="1">
        <v>1.017</v>
      </c>
      <c r="X4706" s="1" t="s">
        <v>35</v>
      </c>
      <c r="Y4706" s="1">
        <v>1019500</v>
      </c>
      <c r="Z4706" s="1">
        <v>-2000</v>
      </c>
      <c r="AA4706" s="1">
        <v>1019500</v>
      </c>
      <c r="AB4706" s="1">
        <v>-2000</v>
      </c>
      <c r="AC4706" s="1" t="s">
        <v>36</v>
      </c>
      <c r="AD4706" s="1" t="s">
        <v>16099</v>
      </c>
      <c r="AE4706" s="1" t="s">
        <v>32</v>
      </c>
      <c r="AF4706" s="1" t="s">
        <v>33</v>
      </c>
      <c r="AG4706" s="1" t="s">
        <v>41</v>
      </c>
    </row>
    <row r="4707" spans="1:33">
      <c r="A4707" t="s">
        <v>16100</v>
      </c>
      <c r="B4707" t="s">
        <v>16101</v>
      </c>
      <c r="C4707" t="s">
        <v>131</v>
      </c>
      <c r="E4707" t="s">
        <v>15359</v>
      </c>
      <c r="F4707" t="s">
        <v>10934</v>
      </c>
      <c r="G4707">
        <v>9.52</v>
      </c>
      <c r="H4707">
        <v>9.52</v>
      </c>
      <c r="I4707" t="s">
        <v>94</v>
      </c>
      <c r="J4707" t="s">
        <v>95</v>
      </c>
      <c r="K4707" t="s">
        <v>31</v>
      </c>
      <c r="L4707" t="s">
        <v>32</v>
      </c>
      <c r="M4707" t="s">
        <v>33</v>
      </c>
      <c r="P4707" s="1" t="s">
        <v>16102</v>
      </c>
      <c r="Q4707" s="1" t="s">
        <v>15359</v>
      </c>
      <c r="R4707" s="1" t="s">
        <v>15359</v>
      </c>
      <c r="S4707" s="1"/>
      <c r="T4707" s="1" t="s">
        <v>131</v>
      </c>
      <c r="U4707" s="1"/>
      <c r="V4707" s="1">
        <v>9.52</v>
      </c>
      <c r="W4707" s="1">
        <v>9.52</v>
      </c>
      <c r="X4707" s="1" t="s">
        <v>35</v>
      </c>
      <c r="Y4707" s="1">
        <v>9520</v>
      </c>
      <c r="Z4707" s="1"/>
      <c r="AA4707" s="1">
        <v>9520</v>
      </c>
      <c r="AB4707" s="1"/>
      <c r="AC4707" s="1" t="s">
        <v>36</v>
      </c>
      <c r="AD4707" s="1" t="s">
        <v>16103</v>
      </c>
      <c r="AE4707" s="1" t="s">
        <v>32</v>
      </c>
      <c r="AF4707" s="1" t="s">
        <v>33</v>
      </c>
      <c r="AG4707" s="1" t="s">
        <v>95</v>
      </c>
    </row>
    <row r="4708" spans="1:33">
      <c r="A4708" t="s">
        <v>16104</v>
      </c>
      <c r="B4708" t="s">
        <v>201</v>
      </c>
      <c r="C4708" t="s">
        <v>202</v>
      </c>
      <c r="D4708" t="s">
        <v>154</v>
      </c>
      <c r="E4708" t="s">
        <v>15359</v>
      </c>
      <c r="F4708" t="s">
        <v>10934</v>
      </c>
      <c r="G4708">
        <v>357.5</v>
      </c>
      <c r="H4708">
        <v>357.5</v>
      </c>
      <c r="I4708" t="s">
        <v>59</v>
      </c>
      <c r="J4708" t="s">
        <v>60</v>
      </c>
      <c r="K4708" t="s">
        <v>31</v>
      </c>
      <c r="L4708" t="s">
        <v>32</v>
      </c>
      <c r="M4708" t="s">
        <v>33</v>
      </c>
      <c r="P4708" s="1" t="s">
        <v>16105</v>
      </c>
      <c r="Q4708" s="1" t="s">
        <v>15359</v>
      </c>
      <c r="R4708" s="1" t="s">
        <v>15359</v>
      </c>
      <c r="S4708" s="1"/>
      <c r="T4708" s="1" t="s">
        <v>202</v>
      </c>
      <c r="U4708" s="1"/>
      <c r="V4708" s="1">
        <v>357.5</v>
      </c>
      <c r="W4708" s="1">
        <v>357.5</v>
      </c>
      <c r="X4708" s="1" t="s">
        <v>35</v>
      </c>
      <c r="Y4708" s="1">
        <v>357500</v>
      </c>
      <c r="Z4708" s="1"/>
      <c r="AA4708" s="1">
        <v>357500</v>
      </c>
      <c r="AB4708" s="1"/>
      <c r="AC4708" s="1" t="s">
        <v>36</v>
      </c>
      <c r="AD4708" s="1" t="s">
        <v>16106</v>
      </c>
      <c r="AE4708" s="1" t="s">
        <v>32</v>
      </c>
      <c r="AF4708" s="1" t="s">
        <v>33</v>
      </c>
      <c r="AG4708" s="1" t="s">
        <v>60</v>
      </c>
    </row>
    <row r="4709" spans="1:33">
      <c r="A4709" t="s">
        <v>16107</v>
      </c>
      <c r="C4709" t="s">
        <v>9464</v>
      </c>
      <c r="E4709" t="s">
        <v>15359</v>
      </c>
      <c r="F4709" t="s">
        <v>10934</v>
      </c>
      <c r="G4709">
        <v>1.818</v>
      </c>
      <c r="H4709">
        <v>1.818</v>
      </c>
      <c r="I4709" t="s">
        <v>94</v>
      </c>
      <c r="J4709" t="s">
        <v>95</v>
      </c>
      <c r="K4709" t="s">
        <v>31</v>
      </c>
      <c r="L4709" t="s">
        <v>32</v>
      </c>
      <c r="M4709" t="s">
        <v>33</v>
      </c>
      <c r="P4709" s="1" t="s">
        <v>16108</v>
      </c>
      <c r="Q4709" s="1" t="s">
        <v>15359</v>
      </c>
      <c r="R4709" s="1" t="s">
        <v>15359</v>
      </c>
      <c r="S4709" s="1"/>
      <c r="T4709" s="1" t="s">
        <v>9464</v>
      </c>
      <c r="U4709" s="1"/>
      <c r="V4709" s="1">
        <v>1.818</v>
      </c>
      <c r="W4709" s="1">
        <v>1.818</v>
      </c>
      <c r="X4709" s="1" t="s">
        <v>35</v>
      </c>
      <c r="Y4709" s="1">
        <v>1818000</v>
      </c>
      <c r="Z4709" s="1"/>
      <c r="AA4709" s="1">
        <v>1818000</v>
      </c>
      <c r="AB4709" s="1"/>
      <c r="AC4709" s="1" t="s">
        <v>36</v>
      </c>
      <c r="AD4709" s="1" t="s">
        <v>16076</v>
      </c>
      <c r="AE4709" s="1" t="s">
        <v>32</v>
      </c>
      <c r="AF4709" s="1" t="s">
        <v>33</v>
      </c>
      <c r="AG4709" s="1" t="s">
        <v>95</v>
      </c>
    </row>
    <row r="4710" spans="1:33">
      <c r="A4710" t="s">
        <v>16109</v>
      </c>
      <c r="C4710" t="s">
        <v>8067</v>
      </c>
      <c r="E4710" t="s">
        <v>15359</v>
      </c>
      <c r="F4710" t="s">
        <v>10934</v>
      </c>
      <c r="G4710">
        <v>352.0</v>
      </c>
      <c r="H4710">
        <v>352.0</v>
      </c>
      <c r="I4710" t="s">
        <v>179</v>
      </c>
      <c r="J4710" t="s">
        <v>180</v>
      </c>
      <c r="K4710" t="s">
        <v>31</v>
      </c>
      <c r="L4710" t="s">
        <v>32</v>
      </c>
      <c r="M4710" t="s">
        <v>33</v>
      </c>
      <c r="P4710" s="1" t="s">
        <v>16110</v>
      </c>
      <c r="Q4710" s="1" t="s">
        <v>15359</v>
      </c>
      <c r="R4710" s="1" t="s">
        <v>15359</v>
      </c>
      <c r="S4710" s="1"/>
      <c r="T4710" s="1" t="s">
        <v>8067</v>
      </c>
      <c r="U4710" s="1"/>
      <c r="V4710" s="1">
        <v>352.0</v>
      </c>
      <c r="W4710" s="1">
        <v>352.0</v>
      </c>
      <c r="X4710" s="1" t="s">
        <v>35</v>
      </c>
      <c r="Y4710" s="1">
        <v>352000</v>
      </c>
      <c r="Z4710" s="1"/>
      <c r="AA4710" s="1">
        <v>352000</v>
      </c>
      <c r="AB4710" s="1"/>
      <c r="AC4710" s="1" t="s">
        <v>36</v>
      </c>
      <c r="AD4710" s="1" t="s">
        <v>16111</v>
      </c>
      <c r="AE4710" s="1" t="s">
        <v>32</v>
      </c>
      <c r="AF4710" s="1" t="s">
        <v>33</v>
      </c>
      <c r="AG4710" s="1" t="s">
        <v>180</v>
      </c>
    </row>
    <row r="4711" spans="1:33">
      <c r="A4711" t="s">
        <v>16112</v>
      </c>
      <c r="B4711" t="s">
        <v>16113</v>
      </c>
      <c r="C4711" t="s">
        <v>125</v>
      </c>
      <c r="E4711" t="s">
        <v>15359</v>
      </c>
      <c r="F4711" t="s">
        <v>10934</v>
      </c>
      <c r="G4711">
        <v>3.962</v>
      </c>
      <c r="H4711">
        <v>3.962</v>
      </c>
      <c r="I4711" t="s">
        <v>126</v>
      </c>
      <c r="J4711" t="s">
        <v>127</v>
      </c>
      <c r="K4711" t="s">
        <v>31</v>
      </c>
      <c r="L4711" t="s">
        <v>32</v>
      </c>
      <c r="M4711" t="s">
        <v>33</v>
      </c>
      <c r="P4711" s="1" t="s">
        <v>16114</v>
      </c>
      <c r="Q4711" s="1" t="s">
        <v>15359</v>
      </c>
      <c r="R4711" s="1" t="s">
        <v>15359</v>
      </c>
      <c r="S4711" s="1"/>
      <c r="T4711" s="1" t="s">
        <v>125</v>
      </c>
      <c r="U4711" s="1"/>
      <c r="V4711" s="1">
        <v>3.962</v>
      </c>
      <c r="W4711" s="1">
        <v>3.962</v>
      </c>
      <c r="X4711" s="1" t="s">
        <v>35</v>
      </c>
      <c r="Y4711" s="1">
        <v>3962</v>
      </c>
      <c r="Z4711" s="1"/>
      <c r="AA4711" s="1">
        <v>3962</v>
      </c>
      <c r="AB4711" s="1"/>
      <c r="AC4711" s="1" t="s">
        <v>36</v>
      </c>
      <c r="AD4711" s="1" t="s">
        <v>16115</v>
      </c>
      <c r="AE4711" s="1" t="s">
        <v>32</v>
      </c>
      <c r="AF4711" s="1" t="s">
        <v>33</v>
      </c>
      <c r="AG4711" s="1" t="s">
        <v>127</v>
      </c>
    </row>
    <row r="4712" spans="1:33">
      <c r="A4712" t="s">
        <v>16116</v>
      </c>
      <c r="C4712" t="s">
        <v>2989</v>
      </c>
      <c r="E4712" t="s">
        <v>15359</v>
      </c>
      <c r="F4712" t="s">
        <v>10934</v>
      </c>
      <c r="G4712">
        <v>1.64</v>
      </c>
      <c r="H4712">
        <v>1.64</v>
      </c>
      <c r="I4712" t="s">
        <v>269</v>
      </c>
      <c r="J4712" t="s">
        <v>270</v>
      </c>
      <c r="K4712" t="s">
        <v>31</v>
      </c>
      <c r="L4712" t="s">
        <v>32</v>
      </c>
      <c r="M4712" t="s">
        <v>33</v>
      </c>
      <c r="P4712" s="1" t="s">
        <v>16117</v>
      </c>
      <c r="Q4712" s="1" t="s">
        <v>15359</v>
      </c>
      <c r="R4712" s="1" t="s">
        <v>15359</v>
      </c>
      <c r="S4712" s="1"/>
      <c r="T4712" s="1" t="s">
        <v>2991</v>
      </c>
      <c r="U4712" s="1" t="s">
        <v>2992</v>
      </c>
      <c r="V4712" s="1">
        <v>1.64</v>
      </c>
      <c r="W4712" s="1">
        <v>1.64</v>
      </c>
      <c r="X4712" s="1" t="s">
        <v>35</v>
      </c>
      <c r="Y4712" s="1">
        <v>1640000</v>
      </c>
      <c r="Z4712" s="1"/>
      <c r="AA4712" s="1">
        <v>1640000</v>
      </c>
      <c r="AB4712" s="1"/>
      <c r="AC4712" s="1" t="s">
        <v>36</v>
      </c>
      <c r="AD4712" s="1" t="s">
        <v>16106</v>
      </c>
      <c r="AE4712" s="1" t="s">
        <v>32</v>
      </c>
      <c r="AF4712" s="1" t="s">
        <v>33</v>
      </c>
      <c r="AG4712" s="1" t="s">
        <v>270</v>
      </c>
    </row>
    <row r="4713" spans="1:33">
      <c r="A4713" t="s">
        <v>16118</v>
      </c>
      <c r="C4713" t="s">
        <v>73</v>
      </c>
      <c r="E4713" t="s">
        <v>15359</v>
      </c>
      <c r="F4713" t="s">
        <v>10934</v>
      </c>
      <c r="G4713">
        <v>12.386</v>
      </c>
      <c r="H4713">
        <v>12.386</v>
      </c>
      <c r="I4713" t="s">
        <v>40</v>
      </c>
      <c r="J4713" t="s">
        <v>41</v>
      </c>
      <c r="K4713" t="s">
        <v>31</v>
      </c>
      <c r="L4713" t="s">
        <v>32</v>
      </c>
      <c r="M4713" t="s">
        <v>33</v>
      </c>
      <c r="P4713" s="1" t="s">
        <v>16119</v>
      </c>
      <c r="Q4713" s="1" t="s">
        <v>15359</v>
      </c>
      <c r="R4713" s="1" t="s">
        <v>14225</v>
      </c>
      <c r="S4713" s="1"/>
      <c r="T4713" s="1" t="s">
        <v>75</v>
      </c>
      <c r="U4713" s="1" t="s">
        <v>76</v>
      </c>
      <c r="V4713" s="1">
        <v>12.386</v>
      </c>
      <c r="W4713" s="1">
        <v>12.386</v>
      </c>
      <c r="X4713" s="1" t="s">
        <v>35</v>
      </c>
      <c r="Y4713" s="1">
        <v>12386</v>
      </c>
      <c r="Z4713" s="1"/>
      <c r="AA4713" s="1">
        <v>12386</v>
      </c>
      <c r="AB4713" s="1"/>
      <c r="AC4713" s="1" t="s">
        <v>36</v>
      </c>
      <c r="AD4713" s="1" t="s">
        <v>16120</v>
      </c>
      <c r="AE4713" s="1" t="s">
        <v>32</v>
      </c>
      <c r="AF4713" s="1" t="s">
        <v>33</v>
      </c>
      <c r="AG4713" s="1" t="s">
        <v>41</v>
      </c>
    </row>
    <row r="4714" spans="1:33">
      <c r="A4714" t="s">
        <v>16121</v>
      </c>
      <c r="C4714" t="s">
        <v>10887</v>
      </c>
      <c r="E4714" t="s">
        <v>15359</v>
      </c>
      <c r="F4714" t="s">
        <v>10934</v>
      </c>
      <c r="G4714">
        <v>328.0</v>
      </c>
      <c r="H4714">
        <v>328.0</v>
      </c>
      <c r="I4714" t="s">
        <v>269</v>
      </c>
      <c r="J4714" t="s">
        <v>270</v>
      </c>
      <c r="K4714" t="s">
        <v>31</v>
      </c>
      <c r="L4714" t="s">
        <v>32</v>
      </c>
      <c r="M4714" t="s">
        <v>33</v>
      </c>
      <c r="P4714" s="1" t="s">
        <v>16122</v>
      </c>
      <c r="Q4714" s="1" t="s">
        <v>15359</v>
      </c>
      <c r="R4714" s="1" t="s">
        <v>15359</v>
      </c>
      <c r="S4714" s="1"/>
      <c r="T4714" s="1" t="s">
        <v>10887</v>
      </c>
      <c r="U4714" s="1"/>
      <c r="V4714" s="1">
        <v>328.0</v>
      </c>
      <c r="W4714" s="1">
        <v>328.0</v>
      </c>
      <c r="X4714" s="1" t="s">
        <v>35</v>
      </c>
      <c r="Y4714" s="1">
        <v>328000</v>
      </c>
      <c r="Z4714" s="1"/>
      <c r="AA4714" s="1">
        <v>328000</v>
      </c>
      <c r="AB4714" s="1"/>
      <c r="AC4714" s="1" t="s">
        <v>36</v>
      </c>
      <c r="AD4714" s="1" t="s">
        <v>16123</v>
      </c>
      <c r="AE4714" s="1" t="s">
        <v>32</v>
      </c>
      <c r="AF4714" s="1" t="s">
        <v>33</v>
      </c>
      <c r="AG4714" s="1" t="s">
        <v>270</v>
      </c>
    </row>
    <row r="4715" spans="1:33">
      <c r="A4715" t="s">
        <v>16124</v>
      </c>
      <c r="C4715" t="s">
        <v>10756</v>
      </c>
      <c r="E4715" t="s">
        <v>15359</v>
      </c>
      <c r="F4715" t="s">
        <v>10934</v>
      </c>
      <c r="G4715">
        <v>336.0</v>
      </c>
      <c r="H4715">
        <v>336.0</v>
      </c>
      <c r="I4715" t="s">
        <v>2206</v>
      </c>
      <c r="J4715" t="s">
        <v>49</v>
      </c>
      <c r="K4715" t="s">
        <v>31</v>
      </c>
      <c r="L4715" t="s">
        <v>32</v>
      </c>
      <c r="M4715" t="s">
        <v>33</v>
      </c>
      <c r="P4715" s="1" t="s">
        <v>16125</v>
      </c>
      <c r="Q4715" s="1" t="s">
        <v>15359</v>
      </c>
      <c r="R4715" s="1" t="s">
        <v>15359</v>
      </c>
      <c r="S4715" s="1"/>
      <c r="T4715" s="1" t="s">
        <v>10756</v>
      </c>
      <c r="U4715" s="1"/>
      <c r="V4715" s="1">
        <v>336.0</v>
      </c>
      <c r="W4715" s="1">
        <v>336.0</v>
      </c>
      <c r="X4715" s="1" t="s">
        <v>35</v>
      </c>
      <c r="Y4715" s="1">
        <v>336000</v>
      </c>
      <c r="Z4715" s="1"/>
      <c r="AA4715" s="1">
        <v>336000</v>
      </c>
      <c r="AB4715" s="1"/>
      <c r="AC4715" s="1" t="s">
        <v>36</v>
      </c>
      <c r="AD4715" s="1" t="s">
        <v>16090</v>
      </c>
      <c r="AE4715" s="1" t="s">
        <v>32</v>
      </c>
      <c r="AF4715" s="1" t="s">
        <v>33</v>
      </c>
      <c r="AG4715" s="1" t="s">
        <v>49</v>
      </c>
    </row>
    <row r="4716" spans="1:33">
      <c r="A4716" t="s">
        <v>16126</v>
      </c>
      <c r="B4716" t="s">
        <v>16028</v>
      </c>
      <c r="C4716" t="s">
        <v>47</v>
      </c>
      <c r="E4716" t="s">
        <v>15359</v>
      </c>
      <c r="F4716" t="s">
        <v>10934</v>
      </c>
      <c r="G4716">
        <v>32.66</v>
      </c>
      <c r="H4716">
        <v>32.66</v>
      </c>
      <c r="I4716" t="s">
        <v>2206</v>
      </c>
      <c r="J4716" t="s">
        <v>49</v>
      </c>
      <c r="K4716" t="s">
        <v>31</v>
      </c>
      <c r="L4716" t="s">
        <v>32</v>
      </c>
      <c r="M4716" t="s">
        <v>33</v>
      </c>
      <c r="P4716" s="1" t="s">
        <v>16127</v>
      </c>
      <c r="Q4716" s="1" t="s">
        <v>15359</v>
      </c>
      <c r="R4716" s="1" t="s">
        <v>15359</v>
      </c>
      <c r="S4716" s="1"/>
      <c r="T4716" s="1" t="s">
        <v>47</v>
      </c>
      <c r="U4716" s="1"/>
      <c r="V4716" s="1">
        <v>32.66</v>
      </c>
      <c r="W4716" s="1">
        <v>32.66</v>
      </c>
      <c r="X4716" s="1" t="s">
        <v>35</v>
      </c>
      <c r="Y4716" s="1">
        <v>32660</v>
      </c>
      <c r="Z4716" s="1"/>
      <c r="AA4716" s="1">
        <v>32660</v>
      </c>
      <c r="AB4716" s="1"/>
      <c r="AC4716" s="1" t="s">
        <v>36</v>
      </c>
      <c r="AD4716" s="1" t="s">
        <v>16128</v>
      </c>
      <c r="AE4716" s="1" t="s">
        <v>32</v>
      </c>
      <c r="AF4716" s="1" t="s">
        <v>33</v>
      </c>
      <c r="AG4716" s="1" t="s">
        <v>49</v>
      </c>
    </row>
    <row r="4717" spans="1:33">
      <c r="A4717" t="s">
        <v>16129</v>
      </c>
      <c r="B4717" t="s">
        <v>9293</v>
      </c>
      <c r="C4717" t="s">
        <v>125</v>
      </c>
      <c r="E4717" t="s">
        <v>15359</v>
      </c>
      <c r="F4717" t="s">
        <v>10934</v>
      </c>
      <c r="G4717">
        <v>7.44</v>
      </c>
      <c r="H4717">
        <v>7.44</v>
      </c>
      <c r="I4717" t="s">
        <v>126</v>
      </c>
      <c r="J4717" t="s">
        <v>127</v>
      </c>
      <c r="K4717" t="s">
        <v>31</v>
      </c>
      <c r="L4717" t="s">
        <v>32</v>
      </c>
      <c r="M4717" t="s">
        <v>33</v>
      </c>
      <c r="P4717" s="1" t="s">
        <v>16130</v>
      </c>
      <c r="Q4717" s="1" t="s">
        <v>15359</v>
      </c>
      <c r="R4717" s="1" t="s">
        <v>15359</v>
      </c>
      <c r="S4717" s="1"/>
      <c r="T4717" s="1" t="s">
        <v>125</v>
      </c>
      <c r="U4717" s="1"/>
      <c r="V4717" s="1">
        <v>7.44</v>
      </c>
      <c r="W4717" s="1">
        <v>7.44</v>
      </c>
      <c r="X4717" s="1" t="s">
        <v>35</v>
      </c>
      <c r="Y4717" s="1">
        <v>7440</v>
      </c>
      <c r="Z4717" s="1"/>
      <c r="AA4717" s="1">
        <v>7440</v>
      </c>
      <c r="AB4717" s="1"/>
      <c r="AC4717" s="1" t="s">
        <v>36</v>
      </c>
      <c r="AD4717" s="1" t="s">
        <v>16131</v>
      </c>
      <c r="AE4717" s="1" t="s">
        <v>32</v>
      </c>
      <c r="AF4717" s="1" t="s">
        <v>33</v>
      </c>
      <c r="AG4717" s="1" t="s">
        <v>127</v>
      </c>
    </row>
    <row r="4718" spans="1:33">
      <c r="A4718" t="s">
        <v>16132</v>
      </c>
      <c r="C4718" t="s">
        <v>6672</v>
      </c>
      <c r="D4718" t="s">
        <v>154</v>
      </c>
      <c r="E4718" t="s">
        <v>15359</v>
      </c>
      <c r="F4718" t="s">
        <v>10934</v>
      </c>
      <c r="G4718">
        <v>328.0</v>
      </c>
      <c r="H4718">
        <v>328.0</v>
      </c>
      <c r="I4718" t="s">
        <v>227</v>
      </c>
      <c r="J4718" t="s">
        <v>228</v>
      </c>
      <c r="K4718" t="s">
        <v>31</v>
      </c>
      <c r="L4718" t="s">
        <v>32</v>
      </c>
      <c r="M4718" t="s">
        <v>33</v>
      </c>
      <c r="P4718" s="1" t="s">
        <v>16133</v>
      </c>
      <c r="Q4718" s="1" t="s">
        <v>15359</v>
      </c>
      <c r="R4718" s="1" t="s">
        <v>15359</v>
      </c>
      <c r="S4718" s="1"/>
      <c r="T4718" s="1" t="s">
        <v>6672</v>
      </c>
      <c r="U4718" s="1"/>
      <c r="V4718" s="1">
        <v>328.0</v>
      </c>
      <c r="W4718" s="1">
        <v>328.0</v>
      </c>
      <c r="X4718" s="1" t="s">
        <v>35</v>
      </c>
      <c r="Y4718" s="1">
        <v>328000</v>
      </c>
      <c r="Z4718" s="1"/>
      <c r="AA4718" s="1">
        <v>328000</v>
      </c>
      <c r="AB4718" s="1"/>
      <c r="AC4718" s="1" t="s">
        <v>36</v>
      </c>
      <c r="AD4718" s="1" t="s">
        <v>16134</v>
      </c>
      <c r="AE4718" s="1" t="s">
        <v>32</v>
      </c>
      <c r="AF4718" s="1" t="s">
        <v>33</v>
      </c>
      <c r="AG4718" s="1" t="s">
        <v>228</v>
      </c>
    </row>
    <row r="4719" spans="1:33">
      <c r="A4719" t="s">
        <v>16135</v>
      </c>
      <c r="B4719" t="s">
        <v>15633</v>
      </c>
      <c r="C4719" t="s">
        <v>15634</v>
      </c>
      <c r="D4719" t="s">
        <v>114</v>
      </c>
      <c r="E4719" t="s">
        <v>15359</v>
      </c>
      <c r="F4719" t="s">
        <v>10934</v>
      </c>
      <c r="G4719">
        <v>820.0</v>
      </c>
      <c r="H4719">
        <v>820.0</v>
      </c>
      <c r="I4719" t="s">
        <v>59</v>
      </c>
      <c r="J4719" t="s">
        <v>60</v>
      </c>
      <c r="K4719" t="s">
        <v>31</v>
      </c>
      <c r="L4719" t="s">
        <v>32</v>
      </c>
      <c r="M4719" t="s">
        <v>33</v>
      </c>
      <c r="P4719" s="1" t="s">
        <v>16136</v>
      </c>
      <c r="Q4719" s="1" t="s">
        <v>15359</v>
      </c>
      <c r="R4719" s="1" t="s">
        <v>15359</v>
      </c>
      <c r="S4719" s="1"/>
      <c r="T4719" s="1" t="s">
        <v>15634</v>
      </c>
      <c r="U4719" s="1"/>
      <c r="V4719" s="1">
        <v>820.0</v>
      </c>
      <c r="W4719" s="1">
        <v>820.0</v>
      </c>
      <c r="X4719" s="1" t="s">
        <v>35</v>
      </c>
      <c r="Y4719" s="1">
        <v>820000</v>
      </c>
      <c r="Z4719" s="1"/>
      <c r="AA4719" s="1">
        <v>820000</v>
      </c>
      <c r="AB4719" s="1"/>
      <c r="AC4719" s="1" t="s">
        <v>36</v>
      </c>
      <c r="AD4719" s="1" t="s">
        <v>16137</v>
      </c>
      <c r="AE4719" s="1" t="s">
        <v>32</v>
      </c>
      <c r="AF4719" s="1" t="s">
        <v>33</v>
      </c>
      <c r="AG4719" s="1" t="s">
        <v>60</v>
      </c>
    </row>
    <row r="4720" spans="1:33">
      <c r="A4720" t="s">
        <v>16138</v>
      </c>
      <c r="B4720" t="s">
        <v>3211</v>
      </c>
      <c r="C4720" t="s">
        <v>314</v>
      </c>
      <c r="E4720" t="s">
        <v>15359</v>
      </c>
      <c r="F4720" t="s">
        <v>10934</v>
      </c>
      <c r="G4720">
        <v>8.94</v>
      </c>
      <c r="H4720">
        <v>8.94</v>
      </c>
      <c r="I4720" t="s">
        <v>179</v>
      </c>
      <c r="J4720" t="s">
        <v>180</v>
      </c>
      <c r="K4720" t="s">
        <v>31</v>
      </c>
      <c r="L4720" t="s">
        <v>32</v>
      </c>
      <c r="M4720" t="s">
        <v>33</v>
      </c>
      <c r="P4720" s="1" t="s">
        <v>16139</v>
      </c>
      <c r="Q4720" s="1" t="s">
        <v>15359</v>
      </c>
      <c r="R4720" s="1" t="s">
        <v>15359</v>
      </c>
      <c r="S4720" s="1"/>
      <c r="T4720" s="1" t="s">
        <v>314</v>
      </c>
      <c r="U4720" s="1"/>
      <c r="V4720" s="1">
        <v>8.94</v>
      </c>
      <c r="W4720" s="1">
        <v>8.94</v>
      </c>
      <c r="X4720" s="1" t="s">
        <v>35</v>
      </c>
      <c r="Y4720" s="1">
        <v>8940</v>
      </c>
      <c r="Z4720" s="1"/>
      <c r="AA4720" s="1">
        <v>8940</v>
      </c>
      <c r="AB4720" s="1"/>
      <c r="AC4720" s="1" t="s">
        <v>36</v>
      </c>
      <c r="AD4720" s="1" t="s">
        <v>16120</v>
      </c>
      <c r="AE4720" s="1" t="s">
        <v>32</v>
      </c>
      <c r="AF4720" s="1" t="s">
        <v>33</v>
      </c>
      <c r="AG4720" s="1" t="s">
        <v>180</v>
      </c>
    </row>
    <row r="4721" spans="1:33">
      <c r="A4721" t="s">
        <v>16140</v>
      </c>
      <c r="B4721" t="s">
        <v>3211</v>
      </c>
      <c r="C4721" t="s">
        <v>314</v>
      </c>
      <c r="E4721" t="s">
        <v>15359</v>
      </c>
      <c r="F4721" t="s">
        <v>10934</v>
      </c>
      <c r="G4721">
        <v>8.94</v>
      </c>
      <c r="H4721">
        <v>8.94</v>
      </c>
      <c r="I4721" t="s">
        <v>179</v>
      </c>
      <c r="J4721" t="s">
        <v>180</v>
      </c>
      <c r="K4721" t="s">
        <v>31</v>
      </c>
      <c r="L4721" t="s">
        <v>32</v>
      </c>
      <c r="M4721" t="s">
        <v>33</v>
      </c>
      <c r="P4721" s="1" t="s">
        <v>16141</v>
      </c>
      <c r="Q4721" s="1" t="s">
        <v>15359</v>
      </c>
      <c r="R4721" s="1" t="s">
        <v>15359</v>
      </c>
      <c r="S4721" s="1"/>
      <c r="T4721" s="1" t="s">
        <v>314</v>
      </c>
      <c r="U4721" s="1"/>
      <c r="V4721" s="1">
        <v>8.94</v>
      </c>
      <c r="W4721" s="1">
        <v>8.94</v>
      </c>
      <c r="X4721" s="1" t="s">
        <v>35</v>
      </c>
      <c r="Y4721" s="1">
        <v>8940</v>
      </c>
      <c r="Z4721" s="1"/>
      <c r="AA4721" s="1">
        <v>8940</v>
      </c>
      <c r="AB4721" s="1"/>
      <c r="AC4721" s="1" t="s">
        <v>36</v>
      </c>
      <c r="AD4721" s="1" t="s">
        <v>16142</v>
      </c>
      <c r="AE4721" s="1" t="s">
        <v>32</v>
      </c>
      <c r="AF4721" s="1" t="s">
        <v>33</v>
      </c>
      <c r="AG4721" s="1" t="s">
        <v>180</v>
      </c>
    </row>
    <row r="4722" spans="1:33">
      <c r="A4722" t="s">
        <v>16143</v>
      </c>
      <c r="B4722" t="s">
        <v>16144</v>
      </c>
      <c r="C4722" t="s">
        <v>8096</v>
      </c>
      <c r="E4722" t="s">
        <v>15359</v>
      </c>
      <c r="F4722" t="s">
        <v>10934</v>
      </c>
      <c r="G4722">
        <v>1.68</v>
      </c>
      <c r="H4722">
        <v>1.68</v>
      </c>
      <c r="I4722" t="s">
        <v>29</v>
      </c>
      <c r="J4722" t="s">
        <v>30</v>
      </c>
      <c r="K4722" t="s">
        <v>31</v>
      </c>
      <c r="L4722" t="s">
        <v>32</v>
      </c>
      <c r="M4722" t="s">
        <v>33</v>
      </c>
      <c r="P4722" s="1" t="s">
        <v>16145</v>
      </c>
      <c r="Q4722" s="1" t="s">
        <v>15359</v>
      </c>
      <c r="R4722" s="1" t="s">
        <v>15359</v>
      </c>
      <c r="S4722" s="1"/>
      <c r="T4722" s="1" t="s">
        <v>8096</v>
      </c>
      <c r="U4722" s="1"/>
      <c r="V4722" s="1">
        <v>1.68</v>
      </c>
      <c r="W4722" s="1">
        <v>1.68</v>
      </c>
      <c r="X4722" s="1" t="s">
        <v>35</v>
      </c>
      <c r="Y4722" s="1">
        <v>1680000</v>
      </c>
      <c r="Z4722" s="1"/>
      <c r="AA4722" s="1">
        <v>1680000</v>
      </c>
      <c r="AB4722" s="1"/>
      <c r="AC4722" s="1" t="s">
        <v>36</v>
      </c>
      <c r="AD4722" s="1" t="s">
        <v>16146</v>
      </c>
      <c r="AE4722" s="1" t="s">
        <v>32</v>
      </c>
      <c r="AF4722" s="1" t="s">
        <v>33</v>
      </c>
      <c r="AG4722" s="1" t="s">
        <v>30</v>
      </c>
    </row>
    <row r="4723" spans="1:33">
      <c r="A4723" t="s">
        <v>16147</v>
      </c>
      <c r="C4723" t="s">
        <v>4236</v>
      </c>
      <c r="E4723" t="s">
        <v>15359</v>
      </c>
      <c r="F4723" t="s">
        <v>10934</v>
      </c>
      <c r="G4723">
        <v>590.0</v>
      </c>
      <c r="H4723">
        <v>590.0</v>
      </c>
      <c r="I4723" t="s">
        <v>179</v>
      </c>
      <c r="J4723" t="s">
        <v>180</v>
      </c>
      <c r="K4723" t="s">
        <v>31</v>
      </c>
      <c r="L4723" t="s">
        <v>32</v>
      </c>
      <c r="M4723" t="s">
        <v>33</v>
      </c>
      <c r="P4723" s="1" t="s">
        <v>16148</v>
      </c>
      <c r="Q4723" s="1" t="s">
        <v>15359</v>
      </c>
      <c r="R4723" s="1" t="s">
        <v>15359</v>
      </c>
      <c r="S4723" s="1"/>
      <c r="T4723" s="1" t="s">
        <v>4236</v>
      </c>
      <c r="U4723" s="1"/>
      <c r="V4723" s="1">
        <v>590.0</v>
      </c>
      <c r="W4723" s="1">
        <v>590.0</v>
      </c>
      <c r="X4723" s="1" t="s">
        <v>35</v>
      </c>
      <c r="Y4723" s="1">
        <v>590000</v>
      </c>
      <c r="Z4723" s="1"/>
      <c r="AA4723" s="1">
        <v>590000</v>
      </c>
      <c r="AB4723" s="1"/>
      <c r="AC4723" s="1" t="s">
        <v>36</v>
      </c>
      <c r="AD4723" s="1" t="s">
        <v>16149</v>
      </c>
      <c r="AE4723" s="1" t="s">
        <v>32</v>
      </c>
      <c r="AF4723" s="1" t="s">
        <v>33</v>
      </c>
      <c r="AG4723" s="1" t="s">
        <v>180</v>
      </c>
    </row>
    <row r="4724" spans="1:33">
      <c r="A4724" t="s">
        <v>16150</v>
      </c>
      <c r="C4724" t="s">
        <v>2236</v>
      </c>
      <c r="E4724" t="s">
        <v>15359</v>
      </c>
      <c r="F4724" t="s">
        <v>10934</v>
      </c>
      <c r="G4724">
        <v>45.0</v>
      </c>
      <c r="H4724">
        <v>45.0</v>
      </c>
      <c r="I4724" t="s">
        <v>269</v>
      </c>
      <c r="J4724" t="s">
        <v>270</v>
      </c>
      <c r="K4724" t="s">
        <v>31</v>
      </c>
      <c r="L4724" t="s">
        <v>32</v>
      </c>
      <c r="M4724" t="s">
        <v>33</v>
      </c>
      <c r="P4724" s="1" t="s">
        <v>16151</v>
      </c>
      <c r="Q4724" s="1" t="s">
        <v>15359</v>
      </c>
      <c r="R4724" s="1" t="s">
        <v>15359</v>
      </c>
      <c r="S4724" s="1"/>
      <c r="T4724" s="1" t="s">
        <v>2236</v>
      </c>
      <c r="U4724" s="1"/>
      <c r="V4724" s="1">
        <v>45.0</v>
      </c>
      <c r="W4724" s="1">
        <v>45.0</v>
      </c>
      <c r="X4724" s="1" t="s">
        <v>35</v>
      </c>
      <c r="Y4724" s="1">
        <v>45000</v>
      </c>
      <c r="Z4724" s="1"/>
      <c r="AA4724" s="1">
        <v>45000</v>
      </c>
      <c r="AB4724" s="1"/>
      <c r="AC4724" s="1" t="s">
        <v>36</v>
      </c>
      <c r="AD4724" s="1" t="s">
        <v>16152</v>
      </c>
      <c r="AE4724" s="1" t="s">
        <v>32</v>
      </c>
      <c r="AF4724" s="1" t="s">
        <v>33</v>
      </c>
      <c r="AG4724" s="1" t="s">
        <v>270</v>
      </c>
    </row>
    <row r="4725" spans="1:33">
      <c r="A4725" t="s">
        <v>16153</v>
      </c>
      <c r="B4725" t="s">
        <v>3243</v>
      </c>
      <c r="C4725" t="s">
        <v>3244</v>
      </c>
      <c r="E4725" t="s">
        <v>15359</v>
      </c>
      <c r="F4725" t="s">
        <v>10934</v>
      </c>
      <c r="G4725">
        <v>370.0</v>
      </c>
      <c r="H4725">
        <v>370.0</v>
      </c>
      <c r="I4725" t="s">
        <v>59</v>
      </c>
      <c r="J4725" t="s">
        <v>60</v>
      </c>
      <c r="K4725" t="s">
        <v>31</v>
      </c>
      <c r="L4725" t="s">
        <v>32</v>
      </c>
      <c r="M4725" t="s">
        <v>33</v>
      </c>
      <c r="P4725" s="1" t="s">
        <v>16154</v>
      </c>
      <c r="Q4725" s="1" t="s">
        <v>15359</v>
      </c>
      <c r="R4725" s="1" t="s">
        <v>15359</v>
      </c>
      <c r="S4725" s="1"/>
      <c r="T4725" s="1" t="s">
        <v>3246</v>
      </c>
      <c r="U4725" s="1" t="s">
        <v>3247</v>
      </c>
      <c r="V4725" s="1">
        <v>370.0</v>
      </c>
      <c r="W4725" s="1">
        <v>370.0</v>
      </c>
      <c r="X4725" s="1" t="s">
        <v>35</v>
      </c>
      <c r="Y4725" s="1">
        <v>370000</v>
      </c>
      <c r="Z4725" s="1"/>
      <c r="AA4725" s="1">
        <v>370000</v>
      </c>
      <c r="AB4725" s="1"/>
      <c r="AC4725" s="1" t="s">
        <v>36</v>
      </c>
      <c r="AD4725" s="1" t="s">
        <v>16155</v>
      </c>
      <c r="AE4725" s="1" t="s">
        <v>32</v>
      </c>
      <c r="AF4725" s="1" t="s">
        <v>33</v>
      </c>
      <c r="AG4725" s="1" t="s">
        <v>60</v>
      </c>
    </row>
    <row r="4726" spans="1:33">
      <c r="A4726" t="s">
        <v>16156</v>
      </c>
      <c r="C4726" t="s">
        <v>1468</v>
      </c>
      <c r="E4726" t="s">
        <v>15359</v>
      </c>
      <c r="F4726" t="s">
        <v>10934</v>
      </c>
      <c r="G4726">
        <v>508.0</v>
      </c>
      <c r="H4726">
        <v>508.0</v>
      </c>
      <c r="I4726" t="s">
        <v>269</v>
      </c>
      <c r="J4726" t="s">
        <v>270</v>
      </c>
      <c r="K4726" t="s">
        <v>31</v>
      </c>
      <c r="L4726" t="s">
        <v>32</v>
      </c>
      <c r="M4726" t="s">
        <v>33</v>
      </c>
      <c r="P4726" s="1" t="s">
        <v>16157</v>
      </c>
      <c r="Q4726" s="1" t="s">
        <v>15359</v>
      </c>
      <c r="R4726" s="1" t="s">
        <v>15359</v>
      </c>
      <c r="S4726" s="1"/>
      <c r="T4726" s="1" t="s">
        <v>1468</v>
      </c>
      <c r="U4726" s="1"/>
      <c r="V4726" s="1">
        <v>508.0</v>
      </c>
      <c r="W4726" s="1">
        <v>508.0</v>
      </c>
      <c r="X4726" s="1" t="s">
        <v>35</v>
      </c>
      <c r="Y4726" s="1">
        <v>508000</v>
      </c>
      <c r="Z4726" s="1"/>
      <c r="AA4726" s="1">
        <v>508000</v>
      </c>
      <c r="AB4726" s="1"/>
      <c r="AC4726" s="1" t="s">
        <v>36</v>
      </c>
      <c r="AD4726" s="1" t="s">
        <v>16158</v>
      </c>
      <c r="AE4726" s="1" t="s">
        <v>32</v>
      </c>
      <c r="AF4726" s="1" t="s">
        <v>33</v>
      </c>
      <c r="AG4726" s="1" t="s">
        <v>270</v>
      </c>
    </row>
    <row r="4727" spans="1:33">
      <c r="A4727" t="s">
        <v>16159</v>
      </c>
      <c r="B4727" t="s">
        <v>16160</v>
      </c>
      <c r="C4727" t="s">
        <v>314</v>
      </c>
      <c r="E4727" t="s">
        <v>15359</v>
      </c>
      <c r="F4727" t="s">
        <v>10934</v>
      </c>
      <c r="G4727">
        <v>32.5</v>
      </c>
      <c r="H4727">
        <v>32.5</v>
      </c>
      <c r="I4727" t="s">
        <v>179</v>
      </c>
      <c r="J4727" t="s">
        <v>180</v>
      </c>
      <c r="K4727" t="s">
        <v>31</v>
      </c>
      <c r="L4727" t="s">
        <v>32</v>
      </c>
      <c r="M4727" t="s">
        <v>33</v>
      </c>
      <c r="P4727" s="1" t="s">
        <v>16161</v>
      </c>
      <c r="Q4727" s="1" t="s">
        <v>15359</v>
      </c>
      <c r="R4727" s="1" t="s">
        <v>15359</v>
      </c>
      <c r="S4727" s="1"/>
      <c r="T4727" s="1" t="s">
        <v>314</v>
      </c>
      <c r="U4727" s="1"/>
      <c r="V4727" s="1">
        <v>32.5</v>
      </c>
      <c r="W4727" s="1">
        <v>32.5</v>
      </c>
      <c r="X4727" s="1" t="s">
        <v>35</v>
      </c>
      <c r="Y4727" s="1">
        <v>32500</v>
      </c>
      <c r="Z4727" s="1"/>
      <c r="AA4727" s="1">
        <v>32500</v>
      </c>
      <c r="AB4727" s="1"/>
      <c r="AC4727" s="1" t="s">
        <v>36</v>
      </c>
      <c r="AD4727" s="1" t="s">
        <v>16162</v>
      </c>
      <c r="AE4727" s="1" t="s">
        <v>32</v>
      </c>
      <c r="AF4727" s="1" t="s">
        <v>33</v>
      </c>
      <c r="AG4727" s="1" t="s">
        <v>180</v>
      </c>
    </row>
    <row r="4728" spans="1:33">
      <c r="A4728" t="s">
        <v>16163</v>
      </c>
      <c r="C4728" t="s">
        <v>1053</v>
      </c>
      <c r="E4728" t="s">
        <v>15359</v>
      </c>
      <c r="F4728" t="s">
        <v>10934</v>
      </c>
      <c r="G4728">
        <v>235.0</v>
      </c>
      <c r="H4728">
        <v>235.0</v>
      </c>
      <c r="I4728" t="s">
        <v>179</v>
      </c>
      <c r="J4728" t="s">
        <v>180</v>
      </c>
      <c r="K4728" t="s">
        <v>31</v>
      </c>
      <c r="L4728" t="s">
        <v>32</v>
      </c>
      <c r="M4728" t="s">
        <v>33</v>
      </c>
      <c r="P4728" s="1" t="s">
        <v>16164</v>
      </c>
      <c r="Q4728" s="1" t="s">
        <v>15359</v>
      </c>
      <c r="R4728" s="1" t="s">
        <v>15359</v>
      </c>
      <c r="S4728" s="1"/>
      <c r="T4728" s="1" t="s">
        <v>1053</v>
      </c>
      <c r="U4728" s="1"/>
      <c r="V4728" s="1">
        <v>235.0</v>
      </c>
      <c r="W4728" s="1">
        <v>235.0</v>
      </c>
      <c r="X4728" s="1" t="s">
        <v>35</v>
      </c>
      <c r="Y4728" s="1">
        <v>235000</v>
      </c>
      <c r="Z4728" s="1"/>
      <c r="AA4728" s="1">
        <v>235000</v>
      </c>
      <c r="AB4728" s="1"/>
      <c r="AC4728" s="1" t="s">
        <v>36</v>
      </c>
      <c r="AD4728" s="1" t="s">
        <v>16152</v>
      </c>
      <c r="AE4728" s="1" t="s">
        <v>32</v>
      </c>
      <c r="AF4728" s="1" t="s">
        <v>33</v>
      </c>
      <c r="AG4728" s="1" t="s">
        <v>180</v>
      </c>
    </row>
    <row r="4729" spans="1:33">
      <c r="A4729" t="s">
        <v>16165</v>
      </c>
      <c r="C4729" t="s">
        <v>2617</v>
      </c>
      <c r="E4729" t="s">
        <v>15359</v>
      </c>
      <c r="F4729" t="s">
        <v>10934</v>
      </c>
      <c r="G4729">
        <v>139.0</v>
      </c>
      <c r="H4729">
        <v>139.0</v>
      </c>
      <c r="I4729" t="s">
        <v>179</v>
      </c>
      <c r="J4729" t="s">
        <v>180</v>
      </c>
      <c r="K4729" t="s">
        <v>31</v>
      </c>
      <c r="L4729" t="s">
        <v>32</v>
      </c>
      <c r="M4729" t="s">
        <v>33</v>
      </c>
      <c r="P4729" s="1" t="s">
        <v>16166</v>
      </c>
      <c r="Q4729" s="1" t="s">
        <v>15359</v>
      </c>
      <c r="R4729" s="1" t="s">
        <v>15359</v>
      </c>
      <c r="S4729" s="1"/>
      <c r="T4729" s="1" t="s">
        <v>2617</v>
      </c>
      <c r="U4729" s="1"/>
      <c r="V4729" s="1">
        <v>139.0</v>
      </c>
      <c r="W4729" s="1">
        <v>139.0</v>
      </c>
      <c r="X4729" s="1" t="s">
        <v>35</v>
      </c>
      <c r="Y4729" s="1">
        <v>139000</v>
      </c>
      <c r="Z4729" s="1"/>
      <c r="AA4729" s="1">
        <v>139000</v>
      </c>
      <c r="AB4729" s="1"/>
      <c r="AC4729" s="1" t="s">
        <v>36</v>
      </c>
      <c r="AD4729" s="1" t="s">
        <v>16167</v>
      </c>
      <c r="AE4729" s="1" t="s">
        <v>32</v>
      </c>
      <c r="AF4729" s="1" t="s">
        <v>33</v>
      </c>
      <c r="AG4729" s="1" t="s">
        <v>180</v>
      </c>
    </row>
    <row r="4730" spans="1:33">
      <c r="A4730" t="s">
        <v>16168</v>
      </c>
      <c r="B4730" t="s">
        <v>3824</v>
      </c>
      <c r="C4730" t="s">
        <v>314</v>
      </c>
      <c r="E4730" t="s">
        <v>15359</v>
      </c>
      <c r="F4730" t="s">
        <v>10934</v>
      </c>
      <c r="G4730">
        <v>74.98</v>
      </c>
      <c r="H4730">
        <v>74.98</v>
      </c>
      <c r="I4730" t="s">
        <v>179</v>
      </c>
      <c r="J4730" t="s">
        <v>180</v>
      </c>
      <c r="K4730" t="s">
        <v>31</v>
      </c>
      <c r="L4730" t="s">
        <v>32</v>
      </c>
      <c r="M4730" t="s">
        <v>33</v>
      </c>
      <c r="P4730" s="1" t="s">
        <v>16169</v>
      </c>
      <c r="Q4730" s="1" t="s">
        <v>15359</v>
      </c>
      <c r="R4730" s="1" t="s">
        <v>15359</v>
      </c>
      <c r="S4730" s="1"/>
      <c r="T4730" s="1" t="s">
        <v>314</v>
      </c>
      <c r="U4730" s="1"/>
      <c r="V4730" s="1">
        <v>74.98</v>
      </c>
      <c r="W4730" s="1">
        <v>74.98</v>
      </c>
      <c r="X4730" s="1" t="s">
        <v>35</v>
      </c>
      <c r="Y4730" s="1">
        <v>74980</v>
      </c>
      <c r="Z4730" s="1"/>
      <c r="AA4730" s="1">
        <v>74980</v>
      </c>
      <c r="AB4730" s="1"/>
      <c r="AC4730" s="1" t="s">
        <v>36</v>
      </c>
      <c r="AD4730" s="1" t="s">
        <v>16170</v>
      </c>
      <c r="AE4730" s="1" t="s">
        <v>32</v>
      </c>
      <c r="AF4730" s="1" t="s">
        <v>33</v>
      </c>
      <c r="AG4730" s="1" t="s">
        <v>180</v>
      </c>
    </row>
    <row r="4731" spans="1:33">
      <c r="A4731" t="s">
        <v>16171</v>
      </c>
      <c r="B4731" t="s">
        <v>16172</v>
      </c>
      <c r="C4731" t="s">
        <v>268</v>
      </c>
      <c r="E4731" t="s">
        <v>15359</v>
      </c>
      <c r="F4731" t="s">
        <v>10934</v>
      </c>
      <c r="G4731">
        <v>16.9</v>
      </c>
      <c r="H4731">
        <v>16.9</v>
      </c>
      <c r="I4731" t="s">
        <v>269</v>
      </c>
      <c r="J4731" t="s">
        <v>270</v>
      </c>
      <c r="K4731" t="s">
        <v>31</v>
      </c>
      <c r="L4731" t="s">
        <v>32</v>
      </c>
      <c r="M4731" t="s">
        <v>33</v>
      </c>
      <c r="P4731" s="1" t="s">
        <v>16173</v>
      </c>
      <c r="Q4731" s="1" t="s">
        <v>15359</v>
      </c>
      <c r="R4731" s="1" t="s">
        <v>15359</v>
      </c>
      <c r="S4731" s="1"/>
      <c r="T4731" s="1" t="s">
        <v>268</v>
      </c>
      <c r="U4731" s="1"/>
      <c r="V4731" s="1">
        <v>16.9</v>
      </c>
      <c r="W4731" s="1">
        <v>16.9</v>
      </c>
      <c r="X4731" s="1" t="s">
        <v>35</v>
      </c>
      <c r="Y4731" s="1">
        <v>16900</v>
      </c>
      <c r="Z4731" s="1"/>
      <c r="AA4731" s="1">
        <v>16900</v>
      </c>
      <c r="AB4731" s="1"/>
      <c r="AC4731" s="1" t="s">
        <v>36</v>
      </c>
      <c r="AD4731" s="1" t="s">
        <v>16174</v>
      </c>
      <c r="AE4731" s="1" t="s">
        <v>32</v>
      </c>
      <c r="AF4731" s="1" t="s">
        <v>33</v>
      </c>
      <c r="AG4731" s="1" t="s">
        <v>270</v>
      </c>
    </row>
    <row r="4732" spans="1:33">
      <c r="A4732" t="s">
        <v>16175</v>
      </c>
      <c r="C4732" t="s">
        <v>190</v>
      </c>
      <c r="D4732" t="s">
        <v>154</v>
      </c>
      <c r="E4732" t="s">
        <v>15359</v>
      </c>
      <c r="F4732" t="s">
        <v>10934</v>
      </c>
      <c r="G4732">
        <v>1.816</v>
      </c>
      <c r="H4732">
        <v>1.816</v>
      </c>
      <c r="I4732" t="s">
        <v>2206</v>
      </c>
      <c r="J4732" t="s">
        <v>49</v>
      </c>
      <c r="K4732" t="s">
        <v>31</v>
      </c>
      <c r="L4732" t="s">
        <v>32</v>
      </c>
      <c r="M4732" t="s">
        <v>33</v>
      </c>
      <c r="P4732" s="1" t="s">
        <v>16176</v>
      </c>
      <c r="Q4732" s="1" t="s">
        <v>15359</v>
      </c>
      <c r="R4732" s="1" t="s">
        <v>15359</v>
      </c>
      <c r="S4732" s="1"/>
      <c r="T4732" s="1" t="s">
        <v>190</v>
      </c>
      <c r="U4732" s="1"/>
      <c r="V4732" s="1">
        <v>1.816</v>
      </c>
      <c r="W4732" s="1">
        <v>1.816</v>
      </c>
      <c r="X4732" s="1" t="s">
        <v>35</v>
      </c>
      <c r="Y4732" s="1">
        <v>1816000</v>
      </c>
      <c r="Z4732" s="1"/>
      <c r="AA4732" s="1">
        <v>1816000</v>
      </c>
      <c r="AB4732" s="1"/>
      <c r="AC4732" s="1" t="s">
        <v>36</v>
      </c>
      <c r="AD4732" s="1" t="s">
        <v>16177</v>
      </c>
      <c r="AE4732" s="1" t="s">
        <v>32</v>
      </c>
      <c r="AF4732" s="1" t="s">
        <v>33</v>
      </c>
      <c r="AG4732" s="1" t="s">
        <v>49</v>
      </c>
    </row>
    <row r="4733" spans="1:33">
      <c r="A4733" t="s">
        <v>16178</v>
      </c>
      <c r="C4733" t="s">
        <v>827</v>
      </c>
      <c r="D4733" t="s">
        <v>154</v>
      </c>
      <c r="E4733" t="s">
        <v>15359</v>
      </c>
      <c r="F4733" t="s">
        <v>10934</v>
      </c>
      <c r="G4733">
        <v>20.0</v>
      </c>
      <c r="H4733">
        <v>20.0</v>
      </c>
      <c r="I4733" t="s">
        <v>269</v>
      </c>
      <c r="J4733" t="s">
        <v>270</v>
      </c>
      <c r="K4733" t="s">
        <v>31</v>
      </c>
      <c r="L4733" t="s">
        <v>32</v>
      </c>
      <c r="M4733" t="s">
        <v>33</v>
      </c>
      <c r="P4733" s="1" t="s">
        <v>16179</v>
      </c>
      <c r="Q4733" s="1" t="s">
        <v>15359</v>
      </c>
      <c r="R4733" s="1" t="s">
        <v>15359</v>
      </c>
      <c r="S4733" s="1"/>
      <c r="T4733" s="1" t="s">
        <v>827</v>
      </c>
      <c r="U4733" s="1"/>
      <c r="V4733" s="1">
        <v>20.0</v>
      </c>
      <c r="W4733" s="1">
        <v>20.0</v>
      </c>
      <c r="X4733" s="1" t="s">
        <v>35</v>
      </c>
      <c r="Y4733" s="1">
        <v>20000</v>
      </c>
      <c r="Z4733" s="1"/>
      <c r="AA4733" s="1">
        <v>20000</v>
      </c>
      <c r="AB4733" s="1"/>
      <c r="AC4733" s="1" t="s">
        <v>36</v>
      </c>
      <c r="AD4733" s="1" t="s">
        <v>16180</v>
      </c>
      <c r="AE4733" s="1" t="s">
        <v>32</v>
      </c>
      <c r="AF4733" s="1" t="s">
        <v>33</v>
      </c>
      <c r="AG4733" s="1" t="s">
        <v>270</v>
      </c>
    </row>
    <row r="4734" spans="1:33">
      <c r="A4734" t="s">
        <v>16181</v>
      </c>
      <c r="C4734" t="s">
        <v>16182</v>
      </c>
      <c r="E4734" t="s">
        <v>15359</v>
      </c>
      <c r="F4734" t="s">
        <v>10934</v>
      </c>
      <c r="G4734">
        <v>320.0</v>
      </c>
      <c r="H4734">
        <v>320.0</v>
      </c>
      <c r="I4734" t="s">
        <v>40</v>
      </c>
      <c r="J4734" t="s">
        <v>41</v>
      </c>
      <c r="K4734" t="s">
        <v>31</v>
      </c>
      <c r="L4734" t="s">
        <v>32</v>
      </c>
      <c r="M4734" t="s">
        <v>33</v>
      </c>
      <c r="P4734" s="1" t="s">
        <v>16183</v>
      </c>
      <c r="Q4734" s="1" t="s">
        <v>15359</v>
      </c>
      <c r="R4734" s="1" t="s">
        <v>14225</v>
      </c>
      <c r="S4734" s="1"/>
      <c r="T4734" s="1" t="s">
        <v>16182</v>
      </c>
      <c r="U4734" s="1"/>
      <c r="V4734" s="1">
        <v>320.0</v>
      </c>
      <c r="W4734" s="1">
        <v>320.0</v>
      </c>
      <c r="X4734" s="1" t="s">
        <v>35</v>
      </c>
      <c r="Y4734" s="1">
        <v>320000</v>
      </c>
      <c r="Z4734" s="1"/>
      <c r="AA4734" s="1">
        <v>320000</v>
      </c>
      <c r="AB4734" s="1"/>
      <c r="AC4734" s="1" t="s">
        <v>36</v>
      </c>
      <c r="AD4734" s="1" t="s">
        <v>16184</v>
      </c>
      <c r="AE4734" s="1" t="s">
        <v>32</v>
      </c>
      <c r="AF4734" s="1" t="s">
        <v>33</v>
      </c>
      <c r="AG4734" s="1" t="s">
        <v>41</v>
      </c>
    </row>
    <row r="4735" spans="1:33">
      <c r="A4735" t="s">
        <v>16185</v>
      </c>
      <c r="C4735" t="s">
        <v>3087</v>
      </c>
      <c r="D4735" t="s">
        <v>154</v>
      </c>
      <c r="E4735" t="s">
        <v>15359</v>
      </c>
      <c r="F4735" t="s">
        <v>10934</v>
      </c>
      <c r="G4735">
        <v>504.0</v>
      </c>
      <c r="H4735">
        <v>504.0</v>
      </c>
      <c r="I4735" t="s">
        <v>2206</v>
      </c>
      <c r="J4735" t="s">
        <v>49</v>
      </c>
      <c r="K4735" t="s">
        <v>31</v>
      </c>
      <c r="L4735" t="s">
        <v>32</v>
      </c>
      <c r="M4735" t="s">
        <v>33</v>
      </c>
      <c r="P4735" s="1" t="s">
        <v>16186</v>
      </c>
      <c r="Q4735" s="1" t="s">
        <v>15359</v>
      </c>
      <c r="R4735" s="1" t="s">
        <v>15359</v>
      </c>
      <c r="S4735" s="1"/>
      <c r="T4735" s="1" t="s">
        <v>3087</v>
      </c>
      <c r="U4735" s="1"/>
      <c r="V4735" s="1">
        <v>504.0</v>
      </c>
      <c r="W4735" s="1">
        <v>504.0</v>
      </c>
      <c r="X4735" s="1" t="s">
        <v>35</v>
      </c>
      <c r="Y4735" s="1">
        <v>504000</v>
      </c>
      <c r="Z4735" s="1"/>
      <c r="AA4735" s="1">
        <v>504000</v>
      </c>
      <c r="AB4735" s="1"/>
      <c r="AC4735" s="1" t="s">
        <v>36</v>
      </c>
      <c r="AD4735" s="1" t="s">
        <v>16180</v>
      </c>
      <c r="AE4735" s="1" t="s">
        <v>32</v>
      </c>
      <c r="AF4735" s="1" t="s">
        <v>33</v>
      </c>
      <c r="AG4735" s="1" t="s">
        <v>49</v>
      </c>
    </row>
    <row r="4736" spans="1:33">
      <c r="A4736" t="s">
        <v>16187</v>
      </c>
      <c r="C4736" t="s">
        <v>3087</v>
      </c>
      <c r="D4736" t="s">
        <v>154</v>
      </c>
      <c r="E4736" t="s">
        <v>15359</v>
      </c>
      <c r="F4736" t="s">
        <v>10934</v>
      </c>
      <c r="G4736">
        <v>1.714</v>
      </c>
      <c r="H4736">
        <v>1.714</v>
      </c>
      <c r="I4736" t="s">
        <v>2206</v>
      </c>
      <c r="J4736" t="s">
        <v>49</v>
      </c>
      <c r="K4736" t="s">
        <v>31</v>
      </c>
      <c r="L4736" t="s">
        <v>32</v>
      </c>
      <c r="M4736" t="s">
        <v>33</v>
      </c>
      <c r="P4736" s="1" t="s">
        <v>16188</v>
      </c>
      <c r="Q4736" s="1" t="s">
        <v>15359</v>
      </c>
      <c r="R4736" s="1" t="s">
        <v>15359</v>
      </c>
      <c r="S4736" s="1"/>
      <c r="T4736" s="1" t="s">
        <v>3087</v>
      </c>
      <c r="U4736" s="1"/>
      <c r="V4736" s="1">
        <v>1.714</v>
      </c>
      <c r="W4736" s="1">
        <v>1.714</v>
      </c>
      <c r="X4736" s="1" t="s">
        <v>35</v>
      </c>
      <c r="Y4736" s="1">
        <v>1714500</v>
      </c>
      <c r="Z4736" s="1"/>
      <c r="AA4736" s="1">
        <v>1714500</v>
      </c>
      <c r="AB4736" s="1"/>
      <c r="AC4736" s="1" t="s">
        <v>36</v>
      </c>
      <c r="AD4736" s="1" t="s">
        <v>16189</v>
      </c>
      <c r="AE4736" s="1" t="s">
        <v>32</v>
      </c>
      <c r="AF4736" s="1" t="s">
        <v>33</v>
      </c>
      <c r="AG4736" s="1" t="s">
        <v>49</v>
      </c>
    </row>
    <row r="4737" spans="1:33">
      <c r="A4737" t="s">
        <v>16190</v>
      </c>
      <c r="C4737" t="s">
        <v>10666</v>
      </c>
      <c r="E4737" t="s">
        <v>15359</v>
      </c>
      <c r="F4737" t="s">
        <v>10934</v>
      </c>
      <c r="G4737">
        <v>658.0</v>
      </c>
      <c r="H4737">
        <v>658.0</v>
      </c>
      <c r="I4737" t="s">
        <v>2206</v>
      </c>
      <c r="J4737" t="s">
        <v>49</v>
      </c>
      <c r="K4737" t="s">
        <v>31</v>
      </c>
      <c r="L4737" t="s">
        <v>32</v>
      </c>
      <c r="M4737" t="s">
        <v>33</v>
      </c>
      <c r="P4737" s="1" t="s">
        <v>16191</v>
      </c>
      <c r="Q4737" s="1" t="s">
        <v>15359</v>
      </c>
      <c r="R4737" s="1" t="s">
        <v>15359</v>
      </c>
      <c r="S4737" s="1"/>
      <c r="T4737" s="1" t="s">
        <v>10666</v>
      </c>
      <c r="U4737" s="1"/>
      <c r="V4737" s="1">
        <v>658.0</v>
      </c>
      <c r="W4737" s="1">
        <v>658.0</v>
      </c>
      <c r="X4737" s="1" t="s">
        <v>35</v>
      </c>
      <c r="Y4737" s="1">
        <v>658000</v>
      </c>
      <c r="Z4737" s="1"/>
      <c r="AA4737" s="1">
        <v>658000</v>
      </c>
      <c r="AB4737" s="1"/>
      <c r="AC4737" s="1" t="s">
        <v>36</v>
      </c>
      <c r="AD4737" s="1" t="s">
        <v>16192</v>
      </c>
      <c r="AE4737" s="1" t="s">
        <v>32</v>
      </c>
      <c r="AF4737" s="1" t="s">
        <v>33</v>
      </c>
      <c r="AG4737" s="1" t="s">
        <v>49</v>
      </c>
    </row>
    <row r="4738" spans="1:33">
      <c r="A4738" t="s">
        <v>16193</v>
      </c>
      <c r="C4738" t="s">
        <v>595</v>
      </c>
      <c r="E4738" t="s">
        <v>15359</v>
      </c>
      <c r="F4738" t="s">
        <v>10934</v>
      </c>
      <c r="G4738">
        <v>1.274</v>
      </c>
      <c r="H4738">
        <v>1.274</v>
      </c>
      <c r="I4738" t="s">
        <v>269</v>
      </c>
      <c r="J4738" t="s">
        <v>270</v>
      </c>
      <c r="K4738" t="s">
        <v>31</v>
      </c>
      <c r="L4738" t="s">
        <v>32</v>
      </c>
      <c r="M4738" t="s">
        <v>33</v>
      </c>
      <c r="P4738" s="1" t="s">
        <v>16194</v>
      </c>
      <c r="Q4738" s="1" t="s">
        <v>15359</v>
      </c>
      <c r="R4738" s="1" t="s">
        <v>15359</v>
      </c>
      <c r="S4738" s="1"/>
      <c r="T4738" s="1" t="s">
        <v>595</v>
      </c>
      <c r="U4738" s="1"/>
      <c r="V4738" s="1">
        <v>1.274</v>
      </c>
      <c r="W4738" s="1">
        <v>1.274</v>
      </c>
      <c r="X4738" s="1" t="s">
        <v>35</v>
      </c>
      <c r="Y4738" s="1">
        <v>1274250</v>
      </c>
      <c r="Z4738" s="1"/>
      <c r="AA4738" s="1">
        <v>1274250</v>
      </c>
      <c r="AB4738" s="1"/>
      <c r="AC4738" s="1" t="s">
        <v>36</v>
      </c>
      <c r="AD4738" s="1" t="s">
        <v>16195</v>
      </c>
      <c r="AE4738" s="1" t="s">
        <v>32</v>
      </c>
      <c r="AF4738" s="1" t="s">
        <v>33</v>
      </c>
      <c r="AG4738" s="1" t="s">
        <v>270</v>
      </c>
    </row>
    <row r="4739" spans="1:33">
      <c r="A4739" t="s">
        <v>16196</v>
      </c>
      <c r="C4739" t="s">
        <v>1079</v>
      </c>
      <c r="D4739" t="s">
        <v>114</v>
      </c>
      <c r="E4739" t="s">
        <v>15359</v>
      </c>
      <c r="F4739" t="s">
        <v>10934</v>
      </c>
      <c r="G4739">
        <v>1.376</v>
      </c>
      <c r="H4739">
        <v>1.376</v>
      </c>
      <c r="I4739" t="s">
        <v>269</v>
      </c>
      <c r="J4739" t="s">
        <v>270</v>
      </c>
      <c r="K4739" t="s">
        <v>31</v>
      </c>
      <c r="L4739" t="s">
        <v>32</v>
      </c>
      <c r="M4739" t="s">
        <v>33</v>
      </c>
      <c r="P4739" s="1" t="s">
        <v>16197</v>
      </c>
      <c r="Q4739" s="1" t="s">
        <v>15359</v>
      </c>
      <c r="R4739" s="1" t="s">
        <v>15359</v>
      </c>
      <c r="S4739" s="1"/>
      <c r="T4739" s="1" t="s">
        <v>1079</v>
      </c>
      <c r="U4739" s="1"/>
      <c r="V4739" s="1">
        <v>1.376</v>
      </c>
      <c r="W4739" s="1">
        <v>1.376</v>
      </c>
      <c r="X4739" s="1" t="s">
        <v>35</v>
      </c>
      <c r="Y4739" s="1">
        <v>1376000</v>
      </c>
      <c r="Z4739" s="1"/>
      <c r="AA4739" s="1">
        <v>1376000</v>
      </c>
      <c r="AB4739" s="1"/>
      <c r="AC4739" s="1" t="s">
        <v>36</v>
      </c>
      <c r="AD4739" s="1" t="s">
        <v>16198</v>
      </c>
      <c r="AE4739" s="1" t="s">
        <v>32</v>
      </c>
      <c r="AF4739" s="1" t="s">
        <v>33</v>
      </c>
      <c r="AG4739" s="1" t="s">
        <v>270</v>
      </c>
    </row>
    <row r="4740" spans="1:33">
      <c r="A4740" t="s">
        <v>16199</v>
      </c>
      <c r="C4740" t="s">
        <v>4726</v>
      </c>
      <c r="E4740" t="s">
        <v>15359</v>
      </c>
      <c r="F4740" t="s">
        <v>10934</v>
      </c>
      <c r="G4740">
        <v>649.0</v>
      </c>
      <c r="H4740">
        <v>649.0</v>
      </c>
      <c r="I4740" t="s">
        <v>269</v>
      </c>
      <c r="J4740" t="s">
        <v>270</v>
      </c>
      <c r="K4740" t="s">
        <v>31</v>
      </c>
      <c r="L4740" t="s">
        <v>32</v>
      </c>
      <c r="M4740" t="s">
        <v>33</v>
      </c>
      <c r="P4740" s="1" t="s">
        <v>16200</v>
      </c>
      <c r="Q4740" s="1" t="s">
        <v>15359</v>
      </c>
      <c r="R4740" s="1" t="s">
        <v>15359</v>
      </c>
      <c r="S4740" s="1"/>
      <c r="T4740" s="1" t="s">
        <v>4726</v>
      </c>
      <c r="U4740" s="1"/>
      <c r="V4740" s="1">
        <v>649.0</v>
      </c>
      <c r="W4740" s="1">
        <v>649.0</v>
      </c>
      <c r="X4740" s="1" t="s">
        <v>35</v>
      </c>
      <c r="Y4740" s="1">
        <v>649000</v>
      </c>
      <c r="Z4740" s="1"/>
      <c r="AA4740" s="1">
        <v>649000</v>
      </c>
      <c r="AB4740" s="1"/>
      <c r="AC4740" s="1" t="s">
        <v>36</v>
      </c>
      <c r="AD4740" s="1" t="s">
        <v>16201</v>
      </c>
      <c r="AE4740" s="1" t="s">
        <v>32</v>
      </c>
      <c r="AF4740" s="1" t="s">
        <v>33</v>
      </c>
      <c r="AG4740" s="1" t="s">
        <v>270</v>
      </c>
    </row>
    <row r="4741" spans="1:33">
      <c r="A4741" t="s">
        <v>16202</v>
      </c>
      <c r="B4741" t="s">
        <v>16203</v>
      </c>
      <c r="C4741" t="s">
        <v>125</v>
      </c>
      <c r="E4741" t="s">
        <v>15359</v>
      </c>
      <c r="F4741" t="s">
        <v>10934</v>
      </c>
      <c r="G4741">
        <v>18.49</v>
      </c>
      <c r="H4741">
        <v>18.49</v>
      </c>
      <c r="I4741" t="s">
        <v>126</v>
      </c>
      <c r="J4741" t="s">
        <v>127</v>
      </c>
      <c r="K4741" t="s">
        <v>31</v>
      </c>
      <c r="L4741" t="s">
        <v>32</v>
      </c>
      <c r="M4741" t="s">
        <v>33</v>
      </c>
      <c r="P4741" s="1" t="s">
        <v>16204</v>
      </c>
      <c r="Q4741" s="1" t="s">
        <v>15359</v>
      </c>
      <c r="R4741" s="1" t="s">
        <v>15359</v>
      </c>
      <c r="S4741" s="1"/>
      <c r="T4741" s="1" t="s">
        <v>125</v>
      </c>
      <c r="U4741" s="1"/>
      <c r="V4741" s="1">
        <v>18.49</v>
      </c>
      <c r="W4741" s="1">
        <v>18.49</v>
      </c>
      <c r="X4741" s="1" t="s">
        <v>35</v>
      </c>
      <c r="Y4741" s="1">
        <v>18490</v>
      </c>
      <c r="Z4741" s="1"/>
      <c r="AA4741" s="1">
        <v>18490</v>
      </c>
      <c r="AB4741" s="1"/>
      <c r="AC4741" s="1" t="s">
        <v>36</v>
      </c>
      <c r="AD4741" s="1" t="s">
        <v>16205</v>
      </c>
      <c r="AE4741" s="1" t="s">
        <v>32</v>
      </c>
      <c r="AF4741" s="1" t="s">
        <v>33</v>
      </c>
      <c r="AG4741" s="1" t="s">
        <v>127</v>
      </c>
    </row>
    <row r="4742" spans="1:33">
      <c r="A4742" t="s">
        <v>16206</v>
      </c>
      <c r="B4742" t="s">
        <v>7447</v>
      </c>
      <c r="C4742" t="s">
        <v>68</v>
      </c>
      <c r="E4742" t="s">
        <v>15359</v>
      </c>
      <c r="F4742" t="s">
        <v>10934</v>
      </c>
      <c r="G4742">
        <v>18.49</v>
      </c>
      <c r="H4742">
        <v>18.49</v>
      </c>
      <c r="I4742" t="s">
        <v>59</v>
      </c>
      <c r="J4742" t="s">
        <v>60</v>
      </c>
      <c r="K4742" t="s">
        <v>31</v>
      </c>
      <c r="L4742" t="s">
        <v>32</v>
      </c>
      <c r="M4742" t="s">
        <v>33</v>
      </c>
      <c r="P4742" s="1" t="s">
        <v>16207</v>
      </c>
      <c r="Q4742" s="1" t="s">
        <v>15359</v>
      </c>
      <c r="R4742" s="1" t="s">
        <v>15359</v>
      </c>
      <c r="S4742" s="1"/>
      <c r="T4742" s="1" t="s">
        <v>68</v>
      </c>
      <c r="U4742" s="1"/>
      <c r="V4742" s="1">
        <v>18.49</v>
      </c>
      <c r="W4742" s="1">
        <v>18.49</v>
      </c>
      <c r="X4742" s="1" t="s">
        <v>35</v>
      </c>
      <c r="Y4742" s="1">
        <v>18490</v>
      </c>
      <c r="Z4742" s="1"/>
      <c r="AA4742" s="1">
        <v>18490</v>
      </c>
      <c r="AB4742" s="1"/>
      <c r="AC4742" s="1" t="s">
        <v>36</v>
      </c>
      <c r="AD4742" s="1" t="s">
        <v>16208</v>
      </c>
      <c r="AE4742" s="1" t="s">
        <v>32</v>
      </c>
      <c r="AF4742" s="1" t="s">
        <v>33</v>
      </c>
      <c r="AG4742" s="1" t="s">
        <v>60</v>
      </c>
    </row>
    <row r="4743" spans="1:33">
      <c r="A4743" t="s">
        <v>16209</v>
      </c>
      <c r="B4743" t="s">
        <v>16210</v>
      </c>
      <c r="C4743" t="s">
        <v>172</v>
      </c>
      <c r="E4743" t="s">
        <v>15359</v>
      </c>
      <c r="F4743" t="s">
        <v>10934</v>
      </c>
      <c r="G4743">
        <v>235.0</v>
      </c>
      <c r="H4743">
        <v>235.0</v>
      </c>
      <c r="I4743" t="s">
        <v>173</v>
      </c>
      <c r="J4743" t="s">
        <v>174</v>
      </c>
      <c r="K4743" t="s">
        <v>31</v>
      </c>
      <c r="L4743" t="s">
        <v>32</v>
      </c>
      <c r="M4743" t="s">
        <v>33</v>
      </c>
      <c r="P4743" s="1" t="s">
        <v>16211</v>
      </c>
      <c r="Q4743" s="1" t="s">
        <v>15359</v>
      </c>
      <c r="R4743" s="1" t="s">
        <v>15359</v>
      </c>
      <c r="S4743" s="1"/>
      <c r="T4743" s="1" t="s">
        <v>172</v>
      </c>
      <c r="U4743" s="1"/>
      <c r="V4743" s="1">
        <v>235.0</v>
      </c>
      <c r="W4743" s="1">
        <v>235.0</v>
      </c>
      <c r="X4743" s="1" t="s">
        <v>35</v>
      </c>
      <c r="Y4743" s="1">
        <v>235000</v>
      </c>
      <c r="Z4743" s="1"/>
      <c r="AA4743" s="1">
        <v>235000</v>
      </c>
      <c r="AB4743" s="1"/>
      <c r="AC4743" s="1" t="s">
        <v>36</v>
      </c>
      <c r="AD4743" s="1" t="s">
        <v>16212</v>
      </c>
      <c r="AE4743" s="1" t="s">
        <v>32</v>
      </c>
      <c r="AF4743" s="1" t="s">
        <v>33</v>
      </c>
      <c r="AG4743" s="1" t="s">
        <v>174</v>
      </c>
    </row>
    <row r="4744" spans="1:33">
      <c r="A4744" t="s">
        <v>16213</v>
      </c>
      <c r="B4744" t="s">
        <v>16214</v>
      </c>
      <c r="C4744" t="s">
        <v>47</v>
      </c>
      <c r="E4744" t="s">
        <v>15359</v>
      </c>
      <c r="F4744" t="s">
        <v>10934</v>
      </c>
      <c r="G4744">
        <v>18.49</v>
      </c>
      <c r="H4744">
        <v>18.49</v>
      </c>
      <c r="I4744" t="s">
        <v>2206</v>
      </c>
      <c r="J4744" t="s">
        <v>49</v>
      </c>
      <c r="K4744" t="s">
        <v>31</v>
      </c>
      <c r="L4744" t="s">
        <v>32</v>
      </c>
      <c r="M4744" t="s">
        <v>33</v>
      </c>
      <c r="P4744" s="1" t="s">
        <v>16215</v>
      </c>
      <c r="Q4744" s="1" t="s">
        <v>15359</v>
      </c>
      <c r="R4744" s="1" t="s">
        <v>15359</v>
      </c>
      <c r="S4744" s="1"/>
      <c r="T4744" s="1" t="s">
        <v>47</v>
      </c>
      <c r="U4744" s="1"/>
      <c r="V4744" s="1">
        <v>18.49</v>
      </c>
      <c r="W4744" s="1">
        <v>18.49</v>
      </c>
      <c r="X4744" s="1" t="s">
        <v>35</v>
      </c>
      <c r="Y4744" s="1">
        <v>18490</v>
      </c>
      <c r="Z4744" s="1"/>
      <c r="AA4744" s="1">
        <v>18490</v>
      </c>
      <c r="AB4744" s="1"/>
      <c r="AC4744" s="1" t="s">
        <v>36</v>
      </c>
      <c r="AD4744" s="1" t="s">
        <v>16216</v>
      </c>
      <c r="AE4744" s="1" t="s">
        <v>32</v>
      </c>
      <c r="AF4744" s="1" t="s">
        <v>33</v>
      </c>
      <c r="AG4744" s="1" t="s">
        <v>49</v>
      </c>
    </row>
    <row r="4745" spans="1:33">
      <c r="A4745" t="s">
        <v>16217</v>
      </c>
      <c r="B4745" t="s">
        <v>9991</v>
      </c>
      <c r="C4745" t="s">
        <v>9992</v>
      </c>
      <c r="E4745" t="s">
        <v>15359</v>
      </c>
      <c r="F4745" t="s">
        <v>10934</v>
      </c>
      <c r="G4745">
        <v>635.0</v>
      </c>
      <c r="H4745">
        <v>635.0</v>
      </c>
      <c r="I4745" t="s">
        <v>40</v>
      </c>
      <c r="J4745" t="s">
        <v>41</v>
      </c>
      <c r="K4745" t="s">
        <v>31</v>
      </c>
      <c r="L4745" t="s">
        <v>32</v>
      </c>
      <c r="M4745" t="s">
        <v>33</v>
      </c>
      <c r="P4745" s="1" t="s">
        <v>16218</v>
      </c>
      <c r="Q4745" s="1" t="s">
        <v>15359</v>
      </c>
      <c r="R4745" s="1" t="s">
        <v>14225</v>
      </c>
      <c r="S4745" s="1"/>
      <c r="T4745" s="1" t="s">
        <v>9992</v>
      </c>
      <c r="U4745" s="1"/>
      <c r="V4745" s="1">
        <v>635.0</v>
      </c>
      <c r="W4745" s="1">
        <v>635.0</v>
      </c>
      <c r="X4745" s="1" t="s">
        <v>35</v>
      </c>
      <c r="Y4745" s="1">
        <v>635000</v>
      </c>
      <c r="Z4745" s="1"/>
      <c r="AA4745" s="1">
        <v>635000</v>
      </c>
      <c r="AB4745" s="1"/>
      <c r="AC4745" s="1" t="s">
        <v>36</v>
      </c>
      <c r="AD4745" s="1" t="s">
        <v>16219</v>
      </c>
      <c r="AE4745" s="1" t="s">
        <v>32</v>
      </c>
      <c r="AF4745" s="1" t="s">
        <v>33</v>
      </c>
      <c r="AG4745" s="1" t="s">
        <v>41</v>
      </c>
    </row>
    <row r="4746" spans="1:33">
      <c r="A4746" t="s">
        <v>16220</v>
      </c>
      <c r="B4746" t="s">
        <v>13078</v>
      </c>
      <c r="C4746" t="s">
        <v>125</v>
      </c>
      <c r="E4746" t="s">
        <v>15359</v>
      </c>
      <c r="F4746" t="s">
        <v>10934</v>
      </c>
      <c r="G4746">
        <v>23.14</v>
      </c>
      <c r="H4746">
        <v>23.14</v>
      </c>
      <c r="I4746" t="s">
        <v>126</v>
      </c>
      <c r="J4746" t="s">
        <v>127</v>
      </c>
      <c r="K4746" t="s">
        <v>31</v>
      </c>
      <c r="L4746" t="s">
        <v>32</v>
      </c>
      <c r="M4746" t="s">
        <v>33</v>
      </c>
      <c r="P4746" s="1" t="s">
        <v>16221</v>
      </c>
      <c r="Q4746" s="1" t="s">
        <v>15359</v>
      </c>
      <c r="R4746" s="1" t="s">
        <v>15359</v>
      </c>
      <c r="S4746" s="1"/>
      <c r="T4746" s="1" t="s">
        <v>125</v>
      </c>
      <c r="U4746" s="1"/>
      <c r="V4746" s="1">
        <v>23.14</v>
      </c>
      <c r="W4746" s="1">
        <v>23.14</v>
      </c>
      <c r="X4746" s="1" t="s">
        <v>35</v>
      </c>
      <c r="Y4746" s="1">
        <v>23140</v>
      </c>
      <c r="Z4746" s="1"/>
      <c r="AA4746" s="1">
        <v>23140</v>
      </c>
      <c r="AB4746" s="1"/>
      <c r="AC4746" s="1" t="s">
        <v>36</v>
      </c>
      <c r="AD4746" s="1" t="s">
        <v>16219</v>
      </c>
      <c r="AE4746" s="1" t="s">
        <v>32</v>
      </c>
      <c r="AF4746" s="1" t="s">
        <v>33</v>
      </c>
      <c r="AG4746" s="1" t="s">
        <v>127</v>
      </c>
    </row>
    <row r="4747" spans="1:33">
      <c r="A4747" t="s">
        <v>16222</v>
      </c>
      <c r="B4747" t="s">
        <v>16223</v>
      </c>
      <c r="C4747" t="s">
        <v>68</v>
      </c>
      <c r="E4747" t="s">
        <v>15359</v>
      </c>
      <c r="F4747" t="s">
        <v>10934</v>
      </c>
      <c r="G4747">
        <v>52.0</v>
      </c>
      <c r="H4747">
        <v>52.0</v>
      </c>
      <c r="I4747" t="s">
        <v>59</v>
      </c>
      <c r="J4747" t="s">
        <v>60</v>
      </c>
      <c r="K4747" t="s">
        <v>31</v>
      </c>
      <c r="L4747" t="s">
        <v>32</v>
      </c>
      <c r="M4747" t="s">
        <v>33</v>
      </c>
      <c r="P4747" s="1" t="s">
        <v>16224</v>
      </c>
      <c r="Q4747" s="1" t="s">
        <v>15359</v>
      </c>
      <c r="R4747" s="1" t="s">
        <v>15359</v>
      </c>
      <c r="S4747" s="1"/>
      <c r="T4747" s="1" t="s">
        <v>68</v>
      </c>
      <c r="U4747" s="1"/>
      <c r="V4747" s="1">
        <v>52.0</v>
      </c>
      <c r="W4747" s="1">
        <v>52.0</v>
      </c>
      <c r="X4747" s="1" t="s">
        <v>35</v>
      </c>
      <c r="Y4747" s="1">
        <v>52000</v>
      </c>
      <c r="Z4747" s="1"/>
      <c r="AA4747" s="1">
        <v>52000</v>
      </c>
      <c r="AB4747" s="1"/>
      <c r="AC4747" s="1" t="s">
        <v>36</v>
      </c>
      <c r="AD4747" s="1" t="s">
        <v>16225</v>
      </c>
      <c r="AE4747" s="1" t="s">
        <v>32</v>
      </c>
      <c r="AF4747" s="1" t="s">
        <v>33</v>
      </c>
      <c r="AG4747" s="1" t="s">
        <v>60</v>
      </c>
    </row>
    <row r="4748" spans="1:33">
      <c r="A4748" t="s">
        <v>16226</v>
      </c>
      <c r="C4748" t="s">
        <v>1420</v>
      </c>
      <c r="E4748" t="s">
        <v>15359</v>
      </c>
      <c r="F4748" t="s">
        <v>10934</v>
      </c>
      <c r="G4748">
        <v>960.0</v>
      </c>
      <c r="H4748">
        <v>960.0</v>
      </c>
      <c r="I4748" t="s">
        <v>40</v>
      </c>
      <c r="J4748" t="s">
        <v>41</v>
      </c>
      <c r="K4748" t="s">
        <v>31</v>
      </c>
      <c r="L4748" t="s">
        <v>32</v>
      </c>
      <c r="M4748" t="s">
        <v>33</v>
      </c>
      <c r="P4748" s="1" t="s">
        <v>16227</v>
      </c>
      <c r="Q4748" s="1" t="s">
        <v>15359</v>
      </c>
      <c r="R4748" s="1" t="s">
        <v>14225</v>
      </c>
      <c r="S4748" s="1"/>
      <c r="T4748" s="1" t="s">
        <v>1420</v>
      </c>
      <c r="U4748" s="1"/>
      <c r="V4748" s="1">
        <v>960.0</v>
      </c>
      <c r="W4748" s="1">
        <v>960.0</v>
      </c>
      <c r="X4748" s="1" t="s">
        <v>35</v>
      </c>
      <c r="Y4748" s="1">
        <v>960000</v>
      </c>
      <c r="Z4748" s="1"/>
      <c r="AA4748" s="1">
        <v>960000</v>
      </c>
      <c r="AB4748" s="1"/>
      <c r="AC4748" s="1" t="s">
        <v>36</v>
      </c>
      <c r="AD4748" s="1" t="s">
        <v>16198</v>
      </c>
      <c r="AE4748" s="1" t="s">
        <v>32</v>
      </c>
      <c r="AF4748" s="1" t="s">
        <v>33</v>
      </c>
      <c r="AG4748" s="1" t="s">
        <v>41</v>
      </c>
    </row>
    <row r="4749" spans="1:33">
      <c r="A4749" t="s">
        <v>16228</v>
      </c>
      <c r="B4749" t="s">
        <v>16229</v>
      </c>
      <c r="C4749" t="s">
        <v>172</v>
      </c>
      <c r="E4749" t="s">
        <v>15359</v>
      </c>
      <c r="F4749" t="s">
        <v>10934</v>
      </c>
      <c r="G4749">
        <v>3.0</v>
      </c>
      <c r="H4749">
        <v>3.0</v>
      </c>
      <c r="I4749" t="s">
        <v>173</v>
      </c>
      <c r="J4749" t="s">
        <v>174</v>
      </c>
      <c r="K4749" t="s">
        <v>31</v>
      </c>
      <c r="L4749" t="s">
        <v>32</v>
      </c>
      <c r="M4749" t="s">
        <v>33</v>
      </c>
      <c r="P4749" s="1" t="s">
        <v>16230</v>
      </c>
      <c r="Q4749" s="1" t="s">
        <v>15359</v>
      </c>
      <c r="R4749" s="1" t="s">
        <v>15359</v>
      </c>
      <c r="S4749" s="1"/>
      <c r="T4749" s="1" t="s">
        <v>172</v>
      </c>
      <c r="U4749" s="1"/>
      <c r="V4749" s="1">
        <v>3.0</v>
      </c>
      <c r="W4749" s="1">
        <v>3.0</v>
      </c>
      <c r="X4749" s="1" t="s">
        <v>35</v>
      </c>
      <c r="Y4749" s="1">
        <v>3000</v>
      </c>
      <c r="Z4749" s="1"/>
      <c r="AA4749" s="1">
        <v>3000</v>
      </c>
      <c r="AB4749" s="1"/>
      <c r="AC4749" s="1" t="s">
        <v>36</v>
      </c>
      <c r="AD4749" s="1" t="s">
        <v>16231</v>
      </c>
      <c r="AE4749" s="1" t="s">
        <v>32</v>
      </c>
      <c r="AF4749" s="1" t="s">
        <v>33</v>
      </c>
      <c r="AG4749" s="1" t="s">
        <v>174</v>
      </c>
    </row>
    <row r="4750" spans="1:33">
      <c r="A4750" t="s">
        <v>16232</v>
      </c>
      <c r="B4750" t="s">
        <v>14661</v>
      </c>
      <c r="C4750" t="s">
        <v>314</v>
      </c>
      <c r="E4750" t="s">
        <v>15359</v>
      </c>
      <c r="F4750" t="s">
        <v>10934</v>
      </c>
      <c r="G4750">
        <v>70.92</v>
      </c>
      <c r="H4750">
        <v>70.92</v>
      </c>
      <c r="I4750" t="s">
        <v>179</v>
      </c>
      <c r="J4750" t="s">
        <v>180</v>
      </c>
      <c r="K4750" t="s">
        <v>31</v>
      </c>
      <c r="L4750" t="s">
        <v>32</v>
      </c>
      <c r="M4750" t="s">
        <v>33</v>
      </c>
      <c r="P4750" s="1" t="s">
        <v>16233</v>
      </c>
      <c r="Q4750" s="1" t="s">
        <v>15359</v>
      </c>
      <c r="R4750" s="1" t="s">
        <v>15359</v>
      </c>
      <c r="S4750" s="1"/>
      <c r="T4750" s="1" t="s">
        <v>314</v>
      </c>
      <c r="U4750" s="1"/>
      <c r="V4750" s="1">
        <v>70.92</v>
      </c>
      <c r="W4750" s="1">
        <v>70.92</v>
      </c>
      <c r="X4750" s="1" t="s">
        <v>35</v>
      </c>
      <c r="Y4750" s="1">
        <v>70920</v>
      </c>
      <c r="Z4750" s="1"/>
      <c r="AA4750" s="1">
        <v>70920</v>
      </c>
      <c r="AB4750" s="1"/>
      <c r="AC4750" s="1" t="s">
        <v>36</v>
      </c>
      <c r="AD4750" s="1" t="s">
        <v>16225</v>
      </c>
      <c r="AE4750" s="1" t="s">
        <v>32</v>
      </c>
      <c r="AF4750" s="1" t="s">
        <v>33</v>
      </c>
      <c r="AG4750" s="1" t="s">
        <v>180</v>
      </c>
    </row>
    <row r="4751" spans="1:33">
      <c r="A4751" t="s">
        <v>16234</v>
      </c>
      <c r="C4751" t="s">
        <v>3678</v>
      </c>
      <c r="E4751" t="s">
        <v>15359</v>
      </c>
      <c r="F4751" t="s">
        <v>10934</v>
      </c>
      <c r="G4751">
        <v>607.5</v>
      </c>
      <c r="H4751">
        <v>607.5</v>
      </c>
      <c r="I4751" t="s">
        <v>269</v>
      </c>
      <c r="J4751" t="s">
        <v>270</v>
      </c>
      <c r="K4751" t="s">
        <v>31</v>
      </c>
      <c r="L4751" t="s">
        <v>32</v>
      </c>
      <c r="M4751" t="s">
        <v>33</v>
      </c>
      <c r="P4751" s="1" t="s">
        <v>16235</v>
      </c>
      <c r="Q4751" s="1" t="s">
        <v>15359</v>
      </c>
      <c r="R4751" s="1" t="s">
        <v>15359</v>
      </c>
      <c r="S4751" s="1"/>
      <c r="T4751" s="1" t="s">
        <v>3678</v>
      </c>
      <c r="U4751" s="1"/>
      <c r="V4751" s="1">
        <v>607.5</v>
      </c>
      <c r="W4751" s="1">
        <v>607.5</v>
      </c>
      <c r="X4751" s="1" t="s">
        <v>35</v>
      </c>
      <c r="Y4751" s="1">
        <v>607500</v>
      </c>
      <c r="Z4751" s="1"/>
      <c r="AA4751" s="1">
        <v>607500</v>
      </c>
      <c r="AB4751" s="1"/>
      <c r="AC4751" s="1" t="s">
        <v>36</v>
      </c>
      <c r="AD4751" s="1" t="s">
        <v>16225</v>
      </c>
      <c r="AE4751" s="1" t="s">
        <v>32</v>
      </c>
      <c r="AF4751" s="1" t="s">
        <v>33</v>
      </c>
      <c r="AG4751" s="1" t="s">
        <v>270</v>
      </c>
    </row>
    <row r="4752" spans="1:33">
      <c r="A4752" t="s">
        <v>16236</v>
      </c>
      <c r="C4752" t="s">
        <v>2842</v>
      </c>
      <c r="E4752" t="s">
        <v>15359</v>
      </c>
      <c r="F4752" t="s">
        <v>10934</v>
      </c>
      <c r="G4752">
        <v>2.415</v>
      </c>
      <c r="H4752">
        <v>2.415</v>
      </c>
      <c r="I4752" t="s">
        <v>2206</v>
      </c>
      <c r="J4752" t="s">
        <v>49</v>
      </c>
      <c r="K4752" t="s">
        <v>31</v>
      </c>
      <c r="L4752" t="s">
        <v>32</v>
      </c>
      <c r="M4752" t="s">
        <v>33</v>
      </c>
      <c r="P4752" s="1" t="s">
        <v>16237</v>
      </c>
      <c r="Q4752" s="1" t="s">
        <v>15359</v>
      </c>
      <c r="R4752" s="1" t="s">
        <v>15359</v>
      </c>
      <c r="S4752" s="1"/>
      <c r="T4752" s="1" t="s">
        <v>2842</v>
      </c>
      <c r="U4752" s="1"/>
      <c r="V4752" s="1">
        <v>2.415</v>
      </c>
      <c r="W4752" s="1">
        <v>2.415</v>
      </c>
      <c r="X4752" s="1" t="s">
        <v>35</v>
      </c>
      <c r="Y4752" s="1">
        <v>2415000</v>
      </c>
      <c r="Z4752" s="1"/>
      <c r="AA4752" s="1">
        <v>2415000</v>
      </c>
      <c r="AB4752" s="1"/>
      <c r="AC4752" s="1" t="s">
        <v>36</v>
      </c>
      <c r="AD4752" s="1" t="s">
        <v>16238</v>
      </c>
      <c r="AE4752" s="1" t="s">
        <v>32</v>
      </c>
      <c r="AF4752" s="1" t="s">
        <v>33</v>
      </c>
      <c r="AG4752" s="1" t="s">
        <v>49</v>
      </c>
    </row>
    <row r="4753" spans="1:33">
      <c r="A4753" t="s">
        <v>16239</v>
      </c>
      <c r="B4753" t="s">
        <v>16240</v>
      </c>
      <c r="C4753" t="s">
        <v>314</v>
      </c>
      <c r="E4753" t="s">
        <v>15359</v>
      </c>
      <c r="F4753" t="s">
        <v>10934</v>
      </c>
      <c r="G4753">
        <v>149.96</v>
      </c>
      <c r="H4753">
        <v>149.96</v>
      </c>
      <c r="I4753" t="s">
        <v>179</v>
      </c>
      <c r="J4753" t="s">
        <v>180</v>
      </c>
      <c r="K4753" t="s">
        <v>31</v>
      </c>
      <c r="L4753" t="s">
        <v>32</v>
      </c>
      <c r="M4753" t="s">
        <v>33</v>
      </c>
      <c r="P4753" s="1" t="s">
        <v>16241</v>
      </c>
      <c r="Q4753" s="1" t="s">
        <v>15359</v>
      </c>
      <c r="R4753" s="1" t="s">
        <v>15359</v>
      </c>
      <c r="S4753" s="1"/>
      <c r="T4753" s="1" t="s">
        <v>314</v>
      </c>
      <c r="U4753" s="1"/>
      <c r="V4753" s="1">
        <v>149.96</v>
      </c>
      <c r="W4753" s="1">
        <v>149.96</v>
      </c>
      <c r="X4753" s="1" t="s">
        <v>35</v>
      </c>
      <c r="Y4753" s="1">
        <v>149960</v>
      </c>
      <c r="Z4753" s="1"/>
      <c r="AA4753" s="1">
        <v>149960</v>
      </c>
      <c r="AB4753" s="1"/>
      <c r="AC4753" s="1" t="s">
        <v>36</v>
      </c>
      <c r="AD4753" s="1" t="s">
        <v>16242</v>
      </c>
      <c r="AE4753" s="1" t="s">
        <v>32</v>
      </c>
      <c r="AF4753" s="1" t="s">
        <v>33</v>
      </c>
      <c r="AG4753" s="1" t="s">
        <v>180</v>
      </c>
    </row>
    <row r="4754" spans="1:33">
      <c r="A4754" t="s">
        <v>16243</v>
      </c>
      <c r="B4754" t="s">
        <v>16244</v>
      </c>
      <c r="C4754" t="s">
        <v>314</v>
      </c>
      <c r="E4754" t="s">
        <v>15359</v>
      </c>
      <c r="F4754" t="s">
        <v>10934</v>
      </c>
      <c r="G4754">
        <v>19.49</v>
      </c>
      <c r="H4754">
        <v>19.49</v>
      </c>
      <c r="I4754" t="s">
        <v>179</v>
      </c>
      <c r="J4754" t="s">
        <v>180</v>
      </c>
      <c r="K4754" t="s">
        <v>31</v>
      </c>
      <c r="L4754" t="s">
        <v>32</v>
      </c>
      <c r="M4754" t="s">
        <v>33</v>
      </c>
      <c r="P4754" s="1" t="s">
        <v>16245</v>
      </c>
      <c r="Q4754" s="1" t="s">
        <v>15359</v>
      </c>
      <c r="R4754" s="1" t="s">
        <v>15359</v>
      </c>
      <c r="S4754" s="1"/>
      <c r="T4754" s="1" t="s">
        <v>314</v>
      </c>
      <c r="U4754" s="1"/>
      <c r="V4754" s="1">
        <v>19.49</v>
      </c>
      <c r="W4754" s="1">
        <v>19.49</v>
      </c>
      <c r="X4754" s="1" t="s">
        <v>35</v>
      </c>
      <c r="Y4754" s="1">
        <v>19490</v>
      </c>
      <c r="Z4754" s="1"/>
      <c r="AA4754" s="1">
        <v>19490</v>
      </c>
      <c r="AB4754" s="1"/>
      <c r="AC4754" s="1" t="s">
        <v>36</v>
      </c>
      <c r="AD4754" s="1" t="s">
        <v>16246</v>
      </c>
      <c r="AE4754" s="1" t="s">
        <v>32</v>
      </c>
      <c r="AF4754" s="1" t="s">
        <v>33</v>
      </c>
      <c r="AG4754" s="1" t="s">
        <v>180</v>
      </c>
    </row>
    <row r="4755" spans="1:33">
      <c r="A4755" t="s">
        <v>16247</v>
      </c>
      <c r="B4755" t="s">
        <v>4730</v>
      </c>
      <c r="C4755" t="s">
        <v>569</v>
      </c>
      <c r="E4755" t="s">
        <v>15359</v>
      </c>
      <c r="F4755" t="s">
        <v>10934</v>
      </c>
      <c r="G4755">
        <v>98.22</v>
      </c>
      <c r="H4755">
        <v>98.22</v>
      </c>
      <c r="I4755" t="s">
        <v>570</v>
      </c>
      <c r="J4755" t="s">
        <v>571</v>
      </c>
      <c r="K4755" t="s">
        <v>31</v>
      </c>
      <c r="L4755" t="s">
        <v>32</v>
      </c>
      <c r="M4755" t="s">
        <v>33</v>
      </c>
      <c r="P4755" s="1" t="s">
        <v>16248</v>
      </c>
      <c r="Q4755" s="1" t="s">
        <v>15359</v>
      </c>
      <c r="R4755" s="1" t="s">
        <v>15359</v>
      </c>
      <c r="S4755" s="1"/>
      <c r="T4755" s="1" t="s">
        <v>569</v>
      </c>
      <c r="U4755" s="1"/>
      <c r="V4755" s="1">
        <v>98.22</v>
      </c>
      <c r="W4755" s="1">
        <v>98.22</v>
      </c>
      <c r="X4755" s="1" t="s">
        <v>35</v>
      </c>
      <c r="Y4755" s="1">
        <v>98220</v>
      </c>
      <c r="Z4755" s="1"/>
      <c r="AA4755" s="1">
        <v>98220</v>
      </c>
      <c r="AB4755" s="1"/>
      <c r="AC4755" s="1" t="s">
        <v>36</v>
      </c>
      <c r="AD4755" s="1" t="s">
        <v>16249</v>
      </c>
      <c r="AE4755" s="1" t="s">
        <v>32</v>
      </c>
      <c r="AF4755" s="1" t="s">
        <v>33</v>
      </c>
      <c r="AG4755" s="1" t="s">
        <v>571</v>
      </c>
    </row>
    <row r="4756" spans="1:33">
      <c r="A4756" t="s">
        <v>16250</v>
      </c>
      <c r="C4756" t="s">
        <v>859</v>
      </c>
      <c r="D4756" t="s">
        <v>114</v>
      </c>
      <c r="E4756" t="s">
        <v>15359</v>
      </c>
      <c r="F4756" t="s">
        <v>10934</v>
      </c>
      <c r="G4756">
        <v>492.0</v>
      </c>
      <c r="H4756">
        <v>492.0</v>
      </c>
      <c r="I4756" t="s">
        <v>269</v>
      </c>
      <c r="J4756" t="s">
        <v>270</v>
      </c>
      <c r="K4756" t="s">
        <v>31</v>
      </c>
      <c r="L4756" t="s">
        <v>32</v>
      </c>
      <c r="M4756" t="s">
        <v>33</v>
      </c>
      <c r="P4756" s="1" t="s">
        <v>16251</v>
      </c>
      <c r="Q4756" s="1" t="s">
        <v>15359</v>
      </c>
      <c r="R4756" s="1" t="s">
        <v>15359</v>
      </c>
      <c r="S4756" s="1"/>
      <c r="T4756" s="1" t="s">
        <v>859</v>
      </c>
      <c r="U4756" s="1"/>
      <c r="V4756" s="1">
        <v>492.0</v>
      </c>
      <c r="W4756" s="1">
        <v>492.0</v>
      </c>
      <c r="X4756" s="1" t="s">
        <v>35</v>
      </c>
      <c r="Y4756" s="1">
        <v>492000</v>
      </c>
      <c r="Z4756" s="1"/>
      <c r="AA4756" s="1">
        <v>492000</v>
      </c>
      <c r="AB4756" s="1"/>
      <c r="AC4756" s="1" t="s">
        <v>36</v>
      </c>
      <c r="AD4756" s="1" t="s">
        <v>16242</v>
      </c>
      <c r="AE4756" s="1" t="s">
        <v>32</v>
      </c>
      <c r="AF4756" s="1" t="s">
        <v>33</v>
      </c>
      <c r="AG4756" s="1" t="s">
        <v>270</v>
      </c>
    </row>
    <row r="4757" spans="1:33">
      <c r="A4757" t="s">
        <v>16252</v>
      </c>
      <c r="C4757" t="s">
        <v>288</v>
      </c>
      <c r="D4757" t="s">
        <v>114</v>
      </c>
      <c r="E4757" t="s">
        <v>15359</v>
      </c>
      <c r="F4757" t="s">
        <v>10934</v>
      </c>
      <c r="G4757">
        <v>31.25</v>
      </c>
      <c r="H4757">
        <v>31.25</v>
      </c>
      <c r="I4757" t="s">
        <v>269</v>
      </c>
      <c r="J4757" t="s">
        <v>270</v>
      </c>
      <c r="K4757" t="s">
        <v>31</v>
      </c>
      <c r="L4757" t="s">
        <v>32</v>
      </c>
      <c r="M4757" t="s">
        <v>33</v>
      </c>
      <c r="P4757" s="1" t="s">
        <v>16253</v>
      </c>
      <c r="Q4757" s="1" t="s">
        <v>15359</v>
      </c>
      <c r="R4757" s="1" t="s">
        <v>15359</v>
      </c>
      <c r="S4757" s="1"/>
      <c r="T4757" s="1" t="s">
        <v>288</v>
      </c>
      <c r="U4757" s="1"/>
      <c r="V4757" s="1">
        <v>31.25</v>
      </c>
      <c r="W4757" s="1">
        <v>31.25</v>
      </c>
      <c r="X4757" s="1" t="s">
        <v>35</v>
      </c>
      <c r="Y4757" s="1">
        <v>31250</v>
      </c>
      <c r="Z4757" s="1"/>
      <c r="AA4757" s="1">
        <v>31250</v>
      </c>
      <c r="AB4757" s="1"/>
      <c r="AC4757" s="1" t="s">
        <v>36</v>
      </c>
      <c r="AD4757" s="1" t="s">
        <v>16254</v>
      </c>
      <c r="AE4757" s="1" t="s">
        <v>32</v>
      </c>
      <c r="AF4757" s="1" t="s">
        <v>33</v>
      </c>
      <c r="AG4757" s="1" t="s">
        <v>270</v>
      </c>
    </row>
    <row r="4758" spans="1:33">
      <c r="A4758" t="s">
        <v>16255</v>
      </c>
      <c r="B4758" t="s">
        <v>1932</v>
      </c>
      <c r="C4758" t="s">
        <v>1933</v>
      </c>
      <c r="E4758" t="s">
        <v>15359</v>
      </c>
      <c r="F4758" t="s">
        <v>10934</v>
      </c>
      <c r="G4758">
        <v>960.0</v>
      </c>
      <c r="H4758">
        <v>960.0</v>
      </c>
      <c r="I4758" t="s">
        <v>40</v>
      </c>
      <c r="J4758" t="s">
        <v>41</v>
      </c>
      <c r="K4758" t="s">
        <v>31</v>
      </c>
      <c r="L4758" t="s">
        <v>32</v>
      </c>
      <c r="M4758" t="s">
        <v>33</v>
      </c>
      <c r="P4758" s="1" t="s">
        <v>16256</v>
      </c>
      <c r="Q4758" s="1" t="s">
        <v>15359</v>
      </c>
      <c r="R4758" s="1" t="s">
        <v>14225</v>
      </c>
      <c r="S4758" s="1"/>
      <c r="T4758" s="1" t="s">
        <v>1933</v>
      </c>
      <c r="U4758" s="1"/>
      <c r="V4758" s="1">
        <v>960.0</v>
      </c>
      <c r="W4758" s="1">
        <v>960.0</v>
      </c>
      <c r="X4758" s="1" t="s">
        <v>35</v>
      </c>
      <c r="Y4758" s="1">
        <v>960000</v>
      </c>
      <c r="Z4758" s="1"/>
      <c r="AA4758" s="1">
        <v>960000</v>
      </c>
      <c r="AB4758" s="1"/>
      <c r="AC4758" s="1" t="s">
        <v>36</v>
      </c>
      <c r="AD4758" s="1" t="s">
        <v>16257</v>
      </c>
      <c r="AE4758" s="1" t="s">
        <v>32</v>
      </c>
      <c r="AF4758" s="1" t="s">
        <v>33</v>
      </c>
      <c r="AG4758" s="1" t="s">
        <v>41</v>
      </c>
    </row>
    <row r="4759" spans="1:33">
      <c r="A4759" t="s">
        <v>16258</v>
      </c>
      <c r="C4759" t="s">
        <v>5412</v>
      </c>
      <c r="E4759" t="s">
        <v>15359</v>
      </c>
      <c r="F4759" t="s">
        <v>10934</v>
      </c>
      <c r="G4759">
        <v>2.375</v>
      </c>
      <c r="H4759">
        <v>2.375</v>
      </c>
      <c r="I4759" t="s">
        <v>126</v>
      </c>
      <c r="J4759" t="s">
        <v>127</v>
      </c>
      <c r="K4759" t="s">
        <v>31</v>
      </c>
      <c r="L4759" t="s">
        <v>32</v>
      </c>
      <c r="M4759" t="s">
        <v>33</v>
      </c>
      <c r="P4759" s="1" t="s">
        <v>16259</v>
      </c>
      <c r="Q4759" s="1" t="s">
        <v>15359</v>
      </c>
      <c r="R4759" s="1" t="s">
        <v>15359</v>
      </c>
      <c r="S4759" s="1"/>
      <c r="T4759" s="1" t="s">
        <v>5414</v>
      </c>
      <c r="U4759" s="1" t="s">
        <v>5415</v>
      </c>
      <c r="V4759" s="1">
        <v>2.375</v>
      </c>
      <c r="W4759" s="1">
        <v>2.375</v>
      </c>
      <c r="X4759" s="1" t="s">
        <v>35</v>
      </c>
      <c r="Y4759" s="1">
        <v>2375000</v>
      </c>
      <c r="Z4759" s="1"/>
      <c r="AA4759" s="1">
        <v>2375000</v>
      </c>
      <c r="AB4759" s="1"/>
      <c r="AC4759" s="1" t="s">
        <v>36</v>
      </c>
      <c r="AD4759" s="1" t="s">
        <v>16257</v>
      </c>
      <c r="AE4759" s="1" t="s">
        <v>32</v>
      </c>
      <c r="AF4759" s="1" t="s">
        <v>33</v>
      </c>
      <c r="AG4759" s="1" t="s">
        <v>127</v>
      </c>
    </row>
    <row r="4760" spans="1:33">
      <c r="A4760" t="s">
        <v>16260</v>
      </c>
      <c r="B4760" t="s">
        <v>9175</v>
      </c>
      <c r="C4760" t="s">
        <v>314</v>
      </c>
      <c r="E4760" t="s">
        <v>15359</v>
      </c>
      <c r="F4760" t="s">
        <v>10934</v>
      </c>
      <c r="G4760">
        <v>37.18</v>
      </c>
      <c r="H4760">
        <v>37.18</v>
      </c>
      <c r="I4760" t="s">
        <v>179</v>
      </c>
      <c r="J4760" t="s">
        <v>180</v>
      </c>
      <c r="K4760" t="s">
        <v>31</v>
      </c>
      <c r="L4760" t="s">
        <v>32</v>
      </c>
      <c r="M4760" t="s">
        <v>33</v>
      </c>
      <c r="P4760" s="1" t="s">
        <v>16261</v>
      </c>
      <c r="Q4760" s="1" t="s">
        <v>15359</v>
      </c>
      <c r="R4760" s="1" t="s">
        <v>15359</v>
      </c>
      <c r="S4760" s="1"/>
      <c r="T4760" s="1" t="s">
        <v>314</v>
      </c>
      <c r="U4760" s="1"/>
      <c r="V4760" s="1">
        <v>37.18</v>
      </c>
      <c r="W4760" s="1">
        <v>37.18</v>
      </c>
      <c r="X4760" s="1" t="s">
        <v>35</v>
      </c>
      <c r="Y4760" s="1">
        <v>37180</v>
      </c>
      <c r="Z4760" s="1"/>
      <c r="AA4760" s="1">
        <v>37180</v>
      </c>
      <c r="AB4760" s="1"/>
      <c r="AC4760" s="1" t="s">
        <v>36</v>
      </c>
      <c r="AD4760" s="1" t="s">
        <v>16262</v>
      </c>
      <c r="AE4760" s="1" t="s">
        <v>32</v>
      </c>
      <c r="AF4760" s="1" t="s">
        <v>33</v>
      </c>
      <c r="AG4760" s="1" t="s">
        <v>180</v>
      </c>
    </row>
    <row r="4761" spans="1:33">
      <c r="A4761" t="s">
        <v>16263</v>
      </c>
      <c r="B4761" t="s">
        <v>16264</v>
      </c>
      <c r="C4761" t="s">
        <v>172</v>
      </c>
      <c r="E4761" t="s">
        <v>15359</v>
      </c>
      <c r="F4761" t="s">
        <v>10934</v>
      </c>
      <c r="G4761">
        <v>8.996</v>
      </c>
      <c r="H4761">
        <v>8.996</v>
      </c>
      <c r="I4761" t="s">
        <v>173</v>
      </c>
      <c r="J4761" t="s">
        <v>174</v>
      </c>
      <c r="K4761" t="s">
        <v>31</v>
      </c>
      <c r="L4761" t="s">
        <v>32</v>
      </c>
      <c r="M4761" t="s">
        <v>33</v>
      </c>
      <c r="P4761" s="1" t="s">
        <v>16265</v>
      </c>
      <c r="Q4761" s="1" t="s">
        <v>15359</v>
      </c>
      <c r="R4761" s="1" t="s">
        <v>15359</v>
      </c>
      <c r="S4761" s="1"/>
      <c r="T4761" s="1" t="s">
        <v>172</v>
      </c>
      <c r="U4761" s="1"/>
      <c r="V4761" s="1">
        <v>8.996</v>
      </c>
      <c r="W4761" s="1">
        <v>8.996</v>
      </c>
      <c r="X4761" s="1" t="s">
        <v>35</v>
      </c>
      <c r="Y4761" s="1">
        <v>8996</v>
      </c>
      <c r="Z4761" s="1"/>
      <c r="AA4761" s="1">
        <v>8996</v>
      </c>
      <c r="AB4761" s="1"/>
      <c r="AC4761" s="1" t="s">
        <v>36</v>
      </c>
      <c r="AD4761" s="1" t="s">
        <v>16266</v>
      </c>
      <c r="AE4761" s="1" t="s">
        <v>32</v>
      </c>
      <c r="AF4761" s="1" t="s">
        <v>33</v>
      </c>
      <c r="AG4761" s="1" t="s">
        <v>174</v>
      </c>
    </row>
    <row r="4762" spans="1:33">
      <c r="A4762" t="s">
        <v>16267</v>
      </c>
      <c r="B4762" t="s">
        <v>1768</v>
      </c>
      <c r="C4762" t="s">
        <v>314</v>
      </c>
      <c r="E4762" t="s">
        <v>15359</v>
      </c>
      <c r="F4762" t="s">
        <v>10934</v>
      </c>
      <c r="G4762">
        <v>37.18</v>
      </c>
      <c r="H4762">
        <v>37.18</v>
      </c>
      <c r="I4762" t="s">
        <v>179</v>
      </c>
      <c r="J4762" t="s">
        <v>180</v>
      </c>
      <c r="K4762" t="s">
        <v>31</v>
      </c>
      <c r="L4762" t="s">
        <v>32</v>
      </c>
      <c r="M4762" t="s">
        <v>33</v>
      </c>
      <c r="P4762" s="1" t="s">
        <v>16268</v>
      </c>
      <c r="Q4762" s="1" t="s">
        <v>15359</v>
      </c>
      <c r="R4762" s="1" t="s">
        <v>15359</v>
      </c>
      <c r="S4762" s="1"/>
      <c r="T4762" s="1" t="s">
        <v>314</v>
      </c>
      <c r="U4762" s="1"/>
      <c r="V4762" s="1">
        <v>37.18</v>
      </c>
      <c r="W4762" s="1">
        <v>37.18</v>
      </c>
      <c r="X4762" s="1" t="s">
        <v>35</v>
      </c>
      <c r="Y4762" s="1">
        <v>37180</v>
      </c>
      <c r="Z4762" s="1"/>
      <c r="AA4762" s="1">
        <v>37180</v>
      </c>
      <c r="AB4762" s="1"/>
      <c r="AC4762" s="1" t="s">
        <v>36</v>
      </c>
      <c r="AD4762" s="1" t="s">
        <v>16269</v>
      </c>
      <c r="AE4762" s="1" t="s">
        <v>32</v>
      </c>
      <c r="AF4762" s="1" t="s">
        <v>33</v>
      </c>
      <c r="AG4762" s="1" t="s">
        <v>180</v>
      </c>
    </row>
    <row r="4763" spans="1:33">
      <c r="A4763" t="s">
        <v>16270</v>
      </c>
      <c r="B4763" t="s">
        <v>16271</v>
      </c>
      <c r="C4763" t="s">
        <v>314</v>
      </c>
      <c r="E4763" t="s">
        <v>15359</v>
      </c>
      <c r="F4763" t="s">
        <v>10934</v>
      </c>
      <c r="G4763">
        <v>70.92</v>
      </c>
      <c r="H4763">
        <v>70.92</v>
      </c>
      <c r="I4763" t="s">
        <v>179</v>
      </c>
      <c r="J4763" t="s">
        <v>180</v>
      </c>
      <c r="K4763" t="s">
        <v>31</v>
      </c>
      <c r="L4763" t="s">
        <v>32</v>
      </c>
      <c r="M4763" t="s">
        <v>33</v>
      </c>
      <c r="P4763" s="1" t="s">
        <v>16272</v>
      </c>
      <c r="Q4763" s="1" t="s">
        <v>15359</v>
      </c>
      <c r="R4763" s="1" t="s">
        <v>15359</v>
      </c>
      <c r="S4763" s="1"/>
      <c r="T4763" s="1" t="s">
        <v>314</v>
      </c>
      <c r="U4763" s="1"/>
      <c r="V4763" s="1">
        <v>70.92</v>
      </c>
      <c r="W4763" s="1">
        <v>70.92</v>
      </c>
      <c r="X4763" s="1" t="s">
        <v>35</v>
      </c>
      <c r="Y4763" s="1">
        <v>70920</v>
      </c>
      <c r="Z4763" s="1"/>
      <c r="AA4763" s="1">
        <v>70920</v>
      </c>
      <c r="AB4763" s="1"/>
      <c r="AC4763" s="1" t="s">
        <v>36</v>
      </c>
      <c r="AD4763" s="1" t="s">
        <v>16266</v>
      </c>
      <c r="AE4763" s="1" t="s">
        <v>32</v>
      </c>
      <c r="AF4763" s="1" t="s">
        <v>33</v>
      </c>
      <c r="AG4763" s="1" t="s">
        <v>180</v>
      </c>
    </row>
    <row r="4764" spans="1:33">
      <c r="A4764" t="s">
        <v>16273</v>
      </c>
      <c r="C4764" t="s">
        <v>4634</v>
      </c>
      <c r="E4764" t="s">
        <v>15359</v>
      </c>
      <c r="F4764" t="s">
        <v>10934</v>
      </c>
      <c r="G4764">
        <v>410.0</v>
      </c>
      <c r="H4764">
        <v>410.0</v>
      </c>
      <c r="I4764" t="s">
        <v>269</v>
      </c>
      <c r="J4764" t="s">
        <v>270</v>
      </c>
      <c r="K4764" t="s">
        <v>31</v>
      </c>
      <c r="L4764" t="s">
        <v>32</v>
      </c>
      <c r="M4764" t="s">
        <v>33</v>
      </c>
      <c r="P4764" s="1" t="s">
        <v>16274</v>
      </c>
      <c r="Q4764" s="1" t="s">
        <v>15359</v>
      </c>
      <c r="R4764" s="1" t="s">
        <v>15359</v>
      </c>
      <c r="S4764" s="1"/>
      <c r="T4764" s="1" t="s">
        <v>4634</v>
      </c>
      <c r="U4764" s="1"/>
      <c r="V4764" s="1">
        <v>410.0</v>
      </c>
      <c r="W4764" s="1">
        <v>410.0</v>
      </c>
      <c r="X4764" s="1" t="s">
        <v>35</v>
      </c>
      <c r="Y4764" s="1">
        <v>410000</v>
      </c>
      <c r="Z4764" s="1"/>
      <c r="AA4764" s="1">
        <v>410000</v>
      </c>
      <c r="AB4764" s="1"/>
      <c r="AC4764" s="1" t="s">
        <v>36</v>
      </c>
      <c r="AD4764" s="1" t="s">
        <v>16275</v>
      </c>
      <c r="AE4764" s="1" t="s">
        <v>32</v>
      </c>
      <c r="AF4764" s="1" t="s">
        <v>33</v>
      </c>
      <c r="AG4764" s="1" t="s">
        <v>270</v>
      </c>
    </row>
    <row r="4765" spans="1:33">
      <c r="A4765" t="s">
        <v>16276</v>
      </c>
      <c r="B4765" t="s">
        <v>16277</v>
      </c>
      <c r="C4765" t="s">
        <v>172</v>
      </c>
      <c r="E4765" t="s">
        <v>15359</v>
      </c>
      <c r="F4765" t="s">
        <v>10934</v>
      </c>
      <c r="G4765">
        <v>31.99</v>
      </c>
      <c r="H4765">
        <v>31.99</v>
      </c>
      <c r="I4765" t="s">
        <v>173</v>
      </c>
      <c r="J4765" t="s">
        <v>174</v>
      </c>
      <c r="K4765" t="s">
        <v>31</v>
      </c>
      <c r="L4765" t="s">
        <v>32</v>
      </c>
      <c r="M4765" t="s">
        <v>33</v>
      </c>
      <c r="P4765" s="1" t="s">
        <v>16278</v>
      </c>
      <c r="Q4765" s="1" t="s">
        <v>15359</v>
      </c>
      <c r="R4765" s="1" t="s">
        <v>15359</v>
      </c>
      <c r="S4765" s="1"/>
      <c r="T4765" s="1" t="s">
        <v>172</v>
      </c>
      <c r="U4765" s="1"/>
      <c r="V4765" s="1">
        <v>31.99</v>
      </c>
      <c r="W4765" s="1">
        <v>31.99</v>
      </c>
      <c r="X4765" s="1" t="s">
        <v>35</v>
      </c>
      <c r="Y4765" s="1">
        <v>31990</v>
      </c>
      <c r="Z4765" s="1"/>
      <c r="AA4765" s="1">
        <v>31990</v>
      </c>
      <c r="AB4765" s="1"/>
      <c r="AC4765" s="1" t="s">
        <v>36</v>
      </c>
      <c r="AD4765" s="1" t="s">
        <v>16279</v>
      </c>
      <c r="AE4765" s="1" t="s">
        <v>32</v>
      </c>
      <c r="AF4765" s="1" t="s">
        <v>33</v>
      </c>
      <c r="AG4765" s="1" t="s">
        <v>174</v>
      </c>
    </row>
    <row r="4766" spans="1:33">
      <c r="A4766" t="s">
        <v>16280</v>
      </c>
      <c r="C4766" t="s">
        <v>16281</v>
      </c>
      <c r="D4766" t="s">
        <v>154</v>
      </c>
      <c r="E4766" t="s">
        <v>15359</v>
      </c>
      <c r="F4766" t="s">
        <v>10934</v>
      </c>
      <c r="G4766">
        <v>328.0</v>
      </c>
      <c r="H4766">
        <v>328.0</v>
      </c>
      <c r="I4766" t="s">
        <v>269</v>
      </c>
      <c r="J4766" t="s">
        <v>270</v>
      </c>
      <c r="K4766" t="s">
        <v>31</v>
      </c>
      <c r="L4766" t="s">
        <v>32</v>
      </c>
      <c r="M4766" t="s">
        <v>33</v>
      </c>
      <c r="P4766" s="1" t="s">
        <v>16282</v>
      </c>
      <c r="Q4766" s="1" t="s">
        <v>15359</v>
      </c>
      <c r="R4766" s="1" t="s">
        <v>15359</v>
      </c>
      <c r="S4766" s="1"/>
      <c r="T4766" s="1" t="s">
        <v>16281</v>
      </c>
      <c r="U4766" s="1"/>
      <c r="V4766" s="1">
        <v>328.0</v>
      </c>
      <c r="W4766" s="1">
        <v>328.0</v>
      </c>
      <c r="X4766" s="1" t="s">
        <v>35</v>
      </c>
      <c r="Y4766" s="1">
        <v>328000</v>
      </c>
      <c r="Z4766" s="1"/>
      <c r="AA4766" s="1">
        <v>328000</v>
      </c>
      <c r="AB4766" s="1"/>
      <c r="AC4766" s="1" t="s">
        <v>36</v>
      </c>
      <c r="AD4766" s="1" t="s">
        <v>16283</v>
      </c>
      <c r="AE4766" s="1" t="s">
        <v>32</v>
      </c>
      <c r="AF4766" s="1" t="s">
        <v>33</v>
      </c>
      <c r="AG4766" s="1" t="s">
        <v>270</v>
      </c>
    </row>
    <row r="4767" spans="1:33">
      <c r="A4767" t="s">
        <v>16284</v>
      </c>
      <c r="C4767" t="s">
        <v>558</v>
      </c>
      <c r="D4767" t="s">
        <v>154</v>
      </c>
      <c r="E4767" t="s">
        <v>15359</v>
      </c>
      <c r="F4767" t="s">
        <v>10934</v>
      </c>
      <c r="G4767">
        <v>864.6</v>
      </c>
      <c r="H4767">
        <v>864.6</v>
      </c>
      <c r="I4767" t="s">
        <v>269</v>
      </c>
      <c r="J4767" t="s">
        <v>270</v>
      </c>
      <c r="K4767" t="s">
        <v>31</v>
      </c>
      <c r="L4767" t="s">
        <v>32</v>
      </c>
      <c r="M4767" t="s">
        <v>33</v>
      </c>
      <c r="P4767" s="1" t="s">
        <v>16285</v>
      </c>
      <c r="Q4767" s="1" t="s">
        <v>15359</v>
      </c>
      <c r="R4767" s="1" t="s">
        <v>15359</v>
      </c>
      <c r="S4767" s="1"/>
      <c r="T4767" s="1" t="s">
        <v>560</v>
      </c>
      <c r="U4767" s="1" t="s">
        <v>561</v>
      </c>
      <c r="V4767" s="1">
        <v>864.6</v>
      </c>
      <c r="W4767" s="1">
        <v>864.6</v>
      </c>
      <c r="X4767" s="1" t="s">
        <v>35</v>
      </c>
      <c r="Y4767" s="1">
        <v>864600</v>
      </c>
      <c r="Z4767" s="1"/>
      <c r="AA4767" s="1">
        <v>864600</v>
      </c>
      <c r="AB4767" s="1"/>
      <c r="AC4767" s="1" t="s">
        <v>36</v>
      </c>
      <c r="AD4767" s="1" t="s">
        <v>16286</v>
      </c>
      <c r="AE4767" s="1" t="s">
        <v>32</v>
      </c>
      <c r="AF4767" s="1" t="s">
        <v>33</v>
      </c>
      <c r="AG4767" s="1" t="s">
        <v>270</v>
      </c>
    </row>
    <row r="4768" spans="1:33">
      <c r="A4768" t="s">
        <v>16287</v>
      </c>
      <c r="B4768" t="s">
        <v>16288</v>
      </c>
      <c r="C4768" t="s">
        <v>314</v>
      </c>
      <c r="E4768" t="s">
        <v>15359</v>
      </c>
      <c r="F4768" t="s">
        <v>10934</v>
      </c>
      <c r="G4768">
        <v>192.958</v>
      </c>
      <c r="H4768">
        <v>192.958</v>
      </c>
      <c r="I4768" t="s">
        <v>179</v>
      </c>
      <c r="J4768" t="s">
        <v>180</v>
      </c>
      <c r="K4768" t="s">
        <v>31</v>
      </c>
      <c r="L4768" t="s">
        <v>32</v>
      </c>
      <c r="M4768" t="s">
        <v>33</v>
      </c>
      <c r="P4768" s="1" t="s">
        <v>16289</v>
      </c>
      <c r="Q4768" s="1" t="s">
        <v>15359</v>
      </c>
      <c r="R4768" s="1" t="s">
        <v>15359</v>
      </c>
      <c r="S4768" s="1"/>
      <c r="T4768" s="1" t="s">
        <v>314</v>
      </c>
      <c r="U4768" s="1"/>
      <c r="V4768" s="1">
        <v>192.958</v>
      </c>
      <c r="W4768" s="1">
        <v>192.958</v>
      </c>
      <c r="X4768" s="1" t="s">
        <v>35</v>
      </c>
      <c r="Y4768" s="1">
        <v>192958</v>
      </c>
      <c r="Z4768" s="1"/>
      <c r="AA4768" s="1">
        <v>192958</v>
      </c>
      <c r="AB4768" s="1"/>
      <c r="AC4768" s="1" t="s">
        <v>36</v>
      </c>
      <c r="AD4768" s="1" t="s">
        <v>16290</v>
      </c>
      <c r="AE4768" s="1" t="s">
        <v>32</v>
      </c>
      <c r="AF4768" s="1" t="s">
        <v>33</v>
      </c>
      <c r="AG4768" s="1" t="s">
        <v>180</v>
      </c>
    </row>
    <row r="4769" spans="1:33">
      <c r="A4769" t="s">
        <v>16291</v>
      </c>
      <c r="C4769" t="s">
        <v>3783</v>
      </c>
      <c r="E4769" t="s">
        <v>15359</v>
      </c>
      <c r="F4769" t="s">
        <v>10934</v>
      </c>
      <c r="G4769">
        <v>328.0</v>
      </c>
      <c r="H4769">
        <v>328.0</v>
      </c>
      <c r="I4769" t="s">
        <v>269</v>
      </c>
      <c r="J4769" t="s">
        <v>270</v>
      </c>
      <c r="K4769" t="s">
        <v>31</v>
      </c>
      <c r="L4769" t="s">
        <v>32</v>
      </c>
      <c r="M4769" t="s">
        <v>33</v>
      </c>
      <c r="P4769" s="1" t="s">
        <v>16292</v>
      </c>
      <c r="Q4769" s="1" t="s">
        <v>15359</v>
      </c>
      <c r="R4769" s="1" t="s">
        <v>15359</v>
      </c>
      <c r="S4769" s="1"/>
      <c r="T4769" s="1" t="s">
        <v>3785</v>
      </c>
      <c r="U4769" s="1" t="s">
        <v>3786</v>
      </c>
      <c r="V4769" s="1">
        <v>328.0</v>
      </c>
      <c r="W4769" s="1">
        <v>328.0</v>
      </c>
      <c r="X4769" s="1" t="s">
        <v>35</v>
      </c>
      <c r="Y4769" s="1">
        <v>328000</v>
      </c>
      <c r="Z4769" s="1"/>
      <c r="AA4769" s="1">
        <v>328000</v>
      </c>
      <c r="AB4769" s="1"/>
      <c r="AC4769" s="1" t="s">
        <v>36</v>
      </c>
      <c r="AD4769" s="1" t="s">
        <v>16293</v>
      </c>
      <c r="AE4769" s="1" t="s">
        <v>32</v>
      </c>
      <c r="AF4769" s="1" t="s">
        <v>33</v>
      </c>
      <c r="AG4769" s="1" t="s">
        <v>270</v>
      </c>
    </row>
    <row r="4770" spans="1:33">
      <c r="A4770" t="s">
        <v>16294</v>
      </c>
      <c r="C4770" t="s">
        <v>288</v>
      </c>
      <c r="D4770" t="s">
        <v>114</v>
      </c>
      <c r="E4770" t="s">
        <v>15359</v>
      </c>
      <c r="F4770" t="s">
        <v>10934</v>
      </c>
      <c r="G4770">
        <v>853.5</v>
      </c>
      <c r="H4770">
        <v>853.5</v>
      </c>
      <c r="I4770" t="s">
        <v>269</v>
      </c>
      <c r="J4770" t="s">
        <v>270</v>
      </c>
      <c r="K4770" t="s">
        <v>31</v>
      </c>
      <c r="L4770" t="s">
        <v>32</v>
      </c>
      <c r="M4770" t="s">
        <v>33</v>
      </c>
      <c r="P4770" s="1" t="s">
        <v>16295</v>
      </c>
      <c r="Q4770" s="1" t="s">
        <v>15359</v>
      </c>
      <c r="R4770" s="1" t="s">
        <v>15359</v>
      </c>
      <c r="S4770" s="1"/>
      <c r="T4770" s="1" t="s">
        <v>288</v>
      </c>
      <c r="U4770" s="1"/>
      <c r="V4770" s="1">
        <v>853.5</v>
      </c>
      <c r="W4770" s="1">
        <v>853.5</v>
      </c>
      <c r="X4770" s="1" t="s">
        <v>35</v>
      </c>
      <c r="Y4770" s="1">
        <v>853500</v>
      </c>
      <c r="Z4770" s="1"/>
      <c r="AA4770" s="1">
        <v>853500</v>
      </c>
      <c r="AB4770" s="1"/>
      <c r="AC4770" s="1" t="s">
        <v>36</v>
      </c>
      <c r="AD4770" s="1" t="s">
        <v>16296</v>
      </c>
      <c r="AE4770" s="1" t="s">
        <v>32</v>
      </c>
      <c r="AF4770" s="1" t="s">
        <v>33</v>
      </c>
      <c r="AG4770" s="1" t="s">
        <v>270</v>
      </c>
    </row>
    <row r="4771" spans="1:33">
      <c r="A4771" t="s">
        <v>16297</v>
      </c>
      <c r="C4771" t="s">
        <v>338</v>
      </c>
      <c r="E4771" t="s">
        <v>15359</v>
      </c>
      <c r="F4771" t="s">
        <v>10934</v>
      </c>
      <c r="G4771">
        <v>655.0</v>
      </c>
      <c r="H4771">
        <v>655.0</v>
      </c>
      <c r="I4771" t="s">
        <v>179</v>
      </c>
      <c r="J4771" t="s">
        <v>180</v>
      </c>
      <c r="K4771" t="s">
        <v>31</v>
      </c>
      <c r="L4771" t="s">
        <v>32</v>
      </c>
      <c r="M4771" t="s">
        <v>33</v>
      </c>
      <c r="P4771" s="1" t="s">
        <v>16298</v>
      </c>
      <c r="Q4771" s="1" t="s">
        <v>15359</v>
      </c>
      <c r="R4771" s="1" t="s">
        <v>15359</v>
      </c>
      <c r="S4771" s="1"/>
      <c r="T4771" s="1" t="s">
        <v>338</v>
      </c>
      <c r="U4771" s="1"/>
      <c r="V4771" s="1">
        <v>655.0</v>
      </c>
      <c r="W4771" s="1">
        <v>655.0</v>
      </c>
      <c r="X4771" s="1" t="s">
        <v>35</v>
      </c>
      <c r="Y4771" s="1">
        <v>655000</v>
      </c>
      <c r="Z4771" s="1"/>
      <c r="AA4771" s="1">
        <v>655000</v>
      </c>
      <c r="AB4771" s="1"/>
      <c r="AC4771" s="1" t="s">
        <v>36</v>
      </c>
      <c r="AD4771" s="1" t="s">
        <v>16299</v>
      </c>
      <c r="AE4771" s="1" t="s">
        <v>32</v>
      </c>
      <c r="AF4771" s="1" t="s">
        <v>33</v>
      </c>
      <c r="AG4771" s="1" t="s">
        <v>180</v>
      </c>
    </row>
    <row r="4772" spans="1:33">
      <c r="A4772" t="s">
        <v>16300</v>
      </c>
      <c r="C4772" t="s">
        <v>2825</v>
      </c>
      <c r="E4772" t="s">
        <v>15359</v>
      </c>
      <c r="F4772" t="s">
        <v>10934</v>
      </c>
      <c r="G4772">
        <v>62.0</v>
      </c>
      <c r="H4772">
        <v>62.0</v>
      </c>
      <c r="I4772" t="s">
        <v>126</v>
      </c>
      <c r="J4772" t="s">
        <v>127</v>
      </c>
      <c r="K4772" t="s">
        <v>31</v>
      </c>
      <c r="L4772" t="s">
        <v>32</v>
      </c>
      <c r="M4772" t="s">
        <v>33</v>
      </c>
      <c r="P4772" s="1" t="s">
        <v>16301</v>
      </c>
      <c r="Q4772" s="1" t="s">
        <v>15359</v>
      </c>
      <c r="R4772" s="1" t="s">
        <v>15359</v>
      </c>
      <c r="S4772" s="1"/>
      <c r="T4772" s="1" t="s">
        <v>2825</v>
      </c>
      <c r="U4772" s="1"/>
      <c r="V4772" s="1">
        <v>62.0</v>
      </c>
      <c r="W4772" s="1">
        <v>62.0</v>
      </c>
      <c r="X4772" s="1" t="s">
        <v>35</v>
      </c>
      <c r="Y4772" s="1">
        <v>62000</v>
      </c>
      <c r="Z4772" s="1"/>
      <c r="AA4772" s="1">
        <v>62000</v>
      </c>
      <c r="AB4772" s="1"/>
      <c r="AC4772" s="1" t="s">
        <v>36</v>
      </c>
      <c r="AD4772" s="1" t="s">
        <v>16302</v>
      </c>
      <c r="AE4772" s="1" t="s">
        <v>32</v>
      </c>
      <c r="AF4772" s="1" t="s">
        <v>33</v>
      </c>
      <c r="AG4772" s="1" t="s">
        <v>127</v>
      </c>
    </row>
    <row r="4773" spans="1:33">
      <c r="A4773" t="s">
        <v>16303</v>
      </c>
      <c r="B4773" t="s">
        <v>12360</v>
      </c>
      <c r="C4773" t="s">
        <v>125</v>
      </c>
      <c r="E4773" t="s">
        <v>15359</v>
      </c>
      <c r="F4773" t="s">
        <v>10934</v>
      </c>
      <c r="G4773">
        <v>32.49</v>
      </c>
      <c r="H4773">
        <v>32.49</v>
      </c>
      <c r="I4773" t="s">
        <v>126</v>
      </c>
      <c r="J4773" t="s">
        <v>127</v>
      </c>
      <c r="K4773" t="s">
        <v>31</v>
      </c>
      <c r="L4773" t="s">
        <v>32</v>
      </c>
      <c r="M4773" t="s">
        <v>33</v>
      </c>
      <c r="P4773" s="1" t="s">
        <v>16304</v>
      </c>
      <c r="Q4773" s="1" t="s">
        <v>15359</v>
      </c>
      <c r="R4773" s="1" t="s">
        <v>15359</v>
      </c>
      <c r="S4773" s="1"/>
      <c r="T4773" s="1" t="s">
        <v>125</v>
      </c>
      <c r="U4773" s="1"/>
      <c r="V4773" s="1">
        <v>32.49</v>
      </c>
      <c r="W4773" s="1">
        <v>32.49</v>
      </c>
      <c r="X4773" s="1" t="s">
        <v>35</v>
      </c>
      <c r="Y4773" s="1">
        <v>32490</v>
      </c>
      <c r="Z4773" s="1"/>
      <c r="AA4773" s="1">
        <v>32490</v>
      </c>
      <c r="AB4773" s="1"/>
      <c r="AC4773" s="1" t="s">
        <v>36</v>
      </c>
      <c r="AD4773" s="1" t="s">
        <v>16305</v>
      </c>
      <c r="AE4773" s="1" t="s">
        <v>32</v>
      </c>
      <c r="AF4773" s="1" t="s">
        <v>33</v>
      </c>
      <c r="AG4773" s="1" t="s">
        <v>127</v>
      </c>
    </row>
    <row r="4774" spans="1:33">
      <c r="A4774" t="s">
        <v>16306</v>
      </c>
      <c r="C4774" t="s">
        <v>16281</v>
      </c>
      <c r="D4774" t="s">
        <v>154</v>
      </c>
      <c r="E4774" t="s">
        <v>15359</v>
      </c>
      <c r="F4774" t="s">
        <v>10934</v>
      </c>
      <c r="G4774">
        <v>328.0</v>
      </c>
      <c r="H4774">
        <v>328.0</v>
      </c>
      <c r="I4774" t="s">
        <v>269</v>
      </c>
      <c r="J4774" t="s">
        <v>270</v>
      </c>
      <c r="K4774" t="s">
        <v>31</v>
      </c>
      <c r="L4774" t="s">
        <v>32</v>
      </c>
      <c r="M4774" t="s">
        <v>33</v>
      </c>
      <c r="P4774" s="1" t="s">
        <v>16307</v>
      </c>
      <c r="Q4774" s="1" t="s">
        <v>15359</v>
      </c>
      <c r="R4774" s="1" t="s">
        <v>15359</v>
      </c>
      <c r="S4774" s="1"/>
      <c r="T4774" s="1" t="s">
        <v>16281</v>
      </c>
      <c r="U4774" s="1"/>
      <c r="V4774" s="1">
        <v>328.0</v>
      </c>
      <c r="W4774" s="1">
        <v>328.0</v>
      </c>
      <c r="X4774" s="1" t="s">
        <v>35</v>
      </c>
      <c r="Y4774" s="1">
        <v>328000</v>
      </c>
      <c r="Z4774" s="1"/>
      <c r="AA4774" s="1">
        <v>328000</v>
      </c>
      <c r="AB4774" s="1"/>
      <c r="AC4774" s="1" t="s">
        <v>36</v>
      </c>
      <c r="AD4774" s="1" t="s">
        <v>16308</v>
      </c>
      <c r="AE4774" s="1" t="s">
        <v>32</v>
      </c>
      <c r="AF4774" s="1" t="s">
        <v>33</v>
      </c>
      <c r="AG4774" s="1" t="s">
        <v>270</v>
      </c>
    </row>
    <row r="4775" spans="1:33">
      <c r="A4775" t="s">
        <v>16309</v>
      </c>
      <c r="B4775" t="s">
        <v>16310</v>
      </c>
      <c r="C4775" t="s">
        <v>12240</v>
      </c>
      <c r="E4775" t="s">
        <v>15359</v>
      </c>
      <c r="F4775" t="s">
        <v>10934</v>
      </c>
      <c r="G4775">
        <v>45.15</v>
      </c>
      <c r="H4775">
        <v>45.15</v>
      </c>
      <c r="I4775" t="s">
        <v>136</v>
      </c>
      <c r="J4775" t="s">
        <v>137</v>
      </c>
      <c r="K4775" t="s">
        <v>31</v>
      </c>
      <c r="L4775" t="s">
        <v>32</v>
      </c>
      <c r="M4775" t="s">
        <v>33</v>
      </c>
      <c r="P4775" s="1" t="s">
        <v>16311</v>
      </c>
      <c r="Q4775" s="1" t="s">
        <v>15359</v>
      </c>
      <c r="R4775" s="1" t="s">
        <v>15359</v>
      </c>
      <c r="S4775" s="1"/>
      <c r="T4775" s="1" t="s">
        <v>12240</v>
      </c>
      <c r="U4775" s="1"/>
      <c r="V4775" s="1">
        <v>45.15</v>
      </c>
      <c r="W4775" s="1">
        <v>45.15</v>
      </c>
      <c r="X4775" s="1" t="s">
        <v>35</v>
      </c>
      <c r="Y4775" s="1">
        <v>45150</v>
      </c>
      <c r="Z4775" s="1"/>
      <c r="AA4775" s="1">
        <v>45150</v>
      </c>
      <c r="AB4775" s="1"/>
      <c r="AC4775" s="1" t="s">
        <v>36</v>
      </c>
      <c r="AD4775" s="1" t="s">
        <v>16312</v>
      </c>
      <c r="AE4775" s="1" t="s">
        <v>32</v>
      </c>
      <c r="AF4775" s="1" t="s">
        <v>33</v>
      </c>
      <c r="AG4775" s="1" t="s">
        <v>137</v>
      </c>
    </row>
    <row r="4776" spans="1:33">
      <c r="A4776" t="s">
        <v>16313</v>
      </c>
      <c r="C4776" t="s">
        <v>2236</v>
      </c>
      <c r="E4776" t="s">
        <v>15359</v>
      </c>
      <c r="F4776" t="s">
        <v>10934</v>
      </c>
      <c r="G4776">
        <v>864.2</v>
      </c>
      <c r="H4776">
        <v>864.2</v>
      </c>
      <c r="I4776" t="s">
        <v>269</v>
      </c>
      <c r="J4776" t="s">
        <v>270</v>
      </c>
      <c r="K4776" t="s">
        <v>31</v>
      </c>
      <c r="L4776" t="s">
        <v>32</v>
      </c>
      <c r="M4776" t="s">
        <v>33</v>
      </c>
      <c r="P4776" s="1" t="s">
        <v>16314</v>
      </c>
      <c r="Q4776" s="1" t="s">
        <v>15359</v>
      </c>
      <c r="R4776" s="1" t="s">
        <v>15359</v>
      </c>
      <c r="S4776" s="1"/>
      <c r="T4776" s="1" t="s">
        <v>2236</v>
      </c>
      <c r="U4776" s="1"/>
      <c r="V4776" s="1">
        <v>864.2</v>
      </c>
      <c r="W4776" s="1">
        <v>864.2</v>
      </c>
      <c r="X4776" s="1" t="s">
        <v>35</v>
      </c>
      <c r="Y4776" s="1">
        <v>864200</v>
      </c>
      <c r="Z4776" s="1"/>
      <c r="AA4776" s="1">
        <v>864200</v>
      </c>
      <c r="AB4776" s="1"/>
      <c r="AC4776" s="1" t="s">
        <v>36</v>
      </c>
      <c r="AD4776" s="1" t="s">
        <v>16299</v>
      </c>
      <c r="AE4776" s="1" t="s">
        <v>32</v>
      </c>
      <c r="AF4776" s="1" t="s">
        <v>33</v>
      </c>
      <c r="AG4776" s="1" t="s">
        <v>270</v>
      </c>
    </row>
    <row r="4777" spans="1:33">
      <c r="A4777" t="s">
        <v>16315</v>
      </c>
      <c r="B4777" t="s">
        <v>16316</v>
      </c>
      <c r="C4777" t="s">
        <v>47</v>
      </c>
      <c r="E4777" t="s">
        <v>15359</v>
      </c>
      <c r="F4777" t="s">
        <v>10934</v>
      </c>
      <c r="G4777">
        <v>17.192</v>
      </c>
      <c r="H4777">
        <v>17.192</v>
      </c>
      <c r="I4777" t="s">
        <v>2206</v>
      </c>
      <c r="J4777" t="s">
        <v>49</v>
      </c>
      <c r="K4777" t="s">
        <v>31</v>
      </c>
      <c r="L4777" t="s">
        <v>32</v>
      </c>
      <c r="M4777" t="s">
        <v>33</v>
      </c>
      <c r="P4777" s="1" t="s">
        <v>16317</v>
      </c>
      <c r="Q4777" s="1" t="s">
        <v>15359</v>
      </c>
      <c r="R4777" s="1" t="s">
        <v>15359</v>
      </c>
      <c r="S4777" s="1"/>
      <c r="T4777" s="1" t="s">
        <v>47</v>
      </c>
      <c r="U4777" s="1"/>
      <c r="V4777" s="1">
        <v>17.192</v>
      </c>
      <c r="W4777" s="1">
        <v>17.192</v>
      </c>
      <c r="X4777" s="1" t="s">
        <v>35</v>
      </c>
      <c r="Y4777" s="1">
        <v>17200</v>
      </c>
      <c r="Z4777" s="1">
        <v>-8</v>
      </c>
      <c r="AA4777" s="1">
        <v>17200</v>
      </c>
      <c r="AB4777" s="1">
        <v>-8</v>
      </c>
      <c r="AC4777" s="1" t="s">
        <v>36</v>
      </c>
      <c r="AD4777" s="1" t="s">
        <v>16318</v>
      </c>
      <c r="AE4777" s="1" t="s">
        <v>32</v>
      </c>
      <c r="AF4777" s="1" t="s">
        <v>33</v>
      </c>
      <c r="AG4777" s="1" t="s">
        <v>49</v>
      </c>
    </row>
    <row r="4778" spans="1:33">
      <c r="A4778" t="s">
        <v>16319</v>
      </c>
      <c r="C4778" t="s">
        <v>575</v>
      </c>
      <c r="E4778" t="s">
        <v>15359</v>
      </c>
      <c r="F4778" t="s">
        <v>10934</v>
      </c>
      <c r="G4778">
        <v>336.0</v>
      </c>
      <c r="H4778">
        <v>336.0</v>
      </c>
      <c r="I4778" t="s">
        <v>94</v>
      </c>
      <c r="J4778" t="s">
        <v>95</v>
      </c>
      <c r="K4778" t="s">
        <v>31</v>
      </c>
      <c r="L4778" t="s">
        <v>32</v>
      </c>
      <c r="M4778" t="s">
        <v>33</v>
      </c>
      <c r="P4778" s="1" t="s">
        <v>16320</v>
      </c>
      <c r="Q4778" s="1" t="s">
        <v>15359</v>
      </c>
      <c r="R4778" s="1" t="s">
        <v>15359</v>
      </c>
      <c r="S4778" s="1"/>
      <c r="T4778" s="1" t="s">
        <v>575</v>
      </c>
      <c r="U4778" s="1"/>
      <c r="V4778" s="1">
        <v>336.0</v>
      </c>
      <c r="W4778" s="1">
        <v>336.0</v>
      </c>
      <c r="X4778" s="1" t="s">
        <v>35</v>
      </c>
      <c r="Y4778" s="1">
        <v>336000</v>
      </c>
      <c r="Z4778" s="1"/>
      <c r="AA4778" s="1">
        <v>336000</v>
      </c>
      <c r="AB4778" s="1"/>
      <c r="AC4778" s="1" t="s">
        <v>36</v>
      </c>
      <c r="AD4778" s="1" t="s">
        <v>16321</v>
      </c>
      <c r="AE4778" s="1" t="s">
        <v>32</v>
      </c>
      <c r="AF4778" s="1" t="s">
        <v>33</v>
      </c>
      <c r="AG4778" s="1" t="s">
        <v>95</v>
      </c>
    </row>
    <row r="4779" spans="1:33">
      <c r="A4779" t="s">
        <v>16322</v>
      </c>
      <c r="C4779" t="s">
        <v>3871</v>
      </c>
      <c r="E4779" t="s">
        <v>15359</v>
      </c>
      <c r="F4779" t="s">
        <v>10934</v>
      </c>
      <c r="G4779">
        <v>504.0</v>
      </c>
      <c r="H4779">
        <v>504.0</v>
      </c>
      <c r="I4779" t="s">
        <v>570</v>
      </c>
      <c r="J4779" t="s">
        <v>571</v>
      </c>
      <c r="K4779" t="s">
        <v>31</v>
      </c>
      <c r="L4779" t="s">
        <v>32</v>
      </c>
      <c r="M4779" t="s">
        <v>33</v>
      </c>
      <c r="P4779" s="1" t="s">
        <v>16323</v>
      </c>
      <c r="Q4779" s="1" t="s">
        <v>15359</v>
      </c>
      <c r="R4779" s="1" t="s">
        <v>15359</v>
      </c>
      <c r="S4779" s="1"/>
      <c r="T4779" s="1" t="s">
        <v>3871</v>
      </c>
      <c r="U4779" s="1"/>
      <c r="V4779" s="1">
        <v>504.0</v>
      </c>
      <c r="W4779" s="1">
        <v>504.0</v>
      </c>
      <c r="X4779" s="1" t="s">
        <v>35</v>
      </c>
      <c r="Y4779" s="1">
        <v>504000</v>
      </c>
      <c r="Z4779" s="1"/>
      <c r="AA4779" s="1">
        <v>504000</v>
      </c>
      <c r="AB4779" s="1"/>
      <c r="AC4779" s="1" t="s">
        <v>36</v>
      </c>
      <c r="AD4779" s="1" t="s">
        <v>16324</v>
      </c>
      <c r="AE4779" s="1" t="s">
        <v>32</v>
      </c>
      <c r="AF4779" s="1" t="s">
        <v>33</v>
      </c>
      <c r="AG4779" s="1" t="s">
        <v>571</v>
      </c>
    </row>
    <row r="4780" spans="1:33">
      <c r="A4780" t="s">
        <v>16325</v>
      </c>
      <c r="C4780" t="s">
        <v>4555</v>
      </c>
      <c r="E4780" t="s">
        <v>15359</v>
      </c>
      <c r="F4780" t="s">
        <v>10934</v>
      </c>
      <c r="G4780">
        <v>352.0</v>
      </c>
      <c r="H4780">
        <v>352.0</v>
      </c>
      <c r="I4780" t="s">
        <v>179</v>
      </c>
      <c r="J4780" t="s">
        <v>180</v>
      </c>
      <c r="K4780" t="s">
        <v>31</v>
      </c>
      <c r="L4780" t="s">
        <v>32</v>
      </c>
      <c r="M4780" t="s">
        <v>33</v>
      </c>
      <c r="P4780" s="1" t="s">
        <v>16326</v>
      </c>
      <c r="Q4780" s="1" t="s">
        <v>15359</v>
      </c>
      <c r="R4780" s="1" t="s">
        <v>15359</v>
      </c>
      <c r="S4780" s="1"/>
      <c r="T4780" s="1" t="s">
        <v>4555</v>
      </c>
      <c r="U4780" s="1"/>
      <c r="V4780" s="1">
        <v>352.0</v>
      </c>
      <c r="W4780" s="1">
        <v>352.0</v>
      </c>
      <c r="X4780" s="1" t="s">
        <v>35</v>
      </c>
      <c r="Y4780" s="1">
        <v>352000</v>
      </c>
      <c r="Z4780" s="1"/>
      <c r="AA4780" s="1">
        <v>352000</v>
      </c>
      <c r="AB4780" s="1"/>
      <c r="AC4780" s="1" t="s">
        <v>36</v>
      </c>
      <c r="AD4780" s="1" t="s">
        <v>16327</v>
      </c>
      <c r="AE4780" s="1" t="s">
        <v>32</v>
      </c>
      <c r="AF4780" s="1" t="s">
        <v>33</v>
      </c>
      <c r="AG4780" s="1" t="s">
        <v>180</v>
      </c>
    </row>
    <row r="4781" spans="1:33">
      <c r="A4781" t="s">
        <v>16328</v>
      </c>
      <c r="C4781" t="s">
        <v>3133</v>
      </c>
      <c r="E4781" t="s">
        <v>15359</v>
      </c>
      <c r="F4781" t="s">
        <v>10934</v>
      </c>
      <c r="G4781">
        <v>984.0</v>
      </c>
      <c r="H4781">
        <v>984.0</v>
      </c>
      <c r="I4781" t="s">
        <v>269</v>
      </c>
      <c r="J4781" t="s">
        <v>270</v>
      </c>
      <c r="K4781" t="s">
        <v>31</v>
      </c>
      <c r="L4781" t="s">
        <v>32</v>
      </c>
      <c r="M4781" t="s">
        <v>33</v>
      </c>
      <c r="P4781" s="1" t="s">
        <v>16329</v>
      </c>
      <c r="Q4781" s="1" t="s">
        <v>15359</v>
      </c>
      <c r="R4781" s="1" t="s">
        <v>15359</v>
      </c>
      <c r="S4781" s="1"/>
      <c r="T4781" s="1" t="s">
        <v>3133</v>
      </c>
      <c r="U4781" s="1"/>
      <c r="V4781" s="1">
        <v>984.0</v>
      </c>
      <c r="W4781" s="1">
        <v>984.0</v>
      </c>
      <c r="X4781" s="1" t="s">
        <v>35</v>
      </c>
      <c r="Y4781" s="1">
        <v>984000</v>
      </c>
      <c r="Z4781" s="1"/>
      <c r="AA4781" s="1">
        <v>984000</v>
      </c>
      <c r="AB4781" s="1"/>
      <c r="AC4781" s="1" t="s">
        <v>36</v>
      </c>
      <c r="AD4781" s="1" t="s">
        <v>16330</v>
      </c>
      <c r="AE4781" s="1" t="s">
        <v>32</v>
      </c>
      <c r="AF4781" s="1" t="s">
        <v>33</v>
      </c>
      <c r="AG4781" s="1" t="s">
        <v>270</v>
      </c>
    </row>
    <row r="4782" spans="1:33">
      <c r="A4782" t="s">
        <v>16331</v>
      </c>
      <c r="C4782" t="s">
        <v>6228</v>
      </c>
      <c r="E4782" t="s">
        <v>15359</v>
      </c>
      <c r="F4782" t="s">
        <v>10934</v>
      </c>
      <c r="G4782">
        <v>320.0</v>
      </c>
      <c r="H4782">
        <v>320.0</v>
      </c>
      <c r="I4782" t="s">
        <v>40</v>
      </c>
      <c r="J4782" t="s">
        <v>41</v>
      </c>
      <c r="K4782" t="s">
        <v>31</v>
      </c>
      <c r="L4782" t="s">
        <v>32</v>
      </c>
      <c r="M4782" t="s">
        <v>33</v>
      </c>
      <c r="P4782" s="1" t="s">
        <v>16332</v>
      </c>
      <c r="Q4782" s="1" t="s">
        <v>15359</v>
      </c>
      <c r="R4782" s="1" t="s">
        <v>14225</v>
      </c>
      <c r="S4782" s="1"/>
      <c r="T4782" s="1" t="s">
        <v>6228</v>
      </c>
      <c r="U4782" s="1"/>
      <c r="V4782" s="1">
        <v>320.0</v>
      </c>
      <c r="W4782" s="1">
        <v>320.0</v>
      </c>
      <c r="X4782" s="1" t="s">
        <v>35</v>
      </c>
      <c r="Y4782" s="1">
        <v>320000</v>
      </c>
      <c r="Z4782" s="1"/>
      <c r="AA4782" s="1">
        <v>320000</v>
      </c>
      <c r="AB4782" s="1"/>
      <c r="AC4782" s="1" t="s">
        <v>36</v>
      </c>
      <c r="AD4782" s="1" t="s">
        <v>16333</v>
      </c>
      <c r="AE4782" s="1" t="s">
        <v>32</v>
      </c>
      <c r="AF4782" s="1" t="s">
        <v>33</v>
      </c>
      <c r="AG4782" s="1" t="s">
        <v>41</v>
      </c>
    </row>
    <row r="4783" spans="1:33">
      <c r="A4783" t="s">
        <v>16334</v>
      </c>
      <c r="C4783" t="s">
        <v>763</v>
      </c>
      <c r="E4783" t="s">
        <v>15359</v>
      </c>
      <c r="F4783" t="s">
        <v>10934</v>
      </c>
      <c r="G4783">
        <v>528.0</v>
      </c>
      <c r="H4783">
        <v>528.0</v>
      </c>
      <c r="I4783" t="s">
        <v>179</v>
      </c>
      <c r="J4783" t="s">
        <v>180</v>
      </c>
      <c r="K4783" t="s">
        <v>31</v>
      </c>
      <c r="L4783" t="s">
        <v>32</v>
      </c>
      <c r="M4783" t="s">
        <v>33</v>
      </c>
      <c r="P4783" s="1" t="s">
        <v>16335</v>
      </c>
      <c r="Q4783" s="1" t="s">
        <v>15359</v>
      </c>
      <c r="R4783" s="1" t="s">
        <v>15359</v>
      </c>
      <c r="S4783" s="1"/>
      <c r="T4783" s="1" t="s">
        <v>763</v>
      </c>
      <c r="U4783" s="1"/>
      <c r="V4783" s="1">
        <v>528.0</v>
      </c>
      <c r="W4783" s="1">
        <v>528.0</v>
      </c>
      <c r="X4783" s="1" t="s">
        <v>35</v>
      </c>
      <c r="Y4783" s="1">
        <v>528000</v>
      </c>
      <c r="Z4783" s="1"/>
      <c r="AA4783" s="1">
        <v>528000</v>
      </c>
      <c r="AB4783" s="1"/>
      <c r="AC4783" s="1" t="s">
        <v>36</v>
      </c>
      <c r="AD4783" s="1" t="s">
        <v>16336</v>
      </c>
      <c r="AE4783" s="1" t="s">
        <v>32</v>
      </c>
      <c r="AF4783" s="1" t="s">
        <v>33</v>
      </c>
      <c r="AG4783" s="1" t="s">
        <v>180</v>
      </c>
    </row>
    <row r="4784" spans="1:33">
      <c r="A4784" t="s">
        <v>16337</v>
      </c>
      <c r="B4784" t="s">
        <v>1724</v>
      </c>
      <c r="C4784" t="s">
        <v>314</v>
      </c>
      <c r="E4784" t="s">
        <v>15359</v>
      </c>
      <c r="F4784" t="s">
        <v>10934</v>
      </c>
      <c r="G4784">
        <v>136.43</v>
      </c>
      <c r="H4784">
        <v>136.43</v>
      </c>
      <c r="I4784" t="s">
        <v>179</v>
      </c>
      <c r="J4784" t="s">
        <v>180</v>
      </c>
      <c r="K4784" t="s">
        <v>31</v>
      </c>
      <c r="L4784" t="s">
        <v>32</v>
      </c>
      <c r="M4784" t="s">
        <v>33</v>
      </c>
      <c r="P4784" s="1" t="s">
        <v>16338</v>
      </c>
      <c r="Q4784" s="1" t="s">
        <v>15359</v>
      </c>
      <c r="R4784" s="1" t="s">
        <v>15359</v>
      </c>
      <c r="S4784" s="1"/>
      <c r="T4784" s="1" t="s">
        <v>314</v>
      </c>
      <c r="U4784" s="1"/>
      <c r="V4784" s="1">
        <v>136.43</v>
      </c>
      <c r="W4784" s="1">
        <v>136.43</v>
      </c>
      <c r="X4784" s="1" t="s">
        <v>35</v>
      </c>
      <c r="Y4784" s="1">
        <v>136430</v>
      </c>
      <c r="Z4784" s="1"/>
      <c r="AA4784" s="1">
        <v>136430</v>
      </c>
      <c r="AB4784" s="1"/>
      <c r="AC4784" s="1" t="s">
        <v>36</v>
      </c>
      <c r="AD4784" s="1" t="s">
        <v>16339</v>
      </c>
      <c r="AE4784" s="1" t="s">
        <v>32</v>
      </c>
      <c r="AF4784" s="1" t="s">
        <v>33</v>
      </c>
      <c r="AG4784" s="1" t="s">
        <v>180</v>
      </c>
    </row>
    <row r="4785" spans="1:33">
      <c r="A4785" t="s">
        <v>16340</v>
      </c>
      <c r="B4785" t="s">
        <v>16341</v>
      </c>
      <c r="C4785" t="s">
        <v>314</v>
      </c>
      <c r="E4785" t="s">
        <v>15359</v>
      </c>
      <c r="F4785" t="s">
        <v>10934</v>
      </c>
      <c r="G4785">
        <v>88.47</v>
      </c>
      <c r="H4785">
        <v>88.47</v>
      </c>
      <c r="I4785" t="s">
        <v>179</v>
      </c>
      <c r="J4785" t="s">
        <v>180</v>
      </c>
      <c r="K4785" t="s">
        <v>31</v>
      </c>
      <c r="L4785" t="s">
        <v>32</v>
      </c>
      <c r="M4785" t="s">
        <v>33</v>
      </c>
      <c r="P4785" s="1" t="s">
        <v>16342</v>
      </c>
      <c r="Q4785" s="1" t="s">
        <v>15359</v>
      </c>
      <c r="R4785" s="1" t="s">
        <v>15359</v>
      </c>
      <c r="S4785" s="1"/>
      <c r="T4785" s="1" t="s">
        <v>314</v>
      </c>
      <c r="U4785" s="1"/>
      <c r="V4785" s="1">
        <v>88.47</v>
      </c>
      <c r="W4785" s="1">
        <v>88.47</v>
      </c>
      <c r="X4785" s="1" t="s">
        <v>35</v>
      </c>
      <c r="Y4785" s="1">
        <v>88470</v>
      </c>
      <c r="Z4785" s="1"/>
      <c r="AA4785" s="1">
        <v>88470</v>
      </c>
      <c r="AB4785" s="1"/>
      <c r="AC4785" s="1" t="s">
        <v>36</v>
      </c>
      <c r="AD4785" s="1" t="s">
        <v>16343</v>
      </c>
      <c r="AE4785" s="1" t="s">
        <v>32</v>
      </c>
      <c r="AF4785" s="1" t="s">
        <v>33</v>
      </c>
      <c r="AG4785" s="1" t="s">
        <v>180</v>
      </c>
    </row>
    <row r="4786" spans="1:33">
      <c r="A4786" t="s">
        <v>16344</v>
      </c>
      <c r="B4786" t="s">
        <v>206</v>
      </c>
      <c r="C4786" t="s">
        <v>207</v>
      </c>
      <c r="E4786" t="s">
        <v>15359</v>
      </c>
      <c r="F4786" t="s">
        <v>10934</v>
      </c>
      <c r="G4786">
        <v>552.5</v>
      </c>
      <c r="H4786">
        <v>552.5</v>
      </c>
      <c r="I4786" t="s">
        <v>59</v>
      </c>
      <c r="J4786" t="s">
        <v>60</v>
      </c>
      <c r="K4786" t="s">
        <v>31</v>
      </c>
      <c r="L4786" t="s">
        <v>32</v>
      </c>
      <c r="M4786" t="s">
        <v>33</v>
      </c>
      <c r="P4786" s="1" t="s">
        <v>16345</v>
      </c>
      <c r="Q4786" s="1" t="s">
        <v>15359</v>
      </c>
      <c r="R4786" s="1" t="s">
        <v>15359</v>
      </c>
      <c r="S4786" s="1"/>
      <c r="T4786" s="1" t="s">
        <v>207</v>
      </c>
      <c r="U4786" s="1"/>
      <c r="V4786" s="1">
        <v>552.5</v>
      </c>
      <c r="W4786" s="1">
        <v>552.5</v>
      </c>
      <c r="X4786" s="1" t="s">
        <v>35</v>
      </c>
      <c r="Y4786" s="1">
        <v>552500</v>
      </c>
      <c r="Z4786" s="1"/>
      <c r="AA4786" s="1">
        <v>552500</v>
      </c>
      <c r="AB4786" s="1"/>
      <c r="AC4786" s="1" t="s">
        <v>36</v>
      </c>
      <c r="AD4786" s="1" t="s">
        <v>16346</v>
      </c>
      <c r="AE4786" s="1" t="s">
        <v>32</v>
      </c>
      <c r="AF4786" s="1" t="s">
        <v>33</v>
      </c>
      <c r="AG4786" s="1" t="s">
        <v>60</v>
      </c>
    </row>
    <row r="4787" spans="1:33">
      <c r="A4787" t="s">
        <v>16347</v>
      </c>
      <c r="B4787" t="s">
        <v>16348</v>
      </c>
      <c r="C4787" t="s">
        <v>68</v>
      </c>
      <c r="E4787" t="s">
        <v>15359</v>
      </c>
      <c r="F4787" t="s">
        <v>10934</v>
      </c>
      <c r="G4787">
        <v>44.98</v>
      </c>
      <c r="H4787">
        <v>44.98</v>
      </c>
      <c r="I4787" t="s">
        <v>59</v>
      </c>
      <c r="J4787" t="s">
        <v>60</v>
      </c>
      <c r="K4787" t="s">
        <v>31</v>
      </c>
      <c r="L4787" t="s">
        <v>32</v>
      </c>
      <c r="M4787" t="s">
        <v>33</v>
      </c>
      <c r="P4787" s="1" t="s">
        <v>16349</v>
      </c>
      <c r="Q4787" s="1" t="s">
        <v>15359</v>
      </c>
      <c r="R4787" s="1" t="s">
        <v>15359</v>
      </c>
      <c r="S4787" s="1"/>
      <c r="T4787" s="1" t="s">
        <v>68</v>
      </c>
      <c r="U4787" s="1"/>
      <c r="V4787" s="1">
        <v>44.98</v>
      </c>
      <c r="W4787" s="1">
        <v>44.98</v>
      </c>
      <c r="X4787" s="1" t="s">
        <v>35</v>
      </c>
      <c r="Y4787" s="1">
        <v>44980</v>
      </c>
      <c r="Z4787" s="1"/>
      <c r="AA4787" s="1">
        <v>44980</v>
      </c>
      <c r="AB4787" s="1"/>
      <c r="AC4787" s="1" t="s">
        <v>36</v>
      </c>
      <c r="AD4787" s="1" t="s">
        <v>16350</v>
      </c>
      <c r="AE4787" s="1" t="s">
        <v>32</v>
      </c>
      <c r="AF4787" s="1" t="s">
        <v>33</v>
      </c>
      <c r="AG4787" s="1" t="s">
        <v>60</v>
      </c>
    </row>
    <row r="4788" spans="1:33">
      <c r="A4788" t="s">
        <v>16351</v>
      </c>
      <c r="B4788" t="s">
        <v>16352</v>
      </c>
      <c r="C4788" t="s">
        <v>47</v>
      </c>
      <c r="E4788" t="s">
        <v>15359</v>
      </c>
      <c r="F4788" t="s">
        <v>10934</v>
      </c>
      <c r="G4788">
        <v>33.0</v>
      </c>
      <c r="H4788">
        <v>33.0</v>
      </c>
      <c r="I4788" t="s">
        <v>2206</v>
      </c>
      <c r="J4788" t="s">
        <v>49</v>
      </c>
      <c r="K4788" t="s">
        <v>31</v>
      </c>
      <c r="L4788" t="s">
        <v>32</v>
      </c>
      <c r="M4788" t="s">
        <v>33</v>
      </c>
      <c r="P4788" s="1" t="s">
        <v>16353</v>
      </c>
      <c r="Q4788" s="1" t="s">
        <v>15359</v>
      </c>
      <c r="R4788" s="1" t="s">
        <v>15359</v>
      </c>
      <c r="S4788" s="1"/>
      <c r="T4788" s="1" t="s">
        <v>47</v>
      </c>
      <c r="U4788" s="1"/>
      <c r="V4788" s="1">
        <v>33.0</v>
      </c>
      <c r="W4788" s="1">
        <v>33.0</v>
      </c>
      <c r="X4788" s="1" t="s">
        <v>35</v>
      </c>
      <c r="Y4788" s="1">
        <v>33000</v>
      </c>
      <c r="Z4788" s="1"/>
      <c r="AA4788" s="1">
        <v>33000</v>
      </c>
      <c r="AB4788" s="1"/>
      <c r="AC4788" s="1" t="s">
        <v>36</v>
      </c>
      <c r="AD4788" s="1" t="s">
        <v>16354</v>
      </c>
      <c r="AE4788" s="1" t="s">
        <v>32</v>
      </c>
      <c r="AF4788" s="1" t="s">
        <v>33</v>
      </c>
      <c r="AG4788" s="1" t="s">
        <v>49</v>
      </c>
    </row>
    <row r="4789" spans="1:33">
      <c r="A4789" t="s">
        <v>16355</v>
      </c>
      <c r="C4789" t="s">
        <v>810</v>
      </c>
      <c r="D4789" t="s">
        <v>154</v>
      </c>
      <c r="E4789" t="s">
        <v>15359</v>
      </c>
      <c r="F4789" t="s">
        <v>10934</v>
      </c>
      <c r="G4789">
        <v>1.988</v>
      </c>
      <c r="H4789">
        <v>1.988</v>
      </c>
      <c r="I4789" t="s">
        <v>269</v>
      </c>
      <c r="J4789" t="s">
        <v>270</v>
      </c>
      <c r="K4789" t="s">
        <v>31</v>
      </c>
      <c r="L4789" t="s">
        <v>32</v>
      </c>
      <c r="M4789" t="s">
        <v>33</v>
      </c>
      <c r="P4789" s="1" t="s">
        <v>16356</v>
      </c>
      <c r="Q4789" s="1" t="s">
        <v>15359</v>
      </c>
      <c r="R4789" s="1" t="s">
        <v>15359</v>
      </c>
      <c r="S4789" s="1"/>
      <c r="T4789" s="1" t="s">
        <v>810</v>
      </c>
      <c r="U4789" s="1"/>
      <c r="V4789" s="1">
        <v>1.988</v>
      </c>
      <c r="W4789" s="1">
        <v>1.988</v>
      </c>
      <c r="X4789" s="1" t="s">
        <v>35</v>
      </c>
      <c r="Y4789" s="1">
        <v>1988000</v>
      </c>
      <c r="Z4789" s="1"/>
      <c r="AA4789" s="1">
        <v>1988000</v>
      </c>
      <c r="AB4789" s="1"/>
      <c r="AC4789" s="1" t="s">
        <v>36</v>
      </c>
      <c r="AD4789" s="1" t="s">
        <v>16357</v>
      </c>
      <c r="AE4789" s="1" t="s">
        <v>32</v>
      </c>
      <c r="AF4789" s="1" t="s">
        <v>33</v>
      </c>
      <c r="AG4789" s="1" t="s">
        <v>270</v>
      </c>
    </row>
    <row r="4790" spans="1:33">
      <c r="A4790" t="s">
        <v>16358</v>
      </c>
      <c r="B4790" t="s">
        <v>16359</v>
      </c>
      <c r="C4790" t="s">
        <v>314</v>
      </c>
      <c r="E4790" t="s">
        <v>15359</v>
      </c>
      <c r="F4790" t="s">
        <v>10934</v>
      </c>
      <c r="G4790">
        <v>22.24</v>
      </c>
      <c r="H4790">
        <v>22.24</v>
      </c>
      <c r="I4790" t="s">
        <v>179</v>
      </c>
      <c r="J4790" t="s">
        <v>180</v>
      </c>
      <c r="K4790" t="s">
        <v>31</v>
      </c>
      <c r="L4790" t="s">
        <v>32</v>
      </c>
      <c r="M4790" t="s">
        <v>33</v>
      </c>
      <c r="P4790" s="1" t="s">
        <v>16360</v>
      </c>
      <c r="Q4790" s="1" t="s">
        <v>15359</v>
      </c>
      <c r="R4790" s="1" t="s">
        <v>15359</v>
      </c>
      <c r="S4790" s="1"/>
      <c r="T4790" s="1" t="s">
        <v>314</v>
      </c>
      <c r="U4790" s="1"/>
      <c r="V4790" s="1">
        <v>22.24</v>
      </c>
      <c r="W4790" s="1">
        <v>22.24</v>
      </c>
      <c r="X4790" s="1" t="s">
        <v>35</v>
      </c>
      <c r="Y4790" s="1">
        <v>22240</v>
      </c>
      <c r="Z4790" s="1"/>
      <c r="AA4790" s="1">
        <v>22240</v>
      </c>
      <c r="AB4790" s="1"/>
      <c r="AC4790" s="1" t="s">
        <v>36</v>
      </c>
      <c r="AD4790" s="1" t="s">
        <v>16361</v>
      </c>
      <c r="AE4790" s="1" t="s">
        <v>32</v>
      </c>
      <c r="AF4790" s="1" t="s">
        <v>33</v>
      </c>
      <c r="AG4790" s="1" t="s">
        <v>180</v>
      </c>
    </row>
    <row r="4791" spans="1:33">
      <c r="A4791" t="s">
        <v>16362</v>
      </c>
      <c r="C4791" t="s">
        <v>699</v>
      </c>
      <c r="D4791" t="s">
        <v>154</v>
      </c>
      <c r="E4791" t="s">
        <v>15359</v>
      </c>
      <c r="F4791" t="s">
        <v>10934</v>
      </c>
      <c r="G4791">
        <v>1.617</v>
      </c>
      <c r="H4791">
        <v>1.617</v>
      </c>
      <c r="I4791" t="s">
        <v>227</v>
      </c>
      <c r="J4791" t="s">
        <v>228</v>
      </c>
      <c r="K4791" t="s">
        <v>31</v>
      </c>
      <c r="L4791" t="s">
        <v>32</v>
      </c>
      <c r="M4791" t="s">
        <v>33</v>
      </c>
      <c r="P4791" s="1" t="s">
        <v>16363</v>
      </c>
      <c r="Q4791" s="1" t="s">
        <v>15359</v>
      </c>
      <c r="R4791" s="1" t="s">
        <v>15359</v>
      </c>
      <c r="S4791" s="1"/>
      <c r="T4791" s="1" t="s">
        <v>699</v>
      </c>
      <c r="U4791" s="1"/>
      <c r="V4791" s="1">
        <v>1.617</v>
      </c>
      <c r="W4791" s="1">
        <v>1.617</v>
      </c>
      <c r="X4791" s="1" t="s">
        <v>35</v>
      </c>
      <c r="Y4791" s="1">
        <v>1617250</v>
      </c>
      <c r="Z4791" s="1"/>
      <c r="AA4791" s="1">
        <v>1617250</v>
      </c>
      <c r="AB4791" s="1"/>
      <c r="AC4791" s="1" t="s">
        <v>36</v>
      </c>
      <c r="AD4791" s="1" t="s">
        <v>16357</v>
      </c>
      <c r="AE4791" s="1" t="s">
        <v>32</v>
      </c>
      <c r="AF4791" s="1" t="s">
        <v>33</v>
      </c>
      <c r="AG4791" s="1" t="s">
        <v>228</v>
      </c>
    </row>
    <row r="4792" spans="1:33">
      <c r="A4792" t="s">
        <v>16364</v>
      </c>
      <c r="C4792" t="s">
        <v>4634</v>
      </c>
      <c r="E4792" t="s">
        <v>15359</v>
      </c>
      <c r="F4792" t="s">
        <v>10934</v>
      </c>
      <c r="G4792">
        <v>410.0</v>
      </c>
      <c r="H4792">
        <v>410.0</v>
      </c>
      <c r="I4792" t="s">
        <v>269</v>
      </c>
      <c r="J4792" t="s">
        <v>270</v>
      </c>
      <c r="K4792" t="s">
        <v>31</v>
      </c>
      <c r="L4792" t="s">
        <v>32</v>
      </c>
      <c r="M4792" t="s">
        <v>33</v>
      </c>
      <c r="P4792" s="1" t="s">
        <v>16365</v>
      </c>
      <c r="Q4792" s="1" t="s">
        <v>15359</v>
      </c>
      <c r="R4792" s="1" t="s">
        <v>15359</v>
      </c>
      <c r="S4792" s="1"/>
      <c r="T4792" s="1" t="s">
        <v>4634</v>
      </c>
      <c r="U4792" s="1"/>
      <c r="V4792" s="1">
        <v>410.0</v>
      </c>
      <c r="W4792" s="1">
        <v>410.0</v>
      </c>
      <c r="X4792" s="1" t="s">
        <v>35</v>
      </c>
      <c r="Y4792" s="1">
        <v>410000</v>
      </c>
      <c r="Z4792" s="1"/>
      <c r="AA4792" s="1">
        <v>410000</v>
      </c>
      <c r="AB4792" s="1"/>
      <c r="AC4792" s="1" t="s">
        <v>36</v>
      </c>
      <c r="AD4792" s="1" t="s">
        <v>16366</v>
      </c>
      <c r="AE4792" s="1" t="s">
        <v>32</v>
      </c>
      <c r="AF4792" s="1" t="s">
        <v>33</v>
      </c>
      <c r="AG4792" s="1" t="s">
        <v>270</v>
      </c>
    </row>
    <row r="4793" spans="1:33">
      <c r="A4793" t="s">
        <v>16367</v>
      </c>
      <c r="B4793" t="s">
        <v>16368</v>
      </c>
      <c r="C4793" t="s">
        <v>26</v>
      </c>
      <c r="E4793" t="s">
        <v>16369</v>
      </c>
      <c r="F4793" t="s">
        <v>16370</v>
      </c>
      <c r="G4793">
        <v>129.84</v>
      </c>
      <c r="H4793">
        <v>129.84</v>
      </c>
      <c r="I4793" t="s">
        <v>29</v>
      </c>
      <c r="J4793" t="s">
        <v>30</v>
      </c>
      <c r="K4793" t="s">
        <v>31</v>
      </c>
      <c r="L4793" t="s">
        <v>32</v>
      </c>
      <c r="M4793" t="s">
        <v>33</v>
      </c>
      <c r="P4793" s="1" t="s">
        <v>16371</v>
      </c>
      <c r="Q4793" s="1" t="s">
        <v>16369</v>
      </c>
      <c r="R4793" s="1" t="s">
        <v>16369</v>
      </c>
      <c r="S4793" s="1"/>
      <c r="T4793" s="1" t="s">
        <v>26</v>
      </c>
      <c r="U4793" s="1"/>
      <c r="V4793" s="1">
        <v>129.84</v>
      </c>
      <c r="W4793" s="1">
        <v>129.84</v>
      </c>
      <c r="X4793" s="1" t="s">
        <v>35</v>
      </c>
      <c r="Y4793" s="1">
        <v>129840</v>
      </c>
      <c r="Z4793" s="1"/>
      <c r="AA4793" s="1">
        <v>129840</v>
      </c>
      <c r="AB4793" s="1"/>
      <c r="AC4793" s="1" t="s">
        <v>36</v>
      </c>
      <c r="AD4793" s="1" t="s">
        <v>16372</v>
      </c>
      <c r="AE4793" s="1" t="s">
        <v>32</v>
      </c>
      <c r="AF4793" s="1" t="s">
        <v>33</v>
      </c>
      <c r="AG4793" s="1" t="s">
        <v>30</v>
      </c>
    </row>
    <row r="4794" spans="1:33">
      <c r="A4794" t="s">
        <v>16373</v>
      </c>
      <c r="C4794" t="s">
        <v>16374</v>
      </c>
      <c r="E4794" t="s">
        <v>16369</v>
      </c>
      <c r="F4794" t="s">
        <v>16370</v>
      </c>
      <c r="G4794">
        <v>11.2</v>
      </c>
      <c r="H4794">
        <v>11.2</v>
      </c>
      <c r="I4794" t="s">
        <v>16375</v>
      </c>
      <c r="J4794" t="s">
        <v>16376</v>
      </c>
      <c r="K4794" t="s">
        <v>31</v>
      </c>
      <c r="L4794" t="s">
        <v>32</v>
      </c>
      <c r="M4794" t="s">
        <v>33</v>
      </c>
      <c r="P4794" s="1" t="s">
        <v>16377</v>
      </c>
      <c r="Q4794" s="1" t="s">
        <v>16369</v>
      </c>
      <c r="R4794" s="1" t="s">
        <v>16369</v>
      </c>
      <c r="S4794" s="1"/>
      <c r="T4794" s="1" t="s">
        <v>16378</v>
      </c>
      <c r="U4794" s="1" t="s">
        <v>16379</v>
      </c>
      <c r="V4794" s="1">
        <v>11.2</v>
      </c>
      <c r="W4794" s="1">
        <v>11.2</v>
      </c>
      <c r="X4794" s="1" t="s">
        <v>35</v>
      </c>
      <c r="Y4794" s="1">
        <v>11200</v>
      </c>
      <c r="Z4794" s="1"/>
      <c r="AA4794" s="1">
        <v>11200</v>
      </c>
      <c r="AB4794" s="1"/>
      <c r="AC4794" s="1" t="s">
        <v>36</v>
      </c>
      <c r="AD4794" s="1" t="s">
        <v>16380</v>
      </c>
      <c r="AE4794" s="1" t="s">
        <v>32</v>
      </c>
      <c r="AF4794" s="1" t="s">
        <v>33</v>
      </c>
      <c r="AG4794" s="1" t="s">
        <v>16376</v>
      </c>
    </row>
    <row r="4795" spans="1:33">
      <c r="A4795" t="s">
        <v>16381</v>
      </c>
      <c r="B4795" t="s">
        <v>374</v>
      </c>
      <c r="C4795" t="s">
        <v>375</v>
      </c>
      <c r="D4795" t="s">
        <v>154</v>
      </c>
      <c r="E4795" t="s">
        <v>16369</v>
      </c>
      <c r="F4795" t="s">
        <v>16370</v>
      </c>
      <c r="G4795">
        <v>410.0</v>
      </c>
      <c r="H4795">
        <v>410.0</v>
      </c>
      <c r="I4795" t="s">
        <v>59</v>
      </c>
      <c r="J4795" t="s">
        <v>60</v>
      </c>
      <c r="K4795" t="s">
        <v>31</v>
      </c>
      <c r="L4795" t="s">
        <v>32</v>
      </c>
      <c r="M4795" t="s">
        <v>33</v>
      </c>
      <c r="P4795" s="1" t="s">
        <v>16382</v>
      </c>
      <c r="Q4795" s="1" t="s">
        <v>16369</v>
      </c>
      <c r="R4795" s="1" t="s">
        <v>16369</v>
      </c>
      <c r="S4795" s="1"/>
      <c r="T4795" s="1" t="s">
        <v>377</v>
      </c>
      <c r="U4795" s="1" t="s">
        <v>378</v>
      </c>
      <c r="V4795" s="1">
        <v>410.0</v>
      </c>
      <c r="W4795" s="1">
        <v>410.0</v>
      </c>
      <c r="X4795" s="1" t="s">
        <v>35</v>
      </c>
      <c r="Y4795" s="1">
        <v>410000</v>
      </c>
      <c r="Z4795" s="1"/>
      <c r="AA4795" s="1">
        <v>410000</v>
      </c>
      <c r="AB4795" s="1"/>
      <c r="AC4795" s="1" t="s">
        <v>36</v>
      </c>
      <c r="AD4795" s="1" t="s">
        <v>16383</v>
      </c>
      <c r="AE4795" s="1" t="s">
        <v>32</v>
      </c>
      <c r="AF4795" s="1" t="s">
        <v>33</v>
      </c>
      <c r="AG4795" s="1" t="s">
        <v>60</v>
      </c>
    </row>
    <row r="4796" spans="1:33">
      <c r="A4796" t="s">
        <v>16384</v>
      </c>
      <c r="B4796" t="s">
        <v>57</v>
      </c>
      <c r="C4796" t="s">
        <v>58</v>
      </c>
      <c r="E4796" t="s">
        <v>16369</v>
      </c>
      <c r="F4796" t="s">
        <v>16370</v>
      </c>
      <c r="G4796">
        <v>370.0</v>
      </c>
      <c r="H4796">
        <v>370.0</v>
      </c>
      <c r="I4796" t="s">
        <v>59</v>
      </c>
      <c r="J4796" t="s">
        <v>60</v>
      </c>
      <c r="K4796" t="s">
        <v>31</v>
      </c>
      <c r="L4796" t="s">
        <v>32</v>
      </c>
      <c r="M4796" t="s">
        <v>33</v>
      </c>
      <c r="P4796" s="1" t="s">
        <v>16385</v>
      </c>
      <c r="Q4796" s="1" t="s">
        <v>16369</v>
      </c>
      <c r="R4796" s="1" t="s">
        <v>16369</v>
      </c>
      <c r="S4796" s="1"/>
      <c r="T4796" s="1" t="s">
        <v>58</v>
      </c>
      <c r="U4796" s="1"/>
      <c r="V4796" s="1">
        <v>370.0</v>
      </c>
      <c r="W4796" s="1">
        <v>370.0</v>
      </c>
      <c r="X4796" s="1" t="s">
        <v>35</v>
      </c>
      <c r="Y4796" s="1">
        <v>370000</v>
      </c>
      <c r="Z4796" s="1"/>
      <c r="AA4796" s="1">
        <v>370000</v>
      </c>
      <c r="AB4796" s="1"/>
      <c r="AC4796" s="1" t="s">
        <v>36</v>
      </c>
      <c r="AD4796" s="1" t="s">
        <v>16386</v>
      </c>
      <c r="AE4796" s="1" t="s">
        <v>32</v>
      </c>
      <c r="AF4796" s="1" t="s">
        <v>33</v>
      </c>
      <c r="AG4796" s="1" t="s">
        <v>60</v>
      </c>
    </row>
    <row r="4797" spans="1:33">
      <c r="A4797" t="s">
        <v>16387</v>
      </c>
      <c r="B4797" t="s">
        <v>16388</v>
      </c>
      <c r="C4797" t="s">
        <v>16389</v>
      </c>
      <c r="E4797" t="s">
        <v>16369</v>
      </c>
      <c r="F4797" t="s">
        <v>16370</v>
      </c>
      <c r="G4797">
        <v>260.0</v>
      </c>
      <c r="H4797">
        <v>260.0</v>
      </c>
      <c r="I4797" t="s">
        <v>16390</v>
      </c>
      <c r="J4797" t="s">
        <v>16391</v>
      </c>
      <c r="K4797" t="s">
        <v>31</v>
      </c>
      <c r="L4797" t="s">
        <v>32</v>
      </c>
      <c r="M4797" t="s">
        <v>33</v>
      </c>
      <c r="P4797" s="1" t="s">
        <v>16392</v>
      </c>
      <c r="Q4797" s="1" t="s">
        <v>16369</v>
      </c>
      <c r="R4797" s="1" t="s">
        <v>15359</v>
      </c>
      <c r="S4797" s="1"/>
      <c r="T4797" s="1" t="s">
        <v>16389</v>
      </c>
      <c r="U4797" s="1"/>
      <c r="V4797" s="1">
        <v>260.0</v>
      </c>
      <c r="W4797" s="1">
        <v>260.0</v>
      </c>
      <c r="X4797" s="1" t="s">
        <v>35</v>
      </c>
      <c r="Y4797" s="1">
        <v>260000</v>
      </c>
      <c r="Z4797" s="1"/>
      <c r="AA4797" s="1">
        <v>260000</v>
      </c>
      <c r="AB4797" s="1"/>
      <c r="AC4797" s="1" t="s">
        <v>36</v>
      </c>
      <c r="AD4797" s="1" t="s">
        <v>16393</v>
      </c>
      <c r="AE4797" s="1" t="s">
        <v>32</v>
      </c>
      <c r="AF4797" s="1" t="s">
        <v>33</v>
      </c>
      <c r="AG4797" s="1" t="s">
        <v>16391</v>
      </c>
    </row>
    <row r="4798" spans="1:33">
      <c r="A4798" t="s">
        <v>16394</v>
      </c>
      <c r="B4798" t="s">
        <v>16395</v>
      </c>
      <c r="C4798" t="s">
        <v>68</v>
      </c>
      <c r="E4798" t="s">
        <v>16369</v>
      </c>
      <c r="F4798" t="s">
        <v>16370</v>
      </c>
      <c r="G4798">
        <v>25.723</v>
      </c>
      <c r="H4798">
        <v>25.723</v>
      </c>
      <c r="I4798" t="s">
        <v>59</v>
      </c>
      <c r="J4798" t="s">
        <v>60</v>
      </c>
      <c r="K4798" t="s">
        <v>31</v>
      </c>
      <c r="L4798" t="s">
        <v>32</v>
      </c>
      <c r="M4798" t="s">
        <v>33</v>
      </c>
      <c r="P4798" s="1" t="s">
        <v>16396</v>
      </c>
      <c r="Q4798" s="1" t="s">
        <v>16369</v>
      </c>
      <c r="R4798" s="1" t="s">
        <v>16369</v>
      </c>
      <c r="S4798" s="1"/>
      <c r="T4798" s="1" t="s">
        <v>68</v>
      </c>
      <c r="U4798" s="1"/>
      <c r="V4798" s="1">
        <v>25.723</v>
      </c>
      <c r="W4798" s="1">
        <v>25.723</v>
      </c>
      <c r="X4798" s="1" t="s">
        <v>35</v>
      </c>
      <c r="Y4798" s="1">
        <v>25723</v>
      </c>
      <c r="Z4798" s="1"/>
      <c r="AA4798" s="1">
        <v>25723</v>
      </c>
      <c r="AB4798" s="1"/>
      <c r="AC4798" s="1" t="s">
        <v>36</v>
      </c>
      <c r="AD4798" s="1" t="s">
        <v>16397</v>
      </c>
      <c r="AE4798" s="1" t="s">
        <v>32</v>
      </c>
      <c r="AF4798" s="1" t="s">
        <v>33</v>
      </c>
      <c r="AG4798" s="1" t="s">
        <v>60</v>
      </c>
    </row>
    <row r="4799" spans="1:33">
      <c r="A4799" t="s">
        <v>16398</v>
      </c>
      <c r="C4799" t="s">
        <v>725</v>
      </c>
      <c r="E4799" t="s">
        <v>16369</v>
      </c>
      <c r="F4799" t="s">
        <v>16399</v>
      </c>
      <c r="G4799">
        <v>1.834</v>
      </c>
      <c r="H4799">
        <v>1.834</v>
      </c>
      <c r="I4799" t="s">
        <v>136</v>
      </c>
      <c r="J4799" t="s">
        <v>137</v>
      </c>
      <c r="K4799" t="s">
        <v>31</v>
      </c>
      <c r="L4799" t="s">
        <v>32</v>
      </c>
      <c r="M4799" t="s">
        <v>33</v>
      </c>
      <c r="P4799" s="1" t="s">
        <v>16400</v>
      </c>
      <c r="Q4799" s="1" t="s">
        <v>16369</v>
      </c>
      <c r="R4799" s="1" t="s">
        <v>16369</v>
      </c>
      <c r="S4799" s="1"/>
      <c r="T4799" s="1" t="s">
        <v>725</v>
      </c>
      <c r="U4799" s="1"/>
      <c r="V4799" s="1">
        <v>1.834</v>
      </c>
      <c r="W4799" s="1">
        <v>1.834</v>
      </c>
      <c r="X4799" s="1" t="s">
        <v>35</v>
      </c>
      <c r="Y4799" s="1">
        <v>1834000</v>
      </c>
      <c r="Z4799" s="1"/>
      <c r="AA4799" s="1">
        <v>1834000</v>
      </c>
      <c r="AB4799" s="1"/>
      <c r="AC4799" s="1" t="s">
        <v>36</v>
      </c>
      <c r="AD4799" s="1" t="s">
        <v>16401</v>
      </c>
      <c r="AE4799" s="1" t="s">
        <v>32</v>
      </c>
      <c r="AF4799" s="1" t="s">
        <v>33</v>
      </c>
      <c r="AG4799" s="1" t="s">
        <v>137</v>
      </c>
    </row>
    <row r="4800" spans="1:33">
      <c r="A4800" t="s">
        <v>16402</v>
      </c>
      <c r="C4800" t="s">
        <v>732</v>
      </c>
      <c r="E4800" t="s">
        <v>16369</v>
      </c>
      <c r="F4800" t="s">
        <v>16370</v>
      </c>
      <c r="G4800">
        <v>970.0</v>
      </c>
      <c r="H4800">
        <v>970.0</v>
      </c>
      <c r="I4800" t="s">
        <v>136</v>
      </c>
      <c r="J4800" t="s">
        <v>137</v>
      </c>
      <c r="K4800" t="s">
        <v>31</v>
      </c>
      <c r="L4800" t="s">
        <v>32</v>
      </c>
      <c r="M4800" t="s">
        <v>33</v>
      </c>
      <c r="P4800" s="1" t="s">
        <v>16403</v>
      </c>
      <c r="Q4800" s="1" t="s">
        <v>16369</v>
      </c>
      <c r="R4800" s="1" t="s">
        <v>16369</v>
      </c>
      <c r="S4800" s="1"/>
      <c r="T4800" s="1" t="s">
        <v>732</v>
      </c>
      <c r="U4800" s="1"/>
      <c r="V4800" s="1">
        <v>970.0</v>
      </c>
      <c r="W4800" s="1">
        <v>970.0</v>
      </c>
      <c r="X4800" s="1" t="s">
        <v>35</v>
      </c>
      <c r="Y4800" s="1">
        <v>970000</v>
      </c>
      <c r="Z4800" s="1"/>
      <c r="AA4800" s="1">
        <v>970000</v>
      </c>
      <c r="AB4800" s="1"/>
      <c r="AC4800" s="1" t="s">
        <v>36</v>
      </c>
      <c r="AD4800" s="1" t="s">
        <v>16404</v>
      </c>
      <c r="AE4800" s="1" t="s">
        <v>32</v>
      </c>
      <c r="AF4800" s="1" t="s">
        <v>33</v>
      </c>
      <c r="AG4800" s="1" t="s">
        <v>137</v>
      </c>
    </row>
    <row r="4801" spans="1:33">
      <c r="A4801" t="s">
        <v>16405</v>
      </c>
      <c r="C4801" t="s">
        <v>4683</v>
      </c>
      <c r="E4801" t="s">
        <v>16369</v>
      </c>
      <c r="F4801" t="s">
        <v>16370</v>
      </c>
      <c r="G4801">
        <v>813.0</v>
      </c>
      <c r="H4801">
        <v>813.0</v>
      </c>
      <c r="I4801" t="s">
        <v>136</v>
      </c>
      <c r="J4801" t="s">
        <v>137</v>
      </c>
      <c r="K4801" t="s">
        <v>31</v>
      </c>
      <c r="L4801" t="s">
        <v>32</v>
      </c>
      <c r="M4801" t="s">
        <v>33</v>
      </c>
      <c r="P4801" s="1" t="s">
        <v>16406</v>
      </c>
      <c r="Q4801" s="1" t="s">
        <v>16369</v>
      </c>
      <c r="R4801" s="1" t="s">
        <v>16369</v>
      </c>
      <c r="S4801" s="1"/>
      <c r="T4801" s="1" t="s">
        <v>4683</v>
      </c>
      <c r="U4801" s="1"/>
      <c r="V4801" s="1">
        <v>813.0</v>
      </c>
      <c r="W4801" s="1">
        <v>813.0</v>
      </c>
      <c r="X4801" s="1" t="s">
        <v>35</v>
      </c>
      <c r="Y4801" s="1">
        <v>813000</v>
      </c>
      <c r="Z4801" s="1"/>
      <c r="AA4801" s="1">
        <v>813000</v>
      </c>
      <c r="AB4801" s="1"/>
      <c r="AC4801" s="1" t="s">
        <v>36</v>
      </c>
      <c r="AD4801" s="1" t="s">
        <v>16407</v>
      </c>
      <c r="AE4801" s="1" t="s">
        <v>32</v>
      </c>
      <c r="AF4801" s="1" t="s">
        <v>33</v>
      </c>
      <c r="AG4801" s="1" t="s">
        <v>137</v>
      </c>
    </row>
    <row r="4802" spans="1:33">
      <c r="A4802" t="s">
        <v>16408</v>
      </c>
      <c r="B4802" t="s">
        <v>16409</v>
      </c>
      <c r="C4802" t="s">
        <v>131</v>
      </c>
      <c r="E4802" t="s">
        <v>16369</v>
      </c>
      <c r="F4802" t="s">
        <v>16370</v>
      </c>
      <c r="G4802">
        <v>25.0</v>
      </c>
      <c r="H4802">
        <v>25.0</v>
      </c>
      <c r="I4802" t="s">
        <v>94</v>
      </c>
      <c r="J4802" t="s">
        <v>95</v>
      </c>
      <c r="K4802" t="s">
        <v>31</v>
      </c>
      <c r="L4802" t="s">
        <v>32</v>
      </c>
      <c r="M4802" t="s">
        <v>33</v>
      </c>
      <c r="P4802" s="1" t="s">
        <v>16410</v>
      </c>
      <c r="Q4802" s="1" t="s">
        <v>16369</v>
      </c>
      <c r="R4802" s="1" t="s">
        <v>16369</v>
      </c>
      <c r="S4802" s="1"/>
      <c r="T4802" s="1" t="s">
        <v>131</v>
      </c>
      <c r="U4802" s="1"/>
      <c r="V4802" s="1">
        <v>25.0</v>
      </c>
      <c r="W4802" s="1">
        <v>25.0</v>
      </c>
      <c r="X4802" s="1" t="s">
        <v>35</v>
      </c>
      <c r="Y4802" s="1">
        <v>25000</v>
      </c>
      <c r="Z4802" s="1"/>
      <c r="AA4802" s="1">
        <v>25000</v>
      </c>
      <c r="AB4802" s="1"/>
      <c r="AC4802" s="1" t="s">
        <v>36</v>
      </c>
      <c r="AD4802" s="1" t="s">
        <v>16411</v>
      </c>
      <c r="AE4802" s="1" t="s">
        <v>32</v>
      </c>
      <c r="AF4802" s="1" t="s">
        <v>33</v>
      </c>
      <c r="AG4802" s="1" t="s">
        <v>95</v>
      </c>
    </row>
    <row r="4803" spans="1:33">
      <c r="A4803" t="s">
        <v>16412</v>
      </c>
      <c r="C4803" t="s">
        <v>2284</v>
      </c>
      <c r="E4803" t="s">
        <v>16369</v>
      </c>
      <c r="F4803" t="s">
        <v>16370</v>
      </c>
      <c r="G4803">
        <v>1.957</v>
      </c>
      <c r="H4803">
        <v>1.957</v>
      </c>
      <c r="I4803" t="s">
        <v>269</v>
      </c>
      <c r="J4803" t="s">
        <v>270</v>
      </c>
      <c r="K4803" t="s">
        <v>31</v>
      </c>
      <c r="L4803" t="s">
        <v>32</v>
      </c>
      <c r="M4803" t="s">
        <v>33</v>
      </c>
      <c r="P4803" s="1" t="s">
        <v>16413</v>
      </c>
      <c r="Q4803" s="1" t="s">
        <v>16369</v>
      </c>
      <c r="R4803" s="1" t="s">
        <v>16369</v>
      </c>
      <c r="S4803" s="1"/>
      <c r="T4803" s="1" t="s">
        <v>2284</v>
      </c>
      <c r="U4803" s="1"/>
      <c r="V4803" s="1">
        <v>1.957</v>
      </c>
      <c r="W4803" s="1">
        <v>1.957</v>
      </c>
      <c r="X4803" s="1" t="s">
        <v>35</v>
      </c>
      <c r="Y4803" s="1">
        <v>1957200</v>
      </c>
      <c r="Z4803" s="1"/>
      <c r="AA4803" s="1">
        <v>1957200</v>
      </c>
      <c r="AB4803" s="1"/>
      <c r="AC4803" s="1" t="s">
        <v>36</v>
      </c>
      <c r="AD4803" s="1" t="s">
        <v>16414</v>
      </c>
      <c r="AE4803" s="1" t="s">
        <v>32</v>
      </c>
      <c r="AF4803" s="1" t="s">
        <v>33</v>
      </c>
      <c r="AG4803" s="1" t="s">
        <v>270</v>
      </c>
    </row>
    <row r="4804" spans="1:33">
      <c r="A4804" t="s">
        <v>16415</v>
      </c>
      <c r="C4804" t="s">
        <v>16281</v>
      </c>
      <c r="D4804" t="s">
        <v>154</v>
      </c>
      <c r="E4804" t="s">
        <v>16369</v>
      </c>
      <c r="F4804" t="s">
        <v>16399</v>
      </c>
      <c r="G4804">
        <v>878.0</v>
      </c>
      <c r="H4804">
        <v>878.0</v>
      </c>
      <c r="I4804" t="s">
        <v>136</v>
      </c>
      <c r="J4804" t="s">
        <v>137</v>
      </c>
      <c r="K4804" t="s">
        <v>31</v>
      </c>
      <c r="L4804" t="s">
        <v>32</v>
      </c>
      <c r="M4804" t="s">
        <v>33</v>
      </c>
      <c r="P4804" s="1" t="s">
        <v>16416</v>
      </c>
      <c r="Q4804" s="1" t="s">
        <v>16369</v>
      </c>
      <c r="R4804" s="1" t="s">
        <v>16369</v>
      </c>
      <c r="S4804" s="1"/>
      <c r="T4804" s="1" t="s">
        <v>16281</v>
      </c>
      <c r="U4804" s="1"/>
      <c r="V4804" s="1">
        <v>878.0</v>
      </c>
      <c r="W4804" s="1">
        <v>878.0</v>
      </c>
      <c r="X4804" s="1" t="s">
        <v>35</v>
      </c>
      <c r="Y4804" s="1">
        <v>878000</v>
      </c>
      <c r="Z4804" s="1"/>
      <c r="AA4804" s="1">
        <v>878000</v>
      </c>
      <c r="AB4804" s="1"/>
      <c r="AC4804" s="1" t="s">
        <v>36</v>
      </c>
      <c r="AD4804" s="1" t="s">
        <v>16417</v>
      </c>
      <c r="AE4804" s="1" t="s">
        <v>32</v>
      </c>
      <c r="AF4804" s="1" t="s">
        <v>33</v>
      </c>
      <c r="AG4804" s="1" t="s">
        <v>137</v>
      </c>
    </row>
    <row r="4805" spans="1:33">
      <c r="A4805" t="s">
        <v>16418</v>
      </c>
      <c r="C4805" t="s">
        <v>674</v>
      </c>
      <c r="E4805" t="s">
        <v>16369</v>
      </c>
      <c r="F4805" t="s">
        <v>16399</v>
      </c>
      <c r="G4805">
        <v>1.103</v>
      </c>
      <c r="H4805">
        <v>1.103</v>
      </c>
      <c r="I4805" t="s">
        <v>136</v>
      </c>
      <c r="J4805" t="s">
        <v>137</v>
      </c>
      <c r="K4805" t="s">
        <v>31</v>
      </c>
      <c r="L4805" t="s">
        <v>32</v>
      </c>
      <c r="M4805" t="s">
        <v>33</v>
      </c>
      <c r="P4805" s="1" t="s">
        <v>16419</v>
      </c>
      <c r="Q4805" s="1" t="s">
        <v>16369</v>
      </c>
      <c r="R4805" s="1" t="s">
        <v>16369</v>
      </c>
      <c r="S4805" s="1"/>
      <c r="T4805" s="1" t="s">
        <v>674</v>
      </c>
      <c r="U4805" s="1"/>
      <c r="V4805" s="1">
        <v>1.103</v>
      </c>
      <c r="W4805" s="1">
        <v>1.103</v>
      </c>
      <c r="X4805" s="1" t="s">
        <v>35</v>
      </c>
      <c r="Y4805" s="1">
        <v>1103600</v>
      </c>
      <c r="Z4805" s="1"/>
      <c r="AA4805" s="1">
        <v>1103600</v>
      </c>
      <c r="AB4805" s="1"/>
      <c r="AC4805" s="1" t="s">
        <v>36</v>
      </c>
      <c r="AD4805" s="1" t="s">
        <v>16420</v>
      </c>
      <c r="AE4805" s="1" t="s">
        <v>32</v>
      </c>
      <c r="AF4805" s="1" t="s">
        <v>33</v>
      </c>
      <c r="AG4805" s="1" t="s">
        <v>137</v>
      </c>
    </row>
    <row r="4806" spans="1:33">
      <c r="A4806" t="s">
        <v>16421</v>
      </c>
      <c r="C4806" t="s">
        <v>670</v>
      </c>
      <c r="E4806" t="s">
        <v>16369</v>
      </c>
      <c r="F4806" t="s">
        <v>16370</v>
      </c>
      <c r="G4806">
        <v>1.499</v>
      </c>
      <c r="H4806">
        <v>1.499</v>
      </c>
      <c r="I4806" t="s">
        <v>136</v>
      </c>
      <c r="J4806" t="s">
        <v>137</v>
      </c>
      <c r="K4806" t="s">
        <v>31</v>
      </c>
      <c r="L4806" t="s">
        <v>32</v>
      </c>
      <c r="M4806" t="s">
        <v>33</v>
      </c>
      <c r="P4806" s="1" t="s">
        <v>16422</v>
      </c>
      <c r="Q4806" s="1" t="s">
        <v>16369</v>
      </c>
      <c r="R4806" s="1" t="s">
        <v>16369</v>
      </c>
      <c r="S4806" s="1"/>
      <c r="T4806" s="1" t="s">
        <v>670</v>
      </c>
      <c r="U4806" s="1"/>
      <c r="V4806" s="1">
        <v>1.499</v>
      </c>
      <c r="W4806" s="1">
        <v>1.499</v>
      </c>
      <c r="X4806" s="1" t="s">
        <v>35</v>
      </c>
      <c r="Y4806" s="1">
        <v>1499000</v>
      </c>
      <c r="Z4806" s="1"/>
      <c r="AA4806" s="1">
        <v>1499000</v>
      </c>
      <c r="AB4806" s="1"/>
      <c r="AC4806" s="1" t="s">
        <v>36</v>
      </c>
      <c r="AD4806" s="1" t="s">
        <v>16423</v>
      </c>
      <c r="AE4806" s="1" t="s">
        <v>32</v>
      </c>
      <c r="AF4806" s="1" t="s">
        <v>33</v>
      </c>
      <c r="AG4806" s="1" t="s">
        <v>137</v>
      </c>
    </row>
    <row r="4807" spans="1:33">
      <c r="A4807" t="s">
        <v>16424</v>
      </c>
      <c r="C4807" t="s">
        <v>654</v>
      </c>
      <c r="E4807" t="s">
        <v>16369</v>
      </c>
      <c r="F4807" t="s">
        <v>16370</v>
      </c>
      <c r="G4807">
        <v>1.478</v>
      </c>
      <c r="H4807">
        <v>1.478</v>
      </c>
      <c r="I4807" t="s">
        <v>136</v>
      </c>
      <c r="J4807" t="s">
        <v>137</v>
      </c>
      <c r="K4807" t="s">
        <v>31</v>
      </c>
      <c r="L4807" t="s">
        <v>32</v>
      </c>
      <c r="M4807" t="s">
        <v>33</v>
      </c>
      <c r="P4807" s="1" t="s">
        <v>16425</v>
      </c>
      <c r="Q4807" s="1" t="s">
        <v>16369</v>
      </c>
      <c r="R4807" s="1" t="s">
        <v>16369</v>
      </c>
      <c r="S4807" s="1"/>
      <c r="T4807" s="1" t="s">
        <v>656</v>
      </c>
      <c r="U4807" s="1" t="s">
        <v>657</v>
      </c>
      <c r="V4807" s="1">
        <v>1.478</v>
      </c>
      <c r="W4807" s="1">
        <v>1.478</v>
      </c>
      <c r="X4807" s="1" t="s">
        <v>35</v>
      </c>
      <c r="Y4807" s="1">
        <v>1478000</v>
      </c>
      <c r="Z4807" s="1"/>
      <c r="AA4807" s="1">
        <v>1478000</v>
      </c>
      <c r="AB4807" s="1"/>
      <c r="AC4807" s="1" t="s">
        <v>36</v>
      </c>
      <c r="AD4807" s="1" t="s">
        <v>16426</v>
      </c>
      <c r="AE4807" s="1" t="s">
        <v>32</v>
      </c>
      <c r="AF4807" s="1" t="s">
        <v>33</v>
      </c>
      <c r="AG4807" s="1" t="s">
        <v>137</v>
      </c>
    </row>
    <row r="4808" spans="1:33">
      <c r="A4808" t="s">
        <v>16427</v>
      </c>
      <c r="C4808" t="s">
        <v>3083</v>
      </c>
      <c r="E4808" t="s">
        <v>16369</v>
      </c>
      <c r="F4808" t="s">
        <v>16370</v>
      </c>
      <c r="G4808">
        <v>260.0</v>
      </c>
      <c r="H4808">
        <v>260.0</v>
      </c>
      <c r="I4808" t="s">
        <v>126</v>
      </c>
      <c r="J4808" t="s">
        <v>127</v>
      </c>
      <c r="K4808" t="s">
        <v>31</v>
      </c>
      <c r="L4808" t="s">
        <v>32</v>
      </c>
      <c r="M4808" t="s">
        <v>33</v>
      </c>
      <c r="P4808" s="1" t="s">
        <v>16428</v>
      </c>
      <c r="Q4808" s="1" t="s">
        <v>16369</v>
      </c>
      <c r="R4808" s="1" t="s">
        <v>16369</v>
      </c>
      <c r="S4808" s="1"/>
      <c r="T4808" s="1" t="s">
        <v>3083</v>
      </c>
      <c r="U4808" s="1"/>
      <c r="V4808" s="1">
        <v>260.0</v>
      </c>
      <c r="W4808" s="1">
        <v>260.0</v>
      </c>
      <c r="X4808" s="1" t="s">
        <v>35</v>
      </c>
      <c r="Y4808" s="1">
        <v>260000</v>
      </c>
      <c r="Z4808" s="1"/>
      <c r="AA4808" s="1">
        <v>260000</v>
      </c>
      <c r="AB4808" s="1"/>
      <c r="AC4808" s="1" t="s">
        <v>36</v>
      </c>
      <c r="AD4808" s="1" t="s">
        <v>16429</v>
      </c>
      <c r="AE4808" s="1" t="s">
        <v>32</v>
      </c>
      <c r="AF4808" s="1" t="s">
        <v>33</v>
      </c>
      <c r="AG4808" s="1" t="s">
        <v>127</v>
      </c>
    </row>
    <row r="4809" spans="1:33">
      <c r="A4809" t="s">
        <v>16430</v>
      </c>
      <c r="C4809" t="s">
        <v>732</v>
      </c>
      <c r="E4809" t="s">
        <v>16369</v>
      </c>
      <c r="F4809" t="s">
        <v>16370</v>
      </c>
      <c r="G4809">
        <v>2.834</v>
      </c>
      <c r="H4809">
        <v>2.834</v>
      </c>
      <c r="I4809" t="s">
        <v>136</v>
      </c>
      <c r="J4809" t="s">
        <v>137</v>
      </c>
      <c r="K4809" t="s">
        <v>31</v>
      </c>
      <c r="L4809" t="s">
        <v>32</v>
      </c>
      <c r="M4809" t="s">
        <v>33</v>
      </c>
      <c r="P4809" s="1" t="s">
        <v>16431</v>
      </c>
      <c r="Q4809" s="1" t="s">
        <v>16369</v>
      </c>
      <c r="R4809" s="1" t="s">
        <v>16369</v>
      </c>
      <c r="S4809" s="1"/>
      <c r="T4809" s="1" t="s">
        <v>732</v>
      </c>
      <c r="U4809" s="1"/>
      <c r="V4809" s="1">
        <v>2.834</v>
      </c>
      <c r="W4809" s="1">
        <v>2.834</v>
      </c>
      <c r="X4809" s="1" t="s">
        <v>35</v>
      </c>
      <c r="Y4809" s="1">
        <v>2834750</v>
      </c>
      <c r="Z4809" s="1"/>
      <c r="AA4809" s="1">
        <v>2834750</v>
      </c>
      <c r="AB4809" s="1"/>
      <c r="AC4809" s="1" t="s">
        <v>36</v>
      </c>
      <c r="AD4809" s="1" t="s">
        <v>16432</v>
      </c>
      <c r="AE4809" s="1" t="s">
        <v>32</v>
      </c>
      <c r="AF4809" s="1" t="s">
        <v>33</v>
      </c>
      <c r="AG4809" s="1" t="s">
        <v>137</v>
      </c>
    </row>
    <row r="4810" spans="1:33">
      <c r="A4810" t="s">
        <v>16433</v>
      </c>
      <c r="B4810" t="s">
        <v>15107</v>
      </c>
      <c r="C4810" t="s">
        <v>47</v>
      </c>
      <c r="E4810" t="s">
        <v>16369</v>
      </c>
      <c r="F4810" t="s">
        <v>16370</v>
      </c>
      <c r="G4810">
        <v>1.256</v>
      </c>
      <c r="H4810">
        <v>1.256</v>
      </c>
      <c r="I4810" t="s">
        <v>2206</v>
      </c>
      <c r="J4810" t="s">
        <v>49</v>
      </c>
      <c r="K4810" t="s">
        <v>31</v>
      </c>
      <c r="L4810" t="s">
        <v>32</v>
      </c>
      <c r="M4810" t="s">
        <v>33</v>
      </c>
      <c r="P4810" s="1" t="s">
        <v>16434</v>
      </c>
      <c r="Q4810" s="1" t="s">
        <v>16369</v>
      </c>
      <c r="R4810" s="1" t="s">
        <v>16369</v>
      </c>
      <c r="S4810" s="1"/>
      <c r="T4810" s="1" t="s">
        <v>47</v>
      </c>
      <c r="U4810" s="1"/>
      <c r="V4810" s="1">
        <v>1.256</v>
      </c>
      <c r="W4810" s="1">
        <v>1.256</v>
      </c>
      <c r="X4810" s="1" t="s">
        <v>35</v>
      </c>
      <c r="Y4810" s="1">
        <v>1256</v>
      </c>
      <c r="Z4810" s="1"/>
      <c r="AA4810" s="1">
        <v>1256</v>
      </c>
      <c r="AB4810" s="1"/>
      <c r="AC4810" s="1" t="s">
        <v>36</v>
      </c>
      <c r="AD4810" s="1" t="s">
        <v>16435</v>
      </c>
      <c r="AE4810" s="1" t="s">
        <v>32</v>
      </c>
      <c r="AF4810" s="1" t="s">
        <v>33</v>
      </c>
      <c r="AG4810" s="1" t="s">
        <v>49</v>
      </c>
    </row>
    <row r="4811" spans="1:33">
      <c r="A4811" t="s">
        <v>16436</v>
      </c>
      <c r="C4811" t="s">
        <v>2989</v>
      </c>
      <c r="E4811" t="s">
        <v>16369</v>
      </c>
      <c r="F4811" t="s">
        <v>16370</v>
      </c>
      <c r="G4811">
        <v>9.184</v>
      </c>
      <c r="H4811">
        <v>9.184</v>
      </c>
      <c r="I4811" t="s">
        <v>136</v>
      </c>
      <c r="J4811" t="s">
        <v>137</v>
      </c>
      <c r="K4811" t="s">
        <v>31</v>
      </c>
      <c r="L4811" t="s">
        <v>32</v>
      </c>
      <c r="M4811" t="s">
        <v>33</v>
      </c>
      <c r="P4811" s="1" t="s">
        <v>16437</v>
      </c>
      <c r="Q4811" s="1" t="s">
        <v>16369</v>
      </c>
      <c r="R4811" s="1" t="s">
        <v>16369</v>
      </c>
      <c r="S4811" s="1"/>
      <c r="T4811" s="1" t="s">
        <v>2991</v>
      </c>
      <c r="U4811" s="1" t="s">
        <v>2992</v>
      </c>
      <c r="V4811" s="1">
        <v>9.184</v>
      </c>
      <c r="W4811" s="1">
        <v>9.184</v>
      </c>
      <c r="X4811" s="1" t="s">
        <v>35</v>
      </c>
      <c r="Y4811" s="1">
        <v>9184000</v>
      </c>
      <c r="Z4811" s="1"/>
      <c r="AA4811" s="1">
        <v>9184000</v>
      </c>
      <c r="AB4811" s="1"/>
      <c r="AC4811" s="1" t="s">
        <v>36</v>
      </c>
      <c r="AD4811" s="1" t="s">
        <v>16429</v>
      </c>
      <c r="AE4811" s="1" t="s">
        <v>32</v>
      </c>
      <c r="AF4811" s="1" t="s">
        <v>33</v>
      </c>
      <c r="AG4811" s="1" t="s">
        <v>137</v>
      </c>
    </row>
    <row r="4812" spans="1:33">
      <c r="A4812" t="s">
        <v>16438</v>
      </c>
      <c r="C4812" t="s">
        <v>131</v>
      </c>
      <c r="E4812" t="s">
        <v>16369</v>
      </c>
      <c r="F4812" t="s">
        <v>16370</v>
      </c>
      <c r="G4812">
        <v>104.95</v>
      </c>
      <c r="H4812">
        <v>104.95</v>
      </c>
      <c r="I4812" t="s">
        <v>94</v>
      </c>
      <c r="J4812" t="s">
        <v>95</v>
      </c>
      <c r="K4812" t="s">
        <v>31</v>
      </c>
      <c r="L4812" t="s">
        <v>32</v>
      </c>
      <c r="M4812" t="s">
        <v>33</v>
      </c>
      <c r="P4812" s="1" t="s">
        <v>16439</v>
      </c>
      <c r="Q4812" s="1" t="s">
        <v>16369</v>
      </c>
      <c r="R4812" s="1" t="s">
        <v>16369</v>
      </c>
      <c r="S4812" s="1"/>
      <c r="T4812" s="1" t="s">
        <v>131</v>
      </c>
      <c r="U4812" s="1"/>
      <c r="V4812" s="1">
        <v>104.95</v>
      </c>
      <c r="W4812" s="1">
        <v>104.95</v>
      </c>
      <c r="X4812" s="1" t="s">
        <v>35</v>
      </c>
      <c r="Y4812" s="1">
        <v>104950</v>
      </c>
      <c r="Z4812" s="1"/>
      <c r="AA4812" s="1">
        <v>104950</v>
      </c>
      <c r="AB4812" s="1"/>
      <c r="AC4812" s="1" t="s">
        <v>36</v>
      </c>
      <c r="AD4812" s="1" t="s">
        <v>16440</v>
      </c>
      <c r="AE4812" s="1" t="s">
        <v>32</v>
      </c>
      <c r="AF4812" s="1" t="s">
        <v>33</v>
      </c>
      <c r="AG4812" s="1" t="s">
        <v>95</v>
      </c>
    </row>
    <row r="4813" spans="1:33">
      <c r="A4813" t="s">
        <v>16441</v>
      </c>
      <c r="B4813" t="s">
        <v>15107</v>
      </c>
      <c r="C4813" t="s">
        <v>47</v>
      </c>
      <c r="E4813" t="s">
        <v>16369</v>
      </c>
      <c r="F4813" t="s">
        <v>16370</v>
      </c>
      <c r="G4813">
        <v>2.0</v>
      </c>
      <c r="H4813">
        <v>2.0</v>
      </c>
      <c r="I4813" t="s">
        <v>2206</v>
      </c>
      <c r="J4813" t="s">
        <v>49</v>
      </c>
      <c r="K4813" t="s">
        <v>31</v>
      </c>
      <c r="L4813" t="s">
        <v>32</v>
      </c>
      <c r="M4813" t="s">
        <v>33</v>
      </c>
      <c r="P4813" s="1" t="s">
        <v>16442</v>
      </c>
      <c r="Q4813" s="1" t="s">
        <v>16369</v>
      </c>
      <c r="R4813" s="1" t="s">
        <v>16369</v>
      </c>
      <c r="S4813" s="1"/>
      <c r="T4813" s="1" t="s">
        <v>47</v>
      </c>
      <c r="U4813" s="1"/>
      <c r="V4813" s="1">
        <v>2.0</v>
      </c>
      <c r="W4813" s="1">
        <v>2.0</v>
      </c>
      <c r="X4813" s="1" t="s">
        <v>35</v>
      </c>
      <c r="Y4813" s="1">
        <v>2000</v>
      </c>
      <c r="Z4813" s="1"/>
      <c r="AA4813" s="1">
        <v>2000</v>
      </c>
      <c r="AB4813" s="1"/>
      <c r="AC4813" s="1" t="s">
        <v>36</v>
      </c>
      <c r="AD4813" s="1" t="s">
        <v>16443</v>
      </c>
      <c r="AE4813" s="1" t="s">
        <v>32</v>
      </c>
      <c r="AF4813" s="1" t="s">
        <v>33</v>
      </c>
      <c r="AG4813" s="1" t="s">
        <v>49</v>
      </c>
    </row>
    <row r="4814" spans="1:33">
      <c r="A4814" t="s">
        <v>16444</v>
      </c>
      <c r="C4814" t="s">
        <v>10678</v>
      </c>
      <c r="E4814" t="s">
        <v>16369</v>
      </c>
      <c r="F4814" t="s">
        <v>16370</v>
      </c>
      <c r="G4814">
        <v>646.0</v>
      </c>
      <c r="H4814">
        <v>646.0</v>
      </c>
      <c r="I4814" t="s">
        <v>570</v>
      </c>
      <c r="J4814" t="s">
        <v>571</v>
      </c>
      <c r="K4814" t="s">
        <v>31</v>
      </c>
      <c r="L4814" t="s">
        <v>32</v>
      </c>
      <c r="M4814" t="s">
        <v>33</v>
      </c>
      <c r="P4814" s="1" t="s">
        <v>16445</v>
      </c>
      <c r="Q4814" s="1" t="s">
        <v>16369</v>
      </c>
      <c r="R4814" s="1" t="s">
        <v>16369</v>
      </c>
      <c r="S4814" s="1"/>
      <c r="T4814" s="1" t="s">
        <v>10678</v>
      </c>
      <c r="U4814" s="1"/>
      <c r="V4814" s="1">
        <v>646.0</v>
      </c>
      <c r="W4814" s="1">
        <v>646.0</v>
      </c>
      <c r="X4814" s="1" t="s">
        <v>35</v>
      </c>
      <c r="Y4814" s="1">
        <v>646000</v>
      </c>
      <c r="Z4814" s="1"/>
      <c r="AA4814" s="1">
        <v>646000</v>
      </c>
      <c r="AB4814" s="1"/>
      <c r="AC4814" s="1" t="s">
        <v>36</v>
      </c>
      <c r="AD4814" s="1" t="s">
        <v>16446</v>
      </c>
      <c r="AE4814" s="1" t="s">
        <v>32</v>
      </c>
      <c r="AF4814" s="1" t="s">
        <v>33</v>
      </c>
      <c r="AG4814" s="1" t="s">
        <v>571</v>
      </c>
    </row>
    <row r="4815" spans="1:33">
      <c r="A4815" t="s">
        <v>16447</v>
      </c>
      <c r="C4815" t="s">
        <v>5647</v>
      </c>
      <c r="E4815" t="s">
        <v>16369</v>
      </c>
      <c r="F4815" t="s">
        <v>16370</v>
      </c>
      <c r="G4815">
        <v>625.944</v>
      </c>
      <c r="H4815">
        <v>625.944</v>
      </c>
      <c r="I4815" t="s">
        <v>847</v>
      </c>
      <c r="J4815" t="s">
        <v>848</v>
      </c>
      <c r="K4815" t="s">
        <v>31</v>
      </c>
      <c r="L4815" t="s">
        <v>32</v>
      </c>
      <c r="M4815" t="s">
        <v>33</v>
      </c>
      <c r="P4815" s="1" t="s">
        <v>16448</v>
      </c>
      <c r="Q4815" s="1" t="s">
        <v>16369</v>
      </c>
      <c r="R4815" s="1" t="s">
        <v>16369</v>
      </c>
      <c r="S4815" s="1"/>
      <c r="T4815" s="1" t="s">
        <v>5647</v>
      </c>
      <c r="U4815" s="1"/>
      <c r="V4815" s="1">
        <v>625.944</v>
      </c>
      <c r="W4815" s="1">
        <v>625.944</v>
      </c>
      <c r="X4815" s="1" t="s">
        <v>35</v>
      </c>
      <c r="Y4815" s="1">
        <v>625944</v>
      </c>
      <c r="Z4815" s="1"/>
      <c r="AA4815" s="1">
        <v>625944</v>
      </c>
      <c r="AB4815" s="1"/>
      <c r="AC4815" s="1" t="s">
        <v>36</v>
      </c>
      <c r="AD4815" s="1" t="s">
        <v>16449</v>
      </c>
      <c r="AE4815" s="1" t="s">
        <v>32</v>
      </c>
      <c r="AF4815" s="1" t="s">
        <v>33</v>
      </c>
      <c r="AG4815" s="1" t="s">
        <v>848</v>
      </c>
    </row>
    <row r="4816" spans="1:33">
      <c r="A4816" t="s">
        <v>16450</v>
      </c>
      <c r="C4816" t="s">
        <v>866</v>
      </c>
      <c r="D4816" t="s">
        <v>154</v>
      </c>
      <c r="E4816" t="s">
        <v>16369</v>
      </c>
      <c r="F4816" t="s">
        <v>16370</v>
      </c>
      <c r="G4816">
        <v>976.0</v>
      </c>
      <c r="H4816">
        <v>976.0</v>
      </c>
      <c r="I4816" t="s">
        <v>2206</v>
      </c>
      <c r="J4816" t="s">
        <v>49</v>
      </c>
      <c r="K4816" t="s">
        <v>31</v>
      </c>
      <c r="L4816" t="s">
        <v>32</v>
      </c>
      <c r="M4816" t="s">
        <v>33</v>
      </c>
      <c r="P4816" s="1" t="s">
        <v>16451</v>
      </c>
      <c r="Q4816" s="1" t="s">
        <v>16369</v>
      </c>
      <c r="R4816" s="1" t="s">
        <v>16369</v>
      </c>
      <c r="S4816" s="1"/>
      <c r="T4816" s="1" t="s">
        <v>868</v>
      </c>
      <c r="U4816" s="1" t="s">
        <v>869</v>
      </c>
      <c r="V4816" s="1">
        <v>976.0</v>
      </c>
      <c r="W4816" s="1">
        <v>976.0</v>
      </c>
      <c r="X4816" s="1" t="s">
        <v>35</v>
      </c>
      <c r="Y4816" s="1">
        <v>976000</v>
      </c>
      <c r="Z4816" s="1"/>
      <c r="AA4816" s="1">
        <v>976000</v>
      </c>
      <c r="AB4816" s="1"/>
      <c r="AC4816" s="1" t="s">
        <v>36</v>
      </c>
      <c r="AD4816" s="1" t="s">
        <v>16440</v>
      </c>
      <c r="AE4816" s="1" t="s">
        <v>32</v>
      </c>
      <c r="AF4816" s="1" t="s">
        <v>33</v>
      </c>
      <c r="AG4816" s="1" t="s">
        <v>49</v>
      </c>
    </row>
    <row r="4817" spans="1:33">
      <c r="A4817" t="s">
        <v>16452</v>
      </c>
      <c r="B4817" t="s">
        <v>4222</v>
      </c>
      <c r="C4817" t="s">
        <v>125</v>
      </c>
      <c r="E4817" t="s">
        <v>16369</v>
      </c>
      <c r="F4817" t="s">
        <v>16370</v>
      </c>
      <c r="G4817">
        <v>67.96</v>
      </c>
      <c r="H4817">
        <v>67.96</v>
      </c>
      <c r="I4817" t="s">
        <v>126</v>
      </c>
      <c r="J4817" t="s">
        <v>127</v>
      </c>
      <c r="K4817" t="s">
        <v>31</v>
      </c>
      <c r="L4817" t="s">
        <v>32</v>
      </c>
      <c r="M4817" t="s">
        <v>33</v>
      </c>
      <c r="P4817" s="1" t="s">
        <v>16453</v>
      </c>
      <c r="Q4817" s="1" t="s">
        <v>16369</v>
      </c>
      <c r="R4817" s="1" t="s">
        <v>16369</v>
      </c>
      <c r="S4817" s="1"/>
      <c r="T4817" s="1" t="s">
        <v>125</v>
      </c>
      <c r="U4817" s="1"/>
      <c r="V4817" s="1">
        <v>67.96</v>
      </c>
      <c r="W4817" s="1">
        <v>67.96</v>
      </c>
      <c r="X4817" s="1" t="s">
        <v>35</v>
      </c>
      <c r="Y4817" s="1">
        <v>67960</v>
      </c>
      <c r="Z4817" s="1"/>
      <c r="AA4817" s="1">
        <v>67960</v>
      </c>
      <c r="AB4817" s="1"/>
      <c r="AC4817" s="1" t="s">
        <v>36</v>
      </c>
      <c r="AD4817" s="1" t="s">
        <v>16454</v>
      </c>
      <c r="AE4817" s="1" t="s">
        <v>32</v>
      </c>
      <c r="AF4817" s="1" t="s">
        <v>33</v>
      </c>
      <c r="AG4817" s="1" t="s">
        <v>127</v>
      </c>
    </row>
    <row r="4818" spans="1:33">
      <c r="A4818" t="s">
        <v>16455</v>
      </c>
      <c r="C4818" t="s">
        <v>725</v>
      </c>
      <c r="E4818" t="s">
        <v>16369</v>
      </c>
      <c r="F4818" t="s">
        <v>16370</v>
      </c>
      <c r="G4818">
        <v>10.16</v>
      </c>
      <c r="H4818">
        <v>10.16</v>
      </c>
      <c r="I4818" t="s">
        <v>269</v>
      </c>
      <c r="J4818" t="s">
        <v>270</v>
      </c>
      <c r="K4818" t="s">
        <v>31</v>
      </c>
      <c r="L4818" t="s">
        <v>32</v>
      </c>
      <c r="M4818" t="s">
        <v>33</v>
      </c>
      <c r="P4818" s="1" t="s">
        <v>16456</v>
      </c>
      <c r="Q4818" s="1" t="s">
        <v>16369</v>
      </c>
      <c r="R4818" s="1" t="s">
        <v>16369</v>
      </c>
      <c r="S4818" s="1"/>
      <c r="T4818" s="1" t="s">
        <v>725</v>
      </c>
      <c r="U4818" s="1"/>
      <c r="V4818" s="1">
        <v>10.16</v>
      </c>
      <c r="W4818" s="1">
        <v>10.16</v>
      </c>
      <c r="X4818" s="1" t="s">
        <v>35</v>
      </c>
      <c r="Y4818" s="1">
        <v>10160000</v>
      </c>
      <c r="Z4818" s="1"/>
      <c r="AA4818" s="1">
        <v>10160000</v>
      </c>
      <c r="AB4818" s="1"/>
      <c r="AC4818" s="1" t="s">
        <v>36</v>
      </c>
      <c r="AD4818" s="1" t="s">
        <v>16457</v>
      </c>
      <c r="AE4818" s="1" t="s">
        <v>32</v>
      </c>
      <c r="AF4818" s="1" t="s">
        <v>33</v>
      </c>
      <c r="AG4818" s="1" t="s">
        <v>270</v>
      </c>
    </row>
    <row r="4819" spans="1:33">
      <c r="A4819" t="s">
        <v>16458</v>
      </c>
      <c r="C4819" t="s">
        <v>3943</v>
      </c>
      <c r="E4819" t="s">
        <v>16369</v>
      </c>
      <c r="F4819" t="s">
        <v>16370</v>
      </c>
      <c r="G4819">
        <v>1.735</v>
      </c>
      <c r="H4819">
        <v>1.735</v>
      </c>
      <c r="I4819" t="s">
        <v>173</v>
      </c>
      <c r="J4819" t="s">
        <v>174</v>
      </c>
      <c r="K4819" t="s">
        <v>31</v>
      </c>
      <c r="L4819" t="s">
        <v>32</v>
      </c>
      <c r="M4819" t="s">
        <v>33</v>
      </c>
      <c r="P4819" s="1" t="s">
        <v>16459</v>
      </c>
      <c r="Q4819" s="1" t="s">
        <v>16369</v>
      </c>
      <c r="R4819" s="1" t="s">
        <v>16369</v>
      </c>
      <c r="S4819" s="1"/>
      <c r="T4819" s="1" t="s">
        <v>3943</v>
      </c>
      <c r="U4819" s="1"/>
      <c r="V4819" s="1">
        <v>1.735</v>
      </c>
      <c r="W4819" s="1">
        <v>1.735</v>
      </c>
      <c r="X4819" s="1" t="s">
        <v>35</v>
      </c>
      <c r="Y4819" s="1">
        <v>1735000</v>
      </c>
      <c r="Z4819" s="1"/>
      <c r="AA4819" s="1">
        <v>1735000</v>
      </c>
      <c r="AB4819" s="1"/>
      <c r="AC4819" s="1" t="s">
        <v>36</v>
      </c>
      <c r="AD4819" s="1" t="s">
        <v>16460</v>
      </c>
      <c r="AE4819" s="1" t="s">
        <v>32</v>
      </c>
      <c r="AF4819" s="1" t="s">
        <v>33</v>
      </c>
      <c r="AG4819" s="1" t="s">
        <v>174</v>
      </c>
    </row>
    <row r="4820" spans="1:33">
      <c r="A4820" t="s">
        <v>16461</v>
      </c>
      <c r="B4820" t="s">
        <v>16462</v>
      </c>
      <c r="C4820" t="s">
        <v>125</v>
      </c>
      <c r="E4820" t="s">
        <v>16369</v>
      </c>
      <c r="F4820" t="s">
        <v>16370</v>
      </c>
      <c r="G4820">
        <v>7.789</v>
      </c>
      <c r="H4820">
        <v>7.789</v>
      </c>
      <c r="I4820" t="s">
        <v>126</v>
      </c>
      <c r="J4820" t="s">
        <v>127</v>
      </c>
      <c r="K4820" t="s">
        <v>31</v>
      </c>
      <c r="L4820" t="s">
        <v>32</v>
      </c>
      <c r="M4820" t="s">
        <v>33</v>
      </c>
      <c r="P4820" s="1" t="s">
        <v>16463</v>
      </c>
      <c r="Q4820" s="1" t="s">
        <v>16369</v>
      </c>
      <c r="R4820" s="1" t="s">
        <v>16369</v>
      </c>
      <c r="S4820" s="1"/>
      <c r="T4820" s="1" t="s">
        <v>125</v>
      </c>
      <c r="U4820" s="1"/>
      <c r="V4820" s="1">
        <v>7.789</v>
      </c>
      <c r="W4820" s="1">
        <v>7.789</v>
      </c>
      <c r="X4820" s="1" t="s">
        <v>35</v>
      </c>
      <c r="Y4820" s="1">
        <v>7789</v>
      </c>
      <c r="Z4820" s="1"/>
      <c r="AA4820" s="1">
        <v>7789</v>
      </c>
      <c r="AB4820" s="1"/>
      <c r="AC4820" s="1" t="s">
        <v>36</v>
      </c>
      <c r="AD4820" s="1" t="s">
        <v>16464</v>
      </c>
      <c r="AE4820" s="1" t="s">
        <v>32</v>
      </c>
      <c r="AF4820" s="1" t="s">
        <v>33</v>
      </c>
      <c r="AG4820" s="1" t="s">
        <v>127</v>
      </c>
    </row>
    <row r="4821" spans="1:33">
      <c r="A4821" t="s">
        <v>16465</v>
      </c>
      <c r="B4821" t="s">
        <v>2672</v>
      </c>
      <c r="C4821" t="s">
        <v>2673</v>
      </c>
      <c r="E4821" t="s">
        <v>16369</v>
      </c>
      <c r="F4821" t="s">
        <v>16370</v>
      </c>
      <c r="G4821">
        <v>907.0</v>
      </c>
      <c r="H4821">
        <v>907.0</v>
      </c>
      <c r="I4821" t="s">
        <v>40</v>
      </c>
      <c r="J4821" t="s">
        <v>41</v>
      </c>
      <c r="K4821" t="s">
        <v>31</v>
      </c>
      <c r="L4821" t="s">
        <v>32</v>
      </c>
      <c r="M4821" t="s">
        <v>33</v>
      </c>
      <c r="P4821" s="1" t="s">
        <v>16466</v>
      </c>
      <c r="Q4821" s="1" t="s">
        <v>16369</v>
      </c>
      <c r="R4821" s="1" t="s">
        <v>15359</v>
      </c>
      <c r="S4821" s="1"/>
      <c r="T4821" s="1" t="s">
        <v>2673</v>
      </c>
      <c r="U4821" s="1"/>
      <c r="V4821" s="1">
        <v>907.0</v>
      </c>
      <c r="W4821" s="1">
        <v>907.0</v>
      </c>
      <c r="X4821" s="1" t="s">
        <v>35</v>
      </c>
      <c r="Y4821" s="1">
        <v>907000</v>
      </c>
      <c r="Z4821" s="1"/>
      <c r="AA4821" s="1">
        <v>907000</v>
      </c>
      <c r="AB4821" s="1"/>
      <c r="AC4821" s="1" t="s">
        <v>36</v>
      </c>
      <c r="AD4821" s="1" t="s">
        <v>16467</v>
      </c>
      <c r="AE4821" s="1" t="s">
        <v>32</v>
      </c>
      <c r="AF4821" s="1" t="s">
        <v>33</v>
      </c>
      <c r="AG4821" s="1" t="s">
        <v>41</v>
      </c>
    </row>
    <row r="4822" spans="1:33">
      <c r="A4822" t="s">
        <v>16468</v>
      </c>
      <c r="B4822" t="s">
        <v>6299</v>
      </c>
      <c r="C4822" t="s">
        <v>268</v>
      </c>
      <c r="E4822" t="s">
        <v>16369</v>
      </c>
      <c r="F4822" t="s">
        <v>16370</v>
      </c>
      <c r="G4822">
        <v>28.25</v>
      </c>
      <c r="H4822">
        <v>28.25</v>
      </c>
      <c r="I4822" t="s">
        <v>269</v>
      </c>
      <c r="J4822" t="s">
        <v>270</v>
      </c>
      <c r="K4822" t="s">
        <v>31</v>
      </c>
      <c r="L4822" t="s">
        <v>32</v>
      </c>
      <c r="M4822" t="s">
        <v>33</v>
      </c>
      <c r="P4822" s="1" t="s">
        <v>16469</v>
      </c>
      <c r="Q4822" s="1" t="s">
        <v>16369</v>
      </c>
      <c r="R4822" s="1" t="s">
        <v>16369</v>
      </c>
      <c r="S4822" s="1"/>
      <c r="T4822" s="1" t="s">
        <v>268</v>
      </c>
      <c r="U4822" s="1"/>
      <c r="V4822" s="1">
        <v>28.25</v>
      </c>
      <c r="W4822" s="1">
        <v>28.25</v>
      </c>
      <c r="X4822" s="1" t="s">
        <v>35</v>
      </c>
      <c r="Y4822" s="1">
        <v>28250</v>
      </c>
      <c r="Z4822" s="1"/>
      <c r="AA4822" s="1">
        <v>28250</v>
      </c>
      <c r="AB4822" s="1"/>
      <c r="AC4822" s="1" t="s">
        <v>36</v>
      </c>
      <c r="AD4822" s="1" t="s">
        <v>16460</v>
      </c>
      <c r="AE4822" s="1" t="s">
        <v>32</v>
      </c>
      <c r="AF4822" s="1" t="s">
        <v>33</v>
      </c>
      <c r="AG4822" s="1" t="s">
        <v>270</v>
      </c>
    </row>
    <row r="4823" spans="1:33">
      <c r="A4823" t="s">
        <v>16470</v>
      </c>
      <c r="B4823" t="s">
        <v>247</v>
      </c>
      <c r="C4823" t="s">
        <v>125</v>
      </c>
      <c r="E4823" t="s">
        <v>16369</v>
      </c>
      <c r="F4823" t="s">
        <v>16370</v>
      </c>
      <c r="G4823">
        <v>4.2</v>
      </c>
      <c r="H4823">
        <v>4.2</v>
      </c>
      <c r="I4823" t="s">
        <v>126</v>
      </c>
      <c r="J4823" t="s">
        <v>127</v>
      </c>
      <c r="K4823" t="s">
        <v>31</v>
      </c>
      <c r="L4823" t="s">
        <v>32</v>
      </c>
      <c r="M4823" t="s">
        <v>33</v>
      </c>
      <c r="P4823" s="1" t="s">
        <v>16471</v>
      </c>
      <c r="Q4823" s="1" t="s">
        <v>16369</v>
      </c>
      <c r="R4823" s="1" t="s">
        <v>16369</v>
      </c>
      <c r="S4823" s="1"/>
      <c r="T4823" s="1" t="s">
        <v>125</v>
      </c>
      <c r="U4823" s="1"/>
      <c r="V4823" s="1">
        <v>4.2</v>
      </c>
      <c r="W4823" s="1">
        <v>4.2</v>
      </c>
      <c r="X4823" s="1" t="s">
        <v>35</v>
      </c>
      <c r="Y4823" s="1">
        <v>4200</v>
      </c>
      <c r="Z4823" s="1"/>
      <c r="AA4823" s="1">
        <v>4200</v>
      </c>
      <c r="AB4823" s="1"/>
      <c r="AC4823" s="1" t="s">
        <v>36</v>
      </c>
      <c r="AD4823" s="1" t="s">
        <v>16460</v>
      </c>
      <c r="AE4823" s="1" t="s">
        <v>32</v>
      </c>
      <c r="AF4823" s="1" t="s">
        <v>33</v>
      </c>
      <c r="AG4823" s="1" t="s">
        <v>127</v>
      </c>
    </row>
    <row r="4824" spans="1:33">
      <c r="A4824" t="s">
        <v>16472</v>
      </c>
      <c r="B4824" t="s">
        <v>14141</v>
      </c>
      <c r="C4824" t="s">
        <v>268</v>
      </c>
      <c r="E4824" t="s">
        <v>16369</v>
      </c>
      <c r="F4824" t="s">
        <v>16370</v>
      </c>
      <c r="G4824">
        <v>32.85</v>
      </c>
      <c r="H4824">
        <v>32.85</v>
      </c>
      <c r="I4824" t="s">
        <v>269</v>
      </c>
      <c r="J4824" t="s">
        <v>270</v>
      </c>
      <c r="K4824" t="s">
        <v>31</v>
      </c>
      <c r="L4824" t="s">
        <v>32</v>
      </c>
      <c r="M4824" t="s">
        <v>33</v>
      </c>
      <c r="P4824" s="1" t="s">
        <v>16473</v>
      </c>
      <c r="Q4824" s="1" t="s">
        <v>16369</v>
      </c>
      <c r="R4824" s="1" t="s">
        <v>16369</v>
      </c>
      <c r="S4824" s="1"/>
      <c r="T4824" s="1" t="s">
        <v>268</v>
      </c>
      <c r="U4824" s="1"/>
      <c r="V4824" s="1">
        <v>32.85</v>
      </c>
      <c r="W4824" s="1">
        <v>32.85</v>
      </c>
      <c r="X4824" s="1" t="s">
        <v>35</v>
      </c>
      <c r="Y4824" s="1">
        <v>32850</v>
      </c>
      <c r="Z4824" s="1"/>
      <c r="AA4824" s="1">
        <v>32850</v>
      </c>
      <c r="AB4824" s="1"/>
      <c r="AC4824" s="1" t="s">
        <v>36</v>
      </c>
      <c r="AD4824" s="1" t="s">
        <v>16474</v>
      </c>
      <c r="AE4824" s="1" t="s">
        <v>32</v>
      </c>
      <c r="AF4824" s="1" t="s">
        <v>33</v>
      </c>
      <c r="AG4824" s="1" t="s">
        <v>270</v>
      </c>
    </row>
    <row r="4825" spans="1:33">
      <c r="A4825" t="s">
        <v>16475</v>
      </c>
      <c r="B4825" t="s">
        <v>15107</v>
      </c>
      <c r="C4825" t="s">
        <v>47</v>
      </c>
      <c r="E4825" t="s">
        <v>16369</v>
      </c>
      <c r="F4825" t="s">
        <v>16370</v>
      </c>
      <c r="G4825">
        <v>4.08</v>
      </c>
      <c r="H4825">
        <v>4.08</v>
      </c>
      <c r="I4825" t="s">
        <v>2206</v>
      </c>
      <c r="J4825" t="s">
        <v>49</v>
      </c>
      <c r="K4825" t="s">
        <v>31</v>
      </c>
      <c r="L4825" t="s">
        <v>32</v>
      </c>
      <c r="M4825" t="s">
        <v>33</v>
      </c>
      <c r="P4825" s="1" t="s">
        <v>16476</v>
      </c>
      <c r="Q4825" s="1" t="s">
        <v>16369</v>
      </c>
      <c r="R4825" s="1" t="s">
        <v>16369</v>
      </c>
      <c r="S4825" s="1"/>
      <c r="T4825" s="1" t="s">
        <v>47</v>
      </c>
      <c r="U4825" s="1"/>
      <c r="V4825" s="1">
        <v>4.08</v>
      </c>
      <c r="W4825" s="1">
        <v>4.08</v>
      </c>
      <c r="X4825" s="1" t="s">
        <v>35</v>
      </c>
      <c r="Y4825" s="1">
        <v>4080</v>
      </c>
      <c r="Z4825" s="1"/>
      <c r="AA4825" s="1">
        <v>4080</v>
      </c>
      <c r="AB4825" s="1"/>
      <c r="AC4825" s="1" t="s">
        <v>36</v>
      </c>
      <c r="AD4825" s="1" t="s">
        <v>16477</v>
      </c>
      <c r="AE4825" s="1" t="s">
        <v>32</v>
      </c>
      <c r="AF4825" s="1" t="s">
        <v>33</v>
      </c>
      <c r="AG4825" s="1" t="s">
        <v>49</v>
      </c>
    </row>
    <row r="4826" spans="1:33">
      <c r="A4826" t="s">
        <v>16478</v>
      </c>
      <c r="B4826" t="s">
        <v>4135</v>
      </c>
      <c r="C4826" t="s">
        <v>569</v>
      </c>
      <c r="E4826" t="s">
        <v>16369</v>
      </c>
      <c r="F4826" t="s">
        <v>16370</v>
      </c>
      <c r="G4826">
        <v>20.99</v>
      </c>
      <c r="H4826">
        <v>20.99</v>
      </c>
      <c r="I4826" t="s">
        <v>570</v>
      </c>
      <c r="J4826" t="s">
        <v>571</v>
      </c>
      <c r="K4826" t="s">
        <v>31</v>
      </c>
      <c r="L4826" t="s">
        <v>32</v>
      </c>
      <c r="M4826" t="s">
        <v>33</v>
      </c>
      <c r="P4826" s="1" t="s">
        <v>16479</v>
      </c>
      <c r="Q4826" s="1" t="s">
        <v>16369</v>
      </c>
      <c r="R4826" s="1" t="s">
        <v>16369</v>
      </c>
      <c r="S4826" s="1"/>
      <c r="T4826" s="1" t="s">
        <v>569</v>
      </c>
      <c r="U4826" s="1"/>
      <c r="V4826" s="1">
        <v>20.99</v>
      </c>
      <c r="W4826" s="1">
        <v>20.99</v>
      </c>
      <c r="X4826" s="1" t="s">
        <v>35</v>
      </c>
      <c r="Y4826" s="1">
        <v>20990</v>
      </c>
      <c r="Z4826" s="1"/>
      <c r="AA4826" s="1">
        <v>20990</v>
      </c>
      <c r="AB4826" s="1"/>
      <c r="AC4826" s="1" t="s">
        <v>36</v>
      </c>
      <c r="AD4826" s="1" t="s">
        <v>16480</v>
      </c>
      <c r="AE4826" s="1" t="s">
        <v>32</v>
      </c>
      <c r="AF4826" s="1" t="s">
        <v>33</v>
      </c>
      <c r="AG4826" s="1" t="s">
        <v>571</v>
      </c>
    </row>
    <row r="4827" spans="1:33">
      <c r="A4827" t="s">
        <v>16481</v>
      </c>
      <c r="B4827" t="s">
        <v>16482</v>
      </c>
      <c r="C4827" t="s">
        <v>73</v>
      </c>
      <c r="E4827" t="s">
        <v>16369</v>
      </c>
      <c r="F4827" t="s">
        <v>16370</v>
      </c>
      <c r="G4827">
        <v>2.0</v>
      </c>
      <c r="H4827">
        <v>2.0</v>
      </c>
      <c r="I4827" t="s">
        <v>40</v>
      </c>
      <c r="J4827" t="s">
        <v>41</v>
      </c>
      <c r="K4827" t="s">
        <v>31</v>
      </c>
      <c r="L4827" t="s">
        <v>32</v>
      </c>
      <c r="M4827" t="s">
        <v>33</v>
      </c>
      <c r="P4827" s="1" t="s">
        <v>16483</v>
      </c>
      <c r="Q4827" s="1" t="s">
        <v>16369</v>
      </c>
      <c r="R4827" s="1" t="s">
        <v>15359</v>
      </c>
      <c r="S4827" s="1"/>
      <c r="T4827" s="1" t="s">
        <v>75</v>
      </c>
      <c r="U4827" s="1" t="s">
        <v>76</v>
      </c>
      <c r="V4827" s="1">
        <v>2.0</v>
      </c>
      <c r="W4827" s="1">
        <v>2.0</v>
      </c>
      <c r="X4827" s="1" t="s">
        <v>35</v>
      </c>
      <c r="Y4827" s="1">
        <v>2000</v>
      </c>
      <c r="Z4827" s="1"/>
      <c r="AA4827" s="1">
        <v>2000</v>
      </c>
      <c r="AB4827" s="1"/>
      <c r="AC4827" s="1" t="s">
        <v>36</v>
      </c>
      <c r="AD4827" s="1" t="s">
        <v>16484</v>
      </c>
      <c r="AE4827" s="1" t="s">
        <v>32</v>
      </c>
      <c r="AF4827" s="1" t="s">
        <v>33</v>
      </c>
      <c r="AG4827" s="1" t="s">
        <v>41</v>
      </c>
    </row>
    <row r="4828" spans="1:33">
      <c r="A4828" t="s">
        <v>16485</v>
      </c>
      <c r="B4828" t="s">
        <v>2422</v>
      </c>
      <c r="C4828" t="s">
        <v>314</v>
      </c>
      <c r="E4828" t="s">
        <v>16369</v>
      </c>
      <c r="F4828" t="s">
        <v>16370</v>
      </c>
      <c r="G4828">
        <v>71.23</v>
      </c>
      <c r="H4828">
        <v>71.23</v>
      </c>
      <c r="I4828" t="s">
        <v>179</v>
      </c>
      <c r="J4828" t="s">
        <v>180</v>
      </c>
      <c r="K4828" t="s">
        <v>31</v>
      </c>
      <c r="L4828" t="s">
        <v>32</v>
      </c>
      <c r="M4828" t="s">
        <v>33</v>
      </c>
      <c r="P4828" s="1" t="s">
        <v>16486</v>
      </c>
      <c r="Q4828" s="1" t="s">
        <v>16369</v>
      </c>
      <c r="R4828" s="1" t="s">
        <v>16369</v>
      </c>
      <c r="S4828" s="1"/>
      <c r="T4828" s="1" t="s">
        <v>314</v>
      </c>
      <c r="U4828" s="1"/>
      <c r="V4828" s="1">
        <v>71.23</v>
      </c>
      <c r="W4828" s="1">
        <v>71.23</v>
      </c>
      <c r="X4828" s="1" t="s">
        <v>35</v>
      </c>
      <c r="Y4828" s="1">
        <v>71230</v>
      </c>
      <c r="Z4828" s="1"/>
      <c r="AA4828" s="1">
        <v>71230</v>
      </c>
      <c r="AB4828" s="1"/>
      <c r="AC4828" s="1" t="s">
        <v>36</v>
      </c>
      <c r="AD4828" s="1" t="s">
        <v>16487</v>
      </c>
      <c r="AE4828" s="1" t="s">
        <v>32</v>
      </c>
      <c r="AF4828" s="1" t="s">
        <v>33</v>
      </c>
      <c r="AG4828" s="1" t="s">
        <v>180</v>
      </c>
    </row>
    <row r="4829" spans="1:33">
      <c r="A4829" t="s">
        <v>16488</v>
      </c>
      <c r="B4829" t="s">
        <v>4824</v>
      </c>
      <c r="C4829" t="s">
        <v>314</v>
      </c>
      <c r="E4829" t="s">
        <v>16369</v>
      </c>
      <c r="F4829" t="s">
        <v>16370</v>
      </c>
      <c r="G4829">
        <v>30.49</v>
      </c>
      <c r="H4829">
        <v>30.49</v>
      </c>
      <c r="I4829" t="s">
        <v>179</v>
      </c>
      <c r="J4829" t="s">
        <v>180</v>
      </c>
      <c r="K4829" t="s">
        <v>31</v>
      </c>
      <c r="L4829" t="s">
        <v>32</v>
      </c>
      <c r="M4829" t="s">
        <v>33</v>
      </c>
      <c r="P4829" s="1" t="s">
        <v>16489</v>
      </c>
      <c r="Q4829" s="1" t="s">
        <v>16369</v>
      </c>
      <c r="R4829" s="1" t="s">
        <v>16369</v>
      </c>
      <c r="S4829" s="1"/>
      <c r="T4829" s="1" t="s">
        <v>314</v>
      </c>
      <c r="U4829" s="1"/>
      <c r="V4829" s="1">
        <v>30.49</v>
      </c>
      <c r="W4829" s="1">
        <v>30.49</v>
      </c>
      <c r="X4829" s="1" t="s">
        <v>35</v>
      </c>
      <c r="Y4829" s="1">
        <v>30490</v>
      </c>
      <c r="Z4829" s="1"/>
      <c r="AA4829" s="1">
        <v>30490</v>
      </c>
      <c r="AB4829" s="1"/>
      <c r="AC4829" s="1" t="s">
        <v>36</v>
      </c>
      <c r="AD4829" s="1" t="s">
        <v>16490</v>
      </c>
      <c r="AE4829" s="1" t="s">
        <v>32</v>
      </c>
      <c r="AF4829" s="1" t="s">
        <v>33</v>
      </c>
      <c r="AG4829" s="1" t="s">
        <v>180</v>
      </c>
    </row>
    <row r="4830" spans="1:33">
      <c r="A4830" t="s">
        <v>16491</v>
      </c>
      <c r="B4830" t="s">
        <v>16492</v>
      </c>
      <c r="C4830" t="s">
        <v>125</v>
      </c>
      <c r="E4830" t="s">
        <v>16369</v>
      </c>
      <c r="F4830" t="s">
        <v>16370</v>
      </c>
      <c r="G4830">
        <v>22.89</v>
      </c>
      <c r="H4830">
        <v>22.89</v>
      </c>
      <c r="I4830" t="s">
        <v>126</v>
      </c>
      <c r="J4830" t="s">
        <v>127</v>
      </c>
      <c r="K4830" t="s">
        <v>31</v>
      </c>
      <c r="L4830" t="s">
        <v>32</v>
      </c>
      <c r="M4830" t="s">
        <v>33</v>
      </c>
      <c r="P4830" s="1" t="s">
        <v>16493</v>
      </c>
      <c r="Q4830" s="1" t="s">
        <v>16369</v>
      </c>
      <c r="R4830" s="1" t="s">
        <v>16369</v>
      </c>
      <c r="S4830" s="1"/>
      <c r="T4830" s="1" t="s">
        <v>125</v>
      </c>
      <c r="U4830" s="1"/>
      <c r="V4830" s="1">
        <v>22.89</v>
      </c>
      <c r="W4830" s="1">
        <v>22.89</v>
      </c>
      <c r="X4830" s="1" t="s">
        <v>35</v>
      </c>
      <c r="Y4830" s="1">
        <v>22890</v>
      </c>
      <c r="Z4830" s="1"/>
      <c r="AA4830" s="1">
        <v>22890</v>
      </c>
      <c r="AB4830" s="1"/>
      <c r="AC4830" s="1" t="s">
        <v>36</v>
      </c>
      <c r="AD4830" s="1" t="s">
        <v>16494</v>
      </c>
      <c r="AE4830" s="1" t="s">
        <v>32</v>
      </c>
      <c r="AF4830" s="1" t="s">
        <v>33</v>
      </c>
      <c r="AG4830" s="1" t="s">
        <v>127</v>
      </c>
    </row>
    <row r="4831" spans="1:33">
      <c r="A4831" t="s">
        <v>16495</v>
      </c>
      <c r="C4831" t="s">
        <v>1728</v>
      </c>
      <c r="E4831" t="s">
        <v>16369</v>
      </c>
      <c r="F4831" t="s">
        <v>16370</v>
      </c>
      <c r="G4831">
        <v>588.0</v>
      </c>
      <c r="H4831">
        <v>588.0</v>
      </c>
      <c r="I4831" t="s">
        <v>94</v>
      </c>
      <c r="J4831" t="s">
        <v>95</v>
      </c>
      <c r="K4831" t="s">
        <v>31</v>
      </c>
      <c r="L4831" t="s">
        <v>32</v>
      </c>
      <c r="M4831" t="s">
        <v>33</v>
      </c>
      <c r="P4831" s="1" t="s">
        <v>16496</v>
      </c>
      <c r="Q4831" s="1" t="s">
        <v>16369</v>
      </c>
      <c r="R4831" s="1" t="s">
        <v>16369</v>
      </c>
      <c r="S4831" s="1"/>
      <c r="T4831" s="1" t="s">
        <v>1728</v>
      </c>
      <c r="U4831" s="1"/>
      <c r="V4831" s="1">
        <v>588.0</v>
      </c>
      <c r="W4831" s="1">
        <v>588.0</v>
      </c>
      <c r="X4831" s="1" t="s">
        <v>35</v>
      </c>
      <c r="Y4831" s="1">
        <v>588000</v>
      </c>
      <c r="Z4831" s="1"/>
      <c r="AA4831" s="1">
        <v>588000</v>
      </c>
      <c r="AB4831" s="1"/>
      <c r="AC4831" s="1" t="s">
        <v>36</v>
      </c>
      <c r="AD4831" s="1" t="s">
        <v>16497</v>
      </c>
      <c r="AE4831" s="1" t="s">
        <v>32</v>
      </c>
      <c r="AF4831" s="1" t="s">
        <v>33</v>
      </c>
      <c r="AG4831" s="1" t="s">
        <v>95</v>
      </c>
    </row>
    <row r="4832" spans="1:33">
      <c r="A4832" t="s">
        <v>16498</v>
      </c>
      <c r="B4832" t="s">
        <v>1932</v>
      </c>
      <c r="C4832" t="s">
        <v>1933</v>
      </c>
      <c r="E4832" t="s">
        <v>16369</v>
      </c>
      <c r="F4832" t="s">
        <v>16370</v>
      </c>
      <c r="G4832">
        <v>478.0</v>
      </c>
      <c r="H4832">
        <v>478.0</v>
      </c>
      <c r="I4832" t="s">
        <v>40</v>
      </c>
      <c r="J4832" t="s">
        <v>41</v>
      </c>
      <c r="K4832" t="s">
        <v>31</v>
      </c>
      <c r="L4832" t="s">
        <v>32</v>
      </c>
      <c r="M4832" t="s">
        <v>33</v>
      </c>
      <c r="P4832" s="1" t="s">
        <v>16499</v>
      </c>
      <c r="Q4832" s="1" t="s">
        <v>16369</v>
      </c>
      <c r="R4832" s="1" t="s">
        <v>15359</v>
      </c>
      <c r="S4832" s="1"/>
      <c r="T4832" s="1" t="s">
        <v>1933</v>
      </c>
      <c r="U4832" s="1"/>
      <c r="V4832" s="1">
        <v>478.0</v>
      </c>
      <c r="W4832" s="1">
        <v>478.0</v>
      </c>
      <c r="X4832" s="1" t="s">
        <v>35</v>
      </c>
      <c r="Y4832" s="1">
        <v>478000</v>
      </c>
      <c r="Z4832" s="1"/>
      <c r="AA4832" s="1">
        <v>478000</v>
      </c>
      <c r="AB4832" s="1"/>
      <c r="AC4832" s="1" t="s">
        <v>36</v>
      </c>
      <c r="AD4832" s="1" t="s">
        <v>16477</v>
      </c>
      <c r="AE4832" s="1" t="s">
        <v>32</v>
      </c>
      <c r="AF4832" s="1" t="s">
        <v>33</v>
      </c>
      <c r="AG4832" s="1" t="s">
        <v>41</v>
      </c>
    </row>
    <row r="4833" spans="1:33">
      <c r="A4833" t="s">
        <v>16500</v>
      </c>
      <c r="C4833" t="s">
        <v>1728</v>
      </c>
      <c r="E4833" t="s">
        <v>16369</v>
      </c>
      <c r="F4833" t="s">
        <v>16370</v>
      </c>
      <c r="G4833">
        <v>2.549</v>
      </c>
      <c r="H4833">
        <v>2.549</v>
      </c>
      <c r="I4833" t="s">
        <v>94</v>
      </c>
      <c r="J4833" t="s">
        <v>95</v>
      </c>
      <c r="K4833" t="s">
        <v>31</v>
      </c>
      <c r="L4833" t="s">
        <v>32</v>
      </c>
      <c r="M4833" t="s">
        <v>33</v>
      </c>
      <c r="P4833" s="1" t="s">
        <v>16501</v>
      </c>
      <c r="Q4833" s="1" t="s">
        <v>16369</v>
      </c>
      <c r="R4833" s="1" t="s">
        <v>16369</v>
      </c>
      <c r="S4833" s="1"/>
      <c r="T4833" s="1" t="s">
        <v>1728</v>
      </c>
      <c r="U4833" s="1"/>
      <c r="V4833" s="1">
        <v>2.549</v>
      </c>
      <c r="W4833" s="1">
        <v>2.549</v>
      </c>
      <c r="X4833" s="1" t="s">
        <v>35</v>
      </c>
      <c r="Y4833" s="1">
        <v>2549300</v>
      </c>
      <c r="Z4833" s="1"/>
      <c r="AA4833" s="1">
        <v>2549300</v>
      </c>
      <c r="AB4833" s="1"/>
      <c r="AC4833" s="1" t="s">
        <v>36</v>
      </c>
      <c r="AD4833" s="1" t="s">
        <v>16474</v>
      </c>
      <c r="AE4833" s="1" t="s">
        <v>32</v>
      </c>
      <c r="AF4833" s="1" t="s">
        <v>33</v>
      </c>
      <c r="AG4833" s="1" t="s">
        <v>95</v>
      </c>
    </row>
    <row r="4834" spans="1:33">
      <c r="A4834" t="s">
        <v>16502</v>
      </c>
      <c r="C4834" t="s">
        <v>73</v>
      </c>
      <c r="E4834" t="s">
        <v>16369</v>
      </c>
      <c r="F4834" t="s">
        <v>16370</v>
      </c>
      <c r="G4834">
        <v>8.996</v>
      </c>
      <c r="H4834">
        <v>8.996</v>
      </c>
      <c r="I4834" t="s">
        <v>40</v>
      </c>
      <c r="J4834" t="s">
        <v>41</v>
      </c>
      <c r="K4834" t="s">
        <v>31</v>
      </c>
      <c r="L4834" t="s">
        <v>32</v>
      </c>
      <c r="M4834" t="s">
        <v>33</v>
      </c>
      <c r="P4834" s="1" t="s">
        <v>16503</v>
      </c>
      <c r="Q4834" s="1" t="s">
        <v>16369</v>
      </c>
      <c r="R4834" s="1" t="s">
        <v>15359</v>
      </c>
      <c r="S4834" s="1"/>
      <c r="T4834" s="1" t="s">
        <v>75</v>
      </c>
      <c r="U4834" s="1" t="s">
        <v>76</v>
      </c>
      <c r="V4834" s="1">
        <v>8.996</v>
      </c>
      <c r="W4834" s="1">
        <v>8.996</v>
      </c>
      <c r="X4834" s="1" t="s">
        <v>35</v>
      </c>
      <c r="Y4834" s="1">
        <v>8996</v>
      </c>
      <c r="Z4834" s="1"/>
      <c r="AA4834" s="1">
        <v>8996</v>
      </c>
      <c r="AB4834" s="1"/>
      <c r="AC4834" s="1" t="s">
        <v>36</v>
      </c>
      <c r="AD4834" s="1" t="s">
        <v>16504</v>
      </c>
      <c r="AE4834" s="1" t="s">
        <v>32</v>
      </c>
      <c r="AF4834" s="1" t="s">
        <v>33</v>
      </c>
      <c r="AG4834" s="1" t="s">
        <v>41</v>
      </c>
    </row>
    <row r="4835" spans="1:33">
      <c r="A4835" t="s">
        <v>16505</v>
      </c>
      <c r="B4835" t="s">
        <v>16506</v>
      </c>
      <c r="C4835" t="s">
        <v>73</v>
      </c>
      <c r="E4835" t="s">
        <v>16369</v>
      </c>
      <c r="F4835" t="s">
        <v>16370</v>
      </c>
      <c r="G4835">
        <v>3.25</v>
      </c>
      <c r="H4835">
        <v>3.25</v>
      </c>
      <c r="I4835" t="s">
        <v>40</v>
      </c>
      <c r="J4835" t="s">
        <v>41</v>
      </c>
      <c r="K4835" t="s">
        <v>31</v>
      </c>
      <c r="L4835" t="s">
        <v>32</v>
      </c>
      <c r="M4835" t="s">
        <v>33</v>
      </c>
      <c r="P4835" s="1" t="s">
        <v>16507</v>
      </c>
      <c r="Q4835" s="1" t="s">
        <v>16369</v>
      </c>
      <c r="R4835" s="1" t="s">
        <v>15359</v>
      </c>
      <c r="S4835" s="1"/>
      <c r="T4835" s="1" t="s">
        <v>75</v>
      </c>
      <c r="U4835" s="1" t="s">
        <v>76</v>
      </c>
      <c r="V4835" s="1">
        <v>3.25</v>
      </c>
      <c r="W4835" s="1">
        <v>3.25</v>
      </c>
      <c r="X4835" s="1" t="s">
        <v>35</v>
      </c>
      <c r="Y4835" s="1">
        <v>3250</v>
      </c>
      <c r="Z4835" s="1"/>
      <c r="AA4835" s="1">
        <v>3250</v>
      </c>
      <c r="AB4835" s="1"/>
      <c r="AC4835" s="1" t="s">
        <v>36</v>
      </c>
      <c r="AD4835" s="1" t="s">
        <v>16480</v>
      </c>
      <c r="AE4835" s="1" t="s">
        <v>32</v>
      </c>
      <c r="AF4835" s="1" t="s">
        <v>33</v>
      </c>
      <c r="AG4835" s="1" t="s">
        <v>41</v>
      </c>
    </row>
    <row r="4836" spans="1:33">
      <c r="A4836" t="s">
        <v>16508</v>
      </c>
      <c r="C4836" t="s">
        <v>16509</v>
      </c>
      <c r="E4836" t="s">
        <v>16369</v>
      </c>
      <c r="F4836" t="s">
        <v>16370</v>
      </c>
      <c r="G4836">
        <v>809.0</v>
      </c>
      <c r="H4836">
        <v>809.0</v>
      </c>
      <c r="I4836" t="s">
        <v>2206</v>
      </c>
      <c r="J4836" t="s">
        <v>49</v>
      </c>
      <c r="K4836" t="s">
        <v>31</v>
      </c>
      <c r="L4836" t="s">
        <v>32</v>
      </c>
      <c r="M4836" t="s">
        <v>33</v>
      </c>
      <c r="P4836" s="1" t="s">
        <v>16510</v>
      </c>
      <c r="Q4836" s="1" t="s">
        <v>16369</v>
      </c>
      <c r="R4836" s="1" t="s">
        <v>16369</v>
      </c>
      <c r="S4836" s="1"/>
      <c r="T4836" s="1" t="s">
        <v>16511</v>
      </c>
      <c r="U4836" s="1" t="s">
        <v>16512</v>
      </c>
      <c r="V4836" s="1">
        <v>809.0</v>
      </c>
      <c r="W4836" s="1">
        <v>809.0</v>
      </c>
      <c r="X4836" s="1" t="s">
        <v>35</v>
      </c>
      <c r="Y4836" s="1">
        <v>809000</v>
      </c>
      <c r="Z4836" s="1"/>
      <c r="AA4836" s="1">
        <v>809000</v>
      </c>
      <c r="AB4836" s="1"/>
      <c r="AC4836" s="1" t="s">
        <v>36</v>
      </c>
      <c r="AD4836" s="1" t="s">
        <v>16513</v>
      </c>
      <c r="AE4836" s="1" t="s">
        <v>32</v>
      </c>
      <c r="AF4836" s="1" t="s">
        <v>33</v>
      </c>
      <c r="AG4836" s="1" t="s">
        <v>49</v>
      </c>
    </row>
    <row r="4837" spans="1:33">
      <c r="A4837" t="s">
        <v>16514</v>
      </c>
      <c r="B4837" t="s">
        <v>2325</v>
      </c>
      <c r="C4837" t="s">
        <v>5664</v>
      </c>
      <c r="D4837" t="s">
        <v>114</v>
      </c>
      <c r="E4837" t="s">
        <v>16369</v>
      </c>
      <c r="F4837" t="s">
        <v>16370</v>
      </c>
      <c r="G4837">
        <v>32.0</v>
      </c>
      <c r="H4837">
        <v>32.0</v>
      </c>
      <c r="I4837" t="s">
        <v>59</v>
      </c>
      <c r="J4837" t="s">
        <v>60</v>
      </c>
      <c r="K4837" t="s">
        <v>31</v>
      </c>
      <c r="L4837" t="s">
        <v>32</v>
      </c>
      <c r="M4837" t="s">
        <v>33</v>
      </c>
      <c r="P4837" s="1" t="s">
        <v>16515</v>
      </c>
      <c r="Q4837" s="1" t="s">
        <v>16369</v>
      </c>
      <c r="R4837" s="1" t="s">
        <v>16369</v>
      </c>
      <c r="S4837" s="1"/>
      <c r="T4837" s="1" t="s">
        <v>5666</v>
      </c>
      <c r="U4837" s="1" t="s">
        <v>5667</v>
      </c>
      <c r="V4837" s="1">
        <v>32.0</v>
      </c>
      <c r="W4837" s="1">
        <v>32.0</v>
      </c>
      <c r="X4837" s="1" t="s">
        <v>35</v>
      </c>
      <c r="Y4837" s="1">
        <v>32000</v>
      </c>
      <c r="Z4837" s="1"/>
      <c r="AA4837" s="1">
        <v>32000</v>
      </c>
      <c r="AB4837" s="1"/>
      <c r="AC4837" s="1" t="s">
        <v>36</v>
      </c>
      <c r="AD4837" s="1" t="s">
        <v>16513</v>
      </c>
      <c r="AE4837" s="1" t="s">
        <v>32</v>
      </c>
      <c r="AF4837" s="1" t="s">
        <v>33</v>
      </c>
      <c r="AG4837" s="1" t="s">
        <v>60</v>
      </c>
    </row>
    <row r="4838" spans="1:33">
      <c r="A4838" t="s">
        <v>16516</v>
      </c>
      <c r="B4838" t="s">
        <v>5727</v>
      </c>
      <c r="C4838" t="s">
        <v>1758</v>
      </c>
      <c r="E4838" t="s">
        <v>16369</v>
      </c>
      <c r="F4838" t="s">
        <v>16370</v>
      </c>
      <c r="G4838">
        <v>1.05</v>
      </c>
      <c r="H4838">
        <v>1.05</v>
      </c>
      <c r="I4838" t="s">
        <v>529</v>
      </c>
      <c r="J4838" t="s">
        <v>530</v>
      </c>
      <c r="K4838" t="s">
        <v>31</v>
      </c>
      <c r="L4838" t="s">
        <v>32</v>
      </c>
      <c r="M4838" t="s">
        <v>33</v>
      </c>
      <c r="P4838" s="1" t="s">
        <v>16517</v>
      </c>
      <c r="Q4838" s="1" t="s">
        <v>16369</v>
      </c>
      <c r="R4838" s="1" t="s">
        <v>15359</v>
      </c>
      <c r="S4838" s="1"/>
      <c r="T4838" s="1" t="s">
        <v>1758</v>
      </c>
      <c r="U4838" s="1"/>
      <c r="V4838" s="1">
        <v>1.05</v>
      </c>
      <c r="W4838" s="1">
        <v>1.05</v>
      </c>
      <c r="X4838" s="1" t="s">
        <v>35</v>
      </c>
      <c r="Y4838" s="1">
        <v>1050320</v>
      </c>
      <c r="Z4838" s="1"/>
      <c r="AA4838" s="1">
        <v>1050320</v>
      </c>
      <c r="AB4838" s="1"/>
      <c r="AC4838" s="1" t="s">
        <v>36</v>
      </c>
      <c r="AD4838" s="1" t="s">
        <v>16518</v>
      </c>
      <c r="AE4838" s="1" t="s">
        <v>32</v>
      </c>
      <c r="AF4838" s="1" t="s">
        <v>33</v>
      </c>
      <c r="AG4838" s="1" t="s">
        <v>530</v>
      </c>
    </row>
    <row r="4839" spans="1:33">
      <c r="A4839" t="s">
        <v>16519</v>
      </c>
      <c r="C4839" t="s">
        <v>2038</v>
      </c>
      <c r="E4839" t="s">
        <v>16369</v>
      </c>
      <c r="F4839" t="s">
        <v>16370</v>
      </c>
      <c r="G4839">
        <v>328.0</v>
      </c>
      <c r="H4839">
        <v>328.0</v>
      </c>
      <c r="I4839" t="s">
        <v>136</v>
      </c>
      <c r="J4839" t="s">
        <v>137</v>
      </c>
      <c r="K4839" t="s">
        <v>31</v>
      </c>
      <c r="L4839" t="s">
        <v>32</v>
      </c>
      <c r="M4839" t="s">
        <v>33</v>
      </c>
      <c r="P4839" s="1" t="s">
        <v>16520</v>
      </c>
      <c r="Q4839" s="1" t="s">
        <v>16369</v>
      </c>
      <c r="R4839" s="1" t="s">
        <v>16369</v>
      </c>
      <c r="S4839" s="1"/>
      <c r="T4839" s="1" t="s">
        <v>2040</v>
      </c>
      <c r="U4839" s="1" t="s">
        <v>2041</v>
      </c>
      <c r="V4839" s="1">
        <v>328.0</v>
      </c>
      <c r="W4839" s="1">
        <v>328.0</v>
      </c>
      <c r="X4839" s="1" t="s">
        <v>35</v>
      </c>
      <c r="Y4839" s="1">
        <v>328000</v>
      </c>
      <c r="Z4839" s="1"/>
      <c r="AA4839" s="1">
        <v>328000</v>
      </c>
      <c r="AB4839" s="1"/>
      <c r="AC4839" s="1" t="s">
        <v>36</v>
      </c>
      <c r="AD4839" s="1" t="s">
        <v>16521</v>
      </c>
      <c r="AE4839" s="1" t="s">
        <v>32</v>
      </c>
      <c r="AF4839" s="1" t="s">
        <v>33</v>
      </c>
      <c r="AG4839" s="1" t="s">
        <v>137</v>
      </c>
    </row>
    <row r="4840" spans="1:33">
      <c r="A4840" t="s">
        <v>16522</v>
      </c>
      <c r="C4840" t="s">
        <v>8196</v>
      </c>
      <c r="E4840" t="s">
        <v>16369</v>
      </c>
      <c r="F4840" t="s">
        <v>16370</v>
      </c>
      <c r="G4840">
        <v>1.64</v>
      </c>
      <c r="H4840">
        <v>1.64</v>
      </c>
      <c r="I4840" t="s">
        <v>136</v>
      </c>
      <c r="J4840" t="s">
        <v>137</v>
      </c>
      <c r="K4840" t="s">
        <v>31</v>
      </c>
      <c r="L4840" t="s">
        <v>32</v>
      </c>
      <c r="M4840" t="s">
        <v>33</v>
      </c>
      <c r="P4840" s="1" t="s">
        <v>16523</v>
      </c>
      <c r="Q4840" s="1" t="s">
        <v>16369</v>
      </c>
      <c r="R4840" s="1" t="s">
        <v>16369</v>
      </c>
      <c r="S4840" s="1"/>
      <c r="T4840" s="1" t="s">
        <v>8196</v>
      </c>
      <c r="U4840" s="1"/>
      <c r="V4840" s="1">
        <v>1.64</v>
      </c>
      <c r="W4840" s="1">
        <v>1.64</v>
      </c>
      <c r="X4840" s="1" t="s">
        <v>35</v>
      </c>
      <c r="Y4840" s="1">
        <v>1640000</v>
      </c>
      <c r="Z4840" s="1"/>
      <c r="AA4840" s="1">
        <v>1640000</v>
      </c>
      <c r="AB4840" s="1"/>
      <c r="AC4840" s="1" t="s">
        <v>36</v>
      </c>
      <c r="AD4840" s="1" t="s">
        <v>16524</v>
      </c>
      <c r="AE4840" s="1" t="s">
        <v>32</v>
      </c>
      <c r="AF4840" s="1" t="s">
        <v>33</v>
      </c>
      <c r="AG4840" s="1" t="s">
        <v>137</v>
      </c>
    </row>
    <row r="4841" spans="1:33">
      <c r="A4841" t="s">
        <v>16525</v>
      </c>
      <c r="B4841" t="s">
        <v>9263</v>
      </c>
      <c r="C4841" t="s">
        <v>1298</v>
      </c>
      <c r="E4841" t="s">
        <v>16369</v>
      </c>
      <c r="F4841" t="s">
        <v>16370</v>
      </c>
      <c r="G4841">
        <v>12.07</v>
      </c>
      <c r="H4841">
        <v>12.07</v>
      </c>
      <c r="I4841" t="s">
        <v>529</v>
      </c>
      <c r="J4841" t="s">
        <v>530</v>
      </c>
      <c r="K4841" t="s">
        <v>31</v>
      </c>
      <c r="L4841" t="s">
        <v>32</v>
      </c>
      <c r="M4841" t="s">
        <v>33</v>
      </c>
      <c r="P4841" s="1" t="s">
        <v>16526</v>
      </c>
      <c r="Q4841" s="1" t="s">
        <v>16369</v>
      </c>
      <c r="R4841" s="1" t="s">
        <v>15359</v>
      </c>
      <c r="S4841" s="1"/>
      <c r="T4841" s="1" t="s">
        <v>1298</v>
      </c>
      <c r="U4841" s="1"/>
      <c r="V4841" s="1">
        <v>12.07</v>
      </c>
      <c r="W4841" s="1">
        <v>12.07</v>
      </c>
      <c r="X4841" s="1" t="s">
        <v>35</v>
      </c>
      <c r="Y4841" s="1">
        <v>12070</v>
      </c>
      <c r="Z4841" s="1"/>
      <c r="AA4841" s="1">
        <v>12070</v>
      </c>
      <c r="AB4841" s="1"/>
      <c r="AC4841" s="1" t="s">
        <v>36</v>
      </c>
      <c r="AD4841" s="1" t="s">
        <v>16527</v>
      </c>
      <c r="AE4841" s="1" t="s">
        <v>32</v>
      </c>
      <c r="AF4841" s="1" t="s">
        <v>33</v>
      </c>
      <c r="AG4841" s="1" t="s">
        <v>530</v>
      </c>
    </row>
    <row r="4842" spans="1:33">
      <c r="A4842" t="s">
        <v>16528</v>
      </c>
      <c r="B4842" t="s">
        <v>16529</v>
      </c>
      <c r="C4842" t="s">
        <v>14606</v>
      </c>
      <c r="E4842" t="s">
        <v>16369</v>
      </c>
      <c r="F4842" t="s">
        <v>16370</v>
      </c>
      <c r="G4842">
        <v>1.64</v>
      </c>
      <c r="H4842">
        <v>1.64</v>
      </c>
      <c r="I4842" t="s">
        <v>136</v>
      </c>
      <c r="J4842" t="s">
        <v>137</v>
      </c>
      <c r="K4842" t="s">
        <v>31</v>
      </c>
      <c r="L4842" t="s">
        <v>32</v>
      </c>
      <c r="M4842" t="s">
        <v>33</v>
      </c>
      <c r="P4842" s="1" t="s">
        <v>16530</v>
      </c>
      <c r="Q4842" s="1" t="s">
        <v>16369</v>
      </c>
      <c r="R4842" s="1" t="s">
        <v>16369</v>
      </c>
      <c r="S4842" s="1"/>
      <c r="T4842" s="1" t="s">
        <v>14608</v>
      </c>
      <c r="U4842" s="1" t="s">
        <v>14609</v>
      </c>
      <c r="V4842" s="1">
        <v>1.64</v>
      </c>
      <c r="W4842" s="1">
        <v>1.64</v>
      </c>
      <c r="X4842" s="1" t="s">
        <v>35</v>
      </c>
      <c r="Y4842" s="1">
        <v>1640000</v>
      </c>
      <c r="Z4842" s="1"/>
      <c r="AA4842" s="1">
        <v>1640000</v>
      </c>
      <c r="AB4842" s="1"/>
      <c r="AC4842" s="1" t="s">
        <v>36</v>
      </c>
      <c r="AD4842" s="1" t="s">
        <v>16531</v>
      </c>
      <c r="AE4842" s="1" t="s">
        <v>32</v>
      </c>
      <c r="AF4842" s="1" t="s">
        <v>33</v>
      </c>
      <c r="AG4842" s="1" t="s">
        <v>137</v>
      </c>
    </row>
    <row r="4843" spans="1:33">
      <c r="A4843" t="s">
        <v>16532</v>
      </c>
      <c r="B4843" t="s">
        <v>735</v>
      </c>
      <c r="C4843" t="s">
        <v>736</v>
      </c>
      <c r="E4843" t="s">
        <v>16369</v>
      </c>
      <c r="F4843" t="s">
        <v>16370</v>
      </c>
      <c r="G4843">
        <v>370.0</v>
      </c>
      <c r="H4843">
        <v>370.0</v>
      </c>
      <c r="I4843" t="s">
        <v>59</v>
      </c>
      <c r="J4843" t="s">
        <v>60</v>
      </c>
      <c r="K4843" t="s">
        <v>31</v>
      </c>
      <c r="L4843" t="s">
        <v>32</v>
      </c>
      <c r="M4843" t="s">
        <v>33</v>
      </c>
      <c r="P4843" s="1" t="s">
        <v>16533</v>
      </c>
      <c r="Q4843" s="1" t="s">
        <v>16369</v>
      </c>
      <c r="R4843" s="1" t="s">
        <v>16369</v>
      </c>
      <c r="S4843" s="1"/>
      <c r="T4843" s="1" t="s">
        <v>736</v>
      </c>
      <c r="U4843" s="1"/>
      <c r="V4843" s="1">
        <v>370.0</v>
      </c>
      <c r="W4843" s="1">
        <v>370.0</v>
      </c>
      <c r="X4843" s="1" t="s">
        <v>35</v>
      </c>
      <c r="Y4843" s="1">
        <v>370000</v>
      </c>
      <c r="Z4843" s="1"/>
      <c r="AA4843" s="1">
        <v>370000</v>
      </c>
      <c r="AB4843" s="1"/>
      <c r="AC4843" s="1" t="s">
        <v>36</v>
      </c>
      <c r="AD4843" s="1" t="s">
        <v>16527</v>
      </c>
      <c r="AE4843" s="1" t="s">
        <v>32</v>
      </c>
      <c r="AF4843" s="1" t="s">
        <v>33</v>
      </c>
      <c r="AG4843" s="1" t="s">
        <v>60</v>
      </c>
    </row>
    <row r="4844" spans="1:33">
      <c r="A4844" t="s">
        <v>16534</v>
      </c>
      <c r="B4844" t="s">
        <v>16535</v>
      </c>
      <c r="C4844" t="s">
        <v>68</v>
      </c>
      <c r="E4844" t="s">
        <v>16369</v>
      </c>
      <c r="F4844" t="s">
        <v>16370</v>
      </c>
      <c r="G4844">
        <v>4.598</v>
      </c>
      <c r="H4844">
        <v>4.598</v>
      </c>
      <c r="I4844" t="s">
        <v>59</v>
      </c>
      <c r="J4844" t="s">
        <v>60</v>
      </c>
      <c r="K4844" t="s">
        <v>31</v>
      </c>
      <c r="L4844" t="s">
        <v>32</v>
      </c>
      <c r="M4844" t="s">
        <v>33</v>
      </c>
      <c r="P4844" s="1" t="s">
        <v>16536</v>
      </c>
      <c r="Q4844" s="1" t="s">
        <v>16369</v>
      </c>
      <c r="R4844" s="1" t="s">
        <v>16369</v>
      </c>
      <c r="S4844" s="1"/>
      <c r="T4844" s="1" t="s">
        <v>68</v>
      </c>
      <c r="U4844" s="1"/>
      <c r="V4844" s="1">
        <v>4.598</v>
      </c>
      <c r="W4844" s="1">
        <v>4.598</v>
      </c>
      <c r="X4844" s="1" t="s">
        <v>35</v>
      </c>
      <c r="Y4844" s="1">
        <v>4598</v>
      </c>
      <c r="Z4844" s="1"/>
      <c r="AA4844" s="1">
        <v>4598</v>
      </c>
      <c r="AB4844" s="1"/>
      <c r="AC4844" s="1" t="s">
        <v>36</v>
      </c>
      <c r="AD4844" s="1" t="s">
        <v>16537</v>
      </c>
      <c r="AE4844" s="1" t="s">
        <v>32</v>
      </c>
      <c r="AF4844" s="1" t="s">
        <v>33</v>
      </c>
      <c r="AG4844" s="1" t="s">
        <v>60</v>
      </c>
    </row>
    <row r="4845" spans="1:33">
      <c r="A4845" t="s">
        <v>16538</v>
      </c>
      <c r="C4845" t="s">
        <v>14606</v>
      </c>
      <c r="E4845" t="s">
        <v>16369</v>
      </c>
      <c r="F4845" t="s">
        <v>16370</v>
      </c>
      <c r="G4845">
        <v>984.0</v>
      </c>
      <c r="H4845">
        <v>984.0</v>
      </c>
      <c r="I4845" t="s">
        <v>136</v>
      </c>
      <c r="J4845" t="s">
        <v>137</v>
      </c>
      <c r="K4845" t="s">
        <v>31</v>
      </c>
      <c r="L4845" t="s">
        <v>32</v>
      </c>
      <c r="M4845" t="s">
        <v>33</v>
      </c>
      <c r="P4845" s="1" t="s">
        <v>16539</v>
      </c>
      <c r="Q4845" s="1" t="s">
        <v>16369</v>
      </c>
      <c r="R4845" s="1" t="s">
        <v>16369</v>
      </c>
      <c r="S4845" s="1"/>
      <c r="T4845" s="1" t="s">
        <v>14608</v>
      </c>
      <c r="U4845" s="1" t="s">
        <v>14609</v>
      </c>
      <c r="V4845" s="1">
        <v>984.0</v>
      </c>
      <c r="W4845" s="1">
        <v>984.0</v>
      </c>
      <c r="X4845" s="1" t="s">
        <v>35</v>
      </c>
      <c r="Y4845" s="1">
        <v>984000</v>
      </c>
      <c r="Z4845" s="1"/>
      <c r="AA4845" s="1">
        <v>984000</v>
      </c>
      <c r="AB4845" s="1"/>
      <c r="AC4845" s="1" t="s">
        <v>36</v>
      </c>
      <c r="AD4845" s="1" t="s">
        <v>16537</v>
      </c>
      <c r="AE4845" s="1" t="s">
        <v>32</v>
      </c>
      <c r="AF4845" s="1" t="s">
        <v>33</v>
      </c>
      <c r="AG4845" s="1" t="s">
        <v>137</v>
      </c>
    </row>
    <row r="4846" spans="1:33">
      <c r="A4846" t="s">
        <v>16540</v>
      </c>
      <c r="C4846" t="s">
        <v>747</v>
      </c>
      <c r="E4846" t="s">
        <v>16369</v>
      </c>
      <c r="F4846" t="s">
        <v>16370</v>
      </c>
      <c r="G4846">
        <v>820.0</v>
      </c>
      <c r="H4846">
        <v>820.0</v>
      </c>
      <c r="I4846" t="s">
        <v>136</v>
      </c>
      <c r="J4846" t="s">
        <v>137</v>
      </c>
      <c r="K4846" t="s">
        <v>31</v>
      </c>
      <c r="L4846" t="s">
        <v>32</v>
      </c>
      <c r="M4846" t="s">
        <v>33</v>
      </c>
      <c r="P4846" s="1" t="s">
        <v>16541</v>
      </c>
      <c r="Q4846" s="1" t="s">
        <v>16369</v>
      </c>
      <c r="R4846" s="1" t="s">
        <v>16369</v>
      </c>
      <c r="S4846" s="1"/>
      <c r="T4846" s="1" t="s">
        <v>747</v>
      </c>
      <c r="U4846" s="1"/>
      <c r="V4846" s="1">
        <v>820.0</v>
      </c>
      <c r="W4846" s="1">
        <v>820.0</v>
      </c>
      <c r="X4846" s="1" t="s">
        <v>35</v>
      </c>
      <c r="Y4846" s="1">
        <v>820000</v>
      </c>
      <c r="Z4846" s="1"/>
      <c r="AA4846" s="1">
        <v>820000</v>
      </c>
      <c r="AB4846" s="1"/>
      <c r="AC4846" s="1" t="s">
        <v>36</v>
      </c>
      <c r="AD4846" s="1" t="s">
        <v>16542</v>
      </c>
      <c r="AE4846" s="1" t="s">
        <v>32</v>
      </c>
      <c r="AF4846" s="1" t="s">
        <v>33</v>
      </c>
      <c r="AG4846" s="1" t="s">
        <v>137</v>
      </c>
    </row>
    <row r="4847" spans="1:33">
      <c r="A4847" t="s">
        <v>16543</v>
      </c>
      <c r="C4847" t="s">
        <v>1248</v>
      </c>
      <c r="E4847" t="s">
        <v>16369</v>
      </c>
      <c r="F4847" t="s">
        <v>16370</v>
      </c>
      <c r="G4847">
        <v>100.8</v>
      </c>
      <c r="H4847">
        <v>100.8</v>
      </c>
      <c r="I4847" t="s">
        <v>269</v>
      </c>
      <c r="J4847" t="s">
        <v>270</v>
      </c>
      <c r="K4847" t="s">
        <v>31</v>
      </c>
      <c r="L4847" t="s">
        <v>32</v>
      </c>
      <c r="M4847" t="s">
        <v>33</v>
      </c>
      <c r="P4847" s="1" t="s">
        <v>16544</v>
      </c>
      <c r="Q4847" s="1" t="s">
        <v>16369</v>
      </c>
      <c r="R4847" s="1" t="s">
        <v>16369</v>
      </c>
      <c r="S4847" s="1"/>
      <c r="T4847" s="1" t="s">
        <v>1250</v>
      </c>
      <c r="U4847" s="1" t="s">
        <v>1251</v>
      </c>
      <c r="V4847" s="1">
        <v>100.8</v>
      </c>
      <c r="W4847" s="1">
        <v>100.8</v>
      </c>
      <c r="X4847" s="1" t="s">
        <v>35</v>
      </c>
      <c r="Y4847" s="1">
        <v>100800</v>
      </c>
      <c r="Z4847" s="1"/>
      <c r="AA4847" s="1">
        <v>100800</v>
      </c>
      <c r="AB4847" s="1"/>
      <c r="AC4847" s="1" t="s">
        <v>36</v>
      </c>
      <c r="AD4847" s="1" t="s">
        <v>16545</v>
      </c>
      <c r="AE4847" s="1" t="s">
        <v>32</v>
      </c>
      <c r="AF4847" s="1" t="s">
        <v>33</v>
      </c>
      <c r="AG4847" s="1" t="s">
        <v>270</v>
      </c>
    </row>
    <row r="4848" spans="1:33">
      <c r="A4848" t="s">
        <v>16546</v>
      </c>
      <c r="C4848" t="s">
        <v>16547</v>
      </c>
      <c r="E4848" t="s">
        <v>16369</v>
      </c>
      <c r="F4848" t="s">
        <v>16370</v>
      </c>
      <c r="G4848">
        <v>410.0</v>
      </c>
      <c r="H4848">
        <v>410.0</v>
      </c>
      <c r="I4848" t="s">
        <v>136</v>
      </c>
      <c r="J4848" t="s">
        <v>137</v>
      </c>
      <c r="K4848" t="s">
        <v>31</v>
      </c>
      <c r="L4848" t="s">
        <v>32</v>
      </c>
      <c r="M4848" t="s">
        <v>33</v>
      </c>
      <c r="P4848" s="1" t="s">
        <v>16548</v>
      </c>
      <c r="Q4848" s="1" t="s">
        <v>16369</v>
      </c>
      <c r="R4848" s="1" t="s">
        <v>16369</v>
      </c>
      <c r="S4848" s="1"/>
      <c r="T4848" s="1" t="s">
        <v>16547</v>
      </c>
      <c r="U4848" s="1"/>
      <c r="V4848" s="1">
        <v>410.0</v>
      </c>
      <c r="W4848" s="1">
        <v>410.0</v>
      </c>
      <c r="X4848" s="1" t="s">
        <v>35</v>
      </c>
      <c r="Y4848" s="1">
        <v>410000</v>
      </c>
      <c r="Z4848" s="1"/>
      <c r="AA4848" s="1">
        <v>410000</v>
      </c>
      <c r="AB4848" s="1"/>
      <c r="AC4848" s="1" t="s">
        <v>36</v>
      </c>
      <c r="AD4848" s="1" t="s">
        <v>16549</v>
      </c>
      <c r="AE4848" s="1" t="s">
        <v>32</v>
      </c>
      <c r="AF4848" s="1" t="s">
        <v>33</v>
      </c>
      <c r="AG4848" s="1" t="s">
        <v>137</v>
      </c>
    </row>
    <row r="4849" spans="1:33">
      <c r="A4849" t="s">
        <v>16550</v>
      </c>
      <c r="C4849" t="s">
        <v>16547</v>
      </c>
      <c r="E4849" t="s">
        <v>16369</v>
      </c>
      <c r="F4849" t="s">
        <v>16370</v>
      </c>
      <c r="G4849">
        <v>328.0</v>
      </c>
      <c r="H4849">
        <v>328.0</v>
      </c>
      <c r="I4849" t="s">
        <v>136</v>
      </c>
      <c r="J4849" t="s">
        <v>137</v>
      </c>
      <c r="K4849" t="s">
        <v>31</v>
      </c>
      <c r="L4849" t="s">
        <v>32</v>
      </c>
      <c r="M4849" t="s">
        <v>33</v>
      </c>
      <c r="P4849" s="1" t="s">
        <v>16551</v>
      </c>
      <c r="Q4849" s="1" t="s">
        <v>16369</v>
      </c>
      <c r="R4849" s="1" t="s">
        <v>16369</v>
      </c>
      <c r="S4849" s="1"/>
      <c r="T4849" s="1" t="s">
        <v>16547</v>
      </c>
      <c r="U4849" s="1"/>
      <c r="V4849" s="1">
        <v>328.0</v>
      </c>
      <c r="W4849" s="1">
        <v>328.0</v>
      </c>
      <c r="X4849" s="1" t="s">
        <v>35</v>
      </c>
      <c r="Y4849" s="1">
        <v>328000</v>
      </c>
      <c r="Z4849" s="1"/>
      <c r="AA4849" s="1">
        <v>328000</v>
      </c>
      <c r="AB4849" s="1"/>
      <c r="AC4849" s="1" t="s">
        <v>36</v>
      </c>
      <c r="AD4849" s="1" t="s">
        <v>16552</v>
      </c>
      <c r="AE4849" s="1" t="s">
        <v>32</v>
      </c>
      <c r="AF4849" s="1" t="s">
        <v>33</v>
      </c>
      <c r="AG4849" s="1" t="s">
        <v>137</v>
      </c>
    </row>
    <row r="4850" spans="1:33">
      <c r="A4850" t="s">
        <v>16553</v>
      </c>
      <c r="C4850" t="s">
        <v>2804</v>
      </c>
      <c r="E4850" t="s">
        <v>16369</v>
      </c>
      <c r="F4850" t="s">
        <v>16370</v>
      </c>
      <c r="G4850">
        <v>328.0</v>
      </c>
      <c r="H4850">
        <v>328.0</v>
      </c>
      <c r="I4850" t="s">
        <v>136</v>
      </c>
      <c r="J4850" t="s">
        <v>137</v>
      </c>
      <c r="K4850" t="s">
        <v>31</v>
      </c>
      <c r="L4850" t="s">
        <v>32</v>
      </c>
      <c r="M4850" t="s">
        <v>33</v>
      </c>
      <c r="P4850" s="1" t="s">
        <v>16554</v>
      </c>
      <c r="Q4850" s="1" t="s">
        <v>16369</v>
      </c>
      <c r="R4850" s="1" t="s">
        <v>16369</v>
      </c>
      <c r="S4850" s="1"/>
      <c r="T4850" s="1" t="s">
        <v>2804</v>
      </c>
      <c r="U4850" s="1"/>
      <c r="V4850" s="1">
        <v>328.0</v>
      </c>
      <c r="W4850" s="1">
        <v>328.0</v>
      </c>
      <c r="X4850" s="1" t="s">
        <v>35</v>
      </c>
      <c r="Y4850" s="1">
        <v>328000</v>
      </c>
      <c r="Z4850" s="1"/>
      <c r="AA4850" s="1">
        <v>328000</v>
      </c>
      <c r="AB4850" s="1"/>
      <c r="AC4850" s="1" t="s">
        <v>36</v>
      </c>
      <c r="AD4850" s="1" t="s">
        <v>16555</v>
      </c>
      <c r="AE4850" s="1" t="s">
        <v>32</v>
      </c>
      <c r="AF4850" s="1" t="s">
        <v>33</v>
      </c>
      <c r="AG4850" s="1" t="s">
        <v>137</v>
      </c>
    </row>
    <row r="4851" spans="1:33">
      <c r="A4851" t="s">
        <v>16556</v>
      </c>
      <c r="C4851" t="s">
        <v>3079</v>
      </c>
      <c r="D4851" t="s">
        <v>154</v>
      </c>
      <c r="E4851" t="s">
        <v>16369</v>
      </c>
      <c r="F4851" t="s">
        <v>16370</v>
      </c>
      <c r="G4851">
        <v>767.0</v>
      </c>
      <c r="H4851">
        <v>767.0</v>
      </c>
      <c r="I4851" t="s">
        <v>227</v>
      </c>
      <c r="J4851" t="s">
        <v>228</v>
      </c>
      <c r="K4851" t="s">
        <v>31</v>
      </c>
      <c r="L4851" t="s">
        <v>32</v>
      </c>
      <c r="M4851" t="s">
        <v>33</v>
      </c>
      <c r="P4851" s="1" t="s">
        <v>16557</v>
      </c>
      <c r="Q4851" s="1" t="s">
        <v>16369</v>
      </c>
      <c r="R4851" s="1" t="s">
        <v>16369</v>
      </c>
      <c r="S4851" s="1"/>
      <c r="T4851" s="1" t="s">
        <v>3079</v>
      </c>
      <c r="U4851" s="1"/>
      <c r="V4851" s="1">
        <v>767.0</v>
      </c>
      <c r="W4851" s="1">
        <v>767.0</v>
      </c>
      <c r="X4851" s="1" t="s">
        <v>35</v>
      </c>
      <c r="Y4851" s="1">
        <v>767000</v>
      </c>
      <c r="Z4851" s="1"/>
      <c r="AA4851" s="1">
        <v>767000</v>
      </c>
      <c r="AB4851" s="1"/>
      <c r="AC4851" s="1" t="s">
        <v>36</v>
      </c>
      <c r="AD4851" s="1" t="s">
        <v>16549</v>
      </c>
      <c r="AE4851" s="1" t="s">
        <v>32</v>
      </c>
      <c r="AF4851" s="1" t="s">
        <v>33</v>
      </c>
      <c r="AG4851" s="1" t="s">
        <v>228</v>
      </c>
    </row>
    <row r="4852" spans="1:33">
      <c r="A4852" t="s">
        <v>16558</v>
      </c>
      <c r="C4852" t="s">
        <v>2955</v>
      </c>
      <c r="E4852" t="s">
        <v>16369</v>
      </c>
      <c r="F4852" t="s">
        <v>16370</v>
      </c>
      <c r="G4852">
        <v>520.5</v>
      </c>
      <c r="H4852">
        <v>520.5</v>
      </c>
      <c r="I4852" t="s">
        <v>136</v>
      </c>
      <c r="J4852" t="s">
        <v>137</v>
      </c>
      <c r="K4852" t="s">
        <v>31</v>
      </c>
      <c r="L4852" t="s">
        <v>32</v>
      </c>
      <c r="M4852" t="s">
        <v>33</v>
      </c>
      <c r="P4852" s="1" t="s">
        <v>16559</v>
      </c>
      <c r="Q4852" s="1" t="s">
        <v>16369</v>
      </c>
      <c r="R4852" s="1" t="s">
        <v>16369</v>
      </c>
      <c r="S4852" s="1"/>
      <c r="T4852" s="1" t="s">
        <v>2955</v>
      </c>
      <c r="U4852" s="1"/>
      <c r="V4852" s="1">
        <v>520.5</v>
      </c>
      <c r="W4852" s="1">
        <v>520.5</v>
      </c>
      <c r="X4852" s="1" t="s">
        <v>35</v>
      </c>
      <c r="Y4852" s="1">
        <v>520500</v>
      </c>
      <c r="Z4852" s="1"/>
      <c r="AA4852" s="1">
        <v>520500</v>
      </c>
      <c r="AB4852" s="1"/>
      <c r="AC4852" s="1" t="s">
        <v>36</v>
      </c>
      <c r="AD4852" s="1" t="s">
        <v>16560</v>
      </c>
      <c r="AE4852" s="1" t="s">
        <v>32</v>
      </c>
      <c r="AF4852" s="1" t="s">
        <v>33</v>
      </c>
      <c r="AG4852" s="1" t="s">
        <v>137</v>
      </c>
    </row>
    <row r="4853" spans="1:33">
      <c r="A4853" t="s">
        <v>16561</v>
      </c>
      <c r="C4853" t="s">
        <v>16562</v>
      </c>
      <c r="E4853" t="s">
        <v>16369</v>
      </c>
      <c r="F4853" t="s">
        <v>16370</v>
      </c>
      <c r="G4853">
        <v>826.95</v>
      </c>
      <c r="H4853">
        <v>826.95</v>
      </c>
      <c r="I4853" t="s">
        <v>136</v>
      </c>
      <c r="J4853" t="s">
        <v>137</v>
      </c>
      <c r="K4853" t="s">
        <v>31</v>
      </c>
      <c r="L4853" t="s">
        <v>32</v>
      </c>
      <c r="M4853" t="s">
        <v>33</v>
      </c>
      <c r="P4853" s="1" t="s">
        <v>16563</v>
      </c>
      <c r="Q4853" s="1" t="s">
        <v>16369</v>
      </c>
      <c r="R4853" s="1" t="s">
        <v>16369</v>
      </c>
      <c r="S4853" s="1"/>
      <c r="T4853" s="1" t="s">
        <v>16562</v>
      </c>
      <c r="U4853" s="1"/>
      <c r="V4853" s="1">
        <v>826.95</v>
      </c>
      <c r="W4853" s="1">
        <v>826.95</v>
      </c>
      <c r="X4853" s="1" t="s">
        <v>35</v>
      </c>
      <c r="Y4853" s="1">
        <v>826950</v>
      </c>
      <c r="Z4853" s="1"/>
      <c r="AA4853" s="1">
        <v>826950</v>
      </c>
      <c r="AB4853" s="1"/>
      <c r="AC4853" s="1" t="s">
        <v>36</v>
      </c>
      <c r="AD4853" s="1" t="s">
        <v>16564</v>
      </c>
      <c r="AE4853" s="1" t="s">
        <v>32</v>
      </c>
      <c r="AF4853" s="1" t="s">
        <v>33</v>
      </c>
      <c r="AG4853" s="1" t="s">
        <v>137</v>
      </c>
    </row>
    <row r="4854" spans="1:33">
      <c r="A4854" t="s">
        <v>16565</v>
      </c>
      <c r="C4854" t="s">
        <v>3410</v>
      </c>
      <c r="E4854" t="s">
        <v>16369</v>
      </c>
      <c r="F4854" t="s">
        <v>16370</v>
      </c>
      <c r="G4854">
        <v>278.0</v>
      </c>
      <c r="H4854">
        <v>278.0</v>
      </c>
      <c r="I4854" t="s">
        <v>2206</v>
      </c>
      <c r="J4854" t="s">
        <v>49</v>
      </c>
      <c r="K4854" t="s">
        <v>31</v>
      </c>
      <c r="L4854" t="s">
        <v>32</v>
      </c>
      <c r="M4854" t="s">
        <v>33</v>
      </c>
      <c r="P4854" s="1" t="s">
        <v>16566</v>
      </c>
      <c r="Q4854" s="1" t="s">
        <v>16369</v>
      </c>
      <c r="R4854" s="1" t="s">
        <v>16369</v>
      </c>
      <c r="S4854" s="1"/>
      <c r="T4854" s="1" t="s">
        <v>3410</v>
      </c>
      <c r="U4854" s="1"/>
      <c r="V4854" s="1">
        <v>278.0</v>
      </c>
      <c r="W4854" s="1">
        <v>278.0</v>
      </c>
      <c r="X4854" s="1" t="s">
        <v>35</v>
      </c>
      <c r="Y4854" s="1">
        <v>278000</v>
      </c>
      <c r="Z4854" s="1"/>
      <c r="AA4854" s="1">
        <v>278000</v>
      </c>
      <c r="AB4854" s="1"/>
      <c r="AC4854" s="1" t="s">
        <v>36</v>
      </c>
      <c r="AD4854" s="1" t="s">
        <v>16567</v>
      </c>
      <c r="AE4854" s="1" t="s">
        <v>32</v>
      </c>
      <c r="AF4854" s="1" t="s">
        <v>33</v>
      </c>
      <c r="AG4854" s="1" t="s">
        <v>49</v>
      </c>
    </row>
    <row r="4855" spans="1:33">
      <c r="A4855" t="s">
        <v>16568</v>
      </c>
      <c r="C4855" t="s">
        <v>755</v>
      </c>
      <c r="E4855" t="s">
        <v>16369</v>
      </c>
      <c r="F4855" t="s">
        <v>16399</v>
      </c>
      <c r="G4855">
        <v>1.176</v>
      </c>
      <c r="H4855">
        <v>1.176</v>
      </c>
      <c r="I4855" t="s">
        <v>136</v>
      </c>
      <c r="J4855" t="s">
        <v>137</v>
      </c>
      <c r="K4855" t="s">
        <v>31</v>
      </c>
      <c r="L4855" t="s">
        <v>32</v>
      </c>
      <c r="M4855" t="s">
        <v>33</v>
      </c>
      <c r="P4855" s="1" t="s">
        <v>16569</v>
      </c>
      <c r="Q4855" s="1" t="s">
        <v>16369</v>
      </c>
      <c r="R4855" s="1" t="s">
        <v>16369</v>
      </c>
      <c r="S4855" s="1"/>
      <c r="T4855" s="1" t="s">
        <v>757</v>
      </c>
      <c r="U4855" s="1" t="s">
        <v>758</v>
      </c>
      <c r="V4855" s="1">
        <v>1.176</v>
      </c>
      <c r="W4855" s="1">
        <v>1.176</v>
      </c>
      <c r="X4855" s="1" t="s">
        <v>35</v>
      </c>
      <c r="Y4855" s="1">
        <v>1176000</v>
      </c>
      <c r="Z4855" s="1"/>
      <c r="AA4855" s="1">
        <v>1176000</v>
      </c>
      <c r="AB4855" s="1"/>
      <c r="AC4855" s="1" t="s">
        <v>36</v>
      </c>
      <c r="AD4855" s="1" t="s">
        <v>16570</v>
      </c>
      <c r="AE4855" s="1" t="s">
        <v>32</v>
      </c>
      <c r="AF4855" s="1" t="s">
        <v>33</v>
      </c>
      <c r="AG4855" s="1" t="s">
        <v>137</v>
      </c>
    </row>
    <row r="4856" spans="1:33">
      <c r="A4856" t="s">
        <v>16571</v>
      </c>
      <c r="B4856" t="s">
        <v>16572</v>
      </c>
      <c r="C4856" t="s">
        <v>16573</v>
      </c>
      <c r="E4856" t="s">
        <v>16369</v>
      </c>
      <c r="F4856" t="s">
        <v>16370</v>
      </c>
      <c r="G4856">
        <v>704.53</v>
      </c>
      <c r="H4856">
        <v>704.53</v>
      </c>
      <c r="I4856" t="s">
        <v>529</v>
      </c>
      <c r="J4856" t="s">
        <v>530</v>
      </c>
      <c r="K4856" t="s">
        <v>31</v>
      </c>
      <c r="L4856" t="s">
        <v>32</v>
      </c>
      <c r="M4856" t="s">
        <v>33</v>
      </c>
      <c r="P4856" s="1" t="s">
        <v>16574</v>
      </c>
      <c r="Q4856" s="1" t="s">
        <v>16369</v>
      </c>
      <c r="R4856" s="1" t="s">
        <v>15359</v>
      </c>
      <c r="S4856" s="1"/>
      <c r="T4856" s="1" t="s">
        <v>16573</v>
      </c>
      <c r="U4856" s="1"/>
      <c r="V4856" s="1">
        <v>704.53</v>
      </c>
      <c r="W4856" s="1">
        <v>704.53</v>
      </c>
      <c r="X4856" s="1" t="s">
        <v>35</v>
      </c>
      <c r="Y4856" s="1">
        <v>704530</v>
      </c>
      <c r="Z4856" s="1"/>
      <c r="AA4856" s="1">
        <v>704530</v>
      </c>
      <c r="AB4856" s="1"/>
      <c r="AC4856" s="1" t="s">
        <v>36</v>
      </c>
      <c r="AD4856" s="1" t="s">
        <v>16575</v>
      </c>
      <c r="AE4856" s="1" t="s">
        <v>32</v>
      </c>
      <c r="AF4856" s="1" t="s">
        <v>33</v>
      </c>
      <c r="AG4856" s="1" t="s">
        <v>530</v>
      </c>
    </row>
    <row r="4857" spans="1:33">
      <c r="A4857" t="s">
        <v>16576</v>
      </c>
      <c r="C4857" t="s">
        <v>806</v>
      </c>
      <c r="D4857" t="s">
        <v>154</v>
      </c>
      <c r="E4857" t="s">
        <v>16369</v>
      </c>
      <c r="F4857" t="s">
        <v>16370</v>
      </c>
      <c r="G4857">
        <v>852.0</v>
      </c>
      <c r="H4857">
        <v>852.0</v>
      </c>
      <c r="I4857" t="s">
        <v>269</v>
      </c>
      <c r="J4857" t="s">
        <v>270</v>
      </c>
      <c r="K4857" t="s">
        <v>31</v>
      </c>
      <c r="L4857" t="s">
        <v>32</v>
      </c>
      <c r="M4857" t="s">
        <v>33</v>
      </c>
      <c r="P4857" s="1" t="s">
        <v>16577</v>
      </c>
      <c r="Q4857" s="1" t="s">
        <v>16369</v>
      </c>
      <c r="R4857" s="1" t="s">
        <v>16369</v>
      </c>
      <c r="S4857" s="1"/>
      <c r="T4857" s="1" t="s">
        <v>806</v>
      </c>
      <c r="U4857" s="1"/>
      <c r="V4857" s="1">
        <v>852.0</v>
      </c>
      <c r="W4857" s="1">
        <v>852.0</v>
      </c>
      <c r="X4857" s="1" t="s">
        <v>35</v>
      </c>
      <c r="Y4857" s="1">
        <v>852000</v>
      </c>
      <c r="Z4857" s="1"/>
      <c r="AA4857" s="1">
        <v>852000</v>
      </c>
      <c r="AB4857" s="1"/>
      <c r="AC4857" s="1" t="s">
        <v>36</v>
      </c>
      <c r="AD4857" s="1" t="s">
        <v>16578</v>
      </c>
      <c r="AE4857" s="1" t="s">
        <v>32</v>
      </c>
      <c r="AF4857" s="1" t="s">
        <v>33</v>
      </c>
      <c r="AG4857" s="1" t="s">
        <v>270</v>
      </c>
    </row>
    <row r="4858" spans="1:33">
      <c r="A4858" t="s">
        <v>16579</v>
      </c>
      <c r="B4858">
        <v>682670986</v>
      </c>
      <c r="C4858" t="s">
        <v>7751</v>
      </c>
      <c r="E4858" t="s">
        <v>16369</v>
      </c>
      <c r="F4858" t="s">
        <v>16399</v>
      </c>
      <c r="G4858">
        <v>1.312</v>
      </c>
      <c r="H4858">
        <v>1.312</v>
      </c>
      <c r="I4858" t="s">
        <v>136</v>
      </c>
      <c r="J4858" t="s">
        <v>137</v>
      </c>
      <c r="K4858" t="s">
        <v>31</v>
      </c>
      <c r="L4858" t="s">
        <v>32</v>
      </c>
      <c r="M4858" t="s">
        <v>33</v>
      </c>
      <c r="P4858" s="1" t="s">
        <v>16580</v>
      </c>
      <c r="Q4858" s="1" t="s">
        <v>16369</v>
      </c>
      <c r="R4858" s="1" t="s">
        <v>16369</v>
      </c>
      <c r="S4858" s="1"/>
      <c r="T4858" s="1" t="s">
        <v>7751</v>
      </c>
      <c r="U4858" s="1"/>
      <c r="V4858" s="1">
        <v>1.312</v>
      </c>
      <c r="W4858" s="1">
        <v>1.312</v>
      </c>
      <c r="X4858" s="1" t="s">
        <v>35</v>
      </c>
      <c r="Y4858" s="1">
        <v>1312000</v>
      </c>
      <c r="Z4858" s="1"/>
      <c r="AA4858" s="1">
        <v>1312000</v>
      </c>
      <c r="AB4858" s="1"/>
      <c r="AC4858" s="1" t="s">
        <v>36</v>
      </c>
      <c r="AD4858" s="1" t="s">
        <v>16575</v>
      </c>
      <c r="AE4858" s="1" t="s">
        <v>32</v>
      </c>
      <c r="AF4858" s="1" t="s">
        <v>33</v>
      </c>
      <c r="AG4858" s="1" t="s">
        <v>137</v>
      </c>
    </row>
    <row r="4859" spans="1:33">
      <c r="A4859" t="s">
        <v>16581</v>
      </c>
      <c r="B4859" t="s">
        <v>57</v>
      </c>
      <c r="C4859" t="s">
        <v>58</v>
      </c>
      <c r="E4859" t="s">
        <v>16369</v>
      </c>
      <c r="F4859" t="s">
        <v>16370</v>
      </c>
      <c r="G4859">
        <v>370.0</v>
      </c>
      <c r="H4859">
        <v>370.0</v>
      </c>
      <c r="I4859" t="s">
        <v>59</v>
      </c>
      <c r="J4859" t="s">
        <v>60</v>
      </c>
      <c r="K4859" t="s">
        <v>31</v>
      </c>
      <c r="L4859" t="s">
        <v>32</v>
      </c>
      <c r="M4859" t="s">
        <v>33</v>
      </c>
      <c r="P4859" s="1" t="s">
        <v>16582</v>
      </c>
      <c r="Q4859" s="1" t="s">
        <v>16369</v>
      </c>
      <c r="R4859" s="1" t="s">
        <v>16369</v>
      </c>
      <c r="S4859" s="1"/>
      <c r="T4859" s="1" t="s">
        <v>58</v>
      </c>
      <c r="U4859" s="1"/>
      <c r="V4859" s="1">
        <v>370.0</v>
      </c>
      <c r="W4859" s="1">
        <v>370.0</v>
      </c>
      <c r="X4859" s="1" t="s">
        <v>35</v>
      </c>
      <c r="Y4859" s="1">
        <v>370000</v>
      </c>
      <c r="Z4859" s="1"/>
      <c r="AA4859" s="1">
        <v>370000</v>
      </c>
      <c r="AB4859" s="1"/>
      <c r="AC4859" s="1" t="s">
        <v>36</v>
      </c>
      <c r="AD4859" s="1" t="s">
        <v>16583</v>
      </c>
      <c r="AE4859" s="1" t="s">
        <v>32</v>
      </c>
      <c r="AF4859" s="1" t="s">
        <v>33</v>
      </c>
      <c r="AG4859" s="1" t="s">
        <v>60</v>
      </c>
    </row>
    <row r="4860" spans="1:33">
      <c r="A4860" t="s">
        <v>16584</v>
      </c>
      <c r="C4860" t="s">
        <v>8643</v>
      </c>
      <c r="D4860" t="s">
        <v>154</v>
      </c>
      <c r="E4860" t="s">
        <v>16369</v>
      </c>
      <c r="F4860" t="s">
        <v>16399</v>
      </c>
      <c r="G4860">
        <v>474.7</v>
      </c>
      <c r="H4860">
        <v>474.7</v>
      </c>
      <c r="I4860" t="s">
        <v>136</v>
      </c>
      <c r="J4860" t="s">
        <v>137</v>
      </c>
      <c r="K4860" t="s">
        <v>31</v>
      </c>
      <c r="L4860" t="s">
        <v>32</v>
      </c>
      <c r="M4860" t="s">
        <v>33</v>
      </c>
      <c r="P4860" s="1" t="s">
        <v>16585</v>
      </c>
      <c r="Q4860" s="1" t="s">
        <v>16369</v>
      </c>
      <c r="R4860" s="1" t="s">
        <v>16369</v>
      </c>
      <c r="S4860" s="1"/>
      <c r="T4860" s="1" t="s">
        <v>8643</v>
      </c>
      <c r="U4860" s="1"/>
      <c r="V4860" s="1">
        <v>474.7</v>
      </c>
      <c r="W4860" s="1">
        <v>474.7</v>
      </c>
      <c r="X4860" s="1" t="s">
        <v>35</v>
      </c>
      <c r="Y4860" s="1">
        <v>474700</v>
      </c>
      <c r="Z4860" s="1"/>
      <c r="AA4860" s="1">
        <v>474700</v>
      </c>
      <c r="AB4860" s="1"/>
      <c r="AC4860" s="1" t="s">
        <v>36</v>
      </c>
      <c r="AD4860" s="1" t="s">
        <v>16586</v>
      </c>
      <c r="AE4860" s="1" t="s">
        <v>32</v>
      </c>
      <c r="AF4860" s="1" t="s">
        <v>33</v>
      </c>
      <c r="AG4860" s="1" t="s">
        <v>137</v>
      </c>
    </row>
    <row r="4861" spans="1:33">
      <c r="A4861" t="s">
        <v>16587</v>
      </c>
      <c r="C4861" t="s">
        <v>2284</v>
      </c>
      <c r="E4861" t="s">
        <v>16369</v>
      </c>
      <c r="F4861" t="s">
        <v>16370</v>
      </c>
      <c r="G4861">
        <v>790.0</v>
      </c>
      <c r="H4861">
        <v>790.0</v>
      </c>
      <c r="I4861" t="s">
        <v>269</v>
      </c>
      <c r="J4861" t="s">
        <v>270</v>
      </c>
      <c r="K4861" t="s">
        <v>31</v>
      </c>
      <c r="L4861" t="s">
        <v>32</v>
      </c>
      <c r="M4861" t="s">
        <v>33</v>
      </c>
      <c r="P4861" s="1" t="s">
        <v>16588</v>
      </c>
      <c r="Q4861" s="1" t="s">
        <v>16369</v>
      </c>
      <c r="R4861" s="1" t="s">
        <v>16369</v>
      </c>
      <c r="S4861" s="1"/>
      <c r="T4861" s="1" t="s">
        <v>2284</v>
      </c>
      <c r="U4861" s="1"/>
      <c r="V4861" s="1">
        <v>790.0</v>
      </c>
      <c r="W4861" s="1">
        <v>790.0</v>
      </c>
      <c r="X4861" s="1" t="s">
        <v>35</v>
      </c>
      <c r="Y4861" s="1">
        <v>790000</v>
      </c>
      <c r="Z4861" s="1"/>
      <c r="AA4861" s="1">
        <v>790000</v>
      </c>
      <c r="AB4861" s="1"/>
      <c r="AC4861" s="1" t="s">
        <v>36</v>
      </c>
      <c r="AD4861" s="1" t="s">
        <v>16589</v>
      </c>
      <c r="AE4861" s="1" t="s">
        <v>32</v>
      </c>
      <c r="AF4861" s="1" t="s">
        <v>33</v>
      </c>
      <c r="AG4861" s="1" t="s">
        <v>270</v>
      </c>
    </row>
    <row r="4862" spans="1:33">
      <c r="A4862" t="s">
        <v>16590</v>
      </c>
      <c r="C4862" t="s">
        <v>11363</v>
      </c>
      <c r="D4862" t="s">
        <v>154</v>
      </c>
      <c r="E4862" t="s">
        <v>16369</v>
      </c>
      <c r="F4862" t="s">
        <v>16370</v>
      </c>
      <c r="G4862">
        <v>790.0</v>
      </c>
      <c r="H4862">
        <v>790.0</v>
      </c>
      <c r="I4862" t="s">
        <v>269</v>
      </c>
      <c r="J4862" t="s">
        <v>270</v>
      </c>
      <c r="K4862" t="s">
        <v>31</v>
      </c>
      <c r="L4862" t="s">
        <v>32</v>
      </c>
      <c r="M4862" t="s">
        <v>33</v>
      </c>
      <c r="P4862" s="1" t="s">
        <v>16591</v>
      </c>
      <c r="Q4862" s="1" t="s">
        <v>16369</v>
      </c>
      <c r="R4862" s="1" t="s">
        <v>16369</v>
      </c>
      <c r="S4862" s="1"/>
      <c r="T4862" s="1" t="s">
        <v>11363</v>
      </c>
      <c r="U4862" s="1"/>
      <c r="V4862" s="1">
        <v>790.0</v>
      </c>
      <c r="W4862" s="1">
        <v>790.0</v>
      </c>
      <c r="X4862" s="1" t="s">
        <v>35</v>
      </c>
      <c r="Y4862" s="1">
        <v>790000</v>
      </c>
      <c r="Z4862" s="1"/>
      <c r="AA4862" s="1">
        <v>790000</v>
      </c>
      <c r="AB4862" s="1"/>
      <c r="AC4862" s="1" t="s">
        <v>36</v>
      </c>
      <c r="AD4862" s="1" t="s">
        <v>16592</v>
      </c>
      <c r="AE4862" s="1" t="s">
        <v>32</v>
      </c>
      <c r="AF4862" s="1" t="s">
        <v>33</v>
      </c>
      <c r="AG4862" s="1" t="s">
        <v>270</v>
      </c>
    </row>
    <row r="4863" spans="1:33">
      <c r="A4863" t="s">
        <v>16593</v>
      </c>
      <c r="C4863" t="s">
        <v>2485</v>
      </c>
      <c r="E4863" t="s">
        <v>16369</v>
      </c>
      <c r="F4863" t="s">
        <v>16399</v>
      </c>
      <c r="G4863">
        <v>1.825</v>
      </c>
      <c r="H4863">
        <v>1.825</v>
      </c>
      <c r="I4863" t="s">
        <v>136</v>
      </c>
      <c r="J4863" t="s">
        <v>137</v>
      </c>
      <c r="K4863" t="s">
        <v>31</v>
      </c>
      <c r="L4863" t="s">
        <v>32</v>
      </c>
      <c r="M4863" t="s">
        <v>33</v>
      </c>
      <c r="P4863" s="1" t="s">
        <v>16594</v>
      </c>
      <c r="Q4863" s="1" t="s">
        <v>16369</v>
      </c>
      <c r="R4863" s="1" t="s">
        <v>16369</v>
      </c>
      <c r="S4863" s="1"/>
      <c r="T4863" s="1" t="s">
        <v>2485</v>
      </c>
      <c r="U4863" s="1"/>
      <c r="V4863" s="1">
        <v>1.825</v>
      </c>
      <c r="W4863" s="1">
        <v>1.825</v>
      </c>
      <c r="X4863" s="1" t="s">
        <v>35</v>
      </c>
      <c r="Y4863" s="1">
        <v>1825750</v>
      </c>
      <c r="Z4863" s="1"/>
      <c r="AA4863" s="1">
        <v>1825750</v>
      </c>
      <c r="AB4863" s="1"/>
      <c r="AC4863" s="1" t="s">
        <v>36</v>
      </c>
      <c r="AD4863" s="1" t="s">
        <v>16595</v>
      </c>
      <c r="AE4863" s="1" t="s">
        <v>32</v>
      </c>
      <c r="AF4863" s="1" t="s">
        <v>33</v>
      </c>
      <c r="AG4863" s="1" t="s">
        <v>137</v>
      </c>
    </row>
    <row r="4864" spans="1:33">
      <c r="A4864" t="s">
        <v>16596</v>
      </c>
      <c r="B4864" t="s">
        <v>10741</v>
      </c>
      <c r="C4864" t="s">
        <v>125</v>
      </c>
      <c r="E4864" t="s">
        <v>16369</v>
      </c>
      <c r="F4864" t="s">
        <v>16370</v>
      </c>
      <c r="G4864">
        <v>15.335</v>
      </c>
      <c r="H4864">
        <v>15.335</v>
      </c>
      <c r="I4864" t="s">
        <v>126</v>
      </c>
      <c r="J4864" t="s">
        <v>127</v>
      </c>
      <c r="K4864" t="s">
        <v>31</v>
      </c>
      <c r="L4864" t="s">
        <v>32</v>
      </c>
      <c r="M4864" t="s">
        <v>33</v>
      </c>
      <c r="P4864" s="1" t="s">
        <v>16597</v>
      </c>
      <c r="Q4864" s="1" t="s">
        <v>16369</v>
      </c>
      <c r="R4864" s="1" t="s">
        <v>16369</v>
      </c>
      <c r="S4864" s="1"/>
      <c r="T4864" s="1" t="s">
        <v>125</v>
      </c>
      <c r="U4864" s="1"/>
      <c r="V4864" s="1">
        <v>15.335</v>
      </c>
      <c r="W4864" s="1">
        <v>15.335</v>
      </c>
      <c r="X4864" s="1" t="s">
        <v>35</v>
      </c>
      <c r="Y4864" s="1">
        <v>15335</v>
      </c>
      <c r="Z4864" s="1"/>
      <c r="AA4864" s="1">
        <v>15335</v>
      </c>
      <c r="AB4864" s="1"/>
      <c r="AC4864" s="1" t="s">
        <v>36</v>
      </c>
      <c r="AD4864" s="1" t="s">
        <v>16598</v>
      </c>
      <c r="AE4864" s="1" t="s">
        <v>32</v>
      </c>
      <c r="AF4864" s="1" t="s">
        <v>33</v>
      </c>
      <c r="AG4864" s="1" t="s">
        <v>127</v>
      </c>
    </row>
    <row r="4865" spans="1:33">
      <c r="A4865" t="s">
        <v>16599</v>
      </c>
      <c r="B4865" t="s">
        <v>16600</v>
      </c>
      <c r="C4865" t="s">
        <v>268</v>
      </c>
      <c r="E4865" t="s">
        <v>16369</v>
      </c>
      <c r="F4865" t="s">
        <v>16370</v>
      </c>
      <c r="G4865">
        <v>116.4</v>
      </c>
      <c r="H4865">
        <v>116.4</v>
      </c>
      <c r="I4865" t="s">
        <v>269</v>
      </c>
      <c r="J4865" t="s">
        <v>270</v>
      </c>
      <c r="K4865" t="s">
        <v>31</v>
      </c>
      <c r="L4865" t="s">
        <v>32</v>
      </c>
      <c r="M4865" t="s">
        <v>33</v>
      </c>
      <c r="P4865" s="1" t="s">
        <v>16601</v>
      </c>
      <c r="Q4865" s="1" t="s">
        <v>16369</v>
      </c>
      <c r="R4865" s="1" t="s">
        <v>16369</v>
      </c>
      <c r="S4865" s="1"/>
      <c r="T4865" s="1" t="s">
        <v>268</v>
      </c>
      <c r="U4865" s="1"/>
      <c r="V4865" s="1">
        <v>116.4</v>
      </c>
      <c r="W4865" s="1">
        <v>116.4</v>
      </c>
      <c r="X4865" s="1" t="s">
        <v>35</v>
      </c>
      <c r="Y4865" s="1">
        <v>116400</v>
      </c>
      <c r="Z4865" s="1"/>
      <c r="AA4865" s="1">
        <v>116400</v>
      </c>
      <c r="AB4865" s="1"/>
      <c r="AC4865" s="1" t="s">
        <v>36</v>
      </c>
      <c r="AD4865" s="1" t="s">
        <v>16602</v>
      </c>
      <c r="AE4865" s="1" t="s">
        <v>32</v>
      </c>
      <c r="AF4865" s="1" t="s">
        <v>33</v>
      </c>
      <c r="AG4865" s="1" t="s">
        <v>270</v>
      </c>
    </row>
    <row r="4866" spans="1:33">
      <c r="A4866" t="s">
        <v>16603</v>
      </c>
      <c r="C4866" t="s">
        <v>5851</v>
      </c>
      <c r="E4866" t="s">
        <v>16369</v>
      </c>
      <c r="F4866" t="s">
        <v>16370</v>
      </c>
      <c r="G4866">
        <v>352.0</v>
      </c>
      <c r="H4866">
        <v>352.0</v>
      </c>
      <c r="I4866" t="s">
        <v>179</v>
      </c>
      <c r="J4866" t="s">
        <v>180</v>
      </c>
      <c r="K4866" t="s">
        <v>31</v>
      </c>
      <c r="L4866" t="s">
        <v>32</v>
      </c>
      <c r="M4866" t="s">
        <v>33</v>
      </c>
      <c r="P4866" s="1" t="s">
        <v>16604</v>
      </c>
      <c r="Q4866" s="1" t="s">
        <v>16369</v>
      </c>
      <c r="R4866" s="1" t="s">
        <v>16369</v>
      </c>
      <c r="S4866" s="1"/>
      <c r="T4866" s="1" t="s">
        <v>5851</v>
      </c>
      <c r="U4866" s="1"/>
      <c r="V4866" s="1">
        <v>352.0</v>
      </c>
      <c r="W4866" s="1">
        <v>352.0</v>
      </c>
      <c r="X4866" s="1" t="s">
        <v>35</v>
      </c>
      <c r="Y4866" s="1">
        <v>352000</v>
      </c>
      <c r="Z4866" s="1"/>
      <c r="AA4866" s="1">
        <v>352000</v>
      </c>
      <c r="AB4866" s="1"/>
      <c r="AC4866" s="1" t="s">
        <v>36</v>
      </c>
      <c r="AD4866" s="1" t="s">
        <v>16605</v>
      </c>
      <c r="AE4866" s="1" t="s">
        <v>32</v>
      </c>
      <c r="AF4866" s="1" t="s">
        <v>33</v>
      </c>
      <c r="AG4866" s="1" t="s">
        <v>180</v>
      </c>
    </row>
    <row r="4867" spans="1:33">
      <c r="A4867" t="s">
        <v>16606</v>
      </c>
      <c r="B4867" t="s">
        <v>16607</v>
      </c>
      <c r="C4867" t="s">
        <v>16608</v>
      </c>
      <c r="E4867" t="s">
        <v>16369</v>
      </c>
      <c r="F4867" t="s">
        <v>16399</v>
      </c>
      <c r="G4867">
        <v>328.0</v>
      </c>
      <c r="H4867">
        <v>328.0</v>
      </c>
      <c r="I4867" t="s">
        <v>136</v>
      </c>
      <c r="J4867" t="s">
        <v>137</v>
      </c>
      <c r="K4867" t="s">
        <v>31</v>
      </c>
      <c r="L4867" t="s">
        <v>32</v>
      </c>
      <c r="M4867" t="s">
        <v>33</v>
      </c>
      <c r="P4867" s="1" t="s">
        <v>16609</v>
      </c>
      <c r="Q4867" s="1" t="s">
        <v>16369</v>
      </c>
      <c r="R4867" s="1" t="s">
        <v>16369</v>
      </c>
      <c r="S4867" s="1"/>
      <c r="T4867" s="1" t="s">
        <v>16608</v>
      </c>
      <c r="U4867" s="1"/>
      <c r="V4867" s="1">
        <v>328.0</v>
      </c>
      <c r="W4867" s="1">
        <v>328.0</v>
      </c>
      <c r="X4867" s="1" t="s">
        <v>35</v>
      </c>
      <c r="Y4867" s="1">
        <v>328000</v>
      </c>
      <c r="Z4867" s="1"/>
      <c r="AA4867" s="1">
        <v>328000</v>
      </c>
      <c r="AB4867" s="1"/>
      <c r="AC4867" s="1" t="s">
        <v>36</v>
      </c>
      <c r="AD4867" s="1" t="s">
        <v>16578</v>
      </c>
      <c r="AE4867" s="1" t="s">
        <v>32</v>
      </c>
      <c r="AF4867" s="1" t="s">
        <v>33</v>
      </c>
      <c r="AG4867" s="1" t="s">
        <v>137</v>
      </c>
    </row>
    <row r="4868" spans="1:33">
      <c r="A4868" t="s">
        <v>16610</v>
      </c>
      <c r="C4868" t="s">
        <v>8507</v>
      </c>
      <c r="E4868" t="s">
        <v>16369</v>
      </c>
      <c r="F4868" t="s">
        <v>16370</v>
      </c>
      <c r="G4868">
        <v>3.927</v>
      </c>
      <c r="H4868">
        <v>3.927</v>
      </c>
      <c r="I4868" t="s">
        <v>269</v>
      </c>
      <c r="J4868" t="s">
        <v>270</v>
      </c>
      <c r="K4868" t="s">
        <v>31</v>
      </c>
      <c r="L4868" t="s">
        <v>32</v>
      </c>
      <c r="M4868" t="s">
        <v>33</v>
      </c>
      <c r="P4868" s="1" t="s">
        <v>16611</v>
      </c>
      <c r="Q4868" s="1" t="s">
        <v>16369</v>
      </c>
      <c r="R4868" s="1" t="s">
        <v>16369</v>
      </c>
      <c r="S4868" s="1"/>
      <c r="T4868" s="1" t="s">
        <v>8507</v>
      </c>
      <c r="U4868" s="1"/>
      <c r="V4868" s="1">
        <v>3.927</v>
      </c>
      <c r="W4868" s="1">
        <v>3.927</v>
      </c>
      <c r="X4868" s="1" t="s">
        <v>35</v>
      </c>
      <c r="Y4868" s="1">
        <v>3927000</v>
      </c>
      <c r="Z4868" s="1"/>
      <c r="AA4868" s="1">
        <v>3927000</v>
      </c>
      <c r="AB4868" s="1"/>
      <c r="AC4868" s="1" t="s">
        <v>36</v>
      </c>
      <c r="AD4868" s="1" t="s">
        <v>16598</v>
      </c>
      <c r="AE4868" s="1" t="s">
        <v>32</v>
      </c>
      <c r="AF4868" s="1" t="s">
        <v>33</v>
      </c>
      <c r="AG4868" s="1" t="s">
        <v>270</v>
      </c>
    </row>
    <row r="4869" spans="1:33">
      <c r="A4869" t="s">
        <v>16612</v>
      </c>
      <c r="C4869" t="s">
        <v>747</v>
      </c>
      <c r="E4869" t="s">
        <v>16369</v>
      </c>
      <c r="F4869" t="s">
        <v>16399</v>
      </c>
      <c r="G4869">
        <v>820.0</v>
      </c>
      <c r="H4869">
        <v>820.0</v>
      </c>
      <c r="I4869" t="s">
        <v>136</v>
      </c>
      <c r="J4869" t="s">
        <v>137</v>
      </c>
      <c r="K4869" t="s">
        <v>31</v>
      </c>
      <c r="L4869" t="s">
        <v>32</v>
      </c>
      <c r="M4869" t="s">
        <v>33</v>
      </c>
      <c r="P4869" s="1" t="s">
        <v>16613</v>
      </c>
      <c r="Q4869" s="1" t="s">
        <v>16369</v>
      </c>
      <c r="R4869" s="1" t="s">
        <v>16369</v>
      </c>
      <c r="S4869" s="1"/>
      <c r="T4869" s="1" t="s">
        <v>747</v>
      </c>
      <c r="U4869" s="1"/>
      <c r="V4869" s="1">
        <v>820.0</v>
      </c>
      <c r="W4869" s="1">
        <v>820.0</v>
      </c>
      <c r="X4869" s="1" t="s">
        <v>35</v>
      </c>
      <c r="Y4869" s="1">
        <v>820000</v>
      </c>
      <c r="Z4869" s="1"/>
      <c r="AA4869" s="1">
        <v>820000</v>
      </c>
      <c r="AB4869" s="1"/>
      <c r="AC4869" s="1" t="s">
        <v>36</v>
      </c>
      <c r="AD4869" s="1" t="s">
        <v>16614</v>
      </c>
      <c r="AE4869" s="1" t="s">
        <v>32</v>
      </c>
      <c r="AF4869" s="1" t="s">
        <v>33</v>
      </c>
      <c r="AG4869" s="1" t="s">
        <v>137</v>
      </c>
    </row>
    <row r="4870" spans="1:33">
      <c r="A4870" t="s">
        <v>16615</v>
      </c>
      <c r="B4870" t="s">
        <v>16616</v>
      </c>
      <c r="C4870" t="s">
        <v>26</v>
      </c>
      <c r="E4870" t="s">
        <v>16369</v>
      </c>
      <c r="F4870" t="s">
        <v>16370</v>
      </c>
      <c r="G4870">
        <v>10.5</v>
      </c>
      <c r="H4870">
        <v>10.5</v>
      </c>
      <c r="I4870" t="s">
        <v>29</v>
      </c>
      <c r="J4870" t="s">
        <v>30</v>
      </c>
      <c r="K4870" t="s">
        <v>31</v>
      </c>
      <c r="L4870" t="s">
        <v>32</v>
      </c>
      <c r="M4870" t="s">
        <v>33</v>
      </c>
      <c r="P4870" s="1" t="s">
        <v>16617</v>
      </c>
      <c r="Q4870" s="1" t="s">
        <v>16369</v>
      </c>
      <c r="R4870" s="1" t="s">
        <v>16369</v>
      </c>
      <c r="S4870" s="1"/>
      <c r="T4870" s="1" t="s">
        <v>26</v>
      </c>
      <c r="U4870" s="1"/>
      <c r="V4870" s="1">
        <v>10.5</v>
      </c>
      <c r="W4870" s="1">
        <v>10.5</v>
      </c>
      <c r="X4870" s="1" t="s">
        <v>35</v>
      </c>
      <c r="Y4870" s="1">
        <v>10500</v>
      </c>
      <c r="Z4870" s="1"/>
      <c r="AA4870" s="1">
        <v>10500</v>
      </c>
      <c r="AB4870" s="1"/>
      <c r="AC4870" s="1" t="s">
        <v>36</v>
      </c>
      <c r="AD4870" s="1" t="s">
        <v>16618</v>
      </c>
      <c r="AE4870" s="1" t="s">
        <v>32</v>
      </c>
      <c r="AF4870" s="1" t="s">
        <v>33</v>
      </c>
      <c r="AG4870" s="1" t="s">
        <v>30</v>
      </c>
    </row>
    <row r="4871" spans="1:33">
      <c r="A4871" t="s">
        <v>16619</v>
      </c>
      <c r="C4871" t="s">
        <v>2851</v>
      </c>
      <c r="E4871" t="s">
        <v>16369</v>
      </c>
      <c r="F4871" t="s">
        <v>16399</v>
      </c>
      <c r="G4871">
        <v>629.5</v>
      </c>
      <c r="H4871">
        <v>629.5</v>
      </c>
      <c r="I4871" t="s">
        <v>136</v>
      </c>
      <c r="J4871" t="s">
        <v>137</v>
      </c>
      <c r="K4871" t="s">
        <v>31</v>
      </c>
      <c r="L4871" t="s">
        <v>32</v>
      </c>
      <c r="M4871" t="s">
        <v>33</v>
      </c>
      <c r="P4871" s="1" t="s">
        <v>16620</v>
      </c>
      <c r="Q4871" s="1" t="s">
        <v>16369</v>
      </c>
      <c r="R4871" s="1" t="s">
        <v>16369</v>
      </c>
      <c r="S4871" s="1"/>
      <c r="T4871" s="1" t="s">
        <v>2853</v>
      </c>
      <c r="U4871" s="1" t="s">
        <v>2854</v>
      </c>
      <c r="V4871" s="1">
        <v>629.5</v>
      </c>
      <c r="W4871" s="1">
        <v>629.5</v>
      </c>
      <c r="X4871" s="1" t="s">
        <v>35</v>
      </c>
      <c r="Y4871" s="1">
        <v>629500</v>
      </c>
      <c r="Z4871" s="1"/>
      <c r="AA4871" s="1">
        <v>629500</v>
      </c>
      <c r="AB4871" s="1"/>
      <c r="AC4871" s="1" t="s">
        <v>36</v>
      </c>
      <c r="AD4871" s="1" t="s">
        <v>16621</v>
      </c>
      <c r="AE4871" s="1" t="s">
        <v>32</v>
      </c>
      <c r="AF4871" s="1" t="s">
        <v>33</v>
      </c>
      <c r="AG4871" s="1" t="s">
        <v>137</v>
      </c>
    </row>
    <row r="4872" spans="1:33">
      <c r="A4872" t="s">
        <v>16622</v>
      </c>
      <c r="C4872" t="s">
        <v>368</v>
      </c>
      <c r="E4872" t="s">
        <v>16369</v>
      </c>
      <c r="F4872" t="s">
        <v>16399</v>
      </c>
      <c r="G4872">
        <v>1.215</v>
      </c>
      <c r="H4872">
        <v>1.215</v>
      </c>
      <c r="I4872" t="s">
        <v>136</v>
      </c>
      <c r="J4872" t="s">
        <v>137</v>
      </c>
      <c r="K4872" t="s">
        <v>31</v>
      </c>
      <c r="L4872" t="s">
        <v>32</v>
      </c>
      <c r="M4872" t="s">
        <v>33</v>
      </c>
      <c r="P4872" s="1" t="s">
        <v>16623</v>
      </c>
      <c r="Q4872" s="1" t="s">
        <v>16369</v>
      </c>
      <c r="R4872" s="1" t="s">
        <v>16369</v>
      </c>
      <c r="S4872" s="1"/>
      <c r="T4872" s="1" t="s">
        <v>370</v>
      </c>
      <c r="U4872" s="1" t="s">
        <v>371</v>
      </c>
      <c r="V4872" s="1">
        <v>1.215</v>
      </c>
      <c r="W4872" s="1">
        <v>1.215</v>
      </c>
      <c r="X4872" s="1" t="s">
        <v>35</v>
      </c>
      <c r="Y4872" s="1">
        <v>1215000</v>
      </c>
      <c r="Z4872" s="1"/>
      <c r="AA4872" s="1">
        <v>1215000</v>
      </c>
      <c r="AB4872" s="1"/>
      <c r="AC4872" s="1" t="s">
        <v>36</v>
      </c>
      <c r="AD4872" s="1" t="s">
        <v>16624</v>
      </c>
      <c r="AE4872" s="1" t="s">
        <v>32</v>
      </c>
      <c r="AF4872" s="1" t="s">
        <v>33</v>
      </c>
      <c r="AG4872" s="1" t="s">
        <v>137</v>
      </c>
    </row>
    <row r="4873" spans="1:33">
      <c r="A4873" t="s">
        <v>16625</v>
      </c>
      <c r="C4873" t="s">
        <v>879</v>
      </c>
      <c r="E4873" t="s">
        <v>16369</v>
      </c>
      <c r="F4873" t="s">
        <v>16399</v>
      </c>
      <c r="G4873">
        <v>926.2</v>
      </c>
      <c r="H4873">
        <v>926.2</v>
      </c>
      <c r="I4873" t="s">
        <v>136</v>
      </c>
      <c r="J4873" t="s">
        <v>137</v>
      </c>
      <c r="K4873" t="s">
        <v>31</v>
      </c>
      <c r="L4873" t="s">
        <v>32</v>
      </c>
      <c r="M4873" t="s">
        <v>33</v>
      </c>
      <c r="P4873" s="1" t="s">
        <v>16626</v>
      </c>
      <c r="Q4873" s="1" t="s">
        <v>16369</v>
      </c>
      <c r="R4873" s="1" t="s">
        <v>16369</v>
      </c>
      <c r="S4873" s="1"/>
      <c r="T4873" s="1" t="s">
        <v>879</v>
      </c>
      <c r="U4873" s="1"/>
      <c r="V4873" s="1">
        <v>926.2</v>
      </c>
      <c r="W4873" s="1">
        <v>926.2</v>
      </c>
      <c r="X4873" s="1" t="s">
        <v>35</v>
      </c>
      <c r="Y4873" s="1">
        <v>926200</v>
      </c>
      <c r="Z4873" s="1"/>
      <c r="AA4873" s="1">
        <v>926200</v>
      </c>
      <c r="AB4873" s="1"/>
      <c r="AC4873" s="1" t="s">
        <v>36</v>
      </c>
      <c r="AD4873" s="1" t="s">
        <v>16602</v>
      </c>
      <c r="AE4873" s="1" t="s">
        <v>32</v>
      </c>
      <c r="AF4873" s="1" t="s">
        <v>33</v>
      </c>
      <c r="AG4873" s="1" t="s">
        <v>137</v>
      </c>
    </row>
    <row r="4874" spans="1:33">
      <c r="A4874" t="s">
        <v>16627</v>
      </c>
      <c r="C4874" t="s">
        <v>2101</v>
      </c>
      <c r="E4874" t="s">
        <v>16369</v>
      </c>
      <c r="F4874" t="s">
        <v>16399</v>
      </c>
      <c r="G4874">
        <v>328.0</v>
      </c>
      <c r="H4874">
        <v>328.0</v>
      </c>
      <c r="I4874" t="s">
        <v>136</v>
      </c>
      <c r="J4874" t="s">
        <v>137</v>
      </c>
      <c r="K4874" t="s">
        <v>31</v>
      </c>
      <c r="L4874" t="s">
        <v>32</v>
      </c>
      <c r="M4874" t="s">
        <v>33</v>
      </c>
      <c r="P4874" s="1" t="s">
        <v>16628</v>
      </c>
      <c r="Q4874" s="1" t="s">
        <v>16369</v>
      </c>
      <c r="R4874" s="1" t="s">
        <v>16369</v>
      </c>
      <c r="S4874" s="1"/>
      <c r="T4874" s="1" t="s">
        <v>2103</v>
      </c>
      <c r="U4874" s="1" t="s">
        <v>2104</v>
      </c>
      <c r="V4874" s="1">
        <v>328.0</v>
      </c>
      <c r="W4874" s="1">
        <v>328.0</v>
      </c>
      <c r="X4874" s="1" t="s">
        <v>35</v>
      </c>
      <c r="Y4874" s="1">
        <v>328000</v>
      </c>
      <c r="Z4874" s="1"/>
      <c r="AA4874" s="1">
        <v>328000</v>
      </c>
      <c r="AB4874" s="1"/>
      <c r="AC4874" s="1" t="s">
        <v>36</v>
      </c>
      <c r="AD4874" s="1" t="s">
        <v>16629</v>
      </c>
      <c r="AE4874" s="1" t="s">
        <v>32</v>
      </c>
      <c r="AF4874" s="1" t="s">
        <v>33</v>
      </c>
      <c r="AG4874" s="1" t="s">
        <v>137</v>
      </c>
    </row>
    <row r="4875" spans="1:33">
      <c r="A4875" t="s">
        <v>16630</v>
      </c>
      <c r="B4875" t="s">
        <v>16631</v>
      </c>
      <c r="C4875" t="s">
        <v>12244</v>
      </c>
      <c r="E4875" t="s">
        <v>16369</v>
      </c>
      <c r="F4875" t="s">
        <v>16399</v>
      </c>
      <c r="G4875">
        <v>328.0</v>
      </c>
      <c r="H4875">
        <v>328.0</v>
      </c>
      <c r="I4875" t="s">
        <v>136</v>
      </c>
      <c r="J4875" t="s">
        <v>137</v>
      </c>
      <c r="K4875" t="s">
        <v>31</v>
      </c>
      <c r="L4875" t="s">
        <v>32</v>
      </c>
      <c r="M4875" t="s">
        <v>33</v>
      </c>
      <c r="P4875" s="1" t="s">
        <v>16632</v>
      </c>
      <c r="Q4875" s="1" t="s">
        <v>16369</v>
      </c>
      <c r="R4875" s="1" t="s">
        <v>16369</v>
      </c>
      <c r="S4875" s="1"/>
      <c r="T4875" s="1" t="s">
        <v>12244</v>
      </c>
      <c r="U4875" s="1"/>
      <c r="V4875" s="1">
        <v>328.0</v>
      </c>
      <c r="W4875" s="1">
        <v>328.0</v>
      </c>
      <c r="X4875" s="1" t="s">
        <v>35</v>
      </c>
      <c r="Y4875" s="1">
        <v>328000</v>
      </c>
      <c r="Z4875" s="1"/>
      <c r="AA4875" s="1">
        <v>328000</v>
      </c>
      <c r="AB4875" s="1"/>
      <c r="AC4875" s="1" t="s">
        <v>36</v>
      </c>
      <c r="AD4875" s="1" t="s">
        <v>16633</v>
      </c>
      <c r="AE4875" s="1" t="s">
        <v>32</v>
      </c>
      <c r="AF4875" s="1" t="s">
        <v>33</v>
      </c>
      <c r="AG4875" s="1" t="s">
        <v>137</v>
      </c>
    </row>
    <row r="4876" spans="1:33">
      <c r="A4876" t="s">
        <v>16634</v>
      </c>
      <c r="B4876" t="s">
        <v>9171</v>
      </c>
      <c r="C4876" t="s">
        <v>125</v>
      </c>
      <c r="E4876" t="s">
        <v>16369</v>
      </c>
      <c r="F4876" t="s">
        <v>16370</v>
      </c>
      <c r="G4876">
        <v>64.98</v>
      </c>
      <c r="H4876">
        <v>64.98</v>
      </c>
      <c r="I4876" t="s">
        <v>126</v>
      </c>
      <c r="J4876" t="s">
        <v>127</v>
      </c>
      <c r="K4876" t="s">
        <v>31</v>
      </c>
      <c r="L4876" t="s">
        <v>32</v>
      </c>
      <c r="M4876" t="s">
        <v>33</v>
      </c>
      <c r="P4876" s="1" t="s">
        <v>16635</v>
      </c>
      <c r="Q4876" s="1" t="s">
        <v>16369</v>
      </c>
      <c r="R4876" s="1" t="s">
        <v>16369</v>
      </c>
      <c r="S4876" s="1"/>
      <c r="T4876" s="1" t="s">
        <v>125</v>
      </c>
      <c r="U4876" s="1"/>
      <c r="V4876" s="1">
        <v>64.98</v>
      </c>
      <c r="W4876" s="1">
        <v>64.98</v>
      </c>
      <c r="X4876" s="1" t="s">
        <v>35</v>
      </c>
      <c r="Y4876" s="1">
        <v>64980</v>
      </c>
      <c r="Z4876" s="1"/>
      <c r="AA4876" s="1">
        <v>64980</v>
      </c>
      <c r="AB4876" s="1"/>
      <c r="AC4876" s="1" t="s">
        <v>36</v>
      </c>
      <c r="AD4876" s="1" t="s">
        <v>16636</v>
      </c>
      <c r="AE4876" s="1" t="s">
        <v>32</v>
      </c>
      <c r="AF4876" s="1" t="s">
        <v>33</v>
      </c>
      <c r="AG4876" s="1" t="s">
        <v>127</v>
      </c>
    </row>
    <row r="4877" spans="1:33">
      <c r="A4877" t="s">
        <v>16637</v>
      </c>
      <c r="B4877" t="s">
        <v>7306</v>
      </c>
      <c r="C4877" t="s">
        <v>125</v>
      </c>
      <c r="E4877" t="s">
        <v>16369</v>
      </c>
      <c r="F4877" t="s">
        <v>16370</v>
      </c>
      <c r="G4877">
        <v>5.978</v>
      </c>
      <c r="H4877">
        <v>5.978</v>
      </c>
      <c r="I4877" t="s">
        <v>126</v>
      </c>
      <c r="J4877" t="s">
        <v>127</v>
      </c>
      <c r="K4877" t="s">
        <v>31</v>
      </c>
      <c r="L4877" t="s">
        <v>32</v>
      </c>
      <c r="M4877" t="s">
        <v>33</v>
      </c>
      <c r="P4877" s="1" t="s">
        <v>16638</v>
      </c>
      <c r="Q4877" s="1" t="s">
        <v>16369</v>
      </c>
      <c r="R4877" s="1" t="s">
        <v>16369</v>
      </c>
      <c r="S4877" s="1"/>
      <c r="T4877" s="1" t="s">
        <v>125</v>
      </c>
      <c r="U4877" s="1"/>
      <c r="V4877" s="1">
        <v>5.978</v>
      </c>
      <c r="W4877" s="1">
        <v>5.978</v>
      </c>
      <c r="X4877" s="1" t="s">
        <v>35</v>
      </c>
      <c r="Y4877" s="1">
        <v>5978</v>
      </c>
      <c r="Z4877" s="1"/>
      <c r="AA4877" s="1">
        <v>5978</v>
      </c>
      <c r="AB4877" s="1"/>
      <c r="AC4877" s="1" t="s">
        <v>36</v>
      </c>
      <c r="AD4877" s="1" t="s">
        <v>16639</v>
      </c>
      <c r="AE4877" s="1" t="s">
        <v>32</v>
      </c>
      <c r="AF4877" s="1" t="s">
        <v>33</v>
      </c>
      <c r="AG4877" s="1" t="s">
        <v>127</v>
      </c>
    </row>
    <row r="4878" spans="1:33">
      <c r="A4878" t="s">
        <v>16640</v>
      </c>
      <c r="C4878" t="s">
        <v>2804</v>
      </c>
      <c r="E4878" t="s">
        <v>16369</v>
      </c>
      <c r="F4878" t="s">
        <v>16370</v>
      </c>
      <c r="G4878">
        <v>520.95</v>
      </c>
      <c r="H4878">
        <v>520.95</v>
      </c>
      <c r="I4878" t="s">
        <v>136</v>
      </c>
      <c r="J4878" t="s">
        <v>137</v>
      </c>
      <c r="K4878" t="s">
        <v>31</v>
      </c>
      <c r="L4878" t="s">
        <v>32</v>
      </c>
      <c r="M4878" t="s">
        <v>33</v>
      </c>
      <c r="P4878" s="1" t="s">
        <v>16641</v>
      </c>
      <c r="Q4878" s="1" t="s">
        <v>16369</v>
      </c>
      <c r="R4878" s="1" t="s">
        <v>16369</v>
      </c>
      <c r="S4878" s="1"/>
      <c r="T4878" s="1" t="s">
        <v>2804</v>
      </c>
      <c r="U4878" s="1"/>
      <c r="V4878" s="1">
        <v>520.95</v>
      </c>
      <c r="W4878" s="1">
        <v>520.95</v>
      </c>
      <c r="X4878" s="1" t="s">
        <v>35</v>
      </c>
      <c r="Y4878" s="1">
        <v>520950</v>
      </c>
      <c r="Z4878" s="1"/>
      <c r="AA4878" s="1">
        <v>520950</v>
      </c>
      <c r="AB4878" s="1"/>
      <c r="AC4878" s="1" t="s">
        <v>36</v>
      </c>
      <c r="AD4878" s="1" t="s">
        <v>16642</v>
      </c>
      <c r="AE4878" s="1" t="s">
        <v>32</v>
      </c>
      <c r="AF4878" s="1" t="s">
        <v>33</v>
      </c>
      <c r="AG4878" s="1" t="s">
        <v>137</v>
      </c>
    </row>
    <row r="4879" spans="1:33">
      <c r="A4879" t="s">
        <v>16643</v>
      </c>
      <c r="C4879" t="s">
        <v>2525</v>
      </c>
      <c r="E4879" t="s">
        <v>16369</v>
      </c>
      <c r="F4879" t="s">
        <v>16370</v>
      </c>
      <c r="G4879">
        <v>656.0</v>
      </c>
      <c r="H4879">
        <v>656.0</v>
      </c>
      <c r="I4879" t="s">
        <v>269</v>
      </c>
      <c r="J4879" t="s">
        <v>270</v>
      </c>
      <c r="K4879" t="s">
        <v>31</v>
      </c>
      <c r="L4879" t="s">
        <v>32</v>
      </c>
      <c r="M4879" t="s">
        <v>33</v>
      </c>
      <c r="P4879" s="1" t="s">
        <v>16644</v>
      </c>
      <c r="Q4879" s="1" t="s">
        <v>16369</v>
      </c>
      <c r="R4879" s="1" t="s">
        <v>16369</v>
      </c>
      <c r="S4879" s="1"/>
      <c r="T4879" s="1" t="s">
        <v>2525</v>
      </c>
      <c r="U4879" s="1"/>
      <c r="V4879" s="1">
        <v>656.0</v>
      </c>
      <c r="W4879" s="1">
        <v>656.0</v>
      </c>
      <c r="X4879" s="1" t="s">
        <v>35</v>
      </c>
      <c r="Y4879" s="1">
        <v>656000</v>
      </c>
      <c r="Z4879" s="1"/>
      <c r="AA4879" s="1">
        <v>656000</v>
      </c>
      <c r="AB4879" s="1"/>
      <c r="AC4879" s="1" t="s">
        <v>36</v>
      </c>
      <c r="AD4879" s="1" t="s">
        <v>16645</v>
      </c>
      <c r="AE4879" s="1" t="s">
        <v>32</v>
      </c>
      <c r="AF4879" s="1" t="s">
        <v>33</v>
      </c>
      <c r="AG4879" s="1" t="s">
        <v>270</v>
      </c>
    </row>
    <row r="4880" spans="1:33">
      <c r="A4880" t="s">
        <v>16646</v>
      </c>
      <c r="C4880" t="s">
        <v>2804</v>
      </c>
      <c r="E4880" t="s">
        <v>16369</v>
      </c>
      <c r="F4880" t="s">
        <v>16399</v>
      </c>
      <c r="G4880">
        <v>508.0</v>
      </c>
      <c r="H4880">
        <v>508.0</v>
      </c>
      <c r="I4880" t="s">
        <v>136</v>
      </c>
      <c r="J4880" t="s">
        <v>137</v>
      </c>
      <c r="K4880" t="s">
        <v>31</v>
      </c>
      <c r="L4880" t="s">
        <v>32</v>
      </c>
      <c r="M4880" t="s">
        <v>33</v>
      </c>
      <c r="P4880" s="1" t="s">
        <v>16647</v>
      </c>
      <c r="Q4880" s="1" t="s">
        <v>16369</v>
      </c>
      <c r="R4880" s="1" t="s">
        <v>16369</v>
      </c>
      <c r="S4880" s="1"/>
      <c r="T4880" s="1" t="s">
        <v>2804</v>
      </c>
      <c r="U4880" s="1"/>
      <c r="V4880" s="1">
        <v>508.0</v>
      </c>
      <c r="W4880" s="1">
        <v>508.0</v>
      </c>
      <c r="X4880" s="1" t="s">
        <v>35</v>
      </c>
      <c r="Y4880" s="1">
        <v>508000</v>
      </c>
      <c r="Z4880" s="1"/>
      <c r="AA4880" s="1">
        <v>508000</v>
      </c>
      <c r="AB4880" s="1"/>
      <c r="AC4880" s="1" t="s">
        <v>36</v>
      </c>
      <c r="AD4880" s="1" t="s">
        <v>16636</v>
      </c>
      <c r="AE4880" s="1" t="s">
        <v>32</v>
      </c>
      <c r="AF4880" s="1" t="s">
        <v>33</v>
      </c>
      <c r="AG4880" s="1" t="s">
        <v>137</v>
      </c>
    </row>
    <row r="4881" spans="1:33">
      <c r="A4881" t="s">
        <v>16648</v>
      </c>
      <c r="C4881" t="s">
        <v>654</v>
      </c>
      <c r="E4881" t="s">
        <v>16369</v>
      </c>
      <c r="F4881" t="s">
        <v>16370</v>
      </c>
      <c r="G4881">
        <v>328.0</v>
      </c>
      <c r="H4881">
        <v>328.0</v>
      </c>
      <c r="I4881" t="s">
        <v>269</v>
      </c>
      <c r="J4881" t="s">
        <v>270</v>
      </c>
      <c r="K4881" t="s">
        <v>31</v>
      </c>
      <c r="L4881" t="s">
        <v>32</v>
      </c>
      <c r="M4881" t="s">
        <v>33</v>
      </c>
      <c r="P4881" s="1" t="s">
        <v>16649</v>
      </c>
      <c r="Q4881" s="1" t="s">
        <v>16369</v>
      </c>
      <c r="R4881" s="1" t="s">
        <v>16369</v>
      </c>
      <c r="S4881" s="1"/>
      <c r="T4881" s="1" t="s">
        <v>656</v>
      </c>
      <c r="U4881" s="1" t="s">
        <v>657</v>
      </c>
      <c r="V4881" s="1">
        <v>328.0</v>
      </c>
      <c r="W4881" s="1">
        <v>328.0</v>
      </c>
      <c r="X4881" s="1" t="s">
        <v>35</v>
      </c>
      <c r="Y4881" s="1">
        <v>328000</v>
      </c>
      <c r="Z4881" s="1"/>
      <c r="AA4881" s="1">
        <v>328000</v>
      </c>
      <c r="AB4881" s="1"/>
      <c r="AC4881" s="1" t="s">
        <v>36</v>
      </c>
      <c r="AD4881" s="1" t="s">
        <v>16650</v>
      </c>
      <c r="AE4881" s="1" t="s">
        <v>32</v>
      </c>
      <c r="AF4881" s="1" t="s">
        <v>33</v>
      </c>
      <c r="AG4881" s="1" t="s">
        <v>270</v>
      </c>
    </row>
    <row r="4882" spans="1:33">
      <c r="A4882" t="s">
        <v>16651</v>
      </c>
      <c r="C4882" t="s">
        <v>797</v>
      </c>
      <c r="D4882" t="s">
        <v>798</v>
      </c>
      <c r="E4882" t="s">
        <v>16369</v>
      </c>
      <c r="F4882" t="s">
        <v>16399</v>
      </c>
      <c r="G4882">
        <v>1.394</v>
      </c>
      <c r="H4882">
        <v>1.394</v>
      </c>
      <c r="I4882" t="s">
        <v>136</v>
      </c>
      <c r="J4882" t="s">
        <v>137</v>
      </c>
      <c r="K4882" t="s">
        <v>31</v>
      </c>
      <c r="L4882" t="s">
        <v>32</v>
      </c>
      <c r="M4882" t="s">
        <v>33</v>
      </c>
      <c r="P4882" s="1" t="s">
        <v>16652</v>
      </c>
      <c r="Q4882" s="1" t="s">
        <v>16369</v>
      </c>
      <c r="R4882" s="1" t="s">
        <v>16369</v>
      </c>
      <c r="S4882" s="1"/>
      <c r="T4882" s="1" t="s">
        <v>797</v>
      </c>
      <c r="U4882" s="1"/>
      <c r="V4882" s="1">
        <v>1.394</v>
      </c>
      <c r="W4882" s="1">
        <v>1.394</v>
      </c>
      <c r="X4882" s="1" t="s">
        <v>35</v>
      </c>
      <c r="Y4882" s="1">
        <v>1394000</v>
      </c>
      <c r="Z4882" s="1"/>
      <c r="AA4882" s="1">
        <v>1394000</v>
      </c>
      <c r="AB4882" s="1"/>
      <c r="AC4882" s="1" t="s">
        <v>36</v>
      </c>
      <c r="AD4882" s="1" t="s">
        <v>16645</v>
      </c>
      <c r="AE4882" s="1" t="s">
        <v>32</v>
      </c>
      <c r="AF4882" s="1" t="s">
        <v>33</v>
      </c>
      <c r="AG4882" s="1" t="s">
        <v>137</v>
      </c>
    </row>
    <row r="4883" spans="1:33">
      <c r="A4883" t="s">
        <v>16653</v>
      </c>
      <c r="C4883" t="s">
        <v>4610</v>
      </c>
      <c r="E4883" t="s">
        <v>16369</v>
      </c>
      <c r="F4883" t="s">
        <v>16370</v>
      </c>
      <c r="G4883">
        <v>630.0</v>
      </c>
      <c r="H4883">
        <v>630.0</v>
      </c>
      <c r="I4883" t="s">
        <v>126</v>
      </c>
      <c r="J4883" t="s">
        <v>127</v>
      </c>
      <c r="K4883" t="s">
        <v>31</v>
      </c>
      <c r="L4883" t="s">
        <v>32</v>
      </c>
      <c r="M4883" t="s">
        <v>33</v>
      </c>
      <c r="P4883" s="1" t="s">
        <v>16654</v>
      </c>
      <c r="Q4883" s="1" t="s">
        <v>16369</v>
      </c>
      <c r="R4883" s="1" t="s">
        <v>16369</v>
      </c>
      <c r="S4883" s="1"/>
      <c r="T4883" s="1" t="s">
        <v>4612</v>
      </c>
      <c r="U4883" s="1" t="s">
        <v>4613</v>
      </c>
      <c r="V4883" s="1">
        <v>630.0</v>
      </c>
      <c r="W4883" s="1">
        <v>630.0</v>
      </c>
      <c r="X4883" s="1" t="s">
        <v>35</v>
      </c>
      <c r="Y4883" s="1">
        <v>630000</v>
      </c>
      <c r="Z4883" s="1"/>
      <c r="AA4883" s="1">
        <v>630000</v>
      </c>
      <c r="AB4883" s="1"/>
      <c r="AC4883" s="1" t="s">
        <v>36</v>
      </c>
      <c r="AD4883" s="1" t="s">
        <v>16655</v>
      </c>
      <c r="AE4883" s="1" t="s">
        <v>32</v>
      </c>
      <c r="AF4883" s="1" t="s">
        <v>33</v>
      </c>
      <c r="AG4883" s="1" t="s">
        <v>127</v>
      </c>
    </row>
    <row r="4884" spans="1:33">
      <c r="A4884" t="s">
        <v>16656</v>
      </c>
      <c r="C4884" t="s">
        <v>7605</v>
      </c>
      <c r="E4884" t="s">
        <v>16369</v>
      </c>
      <c r="F4884" t="s">
        <v>16399</v>
      </c>
      <c r="G4884">
        <v>2.296</v>
      </c>
      <c r="H4884">
        <v>2.296</v>
      </c>
      <c r="I4884" t="s">
        <v>136</v>
      </c>
      <c r="J4884" t="s">
        <v>137</v>
      </c>
      <c r="K4884" t="s">
        <v>31</v>
      </c>
      <c r="L4884" t="s">
        <v>32</v>
      </c>
      <c r="M4884" t="s">
        <v>33</v>
      </c>
      <c r="P4884" s="1" t="s">
        <v>16657</v>
      </c>
      <c r="Q4884" s="1" t="s">
        <v>16369</v>
      </c>
      <c r="R4884" s="1" t="s">
        <v>16369</v>
      </c>
      <c r="S4884" s="1"/>
      <c r="T4884" s="1" t="s">
        <v>7605</v>
      </c>
      <c r="U4884" s="1"/>
      <c r="V4884" s="1">
        <v>2.296</v>
      </c>
      <c r="W4884" s="1">
        <v>2.296</v>
      </c>
      <c r="X4884" s="1" t="s">
        <v>35</v>
      </c>
      <c r="Y4884" s="1">
        <v>2296000</v>
      </c>
      <c r="Z4884" s="1"/>
      <c r="AA4884" s="1">
        <v>2296000</v>
      </c>
      <c r="AB4884" s="1"/>
      <c r="AC4884" s="1" t="s">
        <v>36</v>
      </c>
      <c r="AD4884" s="1" t="s">
        <v>16658</v>
      </c>
      <c r="AE4884" s="1" t="s">
        <v>32</v>
      </c>
      <c r="AF4884" s="1" t="s">
        <v>33</v>
      </c>
      <c r="AG4884" s="1" t="s">
        <v>137</v>
      </c>
    </row>
    <row r="4885" spans="1:33">
      <c r="A4885" t="s">
        <v>16659</v>
      </c>
      <c r="C4885" t="s">
        <v>3196</v>
      </c>
      <c r="E4885" t="s">
        <v>16369</v>
      </c>
      <c r="F4885" t="s">
        <v>16370</v>
      </c>
      <c r="G4885">
        <v>326.0</v>
      </c>
      <c r="H4885">
        <v>326.0</v>
      </c>
      <c r="I4885" t="s">
        <v>847</v>
      </c>
      <c r="J4885" t="s">
        <v>848</v>
      </c>
      <c r="K4885" t="s">
        <v>31</v>
      </c>
      <c r="L4885" t="s">
        <v>32</v>
      </c>
      <c r="M4885" t="s">
        <v>33</v>
      </c>
      <c r="P4885" s="1" t="s">
        <v>16660</v>
      </c>
      <c r="Q4885" s="1" t="s">
        <v>16369</v>
      </c>
      <c r="R4885" s="1" t="s">
        <v>16369</v>
      </c>
      <c r="S4885" s="1"/>
      <c r="T4885" s="1" t="s">
        <v>3196</v>
      </c>
      <c r="U4885" s="1"/>
      <c r="V4885" s="1">
        <v>326.0</v>
      </c>
      <c r="W4885" s="1">
        <v>326.0</v>
      </c>
      <c r="X4885" s="1" t="s">
        <v>35</v>
      </c>
      <c r="Y4885" s="1">
        <v>326000</v>
      </c>
      <c r="Z4885" s="1"/>
      <c r="AA4885" s="1">
        <v>326000</v>
      </c>
      <c r="AB4885" s="1"/>
      <c r="AC4885" s="1" t="s">
        <v>36</v>
      </c>
      <c r="AD4885" s="1" t="s">
        <v>16655</v>
      </c>
      <c r="AE4885" s="1" t="s">
        <v>32</v>
      </c>
      <c r="AF4885" s="1" t="s">
        <v>33</v>
      </c>
      <c r="AG4885" s="1" t="s">
        <v>848</v>
      </c>
    </row>
    <row r="4886" spans="1:33">
      <c r="A4886" t="s">
        <v>16661</v>
      </c>
      <c r="C4886" t="s">
        <v>4857</v>
      </c>
      <c r="E4886" t="s">
        <v>16369</v>
      </c>
      <c r="F4886" t="s">
        <v>16370</v>
      </c>
      <c r="G4886">
        <v>320.0</v>
      </c>
      <c r="H4886">
        <v>320.0</v>
      </c>
      <c r="I4886" t="s">
        <v>126</v>
      </c>
      <c r="J4886" t="s">
        <v>127</v>
      </c>
      <c r="K4886" t="s">
        <v>31</v>
      </c>
      <c r="L4886" t="s">
        <v>32</v>
      </c>
      <c r="M4886" t="s">
        <v>33</v>
      </c>
      <c r="P4886" s="1" t="s">
        <v>16662</v>
      </c>
      <c r="Q4886" s="1" t="s">
        <v>16369</v>
      </c>
      <c r="R4886" s="1" t="s">
        <v>16369</v>
      </c>
      <c r="S4886" s="1"/>
      <c r="T4886" s="1" t="s">
        <v>4857</v>
      </c>
      <c r="U4886" s="1"/>
      <c r="V4886" s="1">
        <v>320.0</v>
      </c>
      <c r="W4886" s="1">
        <v>320.0</v>
      </c>
      <c r="X4886" s="1" t="s">
        <v>35</v>
      </c>
      <c r="Y4886" s="1">
        <v>320000</v>
      </c>
      <c r="Z4886" s="1"/>
      <c r="AA4886" s="1">
        <v>320000</v>
      </c>
      <c r="AB4886" s="1"/>
      <c r="AC4886" s="1" t="s">
        <v>36</v>
      </c>
      <c r="AD4886" s="1" t="s">
        <v>16663</v>
      </c>
      <c r="AE4886" s="1" t="s">
        <v>32</v>
      </c>
      <c r="AF4886" s="1" t="s">
        <v>33</v>
      </c>
      <c r="AG4886" s="1" t="s">
        <v>127</v>
      </c>
    </row>
    <row r="4887" spans="1:33">
      <c r="A4887" t="s">
        <v>16664</v>
      </c>
      <c r="B4887" t="s">
        <v>10545</v>
      </c>
      <c r="C4887" t="s">
        <v>8297</v>
      </c>
      <c r="E4887" t="s">
        <v>16369</v>
      </c>
      <c r="F4887" t="s">
        <v>16370</v>
      </c>
      <c r="G4887">
        <v>392.2</v>
      </c>
      <c r="H4887">
        <v>392.2</v>
      </c>
      <c r="I4887" t="s">
        <v>136</v>
      </c>
      <c r="J4887" t="s">
        <v>137</v>
      </c>
      <c r="K4887" t="s">
        <v>31</v>
      </c>
      <c r="L4887" t="s">
        <v>32</v>
      </c>
      <c r="M4887" t="s">
        <v>33</v>
      </c>
      <c r="P4887" s="1" t="s">
        <v>16665</v>
      </c>
      <c r="Q4887" s="1" t="s">
        <v>16369</v>
      </c>
      <c r="R4887" s="1" t="s">
        <v>16369</v>
      </c>
      <c r="S4887" s="1"/>
      <c r="T4887" s="1" t="s">
        <v>8299</v>
      </c>
      <c r="U4887" s="1" t="s">
        <v>8300</v>
      </c>
      <c r="V4887" s="1">
        <v>392.2</v>
      </c>
      <c r="W4887" s="1">
        <v>392.2</v>
      </c>
      <c r="X4887" s="1" t="s">
        <v>35</v>
      </c>
      <c r="Y4887" s="1">
        <v>392200</v>
      </c>
      <c r="Z4887" s="1"/>
      <c r="AA4887" s="1">
        <v>392200</v>
      </c>
      <c r="AB4887" s="1"/>
      <c r="AC4887" s="1" t="s">
        <v>36</v>
      </c>
      <c r="AD4887" s="1" t="s">
        <v>16666</v>
      </c>
      <c r="AE4887" s="1" t="s">
        <v>32</v>
      </c>
      <c r="AF4887" s="1" t="s">
        <v>33</v>
      </c>
      <c r="AG4887" s="1" t="s">
        <v>137</v>
      </c>
    </row>
    <row r="4888" spans="1:33">
      <c r="A4888" t="s">
        <v>16667</v>
      </c>
      <c r="C4888" t="s">
        <v>16668</v>
      </c>
      <c r="E4888" t="s">
        <v>16369</v>
      </c>
      <c r="F4888" t="s">
        <v>16370</v>
      </c>
      <c r="G4888">
        <v>11.48</v>
      </c>
      <c r="H4888">
        <v>11.48</v>
      </c>
      <c r="I4888" t="s">
        <v>269</v>
      </c>
      <c r="J4888" t="s">
        <v>270</v>
      </c>
      <c r="K4888" t="s">
        <v>31</v>
      </c>
      <c r="L4888" t="s">
        <v>32</v>
      </c>
      <c r="M4888" t="s">
        <v>33</v>
      </c>
      <c r="P4888" s="1" t="s">
        <v>16669</v>
      </c>
      <c r="Q4888" s="1" t="s">
        <v>16369</v>
      </c>
      <c r="R4888" s="1" t="s">
        <v>16369</v>
      </c>
      <c r="S4888" s="1"/>
      <c r="T4888" s="1" t="s">
        <v>16670</v>
      </c>
      <c r="U4888" s="1" t="s">
        <v>16671</v>
      </c>
      <c r="V4888" s="1">
        <v>11.48</v>
      </c>
      <c r="W4888" s="1">
        <v>11.48</v>
      </c>
      <c r="X4888" s="1" t="s">
        <v>35</v>
      </c>
      <c r="Y4888" s="1">
        <v>11480000</v>
      </c>
      <c r="Z4888" s="1"/>
      <c r="AA4888" s="1">
        <v>11480000</v>
      </c>
      <c r="AB4888" s="1"/>
      <c r="AC4888" s="1" t="s">
        <v>36</v>
      </c>
      <c r="AD4888" s="1" t="s">
        <v>16672</v>
      </c>
      <c r="AE4888" s="1" t="s">
        <v>32</v>
      </c>
      <c r="AF4888" s="1" t="s">
        <v>33</v>
      </c>
      <c r="AG4888" s="1" t="s">
        <v>270</v>
      </c>
    </row>
    <row r="4889" spans="1:33">
      <c r="A4889" t="s">
        <v>16673</v>
      </c>
      <c r="C4889" t="s">
        <v>10704</v>
      </c>
      <c r="D4889" t="s">
        <v>154</v>
      </c>
      <c r="E4889" t="s">
        <v>16369</v>
      </c>
      <c r="F4889" t="s">
        <v>16370</v>
      </c>
      <c r="G4889">
        <v>403.2</v>
      </c>
      <c r="H4889">
        <v>403.2</v>
      </c>
      <c r="I4889" t="s">
        <v>2206</v>
      </c>
      <c r="J4889" t="s">
        <v>49</v>
      </c>
      <c r="K4889" t="s">
        <v>31</v>
      </c>
      <c r="L4889" t="s">
        <v>32</v>
      </c>
      <c r="M4889" t="s">
        <v>33</v>
      </c>
      <c r="P4889" s="1" t="s">
        <v>16674</v>
      </c>
      <c r="Q4889" s="1" t="s">
        <v>16369</v>
      </c>
      <c r="R4889" s="1" t="s">
        <v>16369</v>
      </c>
      <c r="S4889" s="1"/>
      <c r="T4889" s="1" t="s">
        <v>10706</v>
      </c>
      <c r="U4889" s="1" t="s">
        <v>10707</v>
      </c>
      <c r="V4889" s="1">
        <v>403.2</v>
      </c>
      <c r="W4889" s="1">
        <v>403.2</v>
      </c>
      <c r="X4889" s="1" t="s">
        <v>35</v>
      </c>
      <c r="Y4889" s="1">
        <v>403200</v>
      </c>
      <c r="Z4889" s="1"/>
      <c r="AA4889" s="1">
        <v>403200</v>
      </c>
      <c r="AB4889" s="1"/>
      <c r="AC4889" s="1" t="s">
        <v>36</v>
      </c>
      <c r="AD4889" s="1" t="s">
        <v>16675</v>
      </c>
      <c r="AE4889" s="1" t="s">
        <v>32</v>
      </c>
      <c r="AF4889" s="1" t="s">
        <v>33</v>
      </c>
      <c r="AG4889" s="1" t="s">
        <v>49</v>
      </c>
    </row>
    <row r="4890" spans="1:33">
      <c r="A4890" t="s">
        <v>16676</v>
      </c>
      <c r="C4890" t="s">
        <v>2197</v>
      </c>
      <c r="E4890" t="s">
        <v>16369</v>
      </c>
      <c r="F4890" t="s">
        <v>16370</v>
      </c>
      <c r="G4890">
        <v>640.0</v>
      </c>
      <c r="H4890">
        <v>640.0</v>
      </c>
      <c r="I4890" t="s">
        <v>570</v>
      </c>
      <c r="J4890" t="s">
        <v>571</v>
      </c>
      <c r="K4890" t="s">
        <v>31</v>
      </c>
      <c r="L4890" t="s">
        <v>32</v>
      </c>
      <c r="M4890" t="s">
        <v>33</v>
      </c>
      <c r="P4890" s="1" t="s">
        <v>16677</v>
      </c>
      <c r="Q4890" s="1" t="s">
        <v>16369</v>
      </c>
      <c r="R4890" s="1" t="s">
        <v>16369</v>
      </c>
      <c r="S4890" s="1"/>
      <c r="T4890" s="1" t="s">
        <v>2197</v>
      </c>
      <c r="U4890" s="1"/>
      <c r="V4890" s="1">
        <v>640.0</v>
      </c>
      <c r="W4890" s="1">
        <v>640.0</v>
      </c>
      <c r="X4890" s="1" t="s">
        <v>35</v>
      </c>
      <c r="Y4890" s="1">
        <v>640000</v>
      </c>
      <c r="Z4890" s="1"/>
      <c r="AA4890" s="1">
        <v>640000</v>
      </c>
      <c r="AB4890" s="1"/>
      <c r="AC4890" s="1" t="s">
        <v>36</v>
      </c>
      <c r="AD4890" s="1" t="s">
        <v>16678</v>
      </c>
      <c r="AE4890" s="1" t="s">
        <v>32</v>
      </c>
      <c r="AF4890" s="1" t="s">
        <v>33</v>
      </c>
      <c r="AG4890" s="1" t="s">
        <v>571</v>
      </c>
    </row>
    <row r="4891" spans="1:33">
      <c r="A4891" t="s">
        <v>16679</v>
      </c>
      <c r="C4891" t="s">
        <v>3663</v>
      </c>
      <c r="E4891" t="s">
        <v>16369</v>
      </c>
      <c r="F4891" t="s">
        <v>16370</v>
      </c>
      <c r="G4891">
        <v>3.607</v>
      </c>
      <c r="H4891">
        <v>3.607</v>
      </c>
      <c r="I4891" t="s">
        <v>269</v>
      </c>
      <c r="J4891" t="s">
        <v>270</v>
      </c>
      <c r="K4891" t="s">
        <v>31</v>
      </c>
      <c r="L4891" t="s">
        <v>32</v>
      </c>
      <c r="M4891" t="s">
        <v>33</v>
      </c>
      <c r="P4891" s="1" t="s">
        <v>16680</v>
      </c>
      <c r="Q4891" s="1" t="s">
        <v>16369</v>
      </c>
      <c r="R4891" s="1" t="s">
        <v>16369</v>
      </c>
      <c r="S4891" s="1"/>
      <c r="T4891" s="1" t="s">
        <v>3663</v>
      </c>
      <c r="U4891" s="1"/>
      <c r="V4891" s="1">
        <v>3.607</v>
      </c>
      <c r="W4891" s="1">
        <v>3.607</v>
      </c>
      <c r="X4891" s="1" t="s">
        <v>35</v>
      </c>
      <c r="Y4891" s="1">
        <v>3607000</v>
      </c>
      <c r="Z4891" s="1"/>
      <c r="AA4891" s="1">
        <v>3607000</v>
      </c>
      <c r="AB4891" s="1"/>
      <c r="AC4891" s="1" t="s">
        <v>36</v>
      </c>
      <c r="AD4891" s="1" t="s">
        <v>16681</v>
      </c>
      <c r="AE4891" s="1" t="s">
        <v>32</v>
      </c>
      <c r="AF4891" s="1" t="s">
        <v>33</v>
      </c>
      <c r="AG4891" s="1" t="s">
        <v>270</v>
      </c>
    </row>
    <row r="4892" spans="1:33">
      <c r="A4892" t="s">
        <v>16682</v>
      </c>
      <c r="C4892" t="s">
        <v>7530</v>
      </c>
      <c r="E4892" t="s">
        <v>16369</v>
      </c>
      <c r="F4892" t="s">
        <v>16370</v>
      </c>
      <c r="G4892">
        <v>1.612</v>
      </c>
      <c r="H4892">
        <v>1.612</v>
      </c>
      <c r="I4892" t="s">
        <v>847</v>
      </c>
      <c r="J4892" t="s">
        <v>848</v>
      </c>
      <c r="K4892" t="s">
        <v>31</v>
      </c>
      <c r="L4892" t="s">
        <v>32</v>
      </c>
      <c r="M4892" t="s">
        <v>33</v>
      </c>
      <c r="P4892" s="1" t="s">
        <v>16683</v>
      </c>
      <c r="Q4892" s="1" t="s">
        <v>16369</v>
      </c>
      <c r="R4892" s="1" t="s">
        <v>16369</v>
      </c>
      <c r="S4892" s="1"/>
      <c r="T4892" s="1" t="s">
        <v>7530</v>
      </c>
      <c r="U4892" s="1"/>
      <c r="V4892" s="1">
        <v>1.612</v>
      </c>
      <c r="W4892" s="1">
        <v>1.612</v>
      </c>
      <c r="X4892" s="1" t="s">
        <v>35</v>
      </c>
      <c r="Y4892" s="1">
        <v>1612000</v>
      </c>
      <c r="Z4892" s="1"/>
      <c r="AA4892" s="1">
        <v>1612000</v>
      </c>
      <c r="AB4892" s="1"/>
      <c r="AC4892" s="1" t="s">
        <v>36</v>
      </c>
      <c r="AD4892" s="1" t="s">
        <v>16672</v>
      </c>
      <c r="AE4892" s="1" t="s">
        <v>32</v>
      </c>
      <c r="AF4892" s="1" t="s">
        <v>33</v>
      </c>
      <c r="AG4892" s="1" t="s">
        <v>848</v>
      </c>
    </row>
    <row r="4893" spans="1:33">
      <c r="A4893" t="s">
        <v>16684</v>
      </c>
      <c r="B4893" t="s">
        <v>201</v>
      </c>
      <c r="C4893" t="s">
        <v>202</v>
      </c>
      <c r="D4893" t="s">
        <v>154</v>
      </c>
      <c r="E4893" t="s">
        <v>16369</v>
      </c>
      <c r="F4893" t="s">
        <v>16370</v>
      </c>
      <c r="G4893">
        <v>370.0</v>
      </c>
      <c r="H4893">
        <v>370.0</v>
      </c>
      <c r="I4893" t="s">
        <v>59</v>
      </c>
      <c r="J4893" t="s">
        <v>60</v>
      </c>
      <c r="K4893" t="s">
        <v>31</v>
      </c>
      <c r="L4893" t="s">
        <v>32</v>
      </c>
      <c r="M4893" t="s">
        <v>33</v>
      </c>
      <c r="P4893" s="1" t="s">
        <v>16685</v>
      </c>
      <c r="Q4893" s="1" t="s">
        <v>16369</v>
      </c>
      <c r="R4893" s="1" t="s">
        <v>16369</v>
      </c>
      <c r="S4893" s="1"/>
      <c r="T4893" s="1" t="s">
        <v>202</v>
      </c>
      <c r="U4893" s="1"/>
      <c r="V4893" s="1">
        <v>370.0</v>
      </c>
      <c r="W4893" s="1">
        <v>370.0</v>
      </c>
      <c r="X4893" s="1" t="s">
        <v>35</v>
      </c>
      <c r="Y4893" s="1">
        <v>370000</v>
      </c>
      <c r="Z4893" s="1"/>
      <c r="AA4893" s="1">
        <v>370000</v>
      </c>
      <c r="AB4893" s="1"/>
      <c r="AC4893" s="1" t="s">
        <v>36</v>
      </c>
      <c r="AD4893" s="1" t="s">
        <v>16686</v>
      </c>
      <c r="AE4893" s="1" t="s">
        <v>32</v>
      </c>
      <c r="AF4893" s="1" t="s">
        <v>33</v>
      </c>
      <c r="AG4893" s="1" t="s">
        <v>60</v>
      </c>
    </row>
    <row r="4894" spans="1:33">
      <c r="A4894" t="s">
        <v>16687</v>
      </c>
      <c r="C4894" t="s">
        <v>1166</v>
      </c>
      <c r="E4894" t="s">
        <v>16369</v>
      </c>
      <c r="F4894" t="s">
        <v>16370</v>
      </c>
      <c r="G4894">
        <v>3.478</v>
      </c>
      <c r="H4894">
        <v>3.478</v>
      </c>
      <c r="I4894" t="s">
        <v>94</v>
      </c>
      <c r="J4894" t="s">
        <v>95</v>
      </c>
      <c r="K4894" t="s">
        <v>31</v>
      </c>
      <c r="L4894" t="s">
        <v>32</v>
      </c>
      <c r="M4894" t="s">
        <v>33</v>
      </c>
      <c r="P4894" s="1" t="s">
        <v>16688</v>
      </c>
      <c r="Q4894" s="1" t="s">
        <v>16369</v>
      </c>
      <c r="R4894" s="1" t="s">
        <v>16369</v>
      </c>
      <c r="S4894" s="1"/>
      <c r="T4894" s="1" t="s">
        <v>1166</v>
      </c>
      <c r="U4894" s="1"/>
      <c r="V4894" s="1">
        <v>3.478</v>
      </c>
      <c r="W4894" s="1">
        <v>3.478</v>
      </c>
      <c r="X4894" s="1" t="s">
        <v>35</v>
      </c>
      <c r="Y4894" s="1">
        <v>3478750</v>
      </c>
      <c r="Z4894" s="1"/>
      <c r="AA4894" s="1">
        <v>3478750</v>
      </c>
      <c r="AB4894" s="1"/>
      <c r="AC4894" s="1" t="s">
        <v>36</v>
      </c>
      <c r="AD4894" s="1" t="s">
        <v>16655</v>
      </c>
      <c r="AE4894" s="1" t="s">
        <v>32</v>
      </c>
      <c r="AF4894" s="1" t="s">
        <v>33</v>
      </c>
      <c r="AG4894" s="1" t="s">
        <v>95</v>
      </c>
    </row>
    <row r="4895" spans="1:33">
      <c r="A4895" t="s">
        <v>16689</v>
      </c>
      <c r="B4895" t="s">
        <v>16690</v>
      </c>
      <c r="C4895" t="s">
        <v>47</v>
      </c>
      <c r="E4895" t="s">
        <v>16369</v>
      </c>
      <c r="F4895" t="s">
        <v>16370</v>
      </c>
      <c r="G4895">
        <v>24.338</v>
      </c>
      <c r="H4895">
        <v>24.338</v>
      </c>
      <c r="I4895" t="s">
        <v>2206</v>
      </c>
      <c r="J4895" t="s">
        <v>49</v>
      </c>
      <c r="K4895" t="s">
        <v>31</v>
      </c>
      <c r="L4895" t="s">
        <v>32</v>
      </c>
      <c r="M4895" t="s">
        <v>33</v>
      </c>
      <c r="P4895" s="1" t="s">
        <v>16691</v>
      </c>
      <c r="Q4895" s="1" t="s">
        <v>16369</v>
      </c>
      <c r="R4895" s="1" t="s">
        <v>16369</v>
      </c>
      <c r="S4895" s="1"/>
      <c r="T4895" s="1" t="s">
        <v>47</v>
      </c>
      <c r="U4895" s="1"/>
      <c r="V4895" s="1">
        <v>24.338</v>
      </c>
      <c r="W4895" s="1">
        <v>24.338</v>
      </c>
      <c r="X4895" s="1" t="s">
        <v>35</v>
      </c>
      <c r="Y4895" s="1">
        <v>24338</v>
      </c>
      <c r="Z4895" s="1"/>
      <c r="AA4895" s="1">
        <v>24338</v>
      </c>
      <c r="AB4895" s="1"/>
      <c r="AC4895" s="1" t="s">
        <v>36</v>
      </c>
      <c r="AD4895" s="1" t="s">
        <v>16692</v>
      </c>
      <c r="AE4895" s="1" t="s">
        <v>32</v>
      </c>
      <c r="AF4895" s="1" t="s">
        <v>33</v>
      </c>
      <c r="AG4895" s="1" t="s">
        <v>49</v>
      </c>
    </row>
    <row r="4896" spans="1:33">
      <c r="A4896" t="s">
        <v>16693</v>
      </c>
      <c r="C4896" t="s">
        <v>695</v>
      </c>
      <c r="D4896" t="s">
        <v>114</v>
      </c>
      <c r="E4896" t="s">
        <v>16369</v>
      </c>
      <c r="F4896" t="s">
        <v>16370</v>
      </c>
      <c r="G4896">
        <v>970.0</v>
      </c>
      <c r="H4896">
        <v>970.0</v>
      </c>
      <c r="I4896" t="s">
        <v>269</v>
      </c>
      <c r="J4896" t="s">
        <v>270</v>
      </c>
      <c r="K4896" t="s">
        <v>31</v>
      </c>
      <c r="L4896" t="s">
        <v>32</v>
      </c>
      <c r="M4896" t="s">
        <v>33</v>
      </c>
      <c r="P4896" s="1" t="s">
        <v>16694</v>
      </c>
      <c r="Q4896" s="1" t="s">
        <v>16369</v>
      </c>
      <c r="R4896" s="1" t="s">
        <v>16369</v>
      </c>
      <c r="S4896" s="1"/>
      <c r="T4896" s="1" t="s">
        <v>695</v>
      </c>
      <c r="U4896" s="1"/>
      <c r="V4896" s="1">
        <v>970.0</v>
      </c>
      <c r="W4896" s="1">
        <v>970.0</v>
      </c>
      <c r="X4896" s="1" t="s">
        <v>35</v>
      </c>
      <c r="Y4896" s="1">
        <v>970000</v>
      </c>
      <c r="Z4896" s="1"/>
      <c r="AA4896" s="1">
        <v>970000</v>
      </c>
      <c r="AB4896" s="1"/>
      <c r="AC4896" s="1" t="s">
        <v>36</v>
      </c>
      <c r="AD4896" s="1" t="s">
        <v>16695</v>
      </c>
      <c r="AE4896" s="1" t="s">
        <v>32</v>
      </c>
      <c r="AF4896" s="1" t="s">
        <v>33</v>
      </c>
      <c r="AG4896" s="1" t="s">
        <v>270</v>
      </c>
    </row>
    <row r="4897" spans="1:33">
      <c r="A4897" t="s">
        <v>16696</v>
      </c>
      <c r="C4897" t="s">
        <v>2955</v>
      </c>
      <c r="E4897" t="s">
        <v>16369</v>
      </c>
      <c r="F4897" t="s">
        <v>16370</v>
      </c>
      <c r="G4897">
        <v>1.312</v>
      </c>
      <c r="H4897">
        <v>1.312</v>
      </c>
      <c r="I4897" t="s">
        <v>269</v>
      </c>
      <c r="J4897" t="s">
        <v>270</v>
      </c>
      <c r="K4897" t="s">
        <v>31</v>
      </c>
      <c r="L4897" t="s">
        <v>32</v>
      </c>
      <c r="M4897" t="s">
        <v>33</v>
      </c>
      <c r="P4897" s="1" t="s">
        <v>16697</v>
      </c>
      <c r="Q4897" s="1" t="s">
        <v>16369</v>
      </c>
      <c r="R4897" s="1" t="s">
        <v>16369</v>
      </c>
      <c r="S4897" s="1"/>
      <c r="T4897" s="1" t="s">
        <v>2955</v>
      </c>
      <c r="U4897" s="1"/>
      <c r="V4897" s="1">
        <v>1.312</v>
      </c>
      <c r="W4897" s="1">
        <v>1.312</v>
      </c>
      <c r="X4897" s="1" t="s">
        <v>35</v>
      </c>
      <c r="Y4897" s="1">
        <v>1312000</v>
      </c>
      <c r="Z4897" s="1"/>
      <c r="AA4897" s="1">
        <v>1312000</v>
      </c>
      <c r="AB4897" s="1"/>
      <c r="AC4897" s="1" t="s">
        <v>36</v>
      </c>
      <c r="AD4897" s="1" t="s">
        <v>16698</v>
      </c>
      <c r="AE4897" s="1" t="s">
        <v>32</v>
      </c>
      <c r="AF4897" s="1" t="s">
        <v>33</v>
      </c>
      <c r="AG4897" s="1" t="s">
        <v>270</v>
      </c>
    </row>
    <row r="4898" spans="1:33">
      <c r="A4898" t="s">
        <v>16699</v>
      </c>
      <c r="C4898" t="s">
        <v>3274</v>
      </c>
      <c r="E4898" t="s">
        <v>16369</v>
      </c>
      <c r="F4898" t="s">
        <v>16370</v>
      </c>
      <c r="G4898">
        <v>1.64</v>
      </c>
      <c r="H4898">
        <v>1.64</v>
      </c>
      <c r="I4898" t="s">
        <v>269</v>
      </c>
      <c r="J4898" t="s">
        <v>270</v>
      </c>
      <c r="K4898" t="s">
        <v>31</v>
      </c>
      <c r="L4898" t="s">
        <v>32</v>
      </c>
      <c r="M4898" t="s">
        <v>33</v>
      </c>
      <c r="P4898" s="1" t="s">
        <v>16700</v>
      </c>
      <c r="Q4898" s="1" t="s">
        <v>16369</v>
      </c>
      <c r="R4898" s="1" t="s">
        <v>16369</v>
      </c>
      <c r="S4898" s="1"/>
      <c r="T4898" s="1" t="s">
        <v>3274</v>
      </c>
      <c r="U4898" s="1"/>
      <c r="V4898" s="1">
        <v>1.64</v>
      </c>
      <c r="W4898" s="1">
        <v>1.64</v>
      </c>
      <c r="X4898" s="1" t="s">
        <v>35</v>
      </c>
      <c r="Y4898" s="1">
        <v>1640000</v>
      </c>
      <c r="Z4898" s="1"/>
      <c r="AA4898" s="1">
        <v>1640000</v>
      </c>
      <c r="AB4898" s="1"/>
      <c r="AC4898" s="1" t="s">
        <v>36</v>
      </c>
      <c r="AD4898" s="1" t="s">
        <v>16701</v>
      </c>
      <c r="AE4898" s="1" t="s">
        <v>32</v>
      </c>
      <c r="AF4898" s="1" t="s">
        <v>33</v>
      </c>
      <c r="AG4898" s="1" t="s">
        <v>270</v>
      </c>
    </row>
    <row r="4899" spans="1:33">
      <c r="A4899" t="s">
        <v>16702</v>
      </c>
      <c r="C4899" t="s">
        <v>7751</v>
      </c>
      <c r="E4899" t="s">
        <v>16369</v>
      </c>
      <c r="F4899" t="s">
        <v>16370</v>
      </c>
      <c r="G4899">
        <v>3.28</v>
      </c>
      <c r="H4899">
        <v>3.28</v>
      </c>
      <c r="I4899" t="s">
        <v>269</v>
      </c>
      <c r="J4899" t="s">
        <v>270</v>
      </c>
      <c r="K4899" t="s">
        <v>31</v>
      </c>
      <c r="L4899" t="s">
        <v>32</v>
      </c>
      <c r="M4899" t="s">
        <v>33</v>
      </c>
      <c r="P4899" s="1" t="s">
        <v>16703</v>
      </c>
      <c r="Q4899" s="1" t="s">
        <v>16369</v>
      </c>
      <c r="R4899" s="1" t="s">
        <v>16369</v>
      </c>
      <c r="S4899" s="1"/>
      <c r="T4899" s="1" t="s">
        <v>7751</v>
      </c>
      <c r="U4899" s="1"/>
      <c r="V4899" s="1">
        <v>3.28</v>
      </c>
      <c r="W4899" s="1">
        <v>3.28</v>
      </c>
      <c r="X4899" s="1" t="s">
        <v>35</v>
      </c>
      <c r="Y4899" s="1">
        <v>3280000</v>
      </c>
      <c r="Z4899" s="1"/>
      <c r="AA4899" s="1">
        <v>3280000</v>
      </c>
      <c r="AB4899" s="1"/>
      <c r="AC4899" s="1" t="s">
        <v>36</v>
      </c>
      <c r="AD4899" s="1" t="s">
        <v>16704</v>
      </c>
      <c r="AE4899" s="1" t="s">
        <v>32</v>
      </c>
      <c r="AF4899" s="1" t="s">
        <v>33</v>
      </c>
      <c r="AG4899" s="1" t="s">
        <v>270</v>
      </c>
    </row>
    <row r="4900" spans="1:33">
      <c r="A4900" t="s">
        <v>16705</v>
      </c>
      <c r="B4900" t="s">
        <v>16706</v>
      </c>
      <c r="C4900" t="s">
        <v>268</v>
      </c>
      <c r="E4900" t="s">
        <v>16369</v>
      </c>
      <c r="F4900" t="s">
        <v>16370</v>
      </c>
      <c r="G4900">
        <v>16.85</v>
      </c>
      <c r="H4900">
        <v>16.85</v>
      </c>
      <c r="I4900" t="s">
        <v>269</v>
      </c>
      <c r="J4900" t="s">
        <v>270</v>
      </c>
      <c r="K4900" t="s">
        <v>31</v>
      </c>
      <c r="L4900" t="s">
        <v>32</v>
      </c>
      <c r="M4900" t="s">
        <v>33</v>
      </c>
      <c r="P4900" s="1" t="s">
        <v>16707</v>
      </c>
      <c r="Q4900" s="1" t="s">
        <v>16369</v>
      </c>
      <c r="R4900" s="1" t="s">
        <v>16369</v>
      </c>
      <c r="S4900" s="1"/>
      <c r="T4900" s="1" t="s">
        <v>268</v>
      </c>
      <c r="U4900" s="1"/>
      <c r="V4900" s="1">
        <v>16.85</v>
      </c>
      <c r="W4900" s="1">
        <v>16.85</v>
      </c>
      <c r="X4900" s="1" t="s">
        <v>35</v>
      </c>
      <c r="Y4900" s="1">
        <v>16850</v>
      </c>
      <c r="Z4900" s="1"/>
      <c r="AA4900" s="1">
        <v>16850</v>
      </c>
      <c r="AB4900" s="1"/>
      <c r="AC4900" s="1" t="s">
        <v>36</v>
      </c>
      <c r="AD4900" s="1" t="s">
        <v>16708</v>
      </c>
      <c r="AE4900" s="1" t="s">
        <v>32</v>
      </c>
      <c r="AF4900" s="1" t="s">
        <v>33</v>
      </c>
      <c r="AG4900" s="1" t="s">
        <v>270</v>
      </c>
    </row>
    <row r="4901" spans="1:33">
      <c r="A4901" t="s">
        <v>16709</v>
      </c>
      <c r="C4901" t="s">
        <v>8871</v>
      </c>
      <c r="D4901" t="s">
        <v>154</v>
      </c>
      <c r="E4901" t="s">
        <v>16369</v>
      </c>
      <c r="F4901" t="s">
        <v>16370</v>
      </c>
      <c r="G4901">
        <v>328.0</v>
      </c>
      <c r="H4901">
        <v>328.0</v>
      </c>
      <c r="I4901" t="s">
        <v>269</v>
      </c>
      <c r="J4901" t="s">
        <v>270</v>
      </c>
      <c r="K4901" t="s">
        <v>31</v>
      </c>
      <c r="L4901" t="s">
        <v>32</v>
      </c>
      <c r="M4901" t="s">
        <v>33</v>
      </c>
      <c r="P4901" s="1" t="s">
        <v>16710</v>
      </c>
      <c r="Q4901" s="1" t="s">
        <v>16369</v>
      </c>
      <c r="R4901" s="1" t="s">
        <v>16369</v>
      </c>
      <c r="S4901" s="1"/>
      <c r="T4901" s="1" t="s">
        <v>8871</v>
      </c>
      <c r="U4901" s="1"/>
      <c r="V4901" s="1">
        <v>328.0</v>
      </c>
      <c r="W4901" s="1">
        <v>328.0</v>
      </c>
      <c r="X4901" s="1" t="s">
        <v>35</v>
      </c>
      <c r="Y4901" s="1">
        <v>328000</v>
      </c>
      <c r="Z4901" s="1"/>
      <c r="AA4901" s="1">
        <v>328000</v>
      </c>
      <c r="AB4901" s="1"/>
      <c r="AC4901" s="1" t="s">
        <v>36</v>
      </c>
      <c r="AD4901" s="1" t="s">
        <v>16711</v>
      </c>
      <c r="AE4901" s="1" t="s">
        <v>32</v>
      </c>
      <c r="AF4901" s="1" t="s">
        <v>33</v>
      </c>
      <c r="AG4901" s="1" t="s">
        <v>270</v>
      </c>
    </row>
    <row r="4902" spans="1:33">
      <c r="A4902" t="s">
        <v>16712</v>
      </c>
      <c r="B4902" t="s">
        <v>16713</v>
      </c>
      <c r="C4902" t="s">
        <v>16714</v>
      </c>
      <c r="E4902" t="s">
        <v>16369</v>
      </c>
      <c r="F4902" t="s">
        <v>16370</v>
      </c>
      <c r="G4902">
        <v>1.749</v>
      </c>
      <c r="H4902">
        <v>1.749</v>
      </c>
      <c r="I4902" t="s">
        <v>529</v>
      </c>
      <c r="J4902" t="s">
        <v>530</v>
      </c>
      <c r="K4902" t="s">
        <v>31</v>
      </c>
      <c r="L4902" t="s">
        <v>32</v>
      </c>
      <c r="M4902" t="s">
        <v>33</v>
      </c>
      <c r="P4902" s="1" t="s">
        <v>16715</v>
      </c>
      <c r="Q4902" s="1" t="s">
        <v>16369</v>
      </c>
      <c r="R4902" s="1" t="s">
        <v>15359</v>
      </c>
      <c r="S4902" s="1"/>
      <c r="T4902" s="1" t="s">
        <v>16714</v>
      </c>
      <c r="U4902" s="1"/>
      <c r="V4902" s="1">
        <v>1.749</v>
      </c>
      <c r="W4902" s="1">
        <v>1.749</v>
      </c>
      <c r="X4902" s="1" t="s">
        <v>35</v>
      </c>
      <c r="Y4902" s="1">
        <v>1749600</v>
      </c>
      <c r="Z4902" s="1"/>
      <c r="AA4902" s="1">
        <v>1749600</v>
      </c>
      <c r="AB4902" s="1"/>
      <c r="AC4902" s="1" t="s">
        <v>36</v>
      </c>
      <c r="AD4902" s="1" t="s">
        <v>16716</v>
      </c>
      <c r="AE4902" s="1" t="s">
        <v>32</v>
      </c>
      <c r="AF4902" s="1" t="s">
        <v>33</v>
      </c>
      <c r="AG4902" s="1" t="s">
        <v>530</v>
      </c>
    </row>
    <row r="4903" spans="1:33">
      <c r="A4903" t="s">
        <v>16717</v>
      </c>
      <c r="C4903" t="s">
        <v>797</v>
      </c>
      <c r="D4903" t="s">
        <v>798</v>
      </c>
      <c r="E4903" t="s">
        <v>16369</v>
      </c>
      <c r="F4903" t="s">
        <v>16370</v>
      </c>
      <c r="G4903">
        <v>328.0</v>
      </c>
      <c r="H4903">
        <v>328.0</v>
      </c>
      <c r="I4903" t="s">
        <v>269</v>
      </c>
      <c r="J4903" t="s">
        <v>270</v>
      </c>
      <c r="K4903" t="s">
        <v>31</v>
      </c>
      <c r="L4903" t="s">
        <v>32</v>
      </c>
      <c r="M4903" t="s">
        <v>33</v>
      </c>
      <c r="P4903" s="1" t="s">
        <v>16718</v>
      </c>
      <c r="Q4903" s="1" t="s">
        <v>16369</v>
      </c>
      <c r="R4903" s="1" t="s">
        <v>16369</v>
      </c>
      <c r="S4903" s="1"/>
      <c r="T4903" s="1" t="s">
        <v>797</v>
      </c>
      <c r="U4903" s="1"/>
      <c r="V4903" s="1">
        <v>328.0</v>
      </c>
      <c r="W4903" s="1">
        <v>328.0</v>
      </c>
      <c r="X4903" s="1" t="s">
        <v>35</v>
      </c>
      <c r="Y4903" s="1">
        <v>328000</v>
      </c>
      <c r="Z4903" s="1"/>
      <c r="AA4903" s="1">
        <v>328000</v>
      </c>
      <c r="AB4903" s="1"/>
      <c r="AC4903" s="1" t="s">
        <v>36</v>
      </c>
      <c r="AD4903" s="1" t="s">
        <v>16719</v>
      </c>
      <c r="AE4903" s="1" t="s">
        <v>32</v>
      </c>
      <c r="AF4903" s="1" t="s">
        <v>33</v>
      </c>
      <c r="AG4903" s="1" t="s">
        <v>270</v>
      </c>
    </row>
    <row r="4904" spans="1:33">
      <c r="A4904" t="s">
        <v>16720</v>
      </c>
      <c r="C4904" t="s">
        <v>13471</v>
      </c>
      <c r="E4904" t="s">
        <v>16369</v>
      </c>
      <c r="F4904" t="s">
        <v>16370</v>
      </c>
      <c r="G4904">
        <v>403.2</v>
      </c>
      <c r="H4904">
        <v>403.2</v>
      </c>
      <c r="I4904" t="s">
        <v>94</v>
      </c>
      <c r="J4904" t="s">
        <v>95</v>
      </c>
      <c r="K4904" t="s">
        <v>31</v>
      </c>
      <c r="L4904" t="s">
        <v>32</v>
      </c>
      <c r="M4904" t="s">
        <v>33</v>
      </c>
      <c r="P4904" s="1" t="s">
        <v>16721</v>
      </c>
      <c r="Q4904" s="1" t="s">
        <v>16369</v>
      </c>
      <c r="R4904" s="1" t="s">
        <v>16369</v>
      </c>
      <c r="S4904" s="1"/>
      <c r="T4904" s="1" t="s">
        <v>13471</v>
      </c>
      <c r="U4904" s="1"/>
      <c r="V4904" s="1">
        <v>403.2</v>
      </c>
      <c r="W4904" s="1">
        <v>403.2</v>
      </c>
      <c r="X4904" s="1" t="s">
        <v>35</v>
      </c>
      <c r="Y4904" s="1">
        <v>403200</v>
      </c>
      <c r="Z4904" s="1"/>
      <c r="AA4904" s="1">
        <v>403200</v>
      </c>
      <c r="AB4904" s="1"/>
      <c r="AC4904" s="1" t="s">
        <v>36</v>
      </c>
      <c r="AD4904" s="1" t="s">
        <v>16722</v>
      </c>
      <c r="AE4904" s="1" t="s">
        <v>32</v>
      </c>
      <c r="AF4904" s="1" t="s">
        <v>33</v>
      </c>
      <c r="AG4904" s="1" t="s">
        <v>95</v>
      </c>
    </row>
    <row r="4905" spans="1:33">
      <c r="A4905" t="s">
        <v>16723</v>
      </c>
      <c r="C4905" t="s">
        <v>595</v>
      </c>
      <c r="E4905" t="s">
        <v>16369</v>
      </c>
      <c r="F4905" t="s">
        <v>16370</v>
      </c>
      <c r="G4905">
        <v>656.0</v>
      </c>
      <c r="H4905">
        <v>656.0</v>
      </c>
      <c r="I4905" t="s">
        <v>269</v>
      </c>
      <c r="J4905" t="s">
        <v>270</v>
      </c>
      <c r="K4905" t="s">
        <v>31</v>
      </c>
      <c r="L4905" t="s">
        <v>32</v>
      </c>
      <c r="M4905" t="s">
        <v>33</v>
      </c>
      <c r="P4905" s="1" t="s">
        <v>16724</v>
      </c>
      <c r="Q4905" s="1" t="s">
        <v>16369</v>
      </c>
      <c r="R4905" s="1" t="s">
        <v>16369</v>
      </c>
      <c r="S4905" s="1"/>
      <c r="T4905" s="1" t="s">
        <v>595</v>
      </c>
      <c r="U4905" s="1"/>
      <c r="V4905" s="1">
        <v>656.0</v>
      </c>
      <c r="W4905" s="1">
        <v>656.0</v>
      </c>
      <c r="X4905" s="1" t="s">
        <v>35</v>
      </c>
      <c r="Y4905" s="1">
        <v>656000</v>
      </c>
      <c r="Z4905" s="1"/>
      <c r="AA4905" s="1">
        <v>656000</v>
      </c>
      <c r="AB4905" s="1"/>
      <c r="AC4905" s="1" t="s">
        <v>36</v>
      </c>
      <c r="AD4905" s="1" t="s">
        <v>16716</v>
      </c>
      <c r="AE4905" s="1" t="s">
        <v>32</v>
      </c>
      <c r="AF4905" s="1" t="s">
        <v>33</v>
      </c>
      <c r="AG4905" s="1" t="s">
        <v>270</v>
      </c>
    </row>
    <row r="4906" spans="1:33">
      <c r="A4906" t="s">
        <v>16725</v>
      </c>
      <c r="C4906" t="s">
        <v>300</v>
      </c>
      <c r="E4906" t="s">
        <v>16369</v>
      </c>
      <c r="F4906" t="s">
        <v>16370</v>
      </c>
      <c r="G4906">
        <v>367.25</v>
      </c>
      <c r="H4906">
        <v>367.25</v>
      </c>
      <c r="I4906" t="s">
        <v>94</v>
      </c>
      <c r="J4906" t="s">
        <v>95</v>
      </c>
      <c r="K4906" t="s">
        <v>31</v>
      </c>
      <c r="L4906" t="s">
        <v>32</v>
      </c>
      <c r="M4906" t="s">
        <v>33</v>
      </c>
      <c r="P4906" s="1" t="s">
        <v>16726</v>
      </c>
      <c r="Q4906" s="1" t="s">
        <v>16369</v>
      </c>
      <c r="R4906" s="1" t="s">
        <v>16369</v>
      </c>
      <c r="S4906" s="1"/>
      <c r="T4906" s="1" t="s">
        <v>302</v>
      </c>
      <c r="U4906" s="1" t="s">
        <v>303</v>
      </c>
      <c r="V4906" s="1">
        <v>367.25</v>
      </c>
      <c r="W4906" s="1">
        <v>367.25</v>
      </c>
      <c r="X4906" s="1" t="s">
        <v>35</v>
      </c>
      <c r="Y4906" s="1">
        <v>367250</v>
      </c>
      <c r="Z4906" s="1"/>
      <c r="AA4906" s="1">
        <v>367250</v>
      </c>
      <c r="AB4906" s="1"/>
      <c r="AC4906" s="1" t="s">
        <v>36</v>
      </c>
      <c r="AD4906" s="1" t="s">
        <v>16727</v>
      </c>
      <c r="AE4906" s="1" t="s">
        <v>32</v>
      </c>
      <c r="AF4906" s="1" t="s">
        <v>33</v>
      </c>
      <c r="AG4906" s="1" t="s">
        <v>95</v>
      </c>
    </row>
    <row r="4907" spans="1:33">
      <c r="A4907" t="s">
        <v>16728</v>
      </c>
      <c r="C4907" t="s">
        <v>10887</v>
      </c>
      <c r="E4907" t="s">
        <v>16369</v>
      </c>
      <c r="F4907" t="s">
        <v>16370</v>
      </c>
      <c r="G4907">
        <v>392.2</v>
      </c>
      <c r="H4907">
        <v>392.2</v>
      </c>
      <c r="I4907" t="s">
        <v>269</v>
      </c>
      <c r="J4907" t="s">
        <v>270</v>
      </c>
      <c r="K4907" t="s">
        <v>31</v>
      </c>
      <c r="L4907" t="s">
        <v>32</v>
      </c>
      <c r="M4907" t="s">
        <v>33</v>
      </c>
      <c r="P4907" s="1" t="s">
        <v>16729</v>
      </c>
      <c r="Q4907" s="1" t="s">
        <v>16369</v>
      </c>
      <c r="R4907" s="1" t="s">
        <v>16369</v>
      </c>
      <c r="S4907" s="1"/>
      <c r="T4907" s="1" t="s">
        <v>10887</v>
      </c>
      <c r="U4907" s="1"/>
      <c r="V4907" s="1">
        <v>392.2</v>
      </c>
      <c r="W4907" s="1">
        <v>392.2</v>
      </c>
      <c r="X4907" s="1" t="s">
        <v>35</v>
      </c>
      <c r="Y4907" s="1">
        <v>392200</v>
      </c>
      <c r="Z4907" s="1"/>
      <c r="AA4907" s="1">
        <v>392200</v>
      </c>
      <c r="AB4907" s="1"/>
      <c r="AC4907" s="1" t="s">
        <v>36</v>
      </c>
      <c r="AD4907" s="1" t="s">
        <v>16727</v>
      </c>
      <c r="AE4907" s="1" t="s">
        <v>32</v>
      </c>
      <c r="AF4907" s="1" t="s">
        <v>33</v>
      </c>
      <c r="AG4907" s="1" t="s">
        <v>270</v>
      </c>
    </row>
    <row r="4908" spans="1:33">
      <c r="A4908" t="s">
        <v>16730</v>
      </c>
      <c r="B4908" t="s">
        <v>16731</v>
      </c>
      <c r="C4908" t="s">
        <v>1700</v>
      </c>
      <c r="E4908" t="s">
        <v>16369</v>
      </c>
      <c r="F4908" t="s">
        <v>16370</v>
      </c>
      <c r="G4908">
        <v>25.0</v>
      </c>
      <c r="H4908">
        <v>25.0</v>
      </c>
      <c r="I4908" t="s">
        <v>1701</v>
      </c>
      <c r="J4908" t="s">
        <v>1702</v>
      </c>
      <c r="K4908" t="s">
        <v>31</v>
      </c>
      <c r="L4908" t="s">
        <v>32</v>
      </c>
      <c r="M4908" t="s">
        <v>33</v>
      </c>
      <c r="P4908" s="1" t="s">
        <v>16732</v>
      </c>
      <c r="Q4908" s="1" t="s">
        <v>16369</v>
      </c>
      <c r="R4908" s="1" t="s">
        <v>16369</v>
      </c>
      <c r="S4908" s="1"/>
      <c r="T4908" s="1" t="s">
        <v>1700</v>
      </c>
      <c r="U4908" s="1"/>
      <c r="V4908" s="1">
        <v>25.0</v>
      </c>
      <c r="W4908" s="1">
        <v>25.0</v>
      </c>
      <c r="X4908" s="1" t="s">
        <v>35</v>
      </c>
      <c r="Y4908" s="1">
        <v>25000</v>
      </c>
      <c r="Z4908" s="1"/>
      <c r="AA4908" s="1">
        <v>25000</v>
      </c>
      <c r="AB4908" s="1"/>
      <c r="AC4908" s="1" t="s">
        <v>36</v>
      </c>
      <c r="AD4908" s="1" t="s">
        <v>16733</v>
      </c>
      <c r="AE4908" s="1" t="s">
        <v>32</v>
      </c>
      <c r="AF4908" s="1" t="s">
        <v>33</v>
      </c>
      <c r="AG4908" s="1" t="s">
        <v>1702</v>
      </c>
    </row>
    <row r="4909" spans="1:33">
      <c r="A4909" t="s">
        <v>16734</v>
      </c>
      <c r="C4909" t="s">
        <v>513</v>
      </c>
      <c r="E4909" t="s">
        <v>16369</v>
      </c>
      <c r="F4909" t="s">
        <v>16370</v>
      </c>
      <c r="G4909">
        <v>1.176</v>
      </c>
      <c r="H4909">
        <v>1.176</v>
      </c>
      <c r="I4909" t="s">
        <v>2206</v>
      </c>
      <c r="J4909" t="s">
        <v>49</v>
      </c>
      <c r="K4909" t="s">
        <v>31</v>
      </c>
      <c r="L4909" t="s">
        <v>32</v>
      </c>
      <c r="M4909" t="s">
        <v>33</v>
      </c>
      <c r="P4909" s="1" t="s">
        <v>16735</v>
      </c>
      <c r="Q4909" s="1" t="s">
        <v>16369</v>
      </c>
      <c r="R4909" s="1" t="s">
        <v>16369</v>
      </c>
      <c r="S4909" s="1"/>
      <c r="T4909" s="1" t="s">
        <v>513</v>
      </c>
      <c r="U4909" s="1"/>
      <c r="V4909" s="1">
        <v>1.176</v>
      </c>
      <c r="W4909" s="1">
        <v>1.176</v>
      </c>
      <c r="X4909" s="1" t="s">
        <v>35</v>
      </c>
      <c r="Y4909" s="1">
        <v>1176000</v>
      </c>
      <c r="Z4909" s="1"/>
      <c r="AA4909" s="1">
        <v>1176000</v>
      </c>
      <c r="AB4909" s="1"/>
      <c r="AC4909" s="1" t="s">
        <v>36</v>
      </c>
      <c r="AD4909" s="1" t="s">
        <v>16733</v>
      </c>
      <c r="AE4909" s="1" t="s">
        <v>32</v>
      </c>
      <c r="AF4909" s="1" t="s">
        <v>33</v>
      </c>
      <c r="AG4909" s="1" t="s">
        <v>49</v>
      </c>
    </row>
    <row r="4910" spans="1:33">
      <c r="A4910" t="s">
        <v>16736</v>
      </c>
      <c r="C4910" t="s">
        <v>16737</v>
      </c>
      <c r="E4910" t="s">
        <v>16369</v>
      </c>
      <c r="F4910" t="s">
        <v>16370</v>
      </c>
      <c r="G4910">
        <v>673.5</v>
      </c>
      <c r="H4910">
        <v>673.5</v>
      </c>
      <c r="I4910" t="s">
        <v>2206</v>
      </c>
      <c r="J4910" t="s">
        <v>49</v>
      </c>
      <c r="K4910" t="s">
        <v>31</v>
      </c>
      <c r="L4910" t="s">
        <v>32</v>
      </c>
      <c r="M4910" t="s">
        <v>33</v>
      </c>
      <c r="P4910" s="1" t="s">
        <v>16738</v>
      </c>
      <c r="Q4910" s="1" t="s">
        <v>16369</v>
      </c>
      <c r="R4910" s="1" t="s">
        <v>16369</v>
      </c>
      <c r="S4910" s="1"/>
      <c r="T4910" s="1" t="s">
        <v>16737</v>
      </c>
      <c r="U4910" s="1"/>
      <c r="V4910" s="1">
        <v>673.5</v>
      </c>
      <c r="W4910" s="1">
        <v>673.5</v>
      </c>
      <c r="X4910" s="1" t="s">
        <v>35</v>
      </c>
      <c r="Y4910" s="1">
        <v>673500</v>
      </c>
      <c r="Z4910" s="1"/>
      <c r="AA4910" s="1">
        <v>673500</v>
      </c>
      <c r="AB4910" s="1"/>
      <c r="AC4910" s="1" t="s">
        <v>36</v>
      </c>
      <c r="AD4910" s="1" t="s">
        <v>16739</v>
      </c>
      <c r="AE4910" s="1" t="s">
        <v>32</v>
      </c>
      <c r="AF4910" s="1" t="s">
        <v>33</v>
      </c>
      <c r="AG4910" s="1" t="s">
        <v>49</v>
      </c>
    </row>
    <row r="4911" spans="1:33">
      <c r="A4911" t="s">
        <v>16740</v>
      </c>
      <c r="B4911" t="s">
        <v>3224</v>
      </c>
      <c r="C4911" t="s">
        <v>3225</v>
      </c>
      <c r="D4911" t="s">
        <v>114</v>
      </c>
      <c r="E4911" t="s">
        <v>16369</v>
      </c>
      <c r="F4911" t="s">
        <v>16370</v>
      </c>
      <c r="G4911">
        <v>740.0</v>
      </c>
      <c r="H4911">
        <v>740.0</v>
      </c>
      <c r="I4911" t="s">
        <v>59</v>
      </c>
      <c r="J4911" t="s">
        <v>60</v>
      </c>
      <c r="K4911" t="s">
        <v>31</v>
      </c>
      <c r="L4911" t="s">
        <v>32</v>
      </c>
      <c r="M4911" t="s">
        <v>33</v>
      </c>
      <c r="P4911" s="1" t="s">
        <v>16741</v>
      </c>
      <c r="Q4911" s="1" t="s">
        <v>16369</v>
      </c>
      <c r="R4911" s="1" t="s">
        <v>16369</v>
      </c>
      <c r="S4911" s="1"/>
      <c r="T4911" s="1" t="s">
        <v>3227</v>
      </c>
      <c r="U4911" s="1" t="s">
        <v>3228</v>
      </c>
      <c r="V4911" s="1">
        <v>740.0</v>
      </c>
      <c r="W4911" s="1">
        <v>740.0</v>
      </c>
      <c r="X4911" s="1" t="s">
        <v>35</v>
      </c>
      <c r="Y4911" s="1">
        <v>740000</v>
      </c>
      <c r="Z4911" s="1"/>
      <c r="AA4911" s="1">
        <v>740000</v>
      </c>
      <c r="AB4911" s="1"/>
      <c r="AC4911" s="1" t="s">
        <v>36</v>
      </c>
      <c r="AD4911" s="1" t="s">
        <v>16742</v>
      </c>
      <c r="AE4911" s="1" t="s">
        <v>32</v>
      </c>
      <c r="AF4911" s="1" t="s">
        <v>33</v>
      </c>
      <c r="AG4911" s="1" t="s">
        <v>60</v>
      </c>
    </row>
    <row r="4912" spans="1:33">
      <c r="A4912" t="s">
        <v>16743</v>
      </c>
      <c r="C4912" t="s">
        <v>1587</v>
      </c>
      <c r="D4912" t="s">
        <v>154</v>
      </c>
      <c r="E4912" t="s">
        <v>16369</v>
      </c>
      <c r="F4912" t="s">
        <v>16370</v>
      </c>
      <c r="G4912">
        <v>8.613</v>
      </c>
      <c r="H4912">
        <v>8.613</v>
      </c>
      <c r="I4912" t="s">
        <v>2206</v>
      </c>
      <c r="J4912" t="s">
        <v>49</v>
      </c>
      <c r="K4912" t="s">
        <v>31</v>
      </c>
      <c r="L4912" t="s">
        <v>32</v>
      </c>
      <c r="M4912" t="s">
        <v>33</v>
      </c>
      <c r="P4912" s="1" t="s">
        <v>16744</v>
      </c>
      <c r="Q4912" s="1" t="s">
        <v>16369</v>
      </c>
      <c r="R4912" s="1" t="s">
        <v>16369</v>
      </c>
      <c r="S4912" s="1"/>
      <c r="T4912" s="1" t="s">
        <v>1587</v>
      </c>
      <c r="U4912" s="1"/>
      <c r="V4912" s="1">
        <v>8.613</v>
      </c>
      <c r="W4912" s="1">
        <v>8.613</v>
      </c>
      <c r="X4912" s="1" t="s">
        <v>35</v>
      </c>
      <c r="Y4912" s="1">
        <v>8613250</v>
      </c>
      <c r="Z4912" s="1"/>
      <c r="AA4912" s="1">
        <v>8613250</v>
      </c>
      <c r="AB4912" s="1"/>
      <c r="AC4912" s="1" t="s">
        <v>36</v>
      </c>
      <c r="AD4912" s="1" t="s">
        <v>16745</v>
      </c>
      <c r="AE4912" s="1" t="s">
        <v>32</v>
      </c>
      <c r="AF4912" s="1" t="s">
        <v>33</v>
      </c>
      <c r="AG4912" s="1" t="s">
        <v>49</v>
      </c>
    </row>
    <row r="4913" spans="1:33">
      <c r="A4913" t="s">
        <v>16746</v>
      </c>
      <c r="B4913" t="s">
        <v>15103</v>
      </c>
      <c r="C4913" t="s">
        <v>314</v>
      </c>
      <c r="E4913" t="s">
        <v>16369</v>
      </c>
      <c r="F4913" t="s">
        <v>16370</v>
      </c>
      <c r="G4913">
        <v>167.724</v>
      </c>
      <c r="H4913">
        <v>167.724</v>
      </c>
      <c r="I4913" t="s">
        <v>179</v>
      </c>
      <c r="J4913" t="s">
        <v>180</v>
      </c>
      <c r="K4913" t="s">
        <v>31</v>
      </c>
      <c r="L4913" t="s">
        <v>32</v>
      </c>
      <c r="M4913" t="s">
        <v>33</v>
      </c>
      <c r="P4913" s="1" t="s">
        <v>16747</v>
      </c>
      <c r="Q4913" s="1" t="s">
        <v>16369</v>
      </c>
      <c r="R4913" s="1" t="s">
        <v>16369</v>
      </c>
      <c r="S4913" s="1"/>
      <c r="T4913" s="1" t="s">
        <v>314</v>
      </c>
      <c r="U4913" s="1"/>
      <c r="V4913" s="1">
        <v>167.724</v>
      </c>
      <c r="W4913" s="1">
        <v>167.724</v>
      </c>
      <c r="X4913" s="1" t="s">
        <v>35</v>
      </c>
      <c r="Y4913" s="1">
        <v>167724</v>
      </c>
      <c r="Z4913" s="1"/>
      <c r="AA4913" s="1">
        <v>167724</v>
      </c>
      <c r="AB4913" s="1"/>
      <c r="AC4913" s="1" t="s">
        <v>36</v>
      </c>
      <c r="AD4913" s="1" t="s">
        <v>16748</v>
      </c>
      <c r="AE4913" s="1" t="s">
        <v>32</v>
      </c>
      <c r="AF4913" s="1" t="s">
        <v>33</v>
      </c>
      <c r="AG4913" s="1" t="s">
        <v>180</v>
      </c>
    </row>
    <row r="4914" spans="1:33">
      <c r="A4914" t="s">
        <v>16749</v>
      </c>
      <c r="C4914" t="s">
        <v>613</v>
      </c>
      <c r="E4914" t="s">
        <v>16369</v>
      </c>
      <c r="F4914" t="s">
        <v>16370</v>
      </c>
      <c r="G4914">
        <v>492.0</v>
      </c>
      <c r="H4914">
        <v>492.0</v>
      </c>
      <c r="I4914" t="s">
        <v>269</v>
      </c>
      <c r="J4914" t="s">
        <v>270</v>
      </c>
      <c r="K4914" t="s">
        <v>31</v>
      </c>
      <c r="L4914" t="s">
        <v>32</v>
      </c>
      <c r="M4914" t="s">
        <v>33</v>
      </c>
      <c r="P4914" s="1" t="s">
        <v>16750</v>
      </c>
      <c r="Q4914" s="1" t="s">
        <v>16369</v>
      </c>
      <c r="R4914" s="1" t="s">
        <v>16369</v>
      </c>
      <c r="S4914" s="1"/>
      <c r="T4914" s="1" t="s">
        <v>613</v>
      </c>
      <c r="U4914" s="1"/>
      <c r="V4914" s="1">
        <v>492.0</v>
      </c>
      <c r="W4914" s="1">
        <v>492.0</v>
      </c>
      <c r="X4914" s="1" t="s">
        <v>35</v>
      </c>
      <c r="Y4914" s="1">
        <v>492000</v>
      </c>
      <c r="Z4914" s="1"/>
      <c r="AA4914" s="1">
        <v>492000</v>
      </c>
      <c r="AB4914" s="1"/>
      <c r="AC4914" s="1" t="s">
        <v>36</v>
      </c>
      <c r="AD4914" s="1" t="s">
        <v>16751</v>
      </c>
      <c r="AE4914" s="1" t="s">
        <v>32</v>
      </c>
      <c r="AF4914" s="1" t="s">
        <v>33</v>
      </c>
      <c r="AG4914" s="1" t="s">
        <v>270</v>
      </c>
    </row>
    <row r="4915" spans="1:33">
      <c r="A4915" t="s">
        <v>16752</v>
      </c>
      <c r="B4915" t="s">
        <v>16753</v>
      </c>
      <c r="C4915" t="s">
        <v>1298</v>
      </c>
      <c r="E4915" t="s">
        <v>16369</v>
      </c>
      <c r="F4915" t="s">
        <v>16370</v>
      </c>
      <c r="G4915">
        <v>18.49</v>
      </c>
      <c r="H4915">
        <v>18.49</v>
      </c>
      <c r="I4915" t="s">
        <v>529</v>
      </c>
      <c r="J4915" t="s">
        <v>530</v>
      </c>
      <c r="K4915" t="s">
        <v>31</v>
      </c>
      <c r="L4915" t="s">
        <v>32</v>
      </c>
      <c r="M4915" t="s">
        <v>33</v>
      </c>
      <c r="P4915" s="1" t="s">
        <v>16754</v>
      </c>
      <c r="Q4915" s="1" t="s">
        <v>16369</v>
      </c>
      <c r="R4915" s="1" t="s">
        <v>15359</v>
      </c>
      <c r="S4915" s="1"/>
      <c r="T4915" s="1" t="s">
        <v>1298</v>
      </c>
      <c r="U4915" s="1"/>
      <c r="V4915" s="1">
        <v>18.49</v>
      </c>
      <c r="W4915" s="1">
        <v>18.49</v>
      </c>
      <c r="X4915" s="1" t="s">
        <v>35</v>
      </c>
      <c r="Y4915" s="1">
        <v>18490</v>
      </c>
      <c r="Z4915" s="1"/>
      <c r="AA4915" s="1">
        <v>18490</v>
      </c>
      <c r="AB4915" s="1"/>
      <c r="AC4915" s="1" t="s">
        <v>36</v>
      </c>
      <c r="AD4915" s="1" t="s">
        <v>16755</v>
      </c>
      <c r="AE4915" s="1" t="s">
        <v>32</v>
      </c>
      <c r="AF4915" s="1" t="s">
        <v>33</v>
      </c>
      <c r="AG4915" s="1" t="s">
        <v>530</v>
      </c>
    </row>
    <row r="4916" spans="1:33">
      <c r="A4916" t="s">
        <v>16756</v>
      </c>
      <c r="C4916" t="s">
        <v>131</v>
      </c>
      <c r="E4916" t="s">
        <v>16369</v>
      </c>
      <c r="F4916" t="s">
        <v>16370</v>
      </c>
      <c r="G4916">
        <v>1.27</v>
      </c>
      <c r="H4916">
        <v>1.27</v>
      </c>
      <c r="I4916" t="s">
        <v>94</v>
      </c>
      <c r="J4916" t="s">
        <v>95</v>
      </c>
      <c r="K4916" t="s">
        <v>31</v>
      </c>
      <c r="L4916" t="s">
        <v>32</v>
      </c>
      <c r="M4916" t="s">
        <v>33</v>
      </c>
      <c r="P4916" s="1" t="s">
        <v>16757</v>
      </c>
      <c r="Q4916" s="1" t="s">
        <v>16369</v>
      </c>
      <c r="R4916" s="1" t="s">
        <v>16369</v>
      </c>
      <c r="S4916" s="1"/>
      <c r="T4916" s="1" t="s">
        <v>131</v>
      </c>
      <c r="U4916" s="1"/>
      <c r="V4916" s="1">
        <v>1.27</v>
      </c>
      <c r="W4916" s="1">
        <v>1.27</v>
      </c>
      <c r="X4916" s="1" t="s">
        <v>35</v>
      </c>
      <c r="Y4916" s="1">
        <v>1270</v>
      </c>
      <c r="Z4916" s="1"/>
      <c r="AA4916" s="1">
        <v>1270</v>
      </c>
      <c r="AB4916" s="1"/>
      <c r="AC4916" s="1" t="s">
        <v>36</v>
      </c>
      <c r="AD4916" s="1" t="s">
        <v>16758</v>
      </c>
      <c r="AE4916" s="1" t="s">
        <v>32</v>
      </c>
      <c r="AF4916" s="1" t="s">
        <v>33</v>
      </c>
      <c r="AG4916" s="1" t="s">
        <v>95</v>
      </c>
    </row>
    <row r="4917" spans="1:33">
      <c r="A4917" t="s">
        <v>16759</v>
      </c>
      <c r="C4917" t="s">
        <v>16760</v>
      </c>
      <c r="E4917" t="s">
        <v>16369</v>
      </c>
      <c r="F4917" t="s">
        <v>16370</v>
      </c>
      <c r="G4917">
        <v>184.0</v>
      </c>
      <c r="H4917">
        <v>184.0</v>
      </c>
      <c r="I4917" t="s">
        <v>94</v>
      </c>
      <c r="J4917" t="s">
        <v>95</v>
      </c>
      <c r="K4917" t="s">
        <v>31</v>
      </c>
      <c r="L4917" t="s">
        <v>32</v>
      </c>
      <c r="M4917" t="s">
        <v>33</v>
      </c>
      <c r="P4917" s="1" t="s">
        <v>16761</v>
      </c>
      <c r="Q4917" s="1" t="s">
        <v>16369</v>
      </c>
      <c r="R4917" s="1" t="s">
        <v>16369</v>
      </c>
      <c r="S4917" s="1"/>
      <c r="T4917" s="1" t="s">
        <v>16762</v>
      </c>
      <c r="U4917" s="1"/>
      <c r="V4917" s="1">
        <v>184.0</v>
      </c>
      <c r="W4917" s="1">
        <v>184.0</v>
      </c>
      <c r="X4917" s="1" t="s">
        <v>35</v>
      </c>
      <c r="Y4917" s="1">
        <v>184000</v>
      </c>
      <c r="Z4917" s="1"/>
      <c r="AA4917" s="1">
        <v>184000</v>
      </c>
      <c r="AB4917" s="1"/>
      <c r="AC4917" s="1" t="s">
        <v>36</v>
      </c>
      <c r="AD4917" s="1" t="s">
        <v>16763</v>
      </c>
      <c r="AE4917" s="1" t="s">
        <v>32</v>
      </c>
      <c r="AF4917" s="1" t="s">
        <v>33</v>
      </c>
      <c r="AG4917" s="1" t="s">
        <v>95</v>
      </c>
    </row>
    <row r="4918" spans="1:33">
      <c r="A4918" t="s">
        <v>16764</v>
      </c>
      <c r="C4918" t="s">
        <v>3302</v>
      </c>
      <c r="E4918" t="s">
        <v>16369</v>
      </c>
      <c r="F4918" t="s">
        <v>16370</v>
      </c>
      <c r="G4918">
        <v>960.0</v>
      </c>
      <c r="H4918">
        <v>960.0</v>
      </c>
      <c r="I4918" t="s">
        <v>847</v>
      </c>
      <c r="J4918" t="s">
        <v>848</v>
      </c>
      <c r="K4918" t="s">
        <v>31</v>
      </c>
      <c r="L4918" t="s">
        <v>32</v>
      </c>
      <c r="M4918" t="s">
        <v>33</v>
      </c>
      <c r="P4918" s="1" t="s">
        <v>16765</v>
      </c>
      <c r="Q4918" s="1" t="s">
        <v>16369</v>
      </c>
      <c r="R4918" s="1" t="s">
        <v>16369</v>
      </c>
      <c r="S4918" s="1"/>
      <c r="T4918" s="1" t="s">
        <v>3302</v>
      </c>
      <c r="U4918" s="1"/>
      <c r="V4918" s="1">
        <v>960.0</v>
      </c>
      <c r="W4918" s="1">
        <v>960.0</v>
      </c>
      <c r="X4918" s="1" t="s">
        <v>35</v>
      </c>
      <c r="Y4918" s="1">
        <v>960000</v>
      </c>
      <c r="Z4918" s="1"/>
      <c r="AA4918" s="1">
        <v>960000</v>
      </c>
      <c r="AB4918" s="1"/>
      <c r="AC4918" s="1" t="s">
        <v>36</v>
      </c>
      <c r="AD4918" s="1" t="s">
        <v>16763</v>
      </c>
      <c r="AE4918" s="1" t="s">
        <v>32</v>
      </c>
      <c r="AF4918" s="1" t="s">
        <v>33</v>
      </c>
      <c r="AG4918" s="1" t="s">
        <v>848</v>
      </c>
    </row>
    <row r="4919" spans="1:33">
      <c r="A4919" t="s">
        <v>16766</v>
      </c>
      <c r="B4919" t="s">
        <v>16767</v>
      </c>
      <c r="C4919" t="s">
        <v>26</v>
      </c>
      <c r="E4919" t="s">
        <v>16369</v>
      </c>
      <c r="F4919" t="s">
        <v>16370</v>
      </c>
      <c r="G4919">
        <v>33.51</v>
      </c>
      <c r="H4919">
        <v>33.51</v>
      </c>
      <c r="I4919" t="s">
        <v>29</v>
      </c>
      <c r="J4919" t="s">
        <v>30</v>
      </c>
      <c r="K4919" t="s">
        <v>31</v>
      </c>
      <c r="L4919" t="s">
        <v>32</v>
      </c>
      <c r="M4919" t="s">
        <v>33</v>
      </c>
      <c r="P4919" s="1" t="s">
        <v>16768</v>
      </c>
      <c r="Q4919" s="1" t="s">
        <v>16369</v>
      </c>
      <c r="R4919" s="1" t="s">
        <v>16369</v>
      </c>
      <c r="S4919" s="1"/>
      <c r="T4919" s="1" t="s">
        <v>26</v>
      </c>
      <c r="U4919" s="1"/>
      <c r="V4919" s="1">
        <v>33.51</v>
      </c>
      <c r="W4919" s="1">
        <v>33.51</v>
      </c>
      <c r="X4919" s="1" t="s">
        <v>35</v>
      </c>
      <c r="Y4919" s="1">
        <v>33510</v>
      </c>
      <c r="Z4919" s="1"/>
      <c r="AA4919" s="1">
        <v>33510</v>
      </c>
      <c r="AB4919" s="1"/>
      <c r="AC4919" s="1" t="s">
        <v>36</v>
      </c>
      <c r="AD4919" s="1" t="s">
        <v>16769</v>
      </c>
      <c r="AE4919" s="1" t="s">
        <v>32</v>
      </c>
      <c r="AF4919" s="1" t="s">
        <v>33</v>
      </c>
      <c r="AG4919" s="1" t="s">
        <v>30</v>
      </c>
    </row>
    <row r="4920" spans="1:33">
      <c r="A4920" t="s">
        <v>16770</v>
      </c>
      <c r="C4920" t="s">
        <v>1333</v>
      </c>
      <c r="E4920" t="s">
        <v>16369</v>
      </c>
      <c r="F4920" t="s">
        <v>16370</v>
      </c>
      <c r="G4920">
        <v>292.5</v>
      </c>
      <c r="H4920">
        <v>292.5</v>
      </c>
      <c r="I4920" t="s">
        <v>269</v>
      </c>
      <c r="J4920" t="s">
        <v>270</v>
      </c>
      <c r="K4920" t="s">
        <v>31</v>
      </c>
      <c r="L4920" t="s">
        <v>32</v>
      </c>
      <c r="M4920" t="s">
        <v>33</v>
      </c>
      <c r="P4920" s="1" t="s">
        <v>16771</v>
      </c>
      <c r="Q4920" s="1" t="s">
        <v>16369</v>
      </c>
      <c r="R4920" s="1" t="s">
        <v>16369</v>
      </c>
      <c r="S4920" s="1"/>
      <c r="T4920" s="1" t="s">
        <v>1333</v>
      </c>
      <c r="U4920" s="1"/>
      <c r="V4920" s="1">
        <v>292.5</v>
      </c>
      <c r="W4920" s="1">
        <v>292.5</v>
      </c>
      <c r="X4920" s="1" t="s">
        <v>35</v>
      </c>
      <c r="Y4920" s="1">
        <v>292500</v>
      </c>
      <c r="Z4920" s="1"/>
      <c r="AA4920" s="1">
        <v>292500</v>
      </c>
      <c r="AB4920" s="1"/>
      <c r="AC4920" s="1" t="s">
        <v>36</v>
      </c>
      <c r="AD4920" s="1" t="s">
        <v>16769</v>
      </c>
      <c r="AE4920" s="1" t="s">
        <v>32</v>
      </c>
      <c r="AF4920" s="1" t="s">
        <v>33</v>
      </c>
      <c r="AG4920" s="1" t="s">
        <v>270</v>
      </c>
    </row>
    <row r="4921" spans="1:33">
      <c r="A4921" t="s">
        <v>16772</v>
      </c>
      <c r="B4921" t="s">
        <v>2949</v>
      </c>
      <c r="C4921" t="s">
        <v>314</v>
      </c>
      <c r="E4921" t="s">
        <v>16369</v>
      </c>
      <c r="F4921" t="s">
        <v>16370</v>
      </c>
      <c r="G4921">
        <v>38.774</v>
      </c>
      <c r="H4921">
        <v>38.774</v>
      </c>
      <c r="I4921" t="s">
        <v>179</v>
      </c>
      <c r="J4921" t="s">
        <v>180</v>
      </c>
      <c r="K4921" t="s">
        <v>31</v>
      </c>
      <c r="L4921" t="s">
        <v>32</v>
      </c>
      <c r="M4921" t="s">
        <v>33</v>
      </c>
      <c r="P4921" s="1" t="s">
        <v>16773</v>
      </c>
      <c r="Q4921" s="1" t="s">
        <v>16369</v>
      </c>
      <c r="R4921" s="1" t="s">
        <v>16369</v>
      </c>
      <c r="S4921" s="1"/>
      <c r="T4921" s="1" t="s">
        <v>314</v>
      </c>
      <c r="U4921" s="1"/>
      <c r="V4921" s="1">
        <v>38.774</v>
      </c>
      <c r="W4921" s="1">
        <v>38.774</v>
      </c>
      <c r="X4921" s="1" t="s">
        <v>35</v>
      </c>
      <c r="Y4921" s="1">
        <v>38774</v>
      </c>
      <c r="Z4921" s="1"/>
      <c r="AA4921" s="1">
        <v>38774</v>
      </c>
      <c r="AB4921" s="1"/>
      <c r="AC4921" s="1" t="s">
        <v>36</v>
      </c>
      <c r="AD4921" s="1" t="s">
        <v>16769</v>
      </c>
      <c r="AE4921" s="1" t="s">
        <v>32</v>
      </c>
      <c r="AF4921" s="1" t="s">
        <v>33</v>
      </c>
      <c r="AG4921" s="1" t="s">
        <v>180</v>
      </c>
    </row>
    <row r="4922" spans="1:33">
      <c r="A4922" t="s">
        <v>16774</v>
      </c>
      <c r="C4922" t="s">
        <v>7992</v>
      </c>
      <c r="E4922" t="s">
        <v>16369</v>
      </c>
      <c r="F4922" t="s">
        <v>16370</v>
      </c>
      <c r="G4922">
        <v>4.262</v>
      </c>
      <c r="H4922">
        <v>4.262</v>
      </c>
      <c r="I4922" t="s">
        <v>269</v>
      </c>
      <c r="J4922" t="s">
        <v>270</v>
      </c>
      <c r="K4922" t="s">
        <v>31</v>
      </c>
      <c r="L4922" t="s">
        <v>32</v>
      </c>
      <c r="M4922" t="s">
        <v>33</v>
      </c>
      <c r="P4922" s="1" t="s">
        <v>16775</v>
      </c>
      <c r="Q4922" s="1" t="s">
        <v>16369</v>
      </c>
      <c r="R4922" s="1" t="s">
        <v>16369</v>
      </c>
      <c r="S4922" s="1"/>
      <c r="T4922" s="1" t="s">
        <v>7992</v>
      </c>
      <c r="U4922" s="1"/>
      <c r="V4922" s="1">
        <v>4.262</v>
      </c>
      <c r="W4922" s="1">
        <v>4.262</v>
      </c>
      <c r="X4922" s="1" t="s">
        <v>35</v>
      </c>
      <c r="Y4922" s="1">
        <v>4262500</v>
      </c>
      <c r="Z4922" s="1"/>
      <c r="AA4922" s="1">
        <v>4262500</v>
      </c>
      <c r="AB4922" s="1"/>
      <c r="AC4922" s="1" t="s">
        <v>36</v>
      </c>
      <c r="AD4922" s="1" t="s">
        <v>16776</v>
      </c>
      <c r="AE4922" s="1" t="s">
        <v>32</v>
      </c>
      <c r="AF4922" s="1" t="s">
        <v>33</v>
      </c>
      <c r="AG4922" s="1" t="s">
        <v>270</v>
      </c>
    </row>
    <row r="4923" spans="1:33">
      <c r="A4923" t="s">
        <v>16777</v>
      </c>
      <c r="C4923" t="s">
        <v>405</v>
      </c>
      <c r="E4923" t="s">
        <v>16369</v>
      </c>
      <c r="F4923" t="s">
        <v>16370</v>
      </c>
      <c r="G4923">
        <v>1.626</v>
      </c>
      <c r="H4923">
        <v>1.626</v>
      </c>
      <c r="I4923" t="s">
        <v>269</v>
      </c>
      <c r="J4923" t="s">
        <v>270</v>
      </c>
      <c r="K4923" t="s">
        <v>31</v>
      </c>
      <c r="L4923" t="s">
        <v>32</v>
      </c>
      <c r="M4923" t="s">
        <v>33</v>
      </c>
      <c r="P4923" s="1" t="s">
        <v>16778</v>
      </c>
      <c r="Q4923" s="1" t="s">
        <v>16369</v>
      </c>
      <c r="R4923" s="1" t="s">
        <v>16369</v>
      </c>
      <c r="S4923" s="1"/>
      <c r="T4923" s="1" t="s">
        <v>405</v>
      </c>
      <c r="U4923" s="1"/>
      <c r="V4923" s="1">
        <v>1.626</v>
      </c>
      <c r="W4923" s="1">
        <v>1.626</v>
      </c>
      <c r="X4923" s="1" t="s">
        <v>35</v>
      </c>
      <c r="Y4923" s="1">
        <v>1626000</v>
      </c>
      <c r="Z4923" s="1"/>
      <c r="AA4923" s="1">
        <v>1626000</v>
      </c>
      <c r="AB4923" s="1"/>
      <c r="AC4923" s="1" t="s">
        <v>36</v>
      </c>
      <c r="AD4923" s="1" t="s">
        <v>16779</v>
      </c>
      <c r="AE4923" s="1" t="s">
        <v>32</v>
      </c>
      <c r="AF4923" s="1" t="s">
        <v>33</v>
      </c>
      <c r="AG4923" s="1" t="s">
        <v>270</v>
      </c>
    </row>
    <row r="4924" spans="1:33">
      <c r="A4924" t="s">
        <v>16780</v>
      </c>
      <c r="B4924" t="s">
        <v>16781</v>
      </c>
      <c r="C4924" t="s">
        <v>47</v>
      </c>
      <c r="E4924" t="s">
        <v>16369</v>
      </c>
      <c r="F4924" t="s">
        <v>16370</v>
      </c>
      <c r="G4924">
        <v>64.48</v>
      </c>
      <c r="H4924">
        <v>64.48</v>
      </c>
      <c r="I4924" t="s">
        <v>2206</v>
      </c>
      <c r="J4924" t="s">
        <v>49</v>
      </c>
      <c r="K4924" t="s">
        <v>31</v>
      </c>
      <c r="L4924" t="s">
        <v>32</v>
      </c>
      <c r="M4924" t="s">
        <v>33</v>
      </c>
      <c r="P4924" s="1" t="s">
        <v>16782</v>
      </c>
      <c r="Q4924" s="1" t="s">
        <v>16369</v>
      </c>
      <c r="R4924" s="1" t="s">
        <v>16369</v>
      </c>
      <c r="S4924" s="1"/>
      <c r="T4924" s="1" t="s">
        <v>47</v>
      </c>
      <c r="U4924" s="1"/>
      <c r="V4924" s="1">
        <v>64.48</v>
      </c>
      <c r="W4924" s="1">
        <v>64.48</v>
      </c>
      <c r="X4924" s="1" t="s">
        <v>35</v>
      </c>
      <c r="Y4924" s="1">
        <v>64480</v>
      </c>
      <c r="Z4924" s="1"/>
      <c r="AA4924" s="1">
        <v>64480</v>
      </c>
      <c r="AB4924" s="1"/>
      <c r="AC4924" s="1" t="s">
        <v>36</v>
      </c>
      <c r="AD4924" s="1" t="s">
        <v>16783</v>
      </c>
      <c r="AE4924" s="1" t="s">
        <v>32</v>
      </c>
      <c r="AF4924" s="1" t="s">
        <v>33</v>
      </c>
      <c r="AG4924" s="1" t="s">
        <v>49</v>
      </c>
    </row>
    <row r="4925" spans="1:33">
      <c r="A4925" t="s">
        <v>16784</v>
      </c>
      <c r="C4925" t="s">
        <v>3449</v>
      </c>
      <c r="E4925" t="s">
        <v>16369</v>
      </c>
      <c r="F4925" t="s">
        <v>16370</v>
      </c>
      <c r="G4925">
        <v>1.844</v>
      </c>
      <c r="H4925">
        <v>1.844</v>
      </c>
      <c r="I4925" t="s">
        <v>847</v>
      </c>
      <c r="J4925" t="s">
        <v>848</v>
      </c>
      <c r="K4925" t="s">
        <v>31</v>
      </c>
      <c r="L4925" t="s">
        <v>32</v>
      </c>
      <c r="M4925" t="s">
        <v>33</v>
      </c>
      <c r="P4925" s="1" t="s">
        <v>16785</v>
      </c>
      <c r="Q4925" s="1" t="s">
        <v>16369</v>
      </c>
      <c r="R4925" s="1" t="s">
        <v>16369</v>
      </c>
      <c r="S4925" s="1"/>
      <c r="T4925" s="1" t="s">
        <v>3449</v>
      </c>
      <c r="U4925" s="1"/>
      <c r="V4925" s="1">
        <v>1.844</v>
      </c>
      <c r="W4925" s="1">
        <v>1.844</v>
      </c>
      <c r="X4925" s="1" t="s">
        <v>35</v>
      </c>
      <c r="Y4925" s="1">
        <v>1844300</v>
      </c>
      <c r="Z4925" s="1"/>
      <c r="AA4925" s="1">
        <v>1844300</v>
      </c>
      <c r="AB4925" s="1"/>
      <c r="AC4925" s="1" t="s">
        <v>36</v>
      </c>
      <c r="AD4925" s="1" t="s">
        <v>16755</v>
      </c>
      <c r="AE4925" s="1" t="s">
        <v>32</v>
      </c>
      <c r="AF4925" s="1" t="s">
        <v>33</v>
      </c>
      <c r="AG4925" s="1" t="s">
        <v>848</v>
      </c>
    </row>
    <row r="4926" spans="1:33">
      <c r="A4926" t="s">
        <v>16786</v>
      </c>
      <c r="C4926" t="s">
        <v>9058</v>
      </c>
      <c r="E4926" t="s">
        <v>16369</v>
      </c>
      <c r="F4926" t="s">
        <v>16370</v>
      </c>
      <c r="G4926">
        <v>328.0</v>
      </c>
      <c r="H4926">
        <v>328.0</v>
      </c>
      <c r="I4926" t="s">
        <v>269</v>
      </c>
      <c r="J4926" t="s">
        <v>270</v>
      </c>
      <c r="K4926" t="s">
        <v>31</v>
      </c>
      <c r="L4926" t="s">
        <v>32</v>
      </c>
      <c r="M4926" t="s">
        <v>33</v>
      </c>
      <c r="P4926" s="1" t="s">
        <v>16787</v>
      </c>
      <c r="Q4926" s="1" t="s">
        <v>16369</v>
      </c>
      <c r="R4926" s="1" t="s">
        <v>16369</v>
      </c>
      <c r="S4926" s="1"/>
      <c r="T4926" s="1" t="s">
        <v>9058</v>
      </c>
      <c r="U4926" s="1"/>
      <c r="V4926" s="1">
        <v>328.0</v>
      </c>
      <c r="W4926" s="1">
        <v>328.0</v>
      </c>
      <c r="X4926" s="1" t="s">
        <v>35</v>
      </c>
      <c r="Y4926" s="1">
        <v>328000</v>
      </c>
      <c r="Z4926" s="1"/>
      <c r="AA4926" s="1">
        <v>328000</v>
      </c>
      <c r="AB4926" s="1"/>
      <c r="AC4926" s="1" t="s">
        <v>36</v>
      </c>
      <c r="AD4926" s="1" t="s">
        <v>16788</v>
      </c>
      <c r="AE4926" s="1" t="s">
        <v>32</v>
      </c>
      <c r="AF4926" s="1" t="s">
        <v>33</v>
      </c>
      <c r="AG4926" s="1" t="s">
        <v>270</v>
      </c>
    </row>
    <row r="4927" spans="1:33">
      <c r="A4927" t="s">
        <v>16789</v>
      </c>
      <c r="B4927" t="s">
        <v>16790</v>
      </c>
      <c r="C4927" t="s">
        <v>314</v>
      </c>
      <c r="E4927" t="s">
        <v>16369</v>
      </c>
      <c r="F4927" t="s">
        <v>16370</v>
      </c>
      <c r="G4927">
        <v>8.94</v>
      </c>
      <c r="H4927">
        <v>8.94</v>
      </c>
      <c r="I4927" t="s">
        <v>179</v>
      </c>
      <c r="J4927" t="s">
        <v>180</v>
      </c>
      <c r="K4927" t="s">
        <v>31</v>
      </c>
      <c r="L4927" t="s">
        <v>32</v>
      </c>
      <c r="M4927" t="s">
        <v>33</v>
      </c>
      <c r="P4927" s="1" t="s">
        <v>16791</v>
      </c>
      <c r="Q4927" s="1" t="s">
        <v>16369</v>
      </c>
      <c r="R4927" s="1" t="s">
        <v>16369</v>
      </c>
      <c r="S4927" s="1"/>
      <c r="T4927" s="1" t="s">
        <v>314</v>
      </c>
      <c r="U4927" s="1"/>
      <c r="V4927" s="1">
        <v>8.94</v>
      </c>
      <c r="W4927" s="1">
        <v>8.94</v>
      </c>
      <c r="X4927" s="1" t="s">
        <v>35</v>
      </c>
      <c r="Y4927" s="1">
        <v>8940</v>
      </c>
      <c r="Z4927" s="1"/>
      <c r="AA4927" s="1">
        <v>8940</v>
      </c>
      <c r="AB4927" s="1"/>
      <c r="AC4927" s="1" t="s">
        <v>36</v>
      </c>
      <c r="AD4927" s="1" t="s">
        <v>16792</v>
      </c>
      <c r="AE4927" s="1" t="s">
        <v>32</v>
      </c>
      <c r="AF4927" s="1" t="s">
        <v>33</v>
      </c>
      <c r="AG4927" s="1" t="s">
        <v>180</v>
      </c>
    </row>
    <row r="4928" spans="1:33">
      <c r="A4928" t="s">
        <v>16793</v>
      </c>
      <c r="B4928" t="s">
        <v>16794</v>
      </c>
      <c r="C4928" t="s">
        <v>268</v>
      </c>
      <c r="E4928" t="s">
        <v>16369</v>
      </c>
      <c r="F4928" t="s">
        <v>16370</v>
      </c>
      <c r="G4928">
        <v>123.15</v>
      </c>
      <c r="H4928">
        <v>123.15</v>
      </c>
      <c r="I4928" t="s">
        <v>269</v>
      </c>
      <c r="J4928" t="s">
        <v>270</v>
      </c>
      <c r="K4928" t="s">
        <v>31</v>
      </c>
      <c r="L4928" t="s">
        <v>32</v>
      </c>
      <c r="M4928" t="s">
        <v>33</v>
      </c>
      <c r="P4928" s="1" t="s">
        <v>16795</v>
      </c>
      <c r="Q4928" s="1" t="s">
        <v>16369</v>
      </c>
      <c r="R4928" s="1" t="s">
        <v>16369</v>
      </c>
      <c r="S4928" s="1"/>
      <c r="T4928" s="1" t="s">
        <v>268</v>
      </c>
      <c r="U4928" s="1"/>
      <c r="V4928" s="1">
        <v>123.15</v>
      </c>
      <c r="W4928" s="1">
        <v>123.15</v>
      </c>
      <c r="X4928" s="1" t="s">
        <v>35</v>
      </c>
      <c r="Y4928" s="1">
        <v>123150</v>
      </c>
      <c r="Z4928" s="1"/>
      <c r="AA4928" s="1">
        <v>123150</v>
      </c>
      <c r="AB4928" s="1"/>
      <c r="AC4928" s="1" t="s">
        <v>36</v>
      </c>
      <c r="AD4928" s="1" t="s">
        <v>16796</v>
      </c>
      <c r="AE4928" s="1" t="s">
        <v>32</v>
      </c>
      <c r="AF4928" s="1" t="s">
        <v>33</v>
      </c>
      <c r="AG4928" s="1" t="s">
        <v>270</v>
      </c>
    </row>
    <row r="4929" spans="1:33">
      <c r="A4929" t="s">
        <v>16797</v>
      </c>
      <c r="C4929" t="s">
        <v>11604</v>
      </c>
      <c r="E4929" t="s">
        <v>16369</v>
      </c>
      <c r="F4929" t="s">
        <v>16370</v>
      </c>
      <c r="G4929">
        <v>407.0</v>
      </c>
      <c r="H4929">
        <v>407.0</v>
      </c>
      <c r="I4929" t="s">
        <v>269</v>
      </c>
      <c r="J4929" t="s">
        <v>270</v>
      </c>
      <c r="K4929" t="s">
        <v>31</v>
      </c>
      <c r="L4929" t="s">
        <v>32</v>
      </c>
      <c r="M4929" t="s">
        <v>33</v>
      </c>
      <c r="P4929" s="1" t="s">
        <v>16798</v>
      </c>
      <c r="Q4929" s="1" t="s">
        <v>16369</v>
      </c>
      <c r="R4929" s="1" t="s">
        <v>16369</v>
      </c>
      <c r="S4929" s="1"/>
      <c r="T4929" s="1" t="s">
        <v>11604</v>
      </c>
      <c r="U4929" s="1"/>
      <c r="V4929" s="1">
        <v>407.0</v>
      </c>
      <c r="W4929" s="1">
        <v>407.0</v>
      </c>
      <c r="X4929" s="1" t="s">
        <v>35</v>
      </c>
      <c r="Y4929" s="1">
        <v>407000</v>
      </c>
      <c r="Z4929" s="1"/>
      <c r="AA4929" s="1">
        <v>407000</v>
      </c>
      <c r="AB4929" s="1"/>
      <c r="AC4929" s="1" t="s">
        <v>36</v>
      </c>
      <c r="AD4929" s="1" t="s">
        <v>16799</v>
      </c>
      <c r="AE4929" s="1" t="s">
        <v>32</v>
      </c>
      <c r="AF4929" s="1" t="s">
        <v>33</v>
      </c>
      <c r="AG4929" s="1" t="s">
        <v>270</v>
      </c>
    </row>
    <row r="4930" spans="1:33">
      <c r="A4930" t="s">
        <v>16800</v>
      </c>
      <c r="B4930" t="s">
        <v>16801</v>
      </c>
      <c r="C4930" t="s">
        <v>906</v>
      </c>
      <c r="E4930" t="s">
        <v>16369</v>
      </c>
      <c r="F4930" t="s">
        <v>16370</v>
      </c>
      <c r="G4930">
        <v>13.58</v>
      </c>
      <c r="H4930">
        <v>13.58</v>
      </c>
      <c r="I4930" t="s">
        <v>847</v>
      </c>
      <c r="J4930" t="s">
        <v>848</v>
      </c>
      <c r="K4930" t="s">
        <v>31</v>
      </c>
      <c r="L4930" t="s">
        <v>32</v>
      </c>
      <c r="M4930" t="s">
        <v>33</v>
      </c>
      <c r="P4930" s="1" t="s">
        <v>16802</v>
      </c>
      <c r="Q4930" s="1" t="s">
        <v>16369</v>
      </c>
      <c r="R4930" s="1" t="s">
        <v>16369</v>
      </c>
      <c r="S4930" s="1"/>
      <c r="T4930" s="1" t="s">
        <v>906</v>
      </c>
      <c r="U4930" s="1"/>
      <c r="V4930" s="1">
        <v>13.58</v>
      </c>
      <c r="W4930" s="1">
        <v>13.58</v>
      </c>
      <c r="X4930" s="1" t="s">
        <v>35</v>
      </c>
      <c r="Y4930" s="1">
        <v>13580</v>
      </c>
      <c r="Z4930" s="1"/>
      <c r="AA4930" s="1">
        <v>13580</v>
      </c>
      <c r="AB4930" s="1"/>
      <c r="AC4930" s="1" t="s">
        <v>36</v>
      </c>
      <c r="AD4930" s="1" t="s">
        <v>16803</v>
      </c>
      <c r="AE4930" s="1" t="s">
        <v>32</v>
      </c>
      <c r="AF4930" s="1" t="s">
        <v>33</v>
      </c>
      <c r="AG4930" s="1" t="s">
        <v>848</v>
      </c>
    </row>
    <row r="4931" spans="1:33">
      <c r="A4931" t="s">
        <v>16804</v>
      </c>
      <c r="B4931" t="s">
        <v>2561</v>
      </c>
      <c r="C4931" t="s">
        <v>68</v>
      </c>
      <c r="E4931" t="s">
        <v>16369</v>
      </c>
      <c r="F4931" t="s">
        <v>16370</v>
      </c>
      <c r="G4931">
        <v>3.5</v>
      </c>
      <c r="H4931">
        <v>3.5</v>
      </c>
      <c r="I4931" t="s">
        <v>59</v>
      </c>
      <c r="J4931" t="s">
        <v>60</v>
      </c>
      <c r="K4931" t="s">
        <v>31</v>
      </c>
      <c r="L4931" t="s">
        <v>32</v>
      </c>
      <c r="M4931" t="s">
        <v>33</v>
      </c>
      <c r="P4931" s="1" t="s">
        <v>16805</v>
      </c>
      <c r="Q4931" s="1" t="s">
        <v>16369</v>
      </c>
      <c r="R4931" s="1" t="s">
        <v>16369</v>
      </c>
      <c r="S4931" s="1"/>
      <c r="T4931" s="1" t="s">
        <v>68</v>
      </c>
      <c r="U4931" s="1"/>
      <c r="V4931" s="1">
        <v>3.5</v>
      </c>
      <c r="W4931" s="1">
        <v>3.5</v>
      </c>
      <c r="X4931" s="1" t="s">
        <v>35</v>
      </c>
      <c r="Y4931" s="1">
        <v>3500</v>
      </c>
      <c r="Z4931" s="1"/>
      <c r="AA4931" s="1">
        <v>3500</v>
      </c>
      <c r="AB4931" s="1"/>
      <c r="AC4931" s="1" t="s">
        <v>36</v>
      </c>
      <c r="AD4931" s="1" t="s">
        <v>16796</v>
      </c>
      <c r="AE4931" s="1" t="s">
        <v>32</v>
      </c>
      <c r="AF4931" s="1" t="s">
        <v>33</v>
      </c>
      <c r="AG4931" s="1" t="s">
        <v>60</v>
      </c>
    </row>
    <row r="4932" spans="1:33">
      <c r="A4932" t="s">
        <v>16806</v>
      </c>
      <c r="C4932" t="s">
        <v>1197</v>
      </c>
      <c r="D4932" t="s">
        <v>154</v>
      </c>
      <c r="E4932" t="s">
        <v>16369</v>
      </c>
      <c r="F4932" t="s">
        <v>16370</v>
      </c>
      <c r="G4932">
        <v>1.08</v>
      </c>
      <c r="H4932">
        <v>1.08</v>
      </c>
      <c r="I4932" t="s">
        <v>269</v>
      </c>
      <c r="J4932" t="s">
        <v>270</v>
      </c>
      <c r="K4932" t="s">
        <v>31</v>
      </c>
      <c r="L4932" t="s">
        <v>32</v>
      </c>
      <c r="M4932" t="s">
        <v>33</v>
      </c>
      <c r="P4932" s="1" t="s">
        <v>16807</v>
      </c>
      <c r="Q4932" s="1" t="s">
        <v>16369</v>
      </c>
      <c r="R4932" s="1" t="s">
        <v>16369</v>
      </c>
      <c r="S4932" s="1"/>
      <c r="T4932" s="1" t="s">
        <v>1197</v>
      </c>
      <c r="U4932" s="1"/>
      <c r="V4932" s="1">
        <v>1.08</v>
      </c>
      <c r="W4932" s="1">
        <v>1.08</v>
      </c>
      <c r="X4932" s="1" t="s">
        <v>35</v>
      </c>
      <c r="Y4932" s="1">
        <v>1080000</v>
      </c>
      <c r="Z4932" s="1"/>
      <c r="AA4932" s="1">
        <v>1080000</v>
      </c>
      <c r="AB4932" s="1"/>
      <c r="AC4932" s="1" t="s">
        <v>36</v>
      </c>
      <c r="AD4932" s="1" t="s">
        <v>16808</v>
      </c>
      <c r="AE4932" s="1" t="s">
        <v>32</v>
      </c>
      <c r="AF4932" s="1" t="s">
        <v>33</v>
      </c>
      <c r="AG4932" s="1" t="s">
        <v>270</v>
      </c>
    </row>
    <row r="4933" spans="1:33">
      <c r="A4933" t="s">
        <v>16809</v>
      </c>
      <c r="C4933" t="s">
        <v>1617</v>
      </c>
      <c r="E4933" t="s">
        <v>16369</v>
      </c>
      <c r="F4933" t="s">
        <v>16370</v>
      </c>
      <c r="G4933">
        <v>1.351</v>
      </c>
      <c r="H4933">
        <v>1.351</v>
      </c>
      <c r="I4933" t="s">
        <v>847</v>
      </c>
      <c r="J4933" t="s">
        <v>848</v>
      </c>
      <c r="K4933" t="s">
        <v>31</v>
      </c>
      <c r="L4933" t="s">
        <v>32</v>
      </c>
      <c r="M4933" t="s">
        <v>33</v>
      </c>
      <c r="P4933" s="1" t="s">
        <v>16810</v>
      </c>
      <c r="Q4933" s="1" t="s">
        <v>16369</v>
      </c>
      <c r="R4933" s="1" t="s">
        <v>16369</v>
      </c>
      <c r="S4933" s="1"/>
      <c r="T4933" s="1" t="s">
        <v>1617</v>
      </c>
      <c r="U4933" s="1"/>
      <c r="V4933" s="1">
        <v>1.351</v>
      </c>
      <c r="W4933" s="1">
        <v>1.351</v>
      </c>
      <c r="X4933" s="1" t="s">
        <v>35</v>
      </c>
      <c r="Y4933" s="1">
        <v>1351100</v>
      </c>
      <c r="Z4933" s="1"/>
      <c r="AA4933" s="1">
        <v>1351100</v>
      </c>
      <c r="AB4933" s="1"/>
      <c r="AC4933" s="1" t="s">
        <v>36</v>
      </c>
      <c r="AD4933" s="1" t="s">
        <v>16811</v>
      </c>
      <c r="AE4933" s="1" t="s">
        <v>32</v>
      </c>
      <c r="AF4933" s="1" t="s">
        <v>33</v>
      </c>
      <c r="AG4933" s="1" t="s">
        <v>848</v>
      </c>
    </row>
    <row r="4934" spans="1:33">
      <c r="A4934" t="s">
        <v>16812</v>
      </c>
      <c r="C4934" t="s">
        <v>2704</v>
      </c>
      <c r="E4934" t="s">
        <v>16369</v>
      </c>
      <c r="F4934" t="s">
        <v>16370</v>
      </c>
      <c r="G4934">
        <v>3.183</v>
      </c>
      <c r="H4934">
        <v>3.183</v>
      </c>
      <c r="I4934" t="s">
        <v>94</v>
      </c>
      <c r="J4934" t="s">
        <v>95</v>
      </c>
      <c r="K4934" t="s">
        <v>31</v>
      </c>
      <c r="L4934" t="s">
        <v>32</v>
      </c>
      <c r="M4934" t="s">
        <v>33</v>
      </c>
      <c r="P4934" s="1" t="s">
        <v>16813</v>
      </c>
      <c r="Q4934" s="1" t="s">
        <v>16369</v>
      </c>
      <c r="R4934" s="1" t="s">
        <v>16369</v>
      </c>
      <c r="S4934" s="1"/>
      <c r="T4934" s="1" t="s">
        <v>2704</v>
      </c>
      <c r="U4934" s="1"/>
      <c r="V4934" s="1">
        <v>3.183</v>
      </c>
      <c r="W4934" s="1">
        <v>3.183</v>
      </c>
      <c r="X4934" s="1" t="s">
        <v>35</v>
      </c>
      <c r="Y4934" s="1">
        <v>3183750</v>
      </c>
      <c r="Z4934" s="1"/>
      <c r="AA4934" s="1">
        <v>3183750</v>
      </c>
      <c r="AB4934" s="1"/>
      <c r="AC4934" s="1" t="s">
        <v>36</v>
      </c>
      <c r="AD4934" s="1" t="s">
        <v>16788</v>
      </c>
      <c r="AE4934" s="1" t="s">
        <v>32</v>
      </c>
      <c r="AF4934" s="1" t="s">
        <v>33</v>
      </c>
      <c r="AG4934" s="1" t="s">
        <v>95</v>
      </c>
    </row>
    <row r="4935" spans="1:33">
      <c r="A4935" t="s">
        <v>16814</v>
      </c>
      <c r="B4935" t="s">
        <v>4987</v>
      </c>
      <c r="C4935" t="s">
        <v>314</v>
      </c>
      <c r="E4935" t="s">
        <v>16369</v>
      </c>
      <c r="F4935" t="s">
        <v>16370</v>
      </c>
      <c r="G4935">
        <v>19.5</v>
      </c>
      <c r="H4935">
        <v>19.5</v>
      </c>
      <c r="I4935" t="s">
        <v>179</v>
      </c>
      <c r="J4935" t="s">
        <v>180</v>
      </c>
      <c r="K4935" t="s">
        <v>31</v>
      </c>
      <c r="L4935" t="s">
        <v>32</v>
      </c>
      <c r="M4935" t="s">
        <v>33</v>
      </c>
      <c r="P4935" s="1" t="s">
        <v>16815</v>
      </c>
      <c r="Q4935" s="1" t="s">
        <v>16369</v>
      </c>
      <c r="R4935" s="1" t="s">
        <v>16369</v>
      </c>
      <c r="S4935" s="1"/>
      <c r="T4935" s="1" t="s">
        <v>314</v>
      </c>
      <c r="U4935" s="1"/>
      <c r="V4935" s="1">
        <v>19.5</v>
      </c>
      <c r="W4935" s="1">
        <v>19.5</v>
      </c>
      <c r="X4935" s="1" t="s">
        <v>35</v>
      </c>
      <c r="Y4935" s="1">
        <v>19500</v>
      </c>
      <c r="Z4935" s="1"/>
      <c r="AA4935" s="1">
        <v>19500</v>
      </c>
      <c r="AB4935" s="1"/>
      <c r="AC4935" s="1" t="s">
        <v>36</v>
      </c>
      <c r="AD4935" s="1" t="s">
        <v>16808</v>
      </c>
      <c r="AE4935" s="1" t="s">
        <v>32</v>
      </c>
      <c r="AF4935" s="1" t="s">
        <v>33</v>
      </c>
      <c r="AG4935" s="1" t="s">
        <v>180</v>
      </c>
    </row>
    <row r="4936" spans="1:33">
      <c r="A4936" t="s">
        <v>16816</v>
      </c>
      <c r="B4936" t="s">
        <v>16817</v>
      </c>
      <c r="C4936" t="s">
        <v>47</v>
      </c>
      <c r="E4936" t="s">
        <v>16369</v>
      </c>
      <c r="F4936" t="s">
        <v>16370</v>
      </c>
      <c r="G4936">
        <v>342.85</v>
      </c>
      <c r="H4936">
        <v>342.85</v>
      </c>
      <c r="I4936" t="s">
        <v>2206</v>
      </c>
      <c r="J4936" t="s">
        <v>49</v>
      </c>
      <c r="K4936" t="s">
        <v>31</v>
      </c>
      <c r="L4936" t="s">
        <v>32</v>
      </c>
      <c r="M4936" t="s">
        <v>33</v>
      </c>
      <c r="P4936" s="1" t="s">
        <v>16818</v>
      </c>
      <c r="Q4936" s="1" t="s">
        <v>16369</v>
      </c>
      <c r="R4936" s="1" t="s">
        <v>16369</v>
      </c>
      <c r="S4936" s="1"/>
      <c r="T4936" s="1" t="s">
        <v>47</v>
      </c>
      <c r="U4936" s="1"/>
      <c r="V4936" s="1">
        <v>342.85</v>
      </c>
      <c r="W4936" s="1">
        <v>342.85</v>
      </c>
      <c r="X4936" s="1" t="s">
        <v>35</v>
      </c>
      <c r="Y4936" s="1">
        <v>342850</v>
      </c>
      <c r="Z4936" s="1"/>
      <c r="AA4936" s="1">
        <v>342850</v>
      </c>
      <c r="AB4936" s="1"/>
      <c r="AC4936" s="1" t="s">
        <v>36</v>
      </c>
      <c r="AD4936" s="1" t="s">
        <v>16819</v>
      </c>
      <c r="AE4936" s="1" t="s">
        <v>32</v>
      </c>
      <c r="AF4936" s="1" t="s">
        <v>33</v>
      </c>
      <c r="AG4936" s="1" t="s">
        <v>49</v>
      </c>
    </row>
    <row r="4937" spans="1:33">
      <c r="A4937" t="s">
        <v>16820</v>
      </c>
      <c r="B4937" t="s">
        <v>16790</v>
      </c>
      <c r="C4937" t="s">
        <v>314</v>
      </c>
      <c r="E4937" t="s">
        <v>16369</v>
      </c>
      <c r="F4937" t="s">
        <v>16370</v>
      </c>
      <c r="G4937">
        <v>8.94</v>
      </c>
      <c r="H4937">
        <v>8.94</v>
      </c>
      <c r="I4937" t="s">
        <v>179</v>
      </c>
      <c r="J4937" t="s">
        <v>180</v>
      </c>
      <c r="K4937" t="s">
        <v>31</v>
      </c>
      <c r="L4937" t="s">
        <v>32</v>
      </c>
      <c r="M4937" t="s">
        <v>33</v>
      </c>
      <c r="P4937" s="1" t="s">
        <v>16821</v>
      </c>
      <c r="Q4937" s="1" t="s">
        <v>16369</v>
      </c>
      <c r="R4937" s="1" t="s">
        <v>16369</v>
      </c>
      <c r="S4937" s="1"/>
      <c r="T4937" s="1" t="s">
        <v>314</v>
      </c>
      <c r="U4937" s="1"/>
      <c r="V4937" s="1">
        <v>8.94</v>
      </c>
      <c r="W4937" s="1">
        <v>8.94</v>
      </c>
      <c r="X4937" s="1" t="s">
        <v>35</v>
      </c>
      <c r="Y4937" s="1">
        <v>8940</v>
      </c>
      <c r="Z4937" s="1"/>
      <c r="AA4937" s="1">
        <v>8940</v>
      </c>
      <c r="AB4937" s="1"/>
      <c r="AC4937" s="1" t="s">
        <v>36</v>
      </c>
      <c r="AD4937" s="1" t="s">
        <v>16822</v>
      </c>
      <c r="AE4937" s="1" t="s">
        <v>32</v>
      </c>
      <c r="AF4937" s="1" t="s">
        <v>33</v>
      </c>
      <c r="AG4937" s="1" t="s">
        <v>180</v>
      </c>
    </row>
    <row r="4938" spans="1:33">
      <c r="A4938" t="s">
        <v>16823</v>
      </c>
      <c r="B4938" t="s">
        <v>16824</v>
      </c>
      <c r="C4938" t="s">
        <v>314</v>
      </c>
      <c r="E4938" t="s">
        <v>16369</v>
      </c>
      <c r="F4938" t="s">
        <v>16370</v>
      </c>
      <c r="G4938">
        <v>33.74</v>
      </c>
      <c r="H4938">
        <v>33.74</v>
      </c>
      <c r="I4938" t="s">
        <v>179</v>
      </c>
      <c r="J4938" t="s">
        <v>180</v>
      </c>
      <c r="K4938" t="s">
        <v>31</v>
      </c>
      <c r="L4938" t="s">
        <v>32</v>
      </c>
      <c r="M4938" t="s">
        <v>33</v>
      </c>
      <c r="P4938" s="1" t="s">
        <v>16825</v>
      </c>
      <c r="Q4938" s="1" t="s">
        <v>16369</v>
      </c>
      <c r="R4938" s="1" t="s">
        <v>16369</v>
      </c>
      <c r="S4938" s="1"/>
      <c r="T4938" s="1" t="s">
        <v>314</v>
      </c>
      <c r="U4938" s="1"/>
      <c r="V4938" s="1">
        <v>33.74</v>
      </c>
      <c r="W4938" s="1">
        <v>33.74</v>
      </c>
      <c r="X4938" s="1" t="s">
        <v>35</v>
      </c>
      <c r="Y4938" s="1">
        <v>33740</v>
      </c>
      <c r="Z4938" s="1"/>
      <c r="AA4938" s="1">
        <v>33740</v>
      </c>
      <c r="AB4938" s="1"/>
      <c r="AC4938" s="1" t="s">
        <v>36</v>
      </c>
      <c r="AD4938" s="1" t="s">
        <v>16826</v>
      </c>
      <c r="AE4938" s="1" t="s">
        <v>32</v>
      </c>
      <c r="AF4938" s="1" t="s">
        <v>33</v>
      </c>
      <c r="AG4938" s="1" t="s">
        <v>180</v>
      </c>
    </row>
    <row r="4939" spans="1:33">
      <c r="A4939" t="s">
        <v>16827</v>
      </c>
      <c r="B4939" t="s">
        <v>16828</v>
      </c>
      <c r="C4939" t="s">
        <v>314</v>
      </c>
      <c r="E4939" t="s">
        <v>16369</v>
      </c>
      <c r="F4939" t="s">
        <v>16370</v>
      </c>
      <c r="G4939">
        <v>90.0</v>
      </c>
      <c r="H4939">
        <v>90.0</v>
      </c>
      <c r="I4939" t="s">
        <v>179</v>
      </c>
      <c r="J4939" t="s">
        <v>180</v>
      </c>
      <c r="K4939" t="s">
        <v>31</v>
      </c>
      <c r="L4939" t="s">
        <v>32</v>
      </c>
      <c r="M4939" t="s">
        <v>33</v>
      </c>
      <c r="P4939" s="1" t="s">
        <v>16829</v>
      </c>
      <c r="Q4939" s="1" t="s">
        <v>16369</v>
      </c>
      <c r="R4939" s="1" t="s">
        <v>16369</v>
      </c>
      <c r="S4939" s="1"/>
      <c r="T4939" s="1" t="s">
        <v>314</v>
      </c>
      <c r="U4939" s="1"/>
      <c r="V4939" s="1">
        <v>90.0</v>
      </c>
      <c r="W4939" s="1">
        <v>90.0</v>
      </c>
      <c r="X4939" s="1" t="s">
        <v>35</v>
      </c>
      <c r="Y4939" s="1">
        <v>90000</v>
      </c>
      <c r="Z4939" s="1"/>
      <c r="AA4939" s="1">
        <v>90000</v>
      </c>
      <c r="AB4939" s="1"/>
      <c r="AC4939" s="1" t="s">
        <v>36</v>
      </c>
      <c r="AD4939" s="1" t="s">
        <v>16830</v>
      </c>
      <c r="AE4939" s="1" t="s">
        <v>32</v>
      </c>
      <c r="AF4939" s="1" t="s">
        <v>33</v>
      </c>
      <c r="AG4939" s="1" t="s">
        <v>180</v>
      </c>
    </row>
    <row r="4940" spans="1:33">
      <c r="A4940" t="s">
        <v>16831</v>
      </c>
      <c r="B4940" t="s">
        <v>2643</v>
      </c>
      <c r="C4940" t="s">
        <v>73</v>
      </c>
      <c r="E4940" t="s">
        <v>16369</v>
      </c>
      <c r="F4940" t="s">
        <v>16370</v>
      </c>
      <c r="G4940">
        <v>324.9</v>
      </c>
      <c r="H4940">
        <v>324.9</v>
      </c>
      <c r="I4940" t="s">
        <v>40</v>
      </c>
      <c r="J4940" t="s">
        <v>41</v>
      </c>
      <c r="K4940" t="s">
        <v>31</v>
      </c>
      <c r="L4940" t="s">
        <v>32</v>
      </c>
      <c r="M4940" t="s">
        <v>33</v>
      </c>
      <c r="P4940" s="1" t="s">
        <v>16832</v>
      </c>
      <c r="Q4940" s="1" t="s">
        <v>16369</v>
      </c>
      <c r="R4940" s="1" t="s">
        <v>15359</v>
      </c>
      <c r="S4940" s="1"/>
      <c r="T4940" s="1" t="s">
        <v>75</v>
      </c>
      <c r="U4940" s="1" t="s">
        <v>76</v>
      </c>
      <c r="V4940" s="1">
        <v>324.9</v>
      </c>
      <c r="W4940" s="1">
        <v>324.9</v>
      </c>
      <c r="X4940" s="1" t="s">
        <v>35</v>
      </c>
      <c r="Y4940" s="1">
        <v>324900</v>
      </c>
      <c r="Z4940" s="1"/>
      <c r="AA4940" s="1">
        <v>324900</v>
      </c>
      <c r="AB4940" s="1"/>
      <c r="AC4940" s="1" t="s">
        <v>36</v>
      </c>
      <c r="AD4940" s="1" t="s">
        <v>16833</v>
      </c>
      <c r="AE4940" s="1" t="s">
        <v>32</v>
      </c>
      <c r="AF4940" s="1" t="s">
        <v>33</v>
      </c>
      <c r="AG4940" s="1" t="s">
        <v>41</v>
      </c>
    </row>
    <row r="4941" spans="1:33">
      <c r="A4941" t="s">
        <v>16834</v>
      </c>
      <c r="C4941" t="s">
        <v>2760</v>
      </c>
      <c r="E4941" t="s">
        <v>16369</v>
      </c>
      <c r="F4941" t="s">
        <v>16370</v>
      </c>
      <c r="G4941">
        <v>320.0</v>
      </c>
      <c r="H4941">
        <v>320.0</v>
      </c>
      <c r="I4941" t="s">
        <v>173</v>
      </c>
      <c r="J4941" t="s">
        <v>174</v>
      </c>
      <c r="K4941" t="s">
        <v>31</v>
      </c>
      <c r="L4941" t="s">
        <v>32</v>
      </c>
      <c r="M4941" t="s">
        <v>33</v>
      </c>
      <c r="P4941" s="1" t="s">
        <v>16835</v>
      </c>
      <c r="Q4941" s="1" t="s">
        <v>16369</v>
      </c>
      <c r="R4941" s="1" t="s">
        <v>16369</v>
      </c>
      <c r="S4941" s="1"/>
      <c r="T4941" s="1" t="s">
        <v>2760</v>
      </c>
      <c r="U4941" s="1"/>
      <c r="V4941" s="1">
        <v>320.0</v>
      </c>
      <c r="W4941" s="1">
        <v>320.0</v>
      </c>
      <c r="X4941" s="1" t="s">
        <v>35</v>
      </c>
      <c r="Y4941" s="1">
        <v>320000</v>
      </c>
      <c r="Z4941" s="1"/>
      <c r="AA4941" s="1">
        <v>320000</v>
      </c>
      <c r="AB4941" s="1"/>
      <c r="AC4941" s="1" t="s">
        <v>36</v>
      </c>
      <c r="AD4941" s="1" t="s">
        <v>16836</v>
      </c>
      <c r="AE4941" s="1" t="s">
        <v>32</v>
      </c>
      <c r="AF4941" s="1" t="s">
        <v>33</v>
      </c>
      <c r="AG4941" s="1" t="s">
        <v>174</v>
      </c>
    </row>
    <row r="4942" spans="1:33">
      <c r="A4942" t="s">
        <v>16837</v>
      </c>
      <c r="B4942" t="s">
        <v>16838</v>
      </c>
      <c r="C4942" t="s">
        <v>131</v>
      </c>
      <c r="E4942" t="s">
        <v>16369</v>
      </c>
      <c r="F4942" t="s">
        <v>16370</v>
      </c>
      <c r="G4942">
        <v>2.38</v>
      </c>
      <c r="H4942">
        <v>2.38</v>
      </c>
      <c r="I4942" t="s">
        <v>94</v>
      </c>
      <c r="J4942" t="s">
        <v>95</v>
      </c>
      <c r="K4942" t="s">
        <v>31</v>
      </c>
      <c r="L4942" t="s">
        <v>32</v>
      </c>
      <c r="M4942" t="s">
        <v>33</v>
      </c>
      <c r="P4942" s="1" t="s">
        <v>16839</v>
      </c>
      <c r="Q4942" s="1" t="s">
        <v>16369</v>
      </c>
      <c r="R4942" s="1" t="s">
        <v>16369</v>
      </c>
      <c r="S4942" s="1"/>
      <c r="T4942" s="1" t="s">
        <v>131</v>
      </c>
      <c r="U4942" s="1"/>
      <c r="V4942" s="1">
        <v>2.38</v>
      </c>
      <c r="W4942" s="1">
        <v>2.38</v>
      </c>
      <c r="X4942" s="1" t="s">
        <v>35</v>
      </c>
      <c r="Y4942" s="1">
        <v>2380</v>
      </c>
      <c r="Z4942" s="1"/>
      <c r="AA4942" s="1">
        <v>2380</v>
      </c>
      <c r="AB4942" s="1"/>
      <c r="AC4942" s="1" t="s">
        <v>36</v>
      </c>
      <c r="AD4942" s="1" t="s">
        <v>16840</v>
      </c>
      <c r="AE4942" s="1" t="s">
        <v>32</v>
      </c>
      <c r="AF4942" s="1" t="s">
        <v>33</v>
      </c>
      <c r="AG4942" s="1" t="s">
        <v>95</v>
      </c>
    </row>
    <row r="4943" spans="1:33">
      <c r="A4943" t="s">
        <v>16841</v>
      </c>
      <c r="C4943" t="s">
        <v>4844</v>
      </c>
      <c r="E4943" t="s">
        <v>16369</v>
      </c>
      <c r="F4943" t="s">
        <v>16370</v>
      </c>
      <c r="G4943">
        <v>1.556</v>
      </c>
      <c r="H4943">
        <v>1.556</v>
      </c>
      <c r="I4943" t="s">
        <v>269</v>
      </c>
      <c r="J4943" t="s">
        <v>270</v>
      </c>
      <c r="K4943" t="s">
        <v>31</v>
      </c>
      <c r="L4943" t="s">
        <v>32</v>
      </c>
      <c r="M4943" t="s">
        <v>33</v>
      </c>
      <c r="P4943" s="1" t="s">
        <v>16842</v>
      </c>
      <c r="Q4943" s="1" t="s">
        <v>16369</v>
      </c>
      <c r="R4943" s="1" t="s">
        <v>16369</v>
      </c>
      <c r="S4943" s="1"/>
      <c r="T4943" s="1" t="s">
        <v>4844</v>
      </c>
      <c r="U4943" s="1"/>
      <c r="V4943" s="1">
        <v>1.556</v>
      </c>
      <c r="W4943" s="1">
        <v>1.556</v>
      </c>
      <c r="X4943" s="1" t="s">
        <v>35</v>
      </c>
      <c r="Y4943" s="1">
        <v>1556400</v>
      </c>
      <c r="Z4943" s="1"/>
      <c r="AA4943" s="1">
        <v>1556400</v>
      </c>
      <c r="AB4943" s="1"/>
      <c r="AC4943" s="1" t="s">
        <v>36</v>
      </c>
      <c r="AD4943" s="1" t="s">
        <v>16843</v>
      </c>
      <c r="AE4943" s="1" t="s">
        <v>32</v>
      </c>
      <c r="AF4943" s="1" t="s">
        <v>33</v>
      </c>
      <c r="AG4943" s="1" t="s">
        <v>270</v>
      </c>
    </row>
    <row r="4944" spans="1:33">
      <c r="A4944" t="s">
        <v>16844</v>
      </c>
      <c r="C4944" t="s">
        <v>2588</v>
      </c>
      <c r="E4944" t="s">
        <v>16369</v>
      </c>
      <c r="F4944" t="s">
        <v>16370</v>
      </c>
      <c r="G4944">
        <v>1.219</v>
      </c>
      <c r="H4944">
        <v>1.219</v>
      </c>
      <c r="I4944" t="s">
        <v>269</v>
      </c>
      <c r="J4944" t="s">
        <v>270</v>
      </c>
      <c r="K4944" t="s">
        <v>31</v>
      </c>
      <c r="L4944" t="s">
        <v>32</v>
      </c>
      <c r="M4944" t="s">
        <v>33</v>
      </c>
      <c r="P4944" s="1" t="s">
        <v>16845</v>
      </c>
      <c r="Q4944" s="1" t="s">
        <v>16369</v>
      </c>
      <c r="R4944" s="1" t="s">
        <v>16369</v>
      </c>
      <c r="S4944" s="1"/>
      <c r="T4944" s="1" t="s">
        <v>2588</v>
      </c>
      <c r="U4944" s="1"/>
      <c r="V4944" s="1">
        <v>1.219</v>
      </c>
      <c r="W4944" s="1">
        <v>1.219</v>
      </c>
      <c r="X4944" s="1" t="s">
        <v>35</v>
      </c>
      <c r="Y4944" s="1">
        <v>1219100</v>
      </c>
      <c r="Z4944" s="1"/>
      <c r="AA4944" s="1">
        <v>1219100</v>
      </c>
      <c r="AB4944" s="1"/>
      <c r="AC4944" s="1" t="s">
        <v>36</v>
      </c>
      <c r="AD4944" s="1" t="s">
        <v>16846</v>
      </c>
      <c r="AE4944" s="1" t="s">
        <v>32</v>
      </c>
      <c r="AF4944" s="1" t="s">
        <v>33</v>
      </c>
      <c r="AG4944" s="1" t="s">
        <v>270</v>
      </c>
    </row>
    <row r="4945" spans="1:33">
      <c r="A4945" t="s">
        <v>16847</v>
      </c>
      <c r="B4945" t="s">
        <v>444</v>
      </c>
      <c r="C4945" t="s">
        <v>314</v>
      </c>
      <c r="E4945" t="s">
        <v>16369</v>
      </c>
      <c r="F4945" t="s">
        <v>16370</v>
      </c>
      <c r="G4945">
        <v>37.49</v>
      </c>
      <c r="H4945">
        <v>37.49</v>
      </c>
      <c r="I4945" t="s">
        <v>179</v>
      </c>
      <c r="J4945" t="s">
        <v>180</v>
      </c>
      <c r="K4945" t="s">
        <v>31</v>
      </c>
      <c r="L4945" t="s">
        <v>32</v>
      </c>
      <c r="M4945" t="s">
        <v>33</v>
      </c>
      <c r="P4945" s="1" t="s">
        <v>16848</v>
      </c>
      <c r="Q4945" s="1" t="s">
        <v>16369</v>
      </c>
      <c r="R4945" s="1" t="s">
        <v>16369</v>
      </c>
      <c r="S4945" s="1"/>
      <c r="T4945" s="1" t="s">
        <v>314</v>
      </c>
      <c r="U4945" s="1"/>
      <c r="V4945" s="1">
        <v>37.49</v>
      </c>
      <c r="W4945" s="1">
        <v>37.49</v>
      </c>
      <c r="X4945" s="1" t="s">
        <v>35</v>
      </c>
      <c r="Y4945" s="1">
        <v>37490</v>
      </c>
      <c r="Z4945" s="1"/>
      <c r="AA4945" s="1">
        <v>37490</v>
      </c>
      <c r="AB4945" s="1"/>
      <c r="AC4945" s="1" t="s">
        <v>36</v>
      </c>
      <c r="AD4945" s="1" t="s">
        <v>16849</v>
      </c>
      <c r="AE4945" s="1" t="s">
        <v>32</v>
      </c>
      <c r="AF4945" s="1" t="s">
        <v>33</v>
      </c>
      <c r="AG4945" s="1" t="s">
        <v>180</v>
      </c>
    </row>
    <row r="4946" spans="1:33">
      <c r="A4946" t="s">
        <v>16850</v>
      </c>
      <c r="C4946" t="s">
        <v>2876</v>
      </c>
      <c r="E4946" t="s">
        <v>16369</v>
      </c>
      <c r="F4946" t="s">
        <v>16370</v>
      </c>
      <c r="G4946">
        <v>820.0</v>
      </c>
      <c r="H4946">
        <v>820.0</v>
      </c>
      <c r="I4946" t="s">
        <v>269</v>
      </c>
      <c r="J4946" t="s">
        <v>270</v>
      </c>
      <c r="K4946" t="s">
        <v>31</v>
      </c>
      <c r="L4946" t="s">
        <v>32</v>
      </c>
      <c r="M4946" t="s">
        <v>33</v>
      </c>
      <c r="P4946" s="1" t="s">
        <v>16851</v>
      </c>
      <c r="Q4946" s="1" t="s">
        <v>16369</v>
      </c>
      <c r="R4946" s="1" t="s">
        <v>16369</v>
      </c>
      <c r="S4946" s="1"/>
      <c r="T4946" s="1" t="s">
        <v>2876</v>
      </c>
      <c r="U4946" s="1"/>
      <c r="V4946" s="1">
        <v>820.0</v>
      </c>
      <c r="W4946" s="1">
        <v>820.0</v>
      </c>
      <c r="X4946" s="1" t="s">
        <v>35</v>
      </c>
      <c r="Y4946" s="1">
        <v>820000</v>
      </c>
      <c r="Z4946" s="1"/>
      <c r="AA4946" s="1">
        <v>820000</v>
      </c>
      <c r="AB4946" s="1"/>
      <c r="AC4946" s="1" t="s">
        <v>36</v>
      </c>
      <c r="AD4946" s="1" t="s">
        <v>16852</v>
      </c>
      <c r="AE4946" s="1" t="s">
        <v>32</v>
      </c>
      <c r="AF4946" s="1" t="s">
        <v>33</v>
      </c>
      <c r="AG4946" s="1" t="s">
        <v>270</v>
      </c>
    </row>
    <row r="4947" spans="1:33">
      <c r="A4947" t="s">
        <v>16853</v>
      </c>
      <c r="B4947" t="s">
        <v>206</v>
      </c>
      <c r="C4947" t="s">
        <v>207</v>
      </c>
      <c r="E4947" t="s">
        <v>16369</v>
      </c>
      <c r="F4947" t="s">
        <v>16370</v>
      </c>
      <c r="G4947">
        <v>370.0</v>
      </c>
      <c r="H4947">
        <v>370.0</v>
      </c>
      <c r="I4947" t="s">
        <v>59</v>
      </c>
      <c r="J4947" t="s">
        <v>60</v>
      </c>
      <c r="K4947" t="s">
        <v>31</v>
      </c>
      <c r="L4947" t="s">
        <v>32</v>
      </c>
      <c r="M4947" t="s">
        <v>33</v>
      </c>
      <c r="P4947" s="1" t="s">
        <v>16854</v>
      </c>
      <c r="Q4947" s="1" t="s">
        <v>16369</v>
      </c>
      <c r="R4947" s="1" t="s">
        <v>16369</v>
      </c>
      <c r="S4947" s="1"/>
      <c r="T4947" s="1" t="s">
        <v>207</v>
      </c>
      <c r="U4947" s="1"/>
      <c r="V4947" s="1">
        <v>370.0</v>
      </c>
      <c r="W4947" s="1">
        <v>370.0</v>
      </c>
      <c r="X4947" s="1" t="s">
        <v>35</v>
      </c>
      <c r="Y4947" s="1">
        <v>370000</v>
      </c>
      <c r="Z4947" s="1"/>
      <c r="AA4947" s="1">
        <v>370000</v>
      </c>
      <c r="AB4947" s="1"/>
      <c r="AC4947" s="1" t="s">
        <v>36</v>
      </c>
      <c r="AD4947" s="1" t="s">
        <v>16846</v>
      </c>
      <c r="AE4947" s="1" t="s">
        <v>32</v>
      </c>
      <c r="AF4947" s="1" t="s">
        <v>33</v>
      </c>
      <c r="AG4947" s="1" t="s">
        <v>60</v>
      </c>
    </row>
    <row r="4948" spans="1:33">
      <c r="A4948" t="s">
        <v>16855</v>
      </c>
      <c r="B4948" t="s">
        <v>16856</v>
      </c>
      <c r="C4948" t="s">
        <v>172</v>
      </c>
      <c r="E4948" t="s">
        <v>16369</v>
      </c>
      <c r="F4948" t="s">
        <v>16370</v>
      </c>
      <c r="G4948">
        <v>40.93</v>
      </c>
      <c r="H4948">
        <v>40.93</v>
      </c>
      <c r="I4948" t="s">
        <v>173</v>
      </c>
      <c r="J4948" t="s">
        <v>174</v>
      </c>
      <c r="K4948" t="s">
        <v>31</v>
      </c>
      <c r="L4948" t="s">
        <v>32</v>
      </c>
      <c r="M4948" t="s">
        <v>33</v>
      </c>
      <c r="P4948" s="1" t="s">
        <v>16857</v>
      </c>
      <c r="Q4948" s="1" t="s">
        <v>16369</v>
      </c>
      <c r="R4948" s="1" t="s">
        <v>16369</v>
      </c>
      <c r="S4948" s="1"/>
      <c r="T4948" s="1" t="s">
        <v>172</v>
      </c>
      <c r="U4948" s="1"/>
      <c r="V4948" s="1">
        <v>40.93</v>
      </c>
      <c r="W4948" s="1">
        <v>40.93</v>
      </c>
      <c r="X4948" s="1" t="s">
        <v>35</v>
      </c>
      <c r="Y4948" s="1">
        <v>40930</v>
      </c>
      <c r="Z4948" s="1"/>
      <c r="AA4948" s="1">
        <v>40930</v>
      </c>
      <c r="AB4948" s="1"/>
      <c r="AC4948" s="1" t="s">
        <v>36</v>
      </c>
      <c r="AD4948" s="1" t="s">
        <v>16858</v>
      </c>
      <c r="AE4948" s="1" t="s">
        <v>32</v>
      </c>
      <c r="AF4948" s="1" t="s">
        <v>33</v>
      </c>
      <c r="AG4948" s="1" t="s">
        <v>174</v>
      </c>
    </row>
    <row r="4949" spans="1:33">
      <c r="A4949" t="s">
        <v>16859</v>
      </c>
      <c r="B4949" t="s">
        <v>16860</v>
      </c>
      <c r="C4949" t="s">
        <v>68</v>
      </c>
      <c r="E4949" t="s">
        <v>16369</v>
      </c>
      <c r="F4949" t="s">
        <v>16370</v>
      </c>
      <c r="G4949">
        <v>23.79</v>
      </c>
      <c r="H4949">
        <v>23.79</v>
      </c>
      <c r="I4949" t="s">
        <v>59</v>
      </c>
      <c r="J4949" t="s">
        <v>60</v>
      </c>
      <c r="K4949" t="s">
        <v>31</v>
      </c>
      <c r="L4949" t="s">
        <v>32</v>
      </c>
      <c r="M4949" t="s">
        <v>33</v>
      </c>
      <c r="P4949" s="1" t="s">
        <v>16861</v>
      </c>
      <c r="Q4949" s="1" t="s">
        <v>16369</v>
      </c>
      <c r="R4949" s="1" t="s">
        <v>16369</v>
      </c>
      <c r="S4949" s="1"/>
      <c r="T4949" s="1" t="s">
        <v>68</v>
      </c>
      <c r="U4949" s="1"/>
      <c r="V4949" s="1">
        <v>23.79</v>
      </c>
      <c r="W4949" s="1">
        <v>23.79</v>
      </c>
      <c r="X4949" s="1" t="s">
        <v>35</v>
      </c>
      <c r="Y4949" s="1">
        <v>23790</v>
      </c>
      <c r="Z4949" s="1"/>
      <c r="AA4949" s="1">
        <v>23790</v>
      </c>
      <c r="AB4949" s="1"/>
      <c r="AC4949" s="1" t="s">
        <v>36</v>
      </c>
      <c r="AD4949" s="1" t="s">
        <v>16849</v>
      </c>
      <c r="AE4949" s="1" t="s">
        <v>32</v>
      </c>
      <c r="AF4949" s="1" t="s">
        <v>33</v>
      </c>
      <c r="AG4949" s="1" t="s">
        <v>60</v>
      </c>
    </row>
    <row r="4950" spans="1:33">
      <c r="A4950" t="s">
        <v>16862</v>
      </c>
      <c r="C4950" t="s">
        <v>638</v>
      </c>
      <c r="D4950" t="s">
        <v>154</v>
      </c>
      <c r="E4950" t="s">
        <v>16369</v>
      </c>
      <c r="F4950" t="s">
        <v>16370</v>
      </c>
      <c r="G4950">
        <v>1.456</v>
      </c>
      <c r="H4950">
        <v>1.456</v>
      </c>
      <c r="I4950" t="s">
        <v>227</v>
      </c>
      <c r="J4950" t="s">
        <v>228</v>
      </c>
      <c r="K4950" t="s">
        <v>31</v>
      </c>
      <c r="L4950" t="s">
        <v>32</v>
      </c>
      <c r="M4950" t="s">
        <v>33</v>
      </c>
      <c r="P4950" s="1" t="s">
        <v>16863</v>
      </c>
      <c r="Q4950" s="1" t="s">
        <v>16369</v>
      </c>
      <c r="R4950" s="1" t="s">
        <v>16369</v>
      </c>
      <c r="S4950" s="1"/>
      <c r="T4950" s="1" t="s">
        <v>640</v>
      </c>
      <c r="U4950" s="1" t="s">
        <v>641</v>
      </c>
      <c r="V4950" s="1">
        <v>1.456</v>
      </c>
      <c r="W4950" s="1">
        <v>1.456</v>
      </c>
      <c r="X4950" s="1" t="s">
        <v>35</v>
      </c>
      <c r="Y4950" s="1">
        <v>1456750</v>
      </c>
      <c r="Z4950" s="1"/>
      <c r="AA4950" s="1">
        <v>1456750</v>
      </c>
      <c r="AB4950" s="1"/>
      <c r="AC4950" s="1" t="s">
        <v>36</v>
      </c>
      <c r="AD4950" s="1" t="s">
        <v>16864</v>
      </c>
      <c r="AE4950" s="1" t="s">
        <v>32</v>
      </c>
      <c r="AF4950" s="1" t="s">
        <v>33</v>
      </c>
      <c r="AG4950" s="1" t="s">
        <v>228</v>
      </c>
    </row>
    <row r="4951" spans="1:33">
      <c r="A4951" t="s">
        <v>16865</v>
      </c>
      <c r="C4951" t="s">
        <v>2688</v>
      </c>
      <c r="E4951" t="s">
        <v>16369</v>
      </c>
      <c r="F4951" t="s">
        <v>16370</v>
      </c>
      <c r="G4951">
        <v>983.1</v>
      </c>
      <c r="H4951">
        <v>983.1</v>
      </c>
      <c r="I4951" t="s">
        <v>269</v>
      </c>
      <c r="J4951" t="s">
        <v>270</v>
      </c>
      <c r="K4951" t="s">
        <v>31</v>
      </c>
      <c r="L4951" t="s">
        <v>32</v>
      </c>
      <c r="M4951" t="s">
        <v>33</v>
      </c>
      <c r="P4951" s="1" t="s">
        <v>16866</v>
      </c>
      <c r="Q4951" s="1" t="s">
        <v>16369</v>
      </c>
      <c r="R4951" s="1" t="s">
        <v>16369</v>
      </c>
      <c r="S4951" s="1"/>
      <c r="T4951" s="1" t="s">
        <v>2688</v>
      </c>
      <c r="U4951" s="1"/>
      <c r="V4951" s="1">
        <v>983.1</v>
      </c>
      <c r="W4951" s="1">
        <v>983.1</v>
      </c>
      <c r="X4951" s="1" t="s">
        <v>35</v>
      </c>
      <c r="Y4951" s="1">
        <v>983100</v>
      </c>
      <c r="Z4951" s="1"/>
      <c r="AA4951" s="1">
        <v>983100</v>
      </c>
      <c r="AB4951" s="1"/>
      <c r="AC4951" s="1" t="s">
        <v>36</v>
      </c>
      <c r="AD4951" s="1" t="s">
        <v>16867</v>
      </c>
      <c r="AE4951" s="1" t="s">
        <v>32</v>
      </c>
      <c r="AF4951" s="1" t="s">
        <v>33</v>
      </c>
      <c r="AG4951" s="1" t="s">
        <v>270</v>
      </c>
    </row>
    <row r="4952" spans="1:33">
      <c r="A4952" t="s">
        <v>16868</v>
      </c>
      <c r="C4952" t="s">
        <v>9628</v>
      </c>
      <c r="D4952" t="s">
        <v>154</v>
      </c>
      <c r="E4952" t="s">
        <v>16369</v>
      </c>
      <c r="F4952" t="s">
        <v>16370</v>
      </c>
      <c r="G4952">
        <v>580.0</v>
      </c>
      <c r="H4952">
        <v>580.0</v>
      </c>
      <c r="I4952" t="s">
        <v>40</v>
      </c>
      <c r="J4952" t="s">
        <v>41</v>
      </c>
      <c r="K4952" t="s">
        <v>31</v>
      </c>
      <c r="L4952" t="s">
        <v>32</v>
      </c>
      <c r="M4952" t="s">
        <v>33</v>
      </c>
      <c r="P4952" s="1" t="s">
        <v>16869</v>
      </c>
      <c r="Q4952" s="1" t="s">
        <v>16369</v>
      </c>
      <c r="R4952" s="1" t="s">
        <v>15359</v>
      </c>
      <c r="S4952" s="1"/>
      <c r="T4952" s="1" t="s">
        <v>9628</v>
      </c>
      <c r="U4952" s="1"/>
      <c r="V4952" s="1">
        <v>580.0</v>
      </c>
      <c r="W4952" s="1">
        <v>580.0</v>
      </c>
      <c r="X4952" s="1" t="s">
        <v>35</v>
      </c>
      <c r="Y4952" s="1">
        <v>580000</v>
      </c>
      <c r="Z4952" s="1"/>
      <c r="AA4952" s="1"/>
      <c r="AB4952" s="1">
        <v>580000</v>
      </c>
      <c r="AC4952" s="1" t="s">
        <v>36</v>
      </c>
      <c r="AD4952" s="1" t="s">
        <v>16870</v>
      </c>
      <c r="AE4952" s="1" t="s">
        <v>32</v>
      </c>
      <c r="AF4952" s="1" t="s">
        <v>33</v>
      </c>
      <c r="AG4952" s="1" t="s">
        <v>41</v>
      </c>
    </row>
    <row r="4953" spans="1:33">
      <c r="A4953" t="s">
        <v>16871</v>
      </c>
      <c r="B4953" t="s">
        <v>16872</v>
      </c>
      <c r="C4953" t="s">
        <v>73</v>
      </c>
      <c r="E4953" t="s">
        <v>16369</v>
      </c>
      <c r="F4953" t="s">
        <v>16370</v>
      </c>
      <c r="G4953">
        <v>2.0</v>
      </c>
      <c r="H4953">
        <v>2.0</v>
      </c>
      <c r="I4953" t="s">
        <v>40</v>
      </c>
      <c r="J4953" t="s">
        <v>41</v>
      </c>
      <c r="K4953" t="s">
        <v>31</v>
      </c>
      <c r="L4953" t="s">
        <v>32</v>
      </c>
      <c r="M4953" t="s">
        <v>33</v>
      </c>
      <c r="P4953" s="1" t="s">
        <v>16873</v>
      </c>
      <c r="Q4953" s="1" t="s">
        <v>16369</v>
      </c>
      <c r="R4953" s="1" t="s">
        <v>15359</v>
      </c>
      <c r="S4953" s="1"/>
      <c r="T4953" s="1" t="s">
        <v>75</v>
      </c>
      <c r="U4953" s="1" t="s">
        <v>76</v>
      </c>
      <c r="V4953" s="1">
        <v>2.0</v>
      </c>
      <c r="W4953" s="1">
        <v>2.0</v>
      </c>
      <c r="X4953" s="1" t="s">
        <v>35</v>
      </c>
      <c r="Y4953" s="1">
        <v>2000</v>
      </c>
      <c r="Z4953" s="1"/>
      <c r="AA4953" s="1">
        <v>2000</v>
      </c>
      <c r="AB4953" s="1"/>
      <c r="AC4953" s="1" t="s">
        <v>36</v>
      </c>
      <c r="AD4953" s="1" t="s">
        <v>16874</v>
      </c>
      <c r="AE4953" s="1" t="s">
        <v>32</v>
      </c>
      <c r="AF4953" s="1" t="s">
        <v>33</v>
      </c>
      <c r="AG4953" s="1" t="s">
        <v>41</v>
      </c>
    </row>
    <row r="4954" spans="1:33">
      <c r="A4954" t="s">
        <v>16875</v>
      </c>
      <c r="C4954" t="s">
        <v>274</v>
      </c>
      <c r="E4954" t="s">
        <v>16369</v>
      </c>
      <c r="F4954" t="s">
        <v>16370</v>
      </c>
      <c r="G4954">
        <v>983.0</v>
      </c>
      <c r="H4954">
        <v>983.0</v>
      </c>
      <c r="I4954" t="s">
        <v>94</v>
      </c>
      <c r="J4954" t="s">
        <v>95</v>
      </c>
      <c r="K4954" t="s">
        <v>31</v>
      </c>
      <c r="L4954" t="s">
        <v>32</v>
      </c>
      <c r="M4954" t="s">
        <v>33</v>
      </c>
      <c r="P4954" s="1" t="s">
        <v>16876</v>
      </c>
      <c r="Q4954" s="1" t="s">
        <v>16369</v>
      </c>
      <c r="R4954" s="1" t="s">
        <v>16369</v>
      </c>
      <c r="S4954" s="1"/>
      <c r="T4954" s="1" t="s">
        <v>274</v>
      </c>
      <c r="U4954" s="1"/>
      <c r="V4954" s="1">
        <v>983.0</v>
      </c>
      <c r="W4954" s="1">
        <v>983.0</v>
      </c>
      <c r="X4954" s="1" t="s">
        <v>35</v>
      </c>
      <c r="Y4954" s="1">
        <v>983000</v>
      </c>
      <c r="Z4954" s="1"/>
      <c r="AA4954" s="1">
        <v>983000</v>
      </c>
      <c r="AB4954" s="1"/>
      <c r="AC4954" s="1" t="s">
        <v>36</v>
      </c>
      <c r="AD4954" s="1" t="s">
        <v>16799</v>
      </c>
      <c r="AE4954" s="1" t="s">
        <v>32</v>
      </c>
      <c r="AF4954" s="1" t="s">
        <v>33</v>
      </c>
      <c r="AG4954" s="1" t="s">
        <v>95</v>
      </c>
    </row>
    <row r="4955" spans="1:33">
      <c r="A4955" t="s">
        <v>16877</v>
      </c>
      <c r="C4955" t="s">
        <v>16878</v>
      </c>
      <c r="D4955" t="s">
        <v>114</v>
      </c>
      <c r="E4955" t="s">
        <v>16369</v>
      </c>
      <c r="F4955" t="s">
        <v>16370</v>
      </c>
      <c r="G4955">
        <v>682.75</v>
      </c>
      <c r="H4955">
        <v>682.75</v>
      </c>
      <c r="I4955" t="s">
        <v>94</v>
      </c>
      <c r="J4955" t="s">
        <v>95</v>
      </c>
      <c r="K4955" t="s">
        <v>31</v>
      </c>
      <c r="L4955" t="s">
        <v>32</v>
      </c>
      <c r="M4955" t="s">
        <v>33</v>
      </c>
      <c r="P4955" s="1" t="s">
        <v>16879</v>
      </c>
      <c r="Q4955" s="1" t="s">
        <v>16369</v>
      </c>
      <c r="R4955" s="1" t="s">
        <v>16369</v>
      </c>
      <c r="S4955" s="1"/>
      <c r="T4955" s="1" t="s">
        <v>16880</v>
      </c>
      <c r="U4955" s="1" t="s">
        <v>16881</v>
      </c>
      <c r="V4955" s="1">
        <v>682.75</v>
      </c>
      <c r="W4955" s="1">
        <v>682.75</v>
      </c>
      <c r="X4955" s="1" t="s">
        <v>35</v>
      </c>
      <c r="Y4955" s="1">
        <v>682750</v>
      </c>
      <c r="Z4955" s="1"/>
      <c r="AA4955" s="1">
        <v>682750</v>
      </c>
      <c r="AB4955" s="1"/>
      <c r="AC4955" s="1" t="s">
        <v>36</v>
      </c>
      <c r="AD4955" s="1" t="s">
        <v>16852</v>
      </c>
      <c r="AE4955" s="1" t="s">
        <v>32</v>
      </c>
      <c r="AF4955" s="1" t="s">
        <v>33</v>
      </c>
      <c r="AG4955" s="1" t="s">
        <v>95</v>
      </c>
    </row>
    <row r="4956" spans="1:33">
      <c r="A4956" t="s">
        <v>16882</v>
      </c>
      <c r="B4956" t="s">
        <v>10545</v>
      </c>
      <c r="C4956" t="s">
        <v>12240</v>
      </c>
      <c r="E4956" t="s">
        <v>16369</v>
      </c>
      <c r="F4956" t="s">
        <v>16370</v>
      </c>
      <c r="G4956">
        <v>65.7</v>
      </c>
      <c r="H4956">
        <v>65.7</v>
      </c>
      <c r="I4956" t="s">
        <v>136</v>
      </c>
      <c r="J4956" t="s">
        <v>137</v>
      </c>
      <c r="K4956" t="s">
        <v>31</v>
      </c>
      <c r="L4956" t="s">
        <v>32</v>
      </c>
      <c r="M4956" t="s">
        <v>33</v>
      </c>
      <c r="P4956" s="1" t="s">
        <v>16883</v>
      </c>
      <c r="Q4956" s="1" t="s">
        <v>16369</v>
      </c>
      <c r="R4956" s="1" t="s">
        <v>16369</v>
      </c>
      <c r="S4956" s="1"/>
      <c r="T4956" s="1" t="s">
        <v>12240</v>
      </c>
      <c r="U4956" s="1"/>
      <c r="V4956" s="1">
        <v>65.7</v>
      </c>
      <c r="W4956" s="1">
        <v>65.7</v>
      </c>
      <c r="X4956" s="1" t="s">
        <v>35</v>
      </c>
      <c r="Y4956" s="1">
        <v>65700</v>
      </c>
      <c r="Z4956" s="1"/>
      <c r="AA4956" s="1">
        <v>65700</v>
      </c>
      <c r="AB4956" s="1"/>
      <c r="AC4956" s="1" t="s">
        <v>36</v>
      </c>
      <c r="AD4956" s="1" t="s">
        <v>16884</v>
      </c>
      <c r="AE4956" s="1" t="s">
        <v>32</v>
      </c>
      <c r="AF4956" s="1" t="s">
        <v>33</v>
      </c>
      <c r="AG4956" s="1" t="s">
        <v>137</v>
      </c>
    </row>
    <row r="4957" spans="1:33">
      <c r="A4957" t="s">
        <v>16885</v>
      </c>
      <c r="B4957" t="s">
        <v>16886</v>
      </c>
      <c r="C4957" t="s">
        <v>1866</v>
      </c>
      <c r="E4957" t="s">
        <v>16369</v>
      </c>
      <c r="F4957" t="s">
        <v>16370</v>
      </c>
      <c r="G4957">
        <v>2.092</v>
      </c>
      <c r="H4957">
        <v>2.092</v>
      </c>
      <c r="I4957" t="s">
        <v>29</v>
      </c>
      <c r="J4957" t="s">
        <v>30</v>
      </c>
      <c r="K4957" t="s">
        <v>31</v>
      </c>
      <c r="L4957" t="s">
        <v>32</v>
      </c>
      <c r="M4957" t="s">
        <v>33</v>
      </c>
      <c r="P4957" s="1" t="s">
        <v>16887</v>
      </c>
      <c r="Q4957" s="1" t="s">
        <v>16369</v>
      </c>
      <c r="R4957" s="1" t="s">
        <v>16369</v>
      </c>
      <c r="S4957" s="1"/>
      <c r="T4957" s="1" t="s">
        <v>1866</v>
      </c>
      <c r="U4957" s="1"/>
      <c r="V4957" s="1">
        <v>2.092</v>
      </c>
      <c r="W4957" s="1">
        <v>2.092</v>
      </c>
      <c r="X4957" s="1" t="s">
        <v>35</v>
      </c>
      <c r="Y4957" s="1">
        <v>2092250</v>
      </c>
      <c r="Z4957" s="1"/>
      <c r="AA4957" s="1">
        <v>2092250</v>
      </c>
      <c r="AB4957" s="1"/>
      <c r="AC4957" s="1" t="s">
        <v>36</v>
      </c>
      <c r="AD4957" s="1" t="s">
        <v>16826</v>
      </c>
      <c r="AE4957" s="1" t="s">
        <v>32</v>
      </c>
      <c r="AF4957" s="1" t="s">
        <v>33</v>
      </c>
      <c r="AG4957" s="1" t="s">
        <v>30</v>
      </c>
    </row>
    <row r="4958" spans="1:33">
      <c r="A4958" t="s">
        <v>16888</v>
      </c>
      <c r="B4958" t="s">
        <v>16889</v>
      </c>
      <c r="C4958" t="s">
        <v>73</v>
      </c>
      <c r="E4958" t="s">
        <v>16369</v>
      </c>
      <c r="F4958" t="s">
        <v>16370</v>
      </c>
      <c r="G4958">
        <v>3.0</v>
      </c>
      <c r="H4958">
        <v>3.0</v>
      </c>
      <c r="I4958" t="s">
        <v>40</v>
      </c>
      <c r="J4958" t="s">
        <v>41</v>
      </c>
      <c r="K4958" t="s">
        <v>31</v>
      </c>
      <c r="L4958" t="s">
        <v>32</v>
      </c>
      <c r="M4958" t="s">
        <v>33</v>
      </c>
      <c r="P4958" s="1" t="s">
        <v>16890</v>
      </c>
      <c r="Q4958" s="1" t="s">
        <v>16369</v>
      </c>
      <c r="R4958" s="1" t="s">
        <v>15359</v>
      </c>
      <c r="S4958" s="1"/>
      <c r="T4958" s="1" t="s">
        <v>75</v>
      </c>
      <c r="U4958" s="1" t="s">
        <v>76</v>
      </c>
      <c r="V4958" s="1">
        <v>3.0</v>
      </c>
      <c r="W4958" s="1">
        <v>3.0</v>
      </c>
      <c r="X4958" s="1" t="s">
        <v>35</v>
      </c>
      <c r="Y4958" s="1">
        <v>3000</v>
      </c>
      <c r="Z4958" s="1"/>
      <c r="AA4958" s="1">
        <v>3000</v>
      </c>
      <c r="AB4958" s="1"/>
      <c r="AC4958" s="1" t="s">
        <v>36</v>
      </c>
      <c r="AD4958" s="1" t="s">
        <v>16891</v>
      </c>
      <c r="AE4958" s="1" t="s">
        <v>32</v>
      </c>
      <c r="AF4958" s="1" t="s">
        <v>33</v>
      </c>
      <c r="AG4958" s="1" t="s">
        <v>41</v>
      </c>
    </row>
    <row r="4959" spans="1:33">
      <c r="A4959" t="s">
        <v>16892</v>
      </c>
      <c r="B4959" t="s">
        <v>16893</v>
      </c>
      <c r="C4959" t="s">
        <v>314</v>
      </c>
      <c r="E4959" t="s">
        <v>16369</v>
      </c>
      <c r="F4959" t="s">
        <v>16370</v>
      </c>
      <c r="G4959">
        <v>16.0</v>
      </c>
      <c r="H4959">
        <v>16.0</v>
      </c>
      <c r="I4959" t="s">
        <v>179</v>
      </c>
      <c r="J4959" t="s">
        <v>180</v>
      </c>
      <c r="K4959" t="s">
        <v>31</v>
      </c>
      <c r="L4959" t="s">
        <v>32</v>
      </c>
      <c r="M4959" t="s">
        <v>33</v>
      </c>
      <c r="P4959" s="1" t="s">
        <v>16894</v>
      </c>
      <c r="Q4959" s="1" t="s">
        <v>16369</v>
      </c>
      <c r="R4959" s="1" t="s">
        <v>16369</v>
      </c>
      <c r="S4959" s="1"/>
      <c r="T4959" s="1" t="s">
        <v>314</v>
      </c>
      <c r="U4959" s="1"/>
      <c r="V4959" s="1">
        <v>16.0</v>
      </c>
      <c r="W4959" s="1">
        <v>16.0</v>
      </c>
      <c r="X4959" s="1" t="s">
        <v>35</v>
      </c>
      <c r="Y4959" s="1">
        <v>16000</v>
      </c>
      <c r="Z4959" s="1"/>
      <c r="AA4959" s="1">
        <v>16000</v>
      </c>
      <c r="AB4959" s="1"/>
      <c r="AC4959" s="1" t="s">
        <v>36</v>
      </c>
      <c r="AD4959" s="1" t="s">
        <v>16895</v>
      </c>
      <c r="AE4959" s="1" t="s">
        <v>32</v>
      </c>
      <c r="AF4959" s="1" t="s">
        <v>33</v>
      </c>
      <c r="AG4959" s="1" t="s">
        <v>180</v>
      </c>
    </row>
    <row r="4960" spans="1:33">
      <c r="A4960" t="s">
        <v>16896</v>
      </c>
      <c r="C4960" t="s">
        <v>2346</v>
      </c>
      <c r="E4960" t="s">
        <v>16369</v>
      </c>
      <c r="F4960" t="s">
        <v>16370</v>
      </c>
      <c r="G4960">
        <v>850.0</v>
      </c>
      <c r="H4960">
        <v>850.0</v>
      </c>
      <c r="I4960" t="s">
        <v>269</v>
      </c>
      <c r="J4960" t="s">
        <v>270</v>
      </c>
      <c r="K4960" t="s">
        <v>31</v>
      </c>
      <c r="L4960" t="s">
        <v>32</v>
      </c>
      <c r="M4960" t="s">
        <v>33</v>
      </c>
      <c r="P4960" s="1" t="s">
        <v>16897</v>
      </c>
      <c r="Q4960" s="1" t="s">
        <v>16369</v>
      </c>
      <c r="R4960" s="1" t="s">
        <v>16369</v>
      </c>
      <c r="S4960" s="1"/>
      <c r="T4960" s="1" t="s">
        <v>2346</v>
      </c>
      <c r="U4960" s="1"/>
      <c r="V4960" s="1">
        <v>850.0</v>
      </c>
      <c r="W4960" s="1">
        <v>850.0</v>
      </c>
      <c r="X4960" s="1" t="s">
        <v>35</v>
      </c>
      <c r="Y4960" s="1">
        <v>850000</v>
      </c>
      <c r="Z4960" s="1"/>
      <c r="AA4960" s="1">
        <v>850000</v>
      </c>
      <c r="AB4960" s="1"/>
      <c r="AC4960" s="1" t="s">
        <v>36</v>
      </c>
      <c r="AD4960" s="1" t="s">
        <v>16884</v>
      </c>
      <c r="AE4960" s="1" t="s">
        <v>32</v>
      </c>
      <c r="AF4960" s="1" t="s">
        <v>33</v>
      </c>
      <c r="AG4960" s="1" t="s">
        <v>270</v>
      </c>
    </row>
    <row r="4961" spans="1:33">
      <c r="A4961" t="s">
        <v>16898</v>
      </c>
      <c r="B4961" t="s">
        <v>16899</v>
      </c>
      <c r="C4961" t="s">
        <v>131</v>
      </c>
      <c r="E4961" t="s">
        <v>16369</v>
      </c>
      <c r="F4961" t="s">
        <v>16370</v>
      </c>
      <c r="G4961">
        <v>45.0</v>
      </c>
      <c r="H4961">
        <v>45.0</v>
      </c>
      <c r="I4961" t="s">
        <v>94</v>
      </c>
      <c r="J4961" t="s">
        <v>95</v>
      </c>
      <c r="K4961" t="s">
        <v>31</v>
      </c>
      <c r="L4961" t="s">
        <v>32</v>
      </c>
      <c r="M4961" t="s">
        <v>33</v>
      </c>
      <c r="P4961" s="1" t="s">
        <v>16900</v>
      </c>
      <c r="Q4961" s="1" t="s">
        <v>16369</v>
      </c>
      <c r="R4961" s="1" t="s">
        <v>16369</v>
      </c>
      <c r="S4961" s="1"/>
      <c r="T4961" s="1" t="s">
        <v>131</v>
      </c>
      <c r="U4961" s="1"/>
      <c r="V4961" s="1">
        <v>45.0</v>
      </c>
      <c r="W4961" s="1">
        <v>45.0</v>
      </c>
      <c r="X4961" s="1" t="s">
        <v>35</v>
      </c>
      <c r="Y4961" s="1">
        <v>45000</v>
      </c>
      <c r="Z4961" s="1"/>
      <c r="AA4961" s="1">
        <v>45000</v>
      </c>
      <c r="AB4961" s="1"/>
      <c r="AC4961" s="1" t="s">
        <v>36</v>
      </c>
      <c r="AD4961" s="1" t="s">
        <v>16895</v>
      </c>
      <c r="AE4961" s="1" t="s">
        <v>32</v>
      </c>
      <c r="AF4961" s="1" t="s">
        <v>33</v>
      </c>
      <c r="AG4961" s="1" t="s">
        <v>95</v>
      </c>
    </row>
    <row r="4962" spans="1:33">
      <c r="A4962" t="s">
        <v>16901</v>
      </c>
      <c r="C4962" t="s">
        <v>16902</v>
      </c>
      <c r="D4962" t="s">
        <v>114</v>
      </c>
      <c r="E4962" t="s">
        <v>16369</v>
      </c>
      <c r="F4962" t="s">
        <v>16370</v>
      </c>
      <c r="G4962">
        <v>2.282</v>
      </c>
      <c r="H4962">
        <v>2.282</v>
      </c>
      <c r="I4962" t="s">
        <v>269</v>
      </c>
      <c r="J4962" t="s">
        <v>270</v>
      </c>
      <c r="K4962" t="s">
        <v>31</v>
      </c>
      <c r="L4962" t="s">
        <v>32</v>
      </c>
      <c r="M4962" t="s">
        <v>33</v>
      </c>
      <c r="P4962" s="1" t="s">
        <v>16903</v>
      </c>
      <c r="Q4962" s="1" t="s">
        <v>16369</v>
      </c>
      <c r="R4962" s="1" t="s">
        <v>16369</v>
      </c>
      <c r="S4962" s="1"/>
      <c r="T4962" s="1" t="s">
        <v>16902</v>
      </c>
      <c r="U4962" s="1"/>
      <c r="V4962" s="1">
        <v>2.282</v>
      </c>
      <c r="W4962" s="1">
        <v>2.282</v>
      </c>
      <c r="X4962" s="1" t="s">
        <v>35</v>
      </c>
      <c r="Y4962" s="1">
        <v>2282000</v>
      </c>
      <c r="Z4962" s="1"/>
      <c r="AA4962" s="1">
        <v>2282000</v>
      </c>
      <c r="AB4962" s="1"/>
      <c r="AC4962" s="1" t="s">
        <v>36</v>
      </c>
      <c r="AD4962" s="1" t="s">
        <v>16874</v>
      </c>
      <c r="AE4962" s="1" t="s">
        <v>32</v>
      </c>
      <c r="AF4962" s="1" t="s">
        <v>33</v>
      </c>
      <c r="AG4962" s="1" t="s">
        <v>270</v>
      </c>
    </row>
    <row r="4963" spans="1:33">
      <c r="A4963" t="s">
        <v>16904</v>
      </c>
      <c r="C4963" t="s">
        <v>259</v>
      </c>
      <c r="D4963" t="s">
        <v>114</v>
      </c>
      <c r="E4963" t="s">
        <v>16369</v>
      </c>
      <c r="F4963" t="s">
        <v>16370</v>
      </c>
      <c r="G4963">
        <v>1.06</v>
      </c>
      <c r="H4963">
        <v>1.06</v>
      </c>
      <c r="I4963" t="s">
        <v>173</v>
      </c>
      <c r="J4963" t="s">
        <v>174</v>
      </c>
      <c r="K4963" t="s">
        <v>31</v>
      </c>
      <c r="L4963" t="s">
        <v>32</v>
      </c>
      <c r="M4963" t="s">
        <v>33</v>
      </c>
      <c r="P4963" s="1" t="s">
        <v>16905</v>
      </c>
      <c r="Q4963" s="1" t="s">
        <v>16369</v>
      </c>
      <c r="R4963" s="1" t="s">
        <v>16369</v>
      </c>
      <c r="S4963" s="1"/>
      <c r="T4963" s="1" t="s">
        <v>259</v>
      </c>
      <c r="U4963" s="1"/>
      <c r="V4963" s="1">
        <v>1.06</v>
      </c>
      <c r="W4963" s="1">
        <v>1.06</v>
      </c>
      <c r="X4963" s="1" t="s">
        <v>35</v>
      </c>
      <c r="Y4963" s="1">
        <v>1060000</v>
      </c>
      <c r="Z4963" s="1"/>
      <c r="AA4963" s="1">
        <v>1060000</v>
      </c>
      <c r="AB4963" s="1"/>
      <c r="AC4963" s="1" t="s">
        <v>36</v>
      </c>
      <c r="AD4963" s="1" t="s">
        <v>16906</v>
      </c>
      <c r="AE4963" s="1" t="s">
        <v>32</v>
      </c>
      <c r="AF4963" s="1" t="s">
        <v>33</v>
      </c>
      <c r="AG4963" s="1" t="s">
        <v>174</v>
      </c>
    </row>
    <row r="4964" spans="1:33">
      <c r="A4964" t="s">
        <v>16907</v>
      </c>
      <c r="B4964" t="s">
        <v>16908</v>
      </c>
      <c r="C4964" t="s">
        <v>68</v>
      </c>
      <c r="E4964" t="s">
        <v>16369</v>
      </c>
      <c r="F4964" t="s">
        <v>16370</v>
      </c>
      <c r="G4964">
        <v>31.0</v>
      </c>
      <c r="H4964">
        <v>31.0</v>
      </c>
      <c r="I4964" t="s">
        <v>59</v>
      </c>
      <c r="J4964" t="s">
        <v>60</v>
      </c>
      <c r="K4964" t="s">
        <v>31</v>
      </c>
      <c r="L4964" t="s">
        <v>32</v>
      </c>
      <c r="M4964" t="s">
        <v>33</v>
      </c>
      <c r="P4964" s="1" t="s">
        <v>16909</v>
      </c>
      <c r="Q4964" s="1" t="s">
        <v>16369</v>
      </c>
      <c r="R4964" s="1" t="s">
        <v>16369</v>
      </c>
      <c r="S4964" s="1"/>
      <c r="T4964" s="1" t="s">
        <v>68</v>
      </c>
      <c r="U4964" s="1"/>
      <c r="V4964" s="1">
        <v>31.0</v>
      </c>
      <c r="W4964" s="1">
        <v>31.0</v>
      </c>
      <c r="X4964" s="1" t="s">
        <v>35</v>
      </c>
      <c r="Y4964" s="1">
        <v>31000</v>
      </c>
      <c r="Z4964" s="1"/>
      <c r="AA4964" s="1">
        <v>31000</v>
      </c>
      <c r="AB4964" s="1"/>
      <c r="AC4964" s="1" t="s">
        <v>36</v>
      </c>
      <c r="AD4964" s="1" t="s">
        <v>16910</v>
      </c>
      <c r="AE4964" s="1" t="s">
        <v>32</v>
      </c>
      <c r="AF4964" s="1" t="s">
        <v>33</v>
      </c>
      <c r="AG4964" s="1" t="s">
        <v>60</v>
      </c>
    </row>
    <row r="4965" spans="1:33">
      <c r="A4965" t="s">
        <v>16911</v>
      </c>
      <c r="B4965" t="s">
        <v>7317</v>
      </c>
      <c r="C4965" t="s">
        <v>1298</v>
      </c>
      <c r="E4965" t="s">
        <v>16369</v>
      </c>
      <c r="F4965" t="s">
        <v>16370</v>
      </c>
      <c r="G4965">
        <v>16.344</v>
      </c>
      <c r="H4965">
        <v>16.344</v>
      </c>
      <c r="I4965" t="s">
        <v>529</v>
      </c>
      <c r="J4965" t="s">
        <v>530</v>
      </c>
      <c r="K4965" t="s">
        <v>31</v>
      </c>
      <c r="L4965" t="s">
        <v>32</v>
      </c>
      <c r="M4965" t="s">
        <v>33</v>
      </c>
      <c r="P4965" s="1" t="s">
        <v>16912</v>
      </c>
      <c r="Q4965" s="1" t="s">
        <v>16369</v>
      </c>
      <c r="R4965" s="1" t="s">
        <v>15359</v>
      </c>
      <c r="S4965" s="1"/>
      <c r="T4965" s="1" t="s">
        <v>1298</v>
      </c>
      <c r="U4965" s="1"/>
      <c r="V4965" s="1">
        <v>16.344</v>
      </c>
      <c r="W4965" s="1">
        <v>16.344</v>
      </c>
      <c r="X4965" s="1" t="s">
        <v>35</v>
      </c>
      <c r="Y4965" s="1">
        <v>16344</v>
      </c>
      <c r="Z4965" s="1"/>
      <c r="AA4965" s="1">
        <v>16344</v>
      </c>
      <c r="AB4965" s="1"/>
      <c r="AC4965" s="1" t="s">
        <v>36</v>
      </c>
      <c r="AD4965" s="1" t="s">
        <v>16913</v>
      </c>
      <c r="AE4965" s="1" t="s">
        <v>32</v>
      </c>
      <c r="AF4965" s="1" t="s">
        <v>33</v>
      </c>
      <c r="AG4965" s="1" t="s">
        <v>530</v>
      </c>
    </row>
    <row r="4966" spans="1:33">
      <c r="A4966" t="s">
        <v>16914</v>
      </c>
      <c r="B4966" t="s">
        <v>16915</v>
      </c>
      <c r="C4966" t="s">
        <v>268</v>
      </c>
      <c r="E4966" t="s">
        <v>16369</v>
      </c>
      <c r="F4966" t="s">
        <v>16370</v>
      </c>
      <c r="G4966">
        <v>45.15</v>
      </c>
      <c r="H4966">
        <v>45.15</v>
      </c>
      <c r="I4966" t="s">
        <v>269</v>
      </c>
      <c r="J4966" t="s">
        <v>270</v>
      </c>
      <c r="K4966" t="s">
        <v>31</v>
      </c>
      <c r="L4966" t="s">
        <v>32</v>
      </c>
      <c r="M4966" t="s">
        <v>33</v>
      </c>
      <c r="P4966" s="1" t="s">
        <v>16916</v>
      </c>
      <c r="Q4966" s="1" t="s">
        <v>16369</v>
      </c>
      <c r="R4966" s="1" t="s">
        <v>16369</v>
      </c>
      <c r="S4966" s="1"/>
      <c r="T4966" s="1" t="s">
        <v>268</v>
      </c>
      <c r="U4966" s="1"/>
      <c r="V4966" s="1">
        <v>45.15</v>
      </c>
      <c r="W4966" s="1">
        <v>45.15</v>
      </c>
      <c r="X4966" s="1" t="s">
        <v>35</v>
      </c>
      <c r="Y4966" s="1">
        <v>45150</v>
      </c>
      <c r="Z4966" s="1"/>
      <c r="AA4966" s="1">
        <v>45150</v>
      </c>
      <c r="AB4966" s="1"/>
      <c r="AC4966" s="1" t="s">
        <v>36</v>
      </c>
      <c r="AD4966" s="1" t="s">
        <v>16917</v>
      </c>
      <c r="AE4966" s="1" t="s">
        <v>32</v>
      </c>
      <c r="AF4966" s="1" t="s">
        <v>33</v>
      </c>
      <c r="AG4966" s="1" t="s">
        <v>270</v>
      </c>
    </row>
    <row r="4967" spans="1:33">
      <c r="A4967" t="s">
        <v>16918</v>
      </c>
      <c r="C4967" t="s">
        <v>16919</v>
      </c>
      <c r="E4967" t="s">
        <v>16369</v>
      </c>
      <c r="F4967" t="s">
        <v>16370</v>
      </c>
      <c r="G4967">
        <v>2.72</v>
      </c>
      <c r="H4967">
        <v>2.72</v>
      </c>
      <c r="I4967" t="s">
        <v>2206</v>
      </c>
      <c r="J4967" t="s">
        <v>49</v>
      </c>
      <c r="K4967" t="s">
        <v>31</v>
      </c>
      <c r="L4967" t="s">
        <v>32</v>
      </c>
      <c r="M4967" t="s">
        <v>33</v>
      </c>
      <c r="P4967" s="1" t="s">
        <v>16920</v>
      </c>
      <c r="Q4967" s="1" t="s">
        <v>16369</v>
      </c>
      <c r="R4967" s="1" t="s">
        <v>16369</v>
      </c>
      <c r="S4967" s="1"/>
      <c r="T4967" s="1" t="s">
        <v>16919</v>
      </c>
      <c r="U4967" s="1"/>
      <c r="V4967" s="1">
        <v>2.72</v>
      </c>
      <c r="W4967" s="1">
        <v>2.72</v>
      </c>
      <c r="X4967" s="1" t="s">
        <v>35</v>
      </c>
      <c r="Y4967" s="1">
        <v>2720000</v>
      </c>
      <c r="Z4967" s="1"/>
      <c r="AA4967" s="1">
        <v>2720000</v>
      </c>
      <c r="AB4967" s="1"/>
      <c r="AC4967" s="1" t="s">
        <v>36</v>
      </c>
      <c r="AD4967" s="1" t="s">
        <v>16921</v>
      </c>
      <c r="AE4967" s="1" t="s">
        <v>32</v>
      </c>
      <c r="AF4967" s="1" t="s">
        <v>33</v>
      </c>
      <c r="AG4967" s="1" t="s">
        <v>49</v>
      </c>
    </row>
    <row r="4968" spans="1:33">
      <c r="A4968" t="s">
        <v>16922</v>
      </c>
      <c r="C4968" t="s">
        <v>7131</v>
      </c>
      <c r="D4968" t="s">
        <v>154</v>
      </c>
      <c r="E4968" t="s">
        <v>16369</v>
      </c>
      <c r="F4968" t="s">
        <v>16370</v>
      </c>
      <c r="G4968">
        <v>1.17</v>
      </c>
      <c r="H4968">
        <v>1.17</v>
      </c>
      <c r="I4968" t="s">
        <v>173</v>
      </c>
      <c r="J4968" t="s">
        <v>174</v>
      </c>
      <c r="K4968" t="s">
        <v>31</v>
      </c>
      <c r="L4968" t="s">
        <v>32</v>
      </c>
      <c r="M4968" t="s">
        <v>33</v>
      </c>
      <c r="P4968" s="1" t="s">
        <v>16923</v>
      </c>
      <c r="Q4968" s="1" t="s">
        <v>16369</v>
      </c>
      <c r="R4968" s="1" t="s">
        <v>16369</v>
      </c>
      <c r="S4968" s="1"/>
      <c r="T4968" s="1" t="s">
        <v>7131</v>
      </c>
      <c r="U4968" s="1"/>
      <c r="V4968" s="1">
        <v>1.17</v>
      </c>
      <c r="W4968" s="1">
        <v>1.17</v>
      </c>
      <c r="X4968" s="1" t="s">
        <v>35</v>
      </c>
      <c r="Y4968" s="1">
        <v>1170000</v>
      </c>
      <c r="Z4968" s="1"/>
      <c r="AA4968" s="1">
        <v>1170000</v>
      </c>
      <c r="AB4968" s="1"/>
      <c r="AC4968" s="1" t="s">
        <v>36</v>
      </c>
      <c r="AD4968" s="1" t="s">
        <v>16924</v>
      </c>
      <c r="AE4968" s="1" t="s">
        <v>32</v>
      </c>
      <c r="AF4968" s="1" t="s">
        <v>33</v>
      </c>
      <c r="AG4968" s="1" t="s">
        <v>174</v>
      </c>
    </row>
    <row r="4969" spans="1:33">
      <c r="A4969" t="s">
        <v>16925</v>
      </c>
      <c r="B4969" t="s">
        <v>9175</v>
      </c>
      <c r="C4969" t="s">
        <v>314</v>
      </c>
      <c r="E4969" t="s">
        <v>16369</v>
      </c>
      <c r="F4969" t="s">
        <v>16370</v>
      </c>
      <c r="G4969">
        <v>83.61</v>
      </c>
      <c r="H4969">
        <v>83.61</v>
      </c>
      <c r="I4969" t="s">
        <v>179</v>
      </c>
      <c r="J4969" t="s">
        <v>180</v>
      </c>
      <c r="K4969" t="s">
        <v>31</v>
      </c>
      <c r="L4969" t="s">
        <v>32</v>
      </c>
      <c r="M4969" t="s">
        <v>33</v>
      </c>
      <c r="P4969" s="1" t="s">
        <v>16926</v>
      </c>
      <c r="Q4969" s="1" t="s">
        <v>16369</v>
      </c>
      <c r="R4969" s="1" t="s">
        <v>16369</v>
      </c>
      <c r="S4969" s="1"/>
      <c r="T4969" s="1" t="s">
        <v>314</v>
      </c>
      <c r="U4969" s="1"/>
      <c r="V4969" s="1">
        <v>83.61</v>
      </c>
      <c r="W4969" s="1">
        <v>83.61</v>
      </c>
      <c r="X4969" s="1" t="s">
        <v>35</v>
      </c>
      <c r="Y4969" s="1">
        <v>83610</v>
      </c>
      <c r="Z4969" s="1"/>
      <c r="AA4969" s="1">
        <v>83610</v>
      </c>
      <c r="AB4969" s="1"/>
      <c r="AC4969" s="1" t="s">
        <v>36</v>
      </c>
      <c r="AD4969" s="1" t="s">
        <v>16927</v>
      </c>
      <c r="AE4969" s="1" t="s">
        <v>32</v>
      </c>
      <c r="AF4969" s="1" t="s">
        <v>33</v>
      </c>
      <c r="AG4969" s="1" t="s">
        <v>180</v>
      </c>
    </row>
    <row r="4970" spans="1:33">
      <c r="A4970" t="s">
        <v>16928</v>
      </c>
      <c r="C4970" t="s">
        <v>8196</v>
      </c>
      <c r="E4970" t="s">
        <v>16369</v>
      </c>
      <c r="F4970" t="s">
        <v>16370</v>
      </c>
      <c r="G4970">
        <v>31.25</v>
      </c>
      <c r="H4970">
        <v>31.25</v>
      </c>
      <c r="I4970" t="s">
        <v>136</v>
      </c>
      <c r="J4970" t="s">
        <v>137</v>
      </c>
      <c r="K4970" t="s">
        <v>31</v>
      </c>
      <c r="L4970" t="s">
        <v>32</v>
      </c>
      <c r="M4970" t="s">
        <v>33</v>
      </c>
      <c r="P4970" s="1" t="s">
        <v>16929</v>
      </c>
      <c r="Q4970" s="1" t="s">
        <v>16369</v>
      </c>
      <c r="R4970" s="1" t="s">
        <v>16369</v>
      </c>
      <c r="S4970" s="1"/>
      <c r="T4970" s="1" t="s">
        <v>8196</v>
      </c>
      <c r="U4970" s="1"/>
      <c r="V4970" s="1">
        <v>31.25</v>
      </c>
      <c r="W4970" s="1">
        <v>31.25</v>
      </c>
      <c r="X4970" s="1" t="s">
        <v>35</v>
      </c>
      <c r="Y4970" s="1">
        <v>31250</v>
      </c>
      <c r="Z4970" s="1"/>
      <c r="AA4970" s="1">
        <v>31250</v>
      </c>
      <c r="AB4970" s="1"/>
      <c r="AC4970" s="1" t="s">
        <v>36</v>
      </c>
      <c r="AD4970" s="1" t="s">
        <v>16930</v>
      </c>
      <c r="AE4970" s="1" t="s">
        <v>32</v>
      </c>
      <c r="AF4970" s="1" t="s">
        <v>33</v>
      </c>
      <c r="AG4970" s="1" t="s">
        <v>137</v>
      </c>
    </row>
    <row r="4971" spans="1:33">
      <c r="A4971" t="s">
        <v>16931</v>
      </c>
      <c r="B4971" t="s">
        <v>16932</v>
      </c>
      <c r="C4971" t="s">
        <v>73</v>
      </c>
      <c r="E4971" t="s">
        <v>16369</v>
      </c>
      <c r="F4971" t="s">
        <v>16370</v>
      </c>
      <c r="G4971">
        <v>202.41</v>
      </c>
      <c r="H4971">
        <v>202.41</v>
      </c>
      <c r="I4971" t="s">
        <v>40</v>
      </c>
      <c r="J4971" t="s">
        <v>41</v>
      </c>
      <c r="K4971" t="s">
        <v>31</v>
      </c>
      <c r="L4971" t="s">
        <v>32</v>
      </c>
      <c r="M4971" t="s">
        <v>33</v>
      </c>
      <c r="P4971" s="1" t="s">
        <v>16933</v>
      </c>
      <c r="Q4971" s="1" t="s">
        <v>16369</v>
      </c>
      <c r="R4971" s="1" t="s">
        <v>15359</v>
      </c>
      <c r="S4971" s="1"/>
      <c r="T4971" s="1" t="s">
        <v>75</v>
      </c>
      <c r="U4971" s="1" t="s">
        <v>76</v>
      </c>
      <c r="V4971" s="1">
        <v>202.41</v>
      </c>
      <c r="W4971" s="1">
        <v>202.41</v>
      </c>
      <c r="X4971" s="1" t="s">
        <v>35</v>
      </c>
      <c r="Y4971" s="1">
        <v>202530</v>
      </c>
      <c r="Z4971" s="1">
        <v>-120</v>
      </c>
      <c r="AA4971" s="1">
        <v>202530</v>
      </c>
      <c r="AB4971" s="1">
        <v>-120</v>
      </c>
      <c r="AC4971" s="1" t="s">
        <v>36</v>
      </c>
      <c r="AD4971" s="1" t="s">
        <v>16927</v>
      </c>
      <c r="AE4971" s="1" t="s">
        <v>32</v>
      </c>
      <c r="AF4971" s="1" t="s">
        <v>33</v>
      </c>
      <c r="AG4971" s="1" t="s">
        <v>41</v>
      </c>
    </row>
    <row r="4972" spans="1:33">
      <c r="A4972" t="s">
        <v>16934</v>
      </c>
      <c r="B4972" t="s">
        <v>2117</v>
      </c>
      <c r="C4972" t="s">
        <v>314</v>
      </c>
      <c r="E4972" t="s">
        <v>16369</v>
      </c>
      <c r="F4972" t="s">
        <v>16370</v>
      </c>
      <c r="G4972">
        <v>21.689</v>
      </c>
      <c r="H4972">
        <v>21.689</v>
      </c>
      <c r="I4972" t="s">
        <v>179</v>
      </c>
      <c r="J4972" t="s">
        <v>180</v>
      </c>
      <c r="K4972" t="s">
        <v>31</v>
      </c>
      <c r="L4972" t="s">
        <v>32</v>
      </c>
      <c r="M4972" t="s">
        <v>33</v>
      </c>
      <c r="P4972" s="1" t="s">
        <v>16935</v>
      </c>
      <c r="Q4972" s="1" t="s">
        <v>16369</v>
      </c>
      <c r="R4972" s="1" t="s">
        <v>16369</v>
      </c>
      <c r="S4972" s="1"/>
      <c r="T4972" s="1" t="s">
        <v>314</v>
      </c>
      <c r="U4972" s="1"/>
      <c r="V4972" s="1">
        <v>21.689</v>
      </c>
      <c r="W4972" s="1">
        <v>21.689</v>
      </c>
      <c r="X4972" s="1" t="s">
        <v>35</v>
      </c>
      <c r="Y4972" s="1">
        <v>21689</v>
      </c>
      <c r="Z4972" s="1"/>
      <c r="AA4972" s="1">
        <v>21689</v>
      </c>
      <c r="AB4972" s="1"/>
      <c r="AC4972" s="1" t="s">
        <v>36</v>
      </c>
      <c r="AD4972" s="1" t="s">
        <v>16936</v>
      </c>
      <c r="AE4972" s="1" t="s">
        <v>32</v>
      </c>
      <c r="AF4972" s="1" t="s">
        <v>33</v>
      </c>
      <c r="AG4972" s="1" t="s">
        <v>180</v>
      </c>
    </row>
    <row r="4973" spans="1:33">
      <c r="A4973" t="s">
        <v>16937</v>
      </c>
      <c r="B4973" t="s">
        <v>16938</v>
      </c>
      <c r="C4973" t="s">
        <v>314</v>
      </c>
      <c r="E4973" t="s">
        <v>16369</v>
      </c>
      <c r="F4973" t="s">
        <v>16370</v>
      </c>
      <c r="G4973">
        <v>52.33</v>
      </c>
      <c r="H4973">
        <v>52.33</v>
      </c>
      <c r="I4973" t="s">
        <v>179</v>
      </c>
      <c r="J4973" t="s">
        <v>180</v>
      </c>
      <c r="K4973" t="s">
        <v>31</v>
      </c>
      <c r="L4973" t="s">
        <v>32</v>
      </c>
      <c r="M4973" t="s">
        <v>33</v>
      </c>
      <c r="P4973" s="1" t="s">
        <v>16939</v>
      </c>
      <c r="Q4973" s="1" t="s">
        <v>16369</v>
      </c>
      <c r="R4973" s="1" t="s">
        <v>16369</v>
      </c>
      <c r="S4973" s="1"/>
      <c r="T4973" s="1" t="s">
        <v>314</v>
      </c>
      <c r="U4973" s="1"/>
      <c r="V4973" s="1">
        <v>52.33</v>
      </c>
      <c r="W4973" s="1">
        <v>52.33</v>
      </c>
      <c r="X4973" s="1" t="s">
        <v>35</v>
      </c>
      <c r="Y4973" s="1">
        <v>52330</v>
      </c>
      <c r="Z4973" s="1"/>
      <c r="AA4973" s="1">
        <v>52330</v>
      </c>
      <c r="AB4973" s="1"/>
      <c r="AC4973" s="1" t="s">
        <v>36</v>
      </c>
      <c r="AD4973" s="1" t="s">
        <v>16940</v>
      </c>
      <c r="AE4973" s="1" t="s">
        <v>32</v>
      </c>
      <c r="AF4973" s="1" t="s">
        <v>33</v>
      </c>
      <c r="AG4973" s="1" t="s">
        <v>180</v>
      </c>
    </row>
    <row r="4974" spans="1:33">
      <c r="A4974" t="s">
        <v>16941</v>
      </c>
      <c r="B4974" t="s">
        <v>9556</v>
      </c>
      <c r="C4974" t="s">
        <v>314</v>
      </c>
      <c r="E4974" t="s">
        <v>16369</v>
      </c>
      <c r="F4974" t="s">
        <v>16370</v>
      </c>
      <c r="G4974">
        <v>142.24</v>
      </c>
      <c r="H4974">
        <v>142.24</v>
      </c>
      <c r="I4974" t="s">
        <v>179</v>
      </c>
      <c r="J4974" t="s">
        <v>180</v>
      </c>
      <c r="K4974" t="s">
        <v>31</v>
      </c>
      <c r="L4974" t="s">
        <v>32</v>
      </c>
      <c r="M4974" t="s">
        <v>33</v>
      </c>
      <c r="P4974" s="1" t="s">
        <v>16942</v>
      </c>
      <c r="Q4974" s="1" t="s">
        <v>16369</v>
      </c>
      <c r="R4974" s="1" t="s">
        <v>16369</v>
      </c>
      <c r="S4974" s="1"/>
      <c r="T4974" s="1" t="s">
        <v>314</v>
      </c>
      <c r="U4974" s="1"/>
      <c r="V4974" s="1">
        <v>142.24</v>
      </c>
      <c r="W4974" s="1">
        <v>142.24</v>
      </c>
      <c r="X4974" s="1" t="s">
        <v>35</v>
      </c>
      <c r="Y4974" s="1">
        <v>142240</v>
      </c>
      <c r="Z4974" s="1"/>
      <c r="AA4974" s="1">
        <v>142240</v>
      </c>
      <c r="AB4974" s="1"/>
      <c r="AC4974" s="1" t="s">
        <v>36</v>
      </c>
      <c r="AD4974" s="1" t="s">
        <v>16943</v>
      </c>
      <c r="AE4974" s="1" t="s">
        <v>32</v>
      </c>
      <c r="AF4974" s="1" t="s">
        <v>33</v>
      </c>
      <c r="AG4974" s="1" t="s">
        <v>180</v>
      </c>
    </row>
    <row r="4975" spans="1:33">
      <c r="A4975" t="s">
        <v>16944</v>
      </c>
      <c r="C4975" t="s">
        <v>586</v>
      </c>
      <c r="E4975" t="s">
        <v>16369</v>
      </c>
      <c r="F4975" t="s">
        <v>16370</v>
      </c>
      <c r="G4975">
        <v>19.5</v>
      </c>
      <c r="H4975">
        <v>19.5</v>
      </c>
      <c r="I4975" t="s">
        <v>269</v>
      </c>
      <c r="J4975" t="s">
        <v>270</v>
      </c>
      <c r="K4975" t="s">
        <v>31</v>
      </c>
      <c r="L4975" t="s">
        <v>32</v>
      </c>
      <c r="M4975" t="s">
        <v>33</v>
      </c>
      <c r="P4975" s="1" t="s">
        <v>16945</v>
      </c>
      <c r="Q4975" s="1" t="s">
        <v>16369</v>
      </c>
      <c r="R4975" s="1" t="s">
        <v>16369</v>
      </c>
      <c r="S4975" s="1"/>
      <c r="T4975" s="1" t="s">
        <v>586</v>
      </c>
      <c r="U4975" s="1"/>
      <c r="V4975" s="1">
        <v>19.5</v>
      </c>
      <c r="W4975" s="1">
        <v>19.5</v>
      </c>
      <c r="X4975" s="1" t="s">
        <v>35</v>
      </c>
      <c r="Y4975" s="1">
        <v>19500</v>
      </c>
      <c r="Z4975" s="1"/>
      <c r="AA4975" s="1">
        <v>19500</v>
      </c>
      <c r="AB4975" s="1"/>
      <c r="AC4975" s="1" t="s">
        <v>36</v>
      </c>
      <c r="AD4975" s="1" t="s">
        <v>16946</v>
      </c>
      <c r="AE4975" s="1" t="s">
        <v>32</v>
      </c>
      <c r="AF4975" s="1" t="s">
        <v>33</v>
      </c>
      <c r="AG4975" s="1" t="s">
        <v>270</v>
      </c>
    </row>
    <row r="4976" spans="1:33">
      <c r="A4976" t="s">
        <v>16947</v>
      </c>
      <c r="C4976" t="s">
        <v>16948</v>
      </c>
      <c r="E4976" t="s">
        <v>16369</v>
      </c>
      <c r="F4976" t="s">
        <v>16370</v>
      </c>
      <c r="G4976">
        <v>568.5</v>
      </c>
      <c r="H4976">
        <v>568.5</v>
      </c>
      <c r="I4976" t="s">
        <v>40</v>
      </c>
      <c r="J4976" t="s">
        <v>41</v>
      </c>
      <c r="K4976" t="s">
        <v>31</v>
      </c>
      <c r="L4976" t="s">
        <v>32</v>
      </c>
      <c r="M4976" t="s">
        <v>33</v>
      </c>
      <c r="P4976" s="1" t="s">
        <v>16949</v>
      </c>
      <c r="Q4976" s="1" t="s">
        <v>16369</v>
      </c>
      <c r="R4976" s="1" t="s">
        <v>15359</v>
      </c>
      <c r="S4976" s="1"/>
      <c r="T4976" s="1" t="s">
        <v>16948</v>
      </c>
      <c r="U4976" s="1"/>
      <c r="V4976" s="1">
        <v>568.5</v>
      </c>
      <c r="W4976" s="1">
        <v>568.5</v>
      </c>
      <c r="X4976" s="1" t="s">
        <v>35</v>
      </c>
      <c r="Y4976" s="1">
        <v>568500</v>
      </c>
      <c r="Z4976" s="1"/>
      <c r="AA4976" s="1">
        <v>568500</v>
      </c>
      <c r="AB4976" s="1"/>
      <c r="AC4976" s="1" t="s">
        <v>36</v>
      </c>
      <c r="AD4976" s="1" t="s">
        <v>16930</v>
      </c>
      <c r="AE4976" s="1" t="s">
        <v>32</v>
      </c>
      <c r="AF4976" s="1" t="s">
        <v>33</v>
      </c>
      <c r="AG4976" s="1" t="s">
        <v>41</v>
      </c>
    </row>
    <row r="4977" spans="1:33">
      <c r="A4977" t="s">
        <v>16950</v>
      </c>
      <c r="B4977" t="s">
        <v>1124</v>
      </c>
      <c r="C4977" t="s">
        <v>1125</v>
      </c>
      <c r="E4977" t="s">
        <v>16369</v>
      </c>
      <c r="F4977" t="s">
        <v>16370</v>
      </c>
      <c r="G4977">
        <v>656.0</v>
      </c>
      <c r="H4977">
        <v>656.0</v>
      </c>
      <c r="I4977" t="s">
        <v>529</v>
      </c>
      <c r="J4977" t="s">
        <v>530</v>
      </c>
      <c r="K4977" t="s">
        <v>31</v>
      </c>
      <c r="L4977" t="s">
        <v>32</v>
      </c>
      <c r="M4977" t="s">
        <v>33</v>
      </c>
      <c r="P4977" s="1" t="s">
        <v>16951</v>
      </c>
      <c r="Q4977" s="1" t="s">
        <v>16369</v>
      </c>
      <c r="R4977" s="1" t="s">
        <v>15359</v>
      </c>
      <c r="S4977" s="1"/>
      <c r="T4977" s="1" t="s">
        <v>1125</v>
      </c>
      <c r="U4977" s="1"/>
      <c r="V4977" s="1">
        <v>656.0</v>
      </c>
      <c r="W4977" s="1">
        <v>656.0</v>
      </c>
      <c r="X4977" s="1" t="s">
        <v>35</v>
      </c>
      <c r="Y4977" s="1">
        <v>656000</v>
      </c>
      <c r="Z4977" s="1"/>
      <c r="AA4977" s="1">
        <v>656000</v>
      </c>
      <c r="AB4977" s="1"/>
      <c r="AC4977" s="1" t="s">
        <v>36</v>
      </c>
      <c r="AD4977" s="1" t="s">
        <v>16930</v>
      </c>
      <c r="AE4977" s="1" t="s">
        <v>32</v>
      </c>
      <c r="AF4977" s="1" t="s">
        <v>33</v>
      </c>
      <c r="AG4977" s="1" t="s">
        <v>530</v>
      </c>
    </row>
    <row r="4978" spans="1:33">
      <c r="A4978" t="s">
        <v>16952</v>
      </c>
      <c r="C4978" t="s">
        <v>13035</v>
      </c>
      <c r="D4978" t="s">
        <v>114</v>
      </c>
      <c r="E4978" t="s">
        <v>16369</v>
      </c>
      <c r="F4978" t="s">
        <v>16370</v>
      </c>
      <c r="G4978">
        <v>328.0</v>
      </c>
      <c r="H4978">
        <v>328.0</v>
      </c>
      <c r="I4978" t="s">
        <v>269</v>
      </c>
      <c r="J4978" t="s">
        <v>270</v>
      </c>
      <c r="K4978" t="s">
        <v>31</v>
      </c>
      <c r="L4978" t="s">
        <v>32</v>
      </c>
      <c r="M4978" t="s">
        <v>33</v>
      </c>
      <c r="P4978" s="1" t="s">
        <v>16953</v>
      </c>
      <c r="Q4978" s="1" t="s">
        <v>16369</v>
      </c>
      <c r="R4978" s="1" t="s">
        <v>16369</v>
      </c>
      <c r="S4978" s="1"/>
      <c r="T4978" s="1" t="s">
        <v>13037</v>
      </c>
      <c r="U4978" s="1" t="s">
        <v>13038</v>
      </c>
      <c r="V4978" s="1">
        <v>328.0</v>
      </c>
      <c r="W4978" s="1">
        <v>328.0</v>
      </c>
      <c r="X4978" s="1" t="s">
        <v>35</v>
      </c>
      <c r="Y4978" s="1">
        <v>328000</v>
      </c>
      <c r="Z4978" s="1"/>
      <c r="AA4978" s="1">
        <v>328000</v>
      </c>
      <c r="AB4978" s="1"/>
      <c r="AC4978" s="1" t="s">
        <v>36</v>
      </c>
      <c r="AD4978" s="1" t="s">
        <v>16954</v>
      </c>
      <c r="AE4978" s="1" t="s">
        <v>32</v>
      </c>
      <c r="AF4978" s="1" t="s">
        <v>33</v>
      </c>
      <c r="AG4978" s="1" t="s">
        <v>270</v>
      </c>
    </row>
    <row r="4979" spans="1:33">
      <c r="A4979" t="s">
        <v>16955</v>
      </c>
      <c r="C4979" t="s">
        <v>3820</v>
      </c>
      <c r="E4979" t="s">
        <v>16369</v>
      </c>
      <c r="F4979" t="s">
        <v>16370</v>
      </c>
      <c r="G4979">
        <v>336.0</v>
      </c>
      <c r="H4979">
        <v>336.0</v>
      </c>
      <c r="I4979" t="s">
        <v>2206</v>
      </c>
      <c r="J4979" t="s">
        <v>49</v>
      </c>
      <c r="K4979" t="s">
        <v>31</v>
      </c>
      <c r="L4979" t="s">
        <v>32</v>
      </c>
      <c r="M4979" t="s">
        <v>33</v>
      </c>
      <c r="P4979" s="1" t="s">
        <v>16956</v>
      </c>
      <c r="Q4979" s="1" t="s">
        <v>16369</v>
      </c>
      <c r="R4979" s="1" t="s">
        <v>16369</v>
      </c>
      <c r="S4979" s="1"/>
      <c r="T4979" s="1" t="s">
        <v>3820</v>
      </c>
      <c r="U4979" s="1"/>
      <c r="V4979" s="1">
        <v>336.0</v>
      </c>
      <c r="W4979" s="1">
        <v>336.0</v>
      </c>
      <c r="X4979" s="1" t="s">
        <v>35</v>
      </c>
      <c r="Y4979" s="1">
        <v>336000</v>
      </c>
      <c r="Z4979" s="1"/>
      <c r="AA4979" s="1">
        <v>336000</v>
      </c>
      <c r="AB4979" s="1"/>
      <c r="AC4979" s="1" t="s">
        <v>36</v>
      </c>
      <c r="AD4979" s="1" t="s">
        <v>16957</v>
      </c>
      <c r="AE4979" s="1" t="s">
        <v>32</v>
      </c>
      <c r="AF4979" s="1" t="s">
        <v>33</v>
      </c>
      <c r="AG4979" s="1" t="s">
        <v>49</v>
      </c>
    </row>
    <row r="4980" spans="1:33">
      <c r="A4980" t="s">
        <v>16958</v>
      </c>
      <c r="C4980" t="s">
        <v>3278</v>
      </c>
      <c r="D4980" t="s">
        <v>154</v>
      </c>
      <c r="E4980" t="s">
        <v>16369</v>
      </c>
      <c r="F4980" t="s">
        <v>16370</v>
      </c>
      <c r="G4980">
        <v>652.0</v>
      </c>
      <c r="H4980">
        <v>652.0</v>
      </c>
      <c r="I4980" t="s">
        <v>847</v>
      </c>
      <c r="J4980" t="s">
        <v>848</v>
      </c>
      <c r="K4980" t="s">
        <v>31</v>
      </c>
      <c r="L4980" t="s">
        <v>32</v>
      </c>
      <c r="M4980" t="s">
        <v>33</v>
      </c>
      <c r="P4980" s="1" t="s">
        <v>16959</v>
      </c>
      <c r="Q4980" s="1" t="s">
        <v>16369</v>
      </c>
      <c r="R4980" s="1" t="s">
        <v>16369</v>
      </c>
      <c r="S4980" s="1"/>
      <c r="T4980" s="1" t="s">
        <v>3280</v>
      </c>
      <c r="U4980" s="1" t="s">
        <v>3281</v>
      </c>
      <c r="V4980" s="1">
        <v>652.0</v>
      </c>
      <c r="W4980" s="1">
        <v>652.0</v>
      </c>
      <c r="X4980" s="1" t="s">
        <v>35</v>
      </c>
      <c r="Y4980" s="1">
        <v>652000</v>
      </c>
      <c r="Z4980" s="1"/>
      <c r="AA4980" s="1">
        <v>652000</v>
      </c>
      <c r="AB4980" s="1"/>
      <c r="AC4980" s="1" t="s">
        <v>36</v>
      </c>
      <c r="AD4980" s="1" t="s">
        <v>16913</v>
      </c>
      <c r="AE4980" s="1" t="s">
        <v>32</v>
      </c>
      <c r="AF4980" s="1" t="s">
        <v>33</v>
      </c>
      <c r="AG4980" s="1" t="s">
        <v>848</v>
      </c>
    </row>
    <row r="4981" spans="1:33">
      <c r="A4981" t="s">
        <v>16960</v>
      </c>
      <c r="B4981" t="s">
        <v>16961</v>
      </c>
      <c r="C4981" t="s">
        <v>125</v>
      </c>
      <c r="E4981" t="s">
        <v>16369</v>
      </c>
      <c r="F4981" t="s">
        <v>16370</v>
      </c>
      <c r="G4981">
        <v>39.98</v>
      </c>
      <c r="H4981">
        <v>39.98</v>
      </c>
      <c r="I4981" t="s">
        <v>126</v>
      </c>
      <c r="J4981" t="s">
        <v>127</v>
      </c>
      <c r="K4981" t="s">
        <v>31</v>
      </c>
      <c r="L4981" t="s">
        <v>32</v>
      </c>
      <c r="M4981" t="s">
        <v>33</v>
      </c>
      <c r="P4981" s="1" t="s">
        <v>16962</v>
      </c>
      <c r="Q4981" s="1" t="s">
        <v>16369</v>
      </c>
      <c r="R4981" s="1" t="s">
        <v>16369</v>
      </c>
      <c r="S4981" s="1"/>
      <c r="T4981" s="1" t="s">
        <v>125</v>
      </c>
      <c r="U4981" s="1"/>
      <c r="V4981" s="1">
        <v>39.98</v>
      </c>
      <c r="W4981" s="1">
        <v>39.98</v>
      </c>
      <c r="X4981" s="1" t="s">
        <v>35</v>
      </c>
      <c r="Y4981" s="1">
        <v>39980</v>
      </c>
      <c r="Z4981" s="1"/>
      <c r="AA4981" s="1">
        <v>39980</v>
      </c>
      <c r="AB4981" s="1"/>
      <c r="AC4981" s="1" t="s">
        <v>36</v>
      </c>
      <c r="AD4981" s="1" t="s">
        <v>16963</v>
      </c>
      <c r="AE4981" s="1" t="s">
        <v>32</v>
      </c>
      <c r="AF4981" s="1" t="s">
        <v>33</v>
      </c>
      <c r="AG4981" s="1" t="s">
        <v>127</v>
      </c>
    </row>
    <row r="4982" spans="1:33">
      <c r="A4982" t="s">
        <v>16964</v>
      </c>
      <c r="B4982" t="s">
        <v>6809</v>
      </c>
      <c r="C4982" t="s">
        <v>268</v>
      </c>
      <c r="E4982" t="s">
        <v>16369</v>
      </c>
      <c r="F4982" t="s">
        <v>16370</v>
      </c>
      <c r="G4982">
        <v>99.5</v>
      </c>
      <c r="H4982">
        <v>99.5</v>
      </c>
      <c r="I4982" t="s">
        <v>269</v>
      </c>
      <c r="J4982" t="s">
        <v>270</v>
      </c>
      <c r="K4982" t="s">
        <v>31</v>
      </c>
      <c r="L4982" t="s">
        <v>32</v>
      </c>
      <c r="M4982" t="s">
        <v>33</v>
      </c>
      <c r="P4982" s="1" t="s">
        <v>16965</v>
      </c>
      <c r="Q4982" s="1" t="s">
        <v>16369</v>
      </c>
      <c r="R4982" s="1" t="s">
        <v>16369</v>
      </c>
      <c r="S4982" s="1"/>
      <c r="T4982" s="1" t="s">
        <v>268</v>
      </c>
      <c r="U4982" s="1"/>
      <c r="V4982" s="1">
        <v>99.5</v>
      </c>
      <c r="W4982" s="1">
        <v>99.5</v>
      </c>
      <c r="X4982" s="1" t="s">
        <v>35</v>
      </c>
      <c r="Y4982" s="1">
        <v>99500</v>
      </c>
      <c r="Z4982" s="1"/>
      <c r="AA4982" s="1">
        <v>99500</v>
      </c>
      <c r="AB4982" s="1"/>
      <c r="AC4982" s="1" t="s">
        <v>36</v>
      </c>
      <c r="AD4982" s="1" t="s">
        <v>16966</v>
      </c>
      <c r="AE4982" s="1" t="s">
        <v>32</v>
      </c>
      <c r="AF4982" s="1" t="s">
        <v>33</v>
      </c>
      <c r="AG4982" s="1" t="s">
        <v>270</v>
      </c>
    </row>
    <row r="4983" spans="1:33">
      <c r="A4983" t="s">
        <v>16967</v>
      </c>
      <c r="B4983" t="s">
        <v>16968</v>
      </c>
      <c r="C4983" t="s">
        <v>68</v>
      </c>
      <c r="E4983" t="s">
        <v>16369</v>
      </c>
      <c r="F4983" t="s">
        <v>16370</v>
      </c>
      <c r="G4983">
        <v>5.558</v>
      </c>
      <c r="H4983">
        <v>5.558</v>
      </c>
      <c r="I4983" t="s">
        <v>59</v>
      </c>
      <c r="J4983" t="s">
        <v>60</v>
      </c>
      <c r="K4983" t="s">
        <v>31</v>
      </c>
      <c r="L4983" t="s">
        <v>32</v>
      </c>
      <c r="M4983" t="s">
        <v>33</v>
      </c>
      <c r="P4983" s="1" t="s">
        <v>16969</v>
      </c>
      <c r="Q4983" s="1" t="s">
        <v>16369</v>
      </c>
      <c r="R4983" s="1" t="s">
        <v>16369</v>
      </c>
      <c r="S4983" s="1"/>
      <c r="T4983" s="1" t="s">
        <v>68</v>
      </c>
      <c r="U4983" s="1"/>
      <c r="V4983" s="1">
        <v>5.558</v>
      </c>
      <c r="W4983" s="1">
        <v>5.558</v>
      </c>
      <c r="X4983" s="1" t="s">
        <v>35</v>
      </c>
      <c r="Y4983" s="1">
        <v>5558</v>
      </c>
      <c r="Z4983" s="1"/>
      <c r="AA4983" s="1">
        <v>5558</v>
      </c>
      <c r="AB4983" s="1"/>
      <c r="AC4983" s="1" t="s">
        <v>36</v>
      </c>
      <c r="AD4983" s="1" t="s">
        <v>16921</v>
      </c>
      <c r="AE4983" s="1" t="s">
        <v>32</v>
      </c>
      <c r="AF4983" s="1" t="s">
        <v>33</v>
      </c>
      <c r="AG4983" s="1" t="s">
        <v>60</v>
      </c>
    </row>
    <row r="4984" spans="1:33">
      <c r="A4984" t="s">
        <v>16970</v>
      </c>
      <c r="C4984" t="s">
        <v>992</v>
      </c>
      <c r="E4984" t="s">
        <v>16369</v>
      </c>
      <c r="F4984" t="s">
        <v>16370</v>
      </c>
      <c r="G4984">
        <v>807.6</v>
      </c>
      <c r="H4984">
        <v>807.6</v>
      </c>
      <c r="I4984" t="s">
        <v>847</v>
      </c>
      <c r="J4984" t="s">
        <v>848</v>
      </c>
      <c r="K4984" t="s">
        <v>31</v>
      </c>
      <c r="L4984" t="s">
        <v>32</v>
      </c>
      <c r="M4984" t="s">
        <v>33</v>
      </c>
      <c r="P4984" s="1" t="s">
        <v>16971</v>
      </c>
      <c r="Q4984" s="1" t="s">
        <v>16369</v>
      </c>
      <c r="R4984" s="1" t="s">
        <v>16369</v>
      </c>
      <c r="S4984" s="1"/>
      <c r="T4984" s="1" t="s">
        <v>992</v>
      </c>
      <c r="U4984" s="1"/>
      <c r="V4984" s="1">
        <v>807.6</v>
      </c>
      <c r="W4984" s="1">
        <v>807.6</v>
      </c>
      <c r="X4984" s="1" t="s">
        <v>35</v>
      </c>
      <c r="Y4984" s="1">
        <v>807600</v>
      </c>
      <c r="Z4984" s="1"/>
      <c r="AA4984" s="1">
        <v>807600</v>
      </c>
      <c r="AB4984" s="1"/>
      <c r="AC4984" s="1" t="s">
        <v>36</v>
      </c>
      <c r="AD4984" s="1" t="s">
        <v>16972</v>
      </c>
      <c r="AE4984" s="1" t="s">
        <v>32</v>
      </c>
      <c r="AF4984" s="1" t="s">
        <v>33</v>
      </c>
      <c r="AG4984" s="1" t="s">
        <v>848</v>
      </c>
    </row>
    <row r="4985" spans="1:33">
      <c r="A4985" t="s">
        <v>16973</v>
      </c>
      <c r="B4985" t="s">
        <v>16974</v>
      </c>
      <c r="C4985" t="s">
        <v>268</v>
      </c>
      <c r="E4985" t="s">
        <v>16369</v>
      </c>
      <c r="F4985" t="s">
        <v>16370</v>
      </c>
      <c r="G4985">
        <v>124.75</v>
      </c>
      <c r="H4985">
        <v>124.75</v>
      </c>
      <c r="I4985" t="s">
        <v>269</v>
      </c>
      <c r="J4985" t="s">
        <v>270</v>
      </c>
      <c r="K4985" t="s">
        <v>31</v>
      </c>
      <c r="L4985" t="s">
        <v>32</v>
      </c>
      <c r="M4985" t="s">
        <v>33</v>
      </c>
      <c r="P4985" s="1" t="s">
        <v>16975</v>
      </c>
      <c r="Q4985" s="1" t="s">
        <v>16369</v>
      </c>
      <c r="R4985" s="1" t="s">
        <v>16369</v>
      </c>
      <c r="S4985" s="1"/>
      <c r="T4985" s="1" t="s">
        <v>268</v>
      </c>
      <c r="U4985" s="1"/>
      <c r="V4985" s="1">
        <v>124.75</v>
      </c>
      <c r="W4985" s="1">
        <v>124.75</v>
      </c>
      <c r="X4985" s="1" t="s">
        <v>35</v>
      </c>
      <c r="Y4985" s="1">
        <v>124750</v>
      </c>
      <c r="Z4985" s="1"/>
      <c r="AA4985" s="1">
        <v>124750</v>
      </c>
      <c r="AB4985" s="1"/>
      <c r="AC4985" s="1" t="s">
        <v>36</v>
      </c>
      <c r="AD4985" s="1" t="s">
        <v>16976</v>
      </c>
      <c r="AE4985" s="1" t="s">
        <v>32</v>
      </c>
      <c r="AF4985" s="1" t="s">
        <v>33</v>
      </c>
      <c r="AG4985" s="1" t="s">
        <v>270</v>
      </c>
    </row>
    <row r="4986" spans="1:33">
      <c r="A4986" t="s">
        <v>16977</v>
      </c>
      <c r="B4986" t="s">
        <v>16978</v>
      </c>
      <c r="C4986" t="s">
        <v>172</v>
      </c>
      <c r="E4986" t="s">
        <v>16369</v>
      </c>
      <c r="F4986" t="s">
        <v>16370</v>
      </c>
      <c r="G4986">
        <v>43.98</v>
      </c>
      <c r="H4986">
        <v>43.98</v>
      </c>
      <c r="I4986" t="s">
        <v>173</v>
      </c>
      <c r="J4986" t="s">
        <v>174</v>
      </c>
      <c r="K4986" t="s">
        <v>31</v>
      </c>
      <c r="L4986" t="s">
        <v>32</v>
      </c>
      <c r="M4986" t="s">
        <v>33</v>
      </c>
      <c r="P4986" s="1" t="s">
        <v>16979</v>
      </c>
      <c r="Q4986" s="1" t="s">
        <v>16369</v>
      </c>
      <c r="R4986" s="1" t="s">
        <v>16369</v>
      </c>
      <c r="S4986" s="1"/>
      <c r="T4986" s="1" t="s">
        <v>172</v>
      </c>
      <c r="U4986" s="1"/>
      <c r="V4986" s="1">
        <v>43.98</v>
      </c>
      <c r="W4986" s="1">
        <v>43.98</v>
      </c>
      <c r="X4986" s="1" t="s">
        <v>35</v>
      </c>
      <c r="Y4986" s="1">
        <v>43980</v>
      </c>
      <c r="Z4986" s="1"/>
      <c r="AA4986" s="1">
        <v>43980</v>
      </c>
      <c r="AB4986" s="1"/>
      <c r="AC4986" s="1" t="s">
        <v>36</v>
      </c>
      <c r="AD4986" s="1" t="s">
        <v>16980</v>
      </c>
      <c r="AE4986" s="1" t="s">
        <v>32</v>
      </c>
      <c r="AF4986" s="1" t="s">
        <v>33</v>
      </c>
      <c r="AG4986" s="1" t="s">
        <v>174</v>
      </c>
    </row>
    <row r="4987" spans="1:33">
      <c r="A4987" t="s">
        <v>16981</v>
      </c>
      <c r="B4987" t="s">
        <v>6299</v>
      </c>
      <c r="C4987" t="s">
        <v>268</v>
      </c>
      <c r="E4987" t="s">
        <v>16369</v>
      </c>
      <c r="F4987" t="s">
        <v>16370</v>
      </c>
      <c r="G4987">
        <v>232.57</v>
      </c>
      <c r="H4987">
        <v>232.57</v>
      </c>
      <c r="I4987" t="s">
        <v>269</v>
      </c>
      <c r="J4987" t="s">
        <v>270</v>
      </c>
      <c r="K4987" t="s">
        <v>31</v>
      </c>
      <c r="L4987" t="s">
        <v>32</v>
      </c>
      <c r="M4987" t="s">
        <v>33</v>
      </c>
      <c r="P4987" s="1" t="s">
        <v>16982</v>
      </c>
      <c r="Q4987" s="1" t="s">
        <v>16369</v>
      </c>
      <c r="R4987" s="1" t="s">
        <v>16369</v>
      </c>
      <c r="S4987" s="1"/>
      <c r="T4987" s="1" t="s">
        <v>268</v>
      </c>
      <c r="U4987" s="1"/>
      <c r="V4987" s="1">
        <v>232.57</v>
      </c>
      <c r="W4987" s="1">
        <v>232.57</v>
      </c>
      <c r="X4987" s="1" t="s">
        <v>35</v>
      </c>
      <c r="Y4987" s="1">
        <v>232570</v>
      </c>
      <c r="Z4987" s="1"/>
      <c r="AA4987" s="1">
        <v>232570</v>
      </c>
      <c r="AB4987" s="1"/>
      <c r="AC4987" s="1" t="s">
        <v>36</v>
      </c>
      <c r="AD4987" s="1" t="s">
        <v>16963</v>
      </c>
      <c r="AE4987" s="1" t="s">
        <v>32</v>
      </c>
      <c r="AF4987" s="1" t="s">
        <v>33</v>
      </c>
      <c r="AG4987" s="1" t="s">
        <v>270</v>
      </c>
    </row>
    <row r="4988" spans="1:33">
      <c r="A4988" t="s">
        <v>16983</v>
      </c>
      <c r="C4988" t="s">
        <v>16984</v>
      </c>
      <c r="E4988" t="s">
        <v>16369</v>
      </c>
      <c r="F4988" t="s">
        <v>16370</v>
      </c>
      <c r="G4988">
        <v>320.0</v>
      </c>
      <c r="H4988">
        <v>320.0</v>
      </c>
      <c r="I4988" t="s">
        <v>173</v>
      </c>
      <c r="J4988" t="s">
        <v>174</v>
      </c>
      <c r="K4988" t="s">
        <v>31</v>
      </c>
      <c r="L4988" t="s">
        <v>32</v>
      </c>
      <c r="M4988" t="s">
        <v>33</v>
      </c>
      <c r="P4988" s="1" t="s">
        <v>16985</v>
      </c>
      <c r="Q4988" s="1" t="s">
        <v>16369</v>
      </c>
      <c r="R4988" s="1" t="s">
        <v>16369</v>
      </c>
      <c r="S4988" s="1"/>
      <c r="T4988" s="1" t="s">
        <v>16984</v>
      </c>
      <c r="U4988" s="1"/>
      <c r="V4988" s="1">
        <v>320.0</v>
      </c>
      <c r="W4988" s="1">
        <v>320.0</v>
      </c>
      <c r="X4988" s="1" t="s">
        <v>35</v>
      </c>
      <c r="Y4988" s="1">
        <v>320000</v>
      </c>
      <c r="Z4988" s="1"/>
      <c r="AA4988" s="1">
        <v>320000</v>
      </c>
      <c r="AB4988" s="1"/>
      <c r="AC4988" s="1" t="s">
        <v>36</v>
      </c>
      <c r="AD4988" s="1" t="s">
        <v>16986</v>
      </c>
      <c r="AE4988" s="1" t="s">
        <v>32</v>
      </c>
      <c r="AF4988" s="1" t="s">
        <v>33</v>
      </c>
      <c r="AG4988" s="1" t="s">
        <v>174</v>
      </c>
    </row>
    <row r="4989" spans="1:33">
      <c r="A4989" t="s">
        <v>16987</v>
      </c>
      <c r="B4989" t="s">
        <v>16988</v>
      </c>
      <c r="C4989" t="s">
        <v>172</v>
      </c>
      <c r="E4989" t="s">
        <v>16369</v>
      </c>
      <c r="F4989" t="s">
        <v>16370</v>
      </c>
      <c r="G4989">
        <v>19.49</v>
      </c>
      <c r="H4989">
        <v>19.49</v>
      </c>
      <c r="I4989" t="s">
        <v>173</v>
      </c>
      <c r="J4989" t="s">
        <v>174</v>
      </c>
      <c r="K4989" t="s">
        <v>31</v>
      </c>
      <c r="L4989" t="s">
        <v>32</v>
      </c>
      <c r="M4989" t="s">
        <v>33</v>
      </c>
      <c r="P4989" s="1" t="s">
        <v>16989</v>
      </c>
      <c r="Q4989" s="1" t="s">
        <v>16369</v>
      </c>
      <c r="R4989" s="1" t="s">
        <v>16369</v>
      </c>
      <c r="S4989" s="1"/>
      <c r="T4989" s="1" t="s">
        <v>172</v>
      </c>
      <c r="U4989" s="1"/>
      <c r="V4989" s="1">
        <v>19.49</v>
      </c>
      <c r="W4989" s="1">
        <v>19.49</v>
      </c>
      <c r="X4989" s="1" t="s">
        <v>35</v>
      </c>
      <c r="Y4989" s="1">
        <v>19490</v>
      </c>
      <c r="Z4989" s="1"/>
      <c r="AA4989" s="1">
        <v>19490</v>
      </c>
      <c r="AB4989" s="1"/>
      <c r="AC4989" s="1" t="s">
        <v>36</v>
      </c>
      <c r="AD4989" s="1" t="s">
        <v>16990</v>
      </c>
      <c r="AE4989" s="1" t="s">
        <v>32</v>
      </c>
      <c r="AF4989" s="1" t="s">
        <v>33</v>
      </c>
      <c r="AG4989" s="1" t="s">
        <v>174</v>
      </c>
    </row>
    <row r="4990" spans="1:33">
      <c r="A4990" t="s">
        <v>16991</v>
      </c>
      <c r="B4990" t="s">
        <v>9826</v>
      </c>
      <c r="C4990" t="s">
        <v>1298</v>
      </c>
      <c r="E4990" t="s">
        <v>16369</v>
      </c>
      <c r="F4990" t="s">
        <v>16370</v>
      </c>
      <c r="G4990">
        <v>3.0</v>
      </c>
      <c r="H4990">
        <v>3.0</v>
      </c>
      <c r="I4990" t="s">
        <v>529</v>
      </c>
      <c r="J4990" t="s">
        <v>530</v>
      </c>
      <c r="K4990" t="s">
        <v>31</v>
      </c>
      <c r="L4990" t="s">
        <v>32</v>
      </c>
      <c r="M4990" t="s">
        <v>33</v>
      </c>
      <c r="P4990" s="1" t="s">
        <v>16992</v>
      </c>
      <c r="Q4990" s="1" t="s">
        <v>16369</v>
      </c>
      <c r="R4990" s="1" t="s">
        <v>15359</v>
      </c>
      <c r="S4990" s="1"/>
      <c r="T4990" s="1" t="s">
        <v>1298</v>
      </c>
      <c r="U4990" s="1"/>
      <c r="V4990" s="1">
        <v>3.0</v>
      </c>
      <c r="W4990" s="1">
        <v>3.0</v>
      </c>
      <c r="X4990" s="1" t="s">
        <v>35</v>
      </c>
      <c r="Y4990" s="1">
        <v>3000</v>
      </c>
      <c r="Z4990" s="1"/>
      <c r="AA4990" s="1">
        <v>3000</v>
      </c>
      <c r="AB4990" s="1"/>
      <c r="AC4990" s="1" t="s">
        <v>36</v>
      </c>
      <c r="AD4990" s="1" t="s">
        <v>16993</v>
      </c>
      <c r="AE4990" s="1" t="s">
        <v>32</v>
      </c>
      <c r="AF4990" s="1" t="s">
        <v>33</v>
      </c>
      <c r="AG4990" s="1" t="s">
        <v>530</v>
      </c>
    </row>
    <row r="4991" spans="1:33">
      <c r="A4991" t="s">
        <v>16994</v>
      </c>
      <c r="C4991" t="s">
        <v>1912</v>
      </c>
      <c r="E4991" t="s">
        <v>16369</v>
      </c>
      <c r="F4991" t="s">
        <v>16370</v>
      </c>
      <c r="G4991">
        <v>417.5</v>
      </c>
      <c r="H4991">
        <v>417.5</v>
      </c>
      <c r="I4991" t="s">
        <v>173</v>
      </c>
      <c r="J4991" t="s">
        <v>174</v>
      </c>
      <c r="K4991" t="s">
        <v>31</v>
      </c>
      <c r="L4991" t="s">
        <v>32</v>
      </c>
      <c r="M4991" t="s">
        <v>33</v>
      </c>
      <c r="P4991" s="1" t="s">
        <v>16995</v>
      </c>
      <c r="Q4991" s="1" t="s">
        <v>16369</v>
      </c>
      <c r="R4991" s="1" t="s">
        <v>16369</v>
      </c>
      <c r="S4991" s="1"/>
      <c r="T4991" s="1" t="s">
        <v>1912</v>
      </c>
      <c r="U4991" s="1"/>
      <c r="V4991" s="1">
        <v>417.5</v>
      </c>
      <c r="W4991" s="1">
        <v>417.5</v>
      </c>
      <c r="X4991" s="1" t="s">
        <v>35</v>
      </c>
      <c r="Y4991" s="1">
        <v>417500</v>
      </c>
      <c r="Z4991" s="1"/>
      <c r="AA4991" s="1">
        <v>417500</v>
      </c>
      <c r="AB4991" s="1"/>
      <c r="AC4991" s="1" t="s">
        <v>36</v>
      </c>
      <c r="AD4991" s="1" t="s">
        <v>16993</v>
      </c>
      <c r="AE4991" s="1" t="s">
        <v>32</v>
      </c>
      <c r="AF4991" s="1" t="s">
        <v>33</v>
      </c>
      <c r="AG4991" s="1" t="s">
        <v>174</v>
      </c>
    </row>
    <row r="4992" spans="1:33">
      <c r="A4992" t="s">
        <v>16996</v>
      </c>
      <c r="C4992" t="s">
        <v>996</v>
      </c>
      <c r="E4992" t="s">
        <v>16369</v>
      </c>
      <c r="F4992" t="s">
        <v>16370</v>
      </c>
      <c r="G4992">
        <v>326.0</v>
      </c>
      <c r="H4992">
        <v>326.0</v>
      </c>
      <c r="I4992" t="s">
        <v>847</v>
      </c>
      <c r="J4992" t="s">
        <v>848</v>
      </c>
      <c r="K4992" t="s">
        <v>31</v>
      </c>
      <c r="L4992" t="s">
        <v>32</v>
      </c>
      <c r="M4992" t="s">
        <v>33</v>
      </c>
      <c r="P4992" s="1" t="s">
        <v>16997</v>
      </c>
      <c r="Q4992" s="1" t="s">
        <v>16369</v>
      </c>
      <c r="R4992" s="1" t="s">
        <v>16369</v>
      </c>
      <c r="S4992" s="1"/>
      <c r="T4992" s="1" t="s">
        <v>996</v>
      </c>
      <c r="U4992" s="1"/>
      <c r="V4992" s="1">
        <v>326.0</v>
      </c>
      <c r="W4992" s="1">
        <v>326.0</v>
      </c>
      <c r="X4992" s="1" t="s">
        <v>35</v>
      </c>
      <c r="Y4992" s="1">
        <v>326000</v>
      </c>
      <c r="Z4992" s="1"/>
      <c r="AA4992" s="1">
        <v>326000</v>
      </c>
      <c r="AB4992" s="1"/>
      <c r="AC4992" s="1" t="s">
        <v>36</v>
      </c>
      <c r="AD4992" s="1" t="s">
        <v>16998</v>
      </c>
      <c r="AE4992" s="1" t="s">
        <v>32</v>
      </c>
      <c r="AF4992" s="1" t="s">
        <v>33</v>
      </c>
      <c r="AG4992" s="1" t="s">
        <v>848</v>
      </c>
    </row>
    <row r="4993" spans="1:33">
      <c r="A4993" t="s">
        <v>16999</v>
      </c>
      <c r="C4993" t="s">
        <v>3643</v>
      </c>
      <c r="E4993" t="s">
        <v>16369</v>
      </c>
      <c r="F4993" t="s">
        <v>16370</v>
      </c>
      <c r="G4993">
        <v>1.23</v>
      </c>
      <c r="H4993">
        <v>1.23</v>
      </c>
      <c r="I4993" t="s">
        <v>269</v>
      </c>
      <c r="J4993" t="s">
        <v>270</v>
      </c>
      <c r="K4993" t="s">
        <v>31</v>
      </c>
      <c r="L4993" t="s">
        <v>32</v>
      </c>
      <c r="M4993" t="s">
        <v>33</v>
      </c>
      <c r="P4993" s="1" t="s">
        <v>17000</v>
      </c>
      <c r="Q4993" s="1" t="s">
        <v>16369</v>
      </c>
      <c r="R4993" s="1" t="s">
        <v>16369</v>
      </c>
      <c r="S4993" s="1"/>
      <c r="T4993" s="1" t="s">
        <v>3643</v>
      </c>
      <c r="U4993" s="1"/>
      <c r="V4993" s="1">
        <v>1.23</v>
      </c>
      <c r="W4993" s="1">
        <v>1.23</v>
      </c>
      <c r="X4993" s="1" t="s">
        <v>35</v>
      </c>
      <c r="Y4993" s="1">
        <v>1230000</v>
      </c>
      <c r="Z4993" s="1"/>
      <c r="AA4993" s="1">
        <v>1230000</v>
      </c>
      <c r="AB4993" s="1"/>
      <c r="AC4993" s="1" t="s">
        <v>36</v>
      </c>
      <c r="AD4993" s="1" t="s">
        <v>17001</v>
      </c>
      <c r="AE4993" s="1" t="s">
        <v>32</v>
      </c>
      <c r="AF4993" s="1" t="s">
        <v>33</v>
      </c>
      <c r="AG4993" s="1" t="s">
        <v>270</v>
      </c>
    </row>
    <row r="4994" spans="1:33">
      <c r="A4994" t="s">
        <v>17002</v>
      </c>
      <c r="C4994" t="s">
        <v>1613</v>
      </c>
      <c r="E4994" t="s">
        <v>16369</v>
      </c>
      <c r="F4994" t="s">
        <v>16370</v>
      </c>
      <c r="G4994">
        <v>1.91</v>
      </c>
      <c r="H4994">
        <v>1.91</v>
      </c>
      <c r="I4994" t="s">
        <v>570</v>
      </c>
      <c r="J4994" t="s">
        <v>571</v>
      </c>
      <c r="K4994" t="s">
        <v>31</v>
      </c>
      <c r="L4994" t="s">
        <v>32</v>
      </c>
      <c r="M4994" t="s">
        <v>33</v>
      </c>
      <c r="P4994" s="1" t="s">
        <v>17003</v>
      </c>
      <c r="Q4994" s="1" t="s">
        <v>16369</v>
      </c>
      <c r="R4994" s="1" t="s">
        <v>16369</v>
      </c>
      <c r="S4994" s="1"/>
      <c r="T4994" s="1" t="s">
        <v>1613</v>
      </c>
      <c r="U4994" s="1"/>
      <c r="V4994" s="1">
        <v>1.91</v>
      </c>
      <c r="W4994" s="1">
        <v>1.91</v>
      </c>
      <c r="X4994" s="1" t="s">
        <v>35</v>
      </c>
      <c r="Y4994" s="1">
        <v>1910500</v>
      </c>
      <c r="Z4994" s="1"/>
      <c r="AA4994" s="1">
        <v>1910500</v>
      </c>
      <c r="AB4994" s="1"/>
      <c r="AC4994" s="1" t="s">
        <v>36</v>
      </c>
      <c r="AD4994" s="1" t="s">
        <v>17004</v>
      </c>
      <c r="AE4994" s="1" t="s">
        <v>32</v>
      </c>
      <c r="AF4994" s="1" t="s">
        <v>33</v>
      </c>
      <c r="AG4994" s="1" t="s">
        <v>571</v>
      </c>
    </row>
    <row r="4995" spans="1:33">
      <c r="A4995" t="s">
        <v>17005</v>
      </c>
      <c r="C4995" t="s">
        <v>2101</v>
      </c>
      <c r="E4995" t="s">
        <v>16369</v>
      </c>
      <c r="F4995" t="s">
        <v>16370</v>
      </c>
      <c r="G4995">
        <v>492.0</v>
      </c>
      <c r="H4995">
        <v>492.0</v>
      </c>
      <c r="I4995" t="s">
        <v>269</v>
      </c>
      <c r="J4995" t="s">
        <v>270</v>
      </c>
      <c r="K4995" t="s">
        <v>31</v>
      </c>
      <c r="L4995" t="s">
        <v>32</v>
      </c>
      <c r="M4995" t="s">
        <v>33</v>
      </c>
      <c r="P4995" s="1" t="s">
        <v>17006</v>
      </c>
      <c r="Q4995" s="1" t="s">
        <v>16369</v>
      </c>
      <c r="R4995" s="1" t="s">
        <v>16369</v>
      </c>
      <c r="S4995" s="1"/>
      <c r="T4995" s="1" t="s">
        <v>2103</v>
      </c>
      <c r="U4995" s="1" t="s">
        <v>2104</v>
      </c>
      <c r="V4995" s="1">
        <v>492.0</v>
      </c>
      <c r="W4995" s="1">
        <v>492.0</v>
      </c>
      <c r="X4995" s="1" t="s">
        <v>35</v>
      </c>
      <c r="Y4995" s="1">
        <v>492000</v>
      </c>
      <c r="Z4995" s="1"/>
      <c r="AA4995" s="1">
        <v>492000</v>
      </c>
      <c r="AB4995" s="1"/>
      <c r="AC4995" s="1" t="s">
        <v>36</v>
      </c>
      <c r="AD4995" s="1" t="s">
        <v>16913</v>
      </c>
      <c r="AE4995" s="1" t="s">
        <v>32</v>
      </c>
      <c r="AF4995" s="1" t="s">
        <v>33</v>
      </c>
      <c r="AG4995" s="1" t="s">
        <v>270</v>
      </c>
    </row>
    <row r="4996" spans="1:33">
      <c r="A4996" t="s">
        <v>17007</v>
      </c>
      <c r="C4996" t="s">
        <v>6474</v>
      </c>
      <c r="E4996" t="s">
        <v>16369</v>
      </c>
      <c r="F4996" t="s">
        <v>16370</v>
      </c>
      <c r="G4996">
        <v>513.414</v>
      </c>
      <c r="H4996">
        <v>513.414</v>
      </c>
      <c r="I4996" t="s">
        <v>847</v>
      </c>
      <c r="J4996" t="s">
        <v>848</v>
      </c>
      <c r="K4996" t="s">
        <v>31</v>
      </c>
      <c r="L4996" t="s">
        <v>32</v>
      </c>
      <c r="M4996" t="s">
        <v>33</v>
      </c>
      <c r="P4996" s="1" t="s">
        <v>17008</v>
      </c>
      <c r="Q4996" s="1" t="s">
        <v>16369</v>
      </c>
      <c r="R4996" s="1" t="s">
        <v>16369</v>
      </c>
      <c r="S4996" s="1"/>
      <c r="T4996" s="1" t="s">
        <v>6474</v>
      </c>
      <c r="U4996" s="1"/>
      <c r="V4996" s="1">
        <v>513.414</v>
      </c>
      <c r="W4996" s="1">
        <v>513.414</v>
      </c>
      <c r="X4996" s="1" t="s">
        <v>35</v>
      </c>
      <c r="Y4996" s="1">
        <v>513414</v>
      </c>
      <c r="Z4996" s="1"/>
      <c r="AA4996" s="1">
        <v>513414</v>
      </c>
      <c r="AB4996" s="1"/>
      <c r="AC4996" s="1" t="s">
        <v>36</v>
      </c>
      <c r="AD4996" s="1" t="s">
        <v>17009</v>
      </c>
      <c r="AE4996" s="1" t="s">
        <v>32</v>
      </c>
      <c r="AF4996" s="1" t="s">
        <v>33</v>
      </c>
      <c r="AG4996" s="1" t="s">
        <v>848</v>
      </c>
    </row>
    <row r="4997" spans="1:33">
      <c r="A4997" t="s">
        <v>17010</v>
      </c>
      <c r="C4997" t="s">
        <v>7385</v>
      </c>
      <c r="E4997" t="s">
        <v>16369</v>
      </c>
      <c r="F4997" t="s">
        <v>16370</v>
      </c>
      <c r="G4997">
        <v>9.184</v>
      </c>
      <c r="H4997">
        <v>9.184</v>
      </c>
      <c r="I4997" t="s">
        <v>227</v>
      </c>
      <c r="J4997" t="s">
        <v>228</v>
      </c>
      <c r="K4997" t="s">
        <v>31</v>
      </c>
      <c r="L4997" t="s">
        <v>32</v>
      </c>
      <c r="M4997" t="s">
        <v>33</v>
      </c>
      <c r="P4997" s="1" t="s">
        <v>17011</v>
      </c>
      <c r="Q4997" s="1" t="s">
        <v>16369</v>
      </c>
      <c r="R4997" s="1" t="s">
        <v>16369</v>
      </c>
      <c r="S4997" s="1"/>
      <c r="T4997" s="1" t="s">
        <v>7385</v>
      </c>
      <c r="U4997" s="1"/>
      <c r="V4997" s="1">
        <v>9.184</v>
      </c>
      <c r="W4997" s="1">
        <v>9.184</v>
      </c>
      <c r="X4997" s="1" t="s">
        <v>35</v>
      </c>
      <c r="Y4997" s="1">
        <v>9184000</v>
      </c>
      <c r="Z4997" s="1"/>
      <c r="AA4997" s="1">
        <v>9184000</v>
      </c>
      <c r="AB4997" s="1"/>
      <c r="AC4997" s="1" t="s">
        <v>36</v>
      </c>
      <c r="AD4997" s="1" t="s">
        <v>16986</v>
      </c>
      <c r="AE4997" s="1" t="s">
        <v>32</v>
      </c>
      <c r="AF4997" s="1" t="s">
        <v>33</v>
      </c>
      <c r="AG4997" s="1" t="s">
        <v>228</v>
      </c>
    </row>
    <row r="4998" spans="1:33">
      <c r="A4998" t="s">
        <v>17012</v>
      </c>
      <c r="C4998" t="s">
        <v>6072</v>
      </c>
      <c r="E4998" t="s">
        <v>16369</v>
      </c>
      <c r="F4998" t="s">
        <v>16370</v>
      </c>
      <c r="G4998">
        <v>674.5</v>
      </c>
      <c r="H4998">
        <v>674.5</v>
      </c>
      <c r="I4998" t="s">
        <v>40</v>
      </c>
      <c r="J4998" t="s">
        <v>41</v>
      </c>
      <c r="K4998" t="s">
        <v>31</v>
      </c>
      <c r="L4998" t="s">
        <v>32</v>
      </c>
      <c r="M4998" t="s">
        <v>33</v>
      </c>
      <c r="P4998" s="1" t="s">
        <v>17013</v>
      </c>
      <c r="Q4998" s="1" t="s">
        <v>16369</v>
      </c>
      <c r="R4998" s="1" t="s">
        <v>15359</v>
      </c>
      <c r="S4998" s="1"/>
      <c r="T4998" s="1" t="s">
        <v>6072</v>
      </c>
      <c r="U4998" s="1"/>
      <c r="V4998" s="1">
        <v>674.5</v>
      </c>
      <c r="W4998" s="1">
        <v>674.5</v>
      </c>
      <c r="X4998" s="1" t="s">
        <v>35</v>
      </c>
      <c r="Y4998" s="1">
        <v>674500</v>
      </c>
      <c r="Z4998" s="1"/>
      <c r="AA4998" s="1">
        <v>674500</v>
      </c>
      <c r="AB4998" s="1"/>
      <c r="AC4998" s="1" t="s">
        <v>36</v>
      </c>
      <c r="AD4998" s="1" t="s">
        <v>17014</v>
      </c>
      <c r="AE4998" s="1" t="s">
        <v>32</v>
      </c>
      <c r="AF4998" s="1" t="s">
        <v>33</v>
      </c>
      <c r="AG4998" s="1" t="s">
        <v>41</v>
      </c>
    </row>
    <row r="4999" spans="1:33">
      <c r="A4999" t="s">
        <v>17015</v>
      </c>
      <c r="C4999" t="s">
        <v>1785</v>
      </c>
      <c r="E4999" t="s">
        <v>16369</v>
      </c>
      <c r="F4999" t="s">
        <v>16370</v>
      </c>
      <c r="G4999">
        <v>2.445</v>
      </c>
      <c r="H4999">
        <v>2.445</v>
      </c>
      <c r="I4999" t="s">
        <v>847</v>
      </c>
      <c r="J4999" t="s">
        <v>848</v>
      </c>
      <c r="K4999" t="s">
        <v>31</v>
      </c>
      <c r="L4999" t="s">
        <v>32</v>
      </c>
      <c r="M4999" t="s">
        <v>33</v>
      </c>
      <c r="P4999" s="1" t="s">
        <v>17016</v>
      </c>
      <c r="Q4999" s="1" t="s">
        <v>16369</v>
      </c>
      <c r="R4999" s="1" t="s">
        <v>16369</v>
      </c>
      <c r="S4999" s="1"/>
      <c r="T4999" s="1" t="s">
        <v>1785</v>
      </c>
      <c r="U4999" s="1"/>
      <c r="V4999" s="1">
        <v>2.445</v>
      </c>
      <c r="W4999" s="1">
        <v>2.445</v>
      </c>
      <c r="X4999" s="1" t="s">
        <v>35</v>
      </c>
      <c r="Y4999" s="1">
        <v>2445000</v>
      </c>
      <c r="Z4999" s="1"/>
      <c r="AA4999" s="1">
        <v>2445000</v>
      </c>
      <c r="AB4999" s="1"/>
      <c r="AC4999" s="1" t="s">
        <v>36</v>
      </c>
      <c r="AD4999" s="1" t="s">
        <v>17017</v>
      </c>
      <c r="AE4999" s="1" t="s">
        <v>32</v>
      </c>
      <c r="AF4999" s="1" t="s">
        <v>33</v>
      </c>
      <c r="AG4999" s="1" t="s">
        <v>848</v>
      </c>
    </row>
    <row r="5000" spans="1:33">
      <c r="A5000" t="s">
        <v>17018</v>
      </c>
      <c r="B5000" t="s">
        <v>17019</v>
      </c>
      <c r="C5000" t="s">
        <v>131</v>
      </c>
      <c r="E5000" t="s">
        <v>16369</v>
      </c>
      <c r="F5000" t="s">
        <v>16370</v>
      </c>
      <c r="G5000">
        <v>36.99</v>
      </c>
      <c r="H5000">
        <v>36.99</v>
      </c>
      <c r="I5000" t="s">
        <v>94</v>
      </c>
      <c r="J5000" t="s">
        <v>95</v>
      </c>
      <c r="K5000" t="s">
        <v>31</v>
      </c>
      <c r="L5000" t="s">
        <v>32</v>
      </c>
      <c r="M5000" t="s">
        <v>33</v>
      </c>
      <c r="P5000" s="1" t="s">
        <v>17020</v>
      </c>
      <c r="Q5000" s="1" t="s">
        <v>16369</v>
      </c>
      <c r="R5000" s="1" t="s">
        <v>16369</v>
      </c>
      <c r="S5000" s="1"/>
      <c r="T5000" s="1" t="s">
        <v>131</v>
      </c>
      <c r="U5000" s="1"/>
      <c r="V5000" s="1">
        <v>36.99</v>
      </c>
      <c r="W5000" s="1">
        <v>36.99</v>
      </c>
      <c r="X5000" s="1" t="s">
        <v>35</v>
      </c>
      <c r="Y5000" s="1">
        <v>36990</v>
      </c>
      <c r="Z5000" s="1"/>
      <c r="AA5000" s="1">
        <v>36990</v>
      </c>
      <c r="AB5000" s="1"/>
      <c r="AC5000" s="1" t="s">
        <v>36</v>
      </c>
      <c r="AD5000" s="1" t="s">
        <v>17021</v>
      </c>
      <c r="AE5000" s="1" t="s">
        <v>32</v>
      </c>
      <c r="AF5000" s="1" t="s">
        <v>33</v>
      </c>
      <c r="AG5000" s="1" t="s">
        <v>95</v>
      </c>
    </row>
    <row r="5001" spans="1:33">
      <c r="A5001" t="s">
        <v>17022</v>
      </c>
      <c r="C5001" t="s">
        <v>131</v>
      </c>
      <c r="E5001" t="s">
        <v>16369</v>
      </c>
      <c r="F5001" t="s">
        <v>16370</v>
      </c>
      <c r="G5001">
        <v>30.25</v>
      </c>
      <c r="H5001">
        <v>30.25</v>
      </c>
      <c r="I5001" t="s">
        <v>94</v>
      </c>
      <c r="J5001" t="s">
        <v>95</v>
      </c>
      <c r="K5001" t="s">
        <v>31</v>
      </c>
      <c r="L5001" t="s">
        <v>32</v>
      </c>
      <c r="M5001" t="s">
        <v>33</v>
      </c>
      <c r="P5001" s="1" t="s">
        <v>17023</v>
      </c>
      <c r="Q5001" s="1" t="s">
        <v>16369</v>
      </c>
      <c r="R5001" s="1" t="s">
        <v>16369</v>
      </c>
      <c r="S5001" s="1"/>
      <c r="T5001" s="1" t="s">
        <v>131</v>
      </c>
      <c r="U5001" s="1"/>
      <c r="V5001" s="1">
        <v>30.25</v>
      </c>
      <c r="W5001" s="1">
        <v>30.25</v>
      </c>
      <c r="X5001" s="1" t="s">
        <v>35</v>
      </c>
      <c r="Y5001" s="1">
        <v>30250</v>
      </c>
      <c r="Z5001" s="1"/>
      <c r="AA5001" s="1">
        <v>30250</v>
      </c>
      <c r="AB5001" s="1"/>
      <c r="AC5001" s="1" t="s">
        <v>36</v>
      </c>
      <c r="AD5001" s="1" t="s">
        <v>16426</v>
      </c>
      <c r="AE5001" s="1" t="s">
        <v>32</v>
      </c>
      <c r="AF5001" s="1" t="s">
        <v>33</v>
      </c>
      <c r="AG5001" s="1" t="s">
        <v>95</v>
      </c>
    </row>
    <row r="5002" spans="1:33">
      <c r="A5002" t="s">
        <v>17024</v>
      </c>
      <c r="B5002" t="s">
        <v>17025</v>
      </c>
      <c r="C5002" t="s">
        <v>125</v>
      </c>
      <c r="E5002" t="s">
        <v>16369</v>
      </c>
      <c r="F5002" t="s">
        <v>16370</v>
      </c>
      <c r="G5002">
        <v>7.33</v>
      </c>
      <c r="H5002">
        <v>7.33</v>
      </c>
      <c r="I5002" t="s">
        <v>126</v>
      </c>
      <c r="J5002" t="s">
        <v>127</v>
      </c>
      <c r="K5002" t="s">
        <v>31</v>
      </c>
      <c r="L5002" t="s">
        <v>32</v>
      </c>
      <c r="M5002" t="s">
        <v>33</v>
      </c>
      <c r="P5002" s="1" t="s">
        <v>17026</v>
      </c>
      <c r="Q5002" s="1" t="s">
        <v>16369</v>
      </c>
      <c r="R5002" s="1" t="s">
        <v>16369</v>
      </c>
      <c r="S5002" s="1"/>
      <c r="T5002" s="1" t="s">
        <v>125</v>
      </c>
      <c r="U5002" s="1"/>
      <c r="V5002" s="1">
        <v>7.33</v>
      </c>
      <c r="W5002" s="1">
        <v>7.33</v>
      </c>
      <c r="X5002" s="1" t="s">
        <v>35</v>
      </c>
      <c r="Y5002" s="1">
        <v>7330</v>
      </c>
      <c r="Z5002" s="1"/>
      <c r="AA5002" s="1">
        <v>7330</v>
      </c>
      <c r="AB5002" s="1"/>
      <c r="AC5002" s="1" t="s">
        <v>36</v>
      </c>
      <c r="AD5002" s="1" t="s">
        <v>17027</v>
      </c>
      <c r="AE5002" s="1" t="s">
        <v>32</v>
      </c>
      <c r="AF5002" s="1" t="s">
        <v>33</v>
      </c>
      <c r="AG5002" s="1" t="s">
        <v>127</v>
      </c>
    </row>
    <row r="5003" spans="1:33">
      <c r="A5003" t="s">
        <v>17028</v>
      </c>
      <c r="C5003" t="s">
        <v>688</v>
      </c>
      <c r="E5003" t="s">
        <v>16369</v>
      </c>
      <c r="F5003" t="s">
        <v>16370</v>
      </c>
      <c r="G5003">
        <v>4.92</v>
      </c>
      <c r="H5003">
        <v>4.92</v>
      </c>
      <c r="I5003" t="s">
        <v>269</v>
      </c>
      <c r="J5003" t="s">
        <v>270</v>
      </c>
      <c r="K5003" t="s">
        <v>31</v>
      </c>
      <c r="L5003" t="s">
        <v>32</v>
      </c>
      <c r="M5003" t="s">
        <v>33</v>
      </c>
      <c r="P5003" s="1" t="s">
        <v>17029</v>
      </c>
      <c r="Q5003" s="1" t="s">
        <v>16369</v>
      </c>
      <c r="R5003" s="1" t="s">
        <v>16369</v>
      </c>
      <c r="S5003" s="1"/>
      <c r="T5003" s="1" t="s">
        <v>688</v>
      </c>
      <c r="U5003" s="1"/>
      <c r="V5003" s="1">
        <v>4.92</v>
      </c>
      <c r="W5003" s="1">
        <v>4.92</v>
      </c>
      <c r="X5003" s="1" t="s">
        <v>35</v>
      </c>
      <c r="Y5003" s="1">
        <v>4920000</v>
      </c>
      <c r="Z5003" s="1"/>
      <c r="AA5003" s="1">
        <v>4920000</v>
      </c>
      <c r="AB5003" s="1"/>
      <c r="AC5003" s="1" t="s">
        <v>36</v>
      </c>
      <c r="AD5003" s="1" t="s">
        <v>17030</v>
      </c>
      <c r="AE5003" s="1" t="s">
        <v>32</v>
      </c>
      <c r="AF5003" s="1" t="s">
        <v>33</v>
      </c>
      <c r="AG5003" s="1" t="s">
        <v>270</v>
      </c>
    </row>
    <row r="5004" spans="1:33">
      <c r="A5004" t="s">
        <v>17031</v>
      </c>
      <c r="B5004" t="s">
        <v>17032</v>
      </c>
      <c r="C5004" t="s">
        <v>17033</v>
      </c>
      <c r="E5004" t="s">
        <v>16369</v>
      </c>
      <c r="F5004" t="s">
        <v>16370</v>
      </c>
      <c r="G5004">
        <v>19.49</v>
      </c>
      <c r="H5004">
        <v>19.49</v>
      </c>
      <c r="I5004" t="s">
        <v>59</v>
      </c>
      <c r="J5004" t="s">
        <v>60</v>
      </c>
      <c r="K5004" t="s">
        <v>31</v>
      </c>
      <c r="L5004" t="s">
        <v>32</v>
      </c>
      <c r="M5004" t="s">
        <v>33</v>
      </c>
      <c r="P5004" s="1" t="s">
        <v>17034</v>
      </c>
      <c r="Q5004" s="1" t="s">
        <v>16369</v>
      </c>
      <c r="R5004" s="1" t="s">
        <v>16369</v>
      </c>
      <c r="S5004" s="1"/>
      <c r="T5004" s="1" t="s">
        <v>17033</v>
      </c>
      <c r="U5004" s="1"/>
      <c r="V5004" s="1">
        <v>19.49</v>
      </c>
      <c r="W5004" s="1">
        <v>19.49</v>
      </c>
      <c r="X5004" s="1" t="s">
        <v>35</v>
      </c>
      <c r="Y5004" s="1">
        <v>19490</v>
      </c>
      <c r="Z5004" s="1"/>
      <c r="AA5004" s="1">
        <v>19490</v>
      </c>
      <c r="AB5004" s="1"/>
      <c r="AC5004" s="1" t="s">
        <v>36</v>
      </c>
      <c r="AD5004" s="1" t="s">
        <v>17035</v>
      </c>
      <c r="AE5004" s="1" t="s">
        <v>32</v>
      </c>
      <c r="AF5004" s="1" t="s">
        <v>33</v>
      </c>
      <c r="AG5004" s="1" t="s">
        <v>60</v>
      </c>
    </row>
    <row r="5005" spans="1:33">
      <c r="A5005" t="s">
        <v>17036</v>
      </c>
      <c r="C5005" t="s">
        <v>1352</v>
      </c>
      <c r="E5005" t="s">
        <v>16369</v>
      </c>
      <c r="F5005" t="s">
        <v>16370</v>
      </c>
      <c r="G5005">
        <v>2.46</v>
      </c>
      <c r="H5005">
        <v>2.46</v>
      </c>
      <c r="I5005" t="s">
        <v>269</v>
      </c>
      <c r="J5005" t="s">
        <v>270</v>
      </c>
      <c r="K5005" t="s">
        <v>31</v>
      </c>
      <c r="L5005" t="s">
        <v>32</v>
      </c>
      <c r="M5005" t="s">
        <v>33</v>
      </c>
      <c r="P5005" s="1" t="s">
        <v>17037</v>
      </c>
      <c r="Q5005" s="1" t="s">
        <v>16369</v>
      </c>
      <c r="R5005" s="1" t="s">
        <v>16369</v>
      </c>
      <c r="S5005" s="1"/>
      <c r="T5005" s="1" t="s">
        <v>1352</v>
      </c>
      <c r="U5005" s="1"/>
      <c r="V5005" s="1">
        <v>2.46</v>
      </c>
      <c r="W5005" s="1">
        <v>2.46</v>
      </c>
      <c r="X5005" s="1" t="s">
        <v>35</v>
      </c>
      <c r="Y5005" s="1">
        <v>2460000</v>
      </c>
      <c r="Z5005" s="1"/>
      <c r="AA5005" s="1">
        <v>2460000</v>
      </c>
      <c r="AB5005" s="1"/>
      <c r="AC5005" s="1" t="s">
        <v>36</v>
      </c>
      <c r="AD5005" s="1" t="s">
        <v>17038</v>
      </c>
      <c r="AE5005" s="1" t="s">
        <v>32</v>
      </c>
      <c r="AF5005" s="1" t="s">
        <v>33</v>
      </c>
      <c r="AG5005" s="1" t="s">
        <v>270</v>
      </c>
    </row>
    <row r="5006" spans="1:33">
      <c r="A5006" t="s">
        <v>17039</v>
      </c>
      <c r="B5006" t="s">
        <v>17040</v>
      </c>
      <c r="C5006" t="s">
        <v>314</v>
      </c>
      <c r="E5006" t="s">
        <v>16369</v>
      </c>
      <c r="F5006" t="s">
        <v>16370</v>
      </c>
      <c r="G5006">
        <v>47.58</v>
      </c>
      <c r="H5006">
        <v>47.58</v>
      </c>
      <c r="I5006" t="s">
        <v>179</v>
      </c>
      <c r="J5006" t="s">
        <v>180</v>
      </c>
      <c r="K5006" t="s">
        <v>31</v>
      </c>
      <c r="L5006" t="s">
        <v>32</v>
      </c>
      <c r="M5006" t="s">
        <v>33</v>
      </c>
      <c r="P5006" s="1" t="s">
        <v>17041</v>
      </c>
      <c r="Q5006" s="1" t="s">
        <v>16369</v>
      </c>
      <c r="R5006" s="1" t="s">
        <v>16369</v>
      </c>
      <c r="S5006" s="1"/>
      <c r="T5006" s="1" t="s">
        <v>314</v>
      </c>
      <c r="U5006" s="1"/>
      <c r="V5006" s="1">
        <v>47.58</v>
      </c>
      <c r="W5006" s="1">
        <v>47.58</v>
      </c>
      <c r="X5006" s="1" t="s">
        <v>35</v>
      </c>
      <c r="Y5006" s="1">
        <v>47580</v>
      </c>
      <c r="Z5006" s="1"/>
      <c r="AA5006" s="1">
        <v>47580</v>
      </c>
      <c r="AB5006" s="1"/>
      <c r="AC5006" s="1" t="s">
        <v>36</v>
      </c>
      <c r="AD5006" s="1" t="s">
        <v>16420</v>
      </c>
      <c r="AE5006" s="1" t="s">
        <v>32</v>
      </c>
      <c r="AF5006" s="1" t="s">
        <v>33</v>
      </c>
      <c r="AG5006" s="1" t="s">
        <v>180</v>
      </c>
    </row>
    <row r="5007" spans="1:33">
      <c r="A5007" t="s">
        <v>17042</v>
      </c>
      <c r="B5007" t="s">
        <v>17043</v>
      </c>
      <c r="C5007" t="s">
        <v>131</v>
      </c>
      <c r="E5007" t="s">
        <v>16369</v>
      </c>
      <c r="F5007" t="s">
        <v>16370</v>
      </c>
      <c r="G5007">
        <v>43.98</v>
      </c>
      <c r="H5007">
        <v>43.98</v>
      </c>
      <c r="I5007" t="s">
        <v>94</v>
      </c>
      <c r="J5007" t="s">
        <v>95</v>
      </c>
      <c r="K5007" t="s">
        <v>31</v>
      </c>
      <c r="L5007" t="s">
        <v>32</v>
      </c>
      <c r="M5007" t="s">
        <v>33</v>
      </c>
      <c r="P5007" s="1" t="s">
        <v>17044</v>
      </c>
      <c r="Q5007" s="1" t="s">
        <v>16369</v>
      </c>
      <c r="R5007" s="1" t="s">
        <v>16369</v>
      </c>
      <c r="S5007" s="1"/>
      <c r="T5007" s="1" t="s">
        <v>131</v>
      </c>
      <c r="U5007" s="1"/>
      <c r="V5007" s="1">
        <v>43.98</v>
      </c>
      <c r="W5007" s="1">
        <v>43.98</v>
      </c>
      <c r="X5007" s="1" t="s">
        <v>35</v>
      </c>
      <c r="Y5007" s="1">
        <v>43980</v>
      </c>
      <c r="Z5007" s="1"/>
      <c r="AA5007" s="1">
        <v>43980</v>
      </c>
      <c r="AB5007" s="1"/>
      <c r="AC5007" s="1" t="s">
        <v>36</v>
      </c>
      <c r="AD5007" s="1" t="s">
        <v>17045</v>
      </c>
      <c r="AE5007" s="1" t="s">
        <v>32</v>
      </c>
      <c r="AF5007" s="1" t="s">
        <v>33</v>
      </c>
      <c r="AG5007" s="1" t="s">
        <v>95</v>
      </c>
    </row>
    <row r="5008" spans="1:33">
      <c r="A5008" t="s">
        <v>17046</v>
      </c>
      <c r="C5008" t="s">
        <v>3751</v>
      </c>
      <c r="E5008" t="s">
        <v>16369</v>
      </c>
      <c r="F5008" t="s">
        <v>16370</v>
      </c>
      <c r="G5008">
        <v>3.28</v>
      </c>
      <c r="H5008">
        <v>3.28</v>
      </c>
      <c r="I5008" t="s">
        <v>269</v>
      </c>
      <c r="J5008" t="s">
        <v>270</v>
      </c>
      <c r="K5008" t="s">
        <v>31</v>
      </c>
      <c r="L5008" t="s">
        <v>32</v>
      </c>
      <c r="M5008" t="s">
        <v>33</v>
      </c>
      <c r="P5008" s="1" t="s">
        <v>17047</v>
      </c>
      <c r="Q5008" s="1" t="s">
        <v>16369</v>
      </c>
      <c r="R5008" s="1" t="s">
        <v>16369</v>
      </c>
      <c r="S5008" s="1"/>
      <c r="T5008" s="1" t="s">
        <v>3751</v>
      </c>
      <c r="U5008" s="1"/>
      <c r="V5008" s="1">
        <v>3.28</v>
      </c>
      <c r="W5008" s="1">
        <v>3.28</v>
      </c>
      <c r="X5008" s="1" t="s">
        <v>35</v>
      </c>
      <c r="Y5008" s="1">
        <v>3280000</v>
      </c>
      <c r="Z5008" s="1"/>
      <c r="AA5008" s="1">
        <v>3280000</v>
      </c>
      <c r="AB5008" s="1"/>
      <c r="AC5008" s="1" t="s">
        <v>36</v>
      </c>
      <c r="AD5008" s="1" t="s">
        <v>17030</v>
      </c>
      <c r="AE5008" s="1" t="s">
        <v>32</v>
      </c>
      <c r="AF5008" s="1" t="s">
        <v>33</v>
      </c>
      <c r="AG5008" s="1" t="s">
        <v>270</v>
      </c>
    </row>
    <row r="5009" spans="1:33">
      <c r="A5009" t="s">
        <v>17048</v>
      </c>
      <c r="C5009" t="s">
        <v>3513</v>
      </c>
      <c r="D5009" t="s">
        <v>154</v>
      </c>
      <c r="E5009" t="s">
        <v>16369</v>
      </c>
      <c r="F5009" t="s">
        <v>16370</v>
      </c>
      <c r="G5009">
        <v>99.444</v>
      </c>
      <c r="H5009">
        <v>99.444</v>
      </c>
      <c r="I5009" t="s">
        <v>179</v>
      </c>
      <c r="J5009" t="s">
        <v>180</v>
      </c>
      <c r="K5009" t="s">
        <v>31</v>
      </c>
      <c r="L5009" t="s">
        <v>32</v>
      </c>
      <c r="M5009" t="s">
        <v>33</v>
      </c>
      <c r="P5009" s="1" t="s">
        <v>17049</v>
      </c>
      <c r="Q5009" s="1" t="s">
        <v>16369</v>
      </c>
      <c r="R5009" s="1" t="s">
        <v>16369</v>
      </c>
      <c r="S5009" s="1"/>
      <c r="T5009" s="1" t="s">
        <v>3513</v>
      </c>
      <c r="U5009" s="1"/>
      <c r="V5009" s="1">
        <v>99.444</v>
      </c>
      <c r="W5009" s="1">
        <v>99.444</v>
      </c>
      <c r="X5009" s="1" t="s">
        <v>35</v>
      </c>
      <c r="Y5009" s="1">
        <v>99444</v>
      </c>
      <c r="Z5009" s="1"/>
      <c r="AA5009" s="1">
        <v>99444</v>
      </c>
      <c r="AB5009" s="1"/>
      <c r="AC5009" s="1" t="s">
        <v>36</v>
      </c>
      <c r="AD5009" s="1" t="s">
        <v>17050</v>
      </c>
      <c r="AE5009" s="1" t="s">
        <v>32</v>
      </c>
      <c r="AF5009" s="1" t="s">
        <v>33</v>
      </c>
      <c r="AG5009" s="1" t="s">
        <v>180</v>
      </c>
    </row>
    <row r="5010" spans="1:33">
      <c r="A5010" t="s">
        <v>17051</v>
      </c>
      <c r="C5010" t="s">
        <v>309</v>
      </c>
      <c r="E5010" t="s">
        <v>16369</v>
      </c>
      <c r="F5010" t="s">
        <v>16370</v>
      </c>
      <c r="G5010">
        <v>756.5</v>
      </c>
      <c r="H5010">
        <v>756.5</v>
      </c>
      <c r="I5010" t="s">
        <v>2206</v>
      </c>
      <c r="J5010" t="s">
        <v>49</v>
      </c>
      <c r="K5010" t="s">
        <v>31</v>
      </c>
      <c r="L5010" t="s">
        <v>32</v>
      </c>
      <c r="M5010" t="s">
        <v>33</v>
      </c>
      <c r="P5010" s="1" t="s">
        <v>17052</v>
      </c>
      <c r="Q5010" s="1" t="s">
        <v>16369</v>
      </c>
      <c r="R5010" s="1" t="s">
        <v>16369</v>
      </c>
      <c r="S5010" s="1"/>
      <c r="T5010" s="1" t="s">
        <v>309</v>
      </c>
      <c r="U5010" s="1"/>
      <c r="V5010" s="1">
        <v>756.5</v>
      </c>
      <c r="W5010" s="1">
        <v>756.5</v>
      </c>
      <c r="X5010" s="1" t="s">
        <v>35</v>
      </c>
      <c r="Y5010" s="1">
        <v>756500</v>
      </c>
      <c r="Z5010" s="1"/>
      <c r="AA5010" s="1">
        <v>756500</v>
      </c>
      <c r="AB5010" s="1"/>
      <c r="AC5010" s="1" t="s">
        <v>36</v>
      </c>
      <c r="AD5010" s="1" t="s">
        <v>17053</v>
      </c>
      <c r="AE5010" s="1" t="s">
        <v>32</v>
      </c>
      <c r="AF5010" s="1" t="s">
        <v>33</v>
      </c>
      <c r="AG5010" s="1" t="s">
        <v>49</v>
      </c>
    </row>
    <row r="5011" spans="1:33">
      <c r="A5011" t="s">
        <v>17054</v>
      </c>
      <c r="C5011" t="s">
        <v>325</v>
      </c>
      <c r="E5011" t="s">
        <v>16369</v>
      </c>
      <c r="F5011" t="s">
        <v>16370</v>
      </c>
      <c r="G5011">
        <v>1.016</v>
      </c>
      <c r="H5011">
        <v>1.016</v>
      </c>
      <c r="I5011" t="s">
        <v>227</v>
      </c>
      <c r="J5011" t="s">
        <v>228</v>
      </c>
      <c r="K5011" t="s">
        <v>31</v>
      </c>
      <c r="L5011" t="s">
        <v>32</v>
      </c>
      <c r="M5011" t="s">
        <v>33</v>
      </c>
      <c r="P5011" s="1" t="s">
        <v>17055</v>
      </c>
      <c r="Q5011" s="1" t="s">
        <v>16369</v>
      </c>
      <c r="R5011" s="1" t="s">
        <v>16369</v>
      </c>
      <c r="S5011" s="1"/>
      <c r="T5011" s="1" t="s">
        <v>325</v>
      </c>
      <c r="U5011" s="1"/>
      <c r="V5011" s="1">
        <v>1.016</v>
      </c>
      <c r="W5011" s="1">
        <v>1.016</v>
      </c>
      <c r="X5011" s="1" t="s">
        <v>35</v>
      </c>
      <c r="Y5011" s="1">
        <v>1016000</v>
      </c>
      <c r="Z5011" s="1"/>
      <c r="AA5011" s="1">
        <v>1016000</v>
      </c>
      <c r="AB5011" s="1"/>
      <c r="AC5011" s="1" t="s">
        <v>36</v>
      </c>
      <c r="AD5011" s="1" t="s">
        <v>16993</v>
      </c>
      <c r="AE5011" s="1" t="s">
        <v>32</v>
      </c>
      <c r="AF5011" s="1" t="s">
        <v>33</v>
      </c>
      <c r="AG5011" s="1" t="s">
        <v>228</v>
      </c>
    </row>
    <row r="5012" spans="1:33">
      <c r="A5012" t="s">
        <v>17056</v>
      </c>
      <c r="C5012" t="s">
        <v>1957</v>
      </c>
      <c r="D5012" t="s">
        <v>154</v>
      </c>
      <c r="E5012" t="s">
        <v>16369</v>
      </c>
      <c r="F5012" t="s">
        <v>16370</v>
      </c>
      <c r="G5012">
        <v>410.0</v>
      </c>
      <c r="H5012">
        <v>410.0</v>
      </c>
      <c r="I5012" t="s">
        <v>227</v>
      </c>
      <c r="J5012" t="s">
        <v>228</v>
      </c>
      <c r="K5012" t="s">
        <v>31</v>
      </c>
      <c r="L5012" t="s">
        <v>32</v>
      </c>
      <c r="M5012" t="s">
        <v>33</v>
      </c>
      <c r="P5012" s="1" t="s">
        <v>17057</v>
      </c>
      <c r="Q5012" s="1" t="s">
        <v>16369</v>
      </c>
      <c r="R5012" s="1" t="s">
        <v>16369</v>
      </c>
      <c r="S5012" s="1"/>
      <c r="T5012" s="1" t="s">
        <v>1957</v>
      </c>
      <c r="U5012" s="1"/>
      <c r="V5012" s="1">
        <v>410.0</v>
      </c>
      <c r="W5012" s="1">
        <v>410.0</v>
      </c>
      <c r="X5012" s="1" t="s">
        <v>35</v>
      </c>
      <c r="Y5012" s="1">
        <v>410000</v>
      </c>
      <c r="Z5012" s="1"/>
      <c r="AA5012" s="1">
        <v>410000</v>
      </c>
      <c r="AB5012" s="1"/>
      <c r="AC5012" s="1" t="s">
        <v>36</v>
      </c>
      <c r="AD5012" s="1" t="s">
        <v>17058</v>
      </c>
      <c r="AE5012" s="1" t="s">
        <v>32</v>
      </c>
      <c r="AF5012" s="1" t="s">
        <v>33</v>
      </c>
      <c r="AG5012" s="1" t="s">
        <v>228</v>
      </c>
    </row>
    <row r="5013" spans="1:33">
      <c r="A5013" t="s">
        <v>17059</v>
      </c>
      <c r="B5013" t="s">
        <v>374</v>
      </c>
      <c r="C5013" t="s">
        <v>375</v>
      </c>
      <c r="D5013" t="s">
        <v>154</v>
      </c>
      <c r="E5013" t="s">
        <v>16369</v>
      </c>
      <c r="F5013" t="s">
        <v>16370</v>
      </c>
      <c r="G5013">
        <v>2.65</v>
      </c>
      <c r="H5013">
        <v>2.65</v>
      </c>
      <c r="I5013" t="s">
        <v>59</v>
      </c>
      <c r="J5013" t="s">
        <v>60</v>
      </c>
      <c r="K5013" t="s">
        <v>31</v>
      </c>
      <c r="L5013" t="s">
        <v>32</v>
      </c>
      <c r="M5013" t="s">
        <v>33</v>
      </c>
      <c r="P5013" s="1" t="s">
        <v>17060</v>
      </c>
      <c r="Q5013" s="1" t="s">
        <v>16369</v>
      </c>
      <c r="R5013" s="1" t="s">
        <v>16369</v>
      </c>
      <c r="S5013" s="1"/>
      <c r="T5013" s="1" t="s">
        <v>377</v>
      </c>
      <c r="U5013" s="1" t="s">
        <v>378</v>
      </c>
      <c r="V5013" s="1">
        <v>2.65</v>
      </c>
      <c r="W5013" s="1">
        <v>2.65</v>
      </c>
      <c r="X5013" s="1" t="s">
        <v>35</v>
      </c>
      <c r="Y5013" s="1">
        <v>2650000</v>
      </c>
      <c r="Z5013" s="1"/>
      <c r="AA5013" s="1">
        <v>2650000</v>
      </c>
      <c r="AB5013" s="1"/>
      <c r="AC5013" s="1" t="s">
        <v>36</v>
      </c>
      <c r="AD5013" s="1" t="s">
        <v>17061</v>
      </c>
      <c r="AE5013" s="1" t="s">
        <v>32</v>
      </c>
      <c r="AF5013" s="1" t="s">
        <v>33</v>
      </c>
      <c r="AG5013" s="1" t="s">
        <v>60</v>
      </c>
    </row>
    <row r="5014" spans="1:33">
      <c r="A5014" t="s">
        <v>17062</v>
      </c>
      <c r="C5014" t="s">
        <v>569</v>
      </c>
      <c r="E5014" t="s">
        <v>16369</v>
      </c>
      <c r="F5014" t="s">
        <v>16370</v>
      </c>
      <c r="G5014">
        <v>21.99</v>
      </c>
      <c r="H5014">
        <v>21.99</v>
      </c>
      <c r="I5014" t="s">
        <v>570</v>
      </c>
      <c r="J5014" t="s">
        <v>571</v>
      </c>
      <c r="K5014" t="s">
        <v>31</v>
      </c>
      <c r="L5014" t="s">
        <v>32</v>
      </c>
      <c r="M5014" t="s">
        <v>33</v>
      </c>
      <c r="P5014" s="1" t="s">
        <v>17063</v>
      </c>
      <c r="Q5014" s="1" t="s">
        <v>16369</v>
      </c>
      <c r="R5014" s="1" t="s">
        <v>16369</v>
      </c>
      <c r="S5014" s="1"/>
      <c r="T5014" s="1" t="s">
        <v>569</v>
      </c>
      <c r="U5014" s="1"/>
      <c r="V5014" s="1">
        <v>21.99</v>
      </c>
      <c r="W5014" s="1">
        <v>21.99</v>
      </c>
      <c r="X5014" s="1" t="s">
        <v>35</v>
      </c>
      <c r="Y5014" s="1">
        <v>21990</v>
      </c>
      <c r="Z5014" s="1"/>
      <c r="AA5014" s="1">
        <v>21990</v>
      </c>
      <c r="AB5014" s="1"/>
      <c r="AC5014" s="1" t="s">
        <v>36</v>
      </c>
      <c r="AD5014" s="1" t="s">
        <v>17064</v>
      </c>
      <c r="AE5014" s="1" t="s">
        <v>32</v>
      </c>
      <c r="AF5014" s="1" t="s">
        <v>33</v>
      </c>
      <c r="AG5014" s="1" t="s">
        <v>571</v>
      </c>
    </row>
    <row r="5015" spans="1:33">
      <c r="A5015" t="s">
        <v>17065</v>
      </c>
      <c r="C5015" t="s">
        <v>569</v>
      </c>
      <c r="E5015" t="s">
        <v>16369</v>
      </c>
      <c r="F5015" t="s">
        <v>16370</v>
      </c>
      <c r="G5015">
        <v>40.49</v>
      </c>
      <c r="H5015">
        <v>40.49</v>
      </c>
      <c r="I5015" t="s">
        <v>570</v>
      </c>
      <c r="J5015" t="s">
        <v>571</v>
      </c>
      <c r="K5015" t="s">
        <v>31</v>
      </c>
      <c r="L5015" t="s">
        <v>32</v>
      </c>
      <c r="M5015" t="s">
        <v>33</v>
      </c>
      <c r="P5015" s="1" t="s">
        <v>17066</v>
      </c>
      <c r="Q5015" s="1" t="s">
        <v>16369</v>
      </c>
      <c r="R5015" s="1" t="s">
        <v>16369</v>
      </c>
      <c r="S5015" s="1"/>
      <c r="T5015" s="1" t="s">
        <v>569</v>
      </c>
      <c r="U5015" s="1"/>
      <c r="V5015" s="1">
        <v>40.49</v>
      </c>
      <c r="W5015" s="1">
        <v>40.49</v>
      </c>
      <c r="X5015" s="1" t="s">
        <v>35</v>
      </c>
      <c r="Y5015" s="1">
        <v>40490</v>
      </c>
      <c r="Z5015" s="1"/>
      <c r="AA5015" s="1">
        <v>40490</v>
      </c>
      <c r="AB5015" s="1"/>
      <c r="AC5015" s="1" t="s">
        <v>36</v>
      </c>
      <c r="AD5015" s="1" t="s">
        <v>17067</v>
      </c>
      <c r="AE5015" s="1" t="s">
        <v>32</v>
      </c>
      <c r="AF5015" s="1" t="s">
        <v>33</v>
      </c>
      <c r="AG5015" s="1" t="s">
        <v>571</v>
      </c>
    </row>
    <row r="5016" spans="1:33">
      <c r="A5016" t="s">
        <v>17068</v>
      </c>
      <c r="C5016" t="s">
        <v>2695</v>
      </c>
      <c r="E5016" t="s">
        <v>16369</v>
      </c>
      <c r="F5016" t="s">
        <v>16370</v>
      </c>
      <c r="G5016">
        <v>515.75</v>
      </c>
      <c r="H5016">
        <v>515.75</v>
      </c>
      <c r="I5016" t="s">
        <v>179</v>
      </c>
      <c r="J5016" t="s">
        <v>180</v>
      </c>
      <c r="K5016" t="s">
        <v>31</v>
      </c>
      <c r="L5016" t="s">
        <v>32</v>
      </c>
      <c r="M5016" t="s">
        <v>33</v>
      </c>
      <c r="P5016" s="1" t="s">
        <v>17069</v>
      </c>
      <c r="Q5016" s="1" t="s">
        <v>16369</v>
      </c>
      <c r="R5016" s="1" t="s">
        <v>16369</v>
      </c>
      <c r="S5016" s="1"/>
      <c r="T5016" s="1" t="s">
        <v>2697</v>
      </c>
      <c r="U5016" s="1" t="s">
        <v>2698</v>
      </c>
      <c r="V5016" s="1">
        <v>515.75</v>
      </c>
      <c r="W5016" s="1">
        <v>515.75</v>
      </c>
      <c r="X5016" s="1" t="s">
        <v>35</v>
      </c>
      <c r="Y5016" s="1">
        <v>515750</v>
      </c>
      <c r="Z5016" s="1"/>
      <c r="AA5016" s="1">
        <v>515750</v>
      </c>
      <c r="AB5016" s="1"/>
      <c r="AC5016" s="1" t="s">
        <v>36</v>
      </c>
      <c r="AD5016" s="1" t="s">
        <v>17030</v>
      </c>
      <c r="AE5016" s="1" t="s">
        <v>32</v>
      </c>
      <c r="AF5016" s="1" t="s">
        <v>33</v>
      </c>
      <c r="AG5016" s="1" t="s">
        <v>180</v>
      </c>
    </row>
    <row r="5017" spans="1:33">
      <c r="A5017" t="s">
        <v>17070</v>
      </c>
      <c r="B5017" t="s">
        <v>17071</v>
      </c>
      <c r="C5017" t="s">
        <v>73</v>
      </c>
      <c r="E5017" t="s">
        <v>16369</v>
      </c>
      <c r="F5017" t="s">
        <v>16370</v>
      </c>
      <c r="G5017">
        <v>175.92</v>
      </c>
      <c r="H5017">
        <v>175.92</v>
      </c>
      <c r="I5017" t="s">
        <v>40</v>
      </c>
      <c r="J5017" t="s">
        <v>41</v>
      </c>
      <c r="K5017" t="s">
        <v>31</v>
      </c>
      <c r="L5017" t="s">
        <v>32</v>
      </c>
      <c r="M5017" t="s">
        <v>33</v>
      </c>
      <c r="P5017" s="1" t="s">
        <v>17072</v>
      </c>
      <c r="Q5017" s="1" t="s">
        <v>16369</v>
      </c>
      <c r="R5017" s="1" t="s">
        <v>15359</v>
      </c>
      <c r="S5017" s="1"/>
      <c r="T5017" s="1" t="s">
        <v>75</v>
      </c>
      <c r="U5017" s="1" t="s">
        <v>76</v>
      </c>
      <c r="V5017" s="1">
        <v>175.92</v>
      </c>
      <c r="W5017" s="1">
        <v>175.92</v>
      </c>
      <c r="X5017" s="1" t="s">
        <v>35</v>
      </c>
      <c r="Y5017" s="1">
        <v>175920</v>
      </c>
      <c r="Z5017" s="1"/>
      <c r="AA5017" s="1">
        <v>175920</v>
      </c>
      <c r="AB5017" s="1"/>
      <c r="AC5017" s="1" t="s">
        <v>36</v>
      </c>
      <c r="AD5017" s="1" t="s">
        <v>17073</v>
      </c>
      <c r="AE5017" s="1" t="s">
        <v>32</v>
      </c>
      <c r="AF5017" s="1" t="s">
        <v>33</v>
      </c>
      <c r="AG5017" s="1" t="s">
        <v>41</v>
      </c>
    </row>
    <row r="5018" spans="1:33">
      <c r="A5018" t="s">
        <v>17074</v>
      </c>
      <c r="C5018" t="s">
        <v>17075</v>
      </c>
      <c r="D5018" t="s">
        <v>114</v>
      </c>
      <c r="E5018" t="s">
        <v>16369</v>
      </c>
      <c r="F5018" t="s">
        <v>16370</v>
      </c>
      <c r="G5018">
        <v>8.2</v>
      </c>
      <c r="H5018">
        <v>8.2</v>
      </c>
      <c r="I5018" t="s">
        <v>269</v>
      </c>
      <c r="J5018" t="s">
        <v>270</v>
      </c>
      <c r="K5018" t="s">
        <v>31</v>
      </c>
      <c r="L5018" t="s">
        <v>32</v>
      </c>
      <c r="M5018" t="s">
        <v>33</v>
      </c>
      <c r="P5018" s="1" t="s">
        <v>17076</v>
      </c>
      <c r="Q5018" s="1" t="s">
        <v>16369</v>
      </c>
      <c r="R5018" s="1" t="s">
        <v>16369</v>
      </c>
      <c r="S5018" s="1"/>
      <c r="T5018" s="1" t="s">
        <v>17075</v>
      </c>
      <c r="U5018" s="1"/>
      <c r="V5018" s="1">
        <v>8.2</v>
      </c>
      <c r="W5018" s="1">
        <v>8.2</v>
      </c>
      <c r="X5018" s="1" t="s">
        <v>35</v>
      </c>
      <c r="Y5018" s="1">
        <v>8200000</v>
      </c>
      <c r="Z5018" s="1"/>
      <c r="AA5018" s="1">
        <v>8200000</v>
      </c>
      <c r="AB5018" s="1"/>
      <c r="AC5018" s="1" t="s">
        <v>36</v>
      </c>
      <c r="AD5018" s="1" t="s">
        <v>17067</v>
      </c>
      <c r="AE5018" s="1" t="s">
        <v>32</v>
      </c>
      <c r="AF5018" s="1" t="s">
        <v>33</v>
      </c>
      <c r="AG5018" s="1" t="s">
        <v>270</v>
      </c>
    </row>
    <row r="5019" spans="1:33">
      <c r="A5019" t="s">
        <v>17077</v>
      </c>
      <c r="B5019" t="s">
        <v>17078</v>
      </c>
      <c r="C5019" t="s">
        <v>68</v>
      </c>
      <c r="E5019" t="s">
        <v>16369</v>
      </c>
      <c r="F5019" t="s">
        <v>16370</v>
      </c>
      <c r="G5019">
        <v>3.5</v>
      </c>
      <c r="H5019">
        <v>3.5</v>
      </c>
      <c r="I5019" t="s">
        <v>59</v>
      </c>
      <c r="J5019" t="s">
        <v>60</v>
      </c>
      <c r="K5019" t="s">
        <v>31</v>
      </c>
      <c r="L5019" t="s">
        <v>32</v>
      </c>
      <c r="M5019" t="s">
        <v>33</v>
      </c>
      <c r="P5019" s="1" t="s">
        <v>17079</v>
      </c>
      <c r="Q5019" s="1" t="s">
        <v>16369</v>
      </c>
      <c r="R5019" s="1" t="s">
        <v>16369</v>
      </c>
      <c r="S5019" s="1"/>
      <c r="T5019" s="1" t="s">
        <v>68</v>
      </c>
      <c r="U5019" s="1"/>
      <c r="V5019" s="1">
        <v>3.5</v>
      </c>
      <c r="W5019" s="1">
        <v>3.5</v>
      </c>
      <c r="X5019" s="1" t="s">
        <v>35</v>
      </c>
      <c r="Y5019" s="1">
        <v>3500</v>
      </c>
      <c r="Z5019" s="1"/>
      <c r="AA5019" s="1">
        <v>3500</v>
      </c>
      <c r="AB5019" s="1"/>
      <c r="AC5019" s="1" t="s">
        <v>36</v>
      </c>
      <c r="AD5019" s="1" t="s">
        <v>17080</v>
      </c>
      <c r="AE5019" s="1" t="s">
        <v>32</v>
      </c>
      <c r="AF5019" s="1" t="s">
        <v>33</v>
      </c>
      <c r="AG5019" s="1" t="s">
        <v>60</v>
      </c>
    </row>
    <row r="5020" spans="1:33">
      <c r="A5020" t="s">
        <v>17081</v>
      </c>
      <c r="B5020" t="s">
        <v>4515</v>
      </c>
      <c r="C5020" t="s">
        <v>2395</v>
      </c>
      <c r="E5020" t="s">
        <v>16369</v>
      </c>
      <c r="F5020" t="s">
        <v>16370</v>
      </c>
      <c r="G5020">
        <v>1.17</v>
      </c>
      <c r="H5020">
        <v>1.17</v>
      </c>
      <c r="I5020" t="s">
        <v>40</v>
      </c>
      <c r="J5020" t="s">
        <v>41</v>
      </c>
      <c r="K5020" t="s">
        <v>31</v>
      </c>
      <c r="L5020" t="s">
        <v>32</v>
      </c>
      <c r="M5020" t="s">
        <v>33</v>
      </c>
      <c r="P5020" s="1" t="s">
        <v>17082</v>
      </c>
      <c r="Q5020" s="1" t="s">
        <v>16369</v>
      </c>
      <c r="R5020" s="1" t="s">
        <v>15359</v>
      </c>
      <c r="S5020" s="1"/>
      <c r="T5020" s="1" t="s">
        <v>2397</v>
      </c>
      <c r="U5020" s="1" t="s">
        <v>2398</v>
      </c>
      <c r="V5020" s="1">
        <v>1.17</v>
      </c>
      <c r="W5020" s="1">
        <v>1.17</v>
      </c>
      <c r="X5020" s="1" t="s">
        <v>35</v>
      </c>
      <c r="Y5020" s="1">
        <v>1170000</v>
      </c>
      <c r="Z5020" s="1"/>
      <c r="AA5020" s="1">
        <v>1170000</v>
      </c>
      <c r="AB5020" s="1"/>
      <c r="AC5020" s="1" t="s">
        <v>36</v>
      </c>
      <c r="AD5020" s="1" t="s">
        <v>17083</v>
      </c>
      <c r="AE5020" s="1" t="s">
        <v>32</v>
      </c>
      <c r="AF5020" s="1" t="s">
        <v>33</v>
      </c>
      <c r="AG5020" s="1" t="s">
        <v>41</v>
      </c>
    </row>
    <row r="5021" spans="1:33">
      <c r="A5021" t="s">
        <v>17084</v>
      </c>
      <c r="C5021" t="s">
        <v>7164</v>
      </c>
      <c r="E5021" t="s">
        <v>16369</v>
      </c>
      <c r="F5021" t="s">
        <v>16370</v>
      </c>
      <c r="G5021">
        <v>1.25</v>
      </c>
      <c r="H5021">
        <v>1.25</v>
      </c>
      <c r="I5021" t="s">
        <v>269</v>
      </c>
      <c r="J5021" t="s">
        <v>270</v>
      </c>
      <c r="K5021" t="s">
        <v>31</v>
      </c>
      <c r="L5021" t="s">
        <v>32</v>
      </c>
      <c r="M5021" t="s">
        <v>33</v>
      </c>
      <c r="P5021" s="1" t="s">
        <v>17085</v>
      </c>
      <c r="Q5021" s="1" t="s">
        <v>16369</v>
      </c>
      <c r="R5021" s="1" t="s">
        <v>16369</v>
      </c>
      <c r="S5021" s="1"/>
      <c r="T5021" s="1" t="s">
        <v>7164</v>
      </c>
      <c r="U5021" s="1"/>
      <c r="V5021" s="1">
        <v>1.25</v>
      </c>
      <c r="W5021" s="1">
        <v>1.25</v>
      </c>
      <c r="X5021" s="1" t="s">
        <v>35</v>
      </c>
      <c r="Y5021" s="1">
        <v>1250000</v>
      </c>
      <c r="Z5021" s="1"/>
      <c r="AA5021" s="1">
        <v>1250000</v>
      </c>
      <c r="AB5021" s="1"/>
      <c r="AC5021" s="1" t="s">
        <v>36</v>
      </c>
      <c r="AD5021" s="1" t="s">
        <v>17086</v>
      </c>
      <c r="AE5021" s="1" t="s">
        <v>32</v>
      </c>
      <c r="AF5021" s="1" t="s">
        <v>33</v>
      </c>
      <c r="AG5021" s="1" t="s">
        <v>270</v>
      </c>
    </row>
    <row r="5022" spans="1:33">
      <c r="A5022" t="s">
        <v>17087</v>
      </c>
      <c r="B5022" t="s">
        <v>17088</v>
      </c>
      <c r="C5022" t="s">
        <v>68</v>
      </c>
      <c r="E5022" t="s">
        <v>16369</v>
      </c>
      <c r="F5022" t="s">
        <v>16370</v>
      </c>
      <c r="G5022">
        <v>22.49</v>
      </c>
      <c r="H5022">
        <v>22.49</v>
      </c>
      <c r="I5022" t="s">
        <v>59</v>
      </c>
      <c r="J5022" t="s">
        <v>60</v>
      </c>
      <c r="K5022" t="s">
        <v>31</v>
      </c>
      <c r="L5022" t="s">
        <v>32</v>
      </c>
      <c r="M5022" t="s">
        <v>33</v>
      </c>
      <c r="P5022" s="1" t="s">
        <v>17089</v>
      </c>
      <c r="Q5022" s="1" t="s">
        <v>16369</v>
      </c>
      <c r="R5022" s="1" t="s">
        <v>16369</v>
      </c>
      <c r="S5022" s="1"/>
      <c r="T5022" s="1" t="s">
        <v>68</v>
      </c>
      <c r="U5022" s="1"/>
      <c r="V5022" s="1">
        <v>22.49</v>
      </c>
      <c r="W5022" s="1">
        <v>22.49</v>
      </c>
      <c r="X5022" s="1" t="s">
        <v>35</v>
      </c>
      <c r="Y5022" s="1">
        <v>22490</v>
      </c>
      <c r="Z5022" s="1"/>
      <c r="AA5022" s="1">
        <v>22490</v>
      </c>
      <c r="AB5022" s="1"/>
      <c r="AC5022" s="1" t="s">
        <v>36</v>
      </c>
      <c r="AD5022" s="1" t="s">
        <v>17090</v>
      </c>
      <c r="AE5022" s="1" t="s">
        <v>32</v>
      </c>
      <c r="AF5022" s="1" t="s">
        <v>33</v>
      </c>
      <c r="AG5022" s="1" t="s">
        <v>60</v>
      </c>
    </row>
    <row r="5023" spans="1:33">
      <c r="A5023" t="s">
        <v>17091</v>
      </c>
      <c r="B5023" t="s">
        <v>215</v>
      </c>
      <c r="C5023" t="s">
        <v>125</v>
      </c>
      <c r="E5023" t="s">
        <v>16369</v>
      </c>
      <c r="F5023" t="s">
        <v>16370</v>
      </c>
      <c r="G5023">
        <v>18.67</v>
      </c>
      <c r="H5023">
        <v>18.67</v>
      </c>
      <c r="I5023" t="s">
        <v>126</v>
      </c>
      <c r="J5023" t="s">
        <v>127</v>
      </c>
      <c r="K5023" t="s">
        <v>31</v>
      </c>
      <c r="L5023" t="s">
        <v>32</v>
      </c>
      <c r="M5023" t="s">
        <v>33</v>
      </c>
      <c r="P5023" s="1" t="s">
        <v>17092</v>
      </c>
      <c r="Q5023" s="1" t="s">
        <v>16369</v>
      </c>
      <c r="R5023" s="1" t="s">
        <v>16369</v>
      </c>
      <c r="S5023" s="1"/>
      <c r="T5023" s="1" t="s">
        <v>125</v>
      </c>
      <c r="U5023" s="1"/>
      <c r="V5023" s="1">
        <v>18.67</v>
      </c>
      <c r="W5023" s="1">
        <v>18.67</v>
      </c>
      <c r="X5023" s="1" t="s">
        <v>35</v>
      </c>
      <c r="Y5023" s="1">
        <v>18670</v>
      </c>
      <c r="Z5023" s="1"/>
      <c r="AA5023" s="1">
        <v>18670</v>
      </c>
      <c r="AB5023" s="1"/>
      <c r="AC5023" s="1" t="s">
        <v>36</v>
      </c>
      <c r="AD5023" s="1" t="s">
        <v>17093</v>
      </c>
      <c r="AE5023" s="1" t="s">
        <v>32</v>
      </c>
      <c r="AF5023" s="1" t="s">
        <v>33</v>
      </c>
      <c r="AG5023" s="1" t="s">
        <v>127</v>
      </c>
    </row>
    <row r="5024" spans="1:33">
      <c r="A5024" t="s">
        <v>17094</v>
      </c>
      <c r="C5024" t="s">
        <v>1432</v>
      </c>
      <c r="D5024" t="s">
        <v>114</v>
      </c>
      <c r="E5024" t="s">
        <v>16369</v>
      </c>
      <c r="F5024" t="s">
        <v>16370</v>
      </c>
      <c r="G5024">
        <v>1.159</v>
      </c>
      <c r="H5024">
        <v>1.159</v>
      </c>
      <c r="I5024" t="s">
        <v>227</v>
      </c>
      <c r="J5024" t="s">
        <v>228</v>
      </c>
      <c r="K5024" t="s">
        <v>31</v>
      </c>
      <c r="L5024" t="s">
        <v>32</v>
      </c>
      <c r="M5024" t="s">
        <v>33</v>
      </c>
      <c r="P5024" s="1" t="s">
        <v>17095</v>
      </c>
      <c r="Q5024" s="1" t="s">
        <v>16369</v>
      </c>
      <c r="R5024" s="1" t="s">
        <v>16369</v>
      </c>
      <c r="S5024" s="1"/>
      <c r="T5024" s="1" t="s">
        <v>1432</v>
      </c>
      <c r="U5024" s="1"/>
      <c r="V5024" s="1">
        <v>1.159</v>
      </c>
      <c r="W5024" s="1">
        <v>1.159</v>
      </c>
      <c r="X5024" s="1" t="s">
        <v>35</v>
      </c>
      <c r="Y5024" s="1">
        <v>1159950</v>
      </c>
      <c r="Z5024" s="1"/>
      <c r="AA5024" s="1">
        <v>1159950</v>
      </c>
      <c r="AB5024" s="1"/>
      <c r="AC5024" s="1" t="s">
        <v>36</v>
      </c>
      <c r="AD5024" s="1" t="s">
        <v>17096</v>
      </c>
      <c r="AE5024" s="1" t="s">
        <v>32</v>
      </c>
      <c r="AF5024" s="1" t="s">
        <v>33</v>
      </c>
      <c r="AG5024" s="1" t="s">
        <v>228</v>
      </c>
    </row>
    <row r="5025" spans="1:33">
      <c r="A5025" t="s">
        <v>17097</v>
      </c>
      <c r="B5025" t="s">
        <v>17098</v>
      </c>
      <c r="C5025" t="s">
        <v>47</v>
      </c>
      <c r="E5025" t="s">
        <v>16369</v>
      </c>
      <c r="F5025" t="s">
        <v>16370</v>
      </c>
      <c r="G5025">
        <v>60.468</v>
      </c>
      <c r="H5025">
        <v>60.468</v>
      </c>
      <c r="I5025" t="s">
        <v>2206</v>
      </c>
      <c r="J5025" t="s">
        <v>49</v>
      </c>
      <c r="K5025" t="s">
        <v>31</v>
      </c>
      <c r="L5025" t="s">
        <v>32</v>
      </c>
      <c r="M5025" t="s">
        <v>33</v>
      </c>
      <c r="P5025" s="1" t="s">
        <v>17099</v>
      </c>
      <c r="Q5025" s="1" t="s">
        <v>16369</v>
      </c>
      <c r="R5025" s="1" t="s">
        <v>16369</v>
      </c>
      <c r="S5025" s="1"/>
      <c r="T5025" s="1" t="s">
        <v>47</v>
      </c>
      <c r="U5025" s="1"/>
      <c r="V5025" s="1">
        <v>60.468</v>
      </c>
      <c r="W5025" s="1">
        <v>60.468</v>
      </c>
      <c r="X5025" s="1" t="s">
        <v>35</v>
      </c>
      <c r="Y5025" s="1">
        <v>60468</v>
      </c>
      <c r="Z5025" s="1"/>
      <c r="AA5025" s="1">
        <v>60468</v>
      </c>
      <c r="AB5025" s="1"/>
      <c r="AC5025" s="1" t="s">
        <v>36</v>
      </c>
      <c r="AD5025" s="1" t="s">
        <v>17100</v>
      </c>
      <c r="AE5025" s="1" t="s">
        <v>32</v>
      </c>
      <c r="AF5025" s="1" t="s">
        <v>33</v>
      </c>
      <c r="AG5025" s="1" t="s">
        <v>49</v>
      </c>
    </row>
    <row r="5026" spans="1:33">
      <c r="A5026" t="s">
        <v>17101</v>
      </c>
      <c r="C5026" t="s">
        <v>554</v>
      </c>
      <c r="E5026" t="s">
        <v>16369</v>
      </c>
      <c r="F5026" t="s">
        <v>16370</v>
      </c>
      <c r="G5026">
        <v>328.0</v>
      </c>
      <c r="H5026">
        <v>328.0</v>
      </c>
      <c r="I5026" t="s">
        <v>269</v>
      </c>
      <c r="J5026" t="s">
        <v>270</v>
      </c>
      <c r="K5026" t="s">
        <v>31</v>
      </c>
      <c r="L5026" t="s">
        <v>32</v>
      </c>
      <c r="M5026" t="s">
        <v>33</v>
      </c>
      <c r="P5026" s="1" t="s">
        <v>17102</v>
      </c>
      <c r="Q5026" s="1" t="s">
        <v>16369</v>
      </c>
      <c r="R5026" s="1" t="s">
        <v>16369</v>
      </c>
      <c r="S5026" s="1"/>
      <c r="T5026" s="1" t="s">
        <v>554</v>
      </c>
      <c r="U5026" s="1"/>
      <c r="V5026" s="1">
        <v>328.0</v>
      </c>
      <c r="W5026" s="1">
        <v>328.0</v>
      </c>
      <c r="X5026" s="1" t="s">
        <v>35</v>
      </c>
      <c r="Y5026" s="1">
        <v>328000</v>
      </c>
      <c r="Z5026" s="1"/>
      <c r="AA5026" s="1">
        <v>328000</v>
      </c>
      <c r="AB5026" s="1"/>
      <c r="AC5026" s="1" t="s">
        <v>36</v>
      </c>
      <c r="AD5026" s="1" t="s">
        <v>17103</v>
      </c>
      <c r="AE5026" s="1" t="s">
        <v>32</v>
      </c>
      <c r="AF5026" s="1" t="s">
        <v>33</v>
      </c>
      <c r="AG5026" s="1" t="s">
        <v>270</v>
      </c>
    </row>
    <row r="5027" spans="1:33">
      <c r="A5027" t="s">
        <v>17104</v>
      </c>
      <c r="B5027" t="s">
        <v>10653</v>
      </c>
      <c r="C5027" t="s">
        <v>125</v>
      </c>
      <c r="E5027" t="s">
        <v>16369</v>
      </c>
      <c r="F5027" t="s">
        <v>16370</v>
      </c>
      <c r="G5027">
        <v>33.98</v>
      </c>
      <c r="H5027">
        <v>33.98</v>
      </c>
      <c r="I5027" t="s">
        <v>126</v>
      </c>
      <c r="J5027" t="s">
        <v>127</v>
      </c>
      <c r="K5027" t="s">
        <v>31</v>
      </c>
      <c r="L5027" t="s">
        <v>32</v>
      </c>
      <c r="M5027" t="s">
        <v>33</v>
      </c>
      <c r="P5027" s="1" t="s">
        <v>17105</v>
      </c>
      <c r="Q5027" s="1" t="s">
        <v>16369</v>
      </c>
      <c r="R5027" s="1" t="s">
        <v>16369</v>
      </c>
      <c r="S5027" s="1"/>
      <c r="T5027" s="1" t="s">
        <v>125</v>
      </c>
      <c r="U5027" s="1"/>
      <c r="V5027" s="1">
        <v>33.98</v>
      </c>
      <c r="W5027" s="1">
        <v>33.98</v>
      </c>
      <c r="X5027" s="1" t="s">
        <v>35</v>
      </c>
      <c r="Y5027" s="1">
        <v>33980</v>
      </c>
      <c r="Z5027" s="1"/>
      <c r="AA5027" s="1">
        <v>33980</v>
      </c>
      <c r="AB5027" s="1"/>
      <c r="AC5027" s="1" t="s">
        <v>36</v>
      </c>
      <c r="AD5027" s="1" t="s">
        <v>17106</v>
      </c>
      <c r="AE5027" s="1" t="s">
        <v>32</v>
      </c>
      <c r="AF5027" s="1" t="s">
        <v>33</v>
      </c>
      <c r="AG5027" s="1" t="s">
        <v>127</v>
      </c>
    </row>
    <row r="5028" spans="1:33">
      <c r="A5028" t="s">
        <v>17107</v>
      </c>
      <c r="B5028" t="s">
        <v>57</v>
      </c>
      <c r="C5028" t="s">
        <v>58</v>
      </c>
      <c r="E5028" t="s">
        <v>16369</v>
      </c>
      <c r="F5028" t="s">
        <v>16370</v>
      </c>
      <c r="G5028">
        <v>555.0</v>
      </c>
      <c r="H5028">
        <v>555.0</v>
      </c>
      <c r="I5028" t="s">
        <v>59</v>
      </c>
      <c r="J5028" t="s">
        <v>60</v>
      </c>
      <c r="K5028" t="s">
        <v>31</v>
      </c>
      <c r="L5028" t="s">
        <v>32</v>
      </c>
      <c r="M5028" t="s">
        <v>33</v>
      </c>
      <c r="P5028" s="1" t="s">
        <v>17108</v>
      </c>
      <c r="Q5028" s="1" t="s">
        <v>16369</v>
      </c>
      <c r="R5028" s="1" t="s">
        <v>16369</v>
      </c>
      <c r="S5028" s="1"/>
      <c r="T5028" s="1" t="s">
        <v>58</v>
      </c>
      <c r="U5028" s="1"/>
      <c r="V5028" s="1">
        <v>555.0</v>
      </c>
      <c r="W5028" s="1">
        <v>555.0</v>
      </c>
      <c r="X5028" s="1" t="s">
        <v>35</v>
      </c>
      <c r="Y5028" s="1">
        <v>555000</v>
      </c>
      <c r="Z5028" s="1"/>
      <c r="AA5028" s="1">
        <v>555000</v>
      </c>
      <c r="AB5028" s="1"/>
      <c r="AC5028" s="1" t="s">
        <v>36</v>
      </c>
      <c r="AD5028" s="1" t="s">
        <v>17109</v>
      </c>
      <c r="AE5028" s="1" t="s">
        <v>32</v>
      </c>
      <c r="AF5028" s="1" t="s">
        <v>33</v>
      </c>
      <c r="AG5028" s="1" t="s">
        <v>60</v>
      </c>
    </row>
    <row r="5029" spans="1:33">
      <c r="A5029" t="s">
        <v>17110</v>
      </c>
      <c r="C5029" t="s">
        <v>695</v>
      </c>
      <c r="D5029" t="s">
        <v>114</v>
      </c>
      <c r="E5029" t="s">
        <v>16369</v>
      </c>
      <c r="F5029" t="s">
        <v>16370</v>
      </c>
      <c r="G5029">
        <v>328.0</v>
      </c>
      <c r="H5029">
        <v>328.0</v>
      </c>
      <c r="I5029" t="s">
        <v>269</v>
      </c>
      <c r="J5029" t="s">
        <v>270</v>
      </c>
      <c r="K5029" t="s">
        <v>31</v>
      </c>
      <c r="L5029" t="s">
        <v>32</v>
      </c>
      <c r="M5029" t="s">
        <v>33</v>
      </c>
      <c r="P5029" s="1" t="s">
        <v>17111</v>
      </c>
      <c r="Q5029" s="1" t="s">
        <v>16369</v>
      </c>
      <c r="R5029" s="1" t="s">
        <v>16369</v>
      </c>
      <c r="S5029" s="1"/>
      <c r="T5029" s="1" t="s">
        <v>695</v>
      </c>
      <c r="U5029" s="1"/>
      <c r="V5029" s="1">
        <v>328.0</v>
      </c>
      <c r="W5029" s="1">
        <v>328.0</v>
      </c>
      <c r="X5029" s="1" t="s">
        <v>35</v>
      </c>
      <c r="Y5029" s="1">
        <v>328000</v>
      </c>
      <c r="Z5029" s="1"/>
      <c r="AA5029" s="1">
        <v>328000</v>
      </c>
      <c r="AB5029" s="1"/>
      <c r="AC5029" s="1" t="s">
        <v>36</v>
      </c>
      <c r="AD5029" s="1" t="s">
        <v>17109</v>
      </c>
      <c r="AE5029" s="1" t="s">
        <v>32</v>
      </c>
      <c r="AF5029" s="1" t="s">
        <v>33</v>
      </c>
      <c r="AG5029" s="1" t="s">
        <v>270</v>
      </c>
    </row>
    <row r="5030" spans="1:33">
      <c r="A5030" t="s">
        <v>17112</v>
      </c>
      <c r="C5030" t="s">
        <v>3133</v>
      </c>
      <c r="E5030" t="s">
        <v>16369</v>
      </c>
      <c r="F5030" t="s">
        <v>16370</v>
      </c>
      <c r="G5030">
        <v>984.0</v>
      </c>
      <c r="H5030">
        <v>984.0</v>
      </c>
      <c r="I5030" t="s">
        <v>269</v>
      </c>
      <c r="J5030" t="s">
        <v>270</v>
      </c>
      <c r="K5030" t="s">
        <v>31</v>
      </c>
      <c r="L5030" t="s">
        <v>32</v>
      </c>
      <c r="M5030" t="s">
        <v>33</v>
      </c>
      <c r="P5030" s="1" t="s">
        <v>17113</v>
      </c>
      <c r="Q5030" s="1" t="s">
        <v>16369</v>
      </c>
      <c r="R5030" s="1" t="s">
        <v>16369</v>
      </c>
      <c r="S5030" s="1"/>
      <c r="T5030" s="1" t="s">
        <v>3133</v>
      </c>
      <c r="U5030" s="1"/>
      <c r="V5030" s="1">
        <v>984.0</v>
      </c>
      <c r="W5030" s="1">
        <v>984.0</v>
      </c>
      <c r="X5030" s="1" t="s">
        <v>35</v>
      </c>
      <c r="Y5030" s="1">
        <v>984000</v>
      </c>
      <c r="Z5030" s="1"/>
      <c r="AA5030" s="1">
        <v>984000</v>
      </c>
      <c r="AB5030" s="1"/>
      <c r="AC5030" s="1" t="s">
        <v>36</v>
      </c>
      <c r="AD5030" s="1" t="s">
        <v>17114</v>
      </c>
      <c r="AE5030" s="1" t="s">
        <v>32</v>
      </c>
      <c r="AF5030" s="1" t="s">
        <v>33</v>
      </c>
      <c r="AG5030" s="1" t="s">
        <v>270</v>
      </c>
    </row>
    <row r="5031" spans="1:33">
      <c r="A5031" t="s">
        <v>17115</v>
      </c>
      <c r="C5031" t="s">
        <v>16760</v>
      </c>
      <c r="E5031" t="s">
        <v>16369</v>
      </c>
      <c r="F5031" t="s">
        <v>16370</v>
      </c>
      <c r="G5031">
        <v>342.25</v>
      </c>
      <c r="H5031">
        <v>342.25</v>
      </c>
      <c r="I5031" t="s">
        <v>94</v>
      </c>
      <c r="J5031" t="s">
        <v>95</v>
      </c>
      <c r="K5031" t="s">
        <v>31</v>
      </c>
      <c r="L5031" t="s">
        <v>32</v>
      </c>
      <c r="M5031" t="s">
        <v>33</v>
      </c>
      <c r="P5031" s="1" t="s">
        <v>17116</v>
      </c>
      <c r="Q5031" s="1" t="s">
        <v>16369</v>
      </c>
      <c r="R5031" s="1" t="s">
        <v>16369</v>
      </c>
      <c r="S5031" s="1"/>
      <c r="T5031" s="1" t="s">
        <v>16762</v>
      </c>
      <c r="U5031" s="1"/>
      <c r="V5031" s="1">
        <v>342.25</v>
      </c>
      <c r="W5031" s="1">
        <v>342.25</v>
      </c>
      <c r="X5031" s="1" t="s">
        <v>35</v>
      </c>
      <c r="Y5031" s="1">
        <v>342250</v>
      </c>
      <c r="Z5031" s="1"/>
      <c r="AA5031" s="1">
        <v>342250</v>
      </c>
      <c r="AB5031" s="1"/>
      <c r="AC5031" s="1" t="s">
        <v>36</v>
      </c>
      <c r="AD5031" s="1" t="s">
        <v>17117</v>
      </c>
      <c r="AE5031" s="1" t="s">
        <v>32</v>
      </c>
      <c r="AF5031" s="1" t="s">
        <v>33</v>
      </c>
      <c r="AG5031" s="1" t="s">
        <v>95</v>
      </c>
    </row>
    <row r="5032" spans="1:33">
      <c r="A5032" t="s">
        <v>17118</v>
      </c>
      <c r="B5032" t="s">
        <v>9826</v>
      </c>
      <c r="C5032" t="s">
        <v>1298</v>
      </c>
      <c r="E5032" t="s">
        <v>16369</v>
      </c>
      <c r="F5032" t="s">
        <v>16370</v>
      </c>
      <c r="G5032">
        <v>18.209</v>
      </c>
      <c r="H5032">
        <v>18.209</v>
      </c>
      <c r="I5032" t="s">
        <v>529</v>
      </c>
      <c r="J5032" t="s">
        <v>530</v>
      </c>
      <c r="K5032" t="s">
        <v>31</v>
      </c>
      <c r="L5032" t="s">
        <v>32</v>
      </c>
      <c r="M5032" t="s">
        <v>33</v>
      </c>
      <c r="P5032" s="1" t="s">
        <v>17119</v>
      </c>
      <c r="Q5032" s="1" t="s">
        <v>16369</v>
      </c>
      <c r="R5032" s="1" t="s">
        <v>15359</v>
      </c>
      <c r="S5032" s="1"/>
      <c r="T5032" s="1" t="s">
        <v>1298</v>
      </c>
      <c r="U5032" s="1"/>
      <c r="V5032" s="1">
        <v>18.209</v>
      </c>
      <c r="W5032" s="1">
        <v>18.209</v>
      </c>
      <c r="X5032" s="1" t="s">
        <v>35</v>
      </c>
      <c r="Y5032" s="1">
        <v>18209</v>
      </c>
      <c r="Z5032" s="1"/>
      <c r="AA5032" s="1">
        <v>18209</v>
      </c>
      <c r="AB5032" s="1"/>
      <c r="AC5032" s="1" t="s">
        <v>36</v>
      </c>
      <c r="AD5032" s="1" t="s">
        <v>17120</v>
      </c>
      <c r="AE5032" s="1" t="s">
        <v>32</v>
      </c>
      <c r="AF5032" s="1" t="s">
        <v>33</v>
      </c>
      <c r="AG5032" s="1" t="s">
        <v>530</v>
      </c>
    </row>
    <row r="5033" spans="1:33">
      <c r="A5033" t="s">
        <v>17121</v>
      </c>
      <c r="C5033" t="s">
        <v>3712</v>
      </c>
      <c r="E5033" t="s">
        <v>16369</v>
      </c>
      <c r="F5033" t="s">
        <v>16370</v>
      </c>
      <c r="G5033">
        <v>320.0</v>
      </c>
      <c r="H5033">
        <v>320.0</v>
      </c>
      <c r="I5033" t="s">
        <v>40</v>
      </c>
      <c r="J5033" t="s">
        <v>41</v>
      </c>
      <c r="K5033" t="s">
        <v>31</v>
      </c>
      <c r="L5033" t="s">
        <v>32</v>
      </c>
      <c r="M5033" t="s">
        <v>33</v>
      </c>
      <c r="P5033" s="1" t="s">
        <v>17122</v>
      </c>
      <c r="Q5033" s="1" t="s">
        <v>16369</v>
      </c>
      <c r="R5033" s="1" t="s">
        <v>15359</v>
      </c>
      <c r="S5033" s="1"/>
      <c r="T5033" s="1" t="s">
        <v>3712</v>
      </c>
      <c r="U5033" s="1"/>
      <c r="V5033" s="1">
        <v>320.0</v>
      </c>
      <c r="W5033" s="1">
        <v>320.0</v>
      </c>
      <c r="X5033" s="1" t="s">
        <v>35</v>
      </c>
      <c r="Y5033" s="1">
        <v>320000</v>
      </c>
      <c r="Z5033" s="1"/>
      <c r="AA5033" s="1">
        <v>320000</v>
      </c>
      <c r="AB5033" s="1"/>
      <c r="AC5033" s="1" t="s">
        <v>36</v>
      </c>
      <c r="AD5033" s="1" t="s">
        <v>17123</v>
      </c>
      <c r="AE5033" s="1" t="s">
        <v>32</v>
      </c>
      <c r="AF5033" s="1" t="s">
        <v>33</v>
      </c>
      <c r="AG5033" s="1" t="s">
        <v>41</v>
      </c>
    </row>
    <row r="5034" spans="1:33">
      <c r="A5034" t="s">
        <v>17124</v>
      </c>
      <c r="B5034" t="s">
        <v>17125</v>
      </c>
      <c r="C5034" t="s">
        <v>47</v>
      </c>
      <c r="E5034" t="s">
        <v>16369</v>
      </c>
      <c r="F5034" t="s">
        <v>16370</v>
      </c>
      <c r="G5034">
        <v>128.14</v>
      </c>
      <c r="H5034">
        <v>128.14</v>
      </c>
      <c r="I5034" t="s">
        <v>2206</v>
      </c>
      <c r="J5034" t="s">
        <v>49</v>
      </c>
      <c r="K5034" t="s">
        <v>31</v>
      </c>
      <c r="L5034" t="s">
        <v>32</v>
      </c>
      <c r="M5034" t="s">
        <v>33</v>
      </c>
      <c r="P5034" s="1" t="s">
        <v>17126</v>
      </c>
      <c r="Q5034" s="1" t="s">
        <v>16369</v>
      </c>
      <c r="R5034" s="1" t="s">
        <v>16369</v>
      </c>
      <c r="S5034" s="1"/>
      <c r="T5034" s="1" t="s">
        <v>47</v>
      </c>
      <c r="U5034" s="1"/>
      <c r="V5034" s="1">
        <v>128.14</v>
      </c>
      <c r="W5034" s="1">
        <v>128.14</v>
      </c>
      <c r="X5034" s="1" t="s">
        <v>35</v>
      </c>
      <c r="Y5034" s="1">
        <v>128140</v>
      </c>
      <c r="Z5034" s="1"/>
      <c r="AA5034" s="1">
        <v>128140</v>
      </c>
      <c r="AB5034" s="1"/>
      <c r="AC5034" s="1" t="s">
        <v>36</v>
      </c>
      <c r="AD5034" s="1" t="s">
        <v>17127</v>
      </c>
      <c r="AE5034" s="1" t="s">
        <v>32</v>
      </c>
      <c r="AF5034" s="1" t="s">
        <v>33</v>
      </c>
      <c r="AG5034" s="1" t="s">
        <v>49</v>
      </c>
    </row>
    <row r="5035" spans="1:33">
      <c r="A5035" t="s">
        <v>17128</v>
      </c>
      <c r="B5035" t="s">
        <v>6711</v>
      </c>
      <c r="C5035" t="s">
        <v>6712</v>
      </c>
      <c r="D5035" t="s">
        <v>154</v>
      </c>
      <c r="E5035" t="s">
        <v>16369</v>
      </c>
      <c r="F5035" t="s">
        <v>16370</v>
      </c>
      <c r="G5035">
        <v>170.0</v>
      </c>
      <c r="H5035">
        <v>170.0</v>
      </c>
      <c r="I5035" t="s">
        <v>29</v>
      </c>
      <c r="J5035" t="s">
        <v>30</v>
      </c>
      <c r="K5035" t="s">
        <v>31</v>
      </c>
      <c r="L5035" t="s">
        <v>32</v>
      </c>
      <c r="M5035" t="s">
        <v>33</v>
      </c>
      <c r="P5035" s="1" t="s">
        <v>17129</v>
      </c>
      <c r="Q5035" s="1" t="s">
        <v>16369</v>
      </c>
      <c r="R5035" s="1" t="s">
        <v>16369</v>
      </c>
      <c r="S5035" s="1"/>
      <c r="T5035" s="1" t="s">
        <v>6712</v>
      </c>
      <c r="U5035" s="1"/>
      <c r="V5035" s="1">
        <v>170.0</v>
      </c>
      <c r="W5035" s="1">
        <v>170.0</v>
      </c>
      <c r="X5035" s="1" t="s">
        <v>35</v>
      </c>
      <c r="Y5035" s="1">
        <v>170000</v>
      </c>
      <c r="Z5035" s="1"/>
      <c r="AA5035" s="1">
        <v>170000</v>
      </c>
      <c r="AB5035" s="1"/>
      <c r="AC5035" s="1" t="s">
        <v>36</v>
      </c>
      <c r="AD5035" s="1" t="s">
        <v>17130</v>
      </c>
      <c r="AE5035" s="1" t="s">
        <v>32</v>
      </c>
      <c r="AF5035" s="1" t="s">
        <v>33</v>
      </c>
      <c r="AG5035" s="1" t="s">
        <v>30</v>
      </c>
    </row>
    <row r="5036" spans="1:33">
      <c r="A5036" t="s">
        <v>17131</v>
      </c>
      <c r="B5036" t="s">
        <v>2153</v>
      </c>
      <c r="C5036" t="s">
        <v>172</v>
      </c>
      <c r="E5036" t="s">
        <v>16369</v>
      </c>
      <c r="F5036" t="s">
        <v>16370</v>
      </c>
      <c r="G5036">
        <v>40.49</v>
      </c>
      <c r="H5036">
        <v>40.49</v>
      </c>
      <c r="I5036" t="s">
        <v>173</v>
      </c>
      <c r="J5036" t="s">
        <v>174</v>
      </c>
      <c r="K5036" t="s">
        <v>31</v>
      </c>
      <c r="L5036" t="s">
        <v>32</v>
      </c>
      <c r="M5036" t="s">
        <v>33</v>
      </c>
      <c r="P5036" s="1" t="s">
        <v>17132</v>
      </c>
      <c r="Q5036" s="1" t="s">
        <v>16369</v>
      </c>
      <c r="R5036" s="1" t="s">
        <v>16369</v>
      </c>
      <c r="S5036" s="1"/>
      <c r="T5036" s="1" t="s">
        <v>172</v>
      </c>
      <c r="U5036" s="1"/>
      <c r="V5036" s="1">
        <v>40.49</v>
      </c>
      <c r="W5036" s="1">
        <v>40.49</v>
      </c>
      <c r="X5036" s="1" t="s">
        <v>35</v>
      </c>
      <c r="Y5036" s="1">
        <v>40490</v>
      </c>
      <c r="Z5036" s="1"/>
      <c r="AA5036" s="1">
        <v>40490</v>
      </c>
      <c r="AB5036" s="1"/>
      <c r="AC5036" s="1" t="s">
        <v>36</v>
      </c>
      <c r="AD5036" s="1" t="s">
        <v>17123</v>
      </c>
      <c r="AE5036" s="1" t="s">
        <v>32</v>
      </c>
      <c r="AF5036" s="1" t="s">
        <v>33</v>
      </c>
      <c r="AG5036" s="1" t="s">
        <v>174</v>
      </c>
    </row>
    <row r="5037" spans="1:33">
      <c r="A5037" t="s">
        <v>17133</v>
      </c>
      <c r="C5037" t="s">
        <v>647</v>
      </c>
      <c r="E5037" t="s">
        <v>16369</v>
      </c>
      <c r="F5037" t="s">
        <v>16370</v>
      </c>
      <c r="G5037">
        <v>320.0</v>
      </c>
      <c r="H5037">
        <v>320.0</v>
      </c>
      <c r="I5037" t="s">
        <v>173</v>
      </c>
      <c r="J5037" t="s">
        <v>174</v>
      </c>
      <c r="K5037" t="s">
        <v>31</v>
      </c>
      <c r="L5037" t="s">
        <v>32</v>
      </c>
      <c r="M5037" t="s">
        <v>33</v>
      </c>
      <c r="P5037" s="1" t="s">
        <v>17134</v>
      </c>
      <c r="Q5037" s="1" t="s">
        <v>16369</v>
      </c>
      <c r="R5037" s="1" t="s">
        <v>16369</v>
      </c>
      <c r="S5037" s="1"/>
      <c r="T5037" s="1" t="s">
        <v>647</v>
      </c>
      <c r="U5037" s="1"/>
      <c r="V5037" s="1">
        <v>320.0</v>
      </c>
      <c r="W5037" s="1">
        <v>320.0</v>
      </c>
      <c r="X5037" s="1" t="s">
        <v>35</v>
      </c>
      <c r="Y5037" s="1">
        <v>320000</v>
      </c>
      <c r="Z5037" s="1"/>
      <c r="AA5037" s="1">
        <v>320000</v>
      </c>
      <c r="AB5037" s="1"/>
      <c r="AC5037" s="1" t="s">
        <v>36</v>
      </c>
      <c r="AD5037" s="1" t="s">
        <v>17135</v>
      </c>
      <c r="AE5037" s="1" t="s">
        <v>32</v>
      </c>
      <c r="AF5037" s="1" t="s">
        <v>33</v>
      </c>
      <c r="AG5037" s="1" t="s">
        <v>174</v>
      </c>
    </row>
    <row r="5038" spans="1:33">
      <c r="A5038" t="s">
        <v>17136</v>
      </c>
      <c r="B5038" t="s">
        <v>15222</v>
      </c>
      <c r="C5038" t="s">
        <v>73</v>
      </c>
      <c r="E5038" t="s">
        <v>16369</v>
      </c>
      <c r="F5038" t="s">
        <v>16370</v>
      </c>
      <c r="G5038">
        <v>66.47</v>
      </c>
      <c r="H5038">
        <v>66.47</v>
      </c>
      <c r="I5038" t="s">
        <v>40</v>
      </c>
      <c r="J5038" t="s">
        <v>41</v>
      </c>
      <c r="K5038" t="s">
        <v>31</v>
      </c>
      <c r="L5038" t="s">
        <v>32</v>
      </c>
      <c r="M5038" t="s">
        <v>33</v>
      </c>
      <c r="P5038" s="1" t="s">
        <v>17137</v>
      </c>
      <c r="Q5038" s="1" t="s">
        <v>16369</v>
      </c>
      <c r="R5038" s="1" t="s">
        <v>15359</v>
      </c>
      <c r="S5038" s="1"/>
      <c r="T5038" s="1" t="s">
        <v>75</v>
      </c>
      <c r="U5038" s="1" t="s">
        <v>76</v>
      </c>
      <c r="V5038" s="1">
        <v>66.47</v>
      </c>
      <c r="W5038" s="1">
        <v>66.47</v>
      </c>
      <c r="X5038" s="1" t="s">
        <v>35</v>
      </c>
      <c r="Y5038" s="1">
        <v>66470</v>
      </c>
      <c r="Z5038" s="1"/>
      <c r="AA5038" s="1">
        <v>66470</v>
      </c>
      <c r="AB5038" s="1"/>
      <c r="AC5038" s="1" t="s">
        <v>36</v>
      </c>
      <c r="AD5038" s="1" t="s">
        <v>17138</v>
      </c>
      <c r="AE5038" s="1" t="s">
        <v>32</v>
      </c>
      <c r="AF5038" s="1" t="s">
        <v>33</v>
      </c>
      <c r="AG5038" s="1" t="s">
        <v>41</v>
      </c>
    </row>
    <row r="5039" spans="1:33">
      <c r="A5039" t="s">
        <v>17139</v>
      </c>
      <c r="B5039" t="s">
        <v>17140</v>
      </c>
      <c r="C5039" t="s">
        <v>131</v>
      </c>
      <c r="E5039" t="s">
        <v>16369</v>
      </c>
      <c r="F5039" t="s">
        <v>16370</v>
      </c>
      <c r="G5039">
        <v>80.98</v>
      </c>
      <c r="H5039">
        <v>80.98</v>
      </c>
      <c r="I5039" t="s">
        <v>94</v>
      </c>
      <c r="J5039" t="s">
        <v>95</v>
      </c>
      <c r="K5039" t="s">
        <v>31</v>
      </c>
      <c r="L5039" t="s">
        <v>32</v>
      </c>
      <c r="M5039" t="s">
        <v>33</v>
      </c>
      <c r="P5039" s="1" t="s">
        <v>17141</v>
      </c>
      <c r="Q5039" s="1" t="s">
        <v>16369</v>
      </c>
      <c r="R5039" s="1" t="s">
        <v>16369</v>
      </c>
      <c r="S5039" s="1"/>
      <c r="T5039" s="1" t="s">
        <v>131</v>
      </c>
      <c r="U5039" s="1"/>
      <c r="V5039" s="1">
        <v>80.98</v>
      </c>
      <c r="W5039" s="1">
        <v>80.98</v>
      </c>
      <c r="X5039" s="1" t="s">
        <v>35</v>
      </c>
      <c r="Y5039" s="1">
        <v>80980</v>
      </c>
      <c r="Z5039" s="1"/>
      <c r="AA5039" s="1">
        <v>80980</v>
      </c>
      <c r="AB5039" s="1"/>
      <c r="AC5039" s="1" t="s">
        <v>36</v>
      </c>
      <c r="AD5039" s="1" t="s">
        <v>17123</v>
      </c>
      <c r="AE5039" s="1" t="s">
        <v>32</v>
      </c>
      <c r="AF5039" s="1" t="s">
        <v>33</v>
      </c>
      <c r="AG5039" s="1" t="s">
        <v>95</v>
      </c>
    </row>
    <row r="5040" spans="1:33">
      <c r="A5040" t="s">
        <v>17142</v>
      </c>
      <c r="C5040" t="s">
        <v>7485</v>
      </c>
      <c r="E5040" t="s">
        <v>16369</v>
      </c>
      <c r="F5040" t="s">
        <v>16370</v>
      </c>
      <c r="G5040">
        <v>470.4</v>
      </c>
      <c r="H5040">
        <v>470.4</v>
      </c>
      <c r="I5040" t="s">
        <v>94</v>
      </c>
      <c r="J5040" t="s">
        <v>95</v>
      </c>
      <c r="K5040" t="s">
        <v>31</v>
      </c>
      <c r="L5040" t="s">
        <v>32</v>
      </c>
      <c r="M5040" t="s">
        <v>33</v>
      </c>
      <c r="P5040" s="1" t="s">
        <v>17143</v>
      </c>
      <c r="Q5040" s="1" t="s">
        <v>16369</v>
      </c>
      <c r="R5040" s="1" t="s">
        <v>16369</v>
      </c>
      <c r="S5040" s="1"/>
      <c r="T5040" s="1" t="s">
        <v>7485</v>
      </c>
      <c r="U5040" s="1"/>
      <c r="V5040" s="1">
        <v>470.4</v>
      </c>
      <c r="W5040" s="1">
        <v>470.4</v>
      </c>
      <c r="X5040" s="1" t="s">
        <v>35</v>
      </c>
      <c r="Y5040" s="1">
        <v>470400</v>
      </c>
      <c r="Z5040" s="1"/>
      <c r="AA5040" s="1">
        <v>470400</v>
      </c>
      <c r="AB5040" s="1"/>
      <c r="AC5040" s="1" t="s">
        <v>36</v>
      </c>
      <c r="AD5040" s="1" t="s">
        <v>17138</v>
      </c>
      <c r="AE5040" s="1" t="s">
        <v>32</v>
      </c>
      <c r="AF5040" s="1" t="s">
        <v>33</v>
      </c>
      <c r="AG5040" s="1" t="s">
        <v>95</v>
      </c>
    </row>
    <row r="5041" spans="1:33">
      <c r="A5041" t="s">
        <v>17144</v>
      </c>
      <c r="B5041" t="s">
        <v>1841</v>
      </c>
      <c r="C5041" t="s">
        <v>68</v>
      </c>
      <c r="E5041" t="s">
        <v>16369</v>
      </c>
      <c r="F5041" t="s">
        <v>16370</v>
      </c>
      <c r="G5041">
        <v>59.98</v>
      </c>
      <c r="H5041">
        <v>59.98</v>
      </c>
      <c r="I5041" t="s">
        <v>59</v>
      </c>
      <c r="J5041" t="s">
        <v>60</v>
      </c>
      <c r="K5041" t="s">
        <v>31</v>
      </c>
      <c r="L5041" t="s">
        <v>32</v>
      </c>
      <c r="M5041" t="s">
        <v>33</v>
      </c>
      <c r="P5041" s="1" t="s">
        <v>17145</v>
      </c>
      <c r="Q5041" s="1" t="s">
        <v>16369</v>
      </c>
      <c r="R5041" s="1" t="s">
        <v>16369</v>
      </c>
      <c r="S5041" s="1"/>
      <c r="T5041" s="1" t="s">
        <v>68</v>
      </c>
      <c r="U5041" s="1"/>
      <c r="V5041" s="1">
        <v>59.98</v>
      </c>
      <c r="W5041" s="1">
        <v>59.98</v>
      </c>
      <c r="X5041" s="1" t="s">
        <v>35</v>
      </c>
      <c r="Y5041" s="1">
        <v>59980</v>
      </c>
      <c r="Z5041" s="1"/>
      <c r="AA5041" s="1">
        <v>59980</v>
      </c>
      <c r="AB5041" s="1"/>
      <c r="AC5041" s="1" t="s">
        <v>36</v>
      </c>
      <c r="AD5041" s="1" t="s">
        <v>17146</v>
      </c>
      <c r="AE5041" s="1" t="s">
        <v>32</v>
      </c>
      <c r="AF5041" s="1" t="s">
        <v>33</v>
      </c>
      <c r="AG5041" s="1" t="s">
        <v>60</v>
      </c>
    </row>
    <row r="5042" spans="1:33">
      <c r="A5042" t="s">
        <v>17147</v>
      </c>
      <c r="B5042" t="s">
        <v>1666</v>
      </c>
      <c r="C5042" t="s">
        <v>26</v>
      </c>
      <c r="E5042" t="s">
        <v>16369</v>
      </c>
      <c r="F5042" t="s">
        <v>16370</v>
      </c>
      <c r="G5042">
        <v>40.135</v>
      </c>
      <c r="H5042">
        <v>40.135</v>
      </c>
      <c r="I5042" t="s">
        <v>29</v>
      </c>
      <c r="J5042" t="s">
        <v>30</v>
      </c>
      <c r="K5042" t="s">
        <v>31</v>
      </c>
      <c r="L5042" t="s">
        <v>32</v>
      </c>
      <c r="M5042" t="s">
        <v>33</v>
      </c>
      <c r="P5042" s="1" t="s">
        <v>17148</v>
      </c>
      <c r="Q5042" s="1" t="s">
        <v>16369</v>
      </c>
      <c r="R5042" s="1" t="s">
        <v>16369</v>
      </c>
      <c r="S5042" s="1"/>
      <c r="T5042" s="1" t="s">
        <v>26</v>
      </c>
      <c r="U5042" s="1"/>
      <c r="V5042" s="1">
        <v>40.135</v>
      </c>
      <c r="W5042" s="1">
        <v>40.135</v>
      </c>
      <c r="X5042" s="1" t="s">
        <v>35</v>
      </c>
      <c r="Y5042" s="1">
        <v>40135</v>
      </c>
      <c r="Z5042" s="1"/>
      <c r="AA5042" s="1">
        <v>40135</v>
      </c>
      <c r="AB5042" s="1"/>
      <c r="AC5042" s="1" t="s">
        <v>36</v>
      </c>
      <c r="AD5042" s="1" t="s">
        <v>17149</v>
      </c>
      <c r="AE5042" s="1" t="s">
        <v>32</v>
      </c>
      <c r="AF5042" s="1" t="s">
        <v>33</v>
      </c>
      <c r="AG5042" s="1" t="s">
        <v>30</v>
      </c>
    </row>
    <row r="5043" spans="1:33">
      <c r="A5043" t="s">
        <v>17150</v>
      </c>
      <c r="B5043" t="s">
        <v>206</v>
      </c>
      <c r="C5043" t="s">
        <v>207</v>
      </c>
      <c r="E5043" t="s">
        <v>16369</v>
      </c>
      <c r="F5043" t="s">
        <v>16370</v>
      </c>
      <c r="G5043">
        <v>366.0</v>
      </c>
      <c r="H5043">
        <v>366.0</v>
      </c>
      <c r="I5043" t="s">
        <v>59</v>
      </c>
      <c r="J5043" t="s">
        <v>60</v>
      </c>
      <c r="K5043" t="s">
        <v>31</v>
      </c>
      <c r="L5043" t="s">
        <v>32</v>
      </c>
      <c r="M5043" t="s">
        <v>33</v>
      </c>
      <c r="P5043" s="1" t="s">
        <v>17151</v>
      </c>
      <c r="Q5043" s="1" t="s">
        <v>16369</v>
      </c>
      <c r="R5043" s="1" t="s">
        <v>16369</v>
      </c>
      <c r="S5043" s="1"/>
      <c r="T5043" s="1" t="s">
        <v>207</v>
      </c>
      <c r="U5043" s="1"/>
      <c r="V5043" s="1">
        <v>366.0</v>
      </c>
      <c r="W5043" s="1">
        <v>366.0</v>
      </c>
      <c r="X5043" s="1" t="s">
        <v>35</v>
      </c>
      <c r="Y5043" s="1">
        <v>366000</v>
      </c>
      <c r="Z5043" s="1"/>
      <c r="AA5043" s="1">
        <v>366000</v>
      </c>
      <c r="AB5043" s="1"/>
      <c r="AC5043" s="1" t="s">
        <v>36</v>
      </c>
      <c r="AD5043" s="1" t="s">
        <v>17152</v>
      </c>
      <c r="AE5043" s="1" t="s">
        <v>32</v>
      </c>
      <c r="AF5043" s="1" t="s">
        <v>33</v>
      </c>
      <c r="AG5043" s="1" t="s">
        <v>60</v>
      </c>
    </row>
    <row r="5044" spans="1:33">
      <c r="A5044" t="s">
        <v>17153</v>
      </c>
      <c r="C5044" t="s">
        <v>569</v>
      </c>
      <c r="E5044" t="s">
        <v>16369</v>
      </c>
      <c r="F5044" t="s">
        <v>16370</v>
      </c>
      <c r="G5044">
        <v>89.37</v>
      </c>
      <c r="H5044">
        <v>89.37</v>
      </c>
      <c r="I5044" t="s">
        <v>570</v>
      </c>
      <c r="J5044" t="s">
        <v>571</v>
      </c>
      <c r="K5044" t="s">
        <v>31</v>
      </c>
      <c r="L5044" t="s">
        <v>32</v>
      </c>
      <c r="M5044" t="s">
        <v>33</v>
      </c>
      <c r="P5044" s="1" t="s">
        <v>17154</v>
      </c>
      <c r="Q5044" s="1" t="s">
        <v>16369</v>
      </c>
      <c r="R5044" s="1" t="s">
        <v>16369</v>
      </c>
      <c r="S5044" s="1"/>
      <c r="T5044" s="1" t="s">
        <v>569</v>
      </c>
      <c r="U5044" s="1"/>
      <c r="V5044" s="1">
        <v>89.37</v>
      </c>
      <c r="W5044" s="1">
        <v>89.37</v>
      </c>
      <c r="X5044" s="1" t="s">
        <v>35</v>
      </c>
      <c r="Y5044" s="1">
        <v>89370</v>
      </c>
      <c r="Z5044" s="1"/>
      <c r="AA5044" s="1">
        <v>89370</v>
      </c>
      <c r="AB5044" s="1"/>
      <c r="AC5044" s="1" t="s">
        <v>36</v>
      </c>
      <c r="AD5044" s="1" t="s">
        <v>17155</v>
      </c>
      <c r="AE5044" s="1" t="s">
        <v>32</v>
      </c>
      <c r="AF5044" s="1" t="s">
        <v>33</v>
      </c>
      <c r="AG5044" s="1" t="s">
        <v>571</v>
      </c>
    </row>
    <row r="5045" spans="1:33">
      <c r="A5045" t="s">
        <v>17156</v>
      </c>
      <c r="C5045" t="s">
        <v>17157</v>
      </c>
      <c r="D5045" t="s">
        <v>154</v>
      </c>
      <c r="E5045" t="s">
        <v>16369</v>
      </c>
      <c r="F5045" t="s">
        <v>16370</v>
      </c>
      <c r="G5045">
        <v>231.0</v>
      </c>
      <c r="H5045">
        <v>231.0</v>
      </c>
      <c r="I5045" t="s">
        <v>40</v>
      </c>
      <c r="J5045" t="s">
        <v>41</v>
      </c>
      <c r="K5045" t="s">
        <v>31</v>
      </c>
      <c r="L5045" t="s">
        <v>32</v>
      </c>
      <c r="M5045" t="s">
        <v>33</v>
      </c>
      <c r="P5045" s="1" t="s">
        <v>17158</v>
      </c>
      <c r="Q5045" s="1" t="s">
        <v>16369</v>
      </c>
      <c r="R5045" s="1" t="s">
        <v>15359</v>
      </c>
      <c r="S5045" s="1"/>
      <c r="T5045" s="1" t="s">
        <v>17157</v>
      </c>
      <c r="U5045" s="1"/>
      <c r="V5045" s="1">
        <v>231.0</v>
      </c>
      <c r="W5045" s="1">
        <v>231.0</v>
      </c>
      <c r="X5045" s="1" t="s">
        <v>35</v>
      </c>
      <c r="Y5045" s="1">
        <v>231000</v>
      </c>
      <c r="Z5045" s="1"/>
      <c r="AA5045" s="1">
        <v>231000</v>
      </c>
      <c r="AB5045" s="1"/>
      <c r="AC5045" s="1" t="s">
        <v>36</v>
      </c>
      <c r="AD5045" s="1" t="s">
        <v>17152</v>
      </c>
      <c r="AE5045" s="1" t="s">
        <v>32</v>
      </c>
      <c r="AF5045" s="1" t="s">
        <v>33</v>
      </c>
      <c r="AG5045" s="1" t="s">
        <v>41</v>
      </c>
    </row>
    <row r="5046" spans="1:33">
      <c r="A5046" t="s">
        <v>17159</v>
      </c>
      <c r="C5046" t="s">
        <v>17160</v>
      </c>
      <c r="E5046" t="s">
        <v>16369</v>
      </c>
      <c r="F5046" t="s">
        <v>16370</v>
      </c>
      <c r="G5046">
        <v>1.6</v>
      </c>
      <c r="H5046">
        <v>1.6</v>
      </c>
      <c r="I5046" t="s">
        <v>173</v>
      </c>
      <c r="J5046" t="s">
        <v>174</v>
      </c>
      <c r="K5046" t="s">
        <v>31</v>
      </c>
      <c r="L5046" t="s">
        <v>32</v>
      </c>
      <c r="M5046" t="s">
        <v>33</v>
      </c>
      <c r="P5046" s="1" t="s">
        <v>17161</v>
      </c>
      <c r="Q5046" s="1" t="s">
        <v>16369</v>
      </c>
      <c r="R5046" s="1" t="s">
        <v>16369</v>
      </c>
      <c r="S5046" s="1"/>
      <c r="T5046" s="1" t="s">
        <v>17160</v>
      </c>
      <c r="U5046" s="1"/>
      <c r="V5046" s="1">
        <v>1.6</v>
      </c>
      <c r="W5046" s="1">
        <v>1.6</v>
      </c>
      <c r="X5046" s="1" t="s">
        <v>35</v>
      </c>
      <c r="Y5046" s="1">
        <v>1600000</v>
      </c>
      <c r="Z5046" s="1"/>
      <c r="AA5046" s="1">
        <v>1600000</v>
      </c>
      <c r="AB5046" s="1"/>
      <c r="AC5046" s="1" t="s">
        <v>36</v>
      </c>
      <c r="AD5046" s="1" t="s">
        <v>17162</v>
      </c>
      <c r="AE5046" s="1" t="s">
        <v>32</v>
      </c>
      <c r="AF5046" s="1" t="s">
        <v>33</v>
      </c>
      <c r="AG5046" s="1" t="s">
        <v>174</v>
      </c>
    </row>
    <row r="5047" spans="1:33">
      <c r="A5047" t="s">
        <v>17163</v>
      </c>
      <c r="C5047" t="s">
        <v>2708</v>
      </c>
      <c r="E5047" t="s">
        <v>16369</v>
      </c>
      <c r="F5047" t="s">
        <v>16370</v>
      </c>
      <c r="G5047">
        <v>320.0</v>
      </c>
      <c r="H5047">
        <v>320.0</v>
      </c>
      <c r="I5047" t="s">
        <v>40</v>
      </c>
      <c r="J5047" t="s">
        <v>41</v>
      </c>
      <c r="K5047" t="s">
        <v>31</v>
      </c>
      <c r="L5047" t="s">
        <v>32</v>
      </c>
      <c r="M5047" t="s">
        <v>33</v>
      </c>
      <c r="P5047" s="1" t="s">
        <v>17164</v>
      </c>
      <c r="Q5047" s="1" t="s">
        <v>16369</v>
      </c>
      <c r="R5047" s="1" t="s">
        <v>15359</v>
      </c>
      <c r="S5047" s="1"/>
      <c r="T5047" s="1" t="s">
        <v>2708</v>
      </c>
      <c r="U5047" s="1"/>
      <c r="V5047" s="1">
        <v>320.0</v>
      </c>
      <c r="W5047" s="1">
        <v>320.0</v>
      </c>
      <c r="X5047" s="1" t="s">
        <v>35</v>
      </c>
      <c r="Y5047" s="1">
        <v>320000</v>
      </c>
      <c r="Z5047" s="1"/>
      <c r="AA5047" s="1">
        <v>320000</v>
      </c>
      <c r="AB5047" s="1"/>
      <c r="AC5047" s="1" t="s">
        <v>36</v>
      </c>
      <c r="AD5047" s="1" t="s">
        <v>17165</v>
      </c>
      <c r="AE5047" s="1" t="s">
        <v>32</v>
      </c>
      <c r="AF5047" s="1" t="s">
        <v>33</v>
      </c>
      <c r="AG5047" s="1" t="s">
        <v>41</v>
      </c>
    </row>
    <row r="5048" spans="1:33">
      <c r="A5048" t="s">
        <v>17166</v>
      </c>
      <c r="C5048" t="s">
        <v>3621</v>
      </c>
      <c r="E5048" t="s">
        <v>16369</v>
      </c>
      <c r="F5048" t="s">
        <v>16370</v>
      </c>
      <c r="G5048">
        <v>945.0</v>
      </c>
      <c r="H5048">
        <v>945.0</v>
      </c>
      <c r="I5048" t="s">
        <v>173</v>
      </c>
      <c r="J5048" t="s">
        <v>174</v>
      </c>
      <c r="K5048" t="s">
        <v>31</v>
      </c>
      <c r="L5048" t="s">
        <v>32</v>
      </c>
      <c r="M5048" t="s">
        <v>33</v>
      </c>
      <c r="P5048" s="1" t="s">
        <v>17167</v>
      </c>
      <c r="Q5048" s="1" t="s">
        <v>16369</v>
      </c>
      <c r="R5048" s="1" t="s">
        <v>16369</v>
      </c>
      <c r="S5048" s="1"/>
      <c r="T5048" s="1" t="s">
        <v>3621</v>
      </c>
      <c r="U5048" s="1"/>
      <c r="V5048" s="1">
        <v>945.0</v>
      </c>
      <c r="W5048" s="1">
        <v>945.0</v>
      </c>
      <c r="X5048" s="1" t="s">
        <v>35</v>
      </c>
      <c r="Y5048" s="1">
        <v>945000</v>
      </c>
      <c r="Z5048" s="1"/>
      <c r="AA5048" s="1">
        <v>945000</v>
      </c>
      <c r="AB5048" s="1"/>
      <c r="AC5048" s="1" t="s">
        <v>36</v>
      </c>
      <c r="AD5048" s="1" t="s">
        <v>17168</v>
      </c>
      <c r="AE5048" s="1" t="s">
        <v>32</v>
      </c>
      <c r="AF5048" s="1" t="s">
        <v>33</v>
      </c>
      <c r="AG5048" s="1" t="s">
        <v>174</v>
      </c>
    </row>
    <row r="5049" spans="1:33">
      <c r="A5049" t="s">
        <v>17169</v>
      </c>
      <c r="B5049" t="s">
        <v>263</v>
      </c>
      <c r="C5049" t="s">
        <v>264</v>
      </c>
      <c r="E5049" t="s">
        <v>16369</v>
      </c>
      <c r="F5049" t="s">
        <v>16370</v>
      </c>
      <c r="G5049">
        <v>795.0</v>
      </c>
      <c r="H5049">
        <v>795.0</v>
      </c>
      <c r="I5049" t="s">
        <v>40</v>
      </c>
      <c r="J5049" t="s">
        <v>41</v>
      </c>
      <c r="K5049" t="s">
        <v>31</v>
      </c>
      <c r="L5049" t="s">
        <v>32</v>
      </c>
      <c r="M5049" t="s">
        <v>33</v>
      </c>
      <c r="P5049" s="1" t="s">
        <v>17170</v>
      </c>
      <c r="Q5049" s="1" t="s">
        <v>16369</v>
      </c>
      <c r="R5049" s="1" t="s">
        <v>15359</v>
      </c>
      <c r="S5049" s="1"/>
      <c r="T5049" s="1" t="s">
        <v>264</v>
      </c>
      <c r="U5049" s="1"/>
      <c r="V5049" s="1">
        <v>795.0</v>
      </c>
      <c r="W5049" s="1">
        <v>795.0</v>
      </c>
      <c r="X5049" s="1" t="s">
        <v>35</v>
      </c>
      <c r="Y5049" s="1">
        <v>795000</v>
      </c>
      <c r="Z5049" s="1"/>
      <c r="AA5049" s="1">
        <v>795000</v>
      </c>
      <c r="AB5049" s="1"/>
      <c r="AC5049" s="1" t="s">
        <v>36</v>
      </c>
      <c r="AD5049" s="1" t="s">
        <v>17171</v>
      </c>
      <c r="AE5049" s="1" t="s">
        <v>32</v>
      </c>
      <c r="AF5049" s="1" t="s">
        <v>33</v>
      </c>
      <c r="AG5049" s="1" t="s">
        <v>41</v>
      </c>
    </row>
    <row r="5050" spans="1:33">
      <c r="A5050" t="s">
        <v>17172</v>
      </c>
      <c r="B5050" t="s">
        <v>17173</v>
      </c>
      <c r="C5050" t="s">
        <v>569</v>
      </c>
      <c r="E5050" t="s">
        <v>16369</v>
      </c>
      <c r="F5050" t="s">
        <v>16370</v>
      </c>
      <c r="G5050">
        <v>35.58</v>
      </c>
      <c r="H5050">
        <v>35.58</v>
      </c>
      <c r="I5050" t="s">
        <v>570</v>
      </c>
      <c r="J5050" t="s">
        <v>571</v>
      </c>
      <c r="K5050" t="s">
        <v>31</v>
      </c>
      <c r="L5050" t="s">
        <v>32</v>
      </c>
      <c r="M5050" t="s">
        <v>33</v>
      </c>
      <c r="P5050" s="1" t="s">
        <v>17174</v>
      </c>
      <c r="Q5050" s="1" t="s">
        <v>16369</v>
      </c>
      <c r="R5050" s="1" t="s">
        <v>16369</v>
      </c>
      <c r="S5050" s="1"/>
      <c r="T5050" s="1" t="s">
        <v>569</v>
      </c>
      <c r="U5050" s="1"/>
      <c r="V5050" s="1">
        <v>35.58</v>
      </c>
      <c r="W5050" s="1">
        <v>35.58</v>
      </c>
      <c r="X5050" s="1" t="s">
        <v>35</v>
      </c>
      <c r="Y5050" s="1">
        <v>35580</v>
      </c>
      <c r="Z5050" s="1"/>
      <c r="AA5050" s="1">
        <v>35580</v>
      </c>
      <c r="AB5050" s="1"/>
      <c r="AC5050" s="1" t="s">
        <v>36</v>
      </c>
      <c r="AD5050" s="1" t="s">
        <v>17165</v>
      </c>
      <c r="AE5050" s="1" t="s">
        <v>32</v>
      </c>
      <c r="AF5050" s="1" t="s">
        <v>33</v>
      </c>
      <c r="AG5050" s="1" t="s">
        <v>571</v>
      </c>
    </row>
    <row r="5051" spans="1:33">
      <c r="A5051" t="s">
        <v>17175</v>
      </c>
      <c r="B5051" t="s">
        <v>17176</v>
      </c>
      <c r="C5051" t="s">
        <v>47</v>
      </c>
      <c r="E5051" t="s">
        <v>16369</v>
      </c>
      <c r="F5051" t="s">
        <v>16370</v>
      </c>
      <c r="G5051">
        <v>20.49</v>
      </c>
      <c r="H5051">
        <v>20.49</v>
      </c>
      <c r="I5051" t="s">
        <v>2206</v>
      </c>
      <c r="J5051" t="s">
        <v>49</v>
      </c>
      <c r="K5051" t="s">
        <v>31</v>
      </c>
      <c r="L5051" t="s">
        <v>32</v>
      </c>
      <c r="M5051" t="s">
        <v>33</v>
      </c>
      <c r="P5051" s="1" t="s">
        <v>17177</v>
      </c>
      <c r="Q5051" s="1" t="s">
        <v>16369</v>
      </c>
      <c r="R5051" s="1" t="s">
        <v>16369</v>
      </c>
      <c r="S5051" s="1"/>
      <c r="T5051" s="1" t="s">
        <v>47</v>
      </c>
      <c r="U5051" s="1"/>
      <c r="V5051" s="1">
        <v>20.49</v>
      </c>
      <c r="W5051" s="1">
        <v>20.49</v>
      </c>
      <c r="X5051" s="1" t="s">
        <v>35</v>
      </c>
      <c r="Y5051" s="1">
        <v>20500</v>
      </c>
      <c r="Z5051" s="1">
        <v>-10</v>
      </c>
      <c r="AA5051" s="1">
        <v>20500</v>
      </c>
      <c r="AB5051" s="1">
        <v>-10</v>
      </c>
      <c r="AC5051" s="1" t="s">
        <v>36</v>
      </c>
      <c r="AD5051" s="1" t="s">
        <v>17178</v>
      </c>
      <c r="AE5051" s="1" t="s">
        <v>32</v>
      </c>
      <c r="AF5051" s="1" t="s">
        <v>33</v>
      </c>
      <c r="AG5051" s="1" t="s">
        <v>49</v>
      </c>
    </row>
    <row r="5052" spans="1:33">
      <c r="A5052" t="s">
        <v>17179</v>
      </c>
      <c r="C5052" t="s">
        <v>2887</v>
      </c>
      <c r="D5052" t="s">
        <v>154</v>
      </c>
      <c r="E5052" t="s">
        <v>16369</v>
      </c>
      <c r="F5052" t="s">
        <v>16370</v>
      </c>
      <c r="G5052">
        <v>915.0</v>
      </c>
      <c r="H5052">
        <v>915.0</v>
      </c>
      <c r="I5052" t="s">
        <v>94</v>
      </c>
      <c r="J5052" t="s">
        <v>95</v>
      </c>
      <c r="K5052" t="s">
        <v>31</v>
      </c>
      <c r="L5052" t="s">
        <v>32</v>
      </c>
      <c r="M5052" t="s">
        <v>33</v>
      </c>
      <c r="P5052" s="1" t="s">
        <v>17180</v>
      </c>
      <c r="Q5052" s="1" t="s">
        <v>16369</v>
      </c>
      <c r="R5052" s="1" t="s">
        <v>16369</v>
      </c>
      <c r="S5052" s="1"/>
      <c r="T5052" s="1" t="s">
        <v>2889</v>
      </c>
      <c r="U5052" s="1" t="s">
        <v>2890</v>
      </c>
      <c r="V5052" s="1">
        <v>915.0</v>
      </c>
      <c r="W5052" s="1">
        <v>915.0</v>
      </c>
      <c r="X5052" s="1" t="s">
        <v>35</v>
      </c>
      <c r="Y5052" s="1">
        <v>915000</v>
      </c>
      <c r="Z5052" s="1"/>
      <c r="AA5052" s="1">
        <v>915000</v>
      </c>
      <c r="AB5052" s="1"/>
      <c r="AC5052" s="1" t="s">
        <v>36</v>
      </c>
      <c r="AD5052" s="1" t="s">
        <v>17181</v>
      </c>
      <c r="AE5052" s="1" t="s">
        <v>32</v>
      </c>
      <c r="AF5052" s="1" t="s">
        <v>33</v>
      </c>
      <c r="AG5052" s="1" t="s">
        <v>95</v>
      </c>
    </row>
    <row r="5053" spans="1:33">
      <c r="A5053" t="s">
        <v>17182</v>
      </c>
      <c r="C5053" t="s">
        <v>5376</v>
      </c>
      <c r="D5053" t="s">
        <v>154</v>
      </c>
      <c r="E5053" t="s">
        <v>16369</v>
      </c>
      <c r="F5053" t="s">
        <v>16370</v>
      </c>
      <c r="G5053">
        <v>320.0</v>
      </c>
      <c r="H5053">
        <v>320.0</v>
      </c>
      <c r="I5053" t="s">
        <v>40</v>
      </c>
      <c r="J5053" t="s">
        <v>41</v>
      </c>
      <c r="K5053" t="s">
        <v>31</v>
      </c>
      <c r="L5053" t="s">
        <v>32</v>
      </c>
      <c r="M5053" t="s">
        <v>33</v>
      </c>
      <c r="P5053" s="1" t="s">
        <v>17183</v>
      </c>
      <c r="Q5053" s="1" t="s">
        <v>16369</v>
      </c>
      <c r="R5053" s="1" t="s">
        <v>15359</v>
      </c>
      <c r="S5053" s="1"/>
      <c r="T5053" s="1" t="s">
        <v>5376</v>
      </c>
      <c r="U5053" s="1"/>
      <c r="V5053" s="1">
        <v>320.0</v>
      </c>
      <c r="W5053" s="1">
        <v>320.0</v>
      </c>
      <c r="X5053" s="1" t="s">
        <v>35</v>
      </c>
      <c r="Y5053" s="1">
        <v>320000</v>
      </c>
      <c r="Z5053" s="1"/>
      <c r="AA5053" s="1">
        <v>320000</v>
      </c>
      <c r="AB5053" s="1"/>
      <c r="AC5053" s="1" t="s">
        <v>36</v>
      </c>
      <c r="AD5053" s="1" t="s">
        <v>17181</v>
      </c>
      <c r="AE5053" s="1" t="s">
        <v>32</v>
      </c>
      <c r="AF5053" s="1" t="s">
        <v>33</v>
      </c>
      <c r="AG5053" s="1" t="s">
        <v>41</v>
      </c>
    </row>
    <row r="5054" spans="1:33">
      <c r="A5054" t="s">
        <v>17184</v>
      </c>
      <c r="C5054" t="s">
        <v>8809</v>
      </c>
      <c r="E5054" t="s">
        <v>16369</v>
      </c>
      <c r="F5054" t="s">
        <v>16370</v>
      </c>
      <c r="G5054">
        <v>630.0</v>
      </c>
      <c r="H5054">
        <v>630.0</v>
      </c>
      <c r="I5054" t="s">
        <v>173</v>
      </c>
      <c r="J5054" t="s">
        <v>174</v>
      </c>
      <c r="K5054" t="s">
        <v>31</v>
      </c>
      <c r="L5054" t="s">
        <v>32</v>
      </c>
      <c r="M5054" t="s">
        <v>33</v>
      </c>
      <c r="P5054" s="1" t="s">
        <v>17185</v>
      </c>
      <c r="Q5054" s="1" t="s">
        <v>16369</v>
      </c>
      <c r="R5054" s="1" t="s">
        <v>16369</v>
      </c>
      <c r="S5054" s="1"/>
      <c r="T5054" s="1" t="s">
        <v>8809</v>
      </c>
      <c r="U5054" s="1"/>
      <c r="V5054" s="1">
        <v>630.0</v>
      </c>
      <c r="W5054" s="1">
        <v>630.0</v>
      </c>
      <c r="X5054" s="1" t="s">
        <v>35</v>
      </c>
      <c r="Y5054" s="1">
        <v>630000</v>
      </c>
      <c r="Z5054" s="1"/>
      <c r="AA5054" s="1">
        <v>630000</v>
      </c>
      <c r="AB5054" s="1"/>
      <c r="AC5054" s="1" t="s">
        <v>36</v>
      </c>
      <c r="AD5054" s="1" t="s">
        <v>17178</v>
      </c>
      <c r="AE5054" s="1" t="s">
        <v>32</v>
      </c>
      <c r="AF5054" s="1" t="s">
        <v>33</v>
      </c>
      <c r="AG5054" s="1" t="s">
        <v>174</v>
      </c>
    </row>
    <row r="5055" spans="1:33">
      <c r="A5055" t="s">
        <v>17186</v>
      </c>
      <c r="B5055" t="s">
        <v>17187</v>
      </c>
      <c r="C5055" t="s">
        <v>47</v>
      </c>
      <c r="E5055" t="s">
        <v>16369</v>
      </c>
      <c r="F5055" t="s">
        <v>16370</v>
      </c>
      <c r="G5055">
        <v>65.98</v>
      </c>
      <c r="H5055">
        <v>65.98</v>
      </c>
      <c r="I5055" t="s">
        <v>2206</v>
      </c>
      <c r="J5055" t="s">
        <v>49</v>
      </c>
      <c r="K5055" t="s">
        <v>31</v>
      </c>
      <c r="L5055" t="s">
        <v>32</v>
      </c>
      <c r="M5055" t="s">
        <v>33</v>
      </c>
      <c r="P5055" s="1" t="s">
        <v>17188</v>
      </c>
      <c r="Q5055" s="1" t="s">
        <v>16369</v>
      </c>
      <c r="R5055" s="1" t="s">
        <v>16369</v>
      </c>
      <c r="S5055" s="1"/>
      <c r="T5055" s="1" t="s">
        <v>47</v>
      </c>
      <c r="U5055" s="1"/>
      <c r="V5055" s="1">
        <v>65.98</v>
      </c>
      <c r="W5055" s="1">
        <v>65.98</v>
      </c>
      <c r="X5055" s="1" t="s">
        <v>35</v>
      </c>
      <c r="Y5055" s="1">
        <v>65980</v>
      </c>
      <c r="Z5055" s="1"/>
      <c r="AA5055" s="1">
        <v>65980</v>
      </c>
      <c r="AB5055" s="1"/>
      <c r="AC5055" s="1" t="s">
        <v>36</v>
      </c>
      <c r="AD5055" s="1" t="s">
        <v>17189</v>
      </c>
      <c r="AE5055" s="1" t="s">
        <v>32</v>
      </c>
      <c r="AF5055" s="1" t="s">
        <v>33</v>
      </c>
      <c r="AG5055" s="1" t="s">
        <v>49</v>
      </c>
    </row>
    <row r="5056" spans="1:33">
      <c r="A5056" t="s">
        <v>17190</v>
      </c>
      <c r="C5056" t="s">
        <v>338</v>
      </c>
      <c r="E5056" t="s">
        <v>16369</v>
      </c>
      <c r="F5056" t="s">
        <v>16370</v>
      </c>
      <c r="G5056">
        <v>352.0</v>
      </c>
      <c r="H5056">
        <v>352.0</v>
      </c>
      <c r="I5056" t="s">
        <v>179</v>
      </c>
      <c r="J5056" t="s">
        <v>180</v>
      </c>
      <c r="K5056" t="s">
        <v>31</v>
      </c>
      <c r="L5056" t="s">
        <v>32</v>
      </c>
      <c r="M5056" t="s">
        <v>33</v>
      </c>
      <c r="P5056" s="1" t="s">
        <v>17191</v>
      </c>
      <c r="Q5056" s="1" t="s">
        <v>16369</v>
      </c>
      <c r="R5056" s="1" t="s">
        <v>16369</v>
      </c>
      <c r="S5056" s="1"/>
      <c r="T5056" s="1" t="s">
        <v>338</v>
      </c>
      <c r="U5056" s="1"/>
      <c r="V5056" s="1">
        <v>352.0</v>
      </c>
      <c r="W5056" s="1">
        <v>352.0</v>
      </c>
      <c r="X5056" s="1" t="s">
        <v>35</v>
      </c>
      <c r="Y5056" s="1">
        <v>352000</v>
      </c>
      <c r="Z5056" s="1"/>
      <c r="AA5056" s="1">
        <v>352000</v>
      </c>
      <c r="AB5056" s="1"/>
      <c r="AC5056" s="1" t="s">
        <v>36</v>
      </c>
      <c r="AD5056" s="1" t="s">
        <v>17192</v>
      </c>
      <c r="AE5056" s="1" t="s">
        <v>32</v>
      </c>
      <c r="AF5056" s="1" t="s">
        <v>33</v>
      </c>
      <c r="AG5056" s="1" t="s">
        <v>180</v>
      </c>
    </row>
    <row r="5057" spans="1:33">
      <c r="A5057" t="s">
        <v>17193</v>
      </c>
      <c r="B5057" t="s">
        <v>5786</v>
      </c>
      <c r="C5057" t="s">
        <v>569</v>
      </c>
      <c r="E5057" t="s">
        <v>16369</v>
      </c>
      <c r="F5057" t="s">
        <v>16370</v>
      </c>
      <c r="G5057">
        <v>72.57</v>
      </c>
      <c r="H5057">
        <v>72.57</v>
      </c>
      <c r="I5057" t="s">
        <v>570</v>
      </c>
      <c r="J5057" t="s">
        <v>571</v>
      </c>
      <c r="K5057" t="s">
        <v>31</v>
      </c>
      <c r="L5057" t="s">
        <v>32</v>
      </c>
      <c r="M5057" t="s">
        <v>33</v>
      </c>
      <c r="P5057" s="1" t="s">
        <v>17194</v>
      </c>
      <c r="Q5057" s="1" t="s">
        <v>16369</v>
      </c>
      <c r="R5057" s="1" t="s">
        <v>16369</v>
      </c>
      <c r="S5057" s="1"/>
      <c r="T5057" s="1" t="s">
        <v>569</v>
      </c>
      <c r="U5057" s="1"/>
      <c r="V5057" s="1">
        <v>72.57</v>
      </c>
      <c r="W5057" s="1">
        <v>72.57</v>
      </c>
      <c r="X5057" s="1" t="s">
        <v>35</v>
      </c>
      <c r="Y5057" s="1">
        <v>72570</v>
      </c>
      <c r="Z5057" s="1"/>
      <c r="AA5057" s="1">
        <v>72570</v>
      </c>
      <c r="AB5057" s="1"/>
      <c r="AC5057" s="1" t="s">
        <v>36</v>
      </c>
      <c r="AD5057" s="1" t="s">
        <v>17195</v>
      </c>
      <c r="AE5057" s="1" t="s">
        <v>32</v>
      </c>
      <c r="AF5057" s="1" t="s">
        <v>33</v>
      </c>
      <c r="AG5057" s="1" t="s">
        <v>571</v>
      </c>
    </row>
    <row r="5058" spans="1:33">
      <c r="A5058" t="s">
        <v>17196</v>
      </c>
      <c r="C5058" t="s">
        <v>338</v>
      </c>
      <c r="E5058" t="s">
        <v>16369</v>
      </c>
      <c r="F5058" t="s">
        <v>16370</v>
      </c>
      <c r="G5058">
        <v>352.0</v>
      </c>
      <c r="H5058">
        <v>352.0</v>
      </c>
      <c r="I5058" t="s">
        <v>179</v>
      </c>
      <c r="J5058" t="s">
        <v>180</v>
      </c>
      <c r="K5058" t="s">
        <v>31</v>
      </c>
      <c r="L5058" t="s">
        <v>32</v>
      </c>
      <c r="M5058" t="s">
        <v>33</v>
      </c>
      <c r="P5058" s="1" t="s">
        <v>17197</v>
      </c>
      <c r="Q5058" s="1" t="s">
        <v>16369</v>
      </c>
      <c r="R5058" s="1" t="s">
        <v>16369</v>
      </c>
      <c r="S5058" s="1"/>
      <c r="T5058" s="1" t="s">
        <v>338</v>
      </c>
      <c r="U5058" s="1"/>
      <c r="V5058" s="1">
        <v>352.0</v>
      </c>
      <c r="W5058" s="1">
        <v>352.0</v>
      </c>
      <c r="X5058" s="1" t="s">
        <v>35</v>
      </c>
      <c r="Y5058" s="1">
        <v>352000</v>
      </c>
      <c r="Z5058" s="1"/>
      <c r="AA5058" s="1">
        <v>352000</v>
      </c>
      <c r="AB5058" s="1"/>
      <c r="AC5058" s="1" t="s">
        <v>36</v>
      </c>
      <c r="AD5058" s="1" t="s">
        <v>17198</v>
      </c>
      <c r="AE5058" s="1" t="s">
        <v>32</v>
      </c>
      <c r="AF5058" s="1" t="s">
        <v>33</v>
      </c>
      <c r="AG5058" s="1" t="s">
        <v>180</v>
      </c>
    </row>
    <row r="5059" spans="1:33">
      <c r="A5059" t="s">
        <v>17199</v>
      </c>
      <c r="C5059" t="s">
        <v>667</v>
      </c>
      <c r="D5059" t="s">
        <v>114</v>
      </c>
      <c r="E5059" t="s">
        <v>16369</v>
      </c>
      <c r="F5059" t="s">
        <v>16370</v>
      </c>
      <c r="G5059">
        <v>392.0</v>
      </c>
      <c r="H5059">
        <v>392.0</v>
      </c>
      <c r="I5059" t="s">
        <v>179</v>
      </c>
      <c r="J5059" t="s">
        <v>180</v>
      </c>
      <c r="K5059" t="s">
        <v>31</v>
      </c>
      <c r="L5059" t="s">
        <v>32</v>
      </c>
      <c r="M5059" t="s">
        <v>33</v>
      </c>
      <c r="P5059" s="1" t="s">
        <v>17200</v>
      </c>
      <c r="Q5059" s="1" t="s">
        <v>16369</v>
      </c>
      <c r="R5059" s="1" t="s">
        <v>16369</v>
      </c>
      <c r="S5059" s="1"/>
      <c r="T5059" s="1" t="s">
        <v>667</v>
      </c>
      <c r="U5059" s="1"/>
      <c r="V5059" s="1">
        <v>392.0</v>
      </c>
      <c r="W5059" s="1">
        <v>392.0</v>
      </c>
      <c r="X5059" s="1" t="s">
        <v>35</v>
      </c>
      <c r="Y5059" s="1">
        <v>392000</v>
      </c>
      <c r="Z5059" s="1"/>
      <c r="AA5059" s="1">
        <v>392000</v>
      </c>
      <c r="AB5059" s="1"/>
      <c r="AC5059" s="1" t="s">
        <v>36</v>
      </c>
      <c r="AD5059" s="1" t="s">
        <v>17146</v>
      </c>
      <c r="AE5059" s="1" t="s">
        <v>32</v>
      </c>
      <c r="AF5059" s="1" t="s">
        <v>33</v>
      </c>
      <c r="AG5059" s="1" t="s">
        <v>180</v>
      </c>
    </row>
    <row r="5060" spans="1:33">
      <c r="A5060" t="s">
        <v>17201</v>
      </c>
      <c r="B5060" t="s">
        <v>17202</v>
      </c>
      <c r="C5060" t="s">
        <v>172</v>
      </c>
      <c r="E5060" t="s">
        <v>16369</v>
      </c>
      <c r="F5060" t="s">
        <v>16370</v>
      </c>
      <c r="G5060">
        <v>20.99</v>
      </c>
      <c r="H5060">
        <v>20.99</v>
      </c>
      <c r="I5060" t="s">
        <v>173</v>
      </c>
      <c r="J5060" t="s">
        <v>174</v>
      </c>
      <c r="K5060" t="s">
        <v>31</v>
      </c>
      <c r="L5060" t="s">
        <v>32</v>
      </c>
      <c r="M5060" t="s">
        <v>33</v>
      </c>
      <c r="P5060" s="1" t="s">
        <v>17203</v>
      </c>
      <c r="Q5060" s="1" t="s">
        <v>16369</v>
      </c>
      <c r="R5060" s="1" t="s">
        <v>16369</v>
      </c>
      <c r="S5060" s="1"/>
      <c r="T5060" s="1" t="s">
        <v>172</v>
      </c>
      <c r="U5060" s="1"/>
      <c r="V5060" s="1">
        <v>20.99</v>
      </c>
      <c r="W5060" s="1">
        <v>20.99</v>
      </c>
      <c r="X5060" s="1" t="s">
        <v>35</v>
      </c>
      <c r="Y5060" s="1">
        <v>20990</v>
      </c>
      <c r="Z5060" s="1"/>
      <c r="AA5060" s="1">
        <v>20990</v>
      </c>
      <c r="AB5060" s="1"/>
      <c r="AC5060" s="1" t="s">
        <v>36</v>
      </c>
      <c r="AD5060" s="1" t="s">
        <v>17204</v>
      </c>
      <c r="AE5060" s="1" t="s">
        <v>32</v>
      </c>
      <c r="AF5060" s="1" t="s">
        <v>33</v>
      </c>
      <c r="AG5060" s="1" t="s">
        <v>174</v>
      </c>
    </row>
    <row r="5061" spans="1:33">
      <c r="A5061" t="s">
        <v>17205</v>
      </c>
      <c r="B5061" t="s">
        <v>1031</v>
      </c>
      <c r="C5061" t="s">
        <v>1298</v>
      </c>
      <c r="E5061" t="s">
        <v>16369</v>
      </c>
      <c r="F5061" t="s">
        <v>16370</v>
      </c>
      <c r="G5061">
        <v>7.456</v>
      </c>
      <c r="H5061">
        <v>7.456</v>
      </c>
      <c r="I5061" t="s">
        <v>529</v>
      </c>
      <c r="J5061" t="s">
        <v>530</v>
      </c>
      <c r="K5061" t="s">
        <v>31</v>
      </c>
      <c r="L5061" t="s">
        <v>32</v>
      </c>
      <c r="M5061" t="s">
        <v>33</v>
      </c>
      <c r="P5061" s="1" t="s">
        <v>17206</v>
      </c>
      <c r="Q5061" s="1" t="s">
        <v>16369</v>
      </c>
      <c r="R5061" s="1" t="s">
        <v>15359</v>
      </c>
      <c r="S5061" s="1"/>
      <c r="T5061" s="1" t="s">
        <v>1298</v>
      </c>
      <c r="U5061" s="1"/>
      <c r="V5061" s="1">
        <v>7.456</v>
      </c>
      <c r="W5061" s="1">
        <v>7.456</v>
      </c>
      <c r="X5061" s="1" t="s">
        <v>35</v>
      </c>
      <c r="Y5061" s="1">
        <v>7456</v>
      </c>
      <c r="Z5061" s="1"/>
      <c r="AA5061" s="1">
        <v>7456</v>
      </c>
      <c r="AB5061" s="1"/>
      <c r="AC5061" s="1" t="s">
        <v>36</v>
      </c>
      <c r="AD5061" s="1" t="s">
        <v>17207</v>
      </c>
      <c r="AE5061" s="1" t="s">
        <v>32</v>
      </c>
      <c r="AF5061" s="1" t="s">
        <v>33</v>
      </c>
      <c r="AG5061" s="1" t="s">
        <v>530</v>
      </c>
    </row>
    <row r="5062" spans="1:33">
      <c r="A5062" t="s">
        <v>17208</v>
      </c>
      <c r="B5062" t="s">
        <v>17209</v>
      </c>
      <c r="C5062" t="s">
        <v>125</v>
      </c>
      <c r="E5062" t="s">
        <v>16369</v>
      </c>
      <c r="F5062" t="s">
        <v>16370</v>
      </c>
      <c r="G5062">
        <v>33.67</v>
      </c>
      <c r="H5062">
        <v>33.67</v>
      </c>
      <c r="I5062" t="s">
        <v>126</v>
      </c>
      <c r="J5062" t="s">
        <v>127</v>
      </c>
      <c r="K5062" t="s">
        <v>31</v>
      </c>
      <c r="L5062" t="s">
        <v>32</v>
      </c>
      <c r="M5062" t="s">
        <v>33</v>
      </c>
      <c r="P5062" s="1" t="s">
        <v>17210</v>
      </c>
      <c r="Q5062" s="1" t="s">
        <v>16369</v>
      </c>
      <c r="R5062" s="1" t="s">
        <v>16369</v>
      </c>
      <c r="S5062" s="1"/>
      <c r="T5062" s="1" t="s">
        <v>125</v>
      </c>
      <c r="U5062" s="1"/>
      <c r="V5062" s="1">
        <v>33.67</v>
      </c>
      <c r="W5062" s="1">
        <v>33.67</v>
      </c>
      <c r="X5062" s="1" t="s">
        <v>35</v>
      </c>
      <c r="Y5062" s="1">
        <v>33670</v>
      </c>
      <c r="Z5062" s="1"/>
      <c r="AA5062" s="1">
        <v>33670</v>
      </c>
      <c r="AB5062" s="1"/>
      <c r="AC5062" s="1" t="s">
        <v>36</v>
      </c>
      <c r="AD5062" s="1" t="s">
        <v>17207</v>
      </c>
      <c r="AE5062" s="1" t="s">
        <v>32</v>
      </c>
      <c r="AF5062" s="1" t="s">
        <v>33</v>
      </c>
      <c r="AG5062" s="1" t="s">
        <v>127</v>
      </c>
    </row>
    <row r="5063" spans="1:33">
      <c r="A5063" t="s">
        <v>17211</v>
      </c>
      <c r="C5063" t="s">
        <v>9381</v>
      </c>
      <c r="E5063" t="s">
        <v>16369</v>
      </c>
      <c r="F5063" t="s">
        <v>16370</v>
      </c>
      <c r="G5063">
        <v>436.2</v>
      </c>
      <c r="H5063">
        <v>436.2</v>
      </c>
      <c r="I5063" t="s">
        <v>227</v>
      </c>
      <c r="J5063" t="s">
        <v>228</v>
      </c>
      <c r="K5063" t="s">
        <v>31</v>
      </c>
      <c r="L5063" t="s">
        <v>32</v>
      </c>
      <c r="M5063" t="s">
        <v>33</v>
      </c>
      <c r="P5063" s="1" t="s">
        <v>17212</v>
      </c>
      <c r="Q5063" s="1" t="s">
        <v>16369</v>
      </c>
      <c r="R5063" s="1" t="s">
        <v>16369</v>
      </c>
      <c r="S5063" s="1"/>
      <c r="T5063" s="1" t="s">
        <v>9381</v>
      </c>
      <c r="U5063" s="1"/>
      <c r="V5063" s="1">
        <v>436.2</v>
      </c>
      <c r="W5063" s="1">
        <v>436.2</v>
      </c>
      <c r="X5063" s="1" t="s">
        <v>35</v>
      </c>
      <c r="Y5063" s="1">
        <v>436200</v>
      </c>
      <c r="Z5063" s="1"/>
      <c r="AA5063" s="1">
        <v>436200</v>
      </c>
      <c r="AB5063" s="1"/>
      <c r="AC5063" s="1" t="s">
        <v>36</v>
      </c>
      <c r="AD5063" s="1" t="s">
        <v>17152</v>
      </c>
      <c r="AE5063" s="1" t="s">
        <v>32</v>
      </c>
      <c r="AF5063" s="1" t="s">
        <v>33</v>
      </c>
      <c r="AG5063" s="1" t="s">
        <v>228</v>
      </c>
    </row>
    <row r="5064" spans="1:33">
      <c r="A5064" t="s">
        <v>17213</v>
      </c>
      <c r="C5064" t="s">
        <v>2266</v>
      </c>
      <c r="E5064" t="s">
        <v>16369</v>
      </c>
      <c r="F5064" t="s">
        <v>16370</v>
      </c>
      <c r="G5064">
        <v>785.35</v>
      </c>
      <c r="H5064">
        <v>785.35</v>
      </c>
      <c r="I5064" t="s">
        <v>269</v>
      </c>
      <c r="J5064" t="s">
        <v>270</v>
      </c>
      <c r="K5064" t="s">
        <v>31</v>
      </c>
      <c r="L5064" t="s">
        <v>32</v>
      </c>
      <c r="M5064" t="s">
        <v>33</v>
      </c>
      <c r="P5064" s="1" t="s">
        <v>17214</v>
      </c>
      <c r="Q5064" s="1" t="s">
        <v>16369</v>
      </c>
      <c r="R5064" s="1" t="s">
        <v>16369</v>
      </c>
      <c r="S5064" s="1"/>
      <c r="T5064" s="1" t="s">
        <v>2266</v>
      </c>
      <c r="U5064" s="1"/>
      <c r="V5064" s="1">
        <v>785.35</v>
      </c>
      <c r="W5064" s="1">
        <v>785.35</v>
      </c>
      <c r="X5064" s="1" t="s">
        <v>35</v>
      </c>
      <c r="Y5064" s="1">
        <v>785350</v>
      </c>
      <c r="Z5064" s="1"/>
      <c r="AA5064" s="1">
        <v>785350</v>
      </c>
      <c r="AB5064" s="1"/>
      <c r="AC5064" s="1" t="s">
        <v>36</v>
      </c>
      <c r="AD5064" s="1" t="s">
        <v>17215</v>
      </c>
      <c r="AE5064" s="1" t="s">
        <v>32</v>
      </c>
      <c r="AF5064" s="1" t="s">
        <v>33</v>
      </c>
      <c r="AG5064" s="1" t="s">
        <v>270</v>
      </c>
    </row>
    <row r="5065" spans="1:33">
      <c r="A5065" t="s">
        <v>17216</v>
      </c>
      <c r="C5065" t="s">
        <v>2800</v>
      </c>
      <c r="D5065" t="s">
        <v>114</v>
      </c>
      <c r="E5065" t="s">
        <v>16369</v>
      </c>
      <c r="F5065" t="s">
        <v>16370</v>
      </c>
      <c r="G5065">
        <v>840.0</v>
      </c>
      <c r="H5065">
        <v>840.0</v>
      </c>
      <c r="I5065" t="s">
        <v>94</v>
      </c>
      <c r="J5065" t="s">
        <v>95</v>
      </c>
      <c r="K5065" t="s">
        <v>31</v>
      </c>
      <c r="L5065" t="s">
        <v>32</v>
      </c>
      <c r="M5065" t="s">
        <v>33</v>
      </c>
      <c r="P5065" s="1" t="s">
        <v>17217</v>
      </c>
      <c r="Q5065" s="1" t="s">
        <v>16369</v>
      </c>
      <c r="R5065" s="1" t="s">
        <v>16369</v>
      </c>
      <c r="S5065" s="1"/>
      <c r="T5065" s="1" t="s">
        <v>2800</v>
      </c>
      <c r="U5065" s="1"/>
      <c r="V5065" s="1">
        <v>840.0</v>
      </c>
      <c r="W5065" s="1">
        <v>840.0</v>
      </c>
      <c r="X5065" s="1" t="s">
        <v>35</v>
      </c>
      <c r="Y5065" s="1">
        <v>840000</v>
      </c>
      <c r="Z5065" s="1"/>
      <c r="AA5065" s="1">
        <v>840000</v>
      </c>
      <c r="AB5065" s="1"/>
      <c r="AC5065" s="1" t="s">
        <v>36</v>
      </c>
      <c r="AD5065" s="1" t="s">
        <v>17218</v>
      </c>
      <c r="AE5065" s="1" t="s">
        <v>32</v>
      </c>
      <c r="AF5065" s="1" t="s">
        <v>33</v>
      </c>
      <c r="AG5065" s="1" t="s">
        <v>95</v>
      </c>
    </row>
    <row r="5066" spans="1:33">
      <c r="A5066" t="s">
        <v>17219</v>
      </c>
      <c r="B5066" t="s">
        <v>17220</v>
      </c>
      <c r="C5066" t="s">
        <v>1298</v>
      </c>
      <c r="E5066" t="s">
        <v>16369</v>
      </c>
      <c r="F5066" t="s">
        <v>16370</v>
      </c>
      <c r="G5066">
        <v>50.28</v>
      </c>
      <c r="H5066">
        <v>50.28</v>
      </c>
      <c r="I5066" t="s">
        <v>529</v>
      </c>
      <c r="J5066" t="s">
        <v>530</v>
      </c>
      <c r="K5066" t="s">
        <v>31</v>
      </c>
      <c r="L5066" t="s">
        <v>32</v>
      </c>
      <c r="M5066" t="s">
        <v>33</v>
      </c>
      <c r="P5066" s="1" t="s">
        <v>17221</v>
      </c>
      <c r="Q5066" s="1" t="s">
        <v>16369</v>
      </c>
      <c r="R5066" s="1" t="s">
        <v>15359</v>
      </c>
      <c r="S5066" s="1"/>
      <c r="T5066" s="1" t="s">
        <v>1298</v>
      </c>
      <c r="U5066" s="1"/>
      <c r="V5066" s="1">
        <v>50.28</v>
      </c>
      <c r="W5066" s="1">
        <v>50.28</v>
      </c>
      <c r="X5066" s="1" t="s">
        <v>35</v>
      </c>
      <c r="Y5066" s="1">
        <v>50280</v>
      </c>
      <c r="Z5066" s="1"/>
      <c r="AA5066" s="1">
        <v>50280</v>
      </c>
      <c r="AB5066" s="1"/>
      <c r="AC5066" s="1" t="s">
        <v>36</v>
      </c>
      <c r="AD5066" s="1" t="s">
        <v>17222</v>
      </c>
      <c r="AE5066" s="1" t="s">
        <v>32</v>
      </c>
      <c r="AF5066" s="1" t="s">
        <v>33</v>
      </c>
      <c r="AG5066" s="1" t="s">
        <v>530</v>
      </c>
    </row>
    <row r="5067" spans="1:33">
      <c r="A5067" t="s">
        <v>17223</v>
      </c>
      <c r="B5067" t="s">
        <v>17224</v>
      </c>
      <c r="C5067" t="s">
        <v>131</v>
      </c>
      <c r="E5067" t="s">
        <v>16369</v>
      </c>
      <c r="F5067" t="s">
        <v>16370</v>
      </c>
      <c r="G5067">
        <v>40.49</v>
      </c>
      <c r="H5067">
        <v>40.49</v>
      </c>
      <c r="I5067" t="s">
        <v>94</v>
      </c>
      <c r="J5067" t="s">
        <v>95</v>
      </c>
      <c r="K5067" t="s">
        <v>31</v>
      </c>
      <c r="L5067" t="s">
        <v>32</v>
      </c>
      <c r="M5067" t="s">
        <v>33</v>
      </c>
      <c r="P5067" s="1" t="s">
        <v>17225</v>
      </c>
      <c r="Q5067" s="1" t="s">
        <v>16369</v>
      </c>
      <c r="R5067" s="1" t="s">
        <v>16369</v>
      </c>
      <c r="S5067" s="1"/>
      <c r="T5067" s="1" t="s">
        <v>131</v>
      </c>
      <c r="U5067" s="1"/>
      <c r="V5067" s="1">
        <v>40.49</v>
      </c>
      <c r="W5067" s="1">
        <v>40.49</v>
      </c>
      <c r="X5067" s="1" t="s">
        <v>35</v>
      </c>
      <c r="Y5067" s="1">
        <v>40490</v>
      </c>
      <c r="Z5067" s="1"/>
      <c r="AA5067" s="1">
        <v>40490</v>
      </c>
      <c r="AB5067" s="1"/>
      <c r="AC5067" s="1" t="s">
        <v>36</v>
      </c>
      <c r="AD5067" s="1" t="s">
        <v>17226</v>
      </c>
      <c r="AE5067" s="1" t="s">
        <v>32</v>
      </c>
      <c r="AF5067" s="1" t="s">
        <v>33</v>
      </c>
      <c r="AG5067" s="1" t="s">
        <v>95</v>
      </c>
    </row>
    <row r="5068" spans="1:33">
      <c r="A5068" t="s">
        <v>17227</v>
      </c>
      <c r="B5068" t="s">
        <v>17228</v>
      </c>
      <c r="C5068" t="s">
        <v>617</v>
      </c>
      <c r="E5068" t="s">
        <v>16369</v>
      </c>
      <c r="F5068" t="s">
        <v>16370</v>
      </c>
      <c r="G5068">
        <v>630.0</v>
      </c>
      <c r="H5068">
        <v>630.0</v>
      </c>
      <c r="I5068" t="s">
        <v>40</v>
      </c>
      <c r="J5068" t="s">
        <v>41</v>
      </c>
      <c r="K5068" t="s">
        <v>31</v>
      </c>
      <c r="L5068" t="s">
        <v>32</v>
      </c>
      <c r="M5068" t="s">
        <v>33</v>
      </c>
      <c r="P5068" s="1" t="s">
        <v>17229</v>
      </c>
      <c r="Q5068" s="1" t="s">
        <v>16369</v>
      </c>
      <c r="R5068" s="1" t="s">
        <v>15359</v>
      </c>
      <c r="S5068" s="1"/>
      <c r="T5068" s="1" t="s">
        <v>619</v>
      </c>
      <c r="U5068" s="1" t="s">
        <v>620</v>
      </c>
      <c r="V5068" s="1">
        <v>630.0</v>
      </c>
      <c r="W5068" s="1">
        <v>630.0</v>
      </c>
      <c r="X5068" s="1" t="s">
        <v>35</v>
      </c>
      <c r="Y5068" s="1">
        <v>630000</v>
      </c>
      <c r="Z5068" s="1"/>
      <c r="AA5068" s="1">
        <v>630000</v>
      </c>
      <c r="AB5068" s="1"/>
      <c r="AC5068" s="1" t="s">
        <v>36</v>
      </c>
      <c r="AD5068" s="1" t="s">
        <v>17230</v>
      </c>
      <c r="AE5068" s="1" t="s">
        <v>32</v>
      </c>
      <c r="AF5068" s="1" t="s">
        <v>33</v>
      </c>
      <c r="AG5068" s="1" t="s">
        <v>41</v>
      </c>
    </row>
    <row r="5069" spans="1:33">
      <c r="A5069" t="s">
        <v>17231</v>
      </c>
      <c r="B5069" t="s">
        <v>17232</v>
      </c>
      <c r="C5069" t="s">
        <v>172</v>
      </c>
      <c r="E5069" t="s">
        <v>16369</v>
      </c>
      <c r="F5069" t="s">
        <v>16370</v>
      </c>
      <c r="G5069">
        <v>49.48</v>
      </c>
      <c r="H5069">
        <v>49.48</v>
      </c>
      <c r="I5069" t="s">
        <v>173</v>
      </c>
      <c r="J5069" t="s">
        <v>174</v>
      </c>
      <c r="K5069" t="s">
        <v>31</v>
      </c>
      <c r="L5069" t="s">
        <v>32</v>
      </c>
      <c r="M5069" t="s">
        <v>33</v>
      </c>
      <c r="P5069" s="1" t="s">
        <v>17233</v>
      </c>
      <c r="Q5069" s="1" t="s">
        <v>16369</v>
      </c>
      <c r="R5069" s="1" t="s">
        <v>16369</v>
      </c>
      <c r="S5069" s="1"/>
      <c r="T5069" s="1" t="s">
        <v>172</v>
      </c>
      <c r="U5069" s="1"/>
      <c r="V5069" s="1">
        <v>49.48</v>
      </c>
      <c r="W5069" s="1">
        <v>49.48</v>
      </c>
      <c r="X5069" s="1" t="s">
        <v>35</v>
      </c>
      <c r="Y5069" s="1">
        <v>49480</v>
      </c>
      <c r="Z5069" s="1"/>
      <c r="AA5069" s="1">
        <v>49480</v>
      </c>
      <c r="AB5069" s="1"/>
      <c r="AC5069" s="1" t="s">
        <v>36</v>
      </c>
      <c r="AD5069" s="1" t="s">
        <v>17234</v>
      </c>
      <c r="AE5069" s="1" t="s">
        <v>32</v>
      </c>
      <c r="AF5069" s="1" t="s">
        <v>33</v>
      </c>
      <c r="AG5069" s="1" t="s">
        <v>174</v>
      </c>
    </row>
    <row r="5070" spans="1:33">
      <c r="A5070" t="s">
        <v>17235</v>
      </c>
      <c r="B5070" t="s">
        <v>8646</v>
      </c>
      <c r="C5070" t="s">
        <v>125</v>
      </c>
      <c r="E5070" t="s">
        <v>16369</v>
      </c>
      <c r="F5070" t="s">
        <v>16370</v>
      </c>
      <c r="G5070">
        <v>7.338</v>
      </c>
      <c r="H5070">
        <v>7.338</v>
      </c>
      <c r="I5070" t="s">
        <v>126</v>
      </c>
      <c r="J5070" t="s">
        <v>127</v>
      </c>
      <c r="K5070" t="s">
        <v>31</v>
      </c>
      <c r="L5070" t="s">
        <v>32</v>
      </c>
      <c r="M5070" t="s">
        <v>33</v>
      </c>
      <c r="P5070" s="1" t="s">
        <v>17236</v>
      </c>
      <c r="Q5070" s="1" t="s">
        <v>16369</v>
      </c>
      <c r="R5070" s="1" t="s">
        <v>16369</v>
      </c>
      <c r="S5070" s="1"/>
      <c r="T5070" s="1" t="s">
        <v>125</v>
      </c>
      <c r="U5070" s="1"/>
      <c r="V5070" s="1">
        <v>7.338</v>
      </c>
      <c r="W5070" s="1">
        <v>7.338</v>
      </c>
      <c r="X5070" s="1" t="s">
        <v>35</v>
      </c>
      <c r="Y5070" s="1">
        <v>7338</v>
      </c>
      <c r="Z5070" s="1"/>
      <c r="AA5070" s="1">
        <v>7338</v>
      </c>
      <c r="AB5070" s="1"/>
      <c r="AC5070" s="1" t="s">
        <v>36</v>
      </c>
      <c r="AD5070" s="1" t="s">
        <v>17237</v>
      </c>
      <c r="AE5070" s="1" t="s">
        <v>32</v>
      </c>
      <c r="AF5070" s="1" t="s">
        <v>33</v>
      </c>
      <c r="AG5070" s="1" t="s">
        <v>127</v>
      </c>
    </row>
    <row r="5071" spans="1:33">
      <c r="A5071" t="s">
        <v>17238</v>
      </c>
      <c r="C5071" t="s">
        <v>589</v>
      </c>
      <c r="D5071" t="s">
        <v>154</v>
      </c>
      <c r="E5071" t="s">
        <v>16369</v>
      </c>
      <c r="F5071" t="s">
        <v>16370</v>
      </c>
      <c r="G5071">
        <v>414.5</v>
      </c>
      <c r="H5071">
        <v>414.5</v>
      </c>
      <c r="I5071" t="s">
        <v>173</v>
      </c>
      <c r="J5071" t="s">
        <v>174</v>
      </c>
      <c r="K5071" t="s">
        <v>31</v>
      </c>
      <c r="L5071" t="s">
        <v>32</v>
      </c>
      <c r="M5071" t="s">
        <v>33</v>
      </c>
      <c r="P5071" s="1" t="s">
        <v>17239</v>
      </c>
      <c r="Q5071" s="1" t="s">
        <v>16369</v>
      </c>
      <c r="R5071" s="1" t="s">
        <v>16369</v>
      </c>
      <c r="S5071" s="1"/>
      <c r="T5071" s="1" t="s">
        <v>591</v>
      </c>
      <c r="U5071" s="1" t="s">
        <v>592</v>
      </c>
      <c r="V5071" s="1">
        <v>414.5</v>
      </c>
      <c r="W5071" s="1">
        <v>414.5</v>
      </c>
      <c r="X5071" s="1" t="s">
        <v>35</v>
      </c>
      <c r="Y5071" s="1">
        <v>414500</v>
      </c>
      <c r="Z5071" s="1"/>
      <c r="AA5071" s="1">
        <v>414500</v>
      </c>
      <c r="AB5071" s="1"/>
      <c r="AC5071" s="1" t="s">
        <v>36</v>
      </c>
      <c r="AD5071" s="1" t="s">
        <v>17240</v>
      </c>
      <c r="AE5071" s="1" t="s">
        <v>32</v>
      </c>
      <c r="AF5071" s="1" t="s">
        <v>33</v>
      </c>
      <c r="AG5071" s="1" t="s">
        <v>174</v>
      </c>
    </row>
    <row r="5072" spans="1:33">
      <c r="A5072" t="s">
        <v>17241</v>
      </c>
      <c r="C5072" t="s">
        <v>7331</v>
      </c>
      <c r="E5072" t="s">
        <v>16369</v>
      </c>
      <c r="F5072" t="s">
        <v>16370</v>
      </c>
      <c r="G5072">
        <v>868.5</v>
      </c>
      <c r="H5072">
        <v>868.5</v>
      </c>
      <c r="I5072" t="s">
        <v>269</v>
      </c>
      <c r="J5072" t="s">
        <v>270</v>
      </c>
      <c r="K5072" t="s">
        <v>31</v>
      </c>
      <c r="L5072" t="s">
        <v>32</v>
      </c>
      <c r="M5072" t="s">
        <v>33</v>
      </c>
      <c r="P5072" s="1" t="s">
        <v>17242</v>
      </c>
      <c r="Q5072" s="1" t="s">
        <v>16369</v>
      </c>
      <c r="R5072" s="1" t="s">
        <v>16369</v>
      </c>
      <c r="S5072" s="1"/>
      <c r="T5072" s="1" t="s">
        <v>7331</v>
      </c>
      <c r="U5072" s="1"/>
      <c r="V5072" s="1">
        <v>868.5</v>
      </c>
      <c r="W5072" s="1">
        <v>868.5</v>
      </c>
      <c r="X5072" s="1" t="s">
        <v>35</v>
      </c>
      <c r="Y5072" s="1">
        <v>868500</v>
      </c>
      <c r="Z5072" s="1"/>
      <c r="AA5072" s="1">
        <v>868500</v>
      </c>
      <c r="AB5072" s="1"/>
      <c r="AC5072" s="1" t="s">
        <v>36</v>
      </c>
      <c r="AD5072" s="1" t="s">
        <v>17243</v>
      </c>
      <c r="AE5072" s="1" t="s">
        <v>32</v>
      </c>
      <c r="AF5072" s="1" t="s">
        <v>33</v>
      </c>
      <c r="AG5072" s="1" t="s">
        <v>270</v>
      </c>
    </row>
    <row r="5073" spans="1:33">
      <c r="A5073" t="s">
        <v>17244</v>
      </c>
      <c r="C5073" t="s">
        <v>866</v>
      </c>
      <c r="D5073" t="s">
        <v>154</v>
      </c>
      <c r="E5073" t="s">
        <v>16369</v>
      </c>
      <c r="F5073" t="s">
        <v>16370</v>
      </c>
      <c r="G5073">
        <v>398.5</v>
      </c>
      <c r="H5073">
        <v>398.5</v>
      </c>
      <c r="I5073" t="s">
        <v>2206</v>
      </c>
      <c r="J5073" t="s">
        <v>49</v>
      </c>
      <c r="K5073" t="s">
        <v>31</v>
      </c>
      <c r="L5073" t="s">
        <v>32</v>
      </c>
      <c r="M5073" t="s">
        <v>33</v>
      </c>
      <c r="P5073" s="1" t="s">
        <v>17245</v>
      </c>
      <c r="Q5073" s="1" t="s">
        <v>16369</v>
      </c>
      <c r="R5073" s="1" t="s">
        <v>16369</v>
      </c>
      <c r="S5073" s="1"/>
      <c r="T5073" s="1" t="s">
        <v>868</v>
      </c>
      <c r="U5073" s="1" t="s">
        <v>869</v>
      </c>
      <c r="V5073" s="1">
        <v>398.5</v>
      </c>
      <c r="W5073" s="1">
        <v>398.5</v>
      </c>
      <c r="X5073" s="1" t="s">
        <v>35</v>
      </c>
      <c r="Y5073" s="1">
        <v>398500</v>
      </c>
      <c r="Z5073" s="1"/>
      <c r="AA5073" s="1">
        <v>398500</v>
      </c>
      <c r="AB5073" s="1"/>
      <c r="AC5073" s="1" t="s">
        <v>36</v>
      </c>
      <c r="AD5073" s="1" t="s">
        <v>17246</v>
      </c>
      <c r="AE5073" s="1" t="s">
        <v>32</v>
      </c>
      <c r="AF5073" s="1" t="s">
        <v>33</v>
      </c>
      <c r="AG5073" s="1" t="s">
        <v>49</v>
      </c>
    </row>
    <row r="5074" spans="1:33">
      <c r="A5074" t="s">
        <v>17247</v>
      </c>
      <c r="C5074" t="s">
        <v>17248</v>
      </c>
      <c r="D5074" t="s">
        <v>154</v>
      </c>
      <c r="E5074" t="s">
        <v>16369</v>
      </c>
      <c r="F5074" t="s">
        <v>16370</v>
      </c>
      <c r="G5074">
        <v>541.25</v>
      </c>
      <c r="H5074">
        <v>541.25</v>
      </c>
      <c r="I5074" t="s">
        <v>2206</v>
      </c>
      <c r="J5074" t="s">
        <v>49</v>
      </c>
      <c r="K5074" t="s">
        <v>31</v>
      </c>
      <c r="L5074" t="s">
        <v>32</v>
      </c>
      <c r="M5074" t="s">
        <v>33</v>
      </c>
      <c r="P5074" s="1" t="s">
        <v>17249</v>
      </c>
      <c r="Q5074" s="1" t="s">
        <v>16369</v>
      </c>
      <c r="R5074" s="1" t="s">
        <v>16369</v>
      </c>
      <c r="S5074" s="1"/>
      <c r="T5074" s="1" t="s">
        <v>17250</v>
      </c>
      <c r="U5074" s="1" t="s">
        <v>17251</v>
      </c>
      <c r="V5074" s="1">
        <v>541.25</v>
      </c>
      <c r="W5074" s="1">
        <v>541.25</v>
      </c>
      <c r="X5074" s="1" t="s">
        <v>35</v>
      </c>
      <c r="Y5074" s="1">
        <v>541250</v>
      </c>
      <c r="Z5074" s="1"/>
      <c r="AA5074" s="1">
        <v>541250</v>
      </c>
      <c r="AB5074" s="1"/>
      <c r="AC5074" s="1" t="s">
        <v>36</v>
      </c>
      <c r="AD5074" s="1" t="s">
        <v>17252</v>
      </c>
      <c r="AE5074" s="1" t="s">
        <v>32</v>
      </c>
      <c r="AF5074" s="1" t="s">
        <v>33</v>
      </c>
      <c r="AG5074" s="1" t="s">
        <v>49</v>
      </c>
    </row>
    <row r="5075" spans="1:33">
      <c r="A5075" t="s">
        <v>17253</v>
      </c>
      <c r="B5075" t="s">
        <v>12615</v>
      </c>
      <c r="C5075" t="s">
        <v>268</v>
      </c>
      <c r="E5075" t="s">
        <v>16369</v>
      </c>
      <c r="F5075" t="s">
        <v>16370</v>
      </c>
      <c r="G5075">
        <v>16.9</v>
      </c>
      <c r="H5075">
        <v>16.9</v>
      </c>
      <c r="I5075" t="s">
        <v>269</v>
      </c>
      <c r="J5075" t="s">
        <v>270</v>
      </c>
      <c r="K5075" t="s">
        <v>31</v>
      </c>
      <c r="L5075" t="s">
        <v>32</v>
      </c>
      <c r="M5075" t="s">
        <v>33</v>
      </c>
      <c r="P5075" s="1" t="s">
        <v>17254</v>
      </c>
      <c r="Q5075" s="1" t="s">
        <v>16369</v>
      </c>
      <c r="R5075" s="1" t="s">
        <v>16369</v>
      </c>
      <c r="S5075" s="1"/>
      <c r="T5075" s="1" t="s">
        <v>268</v>
      </c>
      <c r="U5075" s="1"/>
      <c r="V5075" s="1">
        <v>16.9</v>
      </c>
      <c r="W5075" s="1">
        <v>16.9</v>
      </c>
      <c r="X5075" s="1" t="s">
        <v>35</v>
      </c>
      <c r="Y5075" s="1">
        <v>16900</v>
      </c>
      <c r="Z5075" s="1"/>
      <c r="AA5075" s="1">
        <v>16900</v>
      </c>
      <c r="AB5075" s="1"/>
      <c r="AC5075" s="1" t="s">
        <v>36</v>
      </c>
      <c r="AD5075" s="1" t="s">
        <v>17246</v>
      </c>
      <c r="AE5075" s="1" t="s">
        <v>32</v>
      </c>
      <c r="AF5075" s="1" t="s">
        <v>33</v>
      </c>
      <c r="AG5075" s="1" t="s">
        <v>270</v>
      </c>
    </row>
    <row r="5076" spans="1:33">
      <c r="A5076" t="s">
        <v>17255</v>
      </c>
      <c r="B5076" t="s">
        <v>2899</v>
      </c>
      <c r="C5076" t="s">
        <v>314</v>
      </c>
      <c r="E5076" t="s">
        <v>16369</v>
      </c>
      <c r="F5076" t="s">
        <v>16370</v>
      </c>
      <c r="G5076">
        <v>179.02</v>
      </c>
      <c r="H5076">
        <v>179.02</v>
      </c>
      <c r="I5076" t="s">
        <v>179</v>
      </c>
      <c r="J5076" t="s">
        <v>180</v>
      </c>
      <c r="K5076" t="s">
        <v>31</v>
      </c>
      <c r="L5076" t="s">
        <v>32</v>
      </c>
      <c r="M5076" t="s">
        <v>33</v>
      </c>
      <c r="P5076" s="1" t="s">
        <v>17256</v>
      </c>
      <c r="Q5076" s="1" t="s">
        <v>16369</v>
      </c>
      <c r="R5076" s="1" t="s">
        <v>16369</v>
      </c>
      <c r="S5076" s="1"/>
      <c r="T5076" s="1" t="s">
        <v>314</v>
      </c>
      <c r="U5076" s="1"/>
      <c r="V5076" s="1">
        <v>179.02</v>
      </c>
      <c r="W5076" s="1">
        <v>179.02</v>
      </c>
      <c r="X5076" s="1" t="s">
        <v>35</v>
      </c>
      <c r="Y5076" s="1">
        <v>179020</v>
      </c>
      <c r="Z5076" s="1"/>
      <c r="AA5076" s="1">
        <v>179020</v>
      </c>
      <c r="AB5076" s="1"/>
      <c r="AC5076" s="1" t="s">
        <v>36</v>
      </c>
      <c r="AD5076" s="1" t="s">
        <v>17257</v>
      </c>
      <c r="AE5076" s="1" t="s">
        <v>32</v>
      </c>
      <c r="AF5076" s="1" t="s">
        <v>33</v>
      </c>
      <c r="AG5076" s="1" t="s">
        <v>180</v>
      </c>
    </row>
    <row r="5077" spans="1:33">
      <c r="A5077" t="s">
        <v>17258</v>
      </c>
      <c r="C5077" t="s">
        <v>11687</v>
      </c>
      <c r="E5077" t="s">
        <v>16369</v>
      </c>
      <c r="F5077" t="s">
        <v>16370</v>
      </c>
      <c r="G5077">
        <v>886.5</v>
      </c>
      <c r="H5077">
        <v>886.5</v>
      </c>
      <c r="I5077" t="s">
        <v>2206</v>
      </c>
      <c r="J5077" t="s">
        <v>49</v>
      </c>
      <c r="K5077" t="s">
        <v>31</v>
      </c>
      <c r="L5077" t="s">
        <v>32</v>
      </c>
      <c r="M5077" t="s">
        <v>33</v>
      </c>
      <c r="P5077" s="1" t="s">
        <v>17259</v>
      </c>
      <c r="Q5077" s="1" t="s">
        <v>16369</v>
      </c>
      <c r="R5077" s="1" t="s">
        <v>16369</v>
      </c>
      <c r="S5077" s="1"/>
      <c r="T5077" s="1" t="s">
        <v>11687</v>
      </c>
      <c r="U5077" s="1"/>
      <c r="V5077" s="1">
        <v>886.5</v>
      </c>
      <c r="W5077" s="1">
        <v>886.5</v>
      </c>
      <c r="X5077" s="1" t="s">
        <v>35</v>
      </c>
      <c r="Y5077" s="1">
        <v>886500</v>
      </c>
      <c r="Z5077" s="1"/>
      <c r="AA5077" s="1">
        <v>886500</v>
      </c>
      <c r="AB5077" s="1"/>
      <c r="AC5077" s="1" t="s">
        <v>36</v>
      </c>
      <c r="AD5077" s="1" t="s">
        <v>17260</v>
      </c>
      <c r="AE5077" s="1" t="s">
        <v>32</v>
      </c>
      <c r="AF5077" s="1" t="s">
        <v>33</v>
      </c>
      <c r="AG5077" s="1" t="s">
        <v>49</v>
      </c>
    </row>
    <row r="5078" spans="1:33">
      <c r="A5078" t="s">
        <v>17261</v>
      </c>
      <c r="C5078" t="s">
        <v>2101</v>
      </c>
      <c r="E5078" t="s">
        <v>16369</v>
      </c>
      <c r="F5078" t="s">
        <v>16370</v>
      </c>
      <c r="G5078">
        <v>738.0</v>
      </c>
      <c r="H5078">
        <v>738.0</v>
      </c>
      <c r="I5078" t="s">
        <v>269</v>
      </c>
      <c r="J5078" t="s">
        <v>270</v>
      </c>
      <c r="K5078" t="s">
        <v>31</v>
      </c>
      <c r="L5078" t="s">
        <v>32</v>
      </c>
      <c r="M5078" t="s">
        <v>33</v>
      </c>
      <c r="P5078" s="1" t="s">
        <v>17262</v>
      </c>
      <c r="Q5078" s="1" t="s">
        <v>16369</v>
      </c>
      <c r="R5078" s="1" t="s">
        <v>16369</v>
      </c>
      <c r="S5078" s="1"/>
      <c r="T5078" s="1" t="s">
        <v>2103</v>
      </c>
      <c r="U5078" s="1" t="s">
        <v>2104</v>
      </c>
      <c r="V5078" s="1">
        <v>738.0</v>
      </c>
      <c r="W5078" s="1">
        <v>738.0</v>
      </c>
      <c r="X5078" s="1" t="s">
        <v>35</v>
      </c>
      <c r="Y5078" s="1">
        <v>738000</v>
      </c>
      <c r="Z5078" s="1"/>
      <c r="AA5078" s="1">
        <v>738000</v>
      </c>
      <c r="AB5078" s="1"/>
      <c r="AC5078" s="1" t="s">
        <v>36</v>
      </c>
      <c r="AD5078" s="1" t="s">
        <v>17263</v>
      </c>
      <c r="AE5078" s="1" t="s">
        <v>32</v>
      </c>
      <c r="AF5078" s="1" t="s">
        <v>33</v>
      </c>
      <c r="AG5078" s="1" t="s">
        <v>270</v>
      </c>
    </row>
    <row r="5079" spans="1:33">
      <c r="A5079" t="s">
        <v>17264</v>
      </c>
      <c r="B5079" t="s">
        <v>17265</v>
      </c>
      <c r="C5079" t="s">
        <v>68</v>
      </c>
      <c r="E5079" t="s">
        <v>16369</v>
      </c>
      <c r="F5079" t="s">
        <v>16370</v>
      </c>
      <c r="G5079">
        <v>25.0</v>
      </c>
      <c r="H5079">
        <v>25.0</v>
      </c>
      <c r="I5079" t="s">
        <v>59</v>
      </c>
      <c r="J5079" t="s">
        <v>60</v>
      </c>
      <c r="K5079" t="s">
        <v>31</v>
      </c>
      <c r="L5079" t="s">
        <v>32</v>
      </c>
      <c r="M5079" t="s">
        <v>33</v>
      </c>
      <c r="P5079" s="1" t="s">
        <v>17266</v>
      </c>
      <c r="Q5079" s="1" t="s">
        <v>16369</v>
      </c>
      <c r="R5079" s="1" t="s">
        <v>16369</v>
      </c>
      <c r="S5079" s="1"/>
      <c r="T5079" s="1" t="s">
        <v>68</v>
      </c>
      <c r="U5079" s="1"/>
      <c r="V5079" s="1">
        <v>25.0</v>
      </c>
      <c r="W5079" s="1">
        <v>25.0</v>
      </c>
      <c r="X5079" s="1" t="s">
        <v>35</v>
      </c>
      <c r="Y5079" s="1">
        <v>25000</v>
      </c>
      <c r="Z5079" s="1"/>
      <c r="AA5079" s="1">
        <v>25000</v>
      </c>
      <c r="AB5079" s="1"/>
      <c r="AC5079" s="1" t="s">
        <v>36</v>
      </c>
      <c r="AD5079" s="1" t="s">
        <v>17257</v>
      </c>
      <c r="AE5079" s="1" t="s">
        <v>32</v>
      </c>
      <c r="AF5079" s="1" t="s">
        <v>33</v>
      </c>
      <c r="AG5079" s="1" t="s">
        <v>60</v>
      </c>
    </row>
    <row r="5080" spans="1:33">
      <c r="A5080" t="s">
        <v>17267</v>
      </c>
      <c r="C5080" t="s">
        <v>644</v>
      </c>
      <c r="E5080" t="s">
        <v>16369</v>
      </c>
      <c r="F5080" t="s">
        <v>16370</v>
      </c>
      <c r="G5080">
        <v>1.652</v>
      </c>
      <c r="H5080">
        <v>1.652</v>
      </c>
      <c r="I5080" t="s">
        <v>227</v>
      </c>
      <c r="J5080" t="s">
        <v>228</v>
      </c>
      <c r="K5080" t="s">
        <v>31</v>
      </c>
      <c r="L5080" t="s">
        <v>32</v>
      </c>
      <c r="M5080" t="s">
        <v>33</v>
      </c>
      <c r="P5080" s="1" t="s">
        <v>17268</v>
      </c>
      <c r="Q5080" s="1" t="s">
        <v>16369</v>
      </c>
      <c r="R5080" s="1" t="s">
        <v>16369</v>
      </c>
      <c r="S5080" s="1"/>
      <c r="T5080" s="1" t="s">
        <v>644</v>
      </c>
      <c r="U5080" s="1"/>
      <c r="V5080" s="1">
        <v>1.652</v>
      </c>
      <c r="W5080" s="1">
        <v>1.652</v>
      </c>
      <c r="X5080" s="1" t="s">
        <v>35</v>
      </c>
      <c r="Y5080" s="1">
        <v>1652450</v>
      </c>
      <c r="Z5080" s="1"/>
      <c r="AA5080" s="1">
        <v>1652450</v>
      </c>
      <c r="AB5080" s="1"/>
      <c r="AC5080" s="1" t="s">
        <v>36</v>
      </c>
      <c r="AD5080" s="1" t="s">
        <v>17269</v>
      </c>
      <c r="AE5080" s="1" t="s">
        <v>32</v>
      </c>
      <c r="AF5080" s="1" t="s">
        <v>33</v>
      </c>
      <c r="AG5080" s="1" t="s">
        <v>228</v>
      </c>
    </row>
    <row r="5081" spans="1:33">
      <c r="A5081" t="s">
        <v>17270</v>
      </c>
      <c r="B5081" t="s">
        <v>17271</v>
      </c>
      <c r="C5081" t="s">
        <v>268</v>
      </c>
      <c r="E5081" t="s">
        <v>16369</v>
      </c>
      <c r="F5081" t="s">
        <v>16370</v>
      </c>
      <c r="G5081">
        <v>33.8</v>
      </c>
      <c r="H5081">
        <v>33.8</v>
      </c>
      <c r="I5081" t="s">
        <v>269</v>
      </c>
      <c r="J5081" t="s">
        <v>270</v>
      </c>
      <c r="K5081" t="s">
        <v>31</v>
      </c>
      <c r="L5081" t="s">
        <v>32</v>
      </c>
      <c r="M5081" t="s">
        <v>33</v>
      </c>
      <c r="P5081" s="1" t="s">
        <v>17272</v>
      </c>
      <c r="Q5081" s="1" t="s">
        <v>16369</v>
      </c>
      <c r="R5081" s="1" t="s">
        <v>16369</v>
      </c>
      <c r="S5081" s="1"/>
      <c r="T5081" s="1" t="s">
        <v>268</v>
      </c>
      <c r="U5081" s="1"/>
      <c r="V5081" s="1">
        <v>33.8</v>
      </c>
      <c r="W5081" s="1">
        <v>33.8</v>
      </c>
      <c r="X5081" s="1" t="s">
        <v>35</v>
      </c>
      <c r="Y5081" s="1">
        <v>33800</v>
      </c>
      <c r="Z5081" s="1"/>
      <c r="AA5081" s="1">
        <v>33800</v>
      </c>
      <c r="AB5081" s="1"/>
      <c r="AC5081" s="1" t="s">
        <v>36</v>
      </c>
      <c r="AD5081" s="1" t="s">
        <v>17240</v>
      </c>
      <c r="AE5081" s="1" t="s">
        <v>32</v>
      </c>
      <c r="AF5081" s="1" t="s">
        <v>33</v>
      </c>
      <c r="AG5081" s="1" t="s">
        <v>270</v>
      </c>
    </row>
    <row r="5082" spans="1:33">
      <c r="A5082" t="s">
        <v>17273</v>
      </c>
      <c r="C5082" t="s">
        <v>5557</v>
      </c>
      <c r="E5082" t="s">
        <v>16369</v>
      </c>
      <c r="F5082" t="s">
        <v>16370</v>
      </c>
      <c r="G5082">
        <v>320.0</v>
      </c>
      <c r="H5082">
        <v>320.0</v>
      </c>
      <c r="I5082" t="s">
        <v>126</v>
      </c>
      <c r="J5082" t="s">
        <v>127</v>
      </c>
      <c r="K5082" t="s">
        <v>31</v>
      </c>
      <c r="L5082" t="s">
        <v>32</v>
      </c>
      <c r="M5082" t="s">
        <v>33</v>
      </c>
      <c r="P5082" s="1" t="s">
        <v>17274</v>
      </c>
      <c r="Q5082" s="1" t="s">
        <v>16369</v>
      </c>
      <c r="R5082" s="1" t="s">
        <v>16369</v>
      </c>
      <c r="S5082" s="1"/>
      <c r="T5082" s="1" t="s">
        <v>5557</v>
      </c>
      <c r="U5082" s="1"/>
      <c r="V5082" s="1">
        <v>320.0</v>
      </c>
      <c r="W5082" s="1">
        <v>320.0</v>
      </c>
      <c r="X5082" s="1" t="s">
        <v>35</v>
      </c>
      <c r="Y5082" s="1">
        <v>320000</v>
      </c>
      <c r="Z5082" s="1"/>
      <c r="AA5082" s="1">
        <v>320000</v>
      </c>
      <c r="AB5082" s="1"/>
      <c r="AC5082" s="1" t="s">
        <v>36</v>
      </c>
      <c r="AD5082" s="1" t="s">
        <v>17275</v>
      </c>
      <c r="AE5082" s="1" t="s">
        <v>32</v>
      </c>
      <c r="AF5082" s="1" t="s">
        <v>33</v>
      </c>
      <c r="AG5082" s="1" t="s">
        <v>127</v>
      </c>
    </row>
    <row r="5083" spans="1:33">
      <c r="A5083" t="s">
        <v>17276</v>
      </c>
      <c r="C5083" t="s">
        <v>4726</v>
      </c>
      <c r="E5083" t="s">
        <v>16369</v>
      </c>
      <c r="F5083" t="s">
        <v>16370</v>
      </c>
      <c r="G5083">
        <v>493.0</v>
      </c>
      <c r="H5083">
        <v>493.0</v>
      </c>
      <c r="I5083" t="s">
        <v>269</v>
      </c>
      <c r="J5083" t="s">
        <v>270</v>
      </c>
      <c r="K5083" t="s">
        <v>31</v>
      </c>
      <c r="L5083" t="s">
        <v>32</v>
      </c>
      <c r="M5083" t="s">
        <v>33</v>
      </c>
      <c r="P5083" s="1" t="s">
        <v>17277</v>
      </c>
      <c r="Q5083" s="1" t="s">
        <v>16369</v>
      </c>
      <c r="R5083" s="1" t="s">
        <v>16369</v>
      </c>
      <c r="S5083" s="1"/>
      <c r="T5083" s="1" t="s">
        <v>4726</v>
      </c>
      <c r="U5083" s="1"/>
      <c r="V5083" s="1">
        <v>493.0</v>
      </c>
      <c r="W5083" s="1">
        <v>493.0</v>
      </c>
      <c r="X5083" s="1" t="s">
        <v>35</v>
      </c>
      <c r="Y5083" s="1">
        <v>493000</v>
      </c>
      <c r="Z5083" s="1"/>
      <c r="AA5083" s="1">
        <v>493000</v>
      </c>
      <c r="AB5083" s="1"/>
      <c r="AC5083" s="1" t="s">
        <v>36</v>
      </c>
      <c r="AD5083" s="1" t="s">
        <v>17278</v>
      </c>
      <c r="AE5083" s="1" t="s">
        <v>32</v>
      </c>
      <c r="AF5083" s="1" t="s">
        <v>33</v>
      </c>
      <c r="AG5083" s="1" t="s">
        <v>270</v>
      </c>
    </row>
    <row r="5084" spans="1:33">
      <c r="A5084" t="s">
        <v>17279</v>
      </c>
      <c r="C5084" t="s">
        <v>6581</v>
      </c>
      <c r="E5084" t="s">
        <v>16369</v>
      </c>
      <c r="F5084" t="s">
        <v>16370</v>
      </c>
      <c r="G5084">
        <v>2.352</v>
      </c>
      <c r="H5084">
        <v>2.352</v>
      </c>
      <c r="I5084" t="s">
        <v>2206</v>
      </c>
      <c r="J5084" t="s">
        <v>49</v>
      </c>
      <c r="K5084" t="s">
        <v>31</v>
      </c>
      <c r="L5084" t="s">
        <v>32</v>
      </c>
      <c r="M5084" t="s">
        <v>33</v>
      </c>
      <c r="P5084" s="1" t="s">
        <v>17280</v>
      </c>
      <c r="Q5084" s="1" t="s">
        <v>16369</v>
      </c>
      <c r="R5084" s="1" t="s">
        <v>16369</v>
      </c>
      <c r="S5084" s="1"/>
      <c r="T5084" s="1" t="s">
        <v>6581</v>
      </c>
      <c r="U5084" s="1"/>
      <c r="V5084" s="1">
        <v>2.352</v>
      </c>
      <c r="W5084" s="1">
        <v>2.352</v>
      </c>
      <c r="X5084" s="1" t="s">
        <v>35</v>
      </c>
      <c r="Y5084" s="1">
        <v>2352000</v>
      </c>
      <c r="Z5084" s="1"/>
      <c r="AA5084" s="1">
        <v>2352000</v>
      </c>
      <c r="AB5084" s="1"/>
      <c r="AC5084" s="1" t="s">
        <v>36</v>
      </c>
      <c r="AD5084" s="1" t="s">
        <v>17281</v>
      </c>
      <c r="AE5084" s="1" t="s">
        <v>32</v>
      </c>
      <c r="AF5084" s="1" t="s">
        <v>33</v>
      </c>
      <c r="AG5084" s="1" t="s">
        <v>49</v>
      </c>
    </row>
    <row r="5085" spans="1:33">
      <c r="A5085" t="s">
        <v>17282</v>
      </c>
      <c r="C5085" t="s">
        <v>5616</v>
      </c>
      <c r="E5085" t="s">
        <v>16369</v>
      </c>
      <c r="F5085" t="s">
        <v>16370</v>
      </c>
      <c r="G5085">
        <v>492.0</v>
      </c>
      <c r="H5085">
        <v>492.0</v>
      </c>
      <c r="I5085" t="s">
        <v>269</v>
      </c>
      <c r="J5085" t="s">
        <v>270</v>
      </c>
      <c r="K5085" t="s">
        <v>31</v>
      </c>
      <c r="L5085" t="s">
        <v>32</v>
      </c>
      <c r="M5085" t="s">
        <v>33</v>
      </c>
      <c r="P5085" s="1" t="s">
        <v>17283</v>
      </c>
      <c r="Q5085" s="1" t="s">
        <v>16369</v>
      </c>
      <c r="R5085" s="1" t="s">
        <v>16369</v>
      </c>
      <c r="S5085" s="1"/>
      <c r="T5085" s="1" t="s">
        <v>5616</v>
      </c>
      <c r="U5085" s="1"/>
      <c r="V5085" s="1">
        <v>492.0</v>
      </c>
      <c r="W5085" s="1">
        <v>492.0</v>
      </c>
      <c r="X5085" s="1" t="s">
        <v>35</v>
      </c>
      <c r="Y5085" s="1">
        <v>492000</v>
      </c>
      <c r="Z5085" s="1"/>
      <c r="AA5085" s="1">
        <v>492000</v>
      </c>
      <c r="AB5085" s="1"/>
      <c r="AC5085" s="1" t="s">
        <v>36</v>
      </c>
      <c r="AD5085" s="1" t="s">
        <v>17284</v>
      </c>
      <c r="AE5085" s="1" t="s">
        <v>32</v>
      </c>
      <c r="AF5085" s="1" t="s">
        <v>33</v>
      </c>
      <c r="AG5085" s="1" t="s">
        <v>270</v>
      </c>
    </row>
    <row r="5086" spans="1:33">
      <c r="A5086" t="s">
        <v>17285</v>
      </c>
      <c r="C5086" t="s">
        <v>17286</v>
      </c>
      <c r="E5086" t="s">
        <v>16369</v>
      </c>
      <c r="F5086" t="s">
        <v>16370</v>
      </c>
      <c r="G5086">
        <v>574.0</v>
      </c>
      <c r="H5086">
        <v>574.0</v>
      </c>
      <c r="I5086" t="s">
        <v>269</v>
      </c>
      <c r="J5086" t="s">
        <v>270</v>
      </c>
      <c r="K5086" t="s">
        <v>31</v>
      </c>
      <c r="L5086" t="s">
        <v>32</v>
      </c>
      <c r="M5086" t="s">
        <v>33</v>
      </c>
      <c r="P5086" s="1" t="s">
        <v>17287</v>
      </c>
      <c r="Q5086" s="1" t="s">
        <v>16369</v>
      </c>
      <c r="R5086" s="1" t="s">
        <v>16369</v>
      </c>
      <c r="S5086" s="1"/>
      <c r="T5086" s="1" t="s">
        <v>17286</v>
      </c>
      <c r="U5086" s="1"/>
      <c r="V5086" s="1">
        <v>574.0</v>
      </c>
      <c r="W5086" s="1">
        <v>574.0</v>
      </c>
      <c r="X5086" s="1" t="s">
        <v>35</v>
      </c>
      <c r="Y5086" s="1">
        <v>574000</v>
      </c>
      <c r="Z5086" s="1"/>
      <c r="AA5086" s="1">
        <v>574000</v>
      </c>
      <c r="AB5086" s="1"/>
      <c r="AC5086" s="1" t="s">
        <v>36</v>
      </c>
      <c r="AD5086" s="1" t="s">
        <v>17260</v>
      </c>
      <c r="AE5086" s="1" t="s">
        <v>32</v>
      </c>
      <c r="AF5086" s="1" t="s">
        <v>33</v>
      </c>
      <c r="AG5086" s="1" t="s">
        <v>270</v>
      </c>
    </row>
    <row r="5087" spans="1:33">
      <c r="A5087" t="s">
        <v>17288</v>
      </c>
      <c r="C5087" t="s">
        <v>810</v>
      </c>
      <c r="D5087" t="s">
        <v>154</v>
      </c>
      <c r="E5087" t="s">
        <v>16369</v>
      </c>
      <c r="F5087" t="s">
        <v>16370</v>
      </c>
      <c r="G5087">
        <v>1.881</v>
      </c>
      <c r="H5087">
        <v>1.881</v>
      </c>
      <c r="I5087" t="s">
        <v>269</v>
      </c>
      <c r="J5087" t="s">
        <v>270</v>
      </c>
      <c r="K5087" t="s">
        <v>31</v>
      </c>
      <c r="L5087" t="s">
        <v>32</v>
      </c>
      <c r="M5087" t="s">
        <v>33</v>
      </c>
      <c r="P5087" s="1" t="s">
        <v>17289</v>
      </c>
      <c r="Q5087" s="1" t="s">
        <v>16369</v>
      </c>
      <c r="R5087" s="1" t="s">
        <v>16369</v>
      </c>
      <c r="S5087" s="1"/>
      <c r="T5087" s="1" t="s">
        <v>810</v>
      </c>
      <c r="U5087" s="1"/>
      <c r="V5087" s="1">
        <v>1.881</v>
      </c>
      <c r="W5087" s="1">
        <v>1.881</v>
      </c>
      <c r="X5087" s="1" t="s">
        <v>35</v>
      </c>
      <c r="Y5087" s="1">
        <v>1881500</v>
      </c>
      <c r="Z5087" s="1"/>
      <c r="AA5087" s="1">
        <v>1881500</v>
      </c>
      <c r="AB5087" s="1"/>
      <c r="AC5087" s="1" t="s">
        <v>36</v>
      </c>
      <c r="AD5087" s="1" t="s">
        <v>17290</v>
      </c>
      <c r="AE5087" s="1" t="s">
        <v>32</v>
      </c>
      <c r="AF5087" s="1" t="s">
        <v>33</v>
      </c>
      <c r="AG5087" s="1" t="s">
        <v>270</v>
      </c>
    </row>
    <row r="5088" spans="1:33">
      <c r="A5088" t="s">
        <v>17291</v>
      </c>
      <c r="C5088" t="s">
        <v>2525</v>
      </c>
      <c r="E5088" t="s">
        <v>16369</v>
      </c>
      <c r="F5088" t="s">
        <v>16370</v>
      </c>
      <c r="G5088">
        <v>29.25</v>
      </c>
      <c r="H5088">
        <v>29.25</v>
      </c>
      <c r="I5088" t="s">
        <v>269</v>
      </c>
      <c r="J5088" t="s">
        <v>270</v>
      </c>
      <c r="K5088" t="s">
        <v>31</v>
      </c>
      <c r="L5088" t="s">
        <v>32</v>
      </c>
      <c r="M5088" t="s">
        <v>33</v>
      </c>
      <c r="P5088" s="1" t="s">
        <v>17292</v>
      </c>
      <c r="Q5088" s="1" t="s">
        <v>16369</v>
      </c>
      <c r="R5088" s="1" t="s">
        <v>16369</v>
      </c>
      <c r="S5088" s="1"/>
      <c r="T5088" s="1" t="s">
        <v>2525</v>
      </c>
      <c r="U5088" s="1"/>
      <c r="V5088" s="1">
        <v>29.25</v>
      </c>
      <c r="W5088" s="1">
        <v>29.25</v>
      </c>
      <c r="X5088" s="1" t="s">
        <v>35</v>
      </c>
      <c r="Y5088" s="1">
        <v>29250</v>
      </c>
      <c r="Z5088" s="1"/>
      <c r="AA5088" s="1">
        <v>29250</v>
      </c>
      <c r="AB5088" s="1"/>
      <c r="AC5088" s="1" t="s">
        <v>36</v>
      </c>
      <c r="AD5088" s="1" t="s">
        <v>17293</v>
      </c>
      <c r="AE5088" s="1" t="s">
        <v>32</v>
      </c>
      <c r="AF5088" s="1" t="s">
        <v>33</v>
      </c>
      <c r="AG5088" s="1" t="s">
        <v>270</v>
      </c>
    </row>
    <row r="5089" spans="1:33">
      <c r="A5089" t="s">
        <v>17294</v>
      </c>
      <c r="C5089" t="s">
        <v>1739</v>
      </c>
      <c r="E5089" t="s">
        <v>16369</v>
      </c>
      <c r="F5089" t="s">
        <v>16370</v>
      </c>
      <c r="G5089">
        <v>992.0</v>
      </c>
      <c r="H5089">
        <v>992.0</v>
      </c>
      <c r="I5089" t="s">
        <v>2206</v>
      </c>
      <c r="J5089" t="s">
        <v>49</v>
      </c>
      <c r="K5089" t="s">
        <v>31</v>
      </c>
      <c r="L5089" t="s">
        <v>32</v>
      </c>
      <c r="M5089" t="s">
        <v>33</v>
      </c>
      <c r="P5089" s="1" t="s">
        <v>17295</v>
      </c>
      <c r="Q5089" s="1" t="s">
        <v>16369</v>
      </c>
      <c r="R5089" s="1" t="s">
        <v>16369</v>
      </c>
      <c r="S5089" s="1"/>
      <c r="T5089" s="1" t="s">
        <v>1739</v>
      </c>
      <c r="U5089" s="1"/>
      <c r="V5089" s="1">
        <v>992.0</v>
      </c>
      <c r="W5089" s="1">
        <v>992.0</v>
      </c>
      <c r="X5089" s="1" t="s">
        <v>35</v>
      </c>
      <c r="Y5089" s="1">
        <v>992000</v>
      </c>
      <c r="Z5089" s="1"/>
      <c r="AA5089" s="1">
        <v>992000</v>
      </c>
      <c r="AB5089" s="1"/>
      <c r="AC5089" s="1" t="s">
        <v>36</v>
      </c>
      <c r="AD5089" s="1" t="s">
        <v>17296</v>
      </c>
      <c r="AE5089" s="1" t="s">
        <v>32</v>
      </c>
      <c r="AF5089" s="1" t="s">
        <v>33</v>
      </c>
      <c r="AG5089" s="1" t="s">
        <v>49</v>
      </c>
    </row>
    <row r="5090" spans="1:33">
      <c r="A5090" t="s">
        <v>17297</v>
      </c>
      <c r="B5090" t="s">
        <v>17298</v>
      </c>
      <c r="C5090" t="s">
        <v>314</v>
      </c>
      <c r="E5090" t="s">
        <v>16369</v>
      </c>
      <c r="F5090" t="s">
        <v>16370</v>
      </c>
      <c r="G5090">
        <v>28.99</v>
      </c>
      <c r="H5090">
        <v>28.99</v>
      </c>
      <c r="I5090" t="s">
        <v>179</v>
      </c>
      <c r="J5090" t="s">
        <v>180</v>
      </c>
      <c r="K5090" t="s">
        <v>31</v>
      </c>
      <c r="L5090" t="s">
        <v>32</v>
      </c>
      <c r="M5090" t="s">
        <v>33</v>
      </c>
      <c r="P5090" s="1" t="s">
        <v>17299</v>
      </c>
      <c r="Q5090" s="1" t="s">
        <v>16369</v>
      </c>
      <c r="R5090" s="1" t="s">
        <v>16369</v>
      </c>
      <c r="S5090" s="1"/>
      <c r="T5090" s="1" t="s">
        <v>314</v>
      </c>
      <c r="U5090" s="1"/>
      <c r="V5090" s="1">
        <v>28.99</v>
      </c>
      <c r="W5090" s="1">
        <v>28.99</v>
      </c>
      <c r="X5090" s="1" t="s">
        <v>35</v>
      </c>
      <c r="Y5090" s="1">
        <v>28990</v>
      </c>
      <c r="Z5090" s="1"/>
      <c r="AA5090" s="1">
        <v>28990</v>
      </c>
      <c r="AB5090" s="1"/>
      <c r="AC5090" s="1" t="s">
        <v>36</v>
      </c>
      <c r="AD5090" s="1" t="s">
        <v>17300</v>
      </c>
      <c r="AE5090" s="1" t="s">
        <v>32</v>
      </c>
      <c r="AF5090" s="1" t="s">
        <v>33</v>
      </c>
      <c r="AG5090" s="1" t="s">
        <v>180</v>
      </c>
    </row>
    <row r="5091" spans="1:33">
      <c r="A5091" t="s">
        <v>17301</v>
      </c>
      <c r="C5091" t="s">
        <v>1514</v>
      </c>
      <c r="E5091" t="s">
        <v>16369</v>
      </c>
      <c r="F5091" t="s">
        <v>16370</v>
      </c>
      <c r="G5091">
        <v>336.0</v>
      </c>
      <c r="H5091">
        <v>336.0</v>
      </c>
      <c r="I5091" t="s">
        <v>2206</v>
      </c>
      <c r="J5091" t="s">
        <v>49</v>
      </c>
      <c r="K5091" t="s">
        <v>31</v>
      </c>
      <c r="L5091" t="s">
        <v>32</v>
      </c>
      <c r="M5091" t="s">
        <v>33</v>
      </c>
      <c r="P5091" s="1" t="s">
        <v>17302</v>
      </c>
      <c r="Q5091" s="1" t="s">
        <v>16369</v>
      </c>
      <c r="R5091" s="1" t="s">
        <v>16369</v>
      </c>
      <c r="S5091" s="1"/>
      <c r="T5091" s="1" t="s">
        <v>1514</v>
      </c>
      <c r="U5091" s="1"/>
      <c r="V5091" s="1">
        <v>336.0</v>
      </c>
      <c r="W5091" s="1">
        <v>336.0</v>
      </c>
      <c r="X5091" s="1" t="s">
        <v>35</v>
      </c>
      <c r="Y5091" s="1">
        <v>336000</v>
      </c>
      <c r="Z5091" s="1"/>
      <c r="AA5091" s="1">
        <v>336000</v>
      </c>
      <c r="AB5091" s="1"/>
      <c r="AC5091" s="1" t="s">
        <v>36</v>
      </c>
      <c r="AD5091" s="1" t="s">
        <v>17303</v>
      </c>
      <c r="AE5091" s="1" t="s">
        <v>32</v>
      </c>
      <c r="AF5091" s="1" t="s">
        <v>33</v>
      </c>
      <c r="AG5091" s="1" t="s">
        <v>49</v>
      </c>
    </row>
    <row r="5092" spans="1:33">
      <c r="A5092" t="s">
        <v>17304</v>
      </c>
      <c r="C5092" t="s">
        <v>1087</v>
      </c>
      <c r="E5092" t="s">
        <v>16369</v>
      </c>
      <c r="F5092" t="s">
        <v>16370</v>
      </c>
      <c r="G5092">
        <v>695.5</v>
      </c>
      <c r="H5092">
        <v>695.5</v>
      </c>
      <c r="I5092" t="s">
        <v>269</v>
      </c>
      <c r="J5092" t="s">
        <v>270</v>
      </c>
      <c r="K5092" t="s">
        <v>31</v>
      </c>
      <c r="L5092" t="s">
        <v>32</v>
      </c>
      <c r="M5092" t="s">
        <v>33</v>
      </c>
      <c r="P5092" s="1" t="s">
        <v>17305</v>
      </c>
      <c r="Q5092" s="1" t="s">
        <v>16369</v>
      </c>
      <c r="R5092" s="1" t="s">
        <v>16369</v>
      </c>
      <c r="S5092" s="1"/>
      <c r="T5092" s="1" t="s">
        <v>1087</v>
      </c>
      <c r="U5092" s="1"/>
      <c r="V5092" s="1">
        <v>695.5</v>
      </c>
      <c r="W5092" s="1">
        <v>695.5</v>
      </c>
      <c r="X5092" s="1" t="s">
        <v>35</v>
      </c>
      <c r="Y5092" s="1">
        <v>695500</v>
      </c>
      <c r="Z5092" s="1"/>
      <c r="AA5092" s="1">
        <v>695500</v>
      </c>
      <c r="AB5092" s="1"/>
      <c r="AC5092" s="1" t="s">
        <v>36</v>
      </c>
      <c r="AD5092" s="1" t="s">
        <v>17306</v>
      </c>
      <c r="AE5092" s="1" t="s">
        <v>32</v>
      </c>
      <c r="AF5092" s="1" t="s">
        <v>33</v>
      </c>
      <c r="AG5092" s="1" t="s">
        <v>270</v>
      </c>
    </row>
    <row r="5093" spans="1:33">
      <c r="A5093" t="s">
        <v>17307</v>
      </c>
      <c r="C5093" t="s">
        <v>613</v>
      </c>
      <c r="E5093" t="s">
        <v>16369</v>
      </c>
      <c r="F5093" t="s">
        <v>16370</v>
      </c>
      <c r="G5093">
        <v>717.0</v>
      </c>
      <c r="H5093">
        <v>717.0</v>
      </c>
      <c r="I5093" t="s">
        <v>269</v>
      </c>
      <c r="J5093" t="s">
        <v>270</v>
      </c>
      <c r="K5093" t="s">
        <v>31</v>
      </c>
      <c r="L5093" t="s">
        <v>32</v>
      </c>
      <c r="M5093" t="s">
        <v>33</v>
      </c>
      <c r="P5093" s="1" t="s">
        <v>17308</v>
      </c>
      <c r="Q5093" s="1" t="s">
        <v>16369</v>
      </c>
      <c r="R5093" s="1" t="s">
        <v>16369</v>
      </c>
      <c r="S5093" s="1"/>
      <c r="T5093" s="1" t="s">
        <v>613</v>
      </c>
      <c r="U5093" s="1"/>
      <c r="V5093" s="1">
        <v>717.0</v>
      </c>
      <c r="W5093" s="1">
        <v>717.0</v>
      </c>
      <c r="X5093" s="1" t="s">
        <v>35</v>
      </c>
      <c r="Y5093" s="1">
        <v>717000</v>
      </c>
      <c r="Z5093" s="1"/>
      <c r="AA5093" s="1">
        <v>717000</v>
      </c>
      <c r="AB5093" s="1"/>
      <c r="AC5093" s="1" t="s">
        <v>36</v>
      </c>
      <c r="AD5093" s="1" t="s">
        <v>17309</v>
      </c>
      <c r="AE5093" s="1" t="s">
        <v>32</v>
      </c>
      <c r="AF5093" s="1" t="s">
        <v>33</v>
      </c>
      <c r="AG5093" s="1" t="s">
        <v>270</v>
      </c>
    </row>
    <row r="5094" spans="1:33">
      <c r="A5094" t="s">
        <v>17310</v>
      </c>
      <c r="C5094" t="s">
        <v>259</v>
      </c>
      <c r="D5094" t="s">
        <v>114</v>
      </c>
      <c r="E5094" t="s">
        <v>16369</v>
      </c>
      <c r="F5094" t="s">
        <v>16370</v>
      </c>
      <c r="G5094">
        <v>210.0</v>
      </c>
      <c r="H5094">
        <v>210.0</v>
      </c>
      <c r="I5094" t="s">
        <v>173</v>
      </c>
      <c r="J5094" t="s">
        <v>174</v>
      </c>
      <c r="K5094" t="s">
        <v>31</v>
      </c>
      <c r="L5094" t="s">
        <v>32</v>
      </c>
      <c r="M5094" t="s">
        <v>33</v>
      </c>
      <c r="P5094" s="1" t="s">
        <v>17311</v>
      </c>
      <c r="Q5094" s="1" t="s">
        <v>16369</v>
      </c>
      <c r="R5094" s="1" t="s">
        <v>16369</v>
      </c>
      <c r="S5094" s="1"/>
      <c r="T5094" s="1" t="s">
        <v>259</v>
      </c>
      <c r="U5094" s="1"/>
      <c r="V5094" s="1">
        <v>210.0</v>
      </c>
      <c r="W5094" s="1">
        <v>210.0</v>
      </c>
      <c r="X5094" s="1" t="s">
        <v>35</v>
      </c>
      <c r="Y5094" s="1">
        <v>210000</v>
      </c>
      <c r="Z5094" s="1"/>
      <c r="AA5094" s="1">
        <v>210000</v>
      </c>
      <c r="AB5094" s="1"/>
      <c r="AC5094" s="1" t="s">
        <v>36</v>
      </c>
      <c r="AD5094" s="1" t="s">
        <v>17312</v>
      </c>
      <c r="AE5094" s="1" t="s">
        <v>32</v>
      </c>
      <c r="AF5094" s="1" t="s">
        <v>33</v>
      </c>
      <c r="AG5094" s="1" t="s">
        <v>174</v>
      </c>
    </row>
    <row r="5095" spans="1:33">
      <c r="A5095" t="s">
        <v>17313</v>
      </c>
      <c r="C5095" t="s">
        <v>17314</v>
      </c>
      <c r="D5095" t="s">
        <v>154</v>
      </c>
      <c r="E5095" t="s">
        <v>16369</v>
      </c>
      <c r="F5095" t="s">
        <v>16370</v>
      </c>
      <c r="G5095">
        <v>797.5</v>
      </c>
      <c r="H5095">
        <v>797.5</v>
      </c>
      <c r="I5095" t="s">
        <v>173</v>
      </c>
      <c r="J5095" t="s">
        <v>174</v>
      </c>
      <c r="K5095" t="s">
        <v>31</v>
      </c>
      <c r="L5095" t="s">
        <v>32</v>
      </c>
      <c r="M5095" t="s">
        <v>33</v>
      </c>
      <c r="P5095" s="1" t="s">
        <v>17315</v>
      </c>
      <c r="Q5095" s="1" t="s">
        <v>16369</v>
      </c>
      <c r="R5095" s="1" t="s">
        <v>16369</v>
      </c>
      <c r="S5095" s="1"/>
      <c r="T5095" s="1" t="s">
        <v>17316</v>
      </c>
      <c r="U5095" s="1" t="s">
        <v>17317</v>
      </c>
      <c r="V5095" s="1">
        <v>797.5</v>
      </c>
      <c r="W5095" s="1">
        <v>797.5</v>
      </c>
      <c r="X5095" s="1" t="s">
        <v>35</v>
      </c>
      <c r="Y5095" s="1">
        <v>797500</v>
      </c>
      <c r="Z5095" s="1"/>
      <c r="AA5095" s="1">
        <v>797500</v>
      </c>
      <c r="AB5095" s="1"/>
      <c r="AC5095" s="1" t="s">
        <v>36</v>
      </c>
      <c r="AD5095" s="1" t="s">
        <v>17318</v>
      </c>
      <c r="AE5095" s="1" t="s">
        <v>32</v>
      </c>
      <c r="AF5095" s="1" t="s">
        <v>33</v>
      </c>
      <c r="AG5095" s="1" t="s">
        <v>174</v>
      </c>
    </row>
    <row r="5096" spans="1:33">
      <c r="A5096" t="s">
        <v>17319</v>
      </c>
      <c r="C5096" t="s">
        <v>558</v>
      </c>
      <c r="D5096" t="s">
        <v>154</v>
      </c>
      <c r="E5096" t="s">
        <v>16369</v>
      </c>
      <c r="F5096" t="s">
        <v>16370</v>
      </c>
      <c r="G5096">
        <v>21.0</v>
      </c>
      <c r="H5096">
        <v>21.0</v>
      </c>
      <c r="I5096" t="s">
        <v>269</v>
      </c>
      <c r="J5096" t="s">
        <v>270</v>
      </c>
      <c r="K5096" t="s">
        <v>31</v>
      </c>
      <c r="L5096" t="s">
        <v>32</v>
      </c>
      <c r="M5096" t="s">
        <v>33</v>
      </c>
      <c r="P5096" s="1" t="s">
        <v>17320</v>
      </c>
      <c r="Q5096" s="1" t="s">
        <v>16369</v>
      </c>
      <c r="R5096" s="1" t="s">
        <v>16369</v>
      </c>
      <c r="S5096" s="1"/>
      <c r="T5096" s="1" t="s">
        <v>560</v>
      </c>
      <c r="U5096" s="1" t="s">
        <v>561</v>
      </c>
      <c r="V5096" s="1">
        <v>21.0</v>
      </c>
      <c r="W5096" s="1">
        <v>21.0</v>
      </c>
      <c r="X5096" s="1" t="s">
        <v>35</v>
      </c>
      <c r="Y5096" s="1">
        <v>21000</v>
      </c>
      <c r="Z5096" s="1"/>
      <c r="AA5096" s="1">
        <v>21000</v>
      </c>
      <c r="AB5096" s="1"/>
      <c r="AC5096" s="1" t="s">
        <v>36</v>
      </c>
      <c r="AD5096" s="1" t="s">
        <v>17321</v>
      </c>
      <c r="AE5096" s="1" t="s">
        <v>32</v>
      </c>
      <c r="AF5096" s="1" t="s">
        <v>33</v>
      </c>
      <c r="AG5096" s="1" t="s">
        <v>270</v>
      </c>
    </row>
    <row r="5097" spans="1:33">
      <c r="A5097" t="s">
        <v>17322</v>
      </c>
      <c r="B5097" t="s">
        <v>17323</v>
      </c>
      <c r="C5097" t="s">
        <v>47</v>
      </c>
      <c r="E5097" t="s">
        <v>16369</v>
      </c>
      <c r="F5097" t="s">
        <v>16370</v>
      </c>
      <c r="G5097">
        <v>8.996</v>
      </c>
      <c r="H5097">
        <v>8.996</v>
      </c>
      <c r="I5097" t="s">
        <v>2206</v>
      </c>
      <c r="J5097" t="s">
        <v>49</v>
      </c>
      <c r="K5097" t="s">
        <v>31</v>
      </c>
      <c r="L5097" t="s">
        <v>32</v>
      </c>
      <c r="M5097" t="s">
        <v>33</v>
      </c>
      <c r="P5097" s="1" t="s">
        <v>17324</v>
      </c>
      <c r="Q5097" s="1" t="s">
        <v>16369</v>
      </c>
      <c r="R5097" s="1" t="s">
        <v>16369</v>
      </c>
      <c r="S5097" s="1"/>
      <c r="T5097" s="1" t="s">
        <v>47</v>
      </c>
      <c r="U5097" s="1"/>
      <c r="V5097" s="1">
        <v>8.996</v>
      </c>
      <c r="W5097" s="1">
        <v>8.996</v>
      </c>
      <c r="X5097" s="1" t="s">
        <v>35</v>
      </c>
      <c r="Y5097" s="1">
        <v>9000</v>
      </c>
      <c r="Z5097" s="1">
        <v>-4</v>
      </c>
      <c r="AA5097" s="1">
        <v>9000</v>
      </c>
      <c r="AB5097" s="1">
        <v>-4</v>
      </c>
      <c r="AC5097" s="1" t="s">
        <v>36</v>
      </c>
      <c r="AD5097" s="1" t="s">
        <v>17325</v>
      </c>
      <c r="AE5097" s="1" t="s">
        <v>32</v>
      </c>
      <c r="AF5097" s="1" t="s">
        <v>33</v>
      </c>
      <c r="AG5097" s="1" t="s">
        <v>49</v>
      </c>
    </row>
    <row r="5098" spans="1:33">
      <c r="A5098" t="s">
        <v>17326</v>
      </c>
      <c r="B5098" t="s">
        <v>17228</v>
      </c>
      <c r="C5098" t="s">
        <v>17327</v>
      </c>
      <c r="E5098" t="s">
        <v>16369</v>
      </c>
      <c r="F5098" t="s">
        <v>16399</v>
      </c>
      <c r="G5098">
        <v>274.0</v>
      </c>
      <c r="H5098">
        <v>274.0</v>
      </c>
      <c r="I5098" t="s">
        <v>40</v>
      </c>
      <c r="J5098" t="s">
        <v>41</v>
      </c>
      <c r="K5098" t="s">
        <v>31</v>
      </c>
      <c r="L5098" t="s">
        <v>32</v>
      </c>
      <c r="M5098" t="s">
        <v>33</v>
      </c>
      <c r="P5098" s="1" t="s">
        <v>17328</v>
      </c>
      <c r="Q5098" s="1" t="s">
        <v>16369</v>
      </c>
      <c r="R5098" s="1" t="s">
        <v>15359</v>
      </c>
      <c r="S5098" s="1"/>
      <c r="T5098" s="1" t="s">
        <v>17327</v>
      </c>
      <c r="U5098" s="1"/>
      <c r="V5098" s="1">
        <v>274.0</v>
      </c>
      <c r="W5098" s="1">
        <v>274.0</v>
      </c>
      <c r="X5098" s="1" t="s">
        <v>35</v>
      </c>
      <c r="Y5098" s="1">
        <v>274000</v>
      </c>
      <c r="Z5098" s="1"/>
      <c r="AA5098" s="1">
        <v>274000</v>
      </c>
      <c r="AB5098" s="1"/>
      <c r="AC5098" s="1" t="s">
        <v>36</v>
      </c>
      <c r="AD5098" s="1" t="s">
        <v>17329</v>
      </c>
      <c r="AE5098" s="1" t="s">
        <v>32</v>
      </c>
      <c r="AF5098" s="1" t="s">
        <v>33</v>
      </c>
      <c r="AG5098" s="1" t="s">
        <v>41</v>
      </c>
    </row>
    <row r="5099" spans="1:33">
      <c r="A5099" t="s">
        <v>17330</v>
      </c>
      <c r="B5099" t="s">
        <v>17331</v>
      </c>
      <c r="C5099" t="s">
        <v>1325</v>
      </c>
      <c r="E5099" t="s">
        <v>17332</v>
      </c>
      <c r="F5099" t="s">
        <v>16399</v>
      </c>
      <c r="G5099">
        <v>840.0</v>
      </c>
      <c r="H5099">
        <v>840.0</v>
      </c>
      <c r="I5099" t="s">
        <v>29</v>
      </c>
      <c r="J5099" t="s">
        <v>30</v>
      </c>
      <c r="K5099" t="s">
        <v>31</v>
      </c>
      <c r="L5099" t="s">
        <v>32</v>
      </c>
      <c r="M5099" t="s">
        <v>33</v>
      </c>
      <c r="P5099" s="1" t="s">
        <v>17333</v>
      </c>
      <c r="Q5099" s="1" t="s">
        <v>17332</v>
      </c>
      <c r="R5099" s="1" t="s">
        <v>17332</v>
      </c>
      <c r="S5099" s="1"/>
      <c r="T5099" s="1" t="s">
        <v>1325</v>
      </c>
      <c r="U5099" s="1"/>
      <c r="V5099" s="1">
        <v>840.0</v>
      </c>
      <c r="W5099" s="1">
        <v>840.0</v>
      </c>
      <c r="X5099" s="1" t="s">
        <v>35</v>
      </c>
      <c r="Y5099" s="1">
        <v>840000</v>
      </c>
      <c r="Z5099" s="1"/>
      <c r="AA5099" s="1">
        <v>840000</v>
      </c>
      <c r="AB5099" s="1"/>
      <c r="AC5099" s="1" t="s">
        <v>36</v>
      </c>
      <c r="AD5099" s="1" t="s">
        <v>17334</v>
      </c>
      <c r="AE5099" s="1" t="s">
        <v>32</v>
      </c>
      <c r="AF5099" s="1" t="s">
        <v>33</v>
      </c>
      <c r="AG5099" s="1" t="s">
        <v>30</v>
      </c>
    </row>
    <row r="5100" spans="1:33">
      <c r="A5100" t="s">
        <v>17335</v>
      </c>
      <c r="C5100" t="s">
        <v>969</v>
      </c>
      <c r="E5100" t="s">
        <v>17332</v>
      </c>
      <c r="F5100" t="s">
        <v>16399</v>
      </c>
      <c r="G5100">
        <v>320.0</v>
      </c>
      <c r="H5100">
        <v>320.0</v>
      </c>
      <c r="I5100" t="s">
        <v>126</v>
      </c>
      <c r="J5100" t="s">
        <v>127</v>
      </c>
      <c r="K5100" t="s">
        <v>31</v>
      </c>
      <c r="L5100" t="s">
        <v>32</v>
      </c>
      <c r="M5100" t="s">
        <v>33</v>
      </c>
      <c r="P5100" s="1" t="s">
        <v>17336</v>
      </c>
      <c r="Q5100" s="1" t="s">
        <v>17332</v>
      </c>
      <c r="R5100" s="1" t="s">
        <v>17332</v>
      </c>
      <c r="S5100" s="1"/>
      <c r="T5100" s="1" t="s">
        <v>969</v>
      </c>
      <c r="U5100" s="1"/>
      <c r="V5100" s="1">
        <v>320.0</v>
      </c>
      <c r="W5100" s="1">
        <v>320.0</v>
      </c>
      <c r="X5100" s="1" t="s">
        <v>35</v>
      </c>
      <c r="Y5100" s="1">
        <v>320000</v>
      </c>
      <c r="Z5100" s="1"/>
      <c r="AA5100" s="1">
        <v>320000</v>
      </c>
      <c r="AB5100" s="1"/>
      <c r="AC5100" s="1" t="s">
        <v>36</v>
      </c>
      <c r="AD5100" s="1" t="s">
        <v>17086</v>
      </c>
      <c r="AE5100" s="1" t="s">
        <v>32</v>
      </c>
      <c r="AF5100" s="1" t="s">
        <v>33</v>
      </c>
      <c r="AG5100" s="1" t="s">
        <v>127</v>
      </c>
    </row>
    <row r="5101" spans="1:33">
      <c r="A5101" t="s">
        <v>17337</v>
      </c>
      <c r="B5101" t="s">
        <v>17338</v>
      </c>
      <c r="C5101" t="s">
        <v>26</v>
      </c>
      <c r="E5101" t="s">
        <v>17332</v>
      </c>
      <c r="F5101" t="s">
        <v>16399</v>
      </c>
      <c r="G5101">
        <v>6.0</v>
      </c>
      <c r="H5101">
        <v>6.0</v>
      </c>
      <c r="I5101" t="s">
        <v>29</v>
      </c>
      <c r="J5101" t="s">
        <v>30</v>
      </c>
      <c r="K5101" t="s">
        <v>31</v>
      </c>
      <c r="L5101" t="s">
        <v>32</v>
      </c>
      <c r="M5101" t="s">
        <v>33</v>
      </c>
      <c r="P5101" s="1" t="s">
        <v>17339</v>
      </c>
      <c r="Q5101" s="1" t="s">
        <v>17332</v>
      </c>
      <c r="R5101" s="1" t="s">
        <v>17332</v>
      </c>
      <c r="S5101" s="1"/>
      <c r="T5101" s="1" t="s">
        <v>26</v>
      </c>
      <c r="U5101" s="1"/>
      <c r="V5101" s="1">
        <v>6.0</v>
      </c>
      <c r="W5101" s="1">
        <v>6.0</v>
      </c>
      <c r="X5101" s="1" t="s">
        <v>35</v>
      </c>
      <c r="Y5101" s="1">
        <v>6000</v>
      </c>
      <c r="Z5101" s="1"/>
      <c r="AA5101" s="1">
        <v>6000</v>
      </c>
      <c r="AB5101" s="1"/>
      <c r="AC5101" s="1" t="s">
        <v>36</v>
      </c>
      <c r="AD5101" s="1" t="s">
        <v>17340</v>
      </c>
      <c r="AE5101" s="1" t="s">
        <v>32</v>
      </c>
      <c r="AF5101" s="1" t="s">
        <v>33</v>
      </c>
      <c r="AG5101" s="1" t="s">
        <v>30</v>
      </c>
    </row>
    <row r="5102" spans="1:33">
      <c r="A5102" t="s">
        <v>17341</v>
      </c>
      <c r="B5102" t="s">
        <v>4058</v>
      </c>
      <c r="C5102" t="s">
        <v>4059</v>
      </c>
      <c r="E5102" t="s">
        <v>17332</v>
      </c>
      <c r="F5102" t="s">
        <v>16399</v>
      </c>
      <c r="G5102">
        <v>640.0</v>
      </c>
      <c r="H5102">
        <v>640.0</v>
      </c>
      <c r="I5102" t="s">
        <v>29</v>
      </c>
      <c r="J5102" t="s">
        <v>30</v>
      </c>
      <c r="K5102" t="s">
        <v>31</v>
      </c>
      <c r="L5102" t="s">
        <v>32</v>
      </c>
      <c r="M5102" t="s">
        <v>33</v>
      </c>
      <c r="P5102" s="1" t="s">
        <v>17342</v>
      </c>
      <c r="Q5102" s="1" t="s">
        <v>17332</v>
      </c>
      <c r="R5102" s="1" t="s">
        <v>17332</v>
      </c>
      <c r="S5102" s="1"/>
      <c r="T5102" s="1" t="s">
        <v>4059</v>
      </c>
      <c r="U5102" s="1"/>
      <c r="V5102" s="1">
        <v>640.0</v>
      </c>
      <c r="W5102" s="1">
        <v>640.0</v>
      </c>
      <c r="X5102" s="1" t="s">
        <v>35</v>
      </c>
      <c r="Y5102" s="1">
        <v>640000</v>
      </c>
      <c r="Z5102" s="1"/>
      <c r="AA5102" s="1">
        <v>540100</v>
      </c>
      <c r="AB5102" s="1">
        <v>99900</v>
      </c>
      <c r="AC5102" s="1" t="s">
        <v>36</v>
      </c>
      <c r="AD5102" s="1" t="s">
        <v>17343</v>
      </c>
      <c r="AE5102" s="1" t="s">
        <v>32</v>
      </c>
      <c r="AF5102" s="1" t="s">
        <v>33</v>
      </c>
      <c r="AG5102" s="1" t="s">
        <v>30</v>
      </c>
    </row>
    <row r="5103" spans="1:33">
      <c r="A5103" t="s">
        <v>17344</v>
      </c>
      <c r="B5103" t="s">
        <v>17345</v>
      </c>
      <c r="C5103" t="s">
        <v>6842</v>
      </c>
      <c r="E5103" t="s">
        <v>17332</v>
      </c>
      <c r="F5103" t="s">
        <v>16399</v>
      </c>
      <c r="G5103">
        <v>3.981</v>
      </c>
      <c r="H5103">
        <v>3.981</v>
      </c>
      <c r="I5103" t="s">
        <v>29</v>
      </c>
      <c r="J5103" t="s">
        <v>30</v>
      </c>
      <c r="K5103" t="s">
        <v>31</v>
      </c>
      <c r="L5103" t="s">
        <v>32</v>
      </c>
      <c r="M5103" t="s">
        <v>33</v>
      </c>
      <c r="P5103" s="1" t="s">
        <v>17346</v>
      </c>
      <c r="Q5103" s="1" t="s">
        <v>17332</v>
      </c>
      <c r="R5103" s="1" t="s">
        <v>17332</v>
      </c>
      <c r="S5103" s="1"/>
      <c r="T5103" s="1" t="s">
        <v>6842</v>
      </c>
      <c r="U5103" s="1"/>
      <c r="V5103" s="1">
        <v>3.981</v>
      </c>
      <c r="W5103" s="1">
        <v>3.981</v>
      </c>
      <c r="X5103" s="1" t="s">
        <v>35</v>
      </c>
      <c r="Y5103" s="1">
        <v>3981250</v>
      </c>
      <c r="Z5103" s="1"/>
      <c r="AA5103" s="1">
        <v>3981250</v>
      </c>
      <c r="AB5103" s="1"/>
      <c r="AC5103" s="1" t="s">
        <v>36</v>
      </c>
      <c r="AD5103" s="1" t="s">
        <v>17347</v>
      </c>
      <c r="AE5103" s="1" t="s">
        <v>32</v>
      </c>
      <c r="AF5103" s="1" t="s">
        <v>33</v>
      </c>
      <c r="AG5103" s="1" t="s">
        <v>30</v>
      </c>
    </row>
    <row r="5104" spans="1:33">
      <c r="A5104" t="s">
        <v>17348</v>
      </c>
      <c r="B5104" t="s">
        <v>4058</v>
      </c>
      <c r="C5104" t="s">
        <v>4059</v>
      </c>
      <c r="E5104" t="s">
        <v>17332</v>
      </c>
      <c r="F5104" t="s">
        <v>16399</v>
      </c>
      <c r="G5104">
        <v>1.042</v>
      </c>
      <c r="H5104">
        <v>1.042</v>
      </c>
      <c r="I5104" t="s">
        <v>29</v>
      </c>
      <c r="J5104" t="s">
        <v>30</v>
      </c>
      <c r="K5104" t="s">
        <v>31</v>
      </c>
      <c r="L5104" t="s">
        <v>32</v>
      </c>
      <c r="M5104" t="s">
        <v>33</v>
      </c>
      <c r="P5104" s="1" t="s">
        <v>17349</v>
      </c>
      <c r="Q5104" s="1" t="s">
        <v>17332</v>
      </c>
      <c r="R5104" s="1" t="s">
        <v>17332</v>
      </c>
      <c r="S5104" s="1"/>
      <c r="T5104" s="1" t="s">
        <v>4059</v>
      </c>
      <c r="U5104" s="1"/>
      <c r="V5104" s="1">
        <v>1.042</v>
      </c>
      <c r="W5104" s="1">
        <v>1.042</v>
      </c>
      <c r="X5104" s="1" t="s">
        <v>35</v>
      </c>
      <c r="Y5104" s="1">
        <v>1144000</v>
      </c>
      <c r="Z5104" s="1">
        <v>-101950</v>
      </c>
      <c r="AA5104" s="1">
        <v>1144000</v>
      </c>
      <c r="AB5104" s="1">
        <v>-101950</v>
      </c>
      <c r="AC5104" s="1" t="s">
        <v>36</v>
      </c>
      <c r="AD5104" s="1" t="s">
        <v>17350</v>
      </c>
      <c r="AE5104" s="1" t="s">
        <v>32</v>
      </c>
      <c r="AF5104" s="1" t="s">
        <v>33</v>
      </c>
      <c r="AG5104" s="1" t="s">
        <v>30</v>
      </c>
    </row>
    <row r="5105" spans="1:33">
      <c r="A5105" t="s">
        <v>17351</v>
      </c>
      <c r="B5105" t="s">
        <v>17352</v>
      </c>
      <c r="C5105" t="s">
        <v>26</v>
      </c>
      <c r="E5105" t="s">
        <v>17332</v>
      </c>
      <c r="F5105" t="s">
        <v>16399</v>
      </c>
      <c r="G5105">
        <v>65.98</v>
      </c>
      <c r="H5105">
        <v>65.98</v>
      </c>
      <c r="I5105" t="s">
        <v>29</v>
      </c>
      <c r="J5105" t="s">
        <v>30</v>
      </c>
      <c r="K5105" t="s">
        <v>31</v>
      </c>
      <c r="L5105" t="s">
        <v>32</v>
      </c>
      <c r="M5105" t="s">
        <v>33</v>
      </c>
      <c r="P5105" s="1" t="s">
        <v>17353</v>
      </c>
      <c r="Q5105" s="1" t="s">
        <v>17332</v>
      </c>
      <c r="R5105" s="1" t="s">
        <v>17332</v>
      </c>
      <c r="S5105" s="1"/>
      <c r="T5105" s="1" t="s">
        <v>26</v>
      </c>
      <c r="U5105" s="1"/>
      <c r="V5105" s="1">
        <v>65.98</v>
      </c>
      <c r="W5105" s="1">
        <v>65.98</v>
      </c>
      <c r="X5105" s="1" t="s">
        <v>35</v>
      </c>
      <c r="Y5105" s="1">
        <v>65980</v>
      </c>
      <c r="Z5105" s="1"/>
      <c r="AA5105" s="1">
        <v>65980</v>
      </c>
      <c r="AB5105" s="1"/>
      <c r="AC5105" s="1" t="s">
        <v>36</v>
      </c>
      <c r="AD5105" s="1" t="s">
        <v>17354</v>
      </c>
      <c r="AE5105" s="1" t="s">
        <v>32</v>
      </c>
      <c r="AF5105" s="1" t="s">
        <v>33</v>
      </c>
      <c r="AG5105" s="1" t="s">
        <v>30</v>
      </c>
    </row>
    <row r="5106" spans="1:33">
      <c r="A5106" t="s">
        <v>17355</v>
      </c>
      <c r="B5106" t="s">
        <v>17356</v>
      </c>
      <c r="C5106" t="s">
        <v>26</v>
      </c>
      <c r="E5106" t="s">
        <v>17332</v>
      </c>
      <c r="F5106" t="s">
        <v>16399</v>
      </c>
      <c r="G5106">
        <v>56.708</v>
      </c>
      <c r="H5106">
        <v>56.708</v>
      </c>
      <c r="I5106" t="s">
        <v>29</v>
      </c>
      <c r="J5106" t="s">
        <v>30</v>
      </c>
      <c r="K5106" t="s">
        <v>31</v>
      </c>
      <c r="L5106" t="s">
        <v>32</v>
      </c>
      <c r="M5106" t="s">
        <v>33</v>
      </c>
      <c r="P5106" s="1" t="s">
        <v>17357</v>
      </c>
      <c r="Q5106" s="1" t="s">
        <v>17332</v>
      </c>
      <c r="R5106" s="1" t="s">
        <v>17332</v>
      </c>
      <c r="S5106" s="1"/>
      <c r="T5106" s="1" t="s">
        <v>26</v>
      </c>
      <c r="U5106" s="1"/>
      <c r="V5106" s="1">
        <v>56.708</v>
      </c>
      <c r="W5106" s="1">
        <v>56.708</v>
      </c>
      <c r="X5106" s="1" t="s">
        <v>35</v>
      </c>
      <c r="Y5106" s="1">
        <v>56708</v>
      </c>
      <c r="Z5106" s="1"/>
      <c r="AA5106" s="1">
        <v>56708</v>
      </c>
      <c r="AB5106" s="1"/>
      <c r="AC5106" s="1" t="s">
        <v>36</v>
      </c>
      <c r="AD5106" s="1" t="s">
        <v>17358</v>
      </c>
      <c r="AE5106" s="1" t="s">
        <v>32</v>
      </c>
      <c r="AF5106" s="1" t="s">
        <v>33</v>
      </c>
      <c r="AG5106" s="1" t="s">
        <v>30</v>
      </c>
    </row>
    <row r="5107" spans="1:33">
      <c r="A5107" t="s">
        <v>17359</v>
      </c>
      <c r="B5107" t="s">
        <v>17338</v>
      </c>
      <c r="C5107" t="s">
        <v>26</v>
      </c>
      <c r="E5107" t="s">
        <v>17332</v>
      </c>
      <c r="F5107" t="s">
        <v>16399</v>
      </c>
      <c r="G5107">
        <v>39.7</v>
      </c>
      <c r="H5107">
        <v>39.7</v>
      </c>
      <c r="I5107" t="s">
        <v>29</v>
      </c>
      <c r="J5107" t="s">
        <v>30</v>
      </c>
      <c r="K5107" t="s">
        <v>31</v>
      </c>
      <c r="L5107" t="s">
        <v>32</v>
      </c>
      <c r="M5107" t="s">
        <v>33</v>
      </c>
      <c r="P5107" s="1" t="s">
        <v>17360</v>
      </c>
      <c r="Q5107" s="1" t="s">
        <v>17332</v>
      </c>
      <c r="R5107" s="1" t="s">
        <v>17332</v>
      </c>
      <c r="S5107" s="1"/>
      <c r="T5107" s="1" t="s">
        <v>26</v>
      </c>
      <c r="U5107" s="1"/>
      <c r="V5107" s="1">
        <v>39.7</v>
      </c>
      <c r="W5107" s="1">
        <v>39.7</v>
      </c>
      <c r="X5107" s="1" t="s">
        <v>35</v>
      </c>
      <c r="Y5107" s="1">
        <v>39700</v>
      </c>
      <c r="Z5107" s="1"/>
      <c r="AA5107" s="1">
        <v>39700</v>
      </c>
      <c r="AB5107" s="1"/>
      <c r="AC5107" s="1" t="s">
        <v>36</v>
      </c>
      <c r="AD5107" s="1" t="s">
        <v>17361</v>
      </c>
      <c r="AE5107" s="1" t="s">
        <v>32</v>
      </c>
      <c r="AF5107" s="1" t="s">
        <v>33</v>
      </c>
      <c r="AG5107" s="1" t="s">
        <v>30</v>
      </c>
    </row>
    <row r="5108" spans="1:33">
      <c r="A5108" t="s">
        <v>17362</v>
      </c>
      <c r="B5108" t="s">
        <v>4058</v>
      </c>
      <c r="C5108" t="s">
        <v>4059</v>
      </c>
      <c r="E5108" t="s">
        <v>17332</v>
      </c>
      <c r="F5108" t="s">
        <v>16399</v>
      </c>
      <c r="G5108">
        <v>677.0</v>
      </c>
      <c r="H5108">
        <v>677.0</v>
      </c>
      <c r="I5108" t="s">
        <v>29</v>
      </c>
      <c r="J5108" t="s">
        <v>30</v>
      </c>
      <c r="K5108" t="s">
        <v>31</v>
      </c>
      <c r="L5108" t="s">
        <v>32</v>
      </c>
      <c r="M5108" t="s">
        <v>33</v>
      </c>
      <c r="P5108" s="1" t="s">
        <v>17363</v>
      </c>
      <c r="Q5108" s="1" t="s">
        <v>17332</v>
      </c>
      <c r="R5108" s="1" t="s">
        <v>17332</v>
      </c>
      <c r="S5108" s="1"/>
      <c r="T5108" s="1" t="s">
        <v>4059</v>
      </c>
      <c r="U5108" s="1"/>
      <c r="V5108" s="1">
        <v>677.0</v>
      </c>
      <c r="W5108" s="1">
        <v>677.0</v>
      </c>
      <c r="X5108" s="1" t="s">
        <v>35</v>
      </c>
      <c r="Y5108" s="1">
        <v>677000</v>
      </c>
      <c r="Z5108" s="1"/>
      <c r="AA5108" s="1">
        <v>677000</v>
      </c>
      <c r="AB5108" s="1"/>
      <c r="AC5108" s="1" t="s">
        <v>36</v>
      </c>
      <c r="AD5108" s="1" t="s">
        <v>17364</v>
      </c>
      <c r="AE5108" s="1" t="s">
        <v>32</v>
      </c>
      <c r="AF5108" s="1" t="s">
        <v>33</v>
      </c>
      <c r="AG5108" s="1" t="s">
        <v>30</v>
      </c>
    </row>
    <row r="5109" spans="1:33">
      <c r="A5109" t="s">
        <v>17365</v>
      </c>
      <c r="B5109" t="s">
        <v>1845</v>
      </c>
      <c r="C5109" t="s">
        <v>3152</v>
      </c>
      <c r="E5109" t="s">
        <v>17332</v>
      </c>
      <c r="F5109" t="s">
        <v>16399</v>
      </c>
      <c r="G5109">
        <v>840.0</v>
      </c>
      <c r="H5109">
        <v>840.0</v>
      </c>
      <c r="I5109" t="s">
        <v>29</v>
      </c>
      <c r="J5109" t="s">
        <v>30</v>
      </c>
      <c r="K5109" t="s">
        <v>31</v>
      </c>
      <c r="L5109" t="s">
        <v>32</v>
      </c>
      <c r="M5109" t="s">
        <v>33</v>
      </c>
      <c r="P5109" s="1" t="s">
        <v>17366</v>
      </c>
      <c r="Q5109" s="1" t="s">
        <v>17332</v>
      </c>
      <c r="R5109" s="1" t="s">
        <v>17332</v>
      </c>
      <c r="S5109" s="1"/>
      <c r="T5109" s="1" t="s">
        <v>3152</v>
      </c>
      <c r="U5109" s="1"/>
      <c r="V5109" s="1">
        <v>840.0</v>
      </c>
      <c r="W5109" s="1">
        <v>840.0</v>
      </c>
      <c r="X5109" s="1" t="s">
        <v>35</v>
      </c>
      <c r="Y5109" s="1">
        <v>840000</v>
      </c>
      <c r="Z5109" s="1"/>
      <c r="AA5109" s="1">
        <v>840000</v>
      </c>
      <c r="AB5109" s="1"/>
      <c r="AC5109" s="1" t="s">
        <v>36</v>
      </c>
      <c r="AD5109" s="1" t="s">
        <v>17367</v>
      </c>
      <c r="AE5109" s="1" t="s">
        <v>32</v>
      </c>
      <c r="AF5109" s="1" t="s">
        <v>33</v>
      </c>
      <c r="AG5109" s="1" t="s">
        <v>30</v>
      </c>
    </row>
    <row r="5110" spans="1:33">
      <c r="A5110" t="s">
        <v>17368</v>
      </c>
      <c r="B5110" t="s">
        <v>1280</v>
      </c>
      <c r="C5110" t="s">
        <v>1281</v>
      </c>
      <c r="E5110" t="s">
        <v>17332</v>
      </c>
      <c r="F5110" t="s">
        <v>16399</v>
      </c>
      <c r="G5110">
        <v>421.6</v>
      </c>
      <c r="H5110">
        <v>421.6</v>
      </c>
      <c r="I5110" t="s">
        <v>529</v>
      </c>
      <c r="J5110" t="s">
        <v>530</v>
      </c>
      <c r="K5110" t="s">
        <v>31</v>
      </c>
      <c r="L5110" t="s">
        <v>32</v>
      </c>
      <c r="M5110" t="s">
        <v>33</v>
      </c>
      <c r="P5110" s="1" t="s">
        <v>17369</v>
      </c>
      <c r="Q5110" s="1" t="s">
        <v>17332</v>
      </c>
      <c r="R5110" s="1" t="s">
        <v>16369</v>
      </c>
      <c r="S5110" s="1"/>
      <c r="T5110" s="1" t="s">
        <v>1281</v>
      </c>
      <c r="U5110" s="1"/>
      <c r="V5110" s="1">
        <v>421.6</v>
      </c>
      <c r="W5110" s="1">
        <v>421.6</v>
      </c>
      <c r="X5110" s="1" t="s">
        <v>35</v>
      </c>
      <c r="Y5110" s="1">
        <v>421600</v>
      </c>
      <c r="Z5110" s="1"/>
      <c r="AA5110" s="1">
        <v>421600</v>
      </c>
      <c r="AB5110" s="1"/>
      <c r="AC5110" s="1" t="s">
        <v>36</v>
      </c>
      <c r="AD5110" s="1" t="s">
        <v>17370</v>
      </c>
      <c r="AE5110" s="1" t="s">
        <v>32</v>
      </c>
      <c r="AF5110" s="1" t="s">
        <v>33</v>
      </c>
      <c r="AG5110" s="1" t="s">
        <v>530</v>
      </c>
    </row>
    <row r="5111" spans="1:33">
      <c r="A5111" t="s">
        <v>17371</v>
      </c>
      <c r="B5111" t="s">
        <v>2611</v>
      </c>
      <c r="C5111" t="s">
        <v>2612</v>
      </c>
      <c r="E5111" t="s">
        <v>17332</v>
      </c>
      <c r="F5111" t="s">
        <v>16399</v>
      </c>
      <c r="G5111">
        <v>840.0</v>
      </c>
      <c r="H5111">
        <v>840.0</v>
      </c>
      <c r="I5111" t="s">
        <v>29</v>
      </c>
      <c r="J5111" t="s">
        <v>30</v>
      </c>
      <c r="K5111" t="s">
        <v>31</v>
      </c>
      <c r="L5111" t="s">
        <v>32</v>
      </c>
      <c r="M5111" t="s">
        <v>33</v>
      </c>
      <c r="P5111" s="1" t="s">
        <v>17372</v>
      </c>
      <c r="Q5111" s="1" t="s">
        <v>17332</v>
      </c>
      <c r="R5111" s="1" t="s">
        <v>17332</v>
      </c>
      <c r="S5111" s="1"/>
      <c r="T5111" s="1" t="s">
        <v>2614</v>
      </c>
      <c r="U5111" s="1" t="s">
        <v>154</v>
      </c>
      <c r="V5111" s="1">
        <v>840.0</v>
      </c>
      <c r="W5111" s="1">
        <v>840.0</v>
      </c>
      <c r="X5111" s="1" t="s">
        <v>35</v>
      </c>
      <c r="Y5111" s="1">
        <v>840000</v>
      </c>
      <c r="Z5111" s="1"/>
      <c r="AA5111" s="1">
        <v>840000</v>
      </c>
      <c r="AB5111" s="1"/>
      <c r="AC5111" s="1" t="s">
        <v>36</v>
      </c>
      <c r="AD5111" s="1" t="s">
        <v>17373</v>
      </c>
      <c r="AE5111" s="1" t="s">
        <v>32</v>
      </c>
      <c r="AF5111" s="1" t="s">
        <v>33</v>
      </c>
      <c r="AG5111" s="1" t="s">
        <v>30</v>
      </c>
    </row>
    <row r="5112" spans="1:33">
      <c r="A5112" t="s">
        <v>17374</v>
      </c>
      <c r="B5112" t="s">
        <v>11691</v>
      </c>
      <c r="C5112" t="s">
        <v>453</v>
      </c>
      <c r="E5112" t="s">
        <v>17332</v>
      </c>
      <c r="F5112" t="s">
        <v>16399</v>
      </c>
      <c r="G5112">
        <v>1.68</v>
      </c>
      <c r="H5112">
        <v>1.68</v>
      </c>
      <c r="I5112" t="s">
        <v>29</v>
      </c>
      <c r="J5112" t="s">
        <v>30</v>
      </c>
      <c r="K5112" t="s">
        <v>31</v>
      </c>
      <c r="L5112" t="s">
        <v>32</v>
      </c>
      <c r="M5112" t="s">
        <v>33</v>
      </c>
      <c r="P5112" s="1" t="s">
        <v>17375</v>
      </c>
      <c r="Q5112" s="1" t="s">
        <v>17332</v>
      </c>
      <c r="R5112" s="1" t="s">
        <v>17332</v>
      </c>
      <c r="S5112" s="1"/>
      <c r="T5112" s="1" t="s">
        <v>453</v>
      </c>
      <c r="U5112" s="1"/>
      <c r="V5112" s="1">
        <v>1.68</v>
      </c>
      <c r="W5112" s="1">
        <v>1.68</v>
      </c>
      <c r="X5112" s="1" t="s">
        <v>35</v>
      </c>
      <c r="Y5112" s="1">
        <v>1680000</v>
      </c>
      <c r="Z5112" s="1"/>
      <c r="AA5112" s="1">
        <v>1680000</v>
      </c>
      <c r="AB5112" s="1"/>
      <c r="AC5112" s="1" t="s">
        <v>36</v>
      </c>
      <c r="AD5112" s="1" t="s">
        <v>17376</v>
      </c>
      <c r="AE5112" s="1" t="s">
        <v>32</v>
      </c>
      <c r="AF5112" s="1" t="s">
        <v>33</v>
      </c>
      <c r="AG5112" s="1" t="s">
        <v>30</v>
      </c>
    </row>
    <row r="5113" spans="1:33">
      <c r="A5113" t="s">
        <v>17377</v>
      </c>
      <c r="B5113" t="s">
        <v>17378</v>
      </c>
      <c r="C5113" t="s">
        <v>68</v>
      </c>
      <c r="E5113" t="s">
        <v>17332</v>
      </c>
      <c r="F5113" t="s">
        <v>16399</v>
      </c>
      <c r="G5113">
        <v>118.47</v>
      </c>
      <c r="H5113">
        <v>118.47</v>
      </c>
      <c r="I5113" t="s">
        <v>59</v>
      </c>
      <c r="J5113" t="s">
        <v>60</v>
      </c>
      <c r="K5113" t="s">
        <v>31</v>
      </c>
      <c r="L5113" t="s">
        <v>32</v>
      </c>
      <c r="M5113" t="s">
        <v>33</v>
      </c>
      <c r="P5113" s="1" t="s">
        <v>17379</v>
      </c>
      <c r="Q5113" s="1" t="s">
        <v>17332</v>
      </c>
      <c r="R5113" s="1" t="s">
        <v>17332</v>
      </c>
      <c r="S5113" s="1"/>
      <c r="T5113" s="1" t="s">
        <v>68</v>
      </c>
      <c r="U5113" s="1"/>
      <c r="V5113" s="1">
        <v>118.47</v>
      </c>
      <c r="W5113" s="1">
        <v>118.47</v>
      </c>
      <c r="X5113" s="1" t="s">
        <v>35</v>
      </c>
      <c r="Y5113" s="1">
        <v>118470</v>
      </c>
      <c r="Z5113" s="1"/>
      <c r="AA5113" s="1">
        <v>118470</v>
      </c>
      <c r="AB5113" s="1"/>
      <c r="AC5113" s="1" t="s">
        <v>36</v>
      </c>
      <c r="AD5113" s="1" t="s">
        <v>17380</v>
      </c>
      <c r="AE5113" s="1" t="s">
        <v>32</v>
      </c>
      <c r="AF5113" s="1" t="s">
        <v>33</v>
      </c>
      <c r="AG5113" s="1" t="s">
        <v>60</v>
      </c>
    </row>
    <row r="5114" spans="1:33">
      <c r="A5114" t="s">
        <v>17381</v>
      </c>
      <c r="B5114" t="s">
        <v>17331</v>
      </c>
      <c r="C5114" t="s">
        <v>1325</v>
      </c>
      <c r="E5114" t="s">
        <v>17332</v>
      </c>
      <c r="F5114" t="s">
        <v>16399</v>
      </c>
      <c r="G5114">
        <v>1.105</v>
      </c>
      <c r="H5114">
        <v>1.105</v>
      </c>
      <c r="I5114" t="s">
        <v>29</v>
      </c>
      <c r="J5114" t="s">
        <v>30</v>
      </c>
      <c r="K5114" t="s">
        <v>31</v>
      </c>
      <c r="L5114" t="s">
        <v>32</v>
      </c>
      <c r="M5114" t="s">
        <v>33</v>
      </c>
      <c r="P5114" s="1" t="s">
        <v>17382</v>
      </c>
      <c r="Q5114" s="1" t="s">
        <v>17332</v>
      </c>
      <c r="R5114" s="1" t="s">
        <v>17332</v>
      </c>
      <c r="S5114" s="1"/>
      <c r="T5114" s="1" t="s">
        <v>1325</v>
      </c>
      <c r="U5114" s="1"/>
      <c r="V5114" s="1">
        <v>1.105</v>
      </c>
      <c r="W5114" s="1">
        <v>1.105</v>
      </c>
      <c r="X5114" s="1" t="s">
        <v>35</v>
      </c>
      <c r="Y5114" s="1">
        <v>1105860</v>
      </c>
      <c r="Z5114" s="1"/>
      <c r="AA5114" s="1">
        <v>1105860</v>
      </c>
      <c r="AB5114" s="1"/>
      <c r="AC5114" s="1" t="s">
        <v>36</v>
      </c>
      <c r="AD5114" s="1" t="s">
        <v>17383</v>
      </c>
      <c r="AE5114" s="1" t="s">
        <v>32</v>
      </c>
      <c r="AF5114" s="1" t="s">
        <v>33</v>
      </c>
      <c r="AG5114" s="1" t="s">
        <v>30</v>
      </c>
    </row>
    <row r="5115" spans="1:33">
      <c r="A5115" t="s">
        <v>17384</v>
      </c>
      <c r="C5115" t="s">
        <v>226</v>
      </c>
      <c r="E5115" t="s">
        <v>17332</v>
      </c>
      <c r="F5115" t="s">
        <v>16399</v>
      </c>
      <c r="G5115">
        <v>1.647</v>
      </c>
      <c r="H5115">
        <v>1.647</v>
      </c>
      <c r="I5115" t="s">
        <v>227</v>
      </c>
      <c r="J5115" t="s">
        <v>228</v>
      </c>
      <c r="K5115" t="s">
        <v>31</v>
      </c>
      <c r="L5115" t="s">
        <v>32</v>
      </c>
      <c r="M5115" t="s">
        <v>33</v>
      </c>
      <c r="P5115" s="1" t="s">
        <v>17385</v>
      </c>
      <c r="Q5115" s="1" t="s">
        <v>17332</v>
      </c>
      <c r="R5115" s="1" t="s">
        <v>17332</v>
      </c>
      <c r="S5115" s="1"/>
      <c r="T5115" s="1" t="s">
        <v>226</v>
      </c>
      <c r="U5115" s="1"/>
      <c r="V5115" s="1">
        <v>1.647</v>
      </c>
      <c r="W5115" s="1">
        <v>1.647</v>
      </c>
      <c r="X5115" s="1" t="s">
        <v>35</v>
      </c>
      <c r="Y5115" s="1">
        <v>1647000</v>
      </c>
      <c r="Z5115" s="1"/>
      <c r="AA5115" s="1">
        <v>1647000</v>
      </c>
      <c r="AB5115" s="1"/>
      <c r="AC5115" s="1" t="s">
        <v>36</v>
      </c>
      <c r="AD5115" s="1" t="s">
        <v>17370</v>
      </c>
      <c r="AE5115" s="1" t="s">
        <v>32</v>
      </c>
      <c r="AF5115" s="1" t="s">
        <v>33</v>
      </c>
      <c r="AG5115" s="1" t="s">
        <v>228</v>
      </c>
    </row>
    <row r="5116" spans="1:33">
      <c r="A5116" t="s">
        <v>17386</v>
      </c>
      <c r="B5116" t="s">
        <v>17387</v>
      </c>
      <c r="C5116" t="s">
        <v>131</v>
      </c>
      <c r="E5116" t="s">
        <v>17332</v>
      </c>
      <c r="F5116" t="s">
        <v>16399</v>
      </c>
      <c r="G5116">
        <v>35.58</v>
      </c>
      <c r="H5116">
        <v>35.58</v>
      </c>
      <c r="I5116" t="s">
        <v>94</v>
      </c>
      <c r="J5116" t="s">
        <v>95</v>
      </c>
      <c r="K5116" t="s">
        <v>31</v>
      </c>
      <c r="L5116" t="s">
        <v>32</v>
      </c>
      <c r="M5116" t="s">
        <v>33</v>
      </c>
      <c r="P5116" s="1" t="s">
        <v>17388</v>
      </c>
      <c r="Q5116" s="1" t="s">
        <v>17332</v>
      </c>
      <c r="R5116" s="1" t="s">
        <v>17332</v>
      </c>
      <c r="S5116" s="1"/>
      <c r="T5116" s="1" t="s">
        <v>131</v>
      </c>
      <c r="U5116" s="1"/>
      <c r="V5116" s="1">
        <v>35.58</v>
      </c>
      <c r="W5116" s="1">
        <v>35.58</v>
      </c>
      <c r="X5116" s="1" t="s">
        <v>35</v>
      </c>
      <c r="Y5116" s="1">
        <v>35580</v>
      </c>
      <c r="Z5116" s="1"/>
      <c r="AA5116" s="1">
        <v>35580</v>
      </c>
      <c r="AB5116" s="1"/>
      <c r="AC5116" s="1" t="s">
        <v>36</v>
      </c>
      <c r="AD5116" s="1" t="s">
        <v>17389</v>
      </c>
      <c r="AE5116" s="1" t="s">
        <v>32</v>
      </c>
      <c r="AF5116" s="1" t="s">
        <v>33</v>
      </c>
      <c r="AG5116" s="1" t="s">
        <v>95</v>
      </c>
    </row>
    <row r="5117" spans="1:33">
      <c r="A5117" t="s">
        <v>17390</v>
      </c>
      <c r="B5117" t="s">
        <v>17378</v>
      </c>
      <c r="C5117" t="s">
        <v>17391</v>
      </c>
      <c r="D5117" t="s">
        <v>114</v>
      </c>
      <c r="E5117" t="s">
        <v>17332</v>
      </c>
      <c r="F5117" t="s">
        <v>16399</v>
      </c>
      <c r="G5117">
        <v>370.0</v>
      </c>
      <c r="H5117">
        <v>370.0</v>
      </c>
      <c r="I5117" t="s">
        <v>59</v>
      </c>
      <c r="J5117" t="s">
        <v>60</v>
      </c>
      <c r="K5117" t="s">
        <v>31</v>
      </c>
      <c r="L5117" t="s">
        <v>32</v>
      </c>
      <c r="M5117" t="s">
        <v>33</v>
      </c>
      <c r="P5117" s="1" t="s">
        <v>17392</v>
      </c>
      <c r="Q5117" s="1" t="s">
        <v>17332</v>
      </c>
      <c r="R5117" s="1" t="s">
        <v>17332</v>
      </c>
      <c r="S5117" s="1"/>
      <c r="T5117" s="1" t="s">
        <v>17393</v>
      </c>
      <c r="U5117" s="1" t="s">
        <v>17394</v>
      </c>
      <c r="V5117" s="1">
        <v>370.0</v>
      </c>
      <c r="W5117" s="1">
        <v>370.0</v>
      </c>
      <c r="X5117" s="1" t="s">
        <v>35</v>
      </c>
      <c r="Y5117" s="1">
        <v>370000</v>
      </c>
      <c r="Z5117" s="1"/>
      <c r="AA5117" s="1">
        <v>370000</v>
      </c>
      <c r="AB5117" s="1"/>
      <c r="AC5117" s="1" t="s">
        <v>36</v>
      </c>
      <c r="AD5117" s="1" t="s">
        <v>17395</v>
      </c>
      <c r="AE5117" s="1" t="s">
        <v>32</v>
      </c>
      <c r="AF5117" s="1" t="s">
        <v>33</v>
      </c>
      <c r="AG5117" s="1" t="s">
        <v>60</v>
      </c>
    </row>
    <row r="5118" spans="1:33">
      <c r="A5118" t="s">
        <v>17396</v>
      </c>
      <c r="B5118" t="s">
        <v>1757</v>
      </c>
      <c r="C5118" t="s">
        <v>1758</v>
      </c>
      <c r="E5118" t="s">
        <v>17332</v>
      </c>
      <c r="F5118" t="s">
        <v>16399</v>
      </c>
      <c r="G5118">
        <v>2.314</v>
      </c>
      <c r="H5118">
        <v>2.314</v>
      </c>
      <c r="I5118" t="s">
        <v>529</v>
      </c>
      <c r="J5118" t="s">
        <v>530</v>
      </c>
      <c r="K5118" t="s">
        <v>31</v>
      </c>
      <c r="L5118" t="s">
        <v>32</v>
      </c>
      <c r="M5118" t="s">
        <v>33</v>
      </c>
      <c r="P5118" s="1" t="s">
        <v>17397</v>
      </c>
      <c r="Q5118" s="1" t="s">
        <v>17332</v>
      </c>
      <c r="R5118" s="1" t="s">
        <v>16369</v>
      </c>
      <c r="S5118" s="1"/>
      <c r="T5118" s="1" t="s">
        <v>1758</v>
      </c>
      <c r="U5118" s="1"/>
      <c r="V5118" s="1">
        <v>2.314</v>
      </c>
      <c r="W5118" s="1">
        <v>2.314</v>
      </c>
      <c r="X5118" s="1" t="s">
        <v>35</v>
      </c>
      <c r="Y5118" s="1">
        <v>2314400</v>
      </c>
      <c r="Z5118" s="1"/>
      <c r="AA5118" s="1">
        <v>2314400</v>
      </c>
      <c r="AB5118" s="1"/>
      <c r="AC5118" s="1" t="s">
        <v>36</v>
      </c>
      <c r="AD5118" s="1" t="s">
        <v>17398</v>
      </c>
      <c r="AE5118" s="1" t="s">
        <v>32</v>
      </c>
      <c r="AF5118" s="1" t="s">
        <v>33</v>
      </c>
      <c r="AG5118" s="1" t="s">
        <v>530</v>
      </c>
    </row>
    <row r="5119" spans="1:33">
      <c r="A5119" t="s">
        <v>17399</v>
      </c>
      <c r="C5119" t="s">
        <v>1732</v>
      </c>
      <c r="E5119" t="s">
        <v>17332</v>
      </c>
      <c r="F5119" t="s">
        <v>16399</v>
      </c>
      <c r="G5119">
        <v>1.74</v>
      </c>
      <c r="H5119">
        <v>1.74</v>
      </c>
      <c r="I5119" t="s">
        <v>94</v>
      </c>
      <c r="J5119" t="s">
        <v>95</v>
      </c>
      <c r="K5119" t="s">
        <v>31</v>
      </c>
      <c r="L5119" t="s">
        <v>32</v>
      </c>
      <c r="M5119" t="s">
        <v>33</v>
      </c>
      <c r="P5119" s="1" t="s">
        <v>17400</v>
      </c>
      <c r="Q5119" s="1" t="s">
        <v>17332</v>
      </c>
      <c r="R5119" s="1" t="s">
        <v>17332</v>
      </c>
      <c r="S5119" s="1"/>
      <c r="T5119" s="1" t="s">
        <v>1732</v>
      </c>
      <c r="U5119" s="1"/>
      <c r="V5119" s="1">
        <v>1.74</v>
      </c>
      <c r="W5119" s="1">
        <v>1.74</v>
      </c>
      <c r="X5119" s="1" t="s">
        <v>35</v>
      </c>
      <c r="Y5119" s="1">
        <v>1740000</v>
      </c>
      <c r="Z5119" s="1"/>
      <c r="AA5119" s="1">
        <v>1740000</v>
      </c>
      <c r="AB5119" s="1"/>
      <c r="AC5119" s="1" t="s">
        <v>36</v>
      </c>
      <c r="AD5119" s="1" t="s">
        <v>17401</v>
      </c>
      <c r="AE5119" s="1" t="s">
        <v>32</v>
      </c>
      <c r="AF5119" s="1" t="s">
        <v>33</v>
      </c>
      <c r="AG5119" s="1" t="s">
        <v>95</v>
      </c>
    </row>
    <row r="5120" spans="1:33">
      <c r="A5120" t="s">
        <v>17402</v>
      </c>
      <c r="C5120" t="s">
        <v>654</v>
      </c>
      <c r="E5120" t="s">
        <v>17332</v>
      </c>
      <c r="F5120" t="s">
        <v>16399</v>
      </c>
      <c r="G5120">
        <v>492.0</v>
      </c>
      <c r="H5120">
        <v>492.0</v>
      </c>
      <c r="I5120" t="s">
        <v>269</v>
      </c>
      <c r="J5120" t="s">
        <v>270</v>
      </c>
      <c r="K5120" t="s">
        <v>31</v>
      </c>
      <c r="L5120" t="s">
        <v>32</v>
      </c>
      <c r="M5120" t="s">
        <v>33</v>
      </c>
      <c r="P5120" s="1" t="s">
        <v>17403</v>
      </c>
      <c r="Q5120" s="1" t="s">
        <v>17332</v>
      </c>
      <c r="R5120" s="1" t="s">
        <v>17332</v>
      </c>
      <c r="S5120" s="1"/>
      <c r="T5120" s="1" t="s">
        <v>656</v>
      </c>
      <c r="U5120" s="1" t="s">
        <v>657</v>
      </c>
      <c r="V5120" s="1">
        <v>492.0</v>
      </c>
      <c r="W5120" s="1">
        <v>492.0</v>
      </c>
      <c r="X5120" s="1" t="s">
        <v>35</v>
      </c>
      <c r="Y5120" s="1">
        <v>492000</v>
      </c>
      <c r="Z5120" s="1"/>
      <c r="AA5120" s="1">
        <v>492000</v>
      </c>
      <c r="AB5120" s="1"/>
      <c r="AC5120" s="1" t="s">
        <v>36</v>
      </c>
      <c r="AD5120" s="1" t="s">
        <v>17395</v>
      </c>
      <c r="AE5120" s="1" t="s">
        <v>32</v>
      </c>
      <c r="AF5120" s="1" t="s">
        <v>33</v>
      </c>
      <c r="AG5120" s="1" t="s">
        <v>270</v>
      </c>
    </row>
    <row r="5121" spans="1:33">
      <c r="A5121" t="s">
        <v>17404</v>
      </c>
      <c r="C5121" t="s">
        <v>3871</v>
      </c>
      <c r="E5121" t="s">
        <v>17332</v>
      </c>
      <c r="F5121" t="s">
        <v>16399</v>
      </c>
      <c r="G5121">
        <v>336.0</v>
      </c>
      <c r="H5121">
        <v>336.0</v>
      </c>
      <c r="I5121" t="s">
        <v>570</v>
      </c>
      <c r="J5121" t="s">
        <v>571</v>
      </c>
      <c r="K5121" t="s">
        <v>31</v>
      </c>
      <c r="L5121" t="s">
        <v>32</v>
      </c>
      <c r="M5121" t="s">
        <v>33</v>
      </c>
      <c r="P5121" s="1" t="s">
        <v>17405</v>
      </c>
      <c r="Q5121" s="1" t="s">
        <v>17332</v>
      </c>
      <c r="R5121" s="1" t="s">
        <v>17332</v>
      </c>
      <c r="S5121" s="1"/>
      <c r="T5121" s="1" t="s">
        <v>3871</v>
      </c>
      <c r="U5121" s="1"/>
      <c r="V5121" s="1">
        <v>336.0</v>
      </c>
      <c r="W5121" s="1">
        <v>336.0</v>
      </c>
      <c r="X5121" s="1" t="s">
        <v>35</v>
      </c>
      <c r="Y5121" s="1">
        <v>336000</v>
      </c>
      <c r="Z5121" s="1"/>
      <c r="AA5121" s="1">
        <v>336000</v>
      </c>
      <c r="AB5121" s="1"/>
      <c r="AC5121" s="1" t="s">
        <v>36</v>
      </c>
      <c r="AD5121" s="1" t="s">
        <v>17406</v>
      </c>
      <c r="AE5121" s="1" t="s">
        <v>32</v>
      </c>
      <c r="AF5121" s="1" t="s">
        <v>33</v>
      </c>
      <c r="AG5121" s="1" t="s">
        <v>571</v>
      </c>
    </row>
    <row r="5122" spans="1:33">
      <c r="A5122" t="s">
        <v>17407</v>
      </c>
      <c r="B5122" t="s">
        <v>13165</v>
      </c>
      <c r="C5122" t="s">
        <v>73</v>
      </c>
      <c r="E5122" t="s">
        <v>17332</v>
      </c>
      <c r="F5122" t="s">
        <v>16399</v>
      </c>
      <c r="G5122">
        <v>20.99</v>
      </c>
      <c r="H5122">
        <v>20.99</v>
      </c>
      <c r="I5122" t="s">
        <v>40</v>
      </c>
      <c r="J5122" t="s">
        <v>41</v>
      </c>
      <c r="K5122" t="s">
        <v>31</v>
      </c>
      <c r="L5122" t="s">
        <v>32</v>
      </c>
      <c r="M5122" t="s">
        <v>33</v>
      </c>
      <c r="P5122" s="1" t="s">
        <v>17408</v>
      </c>
      <c r="Q5122" s="1" t="s">
        <v>17332</v>
      </c>
      <c r="R5122" s="1" t="s">
        <v>16369</v>
      </c>
      <c r="S5122" s="1"/>
      <c r="T5122" s="1" t="s">
        <v>75</v>
      </c>
      <c r="U5122" s="1" t="s">
        <v>76</v>
      </c>
      <c r="V5122" s="1">
        <v>20.99</v>
      </c>
      <c r="W5122" s="1">
        <v>20.99</v>
      </c>
      <c r="X5122" s="1" t="s">
        <v>35</v>
      </c>
      <c r="Y5122" s="1">
        <v>20990</v>
      </c>
      <c r="Z5122" s="1"/>
      <c r="AA5122" s="1">
        <v>20990</v>
      </c>
      <c r="AB5122" s="1"/>
      <c r="AC5122" s="1" t="s">
        <v>36</v>
      </c>
      <c r="AD5122" s="1" t="s">
        <v>17409</v>
      </c>
      <c r="AE5122" s="1" t="s">
        <v>32</v>
      </c>
      <c r="AF5122" s="1" t="s">
        <v>33</v>
      </c>
      <c r="AG5122" s="1" t="s">
        <v>41</v>
      </c>
    </row>
    <row r="5123" spans="1:33">
      <c r="A5123" t="s">
        <v>17410</v>
      </c>
      <c r="B5123" t="s">
        <v>17411</v>
      </c>
      <c r="C5123" t="s">
        <v>2741</v>
      </c>
      <c r="E5123" t="s">
        <v>17332</v>
      </c>
      <c r="F5123" t="s">
        <v>16399</v>
      </c>
      <c r="G5123">
        <v>45.0</v>
      </c>
      <c r="H5123">
        <v>45.0</v>
      </c>
      <c r="I5123" t="s">
        <v>2742</v>
      </c>
      <c r="J5123" t="s">
        <v>2743</v>
      </c>
      <c r="K5123" t="s">
        <v>31</v>
      </c>
      <c r="L5123" t="s">
        <v>32</v>
      </c>
      <c r="M5123" t="s">
        <v>33</v>
      </c>
      <c r="P5123" s="1" t="s">
        <v>17412</v>
      </c>
      <c r="Q5123" s="1" t="s">
        <v>17332</v>
      </c>
      <c r="R5123" s="1" t="s">
        <v>17332</v>
      </c>
      <c r="S5123" s="1"/>
      <c r="T5123" s="1" t="s">
        <v>2741</v>
      </c>
      <c r="U5123" s="1"/>
      <c r="V5123" s="1">
        <v>45.0</v>
      </c>
      <c r="W5123" s="1">
        <v>45.0</v>
      </c>
      <c r="X5123" s="1" t="s">
        <v>35</v>
      </c>
      <c r="Y5123" s="1">
        <v>45000</v>
      </c>
      <c r="Z5123" s="1"/>
      <c r="AA5123" s="1">
        <v>45000</v>
      </c>
      <c r="AB5123" s="1"/>
      <c r="AC5123" s="1" t="s">
        <v>36</v>
      </c>
      <c r="AD5123" s="1" t="s">
        <v>17413</v>
      </c>
      <c r="AE5123" s="1" t="s">
        <v>32</v>
      </c>
      <c r="AF5123" s="1" t="s">
        <v>33</v>
      </c>
      <c r="AG5123" s="1" t="s">
        <v>2743</v>
      </c>
    </row>
    <row r="5124" spans="1:33">
      <c r="A5124" t="s">
        <v>17414</v>
      </c>
      <c r="C5124" t="s">
        <v>17415</v>
      </c>
      <c r="D5124" t="s">
        <v>154</v>
      </c>
      <c r="E5124" t="s">
        <v>17332</v>
      </c>
      <c r="F5124" t="s">
        <v>16399</v>
      </c>
      <c r="G5124">
        <v>984.0</v>
      </c>
      <c r="H5124">
        <v>984.0</v>
      </c>
      <c r="I5124" t="s">
        <v>40</v>
      </c>
      <c r="J5124" t="s">
        <v>41</v>
      </c>
      <c r="K5124" t="s">
        <v>31</v>
      </c>
      <c r="L5124" t="s">
        <v>32</v>
      </c>
      <c r="M5124" t="s">
        <v>33</v>
      </c>
      <c r="P5124" s="1" t="s">
        <v>17416</v>
      </c>
      <c r="Q5124" s="1" t="s">
        <v>17332</v>
      </c>
      <c r="R5124" s="1" t="s">
        <v>16369</v>
      </c>
      <c r="S5124" s="1"/>
      <c r="T5124" s="1" t="s">
        <v>17415</v>
      </c>
      <c r="U5124" s="1"/>
      <c r="V5124" s="1">
        <v>984.0</v>
      </c>
      <c r="W5124" s="1">
        <v>984.0</v>
      </c>
      <c r="X5124" s="1" t="s">
        <v>35</v>
      </c>
      <c r="Y5124" s="1">
        <v>984000</v>
      </c>
      <c r="Z5124" s="1"/>
      <c r="AA5124" s="1">
        <v>984000</v>
      </c>
      <c r="AB5124" s="1"/>
      <c r="AC5124" s="1" t="s">
        <v>36</v>
      </c>
      <c r="AD5124" s="1" t="s">
        <v>17395</v>
      </c>
      <c r="AE5124" s="1" t="s">
        <v>32</v>
      </c>
      <c r="AF5124" s="1" t="s">
        <v>33</v>
      </c>
      <c r="AG5124" s="1" t="s">
        <v>41</v>
      </c>
    </row>
    <row r="5125" spans="1:33">
      <c r="A5125" t="s">
        <v>17417</v>
      </c>
      <c r="C5125" t="s">
        <v>638</v>
      </c>
      <c r="D5125" t="s">
        <v>154</v>
      </c>
      <c r="E5125" t="s">
        <v>17332</v>
      </c>
      <c r="F5125" t="s">
        <v>16399</v>
      </c>
      <c r="G5125">
        <v>328.0</v>
      </c>
      <c r="H5125">
        <v>328.0</v>
      </c>
      <c r="I5125" t="s">
        <v>227</v>
      </c>
      <c r="J5125" t="s">
        <v>228</v>
      </c>
      <c r="K5125" t="s">
        <v>31</v>
      </c>
      <c r="L5125" t="s">
        <v>32</v>
      </c>
      <c r="M5125" t="s">
        <v>33</v>
      </c>
      <c r="P5125" s="1" t="s">
        <v>17418</v>
      </c>
      <c r="Q5125" s="1" t="s">
        <v>17332</v>
      </c>
      <c r="R5125" s="1" t="s">
        <v>17332</v>
      </c>
      <c r="S5125" s="1"/>
      <c r="T5125" s="1" t="s">
        <v>640</v>
      </c>
      <c r="U5125" s="1" t="s">
        <v>641</v>
      </c>
      <c r="V5125" s="1">
        <v>328.0</v>
      </c>
      <c r="W5125" s="1">
        <v>328.0</v>
      </c>
      <c r="X5125" s="1" t="s">
        <v>35</v>
      </c>
      <c r="Y5125" s="1">
        <v>328000</v>
      </c>
      <c r="Z5125" s="1"/>
      <c r="AA5125" s="1">
        <v>328000</v>
      </c>
      <c r="AB5125" s="1"/>
      <c r="AC5125" s="1" t="s">
        <v>36</v>
      </c>
      <c r="AD5125" s="1" t="s">
        <v>17419</v>
      </c>
      <c r="AE5125" s="1" t="s">
        <v>32</v>
      </c>
      <c r="AF5125" s="1" t="s">
        <v>33</v>
      </c>
      <c r="AG5125" s="1" t="s">
        <v>228</v>
      </c>
    </row>
    <row r="5126" spans="1:33">
      <c r="A5126" t="s">
        <v>17420</v>
      </c>
      <c r="C5126" t="s">
        <v>4484</v>
      </c>
      <c r="E5126" t="s">
        <v>17332</v>
      </c>
      <c r="F5126" t="s">
        <v>16399</v>
      </c>
      <c r="G5126">
        <v>1.26</v>
      </c>
      <c r="H5126">
        <v>1.26</v>
      </c>
      <c r="I5126" t="s">
        <v>126</v>
      </c>
      <c r="J5126" t="s">
        <v>127</v>
      </c>
      <c r="K5126" t="s">
        <v>31</v>
      </c>
      <c r="L5126" t="s">
        <v>32</v>
      </c>
      <c r="M5126" t="s">
        <v>33</v>
      </c>
      <c r="P5126" s="1" t="s">
        <v>17421</v>
      </c>
      <c r="Q5126" s="1" t="s">
        <v>17332</v>
      </c>
      <c r="R5126" s="1" t="s">
        <v>17332</v>
      </c>
      <c r="S5126" s="1"/>
      <c r="T5126" s="1" t="s">
        <v>4484</v>
      </c>
      <c r="U5126" s="1"/>
      <c r="V5126" s="1">
        <v>1.26</v>
      </c>
      <c r="W5126" s="1">
        <v>1.26</v>
      </c>
      <c r="X5126" s="1" t="s">
        <v>35</v>
      </c>
      <c r="Y5126" s="1">
        <v>1400000</v>
      </c>
      <c r="Z5126" s="1">
        <v>-140000</v>
      </c>
      <c r="AA5126" s="1">
        <v>1400000</v>
      </c>
      <c r="AB5126" s="1">
        <v>-140000</v>
      </c>
      <c r="AC5126" s="1" t="s">
        <v>36</v>
      </c>
      <c r="AD5126" s="1" t="s">
        <v>17389</v>
      </c>
      <c r="AE5126" s="1" t="s">
        <v>32</v>
      </c>
      <c r="AF5126" s="1" t="s">
        <v>33</v>
      </c>
      <c r="AG5126" s="1" t="s">
        <v>127</v>
      </c>
    </row>
    <row r="5127" spans="1:33">
      <c r="A5127" t="s">
        <v>17422</v>
      </c>
      <c r="C5127" t="s">
        <v>73</v>
      </c>
      <c r="E5127" t="s">
        <v>17332</v>
      </c>
      <c r="F5127" t="s">
        <v>16399</v>
      </c>
      <c r="G5127">
        <v>16.08</v>
      </c>
      <c r="H5127">
        <v>16.08</v>
      </c>
      <c r="I5127" t="s">
        <v>40</v>
      </c>
      <c r="J5127" t="s">
        <v>41</v>
      </c>
      <c r="K5127" t="s">
        <v>31</v>
      </c>
      <c r="L5127" t="s">
        <v>32</v>
      </c>
      <c r="M5127" t="s">
        <v>33</v>
      </c>
      <c r="P5127" s="1" t="s">
        <v>17423</v>
      </c>
      <c r="Q5127" s="1" t="s">
        <v>17332</v>
      </c>
      <c r="R5127" s="1" t="s">
        <v>16369</v>
      </c>
      <c r="S5127" s="1"/>
      <c r="T5127" s="1" t="s">
        <v>75</v>
      </c>
      <c r="U5127" s="1" t="s">
        <v>76</v>
      </c>
      <c r="V5127" s="1">
        <v>16.08</v>
      </c>
      <c r="W5127" s="1">
        <v>16.08</v>
      </c>
      <c r="X5127" s="1" t="s">
        <v>35</v>
      </c>
      <c r="Y5127" s="1">
        <v>16080</v>
      </c>
      <c r="Z5127" s="1"/>
      <c r="AA5127" s="1">
        <v>16080</v>
      </c>
      <c r="AB5127" s="1"/>
      <c r="AC5127" s="1" t="s">
        <v>36</v>
      </c>
      <c r="AD5127" s="1" t="s">
        <v>17424</v>
      </c>
      <c r="AE5127" s="1" t="s">
        <v>32</v>
      </c>
      <c r="AF5127" s="1" t="s">
        <v>33</v>
      </c>
      <c r="AG5127" s="1" t="s">
        <v>41</v>
      </c>
    </row>
    <row r="5128" spans="1:33">
      <c r="A5128" t="s">
        <v>17425</v>
      </c>
      <c r="B5128" t="s">
        <v>17426</v>
      </c>
      <c r="C5128" t="s">
        <v>131</v>
      </c>
      <c r="E5128" t="s">
        <v>17332</v>
      </c>
      <c r="F5128" t="s">
        <v>16399</v>
      </c>
      <c r="G5128">
        <v>8.0</v>
      </c>
      <c r="H5128">
        <v>8.0</v>
      </c>
      <c r="I5128" t="s">
        <v>94</v>
      </c>
      <c r="J5128" t="s">
        <v>95</v>
      </c>
      <c r="K5128" t="s">
        <v>31</v>
      </c>
      <c r="L5128" t="s">
        <v>32</v>
      </c>
      <c r="M5128" t="s">
        <v>33</v>
      </c>
      <c r="P5128" s="1" t="s">
        <v>17427</v>
      </c>
      <c r="Q5128" s="1" t="s">
        <v>17332</v>
      </c>
      <c r="R5128" s="1" t="s">
        <v>17332</v>
      </c>
      <c r="S5128" s="1"/>
      <c r="T5128" s="1" t="s">
        <v>131</v>
      </c>
      <c r="U5128" s="1"/>
      <c r="V5128" s="1">
        <v>8.0</v>
      </c>
      <c r="W5128" s="1">
        <v>8.0</v>
      </c>
      <c r="X5128" s="1" t="s">
        <v>35</v>
      </c>
      <c r="Y5128" s="1">
        <v>8000</v>
      </c>
      <c r="Z5128" s="1"/>
      <c r="AA5128" s="1">
        <v>8000</v>
      </c>
      <c r="AB5128" s="1"/>
      <c r="AC5128" s="1" t="s">
        <v>36</v>
      </c>
      <c r="AD5128" s="1" t="s">
        <v>17428</v>
      </c>
      <c r="AE5128" s="1" t="s">
        <v>32</v>
      </c>
      <c r="AF5128" s="1" t="s">
        <v>33</v>
      </c>
      <c r="AG5128" s="1" t="s">
        <v>95</v>
      </c>
    </row>
    <row r="5129" spans="1:33">
      <c r="A5129" t="s">
        <v>17429</v>
      </c>
      <c r="B5129" t="s">
        <v>1624</v>
      </c>
      <c r="C5129" t="s">
        <v>1625</v>
      </c>
      <c r="E5129" t="s">
        <v>17332</v>
      </c>
      <c r="F5129" t="s">
        <v>16399</v>
      </c>
      <c r="G5129">
        <v>1.045</v>
      </c>
      <c r="H5129">
        <v>1.045</v>
      </c>
      <c r="I5129" t="s">
        <v>529</v>
      </c>
      <c r="J5129" t="s">
        <v>530</v>
      </c>
      <c r="K5129" t="s">
        <v>31</v>
      </c>
      <c r="L5129" t="s">
        <v>32</v>
      </c>
      <c r="M5129" t="s">
        <v>33</v>
      </c>
      <c r="P5129" s="1" t="s">
        <v>17430</v>
      </c>
      <c r="Q5129" s="1" t="s">
        <v>17332</v>
      </c>
      <c r="R5129" s="1" t="s">
        <v>16369</v>
      </c>
      <c r="S5129" s="1"/>
      <c r="T5129" s="1" t="s">
        <v>1625</v>
      </c>
      <c r="U5129" s="1"/>
      <c r="V5129" s="1">
        <v>1.045</v>
      </c>
      <c r="W5129" s="1">
        <v>1.045</v>
      </c>
      <c r="X5129" s="1" t="s">
        <v>35</v>
      </c>
      <c r="Y5129" s="1">
        <v>1045000</v>
      </c>
      <c r="Z5129" s="1"/>
      <c r="AA5129" s="1">
        <v>1045000</v>
      </c>
      <c r="AB5129" s="1"/>
      <c r="AC5129" s="1" t="s">
        <v>36</v>
      </c>
      <c r="AD5129" s="1" t="s">
        <v>17431</v>
      </c>
      <c r="AE5129" s="1" t="s">
        <v>32</v>
      </c>
      <c r="AF5129" s="1" t="s">
        <v>33</v>
      </c>
      <c r="AG5129" s="1" t="s">
        <v>530</v>
      </c>
    </row>
    <row r="5130" spans="1:33">
      <c r="A5130" t="s">
        <v>17432</v>
      </c>
      <c r="B5130" t="s">
        <v>10545</v>
      </c>
      <c r="C5130" t="s">
        <v>12240</v>
      </c>
      <c r="E5130" t="s">
        <v>17332</v>
      </c>
      <c r="F5130" t="s">
        <v>16399</v>
      </c>
      <c r="G5130">
        <v>149.88</v>
      </c>
      <c r="H5130">
        <v>149.88</v>
      </c>
      <c r="I5130" t="s">
        <v>136</v>
      </c>
      <c r="J5130" t="s">
        <v>137</v>
      </c>
      <c r="K5130" t="s">
        <v>31</v>
      </c>
      <c r="L5130" t="s">
        <v>32</v>
      </c>
      <c r="M5130" t="s">
        <v>33</v>
      </c>
      <c r="P5130" s="1" t="s">
        <v>17433</v>
      </c>
      <c r="Q5130" s="1" t="s">
        <v>17332</v>
      </c>
      <c r="R5130" s="1" t="s">
        <v>17332</v>
      </c>
      <c r="S5130" s="1"/>
      <c r="T5130" s="1" t="s">
        <v>12240</v>
      </c>
      <c r="U5130" s="1"/>
      <c r="V5130" s="1">
        <v>149.88</v>
      </c>
      <c r="W5130" s="1">
        <v>149.88</v>
      </c>
      <c r="X5130" s="1" t="s">
        <v>35</v>
      </c>
      <c r="Y5130" s="1">
        <v>149880</v>
      </c>
      <c r="Z5130" s="1"/>
      <c r="AA5130" s="1">
        <v>149880</v>
      </c>
      <c r="AB5130" s="1"/>
      <c r="AC5130" s="1" t="s">
        <v>36</v>
      </c>
      <c r="AD5130" s="1" t="s">
        <v>17406</v>
      </c>
      <c r="AE5130" s="1" t="s">
        <v>32</v>
      </c>
      <c r="AF5130" s="1" t="s">
        <v>33</v>
      </c>
      <c r="AG5130" s="1" t="s">
        <v>137</v>
      </c>
    </row>
    <row r="5131" spans="1:33">
      <c r="A5131" t="s">
        <v>17434</v>
      </c>
      <c r="B5131" t="s">
        <v>17435</v>
      </c>
      <c r="C5131" t="s">
        <v>73</v>
      </c>
      <c r="E5131" t="s">
        <v>17332</v>
      </c>
      <c r="F5131" t="s">
        <v>16399</v>
      </c>
      <c r="G5131">
        <v>87.96</v>
      </c>
      <c r="H5131">
        <v>87.96</v>
      </c>
      <c r="I5131" t="s">
        <v>40</v>
      </c>
      <c r="J5131" t="s">
        <v>41</v>
      </c>
      <c r="K5131" t="s">
        <v>31</v>
      </c>
      <c r="L5131" t="s">
        <v>32</v>
      </c>
      <c r="M5131" t="s">
        <v>33</v>
      </c>
      <c r="P5131" s="1" t="s">
        <v>17436</v>
      </c>
      <c r="Q5131" s="1" t="s">
        <v>17332</v>
      </c>
      <c r="R5131" s="1" t="s">
        <v>16369</v>
      </c>
      <c r="S5131" s="1"/>
      <c r="T5131" s="1" t="s">
        <v>75</v>
      </c>
      <c r="U5131" s="1" t="s">
        <v>76</v>
      </c>
      <c r="V5131" s="1">
        <v>87.96</v>
      </c>
      <c r="W5131" s="1">
        <v>87.96</v>
      </c>
      <c r="X5131" s="1" t="s">
        <v>35</v>
      </c>
      <c r="Y5131" s="1">
        <v>87960</v>
      </c>
      <c r="Z5131" s="1"/>
      <c r="AA5131" s="1">
        <v>87960</v>
      </c>
      <c r="AB5131" s="1"/>
      <c r="AC5131" s="1" t="s">
        <v>36</v>
      </c>
      <c r="AD5131" s="1" t="s">
        <v>17437</v>
      </c>
      <c r="AE5131" s="1" t="s">
        <v>32</v>
      </c>
      <c r="AF5131" s="1" t="s">
        <v>33</v>
      </c>
      <c r="AG5131" s="1" t="s">
        <v>41</v>
      </c>
    </row>
    <row r="5132" spans="1:33">
      <c r="A5132" t="s">
        <v>17438</v>
      </c>
      <c r="C5132" t="s">
        <v>517</v>
      </c>
      <c r="E5132" t="s">
        <v>17332</v>
      </c>
      <c r="F5132" t="s">
        <v>16399</v>
      </c>
      <c r="G5132">
        <v>3.66</v>
      </c>
      <c r="H5132">
        <v>3.66</v>
      </c>
      <c r="I5132" t="s">
        <v>126</v>
      </c>
      <c r="J5132" t="s">
        <v>127</v>
      </c>
      <c r="K5132" t="s">
        <v>31</v>
      </c>
      <c r="L5132" t="s">
        <v>32</v>
      </c>
      <c r="M5132" t="s">
        <v>33</v>
      </c>
      <c r="P5132" s="1" t="s">
        <v>17439</v>
      </c>
      <c r="Q5132" s="1" t="s">
        <v>17332</v>
      </c>
      <c r="R5132" s="1" t="s">
        <v>17332</v>
      </c>
      <c r="S5132" s="1"/>
      <c r="T5132" s="1" t="s">
        <v>517</v>
      </c>
      <c r="U5132" s="1"/>
      <c r="V5132" s="1">
        <v>3.66</v>
      </c>
      <c r="W5132" s="1">
        <v>3.66</v>
      </c>
      <c r="X5132" s="1" t="s">
        <v>35</v>
      </c>
      <c r="Y5132" s="1">
        <v>3660000</v>
      </c>
      <c r="Z5132" s="1"/>
      <c r="AA5132" s="1">
        <v>3660000</v>
      </c>
      <c r="AB5132" s="1"/>
      <c r="AC5132" s="1" t="s">
        <v>36</v>
      </c>
      <c r="AD5132" s="1" t="s">
        <v>17440</v>
      </c>
      <c r="AE5132" s="1" t="s">
        <v>32</v>
      </c>
      <c r="AF5132" s="1" t="s">
        <v>33</v>
      </c>
      <c r="AG5132" s="1" t="s">
        <v>127</v>
      </c>
    </row>
    <row r="5133" spans="1:33">
      <c r="A5133" t="s">
        <v>17441</v>
      </c>
      <c r="B5133" t="s">
        <v>17442</v>
      </c>
      <c r="C5133" t="s">
        <v>73</v>
      </c>
      <c r="E5133" t="s">
        <v>17332</v>
      </c>
      <c r="F5133" t="s">
        <v>16399</v>
      </c>
      <c r="G5133">
        <v>87.96</v>
      </c>
      <c r="H5133">
        <v>87.96</v>
      </c>
      <c r="I5133" t="s">
        <v>40</v>
      </c>
      <c r="J5133" t="s">
        <v>41</v>
      </c>
      <c r="K5133" t="s">
        <v>31</v>
      </c>
      <c r="L5133" t="s">
        <v>32</v>
      </c>
      <c r="M5133" t="s">
        <v>33</v>
      </c>
      <c r="P5133" s="1" t="s">
        <v>17443</v>
      </c>
      <c r="Q5133" s="1" t="s">
        <v>17332</v>
      </c>
      <c r="R5133" s="1" t="s">
        <v>16369</v>
      </c>
      <c r="S5133" s="1"/>
      <c r="T5133" s="1" t="s">
        <v>75</v>
      </c>
      <c r="U5133" s="1" t="s">
        <v>76</v>
      </c>
      <c r="V5133" s="1">
        <v>87.96</v>
      </c>
      <c r="W5133" s="1">
        <v>87.96</v>
      </c>
      <c r="X5133" s="1" t="s">
        <v>35</v>
      </c>
      <c r="Y5133" s="1">
        <v>87960</v>
      </c>
      <c r="Z5133" s="1"/>
      <c r="AA5133" s="1">
        <v>87960</v>
      </c>
      <c r="AB5133" s="1"/>
      <c r="AC5133" s="1" t="s">
        <v>36</v>
      </c>
      <c r="AD5133" s="1" t="s">
        <v>17444</v>
      </c>
      <c r="AE5133" s="1" t="s">
        <v>32</v>
      </c>
      <c r="AF5133" s="1" t="s">
        <v>33</v>
      </c>
      <c r="AG5133" s="1" t="s">
        <v>41</v>
      </c>
    </row>
    <row r="5134" spans="1:33">
      <c r="A5134" t="s">
        <v>17445</v>
      </c>
      <c r="B5134" t="s">
        <v>17446</v>
      </c>
      <c r="C5134" t="s">
        <v>314</v>
      </c>
      <c r="E5134" t="s">
        <v>17332</v>
      </c>
      <c r="F5134" t="s">
        <v>16399</v>
      </c>
      <c r="G5134">
        <v>44.48</v>
      </c>
      <c r="H5134">
        <v>44.48</v>
      </c>
      <c r="I5134" t="s">
        <v>179</v>
      </c>
      <c r="J5134" t="s">
        <v>180</v>
      </c>
      <c r="K5134" t="s">
        <v>31</v>
      </c>
      <c r="L5134" t="s">
        <v>32</v>
      </c>
      <c r="M5134" t="s">
        <v>33</v>
      </c>
      <c r="P5134" s="1" t="s">
        <v>17447</v>
      </c>
      <c r="Q5134" s="1" t="s">
        <v>17332</v>
      </c>
      <c r="R5134" s="1" t="s">
        <v>17332</v>
      </c>
      <c r="S5134" s="1"/>
      <c r="T5134" s="1" t="s">
        <v>314</v>
      </c>
      <c r="U5134" s="1"/>
      <c r="V5134" s="1">
        <v>44.48</v>
      </c>
      <c r="W5134" s="1">
        <v>44.48</v>
      </c>
      <c r="X5134" s="1" t="s">
        <v>35</v>
      </c>
      <c r="Y5134" s="1">
        <v>44480</v>
      </c>
      <c r="Z5134" s="1"/>
      <c r="AA5134" s="1">
        <v>44480</v>
      </c>
      <c r="AB5134" s="1"/>
      <c r="AC5134" s="1" t="s">
        <v>36</v>
      </c>
      <c r="AD5134" s="1" t="s">
        <v>17448</v>
      </c>
      <c r="AE5134" s="1" t="s">
        <v>32</v>
      </c>
      <c r="AF5134" s="1" t="s">
        <v>33</v>
      </c>
      <c r="AG5134" s="1" t="s">
        <v>180</v>
      </c>
    </row>
    <row r="5135" spans="1:33">
      <c r="A5135" t="s">
        <v>17449</v>
      </c>
      <c r="C5135" t="s">
        <v>575</v>
      </c>
      <c r="E5135" t="s">
        <v>17332</v>
      </c>
      <c r="F5135" t="s">
        <v>16399</v>
      </c>
      <c r="G5135">
        <v>473.0</v>
      </c>
      <c r="H5135">
        <v>473.0</v>
      </c>
      <c r="I5135" t="s">
        <v>94</v>
      </c>
      <c r="J5135" t="s">
        <v>95</v>
      </c>
      <c r="K5135" t="s">
        <v>31</v>
      </c>
      <c r="L5135" t="s">
        <v>32</v>
      </c>
      <c r="M5135" t="s">
        <v>33</v>
      </c>
      <c r="P5135" s="1" t="s">
        <v>17450</v>
      </c>
      <c r="Q5135" s="1" t="s">
        <v>17332</v>
      </c>
      <c r="R5135" s="1" t="s">
        <v>17332</v>
      </c>
      <c r="S5135" s="1"/>
      <c r="T5135" s="1" t="s">
        <v>575</v>
      </c>
      <c r="U5135" s="1"/>
      <c r="V5135" s="1">
        <v>473.0</v>
      </c>
      <c r="W5135" s="1">
        <v>473.0</v>
      </c>
      <c r="X5135" s="1" t="s">
        <v>35</v>
      </c>
      <c r="Y5135" s="1">
        <v>473000</v>
      </c>
      <c r="Z5135" s="1"/>
      <c r="AA5135" s="1">
        <v>473000</v>
      </c>
      <c r="AB5135" s="1"/>
      <c r="AC5135" s="1" t="s">
        <v>36</v>
      </c>
      <c r="AD5135" s="1" t="s">
        <v>17448</v>
      </c>
      <c r="AE5135" s="1" t="s">
        <v>32</v>
      </c>
      <c r="AF5135" s="1" t="s">
        <v>33</v>
      </c>
      <c r="AG5135" s="1" t="s">
        <v>95</v>
      </c>
    </row>
    <row r="5136" spans="1:33">
      <c r="A5136" t="s">
        <v>17451</v>
      </c>
      <c r="B5136" t="s">
        <v>17452</v>
      </c>
      <c r="C5136" t="s">
        <v>131</v>
      </c>
      <c r="E5136" t="s">
        <v>17332</v>
      </c>
      <c r="F5136" t="s">
        <v>16399</v>
      </c>
      <c r="G5136">
        <v>92.45</v>
      </c>
      <c r="H5136">
        <v>92.45</v>
      </c>
      <c r="I5136" t="s">
        <v>94</v>
      </c>
      <c r="J5136" t="s">
        <v>95</v>
      </c>
      <c r="K5136" t="s">
        <v>31</v>
      </c>
      <c r="L5136" t="s">
        <v>32</v>
      </c>
      <c r="M5136" t="s">
        <v>33</v>
      </c>
      <c r="P5136" s="1" t="s">
        <v>17453</v>
      </c>
      <c r="Q5136" s="1" t="s">
        <v>17332</v>
      </c>
      <c r="R5136" s="1" t="s">
        <v>17332</v>
      </c>
      <c r="S5136" s="1"/>
      <c r="T5136" s="1" t="s">
        <v>131</v>
      </c>
      <c r="U5136" s="1"/>
      <c r="V5136" s="1">
        <v>92.45</v>
      </c>
      <c r="W5136" s="1">
        <v>92.45</v>
      </c>
      <c r="X5136" s="1" t="s">
        <v>35</v>
      </c>
      <c r="Y5136" s="1">
        <v>92450</v>
      </c>
      <c r="Z5136" s="1"/>
      <c r="AA5136" s="1">
        <v>92450</v>
      </c>
      <c r="AB5136" s="1"/>
      <c r="AC5136" s="1" t="s">
        <v>36</v>
      </c>
      <c r="AD5136" s="1" t="s">
        <v>17454</v>
      </c>
      <c r="AE5136" s="1" t="s">
        <v>32</v>
      </c>
      <c r="AF5136" s="1" t="s">
        <v>33</v>
      </c>
      <c r="AG5136" s="1" t="s">
        <v>95</v>
      </c>
    </row>
    <row r="5137" spans="1:33">
      <c r="A5137" t="s">
        <v>17455</v>
      </c>
      <c r="C5137" t="s">
        <v>3783</v>
      </c>
      <c r="E5137" t="s">
        <v>17332</v>
      </c>
      <c r="F5137" t="s">
        <v>16399</v>
      </c>
      <c r="G5137">
        <v>431.7</v>
      </c>
      <c r="H5137">
        <v>431.7</v>
      </c>
      <c r="I5137" t="s">
        <v>269</v>
      </c>
      <c r="J5137" t="s">
        <v>270</v>
      </c>
      <c r="K5137" t="s">
        <v>31</v>
      </c>
      <c r="L5137" t="s">
        <v>32</v>
      </c>
      <c r="M5137" t="s">
        <v>33</v>
      </c>
      <c r="P5137" s="1" t="s">
        <v>17456</v>
      </c>
      <c r="Q5137" s="1" t="s">
        <v>17332</v>
      </c>
      <c r="R5137" s="1" t="s">
        <v>17332</v>
      </c>
      <c r="S5137" s="1"/>
      <c r="T5137" s="1" t="s">
        <v>3785</v>
      </c>
      <c r="U5137" s="1" t="s">
        <v>3786</v>
      </c>
      <c r="V5137" s="1">
        <v>431.7</v>
      </c>
      <c r="W5137" s="1">
        <v>431.7</v>
      </c>
      <c r="X5137" s="1" t="s">
        <v>35</v>
      </c>
      <c r="Y5137" s="1">
        <v>431700</v>
      </c>
      <c r="Z5137" s="1"/>
      <c r="AA5137" s="1">
        <v>431700</v>
      </c>
      <c r="AB5137" s="1"/>
      <c r="AC5137" s="1" t="s">
        <v>36</v>
      </c>
      <c r="AD5137" s="1" t="s">
        <v>17440</v>
      </c>
      <c r="AE5137" s="1" t="s">
        <v>32</v>
      </c>
      <c r="AF5137" s="1" t="s">
        <v>33</v>
      </c>
      <c r="AG5137" s="1" t="s">
        <v>270</v>
      </c>
    </row>
    <row r="5138" spans="1:33">
      <c r="A5138" t="s">
        <v>17457</v>
      </c>
      <c r="B5138" t="s">
        <v>1772</v>
      </c>
      <c r="C5138" t="s">
        <v>1773</v>
      </c>
      <c r="D5138" t="s">
        <v>154</v>
      </c>
      <c r="E5138" t="s">
        <v>17332</v>
      </c>
      <c r="F5138" t="s">
        <v>16399</v>
      </c>
      <c r="G5138">
        <v>4.755</v>
      </c>
      <c r="H5138">
        <v>4.755</v>
      </c>
      <c r="I5138" t="s">
        <v>29</v>
      </c>
      <c r="J5138" t="s">
        <v>30</v>
      </c>
      <c r="K5138" t="s">
        <v>31</v>
      </c>
      <c r="L5138" t="s">
        <v>32</v>
      </c>
      <c r="M5138" t="s">
        <v>33</v>
      </c>
      <c r="P5138" s="1" t="s">
        <v>17458</v>
      </c>
      <c r="Q5138" s="1" t="s">
        <v>17332</v>
      </c>
      <c r="R5138" s="1" t="s">
        <v>17332</v>
      </c>
      <c r="S5138" s="1"/>
      <c r="T5138" s="1" t="s">
        <v>1773</v>
      </c>
      <c r="U5138" s="1"/>
      <c r="V5138" s="1">
        <v>4.755</v>
      </c>
      <c r="W5138" s="1">
        <v>4.755</v>
      </c>
      <c r="X5138" s="1" t="s">
        <v>35</v>
      </c>
      <c r="Y5138" s="1">
        <v>4755000</v>
      </c>
      <c r="Z5138" s="1"/>
      <c r="AA5138" s="1">
        <v>4694600</v>
      </c>
      <c r="AB5138" s="1">
        <v>60400</v>
      </c>
      <c r="AC5138" s="1" t="s">
        <v>36</v>
      </c>
      <c r="AD5138" s="1" t="s">
        <v>17459</v>
      </c>
      <c r="AE5138" s="1" t="s">
        <v>32</v>
      </c>
      <c r="AF5138" s="1" t="s">
        <v>33</v>
      </c>
      <c r="AG5138" s="1" t="s">
        <v>30</v>
      </c>
    </row>
    <row r="5139" spans="1:33">
      <c r="A5139" t="s">
        <v>17460</v>
      </c>
      <c r="B5139" t="s">
        <v>1598</v>
      </c>
      <c r="C5139" t="s">
        <v>827</v>
      </c>
      <c r="D5139" t="s">
        <v>154</v>
      </c>
      <c r="E5139" t="s">
        <v>17332</v>
      </c>
      <c r="F5139" t="s">
        <v>16399</v>
      </c>
      <c r="G5139">
        <v>2.191</v>
      </c>
      <c r="H5139">
        <v>2.191</v>
      </c>
      <c r="I5139" t="s">
        <v>529</v>
      </c>
      <c r="J5139" t="s">
        <v>530</v>
      </c>
      <c r="K5139" t="s">
        <v>31</v>
      </c>
      <c r="L5139" t="s">
        <v>32</v>
      </c>
      <c r="M5139" t="s">
        <v>33</v>
      </c>
      <c r="P5139" s="1" t="s">
        <v>17461</v>
      </c>
      <c r="Q5139" s="1" t="s">
        <v>17332</v>
      </c>
      <c r="R5139" s="1" t="s">
        <v>16369</v>
      </c>
      <c r="S5139" s="1"/>
      <c r="T5139" s="1" t="s">
        <v>827</v>
      </c>
      <c r="U5139" s="1"/>
      <c r="V5139" s="1">
        <v>2.191</v>
      </c>
      <c r="W5139" s="1">
        <v>2.191</v>
      </c>
      <c r="X5139" s="1" t="s">
        <v>35</v>
      </c>
      <c r="Y5139" s="1">
        <v>2191500</v>
      </c>
      <c r="Z5139" s="1"/>
      <c r="AA5139" s="1">
        <v>2191500</v>
      </c>
      <c r="AB5139" s="1"/>
      <c r="AC5139" s="1" t="s">
        <v>36</v>
      </c>
      <c r="AD5139" s="1" t="s">
        <v>17440</v>
      </c>
      <c r="AE5139" s="1" t="s">
        <v>32</v>
      </c>
      <c r="AF5139" s="1" t="s">
        <v>33</v>
      </c>
      <c r="AG5139" s="1" t="s">
        <v>530</v>
      </c>
    </row>
    <row r="5140" spans="1:33">
      <c r="A5140" t="s">
        <v>17462</v>
      </c>
      <c r="B5140" t="s">
        <v>17463</v>
      </c>
      <c r="C5140" t="s">
        <v>47</v>
      </c>
      <c r="E5140" t="s">
        <v>17332</v>
      </c>
      <c r="F5140" t="s">
        <v>16399</v>
      </c>
      <c r="G5140">
        <v>42.98</v>
      </c>
      <c r="H5140">
        <v>42.98</v>
      </c>
      <c r="I5140" t="s">
        <v>2206</v>
      </c>
      <c r="J5140" t="s">
        <v>49</v>
      </c>
      <c r="K5140" t="s">
        <v>31</v>
      </c>
      <c r="L5140" t="s">
        <v>32</v>
      </c>
      <c r="M5140" t="s">
        <v>33</v>
      </c>
      <c r="P5140" s="1" t="s">
        <v>17464</v>
      </c>
      <c r="Q5140" s="1" t="s">
        <v>17332</v>
      </c>
      <c r="R5140" s="1" t="s">
        <v>17332</v>
      </c>
      <c r="S5140" s="1"/>
      <c r="T5140" s="1" t="s">
        <v>47</v>
      </c>
      <c r="U5140" s="1"/>
      <c r="V5140" s="1">
        <v>42.98</v>
      </c>
      <c r="W5140" s="1">
        <v>42.98</v>
      </c>
      <c r="X5140" s="1" t="s">
        <v>35</v>
      </c>
      <c r="Y5140" s="1">
        <v>42980</v>
      </c>
      <c r="Z5140" s="1"/>
      <c r="AA5140" s="1">
        <v>42980</v>
      </c>
      <c r="AB5140" s="1"/>
      <c r="AC5140" s="1" t="s">
        <v>36</v>
      </c>
      <c r="AD5140" s="1" t="s">
        <v>17465</v>
      </c>
      <c r="AE5140" s="1" t="s">
        <v>32</v>
      </c>
      <c r="AF5140" s="1" t="s">
        <v>33</v>
      </c>
      <c r="AG5140" s="1" t="s">
        <v>49</v>
      </c>
    </row>
    <row r="5141" spans="1:33">
      <c r="A5141" t="s">
        <v>17466</v>
      </c>
      <c r="B5141" t="s">
        <v>4853</v>
      </c>
      <c r="C5141" t="s">
        <v>268</v>
      </c>
      <c r="E5141" t="s">
        <v>17332</v>
      </c>
      <c r="F5141" t="s">
        <v>16399</v>
      </c>
      <c r="G5141">
        <v>16.9</v>
      </c>
      <c r="H5141">
        <v>16.9</v>
      </c>
      <c r="I5141" t="s">
        <v>269</v>
      </c>
      <c r="J5141" t="s">
        <v>270</v>
      </c>
      <c r="K5141" t="s">
        <v>31</v>
      </c>
      <c r="L5141" t="s">
        <v>32</v>
      </c>
      <c r="M5141" t="s">
        <v>33</v>
      </c>
      <c r="P5141" s="1" t="s">
        <v>17467</v>
      </c>
      <c r="Q5141" s="1" t="s">
        <v>17332</v>
      </c>
      <c r="R5141" s="1" t="s">
        <v>17332</v>
      </c>
      <c r="S5141" s="1"/>
      <c r="T5141" s="1" t="s">
        <v>268</v>
      </c>
      <c r="U5141" s="1"/>
      <c r="V5141" s="1">
        <v>16.9</v>
      </c>
      <c r="W5141" s="1">
        <v>16.9</v>
      </c>
      <c r="X5141" s="1" t="s">
        <v>35</v>
      </c>
      <c r="Y5141" s="1">
        <v>16900</v>
      </c>
      <c r="Z5141" s="1"/>
      <c r="AA5141" s="1">
        <v>16900</v>
      </c>
      <c r="AB5141" s="1"/>
      <c r="AC5141" s="1" t="s">
        <v>36</v>
      </c>
      <c r="AD5141" s="1" t="s">
        <v>17468</v>
      </c>
      <c r="AE5141" s="1" t="s">
        <v>32</v>
      </c>
      <c r="AF5141" s="1" t="s">
        <v>33</v>
      </c>
      <c r="AG5141" s="1" t="s">
        <v>270</v>
      </c>
    </row>
    <row r="5142" spans="1:33">
      <c r="A5142" t="s">
        <v>17469</v>
      </c>
      <c r="C5142" t="s">
        <v>786</v>
      </c>
      <c r="E5142" t="s">
        <v>17332</v>
      </c>
      <c r="F5142" t="s">
        <v>16399</v>
      </c>
      <c r="G5142">
        <v>2.43</v>
      </c>
      <c r="H5142">
        <v>2.43</v>
      </c>
      <c r="I5142" t="s">
        <v>269</v>
      </c>
      <c r="J5142" t="s">
        <v>270</v>
      </c>
      <c r="K5142" t="s">
        <v>31</v>
      </c>
      <c r="L5142" t="s">
        <v>32</v>
      </c>
      <c r="M5142" t="s">
        <v>33</v>
      </c>
      <c r="P5142" s="1" t="s">
        <v>17470</v>
      </c>
      <c r="Q5142" s="1" t="s">
        <v>17332</v>
      </c>
      <c r="R5142" s="1" t="s">
        <v>17332</v>
      </c>
      <c r="S5142" s="1"/>
      <c r="T5142" s="1" t="s">
        <v>786</v>
      </c>
      <c r="U5142" s="1"/>
      <c r="V5142" s="1">
        <v>2.43</v>
      </c>
      <c r="W5142" s="1">
        <v>2.43</v>
      </c>
      <c r="X5142" s="1" t="s">
        <v>35</v>
      </c>
      <c r="Y5142" s="1">
        <v>2430000</v>
      </c>
      <c r="Z5142" s="1"/>
      <c r="AA5142" s="1">
        <v>2430000</v>
      </c>
      <c r="AB5142" s="1"/>
      <c r="AC5142" s="1" t="s">
        <v>36</v>
      </c>
      <c r="AD5142" s="1" t="s">
        <v>17428</v>
      </c>
      <c r="AE5142" s="1" t="s">
        <v>32</v>
      </c>
      <c r="AF5142" s="1" t="s">
        <v>33</v>
      </c>
      <c r="AG5142" s="1" t="s">
        <v>270</v>
      </c>
    </row>
    <row r="5143" spans="1:33">
      <c r="A5143" t="s">
        <v>17471</v>
      </c>
      <c r="B5143" t="s">
        <v>17472</v>
      </c>
      <c r="C5143" t="s">
        <v>26</v>
      </c>
      <c r="E5143" t="s">
        <v>17332</v>
      </c>
      <c r="F5143" t="s">
        <v>16370</v>
      </c>
      <c r="G5143">
        <v>20.99</v>
      </c>
      <c r="H5143">
        <v>20.99</v>
      </c>
      <c r="I5143" t="s">
        <v>29</v>
      </c>
      <c r="J5143" t="s">
        <v>30</v>
      </c>
      <c r="K5143" t="s">
        <v>31</v>
      </c>
      <c r="L5143" t="s">
        <v>32</v>
      </c>
      <c r="M5143" t="s">
        <v>33</v>
      </c>
      <c r="P5143" s="1" t="s">
        <v>17473</v>
      </c>
      <c r="Q5143" s="1" t="s">
        <v>17332</v>
      </c>
      <c r="R5143" s="1" t="s">
        <v>17332</v>
      </c>
      <c r="S5143" s="1"/>
      <c r="T5143" s="1" t="s">
        <v>26</v>
      </c>
      <c r="U5143" s="1"/>
      <c r="V5143" s="1">
        <v>20.99</v>
      </c>
      <c r="W5143" s="1">
        <v>20.99</v>
      </c>
      <c r="X5143" s="1" t="s">
        <v>35</v>
      </c>
      <c r="Y5143" s="1">
        <v>20990</v>
      </c>
      <c r="Z5143" s="1"/>
      <c r="AA5143" s="1">
        <v>20990</v>
      </c>
      <c r="AB5143" s="1"/>
      <c r="AC5143" s="1" t="s">
        <v>36</v>
      </c>
      <c r="AD5143" s="1" t="s">
        <v>17474</v>
      </c>
      <c r="AE5143" s="1" t="s">
        <v>32</v>
      </c>
      <c r="AF5143" s="1" t="s">
        <v>33</v>
      </c>
      <c r="AG5143" s="1" t="s">
        <v>30</v>
      </c>
    </row>
    <row r="5144" spans="1:33">
      <c r="A5144" t="s">
        <v>17475</v>
      </c>
      <c r="B5144" t="s">
        <v>17476</v>
      </c>
      <c r="C5144" t="s">
        <v>268</v>
      </c>
      <c r="E5144" t="s">
        <v>17332</v>
      </c>
      <c r="F5144" t="s">
        <v>16399</v>
      </c>
      <c r="G5144">
        <v>49.75</v>
      </c>
      <c r="H5144">
        <v>49.75</v>
      </c>
      <c r="I5144" t="s">
        <v>269</v>
      </c>
      <c r="J5144" t="s">
        <v>270</v>
      </c>
      <c r="K5144" t="s">
        <v>31</v>
      </c>
      <c r="L5144" t="s">
        <v>32</v>
      </c>
      <c r="M5144" t="s">
        <v>33</v>
      </c>
      <c r="P5144" s="1" t="s">
        <v>17477</v>
      </c>
      <c r="Q5144" s="1" t="s">
        <v>17332</v>
      </c>
      <c r="R5144" s="1" t="s">
        <v>17332</v>
      </c>
      <c r="S5144" s="1"/>
      <c r="T5144" s="1" t="s">
        <v>268</v>
      </c>
      <c r="U5144" s="1"/>
      <c r="V5144" s="1">
        <v>49.75</v>
      </c>
      <c r="W5144" s="1">
        <v>49.75</v>
      </c>
      <c r="X5144" s="1" t="s">
        <v>35</v>
      </c>
      <c r="Y5144" s="1">
        <v>49750</v>
      </c>
      <c r="Z5144" s="1"/>
      <c r="AA5144" s="1">
        <v>49750</v>
      </c>
      <c r="AB5144" s="1"/>
      <c r="AC5144" s="1" t="s">
        <v>36</v>
      </c>
      <c r="AD5144" s="1" t="s">
        <v>17478</v>
      </c>
      <c r="AE5144" s="1" t="s">
        <v>32</v>
      </c>
      <c r="AF5144" s="1" t="s">
        <v>33</v>
      </c>
      <c r="AG5144" s="1" t="s">
        <v>270</v>
      </c>
    </row>
    <row r="5145" spans="1:33">
      <c r="A5145" t="s">
        <v>17479</v>
      </c>
      <c r="B5145" t="s">
        <v>16223</v>
      </c>
      <c r="C5145" t="s">
        <v>68</v>
      </c>
      <c r="E5145" t="s">
        <v>17332</v>
      </c>
      <c r="F5145" t="s">
        <v>16399</v>
      </c>
      <c r="G5145">
        <v>13.0</v>
      </c>
      <c r="H5145">
        <v>13.0</v>
      </c>
      <c r="I5145" t="s">
        <v>59</v>
      </c>
      <c r="J5145" t="s">
        <v>60</v>
      </c>
      <c r="K5145" t="s">
        <v>31</v>
      </c>
      <c r="L5145" t="s">
        <v>32</v>
      </c>
      <c r="M5145" t="s">
        <v>33</v>
      </c>
      <c r="P5145" s="1" t="s">
        <v>17480</v>
      </c>
      <c r="Q5145" s="1" t="s">
        <v>17332</v>
      </c>
      <c r="R5145" s="1" t="s">
        <v>17332</v>
      </c>
      <c r="S5145" s="1"/>
      <c r="T5145" s="1" t="s">
        <v>68</v>
      </c>
      <c r="U5145" s="1"/>
      <c r="V5145" s="1">
        <v>13.0</v>
      </c>
      <c r="W5145" s="1">
        <v>13.0</v>
      </c>
      <c r="X5145" s="1" t="s">
        <v>35</v>
      </c>
      <c r="Y5145" s="1">
        <v>13000</v>
      </c>
      <c r="Z5145" s="1"/>
      <c r="AA5145" s="1">
        <v>13000</v>
      </c>
      <c r="AB5145" s="1"/>
      <c r="AC5145" s="1" t="s">
        <v>36</v>
      </c>
      <c r="AD5145" s="1" t="s">
        <v>17481</v>
      </c>
      <c r="AE5145" s="1" t="s">
        <v>32</v>
      </c>
      <c r="AF5145" s="1" t="s">
        <v>33</v>
      </c>
      <c r="AG5145" s="1" t="s">
        <v>60</v>
      </c>
    </row>
    <row r="5146" spans="1:33">
      <c r="A5146" t="s">
        <v>17482</v>
      </c>
      <c r="C5146" t="s">
        <v>1940</v>
      </c>
      <c r="E5146" t="s">
        <v>17332</v>
      </c>
      <c r="F5146" t="s">
        <v>16399</v>
      </c>
      <c r="G5146">
        <v>544.0</v>
      </c>
      <c r="H5146">
        <v>544.0</v>
      </c>
      <c r="I5146" t="s">
        <v>269</v>
      </c>
      <c r="J5146" t="s">
        <v>270</v>
      </c>
      <c r="K5146" t="s">
        <v>31</v>
      </c>
      <c r="L5146" t="s">
        <v>32</v>
      </c>
      <c r="M5146" t="s">
        <v>33</v>
      </c>
      <c r="P5146" s="1" t="s">
        <v>17483</v>
      </c>
      <c r="Q5146" s="1" t="s">
        <v>17332</v>
      </c>
      <c r="R5146" s="1" t="s">
        <v>17332</v>
      </c>
      <c r="S5146" s="1"/>
      <c r="T5146" s="1" t="s">
        <v>1940</v>
      </c>
      <c r="U5146" s="1"/>
      <c r="V5146" s="1">
        <v>544.0</v>
      </c>
      <c r="W5146" s="1">
        <v>544.0</v>
      </c>
      <c r="X5146" s="1" t="s">
        <v>35</v>
      </c>
      <c r="Y5146" s="1">
        <v>544000</v>
      </c>
      <c r="Z5146" s="1"/>
      <c r="AA5146" s="1">
        <v>544000</v>
      </c>
      <c r="AB5146" s="1"/>
      <c r="AC5146" s="1" t="s">
        <v>36</v>
      </c>
      <c r="AD5146" s="1" t="s">
        <v>17484</v>
      </c>
      <c r="AE5146" s="1" t="s">
        <v>32</v>
      </c>
      <c r="AF5146" s="1" t="s">
        <v>33</v>
      </c>
      <c r="AG5146" s="1" t="s">
        <v>270</v>
      </c>
    </row>
    <row r="5147" spans="1:33">
      <c r="A5147" t="s">
        <v>17485</v>
      </c>
      <c r="B5147" t="s">
        <v>1031</v>
      </c>
      <c r="C5147" t="s">
        <v>569</v>
      </c>
      <c r="E5147" t="s">
        <v>17332</v>
      </c>
      <c r="F5147" t="s">
        <v>16399</v>
      </c>
      <c r="G5147">
        <v>1.36</v>
      </c>
      <c r="H5147">
        <v>1.36</v>
      </c>
      <c r="I5147" t="s">
        <v>570</v>
      </c>
      <c r="J5147" t="s">
        <v>571</v>
      </c>
      <c r="K5147" t="s">
        <v>31</v>
      </c>
      <c r="L5147" t="s">
        <v>32</v>
      </c>
      <c r="M5147" t="s">
        <v>33</v>
      </c>
      <c r="P5147" s="1" t="s">
        <v>17486</v>
      </c>
      <c r="Q5147" s="1" t="s">
        <v>17332</v>
      </c>
      <c r="R5147" s="1" t="s">
        <v>17332</v>
      </c>
      <c r="S5147" s="1"/>
      <c r="T5147" s="1" t="s">
        <v>569</v>
      </c>
      <c r="U5147" s="1"/>
      <c r="V5147" s="1">
        <v>1.36</v>
      </c>
      <c r="W5147" s="1">
        <v>1.36</v>
      </c>
      <c r="X5147" s="1" t="s">
        <v>35</v>
      </c>
      <c r="Y5147" s="1">
        <v>1360</v>
      </c>
      <c r="Z5147" s="1"/>
      <c r="AA5147" s="1">
        <v>1360</v>
      </c>
      <c r="AB5147" s="1"/>
      <c r="AC5147" s="1" t="s">
        <v>36</v>
      </c>
      <c r="AD5147" s="1" t="s">
        <v>17487</v>
      </c>
      <c r="AE5147" s="1" t="s">
        <v>32</v>
      </c>
      <c r="AF5147" s="1" t="s">
        <v>33</v>
      </c>
      <c r="AG5147" s="1" t="s">
        <v>571</v>
      </c>
    </row>
    <row r="5148" spans="1:33">
      <c r="A5148" t="s">
        <v>17488</v>
      </c>
      <c r="B5148" t="s">
        <v>2300</v>
      </c>
      <c r="C5148" t="s">
        <v>26</v>
      </c>
      <c r="E5148" t="s">
        <v>17332</v>
      </c>
      <c r="F5148" t="s">
        <v>16399</v>
      </c>
      <c r="G5148">
        <v>5.95</v>
      </c>
      <c r="H5148">
        <v>5.95</v>
      </c>
      <c r="I5148" t="s">
        <v>29</v>
      </c>
      <c r="J5148" t="s">
        <v>30</v>
      </c>
      <c r="K5148" t="s">
        <v>31</v>
      </c>
      <c r="L5148" t="s">
        <v>32</v>
      </c>
      <c r="M5148" t="s">
        <v>33</v>
      </c>
      <c r="P5148" s="1" t="s">
        <v>17489</v>
      </c>
      <c r="Q5148" s="1" t="s">
        <v>17332</v>
      </c>
      <c r="R5148" s="1" t="s">
        <v>17332</v>
      </c>
      <c r="S5148" s="1"/>
      <c r="T5148" s="1" t="s">
        <v>26</v>
      </c>
      <c r="U5148" s="1"/>
      <c r="V5148" s="1">
        <v>5.95</v>
      </c>
      <c r="W5148" s="1">
        <v>5.95</v>
      </c>
      <c r="X5148" s="1" t="s">
        <v>35</v>
      </c>
      <c r="Y5148" s="1">
        <v>5950</v>
      </c>
      <c r="Z5148" s="1"/>
      <c r="AA5148" s="1">
        <v>5950</v>
      </c>
      <c r="AB5148" s="1"/>
      <c r="AC5148" s="1" t="s">
        <v>36</v>
      </c>
      <c r="AD5148" s="1" t="s">
        <v>17490</v>
      </c>
      <c r="AE5148" s="1" t="s">
        <v>32</v>
      </c>
      <c r="AF5148" s="1" t="s">
        <v>33</v>
      </c>
      <c r="AG5148" s="1" t="s">
        <v>30</v>
      </c>
    </row>
    <row r="5149" spans="1:33">
      <c r="A5149" t="s">
        <v>17491</v>
      </c>
      <c r="B5149" t="s">
        <v>17492</v>
      </c>
      <c r="C5149" t="s">
        <v>172</v>
      </c>
      <c r="E5149" t="s">
        <v>17332</v>
      </c>
      <c r="F5149" t="s">
        <v>16399</v>
      </c>
      <c r="G5149">
        <v>9.095</v>
      </c>
      <c r="H5149">
        <v>9.095</v>
      </c>
      <c r="I5149" t="s">
        <v>173</v>
      </c>
      <c r="J5149" t="s">
        <v>174</v>
      </c>
      <c r="K5149" t="s">
        <v>31</v>
      </c>
      <c r="L5149" t="s">
        <v>32</v>
      </c>
      <c r="M5149" t="s">
        <v>33</v>
      </c>
      <c r="P5149" s="1" t="s">
        <v>17493</v>
      </c>
      <c r="Q5149" s="1" t="s">
        <v>17332</v>
      </c>
      <c r="R5149" s="1" t="s">
        <v>17332</v>
      </c>
      <c r="S5149" s="1"/>
      <c r="T5149" s="1" t="s">
        <v>172</v>
      </c>
      <c r="U5149" s="1"/>
      <c r="V5149" s="1">
        <v>9.095</v>
      </c>
      <c r="W5149" s="1">
        <v>9.095</v>
      </c>
      <c r="X5149" s="1" t="s">
        <v>35</v>
      </c>
      <c r="Y5149" s="1">
        <v>9095</v>
      </c>
      <c r="Z5149" s="1"/>
      <c r="AA5149" s="1">
        <v>9095</v>
      </c>
      <c r="AB5149" s="1"/>
      <c r="AC5149" s="1" t="s">
        <v>36</v>
      </c>
      <c r="AD5149" s="1" t="s">
        <v>17494</v>
      </c>
      <c r="AE5149" s="1" t="s">
        <v>32</v>
      </c>
      <c r="AF5149" s="1" t="s">
        <v>33</v>
      </c>
      <c r="AG5149" s="1" t="s">
        <v>174</v>
      </c>
    </row>
    <row r="5150" spans="1:33">
      <c r="A5150" t="s">
        <v>17495</v>
      </c>
      <c r="C5150" t="s">
        <v>5511</v>
      </c>
      <c r="D5150" t="s">
        <v>114</v>
      </c>
      <c r="E5150" t="s">
        <v>17332</v>
      </c>
      <c r="F5150" t="s">
        <v>16399</v>
      </c>
      <c r="G5150">
        <v>1.463</v>
      </c>
      <c r="H5150">
        <v>1.463</v>
      </c>
      <c r="I5150" t="s">
        <v>2206</v>
      </c>
      <c r="J5150" t="s">
        <v>49</v>
      </c>
      <c r="K5150" t="s">
        <v>31</v>
      </c>
      <c r="L5150" t="s">
        <v>32</v>
      </c>
      <c r="M5150" t="s">
        <v>33</v>
      </c>
      <c r="P5150" s="1" t="s">
        <v>17496</v>
      </c>
      <c r="Q5150" s="1" t="s">
        <v>17332</v>
      </c>
      <c r="R5150" s="1" t="s">
        <v>17332</v>
      </c>
      <c r="S5150" s="1"/>
      <c r="T5150" s="1" t="s">
        <v>5513</v>
      </c>
      <c r="U5150" s="1" t="s">
        <v>5514</v>
      </c>
      <c r="V5150" s="1">
        <v>1.463</v>
      </c>
      <c r="W5150" s="1">
        <v>1.463</v>
      </c>
      <c r="X5150" s="1" t="s">
        <v>35</v>
      </c>
      <c r="Y5150" s="1">
        <v>1463550</v>
      </c>
      <c r="Z5150" s="1"/>
      <c r="AA5150" s="1">
        <v>1463550</v>
      </c>
      <c r="AB5150" s="1"/>
      <c r="AC5150" s="1" t="s">
        <v>36</v>
      </c>
      <c r="AD5150" s="1" t="s">
        <v>17497</v>
      </c>
      <c r="AE5150" s="1" t="s">
        <v>32</v>
      </c>
      <c r="AF5150" s="1" t="s">
        <v>33</v>
      </c>
      <c r="AG5150" s="1" t="s">
        <v>49</v>
      </c>
    </row>
    <row r="5151" spans="1:33">
      <c r="A5151" t="s">
        <v>17498</v>
      </c>
      <c r="B5151" t="s">
        <v>17499</v>
      </c>
      <c r="C5151" t="s">
        <v>268</v>
      </c>
      <c r="E5151" t="s">
        <v>17332</v>
      </c>
      <c r="F5151" t="s">
        <v>16399</v>
      </c>
      <c r="G5151">
        <v>40.25</v>
      </c>
      <c r="H5151">
        <v>40.25</v>
      </c>
      <c r="I5151" t="s">
        <v>269</v>
      </c>
      <c r="J5151" t="s">
        <v>270</v>
      </c>
      <c r="K5151" t="s">
        <v>31</v>
      </c>
      <c r="L5151" t="s">
        <v>32</v>
      </c>
      <c r="M5151" t="s">
        <v>33</v>
      </c>
      <c r="P5151" s="1" t="s">
        <v>17500</v>
      </c>
      <c r="Q5151" s="1" t="s">
        <v>17332</v>
      </c>
      <c r="R5151" s="1" t="s">
        <v>17332</v>
      </c>
      <c r="S5151" s="1"/>
      <c r="T5151" s="1" t="s">
        <v>268</v>
      </c>
      <c r="U5151" s="1"/>
      <c r="V5151" s="1">
        <v>40.25</v>
      </c>
      <c r="W5151" s="1">
        <v>40.25</v>
      </c>
      <c r="X5151" s="1" t="s">
        <v>35</v>
      </c>
      <c r="Y5151" s="1">
        <v>40250</v>
      </c>
      <c r="Z5151" s="1"/>
      <c r="AA5151" s="1">
        <v>40250</v>
      </c>
      <c r="AB5151" s="1"/>
      <c r="AC5151" s="1" t="s">
        <v>36</v>
      </c>
      <c r="AD5151" s="1" t="s">
        <v>17501</v>
      </c>
      <c r="AE5151" s="1" t="s">
        <v>32</v>
      </c>
      <c r="AF5151" s="1" t="s">
        <v>33</v>
      </c>
      <c r="AG5151" s="1" t="s">
        <v>270</v>
      </c>
    </row>
    <row r="5152" spans="1:33">
      <c r="A5152" t="s">
        <v>17502</v>
      </c>
      <c r="B5152" t="s">
        <v>3957</v>
      </c>
      <c r="C5152" t="s">
        <v>125</v>
      </c>
      <c r="E5152" t="s">
        <v>17332</v>
      </c>
      <c r="F5152" t="s">
        <v>16399</v>
      </c>
      <c r="G5152">
        <v>9.084</v>
      </c>
      <c r="H5152">
        <v>9.084</v>
      </c>
      <c r="I5152" t="s">
        <v>126</v>
      </c>
      <c r="J5152" t="s">
        <v>127</v>
      </c>
      <c r="K5152" t="s">
        <v>31</v>
      </c>
      <c r="L5152" t="s">
        <v>32</v>
      </c>
      <c r="M5152" t="s">
        <v>33</v>
      </c>
      <c r="P5152" s="1" t="s">
        <v>17503</v>
      </c>
      <c r="Q5152" s="1" t="s">
        <v>17332</v>
      </c>
      <c r="R5152" s="1" t="s">
        <v>17332</v>
      </c>
      <c r="S5152" s="1"/>
      <c r="T5152" s="1" t="s">
        <v>125</v>
      </c>
      <c r="U5152" s="1"/>
      <c r="V5152" s="1">
        <v>9.084</v>
      </c>
      <c r="W5152" s="1">
        <v>9.084</v>
      </c>
      <c r="X5152" s="1" t="s">
        <v>35</v>
      </c>
      <c r="Y5152" s="1">
        <v>9084</v>
      </c>
      <c r="Z5152" s="1"/>
      <c r="AA5152" s="1">
        <v>9084</v>
      </c>
      <c r="AB5152" s="1"/>
      <c r="AC5152" s="1" t="s">
        <v>36</v>
      </c>
      <c r="AD5152" s="1" t="s">
        <v>17504</v>
      </c>
      <c r="AE5152" s="1" t="s">
        <v>32</v>
      </c>
      <c r="AF5152" s="1" t="s">
        <v>33</v>
      </c>
      <c r="AG5152" s="1" t="s">
        <v>127</v>
      </c>
    </row>
    <row r="5153" spans="1:33">
      <c r="A5153" t="s">
        <v>17505</v>
      </c>
      <c r="B5153" t="s">
        <v>17506</v>
      </c>
      <c r="C5153" t="s">
        <v>47</v>
      </c>
      <c r="E5153" t="s">
        <v>17332</v>
      </c>
      <c r="F5153" t="s">
        <v>16399</v>
      </c>
      <c r="G5153">
        <v>76.22</v>
      </c>
      <c r="H5153">
        <v>76.22</v>
      </c>
      <c r="I5153" t="s">
        <v>2206</v>
      </c>
      <c r="J5153" t="s">
        <v>49</v>
      </c>
      <c r="K5153" t="s">
        <v>31</v>
      </c>
      <c r="L5153" t="s">
        <v>32</v>
      </c>
      <c r="M5153" t="s">
        <v>33</v>
      </c>
      <c r="P5153" s="1" t="s">
        <v>17507</v>
      </c>
      <c r="Q5153" s="1" t="s">
        <v>17332</v>
      </c>
      <c r="R5153" s="1" t="s">
        <v>17332</v>
      </c>
      <c r="S5153" s="1"/>
      <c r="T5153" s="1" t="s">
        <v>47</v>
      </c>
      <c r="U5153" s="1"/>
      <c r="V5153" s="1">
        <v>76.22</v>
      </c>
      <c r="W5153" s="1">
        <v>76.22</v>
      </c>
      <c r="X5153" s="1" t="s">
        <v>35</v>
      </c>
      <c r="Y5153" s="1">
        <v>76220</v>
      </c>
      <c r="Z5153" s="1"/>
      <c r="AA5153" s="1">
        <v>76220</v>
      </c>
      <c r="AB5153" s="1"/>
      <c r="AC5153" s="1" t="s">
        <v>36</v>
      </c>
      <c r="AD5153" s="1" t="s">
        <v>17508</v>
      </c>
      <c r="AE5153" s="1" t="s">
        <v>32</v>
      </c>
      <c r="AF5153" s="1" t="s">
        <v>33</v>
      </c>
      <c r="AG5153" s="1" t="s">
        <v>49</v>
      </c>
    </row>
    <row r="5154" spans="1:33">
      <c r="A5154" t="s">
        <v>17509</v>
      </c>
      <c r="B5154" t="s">
        <v>17510</v>
      </c>
      <c r="C5154" t="s">
        <v>268</v>
      </c>
      <c r="E5154" t="s">
        <v>17332</v>
      </c>
      <c r="F5154" t="s">
        <v>16399</v>
      </c>
      <c r="G5154">
        <v>28.25</v>
      </c>
      <c r="H5154">
        <v>28.25</v>
      </c>
      <c r="I5154" t="s">
        <v>269</v>
      </c>
      <c r="J5154" t="s">
        <v>270</v>
      </c>
      <c r="K5154" t="s">
        <v>31</v>
      </c>
      <c r="L5154" t="s">
        <v>32</v>
      </c>
      <c r="M5154" t="s">
        <v>33</v>
      </c>
      <c r="P5154" s="1" t="s">
        <v>17511</v>
      </c>
      <c r="Q5154" s="1" t="s">
        <v>17332</v>
      </c>
      <c r="R5154" s="1" t="s">
        <v>17332</v>
      </c>
      <c r="S5154" s="1"/>
      <c r="T5154" s="1" t="s">
        <v>268</v>
      </c>
      <c r="U5154" s="1"/>
      <c r="V5154" s="1">
        <v>28.25</v>
      </c>
      <c r="W5154" s="1">
        <v>28.25</v>
      </c>
      <c r="X5154" s="1" t="s">
        <v>35</v>
      </c>
      <c r="Y5154" s="1">
        <v>28250</v>
      </c>
      <c r="Z5154" s="1"/>
      <c r="AA5154" s="1">
        <v>28250</v>
      </c>
      <c r="AB5154" s="1"/>
      <c r="AC5154" s="1" t="s">
        <v>36</v>
      </c>
      <c r="AD5154" s="1" t="s">
        <v>17512</v>
      </c>
      <c r="AE5154" s="1" t="s">
        <v>32</v>
      </c>
      <c r="AF5154" s="1" t="s">
        <v>33</v>
      </c>
      <c r="AG5154" s="1" t="s">
        <v>270</v>
      </c>
    </row>
    <row r="5155" spans="1:33">
      <c r="A5155" t="s">
        <v>17513</v>
      </c>
      <c r="B5155" t="s">
        <v>4558</v>
      </c>
      <c r="C5155" t="s">
        <v>125</v>
      </c>
      <c r="E5155" t="s">
        <v>17332</v>
      </c>
      <c r="F5155" t="s">
        <v>16399</v>
      </c>
      <c r="G5155">
        <v>10.8</v>
      </c>
      <c r="H5155">
        <v>10.8</v>
      </c>
      <c r="I5155" t="s">
        <v>126</v>
      </c>
      <c r="J5155" t="s">
        <v>127</v>
      </c>
      <c r="K5155" t="s">
        <v>31</v>
      </c>
      <c r="L5155" t="s">
        <v>32</v>
      </c>
      <c r="M5155" t="s">
        <v>33</v>
      </c>
      <c r="P5155" s="1" t="s">
        <v>17514</v>
      </c>
      <c r="Q5155" s="1" t="s">
        <v>17332</v>
      </c>
      <c r="R5155" s="1" t="s">
        <v>17332</v>
      </c>
      <c r="S5155" s="1"/>
      <c r="T5155" s="1" t="s">
        <v>125</v>
      </c>
      <c r="U5155" s="1"/>
      <c r="V5155" s="1">
        <v>10.8</v>
      </c>
      <c r="W5155" s="1">
        <v>10.8</v>
      </c>
      <c r="X5155" s="1" t="s">
        <v>35</v>
      </c>
      <c r="Y5155" s="1">
        <v>10800</v>
      </c>
      <c r="Z5155" s="1"/>
      <c r="AA5155" s="1">
        <v>10800</v>
      </c>
      <c r="AB5155" s="1"/>
      <c r="AC5155" s="1" t="s">
        <v>36</v>
      </c>
      <c r="AD5155" s="1" t="s">
        <v>17515</v>
      </c>
      <c r="AE5155" s="1" t="s">
        <v>32</v>
      </c>
      <c r="AF5155" s="1" t="s">
        <v>33</v>
      </c>
      <c r="AG5155" s="1" t="s">
        <v>127</v>
      </c>
    </row>
    <row r="5156" spans="1:33">
      <c r="A5156" t="s">
        <v>17516</v>
      </c>
      <c r="B5156" t="s">
        <v>17517</v>
      </c>
      <c r="C5156" t="s">
        <v>125</v>
      </c>
      <c r="E5156" t="s">
        <v>17332</v>
      </c>
      <c r="F5156" t="s">
        <v>16399</v>
      </c>
      <c r="G5156">
        <v>78.96</v>
      </c>
      <c r="H5156">
        <v>78.96</v>
      </c>
      <c r="I5156" t="s">
        <v>126</v>
      </c>
      <c r="J5156" t="s">
        <v>127</v>
      </c>
      <c r="K5156" t="s">
        <v>31</v>
      </c>
      <c r="L5156" t="s">
        <v>32</v>
      </c>
      <c r="M5156" t="s">
        <v>33</v>
      </c>
      <c r="P5156" s="1" t="s">
        <v>17518</v>
      </c>
      <c r="Q5156" s="1" t="s">
        <v>17332</v>
      </c>
      <c r="R5156" s="1" t="s">
        <v>17332</v>
      </c>
      <c r="S5156" s="1"/>
      <c r="T5156" s="1" t="s">
        <v>125</v>
      </c>
      <c r="U5156" s="1"/>
      <c r="V5156" s="1">
        <v>78.96</v>
      </c>
      <c r="W5156" s="1">
        <v>78.96</v>
      </c>
      <c r="X5156" s="1" t="s">
        <v>35</v>
      </c>
      <c r="Y5156" s="1">
        <v>78960</v>
      </c>
      <c r="Z5156" s="1"/>
      <c r="AA5156" s="1">
        <v>78960</v>
      </c>
      <c r="AB5156" s="1"/>
      <c r="AC5156" s="1" t="s">
        <v>36</v>
      </c>
      <c r="AD5156" s="1" t="s">
        <v>17370</v>
      </c>
      <c r="AE5156" s="1" t="s">
        <v>32</v>
      </c>
      <c r="AF5156" s="1" t="s">
        <v>33</v>
      </c>
      <c r="AG5156" s="1" t="s">
        <v>127</v>
      </c>
    </row>
    <row r="5157" spans="1:33">
      <c r="A5157" t="s">
        <v>17519</v>
      </c>
      <c r="C5157" t="s">
        <v>11363</v>
      </c>
      <c r="D5157" t="s">
        <v>154</v>
      </c>
      <c r="E5157" t="s">
        <v>17332</v>
      </c>
      <c r="F5157" t="s">
        <v>16399</v>
      </c>
      <c r="G5157">
        <v>763.0</v>
      </c>
      <c r="H5157">
        <v>763.0</v>
      </c>
      <c r="I5157" t="s">
        <v>269</v>
      </c>
      <c r="J5157" t="s">
        <v>270</v>
      </c>
      <c r="K5157" t="s">
        <v>31</v>
      </c>
      <c r="L5157" t="s">
        <v>32</v>
      </c>
      <c r="M5157" t="s">
        <v>33</v>
      </c>
      <c r="P5157" s="1" t="s">
        <v>17520</v>
      </c>
      <c r="Q5157" s="1" t="s">
        <v>17332</v>
      </c>
      <c r="R5157" s="1" t="s">
        <v>17332</v>
      </c>
      <c r="S5157" s="1"/>
      <c r="T5157" s="1" t="s">
        <v>11363</v>
      </c>
      <c r="U5157" s="1"/>
      <c r="V5157" s="1">
        <v>763.0</v>
      </c>
      <c r="W5157" s="1">
        <v>763.0</v>
      </c>
      <c r="X5157" s="1" t="s">
        <v>35</v>
      </c>
      <c r="Y5157" s="1">
        <v>763000</v>
      </c>
      <c r="Z5157" s="1"/>
      <c r="AA5157" s="1">
        <v>763000</v>
      </c>
      <c r="AB5157" s="1"/>
      <c r="AC5157" s="1" t="s">
        <v>36</v>
      </c>
      <c r="AD5157" s="1" t="s">
        <v>17521</v>
      </c>
      <c r="AE5157" s="1" t="s">
        <v>32</v>
      </c>
      <c r="AF5157" s="1" t="s">
        <v>33</v>
      </c>
      <c r="AG5157" s="1" t="s">
        <v>270</v>
      </c>
    </row>
    <row r="5158" spans="1:33">
      <c r="A5158" t="s">
        <v>17522</v>
      </c>
      <c r="C5158" t="s">
        <v>6076</v>
      </c>
      <c r="E5158" t="s">
        <v>17332</v>
      </c>
      <c r="F5158" t="s">
        <v>16399</v>
      </c>
      <c r="G5158">
        <v>733.75</v>
      </c>
      <c r="H5158">
        <v>733.75</v>
      </c>
      <c r="I5158" t="s">
        <v>2206</v>
      </c>
      <c r="J5158" t="s">
        <v>49</v>
      </c>
      <c r="K5158" t="s">
        <v>31</v>
      </c>
      <c r="L5158" t="s">
        <v>32</v>
      </c>
      <c r="M5158" t="s">
        <v>33</v>
      </c>
      <c r="P5158" s="1" t="s">
        <v>17523</v>
      </c>
      <c r="Q5158" s="1" t="s">
        <v>17332</v>
      </c>
      <c r="R5158" s="1" t="s">
        <v>17332</v>
      </c>
      <c r="S5158" s="1"/>
      <c r="T5158" s="1" t="s">
        <v>6076</v>
      </c>
      <c r="U5158" s="1"/>
      <c r="V5158" s="1">
        <v>733.75</v>
      </c>
      <c r="W5158" s="1">
        <v>733.75</v>
      </c>
      <c r="X5158" s="1" t="s">
        <v>35</v>
      </c>
      <c r="Y5158" s="1">
        <v>733750</v>
      </c>
      <c r="Z5158" s="1"/>
      <c r="AA5158" s="1">
        <v>733750</v>
      </c>
      <c r="AB5158" s="1"/>
      <c r="AC5158" s="1" t="s">
        <v>36</v>
      </c>
      <c r="AD5158" s="1" t="s">
        <v>17524</v>
      </c>
      <c r="AE5158" s="1" t="s">
        <v>32</v>
      </c>
      <c r="AF5158" s="1" t="s">
        <v>33</v>
      </c>
      <c r="AG5158" s="1" t="s">
        <v>49</v>
      </c>
    </row>
    <row r="5159" spans="1:33">
      <c r="A5159" t="s">
        <v>17525</v>
      </c>
      <c r="B5159" t="s">
        <v>17526</v>
      </c>
      <c r="C5159" t="s">
        <v>569</v>
      </c>
      <c r="E5159" t="s">
        <v>17332</v>
      </c>
      <c r="F5159" t="s">
        <v>16399</v>
      </c>
      <c r="G5159">
        <v>57.7</v>
      </c>
      <c r="H5159">
        <v>57.7</v>
      </c>
      <c r="I5159" t="s">
        <v>570</v>
      </c>
      <c r="J5159" t="s">
        <v>571</v>
      </c>
      <c r="K5159" t="s">
        <v>31</v>
      </c>
      <c r="L5159" t="s">
        <v>32</v>
      </c>
      <c r="M5159" t="s">
        <v>33</v>
      </c>
      <c r="P5159" s="1" t="s">
        <v>17527</v>
      </c>
      <c r="Q5159" s="1" t="s">
        <v>17332</v>
      </c>
      <c r="R5159" s="1" t="s">
        <v>17332</v>
      </c>
      <c r="S5159" s="1"/>
      <c r="T5159" s="1" t="s">
        <v>569</v>
      </c>
      <c r="U5159" s="1"/>
      <c r="V5159" s="1">
        <v>57.7</v>
      </c>
      <c r="W5159" s="1">
        <v>57.7</v>
      </c>
      <c r="X5159" s="1" t="s">
        <v>35</v>
      </c>
      <c r="Y5159" s="1">
        <v>57700</v>
      </c>
      <c r="Z5159" s="1"/>
      <c r="AA5159" s="1">
        <v>57700</v>
      </c>
      <c r="AB5159" s="1"/>
      <c r="AC5159" s="1" t="s">
        <v>36</v>
      </c>
      <c r="AD5159" s="1" t="s">
        <v>17478</v>
      </c>
      <c r="AE5159" s="1" t="s">
        <v>32</v>
      </c>
      <c r="AF5159" s="1" t="s">
        <v>33</v>
      </c>
      <c r="AG5159" s="1" t="s">
        <v>571</v>
      </c>
    </row>
    <row r="5160" spans="1:33">
      <c r="A5160" t="s">
        <v>17528</v>
      </c>
      <c r="B5160" t="s">
        <v>17529</v>
      </c>
      <c r="C5160" t="s">
        <v>125</v>
      </c>
      <c r="E5160" t="s">
        <v>17332</v>
      </c>
      <c r="F5160" t="s">
        <v>16399</v>
      </c>
      <c r="G5160">
        <v>7.44</v>
      </c>
      <c r="H5160">
        <v>7.44</v>
      </c>
      <c r="I5160" t="s">
        <v>126</v>
      </c>
      <c r="J5160" t="s">
        <v>127</v>
      </c>
      <c r="K5160" t="s">
        <v>31</v>
      </c>
      <c r="L5160" t="s">
        <v>32</v>
      </c>
      <c r="M5160" t="s">
        <v>33</v>
      </c>
      <c r="P5160" s="1" t="s">
        <v>17530</v>
      </c>
      <c r="Q5160" s="1" t="s">
        <v>17332</v>
      </c>
      <c r="R5160" s="1" t="s">
        <v>17332</v>
      </c>
      <c r="S5160" s="1"/>
      <c r="T5160" s="1" t="s">
        <v>125</v>
      </c>
      <c r="U5160" s="1"/>
      <c r="V5160" s="1">
        <v>7.44</v>
      </c>
      <c r="W5160" s="1">
        <v>7.44</v>
      </c>
      <c r="X5160" s="1" t="s">
        <v>35</v>
      </c>
      <c r="Y5160" s="1">
        <v>7440</v>
      </c>
      <c r="Z5160" s="1"/>
      <c r="AA5160" s="1">
        <v>7440</v>
      </c>
      <c r="AB5160" s="1"/>
      <c r="AC5160" s="1" t="s">
        <v>36</v>
      </c>
      <c r="AD5160" s="1" t="s">
        <v>17494</v>
      </c>
      <c r="AE5160" s="1" t="s">
        <v>32</v>
      </c>
      <c r="AF5160" s="1" t="s">
        <v>33</v>
      </c>
      <c r="AG5160" s="1" t="s">
        <v>127</v>
      </c>
    </row>
    <row r="5161" spans="1:33">
      <c r="A5161" t="s">
        <v>17531</v>
      </c>
      <c r="C5161" t="s">
        <v>73</v>
      </c>
      <c r="E5161" t="s">
        <v>17332</v>
      </c>
      <c r="F5161" t="s">
        <v>16399</v>
      </c>
      <c r="G5161">
        <v>20.49</v>
      </c>
      <c r="H5161">
        <v>20.49</v>
      </c>
      <c r="I5161" t="s">
        <v>40</v>
      </c>
      <c r="J5161" t="s">
        <v>41</v>
      </c>
      <c r="K5161" t="s">
        <v>31</v>
      </c>
      <c r="L5161" t="s">
        <v>32</v>
      </c>
      <c r="M5161" t="s">
        <v>33</v>
      </c>
      <c r="P5161" s="1" t="s">
        <v>17532</v>
      </c>
      <c r="Q5161" s="1" t="s">
        <v>17332</v>
      </c>
      <c r="R5161" s="1" t="s">
        <v>16369</v>
      </c>
      <c r="S5161" s="1"/>
      <c r="T5161" s="1" t="s">
        <v>75</v>
      </c>
      <c r="U5161" s="1" t="s">
        <v>76</v>
      </c>
      <c r="V5161" s="1">
        <v>20.49</v>
      </c>
      <c r="W5161" s="1">
        <v>20.49</v>
      </c>
      <c r="X5161" s="1" t="s">
        <v>35</v>
      </c>
      <c r="Y5161" s="1">
        <v>20490</v>
      </c>
      <c r="Z5161" s="1"/>
      <c r="AA5161" s="1">
        <v>20490</v>
      </c>
      <c r="AB5161" s="1"/>
      <c r="AC5161" s="1" t="s">
        <v>36</v>
      </c>
      <c r="AD5161" s="1" t="s">
        <v>17533</v>
      </c>
      <c r="AE5161" s="1" t="s">
        <v>32</v>
      </c>
      <c r="AF5161" s="1" t="s">
        <v>33</v>
      </c>
      <c r="AG5161" s="1" t="s">
        <v>41</v>
      </c>
    </row>
    <row r="5162" spans="1:33">
      <c r="A5162" t="s">
        <v>17534</v>
      </c>
      <c r="C5162" t="s">
        <v>431</v>
      </c>
      <c r="E5162" t="s">
        <v>17332</v>
      </c>
      <c r="F5162" t="s">
        <v>16399</v>
      </c>
      <c r="G5162">
        <v>2.713</v>
      </c>
      <c r="H5162">
        <v>2.713</v>
      </c>
      <c r="I5162" t="s">
        <v>126</v>
      </c>
      <c r="J5162" t="s">
        <v>127</v>
      </c>
      <c r="K5162" t="s">
        <v>31</v>
      </c>
      <c r="L5162" t="s">
        <v>32</v>
      </c>
      <c r="M5162" t="s">
        <v>33</v>
      </c>
      <c r="P5162" s="1" t="s">
        <v>17535</v>
      </c>
      <c r="Q5162" s="1" t="s">
        <v>17332</v>
      </c>
      <c r="R5162" s="1" t="s">
        <v>17332</v>
      </c>
      <c r="S5162" s="1"/>
      <c r="T5162" s="1" t="s">
        <v>431</v>
      </c>
      <c r="U5162" s="1"/>
      <c r="V5162" s="1">
        <v>2.713</v>
      </c>
      <c r="W5162" s="1">
        <v>2.713</v>
      </c>
      <c r="X5162" s="1" t="s">
        <v>35</v>
      </c>
      <c r="Y5162" s="1">
        <v>2713000</v>
      </c>
      <c r="Z5162" s="1"/>
      <c r="AA5162" s="1">
        <v>2713000</v>
      </c>
      <c r="AB5162" s="1"/>
      <c r="AC5162" s="1" t="s">
        <v>36</v>
      </c>
      <c r="AD5162" s="1" t="s">
        <v>17524</v>
      </c>
      <c r="AE5162" s="1" t="s">
        <v>32</v>
      </c>
      <c r="AF5162" s="1" t="s">
        <v>33</v>
      </c>
      <c r="AG5162" s="1" t="s">
        <v>127</v>
      </c>
    </row>
    <row r="5163" spans="1:33">
      <c r="A5163" t="s">
        <v>17536</v>
      </c>
      <c r="B5163" t="s">
        <v>12983</v>
      </c>
      <c r="C5163" t="s">
        <v>569</v>
      </c>
      <c r="E5163" t="s">
        <v>17332</v>
      </c>
      <c r="F5163" t="s">
        <v>16399</v>
      </c>
      <c r="G5163">
        <v>10.766</v>
      </c>
      <c r="H5163">
        <v>10.766</v>
      </c>
      <c r="I5163" t="s">
        <v>570</v>
      </c>
      <c r="J5163" t="s">
        <v>571</v>
      </c>
      <c r="K5163" t="s">
        <v>31</v>
      </c>
      <c r="L5163" t="s">
        <v>32</v>
      </c>
      <c r="M5163" t="s">
        <v>33</v>
      </c>
      <c r="P5163" s="1" t="s">
        <v>17537</v>
      </c>
      <c r="Q5163" s="1" t="s">
        <v>17332</v>
      </c>
      <c r="R5163" s="1" t="s">
        <v>17332</v>
      </c>
      <c r="S5163" s="1"/>
      <c r="T5163" s="1" t="s">
        <v>569</v>
      </c>
      <c r="U5163" s="1"/>
      <c r="V5163" s="1">
        <v>10.766</v>
      </c>
      <c r="W5163" s="1">
        <v>10.766</v>
      </c>
      <c r="X5163" s="1" t="s">
        <v>35</v>
      </c>
      <c r="Y5163" s="1">
        <v>10766</v>
      </c>
      <c r="Z5163" s="1"/>
      <c r="AA5163" s="1">
        <v>10766</v>
      </c>
      <c r="AB5163" s="1"/>
      <c r="AC5163" s="1" t="s">
        <v>36</v>
      </c>
      <c r="AD5163" s="1" t="s">
        <v>17538</v>
      </c>
      <c r="AE5163" s="1" t="s">
        <v>32</v>
      </c>
      <c r="AF5163" s="1" t="s">
        <v>33</v>
      </c>
      <c r="AG5163" s="1" t="s">
        <v>571</v>
      </c>
    </row>
    <row r="5164" spans="1:33">
      <c r="A5164" t="s">
        <v>17539</v>
      </c>
      <c r="B5164" t="s">
        <v>17540</v>
      </c>
      <c r="C5164" t="s">
        <v>172</v>
      </c>
      <c r="E5164" t="s">
        <v>17332</v>
      </c>
      <c r="F5164" t="s">
        <v>16399</v>
      </c>
      <c r="G5164">
        <v>43.98</v>
      </c>
      <c r="H5164">
        <v>43.98</v>
      </c>
      <c r="I5164" t="s">
        <v>173</v>
      </c>
      <c r="J5164" t="s">
        <v>174</v>
      </c>
      <c r="K5164" t="s">
        <v>31</v>
      </c>
      <c r="L5164" t="s">
        <v>32</v>
      </c>
      <c r="M5164" t="s">
        <v>33</v>
      </c>
      <c r="P5164" s="1" t="s">
        <v>17541</v>
      </c>
      <c r="Q5164" s="1" t="s">
        <v>17332</v>
      </c>
      <c r="R5164" s="1" t="s">
        <v>17332</v>
      </c>
      <c r="S5164" s="1"/>
      <c r="T5164" s="1" t="s">
        <v>172</v>
      </c>
      <c r="U5164" s="1"/>
      <c r="V5164" s="1">
        <v>43.98</v>
      </c>
      <c r="W5164" s="1">
        <v>43.98</v>
      </c>
      <c r="X5164" s="1" t="s">
        <v>35</v>
      </c>
      <c r="Y5164" s="1">
        <v>43980</v>
      </c>
      <c r="Z5164" s="1"/>
      <c r="AA5164" s="1">
        <v>43980</v>
      </c>
      <c r="AB5164" s="1"/>
      <c r="AC5164" s="1" t="s">
        <v>36</v>
      </c>
      <c r="AD5164" s="1" t="s">
        <v>17542</v>
      </c>
      <c r="AE5164" s="1" t="s">
        <v>32</v>
      </c>
      <c r="AF5164" s="1" t="s">
        <v>33</v>
      </c>
      <c r="AG5164" s="1" t="s">
        <v>174</v>
      </c>
    </row>
    <row r="5165" spans="1:33">
      <c r="A5165" t="s">
        <v>17543</v>
      </c>
      <c r="C5165" t="s">
        <v>4857</v>
      </c>
      <c r="E5165" t="s">
        <v>17332</v>
      </c>
      <c r="F5165" t="s">
        <v>16399</v>
      </c>
      <c r="G5165">
        <v>630.0</v>
      </c>
      <c r="H5165">
        <v>630.0</v>
      </c>
      <c r="I5165" t="s">
        <v>126</v>
      </c>
      <c r="J5165" t="s">
        <v>127</v>
      </c>
      <c r="K5165" t="s">
        <v>31</v>
      </c>
      <c r="L5165" t="s">
        <v>32</v>
      </c>
      <c r="M5165" t="s">
        <v>33</v>
      </c>
      <c r="P5165" s="1" t="s">
        <v>17544</v>
      </c>
      <c r="Q5165" s="1" t="s">
        <v>17332</v>
      </c>
      <c r="R5165" s="1" t="s">
        <v>17332</v>
      </c>
      <c r="S5165" s="1"/>
      <c r="T5165" s="1" t="s">
        <v>4857</v>
      </c>
      <c r="U5165" s="1"/>
      <c r="V5165" s="1">
        <v>630.0</v>
      </c>
      <c r="W5165" s="1">
        <v>630.0</v>
      </c>
      <c r="X5165" s="1" t="s">
        <v>35</v>
      </c>
      <c r="Y5165" s="1">
        <v>630000</v>
      </c>
      <c r="Z5165" s="1"/>
      <c r="AA5165" s="1">
        <v>630000</v>
      </c>
      <c r="AB5165" s="1"/>
      <c r="AC5165" s="1" t="s">
        <v>36</v>
      </c>
      <c r="AD5165" s="1" t="s">
        <v>17545</v>
      </c>
      <c r="AE5165" s="1" t="s">
        <v>32</v>
      </c>
      <c r="AF5165" s="1" t="s">
        <v>33</v>
      </c>
      <c r="AG5165" s="1" t="s">
        <v>127</v>
      </c>
    </row>
    <row r="5166" spans="1:33">
      <c r="A5166" t="s">
        <v>17546</v>
      </c>
      <c r="B5166" t="s">
        <v>17547</v>
      </c>
      <c r="C5166" t="s">
        <v>1298</v>
      </c>
      <c r="E5166" t="s">
        <v>17332</v>
      </c>
      <c r="F5166" t="s">
        <v>16399</v>
      </c>
      <c r="G5166">
        <v>36.99</v>
      </c>
      <c r="H5166">
        <v>36.99</v>
      </c>
      <c r="I5166" t="s">
        <v>529</v>
      </c>
      <c r="J5166" t="s">
        <v>530</v>
      </c>
      <c r="K5166" t="s">
        <v>31</v>
      </c>
      <c r="L5166" t="s">
        <v>32</v>
      </c>
      <c r="M5166" t="s">
        <v>33</v>
      </c>
      <c r="P5166" s="1" t="s">
        <v>17548</v>
      </c>
      <c r="Q5166" s="1" t="s">
        <v>17332</v>
      </c>
      <c r="R5166" s="1" t="s">
        <v>16369</v>
      </c>
      <c r="S5166" s="1"/>
      <c r="T5166" s="1" t="s">
        <v>1298</v>
      </c>
      <c r="U5166" s="1"/>
      <c r="V5166" s="1">
        <v>36.99</v>
      </c>
      <c r="W5166" s="1">
        <v>36.99</v>
      </c>
      <c r="X5166" s="1" t="s">
        <v>35</v>
      </c>
      <c r="Y5166" s="1">
        <v>36990</v>
      </c>
      <c r="Z5166" s="1"/>
      <c r="AA5166" s="1">
        <v>36990</v>
      </c>
      <c r="AB5166" s="1"/>
      <c r="AC5166" s="1" t="s">
        <v>36</v>
      </c>
      <c r="AD5166" s="1" t="s">
        <v>17549</v>
      </c>
      <c r="AE5166" s="1" t="s">
        <v>32</v>
      </c>
      <c r="AF5166" s="1" t="s">
        <v>33</v>
      </c>
      <c r="AG5166" s="1" t="s">
        <v>530</v>
      </c>
    </row>
    <row r="5167" spans="1:33">
      <c r="A5167" t="s">
        <v>17550</v>
      </c>
      <c r="B5167" t="s">
        <v>17551</v>
      </c>
      <c r="C5167" t="s">
        <v>131</v>
      </c>
      <c r="E5167" t="s">
        <v>17332</v>
      </c>
      <c r="F5167" t="s">
        <v>16399</v>
      </c>
      <c r="G5167">
        <v>97.45</v>
      </c>
      <c r="H5167">
        <v>97.45</v>
      </c>
      <c r="I5167" t="s">
        <v>94</v>
      </c>
      <c r="J5167" t="s">
        <v>95</v>
      </c>
      <c r="K5167" t="s">
        <v>31</v>
      </c>
      <c r="L5167" t="s">
        <v>32</v>
      </c>
      <c r="M5167" t="s">
        <v>33</v>
      </c>
      <c r="P5167" s="1" t="s">
        <v>17552</v>
      </c>
      <c r="Q5167" s="1" t="s">
        <v>17332</v>
      </c>
      <c r="R5167" s="1" t="s">
        <v>17332</v>
      </c>
      <c r="S5167" s="1"/>
      <c r="T5167" s="1" t="s">
        <v>131</v>
      </c>
      <c r="U5167" s="1"/>
      <c r="V5167" s="1">
        <v>97.45</v>
      </c>
      <c r="W5167" s="1">
        <v>97.45</v>
      </c>
      <c r="X5167" s="1" t="s">
        <v>35</v>
      </c>
      <c r="Y5167" s="1">
        <v>97450</v>
      </c>
      <c r="Z5167" s="1"/>
      <c r="AA5167" s="1">
        <v>97450</v>
      </c>
      <c r="AB5167" s="1"/>
      <c r="AC5167" s="1" t="s">
        <v>36</v>
      </c>
      <c r="AD5167" s="1" t="s">
        <v>17553</v>
      </c>
      <c r="AE5167" s="1" t="s">
        <v>32</v>
      </c>
      <c r="AF5167" s="1" t="s">
        <v>33</v>
      </c>
      <c r="AG5167" s="1" t="s">
        <v>95</v>
      </c>
    </row>
    <row r="5168" spans="1:33">
      <c r="A5168" t="s">
        <v>17554</v>
      </c>
      <c r="C5168" t="s">
        <v>2910</v>
      </c>
      <c r="D5168" t="s">
        <v>154</v>
      </c>
      <c r="E5168" t="s">
        <v>17332</v>
      </c>
      <c r="F5168" t="s">
        <v>16399</v>
      </c>
      <c r="G5168">
        <v>620.5</v>
      </c>
      <c r="H5168">
        <v>620.5</v>
      </c>
      <c r="I5168" t="s">
        <v>40</v>
      </c>
      <c r="J5168" t="s">
        <v>41</v>
      </c>
      <c r="K5168" t="s">
        <v>31</v>
      </c>
      <c r="L5168" t="s">
        <v>32</v>
      </c>
      <c r="M5168" t="s">
        <v>33</v>
      </c>
      <c r="P5168" s="1" t="s">
        <v>17555</v>
      </c>
      <c r="Q5168" s="1" t="s">
        <v>17332</v>
      </c>
      <c r="R5168" s="1" t="s">
        <v>16369</v>
      </c>
      <c r="S5168" s="1"/>
      <c r="T5168" s="1" t="s">
        <v>2912</v>
      </c>
      <c r="U5168" s="1" t="s">
        <v>2913</v>
      </c>
      <c r="V5168" s="1">
        <v>620.5</v>
      </c>
      <c r="W5168" s="1">
        <v>620.5</v>
      </c>
      <c r="X5168" s="1" t="s">
        <v>35</v>
      </c>
      <c r="Y5168" s="1">
        <v>620500</v>
      </c>
      <c r="Z5168" s="1"/>
      <c r="AA5168" s="1">
        <v>620500</v>
      </c>
      <c r="AB5168" s="1"/>
      <c r="AC5168" s="1" t="s">
        <v>36</v>
      </c>
      <c r="AD5168" s="1" t="s">
        <v>17542</v>
      </c>
      <c r="AE5168" s="1" t="s">
        <v>32</v>
      </c>
      <c r="AF5168" s="1" t="s">
        <v>33</v>
      </c>
      <c r="AG5168" s="1" t="s">
        <v>41</v>
      </c>
    </row>
    <row r="5169" spans="1:33">
      <c r="A5169" t="s">
        <v>17556</v>
      </c>
      <c r="C5169" t="s">
        <v>10919</v>
      </c>
      <c r="E5169" t="s">
        <v>17332</v>
      </c>
      <c r="F5169" t="s">
        <v>16399</v>
      </c>
      <c r="G5169">
        <v>2.313</v>
      </c>
      <c r="H5169">
        <v>2.313</v>
      </c>
      <c r="I5169" t="s">
        <v>269</v>
      </c>
      <c r="J5169" t="s">
        <v>270</v>
      </c>
      <c r="K5169" t="s">
        <v>31</v>
      </c>
      <c r="L5169" t="s">
        <v>32</v>
      </c>
      <c r="M5169" t="s">
        <v>33</v>
      </c>
      <c r="P5169" s="1" t="s">
        <v>17557</v>
      </c>
      <c r="Q5169" s="1" t="s">
        <v>17332</v>
      </c>
      <c r="R5169" s="1" t="s">
        <v>17332</v>
      </c>
      <c r="S5169" s="1"/>
      <c r="T5169" s="1" t="s">
        <v>10919</v>
      </c>
      <c r="U5169" s="1"/>
      <c r="V5169" s="1">
        <v>2.313</v>
      </c>
      <c r="W5169" s="1">
        <v>2.313</v>
      </c>
      <c r="X5169" s="1" t="s">
        <v>35</v>
      </c>
      <c r="Y5169" s="1">
        <v>2313800</v>
      </c>
      <c r="Z5169" s="1"/>
      <c r="AA5169" s="1">
        <v>2313800</v>
      </c>
      <c r="AB5169" s="1"/>
      <c r="AC5169" s="1" t="s">
        <v>36</v>
      </c>
      <c r="AD5169" s="1" t="s">
        <v>17558</v>
      </c>
      <c r="AE5169" s="1" t="s">
        <v>32</v>
      </c>
      <c r="AF5169" s="1" t="s">
        <v>33</v>
      </c>
      <c r="AG5169" s="1" t="s">
        <v>270</v>
      </c>
    </row>
    <row r="5170" spans="1:33">
      <c r="A5170" t="s">
        <v>17559</v>
      </c>
      <c r="B5170" t="s">
        <v>17560</v>
      </c>
      <c r="C5170" t="s">
        <v>47</v>
      </c>
      <c r="E5170" t="s">
        <v>17332</v>
      </c>
      <c r="F5170" t="s">
        <v>16399</v>
      </c>
      <c r="G5170">
        <v>11.0</v>
      </c>
      <c r="H5170">
        <v>11.0</v>
      </c>
      <c r="I5170" t="s">
        <v>2206</v>
      </c>
      <c r="J5170" t="s">
        <v>49</v>
      </c>
      <c r="K5170" t="s">
        <v>31</v>
      </c>
      <c r="L5170" t="s">
        <v>32</v>
      </c>
      <c r="M5170" t="s">
        <v>33</v>
      </c>
      <c r="P5170" s="1" t="s">
        <v>17561</v>
      </c>
      <c r="Q5170" s="1" t="s">
        <v>17332</v>
      </c>
      <c r="R5170" s="1" t="s">
        <v>17332</v>
      </c>
      <c r="S5170" s="1"/>
      <c r="T5170" s="1" t="s">
        <v>47</v>
      </c>
      <c r="U5170" s="1"/>
      <c r="V5170" s="1">
        <v>11.0</v>
      </c>
      <c r="W5170" s="1">
        <v>11.0</v>
      </c>
      <c r="X5170" s="1" t="s">
        <v>35</v>
      </c>
      <c r="Y5170" s="1">
        <v>11000</v>
      </c>
      <c r="Z5170" s="1"/>
      <c r="AA5170" s="1">
        <v>11000</v>
      </c>
      <c r="AB5170" s="1"/>
      <c r="AC5170" s="1" t="s">
        <v>36</v>
      </c>
      <c r="AD5170" s="1" t="s">
        <v>17562</v>
      </c>
      <c r="AE5170" s="1" t="s">
        <v>32</v>
      </c>
      <c r="AF5170" s="1" t="s">
        <v>33</v>
      </c>
      <c r="AG5170" s="1" t="s">
        <v>49</v>
      </c>
    </row>
    <row r="5171" spans="1:33">
      <c r="A5171" t="s">
        <v>17563</v>
      </c>
      <c r="C5171" t="s">
        <v>5176</v>
      </c>
      <c r="E5171" t="s">
        <v>17332</v>
      </c>
      <c r="F5171" t="s">
        <v>16399</v>
      </c>
      <c r="G5171">
        <v>49.5</v>
      </c>
      <c r="H5171">
        <v>49.5</v>
      </c>
      <c r="I5171" t="s">
        <v>2206</v>
      </c>
      <c r="J5171" t="s">
        <v>49</v>
      </c>
      <c r="K5171" t="s">
        <v>31</v>
      </c>
      <c r="L5171" t="s">
        <v>32</v>
      </c>
      <c r="M5171" t="s">
        <v>33</v>
      </c>
      <c r="P5171" s="1" t="s">
        <v>17564</v>
      </c>
      <c r="Q5171" s="1" t="s">
        <v>17332</v>
      </c>
      <c r="R5171" s="1" t="s">
        <v>17332</v>
      </c>
      <c r="S5171" s="1"/>
      <c r="T5171" s="1" t="s">
        <v>5176</v>
      </c>
      <c r="U5171" s="1"/>
      <c r="V5171" s="1">
        <v>49.5</v>
      </c>
      <c r="W5171" s="1">
        <v>49.5</v>
      </c>
      <c r="X5171" s="1" t="s">
        <v>35</v>
      </c>
      <c r="Y5171" s="1">
        <v>49500</v>
      </c>
      <c r="Z5171" s="1"/>
      <c r="AA5171" s="1">
        <v>49500</v>
      </c>
      <c r="AB5171" s="1"/>
      <c r="AC5171" s="1" t="s">
        <v>36</v>
      </c>
      <c r="AD5171" s="1" t="s">
        <v>17549</v>
      </c>
      <c r="AE5171" s="1" t="s">
        <v>32</v>
      </c>
      <c r="AF5171" s="1" t="s">
        <v>33</v>
      </c>
      <c r="AG5171" s="1" t="s">
        <v>49</v>
      </c>
    </row>
    <row r="5172" spans="1:33">
      <c r="A5172" t="s">
        <v>17565</v>
      </c>
      <c r="C5172" t="s">
        <v>6216</v>
      </c>
      <c r="E5172" t="s">
        <v>17332</v>
      </c>
      <c r="F5172" t="s">
        <v>16399</v>
      </c>
      <c r="G5172">
        <v>1.331</v>
      </c>
      <c r="H5172">
        <v>1.331</v>
      </c>
      <c r="I5172" t="s">
        <v>269</v>
      </c>
      <c r="J5172" t="s">
        <v>270</v>
      </c>
      <c r="K5172" t="s">
        <v>31</v>
      </c>
      <c r="L5172" t="s">
        <v>32</v>
      </c>
      <c r="M5172" t="s">
        <v>33</v>
      </c>
      <c r="P5172" s="1" t="s">
        <v>17566</v>
      </c>
      <c r="Q5172" s="1" t="s">
        <v>17332</v>
      </c>
      <c r="R5172" s="1" t="s">
        <v>17332</v>
      </c>
      <c r="S5172" s="1"/>
      <c r="T5172" s="1" t="s">
        <v>6216</v>
      </c>
      <c r="U5172" s="1"/>
      <c r="V5172" s="1">
        <v>1.331</v>
      </c>
      <c r="W5172" s="1">
        <v>1.331</v>
      </c>
      <c r="X5172" s="1" t="s">
        <v>35</v>
      </c>
      <c r="Y5172" s="1">
        <v>1331200</v>
      </c>
      <c r="Z5172" s="1"/>
      <c r="AA5172" s="1">
        <v>1331200</v>
      </c>
      <c r="AB5172" s="1"/>
      <c r="AC5172" s="1" t="s">
        <v>36</v>
      </c>
      <c r="AD5172" s="1" t="s">
        <v>17567</v>
      </c>
      <c r="AE5172" s="1" t="s">
        <v>32</v>
      </c>
      <c r="AF5172" s="1" t="s">
        <v>33</v>
      </c>
      <c r="AG5172" s="1" t="s">
        <v>270</v>
      </c>
    </row>
    <row r="5173" spans="1:33">
      <c r="A5173" t="s">
        <v>17568</v>
      </c>
      <c r="C5173" t="s">
        <v>7070</v>
      </c>
      <c r="E5173" t="s">
        <v>17332</v>
      </c>
      <c r="F5173" t="s">
        <v>16399</v>
      </c>
      <c r="G5173">
        <v>4.205</v>
      </c>
      <c r="H5173">
        <v>4.205</v>
      </c>
      <c r="I5173" t="s">
        <v>2206</v>
      </c>
      <c r="J5173" t="s">
        <v>49</v>
      </c>
      <c r="K5173" t="s">
        <v>31</v>
      </c>
      <c r="L5173" t="s">
        <v>32</v>
      </c>
      <c r="M5173" t="s">
        <v>33</v>
      </c>
      <c r="P5173" s="1" t="s">
        <v>17569</v>
      </c>
      <c r="Q5173" s="1" t="s">
        <v>17332</v>
      </c>
      <c r="R5173" s="1" t="s">
        <v>17332</v>
      </c>
      <c r="S5173" s="1"/>
      <c r="T5173" s="1" t="s">
        <v>7070</v>
      </c>
      <c r="U5173" s="1"/>
      <c r="V5173" s="1">
        <v>4.205</v>
      </c>
      <c r="W5173" s="1">
        <v>4.205</v>
      </c>
      <c r="X5173" s="1" t="s">
        <v>35</v>
      </c>
      <c r="Y5173" s="1">
        <v>4205000</v>
      </c>
      <c r="Z5173" s="1"/>
      <c r="AA5173" s="1">
        <v>4205000</v>
      </c>
      <c r="AB5173" s="1"/>
      <c r="AC5173" s="1" t="s">
        <v>36</v>
      </c>
      <c r="AD5173" s="1" t="s">
        <v>17570</v>
      </c>
      <c r="AE5173" s="1" t="s">
        <v>32</v>
      </c>
      <c r="AF5173" s="1" t="s">
        <v>33</v>
      </c>
      <c r="AG5173" s="1" t="s">
        <v>49</v>
      </c>
    </row>
    <row r="5174" spans="1:33">
      <c r="A5174" t="s">
        <v>17571</v>
      </c>
      <c r="B5174" t="s">
        <v>17572</v>
      </c>
      <c r="C5174" t="s">
        <v>569</v>
      </c>
      <c r="E5174" t="s">
        <v>17332</v>
      </c>
      <c r="F5174" t="s">
        <v>16399</v>
      </c>
      <c r="G5174">
        <v>21.49</v>
      </c>
      <c r="H5174">
        <v>21.49</v>
      </c>
      <c r="I5174" t="s">
        <v>570</v>
      </c>
      <c r="J5174" t="s">
        <v>571</v>
      </c>
      <c r="K5174" t="s">
        <v>31</v>
      </c>
      <c r="L5174" t="s">
        <v>32</v>
      </c>
      <c r="M5174" t="s">
        <v>33</v>
      </c>
      <c r="P5174" s="1" t="s">
        <v>17573</v>
      </c>
      <c r="Q5174" s="1" t="s">
        <v>17332</v>
      </c>
      <c r="R5174" s="1" t="s">
        <v>17332</v>
      </c>
      <c r="S5174" s="1"/>
      <c r="T5174" s="1" t="s">
        <v>569</v>
      </c>
      <c r="U5174" s="1"/>
      <c r="V5174" s="1">
        <v>21.49</v>
      </c>
      <c r="W5174" s="1">
        <v>21.49</v>
      </c>
      <c r="X5174" s="1" t="s">
        <v>35</v>
      </c>
      <c r="Y5174" s="1">
        <v>21490</v>
      </c>
      <c r="Z5174" s="1"/>
      <c r="AA5174" s="1">
        <v>21490</v>
      </c>
      <c r="AB5174" s="1"/>
      <c r="AC5174" s="1" t="s">
        <v>36</v>
      </c>
      <c r="AD5174" s="1" t="s">
        <v>17574</v>
      </c>
      <c r="AE5174" s="1" t="s">
        <v>32</v>
      </c>
      <c r="AF5174" s="1" t="s">
        <v>33</v>
      </c>
      <c r="AG5174" s="1" t="s">
        <v>571</v>
      </c>
    </row>
    <row r="5175" spans="1:33">
      <c r="A5175" t="s">
        <v>17575</v>
      </c>
      <c r="B5175" t="s">
        <v>17576</v>
      </c>
      <c r="C5175" t="s">
        <v>314</v>
      </c>
      <c r="E5175" t="s">
        <v>17332</v>
      </c>
      <c r="F5175" t="s">
        <v>16399</v>
      </c>
      <c r="G5175">
        <v>12.71</v>
      </c>
      <c r="H5175">
        <v>12.71</v>
      </c>
      <c r="I5175" t="s">
        <v>179</v>
      </c>
      <c r="J5175" t="s">
        <v>180</v>
      </c>
      <c r="K5175" t="s">
        <v>31</v>
      </c>
      <c r="L5175" t="s">
        <v>32</v>
      </c>
      <c r="M5175" t="s">
        <v>33</v>
      </c>
      <c r="P5175" s="1" t="s">
        <v>17577</v>
      </c>
      <c r="Q5175" s="1" t="s">
        <v>17332</v>
      </c>
      <c r="R5175" s="1" t="s">
        <v>17332</v>
      </c>
      <c r="S5175" s="1"/>
      <c r="T5175" s="1" t="s">
        <v>314</v>
      </c>
      <c r="U5175" s="1"/>
      <c r="V5175" s="1">
        <v>12.71</v>
      </c>
      <c r="W5175" s="1">
        <v>12.71</v>
      </c>
      <c r="X5175" s="1" t="s">
        <v>35</v>
      </c>
      <c r="Y5175" s="1">
        <v>12710</v>
      </c>
      <c r="Z5175" s="1"/>
      <c r="AA5175" s="1">
        <v>12710</v>
      </c>
      <c r="AB5175" s="1"/>
      <c r="AC5175" s="1" t="s">
        <v>36</v>
      </c>
      <c r="AD5175" s="1" t="s">
        <v>17567</v>
      </c>
      <c r="AE5175" s="1" t="s">
        <v>32</v>
      </c>
      <c r="AF5175" s="1" t="s">
        <v>33</v>
      </c>
      <c r="AG5175" s="1" t="s">
        <v>180</v>
      </c>
    </row>
    <row r="5176" spans="1:33">
      <c r="A5176" t="s">
        <v>17578</v>
      </c>
      <c r="B5176" t="s">
        <v>17579</v>
      </c>
      <c r="C5176" t="s">
        <v>2921</v>
      </c>
      <c r="E5176" t="s">
        <v>17332</v>
      </c>
      <c r="F5176" t="s">
        <v>16399</v>
      </c>
      <c r="G5176">
        <v>2.86</v>
      </c>
      <c r="H5176">
        <v>2.86</v>
      </c>
      <c r="I5176" t="s">
        <v>40</v>
      </c>
      <c r="J5176" t="s">
        <v>41</v>
      </c>
      <c r="K5176" t="s">
        <v>31</v>
      </c>
      <c r="L5176" t="s">
        <v>32</v>
      </c>
      <c r="M5176" t="s">
        <v>33</v>
      </c>
      <c r="P5176" s="1" t="s">
        <v>17580</v>
      </c>
      <c r="Q5176" s="1" t="s">
        <v>17332</v>
      </c>
      <c r="R5176" s="1" t="s">
        <v>16369</v>
      </c>
      <c r="S5176" s="1"/>
      <c r="T5176" s="1" t="s">
        <v>2921</v>
      </c>
      <c r="U5176" s="1"/>
      <c r="V5176" s="1">
        <v>2.86</v>
      </c>
      <c r="W5176" s="1">
        <v>2.86</v>
      </c>
      <c r="X5176" s="1" t="s">
        <v>35</v>
      </c>
      <c r="Y5176" s="1">
        <v>2860000</v>
      </c>
      <c r="Z5176" s="1"/>
      <c r="AA5176" s="1">
        <v>2860000</v>
      </c>
      <c r="AB5176" s="1"/>
      <c r="AC5176" s="1" t="s">
        <v>36</v>
      </c>
      <c r="AD5176" s="1" t="s">
        <v>17581</v>
      </c>
      <c r="AE5176" s="1" t="s">
        <v>32</v>
      </c>
      <c r="AF5176" s="1" t="s">
        <v>33</v>
      </c>
      <c r="AG5176" s="1" t="s">
        <v>41</v>
      </c>
    </row>
    <row r="5177" spans="1:33">
      <c r="A5177" t="s">
        <v>17582</v>
      </c>
      <c r="B5177" t="s">
        <v>4149</v>
      </c>
      <c r="C5177" t="s">
        <v>172</v>
      </c>
      <c r="E5177" t="s">
        <v>17332</v>
      </c>
      <c r="F5177" t="s">
        <v>16399</v>
      </c>
      <c r="G5177">
        <v>15.0</v>
      </c>
      <c r="H5177">
        <v>15.0</v>
      </c>
      <c r="I5177" t="s">
        <v>173</v>
      </c>
      <c r="J5177" t="s">
        <v>174</v>
      </c>
      <c r="K5177" t="s">
        <v>31</v>
      </c>
      <c r="L5177" t="s">
        <v>32</v>
      </c>
      <c r="M5177" t="s">
        <v>33</v>
      </c>
      <c r="P5177" s="1" t="s">
        <v>17583</v>
      </c>
      <c r="Q5177" s="1" t="s">
        <v>17332</v>
      </c>
      <c r="R5177" s="1" t="s">
        <v>17332</v>
      </c>
      <c r="S5177" s="1"/>
      <c r="T5177" s="1" t="s">
        <v>172</v>
      </c>
      <c r="U5177" s="1"/>
      <c r="V5177" s="1">
        <v>15.0</v>
      </c>
      <c r="W5177" s="1">
        <v>15.0</v>
      </c>
      <c r="X5177" s="1" t="s">
        <v>35</v>
      </c>
      <c r="Y5177" s="1">
        <v>15000</v>
      </c>
      <c r="Z5177" s="1"/>
      <c r="AA5177" s="1">
        <v>15000</v>
      </c>
      <c r="AB5177" s="1"/>
      <c r="AC5177" s="1" t="s">
        <v>36</v>
      </c>
      <c r="AD5177" s="1" t="s">
        <v>17584</v>
      </c>
      <c r="AE5177" s="1" t="s">
        <v>32</v>
      </c>
      <c r="AF5177" s="1" t="s">
        <v>33</v>
      </c>
      <c r="AG5177" s="1" t="s">
        <v>174</v>
      </c>
    </row>
    <row r="5178" spans="1:33">
      <c r="A5178" t="s">
        <v>17585</v>
      </c>
      <c r="B5178" t="s">
        <v>17586</v>
      </c>
      <c r="C5178" t="s">
        <v>26</v>
      </c>
      <c r="E5178" t="s">
        <v>17332</v>
      </c>
      <c r="F5178" t="s">
        <v>16399</v>
      </c>
      <c r="G5178">
        <v>19.06</v>
      </c>
      <c r="H5178">
        <v>19.06</v>
      </c>
      <c r="I5178" t="s">
        <v>29</v>
      </c>
      <c r="J5178" t="s">
        <v>30</v>
      </c>
      <c r="K5178" t="s">
        <v>31</v>
      </c>
      <c r="L5178" t="s">
        <v>32</v>
      </c>
      <c r="M5178" t="s">
        <v>33</v>
      </c>
      <c r="P5178" s="1" t="s">
        <v>17587</v>
      </c>
      <c r="Q5178" s="1" t="s">
        <v>17332</v>
      </c>
      <c r="R5178" s="1" t="s">
        <v>17332</v>
      </c>
      <c r="S5178" s="1"/>
      <c r="T5178" s="1" t="s">
        <v>26</v>
      </c>
      <c r="U5178" s="1"/>
      <c r="V5178" s="1">
        <v>19.06</v>
      </c>
      <c r="W5178" s="1">
        <v>19.06</v>
      </c>
      <c r="X5178" s="1" t="s">
        <v>35</v>
      </c>
      <c r="Y5178" s="1">
        <v>19060</v>
      </c>
      <c r="Z5178" s="1"/>
      <c r="AA5178" s="1">
        <v>19060</v>
      </c>
      <c r="AB5178" s="1"/>
      <c r="AC5178" s="1" t="s">
        <v>36</v>
      </c>
      <c r="AD5178" s="1" t="s">
        <v>17584</v>
      </c>
      <c r="AE5178" s="1" t="s">
        <v>32</v>
      </c>
      <c r="AF5178" s="1" t="s">
        <v>33</v>
      </c>
      <c r="AG5178" s="1" t="s">
        <v>30</v>
      </c>
    </row>
    <row r="5179" spans="1:33">
      <c r="A5179" t="s">
        <v>17588</v>
      </c>
      <c r="B5179" t="s">
        <v>17589</v>
      </c>
      <c r="C5179" t="s">
        <v>569</v>
      </c>
      <c r="E5179" t="s">
        <v>17332</v>
      </c>
      <c r="F5179" t="s">
        <v>16399</v>
      </c>
      <c r="G5179">
        <v>98.97</v>
      </c>
      <c r="H5179">
        <v>98.97</v>
      </c>
      <c r="I5179" t="s">
        <v>570</v>
      </c>
      <c r="J5179" t="s">
        <v>571</v>
      </c>
      <c r="K5179" t="s">
        <v>31</v>
      </c>
      <c r="L5179" t="s">
        <v>32</v>
      </c>
      <c r="M5179" t="s">
        <v>33</v>
      </c>
      <c r="P5179" s="1" t="s">
        <v>17590</v>
      </c>
      <c r="Q5179" s="1" t="s">
        <v>17332</v>
      </c>
      <c r="R5179" s="1" t="s">
        <v>17332</v>
      </c>
      <c r="S5179" s="1"/>
      <c r="T5179" s="1" t="s">
        <v>569</v>
      </c>
      <c r="U5179" s="1"/>
      <c r="V5179" s="1">
        <v>98.97</v>
      </c>
      <c r="W5179" s="1">
        <v>98.97</v>
      </c>
      <c r="X5179" s="1" t="s">
        <v>35</v>
      </c>
      <c r="Y5179" s="1">
        <v>98970</v>
      </c>
      <c r="Z5179" s="1"/>
      <c r="AA5179" s="1">
        <v>98970</v>
      </c>
      <c r="AB5179" s="1"/>
      <c r="AC5179" s="1" t="s">
        <v>36</v>
      </c>
      <c r="AD5179" s="1" t="s">
        <v>17584</v>
      </c>
      <c r="AE5179" s="1" t="s">
        <v>32</v>
      </c>
      <c r="AF5179" s="1" t="s">
        <v>33</v>
      </c>
      <c r="AG5179" s="1" t="s">
        <v>571</v>
      </c>
    </row>
    <row r="5180" spans="1:33">
      <c r="A5180" t="s">
        <v>17591</v>
      </c>
      <c r="C5180" t="s">
        <v>2548</v>
      </c>
      <c r="D5180" t="s">
        <v>154</v>
      </c>
      <c r="E5180" t="s">
        <v>17332</v>
      </c>
      <c r="F5180" t="s">
        <v>16399</v>
      </c>
      <c r="G5180">
        <v>670.3</v>
      </c>
      <c r="H5180">
        <v>670.3</v>
      </c>
      <c r="I5180" t="s">
        <v>269</v>
      </c>
      <c r="J5180" t="s">
        <v>270</v>
      </c>
      <c r="K5180" t="s">
        <v>31</v>
      </c>
      <c r="L5180" t="s">
        <v>32</v>
      </c>
      <c r="M5180" t="s">
        <v>33</v>
      </c>
      <c r="P5180" s="1" t="s">
        <v>17592</v>
      </c>
      <c r="Q5180" s="1" t="s">
        <v>17332</v>
      </c>
      <c r="R5180" s="1" t="s">
        <v>17332</v>
      </c>
      <c r="S5180" s="1"/>
      <c r="T5180" s="1" t="s">
        <v>2548</v>
      </c>
      <c r="U5180" s="1"/>
      <c r="V5180" s="1">
        <v>670.3</v>
      </c>
      <c r="W5180" s="1">
        <v>670.3</v>
      </c>
      <c r="X5180" s="1" t="s">
        <v>35</v>
      </c>
      <c r="Y5180" s="1">
        <v>670300</v>
      </c>
      <c r="Z5180" s="1"/>
      <c r="AA5180" s="1">
        <v>670300</v>
      </c>
      <c r="AB5180" s="1"/>
      <c r="AC5180" s="1" t="s">
        <v>36</v>
      </c>
      <c r="AD5180" s="1" t="s">
        <v>17593</v>
      </c>
      <c r="AE5180" s="1" t="s">
        <v>32</v>
      </c>
      <c r="AF5180" s="1" t="s">
        <v>33</v>
      </c>
      <c r="AG5180" s="1" t="s">
        <v>270</v>
      </c>
    </row>
    <row r="5181" spans="1:33">
      <c r="A5181" t="s">
        <v>17594</v>
      </c>
      <c r="B5181" t="s">
        <v>17595</v>
      </c>
      <c r="C5181" t="s">
        <v>47</v>
      </c>
      <c r="E5181" t="s">
        <v>17332</v>
      </c>
      <c r="F5181" t="s">
        <v>16399</v>
      </c>
      <c r="G5181">
        <v>20.49</v>
      </c>
      <c r="H5181">
        <v>20.49</v>
      </c>
      <c r="I5181" t="s">
        <v>2206</v>
      </c>
      <c r="J5181" t="s">
        <v>49</v>
      </c>
      <c r="K5181" t="s">
        <v>31</v>
      </c>
      <c r="L5181" t="s">
        <v>32</v>
      </c>
      <c r="M5181" t="s">
        <v>33</v>
      </c>
      <c r="P5181" s="1" t="s">
        <v>17596</v>
      </c>
      <c r="Q5181" s="1" t="s">
        <v>17332</v>
      </c>
      <c r="R5181" s="1" t="s">
        <v>17332</v>
      </c>
      <c r="S5181" s="1"/>
      <c r="T5181" s="1" t="s">
        <v>47</v>
      </c>
      <c r="U5181" s="1"/>
      <c r="V5181" s="1">
        <v>20.49</v>
      </c>
      <c r="W5181" s="1">
        <v>20.49</v>
      </c>
      <c r="X5181" s="1" t="s">
        <v>35</v>
      </c>
      <c r="Y5181" s="1">
        <v>20490</v>
      </c>
      <c r="Z5181" s="1"/>
      <c r="AA5181" s="1">
        <v>20490</v>
      </c>
      <c r="AB5181" s="1"/>
      <c r="AC5181" s="1" t="s">
        <v>36</v>
      </c>
      <c r="AD5181" s="1" t="s">
        <v>17593</v>
      </c>
      <c r="AE5181" s="1" t="s">
        <v>32</v>
      </c>
      <c r="AF5181" s="1" t="s">
        <v>33</v>
      </c>
      <c r="AG5181" s="1" t="s">
        <v>49</v>
      </c>
    </row>
    <row r="5182" spans="1:33">
      <c r="A5182" t="s">
        <v>17597</v>
      </c>
      <c r="C5182" t="s">
        <v>8507</v>
      </c>
      <c r="E5182" t="s">
        <v>17332</v>
      </c>
      <c r="F5182" t="s">
        <v>16399</v>
      </c>
      <c r="G5182">
        <v>3.428</v>
      </c>
      <c r="H5182">
        <v>3.428</v>
      </c>
      <c r="I5182" t="s">
        <v>269</v>
      </c>
      <c r="J5182" t="s">
        <v>270</v>
      </c>
      <c r="K5182" t="s">
        <v>31</v>
      </c>
      <c r="L5182" t="s">
        <v>32</v>
      </c>
      <c r="M5182" t="s">
        <v>33</v>
      </c>
      <c r="P5182" s="1" t="s">
        <v>17598</v>
      </c>
      <c r="Q5182" s="1" t="s">
        <v>17332</v>
      </c>
      <c r="R5182" s="1" t="s">
        <v>17332</v>
      </c>
      <c r="S5182" s="1"/>
      <c r="T5182" s="1" t="s">
        <v>8507</v>
      </c>
      <c r="U5182" s="1"/>
      <c r="V5182" s="1">
        <v>3.428</v>
      </c>
      <c r="W5182" s="1">
        <v>3.428</v>
      </c>
      <c r="X5182" s="1" t="s">
        <v>35</v>
      </c>
      <c r="Y5182" s="1">
        <v>3428000</v>
      </c>
      <c r="Z5182" s="1"/>
      <c r="AA5182" s="1">
        <v>3428000</v>
      </c>
      <c r="AB5182" s="1"/>
      <c r="AC5182" s="1" t="s">
        <v>36</v>
      </c>
      <c r="AD5182" s="1" t="s">
        <v>17599</v>
      </c>
      <c r="AE5182" s="1" t="s">
        <v>32</v>
      </c>
      <c r="AF5182" s="1" t="s">
        <v>33</v>
      </c>
      <c r="AG5182" s="1" t="s">
        <v>270</v>
      </c>
    </row>
    <row r="5183" spans="1:33">
      <c r="A5183" t="s">
        <v>17600</v>
      </c>
      <c r="B5183" t="s">
        <v>17601</v>
      </c>
      <c r="C5183" t="s">
        <v>125</v>
      </c>
      <c r="E5183" t="s">
        <v>17332</v>
      </c>
      <c r="F5183" t="s">
        <v>16399</v>
      </c>
      <c r="G5183">
        <v>20.49</v>
      </c>
      <c r="H5183">
        <v>20.49</v>
      </c>
      <c r="I5183" t="s">
        <v>126</v>
      </c>
      <c r="J5183" t="s">
        <v>127</v>
      </c>
      <c r="K5183" t="s">
        <v>31</v>
      </c>
      <c r="L5183" t="s">
        <v>32</v>
      </c>
      <c r="M5183" t="s">
        <v>33</v>
      </c>
      <c r="P5183" s="1" t="s">
        <v>17602</v>
      </c>
      <c r="Q5183" s="1" t="s">
        <v>17332</v>
      </c>
      <c r="R5183" s="1" t="s">
        <v>17332</v>
      </c>
      <c r="S5183" s="1"/>
      <c r="T5183" s="1" t="s">
        <v>125</v>
      </c>
      <c r="U5183" s="1"/>
      <c r="V5183" s="1">
        <v>20.49</v>
      </c>
      <c r="W5183" s="1">
        <v>20.49</v>
      </c>
      <c r="X5183" s="1" t="s">
        <v>35</v>
      </c>
      <c r="Y5183" s="1">
        <v>20490</v>
      </c>
      <c r="Z5183" s="1"/>
      <c r="AA5183" s="1">
        <v>20490</v>
      </c>
      <c r="AB5183" s="1"/>
      <c r="AC5183" s="1" t="s">
        <v>36</v>
      </c>
      <c r="AD5183" s="1" t="s">
        <v>17603</v>
      </c>
      <c r="AE5183" s="1" t="s">
        <v>32</v>
      </c>
      <c r="AF5183" s="1" t="s">
        <v>33</v>
      </c>
      <c r="AG5183" s="1" t="s">
        <v>127</v>
      </c>
    </row>
    <row r="5184" spans="1:33">
      <c r="A5184" t="s">
        <v>17604</v>
      </c>
      <c r="C5184" t="s">
        <v>17605</v>
      </c>
      <c r="E5184" t="s">
        <v>17332</v>
      </c>
      <c r="F5184" t="s">
        <v>16399</v>
      </c>
      <c r="G5184">
        <v>336.0</v>
      </c>
      <c r="H5184">
        <v>336.0</v>
      </c>
      <c r="I5184" t="s">
        <v>2206</v>
      </c>
      <c r="J5184" t="s">
        <v>49</v>
      </c>
      <c r="K5184" t="s">
        <v>31</v>
      </c>
      <c r="L5184" t="s">
        <v>32</v>
      </c>
      <c r="M5184" t="s">
        <v>33</v>
      </c>
      <c r="P5184" s="1" t="s">
        <v>17606</v>
      </c>
      <c r="Q5184" s="1" t="s">
        <v>17332</v>
      </c>
      <c r="R5184" s="1" t="s">
        <v>17332</v>
      </c>
      <c r="S5184" s="1"/>
      <c r="T5184" s="1" t="s">
        <v>17605</v>
      </c>
      <c r="U5184" s="1"/>
      <c r="V5184" s="1">
        <v>336.0</v>
      </c>
      <c r="W5184" s="1">
        <v>336.0</v>
      </c>
      <c r="X5184" s="1" t="s">
        <v>35</v>
      </c>
      <c r="Y5184" s="1">
        <v>336000</v>
      </c>
      <c r="Z5184" s="1"/>
      <c r="AA5184" s="1">
        <v>336000</v>
      </c>
      <c r="AB5184" s="1"/>
      <c r="AC5184" s="1" t="s">
        <v>36</v>
      </c>
      <c r="AD5184" s="1" t="s">
        <v>17607</v>
      </c>
      <c r="AE5184" s="1" t="s">
        <v>32</v>
      </c>
      <c r="AF5184" s="1" t="s">
        <v>33</v>
      </c>
      <c r="AG5184" s="1" t="s">
        <v>49</v>
      </c>
    </row>
    <row r="5185" spans="1:33">
      <c r="A5185" t="s">
        <v>17608</v>
      </c>
      <c r="B5185" t="s">
        <v>17609</v>
      </c>
      <c r="C5185" t="s">
        <v>569</v>
      </c>
      <c r="E5185" t="s">
        <v>17332</v>
      </c>
      <c r="F5185" t="s">
        <v>16399</v>
      </c>
      <c r="G5185">
        <v>139.73</v>
      </c>
      <c r="H5185">
        <v>139.73</v>
      </c>
      <c r="I5185" t="s">
        <v>570</v>
      </c>
      <c r="J5185" t="s">
        <v>571</v>
      </c>
      <c r="K5185" t="s">
        <v>31</v>
      </c>
      <c r="L5185" t="s">
        <v>32</v>
      </c>
      <c r="M5185" t="s">
        <v>33</v>
      </c>
      <c r="P5185" s="1" t="s">
        <v>17610</v>
      </c>
      <c r="Q5185" s="1" t="s">
        <v>17332</v>
      </c>
      <c r="R5185" s="1" t="s">
        <v>17332</v>
      </c>
      <c r="S5185" s="1"/>
      <c r="T5185" s="1" t="s">
        <v>569</v>
      </c>
      <c r="U5185" s="1"/>
      <c r="V5185" s="1">
        <v>139.73</v>
      </c>
      <c r="W5185" s="1">
        <v>139.73</v>
      </c>
      <c r="X5185" s="1" t="s">
        <v>35</v>
      </c>
      <c r="Y5185" s="1">
        <v>139730</v>
      </c>
      <c r="Z5185" s="1"/>
      <c r="AA5185" s="1">
        <v>139730</v>
      </c>
      <c r="AB5185" s="1"/>
      <c r="AC5185" s="1" t="s">
        <v>36</v>
      </c>
      <c r="AD5185" s="1" t="s">
        <v>17611</v>
      </c>
      <c r="AE5185" s="1" t="s">
        <v>32</v>
      </c>
      <c r="AF5185" s="1" t="s">
        <v>33</v>
      </c>
      <c r="AG5185" s="1" t="s">
        <v>571</v>
      </c>
    </row>
    <row r="5186" spans="1:33">
      <c r="A5186" t="s">
        <v>17612</v>
      </c>
      <c r="C5186" t="s">
        <v>1379</v>
      </c>
      <c r="D5186" t="s">
        <v>154</v>
      </c>
      <c r="E5186" t="s">
        <v>17332</v>
      </c>
      <c r="F5186" t="s">
        <v>16399</v>
      </c>
      <c r="G5186">
        <v>480.0</v>
      </c>
      <c r="H5186">
        <v>480.0</v>
      </c>
      <c r="I5186" t="s">
        <v>173</v>
      </c>
      <c r="J5186" t="s">
        <v>174</v>
      </c>
      <c r="K5186" t="s">
        <v>31</v>
      </c>
      <c r="L5186" t="s">
        <v>32</v>
      </c>
      <c r="M5186" t="s">
        <v>33</v>
      </c>
      <c r="P5186" s="1" t="s">
        <v>17613</v>
      </c>
      <c r="Q5186" s="1" t="s">
        <v>17332</v>
      </c>
      <c r="R5186" s="1" t="s">
        <v>17332</v>
      </c>
      <c r="S5186" s="1"/>
      <c r="T5186" s="1" t="s">
        <v>1379</v>
      </c>
      <c r="U5186" s="1"/>
      <c r="V5186" s="1">
        <v>480.0</v>
      </c>
      <c r="W5186" s="1">
        <v>480.0</v>
      </c>
      <c r="X5186" s="1" t="s">
        <v>35</v>
      </c>
      <c r="Y5186" s="1">
        <v>480000</v>
      </c>
      <c r="Z5186" s="1"/>
      <c r="AA5186" s="1">
        <v>480000</v>
      </c>
      <c r="AB5186" s="1"/>
      <c r="AC5186" s="1" t="s">
        <v>36</v>
      </c>
      <c r="AD5186" s="1" t="s">
        <v>17614</v>
      </c>
      <c r="AE5186" s="1" t="s">
        <v>32</v>
      </c>
      <c r="AF5186" s="1" t="s">
        <v>33</v>
      </c>
      <c r="AG5186" s="1" t="s">
        <v>174</v>
      </c>
    </row>
    <row r="5187" spans="1:33">
      <c r="A5187" t="s">
        <v>17615</v>
      </c>
      <c r="C5187" t="s">
        <v>259</v>
      </c>
      <c r="D5187" t="s">
        <v>114</v>
      </c>
      <c r="E5187" t="s">
        <v>17332</v>
      </c>
      <c r="F5187" t="s">
        <v>16399</v>
      </c>
      <c r="G5187">
        <v>375.0</v>
      </c>
      <c r="H5187">
        <v>375.0</v>
      </c>
      <c r="I5187" t="s">
        <v>173</v>
      </c>
      <c r="J5187" t="s">
        <v>174</v>
      </c>
      <c r="K5187" t="s">
        <v>31</v>
      </c>
      <c r="L5187" t="s">
        <v>32</v>
      </c>
      <c r="M5187" t="s">
        <v>33</v>
      </c>
      <c r="P5187" s="1" t="s">
        <v>17616</v>
      </c>
      <c r="Q5187" s="1" t="s">
        <v>17332</v>
      </c>
      <c r="R5187" s="1" t="s">
        <v>17332</v>
      </c>
      <c r="S5187" s="1"/>
      <c r="T5187" s="1" t="s">
        <v>259</v>
      </c>
      <c r="U5187" s="1"/>
      <c r="V5187" s="1">
        <v>375.0</v>
      </c>
      <c r="W5187" s="1">
        <v>375.0</v>
      </c>
      <c r="X5187" s="1" t="s">
        <v>35</v>
      </c>
      <c r="Y5187" s="1">
        <v>375000</v>
      </c>
      <c r="Z5187" s="1"/>
      <c r="AA5187" s="1">
        <v>375000</v>
      </c>
      <c r="AB5187" s="1"/>
      <c r="AC5187" s="1" t="s">
        <v>36</v>
      </c>
      <c r="AD5187" s="1" t="s">
        <v>17617</v>
      </c>
      <c r="AE5187" s="1" t="s">
        <v>32</v>
      </c>
      <c r="AF5187" s="1" t="s">
        <v>33</v>
      </c>
      <c r="AG5187" s="1" t="s">
        <v>174</v>
      </c>
    </row>
    <row r="5188" spans="1:33">
      <c r="A5188" t="s">
        <v>17618</v>
      </c>
      <c r="B5188" t="s">
        <v>510</v>
      </c>
      <c r="C5188" t="s">
        <v>125</v>
      </c>
      <c r="E5188" t="s">
        <v>17332</v>
      </c>
      <c r="F5188" t="s">
        <v>16399</v>
      </c>
      <c r="G5188">
        <v>54.49</v>
      </c>
      <c r="H5188">
        <v>54.49</v>
      </c>
      <c r="I5188" t="s">
        <v>126</v>
      </c>
      <c r="J5188" t="s">
        <v>127</v>
      </c>
      <c r="K5188" t="s">
        <v>31</v>
      </c>
      <c r="L5188" t="s">
        <v>32</v>
      </c>
      <c r="M5188" t="s">
        <v>33</v>
      </c>
      <c r="P5188" s="1" t="s">
        <v>17619</v>
      </c>
      <c r="Q5188" s="1" t="s">
        <v>17332</v>
      </c>
      <c r="R5188" s="1" t="s">
        <v>17332</v>
      </c>
      <c r="S5188" s="1"/>
      <c r="T5188" s="1" t="s">
        <v>125</v>
      </c>
      <c r="U5188" s="1"/>
      <c r="V5188" s="1">
        <v>54.49</v>
      </c>
      <c r="W5188" s="1">
        <v>54.49</v>
      </c>
      <c r="X5188" s="1" t="s">
        <v>35</v>
      </c>
      <c r="Y5188" s="1">
        <v>54490</v>
      </c>
      <c r="Z5188" s="1"/>
      <c r="AA5188" s="1">
        <v>54490</v>
      </c>
      <c r="AB5188" s="1"/>
      <c r="AC5188" s="1" t="s">
        <v>36</v>
      </c>
      <c r="AD5188" s="1" t="s">
        <v>17607</v>
      </c>
      <c r="AE5188" s="1" t="s">
        <v>32</v>
      </c>
      <c r="AF5188" s="1" t="s">
        <v>33</v>
      </c>
      <c r="AG5188" s="1" t="s">
        <v>127</v>
      </c>
    </row>
    <row r="5189" spans="1:33">
      <c r="A5189" t="s">
        <v>17620</v>
      </c>
      <c r="B5189" t="s">
        <v>13339</v>
      </c>
      <c r="C5189" t="s">
        <v>13324</v>
      </c>
      <c r="E5189" t="s">
        <v>17332</v>
      </c>
      <c r="F5189" t="s">
        <v>16399</v>
      </c>
      <c r="G5189">
        <v>820.0</v>
      </c>
      <c r="H5189">
        <v>820.0</v>
      </c>
      <c r="I5189" t="s">
        <v>59</v>
      </c>
      <c r="J5189" t="s">
        <v>60</v>
      </c>
      <c r="K5189" t="s">
        <v>31</v>
      </c>
      <c r="L5189" t="s">
        <v>32</v>
      </c>
      <c r="M5189" t="s">
        <v>33</v>
      </c>
      <c r="P5189" s="1" t="s">
        <v>17621</v>
      </c>
      <c r="Q5189" s="1" t="s">
        <v>17332</v>
      </c>
      <c r="R5189" s="1" t="s">
        <v>17332</v>
      </c>
      <c r="S5189" s="1"/>
      <c r="T5189" s="1" t="s">
        <v>13326</v>
      </c>
      <c r="U5189" s="1" t="s">
        <v>13327</v>
      </c>
      <c r="V5189" s="1">
        <v>820.0</v>
      </c>
      <c r="W5189" s="1">
        <v>820.0</v>
      </c>
      <c r="X5189" s="1" t="s">
        <v>35</v>
      </c>
      <c r="Y5189" s="1">
        <v>820000</v>
      </c>
      <c r="Z5189" s="1"/>
      <c r="AA5189" s="1">
        <v>820000</v>
      </c>
      <c r="AB5189" s="1"/>
      <c r="AC5189" s="1" t="s">
        <v>36</v>
      </c>
      <c r="AD5189" s="1" t="s">
        <v>17617</v>
      </c>
      <c r="AE5189" s="1" t="s">
        <v>32</v>
      </c>
      <c r="AF5189" s="1" t="s">
        <v>33</v>
      </c>
      <c r="AG5189" s="1" t="s">
        <v>60</v>
      </c>
    </row>
    <row r="5190" spans="1:33">
      <c r="A5190" t="s">
        <v>17622</v>
      </c>
      <c r="C5190" t="s">
        <v>73</v>
      </c>
      <c r="E5190" t="s">
        <v>17332</v>
      </c>
      <c r="F5190" t="s">
        <v>16399</v>
      </c>
      <c r="G5190">
        <v>16.468</v>
      </c>
      <c r="H5190">
        <v>16.468</v>
      </c>
      <c r="I5190" t="s">
        <v>40</v>
      </c>
      <c r="J5190" t="s">
        <v>41</v>
      </c>
      <c r="K5190" t="s">
        <v>31</v>
      </c>
      <c r="L5190" t="s">
        <v>32</v>
      </c>
      <c r="M5190" t="s">
        <v>33</v>
      </c>
      <c r="P5190" s="1" t="s">
        <v>17623</v>
      </c>
      <c r="Q5190" s="1" t="s">
        <v>17332</v>
      </c>
      <c r="R5190" s="1" t="s">
        <v>16369</v>
      </c>
      <c r="S5190" s="1"/>
      <c r="T5190" s="1" t="s">
        <v>75</v>
      </c>
      <c r="U5190" s="1" t="s">
        <v>76</v>
      </c>
      <c r="V5190" s="1">
        <v>16.468</v>
      </c>
      <c r="W5190" s="1">
        <v>16.468</v>
      </c>
      <c r="X5190" s="1" t="s">
        <v>35</v>
      </c>
      <c r="Y5190" s="1">
        <v>16468</v>
      </c>
      <c r="Z5190" s="1"/>
      <c r="AA5190" s="1">
        <v>16468</v>
      </c>
      <c r="AB5190" s="1"/>
      <c r="AC5190" s="1" t="s">
        <v>36</v>
      </c>
      <c r="AD5190" s="1" t="s">
        <v>17624</v>
      </c>
      <c r="AE5190" s="1" t="s">
        <v>32</v>
      </c>
      <c r="AF5190" s="1" t="s">
        <v>33</v>
      </c>
      <c r="AG5190" s="1" t="s">
        <v>41</v>
      </c>
    </row>
    <row r="5191" spans="1:33">
      <c r="A5191" t="s">
        <v>17625</v>
      </c>
      <c r="C5191" t="s">
        <v>17157</v>
      </c>
      <c r="D5191" t="s">
        <v>154</v>
      </c>
      <c r="E5191" t="s">
        <v>17332</v>
      </c>
      <c r="F5191" t="s">
        <v>16399</v>
      </c>
      <c r="G5191">
        <v>1.959</v>
      </c>
      <c r="H5191">
        <v>1.959</v>
      </c>
      <c r="I5191" t="s">
        <v>40</v>
      </c>
      <c r="J5191" t="s">
        <v>41</v>
      </c>
      <c r="K5191" t="s">
        <v>31</v>
      </c>
      <c r="L5191" t="s">
        <v>32</v>
      </c>
      <c r="M5191" t="s">
        <v>33</v>
      </c>
      <c r="P5191" s="1" t="s">
        <v>17626</v>
      </c>
      <c r="Q5191" s="1" t="s">
        <v>17332</v>
      </c>
      <c r="R5191" s="1" t="s">
        <v>16369</v>
      </c>
      <c r="S5191" s="1"/>
      <c r="T5191" s="1" t="s">
        <v>17157</v>
      </c>
      <c r="U5191" s="1"/>
      <c r="V5191" s="1">
        <v>1.959</v>
      </c>
      <c r="W5191" s="1">
        <v>1.959</v>
      </c>
      <c r="X5191" s="1" t="s">
        <v>35</v>
      </c>
      <c r="Y5191" s="1">
        <v>1959000</v>
      </c>
      <c r="Z5191" s="1"/>
      <c r="AA5191" s="1">
        <v>1959000</v>
      </c>
      <c r="AB5191" s="1"/>
      <c r="AC5191" s="1" t="s">
        <v>36</v>
      </c>
      <c r="AD5191" s="1" t="s">
        <v>17627</v>
      </c>
      <c r="AE5191" s="1" t="s">
        <v>32</v>
      </c>
      <c r="AF5191" s="1" t="s">
        <v>33</v>
      </c>
      <c r="AG5191" s="1" t="s">
        <v>41</v>
      </c>
    </row>
    <row r="5192" spans="1:33">
      <c r="A5192" t="s">
        <v>17628</v>
      </c>
      <c r="C5192" t="s">
        <v>15000</v>
      </c>
      <c r="E5192" t="s">
        <v>17332</v>
      </c>
      <c r="F5192" t="s">
        <v>16399</v>
      </c>
      <c r="G5192">
        <v>442.1</v>
      </c>
      <c r="H5192">
        <v>442.1</v>
      </c>
      <c r="I5192" t="s">
        <v>269</v>
      </c>
      <c r="J5192" t="s">
        <v>270</v>
      </c>
      <c r="K5192" t="s">
        <v>31</v>
      </c>
      <c r="L5192" t="s">
        <v>32</v>
      </c>
      <c r="M5192" t="s">
        <v>33</v>
      </c>
      <c r="P5192" s="1" t="s">
        <v>17629</v>
      </c>
      <c r="Q5192" s="1" t="s">
        <v>17332</v>
      </c>
      <c r="R5192" s="1" t="s">
        <v>17332</v>
      </c>
      <c r="S5192" s="1"/>
      <c r="T5192" s="1" t="s">
        <v>15002</v>
      </c>
      <c r="U5192" s="1" t="s">
        <v>15003</v>
      </c>
      <c r="V5192" s="1">
        <v>442.1</v>
      </c>
      <c r="W5192" s="1">
        <v>442.1</v>
      </c>
      <c r="X5192" s="1" t="s">
        <v>35</v>
      </c>
      <c r="Y5192" s="1">
        <v>442100</v>
      </c>
      <c r="Z5192" s="1"/>
      <c r="AA5192" s="1">
        <v>442100</v>
      </c>
      <c r="AB5192" s="1"/>
      <c r="AC5192" s="1" t="s">
        <v>36</v>
      </c>
      <c r="AD5192" s="1" t="s">
        <v>17624</v>
      </c>
      <c r="AE5192" s="1" t="s">
        <v>32</v>
      </c>
      <c r="AF5192" s="1" t="s">
        <v>33</v>
      </c>
      <c r="AG5192" s="1" t="s">
        <v>270</v>
      </c>
    </row>
    <row r="5193" spans="1:33">
      <c r="A5193" t="s">
        <v>17630</v>
      </c>
      <c r="C5193" t="s">
        <v>288</v>
      </c>
      <c r="D5193" t="s">
        <v>114</v>
      </c>
      <c r="E5193" t="s">
        <v>17332</v>
      </c>
      <c r="F5193" t="s">
        <v>16399</v>
      </c>
      <c r="G5193">
        <v>328.0</v>
      </c>
      <c r="H5193">
        <v>328.0</v>
      </c>
      <c r="I5193" t="s">
        <v>269</v>
      </c>
      <c r="J5193" t="s">
        <v>270</v>
      </c>
      <c r="K5193" t="s">
        <v>31</v>
      </c>
      <c r="L5193" t="s">
        <v>32</v>
      </c>
      <c r="M5193" t="s">
        <v>33</v>
      </c>
      <c r="P5193" s="1" t="s">
        <v>17631</v>
      </c>
      <c r="Q5193" s="1" t="s">
        <v>17332</v>
      </c>
      <c r="R5193" s="1" t="s">
        <v>17332</v>
      </c>
      <c r="S5193" s="1"/>
      <c r="T5193" s="1" t="s">
        <v>288</v>
      </c>
      <c r="U5193" s="1"/>
      <c r="V5193" s="1">
        <v>328.0</v>
      </c>
      <c r="W5193" s="1">
        <v>328.0</v>
      </c>
      <c r="X5193" s="1" t="s">
        <v>35</v>
      </c>
      <c r="Y5193" s="1">
        <v>328000</v>
      </c>
      <c r="Z5193" s="1"/>
      <c r="AA5193" s="1">
        <v>328000</v>
      </c>
      <c r="AB5193" s="1"/>
      <c r="AC5193" s="1" t="s">
        <v>36</v>
      </c>
      <c r="AD5193" s="1" t="s">
        <v>17632</v>
      </c>
      <c r="AE5193" s="1" t="s">
        <v>32</v>
      </c>
      <c r="AF5193" s="1" t="s">
        <v>33</v>
      </c>
      <c r="AG5193" s="1" t="s">
        <v>270</v>
      </c>
    </row>
    <row r="5194" spans="1:33">
      <c r="A5194" t="s">
        <v>17633</v>
      </c>
      <c r="B5194" t="s">
        <v>17634</v>
      </c>
      <c r="C5194" t="s">
        <v>47</v>
      </c>
      <c r="E5194" t="s">
        <v>17332</v>
      </c>
      <c r="F5194" t="s">
        <v>16399</v>
      </c>
      <c r="G5194">
        <v>67.326</v>
      </c>
      <c r="H5194">
        <v>67.326</v>
      </c>
      <c r="I5194" t="s">
        <v>2206</v>
      </c>
      <c r="J5194" t="s">
        <v>49</v>
      </c>
      <c r="K5194" t="s">
        <v>31</v>
      </c>
      <c r="L5194" t="s">
        <v>32</v>
      </c>
      <c r="M5194" t="s">
        <v>33</v>
      </c>
      <c r="P5194" s="1" t="s">
        <v>17635</v>
      </c>
      <c r="Q5194" s="1" t="s">
        <v>17332</v>
      </c>
      <c r="R5194" s="1" t="s">
        <v>17332</v>
      </c>
      <c r="S5194" s="1"/>
      <c r="T5194" s="1" t="s">
        <v>47</v>
      </c>
      <c r="U5194" s="1"/>
      <c r="V5194" s="1">
        <v>67.326</v>
      </c>
      <c r="W5194" s="1">
        <v>67.326</v>
      </c>
      <c r="X5194" s="1" t="s">
        <v>35</v>
      </c>
      <c r="Y5194" s="1">
        <v>67326</v>
      </c>
      <c r="Z5194" s="1"/>
      <c r="AA5194" s="1">
        <v>67326</v>
      </c>
      <c r="AB5194" s="1"/>
      <c r="AC5194" s="1" t="s">
        <v>36</v>
      </c>
      <c r="AD5194" s="1" t="s">
        <v>17636</v>
      </c>
      <c r="AE5194" s="1" t="s">
        <v>32</v>
      </c>
      <c r="AF5194" s="1" t="s">
        <v>33</v>
      </c>
      <c r="AG5194" s="1" t="s">
        <v>49</v>
      </c>
    </row>
    <row r="5195" spans="1:33">
      <c r="A5195" t="s">
        <v>17637</v>
      </c>
      <c r="C5195" t="s">
        <v>2842</v>
      </c>
      <c r="E5195" t="s">
        <v>17332</v>
      </c>
      <c r="F5195" t="s">
        <v>16399</v>
      </c>
      <c r="G5195">
        <v>336.0</v>
      </c>
      <c r="H5195">
        <v>336.0</v>
      </c>
      <c r="I5195" t="s">
        <v>2206</v>
      </c>
      <c r="J5195" t="s">
        <v>49</v>
      </c>
      <c r="K5195" t="s">
        <v>31</v>
      </c>
      <c r="L5195" t="s">
        <v>32</v>
      </c>
      <c r="M5195" t="s">
        <v>33</v>
      </c>
      <c r="P5195" s="1" t="s">
        <v>17638</v>
      </c>
      <c r="Q5195" s="1" t="s">
        <v>17332</v>
      </c>
      <c r="R5195" s="1" t="s">
        <v>17332</v>
      </c>
      <c r="S5195" s="1"/>
      <c r="T5195" s="1" t="s">
        <v>2842</v>
      </c>
      <c r="U5195" s="1"/>
      <c r="V5195" s="1">
        <v>336.0</v>
      </c>
      <c r="W5195" s="1">
        <v>336.0</v>
      </c>
      <c r="X5195" s="1" t="s">
        <v>35</v>
      </c>
      <c r="Y5195" s="1">
        <v>336000</v>
      </c>
      <c r="Z5195" s="1"/>
      <c r="AA5195" s="1">
        <v>336000</v>
      </c>
      <c r="AB5195" s="1"/>
      <c r="AC5195" s="1" t="s">
        <v>36</v>
      </c>
      <c r="AD5195" s="1" t="s">
        <v>17639</v>
      </c>
      <c r="AE5195" s="1" t="s">
        <v>32</v>
      </c>
      <c r="AF5195" s="1" t="s">
        <v>33</v>
      </c>
      <c r="AG5195" s="1" t="s">
        <v>49</v>
      </c>
    </row>
    <row r="5196" spans="1:33">
      <c r="A5196" t="s">
        <v>17640</v>
      </c>
      <c r="C5196" t="s">
        <v>17641</v>
      </c>
      <c r="E5196" t="s">
        <v>17332</v>
      </c>
      <c r="F5196" t="s">
        <v>16399</v>
      </c>
      <c r="G5196">
        <v>1.503</v>
      </c>
      <c r="H5196">
        <v>1.503</v>
      </c>
      <c r="I5196" t="s">
        <v>94</v>
      </c>
      <c r="J5196" t="s">
        <v>95</v>
      </c>
      <c r="K5196" t="s">
        <v>31</v>
      </c>
      <c r="L5196" t="s">
        <v>32</v>
      </c>
      <c r="M5196" t="s">
        <v>33</v>
      </c>
      <c r="P5196" s="1" t="s">
        <v>17642</v>
      </c>
      <c r="Q5196" s="1" t="s">
        <v>17332</v>
      </c>
      <c r="R5196" s="1" t="s">
        <v>17332</v>
      </c>
      <c r="S5196" s="1"/>
      <c r="T5196" s="1" t="s">
        <v>17641</v>
      </c>
      <c r="U5196" s="1"/>
      <c r="V5196" s="1">
        <v>1.503</v>
      </c>
      <c r="W5196" s="1">
        <v>1.503</v>
      </c>
      <c r="X5196" s="1" t="s">
        <v>35</v>
      </c>
      <c r="Y5196" s="1">
        <v>1503500</v>
      </c>
      <c r="Z5196" s="1"/>
      <c r="AA5196" s="1">
        <v>1503500</v>
      </c>
      <c r="AB5196" s="1"/>
      <c r="AC5196" s="1" t="s">
        <v>36</v>
      </c>
      <c r="AD5196" s="1" t="s">
        <v>17643</v>
      </c>
      <c r="AE5196" s="1" t="s">
        <v>32</v>
      </c>
      <c r="AF5196" s="1" t="s">
        <v>33</v>
      </c>
      <c r="AG5196" s="1" t="s">
        <v>95</v>
      </c>
    </row>
    <row r="5197" spans="1:33">
      <c r="A5197" t="s">
        <v>17644</v>
      </c>
      <c r="C5197" t="s">
        <v>17645</v>
      </c>
      <c r="E5197" t="s">
        <v>17332</v>
      </c>
      <c r="F5197" t="s">
        <v>16399</v>
      </c>
      <c r="G5197">
        <v>1.64</v>
      </c>
      <c r="H5197">
        <v>1.64</v>
      </c>
      <c r="I5197" t="s">
        <v>269</v>
      </c>
      <c r="J5197" t="s">
        <v>270</v>
      </c>
      <c r="K5197" t="s">
        <v>31</v>
      </c>
      <c r="L5197" t="s">
        <v>32</v>
      </c>
      <c r="M5197" t="s">
        <v>33</v>
      </c>
      <c r="P5197" s="1" t="s">
        <v>17646</v>
      </c>
      <c r="Q5197" s="1" t="s">
        <v>17332</v>
      </c>
      <c r="R5197" s="1" t="s">
        <v>17332</v>
      </c>
      <c r="S5197" s="1"/>
      <c r="T5197" s="1" t="s">
        <v>17645</v>
      </c>
      <c r="U5197" s="1"/>
      <c r="V5197" s="1">
        <v>1.64</v>
      </c>
      <c r="W5197" s="1">
        <v>1.64</v>
      </c>
      <c r="X5197" s="1" t="s">
        <v>35</v>
      </c>
      <c r="Y5197" s="1">
        <v>1640000</v>
      </c>
      <c r="Z5197" s="1"/>
      <c r="AA5197" s="1">
        <v>1640000</v>
      </c>
      <c r="AB5197" s="1"/>
      <c r="AC5197" s="1" t="s">
        <v>36</v>
      </c>
      <c r="AD5197" s="1" t="s">
        <v>17647</v>
      </c>
      <c r="AE5197" s="1" t="s">
        <v>32</v>
      </c>
      <c r="AF5197" s="1" t="s">
        <v>33</v>
      </c>
      <c r="AG5197" s="1" t="s">
        <v>270</v>
      </c>
    </row>
    <row r="5198" spans="1:33">
      <c r="A5198" t="s">
        <v>17648</v>
      </c>
      <c r="C5198" t="s">
        <v>558</v>
      </c>
      <c r="D5198" t="s">
        <v>154</v>
      </c>
      <c r="E5198" t="s">
        <v>17332</v>
      </c>
      <c r="F5198" t="s">
        <v>16399</v>
      </c>
      <c r="G5198">
        <v>20.0</v>
      </c>
      <c r="H5198">
        <v>20.0</v>
      </c>
      <c r="I5198" t="s">
        <v>269</v>
      </c>
      <c r="J5198" t="s">
        <v>270</v>
      </c>
      <c r="K5198" t="s">
        <v>31</v>
      </c>
      <c r="L5198" t="s">
        <v>32</v>
      </c>
      <c r="M5198" t="s">
        <v>33</v>
      </c>
      <c r="P5198" s="1" t="s">
        <v>17649</v>
      </c>
      <c r="Q5198" s="1" t="s">
        <v>17332</v>
      </c>
      <c r="R5198" s="1" t="s">
        <v>17332</v>
      </c>
      <c r="S5198" s="1"/>
      <c r="T5198" s="1" t="s">
        <v>560</v>
      </c>
      <c r="U5198" s="1" t="s">
        <v>561</v>
      </c>
      <c r="V5198" s="1">
        <v>20.0</v>
      </c>
      <c r="W5198" s="1">
        <v>20.0</v>
      </c>
      <c r="X5198" s="1" t="s">
        <v>35</v>
      </c>
      <c r="Y5198" s="1">
        <v>20000</v>
      </c>
      <c r="Z5198" s="1"/>
      <c r="AA5198" s="1">
        <v>20000</v>
      </c>
      <c r="AB5198" s="1"/>
      <c r="AC5198" s="1" t="s">
        <v>36</v>
      </c>
      <c r="AD5198" s="1" t="s">
        <v>17650</v>
      </c>
      <c r="AE5198" s="1" t="s">
        <v>32</v>
      </c>
      <c r="AF5198" s="1" t="s">
        <v>33</v>
      </c>
      <c r="AG5198" s="1" t="s">
        <v>270</v>
      </c>
    </row>
    <row r="5199" spans="1:33">
      <c r="A5199" t="s">
        <v>17651</v>
      </c>
      <c r="C5199" t="s">
        <v>2842</v>
      </c>
      <c r="E5199" t="s">
        <v>17332</v>
      </c>
      <c r="F5199" t="s">
        <v>16399</v>
      </c>
      <c r="G5199">
        <v>2.323</v>
      </c>
      <c r="H5199">
        <v>2.323</v>
      </c>
      <c r="I5199" t="s">
        <v>2206</v>
      </c>
      <c r="J5199" t="s">
        <v>49</v>
      </c>
      <c r="K5199" t="s">
        <v>31</v>
      </c>
      <c r="L5199" t="s">
        <v>32</v>
      </c>
      <c r="M5199" t="s">
        <v>33</v>
      </c>
      <c r="P5199" s="1" t="s">
        <v>17652</v>
      </c>
      <c r="Q5199" s="1" t="s">
        <v>17332</v>
      </c>
      <c r="R5199" s="1" t="s">
        <v>17332</v>
      </c>
      <c r="S5199" s="1"/>
      <c r="T5199" s="1" t="s">
        <v>2842</v>
      </c>
      <c r="U5199" s="1"/>
      <c r="V5199" s="1">
        <v>2.323</v>
      </c>
      <c r="W5199" s="1">
        <v>2.323</v>
      </c>
      <c r="X5199" s="1" t="s">
        <v>35</v>
      </c>
      <c r="Y5199" s="1">
        <v>2323000</v>
      </c>
      <c r="Z5199" s="1"/>
      <c r="AA5199" s="1">
        <v>2323000</v>
      </c>
      <c r="AB5199" s="1"/>
      <c r="AC5199" s="1" t="s">
        <v>36</v>
      </c>
      <c r="AD5199" s="1" t="s">
        <v>17624</v>
      </c>
      <c r="AE5199" s="1" t="s">
        <v>32</v>
      </c>
      <c r="AF5199" s="1" t="s">
        <v>33</v>
      </c>
      <c r="AG5199" s="1" t="s">
        <v>49</v>
      </c>
    </row>
    <row r="5200" spans="1:33">
      <c r="A5200" t="s">
        <v>17653</v>
      </c>
      <c r="B5200" t="s">
        <v>17654</v>
      </c>
      <c r="C5200" t="s">
        <v>47</v>
      </c>
      <c r="E5200" t="s">
        <v>17332</v>
      </c>
      <c r="F5200" t="s">
        <v>16399</v>
      </c>
      <c r="G5200">
        <v>11.0</v>
      </c>
      <c r="H5200">
        <v>11.0</v>
      </c>
      <c r="I5200" t="s">
        <v>2206</v>
      </c>
      <c r="J5200" t="s">
        <v>49</v>
      </c>
      <c r="K5200" t="s">
        <v>31</v>
      </c>
      <c r="L5200" t="s">
        <v>32</v>
      </c>
      <c r="M5200" t="s">
        <v>33</v>
      </c>
      <c r="P5200" s="1" t="s">
        <v>17655</v>
      </c>
      <c r="Q5200" s="1" t="s">
        <v>17332</v>
      </c>
      <c r="R5200" s="1" t="s">
        <v>17332</v>
      </c>
      <c r="S5200" s="1"/>
      <c r="T5200" s="1" t="s">
        <v>47</v>
      </c>
      <c r="U5200" s="1"/>
      <c r="V5200" s="1">
        <v>11.0</v>
      </c>
      <c r="W5200" s="1">
        <v>11.0</v>
      </c>
      <c r="X5200" s="1" t="s">
        <v>35</v>
      </c>
      <c r="Y5200" s="1">
        <v>11000</v>
      </c>
      <c r="Z5200" s="1"/>
      <c r="AA5200" s="1">
        <v>11000</v>
      </c>
      <c r="AB5200" s="1"/>
      <c r="AC5200" s="1" t="s">
        <v>36</v>
      </c>
      <c r="AD5200" s="1" t="s">
        <v>17656</v>
      </c>
      <c r="AE5200" s="1" t="s">
        <v>32</v>
      </c>
      <c r="AF5200" s="1" t="s">
        <v>33</v>
      </c>
      <c r="AG5200" s="1" t="s">
        <v>49</v>
      </c>
    </row>
    <row r="5201" spans="1:33">
      <c r="A5201" t="s">
        <v>17657</v>
      </c>
      <c r="B5201" t="s">
        <v>17658</v>
      </c>
      <c r="C5201" t="s">
        <v>125</v>
      </c>
      <c r="E5201" t="s">
        <v>17332</v>
      </c>
      <c r="F5201" t="s">
        <v>16399</v>
      </c>
      <c r="G5201">
        <v>14.594</v>
      </c>
      <c r="H5201">
        <v>14.594</v>
      </c>
      <c r="I5201" t="s">
        <v>126</v>
      </c>
      <c r="J5201" t="s">
        <v>127</v>
      </c>
      <c r="K5201" t="s">
        <v>31</v>
      </c>
      <c r="L5201" t="s">
        <v>32</v>
      </c>
      <c r="M5201" t="s">
        <v>33</v>
      </c>
      <c r="P5201" s="1" t="s">
        <v>17659</v>
      </c>
      <c r="Q5201" s="1" t="s">
        <v>17332</v>
      </c>
      <c r="R5201" s="1" t="s">
        <v>17332</v>
      </c>
      <c r="S5201" s="1"/>
      <c r="T5201" s="1" t="s">
        <v>125</v>
      </c>
      <c r="U5201" s="1"/>
      <c r="V5201" s="1">
        <v>14.594</v>
      </c>
      <c r="W5201" s="1">
        <v>14.594</v>
      </c>
      <c r="X5201" s="1" t="s">
        <v>35</v>
      </c>
      <c r="Y5201" s="1">
        <v>14594</v>
      </c>
      <c r="Z5201" s="1"/>
      <c r="AA5201" s="1">
        <v>14594</v>
      </c>
      <c r="AB5201" s="1"/>
      <c r="AC5201" s="1" t="s">
        <v>36</v>
      </c>
      <c r="AD5201" s="1" t="s">
        <v>17660</v>
      </c>
      <c r="AE5201" s="1" t="s">
        <v>32</v>
      </c>
      <c r="AF5201" s="1" t="s">
        <v>33</v>
      </c>
      <c r="AG5201" s="1" t="s">
        <v>127</v>
      </c>
    </row>
    <row r="5202" spans="1:33">
      <c r="A5202" t="s">
        <v>17661</v>
      </c>
      <c r="B5202" t="s">
        <v>17662</v>
      </c>
      <c r="C5202" t="s">
        <v>955</v>
      </c>
      <c r="D5202" t="s">
        <v>114</v>
      </c>
      <c r="E5202" t="s">
        <v>17332</v>
      </c>
      <c r="F5202" t="s">
        <v>16399</v>
      </c>
      <c r="G5202">
        <v>1.59</v>
      </c>
      <c r="H5202">
        <v>1.59</v>
      </c>
      <c r="I5202" t="s">
        <v>40</v>
      </c>
      <c r="J5202" t="s">
        <v>41</v>
      </c>
      <c r="K5202" t="s">
        <v>31</v>
      </c>
      <c r="L5202" t="s">
        <v>32</v>
      </c>
      <c r="M5202" t="s">
        <v>33</v>
      </c>
      <c r="P5202" s="1" t="s">
        <v>17663</v>
      </c>
      <c r="Q5202" s="1" t="s">
        <v>17332</v>
      </c>
      <c r="R5202" s="1" t="s">
        <v>16369</v>
      </c>
      <c r="S5202" s="1"/>
      <c r="T5202" s="1" t="s">
        <v>955</v>
      </c>
      <c r="U5202" s="1"/>
      <c r="V5202" s="1">
        <v>1.59</v>
      </c>
      <c r="W5202" s="1">
        <v>1.59</v>
      </c>
      <c r="X5202" s="1" t="s">
        <v>35</v>
      </c>
      <c r="Y5202" s="1">
        <v>1590000</v>
      </c>
      <c r="Z5202" s="1"/>
      <c r="AA5202" s="1">
        <v>1590000</v>
      </c>
      <c r="AB5202" s="1"/>
      <c r="AC5202" s="1" t="s">
        <v>36</v>
      </c>
      <c r="AD5202" s="1" t="s">
        <v>17664</v>
      </c>
      <c r="AE5202" s="1" t="s">
        <v>32</v>
      </c>
      <c r="AF5202" s="1" t="s">
        <v>33</v>
      </c>
      <c r="AG5202" s="1" t="s">
        <v>41</v>
      </c>
    </row>
    <row r="5203" spans="1:33">
      <c r="A5203" t="s">
        <v>17665</v>
      </c>
      <c r="C5203" t="s">
        <v>1424</v>
      </c>
      <c r="E5203" t="s">
        <v>17332</v>
      </c>
      <c r="F5203" t="s">
        <v>16399</v>
      </c>
      <c r="G5203">
        <v>320.0</v>
      </c>
      <c r="H5203">
        <v>320.0</v>
      </c>
      <c r="I5203" t="s">
        <v>126</v>
      </c>
      <c r="J5203" t="s">
        <v>127</v>
      </c>
      <c r="K5203" t="s">
        <v>31</v>
      </c>
      <c r="L5203" t="s">
        <v>32</v>
      </c>
      <c r="M5203" t="s">
        <v>33</v>
      </c>
      <c r="P5203" s="1" t="s">
        <v>17666</v>
      </c>
      <c r="Q5203" s="1" t="s">
        <v>17332</v>
      </c>
      <c r="R5203" s="1" t="s">
        <v>17332</v>
      </c>
      <c r="S5203" s="1"/>
      <c r="T5203" s="1" t="s">
        <v>1424</v>
      </c>
      <c r="U5203" s="1"/>
      <c r="V5203" s="1">
        <v>320.0</v>
      </c>
      <c r="W5203" s="1">
        <v>320.0</v>
      </c>
      <c r="X5203" s="1" t="s">
        <v>35</v>
      </c>
      <c r="Y5203" s="1">
        <v>320000</v>
      </c>
      <c r="Z5203" s="1"/>
      <c r="AA5203" s="1">
        <v>320000</v>
      </c>
      <c r="AB5203" s="1"/>
      <c r="AC5203" s="1" t="s">
        <v>36</v>
      </c>
      <c r="AD5203" s="1" t="s">
        <v>17667</v>
      </c>
      <c r="AE5203" s="1" t="s">
        <v>32</v>
      </c>
      <c r="AF5203" s="1" t="s">
        <v>33</v>
      </c>
      <c r="AG5203" s="1" t="s">
        <v>127</v>
      </c>
    </row>
    <row r="5204" spans="1:33">
      <c r="A5204" t="s">
        <v>17668</v>
      </c>
      <c r="B5204" t="s">
        <v>16706</v>
      </c>
      <c r="C5204" t="s">
        <v>268</v>
      </c>
      <c r="E5204" t="s">
        <v>17332</v>
      </c>
      <c r="F5204" t="s">
        <v>16399</v>
      </c>
      <c r="G5204">
        <v>49.75</v>
      </c>
      <c r="H5204">
        <v>49.75</v>
      </c>
      <c r="I5204" t="s">
        <v>269</v>
      </c>
      <c r="J5204" t="s">
        <v>270</v>
      </c>
      <c r="K5204" t="s">
        <v>31</v>
      </c>
      <c r="L5204" t="s">
        <v>32</v>
      </c>
      <c r="M5204" t="s">
        <v>33</v>
      </c>
      <c r="P5204" s="1" t="s">
        <v>17669</v>
      </c>
      <c r="Q5204" s="1" t="s">
        <v>17332</v>
      </c>
      <c r="R5204" s="1" t="s">
        <v>17332</v>
      </c>
      <c r="S5204" s="1"/>
      <c r="T5204" s="1" t="s">
        <v>268</v>
      </c>
      <c r="U5204" s="1"/>
      <c r="V5204" s="1">
        <v>49.75</v>
      </c>
      <c r="W5204" s="1">
        <v>49.75</v>
      </c>
      <c r="X5204" s="1" t="s">
        <v>35</v>
      </c>
      <c r="Y5204" s="1">
        <v>49750</v>
      </c>
      <c r="Z5204" s="1"/>
      <c r="AA5204" s="1">
        <v>49750</v>
      </c>
      <c r="AB5204" s="1"/>
      <c r="AC5204" s="1" t="s">
        <v>36</v>
      </c>
      <c r="AD5204" s="1" t="s">
        <v>17670</v>
      </c>
      <c r="AE5204" s="1" t="s">
        <v>32</v>
      </c>
      <c r="AF5204" s="1" t="s">
        <v>33</v>
      </c>
      <c r="AG5204" s="1" t="s">
        <v>270</v>
      </c>
    </row>
    <row r="5205" spans="1:33">
      <c r="A5205" t="s">
        <v>17671</v>
      </c>
      <c r="C5205" t="s">
        <v>172</v>
      </c>
      <c r="E5205" t="s">
        <v>17332</v>
      </c>
      <c r="F5205" t="s">
        <v>16399</v>
      </c>
      <c r="G5205">
        <v>5.04</v>
      </c>
      <c r="H5205">
        <v>5.04</v>
      </c>
      <c r="I5205" t="s">
        <v>173</v>
      </c>
      <c r="J5205" t="s">
        <v>174</v>
      </c>
      <c r="K5205" t="s">
        <v>31</v>
      </c>
      <c r="L5205" t="s">
        <v>32</v>
      </c>
      <c r="M5205" t="s">
        <v>33</v>
      </c>
      <c r="P5205" s="1" t="s">
        <v>17672</v>
      </c>
      <c r="Q5205" s="1" t="s">
        <v>17332</v>
      </c>
      <c r="R5205" s="1" t="s">
        <v>17332</v>
      </c>
      <c r="S5205" s="1"/>
      <c r="T5205" s="1" t="s">
        <v>172</v>
      </c>
      <c r="U5205" s="1"/>
      <c r="V5205" s="1">
        <v>5.04</v>
      </c>
      <c r="W5205" s="1">
        <v>5.04</v>
      </c>
      <c r="X5205" s="1" t="s">
        <v>35</v>
      </c>
      <c r="Y5205" s="1">
        <v>5040</v>
      </c>
      <c r="Z5205" s="1"/>
      <c r="AA5205" s="1">
        <v>5040</v>
      </c>
      <c r="AB5205" s="1"/>
      <c r="AC5205" s="1" t="s">
        <v>36</v>
      </c>
      <c r="AD5205" s="1" t="s">
        <v>17673</v>
      </c>
      <c r="AE5205" s="1" t="s">
        <v>32</v>
      </c>
      <c r="AF5205" s="1" t="s">
        <v>33</v>
      </c>
      <c r="AG5205" s="1" t="s">
        <v>174</v>
      </c>
    </row>
    <row r="5206" spans="1:33">
      <c r="A5206" t="s">
        <v>17674</v>
      </c>
      <c r="C5206" t="s">
        <v>17675</v>
      </c>
      <c r="D5206" t="s">
        <v>154</v>
      </c>
      <c r="E5206" t="s">
        <v>17332</v>
      </c>
      <c r="F5206" t="s">
        <v>16399</v>
      </c>
      <c r="G5206">
        <v>594.5</v>
      </c>
      <c r="H5206">
        <v>594.5</v>
      </c>
      <c r="I5206" t="s">
        <v>40</v>
      </c>
      <c r="J5206" t="s">
        <v>41</v>
      </c>
      <c r="K5206" t="s">
        <v>31</v>
      </c>
      <c r="L5206" t="s">
        <v>32</v>
      </c>
      <c r="M5206" t="s">
        <v>33</v>
      </c>
      <c r="P5206" s="1" t="s">
        <v>17676</v>
      </c>
      <c r="Q5206" s="1" t="s">
        <v>17332</v>
      </c>
      <c r="R5206" s="1" t="s">
        <v>16369</v>
      </c>
      <c r="S5206" s="1"/>
      <c r="T5206" s="1" t="s">
        <v>17675</v>
      </c>
      <c r="U5206" s="1"/>
      <c r="V5206" s="1">
        <v>594.5</v>
      </c>
      <c r="W5206" s="1">
        <v>594.5</v>
      </c>
      <c r="X5206" s="1" t="s">
        <v>35</v>
      </c>
      <c r="Y5206" s="1">
        <v>594500</v>
      </c>
      <c r="Z5206" s="1"/>
      <c r="AA5206" s="1">
        <v>594500</v>
      </c>
      <c r="AB5206" s="1"/>
      <c r="AC5206" s="1" t="s">
        <v>36</v>
      </c>
      <c r="AD5206" s="1" t="s">
        <v>17673</v>
      </c>
      <c r="AE5206" s="1" t="s">
        <v>32</v>
      </c>
      <c r="AF5206" s="1" t="s">
        <v>33</v>
      </c>
      <c r="AG5206" s="1" t="s">
        <v>41</v>
      </c>
    </row>
    <row r="5207" spans="1:33">
      <c r="A5207" t="s">
        <v>17677</v>
      </c>
      <c r="C5207" t="s">
        <v>818</v>
      </c>
      <c r="E5207" t="s">
        <v>17332</v>
      </c>
      <c r="F5207" t="s">
        <v>16399</v>
      </c>
      <c r="G5207">
        <v>825.5</v>
      </c>
      <c r="H5207">
        <v>825.5</v>
      </c>
      <c r="I5207" t="s">
        <v>173</v>
      </c>
      <c r="J5207" t="s">
        <v>174</v>
      </c>
      <c r="K5207" t="s">
        <v>31</v>
      </c>
      <c r="L5207" t="s">
        <v>32</v>
      </c>
      <c r="M5207" t="s">
        <v>33</v>
      </c>
      <c r="P5207" s="1" t="s">
        <v>17678</v>
      </c>
      <c r="Q5207" s="1" t="s">
        <v>17332</v>
      </c>
      <c r="R5207" s="1" t="s">
        <v>17332</v>
      </c>
      <c r="S5207" s="1"/>
      <c r="T5207" s="1" t="s">
        <v>818</v>
      </c>
      <c r="U5207" s="1"/>
      <c r="V5207" s="1">
        <v>825.5</v>
      </c>
      <c r="W5207" s="1">
        <v>825.5</v>
      </c>
      <c r="X5207" s="1" t="s">
        <v>35</v>
      </c>
      <c r="Y5207" s="1">
        <v>825500</v>
      </c>
      <c r="Z5207" s="1"/>
      <c r="AA5207" s="1">
        <v>825500</v>
      </c>
      <c r="AB5207" s="1"/>
      <c r="AC5207" s="1" t="s">
        <v>36</v>
      </c>
      <c r="AD5207" s="1" t="s">
        <v>17679</v>
      </c>
      <c r="AE5207" s="1" t="s">
        <v>32</v>
      </c>
      <c r="AF5207" s="1" t="s">
        <v>33</v>
      </c>
      <c r="AG5207" s="1" t="s">
        <v>174</v>
      </c>
    </row>
    <row r="5208" spans="1:33">
      <c r="A5208" t="s">
        <v>17680</v>
      </c>
      <c r="C5208" t="s">
        <v>3901</v>
      </c>
      <c r="D5208" t="s">
        <v>114</v>
      </c>
      <c r="E5208" t="s">
        <v>17332</v>
      </c>
      <c r="F5208" t="s">
        <v>16399</v>
      </c>
      <c r="G5208">
        <v>328.0</v>
      </c>
      <c r="H5208">
        <v>328.0</v>
      </c>
      <c r="I5208" t="s">
        <v>269</v>
      </c>
      <c r="J5208" t="s">
        <v>270</v>
      </c>
      <c r="K5208" t="s">
        <v>31</v>
      </c>
      <c r="L5208" t="s">
        <v>32</v>
      </c>
      <c r="M5208" t="s">
        <v>33</v>
      </c>
      <c r="P5208" s="1" t="s">
        <v>17681</v>
      </c>
      <c r="Q5208" s="1" t="s">
        <v>17332</v>
      </c>
      <c r="R5208" s="1" t="s">
        <v>17332</v>
      </c>
      <c r="S5208" s="1"/>
      <c r="T5208" s="1" t="s">
        <v>3901</v>
      </c>
      <c r="U5208" s="1"/>
      <c r="V5208" s="1">
        <v>328.0</v>
      </c>
      <c r="W5208" s="1">
        <v>328.0</v>
      </c>
      <c r="X5208" s="1" t="s">
        <v>35</v>
      </c>
      <c r="Y5208" s="1">
        <v>328000</v>
      </c>
      <c r="Z5208" s="1"/>
      <c r="AA5208" s="1">
        <v>328000</v>
      </c>
      <c r="AB5208" s="1"/>
      <c r="AC5208" s="1" t="s">
        <v>36</v>
      </c>
      <c r="AD5208" s="1" t="s">
        <v>17682</v>
      </c>
      <c r="AE5208" s="1" t="s">
        <v>32</v>
      </c>
      <c r="AF5208" s="1" t="s">
        <v>33</v>
      </c>
      <c r="AG5208" s="1" t="s">
        <v>270</v>
      </c>
    </row>
    <row r="5209" spans="1:33">
      <c r="A5209" t="s">
        <v>17683</v>
      </c>
      <c r="C5209" t="s">
        <v>17684</v>
      </c>
      <c r="E5209" t="s">
        <v>17332</v>
      </c>
      <c r="F5209" t="s">
        <v>16399</v>
      </c>
      <c r="G5209">
        <v>300.89</v>
      </c>
      <c r="H5209">
        <v>300.89</v>
      </c>
      <c r="I5209" t="s">
        <v>40</v>
      </c>
      <c r="J5209" t="s">
        <v>41</v>
      </c>
      <c r="K5209" t="s">
        <v>31</v>
      </c>
      <c r="L5209" t="s">
        <v>32</v>
      </c>
      <c r="M5209" t="s">
        <v>33</v>
      </c>
      <c r="P5209" s="1" t="s">
        <v>17685</v>
      </c>
      <c r="Q5209" s="1" t="s">
        <v>17332</v>
      </c>
      <c r="R5209" s="1" t="s">
        <v>16369</v>
      </c>
      <c r="S5209" s="1"/>
      <c r="T5209" s="1" t="s">
        <v>17684</v>
      </c>
      <c r="U5209" s="1"/>
      <c r="V5209" s="1">
        <v>300.89</v>
      </c>
      <c r="W5209" s="1">
        <v>300.89</v>
      </c>
      <c r="X5209" s="1" t="s">
        <v>35</v>
      </c>
      <c r="Y5209" s="1">
        <v>300890</v>
      </c>
      <c r="Z5209" s="1"/>
      <c r="AA5209" s="1">
        <v>300890</v>
      </c>
      <c r="AB5209" s="1"/>
      <c r="AC5209" s="1" t="s">
        <v>36</v>
      </c>
      <c r="AD5209" s="1" t="s">
        <v>17679</v>
      </c>
      <c r="AE5209" s="1" t="s">
        <v>32</v>
      </c>
      <c r="AF5209" s="1" t="s">
        <v>33</v>
      </c>
      <c r="AG5209" s="1" t="s">
        <v>41</v>
      </c>
    </row>
    <row r="5210" spans="1:33">
      <c r="A5210" t="s">
        <v>17686</v>
      </c>
      <c r="B5210" t="s">
        <v>17687</v>
      </c>
      <c r="C5210" t="s">
        <v>68</v>
      </c>
      <c r="E5210" t="s">
        <v>17332</v>
      </c>
      <c r="F5210" t="s">
        <v>16399</v>
      </c>
      <c r="G5210">
        <v>22.49</v>
      </c>
      <c r="H5210">
        <v>22.49</v>
      </c>
      <c r="I5210" t="s">
        <v>59</v>
      </c>
      <c r="J5210" t="s">
        <v>60</v>
      </c>
      <c r="K5210" t="s">
        <v>31</v>
      </c>
      <c r="L5210" t="s">
        <v>32</v>
      </c>
      <c r="M5210" t="s">
        <v>33</v>
      </c>
      <c r="P5210" s="1" t="s">
        <v>17688</v>
      </c>
      <c r="Q5210" s="1" t="s">
        <v>17332</v>
      </c>
      <c r="R5210" s="1" t="s">
        <v>17332</v>
      </c>
      <c r="S5210" s="1"/>
      <c r="T5210" s="1" t="s">
        <v>68</v>
      </c>
      <c r="U5210" s="1"/>
      <c r="V5210" s="1">
        <v>22.49</v>
      </c>
      <c r="W5210" s="1">
        <v>22.49</v>
      </c>
      <c r="X5210" s="1" t="s">
        <v>35</v>
      </c>
      <c r="Y5210" s="1">
        <v>22490</v>
      </c>
      <c r="Z5210" s="1"/>
      <c r="AA5210" s="1">
        <v>22490</v>
      </c>
      <c r="AB5210" s="1"/>
      <c r="AC5210" s="1" t="s">
        <v>36</v>
      </c>
      <c r="AD5210" s="1" t="s">
        <v>17689</v>
      </c>
      <c r="AE5210" s="1" t="s">
        <v>32</v>
      </c>
      <c r="AF5210" s="1" t="s">
        <v>33</v>
      </c>
      <c r="AG5210" s="1" t="s">
        <v>60</v>
      </c>
    </row>
    <row r="5211" spans="1:33">
      <c r="A5211" t="s">
        <v>17690</v>
      </c>
      <c r="B5211" t="s">
        <v>17691</v>
      </c>
      <c r="C5211" t="s">
        <v>172</v>
      </c>
      <c r="E5211" t="s">
        <v>17332</v>
      </c>
      <c r="F5211" t="s">
        <v>16399</v>
      </c>
      <c r="G5211">
        <v>31.485</v>
      </c>
      <c r="H5211">
        <v>31.485</v>
      </c>
      <c r="I5211" t="s">
        <v>173</v>
      </c>
      <c r="J5211" t="s">
        <v>174</v>
      </c>
      <c r="K5211" t="s">
        <v>31</v>
      </c>
      <c r="L5211" t="s">
        <v>32</v>
      </c>
      <c r="M5211" t="s">
        <v>33</v>
      </c>
      <c r="P5211" s="1" t="s">
        <v>17692</v>
      </c>
      <c r="Q5211" s="1" t="s">
        <v>17332</v>
      </c>
      <c r="R5211" s="1" t="s">
        <v>17332</v>
      </c>
      <c r="S5211" s="1"/>
      <c r="T5211" s="1" t="s">
        <v>172</v>
      </c>
      <c r="U5211" s="1"/>
      <c r="V5211" s="1">
        <v>31.485</v>
      </c>
      <c r="W5211" s="1">
        <v>31.485</v>
      </c>
      <c r="X5211" s="1" t="s">
        <v>35</v>
      </c>
      <c r="Y5211" s="1">
        <v>31485</v>
      </c>
      <c r="Z5211" s="1"/>
      <c r="AA5211" s="1">
        <v>31485</v>
      </c>
      <c r="AB5211" s="1"/>
      <c r="AC5211" s="1" t="s">
        <v>36</v>
      </c>
      <c r="AD5211" s="1" t="s">
        <v>17693</v>
      </c>
      <c r="AE5211" s="1" t="s">
        <v>32</v>
      </c>
      <c r="AF5211" s="1" t="s">
        <v>33</v>
      </c>
      <c r="AG5211" s="1" t="s">
        <v>174</v>
      </c>
    </row>
    <row r="5212" spans="1:33">
      <c r="A5212" t="s">
        <v>17694</v>
      </c>
      <c r="B5212" t="s">
        <v>2533</v>
      </c>
      <c r="C5212" t="s">
        <v>569</v>
      </c>
      <c r="E5212" t="s">
        <v>17332</v>
      </c>
      <c r="F5212" t="s">
        <v>16399</v>
      </c>
      <c r="G5212">
        <v>118.6</v>
      </c>
      <c r="H5212">
        <v>118.6</v>
      </c>
      <c r="I5212" t="s">
        <v>570</v>
      </c>
      <c r="J5212" t="s">
        <v>571</v>
      </c>
      <c r="K5212" t="s">
        <v>31</v>
      </c>
      <c r="L5212" t="s">
        <v>32</v>
      </c>
      <c r="M5212" t="s">
        <v>33</v>
      </c>
      <c r="P5212" s="1" t="s">
        <v>17695</v>
      </c>
      <c r="Q5212" s="1" t="s">
        <v>17332</v>
      </c>
      <c r="R5212" s="1" t="s">
        <v>17332</v>
      </c>
      <c r="S5212" s="1"/>
      <c r="T5212" s="1" t="s">
        <v>569</v>
      </c>
      <c r="U5212" s="1"/>
      <c r="V5212" s="1">
        <v>118.6</v>
      </c>
      <c r="W5212" s="1">
        <v>118.6</v>
      </c>
      <c r="X5212" s="1" t="s">
        <v>35</v>
      </c>
      <c r="Y5212" s="1">
        <v>118600</v>
      </c>
      <c r="Z5212" s="1"/>
      <c r="AA5212" s="1">
        <v>118600</v>
      </c>
      <c r="AB5212" s="1"/>
      <c r="AC5212" s="1" t="s">
        <v>36</v>
      </c>
      <c r="AD5212" s="1" t="s">
        <v>17693</v>
      </c>
      <c r="AE5212" s="1" t="s">
        <v>32</v>
      </c>
      <c r="AF5212" s="1" t="s">
        <v>33</v>
      </c>
      <c r="AG5212" s="1" t="s">
        <v>571</v>
      </c>
    </row>
    <row r="5213" spans="1:33">
      <c r="A5213" t="s">
        <v>17696</v>
      </c>
      <c r="B5213" t="s">
        <v>17697</v>
      </c>
      <c r="C5213" t="s">
        <v>314</v>
      </c>
      <c r="E5213" t="s">
        <v>17332</v>
      </c>
      <c r="F5213" t="s">
        <v>16399</v>
      </c>
      <c r="G5213">
        <v>52.33</v>
      </c>
      <c r="H5213">
        <v>52.33</v>
      </c>
      <c r="I5213" t="s">
        <v>179</v>
      </c>
      <c r="J5213" t="s">
        <v>180</v>
      </c>
      <c r="K5213" t="s">
        <v>31</v>
      </c>
      <c r="L5213" t="s">
        <v>32</v>
      </c>
      <c r="M5213" t="s">
        <v>33</v>
      </c>
      <c r="P5213" s="1" t="s">
        <v>17698</v>
      </c>
      <c r="Q5213" s="1" t="s">
        <v>17332</v>
      </c>
      <c r="R5213" s="1" t="s">
        <v>17332</v>
      </c>
      <c r="S5213" s="1"/>
      <c r="T5213" s="1" t="s">
        <v>314</v>
      </c>
      <c r="U5213" s="1"/>
      <c r="V5213" s="1">
        <v>52.33</v>
      </c>
      <c r="W5213" s="1">
        <v>52.33</v>
      </c>
      <c r="X5213" s="1" t="s">
        <v>35</v>
      </c>
      <c r="Y5213" s="1">
        <v>52330</v>
      </c>
      <c r="Z5213" s="1"/>
      <c r="AA5213" s="1">
        <v>52330</v>
      </c>
      <c r="AB5213" s="1"/>
      <c r="AC5213" s="1" t="s">
        <v>36</v>
      </c>
      <c r="AD5213" s="1" t="s">
        <v>17699</v>
      </c>
      <c r="AE5213" s="1" t="s">
        <v>32</v>
      </c>
      <c r="AF5213" s="1" t="s">
        <v>33</v>
      </c>
      <c r="AG5213" s="1" t="s">
        <v>180</v>
      </c>
    </row>
    <row r="5214" spans="1:33">
      <c r="A5214" t="s">
        <v>17700</v>
      </c>
      <c r="B5214" t="s">
        <v>17701</v>
      </c>
      <c r="C5214" t="s">
        <v>329</v>
      </c>
      <c r="E5214" t="s">
        <v>17332</v>
      </c>
      <c r="F5214" t="s">
        <v>16399</v>
      </c>
      <c r="G5214">
        <v>336.0</v>
      </c>
      <c r="H5214">
        <v>336.0</v>
      </c>
      <c r="I5214" t="s">
        <v>94</v>
      </c>
      <c r="J5214" t="s">
        <v>95</v>
      </c>
      <c r="K5214" t="s">
        <v>31</v>
      </c>
      <c r="L5214" t="s">
        <v>32</v>
      </c>
      <c r="M5214" t="s">
        <v>33</v>
      </c>
      <c r="P5214" s="1" t="s">
        <v>17702</v>
      </c>
      <c r="Q5214" s="1" t="s">
        <v>17332</v>
      </c>
      <c r="R5214" s="1" t="s">
        <v>17332</v>
      </c>
      <c r="S5214" s="1"/>
      <c r="T5214" s="1" t="s">
        <v>331</v>
      </c>
      <c r="U5214" s="1" t="s">
        <v>332</v>
      </c>
      <c r="V5214" s="1">
        <v>336.0</v>
      </c>
      <c r="W5214" s="1">
        <v>336.0</v>
      </c>
      <c r="X5214" s="1" t="s">
        <v>35</v>
      </c>
      <c r="Y5214" s="1">
        <v>336000</v>
      </c>
      <c r="Z5214" s="1"/>
      <c r="AA5214" s="1">
        <v>336000</v>
      </c>
      <c r="AB5214" s="1"/>
      <c r="AC5214" s="1" t="s">
        <v>36</v>
      </c>
      <c r="AD5214" s="1" t="s">
        <v>17703</v>
      </c>
      <c r="AE5214" s="1" t="s">
        <v>32</v>
      </c>
      <c r="AF5214" s="1" t="s">
        <v>33</v>
      </c>
      <c r="AG5214" s="1" t="s">
        <v>95</v>
      </c>
    </row>
    <row r="5215" spans="1:33">
      <c r="A5215" t="s">
        <v>17704</v>
      </c>
      <c r="C5215" t="s">
        <v>17705</v>
      </c>
      <c r="E5215" t="s">
        <v>17332</v>
      </c>
      <c r="F5215" t="s">
        <v>16399</v>
      </c>
      <c r="G5215">
        <v>6.352</v>
      </c>
      <c r="H5215">
        <v>6.352</v>
      </c>
      <c r="I5215" t="s">
        <v>2206</v>
      </c>
      <c r="J5215" t="s">
        <v>49</v>
      </c>
      <c r="K5215" t="s">
        <v>31</v>
      </c>
      <c r="L5215" t="s">
        <v>32</v>
      </c>
      <c r="M5215" t="s">
        <v>33</v>
      </c>
      <c r="P5215" s="1" t="s">
        <v>17706</v>
      </c>
      <c r="Q5215" s="1" t="s">
        <v>17332</v>
      </c>
      <c r="R5215" s="1" t="s">
        <v>17332</v>
      </c>
      <c r="S5215" s="1"/>
      <c r="T5215" s="1" t="s">
        <v>17705</v>
      </c>
      <c r="U5215" s="1"/>
      <c r="V5215" s="1">
        <v>6.352</v>
      </c>
      <c r="W5215" s="1">
        <v>6.352</v>
      </c>
      <c r="X5215" s="1" t="s">
        <v>35</v>
      </c>
      <c r="Y5215" s="1">
        <v>6352850</v>
      </c>
      <c r="Z5215" s="1"/>
      <c r="AA5215" s="1">
        <v>6352850</v>
      </c>
      <c r="AB5215" s="1"/>
      <c r="AC5215" s="1" t="s">
        <v>36</v>
      </c>
      <c r="AD5215" s="1" t="s">
        <v>17707</v>
      </c>
      <c r="AE5215" s="1" t="s">
        <v>32</v>
      </c>
      <c r="AF5215" s="1" t="s">
        <v>33</v>
      </c>
      <c r="AG5215" s="1" t="s">
        <v>49</v>
      </c>
    </row>
    <row r="5216" spans="1:33">
      <c r="A5216" t="s">
        <v>17708</v>
      </c>
      <c r="B5216" t="s">
        <v>17709</v>
      </c>
      <c r="C5216" t="s">
        <v>68</v>
      </c>
      <c r="E5216" t="s">
        <v>17332</v>
      </c>
      <c r="F5216" t="s">
        <v>16399</v>
      </c>
      <c r="G5216">
        <v>5.858</v>
      </c>
      <c r="H5216">
        <v>5.858</v>
      </c>
      <c r="I5216" t="s">
        <v>59</v>
      </c>
      <c r="J5216" t="s">
        <v>60</v>
      </c>
      <c r="K5216" t="s">
        <v>31</v>
      </c>
      <c r="L5216" t="s">
        <v>32</v>
      </c>
      <c r="M5216" t="s">
        <v>33</v>
      </c>
      <c r="P5216" s="1" t="s">
        <v>17710</v>
      </c>
      <c r="Q5216" s="1" t="s">
        <v>17332</v>
      </c>
      <c r="R5216" s="1" t="s">
        <v>17332</v>
      </c>
      <c r="S5216" s="1"/>
      <c r="T5216" s="1" t="s">
        <v>68</v>
      </c>
      <c r="U5216" s="1"/>
      <c r="V5216" s="1">
        <v>5.858</v>
      </c>
      <c r="W5216" s="1">
        <v>5.858</v>
      </c>
      <c r="X5216" s="1" t="s">
        <v>35</v>
      </c>
      <c r="Y5216" s="1">
        <v>5858</v>
      </c>
      <c r="Z5216" s="1"/>
      <c r="AA5216" s="1">
        <v>5858</v>
      </c>
      <c r="AB5216" s="1"/>
      <c r="AC5216" s="1" t="s">
        <v>36</v>
      </c>
      <c r="AD5216" s="1" t="s">
        <v>17711</v>
      </c>
      <c r="AE5216" s="1" t="s">
        <v>32</v>
      </c>
      <c r="AF5216" s="1" t="s">
        <v>33</v>
      </c>
      <c r="AG5216" s="1" t="s">
        <v>60</v>
      </c>
    </row>
    <row r="5217" spans="1:33">
      <c r="A5217" t="s">
        <v>17712</v>
      </c>
      <c r="B5217" t="s">
        <v>4551</v>
      </c>
      <c r="C5217" t="s">
        <v>125</v>
      </c>
      <c r="E5217" t="s">
        <v>17332</v>
      </c>
      <c r="F5217" t="s">
        <v>16399</v>
      </c>
      <c r="G5217">
        <v>8.596</v>
      </c>
      <c r="H5217">
        <v>8.596</v>
      </c>
      <c r="I5217" t="s">
        <v>126</v>
      </c>
      <c r="J5217" t="s">
        <v>127</v>
      </c>
      <c r="K5217" t="s">
        <v>31</v>
      </c>
      <c r="L5217" t="s">
        <v>32</v>
      </c>
      <c r="M5217" t="s">
        <v>33</v>
      </c>
      <c r="P5217" s="1" t="s">
        <v>17713</v>
      </c>
      <c r="Q5217" s="1" t="s">
        <v>17332</v>
      </c>
      <c r="R5217" s="1" t="s">
        <v>17332</v>
      </c>
      <c r="S5217" s="1"/>
      <c r="T5217" s="1" t="s">
        <v>125</v>
      </c>
      <c r="U5217" s="1"/>
      <c r="V5217" s="1">
        <v>8.596</v>
      </c>
      <c r="W5217" s="1">
        <v>8.596</v>
      </c>
      <c r="X5217" s="1" t="s">
        <v>35</v>
      </c>
      <c r="Y5217" s="1">
        <v>8596</v>
      </c>
      <c r="Z5217" s="1"/>
      <c r="AA5217" s="1">
        <v>8596</v>
      </c>
      <c r="AB5217" s="1"/>
      <c r="AC5217" s="1" t="s">
        <v>36</v>
      </c>
      <c r="AD5217" s="1" t="s">
        <v>17714</v>
      </c>
      <c r="AE5217" s="1" t="s">
        <v>32</v>
      </c>
      <c r="AF5217" s="1" t="s">
        <v>33</v>
      </c>
      <c r="AG5217" s="1" t="s">
        <v>127</v>
      </c>
    </row>
    <row r="5218" spans="1:33">
      <c r="A5218" t="s">
        <v>17715</v>
      </c>
      <c r="C5218" t="s">
        <v>4531</v>
      </c>
      <c r="E5218" t="s">
        <v>17332</v>
      </c>
      <c r="F5218" t="s">
        <v>16399</v>
      </c>
      <c r="G5218">
        <v>630.0</v>
      </c>
      <c r="H5218">
        <v>630.0</v>
      </c>
      <c r="I5218" t="s">
        <v>126</v>
      </c>
      <c r="J5218" t="s">
        <v>127</v>
      </c>
      <c r="K5218" t="s">
        <v>31</v>
      </c>
      <c r="L5218" t="s">
        <v>32</v>
      </c>
      <c r="M5218" t="s">
        <v>33</v>
      </c>
      <c r="P5218" s="1" t="s">
        <v>17716</v>
      </c>
      <c r="Q5218" s="1" t="s">
        <v>17332</v>
      </c>
      <c r="R5218" s="1" t="s">
        <v>17332</v>
      </c>
      <c r="S5218" s="1"/>
      <c r="T5218" s="1" t="s">
        <v>4533</v>
      </c>
      <c r="U5218" s="1" t="s">
        <v>4534</v>
      </c>
      <c r="V5218" s="1">
        <v>630.0</v>
      </c>
      <c r="W5218" s="1">
        <v>630.0</v>
      </c>
      <c r="X5218" s="1" t="s">
        <v>35</v>
      </c>
      <c r="Y5218" s="1">
        <v>630000</v>
      </c>
      <c r="Z5218" s="1"/>
      <c r="AA5218" s="1">
        <v>630000</v>
      </c>
      <c r="AB5218" s="1"/>
      <c r="AC5218" s="1" t="s">
        <v>36</v>
      </c>
      <c r="AD5218" s="1" t="s">
        <v>17717</v>
      </c>
      <c r="AE5218" s="1" t="s">
        <v>32</v>
      </c>
      <c r="AF5218" s="1" t="s">
        <v>33</v>
      </c>
      <c r="AG5218" s="1" t="s">
        <v>127</v>
      </c>
    </row>
    <row r="5219" spans="1:33">
      <c r="A5219" t="s">
        <v>17718</v>
      </c>
      <c r="C5219" t="s">
        <v>392</v>
      </c>
      <c r="E5219" t="s">
        <v>17332</v>
      </c>
      <c r="F5219" t="s">
        <v>16399</v>
      </c>
      <c r="G5219">
        <v>656.0</v>
      </c>
      <c r="H5219">
        <v>656.0</v>
      </c>
      <c r="I5219" t="s">
        <v>2206</v>
      </c>
      <c r="J5219" t="s">
        <v>49</v>
      </c>
      <c r="K5219" t="s">
        <v>31</v>
      </c>
      <c r="L5219" t="s">
        <v>32</v>
      </c>
      <c r="M5219" t="s">
        <v>33</v>
      </c>
      <c r="P5219" s="1" t="s">
        <v>17719</v>
      </c>
      <c r="Q5219" s="1" t="s">
        <v>17332</v>
      </c>
      <c r="R5219" s="1" t="s">
        <v>17332</v>
      </c>
      <c r="S5219" s="1"/>
      <c r="T5219" s="1" t="s">
        <v>392</v>
      </c>
      <c r="U5219" s="1"/>
      <c r="V5219" s="1">
        <v>656.0</v>
      </c>
      <c r="W5219" s="1">
        <v>656.0</v>
      </c>
      <c r="X5219" s="1" t="s">
        <v>35</v>
      </c>
      <c r="Y5219" s="1">
        <v>656000</v>
      </c>
      <c r="Z5219" s="1"/>
      <c r="AA5219" s="1">
        <v>656000</v>
      </c>
      <c r="AB5219" s="1"/>
      <c r="AC5219" s="1" t="s">
        <v>36</v>
      </c>
      <c r="AD5219" s="1" t="s">
        <v>17720</v>
      </c>
      <c r="AE5219" s="1" t="s">
        <v>32</v>
      </c>
      <c r="AF5219" s="1" t="s">
        <v>33</v>
      </c>
      <c r="AG5219" s="1" t="s">
        <v>49</v>
      </c>
    </row>
    <row r="5220" spans="1:33">
      <c r="A5220" t="s">
        <v>17721</v>
      </c>
      <c r="C5220" t="s">
        <v>2525</v>
      </c>
      <c r="E5220" t="s">
        <v>17332</v>
      </c>
      <c r="F5220" t="s">
        <v>16399</v>
      </c>
      <c r="G5220">
        <v>656.0</v>
      </c>
      <c r="H5220">
        <v>656.0</v>
      </c>
      <c r="I5220" t="s">
        <v>269</v>
      </c>
      <c r="J5220" t="s">
        <v>270</v>
      </c>
      <c r="K5220" t="s">
        <v>31</v>
      </c>
      <c r="L5220" t="s">
        <v>32</v>
      </c>
      <c r="M5220" t="s">
        <v>33</v>
      </c>
      <c r="P5220" s="1" t="s">
        <v>17722</v>
      </c>
      <c r="Q5220" s="1" t="s">
        <v>17332</v>
      </c>
      <c r="R5220" s="1" t="s">
        <v>17332</v>
      </c>
      <c r="S5220" s="1"/>
      <c r="T5220" s="1" t="s">
        <v>2525</v>
      </c>
      <c r="U5220" s="1"/>
      <c r="V5220" s="1">
        <v>656.0</v>
      </c>
      <c r="W5220" s="1">
        <v>656.0</v>
      </c>
      <c r="X5220" s="1" t="s">
        <v>35</v>
      </c>
      <c r="Y5220" s="1">
        <v>656000</v>
      </c>
      <c r="Z5220" s="1"/>
      <c r="AA5220" s="1">
        <v>656000</v>
      </c>
      <c r="AB5220" s="1"/>
      <c r="AC5220" s="1" t="s">
        <v>36</v>
      </c>
      <c r="AD5220" s="1" t="s">
        <v>17673</v>
      </c>
      <c r="AE5220" s="1" t="s">
        <v>32</v>
      </c>
      <c r="AF5220" s="1" t="s">
        <v>33</v>
      </c>
      <c r="AG5220" s="1" t="s">
        <v>270</v>
      </c>
    </row>
    <row r="5221" spans="1:33">
      <c r="A5221" t="s">
        <v>17723</v>
      </c>
      <c r="C5221" t="s">
        <v>5161</v>
      </c>
      <c r="E5221" t="s">
        <v>17332</v>
      </c>
      <c r="F5221" t="s">
        <v>16399</v>
      </c>
      <c r="G5221">
        <v>878.0</v>
      </c>
      <c r="H5221">
        <v>878.0</v>
      </c>
      <c r="I5221" t="s">
        <v>269</v>
      </c>
      <c r="J5221" t="s">
        <v>270</v>
      </c>
      <c r="K5221" t="s">
        <v>31</v>
      </c>
      <c r="L5221" t="s">
        <v>32</v>
      </c>
      <c r="M5221" t="s">
        <v>33</v>
      </c>
      <c r="P5221" s="1" t="s">
        <v>17724</v>
      </c>
      <c r="Q5221" s="1" t="s">
        <v>17332</v>
      </c>
      <c r="R5221" s="1" t="s">
        <v>17332</v>
      </c>
      <c r="S5221" s="1"/>
      <c r="T5221" s="1" t="s">
        <v>5161</v>
      </c>
      <c r="U5221" s="1"/>
      <c r="V5221" s="1">
        <v>878.0</v>
      </c>
      <c r="W5221" s="1">
        <v>878.0</v>
      </c>
      <c r="X5221" s="1" t="s">
        <v>35</v>
      </c>
      <c r="Y5221" s="1">
        <v>878000</v>
      </c>
      <c r="Z5221" s="1"/>
      <c r="AA5221" s="1">
        <v>878000</v>
      </c>
      <c r="AB5221" s="1"/>
      <c r="AC5221" s="1" t="s">
        <v>36</v>
      </c>
      <c r="AD5221" s="1" t="s">
        <v>17725</v>
      </c>
      <c r="AE5221" s="1" t="s">
        <v>32</v>
      </c>
      <c r="AF5221" s="1" t="s">
        <v>33</v>
      </c>
      <c r="AG5221" s="1" t="s">
        <v>270</v>
      </c>
    </row>
    <row r="5222" spans="1:33">
      <c r="A5222" t="s">
        <v>17726</v>
      </c>
      <c r="C5222" t="s">
        <v>1016</v>
      </c>
      <c r="E5222" t="s">
        <v>17332</v>
      </c>
      <c r="F5222" t="s">
        <v>16399</v>
      </c>
      <c r="G5222">
        <v>1.079</v>
      </c>
      <c r="H5222">
        <v>1.079</v>
      </c>
      <c r="I5222" t="s">
        <v>269</v>
      </c>
      <c r="J5222" t="s">
        <v>270</v>
      </c>
      <c r="K5222" t="s">
        <v>31</v>
      </c>
      <c r="L5222" t="s">
        <v>32</v>
      </c>
      <c r="M5222" t="s">
        <v>33</v>
      </c>
      <c r="P5222" s="1" t="s">
        <v>17727</v>
      </c>
      <c r="Q5222" s="1" t="s">
        <v>17332</v>
      </c>
      <c r="R5222" s="1" t="s">
        <v>17332</v>
      </c>
      <c r="S5222" s="1"/>
      <c r="T5222" s="1" t="s">
        <v>1016</v>
      </c>
      <c r="U5222" s="1"/>
      <c r="V5222" s="1">
        <v>1.079</v>
      </c>
      <c r="W5222" s="1">
        <v>1.079</v>
      </c>
      <c r="X5222" s="1" t="s">
        <v>35</v>
      </c>
      <c r="Y5222" s="1">
        <v>1079000</v>
      </c>
      <c r="Z5222" s="1"/>
      <c r="AA5222" s="1">
        <v>1079000</v>
      </c>
      <c r="AB5222" s="1"/>
      <c r="AC5222" s="1" t="s">
        <v>36</v>
      </c>
      <c r="AD5222" s="1" t="s">
        <v>17711</v>
      </c>
      <c r="AE5222" s="1" t="s">
        <v>32</v>
      </c>
      <c r="AF5222" s="1" t="s">
        <v>33</v>
      </c>
      <c r="AG5222" s="1" t="s">
        <v>270</v>
      </c>
    </row>
    <row r="5223" spans="1:33">
      <c r="A5223" t="s">
        <v>17728</v>
      </c>
      <c r="B5223" t="s">
        <v>11974</v>
      </c>
      <c r="C5223" t="s">
        <v>314</v>
      </c>
      <c r="E5223" t="s">
        <v>17332</v>
      </c>
      <c r="F5223" t="s">
        <v>16399</v>
      </c>
      <c r="G5223">
        <v>81.98</v>
      </c>
      <c r="H5223">
        <v>81.98</v>
      </c>
      <c r="I5223" t="s">
        <v>179</v>
      </c>
      <c r="J5223" t="s">
        <v>180</v>
      </c>
      <c r="K5223" t="s">
        <v>31</v>
      </c>
      <c r="L5223" t="s">
        <v>32</v>
      </c>
      <c r="M5223" t="s">
        <v>33</v>
      </c>
      <c r="P5223" s="1" t="s">
        <v>17729</v>
      </c>
      <c r="Q5223" s="1" t="s">
        <v>17332</v>
      </c>
      <c r="R5223" s="1" t="s">
        <v>17332</v>
      </c>
      <c r="S5223" s="1"/>
      <c r="T5223" s="1" t="s">
        <v>314</v>
      </c>
      <c r="U5223" s="1"/>
      <c r="V5223" s="1">
        <v>81.98</v>
      </c>
      <c r="W5223" s="1">
        <v>81.98</v>
      </c>
      <c r="X5223" s="1" t="s">
        <v>35</v>
      </c>
      <c r="Y5223" s="1">
        <v>81980</v>
      </c>
      <c r="Z5223" s="1"/>
      <c r="AA5223" s="1">
        <v>81980</v>
      </c>
      <c r="AB5223" s="1"/>
      <c r="AC5223" s="1" t="s">
        <v>36</v>
      </c>
      <c r="AD5223" s="1" t="s">
        <v>17730</v>
      </c>
      <c r="AE5223" s="1" t="s">
        <v>32</v>
      </c>
      <c r="AF5223" s="1" t="s">
        <v>33</v>
      </c>
      <c r="AG5223" s="1" t="s">
        <v>180</v>
      </c>
    </row>
    <row r="5224" spans="1:33">
      <c r="A5224" t="s">
        <v>17731</v>
      </c>
      <c r="B5224" t="s">
        <v>17732</v>
      </c>
      <c r="C5224" t="s">
        <v>47</v>
      </c>
      <c r="E5224" t="s">
        <v>17332</v>
      </c>
      <c r="F5224" t="s">
        <v>16399</v>
      </c>
      <c r="G5224">
        <v>235.0</v>
      </c>
      <c r="H5224">
        <v>235.0</v>
      </c>
      <c r="I5224" t="s">
        <v>2206</v>
      </c>
      <c r="J5224" t="s">
        <v>49</v>
      </c>
      <c r="K5224" t="s">
        <v>31</v>
      </c>
      <c r="L5224" t="s">
        <v>32</v>
      </c>
      <c r="M5224" t="s">
        <v>33</v>
      </c>
      <c r="P5224" s="1" t="s">
        <v>17733</v>
      </c>
      <c r="Q5224" s="1" t="s">
        <v>17332</v>
      </c>
      <c r="R5224" s="1" t="s">
        <v>17332</v>
      </c>
      <c r="S5224" s="1"/>
      <c r="T5224" s="1" t="s">
        <v>47</v>
      </c>
      <c r="U5224" s="1"/>
      <c r="V5224" s="1">
        <v>235.0</v>
      </c>
      <c r="W5224" s="1">
        <v>235.0</v>
      </c>
      <c r="X5224" s="1" t="s">
        <v>35</v>
      </c>
      <c r="Y5224" s="1">
        <v>235000</v>
      </c>
      <c r="Z5224" s="1"/>
      <c r="AA5224" s="1">
        <v>235000</v>
      </c>
      <c r="AB5224" s="1"/>
      <c r="AC5224" s="1" t="s">
        <v>36</v>
      </c>
      <c r="AD5224" s="1" t="s">
        <v>17734</v>
      </c>
      <c r="AE5224" s="1" t="s">
        <v>32</v>
      </c>
      <c r="AF5224" s="1" t="s">
        <v>33</v>
      </c>
      <c r="AG5224" s="1" t="s">
        <v>49</v>
      </c>
    </row>
    <row r="5225" spans="1:33">
      <c r="A5225" t="s">
        <v>17735</v>
      </c>
      <c r="C5225" t="s">
        <v>1197</v>
      </c>
      <c r="D5225" t="s">
        <v>154</v>
      </c>
      <c r="E5225" t="s">
        <v>17332</v>
      </c>
      <c r="F5225" t="s">
        <v>16399</v>
      </c>
      <c r="G5225">
        <v>580.0</v>
      </c>
      <c r="H5225">
        <v>580.0</v>
      </c>
      <c r="I5225" t="s">
        <v>269</v>
      </c>
      <c r="J5225" t="s">
        <v>270</v>
      </c>
      <c r="K5225" t="s">
        <v>31</v>
      </c>
      <c r="L5225" t="s">
        <v>32</v>
      </c>
      <c r="M5225" t="s">
        <v>33</v>
      </c>
      <c r="P5225" s="1" t="s">
        <v>17736</v>
      </c>
      <c r="Q5225" s="1" t="s">
        <v>17332</v>
      </c>
      <c r="R5225" s="1" t="s">
        <v>17332</v>
      </c>
      <c r="S5225" s="1"/>
      <c r="T5225" s="1" t="s">
        <v>1197</v>
      </c>
      <c r="U5225" s="1"/>
      <c r="V5225" s="1">
        <v>580.0</v>
      </c>
      <c r="W5225" s="1">
        <v>580.0</v>
      </c>
      <c r="X5225" s="1" t="s">
        <v>35</v>
      </c>
      <c r="Y5225" s="1">
        <v>580000</v>
      </c>
      <c r="Z5225" s="1"/>
      <c r="AA5225" s="1">
        <v>580000</v>
      </c>
      <c r="AB5225" s="1"/>
      <c r="AC5225" s="1" t="s">
        <v>36</v>
      </c>
      <c r="AD5225" s="1" t="s">
        <v>17730</v>
      </c>
      <c r="AE5225" s="1" t="s">
        <v>32</v>
      </c>
      <c r="AF5225" s="1" t="s">
        <v>33</v>
      </c>
      <c r="AG5225" s="1" t="s">
        <v>270</v>
      </c>
    </row>
    <row r="5226" spans="1:33">
      <c r="A5226" t="s">
        <v>17737</v>
      </c>
      <c r="B5226" t="s">
        <v>17738</v>
      </c>
      <c r="C5226" t="s">
        <v>68</v>
      </c>
      <c r="E5226" t="s">
        <v>17332</v>
      </c>
      <c r="F5226" t="s">
        <v>16399</v>
      </c>
      <c r="G5226">
        <v>2.0</v>
      </c>
      <c r="H5226">
        <v>2.0</v>
      </c>
      <c r="I5226" t="s">
        <v>59</v>
      </c>
      <c r="J5226" t="s">
        <v>60</v>
      </c>
      <c r="K5226" t="s">
        <v>31</v>
      </c>
      <c r="L5226" t="s">
        <v>32</v>
      </c>
      <c r="M5226" t="s">
        <v>33</v>
      </c>
      <c r="P5226" s="1" t="s">
        <v>17739</v>
      </c>
      <c r="Q5226" s="1" t="s">
        <v>17332</v>
      </c>
      <c r="R5226" s="1" t="s">
        <v>17332</v>
      </c>
      <c r="S5226" s="1"/>
      <c r="T5226" s="1" t="s">
        <v>68</v>
      </c>
      <c r="U5226" s="1"/>
      <c r="V5226" s="1">
        <v>2.0</v>
      </c>
      <c r="W5226" s="1">
        <v>2.0</v>
      </c>
      <c r="X5226" s="1" t="s">
        <v>35</v>
      </c>
      <c r="Y5226" s="1">
        <v>2000</v>
      </c>
      <c r="Z5226" s="1"/>
      <c r="AA5226" s="1">
        <v>2000</v>
      </c>
      <c r="AB5226" s="1"/>
      <c r="AC5226" s="1" t="s">
        <v>36</v>
      </c>
      <c r="AD5226" s="1" t="s">
        <v>17740</v>
      </c>
      <c r="AE5226" s="1" t="s">
        <v>32</v>
      </c>
      <c r="AF5226" s="1" t="s">
        <v>33</v>
      </c>
      <c r="AG5226" s="1" t="s">
        <v>60</v>
      </c>
    </row>
    <row r="5227" spans="1:33">
      <c r="A5227" t="s">
        <v>17741</v>
      </c>
      <c r="B5227" t="s">
        <v>743</v>
      </c>
      <c r="C5227" t="s">
        <v>68</v>
      </c>
      <c r="E5227" t="s">
        <v>17332</v>
      </c>
      <c r="F5227" t="s">
        <v>16399</v>
      </c>
      <c r="G5227">
        <v>32.19</v>
      </c>
      <c r="H5227">
        <v>32.19</v>
      </c>
      <c r="I5227" t="s">
        <v>59</v>
      </c>
      <c r="J5227" t="s">
        <v>60</v>
      </c>
      <c r="K5227" t="s">
        <v>31</v>
      </c>
      <c r="L5227" t="s">
        <v>32</v>
      </c>
      <c r="M5227" t="s">
        <v>33</v>
      </c>
      <c r="P5227" s="1" t="s">
        <v>17742</v>
      </c>
      <c r="Q5227" s="1" t="s">
        <v>17332</v>
      </c>
      <c r="R5227" s="1" t="s">
        <v>17332</v>
      </c>
      <c r="S5227" s="1"/>
      <c r="T5227" s="1" t="s">
        <v>68</v>
      </c>
      <c r="U5227" s="1"/>
      <c r="V5227" s="1">
        <v>32.19</v>
      </c>
      <c r="W5227" s="1">
        <v>32.19</v>
      </c>
      <c r="X5227" s="1" t="s">
        <v>35</v>
      </c>
      <c r="Y5227" s="1">
        <v>32190</v>
      </c>
      <c r="Z5227" s="1"/>
      <c r="AA5227" s="1">
        <v>32190</v>
      </c>
      <c r="AB5227" s="1"/>
      <c r="AC5227" s="1" t="s">
        <v>36</v>
      </c>
      <c r="AD5227" s="1" t="s">
        <v>17743</v>
      </c>
      <c r="AE5227" s="1" t="s">
        <v>32</v>
      </c>
      <c r="AF5227" s="1" t="s">
        <v>33</v>
      </c>
      <c r="AG5227" s="1" t="s">
        <v>60</v>
      </c>
    </row>
    <row r="5228" spans="1:33">
      <c r="A5228" t="s">
        <v>17744</v>
      </c>
      <c r="C5228" t="s">
        <v>12717</v>
      </c>
      <c r="E5228" t="s">
        <v>17332</v>
      </c>
      <c r="F5228" t="s">
        <v>16399</v>
      </c>
      <c r="G5228">
        <v>1.68</v>
      </c>
      <c r="H5228">
        <v>1.68</v>
      </c>
      <c r="I5228" t="s">
        <v>94</v>
      </c>
      <c r="J5228" t="s">
        <v>95</v>
      </c>
      <c r="K5228" t="s">
        <v>31</v>
      </c>
      <c r="L5228" t="s">
        <v>32</v>
      </c>
      <c r="M5228" t="s">
        <v>33</v>
      </c>
      <c r="P5228" s="1" t="s">
        <v>17745</v>
      </c>
      <c r="Q5228" s="1" t="s">
        <v>17332</v>
      </c>
      <c r="R5228" s="1" t="s">
        <v>17332</v>
      </c>
      <c r="S5228" s="1"/>
      <c r="T5228" s="1" t="s">
        <v>12717</v>
      </c>
      <c r="U5228" s="1"/>
      <c r="V5228" s="1">
        <v>1.68</v>
      </c>
      <c r="W5228" s="1">
        <v>1.68</v>
      </c>
      <c r="X5228" s="1" t="s">
        <v>35</v>
      </c>
      <c r="Y5228" s="1">
        <v>1680000</v>
      </c>
      <c r="Z5228" s="1"/>
      <c r="AA5228" s="1">
        <v>1680000</v>
      </c>
      <c r="AB5228" s="1"/>
      <c r="AC5228" s="1" t="s">
        <v>36</v>
      </c>
      <c r="AD5228" s="1" t="s">
        <v>17693</v>
      </c>
      <c r="AE5228" s="1" t="s">
        <v>32</v>
      </c>
      <c r="AF5228" s="1" t="s">
        <v>33</v>
      </c>
      <c r="AG5228" s="1" t="s">
        <v>95</v>
      </c>
    </row>
    <row r="5229" spans="1:33">
      <c r="A5229" t="s">
        <v>17746</v>
      </c>
      <c r="C5229" t="s">
        <v>300</v>
      </c>
      <c r="E5229" t="s">
        <v>17332</v>
      </c>
      <c r="F5229" t="s">
        <v>16399</v>
      </c>
      <c r="G5229">
        <v>3.07</v>
      </c>
      <c r="H5229">
        <v>3.07</v>
      </c>
      <c r="I5229" t="s">
        <v>94</v>
      </c>
      <c r="J5229" t="s">
        <v>95</v>
      </c>
      <c r="K5229" t="s">
        <v>31</v>
      </c>
      <c r="L5229" t="s">
        <v>32</v>
      </c>
      <c r="M5229" t="s">
        <v>33</v>
      </c>
      <c r="P5229" s="1" t="s">
        <v>17747</v>
      </c>
      <c r="Q5229" s="1" t="s">
        <v>17332</v>
      </c>
      <c r="R5229" s="1" t="s">
        <v>17332</v>
      </c>
      <c r="S5229" s="1"/>
      <c r="T5229" s="1" t="s">
        <v>302</v>
      </c>
      <c r="U5229" s="1" t="s">
        <v>303</v>
      </c>
      <c r="V5229" s="1">
        <v>3.07</v>
      </c>
      <c r="W5229" s="1">
        <v>3.07</v>
      </c>
      <c r="X5229" s="1" t="s">
        <v>35</v>
      </c>
      <c r="Y5229" s="1">
        <v>3070000</v>
      </c>
      <c r="Z5229" s="1"/>
      <c r="AA5229" s="1">
        <v>3070000</v>
      </c>
      <c r="AB5229" s="1"/>
      <c r="AC5229" s="1" t="s">
        <v>36</v>
      </c>
      <c r="AD5229" s="1" t="s">
        <v>17748</v>
      </c>
      <c r="AE5229" s="1" t="s">
        <v>32</v>
      </c>
      <c r="AF5229" s="1" t="s">
        <v>33</v>
      </c>
      <c r="AG5229" s="1" t="s">
        <v>95</v>
      </c>
    </row>
    <row r="5230" spans="1:33">
      <c r="A5230" t="s">
        <v>17749</v>
      </c>
      <c r="C5230" t="s">
        <v>1129</v>
      </c>
      <c r="E5230" t="s">
        <v>17332</v>
      </c>
      <c r="F5230" t="s">
        <v>16399</v>
      </c>
      <c r="G5230">
        <v>336.0</v>
      </c>
      <c r="H5230">
        <v>336.0</v>
      </c>
      <c r="I5230" t="s">
        <v>94</v>
      </c>
      <c r="J5230" t="s">
        <v>95</v>
      </c>
      <c r="K5230" t="s">
        <v>31</v>
      </c>
      <c r="L5230" t="s">
        <v>32</v>
      </c>
      <c r="M5230" t="s">
        <v>33</v>
      </c>
      <c r="P5230" s="1" t="s">
        <v>17750</v>
      </c>
      <c r="Q5230" s="1" t="s">
        <v>17332</v>
      </c>
      <c r="R5230" s="1" t="s">
        <v>17332</v>
      </c>
      <c r="S5230" s="1"/>
      <c r="T5230" s="1" t="s">
        <v>1129</v>
      </c>
      <c r="U5230" s="1"/>
      <c r="V5230" s="1">
        <v>336.0</v>
      </c>
      <c r="W5230" s="1">
        <v>336.0</v>
      </c>
      <c r="X5230" s="1" t="s">
        <v>35</v>
      </c>
      <c r="Y5230" s="1">
        <v>336000</v>
      </c>
      <c r="Z5230" s="1"/>
      <c r="AA5230" s="1">
        <v>336000</v>
      </c>
      <c r="AB5230" s="1"/>
      <c r="AC5230" s="1" t="s">
        <v>36</v>
      </c>
      <c r="AD5230" s="1" t="s">
        <v>17751</v>
      </c>
      <c r="AE5230" s="1" t="s">
        <v>32</v>
      </c>
      <c r="AF5230" s="1" t="s">
        <v>33</v>
      </c>
      <c r="AG5230" s="1" t="s">
        <v>95</v>
      </c>
    </row>
    <row r="5231" spans="1:33">
      <c r="A5231" t="s">
        <v>17752</v>
      </c>
      <c r="C5231" t="s">
        <v>2236</v>
      </c>
      <c r="E5231" t="s">
        <v>17332</v>
      </c>
      <c r="F5231" t="s">
        <v>16399</v>
      </c>
      <c r="G5231">
        <v>800.0</v>
      </c>
      <c r="H5231">
        <v>800.0</v>
      </c>
      <c r="I5231" t="s">
        <v>269</v>
      </c>
      <c r="J5231" t="s">
        <v>270</v>
      </c>
      <c r="K5231" t="s">
        <v>31</v>
      </c>
      <c r="L5231" t="s">
        <v>32</v>
      </c>
      <c r="M5231" t="s">
        <v>33</v>
      </c>
      <c r="P5231" s="1" t="s">
        <v>17753</v>
      </c>
      <c r="Q5231" s="1" t="s">
        <v>17332</v>
      </c>
      <c r="R5231" s="1" t="s">
        <v>17332</v>
      </c>
      <c r="S5231" s="1"/>
      <c r="T5231" s="1" t="s">
        <v>2236</v>
      </c>
      <c r="U5231" s="1"/>
      <c r="V5231" s="1">
        <v>800.0</v>
      </c>
      <c r="W5231" s="1">
        <v>800.0</v>
      </c>
      <c r="X5231" s="1" t="s">
        <v>35</v>
      </c>
      <c r="Y5231" s="1">
        <v>800000</v>
      </c>
      <c r="Z5231" s="1"/>
      <c r="AA5231" s="1">
        <v>800000</v>
      </c>
      <c r="AB5231" s="1"/>
      <c r="AC5231" s="1" t="s">
        <v>36</v>
      </c>
      <c r="AD5231" s="1" t="s">
        <v>17754</v>
      </c>
      <c r="AE5231" s="1" t="s">
        <v>32</v>
      </c>
      <c r="AF5231" s="1" t="s">
        <v>33</v>
      </c>
      <c r="AG5231" s="1" t="s">
        <v>270</v>
      </c>
    </row>
    <row r="5232" spans="1:33">
      <c r="A5232" t="s">
        <v>17755</v>
      </c>
      <c r="C5232" t="s">
        <v>17756</v>
      </c>
      <c r="E5232" t="s">
        <v>17332</v>
      </c>
      <c r="F5232" t="s">
        <v>16399</v>
      </c>
      <c r="G5232">
        <v>623.9</v>
      </c>
      <c r="H5232">
        <v>623.9</v>
      </c>
      <c r="I5232" t="s">
        <v>269</v>
      </c>
      <c r="J5232" t="s">
        <v>270</v>
      </c>
      <c r="K5232" t="s">
        <v>31</v>
      </c>
      <c r="L5232" t="s">
        <v>32</v>
      </c>
      <c r="M5232" t="s">
        <v>33</v>
      </c>
      <c r="P5232" s="1" t="s">
        <v>17757</v>
      </c>
      <c r="Q5232" s="1" t="s">
        <v>17332</v>
      </c>
      <c r="R5232" s="1" t="s">
        <v>17332</v>
      </c>
      <c r="S5232" s="1"/>
      <c r="T5232" s="1" t="s">
        <v>17756</v>
      </c>
      <c r="U5232" s="1"/>
      <c r="V5232" s="1">
        <v>623.9</v>
      </c>
      <c r="W5232" s="1">
        <v>623.9</v>
      </c>
      <c r="X5232" s="1" t="s">
        <v>35</v>
      </c>
      <c r="Y5232" s="1">
        <v>623900</v>
      </c>
      <c r="Z5232" s="1"/>
      <c r="AA5232" s="1">
        <v>623900</v>
      </c>
      <c r="AB5232" s="1"/>
      <c r="AC5232" s="1" t="s">
        <v>36</v>
      </c>
      <c r="AD5232" s="1" t="s">
        <v>17758</v>
      </c>
      <c r="AE5232" s="1" t="s">
        <v>32</v>
      </c>
      <c r="AF5232" s="1" t="s">
        <v>33</v>
      </c>
      <c r="AG5232" s="1" t="s">
        <v>270</v>
      </c>
    </row>
    <row r="5233" spans="1:33">
      <c r="A5233" t="s">
        <v>17759</v>
      </c>
      <c r="B5233" t="s">
        <v>2556</v>
      </c>
      <c r="C5233" t="s">
        <v>2557</v>
      </c>
      <c r="E5233" t="s">
        <v>17332</v>
      </c>
      <c r="F5233" t="s">
        <v>16399</v>
      </c>
      <c r="G5233">
        <v>517.5</v>
      </c>
      <c r="H5233">
        <v>517.5</v>
      </c>
      <c r="I5233" t="s">
        <v>59</v>
      </c>
      <c r="J5233" t="s">
        <v>60</v>
      </c>
      <c r="K5233" t="s">
        <v>31</v>
      </c>
      <c r="L5233" t="s">
        <v>32</v>
      </c>
      <c r="M5233" t="s">
        <v>33</v>
      </c>
      <c r="P5233" s="1" t="s">
        <v>17760</v>
      </c>
      <c r="Q5233" s="1" t="s">
        <v>17332</v>
      </c>
      <c r="R5233" s="1" t="s">
        <v>17332</v>
      </c>
      <c r="S5233" s="1"/>
      <c r="T5233" s="1" t="s">
        <v>2557</v>
      </c>
      <c r="U5233" s="1"/>
      <c r="V5233" s="1">
        <v>517.5</v>
      </c>
      <c r="W5233" s="1">
        <v>517.5</v>
      </c>
      <c r="X5233" s="1" t="s">
        <v>35</v>
      </c>
      <c r="Y5233" s="1">
        <v>517500</v>
      </c>
      <c r="Z5233" s="1"/>
      <c r="AA5233" s="1">
        <v>517500</v>
      </c>
      <c r="AB5233" s="1"/>
      <c r="AC5233" s="1" t="s">
        <v>36</v>
      </c>
      <c r="AD5233" s="1" t="s">
        <v>17761</v>
      </c>
      <c r="AE5233" s="1" t="s">
        <v>32</v>
      </c>
      <c r="AF5233" s="1" t="s">
        <v>33</v>
      </c>
      <c r="AG5233" s="1" t="s">
        <v>60</v>
      </c>
    </row>
    <row r="5234" spans="1:33">
      <c r="A5234" t="s">
        <v>17762</v>
      </c>
      <c r="C5234" t="s">
        <v>613</v>
      </c>
      <c r="E5234" t="s">
        <v>17332</v>
      </c>
      <c r="F5234" t="s">
        <v>16399</v>
      </c>
      <c r="G5234">
        <v>45.0</v>
      </c>
      <c r="H5234">
        <v>45.0</v>
      </c>
      <c r="I5234" t="s">
        <v>269</v>
      </c>
      <c r="J5234" t="s">
        <v>270</v>
      </c>
      <c r="K5234" t="s">
        <v>31</v>
      </c>
      <c r="L5234" t="s">
        <v>32</v>
      </c>
      <c r="M5234" t="s">
        <v>33</v>
      </c>
      <c r="P5234" s="1" t="s">
        <v>17763</v>
      </c>
      <c r="Q5234" s="1" t="s">
        <v>17332</v>
      </c>
      <c r="R5234" s="1" t="s">
        <v>17332</v>
      </c>
      <c r="S5234" s="1"/>
      <c r="T5234" s="1" t="s">
        <v>613</v>
      </c>
      <c r="U5234" s="1"/>
      <c r="V5234" s="1">
        <v>45.0</v>
      </c>
      <c r="W5234" s="1">
        <v>45.0</v>
      </c>
      <c r="X5234" s="1" t="s">
        <v>35</v>
      </c>
      <c r="Y5234" s="1">
        <v>45000</v>
      </c>
      <c r="Z5234" s="1"/>
      <c r="AA5234" s="1">
        <v>45000</v>
      </c>
      <c r="AB5234" s="1"/>
      <c r="AC5234" s="1" t="s">
        <v>36</v>
      </c>
      <c r="AD5234" s="1" t="s">
        <v>17764</v>
      </c>
      <c r="AE5234" s="1" t="s">
        <v>32</v>
      </c>
      <c r="AF5234" s="1" t="s">
        <v>33</v>
      </c>
      <c r="AG5234" s="1" t="s">
        <v>270</v>
      </c>
    </row>
    <row r="5235" spans="1:33">
      <c r="A5235" t="s">
        <v>17765</v>
      </c>
      <c r="C5235" t="s">
        <v>609</v>
      </c>
      <c r="E5235" t="s">
        <v>17332</v>
      </c>
      <c r="F5235" t="s">
        <v>16399</v>
      </c>
      <c r="G5235">
        <v>688.0</v>
      </c>
      <c r="H5235">
        <v>688.0</v>
      </c>
      <c r="I5235" t="s">
        <v>269</v>
      </c>
      <c r="J5235" t="s">
        <v>270</v>
      </c>
      <c r="K5235" t="s">
        <v>31</v>
      </c>
      <c r="L5235" t="s">
        <v>32</v>
      </c>
      <c r="M5235" t="s">
        <v>33</v>
      </c>
      <c r="P5235" s="1" t="s">
        <v>17766</v>
      </c>
      <c r="Q5235" s="1" t="s">
        <v>17332</v>
      </c>
      <c r="R5235" s="1" t="s">
        <v>17332</v>
      </c>
      <c r="S5235" s="1"/>
      <c r="T5235" s="1" t="s">
        <v>609</v>
      </c>
      <c r="U5235" s="1"/>
      <c r="V5235" s="1">
        <v>688.0</v>
      </c>
      <c r="W5235" s="1">
        <v>688.0</v>
      </c>
      <c r="X5235" s="1" t="s">
        <v>35</v>
      </c>
      <c r="Y5235" s="1">
        <v>688000</v>
      </c>
      <c r="Z5235" s="1"/>
      <c r="AA5235" s="1">
        <v>688000</v>
      </c>
      <c r="AB5235" s="1"/>
      <c r="AC5235" s="1" t="s">
        <v>36</v>
      </c>
      <c r="AD5235" s="1" t="s">
        <v>17767</v>
      </c>
      <c r="AE5235" s="1" t="s">
        <v>32</v>
      </c>
      <c r="AF5235" s="1" t="s">
        <v>33</v>
      </c>
      <c r="AG5235" s="1" t="s">
        <v>270</v>
      </c>
    </row>
    <row r="5236" spans="1:33">
      <c r="A5236" t="s">
        <v>17768</v>
      </c>
      <c r="B5236" t="s">
        <v>17769</v>
      </c>
      <c r="C5236" t="s">
        <v>314</v>
      </c>
      <c r="E5236" t="s">
        <v>17332</v>
      </c>
      <c r="F5236" t="s">
        <v>16399</v>
      </c>
      <c r="G5236">
        <v>37.18</v>
      </c>
      <c r="H5236">
        <v>37.18</v>
      </c>
      <c r="I5236" t="s">
        <v>179</v>
      </c>
      <c r="J5236" t="s">
        <v>180</v>
      </c>
      <c r="K5236" t="s">
        <v>31</v>
      </c>
      <c r="L5236" t="s">
        <v>32</v>
      </c>
      <c r="M5236" t="s">
        <v>33</v>
      </c>
      <c r="P5236" s="1" t="s">
        <v>17770</v>
      </c>
      <c r="Q5236" s="1" t="s">
        <v>17332</v>
      </c>
      <c r="R5236" s="1" t="s">
        <v>17332</v>
      </c>
      <c r="S5236" s="1"/>
      <c r="T5236" s="1" t="s">
        <v>314</v>
      </c>
      <c r="U5236" s="1"/>
      <c r="V5236" s="1">
        <v>37.18</v>
      </c>
      <c r="W5236" s="1">
        <v>37.18</v>
      </c>
      <c r="X5236" s="1" t="s">
        <v>35</v>
      </c>
      <c r="Y5236" s="1">
        <v>37180</v>
      </c>
      <c r="Z5236" s="1"/>
      <c r="AA5236" s="1">
        <v>37180</v>
      </c>
      <c r="AB5236" s="1"/>
      <c r="AC5236" s="1" t="s">
        <v>36</v>
      </c>
      <c r="AD5236" s="1" t="s">
        <v>17771</v>
      </c>
      <c r="AE5236" s="1" t="s">
        <v>32</v>
      </c>
      <c r="AF5236" s="1" t="s">
        <v>33</v>
      </c>
      <c r="AG5236" s="1" t="s">
        <v>180</v>
      </c>
    </row>
    <row r="5237" spans="1:33">
      <c r="A5237" t="s">
        <v>17772</v>
      </c>
      <c r="C5237" t="s">
        <v>827</v>
      </c>
      <c r="D5237" t="s">
        <v>154</v>
      </c>
      <c r="E5237" t="s">
        <v>17332</v>
      </c>
      <c r="F5237" t="s">
        <v>16399</v>
      </c>
      <c r="G5237">
        <v>328.0</v>
      </c>
      <c r="H5237">
        <v>328.0</v>
      </c>
      <c r="I5237" t="s">
        <v>269</v>
      </c>
      <c r="J5237" t="s">
        <v>270</v>
      </c>
      <c r="K5237" t="s">
        <v>31</v>
      </c>
      <c r="L5237" t="s">
        <v>32</v>
      </c>
      <c r="M5237" t="s">
        <v>33</v>
      </c>
      <c r="P5237" s="1" t="s">
        <v>17773</v>
      </c>
      <c r="Q5237" s="1" t="s">
        <v>17332</v>
      </c>
      <c r="R5237" s="1" t="s">
        <v>17332</v>
      </c>
      <c r="S5237" s="1"/>
      <c r="T5237" s="1" t="s">
        <v>827</v>
      </c>
      <c r="U5237" s="1"/>
      <c r="V5237" s="1">
        <v>328.0</v>
      </c>
      <c r="W5237" s="1">
        <v>328.0</v>
      </c>
      <c r="X5237" s="1" t="s">
        <v>35</v>
      </c>
      <c r="Y5237" s="1">
        <v>328000</v>
      </c>
      <c r="Z5237" s="1"/>
      <c r="AA5237" s="1">
        <v>328000</v>
      </c>
      <c r="AB5237" s="1"/>
      <c r="AC5237" s="1" t="s">
        <v>36</v>
      </c>
      <c r="AD5237" s="1" t="s">
        <v>17774</v>
      </c>
      <c r="AE5237" s="1" t="s">
        <v>32</v>
      </c>
      <c r="AF5237" s="1" t="s">
        <v>33</v>
      </c>
      <c r="AG5237" s="1" t="s">
        <v>270</v>
      </c>
    </row>
    <row r="5238" spans="1:33">
      <c r="A5238" t="s">
        <v>17775</v>
      </c>
      <c r="B5238" t="s">
        <v>17776</v>
      </c>
      <c r="C5238" t="s">
        <v>314</v>
      </c>
      <c r="E5238" t="s">
        <v>17332</v>
      </c>
      <c r="F5238" t="s">
        <v>16399</v>
      </c>
      <c r="G5238">
        <v>141.84</v>
      </c>
      <c r="H5238">
        <v>141.84</v>
      </c>
      <c r="I5238" t="s">
        <v>179</v>
      </c>
      <c r="J5238" t="s">
        <v>180</v>
      </c>
      <c r="K5238" t="s">
        <v>31</v>
      </c>
      <c r="L5238" t="s">
        <v>32</v>
      </c>
      <c r="M5238" t="s">
        <v>33</v>
      </c>
      <c r="P5238" s="1" t="s">
        <v>17777</v>
      </c>
      <c r="Q5238" s="1" t="s">
        <v>17332</v>
      </c>
      <c r="R5238" s="1" t="s">
        <v>17332</v>
      </c>
      <c r="S5238" s="1"/>
      <c r="T5238" s="1" t="s">
        <v>314</v>
      </c>
      <c r="U5238" s="1"/>
      <c r="V5238" s="1">
        <v>141.84</v>
      </c>
      <c r="W5238" s="1">
        <v>141.84</v>
      </c>
      <c r="X5238" s="1" t="s">
        <v>35</v>
      </c>
      <c r="Y5238" s="1">
        <v>141840</v>
      </c>
      <c r="Z5238" s="1"/>
      <c r="AA5238" s="1">
        <v>141840</v>
      </c>
      <c r="AB5238" s="1"/>
      <c r="AC5238" s="1" t="s">
        <v>36</v>
      </c>
      <c r="AD5238" s="1" t="s">
        <v>17764</v>
      </c>
      <c r="AE5238" s="1" t="s">
        <v>32</v>
      </c>
      <c r="AF5238" s="1" t="s">
        <v>33</v>
      </c>
      <c r="AG5238" s="1" t="s">
        <v>180</v>
      </c>
    </row>
    <row r="5239" spans="1:33">
      <c r="A5239" t="s">
        <v>17778</v>
      </c>
      <c r="B5239" t="s">
        <v>17779</v>
      </c>
      <c r="C5239" t="s">
        <v>47</v>
      </c>
      <c r="E5239" t="s">
        <v>17332</v>
      </c>
      <c r="F5239" t="s">
        <v>16399</v>
      </c>
      <c r="G5239">
        <v>104.15</v>
      </c>
      <c r="H5239">
        <v>104.15</v>
      </c>
      <c r="I5239" t="s">
        <v>2206</v>
      </c>
      <c r="J5239" t="s">
        <v>49</v>
      </c>
      <c r="K5239" t="s">
        <v>31</v>
      </c>
      <c r="L5239" t="s">
        <v>32</v>
      </c>
      <c r="M5239" t="s">
        <v>33</v>
      </c>
      <c r="P5239" s="1" t="s">
        <v>17780</v>
      </c>
      <c r="Q5239" s="1" t="s">
        <v>17332</v>
      </c>
      <c r="R5239" s="1" t="s">
        <v>17332</v>
      </c>
      <c r="S5239" s="1"/>
      <c r="T5239" s="1" t="s">
        <v>47</v>
      </c>
      <c r="U5239" s="1"/>
      <c r="V5239" s="1">
        <v>104.15</v>
      </c>
      <c r="W5239" s="1">
        <v>104.15</v>
      </c>
      <c r="X5239" s="1" t="s">
        <v>35</v>
      </c>
      <c r="Y5239" s="1">
        <v>104150</v>
      </c>
      <c r="Z5239" s="1"/>
      <c r="AA5239" s="1">
        <v>104150</v>
      </c>
      <c r="AB5239" s="1"/>
      <c r="AC5239" s="1" t="s">
        <v>36</v>
      </c>
      <c r="AD5239" s="1" t="s">
        <v>17781</v>
      </c>
      <c r="AE5239" s="1" t="s">
        <v>32</v>
      </c>
      <c r="AF5239" s="1" t="s">
        <v>33</v>
      </c>
      <c r="AG5239" s="1" t="s">
        <v>49</v>
      </c>
    </row>
    <row r="5240" spans="1:33">
      <c r="A5240" t="s">
        <v>17782</v>
      </c>
      <c r="B5240" t="s">
        <v>2012</v>
      </c>
      <c r="C5240" t="s">
        <v>2013</v>
      </c>
      <c r="E5240" t="s">
        <v>17332</v>
      </c>
      <c r="F5240" t="s">
        <v>16399</v>
      </c>
      <c r="G5240">
        <v>410.0</v>
      </c>
      <c r="H5240">
        <v>410.0</v>
      </c>
      <c r="I5240" t="s">
        <v>59</v>
      </c>
      <c r="J5240" t="s">
        <v>60</v>
      </c>
      <c r="K5240" t="s">
        <v>31</v>
      </c>
      <c r="L5240" t="s">
        <v>32</v>
      </c>
      <c r="M5240" t="s">
        <v>33</v>
      </c>
      <c r="P5240" s="1" t="s">
        <v>17783</v>
      </c>
      <c r="Q5240" s="1" t="s">
        <v>17332</v>
      </c>
      <c r="R5240" s="1" t="s">
        <v>17332</v>
      </c>
      <c r="S5240" s="1"/>
      <c r="T5240" s="1" t="s">
        <v>2013</v>
      </c>
      <c r="U5240" s="1"/>
      <c r="V5240" s="1">
        <v>410.0</v>
      </c>
      <c r="W5240" s="1">
        <v>410.0</v>
      </c>
      <c r="X5240" s="1" t="s">
        <v>35</v>
      </c>
      <c r="Y5240" s="1">
        <v>410000</v>
      </c>
      <c r="Z5240" s="1"/>
      <c r="AA5240" s="1">
        <v>410000</v>
      </c>
      <c r="AB5240" s="1"/>
      <c r="AC5240" s="1" t="s">
        <v>36</v>
      </c>
      <c r="AD5240" s="1" t="s">
        <v>17784</v>
      </c>
      <c r="AE5240" s="1" t="s">
        <v>32</v>
      </c>
      <c r="AF5240" s="1" t="s">
        <v>33</v>
      </c>
      <c r="AG5240" s="1" t="s">
        <v>60</v>
      </c>
    </row>
    <row r="5241" spans="1:33">
      <c r="A5241" t="s">
        <v>17785</v>
      </c>
      <c r="B5241" t="s">
        <v>4266</v>
      </c>
      <c r="C5241" t="s">
        <v>172</v>
      </c>
      <c r="E5241" t="s">
        <v>17332</v>
      </c>
      <c r="F5241" t="s">
        <v>16399</v>
      </c>
      <c r="G5241">
        <v>84.95</v>
      </c>
      <c r="H5241">
        <v>84.95</v>
      </c>
      <c r="I5241" t="s">
        <v>173</v>
      </c>
      <c r="J5241" t="s">
        <v>174</v>
      </c>
      <c r="K5241" t="s">
        <v>31</v>
      </c>
      <c r="L5241" t="s">
        <v>32</v>
      </c>
      <c r="M5241" t="s">
        <v>33</v>
      </c>
      <c r="P5241" s="1" t="s">
        <v>17786</v>
      </c>
      <c r="Q5241" s="1" t="s">
        <v>17332</v>
      </c>
      <c r="R5241" s="1" t="s">
        <v>17332</v>
      </c>
      <c r="S5241" s="1"/>
      <c r="T5241" s="1" t="s">
        <v>172</v>
      </c>
      <c r="U5241" s="1"/>
      <c r="V5241" s="1">
        <v>84.95</v>
      </c>
      <c r="W5241" s="1">
        <v>84.95</v>
      </c>
      <c r="X5241" s="1" t="s">
        <v>35</v>
      </c>
      <c r="Y5241" s="1">
        <v>84950</v>
      </c>
      <c r="Z5241" s="1"/>
      <c r="AA5241" s="1">
        <v>84950</v>
      </c>
      <c r="AB5241" s="1"/>
      <c r="AC5241" s="1" t="s">
        <v>36</v>
      </c>
      <c r="AD5241" s="1" t="s">
        <v>17787</v>
      </c>
      <c r="AE5241" s="1" t="s">
        <v>32</v>
      </c>
      <c r="AF5241" s="1" t="s">
        <v>33</v>
      </c>
      <c r="AG5241" s="1" t="s">
        <v>174</v>
      </c>
    </row>
    <row r="5242" spans="1:33">
      <c r="A5242" t="s">
        <v>17788</v>
      </c>
      <c r="C5242" t="s">
        <v>2240</v>
      </c>
      <c r="E5242" t="s">
        <v>17332</v>
      </c>
      <c r="F5242" t="s">
        <v>16399</v>
      </c>
      <c r="G5242">
        <v>484.8</v>
      </c>
      <c r="H5242">
        <v>484.8</v>
      </c>
      <c r="I5242" t="s">
        <v>269</v>
      </c>
      <c r="J5242" t="s">
        <v>270</v>
      </c>
      <c r="K5242" t="s">
        <v>31</v>
      </c>
      <c r="L5242" t="s">
        <v>32</v>
      </c>
      <c r="M5242" t="s">
        <v>33</v>
      </c>
      <c r="P5242" s="1" t="s">
        <v>17789</v>
      </c>
      <c r="Q5242" s="1" t="s">
        <v>17332</v>
      </c>
      <c r="R5242" s="1" t="s">
        <v>17332</v>
      </c>
      <c r="S5242" s="1"/>
      <c r="T5242" s="1" t="s">
        <v>2240</v>
      </c>
      <c r="U5242" s="1"/>
      <c r="V5242" s="1">
        <v>484.8</v>
      </c>
      <c r="W5242" s="1">
        <v>484.8</v>
      </c>
      <c r="X5242" s="1" t="s">
        <v>35</v>
      </c>
      <c r="Y5242" s="1">
        <v>484800</v>
      </c>
      <c r="Z5242" s="1"/>
      <c r="AA5242" s="1">
        <v>484800</v>
      </c>
      <c r="AB5242" s="1"/>
      <c r="AC5242" s="1" t="s">
        <v>36</v>
      </c>
      <c r="AD5242" s="1" t="s">
        <v>17790</v>
      </c>
      <c r="AE5242" s="1" t="s">
        <v>32</v>
      </c>
      <c r="AF5242" s="1" t="s">
        <v>33</v>
      </c>
      <c r="AG5242" s="1" t="s">
        <v>270</v>
      </c>
    </row>
    <row r="5243" spans="1:33">
      <c r="A5243" t="s">
        <v>17791</v>
      </c>
      <c r="C5243" t="s">
        <v>2688</v>
      </c>
      <c r="E5243" t="s">
        <v>17332</v>
      </c>
      <c r="F5243" t="s">
        <v>16399</v>
      </c>
      <c r="G5243">
        <v>392.2</v>
      </c>
      <c r="H5243">
        <v>392.2</v>
      </c>
      <c r="I5243" t="s">
        <v>269</v>
      </c>
      <c r="J5243" t="s">
        <v>270</v>
      </c>
      <c r="K5243" t="s">
        <v>31</v>
      </c>
      <c r="L5243" t="s">
        <v>32</v>
      </c>
      <c r="M5243" t="s">
        <v>33</v>
      </c>
      <c r="P5243" s="1" t="s">
        <v>17792</v>
      </c>
      <c r="Q5243" s="1" t="s">
        <v>17332</v>
      </c>
      <c r="R5243" s="1" t="s">
        <v>17332</v>
      </c>
      <c r="S5243" s="1"/>
      <c r="T5243" s="1" t="s">
        <v>2688</v>
      </c>
      <c r="U5243" s="1"/>
      <c r="V5243" s="1">
        <v>392.2</v>
      </c>
      <c r="W5243" s="1">
        <v>392.2</v>
      </c>
      <c r="X5243" s="1" t="s">
        <v>35</v>
      </c>
      <c r="Y5243" s="1">
        <v>392200</v>
      </c>
      <c r="Z5243" s="1"/>
      <c r="AA5243" s="1">
        <v>392200</v>
      </c>
      <c r="AB5243" s="1"/>
      <c r="AC5243" s="1" t="s">
        <v>36</v>
      </c>
      <c r="AD5243" s="1" t="s">
        <v>17793</v>
      </c>
      <c r="AE5243" s="1" t="s">
        <v>32</v>
      </c>
      <c r="AF5243" s="1" t="s">
        <v>33</v>
      </c>
      <c r="AG5243" s="1" t="s">
        <v>270</v>
      </c>
    </row>
    <row r="5244" spans="1:33">
      <c r="A5244" t="s">
        <v>17794</v>
      </c>
      <c r="B5244" t="s">
        <v>17795</v>
      </c>
      <c r="C5244" t="s">
        <v>47</v>
      </c>
      <c r="E5244" t="s">
        <v>17332</v>
      </c>
      <c r="F5244" t="s">
        <v>16399</v>
      </c>
      <c r="G5244">
        <v>100.81</v>
      </c>
      <c r="H5244">
        <v>100.81</v>
      </c>
      <c r="I5244" t="s">
        <v>2206</v>
      </c>
      <c r="J5244" t="s">
        <v>49</v>
      </c>
      <c r="K5244" t="s">
        <v>31</v>
      </c>
      <c r="L5244" t="s">
        <v>32</v>
      </c>
      <c r="M5244" t="s">
        <v>33</v>
      </c>
      <c r="P5244" s="1" t="s">
        <v>17796</v>
      </c>
      <c r="Q5244" s="1" t="s">
        <v>17332</v>
      </c>
      <c r="R5244" s="1" t="s">
        <v>17332</v>
      </c>
      <c r="S5244" s="1"/>
      <c r="T5244" s="1" t="s">
        <v>47</v>
      </c>
      <c r="U5244" s="1"/>
      <c r="V5244" s="1">
        <v>100.81</v>
      </c>
      <c r="W5244" s="1">
        <v>100.81</v>
      </c>
      <c r="X5244" s="1" t="s">
        <v>35</v>
      </c>
      <c r="Y5244" s="1">
        <v>100810</v>
      </c>
      <c r="Z5244" s="1"/>
      <c r="AA5244" s="1">
        <v>100810</v>
      </c>
      <c r="AB5244" s="1"/>
      <c r="AC5244" s="1" t="s">
        <v>36</v>
      </c>
      <c r="AD5244" s="1" t="s">
        <v>17797</v>
      </c>
      <c r="AE5244" s="1" t="s">
        <v>32</v>
      </c>
      <c r="AF5244" s="1" t="s">
        <v>33</v>
      </c>
      <c r="AG5244" s="1" t="s">
        <v>49</v>
      </c>
    </row>
    <row r="5245" spans="1:33">
      <c r="A5245" t="s">
        <v>17798</v>
      </c>
      <c r="C5245" t="s">
        <v>1692</v>
      </c>
      <c r="E5245" t="s">
        <v>17332</v>
      </c>
      <c r="F5245" t="s">
        <v>16399</v>
      </c>
      <c r="G5245">
        <v>1.238</v>
      </c>
      <c r="H5245">
        <v>1.238</v>
      </c>
      <c r="I5245" t="s">
        <v>179</v>
      </c>
      <c r="J5245" t="s">
        <v>180</v>
      </c>
      <c r="K5245" t="s">
        <v>31</v>
      </c>
      <c r="L5245" t="s">
        <v>32</v>
      </c>
      <c r="M5245" t="s">
        <v>33</v>
      </c>
      <c r="P5245" s="1" t="s">
        <v>17799</v>
      </c>
      <c r="Q5245" s="1" t="s">
        <v>17332</v>
      </c>
      <c r="R5245" s="1" t="s">
        <v>17332</v>
      </c>
      <c r="S5245" s="1"/>
      <c r="T5245" s="1" t="s">
        <v>1692</v>
      </c>
      <c r="U5245" s="1"/>
      <c r="V5245" s="1">
        <v>1.238</v>
      </c>
      <c r="W5245" s="1">
        <v>1.238</v>
      </c>
      <c r="X5245" s="1" t="s">
        <v>35</v>
      </c>
      <c r="Y5245" s="1">
        <v>1238500</v>
      </c>
      <c r="Z5245" s="1"/>
      <c r="AA5245" s="1">
        <v>1238500</v>
      </c>
      <c r="AB5245" s="1"/>
      <c r="AC5245" s="1" t="s">
        <v>36</v>
      </c>
      <c r="AD5245" s="1" t="s">
        <v>17800</v>
      </c>
      <c r="AE5245" s="1" t="s">
        <v>32</v>
      </c>
      <c r="AF5245" s="1" t="s">
        <v>33</v>
      </c>
      <c r="AG5245" s="1" t="s">
        <v>180</v>
      </c>
    </row>
    <row r="5246" spans="1:33">
      <c r="A5246" t="s">
        <v>17801</v>
      </c>
      <c r="B5246" t="s">
        <v>17802</v>
      </c>
      <c r="C5246" t="s">
        <v>3169</v>
      </c>
      <c r="E5246" t="s">
        <v>17332</v>
      </c>
      <c r="F5246" t="s">
        <v>16399</v>
      </c>
      <c r="G5246">
        <v>712.394</v>
      </c>
      <c r="H5246">
        <v>712.394</v>
      </c>
      <c r="I5246" t="s">
        <v>529</v>
      </c>
      <c r="J5246" t="s">
        <v>530</v>
      </c>
      <c r="K5246" t="s">
        <v>31</v>
      </c>
      <c r="L5246" t="s">
        <v>32</v>
      </c>
      <c r="M5246" t="s">
        <v>33</v>
      </c>
      <c r="P5246" s="1" t="s">
        <v>17803</v>
      </c>
      <c r="Q5246" s="1" t="s">
        <v>17332</v>
      </c>
      <c r="R5246" s="1" t="s">
        <v>16369</v>
      </c>
      <c r="S5246" s="1"/>
      <c r="T5246" s="1" t="s">
        <v>3169</v>
      </c>
      <c r="U5246" s="1"/>
      <c r="V5246" s="1">
        <v>712.394</v>
      </c>
      <c r="W5246" s="1">
        <v>712.394</v>
      </c>
      <c r="X5246" s="1" t="s">
        <v>35</v>
      </c>
      <c r="Y5246" s="1">
        <v>712394</v>
      </c>
      <c r="Z5246" s="1"/>
      <c r="AA5246" s="1">
        <v>712394</v>
      </c>
      <c r="AB5246" s="1"/>
      <c r="AC5246" s="1" t="s">
        <v>36</v>
      </c>
      <c r="AD5246" s="1" t="s">
        <v>17406</v>
      </c>
      <c r="AE5246" s="1" t="s">
        <v>32</v>
      </c>
      <c r="AF5246" s="1" t="s">
        <v>33</v>
      </c>
      <c r="AG5246" s="1" t="s">
        <v>530</v>
      </c>
    </row>
    <row r="5247" spans="1:33">
      <c r="A5247" t="s">
        <v>17804</v>
      </c>
      <c r="B5247" t="s">
        <v>17805</v>
      </c>
      <c r="C5247" t="s">
        <v>68</v>
      </c>
      <c r="E5247" t="s">
        <v>17332</v>
      </c>
      <c r="F5247" t="s">
        <v>16399</v>
      </c>
      <c r="G5247">
        <v>22.49</v>
      </c>
      <c r="H5247">
        <v>22.49</v>
      </c>
      <c r="I5247" t="s">
        <v>59</v>
      </c>
      <c r="J5247" t="s">
        <v>60</v>
      </c>
      <c r="K5247" t="s">
        <v>31</v>
      </c>
      <c r="L5247" t="s">
        <v>32</v>
      </c>
      <c r="M5247" t="s">
        <v>33</v>
      </c>
      <c r="P5247" s="1" t="s">
        <v>17806</v>
      </c>
      <c r="Q5247" s="1" t="s">
        <v>17332</v>
      </c>
      <c r="R5247" s="1" t="s">
        <v>17332</v>
      </c>
      <c r="S5247" s="1"/>
      <c r="T5247" s="1" t="s">
        <v>68</v>
      </c>
      <c r="U5247" s="1"/>
      <c r="V5247" s="1">
        <v>22.49</v>
      </c>
      <c r="W5247" s="1">
        <v>22.49</v>
      </c>
      <c r="X5247" s="1" t="s">
        <v>35</v>
      </c>
      <c r="Y5247" s="1">
        <v>22490</v>
      </c>
      <c r="Z5247" s="1"/>
      <c r="AA5247" s="1">
        <v>22490</v>
      </c>
      <c r="AB5247" s="1"/>
      <c r="AC5247" s="1" t="s">
        <v>36</v>
      </c>
      <c r="AD5247" s="1" t="s">
        <v>17807</v>
      </c>
      <c r="AE5247" s="1" t="s">
        <v>32</v>
      </c>
      <c r="AF5247" s="1" t="s">
        <v>33</v>
      </c>
      <c r="AG5247" s="1" t="s">
        <v>60</v>
      </c>
    </row>
    <row r="5248" spans="1:33">
      <c r="A5248" t="s">
        <v>17808</v>
      </c>
      <c r="B5248" t="s">
        <v>17809</v>
      </c>
      <c r="C5248" t="s">
        <v>47</v>
      </c>
      <c r="E5248" t="s">
        <v>17332</v>
      </c>
      <c r="F5248" t="s">
        <v>16399</v>
      </c>
      <c r="G5248">
        <v>170.13</v>
      </c>
      <c r="H5248">
        <v>170.13</v>
      </c>
      <c r="I5248" t="s">
        <v>2206</v>
      </c>
      <c r="J5248" t="s">
        <v>49</v>
      </c>
      <c r="K5248" t="s">
        <v>31</v>
      </c>
      <c r="L5248" t="s">
        <v>32</v>
      </c>
      <c r="M5248" t="s">
        <v>33</v>
      </c>
      <c r="P5248" s="1" t="s">
        <v>17810</v>
      </c>
      <c r="Q5248" s="1" t="s">
        <v>17332</v>
      </c>
      <c r="R5248" s="1" t="s">
        <v>17332</v>
      </c>
      <c r="S5248" s="1"/>
      <c r="T5248" s="1" t="s">
        <v>47</v>
      </c>
      <c r="U5248" s="1"/>
      <c r="V5248" s="1">
        <v>170.13</v>
      </c>
      <c r="W5248" s="1">
        <v>170.13</v>
      </c>
      <c r="X5248" s="1" t="s">
        <v>35</v>
      </c>
      <c r="Y5248" s="1">
        <v>170130</v>
      </c>
      <c r="Z5248" s="1"/>
      <c r="AA5248" s="1">
        <v>170130</v>
      </c>
      <c r="AB5248" s="1"/>
      <c r="AC5248" s="1" t="s">
        <v>36</v>
      </c>
      <c r="AD5248" s="1" t="s">
        <v>17811</v>
      </c>
      <c r="AE5248" s="1" t="s">
        <v>32</v>
      </c>
      <c r="AF5248" s="1" t="s">
        <v>33</v>
      </c>
      <c r="AG5248" s="1" t="s">
        <v>49</v>
      </c>
    </row>
    <row r="5249" spans="1:33">
      <c r="A5249" t="s">
        <v>17812</v>
      </c>
      <c r="B5249" t="s">
        <v>9916</v>
      </c>
      <c r="C5249" t="s">
        <v>131</v>
      </c>
      <c r="E5249" t="s">
        <v>17332</v>
      </c>
      <c r="F5249" t="s">
        <v>16399</v>
      </c>
      <c r="G5249">
        <v>65.97</v>
      </c>
      <c r="H5249">
        <v>65.97</v>
      </c>
      <c r="I5249" t="s">
        <v>94</v>
      </c>
      <c r="J5249" t="s">
        <v>95</v>
      </c>
      <c r="K5249" t="s">
        <v>31</v>
      </c>
      <c r="L5249" t="s">
        <v>32</v>
      </c>
      <c r="M5249" t="s">
        <v>33</v>
      </c>
      <c r="P5249" s="1" t="s">
        <v>17813</v>
      </c>
      <c r="Q5249" s="1" t="s">
        <v>17332</v>
      </c>
      <c r="R5249" s="1" t="s">
        <v>17332</v>
      </c>
      <c r="S5249" s="1"/>
      <c r="T5249" s="1" t="s">
        <v>131</v>
      </c>
      <c r="U5249" s="1"/>
      <c r="V5249" s="1">
        <v>65.97</v>
      </c>
      <c r="W5249" s="1">
        <v>65.97</v>
      </c>
      <c r="X5249" s="1" t="s">
        <v>35</v>
      </c>
      <c r="Y5249" s="1">
        <v>65970</v>
      </c>
      <c r="Z5249" s="1"/>
      <c r="AA5249" s="1">
        <v>65970</v>
      </c>
      <c r="AB5249" s="1"/>
      <c r="AC5249" s="1" t="s">
        <v>36</v>
      </c>
      <c r="AD5249" s="1" t="s">
        <v>17814</v>
      </c>
      <c r="AE5249" s="1" t="s">
        <v>32</v>
      </c>
      <c r="AF5249" s="1" t="s">
        <v>33</v>
      </c>
      <c r="AG5249" s="1" t="s">
        <v>95</v>
      </c>
    </row>
    <row r="5250" spans="1:33">
      <c r="A5250" t="s">
        <v>17815</v>
      </c>
      <c r="B5250" t="s">
        <v>3200</v>
      </c>
      <c r="C5250" t="s">
        <v>569</v>
      </c>
      <c r="E5250" t="s">
        <v>17332</v>
      </c>
      <c r="F5250" t="s">
        <v>16399</v>
      </c>
      <c r="G5250">
        <v>43.98</v>
      </c>
      <c r="H5250">
        <v>43.98</v>
      </c>
      <c r="I5250" t="s">
        <v>570</v>
      </c>
      <c r="J5250" t="s">
        <v>571</v>
      </c>
      <c r="K5250" t="s">
        <v>31</v>
      </c>
      <c r="L5250" t="s">
        <v>32</v>
      </c>
      <c r="M5250" t="s">
        <v>33</v>
      </c>
      <c r="P5250" s="1" t="s">
        <v>17816</v>
      </c>
      <c r="Q5250" s="1" t="s">
        <v>17332</v>
      </c>
      <c r="R5250" s="1" t="s">
        <v>17332</v>
      </c>
      <c r="S5250" s="1"/>
      <c r="T5250" s="1" t="s">
        <v>569</v>
      </c>
      <c r="U5250" s="1"/>
      <c r="V5250" s="1">
        <v>43.98</v>
      </c>
      <c r="W5250" s="1">
        <v>43.98</v>
      </c>
      <c r="X5250" s="1" t="s">
        <v>35</v>
      </c>
      <c r="Y5250" s="1">
        <v>43980</v>
      </c>
      <c r="Z5250" s="1"/>
      <c r="AA5250" s="1">
        <v>43980</v>
      </c>
      <c r="AB5250" s="1"/>
      <c r="AC5250" s="1" t="s">
        <v>36</v>
      </c>
      <c r="AD5250" s="1" t="s">
        <v>17767</v>
      </c>
      <c r="AE5250" s="1" t="s">
        <v>32</v>
      </c>
      <c r="AF5250" s="1" t="s">
        <v>33</v>
      </c>
      <c r="AG5250" s="1" t="s">
        <v>571</v>
      </c>
    </row>
    <row r="5251" spans="1:33">
      <c r="A5251" t="s">
        <v>17817</v>
      </c>
      <c r="C5251" t="s">
        <v>1053</v>
      </c>
      <c r="E5251" t="s">
        <v>17332</v>
      </c>
      <c r="F5251" t="s">
        <v>16399</v>
      </c>
      <c r="G5251">
        <v>843.25</v>
      </c>
      <c r="H5251">
        <v>843.25</v>
      </c>
      <c r="I5251" t="s">
        <v>17818</v>
      </c>
      <c r="J5251" t="s">
        <v>180</v>
      </c>
      <c r="K5251" t="s">
        <v>31</v>
      </c>
      <c r="L5251" t="s">
        <v>32</v>
      </c>
      <c r="M5251" t="s">
        <v>33</v>
      </c>
      <c r="P5251" s="1" t="s">
        <v>17819</v>
      </c>
      <c r="Q5251" s="1" t="s">
        <v>17332</v>
      </c>
      <c r="R5251" s="1" t="s">
        <v>17332</v>
      </c>
      <c r="S5251" s="1"/>
      <c r="T5251" s="1" t="s">
        <v>1053</v>
      </c>
      <c r="U5251" s="1"/>
      <c r="V5251" s="1">
        <v>843.25</v>
      </c>
      <c r="W5251" s="1">
        <v>843.25</v>
      </c>
      <c r="X5251" s="1" t="s">
        <v>35</v>
      </c>
      <c r="Y5251" s="1">
        <v>843250</v>
      </c>
      <c r="Z5251" s="1"/>
      <c r="AA5251" s="1">
        <v>843250</v>
      </c>
      <c r="AB5251" s="1"/>
      <c r="AC5251" s="1" t="s">
        <v>36</v>
      </c>
      <c r="AD5251" s="1" t="s">
        <v>17820</v>
      </c>
      <c r="AE5251" s="1" t="s">
        <v>32</v>
      </c>
      <c r="AF5251" s="1" t="s">
        <v>33</v>
      </c>
      <c r="AG5251" s="1" t="s">
        <v>180</v>
      </c>
    </row>
    <row r="5252" spans="1:33">
      <c r="A5252" t="s">
        <v>17821</v>
      </c>
      <c r="B5252" t="s">
        <v>4178</v>
      </c>
      <c r="C5252" t="s">
        <v>4179</v>
      </c>
      <c r="E5252" t="s">
        <v>17332</v>
      </c>
      <c r="F5252" t="s">
        <v>16399</v>
      </c>
      <c r="G5252">
        <v>185.1</v>
      </c>
      <c r="H5252">
        <v>185.1</v>
      </c>
      <c r="I5252" t="s">
        <v>529</v>
      </c>
      <c r="J5252" t="s">
        <v>530</v>
      </c>
      <c r="K5252" t="s">
        <v>31</v>
      </c>
      <c r="L5252" t="s">
        <v>32</v>
      </c>
      <c r="M5252" t="s">
        <v>33</v>
      </c>
      <c r="P5252" s="1" t="s">
        <v>17822</v>
      </c>
      <c r="Q5252" s="1" t="s">
        <v>17332</v>
      </c>
      <c r="R5252" s="1" t="s">
        <v>16369</v>
      </c>
      <c r="S5252" s="1"/>
      <c r="T5252" s="1" t="s">
        <v>4179</v>
      </c>
      <c r="U5252" s="1"/>
      <c r="V5252" s="1">
        <v>185.1</v>
      </c>
      <c r="W5252" s="1">
        <v>185.1</v>
      </c>
      <c r="X5252" s="1" t="s">
        <v>35</v>
      </c>
      <c r="Y5252" s="1">
        <v>185100</v>
      </c>
      <c r="Z5252" s="1"/>
      <c r="AA5252" s="1">
        <v>185100</v>
      </c>
      <c r="AB5252" s="1"/>
      <c r="AC5252" s="1" t="s">
        <v>36</v>
      </c>
      <c r="AD5252" s="1" t="s">
        <v>17823</v>
      </c>
      <c r="AE5252" s="1" t="s">
        <v>32</v>
      </c>
      <c r="AF5252" s="1" t="s">
        <v>33</v>
      </c>
      <c r="AG5252" s="1" t="s">
        <v>530</v>
      </c>
    </row>
    <row r="5253" spans="1:33">
      <c r="A5253" t="s">
        <v>17824</v>
      </c>
      <c r="B5253" t="s">
        <v>1232</v>
      </c>
      <c r="C5253" t="s">
        <v>1233</v>
      </c>
      <c r="E5253" t="s">
        <v>17332</v>
      </c>
      <c r="F5253" t="s">
        <v>16399</v>
      </c>
      <c r="G5253">
        <v>328.0</v>
      </c>
      <c r="H5253">
        <v>328.0</v>
      </c>
      <c r="I5253" t="s">
        <v>529</v>
      </c>
      <c r="J5253" t="s">
        <v>530</v>
      </c>
      <c r="K5253" t="s">
        <v>31</v>
      </c>
      <c r="L5253" t="s">
        <v>32</v>
      </c>
      <c r="M5253" t="s">
        <v>33</v>
      </c>
      <c r="P5253" s="1" t="s">
        <v>17825</v>
      </c>
      <c r="Q5253" s="1" t="s">
        <v>17332</v>
      </c>
      <c r="R5253" s="1" t="s">
        <v>16369</v>
      </c>
      <c r="S5253" s="1"/>
      <c r="T5253" s="1" t="s">
        <v>1233</v>
      </c>
      <c r="U5253" s="1"/>
      <c r="V5253" s="1">
        <v>328.0</v>
      </c>
      <c r="W5253" s="1">
        <v>328.0</v>
      </c>
      <c r="X5253" s="1" t="s">
        <v>35</v>
      </c>
      <c r="Y5253" s="1">
        <v>328000</v>
      </c>
      <c r="Z5253" s="1"/>
      <c r="AA5253" s="1">
        <v>328000</v>
      </c>
      <c r="AB5253" s="1"/>
      <c r="AC5253" s="1" t="s">
        <v>36</v>
      </c>
      <c r="AD5253" s="1" t="s">
        <v>17826</v>
      </c>
      <c r="AE5253" s="1" t="s">
        <v>32</v>
      </c>
      <c r="AF5253" s="1" t="s">
        <v>33</v>
      </c>
      <c r="AG5253" s="1" t="s">
        <v>530</v>
      </c>
    </row>
    <row r="5254" spans="1:33">
      <c r="A5254" t="s">
        <v>17827</v>
      </c>
      <c r="B5254" t="s">
        <v>17828</v>
      </c>
      <c r="C5254" t="s">
        <v>47</v>
      </c>
      <c r="E5254" t="s">
        <v>17332</v>
      </c>
      <c r="F5254" t="s">
        <v>16399</v>
      </c>
      <c r="G5254">
        <v>14.745</v>
      </c>
      <c r="H5254">
        <v>14.745</v>
      </c>
      <c r="I5254" t="s">
        <v>2206</v>
      </c>
      <c r="J5254" t="s">
        <v>49</v>
      </c>
      <c r="K5254" t="s">
        <v>31</v>
      </c>
      <c r="L5254" t="s">
        <v>32</v>
      </c>
      <c r="M5254" t="s">
        <v>33</v>
      </c>
      <c r="P5254" s="1" t="s">
        <v>17829</v>
      </c>
      <c r="Q5254" s="1" t="s">
        <v>17332</v>
      </c>
      <c r="R5254" s="1" t="s">
        <v>17332</v>
      </c>
      <c r="S5254" s="1"/>
      <c r="T5254" s="1" t="s">
        <v>47</v>
      </c>
      <c r="U5254" s="1"/>
      <c r="V5254" s="1">
        <v>14.745</v>
      </c>
      <c r="W5254" s="1">
        <v>14.745</v>
      </c>
      <c r="X5254" s="1" t="s">
        <v>35</v>
      </c>
      <c r="Y5254" s="1">
        <v>14745</v>
      </c>
      <c r="Z5254" s="1"/>
      <c r="AA5254" s="1">
        <v>14745</v>
      </c>
      <c r="AB5254" s="1"/>
      <c r="AC5254" s="1" t="s">
        <v>36</v>
      </c>
      <c r="AD5254" s="1" t="s">
        <v>17830</v>
      </c>
      <c r="AE5254" s="1" t="s">
        <v>32</v>
      </c>
      <c r="AF5254" s="1" t="s">
        <v>33</v>
      </c>
      <c r="AG5254" s="1" t="s">
        <v>49</v>
      </c>
    </row>
    <row r="5255" spans="1:33">
      <c r="A5255" t="s">
        <v>17831</v>
      </c>
      <c r="B5255" t="s">
        <v>6851</v>
      </c>
      <c r="C5255" t="s">
        <v>47</v>
      </c>
      <c r="E5255" t="s">
        <v>17332</v>
      </c>
      <c r="F5255" t="s">
        <v>16399</v>
      </c>
      <c r="G5255">
        <v>24.338</v>
      </c>
      <c r="H5255">
        <v>24.338</v>
      </c>
      <c r="I5255" t="s">
        <v>2206</v>
      </c>
      <c r="J5255" t="s">
        <v>49</v>
      </c>
      <c r="K5255" t="s">
        <v>31</v>
      </c>
      <c r="L5255" t="s">
        <v>32</v>
      </c>
      <c r="M5255" t="s">
        <v>33</v>
      </c>
      <c r="P5255" s="1" t="s">
        <v>17832</v>
      </c>
      <c r="Q5255" s="1" t="s">
        <v>17332</v>
      </c>
      <c r="R5255" s="1" t="s">
        <v>17332</v>
      </c>
      <c r="S5255" s="1"/>
      <c r="T5255" s="1" t="s">
        <v>47</v>
      </c>
      <c r="U5255" s="1"/>
      <c r="V5255" s="1">
        <v>24.338</v>
      </c>
      <c r="W5255" s="1">
        <v>24.338</v>
      </c>
      <c r="X5255" s="1" t="s">
        <v>35</v>
      </c>
      <c r="Y5255" s="1">
        <v>24348</v>
      </c>
      <c r="Z5255" s="1">
        <v>-10</v>
      </c>
      <c r="AA5255" s="1">
        <v>24348</v>
      </c>
      <c r="AB5255" s="1">
        <v>-10</v>
      </c>
      <c r="AC5255" s="1" t="s">
        <v>36</v>
      </c>
      <c r="AD5255" s="1" t="s">
        <v>17823</v>
      </c>
      <c r="AE5255" s="1" t="s">
        <v>32</v>
      </c>
      <c r="AF5255" s="1" t="s">
        <v>33</v>
      </c>
      <c r="AG5255" s="1" t="s">
        <v>49</v>
      </c>
    </row>
    <row r="5256" spans="1:33">
      <c r="A5256" t="s">
        <v>17833</v>
      </c>
      <c r="B5256" t="s">
        <v>17834</v>
      </c>
      <c r="C5256" t="s">
        <v>47</v>
      </c>
      <c r="E5256" t="s">
        <v>17332</v>
      </c>
      <c r="F5256" t="s">
        <v>16399</v>
      </c>
      <c r="G5256">
        <v>50.78</v>
      </c>
      <c r="H5256">
        <v>50.78</v>
      </c>
      <c r="I5256" t="s">
        <v>2206</v>
      </c>
      <c r="J5256" t="s">
        <v>49</v>
      </c>
      <c r="K5256" t="s">
        <v>31</v>
      </c>
      <c r="L5256" t="s">
        <v>32</v>
      </c>
      <c r="M5256" t="s">
        <v>33</v>
      </c>
      <c r="P5256" s="1" t="s">
        <v>17835</v>
      </c>
      <c r="Q5256" s="1" t="s">
        <v>17332</v>
      </c>
      <c r="R5256" s="1" t="s">
        <v>17332</v>
      </c>
      <c r="S5256" s="1"/>
      <c r="T5256" s="1" t="s">
        <v>47</v>
      </c>
      <c r="U5256" s="1"/>
      <c r="V5256" s="1">
        <v>50.78</v>
      </c>
      <c r="W5256" s="1">
        <v>50.78</v>
      </c>
      <c r="X5256" s="1" t="s">
        <v>35</v>
      </c>
      <c r="Y5256" s="1">
        <v>50780</v>
      </c>
      <c r="Z5256" s="1"/>
      <c r="AA5256" s="1">
        <v>50780</v>
      </c>
      <c r="AB5256" s="1"/>
      <c r="AC5256" s="1" t="s">
        <v>36</v>
      </c>
      <c r="AD5256" s="1" t="s">
        <v>17836</v>
      </c>
      <c r="AE5256" s="1" t="s">
        <v>32</v>
      </c>
      <c r="AF5256" s="1" t="s">
        <v>33</v>
      </c>
      <c r="AG5256" s="1" t="s">
        <v>49</v>
      </c>
    </row>
    <row r="5257" spans="1:33">
      <c r="A5257" t="s">
        <v>17837</v>
      </c>
      <c r="C5257" t="s">
        <v>8374</v>
      </c>
      <c r="E5257" t="s">
        <v>17332</v>
      </c>
      <c r="F5257" t="s">
        <v>16399</v>
      </c>
      <c r="G5257">
        <v>29.25</v>
      </c>
      <c r="H5257">
        <v>29.25</v>
      </c>
      <c r="I5257" t="s">
        <v>227</v>
      </c>
      <c r="J5257" t="s">
        <v>228</v>
      </c>
      <c r="K5257" t="s">
        <v>31</v>
      </c>
      <c r="L5257" t="s">
        <v>32</v>
      </c>
      <c r="M5257" t="s">
        <v>33</v>
      </c>
      <c r="P5257" s="1" t="s">
        <v>17838</v>
      </c>
      <c r="Q5257" s="1" t="s">
        <v>17332</v>
      </c>
      <c r="R5257" s="1" t="s">
        <v>17332</v>
      </c>
      <c r="S5257" s="1"/>
      <c r="T5257" s="1" t="s">
        <v>8374</v>
      </c>
      <c r="U5257" s="1"/>
      <c r="V5257" s="1">
        <v>29.25</v>
      </c>
      <c r="W5257" s="1">
        <v>29.25</v>
      </c>
      <c r="X5257" s="1" t="s">
        <v>35</v>
      </c>
      <c r="Y5257" s="1">
        <v>29250</v>
      </c>
      <c r="Z5257" s="1"/>
      <c r="AA5257" s="1">
        <v>29250</v>
      </c>
      <c r="AB5257" s="1"/>
      <c r="AC5257" s="1" t="s">
        <v>36</v>
      </c>
      <c r="AD5257" s="1" t="s">
        <v>17839</v>
      </c>
      <c r="AE5257" s="1" t="s">
        <v>32</v>
      </c>
      <c r="AF5257" s="1" t="s">
        <v>33</v>
      </c>
      <c r="AG5257" s="1" t="s">
        <v>228</v>
      </c>
    </row>
    <row r="5258" spans="1:33">
      <c r="A5258" t="s">
        <v>17840</v>
      </c>
      <c r="C5258" t="s">
        <v>866</v>
      </c>
      <c r="D5258" t="s">
        <v>154</v>
      </c>
      <c r="E5258" t="s">
        <v>17332</v>
      </c>
      <c r="F5258" t="s">
        <v>16399</v>
      </c>
      <c r="G5258">
        <v>1.126</v>
      </c>
      <c r="H5258">
        <v>1.126</v>
      </c>
      <c r="I5258" t="s">
        <v>2206</v>
      </c>
      <c r="J5258" t="s">
        <v>49</v>
      </c>
      <c r="K5258" t="s">
        <v>31</v>
      </c>
      <c r="L5258" t="s">
        <v>32</v>
      </c>
      <c r="M5258" t="s">
        <v>33</v>
      </c>
      <c r="P5258" s="1" t="s">
        <v>17841</v>
      </c>
      <c r="Q5258" s="1" t="s">
        <v>17332</v>
      </c>
      <c r="R5258" s="1" t="s">
        <v>17332</v>
      </c>
      <c r="S5258" s="1"/>
      <c r="T5258" s="1" t="s">
        <v>868</v>
      </c>
      <c r="U5258" s="1" t="s">
        <v>869</v>
      </c>
      <c r="V5258" s="1">
        <v>1.126</v>
      </c>
      <c r="W5258" s="1">
        <v>1.126</v>
      </c>
      <c r="X5258" s="1" t="s">
        <v>35</v>
      </c>
      <c r="Y5258" s="1">
        <v>1126000</v>
      </c>
      <c r="Z5258" s="1"/>
      <c r="AA5258" s="1">
        <v>1126000</v>
      </c>
      <c r="AB5258" s="1"/>
      <c r="AC5258" s="1" t="s">
        <v>36</v>
      </c>
      <c r="AD5258" s="1" t="s">
        <v>17839</v>
      </c>
      <c r="AE5258" s="1" t="s">
        <v>32</v>
      </c>
      <c r="AF5258" s="1" t="s">
        <v>33</v>
      </c>
      <c r="AG5258" s="1" t="s">
        <v>49</v>
      </c>
    </row>
    <row r="5259" spans="1:33">
      <c r="A5259" t="s">
        <v>17842</v>
      </c>
      <c r="B5259" t="s">
        <v>17843</v>
      </c>
      <c r="C5259" t="s">
        <v>314</v>
      </c>
      <c r="E5259" t="s">
        <v>17332</v>
      </c>
      <c r="F5259" t="s">
        <v>16399</v>
      </c>
      <c r="G5259">
        <v>60.864</v>
      </c>
      <c r="H5259">
        <v>60.864</v>
      </c>
      <c r="I5259" t="s">
        <v>17818</v>
      </c>
      <c r="J5259" t="s">
        <v>180</v>
      </c>
      <c r="K5259" t="s">
        <v>31</v>
      </c>
      <c r="L5259" t="s">
        <v>32</v>
      </c>
      <c r="M5259" t="s">
        <v>33</v>
      </c>
      <c r="P5259" s="1" t="s">
        <v>17844</v>
      </c>
      <c r="Q5259" s="1" t="s">
        <v>17332</v>
      </c>
      <c r="R5259" s="1" t="s">
        <v>17332</v>
      </c>
      <c r="S5259" s="1"/>
      <c r="T5259" s="1" t="s">
        <v>314</v>
      </c>
      <c r="U5259" s="1"/>
      <c r="V5259" s="1">
        <v>60.864</v>
      </c>
      <c r="W5259" s="1">
        <v>60.864</v>
      </c>
      <c r="X5259" s="1" t="s">
        <v>35</v>
      </c>
      <c r="Y5259" s="1">
        <v>60864</v>
      </c>
      <c r="Z5259" s="1"/>
      <c r="AA5259" s="1">
        <v>60864</v>
      </c>
      <c r="AB5259" s="1"/>
      <c r="AC5259" s="1" t="s">
        <v>36</v>
      </c>
      <c r="AD5259" s="1" t="s">
        <v>17839</v>
      </c>
      <c r="AE5259" s="1" t="s">
        <v>32</v>
      </c>
      <c r="AF5259" s="1" t="s">
        <v>33</v>
      </c>
      <c r="AG5259" s="1" t="s">
        <v>180</v>
      </c>
    </row>
    <row r="5260" spans="1:33">
      <c r="A5260" t="s">
        <v>17845</v>
      </c>
      <c r="B5260" t="s">
        <v>17846</v>
      </c>
      <c r="C5260" t="s">
        <v>47</v>
      </c>
      <c r="E5260" t="s">
        <v>17332</v>
      </c>
      <c r="F5260" t="s">
        <v>16399</v>
      </c>
      <c r="G5260">
        <v>45.161</v>
      </c>
      <c r="H5260">
        <v>45.161</v>
      </c>
      <c r="I5260" t="s">
        <v>2206</v>
      </c>
      <c r="J5260" t="s">
        <v>49</v>
      </c>
      <c r="K5260" t="s">
        <v>31</v>
      </c>
      <c r="L5260" t="s">
        <v>32</v>
      </c>
      <c r="M5260" t="s">
        <v>33</v>
      </c>
      <c r="P5260" s="1" t="s">
        <v>17847</v>
      </c>
      <c r="Q5260" s="1" t="s">
        <v>17332</v>
      </c>
      <c r="R5260" s="1" t="s">
        <v>17332</v>
      </c>
      <c r="S5260" s="1"/>
      <c r="T5260" s="1" t="s">
        <v>47</v>
      </c>
      <c r="U5260" s="1"/>
      <c r="V5260" s="1">
        <v>45.161</v>
      </c>
      <c r="W5260" s="1">
        <v>45.161</v>
      </c>
      <c r="X5260" s="1" t="s">
        <v>35</v>
      </c>
      <c r="Y5260" s="1">
        <v>45161</v>
      </c>
      <c r="Z5260" s="1"/>
      <c r="AA5260" s="1">
        <v>45161</v>
      </c>
      <c r="AB5260" s="1"/>
      <c r="AC5260" s="1" t="s">
        <v>36</v>
      </c>
      <c r="AD5260" s="1" t="s">
        <v>17826</v>
      </c>
      <c r="AE5260" s="1" t="s">
        <v>32</v>
      </c>
      <c r="AF5260" s="1" t="s">
        <v>33</v>
      </c>
      <c r="AG5260" s="1" t="s">
        <v>49</v>
      </c>
    </row>
    <row r="5261" spans="1:33">
      <c r="A5261" t="s">
        <v>17848</v>
      </c>
      <c r="C5261" t="s">
        <v>338</v>
      </c>
      <c r="E5261" t="s">
        <v>17332</v>
      </c>
      <c r="F5261" t="s">
        <v>16399</v>
      </c>
      <c r="G5261">
        <v>691.5</v>
      </c>
      <c r="H5261">
        <v>691.5</v>
      </c>
      <c r="I5261" t="s">
        <v>17818</v>
      </c>
      <c r="J5261" t="s">
        <v>180</v>
      </c>
      <c r="K5261" t="s">
        <v>31</v>
      </c>
      <c r="L5261" t="s">
        <v>32</v>
      </c>
      <c r="M5261" t="s">
        <v>33</v>
      </c>
      <c r="P5261" s="1" t="s">
        <v>17849</v>
      </c>
      <c r="Q5261" s="1" t="s">
        <v>17332</v>
      </c>
      <c r="R5261" s="1" t="s">
        <v>17332</v>
      </c>
      <c r="S5261" s="1"/>
      <c r="T5261" s="1" t="s">
        <v>338</v>
      </c>
      <c r="U5261" s="1"/>
      <c r="V5261" s="1">
        <v>691.5</v>
      </c>
      <c r="W5261" s="1">
        <v>691.5</v>
      </c>
      <c r="X5261" s="1" t="s">
        <v>35</v>
      </c>
      <c r="Y5261" s="1">
        <v>691500</v>
      </c>
      <c r="Z5261" s="1"/>
      <c r="AA5261" s="1">
        <v>691500</v>
      </c>
      <c r="AB5261" s="1"/>
      <c r="AC5261" s="1" t="s">
        <v>36</v>
      </c>
      <c r="AD5261" s="1" t="s">
        <v>17850</v>
      </c>
      <c r="AE5261" s="1" t="s">
        <v>32</v>
      </c>
      <c r="AF5261" s="1" t="s">
        <v>33</v>
      </c>
      <c r="AG5261" s="1" t="s">
        <v>180</v>
      </c>
    </row>
    <row r="5262" spans="1:33">
      <c r="A5262" t="s">
        <v>17851</v>
      </c>
      <c r="C5262" t="s">
        <v>16668</v>
      </c>
      <c r="E5262" t="s">
        <v>17332</v>
      </c>
      <c r="F5262" t="s">
        <v>16399</v>
      </c>
      <c r="G5262">
        <v>1.64</v>
      </c>
      <c r="H5262">
        <v>1.64</v>
      </c>
      <c r="I5262" t="s">
        <v>269</v>
      </c>
      <c r="J5262" t="s">
        <v>270</v>
      </c>
      <c r="K5262" t="s">
        <v>31</v>
      </c>
      <c r="L5262" t="s">
        <v>32</v>
      </c>
      <c r="M5262" t="s">
        <v>33</v>
      </c>
      <c r="P5262" s="1" t="s">
        <v>17852</v>
      </c>
      <c r="Q5262" s="1" t="s">
        <v>17332</v>
      </c>
      <c r="R5262" s="1" t="s">
        <v>17332</v>
      </c>
      <c r="S5262" s="1"/>
      <c r="T5262" s="1" t="s">
        <v>16670</v>
      </c>
      <c r="U5262" s="1" t="s">
        <v>16671</v>
      </c>
      <c r="V5262" s="1">
        <v>1.64</v>
      </c>
      <c r="W5262" s="1">
        <v>1.64</v>
      </c>
      <c r="X5262" s="1" t="s">
        <v>35</v>
      </c>
      <c r="Y5262" s="1">
        <v>1640000</v>
      </c>
      <c r="Z5262" s="1"/>
      <c r="AA5262" s="1">
        <v>1640000</v>
      </c>
      <c r="AB5262" s="1"/>
      <c r="AC5262" s="1" t="s">
        <v>36</v>
      </c>
      <c r="AD5262" s="1" t="s">
        <v>17853</v>
      </c>
      <c r="AE5262" s="1" t="s">
        <v>32</v>
      </c>
      <c r="AF5262" s="1" t="s">
        <v>33</v>
      </c>
      <c r="AG5262" s="1" t="s">
        <v>270</v>
      </c>
    </row>
    <row r="5263" spans="1:33">
      <c r="A5263" t="s">
        <v>17854</v>
      </c>
      <c r="B5263" t="s">
        <v>17855</v>
      </c>
      <c r="C5263" t="s">
        <v>172</v>
      </c>
      <c r="E5263" t="s">
        <v>17332</v>
      </c>
      <c r="F5263" t="s">
        <v>16399</v>
      </c>
      <c r="G5263">
        <v>50.97</v>
      </c>
      <c r="H5263">
        <v>50.97</v>
      </c>
      <c r="I5263" t="s">
        <v>173</v>
      </c>
      <c r="J5263" t="s">
        <v>174</v>
      </c>
      <c r="K5263" t="s">
        <v>31</v>
      </c>
      <c r="L5263" t="s">
        <v>32</v>
      </c>
      <c r="M5263" t="s">
        <v>33</v>
      </c>
      <c r="P5263" s="1" t="s">
        <v>17856</v>
      </c>
      <c r="Q5263" s="1" t="s">
        <v>17332</v>
      </c>
      <c r="R5263" s="1" t="s">
        <v>17332</v>
      </c>
      <c r="S5263" s="1"/>
      <c r="T5263" s="1" t="s">
        <v>172</v>
      </c>
      <c r="U5263" s="1"/>
      <c r="V5263" s="1">
        <v>50.97</v>
      </c>
      <c r="W5263" s="1">
        <v>50.97</v>
      </c>
      <c r="X5263" s="1" t="s">
        <v>35</v>
      </c>
      <c r="Y5263" s="1">
        <v>50970</v>
      </c>
      <c r="Z5263" s="1"/>
      <c r="AA5263" s="1">
        <v>50970</v>
      </c>
      <c r="AB5263" s="1"/>
      <c r="AC5263" s="1" t="s">
        <v>36</v>
      </c>
      <c r="AD5263" s="1" t="s">
        <v>17857</v>
      </c>
      <c r="AE5263" s="1" t="s">
        <v>32</v>
      </c>
      <c r="AF5263" s="1" t="s">
        <v>33</v>
      </c>
      <c r="AG5263" s="1" t="s">
        <v>174</v>
      </c>
    </row>
    <row r="5264" spans="1:33">
      <c r="A5264" t="s">
        <v>17858</v>
      </c>
      <c r="C5264" t="s">
        <v>17859</v>
      </c>
      <c r="E5264" t="s">
        <v>17332</v>
      </c>
      <c r="F5264" t="s">
        <v>16399</v>
      </c>
      <c r="G5264">
        <v>1.312</v>
      </c>
      <c r="H5264">
        <v>1.312</v>
      </c>
      <c r="I5264" t="s">
        <v>269</v>
      </c>
      <c r="J5264" t="s">
        <v>270</v>
      </c>
      <c r="K5264" t="s">
        <v>31</v>
      </c>
      <c r="L5264" t="s">
        <v>32</v>
      </c>
      <c r="M5264" t="s">
        <v>33</v>
      </c>
      <c r="P5264" s="1" t="s">
        <v>17860</v>
      </c>
      <c r="Q5264" s="1" t="s">
        <v>17332</v>
      </c>
      <c r="R5264" s="1" t="s">
        <v>17332</v>
      </c>
      <c r="S5264" s="1"/>
      <c r="T5264" s="1" t="s">
        <v>17859</v>
      </c>
      <c r="U5264" s="1"/>
      <c r="V5264" s="1">
        <v>1.312</v>
      </c>
      <c r="W5264" s="1">
        <v>1.312</v>
      </c>
      <c r="X5264" s="1" t="s">
        <v>35</v>
      </c>
      <c r="Y5264" s="1">
        <v>1312000</v>
      </c>
      <c r="Z5264" s="1"/>
      <c r="AA5264" s="1">
        <v>1312000</v>
      </c>
      <c r="AB5264" s="1"/>
      <c r="AC5264" s="1" t="s">
        <v>36</v>
      </c>
      <c r="AD5264" s="1" t="s">
        <v>17861</v>
      </c>
      <c r="AE5264" s="1" t="s">
        <v>32</v>
      </c>
      <c r="AF5264" s="1" t="s">
        <v>33</v>
      </c>
      <c r="AG5264" s="1" t="s">
        <v>270</v>
      </c>
    </row>
    <row r="5265" spans="1:33">
      <c r="A5265" t="s">
        <v>17862</v>
      </c>
      <c r="C5265" t="s">
        <v>2876</v>
      </c>
      <c r="E5265" t="s">
        <v>17332</v>
      </c>
      <c r="F5265" t="s">
        <v>16399</v>
      </c>
      <c r="G5265">
        <v>1.52</v>
      </c>
      <c r="H5265">
        <v>1.52</v>
      </c>
      <c r="I5265" t="s">
        <v>269</v>
      </c>
      <c r="J5265" t="s">
        <v>270</v>
      </c>
      <c r="K5265" t="s">
        <v>31</v>
      </c>
      <c r="L5265" t="s">
        <v>32</v>
      </c>
      <c r="M5265" t="s">
        <v>33</v>
      </c>
      <c r="P5265" s="1" t="s">
        <v>17863</v>
      </c>
      <c r="Q5265" s="1" t="s">
        <v>17332</v>
      </c>
      <c r="R5265" s="1" t="s">
        <v>17332</v>
      </c>
      <c r="S5265" s="1"/>
      <c r="T5265" s="1" t="s">
        <v>2876</v>
      </c>
      <c r="U5265" s="1"/>
      <c r="V5265" s="1">
        <v>1.52</v>
      </c>
      <c r="W5265" s="1">
        <v>1.52</v>
      </c>
      <c r="X5265" s="1" t="s">
        <v>35</v>
      </c>
      <c r="Y5265" s="1">
        <v>1520500</v>
      </c>
      <c r="Z5265" s="1"/>
      <c r="AA5265" s="1">
        <v>1520500</v>
      </c>
      <c r="AB5265" s="1"/>
      <c r="AC5265" s="1" t="s">
        <v>36</v>
      </c>
      <c r="AD5265" s="1" t="s">
        <v>17839</v>
      </c>
      <c r="AE5265" s="1" t="s">
        <v>32</v>
      </c>
      <c r="AF5265" s="1" t="s">
        <v>33</v>
      </c>
      <c r="AG5265" s="1" t="s">
        <v>270</v>
      </c>
    </row>
    <row r="5266" spans="1:33">
      <c r="A5266" t="s">
        <v>17864</v>
      </c>
      <c r="B5266" t="s">
        <v>17865</v>
      </c>
      <c r="C5266" t="s">
        <v>314</v>
      </c>
      <c r="E5266" t="s">
        <v>17332</v>
      </c>
      <c r="F5266" t="s">
        <v>16399</v>
      </c>
      <c r="G5266">
        <v>98.16</v>
      </c>
      <c r="H5266">
        <v>98.16</v>
      </c>
      <c r="I5266" t="s">
        <v>17818</v>
      </c>
      <c r="J5266" t="s">
        <v>180</v>
      </c>
      <c r="K5266" t="s">
        <v>31</v>
      </c>
      <c r="L5266" t="s">
        <v>32</v>
      </c>
      <c r="M5266" t="s">
        <v>33</v>
      </c>
      <c r="P5266" s="1" t="s">
        <v>17866</v>
      </c>
      <c r="Q5266" s="1" t="s">
        <v>17332</v>
      </c>
      <c r="R5266" s="1" t="s">
        <v>17332</v>
      </c>
      <c r="S5266" s="1"/>
      <c r="T5266" s="1" t="s">
        <v>314</v>
      </c>
      <c r="U5266" s="1"/>
      <c r="V5266" s="1">
        <v>98.16</v>
      </c>
      <c r="W5266" s="1">
        <v>98.16</v>
      </c>
      <c r="X5266" s="1" t="s">
        <v>35</v>
      </c>
      <c r="Y5266" s="1">
        <v>98160</v>
      </c>
      <c r="Z5266" s="1"/>
      <c r="AA5266" s="1">
        <v>98160</v>
      </c>
      <c r="AB5266" s="1"/>
      <c r="AC5266" s="1" t="s">
        <v>36</v>
      </c>
      <c r="AD5266" s="1" t="s">
        <v>17867</v>
      </c>
      <c r="AE5266" s="1" t="s">
        <v>32</v>
      </c>
      <c r="AF5266" s="1" t="s">
        <v>33</v>
      </c>
      <c r="AG5266" s="1" t="s">
        <v>180</v>
      </c>
    </row>
    <row r="5267" spans="1:33">
      <c r="A5267" t="s">
        <v>17868</v>
      </c>
      <c r="C5267" t="s">
        <v>2800</v>
      </c>
      <c r="D5267" t="s">
        <v>114</v>
      </c>
      <c r="E5267" t="s">
        <v>17332</v>
      </c>
      <c r="F5267" t="s">
        <v>16399</v>
      </c>
      <c r="G5267">
        <v>840.0</v>
      </c>
      <c r="H5267">
        <v>840.0</v>
      </c>
      <c r="I5267" t="s">
        <v>94</v>
      </c>
      <c r="J5267" t="s">
        <v>95</v>
      </c>
      <c r="K5267" t="s">
        <v>31</v>
      </c>
      <c r="L5267" t="s">
        <v>32</v>
      </c>
      <c r="M5267" t="s">
        <v>33</v>
      </c>
      <c r="P5267" s="1" t="s">
        <v>17869</v>
      </c>
      <c r="Q5267" s="1" t="s">
        <v>17332</v>
      </c>
      <c r="R5267" s="1" t="s">
        <v>17332</v>
      </c>
      <c r="S5267" s="1"/>
      <c r="T5267" s="1" t="s">
        <v>2800</v>
      </c>
      <c r="U5267" s="1"/>
      <c r="V5267" s="1">
        <v>840.0</v>
      </c>
      <c r="W5267" s="1">
        <v>840.0</v>
      </c>
      <c r="X5267" s="1" t="s">
        <v>35</v>
      </c>
      <c r="Y5267" s="1">
        <v>840000</v>
      </c>
      <c r="Z5267" s="1"/>
      <c r="AA5267" s="1">
        <v>840000</v>
      </c>
      <c r="AB5267" s="1"/>
      <c r="AC5267" s="1" t="s">
        <v>36</v>
      </c>
      <c r="AD5267" s="1" t="s">
        <v>17867</v>
      </c>
      <c r="AE5267" s="1" t="s">
        <v>32</v>
      </c>
      <c r="AF5267" s="1" t="s">
        <v>33</v>
      </c>
      <c r="AG5267" s="1" t="s">
        <v>95</v>
      </c>
    </row>
    <row r="5268" spans="1:33">
      <c r="A5268" t="s">
        <v>17870</v>
      </c>
      <c r="B5268" t="s">
        <v>17871</v>
      </c>
      <c r="C5268" t="s">
        <v>300</v>
      </c>
      <c r="E5268" t="s">
        <v>17332</v>
      </c>
      <c r="F5268" t="s">
        <v>16399</v>
      </c>
      <c r="G5268">
        <v>336.0</v>
      </c>
      <c r="H5268">
        <v>336.0</v>
      </c>
      <c r="I5268" t="s">
        <v>94</v>
      </c>
      <c r="J5268" t="s">
        <v>95</v>
      </c>
      <c r="K5268" t="s">
        <v>31</v>
      </c>
      <c r="L5268" t="s">
        <v>32</v>
      </c>
      <c r="M5268" t="s">
        <v>33</v>
      </c>
      <c r="P5268" s="1" t="s">
        <v>17872</v>
      </c>
      <c r="Q5268" s="1" t="s">
        <v>17332</v>
      </c>
      <c r="R5268" s="1" t="s">
        <v>17332</v>
      </c>
      <c r="S5268" s="1"/>
      <c r="T5268" s="1" t="s">
        <v>302</v>
      </c>
      <c r="U5268" s="1" t="s">
        <v>303</v>
      </c>
      <c r="V5268" s="1">
        <v>336.0</v>
      </c>
      <c r="W5268" s="1">
        <v>336.0</v>
      </c>
      <c r="X5268" s="1" t="s">
        <v>35</v>
      </c>
      <c r="Y5268" s="1">
        <v>336000</v>
      </c>
      <c r="Z5268" s="1"/>
      <c r="AA5268" s="1">
        <v>336000</v>
      </c>
      <c r="AB5268" s="1"/>
      <c r="AC5268" s="1" t="s">
        <v>36</v>
      </c>
      <c r="AD5268" s="1" t="s">
        <v>17873</v>
      </c>
      <c r="AE5268" s="1" t="s">
        <v>32</v>
      </c>
      <c r="AF5268" s="1" t="s">
        <v>33</v>
      </c>
      <c r="AG5268" s="1" t="s">
        <v>95</v>
      </c>
    </row>
    <row r="5269" spans="1:33">
      <c r="A5269" t="s">
        <v>17874</v>
      </c>
      <c r="B5269" t="s">
        <v>6376</v>
      </c>
      <c r="C5269" t="s">
        <v>1408</v>
      </c>
      <c r="E5269" t="s">
        <v>17332</v>
      </c>
      <c r="F5269" t="s">
        <v>16399</v>
      </c>
      <c r="G5269">
        <v>421.6</v>
      </c>
      <c r="H5269">
        <v>421.6</v>
      </c>
      <c r="I5269" t="s">
        <v>529</v>
      </c>
      <c r="J5269" t="s">
        <v>530</v>
      </c>
      <c r="K5269" t="s">
        <v>31</v>
      </c>
      <c r="L5269" t="s">
        <v>32</v>
      </c>
      <c r="M5269" t="s">
        <v>33</v>
      </c>
      <c r="P5269" s="1" t="s">
        <v>17875</v>
      </c>
      <c r="Q5269" s="1" t="s">
        <v>17332</v>
      </c>
      <c r="R5269" s="1" t="s">
        <v>16369</v>
      </c>
      <c r="S5269" s="1"/>
      <c r="T5269" s="1" t="s">
        <v>1408</v>
      </c>
      <c r="U5269" s="1"/>
      <c r="V5269" s="1">
        <v>421.6</v>
      </c>
      <c r="W5269" s="1">
        <v>421.6</v>
      </c>
      <c r="X5269" s="1" t="s">
        <v>35</v>
      </c>
      <c r="Y5269" s="1">
        <v>421600</v>
      </c>
      <c r="Z5269" s="1"/>
      <c r="AA5269" s="1">
        <v>421600</v>
      </c>
      <c r="AB5269" s="1"/>
      <c r="AC5269" s="1" t="s">
        <v>36</v>
      </c>
      <c r="AD5269" s="1" t="s">
        <v>17876</v>
      </c>
      <c r="AE5269" s="1" t="s">
        <v>32</v>
      </c>
      <c r="AF5269" s="1" t="s">
        <v>33</v>
      </c>
      <c r="AG5269" s="1" t="s">
        <v>530</v>
      </c>
    </row>
    <row r="5270" spans="1:33">
      <c r="A5270" t="s">
        <v>17877</v>
      </c>
      <c r="B5270" t="s">
        <v>1487</v>
      </c>
      <c r="C5270" t="s">
        <v>1488</v>
      </c>
      <c r="E5270" t="s">
        <v>17332</v>
      </c>
      <c r="F5270" t="s">
        <v>16399</v>
      </c>
      <c r="G5270">
        <v>7.03</v>
      </c>
      <c r="H5270">
        <v>7.03</v>
      </c>
      <c r="I5270" t="s">
        <v>40</v>
      </c>
      <c r="J5270" t="s">
        <v>41</v>
      </c>
      <c r="K5270" t="s">
        <v>31</v>
      </c>
      <c r="L5270" t="s">
        <v>32</v>
      </c>
      <c r="M5270" t="s">
        <v>33</v>
      </c>
      <c r="P5270" s="1" t="s">
        <v>17878</v>
      </c>
      <c r="Q5270" s="1" t="s">
        <v>17332</v>
      </c>
      <c r="R5270" s="1" t="s">
        <v>16369</v>
      </c>
      <c r="S5270" s="1"/>
      <c r="T5270" s="1" t="s">
        <v>1488</v>
      </c>
      <c r="U5270" s="1"/>
      <c r="V5270" s="1">
        <v>7.03</v>
      </c>
      <c r="W5270" s="1">
        <v>7.03</v>
      </c>
      <c r="X5270" s="1" t="s">
        <v>35</v>
      </c>
      <c r="Y5270" s="1">
        <v>7030000</v>
      </c>
      <c r="Z5270" s="1"/>
      <c r="AA5270" s="1">
        <v>7030000</v>
      </c>
      <c r="AB5270" s="1"/>
      <c r="AC5270" s="1" t="s">
        <v>36</v>
      </c>
      <c r="AD5270" s="1" t="s">
        <v>17879</v>
      </c>
      <c r="AE5270" s="1" t="s">
        <v>32</v>
      </c>
      <c r="AF5270" s="1" t="s">
        <v>33</v>
      </c>
      <c r="AG5270" s="1" t="s">
        <v>41</v>
      </c>
    </row>
    <row r="5271" spans="1:33">
      <c r="A5271" t="s">
        <v>17880</v>
      </c>
      <c r="C5271" t="s">
        <v>3696</v>
      </c>
      <c r="D5271" t="s">
        <v>114</v>
      </c>
      <c r="E5271" t="s">
        <v>17332</v>
      </c>
      <c r="F5271" t="s">
        <v>16399</v>
      </c>
      <c r="G5271">
        <v>25.65</v>
      </c>
      <c r="H5271">
        <v>25.65</v>
      </c>
      <c r="I5271" t="s">
        <v>40</v>
      </c>
      <c r="J5271" t="s">
        <v>41</v>
      </c>
      <c r="K5271" t="s">
        <v>31</v>
      </c>
      <c r="L5271" t="s">
        <v>32</v>
      </c>
      <c r="M5271" t="s">
        <v>33</v>
      </c>
      <c r="P5271" s="1" t="s">
        <v>17881</v>
      </c>
      <c r="Q5271" s="1" t="s">
        <v>17332</v>
      </c>
      <c r="R5271" s="1" t="s">
        <v>16369</v>
      </c>
      <c r="S5271" s="1"/>
      <c r="T5271" s="1" t="s">
        <v>3696</v>
      </c>
      <c r="U5271" s="1"/>
      <c r="V5271" s="1">
        <v>25.65</v>
      </c>
      <c r="W5271" s="1">
        <v>25.65</v>
      </c>
      <c r="X5271" s="1" t="s">
        <v>35</v>
      </c>
      <c r="Y5271" s="1">
        <v>25650</v>
      </c>
      <c r="Z5271" s="1"/>
      <c r="AA5271" s="1">
        <v>25650</v>
      </c>
      <c r="AB5271" s="1"/>
      <c r="AC5271" s="1" t="s">
        <v>36</v>
      </c>
      <c r="AD5271" s="1" t="s">
        <v>17720</v>
      </c>
      <c r="AE5271" s="1" t="s">
        <v>32</v>
      </c>
      <c r="AF5271" s="1" t="s">
        <v>33</v>
      </c>
      <c r="AG5271" s="1" t="s">
        <v>41</v>
      </c>
    </row>
    <row r="5272" spans="1:33">
      <c r="A5272" t="s">
        <v>17882</v>
      </c>
      <c r="B5272" t="s">
        <v>8650</v>
      </c>
      <c r="C5272" t="s">
        <v>39</v>
      </c>
      <c r="E5272" t="s">
        <v>17332</v>
      </c>
      <c r="F5272" t="s">
        <v>16399</v>
      </c>
      <c r="G5272">
        <v>1.92</v>
      </c>
      <c r="H5272">
        <v>1.92</v>
      </c>
      <c r="I5272" t="s">
        <v>40</v>
      </c>
      <c r="J5272" t="s">
        <v>41</v>
      </c>
      <c r="K5272" t="s">
        <v>31</v>
      </c>
      <c r="L5272" t="s">
        <v>32</v>
      </c>
      <c r="M5272" t="s">
        <v>33</v>
      </c>
      <c r="P5272" s="1" t="s">
        <v>17883</v>
      </c>
      <c r="Q5272" s="1" t="s">
        <v>17332</v>
      </c>
      <c r="R5272" s="1" t="s">
        <v>16369</v>
      </c>
      <c r="S5272" s="1"/>
      <c r="T5272" s="1" t="s">
        <v>39</v>
      </c>
      <c r="U5272" s="1"/>
      <c r="V5272" s="1">
        <v>1.92</v>
      </c>
      <c r="W5272" s="1">
        <v>1.92</v>
      </c>
      <c r="X5272" s="1" t="s">
        <v>35</v>
      </c>
      <c r="Y5272" s="1">
        <v>1920000</v>
      </c>
      <c r="Z5272" s="1"/>
      <c r="AA5272" s="1">
        <v>1920000</v>
      </c>
      <c r="AB5272" s="1"/>
      <c r="AC5272" s="1" t="s">
        <v>36</v>
      </c>
      <c r="AD5272" s="1" t="s">
        <v>17884</v>
      </c>
      <c r="AE5272" s="1" t="s">
        <v>32</v>
      </c>
      <c r="AF5272" s="1" t="s">
        <v>33</v>
      </c>
      <c r="AG5272" s="1" t="s">
        <v>41</v>
      </c>
    </row>
    <row r="5273" spans="1:33">
      <c r="A5273" t="s">
        <v>17885</v>
      </c>
      <c r="B5273" t="s">
        <v>17886</v>
      </c>
      <c r="C5273" t="s">
        <v>12240</v>
      </c>
      <c r="E5273" t="s">
        <v>17332</v>
      </c>
      <c r="F5273" t="s">
        <v>16399</v>
      </c>
      <c r="G5273">
        <v>31.75</v>
      </c>
      <c r="H5273">
        <v>31.75</v>
      </c>
      <c r="I5273" t="s">
        <v>136</v>
      </c>
      <c r="J5273" t="s">
        <v>137</v>
      </c>
      <c r="K5273" t="s">
        <v>31</v>
      </c>
      <c r="L5273" t="s">
        <v>32</v>
      </c>
      <c r="M5273" t="s">
        <v>33</v>
      </c>
      <c r="P5273" s="1" t="s">
        <v>17887</v>
      </c>
      <c r="Q5273" s="1" t="s">
        <v>17332</v>
      </c>
      <c r="R5273" s="1" t="s">
        <v>17332</v>
      </c>
      <c r="S5273" s="1"/>
      <c r="T5273" s="1" t="s">
        <v>12240</v>
      </c>
      <c r="U5273" s="1"/>
      <c r="V5273" s="1">
        <v>31.75</v>
      </c>
      <c r="W5273" s="1">
        <v>31.75</v>
      </c>
      <c r="X5273" s="1" t="s">
        <v>35</v>
      </c>
      <c r="Y5273" s="1">
        <v>31750</v>
      </c>
      <c r="Z5273" s="1"/>
      <c r="AA5273" s="1">
        <v>31750</v>
      </c>
      <c r="AB5273" s="1"/>
      <c r="AC5273" s="1" t="s">
        <v>36</v>
      </c>
      <c r="AD5273" s="1" t="s">
        <v>17888</v>
      </c>
      <c r="AE5273" s="1" t="s">
        <v>32</v>
      </c>
      <c r="AF5273" s="1" t="s">
        <v>33</v>
      </c>
      <c r="AG5273" s="1" t="s">
        <v>137</v>
      </c>
    </row>
    <row r="5274" spans="1:33">
      <c r="A5274" t="s">
        <v>17889</v>
      </c>
      <c r="B5274" t="s">
        <v>57</v>
      </c>
      <c r="C5274" t="s">
        <v>58</v>
      </c>
      <c r="E5274" t="s">
        <v>17332</v>
      </c>
      <c r="F5274" t="s">
        <v>16399</v>
      </c>
      <c r="G5274">
        <v>410.0</v>
      </c>
      <c r="H5274">
        <v>410.0</v>
      </c>
      <c r="I5274" t="s">
        <v>59</v>
      </c>
      <c r="J5274" t="s">
        <v>60</v>
      </c>
      <c r="K5274" t="s">
        <v>31</v>
      </c>
      <c r="L5274" t="s">
        <v>32</v>
      </c>
      <c r="M5274" t="s">
        <v>33</v>
      </c>
      <c r="P5274" s="1" t="s">
        <v>17890</v>
      </c>
      <c r="Q5274" s="1" t="s">
        <v>17332</v>
      </c>
      <c r="R5274" s="1" t="s">
        <v>17332</v>
      </c>
      <c r="S5274" s="1"/>
      <c r="T5274" s="1" t="s">
        <v>58</v>
      </c>
      <c r="U5274" s="1"/>
      <c r="V5274" s="1">
        <v>410.0</v>
      </c>
      <c r="W5274" s="1">
        <v>410.0</v>
      </c>
      <c r="X5274" s="1" t="s">
        <v>35</v>
      </c>
      <c r="Y5274" s="1">
        <v>410000</v>
      </c>
      <c r="Z5274" s="1"/>
      <c r="AA5274" s="1">
        <v>410000</v>
      </c>
      <c r="AB5274" s="1"/>
      <c r="AC5274" s="1" t="s">
        <v>36</v>
      </c>
      <c r="AD5274" s="1" t="s">
        <v>17774</v>
      </c>
      <c r="AE5274" s="1" t="s">
        <v>32</v>
      </c>
      <c r="AF5274" s="1" t="s">
        <v>33</v>
      </c>
      <c r="AG5274" s="1" t="s">
        <v>60</v>
      </c>
    </row>
    <row r="5275" spans="1:33">
      <c r="A5275" t="s">
        <v>17891</v>
      </c>
      <c r="C5275" t="s">
        <v>1053</v>
      </c>
      <c r="E5275" t="s">
        <v>17332</v>
      </c>
      <c r="F5275" t="s">
        <v>16399</v>
      </c>
      <c r="G5275">
        <v>1.222</v>
      </c>
      <c r="H5275">
        <v>1.222</v>
      </c>
      <c r="I5275" t="s">
        <v>17818</v>
      </c>
      <c r="J5275" t="s">
        <v>180</v>
      </c>
      <c r="K5275" t="s">
        <v>31</v>
      </c>
      <c r="L5275" t="s">
        <v>32</v>
      </c>
      <c r="M5275" t="s">
        <v>33</v>
      </c>
      <c r="P5275" s="1" t="s">
        <v>17892</v>
      </c>
      <c r="Q5275" s="1" t="s">
        <v>17332</v>
      </c>
      <c r="R5275" s="1" t="s">
        <v>17332</v>
      </c>
      <c r="S5275" s="1"/>
      <c r="T5275" s="1" t="s">
        <v>1053</v>
      </c>
      <c r="U5275" s="1"/>
      <c r="V5275" s="1">
        <v>1.222</v>
      </c>
      <c r="W5275" s="1">
        <v>1.222</v>
      </c>
      <c r="X5275" s="1" t="s">
        <v>35</v>
      </c>
      <c r="Y5275" s="1">
        <v>1222400</v>
      </c>
      <c r="Z5275" s="1"/>
      <c r="AA5275" s="1">
        <v>1222400</v>
      </c>
      <c r="AB5275" s="1"/>
      <c r="AC5275" s="1" t="s">
        <v>36</v>
      </c>
      <c r="AD5275" s="1" t="s">
        <v>17893</v>
      </c>
      <c r="AE5275" s="1" t="s">
        <v>32</v>
      </c>
      <c r="AF5275" s="1" t="s">
        <v>33</v>
      </c>
      <c r="AG5275" s="1" t="s">
        <v>180</v>
      </c>
    </row>
    <row r="5276" spans="1:33">
      <c r="A5276" t="s">
        <v>17894</v>
      </c>
      <c r="B5276" t="s">
        <v>17895</v>
      </c>
      <c r="C5276" t="s">
        <v>314</v>
      </c>
      <c r="E5276" t="s">
        <v>17332</v>
      </c>
      <c r="F5276" t="s">
        <v>16399</v>
      </c>
      <c r="G5276">
        <v>18.59</v>
      </c>
      <c r="H5276">
        <v>18.59</v>
      </c>
      <c r="I5276" t="s">
        <v>17818</v>
      </c>
      <c r="J5276" t="s">
        <v>180</v>
      </c>
      <c r="K5276" t="s">
        <v>31</v>
      </c>
      <c r="L5276" t="s">
        <v>32</v>
      </c>
      <c r="M5276" t="s">
        <v>33</v>
      </c>
      <c r="P5276" s="1" t="s">
        <v>17896</v>
      </c>
      <c r="Q5276" s="1" t="s">
        <v>17332</v>
      </c>
      <c r="R5276" s="1" t="s">
        <v>17332</v>
      </c>
      <c r="S5276" s="1"/>
      <c r="T5276" s="1" t="s">
        <v>314</v>
      </c>
      <c r="U5276" s="1"/>
      <c r="V5276" s="1">
        <v>18.59</v>
      </c>
      <c r="W5276" s="1">
        <v>18.59</v>
      </c>
      <c r="X5276" s="1" t="s">
        <v>35</v>
      </c>
      <c r="Y5276" s="1">
        <v>18590</v>
      </c>
      <c r="Z5276" s="1"/>
      <c r="AA5276" s="1">
        <v>18590</v>
      </c>
      <c r="AB5276" s="1"/>
      <c r="AC5276" s="1" t="s">
        <v>36</v>
      </c>
      <c r="AD5276" s="1" t="s">
        <v>17897</v>
      </c>
      <c r="AE5276" s="1" t="s">
        <v>32</v>
      </c>
      <c r="AF5276" s="1" t="s">
        <v>33</v>
      </c>
      <c r="AG5276" s="1" t="s">
        <v>180</v>
      </c>
    </row>
    <row r="5277" spans="1:33">
      <c r="A5277" t="s">
        <v>17898</v>
      </c>
      <c r="C5277" t="s">
        <v>11581</v>
      </c>
      <c r="E5277" t="s">
        <v>17332</v>
      </c>
      <c r="F5277" t="s">
        <v>16399</v>
      </c>
      <c r="G5277">
        <v>997.1</v>
      </c>
      <c r="H5277">
        <v>997.1</v>
      </c>
      <c r="I5277" t="s">
        <v>40</v>
      </c>
      <c r="J5277" t="s">
        <v>41</v>
      </c>
      <c r="K5277" t="s">
        <v>31</v>
      </c>
      <c r="L5277" t="s">
        <v>32</v>
      </c>
      <c r="M5277" t="s">
        <v>33</v>
      </c>
      <c r="P5277" s="1" t="s">
        <v>17899</v>
      </c>
      <c r="Q5277" s="1" t="s">
        <v>17332</v>
      </c>
      <c r="R5277" s="1" t="s">
        <v>16369</v>
      </c>
      <c r="S5277" s="1"/>
      <c r="T5277" s="1" t="s">
        <v>11581</v>
      </c>
      <c r="U5277" s="1"/>
      <c r="V5277" s="1">
        <v>997.1</v>
      </c>
      <c r="W5277" s="1">
        <v>997.1</v>
      </c>
      <c r="X5277" s="1" t="s">
        <v>35</v>
      </c>
      <c r="Y5277" s="1">
        <v>997100</v>
      </c>
      <c r="Z5277" s="1"/>
      <c r="AA5277" s="1">
        <v>997100</v>
      </c>
      <c r="AB5277" s="1"/>
      <c r="AC5277" s="1" t="s">
        <v>36</v>
      </c>
      <c r="AD5277" s="1" t="s">
        <v>17900</v>
      </c>
      <c r="AE5277" s="1" t="s">
        <v>32</v>
      </c>
      <c r="AF5277" s="1" t="s">
        <v>33</v>
      </c>
      <c r="AG5277" s="1" t="s">
        <v>41</v>
      </c>
    </row>
    <row r="5278" spans="1:33">
      <c r="A5278" t="s">
        <v>17901</v>
      </c>
      <c r="C5278" t="s">
        <v>806</v>
      </c>
      <c r="D5278" t="s">
        <v>154</v>
      </c>
      <c r="E5278" t="s">
        <v>17332</v>
      </c>
      <c r="F5278" t="s">
        <v>16399</v>
      </c>
      <c r="G5278">
        <v>656.0</v>
      </c>
      <c r="H5278">
        <v>656.0</v>
      </c>
      <c r="I5278" t="s">
        <v>269</v>
      </c>
      <c r="J5278" t="s">
        <v>270</v>
      </c>
      <c r="K5278" t="s">
        <v>31</v>
      </c>
      <c r="L5278" t="s">
        <v>32</v>
      </c>
      <c r="M5278" t="s">
        <v>33</v>
      </c>
      <c r="P5278" s="1" t="s">
        <v>17902</v>
      </c>
      <c r="Q5278" s="1" t="s">
        <v>17332</v>
      </c>
      <c r="R5278" s="1" t="s">
        <v>17332</v>
      </c>
      <c r="S5278" s="1"/>
      <c r="T5278" s="1" t="s">
        <v>806</v>
      </c>
      <c r="U5278" s="1"/>
      <c r="V5278" s="1">
        <v>656.0</v>
      </c>
      <c r="W5278" s="1">
        <v>656.0</v>
      </c>
      <c r="X5278" s="1" t="s">
        <v>35</v>
      </c>
      <c r="Y5278" s="1">
        <v>656000</v>
      </c>
      <c r="Z5278" s="1"/>
      <c r="AA5278" s="1">
        <v>656000</v>
      </c>
      <c r="AB5278" s="1"/>
      <c r="AC5278" s="1" t="s">
        <v>36</v>
      </c>
      <c r="AD5278" s="1" t="s">
        <v>17903</v>
      </c>
      <c r="AE5278" s="1" t="s">
        <v>32</v>
      </c>
      <c r="AF5278" s="1" t="s">
        <v>33</v>
      </c>
      <c r="AG5278" s="1" t="s">
        <v>270</v>
      </c>
    </row>
    <row r="5279" spans="1:33">
      <c r="A5279" t="s">
        <v>17904</v>
      </c>
      <c r="C5279" t="s">
        <v>4236</v>
      </c>
      <c r="E5279" t="s">
        <v>17332</v>
      </c>
      <c r="F5279" t="s">
        <v>16399</v>
      </c>
      <c r="G5279">
        <v>511.0</v>
      </c>
      <c r="H5279">
        <v>511.0</v>
      </c>
      <c r="I5279" t="s">
        <v>17818</v>
      </c>
      <c r="J5279" t="s">
        <v>180</v>
      </c>
      <c r="K5279" t="s">
        <v>31</v>
      </c>
      <c r="L5279" t="s">
        <v>32</v>
      </c>
      <c r="M5279" t="s">
        <v>33</v>
      </c>
      <c r="P5279" s="1" t="s">
        <v>17905</v>
      </c>
      <c r="Q5279" s="1" t="s">
        <v>17332</v>
      </c>
      <c r="R5279" s="1" t="s">
        <v>17332</v>
      </c>
      <c r="S5279" s="1"/>
      <c r="T5279" s="1" t="s">
        <v>4236</v>
      </c>
      <c r="U5279" s="1"/>
      <c r="V5279" s="1">
        <v>511.0</v>
      </c>
      <c r="W5279" s="1">
        <v>511.0</v>
      </c>
      <c r="X5279" s="1" t="s">
        <v>35</v>
      </c>
      <c r="Y5279" s="1">
        <v>511000</v>
      </c>
      <c r="Z5279" s="1"/>
      <c r="AA5279" s="1">
        <v>511000</v>
      </c>
      <c r="AB5279" s="1"/>
      <c r="AC5279" s="1" t="s">
        <v>36</v>
      </c>
      <c r="AD5279" s="1" t="s">
        <v>17906</v>
      </c>
      <c r="AE5279" s="1" t="s">
        <v>32</v>
      </c>
      <c r="AF5279" s="1" t="s">
        <v>33</v>
      </c>
      <c r="AG5279" s="1" t="s">
        <v>180</v>
      </c>
    </row>
    <row r="5280" spans="1:33">
      <c r="A5280" t="s">
        <v>17907</v>
      </c>
      <c r="C5280" t="s">
        <v>595</v>
      </c>
      <c r="E5280" t="s">
        <v>17332</v>
      </c>
      <c r="F5280" t="s">
        <v>16399</v>
      </c>
      <c r="G5280">
        <v>998.0</v>
      </c>
      <c r="H5280">
        <v>998.0</v>
      </c>
      <c r="I5280" t="s">
        <v>269</v>
      </c>
      <c r="J5280" t="s">
        <v>270</v>
      </c>
      <c r="K5280" t="s">
        <v>31</v>
      </c>
      <c r="L5280" t="s">
        <v>32</v>
      </c>
      <c r="M5280" t="s">
        <v>33</v>
      </c>
      <c r="P5280" s="1" t="s">
        <v>17908</v>
      </c>
      <c r="Q5280" s="1" t="s">
        <v>17332</v>
      </c>
      <c r="R5280" s="1" t="s">
        <v>17332</v>
      </c>
      <c r="S5280" s="1"/>
      <c r="T5280" s="1" t="s">
        <v>595</v>
      </c>
      <c r="U5280" s="1"/>
      <c r="V5280" s="1">
        <v>998.0</v>
      </c>
      <c r="W5280" s="1">
        <v>998.0</v>
      </c>
      <c r="X5280" s="1" t="s">
        <v>35</v>
      </c>
      <c r="Y5280" s="1">
        <v>998000</v>
      </c>
      <c r="Z5280" s="1"/>
      <c r="AA5280" s="1">
        <v>998000</v>
      </c>
      <c r="AB5280" s="1"/>
      <c r="AC5280" s="1" t="s">
        <v>36</v>
      </c>
      <c r="AD5280" s="1" t="s">
        <v>17909</v>
      </c>
      <c r="AE5280" s="1" t="s">
        <v>32</v>
      </c>
      <c r="AF5280" s="1" t="s">
        <v>33</v>
      </c>
      <c r="AG5280" s="1" t="s">
        <v>270</v>
      </c>
    </row>
    <row r="5281" spans="1:33">
      <c r="A5281" t="s">
        <v>17910</v>
      </c>
      <c r="B5281" t="s">
        <v>1560</v>
      </c>
      <c r="C5281" t="s">
        <v>1561</v>
      </c>
      <c r="D5281" t="s">
        <v>154</v>
      </c>
      <c r="E5281" t="s">
        <v>17332</v>
      </c>
      <c r="F5281" t="s">
        <v>16399</v>
      </c>
      <c r="G5281">
        <v>662.5</v>
      </c>
      <c r="H5281">
        <v>662.5</v>
      </c>
      <c r="I5281" t="s">
        <v>529</v>
      </c>
      <c r="J5281" t="s">
        <v>530</v>
      </c>
      <c r="K5281" t="s">
        <v>31</v>
      </c>
      <c r="L5281" t="s">
        <v>32</v>
      </c>
      <c r="M5281" t="s">
        <v>33</v>
      </c>
      <c r="P5281" s="1" t="s">
        <v>17911</v>
      </c>
      <c r="Q5281" s="1" t="s">
        <v>17332</v>
      </c>
      <c r="R5281" s="1" t="s">
        <v>16369</v>
      </c>
      <c r="S5281" s="1"/>
      <c r="T5281" s="1" t="s">
        <v>1564</v>
      </c>
      <c r="U5281" s="1" t="s">
        <v>1565</v>
      </c>
      <c r="V5281" s="1">
        <v>662.5</v>
      </c>
      <c r="W5281" s="1">
        <v>662.5</v>
      </c>
      <c r="X5281" s="1" t="s">
        <v>35</v>
      </c>
      <c r="Y5281" s="1">
        <v>662500</v>
      </c>
      <c r="Z5281" s="1"/>
      <c r="AA5281" s="1">
        <v>662500</v>
      </c>
      <c r="AB5281" s="1"/>
      <c r="AC5281" s="1" t="s">
        <v>36</v>
      </c>
      <c r="AD5281" s="1" t="s">
        <v>17912</v>
      </c>
      <c r="AE5281" s="1" t="s">
        <v>32</v>
      </c>
      <c r="AF5281" s="1" t="s">
        <v>33</v>
      </c>
      <c r="AG5281" s="1" t="s">
        <v>530</v>
      </c>
    </row>
    <row r="5282" spans="1:33">
      <c r="A5282" t="s">
        <v>17913</v>
      </c>
      <c r="C5282" t="s">
        <v>2747</v>
      </c>
      <c r="E5282" t="s">
        <v>17332</v>
      </c>
      <c r="F5282" t="s">
        <v>16399</v>
      </c>
      <c r="G5282">
        <v>1.64</v>
      </c>
      <c r="H5282">
        <v>1.64</v>
      </c>
      <c r="I5282" t="s">
        <v>269</v>
      </c>
      <c r="J5282" t="s">
        <v>270</v>
      </c>
      <c r="K5282" t="s">
        <v>31</v>
      </c>
      <c r="L5282" t="s">
        <v>32</v>
      </c>
      <c r="M5282" t="s">
        <v>33</v>
      </c>
      <c r="P5282" s="1" t="s">
        <v>17914</v>
      </c>
      <c r="Q5282" s="1" t="s">
        <v>17332</v>
      </c>
      <c r="R5282" s="1" t="s">
        <v>17332</v>
      </c>
      <c r="S5282" s="1"/>
      <c r="T5282" s="1" t="s">
        <v>2747</v>
      </c>
      <c r="U5282" s="1"/>
      <c r="V5282" s="1">
        <v>1.64</v>
      </c>
      <c r="W5282" s="1">
        <v>1.64</v>
      </c>
      <c r="X5282" s="1" t="s">
        <v>35</v>
      </c>
      <c r="Y5282" s="1">
        <v>1640000</v>
      </c>
      <c r="Z5282" s="1"/>
      <c r="AA5282" s="1">
        <v>1640000</v>
      </c>
      <c r="AB5282" s="1"/>
      <c r="AC5282" s="1" t="s">
        <v>36</v>
      </c>
      <c r="AD5282" s="1" t="s">
        <v>17915</v>
      </c>
      <c r="AE5282" s="1" t="s">
        <v>32</v>
      </c>
      <c r="AF5282" s="1" t="s">
        <v>33</v>
      </c>
      <c r="AG5282" s="1" t="s">
        <v>270</v>
      </c>
    </row>
    <row r="5283" spans="1:33">
      <c r="A5283" t="s">
        <v>17916</v>
      </c>
      <c r="B5283" t="s">
        <v>17917</v>
      </c>
      <c r="C5283" t="s">
        <v>47</v>
      </c>
      <c r="E5283" t="s">
        <v>17332</v>
      </c>
      <c r="F5283" t="s">
        <v>16399</v>
      </c>
      <c r="G5283">
        <v>61.825</v>
      </c>
      <c r="H5283">
        <v>61.825</v>
      </c>
      <c r="I5283" t="s">
        <v>2206</v>
      </c>
      <c r="J5283" t="s">
        <v>49</v>
      </c>
      <c r="K5283" t="s">
        <v>31</v>
      </c>
      <c r="L5283" t="s">
        <v>32</v>
      </c>
      <c r="M5283" t="s">
        <v>33</v>
      </c>
      <c r="P5283" s="1" t="s">
        <v>17918</v>
      </c>
      <c r="Q5283" s="1" t="s">
        <v>17332</v>
      </c>
      <c r="R5283" s="1" t="s">
        <v>17332</v>
      </c>
      <c r="S5283" s="1"/>
      <c r="T5283" s="1" t="s">
        <v>47</v>
      </c>
      <c r="U5283" s="1"/>
      <c r="V5283" s="1">
        <v>61.825</v>
      </c>
      <c r="W5283" s="1">
        <v>61.825</v>
      </c>
      <c r="X5283" s="1" t="s">
        <v>35</v>
      </c>
      <c r="Y5283" s="1">
        <v>61825</v>
      </c>
      <c r="Z5283" s="1"/>
      <c r="AA5283" s="1">
        <v>61825</v>
      </c>
      <c r="AB5283" s="1"/>
      <c r="AC5283" s="1" t="s">
        <v>36</v>
      </c>
      <c r="AD5283" s="1" t="s">
        <v>17919</v>
      </c>
      <c r="AE5283" s="1" t="s">
        <v>32</v>
      </c>
      <c r="AF5283" s="1" t="s">
        <v>33</v>
      </c>
      <c r="AG5283" s="1" t="s">
        <v>49</v>
      </c>
    </row>
    <row r="5284" spans="1:33">
      <c r="A5284" t="s">
        <v>17920</v>
      </c>
      <c r="C5284" t="s">
        <v>1079</v>
      </c>
      <c r="D5284" t="s">
        <v>114</v>
      </c>
      <c r="E5284" t="s">
        <v>17332</v>
      </c>
      <c r="F5284" t="s">
        <v>16399</v>
      </c>
      <c r="G5284">
        <v>3.502</v>
      </c>
      <c r="H5284">
        <v>3.502</v>
      </c>
      <c r="I5284" t="s">
        <v>269</v>
      </c>
      <c r="J5284" t="s">
        <v>270</v>
      </c>
      <c r="K5284" t="s">
        <v>31</v>
      </c>
      <c r="L5284" t="s">
        <v>32</v>
      </c>
      <c r="M5284" t="s">
        <v>33</v>
      </c>
      <c r="P5284" s="1" t="s">
        <v>17921</v>
      </c>
      <c r="Q5284" s="1" t="s">
        <v>17332</v>
      </c>
      <c r="R5284" s="1" t="s">
        <v>17332</v>
      </c>
      <c r="S5284" s="1"/>
      <c r="T5284" s="1" t="s">
        <v>1079</v>
      </c>
      <c r="U5284" s="1"/>
      <c r="V5284" s="1">
        <v>3.502</v>
      </c>
      <c r="W5284" s="1">
        <v>3.502</v>
      </c>
      <c r="X5284" s="1" t="s">
        <v>35</v>
      </c>
      <c r="Y5284" s="1">
        <v>3502000</v>
      </c>
      <c r="Z5284" s="1"/>
      <c r="AA5284" s="1">
        <v>3502000</v>
      </c>
      <c r="AB5284" s="1"/>
      <c r="AC5284" s="1" t="s">
        <v>36</v>
      </c>
      <c r="AD5284" s="1" t="s">
        <v>17912</v>
      </c>
      <c r="AE5284" s="1" t="s">
        <v>32</v>
      </c>
      <c r="AF5284" s="1" t="s">
        <v>33</v>
      </c>
      <c r="AG5284" s="1" t="s">
        <v>270</v>
      </c>
    </row>
    <row r="5285" spans="1:33">
      <c r="A5285" t="s">
        <v>17922</v>
      </c>
      <c r="B5285" t="s">
        <v>17923</v>
      </c>
      <c r="C5285" t="s">
        <v>17924</v>
      </c>
      <c r="E5285" t="s">
        <v>17332</v>
      </c>
      <c r="F5285" t="s">
        <v>16399</v>
      </c>
      <c r="G5285">
        <v>336.0</v>
      </c>
      <c r="H5285">
        <v>336.0</v>
      </c>
      <c r="I5285" t="s">
        <v>94</v>
      </c>
      <c r="J5285" t="s">
        <v>95</v>
      </c>
      <c r="K5285" t="s">
        <v>31</v>
      </c>
      <c r="L5285" t="s">
        <v>32</v>
      </c>
      <c r="M5285" t="s">
        <v>33</v>
      </c>
      <c r="P5285" s="1" t="s">
        <v>17925</v>
      </c>
      <c r="Q5285" s="1" t="s">
        <v>17332</v>
      </c>
      <c r="R5285" s="1" t="s">
        <v>17332</v>
      </c>
      <c r="S5285" s="1"/>
      <c r="T5285" s="1" t="s">
        <v>17924</v>
      </c>
      <c r="U5285" s="1"/>
      <c r="V5285" s="1">
        <v>336.0</v>
      </c>
      <c r="W5285" s="1">
        <v>336.0</v>
      </c>
      <c r="X5285" s="1" t="s">
        <v>35</v>
      </c>
      <c r="Y5285" s="1">
        <v>336000</v>
      </c>
      <c r="Z5285" s="1"/>
      <c r="AA5285" s="1">
        <v>336000</v>
      </c>
      <c r="AB5285" s="1"/>
      <c r="AC5285" s="1" t="s">
        <v>36</v>
      </c>
      <c r="AD5285" s="1" t="s">
        <v>17926</v>
      </c>
      <c r="AE5285" s="1" t="s">
        <v>32</v>
      </c>
      <c r="AF5285" s="1" t="s">
        <v>33</v>
      </c>
      <c r="AG5285" s="1" t="s">
        <v>95</v>
      </c>
    </row>
    <row r="5286" spans="1:33">
      <c r="A5286" t="s">
        <v>17927</v>
      </c>
      <c r="B5286" t="s">
        <v>13237</v>
      </c>
      <c r="C5286" t="s">
        <v>172</v>
      </c>
      <c r="E5286" t="s">
        <v>17332</v>
      </c>
      <c r="F5286" t="s">
        <v>16399</v>
      </c>
      <c r="G5286">
        <v>20.99</v>
      </c>
      <c r="H5286">
        <v>20.99</v>
      </c>
      <c r="I5286" t="s">
        <v>173</v>
      </c>
      <c r="J5286" t="s">
        <v>174</v>
      </c>
      <c r="K5286" t="s">
        <v>31</v>
      </c>
      <c r="L5286" t="s">
        <v>32</v>
      </c>
      <c r="M5286" t="s">
        <v>33</v>
      </c>
      <c r="P5286" s="1" t="s">
        <v>17928</v>
      </c>
      <c r="Q5286" s="1" t="s">
        <v>17332</v>
      </c>
      <c r="R5286" s="1" t="s">
        <v>17332</v>
      </c>
      <c r="S5286" s="1"/>
      <c r="T5286" s="1" t="s">
        <v>172</v>
      </c>
      <c r="U5286" s="1"/>
      <c r="V5286" s="1">
        <v>20.99</v>
      </c>
      <c r="W5286" s="1">
        <v>20.99</v>
      </c>
      <c r="X5286" s="1" t="s">
        <v>35</v>
      </c>
      <c r="Y5286" s="1">
        <v>20990</v>
      </c>
      <c r="Z5286" s="1"/>
      <c r="AA5286" s="1">
        <v>20990</v>
      </c>
      <c r="AB5286" s="1"/>
      <c r="AC5286" s="1" t="s">
        <v>36</v>
      </c>
      <c r="AD5286" s="1" t="s">
        <v>17929</v>
      </c>
      <c r="AE5286" s="1" t="s">
        <v>32</v>
      </c>
      <c r="AF5286" s="1" t="s">
        <v>33</v>
      </c>
      <c r="AG5286" s="1" t="s">
        <v>174</v>
      </c>
    </row>
    <row r="5287" spans="1:33">
      <c r="A5287" t="s">
        <v>17930</v>
      </c>
      <c r="C5287" t="s">
        <v>73</v>
      </c>
      <c r="E5287" t="s">
        <v>17332</v>
      </c>
      <c r="F5287" t="s">
        <v>16399</v>
      </c>
      <c r="G5287">
        <v>18.49</v>
      </c>
      <c r="H5287">
        <v>18.49</v>
      </c>
      <c r="I5287" t="s">
        <v>40</v>
      </c>
      <c r="J5287" t="s">
        <v>41</v>
      </c>
      <c r="K5287" t="s">
        <v>31</v>
      </c>
      <c r="L5287" t="s">
        <v>32</v>
      </c>
      <c r="M5287" t="s">
        <v>33</v>
      </c>
      <c r="P5287" s="1" t="s">
        <v>17931</v>
      </c>
      <c r="Q5287" s="1" t="s">
        <v>17332</v>
      </c>
      <c r="R5287" s="1" t="s">
        <v>16369</v>
      </c>
      <c r="S5287" s="1"/>
      <c r="T5287" s="1" t="s">
        <v>75</v>
      </c>
      <c r="U5287" s="1" t="s">
        <v>76</v>
      </c>
      <c r="V5287" s="1">
        <v>18.49</v>
      </c>
      <c r="W5287" s="1">
        <v>18.49</v>
      </c>
      <c r="X5287" s="1" t="s">
        <v>35</v>
      </c>
      <c r="Y5287" s="1">
        <v>18490</v>
      </c>
      <c r="Z5287" s="1"/>
      <c r="AA5287" s="1">
        <v>18490</v>
      </c>
      <c r="AB5287" s="1"/>
      <c r="AC5287" s="1" t="s">
        <v>36</v>
      </c>
      <c r="AD5287" s="1" t="s">
        <v>17932</v>
      </c>
      <c r="AE5287" s="1" t="s">
        <v>32</v>
      </c>
      <c r="AF5287" s="1" t="s">
        <v>33</v>
      </c>
      <c r="AG5287" s="1" t="s">
        <v>41</v>
      </c>
    </row>
    <row r="5288" spans="1:33">
      <c r="A5288" t="s">
        <v>17933</v>
      </c>
      <c r="B5288" t="s">
        <v>17934</v>
      </c>
      <c r="C5288" t="s">
        <v>17935</v>
      </c>
      <c r="E5288" t="s">
        <v>17332</v>
      </c>
      <c r="F5288" t="s">
        <v>16399</v>
      </c>
      <c r="G5288">
        <v>966.0</v>
      </c>
      <c r="H5288">
        <v>966.0</v>
      </c>
      <c r="I5288" t="s">
        <v>529</v>
      </c>
      <c r="J5288" t="s">
        <v>530</v>
      </c>
      <c r="K5288" t="s">
        <v>31</v>
      </c>
      <c r="L5288" t="s">
        <v>32</v>
      </c>
      <c r="M5288" t="s">
        <v>33</v>
      </c>
      <c r="P5288" s="1" t="s">
        <v>17936</v>
      </c>
      <c r="Q5288" s="1" t="s">
        <v>17332</v>
      </c>
      <c r="R5288" s="1" t="s">
        <v>16369</v>
      </c>
      <c r="S5288" s="1"/>
      <c r="T5288" s="1" t="s">
        <v>17935</v>
      </c>
      <c r="U5288" s="1"/>
      <c r="V5288" s="1">
        <v>966.0</v>
      </c>
      <c r="W5288" s="1">
        <v>966.0</v>
      </c>
      <c r="X5288" s="1" t="s">
        <v>35</v>
      </c>
      <c r="Y5288" s="1">
        <v>966000</v>
      </c>
      <c r="Z5288" s="1"/>
      <c r="AA5288" s="1">
        <v>966000</v>
      </c>
      <c r="AB5288" s="1"/>
      <c r="AC5288" s="1" t="s">
        <v>36</v>
      </c>
      <c r="AD5288" s="1" t="s">
        <v>17932</v>
      </c>
      <c r="AE5288" s="1" t="s">
        <v>32</v>
      </c>
      <c r="AF5288" s="1" t="s">
        <v>33</v>
      </c>
      <c r="AG5288" s="1" t="s">
        <v>530</v>
      </c>
    </row>
    <row r="5289" spans="1:33">
      <c r="A5289" t="s">
        <v>17937</v>
      </c>
      <c r="B5289" t="s">
        <v>17938</v>
      </c>
      <c r="C5289" t="s">
        <v>172</v>
      </c>
      <c r="E5289" t="s">
        <v>17332</v>
      </c>
      <c r="F5289" t="s">
        <v>16399</v>
      </c>
      <c r="G5289">
        <v>58.86</v>
      </c>
      <c r="H5289">
        <v>58.86</v>
      </c>
      <c r="I5289" t="s">
        <v>173</v>
      </c>
      <c r="J5289" t="s">
        <v>174</v>
      </c>
      <c r="K5289" t="s">
        <v>31</v>
      </c>
      <c r="L5289" t="s">
        <v>32</v>
      </c>
      <c r="M5289" t="s">
        <v>33</v>
      </c>
      <c r="P5289" s="1" t="s">
        <v>17939</v>
      </c>
      <c r="Q5289" s="1" t="s">
        <v>17332</v>
      </c>
      <c r="R5289" s="1" t="s">
        <v>17332</v>
      </c>
      <c r="S5289" s="1"/>
      <c r="T5289" s="1" t="s">
        <v>172</v>
      </c>
      <c r="U5289" s="1"/>
      <c r="V5289" s="1">
        <v>58.86</v>
      </c>
      <c r="W5289" s="1">
        <v>58.86</v>
      </c>
      <c r="X5289" s="1" t="s">
        <v>35</v>
      </c>
      <c r="Y5289" s="1">
        <v>58860</v>
      </c>
      <c r="Z5289" s="1"/>
      <c r="AA5289" s="1">
        <v>58860</v>
      </c>
      <c r="AB5289" s="1"/>
      <c r="AC5289" s="1" t="s">
        <v>36</v>
      </c>
      <c r="AD5289" s="1" t="s">
        <v>17932</v>
      </c>
      <c r="AE5289" s="1" t="s">
        <v>32</v>
      </c>
      <c r="AF5289" s="1" t="s">
        <v>33</v>
      </c>
      <c r="AG5289" s="1" t="s">
        <v>174</v>
      </c>
    </row>
    <row r="5290" spans="1:33">
      <c r="A5290" t="s">
        <v>17940</v>
      </c>
      <c r="B5290" t="s">
        <v>16706</v>
      </c>
      <c r="C5290" t="s">
        <v>268</v>
      </c>
      <c r="E5290" t="s">
        <v>17332</v>
      </c>
      <c r="F5290" t="s">
        <v>16399</v>
      </c>
      <c r="G5290">
        <v>16.9</v>
      </c>
      <c r="H5290">
        <v>16.9</v>
      </c>
      <c r="I5290" t="s">
        <v>269</v>
      </c>
      <c r="J5290" t="s">
        <v>270</v>
      </c>
      <c r="K5290" t="s">
        <v>31</v>
      </c>
      <c r="L5290" t="s">
        <v>32</v>
      </c>
      <c r="M5290" t="s">
        <v>33</v>
      </c>
      <c r="P5290" s="1" t="s">
        <v>17941</v>
      </c>
      <c r="Q5290" s="1" t="s">
        <v>17332</v>
      </c>
      <c r="R5290" s="1" t="s">
        <v>17332</v>
      </c>
      <c r="S5290" s="1"/>
      <c r="T5290" s="1" t="s">
        <v>268</v>
      </c>
      <c r="U5290" s="1"/>
      <c r="V5290" s="1">
        <v>16.9</v>
      </c>
      <c r="W5290" s="1">
        <v>16.9</v>
      </c>
      <c r="X5290" s="1" t="s">
        <v>35</v>
      </c>
      <c r="Y5290" s="1">
        <v>16900</v>
      </c>
      <c r="Z5290" s="1"/>
      <c r="AA5290" s="1">
        <v>16900</v>
      </c>
      <c r="AB5290" s="1"/>
      <c r="AC5290" s="1" t="s">
        <v>36</v>
      </c>
      <c r="AD5290" s="1" t="s">
        <v>17942</v>
      </c>
      <c r="AE5290" s="1" t="s">
        <v>32</v>
      </c>
      <c r="AF5290" s="1" t="s">
        <v>33</v>
      </c>
      <c r="AG5290" s="1" t="s">
        <v>270</v>
      </c>
    </row>
    <row r="5291" spans="1:33">
      <c r="A5291" t="s">
        <v>17943</v>
      </c>
      <c r="B5291" t="s">
        <v>17944</v>
      </c>
      <c r="C5291" t="s">
        <v>47</v>
      </c>
      <c r="E5291" t="s">
        <v>17332</v>
      </c>
      <c r="F5291" t="s">
        <v>16399</v>
      </c>
      <c r="G5291">
        <v>46.28</v>
      </c>
      <c r="H5291">
        <v>46.28</v>
      </c>
      <c r="I5291" t="s">
        <v>2206</v>
      </c>
      <c r="J5291" t="s">
        <v>49</v>
      </c>
      <c r="K5291" t="s">
        <v>31</v>
      </c>
      <c r="L5291" t="s">
        <v>32</v>
      </c>
      <c r="M5291" t="s">
        <v>33</v>
      </c>
      <c r="P5291" s="1" t="s">
        <v>17945</v>
      </c>
      <c r="Q5291" s="1" t="s">
        <v>17332</v>
      </c>
      <c r="R5291" s="1" t="s">
        <v>17332</v>
      </c>
      <c r="S5291" s="1"/>
      <c r="T5291" s="1" t="s">
        <v>47</v>
      </c>
      <c r="U5291" s="1"/>
      <c r="V5291" s="1">
        <v>46.28</v>
      </c>
      <c r="W5291" s="1">
        <v>46.28</v>
      </c>
      <c r="X5291" s="1" t="s">
        <v>35</v>
      </c>
      <c r="Y5291" s="1">
        <v>46280</v>
      </c>
      <c r="Z5291" s="1"/>
      <c r="AA5291" s="1">
        <v>46280</v>
      </c>
      <c r="AB5291" s="1"/>
      <c r="AC5291" s="1" t="s">
        <v>36</v>
      </c>
      <c r="AD5291" s="1" t="s">
        <v>17946</v>
      </c>
      <c r="AE5291" s="1" t="s">
        <v>32</v>
      </c>
      <c r="AF5291" s="1" t="s">
        <v>33</v>
      </c>
      <c r="AG5291" s="1" t="s">
        <v>49</v>
      </c>
    </row>
    <row r="5292" spans="1:33">
      <c r="A5292" t="s">
        <v>17947</v>
      </c>
      <c r="C5292" t="s">
        <v>2371</v>
      </c>
      <c r="E5292" t="s">
        <v>17332</v>
      </c>
      <c r="F5292" t="s">
        <v>16399</v>
      </c>
      <c r="G5292">
        <v>3.36</v>
      </c>
      <c r="H5292">
        <v>3.36</v>
      </c>
      <c r="I5292" t="s">
        <v>570</v>
      </c>
      <c r="J5292" t="s">
        <v>571</v>
      </c>
      <c r="K5292" t="s">
        <v>31</v>
      </c>
      <c r="L5292" t="s">
        <v>32</v>
      </c>
      <c r="M5292" t="s">
        <v>33</v>
      </c>
      <c r="P5292" s="1" t="s">
        <v>17948</v>
      </c>
      <c r="Q5292" s="1" t="s">
        <v>17332</v>
      </c>
      <c r="R5292" s="1" t="s">
        <v>17332</v>
      </c>
      <c r="S5292" s="1"/>
      <c r="T5292" s="1" t="s">
        <v>2371</v>
      </c>
      <c r="U5292" s="1"/>
      <c r="V5292" s="1">
        <v>3.36</v>
      </c>
      <c r="W5292" s="1">
        <v>3.36</v>
      </c>
      <c r="X5292" s="1" t="s">
        <v>35</v>
      </c>
      <c r="Y5292" s="1">
        <v>3360000</v>
      </c>
      <c r="Z5292" s="1"/>
      <c r="AA5292" s="1">
        <v>3360000</v>
      </c>
      <c r="AB5292" s="1"/>
      <c r="AC5292" s="1" t="s">
        <v>36</v>
      </c>
      <c r="AD5292" s="1" t="s">
        <v>17949</v>
      </c>
      <c r="AE5292" s="1" t="s">
        <v>32</v>
      </c>
      <c r="AF5292" s="1" t="s">
        <v>33</v>
      </c>
      <c r="AG5292" s="1" t="s">
        <v>571</v>
      </c>
    </row>
    <row r="5293" spans="1:33">
      <c r="A5293" t="s">
        <v>17950</v>
      </c>
      <c r="B5293" t="s">
        <v>17886</v>
      </c>
      <c r="C5293" t="s">
        <v>268</v>
      </c>
      <c r="E5293" t="s">
        <v>17332</v>
      </c>
      <c r="F5293" t="s">
        <v>16399</v>
      </c>
      <c r="G5293">
        <v>199.95</v>
      </c>
      <c r="H5293">
        <v>199.95</v>
      </c>
      <c r="I5293" t="s">
        <v>269</v>
      </c>
      <c r="J5293" t="s">
        <v>270</v>
      </c>
      <c r="K5293" t="s">
        <v>31</v>
      </c>
      <c r="L5293" t="s">
        <v>32</v>
      </c>
      <c r="M5293" t="s">
        <v>33</v>
      </c>
      <c r="P5293" s="1" t="s">
        <v>17951</v>
      </c>
      <c r="Q5293" s="1" t="s">
        <v>17332</v>
      </c>
      <c r="R5293" s="1" t="s">
        <v>17332</v>
      </c>
      <c r="S5293" s="1"/>
      <c r="T5293" s="1" t="s">
        <v>268</v>
      </c>
      <c r="U5293" s="1"/>
      <c r="V5293" s="1">
        <v>199.95</v>
      </c>
      <c r="W5293" s="1">
        <v>199.95</v>
      </c>
      <c r="X5293" s="1" t="s">
        <v>35</v>
      </c>
      <c r="Y5293" s="1">
        <v>199950</v>
      </c>
      <c r="Z5293" s="1"/>
      <c r="AA5293" s="1">
        <v>199950</v>
      </c>
      <c r="AB5293" s="1"/>
      <c r="AC5293" s="1" t="s">
        <v>36</v>
      </c>
      <c r="AD5293" s="1" t="s">
        <v>17952</v>
      </c>
      <c r="AE5293" s="1" t="s">
        <v>32</v>
      </c>
      <c r="AF5293" s="1" t="s">
        <v>33</v>
      </c>
      <c r="AG5293" s="1" t="s">
        <v>270</v>
      </c>
    </row>
    <row r="5294" spans="1:33">
      <c r="A5294" t="s">
        <v>17953</v>
      </c>
      <c r="C5294" t="s">
        <v>1732</v>
      </c>
      <c r="E5294" t="s">
        <v>17332</v>
      </c>
      <c r="F5294" t="s">
        <v>16399</v>
      </c>
      <c r="G5294">
        <v>336.0</v>
      </c>
      <c r="H5294">
        <v>336.0</v>
      </c>
      <c r="I5294" t="s">
        <v>94</v>
      </c>
      <c r="J5294" t="s">
        <v>95</v>
      </c>
      <c r="K5294" t="s">
        <v>31</v>
      </c>
      <c r="L5294" t="s">
        <v>32</v>
      </c>
      <c r="M5294" t="s">
        <v>33</v>
      </c>
      <c r="P5294" s="1" t="s">
        <v>17954</v>
      </c>
      <c r="Q5294" s="1" t="s">
        <v>17332</v>
      </c>
      <c r="R5294" s="1" t="s">
        <v>17332</v>
      </c>
      <c r="S5294" s="1"/>
      <c r="T5294" s="1" t="s">
        <v>1732</v>
      </c>
      <c r="U5294" s="1"/>
      <c r="V5294" s="1">
        <v>336.0</v>
      </c>
      <c r="W5294" s="1">
        <v>336.0</v>
      </c>
      <c r="X5294" s="1" t="s">
        <v>35</v>
      </c>
      <c r="Y5294" s="1">
        <v>336000</v>
      </c>
      <c r="Z5294" s="1"/>
      <c r="AA5294" s="1">
        <v>336000</v>
      </c>
      <c r="AB5294" s="1"/>
      <c r="AC5294" s="1" t="s">
        <v>36</v>
      </c>
      <c r="AD5294" s="1" t="s">
        <v>17955</v>
      </c>
      <c r="AE5294" s="1" t="s">
        <v>32</v>
      </c>
      <c r="AF5294" s="1" t="s">
        <v>33</v>
      </c>
      <c r="AG5294" s="1" t="s">
        <v>95</v>
      </c>
    </row>
    <row r="5295" spans="1:33">
      <c r="A5295" t="s">
        <v>17956</v>
      </c>
      <c r="C5295" t="s">
        <v>17957</v>
      </c>
      <c r="D5295" t="s">
        <v>114</v>
      </c>
      <c r="E5295" t="s">
        <v>17332</v>
      </c>
      <c r="F5295" t="s">
        <v>16399</v>
      </c>
      <c r="G5295">
        <v>336.0</v>
      </c>
      <c r="H5295">
        <v>336.0</v>
      </c>
      <c r="I5295" t="s">
        <v>2206</v>
      </c>
      <c r="J5295" t="s">
        <v>49</v>
      </c>
      <c r="K5295" t="s">
        <v>31</v>
      </c>
      <c r="L5295" t="s">
        <v>32</v>
      </c>
      <c r="M5295" t="s">
        <v>33</v>
      </c>
      <c r="P5295" s="1" t="s">
        <v>17958</v>
      </c>
      <c r="Q5295" s="1" t="s">
        <v>17332</v>
      </c>
      <c r="R5295" s="1" t="s">
        <v>17332</v>
      </c>
      <c r="S5295" s="1"/>
      <c r="T5295" s="1" t="s">
        <v>17959</v>
      </c>
      <c r="U5295" s="1" t="s">
        <v>17960</v>
      </c>
      <c r="V5295" s="1">
        <v>336.0</v>
      </c>
      <c r="W5295" s="1">
        <v>336.0</v>
      </c>
      <c r="X5295" s="1" t="s">
        <v>35</v>
      </c>
      <c r="Y5295" s="1">
        <v>336000</v>
      </c>
      <c r="Z5295" s="1"/>
      <c r="AA5295" s="1">
        <v>336000</v>
      </c>
      <c r="AB5295" s="1"/>
      <c r="AC5295" s="1" t="s">
        <v>36</v>
      </c>
      <c r="AD5295" s="1" t="s">
        <v>17961</v>
      </c>
      <c r="AE5295" s="1" t="s">
        <v>32</v>
      </c>
      <c r="AF5295" s="1" t="s">
        <v>33</v>
      </c>
      <c r="AG5295" s="1" t="s">
        <v>49</v>
      </c>
    </row>
    <row r="5296" spans="1:33">
      <c r="A5296" t="s">
        <v>17962</v>
      </c>
      <c r="C5296" t="s">
        <v>575</v>
      </c>
      <c r="E5296" t="s">
        <v>17332</v>
      </c>
      <c r="F5296" t="s">
        <v>16399</v>
      </c>
      <c r="G5296">
        <v>336.0</v>
      </c>
      <c r="H5296">
        <v>336.0</v>
      </c>
      <c r="I5296" t="s">
        <v>94</v>
      </c>
      <c r="J5296" t="s">
        <v>95</v>
      </c>
      <c r="K5296" t="s">
        <v>31</v>
      </c>
      <c r="L5296" t="s">
        <v>32</v>
      </c>
      <c r="M5296" t="s">
        <v>33</v>
      </c>
      <c r="P5296" s="1" t="s">
        <v>17963</v>
      </c>
      <c r="Q5296" s="1" t="s">
        <v>17332</v>
      </c>
      <c r="R5296" s="1" t="s">
        <v>17332</v>
      </c>
      <c r="S5296" s="1"/>
      <c r="T5296" s="1" t="s">
        <v>575</v>
      </c>
      <c r="U5296" s="1"/>
      <c r="V5296" s="1">
        <v>336.0</v>
      </c>
      <c r="W5296" s="1">
        <v>336.0</v>
      </c>
      <c r="X5296" s="1" t="s">
        <v>35</v>
      </c>
      <c r="Y5296" s="1">
        <v>336000</v>
      </c>
      <c r="Z5296" s="1"/>
      <c r="AA5296" s="1">
        <v>336000</v>
      </c>
      <c r="AB5296" s="1"/>
      <c r="AC5296" s="1" t="s">
        <v>36</v>
      </c>
      <c r="AD5296" s="1" t="s">
        <v>17964</v>
      </c>
      <c r="AE5296" s="1" t="s">
        <v>32</v>
      </c>
      <c r="AF5296" s="1" t="s">
        <v>33</v>
      </c>
      <c r="AG5296" s="1" t="s">
        <v>95</v>
      </c>
    </row>
    <row r="5297" spans="1:33">
      <c r="A5297" t="s">
        <v>17965</v>
      </c>
      <c r="C5297" t="s">
        <v>3482</v>
      </c>
      <c r="E5297" t="s">
        <v>17332</v>
      </c>
      <c r="F5297" t="s">
        <v>16399</v>
      </c>
      <c r="G5297">
        <v>1.662</v>
      </c>
      <c r="H5297">
        <v>1.662</v>
      </c>
      <c r="I5297" t="s">
        <v>17818</v>
      </c>
      <c r="J5297" t="s">
        <v>180</v>
      </c>
      <c r="K5297" t="s">
        <v>31</v>
      </c>
      <c r="L5297" t="s">
        <v>32</v>
      </c>
      <c r="M5297" t="s">
        <v>33</v>
      </c>
      <c r="P5297" s="1" t="s">
        <v>17966</v>
      </c>
      <c r="Q5297" s="1" t="s">
        <v>17332</v>
      </c>
      <c r="R5297" s="1" t="s">
        <v>17332</v>
      </c>
      <c r="S5297" s="1"/>
      <c r="T5297" s="1" t="s">
        <v>3482</v>
      </c>
      <c r="U5297" s="1"/>
      <c r="V5297" s="1">
        <v>1.662</v>
      </c>
      <c r="W5297" s="1">
        <v>1.662</v>
      </c>
      <c r="X5297" s="1" t="s">
        <v>35</v>
      </c>
      <c r="Y5297" s="1">
        <v>1662400</v>
      </c>
      <c r="Z5297" s="1"/>
      <c r="AA5297" s="1">
        <v>1662400</v>
      </c>
      <c r="AB5297" s="1"/>
      <c r="AC5297" s="1" t="s">
        <v>36</v>
      </c>
      <c r="AD5297" s="1" t="s">
        <v>17909</v>
      </c>
      <c r="AE5297" s="1" t="s">
        <v>32</v>
      </c>
      <c r="AF5297" s="1" t="s">
        <v>33</v>
      </c>
      <c r="AG5297" s="1" t="s">
        <v>180</v>
      </c>
    </row>
    <row r="5298" spans="1:33">
      <c r="A5298" t="s">
        <v>17967</v>
      </c>
      <c r="B5298" t="s">
        <v>17968</v>
      </c>
      <c r="C5298" t="s">
        <v>172</v>
      </c>
      <c r="E5298" t="s">
        <v>17332</v>
      </c>
      <c r="F5298" t="s">
        <v>16399</v>
      </c>
      <c r="G5298">
        <v>5.04</v>
      </c>
      <c r="H5298">
        <v>5.04</v>
      </c>
      <c r="I5298" t="s">
        <v>173</v>
      </c>
      <c r="J5298" t="s">
        <v>174</v>
      </c>
      <c r="K5298" t="s">
        <v>31</v>
      </c>
      <c r="L5298" t="s">
        <v>32</v>
      </c>
      <c r="M5298" t="s">
        <v>33</v>
      </c>
      <c r="P5298" s="1" t="s">
        <v>17969</v>
      </c>
      <c r="Q5298" s="1" t="s">
        <v>17332</v>
      </c>
      <c r="R5298" s="1" t="s">
        <v>17332</v>
      </c>
      <c r="S5298" s="1"/>
      <c r="T5298" s="1" t="s">
        <v>172</v>
      </c>
      <c r="U5298" s="1"/>
      <c r="V5298" s="1">
        <v>5.04</v>
      </c>
      <c r="W5298" s="1">
        <v>5.04</v>
      </c>
      <c r="X5298" s="1" t="s">
        <v>35</v>
      </c>
      <c r="Y5298" s="1">
        <v>5040</v>
      </c>
      <c r="Z5298" s="1"/>
      <c r="AA5298" s="1">
        <v>5040</v>
      </c>
      <c r="AB5298" s="1"/>
      <c r="AC5298" s="1" t="s">
        <v>36</v>
      </c>
      <c r="AD5298" s="1" t="s">
        <v>17942</v>
      </c>
      <c r="AE5298" s="1" t="s">
        <v>32</v>
      </c>
      <c r="AF5298" s="1" t="s">
        <v>33</v>
      </c>
      <c r="AG5298" s="1" t="s">
        <v>174</v>
      </c>
    </row>
    <row r="5299" spans="1:33">
      <c r="A5299" t="s">
        <v>17970</v>
      </c>
      <c r="C5299" t="s">
        <v>113</v>
      </c>
      <c r="D5299" t="s">
        <v>114</v>
      </c>
      <c r="E5299" t="s">
        <v>17332</v>
      </c>
      <c r="F5299" t="s">
        <v>16399</v>
      </c>
      <c r="G5299">
        <v>420.0</v>
      </c>
      <c r="H5299">
        <v>420.0</v>
      </c>
      <c r="I5299" t="s">
        <v>2206</v>
      </c>
      <c r="J5299" t="s">
        <v>49</v>
      </c>
      <c r="K5299" t="s">
        <v>31</v>
      </c>
      <c r="L5299" t="s">
        <v>32</v>
      </c>
      <c r="M5299" t="s">
        <v>33</v>
      </c>
      <c r="P5299" s="1" t="s">
        <v>17971</v>
      </c>
      <c r="Q5299" s="1" t="s">
        <v>17332</v>
      </c>
      <c r="R5299" s="1" t="s">
        <v>17332</v>
      </c>
      <c r="S5299" s="1"/>
      <c r="T5299" s="1" t="s">
        <v>116</v>
      </c>
      <c r="U5299" s="1" t="s">
        <v>117</v>
      </c>
      <c r="V5299" s="1">
        <v>420.0</v>
      </c>
      <c r="W5299" s="1">
        <v>420.0</v>
      </c>
      <c r="X5299" s="1" t="s">
        <v>35</v>
      </c>
      <c r="Y5299" s="1">
        <v>420000</v>
      </c>
      <c r="Z5299" s="1"/>
      <c r="AA5299" s="1">
        <v>420000</v>
      </c>
      <c r="AB5299" s="1"/>
      <c r="AC5299" s="1" t="s">
        <v>36</v>
      </c>
      <c r="AD5299" s="1" t="s">
        <v>17972</v>
      </c>
      <c r="AE5299" s="1" t="s">
        <v>32</v>
      </c>
      <c r="AF5299" s="1" t="s">
        <v>33</v>
      </c>
      <c r="AG5299" s="1" t="s">
        <v>49</v>
      </c>
    </row>
    <row r="5300" spans="1:33">
      <c r="A5300" t="s">
        <v>17973</v>
      </c>
      <c r="C5300" t="s">
        <v>17974</v>
      </c>
      <c r="E5300" t="s">
        <v>17332</v>
      </c>
      <c r="F5300" t="s">
        <v>16399</v>
      </c>
      <c r="G5300">
        <v>602.5</v>
      </c>
      <c r="H5300">
        <v>602.5</v>
      </c>
      <c r="I5300" t="s">
        <v>173</v>
      </c>
      <c r="J5300" t="s">
        <v>174</v>
      </c>
      <c r="K5300" t="s">
        <v>31</v>
      </c>
      <c r="L5300" t="s">
        <v>32</v>
      </c>
      <c r="M5300" t="s">
        <v>33</v>
      </c>
      <c r="P5300" s="1" t="s">
        <v>17975</v>
      </c>
      <c r="Q5300" s="1" t="s">
        <v>17332</v>
      </c>
      <c r="R5300" s="1" t="s">
        <v>17332</v>
      </c>
      <c r="S5300" s="1"/>
      <c r="T5300" s="1" t="s">
        <v>17974</v>
      </c>
      <c r="U5300" s="1"/>
      <c r="V5300" s="1">
        <v>602.5</v>
      </c>
      <c r="W5300" s="1">
        <v>602.5</v>
      </c>
      <c r="X5300" s="1" t="s">
        <v>35</v>
      </c>
      <c r="Y5300" s="1">
        <v>602500</v>
      </c>
      <c r="Z5300" s="1"/>
      <c r="AA5300" s="1">
        <v>602500</v>
      </c>
      <c r="AB5300" s="1"/>
      <c r="AC5300" s="1" t="s">
        <v>36</v>
      </c>
      <c r="AD5300" s="1" t="s">
        <v>17952</v>
      </c>
      <c r="AE5300" s="1" t="s">
        <v>32</v>
      </c>
      <c r="AF5300" s="1" t="s">
        <v>33</v>
      </c>
      <c r="AG5300" s="1" t="s">
        <v>174</v>
      </c>
    </row>
    <row r="5301" spans="1:33">
      <c r="A5301" t="s">
        <v>17976</v>
      </c>
      <c r="B5301" t="s">
        <v>17977</v>
      </c>
      <c r="C5301" t="s">
        <v>68</v>
      </c>
      <c r="E5301" t="s">
        <v>17332</v>
      </c>
      <c r="F5301" t="s">
        <v>16399</v>
      </c>
      <c r="G5301">
        <v>27.911</v>
      </c>
      <c r="H5301">
        <v>27.911</v>
      </c>
      <c r="I5301" t="s">
        <v>59</v>
      </c>
      <c r="J5301" t="s">
        <v>60</v>
      </c>
      <c r="K5301" t="s">
        <v>31</v>
      </c>
      <c r="L5301" t="s">
        <v>32</v>
      </c>
      <c r="M5301" t="s">
        <v>33</v>
      </c>
      <c r="P5301" s="1" t="s">
        <v>17978</v>
      </c>
      <c r="Q5301" s="1" t="s">
        <v>17332</v>
      </c>
      <c r="R5301" s="1" t="s">
        <v>17332</v>
      </c>
      <c r="S5301" s="1"/>
      <c r="T5301" s="1" t="s">
        <v>68</v>
      </c>
      <c r="U5301" s="1"/>
      <c r="V5301" s="1">
        <v>27.911</v>
      </c>
      <c r="W5301" s="1">
        <v>27.911</v>
      </c>
      <c r="X5301" s="1" t="s">
        <v>35</v>
      </c>
      <c r="Y5301" s="1">
        <v>27911</v>
      </c>
      <c r="Z5301" s="1"/>
      <c r="AA5301" s="1">
        <v>27911</v>
      </c>
      <c r="AB5301" s="1"/>
      <c r="AC5301" s="1" t="s">
        <v>36</v>
      </c>
      <c r="AD5301" s="1" t="s">
        <v>17952</v>
      </c>
      <c r="AE5301" s="1" t="s">
        <v>32</v>
      </c>
      <c r="AF5301" s="1" t="s">
        <v>33</v>
      </c>
      <c r="AG5301" s="1" t="s">
        <v>60</v>
      </c>
    </row>
    <row r="5302" spans="1:33">
      <c r="A5302" t="s">
        <v>17979</v>
      </c>
      <c r="C5302" t="s">
        <v>1285</v>
      </c>
      <c r="E5302" t="s">
        <v>17332</v>
      </c>
      <c r="F5302" t="s">
        <v>16399</v>
      </c>
      <c r="G5302">
        <v>1.105</v>
      </c>
      <c r="H5302">
        <v>1.105</v>
      </c>
      <c r="I5302" t="s">
        <v>173</v>
      </c>
      <c r="J5302" t="s">
        <v>174</v>
      </c>
      <c r="K5302" t="s">
        <v>31</v>
      </c>
      <c r="L5302" t="s">
        <v>32</v>
      </c>
      <c r="M5302" t="s">
        <v>33</v>
      </c>
      <c r="P5302" s="1" t="s">
        <v>17980</v>
      </c>
      <c r="Q5302" s="1" t="s">
        <v>17332</v>
      </c>
      <c r="R5302" s="1" t="s">
        <v>17332</v>
      </c>
      <c r="S5302" s="1"/>
      <c r="T5302" s="1" t="s">
        <v>1285</v>
      </c>
      <c r="U5302" s="1"/>
      <c r="V5302" s="1">
        <v>1.105</v>
      </c>
      <c r="W5302" s="1">
        <v>1.105</v>
      </c>
      <c r="X5302" s="1" t="s">
        <v>35</v>
      </c>
      <c r="Y5302" s="1">
        <v>1105000</v>
      </c>
      <c r="Z5302" s="1"/>
      <c r="AA5302" s="1">
        <v>1105000</v>
      </c>
      <c r="AB5302" s="1"/>
      <c r="AC5302" s="1" t="s">
        <v>36</v>
      </c>
      <c r="AD5302" s="1" t="s">
        <v>17955</v>
      </c>
      <c r="AE5302" s="1" t="s">
        <v>32</v>
      </c>
      <c r="AF5302" s="1" t="s">
        <v>33</v>
      </c>
      <c r="AG5302" s="1" t="s">
        <v>174</v>
      </c>
    </row>
    <row r="5303" spans="1:33">
      <c r="A5303" t="s">
        <v>17981</v>
      </c>
      <c r="B5303" t="s">
        <v>4853</v>
      </c>
      <c r="C5303" t="s">
        <v>1298</v>
      </c>
      <c r="E5303" t="s">
        <v>17332</v>
      </c>
      <c r="F5303" t="s">
        <v>16399</v>
      </c>
      <c r="G5303">
        <v>52.17</v>
      </c>
      <c r="H5303">
        <v>52.17</v>
      </c>
      <c r="I5303" t="s">
        <v>529</v>
      </c>
      <c r="J5303" t="s">
        <v>530</v>
      </c>
      <c r="K5303" t="s">
        <v>31</v>
      </c>
      <c r="L5303" t="s">
        <v>32</v>
      </c>
      <c r="M5303" t="s">
        <v>33</v>
      </c>
      <c r="P5303" s="1" t="s">
        <v>17982</v>
      </c>
      <c r="Q5303" s="1" t="s">
        <v>17332</v>
      </c>
      <c r="R5303" s="1" t="s">
        <v>16369</v>
      </c>
      <c r="S5303" s="1"/>
      <c r="T5303" s="1" t="s">
        <v>1298</v>
      </c>
      <c r="U5303" s="1"/>
      <c r="V5303" s="1">
        <v>52.17</v>
      </c>
      <c r="W5303" s="1">
        <v>52.17</v>
      </c>
      <c r="X5303" s="1" t="s">
        <v>35</v>
      </c>
      <c r="Y5303" s="1">
        <v>52170</v>
      </c>
      <c r="Z5303" s="1"/>
      <c r="AA5303" s="1">
        <v>52170</v>
      </c>
      <c r="AB5303" s="1"/>
      <c r="AC5303" s="1" t="s">
        <v>36</v>
      </c>
      <c r="AD5303" s="1" t="s">
        <v>17983</v>
      </c>
      <c r="AE5303" s="1" t="s">
        <v>32</v>
      </c>
      <c r="AF5303" s="1" t="s">
        <v>33</v>
      </c>
      <c r="AG5303" s="1" t="s">
        <v>530</v>
      </c>
    </row>
    <row r="5304" spans="1:33">
      <c r="A5304" t="s">
        <v>17984</v>
      </c>
      <c r="B5304" t="s">
        <v>4143</v>
      </c>
      <c r="C5304" t="s">
        <v>68</v>
      </c>
      <c r="E5304" t="s">
        <v>17332</v>
      </c>
      <c r="F5304" t="s">
        <v>16399</v>
      </c>
      <c r="G5304">
        <v>22.79</v>
      </c>
      <c r="H5304">
        <v>22.79</v>
      </c>
      <c r="I5304" t="s">
        <v>59</v>
      </c>
      <c r="J5304" t="s">
        <v>60</v>
      </c>
      <c r="K5304" t="s">
        <v>31</v>
      </c>
      <c r="L5304" t="s">
        <v>32</v>
      </c>
      <c r="M5304" t="s">
        <v>33</v>
      </c>
      <c r="P5304" s="1" t="s">
        <v>17985</v>
      </c>
      <c r="Q5304" s="1" t="s">
        <v>17332</v>
      </c>
      <c r="R5304" s="1" t="s">
        <v>17332</v>
      </c>
      <c r="S5304" s="1"/>
      <c r="T5304" s="1" t="s">
        <v>68</v>
      </c>
      <c r="U5304" s="1"/>
      <c r="V5304" s="1">
        <v>22.79</v>
      </c>
      <c r="W5304" s="1">
        <v>22.79</v>
      </c>
      <c r="X5304" s="1" t="s">
        <v>35</v>
      </c>
      <c r="Y5304" s="1">
        <v>22790</v>
      </c>
      <c r="Z5304" s="1"/>
      <c r="AA5304" s="1">
        <v>22790</v>
      </c>
      <c r="AB5304" s="1"/>
      <c r="AC5304" s="1" t="s">
        <v>36</v>
      </c>
      <c r="AD5304" s="1" t="s">
        <v>17955</v>
      </c>
      <c r="AE5304" s="1" t="s">
        <v>32</v>
      </c>
      <c r="AF5304" s="1" t="s">
        <v>33</v>
      </c>
      <c r="AG5304" s="1" t="s">
        <v>60</v>
      </c>
    </row>
    <row r="5305" spans="1:33">
      <c r="A5305" t="s">
        <v>17986</v>
      </c>
      <c r="C5305" t="s">
        <v>1912</v>
      </c>
      <c r="E5305" t="s">
        <v>17332</v>
      </c>
      <c r="F5305" t="s">
        <v>16399</v>
      </c>
      <c r="G5305">
        <v>399.0</v>
      </c>
      <c r="H5305">
        <v>399.0</v>
      </c>
      <c r="I5305" t="s">
        <v>173</v>
      </c>
      <c r="J5305" t="s">
        <v>174</v>
      </c>
      <c r="K5305" t="s">
        <v>31</v>
      </c>
      <c r="L5305" t="s">
        <v>32</v>
      </c>
      <c r="M5305" t="s">
        <v>33</v>
      </c>
      <c r="P5305" s="1" t="s">
        <v>17987</v>
      </c>
      <c r="Q5305" s="1" t="s">
        <v>17332</v>
      </c>
      <c r="R5305" s="1" t="s">
        <v>17332</v>
      </c>
      <c r="S5305" s="1"/>
      <c r="T5305" s="1" t="s">
        <v>1912</v>
      </c>
      <c r="U5305" s="1"/>
      <c r="V5305" s="1">
        <v>399.0</v>
      </c>
      <c r="W5305" s="1">
        <v>399.0</v>
      </c>
      <c r="X5305" s="1" t="s">
        <v>35</v>
      </c>
      <c r="Y5305" s="1">
        <v>399000</v>
      </c>
      <c r="Z5305" s="1"/>
      <c r="AA5305" s="1">
        <v>399000</v>
      </c>
      <c r="AB5305" s="1"/>
      <c r="AC5305" s="1" t="s">
        <v>36</v>
      </c>
      <c r="AD5305" s="1" t="s">
        <v>17988</v>
      </c>
      <c r="AE5305" s="1" t="s">
        <v>32</v>
      </c>
      <c r="AF5305" s="1" t="s">
        <v>33</v>
      </c>
      <c r="AG5305" s="1" t="s">
        <v>174</v>
      </c>
    </row>
    <row r="5306" spans="1:33">
      <c r="A5306" t="s">
        <v>17989</v>
      </c>
      <c r="C5306" t="s">
        <v>2216</v>
      </c>
      <c r="E5306" t="s">
        <v>17332</v>
      </c>
      <c r="F5306" t="s">
        <v>16399</v>
      </c>
      <c r="G5306">
        <v>656.0</v>
      </c>
      <c r="H5306">
        <v>656.0</v>
      </c>
      <c r="I5306" t="s">
        <v>227</v>
      </c>
      <c r="J5306" t="s">
        <v>228</v>
      </c>
      <c r="K5306" t="s">
        <v>31</v>
      </c>
      <c r="L5306" t="s">
        <v>32</v>
      </c>
      <c r="M5306" t="s">
        <v>33</v>
      </c>
      <c r="P5306" s="1" t="s">
        <v>17990</v>
      </c>
      <c r="Q5306" s="1" t="s">
        <v>17332</v>
      </c>
      <c r="R5306" s="1" t="s">
        <v>17332</v>
      </c>
      <c r="S5306" s="1"/>
      <c r="T5306" s="1" t="s">
        <v>2216</v>
      </c>
      <c r="U5306" s="1"/>
      <c r="V5306" s="1">
        <v>656.0</v>
      </c>
      <c r="W5306" s="1">
        <v>656.0</v>
      </c>
      <c r="X5306" s="1" t="s">
        <v>35</v>
      </c>
      <c r="Y5306" s="1">
        <v>656000</v>
      </c>
      <c r="Z5306" s="1"/>
      <c r="AA5306" s="1">
        <v>656000</v>
      </c>
      <c r="AB5306" s="1"/>
      <c r="AC5306" s="1" t="s">
        <v>36</v>
      </c>
      <c r="AD5306" s="1" t="s">
        <v>17991</v>
      </c>
      <c r="AE5306" s="1" t="s">
        <v>32</v>
      </c>
      <c r="AF5306" s="1" t="s">
        <v>33</v>
      </c>
      <c r="AG5306" s="1" t="s">
        <v>228</v>
      </c>
    </row>
    <row r="5307" spans="1:33">
      <c r="A5307" t="s">
        <v>17992</v>
      </c>
      <c r="C5307" t="s">
        <v>569</v>
      </c>
      <c r="E5307" t="s">
        <v>17332</v>
      </c>
      <c r="F5307" t="s">
        <v>16399</v>
      </c>
      <c r="G5307">
        <v>21.99</v>
      </c>
      <c r="H5307">
        <v>21.99</v>
      </c>
      <c r="I5307" t="s">
        <v>570</v>
      </c>
      <c r="J5307" t="s">
        <v>571</v>
      </c>
      <c r="K5307" t="s">
        <v>31</v>
      </c>
      <c r="L5307" t="s">
        <v>32</v>
      </c>
      <c r="M5307" t="s">
        <v>33</v>
      </c>
      <c r="P5307" s="1" t="s">
        <v>17993</v>
      </c>
      <c r="Q5307" s="1" t="s">
        <v>17332</v>
      </c>
      <c r="R5307" s="1" t="s">
        <v>17332</v>
      </c>
      <c r="S5307" s="1"/>
      <c r="T5307" s="1" t="s">
        <v>569</v>
      </c>
      <c r="U5307" s="1"/>
      <c r="V5307" s="1">
        <v>21.99</v>
      </c>
      <c r="W5307" s="1">
        <v>21.99</v>
      </c>
      <c r="X5307" s="1" t="s">
        <v>35</v>
      </c>
      <c r="Y5307" s="1">
        <v>22000</v>
      </c>
      <c r="Z5307" s="1">
        <v>-10</v>
      </c>
      <c r="AA5307" s="1">
        <v>22000</v>
      </c>
      <c r="AB5307" s="1">
        <v>-10</v>
      </c>
      <c r="AC5307" s="1" t="s">
        <v>36</v>
      </c>
      <c r="AD5307" s="1" t="s">
        <v>17955</v>
      </c>
      <c r="AE5307" s="1" t="s">
        <v>32</v>
      </c>
      <c r="AF5307" s="1" t="s">
        <v>33</v>
      </c>
      <c r="AG5307" s="1" t="s">
        <v>571</v>
      </c>
    </row>
    <row r="5308" spans="1:33">
      <c r="A5308" t="s">
        <v>17994</v>
      </c>
      <c r="B5308" t="s">
        <v>14968</v>
      </c>
      <c r="C5308" t="s">
        <v>14969</v>
      </c>
      <c r="E5308" t="s">
        <v>17332</v>
      </c>
      <c r="F5308" t="s">
        <v>16399</v>
      </c>
      <c r="G5308">
        <v>656.0</v>
      </c>
      <c r="H5308">
        <v>656.0</v>
      </c>
      <c r="I5308" t="s">
        <v>529</v>
      </c>
      <c r="J5308" t="s">
        <v>530</v>
      </c>
      <c r="K5308" t="s">
        <v>31</v>
      </c>
      <c r="L5308" t="s">
        <v>32</v>
      </c>
      <c r="M5308" t="s">
        <v>33</v>
      </c>
      <c r="P5308" s="1" t="s">
        <v>17995</v>
      </c>
      <c r="Q5308" s="1" t="s">
        <v>17332</v>
      </c>
      <c r="R5308" s="1" t="s">
        <v>16369</v>
      </c>
      <c r="S5308" s="1"/>
      <c r="T5308" s="1" t="s">
        <v>14969</v>
      </c>
      <c r="U5308" s="1"/>
      <c r="V5308" s="1">
        <v>656.0</v>
      </c>
      <c r="W5308" s="1">
        <v>656.0</v>
      </c>
      <c r="X5308" s="1" t="s">
        <v>35</v>
      </c>
      <c r="Y5308" s="1">
        <v>656000</v>
      </c>
      <c r="Z5308" s="1"/>
      <c r="AA5308" s="1">
        <v>656000</v>
      </c>
      <c r="AB5308" s="1"/>
      <c r="AC5308" s="1" t="s">
        <v>36</v>
      </c>
      <c r="AD5308" s="1" t="s">
        <v>17996</v>
      </c>
      <c r="AE5308" s="1" t="s">
        <v>32</v>
      </c>
      <c r="AF5308" s="1" t="s">
        <v>33</v>
      </c>
      <c r="AG5308" s="1" t="s">
        <v>530</v>
      </c>
    </row>
    <row r="5309" spans="1:33">
      <c r="A5309" t="s">
        <v>17997</v>
      </c>
      <c r="B5309" t="s">
        <v>17998</v>
      </c>
      <c r="C5309" t="s">
        <v>47</v>
      </c>
      <c r="E5309" t="s">
        <v>17332</v>
      </c>
      <c r="F5309" t="s">
        <v>16399</v>
      </c>
      <c r="G5309">
        <v>235.0</v>
      </c>
      <c r="H5309">
        <v>235.0</v>
      </c>
      <c r="I5309" t="s">
        <v>2206</v>
      </c>
      <c r="J5309" t="s">
        <v>49</v>
      </c>
      <c r="K5309" t="s">
        <v>31</v>
      </c>
      <c r="L5309" t="s">
        <v>32</v>
      </c>
      <c r="M5309" t="s">
        <v>33</v>
      </c>
      <c r="P5309" s="1" t="s">
        <v>17999</v>
      </c>
      <c r="Q5309" s="1" t="s">
        <v>17332</v>
      </c>
      <c r="R5309" s="1" t="s">
        <v>17332</v>
      </c>
      <c r="S5309" s="1"/>
      <c r="T5309" s="1" t="s">
        <v>47</v>
      </c>
      <c r="U5309" s="1"/>
      <c r="V5309" s="1">
        <v>235.0</v>
      </c>
      <c r="W5309" s="1">
        <v>235.0</v>
      </c>
      <c r="X5309" s="1" t="s">
        <v>35</v>
      </c>
      <c r="Y5309" s="1">
        <v>235000</v>
      </c>
      <c r="Z5309" s="1"/>
      <c r="AA5309" s="1">
        <v>235000</v>
      </c>
      <c r="AB5309" s="1"/>
      <c r="AC5309" s="1" t="s">
        <v>36</v>
      </c>
      <c r="AD5309" s="1" t="s">
        <v>18000</v>
      </c>
      <c r="AE5309" s="1" t="s">
        <v>32</v>
      </c>
      <c r="AF5309" s="1" t="s">
        <v>33</v>
      </c>
      <c r="AG5309" s="1" t="s">
        <v>49</v>
      </c>
    </row>
    <row r="5310" spans="1:33">
      <c r="A5310" t="s">
        <v>18001</v>
      </c>
      <c r="C5310" t="s">
        <v>569</v>
      </c>
      <c r="E5310" t="s">
        <v>17332</v>
      </c>
      <c r="F5310" t="s">
        <v>16399</v>
      </c>
      <c r="G5310">
        <v>32.99</v>
      </c>
      <c r="H5310">
        <v>32.99</v>
      </c>
      <c r="I5310" t="s">
        <v>570</v>
      </c>
      <c r="J5310" t="s">
        <v>571</v>
      </c>
      <c r="K5310" t="s">
        <v>31</v>
      </c>
      <c r="L5310" t="s">
        <v>32</v>
      </c>
      <c r="M5310" t="s">
        <v>33</v>
      </c>
      <c r="P5310" s="1" t="s">
        <v>18002</v>
      </c>
      <c r="Q5310" s="1" t="s">
        <v>17332</v>
      </c>
      <c r="R5310" s="1" t="s">
        <v>17332</v>
      </c>
      <c r="S5310" s="1"/>
      <c r="T5310" s="1" t="s">
        <v>569</v>
      </c>
      <c r="U5310" s="1"/>
      <c r="V5310" s="1">
        <v>32.99</v>
      </c>
      <c r="W5310" s="1">
        <v>32.99</v>
      </c>
      <c r="X5310" s="1" t="s">
        <v>35</v>
      </c>
      <c r="Y5310" s="1">
        <v>32990</v>
      </c>
      <c r="Z5310" s="1"/>
      <c r="AA5310" s="1">
        <v>32990</v>
      </c>
      <c r="AB5310" s="1"/>
      <c r="AC5310" s="1" t="s">
        <v>36</v>
      </c>
      <c r="AD5310" s="1" t="s">
        <v>18003</v>
      </c>
      <c r="AE5310" s="1" t="s">
        <v>32</v>
      </c>
      <c r="AF5310" s="1" t="s">
        <v>33</v>
      </c>
      <c r="AG5310" s="1" t="s">
        <v>571</v>
      </c>
    </row>
    <row r="5311" spans="1:33">
      <c r="A5311" t="s">
        <v>18004</v>
      </c>
      <c r="B5311" t="s">
        <v>2065</v>
      </c>
      <c r="C5311" t="s">
        <v>2741</v>
      </c>
      <c r="E5311" t="s">
        <v>17332</v>
      </c>
      <c r="F5311" t="s">
        <v>16399</v>
      </c>
      <c r="G5311">
        <v>65.0</v>
      </c>
      <c r="H5311">
        <v>65.0</v>
      </c>
      <c r="I5311" t="s">
        <v>2742</v>
      </c>
      <c r="J5311" t="s">
        <v>2743</v>
      </c>
      <c r="K5311" t="s">
        <v>31</v>
      </c>
      <c r="L5311" t="s">
        <v>32</v>
      </c>
      <c r="M5311" t="s">
        <v>33</v>
      </c>
      <c r="P5311" s="1" t="s">
        <v>18005</v>
      </c>
      <c r="Q5311" s="1" t="s">
        <v>17332</v>
      </c>
      <c r="R5311" s="1" t="s">
        <v>17332</v>
      </c>
      <c r="S5311" s="1"/>
      <c r="T5311" s="1" t="s">
        <v>2741</v>
      </c>
      <c r="U5311" s="1"/>
      <c r="V5311" s="1">
        <v>65.0</v>
      </c>
      <c r="W5311" s="1">
        <v>65.0</v>
      </c>
      <c r="X5311" s="1" t="s">
        <v>35</v>
      </c>
      <c r="Y5311" s="1">
        <v>65000</v>
      </c>
      <c r="Z5311" s="1"/>
      <c r="AA5311" s="1">
        <v>65000</v>
      </c>
      <c r="AB5311" s="1"/>
      <c r="AC5311" s="1" t="s">
        <v>36</v>
      </c>
      <c r="AD5311" s="1" t="s">
        <v>17952</v>
      </c>
      <c r="AE5311" s="1" t="s">
        <v>32</v>
      </c>
      <c r="AF5311" s="1" t="s">
        <v>33</v>
      </c>
      <c r="AG5311" s="1" t="s">
        <v>2743</v>
      </c>
    </row>
    <row r="5312" spans="1:33">
      <c r="A5312" t="s">
        <v>18006</v>
      </c>
      <c r="C5312" t="s">
        <v>3979</v>
      </c>
      <c r="E5312" t="s">
        <v>17332</v>
      </c>
      <c r="F5312" t="s">
        <v>16399</v>
      </c>
      <c r="G5312">
        <v>660.0</v>
      </c>
      <c r="H5312">
        <v>660.0</v>
      </c>
      <c r="I5312" t="s">
        <v>173</v>
      </c>
      <c r="J5312" t="s">
        <v>174</v>
      </c>
      <c r="K5312" t="s">
        <v>31</v>
      </c>
      <c r="L5312" t="s">
        <v>32</v>
      </c>
      <c r="M5312" t="s">
        <v>33</v>
      </c>
      <c r="P5312" s="1" t="s">
        <v>18007</v>
      </c>
      <c r="Q5312" s="1" t="s">
        <v>17332</v>
      </c>
      <c r="R5312" s="1" t="s">
        <v>17332</v>
      </c>
      <c r="S5312" s="1"/>
      <c r="T5312" s="1" t="s">
        <v>3979</v>
      </c>
      <c r="U5312" s="1"/>
      <c r="V5312" s="1">
        <v>660.0</v>
      </c>
      <c r="W5312" s="1">
        <v>660.0</v>
      </c>
      <c r="X5312" s="1" t="s">
        <v>35</v>
      </c>
      <c r="Y5312" s="1">
        <v>660000</v>
      </c>
      <c r="Z5312" s="1"/>
      <c r="AA5312" s="1">
        <v>660000</v>
      </c>
      <c r="AB5312" s="1"/>
      <c r="AC5312" s="1" t="s">
        <v>36</v>
      </c>
      <c r="AD5312" s="1" t="s">
        <v>18008</v>
      </c>
      <c r="AE5312" s="1" t="s">
        <v>32</v>
      </c>
      <c r="AF5312" s="1" t="s">
        <v>33</v>
      </c>
      <c r="AG5312" s="1" t="s">
        <v>174</v>
      </c>
    </row>
    <row r="5313" spans="1:33">
      <c r="A5313" t="s">
        <v>18009</v>
      </c>
      <c r="B5313" t="s">
        <v>18010</v>
      </c>
      <c r="C5313" t="s">
        <v>14353</v>
      </c>
      <c r="E5313" t="s">
        <v>17332</v>
      </c>
      <c r="F5313" t="s">
        <v>16399</v>
      </c>
      <c r="G5313">
        <v>320.0</v>
      </c>
      <c r="H5313">
        <v>320.0</v>
      </c>
      <c r="I5313" t="s">
        <v>40</v>
      </c>
      <c r="J5313" t="s">
        <v>41</v>
      </c>
      <c r="K5313" t="s">
        <v>31</v>
      </c>
      <c r="L5313" t="s">
        <v>32</v>
      </c>
      <c r="M5313" t="s">
        <v>33</v>
      </c>
      <c r="P5313" s="1" t="s">
        <v>18011</v>
      </c>
      <c r="Q5313" s="1" t="s">
        <v>17332</v>
      </c>
      <c r="R5313" s="1" t="s">
        <v>16369</v>
      </c>
      <c r="S5313" s="1"/>
      <c r="T5313" s="1" t="s">
        <v>14353</v>
      </c>
      <c r="U5313" s="1"/>
      <c r="V5313" s="1">
        <v>320.0</v>
      </c>
      <c r="W5313" s="1">
        <v>320.0</v>
      </c>
      <c r="X5313" s="1" t="s">
        <v>35</v>
      </c>
      <c r="Y5313" s="1">
        <v>320000</v>
      </c>
      <c r="Z5313" s="1"/>
      <c r="AA5313" s="1">
        <v>320000</v>
      </c>
      <c r="AB5313" s="1"/>
      <c r="AC5313" s="1" t="s">
        <v>36</v>
      </c>
      <c r="AD5313" s="1" t="s">
        <v>18012</v>
      </c>
      <c r="AE5313" s="1" t="s">
        <v>32</v>
      </c>
      <c r="AF5313" s="1" t="s">
        <v>33</v>
      </c>
      <c r="AG5313" s="1" t="s">
        <v>41</v>
      </c>
    </row>
    <row r="5314" spans="1:33">
      <c r="A5314" t="s">
        <v>18013</v>
      </c>
      <c r="B5314" t="s">
        <v>17173</v>
      </c>
      <c r="C5314" t="s">
        <v>569</v>
      </c>
      <c r="E5314" t="s">
        <v>17332</v>
      </c>
      <c r="F5314" t="s">
        <v>16399</v>
      </c>
      <c r="G5314">
        <v>40.49</v>
      </c>
      <c r="H5314">
        <v>40.49</v>
      </c>
      <c r="I5314" t="s">
        <v>570</v>
      </c>
      <c r="J5314" t="s">
        <v>571</v>
      </c>
      <c r="K5314" t="s">
        <v>31</v>
      </c>
      <c r="L5314" t="s">
        <v>32</v>
      </c>
      <c r="M5314" t="s">
        <v>33</v>
      </c>
      <c r="P5314" s="1" t="s">
        <v>18014</v>
      </c>
      <c r="Q5314" s="1" t="s">
        <v>17332</v>
      </c>
      <c r="R5314" s="1" t="s">
        <v>17332</v>
      </c>
      <c r="S5314" s="1"/>
      <c r="T5314" s="1" t="s">
        <v>569</v>
      </c>
      <c r="U5314" s="1"/>
      <c r="V5314" s="1">
        <v>40.49</v>
      </c>
      <c r="W5314" s="1">
        <v>40.49</v>
      </c>
      <c r="X5314" s="1" t="s">
        <v>35</v>
      </c>
      <c r="Y5314" s="1">
        <v>40490</v>
      </c>
      <c r="Z5314" s="1"/>
      <c r="AA5314" s="1">
        <v>40490</v>
      </c>
      <c r="AB5314" s="1"/>
      <c r="AC5314" s="1" t="s">
        <v>36</v>
      </c>
      <c r="AD5314" s="1" t="s">
        <v>18015</v>
      </c>
      <c r="AE5314" s="1" t="s">
        <v>32</v>
      </c>
      <c r="AF5314" s="1" t="s">
        <v>33</v>
      </c>
      <c r="AG5314" s="1" t="s">
        <v>571</v>
      </c>
    </row>
    <row r="5315" spans="1:33">
      <c r="A5315" t="s">
        <v>18016</v>
      </c>
      <c r="C5315" t="s">
        <v>3104</v>
      </c>
      <c r="E5315" t="s">
        <v>17332</v>
      </c>
      <c r="F5315" t="s">
        <v>16399</v>
      </c>
      <c r="G5315">
        <v>647.0</v>
      </c>
      <c r="H5315">
        <v>647.0</v>
      </c>
      <c r="I5315" t="s">
        <v>269</v>
      </c>
      <c r="J5315" t="s">
        <v>270</v>
      </c>
      <c r="K5315" t="s">
        <v>31</v>
      </c>
      <c r="L5315" t="s">
        <v>32</v>
      </c>
      <c r="M5315" t="s">
        <v>33</v>
      </c>
      <c r="P5315" s="1" t="s">
        <v>18017</v>
      </c>
      <c r="Q5315" s="1" t="s">
        <v>17332</v>
      </c>
      <c r="R5315" s="1" t="s">
        <v>17332</v>
      </c>
      <c r="S5315" s="1"/>
      <c r="T5315" s="1" t="s">
        <v>3104</v>
      </c>
      <c r="U5315" s="1"/>
      <c r="V5315" s="1">
        <v>647.0</v>
      </c>
      <c r="W5315" s="1">
        <v>647.0</v>
      </c>
      <c r="X5315" s="1" t="s">
        <v>35</v>
      </c>
      <c r="Y5315" s="1">
        <v>647000</v>
      </c>
      <c r="Z5315" s="1"/>
      <c r="AA5315" s="1">
        <v>647000</v>
      </c>
      <c r="AB5315" s="1"/>
      <c r="AC5315" s="1" t="s">
        <v>36</v>
      </c>
      <c r="AD5315" s="1" t="s">
        <v>18018</v>
      </c>
      <c r="AE5315" s="1" t="s">
        <v>32</v>
      </c>
      <c r="AF5315" s="1" t="s">
        <v>33</v>
      </c>
      <c r="AG5315" s="1" t="s">
        <v>270</v>
      </c>
    </row>
    <row r="5316" spans="1:33">
      <c r="A5316" t="s">
        <v>18019</v>
      </c>
      <c r="C5316" t="s">
        <v>5687</v>
      </c>
      <c r="E5316" t="s">
        <v>17332</v>
      </c>
      <c r="F5316" t="s">
        <v>16399</v>
      </c>
      <c r="G5316">
        <v>2.517</v>
      </c>
      <c r="H5316">
        <v>2.517</v>
      </c>
      <c r="I5316" t="s">
        <v>40</v>
      </c>
      <c r="J5316" t="s">
        <v>41</v>
      </c>
      <c r="K5316" t="s">
        <v>31</v>
      </c>
      <c r="L5316" t="s">
        <v>32</v>
      </c>
      <c r="M5316" t="s">
        <v>33</v>
      </c>
      <c r="P5316" s="1" t="s">
        <v>18020</v>
      </c>
      <c r="Q5316" s="1" t="s">
        <v>17332</v>
      </c>
      <c r="R5316" s="1" t="s">
        <v>16369</v>
      </c>
      <c r="S5316" s="1"/>
      <c r="T5316" s="1" t="s">
        <v>5687</v>
      </c>
      <c r="U5316" s="1"/>
      <c r="V5316" s="1">
        <v>2.517</v>
      </c>
      <c r="W5316" s="1">
        <v>2.517</v>
      </c>
      <c r="X5316" s="1" t="s">
        <v>35</v>
      </c>
      <c r="Y5316" s="1">
        <v>2517500</v>
      </c>
      <c r="Z5316" s="1"/>
      <c r="AA5316" s="1">
        <v>2517500</v>
      </c>
      <c r="AB5316" s="1"/>
      <c r="AC5316" s="1" t="s">
        <v>36</v>
      </c>
      <c r="AD5316" s="1" t="s">
        <v>18021</v>
      </c>
      <c r="AE5316" s="1" t="s">
        <v>32</v>
      </c>
      <c r="AF5316" s="1" t="s">
        <v>33</v>
      </c>
      <c r="AG5316" s="1" t="s">
        <v>41</v>
      </c>
    </row>
    <row r="5317" spans="1:33">
      <c r="A5317" t="s">
        <v>18022</v>
      </c>
      <c r="C5317" t="s">
        <v>1379</v>
      </c>
      <c r="D5317" t="s">
        <v>154</v>
      </c>
      <c r="E5317" t="s">
        <v>17332</v>
      </c>
      <c r="F5317" t="s">
        <v>16399</v>
      </c>
      <c r="G5317">
        <v>1.905</v>
      </c>
      <c r="H5317">
        <v>1.905</v>
      </c>
      <c r="I5317" t="s">
        <v>173</v>
      </c>
      <c r="J5317" t="s">
        <v>174</v>
      </c>
      <c r="K5317" t="s">
        <v>31</v>
      </c>
      <c r="L5317" t="s">
        <v>32</v>
      </c>
      <c r="M5317" t="s">
        <v>33</v>
      </c>
      <c r="P5317" s="1" t="s">
        <v>18023</v>
      </c>
      <c r="Q5317" s="1" t="s">
        <v>17332</v>
      </c>
      <c r="R5317" s="1" t="s">
        <v>17332</v>
      </c>
      <c r="S5317" s="1"/>
      <c r="T5317" s="1" t="s">
        <v>1379</v>
      </c>
      <c r="U5317" s="1"/>
      <c r="V5317" s="1">
        <v>1.905</v>
      </c>
      <c r="W5317" s="1">
        <v>1.905</v>
      </c>
      <c r="X5317" s="1" t="s">
        <v>35</v>
      </c>
      <c r="Y5317" s="1">
        <v>1905000</v>
      </c>
      <c r="Z5317" s="1"/>
      <c r="AA5317" s="1">
        <v>1905000</v>
      </c>
      <c r="AB5317" s="1"/>
      <c r="AC5317" s="1" t="s">
        <v>36</v>
      </c>
      <c r="AD5317" s="1" t="s">
        <v>18021</v>
      </c>
      <c r="AE5317" s="1" t="s">
        <v>32</v>
      </c>
      <c r="AF5317" s="1" t="s">
        <v>33</v>
      </c>
      <c r="AG5317" s="1" t="s">
        <v>174</v>
      </c>
    </row>
    <row r="5318" spans="1:33">
      <c r="A5318" t="s">
        <v>18024</v>
      </c>
      <c r="B5318" t="s">
        <v>18025</v>
      </c>
      <c r="C5318" t="s">
        <v>314</v>
      </c>
      <c r="E5318" t="s">
        <v>17332</v>
      </c>
      <c r="F5318" t="s">
        <v>16399</v>
      </c>
      <c r="G5318">
        <v>71.47</v>
      </c>
      <c r="H5318">
        <v>71.47</v>
      </c>
      <c r="I5318" t="s">
        <v>17818</v>
      </c>
      <c r="J5318" t="s">
        <v>180</v>
      </c>
      <c r="K5318" t="s">
        <v>31</v>
      </c>
      <c r="L5318" t="s">
        <v>32</v>
      </c>
      <c r="M5318" t="s">
        <v>33</v>
      </c>
      <c r="P5318" s="1" t="s">
        <v>18026</v>
      </c>
      <c r="Q5318" s="1" t="s">
        <v>17332</v>
      </c>
      <c r="R5318" s="1" t="s">
        <v>17332</v>
      </c>
      <c r="S5318" s="1"/>
      <c r="T5318" s="1" t="s">
        <v>314</v>
      </c>
      <c r="U5318" s="1"/>
      <c r="V5318" s="1">
        <v>71.47</v>
      </c>
      <c r="W5318" s="1">
        <v>71.47</v>
      </c>
      <c r="X5318" s="1" t="s">
        <v>35</v>
      </c>
      <c r="Y5318" s="1">
        <v>71470</v>
      </c>
      <c r="Z5318" s="1"/>
      <c r="AA5318" s="1">
        <v>71470</v>
      </c>
      <c r="AB5318" s="1"/>
      <c r="AC5318" s="1" t="s">
        <v>36</v>
      </c>
      <c r="AD5318" s="1" t="s">
        <v>18027</v>
      </c>
      <c r="AE5318" s="1" t="s">
        <v>32</v>
      </c>
      <c r="AF5318" s="1" t="s">
        <v>33</v>
      </c>
      <c r="AG5318" s="1" t="s">
        <v>180</v>
      </c>
    </row>
    <row r="5319" spans="1:33">
      <c r="A5319" t="s">
        <v>18028</v>
      </c>
      <c r="B5319" t="s">
        <v>18029</v>
      </c>
      <c r="C5319" t="s">
        <v>569</v>
      </c>
      <c r="E5319" t="s">
        <v>17332</v>
      </c>
      <c r="F5319" t="s">
        <v>16399</v>
      </c>
      <c r="G5319">
        <v>52.575</v>
      </c>
      <c r="H5319">
        <v>52.575</v>
      </c>
      <c r="I5319" t="s">
        <v>570</v>
      </c>
      <c r="J5319" t="s">
        <v>571</v>
      </c>
      <c r="K5319" t="s">
        <v>31</v>
      </c>
      <c r="L5319" t="s">
        <v>32</v>
      </c>
      <c r="M5319" t="s">
        <v>33</v>
      </c>
      <c r="P5319" s="1" t="s">
        <v>18030</v>
      </c>
      <c r="Q5319" s="1" t="s">
        <v>17332</v>
      </c>
      <c r="R5319" s="1" t="s">
        <v>17332</v>
      </c>
      <c r="S5319" s="1"/>
      <c r="T5319" s="1" t="s">
        <v>569</v>
      </c>
      <c r="U5319" s="1"/>
      <c r="V5319" s="1">
        <v>52.575</v>
      </c>
      <c r="W5319" s="1">
        <v>52.575</v>
      </c>
      <c r="X5319" s="1" t="s">
        <v>35</v>
      </c>
      <c r="Y5319" s="1">
        <v>52575</v>
      </c>
      <c r="Z5319" s="1"/>
      <c r="AA5319" s="1">
        <v>52575</v>
      </c>
      <c r="AB5319" s="1"/>
      <c r="AC5319" s="1" t="s">
        <v>36</v>
      </c>
      <c r="AD5319" s="1" t="s">
        <v>18031</v>
      </c>
      <c r="AE5319" s="1" t="s">
        <v>32</v>
      </c>
      <c r="AF5319" s="1" t="s">
        <v>33</v>
      </c>
      <c r="AG5319" s="1" t="s">
        <v>571</v>
      </c>
    </row>
    <row r="5320" spans="1:33">
      <c r="A5320" t="s">
        <v>18032</v>
      </c>
      <c r="B5320" t="s">
        <v>18033</v>
      </c>
      <c r="C5320" t="s">
        <v>47</v>
      </c>
      <c r="E5320" t="s">
        <v>17332</v>
      </c>
      <c r="F5320" t="s">
        <v>16399</v>
      </c>
      <c r="G5320">
        <v>77.96</v>
      </c>
      <c r="H5320">
        <v>77.96</v>
      </c>
      <c r="I5320" t="s">
        <v>2206</v>
      </c>
      <c r="J5320" t="s">
        <v>49</v>
      </c>
      <c r="K5320" t="s">
        <v>31</v>
      </c>
      <c r="L5320" t="s">
        <v>32</v>
      </c>
      <c r="M5320" t="s">
        <v>33</v>
      </c>
      <c r="P5320" s="1" t="s">
        <v>18034</v>
      </c>
      <c r="Q5320" s="1" t="s">
        <v>17332</v>
      </c>
      <c r="R5320" s="1" t="s">
        <v>17332</v>
      </c>
      <c r="S5320" s="1"/>
      <c r="T5320" s="1" t="s">
        <v>47</v>
      </c>
      <c r="U5320" s="1"/>
      <c r="V5320" s="1">
        <v>77.96</v>
      </c>
      <c r="W5320" s="1">
        <v>77.96</v>
      </c>
      <c r="X5320" s="1" t="s">
        <v>35</v>
      </c>
      <c r="Y5320" s="1">
        <v>77960</v>
      </c>
      <c r="Z5320" s="1"/>
      <c r="AA5320" s="1">
        <v>77960</v>
      </c>
      <c r="AB5320" s="1"/>
      <c r="AC5320" s="1" t="s">
        <v>36</v>
      </c>
      <c r="AD5320" s="1" t="s">
        <v>18035</v>
      </c>
      <c r="AE5320" s="1" t="s">
        <v>32</v>
      </c>
      <c r="AF5320" s="1" t="s">
        <v>33</v>
      </c>
      <c r="AG5320" s="1" t="s">
        <v>49</v>
      </c>
    </row>
    <row r="5321" spans="1:33">
      <c r="A5321" t="s">
        <v>18036</v>
      </c>
      <c r="B5321" t="s">
        <v>12678</v>
      </c>
      <c r="C5321" t="s">
        <v>125</v>
      </c>
      <c r="E5321" t="s">
        <v>17332</v>
      </c>
      <c r="F5321" t="s">
        <v>16399</v>
      </c>
      <c r="G5321">
        <v>72.42</v>
      </c>
      <c r="H5321">
        <v>72.42</v>
      </c>
      <c r="I5321" t="s">
        <v>126</v>
      </c>
      <c r="J5321" t="s">
        <v>127</v>
      </c>
      <c r="K5321" t="s">
        <v>31</v>
      </c>
      <c r="L5321" t="s">
        <v>32</v>
      </c>
      <c r="M5321" t="s">
        <v>33</v>
      </c>
      <c r="P5321" s="1" t="s">
        <v>18037</v>
      </c>
      <c r="Q5321" s="1" t="s">
        <v>17332</v>
      </c>
      <c r="R5321" s="1" t="s">
        <v>17332</v>
      </c>
      <c r="S5321" s="1"/>
      <c r="T5321" s="1" t="s">
        <v>125</v>
      </c>
      <c r="U5321" s="1"/>
      <c r="V5321" s="1">
        <v>72.42</v>
      </c>
      <c r="W5321" s="1">
        <v>72.42</v>
      </c>
      <c r="X5321" s="1" t="s">
        <v>35</v>
      </c>
      <c r="Y5321" s="1">
        <v>72420</v>
      </c>
      <c r="Z5321" s="1"/>
      <c r="AA5321" s="1">
        <v>72420</v>
      </c>
      <c r="AB5321" s="1"/>
      <c r="AC5321" s="1" t="s">
        <v>36</v>
      </c>
      <c r="AD5321" s="1" t="s">
        <v>18038</v>
      </c>
      <c r="AE5321" s="1" t="s">
        <v>32</v>
      </c>
      <c r="AF5321" s="1" t="s">
        <v>33</v>
      </c>
      <c r="AG5321" s="1" t="s">
        <v>127</v>
      </c>
    </row>
    <row r="5322" spans="1:33">
      <c r="A5322" t="s">
        <v>18039</v>
      </c>
      <c r="C5322" t="s">
        <v>771</v>
      </c>
      <c r="E5322" t="s">
        <v>17332</v>
      </c>
      <c r="F5322" t="s">
        <v>16399</v>
      </c>
      <c r="G5322">
        <v>831.1</v>
      </c>
      <c r="H5322">
        <v>831.1</v>
      </c>
      <c r="I5322" t="s">
        <v>269</v>
      </c>
      <c r="J5322" t="s">
        <v>270</v>
      </c>
      <c r="K5322" t="s">
        <v>31</v>
      </c>
      <c r="L5322" t="s">
        <v>32</v>
      </c>
      <c r="M5322" t="s">
        <v>33</v>
      </c>
      <c r="P5322" s="1" t="s">
        <v>18040</v>
      </c>
      <c r="Q5322" s="1" t="s">
        <v>17332</v>
      </c>
      <c r="R5322" s="1" t="s">
        <v>17332</v>
      </c>
      <c r="S5322" s="1"/>
      <c r="T5322" s="1" t="s">
        <v>771</v>
      </c>
      <c r="U5322" s="1"/>
      <c r="V5322" s="1">
        <v>831.1</v>
      </c>
      <c r="W5322" s="1">
        <v>831.1</v>
      </c>
      <c r="X5322" s="1" t="s">
        <v>35</v>
      </c>
      <c r="Y5322" s="1">
        <v>831100</v>
      </c>
      <c r="Z5322" s="1"/>
      <c r="AA5322" s="1">
        <v>831100</v>
      </c>
      <c r="AB5322" s="1"/>
      <c r="AC5322" s="1" t="s">
        <v>36</v>
      </c>
      <c r="AD5322" s="1" t="s">
        <v>18041</v>
      </c>
      <c r="AE5322" s="1" t="s">
        <v>32</v>
      </c>
      <c r="AF5322" s="1" t="s">
        <v>33</v>
      </c>
      <c r="AG5322" s="1" t="s">
        <v>270</v>
      </c>
    </row>
    <row r="5323" spans="1:33">
      <c r="A5323" t="s">
        <v>18042</v>
      </c>
      <c r="B5323" t="s">
        <v>18043</v>
      </c>
      <c r="C5323" t="s">
        <v>314</v>
      </c>
      <c r="E5323" t="s">
        <v>17332</v>
      </c>
      <c r="F5323" t="s">
        <v>16399</v>
      </c>
      <c r="G5323">
        <v>267.88</v>
      </c>
      <c r="H5323">
        <v>267.88</v>
      </c>
      <c r="I5323" t="s">
        <v>17818</v>
      </c>
      <c r="J5323" t="s">
        <v>180</v>
      </c>
      <c r="K5323" t="s">
        <v>31</v>
      </c>
      <c r="L5323" t="s">
        <v>32</v>
      </c>
      <c r="M5323" t="s">
        <v>33</v>
      </c>
      <c r="P5323" s="1" t="s">
        <v>18044</v>
      </c>
      <c r="Q5323" s="1" t="s">
        <v>17332</v>
      </c>
      <c r="R5323" s="1" t="s">
        <v>17332</v>
      </c>
      <c r="S5323" s="1"/>
      <c r="T5323" s="1" t="s">
        <v>314</v>
      </c>
      <c r="U5323" s="1"/>
      <c r="V5323" s="1">
        <v>267.88</v>
      </c>
      <c r="W5323" s="1">
        <v>267.88</v>
      </c>
      <c r="X5323" s="1" t="s">
        <v>35</v>
      </c>
      <c r="Y5323" s="1">
        <v>267880</v>
      </c>
      <c r="Z5323" s="1"/>
      <c r="AA5323" s="1">
        <v>267880</v>
      </c>
      <c r="AB5323" s="1"/>
      <c r="AC5323" s="1" t="s">
        <v>36</v>
      </c>
      <c r="AD5323" s="1" t="s">
        <v>18035</v>
      </c>
      <c r="AE5323" s="1" t="s">
        <v>32</v>
      </c>
      <c r="AF5323" s="1" t="s">
        <v>33</v>
      </c>
      <c r="AG5323" s="1" t="s">
        <v>180</v>
      </c>
    </row>
    <row r="5324" spans="1:33">
      <c r="A5324" t="s">
        <v>18045</v>
      </c>
      <c r="B5324" t="s">
        <v>18046</v>
      </c>
      <c r="C5324" t="s">
        <v>314</v>
      </c>
      <c r="E5324" t="s">
        <v>17332</v>
      </c>
      <c r="F5324" t="s">
        <v>16399</v>
      </c>
      <c r="G5324">
        <v>13.392</v>
      </c>
      <c r="H5324">
        <v>13.392</v>
      </c>
      <c r="I5324" t="s">
        <v>17818</v>
      </c>
      <c r="J5324" t="s">
        <v>180</v>
      </c>
      <c r="K5324" t="s">
        <v>31</v>
      </c>
      <c r="L5324" t="s">
        <v>32</v>
      </c>
      <c r="M5324" t="s">
        <v>33</v>
      </c>
      <c r="P5324" s="1" t="s">
        <v>18047</v>
      </c>
      <c r="Q5324" s="1" t="s">
        <v>17332</v>
      </c>
      <c r="R5324" s="1" t="s">
        <v>17332</v>
      </c>
      <c r="S5324" s="1"/>
      <c r="T5324" s="1" t="s">
        <v>314</v>
      </c>
      <c r="U5324" s="1"/>
      <c r="V5324" s="1">
        <v>13.392</v>
      </c>
      <c r="W5324" s="1">
        <v>13.392</v>
      </c>
      <c r="X5324" s="1" t="s">
        <v>35</v>
      </c>
      <c r="Y5324" s="1">
        <v>13392</v>
      </c>
      <c r="Z5324" s="1"/>
      <c r="AA5324" s="1">
        <v>13392</v>
      </c>
      <c r="AB5324" s="1"/>
      <c r="AC5324" s="1" t="s">
        <v>36</v>
      </c>
      <c r="AD5324" s="1" t="s">
        <v>18048</v>
      </c>
      <c r="AE5324" s="1" t="s">
        <v>32</v>
      </c>
      <c r="AF5324" s="1" t="s">
        <v>33</v>
      </c>
      <c r="AG5324" s="1" t="s">
        <v>180</v>
      </c>
    </row>
    <row r="5325" spans="1:33">
      <c r="A5325" t="s">
        <v>18049</v>
      </c>
      <c r="B5325" t="s">
        <v>18050</v>
      </c>
      <c r="C5325" t="s">
        <v>73</v>
      </c>
      <c r="E5325" t="s">
        <v>17332</v>
      </c>
      <c r="F5325" t="s">
        <v>16399</v>
      </c>
      <c r="G5325">
        <v>2.7</v>
      </c>
      <c r="H5325">
        <v>2.7</v>
      </c>
      <c r="I5325" t="s">
        <v>40</v>
      </c>
      <c r="J5325" t="s">
        <v>41</v>
      </c>
      <c r="K5325" t="s">
        <v>31</v>
      </c>
      <c r="L5325" t="s">
        <v>32</v>
      </c>
      <c r="M5325" t="s">
        <v>33</v>
      </c>
      <c r="P5325" s="1" t="s">
        <v>18051</v>
      </c>
      <c r="Q5325" s="1" t="s">
        <v>17332</v>
      </c>
      <c r="R5325" s="1" t="s">
        <v>16369</v>
      </c>
      <c r="S5325" s="1"/>
      <c r="T5325" s="1" t="s">
        <v>75</v>
      </c>
      <c r="U5325" s="1" t="s">
        <v>76</v>
      </c>
      <c r="V5325" s="1">
        <v>2.7</v>
      </c>
      <c r="W5325" s="1">
        <v>2.7</v>
      </c>
      <c r="X5325" s="1" t="s">
        <v>35</v>
      </c>
      <c r="Y5325" s="1">
        <v>2700</v>
      </c>
      <c r="Z5325" s="1"/>
      <c r="AA5325" s="1">
        <v>2700</v>
      </c>
      <c r="AB5325" s="1"/>
      <c r="AC5325" s="1" t="s">
        <v>36</v>
      </c>
      <c r="AD5325" s="1" t="s">
        <v>18052</v>
      </c>
      <c r="AE5325" s="1" t="s">
        <v>32</v>
      </c>
      <c r="AF5325" s="1" t="s">
        <v>33</v>
      </c>
      <c r="AG5325" s="1" t="s">
        <v>41</v>
      </c>
    </row>
    <row r="5326" spans="1:33">
      <c r="A5326" t="s">
        <v>18053</v>
      </c>
      <c r="C5326" t="s">
        <v>2588</v>
      </c>
      <c r="E5326" t="s">
        <v>17332</v>
      </c>
      <c r="F5326" t="s">
        <v>16399</v>
      </c>
      <c r="G5326">
        <v>508.0</v>
      </c>
      <c r="H5326">
        <v>508.0</v>
      </c>
      <c r="I5326" t="s">
        <v>269</v>
      </c>
      <c r="J5326" t="s">
        <v>270</v>
      </c>
      <c r="K5326" t="s">
        <v>31</v>
      </c>
      <c r="L5326" t="s">
        <v>32</v>
      </c>
      <c r="M5326" t="s">
        <v>33</v>
      </c>
      <c r="P5326" s="1" t="s">
        <v>18054</v>
      </c>
      <c r="Q5326" s="1" t="s">
        <v>17332</v>
      </c>
      <c r="R5326" s="1" t="s">
        <v>17332</v>
      </c>
      <c r="S5326" s="1"/>
      <c r="T5326" s="1" t="s">
        <v>2588</v>
      </c>
      <c r="U5326" s="1"/>
      <c r="V5326" s="1">
        <v>508.0</v>
      </c>
      <c r="W5326" s="1">
        <v>508.0</v>
      </c>
      <c r="X5326" s="1" t="s">
        <v>35</v>
      </c>
      <c r="Y5326" s="1">
        <v>508000</v>
      </c>
      <c r="Z5326" s="1"/>
      <c r="AA5326" s="1">
        <v>508000</v>
      </c>
      <c r="AB5326" s="1"/>
      <c r="AC5326" s="1" t="s">
        <v>36</v>
      </c>
      <c r="AD5326" s="1" t="s">
        <v>18055</v>
      </c>
      <c r="AE5326" s="1" t="s">
        <v>32</v>
      </c>
      <c r="AF5326" s="1" t="s">
        <v>33</v>
      </c>
      <c r="AG5326" s="1" t="s">
        <v>270</v>
      </c>
    </row>
    <row r="5327" spans="1:33">
      <c r="A5327" t="s">
        <v>18056</v>
      </c>
      <c r="B5327" t="s">
        <v>4025</v>
      </c>
      <c r="C5327" t="s">
        <v>68</v>
      </c>
      <c r="E5327" t="s">
        <v>17332</v>
      </c>
      <c r="F5327" t="s">
        <v>16399</v>
      </c>
      <c r="G5327">
        <v>10.545</v>
      </c>
      <c r="H5327">
        <v>10.545</v>
      </c>
      <c r="I5327" t="s">
        <v>59</v>
      </c>
      <c r="J5327" t="s">
        <v>60</v>
      </c>
      <c r="K5327" t="s">
        <v>31</v>
      </c>
      <c r="L5327" t="s">
        <v>32</v>
      </c>
      <c r="M5327" t="s">
        <v>33</v>
      </c>
      <c r="P5327" s="1" t="s">
        <v>18057</v>
      </c>
      <c r="Q5327" s="1" t="s">
        <v>17332</v>
      </c>
      <c r="R5327" s="1" t="s">
        <v>17332</v>
      </c>
      <c r="S5327" s="1"/>
      <c r="T5327" s="1" t="s">
        <v>68</v>
      </c>
      <c r="U5327" s="1"/>
      <c r="V5327" s="1">
        <v>10.545</v>
      </c>
      <c r="W5327" s="1">
        <v>10.545</v>
      </c>
      <c r="X5327" s="1" t="s">
        <v>35</v>
      </c>
      <c r="Y5327" s="1">
        <v>10545</v>
      </c>
      <c r="Z5327" s="1"/>
      <c r="AA5327" s="1">
        <v>10545</v>
      </c>
      <c r="AB5327" s="1"/>
      <c r="AC5327" s="1" t="s">
        <v>36</v>
      </c>
      <c r="AD5327" s="1" t="s">
        <v>18035</v>
      </c>
      <c r="AE5327" s="1" t="s">
        <v>32</v>
      </c>
      <c r="AF5327" s="1" t="s">
        <v>33</v>
      </c>
      <c r="AG5327" s="1" t="s">
        <v>60</v>
      </c>
    </row>
    <row r="5328" spans="1:33">
      <c r="A5328" t="s">
        <v>18058</v>
      </c>
      <c r="C5328" t="s">
        <v>644</v>
      </c>
      <c r="E5328" t="s">
        <v>17332</v>
      </c>
      <c r="F5328" t="s">
        <v>16399</v>
      </c>
      <c r="G5328">
        <v>656.0</v>
      </c>
      <c r="H5328">
        <v>656.0</v>
      </c>
      <c r="I5328" t="s">
        <v>227</v>
      </c>
      <c r="J5328" t="s">
        <v>228</v>
      </c>
      <c r="K5328" t="s">
        <v>31</v>
      </c>
      <c r="L5328" t="s">
        <v>32</v>
      </c>
      <c r="M5328" t="s">
        <v>33</v>
      </c>
      <c r="P5328" s="1" t="s">
        <v>18059</v>
      </c>
      <c r="Q5328" s="1" t="s">
        <v>17332</v>
      </c>
      <c r="R5328" s="1" t="s">
        <v>17332</v>
      </c>
      <c r="S5328" s="1"/>
      <c r="T5328" s="1" t="s">
        <v>644</v>
      </c>
      <c r="U5328" s="1"/>
      <c r="V5328" s="1">
        <v>656.0</v>
      </c>
      <c r="W5328" s="1">
        <v>656.0</v>
      </c>
      <c r="X5328" s="1" t="s">
        <v>35</v>
      </c>
      <c r="Y5328" s="1">
        <v>656000</v>
      </c>
      <c r="Z5328" s="1"/>
      <c r="AA5328" s="1">
        <v>656000</v>
      </c>
      <c r="AB5328" s="1"/>
      <c r="AC5328" s="1" t="s">
        <v>36</v>
      </c>
      <c r="AD5328" s="1" t="s">
        <v>18055</v>
      </c>
      <c r="AE5328" s="1" t="s">
        <v>32</v>
      </c>
      <c r="AF5328" s="1" t="s">
        <v>33</v>
      </c>
      <c r="AG5328" s="1" t="s">
        <v>228</v>
      </c>
    </row>
    <row r="5329" spans="1:33">
      <c r="A5329" t="s">
        <v>18060</v>
      </c>
      <c r="B5329" t="s">
        <v>18061</v>
      </c>
      <c r="C5329" t="s">
        <v>172</v>
      </c>
      <c r="E5329" t="s">
        <v>17332</v>
      </c>
      <c r="F5329" t="s">
        <v>16399</v>
      </c>
      <c r="G5329">
        <v>43.98</v>
      </c>
      <c r="H5329">
        <v>43.98</v>
      </c>
      <c r="I5329" t="s">
        <v>173</v>
      </c>
      <c r="J5329" t="s">
        <v>174</v>
      </c>
      <c r="K5329" t="s">
        <v>31</v>
      </c>
      <c r="L5329" t="s">
        <v>32</v>
      </c>
      <c r="M5329" t="s">
        <v>33</v>
      </c>
      <c r="P5329" s="1" t="s">
        <v>18062</v>
      </c>
      <c r="Q5329" s="1" t="s">
        <v>17332</v>
      </c>
      <c r="R5329" s="1" t="s">
        <v>17332</v>
      </c>
      <c r="S5329" s="1"/>
      <c r="T5329" s="1" t="s">
        <v>172</v>
      </c>
      <c r="U5329" s="1"/>
      <c r="V5329" s="1">
        <v>43.98</v>
      </c>
      <c r="W5329" s="1">
        <v>43.98</v>
      </c>
      <c r="X5329" s="1" t="s">
        <v>35</v>
      </c>
      <c r="Y5329" s="1">
        <v>43980</v>
      </c>
      <c r="Z5329" s="1"/>
      <c r="AA5329" s="1">
        <v>43980</v>
      </c>
      <c r="AB5329" s="1"/>
      <c r="AC5329" s="1" t="s">
        <v>36</v>
      </c>
      <c r="AD5329" s="1" t="s">
        <v>18063</v>
      </c>
      <c r="AE5329" s="1" t="s">
        <v>32</v>
      </c>
      <c r="AF5329" s="1" t="s">
        <v>33</v>
      </c>
      <c r="AG5329" s="1" t="s">
        <v>174</v>
      </c>
    </row>
    <row r="5330" spans="1:33">
      <c r="A5330" t="s">
        <v>18064</v>
      </c>
      <c r="C5330" t="s">
        <v>17160</v>
      </c>
      <c r="E5330" t="s">
        <v>17332</v>
      </c>
      <c r="F5330" t="s">
        <v>16399</v>
      </c>
      <c r="G5330">
        <v>320.0</v>
      </c>
      <c r="H5330">
        <v>320.0</v>
      </c>
      <c r="I5330" t="s">
        <v>173</v>
      </c>
      <c r="J5330" t="s">
        <v>174</v>
      </c>
      <c r="K5330" t="s">
        <v>31</v>
      </c>
      <c r="L5330" t="s">
        <v>32</v>
      </c>
      <c r="M5330" t="s">
        <v>33</v>
      </c>
      <c r="P5330" s="1" t="s">
        <v>18065</v>
      </c>
      <c r="Q5330" s="1" t="s">
        <v>17332</v>
      </c>
      <c r="R5330" s="1" t="s">
        <v>17332</v>
      </c>
      <c r="S5330" s="1"/>
      <c r="T5330" s="1" t="s">
        <v>17160</v>
      </c>
      <c r="U5330" s="1"/>
      <c r="V5330" s="1">
        <v>320.0</v>
      </c>
      <c r="W5330" s="1">
        <v>320.0</v>
      </c>
      <c r="X5330" s="1" t="s">
        <v>35</v>
      </c>
      <c r="Y5330" s="1">
        <v>320000</v>
      </c>
      <c r="Z5330" s="1"/>
      <c r="AA5330" s="1">
        <v>320000</v>
      </c>
      <c r="AB5330" s="1"/>
      <c r="AC5330" s="1" t="s">
        <v>36</v>
      </c>
      <c r="AD5330" s="1" t="s">
        <v>18066</v>
      </c>
      <c r="AE5330" s="1" t="s">
        <v>32</v>
      </c>
      <c r="AF5330" s="1" t="s">
        <v>33</v>
      </c>
      <c r="AG5330" s="1" t="s">
        <v>174</v>
      </c>
    </row>
    <row r="5331" spans="1:33">
      <c r="A5331" t="s">
        <v>18067</v>
      </c>
      <c r="B5331" t="s">
        <v>18068</v>
      </c>
      <c r="C5331" t="s">
        <v>569</v>
      </c>
      <c r="E5331" t="s">
        <v>17332</v>
      </c>
      <c r="F5331" t="s">
        <v>16399</v>
      </c>
      <c r="G5331">
        <v>154.45</v>
      </c>
      <c r="H5331">
        <v>154.45</v>
      </c>
      <c r="I5331" t="s">
        <v>570</v>
      </c>
      <c r="J5331" t="s">
        <v>571</v>
      </c>
      <c r="K5331" t="s">
        <v>31</v>
      </c>
      <c r="L5331" t="s">
        <v>32</v>
      </c>
      <c r="M5331" t="s">
        <v>33</v>
      </c>
      <c r="P5331" s="1" t="s">
        <v>18069</v>
      </c>
      <c r="Q5331" s="1" t="s">
        <v>17332</v>
      </c>
      <c r="R5331" s="1" t="s">
        <v>17332</v>
      </c>
      <c r="S5331" s="1"/>
      <c r="T5331" s="1" t="s">
        <v>569</v>
      </c>
      <c r="U5331" s="1"/>
      <c r="V5331" s="1">
        <v>154.45</v>
      </c>
      <c r="W5331" s="1">
        <v>154.45</v>
      </c>
      <c r="X5331" s="1" t="s">
        <v>35</v>
      </c>
      <c r="Y5331" s="1">
        <v>154450</v>
      </c>
      <c r="Z5331" s="1"/>
      <c r="AA5331" s="1">
        <v>154450</v>
      </c>
      <c r="AB5331" s="1"/>
      <c r="AC5331" s="1" t="s">
        <v>36</v>
      </c>
      <c r="AD5331" s="1" t="s">
        <v>18070</v>
      </c>
      <c r="AE5331" s="1" t="s">
        <v>32</v>
      </c>
      <c r="AF5331" s="1" t="s">
        <v>33</v>
      </c>
      <c r="AG5331" s="1" t="s">
        <v>571</v>
      </c>
    </row>
    <row r="5332" spans="1:33">
      <c r="A5332" t="s">
        <v>18071</v>
      </c>
      <c r="C5332" t="s">
        <v>609</v>
      </c>
      <c r="E5332" t="s">
        <v>17332</v>
      </c>
      <c r="F5332" t="s">
        <v>16399</v>
      </c>
      <c r="G5332">
        <v>800.5</v>
      </c>
      <c r="H5332">
        <v>800.5</v>
      </c>
      <c r="I5332" t="s">
        <v>269</v>
      </c>
      <c r="J5332" t="s">
        <v>270</v>
      </c>
      <c r="K5332" t="s">
        <v>31</v>
      </c>
      <c r="L5332" t="s">
        <v>32</v>
      </c>
      <c r="M5332" t="s">
        <v>33</v>
      </c>
      <c r="P5332" s="1" t="s">
        <v>18072</v>
      </c>
      <c r="Q5332" s="1" t="s">
        <v>17332</v>
      </c>
      <c r="R5332" s="1" t="s">
        <v>17332</v>
      </c>
      <c r="S5332" s="1"/>
      <c r="T5332" s="1" t="s">
        <v>609</v>
      </c>
      <c r="U5332" s="1"/>
      <c r="V5332" s="1">
        <v>800.5</v>
      </c>
      <c r="W5332" s="1">
        <v>800.5</v>
      </c>
      <c r="X5332" s="1" t="s">
        <v>35</v>
      </c>
      <c r="Y5332" s="1">
        <v>800500</v>
      </c>
      <c r="Z5332" s="1"/>
      <c r="AA5332" s="1">
        <v>800500</v>
      </c>
      <c r="AB5332" s="1"/>
      <c r="AC5332" s="1" t="s">
        <v>36</v>
      </c>
      <c r="AD5332" s="1" t="s">
        <v>18066</v>
      </c>
      <c r="AE5332" s="1" t="s">
        <v>32</v>
      </c>
      <c r="AF5332" s="1" t="s">
        <v>33</v>
      </c>
      <c r="AG5332" s="1" t="s">
        <v>270</v>
      </c>
    </row>
    <row r="5333" spans="1:33">
      <c r="A5333" t="s">
        <v>18073</v>
      </c>
      <c r="B5333" t="s">
        <v>18050</v>
      </c>
      <c r="C5333" t="s">
        <v>73</v>
      </c>
      <c r="E5333" t="s">
        <v>17332</v>
      </c>
      <c r="F5333" t="s">
        <v>16399</v>
      </c>
      <c r="G5333">
        <v>8.652</v>
      </c>
      <c r="H5333">
        <v>8.652</v>
      </c>
      <c r="I5333" t="s">
        <v>40</v>
      </c>
      <c r="J5333" t="s">
        <v>41</v>
      </c>
      <c r="K5333" t="s">
        <v>31</v>
      </c>
      <c r="L5333" t="s">
        <v>32</v>
      </c>
      <c r="M5333" t="s">
        <v>33</v>
      </c>
      <c r="P5333" s="1" t="s">
        <v>18074</v>
      </c>
      <c r="Q5333" s="1" t="s">
        <v>17332</v>
      </c>
      <c r="R5333" s="1" t="s">
        <v>16369</v>
      </c>
      <c r="S5333" s="1"/>
      <c r="T5333" s="1" t="s">
        <v>75</v>
      </c>
      <c r="U5333" s="1" t="s">
        <v>76</v>
      </c>
      <c r="V5333" s="1">
        <v>8.652</v>
      </c>
      <c r="W5333" s="1">
        <v>8.652</v>
      </c>
      <c r="X5333" s="1" t="s">
        <v>35</v>
      </c>
      <c r="Y5333" s="1">
        <v>8652</v>
      </c>
      <c r="Z5333" s="1"/>
      <c r="AA5333" s="1">
        <v>8652</v>
      </c>
      <c r="AB5333" s="1"/>
      <c r="AC5333" s="1" t="s">
        <v>36</v>
      </c>
      <c r="AD5333" s="1" t="s">
        <v>18075</v>
      </c>
      <c r="AE5333" s="1" t="s">
        <v>32</v>
      </c>
      <c r="AF5333" s="1" t="s">
        <v>33</v>
      </c>
      <c r="AG5333" s="1" t="s">
        <v>41</v>
      </c>
    </row>
    <row r="5334" spans="1:33">
      <c r="A5334" t="s">
        <v>18076</v>
      </c>
      <c r="C5334" t="s">
        <v>2197</v>
      </c>
      <c r="E5334" t="s">
        <v>17332</v>
      </c>
      <c r="F5334" t="s">
        <v>16399</v>
      </c>
      <c r="G5334">
        <v>223.26</v>
      </c>
      <c r="H5334">
        <v>223.26</v>
      </c>
      <c r="I5334" t="s">
        <v>570</v>
      </c>
      <c r="J5334" t="s">
        <v>571</v>
      </c>
      <c r="K5334" t="s">
        <v>31</v>
      </c>
      <c r="L5334" t="s">
        <v>32</v>
      </c>
      <c r="M5334" t="s">
        <v>33</v>
      </c>
      <c r="P5334" s="1" t="s">
        <v>18077</v>
      </c>
      <c r="Q5334" s="1" t="s">
        <v>17332</v>
      </c>
      <c r="R5334" s="1" t="s">
        <v>17332</v>
      </c>
      <c r="S5334" s="1"/>
      <c r="T5334" s="1" t="s">
        <v>2197</v>
      </c>
      <c r="U5334" s="1"/>
      <c r="V5334" s="1">
        <v>223.26</v>
      </c>
      <c r="W5334" s="1">
        <v>223.26</v>
      </c>
      <c r="X5334" s="1" t="s">
        <v>35</v>
      </c>
      <c r="Y5334" s="1">
        <v>223260</v>
      </c>
      <c r="Z5334" s="1"/>
      <c r="AA5334" s="1">
        <v>223260</v>
      </c>
      <c r="AB5334" s="1"/>
      <c r="AC5334" s="1" t="s">
        <v>36</v>
      </c>
      <c r="AD5334" s="1" t="s">
        <v>17850</v>
      </c>
      <c r="AE5334" s="1" t="s">
        <v>32</v>
      </c>
      <c r="AF5334" s="1" t="s">
        <v>33</v>
      </c>
      <c r="AG5334" s="1" t="s">
        <v>571</v>
      </c>
    </row>
    <row r="5335" spans="1:33">
      <c r="A5335" t="s">
        <v>18078</v>
      </c>
      <c r="B5335" t="s">
        <v>493</v>
      </c>
      <c r="C5335" t="s">
        <v>268</v>
      </c>
      <c r="E5335" t="s">
        <v>17332</v>
      </c>
      <c r="F5335" t="s">
        <v>16399</v>
      </c>
      <c r="G5335">
        <v>50.65</v>
      </c>
      <c r="H5335">
        <v>50.65</v>
      </c>
      <c r="I5335" t="s">
        <v>269</v>
      </c>
      <c r="J5335" t="s">
        <v>270</v>
      </c>
      <c r="K5335" t="s">
        <v>31</v>
      </c>
      <c r="L5335" t="s">
        <v>32</v>
      </c>
      <c r="M5335" t="s">
        <v>33</v>
      </c>
      <c r="P5335" s="1" t="s">
        <v>18079</v>
      </c>
      <c r="Q5335" s="1" t="s">
        <v>17332</v>
      </c>
      <c r="R5335" s="1" t="s">
        <v>17332</v>
      </c>
      <c r="S5335" s="1"/>
      <c r="T5335" s="1" t="s">
        <v>268</v>
      </c>
      <c r="U5335" s="1"/>
      <c r="V5335" s="1">
        <v>50.65</v>
      </c>
      <c r="W5335" s="1">
        <v>50.65</v>
      </c>
      <c r="X5335" s="1" t="s">
        <v>35</v>
      </c>
      <c r="Y5335" s="1">
        <v>50650</v>
      </c>
      <c r="Z5335" s="1"/>
      <c r="AA5335" s="1">
        <v>50650</v>
      </c>
      <c r="AB5335" s="1"/>
      <c r="AC5335" s="1" t="s">
        <v>36</v>
      </c>
      <c r="AD5335" s="1" t="s">
        <v>18080</v>
      </c>
      <c r="AE5335" s="1" t="s">
        <v>32</v>
      </c>
      <c r="AF5335" s="1" t="s">
        <v>33</v>
      </c>
      <c r="AG5335" s="1" t="s">
        <v>270</v>
      </c>
    </row>
    <row r="5336" spans="1:33">
      <c r="A5336" t="s">
        <v>18081</v>
      </c>
      <c r="C5336" t="s">
        <v>1652</v>
      </c>
      <c r="D5336" t="s">
        <v>114</v>
      </c>
      <c r="E5336" t="s">
        <v>17332</v>
      </c>
      <c r="F5336" t="s">
        <v>16399</v>
      </c>
      <c r="G5336">
        <v>58.5</v>
      </c>
      <c r="H5336">
        <v>58.5</v>
      </c>
      <c r="I5336" t="s">
        <v>94</v>
      </c>
      <c r="J5336" t="s">
        <v>95</v>
      </c>
      <c r="K5336" t="s">
        <v>31</v>
      </c>
      <c r="L5336" t="s">
        <v>32</v>
      </c>
      <c r="M5336" t="s">
        <v>33</v>
      </c>
      <c r="P5336" s="1" t="s">
        <v>18082</v>
      </c>
      <c r="Q5336" s="1" t="s">
        <v>17332</v>
      </c>
      <c r="R5336" s="1" t="s">
        <v>17332</v>
      </c>
      <c r="S5336" s="1"/>
      <c r="T5336" s="1" t="s">
        <v>1652</v>
      </c>
      <c r="U5336" s="1"/>
      <c r="V5336" s="1">
        <v>58.5</v>
      </c>
      <c r="W5336" s="1">
        <v>58.5</v>
      </c>
      <c r="X5336" s="1" t="s">
        <v>35</v>
      </c>
      <c r="Y5336" s="1">
        <v>58500</v>
      </c>
      <c r="Z5336" s="1"/>
      <c r="AA5336" s="1">
        <v>58500</v>
      </c>
      <c r="AB5336" s="1"/>
      <c r="AC5336" s="1" t="s">
        <v>36</v>
      </c>
      <c r="AD5336" s="1" t="s">
        <v>18080</v>
      </c>
      <c r="AE5336" s="1" t="s">
        <v>32</v>
      </c>
      <c r="AF5336" s="1" t="s">
        <v>33</v>
      </c>
      <c r="AG5336" s="1" t="s">
        <v>95</v>
      </c>
    </row>
    <row r="5337" spans="1:33">
      <c r="A5337" t="s">
        <v>18083</v>
      </c>
      <c r="C5337" t="s">
        <v>4421</v>
      </c>
      <c r="E5337" t="s">
        <v>17332</v>
      </c>
      <c r="F5337" t="s">
        <v>16399</v>
      </c>
      <c r="G5337">
        <v>328.0</v>
      </c>
      <c r="H5337">
        <v>328.0</v>
      </c>
      <c r="I5337" t="s">
        <v>269</v>
      </c>
      <c r="J5337" t="s">
        <v>270</v>
      </c>
      <c r="K5337" t="s">
        <v>31</v>
      </c>
      <c r="L5337" t="s">
        <v>32</v>
      </c>
      <c r="M5337" t="s">
        <v>33</v>
      </c>
      <c r="P5337" s="1" t="s">
        <v>18084</v>
      </c>
      <c r="Q5337" s="1" t="s">
        <v>17332</v>
      </c>
      <c r="R5337" s="1" t="s">
        <v>17332</v>
      </c>
      <c r="S5337" s="1"/>
      <c r="T5337" s="1" t="s">
        <v>4421</v>
      </c>
      <c r="U5337" s="1"/>
      <c r="V5337" s="1">
        <v>328.0</v>
      </c>
      <c r="W5337" s="1">
        <v>328.0</v>
      </c>
      <c r="X5337" s="1" t="s">
        <v>35</v>
      </c>
      <c r="Y5337" s="1">
        <v>328000</v>
      </c>
      <c r="Z5337" s="1"/>
      <c r="AA5337" s="1">
        <v>328000</v>
      </c>
      <c r="AB5337" s="1"/>
      <c r="AC5337" s="1" t="s">
        <v>36</v>
      </c>
      <c r="AD5337" s="1" t="s">
        <v>18085</v>
      </c>
      <c r="AE5337" s="1" t="s">
        <v>32</v>
      </c>
      <c r="AF5337" s="1" t="s">
        <v>33</v>
      </c>
      <c r="AG5337" s="1" t="s">
        <v>270</v>
      </c>
    </row>
    <row r="5338" spans="1:33">
      <c r="A5338" t="s">
        <v>18086</v>
      </c>
      <c r="B5338" t="s">
        <v>18087</v>
      </c>
      <c r="C5338" t="s">
        <v>125</v>
      </c>
      <c r="E5338" t="s">
        <v>17332</v>
      </c>
      <c r="F5338" t="s">
        <v>16399</v>
      </c>
      <c r="G5338">
        <v>50.68</v>
      </c>
      <c r="H5338">
        <v>50.68</v>
      </c>
      <c r="I5338" t="s">
        <v>126</v>
      </c>
      <c r="J5338" t="s">
        <v>127</v>
      </c>
      <c r="K5338" t="s">
        <v>31</v>
      </c>
      <c r="L5338" t="s">
        <v>32</v>
      </c>
      <c r="M5338" t="s">
        <v>33</v>
      </c>
      <c r="P5338" s="1" t="s">
        <v>18088</v>
      </c>
      <c r="Q5338" s="1" t="s">
        <v>17332</v>
      </c>
      <c r="R5338" s="1" t="s">
        <v>17332</v>
      </c>
      <c r="S5338" s="1"/>
      <c r="T5338" s="1" t="s">
        <v>125</v>
      </c>
      <c r="U5338" s="1"/>
      <c r="V5338" s="1">
        <v>50.68</v>
      </c>
      <c r="W5338" s="1">
        <v>50.68</v>
      </c>
      <c r="X5338" s="1" t="s">
        <v>35</v>
      </c>
      <c r="Y5338" s="1">
        <v>50680</v>
      </c>
      <c r="Z5338" s="1"/>
      <c r="AA5338" s="1">
        <v>50680</v>
      </c>
      <c r="AB5338" s="1"/>
      <c r="AC5338" s="1" t="s">
        <v>36</v>
      </c>
      <c r="AD5338" s="1" t="s">
        <v>18089</v>
      </c>
      <c r="AE5338" s="1" t="s">
        <v>32</v>
      </c>
      <c r="AF5338" s="1" t="s">
        <v>33</v>
      </c>
      <c r="AG5338" s="1" t="s">
        <v>127</v>
      </c>
    </row>
    <row r="5339" spans="1:33">
      <c r="A5339" t="s">
        <v>18090</v>
      </c>
      <c r="C5339" t="s">
        <v>18091</v>
      </c>
      <c r="E5339" t="s">
        <v>17332</v>
      </c>
      <c r="F5339" t="s">
        <v>16399</v>
      </c>
      <c r="G5339">
        <v>374.0</v>
      </c>
      <c r="H5339">
        <v>374.0</v>
      </c>
      <c r="I5339" t="s">
        <v>40</v>
      </c>
      <c r="J5339" t="s">
        <v>41</v>
      </c>
      <c r="K5339" t="s">
        <v>31</v>
      </c>
      <c r="L5339" t="s">
        <v>32</v>
      </c>
      <c r="M5339" t="s">
        <v>33</v>
      </c>
      <c r="P5339" s="1" t="s">
        <v>18092</v>
      </c>
      <c r="Q5339" s="1" t="s">
        <v>17332</v>
      </c>
      <c r="R5339" s="1" t="s">
        <v>16369</v>
      </c>
      <c r="S5339" s="1"/>
      <c r="T5339" s="1" t="s">
        <v>18091</v>
      </c>
      <c r="U5339" s="1"/>
      <c r="V5339" s="1">
        <v>374.0</v>
      </c>
      <c r="W5339" s="1">
        <v>374.0</v>
      </c>
      <c r="X5339" s="1" t="s">
        <v>35</v>
      </c>
      <c r="Y5339" s="1">
        <v>374000</v>
      </c>
      <c r="Z5339" s="1"/>
      <c r="AA5339" s="1">
        <v>374000</v>
      </c>
      <c r="AB5339" s="1"/>
      <c r="AC5339" s="1" t="s">
        <v>36</v>
      </c>
      <c r="AD5339" s="1" t="s">
        <v>18080</v>
      </c>
      <c r="AE5339" s="1" t="s">
        <v>32</v>
      </c>
      <c r="AF5339" s="1" t="s">
        <v>33</v>
      </c>
      <c r="AG5339" s="1" t="s">
        <v>41</v>
      </c>
    </row>
    <row r="5340" spans="1:33">
      <c r="A5340" t="s">
        <v>18093</v>
      </c>
      <c r="B5340" t="s">
        <v>735</v>
      </c>
      <c r="C5340" t="s">
        <v>736</v>
      </c>
      <c r="E5340" t="s">
        <v>17332</v>
      </c>
      <c r="F5340" t="s">
        <v>16399</v>
      </c>
      <c r="G5340">
        <v>388.5</v>
      </c>
      <c r="H5340">
        <v>388.5</v>
      </c>
      <c r="I5340" t="s">
        <v>59</v>
      </c>
      <c r="J5340" t="s">
        <v>60</v>
      </c>
      <c r="K5340" t="s">
        <v>31</v>
      </c>
      <c r="L5340" t="s">
        <v>32</v>
      </c>
      <c r="M5340" t="s">
        <v>33</v>
      </c>
      <c r="P5340" s="1" t="s">
        <v>18094</v>
      </c>
      <c r="Q5340" s="1" t="s">
        <v>17332</v>
      </c>
      <c r="R5340" s="1" t="s">
        <v>17332</v>
      </c>
      <c r="S5340" s="1"/>
      <c r="T5340" s="1" t="s">
        <v>736</v>
      </c>
      <c r="U5340" s="1"/>
      <c r="V5340" s="1">
        <v>388.5</v>
      </c>
      <c r="W5340" s="1">
        <v>388.5</v>
      </c>
      <c r="X5340" s="1" t="s">
        <v>35</v>
      </c>
      <c r="Y5340" s="1">
        <v>388500</v>
      </c>
      <c r="Z5340" s="1"/>
      <c r="AA5340" s="1">
        <v>388500</v>
      </c>
      <c r="AB5340" s="1"/>
      <c r="AC5340" s="1" t="s">
        <v>36</v>
      </c>
      <c r="AD5340" s="1" t="s">
        <v>18080</v>
      </c>
      <c r="AE5340" s="1" t="s">
        <v>32</v>
      </c>
      <c r="AF5340" s="1" t="s">
        <v>33</v>
      </c>
      <c r="AG5340" s="1" t="s">
        <v>60</v>
      </c>
    </row>
    <row r="5341" spans="1:33">
      <c r="A5341" t="s">
        <v>18095</v>
      </c>
      <c r="B5341" t="s">
        <v>18096</v>
      </c>
      <c r="C5341" t="s">
        <v>172</v>
      </c>
      <c r="E5341" t="s">
        <v>17332</v>
      </c>
      <c r="F5341" t="s">
        <v>16399</v>
      </c>
      <c r="G5341">
        <v>49.48</v>
      </c>
      <c r="H5341">
        <v>49.48</v>
      </c>
      <c r="I5341" t="s">
        <v>173</v>
      </c>
      <c r="J5341" t="s">
        <v>174</v>
      </c>
      <c r="K5341" t="s">
        <v>31</v>
      </c>
      <c r="L5341" t="s">
        <v>32</v>
      </c>
      <c r="M5341" t="s">
        <v>33</v>
      </c>
      <c r="P5341" s="1" t="s">
        <v>18097</v>
      </c>
      <c r="Q5341" s="1" t="s">
        <v>17332</v>
      </c>
      <c r="R5341" s="1" t="s">
        <v>17332</v>
      </c>
      <c r="S5341" s="1"/>
      <c r="T5341" s="1" t="s">
        <v>172</v>
      </c>
      <c r="U5341" s="1"/>
      <c r="V5341" s="1">
        <v>49.48</v>
      </c>
      <c r="W5341" s="1">
        <v>49.48</v>
      </c>
      <c r="X5341" s="1" t="s">
        <v>35</v>
      </c>
      <c r="Y5341" s="1">
        <v>49480</v>
      </c>
      <c r="Z5341" s="1"/>
      <c r="AA5341" s="1">
        <v>49480</v>
      </c>
      <c r="AB5341" s="1"/>
      <c r="AC5341" s="1" t="s">
        <v>36</v>
      </c>
      <c r="AD5341" s="1" t="s">
        <v>18098</v>
      </c>
      <c r="AE5341" s="1" t="s">
        <v>32</v>
      </c>
      <c r="AF5341" s="1" t="s">
        <v>33</v>
      </c>
      <c r="AG5341" s="1" t="s">
        <v>174</v>
      </c>
    </row>
    <row r="5342" spans="1:33">
      <c r="A5342" t="s">
        <v>18099</v>
      </c>
      <c r="B5342" t="s">
        <v>18100</v>
      </c>
      <c r="C5342" t="s">
        <v>172</v>
      </c>
      <c r="E5342" t="s">
        <v>17332</v>
      </c>
      <c r="F5342" t="s">
        <v>16399</v>
      </c>
      <c r="G5342">
        <v>72.73</v>
      </c>
      <c r="H5342">
        <v>72.73</v>
      </c>
      <c r="I5342" t="s">
        <v>173</v>
      </c>
      <c r="J5342" t="s">
        <v>174</v>
      </c>
      <c r="K5342" t="s">
        <v>31</v>
      </c>
      <c r="L5342" t="s">
        <v>32</v>
      </c>
      <c r="M5342" t="s">
        <v>33</v>
      </c>
      <c r="P5342" s="1" t="s">
        <v>18101</v>
      </c>
      <c r="Q5342" s="1" t="s">
        <v>17332</v>
      </c>
      <c r="R5342" s="1" t="s">
        <v>17332</v>
      </c>
      <c r="S5342" s="1"/>
      <c r="T5342" s="1" t="s">
        <v>172</v>
      </c>
      <c r="U5342" s="1"/>
      <c r="V5342" s="1">
        <v>72.73</v>
      </c>
      <c r="W5342" s="1">
        <v>72.73</v>
      </c>
      <c r="X5342" s="1" t="s">
        <v>35</v>
      </c>
      <c r="Y5342" s="1">
        <v>72730</v>
      </c>
      <c r="Z5342" s="1"/>
      <c r="AA5342" s="1">
        <v>72730</v>
      </c>
      <c r="AB5342" s="1"/>
      <c r="AC5342" s="1" t="s">
        <v>36</v>
      </c>
      <c r="AD5342" s="1" t="s">
        <v>18102</v>
      </c>
      <c r="AE5342" s="1" t="s">
        <v>32</v>
      </c>
      <c r="AF5342" s="1" t="s">
        <v>33</v>
      </c>
      <c r="AG5342" s="1" t="s">
        <v>174</v>
      </c>
    </row>
    <row r="5343" spans="1:33">
      <c r="A5343" t="s">
        <v>18103</v>
      </c>
      <c r="B5343" t="s">
        <v>18104</v>
      </c>
      <c r="C5343" t="s">
        <v>16389</v>
      </c>
      <c r="E5343" t="s">
        <v>17332</v>
      </c>
      <c r="F5343" t="s">
        <v>16399</v>
      </c>
      <c r="G5343">
        <v>26.0</v>
      </c>
      <c r="H5343">
        <v>26.0</v>
      </c>
      <c r="I5343" t="s">
        <v>16390</v>
      </c>
      <c r="J5343" t="s">
        <v>16391</v>
      </c>
      <c r="K5343" t="s">
        <v>31</v>
      </c>
      <c r="L5343" t="s">
        <v>32</v>
      </c>
      <c r="M5343" t="s">
        <v>33</v>
      </c>
      <c r="P5343" s="1" t="s">
        <v>18105</v>
      </c>
      <c r="Q5343" s="1" t="s">
        <v>17332</v>
      </c>
      <c r="R5343" s="1" t="s">
        <v>16369</v>
      </c>
      <c r="S5343" s="1"/>
      <c r="T5343" s="1" t="s">
        <v>16389</v>
      </c>
      <c r="U5343" s="1"/>
      <c r="V5343" s="1">
        <v>26.0</v>
      </c>
      <c r="W5343" s="1">
        <v>26.0</v>
      </c>
      <c r="X5343" s="1" t="s">
        <v>35</v>
      </c>
      <c r="Y5343" s="1">
        <v>26000</v>
      </c>
      <c r="Z5343" s="1"/>
      <c r="AA5343" s="1">
        <v>26000</v>
      </c>
      <c r="AB5343" s="1"/>
      <c r="AC5343" s="1" t="s">
        <v>36</v>
      </c>
      <c r="AD5343" s="1" t="s">
        <v>18106</v>
      </c>
      <c r="AE5343" s="1" t="s">
        <v>32</v>
      </c>
      <c r="AF5343" s="1" t="s">
        <v>33</v>
      </c>
      <c r="AG5343" s="1" t="s">
        <v>16391</v>
      </c>
    </row>
    <row r="5344" spans="1:33">
      <c r="A5344" t="s">
        <v>18107</v>
      </c>
      <c r="B5344" t="s">
        <v>18108</v>
      </c>
      <c r="C5344" t="s">
        <v>569</v>
      </c>
      <c r="E5344" t="s">
        <v>17332</v>
      </c>
      <c r="F5344" t="s">
        <v>16399</v>
      </c>
      <c r="G5344">
        <v>353.878</v>
      </c>
      <c r="H5344">
        <v>353.878</v>
      </c>
      <c r="I5344" t="s">
        <v>570</v>
      </c>
      <c r="J5344" t="s">
        <v>571</v>
      </c>
      <c r="K5344" t="s">
        <v>31</v>
      </c>
      <c r="L5344" t="s">
        <v>32</v>
      </c>
      <c r="M5344" t="s">
        <v>33</v>
      </c>
      <c r="P5344" s="1" t="s">
        <v>18109</v>
      </c>
      <c r="Q5344" s="1" t="s">
        <v>17332</v>
      </c>
      <c r="R5344" s="1" t="s">
        <v>17332</v>
      </c>
      <c r="S5344" s="1"/>
      <c r="T5344" s="1" t="s">
        <v>569</v>
      </c>
      <c r="U5344" s="1"/>
      <c r="V5344" s="1">
        <v>353.878</v>
      </c>
      <c r="W5344" s="1">
        <v>353.878</v>
      </c>
      <c r="X5344" s="1" t="s">
        <v>35</v>
      </c>
      <c r="Y5344" s="1">
        <v>353878</v>
      </c>
      <c r="Z5344" s="1"/>
      <c r="AA5344" s="1">
        <v>353878</v>
      </c>
      <c r="AB5344" s="1"/>
      <c r="AC5344" s="1" t="s">
        <v>36</v>
      </c>
      <c r="AD5344" s="1" t="s">
        <v>18110</v>
      </c>
      <c r="AE5344" s="1" t="s">
        <v>32</v>
      </c>
      <c r="AF5344" s="1" t="s">
        <v>33</v>
      </c>
      <c r="AG5344" s="1" t="s">
        <v>571</v>
      </c>
    </row>
    <row r="5345" spans="1:33">
      <c r="A5345" t="s">
        <v>18111</v>
      </c>
      <c r="B5345" t="s">
        <v>17895</v>
      </c>
      <c r="C5345" t="s">
        <v>314</v>
      </c>
      <c r="E5345" t="s">
        <v>17332</v>
      </c>
      <c r="F5345" t="s">
        <v>16399</v>
      </c>
      <c r="G5345">
        <v>67.48</v>
      </c>
      <c r="H5345">
        <v>67.48</v>
      </c>
      <c r="I5345" t="s">
        <v>17818</v>
      </c>
      <c r="J5345" t="s">
        <v>180</v>
      </c>
      <c r="K5345" t="s">
        <v>31</v>
      </c>
      <c r="L5345" t="s">
        <v>32</v>
      </c>
      <c r="M5345" t="s">
        <v>33</v>
      </c>
      <c r="P5345" s="1" t="s">
        <v>18112</v>
      </c>
      <c r="Q5345" s="1" t="s">
        <v>17332</v>
      </c>
      <c r="R5345" s="1" t="s">
        <v>17332</v>
      </c>
      <c r="S5345" s="1"/>
      <c r="T5345" s="1" t="s">
        <v>314</v>
      </c>
      <c r="U5345" s="1"/>
      <c r="V5345" s="1">
        <v>67.48</v>
      </c>
      <c r="W5345" s="1">
        <v>67.48</v>
      </c>
      <c r="X5345" s="1" t="s">
        <v>35</v>
      </c>
      <c r="Y5345" s="1">
        <v>67480</v>
      </c>
      <c r="Z5345" s="1"/>
      <c r="AA5345" s="1">
        <v>67480</v>
      </c>
      <c r="AB5345" s="1"/>
      <c r="AC5345" s="1" t="s">
        <v>36</v>
      </c>
      <c r="AD5345" s="1" t="s">
        <v>18113</v>
      </c>
      <c r="AE5345" s="1" t="s">
        <v>32</v>
      </c>
      <c r="AF5345" s="1" t="s">
        <v>33</v>
      </c>
      <c r="AG5345" s="1" t="s">
        <v>180</v>
      </c>
    </row>
    <row r="5346" spans="1:33">
      <c r="A5346" t="s">
        <v>18114</v>
      </c>
      <c r="C5346" t="s">
        <v>4634</v>
      </c>
      <c r="E5346" t="s">
        <v>17332</v>
      </c>
      <c r="F5346" t="s">
        <v>16399</v>
      </c>
      <c r="G5346">
        <v>723.0</v>
      </c>
      <c r="H5346">
        <v>723.0</v>
      </c>
      <c r="I5346" t="s">
        <v>269</v>
      </c>
      <c r="J5346" t="s">
        <v>270</v>
      </c>
      <c r="K5346" t="s">
        <v>31</v>
      </c>
      <c r="L5346" t="s">
        <v>32</v>
      </c>
      <c r="M5346" t="s">
        <v>33</v>
      </c>
      <c r="P5346" s="1" t="s">
        <v>18115</v>
      </c>
      <c r="Q5346" s="1" t="s">
        <v>17332</v>
      </c>
      <c r="R5346" s="1" t="s">
        <v>17332</v>
      </c>
      <c r="S5346" s="1"/>
      <c r="T5346" s="1" t="s">
        <v>4634</v>
      </c>
      <c r="U5346" s="1"/>
      <c r="V5346" s="1">
        <v>723.0</v>
      </c>
      <c r="W5346" s="1">
        <v>723.0</v>
      </c>
      <c r="X5346" s="1" t="s">
        <v>35</v>
      </c>
      <c r="Y5346" s="1">
        <v>723000</v>
      </c>
      <c r="Z5346" s="1"/>
      <c r="AA5346" s="1">
        <v>723000</v>
      </c>
      <c r="AB5346" s="1"/>
      <c r="AC5346" s="1" t="s">
        <v>36</v>
      </c>
      <c r="AD5346" s="1" t="s">
        <v>18116</v>
      </c>
      <c r="AE5346" s="1" t="s">
        <v>32</v>
      </c>
      <c r="AF5346" s="1" t="s">
        <v>33</v>
      </c>
      <c r="AG5346" s="1" t="s">
        <v>270</v>
      </c>
    </row>
    <row r="5347" spans="1:33">
      <c r="A5347" t="s">
        <v>18117</v>
      </c>
      <c r="B5347" t="s">
        <v>8534</v>
      </c>
      <c r="C5347" t="s">
        <v>47</v>
      </c>
      <c r="E5347" t="s">
        <v>17332</v>
      </c>
      <c r="F5347" t="s">
        <v>16399</v>
      </c>
      <c r="G5347">
        <v>85.47</v>
      </c>
      <c r="H5347">
        <v>85.47</v>
      </c>
      <c r="I5347" t="s">
        <v>2206</v>
      </c>
      <c r="J5347" t="s">
        <v>49</v>
      </c>
      <c r="K5347" t="s">
        <v>31</v>
      </c>
      <c r="L5347" t="s">
        <v>32</v>
      </c>
      <c r="M5347" t="s">
        <v>33</v>
      </c>
      <c r="P5347" s="1" t="s">
        <v>18118</v>
      </c>
      <c r="Q5347" s="1" t="s">
        <v>17332</v>
      </c>
      <c r="R5347" s="1" t="s">
        <v>17332</v>
      </c>
      <c r="S5347" s="1"/>
      <c r="T5347" s="1" t="s">
        <v>47</v>
      </c>
      <c r="U5347" s="1"/>
      <c r="V5347" s="1">
        <v>85.47</v>
      </c>
      <c r="W5347" s="1">
        <v>85.47</v>
      </c>
      <c r="X5347" s="1" t="s">
        <v>35</v>
      </c>
      <c r="Y5347" s="1">
        <v>85470</v>
      </c>
      <c r="Z5347" s="1"/>
      <c r="AA5347" s="1">
        <v>85470</v>
      </c>
      <c r="AB5347" s="1"/>
      <c r="AC5347" s="1" t="s">
        <v>36</v>
      </c>
      <c r="AD5347" s="1" t="s">
        <v>18119</v>
      </c>
      <c r="AE5347" s="1" t="s">
        <v>32</v>
      </c>
      <c r="AF5347" s="1" t="s">
        <v>33</v>
      </c>
      <c r="AG5347" s="1" t="s">
        <v>49</v>
      </c>
    </row>
    <row r="5348" spans="1:33">
      <c r="A5348" t="s">
        <v>18120</v>
      </c>
      <c r="C5348" t="s">
        <v>617</v>
      </c>
      <c r="E5348" t="s">
        <v>17332</v>
      </c>
      <c r="F5348" t="s">
        <v>16399</v>
      </c>
      <c r="G5348">
        <v>320.0</v>
      </c>
      <c r="H5348">
        <v>320.0</v>
      </c>
      <c r="I5348" t="s">
        <v>40</v>
      </c>
      <c r="J5348" t="s">
        <v>41</v>
      </c>
      <c r="K5348" t="s">
        <v>31</v>
      </c>
      <c r="L5348" t="s">
        <v>32</v>
      </c>
      <c r="M5348" t="s">
        <v>33</v>
      </c>
      <c r="P5348" s="1" t="s">
        <v>18121</v>
      </c>
      <c r="Q5348" s="1" t="s">
        <v>17332</v>
      </c>
      <c r="R5348" s="1" t="s">
        <v>16369</v>
      </c>
      <c r="S5348" s="1"/>
      <c r="T5348" s="1" t="s">
        <v>619</v>
      </c>
      <c r="U5348" s="1" t="s">
        <v>620</v>
      </c>
      <c r="V5348" s="1">
        <v>320.0</v>
      </c>
      <c r="W5348" s="1">
        <v>320.0</v>
      </c>
      <c r="X5348" s="1" t="s">
        <v>35</v>
      </c>
      <c r="Y5348" s="1">
        <v>320000</v>
      </c>
      <c r="Z5348" s="1"/>
      <c r="AA5348" s="1">
        <v>320000</v>
      </c>
      <c r="AB5348" s="1"/>
      <c r="AC5348" s="1" t="s">
        <v>36</v>
      </c>
      <c r="AD5348" s="1" t="s">
        <v>18122</v>
      </c>
      <c r="AE5348" s="1" t="s">
        <v>32</v>
      </c>
      <c r="AF5348" s="1" t="s">
        <v>33</v>
      </c>
      <c r="AG5348" s="1" t="s">
        <v>41</v>
      </c>
    </row>
    <row r="5349" spans="1:33">
      <c r="A5349" t="s">
        <v>18123</v>
      </c>
      <c r="C5349" t="s">
        <v>901</v>
      </c>
      <c r="D5349" t="s">
        <v>114</v>
      </c>
      <c r="E5349" t="s">
        <v>17332</v>
      </c>
      <c r="F5349" t="s">
        <v>16399</v>
      </c>
      <c r="G5349">
        <v>688.0</v>
      </c>
      <c r="H5349">
        <v>688.0</v>
      </c>
      <c r="I5349" t="s">
        <v>269</v>
      </c>
      <c r="J5349" t="s">
        <v>270</v>
      </c>
      <c r="K5349" t="s">
        <v>31</v>
      </c>
      <c r="L5349" t="s">
        <v>32</v>
      </c>
      <c r="M5349" t="s">
        <v>33</v>
      </c>
      <c r="P5349" s="1" t="s">
        <v>18124</v>
      </c>
      <c r="Q5349" s="1" t="s">
        <v>17332</v>
      </c>
      <c r="R5349" s="1" t="s">
        <v>17332</v>
      </c>
      <c r="S5349" s="1"/>
      <c r="T5349" s="1" t="s">
        <v>901</v>
      </c>
      <c r="U5349" s="1"/>
      <c r="V5349" s="1">
        <v>688.0</v>
      </c>
      <c r="W5349" s="1">
        <v>688.0</v>
      </c>
      <c r="X5349" s="1" t="s">
        <v>35</v>
      </c>
      <c r="Y5349" s="1">
        <v>688000</v>
      </c>
      <c r="Z5349" s="1"/>
      <c r="AA5349" s="1">
        <v>688000</v>
      </c>
      <c r="AB5349" s="1"/>
      <c r="AC5349" s="1" t="s">
        <v>36</v>
      </c>
      <c r="AD5349" s="1" t="s">
        <v>18125</v>
      </c>
      <c r="AE5349" s="1" t="s">
        <v>32</v>
      </c>
      <c r="AF5349" s="1" t="s">
        <v>33</v>
      </c>
      <c r="AG5349" s="1" t="s">
        <v>270</v>
      </c>
    </row>
    <row r="5350" spans="1:33">
      <c r="A5350" t="s">
        <v>18126</v>
      </c>
      <c r="C5350" t="s">
        <v>859</v>
      </c>
      <c r="D5350" t="s">
        <v>114</v>
      </c>
      <c r="E5350" t="s">
        <v>17332</v>
      </c>
      <c r="F5350" t="s">
        <v>16399</v>
      </c>
      <c r="G5350">
        <v>328.0</v>
      </c>
      <c r="H5350">
        <v>328.0</v>
      </c>
      <c r="I5350" t="s">
        <v>269</v>
      </c>
      <c r="J5350" t="s">
        <v>270</v>
      </c>
      <c r="K5350" t="s">
        <v>31</v>
      </c>
      <c r="L5350" t="s">
        <v>32</v>
      </c>
      <c r="M5350" t="s">
        <v>33</v>
      </c>
      <c r="P5350" s="1" t="s">
        <v>18127</v>
      </c>
      <c r="Q5350" s="1" t="s">
        <v>17332</v>
      </c>
      <c r="R5350" s="1" t="s">
        <v>17332</v>
      </c>
      <c r="S5350" s="1"/>
      <c r="T5350" s="1" t="s">
        <v>859</v>
      </c>
      <c r="U5350" s="1"/>
      <c r="V5350" s="1">
        <v>328.0</v>
      </c>
      <c r="W5350" s="1">
        <v>328.0</v>
      </c>
      <c r="X5350" s="1" t="s">
        <v>35</v>
      </c>
      <c r="Y5350" s="1">
        <v>328000</v>
      </c>
      <c r="Z5350" s="1"/>
      <c r="AA5350" s="1">
        <v>328000</v>
      </c>
      <c r="AB5350" s="1"/>
      <c r="AC5350" s="1" t="s">
        <v>36</v>
      </c>
      <c r="AD5350" s="1" t="s">
        <v>18089</v>
      </c>
      <c r="AE5350" s="1" t="s">
        <v>32</v>
      </c>
      <c r="AF5350" s="1" t="s">
        <v>33</v>
      </c>
      <c r="AG5350" s="1" t="s">
        <v>270</v>
      </c>
    </row>
    <row r="5351" spans="1:33">
      <c r="A5351" t="s">
        <v>18128</v>
      </c>
      <c r="C5351" t="s">
        <v>569</v>
      </c>
      <c r="E5351" t="s">
        <v>17332</v>
      </c>
      <c r="F5351" t="s">
        <v>16399</v>
      </c>
      <c r="G5351">
        <v>20.99</v>
      </c>
      <c r="H5351">
        <v>20.99</v>
      </c>
      <c r="I5351" t="s">
        <v>570</v>
      </c>
      <c r="J5351" t="s">
        <v>571</v>
      </c>
      <c r="K5351" t="s">
        <v>31</v>
      </c>
      <c r="L5351" t="s">
        <v>32</v>
      </c>
      <c r="M5351" t="s">
        <v>33</v>
      </c>
      <c r="P5351" s="1" t="s">
        <v>18129</v>
      </c>
      <c r="Q5351" s="1" t="s">
        <v>17332</v>
      </c>
      <c r="R5351" s="1" t="s">
        <v>17332</v>
      </c>
      <c r="S5351" s="1"/>
      <c r="T5351" s="1" t="s">
        <v>569</v>
      </c>
      <c r="U5351" s="1"/>
      <c r="V5351" s="1">
        <v>20.99</v>
      </c>
      <c r="W5351" s="1">
        <v>20.99</v>
      </c>
      <c r="X5351" s="1" t="s">
        <v>35</v>
      </c>
      <c r="Y5351" s="1">
        <v>20990</v>
      </c>
      <c r="Z5351" s="1"/>
      <c r="AA5351" s="1">
        <v>20990</v>
      </c>
      <c r="AB5351" s="1"/>
      <c r="AC5351" s="1" t="s">
        <v>36</v>
      </c>
      <c r="AD5351" s="1" t="s">
        <v>18122</v>
      </c>
      <c r="AE5351" s="1" t="s">
        <v>32</v>
      </c>
      <c r="AF5351" s="1" t="s">
        <v>33</v>
      </c>
      <c r="AG5351" s="1" t="s">
        <v>571</v>
      </c>
    </row>
    <row r="5352" spans="1:33">
      <c r="A5352" t="s">
        <v>18130</v>
      </c>
      <c r="B5352" t="s">
        <v>18131</v>
      </c>
      <c r="C5352" t="s">
        <v>314</v>
      </c>
      <c r="E5352" t="s">
        <v>17332</v>
      </c>
      <c r="F5352" t="s">
        <v>16399</v>
      </c>
      <c r="G5352">
        <v>18.59</v>
      </c>
      <c r="H5352">
        <v>18.59</v>
      </c>
      <c r="I5352" t="s">
        <v>17818</v>
      </c>
      <c r="J5352" t="s">
        <v>180</v>
      </c>
      <c r="K5352" t="s">
        <v>31</v>
      </c>
      <c r="L5352" t="s">
        <v>32</v>
      </c>
      <c r="M5352" t="s">
        <v>33</v>
      </c>
      <c r="P5352" s="1" t="s">
        <v>18132</v>
      </c>
      <c r="Q5352" s="1" t="s">
        <v>17332</v>
      </c>
      <c r="R5352" s="1" t="s">
        <v>17332</v>
      </c>
      <c r="S5352" s="1"/>
      <c r="T5352" s="1" t="s">
        <v>314</v>
      </c>
      <c r="U5352" s="1"/>
      <c r="V5352" s="1">
        <v>18.59</v>
      </c>
      <c r="W5352" s="1">
        <v>18.59</v>
      </c>
      <c r="X5352" s="1" t="s">
        <v>35</v>
      </c>
      <c r="Y5352" s="1">
        <v>18590</v>
      </c>
      <c r="Z5352" s="1"/>
      <c r="AA5352" s="1">
        <v>18590</v>
      </c>
      <c r="AB5352" s="1"/>
      <c r="AC5352" s="1" t="s">
        <v>36</v>
      </c>
      <c r="AD5352" s="1" t="s">
        <v>18133</v>
      </c>
      <c r="AE5352" s="1" t="s">
        <v>32</v>
      </c>
      <c r="AF5352" s="1" t="s">
        <v>33</v>
      </c>
      <c r="AG5352" s="1" t="s">
        <v>180</v>
      </c>
    </row>
    <row r="5353" spans="1:33">
      <c r="A5353" t="s">
        <v>18134</v>
      </c>
      <c r="B5353" t="s">
        <v>4853</v>
      </c>
      <c r="C5353" t="s">
        <v>268</v>
      </c>
      <c r="E5353" t="s">
        <v>17332</v>
      </c>
      <c r="F5353" t="s">
        <v>16399</v>
      </c>
      <c r="G5353">
        <v>107.2</v>
      </c>
      <c r="H5353">
        <v>107.2</v>
      </c>
      <c r="I5353" t="s">
        <v>269</v>
      </c>
      <c r="J5353" t="s">
        <v>270</v>
      </c>
      <c r="K5353" t="s">
        <v>31</v>
      </c>
      <c r="L5353" t="s">
        <v>32</v>
      </c>
      <c r="M5353" t="s">
        <v>33</v>
      </c>
      <c r="P5353" s="1" t="s">
        <v>18135</v>
      </c>
      <c r="Q5353" s="1" t="s">
        <v>17332</v>
      </c>
      <c r="R5353" s="1" t="s">
        <v>17332</v>
      </c>
      <c r="S5353" s="1"/>
      <c r="T5353" s="1" t="s">
        <v>268</v>
      </c>
      <c r="U5353" s="1"/>
      <c r="V5353" s="1">
        <v>107.2</v>
      </c>
      <c r="W5353" s="1">
        <v>107.2</v>
      </c>
      <c r="X5353" s="1" t="s">
        <v>35</v>
      </c>
      <c r="Y5353" s="1">
        <v>107200</v>
      </c>
      <c r="Z5353" s="1"/>
      <c r="AA5353" s="1">
        <v>107200</v>
      </c>
      <c r="AB5353" s="1"/>
      <c r="AC5353" s="1" t="s">
        <v>36</v>
      </c>
      <c r="AD5353" s="1" t="s">
        <v>18136</v>
      </c>
      <c r="AE5353" s="1" t="s">
        <v>32</v>
      </c>
      <c r="AF5353" s="1" t="s">
        <v>33</v>
      </c>
      <c r="AG5353" s="1" t="s">
        <v>270</v>
      </c>
    </row>
    <row r="5354" spans="1:33">
      <c r="A5354" t="s">
        <v>18137</v>
      </c>
      <c r="C5354" t="s">
        <v>4926</v>
      </c>
      <c r="D5354" t="s">
        <v>154</v>
      </c>
      <c r="E5354" t="s">
        <v>17332</v>
      </c>
      <c r="F5354" t="s">
        <v>16399</v>
      </c>
      <c r="G5354">
        <v>1.168</v>
      </c>
      <c r="H5354">
        <v>1.168</v>
      </c>
      <c r="I5354" t="s">
        <v>570</v>
      </c>
      <c r="J5354" t="s">
        <v>571</v>
      </c>
      <c r="K5354" t="s">
        <v>31</v>
      </c>
      <c r="L5354" t="s">
        <v>32</v>
      </c>
      <c r="M5354" t="s">
        <v>33</v>
      </c>
      <c r="P5354" s="1" t="s">
        <v>18138</v>
      </c>
      <c r="Q5354" s="1" t="s">
        <v>17332</v>
      </c>
      <c r="R5354" s="1" t="s">
        <v>17332</v>
      </c>
      <c r="S5354" s="1"/>
      <c r="T5354" s="1" t="s">
        <v>4926</v>
      </c>
      <c r="U5354" s="1"/>
      <c r="V5354" s="1">
        <v>1.168</v>
      </c>
      <c r="W5354" s="1">
        <v>1.168</v>
      </c>
      <c r="X5354" s="1" t="s">
        <v>35</v>
      </c>
      <c r="Y5354" s="1">
        <v>1168250</v>
      </c>
      <c r="Z5354" s="1"/>
      <c r="AA5354" s="1">
        <v>1168250</v>
      </c>
      <c r="AB5354" s="1"/>
      <c r="AC5354" s="1" t="s">
        <v>36</v>
      </c>
      <c r="AD5354" s="1" t="s">
        <v>18139</v>
      </c>
      <c r="AE5354" s="1" t="s">
        <v>32</v>
      </c>
      <c r="AF5354" s="1" t="s">
        <v>33</v>
      </c>
      <c r="AG5354" s="1" t="s">
        <v>571</v>
      </c>
    </row>
    <row r="5355" spans="1:33">
      <c r="A5355" t="s">
        <v>18140</v>
      </c>
      <c r="B5355" t="s">
        <v>18141</v>
      </c>
      <c r="C5355" t="s">
        <v>268</v>
      </c>
      <c r="E5355" t="s">
        <v>17332</v>
      </c>
      <c r="F5355" t="s">
        <v>16399</v>
      </c>
      <c r="G5355">
        <v>185.9</v>
      </c>
      <c r="H5355">
        <v>185.9</v>
      </c>
      <c r="I5355" t="s">
        <v>269</v>
      </c>
      <c r="J5355" t="s">
        <v>270</v>
      </c>
      <c r="K5355" t="s">
        <v>31</v>
      </c>
      <c r="L5355" t="s">
        <v>32</v>
      </c>
      <c r="M5355" t="s">
        <v>33</v>
      </c>
      <c r="P5355" s="1" t="s">
        <v>18142</v>
      </c>
      <c r="Q5355" s="1" t="s">
        <v>17332</v>
      </c>
      <c r="R5355" s="1" t="s">
        <v>17332</v>
      </c>
      <c r="S5355" s="1"/>
      <c r="T5355" s="1" t="s">
        <v>268</v>
      </c>
      <c r="U5355" s="1"/>
      <c r="V5355" s="1">
        <v>185.9</v>
      </c>
      <c r="W5355" s="1">
        <v>185.9</v>
      </c>
      <c r="X5355" s="1" t="s">
        <v>35</v>
      </c>
      <c r="Y5355" s="1">
        <v>185900</v>
      </c>
      <c r="Z5355" s="1"/>
      <c r="AA5355" s="1">
        <v>185900</v>
      </c>
      <c r="AB5355" s="1"/>
      <c r="AC5355" s="1" t="s">
        <v>36</v>
      </c>
      <c r="AD5355" s="1" t="s">
        <v>18143</v>
      </c>
      <c r="AE5355" s="1" t="s">
        <v>32</v>
      </c>
      <c r="AF5355" s="1" t="s">
        <v>33</v>
      </c>
      <c r="AG5355" s="1" t="s">
        <v>270</v>
      </c>
    </row>
    <row r="5356" spans="1:33">
      <c r="A5356" t="s">
        <v>18144</v>
      </c>
      <c r="B5356" t="s">
        <v>18145</v>
      </c>
      <c r="C5356" t="s">
        <v>73</v>
      </c>
      <c r="E5356" t="s">
        <v>17332</v>
      </c>
      <c r="F5356" t="s">
        <v>16399</v>
      </c>
      <c r="G5356">
        <v>337.5</v>
      </c>
      <c r="H5356">
        <v>337.5</v>
      </c>
      <c r="I5356" t="s">
        <v>40</v>
      </c>
      <c r="J5356" t="s">
        <v>41</v>
      </c>
      <c r="K5356" t="s">
        <v>31</v>
      </c>
      <c r="L5356" t="s">
        <v>32</v>
      </c>
      <c r="M5356" t="s">
        <v>33</v>
      </c>
      <c r="P5356" s="1" t="s">
        <v>18146</v>
      </c>
      <c r="Q5356" s="1" t="s">
        <v>17332</v>
      </c>
      <c r="R5356" s="1" t="s">
        <v>16369</v>
      </c>
      <c r="S5356" s="1"/>
      <c r="T5356" s="1" t="s">
        <v>75</v>
      </c>
      <c r="U5356" s="1" t="s">
        <v>76</v>
      </c>
      <c r="V5356" s="1">
        <v>337.5</v>
      </c>
      <c r="W5356" s="1">
        <v>337.5</v>
      </c>
      <c r="X5356" s="1" t="s">
        <v>35</v>
      </c>
      <c r="Y5356" s="1">
        <v>337500</v>
      </c>
      <c r="Z5356" s="1"/>
      <c r="AA5356" s="1">
        <v>337500</v>
      </c>
      <c r="AB5356" s="1"/>
      <c r="AC5356" s="1" t="s">
        <v>36</v>
      </c>
      <c r="AD5356" s="1" t="s">
        <v>18147</v>
      </c>
      <c r="AE5356" s="1" t="s">
        <v>32</v>
      </c>
      <c r="AF5356" s="1" t="s">
        <v>33</v>
      </c>
      <c r="AG5356" s="1" t="s">
        <v>41</v>
      </c>
    </row>
    <row r="5357" spans="1:33">
      <c r="A5357" t="s">
        <v>18148</v>
      </c>
      <c r="B5357" t="s">
        <v>18149</v>
      </c>
      <c r="C5357" t="s">
        <v>314</v>
      </c>
      <c r="E5357" t="s">
        <v>17332</v>
      </c>
      <c r="F5357" t="s">
        <v>16399</v>
      </c>
      <c r="G5357">
        <v>74.98</v>
      </c>
      <c r="H5357">
        <v>74.98</v>
      </c>
      <c r="I5357" t="s">
        <v>17818</v>
      </c>
      <c r="J5357" t="s">
        <v>180</v>
      </c>
      <c r="K5357" t="s">
        <v>31</v>
      </c>
      <c r="L5357" t="s">
        <v>32</v>
      </c>
      <c r="M5357" t="s">
        <v>33</v>
      </c>
      <c r="P5357" s="1" t="s">
        <v>18150</v>
      </c>
      <c r="Q5357" s="1" t="s">
        <v>17332</v>
      </c>
      <c r="R5357" s="1" t="s">
        <v>17332</v>
      </c>
      <c r="S5357" s="1"/>
      <c r="T5357" s="1" t="s">
        <v>314</v>
      </c>
      <c r="U5357" s="1"/>
      <c r="V5357" s="1">
        <v>74.98</v>
      </c>
      <c r="W5357" s="1">
        <v>74.98</v>
      </c>
      <c r="X5357" s="1" t="s">
        <v>35</v>
      </c>
      <c r="Y5357" s="1">
        <v>74980</v>
      </c>
      <c r="Z5357" s="1"/>
      <c r="AA5357" s="1">
        <v>74980</v>
      </c>
      <c r="AB5357" s="1"/>
      <c r="AC5357" s="1" t="s">
        <v>36</v>
      </c>
      <c r="AD5357" s="1" t="s">
        <v>18151</v>
      </c>
      <c r="AE5357" s="1" t="s">
        <v>32</v>
      </c>
      <c r="AF5357" s="1" t="s">
        <v>33</v>
      </c>
      <c r="AG5357" s="1" t="s">
        <v>180</v>
      </c>
    </row>
    <row r="5358" spans="1:33">
      <c r="A5358" t="s">
        <v>18152</v>
      </c>
      <c r="C5358" t="s">
        <v>190</v>
      </c>
      <c r="D5358" t="s">
        <v>154</v>
      </c>
      <c r="E5358" t="s">
        <v>17332</v>
      </c>
      <c r="F5358" t="s">
        <v>16399</v>
      </c>
      <c r="G5358">
        <v>1.91</v>
      </c>
      <c r="H5358">
        <v>1.91</v>
      </c>
      <c r="I5358" t="s">
        <v>2206</v>
      </c>
      <c r="J5358" t="s">
        <v>49</v>
      </c>
      <c r="K5358" t="s">
        <v>31</v>
      </c>
      <c r="L5358" t="s">
        <v>32</v>
      </c>
      <c r="M5358" t="s">
        <v>33</v>
      </c>
      <c r="P5358" s="1" t="s">
        <v>18153</v>
      </c>
      <c r="Q5358" s="1" t="s">
        <v>17332</v>
      </c>
      <c r="R5358" s="1" t="s">
        <v>17332</v>
      </c>
      <c r="S5358" s="1"/>
      <c r="T5358" s="1" t="s">
        <v>190</v>
      </c>
      <c r="U5358" s="1"/>
      <c r="V5358" s="1">
        <v>1.91</v>
      </c>
      <c r="W5358" s="1">
        <v>1.91</v>
      </c>
      <c r="X5358" s="1" t="s">
        <v>35</v>
      </c>
      <c r="Y5358" s="1">
        <v>1910500</v>
      </c>
      <c r="Z5358" s="1"/>
      <c r="AA5358" s="1">
        <v>1910500</v>
      </c>
      <c r="AB5358" s="1"/>
      <c r="AC5358" s="1" t="s">
        <v>36</v>
      </c>
      <c r="AD5358" s="1" t="s">
        <v>18154</v>
      </c>
      <c r="AE5358" s="1" t="s">
        <v>32</v>
      </c>
      <c r="AF5358" s="1" t="s">
        <v>33</v>
      </c>
      <c r="AG5358" s="1" t="s">
        <v>49</v>
      </c>
    </row>
    <row r="5359" spans="1:33">
      <c r="A5359" t="s">
        <v>18155</v>
      </c>
      <c r="B5359" t="s">
        <v>18156</v>
      </c>
      <c r="C5359" t="s">
        <v>73</v>
      </c>
      <c r="E5359" t="s">
        <v>17332</v>
      </c>
      <c r="F5359" t="s">
        <v>16399</v>
      </c>
      <c r="G5359">
        <v>195.92</v>
      </c>
      <c r="H5359">
        <v>195.92</v>
      </c>
      <c r="I5359" t="s">
        <v>40</v>
      </c>
      <c r="J5359" t="s">
        <v>41</v>
      </c>
      <c r="K5359" t="s">
        <v>31</v>
      </c>
      <c r="L5359" t="s">
        <v>32</v>
      </c>
      <c r="M5359" t="s">
        <v>33</v>
      </c>
      <c r="P5359" s="1" t="s">
        <v>18157</v>
      </c>
      <c r="Q5359" s="1" t="s">
        <v>17332</v>
      </c>
      <c r="R5359" s="1" t="s">
        <v>16369</v>
      </c>
      <c r="S5359" s="1"/>
      <c r="T5359" s="1" t="s">
        <v>75</v>
      </c>
      <c r="U5359" s="1" t="s">
        <v>76</v>
      </c>
      <c r="V5359" s="1">
        <v>195.92</v>
      </c>
      <c r="W5359" s="1">
        <v>195.92</v>
      </c>
      <c r="X5359" s="1" t="s">
        <v>35</v>
      </c>
      <c r="Y5359" s="1">
        <v>195920</v>
      </c>
      <c r="Z5359" s="1"/>
      <c r="AA5359" s="1">
        <v>195920</v>
      </c>
      <c r="AB5359" s="1"/>
      <c r="AC5359" s="1" t="s">
        <v>36</v>
      </c>
      <c r="AD5359" s="1" t="s">
        <v>18158</v>
      </c>
      <c r="AE5359" s="1" t="s">
        <v>32</v>
      </c>
      <c r="AF5359" s="1" t="s">
        <v>33</v>
      </c>
      <c r="AG5359" s="1" t="s">
        <v>41</v>
      </c>
    </row>
    <row r="5360" spans="1:33">
      <c r="A5360" t="s">
        <v>18159</v>
      </c>
      <c r="B5360" t="s">
        <v>18160</v>
      </c>
      <c r="C5360" t="s">
        <v>314</v>
      </c>
      <c r="E5360" t="s">
        <v>17332</v>
      </c>
      <c r="F5360" t="s">
        <v>16399</v>
      </c>
      <c r="G5360">
        <v>74.73</v>
      </c>
      <c r="H5360">
        <v>74.73</v>
      </c>
      <c r="I5360" t="s">
        <v>17818</v>
      </c>
      <c r="J5360" t="s">
        <v>180</v>
      </c>
      <c r="K5360" t="s">
        <v>31</v>
      </c>
      <c r="L5360" t="s">
        <v>32</v>
      </c>
      <c r="M5360" t="s">
        <v>33</v>
      </c>
      <c r="P5360" s="1" t="s">
        <v>18161</v>
      </c>
      <c r="Q5360" s="1" t="s">
        <v>17332</v>
      </c>
      <c r="R5360" s="1" t="s">
        <v>17332</v>
      </c>
      <c r="S5360" s="1"/>
      <c r="T5360" s="1" t="s">
        <v>314</v>
      </c>
      <c r="U5360" s="1"/>
      <c r="V5360" s="1">
        <v>74.73</v>
      </c>
      <c r="W5360" s="1">
        <v>74.73</v>
      </c>
      <c r="X5360" s="1" t="s">
        <v>35</v>
      </c>
      <c r="Y5360" s="1">
        <v>74730</v>
      </c>
      <c r="Z5360" s="1"/>
      <c r="AA5360" s="1">
        <v>74730</v>
      </c>
      <c r="AB5360" s="1"/>
      <c r="AC5360" s="1" t="s">
        <v>36</v>
      </c>
      <c r="AD5360" s="1" t="s">
        <v>18158</v>
      </c>
      <c r="AE5360" s="1" t="s">
        <v>32</v>
      </c>
      <c r="AF5360" s="1" t="s">
        <v>33</v>
      </c>
      <c r="AG5360" s="1" t="s">
        <v>180</v>
      </c>
    </row>
    <row r="5361" spans="1:33">
      <c r="A5361" t="s">
        <v>18162</v>
      </c>
      <c r="C5361" t="s">
        <v>1692</v>
      </c>
      <c r="E5361" t="s">
        <v>17332</v>
      </c>
      <c r="F5361" t="s">
        <v>16399</v>
      </c>
      <c r="G5361">
        <v>328.0</v>
      </c>
      <c r="H5361">
        <v>328.0</v>
      </c>
      <c r="I5361" t="s">
        <v>269</v>
      </c>
      <c r="J5361" t="s">
        <v>270</v>
      </c>
      <c r="K5361" t="s">
        <v>31</v>
      </c>
      <c r="L5361" t="s">
        <v>32</v>
      </c>
      <c r="M5361" t="s">
        <v>33</v>
      </c>
      <c r="P5361" s="1" t="s">
        <v>18163</v>
      </c>
      <c r="Q5361" s="1" t="s">
        <v>17332</v>
      </c>
      <c r="R5361" s="1" t="s">
        <v>17332</v>
      </c>
      <c r="S5361" s="1"/>
      <c r="T5361" s="1" t="s">
        <v>1692</v>
      </c>
      <c r="U5361" s="1"/>
      <c r="V5361" s="1">
        <v>328.0</v>
      </c>
      <c r="W5361" s="1">
        <v>328.0</v>
      </c>
      <c r="X5361" s="1" t="s">
        <v>35</v>
      </c>
      <c r="Y5361" s="1">
        <v>328000</v>
      </c>
      <c r="Z5361" s="1"/>
      <c r="AA5361" s="1">
        <v>328000</v>
      </c>
      <c r="AB5361" s="1"/>
      <c r="AC5361" s="1" t="s">
        <v>36</v>
      </c>
      <c r="AD5361" s="1" t="s">
        <v>18151</v>
      </c>
      <c r="AE5361" s="1" t="s">
        <v>32</v>
      </c>
      <c r="AF5361" s="1" t="s">
        <v>33</v>
      </c>
      <c r="AG5361" s="1" t="s">
        <v>270</v>
      </c>
    </row>
    <row r="5362" spans="1:33">
      <c r="A5362" t="s">
        <v>18164</v>
      </c>
      <c r="C5362" t="s">
        <v>2955</v>
      </c>
      <c r="E5362" t="s">
        <v>17332</v>
      </c>
      <c r="F5362" t="s">
        <v>16399</v>
      </c>
      <c r="G5362">
        <v>720.0</v>
      </c>
      <c r="H5362">
        <v>720.0</v>
      </c>
      <c r="I5362" t="s">
        <v>136</v>
      </c>
      <c r="J5362" t="s">
        <v>137</v>
      </c>
      <c r="K5362" t="s">
        <v>31</v>
      </c>
      <c r="L5362" t="s">
        <v>32</v>
      </c>
      <c r="M5362" t="s">
        <v>33</v>
      </c>
      <c r="P5362" s="1" t="s">
        <v>18165</v>
      </c>
      <c r="Q5362" s="1" t="s">
        <v>17332</v>
      </c>
      <c r="R5362" s="1" t="s">
        <v>17332</v>
      </c>
      <c r="S5362" s="1"/>
      <c r="T5362" s="1" t="s">
        <v>2955</v>
      </c>
      <c r="U5362" s="1"/>
      <c r="V5362" s="1">
        <v>720.0</v>
      </c>
      <c r="W5362" s="1">
        <v>720.0</v>
      </c>
      <c r="X5362" s="1" t="s">
        <v>35</v>
      </c>
      <c r="Y5362" s="1">
        <v>720000</v>
      </c>
      <c r="Z5362" s="1"/>
      <c r="AA5362" s="1">
        <v>720000</v>
      </c>
      <c r="AB5362" s="1"/>
      <c r="AC5362" s="1" t="s">
        <v>36</v>
      </c>
      <c r="AD5362" s="1" t="s">
        <v>18166</v>
      </c>
      <c r="AE5362" s="1" t="s">
        <v>32</v>
      </c>
      <c r="AF5362" s="1" t="s">
        <v>33</v>
      </c>
      <c r="AG5362" s="1" t="s">
        <v>137</v>
      </c>
    </row>
    <row r="5363" spans="1:33">
      <c r="A5363" t="s">
        <v>18167</v>
      </c>
      <c r="B5363" t="s">
        <v>802</v>
      </c>
      <c r="C5363" t="s">
        <v>314</v>
      </c>
      <c r="E5363" t="s">
        <v>17332</v>
      </c>
      <c r="F5363" t="s">
        <v>16399</v>
      </c>
      <c r="G5363">
        <v>135.224</v>
      </c>
      <c r="H5363">
        <v>135.224</v>
      </c>
      <c r="I5363" t="s">
        <v>17818</v>
      </c>
      <c r="J5363" t="s">
        <v>180</v>
      </c>
      <c r="K5363" t="s">
        <v>31</v>
      </c>
      <c r="L5363" t="s">
        <v>32</v>
      </c>
      <c r="M5363" t="s">
        <v>33</v>
      </c>
      <c r="P5363" s="1" t="s">
        <v>18168</v>
      </c>
      <c r="Q5363" s="1" t="s">
        <v>17332</v>
      </c>
      <c r="R5363" s="1" t="s">
        <v>17332</v>
      </c>
      <c r="S5363" s="1"/>
      <c r="T5363" s="1" t="s">
        <v>314</v>
      </c>
      <c r="U5363" s="1"/>
      <c r="V5363" s="1">
        <v>135.224</v>
      </c>
      <c r="W5363" s="1">
        <v>135.224</v>
      </c>
      <c r="X5363" s="1" t="s">
        <v>35</v>
      </c>
      <c r="Y5363" s="1">
        <v>135224</v>
      </c>
      <c r="Z5363" s="1"/>
      <c r="AA5363" s="1">
        <v>135224</v>
      </c>
      <c r="AB5363" s="1"/>
      <c r="AC5363" s="1" t="s">
        <v>36</v>
      </c>
      <c r="AD5363" s="1" t="s">
        <v>18169</v>
      </c>
      <c r="AE5363" s="1" t="s">
        <v>32</v>
      </c>
      <c r="AF5363" s="1" t="s">
        <v>33</v>
      </c>
      <c r="AG5363" s="1" t="s">
        <v>180</v>
      </c>
    </row>
    <row r="5364" spans="1:33">
      <c r="A5364" t="s">
        <v>18170</v>
      </c>
      <c r="C5364" t="s">
        <v>489</v>
      </c>
      <c r="D5364" t="s">
        <v>154</v>
      </c>
      <c r="E5364" t="s">
        <v>17332</v>
      </c>
      <c r="F5364" t="s">
        <v>16399</v>
      </c>
      <c r="G5364">
        <v>1.051</v>
      </c>
      <c r="H5364">
        <v>1.051</v>
      </c>
      <c r="I5364" t="s">
        <v>227</v>
      </c>
      <c r="J5364" t="s">
        <v>228</v>
      </c>
      <c r="K5364" t="s">
        <v>31</v>
      </c>
      <c r="L5364" t="s">
        <v>32</v>
      </c>
      <c r="M5364" t="s">
        <v>33</v>
      </c>
      <c r="P5364" s="1" t="s">
        <v>18171</v>
      </c>
      <c r="Q5364" s="1" t="s">
        <v>17332</v>
      </c>
      <c r="R5364" s="1" t="s">
        <v>17332</v>
      </c>
      <c r="S5364" s="1"/>
      <c r="T5364" s="1" t="s">
        <v>489</v>
      </c>
      <c r="U5364" s="1"/>
      <c r="V5364" s="1">
        <v>1.051</v>
      </c>
      <c r="W5364" s="1">
        <v>1.051</v>
      </c>
      <c r="X5364" s="1" t="s">
        <v>35</v>
      </c>
      <c r="Y5364" s="1">
        <v>1051000</v>
      </c>
      <c r="Z5364" s="1"/>
      <c r="AA5364" s="1">
        <v>1051000</v>
      </c>
      <c r="AB5364" s="1"/>
      <c r="AC5364" s="1" t="s">
        <v>36</v>
      </c>
      <c r="AD5364" s="1" t="s">
        <v>18172</v>
      </c>
      <c r="AE5364" s="1" t="s">
        <v>32</v>
      </c>
      <c r="AF5364" s="1" t="s">
        <v>33</v>
      </c>
      <c r="AG5364" s="1" t="s">
        <v>228</v>
      </c>
    </row>
    <row r="5365" spans="1:33">
      <c r="A5365" t="s">
        <v>18173</v>
      </c>
      <c r="C5365" t="s">
        <v>17641</v>
      </c>
      <c r="E5365" t="s">
        <v>17332</v>
      </c>
      <c r="F5365" t="s">
        <v>16399</v>
      </c>
      <c r="G5365">
        <v>328.0</v>
      </c>
      <c r="H5365">
        <v>328.0</v>
      </c>
      <c r="I5365" t="s">
        <v>269</v>
      </c>
      <c r="J5365" t="s">
        <v>270</v>
      </c>
      <c r="K5365" t="s">
        <v>31</v>
      </c>
      <c r="L5365" t="s">
        <v>32</v>
      </c>
      <c r="M5365" t="s">
        <v>33</v>
      </c>
      <c r="P5365" s="1" t="s">
        <v>18174</v>
      </c>
      <c r="Q5365" s="1" t="s">
        <v>17332</v>
      </c>
      <c r="R5365" s="1" t="s">
        <v>17332</v>
      </c>
      <c r="S5365" s="1"/>
      <c r="T5365" s="1" t="s">
        <v>17641</v>
      </c>
      <c r="U5365" s="1"/>
      <c r="V5365" s="1">
        <v>328.0</v>
      </c>
      <c r="W5365" s="1">
        <v>328.0</v>
      </c>
      <c r="X5365" s="1" t="s">
        <v>35</v>
      </c>
      <c r="Y5365" s="1">
        <v>328000</v>
      </c>
      <c r="Z5365" s="1"/>
      <c r="AA5365" s="1">
        <v>328000</v>
      </c>
      <c r="AB5365" s="1"/>
      <c r="AC5365" s="1" t="s">
        <v>36</v>
      </c>
      <c r="AD5365" s="1" t="s">
        <v>18175</v>
      </c>
      <c r="AE5365" s="1" t="s">
        <v>32</v>
      </c>
      <c r="AF5365" s="1" t="s">
        <v>33</v>
      </c>
      <c r="AG5365" s="1" t="s">
        <v>270</v>
      </c>
    </row>
    <row r="5366" spans="1:33">
      <c r="A5366" t="s">
        <v>18176</v>
      </c>
      <c r="B5366" t="s">
        <v>18177</v>
      </c>
      <c r="C5366" t="s">
        <v>47</v>
      </c>
      <c r="E5366" t="s">
        <v>17332</v>
      </c>
      <c r="F5366" t="s">
        <v>16399</v>
      </c>
      <c r="G5366">
        <v>11.0</v>
      </c>
      <c r="H5366">
        <v>11.0</v>
      </c>
      <c r="I5366" t="s">
        <v>2206</v>
      </c>
      <c r="J5366" t="s">
        <v>49</v>
      </c>
      <c r="K5366" t="s">
        <v>31</v>
      </c>
      <c r="L5366" t="s">
        <v>32</v>
      </c>
      <c r="M5366" t="s">
        <v>33</v>
      </c>
      <c r="P5366" s="1" t="s">
        <v>18178</v>
      </c>
      <c r="Q5366" s="1" t="s">
        <v>17332</v>
      </c>
      <c r="R5366" s="1" t="s">
        <v>17332</v>
      </c>
      <c r="S5366" s="1"/>
      <c r="T5366" s="1" t="s">
        <v>47</v>
      </c>
      <c r="U5366" s="1"/>
      <c r="V5366" s="1">
        <v>11.0</v>
      </c>
      <c r="W5366" s="1">
        <v>11.0</v>
      </c>
      <c r="X5366" s="1" t="s">
        <v>35</v>
      </c>
      <c r="Y5366" s="1">
        <v>11000</v>
      </c>
      <c r="Z5366" s="1"/>
      <c r="AA5366" s="1">
        <v>11000</v>
      </c>
      <c r="AB5366" s="1"/>
      <c r="AC5366" s="1" t="s">
        <v>36</v>
      </c>
      <c r="AD5366" s="1" t="s">
        <v>18179</v>
      </c>
      <c r="AE5366" s="1" t="s">
        <v>32</v>
      </c>
      <c r="AF5366" s="1" t="s">
        <v>33</v>
      </c>
      <c r="AG5366" s="1" t="s">
        <v>49</v>
      </c>
    </row>
    <row r="5367" spans="1:33">
      <c r="A5367" t="s">
        <v>18180</v>
      </c>
      <c r="C5367" t="s">
        <v>1920</v>
      </c>
      <c r="E5367" t="s">
        <v>17332</v>
      </c>
      <c r="F5367" t="s">
        <v>16399</v>
      </c>
      <c r="G5367">
        <v>320.0</v>
      </c>
      <c r="H5367">
        <v>320.0</v>
      </c>
      <c r="I5367" t="s">
        <v>40</v>
      </c>
      <c r="J5367" t="s">
        <v>41</v>
      </c>
      <c r="K5367" t="s">
        <v>31</v>
      </c>
      <c r="L5367" t="s">
        <v>32</v>
      </c>
      <c r="M5367" t="s">
        <v>33</v>
      </c>
      <c r="P5367" s="1" t="s">
        <v>18181</v>
      </c>
      <c r="Q5367" s="1" t="s">
        <v>17332</v>
      </c>
      <c r="R5367" s="1" t="s">
        <v>16369</v>
      </c>
      <c r="S5367" s="1"/>
      <c r="T5367" s="1" t="s">
        <v>1920</v>
      </c>
      <c r="U5367" s="1"/>
      <c r="V5367" s="1">
        <v>320.0</v>
      </c>
      <c r="W5367" s="1">
        <v>320.0</v>
      </c>
      <c r="X5367" s="1" t="s">
        <v>35</v>
      </c>
      <c r="Y5367" s="1">
        <v>320000</v>
      </c>
      <c r="Z5367" s="1"/>
      <c r="AA5367" s="1">
        <v>320000</v>
      </c>
      <c r="AB5367" s="1"/>
      <c r="AC5367" s="1" t="s">
        <v>36</v>
      </c>
      <c r="AD5367" s="1" t="s">
        <v>18182</v>
      </c>
      <c r="AE5367" s="1" t="s">
        <v>32</v>
      </c>
      <c r="AF5367" s="1" t="s">
        <v>33</v>
      </c>
      <c r="AG5367" s="1" t="s">
        <v>41</v>
      </c>
    </row>
    <row r="5368" spans="1:33">
      <c r="A5368" t="s">
        <v>18183</v>
      </c>
      <c r="C5368" t="s">
        <v>2511</v>
      </c>
      <c r="E5368" t="s">
        <v>17332</v>
      </c>
      <c r="F5368" t="s">
        <v>16399</v>
      </c>
      <c r="G5368">
        <v>87.75</v>
      </c>
      <c r="H5368">
        <v>87.75</v>
      </c>
      <c r="I5368" t="s">
        <v>269</v>
      </c>
      <c r="J5368" t="s">
        <v>270</v>
      </c>
      <c r="K5368" t="s">
        <v>31</v>
      </c>
      <c r="L5368" t="s">
        <v>32</v>
      </c>
      <c r="M5368" t="s">
        <v>33</v>
      </c>
      <c r="P5368" s="1" t="s">
        <v>18184</v>
      </c>
      <c r="Q5368" s="1" t="s">
        <v>17332</v>
      </c>
      <c r="R5368" s="1" t="s">
        <v>17332</v>
      </c>
      <c r="S5368" s="1"/>
      <c r="T5368" s="1" t="s">
        <v>2511</v>
      </c>
      <c r="U5368" s="1"/>
      <c r="V5368" s="1">
        <v>87.75</v>
      </c>
      <c r="W5368" s="1">
        <v>87.75</v>
      </c>
      <c r="X5368" s="1" t="s">
        <v>35</v>
      </c>
      <c r="Y5368" s="1">
        <v>87750</v>
      </c>
      <c r="Z5368" s="1"/>
      <c r="AA5368" s="1">
        <v>87750</v>
      </c>
      <c r="AB5368" s="1"/>
      <c r="AC5368" s="1" t="s">
        <v>36</v>
      </c>
      <c r="AD5368" s="1" t="s">
        <v>18185</v>
      </c>
      <c r="AE5368" s="1" t="s">
        <v>32</v>
      </c>
      <c r="AF5368" s="1" t="s">
        <v>33</v>
      </c>
      <c r="AG5368" s="1" t="s">
        <v>270</v>
      </c>
    </row>
    <row r="5369" spans="1:33">
      <c r="A5369" t="s">
        <v>18186</v>
      </c>
      <c r="C5369" t="s">
        <v>18187</v>
      </c>
      <c r="E5369" t="s">
        <v>17332</v>
      </c>
      <c r="F5369" t="s">
        <v>16399</v>
      </c>
      <c r="G5369">
        <v>1.64</v>
      </c>
      <c r="H5369">
        <v>1.64</v>
      </c>
      <c r="I5369" t="s">
        <v>269</v>
      </c>
      <c r="J5369" t="s">
        <v>270</v>
      </c>
      <c r="K5369" t="s">
        <v>31</v>
      </c>
      <c r="L5369" t="s">
        <v>32</v>
      </c>
      <c r="M5369" t="s">
        <v>33</v>
      </c>
      <c r="P5369" s="1" t="s">
        <v>18188</v>
      </c>
      <c r="Q5369" s="1" t="s">
        <v>17332</v>
      </c>
      <c r="R5369" s="1" t="s">
        <v>17332</v>
      </c>
      <c r="S5369" s="1"/>
      <c r="T5369" s="1" t="s">
        <v>18189</v>
      </c>
      <c r="U5369" s="1" t="s">
        <v>18190</v>
      </c>
      <c r="V5369" s="1">
        <v>1.64</v>
      </c>
      <c r="W5369" s="1">
        <v>1.64</v>
      </c>
      <c r="X5369" s="1" t="s">
        <v>35</v>
      </c>
      <c r="Y5369" s="1">
        <v>1640000</v>
      </c>
      <c r="Z5369" s="1"/>
      <c r="AA5369" s="1">
        <v>1640000</v>
      </c>
      <c r="AB5369" s="1"/>
      <c r="AC5369" s="1" t="s">
        <v>36</v>
      </c>
      <c r="AD5369" s="1" t="s">
        <v>18182</v>
      </c>
      <c r="AE5369" s="1" t="s">
        <v>32</v>
      </c>
      <c r="AF5369" s="1" t="s">
        <v>33</v>
      </c>
      <c r="AG5369" s="1" t="s">
        <v>270</v>
      </c>
    </row>
    <row r="5370" spans="1:33">
      <c r="A5370" t="s">
        <v>18191</v>
      </c>
      <c r="B5370" t="s">
        <v>18192</v>
      </c>
      <c r="C5370" t="s">
        <v>172</v>
      </c>
      <c r="E5370" t="s">
        <v>17332</v>
      </c>
      <c r="F5370" t="s">
        <v>16399</v>
      </c>
      <c r="G5370">
        <v>5.0</v>
      </c>
      <c r="H5370">
        <v>5.0</v>
      </c>
      <c r="I5370" t="s">
        <v>173</v>
      </c>
      <c r="J5370" t="s">
        <v>174</v>
      </c>
      <c r="K5370" t="s">
        <v>31</v>
      </c>
      <c r="L5370" t="s">
        <v>32</v>
      </c>
      <c r="M5370" t="s">
        <v>33</v>
      </c>
      <c r="P5370" s="1" t="s">
        <v>18193</v>
      </c>
      <c r="Q5370" s="1" t="s">
        <v>17332</v>
      </c>
      <c r="R5370" s="1" t="s">
        <v>17332</v>
      </c>
      <c r="S5370" s="1"/>
      <c r="T5370" s="1" t="s">
        <v>172</v>
      </c>
      <c r="U5370" s="1"/>
      <c r="V5370" s="1">
        <v>5.0</v>
      </c>
      <c r="W5370" s="1">
        <v>5.0</v>
      </c>
      <c r="X5370" s="1" t="s">
        <v>35</v>
      </c>
      <c r="Y5370" s="1">
        <v>5000</v>
      </c>
      <c r="Z5370" s="1"/>
      <c r="AA5370" s="1">
        <v>5000</v>
      </c>
      <c r="AB5370" s="1"/>
      <c r="AC5370" s="1" t="s">
        <v>36</v>
      </c>
      <c r="AD5370" s="1" t="s">
        <v>18194</v>
      </c>
      <c r="AE5370" s="1" t="s">
        <v>32</v>
      </c>
      <c r="AF5370" s="1" t="s">
        <v>33</v>
      </c>
      <c r="AG5370" s="1" t="s">
        <v>174</v>
      </c>
    </row>
    <row r="5371" spans="1:33">
      <c r="A5371" t="s">
        <v>18195</v>
      </c>
      <c r="B5371" t="s">
        <v>18196</v>
      </c>
      <c r="C5371" t="s">
        <v>12240</v>
      </c>
      <c r="E5371" t="s">
        <v>17332</v>
      </c>
      <c r="F5371" t="s">
        <v>16399</v>
      </c>
      <c r="G5371">
        <v>32.85</v>
      </c>
      <c r="H5371">
        <v>32.85</v>
      </c>
      <c r="I5371" t="s">
        <v>136</v>
      </c>
      <c r="J5371" t="s">
        <v>137</v>
      </c>
      <c r="K5371" t="s">
        <v>31</v>
      </c>
      <c r="L5371" t="s">
        <v>32</v>
      </c>
      <c r="M5371" t="s">
        <v>33</v>
      </c>
      <c r="P5371" s="1" t="s">
        <v>18197</v>
      </c>
      <c r="Q5371" s="1" t="s">
        <v>17332</v>
      </c>
      <c r="R5371" s="1" t="s">
        <v>17332</v>
      </c>
      <c r="S5371" s="1"/>
      <c r="T5371" s="1" t="s">
        <v>12240</v>
      </c>
      <c r="U5371" s="1"/>
      <c r="V5371" s="1">
        <v>32.85</v>
      </c>
      <c r="W5371" s="1">
        <v>32.85</v>
      </c>
      <c r="X5371" s="1" t="s">
        <v>35</v>
      </c>
      <c r="Y5371" s="1">
        <v>32850</v>
      </c>
      <c r="Z5371" s="1"/>
      <c r="AA5371" s="1">
        <v>32850</v>
      </c>
      <c r="AB5371" s="1"/>
      <c r="AC5371" s="1" t="s">
        <v>36</v>
      </c>
      <c r="AD5371" s="1" t="s">
        <v>18198</v>
      </c>
      <c r="AE5371" s="1" t="s">
        <v>32</v>
      </c>
      <c r="AF5371" s="1" t="s">
        <v>33</v>
      </c>
      <c r="AG5371" s="1" t="s">
        <v>137</v>
      </c>
    </row>
    <row r="5372" spans="1:33">
      <c r="A5372" t="s">
        <v>18199</v>
      </c>
      <c r="C5372" t="s">
        <v>6485</v>
      </c>
      <c r="E5372" t="s">
        <v>17332</v>
      </c>
      <c r="F5372" t="s">
        <v>16399</v>
      </c>
      <c r="G5372">
        <v>1.726</v>
      </c>
      <c r="H5372">
        <v>1.726</v>
      </c>
      <c r="I5372" t="s">
        <v>2206</v>
      </c>
      <c r="J5372" t="s">
        <v>49</v>
      </c>
      <c r="K5372" t="s">
        <v>31</v>
      </c>
      <c r="L5372" t="s">
        <v>32</v>
      </c>
      <c r="M5372" t="s">
        <v>33</v>
      </c>
      <c r="P5372" s="1" t="s">
        <v>18200</v>
      </c>
      <c r="Q5372" s="1" t="s">
        <v>17332</v>
      </c>
      <c r="R5372" s="1" t="s">
        <v>17332</v>
      </c>
      <c r="S5372" s="1"/>
      <c r="T5372" s="1" t="s">
        <v>6485</v>
      </c>
      <c r="U5372" s="1"/>
      <c r="V5372" s="1">
        <v>1.726</v>
      </c>
      <c r="W5372" s="1">
        <v>1.726</v>
      </c>
      <c r="X5372" s="1" t="s">
        <v>35</v>
      </c>
      <c r="Y5372" s="1">
        <v>1726500</v>
      </c>
      <c r="Z5372" s="1"/>
      <c r="AA5372" s="1">
        <v>1726500</v>
      </c>
      <c r="AB5372" s="1"/>
      <c r="AC5372" s="1" t="s">
        <v>36</v>
      </c>
      <c r="AD5372" s="1" t="s">
        <v>18201</v>
      </c>
      <c r="AE5372" s="1" t="s">
        <v>32</v>
      </c>
      <c r="AF5372" s="1" t="s">
        <v>33</v>
      </c>
      <c r="AG5372" s="1" t="s">
        <v>49</v>
      </c>
    </row>
    <row r="5373" spans="1:33">
      <c r="A5373" t="s">
        <v>18202</v>
      </c>
      <c r="B5373" t="s">
        <v>1891</v>
      </c>
      <c r="C5373" t="s">
        <v>1892</v>
      </c>
      <c r="E5373" t="s">
        <v>17332</v>
      </c>
      <c r="F5373" t="s">
        <v>16399</v>
      </c>
      <c r="G5373">
        <v>572.0</v>
      </c>
      <c r="H5373">
        <v>572.0</v>
      </c>
      <c r="I5373" t="s">
        <v>40</v>
      </c>
      <c r="J5373" t="s">
        <v>41</v>
      </c>
      <c r="K5373" t="s">
        <v>31</v>
      </c>
      <c r="L5373" t="s">
        <v>32</v>
      </c>
      <c r="M5373" t="s">
        <v>33</v>
      </c>
      <c r="P5373" s="1" t="s">
        <v>18203</v>
      </c>
      <c r="Q5373" s="1" t="s">
        <v>17332</v>
      </c>
      <c r="R5373" s="1" t="s">
        <v>16369</v>
      </c>
      <c r="S5373" s="1"/>
      <c r="T5373" s="1" t="s">
        <v>1892</v>
      </c>
      <c r="U5373" s="1"/>
      <c r="V5373" s="1">
        <v>572.0</v>
      </c>
      <c r="W5373" s="1">
        <v>572.0</v>
      </c>
      <c r="X5373" s="1" t="s">
        <v>35</v>
      </c>
      <c r="Y5373" s="1">
        <v>572000</v>
      </c>
      <c r="Z5373" s="1"/>
      <c r="AA5373" s="1">
        <v>572000</v>
      </c>
      <c r="AB5373" s="1"/>
      <c r="AC5373" s="1" t="s">
        <v>36</v>
      </c>
      <c r="AD5373" s="1" t="s">
        <v>18204</v>
      </c>
      <c r="AE5373" s="1" t="s">
        <v>32</v>
      </c>
      <c r="AF5373" s="1" t="s">
        <v>33</v>
      </c>
      <c r="AG5373" s="1" t="s">
        <v>41</v>
      </c>
    </row>
    <row r="5374" spans="1:33">
      <c r="A5374" t="s">
        <v>18205</v>
      </c>
      <c r="C5374" t="s">
        <v>866</v>
      </c>
      <c r="D5374" t="s">
        <v>154</v>
      </c>
      <c r="E5374" t="s">
        <v>17332</v>
      </c>
      <c r="F5374" t="s">
        <v>16399</v>
      </c>
      <c r="G5374">
        <v>1.048</v>
      </c>
      <c r="H5374">
        <v>1.048</v>
      </c>
      <c r="I5374" t="s">
        <v>2206</v>
      </c>
      <c r="J5374" t="s">
        <v>49</v>
      </c>
      <c r="K5374" t="s">
        <v>31</v>
      </c>
      <c r="L5374" t="s">
        <v>32</v>
      </c>
      <c r="M5374" t="s">
        <v>33</v>
      </c>
      <c r="P5374" s="1" t="s">
        <v>18206</v>
      </c>
      <c r="Q5374" s="1" t="s">
        <v>17332</v>
      </c>
      <c r="R5374" s="1" t="s">
        <v>17332</v>
      </c>
      <c r="S5374" s="1"/>
      <c r="T5374" s="1" t="s">
        <v>868</v>
      </c>
      <c r="U5374" s="1" t="s">
        <v>869</v>
      </c>
      <c r="V5374" s="1">
        <v>1.048</v>
      </c>
      <c r="W5374" s="1">
        <v>1.048</v>
      </c>
      <c r="X5374" s="1" t="s">
        <v>35</v>
      </c>
      <c r="Y5374" s="1">
        <v>1048000</v>
      </c>
      <c r="Z5374" s="1"/>
      <c r="AA5374" s="1">
        <v>1048000</v>
      </c>
      <c r="AB5374" s="1"/>
      <c r="AC5374" s="1" t="s">
        <v>36</v>
      </c>
      <c r="AD5374" s="1" t="s">
        <v>18207</v>
      </c>
      <c r="AE5374" s="1" t="s">
        <v>32</v>
      </c>
      <c r="AF5374" s="1" t="s">
        <v>33</v>
      </c>
      <c r="AG5374" s="1" t="s">
        <v>49</v>
      </c>
    </row>
    <row r="5375" spans="1:33">
      <c r="A5375" t="s">
        <v>18208</v>
      </c>
      <c r="B5375" t="s">
        <v>201</v>
      </c>
      <c r="C5375" t="s">
        <v>202</v>
      </c>
      <c r="D5375" t="s">
        <v>154</v>
      </c>
      <c r="E5375" t="s">
        <v>17332</v>
      </c>
      <c r="F5375" t="s">
        <v>16399</v>
      </c>
      <c r="G5375">
        <v>372.5</v>
      </c>
      <c r="H5375">
        <v>372.5</v>
      </c>
      <c r="I5375" t="s">
        <v>59</v>
      </c>
      <c r="J5375" t="s">
        <v>60</v>
      </c>
      <c r="K5375" t="s">
        <v>31</v>
      </c>
      <c r="L5375" t="s">
        <v>32</v>
      </c>
      <c r="M5375" t="s">
        <v>33</v>
      </c>
      <c r="P5375" s="1" t="s">
        <v>18209</v>
      </c>
      <c r="Q5375" s="1" t="s">
        <v>17332</v>
      </c>
      <c r="R5375" s="1" t="s">
        <v>17332</v>
      </c>
      <c r="S5375" s="1"/>
      <c r="T5375" s="1" t="s">
        <v>202</v>
      </c>
      <c r="U5375" s="1"/>
      <c r="V5375" s="1">
        <v>372.5</v>
      </c>
      <c r="W5375" s="1">
        <v>372.5</v>
      </c>
      <c r="X5375" s="1" t="s">
        <v>35</v>
      </c>
      <c r="Y5375" s="1">
        <v>372500</v>
      </c>
      <c r="Z5375" s="1"/>
      <c r="AA5375" s="1">
        <v>372500</v>
      </c>
      <c r="AB5375" s="1"/>
      <c r="AC5375" s="1" t="s">
        <v>36</v>
      </c>
      <c r="AD5375" s="1" t="s">
        <v>18210</v>
      </c>
      <c r="AE5375" s="1" t="s">
        <v>32</v>
      </c>
      <c r="AF5375" s="1" t="s">
        <v>33</v>
      </c>
      <c r="AG5375" s="1" t="s">
        <v>60</v>
      </c>
    </row>
    <row r="5376" spans="1:33">
      <c r="A5376" t="s">
        <v>18211</v>
      </c>
      <c r="C5376" t="s">
        <v>9453</v>
      </c>
      <c r="E5376" t="s">
        <v>17332</v>
      </c>
      <c r="F5376" t="s">
        <v>16399</v>
      </c>
      <c r="G5376">
        <v>1.44</v>
      </c>
      <c r="H5376">
        <v>1.44</v>
      </c>
      <c r="I5376" t="s">
        <v>227</v>
      </c>
      <c r="J5376" t="s">
        <v>228</v>
      </c>
      <c r="K5376" t="s">
        <v>31</v>
      </c>
      <c r="L5376" t="s">
        <v>32</v>
      </c>
      <c r="M5376" t="s">
        <v>33</v>
      </c>
      <c r="P5376" s="1" t="s">
        <v>18212</v>
      </c>
      <c r="Q5376" s="1" t="s">
        <v>17332</v>
      </c>
      <c r="R5376" s="1" t="s">
        <v>17332</v>
      </c>
      <c r="S5376" s="1"/>
      <c r="T5376" s="1" t="s">
        <v>9453</v>
      </c>
      <c r="U5376" s="1"/>
      <c r="V5376" s="1">
        <v>1.44</v>
      </c>
      <c r="W5376" s="1">
        <v>1.44</v>
      </c>
      <c r="X5376" s="1" t="s">
        <v>35</v>
      </c>
      <c r="Y5376" s="1">
        <v>1440000</v>
      </c>
      <c r="Z5376" s="1"/>
      <c r="AA5376" s="1">
        <v>1440000</v>
      </c>
      <c r="AB5376" s="1"/>
      <c r="AC5376" s="1" t="s">
        <v>36</v>
      </c>
      <c r="AD5376" s="1" t="s">
        <v>18204</v>
      </c>
      <c r="AE5376" s="1" t="s">
        <v>32</v>
      </c>
      <c r="AF5376" s="1" t="s">
        <v>33</v>
      </c>
      <c r="AG5376" s="1" t="s">
        <v>228</v>
      </c>
    </row>
    <row r="5377" spans="1:33">
      <c r="A5377" t="s">
        <v>18213</v>
      </c>
      <c r="B5377" t="s">
        <v>57</v>
      </c>
      <c r="C5377" t="s">
        <v>58</v>
      </c>
      <c r="E5377" t="s">
        <v>17332</v>
      </c>
      <c r="F5377" t="s">
        <v>16399</v>
      </c>
      <c r="G5377">
        <v>743.5</v>
      </c>
      <c r="H5377">
        <v>743.5</v>
      </c>
      <c r="I5377" t="s">
        <v>59</v>
      </c>
      <c r="J5377" t="s">
        <v>60</v>
      </c>
      <c r="K5377" t="s">
        <v>31</v>
      </c>
      <c r="L5377" t="s">
        <v>32</v>
      </c>
      <c r="M5377" t="s">
        <v>33</v>
      </c>
      <c r="P5377" s="1" t="s">
        <v>18214</v>
      </c>
      <c r="Q5377" s="1" t="s">
        <v>17332</v>
      </c>
      <c r="R5377" s="1" t="s">
        <v>17332</v>
      </c>
      <c r="S5377" s="1"/>
      <c r="T5377" s="1" t="s">
        <v>58</v>
      </c>
      <c r="U5377" s="1"/>
      <c r="V5377" s="1">
        <v>743.5</v>
      </c>
      <c r="W5377" s="1">
        <v>743.5</v>
      </c>
      <c r="X5377" s="1" t="s">
        <v>35</v>
      </c>
      <c r="Y5377" s="1">
        <v>743500</v>
      </c>
      <c r="Z5377" s="1"/>
      <c r="AA5377" s="1">
        <v>743500</v>
      </c>
      <c r="AB5377" s="1"/>
      <c r="AC5377" s="1" t="s">
        <v>36</v>
      </c>
      <c r="AD5377" s="1" t="s">
        <v>18204</v>
      </c>
      <c r="AE5377" s="1" t="s">
        <v>32</v>
      </c>
      <c r="AF5377" s="1" t="s">
        <v>33</v>
      </c>
      <c r="AG5377" s="1" t="s">
        <v>60</v>
      </c>
    </row>
    <row r="5378" spans="1:33">
      <c r="A5378" t="s">
        <v>18215</v>
      </c>
      <c r="C5378" t="s">
        <v>569</v>
      </c>
      <c r="E5378" t="s">
        <v>17332</v>
      </c>
      <c r="F5378" t="s">
        <v>16399</v>
      </c>
      <c r="G5378">
        <v>4.409</v>
      </c>
      <c r="H5378">
        <v>4.409</v>
      </c>
      <c r="I5378" t="s">
        <v>570</v>
      </c>
      <c r="J5378" t="s">
        <v>571</v>
      </c>
      <c r="K5378" t="s">
        <v>31</v>
      </c>
      <c r="L5378" t="s">
        <v>32</v>
      </c>
      <c r="M5378" t="s">
        <v>33</v>
      </c>
      <c r="P5378" s="1" t="s">
        <v>18216</v>
      </c>
      <c r="Q5378" s="1" t="s">
        <v>17332</v>
      </c>
      <c r="R5378" s="1" t="s">
        <v>17332</v>
      </c>
      <c r="S5378" s="1"/>
      <c r="T5378" s="1" t="s">
        <v>569</v>
      </c>
      <c r="U5378" s="1"/>
      <c r="V5378" s="1">
        <v>4.409</v>
      </c>
      <c r="W5378" s="1">
        <v>4.409</v>
      </c>
      <c r="X5378" s="1" t="s">
        <v>35</v>
      </c>
      <c r="Y5378" s="1">
        <v>4409</v>
      </c>
      <c r="Z5378" s="1"/>
      <c r="AA5378" s="1">
        <v>4409</v>
      </c>
      <c r="AB5378" s="1"/>
      <c r="AC5378" s="1" t="s">
        <v>36</v>
      </c>
      <c r="AD5378" s="1" t="s">
        <v>18217</v>
      </c>
      <c r="AE5378" s="1" t="s">
        <v>32</v>
      </c>
      <c r="AF5378" s="1" t="s">
        <v>33</v>
      </c>
      <c r="AG5378" s="1" t="s">
        <v>571</v>
      </c>
    </row>
    <row r="5379" spans="1:33">
      <c r="A5379" t="s">
        <v>18218</v>
      </c>
      <c r="C5379" t="s">
        <v>506</v>
      </c>
      <c r="E5379" t="s">
        <v>17332</v>
      </c>
      <c r="F5379" t="s">
        <v>16399</v>
      </c>
      <c r="G5379">
        <v>2.572</v>
      </c>
      <c r="H5379">
        <v>2.572</v>
      </c>
      <c r="I5379" t="s">
        <v>269</v>
      </c>
      <c r="J5379" t="s">
        <v>270</v>
      </c>
      <c r="K5379" t="s">
        <v>31</v>
      </c>
      <c r="L5379" t="s">
        <v>32</v>
      </c>
      <c r="M5379" t="s">
        <v>33</v>
      </c>
      <c r="P5379" s="1" t="s">
        <v>18219</v>
      </c>
      <c r="Q5379" s="1" t="s">
        <v>17332</v>
      </c>
      <c r="R5379" s="1" t="s">
        <v>17332</v>
      </c>
      <c r="S5379" s="1"/>
      <c r="T5379" s="1" t="s">
        <v>506</v>
      </c>
      <c r="U5379" s="1"/>
      <c r="V5379" s="1">
        <v>2.572</v>
      </c>
      <c r="W5379" s="1">
        <v>2.572</v>
      </c>
      <c r="X5379" s="1" t="s">
        <v>35</v>
      </c>
      <c r="Y5379" s="1">
        <v>2572500</v>
      </c>
      <c r="Z5379" s="1"/>
      <c r="AA5379" s="1">
        <v>2572500</v>
      </c>
      <c r="AB5379" s="1"/>
      <c r="AC5379" s="1" t="s">
        <v>36</v>
      </c>
      <c r="AD5379" s="1" t="s">
        <v>18217</v>
      </c>
      <c r="AE5379" s="1" t="s">
        <v>32</v>
      </c>
      <c r="AF5379" s="1" t="s">
        <v>33</v>
      </c>
      <c r="AG5379" s="1" t="s">
        <v>270</v>
      </c>
    </row>
    <row r="5380" spans="1:33">
      <c r="A5380" t="s">
        <v>18220</v>
      </c>
      <c r="B5380" t="s">
        <v>18221</v>
      </c>
      <c r="C5380" t="s">
        <v>47</v>
      </c>
      <c r="E5380" t="s">
        <v>17332</v>
      </c>
      <c r="F5380" t="s">
        <v>16399</v>
      </c>
      <c r="G5380">
        <v>86.36</v>
      </c>
      <c r="H5380">
        <v>86.36</v>
      </c>
      <c r="I5380" t="s">
        <v>2206</v>
      </c>
      <c r="J5380" t="s">
        <v>49</v>
      </c>
      <c r="K5380" t="s">
        <v>31</v>
      </c>
      <c r="L5380" t="s">
        <v>32</v>
      </c>
      <c r="M5380" t="s">
        <v>33</v>
      </c>
      <c r="P5380" s="1" t="s">
        <v>18222</v>
      </c>
      <c r="Q5380" s="1" t="s">
        <v>17332</v>
      </c>
      <c r="R5380" s="1" t="s">
        <v>17332</v>
      </c>
      <c r="S5380" s="1"/>
      <c r="T5380" s="1" t="s">
        <v>47</v>
      </c>
      <c r="U5380" s="1"/>
      <c r="V5380" s="1">
        <v>86.36</v>
      </c>
      <c r="W5380" s="1">
        <v>86.36</v>
      </c>
      <c r="X5380" s="1" t="s">
        <v>35</v>
      </c>
      <c r="Y5380" s="1">
        <v>86360</v>
      </c>
      <c r="Z5380" s="1"/>
      <c r="AA5380" s="1">
        <v>86360</v>
      </c>
      <c r="AB5380" s="1"/>
      <c r="AC5380" s="1" t="s">
        <v>36</v>
      </c>
      <c r="AD5380" s="1" t="s">
        <v>18223</v>
      </c>
      <c r="AE5380" s="1" t="s">
        <v>32</v>
      </c>
      <c r="AF5380" s="1" t="s">
        <v>33</v>
      </c>
      <c r="AG5380" s="1" t="s">
        <v>49</v>
      </c>
    </row>
    <row r="5381" spans="1:33">
      <c r="A5381" t="s">
        <v>18224</v>
      </c>
      <c r="B5381" t="s">
        <v>18225</v>
      </c>
      <c r="C5381" t="s">
        <v>73</v>
      </c>
      <c r="E5381" t="s">
        <v>17332</v>
      </c>
      <c r="F5381" t="s">
        <v>16399</v>
      </c>
      <c r="G5381">
        <v>72.98</v>
      </c>
      <c r="H5381">
        <v>72.98</v>
      </c>
      <c r="I5381" t="s">
        <v>40</v>
      </c>
      <c r="J5381" t="s">
        <v>41</v>
      </c>
      <c r="K5381" t="s">
        <v>31</v>
      </c>
      <c r="L5381" t="s">
        <v>32</v>
      </c>
      <c r="M5381" t="s">
        <v>33</v>
      </c>
      <c r="P5381" s="1" t="s">
        <v>18226</v>
      </c>
      <c r="Q5381" s="1" t="s">
        <v>17332</v>
      </c>
      <c r="R5381" s="1" t="s">
        <v>16369</v>
      </c>
      <c r="S5381" s="1"/>
      <c r="T5381" s="1" t="s">
        <v>75</v>
      </c>
      <c r="U5381" s="1" t="s">
        <v>76</v>
      </c>
      <c r="V5381" s="1">
        <v>72.98</v>
      </c>
      <c r="W5381" s="1">
        <v>72.98</v>
      </c>
      <c r="X5381" s="1" t="s">
        <v>35</v>
      </c>
      <c r="Y5381" s="1">
        <v>72980</v>
      </c>
      <c r="Z5381" s="1"/>
      <c r="AA5381" s="1">
        <v>72980</v>
      </c>
      <c r="AB5381" s="1"/>
      <c r="AC5381" s="1" t="s">
        <v>36</v>
      </c>
      <c r="AD5381" s="1" t="s">
        <v>18227</v>
      </c>
      <c r="AE5381" s="1" t="s">
        <v>32</v>
      </c>
      <c r="AF5381" s="1" t="s">
        <v>33</v>
      </c>
      <c r="AG5381" s="1" t="s">
        <v>41</v>
      </c>
    </row>
    <row r="5382" spans="1:33">
      <c r="A5382" t="s">
        <v>18228</v>
      </c>
      <c r="B5382" t="s">
        <v>18229</v>
      </c>
      <c r="C5382" t="s">
        <v>125</v>
      </c>
      <c r="E5382" t="s">
        <v>17332</v>
      </c>
      <c r="F5382" t="s">
        <v>16399</v>
      </c>
      <c r="G5382">
        <v>8.996</v>
      </c>
      <c r="H5382">
        <v>8.996</v>
      </c>
      <c r="I5382" t="s">
        <v>126</v>
      </c>
      <c r="J5382" t="s">
        <v>127</v>
      </c>
      <c r="K5382" t="s">
        <v>31</v>
      </c>
      <c r="L5382" t="s">
        <v>32</v>
      </c>
      <c r="M5382" t="s">
        <v>33</v>
      </c>
      <c r="P5382" s="1" t="s">
        <v>18230</v>
      </c>
      <c r="Q5382" s="1" t="s">
        <v>17332</v>
      </c>
      <c r="R5382" s="1" t="s">
        <v>17332</v>
      </c>
      <c r="S5382" s="1"/>
      <c r="T5382" s="1" t="s">
        <v>125</v>
      </c>
      <c r="U5382" s="1"/>
      <c r="V5382" s="1">
        <v>8.996</v>
      </c>
      <c r="W5382" s="1">
        <v>8.996</v>
      </c>
      <c r="X5382" s="1" t="s">
        <v>35</v>
      </c>
      <c r="Y5382" s="1">
        <v>8996</v>
      </c>
      <c r="Z5382" s="1"/>
      <c r="AA5382" s="1">
        <v>8996</v>
      </c>
      <c r="AB5382" s="1"/>
      <c r="AC5382" s="1" t="s">
        <v>36</v>
      </c>
      <c r="AD5382" s="1" t="s">
        <v>18231</v>
      </c>
      <c r="AE5382" s="1" t="s">
        <v>32</v>
      </c>
      <c r="AF5382" s="1" t="s">
        <v>33</v>
      </c>
      <c r="AG5382" s="1" t="s">
        <v>127</v>
      </c>
    </row>
    <row r="5383" spans="1:33">
      <c r="A5383" t="s">
        <v>18232</v>
      </c>
      <c r="C5383" t="s">
        <v>1197</v>
      </c>
      <c r="D5383" t="s">
        <v>154</v>
      </c>
      <c r="E5383" t="s">
        <v>17332</v>
      </c>
      <c r="F5383" t="s">
        <v>16399</v>
      </c>
      <c r="G5383">
        <v>492.0</v>
      </c>
      <c r="H5383">
        <v>492.0</v>
      </c>
      <c r="I5383" t="s">
        <v>269</v>
      </c>
      <c r="J5383" t="s">
        <v>270</v>
      </c>
      <c r="K5383" t="s">
        <v>31</v>
      </c>
      <c r="L5383" t="s">
        <v>32</v>
      </c>
      <c r="M5383" t="s">
        <v>33</v>
      </c>
      <c r="P5383" s="1" t="s">
        <v>18233</v>
      </c>
      <c r="Q5383" s="1" t="s">
        <v>17332</v>
      </c>
      <c r="R5383" s="1" t="s">
        <v>17332</v>
      </c>
      <c r="S5383" s="1"/>
      <c r="T5383" s="1" t="s">
        <v>1197</v>
      </c>
      <c r="U5383" s="1"/>
      <c r="V5383" s="1">
        <v>492.0</v>
      </c>
      <c r="W5383" s="1">
        <v>492.0</v>
      </c>
      <c r="X5383" s="1" t="s">
        <v>35</v>
      </c>
      <c r="Y5383" s="1">
        <v>492000</v>
      </c>
      <c r="Z5383" s="1"/>
      <c r="AA5383" s="1">
        <v>492000</v>
      </c>
      <c r="AB5383" s="1"/>
      <c r="AC5383" s="1" t="s">
        <v>36</v>
      </c>
      <c r="AD5383" s="1" t="s">
        <v>18234</v>
      </c>
      <c r="AE5383" s="1" t="s">
        <v>32</v>
      </c>
      <c r="AF5383" s="1" t="s">
        <v>33</v>
      </c>
      <c r="AG5383" s="1" t="s">
        <v>270</v>
      </c>
    </row>
    <row r="5384" spans="1:33">
      <c r="A5384" t="s">
        <v>18235</v>
      </c>
      <c r="C5384" t="s">
        <v>827</v>
      </c>
      <c r="D5384" t="s">
        <v>154</v>
      </c>
      <c r="E5384" t="s">
        <v>17332</v>
      </c>
      <c r="F5384" t="s">
        <v>16399</v>
      </c>
      <c r="G5384">
        <v>869.5</v>
      </c>
      <c r="H5384">
        <v>869.5</v>
      </c>
      <c r="I5384" t="s">
        <v>269</v>
      </c>
      <c r="J5384" t="s">
        <v>270</v>
      </c>
      <c r="K5384" t="s">
        <v>31</v>
      </c>
      <c r="L5384" t="s">
        <v>32</v>
      </c>
      <c r="M5384" t="s">
        <v>33</v>
      </c>
      <c r="P5384" s="1" t="s">
        <v>18236</v>
      </c>
      <c r="Q5384" s="1" t="s">
        <v>17332</v>
      </c>
      <c r="R5384" s="1" t="s">
        <v>17332</v>
      </c>
      <c r="S5384" s="1"/>
      <c r="T5384" s="1" t="s">
        <v>827</v>
      </c>
      <c r="U5384" s="1"/>
      <c r="V5384" s="1">
        <v>869.5</v>
      </c>
      <c r="W5384" s="1">
        <v>869.5</v>
      </c>
      <c r="X5384" s="1" t="s">
        <v>35</v>
      </c>
      <c r="Y5384" s="1">
        <v>869500</v>
      </c>
      <c r="Z5384" s="1"/>
      <c r="AA5384" s="1">
        <v>869500</v>
      </c>
      <c r="AB5384" s="1"/>
      <c r="AC5384" s="1" t="s">
        <v>36</v>
      </c>
      <c r="AD5384" s="1" t="s">
        <v>18237</v>
      </c>
      <c r="AE5384" s="1" t="s">
        <v>32</v>
      </c>
      <c r="AF5384" s="1" t="s">
        <v>33</v>
      </c>
      <c r="AG5384" s="1" t="s">
        <v>270</v>
      </c>
    </row>
    <row r="5385" spans="1:33">
      <c r="A5385" t="s">
        <v>18238</v>
      </c>
      <c r="B5385" t="s">
        <v>18239</v>
      </c>
      <c r="C5385" t="s">
        <v>73</v>
      </c>
      <c r="E5385" t="s">
        <v>17332</v>
      </c>
      <c r="F5385" t="s">
        <v>16399</v>
      </c>
      <c r="G5385">
        <v>11.126</v>
      </c>
      <c r="H5385">
        <v>11.126</v>
      </c>
      <c r="I5385" t="s">
        <v>40</v>
      </c>
      <c r="J5385" t="s">
        <v>41</v>
      </c>
      <c r="K5385" t="s">
        <v>31</v>
      </c>
      <c r="L5385" t="s">
        <v>32</v>
      </c>
      <c r="M5385" t="s">
        <v>33</v>
      </c>
      <c r="P5385" s="1" t="s">
        <v>18240</v>
      </c>
      <c r="Q5385" s="1" t="s">
        <v>17332</v>
      </c>
      <c r="R5385" s="1" t="s">
        <v>16369</v>
      </c>
      <c r="S5385" s="1"/>
      <c r="T5385" s="1" t="s">
        <v>75</v>
      </c>
      <c r="U5385" s="1" t="s">
        <v>76</v>
      </c>
      <c r="V5385" s="1">
        <v>11.126</v>
      </c>
      <c r="W5385" s="1">
        <v>11.126</v>
      </c>
      <c r="X5385" s="1" t="s">
        <v>35</v>
      </c>
      <c r="Y5385" s="1">
        <v>11126</v>
      </c>
      <c r="Z5385" s="1"/>
      <c r="AA5385" s="1">
        <v>11126</v>
      </c>
      <c r="AB5385" s="1"/>
      <c r="AC5385" s="1" t="s">
        <v>36</v>
      </c>
      <c r="AD5385" s="1" t="s">
        <v>18241</v>
      </c>
      <c r="AE5385" s="1" t="s">
        <v>32</v>
      </c>
      <c r="AF5385" s="1" t="s">
        <v>33</v>
      </c>
      <c r="AG5385" s="1" t="s">
        <v>41</v>
      </c>
    </row>
    <row r="5386" spans="1:33">
      <c r="A5386" t="s">
        <v>18242</v>
      </c>
      <c r="B5386" t="s">
        <v>18243</v>
      </c>
      <c r="C5386" t="s">
        <v>47</v>
      </c>
      <c r="E5386" t="s">
        <v>17332</v>
      </c>
      <c r="F5386" t="s">
        <v>16399</v>
      </c>
      <c r="G5386">
        <v>12.5</v>
      </c>
      <c r="H5386">
        <v>12.5</v>
      </c>
      <c r="I5386" t="s">
        <v>2206</v>
      </c>
      <c r="J5386" t="s">
        <v>49</v>
      </c>
      <c r="K5386" t="s">
        <v>31</v>
      </c>
      <c r="L5386" t="s">
        <v>32</v>
      </c>
      <c r="M5386" t="s">
        <v>33</v>
      </c>
      <c r="P5386" s="1" t="s">
        <v>18244</v>
      </c>
      <c r="Q5386" s="1" t="s">
        <v>17332</v>
      </c>
      <c r="R5386" s="1" t="s">
        <v>17332</v>
      </c>
      <c r="S5386" s="1"/>
      <c r="T5386" s="1" t="s">
        <v>47</v>
      </c>
      <c r="U5386" s="1"/>
      <c r="V5386" s="1">
        <v>12.5</v>
      </c>
      <c r="W5386" s="1">
        <v>12.5</v>
      </c>
      <c r="X5386" s="1" t="s">
        <v>35</v>
      </c>
      <c r="Y5386" s="1">
        <v>12500</v>
      </c>
      <c r="Z5386" s="1"/>
      <c r="AA5386" s="1">
        <v>12500</v>
      </c>
      <c r="AB5386" s="1"/>
      <c r="AC5386" s="1" t="s">
        <v>36</v>
      </c>
      <c r="AD5386" s="1" t="s">
        <v>18245</v>
      </c>
      <c r="AE5386" s="1" t="s">
        <v>32</v>
      </c>
      <c r="AF5386" s="1" t="s">
        <v>33</v>
      </c>
      <c r="AG5386" s="1" t="s">
        <v>49</v>
      </c>
    </row>
    <row r="5387" spans="1:33">
      <c r="A5387" t="s">
        <v>18246</v>
      </c>
      <c r="C5387" t="s">
        <v>984</v>
      </c>
      <c r="E5387" t="s">
        <v>17332</v>
      </c>
      <c r="F5387" t="s">
        <v>16399</v>
      </c>
      <c r="G5387">
        <v>720.0</v>
      </c>
      <c r="H5387">
        <v>720.0</v>
      </c>
      <c r="I5387" t="s">
        <v>269</v>
      </c>
      <c r="J5387" t="s">
        <v>270</v>
      </c>
      <c r="K5387" t="s">
        <v>31</v>
      </c>
      <c r="L5387" t="s">
        <v>32</v>
      </c>
      <c r="M5387" t="s">
        <v>33</v>
      </c>
      <c r="P5387" s="1" t="s">
        <v>18247</v>
      </c>
      <c r="Q5387" s="1" t="s">
        <v>17332</v>
      </c>
      <c r="R5387" s="1" t="s">
        <v>17332</v>
      </c>
      <c r="S5387" s="1"/>
      <c r="T5387" s="1" t="s">
        <v>984</v>
      </c>
      <c r="U5387" s="1"/>
      <c r="V5387" s="1">
        <v>720.0</v>
      </c>
      <c r="W5387" s="1">
        <v>720.0</v>
      </c>
      <c r="X5387" s="1" t="s">
        <v>35</v>
      </c>
      <c r="Y5387" s="1">
        <v>720000</v>
      </c>
      <c r="Z5387" s="1"/>
      <c r="AA5387" s="1">
        <v>720000</v>
      </c>
      <c r="AB5387" s="1"/>
      <c r="AC5387" s="1" t="s">
        <v>36</v>
      </c>
      <c r="AD5387" s="1" t="s">
        <v>18245</v>
      </c>
      <c r="AE5387" s="1" t="s">
        <v>32</v>
      </c>
      <c r="AF5387" s="1" t="s">
        <v>33</v>
      </c>
      <c r="AG5387" s="1" t="s">
        <v>270</v>
      </c>
    </row>
    <row r="5388" spans="1:33">
      <c r="A5388" t="s">
        <v>18248</v>
      </c>
      <c r="C5388" t="s">
        <v>2747</v>
      </c>
      <c r="E5388" t="s">
        <v>17332</v>
      </c>
      <c r="F5388" t="s">
        <v>16399</v>
      </c>
      <c r="G5388">
        <v>328.0</v>
      </c>
      <c r="H5388">
        <v>328.0</v>
      </c>
      <c r="I5388" t="s">
        <v>269</v>
      </c>
      <c r="J5388" t="s">
        <v>270</v>
      </c>
      <c r="K5388" t="s">
        <v>31</v>
      </c>
      <c r="L5388" t="s">
        <v>32</v>
      </c>
      <c r="M5388" t="s">
        <v>33</v>
      </c>
      <c r="P5388" s="1" t="s">
        <v>18249</v>
      </c>
      <c r="Q5388" s="1" t="s">
        <v>17332</v>
      </c>
      <c r="R5388" s="1" t="s">
        <v>17332</v>
      </c>
      <c r="S5388" s="1"/>
      <c r="T5388" s="1" t="s">
        <v>2747</v>
      </c>
      <c r="U5388" s="1"/>
      <c r="V5388" s="1">
        <v>328.0</v>
      </c>
      <c r="W5388" s="1">
        <v>328.0</v>
      </c>
      <c r="X5388" s="1" t="s">
        <v>35</v>
      </c>
      <c r="Y5388" s="1">
        <v>328000</v>
      </c>
      <c r="Z5388" s="1"/>
      <c r="AA5388" s="1">
        <v>328000</v>
      </c>
      <c r="AB5388" s="1"/>
      <c r="AC5388" s="1" t="s">
        <v>36</v>
      </c>
      <c r="AD5388" s="1" t="s">
        <v>18250</v>
      </c>
      <c r="AE5388" s="1" t="s">
        <v>32</v>
      </c>
      <c r="AF5388" s="1" t="s">
        <v>33</v>
      </c>
      <c r="AG5388" s="1" t="s">
        <v>270</v>
      </c>
    </row>
    <row r="5389" spans="1:33">
      <c r="A5389" t="s">
        <v>18251</v>
      </c>
      <c r="C5389" t="s">
        <v>5458</v>
      </c>
      <c r="E5389" t="s">
        <v>17332</v>
      </c>
      <c r="F5389" t="s">
        <v>16399</v>
      </c>
      <c r="G5389">
        <v>328.0</v>
      </c>
      <c r="H5389">
        <v>328.0</v>
      </c>
      <c r="I5389" t="s">
        <v>269</v>
      </c>
      <c r="J5389" t="s">
        <v>270</v>
      </c>
      <c r="K5389" t="s">
        <v>31</v>
      </c>
      <c r="L5389" t="s">
        <v>32</v>
      </c>
      <c r="M5389" t="s">
        <v>33</v>
      </c>
      <c r="P5389" s="1" t="s">
        <v>18252</v>
      </c>
      <c r="Q5389" s="1" t="s">
        <v>17332</v>
      </c>
      <c r="R5389" s="1" t="s">
        <v>17332</v>
      </c>
      <c r="S5389" s="1"/>
      <c r="T5389" s="1" t="s">
        <v>5458</v>
      </c>
      <c r="U5389" s="1"/>
      <c r="V5389" s="1">
        <v>328.0</v>
      </c>
      <c r="W5389" s="1">
        <v>328.0</v>
      </c>
      <c r="X5389" s="1" t="s">
        <v>35</v>
      </c>
      <c r="Y5389" s="1">
        <v>328000</v>
      </c>
      <c r="Z5389" s="1"/>
      <c r="AA5389" s="1">
        <v>328000</v>
      </c>
      <c r="AB5389" s="1"/>
      <c r="AC5389" s="1" t="s">
        <v>36</v>
      </c>
      <c r="AD5389" s="1" t="s">
        <v>18253</v>
      </c>
      <c r="AE5389" s="1" t="s">
        <v>32</v>
      </c>
      <c r="AF5389" s="1" t="s">
        <v>33</v>
      </c>
      <c r="AG5389" s="1" t="s">
        <v>270</v>
      </c>
    </row>
    <row r="5390" spans="1:33">
      <c r="A5390" t="s">
        <v>18254</v>
      </c>
      <c r="C5390" t="s">
        <v>18255</v>
      </c>
      <c r="D5390" t="s">
        <v>114</v>
      </c>
      <c r="E5390" t="s">
        <v>17332</v>
      </c>
      <c r="F5390" t="s">
        <v>16399</v>
      </c>
      <c r="G5390">
        <v>4.498</v>
      </c>
      <c r="H5390">
        <v>4.498</v>
      </c>
      <c r="I5390" t="s">
        <v>40</v>
      </c>
      <c r="J5390" t="s">
        <v>41</v>
      </c>
      <c r="K5390" t="s">
        <v>31</v>
      </c>
      <c r="L5390" t="s">
        <v>32</v>
      </c>
      <c r="M5390" t="s">
        <v>33</v>
      </c>
      <c r="P5390" s="1" t="s">
        <v>18256</v>
      </c>
      <c r="Q5390" s="1" t="s">
        <v>17332</v>
      </c>
      <c r="R5390" s="1" t="s">
        <v>16369</v>
      </c>
      <c r="S5390" s="1"/>
      <c r="T5390" s="1" t="s">
        <v>18255</v>
      </c>
      <c r="U5390" s="1"/>
      <c r="V5390" s="1">
        <v>4.498</v>
      </c>
      <c r="W5390" s="1">
        <v>4.498</v>
      </c>
      <c r="X5390" s="1" t="s">
        <v>35</v>
      </c>
      <c r="Y5390" s="1">
        <v>4498</v>
      </c>
      <c r="Z5390" s="1"/>
      <c r="AA5390" s="1">
        <v>4498</v>
      </c>
      <c r="AB5390" s="1"/>
      <c r="AC5390" s="1" t="s">
        <v>36</v>
      </c>
      <c r="AD5390" s="1" t="s">
        <v>18257</v>
      </c>
      <c r="AE5390" s="1" t="s">
        <v>32</v>
      </c>
      <c r="AF5390" s="1" t="s">
        <v>33</v>
      </c>
      <c r="AG5390" s="1" t="s">
        <v>41</v>
      </c>
    </row>
    <row r="5391" spans="1:33">
      <c r="A5391" t="s">
        <v>18258</v>
      </c>
      <c r="B5391" t="s">
        <v>18259</v>
      </c>
      <c r="C5391" t="s">
        <v>73</v>
      </c>
      <c r="E5391" t="s">
        <v>17332</v>
      </c>
      <c r="F5391" t="s">
        <v>16399</v>
      </c>
      <c r="G5391">
        <v>21.6</v>
      </c>
      <c r="H5391">
        <v>21.6</v>
      </c>
      <c r="I5391" t="s">
        <v>40</v>
      </c>
      <c r="J5391" t="s">
        <v>41</v>
      </c>
      <c r="K5391" t="s">
        <v>31</v>
      </c>
      <c r="L5391" t="s">
        <v>32</v>
      </c>
      <c r="M5391" t="s">
        <v>33</v>
      </c>
      <c r="P5391" s="1" t="s">
        <v>18260</v>
      </c>
      <c r="Q5391" s="1" t="s">
        <v>17332</v>
      </c>
      <c r="R5391" s="1" t="s">
        <v>16369</v>
      </c>
      <c r="S5391" s="1"/>
      <c r="T5391" s="1" t="s">
        <v>75</v>
      </c>
      <c r="U5391" s="1" t="s">
        <v>76</v>
      </c>
      <c r="V5391" s="1">
        <v>21.6</v>
      </c>
      <c r="W5391" s="1">
        <v>21.6</v>
      </c>
      <c r="X5391" s="1" t="s">
        <v>35</v>
      </c>
      <c r="Y5391" s="1">
        <v>21600</v>
      </c>
      <c r="Z5391" s="1"/>
      <c r="AA5391" s="1">
        <v>21600</v>
      </c>
      <c r="AB5391" s="1"/>
      <c r="AC5391" s="1" t="s">
        <v>36</v>
      </c>
      <c r="AD5391" s="1" t="s">
        <v>18261</v>
      </c>
      <c r="AE5391" s="1" t="s">
        <v>32</v>
      </c>
      <c r="AF5391" s="1" t="s">
        <v>33</v>
      </c>
      <c r="AG5391" s="1" t="s">
        <v>41</v>
      </c>
    </row>
    <row r="5392" spans="1:33">
      <c r="A5392" t="s">
        <v>18262</v>
      </c>
      <c r="B5392" t="s">
        <v>914</v>
      </c>
      <c r="C5392" t="s">
        <v>314</v>
      </c>
      <c r="E5392" t="s">
        <v>17332</v>
      </c>
      <c r="F5392" t="s">
        <v>16399</v>
      </c>
      <c r="G5392">
        <v>30.6</v>
      </c>
      <c r="H5392">
        <v>30.6</v>
      </c>
      <c r="I5392" t="s">
        <v>179</v>
      </c>
      <c r="J5392" t="s">
        <v>180</v>
      </c>
      <c r="K5392" t="s">
        <v>31</v>
      </c>
      <c r="L5392" t="s">
        <v>32</v>
      </c>
      <c r="M5392" t="s">
        <v>33</v>
      </c>
      <c r="P5392" s="1" t="s">
        <v>18263</v>
      </c>
      <c r="Q5392" s="1" t="s">
        <v>17332</v>
      </c>
      <c r="R5392" s="1" t="s">
        <v>17332</v>
      </c>
      <c r="S5392" s="1"/>
      <c r="T5392" s="1" t="s">
        <v>314</v>
      </c>
      <c r="U5392" s="1"/>
      <c r="V5392" s="1">
        <v>30.6</v>
      </c>
      <c r="W5392" s="1">
        <v>30.6</v>
      </c>
      <c r="X5392" s="1" t="s">
        <v>35</v>
      </c>
      <c r="Y5392" s="1">
        <v>30600</v>
      </c>
      <c r="Z5392" s="1"/>
      <c r="AA5392" s="1">
        <v>30600</v>
      </c>
      <c r="AB5392" s="1"/>
      <c r="AC5392" s="1" t="s">
        <v>36</v>
      </c>
      <c r="AD5392" s="1" t="s">
        <v>18261</v>
      </c>
      <c r="AE5392" s="1" t="s">
        <v>32</v>
      </c>
      <c r="AF5392" s="1" t="s">
        <v>33</v>
      </c>
      <c r="AG5392" s="1" t="s">
        <v>180</v>
      </c>
    </row>
    <row r="5393" spans="1:33">
      <c r="A5393" t="s">
        <v>18264</v>
      </c>
      <c r="C5393" t="s">
        <v>12240</v>
      </c>
      <c r="E5393" t="s">
        <v>17332</v>
      </c>
      <c r="F5393" t="s">
        <v>16399</v>
      </c>
      <c r="G5393">
        <v>32.85</v>
      </c>
      <c r="H5393">
        <v>32.85</v>
      </c>
      <c r="I5393" t="s">
        <v>136</v>
      </c>
      <c r="J5393" t="s">
        <v>137</v>
      </c>
      <c r="K5393" t="s">
        <v>31</v>
      </c>
      <c r="L5393" t="s">
        <v>32</v>
      </c>
      <c r="M5393" t="s">
        <v>33</v>
      </c>
      <c r="P5393" s="1" t="s">
        <v>18265</v>
      </c>
      <c r="Q5393" s="1" t="s">
        <v>17332</v>
      </c>
      <c r="R5393" s="1" t="s">
        <v>17332</v>
      </c>
      <c r="S5393" s="1"/>
      <c r="T5393" s="1" t="s">
        <v>12240</v>
      </c>
      <c r="U5393" s="1"/>
      <c r="V5393" s="1">
        <v>32.85</v>
      </c>
      <c r="W5393" s="1">
        <v>32.85</v>
      </c>
      <c r="X5393" s="1" t="s">
        <v>35</v>
      </c>
      <c r="Y5393" s="1">
        <v>32850</v>
      </c>
      <c r="Z5393" s="1"/>
      <c r="AA5393" s="1">
        <v>32850</v>
      </c>
      <c r="AB5393" s="1"/>
      <c r="AC5393" s="1" t="s">
        <v>36</v>
      </c>
      <c r="AD5393" s="1" t="s">
        <v>18266</v>
      </c>
      <c r="AE5393" s="1" t="s">
        <v>32</v>
      </c>
      <c r="AF5393" s="1" t="s">
        <v>33</v>
      </c>
      <c r="AG5393" s="1" t="s">
        <v>137</v>
      </c>
    </row>
    <row r="5394" spans="1:33">
      <c r="A5394" t="s">
        <v>18267</v>
      </c>
      <c r="B5394" t="s">
        <v>9275</v>
      </c>
      <c r="C5394" t="s">
        <v>68</v>
      </c>
      <c r="E5394" t="s">
        <v>17332</v>
      </c>
      <c r="F5394" t="s">
        <v>16399</v>
      </c>
      <c r="G5394">
        <v>47.4</v>
      </c>
      <c r="H5394">
        <v>47.4</v>
      </c>
      <c r="I5394" t="s">
        <v>59</v>
      </c>
      <c r="J5394" t="s">
        <v>60</v>
      </c>
      <c r="K5394" t="s">
        <v>31</v>
      </c>
      <c r="L5394" t="s">
        <v>32</v>
      </c>
      <c r="M5394" t="s">
        <v>33</v>
      </c>
      <c r="P5394" s="1" t="s">
        <v>18268</v>
      </c>
      <c r="Q5394" s="1" t="s">
        <v>17332</v>
      </c>
      <c r="R5394" s="1" t="s">
        <v>17332</v>
      </c>
      <c r="S5394" s="1"/>
      <c r="T5394" s="1" t="s">
        <v>68</v>
      </c>
      <c r="U5394" s="1"/>
      <c r="V5394" s="1">
        <v>47.4</v>
      </c>
      <c r="W5394" s="1">
        <v>47.4</v>
      </c>
      <c r="X5394" s="1" t="s">
        <v>35</v>
      </c>
      <c r="Y5394" s="1">
        <v>47400</v>
      </c>
      <c r="Z5394" s="1"/>
      <c r="AA5394" s="1">
        <v>47400</v>
      </c>
      <c r="AB5394" s="1"/>
      <c r="AC5394" s="1" t="s">
        <v>36</v>
      </c>
      <c r="AD5394" s="1" t="s">
        <v>18269</v>
      </c>
      <c r="AE5394" s="1" t="s">
        <v>32</v>
      </c>
      <c r="AF5394" s="1" t="s">
        <v>33</v>
      </c>
      <c r="AG5394" s="1" t="s">
        <v>60</v>
      </c>
    </row>
    <row r="5395" spans="1:33">
      <c r="A5395" t="s">
        <v>18270</v>
      </c>
      <c r="B5395" t="s">
        <v>18239</v>
      </c>
      <c r="C5395" t="s">
        <v>73</v>
      </c>
      <c r="E5395" t="s">
        <v>17332</v>
      </c>
      <c r="F5395" t="s">
        <v>16399</v>
      </c>
      <c r="G5395">
        <v>17.937</v>
      </c>
      <c r="H5395">
        <v>17.937</v>
      </c>
      <c r="I5395" t="s">
        <v>40</v>
      </c>
      <c r="J5395" t="s">
        <v>41</v>
      </c>
      <c r="K5395" t="s">
        <v>31</v>
      </c>
      <c r="L5395" t="s">
        <v>32</v>
      </c>
      <c r="M5395" t="s">
        <v>33</v>
      </c>
      <c r="P5395" s="1" t="s">
        <v>18271</v>
      </c>
      <c r="Q5395" s="1" t="s">
        <v>17332</v>
      </c>
      <c r="R5395" s="1" t="s">
        <v>16369</v>
      </c>
      <c r="S5395" s="1"/>
      <c r="T5395" s="1" t="s">
        <v>75</v>
      </c>
      <c r="U5395" s="1" t="s">
        <v>76</v>
      </c>
      <c r="V5395" s="1">
        <v>17.937</v>
      </c>
      <c r="W5395" s="1">
        <v>17.937</v>
      </c>
      <c r="X5395" s="1" t="s">
        <v>35</v>
      </c>
      <c r="Y5395" s="1">
        <v>17937</v>
      </c>
      <c r="Z5395" s="1"/>
      <c r="AA5395" s="1">
        <v>17937</v>
      </c>
      <c r="AB5395" s="1"/>
      <c r="AC5395" s="1" t="s">
        <v>36</v>
      </c>
      <c r="AD5395" s="1" t="s">
        <v>18272</v>
      </c>
      <c r="AE5395" s="1" t="s">
        <v>32</v>
      </c>
      <c r="AF5395" s="1" t="s">
        <v>33</v>
      </c>
      <c r="AG5395" s="1" t="s">
        <v>41</v>
      </c>
    </row>
    <row r="5396" spans="1:33">
      <c r="A5396" t="s">
        <v>18273</v>
      </c>
      <c r="B5396" t="s">
        <v>8866</v>
      </c>
      <c r="C5396" t="s">
        <v>8867</v>
      </c>
      <c r="E5396" t="s">
        <v>17332</v>
      </c>
      <c r="F5396" t="s">
        <v>16399</v>
      </c>
      <c r="G5396">
        <v>1.635</v>
      </c>
      <c r="H5396">
        <v>1.635</v>
      </c>
      <c r="I5396" t="s">
        <v>40</v>
      </c>
      <c r="J5396" t="s">
        <v>41</v>
      </c>
      <c r="K5396" t="s">
        <v>31</v>
      </c>
      <c r="L5396" t="s">
        <v>32</v>
      </c>
      <c r="M5396" t="s">
        <v>33</v>
      </c>
      <c r="P5396" s="1" t="s">
        <v>18274</v>
      </c>
      <c r="Q5396" s="1" t="s">
        <v>17332</v>
      </c>
      <c r="R5396" s="1" t="s">
        <v>16369</v>
      </c>
      <c r="S5396" s="1"/>
      <c r="T5396" s="1" t="s">
        <v>8867</v>
      </c>
      <c r="U5396" s="1"/>
      <c r="V5396" s="1">
        <v>1.635</v>
      </c>
      <c r="W5396" s="1">
        <v>1.635</v>
      </c>
      <c r="X5396" s="1" t="s">
        <v>35</v>
      </c>
      <c r="Y5396" s="1">
        <v>1635000</v>
      </c>
      <c r="Z5396" s="1"/>
      <c r="AA5396" s="1">
        <v>1635000</v>
      </c>
      <c r="AB5396" s="1"/>
      <c r="AC5396" s="1" t="s">
        <v>36</v>
      </c>
      <c r="AD5396" s="1" t="s">
        <v>18275</v>
      </c>
      <c r="AE5396" s="1" t="s">
        <v>32</v>
      </c>
      <c r="AF5396" s="1" t="s">
        <v>33</v>
      </c>
      <c r="AG5396" s="1" t="s">
        <v>41</v>
      </c>
    </row>
    <row r="5397" spans="1:33">
      <c r="A5397" t="s">
        <v>18276</v>
      </c>
      <c r="B5397" t="s">
        <v>16359</v>
      </c>
      <c r="C5397" t="s">
        <v>314</v>
      </c>
      <c r="E5397" t="s">
        <v>17332</v>
      </c>
      <c r="F5397" t="s">
        <v>16399</v>
      </c>
      <c r="G5397">
        <v>22.24</v>
      </c>
      <c r="H5397">
        <v>22.24</v>
      </c>
      <c r="I5397" t="s">
        <v>179</v>
      </c>
      <c r="J5397" t="s">
        <v>180</v>
      </c>
      <c r="K5397" t="s">
        <v>31</v>
      </c>
      <c r="L5397" t="s">
        <v>32</v>
      </c>
      <c r="M5397" t="s">
        <v>33</v>
      </c>
      <c r="P5397" s="1" t="s">
        <v>18277</v>
      </c>
      <c r="Q5397" s="1" t="s">
        <v>17332</v>
      </c>
      <c r="R5397" s="1" t="s">
        <v>17332</v>
      </c>
      <c r="S5397" s="1"/>
      <c r="T5397" s="1" t="s">
        <v>314</v>
      </c>
      <c r="U5397" s="1"/>
      <c r="V5397" s="1">
        <v>22.24</v>
      </c>
      <c r="W5397" s="1">
        <v>22.24</v>
      </c>
      <c r="X5397" s="1" t="s">
        <v>35</v>
      </c>
      <c r="Y5397" s="1">
        <v>22240</v>
      </c>
      <c r="Z5397" s="1"/>
      <c r="AA5397" s="1">
        <v>22240</v>
      </c>
      <c r="AB5397" s="1"/>
      <c r="AC5397" s="1" t="s">
        <v>36</v>
      </c>
      <c r="AD5397" s="1" t="s">
        <v>18278</v>
      </c>
      <c r="AE5397" s="1" t="s">
        <v>32</v>
      </c>
      <c r="AF5397" s="1" t="s">
        <v>33</v>
      </c>
      <c r="AG5397" s="1" t="s">
        <v>180</v>
      </c>
    </row>
    <row r="5398" spans="1:33">
      <c r="A5398" t="s">
        <v>18279</v>
      </c>
      <c r="B5398" t="s">
        <v>18280</v>
      </c>
      <c r="C5398" t="s">
        <v>268</v>
      </c>
      <c r="E5398" t="s">
        <v>17332</v>
      </c>
      <c r="F5398" t="s">
        <v>16399</v>
      </c>
      <c r="G5398">
        <v>49.75</v>
      </c>
      <c r="H5398">
        <v>49.75</v>
      </c>
      <c r="I5398" t="s">
        <v>269</v>
      </c>
      <c r="J5398" t="s">
        <v>270</v>
      </c>
      <c r="K5398" t="s">
        <v>31</v>
      </c>
      <c r="L5398" t="s">
        <v>32</v>
      </c>
      <c r="M5398" t="s">
        <v>33</v>
      </c>
      <c r="P5398" s="1" t="s">
        <v>18281</v>
      </c>
      <c r="Q5398" s="1" t="s">
        <v>17332</v>
      </c>
      <c r="R5398" s="1" t="s">
        <v>17332</v>
      </c>
      <c r="S5398" s="1"/>
      <c r="T5398" s="1" t="s">
        <v>268</v>
      </c>
      <c r="U5398" s="1"/>
      <c r="V5398" s="1">
        <v>49.75</v>
      </c>
      <c r="W5398" s="1">
        <v>49.75</v>
      </c>
      <c r="X5398" s="1" t="s">
        <v>35</v>
      </c>
      <c r="Y5398" s="1">
        <v>49750</v>
      </c>
      <c r="Z5398" s="1"/>
      <c r="AA5398" s="1">
        <v>49750</v>
      </c>
      <c r="AB5398" s="1"/>
      <c r="AC5398" s="1" t="s">
        <v>36</v>
      </c>
      <c r="AD5398" s="1" t="s">
        <v>18278</v>
      </c>
      <c r="AE5398" s="1" t="s">
        <v>32</v>
      </c>
      <c r="AF5398" s="1" t="s">
        <v>33</v>
      </c>
      <c r="AG5398" s="1" t="s">
        <v>270</v>
      </c>
    </row>
    <row r="5399" spans="1:33">
      <c r="A5399" t="s">
        <v>18282</v>
      </c>
      <c r="C5399" t="s">
        <v>8961</v>
      </c>
      <c r="E5399" t="s">
        <v>17332</v>
      </c>
      <c r="F5399" t="s">
        <v>16399</v>
      </c>
      <c r="G5399">
        <v>652.5</v>
      </c>
      <c r="H5399">
        <v>652.5</v>
      </c>
      <c r="I5399" t="s">
        <v>227</v>
      </c>
      <c r="J5399" t="s">
        <v>228</v>
      </c>
      <c r="K5399" t="s">
        <v>31</v>
      </c>
      <c r="L5399" t="s">
        <v>32</v>
      </c>
      <c r="M5399" t="s">
        <v>33</v>
      </c>
      <c r="P5399" s="1" t="s">
        <v>18283</v>
      </c>
      <c r="Q5399" s="1" t="s">
        <v>17332</v>
      </c>
      <c r="R5399" s="1" t="s">
        <v>17332</v>
      </c>
      <c r="S5399" s="1"/>
      <c r="T5399" s="1" t="s">
        <v>8961</v>
      </c>
      <c r="U5399" s="1"/>
      <c r="V5399" s="1">
        <v>652.5</v>
      </c>
      <c r="W5399" s="1">
        <v>652.5</v>
      </c>
      <c r="X5399" s="1" t="s">
        <v>35</v>
      </c>
      <c r="Y5399" s="1">
        <v>652500</v>
      </c>
      <c r="Z5399" s="1"/>
      <c r="AA5399" s="1">
        <v>652500</v>
      </c>
      <c r="AB5399" s="1"/>
      <c r="AC5399" s="1" t="s">
        <v>36</v>
      </c>
      <c r="AD5399" s="1" t="s">
        <v>18278</v>
      </c>
      <c r="AE5399" s="1" t="s">
        <v>32</v>
      </c>
      <c r="AF5399" s="1" t="s">
        <v>33</v>
      </c>
      <c r="AG5399" s="1" t="s">
        <v>228</v>
      </c>
    </row>
    <row r="5400" spans="1:33">
      <c r="A5400" t="s">
        <v>18284</v>
      </c>
      <c r="B5400" t="s">
        <v>14661</v>
      </c>
      <c r="C5400" t="s">
        <v>314</v>
      </c>
      <c r="E5400" t="s">
        <v>17332</v>
      </c>
      <c r="F5400" t="s">
        <v>16399</v>
      </c>
      <c r="G5400">
        <v>37.18</v>
      </c>
      <c r="H5400">
        <v>37.18</v>
      </c>
      <c r="I5400" t="s">
        <v>179</v>
      </c>
      <c r="J5400" t="s">
        <v>180</v>
      </c>
      <c r="K5400" t="s">
        <v>31</v>
      </c>
      <c r="L5400" t="s">
        <v>32</v>
      </c>
      <c r="M5400" t="s">
        <v>33</v>
      </c>
      <c r="P5400" s="1" t="s">
        <v>18285</v>
      </c>
      <c r="Q5400" s="1" t="s">
        <v>17332</v>
      </c>
      <c r="R5400" s="1" t="s">
        <v>17332</v>
      </c>
      <c r="S5400" s="1"/>
      <c r="T5400" s="1" t="s">
        <v>314</v>
      </c>
      <c r="U5400" s="1"/>
      <c r="V5400" s="1">
        <v>37.18</v>
      </c>
      <c r="W5400" s="1">
        <v>37.18</v>
      </c>
      <c r="X5400" s="1" t="s">
        <v>35</v>
      </c>
      <c r="Y5400" s="1">
        <v>37180</v>
      </c>
      <c r="Z5400" s="1"/>
      <c r="AA5400" s="1">
        <v>37180</v>
      </c>
      <c r="AB5400" s="1"/>
      <c r="AC5400" s="1" t="s">
        <v>36</v>
      </c>
      <c r="AD5400" s="1" t="s">
        <v>18286</v>
      </c>
      <c r="AE5400" s="1" t="s">
        <v>32</v>
      </c>
      <c r="AF5400" s="1" t="s">
        <v>33</v>
      </c>
      <c r="AG5400" s="1" t="s">
        <v>180</v>
      </c>
    </row>
    <row r="5401" spans="1:33">
      <c r="A5401" t="s">
        <v>18287</v>
      </c>
      <c r="B5401" t="s">
        <v>18288</v>
      </c>
      <c r="C5401" t="s">
        <v>268</v>
      </c>
      <c r="E5401" t="s">
        <v>17332</v>
      </c>
      <c r="F5401" t="s">
        <v>16399</v>
      </c>
      <c r="G5401">
        <v>49.75</v>
      </c>
      <c r="H5401">
        <v>49.75</v>
      </c>
      <c r="I5401" t="s">
        <v>269</v>
      </c>
      <c r="J5401" t="s">
        <v>270</v>
      </c>
      <c r="K5401" t="s">
        <v>31</v>
      </c>
      <c r="L5401" t="s">
        <v>32</v>
      </c>
      <c r="M5401" t="s">
        <v>33</v>
      </c>
      <c r="P5401" s="1" t="s">
        <v>18289</v>
      </c>
      <c r="Q5401" s="1" t="s">
        <v>17332</v>
      </c>
      <c r="R5401" s="1" t="s">
        <v>17332</v>
      </c>
      <c r="S5401" s="1"/>
      <c r="T5401" s="1" t="s">
        <v>268</v>
      </c>
      <c r="U5401" s="1"/>
      <c r="V5401" s="1">
        <v>49.75</v>
      </c>
      <c r="W5401" s="1">
        <v>49.75</v>
      </c>
      <c r="X5401" s="1" t="s">
        <v>35</v>
      </c>
      <c r="Y5401" s="1">
        <v>49750</v>
      </c>
      <c r="Z5401" s="1"/>
      <c r="AA5401" s="1">
        <v>49750</v>
      </c>
      <c r="AB5401" s="1"/>
      <c r="AC5401" s="1" t="s">
        <v>36</v>
      </c>
      <c r="AD5401" s="1" t="s">
        <v>18290</v>
      </c>
      <c r="AE5401" s="1" t="s">
        <v>32</v>
      </c>
      <c r="AF5401" s="1" t="s">
        <v>33</v>
      </c>
      <c r="AG5401" s="1" t="s">
        <v>270</v>
      </c>
    </row>
    <row r="5402" spans="1:33">
      <c r="A5402" t="s">
        <v>18291</v>
      </c>
      <c r="B5402" t="s">
        <v>5100</v>
      </c>
      <c r="C5402" t="s">
        <v>314</v>
      </c>
      <c r="E5402" t="s">
        <v>17332</v>
      </c>
      <c r="F5402" t="s">
        <v>16399</v>
      </c>
      <c r="G5402">
        <v>18.49</v>
      </c>
      <c r="H5402">
        <v>18.49</v>
      </c>
      <c r="I5402" t="s">
        <v>179</v>
      </c>
      <c r="J5402" t="s">
        <v>180</v>
      </c>
      <c r="K5402" t="s">
        <v>31</v>
      </c>
      <c r="L5402" t="s">
        <v>32</v>
      </c>
      <c r="M5402" t="s">
        <v>33</v>
      </c>
      <c r="P5402" s="1" t="s">
        <v>18292</v>
      </c>
      <c r="Q5402" s="1" t="s">
        <v>17332</v>
      </c>
      <c r="R5402" s="1" t="s">
        <v>17332</v>
      </c>
      <c r="S5402" s="1"/>
      <c r="T5402" s="1" t="s">
        <v>314</v>
      </c>
      <c r="U5402" s="1"/>
      <c r="V5402" s="1">
        <v>18.49</v>
      </c>
      <c r="W5402" s="1">
        <v>18.49</v>
      </c>
      <c r="X5402" s="1" t="s">
        <v>35</v>
      </c>
      <c r="Y5402" s="1">
        <v>18490</v>
      </c>
      <c r="Z5402" s="1"/>
      <c r="AA5402" s="1">
        <v>18490</v>
      </c>
      <c r="AB5402" s="1"/>
      <c r="AC5402" s="1" t="s">
        <v>36</v>
      </c>
      <c r="AD5402" s="1" t="s">
        <v>18293</v>
      </c>
      <c r="AE5402" s="1" t="s">
        <v>32</v>
      </c>
      <c r="AF5402" s="1" t="s">
        <v>33</v>
      </c>
      <c r="AG5402" s="1" t="s">
        <v>180</v>
      </c>
    </row>
    <row r="5403" spans="1:33">
      <c r="A5403" t="s">
        <v>18294</v>
      </c>
      <c r="B5403" t="s">
        <v>18295</v>
      </c>
      <c r="C5403" t="s">
        <v>569</v>
      </c>
      <c r="E5403" t="s">
        <v>17332</v>
      </c>
      <c r="F5403" t="s">
        <v>16399</v>
      </c>
      <c r="G5403">
        <v>8.5</v>
      </c>
      <c r="H5403">
        <v>8.5</v>
      </c>
      <c r="I5403" t="s">
        <v>570</v>
      </c>
      <c r="J5403" t="s">
        <v>571</v>
      </c>
      <c r="K5403" t="s">
        <v>31</v>
      </c>
      <c r="L5403" t="s">
        <v>32</v>
      </c>
      <c r="M5403" t="s">
        <v>33</v>
      </c>
      <c r="P5403" s="1" t="s">
        <v>18296</v>
      </c>
      <c r="Q5403" s="1" t="s">
        <v>17332</v>
      </c>
      <c r="R5403" s="1" t="s">
        <v>17332</v>
      </c>
      <c r="S5403" s="1"/>
      <c r="T5403" s="1" t="s">
        <v>569</v>
      </c>
      <c r="U5403" s="1"/>
      <c r="V5403" s="1">
        <v>8.5</v>
      </c>
      <c r="W5403" s="1">
        <v>8.5</v>
      </c>
      <c r="X5403" s="1" t="s">
        <v>35</v>
      </c>
      <c r="Y5403" s="1">
        <v>8500</v>
      </c>
      <c r="Z5403" s="1"/>
      <c r="AA5403" s="1">
        <v>8500</v>
      </c>
      <c r="AB5403" s="1"/>
      <c r="AC5403" s="1" t="s">
        <v>36</v>
      </c>
      <c r="AD5403" s="1" t="s">
        <v>18290</v>
      </c>
      <c r="AE5403" s="1" t="s">
        <v>32</v>
      </c>
      <c r="AF5403" s="1" t="s">
        <v>33</v>
      </c>
      <c r="AG5403" s="1" t="s">
        <v>571</v>
      </c>
    </row>
    <row r="5404" spans="1:33">
      <c r="A5404" t="s">
        <v>18297</v>
      </c>
      <c r="C5404" t="s">
        <v>1998</v>
      </c>
      <c r="E5404" t="s">
        <v>17332</v>
      </c>
      <c r="F5404" t="s">
        <v>16399</v>
      </c>
      <c r="G5404">
        <v>605.2</v>
      </c>
      <c r="H5404">
        <v>605.2</v>
      </c>
      <c r="I5404" t="s">
        <v>269</v>
      </c>
      <c r="J5404" t="s">
        <v>270</v>
      </c>
      <c r="K5404" t="s">
        <v>31</v>
      </c>
      <c r="L5404" t="s">
        <v>32</v>
      </c>
      <c r="M5404" t="s">
        <v>33</v>
      </c>
      <c r="P5404" s="1" t="s">
        <v>18298</v>
      </c>
      <c r="Q5404" s="1" t="s">
        <v>17332</v>
      </c>
      <c r="R5404" s="1" t="s">
        <v>17332</v>
      </c>
      <c r="S5404" s="1"/>
      <c r="T5404" s="1" t="s">
        <v>2000</v>
      </c>
      <c r="U5404" s="1" t="s">
        <v>2001</v>
      </c>
      <c r="V5404" s="1">
        <v>605.2</v>
      </c>
      <c r="W5404" s="1">
        <v>605.2</v>
      </c>
      <c r="X5404" s="1" t="s">
        <v>35</v>
      </c>
      <c r="Y5404" s="1">
        <v>605200</v>
      </c>
      <c r="Z5404" s="1"/>
      <c r="AA5404" s="1">
        <v>605200</v>
      </c>
      <c r="AB5404" s="1"/>
      <c r="AC5404" s="1" t="s">
        <v>36</v>
      </c>
      <c r="AD5404" s="1" t="s">
        <v>18299</v>
      </c>
      <c r="AE5404" s="1" t="s">
        <v>32</v>
      </c>
      <c r="AF5404" s="1" t="s">
        <v>33</v>
      </c>
      <c r="AG5404" s="1" t="s">
        <v>270</v>
      </c>
    </row>
    <row r="5405" spans="1:33">
      <c r="A5405" t="s">
        <v>18300</v>
      </c>
      <c r="C5405" t="s">
        <v>17924</v>
      </c>
      <c r="E5405" t="s">
        <v>17332</v>
      </c>
      <c r="F5405" t="s">
        <v>16399</v>
      </c>
      <c r="G5405">
        <v>336.0</v>
      </c>
      <c r="H5405">
        <v>336.0</v>
      </c>
      <c r="I5405" t="s">
        <v>94</v>
      </c>
      <c r="J5405" t="s">
        <v>95</v>
      </c>
      <c r="K5405" t="s">
        <v>31</v>
      </c>
      <c r="L5405" t="s">
        <v>32</v>
      </c>
      <c r="M5405" t="s">
        <v>33</v>
      </c>
      <c r="P5405" s="1" t="s">
        <v>18301</v>
      </c>
      <c r="Q5405" s="1" t="s">
        <v>17332</v>
      </c>
      <c r="R5405" s="1" t="s">
        <v>17332</v>
      </c>
      <c r="S5405" s="1"/>
      <c r="T5405" s="1" t="s">
        <v>17924</v>
      </c>
      <c r="U5405" s="1"/>
      <c r="V5405" s="1">
        <v>336.0</v>
      </c>
      <c r="W5405" s="1">
        <v>336.0</v>
      </c>
      <c r="X5405" s="1" t="s">
        <v>35</v>
      </c>
      <c r="Y5405" s="1">
        <v>336000</v>
      </c>
      <c r="Z5405" s="1"/>
      <c r="AA5405" s="1">
        <v>336000</v>
      </c>
      <c r="AB5405" s="1"/>
      <c r="AC5405" s="1" t="s">
        <v>36</v>
      </c>
      <c r="AD5405" s="1" t="s">
        <v>18302</v>
      </c>
      <c r="AE5405" s="1" t="s">
        <v>32</v>
      </c>
      <c r="AF5405" s="1" t="s">
        <v>33</v>
      </c>
      <c r="AG5405" s="1" t="s">
        <v>95</v>
      </c>
    </row>
    <row r="5406" spans="1:33">
      <c r="A5406" t="s">
        <v>18303</v>
      </c>
      <c r="C5406" t="s">
        <v>932</v>
      </c>
      <c r="E5406" t="s">
        <v>17332</v>
      </c>
      <c r="F5406" t="s">
        <v>16399</v>
      </c>
      <c r="G5406">
        <v>820.0</v>
      </c>
      <c r="H5406">
        <v>820.0</v>
      </c>
      <c r="I5406" t="s">
        <v>227</v>
      </c>
      <c r="J5406" t="s">
        <v>228</v>
      </c>
      <c r="K5406" t="s">
        <v>31</v>
      </c>
      <c r="L5406" t="s">
        <v>32</v>
      </c>
      <c r="M5406" t="s">
        <v>33</v>
      </c>
      <c r="P5406" s="1" t="s">
        <v>18304</v>
      </c>
      <c r="Q5406" s="1" t="s">
        <v>17332</v>
      </c>
      <c r="R5406" s="1" t="s">
        <v>17332</v>
      </c>
      <c r="S5406" s="1"/>
      <c r="T5406" s="1" t="s">
        <v>932</v>
      </c>
      <c r="U5406" s="1"/>
      <c r="V5406" s="1">
        <v>820.0</v>
      </c>
      <c r="W5406" s="1">
        <v>820.0</v>
      </c>
      <c r="X5406" s="1" t="s">
        <v>35</v>
      </c>
      <c r="Y5406" s="1">
        <v>820000</v>
      </c>
      <c r="Z5406" s="1"/>
      <c r="AA5406" s="1">
        <v>820000</v>
      </c>
      <c r="AB5406" s="1"/>
      <c r="AC5406" s="1" t="s">
        <v>36</v>
      </c>
      <c r="AD5406" s="1" t="s">
        <v>18305</v>
      </c>
      <c r="AE5406" s="1" t="s">
        <v>32</v>
      </c>
      <c r="AF5406" s="1" t="s">
        <v>33</v>
      </c>
      <c r="AG5406" s="1" t="s">
        <v>228</v>
      </c>
    </row>
    <row r="5407" spans="1:33">
      <c r="A5407" t="s">
        <v>18306</v>
      </c>
      <c r="B5407" t="s">
        <v>18307</v>
      </c>
      <c r="C5407" t="s">
        <v>47</v>
      </c>
      <c r="E5407" t="s">
        <v>17332</v>
      </c>
      <c r="F5407" t="s">
        <v>16399</v>
      </c>
      <c r="G5407">
        <v>42.98</v>
      </c>
      <c r="H5407">
        <v>42.98</v>
      </c>
      <c r="I5407" t="s">
        <v>2206</v>
      </c>
      <c r="J5407" t="s">
        <v>49</v>
      </c>
      <c r="K5407" t="s">
        <v>31</v>
      </c>
      <c r="L5407" t="s">
        <v>32</v>
      </c>
      <c r="M5407" t="s">
        <v>33</v>
      </c>
      <c r="P5407" s="1" t="s">
        <v>18308</v>
      </c>
      <c r="Q5407" s="1" t="s">
        <v>17332</v>
      </c>
      <c r="R5407" s="1" t="s">
        <v>17332</v>
      </c>
      <c r="S5407" s="1"/>
      <c r="T5407" s="1" t="s">
        <v>47</v>
      </c>
      <c r="U5407" s="1"/>
      <c r="V5407" s="1">
        <v>42.98</v>
      </c>
      <c r="W5407" s="1">
        <v>42.98</v>
      </c>
      <c r="X5407" s="1" t="s">
        <v>35</v>
      </c>
      <c r="Y5407" s="1">
        <v>42980</v>
      </c>
      <c r="Z5407" s="1"/>
      <c r="AA5407" s="1">
        <v>42980</v>
      </c>
      <c r="AB5407" s="1"/>
      <c r="AC5407" s="1" t="s">
        <v>36</v>
      </c>
      <c r="AD5407" s="1" t="s">
        <v>18309</v>
      </c>
      <c r="AE5407" s="1" t="s">
        <v>32</v>
      </c>
      <c r="AF5407" s="1" t="s">
        <v>33</v>
      </c>
      <c r="AG5407" s="1" t="s">
        <v>49</v>
      </c>
    </row>
    <row r="5408" spans="1:33">
      <c r="A5408" t="s">
        <v>18310</v>
      </c>
      <c r="B5408" t="s">
        <v>18311</v>
      </c>
      <c r="C5408" t="s">
        <v>314</v>
      </c>
      <c r="E5408" t="s">
        <v>17332</v>
      </c>
      <c r="F5408" t="s">
        <v>16399</v>
      </c>
      <c r="G5408">
        <v>18.59</v>
      </c>
      <c r="H5408">
        <v>18.59</v>
      </c>
      <c r="I5408" t="s">
        <v>179</v>
      </c>
      <c r="J5408" t="s">
        <v>180</v>
      </c>
      <c r="K5408" t="s">
        <v>31</v>
      </c>
      <c r="L5408" t="s">
        <v>32</v>
      </c>
      <c r="M5408" t="s">
        <v>33</v>
      </c>
      <c r="P5408" s="1" t="s">
        <v>18312</v>
      </c>
      <c r="Q5408" s="1" t="s">
        <v>17332</v>
      </c>
      <c r="R5408" s="1" t="s">
        <v>17332</v>
      </c>
      <c r="S5408" s="1"/>
      <c r="T5408" s="1" t="s">
        <v>314</v>
      </c>
      <c r="U5408" s="1"/>
      <c r="V5408" s="1">
        <v>18.59</v>
      </c>
      <c r="W5408" s="1">
        <v>18.59</v>
      </c>
      <c r="X5408" s="1" t="s">
        <v>35</v>
      </c>
      <c r="Y5408" s="1">
        <v>18590</v>
      </c>
      <c r="Z5408" s="1"/>
      <c r="AA5408" s="1">
        <v>18590</v>
      </c>
      <c r="AB5408" s="1"/>
      <c r="AC5408" s="1" t="s">
        <v>36</v>
      </c>
      <c r="AD5408" s="1" t="s">
        <v>18313</v>
      </c>
      <c r="AE5408" s="1" t="s">
        <v>32</v>
      </c>
      <c r="AF5408" s="1" t="s">
        <v>33</v>
      </c>
      <c r="AG5408" s="1" t="s">
        <v>180</v>
      </c>
    </row>
    <row r="5409" spans="1:33">
      <c r="A5409" t="s">
        <v>18314</v>
      </c>
      <c r="B5409" t="s">
        <v>18315</v>
      </c>
      <c r="C5409" t="s">
        <v>73</v>
      </c>
      <c r="E5409" t="s">
        <v>17332</v>
      </c>
      <c r="F5409" t="s">
        <v>16399</v>
      </c>
      <c r="G5409">
        <v>16.99</v>
      </c>
      <c r="H5409">
        <v>16.99</v>
      </c>
      <c r="I5409" t="s">
        <v>40</v>
      </c>
      <c r="J5409" t="s">
        <v>41</v>
      </c>
      <c r="K5409" t="s">
        <v>31</v>
      </c>
      <c r="L5409" t="s">
        <v>32</v>
      </c>
      <c r="M5409" t="s">
        <v>33</v>
      </c>
      <c r="P5409" s="1" t="s">
        <v>18316</v>
      </c>
      <c r="Q5409" s="1" t="s">
        <v>17332</v>
      </c>
      <c r="R5409" s="1" t="s">
        <v>16369</v>
      </c>
      <c r="S5409" s="1"/>
      <c r="T5409" s="1" t="s">
        <v>75</v>
      </c>
      <c r="U5409" s="1" t="s">
        <v>76</v>
      </c>
      <c r="V5409" s="1">
        <v>16.99</v>
      </c>
      <c r="W5409" s="1">
        <v>16.99</v>
      </c>
      <c r="X5409" s="1" t="s">
        <v>35</v>
      </c>
      <c r="Y5409" s="1">
        <v>16990</v>
      </c>
      <c r="Z5409" s="1"/>
      <c r="AA5409" s="1">
        <v>16990</v>
      </c>
      <c r="AB5409" s="1"/>
      <c r="AC5409" s="1" t="s">
        <v>36</v>
      </c>
      <c r="AD5409" s="1" t="s">
        <v>18317</v>
      </c>
      <c r="AE5409" s="1" t="s">
        <v>32</v>
      </c>
      <c r="AF5409" s="1" t="s">
        <v>33</v>
      </c>
      <c r="AG5409" s="1" t="s">
        <v>41</v>
      </c>
    </row>
    <row r="5410" spans="1:33">
      <c r="A5410" t="s">
        <v>18318</v>
      </c>
      <c r="C5410" t="s">
        <v>8961</v>
      </c>
      <c r="E5410" t="s">
        <v>17332</v>
      </c>
      <c r="F5410" t="s">
        <v>16399</v>
      </c>
      <c r="G5410">
        <v>1.709</v>
      </c>
      <c r="H5410">
        <v>1.709</v>
      </c>
      <c r="I5410" t="s">
        <v>227</v>
      </c>
      <c r="J5410" t="s">
        <v>228</v>
      </c>
      <c r="K5410" t="s">
        <v>31</v>
      </c>
      <c r="L5410" t="s">
        <v>32</v>
      </c>
      <c r="M5410" t="s">
        <v>33</v>
      </c>
      <c r="P5410" s="1" t="s">
        <v>18319</v>
      </c>
      <c r="Q5410" s="1" t="s">
        <v>17332</v>
      </c>
      <c r="R5410" s="1" t="s">
        <v>17332</v>
      </c>
      <c r="S5410" s="1"/>
      <c r="T5410" s="1" t="s">
        <v>8961</v>
      </c>
      <c r="U5410" s="1"/>
      <c r="V5410" s="1">
        <v>1.709</v>
      </c>
      <c r="W5410" s="1">
        <v>1.709</v>
      </c>
      <c r="X5410" s="1" t="s">
        <v>35</v>
      </c>
      <c r="Y5410" s="1">
        <v>1709300</v>
      </c>
      <c r="Z5410" s="1"/>
      <c r="AA5410" s="1">
        <v>1709300</v>
      </c>
      <c r="AB5410" s="1"/>
      <c r="AC5410" s="1" t="s">
        <v>36</v>
      </c>
      <c r="AD5410" s="1" t="s">
        <v>18320</v>
      </c>
      <c r="AE5410" s="1" t="s">
        <v>32</v>
      </c>
      <c r="AF5410" s="1" t="s">
        <v>33</v>
      </c>
      <c r="AG5410" s="1" t="s">
        <v>228</v>
      </c>
    </row>
    <row r="5411" spans="1:33">
      <c r="A5411" t="s">
        <v>18321</v>
      </c>
      <c r="C5411" t="s">
        <v>18322</v>
      </c>
      <c r="E5411" t="s">
        <v>17332</v>
      </c>
      <c r="F5411" t="s">
        <v>16399</v>
      </c>
      <c r="G5411">
        <v>234.18</v>
      </c>
      <c r="H5411">
        <v>234.18</v>
      </c>
      <c r="I5411" t="s">
        <v>570</v>
      </c>
      <c r="J5411" t="s">
        <v>571</v>
      </c>
      <c r="K5411" t="s">
        <v>31</v>
      </c>
      <c r="L5411" t="s">
        <v>32</v>
      </c>
      <c r="M5411" t="s">
        <v>33</v>
      </c>
      <c r="P5411" s="1" t="s">
        <v>18323</v>
      </c>
      <c r="Q5411" s="1" t="s">
        <v>17332</v>
      </c>
      <c r="R5411" s="1" t="s">
        <v>17332</v>
      </c>
      <c r="S5411" s="1"/>
      <c r="T5411" s="1" t="s">
        <v>18322</v>
      </c>
      <c r="U5411" s="1"/>
      <c r="V5411" s="1">
        <v>234.18</v>
      </c>
      <c r="W5411" s="1">
        <v>234.18</v>
      </c>
      <c r="X5411" s="1" t="s">
        <v>35</v>
      </c>
      <c r="Y5411" s="1">
        <v>234180</v>
      </c>
      <c r="Z5411" s="1"/>
      <c r="AA5411" s="1">
        <v>234180</v>
      </c>
      <c r="AB5411" s="1"/>
      <c r="AC5411" s="1" t="s">
        <v>36</v>
      </c>
      <c r="AD5411" s="1" t="s">
        <v>18302</v>
      </c>
      <c r="AE5411" s="1" t="s">
        <v>32</v>
      </c>
      <c r="AF5411" s="1" t="s">
        <v>33</v>
      </c>
      <c r="AG5411" s="1" t="s">
        <v>571</v>
      </c>
    </row>
    <row r="5412" spans="1:33">
      <c r="A5412" t="s">
        <v>18324</v>
      </c>
      <c r="C5412" t="s">
        <v>8196</v>
      </c>
      <c r="E5412" t="s">
        <v>17332</v>
      </c>
      <c r="F5412" t="s">
        <v>16399</v>
      </c>
      <c r="G5412">
        <v>360.8</v>
      </c>
      <c r="H5412">
        <v>360.8</v>
      </c>
      <c r="I5412" t="s">
        <v>269</v>
      </c>
      <c r="J5412" t="s">
        <v>270</v>
      </c>
      <c r="K5412" t="s">
        <v>31</v>
      </c>
      <c r="L5412" t="s">
        <v>32</v>
      </c>
      <c r="M5412" t="s">
        <v>33</v>
      </c>
      <c r="P5412" s="1" t="s">
        <v>18325</v>
      </c>
      <c r="Q5412" s="1" t="s">
        <v>17332</v>
      </c>
      <c r="R5412" s="1" t="s">
        <v>17332</v>
      </c>
      <c r="S5412" s="1"/>
      <c r="T5412" s="1" t="s">
        <v>8196</v>
      </c>
      <c r="U5412" s="1"/>
      <c r="V5412" s="1">
        <v>360.8</v>
      </c>
      <c r="W5412" s="1">
        <v>360.8</v>
      </c>
      <c r="X5412" s="1" t="s">
        <v>35</v>
      </c>
      <c r="Y5412" s="1">
        <v>360800</v>
      </c>
      <c r="Z5412" s="1"/>
      <c r="AA5412" s="1">
        <v>360800</v>
      </c>
      <c r="AB5412" s="1"/>
      <c r="AC5412" s="1" t="s">
        <v>36</v>
      </c>
      <c r="AD5412" s="1" t="s">
        <v>18326</v>
      </c>
      <c r="AE5412" s="1" t="s">
        <v>32</v>
      </c>
      <c r="AF5412" s="1" t="s">
        <v>33</v>
      </c>
      <c r="AG5412" s="1" t="s">
        <v>270</v>
      </c>
    </row>
    <row r="5413" spans="1:33">
      <c r="A5413" t="s">
        <v>18327</v>
      </c>
      <c r="B5413" t="s">
        <v>2026</v>
      </c>
      <c r="C5413" t="s">
        <v>268</v>
      </c>
      <c r="E5413" t="s">
        <v>17332</v>
      </c>
      <c r="F5413" t="s">
        <v>16399</v>
      </c>
      <c r="G5413">
        <v>16.9</v>
      </c>
      <c r="H5413">
        <v>16.9</v>
      </c>
      <c r="I5413" t="s">
        <v>269</v>
      </c>
      <c r="J5413" t="s">
        <v>270</v>
      </c>
      <c r="K5413" t="s">
        <v>31</v>
      </c>
      <c r="L5413" t="s">
        <v>32</v>
      </c>
      <c r="M5413" t="s">
        <v>33</v>
      </c>
      <c r="P5413" s="1" t="s">
        <v>18328</v>
      </c>
      <c r="Q5413" s="1" t="s">
        <v>17332</v>
      </c>
      <c r="R5413" s="1" t="s">
        <v>17332</v>
      </c>
      <c r="S5413" s="1"/>
      <c r="T5413" s="1" t="s">
        <v>268</v>
      </c>
      <c r="U5413" s="1"/>
      <c r="V5413" s="1">
        <v>16.9</v>
      </c>
      <c r="W5413" s="1">
        <v>16.9</v>
      </c>
      <c r="X5413" s="1" t="s">
        <v>35</v>
      </c>
      <c r="Y5413" s="1">
        <v>16900</v>
      </c>
      <c r="Z5413" s="1"/>
      <c r="AA5413" s="1">
        <v>16900</v>
      </c>
      <c r="AB5413" s="1"/>
      <c r="AC5413" s="1" t="s">
        <v>36</v>
      </c>
      <c r="AD5413" s="1" t="s">
        <v>18329</v>
      </c>
      <c r="AE5413" s="1" t="s">
        <v>32</v>
      </c>
      <c r="AF5413" s="1" t="s">
        <v>33</v>
      </c>
      <c r="AG5413" s="1" t="s">
        <v>270</v>
      </c>
    </row>
    <row r="5414" spans="1:33">
      <c r="A5414" t="s">
        <v>18330</v>
      </c>
      <c r="C5414" t="s">
        <v>1522</v>
      </c>
      <c r="E5414" t="s">
        <v>17332</v>
      </c>
      <c r="F5414" t="s">
        <v>16399</v>
      </c>
      <c r="G5414">
        <v>1.312</v>
      </c>
      <c r="H5414">
        <v>1.312</v>
      </c>
      <c r="I5414" t="s">
        <v>227</v>
      </c>
      <c r="J5414" t="s">
        <v>228</v>
      </c>
      <c r="K5414" t="s">
        <v>31</v>
      </c>
      <c r="L5414" t="s">
        <v>32</v>
      </c>
      <c r="M5414" t="s">
        <v>33</v>
      </c>
      <c r="P5414" s="1" t="s">
        <v>18331</v>
      </c>
      <c r="Q5414" s="1" t="s">
        <v>17332</v>
      </c>
      <c r="R5414" s="1" t="s">
        <v>17332</v>
      </c>
      <c r="S5414" s="1"/>
      <c r="T5414" s="1" t="s">
        <v>1522</v>
      </c>
      <c r="U5414" s="1"/>
      <c r="V5414" s="1">
        <v>1.312</v>
      </c>
      <c r="W5414" s="1">
        <v>1.312</v>
      </c>
      <c r="X5414" s="1" t="s">
        <v>35</v>
      </c>
      <c r="Y5414" s="1">
        <v>1312000</v>
      </c>
      <c r="Z5414" s="1"/>
      <c r="AA5414" s="1">
        <v>1312000</v>
      </c>
      <c r="AB5414" s="1"/>
      <c r="AC5414" s="1" t="s">
        <v>36</v>
      </c>
      <c r="AD5414" s="1" t="s">
        <v>18332</v>
      </c>
      <c r="AE5414" s="1" t="s">
        <v>32</v>
      </c>
      <c r="AF5414" s="1" t="s">
        <v>33</v>
      </c>
      <c r="AG5414" s="1" t="s">
        <v>228</v>
      </c>
    </row>
    <row r="5415" spans="1:33">
      <c r="A5415" t="s">
        <v>18333</v>
      </c>
      <c r="B5415" t="s">
        <v>5253</v>
      </c>
      <c r="C5415" t="s">
        <v>172</v>
      </c>
      <c r="E5415" t="s">
        <v>17332</v>
      </c>
      <c r="F5415" t="s">
        <v>16399</v>
      </c>
      <c r="G5415">
        <v>129.46</v>
      </c>
      <c r="H5415">
        <v>129.46</v>
      </c>
      <c r="I5415" t="s">
        <v>173</v>
      </c>
      <c r="J5415" t="s">
        <v>174</v>
      </c>
      <c r="K5415" t="s">
        <v>31</v>
      </c>
      <c r="L5415" t="s">
        <v>32</v>
      </c>
      <c r="M5415" t="s">
        <v>33</v>
      </c>
      <c r="P5415" s="1" t="s">
        <v>18334</v>
      </c>
      <c r="Q5415" s="1" t="s">
        <v>17332</v>
      </c>
      <c r="R5415" s="1" t="s">
        <v>17332</v>
      </c>
      <c r="S5415" s="1"/>
      <c r="T5415" s="1" t="s">
        <v>172</v>
      </c>
      <c r="U5415" s="1"/>
      <c r="V5415" s="1">
        <v>129.46</v>
      </c>
      <c r="W5415" s="1">
        <v>129.46</v>
      </c>
      <c r="X5415" s="1" t="s">
        <v>35</v>
      </c>
      <c r="Y5415" s="1">
        <v>129460</v>
      </c>
      <c r="Z5415" s="1"/>
      <c r="AA5415" s="1">
        <v>129460</v>
      </c>
      <c r="AB5415" s="1"/>
      <c r="AC5415" s="1" t="s">
        <v>36</v>
      </c>
      <c r="AD5415" s="1" t="s">
        <v>18335</v>
      </c>
      <c r="AE5415" s="1" t="s">
        <v>32</v>
      </c>
      <c r="AF5415" s="1" t="s">
        <v>33</v>
      </c>
      <c r="AG5415" s="1" t="s">
        <v>174</v>
      </c>
    </row>
    <row r="5416" spans="1:33">
      <c r="A5416" t="s">
        <v>18336</v>
      </c>
      <c r="C5416" t="s">
        <v>1677</v>
      </c>
      <c r="E5416" t="s">
        <v>17332</v>
      </c>
      <c r="F5416" t="s">
        <v>16399</v>
      </c>
      <c r="G5416">
        <v>544.0</v>
      </c>
      <c r="H5416">
        <v>544.0</v>
      </c>
      <c r="I5416" t="s">
        <v>269</v>
      </c>
      <c r="J5416" t="s">
        <v>270</v>
      </c>
      <c r="K5416" t="s">
        <v>31</v>
      </c>
      <c r="L5416" t="s">
        <v>32</v>
      </c>
      <c r="M5416" t="s">
        <v>33</v>
      </c>
      <c r="P5416" s="1" t="s">
        <v>18337</v>
      </c>
      <c r="Q5416" s="1" t="s">
        <v>17332</v>
      </c>
      <c r="R5416" s="1" t="s">
        <v>17332</v>
      </c>
      <c r="S5416" s="1"/>
      <c r="T5416" s="1" t="s">
        <v>1677</v>
      </c>
      <c r="U5416" s="1"/>
      <c r="V5416" s="1">
        <v>544.0</v>
      </c>
      <c r="W5416" s="1">
        <v>544.0</v>
      </c>
      <c r="X5416" s="1" t="s">
        <v>35</v>
      </c>
      <c r="Y5416" s="1">
        <v>544000</v>
      </c>
      <c r="Z5416" s="1"/>
      <c r="AA5416" s="1">
        <v>544000</v>
      </c>
      <c r="AB5416" s="1"/>
      <c r="AC5416" s="1" t="s">
        <v>36</v>
      </c>
      <c r="AD5416" s="1" t="s">
        <v>18338</v>
      </c>
      <c r="AE5416" s="1" t="s">
        <v>32</v>
      </c>
      <c r="AF5416" s="1" t="s">
        <v>33</v>
      </c>
      <c r="AG5416" s="1" t="s">
        <v>270</v>
      </c>
    </row>
    <row r="5417" spans="1:33">
      <c r="A5417" t="s">
        <v>18339</v>
      </c>
      <c r="C5417" t="s">
        <v>2284</v>
      </c>
      <c r="E5417" t="s">
        <v>17332</v>
      </c>
      <c r="F5417" t="s">
        <v>16399</v>
      </c>
      <c r="G5417">
        <v>1.64</v>
      </c>
      <c r="H5417">
        <v>1.64</v>
      </c>
      <c r="I5417" t="s">
        <v>269</v>
      </c>
      <c r="J5417" t="s">
        <v>270</v>
      </c>
      <c r="K5417" t="s">
        <v>31</v>
      </c>
      <c r="L5417" t="s">
        <v>32</v>
      </c>
      <c r="M5417" t="s">
        <v>33</v>
      </c>
      <c r="P5417" s="1" t="s">
        <v>18340</v>
      </c>
      <c r="Q5417" s="1" t="s">
        <v>17332</v>
      </c>
      <c r="R5417" s="1" t="s">
        <v>17332</v>
      </c>
      <c r="S5417" s="1"/>
      <c r="T5417" s="1" t="s">
        <v>2284</v>
      </c>
      <c r="U5417" s="1"/>
      <c r="V5417" s="1">
        <v>1.64</v>
      </c>
      <c r="W5417" s="1">
        <v>1.64</v>
      </c>
      <c r="X5417" s="1" t="s">
        <v>35</v>
      </c>
      <c r="Y5417" s="1">
        <v>1640000</v>
      </c>
      <c r="Z5417" s="1"/>
      <c r="AA5417" s="1">
        <v>1640000</v>
      </c>
      <c r="AB5417" s="1"/>
      <c r="AC5417" s="1" t="s">
        <v>36</v>
      </c>
      <c r="AD5417" s="1" t="s">
        <v>18341</v>
      </c>
      <c r="AE5417" s="1" t="s">
        <v>32</v>
      </c>
      <c r="AF5417" s="1" t="s">
        <v>33</v>
      </c>
      <c r="AG5417" s="1" t="s">
        <v>270</v>
      </c>
    </row>
    <row r="5418" spans="1:33">
      <c r="A5418" t="s">
        <v>18342</v>
      </c>
      <c r="C5418" t="s">
        <v>6099</v>
      </c>
      <c r="E5418" t="s">
        <v>17332</v>
      </c>
      <c r="F5418" t="s">
        <v>16399</v>
      </c>
      <c r="G5418">
        <v>369.0</v>
      </c>
      <c r="H5418">
        <v>369.0</v>
      </c>
      <c r="I5418" t="s">
        <v>179</v>
      </c>
      <c r="J5418" t="s">
        <v>180</v>
      </c>
      <c r="K5418" t="s">
        <v>31</v>
      </c>
      <c r="L5418" t="s">
        <v>32</v>
      </c>
      <c r="M5418" t="s">
        <v>33</v>
      </c>
      <c r="P5418" s="1" t="s">
        <v>18343</v>
      </c>
      <c r="Q5418" s="1" t="s">
        <v>17332</v>
      </c>
      <c r="R5418" s="1" t="s">
        <v>17332</v>
      </c>
      <c r="S5418" s="1"/>
      <c r="T5418" s="1" t="s">
        <v>6099</v>
      </c>
      <c r="U5418" s="1"/>
      <c r="V5418" s="1">
        <v>369.0</v>
      </c>
      <c r="W5418" s="1">
        <v>369.0</v>
      </c>
      <c r="X5418" s="1" t="s">
        <v>35</v>
      </c>
      <c r="Y5418" s="1">
        <v>369000</v>
      </c>
      <c r="Z5418" s="1"/>
      <c r="AA5418" s="1">
        <v>369000</v>
      </c>
      <c r="AB5418" s="1"/>
      <c r="AC5418" s="1" t="s">
        <v>36</v>
      </c>
      <c r="AD5418" s="1" t="s">
        <v>18332</v>
      </c>
      <c r="AE5418" s="1" t="s">
        <v>32</v>
      </c>
      <c r="AF5418" s="1" t="s">
        <v>33</v>
      </c>
      <c r="AG5418" s="1" t="s">
        <v>180</v>
      </c>
    </row>
    <row r="5419" spans="1:33">
      <c r="A5419" t="s">
        <v>18344</v>
      </c>
      <c r="B5419" t="s">
        <v>18345</v>
      </c>
      <c r="C5419" t="s">
        <v>12240</v>
      </c>
      <c r="E5419" t="s">
        <v>17332</v>
      </c>
      <c r="F5419" t="s">
        <v>16399</v>
      </c>
      <c r="G5419">
        <v>32.85</v>
      </c>
      <c r="H5419">
        <v>32.85</v>
      </c>
      <c r="I5419" t="s">
        <v>136</v>
      </c>
      <c r="J5419" t="s">
        <v>137</v>
      </c>
      <c r="K5419" t="s">
        <v>31</v>
      </c>
      <c r="L5419" t="s">
        <v>32</v>
      </c>
      <c r="M5419" t="s">
        <v>33</v>
      </c>
      <c r="P5419" s="1" t="s">
        <v>18346</v>
      </c>
      <c r="Q5419" s="1" t="s">
        <v>17332</v>
      </c>
      <c r="R5419" s="1" t="s">
        <v>17332</v>
      </c>
      <c r="S5419" s="1"/>
      <c r="T5419" s="1" t="s">
        <v>12240</v>
      </c>
      <c r="U5419" s="1"/>
      <c r="V5419" s="1">
        <v>32.85</v>
      </c>
      <c r="W5419" s="1">
        <v>32.85</v>
      </c>
      <c r="X5419" s="1" t="s">
        <v>35</v>
      </c>
      <c r="Y5419" s="1">
        <v>32850</v>
      </c>
      <c r="Z5419" s="1"/>
      <c r="AA5419" s="1">
        <v>32850</v>
      </c>
      <c r="AB5419" s="1"/>
      <c r="AC5419" s="1" t="s">
        <v>36</v>
      </c>
      <c r="AD5419" s="1" t="s">
        <v>18347</v>
      </c>
      <c r="AE5419" s="1" t="s">
        <v>32</v>
      </c>
      <c r="AF5419" s="1" t="s">
        <v>33</v>
      </c>
      <c r="AG5419" s="1" t="s">
        <v>137</v>
      </c>
    </row>
    <row r="5420" spans="1:33">
      <c r="A5420" t="s">
        <v>18348</v>
      </c>
      <c r="C5420" t="s">
        <v>4388</v>
      </c>
      <c r="E5420" t="s">
        <v>17332</v>
      </c>
      <c r="F5420" t="s">
        <v>16399</v>
      </c>
      <c r="G5420">
        <v>1.75</v>
      </c>
      <c r="H5420">
        <v>1.75</v>
      </c>
      <c r="I5420" t="s">
        <v>227</v>
      </c>
      <c r="J5420" t="s">
        <v>228</v>
      </c>
      <c r="K5420" t="s">
        <v>31</v>
      </c>
      <c r="L5420" t="s">
        <v>32</v>
      </c>
      <c r="M5420" t="s">
        <v>33</v>
      </c>
      <c r="P5420" s="1" t="s">
        <v>18349</v>
      </c>
      <c r="Q5420" s="1" t="s">
        <v>17332</v>
      </c>
      <c r="R5420" s="1" t="s">
        <v>17332</v>
      </c>
      <c r="S5420" s="1"/>
      <c r="T5420" s="1" t="s">
        <v>4390</v>
      </c>
      <c r="U5420" s="1" t="s">
        <v>4391</v>
      </c>
      <c r="V5420" s="1">
        <v>1.75</v>
      </c>
      <c r="W5420" s="1">
        <v>1.75</v>
      </c>
      <c r="X5420" s="1" t="s">
        <v>35</v>
      </c>
      <c r="Y5420" s="1">
        <v>1750000</v>
      </c>
      <c r="Z5420" s="1"/>
      <c r="AA5420" s="1">
        <v>1750000</v>
      </c>
      <c r="AB5420" s="1"/>
      <c r="AC5420" s="1" t="s">
        <v>36</v>
      </c>
      <c r="AD5420" s="1" t="s">
        <v>18350</v>
      </c>
      <c r="AE5420" s="1" t="s">
        <v>32</v>
      </c>
      <c r="AF5420" s="1" t="s">
        <v>33</v>
      </c>
      <c r="AG5420" s="1" t="s">
        <v>228</v>
      </c>
    </row>
    <row r="5421" spans="1:33">
      <c r="A5421" t="s">
        <v>18351</v>
      </c>
      <c r="B5421" t="s">
        <v>18352</v>
      </c>
      <c r="C5421" t="s">
        <v>12240</v>
      </c>
      <c r="E5421" t="s">
        <v>17332</v>
      </c>
      <c r="F5421" t="s">
        <v>16399</v>
      </c>
      <c r="G5421">
        <v>16.9</v>
      </c>
      <c r="H5421">
        <v>16.9</v>
      </c>
      <c r="I5421" t="s">
        <v>136</v>
      </c>
      <c r="J5421" t="s">
        <v>137</v>
      </c>
      <c r="K5421" t="s">
        <v>31</v>
      </c>
      <c r="L5421" t="s">
        <v>32</v>
      </c>
      <c r="M5421" t="s">
        <v>33</v>
      </c>
      <c r="P5421" s="1" t="s">
        <v>18353</v>
      </c>
      <c r="Q5421" s="1" t="s">
        <v>17332</v>
      </c>
      <c r="R5421" s="1" t="s">
        <v>17332</v>
      </c>
      <c r="S5421" s="1"/>
      <c r="T5421" s="1" t="s">
        <v>12240</v>
      </c>
      <c r="U5421" s="1"/>
      <c r="V5421" s="1">
        <v>16.9</v>
      </c>
      <c r="W5421" s="1">
        <v>16.9</v>
      </c>
      <c r="X5421" s="1" t="s">
        <v>35</v>
      </c>
      <c r="Y5421" s="1">
        <v>16900</v>
      </c>
      <c r="Z5421" s="1"/>
      <c r="AA5421" s="1">
        <v>16900</v>
      </c>
      <c r="AB5421" s="1"/>
      <c r="AC5421" s="1" t="s">
        <v>36</v>
      </c>
      <c r="AD5421" s="1" t="s">
        <v>18354</v>
      </c>
      <c r="AE5421" s="1" t="s">
        <v>32</v>
      </c>
      <c r="AF5421" s="1" t="s">
        <v>33</v>
      </c>
      <c r="AG5421" s="1" t="s">
        <v>137</v>
      </c>
    </row>
    <row r="5422" spans="1:33">
      <c r="A5422" t="s">
        <v>18355</v>
      </c>
      <c r="C5422" t="s">
        <v>4596</v>
      </c>
      <c r="D5422" t="s">
        <v>154</v>
      </c>
      <c r="E5422" t="s">
        <v>17332</v>
      </c>
      <c r="F5422" t="s">
        <v>16399</v>
      </c>
      <c r="G5422">
        <v>2.707</v>
      </c>
      <c r="H5422">
        <v>2.707</v>
      </c>
      <c r="I5422" t="s">
        <v>269</v>
      </c>
      <c r="J5422" t="s">
        <v>270</v>
      </c>
      <c r="K5422" t="s">
        <v>31</v>
      </c>
      <c r="L5422" t="s">
        <v>32</v>
      </c>
      <c r="M5422" t="s">
        <v>33</v>
      </c>
      <c r="P5422" s="1" t="s">
        <v>18356</v>
      </c>
      <c r="Q5422" s="1" t="s">
        <v>17332</v>
      </c>
      <c r="R5422" s="1" t="s">
        <v>17332</v>
      </c>
      <c r="S5422" s="1"/>
      <c r="T5422" s="1" t="s">
        <v>4596</v>
      </c>
      <c r="U5422" s="1"/>
      <c r="V5422" s="1">
        <v>2.707</v>
      </c>
      <c r="W5422" s="1">
        <v>2.707</v>
      </c>
      <c r="X5422" s="1" t="s">
        <v>35</v>
      </c>
      <c r="Y5422" s="1">
        <v>2707000</v>
      </c>
      <c r="Z5422" s="1"/>
      <c r="AA5422" s="1">
        <v>2707000</v>
      </c>
      <c r="AB5422" s="1"/>
      <c r="AC5422" s="1" t="s">
        <v>36</v>
      </c>
      <c r="AD5422" s="1" t="s">
        <v>18357</v>
      </c>
      <c r="AE5422" s="1" t="s">
        <v>32</v>
      </c>
      <c r="AF5422" s="1" t="s">
        <v>33</v>
      </c>
      <c r="AG5422" s="1" t="s">
        <v>270</v>
      </c>
    </row>
    <row r="5423" spans="1:33">
      <c r="A5423" t="s">
        <v>18358</v>
      </c>
      <c r="C5423" t="s">
        <v>558</v>
      </c>
      <c r="D5423" t="s">
        <v>154</v>
      </c>
      <c r="E5423" t="s">
        <v>17332</v>
      </c>
      <c r="F5423" t="s">
        <v>16399</v>
      </c>
      <c r="G5423">
        <v>867.4</v>
      </c>
      <c r="H5423">
        <v>867.4</v>
      </c>
      <c r="I5423" t="s">
        <v>269</v>
      </c>
      <c r="J5423" t="s">
        <v>270</v>
      </c>
      <c r="K5423" t="s">
        <v>31</v>
      </c>
      <c r="L5423" t="s">
        <v>32</v>
      </c>
      <c r="M5423" t="s">
        <v>33</v>
      </c>
      <c r="P5423" s="1" t="s">
        <v>18359</v>
      </c>
      <c r="Q5423" s="1" t="s">
        <v>17332</v>
      </c>
      <c r="R5423" s="1" t="s">
        <v>17332</v>
      </c>
      <c r="S5423" s="1"/>
      <c r="T5423" s="1" t="s">
        <v>560</v>
      </c>
      <c r="U5423" s="1" t="s">
        <v>561</v>
      </c>
      <c r="V5423" s="1">
        <v>867.4</v>
      </c>
      <c r="W5423" s="1">
        <v>867.4</v>
      </c>
      <c r="X5423" s="1" t="s">
        <v>35</v>
      </c>
      <c r="Y5423" s="1">
        <v>867400</v>
      </c>
      <c r="Z5423" s="1"/>
      <c r="AA5423" s="1">
        <v>867400</v>
      </c>
      <c r="AB5423" s="1"/>
      <c r="AC5423" s="1" t="s">
        <v>36</v>
      </c>
      <c r="AD5423" s="1" t="s">
        <v>18360</v>
      </c>
      <c r="AE5423" s="1" t="s">
        <v>32</v>
      </c>
      <c r="AF5423" s="1" t="s">
        <v>33</v>
      </c>
      <c r="AG5423" s="1" t="s">
        <v>270</v>
      </c>
    </row>
    <row r="5424" spans="1:33">
      <c r="A5424" t="s">
        <v>18361</v>
      </c>
      <c r="B5424" t="s">
        <v>18362</v>
      </c>
      <c r="C5424" t="s">
        <v>12240</v>
      </c>
      <c r="E5424" t="s">
        <v>17332</v>
      </c>
      <c r="F5424" t="s">
        <v>16399</v>
      </c>
      <c r="G5424">
        <v>32.85</v>
      </c>
      <c r="H5424">
        <v>32.85</v>
      </c>
      <c r="I5424" t="s">
        <v>136</v>
      </c>
      <c r="J5424" t="s">
        <v>137</v>
      </c>
      <c r="K5424" t="s">
        <v>31</v>
      </c>
      <c r="L5424" t="s">
        <v>32</v>
      </c>
      <c r="M5424" t="s">
        <v>33</v>
      </c>
      <c r="P5424" s="1" t="s">
        <v>18363</v>
      </c>
      <c r="Q5424" s="1" t="s">
        <v>17332</v>
      </c>
      <c r="R5424" s="1" t="s">
        <v>17332</v>
      </c>
      <c r="S5424" s="1"/>
      <c r="T5424" s="1" t="s">
        <v>12240</v>
      </c>
      <c r="U5424" s="1"/>
      <c r="V5424" s="1">
        <v>32.85</v>
      </c>
      <c r="W5424" s="1">
        <v>32.85</v>
      </c>
      <c r="X5424" s="1" t="s">
        <v>35</v>
      </c>
      <c r="Y5424" s="1">
        <v>32850</v>
      </c>
      <c r="Z5424" s="1"/>
      <c r="AA5424" s="1">
        <v>32850</v>
      </c>
      <c r="AB5424" s="1"/>
      <c r="AC5424" s="1" t="s">
        <v>36</v>
      </c>
      <c r="AD5424" s="1" t="s">
        <v>18364</v>
      </c>
      <c r="AE5424" s="1" t="s">
        <v>32</v>
      </c>
      <c r="AF5424" s="1" t="s">
        <v>33</v>
      </c>
      <c r="AG5424" s="1" t="s">
        <v>137</v>
      </c>
    </row>
    <row r="5425" spans="1:33">
      <c r="A5425" t="s">
        <v>18365</v>
      </c>
      <c r="C5425" t="s">
        <v>5851</v>
      </c>
      <c r="E5425" t="s">
        <v>17332</v>
      </c>
      <c r="F5425" t="s">
        <v>16399</v>
      </c>
      <c r="G5425">
        <v>352.0</v>
      </c>
      <c r="H5425">
        <v>352.0</v>
      </c>
      <c r="I5425" t="s">
        <v>179</v>
      </c>
      <c r="J5425" t="s">
        <v>180</v>
      </c>
      <c r="K5425" t="s">
        <v>31</v>
      </c>
      <c r="L5425" t="s">
        <v>32</v>
      </c>
      <c r="M5425" t="s">
        <v>33</v>
      </c>
      <c r="P5425" s="1" t="s">
        <v>18366</v>
      </c>
      <c r="Q5425" s="1" t="s">
        <v>17332</v>
      </c>
      <c r="R5425" s="1" t="s">
        <v>17332</v>
      </c>
      <c r="S5425" s="1"/>
      <c r="T5425" s="1" t="s">
        <v>5851</v>
      </c>
      <c r="U5425" s="1"/>
      <c r="V5425" s="1">
        <v>352.0</v>
      </c>
      <c r="W5425" s="1">
        <v>352.0</v>
      </c>
      <c r="X5425" s="1" t="s">
        <v>35</v>
      </c>
      <c r="Y5425" s="1">
        <v>352000</v>
      </c>
      <c r="Z5425" s="1"/>
      <c r="AA5425" s="1">
        <v>352000</v>
      </c>
      <c r="AB5425" s="1"/>
      <c r="AC5425" s="1" t="s">
        <v>36</v>
      </c>
      <c r="AD5425" s="1" t="s">
        <v>18367</v>
      </c>
      <c r="AE5425" s="1" t="s">
        <v>32</v>
      </c>
      <c r="AF5425" s="1" t="s">
        <v>33</v>
      </c>
      <c r="AG5425" s="1" t="s">
        <v>180</v>
      </c>
    </row>
    <row r="5426" spans="1:33">
      <c r="A5426" t="s">
        <v>18368</v>
      </c>
      <c r="C5426" t="s">
        <v>178</v>
      </c>
      <c r="E5426" t="s">
        <v>17332</v>
      </c>
      <c r="F5426" t="s">
        <v>16399</v>
      </c>
      <c r="G5426">
        <v>1.007</v>
      </c>
      <c r="H5426">
        <v>1.007</v>
      </c>
      <c r="I5426" t="s">
        <v>179</v>
      </c>
      <c r="J5426" t="s">
        <v>180</v>
      </c>
      <c r="K5426" t="s">
        <v>31</v>
      </c>
      <c r="L5426" t="s">
        <v>32</v>
      </c>
      <c r="M5426" t="s">
        <v>33</v>
      </c>
      <c r="P5426" s="1" t="s">
        <v>18369</v>
      </c>
      <c r="Q5426" s="1" t="s">
        <v>17332</v>
      </c>
      <c r="R5426" s="1" t="s">
        <v>17332</v>
      </c>
      <c r="S5426" s="1"/>
      <c r="T5426" s="1" t="s">
        <v>178</v>
      </c>
      <c r="U5426" s="1"/>
      <c r="V5426" s="1">
        <v>1.007</v>
      </c>
      <c r="W5426" s="1">
        <v>1.007</v>
      </c>
      <c r="X5426" s="1" t="s">
        <v>35</v>
      </c>
      <c r="Y5426" s="1">
        <v>1007000</v>
      </c>
      <c r="Z5426" s="1"/>
      <c r="AA5426" s="1">
        <v>1007000</v>
      </c>
      <c r="AB5426" s="1"/>
      <c r="AC5426" s="1" t="s">
        <v>36</v>
      </c>
      <c r="AD5426" s="1" t="s">
        <v>18370</v>
      </c>
      <c r="AE5426" s="1" t="s">
        <v>32</v>
      </c>
      <c r="AF5426" s="1" t="s">
        <v>33</v>
      </c>
      <c r="AG5426" s="1" t="s">
        <v>180</v>
      </c>
    </row>
    <row r="5427" spans="1:33">
      <c r="A5427" t="s">
        <v>18371</v>
      </c>
      <c r="B5427" t="s">
        <v>1768</v>
      </c>
      <c r="C5427" t="s">
        <v>314</v>
      </c>
      <c r="E5427" t="s">
        <v>17332</v>
      </c>
      <c r="F5427" t="s">
        <v>16399</v>
      </c>
      <c r="G5427">
        <v>33.74</v>
      </c>
      <c r="H5427">
        <v>33.74</v>
      </c>
      <c r="I5427" t="s">
        <v>179</v>
      </c>
      <c r="J5427" t="s">
        <v>180</v>
      </c>
      <c r="K5427" t="s">
        <v>31</v>
      </c>
      <c r="L5427" t="s">
        <v>32</v>
      </c>
      <c r="M5427" t="s">
        <v>33</v>
      </c>
      <c r="P5427" s="1" t="s">
        <v>18372</v>
      </c>
      <c r="Q5427" s="1" t="s">
        <v>17332</v>
      </c>
      <c r="R5427" s="1" t="s">
        <v>17332</v>
      </c>
      <c r="S5427" s="1"/>
      <c r="T5427" s="1" t="s">
        <v>314</v>
      </c>
      <c r="U5427" s="1"/>
      <c r="V5427" s="1">
        <v>33.74</v>
      </c>
      <c r="W5427" s="1">
        <v>33.74</v>
      </c>
      <c r="X5427" s="1" t="s">
        <v>35</v>
      </c>
      <c r="Y5427" s="1">
        <v>33740</v>
      </c>
      <c r="Z5427" s="1"/>
      <c r="AA5427" s="1">
        <v>33740</v>
      </c>
      <c r="AB5427" s="1"/>
      <c r="AC5427" s="1" t="s">
        <v>36</v>
      </c>
      <c r="AD5427" s="1" t="s">
        <v>18373</v>
      </c>
      <c r="AE5427" s="1" t="s">
        <v>32</v>
      </c>
      <c r="AF5427" s="1" t="s">
        <v>33</v>
      </c>
      <c r="AG5427" s="1" t="s">
        <v>180</v>
      </c>
    </row>
    <row r="5428" spans="1:33">
      <c r="A5428" t="s">
        <v>18374</v>
      </c>
      <c r="C5428" t="s">
        <v>8196</v>
      </c>
      <c r="E5428" t="s">
        <v>17332</v>
      </c>
      <c r="F5428" t="s">
        <v>16399</v>
      </c>
      <c r="G5428">
        <v>550.0</v>
      </c>
      <c r="H5428">
        <v>550.0</v>
      </c>
      <c r="I5428" t="s">
        <v>136</v>
      </c>
      <c r="J5428" t="s">
        <v>137</v>
      </c>
      <c r="K5428" t="s">
        <v>31</v>
      </c>
      <c r="L5428" t="s">
        <v>32</v>
      </c>
      <c r="M5428" t="s">
        <v>33</v>
      </c>
      <c r="P5428" s="1" t="s">
        <v>18375</v>
      </c>
      <c r="Q5428" s="1" t="s">
        <v>17332</v>
      </c>
      <c r="R5428" s="1" t="s">
        <v>17332</v>
      </c>
      <c r="S5428" s="1"/>
      <c r="T5428" s="1" t="s">
        <v>8196</v>
      </c>
      <c r="U5428" s="1"/>
      <c r="V5428" s="1">
        <v>550.0</v>
      </c>
      <c r="W5428" s="1">
        <v>550.0</v>
      </c>
      <c r="X5428" s="1" t="s">
        <v>35</v>
      </c>
      <c r="Y5428" s="1">
        <v>550000</v>
      </c>
      <c r="Z5428" s="1"/>
      <c r="AA5428" s="1">
        <v>550000</v>
      </c>
      <c r="AB5428" s="1"/>
      <c r="AC5428" s="1" t="s">
        <v>36</v>
      </c>
      <c r="AD5428" s="1" t="s">
        <v>18376</v>
      </c>
      <c r="AE5428" s="1" t="s">
        <v>32</v>
      </c>
      <c r="AF5428" s="1" t="s">
        <v>33</v>
      </c>
      <c r="AG5428" s="1" t="s">
        <v>137</v>
      </c>
    </row>
    <row r="5429" spans="1:33">
      <c r="A5429" t="s">
        <v>18377</v>
      </c>
      <c r="B5429" t="s">
        <v>206</v>
      </c>
      <c r="C5429" t="s">
        <v>207</v>
      </c>
      <c r="E5429" t="s">
        <v>17332</v>
      </c>
      <c r="F5429" t="s">
        <v>16399</v>
      </c>
      <c r="G5429">
        <v>1.12</v>
      </c>
      <c r="H5429">
        <v>1.12</v>
      </c>
      <c r="I5429" t="s">
        <v>59</v>
      </c>
      <c r="J5429" t="s">
        <v>60</v>
      </c>
      <c r="K5429" t="s">
        <v>31</v>
      </c>
      <c r="L5429" t="s">
        <v>32</v>
      </c>
      <c r="M5429" t="s">
        <v>33</v>
      </c>
      <c r="P5429" s="1" t="s">
        <v>18378</v>
      </c>
      <c r="Q5429" s="1" t="s">
        <v>17332</v>
      </c>
      <c r="R5429" s="1" t="s">
        <v>17332</v>
      </c>
      <c r="S5429" s="1"/>
      <c r="T5429" s="1" t="s">
        <v>207</v>
      </c>
      <c r="U5429" s="1"/>
      <c r="V5429" s="1">
        <v>1.12</v>
      </c>
      <c r="W5429" s="1">
        <v>1.12</v>
      </c>
      <c r="X5429" s="1" t="s">
        <v>35</v>
      </c>
      <c r="Y5429" s="1">
        <v>1120500</v>
      </c>
      <c r="Z5429" s="1"/>
      <c r="AA5429" s="1">
        <v>1120500</v>
      </c>
      <c r="AB5429" s="1"/>
      <c r="AC5429" s="1" t="s">
        <v>36</v>
      </c>
      <c r="AD5429" s="1" t="s">
        <v>18379</v>
      </c>
      <c r="AE5429" s="1" t="s">
        <v>32</v>
      </c>
      <c r="AF5429" s="1" t="s">
        <v>33</v>
      </c>
      <c r="AG5429" s="1" t="s">
        <v>60</v>
      </c>
    </row>
    <row r="5430" spans="1:33">
      <c r="A5430" t="s">
        <v>18380</v>
      </c>
      <c r="B5430" t="s">
        <v>18381</v>
      </c>
      <c r="C5430" t="s">
        <v>125</v>
      </c>
      <c r="E5430" t="s">
        <v>17332</v>
      </c>
      <c r="F5430" t="s">
        <v>16399</v>
      </c>
      <c r="G5430">
        <v>4.518</v>
      </c>
      <c r="H5430">
        <v>4.518</v>
      </c>
      <c r="I5430" t="s">
        <v>126</v>
      </c>
      <c r="J5430" t="s">
        <v>127</v>
      </c>
      <c r="K5430" t="s">
        <v>31</v>
      </c>
      <c r="L5430" t="s">
        <v>32</v>
      </c>
      <c r="M5430" t="s">
        <v>33</v>
      </c>
      <c r="P5430" s="1" t="s">
        <v>18382</v>
      </c>
      <c r="Q5430" s="1" t="s">
        <v>17332</v>
      </c>
      <c r="R5430" s="1" t="s">
        <v>17332</v>
      </c>
      <c r="S5430" s="1"/>
      <c r="T5430" s="1" t="s">
        <v>125</v>
      </c>
      <c r="U5430" s="1"/>
      <c r="V5430" s="1">
        <v>4.518</v>
      </c>
      <c r="W5430" s="1">
        <v>4.518</v>
      </c>
      <c r="X5430" s="1" t="s">
        <v>35</v>
      </c>
      <c r="Y5430" s="1">
        <v>4518</v>
      </c>
      <c r="Z5430" s="1"/>
      <c r="AA5430" s="1">
        <v>4518</v>
      </c>
      <c r="AB5430" s="1"/>
      <c r="AC5430" s="1" t="s">
        <v>36</v>
      </c>
      <c r="AD5430" s="1" t="s">
        <v>18379</v>
      </c>
      <c r="AE5430" s="1" t="s">
        <v>32</v>
      </c>
      <c r="AF5430" s="1" t="s">
        <v>33</v>
      </c>
      <c r="AG5430" s="1" t="s">
        <v>127</v>
      </c>
    </row>
    <row r="5431" spans="1:33">
      <c r="A5431" t="s">
        <v>18383</v>
      </c>
      <c r="C5431" t="s">
        <v>6228</v>
      </c>
      <c r="E5431" t="s">
        <v>17332</v>
      </c>
      <c r="F5431" t="s">
        <v>16399</v>
      </c>
      <c r="G5431">
        <v>383.0</v>
      </c>
      <c r="H5431">
        <v>383.0</v>
      </c>
      <c r="I5431" t="s">
        <v>40</v>
      </c>
      <c r="J5431" t="s">
        <v>41</v>
      </c>
      <c r="K5431" t="s">
        <v>31</v>
      </c>
      <c r="L5431" t="s">
        <v>32</v>
      </c>
      <c r="M5431" t="s">
        <v>33</v>
      </c>
      <c r="P5431" s="1" t="s">
        <v>18384</v>
      </c>
      <c r="Q5431" s="1" t="s">
        <v>17332</v>
      </c>
      <c r="R5431" s="1" t="s">
        <v>16369</v>
      </c>
      <c r="S5431" s="1"/>
      <c r="T5431" s="1" t="s">
        <v>6228</v>
      </c>
      <c r="U5431" s="1"/>
      <c r="V5431" s="1">
        <v>383.0</v>
      </c>
      <c r="W5431" s="1">
        <v>383.0</v>
      </c>
      <c r="X5431" s="1" t="s">
        <v>35</v>
      </c>
      <c r="Y5431" s="1">
        <v>383000</v>
      </c>
      <c r="Z5431" s="1"/>
      <c r="AA5431" s="1">
        <v>383000</v>
      </c>
      <c r="AB5431" s="1"/>
      <c r="AC5431" s="1" t="s">
        <v>36</v>
      </c>
      <c r="AD5431" s="1" t="s">
        <v>18385</v>
      </c>
      <c r="AE5431" s="1" t="s">
        <v>32</v>
      </c>
      <c r="AF5431" s="1" t="s">
        <v>33</v>
      </c>
      <c r="AG5431" s="1" t="s">
        <v>41</v>
      </c>
    </row>
    <row r="5432" spans="1:33">
      <c r="A5432" t="s">
        <v>18386</v>
      </c>
      <c r="B5432" t="s">
        <v>18387</v>
      </c>
      <c r="C5432" t="s">
        <v>268</v>
      </c>
      <c r="E5432" t="s">
        <v>17332</v>
      </c>
      <c r="F5432" t="s">
        <v>16399</v>
      </c>
      <c r="G5432">
        <v>65.7</v>
      </c>
      <c r="H5432">
        <v>65.7</v>
      </c>
      <c r="I5432" t="s">
        <v>269</v>
      </c>
      <c r="J5432" t="s">
        <v>270</v>
      </c>
      <c r="K5432" t="s">
        <v>31</v>
      </c>
      <c r="L5432" t="s">
        <v>32</v>
      </c>
      <c r="M5432" t="s">
        <v>33</v>
      </c>
      <c r="P5432" s="1" t="s">
        <v>18388</v>
      </c>
      <c r="Q5432" s="1" t="s">
        <v>17332</v>
      </c>
      <c r="R5432" s="1" t="s">
        <v>17332</v>
      </c>
      <c r="S5432" s="1"/>
      <c r="T5432" s="1" t="s">
        <v>268</v>
      </c>
      <c r="U5432" s="1"/>
      <c r="V5432" s="1">
        <v>65.7</v>
      </c>
      <c r="W5432" s="1">
        <v>65.7</v>
      </c>
      <c r="X5432" s="1" t="s">
        <v>35</v>
      </c>
      <c r="Y5432" s="1">
        <v>65700</v>
      </c>
      <c r="Z5432" s="1"/>
      <c r="AA5432" s="1">
        <v>65700</v>
      </c>
      <c r="AB5432" s="1"/>
      <c r="AC5432" s="1" t="s">
        <v>36</v>
      </c>
      <c r="AD5432" s="1" t="s">
        <v>18389</v>
      </c>
      <c r="AE5432" s="1" t="s">
        <v>32</v>
      </c>
      <c r="AF5432" s="1" t="s">
        <v>33</v>
      </c>
      <c r="AG5432" s="1" t="s">
        <v>270</v>
      </c>
    </row>
    <row r="5433" spans="1:33">
      <c r="A5433" t="s">
        <v>18390</v>
      </c>
      <c r="B5433" t="s">
        <v>18391</v>
      </c>
      <c r="C5433" t="s">
        <v>2635</v>
      </c>
      <c r="E5433" t="s">
        <v>17332</v>
      </c>
      <c r="F5433" t="s">
        <v>16399</v>
      </c>
      <c r="G5433">
        <v>504.0</v>
      </c>
      <c r="H5433">
        <v>504.0</v>
      </c>
      <c r="I5433" t="s">
        <v>2206</v>
      </c>
      <c r="J5433" t="s">
        <v>49</v>
      </c>
      <c r="K5433" t="s">
        <v>31</v>
      </c>
      <c r="L5433" t="s">
        <v>32</v>
      </c>
      <c r="M5433" t="s">
        <v>33</v>
      </c>
      <c r="P5433" s="1" t="s">
        <v>18392</v>
      </c>
      <c r="Q5433" s="1" t="s">
        <v>17332</v>
      </c>
      <c r="R5433" s="1" t="s">
        <v>17332</v>
      </c>
      <c r="S5433" s="1"/>
      <c r="T5433" s="1" t="s">
        <v>2635</v>
      </c>
      <c r="U5433" s="1"/>
      <c r="V5433" s="1">
        <v>504.0</v>
      </c>
      <c r="W5433" s="1">
        <v>504.0</v>
      </c>
      <c r="X5433" s="1" t="s">
        <v>35</v>
      </c>
      <c r="Y5433" s="1">
        <v>504000</v>
      </c>
      <c r="Z5433" s="1"/>
      <c r="AA5433" s="1">
        <v>504000</v>
      </c>
      <c r="AB5433" s="1"/>
      <c r="AC5433" s="1" t="s">
        <v>36</v>
      </c>
      <c r="AD5433" s="1" t="s">
        <v>18379</v>
      </c>
      <c r="AE5433" s="1" t="s">
        <v>32</v>
      </c>
      <c r="AF5433" s="1" t="s">
        <v>33</v>
      </c>
      <c r="AG5433" s="1" t="s">
        <v>49</v>
      </c>
    </row>
    <row r="5434" spans="1:33">
      <c r="A5434" t="s">
        <v>18393</v>
      </c>
      <c r="C5434" t="s">
        <v>1087</v>
      </c>
      <c r="E5434" t="s">
        <v>17332</v>
      </c>
      <c r="F5434" t="s">
        <v>16399</v>
      </c>
      <c r="G5434">
        <v>859.0</v>
      </c>
      <c r="H5434">
        <v>859.0</v>
      </c>
      <c r="I5434" t="s">
        <v>269</v>
      </c>
      <c r="J5434" t="s">
        <v>270</v>
      </c>
      <c r="K5434" t="s">
        <v>31</v>
      </c>
      <c r="L5434" t="s">
        <v>32</v>
      </c>
      <c r="M5434" t="s">
        <v>33</v>
      </c>
      <c r="P5434" s="1" t="s">
        <v>18394</v>
      </c>
      <c r="Q5434" s="1" t="s">
        <v>17332</v>
      </c>
      <c r="R5434" s="1" t="s">
        <v>17332</v>
      </c>
      <c r="S5434" s="1"/>
      <c r="T5434" s="1" t="s">
        <v>1087</v>
      </c>
      <c r="U5434" s="1"/>
      <c r="V5434" s="1">
        <v>859.0</v>
      </c>
      <c r="W5434" s="1">
        <v>859.0</v>
      </c>
      <c r="X5434" s="1" t="s">
        <v>35</v>
      </c>
      <c r="Y5434" s="1">
        <v>859000</v>
      </c>
      <c r="Z5434" s="1"/>
      <c r="AA5434" s="1">
        <v>859000</v>
      </c>
      <c r="AB5434" s="1"/>
      <c r="AC5434" s="1" t="s">
        <v>36</v>
      </c>
      <c r="AD5434" s="1" t="s">
        <v>18395</v>
      </c>
      <c r="AE5434" s="1" t="s">
        <v>32</v>
      </c>
      <c r="AF5434" s="1" t="s">
        <v>33</v>
      </c>
      <c r="AG5434" s="1" t="s">
        <v>270</v>
      </c>
    </row>
    <row r="5435" spans="1:33">
      <c r="A5435" t="s">
        <v>18396</v>
      </c>
      <c r="B5435" t="s">
        <v>18397</v>
      </c>
      <c r="C5435" t="s">
        <v>125</v>
      </c>
      <c r="E5435" t="s">
        <v>17332</v>
      </c>
      <c r="F5435" t="s">
        <v>16399</v>
      </c>
      <c r="G5435">
        <v>52.0</v>
      </c>
      <c r="H5435">
        <v>52.0</v>
      </c>
      <c r="I5435" t="s">
        <v>126</v>
      </c>
      <c r="J5435" t="s">
        <v>127</v>
      </c>
      <c r="K5435" t="s">
        <v>31</v>
      </c>
      <c r="L5435" t="s">
        <v>32</v>
      </c>
      <c r="M5435" t="s">
        <v>33</v>
      </c>
      <c r="P5435" s="1" t="s">
        <v>18398</v>
      </c>
      <c r="Q5435" s="1" t="s">
        <v>17332</v>
      </c>
      <c r="R5435" s="1" t="s">
        <v>17332</v>
      </c>
      <c r="S5435" s="1"/>
      <c r="T5435" s="1" t="s">
        <v>125</v>
      </c>
      <c r="U5435" s="1"/>
      <c r="V5435" s="1">
        <v>52.0</v>
      </c>
      <c r="W5435" s="1">
        <v>52.0</v>
      </c>
      <c r="X5435" s="1" t="s">
        <v>35</v>
      </c>
      <c r="Y5435" s="1">
        <v>52000</v>
      </c>
      <c r="Z5435" s="1"/>
      <c r="AA5435" s="1">
        <v>52000</v>
      </c>
      <c r="AB5435" s="1"/>
      <c r="AC5435" s="1" t="s">
        <v>36</v>
      </c>
      <c r="AD5435" s="1" t="s">
        <v>18399</v>
      </c>
      <c r="AE5435" s="1" t="s">
        <v>32</v>
      </c>
      <c r="AF5435" s="1" t="s">
        <v>33</v>
      </c>
      <c r="AG5435" s="1" t="s">
        <v>127</v>
      </c>
    </row>
    <row r="5436" spans="1:33">
      <c r="A5436" t="s">
        <v>18400</v>
      </c>
      <c r="B5436" t="s">
        <v>18401</v>
      </c>
      <c r="C5436" t="s">
        <v>125</v>
      </c>
      <c r="E5436" t="s">
        <v>17332</v>
      </c>
      <c r="F5436" t="s">
        <v>16399</v>
      </c>
      <c r="G5436">
        <v>5.9</v>
      </c>
      <c r="H5436">
        <v>5.9</v>
      </c>
      <c r="I5436" t="s">
        <v>126</v>
      </c>
      <c r="J5436" t="s">
        <v>127</v>
      </c>
      <c r="K5436" t="s">
        <v>31</v>
      </c>
      <c r="L5436" t="s">
        <v>32</v>
      </c>
      <c r="M5436" t="s">
        <v>33</v>
      </c>
      <c r="P5436" s="1" t="s">
        <v>18402</v>
      </c>
      <c r="Q5436" s="1" t="s">
        <v>17332</v>
      </c>
      <c r="R5436" s="1" t="s">
        <v>17332</v>
      </c>
      <c r="S5436" s="1"/>
      <c r="T5436" s="1" t="s">
        <v>125</v>
      </c>
      <c r="U5436" s="1"/>
      <c r="V5436" s="1">
        <v>5.9</v>
      </c>
      <c r="W5436" s="1">
        <v>5.9</v>
      </c>
      <c r="X5436" s="1" t="s">
        <v>35</v>
      </c>
      <c r="Y5436" s="1">
        <v>5900</v>
      </c>
      <c r="Z5436" s="1"/>
      <c r="AA5436" s="1">
        <v>5900</v>
      </c>
      <c r="AB5436" s="1"/>
      <c r="AC5436" s="1" t="s">
        <v>36</v>
      </c>
      <c r="AD5436" s="1" t="s">
        <v>18385</v>
      </c>
      <c r="AE5436" s="1" t="s">
        <v>32</v>
      </c>
      <c r="AF5436" s="1" t="s">
        <v>33</v>
      </c>
      <c r="AG5436" s="1" t="s">
        <v>127</v>
      </c>
    </row>
    <row r="5437" spans="1:33">
      <c r="A5437" t="s">
        <v>18403</v>
      </c>
      <c r="C5437" t="s">
        <v>2916</v>
      </c>
      <c r="E5437" t="s">
        <v>17332</v>
      </c>
      <c r="F5437" t="s">
        <v>16399</v>
      </c>
      <c r="G5437">
        <v>893.8</v>
      </c>
      <c r="H5437">
        <v>893.8</v>
      </c>
      <c r="I5437" t="s">
        <v>269</v>
      </c>
      <c r="J5437" t="s">
        <v>270</v>
      </c>
      <c r="K5437" t="s">
        <v>31</v>
      </c>
      <c r="L5437" t="s">
        <v>32</v>
      </c>
      <c r="M5437" t="s">
        <v>33</v>
      </c>
      <c r="P5437" s="1" t="s">
        <v>18404</v>
      </c>
      <c r="Q5437" s="1" t="s">
        <v>17332</v>
      </c>
      <c r="R5437" s="1" t="s">
        <v>17332</v>
      </c>
      <c r="S5437" s="1"/>
      <c r="T5437" s="1" t="s">
        <v>2916</v>
      </c>
      <c r="U5437" s="1"/>
      <c r="V5437" s="1">
        <v>893.8</v>
      </c>
      <c r="W5437" s="1">
        <v>893.8</v>
      </c>
      <c r="X5437" s="1" t="s">
        <v>35</v>
      </c>
      <c r="Y5437" s="1">
        <v>893800</v>
      </c>
      <c r="Z5437" s="1"/>
      <c r="AA5437" s="1">
        <v>893800</v>
      </c>
      <c r="AB5437" s="1"/>
      <c r="AC5437" s="1" t="s">
        <v>36</v>
      </c>
      <c r="AD5437" s="1" t="s">
        <v>18405</v>
      </c>
      <c r="AE5437" s="1" t="s">
        <v>32</v>
      </c>
      <c r="AF5437" s="1" t="s">
        <v>33</v>
      </c>
      <c r="AG5437" s="1" t="s">
        <v>270</v>
      </c>
    </row>
    <row r="5438" spans="1:33">
      <c r="A5438" t="s">
        <v>18406</v>
      </c>
      <c r="B5438" t="s">
        <v>18407</v>
      </c>
      <c r="C5438" t="s">
        <v>314</v>
      </c>
      <c r="E5438" t="s">
        <v>17332</v>
      </c>
      <c r="F5438" t="s">
        <v>16399</v>
      </c>
      <c r="G5438">
        <v>39.765</v>
      </c>
      <c r="H5438">
        <v>39.765</v>
      </c>
      <c r="I5438" t="s">
        <v>179</v>
      </c>
      <c r="J5438" t="s">
        <v>180</v>
      </c>
      <c r="K5438" t="s">
        <v>31</v>
      </c>
      <c r="L5438" t="s">
        <v>32</v>
      </c>
      <c r="M5438" t="s">
        <v>33</v>
      </c>
      <c r="P5438" s="1" t="s">
        <v>18408</v>
      </c>
      <c r="Q5438" s="1" t="s">
        <v>17332</v>
      </c>
      <c r="R5438" s="1" t="s">
        <v>17332</v>
      </c>
      <c r="S5438" s="1"/>
      <c r="T5438" s="1" t="s">
        <v>314</v>
      </c>
      <c r="U5438" s="1"/>
      <c r="V5438" s="1">
        <v>39.765</v>
      </c>
      <c r="W5438" s="1">
        <v>39.765</v>
      </c>
      <c r="X5438" s="1" t="s">
        <v>35</v>
      </c>
      <c r="Y5438" s="1">
        <v>39765</v>
      </c>
      <c r="Z5438" s="1"/>
      <c r="AA5438" s="1">
        <v>39765</v>
      </c>
      <c r="AB5438" s="1"/>
      <c r="AC5438" s="1" t="s">
        <v>36</v>
      </c>
      <c r="AD5438" s="1" t="s">
        <v>18409</v>
      </c>
      <c r="AE5438" s="1" t="s">
        <v>32</v>
      </c>
      <c r="AF5438" s="1" t="s">
        <v>33</v>
      </c>
      <c r="AG5438" s="1" t="s">
        <v>180</v>
      </c>
    </row>
    <row r="5439" spans="1:33">
      <c r="A5439" t="s">
        <v>18410</v>
      </c>
      <c r="B5439" t="s">
        <v>2983</v>
      </c>
      <c r="C5439" t="s">
        <v>314</v>
      </c>
      <c r="E5439" t="s">
        <v>17332</v>
      </c>
      <c r="F5439" t="s">
        <v>16399</v>
      </c>
      <c r="G5439">
        <v>37.49</v>
      </c>
      <c r="H5439">
        <v>37.49</v>
      </c>
      <c r="I5439" t="s">
        <v>179</v>
      </c>
      <c r="J5439" t="s">
        <v>180</v>
      </c>
      <c r="K5439" t="s">
        <v>31</v>
      </c>
      <c r="L5439" t="s">
        <v>32</v>
      </c>
      <c r="M5439" t="s">
        <v>33</v>
      </c>
      <c r="P5439" s="1" t="s">
        <v>18411</v>
      </c>
      <c r="Q5439" s="1" t="s">
        <v>17332</v>
      </c>
      <c r="R5439" s="1" t="s">
        <v>17332</v>
      </c>
      <c r="S5439" s="1"/>
      <c r="T5439" s="1" t="s">
        <v>314</v>
      </c>
      <c r="U5439" s="1"/>
      <c r="V5439" s="1">
        <v>37.49</v>
      </c>
      <c r="W5439" s="1">
        <v>37.49</v>
      </c>
      <c r="X5439" s="1" t="s">
        <v>35</v>
      </c>
      <c r="Y5439" s="1">
        <v>37490</v>
      </c>
      <c r="Z5439" s="1"/>
      <c r="AA5439" s="1">
        <v>37490</v>
      </c>
      <c r="AB5439" s="1"/>
      <c r="AC5439" s="1" t="s">
        <v>36</v>
      </c>
      <c r="AD5439" s="1" t="s">
        <v>18412</v>
      </c>
      <c r="AE5439" s="1" t="s">
        <v>32</v>
      </c>
      <c r="AF5439" s="1" t="s">
        <v>33</v>
      </c>
      <c r="AG5439" s="1" t="s">
        <v>180</v>
      </c>
    </row>
    <row r="5440" spans="1:33">
      <c r="A5440" t="s">
        <v>18413</v>
      </c>
      <c r="B5440" t="s">
        <v>57</v>
      </c>
      <c r="C5440" t="s">
        <v>58</v>
      </c>
      <c r="E5440" t="s">
        <v>17332</v>
      </c>
      <c r="F5440" t="s">
        <v>16399</v>
      </c>
      <c r="G5440">
        <v>555.0</v>
      </c>
      <c r="H5440">
        <v>555.0</v>
      </c>
      <c r="I5440" t="s">
        <v>59</v>
      </c>
      <c r="J5440" t="s">
        <v>60</v>
      </c>
      <c r="K5440" t="s">
        <v>31</v>
      </c>
      <c r="L5440" t="s">
        <v>32</v>
      </c>
      <c r="M5440" t="s">
        <v>33</v>
      </c>
      <c r="P5440" s="1" t="s">
        <v>18414</v>
      </c>
      <c r="Q5440" s="1" t="s">
        <v>17332</v>
      </c>
      <c r="R5440" s="1" t="s">
        <v>17332</v>
      </c>
      <c r="S5440" s="1"/>
      <c r="T5440" s="1" t="s">
        <v>58</v>
      </c>
      <c r="U5440" s="1"/>
      <c r="V5440" s="1">
        <v>555.0</v>
      </c>
      <c r="W5440" s="1">
        <v>555.0</v>
      </c>
      <c r="X5440" s="1" t="s">
        <v>35</v>
      </c>
      <c r="Y5440" s="1">
        <v>555000</v>
      </c>
      <c r="Z5440" s="1"/>
      <c r="AA5440" s="1">
        <v>555000</v>
      </c>
      <c r="AB5440" s="1"/>
      <c r="AC5440" s="1" t="s">
        <v>36</v>
      </c>
      <c r="AD5440" s="1" t="s">
        <v>18415</v>
      </c>
      <c r="AE5440" s="1" t="s">
        <v>32</v>
      </c>
      <c r="AF5440" s="1" t="s">
        <v>33</v>
      </c>
      <c r="AG5440" s="1" t="s">
        <v>60</v>
      </c>
    </row>
    <row r="5441" spans="1:33">
      <c r="A5441" t="s">
        <v>18416</v>
      </c>
      <c r="C5441" t="s">
        <v>695</v>
      </c>
      <c r="D5441" t="s">
        <v>114</v>
      </c>
      <c r="E5441" t="s">
        <v>17332</v>
      </c>
      <c r="F5441" t="s">
        <v>16399</v>
      </c>
      <c r="G5441">
        <v>1.052</v>
      </c>
      <c r="H5441">
        <v>1.052</v>
      </c>
      <c r="I5441" t="s">
        <v>269</v>
      </c>
      <c r="J5441" t="s">
        <v>270</v>
      </c>
      <c r="K5441" t="s">
        <v>31</v>
      </c>
      <c r="L5441" t="s">
        <v>32</v>
      </c>
      <c r="M5441" t="s">
        <v>33</v>
      </c>
      <c r="P5441" s="1" t="s">
        <v>18417</v>
      </c>
      <c r="Q5441" s="1" t="s">
        <v>17332</v>
      </c>
      <c r="R5441" s="1" t="s">
        <v>17332</v>
      </c>
      <c r="S5441" s="1"/>
      <c r="T5441" s="1" t="s">
        <v>695</v>
      </c>
      <c r="U5441" s="1"/>
      <c r="V5441" s="1">
        <v>1.052</v>
      </c>
      <c r="W5441" s="1">
        <v>1.052</v>
      </c>
      <c r="X5441" s="1" t="s">
        <v>35</v>
      </c>
      <c r="Y5441" s="1">
        <v>1052000</v>
      </c>
      <c r="Z5441" s="1"/>
      <c r="AA5441" s="1">
        <v>1052000</v>
      </c>
      <c r="AB5441" s="1"/>
      <c r="AC5441" s="1" t="s">
        <v>36</v>
      </c>
      <c r="AD5441" s="1" t="s">
        <v>18418</v>
      </c>
      <c r="AE5441" s="1" t="s">
        <v>32</v>
      </c>
      <c r="AF5441" s="1" t="s">
        <v>33</v>
      </c>
      <c r="AG5441" s="1" t="s">
        <v>270</v>
      </c>
    </row>
    <row r="5442" spans="1:33">
      <c r="A5442" t="s">
        <v>18419</v>
      </c>
      <c r="C5442" t="s">
        <v>2262</v>
      </c>
      <c r="E5442" t="s">
        <v>17332</v>
      </c>
      <c r="F5442" t="s">
        <v>16399</v>
      </c>
      <c r="G5442">
        <v>2.524</v>
      </c>
      <c r="H5442">
        <v>2.524</v>
      </c>
      <c r="I5442" t="s">
        <v>269</v>
      </c>
      <c r="J5442" t="s">
        <v>270</v>
      </c>
      <c r="K5442" t="s">
        <v>31</v>
      </c>
      <c r="L5442" t="s">
        <v>32</v>
      </c>
      <c r="M5442" t="s">
        <v>33</v>
      </c>
      <c r="P5442" s="1" t="s">
        <v>18420</v>
      </c>
      <c r="Q5442" s="1" t="s">
        <v>17332</v>
      </c>
      <c r="R5442" s="1" t="s">
        <v>17332</v>
      </c>
      <c r="S5442" s="1"/>
      <c r="T5442" s="1" t="s">
        <v>2262</v>
      </c>
      <c r="U5442" s="1"/>
      <c r="V5442" s="1">
        <v>2.524</v>
      </c>
      <c r="W5442" s="1">
        <v>2.524</v>
      </c>
      <c r="X5442" s="1" t="s">
        <v>35</v>
      </c>
      <c r="Y5442" s="1">
        <v>2524000</v>
      </c>
      <c r="Z5442" s="1"/>
      <c r="AA5442" s="1">
        <v>2524000</v>
      </c>
      <c r="AB5442" s="1"/>
      <c r="AC5442" s="1" t="s">
        <v>36</v>
      </c>
      <c r="AD5442" s="1" t="s">
        <v>18421</v>
      </c>
      <c r="AE5442" s="1" t="s">
        <v>32</v>
      </c>
      <c r="AF5442" s="1" t="s">
        <v>33</v>
      </c>
      <c r="AG5442" s="1" t="s">
        <v>270</v>
      </c>
    </row>
    <row r="5443" spans="1:33">
      <c r="A5443" t="s">
        <v>18422</v>
      </c>
      <c r="C5443" t="s">
        <v>4763</v>
      </c>
      <c r="E5443" t="s">
        <v>17332</v>
      </c>
      <c r="F5443" t="s">
        <v>16399</v>
      </c>
      <c r="G5443">
        <v>642.0</v>
      </c>
      <c r="H5443">
        <v>642.0</v>
      </c>
      <c r="I5443" t="s">
        <v>269</v>
      </c>
      <c r="J5443" t="s">
        <v>270</v>
      </c>
      <c r="K5443" t="s">
        <v>31</v>
      </c>
      <c r="L5443" t="s">
        <v>32</v>
      </c>
      <c r="M5443" t="s">
        <v>33</v>
      </c>
      <c r="P5443" s="1" t="s">
        <v>18423</v>
      </c>
      <c r="Q5443" s="1" t="s">
        <v>17332</v>
      </c>
      <c r="R5443" s="1" t="s">
        <v>17332</v>
      </c>
      <c r="S5443" s="1"/>
      <c r="T5443" s="1" t="s">
        <v>4765</v>
      </c>
      <c r="U5443" s="1" t="s">
        <v>4766</v>
      </c>
      <c r="V5443" s="1">
        <v>642.0</v>
      </c>
      <c r="W5443" s="1">
        <v>642.0</v>
      </c>
      <c r="X5443" s="1" t="s">
        <v>35</v>
      </c>
      <c r="Y5443" s="1">
        <v>642000</v>
      </c>
      <c r="Z5443" s="1"/>
      <c r="AA5443" s="1">
        <v>642000</v>
      </c>
      <c r="AB5443" s="1"/>
      <c r="AC5443" s="1" t="s">
        <v>36</v>
      </c>
      <c r="AD5443" s="1" t="s">
        <v>18424</v>
      </c>
      <c r="AE5443" s="1" t="s">
        <v>32</v>
      </c>
      <c r="AF5443" s="1" t="s">
        <v>33</v>
      </c>
      <c r="AG5443" s="1" t="s">
        <v>270</v>
      </c>
    </row>
    <row r="5444" spans="1:33">
      <c r="A5444" t="s">
        <v>18425</v>
      </c>
      <c r="C5444" t="s">
        <v>806</v>
      </c>
      <c r="D5444" t="s">
        <v>154</v>
      </c>
      <c r="E5444" t="s">
        <v>17332</v>
      </c>
      <c r="F5444" t="s">
        <v>16399</v>
      </c>
      <c r="G5444">
        <v>970.0</v>
      </c>
      <c r="H5444">
        <v>970.0</v>
      </c>
      <c r="I5444" t="s">
        <v>269</v>
      </c>
      <c r="J5444" t="s">
        <v>270</v>
      </c>
      <c r="K5444" t="s">
        <v>31</v>
      </c>
      <c r="L5444" t="s">
        <v>32</v>
      </c>
      <c r="M5444" t="s">
        <v>33</v>
      </c>
      <c r="P5444" s="1" t="s">
        <v>18426</v>
      </c>
      <c r="Q5444" s="1" t="s">
        <v>17332</v>
      </c>
      <c r="R5444" s="1" t="s">
        <v>17332</v>
      </c>
      <c r="S5444" s="1"/>
      <c r="T5444" s="1" t="s">
        <v>806</v>
      </c>
      <c r="U5444" s="1"/>
      <c r="V5444" s="1">
        <v>970.0</v>
      </c>
      <c r="W5444" s="1">
        <v>970.0</v>
      </c>
      <c r="X5444" s="1" t="s">
        <v>35</v>
      </c>
      <c r="Y5444" s="1">
        <v>970000</v>
      </c>
      <c r="Z5444" s="1"/>
      <c r="AA5444" s="1">
        <v>970000</v>
      </c>
      <c r="AB5444" s="1"/>
      <c r="AC5444" s="1" t="s">
        <v>36</v>
      </c>
      <c r="AD5444" s="1" t="s">
        <v>18427</v>
      </c>
      <c r="AE5444" s="1" t="s">
        <v>32</v>
      </c>
      <c r="AF5444" s="1" t="s">
        <v>33</v>
      </c>
      <c r="AG5444" s="1" t="s">
        <v>270</v>
      </c>
    </row>
    <row r="5445" spans="1:33">
      <c r="A5445" t="s">
        <v>18428</v>
      </c>
      <c r="C5445" t="s">
        <v>5647</v>
      </c>
      <c r="E5445" t="s">
        <v>18429</v>
      </c>
      <c r="F5445" t="s">
        <v>18430</v>
      </c>
      <c r="G5445">
        <v>423.8</v>
      </c>
      <c r="H5445">
        <v>423.8</v>
      </c>
      <c r="I5445" t="s">
        <v>847</v>
      </c>
      <c r="J5445" t="s">
        <v>848</v>
      </c>
      <c r="K5445" t="s">
        <v>31</v>
      </c>
      <c r="L5445" t="s">
        <v>32</v>
      </c>
      <c r="M5445" t="s">
        <v>33</v>
      </c>
      <c r="P5445" s="1" t="s">
        <v>18431</v>
      </c>
      <c r="Q5445" s="1" t="s">
        <v>18429</v>
      </c>
      <c r="R5445" s="1" t="s">
        <v>18429</v>
      </c>
      <c r="S5445" s="1"/>
      <c r="T5445" s="1" t="s">
        <v>5647</v>
      </c>
      <c r="U5445" s="1"/>
      <c r="V5445" s="1">
        <v>423.8</v>
      </c>
      <c r="W5445" s="1">
        <v>423.8</v>
      </c>
      <c r="X5445" s="1" t="s">
        <v>35</v>
      </c>
      <c r="Y5445" s="1">
        <v>423800</v>
      </c>
      <c r="Z5445" s="1"/>
      <c r="AA5445" s="1">
        <v>423800</v>
      </c>
      <c r="AB5445" s="1"/>
      <c r="AC5445" s="1" t="s">
        <v>36</v>
      </c>
      <c r="AD5445" s="1" t="s">
        <v>18432</v>
      </c>
      <c r="AE5445" s="1" t="s">
        <v>32</v>
      </c>
      <c r="AF5445" s="1" t="s">
        <v>33</v>
      </c>
      <c r="AG5445" s="1" t="s">
        <v>848</v>
      </c>
    </row>
    <row r="5446" spans="1:33">
      <c r="A5446" t="s">
        <v>18433</v>
      </c>
      <c r="C5446" t="s">
        <v>3302</v>
      </c>
      <c r="E5446" t="s">
        <v>18429</v>
      </c>
      <c r="F5446" t="s">
        <v>18430</v>
      </c>
      <c r="G5446">
        <v>421.1</v>
      </c>
      <c r="H5446">
        <v>421.1</v>
      </c>
      <c r="I5446" t="s">
        <v>847</v>
      </c>
      <c r="J5446" t="s">
        <v>848</v>
      </c>
      <c r="K5446" t="s">
        <v>31</v>
      </c>
      <c r="L5446" t="s">
        <v>32</v>
      </c>
      <c r="M5446" t="s">
        <v>33</v>
      </c>
      <c r="P5446" s="1" t="s">
        <v>18434</v>
      </c>
      <c r="Q5446" s="1" t="s">
        <v>18429</v>
      </c>
      <c r="R5446" s="1" t="s">
        <v>18429</v>
      </c>
      <c r="S5446" s="1"/>
      <c r="T5446" s="1" t="s">
        <v>3302</v>
      </c>
      <c r="U5446" s="1"/>
      <c r="V5446" s="1">
        <v>421.1</v>
      </c>
      <c r="W5446" s="1">
        <v>421.1</v>
      </c>
      <c r="X5446" s="1" t="s">
        <v>35</v>
      </c>
      <c r="Y5446" s="1">
        <v>421100</v>
      </c>
      <c r="Z5446" s="1"/>
      <c r="AA5446" s="1">
        <v>421100</v>
      </c>
      <c r="AB5446" s="1"/>
      <c r="AC5446" s="1" t="s">
        <v>36</v>
      </c>
      <c r="AD5446" s="1" t="s">
        <v>18435</v>
      </c>
      <c r="AE5446" s="1" t="s">
        <v>32</v>
      </c>
      <c r="AF5446" s="1" t="s">
        <v>33</v>
      </c>
      <c r="AG5446" s="1" t="s">
        <v>848</v>
      </c>
    </row>
    <row r="5447" spans="1:33">
      <c r="A5447" t="s">
        <v>18436</v>
      </c>
      <c r="C5447" t="s">
        <v>4975</v>
      </c>
      <c r="E5447" t="s">
        <v>18429</v>
      </c>
      <c r="F5447" t="s">
        <v>18430</v>
      </c>
      <c r="G5447">
        <v>815.548</v>
      </c>
      <c r="H5447">
        <v>815.548</v>
      </c>
      <c r="I5447" t="s">
        <v>847</v>
      </c>
      <c r="J5447" t="s">
        <v>848</v>
      </c>
      <c r="K5447" t="s">
        <v>31</v>
      </c>
      <c r="L5447" t="s">
        <v>32</v>
      </c>
      <c r="M5447" t="s">
        <v>33</v>
      </c>
      <c r="P5447" s="1" t="s">
        <v>18437</v>
      </c>
      <c r="Q5447" s="1" t="s">
        <v>18429</v>
      </c>
      <c r="R5447" s="1" t="s">
        <v>18429</v>
      </c>
      <c r="S5447" s="1"/>
      <c r="T5447" s="1" t="s">
        <v>4975</v>
      </c>
      <c r="U5447" s="1"/>
      <c r="V5447" s="1">
        <v>815.548</v>
      </c>
      <c r="W5447" s="1">
        <v>815.548</v>
      </c>
      <c r="X5447" s="1" t="s">
        <v>35</v>
      </c>
      <c r="Y5447" s="1">
        <v>815548</v>
      </c>
      <c r="Z5447" s="1"/>
      <c r="AA5447" s="1">
        <v>815548</v>
      </c>
      <c r="AB5447" s="1"/>
      <c r="AC5447" s="1" t="s">
        <v>36</v>
      </c>
      <c r="AD5447" s="1" t="s">
        <v>18438</v>
      </c>
      <c r="AE5447" s="1" t="s">
        <v>32</v>
      </c>
      <c r="AF5447" s="1" t="s">
        <v>33</v>
      </c>
      <c r="AG5447" s="1" t="s">
        <v>848</v>
      </c>
    </row>
    <row r="5448" spans="1:33">
      <c r="A5448" t="s">
        <v>18439</v>
      </c>
      <c r="B5448" t="s">
        <v>1772</v>
      </c>
      <c r="C5448" t="s">
        <v>1773</v>
      </c>
      <c r="D5448" t="s">
        <v>154</v>
      </c>
      <c r="E5448" t="s">
        <v>18429</v>
      </c>
      <c r="F5448" t="s">
        <v>18430</v>
      </c>
      <c r="G5448">
        <v>789.6</v>
      </c>
      <c r="H5448">
        <v>789.6</v>
      </c>
      <c r="I5448" t="s">
        <v>29</v>
      </c>
      <c r="J5448" t="s">
        <v>30</v>
      </c>
      <c r="K5448" t="s">
        <v>31</v>
      </c>
      <c r="L5448" t="s">
        <v>32</v>
      </c>
      <c r="M5448" t="s">
        <v>33</v>
      </c>
      <c r="P5448" s="1" t="s">
        <v>18440</v>
      </c>
      <c r="Q5448" s="1" t="s">
        <v>18429</v>
      </c>
      <c r="R5448" s="1" t="s">
        <v>18429</v>
      </c>
      <c r="S5448" s="1"/>
      <c r="T5448" s="1" t="s">
        <v>1773</v>
      </c>
      <c r="U5448" s="1"/>
      <c r="V5448" s="1">
        <v>789.6</v>
      </c>
      <c r="W5448" s="1">
        <v>789.6</v>
      </c>
      <c r="X5448" s="1" t="s">
        <v>35</v>
      </c>
      <c r="Y5448" s="1">
        <v>850000</v>
      </c>
      <c r="Z5448" s="1">
        <v>-60400</v>
      </c>
      <c r="AA5448" s="1">
        <v>850000</v>
      </c>
      <c r="AB5448" s="1">
        <v>-60400</v>
      </c>
      <c r="AC5448" s="1" t="s">
        <v>36</v>
      </c>
      <c r="AD5448" s="1" t="s">
        <v>18441</v>
      </c>
      <c r="AE5448" s="1" t="s">
        <v>32</v>
      </c>
      <c r="AF5448" s="1" t="s">
        <v>33</v>
      </c>
      <c r="AG5448" s="1" t="s">
        <v>30</v>
      </c>
    </row>
    <row r="5449" spans="1:33">
      <c r="A5449" t="s">
        <v>18442</v>
      </c>
      <c r="B5449" t="s">
        <v>2611</v>
      </c>
      <c r="C5449" t="s">
        <v>2612</v>
      </c>
      <c r="E5449" t="s">
        <v>18429</v>
      </c>
      <c r="F5449" t="s">
        <v>18430</v>
      </c>
      <c r="G5449">
        <v>338.75</v>
      </c>
      <c r="H5449">
        <v>338.75</v>
      </c>
      <c r="I5449" t="s">
        <v>29</v>
      </c>
      <c r="J5449" t="s">
        <v>30</v>
      </c>
      <c r="K5449" t="s">
        <v>31</v>
      </c>
      <c r="L5449" t="s">
        <v>32</v>
      </c>
      <c r="M5449" t="s">
        <v>33</v>
      </c>
      <c r="P5449" s="1" t="s">
        <v>18443</v>
      </c>
      <c r="Q5449" s="1" t="s">
        <v>18429</v>
      </c>
      <c r="R5449" s="1" t="s">
        <v>18429</v>
      </c>
      <c r="S5449" s="1"/>
      <c r="T5449" s="1" t="s">
        <v>2614</v>
      </c>
      <c r="U5449" s="1" t="s">
        <v>154</v>
      </c>
      <c r="V5449" s="1">
        <v>338.75</v>
      </c>
      <c r="W5449" s="1">
        <v>338.75</v>
      </c>
      <c r="X5449" s="1" t="s">
        <v>35</v>
      </c>
      <c r="Y5449" s="1">
        <v>338750</v>
      </c>
      <c r="Z5449" s="1"/>
      <c r="AA5449" s="1">
        <v>211850</v>
      </c>
      <c r="AB5449" s="1">
        <v>126900</v>
      </c>
      <c r="AC5449" s="1" t="s">
        <v>36</v>
      </c>
      <c r="AD5449" s="1" t="s">
        <v>18444</v>
      </c>
      <c r="AE5449" s="1" t="s">
        <v>32</v>
      </c>
      <c r="AF5449" s="1" t="s">
        <v>33</v>
      </c>
      <c r="AG5449" s="1" t="s">
        <v>30</v>
      </c>
    </row>
    <row r="5450" spans="1:33">
      <c r="A5450" t="s">
        <v>18445</v>
      </c>
      <c r="B5450" t="s">
        <v>18446</v>
      </c>
      <c r="C5450" t="s">
        <v>125</v>
      </c>
      <c r="E5450" t="s">
        <v>18429</v>
      </c>
      <c r="F5450" t="s">
        <v>18430</v>
      </c>
      <c r="G5450">
        <v>12.996</v>
      </c>
      <c r="H5450">
        <v>12.996</v>
      </c>
      <c r="I5450" t="s">
        <v>126</v>
      </c>
      <c r="J5450" t="s">
        <v>127</v>
      </c>
      <c r="K5450" t="s">
        <v>31</v>
      </c>
      <c r="L5450" t="s">
        <v>32</v>
      </c>
      <c r="M5450" t="s">
        <v>33</v>
      </c>
      <c r="P5450" s="1" t="s">
        <v>18447</v>
      </c>
      <c r="Q5450" s="1" t="s">
        <v>18429</v>
      </c>
      <c r="R5450" s="1" t="s">
        <v>18429</v>
      </c>
      <c r="S5450" s="1"/>
      <c r="T5450" s="1" t="s">
        <v>125</v>
      </c>
      <c r="U5450" s="1"/>
      <c r="V5450" s="1">
        <v>12.996</v>
      </c>
      <c r="W5450" s="1">
        <v>12.996</v>
      </c>
      <c r="X5450" s="1" t="s">
        <v>35</v>
      </c>
      <c r="Y5450" s="1">
        <v>12996</v>
      </c>
      <c r="Z5450" s="1"/>
      <c r="AA5450" s="1">
        <v>12996</v>
      </c>
      <c r="AB5450" s="1"/>
      <c r="AC5450" s="1" t="s">
        <v>36</v>
      </c>
      <c r="AD5450" s="1" t="s">
        <v>18448</v>
      </c>
      <c r="AE5450" s="1" t="s">
        <v>32</v>
      </c>
      <c r="AF5450" s="1" t="s">
        <v>33</v>
      </c>
      <c r="AG5450" s="1" t="s">
        <v>127</v>
      </c>
    </row>
    <row r="5451" spans="1:33">
      <c r="A5451" t="s">
        <v>18449</v>
      </c>
      <c r="C5451" t="s">
        <v>3385</v>
      </c>
      <c r="E5451" t="s">
        <v>18429</v>
      </c>
      <c r="F5451" t="s">
        <v>18430</v>
      </c>
      <c r="G5451">
        <v>910.7</v>
      </c>
      <c r="H5451">
        <v>910.7</v>
      </c>
      <c r="I5451" t="s">
        <v>847</v>
      </c>
      <c r="J5451" t="s">
        <v>848</v>
      </c>
      <c r="K5451" t="s">
        <v>31</v>
      </c>
      <c r="L5451" t="s">
        <v>32</v>
      </c>
      <c r="M5451" t="s">
        <v>33</v>
      </c>
      <c r="P5451" s="1" t="s">
        <v>18450</v>
      </c>
      <c r="Q5451" s="1" t="s">
        <v>18429</v>
      </c>
      <c r="R5451" s="1" t="s">
        <v>18429</v>
      </c>
      <c r="S5451" s="1"/>
      <c r="T5451" s="1" t="s">
        <v>3385</v>
      </c>
      <c r="U5451" s="1"/>
      <c r="V5451" s="1">
        <v>910.7</v>
      </c>
      <c r="W5451" s="1">
        <v>910.7</v>
      </c>
      <c r="X5451" s="1" t="s">
        <v>35</v>
      </c>
      <c r="Y5451" s="1">
        <v>910700</v>
      </c>
      <c r="Z5451" s="1"/>
      <c r="AA5451" s="1">
        <v>910700</v>
      </c>
      <c r="AB5451" s="1"/>
      <c r="AC5451" s="1" t="s">
        <v>36</v>
      </c>
      <c r="AD5451" s="1" t="s">
        <v>18451</v>
      </c>
      <c r="AE5451" s="1" t="s">
        <v>32</v>
      </c>
      <c r="AF5451" s="1" t="s">
        <v>33</v>
      </c>
      <c r="AG5451" s="1" t="s">
        <v>848</v>
      </c>
    </row>
    <row r="5452" spans="1:33">
      <c r="A5452" t="s">
        <v>18452</v>
      </c>
      <c r="B5452" t="s">
        <v>18453</v>
      </c>
      <c r="C5452" t="s">
        <v>68</v>
      </c>
      <c r="E5452" t="s">
        <v>18429</v>
      </c>
      <c r="F5452" t="s">
        <v>18430</v>
      </c>
      <c r="G5452">
        <v>15.495</v>
      </c>
      <c r="H5452">
        <v>15.495</v>
      </c>
      <c r="I5452" t="s">
        <v>59</v>
      </c>
      <c r="J5452" t="s">
        <v>60</v>
      </c>
      <c r="K5452" t="s">
        <v>31</v>
      </c>
      <c r="L5452" t="s">
        <v>32</v>
      </c>
      <c r="M5452" t="s">
        <v>33</v>
      </c>
      <c r="P5452" s="1" t="s">
        <v>18454</v>
      </c>
      <c r="Q5452" s="1" t="s">
        <v>18429</v>
      </c>
      <c r="R5452" s="1" t="s">
        <v>18429</v>
      </c>
      <c r="S5452" s="1"/>
      <c r="T5452" s="1" t="s">
        <v>68</v>
      </c>
      <c r="U5452" s="1"/>
      <c r="V5452" s="1">
        <v>15.495</v>
      </c>
      <c r="W5452" s="1">
        <v>15.495</v>
      </c>
      <c r="X5452" s="1" t="s">
        <v>35</v>
      </c>
      <c r="Y5452" s="1">
        <v>15495</v>
      </c>
      <c r="Z5452" s="1"/>
      <c r="AA5452" s="1">
        <v>15495</v>
      </c>
      <c r="AB5452" s="1"/>
      <c r="AC5452" s="1" t="s">
        <v>36</v>
      </c>
      <c r="AD5452" s="1" t="s">
        <v>18455</v>
      </c>
      <c r="AE5452" s="1" t="s">
        <v>32</v>
      </c>
      <c r="AF5452" s="1" t="s">
        <v>33</v>
      </c>
      <c r="AG5452" s="1" t="s">
        <v>60</v>
      </c>
    </row>
    <row r="5453" spans="1:33">
      <c r="A5453" t="s">
        <v>18456</v>
      </c>
      <c r="C5453" t="s">
        <v>18457</v>
      </c>
      <c r="E5453" t="s">
        <v>18429</v>
      </c>
      <c r="F5453" t="s">
        <v>18430</v>
      </c>
      <c r="G5453">
        <v>326.0</v>
      </c>
      <c r="H5453">
        <v>326.0</v>
      </c>
      <c r="I5453" t="s">
        <v>847</v>
      </c>
      <c r="J5453" t="s">
        <v>848</v>
      </c>
      <c r="K5453" t="s">
        <v>31</v>
      </c>
      <c r="L5453" t="s">
        <v>32</v>
      </c>
      <c r="M5453" t="s">
        <v>33</v>
      </c>
      <c r="P5453" s="1" t="s">
        <v>18458</v>
      </c>
      <c r="Q5453" s="1" t="s">
        <v>18429</v>
      </c>
      <c r="R5453" s="1" t="s">
        <v>18429</v>
      </c>
      <c r="S5453" s="1"/>
      <c r="T5453" s="1" t="s">
        <v>18457</v>
      </c>
      <c r="U5453" s="1"/>
      <c r="V5453" s="1">
        <v>326.0</v>
      </c>
      <c r="W5453" s="1">
        <v>326.0</v>
      </c>
      <c r="X5453" s="1" t="s">
        <v>35</v>
      </c>
      <c r="Y5453" s="1">
        <v>326000</v>
      </c>
      <c r="Z5453" s="1"/>
      <c r="AA5453" s="1">
        <v>326000</v>
      </c>
      <c r="AB5453" s="1"/>
      <c r="AC5453" s="1" t="s">
        <v>36</v>
      </c>
      <c r="AD5453" s="1" t="s">
        <v>18459</v>
      </c>
      <c r="AE5453" s="1" t="s">
        <v>32</v>
      </c>
      <c r="AF5453" s="1" t="s">
        <v>33</v>
      </c>
      <c r="AG5453" s="1" t="s">
        <v>848</v>
      </c>
    </row>
    <row r="5454" spans="1:33">
      <c r="A5454" t="s">
        <v>18460</v>
      </c>
      <c r="B5454" t="s">
        <v>9378</v>
      </c>
      <c r="C5454" t="s">
        <v>47</v>
      </c>
      <c r="E5454" t="s">
        <v>18429</v>
      </c>
      <c r="F5454" t="s">
        <v>18430</v>
      </c>
      <c r="G5454">
        <v>5.0</v>
      </c>
      <c r="H5454">
        <v>5.0</v>
      </c>
      <c r="I5454" t="s">
        <v>2206</v>
      </c>
      <c r="J5454" t="s">
        <v>49</v>
      </c>
      <c r="K5454" t="s">
        <v>31</v>
      </c>
      <c r="L5454" t="s">
        <v>32</v>
      </c>
      <c r="M5454" t="s">
        <v>33</v>
      </c>
      <c r="P5454" s="1" t="s">
        <v>18461</v>
      </c>
      <c r="Q5454" s="1" t="s">
        <v>18429</v>
      </c>
      <c r="R5454" s="1" t="s">
        <v>18429</v>
      </c>
      <c r="S5454" s="1"/>
      <c r="T5454" s="1" t="s">
        <v>47</v>
      </c>
      <c r="U5454" s="1"/>
      <c r="V5454" s="1">
        <v>5.0</v>
      </c>
      <c r="W5454" s="1">
        <v>5.0</v>
      </c>
      <c r="X5454" s="1" t="s">
        <v>35</v>
      </c>
      <c r="Y5454" s="1">
        <v>5000</v>
      </c>
      <c r="Z5454" s="1"/>
      <c r="AA5454" s="1">
        <v>5000</v>
      </c>
      <c r="AB5454" s="1"/>
      <c r="AC5454" s="1" t="s">
        <v>36</v>
      </c>
      <c r="AD5454" s="1" t="s">
        <v>18462</v>
      </c>
      <c r="AE5454" s="1" t="s">
        <v>32</v>
      </c>
      <c r="AF5454" s="1" t="s">
        <v>33</v>
      </c>
      <c r="AG5454" s="1" t="s">
        <v>49</v>
      </c>
    </row>
    <row r="5455" spans="1:33">
      <c r="A5455" t="s">
        <v>18463</v>
      </c>
      <c r="C5455" t="s">
        <v>274</v>
      </c>
      <c r="E5455" t="s">
        <v>18429</v>
      </c>
      <c r="F5455" t="s">
        <v>18430</v>
      </c>
      <c r="G5455">
        <v>1.765</v>
      </c>
      <c r="H5455">
        <v>1.765</v>
      </c>
      <c r="I5455" t="s">
        <v>94</v>
      </c>
      <c r="J5455" t="s">
        <v>95</v>
      </c>
      <c r="K5455" t="s">
        <v>31</v>
      </c>
      <c r="L5455" t="s">
        <v>32</v>
      </c>
      <c r="M5455" t="s">
        <v>33</v>
      </c>
      <c r="P5455" s="1" t="s">
        <v>18464</v>
      </c>
      <c r="Q5455" s="1" t="s">
        <v>18429</v>
      </c>
      <c r="R5455" s="1" t="s">
        <v>18429</v>
      </c>
      <c r="S5455" s="1"/>
      <c r="T5455" s="1" t="s">
        <v>274</v>
      </c>
      <c r="U5455" s="1"/>
      <c r="V5455" s="1">
        <v>1.765</v>
      </c>
      <c r="W5455" s="1">
        <v>1.765</v>
      </c>
      <c r="X5455" s="1" t="s">
        <v>35</v>
      </c>
      <c r="Y5455" s="1">
        <v>1765250</v>
      </c>
      <c r="Z5455" s="1"/>
      <c r="AA5455" s="1">
        <v>1765250</v>
      </c>
      <c r="AB5455" s="1"/>
      <c r="AC5455" s="1" t="s">
        <v>36</v>
      </c>
      <c r="AD5455" s="1" t="s">
        <v>18455</v>
      </c>
      <c r="AE5455" s="1" t="s">
        <v>32</v>
      </c>
      <c r="AF5455" s="1" t="s">
        <v>33</v>
      </c>
      <c r="AG5455" s="1" t="s">
        <v>95</v>
      </c>
    </row>
    <row r="5456" spans="1:33">
      <c r="A5456" t="s">
        <v>18465</v>
      </c>
      <c r="C5456" t="s">
        <v>595</v>
      </c>
      <c r="E5456" t="s">
        <v>18429</v>
      </c>
      <c r="F5456" t="s">
        <v>18430</v>
      </c>
      <c r="G5456">
        <v>1.34</v>
      </c>
      <c r="H5456">
        <v>1.34</v>
      </c>
      <c r="I5456" t="s">
        <v>269</v>
      </c>
      <c r="J5456" t="s">
        <v>270</v>
      </c>
      <c r="K5456" t="s">
        <v>31</v>
      </c>
      <c r="L5456" t="s">
        <v>32</v>
      </c>
      <c r="M5456" t="s">
        <v>33</v>
      </c>
      <c r="P5456" s="1" t="s">
        <v>18466</v>
      </c>
      <c r="Q5456" s="1" t="s">
        <v>18429</v>
      </c>
      <c r="R5456" s="1" t="s">
        <v>18429</v>
      </c>
      <c r="S5456" s="1"/>
      <c r="T5456" s="1" t="s">
        <v>595</v>
      </c>
      <c r="U5456" s="1"/>
      <c r="V5456" s="1">
        <v>1.34</v>
      </c>
      <c r="W5456" s="1">
        <v>1.34</v>
      </c>
      <c r="X5456" s="1" t="s">
        <v>35</v>
      </c>
      <c r="Y5456" s="1">
        <v>1340000</v>
      </c>
      <c r="Z5456" s="1"/>
      <c r="AA5456" s="1">
        <v>1340000</v>
      </c>
      <c r="AB5456" s="1"/>
      <c r="AC5456" s="1" t="s">
        <v>36</v>
      </c>
      <c r="AD5456" s="1" t="s">
        <v>18467</v>
      </c>
      <c r="AE5456" s="1" t="s">
        <v>32</v>
      </c>
      <c r="AF5456" s="1" t="s">
        <v>33</v>
      </c>
      <c r="AG5456" s="1" t="s">
        <v>270</v>
      </c>
    </row>
    <row r="5457" spans="1:33">
      <c r="A5457" t="s">
        <v>18468</v>
      </c>
      <c r="B5457" t="s">
        <v>18469</v>
      </c>
      <c r="C5457" t="s">
        <v>26</v>
      </c>
      <c r="E5457" t="s">
        <v>18429</v>
      </c>
      <c r="F5457" t="s">
        <v>18430</v>
      </c>
      <c r="G5457">
        <v>1.36</v>
      </c>
      <c r="H5457">
        <v>1.36</v>
      </c>
      <c r="I5457" t="s">
        <v>29</v>
      </c>
      <c r="J5457" t="s">
        <v>30</v>
      </c>
      <c r="K5457" t="s">
        <v>31</v>
      </c>
      <c r="L5457" t="s">
        <v>32</v>
      </c>
      <c r="M5457" t="s">
        <v>33</v>
      </c>
      <c r="P5457" s="1" t="s">
        <v>18470</v>
      </c>
      <c r="Q5457" s="1" t="s">
        <v>18429</v>
      </c>
      <c r="R5457" s="1" t="s">
        <v>18429</v>
      </c>
      <c r="S5457" s="1"/>
      <c r="T5457" s="1" t="s">
        <v>26</v>
      </c>
      <c r="U5457" s="1"/>
      <c r="V5457" s="1">
        <v>1.36</v>
      </c>
      <c r="W5457" s="1">
        <v>1.36</v>
      </c>
      <c r="X5457" s="1" t="s">
        <v>35</v>
      </c>
      <c r="Y5457" s="1">
        <v>1360</v>
      </c>
      <c r="Z5457" s="1"/>
      <c r="AA5457" s="1">
        <v>1360</v>
      </c>
      <c r="AB5457" s="1"/>
      <c r="AC5457" s="1" t="s">
        <v>36</v>
      </c>
      <c r="AD5457" s="1" t="s">
        <v>18471</v>
      </c>
      <c r="AE5457" s="1" t="s">
        <v>1636</v>
      </c>
      <c r="AF5457" s="1" t="s">
        <v>33</v>
      </c>
      <c r="AG5457" s="1" t="s">
        <v>30</v>
      </c>
    </row>
    <row r="5458" spans="1:33">
      <c r="A5458" t="s">
        <v>18472</v>
      </c>
      <c r="B5458" t="s">
        <v>1598</v>
      </c>
      <c r="C5458" t="s">
        <v>827</v>
      </c>
      <c r="D5458" t="s">
        <v>154</v>
      </c>
      <c r="E5458" t="s">
        <v>18429</v>
      </c>
      <c r="F5458" t="s">
        <v>18430</v>
      </c>
      <c r="G5458">
        <v>638.0</v>
      </c>
      <c r="H5458">
        <v>638.0</v>
      </c>
      <c r="I5458" t="s">
        <v>529</v>
      </c>
      <c r="J5458" t="s">
        <v>530</v>
      </c>
      <c r="K5458" t="s">
        <v>31</v>
      </c>
      <c r="L5458" t="s">
        <v>32</v>
      </c>
      <c r="M5458" t="s">
        <v>33</v>
      </c>
      <c r="P5458" s="1" t="s">
        <v>18473</v>
      </c>
      <c r="Q5458" s="1" t="s">
        <v>18429</v>
      </c>
      <c r="R5458" s="1" t="s">
        <v>18474</v>
      </c>
      <c r="S5458" s="1"/>
      <c r="T5458" s="1" t="s">
        <v>827</v>
      </c>
      <c r="U5458" s="1"/>
      <c r="V5458" s="1">
        <v>638.0</v>
      </c>
      <c r="W5458" s="1">
        <v>638.0</v>
      </c>
      <c r="X5458" s="1" t="s">
        <v>35</v>
      </c>
      <c r="Y5458" s="1">
        <v>638000</v>
      </c>
      <c r="Z5458" s="1"/>
      <c r="AA5458" s="1">
        <v>638000</v>
      </c>
      <c r="AB5458" s="1"/>
      <c r="AC5458" s="1" t="s">
        <v>36</v>
      </c>
      <c r="AD5458" s="1" t="s">
        <v>18475</v>
      </c>
      <c r="AE5458" s="1" t="s">
        <v>32</v>
      </c>
      <c r="AF5458" s="1" t="s">
        <v>33</v>
      </c>
      <c r="AG5458" s="1" t="s">
        <v>530</v>
      </c>
    </row>
    <row r="5459" spans="1:33">
      <c r="A5459" t="s">
        <v>18476</v>
      </c>
      <c r="C5459" t="s">
        <v>500</v>
      </c>
      <c r="E5459" t="s">
        <v>18429</v>
      </c>
      <c r="F5459" t="s">
        <v>18430</v>
      </c>
      <c r="G5459">
        <v>1.452</v>
      </c>
      <c r="H5459">
        <v>1.452</v>
      </c>
      <c r="I5459" t="s">
        <v>126</v>
      </c>
      <c r="J5459" t="s">
        <v>127</v>
      </c>
      <c r="K5459" t="s">
        <v>31</v>
      </c>
      <c r="L5459" t="s">
        <v>32</v>
      </c>
      <c r="M5459" t="s">
        <v>33</v>
      </c>
      <c r="P5459" s="1" t="s">
        <v>18477</v>
      </c>
      <c r="Q5459" s="1" t="s">
        <v>18429</v>
      </c>
      <c r="R5459" s="1" t="s">
        <v>18429</v>
      </c>
      <c r="S5459" s="1"/>
      <c r="T5459" s="1" t="s">
        <v>500</v>
      </c>
      <c r="U5459" s="1"/>
      <c r="V5459" s="1">
        <v>1.452</v>
      </c>
      <c r="W5459" s="1">
        <v>1.452</v>
      </c>
      <c r="X5459" s="1" t="s">
        <v>35</v>
      </c>
      <c r="Y5459" s="1">
        <v>1452000</v>
      </c>
      <c r="Z5459" s="1"/>
      <c r="AA5459" s="1">
        <v>1452000</v>
      </c>
      <c r="AB5459" s="1"/>
      <c r="AC5459" s="1" t="s">
        <v>36</v>
      </c>
      <c r="AD5459" s="1" t="s">
        <v>18478</v>
      </c>
      <c r="AE5459" s="1" t="s">
        <v>32</v>
      </c>
      <c r="AF5459" s="1" t="s">
        <v>33</v>
      </c>
      <c r="AG5459" s="1" t="s">
        <v>127</v>
      </c>
    </row>
    <row r="5460" spans="1:33">
      <c r="A5460" t="s">
        <v>18479</v>
      </c>
      <c r="B5460" t="s">
        <v>18480</v>
      </c>
      <c r="C5460" t="s">
        <v>3147</v>
      </c>
      <c r="E5460" t="s">
        <v>18429</v>
      </c>
      <c r="F5460" t="s">
        <v>18430</v>
      </c>
      <c r="G5460">
        <v>81.25</v>
      </c>
      <c r="H5460">
        <v>81.25</v>
      </c>
      <c r="I5460" t="s">
        <v>29</v>
      </c>
      <c r="J5460" t="s">
        <v>30</v>
      </c>
      <c r="K5460" t="s">
        <v>31</v>
      </c>
      <c r="L5460" t="s">
        <v>32</v>
      </c>
      <c r="M5460" t="s">
        <v>33</v>
      </c>
      <c r="P5460" s="1" t="s">
        <v>18481</v>
      </c>
      <c r="Q5460" s="1" t="s">
        <v>18429</v>
      </c>
      <c r="R5460" s="1" t="s">
        <v>18429</v>
      </c>
      <c r="S5460" s="1"/>
      <c r="T5460" s="1" t="s">
        <v>3147</v>
      </c>
      <c r="U5460" s="1"/>
      <c r="V5460" s="1">
        <v>81.25</v>
      </c>
      <c r="W5460" s="1">
        <v>81.25</v>
      </c>
      <c r="X5460" s="1" t="s">
        <v>35</v>
      </c>
      <c r="Y5460" s="1">
        <v>81250</v>
      </c>
      <c r="Z5460" s="1"/>
      <c r="AA5460" s="1">
        <v>81250</v>
      </c>
      <c r="AB5460" s="1"/>
      <c r="AC5460" s="1" t="s">
        <v>36</v>
      </c>
      <c r="AD5460" s="1" t="s">
        <v>18482</v>
      </c>
      <c r="AE5460" s="1" t="s">
        <v>1636</v>
      </c>
      <c r="AF5460" s="1" t="s">
        <v>33</v>
      </c>
      <c r="AG5460" s="1" t="s">
        <v>30</v>
      </c>
    </row>
    <row r="5461" spans="1:33">
      <c r="A5461" t="s">
        <v>18483</v>
      </c>
      <c r="C5461" t="s">
        <v>73</v>
      </c>
      <c r="E5461" t="s">
        <v>18429</v>
      </c>
      <c r="F5461" t="s">
        <v>18430</v>
      </c>
      <c r="G5461">
        <v>19.8</v>
      </c>
      <c r="H5461">
        <v>19.8</v>
      </c>
      <c r="I5461" t="s">
        <v>40</v>
      </c>
      <c r="J5461" t="s">
        <v>41</v>
      </c>
      <c r="K5461" t="s">
        <v>31</v>
      </c>
      <c r="L5461" t="s">
        <v>32</v>
      </c>
      <c r="M5461" t="s">
        <v>33</v>
      </c>
      <c r="P5461" s="1" t="s">
        <v>18484</v>
      </c>
      <c r="Q5461" s="1" t="s">
        <v>18429</v>
      </c>
      <c r="R5461" s="1" t="s">
        <v>18474</v>
      </c>
      <c r="S5461" s="1"/>
      <c r="T5461" s="1" t="s">
        <v>75</v>
      </c>
      <c r="U5461" s="1" t="s">
        <v>76</v>
      </c>
      <c r="V5461" s="1">
        <v>19.8</v>
      </c>
      <c r="W5461" s="1">
        <v>19.8</v>
      </c>
      <c r="X5461" s="1" t="s">
        <v>35</v>
      </c>
      <c r="Y5461" s="1">
        <v>19800</v>
      </c>
      <c r="Z5461" s="1"/>
      <c r="AA5461" s="1">
        <v>19800</v>
      </c>
      <c r="AB5461" s="1"/>
      <c r="AC5461" s="1" t="s">
        <v>36</v>
      </c>
      <c r="AD5461" s="1" t="s">
        <v>18471</v>
      </c>
      <c r="AE5461" s="1" t="s">
        <v>32</v>
      </c>
      <c r="AF5461" s="1" t="s">
        <v>33</v>
      </c>
      <c r="AG5461" s="1" t="s">
        <v>41</v>
      </c>
    </row>
    <row r="5462" spans="1:33">
      <c r="A5462" t="s">
        <v>18485</v>
      </c>
      <c r="C5462" t="s">
        <v>866</v>
      </c>
      <c r="D5462" t="s">
        <v>154</v>
      </c>
      <c r="E5462" t="s">
        <v>18429</v>
      </c>
      <c r="F5462" t="s">
        <v>18430</v>
      </c>
      <c r="G5462">
        <v>336.0</v>
      </c>
      <c r="H5462">
        <v>336.0</v>
      </c>
      <c r="I5462" t="s">
        <v>2206</v>
      </c>
      <c r="J5462" t="s">
        <v>49</v>
      </c>
      <c r="K5462" t="s">
        <v>31</v>
      </c>
      <c r="L5462" t="s">
        <v>32</v>
      </c>
      <c r="M5462" t="s">
        <v>33</v>
      </c>
      <c r="P5462" s="1" t="s">
        <v>18486</v>
      </c>
      <c r="Q5462" s="1" t="s">
        <v>18429</v>
      </c>
      <c r="R5462" s="1" t="s">
        <v>18429</v>
      </c>
      <c r="S5462" s="1"/>
      <c r="T5462" s="1" t="s">
        <v>868</v>
      </c>
      <c r="U5462" s="1" t="s">
        <v>869</v>
      </c>
      <c r="V5462" s="1">
        <v>336.0</v>
      </c>
      <c r="W5462" s="1">
        <v>336.0</v>
      </c>
      <c r="X5462" s="1" t="s">
        <v>35</v>
      </c>
      <c r="Y5462" s="1">
        <v>336000</v>
      </c>
      <c r="Z5462" s="1"/>
      <c r="AA5462" s="1">
        <v>336000</v>
      </c>
      <c r="AB5462" s="1"/>
      <c r="AC5462" s="1" t="s">
        <v>36</v>
      </c>
      <c r="AD5462" s="1" t="s">
        <v>18487</v>
      </c>
      <c r="AE5462" s="1" t="s">
        <v>32</v>
      </c>
      <c r="AF5462" s="1" t="s">
        <v>33</v>
      </c>
      <c r="AG5462" s="1" t="s">
        <v>49</v>
      </c>
    </row>
    <row r="5463" spans="1:33">
      <c r="A5463" t="s">
        <v>18488</v>
      </c>
      <c r="B5463" t="s">
        <v>18489</v>
      </c>
      <c r="C5463" t="s">
        <v>314</v>
      </c>
      <c r="E5463" t="s">
        <v>18429</v>
      </c>
      <c r="F5463" t="s">
        <v>18430</v>
      </c>
      <c r="G5463">
        <v>5.48</v>
      </c>
      <c r="H5463">
        <v>5.48</v>
      </c>
      <c r="I5463" t="s">
        <v>179</v>
      </c>
      <c r="J5463" t="s">
        <v>180</v>
      </c>
      <c r="K5463" t="s">
        <v>31</v>
      </c>
      <c r="L5463" t="s">
        <v>32</v>
      </c>
      <c r="M5463" t="s">
        <v>33</v>
      </c>
      <c r="P5463" s="1" t="s">
        <v>18490</v>
      </c>
      <c r="Q5463" s="1" t="s">
        <v>18429</v>
      </c>
      <c r="R5463" s="1" t="s">
        <v>18429</v>
      </c>
      <c r="S5463" s="1"/>
      <c r="T5463" s="1" t="s">
        <v>314</v>
      </c>
      <c r="U5463" s="1"/>
      <c r="V5463" s="1">
        <v>5.48</v>
      </c>
      <c r="W5463" s="1">
        <v>5.48</v>
      </c>
      <c r="X5463" s="1" t="s">
        <v>35</v>
      </c>
      <c r="Y5463" s="1">
        <v>5480</v>
      </c>
      <c r="Z5463" s="1"/>
      <c r="AA5463" s="1">
        <v>5480</v>
      </c>
      <c r="AB5463" s="1"/>
      <c r="AC5463" s="1" t="s">
        <v>36</v>
      </c>
      <c r="AD5463" s="1" t="s">
        <v>18491</v>
      </c>
      <c r="AE5463" s="1" t="s">
        <v>32</v>
      </c>
      <c r="AF5463" s="1" t="s">
        <v>33</v>
      </c>
      <c r="AG5463" s="1" t="s">
        <v>180</v>
      </c>
    </row>
    <row r="5464" spans="1:33">
      <c r="A5464" t="s">
        <v>18492</v>
      </c>
      <c r="C5464" t="s">
        <v>18493</v>
      </c>
      <c r="E5464" t="s">
        <v>18429</v>
      </c>
      <c r="F5464" t="s">
        <v>18430</v>
      </c>
      <c r="G5464">
        <v>3.985</v>
      </c>
      <c r="H5464">
        <v>3.985</v>
      </c>
      <c r="I5464" t="s">
        <v>126</v>
      </c>
      <c r="J5464" t="s">
        <v>127</v>
      </c>
      <c r="K5464" t="s">
        <v>31</v>
      </c>
      <c r="L5464" t="s">
        <v>32</v>
      </c>
      <c r="M5464" t="s">
        <v>33</v>
      </c>
      <c r="P5464" s="1" t="s">
        <v>18494</v>
      </c>
      <c r="Q5464" s="1" t="s">
        <v>18429</v>
      </c>
      <c r="R5464" s="1" t="s">
        <v>18429</v>
      </c>
      <c r="S5464" s="1"/>
      <c r="T5464" s="1" t="s">
        <v>18493</v>
      </c>
      <c r="U5464" s="1"/>
      <c r="V5464" s="1">
        <v>3.985</v>
      </c>
      <c r="W5464" s="1">
        <v>3.985</v>
      </c>
      <c r="X5464" s="1" t="s">
        <v>35</v>
      </c>
      <c r="Y5464" s="1">
        <v>3985000</v>
      </c>
      <c r="Z5464" s="1"/>
      <c r="AA5464" s="1">
        <v>3985000</v>
      </c>
      <c r="AB5464" s="1"/>
      <c r="AC5464" s="1" t="s">
        <v>36</v>
      </c>
      <c r="AD5464" s="1" t="s">
        <v>18495</v>
      </c>
      <c r="AE5464" s="1" t="s">
        <v>32</v>
      </c>
      <c r="AF5464" s="1" t="s">
        <v>33</v>
      </c>
      <c r="AG5464" s="1" t="s">
        <v>127</v>
      </c>
    </row>
    <row r="5465" spans="1:33">
      <c r="A5465" t="s">
        <v>18496</v>
      </c>
      <c r="B5465" t="s">
        <v>57</v>
      </c>
      <c r="C5465" t="s">
        <v>58</v>
      </c>
      <c r="E5465" t="s">
        <v>18429</v>
      </c>
      <c r="F5465" t="s">
        <v>18430</v>
      </c>
      <c r="G5465">
        <v>462.5</v>
      </c>
      <c r="H5465">
        <v>462.5</v>
      </c>
      <c r="I5465" t="s">
        <v>59</v>
      </c>
      <c r="J5465" t="s">
        <v>60</v>
      </c>
      <c r="K5465" t="s">
        <v>31</v>
      </c>
      <c r="L5465" t="s">
        <v>32</v>
      </c>
      <c r="M5465" t="s">
        <v>33</v>
      </c>
      <c r="P5465" s="1" t="s">
        <v>18497</v>
      </c>
      <c r="Q5465" s="1" t="s">
        <v>18429</v>
      </c>
      <c r="R5465" s="1" t="s">
        <v>18429</v>
      </c>
      <c r="S5465" s="1"/>
      <c r="T5465" s="1" t="s">
        <v>58</v>
      </c>
      <c r="U5465" s="1"/>
      <c r="V5465" s="1">
        <v>462.5</v>
      </c>
      <c r="W5465" s="1">
        <v>462.5</v>
      </c>
      <c r="X5465" s="1" t="s">
        <v>35</v>
      </c>
      <c r="Y5465" s="1">
        <v>462500</v>
      </c>
      <c r="Z5465" s="1"/>
      <c r="AA5465" s="1">
        <v>462500</v>
      </c>
      <c r="AB5465" s="1"/>
      <c r="AC5465" s="1" t="s">
        <v>36</v>
      </c>
      <c r="AD5465" s="1" t="s">
        <v>18498</v>
      </c>
      <c r="AE5465" s="1" t="s">
        <v>32</v>
      </c>
      <c r="AF5465" s="1" t="s">
        <v>33</v>
      </c>
      <c r="AG5465" s="1" t="s">
        <v>60</v>
      </c>
    </row>
    <row r="5466" spans="1:33">
      <c r="A5466" t="s">
        <v>18499</v>
      </c>
      <c r="B5466" t="s">
        <v>7542</v>
      </c>
      <c r="C5466" t="s">
        <v>268</v>
      </c>
      <c r="E5466" t="s">
        <v>18429</v>
      </c>
      <c r="F5466" t="s">
        <v>18430</v>
      </c>
      <c r="G5466">
        <v>31.75</v>
      </c>
      <c r="H5466">
        <v>31.75</v>
      </c>
      <c r="I5466" t="s">
        <v>269</v>
      </c>
      <c r="J5466" t="s">
        <v>270</v>
      </c>
      <c r="K5466" t="s">
        <v>31</v>
      </c>
      <c r="L5466" t="s">
        <v>32</v>
      </c>
      <c r="M5466" t="s">
        <v>33</v>
      </c>
      <c r="P5466" s="1" t="s">
        <v>18500</v>
      </c>
      <c r="Q5466" s="1" t="s">
        <v>18429</v>
      </c>
      <c r="R5466" s="1" t="s">
        <v>18429</v>
      </c>
      <c r="S5466" s="1"/>
      <c r="T5466" s="1" t="s">
        <v>268</v>
      </c>
      <c r="U5466" s="1"/>
      <c r="V5466" s="1">
        <v>31.75</v>
      </c>
      <c r="W5466" s="1">
        <v>31.75</v>
      </c>
      <c r="X5466" s="1" t="s">
        <v>35</v>
      </c>
      <c r="Y5466" s="1">
        <v>31750</v>
      </c>
      <c r="Z5466" s="1"/>
      <c r="AA5466" s="1">
        <v>31750</v>
      </c>
      <c r="AB5466" s="1"/>
      <c r="AC5466" s="1" t="s">
        <v>36</v>
      </c>
      <c r="AD5466" s="1" t="s">
        <v>18501</v>
      </c>
      <c r="AE5466" s="1" t="s">
        <v>32</v>
      </c>
      <c r="AF5466" s="1" t="s">
        <v>33</v>
      </c>
      <c r="AG5466" s="1" t="s">
        <v>270</v>
      </c>
    </row>
    <row r="5467" spans="1:33">
      <c r="A5467" t="s">
        <v>18502</v>
      </c>
      <c r="B5467" t="s">
        <v>9175</v>
      </c>
      <c r="C5467" t="s">
        <v>314</v>
      </c>
      <c r="E5467" t="s">
        <v>18429</v>
      </c>
      <c r="F5467" t="s">
        <v>18430</v>
      </c>
      <c r="G5467">
        <v>3.34</v>
      </c>
      <c r="H5467">
        <v>3.34</v>
      </c>
      <c r="I5467" t="s">
        <v>179</v>
      </c>
      <c r="J5467" t="s">
        <v>180</v>
      </c>
      <c r="K5467" t="s">
        <v>31</v>
      </c>
      <c r="L5467" t="s">
        <v>32</v>
      </c>
      <c r="M5467" t="s">
        <v>33</v>
      </c>
      <c r="P5467" s="1" t="s">
        <v>18503</v>
      </c>
      <c r="Q5467" s="1" t="s">
        <v>18429</v>
      </c>
      <c r="R5467" s="1" t="s">
        <v>18429</v>
      </c>
      <c r="S5467" s="1"/>
      <c r="T5467" s="1" t="s">
        <v>314</v>
      </c>
      <c r="U5467" s="1"/>
      <c r="V5467" s="1">
        <v>3.34</v>
      </c>
      <c r="W5467" s="1">
        <v>3.34</v>
      </c>
      <c r="X5467" s="1" t="s">
        <v>35</v>
      </c>
      <c r="Y5467" s="1">
        <v>3340</v>
      </c>
      <c r="Z5467" s="1"/>
      <c r="AA5467" s="1">
        <v>3340</v>
      </c>
      <c r="AB5467" s="1"/>
      <c r="AC5467" s="1" t="s">
        <v>36</v>
      </c>
      <c r="AD5467" s="1" t="s">
        <v>18487</v>
      </c>
      <c r="AE5467" s="1" t="s">
        <v>32</v>
      </c>
      <c r="AF5467" s="1" t="s">
        <v>33</v>
      </c>
      <c r="AG5467" s="1" t="s">
        <v>180</v>
      </c>
    </row>
    <row r="5468" spans="1:33">
      <c r="A5468" t="s">
        <v>18504</v>
      </c>
      <c r="C5468" t="s">
        <v>6115</v>
      </c>
      <c r="D5468" t="s">
        <v>154</v>
      </c>
      <c r="E5468" t="s">
        <v>18429</v>
      </c>
      <c r="F5468" t="s">
        <v>18430</v>
      </c>
      <c r="G5468">
        <v>1.89</v>
      </c>
      <c r="H5468">
        <v>1.89</v>
      </c>
      <c r="I5468" t="s">
        <v>126</v>
      </c>
      <c r="J5468" t="s">
        <v>127</v>
      </c>
      <c r="K5468" t="s">
        <v>31</v>
      </c>
      <c r="L5468" t="s">
        <v>32</v>
      </c>
      <c r="M5468" t="s">
        <v>33</v>
      </c>
      <c r="P5468" s="1" t="s">
        <v>18505</v>
      </c>
      <c r="Q5468" s="1" t="s">
        <v>18429</v>
      </c>
      <c r="R5468" s="1" t="s">
        <v>18429</v>
      </c>
      <c r="S5468" s="1"/>
      <c r="T5468" s="1" t="s">
        <v>6117</v>
      </c>
      <c r="U5468" s="1" t="s">
        <v>6118</v>
      </c>
      <c r="V5468" s="1">
        <v>1.89</v>
      </c>
      <c r="W5468" s="1">
        <v>1.89</v>
      </c>
      <c r="X5468" s="1" t="s">
        <v>35</v>
      </c>
      <c r="Y5468" s="1">
        <v>1890000</v>
      </c>
      <c r="Z5468" s="1"/>
      <c r="AA5468" s="1">
        <v>1887000</v>
      </c>
      <c r="AB5468" s="1">
        <v>3000</v>
      </c>
      <c r="AC5468" s="1" t="s">
        <v>36</v>
      </c>
      <c r="AD5468" s="1" t="s">
        <v>18506</v>
      </c>
      <c r="AE5468" s="1" t="s">
        <v>32</v>
      </c>
      <c r="AF5468" s="1" t="s">
        <v>33</v>
      </c>
      <c r="AG5468" s="1" t="s">
        <v>127</v>
      </c>
    </row>
    <row r="5469" spans="1:33">
      <c r="A5469" t="s">
        <v>18507</v>
      </c>
      <c r="C5469" t="s">
        <v>586</v>
      </c>
      <c r="E5469" t="s">
        <v>18429</v>
      </c>
      <c r="F5469" t="s">
        <v>18430</v>
      </c>
      <c r="G5469">
        <v>18.5</v>
      </c>
      <c r="H5469">
        <v>18.5</v>
      </c>
      <c r="I5469" t="s">
        <v>269</v>
      </c>
      <c r="J5469" t="s">
        <v>270</v>
      </c>
      <c r="K5469" t="s">
        <v>31</v>
      </c>
      <c r="L5469" t="s">
        <v>32</v>
      </c>
      <c r="M5469" t="s">
        <v>33</v>
      </c>
      <c r="P5469" s="1" t="s">
        <v>18508</v>
      </c>
      <c r="Q5469" s="1" t="s">
        <v>18429</v>
      </c>
      <c r="R5469" s="1" t="s">
        <v>18429</v>
      </c>
      <c r="S5469" s="1"/>
      <c r="T5469" s="1" t="s">
        <v>586</v>
      </c>
      <c r="U5469" s="1"/>
      <c r="V5469" s="1">
        <v>18.5</v>
      </c>
      <c r="W5469" s="1">
        <v>18.5</v>
      </c>
      <c r="X5469" s="1" t="s">
        <v>35</v>
      </c>
      <c r="Y5469" s="1">
        <v>18500</v>
      </c>
      <c r="Z5469" s="1"/>
      <c r="AA5469" s="1">
        <v>18500</v>
      </c>
      <c r="AB5469" s="1"/>
      <c r="AC5469" s="1" t="s">
        <v>36</v>
      </c>
      <c r="AD5469" s="1" t="s">
        <v>18509</v>
      </c>
      <c r="AE5469" s="1" t="s">
        <v>32</v>
      </c>
      <c r="AF5469" s="1" t="s">
        <v>33</v>
      </c>
      <c r="AG5469" s="1" t="s">
        <v>270</v>
      </c>
    </row>
    <row r="5470" spans="1:33">
      <c r="A5470" t="s">
        <v>18510</v>
      </c>
      <c r="B5470" t="s">
        <v>18511</v>
      </c>
      <c r="C5470" t="s">
        <v>68</v>
      </c>
      <c r="E5470" t="s">
        <v>18429</v>
      </c>
      <c r="F5470" t="s">
        <v>18430</v>
      </c>
      <c r="G5470">
        <v>83.825</v>
      </c>
      <c r="H5470">
        <v>83.825</v>
      </c>
      <c r="I5470" t="s">
        <v>59</v>
      </c>
      <c r="J5470" t="s">
        <v>60</v>
      </c>
      <c r="K5470" t="s">
        <v>31</v>
      </c>
      <c r="L5470" t="s">
        <v>32</v>
      </c>
      <c r="M5470" t="s">
        <v>33</v>
      </c>
      <c r="P5470" s="1" t="s">
        <v>18512</v>
      </c>
      <c r="Q5470" s="1" t="s">
        <v>18429</v>
      </c>
      <c r="R5470" s="1" t="s">
        <v>18429</v>
      </c>
      <c r="S5470" s="1"/>
      <c r="T5470" s="1" t="s">
        <v>68</v>
      </c>
      <c r="U5470" s="1"/>
      <c r="V5470" s="1">
        <v>83.825</v>
      </c>
      <c r="W5470" s="1">
        <v>83.825</v>
      </c>
      <c r="X5470" s="1" t="s">
        <v>35</v>
      </c>
      <c r="Y5470" s="1">
        <v>83825</v>
      </c>
      <c r="Z5470" s="1"/>
      <c r="AA5470" s="1">
        <v>83825</v>
      </c>
      <c r="AB5470" s="1"/>
      <c r="AC5470" s="1" t="s">
        <v>36</v>
      </c>
      <c r="AD5470" s="1" t="s">
        <v>18513</v>
      </c>
      <c r="AE5470" s="1" t="s">
        <v>32</v>
      </c>
      <c r="AF5470" s="1" t="s">
        <v>33</v>
      </c>
      <c r="AG5470" s="1" t="s">
        <v>60</v>
      </c>
    </row>
    <row r="5471" spans="1:33">
      <c r="A5471" t="s">
        <v>18514</v>
      </c>
      <c r="B5471" t="s">
        <v>18515</v>
      </c>
      <c r="C5471" t="s">
        <v>314</v>
      </c>
      <c r="E5471" t="s">
        <v>18429</v>
      </c>
      <c r="F5471" t="s">
        <v>18430</v>
      </c>
      <c r="G5471">
        <v>40.99</v>
      </c>
      <c r="H5471">
        <v>40.99</v>
      </c>
      <c r="I5471" t="s">
        <v>179</v>
      </c>
      <c r="J5471" t="s">
        <v>180</v>
      </c>
      <c r="K5471" t="s">
        <v>31</v>
      </c>
      <c r="L5471" t="s">
        <v>32</v>
      </c>
      <c r="M5471" t="s">
        <v>33</v>
      </c>
      <c r="P5471" s="1" t="s">
        <v>18516</v>
      </c>
      <c r="Q5471" s="1" t="s">
        <v>18429</v>
      </c>
      <c r="R5471" s="1" t="s">
        <v>18429</v>
      </c>
      <c r="S5471" s="1"/>
      <c r="T5471" s="1" t="s">
        <v>314</v>
      </c>
      <c r="U5471" s="1"/>
      <c r="V5471" s="1">
        <v>40.99</v>
      </c>
      <c r="W5471" s="1">
        <v>40.99</v>
      </c>
      <c r="X5471" s="1" t="s">
        <v>35</v>
      </c>
      <c r="Y5471" s="1">
        <v>40990</v>
      </c>
      <c r="Z5471" s="1"/>
      <c r="AA5471" s="1">
        <v>40990</v>
      </c>
      <c r="AB5471" s="1"/>
      <c r="AC5471" s="1" t="s">
        <v>36</v>
      </c>
      <c r="AD5471" s="1" t="s">
        <v>18501</v>
      </c>
      <c r="AE5471" s="1" t="s">
        <v>32</v>
      </c>
      <c r="AF5471" s="1" t="s">
        <v>33</v>
      </c>
      <c r="AG5471" s="1" t="s">
        <v>180</v>
      </c>
    </row>
    <row r="5472" spans="1:33">
      <c r="A5472" t="s">
        <v>18517</v>
      </c>
      <c r="B5472" t="s">
        <v>18518</v>
      </c>
      <c r="C5472" t="s">
        <v>125</v>
      </c>
      <c r="E5472" t="s">
        <v>18429</v>
      </c>
      <c r="F5472" t="s">
        <v>18430</v>
      </c>
      <c r="G5472">
        <v>66.47</v>
      </c>
      <c r="H5472">
        <v>66.47</v>
      </c>
      <c r="I5472" t="s">
        <v>126</v>
      </c>
      <c r="J5472" t="s">
        <v>127</v>
      </c>
      <c r="K5472" t="s">
        <v>31</v>
      </c>
      <c r="L5472" t="s">
        <v>32</v>
      </c>
      <c r="M5472" t="s">
        <v>33</v>
      </c>
      <c r="P5472" s="1" t="s">
        <v>18519</v>
      </c>
      <c r="Q5472" s="1" t="s">
        <v>18429</v>
      </c>
      <c r="R5472" s="1" t="s">
        <v>18429</v>
      </c>
      <c r="S5472" s="1"/>
      <c r="T5472" s="1" t="s">
        <v>125</v>
      </c>
      <c r="U5472" s="1"/>
      <c r="V5472" s="1">
        <v>66.47</v>
      </c>
      <c r="W5472" s="1">
        <v>66.47</v>
      </c>
      <c r="X5472" s="1" t="s">
        <v>35</v>
      </c>
      <c r="Y5472" s="1">
        <v>66470</v>
      </c>
      <c r="Z5472" s="1"/>
      <c r="AA5472" s="1">
        <v>66470</v>
      </c>
      <c r="AB5472" s="1"/>
      <c r="AC5472" s="1" t="s">
        <v>36</v>
      </c>
      <c r="AD5472" s="1" t="s">
        <v>18520</v>
      </c>
      <c r="AE5472" s="1" t="s">
        <v>32</v>
      </c>
      <c r="AF5472" s="1" t="s">
        <v>33</v>
      </c>
      <c r="AG5472" s="1" t="s">
        <v>127</v>
      </c>
    </row>
    <row r="5473" spans="1:33">
      <c r="A5473" t="s">
        <v>18521</v>
      </c>
      <c r="C5473" t="s">
        <v>17415</v>
      </c>
      <c r="D5473" t="s">
        <v>154</v>
      </c>
      <c r="E5473" t="s">
        <v>18429</v>
      </c>
      <c r="F5473" t="s">
        <v>18430</v>
      </c>
      <c r="G5473">
        <v>989.0</v>
      </c>
      <c r="H5473">
        <v>989.0</v>
      </c>
      <c r="I5473" t="s">
        <v>40</v>
      </c>
      <c r="J5473" t="s">
        <v>41</v>
      </c>
      <c r="K5473" t="s">
        <v>31</v>
      </c>
      <c r="L5473" t="s">
        <v>32</v>
      </c>
      <c r="M5473" t="s">
        <v>33</v>
      </c>
      <c r="P5473" s="1" t="s">
        <v>18522</v>
      </c>
      <c r="Q5473" s="1" t="s">
        <v>18429</v>
      </c>
      <c r="R5473" s="1" t="s">
        <v>18474</v>
      </c>
      <c r="S5473" s="1"/>
      <c r="T5473" s="1" t="s">
        <v>17415</v>
      </c>
      <c r="U5473" s="1"/>
      <c r="V5473" s="1">
        <v>989.0</v>
      </c>
      <c r="W5473" s="1">
        <v>989.0</v>
      </c>
      <c r="X5473" s="1" t="s">
        <v>35</v>
      </c>
      <c r="Y5473" s="1">
        <v>989000</v>
      </c>
      <c r="Z5473" s="1"/>
      <c r="AA5473" s="1">
        <v>989000</v>
      </c>
      <c r="AB5473" s="1"/>
      <c r="AC5473" s="1" t="s">
        <v>36</v>
      </c>
      <c r="AD5473" s="1" t="s">
        <v>18523</v>
      </c>
      <c r="AE5473" s="1" t="s">
        <v>32</v>
      </c>
      <c r="AF5473" s="1" t="s">
        <v>33</v>
      </c>
      <c r="AG5473" s="1" t="s">
        <v>41</v>
      </c>
    </row>
    <row r="5474" spans="1:33">
      <c r="A5474" t="s">
        <v>18524</v>
      </c>
      <c r="C5474" t="s">
        <v>1940</v>
      </c>
      <c r="E5474" t="s">
        <v>18429</v>
      </c>
      <c r="F5474" t="s">
        <v>18430</v>
      </c>
      <c r="G5474">
        <v>492.0</v>
      </c>
      <c r="H5474">
        <v>492.0</v>
      </c>
      <c r="I5474" t="s">
        <v>269</v>
      </c>
      <c r="J5474" t="s">
        <v>270</v>
      </c>
      <c r="K5474" t="s">
        <v>31</v>
      </c>
      <c r="L5474" t="s">
        <v>32</v>
      </c>
      <c r="M5474" t="s">
        <v>33</v>
      </c>
      <c r="P5474" s="1" t="s">
        <v>18525</v>
      </c>
      <c r="Q5474" s="1" t="s">
        <v>18429</v>
      </c>
      <c r="R5474" s="1" t="s">
        <v>18429</v>
      </c>
      <c r="S5474" s="1"/>
      <c r="T5474" s="1" t="s">
        <v>1940</v>
      </c>
      <c r="U5474" s="1"/>
      <c r="V5474" s="1">
        <v>492.0</v>
      </c>
      <c r="W5474" s="1">
        <v>492.0</v>
      </c>
      <c r="X5474" s="1" t="s">
        <v>35</v>
      </c>
      <c r="Y5474" s="1">
        <v>492000</v>
      </c>
      <c r="Z5474" s="1"/>
      <c r="AA5474" s="1">
        <v>492000</v>
      </c>
      <c r="AB5474" s="1"/>
      <c r="AC5474" s="1" t="s">
        <v>36</v>
      </c>
      <c r="AD5474" s="1" t="s">
        <v>18526</v>
      </c>
      <c r="AE5474" s="1" t="s">
        <v>32</v>
      </c>
      <c r="AF5474" s="1" t="s">
        <v>33</v>
      </c>
      <c r="AG5474" s="1" t="s">
        <v>270</v>
      </c>
    </row>
    <row r="5475" spans="1:33">
      <c r="A5475" t="s">
        <v>18527</v>
      </c>
      <c r="B5475" t="s">
        <v>18528</v>
      </c>
      <c r="C5475" t="s">
        <v>314</v>
      </c>
      <c r="E5475" t="s">
        <v>18429</v>
      </c>
      <c r="F5475" t="s">
        <v>18430</v>
      </c>
      <c r="G5475">
        <v>89.51</v>
      </c>
      <c r="H5475">
        <v>89.51</v>
      </c>
      <c r="I5475" t="s">
        <v>179</v>
      </c>
      <c r="J5475" t="s">
        <v>180</v>
      </c>
      <c r="K5475" t="s">
        <v>31</v>
      </c>
      <c r="L5475" t="s">
        <v>32</v>
      </c>
      <c r="M5475" t="s">
        <v>33</v>
      </c>
      <c r="P5475" s="1" t="s">
        <v>18529</v>
      </c>
      <c r="Q5475" s="1" t="s">
        <v>18429</v>
      </c>
      <c r="R5475" s="1" t="s">
        <v>18429</v>
      </c>
      <c r="S5475" s="1"/>
      <c r="T5475" s="1" t="s">
        <v>314</v>
      </c>
      <c r="U5475" s="1"/>
      <c r="V5475" s="1">
        <v>89.51</v>
      </c>
      <c r="W5475" s="1">
        <v>89.51</v>
      </c>
      <c r="X5475" s="1" t="s">
        <v>35</v>
      </c>
      <c r="Y5475" s="1">
        <v>89510</v>
      </c>
      <c r="Z5475" s="1"/>
      <c r="AA5475" s="1">
        <v>89510</v>
      </c>
      <c r="AB5475" s="1"/>
      <c r="AC5475" s="1" t="s">
        <v>36</v>
      </c>
      <c r="AD5475" s="1" t="s">
        <v>18513</v>
      </c>
      <c r="AE5475" s="1" t="s">
        <v>32</v>
      </c>
      <c r="AF5475" s="1" t="s">
        <v>33</v>
      </c>
      <c r="AG5475" s="1" t="s">
        <v>180</v>
      </c>
    </row>
    <row r="5476" spans="1:33">
      <c r="A5476" t="s">
        <v>18530</v>
      </c>
      <c r="B5476" t="s">
        <v>9999</v>
      </c>
      <c r="C5476" t="s">
        <v>314</v>
      </c>
      <c r="E5476" t="s">
        <v>18429</v>
      </c>
      <c r="F5476" t="s">
        <v>18430</v>
      </c>
      <c r="G5476">
        <v>3.0</v>
      </c>
      <c r="H5476">
        <v>3.0</v>
      </c>
      <c r="I5476" t="s">
        <v>179</v>
      </c>
      <c r="J5476" t="s">
        <v>180</v>
      </c>
      <c r="K5476" t="s">
        <v>31</v>
      </c>
      <c r="L5476" t="s">
        <v>32</v>
      </c>
      <c r="M5476" t="s">
        <v>33</v>
      </c>
      <c r="P5476" s="1" t="s">
        <v>18531</v>
      </c>
      <c r="Q5476" s="1" t="s">
        <v>18429</v>
      </c>
      <c r="R5476" s="1" t="s">
        <v>18429</v>
      </c>
      <c r="S5476" s="1"/>
      <c r="T5476" s="1" t="s">
        <v>314</v>
      </c>
      <c r="U5476" s="1"/>
      <c r="V5476" s="1">
        <v>3.0</v>
      </c>
      <c r="W5476" s="1">
        <v>3.0</v>
      </c>
      <c r="X5476" s="1" t="s">
        <v>35</v>
      </c>
      <c r="Y5476" s="1">
        <v>3000</v>
      </c>
      <c r="Z5476" s="1"/>
      <c r="AA5476" s="1">
        <v>3000</v>
      </c>
      <c r="AB5476" s="1"/>
      <c r="AC5476" s="1" t="s">
        <v>36</v>
      </c>
      <c r="AD5476" s="1" t="s">
        <v>18532</v>
      </c>
      <c r="AE5476" s="1" t="s">
        <v>32</v>
      </c>
      <c r="AF5476" s="1" t="s">
        <v>33</v>
      </c>
      <c r="AG5476" s="1" t="s">
        <v>180</v>
      </c>
    </row>
    <row r="5477" spans="1:33">
      <c r="A5477" t="s">
        <v>18533</v>
      </c>
      <c r="B5477" t="s">
        <v>18534</v>
      </c>
      <c r="C5477" t="s">
        <v>47</v>
      </c>
      <c r="E5477" t="s">
        <v>18429</v>
      </c>
      <c r="F5477" t="s">
        <v>18430</v>
      </c>
      <c r="G5477">
        <v>21.99</v>
      </c>
      <c r="H5477">
        <v>21.99</v>
      </c>
      <c r="I5477" t="s">
        <v>2206</v>
      </c>
      <c r="J5477" t="s">
        <v>49</v>
      </c>
      <c r="K5477" t="s">
        <v>31</v>
      </c>
      <c r="L5477" t="s">
        <v>32</v>
      </c>
      <c r="M5477" t="s">
        <v>33</v>
      </c>
      <c r="P5477" s="1" t="s">
        <v>18535</v>
      </c>
      <c r="Q5477" s="1" t="s">
        <v>18429</v>
      </c>
      <c r="R5477" s="1" t="s">
        <v>18429</v>
      </c>
      <c r="S5477" s="1"/>
      <c r="T5477" s="1" t="s">
        <v>47</v>
      </c>
      <c r="U5477" s="1"/>
      <c r="V5477" s="1">
        <v>21.99</v>
      </c>
      <c r="W5477" s="1">
        <v>21.99</v>
      </c>
      <c r="X5477" s="1" t="s">
        <v>35</v>
      </c>
      <c r="Y5477" s="1">
        <v>21990</v>
      </c>
      <c r="Z5477" s="1"/>
      <c r="AA5477" s="1">
        <v>21990</v>
      </c>
      <c r="AB5477" s="1"/>
      <c r="AC5477" s="1" t="s">
        <v>36</v>
      </c>
      <c r="AD5477" s="1" t="s">
        <v>18536</v>
      </c>
      <c r="AE5477" s="1" t="s">
        <v>32</v>
      </c>
      <c r="AF5477" s="1" t="s">
        <v>33</v>
      </c>
      <c r="AG5477" s="1" t="s">
        <v>49</v>
      </c>
    </row>
    <row r="5478" spans="1:33">
      <c r="A5478" t="s">
        <v>18537</v>
      </c>
      <c r="B5478" t="s">
        <v>18538</v>
      </c>
      <c r="C5478" t="s">
        <v>172</v>
      </c>
      <c r="E5478" t="s">
        <v>18429</v>
      </c>
      <c r="F5478" t="s">
        <v>18430</v>
      </c>
      <c r="G5478">
        <v>48.0</v>
      </c>
      <c r="H5478">
        <v>48.0</v>
      </c>
      <c r="I5478" t="s">
        <v>173</v>
      </c>
      <c r="J5478" t="s">
        <v>174</v>
      </c>
      <c r="K5478" t="s">
        <v>31</v>
      </c>
      <c r="L5478" t="s">
        <v>32</v>
      </c>
      <c r="M5478" t="s">
        <v>33</v>
      </c>
      <c r="P5478" s="1" t="s">
        <v>18539</v>
      </c>
      <c r="Q5478" s="1" t="s">
        <v>18429</v>
      </c>
      <c r="R5478" s="1" t="s">
        <v>18429</v>
      </c>
      <c r="S5478" s="1"/>
      <c r="T5478" s="1" t="s">
        <v>172</v>
      </c>
      <c r="U5478" s="1"/>
      <c r="V5478" s="1">
        <v>48.0</v>
      </c>
      <c r="W5478" s="1">
        <v>48.0</v>
      </c>
      <c r="X5478" s="1" t="s">
        <v>35</v>
      </c>
      <c r="Y5478" s="1">
        <v>48000</v>
      </c>
      <c r="Z5478" s="1"/>
      <c r="AA5478" s="1">
        <v>48000</v>
      </c>
      <c r="AB5478" s="1"/>
      <c r="AC5478" s="1" t="s">
        <v>36</v>
      </c>
      <c r="AD5478" s="1" t="s">
        <v>18540</v>
      </c>
      <c r="AE5478" s="1" t="s">
        <v>32</v>
      </c>
      <c r="AF5478" s="1" t="s">
        <v>33</v>
      </c>
      <c r="AG5478" s="1" t="s">
        <v>174</v>
      </c>
    </row>
    <row r="5479" spans="1:33">
      <c r="A5479" t="s">
        <v>18541</v>
      </c>
      <c r="B5479" t="s">
        <v>18387</v>
      </c>
      <c r="C5479" t="s">
        <v>569</v>
      </c>
      <c r="E5479" t="s">
        <v>18429</v>
      </c>
      <c r="F5479" t="s">
        <v>18430</v>
      </c>
      <c r="G5479">
        <v>26.49</v>
      </c>
      <c r="H5479">
        <v>26.49</v>
      </c>
      <c r="I5479" t="s">
        <v>570</v>
      </c>
      <c r="J5479" t="s">
        <v>571</v>
      </c>
      <c r="K5479" t="s">
        <v>31</v>
      </c>
      <c r="L5479" t="s">
        <v>32</v>
      </c>
      <c r="M5479" t="s">
        <v>33</v>
      </c>
      <c r="P5479" s="1" t="s">
        <v>18542</v>
      </c>
      <c r="Q5479" s="1" t="s">
        <v>18429</v>
      </c>
      <c r="R5479" s="1" t="s">
        <v>18429</v>
      </c>
      <c r="S5479" s="1"/>
      <c r="T5479" s="1" t="s">
        <v>569</v>
      </c>
      <c r="U5479" s="1"/>
      <c r="V5479" s="1">
        <v>26.49</v>
      </c>
      <c r="W5479" s="1">
        <v>26.49</v>
      </c>
      <c r="X5479" s="1" t="s">
        <v>35</v>
      </c>
      <c r="Y5479" s="1">
        <v>26490</v>
      </c>
      <c r="Z5479" s="1"/>
      <c r="AA5479" s="1">
        <v>26490</v>
      </c>
      <c r="AB5479" s="1"/>
      <c r="AC5479" s="1" t="s">
        <v>36</v>
      </c>
      <c r="AD5479" s="1" t="s">
        <v>18543</v>
      </c>
      <c r="AE5479" s="1" t="s">
        <v>32</v>
      </c>
      <c r="AF5479" s="1" t="s">
        <v>33</v>
      </c>
      <c r="AG5479" s="1" t="s">
        <v>571</v>
      </c>
    </row>
    <row r="5480" spans="1:33">
      <c r="A5480" t="s">
        <v>18544</v>
      </c>
      <c r="C5480" t="s">
        <v>18545</v>
      </c>
      <c r="D5480" t="s">
        <v>114</v>
      </c>
      <c r="E5480" t="s">
        <v>18429</v>
      </c>
      <c r="F5480" t="s">
        <v>18430</v>
      </c>
      <c r="G5480">
        <v>326.0</v>
      </c>
      <c r="H5480">
        <v>326.0</v>
      </c>
      <c r="I5480" t="s">
        <v>847</v>
      </c>
      <c r="J5480" t="s">
        <v>848</v>
      </c>
      <c r="K5480" t="s">
        <v>31</v>
      </c>
      <c r="L5480" t="s">
        <v>32</v>
      </c>
      <c r="M5480" t="s">
        <v>33</v>
      </c>
      <c r="P5480" s="1" t="s">
        <v>18546</v>
      </c>
      <c r="Q5480" s="1" t="s">
        <v>18429</v>
      </c>
      <c r="R5480" s="1" t="s">
        <v>18429</v>
      </c>
      <c r="S5480" s="1"/>
      <c r="T5480" s="1" t="s">
        <v>18547</v>
      </c>
      <c r="U5480" s="1" t="s">
        <v>18548</v>
      </c>
      <c r="V5480" s="1">
        <v>326.0</v>
      </c>
      <c r="W5480" s="1">
        <v>326.0</v>
      </c>
      <c r="X5480" s="1" t="s">
        <v>35</v>
      </c>
      <c r="Y5480" s="1">
        <v>326000</v>
      </c>
      <c r="Z5480" s="1"/>
      <c r="AA5480" s="1">
        <v>326000</v>
      </c>
      <c r="AB5480" s="1"/>
      <c r="AC5480" s="1" t="s">
        <v>36</v>
      </c>
      <c r="AD5480" s="1" t="s">
        <v>18475</v>
      </c>
      <c r="AE5480" s="1" t="s">
        <v>32</v>
      </c>
      <c r="AF5480" s="1" t="s">
        <v>33</v>
      </c>
      <c r="AG5480" s="1" t="s">
        <v>848</v>
      </c>
    </row>
    <row r="5481" spans="1:33">
      <c r="A5481" t="s">
        <v>18549</v>
      </c>
      <c r="C5481" t="s">
        <v>73</v>
      </c>
      <c r="E5481" t="s">
        <v>18429</v>
      </c>
      <c r="F5481" t="s">
        <v>18430</v>
      </c>
      <c r="G5481">
        <v>18.055</v>
      </c>
      <c r="H5481">
        <v>18.055</v>
      </c>
      <c r="I5481" t="s">
        <v>40</v>
      </c>
      <c r="J5481" t="s">
        <v>41</v>
      </c>
      <c r="K5481" t="s">
        <v>31</v>
      </c>
      <c r="L5481" t="s">
        <v>32</v>
      </c>
      <c r="M5481" t="s">
        <v>33</v>
      </c>
      <c r="P5481" s="1" t="s">
        <v>18550</v>
      </c>
      <c r="Q5481" s="1" t="s">
        <v>18429</v>
      </c>
      <c r="R5481" s="1" t="s">
        <v>18474</v>
      </c>
      <c r="S5481" s="1"/>
      <c r="T5481" s="1" t="s">
        <v>75</v>
      </c>
      <c r="U5481" s="1" t="s">
        <v>76</v>
      </c>
      <c r="V5481" s="1">
        <v>18.055</v>
      </c>
      <c r="W5481" s="1">
        <v>18.055</v>
      </c>
      <c r="X5481" s="1" t="s">
        <v>35</v>
      </c>
      <c r="Y5481" s="1">
        <v>18055</v>
      </c>
      <c r="Z5481" s="1"/>
      <c r="AA5481" s="1">
        <v>18055</v>
      </c>
      <c r="AB5481" s="1"/>
      <c r="AC5481" s="1" t="s">
        <v>36</v>
      </c>
      <c r="AD5481" s="1" t="s">
        <v>18551</v>
      </c>
      <c r="AE5481" s="1" t="s">
        <v>32</v>
      </c>
      <c r="AF5481" s="1" t="s">
        <v>33</v>
      </c>
      <c r="AG5481" s="1" t="s">
        <v>41</v>
      </c>
    </row>
    <row r="5482" spans="1:33">
      <c r="A5482" t="s">
        <v>18552</v>
      </c>
      <c r="C5482" t="s">
        <v>11124</v>
      </c>
      <c r="E5482" t="s">
        <v>18429</v>
      </c>
      <c r="F5482" t="s">
        <v>18430</v>
      </c>
      <c r="G5482">
        <v>352.0</v>
      </c>
      <c r="H5482">
        <v>352.0</v>
      </c>
      <c r="I5482" t="s">
        <v>179</v>
      </c>
      <c r="J5482" t="s">
        <v>180</v>
      </c>
      <c r="K5482" t="s">
        <v>31</v>
      </c>
      <c r="L5482" t="s">
        <v>32</v>
      </c>
      <c r="M5482" t="s">
        <v>33</v>
      </c>
      <c r="P5482" s="1" t="s">
        <v>18553</v>
      </c>
      <c r="Q5482" s="1" t="s">
        <v>18429</v>
      </c>
      <c r="R5482" s="1" t="s">
        <v>18429</v>
      </c>
      <c r="S5482" s="1"/>
      <c r="T5482" s="1" t="s">
        <v>11124</v>
      </c>
      <c r="U5482" s="1"/>
      <c r="V5482" s="1">
        <v>352.0</v>
      </c>
      <c r="W5482" s="1">
        <v>352.0</v>
      </c>
      <c r="X5482" s="1" t="s">
        <v>35</v>
      </c>
      <c r="Y5482" s="1">
        <v>352000</v>
      </c>
      <c r="Z5482" s="1"/>
      <c r="AA5482" s="1">
        <v>352000</v>
      </c>
      <c r="AB5482" s="1"/>
      <c r="AC5482" s="1" t="s">
        <v>36</v>
      </c>
      <c r="AD5482" s="1" t="s">
        <v>18523</v>
      </c>
      <c r="AE5482" s="1" t="s">
        <v>32</v>
      </c>
      <c r="AF5482" s="1" t="s">
        <v>33</v>
      </c>
      <c r="AG5482" s="1" t="s">
        <v>180</v>
      </c>
    </row>
    <row r="5483" spans="1:33">
      <c r="A5483" t="s">
        <v>18554</v>
      </c>
      <c r="B5483" t="s">
        <v>4987</v>
      </c>
      <c r="C5483" t="s">
        <v>314</v>
      </c>
      <c r="E5483" t="s">
        <v>18429</v>
      </c>
      <c r="F5483" t="s">
        <v>18430</v>
      </c>
      <c r="G5483">
        <v>98.47</v>
      </c>
      <c r="H5483">
        <v>98.47</v>
      </c>
      <c r="I5483" t="s">
        <v>179</v>
      </c>
      <c r="J5483" t="s">
        <v>180</v>
      </c>
      <c r="K5483" t="s">
        <v>31</v>
      </c>
      <c r="L5483" t="s">
        <v>32</v>
      </c>
      <c r="M5483" t="s">
        <v>33</v>
      </c>
      <c r="P5483" s="1" t="s">
        <v>18555</v>
      </c>
      <c r="Q5483" s="1" t="s">
        <v>18429</v>
      </c>
      <c r="R5483" s="1" t="s">
        <v>18429</v>
      </c>
      <c r="S5483" s="1"/>
      <c r="T5483" s="1" t="s">
        <v>314</v>
      </c>
      <c r="U5483" s="1"/>
      <c r="V5483" s="1">
        <v>98.47</v>
      </c>
      <c r="W5483" s="1">
        <v>98.47</v>
      </c>
      <c r="X5483" s="1" t="s">
        <v>35</v>
      </c>
      <c r="Y5483" s="1">
        <v>98470</v>
      </c>
      <c r="Z5483" s="1"/>
      <c r="AA5483" s="1">
        <v>98470</v>
      </c>
      <c r="AB5483" s="1"/>
      <c r="AC5483" s="1" t="s">
        <v>36</v>
      </c>
      <c r="AD5483" s="1" t="s">
        <v>18556</v>
      </c>
      <c r="AE5483" s="1" t="s">
        <v>32</v>
      </c>
      <c r="AF5483" s="1" t="s">
        <v>33</v>
      </c>
      <c r="AG5483" s="1" t="s">
        <v>180</v>
      </c>
    </row>
    <row r="5484" spans="1:33">
      <c r="A5484" t="s">
        <v>18557</v>
      </c>
      <c r="B5484" t="s">
        <v>18558</v>
      </c>
      <c r="C5484" t="s">
        <v>68</v>
      </c>
      <c r="E5484" t="s">
        <v>18429</v>
      </c>
      <c r="F5484" t="s">
        <v>18430</v>
      </c>
      <c r="G5484">
        <v>25.595</v>
      </c>
      <c r="H5484">
        <v>25.595</v>
      </c>
      <c r="I5484" t="s">
        <v>59</v>
      </c>
      <c r="J5484" t="s">
        <v>60</v>
      </c>
      <c r="K5484" t="s">
        <v>31</v>
      </c>
      <c r="L5484" t="s">
        <v>32</v>
      </c>
      <c r="M5484" t="s">
        <v>33</v>
      </c>
      <c r="P5484" s="1" t="s">
        <v>18559</v>
      </c>
      <c r="Q5484" s="1" t="s">
        <v>18429</v>
      </c>
      <c r="R5484" s="1" t="s">
        <v>18429</v>
      </c>
      <c r="S5484" s="1"/>
      <c r="T5484" s="1" t="s">
        <v>68</v>
      </c>
      <c r="U5484" s="1"/>
      <c r="V5484" s="1">
        <v>25.595</v>
      </c>
      <c r="W5484" s="1">
        <v>25.595</v>
      </c>
      <c r="X5484" s="1" t="s">
        <v>35</v>
      </c>
      <c r="Y5484" s="1">
        <v>25595</v>
      </c>
      <c r="Z5484" s="1"/>
      <c r="AA5484" s="1">
        <v>25595</v>
      </c>
      <c r="AB5484" s="1"/>
      <c r="AC5484" s="1" t="s">
        <v>36</v>
      </c>
      <c r="AD5484" s="1" t="s">
        <v>18560</v>
      </c>
      <c r="AE5484" s="1" t="s">
        <v>32</v>
      </c>
      <c r="AF5484" s="1" t="s">
        <v>33</v>
      </c>
      <c r="AG5484" s="1" t="s">
        <v>60</v>
      </c>
    </row>
    <row r="5485" spans="1:33">
      <c r="A5485" t="s">
        <v>18561</v>
      </c>
      <c r="C5485" t="s">
        <v>18562</v>
      </c>
      <c r="D5485" t="s">
        <v>114</v>
      </c>
      <c r="E5485" t="s">
        <v>18429</v>
      </c>
      <c r="F5485" t="s">
        <v>8190</v>
      </c>
      <c r="G5485">
        <v>16.4</v>
      </c>
      <c r="H5485">
        <v>16.4</v>
      </c>
      <c r="I5485" t="s">
        <v>269</v>
      </c>
      <c r="J5485" t="s">
        <v>270</v>
      </c>
      <c r="K5485" t="s">
        <v>31</v>
      </c>
      <c r="L5485" t="s">
        <v>32</v>
      </c>
      <c r="M5485" t="s">
        <v>33</v>
      </c>
      <c r="P5485" s="1" t="s">
        <v>18563</v>
      </c>
      <c r="Q5485" s="1" t="s">
        <v>18429</v>
      </c>
      <c r="R5485" s="1" t="s">
        <v>18429</v>
      </c>
      <c r="S5485" s="1"/>
      <c r="T5485" s="1" t="s">
        <v>18562</v>
      </c>
      <c r="U5485" s="1"/>
      <c r="V5485" s="1">
        <v>16.4</v>
      </c>
      <c r="W5485" s="1">
        <v>16.4</v>
      </c>
      <c r="X5485" s="1" t="s">
        <v>35</v>
      </c>
      <c r="Y5485" s="1">
        <v>16400000</v>
      </c>
      <c r="Z5485" s="1"/>
      <c r="AA5485" s="1">
        <v>16400000</v>
      </c>
      <c r="AB5485" s="1"/>
      <c r="AC5485" s="1" t="s">
        <v>36</v>
      </c>
      <c r="AD5485" s="1" t="s">
        <v>18564</v>
      </c>
      <c r="AE5485" s="1" t="s">
        <v>32</v>
      </c>
      <c r="AF5485" s="1" t="s">
        <v>33</v>
      </c>
      <c r="AG5485" s="1" t="s">
        <v>270</v>
      </c>
    </row>
    <row r="5486" spans="1:33">
      <c r="A5486" t="s">
        <v>18565</v>
      </c>
      <c r="B5486" t="s">
        <v>18566</v>
      </c>
      <c r="C5486" t="s">
        <v>314</v>
      </c>
      <c r="E5486" t="s">
        <v>18429</v>
      </c>
      <c r="F5486" t="s">
        <v>18430</v>
      </c>
      <c r="G5486">
        <v>28.99</v>
      </c>
      <c r="H5486">
        <v>28.99</v>
      </c>
      <c r="I5486" t="s">
        <v>179</v>
      </c>
      <c r="J5486" t="s">
        <v>180</v>
      </c>
      <c r="K5486" t="s">
        <v>31</v>
      </c>
      <c r="L5486" t="s">
        <v>32</v>
      </c>
      <c r="M5486" t="s">
        <v>33</v>
      </c>
      <c r="P5486" s="1" t="s">
        <v>18567</v>
      </c>
      <c r="Q5486" s="1" t="s">
        <v>18429</v>
      </c>
      <c r="R5486" s="1" t="s">
        <v>18429</v>
      </c>
      <c r="S5486" s="1"/>
      <c r="T5486" s="1" t="s">
        <v>314</v>
      </c>
      <c r="U5486" s="1"/>
      <c r="V5486" s="1">
        <v>28.99</v>
      </c>
      <c r="W5486" s="1">
        <v>28.99</v>
      </c>
      <c r="X5486" s="1" t="s">
        <v>35</v>
      </c>
      <c r="Y5486" s="1">
        <v>28990</v>
      </c>
      <c r="Z5486" s="1"/>
      <c r="AA5486" s="1">
        <v>28990</v>
      </c>
      <c r="AB5486" s="1"/>
      <c r="AC5486" s="1" t="s">
        <v>36</v>
      </c>
      <c r="AD5486" s="1" t="s">
        <v>18568</v>
      </c>
      <c r="AE5486" s="1" t="s">
        <v>32</v>
      </c>
      <c r="AF5486" s="1" t="s">
        <v>33</v>
      </c>
      <c r="AG5486" s="1" t="s">
        <v>180</v>
      </c>
    </row>
    <row r="5487" spans="1:33">
      <c r="A5487" t="s">
        <v>18569</v>
      </c>
      <c r="B5487" t="s">
        <v>18570</v>
      </c>
      <c r="C5487" t="s">
        <v>172</v>
      </c>
      <c r="E5487" t="s">
        <v>18429</v>
      </c>
      <c r="F5487" t="s">
        <v>18430</v>
      </c>
      <c r="G5487">
        <v>64.98</v>
      </c>
      <c r="H5487">
        <v>64.98</v>
      </c>
      <c r="I5487" t="s">
        <v>173</v>
      </c>
      <c r="J5487" t="s">
        <v>174</v>
      </c>
      <c r="K5487" t="s">
        <v>31</v>
      </c>
      <c r="L5487" t="s">
        <v>32</v>
      </c>
      <c r="M5487" t="s">
        <v>33</v>
      </c>
      <c r="P5487" s="1" t="s">
        <v>18571</v>
      </c>
      <c r="Q5487" s="1" t="s">
        <v>18429</v>
      </c>
      <c r="R5487" s="1" t="s">
        <v>18429</v>
      </c>
      <c r="S5487" s="1"/>
      <c r="T5487" s="1" t="s">
        <v>172</v>
      </c>
      <c r="U5487" s="1"/>
      <c r="V5487" s="1">
        <v>64.98</v>
      </c>
      <c r="W5487" s="1">
        <v>64.98</v>
      </c>
      <c r="X5487" s="1" t="s">
        <v>35</v>
      </c>
      <c r="Y5487" s="1">
        <v>64980</v>
      </c>
      <c r="Z5487" s="1"/>
      <c r="AA5487" s="1">
        <v>64980</v>
      </c>
      <c r="AB5487" s="1"/>
      <c r="AC5487" s="1" t="s">
        <v>36</v>
      </c>
      <c r="AD5487" s="1" t="s">
        <v>18572</v>
      </c>
      <c r="AE5487" s="1" t="s">
        <v>32</v>
      </c>
      <c r="AF5487" s="1" t="s">
        <v>33</v>
      </c>
      <c r="AG5487" s="1" t="s">
        <v>174</v>
      </c>
    </row>
    <row r="5488" spans="1:33">
      <c r="A5488" t="s">
        <v>18573</v>
      </c>
      <c r="C5488" t="s">
        <v>1004</v>
      </c>
      <c r="D5488" t="s">
        <v>114</v>
      </c>
      <c r="E5488" t="s">
        <v>18429</v>
      </c>
      <c r="F5488" t="s">
        <v>18430</v>
      </c>
      <c r="G5488">
        <v>326.0</v>
      </c>
      <c r="H5488">
        <v>326.0</v>
      </c>
      <c r="I5488" t="s">
        <v>847</v>
      </c>
      <c r="J5488" t="s">
        <v>848</v>
      </c>
      <c r="K5488" t="s">
        <v>31</v>
      </c>
      <c r="L5488" t="s">
        <v>32</v>
      </c>
      <c r="M5488" t="s">
        <v>33</v>
      </c>
      <c r="P5488" s="1" t="s">
        <v>18574</v>
      </c>
      <c r="Q5488" s="1" t="s">
        <v>18429</v>
      </c>
      <c r="R5488" s="1" t="s">
        <v>18429</v>
      </c>
      <c r="S5488" s="1"/>
      <c r="T5488" s="1" t="s">
        <v>1006</v>
      </c>
      <c r="U5488" s="1" t="s">
        <v>1007</v>
      </c>
      <c r="V5488" s="1">
        <v>326.0</v>
      </c>
      <c r="W5488" s="1">
        <v>326.0</v>
      </c>
      <c r="X5488" s="1" t="s">
        <v>35</v>
      </c>
      <c r="Y5488" s="1">
        <v>326000</v>
      </c>
      <c r="Z5488" s="1"/>
      <c r="AA5488" s="1">
        <v>326000</v>
      </c>
      <c r="AB5488" s="1"/>
      <c r="AC5488" s="1" t="s">
        <v>36</v>
      </c>
      <c r="AD5488" s="1" t="s">
        <v>18575</v>
      </c>
      <c r="AE5488" s="1" t="s">
        <v>32</v>
      </c>
      <c r="AF5488" s="1" t="s">
        <v>33</v>
      </c>
      <c r="AG5488" s="1" t="s">
        <v>848</v>
      </c>
    </row>
    <row r="5489" spans="1:33">
      <c r="A5489" t="s">
        <v>18576</v>
      </c>
      <c r="B5489" t="s">
        <v>18577</v>
      </c>
      <c r="C5489" t="s">
        <v>47</v>
      </c>
      <c r="E5489" t="s">
        <v>18429</v>
      </c>
      <c r="F5489" t="s">
        <v>18430</v>
      </c>
      <c r="G5489">
        <v>28.49</v>
      </c>
      <c r="H5489">
        <v>28.49</v>
      </c>
      <c r="I5489" t="s">
        <v>2206</v>
      </c>
      <c r="J5489" t="s">
        <v>49</v>
      </c>
      <c r="K5489" t="s">
        <v>31</v>
      </c>
      <c r="L5489" t="s">
        <v>32</v>
      </c>
      <c r="M5489" t="s">
        <v>33</v>
      </c>
      <c r="P5489" s="1" t="s">
        <v>18578</v>
      </c>
      <c r="Q5489" s="1" t="s">
        <v>18429</v>
      </c>
      <c r="R5489" s="1" t="s">
        <v>18429</v>
      </c>
      <c r="S5489" s="1"/>
      <c r="T5489" s="1" t="s">
        <v>47</v>
      </c>
      <c r="U5489" s="1"/>
      <c r="V5489" s="1">
        <v>28.49</v>
      </c>
      <c r="W5489" s="1">
        <v>28.49</v>
      </c>
      <c r="X5489" s="1" t="s">
        <v>35</v>
      </c>
      <c r="Y5489" s="1">
        <v>28490</v>
      </c>
      <c r="Z5489" s="1"/>
      <c r="AA5489" s="1">
        <v>28490</v>
      </c>
      <c r="AB5489" s="1"/>
      <c r="AC5489" s="1" t="s">
        <v>36</v>
      </c>
      <c r="AD5489" s="1" t="s">
        <v>18575</v>
      </c>
      <c r="AE5489" s="1" t="s">
        <v>32</v>
      </c>
      <c r="AF5489" s="1" t="s">
        <v>33</v>
      </c>
      <c r="AG5489" s="1" t="s">
        <v>49</v>
      </c>
    </row>
    <row r="5490" spans="1:33">
      <c r="A5490" t="s">
        <v>18579</v>
      </c>
      <c r="B5490" t="s">
        <v>12748</v>
      </c>
      <c r="C5490" t="s">
        <v>68</v>
      </c>
      <c r="E5490" t="s">
        <v>18429</v>
      </c>
      <c r="F5490" t="s">
        <v>18430</v>
      </c>
      <c r="G5490">
        <v>35.26</v>
      </c>
      <c r="H5490">
        <v>35.26</v>
      </c>
      <c r="I5490" t="s">
        <v>59</v>
      </c>
      <c r="J5490" t="s">
        <v>60</v>
      </c>
      <c r="K5490" t="s">
        <v>31</v>
      </c>
      <c r="L5490" t="s">
        <v>32</v>
      </c>
      <c r="M5490" t="s">
        <v>33</v>
      </c>
      <c r="P5490" s="1" t="s">
        <v>18580</v>
      </c>
      <c r="Q5490" s="1" t="s">
        <v>18429</v>
      </c>
      <c r="R5490" s="1" t="s">
        <v>18429</v>
      </c>
      <c r="S5490" s="1"/>
      <c r="T5490" s="1" t="s">
        <v>68</v>
      </c>
      <c r="U5490" s="1"/>
      <c r="V5490" s="1">
        <v>35.26</v>
      </c>
      <c r="W5490" s="1">
        <v>35.26</v>
      </c>
      <c r="X5490" s="1" t="s">
        <v>35</v>
      </c>
      <c r="Y5490" s="1">
        <v>35260</v>
      </c>
      <c r="Z5490" s="1"/>
      <c r="AA5490" s="1">
        <v>35260</v>
      </c>
      <c r="AB5490" s="1"/>
      <c r="AC5490" s="1" t="s">
        <v>36</v>
      </c>
      <c r="AD5490" s="1" t="s">
        <v>18581</v>
      </c>
      <c r="AE5490" s="1" t="s">
        <v>32</v>
      </c>
      <c r="AF5490" s="1" t="s">
        <v>33</v>
      </c>
      <c r="AG5490" s="1" t="s">
        <v>60</v>
      </c>
    </row>
    <row r="5491" spans="1:33">
      <c r="A5491" t="s">
        <v>18582</v>
      </c>
      <c r="B5491" t="s">
        <v>381</v>
      </c>
      <c r="C5491" t="s">
        <v>382</v>
      </c>
      <c r="E5491" t="s">
        <v>18429</v>
      </c>
      <c r="F5491" t="s">
        <v>18430</v>
      </c>
      <c r="G5491">
        <v>1.686</v>
      </c>
      <c r="H5491">
        <v>1.686</v>
      </c>
      <c r="I5491" t="s">
        <v>40</v>
      </c>
      <c r="J5491" t="s">
        <v>41</v>
      </c>
      <c r="K5491" t="s">
        <v>31</v>
      </c>
      <c r="L5491" t="s">
        <v>32</v>
      </c>
      <c r="M5491" t="s">
        <v>33</v>
      </c>
      <c r="P5491" s="1" t="s">
        <v>18583</v>
      </c>
      <c r="Q5491" s="1" t="s">
        <v>18429</v>
      </c>
      <c r="R5491" s="1" t="s">
        <v>18474</v>
      </c>
      <c r="S5491" s="1"/>
      <c r="T5491" s="1" t="s">
        <v>382</v>
      </c>
      <c r="U5491" s="1"/>
      <c r="V5491" s="1">
        <v>1.686</v>
      </c>
      <c r="W5491" s="1">
        <v>1.686</v>
      </c>
      <c r="X5491" s="1" t="s">
        <v>35</v>
      </c>
      <c r="Y5491" s="1">
        <v>1686000</v>
      </c>
      <c r="Z5491" s="1"/>
      <c r="AA5491" s="1">
        <v>1686000</v>
      </c>
      <c r="AB5491" s="1"/>
      <c r="AC5491" s="1" t="s">
        <v>36</v>
      </c>
      <c r="AD5491" s="1" t="s">
        <v>18560</v>
      </c>
      <c r="AE5491" s="1" t="s">
        <v>32</v>
      </c>
      <c r="AF5491" s="1" t="s">
        <v>33</v>
      </c>
      <c r="AG5491" s="1" t="s">
        <v>41</v>
      </c>
    </row>
    <row r="5492" spans="1:33">
      <c r="A5492" t="s">
        <v>18584</v>
      </c>
      <c r="C5492" t="s">
        <v>6474</v>
      </c>
      <c r="E5492" t="s">
        <v>18429</v>
      </c>
      <c r="F5492" t="s">
        <v>18430</v>
      </c>
      <c r="G5492">
        <v>326.0</v>
      </c>
      <c r="H5492">
        <v>326.0</v>
      </c>
      <c r="I5492" t="s">
        <v>847</v>
      </c>
      <c r="J5492" t="s">
        <v>848</v>
      </c>
      <c r="K5492" t="s">
        <v>31</v>
      </c>
      <c r="L5492" t="s">
        <v>32</v>
      </c>
      <c r="M5492" t="s">
        <v>33</v>
      </c>
      <c r="P5492" s="1" t="s">
        <v>18585</v>
      </c>
      <c r="Q5492" s="1" t="s">
        <v>18429</v>
      </c>
      <c r="R5492" s="1" t="s">
        <v>18429</v>
      </c>
      <c r="S5492" s="1"/>
      <c r="T5492" s="1" t="s">
        <v>6474</v>
      </c>
      <c r="U5492" s="1"/>
      <c r="V5492" s="1">
        <v>326.0</v>
      </c>
      <c r="W5492" s="1">
        <v>326.0</v>
      </c>
      <c r="X5492" s="1" t="s">
        <v>35</v>
      </c>
      <c r="Y5492" s="1">
        <v>326000</v>
      </c>
      <c r="Z5492" s="1"/>
      <c r="AA5492" s="1">
        <v>326000</v>
      </c>
      <c r="AB5492" s="1"/>
      <c r="AC5492" s="1" t="s">
        <v>36</v>
      </c>
      <c r="AD5492" s="1" t="s">
        <v>18564</v>
      </c>
      <c r="AE5492" s="1" t="s">
        <v>32</v>
      </c>
      <c r="AF5492" s="1" t="s">
        <v>33</v>
      </c>
      <c r="AG5492" s="1" t="s">
        <v>848</v>
      </c>
    </row>
    <row r="5493" spans="1:33">
      <c r="A5493" t="s">
        <v>18586</v>
      </c>
      <c r="C5493" t="s">
        <v>1617</v>
      </c>
      <c r="E5493" t="s">
        <v>18429</v>
      </c>
      <c r="F5493" t="s">
        <v>18430</v>
      </c>
      <c r="G5493">
        <v>489.0</v>
      </c>
      <c r="H5493">
        <v>489.0</v>
      </c>
      <c r="I5493" t="s">
        <v>847</v>
      </c>
      <c r="J5493" t="s">
        <v>848</v>
      </c>
      <c r="K5493" t="s">
        <v>31</v>
      </c>
      <c r="L5493" t="s">
        <v>32</v>
      </c>
      <c r="M5493" t="s">
        <v>33</v>
      </c>
      <c r="P5493" s="1" t="s">
        <v>18587</v>
      </c>
      <c r="Q5493" s="1" t="s">
        <v>18429</v>
      </c>
      <c r="R5493" s="1" t="s">
        <v>18429</v>
      </c>
      <c r="S5493" s="1"/>
      <c r="T5493" s="1" t="s">
        <v>1617</v>
      </c>
      <c r="U5493" s="1"/>
      <c r="V5493" s="1">
        <v>489.0</v>
      </c>
      <c r="W5493" s="1">
        <v>489.0</v>
      </c>
      <c r="X5493" s="1" t="s">
        <v>35</v>
      </c>
      <c r="Y5493" s="1">
        <v>489000</v>
      </c>
      <c r="Z5493" s="1"/>
      <c r="AA5493" s="1">
        <v>489000</v>
      </c>
      <c r="AB5493" s="1"/>
      <c r="AC5493" s="1" t="s">
        <v>36</v>
      </c>
      <c r="AD5493" s="1" t="s">
        <v>18588</v>
      </c>
      <c r="AE5493" s="1" t="s">
        <v>32</v>
      </c>
      <c r="AF5493" s="1" t="s">
        <v>33</v>
      </c>
      <c r="AG5493" s="1" t="s">
        <v>848</v>
      </c>
    </row>
    <row r="5494" spans="1:33">
      <c r="A5494" t="s">
        <v>18589</v>
      </c>
      <c r="C5494" t="s">
        <v>9628</v>
      </c>
      <c r="D5494" t="s">
        <v>154</v>
      </c>
      <c r="E5494" t="s">
        <v>18429</v>
      </c>
      <c r="F5494" t="s">
        <v>18430</v>
      </c>
      <c r="G5494">
        <v>3.2</v>
      </c>
      <c r="H5494">
        <v>3.2</v>
      </c>
      <c r="I5494" t="s">
        <v>40</v>
      </c>
      <c r="J5494" t="s">
        <v>41</v>
      </c>
      <c r="K5494" t="s">
        <v>31</v>
      </c>
      <c r="L5494" t="s">
        <v>32</v>
      </c>
      <c r="M5494" t="s">
        <v>33</v>
      </c>
      <c r="P5494" s="1" t="s">
        <v>18590</v>
      </c>
      <c r="Q5494" s="1" t="s">
        <v>18429</v>
      </c>
      <c r="R5494" s="1" t="s">
        <v>18474</v>
      </c>
      <c r="S5494" s="1"/>
      <c r="T5494" s="1" t="s">
        <v>9628</v>
      </c>
      <c r="U5494" s="1"/>
      <c r="V5494" s="1">
        <v>3.2</v>
      </c>
      <c r="W5494" s="1">
        <v>3.2</v>
      </c>
      <c r="X5494" s="1" t="s">
        <v>35</v>
      </c>
      <c r="Y5494" s="1">
        <v>4315000</v>
      </c>
      <c r="Z5494" s="1">
        <v>-1115000</v>
      </c>
      <c r="AA5494" s="1">
        <v>4315000</v>
      </c>
      <c r="AB5494" s="1">
        <v>-1115000</v>
      </c>
      <c r="AC5494" s="1" t="s">
        <v>36</v>
      </c>
      <c r="AD5494" s="1" t="s">
        <v>18572</v>
      </c>
      <c r="AE5494" s="1" t="s">
        <v>32</v>
      </c>
      <c r="AF5494" s="1" t="s">
        <v>33</v>
      </c>
      <c r="AG5494" s="1" t="s">
        <v>41</v>
      </c>
    </row>
    <row r="5495" spans="1:33">
      <c r="A5495" t="s">
        <v>18591</v>
      </c>
      <c r="C5495" t="s">
        <v>3442</v>
      </c>
      <c r="E5495" t="s">
        <v>18429</v>
      </c>
      <c r="F5495" t="s">
        <v>18430</v>
      </c>
      <c r="G5495">
        <v>643.0</v>
      </c>
      <c r="H5495">
        <v>643.0</v>
      </c>
      <c r="I5495" t="s">
        <v>847</v>
      </c>
      <c r="J5495" t="s">
        <v>848</v>
      </c>
      <c r="K5495" t="s">
        <v>31</v>
      </c>
      <c r="L5495" t="s">
        <v>32</v>
      </c>
      <c r="M5495" t="s">
        <v>33</v>
      </c>
      <c r="P5495" s="1" t="s">
        <v>18592</v>
      </c>
      <c r="Q5495" s="1" t="s">
        <v>18429</v>
      </c>
      <c r="R5495" s="1" t="s">
        <v>18429</v>
      </c>
      <c r="S5495" s="1"/>
      <c r="T5495" s="1" t="s">
        <v>3442</v>
      </c>
      <c r="U5495" s="1"/>
      <c r="V5495" s="1">
        <v>643.0</v>
      </c>
      <c r="W5495" s="1">
        <v>643.0</v>
      </c>
      <c r="X5495" s="1" t="s">
        <v>35</v>
      </c>
      <c r="Y5495" s="1">
        <v>643000</v>
      </c>
      <c r="Z5495" s="1"/>
      <c r="AA5495" s="1">
        <v>643000</v>
      </c>
      <c r="AB5495" s="1"/>
      <c r="AC5495" s="1" t="s">
        <v>36</v>
      </c>
      <c r="AD5495" s="1" t="s">
        <v>18482</v>
      </c>
      <c r="AE5495" s="1" t="s">
        <v>32</v>
      </c>
      <c r="AF5495" s="1" t="s">
        <v>33</v>
      </c>
      <c r="AG5495" s="1" t="s">
        <v>848</v>
      </c>
    </row>
    <row r="5496" spans="1:33">
      <c r="A5496" t="s">
        <v>18593</v>
      </c>
      <c r="B5496" t="s">
        <v>16288</v>
      </c>
      <c r="C5496" t="s">
        <v>314</v>
      </c>
      <c r="E5496" t="s">
        <v>18429</v>
      </c>
      <c r="F5496" t="s">
        <v>18430</v>
      </c>
      <c r="G5496">
        <v>13.0</v>
      </c>
      <c r="H5496">
        <v>13.0</v>
      </c>
      <c r="I5496" t="s">
        <v>179</v>
      </c>
      <c r="J5496" t="s">
        <v>180</v>
      </c>
      <c r="K5496" t="s">
        <v>31</v>
      </c>
      <c r="L5496" t="s">
        <v>32</v>
      </c>
      <c r="M5496" t="s">
        <v>33</v>
      </c>
      <c r="P5496" s="1" t="s">
        <v>18594</v>
      </c>
      <c r="Q5496" s="1" t="s">
        <v>18429</v>
      </c>
      <c r="R5496" s="1" t="s">
        <v>18429</v>
      </c>
      <c r="S5496" s="1"/>
      <c r="T5496" s="1" t="s">
        <v>314</v>
      </c>
      <c r="U5496" s="1"/>
      <c r="V5496" s="1">
        <v>13.0</v>
      </c>
      <c r="W5496" s="1">
        <v>13.0</v>
      </c>
      <c r="X5496" s="1" t="s">
        <v>35</v>
      </c>
      <c r="Y5496" s="1">
        <v>13000</v>
      </c>
      <c r="Z5496" s="1"/>
      <c r="AA5496" s="1">
        <v>13000</v>
      </c>
      <c r="AB5496" s="1"/>
      <c r="AC5496" s="1" t="s">
        <v>36</v>
      </c>
      <c r="AD5496" s="1" t="s">
        <v>18595</v>
      </c>
      <c r="AE5496" s="1" t="s">
        <v>32</v>
      </c>
      <c r="AF5496" s="1" t="s">
        <v>33</v>
      </c>
      <c r="AG5496" s="1" t="s">
        <v>180</v>
      </c>
    </row>
    <row r="5497" spans="1:33">
      <c r="A5497" t="s">
        <v>18596</v>
      </c>
      <c r="B5497" t="s">
        <v>9999</v>
      </c>
      <c r="C5497" t="s">
        <v>314</v>
      </c>
      <c r="E5497" t="s">
        <v>18429</v>
      </c>
      <c r="F5497" t="s">
        <v>18430</v>
      </c>
      <c r="G5497">
        <v>18.59</v>
      </c>
      <c r="H5497">
        <v>18.59</v>
      </c>
      <c r="I5497" t="s">
        <v>179</v>
      </c>
      <c r="J5497" t="s">
        <v>180</v>
      </c>
      <c r="K5497" t="s">
        <v>31</v>
      </c>
      <c r="L5497" t="s">
        <v>32</v>
      </c>
      <c r="M5497" t="s">
        <v>33</v>
      </c>
      <c r="P5497" s="1" t="s">
        <v>18597</v>
      </c>
      <c r="Q5497" s="1" t="s">
        <v>18429</v>
      </c>
      <c r="R5497" s="1" t="s">
        <v>18429</v>
      </c>
      <c r="S5497" s="1"/>
      <c r="T5497" s="1" t="s">
        <v>314</v>
      </c>
      <c r="U5497" s="1"/>
      <c r="V5497" s="1">
        <v>18.59</v>
      </c>
      <c r="W5497" s="1">
        <v>18.59</v>
      </c>
      <c r="X5497" s="1" t="s">
        <v>35</v>
      </c>
      <c r="Y5497" s="1">
        <v>18590</v>
      </c>
      <c r="Z5497" s="1"/>
      <c r="AA5497" s="1">
        <v>18590</v>
      </c>
      <c r="AB5497" s="1"/>
      <c r="AC5497" s="1" t="s">
        <v>36</v>
      </c>
      <c r="AD5497" s="1" t="s">
        <v>18564</v>
      </c>
      <c r="AE5497" s="1" t="s">
        <v>32</v>
      </c>
      <c r="AF5497" s="1" t="s">
        <v>33</v>
      </c>
      <c r="AG5497" s="1" t="s">
        <v>180</v>
      </c>
    </row>
    <row r="5498" spans="1:33">
      <c r="A5498" t="s">
        <v>18598</v>
      </c>
      <c r="B5498" t="s">
        <v>18599</v>
      </c>
      <c r="C5498" t="s">
        <v>68</v>
      </c>
      <c r="E5498" t="s">
        <v>18429</v>
      </c>
      <c r="F5498" t="s">
        <v>18430</v>
      </c>
      <c r="G5498">
        <v>2.0</v>
      </c>
      <c r="H5498">
        <v>2.0</v>
      </c>
      <c r="I5498" t="s">
        <v>59</v>
      </c>
      <c r="J5498" t="s">
        <v>60</v>
      </c>
      <c r="K5498" t="s">
        <v>31</v>
      </c>
      <c r="L5498" t="s">
        <v>32</v>
      </c>
      <c r="M5498" t="s">
        <v>33</v>
      </c>
      <c r="P5498" s="1" t="s">
        <v>18600</v>
      </c>
      <c r="Q5498" s="1" t="s">
        <v>18429</v>
      </c>
      <c r="R5498" s="1" t="s">
        <v>18429</v>
      </c>
      <c r="S5498" s="1"/>
      <c r="T5498" s="1" t="s">
        <v>68</v>
      </c>
      <c r="U5498" s="1"/>
      <c r="V5498" s="1">
        <v>2.0</v>
      </c>
      <c r="W5498" s="1">
        <v>2.0</v>
      </c>
      <c r="X5498" s="1" t="s">
        <v>35</v>
      </c>
      <c r="Y5498" s="1">
        <v>2000</v>
      </c>
      <c r="Z5498" s="1"/>
      <c r="AA5498" s="1">
        <v>2000</v>
      </c>
      <c r="AB5498" s="1"/>
      <c r="AC5498" s="1" t="s">
        <v>36</v>
      </c>
      <c r="AD5498" s="1" t="s">
        <v>18601</v>
      </c>
      <c r="AE5498" s="1" t="s">
        <v>32</v>
      </c>
      <c r="AF5498" s="1" t="s">
        <v>33</v>
      </c>
      <c r="AG5498" s="1" t="s">
        <v>60</v>
      </c>
    </row>
    <row r="5499" spans="1:33">
      <c r="A5499" t="s">
        <v>18602</v>
      </c>
      <c r="C5499" t="s">
        <v>1020</v>
      </c>
      <c r="E5499" t="s">
        <v>18429</v>
      </c>
      <c r="F5499" t="s">
        <v>18430</v>
      </c>
      <c r="G5499">
        <v>1.776</v>
      </c>
      <c r="H5499">
        <v>1.776</v>
      </c>
      <c r="I5499" t="s">
        <v>847</v>
      </c>
      <c r="J5499" t="s">
        <v>848</v>
      </c>
      <c r="K5499" t="s">
        <v>31</v>
      </c>
      <c r="L5499" t="s">
        <v>32</v>
      </c>
      <c r="M5499" t="s">
        <v>33</v>
      </c>
      <c r="P5499" s="1" t="s">
        <v>18603</v>
      </c>
      <c r="Q5499" s="1" t="s">
        <v>18429</v>
      </c>
      <c r="R5499" s="1" t="s">
        <v>18429</v>
      </c>
      <c r="S5499" s="1"/>
      <c r="T5499" s="1" t="s">
        <v>1020</v>
      </c>
      <c r="U5499" s="1"/>
      <c r="V5499" s="1">
        <v>1.776</v>
      </c>
      <c r="W5499" s="1">
        <v>1.776</v>
      </c>
      <c r="X5499" s="1" t="s">
        <v>35</v>
      </c>
      <c r="Y5499" s="1">
        <v>1776000</v>
      </c>
      <c r="Z5499" s="1"/>
      <c r="AA5499" s="1">
        <v>1776000</v>
      </c>
      <c r="AB5499" s="1"/>
      <c r="AC5499" s="1" t="s">
        <v>36</v>
      </c>
      <c r="AD5499" s="1" t="s">
        <v>18604</v>
      </c>
      <c r="AE5499" s="1" t="s">
        <v>32</v>
      </c>
      <c r="AF5499" s="1" t="s">
        <v>33</v>
      </c>
      <c r="AG5499" s="1" t="s">
        <v>848</v>
      </c>
    </row>
    <row r="5500" spans="1:33">
      <c r="A5500" t="s">
        <v>18605</v>
      </c>
      <c r="C5500" t="s">
        <v>996</v>
      </c>
      <c r="E5500" t="s">
        <v>18429</v>
      </c>
      <c r="F5500" t="s">
        <v>18430</v>
      </c>
      <c r="G5500">
        <v>326.0</v>
      </c>
      <c r="H5500">
        <v>326.0</v>
      </c>
      <c r="I5500" t="s">
        <v>847</v>
      </c>
      <c r="J5500" t="s">
        <v>848</v>
      </c>
      <c r="K5500" t="s">
        <v>31</v>
      </c>
      <c r="L5500" t="s">
        <v>32</v>
      </c>
      <c r="M5500" t="s">
        <v>33</v>
      </c>
      <c r="P5500" s="1" t="s">
        <v>18606</v>
      </c>
      <c r="Q5500" s="1" t="s">
        <v>18429</v>
      </c>
      <c r="R5500" s="1" t="s">
        <v>18429</v>
      </c>
      <c r="S5500" s="1"/>
      <c r="T5500" s="1" t="s">
        <v>996</v>
      </c>
      <c r="U5500" s="1"/>
      <c r="V5500" s="1">
        <v>326.0</v>
      </c>
      <c r="W5500" s="1">
        <v>326.0</v>
      </c>
      <c r="X5500" s="1" t="s">
        <v>35</v>
      </c>
      <c r="Y5500" s="1">
        <v>326000</v>
      </c>
      <c r="Z5500" s="1"/>
      <c r="AA5500" s="1">
        <v>326000</v>
      </c>
      <c r="AB5500" s="1"/>
      <c r="AC5500" s="1" t="s">
        <v>36</v>
      </c>
      <c r="AD5500" s="1" t="s">
        <v>18551</v>
      </c>
      <c r="AE5500" s="1" t="s">
        <v>32</v>
      </c>
      <c r="AF5500" s="1" t="s">
        <v>33</v>
      </c>
      <c r="AG5500" s="1" t="s">
        <v>848</v>
      </c>
    </row>
    <row r="5501" spans="1:33">
      <c r="A5501" t="s">
        <v>18607</v>
      </c>
      <c r="C5501" t="s">
        <v>73</v>
      </c>
      <c r="E5501" t="s">
        <v>18429</v>
      </c>
      <c r="F5501" t="s">
        <v>18430</v>
      </c>
      <c r="G5501">
        <v>8.996</v>
      </c>
      <c r="H5501">
        <v>8.996</v>
      </c>
      <c r="I5501" t="s">
        <v>40</v>
      </c>
      <c r="J5501" t="s">
        <v>41</v>
      </c>
      <c r="K5501" t="s">
        <v>31</v>
      </c>
      <c r="L5501" t="s">
        <v>32</v>
      </c>
      <c r="M5501" t="s">
        <v>33</v>
      </c>
      <c r="P5501" s="1" t="s">
        <v>18608</v>
      </c>
      <c r="Q5501" s="1" t="s">
        <v>18429</v>
      </c>
      <c r="R5501" s="1" t="s">
        <v>18474</v>
      </c>
      <c r="S5501" s="1"/>
      <c r="T5501" s="1" t="s">
        <v>75</v>
      </c>
      <c r="U5501" s="1" t="s">
        <v>76</v>
      </c>
      <c r="V5501" s="1">
        <v>8.996</v>
      </c>
      <c r="W5501" s="1">
        <v>8.996</v>
      </c>
      <c r="X5501" s="1" t="s">
        <v>35</v>
      </c>
      <c r="Y5501" s="1">
        <v>8996</v>
      </c>
      <c r="Z5501" s="1"/>
      <c r="AA5501" s="1">
        <v>8996</v>
      </c>
      <c r="AB5501" s="1"/>
      <c r="AC5501" s="1" t="s">
        <v>36</v>
      </c>
      <c r="AD5501" s="1" t="s">
        <v>18609</v>
      </c>
      <c r="AE5501" s="1" t="s">
        <v>32</v>
      </c>
      <c r="AF5501" s="1" t="s">
        <v>33</v>
      </c>
      <c r="AG5501" s="1" t="s">
        <v>41</v>
      </c>
    </row>
    <row r="5502" spans="1:33">
      <c r="A5502" t="s">
        <v>18610</v>
      </c>
      <c r="C5502" t="s">
        <v>5687</v>
      </c>
      <c r="E5502" t="s">
        <v>18429</v>
      </c>
      <c r="F5502" t="s">
        <v>18430</v>
      </c>
      <c r="G5502">
        <v>182.0</v>
      </c>
      <c r="H5502">
        <v>182.0</v>
      </c>
      <c r="I5502" t="s">
        <v>847</v>
      </c>
      <c r="J5502" t="s">
        <v>848</v>
      </c>
      <c r="K5502" t="s">
        <v>31</v>
      </c>
      <c r="L5502" t="s">
        <v>32</v>
      </c>
      <c r="M5502" t="s">
        <v>33</v>
      </c>
      <c r="P5502" s="1" t="s">
        <v>18611</v>
      </c>
      <c r="Q5502" s="1" t="s">
        <v>18429</v>
      </c>
      <c r="R5502" s="1" t="s">
        <v>18429</v>
      </c>
      <c r="S5502" s="1"/>
      <c r="T5502" s="1" t="s">
        <v>5687</v>
      </c>
      <c r="U5502" s="1"/>
      <c r="V5502" s="1">
        <v>182.0</v>
      </c>
      <c r="W5502" s="1">
        <v>182.0</v>
      </c>
      <c r="X5502" s="1" t="s">
        <v>35</v>
      </c>
      <c r="Y5502" s="1">
        <v>182000</v>
      </c>
      <c r="Z5502" s="1"/>
      <c r="AA5502" s="1">
        <v>182000</v>
      </c>
      <c r="AB5502" s="1"/>
      <c r="AC5502" s="1" t="s">
        <v>36</v>
      </c>
      <c r="AD5502" s="1" t="s">
        <v>18540</v>
      </c>
      <c r="AE5502" s="1" t="s">
        <v>32</v>
      </c>
      <c r="AF5502" s="1" t="s">
        <v>33</v>
      </c>
      <c r="AG5502" s="1" t="s">
        <v>848</v>
      </c>
    </row>
    <row r="5503" spans="1:33">
      <c r="A5503" t="s">
        <v>18612</v>
      </c>
      <c r="B5503" t="s">
        <v>18613</v>
      </c>
      <c r="C5503" t="s">
        <v>314</v>
      </c>
      <c r="E5503" t="s">
        <v>18429</v>
      </c>
      <c r="F5503" t="s">
        <v>18430</v>
      </c>
      <c r="G5503">
        <v>22.7</v>
      </c>
      <c r="H5503">
        <v>22.7</v>
      </c>
      <c r="I5503" t="s">
        <v>179</v>
      </c>
      <c r="J5503" t="s">
        <v>180</v>
      </c>
      <c r="K5503" t="s">
        <v>31</v>
      </c>
      <c r="L5503" t="s">
        <v>32</v>
      </c>
      <c r="M5503" t="s">
        <v>33</v>
      </c>
      <c r="P5503" s="1" t="s">
        <v>18614</v>
      </c>
      <c r="Q5503" s="1" t="s">
        <v>18429</v>
      </c>
      <c r="R5503" s="1" t="s">
        <v>18429</v>
      </c>
      <c r="S5503" s="1"/>
      <c r="T5503" s="1" t="s">
        <v>314</v>
      </c>
      <c r="U5503" s="1"/>
      <c r="V5503" s="1">
        <v>22.7</v>
      </c>
      <c r="W5503" s="1">
        <v>22.7</v>
      </c>
      <c r="X5503" s="1" t="s">
        <v>35</v>
      </c>
      <c r="Y5503" s="1">
        <v>22700</v>
      </c>
      <c r="Z5503" s="1"/>
      <c r="AA5503" s="1">
        <v>22700</v>
      </c>
      <c r="AB5503" s="1"/>
      <c r="AC5503" s="1" t="s">
        <v>36</v>
      </c>
      <c r="AD5503" s="1" t="s">
        <v>18615</v>
      </c>
      <c r="AE5503" s="1" t="s">
        <v>32</v>
      </c>
      <c r="AF5503" s="1" t="s">
        <v>33</v>
      </c>
      <c r="AG5503" s="1" t="s">
        <v>180</v>
      </c>
    </row>
    <row r="5504" spans="1:33">
      <c r="A5504" t="s">
        <v>18616</v>
      </c>
      <c r="B5504" t="s">
        <v>16288</v>
      </c>
      <c r="C5504" t="s">
        <v>314</v>
      </c>
      <c r="E5504" t="s">
        <v>18429</v>
      </c>
      <c r="F5504" t="s">
        <v>18430</v>
      </c>
      <c r="G5504">
        <v>178.388</v>
      </c>
      <c r="H5504">
        <v>178.388</v>
      </c>
      <c r="I5504" t="s">
        <v>179</v>
      </c>
      <c r="J5504" t="s">
        <v>180</v>
      </c>
      <c r="K5504" t="s">
        <v>31</v>
      </c>
      <c r="L5504" t="s">
        <v>32</v>
      </c>
      <c r="M5504" t="s">
        <v>33</v>
      </c>
      <c r="P5504" s="1" t="s">
        <v>18617</v>
      </c>
      <c r="Q5504" s="1" t="s">
        <v>18429</v>
      </c>
      <c r="R5504" s="1" t="s">
        <v>18429</v>
      </c>
      <c r="S5504" s="1"/>
      <c r="T5504" s="1" t="s">
        <v>314</v>
      </c>
      <c r="U5504" s="1"/>
      <c r="V5504" s="1">
        <v>178.388</v>
      </c>
      <c r="W5504" s="1">
        <v>178.388</v>
      </c>
      <c r="X5504" s="1" t="s">
        <v>35</v>
      </c>
      <c r="Y5504" s="1">
        <v>178388</v>
      </c>
      <c r="Z5504" s="1"/>
      <c r="AA5504" s="1">
        <v>178388</v>
      </c>
      <c r="AB5504" s="1"/>
      <c r="AC5504" s="1" t="s">
        <v>36</v>
      </c>
      <c r="AD5504" s="1" t="s">
        <v>18618</v>
      </c>
      <c r="AE5504" s="1" t="s">
        <v>32</v>
      </c>
      <c r="AF5504" s="1" t="s">
        <v>33</v>
      </c>
      <c r="AG5504" s="1" t="s">
        <v>180</v>
      </c>
    </row>
    <row r="5505" spans="1:33">
      <c r="A5505" t="s">
        <v>18619</v>
      </c>
      <c r="C5505" t="s">
        <v>6269</v>
      </c>
      <c r="E5505" t="s">
        <v>18429</v>
      </c>
      <c r="F5505" t="s">
        <v>18430</v>
      </c>
      <c r="G5505">
        <v>440.1</v>
      </c>
      <c r="H5505">
        <v>440.1</v>
      </c>
      <c r="I5505" t="s">
        <v>847</v>
      </c>
      <c r="J5505" t="s">
        <v>848</v>
      </c>
      <c r="K5505" t="s">
        <v>31</v>
      </c>
      <c r="L5505" t="s">
        <v>32</v>
      </c>
      <c r="M5505" t="s">
        <v>33</v>
      </c>
      <c r="P5505" s="1" t="s">
        <v>18620</v>
      </c>
      <c r="Q5505" s="1" t="s">
        <v>18429</v>
      </c>
      <c r="R5505" s="1" t="s">
        <v>18429</v>
      </c>
      <c r="S5505" s="1"/>
      <c r="T5505" s="1" t="s">
        <v>6269</v>
      </c>
      <c r="U5505" s="1"/>
      <c r="V5505" s="1">
        <v>440.1</v>
      </c>
      <c r="W5505" s="1">
        <v>440.1</v>
      </c>
      <c r="X5505" s="1" t="s">
        <v>35</v>
      </c>
      <c r="Y5505" s="1">
        <v>440100</v>
      </c>
      <c r="Z5505" s="1"/>
      <c r="AA5505" s="1">
        <v>440100</v>
      </c>
      <c r="AB5505" s="1"/>
      <c r="AC5505" s="1" t="s">
        <v>36</v>
      </c>
      <c r="AD5505" s="1" t="s">
        <v>18543</v>
      </c>
      <c r="AE5505" s="1" t="s">
        <v>32</v>
      </c>
      <c r="AF5505" s="1" t="s">
        <v>33</v>
      </c>
      <c r="AG5505" s="1" t="s">
        <v>848</v>
      </c>
    </row>
    <row r="5506" spans="1:33">
      <c r="A5506" t="s">
        <v>18621</v>
      </c>
      <c r="C5506" t="s">
        <v>11235</v>
      </c>
      <c r="E5506" t="s">
        <v>18429</v>
      </c>
      <c r="F5506" t="s">
        <v>18430</v>
      </c>
      <c r="G5506">
        <v>1.68</v>
      </c>
      <c r="H5506">
        <v>1.68</v>
      </c>
      <c r="I5506" t="s">
        <v>94</v>
      </c>
      <c r="J5506" t="s">
        <v>95</v>
      </c>
      <c r="K5506" t="s">
        <v>31</v>
      </c>
      <c r="L5506" t="s">
        <v>32</v>
      </c>
      <c r="M5506" t="s">
        <v>33</v>
      </c>
      <c r="P5506" s="1" t="s">
        <v>18622</v>
      </c>
      <c r="Q5506" s="1" t="s">
        <v>18429</v>
      </c>
      <c r="R5506" s="1" t="s">
        <v>18429</v>
      </c>
      <c r="S5506" s="1"/>
      <c r="T5506" s="1" t="s">
        <v>11235</v>
      </c>
      <c r="U5506" s="1"/>
      <c r="V5506" s="1">
        <v>1.68</v>
      </c>
      <c r="W5506" s="1">
        <v>1.68</v>
      </c>
      <c r="X5506" s="1" t="s">
        <v>35</v>
      </c>
      <c r="Y5506" s="1">
        <v>1680000</v>
      </c>
      <c r="Z5506" s="1"/>
      <c r="AA5506" s="1">
        <v>1680000</v>
      </c>
      <c r="AB5506" s="1"/>
      <c r="AC5506" s="1" t="s">
        <v>36</v>
      </c>
      <c r="AD5506" s="1" t="s">
        <v>18623</v>
      </c>
      <c r="AE5506" s="1" t="s">
        <v>32</v>
      </c>
      <c r="AF5506" s="1" t="s">
        <v>33</v>
      </c>
      <c r="AG5506" s="1" t="s">
        <v>95</v>
      </c>
    </row>
    <row r="5507" spans="1:33">
      <c r="A5507" t="s">
        <v>18624</v>
      </c>
      <c r="C5507" t="s">
        <v>3449</v>
      </c>
      <c r="E5507" t="s">
        <v>18429</v>
      </c>
      <c r="F5507" t="s">
        <v>18430</v>
      </c>
      <c r="G5507">
        <v>758.0</v>
      </c>
      <c r="H5507">
        <v>758.0</v>
      </c>
      <c r="I5507" t="s">
        <v>847</v>
      </c>
      <c r="J5507" t="s">
        <v>848</v>
      </c>
      <c r="K5507" t="s">
        <v>31</v>
      </c>
      <c r="L5507" t="s">
        <v>32</v>
      </c>
      <c r="M5507" t="s">
        <v>33</v>
      </c>
      <c r="P5507" s="1" t="s">
        <v>18625</v>
      </c>
      <c r="Q5507" s="1" t="s">
        <v>18429</v>
      </c>
      <c r="R5507" s="1" t="s">
        <v>18429</v>
      </c>
      <c r="S5507" s="1"/>
      <c r="T5507" s="1" t="s">
        <v>3449</v>
      </c>
      <c r="U5507" s="1"/>
      <c r="V5507" s="1">
        <v>758.0</v>
      </c>
      <c r="W5507" s="1">
        <v>758.0</v>
      </c>
      <c r="X5507" s="1" t="s">
        <v>35</v>
      </c>
      <c r="Y5507" s="1">
        <v>758000</v>
      </c>
      <c r="Z5507" s="1"/>
      <c r="AA5507" s="1">
        <v>758000</v>
      </c>
      <c r="AB5507" s="1"/>
      <c r="AC5507" s="1" t="s">
        <v>36</v>
      </c>
      <c r="AD5507" s="1" t="s">
        <v>18626</v>
      </c>
      <c r="AE5507" s="1" t="s">
        <v>32</v>
      </c>
      <c r="AF5507" s="1" t="s">
        <v>33</v>
      </c>
      <c r="AG5507" s="1" t="s">
        <v>848</v>
      </c>
    </row>
    <row r="5508" spans="1:33">
      <c r="A5508" t="s">
        <v>18627</v>
      </c>
      <c r="C5508" t="s">
        <v>18628</v>
      </c>
      <c r="E5508" t="s">
        <v>18429</v>
      </c>
      <c r="F5508" t="s">
        <v>18430</v>
      </c>
      <c r="G5508">
        <v>29.25</v>
      </c>
      <c r="H5508">
        <v>29.25</v>
      </c>
      <c r="I5508" t="s">
        <v>2206</v>
      </c>
      <c r="J5508" t="s">
        <v>49</v>
      </c>
      <c r="K5508" t="s">
        <v>31</v>
      </c>
      <c r="L5508" t="s">
        <v>32</v>
      </c>
      <c r="M5508" t="s">
        <v>33</v>
      </c>
      <c r="P5508" s="1" t="s">
        <v>18629</v>
      </c>
      <c r="Q5508" s="1" t="s">
        <v>18429</v>
      </c>
      <c r="R5508" s="1" t="s">
        <v>18429</v>
      </c>
      <c r="S5508" s="1"/>
      <c r="T5508" s="1" t="s">
        <v>18628</v>
      </c>
      <c r="U5508" s="1"/>
      <c r="V5508" s="1">
        <v>29.25</v>
      </c>
      <c r="W5508" s="1">
        <v>29.25</v>
      </c>
      <c r="X5508" s="1" t="s">
        <v>35</v>
      </c>
      <c r="Y5508" s="1">
        <v>29250</v>
      </c>
      <c r="Z5508" s="1"/>
      <c r="AA5508" s="1">
        <v>9250</v>
      </c>
      <c r="AB5508" s="1">
        <v>20000</v>
      </c>
      <c r="AC5508" s="1" t="s">
        <v>36</v>
      </c>
      <c r="AD5508" s="1" t="s">
        <v>18536</v>
      </c>
      <c r="AE5508" s="1" t="s">
        <v>32</v>
      </c>
      <c r="AF5508" s="1" t="s">
        <v>33</v>
      </c>
      <c r="AG5508" s="1" t="s">
        <v>49</v>
      </c>
    </row>
    <row r="5509" spans="1:33">
      <c r="A5509" t="s">
        <v>18630</v>
      </c>
      <c r="B5509" t="s">
        <v>9999</v>
      </c>
      <c r="C5509" t="s">
        <v>314</v>
      </c>
      <c r="E5509" t="s">
        <v>18429</v>
      </c>
      <c r="F5509" t="s">
        <v>18430</v>
      </c>
      <c r="G5509">
        <v>8.94</v>
      </c>
      <c r="H5509">
        <v>8.94</v>
      </c>
      <c r="I5509" t="s">
        <v>179</v>
      </c>
      <c r="J5509" t="s">
        <v>180</v>
      </c>
      <c r="K5509" t="s">
        <v>31</v>
      </c>
      <c r="L5509" t="s">
        <v>32</v>
      </c>
      <c r="M5509" t="s">
        <v>33</v>
      </c>
      <c r="P5509" s="1" t="s">
        <v>18631</v>
      </c>
      <c r="Q5509" s="1" t="s">
        <v>18429</v>
      </c>
      <c r="R5509" s="1" t="s">
        <v>18429</v>
      </c>
      <c r="S5509" s="1"/>
      <c r="T5509" s="1" t="s">
        <v>314</v>
      </c>
      <c r="U5509" s="1"/>
      <c r="V5509" s="1">
        <v>8.94</v>
      </c>
      <c r="W5509" s="1">
        <v>8.94</v>
      </c>
      <c r="X5509" s="1" t="s">
        <v>35</v>
      </c>
      <c r="Y5509" s="1">
        <v>8940</v>
      </c>
      <c r="Z5509" s="1"/>
      <c r="AA5509" s="1">
        <v>8940</v>
      </c>
      <c r="AB5509" s="1"/>
      <c r="AC5509" s="1" t="s">
        <v>36</v>
      </c>
      <c r="AD5509" s="1" t="s">
        <v>18609</v>
      </c>
      <c r="AE5509" s="1" t="s">
        <v>32</v>
      </c>
      <c r="AF5509" s="1" t="s">
        <v>33</v>
      </c>
      <c r="AG5509" s="1" t="s">
        <v>180</v>
      </c>
    </row>
    <row r="5510" spans="1:33">
      <c r="A5510" t="s">
        <v>18632</v>
      </c>
      <c r="C5510" t="s">
        <v>11522</v>
      </c>
      <c r="E5510" t="s">
        <v>18429</v>
      </c>
      <c r="F5510" t="s">
        <v>18430</v>
      </c>
      <c r="G5510">
        <v>64.0</v>
      </c>
      <c r="H5510">
        <v>64.0</v>
      </c>
      <c r="I5510" t="s">
        <v>269</v>
      </c>
      <c r="J5510" t="s">
        <v>270</v>
      </c>
      <c r="K5510" t="s">
        <v>31</v>
      </c>
      <c r="L5510" t="s">
        <v>32</v>
      </c>
      <c r="M5510" t="s">
        <v>33</v>
      </c>
      <c r="P5510" s="1" t="s">
        <v>18633</v>
      </c>
      <c r="Q5510" s="1" t="s">
        <v>18429</v>
      </c>
      <c r="R5510" s="1" t="s">
        <v>18429</v>
      </c>
      <c r="S5510" s="1"/>
      <c r="T5510" s="1" t="s">
        <v>11522</v>
      </c>
      <c r="U5510" s="1"/>
      <c r="V5510" s="1">
        <v>64.0</v>
      </c>
      <c r="W5510" s="1">
        <v>64.0</v>
      </c>
      <c r="X5510" s="1" t="s">
        <v>35</v>
      </c>
      <c r="Y5510" s="1">
        <v>64000</v>
      </c>
      <c r="Z5510" s="1"/>
      <c r="AA5510" s="1">
        <v>64000</v>
      </c>
      <c r="AB5510" s="1"/>
      <c r="AC5510" s="1" t="s">
        <v>36</v>
      </c>
      <c r="AD5510" s="1" t="s">
        <v>18634</v>
      </c>
      <c r="AE5510" s="1" t="s">
        <v>32</v>
      </c>
      <c r="AF5510" s="1" t="s">
        <v>33</v>
      </c>
      <c r="AG5510" s="1" t="s">
        <v>270</v>
      </c>
    </row>
    <row r="5511" spans="1:33">
      <c r="A5511" t="s">
        <v>18635</v>
      </c>
      <c r="C5511" t="s">
        <v>11625</v>
      </c>
      <c r="E5511" t="s">
        <v>18429</v>
      </c>
      <c r="F5511" t="s">
        <v>18430</v>
      </c>
      <c r="G5511">
        <v>1.032</v>
      </c>
      <c r="H5511">
        <v>1.032</v>
      </c>
      <c r="I5511" t="s">
        <v>847</v>
      </c>
      <c r="J5511" t="s">
        <v>848</v>
      </c>
      <c r="K5511" t="s">
        <v>31</v>
      </c>
      <c r="L5511" t="s">
        <v>32</v>
      </c>
      <c r="M5511" t="s">
        <v>33</v>
      </c>
      <c r="P5511" s="1" t="s">
        <v>18636</v>
      </c>
      <c r="Q5511" s="1" t="s">
        <v>18429</v>
      </c>
      <c r="R5511" s="1" t="s">
        <v>18429</v>
      </c>
      <c r="S5511" s="1"/>
      <c r="T5511" s="1" t="s">
        <v>11625</v>
      </c>
      <c r="U5511" s="1"/>
      <c r="V5511" s="1">
        <v>1.032</v>
      </c>
      <c r="W5511" s="1">
        <v>1.032</v>
      </c>
      <c r="X5511" s="1" t="s">
        <v>35</v>
      </c>
      <c r="Y5511" s="1">
        <v>1032300</v>
      </c>
      <c r="Z5511" s="1"/>
      <c r="AA5511" s="1">
        <v>1032300</v>
      </c>
      <c r="AB5511" s="1"/>
      <c r="AC5511" s="1" t="s">
        <v>36</v>
      </c>
      <c r="AD5511" s="1" t="s">
        <v>18615</v>
      </c>
      <c r="AE5511" s="1" t="s">
        <v>32</v>
      </c>
      <c r="AF5511" s="1" t="s">
        <v>33</v>
      </c>
      <c r="AG5511" s="1" t="s">
        <v>848</v>
      </c>
    </row>
    <row r="5512" spans="1:33">
      <c r="A5512" t="s">
        <v>18637</v>
      </c>
      <c r="B5512" t="s">
        <v>18638</v>
      </c>
      <c r="C5512" t="s">
        <v>47</v>
      </c>
      <c r="E5512" t="s">
        <v>18429</v>
      </c>
      <c r="F5512" t="s">
        <v>18430</v>
      </c>
      <c r="G5512">
        <v>18.49</v>
      </c>
      <c r="H5512">
        <v>18.49</v>
      </c>
      <c r="I5512" t="s">
        <v>2206</v>
      </c>
      <c r="J5512" t="s">
        <v>49</v>
      </c>
      <c r="K5512" t="s">
        <v>31</v>
      </c>
      <c r="L5512" t="s">
        <v>32</v>
      </c>
      <c r="M5512" t="s">
        <v>33</v>
      </c>
      <c r="P5512" s="1" t="s">
        <v>18639</v>
      </c>
      <c r="Q5512" s="1" t="s">
        <v>18429</v>
      </c>
      <c r="R5512" s="1" t="s">
        <v>18429</v>
      </c>
      <c r="S5512" s="1"/>
      <c r="T5512" s="1" t="s">
        <v>47</v>
      </c>
      <c r="U5512" s="1"/>
      <c r="V5512" s="1">
        <v>18.49</v>
      </c>
      <c r="W5512" s="1">
        <v>18.49</v>
      </c>
      <c r="X5512" s="1" t="s">
        <v>35</v>
      </c>
      <c r="Y5512" s="1">
        <v>18490</v>
      </c>
      <c r="Z5512" s="1"/>
      <c r="AA5512" s="1">
        <v>18490</v>
      </c>
      <c r="AB5512" s="1"/>
      <c r="AC5512" s="1" t="s">
        <v>36</v>
      </c>
      <c r="AD5512" s="1" t="s">
        <v>18640</v>
      </c>
      <c r="AE5512" s="1" t="s">
        <v>32</v>
      </c>
      <c r="AF5512" s="1" t="s">
        <v>33</v>
      </c>
      <c r="AG5512" s="1" t="s">
        <v>49</v>
      </c>
    </row>
    <row r="5513" spans="1:33">
      <c r="A5513" t="s">
        <v>18641</v>
      </c>
      <c r="B5513" t="s">
        <v>7061</v>
      </c>
      <c r="C5513" t="s">
        <v>314</v>
      </c>
      <c r="E5513" t="s">
        <v>18429</v>
      </c>
      <c r="F5513" t="s">
        <v>18430</v>
      </c>
      <c r="G5513">
        <v>33.74</v>
      </c>
      <c r="H5513">
        <v>33.74</v>
      </c>
      <c r="I5513" t="s">
        <v>179</v>
      </c>
      <c r="J5513" t="s">
        <v>180</v>
      </c>
      <c r="K5513" t="s">
        <v>31</v>
      </c>
      <c r="L5513" t="s">
        <v>32</v>
      </c>
      <c r="M5513" t="s">
        <v>33</v>
      </c>
      <c r="P5513" s="1" t="s">
        <v>18642</v>
      </c>
      <c r="Q5513" s="1" t="s">
        <v>18429</v>
      </c>
      <c r="R5513" s="1" t="s">
        <v>18429</v>
      </c>
      <c r="S5513" s="1"/>
      <c r="T5513" s="1" t="s">
        <v>314</v>
      </c>
      <c r="U5513" s="1"/>
      <c r="V5513" s="1">
        <v>33.74</v>
      </c>
      <c r="W5513" s="1">
        <v>33.74</v>
      </c>
      <c r="X5513" s="1" t="s">
        <v>35</v>
      </c>
      <c r="Y5513" s="1">
        <v>33740</v>
      </c>
      <c r="Z5513" s="1"/>
      <c r="AA5513" s="1">
        <v>33740</v>
      </c>
      <c r="AB5513" s="1"/>
      <c r="AC5513" s="1" t="s">
        <v>36</v>
      </c>
      <c r="AD5513" s="1" t="s">
        <v>18643</v>
      </c>
      <c r="AE5513" s="1" t="s">
        <v>32</v>
      </c>
      <c r="AF5513" s="1" t="s">
        <v>33</v>
      </c>
      <c r="AG5513" s="1" t="s">
        <v>180</v>
      </c>
    </row>
    <row r="5514" spans="1:33">
      <c r="A5514" t="s">
        <v>18644</v>
      </c>
      <c r="C5514" t="s">
        <v>1024</v>
      </c>
      <c r="E5514" t="s">
        <v>18429</v>
      </c>
      <c r="F5514" t="s">
        <v>18430</v>
      </c>
      <c r="G5514">
        <v>326.0</v>
      </c>
      <c r="H5514">
        <v>326.0</v>
      </c>
      <c r="I5514" t="s">
        <v>847</v>
      </c>
      <c r="J5514" t="s">
        <v>848</v>
      </c>
      <c r="K5514" t="s">
        <v>31</v>
      </c>
      <c r="L5514" t="s">
        <v>32</v>
      </c>
      <c r="M5514" t="s">
        <v>33</v>
      </c>
      <c r="P5514" s="1" t="s">
        <v>18645</v>
      </c>
      <c r="Q5514" s="1" t="s">
        <v>18429</v>
      </c>
      <c r="R5514" s="1" t="s">
        <v>18429</v>
      </c>
      <c r="S5514" s="1"/>
      <c r="T5514" s="1" t="s">
        <v>1024</v>
      </c>
      <c r="U5514" s="1"/>
      <c r="V5514" s="1">
        <v>326.0</v>
      </c>
      <c r="W5514" s="1">
        <v>326.0</v>
      </c>
      <c r="X5514" s="1" t="s">
        <v>35</v>
      </c>
      <c r="Y5514" s="1">
        <v>326000</v>
      </c>
      <c r="Z5514" s="1"/>
      <c r="AA5514" s="1">
        <v>326000</v>
      </c>
      <c r="AB5514" s="1"/>
      <c r="AC5514" s="1" t="s">
        <v>36</v>
      </c>
      <c r="AD5514" s="1" t="s">
        <v>18646</v>
      </c>
      <c r="AE5514" s="1" t="s">
        <v>32</v>
      </c>
      <c r="AF5514" s="1" t="s">
        <v>33</v>
      </c>
      <c r="AG5514" s="1" t="s">
        <v>848</v>
      </c>
    </row>
    <row r="5515" spans="1:33">
      <c r="A5515" t="s">
        <v>18647</v>
      </c>
      <c r="B5515" t="s">
        <v>18648</v>
      </c>
      <c r="C5515" t="s">
        <v>131</v>
      </c>
      <c r="E5515" t="s">
        <v>18429</v>
      </c>
      <c r="F5515" t="s">
        <v>18430</v>
      </c>
      <c r="G5515">
        <v>17.79</v>
      </c>
      <c r="H5515">
        <v>17.79</v>
      </c>
      <c r="I5515" t="s">
        <v>94</v>
      </c>
      <c r="J5515" t="s">
        <v>95</v>
      </c>
      <c r="K5515" t="s">
        <v>31</v>
      </c>
      <c r="L5515" t="s">
        <v>32</v>
      </c>
      <c r="M5515" t="s">
        <v>33</v>
      </c>
      <c r="P5515" s="1" t="s">
        <v>18649</v>
      </c>
      <c r="Q5515" s="1" t="s">
        <v>18429</v>
      </c>
      <c r="R5515" s="1" t="s">
        <v>18429</v>
      </c>
      <c r="S5515" s="1"/>
      <c r="T5515" s="1" t="s">
        <v>131</v>
      </c>
      <c r="U5515" s="1"/>
      <c r="V5515" s="1">
        <v>17.79</v>
      </c>
      <c r="W5515" s="1">
        <v>17.79</v>
      </c>
      <c r="X5515" s="1" t="s">
        <v>35</v>
      </c>
      <c r="Y5515" s="1">
        <v>17790</v>
      </c>
      <c r="Z5515" s="1"/>
      <c r="AA5515" s="1">
        <v>17790</v>
      </c>
      <c r="AB5515" s="1"/>
      <c r="AC5515" s="1" t="s">
        <v>36</v>
      </c>
      <c r="AD5515" s="1" t="s">
        <v>18643</v>
      </c>
      <c r="AE5515" s="1" t="s">
        <v>32</v>
      </c>
      <c r="AF5515" s="1" t="s">
        <v>33</v>
      </c>
      <c r="AG5515" s="1" t="s">
        <v>95</v>
      </c>
    </row>
    <row r="5516" spans="1:33">
      <c r="A5516" t="s">
        <v>18650</v>
      </c>
      <c r="C5516" t="s">
        <v>5687</v>
      </c>
      <c r="E5516" t="s">
        <v>18429</v>
      </c>
      <c r="F5516" t="s">
        <v>18430</v>
      </c>
      <c r="G5516">
        <v>1.286</v>
      </c>
      <c r="H5516">
        <v>1.286</v>
      </c>
      <c r="I5516" t="s">
        <v>847</v>
      </c>
      <c r="J5516" t="s">
        <v>848</v>
      </c>
      <c r="K5516" t="s">
        <v>31</v>
      </c>
      <c r="L5516" t="s">
        <v>32</v>
      </c>
      <c r="M5516" t="s">
        <v>33</v>
      </c>
      <c r="P5516" s="1" t="s">
        <v>18651</v>
      </c>
      <c r="Q5516" s="1" t="s">
        <v>18429</v>
      </c>
      <c r="R5516" s="1" t="s">
        <v>18429</v>
      </c>
      <c r="S5516" s="1"/>
      <c r="T5516" s="1" t="s">
        <v>5687</v>
      </c>
      <c r="U5516" s="1"/>
      <c r="V5516" s="1">
        <v>1.286</v>
      </c>
      <c r="W5516" s="1">
        <v>1.286</v>
      </c>
      <c r="X5516" s="1" t="s">
        <v>35</v>
      </c>
      <c r="Y5516" s="1">
        <v>1286000</v>
      </c>
      <c r="Z5516" s="1"/>
      <c r="AA5516" s="1">
        <v>1286000</v>
      </c>
      <c r="AB5516" s="1"/>
      <c r="AC5516" s="1" t="s">
        <v>36</v>
      </c>
      <c r="AD5516" s="1" t="s">
        <v>18652</v>
      </c>
      <c r="AE5516" s="1" t="s">
        <v>32</v>
      </c>
      <c r="AF5516" s="1" t="s">
        <v>33</v>
      </c>
      <c r="AG5516" s="1" t="s">
        <v>848</v>
      </c>
    </row>
    <row r="5517" spans="1:33">
      <c r="A5517" t="s">
        <v>18653</v>
      </c>
      <c r="B5517" t="s">
        <v>2012</v>
      </c>
      <c r="C5517" t="s">
        <v>2013</v>
      </c>
      <c r="E5517" t="s">
        <v>18429</v>
      </c>
      <c r="F5517" t="s">
        <v>18430</v>
      </c>
      <c r="G5517">
        <v>215.0</v>
      </c>
      <c r="H5517">
        <v>215.0</v>
      </c>
      <c r="I5517" t="s">
        <v>59</v>
      </c>
      <c r="J5517" t="s">
        <v>60</v>
      </c>
      <c r="K5517" t="s">
        <v>31</v>
      </c>
      <c r="L5517" t="s">
        <v>32</v>
      </c>
      <c r="M5517" t="s">
        <v>33</v>
      </c>
      <c r="P5517" s="1" t="s">
        <v>18654</v>
      </c>
      <c r="Q5517" s="1" t="s">
        <v>18429</v>
      </c>
      <c r="R5517" s="1" t="s">
        <v>18429</v>
      </c>
      <c r="S5517" s="1"/>
      <c r="T5517" s="1" t="s">
        <v>2013</v>
      </c>
      <c r="U5517" s="1"/>
      <c r="V5517" s="1">
        <v>215.0</v>
      </c>
      <c r="W5517" s="1">
        <v>215.0</v>
      </c>
      <c r="X5517" s="1" t="s">
        <v>35</v>
      </c>
      <c r="Y5517" s="1">
        <v>215000</v>
      </c>
      <c r="Z5517" s="1"/>
      <c r="AA5517" s="1">
        <v>215000</v>
      </c>
      <c r="AB5517" s="1"/>
      <c r="AC5517" s="1" t="s">
        <v>36</v>
      </c>
      <c r="AD5517" s="1" t="s">
        <v>18655</v>
      </c>
      <c r="AE5517" s="1" t="s">
        <v>32</v>
      </c>
      <c r="AF5517" s="1" t="s">
        <v>33</v>
      </c>
      <c r="AG5517" s="1" t="s">
        <v>60</v>
      </c>
    </row>
    <row r="5518" spans="1:33">
      <c r="A5518" t="s">
        <v>18656</v>
      </c>
      <c r="C5518" t="s">
        <v>1544</v>
      </c>
      <c r="E5518" t="s">
        <v>18429</v>
      </c>
      <c r="F5518" t="s">
        <v>18430</v>
      </c>
      <c r="G5518">
        <v>384.0</v>
      </c>
      <c r="H5518">
        <v>384.0</v>
      </c>
      <c r="I5518" t="s">
        <v>173</v>
      </c>
      <c r="J5518" t="s">
        <v>174</v>
      </c>
      <c r="K5518" t="s">
        <v>31</v>
      </c>
      <c r="L5518" t="s">
        <v>32</v>
      </c>
      <c r="M5518" t="s">
        <v>33</v>
      </c>
      <c r="P5518" s="1" t="s">
        <v>18657</v>
      </c>
      <c r="Q5518" s="1" t="s">
        <v>18429</v>
      </c>
      <c r="R5518" s="1" t="s">
        <v>18429</v>
      </c>
      <c r="S5518" s="1"/>
      <c r="T5518" s="1" t="s">
        <v>1544</v>
      </c>
      <c r="U5518" s="1"/>
      <c r="V5518" s="1">
        <v>384.0</v>
      </c>
      <c r="W5518" s="1">
        <v>384.0</v>
      </c>
      <c r="X5518" s="1" t="s">
        <v>35</v>
      </c>
      <c r="Y5518" s="1">
        <v>384000</v>
      </c>
      <c r="Z5518" s="1"/>
      <c r="AA5518" s="1">
        <v>384000</v>
      </c>
      <c r="AB5518" s="1"/>
      <c r="AC5518" s="1" t="s">
        <v>36</v>
      </c>
      <c r="AD5518" s="1" t="s">
        <v>18658</v>
      </c>
      <c r="AE5518" s="1" t="s">
        <v>32</v>
      </c>
      <c r="AF5518" s="1" t="s">
        <v>33</v>
      </c>
      <c r="AG5518" s="1" t="s">
        <v>174</v>
      </c>
    </row>
    <row r="5519" spans="1:33">
      <c r="A5519" t="s">
        <v>18659</v>
      </c>
      <c r="B5519" t="s">
        <v>18660</v>
      </c>
      <c r="C5519" t="s">
        <v>569</v>
      </c>
      <c r="E5519" t="s">
        <v>18429</v>
      </c>
      <c r="F5519" t="s">
        <v>18430</v>
      </c>
      <c r="G5519">
        <v>76.818</v>
      </c>
      <c r="H5519">
        <v>76.818</v>
      </c>
      <c r="I5519" t="s">
        <v>570</v>
      </c>
      <c r="J5519" t="s">
        <v>571</v>
      </c>
      <c r="K5519" t="s">
        <v>31</v>
      </c>
      <c r="L5519" t="s">
        <v>32</v>
      </c>
      <c r="M5519" t="s">
        <v>33</v>
      </c>
      <c r="P5519" s="1" t="s">
        <v>18661</v>
      </c>
      <c r="Q5519" s="1" t="s">
        <v>18429</v>
      </c>
      <c r="R5519" s="1" t="s">
        <v>18429</v>
      </c>
      <c r="S5519" s="1"/>
      <c r="T5519" s="1" t="s">
        <v>569</v>
      </c>
      <c r="U5519" s="1"/>
      <c r="V5519" s="1">
        <v>76.818</v>
      </c>
      <c r="W5519" s="1">
        <v>76.818</v>
      </c>
      <c r="X5519" s="1" t="s">
        <v>35</v>
      </c>
      <c r="Y5519" s="1">
        <v>76818</v>
      </c>
      <c r="Z5519" s="1"/>
      <c r="AA5519" s="1">
        <v>76818</v>
      </c>
      <c r="AB5519" s="1"/>
      <c r="AC5519" s="1" t="s">
        <v>36</v>
      </c>
      <c r="AD5519" s="1" t="s">
        <v>18662</v>
      </c>
      <c r="AE5519" s="1" t="s">
        <v>32</v>
      </c>
      <c r="AF5519" s="1" t="s">
        <v>33</v>
      </c>
      <c r="AG5519" s="1" t="s">
        <v>571</v>
      </c>
    </row>
    <row r="5520" spans="1:33">
      <c r="A5520" t="s">
        <v>18663</v>
      </c>
      <c r="C5520" t="s">
        <v>73</v>
      </c>
      <c r="E5520" t="s">
        <v>18429</v>
      </c>
      <c r="F5520" t="s">
        <v>18430</v>
      </c>
      <c r="G5520">
        <v>11.016</v>
      </c>
      <c r="H5520">
        <v>11.016</v>
      </c>
      <c r="I5520" t="s">
        <v>40</v>
      </c>
      <c r="J5520" t="s">
        <v>41</v>
      </c>
      <c r="K5520" t="s">
        <v>31</v>
      </c>
      <c r="L5520" t="s">
        <v>32</v>
      </c>
      <c r="M5520" t="s">
        <v>33</v>
      </c>
      <c r="P5520" s="1" t="s">
        <v>18664</v>
      </c>
      <c r="Q5520" s="1" t="s">
        <v>18429</v>
      </c>
      <c r="R5520" s="1" t="s">
        <v>18474</v>
      </c>
      <c r="S5520" s="1"/>
      <c r="T5520" s="1" t="s">
        <v>75</v>
      </c>
      <c r="U5520" s="1" t="s">
        <v>76</v>
      </c>
      <c r="V5520" s="1">
        <v>11.016</v>
      </c>
      <c r="W5520" s="1">
        <v>11.016</v>
      </c>
      <c r="X5520" s="1" t="s">
        <v>35</v>
      </c>
      <c r="Y5520" s="1">
        <v>11016</v>
      </c>
      <c r="Z5520" s="1"/>
      <c r="AA5520" s="1">
        <v>11016</v>
      </c>
      <c r="AB5520" s="1"/>
      <c r="AC5520" s="1" t="s">
        <v>36</v>
      </c>
      <c r="AD5520" s="1" t="s">
        <v>18665</v>
      </c>
      <c r="AE5520" s="1" t="s">
        <v>32</v>
      </c>
      <c r="AF5520" s="1" t="s">
        <v>33</v>
      </c>
      <c r="AG5520" s="1" t="s">
        <v>41</v>
      </c>
    </row>
    <row r="5521" spans="1:33">
      <c r="A5521" t="s">
        <v>18666</v>
      </c>
      <c r="C5521" t="s">
        <v>638</v>
      </c>
      <c r="D5521" t="s">
        <v>154</v>
      </c>
      <c r="E5521" t="s">
        <v>18429</v>
      </c>
      <c r="F5521" t="s">
        <v>18430</v>
      </c>
      <c r="G5521">
        <v>597.05</v>
      </c>
      <c r="H5521">
        <v>597.05</v>
      </c>
      <c r="I5521" t="s">
        <v>227</v>
      </c>
      <c r="J5521" t="s">
        <v>228</v>
      </c>
      <c r="K5521" t="s">
        <v>31</v>
      </c>
      <c r="L5521" t="s">
        <v>32</v>
      </c>
      <c r="M5521" t="s">
        <v>33</v>
      </c>
      <c r="P5521" s="1" t="s">
        <v>18667</v>
      </c>
      <c r="Q5521" s="1" t="s">
        <v>18429</v>
      </c>
      <c r="R5521" s="1" t="s">
        <v>18429</v>
      </c>
      <c r="S5521" s="1"/>
      <c r="T5521" s="1" t="s">
        <v>640</v>
      </c>
      <c r="U5521" s="1" t="s">
        <v>641</v>
      </c>
      <c r="V5521" s="1">
        <v>597.05</v>
      </c>
      <c r="W5521" s="1">
        <v>597.05</v>
      </c>
      <c r="X5521" s="1" t="s">
        <v>35</v>
      </c>
      <c r="Y5521" s="1">
        <v>597050</v>
      </c>
      <c r="Z5521" s="1"/>
      <c r="AA5521" s="1">
        <v>597050</v>
      </c>
      <c r="AB5521" s="1"/>
      <c r="AC5521" s="1" t="s">
        <v>36</v>
      </c>
      <c r="AD5521" s="1" t="s">
        <v>18668</v>
      </c>
      <c r="AE5521" s="1" t="s">
        <v>32</v>
      </c>
      <c r="AF5521" s="1" t="s">
        <v>33</v>
      </c>
      <c r="AG5521" s="1" t="s">
        <v>228</v>
      </c>
    </row>
    <row r="5522" spans="1:33">
      <c r="A5522" t="s">
        <v>18669</v>
      </c>
      <c r="C5522" t="s">
        <v>1053</v>
      </c>
      <c r="E5522" t="s">
        <v>18429</v>
      </c>
      <c r="F5522" t="s">
        <v>18430</v>
      </c>
      <c r="G5522">
        <v>855.0</v>
      </c>
      <c r="H5522">
        <v>855.0</v>
      </c>
      <c r="I5522" t="s">
        <v>179</v>
      </c>
      <c r="J5522" t="s">
        <v>180</v>
      </c>
      <c r="K5522" t="s">
        <v>31</v>
      </c>
      <c r="L5522" t="s">
        <v>32</v>
      </c>
      <c r="M5522" t="s">
        <v>33</v>
      </c>
      <c r="P5522" s="1" t="s">
        <v>18670</v>
      </c>
      <c r="Q5522" s="1" t="s">
        <v>18429</v>
      </c>
      <c r="R5522" s="1" t="s">
        <v>18429</v>
      </c>
      <c r="S5522" s="1"/>
      <c r="T5522" s="1" t="s">
        <v>1053</v>
      </c>
      <c r="U5522" s="1"/>
      <c r="V5522" s="1">
        <v>855.0</v>
      </c>
      <c r="W5522" s="1">
        <v>855.0</v>
      </c>
      <c r="X5522" s="1" t="s">
        <v>35</v>
      </c>
      <c r="Y5522" s="1">
        <v>855000</v>
      </c>
      <c r="Z5522" s="1"/>
      <c r="AA5522" s="1">
        <v>855000</v>
      </c>
      <c r="AB5522" s="1"/>
      <c r="AC5522" s="1" t="s">
        <v>36</v>
      </c>
      <c r="AD5522" s="1" t="s">
        <v>18662</v>
      </c>
      <c r="AE5522" s="1" t="s">
        <v>32</v>
      </c>
      <c r="AF5522" s="1" t="s">
        <v>33</v>
      </c>
      <c r="AG5522" s="1" t="s">
        <v>180</v>
      </c>
    </row>
    <row r="5523" spans="1:33">
      <c r="A5523" t="s">
        <v>18671</v>
      </c>
      <c r="B5523" t="s">
        <v>18672</v>
      </c>
      <c r="C5523" t="s">
        <v>131</v>
      </c>
      <c r="E5523" t="s">
        <v>18429</v>
      </c>
      <c r="F5523" t="s">
        <v>18430</v>
      </c>
      <c r="G5523">
        <v>13.096</v>
      </c>
      <c r="H5523">
        <v>13.096</v>
      </c>
      <c r="I5523" t="s">
        <v>94</v>
      </c>
      <c r="J5523" t="s">
        <v>95</v>
      </c>
      <c r="K5523" t="s">
        <v>31</v>
      </c>
      <c r="L5523" t="s">
        <v>32</v>
      </c>
      <c r="M5523" t="s">
        <v>33</v>
      </c>
      <c r="P5523" s="1" t="s">
        <v>18673</v>
      </c>
      <c r="Q5523" s="1" t="s">
        <v>18429</v>
      </c>
      <c r="R5523" s="1" t="s">
        <v>18429</v>
      </c>
      <c r="S5523" s="1"/>
      <c r="T5523" s="1" t="s">
        <v>131</v>
      </c>
      <c r="U5523" s="1"/>
      <c r="V5523" s="1">
        <v>13.096</v>
      </c>
      <c r="W5523" s="1">
        <v>13.096</v>
      </c>
      <c r="X5523" s="1" t="s">
        <v>35</v>
      </c>
      <c r="Y5523" s="1">
        <v>13096</v>
      </c>
      <c r="Z5523" s="1"/>
      <c r="AA5523" s="1">
        <v>13096</v>
      </c>
      <c r="AB5523" s="1"/>
      <c r="AC5523" s="1" t="s">
        <v>36</v>
      </c>
      <c r="AD5523" s="1" t="s">
        <v>18674</v>
      </c>
      <c r="AE5523" s="1" t="s">
        <v>32</v>
      </c>
      <c r="AF5523" s="1" t="s">
        <v>33</v>
      </c>
      <c r="AG5523" s="1" t="s">
        <v>95</v>
      </c>
    </row>
    <row r="5524" spans="1:33">
      <c r="A5524" t="s">
        <v>18675</v>
      </c>
      <c r="B5524" t="s">
        <v>18676</v>
      </c>
      <c r="C5524" t="s">
        <v>268</v>
      </c>
      <c r="E5524" t="s">
        <v>18429</v>
      </c>
      <c r="F5524" t="s">
        <v>18430</v>
      </c>
      <c r="G5524">
        <v>49.75</v>
      </c>
      <c r="H5524">
        <v>49.75</v>
      </c>
      <c r="I5524" t="s">
        <v>269</v>
      </c>
      <c r="J5524" t="s">
        <v>270</v>
      </c>
      <c r="K5524" t="s">
        <v>31</v>
      </c>
      <c r="L5524" t="s">
        <v>32</v>
      </c>
      <c r="M5524" t="s">
        <v>33</v>
      </c>
      <c r="P5524" s="1" t="s">
        <v>18677</v>
      </c>
      <c r="Q5524" s="1" t="s">
        <v>18429</v>
      </c>
      <c r="R5524" s="1" t="s">
        <v>18429</v>
      </c>
      <c r="S5524" s="1"/>
      <c r="T5524" s="1" t="s">
        <v>268</v>
      </c>
      <c r="U5524" s="1"/>
      <c r="V5524" s="1">
        <v>49.75</v>
      </c>
      <c r="W5524" s="1">
        <v>49.75</v>
      </c>
      <c r="X5524" s="1" t="s">
        <v>35</v>
      </c>
      <c r="Y5524" s="1">
        <v>49750</v>
      </c>
      <c r="Z5524" s="1"/>
      <c r="AA5524" s="1">
        <v>49750</v>
      </c>
      <c r="AB5524" s="1"/>
      <c r="AC5524" s="1" t="s">
        <v>36</v>
      </c>
      <c r="AD5524" s="1" t="s">
        <v>18678</v>
      </c>
      <c r="AE5524" s="1" t="s">
        <v>32</v>
      </c>
      <c r="AF5524" s="1" t="s">
        <v>33</v>
      </c>
      <c r="AG5524" s="1" t="s">
        <v>270</v>
      </c>
    </row>
    <row r="5525" spans="1:33">
      <c r="A5525" t="s">
        <v>18679</v>
      </c>
      <c r="B5525" t="s">
        <v>8273</v>
      </c>
      <c r="C5525" t="s">
        <v>68</v>
      </c>
      <c r="E5525" t="s">
        <v>18429</v>
      </c>
      <c r="F5525" t="s">
        <v>18430</v>
      </c>
      <c r="G5525">
        <v>15.495</v>
      </c>
      <c r="H5525">
        <v>15.495</v>
      </c>
      <c r="I5525" t="s">
        <v>59</v>
      </c>
      <c r="J5525" t="s">
        <v>60</v>
      </c>
      <c r="K5525" t="s">
        <v>31</v>
      </c>
      <c r="L5525" t="s">
        <v>32</v>
      </c>
      <c r="M5525" t="s">
        <v>33</v>
      </c>
      <c r="P5525" s="1" t="s">
        <v>18680</v>
      </c>
      <c r="Q5525" s="1" t="s">
        <v>18429</v>
      </c>
      <c r="R5525" s="1" t="s">
        <v>18429</v>
      </c>
      <c r="S5525" s="1"/>
      <c r="T5525" s="1" t="s">
        <v>68</v>
      </c>
      <c r="U5525" s="1"/>
      <c r="V5525" s="1">
        <v>15.495</v>
      </c>
      <c r="W5525" s="1">
        <v>15.495</v>
      </c>
      <c r="X5525" s="1" t="s">
        <v>35</v>
      </c>
      <c r="Y5525" s="1">
        <v>15495</v>
      </c>
      <c r="Z5525" s="1"/>
      <c r="AA5525" s="1">
        <v>15495</v>
      </c>
      <c r="AB5525" s="1"/>
      <c r="AC5525" s="1" t="s">
        <v>36</v>
      </c>
      <c r="AD5525" s="1" t="s">
        <v>18681</v>
      </c>
      <c r="AE5525" s="1" t="s">
        <v>32</v>
      </c>
      <c r="AF5525" s="1" t="s">
        <v>33</v>
      </c>
      <c r="AG5525" s="1" t="s">
        <v>60</v>
      </c>
    </row>
    <row r="5526" spans="1:33">
      <c r="A5526" t="s">
        <v>18682</v>
      </c>
      <c r="B5526" t="s">
        <v>6928</v>
      </c>
      <c r="C5526" t="s">
        <v>314</v>
      </c>
      <c r="E5526" t="s">
        <v>18429</v>
      </c>
      <c r="F5526" t="s">
        <v>18430</v>
      </c>
      <c r="G5526">
        <v>47.58</v>
      </c>
      <c r="H5526">
        <v>47.58</v>
      </c>
      <c r="I5526" t="s">
        <v>179</v>
      </c>
      <c r="J5526" t="s">
        <v>180</v>
      </c>
      <c r="K5526" t="s">
        <v>31</v>
      </c>
      <c r="L5526" t="s">
        <v>32</v>
      </c>
      <c r="M5526" t="s">
        <v>33</v>
      </c>
      <c r="P5526" s="1" t="s">
        <v>18683</v>
      </c>
      <c r="Q5526" s="1" t="s">
        <v>18429</v>
      </c>
      <c r="R5526" s="1" t="s">
        <v>18429</v>
      </c>
      <c r="S5526" s="1"/>
      <c r="T5526" s="1" t="s">
        <v>314</v>
      </c>
      <c r="U5526" s="1"/>
      <c r="V5526" s="1">
        <v>47.58</v>
      </c>
      <c r="W5526" s="1">
        <v>47.58</v>
      </c>
      <c r="X5526" s="1" t="s">
        <v>35</v>
      </c>
      <c r="Y5526" s="1">
        <v>47580</v>
      </c>
      <c r="Z5526" s="1"/>
      <c r="AA5526" s="1">
        <v>47580</v>
      </c>
      <c r="AB5526" s="1"/>
      <c r="AC5526" s="1" t="s">
        <v>36</v>
      </c>
      <c r="AD5526" s="1" t="s">
        <v>18684</v>
      </c>
      <c r="AE5526" s="1" t="s">
        <v>32</v>
      </c>
      <c r="AF5526" s="1" t="s">
        <v>33</v>
      </c>
      <c r="AG5526" s="1" t="s">
        <v>180</v>
      </c>
    </row>
    <row r="5527" spans="1:33">
      <c r="A5527" t="s">
        <v>18685</v>
      </c>
      <c r="B5527" t="s">
        <v>18686</v>
      </c>
      <c r="C5527" t="s">
        <v>68</v>
      </c>
      <c r="E5527" t="s">
        <v>18429</v>
      </c>
      <c r="F5527" t="s">
        <v>18430</v>
      </c>
      <c r="G5527">
        <v>9.196</v>
      </c>
      <c r="H5527">
        <v>9.196</v>
      </c>
      <c r="I5527" t="s">
        <v>59</v>
      </c>
      <c r="J5527" t="s">
        <v>60</v>
      </c>
      <c r="K5527" t="s">
        <v>31</v>
      </c>
      <c r="L5527" t="s">
        <v>32</v>
      </c>
      <c r="M5527" t="s">
        <v>33</v>
      </c>
      <c r="P5527" s="1" t="s">
        <v>18687</v>
      </c>
      <c r="Q5527" s="1" t="s">
        <v>18429</v>
      </c>
      <c r="R5527" s="1" t="s">
        <v>18429</v>
      </c>
      <c r="S5527" s="1"/>
      <c r="T5527" s="1" t="s">
        <v>68</v>
      </c>
      <c r="U5527" s="1"/>
      <c r="V5527" s="1">
        <v>9.196</v>
      </c>
      <c r="W5527" s="1">
        <v>9.196</v>
      </c>
      <c r="X5527" s="1" t="s">
        <v>35</v>
      </c>
      <c r="Y5527" s="1">
        <v>9196</v>
      </c>
      <c r="Z5527" s="1"/>
      <c r="AA5527" s="1">
        <v>9196</v>
      </c>
      <c r="AB5527" s="1"/>
      <c r="AC5527" s="1" t="s">
        <v>36</v>
      </c>
      <c r="AD5527" s="1" t="s">
        <v>18688</v>
      </c>
      <c r="AE5527" s="1" t="s">
        <v>32</v>
      </c>
      <c r="AF5527" s="1" t="s">
        <v>33</v>
      </c>
      <c r="AG5527" s="1" t="s">
        <v>60</v>
      </c>
    </row>
    <row r="5528" spans="1:33">
      <c r="A5528" t="s">
        <v>18689</v>
      </c>
      <c r="B5528" t="s">
        <v>9556</v>
      </c>
      <c r="C5528" t="s">
        <v>314</v>
      </c>
      <c r="E5528" t="s">
        <v>18429</v>
      </c>
      <c r="F5528" t="s">
        <v>18430</v>
      </c>
      <c r="G5528">
        <v>30.49</v>
      </c>
      <c r="H5528">
        <v>30.49</v>
      </c>
      <c r="I5528" t="s">
        <v>179</v>
      </c>
      <c r="J5528" t="s">
        <v>180</v>
      </c>
      <c r="K5528" t="s">
        <v>31</v>
      </c>
      <c r="L5528" t="s">
        <v>32</v>
      </c>
      <c r="M5528" t="s">
        <v>33</v>
      </c>
      <c r="P5528" s="1" t="s">
        <v>18690</v>
      </c>
      <c r="Q5528" s="1" t="s">
        <v>18429</v>
      </c>
      <c r="R5528" s="1" t="s">
        <v>18429</v>
      </c>
      <c r="S5528" s="1"/>
      <c r="T5528" s="1" t="s">
        <v>314</v>
      </c>
      <c r="U5528" s="1"/>
      <c r="V5528" s="1">
        <v>30.49</v>
      </c>
      <c r="W5528" s="1">
        <v>30.49</v>
      </c>
      <c r="X5528" s="1" t="s">
        <v>35</v>
      </c>
      <c r="Y5528" s="1">
        <v>30490</v>
      </c>
      <c r="Z5528" s="1"/>
      <c r="AA5528" s="1">
        <v>30490</v>
      </c>
      <c r="AB5528" s="1"/>
      <c r="AC5528" s="1" t="s">
        <v>36</v>
      </c>
      <c r="AD5528" s="1" t="s">
        <v>18691</v>
      </c>
      <c r="AE5528" s="1" t="s">
        <v>32</v>
      </c>
      <c r="AF5528" s="1" t="s">
        <v>33</v>
      </c>
      <c r="AG5528" s="1" t="s">
        <v>180</v>
      </c>
    </row>
    <row r="5529" spans="1:33">
      <c r="A5529" t="s">
        <v>18692</v>
      </c>
      <c r="B5529" t="s">
        <v>18693</v>
      </c>
      <c r="C5529" t="s">
        <v>314</v>
      </c>
      <c r="E5529" t="s">
        <v>18429</v>
      </c>
      <c r="F5529" t="s">
        <v>18430</v>
      </c>
      <c r="G5529">
        <v>61.27</v>
      </c>
      <c r="H5529">
        <v>61.27</v>
      </c>
      <c r="I5529" t="s">
        <v>179</v>
      </c>
      <c r="J5529" t="s">
        <v>180</v>
      </c>
      <c r="K5529" t="s">
        <v>31</v>
      </c>
      <c r="L5529" t="s">
        <v>32</v>
      </c>
      <c r="M5529" t="s">
        <v>33</v>
      </c>
      <c r="P5529" s="1" t="s">
        <v>18694</v>
      </c>
      <c r="Q5529" s="1" t="s">
        <v>18429</v>
      </c>
      <c r="R5529" s="1" t="s">
        <v>18429</v>
      </c>
      <c r="S5529" s="1"/>
      <c r="T5529" s="1" t="s">
        <v>314</v>
      </c>
      <c r="U5529" s="1"/>
      <c r="V5529" s="1">
        <v>61.27</v>
      </c>
      <c r="W5529" s="1">
        <v>61.27</v>
      </c>
      <c r="X5529" s="1" t="s">
        <v>35</v>
      </c>
      <c r="Y5529" s="1">
        <v>61270</v>
      </c>
      <c r="Z5529" s="1"/>
      <c r="AA5529" s="1">
        <v>61270</v>
      </c>
      <c r="AB5529" s="1"/>
      <c r="AC5529" s="1" t="s">
        <v>36</v>
      </c>
      <c r="AD5529" s="1" t="s">
        <v>18695</v>
      </c>
      <c r="AE5529" s="1" t="s">
        <v>32</v>
      </c>
      <c r="AF5529" s="1" t="s">
        <v>33</v>
      </c>
      <c r="AG5529" s="1" t="s">
        <v>180</v>
      </c>
    </row>
    <row r="5530" spans="1:33">
      <c r="A5530" t="s">
        <v>18696</v>
      </c>
      <c r="B5530" t="s">
        <v>1317</v>
      </c>
      <c r="C5530" t="s">
        <v>1318</v>
      </c>
      <c r="E5530" t="s">
        <v>18429</v>
      </c>
      <c r="F5530" t="s">
        <v>18430</v>
      </c>
      <c r="G5530">
        <v>740.0</v>
      </c>
      <c r="H5530">
        <v>740.0</v>
      </c>
      <c r="I5530" t="s">
        <v>59</v>
      </c>
      <c r="J5530" t="s">
        <v>60</v>
      </c>
      <c r="K5530" t="s">
        <v>31</v>
      </c>
      <c r="L5530" t="s">
        <v>32</v>
      </c>
      <c r="M5530" t="s">
        <v>33</v>
      </c>
      <c r="P5530" s="1" t="s">
        <v>18697</v>
      </c>
      <c r="Q5530" s="1" t="s">
        <v>18429</v>
      </c>
      <c r="R5530" s="1" t="s">
        <v>18429</v>
      </c>
      <c r="S5530" s="1"/>
      <c r="T5530" s="1" t="s">
        <v>1318</v>
      </c>
      <c r="U5530" s="1"/>
      <c r="V5530" s="1">
        <v>740.0</v>
      </c>
      <c r="W5530" s="1">
        <v>740.0</v>
      </c>
      <c r="X5530" s="1" t="s">
        <v>35</v>
      </c>
      <c r="Y5530" s="1">
        <v>740000</v>
      </c>
      <c r="Z5530" s="1"/>
      <c r="AA5530" s="1">
        <v>740000</v>
      </c>
      <c r="AB5530" s="1"/>
      <c r="AC5530" s="1" t="s">
        <v>36</v>
      </c>
      <c r="AD5530" s="1" t="s">
        <v>18665</v>
      </c>
      <c r="AE5530" s="1" t="s">
        <v>32</v>
      </c>
      <c r="AF5530" s="1" t="s">
        <v>33</v>
      </c>
      <c r="AG5530" s="1" t="s">
        <v>60</v>
      </c>
    </row>
    <row r="5531" spans="1:33">
      <c r="A5531" t="s">
        <v>18698</v>
      </c>
      <c r="B5531" t="s">
        <v>18699</v>
      </c>
      <c r="C5531" t="s">
        <v>314</v>
      </c>
      <c r="E5531" t="s">
        <v>18429</v>
      </c>
      <c r="F5531" t="s">
        <v>18430</v>
      </c>
      <c r="G5531">
        <v>66.72</v>
      </c>
      <c r="H5531">
        <v>66.72</v>
      </c>
      <c r="I5531" t="s">
        <v>179</v>
      </c>
      <c r="J5531" t="s">
        <v>180</v>
      </c>
      <c r="K5531" t="s">
        <v>31</v>
      </c>
      <c r="L5531" t="s">
        <v>32</v>
      </c>
      <c r="M5531" t="s">
        <v>33</v>
      </c>
      <c r="P5531" s="1" t="s">
        <v>18700</v>
      </c>
      <c r="Q5531" s="1" t="s">
        <v>18429</v>
      </c>
      <c r="R5531" s="1" t="s">
        <v>18429</v>
      </c>
      <c r="S5531" s="1"/>
      <c r="T5531" s="1" t="s">
        <v>314</v>
      </c>
      <c r="U5531" s="1"/>
      <c r="V5531" s="1">
        <v>66.72</v>
      </c>
      <c r="W5531" s="1">
        <v>66.72</v>
      </c>
      <c r="X5531" s="1" t="s">
        <v>35</v>
      </c>
      <c r="Y5531" s="1">
        <v>66720</v>
      </c>
      <c r="Z5531" s="1"/>
      <c r="AA5531" s="1">
        <v>66720</v>
      </c>
      <c r="AB5531" s="1"/>
      <c r="AC5531" s="1" t="s">
        <v>36</v>
      </c>
      <c r="AD5531" s="1" t="s">
        <v>18701</v>
      </c>
      <c r="AE5531" s="1" t="s">
        <v>32</v>
      </c>
      <c r="AF5531" s="1" t="s">
        <v>33</v>
      </c>
      <c r="AG5531" s="1" t="s">
        <v>180</v>
      </c>
    </row>
    <row r="5532" spans="1:33">
      <c r="A5532" t="s">
        <v>18702</v>
      </c>
      <c r="C5532" t="s">
        <v>1720</v>
      </c>
      <c r="E5532" t="s">
        <v>18429</v>
      </c>
      <c r="F5532" t="s">
        <v>18430</v>
      </c>
      <c r="G5532">
        <v>400.0</v>
      </c>
      <c r="H5532">
        <v>400.0</v>
      </c>
      <c r="I5532" t="s">
        <v>173</v>
      </c>
      <c r="J5532" t="s">
        <v>174</v>
      </c>
      <c r="K5532" t="s">
        <v>31</v>
      </c>
      <c r="L5532" t="s">
        <v>32</v>
      </c>
      <c r="M5532" t="s">
        <v>33</v>
      </c>
      <c r="P5532" s="1" t="s">
        <v>18703</v>
      </c>
      <c r="Q5532" s="1" t="s">
        <v>18429</v>
      </c>
      <c r="R5532" s="1" t="s">
        <v>18429</v>
      </c>
      <c r="S5532" s="1"/>
      <c r="T5532" s="1" t="s">
        <v>1720</v>
      </c>
      <c r="U5532" s="1"/>
      <c r="V5532" s="1">
        <v>400.0</v>
      </c>
      <c r="W5532" s="1">
        <v>400.0</v>
      </c>
      <c r="X5532" s="1" t="s">
        <v>35</v>
      </c>
      <c r="Y5532" s="1">
        <v>400000</v>
      </c>
      <c r="Z5532" s="1"/>
      <c r="AA5532" s="1">
        <v>400000</v>
      </c>
      <c r="AB5532" s="1"/>
      <c r="AC5532" s="1" t="s">
        <v>36</v>
      </c>
      <c r="AD5532" s="1" t="s">
        <v>18681</v>
      </c>
      <c r="AE5532" s="1" t="s">
        <v>32</v>
      </c>
      <c r="AF5532" s="1" t="s">
        <v>33</v>
      </c>
      <c r="AG5532" s="1" t="s">
        <v>174</v>
      </c>
    </row>
    <row r="5533" spans="1:33">
      <c r="A5533" t="s">
        <v>18704</v>
      </c>
      <c r="B5533" t="s">
        <v>826</v>
      </c>
      <c r="C5533" t="s">
        <v>827</v>
      </c>
      <c r="D5533" t="s">
        <v>154</v>
      </c>
      <c r="E5533" t="s">
        <v>18429</v>
      </c>
      <c r="F5533" t="s">
        <v>18430</v>
      </c>
      <c r="G5533">
        <v>1.342</v>
      </c>
      <c r="H5533">
        <v>1.342</v>
      </c>
      <c r="I5533" t="s">
        <v>529</v>
      </c>
      <c r="J5533" t="s">
        <v>530</v>
      </c>
      <c r="K5533" t="s">
        <v>31</v>
      </c>
      <c r="L5533" t="s">
        <v>32</v>
      </c>
      <c r="M5533" t="s">
        <v>33</v>
      </c>
      <c r="P5533" s="1" t="s">
        <v>18705</v>
      </c>
      <c r="Q5533" s="1" t="s">
        <v>18429</v>
      </c>
      <c r="R5533" s="1" t="s">
        <v>18474</v>
      </c>
      <c r="S5533" s="1"/>
      <c r="T5533" s="1" t="s">
        <v>827</v>
      </c>
      <c r="U5533" s="1"/>
      <c r="V5533" s="1">
        <v>1.342</v>
      </c>
      <c r="W5533" s="1">
        <v>1.342</v>
      </c>
      <c r="X5533" s="1" t="s">
        <v>35</v>
      </c>
      <c r="Y5533" s="1">
        <v>1342122</v>
      </c>
      <c r="Z5533" s="1"/>
      <c r="AA5533" s="1">
        <v>1342122</v>
      </c>
      <c r="AB5533" s="1"/>
      <c r="AC5533" s="1" t="s">
        <v>36</v>
      </c>
      <c r="AD5533" s="1" t="s">
        <v>18482</v>
      </c>
      <c r="AE5533" s="1" t="s">
        <v>32</v>
      </c>
      <c r="AF5533" s="1" t="s">
        <v>33</v>
      </c>
      <c r="AG5533" s="1" t="s">
        <v>530</v>
      </c>
    </row>
    <row r="5534" spans="1:33">
      <c r="A5534" t="s">
        <v>18706</v>
      </c>
      <c r="C5534" t="s">
        <v>2787</v>
      </c>
      <c r="E5534" t="s">
        <v>18429</v>
      </c>
      <c r="F5534" t="s">
        <v>18430</v>
      </c>
      <c r="G5534">
        <v>630.0</v>
      </c>
      <c r="H5534">
        <v>630.0</v>
      </c>
      <c r="I5534" t="s">
        <v>173</v>
      </c>
      <c r="J5534" t="s">
        <v>174</v>
      </c>
      <c r="K5534" t="s">
        <v>31</v>
      </c>
      <c r="L5534" t="s">
        <v>32</v>
      </c>
      <c r="M5534" t="s">
        <v>33</v>
      </c>
      <c r="P5534" s="1" t="s">
        <v>18707</v>
      </c>
      <c r="Q5534" s="1" t="s">
        <v>18429</v>
      </c>
      <c r="R5534" s="1" t="s">
        <v>18429</v>
      </c>
      <c r="S5534" s="1"/>
      <c r="T5534" s="1" t="s">
        <v>2789</v>
      </c>
      <c r="U5534" s="1" t="s">
        <v>2790</v>
      </c>
      <c r="V5534" s="1">
        <v>630.0</v>
      </c>
      <c r="W5534" s="1">
        <v>630.0</v>
      </c>
      <c r="X5534" s="1" t="s">
        <v>35</v>
      </c>
      <c r="Y5534" s="1">
        <v>630000</v>
      </c>
      <c r="Z5534" s="1"/>
      <c r="AA5534" s="1">
        <v>630000</v>
      </c>
      <c r="AB5534" s="1"/>
      <c r="AC5534" s="1" t="s">
        <v>36</v>
      </c>
      <c r="AD5534" s="1" t="s">
        <v>18665</v>
      </c>
      <c r="AE5534" s="1" t="s">
        <v>32</v>
      </c>
      <c r="AF5534" s="1" t="s">
        <v>33</v>
      </c>
      <c r="AG5534" s="1" t="s">
        <v>174</v>
      </c>
    </row>
    <row r="5535" spans="1:33">
      <c r="A5535" t="s">
        <v>18708</v>
      </c>
      <c r="C5535" t="s">
        <v>3087</v>
      </c>
      <c r="D5535" t="s">
        <v>154</v>
      </c>
      <c r="E5535" t="s">
        <v>18429</v>
      </c>
      <c r="F5535" t="s">
        <v>18430</v>
      </c>
      <c r="G5535">
        <v>504.0</v>
      </c>
      <c r="H5535">
        <v>504.0</v>
      </c>
      <c r="I5535" t="s">
        <v>2206</v>
      </c>
      <c r="J5535" t="s">
        <v>49</v>
      </c>
      <c r="K5535" t="s">
        <v>31</v>
      </c>
      <c r="L5535" t="s">
        <v>32</v>
      </c>
      <c r="M5535" t="s">
        <v>33</v>
      </c>
      <c r="P5535" s="1" t="s">
        <v>18709</v>
      </c>
      <c r="Q5535" s="1" t="s">
        <v>18429</v>
      </c>
      <c r="R5535" s="1" t="s">
        <v>18429</v>
      </c>
      <c r="S5535" s="1"/>
      <c r="T5535" s="1" t="s">
        <v>3087</v>
      </c>
      <c r="U5535" s="1"/>
      <c r="V5535" s="1">
        <v>504.0</v>
      </c>
      <c r="W5535" s="1">
        <v>504.0</v>
      </c>
      <c r="X5535" s="1" t="s">
        <v>35</v>
      </c>
      <c r="Y5535" s="1">
        <v>504000</v>
      </c>
      <c r="Z5535" s="1"/>
      <c r="AA5535" s="1">
        <v>504000</v>
      </c>
      <c r="AB5535" s="1"/>
      <c r="AC5535" s="1" t="s">
        <v>36</v>
      </c>
      <c r="AD5535" s="1" t="s">
        <v>18710</v>
      </c>
      <c r="AE5535" s="1" t="s">
        <v>32</v>
      </c>
      <c r="AF5535" s="1" t="s">
        <v>33</v>
      </c>
      <c r="AG5535" s="1" t="s">
        <v>49</v>
      </c>
    </row>
    <row r="5536" spans="1:33">
      <c r="A5536" t="s">
        <v>18711</v>
      </c>
      <c r="B5536" t="s">
        <v>18712</v>
      </c>
      <c r="C5536" t="s">
        <v>131</v>
      </c>
      <c r="E5536" t="s">
        <v>18429</v>
      </c>
      <c r="F5536" t="s">
        <v>18430</v>
      </c>
      <c r="G5536">
        <v>169.0</v>
      </c>
      <c r="H5536">
        <v>169.0</v>
      </c>
      <c r="I5536" t="s">
        <v>94</v>
      </c>
      <c r="J5536" t="s">
        <v>95</v>
      </c>
      <c r="K5536" t="s">
        <v>31</v>
      </c>
      <c r="L5536" t="s">
        <v>32</v>
      </c>
      <c r="M5536" t="s">
        <v>33</v>
      </c>
      <c r="P5536" s="1" t="s">
        <v>18713</v>
      </c>
      <c r="Q5536" s="1" t="s">
        <v>18429</v>
      </c>
      <c r="R5536" s="1" t="s">
        <v>18429</v>
      </c>
      <c r="S5536" s="1"/>
      <c r="T5536" s="1" t="s">
        <v>131</v>
      </c>
      <c r="U5536" s="1"/>
      <c r="V5536" s="1">
        <v>169.0</v>
      </c>
      <c r="W5536" s="1">
        <v>169.0</v>
      </c>
      <c r="X5536" s="1" t="s">
        <v>35</v>
      </c>
      <c r="Y5536" s="1">
        <v>169000</v>
      </c>
      <c r="Z5536" s="1"/>
      <c r="AA5536" s="1">
        <v>169000</v>
      </c>
      <c r="AB5536" s="1"/>
      <c r="AC5536" s="1" t="s">
        <v>36</v>
      </c>
      <c r="AD5536" s="1" t="s">
        <v>18714</v>
      </c>
      <c r="AE5536" s="1" t="s">
        <v>32</v>
      </c>
      <c r="AF5536" s="1" t="s">
        <v>33</v>
      </c>
      <c r="AG5536" s="1" t="s">
        <v>95</v>
      </c>
    </row>
    <row r="5537" spans="1:33">
      <c r="A5537" t="s">
        <v>18715</v>
      </c>
      <c r="B5537" t="s">
        <v>18716</v>
      </c>
      <c r="C5537" t="s">
        <v>68</v>
      </c>
      <c r="E5537" t="s">
        <v>18429</v>
      </c>
      <c r="F5537" t="s">
        <v>18430</v>
      </c>
      <c r="G5537">
        <v>4.418</v>
      </c>
      <c r="H5537">
        <v>4.418</v>
      </c>
      <c r="I5537" t="s">
        <v>59</v>
      </c>
      <c r="J5537" t="s">
        <v>60</v>
      </c>
      <c r="K5537" t="s">
        <v>31</v>
      </c>
      <c r="L5537" t="s">
        <v>32</v>
      </c>
      <c r="M5537" t="s">
        <v>33</v>
      </c>
      <c r="P5537" s="1" t="s">
        <v>18717</v>
      </c>
      <c r="Q5537" s="1" t="s">
        <v>18429</v>
      </c>
      <c r="R5537" s="1" t="s">
        <v>18429</v>
      </c>
      <c r="S5537" s="1"/>
      <c r="T5537" s="1" t="s">
        <v>68</v>
      </c>
      <c r="U5537" s="1"/>
      <c r="V5537" s="1">
        <v>4.418</v>
      </c>
      <c r="W5537" s="1">
        <v>4.418</v>
      </c>
      <c r="X5537" s="1" t="s">
        <v>35</v>
      </c>
      <c r="Y5537" s="1">
        <v>4418</v>
      </c>
      <c r="Z5537" s="1"/>
      <c r="AA5537" s="1">
        <v>4418</v>
      </c>
      <c r="AB5537" s="1"/>
      <c r="AC5537" s="1" t="s">
        <v>36</v>
      </c>
      <c r="AD5537" s="1" t="s">
        <v>18714</v>
      </c>
      <c r="AE5537" s="1" t="s">
        <v>32</v>
      </c>
      <c r="AF5537" s="1" t="s">
        <v>33</v>
      </c>
      <c r="AG5537" s="1" t="s">
        <v>60</v>
      </c>
    </row>
    <row r="5538" spans="1:33">
      <c r="A5538" t="s">
        <v>18718</v>
      </c>
      <c r="B5538" t="s">
        <v>18719</v>
      </c>
      <c r="C5538" t="s">
        <v>47</v>
      </c>
      <c r="E5538" t="s">
        <v>18429</v>
      </c>
      <c r="F5538" t="s">
        <v>18430</v>
      </c>
      <c r="G5538">
        <v>1.57</v>
      </c>
      <c r="H5538">
        <v>1.57</v>
      </c>
      <c r="I5538" t="s">
        <v>2206</v>
      </c>
      <c r="J5538" t="s">
        <v>49</v>
      </c>
      <c r="K5538" t="s">
        <v>31</v>
      </c>
      <c r="L5538" t="s">
        <v>32</v>
      </c>
      <c r="M5538" t="s">
        <v>33</v>
      </c>
      <c r="P5538" s="1" t="s">
        <v>18720</v>
      </c>
      <c r="Q5538" s="1" t="s">
        <v>18429</v>
      </c>
      <c r="R5538" s="1" t="s">
        <v>18429</v>
      </c>
      <c r="S5538" s="1"/>
      <c r="T5538" s="1" t="s">
        <v>47</v>
      </c>
      <c r="U5538" s="1"/>
      <c r="V5538" s="1">
        <v>1.57</v>
      </c>
      <c r="W5538" s="1">
        <v>1.57</v>
      </c>
      <c r="X5538" s="1" t="s">
        <v>35</v>
      </c>
      <c r="Y5538" s="1">
        <v>1570</v>
      </c>
      <c r="Z5538" s="1"/>
      <c r="AA5538" s="1">
        <v>1570</v>
      </c>
      <c r="AB5538" s="1"/>
      <c r="AC5538" s="1" t="s">
        <v>36</v>
      </c>
      <c r="AD5538" s="1" t="s">
        <v>18721</v>
      </c>
      <c r="AE5538" s="1" t="s">
        <v>32</v>
      </c>
      <c r="AF5538" s="1" t="s">
        <v>33</v>
      </c>
      <c r="AG5538" s="1" t="s">
        <v>49</v>
      </c>
    </row>
    <row r="5539" spans="1:33">
      <c r="A5539" t="s">
        <v>18722</v>
      </c>
      <c r="C5539" t="s">
        <v>3056</v>
      </c>
      <c r="E5539" t="s">
        <v>18429</v>
      </c>
      <c r="F5539" t="s">
        <v>18430</v>
      </c>
      <c r="G5539">
        <v>320.0</v>
      </c>
      <c r="H5539">
        <v>320.0</v>
      </c>
      <c r="I5539" t="s">
        <v>173</v>
      </c>
      <c r="J5539" t="s">
        <v>174</v>
      </c>
      <c r="K5539" t="s">
        <v>31</v>
      </c>
      <c r="L5539" t="s">
        <v>32</v>
      </c>
      <c r="M5539" t="s">
        <v>33</v>
      </c>
      <c r="P5539" s="1" t="s">
        <v>18723</v>
      </c>
      <c r="Q5539" s="1" t="s">
        <v>18429</v>
      </c>
      <c r="R5539" s="1" t="s">
        <v>18429</v>
      </c>
      <c r="S5539" s="1"/>
      <c r="T5539" s="1" t="s">
        <v>3056</v>
      </c>
      <c r="U5539" s="1"/>
      <c r="V5539" s="1">
        <v>320.0</v>
      </c>
      <c r="W5539" s="1">
        <v>320.0</v>
      </c>
      <c r="X5539" s="1" t="s">
        <v>35</v>
      </c>
      <c r="Y5539" s="1">
        <v>320000</v>
      </c>
      <c r="Z5539" s="1"/>
      <c r="AA5539" s="1">
        <v>320000</v>
      </c>
      <c r="AB5539" s="1"/>
      <c r="AC5539" s="1" t="s">
        <v>36</v>
      </c>
      <c r="AD5539" s="1" t="s">
        <v>18724</v>
      </c>
      <c r="AE5539" s="1" t="s">
        <v>32</v>
      </c>
      <c r="AF5539" s="1" t="s">
        <v>33</v>
      </c>
      <c r="AG5539" s="1" t="s">
        <v>174</v>
      </c>
    </row>
    <row r="5540" spans="1:33">
      <c r="A5540" t="s">
        <v>18725</v>
      </c>
      <c r="B5540" t="s">
        <v>4398</v>
      </c>
      <c r="C5540" t="s">
        <v>569</v>
      </c>
      <c r="E5540" t="s">
        <v>18429</v>
      </c>
      <c r="F5540" t="s">
        <v>18430</v>
      </c>
      <c r="G5540">
        <v>7.818</v>
      </c>
      <c r="H5540">
        <v>7.818</v>
      </c>
      <c r="I5540" t="s">
        <v>570</v>
      </c>
      <c r="J5540" t="s">
        <v>571</v>
      </c>
      <c r="K5540" t="s">
        <v>31</v>
      </c>
      <c r="L5540" t="s">
        <v>32</v>
      </c>
      <c r="M5540" t="s">
        <v>33</v>
      </c>
      <c r="P5540" s="1" t="s">
        <v>18726</v>
      </c>
      <c r="Q5540" s="1" t="s">
        <v>18429</v>
      </c>
      <c r="R5540" s="1" t="s">
        <v>18429</v>
      </c>
      <c r="S5540" s="1"/>
      <c r="T5540" s="1" t="s">
        <v>569</v>
      </c>
      <c r="U5540" s="1"/>
      <c r="V5540" s="1">
        <v>7.818</v>
      </c>
      <c r="W5540" s="1">
        <v>7.818</v>
      </c>
      <c r="X5540" s="1" t="s">
        <v>35</v>
      </c>
      <c r="Y5540" s="1">
        <v>7818</v>
      </c>
      <c r="Z5540" s="1"/>
      <c r="AA5540" s="1">
        <v>7818</v>
      </c>
      <c r="AB5540" s="1"/>
      <c r="AC5540" s="1" t="s">
        <v>36</v>
      </c>
      <c r="AD5540" s="1" t="s">
        <v>18724</v>
      </c>
      <c r="AE5540" s="1" t="s">
        <v>32</v>
      </c>
      <c r="AF5540" s="1" t="s">
        <v>33</v>
      </c>
      <c r="AG5540" s="1" t="s">
        <v>571</v>
      </c>
    </row>
    <row r="5541" spans="1:33">
      <c r="A5541" t="s">
        <v>18727</v>
      </c>
      <c r="B5541" t="s">
        <v>4040</v>
      </c>
      <c r="C5541" t="s">
        <v>4041</v>
      </c>
      <c r="E5541" t="s">
        <v>18429</v>
      </c>
      <c r="F5541" t="s">
        <v>18430</v>
      </c>
      <c r="G5541">
        <v>4.598</v>
      </c>
      <c r="H5541">
        <v>4.598</v>
      </c>
      <c r="I5541" t="s">
        <v>59</v>
      </c>
      <c r="J5541" t="s">
        <v>60</v>
      </c>
      <c r="K5541" t="s">
        <v>31</v>
      </c>
      <c r="L5541" t="s">
        <v>32</v>
      </c>
      <c r="M5541" t="s">
        <v>33</v>
      </c>
      <c r="P5541" s="1" t="s">
        <v>18728</v>
      </c>
      <c r="Q5541" s="1" t="s">
        <v>18429</v>
      </c>
      <c r="R5541" s="1" t="s">
        <v>18429</v>
      </c>
      <c r="S5541" s="1"/>
      <c r="T5541" s="1" t="s">
        <v>4041</v>
      </c>
      <c r="U5541" s="1"/>
      <c r="V5541" s="1">
        <v>4.598</v>
      </c>
      <c r="W5541" s="1">
        <v>4.598</v>
      </c>
      <c r="X5541" s="1" t="s">
        <v>35</v>
      </c>
      <c r="Y5541" s="1">
        <v>4598</v>
      </c>
      <c r="Z5541" s="1"/>
      <c r="AA5541" s="1">
        <v>4598</v>
      </c>
      <c r="AB5541" s="1"/>
      <c r="AC5541" s="1" t="s">
        <v>36</v>
      </c>
      <c r="AD5541" s="1" t="s">
        <v>18729</v>
      </c>
      <c r="AE5541" s="1" t="s">
        <v>32</v>
      </c>
      <c r="AF5541" s="1" t="s">
        <v>33</v>
      </c>
      <c r="AG5541" s="1" t="s">
        <v>60</v>
      </c>
    </row>
    <row r="5542" spans="1:33">
      <c r="A5542" t="s">
        <v>18730</v>
      </c>
      <c r="B5542" t="s">
        <v>18731</v>
      </c>
      <c r="C5542" t="s">
        <v>68</v>
      </c>
      <c r="E5542" t="s">
        <v>18429</v>
      </c>
      <c r="F5542" t="s">
        <v>18430</v>
      </c>
      <c r="G5542">
        <v>22.49</v>
      </c>
      <c r="H5542">
        <v>22.49</v>
      </c>
      <c r="I5542" t="s">
        <v>59</v>
      </c>
      <c r="J5542" t="s">
        <v>60</v>
      </c>
      <c r="K5542" t="s">
        <v>31</v>
      </c>
      <c r="L5542" t="s">
        <v>32</v>
      </c>
      <c r="M5542" t="s">
        <v>33</v>
      </c>
      <c r="P5542" s="1" t="s">
        <v>18732</v>
      </c>
      <c r="Q5542" s="1" t="s">
        <v>18429</v>
      </c>
      <c r="R5542" s="1" t="s">
        <v>18429</v>
      </c>
      <c r="S5542" s="1"/>
      <c r="T5542" s="1" t="s">
        <v>68</v>
      </c>
      <c r="U5542" s="1"/>
      <c r="V5542" s="1">
        <v>22.49</v>
      </c>
      <c r="W5542" s="1">
        <v>22.49</v>
      </c>
      <c r="X5542" s="1" t="s">
        <v>35</v>
      </c>
      <c r="Y5542" s="1">
        <v>22490</v>
      </c>
      <c r="Z5542" s="1"/>
      <c r="AA5542" s="1">
        <v>22490</v>
      </c>
      <c r="AB5542" s="1"/>
      <c r="AC5542" s="1" t="s">
        <v>36</v>
      </c>
      <c r="AD5542" s="1" t="s">
        <v>18733</v>
      </c>
      <c r="AE5542" s="1" t="s">
        <v>32</v>
      </c>
      <c r="AF5542" s="1" t="s">
        <v>33</v>
      </c>
      <c r="AG5542" s="1" t="s">
        <v>60</v>
      </c>
    </row>
    <row r="5543" spans="1:33">
      <c r="A5543" t="s">
        <v>18734</v>
      </c>
      <c r="C5543" t="s">
        <v>2617</v>
      </c>
      <c r="E5543" t="s">
        <v>18429</v>
      </c>
      <c r="F5543" t="s">
        <v>18430</v>
      </c>
      <c r="G5543">
        <v>655.0</v>
      </c>
      <c r="H5543">
        <v>655.0</v>
      </c>
      <c r="I5543" t="s">
        <v>179</v>
      </c>
      <c r="J5543" t="s">
        <v>180</v>
      </c>
      <c r="K5543" t="s">
        <v>31</v>
      </c>
      <c r="L5543" t="s">
        <v>32</v>
      </c>
      <c r="M5543" t="s">
        <v>33</v>
      </c>
      <c r="P5543" s="1" t="s">
        <v>18735</v>
      </c>
      <c r="Q5543" s="1" t="s">
        <v>18429</v>
      </c>
      <c r="R5543" s="1" t="s">
        <v>18429</v>
      </c>
      <c r="S5543" s="1"/>
      <c r="T5543" s="1" t="s">
        <v>2617</v>
      </c>
      <c r="U5543" s="1"/>
      <c r="V5543" s="1">
        <v>655.0</v>
      </c>
      <c r="W5543" s="1">
        <v>655.0</v>
      </c>
      <c r="X5543" s="1" t="s">
        <v>35</v>
      </c>
      <c r="Y5543" s="1">
        <v>655000</v>
      </c>
      <c r="Z5543" s="1"/>
      <c r="AA5543" s="1">
        <v>655000</v>
      </c>
      <c r="AB5543" s="1"/>
      <c r="AC5543" s="1" t="s">
        <v>36</v>
      </c>
      <c r="AD5543" s="1" t="s">
        <v>18714</v>
      </c>
      <c r="AE5543" s="1" t="s">
        <v>32</v>
      </c>
      <c r="AF5543" s="1" t="s">
        <v>33</v>
      </c>
      <c r="AG5543" s="1" t="s">
        <v>180</v>
      </c>
    </row>
    <row r="5544" spans="1:33">
      <c r="A5544" t="s">
        <v>18736</v>
      </c>
      <c r="C5544" t="s">
        <v>18737</v>
      </c>
      <c r="E5544" t="s">
        <v>18429</v>
      </c>
      <c r="F5544" t="s">
        <v>18430</v>
      </c>
      <c r="G5544">
        <v>500.0</v>
      </c>
      <c r="H5544">
        <v>500.0</v>
      </c>
      <c r="I5544" t="s">
        <v>40</v>
      </c>
      <c r="J5544" t="s">
        <v>41</v>
      </c>
      <c r="K5544" t="s">
        <v>31</v>
      </c>
      <c r="L5544" t="s">
        <v>32</v>
      </c>
      <c r="M5544" t="s">
        <v>33</v>
      </c>
      <c r="P5544" s="1" t="s">
        <v>18738</v>
      </c>
      <c r="Q5544" s="1" t="s">
        <v>18429</v>
      </c>
      <c r="R5544" s="1" t="s">
        <v>18474</v>
      </c>
      <c r="S5544" s="1"/>
      <c r="T5544" s="1" t="s">
        <v>18737</v>
      </c>
      <c r="U5544" s="1"/>
      <c r="V5544" s="1">
        <v>500.0</v>
      </c>
      <c r="W5544" s="1">
        <v>500.0</v>
      </c>
      <c r="X5544" s="1" t="s">
        <v>35</v>
      </c>
      <c r="Y5544" s="1">
        <v>500000</v>
      </c>
      <c r="Z5544" s="1"/>
      <c r="AA5544" s="1">
        <v>500000</v>
      </c>
      <c r="AB5544" s="1"/>
      <c r="AC5544" s="1" t="s">
        <v>36</v>
      </c>
      <c r="AD5544" s="1" t="s">
        <v>18739</v>
      </c>
      <c r="AE5544" s="1" t="s">
        <v>32</v>
      </c>
      <c r="AF5544" s="1" t="s">
        <v>33</v>
      </c>
      <c r="AG5544" s="1" t="s">
        <v>41</v>
      </c>
    </row>
    <row r="5545" spans="1:33">
      <c r="A5545" t="s">
        <v>18740</v>
      </c>
      <c r="B5545" t="s">
        <v>18741</v>
      </c>
      <c r="C5545" t="s">
        <v>47</v>
      </c>
      <c r="E5545" t="s">
        <v>18429</v>
      </c>
      <c r="F5545" t="s">
        <v>18430</v>
      </c>
      <c r="G5545">
        <v>59.47</v>
      </c>
      <c r="H5545">
        <v>59.47</v>
      </c>
      <c r="I5545" t="s">
        <v>2206</v>
      </c>
      <c r="J5545" t="s">
        <v>49</v>
      </c>
      <c r="K5545" t="s">
        <v>31</v>
      </c>
      <c r="L5545" t="s">
        <v>32</v>
      </c>
      <c r="M5545" t="s">
        <v>33</v>
      </c>
      <c r="P5545" s="1" t="s">
        <v>18742</v>
      </c>
      <c r="Q5545" s="1" t="s">
        <v>18429</v>
      </c>
      <c r="R5545" s="1" t="s">
        <v>18429</v>
      </c>
      <c r="S5545" s="1"/>
      <c r="T5545" s="1" t="s">
        <v>47</v>
      </c>
      <c r="U5545" s="1"/>
      <c r="V5545" s="1">
        <v>59.47</v>
      </c>
      <c r="W5545" s="1">
        <v>59.47</v>
      </c>
      <c r="X5545" s="1" t="s">
        <v>35</v>
      </c>
      <c r="Y5545" s="1">
        <v>59470</v>
      </c>
      <c r="Z5545" s="1"/>
      <c r="AA5545" s="1">
        <v>59470</v>
      </c>
      <c r="AB5545" s="1"/>
      <c r="AC5545" s="1" t="s">
        <v>36</v>
      </c>
      <c r="AD5545" s="1" t="s">
        <v>18729</v>
      </c>
      <c r="AE5545" s="1" t="s">
        <v>32</v>
      </c>
      <c r="AF5545" s="1" t="s">
        <v>33</v>
      </c>
      <c r="AG5545" s="1" t="s">
        <v>49</v>
      </c>
    </row>
    <row r="5546" spans="1:33">
      <c r="A5546" t="s">
        <v>18743</v>
      </c>
      <c r="C5546" t="s">
        <v>338</v>
      </c>
      <c r="E5546" t="s">
        <v>18429</v>
      </c>
      <c r="F5546" t="s">
        <v>18430</v>
      </c>
      <c r="G5546">
        <v>352.0</v>
      </c>
      <c r="H5546">
        <v>352.0</v>
      </c>
      <c r="I5546" t="s">
        <v>179</v>
      </c>
      <c r="J5546" t="s">
        <v>180</v>
      </c>
      <c r="K5546" t="s">
        <v>31</v>
      </c>
      <c r="L5546" t="s">
        <v>32</v>
      </c>
      <c r="M5546" t="s">
        <v>33</v>
      </c>
      <c r="P5546" s="1" t="s">
        <v>18744</v>
      </c>
      <c r="Q5546" s="1" t="s">
        <v>18429</v>
      </c>
      <c r="R5546" s="1" t="s">
        <v>18429</v>
      </c>
      <c r="S5546" s="1"/>
      <c r="T5546" s="1" t="s">
        <v>338</v>
      </c>
      <c r="U5546" s="1"/>
      <c r="V5546" s="1">
        <v>352.0</v>
      </c>
      <c r="W5546" s="1">
        <v>352.0</v>
      </c>
      <c r="X5546" s="1" t="s">
        <v>35</v>
      </c>
      <c r="Y5546" s="1">
        <v>352000</v>
      </c>
      <c r="Z5546" s="1"/>
      <c r="AA5546" s="1">
        <v>352000</v>
      </c>
      <c r="AB5546" s="1"/>
      <c r="AC5546" s="1" t="s">
        <v>36</v>
      </c>
      <c r="AD5546" s="1" t="s">
        <v>18733</v>
      </c>
      <c r="AE5546" s="1" t="s">
        <v>32</v>
      </c>
      <c r="AF5546" s="1" t="s">
        <v>33</v>
      </c>
      <c r="AG5546" s="1" t="s">
        <v>180</v>
      </c>
    </row>
    <row r="5547" spans="1:33">
      <c r="A5547" t="s">
        <v>18745</v>
      </c>
      <c r="B5547" t="s">
        <v>3224</v>
      </c>
      <c r="C5547" t="s">
        <v>3225</v>
      </c>
      <c r="D5547" t="s">
        <v>114</v>
      </c>
      <c r="E5547" t="s">
        <v>18429</v>
      </c>
      <c r="F5547" t="s">
        <v>18430</v>
      </c>
      <c r="G5547">
        <v>32.0</v>
      </c>
      <c r="H5547">
        <v>32.0</v>
      </c>
      <c r="I5547" t="s">
        <v>59</v>
      </c>
      <c r="J5547" t="s">
        <v>60</v>
      </c>
      <c r="K5547" t="s">
        <v>31</v>
      </c>
      <c r="L5547" t="s">
        <v>32</v>
      </c>
      <c r="M5547" t="s">
        <v>33</v>
      </c>
      <c r="P5547" s="1" t="s">
        <v>18746</v>
      </c>
      <c r="Q5547" s="1" t="s">
        <v>18429</v>
      </c>
      <c r="R5547" s="1" t="s">
        <v>18429</v>
      </c>
      <c r="S5547" s="1"/>
      <c r="T5547" s="1" t="s">
        <v>3227</v>
      </c>
      <c r="U5547" s="1" t="s">
        <v>3228</v>
      </c>
      <c r="V5547" s="1">
        <v>32.0</v>
      </c>
      <c r="W5547" s="1">
        <v>32.0</v>
      </c>
      <c r="X5547" s="1" t="s">
        <v>35</v>
      </c>
      <c r="Y5547" s="1">
        <v>32000</v>
      </c>
      <c r="Z5547" s="1"/>
      <c r="AA5547" s="1">
        <v>32000</v>
      </c>
      <c r="AB5547" s="1"/>
      <c r="AC5547" s="1" t="s">
        <v>36</v>
      </c>
      <c r="AD5547" s="1" t="s">
        <v>18747</v>
      </c>
      <c r="AE5547" s="1" t="s">
        <v>32</v>
      </c>
      <c r="AF5547" s="1" t="s">
        <v>33</v>
      </c>
      <c r="AG5547" s="1" t="s">
        <v>60</v>
      </c>
    </row>
    <row r="5548" spans="1:33">
      <c r="A5548" t="s">
        <v>18748</v>
      </c>
      <c r="B5548" t="s">
        <v>18749</v>
      </c>
      <c r="C5548" t="s">
        <v>68</v>
      </c>
      <c r="E5548" t="s">
        <v>18429</v>
      </c>
      <c r="F5548" t="s">
        <v>18430</v>
      </c>
      <c r="G5548">
        <v>13.396</v>
      </c>
      <c r="H5548">
        <v>13.396</v>
      </c>
      <c r="I5548" t="s">
        <v>59</v>
      </c>
      <c r="J5548" t="s">
        <v>60</v>
      </c>
      <c r="K5548" t="s">
        <v>31</v>
      </c>
      <c r="L5548" t="s">
        <v>32</v>
      </c>
      <c r="M5548" t="s">
        <v>33</v>
      </c>
      <c r="P5548" s="1" t="s">
        <v>18750</v>
      </c>
      <c r="Q5548" s="1" t="s">
        <v>18429</v>
      </c>
      <c r="R5548" s="1" t="s">
        <v>18429</v>
      </c>
      <c r="S5548" s="1"/>
      <c r="T5548" s="1" t="s">
        <v>68</v>
      </c>
      <c r="U5548" s="1"/>
      <c r="V5548" s="1">
        <v>13.396</v>
      </c>
      <c r="W5548" s="1">
        <v>13.396</v>
      </c>
      <c r="X5548" s="1" t="s">
        <v>35</v>
      </c>
      <c r="Y5548" s="1">
        <v>13396</v>
      </c>
      <c r="Z5548" s="1"/>
      <c r="AA5548" s="1">
        <v>13396</v>
      </c>
      <c r="AB5548" s="1"/>
      <c r="AC5548" s="1" t="s">
        <v>36</v>
      </c>
      <c r="AD5548" s="1" t="s">
        <v>18739</v>
      </c>
      <c r="AE5548" s="1" t="s">
        <v>32</v>
      </c>
      <c r="AF5548" s="1" t="s">
        <v>33</v>
      </c>
      <c r="AG5548" s="1" t="s">
        <v>60</v>
      </c>
    </row>
    <row r="5549" spans="1:33">
      <c r="A5549" t="s">
        <v>18751</v>
      </c>
      <c r="C5549" t="s">
        <v>187</v>
      </c>
      <c r="E5549" t="s">
        <v>18429</v>
      </c>
      <c r="F5549" t="s">
        <v>18430</v>
      </c>
      <c r="G5549">
        <v>87.116</v>
      </c>
      <c r="H5549">
        <v>87.116</v>
      </c>
      <c r="I5549" t="s">
        <v>179</v>
      </c>
      <c r="J5549" t="s">
        <v>180</v>
      </c>
      <c r="K5549" t="s">
        <v>31</v>
      </c>
      <c r="L5549" t="s">
        <v>32</v>
      </c>
      <c r="M5549" t="s">
        <v>33</v>
      </c>
      <c r="P5549" s="1" t="s">
        <v>18752</v>
      </c>
      <c r="Q5549" s="1" t="s">
        <v>18429</v>
      </c>
      <c r="R5549" s="1" t="s">
        <v>18429</v>
      </c>
      <c r="S5549" s="1"/>
      <c r="T5549" s="1" t="s">
        <v>187</v>
      </c>
      <c r="U5549" s="1"/>
      <c r="V5549" s="1">
        <v>87.116</v>
      </c>
      <c r="W5549" s="1">
        <v>87.116</v>
      </c>
      <c r="X5549" s="1" t="s">
        <v>35</v>
      </c>
      <c r="Y5549" s="1">
        <v>87116</v>
      </c>
      <c r="Z5549" s="1"/>
      <c r="AA5549" s="1">
        <v>87116</v>
      </c>
      <c r="AB5549" s="1"/>
      <c r="AC5549" s="1" t="s">
        <v>36</v>
      </c>
      <c r="AD5549" s="1" t="s">
        <v>18739</v>
      </c>
      <c r="AE5549" s="1" t="s">
        <v>32</v>
      </c>
      <c r="AF5549" s="1" t="s">
        <v>33</v>
      </c>
      <c r="AG5549" s="1" t="s">
        <v>180</v>
      </c>
    </row>
    <row r="5550" spans="1:33">
      <c r="A5550" t="s">
        <v>18753</v>
      </c>
      <c r="B5550" t="s">
        <v>3600</v>
      </c>
      <c r="C5550" t="s">
        <v>569</v>
      </c>
      <c r="E5550" t="s">
        <v>18429</v>
      </c>
      <c r="F5550" t="s">
        <v>18430</v>
      </c>
      <c r="G5550">
        <v>109.226</v>
      </c>
      <c r="H5550">
        <v>109.226</v>
      </c>
      <c r="I5550" t="s">
        <v>570</v>
      </c>
      <c r="J5550" t="s">
        <v>571</v>
      </c>
      <c r="K5550" t="s">
        <v>31</v>
      </c>
      <c r="L5550" t="s">
        <v>32</v>
      </c>
      <c r="M5550" t="s">
        <v>33</v>
      </c>
      <c r="P5550" s="1" t="s">
        <v>18754</v>
      </c>
      <c r="Q5550" s="1" t="s">
        <v>18429</v>
      </c>
      <c r="R5550" s="1" t="s">
        <v>18429</v>
      </c>
      <c r="S5550" s="1"/>
      <c r="T5550" s="1" t="s">
        <v>569</v>
      </c>
      <c r="U5550" s="1"/>
      <c r="V5550" s="1">
        <v>109.226</v>
      </c>
      <c r="W5550" s="1">
        <v>109.226</v>
      </c>
      <c r="X5550" s="1" t="s">
        <v>35</v>
      </c>
      <c r="Y5550" s="1">
        <v>109226</v>
      </c>
      <c r="Z5550" s="1"/>
      <c r="AA5550" s="1">
        <v>109226</v>
      </c>
      <c r="AB5550" s="1"/>
      <c r="AC5550" s="1" t="s">
        <v>36</v>
      </c>
      <c r="AD5550" s="1" t="s">
        <v>18755</v>
      </c>
      <c r="AE5550" s="1" t="s">
        <v>32</v>
      </c>
      <c r="AF5550" s="1" t="s">
        <v>33</v>
      </c>
      <c r="AG5550" s="1" t="s">
        <v>571</v>
      </c>
    </row>
    <row r="5551" spans="1:33">
      <c r="A5551" t="s">
        <v>18756</v>
      </c>
      <c r="B5551" t="s">
        <v>18757</v>
      </c>
      <c r="C5551" t="s">
        <v>268</v>
      </c>
      <c r="E5551" t="s">
        <v>18429</v>
      </c>
      <c r="F5551" t="s">
        <v>18430</v>
      </c>
      <c r="G5551">
        <v>16.9</v>
      </c>
      <c r="H5551">
        <v>16.9</v>
      </c>
      <c r="I5551" t="s">
        <v>269</v>
      </c>
      <c r="J5551" t="s">
        <v>270</v>
      </c>
      <c r="K5551" t="s">
        <v>31</v>
      </c>
      <c r="L5551" t="s">
        <v>32</v>
      </c>
      <c r="M5551" t="s">
        <v>33</v>
      </c>
      <c r="P5551" s="1" t="s">
        <v>18758</v>
      </c>
      <c r="Q5551" s="1" t="s">
        <v>18429</v>
      </c>
      <c r="R5551" s="1" t="s">
        <v>18429</v>
      </c>
      <c r="S5551" s="1"/>
      <c r="T5551" s="1" t="s">
        <v>268</v>
      </c>
      <c r="U5551" s="1"/>
      <c r="V5551" s="1">
        <v>16.9</v>
      </c>
      <c r="W5551" s="1">
        <v>16.9</v>
      </c>
      <c r="X5551" s="1" t="s">
        <v>35</v>
      </c>
      <c r="Y5551" s="1">
        <v>16900</v>
      </c>
      <c r="Z5551" s="1"/>
      <c r="AA5551" s="1">
        <v>16900</v>
      </c>
      <c r="AB5551" s="1"/>
      <c r="AC5551" s="1" t="s">
        <v>36</v>
      </c>
      <c r="AD5551" s="1" t="s">
        <v>18759</v>
      </c>
      <c r="AE5551" s="1" t="s">
        <v>32</v>
      </c>
      <c r="AF5551" s="1" t="s">
        <v>33</v>
      </c>
      <c r="AG5551" s="1" t="s">
        <v>270</v>
      </c>
    </row>
    <row r="5552" spans="1:33">
      <c r="A5552" t="s">
        <v>18760</v>
      </c>
      <c r="C5552" t="s">
        <v>12834</v>
      </c>
      <c r="E5552" t="s">
        <v>18429</v>
      </c>
      <c r="F5552" t="s">
        <v>18430</v>
      </c>
      <c r="G5552">
        <v>16.8</v>
      </c>
      <c r="H5552">
        <v>16.8</v>
      </c>
      <c r="I5552" t="s">
        <v>269</v>
      </c>
      <c r="J5552" t="s">
        <v>270</v>
      </c>
      <c r="K5552" t="s">
        <v>31</v>
      </c>
      <c r="L5552" t="s">
        <v>32</v>
      </c>
      <c r="M5552" t="s">
        <v>33</v>
      </c>
      <c r="P5552" s="1" t="s">
        <v>18761</v>
      </c>
      <c r="Q5552" s="1" t="s">
        <v>18429</v>
      </c>
      <c r="R5552" s="1" t="s">
        <v>18429</v>
      </c>
      <c r="S5552" s="1"/>
      <c r="T5552" s="1" t="s">
        <v>12834</v>
      </c>
      <c r="U5552" s="1"/>
      <c r="V5552" s="1">
        <v>16.8</v>
      </c>
      <c r="W5552" s="1">
        <v>16.8</v>
      </c>
      <c r="X5552" s="1" t="s">
        <v>35</v>
      </c>
      <c r="Y5552" s="1">
        <v>16800</v>
      </c>
      <c r="Z5552" s="1"/>
      <c r="AA5552" s="1">
        <v>16800</v>
      </c>
      <c r="AB5552" s="1"/>
      <c r="AC5552" s="1" t="s">
        <v>36</v>
      </c>
      <c r="AD5552" s="1" t="s">
        <v>18762</v>
      </c>
      <c r="AE5552" s="1" t="s">
        <v>32</v>
      </c>
      <c r="AF5552" s="1" t="s">
        <v>33</v>
      </c>
      <c r="AG5552" s="1" t="s">
        <v>270</v>
      </c>
    </row>
    <row r="5553" spans="1:33">
      <c r="A5553" t="s">
        <v>18763</v>
      </c>
      <c r="B5553" t="s">
        <v>5451</v>
      </c>
      <c r="C5553" t="s">
        <v>125</v>
      </c>
      <c r="E5553" t="s">
        <v>18429</v>
      </c>
      <c r="F5553" t="s">
        <v>18430</v>
      </c>
      <c r="G5553">
        <v>67.96</v>
      </c>
      <c r="H5553">
        <v>67.96</v>
      </c>
      <c r="I5553" t="s">
        <v>126</v>
      </c>
      <c r="J5553" t="s">
        <v>127</v>
      </c>
      <c r="K5553" t="s">
        <v>31</v>
      </c>
      <c r="L5553" t="s">
        <v>32</v>
      </c>
      <c r="M5553" t="s">
        <v>33</v>
      </c>
      <c r="P5553" s="1" t="s">
        <v>18764</v>
      </c>
      <c r="Q5553" s="1" t="s">
        <v>18429</v>
      </c>
      <c r="R5553" s="1" t="s">
        <v>18429</v>
      </c>
      <c r="S5553" s="1"/>
      <c r="T5553" s="1" t="s">
        <v>125</v>
      </c>
      <c r="U5553" s="1"/>
      <c r="V5553" s="1">
        <v>67.96</v>
      </c>
      <c r="W5553" s="1">
        <v>67.96</v>
      </c>
      <c r="X5553" s="1" t="s">
        <v>35</v>
      </c>
      <c r="Y5553" s="1">
        <v>67960</v>
      </c>
      <c r="Z5553" s="1"/>
      <c r="AA5553" s="1">
        <v>67960</v>
      </c>
      <c r="AB5553" s="1"/>
      <c r="AC5553" s="1" t="s">
        <v>36</v>
      </c>
      <c r="AD5553" s="1" t="s">
        <v>18765</v>
      </c>
      <c r="AE5553" s="1" t="s">
        <v>32</v>
      </c>
      <c r="AF5553" s="1" t="s">
        <v>33</v>
      </c>
      <c r="AG5553" s="1" t="s">
        <v>127</v>
      </c>
    </row>
    <row r="5554" spans="1:33">
      <c r="A5554" t="s">
        <v>18766</v>
      </c>
      <c r="B5554" t="s">
        <v>18767</v>
      </c>
      <c r="C5554" t="s">
        <v>131</v>
      </c>
      <c r="E5554" t="s">
        <v>18429</v>
      </c>
      <c r="F5554" t="s">
        <v>18430</v>
      </c>
      <c r="G5554">
        <v>21.5</v>
      </c>
      <c r="H5554">
        <v>21.5</v>
      </c>
      <c r="I5554" t="s">
        <v>94</v>
      </c>
      <c r="J5554" t="s">
        <v>95</v>
      </c>
      <c r="K5554" t="s">
        <v>31</v>
      </c>
      <c r="L5554" t="s">
        <v>32</v>
      </c>
      <c r="M5554" t="s">
        <v>33</v>
      </c>
      <c r="P5554" s="1" t="s">
        <v>18768</v>
      </c>
      <c r="Q5554" s="1" t="s">
        <v>18429</v>
      </c>
      <c r="R5554" s="1" t="s">
        <v>18429</v>
      </c>
      <c r="S5554" s="1"/>
      <c r="T5554" s="1" t="s">
        <v>131</v>
      </c>
      <c r="U5554" s="1"/>
      <c r="V5554" s="1">
        <v>21.5</v>
      </c>
      <c r="W5554" s="1">
        <v>21.5</v>
      </c>
      <c r="X5554" s="1" t="s">
        <v>35</v>
      </c>
      <c r="Y5554" s="1">
        <v>21500</v>
      </c>
      <c r="Z5554" s="1"/>
      <c r="AA5554" s="1">
        <v>21500</v>
      </c>
      <c r="AB5554" s="1"/>
      <c r="AC5554" s="1" t="s">
        <v>36</v>
      </c>
      <c r="AD5554" s="1" t="s">
        <v>18755</v>
      </c>
      <c r="AE5554" s="1" t="s">
        <v>32</v>
      </c>
      <c r="AF5554" s="1" t="s">
        <v>33</v>
      </c>
      <c r="AG5554" s="1" t="s">
        <v>95</v>
      </c>
    </row>
    <row r="5555" spans="1:33">
      <c r="A5555" t="s">
        <v>18769</v>
      </c>
      <c r="B5555" t="s">
        <v>18770</v>
      </c>
      <c r="C5555" t="s">
        <v>172</v>
      </c>
      <c r="E5555" t="s">
        <v>18429</v>
      </c>
      <c r="F5555" t="s">
        <v>18430</v>
      </c>
      <c r="G5555">
        <v>5.0</v>
      </c>
      <c r="H5555">
        <v>5.0</v>
      </c>
      <c r="I5555" t="s">
        <v>173</v>
      </c>
      <c r="J5555" t="s">
        <v>174</v>
      </c>
      <c r="K5555" t="s">
        <v>31</v>
      </c>
      <c r="L5555" t="s">
        <v>32</v>
      </c>
      <c r="M5555" t="s">
        <v>33</v>
      </c>
      <c r="P5555" s="1" t="s">
        <v>18771</v>
      </c>
      <c r="Q5555" s="1" t="s">
        <v>18429</v>
      </c>
      <c r="R5555" s="1" t="s">
        <v>18429</v>
      </c>
      <c r="S5555" s="1"/>
      <c r="T5555" s="1" t="s">
        <v>172</v>
      </c>
      <c r="U5555" s="1"/>
      <c r="V5555" s="1">
        <v>5.0</v>
      </c>
      <c r="W5555" s="1">
        <v>5.0</v>
      </c>
      <c r="X5555" s="1" t="s">
        <v>35</v>
      </c>
      <c r="Y5555" s="1">
        <v>5000</v>
      </c>
      <c r="Z5555" s="1"/>
      <c r="AA5555" s="1">
        <v>5000</v>
      </c>
      <c r="AB5555" s="1"/>
      <c r="AC5555" s="1" t="s">
        <v>36</v>
      </c>
      <c r="AD5555" s="1" t="s">
        <v>18772</v>
      </c>
      <c r="AE5555" s="1" t="s">
        <v>32</v>
      </c>
      <c r="AF5555" s="1" t="s">
        <v>33</v>
      </c>
      <c r="AG5555" s="1" t="s">
        <v>174</v>
      </c>
    </row>
    <row r="5556" spans="1:33">
      <c r="A5556" t="s">
        <v>18773</v>
      </c>
      <c r="B5556" t="s">
        <v>10929</v>
      </c>
      <c r="C5556" t="s">
        <v>314</v>
      </c>
      <c r="E5556" t="s">
        <v>18429</v>
      </c>
      <c r="F5556" t="s">
        <v>18430</v>
      </c>
      <c r="G5556">
        <v>33.74</v>
      </c>
      <c r="H5556">
        <v>33.74</v>
      </c>
      <c r="I5556" t="s">
        <v>179</v>
      </c>
      <c r="J5556" t="s">
        <v>180</v>
      </c>
      <c r="K5556" t="s">
        <v>31</v>
      </c>
      <c r="L5556" t="s">
        <v>32</v>
      </c>
      <c r="M5556" t="s">
        <v>33</v>
      </c>
      <c r="P5556" s="1" t="s">
        <v>18774</v>
      </c>
      <c r="Q5556" s="1" t="s">
        <v>18429</v>
      </c>
      <c r="R5556" s="1" t="s">
        <v>18429</v>
      </c>
      <c r="S5556" s="1"/>
      <c r="T5556" s="1" t="s">
        <v>314</v>
      </c>
      <c r="U5556" s="1"/>
      <c r="V5556" s="1">
        <v>33.74</v>
      </c>
      <c r="W5556" s="1">
        <v>33.74</v>
      </c>
      <c r="X5556" s="1" t="s">
        <v>35</v>
      </c>
      <c r="Y5556" s="1">
        <v>33740</v>
      </c>
      <c r="Z5556" s="1"/>
      <c r="AA5556" s="1">
        <v>33740</v>
      </c>
      <c r="AB5556" s="1"/>
      <c r="AC5556" s="1" t="s">
        <v>36</v>
      </c>
      <c r="AD5556" s="1" t="s">
        <v>18775</v>
      </c>
      <c r="AE5556" s="1" t="s">
        <v>32</v>
      </c>
      <c r="AF5556" s="1" t="s">
        <v>33</v>
      </c>
      <c r="AG5556" s="1" t="s">
        <v>180</v>
      </c>
    </row>
    <row r="5557" spans="1:33">
      <c r="A5557" t="s">
        <v>18776</v>
      </c>
      <c r="C5557" t="s">
        <v>2318</v>
      </c>
      <c r="E5557" t="s">
        <v>18429</v>
      </c>
      <c r="F5557" t="s">
        <v>18430</v>
      </c>
      <c r="G5557">
        <v>6.314</v>
      </c>
      <c r="H5557">
        <v>6.314</v>
      </c>
      <c r="I5557" t="s">
        <v>40</v>
      </c>
      <c r="J5557" t="s">
        <v>41</v>
      </c>
      <c r="K5557" t="s">
        <v>31</v>
      </c>
      <c r="L5557" t="s">
        <v>32</v>
      </c>
      <c r="M5557" t="s">
        <v>33</v>
      </c>
      <c r="P5557" s="1" t="s">
        <v>18777</v>
      </c>
      <c r="Q5557" s="1" t="s">
        <v>18429</v>
      </c>
      <c r="R5557" s="1" t="s">
        <v>18474</v>
      </c>
      <c r="S5557" s="1"/>
      <c r="T5557" s="1" t="s">
        <v>2318</v>
      </c>
      <c r="U5557" s="1"/>
      <c r="V5557" s="1">
        <v>6.314</v>
      </c>
      <c r="W5557" s="1">
        <v>6.314</v>
      </c>
      <c r="X5557" s="1" t="s">
        <v>35</v>
      </c>
      <c r="Y5557" s="1">
        <v>6314500</v>
      </c>
      <c r="Z5557" s="1"/>
      <c r="AA5557" s="1">
        <v>6314500</v>
      </c>
      <c r="AB5557" s="1"/>
      <c r="AC5557" s="1" t="s">
        <v>36</v>
      </c>
      <c r="AD5557" s="1" t="s">
        <v>18688</v>
      </c>
      <c r="AE5557" s="1" t="s">
        <v>32</v>
      </c>
      <c r="AF5557" s="1" t="s">
        <v>33</v>
      </c>
      <c r="AG5557" s="1" t="s">
        <v>41</v>
      </c>
    </row>
    <row r="5558" spans="1:33">
      <c r="A5558" t="s">
        <v>18778</v>
      </c>
      <c r="B5558" t="s">
        <v>4178</v>
      </c>
      <c r="C5558" t="s">
        <v>4179</v>
      </c>
      <c r="E5558" t="s">
        <v>18429</v>
      </c>
      <c r="F5558" t="s">
        <v>18430</v>
      </c>
      <c r="G5558">
        <v>328.0</v>
      </c>
      <c r="H5558">
        <v>328.0</v>
      </c>
      <c r="I5558" t="s">
        <v>529</v>
      </c>
      <c r="J5558" t="s">
        <v>530</v>
      </c>
      <c r="K5558" t="s">
        <v>31</v>
      </c>
      <c r="L5558" t="s">
        <v>32</v>
      </c>
      <c r="M5558" t="s">
        <v>33</v>
      </c>
      <c r="P5558" s="1" t="s">
        <v>18779</v>
      </c>
      <c r="Q5558" s="1" t="s">
        <v>18429</v>
      </c>
      <c r="R5558" s="1" t="s">
        <v>18474</v>
      </c>
      <c r="S5558" s="1"/>
      <c r="T5558" s="1" t="s">
        <v>4179</v>
      </c>
      <c r="U5558" s="1"/>
      <c r="V5558" s="1">
        <v>328.0</v>
      </c>
      <c r="W5558" s="1">
        <v>328.0</v>
      </c>
      <c r="X5558" s="1" t="s">
        <v>35</v>
      </c>
      <c r="Y5558" s="1">
        <v>328000</v>
      </c>
      <c r="Z5558" s="1"/>
      <c r="AA5558" s="1">
        <v>328000</v>
      </c>
      <c r="AB5558" s="1"/>
      <c r="AC5558" s="1" t="s">
        <v>36</v>
      </c>
      <c r="AD5558" s="1" t="s">
        <v>18780</v>
      </c>
      <c r="AE5558" s="1" t="s">
        <v>32</v>
      </c>
      <c r="AF5558" s="1" t="s">
        <v>33</v>
      </c>
      <c r="AG5558" s="1" t="s">
        <v>530</v>
      </c>
    </row>
    <row r="5559" spans="1:33">
      <c r="A5559" t="s">
        <v>18781</v>
      </c>
      <c r="B5559" t="s">
        <v>18782</v>
      </c>
      <c r="C5559" t="s">
        <v>47</v>
      </c>
      <c r="E5559" t="s">
        <v>18429</v>
      </c>
      <c r="F5559" t="s">
        <v>18430</v>
      </c>
      <c r="G5559">
        <v>39.538</v>
      </c>
      <c r="H5559">
        <v>39.538</v>
      </c>
      <c r="I5559" t="s">
        <v>2206</v>
      </c>
      <c r="J5559" t="s">
        <v>49</v>
      </c>
      <c r="K5559" t="s">
        <v>31</v>
      </c>
      <c r="L5559" t="s">
        <v>32</v>
      </c>
      <c r="M5559" t="s">
        <v>33</v>
      </c>
      <c r="P5559" s="1" t="s">
        <v>18783</v>
      </c>
      <c r="Q5559" s="1" t="s">
        <v>18429</v>
      </c>
      <c r="R5559" s="1" t="s">
        <v>18429</v>
      </c>
      <c r="S5559" s="1"/>
      <c r="T5559" s="1" t="s">
        <v>47</v>
      </c>
      <c r="U5559" s="1"/>
      <c r="V5559" s="1">
        <v>39.538</v>
      </c>
      <c r="W5559" s="1">
        <v>39.538</v>
      </c>
      <c r="X5559" s="1" t="s">
        <v>35</v>
      </c>
      <c r="Y5559" s="1">
        <v>39538</v>
      </c>
      <c r="Z5559" s="1"/>
      <c r="AA5559" s="1">
        <v>39538</v>
      </c>
      <c r="AB5559" s="1"/>
      <c r="AC5559" s="1" t="s">
        <v>36</v>
      </c>
      <c r="AD5559" s="1" t="s">
        <v>18784</v>
      </c>
      <c r="AE5559" s="1" t="s">
        <v>32</v>
      </c>
      <c r="AF5559" s="1" t="s">
        <v>33</v>
      </c>
      <c r="AG5559" s="1" t="s">
        <v>49</v>
      </c>
    </row>
    <row r="5560" spans="1:33">
      <c r="A5560" t="s">
        <v>18785</v>
      </c>
      <c r="C5560" t="s">
        <v>1408</v>
      </c>
      <c r="E5560" t="s">
        <v>18429</v>
      </c>
      <c r="F5560" t="s">
        <v>18430</v>
      </c>
      <c r="G5560">
        <v>336.0</v>
      </c>
      <c r="H5560">
        <v>336.0</v>
      </c>
      <c r="I5560" t="s">
        <v>2206</v>
      </c>
      <c r="J5560" t="s">
        <v>49</v>
      </c>
      <c r="K5560" t="s">
        <v>31</v>
      </c>
      <c r="L5560" t="s">
        <v>32</v>
      </c>
      <c r="M5560" t="s">
        <v>33</v>
      </c>
      <c r="P5560" s="1" t="s">
        <v>18786</v>
      </c>
      <c r="Q5560" s="1" t="s">
        <v>18429</v>
      </c>
      <c r="R5560" s="1" t="s">
        <v>18429</v>
      </c>
      <c r="S5560" s="1"/>
      <c r="T5560" s="1" t="s">
        <v>1408</v>
      </c>
      <c r="U5560" s="1"/>
      <c r="V5560" s="1">
        <v>336.0</v>
      </c>
      <c r="W5560" s="1">
        <v>336.0</v>
      </c>
      <c r="X5560" s="1" t="s">
        <v>35</v>
      </c>
      <c r="Y5560" s="1">
        <v>336000</v>
      </c>
      <c r="Z5560" s="1"/>
      <c r="AA5560" s="1">
        <v>336000</v>
      </c>
      <c r="AB5560" s="1"/>
      <c r="AC5560" s="1" t="s">
        <v>36</v>
      </c>
      <c r="AD5560" s="1" t="s">
        <v>18787</v>
      </c>
      <c r="AE5560" s="1" t="s">
        <v>32</v>
      </c>
      <c r="AF5560" s="1" t="s">
        <v>33</v>
      </c>
      <c r="AG5560" s="1" t="s">
        <v>49</v>
      </c>
    </row>
    <row r="5561" spans="1:33">
      <c r="A5561" t="s">
        <v>18788</v>
      </c>
      <c r="B5561" t="s">
        <v>430</v>
      </c>
      <c r="C5561" t="s">
        <v>431</v>
      </c>
      <c r="E5561" t="s">
        <v>18429</v>
      </c>
      <c r="F5561" t="s">
        <v>18430</v>
      </c>
      <c r="G5561">
        <v>1.23</v>
      </c>
      <c r="H5561">
        <v>1.23</v>
      </c>
      <c r="I5561" t="s">
        <v>59</v>
      </c>
      <c r="J5561" t="s">
        <v>60</v>
      </c>
      <c r="K5561" t="s">
        <v>31</v>
      </c>
      <c r="L5561" t="s">
        <v>32</v>
      </c>
      <c r="M5561" t="s">
        <v>33</v>
      </c>
      <c r="P5561" s="1" t="s">
        <v>18789</v>
      </c>
      <c r="Q5561" s="1" t="s">
        <v>18429</v>
      </c>
      <c r="R5561" s="1" t="s">
        <v>18429</v>
      </c>
      <c r="S5561" s="1"/>
      <c r="T5561" s="1" t="s">
        <v>431</v>
      </c>
      <c r="U5561" s="1"/>
      <c r="V5561" s="1">
        <v>1.23</v>
      </c>
      <c r="W5561" s="1">
        <v>1.23</v>
      </c>
      <c r="X5561" s="1" t="s">
        <v>35</v>
      </c>
      <c r="Y5561" s="1">
        <v>1230000</v>
      </c>
      <c r="Z5561" s="1"/>
      <c r="AA5561" s="1">
        <v>1230000</v>
      </c>
      <c r="AB5561" s="1"/>
      <c r="AC5561" s="1" t="s">
        <v>36</v>
      </c>
      <c r="AD5561" s="1" t="s">
        <v>18790</v>
      </c>
      <c r="AE5561" s="1" t="s">
        <v>32</v>
      </c>
      <c r="AF5561" s="1" t="s">
        <v>33</v>
      </c>
      <c r="AG5561" s="1" t="s">
        <v>60</v>
      </c>
    </row>
    <row r="5562" spans="1:33">
      <c r="A5562" t="s">
        <v>18791</v>
      </c>
      <c r="B5562" t="s">
        <v>18792</v>
      </c>
      <c r="C5562" t="s">
        <v>18793</v>
      </c>
      <c r="E5562" t="s">
        <v>18429</v>
      </c>
      <c r="F5562" t="s">
        <v>18430</v>
      </c>
      <c r="G5562">
        <v>520.0</v>
      </c>
      <c r="H5562">
        <v>520.0</v>
      </c>
      <c r="I5562" t="s">
        <v>59</v>
      </c>
      <c r="J5562" t="s">
        <v>60</v>
      </c>
      <c r="K5562" t="s">
        <v>31</v>
      </c>
      <c r="L5562" t="s">
        <v>32</v>
      </c>
      <c r="M5562" t="s">
        <v>33</v>
      </c>
      <c r="P5562" s="1" t="s">
        <v>18794</v>
      </c>
      <c r="Q5562" s="1" t="s">
        <v>18429</v>
      </c>
      <c r="R5562" s="1" t="s">
        <v>18429</v>
      </c>
      <c r="S5562" s="1"/>
      <c r="T5562" s="1" t="s">
        <v>18793</v>
      </c>
      <c r="U5562" s="1"/>
      <c r="V5562" s="1">
        <v>520.0</v>
      </c>
      <c r="W5562" s="1">
        <v>520.0</v>
      </c>
      <c r="X5562" s="1" t="s">
        <v>35</v>
      </c>
      <c r="Y5562" s="1">
        <v>520000</v>
      </c>
      <c r="Z5562" s="1"/>
      <c r="AA5562" s="1">
        <v>520000</v>
      </c>
      <c r="AB5562" s="1"/>
      <c r="AC5562" s="1" t="s">
        <v>36</v>
      </c>
      <c r="AD5562" s="1" t="s">
        <v>18795</v>
      </c>
      <c r="AE5562" s="1" t="s">
        <v>32</v>
      </c>
      <c r="AF5562" s="1" t="s">
        <v>33</v>
      </c>
      <c r="AG5562" s="1" t="s">
        <v>60</v>
      </c>
    </row>
    <row r="5563" spans="1:33">
      <c r="A5563" t="s">
        <v>18796</v>
      </c>
      <c r="C5563" t="s">
        <v>595</v>
      </c>
      <c r="E5563" t="s">
        <v>18429</v>
      </c>
      <c r="F5563" t="s">
        <v>18430</v>
      </c>
      <c r="G5563">
        <v>656.0</v>
      </c>
      <c r="H5563">
        <v>656.0</v>
      </c>
      <c r="I5563" t="s">
        <v>269</v>
      </c>
      <c r="J5563" t="s">
        <v>270</v>
      </c>
      <c r="K5563" t="s">
        <v>31</v>
      </c>
      <c r="L5563" t="s">
        <v>32</v>
      </c>
      <c r="M5563" t="s">
        <v>33</v>
      </c>
      <c r="P5563" s="1" t="s">
        <v>18797</v>
      </c>
      <c r="Q5563" s="1" t="s">
        <v>18429</v>
      </c>
      <c r="R5563" s="1" t="s">
        <v>18429</v>
      </c>
      <c r="S5563" s="1"/>
      <c r="T5563" s="1" t="s">
        <v>595</v>
      </c>
      <c r="U5563" s="1"/>
      <c r="V5563" s="1">
        <v>656.0</v>
      </c>
      <c r="W5563" s="1">
        <v>656.0</v>
      </c>
      <c r="X5563" s="1" t="s">
        <v>35</v>
      </c>
      <c r="Y5563" s="1">
        <v>656000</v>
      </c>
      <c r="Z5563" s="1"/>
      <c r="AA5563" s="1">
        <v>656000</v>
      </c>
      <c r="AB5563" s="1"/>
      <c r="AC5563" s="1" t="s">
        <v>36</v>
      </c>
      <c r="AD5563" s="1" t="s">
        <v>18790</v>
      </c>
      <c r="AE5563" s="1" t="s">
        <v>32</v>
      </c>
      <c r="AF5563" s="1" t="s">
        <v>33</v>
      </c>
      <c r="AG5563" s="1" t="s">
        <v>270</v>
      </c>
    </row>
    <row r="5564" spans="1:33">
      <c r="A5564" t="s">
        <v>18798</v>
      </c>
      <c r="B5564" t="s">
        <v>18799</v>
      </c>
      <c r="C5564" t="s">
        <v>268</v>
      </c>
      <c r="E5564" t="s">
        <v>18429</v>
      </c>
      <c r="F5564" t="s">
        <v>18430</v>
      </c>
      <c r="G5564">
        <v>49.75</v>
      </c>
      <c r="H5564">
        <v>49.75</v>
      </c>
      <c r="I5564" t="s">
        <v>269</v>
      </c>
      <c r="J5564" t="s">
        <v>270</v>
      </c>
      <c r="K5564" t="s">
        <v>31</v>
      </c>
      <c r="L5564" t="s">
        <v>32</v>
      </c>
      <c r="M5564" t="s">
        <v>33</v>
      </c>
      <c r="P5564" s="1" t="s">
        <v>18800</v>
      </c>
      <c r="Q5564" s="1" t="s">
        <v>18429</v>
      </c>
      <c r="R5564" s="1" t="s">
        <v>18429</v>
      </c>
      <c r="S5564" s="1"/>
      <c r="T5564" s="1" t="s">
        <v>268</v>
      </c>
      <c r="U5564" s="1"/>
      <c r="V5564" s="1">
        <v>49.75</v>
      </c>
      <c r="W5564" s="1">
        <v>49.75</v>
      </c>
      <c r="X5564" s="1" t="s">
        <v>35</v>
      </c>
      <c r="Y5564" s="1">
        <v>49750</v>
      </c>
      <c r="Z5564" s="1"/>
      <c r="AA5564" s="1">
        <v>49750</v>
      </c>
      <c r="AB5564" s="1"/>
      <c r="AC5564" s="1" t="s">
        <v>36</v>
      </c>
      <c r="AD5564" s="1" t="s">
        <v>18772</v>
      </c>
      <c r="AE5564" s="1" t="s">
        <v>32</v>
      </c>
      <c r="AF5564" s="1" t="s">
        <v>33</v>
      </c>
      <c r="AG5564" s="1" t="s">
        <v>270</v>
      </c>
    </row>
    <row r="5565" spans="1:33">
      <c r="A5565" t="s">
        <v>18801</v>
      </c>
      <c r="B5565" t="s">
        <v>18802</v>
      </c>
      <c r="C5565" t="s">
        <v>125</v>
      </c>
      <c r="E5565" t="s">
        <v>18429</v>
      </c>
      <c r="F5565" t="s">
        <v>18430</v>
      </c>
      <c r="G5565">
        <v>84.95</v>
      </c>
      <c r="H5565">
        <v>84.95</v>
      </c>
      <c r="I5565" t="s">
        <v>126</v>
      </c>
      <c r="J5565" t="s">
        <v>127</v>
      </c>
      <c r="K5565" t="s">
        <v>31</v>
      </c>
      <c r="L5565" t="s">
        <v>32</v>
      </c>
      <c r="M5565" t="s">
        <v>33</v>
      </c>
      <c r="P5565" s="1" t="s">
        <v>18803</v>
      </c>
      <c r="Q5565" s="1" t="s">
        <v>18429</v>
      </c>
      <c r="R5565" s="1" t="s">
        <v>18429</v>
      </c>
      <c r="S5565" s="1"/>
      <c r="T5565" s="1" t="s">
        <v>125</v>
      </c>
      <c r="U5565" s="1"/>
      <c r="V5565" s="1">
        <v>84.95</v>
      </c>
      <c r="W5565" s="1">
        <v>84.95</v>
      </c>
      <c r="X5565" s="1" t="s">
        <v>35</v>
      </c>
      <c r="Y5565" s="1">
        <v>84950</v>
      </c>
      <c r="Z5565" s="1"/>
      <c r="AA5565" s="1">
        <v>84950</v>
      </c>
      <c r="AB5565" s="1"/>
      <c r="AC5565" s="1" t="s">
        <v>36</v>
      </c>
      <c r="AD5565" s="1" t="s">
        <v>18804</v>
      </c>
      <c r="AE5565" s="1" t="s">
        <v>32</v>
      </c>
      <c r="AF5565" s="1" t="s">
        <v>33</v>
      </c>
      <c r="AG5565" s="1" t="s">
        <v>127</v>
      </c>
    </row>
    <row r="5566" spans="1:33">
      <c r="A5566" t="s">
        <v>18805</v>
      </c>
      <c r="C5566" t="s">
        <v>2280</v>
      </c>
      <c r="E5566" t="s">
        <v>18429</v>
      </c>
      <c r="F5566" t="s">
        <v>18430</v>
      </c>
      <c r="G5566">
        <v>5.826</v>
      </c>
      <c r="H5566">
        <v>5.826</v>
      </c>
      <c r="I5566" t="s">
        <v>269</v>
      </c>
      <c r="J5566" t="s">
        <v>270</v>
      </c>
      <c r="K5566" t="s">
        <v>31</v>
      </c>
      <c r="L5566" t="s">
        <v>32</v>
      </c>
      <c r="M5566" t="s">
        <v>33</v>
      </c>
      <c r="P5566" s="1" t="s">
        <v>18806</v>
      </c>
      <c r="Q5566" s="1" t="s">
        <v>18429</v>
      </c>
      <c r="R5566" s="1" t="s">
        <v>18429</v>
      </c>
      <c r="S5566" s="1"/>
      <c r="T5566" s="1" t="s">
        <v>2280</v>
      </c>
      <c r="U5566" s="1"/>
      <c r="V5566" s="1">
        <v>5.826</v>
      </c>
      <c r="W5566" s="1">
        <v>5.826</v>
      </c>
      <c r="X5566" s="1" t="s">
        <v>35</v>
      </c>
      <c r="Y5566" s="1">
        <v>5826000</v>
      </c>
      <c r="Z5566" s="1"/>
      <c r="AA5566" s="1">
        <v>5826000</v>
      </c>
      <c r="AB5566" s="1"/>
      <c r="AC5566" s="1" t="s">
        <v>36</v>
      </c>
      <c r="AD5566" s="1" t="s">
        <v>18780</v>
      </c>
      <c r="AE5566" s="1" t="s">
        <v>32</v>
      </c>
      <c r="AF5566" s="1" t="s">
        <v>33</v>
      </c>
      <c r="AG5566" s="1" t="s">
        <v>270</v>
      </c>
    </row>
    <row r="5567" spans="1:33">
      <c r="A5567" t="s">
        <v>18807</v>
      </c>
      <c r="C5567" t="s">
        <v>18808</v>
      </c>
      <c r="E5567" t="s">
        <v>18429</v>
      </c>
      <c r="F5567" t="s">
        <v>18430</v>
      </c>
      <c r="G5567">
        <v>110.35</v>
      </c>
      <c r="H5567">
        <v>110.35</v>
      </c>
      <c r="I5567" t="s">
        <v>2206</v>
      </c>
      <c r="J5567" t="s">
        <v>49</v>
      </c>
      <c r="K5567" t="s">
        <v>31</v>
      </c>
      <c r="L5567" t="s">
        <v>32</v>
      </c>
      <c r="M5567" t="s">
        <v>33</v>
      </c>
      <c r="P5567" s="1" t="s">
        <v>18809</v>
      </c>
      <c r="Q5567" s="1" t="s">
        <v>18429</v>
      </c>
      <c r="R5567" s="1" t="s">
        <v>18429</v>
      </c>
      <c r="S5567" s="1"/>
      <c r="T5567" s="1" t="s">
        <v>18808</v>
      </c>
      <c r="U5567" s="1"/>
      <c r="V5567" s="1">
        <v>110.35</v>
      </c>
      <c r="W5567" s="1">
        <v>110.35</v>
      </c>
      <c r="X5567" s="1" t="s">
        <v>35</v>
      </c>
      <c r="Y5567" s="1">
        <v>110350</v>
      </c>
      <c r="Z5567" s="1"/>
      <c r="AA5567" s="1">
        <v>110350</v>
      </c>
      <c r="AB5567" s="1"/>
      <c r="AC5567" s="1" t="s">
        <v>36</v>
      </c>
      <c r="AD5567" s="1" t="s">
        <v>18810</v>
      </c>
      <c r="AE5567" s="1" t="s">
        <v>32</v>
      </c>
      <c r="AF5567" s="1" t="s">
        <v>33</v>
      </c>
      <c r="AG5567" s="1" t="s">
        <v>49</v>
      </c>
    </row>
    <row r="5568" spans="1:33">
      <c r="A5568" t="s">
        <v>18811</v>
      </c>
      <c r="C5568" t="s">
        <v>6076</v>
      </c>
      <c r="E5568" t="s">
        <v>18429</v>
      </c>
      <c r="F5568" t="s">
        <v>16399</v>
      </c>
      <c r="G5568">
        <v>1.099</v>
      </c>
      <c r="H5568">
        <v>1.099</v>
      </c>
      <c r="I5568" t="s">
        <v>2206</v>
      </c>
      <c r="J5568" t="s">
        <v>49</v>
      </c>
      <c r="K5568" t="s">
        <v>31</v>
      </c>
      <c r="L5568" t="s">
        <v>32</v>
      </c>
      <c r="M5568" t="s">
        <v>33</v>
      </c>
      <c r="P5568" s="1" t="s">
        <v>18812</v>
      </c>
      <c r="Q5568" s="1" t="s">
        <v>18429</v>
      </c>
      <c r="R5568" s="1" t="s">
        <v>18429</v>
      </c>
      <c r="S5568" s="1"/>
      <c r="T5568" s="1" t="s">
        <v>6076</v>
      </c>
      <c r="U5568" s="1"/>
      <c r="V5568" s="1">
        <v>1.099</v>
      </c>
      <c r="W5568" s="1">
        <v>1.099</v>
      </c>
      <c r="X5568" s="1" t="s">
        <v>35</v>
      </c>
      <c r="Y5568" s="1">
        <v>1099750</v>
      </c>
      <c r="Z5568" s="1"/>
      <c r="AA5568" s="1">
        <v>1099750</v>
      </c>
      <c r="AB5568" s="1"/>
      <c r="AC5568" s="1" t="s">
        <v>36</v>
      </c>
      <c r="AD5568" s="1" t="s">
        <v>18813</v>
      </c>
      <c r="AE5568" s="1" t="s">
        <v>32</v>
      </c>
      <c r="AF5568" s="1" t="s">
        <v>33</v>
      </c>
      <c r="AG5568" s="1" t="s">
        <v>49</v>
      </c>
    </row>
    <row r="5569" spans="1:33">
      <c r="A5569" t="s">
        <v>18814</v>
      </c>
      <c r="B5569" t="s">
        <v>18815</v>
      </c>
      <c r="C5569" t="s">
        <v>172</v>
      </c>
      <c r="E5569" t="s">
        <v>18429</v>
      </c>
      <c r="F5569" t="s">
        <v>18430</v>
      </c>
      <c r="G5569">
        <v>97.47</v>
      </c>
      <c r="H5569">
        <v>97.47</v>
      </c>
      <c r="I5569" t="s">
        <v>173</v>
      </c>
      <c r="J5569" t="s">
        <v>174</v>
      </c>
      <c r="K5569" t="s">
        <v>31</v>
      </c>
      <c r="L5569" t="s">
        <v>32</v>
      </c>
      <c r="M5569" t="s">
        <v>33</v>
      </c>
      <c r="P5569" s="1" t="s">
        <v>18816</v>
      </c>
      <c r="Q5569" s="1" t="s">
        <v>18429</v>
      </c>
      <c r="R5569" s="1" t="s">
        <v>18429</v>
      </c>
      <c r="S5569" s="1"/>
      <c r="T5569" s="1" t="s">
        <v>172</v>
      </c>
      <c r="U5569" s="1"/>
      <c r="V5569" s="1">
        <v>97.47</v>
      </c>
      <c r="W5569" s="1">
        <v>97.47</v>
      </c>
      <c r="X5569" s="1" t="s">
        <v>35</v>
      </c>
      <c r="Y5569" s="1">
        <v>97470</v>
      </c>
      <c r="Z5569" s="1"/>
      <c r="AA5569" s="1">
        <v>97470</v>
      </c>
      <c r="AB5569" s="1"/>
      <c r="AC5569" s="1" t="s">
        <v>36</v>
      </c>
      <c r="AD5569" s="1" t="s">
        <v>18817</v>
      </c>
      <c r="AE5569" s="1" t="s">
        <v>32</v>
      </c>
      <c r="AF5569" s="1" t="s">
        <v>33</v>
      </c>
      <c r="AG5569" s="1" t="s">
        <v>174</v>
      </c>
    </row>
    <row r="5570" spans="1:33">
      <c r="A5570" t="s">
        <v>18818</v>
      </c>
      <c r="B5570" t="s">
        <v>18819</v>
      </c>
      <c r="C5570" t="s">
        <v>18820</v>
      </c>
      <c r="E5570" t="s">
        <v>18429</v>
      </c>
      <c r="F5570" t="s">
        <v>18430</v>
      </c>
      <c r="G5570">
        <v>878.0</v>
      </c>
      <c r="H5570">
        <v>878.0</v>
      </c>
      <c r="I5570" t="s">
        <v>529</v>
      </c>
      <c r="J5570" t="s">
        <v>530</v>
      </c>
      <c r="K5570" t="s">
        <v>31</v>
      </c>
      <c r="L5570" t="s">
        <v>32</v>
      </c>
      <c r="M5570" t="s">
        <v>33</v>
      </c>
      <c r="P5570" s="1" t="s">
        <v>18821</v>
      </c>
      <c r="Q5570" s="1" t="s">
        <v>18429</v>
      </c>
      <c r="R5570" s="1" t="s">
        <v>18474</v>
      </c>
      <c r="S5570" s="1"/>
      <c r="T5570" s="1" t="s">
        <v>18820</v>
      </c>
      <c r="U5570" s="1"/>
      <c r="V5570" s="1">
        <v>878.0</v>
      </c>
      <c r="W5570" s="1">
        <v>878.0</v>
      </c>
      <c r="X5570" s="1" t="s">
        <v>35</v>
      </c>
      <c r="Y5570" s="1">
        <v>878000</v>
      </c>
      <c r="Z5570" s="1"/>
      <c r="AA5570" s="1">
        <v>878000</v>
      </c>
      <c r="AB5570" s="1"/>
      <c r="AC5570" s="1" t="s">
        <v>36</v>
      </c>
      <c r="AD5570" s="1" t="s">
        <v>18822</v>
      </c>
      <c r="AE5570" s="1" t="s">
        <v>32</v>
      </c>
      <c r="AF5570" s="1" t="s">
        <v>33</v>
      </c>
      <c r="AG5570" s="1" t="s">
        <v>530</v>
      </c>
    </row>
    <row r="5571" spans="1:33">
      <c r="A5571" t="s">
        <v>18823</v>
      </c>
      <c r="B5571" t="s">
        <v>18824</v>
      </c>
      <c r="C5571" t="s">
        <v>68</v>
      </c>
      <c r="E5571" t="s">
        <v>18429</v>
      </c>
      <c r="F5571" t="s">
        <v>18430</v>
      </c>
      <c r="G5571">
        <v>10.947</v>
      </c>
      <c r="H5571">
        <v>10.947</v>
      </c>
      <c r="I5571" t="s">
        <v>59</v>
      </c>
      <c r="J5571" t="s">
        <v>60</v>
      </c>
      <c r="K5571" t="s">
        <v>31</v>
      </c>
      <c r="L5571" t="s">
        <v>32</v>
      </c>
      <c r="M5571" t="s">
        <v>33</v>
      </c>
      <c r="P5571" s="1" t="s">
        <v>18825</v>
      </c>
      <c r="Q5571" s="1" t="s">
        <v>18429</v>
      </c>
      <c r="R5571" s="1" t="s">
        <v>18429</v>
      </c>
      <c r="S5571" s="1"/>
      <c r="T5571" s="1" t="s">
        <v>68</v>
      </c>
      <c r="U5571" s="1"/>
      <c r="V5571" s="1">
        <v>10.947</v>
      </c>
      <c r="W5571" s="1">
        <v>10.947</v>
      </c>
      <c r="X5571" s="1" t="s">
        <v>35</v>
      </c>
      <c r="Y5571" s="1">
        <v>10947</v>
      </c>
      <c r="Z5571" s="1"/>
      <c r="AA5571" s="1">
        <v>10947</v>
      </c>
      <c r="AB5571" s="1"/>
      <c r="AC5571" s="1" t="s">
        <v>36</v>
      </c>
      <c r="AD5571" s="1" t="s">
        <v>18822</v>
      </c>
      <c r="AE5571" s="1" t="s">
        <v>32</v>
      </c>
      <c r="AF5571" s="1" t="s">
        <v>33</v>
      </c>
      <c r="AG5571" s="1" t="s">
        <v>60</v>
      </c>
    </row>
    <row r="5572" spans="1:33">
      <c r="A5572" t="s">
        <v>18826</v>
      </c>
      <c r="B5572" t="s">
        <v>6369</v>
      </c>
      <c r="C5572" t="s">
        <v>125</v>
      </c>
      <c r="E5572" t="s">
        <v>18429</v>
      </c>
      <c r="F5572" t="s">
        <v>18430</v>
      </c>
      <c r="G5572">
        <v>33.735</v>
      </c>
      <c r="H5572">
        <v>33.735</v>
      </c>
      <c r="I5572" t="s">
        <v>126</v>
      </c>
      <c r="J5572" t="s">
        <v>127</v>
      </c>
      <c r="K5572" t="s">
        <v>31</v>
      </c>
      <c r="L5572" t="s">
        <v>32</v>
      </c>
      <c r="M5572" t="s">
        <v>33</v>
      </c>
      <c r="P5572" s="1" t="s">
        <v>18827</v>
      </c>
      <c r="Q5572" s="1" t="s">
        <v>18429</v>
      </c>
      <c r="R5572" s="1" t="s">
        <v>18429</v>
      </c>
      <c r="S5572" s="1"/>
      <c r="T5572" s="1" t="s">
        <v>125</v>
      </c>
      <c r="U5572" s="1"/>
      <c r="V5572" s="1">
        <v>33.735</v>
      </c>
      <c r="W5572" s="1">
        <v>33.735</v>
      </c>
      <c r="X5572" s="1" t="s">
        <v>35</v>
      </c>
      <c r="Y5572" s="1">
        <v>33735</v>
      </c>
      <c r="Z5572" s="1"/>
      <c r="AA5572" s="1">
        <v>33735</v>
      </c>
      <c r="AB5572" s="1"/>
      <c r="AC5572" s="1" t="s">
        <v>36</v>
      </c>
      <c r="AD5572" s="1" t="s">
        <v>18822</v>
      </c>
      <c r="AE5572" s="1" t="s">
        <v>32</v>
      </c>
      <c r="AF5572" s="1" t="s">
        <v>33</v>
      </c>
      <c r="AG5572" s="1" t="s">
        <v>127</v>
      </c>
    </row>
    <row r="5573" spans="1:33">
      <c r="A5573" t="s">
        <v>18828</v>
      </c>
      <c r="B5573" t="s">
        <v>4619</v>
      </c>
      <c r="C5573" t="s">
        <v>4620</v>
      </c>
      <c r="E5573" t="s">
        <v>18429</v>
      </c>
      <c r="F5573" t="s">
        <v>18430</v>
      </c>
      <c r="G5573">
        <v>328.0</v>
      </c>
      <c r="H5573">
        <v>328.0</v>
      </c>
      <c r="I5573" t="s">
        <v>529</v>
      </c>
      <c r="J5573" t="s">
        <v>530</v>
      </c>
      <c r="K5573" t="s">
        <v>31</v>
      </c>
      <c r="L5573" t="s">
        <v>32</v>
      </c>
      <c r="M5573" t="s">
        <v>33</v>
      </c>
      <c r="P5573" s="1" t="s">
        <v>18829</v>
      </c>
      <c r="Q5573" s="1" t="s">
        <v>18429</v>
      </c>
      <c r="R5573" s="1" t="s">
        <v>18474</v>
      </c>
      <c r="S5573" s="1"/>
      <c r="T5573" s="1" t="s">
        <v>4620</v>
      </c>
      <c r="U5573" s="1"/>
      <c r="V5573" s="1">
        <v>328.0</v>
      </c>
      <c r="W5573" s="1">
        <v>328.0</v>
      </c>
      <c r="X5573" s="1" t="s">
        <v>35</v>
      </c>
      <c r="Y5573" s="1">
        <v>328000</v>
      </c>
      <c r="Z5573" s="1"/>
      <c r="AA5573" s="1">
        <v>328000</v>
      </c>
      <c r="AB5573" s="1"/>
      <c r="AC5573" s="1" t="s">
        <v>36</v>
      </c>
      <c r="AD5573" s="1" t="s">
        <v>18830</v>
      </c>
      <c r="AE5573" s="1" t="s">
        <v>32</v>
      </c>
      <c r="AF5573" s="1" t="s">
        <v>33</v>
      </c>
      <c r="AG5573" s="1" t="s">
        <v>530</v>
      </c>
    </row>
    <row r="5574" spans="1:33">
      <c r="A5574" t="s">
        <v>18831</v>
      </c>
      <c r="B5574" t="s">
        <v>12548</v>
      </c>
      <c r="C5574" t="s">
        <v>172</v>
      </c>
      <c r="E5574" t="s">
        <v>18429</v>
      </c>
      <c r="F5574" t="s">
        <v>18430</v>
      </c>
      <c r="G5574">
        <v>12.416</v>
      </c>
      <c r="H5574">
        <v>12.416</v>
      </c>
      <c r="I5574" t="s">
        <v>173</v>
      </c>
      <c r="J5574" t="s">
        <v>174</v>
      </c>
      <c r="K5574" t="s">
        <v>31</v>
      </c>
      <c r="L5574" t="s">
        <v>32</v>
      </c>
      <c r="M5574" t="s">
        <v>33</v>
      </c>
      <c r="P5574" s="1" t="s">
        <v>18832</v>
      </c>
      <c r="Q5574" s="1" t="s">
        <v>18429</v>
      </c>
      <c r="R5574" s="1" t="s">
        <v>18429</v>
      </c>
      <c r="S5574" s="1"/>
      <c r="T5574" s="1" t="s">
        <v>172</v>
      </c>
      <c r="U5574" s="1"/>
      <c r="V5574" s="1">
        <v>12.416</v>
      </c>
      <c r="W5574" s="1">
        <v>12.416</v>
      </c>
      <c r="X5574" s="1" t="s">
        <v>35</v>
      </c>
      <c r="Y5574" s="1">
        <v>12416</v>
      </c>
      <c r="Z5574" s="1"/>
      <c r="AA5574" s="1">
        <v>12416</v>
      </c>
      <c r="AB5574" s="1"/>
      <c r="AC5574" s="1" t="s">
        <v>36</v>
      </c>
      <c r="AD5574" s="1" t="s">
        <v>18833</v>
      </c>
      <c r="AE5574" s="1" t="s">
        <v>32</v>
      </c>
      <c r="AF5574" s="1" t="s">
        <v>33</v>
      </c>
      <c r="AG5574" s="1" t="s">
        <v>174</v>
      </c>
    </row>
    <row r="5575" spans="1:33">
      <c r="A5575" t="s">
        <v>18834</v>
      </c>
      <c r="B5575" t="s">
        <v>18835</v>
      </c>
      <c r="C5575" t="s">
        <v>68</v>
      </c>
      <c r="E5575" t="s">
        <v>18429</v>
      </c>
      <c r="F5575" t="s">
        <v>18430</v>
      </c>
      <c r="G5575">
        <v>15.8</v>
      </c>
      <c r="H5575">
        <v>15.8</v>
      </c>
      <c r="I5575" t="s">
        <v>59</v>
      </c>
      <c r="J5575" t="s">
        <v>60</v>
      </c>
      <c r="K5575" t="s">
        <v>31</v>
      </c>
      <c r="L5575" t="s">
        <v>32</v>
      </c>
      <c r="M5575" t="s">
        <v>33</v>
      </c>
      <c r="P5575" s="1" t="s">
        <v>18836</v>
      </c>
      <c r="Q5575" s="1" t="s">
        <v>18429</v>
      </c>
      <c r="R5575" s="1" t="s">
        <v>18429</v>
      </c>
      <c r="S5575" s="1"/>
      <c r="T5575" s="1" t="s">
        <v>68</v>
      </c>
      <c r="U5575" s="1"/>
      <c r="V5575" s="1">
        <v>15.8</v>
      </c>
      <c r="W5575" s="1">
        <v>15.8</v>
      </c>
      <c r="X5575" s="1" t="s">
        <v>35</v>
      </c>
      <c r="Y5575" s="1">
        <v>15800</v>
      </c>
      <c r="Z5575" s="1"/>
      <c r="AA5575" s="1">
        <v>15800</v>
      </c>
      <c r="AB5575" s="1"/>
      <c r="AC5575" s="1" t="s">
        <v>36</v>
      </c>
      <c r="AD5575" s="1" t="s">
        <v>18837</v>
      </c>
      <c r="AE5575" s="1" t="s">
        <v>32</v>
      </c>
      <c r="AF5575" s="1" t="s">
        <v>33</v>
      </c>
      <c r="AG5575" s="1" t="s">
        <v>60</v>
      </c>
    </row>
    <row r="5576" spans="1:33">
      <c r="A5576" t="s">
        <v>18838</v>
      </c>
      <c r="B5576" t="s">
        <v>18839</v>
      </c>
      <c r="C5576" t="s">
        <v>47</v>
      </c>
      <c r="E5576" t="s">
        <v>18429</v>
      </c>
      <c r="F5576" t="s">
        <v>18430</v>
      </c>
      <c r="G5576">
        <v>32.24</v>
      </c>
      <c r="H5576">
        <v>32.24</v>
      </c>
      <c r="I5576" t="s">
        <v>2206</v>
      </c>
      <c r="J5576" t="s">
        <v>49</v>
      </c>
      <c r="K5576" t="s">
        <v>31</v>
      </c>
      <c r="L5576" t="s">
        <v>32</v>
      </c>
      <c r="M5576" t="s">
        <v>33</v>
      </c>
      <c r="P5576" s="1" t="s">
        <v>18840</v>
      </c>
      <c r="Q5576" s="1" t="s">
        <v>18429</v>
      </c>
      <c r="R5576" s="1" t="s">
        <v>18429</v>
      </c>
      <c r="S5576" s="1"/>
      <c r="T5576" s="1" t="s">
        <v>47</v>
      </c>
      <c r="U5576" s="1"/>
      <c r="V5576" s="1">
        <v>32.24</v>
      </c>
      <c r="W5576" s="1">
        <v>32.24</v>
      </c>
      <c r="X5576" s="1" t="s">
        <v>35</v>
      </c>
      <c r="Y5576" s="1">
        <v>32240</v>
      </c>
      <c r="Z5576" s="1"/>
      <c r="AA5576" s="1">
        <v>32240</v>
      </c>
      <c r="AB5576" s="1"/>
      <c r="AC5576" s="1" t="s">
        <v>36</v>
      </c>
      <c r="AD5576" s="1" t="s">
        <v>18841</v>
      </c>
      <c r="AE5576" s="1" t="s">
        <v>32</v>
      </c>
      <c r="AF5576" s="1" t="s">
        <v>33</v>
      </c>
      <c r="AG5576" s="1" t="s">
        <v>49</v>
      </c>
    </row>
    <row r="5577" spans="1:33">
      <c r="A5577" t="s">
        <v>18842</v>
      </c>
      <c r="C5577" t="s">
        <v>4624</v>
      </c>
      <c r="E5577" t="s">
        <v>18429</v>
      </c>
      <c r="F5577" t="s">
        <v>18430</v>
      </c>
      <c r="G5577">
        <v>1.115</v>
      </c>
      <c r="H5577">
        <v>1.115</v>
      </c>
      <c r="I5577" t="s">
        <v>126</v>
      </c>
      <c r="J5577" t="s">
        <v>127</v>
      </c>
      <c r="K5577" t="s">
        <v>31</v>
      </c>
      <c r="L5577" t="s">
        <v>32</v>
      </c>
      <c r="M5577" t="s">
        <v>33</v>
      </c>
      <c r="P5577" s="1" t="s">
        <v>18843</v>
      </c>
      <c r="Q5577" s="1" t="s">
        <v>18429</v>
      </c>
      <c r="R5577" s="1" t="s">
        <v>18429</v>
      </c>
      <c r="S5577" s="1"/>
      <c r="T5577" s="1" t="s">
        <v>4624</v>
      </c>
      <c r="U5577" s="1"/>
      <c r="V5577" s="1">
        <v>1.115</v>
      </c>
      <c r="W5577" s="1">
        <v>1.115</v>
      </c>
      <c r="X5577" s="1" t="s">
        <v>35</v>
      </c>
      <c r="Y5577" s="1">
        <v>1115000</v>
      </c>
      <c r="Z5577" s="1"/>
      <c r="AA5577" s="1">
        <v>1115000</v>
      </c>
      <c r="AB5577" s="1"/>
      <c r="AC5577" s="1" t="s">
        <v>36</v>
      </c>
      <c r="AD5577" s="1" t="s">
        <v>18775</v>
      </c>
      <c r="AE5577" s="1" t="s">
        <v>32</v>
      </c>
      <c r="AF5577" s="1" t="s">
        <v>33</v>
      </c>
      <c r="AG5577" s="1" t="s">
        <v>127</v>
      </c>
    </row>
    <row r="5578" spans="1:33">
      <c r="A5578" t="s">
        <v>18844</v>
      </c>
      <c r="B5578" t="s">
        <v>7538</v>
      </c>
      <c r="C5578" t="s">
        <v>68</v>
      </c>
      <c r="E5578" t="s">
        <v>18429</v>
      </c>
      <c r="F5578" t="s">
        <v>18430</v>
      </c>
      <c r="G5578">
        <v>13.794</v>
      </c>
      <c r="H5578">
        <v>13.794</v>
      </c>
      <c r="I5578" t="s">
        <v>59</v>
      </c>
      <c r="J5578" t="s">
        <v>60</v>
      </c>
      <c r="K5578" t="s">
        <v>31</v>
      </c>
      <c r="L5578" t="s">
        <v>32</v>
      </c>
      <c r="M5578" t="s">
        <v>33</v>
      </c>
      <c r="P5578" s="1" t="s">
        <v>18845</v>
      </c>
      <c r="Q5578" s="1" t="s">
        <v>18429</v>
      </c>
      <c r="R5578" s="1" t="s">
        <v>18429</v>
      </c>
      <c r="S5578" s="1"/>
      <c r="T5578" s="1" t="s">
        <v>68</v>
      </c>
      <c r="U5578" s="1"/>
      <c r="V5578" s="1">
        <v>13.794</v>
      </c>
      <c r="W5578" s="1">
        <v>13.794</v>
      </c>
      <c r="X5578" s="1" t="s">
        <v>35</v>
      </c>
      <c r="Y5578" s="1">
        <v>13794</v>
      </c>
      <c r="Z5578" s="1"/>
      <c r="AA5578" s="1">
        <v>13794</v>
      </c>
      <c r="AB5578" s="1"/>
      <c r="AC5578" s="1" t="s">
        <v>36</v>
      </c>
      <c r="AD5578" s="1" t="s">
        <v>18846</v>
      </c>
      <c r="AE5578" s="1" t="s">
        <v>32</v>
      </c>
      <c r="AF5578" s="1" t="s">
        <v>33</v>
      </c>
      <c r="AG5578" s="1" t="s">
        <v>60</v>
      </c>
    </row>
    <row r="5579" spans="1:33">
      <c r="A5579" t="s">
        <v>18847</v>
      </c>
      <c r="C5579" t="s">
        <v>18848</v>
      </c>
      <c r="D5579" t="s">
        <v>154</v>
      </c>
      <c r="E5579" t="s">
        <v>18429</v>
      </c>
      <c r="F5579" t="s">
        <v>18430</v>
      </c>
      <c r="G5579">
        <v>548.5</v>
      </c>
      <c r="H5579">
        <v>548.5</v>
      </c>
      <c r="I5579" t="s">
        <v>179</v>
      </c>
      <c r="J5579" t="s">
        <v>180</v>
      </c>
      <c r="K5579" t="s">
        <v>31</v>
      </c>
      <c r="L5579" t="s">
        <v>32</v>
      </c>
      <c r="M5579" t="s">
        <v>33</v>
      </c>
      <c r="P5579" s="1" t="s">
        <v>18849</v>
      </c>
      <c r="Q5579" s="1" t="s">
        <v>18429</v>
      </c>
      <c r="R5579" s="1" t="s">
        <v>18429</v>
      </c>
      <c r="S5579" s="1"/>
      <c r="T5579" s="1" t="s">
        <v>18848</v>
      </c>
      <c r="U5579" s="1"/>
      <c r="V5579" s="1">
        <v>548.5</v>
      </c>
      <c r="W5579" s="1">
        <v>548.5</v>
      </c>
      <c r="X5579" s="1" t="s">
        <v>35</v>
      </c>
      <c r="Y5579" s="1">
        <v>548500</v>
      </c>
      <c r="Z5579" s="1"/>
      <c r="AA5579" s="1">
        <v>548500</v>
      </c>
      <c r="AB5579" s="1"/>
      <c r="AC5579" s="1" t="s">
        <v>36</v>
      </c>
      <c r="AD5579" s="1" t="s">
        <v>18850</v>
      </c>
      <c r="AE5579" s="1" t="s">
        <v>32</v>
      </c>
      <c r="AF5579" s="1" t="s">
        <v>33</v>
      </c>
      <c r="AG5579" s="1" t="s">
        <v>180</v>
      </c>
    </row>
    <row r="5580" spans="1:33">
      <c r="A5580" t="s">
        <v>18851</v>
      </c>
      <c r="B5580" t="s">
        <v>4547</v>
      </c>
      <c r="C5580" t="s">
        <v>4548</v>
      </c>
      <c r="E5580" t="s">
        <v>18429</v>
      </c>
      <c r="F5580" t="s">
        <v>18430</v>
      </c>
      <c r="G5580">
        <v>5.039</v>
      </c>
      <c r="H5580">
        <v>5.039</v>
      </c>
      <c r="I5580" t="s">
        <v>59</v>
      </c>
      <c r="J5580" t="s">
        <v>60</v>
      </c>
      <c r="K5580" t="s">
        <v>31</v>
      </c>
      <c r="L5580" t="s">
        <v>32</v>
      </c>
      <c r="M5580" t="s">
        <v>33</v>
      </c>
      <c r="P5580" s="1" t="s">
        <v>18852</v>
      </c>
      <c r="Q5580" s="1" t="s">
        <v>18429</v>
      </c>
      <c r="R5580" s="1" t="s">
        <v>18429</v>
      </c>
      <c r="S5580" s="1"/>
      <c r="T5580" s="1" t="s">
        <v>4548</v>
      </c>
      <c r="U5580" s="1"/>
      <c r="V5580" s="1">
        <v>5.039</v>
      </c>
      <c r="W5580" s="1">
        <v>5.039</v>
      </c>
      <c r="X5580" s="1" t="s">
        <v>35</v>
      </c>
      <c r="Y5580" s="1">
        <v>5039</v>
      </c>
      <c r="Z5580" s="1"/>
      <c r="AA5580" s="1">
        <v>5039</v>
      </c>
      <c r="AB5580" s="1"/>
      <c r="AC5580" s="1" t="s">
        <v>36</v>
      </c>
      <c r="AD5580" s="1" t="s">
        <v>18853</v>
      </c>
      <c r="AE5580" s="1" t="s">
        <v>32</v>
      </c>
      <c r="AF5580" s="1" t="s">
        <v>33</v>
      </c>
      <c r="AG5580" s="1" t="s">
        <v>60</v>
      </c>
    </row>
    <row r="5581" spans="1:33">
      <c r="A5581" t="s">
        <v>18854</v>
      </c>
      <c r="C5581" t="s">
        <v>18855</v>
      </c>
      <c r="E5581" t="s">
        <v>18429</v>
      </c>
      <c r="F5581" t="s">
        <v>18430</v>
      </c>
      <c r="G5581">
        <v>993.9</v>
      </c>
      <c r="H5581">
        <v>993.9</v>
      </c>
      <c r="I5581" t="s">
        <v>269</v>
      </c>
      <c r="J5581" t="s">
        <v>270</v>
      </c>
      <c r="K5581" t="s">
        <v>31</v>
      </c>
      <c r="L5581" t="s">
        <v>32</v>
      </c>
      <c r="M5581" t="s">
        <v>33</v>
      </c>
      <c r="P5581" s="1" t="s">
        <v>18856</v>
      </c>
      <c r="Q5581" s="1" t="s">
        <v>18429</v>
      </c>
      <c r="R5581" s="1" t="s">
        <v>18429</v>
      </c>
      <c r="S5581" s="1"/>
      <c r="T5581" s="1" t="s">
        <v>18855</v>
      </c>
      <c r="U5581" s="1"/>
      <c r="V5581" s="1">
        <v>993.9</v>
      </c>
      <c r="W5581" s="1">
        <v>993.9</v>
      </c>
      <c r="X5581" s="1" t="s">
        <v>35</v>
      </c>
      <c r="Y5581" s="1">
        <v>993900</v>
      </c>
      <c r="Z5581" s="1"/>
      <c r="AA5581" s="1">
        <v>993900</v>
      </c>
      <c r="AB5581" s="1"/>
      <c r="AC5581" s="1" t="s">
        <v>36</v>
      </c>
      <c r="AD5581" s="1" t="s">
        <v>18857</v>
      </c>
      <c r="AE5581" s="1" t="s">
        <v>32</v>
      </c>
      <c r="AF5581" s="1" t="s">
        <v>33</v>
      </c>
      <c r="AG5581" s="1" t="s">
        <v>270</v>
      </c>
    </row>
    <row r="5582" spans="1:33">
      <c r="A5582" t="s">
        <v>18858</v>
      </c>
      <c r="C5582" t="s">
        <v>2434</v>
      </c>
      <c r="D5582" t="s">
        <v>154</v>
      </c>
      <c r="E5582" t="s">
        <v>18429</v>
      </c>
      <c r="F5582" t="s">
        <v>18430</v>
      </c>
      <c r="G5582">
        <v>795.0</v>
      </c>
      <c r="H5582">
        <v>795.0</v>
      </c>
      <c r="I5582" t="s">
        <v>126</v>
      </c>
      <c r="J5582" t="s">
        <v>127</v>
      </c>
      <c r="K5582" t="s">
        <v>31</v>
      </c>
      <c r="L5582" t="s">
        <v>32</v>
      </c>
      <c r="M5582" t="s">
        <v>33</v>
      </c>
      <c r="P5582" s="1" t="s">
        <v>18859</v>
      </c>
      <c r="Q5582" s="1" t="s">
        <v>18429</v>
      </c>
      <c r="R5582" s="1" t="s">
        <v>18429</v>
      </c>
      <c r="S5582" s="1"/>
      <c r="T5582" s="1" t="s">
        <v>2436</v>
      </c>
      <c r="U5582" s="1" t="s">
        <v>2437</v>
      </c>
      <c r="V5582" s="1">
        <v>795.0</v>
      </c>
      <c r="W5582" s="1">
        <v>795.0</v>
      </c>
      <c r="X5582" s="1" t="s">
        <v>35</v>
      </c>
      <c r="Y5582" s="1">
        <v>795000</v>
      </c>
      <c r="Z5582" s="1"/>
      <c r="AA5582" s="1">
        <v>795000</v>
      </c>
      <c r="AB5582" s="1"/>
      <c r="AC5582" s="1" t="s">
        <v>36</v>
      </c>
      <c r="AD5582" s="1" t="s">
        <v>18860</v>
      </c>
      <c r="AE5582" s="1" t="s">
        <v>32</v>
      </c>
      <c r="AF5582" s="1" t="s">
        <v>33</v>
      </c>
      <c r="AG5582" s="1" t="s">
        <v>127</v>
      </c>
    </row>
    <row r="5583" spans="1:33">
      <c r="A5583" t="s">
        <v>18861</v>
      </c>
      <c r="B5583" t="s">
        <v>4956</v>
      </c>
      <c r="C5583" t="s">
        <v>172</v>
      </c>
      <c r="E5583" t="s">
        <v>18429</v>
      </c>
      <c r="F5583" t="s">
        <v>18430</v>
      </c>
      <c r="G5583">
        <v>16.745</v>
      </c>
      <c r="H5583">
        <v>16.745</v>
      </c>
      <c r="I5583" t="s">
        <v>173</v>
      </c>
      <c r="J5583" t="s">
        <v>174</v>
      </c>
      <c r="K5583" t="s">
        <v>31</v>
      </c>
      <c r="L5583" t="s">
        <v>32</v>
      </c>
      <c r="M5583" t="s">
        <v>33</v>
      </c>
      <c r="P5583" s="1" t="s">
        <v>18862</v>
      </c>
      <c r="Q5583" s="1" t="s">
        <v>18429</v>
      </c>
      <c r="R5583" s="1" t="s">
        <v>18429</v>
      </c>
      <c r="S5583" s="1"/>
      <c r="T5583" s="1" t="s">
        <v>172</v>
      </c>
      <c r="U5583" s="1"/>
      <c r="V5583" s="1">
        <v>16.745</v>
      </c>
      <c r="W5583" s="1">
        <v>16.745</v>
      </c>
      <c r="X5583" s="1" t="s">
        <v>35</v>
      </c>
      <c r="Y5583" s="1">
        <v>16745</v>
      </c>
      <c r="Z5583" s="1"/>
      <c r="AA5583" s="1">
        <v>16745</v>
      </c>
      <c r="AB5583" s="1"/>
      <c r="AC5583" s="1" t="s">
        <v>36</v>
      </c>
      <c r="AD5583" s="1" t="s">
        <v>18863</v>
      </c>
      <c r="AE5583" s="1" t="s">
        <v>32</v>
      </c>
      <c r="AF5583" s="1" t="s">
        <v>33</v>
      </c>
      <c r="AG5583" s="1" t="s">
        <v>174</v>
      </c>
    </row>
    <row r="5584" spans="1:33">
      <c r="A5584" t="s">
        <v>18864</v>
      </c>
      <c r="B5584" t="s">
        <v>18865</v>
      </c>
      <c r="C5584" t="s">
        <v>68</v>
      </c>
      <c r="E5584" t="s">
        <v>18429</v>
      </c>
      <c r="F5584" t="s">
        <v>18430</v>
      </c>
      <c r="G5584">
        <v>4.598</v>
      </c>
      <c r="H5584">
        <v>4.598</v>
      </c>
      <c r="I5584" t="s">
        <v>59</v>
      </c>
      <c r="J5584" t="s">
        <v>60</v>
      </c>
      <c r="K5584" t="s">
        <v>31</v>
      </c>
      <c r="L5584" t="s">
        <v>32</v>
      </c>
      <c r="M5584" t="s">
        <v>33</v>
      </c>
      <c r="P5584" s="1" t="s">
        <v>18866</v>
      </c>
      <c r="Q5584" s="1" t="s">
        <v>18429</v>
      </c>
      <c r="R5584" s="1" t="s">
        <v>18429</v>
      </c>
      <c r="S5584" s="1"/>
      <c r="T5584" s="1" t="s">
        <v>68</v>
      </c>
      <c r="U5584" s="1"/>
      <c r="V5584" s="1">
        <v>4.598</v>
      </c>
      <c r="W5584" s="1">
        <v>4.598</v>
      </c>
      <c r="X5584" s="1" t="s">
        <v>35</v>
      </c>
      <c r="Y5584" s="1">
        <v>4598</v>
      </c>
      <c r="Z5584" s="1"/>
      <c r="AA5584" s="1">
        <v>4598</v>
      </c>
      <c r="AB5584" s="1"/>
      <c r="AC5584" s="1" t="s">
        <v>36</v>
      </c>
      <c r="AD5584" s="1" t="s">
        <v>18860</v>
      </c>
      <c r="AE5584" s="1" t="s">
        <v>32</v>
      </c>
      <c r="AF5584" s="1" t="s">
        <v>33</v>
      </c>
      <c r="AG5584" s="1" t="s">
        <v>60</v>
      </c>
    </row>
    <row r="5585" spans="1:33">
      <c r="A5585" t="s">
        <v>18867</v>
      </c>
      <c r="B5585" t="s">
        <v>18868</v>
      </c>
      <c r="C5585" t="s">
        <v>68</v>
      </c>
      <c r="E5585" t="s">
        <v>18429</v>
      </c>
      <c r="F5585" t="s">
        <v>18430</v>
      </c>
      <c r="G5585">
        <v>22.49</v>
      </c>
      <c r="H5585">
        <v>22.49</v>
      </c>
      <c r="I5585" t="s">
        <v>59</v>
      </c>
      <c r="J5585" t="s">
        <v>60</v>
      </c>
      <c r="K5585" t="s">
        <v>31</v>
      </c>
      <c r="L5585" t="s">
        <v>32</v>
      </c>
      <c r="M5585" t="s">
        <v>33</v>
      </c>
      <c r="P5585" s="1" t="s">
        <v>18869</v>
      </c>
      <c r="Q5585" s="1" t="s">
        <v>18429</v>
      </c>
      <c r="R5585" s="1" t="s">
        <v>18429</v>
      </c>
      <c r="S5585" s="1"/>
      <c r="T5585" s="1" t="s">
        <v>68</v>
      </c>
      <c r="U5585" s="1"/>
      <c r="V5585" s="1">
        <v>22.49</v>
      </c>
      <c r="W5585" s="1">
        <v>22.49</v>
      </c>
      <c r="X5585" s="1" t="s">
        <v>35</v>
      </c>
      <c r="Y5585" s="1">
        <v>22490</v>
      </c>
      <c r="Z5585" s="1"/>
      <c r="AA5585" s="1">
        <v>22490</v>
      </c>
      <c r="AB5585" s="1"/>
      <c r="AC5585" s="1" t="s">
        <v>36</v>
      </c>
      <c r="AD5585" s="1" t="s">
        <v>18870</v>
      </c>
      <c r="AE5585" s="1" t="s">
        <v>32</v>
      </c>
      <c r="AF5585" s="1" t="s">
        <v>33</v>
      </c>
      <c r="AG5585" s="1" t="s">
        <v>60</v>
      </c>
    </row>
    <row r="5586" spans="1:33">
      <c r="A5586" t="s">
        <v>18871</v>
      </c>
      <c r="B5586" t="s">
        <v>4398</v>
      </c>
      <c r="C5586" t="s">
        <v>569</v>
      </c>
      <c r="E5586" t="s">
        <v>18429</v>
      </c>
      <c r="F5586" t="s">
        <v>18430</v>
      </c>
      <c r="G5586">
        <v>143.82</v>
      </c>
      <c r="H5586">
        <v>143.82</v>
      </c>
      <c r="I5586" t="s">
        <v>570</v>
      </c>
      <c r="J5586" t="s">
        <v>571</v>
      </c>
      <c r="K5586" t="s">
        <v>31</v>
      </c>
      <c r="L5586" t="s">
        <v>32</v>
      </c>
      <c r="M5586" t="s">
        <v>33</v>
      </c>
      <c r="P5586" s="1" t="s">
        <v>18872</v>
      </c>
      <c r="Q5586" s="1" t="s">
        <v>18429</v>
      </c>
      <c r="R5586" s="1" t="s">
        <v>18429</v>
      </c>
      <c r="S5586" s="1"/>
      <c r="T5586" s="1" t="s">
        <v>569</v>
      </c>
      <c r="U5586" s="1"/>
      <c r="V5586" s="1">
        <v>143.82</v>
      </c>
      <c r="W5586" s="1">
        <v>143.82</v>
      </c>
      <c r="X5586" s="1" t="s">
        <v>35</v>
      </c>
      <c r="Y5586" s="1">
        <v>143820</v>
      </c>
      <c r="Z5586" s="1"/>
      <c r="AA5586" s="1">
        <v>143820</v>
      </c>
      <c r="AB5586" s="1"/>
      <c r="AC5586" s="1" t="s">
        <v>36</v>
      </c>
      <c r="AD5586" s="1" t="s">
        <v>18853</v>
      </c>
      <c r="AE5586" s="1" t="s">
        <v>32</v>
      </c>
      <c r="AF5586" s="1" t="s">
        <v>33</v>
      </c>
      <c r="AG5586" s="1" t="s">
        <v>571</v>
      </c>
    </row>
    <row r="5587" spans="1:33">
      <c r="A5587" t="s">
        <v>18873</v>
      </c>
      <c r="B5587" t="s">
        <v>18874</v>
      </c>
      <c r="C5587" t="s">
        <v>73</v>
      </c>
      <c r="E5587" t="s">
        <v>18429</v>
      </c>
      <c r="F5587" t="s">
        <v>18430</v>
      </c>
      <c r="G5587">
        <v>21.99</v>
      </c>
      <c r="H5587">
        <v>21.99</v>
      </c>
      <c r="I5587" t="s">
        <v>40</v>
      </c>
      <c r="J5587" t="s">
        <v>41</v>
      </c>
      <c r="K5587" t="s">
        <v>31</v>
      </c>
      <c r="L5587" t="s">
        <v>32</v>
      </c>
      <c r="M5587" t="s">
        <v>33</v>
      </c>
      <c r="P5587" s="1" t="s">
        <v>18875</v>
      </c>
      <c r="Q5587" s="1" t="s">
        <v>18429</v>
      </c>
      <c r="R5587" s="1" t="s">
        <v>18474</v>
      </c>
      <c r="S5587" s="1"/>
      <c r="T5587" s="1" t="s">
        <v>75</v>
      </c>
      <c r="U5587" s="1" t="s">
        <v>76</v>
      </c>
      <c r="V5587" s="1">
        <v>21.99</v>
      </c>
      <c r="W5587" s="1">
        <v>21.99</v>
      </c>
      <c r="X5587" s="1" t="s">
        <v>35</v>
      </c>
      <c r="Y5587" s="1">
        <v>21990</v>
      </c>
      <c r="Z5587" s="1"/>
      <c r="AA5587" s="1">
        <v>21990</v>
      </c>
      <c r="AB5587" s="1"/>
      <c r="AC5587" s="1" t="s">
        <v>36</v>
      </c>
      <c r="AD5587" s="1" t="s">
        <v>18857</v>
      </c>
      <c r="AE5587" s="1" t="s">
        <v>32</v>
      </c>
      <c r="AF5587" s="1" t="s">
        <v>33</v>
      </c>
      <c r="AG5587" s="1" t="s">
        <v>41</v>
      </c>
    </row>
    <row r="5588" spans="1:33">
      <c r="A5588" t="s">
        <v>18876</v>
      </c>
      <c r="C5588" t="s">
        <v>2842</v>
      </c>
      <c r="E5588" t="s">
        <v>18429</v>
      </c>
      <c r="F5588" t="s">
        <v>18430</v>
      </c>
      <c r="G5588">
        <v>507.0</v>
      </c>
      <c r="H5588">
        <v>507.0</v>
      </c>
      <c r="I5588" t="s">
        <v>2206</v>
      </c>
      <c r="J5588" t="s">
        <v>49</v>
      </c>
      <c r="K5588" t="s">
        <v>31</v>
      </c>
      <c r="L5588" t="s">
        <v>32</v>
      </c>
      <c r="M5588" t="s">
        <v>33</v>
      </c>
      <c r="P5588" s="1" t="s">
        <v>18877</v>
      </c>
      <c r="Q5588" s="1" t="s">
        <v>18429</v>
      </c>
      <c r="R5588" s="1" t="s">
        <v>18429</v>
      </c>
      <c r="S5588" s="1"/>
      <c r="T5588" s="1" t="s">
        <v>2842</v>
      </c>
      <c r="U5588" s="1"/>
      <c r="V5588" s="1">
        <v>507.0</v>
      </c>
      <c r="W5588" s="1">
        <v>507.0</v>
      </c>
      <c r="X5588" s="1" t="s">
        <v>35</v>
      </c>
      <c r="Y5588" s="1">
        <v>507000</v>
      </c>
      <c r="Z5588" s="1"/>
      <c r="AA5588" s="1">
        <v>507000</v>
      </c>
      <c r="AB5588" s="1"/>
      <c r="AC5588" s="1" t="s">
        <v>36</v>
      </c>
      <c r="AD5588" s="1" t="s">
        <v>18863</v>
      </c>
      <c r="AE5588" s="1" t="s">
        <v>32</v>
      </c>
      <c r="AF5588" s="1" t="s">
        <v>33</v>
      </c>
      <c r="AG5588" s="1" t="s">
        <v>49</v>
      </c>
    </row>
    <row r="5589" spans="1:33">
      <c r="A5589" t="s">
        <v>18878</v>
      </c>
      <c r="C5589" t="s">
        <v>14027</v>
      </c>
      <c r="E5589" t="s">
        <v>18429</v>
      </c>
      <c r="F5589" t="s">
        <v>18430</v>
      </c>
      <c r="G5589">
        <v>800.0</v>
      </c>
      <c r="H5589">
        <v>800.0</v>
      </c>
      <c r="I5589" t="s">
        <v>173</v>
      </c>
      <c r="J5589" t="s">
        <v>174</v>
      </c>
      <c r="K5589" t="s">
        <v>31</v>
      </c>
      <c r="L5589" t="s">
        <v>32</v>
      </c>
      <c r="M5589" t="s">
        <v>33</v>
      </c>
      <c r="P5589" s="1" t="s">
        <v>18879</v>
      </c>
      <c r="Q5589" s="1" t="s">
        <v>18429</v>
      </c>
      <c r="R5589" s="1" t="s">
        <v>18429</v>
      </c>
      <c r="S5589" s="1"/>
      <c r="T5589" s="1" t="s">
        <v>14027</v>
      </c>
      <c r="U5589" s="1"/>
      <c r="V5589" s="1">
        <v>800.0</v>
      </c>
      <c r="W5589" s="1">
        <v>800.0</v>
      </c>
      <c r="X5589" s="1" t="s">
        <v>35</v>
      </c>
      <c r="Y5589" s="1">
        <v>800000</v>
      </c>
      <c r="Z5589" s="1"/>
      <c r="AA5589" s="1">
        <v>800000</v>
      </c>
      <c r="AB5589" s="1"/>
      <c r="AC5589" s="1" t="s">
        <v>36</v>
      </c>
      <c r="AD5589" s="1" t="s">
        <v>18880</v>
      </c>
      <c r="AE5589" s="1" t="s">
        <v>32</v>
      </c>
      <c r="AF5589" s="1" t="s">
        <v>33</v>
      </c>
      <c r="AG5589" s="1" t="s">
        <v>174</v>
      </c>
    </row>
    <row r="5590" spans="1:33">
      <c r="A5590" t="s">
        <v>18881</v>
      </c>
      <c r="C5590" t="s">
        <v>15375</v>
      </c>
      <c r="E5590" t="s">
        <v>18429</v>
      </c>
      <c r="F5590" t="s">
        <v>18430</v>
      </c>
      <c r="G5590">
        <v>807.2</v>
      </c>
      <c r="H5590">
        <v>807.2</v>
      </c>
      <c r="I5590" t="s">
        <v>126</v>
      </c>
      <c r="J5590" t="s">
        <v>127</v>
      </c>
      <c r="K5590" t="s">
        <v>31</v>
      </c>
      <c r="L5590" t="s">
        <v>32</v>
      </c>
      <c r="M5590" t="s">
        <v>33</v>
      </c>
      <c r="P5590" s="1" t="s">
        <v>18882</v>
      </c>
      <c r="Q5590" s="1" t="s">
        <v>18429</v>
      </c>
      <c r="R5590" s="1" t="s">
        <v>18429</v>
      </c>
      <c r="S5590" s="1"/>
      <c r="T5590" s="1" t="s">
        <v>15375</v>
      </c>
      <c r="U5590" s="1"/>
      <c r="V5590" s="1">
        <v>807.2</v>
      </c>
      <c r="W5590" s="1">
        <v>807.2</v>
      </c>
      <c r="X5590" s="1" t="s">
        <v>35</v>
      </c>
      <c r="Y5590" s="1">
        <v>807200</v>
      </c>
      <c r="Z5590" s="1"/>
      <c r="AA5590" s="1">
        <v>807200</v>
      </c>
      <c r="AB5590" s="1"/>
      <c r="AC5590" s="1" t="s">
        <v>36</v>
      </c>
      <c r="AD5590" s="1" t="s">
        <v>18883</v>
      </c>
      <c r="AE5590" s="1" t="s">
        <v>32</v>
      </c>
      <c r="AF5590" s="1" t="s">
        <v>33</v>
      </c>
      <c r="AG5590" s="1" t="s">
        <v>127</v>
      </c>
    </row>
    <row r="5591" spans="1:33">
      <c r="A5591" t="s">
        <v>18884</v>
      </c>
      <c r="C5591" t="s">
        <v>2498</v>
      </c>
      <c r="E5591" t="s">
        <v>18429</v>
      </c>
      <c r="F5591" t="s">
        <v>18430</v>
      </c>
      <c r="G5591">
        <v>820.0</v>
      </c>
      <c r="H5591">
        <v>820.0</v>
      </c>
      <c r="I5591" t="s">
        <v>269</v>
      </c>
      <c r="J5591" t="s">
        <v>270</v>
      </c>
      <c r="K5591" t="s">
        <v>31</v>
      </c>
      <c r="L5591" t="s">
        <v>32</v>
      </c>
      <c r="M5591" t="s">
        <v>33</v>
      </c>
      <c r="P5591" s="1" t="s">
        <v>18885</v>
      </c>
      <c r="Q5591" s="1" t="s">
        <v>18429</v>
      </c>
      <c r="R5591" s="1" t="s">
        <v>18429</v>
      </c>
      <c r="S5591" s="1"/>
      <c r="T5591" s="1" t="s">
        <v>2500</v>
      </c>
      <c r="U5591" s="1" t="s">
        <v>2501</v>
      </c>
      <c r="V5591" s="1">
        <v>820.0</v>
      </c>
      <c r="W5591" s="1">
        <v>820.0</v>
      </c>
      <c r="X5591" s="1" t="s">
        <v>35</v>
      </c>
      <c r="Y5591" s="1">
        <v>820000</v>
      </c>
      <c r="Z5591" s="1"/>
      <c r="AA5591" s="1">
        <v>820000</v>
      </c>
      <c r="AB5591" s="1"/>
      <c r="AC5591" s="1" t="s">
        <v>36</v>
      </c>
      <c r="AD5591" s="1" t="s">
        <v>18886</v>
      </c>
      <c r="AE5591" s="1" t="s">
        <v>32</v>
      </c>
      <c r="AF5591" s="1" t="s">
        <v>33</v>
      </c>
      <c r="AG5591" s="1" t="s">
        <v>270</v>
      </c>
    </row>
    <row r="5592" spans="1:33">
      <c r="A5592" t="s">
        <v>18887</v>
      </c>
      <c r="B5592" t="s">
        <v>18888</v>
      </c>
      <c r="C5592" t="s">
        <v>73</v>
      </c>
      <c r="E5592" t="s">
        <v>18429</v>
      </c>
      <c r="F5592" t="s">
        <v>18430</v>
      </c>
      <c r="G5592">
        <v>34.005</v>
      </c>
      <c r="H5592">
        <v>34.005</v>
      </c>
      <c r="I5592" t="s">
        <v>40</v>
      </c>
      <c r="J5592" t="s">
        <v>41</v>
      </c>
      <c r="K5592" t="s">
        <v>31</v>
      </c>
      <c r="L5592" t="s">
        <v>32</v>
      </c>
      <c r="M5592" t="s">
        <v>33</v>
      </c>
      <c r="P5592" s="1" t="s">
        <v>18889</v>
      </c>
      <c r="Q5592" s="1" t="s">
        <v>18429</v>
      </c>
      <c r="R5592" s="1" t="s">
        <v>18474</v>
      </c>
      <c r="S5592" s="1"/>
      <c r="T5592" s="1" t="s">
        <v>75</v>
      </c>
      <c r="U5592" s="1" t="s">
        <v>76</v>
      </c>
      <c r="V5592" s="1">
        <v>34.005</v>
      </c>
      <c r="W5592" s="1">
        <v>34.005</v>
      </c>
      <c r="X5592" s="1" t="s">
        <v>35</v>
      </c>
      <c r="Y5592" s="1">
        <v>34005</v>
      </c>
      <c r="Z5592" s="1"/>
      <c r="AA5592" s="1">
        <v>34005</v>
      </c>
      <c r="AB5592" s="1"/>
      <c r="AC5592" s="1" t="s">
        <v>36</v>
      </c>
      <c r="AD5592" s="1" t="s">
        <v>18890</v>
      </c>
      <c r="AE5592" s="1" t="s">
        <v>32</v>
      </c>
      <c r="AF5592" s="1" t="s">
        <v>33</v>
      </c>
      <c r="AG5592" s="1" t="s">
        <v>41</v>
      </c>
    </row>
    <row r="5593" spans="1:33">
      <c r="A5593" t="s">
        <v>18891</v>
      </c>
      <c r="B5593" t="s">
        <v>18892</v>
      </c>
      <c r="C5593" t="s">
        <v>73</v>
      </c>
      <c r="E5593" t="s">
        <v>18429</v>
      </c>
      <c r="F5593" t="s">
        <v>18430</v>
      </c>
      <c r="G5593">
        <v>28.09</v>
      </c>
      <c r="H5593">
        <v>28.09</v>
      </c>
      <c r="I5593" t="s">
        <v>40</v>
      </c>
      <c r="J5593" t="s">
        <v>41</v>
      </c>
      <c r="K5593" t="s">
        <v>31</v>
      </c>
      <c r="L5593" t="s">
        <v>32</v>
      </c>
      <c r="M5593" t="s">
        <v>33</v>
      </c>
      <c r="P5593" s="1" t="s">
        <v>18893</v>
      </c>
      <c r="Q5593" s="1" t="s">
        <v>18429</v>
      </c>
      <c r="R5593" s="1" t="s">
        <v>18474</v>
      </c>
      <c r="S5593" s="1"/>
      <c r="T5593" s="1" t="s">
        <v>75</v>
      </c>
      <c r="U5593" s="1" t="s">
        <v>76</v>
      </c>
      <c r="V5593" s="1">
        <v>28.09</v>
      </c>
      <c r="W5593" s="1">
        <v>28.09</v>
      </c>
      <c r="X5593" s="1" t="s">
        <v>35</v>
      </c>
      <c r="Y5593" s="1">
        <v>28090</v>
      </c>
      <c r="Z5593" s="1"/>
      <c r="AA5593" s="1">
        <v>28090</v>
      </c>
      <c r="AB5593" s="1"/>
      <c r="AC5593" s="1" t="s">
        <v>36</v>
      </c>
      <c r="AD5593" s="1" t="s">
        <v>18894</v>
      </c>
      <c r="AE5593" s="1" t="s">
        <v>32</v>
      </c>
      <c r="AF5593" s="1" t="s">
        <v>33</v>
      </c>
      <c r="AG5593" s="1" t="s">
        <v>41</v>
      </c>
    </row>
    <row r="5594" spans="1:33">
      <c r="A5594" t="s">
        <v>18895</v>
      </c>
      <c r="C5594" t="s">
        <v>9464</v>
      </c>
      <c r="E5594" t="s">
        <v>18429</v>
      </c>
      <c r="F5594" t="s">
        <v>18430</v>
      </c>
      <c r="G5594">
        <v>538.5</v>
      </c>
      <c r="H5594">
        <v>538.5</v>
      </c>
      <c r="I5594" t="s">
        <v>94</v>
      </c>
      <c r="J5594" t="s">
        <v>95</v>
      </c>
      <c r="K5594" t="s">
        <v>31</v>
      </c>
      <c r="L5594" t="s">
        <v>32</v>
      </c>
      <c r="M5594" t="s">
        <v>33</v>
      </c>
      <c r="P5594" s="1" t="s">
        <v>18896</v>
      </c>
      <c r="Q5594" s="1" t="s">
        <v>18429</v>
      </c>
      <c r="R5594" s="1" t="s">
        <v>18429</v>
      </c>
      <c r="S5594" s="1"/>
      <c r="T5594" s="1" t="s">
        <v>9464</v>
      </c>
      <c r="U5594" s="1"/>
      <c r="V5594" s="1">
        <v>538.5</v>
      </c>
      <c r="W5594" s="1">
        <v>538.5</v>
      </c>
      <c r="X5594" s="1" t="s">
        <v>35</v>
      </c>
      <c r="Y5594" s="1">
        <v>538500</v>
      </c>
      <c r="Z5594" s="1"/>
      <c r="AA5594" s="1">
        <v>538500</v>
      </c>
      <c r="AB5594" s="1"/>
      <c r="AC5594" s="1" t="s">
        <v>36</v>
      </c>
      <c r="AD5594" s="1" t="s">
        <v>18897</v>
      </c>
      <c r="AE5594" s="1" t="s">
        <v>32</v>
      </c>
      <c r="AF5594" s="1" t="s">
        <v>33</v>
      </c>
      <c r="AG5594" s="1" t="s">
        <v>95</v>
      </c>
    </row>
    <row r="5595" spans="1:33">
      <c r="A5595" t="s">
        <v>18898</v>
      </c>
      <c r="B5595" t="s">
        <v>767</v>
      </c>
      <c r="C5595" t="s">
        <v>314</v>
      </c>
      <c r="E5595" t="s">
        <v>18429</v>
      </c>
      <c r="F5595" t="s">
        <v>18430</v>
      </c>
      <c r="G5595">
        <v>120.5</v>
      </c>
      <c r="H5595">
        <v>120.5</v>
      </c>
      <c r="I5595" t="s">
        <v>179</v>
      </c>
      <c r="J5595" t="s">
        <v>180</v>
      </c>
      <c r="K5595" t="s">
        <v>31</v>
      </c>
      <c r="L5595" t="s">
        <v>32</v>
      </c>
      <c r="M5595" t="s">
        <v>33</v>
      </c>
      <c r="P5595" s="1" t="s">
        <v>18899</v>
      </c>
      <c r="Q5595" s="1" t="s">
        <v>18429</v>
      </c>
      <c r="R5595" s="1" t="s">
        <v>18429</v>
      </c>
      <c r="S5595" s="1"/>
      <c r="T5595" s="1" t="s">
        <v>314</v>
      </c>
      <c r="U5595" s="1"/>
      <c r="V5595" s="1">
        <v>120.5</v>
      </c>
      <c r="W5595" s="1">
        <v>120.5</v>
      </c>
      <c r="X5595" s="1" t="s">
        <v>35</v>
      </c>
      <c r="Y5595" s="1">
        <v>120500</v>
      </c>
      <c r="Z5595" s="1"/>
      <c r="AA5595" s="1">
        <v>120500</v>
      </c>
      <c r="AB5595" s="1"/>
      <c r="AC5595" s="1" t="s">
        <v>36</v>
      </c>
      <c r="AD5595" s="1" t="s">
        <v>18900</v>
      </c>
      <c r="AE5595" s="1" t="s">
        <v>32</v>
      </c>
      <c r="AF5595" s="1" t="s">
        <v>33</v>
      </c>
      <c r="AG5595" s="1" t="s">
        <v>180</v>
      </c>
    </row>
    <row r="5596" spans="1:33">
      <c r="A5596" t="s">
        <v>18901</v>
      </c>
      <c r="C5596" t="s">
        <v>1016</v>
      </c>
      <c r="E5596" t="s">
        <v>18429</v>
      </c>
      <c r="F5596" t="s">
        <v>18430</v>
      </c>
      <c r="G5596">
        <v>518.0</v>
      </c>
      <c r="H5596">
        <v>518.0</v>
      </c>
      <c r="I5596" t="s">
        <v>269</v>
      </c>
      <c r="J5596" t="s">
        <v>270</v>
      </c>
      <c r="K5596" t="s">
        <v>31</v>
      </c>
      <c r="L5596" t="s">
        <v>32</v>
      </c>
      <c r="M5596" t="s">
        <v>33</v>
      </c>
      <c r="P5596" s="1" t="s">
        <v>18902</v>
      </c>
      <c r="Q5596" s="1" t="s">
        <v>18429</v>
      </c>
      <c r="R5596" s="1" t="s">
        <v>18429</v>
      </c>
      <c r="S5596" s="1"/>
      <c r="T5596" s="1" t="s">
        <v>1016</v>
      </c>
      <c r="U5596" s="1"/>
      <c r="V5596" s="1">
        <v>518.0</v>
      </c>
      <c r="W5596" s="1">
        <v>518.0</v>
      </c>
      <c r="X5596" s="1" t="s">
        <v>35</v>
      </c>
      <c r="Y5596" s="1">
        <v>518000</v>
      </c>
      <c r="Z5596" s="1"/>
      <c r="AA5596" s="1">
        <v>518000</v>
      </c>
      <c r="AB5596" s="1"/>
      <c r="AC5596" s="1" t="s">
        <v>36</v>
      </c>
      <c r="AD5596" s="1" t="s">
        <v>18900</v>
      </c>
      <c r="AE5596" s="1" t="s">
        <v>32</v>
      </c>
      <c r="AF5596" s="1" t="s">
        <v>33</v>
      </c>
      <c r="AG5596" s="1" t="s">
        <v>270</v>
      </c>
    </row>
    <row r="5597" spans="1:33">
      <c r="A5597" t="s">
        <v>18903</v>
      </c>
      <c r="C5597" t="s">
        <v>1912</v>
      </c>
      <c r="E5597" t="s">
        <v>18429</v>
      </c>
      <c r="F5597" t="s">
        <v>18430</v>
      </c>
      <c r="G5597">
        <v>320.0</v>
      </c>
      <c r="H5597">
        <v>320.0</v>
      </c>
      <c r="I5597" t="s">
        <v>173</v>
      </c>
      <c r="J5597" t="s">
        <v>174</v>
      </c>
      <c r="K5597" t="s">
        <v>31</v>
      </c>
      <c r="L5597" t="s">
        <v>32</v>
      </c>
      <c r="M5597" t="s">
        <v>33</v>
      </c>
      <c r="P5597" s="1" t="s">
        <v>18904</v>
      </c>
      <c r="Q5597" s="1" t="s">
        <v>18429</v>
      </c>
      <c r="R5597" s="1" t="s">
        <v>18429</v>
      </c>
      <c r="S5597" s="1"/>
      <c r="T5597" s="1" t="s">
        <v>1912</v>
      </c>
      <c r="U5597" s="1"/>
      <c r="V5597" s="1">
        <v>320.0</v>
      </c>
      <c r="W5597" s="1">
        <v>320.0</v>
      </c>
      <c r="X5597" s="1" t="s">
        <v>35</v>
      </c>
      <c r="Y5597" s="1">
        <v>320000</v>
      </c>
      <c r="Z5597" s="1"/>
      <c r="AA5597" s="1">
        <v>320000</v>
      </c>
      <c r="AB5597" s="1"/>
      <c r="AC5597" s="1" t="s">
        <v>36</v>
      </c>
      <c r="AD5597" s="1" t="s">
        <v>18905</v>
      </c>
      <c r="AE5597" s="1" t="s">
        <v>32</v>
      </c>
      <c r="AF5597" s="1" t="s">
        <v>33</v>
      </c>
      <c r="AG5597" s="1" t="s">
        <v>174</v>
      </c>
    </row>
    <row r="5598" spans="1:33">
      <c r="A5598" t="s">
        <v>18906</v>
      </c>
      <c r="B5598" t="s">
        <v>7538</v>
      </c>
      <c r="C5598" t="s">
        <v>68</v>
      </c>
      <c r="E5598" t="s">
        <v>18429</v>
      </c>
      <c r="F5598" t="s">
        <v>18430</v>
      </c>
      <c r="G5598">
        <v>12.278</v>
      </c>
      <c r="H5598">
        <v>12.278</v>
      </c>
      <c r="I5598" t="s">
        <v>59</v>
      </c>
      <c r="J5598" t="s">
        <v>60</v>
      </c>
      <c r="K5598" t="s">
        <v>31</v>
      </c>
      <c r="L5598" t="s">
        <v>32</v>
      </c>
      <c r="M5598" t="s">
        <v>33</v>
      </c>
      <c r="P5598" s="1" t="s">
        <v>18907</v>
      </c>
      <c r="Q5598" s="1" t="s">
        <v>18429</v>
      </c>
      <c r="R5598" s="1" t="s">
        <v>18429</v>
      </c>
      <c r="S5598" s="1"/>
      <c r="T5598" s="1" t="s">
        <v>68</v>
      </c>
      <c r="U5598" s="1"/>
      <c r="V5598" s="1">
        <v>12.278</v>
      </c>
      <c r="W5598" s="1">
        <v>12.278</v>
      </c>
      <c r="X5598" s="1" t="s">
        <v>35</v>
      </c>
      <c r="Y5598" s="1">
        <v>12278</v>
      </c>
      <c r="Z5598" s="1"/>
      <c r="AA5598" s="1">
        <v>12278</v>
      </c>
      <c r="AB5598" s="1"/>
      <c r="AC5598" s="1" t="s">
        <v>36</v>
      </c>
      <c r="AD5598" s="1" t="s">
        <v>18908</v>
      </c>
      <c r="AE5598" s="1" t="s">
        <v>32</v>
      </c>
      <c r="AF5598" s="1" t="s">
        <v>33</v>
      </c>
      <c r="AG5598" s="1" t="s">
        <v>60</v>
      </c>
    </row>
    <row r="5599" spans="1:33">
      <c r="A5599" t="s">
        <v>18909</v>
      </c>
      <c r="C5599" t="s">
        <v>18910</v>
      </c>
      <c r="E5599" t="s">
        <v>18429</v>
      </c>
      <c r="F5599" t="s">
        <v>18430</v>
      </c>
      <c r="G5599">
        <v>450.25</v>
      </c>
      <c r="H5599">
        <v>450.25</v>
      </c>
      <c r="I5599" t="s">
        <v>179</v>
      </c>
      <c r="J5599" t="s">
        <v>180</v>
      </c>
      <c r="K5599" t="s">
        <v>31</v>
      </c>
      <c r="L5599" t="s">
        <v>32</v>
      </c>
      <c r="M5599" t="s">
        <v>33</v>
      </c>
      <c r="P5599" s="1" t="s">
        <v>18911</v>
      </c>
      <c r="Q5599" s="1" t="s">
        <v>18429</v>
      </c>
      <c r="R5599" s="1" t="s">
        <v>18429</v>
      </c>
      <c r="S5599" s="1"/>
      <c r="T5599" s="1" t="s">
        <v>18910</v>
      </c>
      <c r="U5599" s="1"/>
      <c r="V5599" s="1">
        <v>450.25</v>
      </c>
      <c r="W5599" s="1">
        <v>450.25</v>
      </c>
      <c r="X5599" s="1" t="s">
        <v>35</v>
      </c>
      <c r="Y5599" s="1">
        <v>450250</v>
      </c>
      <c r="Z5599" s="1"/>
      <c r="AA5599" s="1">
        <v>450250</v>
      </c>
      <c r="AB5599" s="1"/>
      <c r="AC5599" s="1" t="s">
        <v>36</v>
      </c>
      <c r="AD5599" s="1" t="s">
        <v>18912</v>
      </c>
      <c r="AE5599" s="1" t="s">
        <v>32</v>
      </c>
      <c r="AF5599" s="1" t="s">
        <v>33</v>
      </c>
      <c r="AG5599" s="1" t="s">
        <v>180</v>
      </c>
    </row>
    <row r="5600" spans="1:33">
      <c r="A5600" t="s">
        <v>18913</v>
      </c>
      <c r="C5600" t="s">
        <v>7201</v>
      </c>
      <c r="E5600" t="s">
        <v>18429</v>
      </c>
      <c r="F5600" t="s">
        <v>18430</v>
      </c>
      <c r="G5600">
        <v>320.0</v>
      </c>
      <c r="H5600">
        <v>320.0</v>
      </c>
      <c r="I5600" t="s">
        <v>126</v>
      </c>
      <c r="J5600" t="s">
        <v>127</v>
      </c>
      <c r="K5600" t="s">
        <v>31</v>
      </c>
      <c r="L5600" t="s">
        <v>32</v>
      </c>
      <c r="M5600" t="s">
        <v>33</v>
      </c>
      <c r="P5600" s="1" t="s">
        <v>18914</v>
      </c>
      <c r="Q5600" s="1" t="s">
        <v>18429</v>
      </c>
      <c r="R5600" s="1" t="s">
        <v>18429</v>
      </c>
      <c r="S5600" s="1"/>
      <c r="T5600" s="1" t="s">
        <v>7201</v>
      </c>
      <c r="U5600" s="1"/>
      <c r="V5600" s="1">
        <v>320.0</v>
      </c>
      <c r="W5600" s="1">
        <v>320.0</v>
      </c>
      <c r="X5600" s="1" t="s">
        <v>35</v>
      </c>
      <c r="Y5600" s="1">
        <v>320000</v>
      </c>
      <c r="Z5600" s="1"/>
      <c r="AA5600" s="1">
        <v>320000</v>
      </c>
      <c r="AB5600" s="1"/>
      <c r="AC5600" s="1" t="s">
        <v>36</v>
      </c>
      <c r="AD5600" s="1" t="s">
        <v>18894</v>
      </c>
      <c r="AE5600" s="1" t="s">
        <v>32</v>
      </c>
      <c r="AF5600" s="1" t="s">
        <v>33</v>
      </c>
      <c r="AG5600" s="1" t="s">
        <v>127</v>
      </c>
    </row>
    <row r="5601" spans="1:33">
      <c r="A5601" t="s">
        <v>18915</v>
      </c>
      <c r="C5601" t="s">
        <v>10704</v>
      </c>
      <c r="D5601" t="s">
        <v>154</v>
      </c>
      <c r="E5601" t="s">
        <v>18429</v>
      </c>
      <c r="F5601" t="s">
        <v>18430</v>
      </c>
      <c r="G5601">
        <v>1.685</v>
      </c>
      <c r="H5601">
        <v>1.685</v>
      </c>
      <c r="I5601" t="s">
        <v>2206</v>
      </c>
      <c r="J5601" t="s">
        <v>49</v>
      </c>
      <c r="K5601" t="s">
        <v>31</v>
      </c>
      <c r="L5601" t="s">
        <v>32</v>
      </c>
      <c r="M5601" t="s">
        <v>33</v>
      </c>
      <c r="P5601" s="1" t="s">
        <v>18916</v>
      </c>
      <c r="Q5601" s="1" t="s">
        <v>18429</v>
      </c>
      <c r="R5601" s="1" t="s">
        <v>18429</v>
      </c>
      <c r="S5601" s="1"/>
      <c r="T5601" s="1" t="s">
        <v>10706</v>
      </c>
      <c r="U5601" s="1" t="s">
        <v>10707</v>
      </c>
      <c r="V5601" s="1">
        <v>1.685</v>
      </c>
      <c r="W5601" s="1">
        <v>1.685</v>
      </c>
      <c r="X5601" s="1" t="s">
        <v>35</v>
      </c>
      <c r="Y5601" s="1">
        <v>1685000</v>
      </c>
      <c r="Z5601" s="1"/>
      <c r="AA5601" s="1">
        <v>1685000</v>
      </c>
      <c r="AB5601" s="1"/>
      <c r="AC5601" s="1" t="s">
        <v>36</v>
      </c>
      <c r="AD5601" s="1" t="s">
        <v>18780</v>
      </c>
      <c r="AE5601" s="1" t="s">
        <v>32</v>
      </c>
      <c r="AF5601" s="1" t="s">
        <v>33</v>
      </c>
      <c r="AG5601" s="1" t="s">
        <v>49</v>
      </c>
    </row>
    <row r="5602" spans="1:33">
      <c r="A5602" t="s">
        <v>18917</v>
      </c>
      <c r="B5602" t="s">
        <v>7104</v>
      </c>
      <c r="C5602" t="s">
        <v>68</v>
      </c>
      <c r="E5602" t="s">
        <v>18429</v>
      </c>
      <c r="F5602" t="s">
        <v>18430</v>
      </c>
      <c r="G5602">
        <v>26.675</v>
      </c>
      <c r="H5602">
        <v>26.675</v>
      </c>
      <c r="I5602" t="s">
        <v>59</v>
      </c>
      <c r="J5602" t="s">
        <v>60</v>
      </c>
      <c r="K5602" t="s">
        <v>31</v>
      </c>
      <c r="L5602" t="s">
        <v>32</v>
      </c>
      <c r="M5602" t="s">
        <v>33</v>
      </c>
      <c r="P5602" s="1" t="s">
        <v>18918</v>
      </c>
      <c r="Q5602" s="1" t="s">
        <v>18429</v>
      </c>
      <c r="R5602" s="1" t="s">
        <v>18429</v>
      </c>
      <c r="S5602" s="1"/>
      <c r="T5602" s="1" t="s">
        <v>68</v>
      </c>
      <c r="U5602" s="1"/>
      <c r="V5602" s="1">
        <v>26.675</v>
      </c>
      <c r="W5602" s="1">
        <v>26.675</v>
      </c>
      <c r="X5602" s="1" t="s">
        <v>35</v>
      </c>
      <c r="Y5602" s="1">
        <v>26675</v>
      </c>
      <c r="Z5602" s="1"/>
      <c r="AA5602" s="1">
        <v>26675</v>
      </c>
      <c r="AB5602" s="1"/>
      <c r="AC5602" s="1" t="s">
        <v>36</v>
      </c>
      <c r="AD5602" s="1" t="s">
        <v>18919</v>
      </c>
      <c r="AE5602" s="1" t="s">
        <v>32</v>
      </c>
      <c r="AF5602" s="1" t="s">
        <v>33</v>
      </c>
      <c r="AG5602" s="1" t="s">
        <v>60</v>
      </c>
    </row>
    <row r="5603" spans="1:33">
      <c r="A5603" t="s">
        <v>18920</v>
      </c>
      <c r="B5603" t="s">
        <v>9991</v>
      </c>
      <c r="C5603" t="s">
        <v>9992</v>
      </c>
      <c r="E5603" t="s">
        <v>18429</v>
      </c>
      <c r="F5603" t="s">
        <v>18430</v>
      </c>
      <c r="G5603">
        <v>653.5</v>
      </c>
      <c r="H5603">
        <v>653.5</v>
      </c>
      <c r="I5603" t="s">
        <v>40</v>
      </c>
      <c r="J5603" t="s">
        <v>41</v>
      </c>
      <c r="K5603" t="s">
        <v>31</v>
      </c>
      <c r="L5603" t="s">
        <v>32</v>
      </c>
      <c r="M5603" t="s">
        <v>33</v>
      </c>
      <c r="P5603" s="1" t="s">
        <v>18921</v>
      </c>
      <c r="Q5603" s="1" t="s">
        <v>18429</v>
      </c>
      <c r="R5603" s="1" t="s">
        <v>18474</v>
      </c>
      <c r="S5603" s="1"/>
      <c r="T5603" s="1" t="s">
        <v>9992</v>
      </c>
      <c r="U5603" s="1"/>
      <c r="V5603" s="1">
        <v>653.5</v>
      </c>
      <c r="W5603" s="1">
        <v>653.5</v>
      </c>
      <c r="X5603" s="1" t="s">
        <v>35</v>
      </c>
      <c r="Y5603" s="1">
        <v>653500</v>
      </c>
      <c r="Z5603" s="1"/>
      <c r="AA5603" s="1">
        <v>653500</v>
      </c>
      <c r="AB5603" s="1"/>
      <c r="AC5603" s="1" t="s">
        <v>36</v>
      </c>
      <c r="AD5603" s="1" t="s">
        <v>18922</v>
      </c>
      <c r="AE5603" s="1" t="s">
        <v>32</v>
      </c>
      <c r="AF5603" s="1" t="s">
        <v>33</v>
      </c>
      <c r="AG5603" s="1" t="s">
        <v>41</v>
      </c>
    </row>
    <row r="5604" spans="1:33">
      <c r="A5604" t="s">
        <v>18923</v>
      </c>
      <c r="B5604" t="s">
        <v>2865</v>
      </c>
      <c r="C5604" t="s">
        <v>569</v>
      </c>
      <c r="E5604" t="s">
        <v>18429</v>
      </c>
      <c r="F5604" t="s">
        <v>18430</v>
      </c>
      <c r="G5604">
        <v>21.99</v>
      </c>
      <c r="H5604">
        <v>21.99</v>
      </c>
      <c r="I5604" t="s">
        <v>570</v>
      </c>
      <c r="J5604" t="s">
        <v>571</v>
      </c>
      <c r="K5604" t="s">
        <v>31</v>
      </c>
      <c r="L5604" t="s">
        <v>32</v>
      </c>
      <c r="M5604" t="s">
        <v>33</v>
      </c>
      <c r="P5604" s="1" t="s">
        <v>18924</v>
      </c>
      <c r="Q5604" s="1" t="s">
        <v>18429</v>
      </c>
      <c r="R5604" s="1" t="s">
        <v>18429</v>
      </c>
      <c r="S5604" s="1"/>
      <c r="T5604" s="1" t="s">
        <v>569</v>
      </c>
      <c r="U5604" s="1"/>
      <c r="V5604" s="1">
        <v>21.99</v>
      </c>
      <c r="W5604" s="1">
        <v>21.99</v>
      </c>
      <c r="X5604" s="1" t="s">
        <v>35</v>
      </c>
      <c r="Y5604" s="1">
        <v>21990</v>
      </c>
      <c r="Z5604" s="1"/>
      <c r="AA5604" s="1">
        <v>21990</v>
      </c>
      <c r="AB5604" s="1"/>
      <c r="AC5604" s="1" t="s">
        <v>36</v>
      </c>
      <c r="AD5604" s="1" t="s">
        <v>18925</v>
      </c>
      <c r="AE5604" s="1" t="s">
        <v>32</v>
      </c>
      <c r="AF5604" s="1" t="s">
        <v>33</v>
      </c>
      <c r="AG5604" s="1" t="s">
        <v>571</v>
      </c>
    </row>
    <row r="5605" spans="1:33">
      <c r="A5605" t="s">
        <v>18926</v>
      </c>
      <c r="B5605" t="s">
        <v>18927</v>
      </c>
      <c r="C5605" t="s">
        <v>18928</v>
      </c>
      <c r="E5605" t="s">
        <v>18429</v>
      </c>
      <c r="F5605" t="s">
        <v>18430</v>
      </c>
      <c r="G5605">
        <v>221.99</v>
      </c>
      <c r="H5605">
        <v>221.99</v>
      </c>
      <c r="I5605" t="s">
        <v>59</v>
      </c>
      <c r="J5605" t="s">
        <v>60</v>
      </c>
      <c r="K5605" t="s">
        <v>31</v>
      </c>
      <c r="L5605" t="s">
        <v>32</v>
      </c>
      <c r="M5605" t="s">
        <v>33</v>
      </c>
      <c r="P5605" s="1" t="s">
        <v>18929</v>
      </c>
      <c r="Q5605" s="1" t="s">
        <v>18429</v>
      </c>
      <c r="R5605" s="1" t="s">
        <v>18429</v>
      </c>
      <c r="S5605" s="1"/>
      <c r="T5605" s="1" t="s">
        <v>18928</v>
      </c>
      <c r="U5605" s="1"/>
      <c r="V5605" s="1">
        <v>221.99</v>
      </c>
      <c r="W5605" s="1">
        <v>221.99</v>
      </c>
      <c r="X5605" s="1" t="s">
        <v>35</v>
      </c>
      <c r="Y5605" s="1">
        <v>221990</v>
      </c>
      <c r="Z5605" s="1"/>
      <c r="AA5605" s="1">
        <v>221990</v>
      </c>
      <c r="AB5605" s="1"/>
      <c r="AC5605" s="1" t="s">
        <v>36</v>
      </c>
      <c r="AD5605" s="1" t="s">
        <v>18930</v>
      </c>
      <c r="AE5605" s="1" t="s">
        <v>32</v>
      </c>
      <c r="AF5605" s="1" t="s">
        <v>33</v>
      </c>
      <c r="AG5605" s="1" t="s">
        <v>60</v>
      </c>
    </row>
    <row r="5606" spans="1:33">
      <c r="A5606" t="s">
        <v>18931</v>
      </c>
      <c r="B5606" t="s">
        <v>18932</v>
      </c>
      <c r="C5606" t="s">
        <v>47</v>
      </c>
      <c r="E5606" t="s">
        <v>18429</v>
      </c>
      <c r="F5606" t="s">
        <v>18430</v>
      </c>
      <c r="G5606">
        <v>78.575</v>
      </c>
      <c r="H5606">
        <v>78.575</v>
      </c>
      <c r="I5606" t="s">
        <v>2206</v>
      </c>
      <c r="J5606" t="s">
        <v>49</v>
      </c>
      <c r="K5606" t="s">
        <v>31</v>
      </c>
      <c r="L5606" t="s">
        <v>32</v>
      </c>
      <c r="M5606" t="s">
        <v>33</v>
      </c>
      <c r="P5606" s="1" t="s">
        <v>18933</v>
      </c>
      <c r="Q5606" s="1" t="s">
        <v>18429</v>
      </c>
      <c r="R5606" s="1" t="s">
        <v>18429</v>
      </c>
      <c r="S5606" s="1"/>
      <c r="T5606" s="1" t="s">
        <v>47</v>
      </c>
      <c r="U5606" s="1"/>
      <c r="V5606" s="1">
        <v>78.575</v>
      </c>
      <c r="W5606" s="1">
        <v>78.575</v>
      </c>
      <c r="X5606" s="1" t="s">
        <v>35</v>
      </c>
      <c r="Y5606" s="1">
        <v>78575</v>
      </c>
      <c r="Z5606" s="1"/>
      <c r="AA5606" s="1">
        <v>78575</v>
      </c>
      <c r="AB5606" s="1"/>
      <c r="AC5606" s="1" t="s">
        <v>36</v>
      </c>
      <c r="AD5606" s="1" t="s">
        <v>18934</v>
      </c>
      <c r="AE5606" s="1" t="s">
        <v>32</v>
      </c>
      <c r="AF5606" s="1" t="s">
        <v>33</v>
      </c>
      <c r="AG5606" s="1" t="s">
        <v>49</v>
      </c>
    </row>
    <row r="5607" spans="1:33">
      <c r="A5607" t="s">
        <v>18935</v>
      </c>
      <c r="B5607" t="s">
        <v>4135</v>
      </c>
      <c r="C5607" t="s">
        <v>268</v>
      </c>
      <c r="E5607" t="s">
        <v>18429</v>
      </c>
      <c r="F5607" t="s">
        <v>18430</v>
      </c>
      <c r="G5607">
        <v>50.7</v>
      </c>
      <c r="H5607">
        <v>50.7</v>
      </c>
      <c r="I5607" t="s">
        <v>269</v>
      </c>
      <c r="J5607" t="s">
        <v>270</v>
      </c>
      <c r="K5607" t="s">
        <v>31</v>
      </c>
      <c r="L5607" t="s">
        <v>32</v>
      </c>
      <c r="M5607" t="s">
        <v>33</v>
      </c>
      <c r="P5607" s="1" t="s">
        <v>18936</v>
      </c>
      <c r="Q5607" s="1" t="s">
        <v>18429</v>
      </c>
      <c r="R5607" s="1" t="s">
        <v>18429</v>
      </c>
      <c r="S5607" s="1"/>
      <c r="T5607" s="1" t="s">
        <v>268</v>
      </c>
      <c r="U5607" s="1"/>
      <c r="V5607" s="1">
        <v>50.7</v>
      </c>
      <c r="W5607" s="1">
        <v>50.7</v>
      </c>
      <c r="X5607" s="1" t="s">
        <v>35</v>
      </c>
      <c r="Y5607" s="1">
        <v>50700</v>
      </c>
      <c r="Z5607" s="1"/>
      <c r="AA5607" s="1">
        <v>50700</v>
      </c>
      <c r="AB5607" s="1"/>
      <c r="AC5607" s="1" t="s">
        <v>36</v>
      </c>
      <c r="AD5607" s="1" t="s">
        <v>18912</v>
      </c>
      <c r="AE5607" s="1" t="s">
        <v>32</v>
      </c>
      <c r="AF5607" s="1" t="s">
        <v>33</v>
      </c>
      <c r="AG5607" s="1" t="s">
        <v>270</v>
      </c>
    </row>
    <row r="5608" spans="1:33">
      <c r="A5608" t="s">
        <v>18937</v>
      </c>
      <c r="C5608" t="s">
        <v>9723</v>
      </c>
      <c r="E5608" t="s">
        <v>18429</v>
      </c>
      <c r="F5608" t="s">
        <v>18430</v>
      </c>
      <c r="G5608">
        <v>367.5</v>
      </c>
      <c r="H5608">
        <v>367.5</v>
      </c>
      <c r="I5608" t="s">
        <v>269</v>
      </c>
      <c r="J5608" t="s">
        <v>270</v>
      </c>
      <c r="K5608" t="s">
        <v>31</v>
      </c>
      <c r="L5608" t="s">
        <v>32</v>
      </c>
      <c r="M5608" t="s">
        <v>33</v>
      </c>
      <c r="P5608" s="1" t="s">
        <v>18938</v>
      </c>
      <c r="Q5608" s="1" t="s">
        <v>18429</v>
      </c>
      <c r="R5608" s="1" t="s">
        <v>18429</v>
      </c>
      <c r="S5608" s="1"/>
      <c r="T5608" s="1" t="s">
        <v>9723</v>
      </c>
      <c r="U5608" s="1"/>
      <c r="V5608" s="1">
        <v>367.5</v>
      </c>
      <c r="W5608" s="1">
        <v>367.5</v>
      </c>
      <c r="X5608" s="1" t="s">
        <v>35</v>
      </c>
      <c r="Y5608" s="1">
        <v>367500</v>
      </c>
      <c r="Z5608" s="1"/>
      <c r="AA5608" s="1">
        <v>367500</v>
      </c>
      <c r="AB5608" s="1"/>
      <c r="AC5608" s="1" t="s">
        <v>36</v>
      </c>
      <c r="AD5608" s="1" t="s">
        <v>18925</v>
      </c>
      <c r="AE5608" s="1" t="s">
        <v>32</v>
      </c>
      <c r="AF5608" s="1" t="s">
        <v>33</v>
      </c>
      <c r="AG5608" s="1" t="s">
        <v>270</v>
      </c>
    </row>
    <row r="5609" spans="1:33">
      <c r="A5609" t="s">
        <v>18939</v>
      </c>
      <c r="B5609" t="s">
        <v>13729</v>
      </c>
      <c r="C5609" t="s">
        <v>569</v>
      </c>
      <c r="E5609" t="s">
        <v>18429</v>
      </c>
      <c r="F5609" t="s">
        <v>18430</v>
      </c>
      <c r="G5609">
        <v>98.97</v>
      </c>
      <c r="H5609">
        <v>98.97</v>
      </c>
      <c r="I5609" t="s">
        <v>570</v>
      </c>
      <c r="J5609" t="s">
        <v>571</v>
      </c>
      <c r="K5609" t="s">
        <v>31</v>
      </c>
      <c r="L5609" t="s">
        <v>32</v>
      </c>
      <c r="M5609" t="s">
        <v>33</v>
      </c>
      <c r="P5609" s="1" t="s">
        <v>18940</v>
      </c>
      <c r="Q5609" s="1" t="s">
        <v>18429</v>
      </c>
      <c r="R5609" s="1" t="s">
        <v>18429</v>
      </c>
      <c r="S5609" s="1"/>
      <c r="T5609" s="1" t="s">
        <v>569</v>
      </c>
      <c r="U5609" s="1"/>
      <c r="V5609" s="1">
        <v>98.97</v>
      </c>
      <c r="W5609" s="1">
        <v>98.97</v>
      </c>
      <c r="X5609" s="1" t="s">
        <v>35</v>
      </c>
      <c r="Y5609" s="1">
        <v>98970</v>
      </c>
      <c r="Z5609" s="1"/>
      <c r="AA5609" s="1">
        <v>98970</v>
      </c>
      <c r="AB5609" s="1"/>
      <c r="AC5609" s="1" t="s">
        <v>36</v>
      </c>
      <c r="AD5609" s="1" t="s">
        <v>18941</v>
      </c>
      <c r="AE5609" s="1" t="s">
        <v>32</v>
      </c>
      <c r="AF5609" s="1" t="s">
        <v>33</v>
      </c>
      <c r="AG5609" s="1" t="s">
        <v>571</v>
      </c>
    </row>
    <row r="5610" spans="1:33">
      <c r="A5610" t="s">
        <v>18942</v>
      </c>
      <c r="B5610" t="s">
        <v>18943</v>
      </c>
      <c r="C5610" t="s">
        <v>47</v>
      </c>
      <c r="E5610" t="s">
        <v>18429</v>
      </c>
      <c r="F5610" t="s">
        <v>18430</v>
      </c>
      <c r="G5610">
        <v>233.219</v>
      </c>
      <c r="H5610">
        <v>233.219</v>
      </c>
      <c r="I5610" t="s">
        <v>2206</v>
      </c>
      <c r="J5610" t="s">
        <v>49</v>
      </c>
      <c r="K5610" t="s">
        <v>31</v>
      </c>
      <c r="L5610" t="s">
        <v>32</v>
      </c>
      <c r="M5610" t="s">
        <v>33</v>
      </c>
      <c r="P5610" s="1" t="s">
        <v>18944</v>
      </c>
      <c r="Q5610" s="1" t="s">
        <v>18429</v>
      </c>
      <c r="R5610" s="1" t="s">
        <v>18429</v>
      </c>
      <c r="S5610" s="1"/>
      <c r="T5610" s="1" t="s">
        <v>47</v>
      </c>
      <c r="U5610" s="1"/>
      <c r="V5610" s="1">
        <v>233.219</v>
      </c>
      <c r="W5610" s="1">
        <v>233.219</v>
      </c>
      <c r="X5610" s="1" t="s">
        <v>35</v>
      </c>
      <c r="Y5610" s="1">
        <v>233219</v>
      </c>
      <c r="Z5610" s="1"/>
      <c r="AA5610" s="1">
        <v>233219</v>
      </c>
      <c r="AB5610" s="1"/>
      <c r="AC5610" s="1" t="s">
        <v>36</v>
      </c>
      <c r="AD5610" s="1" t="s">
        <v>18919</v>
      </c>
      <c r="AE5610" s="1" t="s">
        <v>32</v>
      </c>
      <c r="AF5610" s="1" t="s">
        <v>33</v>
      </c>
      <c r="AG5610" s="1" t="s">
        <v>49</v>
      </c>
    </row>
    <row r="5611" spans="1:33">
      <c r="A5611" t="s">
        <v>18945</v>
      </c>
      <c r="C5611" t="s">
        <v>464</v>
      </c>
      <c r="E5611" t="s">
        <v>18429</v>
      </c>
      <c r="F5611" t="s">
        <v>18430</v>
      </c>
      <c r="G5611">
        <v>414.5</v>
      </c>
      <c r="H5611">
        <v>414.5</v>
      </c>
      <c r="I5611" t="s">
        <v>126</v>
      </c>
      <c r="J5611" t="s">
        <v>127</v>
      </c>
      <c r="K5611" t="s">
        <v>31</v>
      </c>
      <c r="L5611" t="s">
        <v>32</v>
      </c>
      <c r="M5611" t="s">
        <v>33</v>
      </c>
      <c r="P5611" s="1" t="s">
        <v>18946</v>
      </c>
      <c r="Q5611" s="1" t="s">
        <v>18429</v>
      </c>
      <c r="R5611" s="1" t="s">
        <v>18429</v>
      </c>
      <c r="S5611" s="1"/>
      <c r="T5611" s="1" t="s">
        <v>464</v>
      </c>
      <c r="U5611" s="1"/>
      <c r="V5611" s="1">
        <v>414.5</v>
      </c>
      <c r="W5611" s="1">
        <v>414.5</v>
      </c>
      <c r="X5611" s="1" t="s">
        <v>35</v>
      </c>
      <c r="Y5611" s="1">
        <v>414500</v>
      </c>
      <c r="Z5611" s="1"/>
      <c r="AA5611" s="1">
        <v>414500</v>
      </c>
      <c r="AB5611" s="1"/>
      <c r="AC5611" s="1" t="s">
        <v>36</v>
      </c>
      <c r="AD5611" s="1" t="s">
        <v>18947</v>
      </c>
      <c r="AE5611" s="1" t="s">
        <v>32</v>
      </c>
      <c r="AF5611" s="1" t="s">
        <v>33</v>
      </c>
      <c r="AG5611" s="1" t="s">
        <v>127</v>
      </c>
    </row>
    <row r="5612" spans="1:33">
      <c r="A5612" t="s">
        <v>18948</v>
      </c>
      <c r="C5612" t="s">
        <v>806</v>
      </c>
      <c r="D5612" t="s">
        <v>154</v>
      </c>
      <c r="E5612" t="s">
        <v>18429</v>
      </c>
      <c r="F5612" t="s">
        <v>18430</v>
      </c>
      <c r="G5612">
        <v>1.203</v>
      </c>
      <c r="H5612">
        <v>1.203</v>
      </c>
      <c r="I5612" t="s">
        <v>269</v>
      </c>
      <c r="J5612" t="s">
        <v>270</v>
      </c>
      <c r="K5612" t="s">
        <v>31</v>
      </c>
      <c r="L5612" t="s">
        <v>32</v>
      </c>
      <c r="M5612" t="s">
        <v>33</v>
      </c>
      <c r="P5612" s="1" t="s">
        <v>18949</v>
      </c>
      <c r="Q5612" s="1" t="s">
        <v>18429</v>
      </c>
      <c r="R5612" s="1" t="s">
        <v>18429</v>
      </c>
      <c r="S5612" s="1"/>
      <c r="T5612" s="1" t="s">
        <v>806</v>
      </c>
      <c r="U5612" s="1"/>
      <c r="V5612" s="1">
        <v>1.203</v>
      </c>
      <c r="W5612" s="1">
        <v>1.203</v>
      </c>
      <c r="X5612" s="1" t="s">
        <v>35</v>
      </c>
      <c r="Y5612" s="1">
        <v>1203000</v>
      </c>
      <c r="Z5612" s="1"/>
      <c r="AA5612" s="1">
        <v>1203000</v>
      </c>
      <c r="AB5612" s="1"/>
      <c r="AC5612" s="1" t="s">
        <v>36</v>
      </c>
      <c r="AD5612" s="1" t="s">
        <v>18950</v>
      </c>
      <c r="AE5612" s="1" t="s">
        <v>32</v>
      </c>
      <c r="AF5612" s="1" t="s">
        <v>33</v>
      </c>
      <c r="AG5612" s="1" t="s">
        <v>270</v>
      </c>
    </row>
    <row r="5613" spans="1:33">
      <c r="A5613" t="s">
        <v>18951</v>
      </c>
      <c r="B5613" t="s">
        <v>18952</v>
      </c>
      <c r="C5613" t="s">
        <v>314</v>
      </c>
      <c r="E5613" t="s">
        <v>18429</v>
      </c>
      <c r="F5613" t="s">
        <v>18430</v>
      </c>
      <c r="G5613">
        <v>202.44</v>
      </c>
      <c r="H5613">
        <v>202.44</v>
      </c>
      <c r="I5613" t="s">
        <v>179</v>
      </c>
      <c r="J5613" t="s">
        <v>180</v>
      </c>
      <c r="K5613" t="s">
        <v>31</v>
      </c>
      <c r="L5613" t="s">
        <v>32</v>
      </c>
      <c r="M5613" t="s">
        <v>33</v>
      </c>
      <c r="P5613" s="1" t="s">
        <v>18953</v>
      </c>
      <c r="Q5613" s="1" t="s">
        <v>18429</v>
      </c>
      <c r="R5613" s="1" t="s">
        <v>18429</v>
      </c>
      <c r="S5613" s="1"/>
      <c r="T5613" s="1" t="s">
        <v>314</v>
      </c>
      <c r="U5613" s="1"/>
      <c r="V5613" s="1">
        <v>202.44</v>
      </c>
      <c r="W5613" s="1">
        <v>202.44</v>
      </c>
      <c r="X5613" s="1" t="s">
        <v>35</v>
      </c>
      <c r="Y5613" s="1">
        <v>202440</v>
      </c>
      <c r="Z5613" s="1"/>
      <c r="AA5613" s="1">
        <v>202440</v>
      </c>
      <c r="AB5613" s="1"/>
      <c r="AC5613" s="1" t="s">
        <v>36</v>
      </c>
      <c r="AD5613" s="1" t="s">
        <v>18890</v>
      </c>
      <c r="AE5613" s="1" t="s">
        <v>32</v>
      </c>
      <c r="AF5613" s="1" t="s">
        <v>33</v>
      </c>
      <c r="AG5613" s="1" t="s">
        <v>180</v>
      </c>
    </row>
    <row r="5614" spans="1:33">
      <c r="A5614" t="s">
        <v>18954</v>
      </c>
      <c r="B5614" t="s">
        <v>57</v>
      </c>
      <c r="C5614" t="s">
        <v>58</v>
      </c>
      <c r="E5614" t="s">
        <v>18429</v>
      </c>
      <c r="F5614" t="s">
        <v>18430</v>
      </c>
      <c r="G5614">
        <v>335.0</v>
      </c>
      <c r="H5614">
        <v>335.0</v>
      </c>
      <c r="I5614" t="s">
        <v>59</v>
      </c>
      <c r="J5614" t="s">
        <v>60</v>
      </c>
      <c r="K5614" t="s">
        <v>31</v>
      </c>
      <c r="L5614" t="s">
        <v>32</v>
      </c>
      <c r="M5614" t="s">
        <v>33</v>
      </c>
      <c r="P5614" s="1" t="s">
        <v>18955</v>
      </c>
      <c r="Q5614" s="1" t="s">
        <v>18429</v>
      </c>
      <c r="R5614" s="1" t="s">
        <v>18429</v>
      </c>
      <c r="S5614" s="1"/>
      <c r="T5614" s="1" t="s">
        <v>58</v>
      </c>
      <c r="U5614" s="1"/>
      <c r="V5614" s="1">
        <v>335.0</v>
      </c>
      <c r="W5614" s="1">
        <v>335.0</v>
      </c>
      <c r="X5614" s="1" t="s">
        <v>35</v>
      </c>
      <c r="Y5614" s="1">
        <v>335000</v>
      </c>
      <c r="Z5614" s="1"/>
      <c r="AA5614" s="1">
        <v>335000</v>
      </c>
      <c r="AB5614" s="1"/>
      <c r="AC5614" s="1" t="s">
        <v>36</v>
      </c>
      <c r="AD5614" s="1" t="s">
        <v>18956</v>
      </c>
      <c r="AE5614" s="1" t="s">
        <v>32</v>
      </c>
      <c r="AF5614" s="1" t="s">
        <v>33</v>
      </c>
      <c r="AG5614" s="1" t="s">
        <v>60</v>
      </c>
    </row>
    <row r="5615" spans="1:33">
      <c r="A5615" t="s">
        <v>18957</v>
      </c>
      <c r="C5615" t="s">
        <v>866</v>
      </c>
      <c r="D5615" t="s">
        <v>154</v>
      </c>
      <c r="E5615" t="s">
        <v>18429</v>
      </c>
      <c r="F5615" t="s">
        <v>18430</v>
      </c>
      <c r="G5615">
        <v>582.75</v>
      </c>
      <c r="H5615">
        <v>582.75</v>
      </c>
      <c r="I5615" t="s">
        <v>2206</v>
      </c>
      <c r="J5615" t="s">
        <v>49</v>
      </c>
      <c r="K5615" t="s">
        <v>31</v>
      </c>
      <c r="L5615" t="s">
        <v>32</v>
      </c>
      <c r="M5615" t="s">
        <v>33</v>
      </c>
      <c r="P5615" s="1" t="s">
        <v>18958</v>
      </c>
      <c r="Q5615" s="1" t="s">
        <v>18429</v>
      </c>
      <c r="R5615" s="1" t="s">
        <v>18429</v>
      </c>
      <c r="S5615" s="1"/>
      <c r="T5615" s="1" t="s">
        <v>868</v>
      </c>
      <c r="U5615" s="1" t="s">
        <v>869</v>
      </c>
      <c r="V5615" s="1">
        <v>582.75</v>
      </c>
      <c r="W5615" s="1">
        <v>582.75</v>
      </c>
      <c r="X5615" s="1" t="s">
        <v>35</v>
      </c>
      <c r="Y5615" s="1">
        <v>583000</v>
      </c>
      <c r="Z5615" s="1">
        <v>-250</v>
      </c>
      <c r="AA5615" s="1">
        <v>583000</v>
      </c>
      <c r="AB5615" s="1">
        <v>-250</v>
      </c>
      <c r="AC5615" s="1" t="s">
        <v>36</v>
      </c>
      <c r="AD5615" s="1" t="s">
        <v>18959</v>
      </c>
      <c r="AE5615" s="1" t="s">
        <v>32</v>
      </c>
      <c r="AF5615" s="1" t="s">
        <v>33</v>
      </c>
      <c r="AG5615" s="1" t="s">
        <v>49</v>
      </c>
    </row>
    <row r="5616" spans="1:33">
      <c r="A5616" t="s">
        <v>18960</v>
      </c>
      <c r="C5616" t="s">
        <v>1285</v>
      </c>
      <c r="E5616" t="s">
        <v>18429</v>
      </c>
      <c r="F5616" t="s">
        <v>18430</v>
      </c>
      <c r="G5616">
        <v>320.0</v>
      </c>
      <c r="H5616">
        <v>320.0</v>
      </c>
      <c r="I5616" t="s">
        <v>173</v>
      </c>
      <c r="J5616" t="s">
        <v>174</v>
      </c>
      <c r="K5616" t="s">
        <v>31</v>
      </c>
      <c r="L5616" t="s">
        <v>32</v>
      </c>
      <c r="M5616" t="s">
        <v>33</v>
      </c>
      <c r="P5616" s="1" t="s">
        <v>18961</v>
      </c>
      <c r="Q5616" s="1" t="s">
        <v>18429</v>
      </c>
      <c r="R5616" s="1" t="s">
        <v>18429</v>
      </c>
      <c r="S5616" s="1"/>
      <c r="T5616" s="1" t="s">
        <v>1285</v>
      </c>
      <c r="U5616" s="1"/>
      <c r="V5616" s="1">
        <v>320.0</v>
      </c>
      <c r="W5616" s="1">
        <v>320.0</v>
      </c>
      <c r="X5616" s="1" t="s">
        <v>35</v>
      </c>
      <c r="Y5616" s="1">
        <v>320000</v>
      </c>
      <c r="Z5616" s="1"/>
      <c r="AA5616" s="1">
        <v>320000</v>
      </c>
      <c r="AB5616" s="1"/>
      <c r="AC5616" s="1" t="s">
        <v>36</v>
      </c>
      <c r="AD5616" s="1" t="s">
        <v>18962</v>
      </c>
      <c r="AE5616" s="1" t="s">
        <v>32</v>
      </c>
      <c r="AF5616" s="1" t="s">
        <v>33</v>
      </c>
      <c r="AG5616" s="1" t="s">
        <v>174</v>
      </c>
    </row>
    <row r="5617" spans="1:33">
      <c r="A5617" t="s">
        <v>18963</v>
      </c>
      <c r="B5617" t="s">
        <v>6391</v>
      </c>
      <c r="C5617" t="s">
        <v>125</v>
      </c>
      <c r="E5617" t="s">
        <v>18429</v>
      </c>
      <c r="F5617" t="s">
        <v>18430</v>
      </c>
      <c r="G5617">
        <v>12.446</v>
      </c>
      <c r="H5617">
        <v>12.446</v>
      </c>
      <c r="I5617" t="s">
        <v>126</v>
      </c>
      <c r="J5617" t="s">
        <v>127</v>
      </c>
      <c r="K5617" t="s">
        <v>31</v>
      </c>
      <c r="L5617" t="s">
        <v>32</v>
      </c>
      <c r="M5617" t="s">
        <v>33</v>
      </c>
      <c r="P5617" s="1" t="s">
        <v>18964</v>
      </c>
      <c r="Q5617" s="1" t="s">
        <v>18429</v>
      </c>
      <c r="R5617" s="1" t="s">
        <v>18429</v>
      </c>
      <c r="S5617" s="1"/>
      <c r="T5617" s="1" t="s">
        <v>125</v>
      </c>
      <c r="U5617" s="1"/>
      <c r="V5617" s="1">
        <v>12.446</v>
      </c>
      <c r="W5617" s="1">
        <v>12.446</v>
      </c>
      <c r="X5617" s="1" t="s">
        <v>35</v>
      </c>
      <c r="Y5617" s="1">
        <v>12446</v>
      </c>
      <c r="Z5617" s="1"/>
      <c r="AA5617" s="1">
        <v>12446</v>
      </c>
      <c r="AB5617" s="1"/>
      <c r="AC5617" s="1" t="s">
        <v>36</v>
      </c>
      <c r="AD5617" s="1" t="s">
        <v>18965</v>
      </c>
      <c r="AE5617" s="1" t="s">
        <v>32</v>
      </c>
      <c r="AF5617" s="1" t="s">
        <v>33</v>
      </c>
      <c r="AG5617" s="1" t="s">
        <v>127</v>
      </c>
    </row>
    <row r="5618" spans="1:33">
      <c r="A5618" t="s">
        <v>18966</v>
      </c>
      <c r="C5618" t="s">
        <v>2371</v>
      </c>
      <c r="E5618" t="s">
        <v>18429</v>
      </c>
      <c r="F5618" t="s">
        <v>18430</v>
      </c>
      <c r="G5618">
        <v>1.8</v>
      </c>
      <c r="H5618">
        <v>1.8</v>
      </c>
      <c r="I5618" t="s">
        <v>570</v>
      </c>
      <c r="J5618" t="s">
        <v>571</v>
      </c>
      <c r="K5618" t="s">
        <v>31</v>
      </c>
      <c r="L5618" t="s">
        <v>32</v>
      </c>
      <c r="M5618" t="s">
        <v>33</v>
      </c>
      <c r="P5618" s="1" t="s">
        <v>18967</v>
      </c>
      <c r="Q5618" s="1" t="s">
        <v>18429</v>
      </c>
      <c r="R5618" s="1" t="s">
        <v>18429</v>
      </c>
      <c r="S5618" s="1"/>
      <c r="T5618" s="1" t="s">
        <v>2371</v>
      </c>
      <c r="U5618" s="1"/>
      <c r="V5618" s="1">
        <v>1.8</v>
      </c>
      <c r="W5618" s="1">
        <v>1.8</v>
      </c>
      <c r="X5618" s="1" t="s">
        <v>35</v>
      </c>
      <c r="Y5618" s="1">
        <v>1800000</v>
      </c>
      <c r="Z5618" s="1"/>
      <c r="AA5618" s="1">
        <v>1800000</v>
      </c>
      <c r="AB5618" s="1"/>
      <c r="AC5618" s="1" t="s">
        <v>36</v>
      </c>
      <c r="AD5618" s="1" t="s">
        <v>18968</v>
      </c>
      <c r="AE5618" s="1" t="s">
        <v>32</v>
      </c>
      <c r="AF5618" s="1" t="s">
        <v>33</v>
      </c>
      <c r="AG5618" s="1" t="s">
        <v>571</v>
      </c>
    </row>
    <row r="5619" spans="1:33">
      <c r="A5619" t="s">
        <v>18969</v>
      </c>
      <c r="B5619" t="s">
        <v>18970</v>
      </c>
      <c r="C5619" t="s">
        <v>125</v>
      </c>
      <c r="E5619" t="s">
        <v>18429</v>
      </c>
      <c r="F5619" t="s">
        <v>18430</v>
      </c>
      <c r="G5619">
        <v>33.98</v>
      </c>
      <c r="H5619">
        <v>33.98</v>
      </c>
      <c r="I5619" t="s">
        <v>126</v>
      </c>
      <c r="J5619" t="s">
        <v>127</v>
      </c>
      <c r="K5619" t="s">
        <v>31</v>
      </c>
      <c r="L5619" t="s">
        <v>32</v>
      </c>
      <c r="M5619" t="s">
        <v>33</v>
      </c>
      <c r="P5619" s="1" t="s">
        <v>18971</v>
      </c>
      <c r="Q5619" s="1" t="s">
        <v>18429</v>
      </c>
      <c r="R5619" s="1" t="s">
        <v>18429</v>
      </c>
      <c r="S5619" s="1"/>
      <c r="T5619" s="1" t="s">
        <v>125</v>
      </c>
      <c r="U5619" s="1"/>
      <c r="V5619" s="1">
        <v>33.98</v>
      </c>
      <c r="W5619" s="1">
        <v>33.98</v>
      </c>
      <c r="X5619" s="1" t="s">
        <v>35</v>
      </c>
      <c r="Y5619" s="1">
        <v>33980</v>
      </c>
      <c r="Z5619" s="1"/>
      <c r="AA5619" s="1">
        <v>33980</v>
      </c>
      <c r="AB5619" s="1"/>
      <c r="AC5619" s="1" t="s">
        <v>36</v>
      </c>
      <c r="AD5619" s="1" t="s">
        <v>18972</v>
      </c>
      <c r="AE5619" s="1" t="s">
        <v>32</v>
      </c>
      <c r="AF5619" s="1" t="s">
        <v>33</v>
      </c>
      <c r="AG5619" s="1" t="s">
        <v>127</v>
      </c>
    </row>
    <row r="5620" spans="1:33">
      <c r="A5620" t="s">
        <v>18973</v>
      </c>
      <c r="C5620" t="s">
        <v>1928</v>
      </c>
      <c r="E5620" t="s">
        <v>18429</v>
      </c>
      <c r="F5620" t="s">
        <v>18430</v>
      </c>
      <c r="G5620">
        <v>650.85</v>
      </c>
      <c r="H5620">
        <v>650.85</v>
      </c>
      <c r="I5620" t="s">
        <v>179</v>
      </c>
      <c r="J5620" t="s">
        <v>180</v>
      </c>
      <c r="K5620" t="s">
        <v>31</v>
      </c>
      <c r="L5620" t="s">
        <v>32</v>
      </c>
      <c r="M5620" t="s">
        <v>33</v>
      </c>
      <c r="P5620" s="1" t="s">
        <v>18974</v>
      </c>
      <c r="Q5620" s="1" t="s">
        <v>18429</v>
      </c>
      <c r="R5620" s="1" t="s">
        <v>18429</v>
      </c>
      <c r="S5620" s="1"/>
      <c r="T5620" s="1" t="s">
        <v>1928</v>
      </c>
      <c r="U5620" s="1"/>
      <c r="V5620" s="1">
        <v>650.85</v>
      </c>
      <c r="W5620" s="1">
        <v>650.85</v>
      </c>
      <c r="X5620" s="1" t="s">
        <v>35</v>
      </c>
      <c r="Y5620" s="1">
        <v>650850</v>
      </c>
      <c r="Z5620" s="1"/>
      <c r="AA5620" s="1">
        <v>650850</v>
      </c>
      <c r="AB5620" s="1"/>
      <c r="AC5620" s="1" t="s">
        <v>36</v>
      </c>
      <c r="AD5620" s="1" t="s">
        <v>18972</v>
      </c>
      <c r="AE5620" s="1" t="s">
        <v>32</v>
      </c>
      <c r="AF5620" s="1" t="s">
        <v>33</v>
      </c>
      <c r="AG5620" s="1" t="s">
        <v>180</v>
      </c>
    </row>
    <row r="5621" spans="1:33">
      <c r="A5621" t="s">
        <v>18975</v>
      </c>
      <c r="B5621" t="s">
        <v>206</v>
      </c>
      <c r="C5621" t="s">
        <v>207</v>
      </c>
      <c r="E5621" t="s">
        <v>18429</v>
      </c>
      <c r="F5621" t="s">
        <v>18430</v>
      </c>
      <c r="G5621">
        <v>558.0</v>
      </c>
      <c r="H5621">
        <v>558.0</v>
      </c>
      <c r="I5621" t="s">
        <v>59</v>
      </c>
      <c r="J5621" t="s">
        <v>60</v>
      </c>
      <c r="K5621" t="s">
        <v>31</v>
      </c>
      <c r="L5621" t="s">
        <v>32</v>
      </c>
      <c r="M5621" t="s">
        <v>33</v>
      </c>
      <c r="P5621" s="1" t="s">
        <v>18976</v>
      </c>
      <c r="Q5621" s="1" t="s">
        <v>18429</v>
      </c>
      <c r="R5621" s="1" t="s">
        <v>18429</v>
      </c>
      <c r="S5621" s="1"/>
      <c r="T5621" s="1" t="s">
        <v>207</v>
      </c>
      <c r="U5621" s="1"/>
      <c r="V5621" s="1">
        <v>558.0</v>
      </c>
      <c r="W5621" s="1">
        <v>558.0</v>
      </c>
      <c r="X5621" s="1" t="s">
        <v>35</v>
      </c>
      <c r="Y5621" s="1">
        <v>558000</v>
      </c>
      <c r="Z5621" s="1"/>
      <c r="AA5621" s="1">
        <v>558000</v>
      </c>
      <c r="AB5621" s="1"/>
      <c r="AC5621" s="1" t="s">
        <v>36</v>
      </c>
      <c r="AD5621" s="1" t="s">
        <v>18977</v>
      </c>
      <c r="AE5621" s="1" t="s">
        <v>32</v>
      </c>
      <c r="AF5621" s="1" t="s">
        <v>33</v>
      </c>
      <c r="AG5621" s="1" t="s">
        <v>60</v>
      </c>
    </row>
    <row r="5622" spans="1:33">
      <c r="A5622" t="s">
        <v>18978</v>
      </c>
      <c r="B5622" t="s">
        <v>18979</v>
      </c>
      <c r="C5622" t="s">
        <v>47</v>
      </c>
      <c r="E5622" t="s">
        <v>18429</v>
      </c>
      <c r="F5622" t="s">
        <v>18430</v>
      </c>
      <c r="G5622">
        <v>138.935</v>
      </c>
      <c r="H5622">
        <v>138.935</v>
      </c>
      <c r="I5622" t="s">
        <v>2206</v>
      </c>
      <c r="J5622" t="s">
        <v>49</v>
      </c>
      <c r="K5622" t="s">
        <v>31</v>
      </c>
      <c r="L5622" t="s">
        <v>32</v>
      </c>
      <c r="M5622" t="s">
        <v>33</v>
      </c>
      <c r="P5622" s="1" t="s">
        <v>18980</v>
      </c>
      <c r="Q5622" s="1" t="s">
        <v>18429</v>
      </c>
      <c r="R5622" s="1" t="s">
        <v>18429</v>
      </c>
      <c r="S5622" s="1"/>
      <c r="T5622" s="1" t="s">
        <v>47</v>
      </c>
      <c r="U5622" s="1"/>
      <c r="V5622" s="1">
        <v>138.935</v>
      </c>
      <c r="W5622" s="1">
        <v>138.935</v>
      </c>
      <c r="X5622" s="1" t="s">
        <v>35</v>
      </c>
      <c r="Y5622" s="1">
        <v>138935</v>
      </c>
      <c r="Z5622" s="1"/>
      <c r="AA5622" s="1">
        <v>138935</v>
      </c>
      <c r="AB5622" s="1"/>
      <c r="AC5622" s="1" t="s">
        <v>36</v>
      </c>
      <c r="AD5622" s="1" t="s">
        <v>18977</v>
      </c>
      <c r="AE5622" s="1" t="s">
        <v>32</v>
      </c>
      <c r="AF5622" s="1" t="s">
        <v>33</v>
      </c>
      <c r="AG5622" s="1" t="s">
        <v>49</v>
      </c>
    </row>
    <row r="5623" spans="1:33">
      <c r="A5623" t="s">
        <v>18981</v>
      </c>
      <c r="B5623" t="s">
        <v>11313</v>
      </c>
      <c r="C5623" t="s">
        <v>569</v>
      </c>
      <c r="E5623" t="s">
        <v>18429</v>
      </c>
      <c r="F5623" t="s">
        <v>18430</v>
      </c>
      <c r="G5623">
        <v>26.43</v>
      </c>
      <c r="H5623">
        <v>26.43</v>
      </c>
      <c r="I5623" t="s">
        <v>570</v>
      </c>
      <c r="J5623" t="s">
        <v>571</v>
      </c>
      <c r="K5623" t="s">
        <v>31</v>
      </c>
      <c r="L5623" t="s">
        <v>32</v>
      </c>
      <c r="M5623" t="s">
        <v>33</v>
      </c>
      <c r="P5623" s="1" t="s">
        <v>18982</v>
      </c>
      <c r="Q5623" s="1" t="s">
        <v>18429</v>
      </c>
      <c r="R5623" s="1" t="s">
        <v>18429</v>
      </c>
      <c r="S5623" s="1"/>
      <c r="T5623" s="1" t="s">
        <v>569</v>
      </c>
      <c r="U5623" s="1"/>
      <c r="V5623" s="1">
        <v>26.43</v>
      </c>
      <c r="W5623" s="1">
        <v>26.43</v>
      </c>
      <c r="X5623" s="1" t="s">
        <v>35</v>
      </c>
      <c r="Y5623" s="1">
        <v>26430</v>
      </c>
      <c r="Z5623" s="1"/>
      <c r="AA5623" s="1">
        <v>26430</v>
      </c>
      <c r="AB5623" s="1"/>
      <c r="AC5623" s="1" t="s">
        <v>36</v>
      </c>
      <c r="AD5623" s="1" t="s">
        <v>18983</v>
      </c>
      <c r="AE5623" s="1" t="s">
        <v>32</v>
      </c>
      <c r="AF5623" s="1" t="s">
        <v>33</v>
      </c>
      <c r="AG5623" s="1" t="s">
        <v>571</v>
      </c>
    </row>
    <row r="5624" spans="1:33">
      <c r="A5624" t="s">
        <v>18984</v>
      </c>
      <c r="C5624" t="s">
        <v>338</v>
      </c>
      <c r="E5624" t="s">
        <v>18429</v>
      </c>
      <c r="F5624" t="s">
        <v>18430</v>
      </c>
      <c r="G5624">
        <v>352.0</v>
      </c>
      <c r="H5624">
        <v>352.0</v>
      </c>
      <c r="I5624" t="s">
        <v>179</v>
      </c>
      <c r="J5624" t="s">
        <v>180</v>
      </c>
      <c r="K5624" t="s">
        <v>31</v>
      </c>
      <c r="L5624" t="s">
        <v>32</v>
      </c>
      <c r="M5624" t="s">
        <v>33</v>
      </c>
      <c r="P5624" s="1" t="s">
        <v>18985</v>
      </c>
      <c r="Q5624" s="1" t="s">
        <v>18429</v>
      </c>
      <c r="R5624" s="1" t="s">
        <v>18429</v>
      </c>
      <c r="S5624" s="1"/>
      <c r="T5624" s="1" t="s">
        <v>338</v>
      </c>
      <c r="U5624" s="1"/>
      <c r="V5624" s="1">
        <v>352.0</v>
      </c>
      <c r="W5624" s="1">
        <v>352.0</v>
      </c>
      <c r="X5624" s="1" t="s">
        <v>35</v>
      </c>
      <c r="Y5624" s="1">
        <v>352000</v>
      </c>
      <c r="Z5624" s="1"/>
      <c r="AA5624" s="1">
        <v>352000</v>
      </c>
      <c r="AB5624" s="1"/>
      <c r="AC5624" s="1" t="s">
        <v>36</v>
      </c>
      <c r="AD5624" s="1" t="s">
        <v>18986</v>
      </c>
      <c r="AE5624" s="1" t="s">
        <v>32</v>
      </c>
      <c r="AF5624" s="1" t="s">
        <v>33</v>
      </c>
      <c r="AG5624" s="1" t="s">
        <v>180</v>
      </c>
    </row>
    <row r="5625" spans="1:33">
      <c r="A5625" t="s">
        <v>18987</v>
      </c>
      <c r="C5625" t="s">
        <v>3140</v>
      </c>
      <c r="E5625" t="s">
        <v>18429</v>
      </c>
      <c r="F5625" t="s">
        <v>18430</v>
      </c>
      <c r="G5625">
        <v>80.98</v>
      </c>
      <c r="H5625">
        <v>80.98</v>
      </c>
      <c r="I5625" t="s">
        <v>2206</v>
      </c>
      <c r="J5625" t="s">
        <v>49</v>
      </c>
      <c r="K5625" t="s">
        <v>31</v>
      </c>
      <c r="L5625" t="s">
        <v>32</v>
      </c>
      <c r="M5625" t="s">
        <v>33</v>
      </c>
      <c r="P5625" s="1" t="s">
        <v>18988</v>
      </c>
      <c r="Q5625" s="1" t="s">
        <v>18429</v>
      </c>
      <c r="R5625" s="1" t="s">
        <v>18429</v>
      </c>
      <c r="S5625" s="1"/>
      <c r="T5625" s="1" t="s">
        <v>3140</v>
      </c>
      <c r="U5625" s="1"/>
      <c r="V5625" s="1">
        <v>80.98</v>
      </c>
      <c r="W5625" s="1">
        <v>80.98</v>
      </c>
      <c r="X5625" s="1" t="s">
        <v>35</v>
      </c>
      <c r="Y5625" s="1">
        <v>80980</v>
      </c>
      <c r="Z5625" s="1"/>
      <c r="AA5625" s="1">
        <v>80980</v>
      </c>
      <c r="AB5625" s="1"/>
      <c r="AC5625" s="1" t="s">
        <v>36</v>
      </c>
      <c r="AD5625" s="1" t="s">
        <v>18989</v>
      </c>
      <c r="AE5625" s="1" t="s">
        <v>32</v>
      </c>
      <c r="AF5625" s="1" t="s">
        <v>33</v>
      </c>
      <c r="AG5625" s="1" t="s">
        <v>49</v>
      </c>
    </row>
    <row r="5626" spans="1:33">
      <c r="A5626" t="s">
        <v>18990</v>
      </c>
      <c r="C5626" t="s">
        <v>18991</v>
      </c>
      <c r="E5626" t="s">
        <v>18429</v>
      </c>
      <c r="F5626" t="s">
        <v>18430</v>
      </c>
      <c r="G5626">
        <v>1.03</v>
      </c>
      <c r="H5626">
        <v>1.03</v>
      </c>
      <c r="I5626" t="s">
        <v>173</v>
      </c>
      <c r="J5626" t="s">
        <v>174</v>
      </c>
      <c r="K5626" t="s">
        <v>31</v>
      </c>
      <c r="L5626" t="s">
        <v>32</v>
      </c>
      <c r="M5626" t="s">
        <v>33</v>
      </c>
      <c r="P5626" s="1" t="s">
        <v>18992</v>
      </c>
      <c r="Q5626" s="1" t="s">
        <v>18429</v>
      </c>
      <c r="R5626" s="1" t="s">
        <v>18429</v>
      </c>
      <c r="S5626" s="1"/>
      <c r="T5626" s="1" t="s">
        <v>18991</v>
      </c>
      <c r="U5626" s="1"/>
      <c r="V5626" s="1">
        <v>1.03</v>
      </c>
      <c r="W5626" s="1">
        <v>1.03</v>
      </c>
      <c r="X5626" s="1" t="s">
        <v>35</v>
      </c>
      <c r="Y5626" s="1">
        <v>1030500</v>
      </c>
      <c r="Z5626" s="1"/>
      <c r="AA5626" s="1">
        <v>1030500</v>
      </c>
      <c r="AB5626" s="1"/>
      <c r="AC5626" s="1" t="s">
        <v>36</v>
      </c>
      <c r="AD5626" s="1" t="s">
        <v>18993</v>
      </c>
      <c r="AE5626" s="1" t="s">
        <v>32</v>
      </c>
      <c r="AF5626" s="1" t="s">
        <v>33</v>
      </c>
      <c r="AG5626" s="1" t="s">
        <v>174</v>
      </c>
    </row>
    <row r="5627" spans="1:33">
      <c r="A5627" t="s">
        <v>18994</v>
      </c>
      <c r="C5627" t="s">
        <v>6786</v>
      </c>
      <c r="E5627" t="s">
        <v>18429</v>
      </c>
      <c r="F5627" t="s">
        <v>18430</v>
      </c>
      <c r="G5627">
        <v>696.0</v>
      </c>
      <c r="H5627">
        <v>696.0</v>
      </c>
      <c r="I5627" t="s">
        <v>94</v>
      </c>
      <c r="J5627" t="s">
        <v>95</v>
      </c>
      <c r="K5627" t="s">
        <v>31</v>
      </c>
      <c r="L5627" t="s">
        <v>32</v>
      </c>
      <c r="M5627" t="s">
        <v>33</v>
      </c>
      <c r="P5627" s="1" t="s">
        <v>18995</v>
      </c>
      <c r="Q5627" s="1" t="s">
        <v>18429</v>
      </c>
      <c r="R5627" s="1" t="s">
        <v>18429</v>
      </c>
      <c r="S5627" s="1"/>
      <c r="T5627" s="1" t="s">
        <v>6786</v>
      </c>
      <c r="U5627" s="1"/>
      <c r="V5627" s="1">
        <v>696.0</v>
      </c>
      <c r="W5627" s="1">
        <v>696.0</v>
      </c>
      <c r="X5627" s="1" t="s">
        <v>35</v>
      </c>
      <c r="Y5627" s="1">
        <v>696000</v>
      </c>
      <c r="Z5627" s="1"/>
      <c r="AA5627" s="1">
        <v>696000</v>
      </c>
      <c r="AB5627" s="1"/>
      <c r="AC5627" s="1" t="s">
        <v>36</v>
      </c>
      <c r="AD5627" s="1" t="s">
        <v>18993</v>
      </c>
      <c r="AE5627" s="1" t="s">
        <v>32</v>
      </c>
      <c r="AF5627" s="1" t="s">
        <v>33</v>
      </c>
      <c r="AG5627" s="1" t="s">
        <v>95</v>
      </c>
    </row>
    <row r="5628" spans="1:33">
      <c r="A5628" t="s">
        <v>18996</v>
      </c>
      <c r="B5628" t="s">
        <v>5286</v>
      </c>
      <c r="C5628" t="s">
        <v>18997</v>
      </c>
      <c r="E5628" t="s">
        <v>18429</v>
      </c>
      <c r="F5628" t="s">
        <v>18430</v>
      </c>
      <c r="G5628">
        <v>22.49</v>
      </c>
      <c r="H5628">
        <v>22.49</v>
      </c>
      <c r="I5628" t="s">
        <v>59</v>
      </c>
      <c r="J5628" t="s">
        <v>60</v>
      </c>
      <c r="K5628" t="s">
        <v>31</v>
      </c>
      <c r="L5628" t="s">
        <v>32</v>
      </c>
      <c r="M5628" t="s">
        <v>33</v>
      </c>
      <c r="P5628" s="1" t="s">
        <v>18998</v>
      </c>
      <c r="Q5628" s="1" t="s">
        <v>18429</v>
      </c>
      <c r="R5628" s="1" t="s">
        <v>18429</v>
      </c>
      <c r="S5628" s="1"/>
      <c r="T5628" s="1" t="s">
        <v>18997</v>
      </c>
      <c r="U5628" s="1"/>
      <c r="V5628" s="1">
        <v>22.49</v>
      </c>
      <c r="W5628" s="1">
        <v>22.49</v>
      </c>
      <c r="X5628" s="1" t="s">
        <v>35</v>
      </c>
      <c r="Y5628" s="1">
        <v>22490</v>
      </c>
      <c r="Z5628" s="1"/>
      <c r="AA5628" s="1">
        <v>22490</v>
      </c>
      <c r="AB5628" s="1"/>
      <c r="AC5628" s="1" t="s">
        <v>36</v>
      </c>
      <c r="AD5628" s="1" t="s">
        <v>18999</v>
      </c>
      <c r="AE5628" s="1" t="s">
        <v>32</v>
      </c>
      <c r="AF5628" s="1" t="s">
        <v>33</v>
      </c>
      <c r="AG5628" s="1" t="s">
        <v>60</v>
      </c>
    </row>
    <row r="5629" spans="1:33">
      <c r="A5629" t="s">
        <v>19000</v>
      </c>
      <c r="B5629" t="s">
        <v>19001</v>
      </c>
      <c r="C5629" t="s">
        <v>131</v>
      </c>
      <c r="E5629" t="s">
        <v>18429</v>
      </c>
      <c r="F5629" t="s">
        <v>18430</v>
      </c>
      <c r="G5629">
        <v>13.096</v>
      </c>
      <c r="H5629">
        <v>13.096</v>
      </c>
      <c r="I5629" t="s">
        <v>94</v>
      </c>
      <c r="J5629" t="s">
        <v>95</v>
      </c>
      <c r="K5629" t="s">
        <v>31</v>
      </c>
      <c r="L5629" t="s">
        <v>32</v>
      </c>
      <c r="M5629" t="s">
        <v>33</v>
      </c>
      <c r="P5629" s="1" t="s">
        <v>19002</v>
      </c>
      <c r="Q5629" s="1" t="s">
        <v>18429</v>
      </c>
      <c r="R5629" s="1" t="s">
        <v>18429</v>
      </c>
      <c r="S5629" s="1"/>
      <c r="T5629" s="1" t="s">
        <v>131</v>
      </c>
      <c r="U5629" s="1"/>
      <c r="V5629" s="1">
        <v>13.096</v>
      </c>
      <c r="W5629" s="1">
        <v>13.096</v>
      </c>
      <c r="X5629" s="1" t="s">
        <v>35</v>
      </c>
      <c r="Y5629" s="1">
        <v>13096</v>
      </c>
      <c r="Z5629" s="1"/>
      <c r="AA5629" s="1">
        <v>13096</v>
      </c>
      <c r="AB5629" s="1"/>
      <c r="AC5629" s="1" t="s">
        <v>36</v>
      </c>
      <c r="AD5629" s="1" t="s">
        <v>19003</v>
      </c>
      <c r="AE5629" s="1" t="s">
        <v>32</v>
      </c>
      <c r="AF5629" s="1" t="s">
        <v>33</v>
      </c>
      <c r="AG5629" s="1" t="s">
        <v>95</v>
      </c>
    </row>
    <row r="5630" spans="1:33">
      <c r="A5630" t="s">
        <v>19004</v>
      </c>
      <c r="C5630" t="s">
        <v>184</v>
      </c>
      <c r="E5630" t="s">
        <v>18429</v>
      </c>
      <c r="F5630" t="s">
        <v>18430</v>
      </c>
      <c r="G5630">
        <v>1.118</v>
      </c>
      <c r="H5630">
        <v>1.118</v>
      </c>
      <c r="I5630" t="s">
        <v>227</v>
      </c>
      <c r="J5630" t="s">
        <v>228</v>
      </c>
      <c r="K5630" t="s">
        <v>31</v>
      </c>
      <c r="L5630" t="s">
        <v>32</v>
      </c>
      <c r="M5630" t="s">
        <v>33</v>
      </c>
      <c r="P5630" s="1" t="s">
        <v>19005</v>
      </c>
      <c r="Q5630" s="1" t="s">
        <v>18429</v>
      </c>
      <c r="R5630" s="1" t="s">
        <v>18429</v>
      </c>
      <c r="S5630" s="1"/>
      <c r="T5630" s="1" t="s">
        <v>184</v>
      </c>
      <c r="U5630" s="1"/>
      <c r="V5630" s="1">
        <v>1.118</v>
      </c>
      <c r="W5630" s="1">
        <v>1.118</v>
      </c>
      <c r="X5630" s="1" t="s">
        <v>35</v>
      </c>
      <c r="Y5630" s="1">
        <v>1118750</v>
      </c>
      <c r="Z5630" s="1"/>
      <c r="AA5630" s="1">
        <v>1118750</v>
      </c>
      <c r="AB5630" s="1"/>
      <c r="AC5630" s="1" t="s">
        <v>36</v>
      </c>
      <c r="AD5630" s="1" t="s">
        <v>19006</v>
      </c>
      <c r="AE5630" s="1" t="s">
        <v>32</v>
      </c>
      <c r="AF5630" s="1" t="s">
        <v>33</v>
      </c>
      <c r="AG5630" s="1" t="s">
        <v>228</v>
      </c>
    </row>
    <row r="5631" spans="1:33">
      <c r="A5631" t="s">
        <v>19007</v>
      </c>
      <c r="C5631" t="s">
        <v>647</v>
      </c>
      <c r="E5631" t="s">
        <v>18429</v>
      </c>
      <c r="F5631" t="s">
        <v>18430</v>
      </c>
      <c r="G5631">
        <v>320.0</v>
      </c>
      <c r="H5631">
        <v>320.0</v>
      </c>
      <c r="I5631" t="s">
        <v>173</v>
      </c>
      <c r="J5631" t="s">
        <v>174</v>
      </c>
      <c r="K5631" t="s">
        <v>31</v>
      </c>
      <c r="L5631" t="s">
        <v>32</v>
      </c>
      <c r="M5631" t="s">
        <v>33</v>
      </c>
      <c r="P5631" s="1" t="s">
        <v>19008</v>
      </c>
      <c r="Q5631" s="1" t="s">
        <v>18429</v>
      </c>
      <c r="R5631" s="1" t="s">
        <v>18429</v>
      </c>
      <c r="S5631" s="1"/>
      <c r="T5631" s="1" t="s">
        <v>647</v>
      </c>
      <c r="U5631" s="1"/>
      <c r="V5631" s="1">
        <v>320.0</v>
      </c>
      <c r="W5631" s="1">
        <v>320.0</v>
      </c>
      <c r="X5631" s="1" t="s">
        <v>35</v>
      </c>
      <c r="Y5631" s="1">
        <v>320000</v>
      </c>
      <c r="Z5631" s="1"/>
      <c r="AA5631" s="1">
        <v>320000</v>
      </c>
      <c r="AB5631" s="1"/>
      <c r="AC5631" s="1" t="s">
        <v>36</v>
      </c>
      <c r="AD5631" s="1" t="s">
        <v>19009</v>
      </c>
      <c r="AE5631" s="1" t="s">
        <v>32</v>
      </c>
      <c r="AF5631" s="1" t="s">
        <v>33</v>
      </c>
      <c r="AG5631" s="1" t="s">
        <v>174</v>
      </c>
    </row>
    <row r="5632" spans="1:33">
      <c r="A5632" t="s">
        <v>19010</v>
      </c>
      <c r="B5632" t="s">
        <v>6080</v>
      </c>
      <c r="C5632" t="s">
        <v>314</v>
      </c>
      <c r="E5632" t="s">
        <v>18429</v>
      </c>
      <c r="F5632" t="s">
        <v>18430</v>
      </c>
      <c r="G5632">
        <v>40.64</v>
      </c>
      <c r="H5632">
        <v>40.64</v>
      </c>
      <c r="I5632" t="s">
        <v>179</v>
      </c>
      <c r="J5632" t="s">
        <v>180</v>
      </c>
      <c r="K5632" t="s">
        <v>31</v>
      </c>
      <c r="L5632" t="s">
        <v>32</v>
      </c>
      <c r="M5632" t="s">
        <v>33</v>
      </c>
      <c r="P5632" s="1" t="s">
        <v>19011</v>
      </c>
      <c r="Q5632" s="1" t="s">
        <v>18429</v>
      </c>
      <c r="R5632" s="1" t="s">
        <v>18429</v>
      </c>
      <c r="S5632" s="1"/>
      <c r="T5632" s="1" t="s">
        <v>314</v>
      </c>
      <c r="U5632" s="1"/>
      <c r="V5632" s="1">
        <v>40.64</v>
      </c>
      <c r="W5632" s="1">
        <v>40.64</v>
      </c>
      <c r="X5632" s="1" t="s">
        <v>35</v>
      </c>
      <c r="Y5632" s="1">
        <v>40640</v>
      </c>
      <c r="Z5632" s="1"/>
      <c r="AA5632" s="1">
        <v>40640</v>
      </c>
      <c r="AB5632" s="1"/>
      <c r="AC5632" s="1" t="s">
        <v>36</v>
      </c>
      <c r="AD5632" s="1" t="s">
        <v>18989</v>
      </c>
      <c r="AE5632" s="1" t="s">
        <v>32</v>
      </c>
      <c r="AF5632" s="1" t="s">
        <v>33</v>
      </c>
      <c r="AG5632" s="1" t="s">
        <v>180</v>
      </c>
    </row>
    <row r="5633" spans="1:33">
      <c r="A5633" t="s">
        <v>19012</v>
      </c>
      <c r="B5633" t="s">
        <v>712</v>
      </c>
      <c r="C5633" t="s">
        <v>713</v>
      </c>
      <c r="E5633" t="s">
        <v>18429</v>
      </c>
      <c r="F5633" t="s">
        <v>18430</v>
      </c>
      <c r="G5633">
        <v>144.0</v>
      </c>
      <c r="H5633">
        <v>144.0</v>
      </c>
      <c r="I5633" t="s">
        <v>59</v>
      </c>
      <c r="J5633" t="s">
        <v>60</v>
      </c>
      <c r="K5633" t="s">
        <v>31</v>
      </c>
      <c r="L5633" t="s">
        <v>32</v>
      </c>
      <c r="M5633" t="s">
        <v>33</v>
      </c>
      <c r="P5633" s="1" t="s">
        <v>19013</v>
      </c>
      <c r="Q5633" s="1" t="s">
        <v>18429</v>
      </c>
      <c r="R5633" s="1" t="s">
        <v>18429</v>
      </c>
      <c r="S5633" s="1"/>
      <c r="T5633" s="1" t="s">
        <v>713</v>
      </c>
      <c r="U5633" s="1"/>
      <c r="V5633" s="1">
        <v>144.0</v>
      </c>
      <c r="W5633" s="1">
        <v>144.0</v>
      </c>
      <c r="X5633" s="1" t="s">
        <v>35</v>
      </c>
      <c r="Y5633" s="1">
        <v>144000</v>
      </c>
      <c r="Z5633" s="1"/>
      <c r="AA5633" s="1">
        <v>144000</v>
      </c>
      <c r="AB5633" s="1"/>
      <c r="AC5633" s="1" t="s">
        <v>36</v>
      </c>
      <c r="AD5633" s="1" t="s">
        <v>18993</v>
      </c>
      <c r="AE5633" s="1" t="s">
        <v>32</v>
      </c>
      <c r="AF5633" s="1" t="s">
        <v>33</v>
      </c>
      <c r="AG5633" s="1" t="s">
        <v>60</v>
      </c>
    </row>
    <row r="5634" spans="1:33">
      <c r="A5634" t="s">
        <v>19014</v>
      </c>
      <c r="B5634" t="s">
        <v>19015</v>
      </c>
      <c r="C5634" t="s">
        <v>314</v>
      </c>
      <c r="E5634" t="s">
        <v>18429</v>
      </c>
      <c r="F5634" t="s">
        <v>18430</v>
      </c>
      <c r="G5634">
        <v>19.96</v>
      </c>
      <c r="H5634">
        <v>19.96</v>
      </c>
      <c r="I5634" t="s">
        <v>179</v>
      </c>
      <c r="J5634" t="s">
        <v>180</v>
      </c>
      <c r="K5634" t="s">
        <v>31</v>
      </c>
      <c r="L5634" t="s">
        <v>32</v>
      </c>
      <c r="M5634" t="s">
        <v>33</v>
      </c>
      <c r="P5634" s="1" t="s">
        <v>19016</v>
      </c>
      <c r="Q5634" s="1" t="s">
        <v>18429</v>
      </c>
      <c r="R5634" s="1" t="s">
        <v>18429</v>
      </c>
      <c r="S5634" s="1"/>
      <c r="T5634" s="1" t="s">
        <v>314</v>
      </c>
      <c r="U5634" s="1"/>
      <c r="V5634" s="1">
        <v>19.96</v>
      </c>
      <c r="W5634" s="1">
        <v>19.96</v>
      </c>
      <c r="X5634" s="1" t="s">
        <v>35</v>
      </c>
      <c r="Y5634" s="1">
        <v>19960</v>
      </c>
      <c r="Z5634" s="1"/>
      <c r="AA5634" s="1">
        <v>19960</v>
      </c>
      <c r="AB5634" s="1"/>
      <c r="AC5634" s="1" t="s">
        <v>36</v>
      </c>
      <c r="AD5634" s="1" t="s">
        <v>19017</v>
      </c>
      <c r="AE5634" s="1" t="s">
        <v>32</v>
      </c>
      <c r="AF5634" s="1" t="s">
        <v>33</v>
      </c>
      <c r="AG5634" s="1" t="s">
        <v>180</v>
      </c>
    </row>
    <row r="5635" spans="1:33">
      <c r="A5635" t="s">
        <v>19018</v>
      </c>
      <c r="B5635" t="s">
        <v>19019</v>
      </c>
      <c r="C5635" t="s">
        <v>314</v>
      </c>
      <c r="E5635" t="s">
        <v>18429</v>
      </c>
      <c r="F5635" t="s">
        <v>18430</v>
      </c>
      <c r="G5635">
        <v>22.24</v>
      </c>
      <c r="H5635">
        <v>22.24</v>
      </c>
      <c r="I5635" t="s">
        <v>179</v>
      </c>
      <c r="J5635" t="s">
        <v>180</v>
      </c>
      <c r="K5635" t="s">
        <v>31</v>
      </c>
      <c r="L5635" t="s">
        <v>32</v>
      </c>
      <c r="M5635" t="s">
        <v>33</v>
      </c>
      <c r="P5635" s="1" t="s">
        <v>19020</v>
      </c>
      <c r="Q5635" s="1" t="s">
        <v>18429</v>
      </c>
      <c r="R5635" s="1" t="s">
        <v>18429</v>
      </c>
      <c r="S5635" s="1"/>
      <c r="T5635" s="1" t="s">
        <v>314</v>
      </c>
      <c r="U5635" s="1"/>
      <c r="V5635" s="1">
        <v>22.24</v>
      </c>
      <c r="W5635" s="1">
        <v>22.24</v>
      </c>
      <c r="X5635" s="1" t="s">
        <v>35</v>
      </c>
      <c r="Y5635" s="1">
        <v>22240</v>
      </c>
      <c r="Z5635" s="1"/>
      <c r="AA5635" s="1">
        <v>22240</v>
      </c>
      <c r="AB5635" s="1"/>
      <c r="AC5635" s="1" t="s">
        <v>36</v>
      </c>
      <c r="AD5635" s="1" t="s">
        <v>19021</v>
      </c>
      <c r="AE5635" s="1" t="s">
        <v>32</v>
      </c>
      <c r="AF5635" s="1" t="s">
        <v>33</v>
      </c>
      <c r="AG5635" s="1" t="s">
        <v>180</v>
      </c>
    </row>
    <row r="5636" spans="1:33">
      <c r="A5636" t="s">
        <v>19022</v>
      </c>
      <c r="C5636" t="s">
        <v>5873</v>
      </c>
      <c r="D5636" t="s">
        <v>114</v>
      </c>
      <c r="E5636" t="s">
        <v>18429</v>
      </c>
      <c r="F5636" t="s">
        <v>18430</v>
      </c>
      <c r="G5636">
        <v>737.25</v>
      </c>
      <c r="H5636">
        <v>737.25</v>
      </c>
      <c r="I5636" t="s">
        <v>269</v>
      </c>
      <c r="J5636" t="s">
        <v>270</v>
      </c>
      <c r="K5636" t="s">
        <v>31</v>
      </c>
      <c r="L5636" t="s">
        <v>32</v>
      </c>
      <c r="M5636" t="s">
        <v>33</v>
      </c>
      <c r="P5636" s="1" t="s">
        <v>19023</v>
      </c>
      <c r="Q5636" s="1" t="s">
        <v>18429</v>
      </c>
      <c r="R5636" s="1" t="s">
        <v>18429</v>
      </c>
      <c r="S5636" s="1"/>
      <c r="T5636" s="1" t="s">
        <v>5873</v>
      </c>
      <c r="U5636" s="1"/>
      <c r="V5636" s="1">
        <v>737.25</v>
      </c>
      <c r="W5636" s="1">
        <v>737.25</v>
      </c>
      <c r="X5636" s="1" t="s">
        <v>35</v>
      </c>
      <c r="Y5636" s="1">
        <v>737250</v>
      </c>
      <c r="Z5636" s="1"/>
      <c r="AA5636" s="1">
        <v>737250</v>
      </c>
      <c r="AB5636" s="1"/>
      <c r="AC5636" s="1" t="s">
        <v>36</v>
      </c>
      <c r="AD5636" s="1" t="s">
        <v>19024</v>
      </c>
      <c r="AE5636" s="1" t="s">
        <v>32</v>
      </c>
      <c r="AF5636" s="1" t="s">
        <v>33</v>
      </c>
      <c r="AG5636" s="1" t="s">
        <v>270</v>
      </c>
    </row>
    <row r="5637" spans="1:33">
      <c r="A5637" t="s">
        <v>19025</v>
      </c>
      <c r="C5637" t="s">
        <v>763</v>
      </c>
      <c r="E5637" t="s">
        <v>18429</v>
      </c>
      <c r="F5637" t="s">
        <v>18430</v>
      </c>
      <c r="G5637">
        <v>521.97</v>
      </c>
      <c r="H5637">
        <v>521.97</v>
      </c>
      <c r="I5637" t="s">
        <v>179</v>
      </c>
      <c r="J5637" t="s">
        <v>180</v>
      </c>
      <c r="K5637" t="s">
        <v>31</v>
      </c>
      <c r="L5637" t="s">
        <v>32</v>
      </c>
      <c r="M5637" t="s">
        <v>33</v>
      </c>
      <c r="P5637" s="1" t="s">
        <v>19026</v>
      </c>
      <c r="Q5637" s="1" t="s">
        <v>18429</v>
      </c>
      <c r="R5637" s="1" t="s">
        <v>18429</v>
      </c>
      <c r="S5637" s="1"/>
      <c r="T5637" s="1" t="s">
        <v>763</v>
      </c>
      <c r="U5637" s="1"/>
      <c r="V5637" s="1">
        <v>521.97</v>
      </c>
      <c r="W5637" s="1">
        <v>521.97</v>
      </c>
      <c r="X5637" s="1" t="s">
        <v>35</v>
      </c>
      <c r="Y5637" s="1">
        <v>521970</v>
      </c>
      <c r="Z5637" s="1"/>
      <c r="AA5637" s="1">
        <v>521970</v>
      </c>
      <c r="AB5637" s="1"/>
      <c r="AC5637" s="1" t="s">
        <v>36</v>
      </c>
      <c r="AD5637" s="1" t="s">
        <v>19009</v>
      </c>
      <c r="AE5637" s="1" t="s">
        <v>32</v>
      </c>
      <c r="AF5637" s="1" t="s">
        <v>33</v>
      </c>
      <c r="AG5637" s="1" t="s">
        <v>180</v>
      </c>
    </row>
    <row r="5638" spans="1:33">
      <c r="A5638" t="s">
        <v>19027</v>
      </c>
      <c r="B5638" t="s">
        <v>2478</v>
      </c>
      <c r="C5638" t="s">
        <v>569</v>
      </c>
      <c r="E5638" t="s">
        <v>18429</v>
      </c>
      <c r="F5638" t="s">
        <v>18430</v>
      </c>
      <c r="G5638">
        <v>54.78</v>
      </c>
      <c r="H5638">
        <v>54.78</v>
      </c>
      <c r="I5638" t="s">
        <v>570</v>
      </c>
      <c r="J5638" t="s">
        <v>571</v>
      </c>
      <c r="K5638" t="s">
        <v>31</v>
      </c>
      <c r="L5638" t="s">
        <v>32</v>
      </c>
      <c r="M5638" t="s">
        <v>33</v>
      </c>
      <c r="P5638" s="1" t="s">
        <v>19028</v>
      </c>
      <c r="Q5638" s="1" t="s">
        <v>18429</v>
      </c>
      <c r="R5638" s="1" t="s">
        <v>18429</v>
      </c>
      <c r="S5638" s="1"/>
      <c r="T5638" s="1" t="s">
        <v>569</v>
      </c>
      <c r="U5638" s="1"/>
      <c r="V5638" s="1">
        <v>54.78</v>
      </c>
      <c r="W5638" s="1">
        <v>54.78</v>
      </c>
      <c r="X5638" s="1" t="s">
        <v>35</v>
      </c>
      <c r="Y5638" s="1">
        <v>54780</v>
      </c>
      <c r="Z5638" s="1"/>
      <c r="AA5638" s="1">
        <v>54780</v>
      </c>
      <c r="AB5638" s="1"/>
      <c r="AC5638" s="1" t="s">
        <v>36</v>
      </c>
      <c r="AD5638" s="1" t="s">
        <v>19029</v>
      </c>
      <c r="AE5638" s="1" t="s">
        <v>32</v>
      </c>
      <c r="AF5638" s="1" t="s">
        <v>33</v>
      </c>
      <c r="AG5638" s="1" t="s">
        <v>571</v>
      </c>
    </row>
    <row r="5639" spans="1:33">
      <c r="A5639" t="s">
        <v>19030</v>
      </c>
      <c r="B5639" t="s">
        <v>9058</v>
      </c>
      <c r="C5639" t="s">
        <v>268</v>
      </c>
      <c r="E5639" t="s">
        <v>18429</v>
      </c>
      <c r="F5639" t="s">
        <v>18430</v>
      </c>
      <c r="G5639">
        <v>49.75</v>
      </c>
      <c r="H5639">
        <v>49.75</v>
      </c>
      <c r="I5639" t="s">
        <v>269</v>
      </c>
      <c r="J5639" t="s">
        <v>270</v>
      </c>
      <c r="K5639" t="s">
        <v>31</v>
      </c>
      <c r="L5639" t="s">
        <v>32</v>
      </c>
      <c r="M5639" t="s">
        <v>33</v>
      </c>
      <c r="P5639" s="1" t="s">
        <v>19031</v>
      </c>
      <c r="Q5639" s="1" t="s">
        <v>18429</v>
      </c>
      <c r="R5639" s="1" t="s">
        <v>18429</v>
      </c>
      <c r="S5639" s="1"/>
      <c r="T5639" s="1" t="s">
        <v>268</v>
      </c>
      <c r="U5639" s="1"/>
      <c r="V5639" s="1">
        <v>49.75</v>
      </c>
      <c r="W5639" s="1">
        <v>49.75</v>
      </c>
      <c r="X5639" s="1" t="s">
        <v>35</v>
      </c>
      <c r="Y5639" s="1">
        <v>49750</v>
      </c>
      <c r="Z5639" s="1"/>
      <c r="AA5639" s="1">
        <v>49750</v>
      </c>
      <c r="AB5639" s="1"/>
      <c r="AC5639" s="1" t="s">
        <v>36</v>
      </c>
      <c r="AD5639" s="1" t="s">
        <v>19029</v>
      </c>
      <c r="AE5639" s="1" t="s">
        <v>32</v>
      </c>
      <c r="AF5639" s="1" t="s">
        <v>33</v>
      </c>
      <c r="AG5639" s="1" t="s">
        <v>270</v>
      </c>
    </row>
    <row r="5640" spans="1:33">
      <c r="A5640" t="s">
        <v>19032</v>
      </c>
      <c r="C5640" t="s">
        <v>7205</v>
      </c>
      <c r="E5640" t="s">
        <v>18429</v>
      </c>
      <c r="F5640" t="s">
        <v>18430</v>
      </c>
      <c r="G5640">
        <v>2.52</v>
      </c>
      <c r="H5640">
        <v>2.52</v>
      </c>
      <c r="I5640" t="s">
        <v>94</v>
      </c>
      <c r="J5640" t="s">
        <v>95</v>
      </c>
      <c r="K5640" t="s">
        <v>31</v>
      </c>
      <c r="L5640" t="s">
        <v>32</v>
      </c>
      <c r="M5640" t="s">
        <v>33</v>
      </c>
      <c r="P5640" s="1" t="s">
        <v>19033</v>
      </c>
      <c r="Q5640" s="1" t="s">
        <v>18429</v>
      </c>
      <c r="R5640" s="1" t="s">
        <v>18429</v>
      </c>
      <c r="S5640" s="1"/>
      <c r="T5640" s="1" t="s">
        <v>7205</v>
      </c>
      <c r="U5640" s="1"/>
      <c r="V5640" s="1">
        <v>2.52</v>
      </c>
      <c r="W5640" s="1">
        <v>2.52</v>
      </c>
      <c r="X5640" s="1" t="s">
        <v>35</v>
      </c>
      <c r="Y5640" s="1">
        <v>2520000</v>
      </c>
      <c r="Z5640" s="1"/>
      <c r="AA5640" s="1">
        <v>2520000</v>
      </c>
      <c r="AB5640" s="1"/>
      <c r="AC5640" s="1" t="s">
        <v>36</v>
      </c>
      <c r="AD5640" s="1" t="s">
        <v>19034</v>
      </c>
      <c r="AE5640" s="1" t="s">
        <v>32</v>
      </c>
      <c r="AF5640" s="1" t="s">
        <v>33</v>
      </c>
      <c r="AG5640" s="1" t="s">
        <v>95</v>
      </c>
    </row>
    <row r="5641" spans="1:33">
      <c r="A5641" t="s">
        <v>19035</v>
      </c>
      <c r="C5641" t="s">
        <v>2995</v>
      </c>
      <c r="E5641" t="s">
        <v>18429</v>
      </c>
      <c r="F5641" t="s">
        <v>18430</v>
      </c>
      <c r="G5641">
        <v>29.5</v>
      </c>
      <c r="H5641">
        <v>29.5</v>
      </c>
      <c r="I5641" t="s">
        <v>269</v>
      </c>
      <c r="J5641" t="s">
        <v>270</v>
      </c>
      <c r="K5641" t="s">
        <v>31</v>
      </c>
      <c r="L5641" t="s">
        <v>32</v>
      </c>
      <c r="M5641" t="s">
        <v>33</v>
      </c>
      <c r="P5641" s="1" t="s">
        <v>19036</v>
      </c>
      <c r="Q5641" s="1" t="s">
        <v>18429</v>
      </c>
      <c r="R5641" s="1" t="s">
        <v>18429</v>
      </c>
      <c r="S5641" s="1"/>
      <c r="T5641" s="1" t="s">
        <v>2995</v>
      </c>
      <c r="U5641" s="1"/>
      <c r="V5641" s="1">
        <v>29.5</v>
      </c>
      <c r="W5641" s="1">
        <v>29.5</v>
      </c>
      <c r="X5641" s="1" t="s">
        <v>35</v>
      </c>
      <c r="Y5641" s="1">
        <v>29500</v>
      </c>
      <c r="Z5641" s="1"/>
      <c r="AA5641" s="1">
        <v>29500</v>
      </c>
      <c r="AB5641" s="1"/>
      <c r="AC5641" s="1" t="s">
        <v>36</v>
      </c>
      <c r="AD5641" s="1" t="s">
        <v>19037</v>
      </c>
      <c r="AE5641" s="1" t="s">
        <v>32</v>
      </c>
      <c r="AF5641" s="1" t="s">
        <v>33</v>
      </c>
      <c r="AG5641" s="1" t="s">
        <v>270</v>
      </c>
    </row>
    <row r="5642" spans="1:33">
      <c r="A5642" t="s">
        <v>19038</v>
      </c>
      <c r="B5642" t="s">
        <v>19039</v>
      </c>
      <c r="C5642" t="s">
        <v>314</v>
      </c>
      <c r="E5642" t="s">
        <v>18429</v>
      </c>
      <c r="F5642" t="s">
        <v>18430</v>
      </c>
      <c r="G5642">
        <v>36.98</v>
      </c>
      <c r="H5642">
        <v>36.98</v>
      </c>
      <c r="I5642" t="s">
        <v>179</v>
      </c>
      <c r="J5642" t="s">
        <v>180</v>
      </c>
      <c r="K5642" t="s">
        <v>31</v>
      </c>
      <c r="L5642" t="s">
        <v>32</v>
      </c>
      <c r="M5642" t="s">
        <v>33</v>
      </c>
      <c r="P5642" s="1" t="s">
        <v>19040</v>
      </c>
      <c r="Q5642" s="1" t="s">
        <v>18429</v>
      </c>
      <c r="R5642" s="1" t="s">
        <v>18429</v>
      </c>
      <c r="S5642" s="1"/>
      <c r="T5642" s="1" t="s">
        <v>314</v>
      </c>
      <c r="U5642" s="1"/>
      <c r="V5642" s="1">
        <v>36.98</v>
      </c>
      <c r="W5642" s="1">
        <v>36.98</v>
      </c>
      <c r="X5642" s="1" t="s">
        <v>35</v>
      </c>
      <c r="Y5642" s="1">
        <v>36980</v>
      </c>
      <c r="Z5642" s="1"/>
      <c r="AA5642" s="1">
        <v>36980</v>
      </c>
      <c r="AB5642" s="1"/>
      <c r="AC5642" s="1" t="s">
        <v>36</v>
      </c>
      <c r="AD5642" s="1" t="s">
        <v>19041</v>
      </c>
      <c r="AE5642" s="1" t="s">
        <v>32</v>
      </c>
      <c r="AF5642" s="1" t="s">
        <v>33</v>
      </c>
      <c r="AG5642" s="1" t="s">
        <v>180</v>
      </c>
    </row>
    <row r="5643" spans="1:33">
      <c r="A5643" t="s">
        <v>19042</v>
      </c>
      <c r="C5643" t="s">
        <v>5981</v>
      </c>
      <c r="E5643" t="s">
        <v>18429</v>
      </c>
      <c r="F5643" t="s">
        <v>18430</v>
      </c>
      <c r="G5643">
        <v>1.841</v>
      </c>
      <c r="H5643">
        <v>1.841</v>
      </c>
      <c r="I5643" t="s">
        <v>126</v>
      </c>
      <c r="J5643" t="s">
        <v>127</v>
      </c>
      <c r="K5643" t="s">
        <v>31</v>
      </c>
      <c r="L5643" t="s">
        <v>32</v>
      </c>
      <c r="M5643" t="s">
        <v>33</v>
      </c>
      <c r="P5643" s="1" t="s">
        <v>19043</v>
      </c>
      <c r="Q5643" s="1" t="s">
        <v>18429</v>
      </c>
      <c r="R5643" s="1" t="s">
        <v>18429</v>
      </c>
      <c r="S5643" s="1"/>
      <c r="T5643" s="1" t="s">
        <v>5981</v>
      </c>
      <c r="U5643" s="1"/>
      <c r="V5643" s="1">
        <v>1.841</v>
      </c>
      <c r="W5643" s="1">
        <v>1.841</v>
      </c>
      <c r="X5643" s="1" t="s">
        <v>35</v>
      </c>
      <c r="Y5643" s="1">
        <v>1841000</v>
      </c>
      <c r="Z5643" s="1"/>
      <c r="AA5643" s="1">
        <v>1841000</v>
      </c>
      <c r="AB5643" s="1"/>
      <c r="AC5643" s="1" t="s">
        <v>36</v>
      </c>
      <c r="AD5643" s="1" t="s">
        <v>19044</v>
      </c>
      <c r="AE5643" s="1" t="s">
        <v>32</v>
      </c>
      <c r="AF5643" s="1" t="s">
        <v>33</v>
      </c>
      <c r="AG5643" s="1" t="s">
        <v>127</v>
      </c>
    </row>
    <row r="5644" spans="1:33">
      <c r="A5644" t="s">
        <v>19045</v>
      </c>
      <c r="B5644" t="s">
        <v>2999</v>
      </c>
      <c r="C5644" t="s">
        <v>268</v>
      </c>
      <c r="E5644" t="s">
        <v>18429</v>
      </c>
      <c r="F5644" t="s">
        <v>18430</v>
      </c>
      <c r="G5644">
        <v>32.85</v>
      </c>
      <c r="H5644">
        <v>32.85</v>
      </c>
      <c r="I5644" t="s">
        <v>269</v>
      </c>
      <c r="J5644" t="s">
        <v>270</v>
      </c>
      <c r="K5644" t="s">
        <v>31</v>
      </c>
      <c r="L5644" t="s">
        <v>32</v>
      </c>
      <c r="M5644" t="s">
        <v>33</v>
      </c>
      <c r="P5644" s="1" t="s">
        <v>19046</v>
      </c>
      <c r="Q5644" s="1" t="s">
        <v>18429</v>
      </c>
      <c r="R5644" s="1" t="s">
        <v>18429</v>
      </c>
      <c r="S5644" s="1"/>
      <c r="T5644" s="1" t="s">
        <v>268</v>
      </c>
      <c r="U5644" s="1"/>
      <c r="V5644" s="1">
        <v>32.85</v>
      </c>
      <c r="W5644" s="1">
        <v>32.85</v>
      </c>
      <c r="X5644" s="1" t="s">
        <v>35</v>
      </c>
      <c r="Y5644" s="1">
        <v>32850</v>
      </c>
      <c r="Z5644" s="1"/>
      <c r="AA5644" s="1">
        <v>32850</v>
      </c>
      <c r="AB5644" s="1"/>
      <c r="AC5644" s="1" t="s">
        <v>36</v>
      </c>
      <c r="AD5644" s="1" t="s">
        <v>19047</v>
      </c>
      <c r="AE5644" s="1" t="s">
        <v>32</v>
      </c>
      <c r="AF5644" s="1" t="s">
        <v>33</v>
      </c>
      <c r="AG5644" s="1" t="s">
        <v>270</v>
      </c>
    </row>
    <row r="5645" spans="1:33">
      <c r="A5645" t="s">
        <v>19048</v>
      </c>
      <c r="B5645" t="s">
        <v>19049</v>
      </c>
      <c r="C5645" t="s">
        <v>68</v>
      </c>
      <c r="E5645" t="s">
        <v>18429</v>
      </c>
      <c r="F5645" t="s">
        <v>18430</v>
      </c>
      <c r="G5645">
        <v>80.97</v>
      </c>
      <c r="H5645">
        <v>80.97</v>
      </c>
      <c r="I5645" t="s">
        <v>59</v>
      </c>
      <c r="J5645" t="s">
        <v>60</v>
      </c>
      <c r="K5645" t="s">
        <v>31</v>
      </c>
      <c r="L5645" t="s">
        <v>32</v>
      </c>
      <c r="M5645" t="s">
        <v>33</v>
      </c>
      <c r="P5645" s="1" t="s">
        <v>19050</v>
      </c>
      <c r="Q5645" s="1" t="s">
        <v>18429</v>
      </c>
      <c r="R5645" s="1" t="s">
        <v>18429</v>
      </c>
      <c r="S5645" s="1"/>
      <c r="T5645" s="1" t="s">
        <v>68</v>
      </c>
      <c r="U5645" s="1"/>
      <c r="V5645" s="1">
        <v>80.97</v>
      </c>
      <c r="W5645" s="1">
        <v>80.97</v>
      </c>
      <c r="X5645" s="1" t="s">
        <v>35</v>
      </c>
      <c r="Y5645" s="1">
        <v>80970</v>
      </c>
      <c r="Z5645" s="1"/>
      <c r="AA5645" s="1">
        <v>80970</v>
      </c>
      <c r="AB5645" s="1"/>
      <c r="AC5645" s="1" t="s">
        <v>36</v>
      </c>
      <c r="AD5645" s="1" t="s">
        <v>19051</v>
      </c>
      <c r="AE5645" s="1" t="s">
        <v>32</v>
      </c>
      <c r="AF5645" s="1" t="s">
        <v>33</v>
      </c>
      <c r="AG5645" s="1" t="s">
        <v>60</v>
      </c>
    </row>
    <row r="5646" spans="1:33">
      <c r="A5646" t="s">
        <v>19052</v>
      </c>
      <c r="C5646" t="s">
        <v>827</v>
      </c>
      <c r="D5646" t="s">
        <v>154</v>
      </c>
      <c r="E5646" t="s">
        <v>18429</v>
      </c>
      <c r="F5646" t="s">
        <v>18430</v>
      </c>
      <c r="G5646">
        <v>824.1</v>
      </c>
      <c r="H5646">
        <v>824.1</v>
      </c>
      <c r="I5646" t="s">
        <v>269</v>
      </c>
      <c r="J5646" t="s">
        <v>270</v>
      </c>
      <c r="K5646" t="s">
        <v>31</v>
      </c>
      <c r="L5646" t="s">
        <v>32</v>
      </c>
      <c r="M5646" t="s">
        <v>33</v>
      </c>
      <c r="P5646" s="1" t="s">
        <v>19053</v>
      </c>
      <c r="Q5646" s="1" t="s">
        <v>18429</v>
      </c>
      <c r="R5646" s="1" t="s">
        <v>18429</v>
      </c>
      <c r="S5646" s="1"/>
      <c r="T5646" s="1" t="s">
        <v>827</v>
      </c>
      <c r="U5646" s="1"/>
      <c r="V5646" s="1">
        <v>824.1</v>
      </c>
      <c r="W5646" s="1">
        <v>824.1</v>
      </c>
      <c r="X5646" s="1" t="s">
        <v>35</v>
      </c>
      <c r="Y5646" s="1">
        <v>824100</v>
      </c>
      <c r="Z5646" s="1"/>
      <c r="AA5646" s="1">
        <v>824100</v>
      </c>
      <c r="AB5646" s="1"/>
      <c r="AC5646" s="1" t="s">
        <v>36</v>
      </c>
      <c r="AD5646" s="1" t="s">
        <v>19041</v>
      </c>
      <c r="AE5646" s="1" t="s">
        <v>32</v>
      </c>
      <c r="AF5646" s="1" t="s">
        <v>33</v>
      </c>
      <c r="AG5646" s="1" t="s">
        <v>270</v>
      </c>
    </row>
    <row r="5647" spans="1:33">
      <c r="A5647" t="s">
        <v>19054</v>
      </c>
      <c r="C5647" t="s">
        <v>6115</v>
      </c>
      <c r="D5647" t="s">
        <v>154</v>
      </c>
      <c r="E5647" t="s">
        <v>18429</v>
      </c>
      <c r="F5647" t="s">
        <v>18430</v>
      </c>
      <c r="G5647">
        <v>2.857</v>
      </c>
      <c r="H5647">
        <v>2.857</v>
      </c>
      <c r="I5647" t="s">
        <v>126</v>
      </c>
      <c r="J5647" t="s">
        <v>127</v>
      </c>
      <c r="K5647" t="s">
        <v>31</v>
      </c>
      <c r="L5647" t="s">
        <v>32</v>
      </c>
      <c r="M5647" t="s">
        <v>33</v>
      </c>
      <c r="P5647" s="1" t="s">
        <v>19055</v>
      </c>
      <c r="Q5647" s="1" t="s">
        <v>18429</v>
      </c>
      <c r="R5647" s="1" t="s">
        <v>18429</v>
      </c>
      <c r="S5647" s="1"/>
      <c r="T5647" s="1" t="s">
        <v>6117</v>
      </c>
      <c r="U5647" s="1" t="s">
        <v>6118</v>
      </c>
      <c r="V5647" s="1">
        <v>2.857</v>
      </c>
      <c r="W5647" s="1">
        <v>2.857</v>
      </c>
      <c r="X5647" s="1" t="s">
        <v>35</v>
      </c>
      <c r="Y5647" s="1">
        <v>2900000</v>
      </c>
      <c r="Z5647" s="1">
        <v>-43000</v>
      </c>
      <c r="AA5647" s="1">
        <v>2900000</v>
      </c>
      <c r="AB5647" s="1">
        <v>-43000</v>
      </c>
      <c r="AC5647" s="1" t="s">
        <v>36</v>
      </c>
      <c r="AD5647" s="1" t="s">
        <v>19047</v>
      </c>
      <c r="AE5647" s="1" t="s">
        <v>32</v>
      </c>
      <c r="AF5647" s="1" t="s">
        <v>33</v>
      </c>
      <c r="AG5647" s="1" t="s">
        <v>127</v>
      </c>
    </row>
    <row r="5648" spans="1:33">
      <c r="A5648" t="s">
        <v>19056</v>
      </c>
      <c r="C5648" t="s">
        <v>2955</v>
      </c>
      <c r="E5648" t="s">
        <v>18429</v>
      </c>
      <c r="F5648" t="s">
        <v>18430</v>
      </c>
      <c r="G5648">
        <v>1.312</v>
      </c>
      <c r="H5648">
        <v>1.312</v>
      </c>
      <c r="I5648" t="s">
        <v>269</v>
      </c>
      <c r="J5648" t="s">
        <v>270</v>
      </c>
      <c r="K5648" t="s">
        <v>31</v>
      </c>
      <c r="L5648" t="s">
        <v>32</v>
      </c>
      <c r="M5648" t="s">
        <v>33</v>
      </c>
      <c r="P5648" s="1" t="s">
        <v>19057</v>
      </c>
      <c r="Q5648" s="1" t="s">
        <v>18429</v>
      </c>
      <c r="R5648" s="1" t="s">
        <v>18429</v>
      </c>
      <c r="S5648" s="1"/>
      <c r="T5648" s="1" t="s">
        <v>2955</v>
      </c>
      <c r="U5648" s="1"/>
      <c r="V5648" s="1">
        <v>1.312</v>
      </c>
      <c r="W5648" s="1">
        <v>1.312</v>
      </c>
      <c r="X5648" s="1" t="s">
        <v>35</v>
      </c>
      <c r="Y5648" s="1">
        <v>1312000</v>
      </c>
      <c r="Z5648" s="1"/>
      <c r="AA5648" s="1">
        <v>1312000</v>
      </c>
      <c r="AB5648" s="1"/>
      <c r="AC5648" s="1" t="s">
        <v>36</v>
      </c>
      <c r="AD5648" s="1" t="s">
        <v>19058</v>
      </c>
      <c r="AE5648" s="1" t="s">
        <v>32</v>
      </c>
      <c r="AF5648" s="1" t="s">
        <v>33</v>
      </c>
      <c r="AG5648" s="1" t="s">
        <v>270</v>
      </c>
    </row>
    <row r="5649" spans="1:33">
      <c r="A5649" t="s">
        <v>19059</v>
      </c>
      <c r="B5649" t="s">
        <v>19060</v>
      </c>
      <c r="C5649" t="s">
        <v>47</v>
      </c>
      <c r="E5649" t="s">
        <v>18429</v>
      </c>
      <c r="F5649" t="s">
        <v>18430</v>
      </c>
      <c r="G5649">
        <v>6.548</v>
      </c>
      <c r="H5649">
        <v>6.548</v>
      </c>
      <c r="I5649" t="s">
        <v>2206</v>
      </c>
      <c r="J5649" t="s">
        <v>49</v>
      </c>
      <c r="K5649" t="s">
        <v>31</v>
      </c>
      <c r="L5649" t="s">
        <v>32</v>
      </c>
      <c r="M5649" t="s">
        <v>33</v>
      </c>
      <c r="P5649" s="1" t="s">
        <v>19061</v>
      </c>
      <c r="Q5649" s="1" t="s">
        <v>18429</v>
      </c>
      <c r="R5649" s="1" t="s">
        <v>18429</v>
      </c>
      <c r="S5649" s="1"/>
      <c r="T5649" s="1" t="s">
        <v>47</v>
      </c>
      <c r="U5649" s="1"/>
      <c r="V5649" s="1">
        <v>6.548</v>
      </c>
      <c r="W5649" s="1">
        <v>6.548</v>
      </c>
      <c r="X5649" s="1" t="s">
        <v>35</v>
      </c>
      <c r="Y5649" s="1">
        <v>6548</v>
      </c>
      <c r="Z5649" s="1"/>
      <c r="AA5649" s="1">
        <v>6548</v>
      </c>
      <c r="AB5649" s="1"/>
      <c r="AC5649" s="1" t="s">
        <v>36</v>
      </c>
      <c r="AD5649" s="1" t="s">
        <v>19062</v>
      </c>
      <c r="AE5649" s="1" t="s">
        <v>1636</v>
      </c>
      <c r="AF5649" s="1" t="s">
        <v>33</v>
      </c>
      <c r="AG5649" s="1" t="s">
        <v>49</v>
      </c>
    </row>
    <row r="5650" spans="1:33">
      <c r="A5650" t="s">
        <v>19063</v>
      </c>
      <c r="C5650" t="s">
        <v>859</v>
      </c>
      <c r="D5650" t="s">
        <v>114</v>
      </c>
      <c r="E5650" t="s">
        <v>18429</v>
      </c>
      <c r="F5650" t="s">
        <v>18430</v>
      </c>
      <c r="G5650">
        <v>723.0</v>
      </c>
      <c r="H5650">
        <v>723.0</v>
      </c>
      <c r="I5650" t="s">
        <v>269</v>
      </c>
      <c r="J5650" t="s">
        <v>270</v>
      </c>
      <c r="K5650" t="s">
        <v>31</v>
      </c>
      <c r="L5650" t="s">
        <v>32</v>
      </c>
      <c r="M5650" t="s">
        <v>33</v>
      </c>
      <c r="P5650" s="1" t="s">
        <v>19064</v>
      </c>
      <c r="Q5650" s="1" t="s">
        <v>18429</v>
      </c>
      <c r="R5650" s="1" t="s">
        <v>18429</v>
      </c>
      <c r="S5650" s="1"/>
      <c r="T5650" s="1" t="s">
        <v>859</v>
      </c>
      <c r="U5650" s="1"/>
      <c r="V5650" s="1">
        <v>723.0</v>
      </c>
      <c r="W5650" s="1">
        <v>723.0</v>
      </c>
      <c r="X5650" s="1" t="s">
        <v>35</v>
      </c>
      <c r="Y5650" s="1">
        <v>723000</v>
      </c>
      <c r="Z5650" s="1"/>
      <c r="AA5650" s="1">
        <v>723000</v>
      </c>
      <c r="AB5650" s="1"/>
      <c r="AC5650" s="1" t="s">
        <v>36</v>
      </c>
      <c r="AD5650" s="1" t="s">
        <v>19051</v>
      </c>
      <c r="AE5650" s="1" t="s">
        <v>32</v>
      </c>
      <c r="AF5650" s="1" t="s">
        <v>33</v>
      </c>
      <c r="AG5650" s="1" t="s">
        <v>270</v>
      </c>
    </row>
    <row r="5651" spans="1:33">
      <c r="A5651" t="s">
        <v>19065</v>
      </c>
      <c r="B5651" t="s">
        <v>19066</v>
      </c>
      <c r="C5651" t="s">
        <v>5441</v>
      </c>
      <c r="E5651" t="s">
        <v>18429</v>
      </c>
      <c r="F5651" t="s">
        <v>18430</v>
      </c>
      <c r="G5651">
        <v>320.0</v>
      </c>
      <c r="H5651">
        <v>320.0</v>
      </c>
      <c r="I5651" t="s">
        <v>40</v>
      </c>
      <c r="J5651" t="s">
        <v>41</v>
      </c>
      <c r="K5651" t="s">
        <v>31</v>
      </c>
      <c r="L5651" t="s">
        <v>32</v>
      </c>
      <c r="M5651" t="s">
        <v>33</v>
      </c>
      <c r="P5651" s="1" t="s">
        <v>19067</v>
      </c>
      <c r="Q5651" s="1" t="s">
        <v>18429</v>
      </c>
      <c r="R5651" s="1" t="s">
        <v>18474</v>
      </c>
      <c r="S5651" s="1"/>
      <c r="T5651" s="1" t="s">
        <v>5441</v>
      </c>
      <c r="U5651" s="1"/>
      <c r="V5651" s="1">
        <v>320.0</v>
      </c>
      <c r="W5651" s="1">
        <v>320.0</v>
      </c>
      <c r="X5651" s="1" t="s">
        <v>35</v>
      </c>
      <c r="Y5651" s="1">
        <v>320000</v>
      </c>
      <c r="Z5651" s="1"/>
      <c r="AA5651" s="1">
        <v>320000</v>
      </c>
      <c r="AB5651" s="1"/>
      <c r="AC5651" s="1" t="s">
        <v>36</v>
      </c>
      <c r="AD5651" s="1" t="s">
        <v>19068</v>
      </c>
      <c r="AE5651" s="1" t="s">
        <v>32</v>
      </c>
      <c r="AF5651" s="1" t="s">
        <v>33</v>
      </c>
      <c r="AG5651" s="1" t="s">
        <v>41</v>
      </c>
    </row>
    <row r="5652" spans="1:33">
      <c r="A5652" t="s">
        <v>19069</v>
      </c>
      <c r="C5652" t="s">
        <v>558</v>
      </c>
      <c r="D5652" t="s">
        <v>154</v>
      </c>
      <c r="E5652" t="s">
        <v>18429</v>
      </c>
      <c r="F5652" t="s">
        <v>18430</v>
      </c>
      <c r="G5652">
        <v>80.0</v>
      </c>
      <c r="H5652">
        <v>80.0</v>
      </c>
      <c r="I5652" t="s">
        <v>269</v>
      </c>
      <c r="J5652" t="s">
        <v>270</v>
      </c>
      <c r="K5652" t="s">
        <v>31</v>
      </c>
      <c r="L5652" t="s">
        <v>32</v>
      </c>
      <c r="M5652" t="s">
        <v>33</v>
      </c>
      <c r="P5652" s="1" t="s">
        <v>19070</v>
      </c>
      <c r="Q5652" s="1" t="s">
        <v>18429</v>
      </c>
      <c r="R5652" s="1" t="s">
        <v>18429</v>
      </c>
      <c r="S5652" s="1"/>
      <c r="T5652" s="1" t="s">
        <v>560</v>
      </c>
      <c r="U5652" s="1" t="s">
        <v>561</v>
      </c>
      <c r="V5652" s="1">
        <v>80.0</v>
      </c>
      <c r="W5652" s="1">
        <v>80.0</v>
      </c>
      <c r="X5652" s="1" t="s">
        <v>35</v>
      </c>
      <c r="Y5652" s="1">
        <v>80000</v>
      </c>
      <c r="Z5652" s="1"/>
      <c r="AA5652" s="1">
        <v>80000</v>
      </c>
      <c r="AB5652" s="1"/>
      <c r="AC5652" s="1" t="s">
        <v>36</v>
      </c>
      <c r="AD5652" s="1" t="s">
        <v>19071</v>
      </c>
      <c r="AE5652" s="1" t="s">
        <v>32</v>
      </c>
      <c r="AF5652" s="1" t="s">
        <v>33</v>
      </c>
      <c r="AG5652" s="1" t="s">
        <v>270</v>
      </c>
    </row>
    <row r="5653" spans="1:33">
      <c r="A5653" t="s">
        <v>19072</v>
      </c>
      <c r="B5653" t="s">
        <v>3600</v>
      </c>
      <c r="C5653" t="s">
        <v>268</v>
      </c>
      <c r="E5653" t="s">
        <v>18429</v>
      </c>
      <c r="F5653" t="s">
        <v>18430</v>
      </c>
      <c r="G5653">
        <v>147.0</v>
      </c>
      <c r="H5653">
        <v>147.0</v>
      </c>
      <c r="I5653" t="s">
        <v>269</v>
      </c>
      <c r="J5653" t="s">
        <v>270</v>
      </c>
      <c r="K5653" t="s">
        <v>31</v>
      </c>
      <c r="L5653" t="s">
        <v>32</v>
      </c>
      <c r="M5653" t="s">
        <v>33</v>
      </c>
      <c r="P5653" s="1" t="s">
        <v>19073</v>
      </c>
      <c r="Q5653" s="1" t="s">
        <v>18429</v>
      </c>
      <c r="R5653" s="1" t="s">
        <v>18429</v>
      </c>
      <c r="S5653" s="1"/>
      <c r="T5653" s="1" t="s">
        <v>268</v>
      </c>
      <c r="U5653" s="1"/>
      <c r="V5653" s="1">
        <v>147.0</v>
      </c>
      <c r="W5653" s="1">
        <v>147.0</v>
      </c>
      <c r="X5653" s="1" t="s">
        <v>35</v>
      </c>
      <c r="Y5653" s="1">
        <v>147000</v>
      </c>
      <c r="Z5653" s="1"/>
      <c r="AA5653" s="1">
        <v>147000</v>
      </c>
      <c r="AB5653" s="1"/>
      <c r="AC5653" s="1" t="s">
        <v>36</v>
      </c>
      <c r="AD5653" s="1" t="s">
        <v>19062</v>
      </c>
      <c r="AE5653" s="1" t="s">
        <v>32</v>
      </c>
      <c r="AF5653" s="1" t="s">
        <v>33</v>
      </c>
      <c r="AG5653" s="1" t="s">
        <v>270</v>
      </c>
    </row>
    <row r="5654" spans="1:33">
      <c r="A5654" t="s">
        <v>19074</v>
      </c>
      <c r="B5654" t="s">
        <v>201</v>
      </c>
      <c r="C5654" t="s">
        <v>202</v>
      </c>
      <c r="D5654" t="s">
        <v>154</v>
      </c>
      <c r="E5654" t="s">
        <v>18429</v>
      </c>
      <c r="F5654" t="s">
        <v>18430</v>
      </c>
      <c r="G5654">
        <v>370.0</v>
      </c>
      <c r="H5654">
        <v>370.0</v>
      </c>
      <c r="I5654" t="s">
        <v>59</v>
      </c>
      <c r="J5654" t="s">
        <v>60</v>
      </c>
      <c r="K5654" t="s">
        <v>31</v>
      </c>
      <c r="L5654" t="s">
        <v>32</v>
      </c>
      <c r="M5654" t="s">
        <v>33</v>
      </c>
      <c r="P5654" s="1" t="s">
        <v>19075</v>
      </c>
      <c r="Q5654" s="1" t="s">
        <v>18429</v>
      </c>
      <c r="R5654" s="1" t="s">
        <v>18429</v>
      </c>
      <c r="S5654" s="1"/>
      <c r="T5654" s="1" t="s">
        <v>202</v>
      </c>
      <c r="U5654" s="1"/>
      <c r="V5654" s="1">
        <v>370.0</v>
      </c>
      <c r="W5654" s="1">
        <v>370.0</v>
      </c>
      <c r="X5654" s="1" t="s">
        <v>35</v>
      </c>
      <c r="Y5654" s="1">
        <v>370000</v>
      </c>
      <c r="Z5654" s="1"/>
      <c r="AA5654" s="1">
        <v>370000</v>
      </c>
      <c r="AB5654" s="1"/>
      <c r="AC5654" s="1" t="s">
        <v>36</v>
      </c>
      <c r="AD5654" s="1" t="s">
        <v>19076</v>
      </c>
      <c r="AE5654" s="1" t="s">
        <v>32</v>
      </c>
      <c r="AF5654" s="1" t="s">
        <v>33</v>
      </c>
      <c r="AG5654" s="1" t="s">
        <v>60</v>
      </c>
    </row>
    <row r="5655" spans="1:33">
      <c r="A5655" t="s">
        <v>19077</v>
      </c>
      <c r="C5655" t="s">
        <v>5681</v>
      </c>
      <c r="E5655" t="s">
        <v>18429</v>
      </c>
      <c r="F5655" t="s">
        <v>18430</v>
      </c>
      <c r="G5655">
        <v>2.695</v>
      </c>
      <c r="H5655">
        <v>2.695</v>
      </c>
      <c r="I5655" t="s">
        <v>40</v>
      </c>
      <c r="J5655" t="s">
        <v>41</v>
      </c>
      <c r="K5655" t="s">
        <v>31</v>
      </c>
      <c r="L5655" t="s">
        <v>32</v>
      </c>
      <c r="M5655" t="s">
        <v>33</v>
      </c>
      <c r="P5655" s="1" t="s">
        <v>19078</v>
      </c>
      <c r="Q5655" s="1" t="s">
        <v>18429</v>
      </c>
      <c r="R5655" s="1" t="s">
        <v>18474</v>
      </c>
      <c r="S5655" s="1"/>
      <c r="T5655" s="1" t="s">
        <v>5683</v>
      </c>
      <c r="U5655" s="1" t="s">
        <v>5684</v>
      </c>
      <c r="V5655" s="1">
        <v>2.695</v>
      </c>
      <c r="W5655" s="1">
        <v>2.695</v>
      </c>
      <c r="X5655" s="1" t="s">
        <v>35</v>
      </c>
      <c r="Y5655" s="1">
        <v>2695000</v>
      </c>
      <c r="Z5655" s="1"/>
      <c r="AA5655" s="1">
        <v>2695000</v>
      </c>
      <c r="AB5655" s="1"/>
      <c r="AC5655" s="1" t="s">
        <v>36</v>
      </c>
      <c r="AD5655" s="1" t="s">
        <v>19079</v>
      </c>
      <c r="AE5655" s="1" t="s">
        <v>32</v>
      </c>
      <c r="AF5655" s="1" t="s">
        <v>33</v>
      </c>
      <c r="AG5655" s="1" t="s">
        <v>41</v>
      </c>
    </row>
    <row r="5656" spans="1:33">
      <c r="A5656" t="s">
        <v>19080</v>
      </c>
      <c r="C5656" t="s">
        <v>13345</v>
      </c>
      <c r="E5656" t="s">
        <v>18429</v>
      </c>
      <c r="F5656" t="s">
        <v>18430</v>
      </c>
      <c r="G5656">
        <v>672.0</v>
      </c>
      <c r="H5656">
        <v>672.0</v>
      </c>
      <c r="I5656" t="s">
        <v>2206</v>
      </c>
      <c r="J5656" t="s">
        <v>49</v>
      </c>
      <c r="K5656" t="s">
        <v>31</v>
      </c>
      <c r="L5656" t="s">
        <v>32</v>
      </c>
      <c r="M5656" t="s">
        <v>33</v>
      </c>
      <c r="P5656" s="1" t="s">
        <v>19081</v>
      </c>
      <c r="Q5656" s="1" t="s">
        <v>18429</v>
      </c>
      <c r="R5656" s="1" t="s">
        <v>18429</v>
      </c>
      <c r="S5656" s="1"/>
      <c r="T5656" s="1" t="s">
        <v>13345</v>
      </c>
      <c r="U5656" s="1"/>
      <c r="V5656" s="1">
        <v>672.0</v>
      </c>
      <c r="W5656" s="1">
        <v>672.0</v>
      </c>
      <c r="X5656" s="1" t="s">
        <v>35</v>
      </c>
      <c r="Y5656" s="1">
        <v>672000</v>
      </c>
      <c r="Z5656" s="1"/>
      <c r="AA5656" s="1">
        <v>672000</v>
      </c>
      <c r="AB5656" s="1"/>
      <c r="AC5656" s="1" t="s">
        <v>36</v>
      </c>
      <c r="AD5656" s="1" t="s">
        <v>19082</v>
      </c>
      <c r="AE5656" s="1" t="s">
        <v>1636</v>
      </c>
      <c r="AF5656" s="1" t="s">
        <v>33</v>
      </c>
      <c r="AG5656" s="1" t="s">
        <v>49</v>
      </c>
    </row>
    <row r="5657" spans="1:33">
      <c r="A5657" t="s">
        <v>19083</v>
      </c>
      <c r="B5657" t="s">
        <v>9444</v>
      </c>
      <c r="C5657" t="s">
        <v>125</v>
      </c>
      <c r="E5657" t="s">
        <v>18429</v>
      </c>
      <c r="F5657" t="s">
        <v>18430</v>
      </c>
      <c r="G5657">
        <v>17.192</v>
      </c>
      <c r="H5657">
        <v>17.192</v>
      </c>
      <c r="I5657" t="s">
        <v>126</v>
      </c>
      <c r="J5657" t="s">
        <v>127</v>
      </c>
      <c r="K5657" t="s">
        <v>31</v>
      </c>
      <c r="L5657" t="s">
        <v>32</v>
      </c>
      <c r="M5657" t="s">
        <v>33</v>
      </c>
      <c r="P5657" s="1" t="s">
        <v>19084</v>
      </c>
      <c r="Q5657" s="1" t="s">
        <v>18429</v>
      </c>
      <c r="R5657" s="1" t="s">
        <v>18429</v>
      </c>
      <c r="S5657" s="1"/>
      <c r="T5657" s="1" t="s">
        <v>125</v>
      </c>
      <c r="U5657" s="1"/>
      <c r="V5657" s="1">
        <v>17.192</v>
      </c>
      <c r="W5657" s="1">
        <v>17.192</v>
      </c>
      <c r="X5657" s="1" t="s">
        <v>35</v>
      </c>
      <c r="Y5657" s="1">
        <v>17192</v>
      </c>
      <c r="Z5657" s="1"/>
      <c r="AA5657" s="1">
        <v>17192</v>
      </c>
      <c r="AB5657" s="1"/>
      <c r="AC5657" s="1" t="s">
        <v>36</v>
      </c>
      <c r="AD5657" s="1" t="s">
        <v>19079</v>
      </c>
      <c r="AE5657" s="1" t="s">
        <v>32</v>
      </c>
      <c r="AF5657" s="1" t="s">
        <v>33</v>
      </c>
      <c r="AG5657" s="1" t="s">
        <v>127</v>
      </c>
    </row>
    <row r="5658" spans="1:33">
      <c r="A5658" t="s">
        <v>19085</v>
      </c>
      <c r="B5658" t="s">
        <v>19086</v>
      </c>
      <c r="C5658" t="s">
        <v>314</v>
      </c>
      <c r="E5658" t="s">
        <v>18429</v>
      </c>
      <c r="F5658" t="s">
        <v>18430</v>
      </c>
      <c r="G5658">
        <v>40.99</v>
      </c>
      <c r="H5658">
        <v>40.99</v>
      </c>
      <c r="I5658" t="s">
        <v>179</v>
      </c>
      <c r="J5658" t="s">
        <v>180</v>
      </c>
      <c r="K5658" t="s">
        <v>31</v>
      </c>
      <c r="L5658" t="s">
        <v>32</v>
      </c>
      <c r="M5658" t="s">
        <v>33</v>
      </c>
      <c r="P5658" s="1" t="s">
        <v>19087</v>
      </c>
      <c r="Q5658" s="1" t="s">
        <v>18429</v>
      </c>
      <c r="R5658" s="1" t="s">
        <v>18429</v>
      </c>
      <c r="S5658" s="1"/>
      <c r="T5658" s="1" t="s">
        <v>314</v>
      </c>
      <c r="U5658" s="1"/>
      <c r="V5658" s="1">
        <v>40.99</v>
      </c>
      <c r="W5658" s="1">
        <v>40.99</v>
      </c>
      <c r="X5658" s="1" t="s">
        <v>35</v>
      </c>
      <c r="Y5658" s="1">
        <v>40990</v>
      </c>
      <c r="Z5658" s="1"/>
      <c r="AA5658" s="1">
        <v>40990</v>
      </c>
      <c r="AB5658" s="1"/>
      <c r="AC5658" s="1" t="s">
        <v>36</v>
      </c>
      <c r="AD5658" s="1" t="s">
        <v>19088</v>
      </c>
      <c r="AE5658" s="1" t="s">
        <v>32</v>
      </c>
      <c r="AF5658" s="1" t="s">
        <v>33</v>
      </c>
      <c r="AG5658" s="1" t="s">
        <v>180</v>
      </c>
    </row>
    <row r="5659" spans="1:33">
      <c r="A5659" t="s">
        <v>19089</v>
      </c>
      <c r="B5659" t="s">
        <v>2672</v>
      </c>
      <c r="C5659" t="s">
        <v>2673</v>
      </c>
      <c r="E5659" t="s">
        <v>18429</v>
      </c>
      <c r="F5659" t="s">
        <v>18430</v>
      </c>
      <c r="G5659">
        <v>924.0</v>
      </c>
      <c r="H5659">
        <v>924.0</v>
      </c>
      <c r="I5659" t="s">
        <v>40</v>
      </c>
      <c r="J5659" t="s">
        <v>41</v>
      </c>
      <c r="K5659" t="s">
        <v>31</v>
      </c>
      <c r="L5659" t="s">
        <v>32</v>
      </c>
      <c r="M5659" t="s">
        <v>33</v>
      </c>
      <c r="P5659" s="1" t="s">
        <v>19090</v>
      </c>
      <c r="Q5659" s="1" t="s">
        <v>18429</v>
      </c>
      <c r="R5659" s="1" t="s">
        <v>18474</v>
      </c>
      <c r="S5659" s="1"/>
      <c r="T5659" s="1" t="s">
        <v>2673</v>
      </c>
      <c r="U5659" s="1"/>
      <c r="V5659" s="1">
        <v>924.0</v>
      </c>
      <c r="W5659" s="1">
        <v>924.0</v>
      </c>
      <c r="X5659" s="1" t="s">
        <v>35</v>
      </c>
      <c r="Y5659" s="1">
        <v>924000</v>
      </c>
      <c r="Z5659" s="1"/>
      <c r="AA5659" s="1">
        <v>924000</v>
      </c>
      <c r="AB5659" s="1"/>
      <c r="AC5659" s="1" t="s">
        <v>36</v>
      </c>
      <c r="AD5659" s="1" t="s">
        <v>19091</v>
      </c>
      <c r="AE5659" s="1" t="s">
        <v>32</v>
      </c>
      <c r="AF5659" s="1" t="s">
        <v>33</v>
      </c>
      <c r="AG5659" s="1" t="s">
        <v>41</v>
      </c>
    </row>
    <row r="5660" spans="1:33">
      <c r="A5660" t="s">
        <v>19092</v>
      </c>
      <c r="C5660" t="s">
        <v>8067</v>
      </c>
      <c r="E5660" t="s">
        <v>18429</v>
      </c>
      <c r="F5660" t="s">
        <v>18430</v>
      </c>
      <c r="G5660">
        <v>352.0</v>
      </c>
      <c r="H5660">
        <v>352.0</v>
      </c>
      <c r="I5660" t="s">
        <v>179</v>
      </c>
      <c r="J5660" t="s">
        <v>180</v>
      </c>
      <c r="K5660" t="s">
        <v>31</v>
      </c>
      <c r="L5660" t="s">
        <v>32</v>
      </c>
      <c r="M5660" t="s">
        <v>33</v>
      </c>
      <c r="P5660" s="1" t="s">
        <v>19093</v>
      </c>
      <c r="Q5660" s="1" t="s">
        <v>18429</v>
      </c>
      <c r="R5660" s="1" t="s">
        <v>18429</v>
      </c>
      <c r="S5660" s="1"/>
      <c r="T5660" s="1" t="s">
        <v>8067</v>
      </c>
      <c r="U5660" s="1"/>
      <c r="V5660" s="1">
        <v>352.0</v>
      </c>
      <c r="W5660" s="1">
        <v>352.0</v>
      </c>
      <c r="X5660" s="1" t="s">
        <v>35</v>
      </c>
      <c r="Y5660" s="1">
        <v>352000</v>
      </c>
      <c r="Z5660" s="1"/>
      <c r="AA5660" s="1">
        <v>352000</v>
      </c>
      <c r="AB5660" s="1"/>
      <c r="AC5660" s="1" t="s">
        <v>36</v>
      </c>
      <c r="AD5660" s="1" t="s">
        <v>19068</v>
      </c>
      <c r="AE5660" s="1" t="s">
        <v>32</v>
      </c>
      <c r="AF5660" s="1" t="s">
        <v>33</v>
      </c>
      <c r="AG5660" s="1" t="s">
        <v>180</v>
      </c>
    </row>
    <row r="5661" spans="1:33">
      <c r="A5661" t="s">
        <v>19094</v>
      </c>
      <c r="C5661" t="s">
        <v>19095</v>
      </c>
      <c r="D5661" t="s">
        <v>114</v>
      </c>
      <c r="E5661" t="s">
        <v>18429</v>
      </c>
      <c r="F5661" t="s">
        <v>18430</v>
      </c>
      <c r="G5661">
        <v>40.49</v>
      </c>
      <c r="H5661">
        <v>40.49</v>
      </c>
      <c r="I5661" t="s">
        <v>40</v>
      </c>
      <c r="J5661" t="s">
        <v>41</v>
      </c>
      <c r="K5661" t="s">
        <v>31</v>
      </c>
      <c r="L5661" t="s">
        <v>32</v>
      </c>
      <c r="M5661" t="s">
        <v>33</v>
      </c>
      <c r="P5661" s="1" t="s">
        <v>19096</v>
      </c>
      <c r="Q5661" s="1" t="s">
        <v>18429</v>
      </c>
      <c r="R5661" s="1" t="s">
        <v>18474</v>
      </c>
      <c r="S5661" s="1"/>
      <c r="T5661" s="1" t="s">
        <v>19095</v>
      </c>
      <c r="U5661" s="1"/>
      <c r="V5661" s="1">
        <v>40.49</v>
      </c>
      <c r="W5661" s="1">
        <v>40.49</v>
      </c>
      <c r="X5661" s="1" t="s">
        <v>35</v>
      </c>
      <c r="Y5661" s="1">
        <v>40490</v>
      </c>
      <c r="Z5661" s="1"/>
      <c r="AA5661" s="1">
        <v>40490</v>
      </c>
      <c r="AB5661" s="1"/>
      <c r="AC5661" s="1" t="s">
        <v>36</v>
      </c>
      <c r="AD5661" s="1" t="s">
        <v>19097</v>
      </c>
      <c r="AE5661" s="1" t="s">
        <v>32</v>
      </c>
      <c r="AF5661" s="1" t="s">
        <v>33</v>
      </c>
      <c r="AG5661" s="1" t="s">
        <v>41</v>
      </c>
    </row>
    <row r="5662" spans="1:33">
      <c r="A5662" t="s">
        <v>19098</v>
      </c>
      <c r="C5662" t="s">
        <v>1197</v>
      </c>
      <c r="D5662" t="s">
        <v>154</v>
      </c>
      <c r="E5662" t="s">
        <v>18429</v>
      </c>
      <c r="F5662" t="s">
        <v>18430</v>
      </c>
      <c r="G5662">
        <v>498.4</v>
      </c>
      <c r="H5662">
        <v>498.4</v>
      </c>
      <c r="I5662" t="s">
        <v>269</v>
      </c>
      <c r="J5662" t="s">
        <v>270</v>
      </c>
      <c r="K5662" t="s">
        <v>31</v>
      </c>
      <c r="L5662" t="s">
        <v>32</v>
      </c>
      <c r="M5662" t="s">
        <v>33</v>
      </c>
      <c r="P5662" s="1" t="s">
        <v>19099</v>
      </c>
      <c r="Q5662" s="1" t="s">
        <v>18429</v>
      </c>
      <c r="R5662" s="1" t="s">
        <v>18429</v>
      </c>
      <c r="S5662" s="1"/>
      <c r="T5662" s="1" t="s">
        <v>1197</v>
      </c>
      <c r="U5662" s="1"/>
      <c r="V5662" s="1">
        <v>498.4</v>
      </c>
      <c r="W5662" s="1">
        <v>498.4</v>
      </c>
      <c r="X5662" s="1" t="s">
        <v>35</v>
      </c>
      <c r="Y5662" s="1">
        <v>498400</v>
      </c>
      <c r="Z5662" s="1"/>
      <c r="AA5662" s="1">
        <v>498400</v>
      </c>
      <c r="AB5662" s="1"/>
      <c r="AC5662" s="1" t="s">
        <v>36</v>
      </c>
      <c r="AD5662" s="1" t="s">
        <v>19100</v>
      </c>
      <c r="AE5662" s="1" t="s">
        <v>32</v>
      </c>
      <c r="AF5662" s="1" t="s">
        <v>33</v>
      </c>
      <c r="AG5662" s="1" t="s">
        <v>270</v>
      </c>
    </row>
    <row r="5663" spans="1:33">
      <c r="A5663" t="s">
        <v>19101</v>
      </c>
      <c r="C5663" t="s">
        <v>19102</v>
      </c>
      <c r="E5663" t="s">
        <v>18429</v>
      </c>
      <c r="F5663" t="s">
        <v>18430</v>
      </c>
      <c r="G5663">
        <v>852.0</v>
      </c>
      <c r="H5663">
        <v>852.0</v>
      </c>
      <c r="I5663" t="s">
        <v>269</v>
      </c>
      <c r="J5663" t="s">
        <v>270</v>
      </c>
      <c r="K5663" t="s">
        <v>31</v>
      </c>
      <c r="L5663" t="s">
        <v>32</v>
      </c>
      <c r="M5663" t="s">
        <v>33</v>
      </c>
      <c r="P5663" s="1" t="s">
        <v>19103</v>
      </c>
      <c r="Q5663" s="1" t="s">
        <v>18429</v>
      </c>
      <c r="R5663" s="1" t="s">
        <v>18429</v>
      </c>
      <c r="S5663" s="1"/>
      <c r="T5663" s="1" t="s">
        <v>19102</v>
      </c>
      <c r="U5663" s="1"/>
      <c r="V5663" s="1">
        <v>852.0</v>
      </c>
      <c r="W5663" s="1">
        <v>852.0</v>
      </c>
      <c r="X5663" s="1" t="s">
        <v>35</v>
      </c>
      <c r="Y5663" s="1">
        <v>852000</v>
      </c>
      <c r="Z5663" s="1"/>
      <c r="AA5663" s="1">
        <v>852000</v>
      </c>
      <c r="AB5663" s="1"/>
      <c r="AC5663" s="1" t="s">
        <v>36</v>
      </c>
      <c r="AD5663" s="1" t="s">
        <v>19104</v>
      </c>
      <c r="AE5663" s="1" t="s">
        <v>32</v>
      </c>
      <c r="AF5663" s="1" t="s">
        <v>33</v>
      </c>
      <c r="AG5663" s="1" t="s">
        <v>270</v>
      </c>
    </row>
    <row r="5664" spans="1:33">
      <c r="A5664" t="s">
        <v>19105</v>
      </c>
      <c r="C5664" t="s">
        <v>19106</v>
      </c>
      <c r="E5664" t="s">
        <v>18429</v>
      </c>
      <c r="F5664" t="s">
        <v>18430</v>
      </c>
      <c r="G5664">
        <v>1.011</v>
      </c>
      <c r="H5664">
        <v>1.011</v>
      </c>
      <c r="I5664" t="s">
        <v>2206</v>
      </c>
      <c r="J5664" t="s">
        <v>49</v>
      </c>
      <c r="K5664" t="s">
        <v>31</v>
      </c>
      <c r="L5664" t="s">
        <v>32</v>
      </c>
      <c r="M5664" t="s">
        <v>33</v>
      </c>
      <c r="P5664" s="1" t="s">
        <v>19107</v>
      </c>
      <c r="Q5664" s="1" t="s">
        <v>18429</v>
      </c>
      <c r="R5664" s="1" t="s">
        <v>18429</v>
      </c>
      <c r="S5664" s="1"/>
      <c r="T5664" s="1" t="s">
        <v>19106</v>
      </c>
      <c r="U5664" s="1"/>
      <c r="V5664" s="1">
        <v>1.011</v>
      </c>
      <c r="W5664" s="1">
        <v>1.011</v>
      </c>
      <c r="X5664" s="1" t="s">
        <v>35</v>
      </c>
      <c r="Y5664" s="1">
        <v>1011000</v>
      </c>
      <c r="Z5664" s="1"/>
      <c r="AA5664" s="1">
        <v>1011000</v>
      </c>
      <c r="AB5664" s="1"/>
      <c r="AC5664" s="1" t="s">
        <v>36</v>
      </c>
      <c r="AD5664" s="1" t="s">
        <v>19041</v>
      </c>
      <c r="AE5664" s="1" t="s">
        <v>32</v>
      </c>
      <c r="AF5664" s="1" t="s">
        <v>33</v>
      </c>
      <c r="AG5664" s="1" t="s">
        <v>49</v>
      </c>
    </row>
    <row r="5665" spans="1:33">
      <c r="A5665" t="s">
        <v>19108</v>
      </c>
      <c r="C5665" t="s">
        <v>2485</v>
      </c>
      <c r="E5665" t="s">
        <v>18429</v>
      </c>
      <c r="F5665" t="s">
        <v>18430</v>
      </c>
      <c r="G5665">
        <v>1.462</v>
      </c>
      <c r="H5665">
        <v>1.462</v>
      </c>
      <c r="I5665" t="s">
        <v>269</v>
      </c>
      <c r="J5665" t="s">
        <v>270</v>
      </c>
      <c r="K5665" t="s">
        <v>31</v>
      </c>
      <c r="L5665" t="s">
        <v>32</v>
      </c>
      <c r="M5665" t="s">
        <v>33</v>
      </c>
      <c r="P5665" s="1" t="s">
        <v>19109</v>
      </c>
      <c r="Q5665" s="1" t="s">
        <v>18429</v>
      </c>
      <c r="R5665" s="1" t="s">
        <v>18429</v>
      </c>
      <c r="S5665" s="1"/>
      <c r="T5665" s="1" t="s">
        <v>2485</v>
      </c>
      <c r="U5665" s="1"/>
      <c r="V5665" s="1">
        <v>1.462</v>
      </c>
      <c r="W5665" s="1">
        <v>1.462</v>
      </c>
      <c r="X5665" s="1" t="s">
        <v>35</v>
      </c>
      <c r="Y5665" s="1">
        <v>1462000</v>
      </c>
      <c r="Z5665" s="1"/>
      <c r="AA5665" s="1">
        <v>1462000</v>
      </c>
      <c r="AB5665" s="1"/>
      <c r="AC5665" s="1" t="s">
        <v>36</v>
      </c>
      <c r="AD5665" s="1" t="s">
        <v>19110</v>
      </c>
      <c r="AE5665" s="1" t="s">
        <v>32</v>
      </c>
      <c r="AF5665" s="1" t="s">
        <v>33</v>
      </c>
      <c r="AG5665" s="1" t="s">
        <v>270</v>
      </c>
    </row>
    <row r="5666" spans="1:33">
      <c r="A5666" t="s">
        <v>19111</v>
      </c>
      <c r="B5666" t="s">
        <v>19112</v>
      </c>
      <c r="C5666" t="s">
        <v>125</v>
      </c>
      <c r="E5666" t="s">
        <v>18429</v>
      </c>
      <c r="F5666" t="s">
        <v>18430</v>
      </c>
      <c r="G5666">
        <v>4.918</v>
      </c>
      <c r="H5666">
        <v>4.918</v>
      </c>
      <c r="I5666" t="s">
        <v>126</v>
      </c>
      <c r="J5666" t="s">
        <v>127</v>
      </c>
      <c r="K5666" t="s">
        <v>31</v>
      </c>
      <c r="L5666" t="s">
        <v>32</v>
      </c>
      <c r="M5666" t="s">
        <v>33</v>
      </c>
      <c r="P5666" s="1" t="s">
        <v>19113</v>
      </c>
      <c r="Q5666" s="1" t="s">
        <v>18429</v>
      </c>
      <c r="R5666" s="1" t="s">
        <v>18429</v>
      </c>
      <c r="S5666" s="1"/>
      <c r="T5666" s="1" t="s">
        <v>125</v>
      </c>
      <c r="U5666" s="1"/>
      <c r="V5666" s="1">
        <v>4.918</v>
      </c>
      <c r="W5666" s="1">
        <v>4.918</v>
      </c>
      <c r="X5666" s="1" t="s">
        <v>35</v>
      </c>
      <c r="Y5666" s="1">
        <v>4918</v>
      </c>
      <c r="Z5666" s="1"/>
      <c r="AA5666" s="1">
        <v>4918</v>
      </c>
      <c r="AB5666" s="1"/>
      <c r="AC5666" s="1" t="s">
        <v>36</v>
      </c>
      <c r="AD5666" s="1" t="s">
        <v>19114</v>
      </c>
      <c r="AE5666" s="1" t="s">
        <v>32</v>
      </c>
      <c r="AF5666" s="1" t="s">
        <v>33</v>
      </c>
      <c r="AG5666" s="1" t="s">
        <v>127</v>
      </c>
    </row>
    <row r="5667" spans="1:33">
      <c r="A5667" t="s">
        <v>19115</v>
      </c>
      <c r="B5667" t="s">
        <v>19116</v>
      </c>
      <c r="C5667" t="s">
        <v>73</v>
      </c>
      <c r="E5667" t="s">
        <v>18429</v>
      </c>
      <c r="F5667" t="s">
        <v>18430</v>
      </c>
      <c r="G5667">
        <v>175.92</v>
      </c>
      <c r="H5667">
        <v>175.92</v>
      </c>
      <c r="I5667" t="s">
        <v>40</v>
      </c>
      <c r="J5667" t="s">
        <v>41</v>
      </c>
      <c r="K5667" t="s">
        <v>31</v>
      </c>
      <c r="L5667" t="s">
        <v>32</v>
      </c>
      <c r="M5667" t="s">
        <v>33</v>
      </c>
      <c r="P5667" s="1" t="s">
        <v>19117</v>
      </c>
      <c r="Q5667" s="1" t="s">
        <v>18429</v>
      </c>
      <c r="R5667" s="1" t="s">
        <v>18474</v>
      </c>
      <c r="S5667" s="1"/>
      <c r="T5667" s="1" t="s">
        <v>75</v>
      </c>
      <c r="U5667" s="1" t="s">
        <v>76</v>
      </c>
      <c r="V5667" s="1">
        <v>175.92</v>
      </c>
      <c r="W5667" s="1">
        <v>175.92</v>
      </c>
      <c r="X5667" s="1" t="s">
        <v>35</v>
      </c>
      <c r="Y5667" s="1">
        <v>175920</v>
      </c>
      <c r="Z5667" s="1"/>
      <c r="AA5667" s="1">
        <v>175920</v>
      </c>
      <c r="AB5667" s="1"/>
      <c r="AC5667" s="1" t="s">
        <v>36</v>
      </c>
      <c r="AD5667" s="1" t="s">
        <v>19100</v>
      </c>
      <c r="AE5667" s="1" t="s">
        <v>32</v>
      </c>
      <c r="AF5667" s="1" t="s">
        <v>33</v>
      </c>
      <c r="AG5667" s="1" t="s">
        <v>41</v>
      </c>
    </row>
    <row r="5668" spans="1:33">
      <c r="A5668" t="s">
        <v>19118</v>
      </c>
      <c r="B5668" t="s">
        <v>10145</v>
      </c>
      <c r="C5668" t="s">
        <v>268</v>
      </c>
      <c r="E5668" t="s">
        <v>18429</v>
      </c>
      <c r="F5668" t="s">
        <v>18430</v>
      </c>
      <c r="G5668">
        <v>169.0</v>
      </c>
      <c r="H5668">
        <v>169.0</v>
      </c>
      <c r="I5668" t="s">
        <v>269</v>
      </c>
      <c r="J5668" t="s">
        <v>270</v>
      </c>
      <c r="K5668" t="s">
        <v>31</v>
      </c>
      <c r="L5668" t="s">
        <v>32</v>
      </c>
      <c r="M5668" t="s">
        <v>33</v>
      </c>
      <c r="P5668" s="1" t="s">
        <v>19119</v>
      </c>
      <c r="Q5668" s="1" t="s">
        <v>18429</v>
      </c>
      <c r="R5668" s="1" t="s">
        <v>18429</v>
      </c>
      <c r="S5668" s="1"/>
      <c r="T5668" s="1" t="s">
        <v>268</v>
      </c>
      <c r="U5668" s="1"/>
      <c r="V5668" s="1">
        <v>169.0</v>
      </c>
      <c r="W5668" s="1">
        <v>169.0</v>
      </c>
      <c r="X5668" s="1" t="s">
        <v>35</v>
      </c>
      <c r="Y5668" s="1">
        <v>169000</v>
      </c>
      <c r="Z5668" s="1"/>
      <c r="AA5668" s="1">
        <v>169000</v>
      </c>
      <c r="AB5668" s="1"/>
      <c r="AC5668" s="1" t="s">
        <v>36</v>
      </c>
      <c r="AD5668" s="1" t="s">
        <v>19114</v>
      </c>
      <c r="AE5668" s="1" t="s">
        <v>32</v>
      </c>
      <c r="AF5668" s="1" t="s">
        <v>33</v>
      </c>
      <c r="AG5668" s="1" t="s">
        <v>270</v>
      </c>
    </row>
    <row r="5669" spans="1:33">
      <c r="A5669" t="s">
        <v>19120</v>
      </c>
      <c r="B5669" t="s">
        <v>8530</v>
      </c>
      <c r="C5669" t="s">
        <v>314</v>
      </c>
      <c r="E5669" t="s">
        <v>18429</v>
      </c>
      <c r="F5669" t="s">
        <v>18430</v>
      </c>
      <c r="G5669">
        <v>33.74</v>
      </c>
      <c r="H5669">
        <v>33.74</v>
      </c>
      <c r="I5669" t="s">
        <v>179</v>
      </c>
      <c r="J5669" t="s">
        <v>180</v>
      </c>
      <c r="K5669" t="s">
        <v>31</v>
      </c>
      <c r="L5669" t="s">
        <v>32</v>
      </c>
      <c r="M5669" t="s">
        <v>33</v>
      </c>
      <c r="P5669" s="1" t="s">
        <v>19121</v>
      </c>
      <c r="Q5669" s="1" t="s">
        <v>18429</v>
      </c>
      <c r="R5669" s="1" t="s">
        <v>18429</v>
      </c>
      <c r="S5669" s="1"/>
      <c r="T5669" s="1" t="s">
        <v>314</v>
      </c>
      <c r="U5669" s="1"/>
      <c r="V5669" s="1">
        <v>33.74</v>
      </c>
      <c r="W5669" s="1">
        <v>33.74</v>
      </c>
      <c r="X5669" s="1" t="s">
        <v>35</v>
      </c>
      <c r="Y5669" s="1">
        <v>33740</v>
      </c>
      <c r="Z5669" s="1"/>
      <c r="AA5669" s="1">
        <v>33740</v>
      </c>
      <c r="AB5669" s="1"/>
      <c r="AC5669" s="1" t="s">
        <v>36</v>
      </c>
      <c r="AD5669" s="1" t="s">
        <v>19122</v>
      </c>
      <c r="AE5669" s="1" t="s">
        <v>32</v>
      </c>
      <c r="AF5669" s="1" t="s">
        <v>33</v>
      </c>
      <c r="AG5669" s="1" t="s">
        <v>180</v>
      </c>
    </row>
    <row r="5670" spans="1:33">
      <c r="A5670" t="s">
        <v>19123</v>
      </c>
      <c r="C5670" t="s">
        <v>5120</v>
      </c>
      <c r="D5670" t="s">
        <v>154</v>
      </c>
      <c r="E5670" t="s">
        <v>18429</v>
      </c>
      <c r="F5670" t="s">
        <v>18430</v>
      </c>
      <c r="G5670">
        <v>976.0</v>
      </c>
      <c r="H5670">
        <v>976.0</v>
      </c>
      <c r="I5670" t="s">
        <v>2206</v>
      </c>
      <c r="J5670" t="s">
        <v>49</v>
      </c>
      <c r="K5670" t="s">
        <v>31</v>
      </c>
      <c r="L5670" t="s">
        <v>32</v>
      </c>
      <c r="M5670" t="s">
        <v>33</v>
      </c>
      <c r="P5670" s="1" t="s">
        <v>19124</v>
      </c>
      <c r="Q5670" s="1" t="s">
        <v>18429</v>
      </c>
      <c r="R5670" s="1" t="s">
        <v>18429</v>
      </c>
      <c r="S5670" s="1"/>
      <c r="T5670" s="1" t="s">
        <v>5122</v>
      </c>
      <c r="U5670" s="1" t="s">
        <v>5123</v>
      </c>
      <c r="V5670" s="1">
        <v>976.0</v>
      </c>
      <c r="W5670" s="1">
        <v>976.0</v>
      </c>
      <c r="X5670" s="1" t="s">
        <v>35</v>
      </c>
      <c r="Y5670" s="1">
        <v>976000</v>
      </c>
      <c r="Z5670" s="1"/>
      <c r="AA5670" s="1">
        <v>976000</v>
      </c>
      <c r="AB5670" s="1"/>
      <c r="AC5670" s="1" t="s">
        <v>36</v>
      </c>
      <c r="AD5670" s="1" t="s">
        <v>19091</v>
      </c>
      <c r="AE5670" s="1" t="s">
        <v>32</v>
      </c>
      <c r="AF5670" s="1" t="s">
        <v>33</v>
      </c>
      <c r="AG5670" s="1" t="s">
        <v>49</v>
      </c>
    </row>
    <row r="5671" spans="1:33">
      <c r="A5671" t="s">
        <v>19125</v>
      </c>
      <c r="C5671" t="s">
        <v>4120</v>
      </c>
      <c r="E5671" t="s">
        <v>18429</v>
      </c>
      <c r="F5671" t="s">
        <v>18430</v>
      </c>
      <c r="G5671">
        <v>1.987</v>
      </c>
      <c r="H5671">
        <v>1.987</v>
      </c>
      <c r="I5671" t="s">
        <v>269</v>
      </c>
      <c r="J5671" t="s">
        <v>270</v>
      </c>
      <c r="K5671" t="s">
        <v>31</v>
      </c>
      <c r="L5671" t="s">
        <v>32</v>
      </c>
      <c r="M5671" t="s">
        <v>33</v>
      </c>
      <c r="P5671" s="1" t="s">
        <v>19126</v>
      </c>
      <c r="Q5671" s="1" t="s">
        <v>18429</v>
      </c>
      <c r="R5671" s="1" t="s">
        <v>18429</v>
      </c>
      <c r="S5671" s="1"/>
      <c r="T5671" s="1" t="s">
        <v>4120</v>
      </c>
      <c r="U5671" s="1"/>
      <c r="V5671" s="1">
        <v>1.987</v>
      </c>
      <c r="W5671" s="1">
        <v>1.987</v>
      </c>
      <c r="X5671" s="1" t="s">
        <v>35</v>
      </c>
      <c r="Y5671" s="1">
        <v>1987000</v>
      </c>
      <c r="Z5671" s="1"/>
      <c r="AA5671" s="1">
        <v>1987000</v>
      </c>
      <c r="AB5671" s="1"/>
      <c r="AC5671" s="1" t="s">
        <v>36</v>
      </c>
      <c r="AD5671" s="1" t="s">
        <v>19127</v>
      </c>
      <c r="AE5671" s="1" t="s">
        <v>32</v>
      </c>
      <c r="AF5671" s="1" t="s">
        <v>33</v>
      </c>
      <c r="AG5671" s="1" t="s">
        <v>270</v>
      </c>
    </row>
    <row r="5672" spans="1:33">
      <c r="A5672" t="s">
        <v>19128</v>
      </c>
      <c r="C5672" t="s">
        <v>1476</v>
      </c>
      <c r="E5672" t="s">
        <v>18429</v>
      </c>
      <c r="F5672" t="s">
        <v>18430</v>
      </c>
      <c r="G5672">
        <v>950.0</v>
      </c>
      <c r="H5672">
        <v>950.0</v>
      </c>
      <c r="I5672" t="s">
        <v>126</v>
      </c>
      <c r="J5672" t="s">
        <v>127</v>
      </c>
      <c r="K5672" t="s">
        <v>31</v>
      </c>
      <c r="L5672" t="s">
        <v>32</v>
      </c>
      <c r="M5672" t="s">
        <v>33</v>
      </c>
      <c r="P5672" s="1" t="s">
        <v>19129</v>
      </c>
      <c r="Q5672" s="1" t="s">
        <v>18429</v>
      </c>
      <c r="R5672" s="1" t="s">
        <v>18429</v>
      </c>
      <c r="S5672" s="1"/>
      <c r="T5672" s="1" t="s">
        <v>1476</v>
      </c>
      <c r="U5672" s="1"/>
      <c r="V5672" s="1">
        <v>950.0</v>
      </c>
      <c r="W5672" s="1">
        <v>950.0</v>
      </c>
      <c r="X5672" s="1" t="s">
        <v>35</v>
      </c>
      <c r="Y5672" s="1">
        <v>950000</v>
      </c>
      <c r="Z5672" s="1"/>
      <c r="AA5672" s="1">
        <v>950000</v>
      </c>
      <c r="AB5672" s="1"/>
      <c r="AC5672" s="1" t="s">
        <v>36</v>
      </c>
      <c r="AD5672" s="1" t="s">
        <v>19130</v>
      </c>
      <c r="AE5672" s="1" t="s">
        <v>32</v>
      </c>
      <c r="AF5672" s="1" t="s">
        <v>33</v>
      </c>
      <c r="AG5672" s="1" t="s">
        <v>127</v>
      </c>
    </row>
    <row r="5673" spans="1:33">
      <c r="A5673" t="s">
        <v>19131</v>
      </c>
      <c r="C5673" t="s">
        <v>613</v>
      </c>
      <c r="E5673" t="s">
        <v>18429</v>
      </c>
      <c r="F5673" t="s">
        <v>18430</v>
      </c>
      <c r="G5673">
        <v>328.0</v>
      </c>
      <c r="H5673">
        <v>328.0</v>
      </c>
      <c r="I5673" t="s">
        <v>269</v>
      </c>
      <c r="J5673" t="s">
        <v>270</v>
      </c>
      <c r="K5673" t="s">
        <v>31</v>
      </c>
      <c r="L5673" t="s">
        <v>32</v>
      </c>
      <c r="M5673" t="s">
        <v>33</v>
      </c>
      <c r="P5673" s="1" t="s">
        <v>19132</v>
      </c>
      <c r="Q5673" s="1" t="s">
        <v>18429</v>
      </c>
      <c r="R5673" s="1" t="s">
        <v>18429</v>
      </c>
      <c r="S5673" s="1"/>
      <c r="T5673" s="1" t="s">
        <v>613</v>
      </c>
      <c r="U5673" s="1"/>
      <c r="V5673" s="1">
        <v>328.0</v>
      </c>
      <c r="W5673" s="1">
        <v>328.0</v>
      </c>
      <c r="X5673" s="1" t="s">
        <v>35</v>
      </c>
      <c r="Y5673" s="1">
        <v>328000</v>
      </c>
      <c r="Z5673" s="1"/>
      <c r="AA5673" s="1">
        <v>328000</v>
      </c>
      <c r="AB5673" s="1"/>
      <c r="AC5673" s="1" t="s">
        <v>36</v>
      </c>
      <c r="AD5673" s="1" t="s">
        <v>19130</v>
      </c>
      <c r="AE5673" s="1" t="s">
        <v>32</v>
      </c>
      <c r="AF5673" s="1" t="s">
        <v>33</v>
      </c>
      <c r="AG5673" s="1" t="s">
        <v>270</v>
      </c>
    </row>
    <row r="5674" spans="1:33">
      <c r="A5674" t="s">
        <v>19133</v>
      </c>
      <c r="B5674" t="s">
        <v>527</v>
      </c>
      <c r="C5674" t="s">
        <v>528</v>
      </c>
      <c r="E5674" t="s">
        <v>18429</v>
      </c>
      <c r="F5674" t="s">
        <v>18430</v>
      </c>
      <c r="G5674">
        <v>966.0</v>
      </c>
      <c r="H5674">
        <v>966.0</v>
      </c>
      <c r="I5674" t="s">
        <v>529</v>
      </c>
      <c r="J5674" t="s">
        <v>530</v>
      </c>
      <c r="K5674" t="s">
        <v>31</v>
      </c>
      <c r="L5674" t="s">
        <v>32</v>
      </c>
      <c r="M5674" t="s">
        <v>33</v>
      </c>
      <c r="P5674" s="1" t="s">
        <v>19134</v>
      </c>
      <c r="Q5674" s="1" t="s">
        <v>18429</v>
      </c>
      <c r="R5674" s="1" t="s">
        <v>18474</v>
      </c>
      <c r="S5674" s="1"/>
      <c r="T5674" s="1" t="s">
        <v>528</v>
      </c>
      <c r="U5674" s="1"/>
      <c r="V5674" s="1">
        <v>966.0</v>
      </c>
      <c r="W5674" s="1">
        <v>966.0</v>
      </c>
      <c r="X5674" s="1" t="s">
        <v>35</v>
      </c>
      <c r="Y5674" s="1">
        <v>966000</v>
      </c>
      <c r="Z5674" s="1"/>
      <c r="AA5674" s="1">
        <v>966000</v>
      </c>
      <c r="AB5674" s="1"/>
      <c r="AC5674" s="1" t="s">
        <v>36</v>
      </c>
      <c r="AD5674" s="1" t="s">
        <v>19135</v>
      </c>
      <c r="AE5674" s="1" t="s">
        <v>32</v>
      </c>
      <c r="AF5674" s="1" t="s">
        <v>33</v>
      </c>
      <c r="AG5674" s="1" t="s">
        <v>530</v>
      </c>
    </row>
    <row r="5675" spans="1:33">
      <c r="A5675" t="s">
        <v>19136</v>
      </c>
      <c r="C5675" t="s">
        <v>300</v>
      </c>
      <c r="E5675" t="s">
        <v>18429</v>
      </c>
      <c r="F5675" t="s">
        <v>18430</v>
      </c>
      <c r="G5675">
        <v>3.36</v>
      </c>
      <c r="H5675">
        <v>3.36</v>
      </c>
      <c r="I5675" t="s">
        <v>2206</v>
      </c>
      <c r="J5675" t="s">
        <v>49</v>
      </c>
      <c r="K5675" t="s">
        <v>31</v>
      </c>
      <c r="L5675" t="s">
        <v>32</v>
      </c>
      <c r="M5675" t="s">
        <v>33</v>
      </c>
      <c r="P5675" s="1" t="s">
        <v>19137</v>
      </c>
      <c r="Q5675" s="1" t="s">
        <v>18429</v>
      </c>
      <c r="R5675" s="1" t="s">
        <v>18429</v>
      </c>
      <c r="S5675" s="1"/>
      <c r="T5675" s="1" t="s">
        <v>302</v>
      </c>
      <c r="U5675" s="1" t="s">
        <v>303</v>
      </c>
      <c r="V5675" s="1">
        <v>3.36</v>
      </c>
      <c r="W5675" s="1">
        <v>3.36</v>
      </c>
      <c r="X5675" s="1" t="s">
        <v>35</v>
      </c>
      <c r="Y5675" s="1">
        <v>3360000</v>
      </c>
      <c r="Z5675" s="1"/>
      <c r="AA5675" s="1">
        <v>3360000</v>
      </c>
      <c r="AB5675" s="1"/>
      <c r="AC5675" s="1" t="s">
        <v>36</v>
      </c>
      <c r="AD5675" s="1" t="s">
        <v>19138</v>
      </c>
      <c r="AE5675" s="1" t="s">
        <v>32</v>
      </c>
      <c r="AF5675" s="1" t="s">
        <v>33</v>
      </c>
      <c r="AG5675" s="1" t="s">
        <v>49</v>
      </c>
    </row>
    <row r="5676" spans="1:33">
      <c r="A5676" t="s">
        <v>19139</v>
      </c>
      <c r="C5676" t="s">
        <v>810</v>
      </c>
      <c r="D5676" t="s">
        <v>154</v>
      </c>
      <c r="E5676" t="s">
        <v>18429</v>
      </c>
      <c r="F5676" t="s">
        <v>18430</v>
      </c>
      <c r="G5676">
        <v>2.46</v>
      </c>
      <c r="H5676">
        <v>2.46</v>
      </c>
      <c r="I5676" t="s">
        <v>269</v>
      </c>
      <c r="J5676" t="s">
        <v>270</v>
      </c>
      <c r="K5676" t="s">
        <v>31</v>
      </c>
      <c r="L5676" t="s">
        <v>32</v>
      </c>
      <c r="M5676" t="s">
        <v>33</v>
      </c>
      <c r="P5676" s="1" t="s">
        <v>19140</v>
      </c>
      <c r="Q5676" s="1" t="s">
        <v>18429</v>
      </c>
      <c r="R5676" s="1" t="s">
        <v>18429</v>
      </c>
      <c r="S5676" s="1"/>
      <c r="T5676" s="1" t="s">
        <v>810</v>
      </c>
      <c r="U5676" s="1"/>
      <c r="V5676" s="1">
        <v>2.46</v>
      </c>
      <c r="W5676" s="1">
        <v>2.46</v>
      </c>
      <c r="X5676" s="1" t="s">
        <v>35</v>
      </c>
      <c r="Y5676" s="1">
        <v>2460000</v>
      </c>
      <c r="Z5676" s="1"/>
      <c r="AA5676" s="1">
        <v>2460000</v>
      </c>
      <c r="AB5676" s="1"/>
      <c r="AC5676" s="1" t="s">
        <v>36</v>
      </c>
      <c r="AD5676" s="1" t="s">
        <v>19141</v>
      </c>
      <c r="AE5676" s="1" t="s">
        <v>32</v>
      </c>
      <c r="AF5676" s="1" t="s">
        <v>33</v>
      </c>
      <c r="AG5676" s="1" t="s">
        <v>270</v>
      </c>
    </row>
    <row r="5677" spans="1:33">
      <c r="A5677" t="s">
        <v>19142</v>
      </c>
      <c r="B5677" t="s">
        <v>19143</v>
      </c>
      <c r="C5677" t="s">
        <v>314</v>
      </c>
      <c r="E5677" t="s">
        <v>18429</v>
      </c>
      <c r="F5677" t="s">
        <v>18430</v>
      </c>
      <c r="G5677">
        <v>154.168</v>
      </c>
      <c r="H5677">
        <v>154.168</v>
      </c>
      <c r="I5677" t="s">
        <v>179</v>
      </c>
      <c r="J5677" t="s">
        <v>180</v>
      </c>
      <c r="K5677" t="s">
        <v>31</v>
      </c>
      <c r="L5677" t="s">
        <v>32</v>
      </c>
      <c r="M5677" t="s">
        <v>33</v>
      </c>
      <c r="P5677" s="1" t="s">
        <v>19144</v>
      </c>
      <c r="Q5677" s="1" t="s">
        <v>18429</v>
      </c>
      <c r="R5677" s="1" t="s">
        <v>18429</v>
      </c>
      <c r="S5677" s="1"/>
      <c r="T5677" s="1" t="s">
        <v>314</v>
      </c>
      <c r="U5677" s="1"/>
      <c r="V5677" s="1">
        <v>154.168</v>
      </c>
      <c r="W5677" s="1">
        <v>154.168</v>
      </c>
      <c r="X5677" s="1" t="s">
        <v>35</v>
      </c>
      <c r="Y5677" s="1">
        <v>154168</v>
      </c>
      <c r="Z5677" s="1"/>
      <c r="AA5677" s="1">
        <v>154168</v>
      </c>
      <c r="AB5677" s="1"/>
      <c r="AC5677" s="1" t="s">
        <v>36</v>
      </c>
      <c r="AD5677" s="1" t="s">
        <v>19145</v>
      </c>
      <c r="AE5677" s="1" t="s">
        <v>32</v>
      </c>
      <c r="AF5677" s="1" t="s">
        <v>33</v>
      </c>
      <c r="AG5677" s="1" t="s">
        <v>180</v>
      </c>
    </row>
    <row r="5678" spans="1:33">
      <c r="A5678" t="s">
        <v>19146</v>
      </c>
      <c r="B5678" t="s">
        <v>6285</v>
      </c>
      <c r="C5678" t="s">
        <v>68</v>
      </c>
      <c r="E5678" t="s">
        <v>18429</v>
      </c>
      <c r="F5678" t="s">
        <v>18430</v>
      </c>
      <c r="G5678">
        <v>22.49</v>
      </c>
      <c r="H5678">
        <v>22.49</v>
      </c>
      <c r="I5678" t="s">
        <v>59</v>
      </c>
      <c r="J5678" t="s">
        <v>60</v>
      </c>
      <c r="K5678" t="s">
        <v>31</v>
      </c>
      <c r="L5678" t="s">
        <v>32</v>
      </c>
      <c r="M5678" t="s">
        <v>33</v>
      </c>
      <c r="P5678" s="1" t="s">
        <v>19147</v>
      </c>
      <c r="Q5678" s="1" t="s">
        <v>18429</v>
      </c>
      <c r="R5678" s="1" t="s">
        <v>18429</v>
      </c>
      <c r="S5678" s="1"/>
      <c r="T5678" s="1" t="s">
        <v>68</v>
      </c>
      <c r="U5678" s="1"/>
      <c r="V5678" s="1">
        <v>22.49</v>
      </c>
      <c r="W5678" s="1">
        <v>22.49</v>
      </c>
      <c r="X5678" s="1" t="s">
        <v>35</v>
      </c>
      <c r="Y5678" s="1">
        <v>22490</v>
      </c>
      <c r="Z5678" s="1"/>
      <c r="AA5678" s="1">
        <v>22490</v>
      </c>
      <c r="AB5678" s="1"/>
      <c r="AC5678" s="1" t="s">
        <v>36</v>
      </c>
      <c r="AD5678" s="1" t="s">
        <v>19141</v>
      </c>
      <c r="AE5678" s="1" t="s">
        <v>32</v>
      </c>
      <c r="AF5678" s="1" t="s">
        <v>33</v>
      </c>
      <c r="AG5678" s="1" t="s">
        <v>60</v>
      </c>
    </row>
    <row r="5679" spans="1:33">
      <c r="A5679" t="s">
        <v>19148</v>
      </c>
      <c r="C5679" t="s">
        <v>810</v>
      </c>
      <c r="D5679" t="s">
        <v>154</v>
      </c>
      <c r="E5679" t="s">
        <v>18429</v>
      </c>
      <c r="F5679" t="s">
        <v>18430</v>
      </c>
      <c r="G5679">
        <v>3.153</v>
      </c>
      <c r="H5679">
        <v>3.153</v>
      </c>
      <c r="I5679" t="s">
        <v>269</v>
      </c>
      <c r="J5679" t="s">
        <v>270</v>
      </c>
      <c r="K5679" t="s">
        <v>31</v>
      </c>
      <c r="L5679" t="s">
        <v>32</v>
      </c>
      <c r="M5679" t="s">
        <v>33</v>
      </c>
      <c r="P5679" s="1" t="s">
        <v>19149</v>
      </c>
      <c r="Q5679" s="1" t="s">
        <v>18429</v>
      </c>
      <c r="R5679" s="1" t="s">
        <v>18429</v>
      </c>
      <c r="S5679" s="1"/>
      <c r="T5679" s="1" t="s">
        <v>810</v>
      </c>
      <c r="U5679" s="1"/>
      <c r="V5679" s="1">
        <v>3.153</v>
      </c>
      <c r="W5679" s="1">
        <v>3.153</v>
      </c>
      <c r="X5679" s="1" t="s">
        <v>35</v>
      </c>
      <c r="Y5679" s="1">
        <v>3153000</v>
      </c>
      <c r="Z5679" s="1"/>
      <c r="AA5679" s="1">
        <v>3153000</v>
      </c>
      <c r="AB5679" s="1"/>
      <c r="AC5679" s="1" t="s">
        <v>36</v>
      </c>
      <c r="AD5679" s="1" t="s">
        <v>19145</v>
      </c>
      <c r="AE5679" s="1" t="s">
        <v>32</v>
      </c>
      <c r="AF5679" s="1" t="s">
        <v>33</v>
      </c>
      <c r="AG5679" s="1" t="s">
        <v>270</v>
      </c>
    </row>
    <row r="5680" spans="1:33">
      <c r="A5680" t="s">
        <v>19150</v>
      </c>
      <c r="B5680" t="s">
        <v>19151</v>
      </c>
      <c r="C5680" t="s">
        <v>569</v>
      </c>
      <c r="E5680" t="s">
        <v>18429</v>
      </c>
      <c r="F5680" t="s">
        <v>18430</v>
      </c>
      <c r="G5680">
        <v>20.99</v>
      </c>
      <c r="H5680">
        <v>20.99</v>
      </c>
      <c r="I5680" t="s">
        <v>570</v>
      </c>
      <c r="J5680" t="s">
        <v>571</v>
      </c>
      <c r="K5680" t="s">
        <v>31</v>
      </c>
      <c r="L5680" t="s">
        <v>32</v>
      </c>
      <c r="M5680" t="s">
        <v>33</v>
      </c>
      <c r="P5680" s="1" t="s">
        <v>19152</v>
      </c>
      <c r="Q5680" s="1" t="s">
        <v>18429</v>
      </c>
      <c r="R5680" s="1" t="s">
        <v>18429</v>
      </c>
      <c r="S5680" s="1"/>
      <c r="T5680" s="1" t="s">
        <v>569</v>
      </c>
      <c r="U5680" s="1"/>
      <c r="V5680" s="1">
        <v>20.99</v>
      </c>
      <c r="W5680" s="1">
        <v>20.99</v>
      </c>
      <c r="X5680" s="1" t="s">
        <v>35</v>
      </c>
      <c r="Y5680" s="1">
        <v>20990</v>
      </c>
      <c r="Z5680" s="1"/>
      <c r="AA5680" s="1">
        <v>20990</v>
      </c>
      <c r="AB5680" s="1"/>
      <c r="AC5680" s="1" t="s">
        <v>36</v>
      </c>
      <c r="AD5680" s="1" t="s">
        <v>19153</v>
      </c>
      <c r="AE5680" s="1" t="s">
        <v>32</v>
      </c>
      <c r="AF5680" s="1" t="s">
        <v>33</v>
      </c>
      <c r="AG5680" s="1" t="s">
        <v>571</v>
      </c>
    </row>
    <row r="5681" spans="1:33">
      <c r="A5681" t="s">
        <v>19154</v>
      </c>
      <c r="C5681" t="s">
        <v>2804</v>
      </c>
      <c r="E5681" t="s">
        <v>18429</v>
      </c>
      <c r="F5681" t="s">
        <v>18430</v>
      </c>
      <c r="G5681">
        <v>360.8</v>
      </c>
      <c r="H5681">
        <v>360.8</v>
      </c>
      <c r="I5681" t="s">
        <v>269</v>
      </c>
      <c r="J5681" t="s">
        <v>270</v>
      </c>
      <c r="K5681" t="s">
        <v>31</v>
      </c>
      <c r="L5681" t="s">
        <v>32</v>
      </c>
      <c r="M5681" t="s">
        <v>33</v>
      </c>
      <c r="P5681" s="1" t="s">
        <v>19155</v>
      </c>
      <c r="Q5681" s="1" t="s">
        <v>18429</v>
      </c>
      <c r="R5681" s="1" t="s">
        <v>18429</v>
      </c>
      <c r="S5681" s="1"/>
      <c r="T5681" s="1" t="s">
        <v>2804</v>
      </c>
      <c r="U5681" s="1"/>
      <c r="V5681" s="1">
        <v>360.8</v>
      </c>
      <c r="W5681" s="1">
        <v>360.8</v>
      </c>
      <c r="X5681" s="1" t="s">
        <v>35</v>
      </c>
      <c r="Y5681" s="1">
        <v>360800</v>
      </c>
      <c r="Z5681" s="1"/>
      <c r="AA5681" s="1">
        <v>360800</v>
      </c>
      <c r="AB5681" s="1"/>
      <c r="AC5681" s="1" t="s">
        <v>36</v>
      </c>
      <c r="AD5681" s="1" t="s">
        <v>19156</v>
      </c>
      <c r="AE5681" s="1" t="s">
        <v>32</v>
      </c>
      <c r="AF5681" s="1" t="s">
        <v>33</v>
      </c>
      <c r="AG5681" s="1" t="s">
        <v>270</v>
      </c>
    </row>
    <row r="5682" spans="1:33">
      <c r="A5682" t="s">
        <v>19157</v>
      </c>
      <c r="B5682" t="s">
        <v>263</v>
      </c>
      <c r="C5682" t="s">
        <v>264</v>
      </c>
      <c r="E5682" t="s">
        <v>18429</v>
      </c>
      <c r="F5682" t="s">
        <v>18430</v>
      </c>
      <c r="G5682">
        <v>477.5</v>
      </c>
      <c r="H5682">
        <v>477.5</v>
      </c>
      <c r="I5682" t="s">
        <v>40</v>
      </c>
      <c r="J5682" t="s">
        <v>41</v>
      </c>
      <c r="K5682" t="s">
        <v>31</v>
      </c>
      <c r="L5682" t="s">
        <v>32</v>
      </c>
      <c r="M5682" t="s">
        <v>33</v>
      </c>
      <c r="P5682" s="1" t="s">
        <v>19158</v>
      </c>
      <c r="Q5682" s="1" t="s">
        <v>18429</v>
      </c>
      <c r="R5682" s="1" t="s">
        <v>18474</v>
      </c>
      <c r="S5682" s="1"/>
      <c r="T5682" s="1" t="s">
        <v>264</v>
      </c>
      <c r="U5682" s="1"/>
      <c r="V5682" s="1">
        <v>477.5</v>
      </c>
      <c r="W5682" s="1">
        <v>477.5</v>
      </c>
      <c r="X5682" s="1" t="s">
        <v>35</v>
      </c>
      <c r="Y5682" s="1">
        <v>477500</v>
      </c>
      <c r="Z5682" s="1"/>
      <c r="AA5682" s="1">
        <v>477500</v>
      </c>
      <c r="AB5682" s="1"/>
      <c r="AC5682" s="1" t="s">
        <v>36</v>
      </c>
      <c r="AD5682" s="1" t="s">
        <v>19159</v>
      </c>
      <c r="AE5682" s="1" t="s">
        <v>32</v>
      </c>
      <c r="AF5682" s="1" t="s">
        <v>33</v>
      </c>
      <c r="AG5682" s="1" t="s">
        <v>41</v>
      </c>
    </row>
    <row r="5683" spans="1:33">
      <c r="A5683" t="s">
        <v>19160</v>
      </c>
      <c r="C5683" t="s">
        <v>3133</v>
      </c>
      <c r="E5683" t="s">
        <v>18429</v>
      </c>
      <c r="F5683" t="s">
        <v>18430</v>
      </c>
      <c r="G5683">
        <v>2.131</v>
      </c>
      <c r="H5683">
        <v>2.131</v>
      </c>
      <c r="I5683" t="s">
        <v>269</v>
      </c>
      <c r="J5683" t="s">
        <v>270</v>
      </c>
      <c r="K5683" t="s">
        <v>31</v>
      </c>
      <c r="L5683" t="s">
        <v>32</v>
      </c>
      <c r="M5683" t="s">
        <v>33</v>
      </c>
      <c r="P5683" s="1" t="s">
        <v>19161</v>
      </c>
      <c r="Q5683" s="1" t="s">
        <v>18429</v>
      </c>
      <c r="R5683" s="1" t="s">
        <v>18429</v>
      </c>
      <c r="S5683" s="1"/>
      <c r="T5683" s="1" t="s">
        <v>3133</v>
      </c>
      <c r="U5683" s="1"/>
      <c r="V5683" s="1">
        <v>2.131</v>
      </c>
      <c r="W5683" s="1">
        <v>2.131</v>
      </c>
      <c r="X5683" s="1" t="s">
        <v>35</v>
      </c>
      <c r="Y5683" s="1">
        <v>2131250</v>
      </c>
      <c r="Z5683" s="1"/>
      <c r="AA5683" s="1">
        <v>2131250</v>
      </c>
      <c r="AB5683" s="1"/>
      <c r="AC5683" s="1" t="s">
        <v>36</v>
      </c>
      <c r="AD5683" s="1" t="s">
        <v>19159</v>
      </c>
      <c r="AE5683" s="1" t="s">
        <v>32</v>
      </c>
      <c r="AF5683" s="1" t="s">
        <v>33</v>
      </c>
      <c r="AG5683" s="1" t="s">
        <v>270</v>
      </c>
    </row>
    <row r="5684" spans="1:33">
      <c r="A5684" t="s">
        <v>19162</v>
      </c>
      <c r="B5684" t="s">
        <v>19163</v>
      </c>
      <c r="C5684" t="s">
        <v>569</v>
      </c>
      <c r="E5684" t="s">
        <v>18429</v>
      </c>
      <c r="F5684" t="s">
        <v>18430</v>
      </c>
      <c r="G5684">
        <v>46.28</v>
      </c>
      <c r="H5684">
        <v>46.28</v>
      </c>
      <c r="I5684" t="s">
        <v>570</v>
      </c>
      <c r="J5684" t="s">
        <v>571</v>
      </c>
      <c r="K5684" t="s">
        <v>31</v>
      </c>
      <c r="L5684" t="s">
        <v>32</v>
      </c>
      <c r="M5684" t="s">
        <v>33</v>
      </c>
      <c r="P5684" s="1" t="s">
        <v>19164</v>
      </c>
      <c r="Q5684" s="1" t="s">
        <v>18429</v>
      </c>
      <c r="R5684" s="1" t="s">
        <v>18429</v>
      </c>
      <c r="S5684" s="1"/>
      <c r="T5684" s="1" t="s">
        <v>569</v>
      </c>
      <c r="U5684" s="1"/>
      <c r="V5684" s="1">
        <v>46.28</v>
      </c>
      <c r="W5684" s="1">
        <v>46.28</v>
      </c>
      <c r="X5684" s="1" t="s">
        <v>35</v>
      </c>
      <c r="Y5684" s="1">
        <v>46280</v>
      </c>
      <c r="Z5684" s="1"/>
      <c r="AA5684" s="1">
        <v>46280</v>
      </c>
      <c r="AB5684" s="1"/>
      <c r="AC5684" s="1" t="s">
        <v>36</v>
      </c>
      <c r="AD5684" s="1" t="s">
        <v>19165</v>
      </c>
      <c r="AE5684" s="1" t="s">
        <v>32</v>
      </c>
      <c r="AF5684" s="1" t="s">
        <v>33</v>
      </c>
      <c r="AG5684" s="1" t="s">
        <v>571</v>
      </c>
    </row>
    <row r="5685" spans="1:33">
      <c r="A5685" t="s">
        <v>19166</v>
      </c>
      <c r="C5685" t="s">
        <v>1197</v>
      </c>
      <c r="D5685" t="s">
        <v>154</v>
      </c>
      <c r="E5685" t="s">
        <v>18429</v>
      </c>
      <c r="F5685" t="s">
        <v>18430</v>
      </c>
      <c r="G5685">
        <v>759.5</v>
      </c>
      <c r="H5685">
        <v>759.5</v>
      </c>
      <c r="I5685" t="s">
        <v>269</v>
      </c>
      <c r="J5685" t="s">
        <v>270</v>
      </c>
      <c r="K5685" t="s">
        <v>31</v>
      </c>
      <c r="L5685" t="s">
        <v>32</v>
      </c>
      <c r="M5685" t="s">
        <v>33</v>
      </c>
      <c r="P5685" s="1" t="s">
        <v>19167</v>
      </c>
      <c r="Q5685" s="1" t="s">
        <v>18429</v>
      </c>
      <c r="R5685" s="1" t="s">
        <v>18429</v>
      </c>
      <c r="S5685" s="1"/>
      <c r="T5685" s="1" t="s">
        <v>1197</v>
      </c>
      <c r="U5685" s="1"/>
      <c r="V5685" s="1">
        <v>759.5</v>
      </c>
      <c r="W5685" s="1">
        <v>759.5</v>
      </c>
      <c r="X5685" s="1" t="s">
        <v>35</v>
      </c>
      <c r="Y5685" s="1">
        <v>759500</v>
      </c>
      <c r="Z5685" s="1"/>
      <c r="AA5685" s="1">
        <v>759500</v>
      </c>
      <c r="AB5685" s="1"/>
      <c r="AC5685" s="1" t="s">
        <v>36</v>
      </c>
      <c r="AD5685" s="1" t="s">
        <v>19168</v>
      </c>
      <c r="AE5685" s="1" t="s">
        <v>32</v>
      </c>
      <c r="AF5685" s="1" t="s">
        <v>33</v>
      </c>
      <c r="AG5685" s="1" t="s">
        <v>270</v>
      </c>
    </row>
    <row r="5686" spans="1:33">
      <c r="A5686" t="s">
        <v>19169</v>
      </c>
      <c r="B5686" t="s">
        <v>1254</v>
      </c>
      <c r="C5686" t="s">
        <v>314</v>
      </c>
      <c r="E5686" t="s">
        <v>18429</v>
      </c>
      <c r="F5686" t="s">
        <v>18430</v>
      </c>
      <c r="G5686">
        <v>381.68</v>
      </c>
      <c r="H5686">
        <v>381.68</v>
      </c>
      <c r="I5686" t="s">
        <v>179</v>
      </c>
      <c r="J5686" t="s">
        <v>180</v>
      </c>
      <c r="K5686" t="s">
        <v>31</v>
      </c>
      <c r="L5686" t="s">
        <v>32</v>
      </c>
      <c r="M5686" t="s">
        <v>33</v>
      </c>
      <c r="P5686" s="1" t="s">
        <v>19170</v>
      </c>
      <c r="Q5686" s="1" t="s">
        <v>18429</v>
      </c>
      <c r="R5686" s="1" t="s">
        <v>18429</v>
      </c>
      <c r="S5686" s="1"/>
      <c r="T5686" s="1" t="s">
        <v>314</v>
      </c>
      <c r="U5686" s="1"/>
      <c r="V5686" s="1">
        <v>381.68</v>
      </c>
      <c r="W5686" s="1">
        <v>381.68</v>
      </c>
      <c r="X5686" s="1" t="s">
        <v>35</v>
      </c>
      <c r="Y5686" s="1">
        <v>381680</v>
      </c>
      <c r="Z5686" s="1"/>
      <c r="AA5686" s="1">
        <v>381680</v>
      </c>
      <c r="AB5686" s="1"/>
      <c r="AC5686" s="1" t="s">
        <v>36</v>
      </c>
      <c r="AD5686" s="1" t="s">
        <v>19171</v>
      </c>
      <c r="AE5686" s="1" t="s">
        <v>32</v>
      </c>
      <c r="AF5686" s="1" t="s">
        <v>33</v>
      </c>
      <c r="AG5686" s="1" t="s">
        <v>180</v>
      </c>
    </row>
    <row r="5687" spans="1:33">
      <c r="A5687" t="s">
        <v>19172</v>
      </c>
      <c r="B5687" t="s">
        <v>5989</v>
      </c>
      <c r="C5687" t="s">
        <v>125</v>
      </c>
      <c r="E5687" t="s">
        <v>18429</v>
      </c>
      <c r="F5687" t="s">
        <v>18430</v>
      </c>
      <c r="G5687">
        <v>18.49</v>
      </c>
      <c r="H5687">
        <v>18.49</v>
      </c>
      <c r="I5687" t="s">
        <v>126</v>
      </c>
      <c r="J5687" t="s">
        <v>127</v>
      </c>
      <c r="K5687" t="s">
        <v>31</v>
      </c>
      <c r="L5687" t="s">
        <v>32</v>
      </c>
      <c r="M5687" t="s">
        <v>33</v>
      </c>
      <c r="P5687" s="1" t="s">
        <v>19173</v>
      </c>
      <c r="Q5687" s="1" t="s">
        <v>18429</v>
      </c>
      <c r="R5687" s="1" t="s">
        <v>18429</v>
      </c>
      <c r="S5687" s="1"/>
      <c r="T5687" s="1" t="s">
        <v>125</v>
      </c>
      <c r="U5687" s="1"/>
      <c r="V5687" s="1">
        <v>18.49</v>
      </c>
      <c r="W5687" s="1">
        <v>18.49</v>
      </c>
      <c r="X5687" s="1" t="s">
        <v>35</v>
      </c>
      <c r="Y5687" s="1">
        <v>18490</v>
      </c>
      <c r="Z5687" s="1"/>
      <c r="AA5687" s="1">
        <v>18490</v>
      </c>
      <c r="AB5687" s="1"/>
      <c r="AC5687" s="1" t="s">
        <v>36</v>
      </c>
      <c r="AD5687" s="1" t="s">
        <v>19174</v>
      </c>
      <c r="AE5687" s="1" t="s">
        <v>32</v>
      </c>
      <c r="AF5687" s="1" t="s">
        <v>33</v>
      </c>
      <c r="AG5687" s="1" t="s">
        <v>127</v>
      </c>
    </row>
    <row r="5688" spans="1:33">
      <c r="A5688" t="s">
        <v>19175</v>
      </c>
      <c r="B5688" t="s">
        <v>19176</v>
      </c>
      <c r="C5688" t="s">
        <v>73</v>
      </c>
      <c r="E5688" t="s">
        <v>18429</v>
      </c>
      <c r="F5688" t="s">
        <v>18430</v>
      </c>
      <c r="G5688">
        <v>6.519</v>
      </c>
      <c r="H5688">
        <v>6.519</v>
      </c>
      <c r="I5688" t="s">
        <v>40</v>
      </c>
      <c r="J5688" t="s">
        <v>41</v>
      </c>
      <c r="K5688" t="s">
        <v>31</v>
      </c>
      <c r="L5688" t="s">
        <v>32</v>
      </c>
      <c r="M5688" t="s">
        <v>33</v>
      </c>
      <c r="P5688" s="1" t="s">
        <v>19177</v>
      </c>
      <c r="Q5688" s="1" t="s">
        <v>18429</v>
      </c>
      <c r="R5688" s="1" t="s">
        <v>18474</v>
      </c>
      <c r="S5688" s="1"/>
      <c r="T5688" s="1" t="s">
        <v>75</v>
      </c>
      <c r="U5688" s="1" t="s">
        <v>76</v>
      </c>
      <c r="V5688" s="1">
        <v>6.519</v>
      </c>
      <c r="W5688" s="1">
        <v>6.519</v>
      </c>
      <c r="X5688" s="1" t="s">
        <v>35</v>
      </c>
      <c r="Y5688" s="1">
        <v>6519</v>
      </c>
      <c r="Z5688" s="1"/>
      <c r="AA5688" s="1">
        <v>6519</v>
      </c>
      <c r="AB5688" s="1"/>
      <c r="AC5688" s="1" t="s">
        <v>36</v>
      </c>
      <c r="AD5688" s="1" t="s">
        <v>19178</v>
      </c>
      <c r="AE5688" s="1" t="s">
        <v>32</v>
      </c>
      <c r="AF5688" s="1" t="s">
        <v>33</v>
      </c>
      <c r="AG5688" s="1" t="s">
        <v>41</v>
      </c>
    </row>
    <row r="5689" spans="1:33">
      <c r="A5689" t="s">
        <v>19179</v>
      </c>
      <c r="B5689" t="s">
        <v>19180</v>
      </c>
      <c r="C5689" t="s">
        <v>2921</v>
      </c>
      <c r="E5689" t="s">
        <v>18429</v>
      </c>
      <c r="F5689" t="s">
        <v>18430</v>
      </c>
      <c r="G5689">
        <v>630.0</v>
      </c>
      <c r="H5689">
        <v>630.0</v>
      </c>
      <c r="I5689" t="s">
        <v>40</v>
      </c>
      <c r="J5689" t="s">
        <v>41</v>
      </c>
      <c r="K5689" t="s">
        <v>31</v>
      </c>
      <c r="L5689" t="s">
        <v>32</v>
      </c>
      <c r="M5689" t="s">
        <v>33</v>
      </c>
      <c r="P5689" s="1" t="s">
        <v>19181</v>
      </c>
      <c r="Q5689" s="1" t="s">
        <v>18429</v>
      </c>
      <c r="R5689" s="1" t="s">
        <v>18474</v>
      </c>
      <c r="S5689" s="1"/>
      <c r="T5689" s="1" t="s">
        <v>2921</v>
      </c>
      <c r="U5689" s="1"/>
      <c r="V5689" s="1">
        <v>630.0</v>
      </c>
      <c r="W5689" s="1">
        <v>630.0</v>
      </c>
      <c r="X5689" s="1" t="s">
        <v>35</v>
      </c>
      <c r="Y5689" s="1">
        <v>630000</v>
      </c>
      <c r="Z5689" s="1"/>
      <c r="AA5689" s="1">
        <v>630000</v>
      </c>
      <c r="AB5689" s="1"/>
      <c r="AC5689" s="1" t="s">
        <v>36</v>
      </c>
      <c r="AD5689" s="1" t="s">
        <v>19182</v>
      </c>
      <c r="AE5689" s="1" t="s">
        <v>32</v>
      </c>
      <c r="AF5689" s="1" t="s">
        <v>33</v>
      </c>
      <c r="AG5689" s="1" t="s">
        <v>41</v>
      </c>
    </row>
    <row r="5690" spans="1:33">
      <c r="A5690" t="s">
        <v>19183</v>
      </c>
      <c r="B5690" t="s">
        <v>6525</v>
      </c>
      <c r="C5690" t="s">
        <v>125</v>
      </c>
      <c r="E5690" t="s">
        <v>18429</v>
      </c>
      <c r="F5690" t="s">
        <v>18430</v>
      </c>
      <c r="G5690">
        <v>16.99</v>
      </c>
      <c r="H5690">
        <v>16.99</v>
      </c>
      <c r="I5690" t="s">
        <v>126</v>
      </c>
      <c r="J5690" t="s">
        <v>127</v>
      </c>
      <c r="K5690" t="s">
        <v>31</v>
      </c>
      <c r="L5690" t="s">
        <v>32</v>
      </c>
      <c r="M5690" t="s">
        <v>33</v>
      </c>
      <c r="P5690" s="1" t="s">
        <v>19184</v>
      </c>
      <c r="Q5690" s="1" t="s">
        <v>18429</v>
      </c>
      <c r="R5690" s="1" t="s">
        <v>18429</v>
      </c>
      <c r="S5690" s="1"/>
      <c r="T5690" s="1" t="s">
        <v>125</v>
      </c>
      <c r="U5690" s="1"/>
      <c r="V5690" s="1">
        <v>16.99</v>
      </c>
      <c r="W5690" s="1">
        <v>16.99</v>
      </c>
      <c r="X5690" s="1" t="s">
        <v>35</v>
      </c>
      <c r="Y5690" s="1">
        <v>16990</v>
      </c>
      <c r="Z5690" s="1"/>
      <c r="AA5690" s="1">
        <v>16990</v>
      </c>
      <c r="AB5690" s="1"/>
      <c r="AC5690" s="1" t="s">
        <v>36</v>
      </c>
      <c r="AD5690" s="1" t="s">
        <v>19185</v>
      </c>
      <c r="AE5690" s="1" t="s">
        <v>32</v>
      </c>
      <c r="AF5690" s="1" t="s">
        <v>33</v>
      </c>
      <c r="AG5690" s="1" t="s">
        <v>127</v>
      </c>
    </row>
    <row r="5691" spans="1:33">
      <c r="A5691" t="s">
        <v>19186</v>
      </c>
      <c r="B5691" t="s">
        <v>1400</v>
      </c>
      <c r="C5691" t="s">
        <v>125</v>
      </c>
      <c r="E5691" t="s">
        <v>18429</v>
      </c>
      <c r="F5691" t="s">
        <v>18430</v>
      </c>
      <c r="G5691">
        <v>14.397</v>
      </c>
      <c r="H5691">
        <v>14.397</v>
      </c>
      <c r="I5691" t="s">
        <v>126</v>
      </c>
      <c r="J5691" t="s">
        <v>127</v>
      </c>
      <c r="K5691" t="s">
        <v>31</v>
      </c>
      <c r="L5691" t="s">
        <v>32</v>
      </c>
      <c r="M5691" t="s">
        <v>33</v>
      </c>
      <c r="P5691" s="1" t="s">
        <v>19187</v>
      </c>
      <c r="Q5691" s="1" t="s">
        <v>18429</v>
      </c>
      <c r="R5691" s="1" t="s">
        <v>18429</v>
      </c>
      <c r="S5691" s="1"/>
      <c r="T5691" s="1" t="s">
        <v>125</v>
      </c>
      <c r="U5691" s="1"/>
      <c r="V5691" s="1">
        <v>14.397</v>
      </c>
      <c r="W5691" s="1">
        <v>14.397</v>
      </c>
      <c r="X5691" s="1" t="s">
        <v>35</v>
      </c>
      <c r="Y5691" s="1">
        <v>14397</v>
      </c>
      <c r="Z5691" s="1"/>
      <c r="AA5691" s="1">
        <v>14397</v>
      </c>
      <c r="AB5691" s="1"/>
      <c r="AC5691" s="1" t="s">
        <v>36</v>
      </c>
      <c r="AD5691" s="1" t="s">
        <v>19188</v>
      </c>
      <c r="AE5691" s="1" t="s">
        <v>32</v>
      </c>
      <c r="AF5691" s="1" t="s">
        <v>33</v>
      </c>
      <c r="AG5691" s="1" t="s">
        <v>127</v>
      </c>
    </row>
    <row r="5692" spans="1:33">
      <c r="A5692" t="s">
        <v>19189</v>
      </c>
      <c r="C5692" t="s">
        <v>4850</v>
      </c>
      <c r="E5692" t="s">
        <v>18429</v>
      </c>
      <c r="F5692" t="s">
        <v>18430</v>
      </c>
      <c r="G5692">
        <v>640.0</v>
      </c>
      <c r="H5692">
        <v>640.0</v>
      </c>
      <c r="I5692" t="s">
        <v>126</v>
      </c>
      <c r="J5692" t="s">
        <v>127</v>
      </c>
      <c r="K5692" t="s">
        <v>31</v>
      </c>
      <c r="L5692" t="s">
        <v>32</v>
      </c>
      <c r="M5692" t="s">
        <v>33</v>
      </c>
      <c r="P5692" s="1" t="s">
        <v>19190</v>
      </c>
      <c r="Q5692" s="1" t="s">
        <v>18429</v>
      </c>
      <c r="R5692" s="1" t="s">
        <v>18429</v>
      </c>
      <c r="S5692" s="1"/>
      <c r="T5692" s="1" t="s">
        <v>4850</v>
      </c>
      <c r="U5692" s="1"/>
      <c r="V5692" s="1">
        <v>640.0</v>
      </c>
      <c r="W5692" s="1">
        <v>640.0</v>
      </c>
      <c r="X5692" s="1" t="s">
        <v>35</v>
      </c>
      <c r="Y5692" s="1">
        <v>640000</v>
      </c>
      <c r="Z5692" s="1"/>
      <c r="AA5692" s="1">
        <v>640000</v>
      </c>
      <c r="AB5692" s="1"/>
      <c r="AC5692" s="1" t="s">
        <v>36</v>
      </c>
      <c r="AD5692" s="1" t="s">
        <v>19191</v>
      </c>
      <c r="AE5692" s="1" t="s">
        <v>32</v>
      </c>
      <c r="AF5692" s="1" t="s">
        <v>33</v>
      </c>
      <c r="AG5692" s="1" t="s">
        <v>127</v>
      </c>
    </row>
    <row r="5693" spans="1:33">
      <c r="A5693" t="s">
        <v>19192</v>
      </c>
      <c r="C5693" t="s">
        <v>405</v>
      </c>
      <c r="E5693" t="s">
        <v>18429</v>
      </c>
      <c r="F5693" t="s">
        <v>18430</v>
      </c>
      <c r="G5693">
        <v>2.859</v>
      </c>
      <c r="H5693">
        <v>2.859</v>
      </c>
      <c r="I5693" t="s">
        <v>269</v>
      </c>
      <c r="J5693" t="s">
        <v>270</v>
      </c>
      <c r="K5693" t="s">
        <v>31</v>
      </c>
      <c r="L5693" t="s">
        <v>32</v>
      </c>
      <c r="M5693" t="s">
        <v>33</v>
      </c>
      <c r="P5693" s="1" t="s">
        <v>19193</v>
      </c>
      <c r="Q5693" s="1" t="s">
        <v>18429</v>
      </c>
      <c r="R5693" s="1" t="s">
        <v>18429</v>
      </c>
      <c r="S5693" s="1"/>
      <c r="T5693" s="1" t="s">
        <v>405</v>
      </c>
      <c r="U5693" s="1"/>
      <c r="V5693" s="1">
        <v>2.859</v>
      </c>
      <c r="W5693" s="1">
        <v>2.859</v>
      </c>
      <c r="X5693" s="1" t="s">
        <v>35</v>
      </c>
      <c r="Y5693" s="1">
        <v>2859800</v>
      </c>
      <c r="Z5693" s="1"/>
      <c r="AA5693" s="1">
        <v>2859800</v>
      </c>
      <c r="AB5693" s="1"/>
      <c r="AC5693" s="1" t="s">
        <v>36</v>
      </c>
      <c r="AD5693" s="1" t="s">
        <v>19194</v>
      </c>
      <c r="AE5693" s="1" t="s">
        <v>32</v>
      </c>
      <c r="AF5693" s="1" t="s">
        <v>33</v>
      </c>
      <c r="AG5693" s="1" t="s">
        <v>270</v>
      </c>
    </row>
    <row r="5694" spans="1:33">
      <c r="A5694" t="s">
        <v>19195</v>
      </c>
      <c r="C5694" t="s">
        <v>3979</v>
      </c>
      <c r="E5694" t="s">
        <v>18429</v>
      </c>
      <c r="F5694" t="s">
        <v>18430</v>
      </c>
      <c r="G5694">
        <v>635.0</v>
      </c>
      <c r="H5694">
        <v>635.0</v>
      </c>
      <c r="I5694" t="s">
        <v>173</v>
      </c>
      <c r="J5694" t="s">
        <v>174</v>
      </c>
      <c r="K5694" t="s">
        <v>31</v>
      </c>
      <c r="L5694" t="s">
        <v>32</v>
      </c>
      <c r="M5694" t="s">
        <v>33</v>
      </c>
      <c r="P5694" s="1" t="s">
        <v>19196</v>
      </c>
      <c r="Q5694" s="1" t="s">
        <v>18429</v>
      </c>
      <c r="R5694" s="1" t="s">
        <v>18429</v>
      </c>
      <c r="S5694" s="1"/>
      <c r="T5694" s="1" t="s">
        <v>3979</v>
      </c>
      <c r="U5694" s="1"/>
      <c r="V5694" s="1">
        <v>635.0</v>
      </c>
      <c r="W5694" s="1">
        <v>635.0</v>
      </c>
      <c r="X5694" s="1" t="s">
        <v>35</v>
      </c>
      <c r="Y5694" s="1">
        <v>635000</v>
      </c>
      <c r="Z5694" s="1"/>
      <c r="AA5694" s="1">
        <v>635000</v>
      </c>
      <c r="AB5694" s="1"/>
      <c r="AC5694" s="1" t="s">
        <v>36</v>
      </c>
      <c r="AD5694" s="1" t="s">
        <v>19197</v>
      </c>
      <c r="AE5694" s="1" t="s">
        <v>32</v>
      </c>
      <c r="AF5694" s="1" t="s">
        <v>33</v>
      </c>
      <c r="AG5694" s="1" t="s">
        <v>174</v>
      </c>
    </row>
    <row r="5695" spans="1:33">
      <c r="A5695" t="s">
        <v>19198</v>
      </c>
      <c r="C5695" t="s">
        <v>19199</v>
      </c>
      <c r="D5695" t="s">
        <v>154</v>
      </c>
      <c r="E5695" t="s">
        <v>18429</v>
      </c>
      <c r="F5695" t="s">
        <v>18430</v>
      </c>
      <c r="G5695">
        <v>462.9</v>
      </c>
      <c r="H5695">
        <v>462.9</v>
      </c>
      <c r="I5695" t="s">
        <v>269</v>
      </c>
      <c r="J5695" t="s">
        <v>270</v>
      </c>
      <c r="K5695" t="s">
        <v>31</v>
      </c>
      <c r="L5695" t="s">
        <v>32</v>
      </c>
      <c r="M5695" t="s">
        <v>33</v>
      </c>
      <c r="P5695" s="1" t="s">
        <v>19200</v>
      </c>
      <c r="Q5695" s="1" t="s">
        <v>18429</v>
      </c>
      <c r="R5695" s="1" t="s">
        <v>18429</v>
      </c>
      <c r="S5695" s="1"/>
      <c r="T5695" s="1" t="s">
        <v>19199</v>
      </c>
      <c r="U5695" s="1"/>
      <c r="V5695" s="1">
        <v>462.9</v>
      </c>
      <c r="W5695" s="1">
        <v>462.9</v>
      </c>
      <c r="X5695" s="1" t="s">
        <v>35</v>
      </c>
      <c r="Y5695" s="1">
        <v>462900</v>
      </c>
      <c r="Z5695" s="1"/>
      <c r="AA5695" s="1">
        <v>462900</v>
      </c>
      <c r="AB5695" s="1"/>
      <c r="AC5695" s="1" t="s">
        <v>36</v>
      </c>
      <c r="AD5695" s="1" t="s">
        <v>19171</v>
      </c>
      <c r="AE5695" s="1" t="s">
        <v>32</v>
      </c>
      <c r="AF5695" s="1" t="s">
        <v>33</v>
      </c>
      <c r="AG5695" s="1" t="s">
        <v>270</v>
      </c>
    </row>
    <row r="5696" spans="1:33">
      <c r="A5696" t="s">
        <v>19201</v>
      </c>
      <c r="B5696" t="s">
        <v>7928</v>
      </c>
      <c r="C5696" t="s">
        <v>7929</v>
      </c>
      <c r="E5696" t="s">
        <v>18429</v>
      </c>
      <c r="F5696" t="s">
        <v>18430</v>
      </c>
      <c r="G5696">
        <v>374.0</v>
      </c>
      <c r="H5696">
        <v>374.0</v>
      </c>
      <c r="I5696" t="s">
        <v>40</v>
      </c>
      <c r="J5696" t="s">
        <v>41</v>
      </c>
      <c r="K5696" t="s">
        <v>31</v>
      </c>
      <c r="L5696" t="s">
        <v>32</v>
      </c>
      <c r="M5696" t="s">
        <v>33</v>
      </c>
      <c r="P5696" s="1" t="s">
        <v>19202</v>
      </c>
      <c r="Q5696" s="1" t="s">
        <v>18429</v>
      </c>
      <c r="R5696" s="1" t="s">
        <v>18474</v>
      </c>
      <c r="S5696" s="1"/>
      <c r="T5696" s="1" t="s">
        <v>7929</v>
      </c>
      <c r="U5696" s="1"/>
      <c r="V5696" s="1">
        <v>374.0</v>
      </c>
      <c r="W5696" s="1">
        <v>374.0</v>
      </c>
      <c r="X5696" s="1" t="s">
        <v>35</v>
      </c>
      <c r="Y5696" s="1">
        <v>374000</v>
      </c>
      <c r="Z5696" s="1"/>
      <c r="AA5696" s="1">
        <v>374000</v>
      </c>
      <c r="AB5696" s="1"/>
      <c r="AC5696" s="1" t="s">
        <v>36</v>
      </c>
      <c r="AD5696" s="1" t="s">
        <v>19203</v>
      </c>
      <c r="AE5696" s="1" t="s">
        <v>32</v>
      </c>
      <c r="AF5696" s="1" t="s">
        <v>33</v>
      </c>
      <c r="AG5696" s="1" t="s">
        <v>41</v>
      </c>
    </row>
    <row r="5697" spans="1:33">
      <c r="A5697" t="s">
        <v>19204</v>
      </c>
      <c r="B5697" t="s">
        <v>19205</v>
      </c>
      <c r="C5697" t="s">
        <v>73</v>
      </c>
      <c r="E5697" t="s">
        <v>18429</v>
      </c>
      <c r="F5697" t="s">
        <v>18430</v>
      </c>
      <c r="G5697">
        <v>41.98</v>
      </c>
      <c r="H5697">
        <v>41.98</v>
      </c>
      <c r="I5697" t="s">
        <v>40</v>
      </c>
      <c r="J5697" t="s">
        <v>41</v>
      </c>
      <c r="K5697" t="s">
        <v>31</v>
      </c>
      <c r="L5697" t="s">
        <v>32</v>
      </c>
      <c r="M5697" t="s">
        <v>33</v>
      </c>
      <c r="P5697" s="1" t="s">
        <v>19206</v>
      </c>
      <c r="Q5697" s="1" t="s">
        <v>18429</v>
      </c>
      <c r="R5697" s="1" t="s">
        <v>18474</v>
      </c>
      <c r="S5697" s="1"/>
      <c r="T5697" s="1" t="s">
        <v>75</v>
      </c>
      <c r="U5697" s="1" t="s">
        <v>76</v>
      </c>
      <c r="V5697" s="1">
        <v>41.98</v>
      </c>
      <c r="W5697" s="1">
        <v>41.98</v>
      </c>
      <c r="X5697" s="1" t="s">
        <v>35</v>
      </c>
      <c r="Y5697" s="1">
        <v>41980</v>
      </c>
      <c r="Z5697" s="1"/>
      <c r="AA5697" s="1">
        <v>41980</v>
      </c>
      <c r="AB5697" s="1"/>
      <c r="AC5697" s="1" t="s">
        <v>36</v>
      </c>
      <c r="AD5697" s="1" t="s">
        <v>19207</v>
      </c>
      <c r="AE5697" s="1" t="s">
        <v>32</v>
      </c>
      <c r="AF5697" s="1" t="s">
        <v>33</v>
      </c>
      <c r="AG5697" s="1" t="s">
        <v>41</v>
      </c>
    </row>
    <row r="5698" spans="1:33">
      <c r="A5698" t="s">
        <v>19208</v>
      </c>
      <c r="C5698" t="s">
        <v>10524</v>
      </c>
      <c r="E5698" t="s">
        <v>18429</v>
      </c>
      <c r="F5698" t="s">
        <v>18430</v>
      </c>
      <c r="G5698">
        <v>320.0</v>
      </c>
      <c r="H5698">
        <v>320.0</v>
      </c>
      <c r="I5698" t="s">
        <v>173</v>
      </c>
      <c r="J5698" t="s">
        <v>174</v>
      </c>
      <c r="K5698" t="s">
        <v>31</v>
      </c>
      <c r="L5698" t="s">
        <v>32</v>
      </c>
      <c r="M5698" t="s">
        <v>33</v>
      </c>
      <c r="P5698" s="1" t="s">
        <v>19209</v>
      </c>
      <c r="Q5698" s="1" t="s">
        <v>18429</v>
      </c>
      <c r="R5698" s="1" t="s">
        <v>18429</v>
      </c>
      <c r="S5698" s="1"/>
      <c r="T5698" s="1" t="s">
        <v>10524</v>
      </c>
      <c r="U5698" s="1"/>
      <c r="V5698" s="1">
        <v>320.0</v>
      </c>
      <c r="W5698" s="1">
        <v>320.0</v>
      </c>
      <c r="X5698" s="1" t="s">
        <v>35</v>
      </c>
      <c r="Y5698" s="1">
        <v>320000</v>
      </c>
      <c r="Z5698" s="1"/>
      <c r="AA5698" s="1">
        <v>320000</v>
      </c>
      <c r="AB5698" s="1"/>
      <c r="AC5698" s="1" t="s">
        <v>36</v>
      </c>
      <c r="AD5698" s="1" t="s">
        <v>19210</v>
      </c>
      <c r="AE5698" s="1" t="s">
        <v>32</v>
      </c>
      <c r="AF5698" s="1" t="s">
        <v>33</v>
      </c>
      <c r="AG5698" s="1" t="s">
        <v>174</v>
      </c>
    </row>
    <row r="5699" spans="1:33">
      <c r="A5699" t="s">
        <v>19211</v>
      </c>
      <c r="C5699" t="s">
        <v>19212</v>
      </c>
      <c r="E5699" t="s">
        <v>18429</v>
      </c>
      <c r="F5699" t="s">
        <v>18430</v>
      </c>
      <c r="G5699">
        <v>328.0</v>
      </c>
      <c r="H5699">
        <v>328.0</v>
      </c>
      <c r="I5699" t="s">
        <v>269</v>
      </c>
      <c r="J5699" t="s">
        <v>270</v>
      </c>
      <c r="K5699" t="s">
        <v>31</v>
      </c>
      <c r="L5699" t="s">
        <v>32</v>
      </c>
      <c r="M5699" t="s">
        <v>33</v>
      </c>
      <c r="P5699" s="1" t="s">
        <v>19213</v>
      </c>
      <c r="Q5699" s="1" t="s">
        <v>18429</v>
      </c>
      <c r="R5699" s="1" t="s">
        <v>18429</v>
      </c>
      <c r="S5699" s="1"/>
      <c r="T5699" s="1" t="s">
        <v>19212</v>
      </c>
      <c r="U5699" s="1"/>
      <c r="V5699" s="1">
        <v>328.0</v>
      </c>
      <c r="W5699" s="1">
        <v>328.0</v>
      </c>
      <c r="X5699" s="1" t="s">
        <v>35</v>
      </c>
      <c r="Y5699" s="1">
        <v>328000</v>
      </c>
      <c r="Z5699" s="1"/>
      <c r="AA5699" s="1">
        <v>328000</v>
      </c>
      <c r="AB5699" s="1"/>
      <c r="AC5699" s="1" t="s">
        <v>36</v>
      </c>
      <c r="AD5699" s="1" t="s">
        <v>19214</v>
      </c>
      <c r="AE5699" s="1" t="s">
        <v>32</v>
      </c>
      <c r="AF5699" s="1" t="s">
        <v>33</v>
      </c>
      <c r="AG5699" s="1" t="s">
        <v>270</v>
      </c>
    </row>
    <row r="5700" spans="1:33">
      <c r="A5700" t="s">
        <v>19215</v>
      </c>
      <c r="B5700" t="s">
        <v>19216</v>
      </c>
      <c r="C5700" t="s">
        <v>172</v>
      </c>
      <c r="E5700" t="s">
        <v>18429</v>
      </c>
      <c r="F5700" t="s">
        <v>18430</v>
      </c>
      <c r="G5700">
        <v>67.82</v>
      </c>
      <c r="H5700">
        <v>67.82</v>
      </c>
      <c r="I5700" t="s">
        <v>173</v>
      </c>
      <c r="J5700" t="s">
        <v>174</v>
      </c>
      <c r="K5700" t="s">
        <v>31</v>
      </c>
      <c r="L5700" t="s">
        <v>32</v>
      </c>
      <c r="M5700" t="s">
        <v>33</v>
      </c>
      <c r="P5700" s="1" t="s">
        <v>19217</v>
      </c>
      <c r="Q5700" s="1" t="s">
        <v>18429</v>
      </c>
      <c r="R5700" s="1" t="s">
        <v>18429</v>
      </c>
      <c r="S5700" s="1"/>
      <c r="T5700" s="1" t="s">
        <v>172</v>
      </c>
      <c r="U5700" s="1"/>
      <c r="V5700" s="1">
        <v>67.82</v>
      </c>
      <c r="W5700" s="1">
        <v>67.82</v>
      </c>
      <c r="X5700" s="1" t="s">
        <v>35</v>
      </c>
      <c r="Y5700" s="1">
        <v>67820</v>
      </c>
      <c r="Z5700" s="1"/>
      <c r="AA5700" s="1">
        <v>67820</v>
      </c>
      <c r="AB5700" s="1"/>
      <c r="AC5700" s="1" t="s">
        <v>36</v>
      </c>
      <c r="AD5700" s="1" t="s">
        <v>19203</v>
      </c>
      <c r="AE5700" s="1" t="s">
        <v>32</v>
      </c>
      <c r="AF5700" s="1" t="s">
        <v>33</v>
      </c>
      <c r="AG5700" s="1" t="s">
        <v>174</v>
      </c>
    </row>
    <row r="5701" spans="1:33">
      <c r="A5701" t="s">
        <v>19218</v>
      </c>
      <c r="B5701" t="s">
        <v>19219</v>
      </c>
      <c r="C5701" t="s">
        <v>131</v>
      </c>
      <c r="E5701" t="s">
        <v>18429</v>
      </c>
      <c r="F5701" t="s">
        <v>18430</v>
      </c>
      <c r="G5701">
        <v>210.228</v>
      </c>
      <c r="H5701">
        <v>210.228</v>
      </c>
      <c r="I5701" t="s">
        <v>94</v>
      </c>
      <c r="J5701" t="s">
        <v>95</v>
      </c>
      <c r="K5701" t="s">
        <v>31</v>
      </c>
      <c r="L5701" t="s">
        <v>32</v>
      </c>
      <c r="M5701" t="s">
        <v>33</v>
      </c>
      <c r="P5701" s="1" t="s">
        <v>19220</v>
      </c>
      <c r="Q5701" s="1" t="s">
        <v>18429</v>
      </c>
      <c r="R5701" s="1" t="s">
        <v>18429</v>
      </c>
      <c r="S5701" s="1"/>
      <c r="T5701" s="1" t="s">
        <v>131</v>
      </c>
      <c r="U5701" s="1"/>
      <c r="V5701" s="1">
        <v>210.228</v>
      </c>
      <c r="W5701" s="1">
        <v>210.228</v>
      </c>
      <c r="X5701" s="1" t="s">
        <v>35</v>
      </c>
      <c r="Y5701" s="1">
        <v>210228</v>
      </c>
      <c r="Z5701" s="1"/>
      <c r="AA5701" s="1">
        <v>210228</v>
      </c>
      <c r="AB5701" s="1"/>
      <c r="AC5701" s="1" t="s">
        <v>36</v>
      </c>
      <c r="AD5701" s="1" t="s">
        <v>19221</v>
      </c>
      <c r="AE5701" s="1" t="s">
        <v>32</v>
      </c>
      <c r="AF5701" s="1" t="s">
        <v>33</v>
      </c>
      <c r="AG5701" s="1" t="s">
        <v>95</v>
      </c>
    </row>
    <row r="5702" spans="1:33">
      <c r="A5702" t="s">
        <v>19222</v>
      </c>
      <c r="C5702" t="s">
        <v>2240</v>
      </c>
      <c r="E5702" t="s">
        <v>18429</v>
      </c>
      <c r="F5702" t="s">
        <v>18430</v>
      </c>
      <c r="G5702">
        <v>392.2</v>
      </c>
      <c r="H5702">
        <v>392.2</v>
      </c>
      <c r="I5702" t="s">
        <v>269</v>
      </c>
      <c r="J5702" t="s">
        <v>270</v>
      </c>
      <c r="K5702" t="s">
        <v>31</v>
      </c>
      <c r="L5702" t="s">
        <v>32</v>
      </c>
      <c r="M5702" t="s">
        <v>33</v>
      </c>
      <c r="P5702" s="1" t="s">
        <v>19223</v>
      </c>
      <c r="Q5702" s="1" t="s">
        <v>18429</v>
      </c>
      <c r="R5702" s="1" t="s">
        <v>18429</v>
      </c>
      <c r="S5702" s="1"/>
      <c r="T5702" s="1" t="s">
        <v>2240</v>
      </c>
      <c r="U5702" s="1"/>
      <c r="V5702" s="1">
        <v>392.2</v>
      </c>
      <c r="W5702" s="1">
        <v>392.2</v>
      </c>
      <c r="X5702" s="1" t="s">
        <v>35</v>
      </c>
      <c r="Y5702" s="1">
        <v>392200</v>
      </c>
      <c r="Z5702" s="1"/>
      <c r="AA5702" s="1">
        <v>392200</v>
      </c>
      <c r="AB5702" s="1"/>
      <c r="AC5702" s="1" t="s">
        <v>36</v>
      </c>
      <c r="AD5702" s="1" t="s">
        <v>19203</v>
      </c>
      <c r="AE5702" s="1" t="s">
        <v>32</v>
      </c>
      <c r="AF5702" s="1" t="s">
        <v>33</v>
      </c>
      <c r="AG5702" s="1" t="s">
        <v>270</v>
      </c>
    </row>
    <row r="5703" spans="1:33">
      <c r="A5703" t="s">
        <v>19224</v>
      </c>
      <c r="C5703" t="s">
        <v>1904</v>
      </c>
      <c r="E5703" t="s">
        <v>18429</v>
      </c>
      <c r="F5703" t="s">
        <v>18430</v>
      </c>
      <c r="G5703">
        <v>328.0</v>
      </c>
      <c r="H5703">
        <v>328.0</v>
      </c>
      <c r="I5703" t="s">
        <v>269</v>
      </c>
      <c r="J5703" t="s">
        <v>270</v>
      </c>
      <c r="K5703" t="s">
        <v>31</v>
      </c>
      <c r="L5703" t="s">
        <v>32</v>
      </c>
      <c r="M5703" t="s">
        <v>33</v>
      </c>
      <c r="P5703" s="1" t="s">
        <v>19225</v>
      </c>
      <c r="Q5703" s="1" t="s">
        <v>18429</v>
      </c>
      <c r="R5703" s="1" t="s">
        <v>18429</v>
      </c>
      <c r="S5703" s="1"/>
      <c r="T5703" s="1" t="s">
        <v>1904</v>
      </c>
      <c r="U5703" s="1"/>
      <c r="V5703" s="1">
        <v>328.0</v>
      </c>
      <c r="W5703" s="1">
        <v>328.0</v>
      </c>
      <c r="X5703" s="1" t="s">
        <v>35</v>
      </c>
      <c r="Y5703" s="1">
        <v>328000</v>
      </c>
      <c r="Z5703" s="1"/>
      <c r="AA5703" s="1">
        <v>328000</v>
      </c>
      <c r="AB5703" s="1"/>
      <c r="AC5703" s="1" t="s">
        <v>36</v>
      </c>
      <c r="AD5703" s="1" t="s">
        <v>19226</v>
      </c>
      <c r="AE5703" s="1" t="s">
        <v>32</v>
      </c>
      <c r="AF5703" s="1" t="s">
        <v>33</v>
      </c>
      <c r="AG5703" s="1" t="s">
        <v>270</v>
      </c>
    </row>
    <row r="5704" spans="1:33">
      <c r="A5704" t="s">
        <v>19227</v>
      </c>
      <c r="B5704" t="s">
        <v>19228</v>
      </c>
      <c r="C5704" t="s">
        <v>314</v>
      </c>
      <c r="E5704" t="s">
        <v>18429</v>
      </c>
      <c r="F5704" t="s">
        <v>18430</v>
      </c>
      <c r="G5704">
        <v>32.5</v>
      </c>
      <c r="H5704">
        <v>32.5</v>
      </c>
      <c r="I5704" t="s">
        <v>179</v>
      </c>
      <c r="J5704" t="s">
        <v>180</v>
      </c>
      <c r="K5704" t="s">
        <v>31</v>
      </c>
      <c r="L5704" t="s">
        <v>32</v>
      </c>
      <c r="M5704" t="s">
        <v>33</v>
      </c>
      <c r="P5704" s="1" t="s">
        <v>19229</v>
      </c>
      <c r="Q5704" s="1" t="s">
        <v>18429</v>
      </c>
      <c r="R5704" s="1" t="s">
        <v>18429</v>
      </c>
      <c r="S5704" s="1"/>
      <c r="T5704" s="1" t="s">
        <v>314</v>
      </c>
      <c r="U5704" s="1"/>
      <c r="V5704" s="1">
        <v>32.5</v>
      </c>
      <c r="W5704" s="1">
        <v>32.5</v>
      </c>
      <c r="X5704" s="1" t="s">
        <v>35</v>
      </c>
      <c r="Y5704" s="1">
        <v>32500</v>
      </c>
      <c r="Z5704" s="1"/>
      <c r="AA5704" s="1">
        <v>32500</v>
      </c>
      <c r="AB5704" s="1"/>
      <c r="AC5704" s="1" t="s">
        <v>36</v>
      </c>
      <c r="AD5704" s="1" t="s">
        <v>19230</v>
      </c>
      <c r="AE5704" s="1" t="s">
        <v>32</v>
      </c>
      <c r="AF5704" s="1" t="s">
        <v>33</v>
      </c>
      <c r="AG5704" s="1" t="s">
        <v>180</v>
      </c>
    </row>
    <row r="5705" spans="1:33">
      <c r="A5705" t="s">
        <v>19231</v>
      </c>
      <c r="B5705" t="s">
        <v>11420</v>
      </c>
      <c r="C5705" t="s">
        <v>314</v>
      </c>
      <c r="E5705" t="s">
        <v>18429</v>
      </c>
      <c r="F5705" t="s">
        <v>18430</v>
      </c>
      <c r="G5705">
        <v>52.33</v>
      </c>
      <c r="H5705">
        <v>52.33</v>
      </c>
      <c r="I5705" t="s">
        <v>179</v>
      </c>
      <c r="J5705" t="s">
        <v>180</v>
      </c>
      <c r="K5705" t="s">
        <v>31</v>
      </c>
      <c r="L5705" t="s">
        <v>32</v>
      </c>
      <c r="M5705" t="s">
        <v>33</v>
      </c>
      <c r="P5705" s="1" t="s">
        <v>19232</v>
      </c>
      <c r="Q5705" s="1" t="s">
        <v>18429</v>
      </c>
      <c r="R5705" s="1" t="s">
        <v>18429</v>
      </c>
      <c r="S5705" s="1"/>
      <c r="T5705" s="1" t="s">
        <v>314</v>
      </c>
      <c r="U5705" s="1"/>
      <c r="V5705" s="1">
        <v>52.33</v>
      </c>
      <c r="W5705" s="1">
        <v>52.33</v>
      </c>
      <c r="X5705" s="1" t="s">
        <v>35</v>
      </c>
      <c r="Y5705" s="1">
        <v>52330</v>
      </c>
      <c r="Z5705" s="1"/>
      <c r="AA5705" s="1">
        <v>52330</v>
      </c>
      <c r="AB5705" s="1"/>
      <c r="AC5705" s="1" t="s">
        <v>36</v>
      </c>
      <c r="AD5705" s="1" t="s">
        <v>19233</v>
      </c>
      <c r="AE5705" s="1" t="s">
        <v>32</v>
      </c>
      <c r="AF5705" s="1" t="s">
        <v>33</v>
      </c>
      <c r="AG5705" s="1" t="s">
        <v>180</v>
      </c>
    </row>
    <row r="5706" spans="1:33">
      <c r="A5706" t="s">
        <v>19234</v>
      </c>
      <c r="C5706" t="s">
        <v>506</v>
      </c>
      <c r="E5706" t="s">
        <v>18429</v>
      </c>
      <c r="F5706" t="s">
        <v>18430</v>
      </c>
      <c r="G5706">
        <v>328.0</v>
      </c>
      <c r="H5706">
        <v>328.0</v>
      </c>
      <c r="I5706" t="s">
        <v>269</v>
      </c>
      <c r="J5706" t="s">
        <v>270</v>
      </c>
      <c r="K5706" t="s">
        <v>31</v>
      </c>
      <c r="L5706" t="s">
        <v>32</v>
      </c>
      <c r="M5706" t="s">
        <v>33</v>
      </c>
      <c r="P5706" s="1" t="s">
        <v>19235</v>
      </c>
      <c r="Q5706" s="1" t="s">
        <v>18429</v>
      </c>
      <c r="R5706" s="1" t="s">
        <v>18429</v>
      </c>
      <c r="S5706" s="1"/>
      <c r="T5706" s="1" t="s">
        <v>506</v>
      </c>
      <c r="U5706" s="1"/>
      <c r="V5706" s="1">
        <v>328.0</v>
      </c>
      <c r="W5706" s="1">
        <v>328.0</v>
      </c>
      <c r="X5706" s="1" t="s">
        <v>35</v>
      </c>
      <c r="Y5706" s="1">
        <v>328000</v>
      </c>
      <c r="Z5706" s="1"/>
      <c r="AA5706" s="1">
        <v>328000</v>
      </c>
      <c r="AB5706" s="1"/>
      <c r="AC5706" s="1" t="s">
        <v>36</v>
      </c>
      <c r="AD5706" s="1" t="s">
        <v>19221</v>
      </c>
      <c r="AE5706" s="1" t="s">
        <v>32</v>
      </c>
      <c r="AF5706" s="1" t="s">
        <v>33</v>
      </c>
      <c r="AG5706" s="1" t="s">
        <v>270</v>
      </c>
    </row>
    <row r="5707" spans="1:33">
      <c r="A5707" t="s">
        <v>19236</v>
      </c>
      <c r="B5707" t="s">
        <v>5720</v>
      </c>
      <c r="C5707" t="s">
        <v>314</v>
      </c>
      <c r="E5707" t="s">
        <v>18429</v>
      </c>
      <c r="F5707" t="s">
        <v>18430</v>
      </c>
      <c r="G5707">
        <v>44.48</v>
      </c>
      <c r="H5707">
        <v>44.48</v>
      </c>
      <c r="I5707" t="s">
        <v>179</v>
      </c>
      <c r="J5707" t="s">
        <v>180</v>
      </c>
      <c r="K5707" t="s">
        <v>31</v>
      </c>
      <c r="L5707" t="s">
        <v>32</v>
      </c>
      <c r="M5707" t="s">
        <v>33</v>
      </c>
      <c r="P5707" s="1" t="s">
        <v>19237</v>
      </c>
      <c r="Q5707" s="1" t="s">
        <v>18429</v>
      </c>
      <c r="R5707" s="1" t="s">
        <v>18429</v>
      </c>
      <c r="S5707" s="1"/>
      <c r="T5707" s="1" t="s">
        <v>314</v>
      </c>
      <c r="U5707" s="1"/>
      <c r="V5707" s="1">
        <v>44.48</v>
      </c>
      <c r="W5707" s="1">
        <v>44.48</v>
      </c>
      <c r="X5707" s="1" t="s">
        <v>35</v>
      </c>
      <c r="Y5707" s="1">
        <v>44480</v>
      </c>
      <c r="Z5707" s="1"/>
      <c r="AA5707" s="1">
        <v>44480</v>
      </c>
      <c r="AB5707" s="1"/>
      <c r="AC5707" s="1" t="s">
        <v>36</v>
      </c>
      <c r="AD5707" s="1" t="s">
        <v>19238</v>
      </c>
      <c r="AE5707" s="1" t="s">
        <v>32</v>
      </c>
      <c r="AF5707" s="1" t="s">
        <v>33</v>
      </c>
      <c r="AG5707" s="1" t="s">
        <v>180</v>
      </c>
    </row>
    <row r="5708" spans="1:33">
      <c r="A5708" t="s">
        <v>19239</v>
      </c>
      <c r="C5708" t="s">
        <v>1998</v>
      </c>
      <c r="E5708" t="s">
        <v>18429</v>
      </c>
      <c r="F5708" t="s">
        <v>18430</v>
      </c>
      <c r="G5708">
        <v>1.221</v>
      </c>
      <c r="H5708">
        <v>1.221</v>
      </c>
      <c r="I5708" t="s">
        <v>269</v>
      </c>
      <c r="J5708" t="s">
        <v>270</v>
      </c>
      <c r="K5708" t="s">
        <v>31</v>
      </c>
      <c r="L5708" t="s">
        <v>32</v>
      </c>
      <c r="M5708" t="s">
        <v>33</v>
      </c>
      <c r="P5708" s="1" t="s">
        <v>19240</v>
      </c>
      <c r="Q5708" s="1" t="s">
        <v>18429</v>
      </c>
      <c r="R5708" s="1" t="s">
        <v>18429</v>
      </c>
      <c r="S5708" s="1"/>
      <c r="T5708" s="1" t="s">
        <v>2000</v>
      </c>
      <c r="U5708" s="1" t="s">
        <v>2001</v>
      </c>
      <c r="V5708" s="1">
        <v>1.221</v>
      </c>
      <c r="W5708" s="1">
        <v>1.221</v>
      </c>
      <c r="X5708" s="1" t="s">
        <v>35</v>
      </c>
      <c r="Y5708" s="1">
        <v>1221200</v>
      </c>
      <c r="Z5708" s="1"/>
      <c r="AA5708" s="1">
        <v>1221200</v>
      </c>
      <c r="AB5708" s="1"/>
      <c r="AC5708" s="1" t="s">
        <v>36</v>
      </c>
      <c r="AD5708" s="1" t="s">
        <v>19233</v>
      </c>
      <c r="AE5708" s="1" t="s">
        <v>32</v>
      </c>
      <c r="AF5708" s="1" t="s">
        <v>33</v>
      </c>
      <c r="AG5708" s="1" t="s">
        <v>270</v>
      </c>
    </row>
    <row r="5709" spans="1:33">
      <c r="A5709" t="s">
        <v>19241</v>
      </c>
      <c r="C5709" t="s">
        <v>1244</v>
      </c>
      <c r="E5709" t="s">
        <v>18429</v>
      </c>
      <c r="F5709" t="s">
        <v>18430</v>
      </c>
      <c r="G5709">
        <v>222.4</v>
      </c>
      <c r="H5709">
        <v>222.4</v>
      </c>
      <c r="I5709" t="s">
        <v>179</v>
      </c>
      <c r="J5709" t="s">
        <v>180</v>
      </c>
      <c r="K5709" t="s">
        <v>31</v>
      </c>
      <c r="L5709" t="s">
        <v>32</v>
      </c>
      <c r="M5709" t="s">
        <v>33</v>
      </c>
      <c r="P5709" s="1" t="s">
        <v>19242</v>
      </c>
      <c r="Q5709" s="1" t="s">
        <v>18429</v>
      </c>
      <c r="R5709" s="1" t="s">
        <v>18429</v>
      </c>
      <c r="S5709" s="1"/>
      <c r="T5709" s="1" t="s">
        <v>1244</v>
      </c>
      <c r="U5709" s="1"/>
      <c r="V5709" s="1">
        <v>222.4</v>
      </c>
      <c r="W5709" s="1">
        <v>222.4</v>
      </c>
      <c r="X5709" s="1" t="s">
        <v>35</v>
      </c>
      <c r="Y5709" s="1">
        <v>222400</v>
      </c>
      <c r="Z5709" s="1"/>
      <c r="AA5709" s="1">
        <v>222400</v>
      </c>
      <c r="AB5709" s="1"/>
      <c r="AC5709" s="1" t="s">
        <v>36</v>
      </c>
      <c r="AD5709" s="1" t="s">
        <v>19243</v>
      </c>
      <c r="AE5709" s="1" t="s">
        <v>32</v>
      </c>
      <c r="AF5709" s="1" t="s">
        <v>33</v>
      </c>
      <c r="AG5709" s="1" t="s">
        <v>180</v>
      </c>
    </row>
    <row r="5710" spans="1:33">
      <c r="A5710" t="s">
        <v>19244</v>
      </c>
      <c r="B5710" t="s">
        <v>7317</v>
      </c>
      <c r="C5710" t="s">
        <v>12240</v>
      </c>
      <c r="E5710" t="s">
        <v>18429</v>
      </c>
      <c r="F5710" t="s">
        <v>18430</v>
      </c>
      <c r="G5710">
        <v>31.75</v>
      </c>
      <c r="H5710">
        <v>31.75</v>
      </c>
      <c r="I5710" t="s">
        <v>136</v>
      </c>
      <c r="J5710" t="s">
        <v>137</v>
      </c>
      <c r="K5710" t="s">
        <v>31</v>
      </c>
      <c r="L5710" t="s">
        <v>32</v>
      </c>
      <c r="M5710" t="s">
        <v>33</v>
      </c>
      <c r="P5710" s="1" t="s">
        <v>19245</v>
      </c>
      <c r="Q5710" s="1" t="s">
        <v>18429</v>
      </c>
      <c r="R5710" s="1" t="s">
        <v>18429</v>
      </c>
      <c r="S5710" s="1"/>
      <c r="T5710" s="1" t="s">
        <v>12240</v>
      </c>
      <c r="U5710" s="1"/>
      <c r="V5710" s="1">
        <v>31.75</v>
      </c>
      <c r="W5710" s="1">
        <v>31.75</v>
      </c>
      <c r="X5710" s="1" t="s">
        <v>35</v>
      </c>
      <c r="Y5710" s="1">
        <v>31750</v>
      </c>
      <c r="Z5710" s="1"/>
      <c r="AA5710" s="1">
        <v>31750</v>
      </c>
      <c r="AB5710" s="1"/>
      <c r="AC5710" s="1" t="s">
        <v>36</v>
      </c>
      <c r="AD5710" s="1" t="s">
        <v>19127</v>
      </c>
      <c r="AE5710" s="1" t="s">
        <v>32</v>
      </c>
      <c r="AF5710" s="1" t="s">
        <v>33</v>
      </c>
      <c r="AG5710" s="1" t="s">
        <v>137</v>
      </c>
    </row>
    <row r="5711" spans="1:33">
      <c r="A5711" t="s">
        <v>19246</v>
      </c>
      <c r="B5711" t="s">
        <v>211</v>
      </c>
      <c r="C5711" t="s">
        <v>68</v>
      </c>
      <c r="E5711" t="s">
        <v>18429</v>
      </c>
      <c r="F5711" t="s">
        <v>18430</v>
      </c>
      <c r="G5711">
        <v>41.99</v>
      </c>
      <c r="H5711">
        <v>41.99</v>
      </c>
      <c r="I5711" t="s">
        <v>59</v>
      </c>
      <c r="J5711" t="s">
        <v>60</v>
      </c>
      <c r="K5711" t="s">
        <v>31</v>
      </c>
      <c r="L5711" t="s">
        <v>32</v>
      </c>
      <c r="M5711" t="s">
        <v>33</v>
      </c>
      <c r="P5711" s="1" t="s">
        <v>19247</v>
      </c>
      <c r="Q5711" s="1" t="s">
        <v>18429</v>
      </c>
      <c r="R5711" s="1" t="s">
        <v>18429</v>
      </c>
      <c r="S5711" s="1"/>
      <c r="T5711" s="1" t="s">
        <v>68</v>
      </c>
      <c r="U5711" s="1"/>
      <c r="V5711" s="1">
        <v>41.99</v>
      </c>
      <c r="W5711" s="1">
        <v>41.99</v>
      </c>
      <c r="X5711" s="1" t="s">
        <v>35</v>
      </c>
      <c r="Y5711" s="1">
        <v>41990</v>
      </c>
      <c r="Z5711" s="1"/>
      <c r="AA5711" s="1">
        <v>41990</v>
      </c>
      <c r="AB5711" s="1"/>
      <c r="AC5711" s="1" t="s">
        <v>36</v>
      </c>
      <c r="AD5711" s="1" t="s">
        <v>19248</v>
      </c>
      <c r="AE5711" s="1" t="s">
        <v>32</v>
      </c>
      <c r="AF5711" s="1" t="s">
        <v>33</v>
      </c>
      <c r="AG5711" s="1" t="s">
        <v>60</v>
      </c>
    </row>
    <row r="5712" spans="1:33">
      <c r="A5712" t="s">
        <v>19249</v>
      </c>
      <c r="B5712" t="s">
        <v>735</v>
      </c>
      <c r="C5712" t="s">
        <v>736</v>
      </c>
      <c r="E5712" t="s">
        <v>18429</v>
      </c>
      <c r="F5712" t="s">
        <v>18430</v>
      </c>
      <c r="G5712">
        <v>370.0</v>
      </c>
      <c r="H5712">
        <v>370.0</v>
      </c>
      <c r="I5712" t="s">
        <v>59</v>
      </c>
      <c r="J5712" t="s">
        <v>60</v>
      </c>
      <c r="K5712" t="s">
        <v>31</v>
      </c>
      <c r="L5712" t="s">
        <v>32</v>
      </c>
      <c r="M5712" t="s">
        <v>33</v>
      </c>
      <c r="P5712" s="1" t="s">
        <v>19250</v>
      </c>
      <c r="Q5712" s="1" t="s">
        <v>18429</v>
      </c>
      <c r="R5712" s="1" t="s">
        <v>18429</v>
      </c>
      <c r="S5712" s="1"/>
      <c r="T5712" s="1" t="s">
        <v>736</v>
      </c>
      <c r="U5712" s="1"/>
      <c r="V5712" s="1">
        <v>370.0</v>
      </c>
      <c r="W5712" s="1">
        <v>370.0</v>
      </c>
      <c r="X5712" s="1" t="s">
        <v>35</v>
      </c>
      <c r="Y5712" s="1">
        <v>370000</v>
      </c>
      <c r="Z5712" s="1"/>
      <c r="AA5712" s="1">
        <v>370000</v>
      </c>
      <c r="AB5712" s="1"/>
      <c r="AC5712" s="1" t="s">
        <v>36</v>
      </c>
      <c r="AD5712" s="1" t="s">
        <v>19251</v>
      </c>
      <c r="AE5712" s="1" t="s">
        <v>32</v>
      </c>
      <c r="AF5712" s="1" t="s">
        <v>33</v>
      </c>
      <c r="AG5712" s="1" t="s">
        <v>60</v>
      </c>
    </row>
    <row r="5713" spans="1:33">
      <c r="A5713" t="s">
        <v>19252</v>
      </c>
      <c r="C5713" t="s">
        <v>19253</v>
      </c>
      <c r="E5713" t="s">
        <v>18429</v>
      </c>
      <c r="F5713" t="s">
        <v>18430</v>
      </c>
      <c r="G5713">
        <v>328.0</v>
      </c>
      <c r="H5713">
        <v>328.0</v>
      </c>
      <c r="I5713" t="s">
        <v>227</v>
      </c>
      <c r="J5713" t="s">
        <v>228</v>
      </c>
      <c r="K5713" t="s">
        <v>31</v>
      </c>
      <c r="L5713" t="s">
        <v>32</v>
      </c>
      <c r="M5713" t="s">
        <v>33</v>
      </c>
      <c r="P5713" s="1" t="s">
        <v>19254</v>
      </c>
      <c r="Q5713" s="1" t="s">
        <v>18429</v>
      </c>
      <c r="R5713" s="1" t="s">
        <v>18429</v>
      </c>
      <c r="S5713" s="1"/>
      <c r="T5713" s="1" t="s">
        <v>19253</v>
      </c>
      <c r="U5713" s="1"/>
      <c r="V5713" s="1">
        <v>328.0</v>
      </c>
      <c r="W5713" s="1">
        <v>328.0</v>
      </c>
      <c r="X5713" s="1" t="s">
        <v>35</v>
      </c>
      <c r="Y5713" s="1">
        <v>328000</v>
      </c>
      <c r="Z5713" s="1"/>
      <c r="AA5713" s="1">
        <v>328000</v>
      </c>
      <c r="AB5713" s="1"/>
      <c r="AC5713" s="1" t="s">
        <v>36</v>
      </c>
      <c r="AD5713" s="1" t="s">
        <v>19255</v>
      </c>
      <c r="AE5713" s="1" t="s">
        <v>32</v>
      </c>
      <c r="AF5713" s="1" t="s">
        <v>33</v>
      </c>
      <c r="AG5713" s="1" t="s">
        <v>228</v>
      </c>
    </row>
    <row r="5714" spans="1:33">
      <c r="A5714" t="s">
        <v>19256</v>
      </c>
      <c r="B5714" t="s">
        <v>2611</v>
      </c>
      <c r="C5714" t="s">
        <v>2612</v>
      </c>
      <c r="E5714" t="s">
        <v>19257</v>
      </c>
      <c r="F5714" t="s">
        <v>19258</v>
      </c>
      <c r="G5714">
        <v>1.024</v>
      </c>
      <c r="H5714">
        <v>1.024</v>
      </c>
      <c r="I5714" t="s">
        <v>29</v>
      </c>
      <c r="J5714" t="s">
        <v>30</v>
      </c>
      <c r="K5714" t="s">
        <v>31</v>
      </c>
      <c r="L5714" t="s">
        <v>32</v>
      </c>
      <c r="M5714" t="s">
        <v>33</v>
      </c>
      <c r="P5714" s="1" t="s">
        <v>19259</v>
      </c>
      <c r="Q5714" s="1" t="s">
        <v>19257</v>
      </c>
      <c r="R5714" s="1" t="s">
        <v>19257</v>
      </c>
      <c r="S5714" s="1"/>
      <c r="T5714" s="1" t="s">
        <v>2614</v>
      </c>
      <c r="U5714" s="1" t="s">
        <v>154</v>
      </c>
      <c r="V5714" s="1">
        <v>1.024</v>
      </c>
      <c r="W5714" s="1">
        <v>1.024</v>
      </c>
      <c r="X5714" s="1" t="s">
        <v>35</v>
      </c>
      <c r="Y5714" s="1">
        <v>1150900</v>
      </c>
      <c r="Z5714" s="1">
        <v>-126900</v>
      </c>
      <c r="AA5714" s="1">
        <v>1150900</v>
      </c>
      <c r="AB5714" s="1">
        <v>-126900</v>
      </c>
      <c r="AC5714" s="1" t="s">
        <v>36</v>
      </c>
      <c r="AD5714" s="1" t="s">
        <v>16927</v>
      </c>
      <c r="AE5714" s="1" t="s">
        <v>32</v>
      </c>
      <c r="AF5714" s="1" t="s">
        <v>33</v>
      </c>
      <c r="AG5714" s="1" t="s">
        <v>30</v>
      </c>
    </row>
    <row r="5715" spans="1:33">
      <c r="A5715" t="s">
        <v>19260</v>
      </c>
      <c r="B5715" t="s">
        <v>19261</v>
      </c>
      <c r="C5715" t="s">
        <v>4179</v>
      </c>
      <c r="E5715" t="s">
        <v>19257</v>
      </c>
      <c r="F5715" t="s">
        <v>19258</v>
      </c>
      <c r="G5715">
        <v>9.822</v>
      </c>
      <c r="H5715">
        <v>9.822</v>
      </c>
      <c r="I5715" t="s">
        <v>529</v>
      </c>
      <c r="J5715" t="s">
        <v>530</v>
      </c>
      <c r="K5715" t="s">
        <v>31</v>
      </c>
      <c r="L5715" t="s">
        <v>32</v>
      </c>
      <c r="M5715" t="s">
        <v>33</v>
      </c>
      <c r="P5715" s="1" t="s">
        <v>19262</v>
      </c>
      <c r="Q5715" s="1" t="s">
        <v>19257</v>
      </c>
      <c r="R5715" s="1" t="s">
        <v>18429</v>
      </c>
      <c r="S5715" s="1"/>
      <c r="T5715" s="1" t="s">
        <v>4179</v>
      </c>
      <c r="U5715" s="1"/>
      <c r="V5715" s="1">
        <v>9.822</v>
      </c>
      <c r="W5715" s="1">
        <v>9.822</v>
      </c>
      <c r="X5715" s="1" t="s">
        <v>35</v>
      </c>
      <c r="Y5715" s="1">
        <v>9822418</v>
      </c>
      <c r="Z5715" s="1"/>
      <c r="AA5715" s="1">
        <v>9822418</v>
      </c>
      <c r="AB5715" s="1"/>
      <c r="AC5715" s="1" t="s">
        <v>36</v>
      </c>
      <c r="AD5715" s="1" t="s">
        <v>19263</v>
      </c>
      <c r="AE5715" s="1" t="s">
        <v>1636</v>
      </c>
      <c r="AF5715" s="1" t="s">
        <v>33</v>
      </c>
      <c r="AG5715" s="1" t="s">
        <v>530</v>
      </c>
    </row>
    <row r="5716" spans="1:33">
      <c r="A5716" t="s">
        <v>19264</v>
      </c>
      <c r="B5716" t="s">
        <v>743</v>
      </c>
      <c r="C5716" t="s">
        <v>68</v>
      </c>
      <c r="E5716" t="s">
        <v>19257</v>
      </c>
      <c r="F5716" t="s">
        <v>18430</v>
      </c>
      <c r="G5716">
        <v>29.99</v>
      </c>
      <c r="H5716">
        <v>29.99</v>
      </c>
      <c r="I5716" t="s">
        <v>59</v>
      </c>
      <c r="J5716" t="s">
        <v>60</v>
      </c>
      <c r="K5716" t="s">
        <v>31</v>
      </c>
      <c r="L5716" t="s">
        <v>32</v>
      </c>
      <c r="M5716" t="s">
        <v>33</v>
      </c>
      <c r="P5716" s="1" t="s">
        <v>19265</v>
      </c>
      <c r="Q5716" s="1" t="s">
        <v>19257</v>
      </c>
      <c r="R5716" s="1" t="s">
        <v>19257</v>
      </c>
      <c r="S5716" s="1"/>
      <c r="T5716" s="1" t="s">
        <v>68</v>
      </c>
      <c r="U5716" s="1"/>
      <c r="V5716" s="1">
        <v>29.99</v>
      </c>
      <c r="W5716" s="1">
        <v>29.99</v>
      </c>
      <c r="X5716" s="1" t="s">
        <v>35</v>
      </c>
      <c r="Y5716" s="1">
        <v>29990</v>
      </c>
      <c r="Z5716" s="1"/>
      <c r="AA5716" s="1">
        <v>29990</v>
      </c>
      <c r="AB5716" s="1"/>
      <c r="AC5716" s="1" t="s">
        <v>36</v>
      </c>
      <c r="AD5716" s="1" t="s">
        <v>18652</v>
      </c>
      <c r="AE5716" s="1" t="s">
        <v>32</v>
      </c>
      <c r="AF5716" s="1" t="s">
        <v>33</v>
      </c>
      <c r="AG5716" s="1" t="s">
        <v>60</v>
      </c>
    </row>
    <row r="5717" spans="1:33">
      <c r="A5717" t="s">
        <v>19266</v>
      </c>
      <c r="B5717" t="s">
        <v>19267</v>
      </c>
      <c r="C5717" t="s">
        <v>19268</v>
      </c>
      <c r="D5717" t="s">
        <v>114</v>
      </c>
      <c r="E5717" t="s">
        <v>19257</v>
      </c>
      <c r="F5717" t="s">
        <v>19258</v>
      </c>
      <c r="G5717">
        <v>820.0</v>
      </c>
      <c r="H5717">
        <v>820.0</v>
      </c>
      <c r="I5717" t="s">
        <v>529</v>
      </c>
      <c r="J5717" t="s">
        <v>530</v>
      </c>
      <c r="K5717" t="s">
        <v>31</v>
      </c>
      <c r="L5717" t="s">
        <v>32</v>
      </c>
      <c r="M5717" t="s">
        <v>33</v>
      </c>
      <c r="P5717" s="1" t="s">
        <v>19269</v>
      </c>
      <c r="Q5717" s="1" t="s">
        <v>19257</v>
      </c>
      <c r="R5717" s="1" t="s">
        <v>18429</v>
      </c>
      <c r="S5717" s="1"/>
      <c r="T5717" s="1" t="s">
        <v>19268</v>
      </c>
      <c r="U5717" s="1"/>
      <c r="V5717" s="1">
        <v>820.0</v>
      </c>
      <c r="W5717" s="1">
        <v>820.0</v>
      </c>
      <c r="X5717" s="1" t="s">
        <v>35</v>
      </c>
      <c r="Y5717" s="1">
        <v>820000</v>
      </c>
      <c r="Z5717" s="1"/>
      <c r="AA5717" s="1">
        <v>820000</v>
      </c>
      <c r="AB5717" s="1"/>
      <c r="AC5717" s="1" t="s">
        <v>36</v>
      </c>
      <c r="AD5717" s="1" t="s">
        <v>19270</v>
      </c>
      <c r="AE5717" s="1" t="s">
        <v>32</v>
      </c>
      <c r="AF5717" s="1" t="s">
        <v>33</v>
      </c>
      <c r="AG5717" s="1" t="s">
        <v>530</v>
      </c>
    </row>
    <row r="5718" spans="1:33">
      <c r="A5718" t="s">
        <v>19271</v>
      </c>
      <c r="C5718" t="s">
        <v>4857</v>
      </c>
      <c r="E5718" t="s">
        <v>19257</v>
      </c>
      <c r="F5718" t="s">
        <v>19258</v>
      </c>
      <c r="G5718">
        <v>320.0</v>
      </c>
      <c r="H5718">
        <v>320.0</v>
      </c>
      <c r="I5718" t="s">
        <v>126</v>
      </c>
      <c r="J5718" t="s">
        <v>127</v>
      </c>
      <c r="K5718" t="s">
        <v>31</v>
      </c>
      <c r="L5718" t="s">
        <v>32</v>
      </c>
      <c r="M5718" t="s">
        <v>33</v>
      </c>
      <c r="P5718" s="1" t="s">
        <v>19272</v>
      </c>
      <c r="Q5718" s="1" t="s">
        <v>19257</v>
      </c>
      <c r="R5718" s="1" t="s">
        <v>19257</v>
      </c>
      <c r="S5718" s="1"/>
      <c r="T5718" s="1" t="s">
        <v>4857</v>
      </c>
      <c r="U5718" s="1"/>
      <c r="V5718" s="1">
        <v>320.0</v>
      </c>
      <c r="W5718" s="1">
        <v>320.0</v>
      </c>
      <c r="X5718" s="1" t="s">
        <v>35</v>
      </c>
      <c r="Y5718" s="1">
        <v>320000</v>
      </c>
      <c r="Z5718" s="1"/>
      <c r="AA5718" s="1">
        <v>320000</v>
      </c>
      <c r="AB5718" s="1"/>
      <c r="AC5718" s="1" t="s">
        <v>36</v>
      </c>
      <c r="AD5718" s="1" t="s">
        <v>19273</v>
      </c>
      <c r="AE5718" s="1" t="s">
        <v>32</v>
      </c>
      <c r="AF5718" s="1" t="s">
        <v>33</v>
      </c>
      <c r="AG5718" s="1" t="s">
        <v>127</v>
      </c>
    </row>
    <row r="5719" spans="1:33">
      <c r="A5719" t="s">
        <v>19274</v>
      </c>
      <c r="C5719" t="s">
        <v>9215</v>
      </c>
      <c r="E5719" t="s">
        <v>19257</v>
      </c>
      <c r="F5719" t="s">
        <v>19258</v>
      </c>
      <c r="G5719">
        <v>6.384</v>
      </c>
      <c r="H5719">
        <v>6.511</v>
      </c>
      <c r="I5719" t="s">
        <v>40</v>
      </c>
      <c r="J5719" t="s">
        <v>41</v>
      </c>
      <c r="K5719" t="s">
        <v>31</v>
      </c>
      <c r="L5719" t="s">
        <v>32</v>
      </c>
      <c r="M5719" t="s">
        <v>33</v>
      </c>
      <c r="P5719" s="1" t="s">
        <v>19275</v>
      </c>
      <c r="Q5719" s="1" t="s">
        <v>19257</v>
      </c>
      <c r="R5719" s="1" t="s">
        <v>18429</v>
      </c>
      <c r="S5719" s="1"/>
      <c r="T5719" s="1" t="s">
        <v>9217</v>
      </c>
      <c r="U5719" s="1" t="s">
        <v>9218</v>
      </c>
      <c r="V5719" s="1">
        <v>6.384</v>
      </c>
      <c r="W5719" s="1">
        <v>6.511</v>
      </c>
      <c r="X5719" s="1" t="s">
        <v>35</v>
      </c>
      <c r="Y5719" s="1"/>
      <c r="Z5719" s="1">
        <v>6511680</v>
      </c>
      <c r="AA5719" s="1"/>
      <c r="AB5719" s="1">
        <v>6511680</v>
      </c>
      <c r="AC5719" s="1" t="s">
        <v>36</v>
      </c>
      <c r="AD5719" s="1" t="s">
        <v>5106</v>
      </c>
      <c r="AE5719" s="1" t="s">
        <v>32</v>
      </c>
      <c r="AF5719" s="1" t="s">
        <v>33</v>
      </c>
      <c r="AG5719" s="1" t="s">
        <v>41</v>
      </c>
    </row>
    <row r="5720" spans="1:33">
      <c r="A5720" t="s">
        <v>19276</v>
      </c>
      <c r="B5720" t="s">
        <v>19277</v>
      </c>
      <c r="C5720" t="s">
        <v>47</v>
      </c>
      <c r="E5720" t="s">
        <v>19257</v>
      </c>
      <c r="F5720" t="s">
        <v>19258</v>
      </c>
      <c r="G5720">
        <v>4.498</v>
      </c>
      <c r="H5720">
        <v>4.498</v>
      </c>
      <c r="I5720" t="s">
        <v>2206</v>
      </c>
      <c r="J5720" t="s">
        <v>49</v>
      </c>
      <c r="K5720" t="s">
        <v>31</v>
      </c>
      <c r="L5720" t="s">
        <v>32</v>
      </c>
      <c r="M5720" t="s">
        <v>33</v>
      </c>
      <c r="P5720" s="1" t="s">
        <v>19278</v>
      </c>
      <c r="Q5720" s="1" t="s">
        <v>19257</v>
      </c>
      <c r="R5720" s="1" t="s">
        <v>19257</v>
      </c>
      <c r="S5720" s="1"/>
      <c r="T5720" s="1" t="s">
        <v>47</v>
      </c>
      <c r="U5720" s="1"/>
      <c r="V5720" s="1">
        <v>4.498</v>
      </c>
      <c r="W5720" s="1">
        <v>4.498</v>
      </c>
      <c r="X5720" s="1" t="s">
        <v>35</v>
      </c>
      <c r="Y5720" s="1">
        <v>4598</v>
      </c>
      <c r="Z5720" s="1">
        <v>-100</v>
      </c>
      <c r="AA5720" s="1">
        <v>4598</v>
      </c>
      <c r="AB5720" s="1">
        <v>-100</v>
      </c>
      <c r="AC5720" s="1" t="s">
        <v>36</v>
      </c>
      <c r="AD5720" s="1" t="s">
        <v>19279</v>
      </c>
      <c r="AE5720" s="1" t="s">
        <v>32</v>
      </c>
      <c r="AF5720" s="1" t="s">
        <v>33</v>
      </c>
      <c r="AG5720" s="1" t="s">
        <v>49</v>
      </c>
    </row>
    <row r="5721" spans="1:33">
      <c r="A5721" t="s">
        <v>19280</v>
      </c>
      <c r="B5721" t="s">
        <v>3180</v>
      </c>
      <c r="C5721" t="s">
        <v>73</v>
      </c>
      <c r="E5721" t="s">
        <v>19257</v>
      </c>
      <c r="F5721" t="s">
        <v>19258</v>
      </c>
      <c r="G5721">
        <v>45.0</v>
      </c>
      <c r="H5721">
        <v>45.0</v>
      </c>
      <c r="I5721" t="s">
        <v>40</v>
      </c>
      <c r="J5721" t="s">
        <v>41</v>
      </c>
      <c r="K5721" t="s">
        <v>31</v>
      </c>
      <c r="L5721" t="s">
        <v>32</v>
      </c>
      <c r="M5721" t="s">
        <v>33</v>
      </c>
      <c r="P5721" s="1" t="s">
        <v>19281</v>
      </c>
      <c r="Q5721" s="1" t="s">
        <v>19257</v>
      </c>
      <c r="R5721" s="1" t="s">
        <v>18429</v>
      </c>
      <c r="S5721" s="1"/>
      <c r="T5721" s="1" t="s">
        <v>75</v>
      </c>
      <c r="U5721" s="1" t="s">
        <v>76</v>
      </c>
      <c r="V5721" s="1">
        <v>45.0</v>
      </c>
      <c r="W5721" s="1">
        <v>45.0</v>
      </c>
      <c r="X5721" s="1" t="s">
        <v>35</v>
      </c>
      <c r="Y5721" s="1">
        <v>45000</v>
      </c>
      <c r="Z5721" s="1"/>
      <c r="AA5721" s="1">
        <v>45000</v>
      </c>
      <c r="AB5721" s="1"/>
      <c r="AC5721" s="1" t="s">
        <v>36</v>
      </c>
      <c r="AD5721" s="1" t="s">
        <v>19282</v>
      </c>
      <c r="AE5721" s="1" t="s">
        <v>32</v>
      </c>
      <c r="AF5721" s="1" t="s">
        <v>33</v>
      </c>
      <c r="AG5721" s="1" t="s">
        <v>41</v>
      </c>
    </row>
    <row r="5722" spans="1:33">
      <c r="A5722" t="s">
        <v>19283</v>
      </c>
      <c r="B5722" t="s">
        <v>57</v>
      </c>
      <c r="C5722" t="s">
        <v>58</v>
      </c>
      <c r="E5722" t="s">
        <v>19257</v>
      </c>
      <c r="F5722" t="s">
        <v>19258</v>
      </c>
      <c r="G5722">
        <v>370.0</v>
      </c>
      <c r="H5722">
        <v>370.0</v>
      </c>
      <c r="I5722" t="s">
        <v>59</v>
      </c>
      <c r="J5722" t="s">
        <v>60</v>
      </c>
      <c r="K5722" t="s">
        <v>31</v>
      </c>
      <c r="L5722" t="s">
        <v>32</v>
      </c>
      <c r="M5722" t="s">
        <v>33</v>
      </c>
      <c r="P5722" s="1" t="s">
        <v>19284</v>
      </c>
      <c r="Q5722" s="1" t="s">
        <v>19257</v>
      </c>
      <c r="R5722" s="1" t="s">
        <v>19257</v>
      </c>
      <c r="S5722" s="1"/>
      <c r="T5722" s="1" t="s">
        <v>58</v>
      </c>
      <c r="U5722" s="1"/>
      <c r="V5722" s="1">
        <v>370.0</v>
      </c>
      <c r="W5722" s="1">
        <v>370.0</v>
      </c>
      <c r="X5722" s="1" t="s">
        <v>35</v>
      </c>
      <c r="Y5722" s="1">
        <v>370000</v>
      </c>
      <c r="Z5722" s="1"/>
      <c r="AA5722" s="1">
        <v>370000</v>
      </c>
      <c r="AB5722" s="1"/>
      <c r="AC5722" s="1" t="s">
        <v>36</v>
      </c>
      <c r="AD5722" s="1" t="s">
        <v>19285</v>
      </c>
      <c r="AE5722" s="1" t="s">
        <v>32</v>
      </c>
      <c r="AF5722" s="1" t="s">
        <v>33</v>
      </c>
      <c r="AG5722" s="1" t="s">
        <v>60</v>
      </c>
    </row>
    <row r="5723" spans="1:33">
      <c r="A5723" t="s">
        <v>19286</v>
      </c>
      <c r="C5723" t="s">
        <v>18737</v>
      </c>
      <c r="E5723" t="s">
        <v>19257</v>
      </c>
      <c r="F5723" t="s">
        <v>19258</v>
      </c>
      <c r="G5723">
        <v>1.0</v>
      </c>
      <c r="H5723">
        <v>1.0</v>
      </c>
      <c r="I5723" t="s">
        <v>40</v>
      </c>
      <c r="J5723" t="s">
        <v>41</v>
      </c>
      <c r="K5723" t="s">
        <v>31</v>
      </c>
      <c r="L5723" t="s">
        <v>32</v>
      </c>
      <c r="M5723" t="s">
        <v>33</v>
      </c>
      <c r="P5723" s="1" t="s">
        <v>19287</v>
      </c>
      <c r="Q5723" s="1" t="s">
        <v>19257</v>
      </c>
      <c r="R5723" s="1" t="s">
        <v>18429</v>
      </c>
      <c r="S5723" s="1"/>
      <c r="T5723" s="1" t="s">
        <v>18737</v>
      </c>
      <c r="U5723" s="1"/>
      <c r="V5723" s="1">
        <v>1.0</v>
      </c>
      <c r="W5723" s="1">
        <v>1.0</v>
      </c>
      <c r="X5723" s="1" t="s">
        <v>35</v>
      </c>
      <c r="Y5723" s="1">
        <v>1000000</v>
      </c>
      <c r="Z5723" s="1"/>
      <c r="AA5723" s="1">
        <v>1000000</v>
      </c>
      <c r="AB5723" s="1"/>
      <c r="AC5723" s="1" t="s">
        <v>36</v>
      </c>
      <c r="AD5723" s="1" t="s">
        <v>19288</v>
      </c>
      <c r="AE5723" s="1" t="s">
        <v>32</v>
      </c>
      <c r="AF5723" s="1" t="s">
        <v>33</v>
      </c>
      <c r="AG5723" s="1" t="s">
        <v>41</v>
      </c>
    </row>
    <row r="5724" spans="1:33">
      <c r="A5724" t="s">
        <v>19289</v>
      </c>
      <c r="C5724" t="s">
        <v>14888</v>
      </c>
      <c r="E5724" t="s">
        <v>19257</v>
      </c>
      <c r="F5724" t="s">
        <v>19258</v>
      </c>
      <c r="G5724">
        <v>274.0</v>
      </c>
      <c r="H5724">
        <v>274.0</v>
      </c>
      <c r="I5724" t="s">
        <v>94</v>
      </c>
      <c r="J5724" t="s">
        <v>95</v>
      </c>
      <c r="K5724" t="s">
        <v>31</v>
      </c>
      <c r="L5724" t="s">
        <v>32</v>
      </c>
      <c r="M5724" t="s">
        <v>33</v>
      </c>
      <c r="P5724" s="1" t="s">
        <v>19290</v>
      </c>
      <c r="Q5724" s="1" t="s">
        <v>19257</v>
      </c>
      <c r="R5724" s="1" t="s">
        <v>19257</v>
      </c>
      <c r="S5724" s="1"/>
      <c r="T5724" s="1" t="s">
        <v>14888</v>
      </c>
      <c r="U5724" s="1"/>
      <c r="V5724" s="1">
        <v>274.0</v>
      </c>
      <c r="W5724" s="1">
        <v>274.0</v>
      </c>
      <c r="X5724" s="1" t="s">
        <v>35</v>
      </c>
      <c r="Y5724" s="1">
        <v>274000</v>
      </c>
      <c r="Z5724" s="1"/>
      <c r="AA5724" s="1">
        <v>274000</v>
      </c>
      <c r="AB5724" s="1"/>
      <c r="AC5724" s="1" t="s">
        <v>36</v>
      </c>
      <c r="AD5724" s="1" t="s">
        <v>19291</v>
      </c>
      <c r="AE5724" s="1" t="s">
        <v>32</v>
      </c>
      <c r="AF5724" s="1" t="s">
        <v>33</v>
      </c>
      <c r="AG5724" s="1" t="s">
        <v>95</v>
      </c>
    </row>
    <row r="5725" spans="1:33">
      <c r="A5725" t="s">
        <v>19292</v>
      </c>
      <c r="C5725" t="s">
        <v>9464</v>
      </c>
      <c r="E5725" t="s">
        <v>19257</v>
      </c>
      <c r="F5725" t="s">
        <v>19258</v>
      </c>
      <c r="G5725">
        <v>618.0</v>
      </c>
      <c r="H5725">
        <v>618.0</v>
      </c>
      <c r="I5725" t="s">
        <v>94</v>
      </c>
      <c r="J5725" t="s">
        <v>95</v>
      </c>
      <c r="K5725" t="s">
        <v>31</v>
      </c>
      <c r="L5725" t="s">
        <v>32</v>
      </c>
      <c r="M5725" t="s">
        <v>33</v>
      </c>
      <c r="P5725" s="1" t="s">
        <v>19293</v>
      </c>
      <c r="Q5725" s="1" t="s">
        <v>19257</v>
      </c>
      <c r="R5725" s="1" t="s">
        <v>19257</v>
      </c>
      <c r="S5725" s="1"/>
      <c r="T5725" s="1" t="s">
        <v>9464</v>
      </c>
      <c r="U5725" s="1"/>
      <c r="V5725" s="1">
        <v>618.0</v>
      </c>
      <c r="W5725" s="1">
        <v>618.0</v>
      </c>
      <c r="X5725" s="1" t="s">
        <v>35</v>
      </c>
      <c r="Y5725" s="1">
        <v>618000</v>
      </c>
      <c r="Z5725" s="1"/>
      <c r="AA5725" s="1">
        <v>618000</v>
      </c>
      <c r="AB5725" s="1"/>
      <c r="AC5725" s="1" t="s">
        <v>36</v>
      </c>
      <c r="AD5725" s="1" t="s">
        <v>19294</v>
      </c>
      <c r="AE5725" s="1" t="s">
        <v>32</v>
      </c>
      <c r="AF5725" s="1" t="s">
        <v>33</v>
      </c>
      <c r="AG5725" s="1" t="s">
        <v>95</v>
      </c>
    </row>
    <row r="5726" spans="1:33">
      <c r="A5726" t="s">
        <v>19295</v>
      </c>
      <c r="B5726" t="s">
        <v>19296</v>
      </c>
      <c r="C5726" t="s">
        <v>1298</v>
      </c>
      <c r="E5726" t="s">
        <v>19257</v>
      </c>
      <c r="F5726" t="s">
        <v>19258</v>
      </c>
      <c r="G5726">
        <v>25.0</v>
      </c>
      <c r="H5726">
        <v>25.0</v>
      </c>
      <c r="I5726" t="s">
        <v>529</v>
      </c>
      <c r="J5726" t="s">
        <v>530</v>
      </c>
      <c r="K5726" t="s">
        <v>31</v>
      </c>
      <c r="L5726" t="s">
        <v>32</v>
      </c>
      <c r="M5726" t="s">
        <v>33</v>
      </c>
      <c r="P5726" s="1" t="s">
        <v>19297</v>
      </c>
      <c r="Q5726" s="1" t="s">
        <v>19257</v>
      </c>
      <c r="R5726" s="1" t="s">
        <v>18429</v>
      </c>
      <c r="S5726" s="1"/>
      <c r="T5726" s="1" t="s">
        <v>1298</v>
      </c>
      <c r="U5726" s="1"/>
      <c r="V5726" s="1">
        <v>25.0</v>
      </c>
      <c r="W5726" s="1">
        <v>25.0</v>
      </c>
      <c r="X5726" s="1" t="s">
        <v>35</v>
      </c>
      <c r="Y5726" s="1">
        <v>25000</v>
      </c>
      <c r="Z5726" s="1"/>
      <c r="AA5726" s="1">
        <v>25000</v>
      </c>
      <c r="AB5726" s="1"/>
      <c r="AC5726" s="1" t="s">
        <v>36</v>
      </c>
      <c r="AD5726" s="1" t="s">
        <v>19298</v>
      </c>
      <c r="AE5726" s="1" t="s">
        <v>32</v>
      </c>
      <c r="AF5726" s="1" t="s">
        <v>33</v>
      </c>
      <c r="AG5726" s="1" t="s">
        <v>530</v>
      </c>
    </row>
    <row r="5727" spans="1:33">
      <c r="A5727" t="s">
        <v>19299</v>
      </c>
      <c r="C5727" t="s">
        <v>9215</v>
      </c>
      <c r="E5727" t="s">
        <v>19257</v>
      </c>
      <c r="F5727" t="s">
        <v>19258</v>
      </c>
      <c r="G5727">
        <v>10.8</v>
      </c>
      <c r="H5727">
        <v>11.016</v>
      </c>
      <c r="I5727" t="s">
        <v>40</v>
      </c>
      <c r="J5727" t="s">
        <v>41</v>
      </c>
      <c r="K5727" t="s">
        <v>31</v>
      </c>
      <c r="L5727" t="s">
        <v>32</v>
      </c>
      <c r="M5727" t="s">
        <v>33</v>
      </c>
      <c r="P5727" s="1" t="s">
        <v>19300</v>
      </c>
      <c r="Q5727" s="1" t="s">
        <v>19257</v>
      </c>
      <c r="R5727" s="1" t="s">
        <v>18429</v>
      </c>
      <c r="S5727" s="1"/>
      <c r="T5727" s="1" t="s">
        <v>9217</v>
      </c>
      <c r="U5727" s="1" t="s">
        <v>9218</v>
      </c>
      <c r="V5727" s="1">
        <v>10.8</v>
      </c>
      <c r="W5727" s="1">
        <v>11.016</v>
      </c>
      <c r="X5727" s="1" t="s">
        <v>35</v>
      </c>
      <c r="Y5727" s="1"/>
      <c r="Z5727" s="1">
        <v>11016000</v>
      </c>
      <c r="AA5727" s="1"/>
      <c r="AB5727" s="1">
        <v>11016000</v>
      </c>
      <c r="AC5727" s="1" t="s">
        <v>36</v>
      </c>
      <c r="AD5727" s="1" t="s">
        <v>5106</v>
      </c>
      <c r="AE5727" s="1" t="s">
        <v>32</v>
      </c>
      <c r="AF5727" s="1" t="s">
        <v>33</v>
      </c>
      <c r="AG5727" s="1" t="s">
        <v>41</v>
      </c>
    </row>
    <row r="5728" spans="1:33">
      <c r="A5728" t="s">
        <v>19301</v>
      </c>
      <c r="C5728" t="s">
        <v>554</v>
      </c>
      <c r="E5728" t="s">
        <v>19257</v>
      </c>
      <c r="F5728" t="s">
        <v>19258</v>
      </c>
      <c r="G5728">
        <v>320.0</v>
      </c>
      <c r="H5728">
        <v>320.0</v>
      </c>
      <c r="I5728" t="s">
        <v>40</v>
      </c>
      <c r="J5728" t="s">
        <v>41</v>
      </c>
      <c r="K5728" t="s">
        <v>31</v>
      </c>
      <c r="L5728" t="s">
        <v>32</v>
      </c>
      <c r="M5728" t="s">
        <v>33</v>
      </c>
      <c r="P5728" s="1" t="s">
        <v>19302</v>
      </c>
      <c r="Q5728" s="1" t="s">
        <v>19257</v>
      </c>
      <c r="R5728" s="1" t="s">
        <v>18429</v>
      </c>
      <c r="S5728" s="1"/>
      <c r="T5728" s="1" t="s">
        <v>554</v>
      </c>
      <c r="U5728" s="1"/>
      <c r="V5728" s="1">
        <v>320.0</v>
      </c>
      <c r="W5728" s="1">
        <v>320.0</v>
      </c>
      <c r="X5728" s="1" t="s">
        <v>35</v>
      </c>
      <c r="Y5728" s="1">
        <v>320000</v>
      </c>
      <c r="Z5728" s="1"/>
      <c r="AA5728" s="1">
        <v>320000</v>
      </c>
      <c r="AB5728" s="1"/>
      <c r="AC5728" s="1" t="s">
        <v>36</v>
      </c>
      <c r="AD5728" s="1" t="s">
        <v>19303</v>
      </c>
      <c r="AE5728" s="1" t="s">
        <v>32</v>
      </c>
      <c r="AF5728" s="1" t="s">
        <v>33</v>
      </c>
      <c r="AG5728" s="1" t="s">
        <v>41</v>
      </c>
    </row>
    <row r="5729" spans="1:33">
      <c r="A5729" t="s">
        <v>19304</v>
      </c>
      <c r="C5729" t="s">
        <v>131</v>
      </c>
      <c r="E5729" t="s">
        <v>19257</v>
      </c>
      <c r="F5729" t="s">
        <v>19258</v>
      </c>
      <c r="G5729">
        <v>137.14</v>
      </c>
      <c r="H5729">
        <v>137.14</v>
      </c>
      <c r="I5729" t="s">
        <v>94</v>
      </c>
      <c r="J5729" t="s">
        <v>95</v>
      </c>
      <c r="K5729" t="s">
        <v>31</v>
      </c>
      <c r="L5729" t="s">
        <v>32</v>
      </c>
      <c r="M5729" t="s">
        <v>33</v>
      </c>
      <c r="P5729" s="1" t="s">
        <v>19305</v>
      </c>
      <c r="Q5729" s="1" t="s">
        <v>19257</v>
      </c>
      <c r="R5729" s="1" t="s">
        <v>19257</v>
      </c>
      <c r="S5729" s="1"/>
      <c r="T5729" s="1" t="s">
        <v>131</v>
      </c>
      <c r="U5729" s="1"/>
      <c r="V5729" s="1">
        <v>137.14</v>
      </c>
      <c r="W5729" s="1">
        <v>137.14</v>
      </c>
      <c r="X5729" s="1" t="s">
        <v>35</v>
      </c>
      <c r="Y5729" s="1">
        <v>137140</v>
      </c>
      <c r="Z5729" s="1"/>
      <c r="AA5729" s="1">
        <v>137140</v>
      </c>
      <c r="AB5729" s="1"/>
      <c r="AC5729" s="1" t="s">
        <v>36</v>
      </c>
      <c r="AD5729" s="1" t="s">
        <v>19306</v>
      </c>
      <c r="AE5729" s="1" t="s">
        <v>32</v>
      </c>
      <c r="AF5729" s="1" t="s">
        <v>33</v>
      </c>
      <c r="AG5729" s="1" t="s">
        <v>95</v>
      </c>
    </row>
    <row r="5730" spans="1:33">
      <c r="A5730" t="s">
        <v>19307</v>
      </c>
      <c r="B5730" t="s">
        <v>19308</v>
      </c>
      <c r="C5730" t="s">
        <v>172</v>
      </c>
      <c r="E5730" t="s">
        <v>19257</v>
      </c>
      <c r="F5730" t="s">
        <v>19258</v>
      </c>
      <c r="G5730">
        <v>3.0</v>
      </c>
      <c r="H5730">
        <v>3.0</v>
      </c>
      <c r="I5730" t="s">
        <v>173</v>
      </c>
      <c r="J5730" t="s">
        <v>174</v>
      </c>
      <c r="K5730" t="s">
        <v>31</v>
      </c>
      <c r="L5730" t="s">
        <v>32</v>
      </c>
      <c r="M5730" t="s">
        <v>33</v>
      </c>
      <c r="P5730" s="1" t="s">
        <v>19309</v>
      </c>
      <c r="Q5730" s="1" t="s">
        <v>19257</v>
      </c>
      <c r="R5730" s="1" t="s">
        <v>19257</v>
      </c>
      <c r="S5730" s="1"/>
      <c r="T5730" s="1" t="s">
        <v>172</v>
      </c>
      <c r="U5730" s="1"/>
      <c r="V5730" s="1">
        <v>3.0</v>
      </c>
      <c r="W5730" s="1">
        <v>3.0</v>
      </c>
      <c r="X5730" s="1" t="s">
        <v>35</v>
      </c>
      <c r="Y5730" s="1">
        <v>3000</v>
      </c>
      <c r="Z5730" s="1"/>
      <c r="AA5730" s="1">
        <v>3000</v>
      </c>
      <c r="AB5730" s="1"/>
      <c r="AC5730" s="1" t="s">
        <v>36</v>
      </c>
      <c r="AD5730" s="1" t="s">
        <v>19310</v>
      </c>
      <c r="AE5730" s="1" t="s">
        <v>32</v>
      </c>
      <c r="AF5730" s="1" t="s">
        <v>33</v>
      </c>
      <c r="AG5730" s="1" t="s">
        <v>174</v>
      </c>
    </row>
    <row r="5731" spans="1:33">
      <c r="A5731" t="s">
        <v>19311</v>
      </c>
      <c r="C5731" t="s">
        <v>19312</v>
      </c>
      <c r="E5731" t="s">
        <v>19257</v>
      </c>
      <c r="F5731" t="s">
        <v>19258</v>
      </c>
      <c r="G5731">
        <v>855.25</v>
      </c>
      <c r="H5731">
        <v>855.25</v>
      </c>
      <c r="I5731" t="s">
        <v>2206</v>
      </c>
      <c r="J5731" t="s">
        <v>49</v>
      </c>
      <c r="K5731" t="s">
        <v>31</v>
      </c>
      <c r="L5731" t="s">
        <v>32</v>
      </c>
      <c r="M5731" t="s">
        <v>33</v>
      </c>
      <c r="P5731" s="1" t="s">
        <v>19313</v>
      </c>
      <c r="Q5731" s="1" t="s">
        <v>19257</v>
      </c>
      <c r="R5731" s="1" t="s">
        <v>19257</v>
      </c>
      <c r="S5731" s="1"/>
      <c r="T5731" s="1" t="s">
        <v>19312</v>
      </c>
      <c r="U5731" s="1"/>
      <c r="V5731" s="1">
        <v>855.25</v>
      </c>
      <c r="W5731" s="1">
        <v>855.25</v>
      </c>
      <c r="X5731" s="1" t="s">
        <v>35</v>
      </c>
      <c r="Y5731" s="1">
        <v>855250</v>
      </c>
      <c r="Z5731" s="1"/>
      <c r="AA5731" s="1">
        <v>855250</v>
      </c>
      <c r="AB5731" s="1"/>
      <c r="AC5731" s="1" t="s">
        <v>36</v>
      </c>
      <c r="AD5731" s="1" t="s">
        <v>19314</v>
      </c>
      <c r="AE5731" s="1" t="s">
        <v>32</v>
      </c>
      <c r="AF5731" s="1" t="s">
        <v>33</v>
      </c>
      <c r="AG5731" s="1" t="s">
        <v>49</v>
      </c>
    </row>
    <row r="5732" spans="1:33">
      <c r="A5732" t="s">
        <v>19315</v>
      </c>
      <c r="B5732" t="s">
        <v>19316</v>
      </c>
      <c r="C5732" t="s">
        <v>73</v>
      </c>
      <c r="E5732" t="s">
        <v>19257</v>
      </c>
      <c r="F5732" t="s">
        <v>19258</v>
      </c>
      <c r="G5732">
        <v>19.49</v>
      </c>
      <c r="H5732">
        <v>19.49</v>
      </c>
      <c r="I5732" t="s">
        <v>40</v>
      </c>
      <c r="J5732" t="s">
        <v>41</v>
      </c>
      <c r="K5732" t="s">
        <v>31</v>
      </c>
      <c r="L5732" t="s">
        <v>32</v>
      </c>
      <c r="M5732" t="s">
        <v>33</v>
      </c>
      <c r="P5732" s="1" t="s">
        <v>19317</v>
      </c>
      <c r="Q5732" s="1" t="s">
        <v>19257</v>
      </c>
      <c r="R5732" s="1" t="s">
        <v>18429</v>
      </c>
      <c r="S5732" s="1"/>
      <c r="T5732" s="1" t="s">
        <v>75</v>
      </c>
      <c r="U5732" s="1" t="s">
        <v>76</v>
      </c>
      <c r="V5732" s="1">
        <v>19.49</v>
      </c>
      <c r="W5732" s="1">
        <v>19.49</v>
      </c>
      <c r="X5732" s="1" t="s">
        <v>35</v>
      </c>
      <c r="Y5732" s="1">
        <v>19490</v>
      </c>
      <c r="Z5732" s="1"/>
      <c r="AA5732" s="1">
        <v>19490</v>
      </c>
      <c r="AB5732" s="1"/>
      <c r="AC5732" s="1" t="s">
        <v>36</v>
      </c>
      <c r="AD5732" s="1" t="s">
        <v>19318</v>
      </c>
      <c r="AE5732" s="1" t="s">
        <v>32</v>
      </c>
      <c r="AF5732" s="1" t="s">
        <v>33</v>
      </c>
      <c r="AG5732" s="1" t="s">
        <v>41</v>
      </c>
    </row>
    <row r="5733" spans="1:33">
      <c r="A5733" t="s">
        <v>19319</v>
      </c>
      <c r="B5733" t="s">
        <v>19320</v>
      </c>
      <c r="C5733" t="s">
        <v>68</v>
      </c>
      <c r="E5733" t="s">
        <v>19257</v>
      </c>
      <c r="F5733" t="s">
        <v>19258</v>
      </c>
      <c r="G5733">
        <v>80.48</v>
      </c>
      <c r="H5733">
        <v>80.48</v>
      </c>
      <c r="I5733" t="s">
        <v>59</v>
      </c>
      <c r="J5733" t="s">
        <v>60</v>
      </c>
      <c r="K5733" t="s">
        <v>31</v>
      </c>
      <c r="L5733" t="s">
        <v>32</v>
      </c>
      <c r="M5733" t="s">
        <v>33</v>
      </c>
      <c r="P5733" s="1" t="s">
        <v>19321</v>
      </c>
      <c r="Q5733" s="1" t="s">
        <v>19257</v>
      </c>
      <c r="R5733" s="1" t="s">
        <v>19257</v>
      </c>
      <c r="S5733" s="1"/>
      <c r="T5733" s="1" t="s">
        <v>68</v>
      </c>
      <c r="U5733" s="1"/>
      <c r="V5733" s="1">
        <v>80.48</v>
      </c>
      <c r="W5733" s="1">
        <v>80.48</v>
      </c>
      <c r="X5733" s="1" t="s">
        <v>35</v>
      </c>
      <c r="Y5733" s="1">
        <v>80480</v>
      </c>
      <c r="Z5733" s="1"/>
      <c r="AA5733" s="1">
        <v>80480</v>
      </c>
      <c r="AB5733" s="1"/>
      <c r="AC5733" s="1" t="s">
        <v>36</v>
      </c>
      <c r="AD5733" s="1" t="s">
        <v>19322</v>
      </c>
      <c r="AE5733" s="1" t="s">
        <v>32</v>
      </c>
      <c r="AF5733" s="1" t="s">
        <v>33</v>
      </c>
      <c r="AG5733" s="1" t="s">
        <v>60</v>
      </c>
    </row>
    <row r="5734" spans="1:33">
      <c r="A5734" t="s">
        <v>19323</v>
      </c>
      <c r="B5734" t="s">
        <v>19308</v>
      </c>
      <c r="C5734" t="s">
        <v>172</v>
      </c>
      <c r="E5734" t="s">
        <v>19257</v>
      </c>
      <c r="F5734" t="s">
        <v>19258</v>
      </c>
      <c r="G5734">
        <v>399.81</v>
      </c>
      <c r="H5734">
        <v>399.81</v>
      </c>
      <c r="I5734" t="s">
        <v>173</v>
      </c>
      <c r="J5734" t="s">
        <v>174</v>
      </c>
      <c r="K5734" t="s">
        <v>31</v>
      </c>
      <c r="L5734" t="s">
        <v>32</v>
      </c>
      <c r="M5734" t="s">
        <v>33</v>
      </c>
      <c r="P5734" s="1" t="s">
        <v>19324</v>
      </c>
      <c r="Q5734" s="1" t="s">
        <v>19257</v>
      </c>
      <c r="R5734" s="1" t="s">
        <v>19257</v>
      </c>
      <c r="S5734" s="1"/>
      <c r="T5734" s="1" t="s">
        <v>172</v>
      </c>
      <c r="U5734" s="1"/>
      <c r="V5734" s="1">
        <v>399.81</v>
      </c>
      <c r="W5734" s="1">
        <v>399.81</v>
      </c>
      <c r="X5734" s="1" t="s">
        <v>35</v>
      </c>
      <c r="Y5734" s="1">
        <v>399810</v>
      </c>
      <c r="Z5734" s="1"/>
      <c r="AA5734" s="1">
        <v>399810</v>
      </c>
      <c r="AB5734" s="1"/>
      <c r="AC5734" s="1" t="s">
        <v>36</v>
      </c>
      <c r="AD5734" s="1" t="s">
        <v>19325</v>
      </c>
      <c r="AE5734" s="1" t="s">
        <v>32</v>
      </c>
      <c r="AF5734" s="1" t="s">
        <v>33</v>
      </c>
      <c r="AG5734" s="1" t="s">
        <v>174</v>
      </c>
    </row>
    <row r="5735" spans="1:33">
      <c r="A5735" t="s">
        <v>19326</v>
      </c>
      <c r="B5735" t="s">
        <v>19327</v>
      </c>
      <c r="C5735" t="s">
        <v>47</v>
      </c>
      <c r="E5735" t="s">
        <v>19257</v>
      </c>
      <c r="F5735" t="s">
        <v>19258</v>
      </c>
      <c r="G5735">
        <v>21.99</v>
      </c>
      <c r="H5735">
        <v>21.99</v>
      </c>
      <c r="I5735" t="s">
        <v>2206</v>
      </c>
      <c r="J5735" t="s">
        <v>49</v>
      </c>
      <c r="K5735" t="s">
        <v>31</v>
      </c>
      <c r="L5735" t="s">
        <v>32</v>
      </c>
      <c r="M5735" t="s">
        <v>33</v>
      </c>
      <c r="P5735" s="1" t="s">
        <v>19328</v>
      </c>
      <c r="Q5735" s="1" t="s">
        <v>19257</v>
      </c>
      <c r="R5735" s="1" t="s">
        <v>19257</v>
      </c>
      <c r="S5735" s="1"/>
      <c r="T5735" s="1" t="s">
        <v>47</v>
      </c>
      <c r="U5735" s="1"/>
      <c r="V5735" s="1">
        <v>21.99</v>
      </c>
      <c r="W5735" s="1">
        <v>21.99</v>
      </c>
      <c r="X5735" s="1" t="s">
        <v>35</v>
      </c>
      <c r="Y5735" s="1">
        <v>21990</v>
      </c>
      <c r="Z5735" s="1"/>
      <c r="AA5735" s="1">
        <v>21990</v>
      </c>
      <c r="AB5735" s="1"/>
      <c r="AC5735" s="1" t="s">
        <v>36</v>
      </c>
      <c r="AD5735" s="1" t="s">
        <v>19322</v>
      </c>
      <c r="AE5735" s="1" t="s">
        <v>32</v>
      </c>
      <c r="AF5735" s="1" t="s">
        <v>33</v>
      </c>
      <c r="AG5735" s="1" t="s">
        <v>49</v>
      </c>
    </row>
    <row r="5736" spans="1:33">
      <c r="A5736" t="s">
        <v>19329</v>
      </c>
      <c r="B5736" t="s">
        <v>5335</v>
      </c>
      <c r="C5736" t="s">
        <v>314</v>
      </c>
      <c r="E5736" t="s">
        <v>19257</v>
      </c>
      <c r="F5736" t="s">
        <v>19258</v>
      </c>
      <c r="G5736">
        <v>18.49</v>
      </c>
      <c r="H5736">
        <v>18.49</v>
      </c>
      <c r="I5736" t="s">
        <v>179</v>
      </c>
      <c r="J5736" t="s">
        <v>180</v>
      </c>
      <c r="K5736" t="s">
        <v>31</v>
      </c>
      <c r="L5736" t="s">
        <v>32</v>
      </c>
      <c r="M5736" t="s">
        <v>33</v>
      </c>
      <c r="P5736" s="1" t="s">
        <v>19330</v>
      </c>
      <c r="Q5736" s="1" t="s">
        <v>19257</v>
      </c>
      <c r="R5736" s="1" t="s">
        <v>19257</v>
      </c>
      <c r="S5736" s="1"/>
      <c r="T5736" s="1" t="s">
        <v>314</v>
      </c>
      <c r="U5736" s="1"/>
      <c r="V5736" s="1">
        <v>18.49</v>
      </c>
      <c r="W5736" s="1">
        <v>18.49</v>
      </c>
      <c r="X5736" s="1" t="s">
        <v>35</v>
      </c>
      <c r="Y5736" s="1">
        <v>18490</v>
      </c>
      <c r="Z5736" s="1"/>
      <c r="AA5736" s="1">
        <v>18490</v>
      </c>
      <c r="AB5736" s="1"/>
      <c r="AC5736" s="1" t="s">
        <v>36</v>
      </c>
      <c r="AD5736" s="1" t="s">
        <v>19325</v>
      </c>
      <c r="AE5736" s="1" t="s">
        <v>32</v>
      </c>
      <c r="AF5736" s="1" t="s">
        <v>33</v>
      </c>
      <c r="AG5736" s="1" t="s">
        <v>180</v>
      </c>
    </row>
    <row r="5737" spans="1:33">
      <c r="A5737" t="s">
        <v>19331</v>
      </c>
      <c r="B5737" t="s">
        <v>19332</v>
      </c>
      <c r="C5737" t="s">
        <v>73</v>
      </c>
      <c r="E5737" t="s">
        <v>19257</v>
      </c>
      <c r="F5737" t="s">
        <v>19258</v>
      </c>
      <c r="G5737">
        <v>72.98</v>
      </c>
      <c r="H5737">
        <v>72.98</v>
      </c>
      <c r="I5737" t="s">
        <v>40</v>
      </c>
      <c r="J5737" t="s">
        <v>41</v>
      </c>
      <c r="K5737" t="s">
        <v>31</v>
      </c>
      <c r="L5737" t="s">
        <v>32</v>
      </c>
      <c r="M5737" t="s">
        <v>33</v>
      </c>
      <c r="P5737" s="1" t="s">
        <v>19333</v>
      </c>
      <c r="Q5737" s="1" t="s">
        <v>19257</v>
      </c>
      <c r="R5737" s="1" t="s">
        <v>18429</v>
      </c>
      <c r="S5737" s="1"/>
      <c r="T5737" s="1" t="s">
        <v>75</v>
      </c>
      <c r="U5737" s="1" t="s">
        <v>76</v>
      </c>
      <c r="V5737" s="1">
        <v>72.98</v>
      </c>
      <c r="W5737" s="1">
        <v>72.98</v>
      </c>
      <c r="X5737" s="1" t="s">
        <v>35</v>
      </c>
      <c r="Y5737" s="1">
        <v>72980</v>
      </c>
      <c r="Z5737" s="1"/>
      <c r="AA5737" s="1">
        <v>72980</v>
      </c>
      <c r="AB5737" s="1"/>
      <c r="AC5737" s="1" t="s">
        <v>36</v>
      </c>
      <c r="AD5737" s="1" t="s">
        <v>19334</v>
      </c>
      <c r="AE5737" s="1" t="s">
        <v>32</v>
      </c>
      <c r="AF5737" s="1" t="s">
        <v>33</v>
      </c>
      <c r="AG5737" s="1" t="s">
        <v>41</v>
      </c>
    </row>
    <row r="5738" spans="1:33">
      <c r="A5738" t="s">
        <v>19335</v>
      </c>
      <c r="B5738" t="s">
        <v>12541</v>
      </c>
      <c r="C5738" t="s">
        <v>172</v>
      </c>
      <c r="E5738" t="s">
        <v>19257</v>
      </c>
      <c r="F5738" t="s">
        <v>19258</v>
      </c>
      <c r="G5738">
        <v>100.22</v>
      </c>
      <c r="H5738">
        <v>100.22</v>
      </c>
      <c r="I5738" t="s">
        <v>173</v>
      </c>
      <c r="J5738" t="s">
        <v>174</v>
      </c>
      <c r="K5738" t="s">
        <v>31</v>
      </c>
      <c r="L5738" t="s">
        <v>32</v>
      </c>
      <c r="M5738" t="s">
        <v>33</v>
      </c>
      <c r="P5738" s="1" t="s">
        <v>19336</v>
      </c>
      <c r="Q5738" s="1" t="s">
        <v>19257</v>
      </c>
      <c r="R5738" s="1" t="s">
        <v>19257</v>
      </c>
      <c r="S5738" s="1"/>
      <c r="T5738" s="1" t="s">
        <v>172</v>
      </c>
      <c r="U5738" s="1"/>
      <c r="V5738" s="1">
        <v>100.22</v>
      </c>
      <c r="W5738" s="1">
        <v>100.22</v>
      </c>
      <c r="X5738" s="1" t="s">
        <v>35</v>
      </c>
      <c r="Y5738" s="1">
        <v>100220</v>
      </c>
      <c r="Z5738" s="1"/>
      <c r="AA5738" s="1">
        <v>100220</v>
      </c>
      <c r="AB5738" s="1"/>
      <c r="AC5738" s="1" t="s">
        <v>36</v>
      </c>
      <c r="AD5738" s="1" t="s">
        <v>19337</v>
      </c>
      <c r="AE5738" s="1" t="s">
        <v>32</v>
      </c>
      <c r="AF5738" s="1" t="s">
        <v>33</v>
      </c>
      <c r="AG5738" s="1" t="s">
        <v>174</v>
      </c>
    </row>
    <row r="5739" spans="1:33">
      <c r="A5739" t="s">
        <v>19338</v>
      </c>
      <c r="B5739" t="s">
        <v>251</v>
      </c>
      <c r="C5739" t="s">
        <v>125</v>
      </c>
      <c r="E5739" t="s">
        <v>19257</v>
      </c>
      <c r="F5739" t="s">
        <v>19258</v>
      </c>
      <c r="G5739">
        <v>18.935</v>
      </c>
      <c r="H5739">
        <v>18.935</v>
      </c>
      <c r="I5739" t="s">
        <v>126</v>
      </c>
      <c r="J5739" t="s">
        <v>127</v>
      </c>
      <c r="K5739" t="s">
        <v>31</v>
      </c>
      <c r="L5739" t="s">
        <v>32</v>
      </c>
      <c r="M5739" t="s">
        <v>33</v>
      </c>
      <c r="P5739" s="1" t="s">
        <v>19339</v>
      </c>
      <c r="Q5739" s="1" t="s">
        <v>19257</v>
      </c>
      <c r="R5739" s="1" t="s">
        <v>19257</v>
      </c>
      <c r="S5739" s="1"/>
      <c r="T5739" s="1" t="s">
        <v>125</v>
      </c>
      <c r="U5739" s="1"/>
      <c r="V5739" s="1">
        <v>18.935</v>
      </c>
      <c r="W5739" s="1">
        <v>18.935</v>
      </c>
      <c r="X5739" s="1" t="s">
        <v>35</v>
      </c>
      <c r="Y5739" s="1">
        <v>18935</v>
      </c>
      <c r="Z5739" s="1"/>
      <c r="AA5739" s="1">
        <v>18935</v>
      </c>
      <c r="AB5739" s="1"/>
      <c r="AC5739" s="1" t="s">
        <v>36</v>
      </c>
      <c r="AD5739" s="1" t="s">
        <v>19340</v>
      </c>
      <c r="AE5739" s="1" t="s">
        <v>32</v>
      </c>
      <c r="AF5739" s="1" t="s">
        <v>33</v>
      </c>
      <c r="AG5739" s="1" t="s">
        <v>127</v>
      </c>
    </row>
    <row r="5740" spans="1:33">
      <c r="A5740" t="s">
        <v>19341</v>
      </c>
      <c r="B5740" t="s">
        <v>15805</v>
      </c>
      <c r="C5740" t="s">
        <v>569</v>
      </c>
      <c r="E5740" t="s">
        <v>19257</v>
      </c>
      <c r="F5740" t="s">
        <v>19258</v>
      </c>
      <c r="G5740">
        <v>37.434</v>
      </c>
      <c r="H5740">
        <v>37.434</v>
      </c>
      <c r="I5740" t="s">
        <v>570</v>
      </c>
      <c r="J5740" t="s">
        <v>571</v>
      </c>
      <c r="K5740" t="s">
        <v>31</v>
      </c>
      <c r="L5740" t="s">
        <v>32</v>
      </c>
      <c r="M5740" t="s">
        <v>33</v>
      </c>
      <c r="P5740" s="1" t="s">
        <v>19342</v>
      </c>
      <c r="Q5740" s="1" t="s">
        <v>19257</v>
      </c>
      <c r="R5740" s="1" t="s">
        <v>19257</v>
      </c>
      <c r="S5740" s="1"/>
      <c r="T5740" s="1" t="s">
        <v>569</v>
      </c>
      <c r="U5740" s="1"/>
      <c r="V5740" s="1">
        <v>37.434</v>
      </c>
      <c r="W5740" s="1">
        <v>37.434</v>
      </c>
      <c r="X5740" s="1" t="s">
        <v>35</v>
      </c>
      <c r="Y5740" s="1">
        <v>37434</v>
      </c>
      <c r="Z5740" s="1"/>
      <c r="AA5740" s="1">
        <v>37434</v>
      </c>
      <c r="AB5740" s="1"/>
      <c r="AC5740" s="1" t="s">
        <v>36</v>
      </c>
      <c r="AD5740" s="1" t="s">
        <v>19340</v>
      </c>
      <c r="AE5740" s="1" t="s">
        <v>32</v>
      </c>
      <c r="AF5740" s="1" t="s">
        <v>33</v>
      </c>
      <c r="AG5740" s="1" t="s">
        <v>571</v>
      </c>
    </row>
    <row r="5741" spans="1:33">
      <c r="A5741" t="s">
        <v>19343</v>
      </c>
      <c r="B5741" t="s">
        <v>493</v>
      </c>
      <c r="C5741" t="s">
        <v>268</v>
      </c>
      <c r="E5741" t="s">
        <v>19257</v>
      </c>
      <c r="F5741" t="s">
        <v>19258</v>
      </c>
      <c r="G5741">
        <v>16.9</v>
      </c>
      <c r="H5741">
        <v>16.9</v>
      </c>
      <c r="I5741" t="s">
        <v>269</v>
      </c>
      <c r="J5741" t="s">
        <v>270</v>
      </c>
      <c r="K5741" t="s">
        <v>31</v>
      </c>
      <c r="L5741" t="s">
        <v>32</v>
      </c>
      <c r="M5741" t="s">
        <v>33</v>
      </c>
      <c r="P5741" s="1" t="s">
        <v>19344</v>
      </c>
      <c r="Q5741" s="1" t="s">
        <v>19257</v>
      </c>
      <c r="R5741" s="1" t="s">
        <v>19257</v>
      </c>
      <c r="S5741" s="1"/>
      <c r="T5741" s="1" t="s">
        <v>268</v>
      </c>
      <c r="U5741" s="1"/>
      <c r="V5741" s="1">
        <v>16.9</v>
      </c>
      <c r="W5741" s="1">
        <v>16.9</v>
      </c>
      <c r="X5741" s="1" t="s">
        <v>35</v>
      </c>
      <c r="Y5741" s="1">
        <v>16900</v>
      </c>
      <c r="Z5741" s="1"/>
      <c r="AA5741" s="1">
        <v>16900</v>
      </c>
      <c r="AB5741" s="1"/>
      <c r="AC5741" s="1" t="s">
        <v>36</v>
      </c>
      <c r="AD5741" s="1" t="s">
        <v>19345</v>
      </c>
      <c r="AE5741" s="1" t="s">
        <v>32</v>
      </c>
      <c r="AF5741" s="1" t="s">
        <v>33</v>
      </c>
      <c r="AG5741" s="1" t="s">
        <v>270</v>
      </c>
    </row>
    <row r="5742" spans="1:33">
      <c r="A5742" t="s">
        <v>19346</v>
      </c>
      <c r="B5742" t="s">
        <v>19347</v>
      </c>
      <c r="C5742" t="s">
        <v>268</v>
      </c>
      <c r="E5742" t="s">
        <v>19257</v>
      </c>
      <c r="F5742" t="s">
        <v>19258</v>
      </c>
      <c r="G5742">
        <v>40.25</v>
      </c>
      <c r="H5742">
        <v>40.25</v>
      </c>
      <c r="I5742" t="s">
        <v>269</v>
      </c>
      <c r="J5742" t="s">
        <v>270</v>
      </c>
      <c r="K5742" t="s">
        <v>31</v>
      </c>
      <c r="L5742" t="s">
        <v>32</v>
      </c>
      <c r="M5742" t="s">
        <v>33</v>
      </c>
      <c r="P5742" s="1" t="s">
        <v>19348</v>
      </c>
      <c r="Q5742" s="1" t="s">
        <v>19257</v>
      </c>
      <c r="R5742" s="1" t="s">
        <v>19257</v>
      </c>
      <c r="S5742" s="1"/>
      <c r="T5742" s="1" t="s">
        <v>268</v>
      </c>
      <c r="U5742" s="1"/>
      <c r="V5742" s="1">
        <v>40.25</v>
      </c>
      <c r="W5742" s="1">
        <v>40.25</v>
      </c>
      <c r="X5742" s="1" t="s">
        <v>35</v>
      </c>
      <c r="Y5742" s="1">
        <v>40250</v>
      </c>
      <c r="Z5742" s="1"/>
      <c r="AA5742" s="1">
        <v>40250</v>
      </c>
      <c r="AB5742" s="1"/>
      <c r="AC5742" s="1" t="s">
        <v>36</v>
      </c>
      <c r="AD5742" s="1" t="s">
        <v>19349</v>
      </c>
      <c r="AE5742" s="1" t="s">
        <v>32</v>
      </c>
      <c r="AF5742" s="1" t="s">
        <v>33</v>
      </c>
      <c r="AG5742" s="1" t="s">
        <v>270</v>
      </c>
    </row>
    <row r="5743" spans="1:33">
      <c r="A5743" t="s">
        <v>19350</v>
      </c>
      <c r="B5743" t="s">
        <v>6220</v>
      </c>
      <c r="C5743" t="s">
        <v>569</v>
      </c>
      <c r="E5743" t="s">
        <v>19257</v>
      </c>
      <c r="F5743" t="s">
        <v>19258</v>
      </c>
      <c r="G5743">
        <v>59.77</v>
      </c>
      <c r="H5743">
        <v>59.77</v>
      </c>
      <c r="I5743" t="s">
        <v>570</v>
      </c>
      <c r="J5743" t="s">
        <v>571</v>
      </c>
      <c r="K5743" t="s">
        <v>31</v>
      </c>
      <c r="L5743" t="s">
        <v>32</v>
      </c>
      <c r="M5743" t="s">
        <v>33</v>
      </c>
      <c r="P5743" s="1" t="s">
        <v>19351</v>
      </c>
      <c r="Q5743" s="1" t="s">
        <v>19257</v>
      </c>
      <c r="R5743" s="1" t="s">
        <v>19257</v>
      </c>
      <c r="S5743" s="1"/>
      <c r="T5743" s="1" t="s">
        <v>569</v>
      </c>
      <c r="U5743" s="1"/>
      <c r="V5743" s="1">
        <v>59.77</v>
      </c>
      <c r="W5743" s="1">
        <v>59.77</v>
      </c>
      <c r="X5743" s="1" t="s">
        <v>35</v>
      </c>
      <c r="Y5743" s="1">
        <v>59790</v>
      </c>
      <c r="Z5743" s="1">
        <v>-20</v>
      </c>
      <c r="AA5743" s="1">
        <v>59790</v>
      </c>
      <c r="AB5743" s="1">
        <v>-20</v>
      </c>
      <c r="AC5743" s="1" t="s">
        <v>36</v>
      </c>
      <c r="AD5743" s="1" t="s">
        <v>19352</v>
      </c>
      <c r="AE5743" s="1" t="s">
        <v>32</v>
      </c>
      <c r="AF5743" s="1" t="s">
        <v>33</v>
      </c>
      <c r="AG5743" s="1" t="s">
        <v>571</v>
      </c>
    </row>
    <row r="5744" spans="1:33">
      <c r="A5744" t="s">
        <v>19353</v>
      </c>
      <c r="C5744" t="s">
        <v>259</v>
      </c>
      <c r="D5744" t="s">
        <v>114</v>
      </c>
      <c r="E5744" t="s">
        <v>19257</v>
      </c>
      <c r="F5744" t="s">
        <v>19258</v>
      </c>
      <c r="G5744">
        <v>1.11</v>
      </c>
      <c r="H5744">
        <v>1.11</v>
      </c>
      <c r="I5744" t="s">
        <v>173</v>
      </c>
      <c r="J5744" t="s">
        <v>174</v>
      </c>
      <c r="K5744" t="s">
        <v>31</v>
      </c>
      <c r="L5744" t="s">
        <v>32</v>
      </c>
      <c r="M5744" t="s">
        <v>33</v>
      </c>
      <c r="P5744" s="1" t="s">
        <v>19354</v>
      </c>
      <c r="Q5744" s="1" t="s">
        <v>19257</v>
      </c>
      <c r="R5744" s="1" t="s">
        <v>19257</v>
      </c>
      <c r="S5744" s="1"/>
      <c r="T5744" s="1" t="s">
        <v>259</v>
      </c>
      <c r="U5744" s="1"/>
      <c r="V5744" s="1">
        <v>1.11</v>
      </c>
      <c r="W5744" s="1">
        <v>1.11</v>
      </c>
      <c r="X5744" s="1" t="s">
        <v>35</v>
      </c>
      <c r="Y5744" s="1">
        <v>1110000</v>
      </c>
      <c r="Z5744" s="1"/>
      <c r="AA5744" s="1">
        <v>1110000</v>
      </c>
      <c r="AB5744" s="1"/>
      <c r="AC5744" s="1" t="s">
        <v>36</v>
      </c>
      <c r="AD5744" s="1" t="s">
        <v>19349</v>
      </c>
      <c r="AE5744" s="1" t="s">
        <v>32</v>
      </c>
      <c r="AF5744" s="1" t="s">
        <v>33</v>
      </c>
      <c r="AG5744" s="1" t="s">
        <v>174</v>
      </c>
    </row>
    <row r="5745" spans="1:33">
      <c r="A5745" t="s">
        <v>19355</v>
      </c>
      <c r="C5745" t="s">
        <v>19356</v>
      </c>
      <c r="E5745" t="s">
        <v>19257</v>
      </c>
      <c r="F5745" t="s">
        <v>19258</v>
      </c>
      <c r="G5745">
        <v>336.0</v>
      </c>
      <c r="H5745">
        <v>336.0</v>
      </c>
      <c r="I5745" t="s">
        <v>2206</v>
      </c>
      <c r="J5745" t="s">
        <v>49</v>
      </c>
      <c r="K5745" t="s">
        <v>31</v>
      </c>
      <c r="L5745" t="s">
        <v>32</v>
      </c>
      <c r="M5745" t="s">
        <v>33</v>
      </c>
      <c r="P5745" s="1" t="s">
        <v>19357</v>
      </c>
      <c r="Q5745" s="1" t="s">
        <v>19257</v>
      </c>
      <c r="R5745" s="1" t="s">
        <v>19257</v>
      </c>
      <c r="S5745" s="1"/>
      <c r="T5745" s="1" t="s">
        <v>19356</v>
      </c>
      <c r="U5745" s="1"/>
      <c r="V5745" s="1">
        <v>336.0</v>
      </c>
      <c r="W5745" s="1">
        <v>336.0</v>
      </c>
      <c r="X5745" s="1" t="s">
        <v>35</v>
      </c>
      <c r="Y5745" s="1">
        <v>336000</v>
      </c>
      <c r="Z5745" s="1"/>
      <c r="AA5745" s="1">
        <v>336000</v>
      </c>
      <c r="AB5745" s="1"/>
      <c r="AC5745" s="1" t="s">
        <v>36</v>
      </c>
      <c r="AD5745" s="1" t="s">
        <v>19352</v>
      </c>
      <c r="AE5745" s="1" t="s">
        <v>32</v>
      </c>
      <c r="AF5745" s="1" t="s">
        <v>33</v>
      </c>
      <c r="AG5745" s="1" t="s">
        <v>49</v>
      </c>
    </row>
    <row r="5746" spans="1:33">
      <c r="A5746" t="s">
        <v>19358</v>
      </c>
      <c r="B5746" t="s">
        <v>1108</v>
      </c>
      <c r="C5746" t="s">
        <v>1109</v>
      </c>
      <c r="E5746" t="s">
        <v>19257</v>
      </c>
      <c r="F5746" t="s">
        <v>19258</v>
      </c>
      <c r="G5746">
        <v>1.32</v>
      </c>
      <c r="H5746">
        <v>1.32</v>
      </c>
      <c r="I5746" t="s">
        <v>529</v>
      </c>
      <c r="J5746" t="s">
        <v>530</v>
      </c>
      <c r="K5746" t="s">
        <v>31</v>
      </c>
      <c r="L5746" t="s">
        <v>32</v>
      </c>
      <c r="M5746" t="s">
        <v>33</v>
      </c>
      <c r="P5746" s="1" t="s">
        <v>19359</v>
      </c>
      <c r="Q5746" s="1" t="s">
        <v>19257</v>
      </c>
      <c r="R5746" s="1" t="s">
        <v>18429</v>
      </c>
      <c r="S5746" s="1"/>
      <c r="T5746" s="1" t="s">
        <v>1111</v>
      </c>
      <c r="U5746" s="1" t="s">
        <v>1112</v>
      </c>
      <c r="V5746" s="1">
        <v>1.32</v>
      </c>
      <c r="W5746" s="1">
        <v>1.32</v>
      </c>
      <c r="X5746" s="1" t="s">
        <v>35</v>
      </c>
      <c r="Y5746" s="1">
        <v>1320800</v>
      </c>
      <c r="Z5746" s="1"/>
      <c r="AA5746" s="1">
        <v>1320800</v>
      </c>
      <c r="AB5746" s="1"/>
      <c r="AC5746" s="1" t="s">
        <v>36</v>
      </c>
      <c r="AD5746" s="1" t="s">
        <v>19360</v>
      </c>
      <c r="AE5746" s="1" t="s">
        <v>32</v>
      </c>
      <c r="AF5746" s="1" t="s">
        <v>33</v>
      </c>
      <c r="AG5746" s="1" t="s">
        <v>530</v>
      </c>
    </row>
    <row r="5747" spans="1:33">
      <c r="A5747" t="s">
        <v>19361</v>
      </c>
      <c r="C5747" t="s">
        <v>19362</v>
      </c>
      <c r="E5747" t="s">
        <v>19257</v>
      </c>
      <c r="F5747" t="s">
        <v>19258</v>
      </c>
      <c r="G5747">
        <v>1.195</v>
      </c>
      <c r="H5747">
        <v>1.195</v>
      </c>
      <c r="I5747" t="s">
        <v>2206</v>
      </c>
      <c r="J5747" t="s">
        <v>49</v>
      </c>
      <c r="K5747" t="s">
        <v>31</v>
      </c>
      <c r="L5747" t="s">
        <v>32</v>
      </c>
      <c r="M5747" t="s">
        <v>33</v>
      </c>
      <c r="P5747" s="1" t="s">
        <v>19363</v>
      </c>
      <c r="Q5747" s="1" t="s">
        <v>19257</v>
      </c>
      <c r="R5747" s="1" t="s">
        <v>19257</v>
      </c>
      <c r="S5747" s="1"/>
      <c r="T5747" s="1" t="s">
        <v>19364</v>
      </c>
      <c r="U5747" s="1" t="s">
        <v>19365</v>
      </c>
      <c r="V5747" s="1">
        <v>1.195</v>
      </c>
      <c r="W5747" s="1">
        <v>1.195</v>
      </c>
      <c r="X5747" s="1" t="s">
        <v>35</v>
      </c>
      <c r="Y5747" s="1">
        <v>1195000</v>
      </c>
      <c r="Z5747" s="1"/>
      <c r="AA5747" s="1">
        <v>1195000</v>
      </c>
      <c r="AB5747" s="1"/>
      <c r="AC5747" s="1" t="s">
        <v>36</v>
      </c>
      <c r="AD5747" s="1" t="s">
        <v>19366</v>
      </c>
      <c r="AE5747" s="1" t="s">
        <v>32</v>
      </c>
      <c r="AF5747" s="1" t="s">
        <v>33</v>
      </c>
      <c r="AG5747" s="1" t="s">
        <v>49</v>
      </c>
    </row>
    <row r="5748" spans="1:33">
      <c r="A5748" t="s">
        <v>19367</v>
      </c>
      <c r="B5748" t="s">
        <v>7538</v>
      </c>
      <c r="C5748" t="s">
        <v>68</v>
      </c>
      <c r="E5748" t="s">
        <v>19257</v>
      </c>
      <c r="F5748" t="s">
        <v>19258</v>
      </c>
      <c r="G5748">
        <v>3.0</v>
      </c>
      <c r="H5748">
        <v>3.0</v>
      </c>
      <c r="I5748" t="s">
        <v>59</v>
      </c>
      <c r="J5748" t="s">
        <v>60</v>
      </c>
      <c r="K5748" t="s">
        <v>31</v>
      </c>
      <c r="L5748" t="s">
        <v>32</v>
      </c>
      <c r="M5748" t="s">
        <v>33</v>
      </c>
      <c r="P5748" s="1" t="s">
        <v>19368</v>
      </c>
      <c r="Q5748" s="1" t="s">
        <v>19257</v>
      </c>
      <c r="R5748" s="1" t="s">
        <v>19257</v>
      </c>
      <c r="S5748" s="1"/>
      <c r="T5748" s="1" t="s">
        <v>68</v>
      </c>
      <c r="U5748" s="1"/>
      <c r="V5748" s="1">
        <v>3.0</v>
      </c>
      <c r="W5748" s="1">
        <v>3.0</v>
      </c>
      <c r="X5748" s="1" t="s">
        <v>35</v>
      </c>
      <c r="Y5748" s="1">
        <v>3000</v>
      </c>
      <c r="Z5748" s="1"/>
      <c r="AA5748" s="1">
        <v>3000</v>
      </c>
      <c r="AB5748" s="1"/>
      <c r="AC5748" s="1" t="s">
        <v>36</v>
      </c>
      <c r="AD5748" s="1" t="s">
        <v>19369</v>
      </c>
      <c r="AE5748" s="1" t="s">
        <v>32</v>
      </c>
      <c r="AF5748" s="1" t="s">
        <v>33</v>
      </c>
      <c r="AG5748" s="1" t="s">
        <v>60</v>
      </c>
    </row>
    <row r="5749" spans="1:33">
      <c r="A5749" t="s">
        <v>19370</v>
      </c>
      <c r="C5749" t="s">
        <v>2022</v>
      </c>
      <c r="E5749" t="s">
        <v>19257</v>
      </c>
      <c r="F5749" t="s">
        <v>19258</v>
      </c>
      <c r="G5749">
        <v>352.0</v>
      </c>
      <c r="H5749">
        <v>352.0</v>
      </c>
      <c r="I5749" t="s">
        <v>173</v>
      </c>
      <c r="J5749" t="s">
        <v>174</v>
      </c>
      <c r="K5749" t="s">
        <v>31</v>
      </c>
      <c r="L5749" t="s">
        <v>32</v>
      </c>
      <c r="M5749" t="s">
        <v>33</v>
      </c>
      <c r="P5749" s="1" t="s">
        <v>19371</v>
      </c>
      <c r="Q5749" s="1" t="s">
        <v>19257</v>
      </c>
      <c r="R5749" s="1" t="s">
        <v>19257</v>
      </c>
      <c r="S5749" s="1"/>
      <c r="T5749" s="1" t="s">
        <v>2022</v>
      </c>
      <c r="U5749" s="1"/>
      <c r="V5749" s="1">
        <v>352.0</v>
      </c>
      <c r="W5749" s="1">
        <v>352.0</v>
      </c>
      <c r="X5749" s="1" t="s">
        <v>35</v>
      </c>
      <c r="Y5749" s="1">
        <v>352000</v>
      </c>
      <c r="Z5749" s="1"/>
      <c r="AA5749" s="1">
        <v>352000</v>
      </c>
      <c r="AB5749" s="1"/>
      <c r="AC5749" s="1" t="s">
        <v>36</v>
      </c>
      <c r="AD5749" s="1" t="s">
        <v>19372</v>
      </c>
      <c r="AE5749" s="1" t="s">
        <v>32</v>
      </c>
      <c r="AF5749" s="1" t="s">
        <v>33</v>
      </c>
      <c r="AG5749" s="1" t="s">
        <v>174</v>
      </c>
    </row>
    <row r="5750" spans="1:33">
      <c r="A5750" t="s">
        <v>19373</v>
      </c>
      <c r="B5750" t="s">
        <v>9764</v>
      </c>
      <c r="C5750" t="s">
        <v>268</v>
      </c>
      <c r="E5750" t="s">
        <v>19257</v>
      </c>
      <c r="F5750" t="s">
        <v>19258</v>
      </c>
      <c r="G5750">
        <v>202.8</v>
      </c>
      <c r="H5750">
        <v>202.8</v>
      </c>
      <c r="I5750" t="s">
        <v>269</v>
      </c>
      <c r="J5750" t="s">
        <v>270</v>
      </c>
      <c r="K5750" t="s">
        <v>31</v>
      </c>
      <c r="L5750" t="s">
        <v>32</v>
      </c>
      <c r="M5750" t="s">
        <v>33</v>
      </c>
      <c r="P5750" s="1" t="s">
        <v>19374</v>
      </c>
      <c r="Q5750" s="1" t="s">
        <v>19257</v>
      </c>
      <c r="R5750" s="1" t="s">
        <v>19257</v>
      </c>
      <c r="S5750" s="1"/>
      <c r="T5750" s="1" t="s">
        <v>268</v>
      </c>
      <c r="U5750" s="1"/>
      <c r="V5750" s="1">
        <v>202.8</v>
      </c>
      <c r="W5750" s="1">
        <v>202.8</v>
      </c>
      <c r="X5750" s="1" t="s">
        <v>35</v>
      </c>
      <c r="Y5750" s="1">
        <v>202800</v>
      </c>
      <c r="Z5750" s="1"/>
      <c r="AA5750" s="1">
        <v>202800</v>
      </c>
      <c r="AB5750" s="1"/>
      <c r="AC5750" s="1" t="s">
        <v>36</v>
      </c>
      <c r="AD5750" s="1" t="s">
        <v>19375</v>
      </c>
      <c r="AE5750" s="1" t="s">
        <v>32</v>
      </c>
      <c r="AF5750" s="1" t="s">
        <v>33</v>
      </c>
      <c r="AG5750" s="1" t="s">
        <v>270</v>
      </c>
    </row>
    <row r="5751" spans="1:33">
      <c r="A5751" t="s">
        <v>19376</v>
      </c>
      <c r="C5751" t="s">
        <v>569</v>
      </c>
      <c r="E5751" t="s">
        <v>19257</v>
      </c>
      <c r="F5751" t="s">
        <v>19258</v>
      </c>
      <c r="G5751">
        <v>17.79</v>
      </c>
      <c r="H5751">
        <v>17.79</v>
      </c>
      <c r="I5751" t="s">
        <v>570</v>
      </c>
      <c r="J5751" t="s">
        <v>571</v>
      </c>
      <c r="K5751" t="s">
        <v>31</v>
      </c>
      <c r="L5751" t="s">
        <v>32</v>
      </c>
      <c r="M5751" t="s">
        <v>33</v>
      </c>
      <c r="P5751" s="1" t="s">
        <v>19377</v>
      </c>
      <c r="Q5751" s="1" t="s">
        <v>19257</v>
      </c>
      <c r="R5751" s="1" t="s">
        <v>19257</v>
      </c>
      <c r="S5751" s="1"/>
      <c r="T5751" s="1" t="s">
        <v>569</v>
      </c>
      <c r="U5751" s="1"/>
      <c r="V5751" s="1">
        <v>17.79</v>
      </c>
      <c r="W5751" s="1">
        <v>17.79</v>
      </c>
      <c r="X5751" s="1" t="s">
        <v>35</v>
      </c>
      <c r="Y5751" s="1">
        <v>17790</v>
      </c>
      <c r="Z5751" s="1"/>
      <c r="AA5751" s="1">
        <v>17790</v>
      </c>
      <c r="AB5751" s="1"/>
      <c r="AC5751" s="1" t="s">
        <v>36</v>
      </c>
      <c r="AD5751" s="1" t="s">
        <v>19378</v>
      </c>
      <c r="AE5751" s="1" t="s">
        <v>32</v>
      </c>
      <c r="AF5751" s="1" t="s">
        <v>33</v>
      </c>
      <c r="AG5751" s="1" t="s">
        <v>571</v>
      </c>
    </row>
    <row r="5752" spans="1:33">
      <c r="A5752" t="s">
        <v>19379</v>
      </c>
      <c r="C5752" t="s">
        <v>300</v>
      </c>
      <c r="E5752" t="s">
        <v>19257</v>
      </c>
      <c r="F5752" t="s">
        <v>19258</v>
      </c>
      <c r="G5752">
        <v>1.15</v>
      </c>
      <c r="H5752">
        <v>1.15</v>
      </c>
      <c r="I5752" t="s">
        <v>94</v>
      </c>
      <c r="J5752" t="s">
        <v>95</v>
      </c>
      <c r="K5752" t="s">
        <v>31</v>
      </c>
      <c r="L5752" t="s">
        <v>32</v>
      </c>
      <c r="M5752" t="s">
        <v>33</v>
      </c>
      <c r="P5752" s="1" t="s">
        <v>19380</v>
      </c>
      <c r="Q5752" s="1" t="s">
        <v>19257</v>
      </c>
      <c r="R5752" s="1" t="s">
        <v>19257</v>
      </c>
      <c r="S5752" s="1"/>
      <c r="T5752" s="1" t="s">
        <v>302</v>
      </c>
      <c r="U5752" s="1" t="s">
        <v>303</v>
      </c>
      <c r="V5752" s="1">
        <v>1.15</v>
      </c>
      <c r="W5752" s="1">
        <v>1.15</v>
      </c>
      <c r="X5752" s="1" t="s">
        <v>35</v>
      </c>
      <c r="Y5752" s="1">
        <v>1150000</v>
      </c>
      <c r="Z5752" s="1"/>
      <c r="AA5752" s="1">
        <v>1150000</v>
      </c>
      <c r="AB5752" s="1"/>
      <c r="AC5752" s="1" t="s">
        <v>36</v>
      </c>
      <c r="AD5752" s="1" t="s">
        <v>19381</v>
      </c>
      <c r="AE5752" s="1" t="s">
        <v>32</v>
      </c>
      <c r="AF5752" s="1" t="s">
        <v>33</v>
      </c>
      <c r="AG5752" s="1" t="s">
        <v>95</v>
      </c>
    </row>
    <row r="5753" spans="1:33">
      <c r="A5753" t="s">
        <v>19382</v>
      </c>
      <c r="B5753" t="s">
        <v>1215</v>
      </c>
      <c r="C5753" t="s">
        <v>1216</v>
      </c>
      <c r="D5753" t="s">
        <v>114</v>
      </c>
      <c r="E5753" t="s">
        <v>19257</v>
      </c>
      <c r="F5753" t="s">
        <v>19258</v>
      </c>
      <c r="G5753">
        <v>150.5</v>
      </c>
      <c r="H5753">
        <v>150.5</v>
      </c>
      <c r="I5753" t="s">
        <v>59</v>
      </c>
      <c r="J5753" t="s">
        <v>60</v>
      </c>
      <c r="K5753" t="s">
        <v>31</v>
      </c>
      <c r="L5753" t="s">
        <v>32</v>
      </c>
      <c r="M5753" t="s">
        <v>33</v>
      </c>
      <c r="P5753" s="1" t="s">
        <v>19383</v>
      </c>
      <c r="Q5753" s="1" t="s">
        <v>19257</v>
      </c>
      <c r="R5753" s="1" t="s">
        <v>19257</v>
      </c>
      <c r="S5753" s="1"/>
      <c r="T5753" s="1" t="s">
        <v>1218</v>
      </c>
      <c r="U5753" s="1" t="s">
        <v>1219</v>
      </c>
      <c r="V5753" s="1">
        <v>150.5</v>
      </c>
      <c r="W5753" s="1">
        <v>150.5</v>
      </c>
      <c r="X5753" s="1" t="s">
        <v>35</v>
      </c>
      <c r="Y5753" s="1">
        <v>150500</v>
      </c>
      <c r="Z5753" s="1"/>
      <c r="AA5753" s="1">
        <v>150500</v>
      </c>
      <c r="AB5753" s="1"/>
      <c r="AC5753" s="1" t="s">
        <v>36</v>
      </c>
      <c r="AD5753" s="1" t="s">
        <v>19384</v>
      </c>
      <c r="AE5753" s="1" t="s">
        <v>32</v>
      </c>
      <c r="AF5753" s="1" t="s">
        <v>33</v>
      </c>
      <c r="AG5753" s="1" t="s">
        <v>60</v>
      </c>
    </row>
    <row r="5754" spans="1:33">
      <c r="A5754" t="s">
        <v>19385</v>
      </c>
      <c r="B5754" t="s">
        <v>4991</v>
      </c>
      <c r="C5754" t="s">
        <v>125</v>
      </c>
      <c r="E5754" t="s">
        <v>19257</v>
      </c>
      <c r="F5754" t="s">
        <v>19258</v>
      </c>
      <c r="G5754">
        <v>38.98</v>
      </c>
      <c r="H5754">
        <v>38.98</v>
      </c>
      <c r="I5754" t="s">
        <v>126</v>
      </c>
      <c r="J5754" t="s">
        <v>127</v>
      </c>
      <c r="K5754" t="s">
        <v>31</v>
      </c>
      <c r="L5754" t="s">
        <v>32</v>
      </c>
      <c r="M5754" t="s">
        <v>33</v>
      </c>
      <c r="P5754" s="1" t="s">
        <v>19386</v>
      </c>
      <c r="Q5754" s="1" t="s">
        <v>19257</v>
      </c>
      <c r="R5754" s="1" t="s">
        <v>19257</v>
      </c>
      <c r="S5754" s="1"/>
      <c r="T5754" s="1" t="s">
        <v>125</v>
      </c>
      <c r="U5754" s="1"/>
      <c r="V5754" s="1">
        <v>38.98</v>
      </c>
      <c r="W5754" s="1">
        <v>38.98</v>
      </c>
      <c r="X5754" s="1" t="s">
        <v>35</v>
      </c>
      <c r="Y5754" s="1">
        <v>38980</v>
      </c>
      <c r="Z5754" s="1"/>
      <c r="AA5754" s="1">
        <v>38980</v>
      </c>
      <c r="AB5754" s="1"/>
      <c r="AC5754" s="1" t="s">
        <v>36</v>
      </c>
      <c r="AD5754" s="1" t="s">
        <v>19387</v>
      </c>
      <c r="AE5754" s="1" t="s">
        <v>32</v>
      </c>
      <c r="AF5754" s="1" t="s">
        <v>33</v>
      </c>
      <c r="AG5754" s="1" t="s">
        <v>127</v>
      </c>
    </row>
    <row r="5755" spans="1:33">
      <c r="A5755" t="s">
        <v>19388</v>
      </c>
      <c r="C5755" t="s">
        <v>3250</v>
      </c>
      <c r="E5755" t="s">
        <v>19257</v>
      </c>
      <c r="F5755" t="s">
        <v>19258</v>
      </c>
      <c r="G5755">
        <v>2.162</v>
      </c>
      <c r="H5755">
        <v>2.162</v>
      </c>
      <c r="I5755" t="s">
        <v>269</v>
      </c>
      <c r="J5755" t="s">
        <v>270</v>
      </c>
      <c r="K5755" t="s">
        <v>31</v>
      </c>
      <c r="L5755" t="s">
        <v>32</v>
      </c>
      <c r="M5755" t="s">
        <v>33</v>
      </c>
      <c r="P5755" s="1" t="s">
        <v>19389</v>
      </c>
      <c r="Q5755" s="1" t="s">
        <v>19257</v>
      </c>
      <c r="R5755" s="1" t="s">
        <v>19257</v>
      </c>
      <c r="S5755" s="1"/>
      <c r="T5755" s="1" t="s">
        <v>3252</v>
      </c>
      <c r="U5755" s="1" t="s">
        <v>3253</v>
      </c>
      <c r="V5755" s="1">
        <v>2.162</v>
      </c>
      <c r="W5755" s="1">
        <v>2.162</v>
      </c>
      <c r="X5755" s="1" t="s">
        <v>35</v>
      </c>
      <c r="Y5755" s="1">
        <v>2162250</v>
      </c>
      <c r="Z5755" s="1"/>
      <c r="AA5755" s="1">
        <v>2162250</v>
      </c>
      <c r="AB5755" s="1"/>
      <c r="AC5755" s="1" t="s">
        <v>36</v>
      </c>
      <c r="AD5755" s="1" t="s">
        <v>19372</v>
      </c>
      <c r="AE5755" s="1" t="s">
        <v>32</v>
      </c>
      <c r="AF5755" s="1" t="s">
        <v>33</v>
      </c>
      <c r="AG5755" s="1" t="s">
        <v>270</v>
      </c>
    </row>
    <row r="5756" spans="1:33">
      <c r="A5756" t="s">
        <v>19390</v>
      </c>
      <c r="C5756" t="s">
        <v>1129</v>
      </c>
      <c r="E5756" t="s">
        <v>19257</v>
      </c>
      <c r="F5756" t="s">
        <v>19258</v>
      </c>
      <c r="G5756">
        <v>369.6</v>
      </c>
      <c r="H5756">
        <v>369.6</v>
      </c>
      <c r="I5756" t="s">
        <v>94</v>
      </c>
      <c r="J5756" t="s">
        <v>95</v>
      </c>
      <c r="K5756" t="s">
        <v>31</v>
      </c>
      <c r="L5756" t="s">
        <v>32</v>
      </c>
      <c r="M5756" t="s">
        <v>33</v>
      </c>
      <c r="P5756" s="1" t="s">
        <v>19391</v>
      </c>
      <c r="Q5756" s="1" t="s">
        <v>19257</v>
      </c>
      <c r="R5756" s="1" t="s">
        <v>19257</v>
      </c>
      <c r="S5756" s="1"/>
      <c r="T5756" s="1" t="s">
        <v>1129</v>
      </c>
      <c r="U5756" s="1"/>
      <c r="V5756" s="1">
        <v>369.6</v>
      </c>
      <c r="W5756" s="1">
        <v>369.6</v>
      </c>
      <c r="X5756" s="1" t="s">
        <v>35</v>
      </c>
      <c r="Y5756" s="1">
        <v>369600</v>
      </c>
      <c r="Z5756" s="1"/>
      <c r="AA5756" s="1">
        <v>369600</v>
      </c>
      <c r="AB5756" s="1"/>
      <c r="AC5756" s="1" t="s">
        <v>36</v>
      </c>
      <c r="AD5756" s="1" t="s">
        <v>19392</v>
      </c>
      <c r="AE5756" s="1" t="s">
        <v>32</v>
      </c>
      <c r="AF5756" s="1" t="s">
        <v>33</v>
      </c>
      <c r="AG5756" s="1" t="s">
        <v>95</v>
      </c>
    </row>
    <row r="5757" spans="1:33">
      <c r="A5757" t="s">
        <v>19393</v>
      </c>
      <c r="C5757" t="s">
        <v>569</v>
      </c>
      <c r="E5757" t="s">
        <v>19257</v>
      </c>
      <c r="F5757" t="s">
        <v>19258</v>
      </c>
      <c r="G5757">
        <v>20.99</v>
      </c>
      <c r="H5757">
        <v>20.99</v>
      </c>
      <c r="I5757" t="s">
        <v>570</v>
      </c>
      <c r="J5757" t="s">
        <v>571</v>
      </c>
      <c r="K5757" t="s">
        <v>31</v>
      </c>
      <c r="L5757" t="s">
        <v>32</v>
      </c>
      <c r="M5757" t="s">
        <v>33</v>
      </c>
      <c r="P5757" s="1" t="s">
        <v>19394</v>
      </c>
      <c r="Q5757" s="1" t="s">
        <v>19257</v>
      </c>
      <c r="R5757" s="1" t="s">
        <v>19257</v>
      </c>
      <c r="S5757" s="1"/>
      <c r="T5757" s="1" t="s">
        <v>569</v>
      </c>
      <c r="U5757" s="1"/>
      <c r="V5757" s="1">
        <v>20.99</v>
      </c>
      <c r="W5757" s="1">
        <v>20.99</v>
      </c>
      <c r="X5757" s="1" t="s">
        <v>35</v>
      </c>
      <c r="Y5757" s="1">
        <v>20990</v>
      </c>
      <c r="Z5757" s="1"/>
      <c r="AA5757" s="1">
        <v>20990</v>
      </c>
      <c r="AB5757" s="1"/>
      <c r="AC5757" s="1" t="s">
        <v>36</v>
      </c>
      <c r="AD5757" s="1" t="s">
        <v>19395</v>
      </c>
      <c r="AE5757" s="1" t="s">
        <v>32</v>
      </c>
      <c r="AF5757" s="1" t="s">
        <v>33</v>
      </c>
      <c r="AG5757" s="1" t="s">
        <v>571</v>
      </c>
    </row>
    <row r="5758" spans="1:33">
      <c r="A5758" t="s">
        <v>19396</v>
      </c>
      <c r="B5758" t="s">
        <v>19397</v>
      </c>
      <c r="C5758" t="s">
        <v>1070</v>
      </c>
      <c r="E5758" t="s">
        <v>19257</v>
      </c>
      <c r="F5758" t="s">
        <v>19258</v>
      </c>
      <c r="G5758">
        <v>1.6</v>
      </c>
      <c r="H5758">
        <v>1.6</v>
      </c>
      <c r="I5758" t="s">
        <v>40</v>
      </c>
      <c r="J5758" t="s">
        <v>41</v>
      </c>
      <c r="K5758" t="s">
        <v>31</v>
      </c>
      <c r="L5758" t="s">
        <v>32</v>
      </c>
      <c r="M5758" t="s">
        <v>33</v>
      </c>
      <c r="P5758" s="1" t="s">
        <v>19398</v>
      </c>
      <c r="Q5758" s="1" t="s">
        <v>19257</v>
      </c>
      <c r="R5758" s="1" t="s">
        <v>18429</v>
      </c>
      <c r="S5758" s="1"/>
      <c r="T5758" s="1" t="s">
        <v>1070</v>
      </c>
      <c r="U5758" s="1"/>
      <c r="V5758" s="1">
        <v>1.6</v>
      </c>
      <c r="W5758" s="1">
        <v>1.6</v>
      </c>
      <c r="X5758" s="1" t="s">
        <v>35</v>
      </c>
      <c r="Y5758" s="1">
        <v>1600000</v>
      </c>
      <c r="Z5758" s="1"/>
      <c r="AA5758" s="1">
        <v>1600000</v>
      </c>
      <c r="AB5758" s="1"/>
      <c r="AC5758" s="1" t="s">
        <v>36</v>
      </c>
      <c r="AD5758" s="1" t="s">
        <v>19399</v>
      </c>
      <c r="AE5758" s="1" t="s">
        <v>32</v>
      </c>
      <c r="AF5758" s="1" t="s">
        <v>33</v>
      </c>
      <c r="AG5758" s="1" t="s">
        <v>41</v>
      </c>
    </row>
    <row r="5759" spans="1:33">
      <c r="A5759" t="s">
        <v>19400</v>
      </c>
      <c r="B5759" t="s">
        <v>19401</v>
      </c>
      <c r="C5759" t="s">
        <v>314</v>
      </c>
      <c r="E5759" t="s">
        <v>19257</v>
      </c>
      <c r="F5759" t="s">
        <v>19258</v>
      </c>
      <c r="G5759">
        <v>90.794</v>
      </c>
      <c r="H5759">
        <v>90.794</v>
      </c>
      <c r="I5759" t="s">
        <v>179</v>
      </c>
      <c r="J5759" t="s">
        <v>180</v>
      </c>
      <c r="K5759" t="s">
        <v>31</v>
      </c>
      <c r="L5759" t="s">
        <v>32</v>
      </c>
      <c r="M5759" t="s">
        <v>33</v>
      </c>
      <c r="P5759" s="1" t="s">
        <v>19402</v>
      </c>
      <c r="Q5759" s="1" t="s">
        <v>19257</v>
      </c>
      <c r="R5759" s="1" t="s">
        <v>19257</v>
      </c>
      <c r="S5759" s="1"/>
      <c r="T5759" s="1" t="s">
        <v>314</v>
      </c>
      <c r="U5759" s="1"/>
      <c r="V5759" s="1">
        <v>90.794</v>
      </c>
      <c r="W5759" s="1">
        <v>90.794</v>
      </c>
      <c r="X5759" s="1" t="s">
        <v>35</v>
      </c>
      <c r="Y5759" s="1">
        <v>90794</v>
      </c>
      <c r="Z5759" s="1"/>
      <c r="AA5759" s="1">
        <v>90794</v>
      </c>
      <c r="AB5759" s="1"/>
      <c r="AC5759" s="1" t="s">
        <v>36</v>
      </c>
      <c r="AD5759" s="1" t="s">
        <v>19403</v>
      </c>
      <c r="AE5759" s="1" t="s">
        <v>32</v>
      </c>
      <c r="AF5759" s="1" t="s">
        <v>33</v>
      </c>
      <c r="AG5759" s="1" t="s">
        <v>180</v>
      </c>
    </row>
    <row r="5760" spans="1:33">
      <c r="A5760" t="s">
        <v>19404</v>
      </c>
      <c r="B5760" t="s">
        <v>19405</v>
      </c>
      <c r="C5760" t="s">
        <v>314</v>
      </c>
      <c r="E5760" t="s">
        <v>19257</v>
      </c>
      <c r="F5760" t="s">
        <v>19258</v>
      </c>
      <c r="G5760">
        <v>22.24</v>
      </c>
      <c r="H5760">
        <v>22.24</v>
      </c>
      <c r="I5760" t="s">
        <v>179</v>
      </c>
      <c r="J5760" t="s">
        <v>180</v>
      </c>
      <c r="K5760" t="s">
        <v>31</v>
      </c>
      <c r="L5760" t="s">
        <v>32</v>
      </c>
      <c r="M5760" t="s">
        <v>33</v>
      </c>
      <c r="P5760" s="1" t="s">
        <v>19406</v>
      </c>
      <c r="Q5760" s="1" t="s">
        <v>19257</v>
      </c>
      <c r="R5760" s="1" t="s">
        <v>19257</v>
      </c>
      <c r="S5760" s="1"/>
      <c r="T5760" s="1" t="s">
        <v>314</v>
      </c>
      <c r="U5760" s="1"/>
      <c r="V5760" s="1">
        <v>22.24</v>
      </c>
      <c r="W5760" s="1">
        <v>22.24</v>
      </c>
      <c r="X5760" s="1" t="s">
        <v>35</v>
      </c>
      <c r="Y5760" s="1">
        <v>22240</v>
      </c>
      <c r="Z5760" s="1"/>
      <c r="AA5760" s="1">
        <v>22240</v>
      </c>
      <c r="AB5760" s="1"/>
      <c r="AC5760" s="1" t="s">
        <v>36</v>
      </c>
      <c r="AD5760" s="1" t="s">
        <v>19407</v>
      </c>
      <c r="AE5760" s="1" t="s">
        <v>32</v>
      </c>
      <c r="AF5760" s="1" t="s">
        <v>33</v>
      </c>
      <c r="AG5760" s="1" t="s">
        <v>180</v>
      </c>
    </row>
    <row r="5761" spans="1:33">
      <c r="A5761" t="s">
        <v>19408</v>
      </c>
      <c r="C5761" t="s">
        <v>297</v>
      </c>
      <c r="D5761" t="s">
        <v>154</v>
      </c>
      <c r="E5761" t="s">
        <v>19257</v>
      </c>
      <c r="F5761" t="s">
        <v>19258</v>
      </c>
      <c r="G5761">
        <v>635.0</v>
      </c>
      <c r="H5761">
        <v>635.0</v>
      </c>
      <c r="I5761" t="s">
        <v>40</v>
      </c>
      <c r="J5761" t="s">
        <v>41</v>
      </c>
      <c r="K5761" t="s">
        <v>31</v>
      </c>
      <c r="L5761" t="s">
        <v>32</v>
      </c>
      <c r="M5761" t="s">
        <v>33</v>
      </c>
      <c r="P5761" s="1" t="s">
        <v>19409</v>
      </c>
      <c r="Q5761" s="1" t="s">
        <v>19257</v>
      </c>
      <c r="R5761" s="1" t="s">
        <v>18429</v>
      </c>
      <c r="S5761" s="1"/>
      <c r="T5761" s="1" t="s">
        <v>297</v>
      </c>
      <c r="U5761" s="1"/>
      <c r="V5761" s="1">
        <v>635.0</v>
      </c>
      <c r="W5761" s="1">
        <v>635.0</v>
      </c>
      <c r="X5761" s="1" t="s">
        <v>35</v>
      </c>
      <c r="Y5761" s="1">
        <v>635000</v>
      </c>
      <c r="Z5761" s="1"/>
      <c r="AA5761" s="1">
        <v>635000</v>
      </c>
      <c r="AB5761" s="1"/>
      <c r="AC5761" s="1" t="s">
        <v>36</v>
      </c>
      <c r="AD5761" s="1" t="s">
        <v>19410</v>
      </c>
      <c r="AE5761" s="1" t="s">
        <v>32</v>
      </c>
      <c r="AF5761" s="1" t="s">
        <v>33</v>
      </c>
      <c r="AG5761" s="1" t="s">
        <v>41</v>
      </c>
    </row>
    <row r="5762" spans="1:33">
      <c r="A5762" t="s">
        <v>19411</v>
      </c>
      <c r="B5762" t="s">
        <v>8787</v>
      </c>
      <c r="C5762" t="s">
        <v>125</v>
      </c>
      <c r="E5762" t="s">
        <v>19257</v>
      </c>
      <c r="F5762" t="s">
        <v>19258</v>
      </c>
      <c r="G5762">
        <v>51.075</v>
      </c>
      <c r="H5762">
        <v>51.075</v>
      </c>
      <c r="I5762" t="s">
        <v>126</v>
      </c>
      <c r="J5762" t="s">
        <v>127</v>
      </c>
      <c r="K5762" t="s">
        <v>31</v>
      </c>
      <c r="L5762" t="s">
        <v>32</v>
      </c>
      <c r="M5762" t="s">
        <v>33</v>
      </c>
      <c r="P5762" s="1" t="s">
        <v>19412</v>
      </c>
      <c r="Q5762" s="1" t="s">
        <v>19257</v>
      </c>
      <c r="R5762" s="1" t="s">
        <v>19257</v>
      </c>
      <c r="S5762" s="1"/>
      <c r="T5762" s="1" t="s">
        <v>125</v>
      </c>
      <c r="U5762" s="1"/>
      <c r="V5762" s="1">
        <v>51.075</v>
      </c>
      <c r="W5762" s="1">
        <v>51.075</v>
      </c>
      <c r="X5762" s="1" t="s">
        <v>35</v>
      </c>
      <c r="Y5762" s="1">
        <v>51075</v>
      </c>
      <c r="Z5762" s="1"/>
      <c r="AA5762" s="1">
        <v>51075</v>
      </c>
      <c r="AB5762" s="1"/>
      <c r="AC5762" s="1" t="s">
        <v>36</v>
      </c>
      <c r="AD5762" s="1" t="s">
        <v>19413</v>
      </c>
      <c r="AE5762" s="1" t="s">
        <v>32</v>
      </c>
      <c r="AF5762" s="1" t="s">
        <v>33</v>
      </c>
      <c r="AG5762" s="1" t="s">
        <v>127</v>
      </c>
    </row>
    <row r="5763" spans="1:33">
      <c r="A5763" t="s">
        <v>19414</v>
      </c>
      <c r="B5763" t="s">
        <v>2489</v>
      </c>
      <c r="C5763" t="s">
        <v>2490</v>
      </c>
      <c r="D5763" t="s">
        <v>154</v>
      </c>
      <c r="E5763" t="s">
        <v>19257</v>
      </c>
      <c r="F5763" t="s">
        <v>19258</v>
      </c>
      <c r="G5763">
        <v>748.648</v>
      </c>
      <c r="H5763">
        <v>748.648</v>
      </c>
      <c r="I5763" t="s">
        <v>529</v>
      </c>
      <c r="J5763" t="s">
        <v>530</v>
      </c>
      <c r="K5763" t="s">
        <v>31</v>
      </c>
      <c r="L5763" t="s">
        <v>32</v>
      </c>
      <c r="M5763" t="s">
        <v>33</v>
      </c>
      <c r="P5763" s="1" t="s">
        <v>19415</v>
      </c>
      <c r="Q5763" s="1" t="s">
        <v>19257</v>
      </c>
      <c r="R5763" s="1" t="s">
        <v>18429</v>
      </c>
      <c r="S5763" s="1"/>
      <c r="T5763" s="1" t="s">
        <v>2490</v>
      </c>
      <c r="U5763" s="1"/>
      <c r="V5763" s="1">
        <v>748.648</v>
      </c>
      <c r="W5763" s="1">
        <v>748.648</v>
      </c>
      <c r="X5763" s="1" t="s">
        <v>35</v>
      </c>
      <c r="Y5763" s="1">
        <v>748648</v>
      </c>
      <c r="Z5763" s="1"/>
      <c r="AA5763" s="1">
        <v>748648</v>
      </c>
      <c r="AB5763" s="1"/>
      <c r="AC5763" s="1" t="s">
        <v>36</v>
      </c>
      <c r="AD5763" s="1" t="s">
        <v>19416</v>
      </c>
      <c r="AE5763" s="1" t="s">
        <v>32</v>
      </c>
      <c r="AF5763" s="1" t="s">
        <v>33</v>
      </c>
      <c r="AG5763" s="1" t="s">
        <v>530</v>
      </c>
    </row>
    <row r="5764" spans="1:33">
      <c r="A5764" t="s">
        <v>19417</v>
      </c>
      <c r="B5764" t="s">
        <v>19418</v>
      </c>
      <c r="C5764" t="s">
        <v>68</v>
      </c>
      <c r="E5764" t="s">
        <v>19257</v>
      </c>
      <c r="F5764" t="s">
        <v>19258</v>
      </c>
      <c r="G5764">
        <v>15.495</v>
      </c>
      <c r="H5764">
        <v>15.495</v>
      </c>
      <c r="I5764" t="s">
        <v>59</v>
      </c>
      <c r="J5764" t="s">
        <v>60</v>
      </c>
      <c r="K5764" t="s">
        <v>31</v>
      </c>
      <c r="L5764" t="s">
        <v>32</v>
      </c>
      <c r="M5764" t="s">
        <v>33</v>
      </c>
      <c r="P5764" s="1" t="s">
        <v>19419</v>
      </c>
      <c r="Q5764" s="1" t="s">
        <v>19257</v>
      </c>
      <c r="R5764" s="1" t="s">
        <v>19257</v>
      </c>
      <c r="S5764" s="1"/>
      <c r="T5764" s="1" t="s">
        <v>68</v>
      </c>
      <c r="U5764" s="1"/>
      <c r="V5764" s="1">
        <v>15.495</v>
      </c>
      <c r="W5764" s="1">
        <v>15.495</v>
      </c>
      <c r="X5764" s="1" t="s">
        <v>35</v>
      </c>
      <c r="Y5764" s="1">
        <v>15495</v>
      </c>
      <c r="Z5764" s="1"/>
      <c r="AA5764" s="1">
        <v>15495</v>
      </c>
      <c r="AB5764" s="1"/>
      <c r="AC5764" s="1" t="s">
        <v>36</v>
      </c>
      <c r="AD5764" s="1" t="s">
        <v>19420</v>
      </c>
      <c r="AE5764" s="1" t="s">
        <v>32</v>
      </c>
      <c r="AF5764" s="1" t="s">
        <v>33</v>
      </c>
      <c r="AG5764" s="1" t="s">
        <v>60</v>
      </c>
    </row>
    <row r="5765" spans="1:33">
      <c r="A5765" t="s">
        <v>19421</v>
      </c>
      <c r="B5765" t="s">
        <v>1908</v>
      </c>
      <c r="C5765" t="s">
        <v>6720</v>
      </c>
      <c r="D5765" t="s">
        <v>114</v>
      </c>
      <c r="E5765" t="s">
        <v>19257</v>
      </c>
      <c r="F5765" t="s">
        <v>19258</v>
      </c>
      <c r="G5765">
        <v>328.0</v>
      </c>
      <c r="H5765">
        <v>328.0</v>
      </c>
      <c r="I5765" t="s">
        <v>529</v>
      </c>
      <c r="J5765" t="s">
        <v>530</v>
      </c>
      <c r="K5765" t="s">
        <v>31</v>
      </c>
      <c r="L5765" t="s">
        <v>32</v>
      </c>
      <c r="M5765" t="s">
        <v>33</v>
      </c>
      <c r="P5765" s="1" t="s">
        <v>19422</v>
      </c>
      <c r="Q5765" s="1" t="s">
        <v>19257</v>
      </c>
      <c r="R5765" s="1" t="s">
        <v>18429</v>
      </c>
      <c r="S5765" s="1"/>
      <c r="T5765" s="1" t="s">
        <v>6720</v>
      </c>
      <c r="U5765" s="1"/>
      <c r="V5765" s="1">
        <v>328.0</v>
      </c>
      <c r="W5765" s="1">
        <v>328.0</v>
      </c>
      <c r="X5765" s="1" t="s">
        <v>35</v>
      </c>
      <c r="Y5765" s="1">
        <v>328000</v>
      </c>
      <c r="Z5765" s="1"/>
      <c r="AA5765" s="1">
        <v>328000</v>
      </c>
      <c r="AB5765" s="1"/>
      <c r="AC5765" s="1" t="s">
        <v>36</v>
      </c>
      <c r="AD5765" s="1" t="s">
        <v>19423</v>
      </c>
      <c r="AE5765" s="1" t="s">
        <v>32</v>
      </c>
      <c r="AF5765" s="1" t="s">
        <v>33</v>
      </c>
      <c r="AG5765" s="1" t="s">
        <v>530</v>
      </c>
    </row>
    <row r="5766" spans="1:33">
      <c r="A5766" t="s">
        <v>19424</v>
      </c>
      <c r="B5766" t="s">
        <v>4547</v>
      </c>
      <c r="C5766" t="s">
        <v>68</v>
      </c>
      <c r="E5766" t="s">
        <v>19257</v>
      </c>
      <c r="F5766" t="s">
        <v>19258</v>
      </c>
      <c r="G5766">
        <v>10.039</v>
      </c>
      <c r="H5766">
        <v>10.039</v>
      </c>
      <c r="I5766" t="s">
        <v>59</v>
      </c>
      <c r="J5766" t="s">
        <v>60</v>
      </c>
      <c r="K5766" t="s">
        <v>31</v>
      </c>
      <c r="L5766" t="s">
        <v>32</v>
      </c>
      <c r="M5766" t="s">
        <v>33</v>
      </c>
      <c r="P5766" s="1" t="s">
        <v>19425</v>
      </c>
      <c r="Q5766" s="1" t="s">
        <v>19257</v>
      </c>
      <c r="R5766" s="1" t="s">
        <v>19257</v>
      </c>
      <c r="S5766" s="1"/>
      <c r="T5766" s="1" t="s">
        <v>68</v>
      </c>
      <c r="U5766" s="1"/>
      <c r="V5766" s="1">
        <v>10.039</v>
      </c>
      <c r="W5766" s="1">
        <v>10.039</v>
      </c>
      <c r="X5766" s="1" t="s">
        <v>35</v>
      </c>
      <c r="Y5766" s="1">
        <v>10039</v>
      </c>
      <c r="Z5766" s="1"/>
      <c r="AA5766" s="1">
        <v>10039</v>
      </c>
      <c r="AB5766" s="1"/>
      <c r="AC5766" s="1" t="s">
        <v>36</v>
      </c>
      <c r="AD5766" s="1" t="s">
        <v>19426</v>
      </c>
      <c r="AE5766" s="1" t="s">
        <v>32</v>
      </c>
      <c r="AF5766" s="1" t="s">
        <v>33</v>
      </c>
      <c r="AG5766" s="1" t="s">
        <v>60</v>
      </c>
    </row>
    <row r="5767" spans="1:33">
      <c r="A5767" t="s">
        <v>19427</v>
      </c>
      <c r="B5767" t="s">
        <v>19428</v>
      </c>
      <c r="C5767" t="s">
        <v>1298</v>
      </c>
      <c r="E5767" t="s">
        <v>19257</v>
      </c>
      <c r="F5767" t="s">
        <v>19258</v>
      </c>
      <c r="G5767">
        <v>28.49</v>
      </c>
      <c r="H5767">
        <v>28.49</v>
      </c>
      <c r="I5767" t="s">
        <v>529</v>
      </c>
      <c r="J5767" t="s">
        <v>530</v>
      </c>
      <c r="K5767" t="s">
        <v>31</v>
      </c>
      <c r="L5767" t="s">
        <v>32</v>
      </c>
      <c r="M5767" t="s">
        <v>33</v>
      </c>
      <c r="P5767" s="1" t="s">
        <v>19429</v>
      </c>
      <c r="Q5767" s="1" t="s">
        <v>19257</v>
      </c>
      <c r="R5767" s="1" t="s">
        <v>18429</v>
      </c>
      <c r="S5767" s="1"/>
      <c r="T5767" s="1" t="s">
        <v>1298</v>
      </c>
      <c r="U5767" s="1"/>
      <c r="V5767" s="1">
        <v>28.49</v>
      </c>
      <c r="W5767" s="1">
        <v>28.49</v>
      </c>
      <c r="X5767" s="1" t="s">
        <v>35</v>
      </c>
      <c r="Y5767" s="1">
        <v>28490</v>
      </c>
      <c r="Z5767" s="1"/>
      <c r="AA5767" s="1">
        <v>28490</v>
      </c>
      <c r="AB5767" s="1"/>
      <c r="AC5767" s="1" t="s">
        <v>36</v>
      </c>
      <c r="AD5767" s="1" t="s">
        <v>19430</v>
      </c>
      <c r="AE5767" s="1" t="s">
        <v>32</v>
      </c>
      <c r="AF5767" s="1" t="s">
        <v>33</v>
      </c>
      <c r="AG5767" s="1" t="s">
        <v>530</v>
      </c>
    </row>
    <row r="5768" spans="1:33">
      <c r="A5768" t="s">
        <v>19431</v>
      </c>
      <c r="B5768" t="s">
        <v>255</v>
      </c>
      <c r="C5768" t="s">
        <v>125</v>
      </c>
      <c r="E5768" t="s">
        <v>19257</v>
      </c>
      <c r="F5768" t="s">
        <v>19258</v>
      </c>
      <c r="G5768">
        <v>11.795</v>
      </c>
      <c r="H5768">
        <v>11.795</v>
      </c>
      <c r="I5768" t="s">
        <v>126</v>
      </c>
      <c r="J5768" t="s">
        <v>127</v>
      </c>
      <c r="K5768" t="s">
        <v>31</v>
      </c>
      <c r="L5768" t="s">
        <v>32</v>
      </c>
      <c r="M5768" t="s">
        <v>33</v>
      </c>
      <c r="P5768" s="1" t="s">
        <v>19432</v>
      </c>
      <c r="Q5768" s="1" t="s">
        <v>19257</v>
      </c>
      <c r="R5768" s="1" t="s">
        <v>19257</v>
      </c>
      <c r="S5768" s="1"/>
      <c r="T5768" s="1" t="s">
        <v>125</v>
      </c>
      <c r="U5768" s="1"/>
      <c r="V5768" s="1">
        <v>11.795</v>
      </c>
      <c r="W5768" s="1">
        <v>11.795</v>
      </c>
      <c r="X5768" s="1" t="s">
        <v>35</v>
      </c>
      <c r="Y5768" s="1">
        <v>11795</v>
      </c>
      <c r="Z5768" s="1"/>
      <c r="AA5768" s="1">
        <v>11795</v>
      </c>
      <c r="AB5768" s="1"/>
      <c r="AC5768" s="1" t="s">
        <v>36</v>
      </c>
      <c r="AD5768" s="1" t="s">
        <v>19430</v>
      </c>
      <c r="AE5768" s="1" t="s">
        <v>32</v>
      </c>
      <c r="AF5768" s="1" t="s">
        <v>33</v>
      </c>
      <c r="AG5768" s="1" t="s">
        <v>127</v>
      </c>
    </row>
    <row r="5769" spans="1:33">
      <c r="A5769" t="s">
        <v>19433</v>
      </c>
      <c r="B5769" t="s">
        <v>16492</v>
      </c>
      <c r="C5769" t="s">
        <v>125</v>
      </c>
      <c r="E5769" t="s">
        <v>19257</v>
      </c>
      <c r="F5769" t="s">
        <v>19258</v>
      </c>
      <c r="G5769">
        <v>69.575</v>
      </c>
      <c r="H5769">
        <v>69.575</v>
      </c>
      <c r="I5769" t="s">
        <v>126</v>
      </c>
      <c r="J5769" t="s">
        <v>127</v>
      </c>
      <c r="K5769" t="s">
        <v>31</v>
      </c>
      <c r="L5769" t="s">
        <v>32</v>
      </c>
      <c r="M5769" t="s">
        <v>33</v>
      </c>
      <c r="P5769" s="1" t="s">
        <v>19434</v>
      </c>
      <c r="Q5769" s="1" t="s">
        <v>19257</v>
      </c>
      <c r="R5769" s="1" t="s">
        <v>19257</v>
      </c>
      <c r="S5769" s="1"/>
      <c r="T5769" s="1" t="s">
        <v>125</v>
      </c>
      <c r="U5769" s="1"/>
      <c r="V5769" s="1">
        <v>69.575</v>
      </c>
      <c r="W5769" s="1">
        <v>69.575</v>
      </c>
      <c r="X5769" s="1" t="s">
        <v>35</v>
      </c>
      <c r="Y5769" s="1">
        <v>69575</v>
      </c>
      <c r="Z5769" s="1"/>
      <c r="AA5769" s="1">
        <v>69575</v>
      </c>
      <c r="AB5769" s="1"/>
      <c r="AC5769" s="1" t="s">
        <v>36</v>
      </c>
      <c r="AD5769" s="1" t="s">
        <v>19435</v>
      </c>
      <c r="AE5769" s="1" t="s">
        <v>32</v>
      </c>
      <c r="AF5769" s="1" t="s">
        <v>33</v>
      </c>
      <c r="AG5769" s="1" t="s">
        <v>127</v>
      </c>
    </row>
    <row r="5770" spans="1:33">
      <c r="A5770" t="s">
        <v>19436</v>
      </c>
      <c r="B5770" t="s">
        <v>19437</v>
      </c>
      <c r="C5770" t="s">
        <v>1298</v>
      </c>
      <c r="E5770" t="s">
        <v>19257</v>
      </c>
      <c r="F5770" t="s">
        <v>19258</v>
      </c>
      <c r="G5770">
        <v>34.78</v>
      </c>
      <c r="H5770">
        <v>34.78</v>
      </c>
      <c r="I5770" t="s">
        <v>529</v>
      </c>
      <c r="J5770" t="s">
        <v>530</v>
      </c>
      <c r="K5770" t="s">
        <v>31</v>
      </c>
      <c r="L5770" t="s">
        <v>32</v>
      </c>
      <c r="M5770" t="s">
        <v>33</v>
      </c>
      <c r="P5770" s="1" t="s">
        <v>19438</v>
      </c>
      <c r="Q5770" s="1" t="s">
        <v>19257</v>
      </c>
      <c r="R5770" s="1" t="s">
        <v>18429</v>
      </c>
      <c r="S5770" s="1"/>
      <c r="T5770" s="1" t="s">
        <v>1298</v>
      </c>
      <c r="U5770" s="1"/>
      <c r="V5770" s="1">
        <v>34.78</v>
      </c>
      <c r="W5770" s="1">
        <v>34.78</v>
      </c>
      <c r="X5770" s="1" t="s">
        <v>35</v>
      </c>
      <c r="Y5770" s="1">
        <v>34780</v>
      </c>
      <c r="Z5770" s="1"/>
      <c r="AA5770" s="1">
        <v>34780</v>
      </c>
      <c r="AB5770" s="1"/>
      <c r="AC5770" s="1" t="s">
        <v>36</v>
      </c>
      <c r="AD5770" s="1" t="s">
        <v>19439</v>
      </c>
      <c r="AE5770" s="1" t="s">
        <v>32</v>
      </c>
      <c r="AF5770" s="1" t="s">
        <v>33</v>
      </c>
      <c r="AG5770" s="1" t="s">
        <v>530</v>
      </c>
    </row>
    <row r="5771" spans="1:33">
      <c r="A5771" t="s">
        <v>19440</v>
      </c>
      <c r="C5771" t="s">
        <v>19441</v>
      </c>
      <c r="E5771" t="s">
        <v>19257</v>
      </c>
      <c r="F5771" t="s">
        <v>19258</v>
      </c>
      <c r="G5771">
        <v>3.28</v>
      </c>
      <c r="H5771">
        <v>3.28</v>
      </c>
      <c r="I5771" t="s">
        <v>269</v>
      </c>
      <c r="J5771" t="s">
        <v>270</v>
      </c>
      <c r="K5771" t="s">
        <v>31</v>
      </c>
      <c r="L5771" t="s">
        <v>32</v>
      </c>
      <c r="M5771" t="s">
        <v>33</v>
      </c>
      <c r="P5771" s="1" t="s">
        <v>19442</v>
      </c>
      <c r="Q5771" s="1" t="s">
        <v>19257</v>
      </c>
      <c r="R5771" s="1" t="s">
        <v>19257</v>
      </c>
      <c r="S5771" s="1"/>
      <c r="T5771" s="1" t="s">
        <v>19441</v>
      </c>
      <c r="U5771" s="1"/>
      <c r="V5771" s="1">
        <v>3.28</v>
      </c>
      <c r="W5771" s="1">
        <v>3.28</v>
      </c>
      <c r="X5771" s="1" t="s">
        <v>35</v>
      </c>
      <c r="Y5771" s="1">
        <v>3280000</v>
      </c>
      <c r="Z5771" s="1"/>
      <c r="AA5771" s="1">
        <v>3280000</v>
      </c>
      <c r="AB5771" s="1"/>
      <c r="AC5771" s="1" t="s">
        <v>36</v>
      </c>
      <c r="AD5771" s="1" t="s">
        <v>19439</v>
      </c>
      <c r="AE5771" s="1" t="s">
        <v>32</v>
      </c>
      <c r="AF5771" s="1" t="s">
        <v>33</v>
      </c>
      <c r="AG5771" s="1" t="s">
        <v>270</v>
      </c>
    </row>
    <row r="5772" spans="1:33">
      <c r="A5772" t="s">
        <v>19443</v>
      </c>
      <c r="B5772" t="s">
        <v>19444</v>
      </c>
      <c r="C5772" t="s">
        <v>47</v>
      </c>
      <c r="E5772" t="s">
        <v>19257</v>
      </c>
      <c r="F5772" t="s">
        <v>19258</v>
      </c>
      <c r="G5772">
        <v>72.57</v>
      </c>
      <c r="H5772">
        <v>72.57</v>
      </c>
      <c r="I5772" t="s">
        <v>2206</v>
      </c>
      <c r="J5772" t="s">
        <v>49</v>
      </c>
      <c r="K5772" t="s">
        <v>31</v>
      </c>
      <c r="L5772" t="s">
        <v>32</v>
      </c>
      <c r="M5772" t="s">
        <v>33</v>
      </c>
      <c r="P5772" s="1" t="s">
        <v>19445</v>
      </c>
      <c r="Q5772" s="1" t="s">
        <v>19257</v>
      </c>
      <c r="R5772" s="1" t="s">
        <v>19257</v>
      </c>
      <c r="S5772" s="1"/>
      <c r="T5772" s="1" t="s">
        <v>47</v>
      </c>
      <c r="U5772" s="1"/>
      <c r="V5772" s="1">
        <v>72.57</v>
      </c>
      <c r="W5772" s="1">
        <v>72.57</v>
      </c>
      <c r="X5772" s="1" t="s">
        <v>35</v>
      </c>
      <c r="Y5772" s="1">
        <v>72570</v>
      </c>
      <c r="Z5772" s="1"/>
      <c r="AA5772" s="1">
        <v>72570</v>
      </c>
      <c r="AB5772" s="1"/>
      <c r="AC5772" s="1" t="s">
        <v>36</v>
      </c>
      <c r="AD5772" s="1" t="s">
        <v>19435</v>
      </c>
      <c r="AE5772" s="1" t="s">
        <v>32</v>
      </c>
      <c r="AF5772" s="1" t="s">
        <v>33</v>
      </c>
      <c r="AG5772" s="1" t="s">
        <v>49</v>
      </c>
    </row>
    <row r="5773" spans="1:33">
      <c r="A5773" t="s">
        <v>19446</v>
      </c>
      <c r="B5773" t="s">
        <v>19447</v>
      </c>
      <c r="C5773" t="s">
        <v>268</v>
      </c>
      <c r="E5773" t="s">
        <v>19257</v>
      </c>
      <c r="F5773" t="s">
        <v>19258</v>
      </c>
      <c r="G5773">
        <v>40.25</v>
      </c>
      <c r="H5773">
        <v>40.25</v>
      </c>
      <c r="I5773" t="s">
        <v>269</v>
      </c>
      <c r="J5773" t="s">
        <v>270</v>
      </c>
      <c r="K5773" t="s">
        <v>31</v>
      </c>
      <c r="L5773" t="s">
        <v>32</v>
      </c>
      <c r="M5773" t="s">
        <v>33</v>
      </c>
      <c r="P5773" s="1" t="s">
        <v>19448</v>
      </c>
      <c r="Q5773" s="1" t="s">
        <v>19257</v>
      </c>
      <c r="R5773" s="1" t="s">
        <v>19257</v>
      </c>
      <c r="S5773" s="1"/>
      <c r="T5773" s="1" t="s">
        <v>268</v>
      </c>
      <c r="U5773" s="1"/>
      <c r="V5773" s="1">
        <v>40.25</v>
      </c>
      <c r="W5773" s="1">
        <v>40.25</v>
      </c>
      <c r="X5773" s="1" t="s">
        <v>35</v>
      </c>
      <c r="Y5773" s="1">
        <v>40250</v>
      </c>
      <c r="Z5773" s="1"/>
      <c r="AA5773" s="1">
        <v>40250</v>
      </c>
      <c r="AB5773" s="1"/>
      <c r="AC5773" s="1" t="s">
        <v>36</v>
      </c>
      <c r="AD5773" s="1" t="s">
        <v>19449</v>
      </c>
      <c r="AE5773" s="1" t="s">
        <v>32</v>
      </c>
      <c r="AF5773" s="1" t="s">
        <v>33</v>
      </c>
      <c r="AG5773" s="1" t="s">
        <v>270</v>
      </c>
    </row>
    <row r="5774" spans="1:33">
      <c r="A5774" t="s">
        <v>19450</v>
      </c>
      <c r="C5774" t="s">
        <v>613</v>
      </c>
      <c r="E5774" t="s">
        <v>19257</v>
      </c>
      <c r="F5774" t="s">
        <v>19258</v>
      </c>
      <c r="G5774">
        <v>45.0</v>
      </c>
      <c r="H5774">
        <v>45.0</v>
      </c>
      <c r="I5774" t="s">
        <v>269</v>
      </c>
      <c r="J5774" t="s">
        <v>270</v>
      </c>
      <c r="K5774" t="s">
        <v>31</v>
      </c>
      <c r="L5774" t="s">
        <v>32</v>
      </c>
      <c r="M5774" t="s">
        <v>33</v>
      </c>
      <c r="P5774" s="1" t="s">
        <v>19451</v>
      </c>
      <c r="Q5774" s="1" t="s">
        <v>19257</v>
      </c>
      <c r="R5774" s="1" t="s">
        <v>19257</v>
      </c>
      <c r="S5774" s="1"/>
      <c r="T5774" s="1" t="s">
        <v>613</v>
      </c>
      <c r="U5774" s="1"/>
      <c r="V5774" s="1">
        <v>45.0</v>
      </c>
      <c r="W5774" s="1">
        <v>45.0</v>
      </c>
      <c r="X5774" s="1" t="s">
        <v>35</v>
      </c>
      <c r="Y5774" s="1">
        <v>45000</v>
      </c>
      <c r="Z5774" s="1"/>
      <c r="AA5774" s="1">
        <v>45000</v>
      </c>
      <c r="AB5774" s="1"/>
      <c r="AC5774" s="1" t="s">
        <v>36</v>
      </c>
      <c r="AD5774" s="1" t="s">
        <v>19452</v>
      </c>
      <c r="AE5774" s="1" t="s">
        <v>32</v>
      </c>
      <c r="AF5774" s="1" t="s">
        <v>33</v>
      </c>
      <c r="AG5774" s="1" t="s">
        <v>270</v>
      </c>
    </row>
    <row r="5775" spans="1:33">
      <c r="A5775" t="s">
        <v>19453</v>
      </c>
      <c r="B5775" t="s">
        <v>19454</v>
      </c>
      <c r="C5775" t="s">
        <v>268</v>
      </c>
      <c r="E5775" t="s">
        <v>19257</v>
      </c>
      <c r="F5775" t="s">
        <v>19258</v>
      </c>
      <c r="G5775">
        <v>49.75</v>
      </c>
      <c r="H5775">
        <v>49.75</v>
      </c>
      <c r="I5775" t="s">
        <v>269</v>
      </c>
      <c r="J5775" t="s">
        <v>270</v>
      </c>
      <c r="K5775" t="s">
        <v>31</v>
      </c>
      <c r="L5775" t="s">
        <v>32</v>
      </c>
      <c r="M5775" t="s">
        <v>33</v>
      </c>
      <c r="P5775" s="1" t="s">
        <v>19455</v>
      </c>
      <c r="Q5775" s="1" t="s">
        <v>19257</v>
      </c>
      <c r="R5775" s="1" t="s">
        <v>19257</v>
      </c>
      <c r="S5775" s="1"/>
      <c r="T5775" s="1" t="s">
        <v>268</v>
      </c>
      <c r="U5775" s="1"/>
      <c r="V5775" s="1">
        <v>49.75</v>
      </c>
      <c r="W5775" s="1">
        <v>49.75</v>
      </c>
      <c r="X5775" s="1" t="s">
        <v>35</v>
      </c>
      <c r="Y5775" s="1">
        <v>49750</v>
      </c>
      <c r="Z5775" s="1"/>
      <c r="AA5775" s="1">
        <v>49750</v>
      </c>
      <c r="AB5775" s="1"/>
      <c r="AC5775" s="1" t="s">
        <v>36</v>
      </c>
      <c r="AD5775" s="1" t="s">
        <v>19456</v>
      </c>
      <c r="AE5775" s="1" t="s">
        <v>32</v>
      </c>
      <c r="AF5775" s="1" t="s">
        <v>33</v>
      </c>
      <c r="AG5775" s="1" t="s">
        <v>270</v>
      </c>
    </row>
    <row r="5776" spans="1:33">
      <c r="A5776" t="s">
        <v>19457</v>
      </c>
      <c r="B5776" t="s">
        <v>2949</v>
      </c>
      <c r="C5776" t="s">
        <v>314</v>
      </c>
      <c r="E5776" t="s">
        <v>19257</v>
      </c>
      <c r="F5776" t="s">
        <v>19258</v>
      </c>
      <c r="G5776">
        <v>37.18</v>
      </c>
      <c r="H5776">
        <v>37.18</v>
      </c>
      <c r="I5776" t="s">
        <v>179</v>
      </c>
      <c r="J5776" t="s">
        <v>180</v>
      </c>
      <c r="K5776" t="s">
        <v>31</v>
      </c>
      <c r="L5776" t="s">
        <v>32</v>
      </c>
      <c r="M5776" t="s">
        <v>33</v>
      </c>
      <c r="P5776" s="1" t="s">
        <v>19458</v>
      </c>
      <c r="Q5776" s="1" t="s">
        <v>19257</v>
      </c>
      <c r="R5776" s="1" t="s">
        <v>19257</v>
      </c>
      <c r="S5776" s="1"/>
      <c r="T5776" s="1" t="s">
        <v>314</v>
      </c>
      <c r="U5776" s="1"/>
      <c r="V5776" s="1">
        <v>37.18</v>
      </c>
      <c r="W5776" s="1">
        <v>37.18</v>
      </c>
      <c r="X5776" s="1" t="s">
        <v>35</v>
      </c>
      <c r="Y5776" s="1">
        <v>37180</v>
      </c>
      <c r="Z5776" s="1"/>
      <c r="AA5776" s="1">
        <v>37180</v>
      </c>
      <c r="AB5776" s="1"/>
      <c r="AC5776" s="1" t="s">
        <v>36</v>
      </c>
      <c r="AD5776" s="1" t="s">
        <v>19459</v>
      </c>
      <c r="AE5776" s="1" t="s">
        <v>32</v>
      </c>
      <c r="AF5776" s="1" t="s">
        <v>33</v>
      </c>
      <c r="AG5776" s="1" t="s">
        <v>180</v>
      </c>
    </row>
    <row r="5777" spans="1:33">
      <c r="A5777" t="s">
        <v>19460</v>
      </c>
      <c r="B5777" t="s">
        <v>2556</v>
      </c>
      <c r="C5777" t="s">
        <v>2557</v>
      </c>
      <c r="E5777" t="s">
        <v>19257</v>
      </c>
      <c r="F5777" t="s">
        <v>19258</v>
      </c>
      <c r="G5777">
        <v>129.0</v>
      </c>
      <c r="H5777">
        <v>129.0</v>
      </c>
      <c r="I5777" t="s">
        <v>59</v>
      </c>
      <c r="J5777" t="s">
        <v>60</v>
      </c>
      <c r="K5777" t="s">
        <v>31</v>
      </c>
      <c r="L5777" t="s">
        <v>32</v>
      </c>
      <c r="M5777" t="s">
        <v>33</v>
      </c>
      <c r="P5777" s="1" t="s">
        <v>19461</v>
      </c>
      <c r="Q5777" s="1" t="s">
        <v>19257</v>
      </c>
      <c r="R5777" s="1" t="s">
        <v>19257</v>
      </c>
      <c r="S5777" s="1"/>
      <c r="T5777" s="1" t="s">
        <v>2557</v>
      </c>
      <c r="U5777" s="1"/>
      <c r="V5777" s="1">
        <v>129.0</v>
      </c>
      <c r="W5777" s="1">
        <v>129.0</v>
      </c>
      <c r="X5777" s="1" t="s">
        <v>35</v>
      </c>
      <c r="Y5777" s="1">
        <v>129000</v>
      </c>
      <c r="Z5777" s="1"/>
      <c r="AA5777" s="1">
        <v>129000</v>
      </c>
      <c r="AB5777" s="1"/>
      <c r="AC5777" s="1" t="s">
        <v>36</v>
      </c>
      <c r="AD5777" s="1" t="s">
        <v>19462</v>
      </c>
      <c r="AE5777" s="1" t="s">
        <v>32</v>
      </c>
      <c r="AF5777" s="1" t="s">
        <v>33</v>
      </c>
      <c r="AG5777" s="1" t="s">
        <v>60</v>
      </c>
    </row>
    <row r="5778" spans="1:33">
      <c r="A5778" t="s">
        <v>19463</v>
      </c>
      <c r="B5778" t="s">
        <v>19464</v>
      </c>
      <c r="C5778" t="s">
        <v>12240</v>
      </c>
      <c r="E5778" t="s">
        <v>19257</v>
      </c>
      <c r="F5778" t="s">
        <v>19258</v>
      </c>
      <c r="G5778">
        <v>20.99</v>
      </c>
      <c r="H5778">
        <v>20.99</v>
      </c>
      <c r="I5778" t="s">
        <v>136</v>
      </c>
      <c r="J5778" t="s">
        <v>137</v>
      </c>
      <c r="K5778" t="s">
        <v>31</v>
      </c>
      <c r="L5778" t="s">
        <v>32</v>
      </c>
      <c r="M5778" t="s">
        <v>33</v>
      </c>
      <c r="P5778" s="1" t="s">
        <v>19465</v>
      </c>
      <c r="Q5778" s="1" t="s">
        <v>19257</v>
      </c>
      <c r="R5778" s="1" t="s">
        <v>19257</v>
      </c>
      <c r="S5778" s="1"/>
      <c r="T5778" s="1" t="s">
        <v>12240</v>
      </c>
      <c r="U5778" s="1"/>
      <c r="V5778" s="1">
        <v>20.99</v>
      </c>
      <c r="W5778" s="1">
        <v>20.99</v>
      </c>
      <c r="X5778" s="1" t="s">
        <v>35</v>
      </c>
      <c r="Y5778" s="1">
        <v>20990</v>
      </c>
      <c r="Z5778" s="1"/>
      <c r="AA5778" s="1">
        <v>20990</v>
      </c>
      <c r="AB5778" s="1"/>
      <c r="AC5778" s="1" t="s">
        <v>36</v>
      </c>
      <c r="AD5778" s="1" t="s">
        <v>19466</v>
      </c>
      <c r="AE5778" s="1" t="s">
        <v>32</v>
      </c>
      <c r="AF5778" s="1" t="s">
        <v>33</v>
      </c>
      <c r="AG5778" s="1" t="s">
        <v>137</v>
      </c>
    </row>
    <row r="5779" spans="1:33">
      <c r="A5779" t="s">
        <v>19467</v>
      </c>
      <c r="C5779" t="s">
        <v>6355</v>
      </c>
      <c r="D5779" t="s">
        <v>154</v>
      </c>
      <c r="E5779" t="s">
        <v>19257</v>
      </c>
      <c r="F5779" t="s">
        <v>19258</v>
      </c>
      <c r="G5779">
        <v>949.25</v>
      </c>
      <c r="H5779">
        <v>949.25</v>
      </c>
      <c r="I5779" t="s">
        <v>269</v>
      </c>
      <c r="J5779" t="s">
        <v>270</v>
      </c>
      <c r="K5779" t="s">
        <v>31</v>
      </c>
      <c r="L5779" t="s">
        <v>32</v>
      </c>
      <c r="M5779" t="s">
        <v>33</v>
      </c>
      <c r="P5779" s="1" t="s">
        <v>19468</v>
      </c>
      <c r="Q5779" s="1" t="s">
        <v>19257</v>
      </c>
      <c r="R5779" s="1" t="s">
        <v>19257</v>
      </c>
      <c r="S5779" s="1"/>
      <c r="T5779" s="1" t="s">
        <v>6355</v>
      </c>
      <c r="U5779" s="1"/>
      <c r="V5779" s="1">
        <v>949.25</v>
      </c>
      <c r="W5779" s="1">
        <v>949.25</v>
      </c>
      <c r="X5779" s="1" t="s">
        <v>35</v>
      </c>
      <c r="Y5779" s="1">
        <v>949250</v>
      </c>
      <c r="Z5779" s="1"/>
      <c r="AA5779" s="1">
        <v>949250</v>
      </c>
      <c r="AB5779" s="1"/>
      <c r="AC5779" s="1" t="s">
        <v>36</v>
      </c>
      <c r="AD5779" s="1" t="s">
        <v>19469</v>
      </c>
      <c r="AE5779" s="1" t="s">
        <v>32</v>
      </c>
      <c r="AF5779" s="1" t="s">
        <v>33</v>
      </c>
      <c r="AG5779" s="1" t="s">
        <v>270</v>
      </c>
    </row>
    <row r="5780" spans="1:33">
      <c r="A5780" t="s">
        <v>19470</v>
      </c>
      <c r="B5780" t="s">
        <v>19471</v>
      </c>
      <c r="C5780" t="s">
        <v>68</v>
      </c>
      <c r="E5780" t="s">
        <v>19257</v>
      </c>
      <c r="F5780" t="s">
        <v>19258</v>
      </c>
      <c r="G5780">
        <v>43.174</v>
      </c>
      <c r="H5780">
        <v>43.174</v>
      </c>
      <c r="I5780" t="s">
        <v>59</v>
      </c>
      <c r="J5780" t="s">
        <v>60</v>
      </c>
      <c r="K5780" t="s">
        <v>31</v>
      </c>
      <c r="L5780" t="s">
        <v>32</v>
      </c>
      <c r="M5780" t="s">
        <v>33</v>
      </c>
      <c r="P5780" s="1" t="s">
        <v>19472</v>
      </c>
      <c r="Q5780" s="1" t="s">
        <v>19257</v>
      </c>
      <c r="R5780" s="1" t="s">
        <v>19257</v>
      </c>
      <c r="S5780" s="1"/>
      <c r="T5780" s="1" t="s">
        <v>68</v>
      </c>
      <c r="U5780" s="1"/>
      <c r="V5780" s="1">
        <v>43.174</v>
      </c>
      <c r="W5780" s="1">
        <v>43.174</v>
      </c>
      <c r="X5780" s="1" t="s">
        <v>35</v>
      </c>
      <c r="Y5780" s="1">
        <v>43174</v>
      </c>
      <c r="Z5780" s="1"/>
      <c r="AA5780" s="1">
        <v>43174</v>
      </c>
      <c r="AB5780" s="1"/>
      <c r="AC5780" s="1" t="s">
        <v>36</v>
      </c>
      <c r="AD5780" s="1" t="s">
        <v>19473</v>
      </c>
      <c r="AE5780" s="1" t="s">
        <v>32</v>
      </c>
      <c r="AF5780" s="1" t="s">
        <v>33</v>
      </c>
      <c r="AG5780" s="1" t="s">
        <v>60</v>
      </c>
    </row>
    <row r="5781" spans="1:33">
      <c r="A5781" t="s">
        <v>19474</v>
      </c>
      <c r="B5781" t="s">
        <v>19475</v>
      </c>
      <c r="C5781" t="s">
        <v>131</v>
      </c>
      <c r="E5781" t="s">
        <v>19257</v>
      </c>
      <c r="F5781" t="s">
        <v>19258</v>
      </c>
      <c r="G5781">
        <v>65.98</v>
      </c>
      <c r="H5781">
        <v>65.98</v>
      </c>
      <c r="I5781" t="s">
        <v>94</v>
      </c>
      <c r="J5781" t="s">
        <v>95</v>
      </c>
      <c r="K5781" t="s">
        <v>31</v>
      </c>
      <c r="L5781" t="s">
        <v>32</v>
      </c>
      <c r="M5781" t="s">
        <v>33</v>
      </c>
      <c r="P5781" s="1" t="s">
        <v>19476</v>
      </c>
      <c r="Q5781" s="1" t="s">
        <v>19257</v>
      </c>
      <c r="R5781" s="1" t="s">
        <v>19257</v>
      </c>
      <c r="S5781" s="1"/>
      <c r="T5781" s="1" t="s">
        <v>131</v>
      </c>
      <c r="U5781" s="1"/>
      <c r="V5781" s="1">
        <v>65.98</v>
      </c>
      <c r="W5781" s="1">
        <v>65.98</v>
      </c>
      <c r="X5781" s="1" t="s">
        <v>35</v>
      </c>
      <c r="Y5781" s="1">
        <v>65980</v>
      </c>
      <c r="Z5781" s="1"/>
      <c r="AA5781" s="1">
        <v>65980</v>
      </c>
      <c r="AB5781" s="1"/>
      <c r="AC5781" s="1" t="s">
        <v>36</v>
      </c>
      <c r="AD5781" s="1" t="s">
        <v>19469</v>
      </c>
      <c r="AE5781" s="1" t="s">
        <v>32</v>
      </c>
      <c r="AF5781" s="1" t="s">
        <v>33</v>
      </c>
      <c r="AG5781" s="1" t="s">
        <v>95</v>
      </c>
    </row>
    <row r="5782" spans="1:33">
      <c r="A5782" t="s">
        <v>19477</v>
      </c>
      <c r="C5782" t="s">
        <v>6228</v>
      </c>
      <c r="E5782" t="s">
        <v>19257</v>
      </c>
      <c r="F5782" t="s">
        <v>19258</v>
      </c>
      <c r="G5782">
        <v>480.0</v>
      </c>
      <c r="H5782">
        <v>480.0</v>
      </c>
      <c r="I5782" t="s">
        <v>40</v>
      </c>
      <c r="J5782" t="s">
        <v>41</v>
      </c>
      <c r="K5782" t="s">
        <v>31</v>
      </c>
      <c r="L5782" t="s">
        <v>32</v>
      </c>
      <c r="M5782" t="s">
        <v>33</v>
      </c>
      <c r="P5782" s="1" t="s">
        <v>19478</v>
      </c>
      <c r="Q5782" s="1" t="s">
        <v>19257</v>
      </c>
      <c r="R5782" s="1" t="s">
        <v>18429</v>
      </c>
      <c r="S5782" s="1"/>
      <c r="T5782" s="1" t="s">
        <v>6228</v>
      </c>
      <c r="U5782" s="1"/>
      <c r="V5782" s="1">
        <v>480.0</v>
      </c>
      <c r="W5782" s="1">
        <v>480.0</v>
      </c>
      <c r="X5782" s="1" t="s">
        <v>35</v>
      </c>
      <c r="Y5782" s="1">
        <v>480000</v>
      </c>
      <c r="Z5782" s="1"/>
      <c r="AA5782" s="1">
        <v>480000</v>
      </c>
      <c r="AB5782" s="1"/>
      <c r="AC5782" s="1" t="s">
        <v>36</v>
      </c>
      <c r="AD5782" s="1" t="s">
        <v>19479</v>
      </c>
      <c r="AE5782" s="1" t="s">
        <v>32</v>
      </c>
      <c r="AF5782" s="1" t="s">
        <v>33</v>
      </c>
      <c r="AG5782" s="1" t="s">
        <v>41</v>
      </c>
    </row>
    <row r="5783" spans="1:33">
      <c r="A5783" t="s">
        <v>19480</v>
      </c>
      <c r="C5783" t="s">
        <v>153</v>
      </c>
      <c r="D5783" t="s">
        <v>154</v>
      </c>
      <c r="E5783" t="s">
        <v>19257</v>
      </c>
      <c r="F5783" t="s">
        <v>19258</v>
      </c>
      <c r="G5783">
        <v>396.5</v>
      </c>
      <c r="H5783">
        <v>396.5</v>
      </c>
      <c r="I5783" t="s">
        <v>94</v>
      </c>
      <c r="J5783" t="s">
        <v>95</v>
      </c>
      <c r="K5783" t="s">
        <v>31</v>
      </c>
      <c r="L5783" t="s">
        <v>32</v>
      </c>
      <c r="M5783" t="s">
        <v>33</v>
      </c>
      <c r="P5783" s="1" t="s">
        <v>19481</v>
      </c>
      <c r="Q5783" s="1" t="s">
        <v>19257</v>
      </c>
      <c r="R5783" s="1" t="s">
        <v>19257</v>
      </c>
      <c r="S5783" s="1"/>
      <c r="T5783" s="1" t="s">
        <v>156</v>
      </c>
      <c r="U5783" s="1" t="s">
        <v>157</v>
      </c>
      <c r="V5783" s="1">
        <v>396.5</v>
      </c>
      <c r="W5783" s="1">
        <v>396.5</v>
      </c>
      <c r="X5783" s="1" t="s">
        <v>35</v>
      </c>
      <c r="Y5783" s="1">
        <v>396500</v>
      </c>
      <c r="Z5783" s="1"/>
      <c r="AA5783" s="1">
        <v>396500</v>
      </c>
      <c r="AB5783" s="1"/>
      <c r="AC5783" s="1" t="s">
        <v>36</v>
      </c>
      <c r="AD5783" s="1" t="s">
        <v>19482</v>
      </c>
      <c r="AE5783" s="1" t="s">
        <v>32</v>
      </c>
      <c r="AF5783" s="1" t="s">
        <v>33</v>
      </c>
      <c r="AG5783" s="1" t="s">
        <v>95</v>
      </c>
    </row>
    <row r="5784" spans="1:33">
      <c r="A5784" t="s">
        <v>19483</v>
      </c>
      <c r="B5784" t="s">
        <v>3904</v>
      </c>
      <c r="C5784" t="s">
        <v>314</v>
      </c>
      <c r="E5784" t="s">
        <v>19257</v>
      </c>
      <c r="F5784" t="s">
        <v>19258</v>
      </c>
      <c r="G5784">
        <v>261.78</v>
      </c>
      <c r="H5784">
        <v>261.78</v>
      </c>
      <c r="I5784" t="s">
        <v>179</v>
      </c>
      <c r="J5784" t="s">
        <v>180</v>
      </c>
      <c r="K5784" t="s">
        <v>31</v>
      </c>
      <c r="L5784" t="s">
        <v>32</v>
      </c>
      <c r="M5784" t="s">
        <v>33</v>
      </c>
      <c r="P5784" s="1" t="s">
        <v>19484</v>
      </c>
      <c r="Q5784" s="1" t="s">
        <v>19257</v>
      </c>
      <c r="R5784" s="1" t="s">
        <v>19257</v>
      </c>
      <c r="S5784" s="1"/>
      <c r="T5784" s="1" t="s">
        <v>314</v>
      </c>
      <c r="U5784" s="1"/>
      <c r="V5784" s="1">
        <v>261.78</v>
      </c>
      <c r="W5784" s="1">
        <v>261.78</v>
      </c>
      <c r="X5784" s="1" t="s">
        <v>35</v>
      </c>
      <c r="Y5784" s="1">
        <v>261780</v>
      </c>
      <c r="Z5784" s="1"/>
      <c r="AA5784" s="1">
        <v>261780</v>
      </c>
      <c r="AB5784" s="1"/>
      <c r="AC5784" s="1" t="s">
        <v>36</v>
      </c>
      <c r="AD5784" s="1" t="s">
        <v>19485</v>
      </c>
      <c r="AE5784" s="1" t="s">
        <v>32</v>
      </c>
      <c r="AF5784" s="1" t="s">
        <v>33</v>
      </c>
      <c r="AG5784" s="1" t="s">
        <v>180</v>
      </c>
    </row>
    <row r="5785" spans="1:33">
      <c r="A5785" t="s">
        <v>19486</v>
      </c>
      <c r="B5785" t="s">
        <v>4638</v>
      </c>
      <c r="C5785" t="s">
        <v>47</v>
      </c>
      <c r="E5785" t="s">
        <v>19257</v>
      </c>
      <c r="F5785" t="s">
        <v>19258</v>
      </c>
      <c r="G5785">
        <v>4.71</v>
      </c>
      <c r="H5785">
        <v>4.71</v>
      </c>
      <c r="I5785" t="s">
        <v>2206</v>
      </c>
      <c r="J5785" t="s">
        <v>49</v>
      </c>
      <c r="K5785" t="s">
        <v>31</v>
      </c>
      <c r="L5785" t="s">
        <v>32</v>
      </c>
      <c r="M5785" t="s">
        <v>33</v>
      </c>
      <c r="P5785" s="1" t="s">
        <v>19487</v>
      </c>
      <c r="Q5785" s="1" t="s">
        <v>19257</v>
      </c>
      <c r="R5785" s="1" t="s">
        <v>19257</v>
      </c>
      <c r="S5785" s="1"/>
      <c r="T5785" s="1" t="s">
        <v>47</v>
      </c>
      <c r="U5785" s="1"/>
      <c r="V5785" s="1">
        <v>4.71</v>
      </c>
      <c r="W5785" s="1">
        <v>4.71</v>
      </c>
      <c r="X5785" s="1" t="s">
        <v>35</v>
      </c>
      <c r="Y5785" s="1">
        <v>4710</v>
      </c>
      <c r="Z5785" s="1"/>
      <c r="AA5785" s="1">
        <v>4710</v>
      </c>
      <c r="AB5785" s="1"/>
      <c r="AC5785" s="1" t="s">
        <v>36</v>
      </c>
      <c r="AD5785" s="1" t="s">
        <v>19488</v>
      </c>
      <c r="AE5785" s="1" t="s">
        <v>32</v>
      </c>
      <c r="AF5785" s="1" t="s">
        <v>33</v>
      </c>
      <c r="AG5785" s="1" t="s">
        <v>49</v>
      </c>
    </row>
    <row r="5786" spans="1:33">
      <c r="A5786" t="s">
        <v>19489</v>
      </c>
      <c r="B5786" t="s">
        <v>19490</v>
      </c>
      <c r="C5786" t="s">
        <v>314</v>
      </c>
      <c r="E5786" t="s">
        <v>19257</v>
      </c>
      <c r="F5786" t="s">
        <v>19258</v>
      </c>
      <c r="G5786">
        <v>271.098</v>
      </c>
      <c r="H5786">
        <v>271.098</v>
      </c>
      <c r="I5786" t="s">
        <v>179</v>
      </c>
      <c r="J5786" t="s">
        <v>180</v>
      </c>
      <c r="K5786" t="s">
        <v>31</v>
      </c>
      <c r="L5786" t="s">
        <v>32</v>
      </c>
      <c r="M5786" t="s">
        <v>33</v>
      </c>
      <c r="P5786" s="1" t="s">
        <v>19491</v>
      </c>
      <c r="Q5786" s="1" t="s">
        <v>19257</v>
      </c>
      <c r="R5786" s="1" t="s">
        <v>19257</v>
      </c>
      <c r="S5786" s="1"/>
      <c r="T5786" s="1" t="s">
        <v>314</v>
      </c>
      <c r="U5786" s="1"/>
      <c r="V5786" s="1">
        <v>271.098</v>
      </c>
      <c r="W5786" s="1">
        <v>271.098</v>
      </c>
      <c r="X5786" s="1" t="s">
        <v>35</v>
      </c>
      <c r="Y5786" s="1">
        <v>271098</v>
      </c>
      <c r="Z5786" s="1"/>
      <c r="AA5786" s="1">
        <v>271098</v>
      </c>
      <c r="AB5786" s="1"/>
      <c r="AC5786" s="1" t="s">
        <v>36</v>
      </c>
      <c r="AD5786" s="1" t="s">
        <v>19492</v>
      </c>
      <c r="AE5786" s="1" t="s">
        <v>32</v>
      </c>
      <c r="AF5786" s="1" t="s">
        <v>33</v>
      </c>
      <c r="AG5786" s="1" t="s">
        <v>180</v>
      </c>
    </row>
    <row r="5787" spans="1:33">
      <c r="A5787" t="s">
        <v>19493</v>
      </c>
      <c r="B5787" t="s">
        <v>15948</v>
      </c>
      <c r="C5787" t="s">
        <v>172</v>
      </c>
      <c r="E5787" t="s">
        <v>19257</v>
      </c>
      <c r="F5787" t="s">
        <v>19258</v>
      </c>
      <c r="G5787">
        <v>46.18</v>
      </c>
      <c r="H5787">
        <v>46.18</v>
      </c>
      <c r="I5787" t="s">
        <v>173</v>
      </c>
      <c r="J5787" t="s">
        <v>174</v>
      </c>
      <c r="K5787" t="s">
        <v>31</v>
      </c>
      <c r="L5787" t="s">
        <v>32</v>
      </c>
      <c r="M5787" t="s">
        <v>33</v>
      </c>
      <c r="P5787" s="1" t="s">
        <v>19494</v>
      </c>
      <c r="Q5787" s="1" t="s">
        <v>19257</v>
      </c>
      <c r="R5787" s="1" t="s">
        <v>19257</v>
      </c>
      <c r="S5787" s="1"/>
      <c r="T5787" s="1" t="s">
        <v>172</v>
      </c>
      <c r="U5787" s="1"/>
      <c r="V5787" s="1">
        <v>46.18</v>
      </c>
      <c r="W5787" s="1">
        <v>46.18</v>
      </c>
      <c r="X5787" s="1" t="s">
        <v>35</v>
      </c>
      <c r="Y5787" s="1">
        <v>46180</v>
      </c>
      <c r="Z5787" s="1"/>
      <c r="AA5787" s="1">
        <v>46180</v>
      </c>
      <c r="AB5787" s="1"/>
      <c r="AC5787" s="1" t="s">
        <v>36</v>
      </c>
      <c r="AD5787" s="1" t="s">
        <v>19495</v>
      </c>
      <c r="AE5787" s="1" t="s">
        <v>32</v>
      </c>
      <c r="AF5787" s="1" t="s">
        <v>33</v>
      </c>
      <c r="AG5787" s="1" t="s">
        <v>174</v>
      </c>
    </row>
    <row r="5788" spans="1:33">
      <c r="A5788" t="s">
        <v>19496</v>
      </c>
      <c r="C5788" t="s">
        <v>4236</v>
      </c>
      <c r="E5788" t="s">
        <v>19257</v>
      </c>
      <c r="F5788" t="s">
        <v>19258</v>
      </c>
      <c r="G5788">
        <v>352.0</v>
      </c>
      <c r="H5788">
        <v>352.0</v>
      </c>
      <c r="I5788" t="s">
        <v>179</v>
      </c>
      <c r="J5788" t="s">
        <v>180</v>
      </c>
      <c r="K5788" t="s">
        <v>31</v>
      </c>
      <c r="L5788" t="s">
        <v>32</v>
      </c>
      <c r="M5788" t="s">
        <v>33</v>
      </c>
      <c r="P5788" s="1" t="s">
        <v>19497</v>
      </c>
      <c r="Q5788" s="1" t="s">
        <v>19257</v>
      </c>
      <c r="R5788" s="1" t="s">
        <v>19257</v>
      </c>
      <c r="S5788" s="1"/>
      <c r="T5788" s="1" t="s">
        <v>4236</v>
      </c>
      <c r="U5788" s="1"/>
      <c r="V5788" s="1">
        <v>352.0</v>
      </c>
      <c r="W5788" s="1">
        <v>352.0</v>
      </c>
      <c r="X5788" s="1" t="s">
        <v>35</v>
      </c>
      <c r="Y5788" s="1">
        <v>352000</v>
      </c>
      <c r="Z5788" s="1"/>
      <c r="AA5788" s="1">
        <v>352000</v>
      </c>
      <c r="AB5788" s="1"/>
      <c r="AC5788" s="1" t="s">
        <v>36</v>
      </c>
      <c r="AD5788" s="1" t="s">
        <v>19498</v>
      </c>
      <c r="AE5788" s="1" t="s">
        <v>32</v>
      </c>
      <c r="AF5788" s="1" t="s">
        <v>33</v>
      </c>
      <c r="AG5788" s="1" t="s">
        <v>180</v>
      </c>
    </row>
    <row r="5789" spans="1:33">
      <c r="A5789" t="s">
        <v>19499</v>
      </c>
      <c r="C5789" t="s">
        <v>558</v>
      </c>
      <c r="D5789" t="s">
        <v>154</v>
      </c>
      <c r="E5789" t="s">
        <v>19257</v>
      </c>
      <c r="F5789" t="s">
        <v>19258</v>
      </c>
      <c r="G5789">
        <v>62.5</v>
      </c>
      <c r="H5789">
        <v>62.5</v>
      </c>
      <c r="I5789" t="s">
        <v>269</v>
      </c>
      <c r="J5789" t="s">
        <v>270</v>
      </c>
      <c r="K5789" t="s">
        <v>31</v>
      </c>
      <c r="L5789" t="s">
        <v>32</v>
      </c>
      <c r="M5789" t="s">
        <v>33</v>
      </c>
      <c r="P5789" s="1" t="s">
        <v>19500</v>
      </c>
      <c r="Q5789" s="1" t="s">
        <v>19257</v>
      </c>
      <c r="R5789" s="1" t="s">
        <v>19257</v>
      </c>
      <c r="S5789" s="1"/>
      <c r="T5789" s="1" t="s">
        <v>560</v>
      </c>
      <c r="U5789" s="1" t="s">
        <v>561</v>
      </c>
      <c r="V5789" s="1">
        <v>62.5</v>
      </c>
      <c r="W5789" s="1">
        <v>62.5</v>
      </c>
      <c r="X5789" s="1" t="s">
        <v>35</v>
      </c>
      <c r="Y5789" s="1">
        <v>62500</v>
      </c>
      <c r="Z5789" s="1"/>
      <c r="AA5789" s="1">
        <v>62500</v>
      </c>
      <c r="AB5789" s="1"/>
      <c r="AC5789" s="1" t="s">
        <v>36</v>
      </c>
      <c r="AD5789" s="1" t="s">
        <v>19501</v>
      </c>
      <c r="AE5789" s="1" t="s">
        <v>32</v>
      </c>
      <c r="AF5789" s="1" t="s">
        <v>33</v>
      </c>
      <c r="AG5789" s="1" t="s">
        <v>270</v>
      </c>
    </row>
    <row r="5790" spans="1:33">
      <c r="A5790" t="s">
        <v>19502</v>
      </c>
      <c r="C5790" t="s">
        <v>14353</v>
      </c>
      <c r="E5790" t="s">
        <v>19257</v>
      </c>
      <c r="F5790" t="s">
        <v>19258</v>
      </c>
      <c r="G5790">
        <v>320.0</v>
      </c>
      <c r="H5790">
        <v>320.0</v>
      </c>
      <c r="I5790" t="s">
        <v>40</v>
      </c>
      <c r="J5790" t="s">
        <v>41</v>
      </c>
      <c r="K5790" t="s">
        <v>31</v>
      </c>
      <c r="L5790" t="s">
        <v>32</v>
      </c>
      <c r="M5790" t="s">
        <v>33</v>
      </c>
      <c r="P5790" s="1" t="s">
        <v>19503</v>
      </c>
      <c r="Q5790" s="1" t="s">
        <v>19257</v>
      </c>
      <c r="R5790" s="1" t="s">
        <v>18429</v>
      </c>
      <c r="S5790" s="1"/>
      <c r="T5790" s="1" t="s">
        <v>14353</v>
      </c>
      <c r="U5790" s="1"/>
      <c r="V5790" s="1">
        <v>320.0</v>
      </c>
      <c r="W5790" s="1">
        <v>320.0</v>
      </c>
      <c r="X5790" s="1" t="s">
        <v>35</v>
      </c>
      <c r="Y5790" s="1">
        <v>320000</v>
      </c>
      <c r="Z5790" s="1"/>
      <c r="AA5790" s="1">
        <v>320000</v>
      </c>
      <c r="AB5790" s="1"/>
      <c r="AC5790" s="1" t="s">
        <v>36</v>
      </c>
      <c r="AD5790" s="1" t="s">
        <v>19504</v>
      </c>
      <c r="AE5790" s="1" t="s">
        <v>32</v>
      </c>
      <c r="AF5790" s="1" t="s">
        <v>33</v>
      </c>
      <c r="AG5790" s="1" t="s">
        <v>41</v>
      </c>
    </row>
    <row r="5791" spans="1:33">
      <c r="A5791" t="s">
        <v>19505</v>
      </c>
      <c r="B5791" t="s">
        <v>19506</v>
      </c>
      <c r="C5791" t="s">
        <v>68</v>
      </c>
      <c r="E5791" t="s">
        <v>19257</v>
      </c>
      <c r="F5791" t="s">
        <v>19258</v>
      </c>
      <c r="G5791">
        <v>3.0</v>
      </c>
      <c r="H5791">
        <v>3.0</v>
      </c>
      <c r="I5791" t="s">
        <v>59</v>
      </c>
      <c r="J5791" t="s">
        <v>60</v>
      </c>
      <c r="K5791" t="s">
        <v>31</v>
      </c>
      <c r="L5791" t="s">
        <v>32</v>
      </c>
      <c r="M5791" t="s">
        <v>33</v>
      </c>
      <c r="P5791" s="1" t="s">
        <v>19507</v>
      </c>
      <c r="Q5791" s="1" t="s">
        <v>19257</v>
      </c>
      <c r="R5791" s="1" t="s">
        <v>19257</v>
      </c>
      <c r="S5791" s="1"/>
      <c r="T5791" s="1" t="s">
        <v>68</v>
      </c>
      <c r="U5791" s="1"/>
      <c r="V5791" s="1">
        <v>3.0</v>
      </c>
      <c r="W5791" s="1">
        <v>3.0</v>
      </c>
      <c r="X5791" s="1" t="s">
        <v>35</v>
      </c>
      <c r="Y5791" s="1">
        <v>3000</v>
      </c>
      <c r="Z5791" s="1"/>
      <c r="AA5791" s="1">
        <v>3000</v>
      </c>
      <c r="AB5791" s="1"/>
      <c r="AC5791" s="1" t="s">
        <v>36</v>
      </c>
      <c r="AD5791" s="1" t="s">
        <v>19508</v>
      </c>
      <c r="AE5791" s="1" t="s">
        <v>32</v>
      </c>
      <c r="AF5791" s="1" t="s">
        <v>33</v>
      </c>
      <c r="AG5791" s="1" t="s">
        <v>60</v>
      </c>
    </row>
    <row r="5792" spans="1:33">
      <c r="A5792" t="s">
        <v>19509</v>
      </c>
      <c r="C5792" t="s">
        <v>3871</v>
      </c>
      <c r="E5792" t="s">
        <v>19257</v>
      </c>
      <c r="F5792" t="s">
        <v>19258</v>
      </c>
      <c r="G5792">
        <v>3.28</v>
      </c>
      <c r="H5792">
        <v>3.28</v>
      </c>
      <c r="I5792" t="s">
        <v>269</v>
      </c>
      <c r="J5792" t="s">
        <v>270</v>
      </c>
      <c r="K5792" t="s">
        <v>31</v>
      </c>
      <c r="L5792" t="s">
        <v>32</v>
      </c>
      <c r="M5792" t="s">
        <v>33</v>
      </c>
      <c r="P5792" s="1" t="s">
        <v>19510</v>
      </c>
      <c r="Q5792" s="1" t="s">
        <v>19257</v>
      </c>
      <c r="R5792" s="1" t="s">
        <v>19257</v>
      </c>
      <c r="S5792" s="1"/>
      <c r="T5792" s="1" t="s">
        <v>3871</v>
      </c>
      <c r="U5792" s="1"/>
      <c r="V5792" s="1">
        <v>3.28</v>
      </c>
      <c r="W5792" s="1">
        <v>3.28</v>
      </c>
      <c r="X5792" s="1" t="s">
        <v>35</v>
      </c>
      <c r="Y5792" s="1">
        <v>3280000</v>
      </c>
      <c r="Z5792" s="1"/>
      <c r="AA5792" s="1">
        <v>3280000</v>
      </c>
      <c r="AB5792" s="1"/>
      <c r="AC5792" s="1" t="s">
        <v>36</v>
      </c>
      <c r="AD5792" s="1" t="s">
        <v>19511</v>
      </c>
      <c r="AE5792" s="1" t="s">
        <v>1636</v>
      </c>
      <c r="AF5792" s="1" t="s">
        <v>33</v>
      </c>
      <c r="AG5792" s="1" t="s">
        <v>270</v>
      </c>
    </row>
    <row r="5793" spans="1:33">
      <c r="A5793" t="s">
        <v>19512</v>
      </c>
      <c r="B5793" t="s">
        <v>897</v>
      </c>
      <c r="C5793" t="s">
        <v>314</v>
      </c>
      <c r="E5793" t="s">
        <v>19257</v>
      </c>
      <c r="F5793" t="s">
        <v>19258</v>
      </c>
      <c r="G5793">
        <v>70.92</v>
      </c>
      <c r="H5793">
        <v>70.92</v>
      </c>
      <c r="I5793" t="s">
        <v>179</v>
      </c>
      <c r="J5793" t="s">
        <v>180</v>
      </c>
      <c r="K5793" t="s">
        <v>31</v>
      </c>
      <c r="L5793" t="s">
        <v>32</v>
      </c>
      <c r="M5793" t="s">
        <v>33</v>
      </c>
      <c r="P5793" s="1" t="s">
        <v>19513</v>
      </c>
      <c r="Q5793" s="1" t="s">
        <v>19257</v>
      </c>
      <c r="R5793" s="1" t="s">
        <v>19257</v>
      </c>
      <c r="S5793" s="1"/>
      <c r="T5793" s="1" t="s">
        <v>314</v>
      </c>
      <c r="U5793" s="1"/>
      <c r="V5793" s="1">
        <v>70.92</v>
      </c>
      <c r="W5793" s="1">
        <v>70.92</v>
      </c>
      <c r="X5793" s="1" t="s">
        <v>35</v>
      </c>
      <c r="Y5793" s="1">
        <v>70920</v>
      </c>
      <c r="Z5793" s="1"/>
      <c r="AA5793" s="1">
        <v>70920</v>
      </c>
      <c r="AB5793" s="1"/>
      <c r="AC5793" s="1" t="s">
        <v>36</v>
      </c>
      <c r="AD5793" s="1" t="s">
        <v>19508</v>
      </c>
      <c r="AE5793" s="1" t="s">
        <v>32</v>
      </c>
      <c r="AF5793" s="1" t="s">
        <v>33</v>
      </c>
      <c r="AG5793" s="1" t="s">
        <v>180</v>
      </c>
    </row>
    <row r="5794" spans="1:33">
      <c r="A5794" t="s">
        <v>19514</v>
      </c>
      <c r="B5794" t="s">
        <v>19515</v>
      </c>
      <c r="C5794" t="s">
        <v>64</v>
      </c>
      <c r="E5794" t="s">
        <v>19257</v>
      </c>
      <c r="F5794" t="s">
        <v>19258</v>
      </c>
      <c r="G5794">
        <v>3.639</v>
      </c>
      <c r="H5794">
        <v>3.639</v>
      </c>
      <c r="I5794" t="s">
        <v>2206</v>
      </c>
      <c r="J5794" t="s">
        <v>49</v>
      </c>
      <c r="K5794" t="s">
        <v>31</v>
      </c>
      <c r="L5794" t="s">
        <v>32</v>
      </c>
      <c r="M5794" t="s">
        <v>33</v>
      </c>
      <c r="P5794" s="1" t="s">
        <v>19516</v>
      </c>
      <c r="Q5794" s="1" t="s">
        <v>19257</v>
      </c>
      <c r="R5794" s="1" t="s">
        <v>19257</v>
      </c>
      <c r="S5794" s="1"/>
      <c r="T5794" s="1" t="s">
        <v>64</v>
      </c>
      <c r="U5794" s="1"/>
      <c r="V5794" s="1">
        <v>3.639</v>
      </c>
      <c r="W5794" s="1">
        <v>3.639</v>
      </c>
      <c r="X5794" s="1" t="s">
        <v>35</v>
      </c>
      <c r="Y5794" s="1">
        <v>3639000</v>
      </c>
      <c r="Z5794" s="1"/>
      <c r="AA5794" s="1">
        <v>3639000</v>
      </c>
      <c r="AB5794" s="1"/>
      <c r="AC5794" s="1" t="s">
        <v>36</v>
      </c>
      <c r="AD5794" s="1" t="s">
        <v>19517</v>
      </c>
      <c r="AE5794" s="1" t="s">
        <v>32</v>
      </c>
      <c r="AF5794" s="1" t="s">
        <v>33</v>
      </c>
      <c r="AG5794" s="1" t="s">
        <v>49</v>
      </c>
    </row>
    <row r="5795" spans="1:33">
      <c r="A5795" t="s">
        <v>19518</v>
      </c>
      <c r="B5795" t="s">
        <v>6220</v>
      </c>
      <c r="C5795" t="s">
        <v>6221</v>
      </c>
      <c r="D5795" t="s">
        <v>114</v>
      </c>
      <c r="E5795" t="s">
        <v>19257</v>
      </c>
      <c r="F5795" t="s">
        <v>18430</v>
      </c>
      <c r="G5795">
        <v>656.0</v>
      </c>
      <c r="H5795">
        <v>656.0</v>
      </c>
      <c r="I5795" t="s">
        <v>529</v>
      </c>
      <c r="J5795" t="s">
        <v>530</v>
      </c>
      <c r="K5795" t="s">
        <v>31</v>
      </c>
      <c r="L5795" t="s">
        <v>32</v>
      </c>
      <c r="M5795" t="s">
        <v>33</v>
      </c>
      <c r="P5795" s="1" t="s">
        <v>19519</v>
      </c>
      <c r="Q5795" s="1" t="s">
        <v>19257</v>
      </c>
      <c r="R5795" s="1" t="s">
        <v>18429</v>
      </c>
      <c r="S5795" s="1"/>
      <c r="T5795" s="1" t="s">
        <v>6221</v>
      </c>
      <c r="U5795" s="1"/>
      <c r="V5795" s="1">
        <v>656.0</v>
      </c>
      <c r="W5795" s="1">
        <v>656.0</v>
      </c>
      <c r="X5795" s="1" t="s">
        <v>35</v>
      </c>
      <c r="Y5795" s="1">
        <v>656000</v>
      </c>
      <c r="Z5795" s="1"/>
      <c r="AA5795" s="1">
        <v>656000</v>
      </c>
      <c r="AB5795" s="1"/>
      <c r="AC5795" s="1" t="s">
        <v>36</v>
      </c>
      <c r="AD5795" s="1" t="s">
        <v>19520</v>
      </c>
      <c r="AE5795" s="1" t="s">
        <v>32</v>
      </c>
      <c r="AF5795" s="1" t="s">
        <v>33</v>
      </c>
      <c r="AG5795" s="1" t="s">
        <v>530</v>
      </c>
    </row>
    <row r="5796" spans="1:33">
      <c r="A5796" t="s">
        <v>19521</v>
      </c>
      <c r="C5796" t="s">
        <v>569</v>
      </c>
      <c r="E5796" t="s">
        <v>19257</v>
      </c>
      <c r="F5796" t="s">
        <v>19258</v>
      </c>
      <c r="G5796">
        <v>35.58</v>
      </c>
      <c r="H5796">
        <v>35.58</v>
      </c>
      <c r="I5796" t="s">
        <v>570</v>
      </c>
      <c r="J5796" t="s">
        <v>571</v>
      </c>
      <c r="K5796" t="s">
        <v>31</v>
      </c>
      <c r="L5796" t="s">
        <v>32</v>
      </c>
      <c r="M5796" t="s">
        <v>33</v>
      </c>
      <c r="P5796" s="1" t="s">
        <v>19522</v>
      </c>
      <c r="Q5796" s="1" t="s">
        <v>19257</v>
      </c>
      <c r="R5796" s="1" t="s">
        <v>19257</v>
      </c>
      <c r="S5796" s="1"/>
      <c r="T5796" s="1" t="s">
        <v>569</v>
      </c>
      <c r="U5796" s="1"/>
      <c r="V5796" s="1">
        <v>35.58</v>
      </c>
      <c r="W5796" s="1">
        <v>35.58</v>
      </c>
      <c r="X5796" s="1" t="s">
        <v>35</v>
      </c>
      <c r="Y5796" s="1">
        <v>35580</v>
      </c>
      <c r="Z5796" s="1"/>
      <c r="AA5796" s="1">
        <v>35580</v>
      </c>
      <c r="AB5796" s="1"/>
      <c r="AC5796" s="1" t="s">
        <v>36</v>
      </c>
      <c r="AD5796" s="1" t="s">
        <v>19523</v>
      </c>
      <c r="AE5796" s="1" t="s">
        <v>1636</v>
      </c>
      <c r="AF5796" s="1" t="s">
        <v>33</v>
      </c>
      <c r="AG5796" s="1" t="s">
        <v>571</v>
      </c>
    </row>
    <row r="5797" spans="1:33">
      <c r="A5797" t="s">
        <v>19524</v>
      </c>
      <c r="B5797" t="s">
        <v>444</v>
      </c>
      <c r="C5797" t="s">
        <v>314</v>
      </c>
      <c r="E5797" t="s">
        <v>19257</v>
      </c>
      <c r="F5797" t="s">
        <v>19258</v>
      </c>
      <c r="G5797">
        <v>37.49</v>
      </c>
      <c r="H5797">
        <v>37.49</v>
      </c>
      <c r="I5797" t="s">
        <v>179</v>
      </c>
      <c r="J5797" t="s">
        <v>180</v>
      </c>
      <c r="K5797" t="s">
        <v>31</v>
      </c>
      <c r="L5797" t="s">
        <v>32</v>
      </c>
      <c r="M5797" t="s">
        <v>33</v>
      </c>
      <c r="P5797" s="1" t="s">
        <v>19525</v>
      </c>
      <c r="Q5797" s="1" t="s">
        <v>19257</v>
      </c>
      <c r="R5797" s="1" t="s">
        <v>19257</v>
      </c>
      <c r="S5797" s="1"/>
      <c r="T5797" s="1" t="s">
        <v>314</v>
      </c>
      <c r="U5797" s="1"/>
      <c r="V5797" s="1">
        <v>37.49</v>
      </c>
      <c r="W5797" s="1">
        <v>37.49</v>
      </c>
      <c r="X5797" s="1" t="s">
        <v>35</v>
      </c>
      <c r="Y5797" s="1">
        <v>37500</v>
      </c>
      <c r="Z5797" s="1">
        <v>-10</v>
      </c>
      <c r="AA5797" s="1">
        <v>37500</v>
      </c>
      <c r="AB5797" s="1">
        <v>-10</v>
      </c>
      <c r="AC5797" s="1" t="s">
        <v>36</v>
      </c>
      <c r="AD5797" s="1" t="s">
        <v>19526</v>
      </c>
      <c r="AE5797" s="1" t="s">
        <v>32</v>
      </c>
      <c r="AF5797" s="1" t="s">
        <v>33</v>
      </c>
      <c r="AG5797" s="1" t="s">
        <v>180</v>
      </c>
    </row>
    <row r="5798" spans="1:33">
      <c r="A5798" t="s">
        <v>19527</v>
      </c>
      <c r="B5798" t="s">
        <v>19528</v>
      </c>
      <c r="C5798" t="s">
        <v>3428</v>
      </c>
      <c r="E5798" t="s">
        <v>19257</v>
      </c>
      <c r="F5798" t="s">
        <v>16399</v>
      </c>
      <c r="G5798">
        <v>3.673</v>
      </c>
      <c r="H5798">
        <v>3.673</v>
      </c>
      <c r="I5798" t="s">
        <v>529</v>
      </c>
      <c r="J5798" t="s">
        <v>530</v>
      </c>
      <c r="K5798" t="s">
        <v>31</v>
      </c>
      <c r="L5798" t="s">
        <v>32</v>
      </c>
      <c r="M5798" t="s">
        <v>33</v>
      </c>
      <c r="P5798" s="1" t="s">
        <v>19529</v>
      </c>
      <c r="Q5798" s="1" t="s">
        <v>19257</v>
      </c>
      <c r="R5798" s="1" t="s">
        <v>18429</v>
      </c>
      <c r="S5798" s="1"/>
      <c r="T5798" s="1" t="s">
        <v>3428</v>
      </c>
      <c r="U5798" s="1"/>
      <c r="V5798" s="1">
        <v>3.673</v>
      </c>
      <c r="W5798" s="1">
        <v>3.673</v>
      </c>
      <c r="X5798" s="1" t="s">
        <v>35</v>
      </c>
      <c r="Y5798" s="1">
        <v>3673600</v>
      </c>
      <c r="Z5798" s="1"/>
      <c r="AA5798" s="1">
        <v>3673600</v>
      </c>
      <c r="AB5798" s="1"/>
      <c r="AC5798" s="1" t="s">
        <v>36</v>
      </c>
      <c r="AD5798" s="1" t="s">
        <v>19530</v>
      </c>
      <c r="AE5798" s="1" t="s">
        <v>32</v>
      </c>
      <c r="AF5798" s="1" t="s">
        <v>33</v>
      </c>
      <c r="AG5798" s="1" t="s">
        <v>530</v>
      </c>
    </row>
    <row r="5799" spans="1:33">
      <c r="A5799" t="s">
        <v>19531</v>
      </c>
      <c r="B5799" t="s">
        <v>2406</v>
      </c>
      <c r="C5799" t="s">
        <v>68</v>
      </c>
      <c r="E5799" t="s">
        <v>19257</v>
      </c>
      <c r="F5799" t="s">
        <v>19258</v>
      </c>
      <c r="G5799">
        <v>37.235</v>
      </c>
      <c r="H5799">
        <v>37.235</v>
      </c>
      <c r="I5799" t="s">
        <v>59</v>
      </c>
      <c r="J5799" t="s">
        <v>60</v>
      </c>
      <c r="K5799" t="s">
        <v>31</v>
      </c>
      <c r="L5799" t="s">
        <v>32</v>
      </c>
      <c r="M5799" t="s">
        <v>33</v>
      </c>
      <c r="P5799" s="1" t="s">
        <v>19532</v>
      </c>
      <c r="Q5799" s="1" t="s">
        <v>19257</v>
      </c>
      <c r="R5799" s="1" t="s">
        <v>19257</v>
      </c>
      <c r="S5799" s="1"/>
      <c r="T5799" s="1" t="s">
        <v>68</v>
      </c>
      <c r="U5799" s="1"/>
      <c r="V5799" s="1">
        <v>37.235</v>
      </c>
      <c r="W5799" s="1">
        <v>37.235</v>
      </c>
      <c r="X5799" s="1" t="s">
        <v>35</v>
      </c>
      <c r="Y5799" s="1">
        <v>37235</v>
      </c>
      <c r="Z5799" s="1"/>
      <c r="AA5799" s="1">
        <v>37235</v>
      </c>
      <c r="AB5799" s="1"/>
      <c r="AC5799" s="1" t="s">
        <v>36</v>
      </c>
      <c r="AD5799" s="1" t="s">
        <v>19533</v>
      </c>
      <c r="AE5799" s="1" t="s">
        <v>32</v>
      </c>
      <c r="AF5799" s="1" t="s">
        <v>33</v>
      </c>
      <c r="AG5799" s="1" t="s">
        <v>60</v>
      </c>
    </row>
    <row r="5800" spans="1:33">
      <c r="A5800" t="s">
        <v>19534</v>
      </c>
      <c r="B5800" t="s">
        <v>4638</v>
      </c>
      <c r="C5800" t="s">
        <v>47</v>
      </c>
      <c r="E5800" t="s">
        <v>19257</v>
      </c>
      <c r="F5800" t="s">
        <v>19258</v>
      </c>
      <c r="G5800">
        <v>221.44</v>
      </c>
      <c r="H5800">
        <v>221.44</v>
      </c>
      <c r="I5800" t="s">
        <v>2206</v>
      </c>
      <c r="J5800" t="s">
        <v>49</v>
      </c>
      <c r="K5800" t="s">
        <v>31</v>
      </c>
      <c r="L5800" t="s">
        <v>32</v>
      </c>
      <c r="M5800" t="s">
        <v>33</v>
      </c>
      <c r="P5800" s="1" t="s">
        <v>19535</v>
      </c>
      <c r="Q5800" s="1" t="s">
        <v>19257</v>
      </c>
      <c r="R5800" s="1" t="s">
        <v>19257</v>
      </c>
      <c r="S5800" s="1"/>
      <c r="T5800" s="1" t="s">
        <v>47</v>
      </c>
      <c r="U5800" s="1"/>
      <c r="V5800" s="1">
        <v>221.44</v>
      </c>
      <c r="W5800" s="1">
        <v>221.44</v>
      </c>
      <c r="X5800" s="1" t="s">
        <v>35</v>
      </c>
      <c r="Y5800" s="1">
        <v>221440</v>
      </c>
      <c r="Z5800" s="1"/>
      <c r="AA5800" s="1">
        <v>221440</v>
      </c>
      <c r="AB5800" s="1"/>
      <c r="AC5800" s="1" t="s">
        <v>36</v>
      </c>
      <c r="AD5800" s="1" t="s">
        <v>19536</v>
      </c>
      <c r="AE5800" s="1" t="s">
        <v>32</v>
      </c>
      <c r="AF5800" s="1" t="s">
        <v>33</v>
      </c>
      <c r="AG5800" s="1" t="s">
        <v>49</v>
      </c>
    </row>
    <row r="5801" spans="1:33">
      <c r="A5801" t="s">
        <v>19537</v>
      </c>
      <c r="B5801" t="s">
        <v>19538</v>
      </c>
      <c r="C5801" t="s">
        <v>47</v>
      </c>
      <c r="E5801" t="s">
        <v>19257</v>
      </c>
      <c r="F5801" t="s">
        <v>19258</v>
      </c>
      <c r="G5801">
        <v>87.388</v>
      </c>
      <c r="H5801">
        <v>87.388</v>
      </c>
      <c r="I5801" t="s">
        <v>2206</v>
      </c>
      <c r="J5801" t="s">
        <v>49</v>
      </c>
      <c r="K5801" t="s">
        <v>31</v>
      </c>
      <c r="L5801" t="s">
        <v>32</v>
      </c>
      <c r="M5801" t="s">
        <v>33</v>
      </c>
      <c r="P5801" s="1" t="s">
        <v>19539</v>
      </c>
      <c r="Q5801" s="1" t="s">
        <v>19257</v>
      </c>
      <c r="R5801" s="1" t="s">
        <v>19257</v>
      </c>
      <c r="S5801" s="1"/>
      <c r="T5801" s="1" t="s">
        <v>47</v>
      </c>
      <c r="U5801" s="1"/>
      <c r="V5801" s="1">
        <v>87.388</v>
      </c>
      <c r="W5801" s="1">
        <v>87.388</v>
      </c>
      <c r="X5801" s="1" t="s">
        <v>35</v>
      </c>
      <c r="Y5801" s="1">
        <v>87388</v>
      </c>
      <c r="Z5801" s="1"/>
      <c r="AA5801" s="1">
        <v>87388</v>
      </c>
      <c r="AB5801" s="1"/>
      <c r="AC5801" s="1" t="s">
        <v>36</v>
      </c>
      <c r="AD5801" s="1" t="s">
        <v>19540</v>
      </c>
      <c r="AE5801" s="1" t="s">
        <v>32</v>
      </c>
      <c r="AF5801" s="1" t="s">
        <v>33</v>
      </c>
      <c r="AG5801" s="1" t="s">
        <v>49</v>
      </c>
    </row>
    <row r="5802" spans="1:33">
      <c r="A5802" t="s">
        <v>19541</v>
      </c>
      <c r="C5802" t="s">
        <v>9099</v>
      </c>
      <c r="E5802" t="s">
        <v>19257</v>
      </c>
      <c r="F5802" t="s">
        <v>19258</v>
      </c>
      <c r="G5802">
        <v>809.9</v>
      </c>
      <c r="H5802">
        <v>809.9</v>
      </c>
      <c r="I5802" t="s">
        <v>269</v>
      </c>
      <c r="J5802" t="s">
        <v>270</v>
      </c>
      <c r="K5802" t="s">
        <v>31</v>
      </c>
      <c r="L5802" t="s">
        <v>32</v>
      </c>
      <c r="M5802" t="s">
        <v>33</v>
      </c>
      <c r="P5802" s="1" t="s">
        <v>19542</v>
      </c>
      <c r="Q5802" s="1" t="s">
        <v>19257</v>
      </c>
      <c r="R5802" s="1" t="s">
        <v>19257</v>
      </c>
      <c r="S5802" s="1"/>
      <c r="T5802" s="1" t="s">
        <v>9101</v>
      </c>
      <c r="U5802" s="1" t="s">
        <v>9102</v>
      </c>
      <c r="V5802" s="1">
        <v>809.9</v>
      </c>
      <c r="W5802" s="1">
        <v>809.9</v>
      </c>
      <c r="X5802" s="1" t="s">
        <v>35</v>
      </c>
      <c r="Y5802" s="1">
        <v>809900</v>
      </c>
      <c r="Z5802" s="1"/>
      <c r="AA5802" s="1">
        <v>809900</v>
      </c>
      <c r="AB5802" s="1"/>
      <c r="AC5802" s="1" t="s">
        <v>36</v>
      </c>
      <c r="AD5802" s="1" t="s">
        <v>19543</v>
      </c>
      <c r="AE5802" s="1" t="s">
        <v>1636</v>
      </c>
      <c r="AF5802" s="1" t="s">
        <v>33</v>
      </c>
      <c r="AG5802" s="1" t="s">
        <v>270</v>
      </c>
    </row>
    <row r="5803" spans="1:33">
      <c r="A5803" t="s">
        <v>19544</v>
      </c>
      <c r="B5803" t="s">
        <v>19545</v>
      </c>
      <c r="C5803" t="s">
        <v>47</v>
      </c>
      <c r="E5803" t="s">
        <v>19257</v>
      </c>
      <c r="F5803" t="s">
        <v>19258</v>
      </c>
      <c r="G5803">
        <v>62.581</v>
      </c>
      <c r="H5803">
        <v>62.581</v>
      </c>
      <c r="I5803" t="s">
        <v>2206</v>
      </c>
      <c r="J5803" t="s">
        <v>49</v>
      </c>
      <c r="K5803" t="s">
        <v>31</v>
      </c>
      <c r="L5803" t="s">
        <v>32</v>
      </c>
      <c r="M5803" t="s">
        <v>33</v>
      </c>
      <c r="P5803" s="1" t="s">
        <v>19546</v>
      </c>
      <c r="Q5803" s="1" t="s">
        <v>19257</v>
      </c>
      <c r="R5803" s="1" t="s">
        <v>19257</v>
      </c>
      <c r="S5803" s="1"/>
      <c r="T5803" s="1" t="s">
        <v>47</v>
      </c>
      <c r="U5803" s="1"/>
      <c r="V5803" s="1">
        <v>62.581</v>
      </c>
      <c r="W5803" s="1">
        <v>62.581</v>
      </c>
      <c r="X5803" s="1" t="s">
        <v>35</v>
      </c>
      <c r="Y5803" s="1">
        <v>62581</v>
      </c>
      <c r="Z5803" s="1"/>
      <c r="AA5803" s="1">
        <v>62581</v>
      </c>
      <c r="AB5803" s="1"/>
      <c r="AC5803" s="1" t="s">
        <v>36</v>
      </c>
      <c r="AD5803" s="1" t="s">
        <v>19547</v>
      </c>
      <c r="AE5803" s="1" t="s">
        <v>32</v>
      </c>
      <c r="AF5803" s="1" t="s">
        <v>33</v>
      </c>
      <c r="AG5803" s="1" t="s">
        <v>49</v>
      </c>
    </row>
    <row r="5804" spans="1:33">
      <c r="A5804" t="s">
        <v>19548</v>
      </c>
      <c r="B5804" t="s">
        <v>19549</v>
      </c>
      <c r="C5804" t="s">
        <v>172</v>
      </c>
      <c r="E5804" t="s">
        <v>19257</v>
      </c>
      <c r="F5804" t="s">
        <v>19258</v>
      </c>
      <c r="G5804">
        <v>20.99</v>
      </c>
      <c r="H5804">
        <v>20.99</v>
      </c>
      <c r="I5804" t="s">
        <v>173</v>
      </c>
      <c r="J5804" t="s">
        <v>174</v>
      </c>
      <c r="K5804" t="s">
        <v>31</v>
      </c>
      <c r="L5804" t="s">
        <v>32</v>
      </c>
      <c r="M5804" t="s">
        <v>33</v>
      </c>
      <c r="P5804" s="1" t="s">
        <v>19550</v>
      </c>
      <c r="Q5804" s="1" t="s">
        <v>19257</v>
      </c>
      <c r="R5804" s="1" t="s">
        <v>19257</v>
      </c>
      <c r="S5804" s="1"/>
      <c r="T5804" s="1" t="s">
        <v>172</v>
      </c>
      <c r="U5804" s="1"/>
      <c r="V5804" s="1">
        <v>20.99</v>
      </c>
      <c r="W5804" s="1">
        <v>20.99</v>
      </c>
      <c r="X5804" s="1" t="s">
        <v>35</v>
      </c>
      <c r="Y5804" s="1">
        <v>20990</v>
      </c>
      <c r="Z5804" s="1"/>
      <c r="AA5804" s="1">
        <v>20990</v>
      </c>
      <c r="AB5804" s="1"/>
      <c r="AC5804" s="1" t="s">
        <v>36</v>
      </c>
      <c r="AD5804" s="1" t="s">
        <v>19551</v>
      </c>
      <c r="AE5804" s="1" t="s">
        <v>32</v>
      </c>
      <c r="AF5804" s="1" t="s">
        <v>33</v>
      </c>
      <c r="AG5804" s="1" t="s">
        <v>174</v>
      </c>
    </row>
    <row r="5805" spans="1:33">
      <c r="A5805" t="s">
        <v>19552</v>
      </c>
      <c r="B5805" t="s">
        <v>3986</v>
      </c>
      <c r="C5805" t="s">
        <v>314</v>
      </c>
      <c r="E5805" t="s">
        <v>19257</v>
      </c>
      <c r="F5805" t="s">
        <v>19258</v>
      </c>
      <c r="G5805">
        <v>37.18</v>
      </c>
      <c r="H5805">
        <v>37.18</v>
      </c>
      <c r="I5805" t="s">
        <v>179</v>
      </c>
      <c r="J5805" t="s">
        <v>180</v>
      </c>
      <c r="K5805" t="s">
        <v>31</v>
      </c>
      <c r="L5805" t="s">
        <v>32</v>
      </c>
      <c r="M5805" t="s">
        <v>33</v>
      </c>
      <c r="P5805" s="1" t="s">
        <v>19553</v>
      </c>
      <c r="Q5805" s="1" t="s">
        <v>19257</v>
      </c>
      <c r="R5805" s="1" t="s">
        <v>19257</v>
      </c>
      <c r="S5805" s="1"/>
      <c r="T5805" s="1" t="s">
        <v>314</v>
      </c>
      <c r="U5805" s="1"/>
      <c r="V5805" s="1">
        <v>37.18</v>
      </c>
      <c r="W5805" s="1">
        <v>37.18</v>
      </c>
      <c r="X5805" s="1" t="s">
        <v>35</v>
      </c>
      <c r="Y5805" s="1">
        <v>37180</v>
      </c>
      <c r="Z5805" s="1"/>
      <c r="AA5805" s="1">
        <v>37180</v>
      </c>
      <c r="AB5805" s="1"/>
      <c r="AC5805" s="1" t="s">
        <v>36</v>
      </c>
      <c r="AD5805" s="1" t="s">
        <v>19551</v>
      </c>
      <c r="AE5805" s="1" t="s">
        <v>32</v>
      </c>
      <c r="AF5805" s="1" t="s">
        <v>33</v>
      </c>
      <c r="AG5805" s="1" t="s">
        <v>180</v>
      </c>
    </row>
    <row r="5806" spans="1:33">
      <c r="A5806" t="s">
        <v>19554</v>
      </c>
      <c r="C5806" t="s">
        <v>1464</v>
      </c>
      <c r="E5806" t="s">
        <v>19257</v>
      </c>
      <c r="F5806" t="s">
        <v>19258</v>
      </c>
      <c r="G5806">
        <v>1.063</v>
      </c>
      <c r="H5806">
        <v>1.063</v>
      </c>
      <c r="I5806" t="s">
        <v>269</v>
      </c>
      <c r="J5806" t="s">
        <v>270</v>
      </c>
      <c r="K5806" t="s">
        <v>31</v>
      </c>
      <c r="L5806" t="s">
        <v>32</v>
      </c>
      <c r="M5806" t="s">
        <v>33</v>
      </c>
      <c r="P5806" s="1" t="s">
        <v>19555</v>
      </c>
      <c r="Q5806" s="1" t="s">
        <v>19257</v>
      </c>
      <c r="R5806" s="1" t="s">
        <v>19257</v>
      </c>
      <c r="S5806" s="1"/>
      <c r="T5806" s="1" t="s">
        <v>1464</v>
      </c>
      <c r="U5806" s="1"/>
      <c r="V5806" s="1">
        <v>1.063</v>
      </c>
      <c r="W5806" s="1">
        <v>1.063</v>
      </c>
      <c r="X5806" s="1" t="s">
        <v>35</v>
      </c>
      <c r="Y5806" s="1">
        <v>1063750</v>
      </c>
      <c r="Z5806" s="1"/>
      <c r="AA5806" s="1">
        <v>1063750</v>
      </c>
      <c r="AB5806" s="1"/>
      <c r="AC5806" s="1" t="s">
        <v>36</v>
      </c>
      <c r="AD5806" s="1" t="s">
        <v>19556</v>
      </c>
      <c r="AE5806" s="1" t="s">
        <v>32</v>
      </c>
      <c r="AF5806" s="1" t="s">
        <v>33</v>
      </c>
      <c r="AG5806" s="1" t="s">
        <v>270</v>
      </c>
    </row>
    <row r="5807" spans="1:33">
      <c r="A5807" t="s">
        <v>19557</v>
      </c>
      <c r="C5807" t="s">
        <v>19558</v>
      </c>
      <c r="E5807" t="s">
        <v>19257</v>
      </c>
      <c r="F5807" t="s">
        <v>19258</v>
      </c>
      <c r="G5807">
        <v>1.68</v>
      </c>
      <c r="H5807">
        <v>1.68</v>
      </c>
      <c r="I5807" t="s">
        <v>2206</v>
      </c>
      <c r="J5807" t="s">
        <v>49</v>
      </c>
      <c r="K5807" t="s">
        <v>31</v>
      </c>
      <c r="L5807" t="s">
        <v>32</v>
      </c>
      <c r="M5807" t="s">
        <v>33</v>
      </c>
      <c r="P5807" s="1" t="s">
        <v>19559</v>
      </c>
      <c r="Q5807" s="1" t="s">
        <v>19257</v>
      </c>
      <c r="R5807" s="1" t="s">
        <v>19257</v>
      </c>
      <c r="S5807" s="1"/>
      <c r="T5807" s="1" t="s">
        <v>19558</v>
      </c>
      <c r="U5807" s="1"/>
      <c r="V5807" s="1">
        <v>1.68</v>
      </c>
      <c r="W5807" s="1">
        <v>1.68</v>
      </c>
      <c r="X5807" s="1" t="s">
        <v>35</v>
      </c>
      <c r="Y5807" s="1">
        <v>1680000</v>
      </c>
      <c r="Z5807" s="1"/>
      <c r="AA5807" s="1">
        <v>1680000</v>
      </c>
      <c r="AB5807" s="1"/>
      <c r="AC5807" s="1" t="s">
        <v>36</v>
      </c>
      <c r="AD5807" s="1" t="s">
        <v>19560</v>
      </c>
      <c r="AE5807" s="1" t="s">
        <v>32</v>
      </c>
      <c r="AF5807" s="1" t="s">
        <v>33</v>
      </c>
      <c r="AG5807" s="1" t="s">
        <v>49</v>
      </c>
    </row>
    <row r="5808" spans="1:33">
      <c r="A5808" t="s">
        <v>19561</v>
      </c>
      <c r="C5808" t="s">
        <v>15535</v>
      </c>
      <c r="E5808" t="s">
        <v>19257</v>
      </c>
      <c r="F5808" t="s">
        <v>19258</v>
      </c>
      <c r="G5808">
        <v>584.4</v>
      </c>
      <c r="H5808">
        <v>584.4</v>
      </c>
      <c r="I5808" t="s">
        <v>269</v>
      </c>
      <c r="J5808" t="s">
        <v>270</v>
      </c>
      <c r="K5808" t="s">
        <v>31</v>
      </c>
      <c r="L5808" t="s">
        <v>32</v>
      </c>
      <c r="M5808" t="s">
        <v>33</v>
      </c>
      <c r="P5808" s="1" t="s">
        <v>19562</v>
      </c>
      <c r="Q5808" s="1" t="s">
        <v>19257</v>
      </c>
      <c r="R5808" s="1" t="s">
        <v>19257</v>
      </c>
      <c r="S5808" s="1"/>
      <c r="T5808" s="1" t="s">
        <v>15535</v>
      </c>
      <c r="U5808" s="1"/>
      <c r="V5808" s="1">
        <v>584.4</v>
      </c>
      <c r="W5808" s="1">
        <v>584.4</v>
      </c>
      <c r="X5808" s="1" t="s">
        <v>35</v>
      </c>
      <c r="Y5808" s="1">
        <v>584400</v>
      </c>
      <c r="Z5808" s="1"/>
      <c r="AA5808" s="1">
        <v>584400</v>
      </c>
      <c r="AB5808" s="1"/>
      <c r="AC5808" s="1" t="s">
        <v>36</v>
      </c>
      <c r="AD5808" s="1" t="s">
        <v>19563</v>
      </c>
      <c r="AE5808" s="1" t="s">
        <v>32</v>
      </c>
      <c r="AF5808" s="1" t="s">
        <v>33</v>
      </c>
      <c r="AG5808" s="1" t="s">
        <v>270</v>
      </c>
    </row>
    <row r="5809" spans="1:33">
      <c r="A5809" t="s">
        <v>19564</v>
      </c>
      <c r="C5809" t="s">
        <v>961</v>
      </c>
      <c r="E5809" t="s">
        <v>19257</v>
      </c>
      <c r="F5809" t="s">
        <v>19258</v>
      </c>
      <c r="G5809">
        <v>431.25</v>
      </c>
      <c r="H5809">
        <v>431.25</v>
      </c>
      <c r="I5809" t="s">
        <v>570</v>
      </c>
      <c r="J5809" t="s">
        <v>571</v>
      </c>
      <c r="K5809" t="s">
        <v>31</v>
      </c>
      <c r="L5809" t="s">
        <v>32</v>
      </c>
      <c r="M5809" t="s">
        <v>33</v>
      </c>
      <c r="P5809" s="1" t="s">
        <v>19565</v>
      </c>
      <c r="Q5809" s="1" t="s">
        <v>19257</v>
      </c>
      <c r="R5809" s="1" t="s">
        <v>19257</v>
      </c>
      <c r="S5809" s="1"/>
      <c r="T5809" s="1" t="s">
        <v>961</v>
      </c>
      <c r="U5809" s="1"/>
      <c r="V5809" s="1">
        <v>431.25</v>
      </c>
      <c r="W5809" s="1">
        <v>431.25</v>
      </c>
      <c r="X5809" s="1" t="s">
        <v>35</v>
      </c>
      <c r="Y5809" s="1">
        <v>431250</v>
      </c>
      <c r="Z5809" s="1"/>
      <c r="AA5809" s="1">
        <v>431250</v>
      </c>
      <c r="AB5809" s="1"/>
      <c r="AC5809" s="1" t="s">
        <v>36</v>
      </c>
      <c r="AD5809" s="1" t="s">
        <v>19566</v>
      </c>
      <c r="AE5809" s="1" t="s">
        <v>1636</v>
      </c>
      <c r="AF5809" s="1" t="s">
        <v>33</v>
      </c>
      <c r="AG5809" s="1" t="s">
        <v>571</v>
      </c>
    </row>
    <row r="5810" spans="1:33">
      <c r="A5810" t="s">
        <v>19567</v>
      </c>
      <c r="B5810" t="s">
        <v>19568</v>
      </c>
      <c r="C5810" t="s">
        <v>314</v>
      </c>
      <c r="E5810" t="s">
        <v>19257</v>
      </c>
      <c r="F5810" t="s">
        <v>19258</v>
      </c>
      <c r="G5810">
        <v>18.59</v>
      </c>
      <c r="H5810">
        <v>18.59</v>
      </c>
      <c r="I5810" t="s">
        <v>179</v>
      </c>
      <c r="J5810" t="s">
        <v>180</v>
      </c>
      <c r="K5810" t="s">
        <v>31</v>
      </c>
      <c r="L5810" t="s">
        <v>32</v>
      </c>
      <c r="M5810" t="s">
        <v>33</v>
      </c>
      <c r="P5810" s="1" t="s">
        <v>19569</v>
      </c>
      <c r="Q5810" s="1" t="s">
        <v>19257</v>
      </c>
      <c r="R5810" s="1" t="s">
        <v>19257</v>
      </c>
      <c r="S5810" s="1"/>
      <c r="T5810" s="1" t="s">
        <v>314</v>
      </c>
      <c r="U5810" s="1"/>
      <c r="V5810" s="1">
        <v>18.59</v>
      </c>
      <c r="W5810" s="1">
        <v>18.59</v>
      </c>
      <c r="X5810" s="1" t="s">
        <v>35</v>
      </c>
      <c r="Y5810" s="1">
        <v>18590</v>
      </c>
      <c r="Z5810" s="1"/>
      <c r="AA5810" s="1">
        <v>18590</v>
      </c>
      <c r="AB5810" s="1"/>
      <c r="AC5810" s="1" t="s">
        <v>36</v>
      </c>
      <c r="AD5810" s="1" t="s">
        <v>19556</v>
      </c>
      <c r="AE5810" s="1" t="s">
        <v>32</v>
      </c>
      <c r="AF5810" s="1" t="s">
        <v>33</v>
      </c>
      <c r="AG5810" s="1" t="s">
        <v>180</v>
      </c>
    </row>
    <row r="5811" spans="1:33">
      <c r="A5811" t="s">
        <v>19570</v>
      </c>
      <c r="B5811" t="s">
        <v>19571</v>
      </c>
      <c r="C5811" t="s">
        <v>569</v>
      </c>
      <c r="E5811" t="s">
        <v>19257</v>
      </c>
      <c r="F5811" t="s">
        <v>19258</v>
      </c>
      <c r="G5811">
        <v>131.94</v>
      </c>
      <c r="H5811">
        <v>131.94</v>
      </c>
      <c r="I5811" t="s">
        <v>570</v>
      </c>
      <c r="J5811" t="s">
        <v>571</v>
      </c>
      <c r="K5811" t="s">
        <v>31</v>
      </c>
      <c r="L5811" t="s">
        <v>32</v>
      </c>
      <c r="M5811" t="s">
        <v>33</v>
      </c>
      <c r="P5811" s="1" t="s">
        <v>19572</v>
      </c>
      <c r="Q5811" s="1" t="s">
        <v>19257</v>
      </c>
      <c r="R5811" s="1" t="s">
        <v>19257</v>
      </c>
      <c r="S5811" s="1"/>
      <c r="T5811" s="1" t="s">
        <v>569</v>
      </c>
      <c r="U5811" s="1"/>
      <c r="V5811" s="1">
        <v>131.94</v>
      </c>
      <c r="W5811" s="1">
        <v>131.94</v>
      </c>
      <c r="X5811" s="1" t="s">
        <v>35</v>
      </c>
      <c r="Y5811" s="1">
        <v>131940</v>
      </c>
      <c r="Z5811" s="1"/>
      <c r="AA5811" s="1">
        <v>131940</v>
      </c>
      <c r="AB5811" s="1"/>
      <c r="AC5811" s="1" t="s">
        <v>36</v>
      </c>
      <c r="AD5811" s="1" t="s">
        <v>19563</v>
      </c>
      <c r="AE5811" s="1" t="s">
        <v>1636</v>
      </c>
      <c r="AF5811" s="1" t="s">
        <v>33</v>
      </c>
      <c r="AG5811" s="1" t="s">
        <v>571</v>
      </c>
    </row>
    <row r="5812" spans="1:33">
      <c r="A5812" t="s">
        <v>19573</v>
      </c>
      <c r="B5812" t="s">
        <v>19574</v>
      </c>
      <c r="C5812" t="s">
        <v>5576</v>
      </c>
      <c r="E5812" t="s">
        <v>19257</v>
      </c>
      <c r="F5812" t="s">
        <v>19258</v>
      </c>
      <c r="G5812">
        <v>26.188</v>
      </c>
      <c r="H5812">
        <v>26.188</v>
      </c>
      <c r="I5812" t="s">
        <v>59</v>
      </c>
      <c r="J5812" t="s">
        <v>60</v>
      </c>
      <c r="K5812" t="s">
        <v>31</v>
      </c>
      <c r="L5812" t="s">
        <v>32</v>
      </c>
      <c r="M5812" t="s">
        <v>33</v>
      </c>
      <c r="P5812" s="1" t="s">
        <v>19575</v>
      </c>
      <c r="Q5812" s="1" t="s">
        <v>19257</v>
      </c>
      <c r="R5812" s="1" t="s">
        <v>19257</v>
      </c>
      <c r="S5812" s="1"/>
      <c r="T5812" s="1" t="s">
        <v>5576</v>
      </c>
      <c r="U5812" s="1"/>
      <c r="V5812" s="1">
        <v>26.188</v>
      </c>
      <c r="W5812" s="1">
        <v>26.188</v>
      </c>
      <c r="X5812" s="1" t="s">
        <v>35</v>
      </c>
      <c r="Y5812" s="1">
        <v>26188</v>
      </c>
      <c r="Z5812" s="1"/>
      <c r="AA5812" s="1">
        <v>26188</v>
      </c>
      <c r="AB5812" s="1"/>
      <c r="AC5812" s="1" t="s">
        <v>36</v>
      </c>
      <c r="AD5812" s="1" t="s">
        <v>19576</v>
      </c>
      <c r="AE5812" s="1" t="s">
        <v>32</v>
      </c>
      <c r="AF5812" s="1" t="s">
        <v>33</v>
      </c>
      <c r="AG5812" s="1" t="s">
        <v>60</v>
      </c>
    </row>
    <row r="5813" spans="1:33">
      <c r="A5813" t="s">
        <v>19577</v>
      </c>
      <c r="B5813" t="s">
        <v>19578</v>
      </c>
      <c r="C5813" t="s">
        <v>47</v>
      </c>
      <c r="E5813" t="s">
        <v>19257</v>
      </c>
      <c r="F5813" t="s">
        <v>19258</v>
      </c>
      <c r="G5813">
        <v>138.0</v>
      </c>
      <c r="H5813">
        <v>138.0</v>
      </c>
      <c r="I5813" t="s">
        <v>2206</v>
      </c>
      <c r="J5813" t="s">
        <v>49</v>
      </c>
      <c r="K5813" t="s">
        <v>31</v>
      </c>
      <c r="L5813" t="s">
        <v>32</v>
      </c>
      <c r="M5813" t="s">
        <v>33</v>
      </c>
      <c r="P5813" s="1" t="s">
        <v>19579</v>
      </c>
      <c r="Q5813" s="1" t="s">
        <v>19257</v>
      </c>
      <c r="R5813" s="1" t="s">
        <v>19257</v>
      </c>
      <c r="S5813" s="1"/>
      <c r="T5813" s="1" t="s">
        <v>47</v>
      </c>
      <c r="U5813" s="1"/>
      <c r="V5813" s="1">
        <v>138.0</v>
      </c>
      <c r="W5813" s="1">
        <v>138.0</v>
      </c>
      <c r="X5813" s="1" t="s">
        <v>35</v>
      </c>
      <c r="Y5813" s="1">
        <v>138000</v>
      </c>
      <c r="Z5813" s="1"/>
      <c r="AA5813" s="1">
        <v>138000</v>
      </c>
      <c r="AB5813" s="1"/>
      <c r="AC5813" s="1" t="s">
        <v>36</v>
      </c>
      <c r="AD5813" s="1" t="s">
        <v>19580</v>
      </c>
      <c r="AE5813" s="1" t="s">
        <v>32</v>
      </c>
      <c r="AF5813" s="1" t="s">
        <v>33</v>
      </c>
      <c r="AG5813" s="1" t="s">
        <v>49</v>
      </c>
    </row>
    <row r="5814" spans="1:33">
      <c r="A5814" t="s">
        <v>19581</v>
      </c>
      <c r="B5814" t="s">
        <v>4551</v>
      </c>
      <c r="C5814" t="s">
        <v>125</v>
      </c>
      <c r="E5814" t="s">
        <v>19257</v>
      </c>
      <c r="F5814" t="s">
        <v>19258</v>
      </c>
      <c r="G5814">
        <v>19.361</v>
      </c>
      <c r="H5814">
        <v>19.361</v>
      </c>
      <c r="I5814" t="s">
        <v>126</v>
      </c>
      <c r="J5814" t="s">
        <v>127</v>
      </c>
      <c r="K5814" t="s">
        <v>31</v>
      </c>
      <c r="L5814" t="s">
        <v>32</v>
      </c>
      <c r="M5814" t="s">
        <v>33</v>
      </c>
      <c r="P5814" s="1" t="s">
        <v>19582</v>
      </c>
      <c r="Q5814" s="1" t="s">
        <v>19257</v>
      </c>
      <c r="R5814" s="1" t="s">
        <v>19257</v>
      </c>
      <c r="S5814" s="1"/>
      <c r="T5814" s="1" t="s">
        <v>125</v>
      </c>
      <c r="U5814" s="1"/>
      <c r="V5814" s="1">
        <v>19.361</v>
      </c>
      <c r="W5814" s="1">
        <v>19.361</v>
      </c>
      <c r="X5814" s="1" t="s">
        <v>35</v>
      </c>
      <c r="Y5814" s="1">
        <v>19361</v>
      </c>
      <c r="Z5814" s="1"/>
      <c r="AA5814" s="1">
        <v>19361</v>
      </c>
      <c r="AB5814" s="1"/>
      <c r="AC5814" s="1" t="s">
        <v>36</v>
      </c>
      <c r="AD5814" s="1" t="s">
        <v>19576</v>
      </c>
      <c r="AE5814" s="1" t="s">
        <v>32</v>
      </c>
      <c r="AF5814" s="1" t="s">
        <v>33</v>
      </c>
      <c r="AG5814" s="1" t="s">
        <v>127</v>
      </c>
    </row>
    <row r="5815" spans="1:33">
      <c r="A5815" t="s">
        <v>19583</v>
      </c>
      <c r="B5815" t="s">
        <v>19584</v>
      </c>
      <c r="C5815" t="s">
        <v>47</v>
      </c>
      <c r="E5815" t="s">
        <v>19257</v>
      </c>
      <c r="F5815" t="s">
        <v>19258</v>
      </c>
      <c r="G5815">
        <v>15.593</v>
      </c>
      <c r="H5815">
        <v>15.593</v>
      </c>
      <c r="I5815" t="s">
        <v>2206</v>
      </c>
      <c r="J5815" t="s">
        <v>49</v>
      </c>
      <c r="K5815" t="s">
        <v>31</v>
      </c>
      <c r="L5815" t="s">
        <v>32</v>
      </c>
      <c r="M5815" t="s">
        <v>33</v>
      </c>
      <c r="P5815" s="1" t="s">
        <v>19585</v>
      </c>
      <c r="Q5815" s="1" t="s">
        <v>19257</v>
      </c>
      <c r="R5815" s="1" t="s">
        <v>19257</v>
      </c>
      <c r="S5815" s="1"/>
      <c r="T5815" s="1" t="s">
        <v>47</v>
      </c>
      <c r="U5815" s="1"/>
      <c r="V5815" s="1">
        <v>15.593</v>
      </c>
      <c r="W5815" s="1">
        <v>15.593</v>
      </c>
      <c r="X5815" s="1" t="s">
        <v>35</v>
      </c>
      <c r="Y5815" s="1">
        <v>15593</v>
      </c>
      <c r="Z5815" s="1"/>
      <c r="AA5815" s="1">
        <v>15593</v>
      </c>
      <c r="AB5815" s="1"/>
      <c r="AC5815" s="1" t="s">
        <v>36</v>
      </c>
      <c r="AD5815" s="1" t="s">
        <v>19586</v>
      </c>
      <c r="AE5815" s="1" t="s">
        <v>32</v>
      </c>
      <c r="AF5815" s="1" t="s">
        <v>33</v>
      </c>
      <c r="AG5815" s="1" t="s">
        <v>49</v>
      </c>
    </row>
    <row r="5816" spans="1:33">
      <c r="A5816" t="s">
        <v>19587</v>
      </c>
      <c r="B5816" t="s">
        <v>1170</v>
      </c>
      <c r="C5816" t="s">
        <v>1171</v>
      </c>
      <c r="E5816" t="s">
        <v>19257</v>
      </c>
      <c r="F5816" t="s">
        <v>19258</v>
      </c>
      <c r="G5816">
        <v>1.314</v>
      </c>
      <c r="H5816">
        <v>1.314</v>
      </c>
      <c r="I5816" t="s">
        <v>529</v>
      </c>
      <c r="J5816" t="s">
        <v>530</v>
      </c>
      <c r="K5816" t="s">
        <v>31</v>
      </c>
      <c r="L5816" t="s">
        <v>32</v>
      </c>
      <c r="M5816" t="s">
        <v>33</v>
      </c>
      <c r="P5816" s="1" t="s">
        <v>19588</v>
      </c>
      <c r="Q5816" s="1" t="s">
        <v>19257</v>
      </c>
      <c r="R5816" s="1" t="s">
        <v>18429</v>
      </c>
      <c r="S5816" s="1"/>
      <c r="T5816" s="1" t="s">
        <v>1171</v>
      </c>
      <c r="U5816" s="1"/>
      <c r="V5816" s="1">
        <v>1.314</v>
      </c>
      <c r="W5816" s="1">
        <v>1.314</v>
      </c>
      <c r="X5816" s="1" t="s">
        <v>35</v>
      </c>
      <c r="Y5816" s="1">
        <v>1314000</v>
      </c>
      <c r="Z5816" s="1"/>
      <c r="AA5816" s="1">
        <v>1314000</v>
      </c>
      <c r="AB5816" s="1"/>
      <c r="AC5816" s="1" t="s">
        <v>36</v>
      </c>
      <c r="AD5816" s="1" t="s">
        <v>19589</v>
      </c>
      <c r="AE5816" s="1" t="s">
        <v>32</v>
      </c>
      <c r="AF5816" s="1" t="s">
        <v>33</v>
      </c>
      <c r="AG5816" s="1" t="s">
        <v>530</v>
      </c>
    </row>
    <row r="5817" spans="1:33">
      <c r="A5817" t="s">
        <v>19590</v>
      </c>
      <c r="B5817" t="s">
        <v>842</v>
      </c>
      <c r="C5817" t="s">
        <v>68</v>
      </c>
      <c r="E5817" t="s">
        <v>19257</v>
      </c>
      <c r="F5817" t="s">
        <v>19258</v>
      </c>
      <c r="G5817">
        <v>31.0</v>
      </c>
      <c r="H5817">
        <v>31.0</v>
      </c>
      <c r="I5817" t="s">
        <v>59</v>
      </c>
      <c r="J5817" t="s">
        <v>60</v>
      </c>
      <c r="K5817" t="s">
        <v>31</v>
      </c>
      <c r="L5817" t="s">
        <v>32</v>
      </c>
      <c r="M5817" t="s">
        <v>33</v>
      </c>
      <c r="P5817" s="1" t="s">
        <v>19591</v>
      </c>
      <c r="Q5817" s="1" t="s">
        <v>19257</v>
      </c>
      <c r="R5817" s="1" t="s">
        <v>19257</v>
      </c>
      <c r="S5817" s="1"/>
      <c r="T5817" s="1" t="s">
        <v>68</v>
      </c>
      <c r="U5817" s="1"/>
      <c r="V5817" s="1">
        <v>31.0</v>
      </c>
      <c r="W5817" s="1">
        <v>31.0</v>
      </c>
      <c r="X5817" s="1" t="s">
        <v>35</v>
      </c>
      <c r="Y5817" s="1">
        <v>31000</v>
      </c>
      <c r="Z5817" s="1"/>
      <c r="AA5817" s="1">
        <v>31000</v>
      </c>
      <c r="AB5817" s="1"/>
      <c r="AC5817" s="1" t="s">
        <v>36</v>
      </c>
      <c r="AD5817" s="1" t="s">
        <v>19592</v>
      </c>
      <c r="AE5817" s="1" t="s">
        <v>32</v>
      </c>
      <c r="AF5817" s="1" t="s">
        <v>33</v>
      </c>
      <c r="AG5817" s="1" t="s">
        <v>60</v>
      </c>
    </row>
    <row r="5818" spans="1:33">
      <c r="A5818" t="s">
        <v>19593</v>
      </c>
      <c r="C5818" t="s">
        <v>1447</v>
      </c>
      <c r="D5818" t="s">
        <v>114</v>
      </c>
      <c r="E5818" t="s">
        <v>19257</v>
      </c>
      <c r="F5818" t="s">
        <v>19258</v>
      </c>
      <c r="G5818">
        <v>934.5</v>
      </c>
      <c r="H5818">
        <v>934.5</v>
      </c>
      <c r="I5818" t="s">
        <v>269</v>
      </c>
      <c r="J5818" t="s">
        <v>270</v>
      </c>
      <c r="K5818" t="s">
        <v>31</v>
      </c>
      <c r="L5818" t="s">
        <v>32</v>
      </c>
      <c r="M5818" t="s">
        <v>33</v>
      </c>
      <c r="P5818" s="1" t="s">
        <v>19594</v>
      </c>
      <c r="Q5818" s="1" t="s">
        <v>19257</v>
      </c>
      <c r="R5818" s="1" t="s">
        <v>19257</v>
      </c>
      <c r="S5818" s="1"/>
      <c r="T5818" s="1" t="s">
        <v>1449</v>
      </c>
      <c r="U5818" s="1" t="s">
        <v>1450</v>
      </c>
      <c r="V5818" s="1">
        <v>934.5</v>
      </c>
      <c r="W5818" s="1">
        <v>934.5</v>
      </c>
      <c r="X5818" s="1" t="s">
        <v>35</v>
      </c>
      <c r="Y5818" s="1">
        <v>934500</v>
      </c>
      <c r="Z5818" s="1"/>
      <c r="AA5818" s="1">
        <v>934500</v>
      </c>
      <c r="AB5818" s="1"/>
      <c r="AC5818" s="1" t="s">
        <v>36</v>
      </c>
      <c r="AD5818" s="1" t="s">
        <v>19595</v>
      </c>
      <c r="AE5818" s="1" t="s">
        <v>32</v>
      </c>
      <c r="AF5818" s="1" t="s">
        <v>33</v>
      </c>
      <c r="AG5818" s="1" t="s">
        <v>270</v>
      </c>
    </row>
    <row r="5819" spans="1:33">
      <c r="A5819" t="s">
        <v>19596</v>
      </c>
      <c r="C5819" t="s">
        <v>4236</v>
      </c>
      <c r="E5819" t="s">
        <v>19257</v>
      </c>
      <c r="F5819" t="s">
        <v>19258</v>
      </c>
      <c r="G5819">
        <v>404.8</v>
      </c>
      <c r="H5819">
        <v>404.8</v>
      </c>
      <c r="I5819" t="s">
        <v>179</v>
      </c>
      <c r="J5819" t="s">
        <v>180</v>
      </c>
      <c r="K5819" t="s">
        <v>31</v>
      </c>
      <c r="L5819" t="s">
        <v>32</v>
      </c>
      <c r="M5819" t="s">
        <v>33</v>
      </c>
      <c r="P5819" s="1" t="s">
        <v>19597</v>
      </c>
      <c r="Q5819" s="1" t="s">
        <v>19257</v>
      </c>
      <c r="R5819" s="1" t="s">
        <v>19257</v>
      </c>
      <c r="S5819" s="1"/>
      <c r="T5819" s="1" t="s">
        <v>4236</v>
      </c>
      <c r="U5819" s="1"/>
      <c r="V5819" s="1">
        <v>404.8</v>
      </c>
      <c r="W5819" s="1">
        <v>404.8</v>
      </c>
      <c r="X5819" s="1" t="s">
        <v>35</v>
      </c>
      <c r="Y5819" s="1">
        <v>404800</v>
      </c>
      <c r="Z5819" s="1"/>
      <c r="AA5819" s="1">
        <v>404800</v>
      </c>
      <c r="AB5819" s="1"/>
      <c r="AC5819" s="1" t="s">
        <v>36</v>
      </c>
      <c r="AD5819" s="1" t="s">
        <v>19598</v>
      </c>
      <c r="AE5819" s="1" t="s">
        <v>32</v>
      </c>
      <c r="AF5819" s="1" t="s">
        <v>33</v>
      </c>
      <c r="AG5819" s="1" t="s">
        <v>180</v>
      </c>
    </row>
    <row r="5820" spans="1:33">
      <c r="A5820" t="s">
        <v>19599</v>
      </c>
      <c r="B5820" t="s">
        <v>16101</v>
      </c>
      <c r="C5820" t="s">
        <v>131</v>
      </c>
      <c r="E5820" t="s">
        <v>19257</v>
      </c>
      <c r="F5820" t="s">
        <v>19258</v>
      </c>
      <c r="G5820">
        <v>11.9</v>
      </c>
      <c r="H5820">
        <v>11.9</v>
      </c>
      <c r="I5820" t="s">
        <v>94</v>
      </c>
      <c r="J5820" t="s">
        <v>95</v>
      </c>
      <c r="K5820" t="s">
        <v>31</v>
      </c>
      <c r="L5820" t="s">
        <v>32</v>
      </c>
      <c r="M5820" t="s">
        <v>33</v>
      </c>
      <c r="P5820" s="1" t="s">
        <v>19600</v>
      </c>
      <c r="Q5820" s="1" t="s">
        <v>19257</v>
      </c>
      <c r="R5820" s="1" t="s">
        <v>19257</v>
      </c>
      <c r="S5820" s="1"/>
      <c r="T5820" s="1" t="s">
        <v>131</v>
      </c>
      <c r="U5820" s="1"/>
      <c r="V5820" s="1">
        <v>11.9</v>
      </c>
      <c r="W5820" s="1">
        <v>11.9</v>
      </c>
      <c r="X5820" s="1" t="s">
        <v>35</v>
      </c>
      <c r="Y5820" s="1">
        <v>11900</v>
      </c>
      <c r="Z5820" s="1"/>
      <c r="AA5820" s="1">
        <v>11900</v>
      </c>
      <c r="AB5820" s="1"/>
      <c r="AC5820" s="1" t="s">
        <v>36</v>
      </c>
      <c r="AD5820" s="1" t="s">
        <v>19601</v>
      </c>
      <c r="AE5820" s="1" t="s">
        <v>32</v>
      </c>
      <c r="AF5820" s="1" t="s">
        <v>33</v>
      </c>
      <c r="AG5820" s="1" t="s">
        <v>95</v>
      </c>
    </row>
    <row r="5821" spans="1:33">
      <c r="A5821" t="s">
        <v>19602</v>
      </c>
      <c r="B5821" t="s">
        <v>12919</v>
      </c>
      <c r="C5821" t="s">
        <v>12920</v>
      </c>
      <c r="E5821" t="s">
        <v>19257</v>
      </c>
      <c r="F5821" t="s">
        <v>19258</v>
      </c>
      <c r="G5821">
        <v>3.5</v>
      </c>
      <c r="H5821">
        <v>3.5</v>
      </c>
      <c r="I5821" t="s">
        <v>59</v>
      </c>
      <c r="J5821" t="s">
        <v>60</v>
      </c>
      <c r="K5821" t="s">
        <v>31</v>
      </c>
      <c r="L5821" t="s">
        <v>32</v>
      </c>
      <c r="M5821" t="s">
        <v>33</v>
      </c>
      <c r="P5821" s="1" t="s">
        <v>19603</v>
      </c>
      <c r="Q5821" s="1" t="s">
        <v>19257</v>
      </c>
      <c r="R5821" s="1" t="s">
        <v>19257</v>
      </c>
      <c r="S5821" s="1"/>
      <c r="T5821" s="1" t="s">
        <v>12920</v>
      </c>
      <c r="U5821" s="1"/>
      <c r="V5821" s="1">
        <v>3.5</v>
      </c>
      <c r="W5821" s="1">
        <v>3.5</v>
      </c>
      <c r="X5821" s="1" t="s">
        <v>35</v>
      </c>
      <c r="Y5821" s="1">
        <v>3500</v>
      </c>
      <c r="Z5821" s="1"/>
      <c r="AA5821" s="1">
        <v>3500</v>
      </c>
      <c r="AB5821" s="1"/>
      <c r="AC5821" s="1" t="s">
        <v>36</v>
      </c>
      <c r="AD5821" s="1" t="s">
        <v>19604</v>
      </c>
      <c r="AE5821" s="1" t="s">
        <v>32</v>
      </c>
      <c r="AF5821" s="1" t="s">
        <v>33</v>
      </c>
      <c r="AG5821" s="1" t="s">
        <v>60</v>
      </c>
    </row>
    <row r="5822" spans="1:33">
      <c r="A5822" t="s">
        <v>19605</v>
      </c>
      <c r="C5822" t="s">
        <v>586</v>
      </c>
      <c r="E5822" t="s">
        <v>19257</v>
      </c>
      <c r="F5822" t="s">
        <v>19258</v>
      </c>
      <c r="G5822">
        <v>37.0</v>
      </c>
      <c r="H5822">
        <v>37.0</v>
      </c>
      <c r="I5822" t="s">
        <v>269</v>
      </c>
      <c r="J5822" t="s">
        <v>270</v>
      </c>
      <c r="K5822" t="s">
        <v>31</v>
      </c>
      <c r="L5822" t="s">
        <v>32</v>
      </c>
      <c r="M5822" t="s">
        <v>33</v>
      </c>
      <c r="P5822" s="1" t="s">
        <v>19606</v>
      </c>
      <c r="Q5822" s="1" t="s">
        <v>19257</v>
      </c>
      <c r="R5822" s="1" t="s">
        <v>19257</v>
      </c>
      <c r="S5822" s="1"/>
      <c r="T5822" s="1" t="s">
        <v>586</v>
      </c>
      <c r="U5822" s="1"/>
      <c r="V5822" s="1">
        <v>37.0</v>
      </c>
      <c r="W5822" s="1">
        <v>37.0</v>
      </c>
      <c r="X5822" s="1" t="s">
        <v>35</v>
      </c>
      <c r="Y5822" s="1">
        <v>37000</v>
      </c>
      <c r="Z5822" s="1"/>
      <c r="AA5822" s="1">
        <v>37000</v>
      </c>
      <c r="AB5822" s="1"/>
      <c r="AC5822" s="1" t="s">
        <v>36</v>
      </c>
      <c r="AD5822" s="1" t="s">
        <v>19607</v>
      </c>
      <c r="AE5822" s="1" t="s">
        <v>32</v>
      </c>
      <c r="AF5822" s="1" t="s">
        <v>33</v>
      </c>
      <c r="AG5822" s="1" t="s">
        <v>270</v>
      </c>
    </row>
    <row r="5823" spans="1:33">
      <c r="A5823" t="s">
        <v>19608</v>
      </c>
      <c r="B5823" t="s">
        <v>57</v>
      </c>
      <c r="C5823" t="s">
        <v>58</v>
      </c>
      <c r="E5823" t="s">
        <v>19257</v>
      </c>
      <c r="F5823" t="s">
        <v>19258</v>
      </c>
      <c r="G5823">
        <v>375.0</v>
      </c>
      <c r="H5823">
        <v>375.0</v>
      </c>
      <c r="I5823" t="s">
        <v>59</v>
      </c>
      <c r="J5823" t="s">
        <v>60</v>
      </c>
      <c r="K5823" t="s">
        <v>31</v>
      </c>
      <c r="L5823" t="s">
        <v>32</v>
      </c>
      <c r="M5823" t="s">
        <v>33</v>
      </c>
      <c r="P5823" s="1" t="s">
        <v>19609</v>
      </c>
      <c r="Q5823" s="1" t="s">
        <v>19257</v>
      </c>
      <c r="R5823" s="1" t="s">
        <v>19257</v>
      </c>
      <c r="S5823" s="1"/>
      <c r="T5823" s="1" t="s">
        <v>58</v>
      </c>
      <c r="U5823" s="1"/>
      <c r="V5823" s="1">
        <v>375.0</v>
      </c>
      <c r="W5823" s="1">
        <v>375.0</v>
      </c>
      <c r="X5823" s="1" t="s">
        <v>35</v>
      </c>
      <c r="Y5823" s="1">
        <v>375000</v>
      </c>
      <c r="Z5823" s="1"/>
      <c r="AA5823" s="1">
        <v>375000</v>
      </c>
      <c r="AB5823" s="1"/>
      <c r="AC5823" s="1" t="s">
        <v>36</v>
      </c>
      <c r="AD5823" s="1" t="s">
        <v>19610</v>
      </c>
      <c r="AE5823" s="1" t="s">
        <v>32</v>
      </c>
      <c r="AF5823" s="1" t="s">
        <v>33</v>
      </c>
      <c r="AG5823" s="1" t="s">
        <v>60</v>
      </c>
    </row>
    <row r="5824" spans="1:33">
      <c r="A5824" t="s">
        <v>19611</v>
      </c>
      <c r="C5824" t="s">
        <v>3485</v>
      </c>
      <c r="E5824" t="s">
        <v>19257</v>
      </c>
      <c r="F5824" t="s">
        <v>19258</v>
      </c>
      <c r="G5824">
        <v>2.565</v>
      </c>
      <c r="H5824">
        <v>2.565</v>
      </c>
      <c r="I5824" t="s">
        <v>2206</v>
      </c>
      <c r="J5824" t="s">
        <v>49</v>
      </c>
      <c r="K5824" t="s">
        <v>31</v>
      </c>
      <c r="L5824" t="s">
        <v>32</v>
      </c>
      <c r="M5824" t="s">
        <v>33</v>
      </c>
      <c r="P5824" s="1" t="s">
        <v>19612</v>
      </c>
      <c r="Q5824" s="1" t="s">
        <v>19257</v>
      </c>
      <c r="R5824" s="1" t="s">
        <v>19257</v>
      </c>
      <c r="S5824" s="1"/>
      <c r="T5824" s="1" t="s">
        <v>3485</v>
      </c>
      <c r="U5824" s="1"/>
      <c r="V5824" s="1">
        <v>2.565</v>
      </c>
      <c r="W5824" s="1">
        <v>2.565</v>
      </c>
      <c r="X5824" s="1" t="s">
        <v>35</v>
      </c>
      <c r="Y5824" s="1">
        <v>2565500</v>
      </c>
      <c r="Z5824" s="1"/>
      <c r="AA5824" s="1">
        <v>2565500</v>
      </c>
      <c r="AB5824" s="1"/>
      <c r="AC5824" s="1" t="s">
        <v>36</v>
      </c>
      <c r="AD5824" s="1" t="s">
        <v>19613</v>
      </c>
      <c r="AE5824" s="1" t="s">
        <v>32</v>
      </c>
      <c r="AF5824" s="1" t="s">
        <v>33</v>
      </c>
      <c r="AG5824" s="1" t="s">
        <v>49</v>
      </c>
    </row>
    <row r="5825" spans="1:33">
      <c r="A5825" t="s">
        <v>19614</v>
      </c>
      <c r="C5825" t="s">
        <v>6006</v>
      </c>
      <c r="E5825" t="s">
        <v>19257</v>
      </c>
      <c r="F5825" t="s">
        <v>19258</v>
      </c>
      <c r="G5825">
        <v>74.5</v>
      </c>
      <c r="H5825">
        <v>74.5</v>
      </c>
      <c r="I5825" t="s">
        <v>2206</v>
      </c>
      <c r="J5825" t="s">
        <v>49</v>
      </c>
      <c r="K5825" t="s">
        <v>31</v>
      </c>
      <c r="L5825" t="s">
        <v>32</v>
      </c>
      <c r="M5825" t="s">
        <v>33</v>
      </c>
      <c r="P5825" s="1" t="s">
        <v>19615</v>
      </c>
      <c r="Q5825" s="1" t="s">
        <v>19257</v>
      </c>
      <c r="R5825" s="1" t="s">
        <v>19257</v>
      </c>
      <c r="S5825" s="1"/>
      <c r="T5825" s="1" t="s">
        <v>6006</v>
      </c>
      <c r="U5825" s="1"/>
      <c r="V5825" s="1">
        <v>74.5</v>
      </c>
      <c r="W5825" s="1">
        <v>74.5</v>
      </c>
      <c r="X5825" s="1" t="s">
        <v>35</v>
      </c>
      <c r="Y5825" s="1">
        <v>74500</v>
      </c>
      <c r="Z5825" s="1"/>
      <c r="AA5825" s="1">
        <v>74500</v>
      </c>
      <c r="AB5825" s="1"/>
      <c r="AC5825" s="1" t="s">
        <v>36</v>
      </c>
      <c r="AD5825" s="1" t="s">
        <v>19616</v>
      </c>
      <c r="AE5825" s="1" t="s">
        <v>32</v>
      </c>
      <c r="AF5825" s="1" t="s">
        <v>33</v>
      </c>
      <c r="AG5825" s="1" t="s">
        <v>49</v>
      </c>
    </row>
    <row r="5826" spans="1:33">
      <c r="A5826" t="s">
        <v>19617</v>
      </c>
      <c r="B5826" t="s">
        <v>19618</v>
      </c>
      <c r="C5826" t="s">
        <v>47</v>
      </c>
      <c r="E5826" t="s">
        <v>19257</v>
      </c>
      <c r="F5826" t="s">
        <v>19258</v>
      </c>
      <c r="G5826">
        <v>17.192</v>
      </c>
      <c r="H5826">
        <v>17.192</v>
      </c>
      <c r="I5826" t="s">
        <v>2206</v>
      </c>
      <c r="J5826" t="s">
        <v>49</v>
      </c>
      <c r="K5826" t="s">
        <v>31</v>
      </c>
      <c r="L5826" t="s">
        <v>32</v>
      </c>
      <c r="M5826" t="s">
        <v>33</v>
      </c>
      <c r="P5826" s="1" t="s">
        <v>19619</v>
      </c>
      <c r="Q5826" s="1" t="s">
        <v>19257</v>
      </c>
      <c r="R5826" s="1" t="s">
        <v>19257</v>
      </c>
      <c r="S5826" s="1"/>
      <c r="T5826" s="1" t="s">
        <v>47</v>
      </c>
      <c r="U5826" s="1"/>
      <c r="V5826" s="1">
        <v>17.192</v>
      </c>
      <c r="W5826" s="1">
        <v>17.192</v>
      </c>
      <c r="X5826" s="1" t="s">
        <v>35</v>
      </c>
      <c r="Y5826" s="1">
        <v>17192</v>
      </c>
      <c r="Z5826" s="1"/>
      <c r="AA5826" s="1">
        <v>17192</v>
      </c>
      <c r="AB5826" s="1"/>
      <c r="AC5826" s="1" t="s">
        <v>36</v>
      </c>
      <c r="AD5826" s="1" t="s">
        <v>19620</v>
      </c>
      <c r="AE5826" s="1" t="s">
        <v>32</v>
      </c>
      <c r="AF5826" s="1" t="s">
        <v>33</v>
      </c>
      <c r="AG5826" s="1" t="s">
        <v>49</v>
      </c>
    </row>
    <row r="5827" spans="1:33">
      <c r="A5827" t="s">
        <v>19621</v>
      </c>
      <c r="B5827" t="s">
        <v>19622</v>
      </c>
      <c r="C5827" t="s">
        <v>172</v>
      </c>
      <c r="E5827" t="s">
        <v>19257</v>
      </c>
      <c r="F5827" t="s">
        <v>19258</v>
      </c>
      <c r="G5827">
        <v>16.0</v>
      </c>
      <c r="H5827">
        <v>16.0</v>
      </c>
      <c r="I5827" t="s">
        <v>173</v>
      </c>
      <c r="J5827" t="s">
        <v>174</v>
      </c>
      <c r="K5827" t="s">
        <v>31</v>
      </c>
      <c r="L5827" t="s">
        <v>32</v>
      </c>
      <c r="M5827" t="s">
        <v>33</v>
      </c>
      <c r="P5827" s="1" t="s">
        <v>19623</v>
      </c>
      <c r="Q5827" s="1" t="s">
        <v>19257</v>
      </c>
      <c r="R5827" s="1" t="s">
        <v>19257</v>
      </c>
      <c r="S5827" s="1"/>
      <c r="T5827" s="1" t="s">
        <v>172</v>
      </c>
      <c r="U5827" s="1"/>
      <c r="V5827" s="1">
        <v>16.0</v>
      </c>
      <c r="W5827" s="1">
        <v>16.0</v>
      </c>
      <c r="X5827" s="1" t="s">
        <v>35</v>
      </c>
      <c r="Y5827" s="1">
        <v>16000</v>
      </c>
      <c r="Z5827" s="1"/>
      <c r="AA5827" s="1">
        <v>16000</v>
      </c>
      <c r="AB5827" s="1"/>
      <c r="AC5827" s="1" t="s">
        <v>36</v>
      </c>
      <c r="AD5827" s="1" t="s">
        <v>19624</v>
      </c>
      <c r="AE5827" s="1" t="s">
        <v>32</v>
      </c>
      <c r="AF5827" s="1" t="s">
        <v>33</v>
      </c>
      <c r="AG5827" s="1" t="s">
        <v>174</v>
      </c>
    </row>
    <row r="5828" spans="1:33">
      <c r="A5828" t="s">
        <v>19625</v>
      </c>
      <c r="C5828" t="s">
        <v>8208</v>
      </c>
      <c r="E5828" t="s">
        <v>19257</v>
      </c>
      <c r="F5828" t="s">
        <v>19258</v>
      </c>
      <c r="G5828">
        <v>1.64</v>
      </c>
      <c r="H5828">
        <v>1.64</v>
      </c>
      <c r="I5828" t="s">
        <v>269</v>
      </c>
      <c r="J5828" t="s">
        <v>270</v>
      </c>
      <c r="K5828" t="s">
        <v>31</v>
      </c>
      <c r="L5828" t="s">
        <v>32</v>
      </c>
      <c r="M5828" t="s">
        <v>33</v>
      </c>
      <c r="P5828" s="1" t="s">
        <v>19626</v>
      </c>
      <c r="Q5828" s="1" t="s">
        <v>19257</v>
      </c>
      <c r="R5828" s="1" t="s">
        <v>19257</v>
      </c>
      <c r="S5828" s="1"/>
      <c r="T5828" s="1" t="s">
        <v>8208</v>
      </c>
      <c r="U5828" s="1"/>
      <c r="V5828" s="1">
        <v>1.64</v>
      </c>
      <c r="W5828" s="1">
        <v>1.64</v>
      </c>
      <c r="X5828" s="1" t="s">
        <v>35</v>
      </c>
      <c r="Y5828" s="1">
        <v>1640000</v>
      </c>
      <c r="Z5828" s="1"/>
      <c r="AA5828" s="1">
        <v>1640000</v>
      </c>
      <c r="AB5828" s="1"/>
      <c r="AC5828" s="1" t="s">
        <v>36</v>
      </c>
      <c r="AD5828" s="1" t="s">
        <v>19624</v>
      </c>
      <c r="AE5828" s="1" t="s">
        <v>32</v>
      </c>
      <c r="AF5828" s="1" t="s">
        <v>33</v>
      </c>
      <c r="AG5828" s="1" t="s">
        <v>270</v>
      </c>
    </row>
    <row r="5829" spans="1:33">
      <c r="A5829" t="s">
        <v>19627</v>
      </c>
      <c r="B5829" t="s">
        <v>19628</v>
      </c>
      <c r="C5829" t="s">
        <v>68</v>
      </c>
      <c r="E5829" t="s">
        <v>19257</v>
      </c>
      <c r="F5829" t="s">
        <v>19258</v>
      </c>
      <c r="G5829">
        <v>13.396</v>
      </c>
      <c r="H5829">
        <v>13.396</v>
      </c>
      <c r="I5829" t="s">
        <v>59</v>
      </c>
      <c r="J5829" t="s">
        <v>60</v>
      </c>
      <c r="K5829" t="s">
        <v>31</v>
      </c>
      <c r="L5829" t="s">
        <v>32</v>
      </c>
      <c r="M5829" t="s">
        <v>33</v>
      </c>
      <c r="P5829" s="1" t="s">
        <v>19629</v>
      </c>
      <c r="Q5829" s="1" t="s">
        <v>19257</v>
      </c>
      <c r="R5829" s="1" t="s">
        <v>19257</v>
      </c>
      <c r="S5829" s="1"/>
      <c r="T5829" s="1" t="s">
        <v>68</v>
      </c>
      <c r="U5829" s="1"/>
      <c r="V5829" s="1">
        <v>13.396</v>
      </c>
      <c r="W5829" s="1">
        <v>13.396</v>
      </c>
      <c r="X5829" s="1" t="s">
        <v>35</v>
      </c>
      <c r="Y5829" s="1">
        <v>13396</v>
      </c>
      <c r="Z5829" s="1"/>
      <c r="AA5829" s="1">
        <v>13396</v>
      </c>
      <c r="AB5829" s="1"/>
      <c r="AC5829" s="1" t="s">
        <v>36</v>
      </c>
      <c r="AD5829" s="1" t="s">
        <v>19630</v>
      </c>
      <c r="AE5829" s="1" t="s">
        <v>32</v>
      </c>
      <c r="AF5829" s="1" t="s">
        <v>33</v>
      </c>
      <c r="AG5829" s="1" t="s">
        <v>60</v>
      </c>
    </row>
    <row r="5830" spans="1:33">
      <c r="A5830" t="s">
        <v>19631</v>
      </c>
      <c r="B5830" t="s">
        <v>1768</v>
      </c>
      <c r="C5830" t="s">
        <v>314</v>
      </c>
      <c r="E5830" t="s">
        <v>19257</v>
      </c>
      <c r="F5830" t="s">
        <v>19258</v>
      </c>
      <c r="G5830">
        <v>37.18</v>
      </c>
      <c r="H5830">
        <v>37.18</v>
      </c>
      <c r="I5830" t="s">
        <v>179</v>
      </c>
      <c r="J5830" t="s">
        <v>180</v>
      </c>
      <c r="K5830" t="s">
        <v>31</v>
      </c>
      <c r="L5830" t="s">
        <v>32</v>
      </c>
      <c r="M5830" t="s">
        <v>33</v>
      </c>
      <c r="P5830" s="1" t="s">
        <v>19632</v>
      </c>
      <c r="Q5830" s="1" t="s">
        <v>19257</v>
      </c>
      <c r="R5830" s="1" t="s">
        <v>19257</v>
      </c>
      <c r="S5830" s="1"/>
      <c r="T5830" s="1" t="s">
        <v>314</v>
      </c>
      <c r="U5830" s="1"/>
      <c r="V5830" s="1">
        <v>37.18</v>
      </c>
      <c r="W5830" s="1">
        <v>37.18</v>
      </c>
      <c r="X5830" s="1" t="s">
        <v>35</v>
      </c>
      <c r="Y5830" s="1">
        <v>37180</v>
      </c>
      <c r="Z5830" s="1"/>
      <c r="AA5830" s="1">
        <v>37180</v>
      </c>
      <c r="AB5830" s="1"/>
      <c r="AC5830" s="1" t="s">
        <v>36</v>
      </c>
      <c r="AD5830" s="1" t="s">
        <v>19633</v>
      </c>
      <c r="AE5830" s="1" t="s">
        <v>32</v>
      </c>
      <c r="AF5830" s="1" t="s">
        <v>33</v>
      </c>
      <c r="AG5830" s="1" t="s">
        <v>180</v>
      </c>
    </row>
    <row r="5831" spans="1:33">
      <c r="A5831" t="s">
        <v>19634</v>
      </c>
      <c r="C5831" t="s">
        <v>558</v>
      </c>
      <c r="D5831" t="s">
        <v>154</v>
      </c>
      <c r="E5831" t="s">
        <v>19257</v>
      </c>
      <c r="F5831" t="s">
        <v>19258</v>
      </c>
      <c r="G5831">
        <v>21.0</v>
      </c>
      <c r="H5831">
        <v>21.0</v>
      </c>
      <c r="I5831" t="s">
        <v>269</v>
      </c>
      <c r="J5831" t="s">
        <v>270</v>
      </c>
      <c r="K5831" t="s">
        <v>31</v>
      </c>
      <c r="L5831" t="s">
        <v>32</v>
      </c>
      <c r="M5831" t="s">
        <v>33</v>
      </c>
      <c r="P5831" s="1" t="s">
        <v>19635</v>
      </c>
      <c r="Q5831" s="1" t="s">
        <v>19257</v>
      </c>
      <c r="R5831" s="1" t="s">
        <v>19257</v>
      </c>
      <c r="S5831" s="1"/>
      <c r="T5831" s="1" t="s">
        <v>560</v>
      </c>
      <c r="U5831" s="1" t="s">
        <v>561</v>
      </c>
      <c r="V5831" s="1">
        <v>21.0</v>
      </c>
      <c r="W5831" s="1">
        <v>21.0</v>
      </c>
      <c r="X5831" s="1" t="s">
        <v>35</v>
      </c>
      <c r="Y5831" s="1">
        <v>21000</v>
      </c>
      <c r="Z5831" s="1"/>
      <c r="AA5831" s="1">
        <v>21000</v>
      </c>
      <c r="AB5831" s="1"/>
      <c r="AC5831" s="1" t="s">
        <v>36</v>
      </c>
      <c r="AD5831" s="1" t="s">
        <v>19630</v>
      </c>
      <c r="AE5831" s="1" t="s">
        <v>32</v>
      </c>
      <c r="AF5831" s="1" t="s">
        <v>33</v>
      </c>
      <c r="AG5831" s="1" t="s">
        <v>270</v>
      </c>
    </row>
    <row r="5832" spans="1:33">
      <c r="A5832" t="s">
        <v>19636</v>
      </c>
      <c r="C5832" t="s">
        <v>732</v>
      </c>
      <c r="E5832" t="s">
        <v>19257</v>
      </c>
      <c r="F5832" t="s">
        <v>19258</v>
      </c>
      <c r="G5832">
        <v>505.3</v>
      </c>
      <c r="H5832">
        <v>505.3</v>
      </c>
      <c r="I5832" t="s">
        <v>269</v>
      </c>
      <c r="J5832" t="s">
        <v>270</v>
      </c>
      <c r="K5832" t="s">
        <v>31</v>
      </c>
      <c r="L5832" t="s">
        <v>32</v>
      </c>
      <c r="M5832" t="s">
        <v>33</v>
      </c>
      <c r="P5832" s="1" t="s">
        <v>19637</v>
      </c>
      <c r="Q5832" s="1" t="s">
        <v>19257</v>
      </c>
      <c r="R5832" s="1" t="s">
        <v>19257</v>
      </c>
      <c r="S5832" s="1"/>
      <c r="T5832" s="1" t="s">
        <v>732</v>
      </c>
      <c r="U5832" s="1"/>
      <c r="V5832" s="1">
        <v>505.3</v>
      </c>
      <c r="W5832" s="1">
        <v>505.3</v>
      </c>
      <c r="X5832" s="1" t="s">
        <v>35</v>
      </c>
      <c r="Y5832" s="1">
        <v>505300</v>
      </c>
      <c r="Z5832" s="1"/>
      <c r="AA5832" s="1">
        <v>505300</v>
      </c>
      <c r="AB5832" s="1"/>
      <c r="AC5832" s="1" t="s">
        <v>36</v>
      </c>
      <c r="AD5832" s="1" t="s">
        <v>19638</v>
      </c>
      <c r="AE5832" s="1" t="s">
        <v>32</v>
      </c>
      <c r="AF5832" s="1" t="s">
        <v>33</v>
      </c>
      <c r="AG5832" s="1" t="s">
        <v>270</v>
      </c>
    </row>
    <row r="5833" spans="1:33">
      <c r="A5833" t="s">
        <v>19639</v>
      </c>
      <c r="B5833" t="s">
        <v>6299</v>
      </c>
      <c r="C5833" t="s">
        <v>73</v>
      </c>
      <c r="E5833" t="s">
        <v>19257</v>
      </c>
      <c r="F5833" t="s">
        <v>19258</v>
      </c>
      <c r="G5833">
        <v>27.79</v>
      </c>
      <c r="H5833">
        <v>27.79</v>
      </c>
      <c r="I5833" t="s">
        <v>40</v>
      </c>
      <c r="J5833" t="s">
        <v>41</v>
      </c>
      <c r="K5833" t="s">
        <v>31</v>
      </c>
      <c r="L5833" t="s">
        <v>32</v>
      </c>
      <c r="M5833" t="s">
        <v>33</v>
      </c>
      <c r="P5833" s="1" t="s">
        <v>19640</v>
      </c>
      <c r="Q5833" s="1" t="s">
        <v>19257</v>
      </c>
      <c r="R5833" s="1" t="s">
        <v>18429</v>
      </c>
      <c r="S5833" s="1"/>
      <c r="T5833" s="1" t="s">
        <v>75</v>
      </c>
      <c r="U5833" s="1" t="s">
        <v>76</v>
      </c>
      <c r="V5833" s="1">
        <v>27.79</v>
      </c>
      <c r="W5833" s="1">
        <v>27.79</v>
      </c>
      <c r="X5833" s="1" t="s">
        <v>35</v>
      </c>
      <c r="Y5833" s="1">
        <v>27790</v>
      </c>
      <c r="Z5833" s="1"/>
      <c r="AA5833" s="1">
        <v>27790</v>
      </c>
      <c r="AB5833" s="1"/>
      <c r="AC5833" s="1" t="s">
        <v>36</v>
      </c>
      <c r="AD5833" s="1" t="s">
        <v>19638</v>
      </c>
      <c r="AE5833" s="1" t="s">
        <v>32</v>
      </c>
      <c r="AF5833" s="1" t="s">
        <v>33</v>
      </c>
      <c r="AG5833" s="1" t="s">
        <v>41</v>
      </c>
    </row>
    <row r="5834" spans="1:33">
      <c r="A5834" t="s">
        <v>19641</v>
      </c>
      <c r="C5834" t="s">
        <v>1807</v>
      </c>
      <c r="E5834" t="s">
        <v>19257</v>
      </c>
      <c r="F5834" t="s">
        <v>19258</v>
      </c>
      <c r="G5834">
        <v>821.2</v>
      </c>
      <c r="H5834">
        <v>821.2</v>
      </c>
      <c r="I5834" t="s">
        <v>269</v>
      </c>
      <c r="J5834" t="s">
        <v>270</v>
      </c>
      <c r="K5834" t="s">
        <v>31</v>
      </c>
      <c r="L5834" t="s">
        <v>32</v>
      </c>
      <c r="M5834" t="s">
        <v>33</v>
      </c>
      <c r="P5834" s="1" t="s">
        <v>19642</v>
      </c>
      <c r="Q5834" s="1" t="s">
        <v>19257</v>
      </c>
      <c r="R5834" s="1" t="s">
        <v>19257</v>
      </c>
      <c r="S5834" s="1"/>
      <c r="T5834" s="1" t="s">
        <v>1807</v>
      </c>
      <c r="U5834" s="1"/>
      <c r="V5834" s="1">
        <v>821.2</v>
      </c>
      <c r="W5834" s="1">
        <v>821.2</v>
      </c>
      <c r="X5834" s="1" t="s">
        <v>35</v>
      </c>
      <c r="Y5834" s="1">
        <v>821200</v>
      </c>
      <c r="Z5834" s="1"/>
      <c r="AA5834" s="1">
        <v>821200</v>
      </c>
      <c r="AB5834" s="1"/>
      <c r="AC5834" s="1" t="s">
        <v>36</v>
      </c>
      <c r="AD5834" s="1" t="s">
        <v>19633</v>
      </c>
      <c r="AE5834" s="1" t="s">
        <v>32</v>
      </c>
      <c r="AF5834" s="1" t="s">
        <v>33</v>
      </c>
      <c r="AG5834" s="1" t="s">
        <v>270</v>
      </c>
    </row>
    <row r="5835" spans="1:33">
      <c r="A5835" t="s">
        <v>19643</v>
      </c>
      <c r="B5835" t="s">
        <v>13515</v>
      </c>
      <c r="C5835" t="s">
        <v>68</v>
      </c>
      <c r="E5835" t="s">
        <v>19257</v>
      </c>
      <c r="F5835" t="s">
        <v>19258</v>
      </c>
      <c r="G5835">
        <v>29.99</v>
      </c>
      <c r="H5835">
        <v>29.99</v>
      </c>
      <c r="I5835" t="s">
        <v>59</v>
      </c>
      <c r="J5835" t="s">
        <v>60</v>
      </c>
      <c r="K5835" t="s">
        <v>31</v>
      </c>
      <c r="L5835" t="s">
        <v>32</v>
      </c>
      <c r="M5835" t="s">
        <v>33</v>
      </c>
      <c r="P5835" s="1" t="s">
        <v>19644</v>
      </c>
      <c r="Q5835" s="1" t="s">
        <v>19257</v>
      </c>
      <c r="R5835" s="1" t="s">
        <v>19257</v>
      </c>
      <c r="S5835" s="1"/>
      <c r="T5835" s="1" t="s">
        <v>68</v>
      </c>
      <c r="U5835" s="1"/>
      <c r="V5835" s="1">
        <v>29.99</v>
      </c>
      <c r="W5835" s="1">
        <v>29.99</v>
      </c>
      <c r="X5835" s="1" t="s">
        <v>35</v>
      </c>
      <c r="Y5835" s="1">
        <v>29990</v>
      </c>
      <c r="Z5835" s="1"/>
      <c r="AA5835" s="1">
        <v>29990</v>
      </c>
      <c r="AB5835" s="1"/>
      <c r="AC5835" s="1" t="s">
        <v>36</v>
      </c>
      <c r="AD5835" s="1" t="s">
        <v>19638</v>
      </c>
      <c r="AE5835" s="1" t="s">
        <v>32</v>
      </c>
      <c r="AF5835" s="1" t="s">
        <v>33</v>
      </c>
      <c r="AG5835" s="1" t="s">
        <v>60</v>
      </c>
    </row>
    <row r="5836" spans="1:33">
      <c r="A5836" t="s">
        <v>19645</v>
      </c>
      <c r="C5836" t="s">
        <v>1777</v>
      </c>
      <c r="E5836" t="s">
        <v>19257</v>
      </c>
      <c r="F5836" t="s">
        <v>19258</v>
      </c>
      <c r="G5836">
        <v>540.5</v>
      </c>
      <c r="H5836">
        <v>540.5</v>
      </c>
      <c r="I5836" t="s">
        <v>40</v>
      </c>
      <c r="J5836" t="s">
        <v>41</v>
      </c>
      <c r="K5836" t="s">
        <v>31</v>
      </c>
      <c r="L5836" t="s">
        <v>32</v>
      </c>
      <c r="M5836" t="s">
        <v>33</v>
      </c>
      <c r="P5836" s="1" t="s">
        <v>19646</v>
      </c>
      <c r="Q5836" s="1" t="s">
        <v>19257</v>
      </c>
      <c r="R5836" s="1" t="s">
        <v>18429</v>
      </c>
      <c r="S5836" s="1"/>
      <c r="T5836" s="1" t="s">
        <v>1777</v>
      </c>
      <c r="U5836" s="1"/>
      <c r="V5836" s="1">
        <v>540.5</v>
      </c>
      <c r="W5836" s="1">
        <v>540.5</v>
      </c>
      <c r="X5836" s="1" t="s">
        <v>35</v>
      </c>
      <c r="Y5836" s="1">
        <v>540500</v>
      </c>
      <c r="Z5836" s="1"/>
      <c r="AA5836" s="1">
        <v>540500</v>
      </c>
      <c r="AB5836" s="1"/>
      <c r="AC5836" s="1" t="s">
        <v>36</v>
      </c>
      <c r="AD5836" s="1" t="s">
        <v>19647</v>
      </c>
      <c r="AE5836" s="1" t="s">
        <v>32</v>
      </c>
      <c r="AF5836" s="1" t="s">
        <v>33</v>
      </c>
      <c r="AG5836" s="1" t="s">
        <v>41</v>
      </c>
    </row>
    <row r="5837" spans="1:33">
      <c r="A5837" t="s">
        <v>19648</v>
      </c>
      <c r="C5837" t="s">
        <v>4447</v>
      </c>
      <c r="D5837" t="s">
        <v>154</v>
      </c>
      <c r="E5837" t="s">
        <v>19257</v>
      </c>
      <c r="F5837" t="s">
        <v>19258</v>
      </c>
      <c r="G5837">
        <v>934.75</v>
      </c>
      <c r="H5837">
        <v>934.75</v>
      </c>
      <c r="I5837" t="s">
        <v>269</v>
      </c>
      <c r="J5837" t="s">
        <v>270</v>
      </c>
      <c r="K5837" t="s">
        <v>31</v>
      </c>
      <c r="L5837" t="s">
        <v>32</v>
      </c>
      <c r="M5837" t="s">
        <v>33</v>
      </c>
      <c r="P5837" s="1" t="s">
        <v>19649</v>
      </c>
      <c r="Q5837" s="1" t="s">
        <v>19257</v>
      </c>
      <c r="R5837" s="1" t="s">
        <v>19257</v>
      </c>
      <c r="S5837" s="1"/>
      <c r="T5837" s="1" t="s">
        <v>4449</v>
      </c>
      <c r="U5837" s="1" t="s">
        <v>4450</v>
      </c>
      <c r="V5837" s="1">
        <v>934.75</v>
      </c>
      <c r="W5837" s="1">
        <v>934.75</v>
      </c>
      <c r="X5837" s="1" t="s">
        <v>35</v>
      </c>
      <c r="Y5837" s="1">
        <v>934750</v>
      </c>
      <c r="Z5837" s="1"/>
      <c r="AA5837" s="1">
        <v>934750</v>
      </c>
      <c r="AB5837" s="1"/>
      <c r="AC5837" s="1" t="s">
        <v>36</v>
      </c>
      <c r="AD5837" s="1" t="s">
        <v>19650</v>
      </c>
      <c r="AE5837" s="1" t="s">
        <v>32</v>
      </c>
      <c r="AF5837" s="1" t="s">
        <v>33</v>
      </c>
      <c r="AG5837" s="1" t="s">
        <v>270</v>
      </c>
    </row>
    <row r="5838" spans="1:33">
      <c r="A5838" t="s">
        <v>19651</v>
      </c>
      <c r="C5838" t="s">
        <v>2346</v>
      </c>
      <c r="E5838" t="s">
        <v>19257</v>
      </c>
      <c r="F5838" t="s">
        <v>19258</v>
      </c>
      <c r="G5838">
        <v>850.0</v>
      </c>
      <c r="H5838">
        <v>850.0</v>
      </c>
      <c r="I5838" t="s">
        <v>269</v>
      </c>
      <c r="J5838" t="s">
        <v>270</v>
      </c>
      <c r="K5838" t="s">
        <v>31</v>
      </c>
      <c r="L5838" t="s">
        <v>32</v>
      </c>
      <c r="M5838" t="s">
        <v>33</v>
      </c>
      <c r="P5838" s="1" t="s">
        <v>19652</v>
      </c>
      <c r="Q5838" s="1" t="s">
        <v>19257</v>
      </c>
      <c r="R5838" s="1" t="s">
        <v>19257</v>
      </c>
      <c r="S5838" s="1"/>
      <c r="T5838" s="1" t="s">
        <v>2346</v>
      </c>
      <c r="U5838" s="1"/>
      <c r="V5838" s="1">
        <v>850.0</v>
      </c>
      <c r="W5838" s="1">
        <v>850.0</v>
      </c>
      <c r="X5838" s="1" t="s">
        <v>35</v>
      </c>
      <c r="Y5838" s="1">
        <v>850000</v>
      </c>
      <c r="Z5838" s="1"/>
      <c r="AA5838" s="1">
        <v>850000</v>
      </c>
      <c r="AB5838" s="1"/>
      <c r="AC5838" s="1" t="s">
        <v>36</v>
      </c>
      <c r="AD5838" s="1" t="s">
        <v>19653</v>
      </c>
      <c r="AE5838" s="1" t="s">
        <v>32</v>
      </c>
      <c r="AF5838" s="1" t="s">
        <v>33</v>
      </c>
      <c r="AG5838" s="1" t="s">
        <v>270</v>
      </c>
    </row>
    <row r="5839" spans="1:33">
      <c r="A5839" t="s">
        <v>19654</v>
      </c>
      <c r="B5839" t="s">
        <v>6418</v>
      </c>
      <c r="C5839" t="s">
        <v>314</v>
      </c>
      <c r="E5839" t="s">
        <v>19257</v>
      </c>
      <c r="F5839" t="s">
        <v>19258</v>
      </c>
      <c r="G5839">
        <v>40.99</v>
      </c>
      <c r="H5839">
        <v>40.99</v>
      </c>
      <c r="I5839" t="s">
        <v>179</v>
      </c>
      <c r="J5839" t="s">
        <v>180</v>
      </c>
      <c r="K5839" t="s">
        <v>31</v>
      </c>
      <c r="L5839" t="s">
        <v>32</v>
      </c>
      <c r="M5839" t="s">
        <v>33</v>
      </c>
      <c r="P5839" s="1" t="s">
        <v>19655</v>
      </c>
      <c r="Q5839" s="1" t="s">
        <v>19257</v>
      </c>
      <c r="R5839" s="1" t="s">
        <v>19257</v>
      </c>
      <c r="S5839" s="1"/>
      <c r="T5839" s="1" t="s">
        <v>314</v>
      </c>
      <c r="U5839" s="1"/>
      <c r="V5839" s="1">
        <v>40.99</v>
      </c>
      <c r="W5839" s="1">
        <v>40.99</v>
      </c>
      <c r="X5839" s="1" t="s">
        <v>35</v>
      </c>
      <c r="Y5839" s="1">
        <v>40990</v>
      </c>
      <c r="Z5839" s="1"/>
      <c r="AA5839" s="1">
        <v>40990</v>
      </c>
      <c r="AB5839" s="1"/>
      <c r="AC5839" s="1" t="s">
        <v>36</v>
      </c>
      <c r="AD5839" s="1" t="s">
        <v>19656</v>
      </c>
      <c r="AE5839" s="1" t="s">
        <v>32</v>
      </c>
      <c r="AF5839" s="1" t="s">
        <v>33</v>
      </c>
      <c r="AG5839" s="1" t="s">
        <v>180</v>
      </c>
    </row>
    <row r="5840" spans="1:33">
      <c r="A5840" t="s">
        <v>19657</v>
      </c>
      <c r="C5840" t="s">
        <v>1197</v>
      </c>
      <c r="D5840" t="s">
        <v>154</v>
      </c>
      <c r="E5840" t="s">
        <v>19257</v>
      </c>
      <c r="F5840" t="s">
        <v>19258</v>
      </c>
      <c r="G5840">
        <v>1.968</v>
      </c>
      <c r="H5840">
        <v>1.968</v>
      </c>
      <c r="I5840" t="s">
        <v>269</v>
      </c>
      <c r="J5840" t="s">
        <v>270</v>
      </c>
      <c r="K5840" t="s">
        <v>31</v>
      </c>
      <c r="L5840" t="s">
        <v>32</v>
      </c>
      <c r="M5840" t="s">
        <v>33</v>
      </c>
      <c r="P5840" s="1" t="s">
        <v>19658</v>
      </c>
      <c r="Q5840" s="1" t="s">
        <v>19257</v>
      </c>
      <c r="R5840" s="1" t="s">
        <v>19257</v>
      </c>
      <c r="S5840" s="1"/>
      <c r="T5840" s="1" t="s">
        <v>1197</v>
      </c>
      <c r="U5840" s="1"/>
      <c r="V5840" s="1">
        <v>1.968</v>
      </c>
      <c r="W5840" s="1">
        <v>1.968</v>
      </c>
      <c r="X5840" s="1" t="s">
        <v>35</v>
      </c>
      <c r="Y5840" s="1">
        <v>1968000</v>
      </c>
      <c r="Z5840" s="1"/>
      <c r="AA5840" s="1">
        <v>1968000</v>
      </c>
      <c r="AB5840" s="1"/>
      <c r="AC5840" s="1" t="s">
        <v>36</v>
      </c>
      <c r="AD5840" s="1" t="s">
        <v>19659</v>
      </c>
      <c r="AE5840" s="1" t="s">
        <v>1636</v>
      </c>
      <c r="AF5840" s="1" t="s">
        <v>33</v>
      </c>
      <c r="AG5840" s="1" t="s">
        <v>270</v>
      </c>
    </row>
    <row r="5841" spans="1:33">
      <c r="A5841" t="s">
        <v>19660</v>
      </c>
      <c r="C5841" t="s">
        <v>2474</v>
      </c>
      <c r="E5841" t="s">
        <v>19257</v>
      </c>
      <c r="F5841" t="s">
        <v>19258</v>
      </c>
      <c r="G5841">
        <v>843.25</v>
      </c>
      <c r="H5841">
        <v>843.25</v>
      </c>
      <c r="I5841" t="s">
        <v>179</v>
      </c>
      <c r="J5841" t="s">
        <v>180</v>
      </c>
      <c r="K5841" t="s">
        <v>31</v>
      </c>
      <c r="L5841" t="s">
        <v>32</v>
      </c>
      <c r="M5841" t="s">
        <v>33</v>
      </c>
      <c r="P5841" s="1" t="s">
        <v>19661</v>
      </c>
      <c r="Q5841" s="1" t="s">
        <v>19257</v>
      </c>
      <c r="R5841" s="1" t="s">
        <v>19257</v>
      </c>
      <c r="S5841" s="1"/>
      <c r="T5841" s="1" t="s">
        <v>2474</v>
      </c>
      <c r="U5841" s="1"/>
      <c r="V5841" s="1">
        <v>843.25</v>
      </c>
      <c r="W5841" s="1">
        <v>843.25</v>
      </c>
      <c r="X5841" s="1" t="s">
        <v>35</v>
      </c>
      <c r="Y5841" s="1">
        <v>843250</v>
      </c>
      <c r="Z5841" s="1"/>
      <c r="AA5841" s="1">
        <v>843250</v>
      </c>
      <c r="AB5841" s="1"/>
      <c r="AC5841" s="1" t="s">
        <v>36</v>
      </c>
      <c r="AD5841" s="1" t="s">
        <v>19638</v>
      </c>
      <c r="AE5841" s="1" t="s">
        <v>32</v>
      </c>
      <c r="AF5841" s="1" t="s">
        <v>33</v>
      </c>
      <c r="AG5841" s="1" t="s">
        <v>180</v>
      </c>
    </row>
    <row r="5842" spans="1:33">
      <c r="A5842" t="s">
        <v>19662</v>
      </c>
      <c r="B5842" t="s">
        <v>9163</v>
      </c>
      <c r="C5842" t="s">
        <v>125</v>
      </c>
      <c r="E5842" t="s">
        <v>19257</v>
      </c>
      <c r="F5842" t="s">
        <v>19258</v>
      </c>
      <c r="G5842">
        <v>11.926</v>
      </c>
      <c r="H5842">
        <v>11.926</v>
      </c>
      <c r="I5842" t="s">
        <v>126</v>
      </c>
      <c r="J5842" t="s">
        <v>127</v>
      </c>
      <c r="K5842" t="s">
        <v>31</v>
      </c>
      <c r="L5842" t="s">
        <v>32</v>
      </c>
      <c r="M5842" t="s">
        <v>33</v>
      </c>
      <c r="P5842" s="1" t="s">
        <v>19663</v>
      </c>
      <c r="Q5842" s="1" t="s">
        <v>19257</v>
      </c>
      <c r="R5842" s="1" t="s">
        <v>19257</v>
      </c>
      <c r="S5842" s="1"/>
      <c r="T5842" s="1" t="s">
        <v>125</v>
      </c>
      <c r="U5842" s="1"/>
      <c r="V5842" s="1">
        <v>11.926</v>
      </c>
      <c r="W5842" s="1">
        <v>11.926</v>
      </c>
      <c r="X5842" s="1" t="s">
        <v>35</v>
      </c>
      <c r="Y5842" s="1">
        <v>11926</v>
      </c>
      <c r="Z5842" s="1"/>
      <c r="AA5842" s="1">
        <v>11926</v>
      </c>
      <c r="AB5842" s="1"/>
      <c r="AC5842" s="1" t="s">
        <v>36</v>
      </c>
      <c r="AD5842" s="1" t="s">
        <v>19664</v>
      </c>
      <c r="AE5842" s="1" t="s">
        <v>32</v>
      </c>
      <c r="AF5842" s="1" t="s">
        <v>33</v>
      </c>
      <c r="AG5842" s="1" t="s">
        <v>127</v>
      </c>
    </row>
    <row r="5843" spans="1:33">
      <c r="A5843" t="s">
        <v>19665</v>
      </c>
      <c r="B5843" t="s">
        <v>7925</v>
      </c>
      <c r="C5843" t="s">
        <v>314</v>
      </c>
      <c r="E5843" t="s">
        <v>19257</v>
      </c>
      <c r="F5843" t="s">
        <v>19258</v>
      </c>
      <c r="G5843">
        <v>52.33</v>
      </c>
      <c r="H5843">
        <v>52.33</v>
      </c>
      <c r="I5843" t="s">
        <v>179</v>
      </c>
      <c r="J5843" t="s">
        <v>180</v>
      </c>
      <c r="K5843" t="s">
        <v>31</v>
      </c>
      <c r="L5843" t="s">
        <v>32</v>
      </c>
      <c r="M5843" t="s">
        <v>33</v>
      </c>
      <c r="P5843" s="1" t="s">
        <v>19666</v>
      </c>
      <c r="Q5843" s="1" t="s">
        <v>19257</v>
      </c>
      <c r="R5843" s="1" t="s">
        <v>19257</v>
      </c>
      <c r="S5843" s="1"/>
      <c r="T5843" s="1" t="s">
        <v>314</v>
      </c>
      <c r="U5843" s="1"/>
      <c r="V5843" s="1">
        <v>52.33</v>
      </c>
      <c r="W5843" s="1">
        <v>52.33</v>
      </c>
      <c r="X5843" s="1" t="s">
        <v>35</v>
      </c>
      <c r="Y5843" s="1">
        <v>52330</v>
      </c>
      <c r="Z5843" s="1"/>
      <c r="AA5843" s="1">
        <v>52330</v>
      </c>
      <c r="AB5843" s="1"/>
      <c r="AC5843" s="1" t="s">
        <v>36</v>
      </c>
      <c r="AD5843" s="1" t="s">
        <v>19667</v>
      </c>
      <c r="AE5843" s="1" t="s">
        <v>32</v>
      </c>
      <c r="AF5843" s="1" t="s">
        <v>33</v>
      </c>
      <c r="AG5843" s="1" t="s">
        <v>180</v>
      </c>
    </row>
    <row r="5844" spans="1:33">
      <c r="A5844" t="s">
        <v>19668</v>
      </c>
      <c r="C5844" t="s">
        <v>73</v>
      </c>
      <c r="E5844" t="s">
        <v>19257</v>
      </c>
      <c r="F5844" t="s">
        <v>19258</v>
      </c>
      <c r="G5844">
        <v>62.396</v>
      </c>
      <c r="H5844">
        <v>62.396</v>
      </c>
      <c r="I5844" t="s">
        <v>40</v>
      </c>
      <c r="J5844" t="s">
        <v>41</v>
      </c>
      <c r="K5844" t="s">
        <v>31</v>
      </c>
      <c r="L5844" t="s">
        <v>32</v>
      </c>
      <c r="M5844" t="s">
        <v>33</v>
      </c>
      <c r="P5844" s="1" t="s">
        <v>19669</v>
      </c>
      <c r="Q5844" s="1" t="s">
        <v>19257</v>
      </c>
      <c r="R5844" s="1" t="s">
        <v>18429</v>
      </c>
      <c r="S5844" s="1"/>
      <c r="T5844" s="1" t="s">
        <v>75</v>
      </c>
      <c r="U5844" s="1" t="s">
        <v>76</v>
      </c>
      <c r="V5844" s="1">
        <v>62.396</v>
      </c>
      <c r="W5844" s="1">
        <v>62.396</v>
      </c>
      <c r="X5844" s="1" t="s">
        <v>35</v>
      </c>
      <c r="Y5844" s="1">
        <v>62400</v>
      </c>
      <c r="Z5844" s="1">
        <v>-4</v>
      </c>
      <c r="AA5844" s="1">
        <v>62400</v>
      </c>
      <c r="AB5844" s="1">
        <v>-4</v>
      </c>
      <c r="AC5844" s="1" t="s">
        <v>36</v>
      </c>
      <c r="AD5844" s="1" t="s">
        <v>19670</v>
      </c>
      <c r="AE5844" s="1" t="s">
        <v>32</v>
      </c>
      <c r="AF5844" s="1" t="s">
        <v>33</v>
      </c>
      <c r="AG5844" s="1" t="s">
        <v>41</v>
      </c>
    </row>
    <row r="5845" spans="1:33">
      <c r="A5845" t="s">
        <v>19671</v>
      </c>
      <c r="B5845" t="s">
        <v>19672</v>
      </c>
      <c r="C5845" t="s">
        <v>73</v>
      </c>
      <c r="E5845" t="s">
        <v>19257</v>
      </c>
      <c r="F5845" t="s">
        <v>19258</v>
      </c>
      <c r="G5845">
        <v>2.7</v>
      </c>
      <c r="H5845">
        <v>2.7</v>
      </c>
      <c r="I5845" t="s">
        <v>40</v>
      </c>
      <c r="J5845" t="s">
        <v>41</v>
      </c>
      <c r="K5845" t="s">
        <v>31</v>
      </c>
      <c r="L5845" t="s">
        <v>32</v>
      </c>
      <c r="M5845" t="s">
        <v>33</v>
      </c>
      <c r="P5845" s="1" t="s">
        <v>19673</v>
      </c>
      <c r="Q5845" s="1" t="s">
        <v>19257</v>
      </c>
      <c r="R5845" s="1" t="s">
        <v>18429</v>
      </c>
      <c r="S5845" s="1"/>
      <c r="T5845" s="1" t="s">
        <v>75</v>
      </c>
      <c r="U5845" s="1" t="s">
        <v>76</v>
      </c>
      <c r="V5845" s="1">
        <v>2.7</v>
      </c>
      <c r="W5845" s="1">
        <v>2.7</v>
      </c>
      <c r="X5845" s="1" t="s">
        <v>35</v>
      </c>
      <c r="Y5845" s="1">
        <v>2700</v>
      </c>
      <c r="Z5845" s="1"/>
      <c r="AA5845" s="1">
        <v>2700</v>
      </c>
      <c r="AB5845" s="1"/>
      <c r="AC5845" s="1" t="s">
        <v>36</v>
      </c>
      <c r="AD5845" s="1" t="s">
        <v>19674</v>
      </c>
      <c r="AE5845" s="1" t="s">
        <v>32</v>
      </c>
      <c r="AF5845" s="1" t="s">
        <v>33</v>
      </c>
      <c r="AG5845" s="1" t="s">
        <v>41</v>
      </c>
    </row>
    <row r="5846" spans="1:33">
      <c r="A5846" t="s">
        <v>19675</v>
      </c>
      <c r="B5846" t="s">
        <v>3912</v>
      </c>
      <c r="C5846" t="s">
        <v>125</v>
      </c>
      <c r="E5846" t="s">
        <v>19257</v>
      </c>
      <c r="F5846" t="s">
        <v>19258</v>
      </c>
      <c r="G5846">
        <v>97.47</v>
      </c>
      <c r="H5846">
        <v>97.47</v>
      </c>
      <c r="I5846" t="s">
        <v>126</v>
      </c>
      <c r="J5846" t="s">
        <v>127</v>
      </c>
      <c r="K5846" t="s">
        <v>31</v>
      </c>
      <c r="L5846" t="s">
        <v>32</v>
      </c>
      <c r="M5846" t="s">
        <v>33</v>
      </c>
      <c r="P5846" s="1" t="s">
        <v>19676</v>
      </c>
      <c r="Q5846" s="1" t="s">
        <v>19257</v>
      </c>
      <c r="R5846" s="1" t="s">
        <v>19257</v>
      </c>
      <c r="S5846" s="1"/>
      <c r="T5846" s="1" t="s">
        <v>125</v>
      </c>
      <c r="U5846" s="1"/>
      <c r="V5846" s="1">
        <v>97.47</v>
      </c>
      <c r="W5846" s="1">
        <v>97.47</v>
      </c>
      <c r="X5846" s="1" t="s">
        <v>35</v>
      </c>
      <c r="Y5846" s="1">
        <v>97470</v>
      </c>
      <c r="Z5846" s="1"/>
      <c r="AA5846" s="1">
        <v>97470</v>
      </c>
      <c r="AB5846" s="1"/>
      <c r="AC5846" s="1" t="s">
        <v>36</v>
      </c>
      <c r="AD5846" s="1" t="s">
        <v>19677</v>
      </c>
      <c r="AE5846" s="1" t="s">
        <v>32</v>
      </c>
      <c r="AF5846" s="1" t="s">
        <v>33</v>
      </c>
      <c r="AG5846" s="1" t="s">
        <v>127</v>
      </c>
    </row>
    <row r="5847" spans="1:33">
      <c r="A5847" t="s">
        <v>19678</v>
      </c>
      <c r="B5847" t="s">
        <v>19679</v>
      </c>
      <c r="C5847" t="s">
        <v>172</v>
      </c>
      <c r="E5847" t="s">
        <v>19257</v>
      </c>
      <c r="F5847" t="s">
        <v>19258</v>
      </c>
      <c r="G5847">
        <v>65.97</v>
      </c>
      <c r="H5847">
        <v>65.97</v>
      </c>
      <c r="I5847" t="s">
        <v>173</v>
      </c>
      <c r="J5847" t="s">
        <v>174</v>
      </c>
      <c r="K5847" t="s">
        <v>31</v>
      </c>
      <c r="L5847" t="s">
        <v>32</v>
      </c>
      <c r="M5847" t="s">
        <v>33</v>
      </c>
      <c r="P5847" s="1" t="s">
        <v>19680</v>
      </c>
      <c r="Q5847" s="1" t="s">
        <v>19257</v>
      </c>
      <c r="R5847" s="1" t="s">
        <v>19257</v>
      </c>
      <c r="S5847" s="1"/>
      <c r="T5847" s="1" t="s">
        <v>172</v>
      </c>
      <c r="U5847" s="1"/>
      <c r="V5847" s="1">
        <v>65.97</v>
      </c>
      <c r="W5847" s="1">
        <v>65.97</v>
      </c>
      <c r="X5847" s="1" t="s">
        <v>35</v>
      </c>
      <c r="Y5847" s="1">
        <v>65970</v>
      </c>
      <c r="Z5847" s="1"/>
      <c r="AA5847" s="1">
        <v>65970</v>
      </c>
      <c r="AB5847" s="1"/>
      <c r="AC5847" s="1" t="s">
        <v>36</v>
      </c>
      <c r="AD5847" s="1" t="s">
        <v>19681</v>
      </c>
      <c r="AE5847" s="1" t="s">
        <v>32</v>
      </c>
      <c r="AF5847" s="1" t="s">
        <v>33</v>
      </c>
      <c r="AG5847" s="1" t="s">
        <v>174</v>
      </c>
    </row>
    <row r="5848" spans="1:33">
      <c r="A5848" t="s">
        <v>19682</v>
      </c>
      <c r="B5848" t="s">
        <v>19683</v>
      </c>
      <c r="C5848" t="s">
        <v>47</v>
      </c>
      <c r="E5848" t="s">
        <v>19257</v>
      </c>
      <c r="F5848" t="s">
        <v>19258</v>
      </c>
      <c r="G5848">
        <v>45.0</v>
      </c>
      <c r="H5848">
        <v>45.0</v>
      </c>
      <c r="I5848" t="s">
        <v>2206</v>
      </c>
      <c r="J5848" t="s">
        <v>49</v>
      </c>
      <c r="K5848" t="s">
        <v>31</v>
      </c>
      <c r="L5848" t="s">
        <v>32</v>
      </c>
      <c r="M5848" t="s">
        <v>33</v>
      </c>
      <c r="P5848" s="1" t="s">
        <v>19684</v>
      </c>
      <c r="Q5848" s="1" t="s">
        <v>19257</v>
      </c>
      <c r="R5848" s="1" t="s">
        <v>19257</v>
      </c>
      <c r="S5848" s="1"/>
      <c r="T5848" s="1" t="s">
        <v>47</v>
      </c>
      <c r="U5848" s="1"/>
      <c r="V5848" s="1">
        <v>45.0</v>
      </c>
      <c r="W5848" s="1">
        <v>45.0</v>
      </c>
      <c r="X5848" s="1" t="s">
        <v>35</v>
      </c>
      <c r="Y5848" s="1">
        <v>45000</v>
      </c>
      <c r="Z5848" s="1"/>
      <c r="AA5848" s="1">
        <v>45000</v>
      </c>
      <c r="AB5848" s="1"/>
      <c r="AC5848" s="1" t="s">
        <v>36</v>
      </c>
      <c r="AD5848" s="1" t="s">
        <v>19681</v>
      </c>
      <c r="AE5848" s="1" t="s">
        <v>32</v>
      </c>
      <c r="AF5848" s="1" t="s">
        <v>33</v>
      </c>
      <c r="AG5848" s="1" t="s">
        <v>49</v>
      </c>
    </row>
    <row r="5849" spans="1:33">
      <c r="A5849" t="s">
        <v>19685</v>
      </c>
      <c r="B5849" t="s">
        <v>19686</v>
      </c>
      <c r="C5849" t="s">
        <v>172</v>
      </c>
      <c r="E5849" t="s">
        <v>19257</v>
      </c>
      <c r="F5849" t="s">
        <v>19258</v>
      </c>
      <c r="G5849">
        <v>21.99</v>
      </c>
      <c r="H5849">
        <v>21.99</v>
      </c>
      <c r="I5849" t="s">
        <v>173</v>
      </c>
      <c r="J5849" t="s">
        <v>174</v>
      </c>
      <c r="K5849" t="s">
        <v>31</v>
      </c>
      <c r="L5849" t="s">
        <v>32</v>
      </c>
      <c r="M5849" t="s">
        <v>33</v>
      </c>
      <c r="P5849" s="1" t="s">
        <v>19687</v>
      </c>
      <c r="Q5849" s="1" t="s">
        <v>19257</v>
      </c>
      <c r="R5849" s="1" t="s">
        <v>19257</v>
      </c>
      <c r="S5849" s="1"/>
      <c r="T5849" s="1" t="s">
        <v>172</v>
      </c>
      <c r="U5849" s="1"/>
      <c r="V5849" s="1">
        <v>21.99</v>
      </c>
      <c r="W5849" s="1">
        <v>21.99</v>
      </c>
      <c r="X5849" s="1" t="s">
        <v>35</v>
      </c>
      <c r="Y5849" s="1">
        <v>21990</v>
      </c>
      <c r="Z5849" s="1"/>
      <c r="AA5849" s="1">
        <v>21990</v>
      </c>
      <c r="AB5849" s="1"/>
      <c r="AC5849" s="1" t="s">
        <v>36</v>
      </c>
      <c r="AD5849" s="1" t="s">
        <v>19688</v>
      </c>
      <c r="AE5849" s="1" t="s">
        <v>32</v>
      </c>
      <c r="AF5849" s="1" t="s">
        <v>33</v>
      </c>
      <c r="AG5849" s="1" t="s">
        <v>174</v>
      </c>
    </row>
    <row r="5850" spans="1:33">
      <c r="A5850" t="s">
        <v>19689</v>
      </c>
      <c r="B5850" t="s">
        <v>19690</v>
      </c>
      <c r="C5850" t="s">
        <v>125</v>
      </c>
      <c r="E5850" t="s">
        <v>19257</v>
      </c>
      <c r="F5850" t="s">
        <v>19258</v>
      </c>
      <c r="G5850">
        <v>12.536</v>
      </c>
      <c r="H5850">
        <v>12.536</v>
      </c>
      <c r="I5850" t="s">
        <v>126</v>
      </c>
      <c r="J5850" t="s">
        <v>127</v>
      </c>
      <c r="K5850" t="s">
        <v>31</v>
      </c>
      <c r="L5850" t="s">
        <v>32</v>
      </c>
      <c r="M5850" t="s">
        <v>33</v>
      </c>
      <c r="P5850" s="1" t="s">
        <v>19691</v>
      </c>
      <c r="Q5850" s="1" t="s">
        <v>19257</v>
      </c>
      <c r="R5850" s="1" t="s">
        <v>19257</v>
      </c>
      <c r="S5850" s="1"/>
      <c r="T5850" s="1" t="s">
        <v>125</v>
      </c>
      <c r="U5850" s="1"/>
      <c r="V5850" s="1">
        <v>12.536</v>
      </c>
      <c r="W5850" s="1">
        <v>12.536</v>
      </c>
      <c r="X5850" s="1" t="s">
        <v>35</v>
      </c>
      <c r="Y5850" s="1">
        <v>12536</v>
      </c>
      <c r="Z5850" s="1"/>
      <c r="AA5850" s="1">
        <v>12536</v>
      </c>
      <c r="AB5850" s="1"/>
      <c r="AC5850" s="1" t="s">
        <v>36</v>
      </c>
      <c r="AD5850" s="1" t="s">
        <v>19688</v>
      </c>
      <c r="AE5850" s="1" t="s">
        <v>32</v>
      </c>
      <c r="AF5850" s="1" t="s">
        <v>33</v>
      </c>
      <c r="AG5850" s="1" t="s">
        <v>127</v>
      </c>
    </row>
    <row r="5851" spans="1:33">
      <c r="A5851" t="s">
        <v>19692</v>
      </c>
      <c r="B5851" t="s">
        <v>4527</v>
      </c>
      <c r="C5851" t="s">
        <v>68</v>
      </c>
      <c r="E5851" t="s">
        <v>19257</v>
      </c>
      <c r="F5851" t="s">
        <v>19258</v>
      </c>
      <c r="G5851">
        <v>14.287</v>
      </c>
      <c r="H5851">
        <v>14.287</v>
      </c>
      <c r="I5851" t="s">
        <v>59</v>
      </c>
      <c r="J5851" t="s">
        <v>60</v>
      </c>
      <c r="K5851" t="s">
        <v>31</v>
      </c>
      <c r="L5851" t="s">
        <v>32</v>
      </c>
      <c r="M5851" t="s">
        <v>33</v>
      </c>
      <c r="P5851" s="1" t="s">
        <v>19693</v>
      </c>
      <c r="Q5851" s="1" t="s">
        <v>19257</v>
      </c>
      <c r="R5851" s="1" t="s">
        <v>19257</v>
      </c>
      <c r="S5851" s="1"/>
      <c r="T5851" s="1" t="s">
        <v>68</v>
      </c>
      <c r="U5851" s="1"/>
      <c r="V5851" s="1">
        <v>14.287</v>
      </c>
      <c r="W5851" s="1">
        <v>14.287</v>
      </c>
      <c r="X5851" s="1" t="s">
        <v>35</v>
      </c>
      <c r="Y5851" s="1">
        <v>14287</v>
      </c>
      <c r="Z5851" s="1"/>
      <c r="AA5851" s="1">
        <v>14287</v>
      </c>
      <c r="AB5851" s="1"/>
      <c r="AC5851" s="1" t="s">
        <v>36</v>
      </c>
      <c r="AD5851" s="1" t="s">
        <v>19694</v>
      </c>
      <c r="AE5851" s="1" t="s">
        <v>32</v>
      </c>
      <c r="AF5851" s="1" t="s">
        <v>33</v>
      </c>
      <c r="AG5851" s="1" t="s">
        <v>60</v>
      </c>
    </row>
    <row r="5852" spans="1:33">
      <c r="A5852" t="s">
        <v>19695</v>
      </c>
      <c r="B5852" t="s">
        <v>1158</v>
      </c>
      <c r="C5852" t="s">
        <v>172</v>
      </c>
      <c r="E5852" t="s">
        <v>19257</v>
      </c>
      <c r="F5852" t="s">
        <v>19258</v>
      </c>
      <c r="G5852">
        <v>53.6</v>
      </c>
      <c r="H5852">
        <v>53.6</v>
      </c>
      <c r="I5852" t="s">
        <v>173</v>
      </c>
      <c r="J5852" t="s">
        <v>174</v>
      </c>
      <c r="K5852" t="s">
        <v>31</v>
      </c>
      <c r="L5852" t="s">
        <v>32</v>
      </c>
      <c r="M5852" t="s">
        <v>33</v>
      </c>
      <c r="P5852" s="1" t="s">
        <v>19696</v>
      </c>
      <c r="Q5852" s="1" t="s">
        <v>19257</v>
      </c>
      <c r="R5852" s="1" t="s">
        <v>19257</v>
      </c>
      <c r="S5852" s="1"/>
      <c r="T5852" s="1" t="s">
        <v>172</v>
      </c>
      <c r="U5852" s="1"/>
      <c r="V5852" s="1">
        <v>53.6</v>
      </c>
      <c r="W5852" s="1">
        <v>53.6</v>
      </c>
      <c r="X5852" s="1" t="s">
        <v>35</v>
      </c>
      <c r="Y5852" s="1">
        <v>53600</v>
      </c>
      <c r="Z5852" s="1"/>
      <c r="AA5852" s="1">
        <v>53600</v>
      </c>
      <c r="AB5852" s="1"/>
      <c r="AC5852" s="1" t="s">
        <v>36</v>
      </c>
      <c r="AD5852" s="1" t="s">
        <v>19697</v>
      </c>
      <c r="AE5852" s="1" t="s">
        <v>32</v>
      </c>
      <c r="AF5852" s="1" t="s">
        <v>33</v>
      </c>
      <c r="AG5852" s="1" t="s">
        <v>174</v>
      </c>
    </row>
    <row r="5853" spans="1:33">
      <c r="A5853" t="s">
        <v>19698</v>
      </c>
      <c r="C5853" t="s">
        <v>10756</v>
      </c>
      <c r="E5853" t="s">
        <v>19257</v>
      </c>
      <c r="F5853" t="s">
        <v>19258</v>
      </c>
      <c r="G5853">
        <v>977.0</v>
      </c>
      <c r="H5853">
        <v>977.0</v>
      </c>
      <c r="I5853" t="s">
        <v>2206</v>
      </c>
      <c r="J5853" t="s">
        <v>49</v>
      </c>
      <c r="K5853" t="s">
        <v>31</v>
      </c>
      <c r="L5853" t="s">
        <v>32</v>
      </c>
      <c r="M5853" t="s">
        <v>33</v>
      </c>
      <c r="P5853" s="1" t="s">
        <v>19699</v>
      </c>
      <c r="Q5853" s="1" t="s">
        <v>19257</v>
      </c>
      <c r="R5853" s="1" t="s">
        <v>19257</v>
      </c>
      <c r="S5853" s="1"/>
      <c r="T5853" s="1" t="s">
        <v>10756</v>
      </c>
      <c r="U5853" s="1"/>
      <c r="V5853" s="1">
        <v>977.0</v>
      </c>
      <c r="W5853" s="1">
        <v>977.0</v>
      </c>
      <c r="X5853" s="1" t="s">
        <v>35</v>
      </c>
      <c r="Y5853" s="1">
        <v>977000</v>
      </c>
      <c r="Z5853" s="1"/>
      <c r="AA5853" s="1">
        <v>977000</v>
      </c>
      <c r="AB5853" s="1"/>
      <c r="AC5853" s="1" t="s">
        <v>36</v>
      </c>
      <c r="AD5853" s="1" t="s">
        <v>19697</v>
      </c>
      <c r="AE5853" s="1" t="s">
        <v>32</v>
      </c>
      <c r="AF5853" s="1" t="s">
        <v>33</v>
      </c>
      <c r="AG5853" s="1" t="s">
        <v>49</v>
      </c>
    </row>
    <row r="5854" spans="1:33">
      <c r="A5854" t="s">
        <v>19700</v>
      </c>
      <c r="C5854" t="s">
        <v>39</v>
      </c>
      <c r="E5854" t="s">
        <v>19257</v>
      </c>
      <c r="F5854" t="s">
        <v>19258</v>
      </c>
      <c r="G5854">
        <v>710.0</v>
      </c>
      <c r="H5854">
        <v>710.0</v>
      </c>
      <c r="I5854" t="s">
        <v>40</v>
      </c>
      <c r="J5854" t="s">
        <v>41</v>
      </c>
      <c r="K5854" t="s">
        <v>31</v>
      </c>
      <c r="L5854" t="s">
        <v>32</v>
      </c>
      <c r="M5854" t="s">
        <v>33</v>
      </c>
      <c r="P5854" s="1" t="s">
        <v>19701</v>
      </c>
      <c r="Q5854" s="1" t="s">
        <v>19257</v>
      </c>
      <c r="R5854" s="1" t="s">
        <v>18429</v>
      </c>
      <c r="S5854" s="1"/>
      <c r="T5854" s="1" t="s">
        <v>39</v>
      </c>
      <c r="U5854" s="1"/>
      <c r="V5854" s="1">
        <v>710.0</v>
      </c>
      <c r="W5854" s="1">
        <v>710.0</v>
      </c>
      <c r="X5854" s="1" t="s">
        <v>35</v>
      </c>
      <c r="Y5854" s="1">
        <v>710000</v>
      </c>
      <c r="Z5854" s="1"/>
      <c r="AA5854" s="1">
        <v>710000</v>
      </c>
      <c r="AB5854" s="1"/>
      <c r="AC5854" s="1" t="s">
        <v>36</v>
      </c>
      <c r="AD5854" s="1" t="s">
        <v>19702</v>
      </c>
      <c r="AE5854" s="1" t="s">
        <v>32</v>
      </c>
      <c r="AF5854" s="1" t="s">
        <v>33</v>
      </c>
      <c r="AG5854" s="1" t="s">
        <v>41</v>
      </c>
    </row>
    <row r="5855" spans="1:33">
      <c r="A5855" t="s">
        <v>19703</v>
      </c>
      <c r="B5855" t="s">
        <v>215</v>
      </c>
      <c r="C5855" t="s">
        <v>125</v>
      </c>
      <c r="E5855" t="s">
        <v>19257</v>
      </c>
      <c r="F5855" t="s">
        <v>19258</v>
      </c>
      <c r="G5855">
        <v>73.54</v>
      </c>
      <c r="H5855">
        <v>73.54</v>
      </c>
      <c r="I5855" t="s">
        <v>126</v>
      </c>
      <c r="J5855" t="s">
        <v>127</v>
      </c>
      <c r="K5855" t="s">
        <v>31</v>
      </c>
      <c r="L5855" t="s">
        <v>32</v>
      </c>
      <c r="M5855" t="s">
        <v>33</v>
      </c>
      <c r="P5855" s="1" t="s">
        <v>19704</v>
      </c>
      <c r="Q5855" s="1" t="s">
        <v>19257</v>
      </c>
      <c r="R5855" s="1" t="s">
        <v>19257</v>
      </c>
      <c r="S5855" s="1"/>
      <c r="T5855" s="1" t="s">
        <v>125</v>
      </c>
      <c r="U5855" s="1"/>
      <c r="V5855" s="1">
        <v>73.54</v>
      </c>
      <c r="W5855" s="1">
        <v>73.54</v>
      </c>
      <c r="X5855" s="1" t="s">
        <v>35</v>
      </c>
      <c r="Y5855" s="1">
        <v>73540</v>
      </c>
      <c r="Z5855" s="1"/>
      <c r="AA5855" s="1">
        <v>73540</v>
      </c>
      <c r="AB5855" s="1"/>
      <c r="AC5855" s="1" t="s">
        <v>36</v>
      </c>
      <c r="AD5855" s="1" t="s">
        <v>19705</v>
      </c>
      <c r="AE5855" s="1" t="s">
        <v>32</v>
      </c>
      <c r="AF5855" s="1" t="s">
        <v>33</v>
      </c>
      <c r="AG5855" s="1" t="s">
        <v>127</v>
      </c>
    </row>
    <row r="5856" spans="1:33">
      <c r="A5856" t="s">
        <v>19706</v>
      </c>
      <c r="C5856" t="s">
        <v>955</v>
      </c>
      <c r="D5856" t="s">
        <v>114</v>
      </c>
      <c r="E5856" t="s">
        <v>19257</v>
      </c>
      <c r="F5856" t="s">
        <v>19258</v>
      </c>
      <c r="G5856">
        <v>1.234</v>
      </c>
      <c r="H5856">
        <v>1.234</v>
      </c>
      <c r="I5856" t="s">
        <v>40</v>
      </c>
      <c r="J5856" t="s">
        <v>41</v>
      </c>
      <c r="K5856" t="s">
        <v>31</v>
      </c>
      <c r="L5856" t="s">
        <v>32</v>
      </c>
      <c r="M5856" t="s">
        <v>33</v>
      </c>
      <c r="P5856" s="1" t="s">
        <v>19707</v>
      </c>
      <c r="Q5856" s="1" t="s">
        <v>19257</v>
      </c>
      <c r="R5856" s="1" t="s">
        <v>18429</v>
      </c>
      <c r="S5856" s="1"/>
      <c r="T5856" s="1" t="s">
        <v>955</v>
      </c>
      <c r="U5856" s="1"/>
      <c r="V5856" s="1">
        <v>1.234</v>
      </c>
      <c r="W5856" s="1">
        <v>1.234</v>
      </c>
      <c r="X5856" s="1" t="s">
        <v>35</v>
      </c>
      <c r="Y5856" s="1">
        <v>1234000</v>
      </c>
      <c r="Z5856" s="1"/>
      <c r="AA5856" s="1">
        <v>1234000</v>
      </c>
      <c r="AB5856" s="1"/>
      <c r="AC5856" s="1" t="s">
        <v>36</v>
      </c>
      <c r="AD5856" s="1" t="s">
        <v>19708</v>
      </c>
      <c r="AE5856" s="1" t="s">
        <v>32</v>
      </c>
      <c r="AF5856" s="1" t="s">
        <v>33</v>
      </c>
      <c r="AG5856" s="1" t="s">
        <v>41</v>
      </c>
    </row>
    <row r="5857" spans="1:33">
      <c r="A5857" t="s">
        <v>19709</v>
      </c>
      <c r="C5857" t="s">
        <v>3500</v>
      </c>
      <c r="E5857" t="s">
        <v>19257</v>
      </c>
      <c r="F5857" t="s">
        <v>19258</v>
      </c>
      <c r="G5857">
        <v>945.0</v>
      </c>
      <c r="H5857">
        <v>945.0</v>
      </c>
      <c r="I5857" t="s">
        <v>173</v>
      </c>
      <c r="J5857" t="s">
        <v>174</v>
      </c>
      <c r="K5857" t="s">
        <v>31</v>
      </c>
      <c r="L5857" t="s">
        <v>32</v>
      </c>
      <c r="M5857" t="s">
        <v>33</v>
      </c>
      <c r="P5857" s="1" t="s">
        <v>19710</v>
      </c>
      <c r="Q5857" s="1" t="s">
        <v>19257</v>
      </c>
      <c r="R5857" s="1" t="s">
        <v>19257</v>
      </c>
      <c r="S5857" s="1"/>
      <c r="T5857" s="1" t="s">
        <v>3502</v>
      </c>
      <c r="U5857" s="1" t="s">
        <v>3503</v>
      </c>
      <c r="V5857" s="1">
        <v>945.0</v>
      </c>
      <c r="W5857" s="1">
        <v>945.0</v>
      </c>
      <c r="X5857" s="1" t="s">
        <v>35</v>
      </c>
      <c r="Y5857" s="1">
        <v>945000</v>
      </c>
      <c r="Z5857" s="1"/>
      <c r="AA5857" s="1">
        <v>945000</v>
      </c>
      <c r="AB5857" s="1"/>
      <c r="AC5857" s="1" t="s">
        <v>36</v>
      </c>
      <c r="AD5857" s="1" t="s">
        <v>19705</v>
      </c>
      <c r="AE5857" s="1" t="s">
        <v>32</v>
      </c>
      <c r="AF5857" s="1" t="s">
        <v>33</v>
      </c>
      <c r="AG5857" s="1" t="s">
        <v>174</v>
      </c>
    </row>
    <row r="5858" spans="1:33">
      <c r="A5858" t="s">
        <v>19711</v>
      </c>
      <c r="C5858" t="s">
        <v>2588</v>
      </c>
      <c r="E5858" t="s">
        <v>19257</v>
      </c>
      <c r="F5858" t="s">
        <v>19258</v>
      </c>
      <c r="G5858">
        <v>1.105</v>
      </c>
      <c r="H5858">
        <v>1.105</v>
      </c>
      <c r="I5858" t="s">
        <v>269</v>
      </c>
      <c r="J5858" t="s">
        <v>270</v>
      </c>
      <c r="K5858" t="s">
        <v>31</v>
      </c>
      <c r="L5858" t="s">
        <v>32</v>
      </c>
      <c r="M5858" t="s">
        <v>33</v>
      </c>
      <c r="P5858" s="1" t="s">
        <v>19712</v>
      </c>
      <c r="Q5858" s="1" t="s">
        <v>19257</v>
      </c>
      <c r="R5858" s="1" t="s">
        <v>19257</v>
      </c>
      <c r="S5858" s="1"/>
      <c r="T5858" s="1" t="s">
        <v>2588</v>
      </c>
      <c r="U5858" s="1"/>
      <c r="V5858" s="1">
        <v>1.105</v>
      </c>
      <c r="W5858" s="1">
        <v>1.105</v>
      </c>
      <c r="X5858" s="1" t="s">
        <v>35</v>
      </c>
      <c r="Y5858" s="1">
        <v>1105000</v>
      </c>
      <c r="Z5858" s="1"/>
      <c r="AA5858" s="1">
        <v>1105000</v>
      </c>
      <c r="AB5858" s="1"/>
      <c r="AC5858" s="1" t="s">
        <v>36</v>
      </c>
      <c r="AD5858" s="1" t="s">
        <v>19713</v>
      </c>
      <c r="AE5858" s="1" t="s">
        <v>32</v>
      </c>
      <c r="AF5858" s="1" t="s">
        <v>33</v>
      </c>
      <c r="AG5858" s="1" t="s">
        <v>270</v>
      </c>
    </row>
    <row r="5859" spans="1:33">
      <c r="A5859" t="s">
        <v>19714</v>
      </c>
      <c r="B5859" t="s">
        <v>548</v>
      </c>
      <c r="C5859" t="s">
        <v>73</v>
      </c>
      <c r="E5859" t="s">
        <v>19257</v>
      </c>
      <c r="F5859" t="s">
        <v>19258</v>
      </c>
      <c r="G5859">
        <v>75.97</v>
      </c>
      <c r="H5859">
        <v>75.97</v>
      </c>
      <c r="I5859" t="s">
        <v>40</v>
      </c>
      <c r="J5859" t="s">
        <v>41</v>
      </c>
      <c r="K5859" t="s">
        <v>31</v>
      </c>
      <c r="L5859" t="s">
        <v>32</v>
      </c>
      <c r="M5859" t="s">
        <v>33</v>
      </c>
      <c r="P5859" s="1" t="s">
        <v>19715</v>
      </c>
      <c r="Q5859" s="1" t="s">
        <v>19257</v>
      </c>
      <c r="R5859" s="1" t="s">
        <v>18429</v>
      </c>
      <c r="S5859" s="1"/>
      <c r="T5859" s="1" t="s">
        <v>75</v>
      </c>
      <c r="U5859" s="1" t="s">
        <v>76</v>
      </c>
      <c r="V5859" s="1">
        <v>75.97</v>
      </c>
      <c r="W5859" s="1">
        <v>75.97</v>
      </c>
      <c r="X5859" s="1" t="s">
        <v>35</v>
      </c>
      <c r="Y5859" s="1">
        <v>75970</v>
      </c>
      <c r="Z5859" s="1"/>
      <c r="AA5859" s="1">
        <v>75970</v>
      </c>
      <c r="AB5859" s="1"/>
      <c r="AC5859" s="1" t="s">
        <v>36</v>
      </c>
      <c r="AD5859" s="1" t="s">
        <v>19716</v>
      </c>
      <c r="AE5859" s="1" t="s">
        <v>32</v>
      </c>
      <c r="AF5859" s="1" t="s">
        <v>33</v>
      </c>
      <c r="AG5859" s="1" t="s">
        <v>41</v>
      </c>
    </row>
    <row r="5860" spans="1:33">
      <c r="A5860" t="s">
        <v>19717</v>
      </c>
      <c r="C5860" t="s">
        <v>2781</v>
      </c>
      <c r="E5860" t="s">
        <v>19257</v>
      </c>
      <c r="F5860" t="s">
        <v>19258</v>
      </c>
      <c r="G5860">
        <v>315.0</v>
      </c>
      <c r="H5860">
        <v>315.0</v>
      </c>
      <c r="I5860" t="s">
        <v>173</v>
      </c>
      <c r="J5860" t="s">
        <v>174</v>
      </c>
      <c r="K5860" t="s">
        <v>31</v>
      </c>
      <c r="L5860" t="s">
        <v>32</v>
      </c>
      <c r="M5860" t="s">
        <v>33</v>
      </c>
      <c r="P5860" s="1" t="s">
        <v>19718</v>
      </c>
      <c r="Q5860" s="1" t="s">
        <v>19257</v>
      </c>
      <c r="R5860" s="1" t="s">
        <v>19257</v>
      </c>
      <c r="S5860" s="1"/>
      <c r="T5860" s="1" t="s">
        <v>2783</v>
      </c>
      <c r="U5860" s="1" t="s">
        <v>2784</v>
      </c>
      <c r="V5860" s="1">
        <v>315.0</v>
      </c>
      <c r="W5860" s="1">
        <v>315.0</v>
      </c>
      <c r="X5860" s="1" t="s">
        <v>35</v>
      </c>
      <c r="Y5860" s="1">
        <v>315000</v>
      </c>
      <c r="Z5860" s="1"/>
      <c r="AA5860" s="1">
        <v>315000</v>
      </c>
      <c r="AB5860" s="1"/>
      <c r="AC5860" s="1" t="s">
        <v>36</v>
      </c>
      <c r="AD5860" s="1" t="s">
        <v>19719</v>
      </c>
      <c r="AE5860" s="1" t="s">
        <v>32</v>
      </c>
      <c r="AF5860" s="1" t="s">
        <v>33</v>
      </c>
      <c r="AG5860" s="1" t="s">
        <v>174</v>
      </c>
    </row>
    <row r="5861" spans="1:33">
      <c r="A5861" t="s">
        <v>19720</v>
      </c>
      <c r="C5861" t="s">
        <v>517</v>
      </c>
      <c r="E5861" t="s">
        <v>19257</v>
      </c>
      <c r="F5861" t="s">
        <v>19258</v>
      </c>
      <c r="G5861">
        <v>1.03</v>
      </c>
      <c r="H5861">
        <v>1.03</v>
      </c>
      <c r="I5861" t="s">
        <v>126</v>
      </c>
      <c r="J5861" t="s">
        <v>127</v>
      </c>
      <c r="K5861" t="s">
        <v>31</v>
      </c>
      <c r="L5861" t="s">
        <v>32</v>
      </c>
      <c r="M5861" t="s">
        <v>33</v>
      </c>
      <c r="P5861" s="1" t="s">
        <v>19721</v>
      </c>
      <c r="Q5861" s="1" t="s">
        <v>19257</v>
      </c>
      <c r="R5861" s="1" t="s">
        <v>19257</v>
      </c>
      <c r="S5861" s="1"/>
      <c r="T5861" s="1" t="s">
        <v>517</v>
      </c>
      <c r="U5861" s="1"/>
      <c r="V5861" s="1">
        <v>1.03</v>
      </c>
      <c r="W5861" s="1">
        <v>1.03</v>
      </c>
      <c r="X5861" s="1" t="s">
        <v>35</v>
      </c>
      <c r="Y5861" s="1">
        <v>1030000</v>
      </c>
      <c r="Z5861" s="1"/>
      <c r="AA5861" s="1">
        <v>1030000</v>
      </c>
      <c r="AB5861" s="1"/>
      <c r="AC5861" s="1" t="s">
        <v>36</v>
      </c>
      <c r="AD5861" s="1" t="s">
        <v>19719</v>
      </c>
      <c r="AE5861" s="1" t="s">
        <v>32</v>
      </c>
      <c r="AF5861" s="1" t="s">
        <v>33</v>
      </c>
      <c r="AG5861" s="1" t="s">
        <v>127</v>
      </c>
    </row>
    <row r="5862" spans="1:33">
      <c r="A5862" t="s">
        <v>19722</v>
      </c>
      <c r="C5862" t="s">
        <v>1197</v>
      </c>
      <c r="D5862" t="s">
        <v>154</v>
      </c>
      <c r="E5862" t="s">
        <v>19257</v>
      </c>
      <c r="F5862" t="s">
        <v>19258</v>
      </c>
      <c r="G5862">
        <v>760.0</v>
      </c>
      <c r="H5862">
        <v>760.0</v>
      </c>
      <c r="I5862" t="s">
        <v>269</v>
      </c>
      <c r="J5862" t="s">
        <v>270</v>
      </c>
      <c r="K5862" t="s">
        <v>31</v>
      </c>
      <c r="L5862" t="s">
        <v>32</v>
      </c>
      <c r="M5862" t="s">
        <v>33</v>
      </c>
      <c r="P5862" s="1" t="s">
        <v>19723</v>
      </c>
      <c r="Q5862" s="1" t="s">
        <v>19257</v>
      </c>
      <c r="R5862" s="1" t="s">
        <v>19257</v>
      </c>
      <c r="S5862" s="1"/>
      <c r="T5862" s="1" t="s">
        <v>1197</v>
      </c>
      <c r="U5862" s="1"/>
      <c r="V5862" s="1">
        <v>760.0</v>
      </c>
      <c r="W5862" s="1">
        <v>760.0</v>
      </c>
      <c r="X5862" s="1" t="s">
        <v>35</v>
      </c>
      <c r="Y5862" s="1">
        <v>760000</v>
      </c>
      <c r="Z5862" s="1"/>
      <c r="AA5862" s="1">
        <v>760000</v>
      </c>
      <c r="AB5862" s="1"/>
      <c r="AC5862" s="1" t="s">
        <v>36</v>
      </c>
      <c r="AD5862" s="1" t="s">
        <v>19724</v>
      </c>
      <c r="AE5862" s="1" t="s">
        <v>32</v>
      </c>
      <c r="AF5862" s="1" t="s">
        <v>33</v>
      </c>
      <c r="AG5862" s="1" t="s">
        <v>270</v>
      </c>
    </row>
    <row r="5863" spans="1:33">
      <c r="A5863" t="s">
        <v>19725</v>
      </c>
      <c r="B5863" t="s">
        <v>18387</v>
      </c>
      <c r="C5863" t="s">
        <v>268</v>
      </c>
      <c r="E5863" t="s">
        <v>19257</v>
      </c>
      <c r="F5863" t="s">
        <v>19258</v>
      </c>
      <c r="G5863">
        <v>65.7</v>
      </c>
      <c r="H5863">
        <v>65.7</v>
      </c>
      <c r="I5863" t="s">
        <v>269</v>
      </c>
      <c r="J5863" t="s">
        <v>270</v>
      </c>
      <c r="K5863" t="s">
        <v>31</v>
      </c>
      <c r="L5863" t="s">
        <v>32</v>
      </c>
      <c r="M5863" t="s">
        <v>33</v>
      </c>
      <c r="P5863" s="1" t="s">
        <v>19726</v>
      </c>
      <c r="Q5863" s="1" t="s">
        <v>19257</v>
      </c>
      <c r="R5863" s="1" t="s">
        <v>19257</v>
      </c>
      <c r="S5863" s="1"/>
      <c r="T5863" s="1" t="s">
        <v>268</v>
      </c>
      <c r="U5863" s="1"/>
      <c r="V5863" s="1">
        <v>65.7</v>
      </c>
      <c r="W5863" s="1">
        <v>65.7</v>
      </c>
      <c r="X5863" s="1" t="s">
        <v>35</v>
      </c>
      <c r="Y5863" s="1">
        <v>65700</v>
      </c>
      <c r="Z5863" s="1"/>
      <c r="AA5863" s="1">
        <v>65700</v>
      </c>
      <c r="AB5863" s="1"/>
      <c r="AC5863" s="1" t="s">
        <v>36</v>
      </c>
      <c r="AD5863" s="1" t="s">
        <v>19694</v>
      </c>
      <c r="AE5863" s="1" t="s">
        <v>32</v>
      </c>
      <c r="AF5863" s="1" t="s">
        <v>33</v>
      </c>
      <c r="AG5863" s="1" t="s">
        <v>270</v>
      </c>
    </row>
    <row r="5864" spans="1:33">
      <c r="A5864" t="s">
        <v>19727</v>
      </c>
      <c r="C5864" t="s">
        <v>2695</v>
      </c>
      <c r="E5864" t="s">
        <v>19257</v>
      </c>
      <c r="F5864" t="s">
        <v>19258</v>
      </c>
      <c r="G5864">
        <v>1.31</v>
      </c>
      <c r="H5864">
        <v>1.31</v>
      </c>
      <c r="I5864" t="s">
        <v>179</v>
      </c>
      <c r="J5864" t="s">
        <v>180</v>
      </c>
      <c r="K5864" t="s">
        <v>31</v>
      </c>
      <c r="L5864" t="s">
        <v>32</v>
      </c>
      <c r="M5864" t="s">
        <v>33</v>
      </c>
      <c r="P5864" s="1" t="s">
        <v>19728</v>
      </c>
      <c r="Q5864" s="1" t="s">
        <v>19257</v>
      </c>
      <c r="R5864" s="1" t="s">
        <v>19257</v>
      </c>
      <c r="S5864" s="1"/>
      <c r="T5864" s="1" t="s">
        <v>2697</v>
      </c>
      <c r="U5864" s="1" t="s">
        <v>2698</v>
      </c>
      <c r="V5864" s="1">
        <v>1.31</v>
      </c>
      <c r="W5864" s="1">
        <v>1.31</v>
      </c>
      <c r="X5864" s="1" t="s">
        <v>35</v>
      </c>
      <c r="Y5864" s="1">
        <v>1310000</v>
      </c>
      <c r="Z5864" s="1"/>
      <c r="AA5864" s="1">
        <v>1310000</v>
      </c>
      <c r="AB5864" s="1"/>
      <c r="AC5864" s="1" t="s">
        <v>36</v>
      </c>
      <c r="AD5864" s="1" t="s">
        <v>19729</v>
      </c>
      <c r="AE5864" s="1" t="s">
        <v>32</v>
      </c>
      <c r="AF5864" s="1" t="s">
        <v>33</v>
      </c>
      <c r="AG5864" s="1" t="s">
        <v>180</v>
      </c>
    </row>
    <row r="5865" spans="1:33">
      <c r="A5865" t="s">
        <v>19730</v>
      </c>
      <c r="B5865" t="s">
        <v>10830</v>
      </c>
      <c r="C5865" t="s">
        <v>47</v>
      </c>
      <c r="E5865" t="s">
        <v>19257</v>
      </c>
      <c r="F5865" t="s">
        <v>19258</v>
      </c>
      <c r="G5865">
        <v>98.96</v>
      </c>
      <c r="H5865">
        <v>98.96</v>
      </c>
      <c r="I5865" t="s">
        <v>2206</v>
      </c>
      <c r="J5865" t="s">
        <v>49</v>
      </c>
      <c r="K5865" t="s">
        <v>31</v>
      </c>
      <c r="L5865" t="s">
        <v>32</v>
      </c>
      <c r="M5865" t="s">
        <v>33</v>
      </c>
      <c r="P5865" s="1" t="s">
        <v>19731</v>
      </c>
      <c r="Q5865" s="1" t="s">
        <v>19257</v>
      </c>
      <c r="R5865" s="1" t="s">
        <v>19257</v>
      </c>
      <c r="S5865" s="1"/>
      <c r="T5865" s="1" t="s">
        <v>47</v>
      </c>
      <c r="U5865" s="1"/>
      <c r="V5865" s="1">
        <v>98.96</v>
      </c>
      <c r="W5865" s="1">
        <v>98.96</v>
      </c>
      <c r="X5865" s="1" t="s">
        <v>35</v>
      </c>
      <c r="Y5865" s="1">
        <v>98960</v>
      </c>
      <c r="Z5865" s="1"/>
      <c r="AA5865" s="1">
        <v>98960</v>
      </c>
      <c r="AB5865" s="1"/>
      <c r="AC5865" s="1" t="s">
        <v>36</v>
      </c>
      <c r="AD5865" s="1" t="s">
        <v>19732</v>
      </c>
      <c r="AE5865" s="1" t="s">
        <v>32</v>
      </c>
      <c r="AF5865" s="1" t="s">
        <v>33</v>
      </c>
      <c r="AG5865" s="1" t="s">
        <v>49</v>
      </c>
    </row>
    <row r="5866" spans="1:33">
      <c r="A5866" t="s">
        <v>19733</v>
      </c>
      <c r="C5866" t="s">
        <v>3729</v>
      </c>
      <c r="D5866" t="s">
        <v>154</v>
      </c>
      <c r="E5866" t="s">
        <v>19257</v>
      </c>
      <c r="F5866" t="s">
        <v>19258</v>
      </c>
      <c r="G5866">
        <v>505.95</v>
      </c>
      <c r="H5866">
        <v>505.95</v>
      </c>
      <c r="I5866" t="s">
        <v>269</v>
      </c>
      <c r="J5866" t="s">
        <v>270</v>
      </c>
      <c r="K5866" t="s">
        <v>31</v>
      </c>
      <c r="L5866" t="s">
        <v>32</v>
      </c>
      <c r="M5866" t="s">
        <v>33</v>
      </c>
      <c r="P5866" s="1" t="s">
        <v>19734</v>
      </c>
      <c r="Q5866" s="1" t="s">
        <v>19257</v>
      </c>
      <c r="R5866" s="1" t="s">
        <v>19257</v>
      </c>
      <c r="S5866" s="1"/>
      <c r="T5866" s="1" t="s">
        <v>3729</v>
      </c>
      <c r="U5866" s="1"/>
      <c r="V5866" s="1">
        <v>505.95</v>
      </c>
      <c r="W5866" s="1">
        <v>505.95</v>
      </c>
      <c r="X5866" s="1" t="s">
        <v>35</v>
      </c>
      <c r="Y5866" s="1">
        <v>505950</v>
      </c>
      <c r="Z5866" s="1"/>
      <c r="AA5866" s="1">
        <v>505950</v>
      </c>
      <c r="AB5866" s="1"/>
      <c r="AC5866" s="1" t="s">
        <v>36</v>
      </c>
      <c r="AD5866" s="1" t="s">
        <v>19735</v>
      </c>
      <c r="AE5866" s="1" t="s">
        <v>32</v>
      </c>
      <c r="AF5866" s="1" t="s">
        <v>33</v>
      </c>
      <c r="AG5866" s="1" t="s">
        <v>270</v>
      </c>
    </row>
    <row r="5867" spans="1:33">
      <c r="A5867" t="s">
        <v>19736</v>
      </c>
      <c r="C5867" t="s">
        <v>2938</v>
      </c>
      <c r="E5867" t="s">
        <v>19257</v>
      </c>
      <c r="F5867" t="s">
        <v>19258</v>
      </c>
      <c r="G5867">
        <v>1.249</v>
      </c>
      <c r="H5867">
        <v>1.249</v>
      </c>
      <c r="I5867" t="s">
        <v>269</v>
      </c>
      <c r="J5867" t="s">
        <v>270</v>
      </c>
      <c r="K5867" t="s">
        <v>31</v>
      </c>
      <c r="L5867" t="s">
        <v>32</v>
      </c>
      <c r="M5867" t="s">
        <v>33</v>
      </c>
      <c r="P5867" s="1" t="s">
        <v>19737</v>
      </c>
      <c r="Q5867" s="1" t="s">
        <v>19257</v>
      </c>
      <c r="R5867" s="1" t="s">
        <v>19257</v>
      </c>
      <c r="S5867" s="1"/>
      <c r="T5867" s="1" t="s">
        <v>2938</v>
      </c>
      <c r="U5867" s="1"/>
      <c r="V5867" s="1">
        <v>1.249</v>
      </c>
      <c r="W5867" s="1">
        <v>1.249</v>
      </c>
      <c r="X5867" s="1" t="s">
        <v>35</v>
      </c>
      <c r="Y5867" s="1">
        <v>1249500</v>
      </c>
      <c r="Z5867" s="1"/>
      <c r="AA5867" s="1">
        <v>1249500</v>
      </c>
      <c r="AB5867" s="1"/>
      <c r="AC5867" s="1" t="s">
        <v>36</v>
      </c>
      <c r="AD5867" s="1" t="s">
        <v>19738</v>
      </c>
      <c r="AE5867" s="1" t="s">
        <v>32</v>
      </c>
      <c r="AF5867" s="1" t="s">
        <v>33</v>
      </c>
      <c r="AG5867" s="1" t="s">
        <v>270</v>
      </c>
    </row>
    <row r="5868" spans="1:33">
      <c r="A5868" t="s">
        <v>19739</v>
      </c>
      <c r="B5868" t="s">
        <v>579</v>
      </c>
      <c r="C5868" t="s">
        <v>73</v>
      </c>
      <c r="E5868" t="s">
        <v>19257</v>
      </c>
      <c r="F5868" t="s">
        <v>19258</v>
      </c>
      <c r="G5868">
        <v>36.98</v>
      </c>
      <c r="H5868">
        <v>36.98</v>
      </c>
      <c r="I5868" t="s">
        <v>40</v>
      </c>
      <c r="J5868" t="s">
        <v>41</v>
      </c>
      <c r="K5868" t="s">
        <v>31</v>
      </c>
      <c r="L5868" t="s">
        <v>32</v>
      </c>
      <c r="M5868" t="s">
        <v>33</v>
      </c>
      <c r="P5868" s="1" t="s">
        <v>19740</v>
      </c>
      <c r="Q5868" s="1" t="s">
        <v>19257</v>
      </c>
      <c r="R5868" s="1" t="s">
        <v>18429</v>
      </c>
      <c r="S5868" s="1"/>
      <c r="T5868" s="1" t="s">
        <v>75</v>
      </c>
      <c r="U5868" s="1" t="s">
        <v>76</v>
      </c>
      <c r="V5868" s="1">
        <v>36.98</v>
      </c>
      <c r="W5868" s="1">
        <v>36.98</v>
      </c>
      <c r="X5868" s="1" t="s">
        <v>35</v>
      </c>
      <c r="Y5868" s="1">
        <v>36980</v>
      </c>
      <c r="Z5868" s="1"/>
      <c r="AA5868" s="1">
        <v>36980</v>
      </c>
      <c r="AB5868" s="1"/>
      <c r="AC5868" s="1" t="s">
        <v>36</v>
      </c>
      <c r="AD5868" s="1" t="s">
        <v>19741</v>
      </c>
      <c r="AE5868" s="1" t="s">
        <v>32</v>
      </c>
      <c r="AF5868" s="1" t="s">
        <v>33</v>
      </c>
      <c r="AG5868" s="1" t="s">
        <v>41</v>
      </c>
    </row>
    <row r="5869" spans="1:33">
      <c r="A5869" t="s">
        <v>19742</v>
      </c>
      <c r="C5869" t="s">
        <v>810</v>
      </c>
      <c r="D5869" t="s">
        <v>154</v>
      </c>
      <c r="E5869" t="s">
        <v>19257</v>
      </c>
      <c r="F5869" t="s">
        <v>19258</v>
      </c>
      <c r="G5869">
        <v>790.0</v>
      </c>
      <c r="H5869">
        <v>790.0</v>
      </c>
      <c r="I5869" t="s">
        <v>269</v>
      </c>
      <c r="J5869" t="s">
        <v>270</v>
      </c>
      <c r="K5869" t="s">
        <v>31</v>
      </c>
      <c r="L5869" t="s">
        <v>32</v>
      </c>
      <c r="M5869" t="s">
        <v>33</v>
      </c>
      <c r="P5869" s="1" t="s">
        <v>19743</v>
      </c>
      <c r="Q5869" s="1" t="s">
        <v>19257</v>
      </c>
      <c r="R5869" s="1" t="s">
        <v>19257</v>
      </c>
      <c r="S5869" s="1"/>
      <c r="T5869" s="1" t="s">
        <v>810</v>
      </c>
      <c r="U5869" s="1"/>
      <c r="V5869" s="1">
        <v>790.0</v>
      </c>
      <c r="W5869" s="1">
        <v>790.0</v>
      </c>
      <c r="X5869" s="1" t="s">
        <v>35</v>
      </c>
      <c r="Y5869" s="1">
        <v>790000</v>
      </c>
      <c r="Z5869" s="1"/>
      <c r="AA5869" s="1">
        <v>790000</v>
      </c>
      <c r="AB5869" s="1"/>
      <c r="AC5869" s="1" t="s">
        <v>36</v>
      </c>
      <c r="AD5869" s="1" t="s">
        <v>19744</v>
      </c>
      <c r="AE5869" s="1" t="s">
        <v>32</v>
      </c>
      <c r="AF5869" s="1" t="s">
        <v>33</v>
      </c>
      <c r="AG5869" s="1" t="s">
        <v>270</v>
      </c>
    </row>
    <row r="5870" spans="1:33">
      <c r="A5870" t="s">
        <v>19745</v>
      </c>
      <c r="B5870" t="s">
        <v>57</v>
      </c>
      <c r="C5870" t="s">
        <v>58</v>
      </c>
      <c r="E5870" t="s">
        <v>19257</v>
      </c>
      <c r="F5870" t="s">
        <v>19258</v>
      </c>
      <c r="G5870">
        <v>119.0</v>
      </c>
      <c r="H5870">
        <v>119.0</v>
      </c>
      <c r="I5870" t="s">
        <v>59</v>
      </c>
      <c r="J5870" t="s">
        <v>60</v>
      </c>
      <c r="K5870" t="s">
        <v>31</v>
      </c>
      <c r="L5870" t="s">
        <v>32</v>
      </c>
      <c r="M5870" t="s">
        <v>33</v>
      </c>
      <c r="P5870" s="1" t="s">
        <v>19746</v>
      </c>
      <c r="Q5870" s="1" t="s">
        <v>19257</v>
      </c>
      <c r="R5870" s="1" t="s">
        <v>19257</v>
      </c>
      <c r="S5870" s="1"/>
      <c r="T5870" s="1" t="s">
        <v>58</v>
      </c>
      <c r="U5870" s="1"/>
      <c r="V5870" s="1">
        <v>119.0</v>
      </c>
      <c r="W5870" s="1">
        <v>119.0</v>
      </c>
      <c r="X5870" s="1" t="s">
        <v>35</v>
      </c>
      <c r="Y5870" s="1">
        <v>119000</v>
      </c>
      <c r="Z5870" s="1"/>
      <c r="AA5870" s="1">
        <v>119000</v>
      </c>
      <c r="AB5870" s="1"/>
      <c r="AC5870" s="1" t="s">
        <v>36</v>
      </c>
      <c r="AD5870" s="1" t="s">
        <v>19747</v>
      </c>
      <c r="AE5870" s="1" t="s">
        <v>32</v>
      </c>
      <c r="AF5870" s="1" t="s">
        <v>33</v>
      </c>
      <c r="AG5870" s="1" t="s">
        <v>60</v>
      </c>
    </row>
    <row r="5871" spans="1:33">
      <c r="A5871" t="s">
        <v>19748</v>
      </c>
      <c r="B5871" t="s">
        <v>19749</v>
      </c>
      <c r="C5871" t="s">
        <v>2741</v>
      </c>
      <c r="E5871" t="s">
        <v>19257</v>
      </c>
      <c r="F5871" t="s">
        <v>19258</v>
      </c>
      <c r="G5871">
        <v>15.0</v>
      </c>
      <c r="H5871">
        <v>15.0</v>
      </c>
      <c r="I5871" t="s">
        <v>2742</v>
      </c>
      <c r="J5871" t="s">
        <v>2743</v>
      </c>
      <c r="K5871" t="s">
        <v>31</v>
      </c>
      <c r="L5871" t="s">
        <v>32</v>
      </c>
      <c r="M5871" t="s">
        <v>33</v>
      </c>
      <c r="P5871" s="1" t="s">
        <v>19750</v>
      </c>
      <c r="Q5871" s="1" t="s">
        <v>19257</v>
      </c>
      <c r="R5871" s="1" t="s">
        <v>19257</v>
      </c>
      <c r="S5871" s="1"/>
      <c r="T5871" s="1" t="s">
        <v>2741</v>
      </c>
      <c r="U5871" s="1"/>
      <c r="V5871" s="1">
        <v>15.0</v>
      </c>
      <c r="W5871" s="1">
        <v>15.0</v>
      </c>
      <c r="X5871" s="1" t="s">
        <v>35</v>
      </c>
      <c r="Y5871" s="1">
        <v>15000</v>
      </c>
      <c r="Z5871" s="1"/>
      <c r="AA5871" s="1">
        <v>15000</v>
      </c>
      <c r="AB5871" s="1"/>
      <c r="AC5871" s="1" t="s">
        <v>36</v>
      </c>
      <c r="AD5871" s="1" t="s">
        <v>19705</v>
      </c>
      <c r="AE5871" s="1" t="s">
        <v>1636</v>
      </c>
      <c r="AF5871" s="1" t="s">
        <v>33</v>
      </c>
      <c r="AG5871" s="1" t="s">
        <v>2743</v>
      </c>
    </row>
    <row r="5872" spans="1:33">
      <c r="A5872" t="s">
        <v>19751</v>
      </c>
      <c r="B5872" t="s">
        <v>19752</v>
      </c>
      <c r="C5872" t="s">
        <v>220</v>
      </c>
      <c r="D5872" t="s">
        <v>114</v>
      </c>
      <c r="E5872" t="s">
        <v>19257</v>
      </c>
      <c r="F5872" t="s">
        <v>19258</v>
      </c>
      <c r="G5872">
        <v>130.6</v>
      </c>
      <c r="H5872">
        <v>130.6</v>
      </c>
      <c r="I5872" t="s">
        <v>59</v>
      </c>
      <c r="J5872" t="s">
        <v>60</v>
      </c>
      <c r="K5872" t="s">
        <v>31</v>
      </c>
      <c r="L5872" t="s">
        <v>32</v>
      </c>
      <c r="M5872" t="s">
        <v>33</v>
      </c>
      <c r="P5872" s="1" t="s">
        <v>19753</v>
      </c>
      <c r="Q5872" s="1" t="s">
        <v>19257</v>
      </c>
      <c r="R5872" s="1" t="s">
        <v>19257</v>
      </c>
      <c r="S5872" s="1"/>
      <c r="T5872" s="1" t="s">
        <v>222</v>
      </c>
      <c r="U5872" s="1" t="s">
        <v>223</v>
      </c>
      <c r="V5872" s="1">
        <v>130.6</v>
      </c>
      <c r="W5872" s="1">
        <v>130.6</v>
      </c>
      <c r="X5872" s="1" t="s">
        <v>35</v>
      </c>
      <c r="Y5872" s="1">
        <v>130600</v>
      </c>
      <c r="Z5872" s="1"/>
      <c r="AA5872" s="1">
        <v>130600</v>
      </c>
      <c r="AB5872" s="1"/>
      <c r="AC5872" s="1" t="s">
        <v>36</v>
      </c>
      <c r="AD5872" s="1" t="s">
        <v>19754</v>
      </c>
      <c r="AE5872" s="1" t="s">
        <v>32</v>
      </c>
      <c r="AF5872" s="1" t="s">
        <v>33</v>
      </c>
      <c r="AG5872" s="1" t="s">
        <v>60</v>
      </c>
    </row>
    <row r="5873" spans="1:33">
      <c r="A5873" t="s">
        <v>19755</v>
      </c>
      <c r="B5873" t="s">
        <v>568</v>
      </c>
      <c r="C5873" t="s">
        <v>569</v>
      </c>
      <c r="E5873" t="s">
        <v>19257</v>
      </c>
      <c r="F5873" t="s">
        <v>19258</v>
      </c>
      <c r="G5873">
        <v>131.96</v>
      </c>
      <c r="H5873">
        <v>131.96</v>
      </c>
      <c r="I5873" t="s">
        <v>570</v>
      </c>
      <c r="J5873" t="s">
        <v>571</v>
      </c>
      <c r="K5873" t="s">
        <v>31</v>
      </c>
      <c r="L5873" t="s">
        <v>32</v>
      </c>
      <c r="M5873" t="s">
        <v>33</v>
      </c>
      <c r="P5873" s="1" t="s">
        <v>19756</v>
      </c>
      <c r="Q5873" s="1" t="s">
        <v>19257</v>
      </c>
      <c r="R5873" s="1" t="s">
        <v>19257</v>
      </c>
      <c r="S5873" s="1"/>
      <c r="T5873" s="1" t="s">
        <v>569</v>
      </c>
      <c r="U5873" s="1"/>
      <c r="V5873" s="1">
        <v>131.96</v>
      </c>
      <c r="W5873" s="1">
        <v>131.96</v>
      </c>
      <c r="X5873" s="1" t="s">
        <v>35</v>
      </c>
      <c r="Y5873" s="1">
        <v>131960</v>
      </c>
      <c r="Z5873" s="1"/>
      <c r="AA5873" s="1">
        <v>131960</v>
      </c>
      <c r="AB5873" s="1"/>
      <c r="AC5873" s="1" t="s">
        <v>36</v>
      </c>
      <c r="AD5873" s="1" t="s">
        <v>19754</v>
      </c>
      <c r="AE5873" s="1" t="s">
        <v>1636</v>
      </c>
      <c r="AF5873" s="1" t="s">
        <v>33</v>
      </c>
      <c r="AG5873" s="1" t="s">
        <v>571</v>
      </c>
    </row>
    <row r="5874" spans="1:33">
      <c r="A5874" t="s">
        <v>19757</v>
      </c>
      <c r="C5874" t="s">
        <v>19758</v>
      </c>
      <c r="E5874" t="s">
        <v>19257</v>
      </c>
      <c r="F5874" t="s">
        <v>19258</v>
      </c>
      <c r="G5874">
        <v>328.0</v>
      </c>
      <c r="H5874">
        <v>328.0</v>
      </c>
      <c r="I5874" t="s">
        <v>269</v>
      </c>
      <c r="J5874" t="s">
        <v>270</v>
      </c>
      <c r="K5874" t="s">
        <v>31</v>
      </c>
      <c r="L5874" t="s">
        <v>32</v>
      </c>
      <c r="M5874" t="s">
        <v>33</v>
      </c>
      <c r="P5874" s="1" t="s">
        <v>19759</v>
      </c>
      <c r="Q5874" s="1" t="s">
        <v>19257</v>
      </c>
      <c r="R5874" s="1" t="s">
        <v>19257</v>
      </c>
      <c r="S5874" s="1"/>
      <c r="T5874" s="1" t="s">
        <v>19758</v>
      </c>
      <c r="U5874" s="1"/>
      <c r="V5874" s="1">
        <v>328.0</v>
      </c>
      <c r="W5874" s="1">
        <v>328.0</v>
      </c>
      <c r="X5874" s="1" t="s">
        <v>35</v>
      </c>
      <c r="Y5874" s="1">
        <v>328000</v>
      </c>
      <c r="Z5874" s="1"/>
      <c r="AA5874" s="1">
        <v>328000</v>
      </c>
      <c r="AB5874" s="1"/>
      <c r="AC5874" s="1" t="s">
        <v>36</v>
      </c>
      <c r="AD5874" s="1" t="s">
        <v>19760</v>
      </c>
      <c r="AE5874" s="1" t="s">
        <v>32</v>
      </c>
      <c r="AF5874" s="1" t="s">
        <v>33</v>
      </c>
      <c r="AG5874" s="1" t="s">
        <v>270</v>
      </c>
    </row>
    <row r="5875" spans="1:33">
      <c r="A5875" t="s">
        <v>19761</v>
      </c>
      <c r="C5875" t="s">
        <v>7937</v>
      </c>
      <c r="E5875" t="s">
        <v>19257</v>
      </c>
      <c r="F5875" t="s">
        <v>19258</v>
      </c>
      <c r="G5875">
        <v>17.79</v>
      </c>
      <c r="H5875">
        <v>17.79</v>
      </c>
      <c r="I5875" t="s">
        <v>2206</v>
      </c>
      <c r="J5875" t="s">
        <v>49</v>
      </c>
      <c r="K5875" t="s">
        <v>31</v>
      </c>
      <c r="L5875" t="s">
        <v>32</v>
      </c>
      <c r="M5875" t="s">
        <v>33</v>
      </c>
      <c r="P5875" s="1" t="s">
        <v>19762</v>
      </c>
      <c r="Q5875" s="1" t="s">
        <v>19257</v>
      </c>
      <c r="R5875" s="1" t="s">
        <v>19257</v>
      </c>
      <c r="S5875" s="1"/>
      <c r="T5875" s="1" t="s">
        <v>7937</v>
      </c>
      <c r="U5875" s="1"/>
      <c r="V5875" s="1">
        <v>17.79</v>
      </c>
      <c r="W5875" s="1">
        <v>17.79</v>
      </c>
      <c r="X5875" s="1" t="s">
        <v>35</v>
      </c>
      <c r="Y5875" s="1">
        <v>17790</v>
      </c>
      <c r="Z5875" s="1"/>
      <c r="AA5875" s="1">
        <v>17790</v>
      </c>
      <c r="AB5875" s="1"/>
      <c r="AC5875" s="1" t="s">
        <v>36</v>
      </c>
      <c r="AD5875" s="1" t="s">
        <v>19763</v>
      </c>
      <c r="AE5875" s="1" t="s">
        <v>32</v>
      </c>
      <c r="AF5875" s="1" t="s">
        <v>33</v>
      </c>
      <c r="AG5875" s="1" t="s">
        <v>49</v>
      </c>
    </row>
    <row r="5876" spans="1:33">
      <c r="A5876" t="s">
        <v>19764</v>
      </c>
      <c r="C5876" t="s">
        <v>288</v>
      </c>
      <c r="D5876" t="s">
        <v>114</v>
      </c>
      <c r="E5876" t="s">
        <v>19257</v>
      </c>
      <c r="F5876" t="s">
        <v>19258</v>
      </c>
      <c r="G5876">
        <v>328.0</v>
      </c>
      <c r="H5876">
        <v>328.0</v>
      </c>
      <c r="I5876" t="s">
        <v>269</v>
      </c>
      <c r="J5876" t="s">
        <v>270</v>
      </c>
      <c r="K5876" t="s">
        <v>31</v>
      </c>
      <c r="L5876" t="s">
        <v>32</v>
      </c>
      <c r="M5876" t="s">
        <v>33</v>
      </c>
      <c r="P5876" s="1" t="s">
        <v>19765</v>
      </c>
      <c r="Q5876" s="1" t="s">
        <v>19257</v>
      </c>
      <c r="R5876" s="1" t="s">
        <v>19257</v>
      </c>
      <c r="S5876" s="1"/>
      <c r="T5876" s="1" t="s">
        <v>288</v>
      </c>
      <c r="U5876" s="1"/>
      <c r="V5876" s="1">
        <v>328.0</v>
      </c>
      <c r="W5876" s="1">
        <v>328.0</v>
      </c>
      <c r="X5876" s="1" t="s">
        <v>35</v>
      </c>
      <c r="Y5876" s="1">
        <v>328000</v>
      </c>
      <c r="Z5876" s="1"/>
      <c r="AA5876" s="1">
        <v>328000</v>
      </c>
      <c r="AB5876" s="1"/>
      <c r="AC5876" s="1" t="s">
        <v>36</v>
      </c>
      <c r="AD5876" s="1" t="s">
        <v>19702</v>
      </c>
      <c r="AE5876" s="1" t="s">
        <v>32</v>
      </c>
      <c r="AF5876" s="1" t="s">
        <v>33</v>
      </c>
      <c r="AG5876" s="1" t="s">
        <v>270</v>
      </c>
    </row>
    <row r="5877" spans="1:33">
      <c r="A5877" t="s">
        <v>19766</v>
      </c>
      <c r="C5877" t="s">
        <v>613</v>
      </c>
      <c r="E5877" t="s">
        <v>19257</v>
      </c>
      <c r="F5877" t="s">
        <v>19258</v>
      </c>
      <c r="G5877">
        <v>492.0</v>
      </c>
      <c r="H5877">
        <v>492.0</v>
      </c>
      <c r="I5877" t="s">
        <v>269</v>
      </c>
      <c r="J5877" t="s">
        <v>270</v>
      </c>
      <c r="K5877" t="s">
        <v>31</v>
      </c>
      <c r="L5877" t="s">
        <v>32</v>
      </c>
      <c r="M5877" t="s">
        <v>33</v>
      </c>
      <c r="P5877" s="1" t="s">
        <v>19767</v>
      </c>
      <c r="Q5877" s="1" t="s">
        <v>19257</v>
      </c>
      <c r="R5877" s="1" t="s">
        <v>19257</v>
      </c>
      <c r="S5877" s="1"/>
      <c r="T5877" s="1" t="s">
        <v>613</v>
      </c>
      <c r="U5877" s="1"/>
      <c r="V5877" s="1">
        <v>492.0</v>
      </c>
      <c r="W5877" s="1">
        <v>492.0</v>
      </c>
      <c r="X5877" s="1" t="s">
        <v>35</v>
      </c>
      <c r="Y5877" s="1">
        <v>492000</v>
      </c>
      <c r="Z5877" s="1"/>
      <c r="AA5877" s="1">
        <v>492000</v>
      </c>
      <c r="AB5877" s="1"/>
      <c r="AC5877" s="1" t="s">
        <v>36</v>
      </c>
      <c r="AD5877" s="1" t="s">
        <v>19768</v>
      </c>
      <c r="AE5877" s="1" t="s">
        <v>32</v>
      </c>
      <c r="AF5877" s="1" t="s">
        <v>33</v>
      </c>
      <c r="AG5877" s="1" t="s">
        <v>270</v>
      </c>
    </row>
    <row r="5878" spans="1:33">
      <c r="A5878" t="s">
        <v>19769</v>
      </c>
      <c r="B5878" t="s">
        <v>19770</v>
      </c>
      <c r="C5878" t="s">
        <v>314</v>
      </c>
      <c r="E5878" t="s">
        <v>19257</v>
      </c>
      <c r="F5878" t="s">
        <v>19258</v>
      </c>
      <c r="G5878">
        <v>40.99</v>
      </c>
      <c r="H5878">
        <v>40.99</v>
      </c>
      <c r="I5878" t="s">
        <v>179</v>
      </c>
      <c r="J5878" t="s">
        <v>180</v>
      </c>
      <c r="K5878" t="s">
        <v>31</v>
      </c>
      <c r="L5878" t="s">
        <v>32</v>
      </c>
      <c r="M5878" t="s">
        <v>33</v>
      </c>
      <c r="P5878" s="1" t="s">
        <v>19771</v>
      </c>
      <c r="Q5878" s="1" t="s">
        <v>19257</v>
      </c>
      <c r="R5878" s="1" t="s">
        <v>19257</v>
      </c>
      <c r="S5878" s="1"/>
      <c r="T5878" s="1" t="s">
        <v>314</v>
      </c>
      <c r="U5878" s="1"/>
      <c r="V5878" s="1">
        <v>40.99</v>
      </c>
      <c r="W5878" s="1">
        <v>40.99</v>
      </c>
      <c r="X5878" s="1" t="s">
        <v>35</v>
      </c>
      <c r="Y5878" s="1">
        <v>40990</v>
      </c>
      <c r="Z5878" s="1"/>
      <c r="AA5878" s="1">
        <v>40990</v>
      </c>
      <c r="AB5878" s="1"/>
      <c r="AC5878" s="1" t="s">
        <v>36</v>
      </c>
      <c r="AD5878" s="1" t="s">
        <v>19772</v>
      </c>
      <c r="AE5878" s="1" t="s">
        <v>32</v>
      </c>
      <c r="AF5878" s="1" t="s">
        <v>33</v>
      </c>
      <c r="AG5878" s="1" t="s">
        <v>180</v>
      </c>
    </row>
    <row r="5879" spans="1:33">
      <c r="A5879" t="s">
        <v>19773</v>
      </c>
      <c r="C5879" t="s">
        <v>1432</v>
      </c>
      <c r="D5879" t="s">
        <v>114</v>
      </c>
      <c r="E5879" t="s">
        <v>19257</v>
      </c>
      <c r="F5879" t="s">
        <v>19258</v>
      </c>
      <c r="G5879">
        <v>328.0</v>
      </c>
      <c r="H5879">
        <v>328.0</v>
      </c>
      <c r="I5879" t="s">
        <v>227</v>
      </c>
      <c r="J5879" t="s">
        <v>228</v>
      </c>
      <c r="K5879" t="s">
        <v>31</v>
      </c>
      <c r="L5879" t="s">
        <v>32</v>
      </c>
      <c r="M5879" t="s">
        <v>33</v>
      </c>
      <c r="P5879" s="1" t="s">
        <v>19774</v>
      </c>
      <c r="Q5879" s="1" t="s">
        <v>19257</v>
      </c>
      <c r="R5879" s="1" t="s">
        <v>19257</v>
      </c>
      <c r="S5879" s="1"/>
      <c r="T5879" s="1" t="s">
        <v>1432</v>
      </c>
      <c r="U5879" s="1"/>
      <c r="V5879" s="1">
        <v>328.0</v>
      </c>
      <c r="W5879" s="1">
        <v>328.0</v>
      </c>
      <c r="X5879" s="1" t="s">
        <v>35</v>
      </c>
      <c r="Y5879" s="1">
        <v>328000</v>
      </c>
      <c r="Z5879" s="1"/>
      <c r="AA5879" s="1">
        <v>328000</v>
      </c>
      <c r="AB5879" s="1"/>
      <c r="AC5879" s="1" t="s">
        <v>36</v>
      </c>
      <c r="AD5879" s="1" t="s">
        <v>19768</v>
      </c>
      <c r="AE5879" s="1" t="s">
        <v>32</v>
      </c>
      <c r="AF5879" s="1" t="s">
        <v>33</v>
      </c>
      <c r="AG5879" s="1" t="s">
        <v>228</v>
      </c>
    </row>
    <row r="5880" spans="1:33">
      <c r="A5880" t="s">
        <v>19775</v>
      </c>
      <c r="B5880" t="s">
        <v>4025</v>
      </c>
      <c r="C5880" t="s">
        <v>68</v>
      </c>
      <c r="E5880" t="s">
        <v>19257</v>
      </c>
      <c r="F5880" t="s">
        <v>19258</v>
      </c>
      <c r="G5880">
        <v>53.98</v>
      </c>
      <c r="H5880">
        <v>53.98</v>
      </c>
      <c r="I5880" t="s">
        <v>59</v>
      </c>
      <c r="J5880" t="s">
        <v>60</v>
      </c>
      <c r="K5880" t="s">
        <v>31</v>
      </c>
      <c r="L5880" t="s">
        <v>32</v>
      </c>
      <c r="M5880" t="s">
        <v>33</v>
      </c>
      <c r="P5880" s="1" t="s">
        <v>19776</v>
      </c>
      <c r="Q5880" s="1" t="s">
        <v>19257</v>
      </c>
      <c r="R5880" s="1" t="s">
        <v>19257</v>
      </c>
      <c r="S5880" s="1"/>
      <c r="T5880" s="1" t="s">
        <v>68</v>
      </c>
      <c r="U5880" s="1"/>
      <c r="V5880" s="1">
        <v>53.98</v>
      </c>
      <c r="W5880" s="1">
        <v>53.98</v>
      </c>
      <c r="X5880" s="1" t="s">
        <v>35</v>
      </c>
      <c r="Y5880" s="1">
        <v>53980</v>
      </c>
      <c r="Z5880" s="1"/>
      <c r="AA5880" s="1">
        <v>53980</v>
      </c>
      <c r="AB5880" s="1"/>
      <c r="AC5880" s="1" t="s">
        <v>36</v>
      </c>
      <c r="AD5880" s="1" t="s">
        <v>19777</v>
      </c>
      <c r="AE5880" s="1" t="s">
        <v>32</v>
      </c>
      <c r="AF5880" s="1" t="s">
        <v>33</v>
      </c>
      <c r="AG5880" s="1" t="s">
        <v>60</v>
      </c>
    </row>
    <row r="5881" spans="1:33">
      <c r="A5881" t="s">
        <v>19778</v>
      </c>
      <c r="C5881" t="s">
        <v>19779</v>
      </c>
      <c r="E5881" t="s">
        <v>19257</v>
      </c>
      <c r="F5881" t="s">
        <v>19258</v>
      </c>
      <c r="G5881">
        <v>4.92</v>
      </c>
      <c r="H5881">
        <v>4.92</v>
      </c>
      <c r="I5881" t="s">
        <v>269</v>
      </c>
      <c r="J5881" t="s">
        <v>270</v>
      </c>
      <c r="K5881" t="s">
        <v>31</v>
      </c>
      <c r="L5881" t="s">
        <v>32</v>
      </c>
      <c r="M5881" t="s">
        <v>33</v>
      </c>
      <c r="P5881" s="1" t="s">
        <v>19780</v>
      </c>
      <c r="Q5881" s="1" t="s">
        <v>19257</v>
      </c>
      <c r="R5881" s="1" t="s">
        <v>19257</v>
      </c>
      <c r="S5881" s="1"/>
      <c r="T5881" s="1" t="s">
        <v>19779</v>
      </c>
      <c r="U5881" s="1"/>
      <c r="V5881" s="1">
        <v>4.92</v>
      </c>
      <c r="W5881" s="1">
        <v>4.92</v>
      </c>
      <c r="X5881" s="1" t="s">
        <v>35</v>
      </c>
      <c r="Y5881" s="1">
        <v>4920000</v>
      </c>
      <c r="Z5881" s="1"/>
      <c r="AA5881" s="1">
        <v>4920000</v>
      </c>
      <c r="AB5881" s="1"/>
      <c r="AC5881" s="1" t="s">
        <v>36</v>
      </c>
      <c r="AD5881" s="1" t="s">
        <v>19781</v>
      </c>
      <c r="AE5881" s="1" t="s">
        <v>1636</v>
      </c>
      <c r="AF5881" s="1" t="s">
        <v>33</v>
      </c>
      <c r="AG5881" s="1" t="s">
        <v>270</v>
      </c>
    </row>
    <row r="5882" spans="1:33">
      <c r="A5882" t="s">
        <v>19782</v>
      </c>
      <c r="B5882" t="s">
        <v>1598</v>
      </c>
      <c r="C5882" t="s">
        <v>827</v>
      </c>
      <c r="D5882" t="s">
        <v>154</v>
      </c>
      <c r="E5882" t="s">
        <v>19257</v>
      </c>
      <c r="F5882" t="s">
        <v>19258</v>
      </c>
      <c r="G5882">
        <v>1.028</v>
      </c>
      <c r="H5882">
        <v>1.028</v>
      </c>
      <c r="I5882" t="s">
        <v>529</v>
      </c>
      <c r="J5882" t="s">
        <v>530</v>
      </c>
      <c r="K5882" t="s">
        <v>31</v>
      </c>
      <c r="L5882" t="s">
        <v>32</v>
      </c>
      <c r="M5882" t="s">
        <v>33</v>
      </c>
      <c r="P5882" s="1" t="s">
        <v>19783</v>
      </c>
      <c r="Q5882" s="1" t="s">
        <v>19257</v>
      </c>
      <c r="R5882" s="1" t="s">
        <v>18429</v>
      </c>
      <c r="S5882" s="1"/>
      <c r="T5882" s="1" t="s">
        <v>827</v>
      </c>
      <c r="U5882" s="1"/>
      <c r="V5882" s="1">
        <v>1.028</v>
      </c>
      <c r="W5882" s="1">
        <v>1.028</v>
      </c>
      <c r="X5882" s="1" t="s">
        <v>35</v>
      </c>
      <c r="Y5882" s="1">
        <v>1028300</v>
      </c>
      <c r="Z5882" s="1"/>
      <c r="AA5882" s="1">
        <v>1028300</v>
      </c>
      <c r="AB5882" s="1"/>
      <c r="AC5882" s="1" t="s">
        <v>36</v>
      </c>
      <c r="AD5882" s="1" t="s">
        <v>19732</v>
      </c>
      <c r="AE5882" s="1" t="s">
        <v>32</v>
      </c>
      <c r="AF5882" s="1" t="s">
        <v>33</v>
      </c>
      <c r="AG5882" s="1" t="s">
        <v>530</v>
      </c>
    </row>
    <row r="5883" spans="1:33">
      <c r="A5883" t="s">
        <v>19784</v>
      </c>
      <c r="C5883" t="s">
        <v>827</v>
      </c>
      <c r="D5883" t="s">
        <v>154</v>
      </c>
      <c r="E5883" t="s">
        <v>19257</v>
      </c>
      <c r="F5883" t="s">
        <v>19258</v>
      </c>
      <c r="G5883">
        <v>20.0</v>
      </c>
      <c r="H5883">
        <v>20.0</v>
      </c>
      <c r="I5883" t="s">
        <v>269</v>
      </c>
      <c r="J5883" t="s">
        <v>270</v>
      </c>
      <c r="K5883" t="s">
        <v>31</v>
      </c>
      <c r="L5883" t="s">
        <v>32</v>
      </c>
      <c r="M5883" t="s">
        <v>33</v>
      </c>
      <c r="P5883" s="1" t="s">
        <v>19785</v>
      </c>
      <c r="Q5883" s="1" t="s">
        <v>19257</v>
      </c>
      <c r="R5883" s="1" t="s">
        <v>19257</v>
      </c>
      <c r="S5883" s="1"/>
      <c r="T5883" s="1" t="s">
        <v>827</v>
      </c>
      <c r="U5883" s="1"/>
      <c r="V5883" s="1">
        <v>20.0</v>
      </c>
      <c r="W5883" s="1">
        <v>20.0</v>
      </c>
      <c r="X5883" s="1" t="s">
        <v>35</v>
      </c>
      <c r="Y5883" s="1">
        <v>20000</v>
      </c>
      <c r="Z5883" s="1"/>
      <c r="AA5883" s="1">
        <v>20000</v>
      </c>
      <c r="AB5883" s="1"/>
      <c r="AC5883" s="1" t="s">
        <v>36</v>
      </c>
      <c r="AD5883" s="1" t="s">
        <v>19786</v>
      </c>
      <c r="AE5883" s="1" t="s">
        <v>32</v>
      </c>
      <c r="AF5883" s="1" t="s">
        <v>33</v>
      </c>
      <c r="AG5883" s="1" t="s">
        <v>270</v>
      </c>
    </row>
    <row r="5884" spans="1:33">
      <c r="A5884" t="s">
        <v>19787</v>
      </c>
      <c r="C5884" t="s">
        <v>6006</v>
      </c>
      <c r="E5884" t="s">
        <v>19257</v>
      </c>
      <c r="F5884" t="s">
        <v>19258</v>
      </c>
      <c r="G5884">
        <v>420.0</v>
      </c>
      <c r="H5884">
        <v>420.0</v>
      </c>
      <c r="I5884" t="s">
        <v>2206</v>
      </c>
      <c r="J5884" t="s">
        <v>49</v>
      </c>
      <c r="K5884" t="s">
        <v>31</v>
      </c>
      <c r="L5884" t="s">
        <v>32</v>
      </c>
      <c r="M5884" t="s">
        <v>33</v>
      </c>
      <c r="P5884" s="1" t="s">
        <v>19788</v>
      </c>
      <c r="Q5884" s="1" t="s">
        <v>19257</v>
      </c>
      <c r="R5884" s="1" t="s">
        <v>19257</v>
      </c>
      <c r="S5884" s="1"/>
      <c r="T5884" s="1" t="s">
        <v>6006</v>
      </c>
      <c r="U5884" s="1"/>
      <c r="V5884" s="1">
        <v>420.0</v>
      </c>
      <c r="W5884" s="1">
        <v>420.0</v>
      </c>
      <c r="X5884" s="1" t="s">
        <v>35</v>
      </c>
      <c r="Y5884" s="1">
        <v>420000</v>
      </c>
      <c r="Z5884" s="1"/>
      <c r="AA5884" s="1">
        <v>420000</v>
      </c>
      <c r="AB5884" s="1"/>
      <c r="AC5884" s="1" t="s">
        <v>36</v>
      </c>
      <c r="AD5884" s="1" t="s">
        <v>19789</v>
      </c>
      <c r="AE5884" s="1" t="s">
        <v>32</v>
      </c>
      <c r="AF5884" s="1" t="s">
        <v>33</v>
      </c>
      <c r="AG5884" s="1" t="s">
        <v>49</v>
      </c>
    </row>
    <row r="5885" spans="1:33">
      <c r="A5885" t="s">
        <v>19790</v>
      </c>
      <c r="C5885" t="s">
        <v>575</v>
      </c>
      <c r="E5885" t="s">
        <v>19257</v>
      </c>
      <c r="F5885" t="s">
        <v>19258</v>
      </c>
      <c r="G5885">
        <v>336.0</v>
      </c>
      <c r="H5885">
        <v>336.0</v>
      </c>
      <c r="I5885" t="s">
        <v>94</v>
      </c>
      <c r="J5885" t="s">
        <v>95</v>
      </c>
      <c r="K5885" t="s">
        <v>31</v>
      </c>
      <c r="L5885" t="s">
        <v>32</v>
      </c>
      <c r="M5885" t="s">
        <v>33</v>
      </c>
      <c r="P5885" s="1" t="s">
        <v>19791</v>
      </c>
      <c r="Q5885" s="1" t="s">
        <v>19257</v>
      </c>
      <c r="R5885" s="1" t="s">
        <v>19257</v>
      </c>
      <c r="S5885" s="1"/>
      <c r="T5885" s="1" t="s">
        <v>575</v>
      </c>
      <c r="U5885" s="1"/>
      <c r="V5885" s="1">
        <v>336.0</v>
      </c>
      <c r="W5885" s="1">
        <v>336.0</v>
      </c>
      <c r="X5885" s="1" t="s">
        <v>35</v>
      </c>
      <c r="Y5885" s="1">
        <v>336000</v>
      </c>
      <c r="Z5885" s="1"/>
      <c r="AA5885" s="1">
        <v>336000</v>
      </c>
      <c r="AB5885" s="1"/>
      <c r="AC5885" s="1" t="s">
        <v>36</v>
      </c>
      <c r="AD5885" s="1" t="s">
        <v>19792</v>
      </c>
      <c r="AE5885" s="1" t="s">
        <v>32</v>
      </c>
      <c r="AF5885" s="1" t="s">
        <v>33</v>
      </c>
      <c r="AG5885" s="1" t="s">
        <v>95</v>
      </c>
    </row>
    <row r="5886" spans="1:33">
      <c r="A5886" t="s">
        <v>19793</v>
      </c>
      <c r="B5886" t="s">
        <v>19794</v>
      </c>
      <c r="C5886" t="s">
        <v>47</v>
      </c>
      <c r="E5886" t="s">
        <v>19257</v>
      </c>
      <c r="F5886" t="s">
        <v>19258</v>
      </c>
      <c r="G5886">
        <v>32.99</v>
      </c>
      <c r="H5886">
        <v>32.99</v>
      </c>
      <c r="I5886" t="s">
        <v>2206</v>
      </c>
      <c r="J5886" t="s">
        <v>49</v>
      </c>
      <c r="K5886" t="s">
        <v>31</v>
      </c>
      <c r="L5886" t="s">
        <v>32</v>
      </c>
      <c r="M5886" t="s">
        <v>33</v>
      </c>
      <c r="P5886" s="1" t="s">
        <v>19795</v>
      </c>
      <c r="Q5886" s="1" t="s">
        <v>19257</v>
      </c>
      <c r="R5886" s="1" t="s">
        <v>19257</v>
      </c>
      <c r="S5886" s="1"/>
      <c r="T5886" s="1" t="s">
        <v>47</v>
      </c>
      <c r="U5886" s="1"/>
      <c r="V5886" s="1">
        <v>32.99</v>
      </c>
      <c r="W5886" s="1">
        <v>32.99</v>
      </c>
      <c r="X5886" s="1" t="s">
        <v>35</v>
      </c>
      <c r="Y5886" s="1">
        <v>32990</v>
      </c>
      <c r="Z5886" s="1"/>
      <c r="AA5886" s="1">
        <v>32990</v>
      </c>
      <c r="AB5886" s="1"/>
      <c r="AC5886" s="1" t="s">
        <v>36</v>
      </c>
      <c r="AD5886" s="1" t="s">
        <v>19796</v>
      </c>
      <c r="AE5886" s="1" t="s">
        <v>32</v>
      </c>
      <c r="AF5886" s="1" t="s">
        <v>33</v>
      </c>
      <c r="AG5886" s="1" t="s">
        <v>49</v>
      </c>
    </row>
    <row r="5887" spans="1:33">
      <c r="A5887" t="s">
        <v>19797</v>
      </c>
      <c r="B5887" t="s">
        <v>19798</v>
      </c>
      <c r="C5887" t="s">
        <v>172</v>
      </c>
      <c r="E5887" t="s">
        <v>19257</v>
      </c>
      <c r="F5887" t="s">
        <v>19258</v>
      </c>
      <c r="G5887">
        <v>68.98</v>
      </c>
      <c r="H5887">
        <v>68.98</v>
      </c>
      <c r="I5887" t="s">
        <v>173</v>
      </c>
      <c r="J5887" t="s">
        <v>174</v>
      </c>
      <c r="K5887" t="s">
        <v>31</v>
      </c>
      <c r="L5887" t="s">
        <v>32</v>
      </c>
      <c r="M5887" t="s">
        <v>33</v>
      </c>
      <c r="P5887" s="1" t="s">
        <v>19799</v>
      </c>
      <c r="Q5887" s="1" t="s">
        <v>19257</v>
      </c>
      <c r="R5887" s="1" t="s">
        <v>19257</v>
      </c>
      <c r="S5887" s="1"/>
      <c r="T5887" s="1" t="s">
        <v>172</v>
      </c>
      <c r="U5887" s="1"/>
      <c r="V5887" s="1">
        <v>68.98</v>
      </c>
      <c r="W5887" s="1">
        <v>68.98</v>
      </c>
      <c r="X5887" s="1" t="s">
        <v>35</v>
      </c>
      <c r="Y5887" s="1">
        <v>68980</v>
      </c>
      <c r="Z5887" s="1"/>
      <c r="AA5887" s="1">
        <v>68980</v>
      </c>
      <c r="AB5887" s="1"/>
      <c r="AC5887" s="1" t="s">
        <v>36</v>
      </c>
      <c r="AD5887" s="1" t="s">
        <v>19800</v>
      </c>
      <c r="AE5887" s="1" t="s">
        <v>32</v>
      </c>
      <c r="AF5887" s="1" t="s">
        <v>33</v>
      </c>
      <c r="AG5887" s="1" t="s">
        <v>174</v>
      </c>
    </row>
    <row r="5888" spans="1:33">
      <c r="A5888" t="s">
        <v>19801</v>
      </c>
      <c r="C5888" t="s">
        <v>2857</v>
      </c>
      <c r="E5888" t="s">
        <v>19257</v>
      </c>
      <c r="F5888" t="s">
        <v>19258</v>
      </c>
      <c r="G5888">
        <v>128.0</v>
      </c>
      <c r="H5888">
        <v>128.0</v>
      </c>
      <c r="I5888" t="s">
        <v>2206</v>
      </c>
      <c r="J5888" t="s">
        <v>49</v>
      </c>
      <c r="K5888" t="s">
        <v>31</v>
      </c>
      <c r="L5888" t="s">
        <v>32</v>
      </c>
      <c r="M5888" t="s">
        <v>33</v>
      </c>
      <c r="P5888" s="1" t="s">
        <v>19802</v>
      </c>
      <c r="Q5888" s="1" t="s">
        <v>19257</v>
      </c>
      <c r="R5888" s="1" t="s">
        <v>19257</v>
      </c>
      <c r="S5888" s="1"/>
      <c r="T5888" s="1" t="s">
        <v>2859</v>
      </c>
      <c r="U5888" s="1" t="s">
        <v>2255</v>
      </c>
      <c r="V5888" s="1">
        <v>128.0</v>
      </c>
      <c r="W5888" s="1">
        <v>128.0</v>
      </c>
      <c r="X5888" s="1" t="s">
        <v>35</v>
      </c>
      <c r="Y5888" s="1">
        <v>128000</v>
      </c>
      <c r="Z5888" s="1"/>
      <c r="AA5888" s="1">
        <v>128000</v>
      </c>
      <c r="AB5888" s="1"/>
      <c r="AC5888" s="1" t="s">
        <v>36</v>
      </c>
      <c r="AD5888" s="1" t="s">
        <v>19803</v>
      </c>
      <c r="AE5888" s="1" t="s">
        <v>1636</v>
      </c>
      <c r="AF5888" s="1" t="s">
        <v>33</v>
      </c>
      <c r="AG5888" s="1" t="s">
        <v>49</v>
      </c>
    </row>
    <row r="5889" spans="1:33">
      <c r="A5889" t="s">
        <v>19804</v>
      </c>
      <c r="B5889" t="s">
        <v>19805</v>
      </c>
      <c r="C5889" t="s">
        <v>12240</v>
      </c>
      <c r="E5889" t="s">
        <v>19257</v>
      </c>
      <c r="F5889" t="s">
        <v>19258</v>
      </c>
      <c r="G5889">
        <v>31.75</v>
      </c>
      <c r="H5889">
        <v>31.75</v>
      </c>
      <c r="I5889" t="s">
        <v>136</v>
      </c>
      <c r="J5889" t="s">
        <v>137</v>
      </c>
      <c r="K5889" t="s">
        <v>31</v>
      </c>
      <c r="L5889" t="s">
        <v>32</v>
      </c>
      <c r="M5889" t="s">
        <v>33</v>
      </c>
      <c r="P5889" s="1" t="s">
        <v>19806</v>
      </c>
      <c r="Q5889" s="1" t="s">
        <v>19257</v>
      </c>
      <c r="R5889" s="1" t="s">
        <v>19257</v>
      </c>
      <c r="S5889" s="1"/>
      <c r="T5889" s="1" t="s">
        <v>12240</v>
      </c>
      <c r="U5889" s="1"/>
      <c r="V5889" s="1">
        <v>31.75</v>
      </c>
      <c r="W5889" s="1">
        <v>31.75</v>
      </c>
      <c r="X5889" s="1" t="s">
        <v>35</v>
      </c>
      <c r="Y5889" s="1">
        <v>31750</v>
      </c>
      <c r="Z5889" s="1"/>
      <c r="AA5889" s="1">
        <v>31750</v>
      </c>
      <c r="AB5889" s="1"/>
      <c r="AC5889" s="1" t="s">
        <v>36</v>
      </c>
      <c r="AD5889" s="1" t="s">
        <v>19807</v>
      </c>
      <c r="AE5889" s="1" t="s">
        <v>32</v>
      </c>
      <c r="AF5889" s="1" t="s">
        <v>33</v>
      </c>
      <c r="AG5889" s="1" t="s">
        <v>137</v>
      </c>
    </row>
    <row r="5890" spans="1:33">
      <c r="A5890" t="s">
        <v>19808</v>
      </c>
      <c r="C5890" t="s">
        <v>19809</v>
      </c>
      <c r="E5890" t="s">
        <v>19257</v>
      </c>
      <c r="F5890" t="s">
        <v>19258</v>
      </c>
      <c r="G5890">
        <v>185.0</v>
      </c>
      <c r="H5890">
        <v>185.0</v>
      </c>
      <c r="I5890" t="s">
        <v>2206</v>
      </c>
      <c r="J5890" t="s">
        <v>49</v>
      </c>
      <c r="K5890" t="s">
        <v>31</v>
      </c>
      <c r="L5890" t="s">
        <v>32</v>
      </c>
      <c r="M5890" t="s">
        <v>33</v>
      </c>
      <c r="P5890" s="1" t="s">
        <v>19810</v>
      </c>
      <c r="Q5890" s="1" t="s">
        <v>19257</v>
      </c>
      <c r="R5890" s="1" t="s">
        <v>19257</v>
      </c>
      <c r="S5890" s="1"/>
      <c r="T5890" s="1" t="s">
        <v>19809</v>
      </c>
      <c r="U5890" s="1"/>
      <c r="V5890" s="1">
        <v>185.0</v>
      </c>
      <c r="W5890" s="1">
        <v>185.0</v>
      </c>
      <c r="X5890" s="1" t="s">
        <v>35</v>
      </c>
      <c r="Y5890" s="1">
        <v>185000</v>
      </c>
      <c r="Z5890" s="1"/>
      <c r="AA5890" s="1">
        <v>185000</v>
      </c>
      <c r="AB5890" s="1"/>
      <c r="AC5890" s="1" t="s">
        <v>36</v>
      </c>
      <c r="AD5890" s="1" t="s">
        <v>19811</v>
      </c>
      <c r="AE5890" s="1" t="s">
        <v>1636</v>
      </c>
      <c r="AF5890" s="1" t="s">
        <v>33</v>
      </c>
      <c r="AG5890" s="1" t="s">
        <v>49</v>
      </c>
    </row>
    <row r="5891" spans="1:33">
      <c r="A5891" t="s">
        <v>19812</v>
      </c>
      <c r="B5891" t="s">
        <v>19261</v>
      </c>
      <c r="C5891" t="s">
        <v>4179</v>
      </c>
      <c r="E5891" t="s">
        <v>19257</v>
      </c>
      <c r="F5891" t="s">
        <v>16399</v>
      </c>
      <c r="G5891">
        <v>815.5</v>
      </c>
      <c r="H5891">
        <v>815.5</v>
      </c>
      <c r="I5891" t="s">
        <v>529</v>
      </c>
      <c r="J5891" t="s">
        <v>530</v>
      </c>
      <c r="K5891" t="s">
        <v>31</v>
      </c>
      <c r="L5891" t="s">
        <v>32</v>
      </c>
      <c r="M5891" t="s">
        <v>33</v>
      </c>
      <c r="P5891" s="1" t="s">
        <v>19813</v>
      </c>
      <c r="Q5891" s="1" t="s">
        <v>19257</v>
      </c>
      <c r="R5891" s="1" t="s">
        <v>18429</v>
      </c>
      <c r="S5891" s="1"/>
      <c r="T5891" s="1" t="s">
        <v>4179</v>
      </c>
      <c r="U5891" s="1"/>
      <c r="V5891" s="1">
        <v>815.5</v>
      </c>
      <c r="W5891" s="1">
        <v>815.5</v>
      </c>
      <c r="X5891" s="1" t="s">
        <v>35</v>
      </c>
      <c r="Y5891" s="1">
        <v>815500</v>
      </c>
      <c r="Z5891" s="1"/>
      <c r="AA5891" s="1">
        <v>815500</v>
      </c>
      <c r="AB5891" s="1"/>
      <c r="AC5891" s="1" t="s">
        <v>36</v>
      </c>
      <c r="AD5891" s="1" t="s">
        <v>19814</v>
      </c>
      <c r="AE5891" s="1" t="s">
        <v>32</v>
      </c>
      <c r="AF5891" s="1" t="s">
        <v>33</v>
      </c>
      <c r="AG5891" s="1" t="s">
        <v>530</v>
      </c>
    </row>
    <row r="5892" spans="1:33">
      <c r="A5892" t="s">
        <v>19815</v>
      </c>
      <c r="C5892" t="s">
        <v>19816</v>
      </c>
      <c r="E5892" t="s">
        <v>19257</v>
      </c>
      <c r="F5892" t="s">
        <v>19258</v>
      </c>
      <c r="G5892">
        <v>820.0</v>
      </c>
      <c r="H5892">
        <v>820.0</v>
      </c>
      <c r="I5892" t="s">
        <v>269</v>
      </c>
      <c r="J5892" t="s">
        <v>270</v>
      </c>
      <c r="K5892" t="s">
        <v>31</v>
      </c>
      <c r="L5892" t="s">
        <v>32</v>
      </c>
      <c r="M5892" t="s">
        <v>33</v>
      </c>
      <c r="P5892" s="1" t="s">
        <v>19817</v>
      </c>
      <c r="Q5892" s="1" t="s">
        <v>19257</v>
      </c>
      <c r="R5892" s="1" t="s">
        <v>19257</v>
      </c>
      <c r="S5892" s="1"/>
      <c r="T5892" s="1" t="s">
        <v>19818</v>
      </c>
      <c r="U5892" s="1" t="s">
        <v>19819</v>
      </c>
      <c r="V5892" s="1">
        <v>820.0</v>
      </c>
      <c r="W5892" s="1">
        <v>820.0</v>
      </c>
      <c r="X5892" s="1" t="s">
        <v>35</v>
      </c>
      <c r="Y5892" s="1">
        <v>820000</v>
      </c>
      <c r="Z5892" s="1"/>
      <c r="AA5892" s="1">
        <v>820000</v>
      </c>
      <c r="AB5892" s="1"/>
      <c r="AC5892" s="1" t="s">
        <v>36</v>
      </c>
      <c r="AD5892" s="1" t="s">
        <v>19814</v>
      </c>
      <c r="AE5892" s="1" t="s">
        <v>32</v>
      </c>
      <c r="AF5892" s="1" t="s">
        <v>33</v>
      </c>
      <c r="AG5892" s="1" t="s">
        <v>270</v>
      </c>
    </row>
    <row r="5893" spans="1:33">
      <c r="A5893" t="s">
        <v>19820</v>
      </c>
      <c r="C5893" t="s">
        <v>2857</v>
      </c>
      <c r="E5893" t="s">
        <v>19257</v>
      </c>
      <c r="F5893" t="s">
        <v>19258</v>
      </c>
      <c r="G5893">
        <v>2.612</v>
      </c>
      <c r="H5893">
        <v>2.612</v>
      </c>
      <c r="I5893" t="s">
        <v>2206</v>
      </c>
      <c r="J5893" t="s">
        <v>49</v>
      </c>
      <c r="K5893" t="s">
        <v>31</v>
      </c>
      <c r="L5893" t="s">
        <v>32</v>
      </c>
      <c r="M5893" t="s">
        <v>33</v>
      </c>
      <c r="P5893" s="1" t="s">
        <v>19821</v>
      </c>
      <c r="Q5893" s="1" t="s">
        <v>19257</v>
      </c>
      <c r="R5893" s="1" t="s">
        <v>19257</v>
      </c>
      <c r="S5893" s="1"/>
      <c r="T5893" s="1" t="s">
        <v>2859</v>
      </c>
      <c r="U5893" s="1" t="s">
        <v>2255</v>
      </c>
      <c r="V5893" s="1">
        <v>2.612</v>
      </c>
      <c r="W5893" s="1">
        <v>2.612</v>
      </c>
      <c r="X5893" s="1" t="s">
        <v>35</v>
      </c>
      <c r="Y5893" s="1">
        <v>2612250</v>
      </c>
      <c r="Z5893" s="1"/>
      <c r="AA5893" s="1">
        <v>2612250</v>
      </c>
      <c r="AB5893" s="1"/>
      <c r="AC5893" s="1" t="s">
        <v>36</v>
      </c>
      <c r="AD5893" s="1" t="s">
        <v>19822</v>
      </c>
      <c r="AE5893" s="1" t="s">
        <v>32</v>
      </c>
      <c r="AF5893" s="1" t="s">
        <v>33</v>
      </c>
      <c r="AG5893" s="1" t="s">
        <v>49</v>
      </c>
    </row>
    <row r="5894" spans="1:33">
      <c r="A5894" t="s">
        <v>19823</v>
      </c>
      <c r="B5894" t="s">
        <v>19824</v>
      </c>
      <c r="C5894" t="s">
        <v>9058</v>
      </c>
      <c r="E5894" t="s">
        <v>19257</v>
      </c>
      <c r="F5894" t="s">
        <v>19258</v>
      </c>
      <c r="G5894">
        <v>26.0</v>
      </c>
      <c r="H5894">
        <v>26.0</v>
      </c>
      <c r="I5894" t="s">
        <v>269</v>
      </c>
      <c r="J5894" t="s">
        <v>270</v>
      </c>
      <c r="K5894" t="s">
        <v>31</v>
      </c>
      <c r="L5894" t="s">
        <v>32</v>
      </c>
      <c r="M5894" t="s">
        <v>33</v>
      </c>
      <c r="P5894" s="1" t="s">
        <v>19825</v>
      </c>
      <c r="Q5894" s="1" t="s">
        <v>19257</v>
      </c>
      <c r="R5894" s="1" t="s">
        <v>19257</v>
      </c>
      <c r="S5894" s="1"/>
      <c r="T5894" s="1" t="s">
        <v>9058</v>
      </c>
      <c r="U5894" s="1"/>
      <c r="V5894" s="1">
        <v>26.0</v>
      </c>
      <c r="W5894" s="1">
        <v>26.0</v>
      </c>
      <c r="X5894" s="1" t="s">
        <v>35</v>
      </c>
      <c r="Y5894" s="1">
        <v>26000</v>
      </c>
      <c r="Z5894" s="1"/>
      <c r="AA5894" s="1">
        <v>26000</v>
      </c>
      <c r="AB5894" s="1"/>
      <c r="AC5894" s="1" t="s">
        <v>36</v>
      </c>
      <c r="AD5894" s="1" t="s">
        <v>19826</v>
      </c>
      <c r="AE5894" s="1" t="s">
        <v>32</v>
      </c>
      <c r="AF5894" s="1" t="s">
        <v>33</v>
      </c>
      <c r="AG5894" s="1" t="s">
        <v>270</v>
      </c>
    </row>
    <row r="5895" spans="1:33">
      <c r="A5895" t="s">
        <v>19827</v>
      </c>
      <c r="B5895" t="s">
        <v>19828</v>
      </c>
      <c r="C5895" t="s">
        <v>172</v>
      </c>
      <c r="E5895" t="s">
        <v>19257</v>
      </c>
      <c r="F5895" t="s">
        <v>19258</v>
      </c>
      <c r="G5895">
        <v>87.96</v>
      </c>
      <c r="H5895">
        <v>87.96</v>
      </c>
      <c r="I5895" t="s">
        <v>173</v>
      </c>
      <c r="J5895" t="s">
        <v>174</v>
      </c>
      <c r="K5895" t="s">
        <v>31</v>
      </c>
      <c r="L5895" t="s">
        <v>32</v>
      </c>
      <c r="M5895" t="s">
        <v>33</v>
      </c>
      <c r="P5895" s="1" t="s">
        <v>19829</v>
      </c>
      <c r="Q5895" s="1" t="s">
        <v>19257</v>
      </c>
      <c r="R5895" s="1" t="s">
        <v>19257</v>
      </c>
      <c r="S5895" s="1"/>
      <c r="T5895" s="1" t="s">
        <v>172</v>
      </c>
      <c r="U5895" s="1"/>
      <c r="V5895" s="1">
        <v>87.96</v>
      </c>
      <c r="W5895" s="1">
        <v>87.96</v>
      </c>
      <c r="X5895" s="1" t="s">
        <v>35</v>
      </c>
      <c r="Y5895" s="1">
        <v>87960</v>
      </c>
      <c r="Z5895" s="1"/>
      <c r="AA5895" s="1">
        <v>87960</v>
      </c>
      <c r="AB5895" s="1"/>
      <c r="AC5895" s="1" t="s">
        <v>36</v>
      </c>
      <c r="AD5895" s="1" t="s">
        <v>19830</v>
      </c>
      <c r="AE5895" s="1" t="s">
        <v>32</v>
      </c>
      <c r="AF5895" s="1" t="s">
        <v>33</v>
      </c>
      <c r="AG5895" s="1" t="s">
        <v>174</v>
      </c>
    </row>
    <row r="5896" spans="1:33">
      <c r="A5896" t="s">
        <v>19831</v>
      </c>
      <c r="B5896" t="s">
        <v>19832</v>
      </c>
      <c r="C5896" t="s">
        <v>268</v>
      </c>
      <c r="E5896" t="s">
        <v>19257</v>
      </c>
      <c r="F5896" t="s">
        <v>19258</v>
      </c>
      <c r="G5896">
        <v>16.9</v>
      </c>
      <c r="H5896">
        <v>16.9</v>
      </c>
      <c r="I5896" t="s">
        <v>269</v>
      </c>
      <c r="J5896" t="s">
        <v>270</v>
      </c>
      <c r="K5896" t="s">
        <v>31</v>
      </c>
      <c r="L5896" t="s">
        <v>32</v>
      </c>
      <c r="M5896" t="s">
        <v>33</v>
      </c>
      <c r="P5896" s="1" t="s">
        <v>19833</v>
      </c>
      <c r="Q5896" s="1" t="s">
        <v>19257</v>
      </c>
      <c r="R5896" s="1" t="s">
        <v>19257</v>
      </c>
      <c r="S5896" s="1"/>
      <c r="T5896" s="1" t="s">
        <v>268</v>
      </c>
      <c r="U5896" s="1"/>
      <c r="V5896" s="1">
        <v>16.9</v>
      </c>
      <c r="W5896" s="1">
        <v>16.9</v>
      </c>
      <c r="X5896" s="1" t="s">
        <v>35</v>
      </c>
      <c r="Y5896" s="1">
        <v>16900</v>
      </c>
      <c r="Z5896" s="1"/>
      <c r="AA5896" s="1">
        <v>16900</v>
      </c>
      <c r="AB5896" s="1"/>
      <c r="AC5896" s="1" t="s">
        <v>36</v>
      </c>
      <c r="AD5896" s="1" t="s">
        <v>19834</v>
      </c>
      <c r="AE5896" s="1" t="s">
        <v>32</v>
      </c>
      <c r="AF5896" s="1" t="s">
        <v>33</v>
      </c>
      <c r="AG5896" s="1" t="s">
        <v>270</v>
      </c>
    </row>
    <row r="5897" spans="1:33">
      <c r="A5897" t="s">
        <v>19835</v>
      </c>
      <c r="C5897" t="s">
        <v>797</v>
      </c>
      <c r="D5897" t="s">
        <v>798</v>
      </c>
      <c r="E5897" t="s">
        <v>19257</v>
      </c>
      <c r="F5897" t="s">
        <v>19258</v>
      </c>
      <c r="G5897">
        <v>328.0</v>
      </c>
      <c r="H5897">
        <v>328.0</v>
      </c>
      <c r="I5897" t="s">
        <v>269</v>
      </c>
      <c r="J5897" t="s">
        <v>270</v>
      </c>
      <c r="K5897" t="s">
        <v>31</v>
      </c>
      <c r="L5897" t="s">
        <v>32</v>
      </c>
      <c r="M5897" t="s">
        <v>33</v>
      </c>
      <c r="P5897" s="1" t="s">
        <v>19836</v>
      </c>
      <c r="Q5897" s="1" t="s">
        <v>19257</v>
      </c>
      <c r="R5897" s="1" t="s">
        <v>19257</v>
      </c>
      <c r="S5897" s="1"/>
      <c r="T5897" s="1" t="s">
        <v>797</v>
      </c>
      <c r="U5897" s="1"/>
      <c r="V5897" s="1">
        <v>328.0</v>
      </c>
      <c r="W5897" s="1">
        <v>328.0</v>
      </c>
      <c r="X5897" s="1" t="s">
        <v>35</v>
      </c>
      <c r="Y5897" s="1">
        <v>328000</v>
      </c>
      <c r="Z5897" s="1"/>
      <c r="AA5897" s="1">
        <v>328000</v>
      </c>
      <c r="AB5897" s="1"/>
      <c r="AC5897" s="1" t="s">
        <v>36</v>
      </c>
      <c r="AD5897" s="1" t="s">
        <v>19826</v>
      </c>
      <c r="AE5897" s="1" t="s">
        <v>32</v>
      </c>
      <c r="AF5897" s="1" t="s">
        <v>33</v>
      </c>
      <c r="AG5897" s="1" t="s">
        <v>270</v>
      </c>
    </row>
    <row r="5898" spans="1:33">
      <c r="A5898" t="s">
        <v>19837</v>
      </c>
      <c r="C5898" t="s">
        <v>6485</v>
      </c>
      <c r="E5898" t="s">
        <v>19257</v>
      </c>
      <c r="F5898" t="s">
        <v>19258</v>
      </c>
      <c r="G5898">
        <v>394.5</v>
      </c>
      <c r="H5898">
        <v>394.5</v>
      </c>
      <c r="I5898" t="s">
        <v>2206</v>
      </c>
      <c r="J5898" t="s">
        <v>49</v>
      </c>
      <c r="K5898" t="s">
        <v>31</v>
      </c>
      <c r="L5898" t="s">
        <v>32</v>
      </c>
      <c r="M5898" t="s">
        <v>33</v>
      </c>
      <c r="P5898" s="1" t="s">
        <v>19838</v>
      </c>
      <c r="Q5898" s="1" t="s">
        <v>19257</v>
      </c>
      <c r="R5898" s="1" t="s">
        <v>19257</v>
      </c>
      <c r="S5898" s="1"/>
      <c r="T5898" s="1" t="s">
        <v>6485</v>
      </c>
      <c r="U5898" s="1"/>
      <c r="V5898" s="1">
        <v>394.5</v>
      </c>
      <c r="W5898" s="1">
        <v>394.5</v>
      </c>
      <c r="X5898" s="1" t="s">
        <v>35</v>
      </c>
      <c r="Y5898" s="1">
        <v>394500</v>
      </c>
      <c r="Z5898" s="1"/>
      <c r="AA5898" s="1">
        <v>394500</v>
      </c>
      <c r="AB5898" s="1"/>
      <c r="AC5898" s="1" t="s">
        <v>36</v>
      </c>
      <c r="AD5898" s="1" t="s">
        <v>19839</v>
      </c>
      <c r="AE5898" s="1" t="s">
        <v>32</v>
      </c>
      <c r="AF5898" s="1" t="s">
        <v>33</v>
      </c>
      <c r="AG5898" s="1" t="s">
        <v>49</v>
      </c>
    </row>
    <row r="5899" spans="1:33">
      <c r="A5899" t="s">
        <v>19840</v>
      </c>
      <c r="B5899" t="s">
        <v>19841</v>
      </c>
      <c r="C5899" t="s">
        <v>73</v>
      </c>
      <c r="E5899" t="s">
        <v>19257</v>
      </c>
      <c r="F5899" t="s">
        <v>19258</v>
      </c>
      <c r="G5899">
        <v>21.99</v>
      </c>
      <c r="H5899">
        <v>21.99</v>
      </c>
      <c r="I5899" t="s">
        <v>40</v>
      </c>
      <c r="J5899" t="s">
        <v>41</v>
      </c>
      <c r="K5899" t="s">
        <v>31</v>
      </c>
      <c r="L5899" t="s">
        <v>32</v>
      </c>
      <c r="M5899" t="s">
        <v>33</v>
      </c>
      <c r="P5899" s="1" t="s">
        <v>19842</v>
      </c>
      <c r="Q5899" s="1" t="s">
        <v>19257</v>
      </c>
      <c r="R5899" s="1" t="s">
        <v>18429</v>
      </c>
      <c r="S5899" s="1"/>
      <c r="T5899" s="1" t="s">
        <v>75</v>
      </c>
      <c r="U5899" s="1" t="s">
        <v>76</v>
      </c>
      <c r="V5899" s="1">
        <v>21.99</v>
      </c>
      <c r="W5899" s="1">
        <v>21.99</v>
      </c>
      <c r="X5899" s="1" t="s">
        <v>35</v>
      </c>
      <c r="Y5899" s="1">
        <v>21990</v>
      </c>
      <c r="Z5899" s="1"/>
      <c r="AA5899" s="1">
        <v>21990</v>
      </c>
      <c r="AB5899" s="1"/>
      <c r="AC5899" s="1" t="s">
        <v>36</v>
      </c>
      <c r="AD5899" s="1" t="s">
        <v>19843</v>
      </c>
      <c r="AE5899" s="1" t="s">
        <v>32</v>
      </c>
      <c r="AF5899" s="1" t="s">
        <v>33</v>
      </c>
      <c r="AG5899" s="1" t="s">
        <v>41</v>
      </c>
    </row>
    <row r="5900" spans="1:33">
      <c r="A5900" t="s">
        <v>19844</v>
      </c>
      <c r="B5900" t="s">
        <v>19845</v>
      </c>
      <c r="C5900" t="s">
        <v>131</v>
      </c>
      <c r="E5900" t="s">
        <v>19257</v>
      </c>
      <c r="F5900" t="s">
        <v>19258</v>
      </c>
      <c r="G5900">
        <v>56.98</v>
      </c>
      <c r="H5900">
        <v>56.98</v>
      </c>
      <c r="I5900" t="s">
        <v>94</v>
      </c>
      <c r="J5900" t="s">
        <v>95</v>
      </c>
      <c r="K5900" t="s">
        <v>31</v>
      </c>
      <c r="L5900" t="s">
        <v>32</v>
      </c>
      <c r="M5900" t="s">
        <v>33</v>
      </c>
      <c r="P5900" s="1" t="s">
        <v>19846</v>
      </c>
      <c r="Q5900" s="1" t="s">
        <v>19257</v>
      </c>
      <c r="R5900" s="1" t="s">
        <v>19257</v>
      </c>
      <c r="S5900" s="1"/>
      <c r="T5900" s="1" t="s">
        <v>131</v>
      </c>
      <c r="U5900" s="1"/>
      <c r="V5900" s="1">
        <v>56.98</v>
      </c>
      <c r="W5900" s="1">
        <v>56.98</v>
      </c>
      <c r="X5900" s="1" t="s">
        <v>35</v>
      </c>
      <c r="Y5900" s="1">
        <v>56980</v>
      </c>
      <c r="Z5900" s="1"/>
      <c r="AA5900" s="1">
        <v>56980</v>
      </c>
      <c r="AB5900" s="1"/>
      <c r="AC5900" s="1" t="s">
        <v>36</v>
      </c>
      <c r="AD5900" s="1" t="s">
        <v>19847</v>
      </c>
      <c r="AE5900" s="1" t="s">
        <v>32</v>
      </c>
      <c r="AF5900" s="1" t="s">
        <v>33</v>
      </c>
      <c r="AG5900" s="1" t="s">
        <v>95</v>
      </c>
    </row>
    <row r="5901" spans="1:33">
      <c r="A5901" t="s">
        <v>19848</v>
      </c>
      <c r="C5901" t="s">
        <v>2842</v>
      </c>
      <c r="E5901" t="s">
        <v>19257</v>
      </c>
      <c r="F5901" t="s">
        <v>19258</v>
      </c>
      <c r="G5901">
        <v>824.0</v>
      </c>
      <c r="H5901">
        <v>824.0</v>
      </c>
      <c r="I5901" t="s">
        <v>2206</v>
      </c>
      <c r="J5901" t="s">
        <v>49</v>
      </c>
      <c r="K5901" t="s">
        <v>31</v>
      </c>
      <c r="L5901" t="s">
        <v>32</v>
      </c>
      <c r="M5901" t="s">
        <v>33</v>
      </c>
      <c r="P5901" s="1" t="s">
        <v>19849</v>
      </c>
      <c r="Q5901" s="1" t="s">
        <v>19257</v>
      </c>
      <c r="R5901" s="1" t="s">
        <v>19257</v>
      </c>
      <c r="S5901" s="1"/>
      <c r="T5901" s="1" t="s">
        <v>2842</v>
      </c>
      <c r="U5901" s="1"/>
      <c r="V5901" s="1">
        <v>824.0</v>
      </c>
      <c r="W5901" s="1">
        <v>824.0</v>
      </c>
      <c r="X5901" s="1" t="s">
        <v>35</v>
      </c>
      <c r="Y5901" s="1">
        <v>824000</v>
      </c>
      <c r="Z5901" s="1"/>
      <c r="AA5901" s="1">
        <v>824000</v>
      </c>
      <c r="AB5901" s="1"/>
      <c r="AC5901" s="1" t="s">
        <v>36</v>
      </c>
      <c r="AD5901" s="1" t="s">
        <v>19850</v>
      </c>
      <c r="AE5901" s="1" t="s">
        <v>32</v>
      </c>
      <c r="AF5901" s="1" t="s">
        <v>33</v>
      </c>
      <c r="AG5901" s="1" t="s">
        <v>49</v>
      </c>
    </row>
    <row r="5902" spans="1:33">
      <c r="A5902" t="s">
        <v>19851</v>
      </c>
      <c r="B5902" t="s">
        <v>19852</v>
      </c>
      <c r="C5902" t="s">
        <v>172</v>
      </c>
      <c r="E5902" t="s">
        <v>19257</v>
      </c>
      <c r="F5902" t="s">
        <v>19258</v>
      </c>
      <c r="G5902">
        <v>20.99</v>
      </c>
      <c r="H5902">
        <v>20.99</v>
      </c>
      <c r="I5902" t="s">
        <v>173</v>
      </c>
      <c r="J5902" t="s">
        <v>174</v>
      </c>
      <c r="K5902" t="s">
        <v>31</v>
      </c>
      <c r="L5902" t="s">
        <v>32</v>
      </c>
      <c r="M5902" t="s">
        <v>33</v>
      </c>
      <c r="P5902" s="1" t="s">
        <v>19853</v>
      </c>
      <c r="Q5902" s="1" t="s">
        <v>19257</v>
      </c>
      <c r="R5902" s="1" t="s">
        <v>19257</v>
      </c>
      <c r="S5902" s="1"/>
      <c r="T5902" s="1" t="s">
        <v>172</v>
      </c>
      <c r="U5902" s="1"/>
      <c r="V5902" s="1">
        <v>20.99</v>
      </c>
      <c r="W5902" s="1">
        <v>20.99</v>
      </c>
      <c r="X5902" s="1" t="s">
        <v>35</v>
      </c>
      <c r="Y5902" s="1">
        <v>20990</v>
      </c>
      <c r="Z5902" s="1"/>
      <c r="AA5902" s="1">
        <v>20990</v>
      </c>
      <c r="AB5902" s="1"/>
      <c r="AC5902" s="1" t="s">
        <v>36</v>
      </c>
      <c r="AD5902" s="1" t="s">
        <v>19854</v>
      </c>
      <c r="AE5902" s="1" t="s">
        <v>32</v>
      </c>
      <c r="AF5902" s="1" t="s">
        <v>33</v>
      </c>
      <c r="AG5902" s="1" t="s">
        <v>174</v>
      </c>
    </row>
    <row r="5903" spans="1:33">
      <c r="A5903" t="s">
        <v>19855</v>
      </c>
      <c r="C5903" t="s">
        <v>19856</v>
      </c>
      <c r="E5903" t="s">
        <v>19257</v>
      </c>
      <c r="F5903" t="s">
        <v>19258</v>
      </c>
      <c r="G5903">
        <v>1.36</v>
      </c>
      <c r="H5903">
        <v>1.36</v>
      </c>
      <c r="I5903" t="s">
        <v>570</v>
      </c>
      <c r="J5903" t="s">
        <v>571</v>
      </c>
      <c r="K5903" t="s">
        <v>31</v>
      </c>
      <c r="L5903" t="s">
        <v>32</v>
      </c>
      <c r="M5903" t="s">
        <v>33</v>
      </c>
      <c r="P5903" s="1" t="s">
        <v>19857</v>
      </c>
      <c r="Q5903" s="1" t="s">
        <v>19257</v>
      </c>
      <c r="R5903" s="1" t="s">
        <v>19257</v>
      </c>
      <c r="S5903" s="1"/>
      <c r="T5903" s="1" t="s">
        <v>19856</v>
      </c>
      <c r="U5903" s="1"/>
      <c r="V5903" s="1">
        <v>1.36</v>
      </c>
      <c r="W5903" s="1">
        <v>1.36</v>
      </c>
      <c r="X5903" s="1" t="s">
        <v>35</v>
      </c>
      <c r="Y5903" s="1">
        <v>1360</v>
      </c>
      <c r="Z5903" s="1"/>
      <c r="AA5903" s="1">
        <v>1360</v>
      </c>
      <c r="AB5903" s="1"/>
      <c r="AC5903" s="1" t="s">
        <v>36</v>
      </c>
      <c r="AD5903" s="1" t="s">
        <v>19858</v>
      </c>
      <c r="AE5903" s="1" t="s">
        <v>1636</v>
      </c>
      <c r="AF5903" s="1" t="s">
        <v>33</v>
      </c>
      <c r="AG5903" s="1" t="s">
        <v>571</v>
      </c>
    </row>
    <row r="5904" spans="1:33">
      <c r="A5904" t="s">
        <v>19859</v>
      </c>
      <c r="C5904" t="s">
        <v>4585</v>
      </c>
      <c r="E5904" t="s">
        <v>19257</v>
      </c>
      <c r="F5904" t="s">
        <v>19258</v>
      </c>
      <c r="G5904">
        <v>438.0</v>
      </c>
      <c r="H5904">
        <v>438.0</v>
      </c>
      <c r="I5904" t="s">
        <v>269</v>
      </c>
      <c r="J5904" t="s">
        <v>270</v>
      </c>
      <c r="K5904" t="s">
        <v>31</v>
      </c>
      <c r="L5904" t="s">
        <v>32</v>
      </c>
      <c r="M5904" t="s">
        <v>33</v>
      </c>
      <c r="P5904" s="1" t="s">
        <v>19860</v>
      </c>
      <c r="Q5904" s="1" t="s">
        <v>19257</v>
      </c>
      <c r="R5904" s="1" t="s">
        <v>19257</v>
      </c>
      <c r="S5904" s="1"/>
      <c r="T5904" s="1" t="s">
        <v>4585</v>
      </c>
      <c r="U5904" s="1"/>
      <c r="V5904" s="1">
        <v>438.0</v>
      </c>
      <c r="W5904" s="1">
        <v>438.0</v>
      </c>
      <c r="X5904" s="1" t="s">
        <v>35</v>
      </c>
      <c r="Y5904" s="1">
        <v>438000</v>
      </c>
      <c r="Z5904" s="1"/>
      <c r="AA5904" s="1">
        <v>438000</v>
      </c>
      <c r="AB5904" s="1"/>
      <c r="AC5904" s="1" t="s">
        <v>36</v>
      </c>
      <c r="AD5904" s="1" t="s">
        <v>19861</v>
      </c>
      <c r="AE5904" s="1" t="s">
        <v>32</v>
      </c>
      <c r="AF5904" s="1" t="s">
        <v>33</v>
      </c>
      <c r="AG5904" s="1" t="s">
        <v>270</v>
      </c>
    </row>
    <row r="5905" spans="1:33">
      <c r="A5905" t="s">
        <v>19862</v>
      </c>
      <c r="C5905" t="s">
        <v>1947</v>
      </c>
      <c r="D5905" t="s">
        <v>154</v>
      </c>
      <c r="E5905" t="s">
        <v>19257</v>
      </c>
      <c r="F5905" t="s">
        <v>19258</v>
      </c>
      <c r="G5905">
        <v>2.915</v>
      </c>
      <c r="H5905">
        <v>2.915</v>
      </c>
      <c r="I5905" t="s">
        <v>227</v>
      </c>
      <c r="J5905" t="s">
        <v>228</v>
      </c>
      <c r="K5905" t="s">
        <v>31</v>
      </c>
      <c r="L5905" t="s">
        <v>32</v>
      </c>
      <c r="M5905" t="s">
        <v>33</v>
      </c>
      <c r="P5905" s="1" t="s">
        <v>19863</v>
      </c>
      <c r="Q5905" s="1" t="s">
        <v>19257</v>
      </c>
      <c r="R5905" s="1" t="s">
        <v>19257</v>
      </c>
      <c r="S5905" s="1"/>
      <c r="T5905" s="1" t="s">
        <v>1947</v>
      </c>
      <c r="U5905" s="1"/>
      <c r="V5905" s="1">
        <v>2.915</v>
      </c>
      <c r="W5905" s="1">
        <v>2.915</v>
      </c>
      <c r="X5905" s="1" t="s">
        <v>35</v>
      </c>
      <c r="Y5905" s="1">
        <v>2915000</v>
      </c>
      <c r="Z5905" s="1"/>
      <c r="AA5905" s="1">
        <v>2915000</v>
      </c>
      <c r="AB5905" s="1"/>
      <c r="AC5905" s="1" t="s">
        <v>36</v>
      </c>
      <c r="AD5905" s="1" t="s">
        <v>19861</v>
      </c>
      <c r="AE5905" s="1" t="s">
        <v>32</v>
      </c>
      <c r="AF5905" s="1" t="s">
        <v>33</v>
      </c>
      <c r="AG5905" s="1" t="s">
        <v>228</v>
      </c>
    </row>
    <row r="5906" spans="1:33">
      <c r="A5906" t="s">
        <v>19864</v>
      </c>
      <c r="B5906" t="s">
        <v>14972</v>
      </c>
      <c r="C5906" t="s">
        <v>14973</v>
      </c>
      <c r="E5906" t="s">
        <v>19257</v>
      </c>
      <c r="F5906" t="s">
        <v>19258</v>
      </c>
      <c r="G5906">
        <v>1.68</v>
      </c>
      <c r="H5906">
        <v>1.68</v>
      </c>
      <c r="I5906" t="s">
        <v>29</v>
      </c>
      <c r="J5906" t="s">
        <v>30</v>
      </c>
      <c r="K5906" t="s">
        <v>31</v>
      </c>
      <c r="L5906" t="s">
        <v>32</v>
      </c>
      <c r="M5906" t="s">
        <v>33</v>
      </c>
      <c r="P5906" s="1" t="s">
        <v>19865</v>
      </c>
      <c r="Q5906" s="1" t="s">
        <v>19257</v>
      </c>
      <c r="R5906" s="1" t="s">
        <v>19257</v>
      </c>
      <c r="S5906" s="1"/>
      <c r="T5906" s="1" t="s">
        <v>14973</v>
      </c>
      <c r="U5906" s="1"/>
      <c r="V5906" s="1">
        <v>1.68</v>
      </c>
      <c r="W5906" s="1">
        <v>1.68</v>
      </c>
      <c r="X5906" s="1" t="s">
        <v>35</v>
      </c>
      <c r="Y5906" s="1">
        <v>1680000</v>
      </c>
      <c r="Z5906" s="1"/>
      <c r="AA5906" s="1">
        <v>1680000</v>
      </c>
      <c r="AB5906" s="1"/>
      <c r="AC5906" s="1" t="s">
        <v>36</v>
      </c>
      <c r="AD5906" s="1" t="s">
        <v>19866</v>
      </c>
      <c r="AE5906" s="1" t="s">
        <v>1636</v>
      </c>
      <c r="AF5906" s="1" t="s">
        <v>33</v>
      </c>
      <c r="AG5906" s="1" t="s">
        <v>30</v>
      </c>
    </row>
    <row r="5907" spans="1:33">
      <c r="A5907" t="s">
        <v>19867</v>
      </c>
      <c r="C5907" t="s">
        <v>670</v>
      </c>
      <c r="E5907" t="s">
        <v>19257</v>
      </c>
      <c r="F5907" t="s">
        <v>19258</v>
      </c>
      <c r="G5907">
        <v>328.0</v>
      </c>
      <c r="H5907">
        <v>328.0</v>
      </c>
      <c r="I5907" t="s">
        <v>269</v>
      </c>
      <c r="J5907" t="s">
        <v>270</v>
      </c>
      <c r="K5907" t="s">
        <v>31</v>
      </c>
      <c r="L5907" t="s">
        <v>32</v>
      </c>
      <c r="M5907" t="s">
        <v>33</v>
      </c>
      <c r="P5907" s="1" t="s">
        <v>19868</v>
      </c>
      <c r="Q5907" s="1" t="s">
        <v>19257</v>
      </c>
      <c r="R5907" s="1" t="s">
        <v>19257</v>
      </c>
      <c r="S5907" s="1"/>
      <c r="T5907" s="1" t="s">
        <v>670</v>
      </c>
      <c r="U5907" s="1"/>
      <c r="V5907" s="1">
        <v>328.0</v>
      </c>
      <c r="W5907" s="1">
        <v>328.0</v>
      </c>
      <c r="X5907" s="1" t="s">
        <v>35</v>
      </c>
      <c r="Y5907" s="1">
        <v>328000</v>
      </c>
      <c r="Z5907" s="1"/>
      <c r="AA5907" s="1">
        <v>328000</v>
      </c>
      <c r="AB5907" s="1"/>
      <c r="AC5907" s="1" t="s">
        <v>36</v>
      </c>
      <c r="AD5907" s="1" t="s">
        <v>19869</v>
      </c>
      <c r="AE5907" s="1" t="s">
        <v>32</v>
      </c>
      <c r="AF5907" s="1" t="s">
        <v>33</v>
      </c>
      <c r="AG5907" s="1" t="s">
        <v>270</v>
      </c>
    </row>
    <row r="5908" spans="1:33">
      <c r="A5908" t="s">
        <v>19870</v>
      </c>
      <c r="C5908" t="s">
        <v>405</v>
      </c>
      <c r="E5908" t="s">
        <v>19257</v>
      </c>
      <c r="F5908" t="s">
        <v>19258</v>
      </c>
      <c r="G5908">
        <v>2.214</v>
      </c>
      <c r="H5908">
        <v>2.214</v>
      </c>
      <c r="I5908" t="s">
        <v>269</v>
      </c>
      <c r="J5908" t="s">
        <v>270</v>
      </c>
      <c r="K5908" t="s">
        <v>31</v>
      </c>
      <c r="L5908" t="s">
        <v>32</v>
      </c>
      <c r="M5908" t="s">
        <v>33</v>
      </c>
      <c r="P5908" s="1" t="s">
        <v>19871</v>
      </c>
      <c r="Q5908" s="1" t="s">
        <v>19257</v>
      </c>
      <c r="R5908" s="1" t="s">
        <v>19257</v>
      </c>
      <c r="S5908" s="1"/>
      <c r="T5908" s="1" t="s">
        <v>405</v>
      </c>
      <c r="U5908" s="1"/>
      <c r="V5908" s="1">
        <v>2.214</v>
      </c>
      <c r="W5908" s="1">
        <v>2.214</v>
      </c>
      <c r="X5908" s="1" t="s">
        <v>35</v>
      </c>
      <c r="Y5908" s="1">
        <v>2214000</v>
      </c>
      <c r="Z5908" s="1"/>
      <c r="AA5908" s="1">
        <v>2214000</v>
      </c>
      <c r="AB5908" s="1"/>
      <c r="AC5908" s="1" t="s">
        <v>36</v>
      </c>
      <c r="AD5908" s="1" t="s">
        <v>19872</v>
      </c>
      <c r="AE5908" s="1" t="s">
        <v>32</v>
      </c>
      <c r="AF5908" s="1" t="s">
        <v>33</v>
      </c>
      <c r="AG5908" s="1" t="s">
        <v>270</v>
      </c>
    </row>
    <row r="5909" spans="1:33">
      <c r="A5909" t="s">
        <v>19873</v>
      </c>
      <c r="B5909" t="s">
        <v>19874</v>
      </c>
      <c r="C5909" t="s">
        <v>131</v>
      </c>
      <c r="E5909" t="s">
        <v>19257</v>
      </c>
      <c r="F5909" t="s">
        <v>19258</v>
      </c>
      <c r="G5909">
        <v>38.98</v>
      </c>
      <c r="H5909">
        <v>38.98</v>
      </c>
      <c r="I5909" t="s">
        <v>94</v>
      </c>
      <c r="J5909" t="s">
        <v>95</v>
      </c>
      <c r="K5909" t="s">
        <v>31</v>
      </c>
      <c r="L5909" t="s">
        <v>32</v>
      </c>
      <c r="M5909" t="s">
        <v>33</v>
      </c>
      <c r="P5909" s="1" t="s">
        <v>19875</v>
      </c>
      <c r="Q5909" s="1" t="s">
        <v>19257</v>
      </c>
      <c r="R5909" s="1" t="s">
        <v>19257</v>
      </c>
      <c r="S5909" s="1"/>
      <c r="T5909" s="1" t="s">
        <v>131</v>
      </c>
      <c r="U5909" s="1"/>
      <c r="V5909" s="1">
        <v>38.98</v>
      </c>
      <c r="W5909" s="1">
        <v>38.98</v>
      </c>
      <c r="X5909" s="1" t="s">
        <v>35</v>
      </c>
      <c r="Y5909" s="1">
        <v>38980</v>
      </c>
      <c r="Z5909" s="1"/>
      <c r="AA5909" s="1">
        <v>38980</v>
      </c>
      <c r="AB5909" s="1"/>
      <c r="AC5909" s="1" t="s">
        <v>36</v>
      </c>
      <c r="AD5909" s="1" t="s">
        <v>19876</v>
      </c>
      <c r="AE5909" s="1" t="s">
        <v>32</v>
      </c>
      <c r="AF5909" s="1" t="s">
        <v>33</v>
      </c>
      <c r="AG5909" s="1" t="s">
        <v>95</v>
      </c>
    </row>
    <row r="5910" spans="1:33">
      <c r="A5910" t="s">
        <v>19877</v>
      </c>
      <c r="C5910" t="s">
        <v>5851</v>
      </c>
      <c r="E5910" t="s">
        <v>19257</v>
      </c>
      <c r="F5910" t="s">
        <v>19258</v>
      </c>
      <c r="G5910">
        <v>352.0</v>
      </c>
      <c r="H5910">
        <v>352.0</v>
      </c>
      <c r="I5910" t="s">
        <v>179</v>
      </c>
      <c r="J5910" t="s">
        <v>180</v>
      </c>
      <c r="K5910" t="s">
        <v>31</v>
      </c>
      <c r="L5910" t="s">
        <v>32</v>
      </c>
      <c r="M5910" t="s">
        <v>33</v>
      </c>
      <c r="P5910" s="1" t="s">
        <v>19878</v>
      </c>
      <c r="Q5910" s="1" t="s">
        <v>19257</v>
      </c>
      <c r="R5910" s="1" t="s">
        <v>19257</v>
      </c>
      <c r="S5910" s="1"/>
      <c r="T5910" s="1" t="s">
        <v>5851</v>
      </c>
      <c r="U5910" s="1"/>
      <c r="V5910" s="1">
        <v>352.0</v>
      </c>
      <c r="W5910" s="1">
        <v>352.0</v>
      </c>
      <c r="X5910" s="1" t="s">
        <v>35</v>
      </c>
      <c r="Y5910" s="1">
        <v>352000</v>
      </c>
      <c r="Z5910" s="1"/>
      <c r="AA5910" s="1">
        <v>352000</v>
      </c>
      <c r="AB5910" s="1"/>
      <c r="AC5910" s="1" t="s">
        <v>36</v>
      </c>
      <c r="AD5910" s="1" t="s">
        <v>19854</v>
      </c>
      <c r="AE5910" s="1" t="s">
        <v>32</v>
      </c>
      <c r="AF5910" s="1" t="s">
        <v>33</v>
      </c>
      <c r="AG5910" s="1" t="s">
        <v>180</v>
      </c>
    </row>
    <row r="5911" spans="1:33">
      <c r="A5911" t="s">
        <v>19879</v>
      </c>
      <c r="C5911" t="s">
        <v>617</v>
      </c>
      <c r="E5911" t="s">
        <v>19257</v>
      </c>
      <c r="F5911" t="s">
        <v>19258</v>
      </c>
      <c r="G5911">
        <v>320.0</v>
      </c>
      <c r="H5911">
        <v>320.0</v>
      </c>
      <c r="I5911" t="s">
        <v>40</v>
      </c>
      <c r="J5911" t="s">
        <v>41</v>
      </c>
      <c r="K5911" t="s">
        <v>31</v>
      </c>
      <c r="L5911" t="s">
        <v>32</v>
      </c>
      <c r="M5911" t="s">
        <v>33</v>
      </c>
      <c r="P5911" s="1" t="s">
        <v>19880</v>
      </c>
      <c r="Q5911" s="1" t="s">
        <v>19257</v>
      </c>
      <c r="R5911" s="1" t="s">
        <v>18429</v>
      </c>
      <c r="S5911" s="1"/>
      <c r="T5911" s="1" t="s">
        <v>619</v>
      </c>
      <c r="U5911" s="1" t="s">
        <v>620</v>
      </c>
      <c r="V5911" s="1">
        <v>320.0</v>
      </c>
      <c r="W5911" s="1">
        <v>320.0</v>
      </c>
      <c r="X5911" s="1" t="s">
        <v>35</v>
      </c>
      <c r="Y5911" s="1">
        <v>320000</v>
      </c>
      <c r="Z5911" s="1"/>
      <c r="AA5911" s="1">
        <v>320000</v>
      </c>
      <c r="AB5911" s="1"/>
      <c r="AC5911" s="1" t="s">
        <v>36</v>
      </c>
      <c r="AD5911" s="1" t="s">
        <v>19881</v>
      </c>
      <c r="AE5911" s="1" t="s">
        <v>32</v>
      </c>
      <c r="AF5911" s="1" t="s">
        <v>33</v>
      </c>
      <c r="AG5911" s="1" t="s">
        <v>41</v>
      </c>
    </row>
    <row r="5912" spans="1:33">
      <c r="A5912" t="s">
        <v>19882</v>
      </c>
      <c r="B5912" t="s">
        <v>5046</v>
      </c>
      <c r="C5912" t="s">
        <v>5047</v>
      </c>
      <c r="E5912" t="s">
        <v>19257</v>
      </c>
      <c r="F5912" t="s">
        <v>19258</v>
      </c>
      <c r="G5912">
        <v>120.0</v>
      </c>
      <c r="H5912">
        <v>120.0</v>
      </c>
      <c r="I5912" t="s">
        <v>59</v>
      </c>
      <c r="J5912" t="s">
        <v>60</v>
      </c>
      <c r="K5912" t="s">
        <v>31</v>
      </c>
      <c r="L5912" t="s">
        <v>32</v>
      </c>
      <c r="M5912" t="s">
        <v>33</v>
      </c>
      <c r="P5912" s="1" t="s">
        <v>19883</v>
      </c>
      <c r="Q5912" s="1" t="s">
        <v>19257</v>
      </c>
      <c r="R5912" s="1" t="s">
        <v>19257</v>
      </c>
      <c r="S5912" s="1"/>
      <c r="T5912" s="1" t="s">
        <v>5047</v>
      </c>
      <c r="U5912" s="1"/>
      <c r="V5912" s="1">
        <v>120.0</v>
      </c>
      <c r="W5912" s="1">
        <v>120.0</v>
      </c>
      <c r="X5912" s="1" t="s">
        <v>35</v>
      </c>
      <c r="Y5912" s="1">
        <v>120000</v>
      </c>
      <c r="Z5912" s="1"/>
      <c r="AA5912" s="1">
        <v>120000</v>
      </c>
      <c r="AB5912" s="1"/>
      <c r="AC5912" s="1" t="s">
        <v>36</v>
      </c>
      <c r="AD5912" s="1" t="s">
        <v>19872</v>
      </c>
      <c r="AE5912" s="1" t="s">
        <v>32</v>
      </c>
      <c r="AF5912" s="1" t="s">
        <v>33</v>
      </c>
      <c r="AG5912" s="1" t="s">
        <v>60</v>
      </c>
    </row>
    <row r="5913" spans="1:33">
      <c r="A5913" t="s">
        <v>19884</v>
      </c>
      <c r="C5913" t="s">
        <v>2266</v>
      </c>
      <c r="E5913" t="s">
        <v>19257</v>
      </c>
      <c r="F5913" t="s">
        <v>19258</v>
      </c>
      <c r="G5913">
        <v>681.25</v>
      </c>
      <c r="H5913">
        <v>681.25</v>
      </c>
      <c r="I5913" t="s">
        <v>269</v>
      </c>
      <c r="J5913" t="s">
        <v>270</v>
      </c>
      <c r="K5913" t="s">
        <v>31</v>
      </c>
      <c r="L5913" t="s">
        <v>32</v>
      </c>
      <c r="M5913" t="s">
        <v>33</v>
      </c>
      <c r="P5913" s="1" t="s">
        <v>19885</v>
      </c>
      <c r="Q5913" s="1" t="s">
        <v>19257</v>
      </c>
      <c r="R5913" s="1" t="s">
        <v>19257</v>
      </c>
      <c r="S5913" s="1"/>
      <c r="T5913" s="1" t="s">
        <v>2266</v>
      </c>
      <c r="U5913" s="1"/>
      <c r="V5913" s="1">
        <v>681.25</v>
      </c>
      <c r="W5913" s="1">
        <v>681.25</v>
      </c>
      <c r="X5913" s="1" t="s">
        <v>35</v>
      </c>
      <c r="Y5913" s="1">
        <v>681250</v>
      </c>
      <c r="Z5913" s="1"/>
      <c r="AA5913" s="1">
        <v>681250</v>
      </c>
      <c r="AB5913" s="1"/>
      <c r="AC5913" s="1" t="s">
        <v>36</v>
      </c>
      <c r="AD5913" s="1" t="s">
        <v>19886</v>
      </c>
      <c r="AE5913" s="1" t="s">
        <v>32</v>
      </c>
      <c r="AF5913" s="1" t="s">
        <v>33</v>
      </c>
      <c r="AG5913" s="1" t="s">
        <v>270</v>
      </c>
    </row>
    <row r="5914" spans="1:33">
      <c r="A5914" t="s">
        <v>19887</v>
      </c>
      <c r="C5914" t="s">
        <v>586</v>
      </c>
      <c r="E5914" t="s">
        <v>19257</v>
      </c>
      <c r="F5914" t="s">
        <v>19258</v>
      </c>
      <c r="G5914">
        <v>18.5</v>
      </c>
      <c r="H5914">
        <v>18.5</v>
      </c>
      <c r="I5914" t="s">
        <v>269</v>
      </c>
      <c r="J5914" t="s">
        <v>270</v>
      </c>
      <c r="K5914" t="s">
        <v>31</v>
      </c>
      <c r="L5914" t="s">
        <v>32</v>
      </c>
      <c r="M5914" t="s">
        <v>33</v>
      </c>
      <c r="P5914" s="1" t="s">
        <v>19888</v>
      </c>
      <c r="Q5914" s="1" t="s">
        <v>19257</v>
      </c>
      <c r="R5914" s="1" t="s">
        <v>19257</v>
      </c>
      <c r="S5914" s="1"/>
      <c r="T5914" s="1" t="s">
        <v>586</v>
      </c>
      <c r="U5914" s="1"/>
      <c r="V5914" s="1">
        <v>18.5</v>
      </c>
      <c r="W5914" s="1">
        <v>18.5</v>
      </c>
      <c r="X5914" s="1" t="s">
        <v>35</v>
      </c>
      <c r="Y5914" s="1">
        <v>18500</v>
      </c>
      <c r="Z5914" s="1"/>
      <c r="AA5914" s="1">
        <v>18500</v>
      </c>
      <c r="AB5914" s="1"/>
      <c r="AC5914" s="1" t="s">
        <v>36</v>
      </c>
      <c r="AD5914" s="1" t="s">
        <v>19889</v>
      </c>
      <c r="AE5914" s="1" t="s">
        <v>32</v>
      </c>
      <c r="AF5914" s="1" t="s">
        <v>33</v>
      </c>
      <c r="AG5914" s="1" t="s">
        <v>270</v>
      </c>
    </row>
    <row r="5915" spans="1:33">
      <c r="A5915" t="s">
        <v>19890</v>
      </c>
      <c r="B5915" t="s">
        <v>206</v>
      </c>
      <c r="C5915" t="s">
        <v>207</v>
      </c>
      <c r="E5915" t="s">
        <v>19257</v>
      </c>
      <c r="F5915" t="s">
        <v>19258</v>
      </c>
      <c r="G5915">
        <v>370.0</v>
      </c>
      <c r="H5915">
        <v>370.0</v>
      </c>
      <c r="I5915" t="s">
        <v>59</v>
      </c>
      <c r="J5915" t="s">
        <v>60</v>
      </c>
      <c r="K5915" t="s">
        <v>31</v>
      </c>
      <c r="L5915" t="s">
        <v>32</v>
      </c>
      <c r="M5915" t="s">
        <v>33</v>
      </c>
      <c r="P5915" s="1" t="s">
        <v>19891</v>
      </c>
      <c r="Q5915" s="1" t="s">
        <v>19257</v>
      </c>
      <c r="R5915" s="1" t="s">
        <v>19257</v>
      </c>
      <c r="S5915" s="1"/>
      <c r="T5915" s="1" t="s">
        <v>207</v>
      </c>
      <c r="U5915" s="1"/>
      <c r="V5915" s="1">
        <v>370.0</v>
      </c>
      <c r="W5915" s="1">
        <v>370.0</v>
      </c>
      <c r="X5915" s="1" t="s">
        <v>35</v>
      </c>
      <c r="Y5915" s="1">
        <v>370000</v>
      </c>
      <c r="Z5915" s="1"/>
      <c r="AA5915" s="1">
        <v>370000</v>
      </c>
      <c r="AB5915" s="1"/>
      <c r="AC5915" s="1" t="s">
        <v>36</v>
      </c>
      <c r="AD5915" s="1" t="s">
        <v>19892</v>
      </c>
      <c r="AE5915" s="1" t="s">
        <v>1636</v>
      </c>
      <c r="AF5915" s="1" t="s">
        <v>33</v>
      </c>
      <c r="AG5915" s="1" t="s">
        <v>60</v>
      </c>
    </row>
    <row r="5916" spans="1:33">
      <c r="A5916" t="s">
        <v>19893</v>
      </c>
      <c r="C5916" t="s">
        <v>2756</v>
      </c>
      <c r="E5916" t="s">
        <v>19257</v>
      </c>
      <c r="F5916" t="s">
        <v>19258</v>
      </c>
      <c r="G5916">
        <v>2.055</v>
      </c>
      <c r="H5916">
        <v>2.055</v>
      </c>
      <c r="I5916" t="s">
        <v>269</v>
      </c>
      <c r="J5916" t="s">
        <v>270</v>
      </c>
      <c r="K5916" t="s">
        <v>31</v>
      </c>
      <c r="L5916" t="s">
        <v>32</v>
      </c>
      <c r="M5916" t="s">
        <v>33</v>
      </c>
      <c r="P5916" s="1" t="s">
        <v>19894</v>
      </c>
      <c r="Q5916" s="1" t="s">
        <v>19257</v>
      </c>
      <c r="R5916" s="1" t="s">
        <v>19257</v>
      </c>
      <c r="S5916" s="1"/>
      <c r="T5916" s="1" t="s">
        <v>2756</v>
      </c>
      <c r="U5916" s="1"/>
      <c r="V5916" s="1">
        <v>2.055</v>
      </c>
      <c r="W5916" s="1">
        <v>2.055</v>
      </c>
      <c r="X5916" s="1" t="s">
        <v>35</v>
      </c>
      <c r="Y5916" s="1">
        <v>2055000</v>
      </c>
      <c r="Z5916" s="1"/>
      <c r="AA5916" s="1">
        <v>2055000</v>
      </c>
      <c r="AB5916" s="1"/>
      <c r="AC5916" s="1" t="s">
        <v>36</v>
      </c>
      <c r="AD5916" s="1" t="s">
        <v>19895</v>
      </c>
      <c r="AE5916" s="1" t="s">
        <v>32</v>
      </c>
      <c r="AF5916" s="1" t="s">
        <v>33</v>
      </c>
      <c r="AG5916" s="1" t="s">
        <v>270</v>
      </c>
    </row>
    <row r="5917" spans="1:33">
      <c r="A5917" t="s">
        <v>19896</v>
      </c>
      <c r="C5917" t="s">
        <v>1522</v>
      </c>
      <c r="E5917" t="s">
        <v>19257</v>
      </c>
      <c r="F5917" t="s">
        <v>19258</v>
      </c>
      <c r="G5917">
        <v>362.0</v>
      </c>
      <c r="H5917">
        <v>362.0</v>
      </c>
      <c r="I5917" t="s">
        <v>227</v>
      </c>
      <c r="J5917" t="s">
        <v>228</v>
      </c>
      <c r="K5917" t="s">
        <v>31</v>
      </c>
      <c r="L5917" t="s">
        <v>32</v>
      </c>
      <c r="M5917" t="s">
        <v>33</v>
      </c>
      <c r="P5917" s="1" t="s">
        <v>19897</v>
      </c>
      <c r="Q5917" s="1" t="s">
        <v>19257</v>
      </c>
      <c r="R5917" s="1" t="s">
        <v>19257</v>
      </c>
      <c r="S5917" s="1"/>
      <c r="T5917" s="1" t="s">
        <v>1522</v>
      </c>
      <c r="U5917" s="1"/>
      <c r="V5917" s="1">
        <v>362.0</v>
      </c>
      <c r="W5917" s="1">
        <v>362.0</v>
      </c>
      <c r="X5917" s="1" t="s">
        <v>35</v>
      </c>
      <c r="Y5917" s="1">
        <v>362000</v>
      </c>
      <c r="Z5917" s="1"/>
      <c r="AA5917" s="1">
        <v>362000</v>
      </c>
      <c r="AB5917" s="1"/>
      <c r="AC5917" s="1" t="s">
        <v>36</v>
      </c>
      <c r="AD5917" s="1" t="s">
        <v>19898</v>
      </c>
      <c r="AE5917" s="1" t="s">
        <v>32</v>
      </c>
      <c r="AF5917" s="1" t="s">
        <v>33</v>
      </c>
      <c r="AG5917" s="1" t="s">
        <v>228</v>
      </c>
    </row>
    <row r="5918" spans="1:33">
      <c r="A5918" t="s">
        <v>19899</v>
      </c>
      <c r="B5918" t="s">
        <v>19900</v>
      </c>
      <c r="C5918" t="s">
        <v>125</v>
      </c>
      <c r="E5918" t="s">
        <v>19257</v>
      </c>
      <c r="F5918" t="s">
        <v>19258</v>
      </c>
      <c r="G5918">
        <v>14.896</v>
      </c>
      <c r="H5918">
        <v>14.896</v>
      </c>
      <c r="I5918" t="s">
        <v>126</v>
      </c>
      <c r="J5918" t="s">
        <v>127</v>
      </c>
      <c r="K5918" t="s">
        <v>31</v>
      </c>
      <c r="L5918" t="s">
        <v>32</v>
      </c>
      <c r="M5918" t="s">
        <v>33</v>
      </c>
      <c r="P5918" s="1" t="s">
        <v>19901</v>
      </c>
      <c r="Q5918" s="1" t="s">
        <v>19257</v>
      </c>
      <c r="R5918" s="1" t="s">
        <v>19257</v>
      </c>
      <c r="S5918" s="1"/>
      <c r="T5918" s="1" t="s">
        <v>125</v>
      </c>
      <c r="U5918" s="1"/>
      <c r="V5918" s="1">
        <v>14.896</v>
      </c>
      <c r="W5918" s="1">
        <v>14.896</v>
      </c>
      <c r="X5918" s="1" t="s">
        <v>35</v>
      </c>
      <c r="Y5918" s="1">
        <v>14896</v>
      </c>
      <c r="Z5918" s="1"/>
      <c r="AA5918" s="1">
        <v>14896</v>
      </c>
      <c r="AB5918" s="1"/>
      <c r="AC5918" s="1" t="s">
        <v>36</v>
      </c>
      <c r="AD5918" s="1" t="s">
        <v>19902</v>
      </c>
      <c r="AE5918" s="1" t="s">
        <v>32</v>
      </c>
      <c r="AF5918" s="1" t="s">
        <v>33</v>
      </c>
      <c r="AG5918" s="1" t="s">
        <v>127</v>
      </c>
    </row>
    <row r="5919" spans="1:33">
      <c r="A5919" t="s">
        <v>19903</v>
      </c>
      <c r="B5919" t="s">
        <v>57</v>
      </c>
      <c r="C5919" t="s">
        <v>58</v>
      </c>
      <c r="E5919" t="s">
        <v>19257</v>
      </c>
      <c r="F5919" t="s">
        <v>19258</v>
      </c>
      <c r="G5919">
        <v>370.0</v>
      </c>
      <c r="H5919">
        <v>370.0</v>
      </c>
      <c r="I5919" t="s">
        <v>59</v>
      </c>
      <c r="J5919" t="s">
        <v>60</v>
      </c>
      <c r="K5919" t="s">
        <v>31</v>
      </c>
      <c r="L5919" t="s">
        <v>32</v>
      </c>
      <c r="M5919" t="s">
        <v>33</v>
      </c>
      <c r="P5919" s="1" t="s">
        <v>19904</v>
      </c>
      <c r="Q5919" s="1" t="s">
        <v>19257</v>
      </c>
      <c r="R5919" s="1" t="s">
        <v>19257</v>
      </c>
      <c r="S5919" s="1"/>
      <c r="T5919" s="1" t="s">
        <v>58</v>
      </c>
      <c r="U5919" s="1"/>
      <c r="V5919" s="1">
        <v>370.0</v>
      </c>
      <c r="W5919" s="1">
        <v>370.0</v>
      </c>
      <c r="X5919" s="1" t="s">
        <v>35</v>
      </c>
      <c r="Y5919" s="1">
        <v>370000</v>
      </c>
      <c r="Z5919" s="1"/>
      <c r="AA5919" s="1">
        <v>370000</v>
      </c>
      <c r="AB5919" s="1"/>
      <c r="AC5919" s="1" t="s">
        <v>36</v>
      </c>
      <c r="AD5919" s="1" t="s">
        <v>19905</v>
      </c>
      <c r="AE5919" s="1" t="s">
        <v>32</v>
      </c>
      <c r="AF5919" s="1" t="s">
        <v>33</v>
      </c>
      <c r="AG5919" s="1" t="s">
        <v>60</v>
      </c>
    </row>
    <row r="5920" spans="1:33">
      <c r="A5920" t="s">
        <v>19906</v>
      </c>
      <c r="C5920" t="s">
        <v>2525</v>
      </c>
      <c r="E5920" t="s">
        <v>19257</v>
      </c>
      <c r="F5920" t="s">
        <v>19258</v>
      </c>
      <c r="G5920">
        <v>642.0</v>
      </c>
      <c r="H5920">
        <v>642.0</v>
      </c>
      <c r="I5920" t="s">
        <v>269</v>
      </c>
      <c r="J5920" t="s">
        <v>270</v>
      </c>
      <c r="K5920" t="s">
        <v>31</v>
      </c>
      <c r="L5920" t="s">
        <v>32</v>
      </c>
      <c r="M5920" t="s">
        <v>33</v>
      </c>
      <c r="P5920" s="1" t="s">
        <v>19907</v>
      </c>
      <c r="Q5920" s="1" t="s">
        <v>19257</v>
      </c>
      <c r="R5920" s="1" t="s">
        <v>19257</v>
      </c>
      <c r="S5920" s="1"/>
      <c r="T5920" s="1" t="s">
        <v>2525</v>
      </c>
      <c r="U5920" s="1"/>
      <c r="V5920" s="1">
        <v>642.0</v>
      </c>
      <c r="W5920" s="1">
        <v>642.0</v>
      </c>
      <c r="X5920" s="1" t="s">
        <v>35</v>
      </c>
      <c r="Y5920" s="1">
        <v>642000</v>
      </c>
      <c r="Z5920" s="1"/>
      <c r="AA5920" s="1">
        <v>642000</v>
      </c>
      <c r="AB5920" s="1"/>
      <c r="AC5920" s="1" t="s">
        <v>36</v>
      </c>
      <c r="AD5920" s="1" t="s">
        <v>19908</v>
      </c>
      <c r="AE5920" s="1" t="s">
        <v>32</v>
      </c>
      <c r="AF5920" s="1" t="s">
        <v>33</v>
      </c>
      <c r="AG5920" s="1" t="s">
        <v>270</v>
      </c>
    </row>
    <row r="5921" spans="1:33">
      <c r="A5921" t="s">
        <v>19909</v>
      </c>
      <c r="C5921" t="s">
        <v>3871</v>
      </c>
      <c r="E5921" t="s">
        <v>19257</v>
      </c>
      <c r="F5921" t="s">
        <v>19258</v>
      </c>
      <c r="G5921">
        <v>611.0</v>
      </c>
      <c r="H5921">
        <v>611.0</v>
      </c>
      <c r="I5921" t="s">
        <v>570</v>
      </c>
      <c r="J5921" t="s">
        <v>571</v>
      </c>
      <c r="K5921" t="s">
        <v>31</v>
      </c>
      <c r="L5921" t="s">
        <v>32</v>
      </c>
      <c r="M5921" t="s">
        <v>33</v>
      </c>
      <c r="P5921" s="1" t="s">
        <v>19910</v>
      </c>
      <c r="Q5921" s="1" t="s">
        <v>19257</v>
      </c>
      <c r="R5921" s="1" t="s">
        <v>19257</v>
      </c>
      <c r="S5921" s="1"/>
      <c r="T5921" s="1" t="s">
        <v>3871</v>
      </c>
      <c r="U5921" s="1"/>
      <c r="V5921" s="1">
        <v>611.0</v>
      </c>
      <c r="W5921" s="1">
        <v>611.0</v>
      </c>
      <c r="X5921" s="1" t="s">
        <v>35</v>
      </c>
      <c r="Y5921" s="1">
        <v>611000</v>
      </c>
      <c r="Z5921" s="1"/>
      <c r="AA5921" s="1">
        <v>611000</v>
      </c>
      <c r="AB5921" s="1"/>
      <c r="AC5921" s="1" t="s">
        <v>36</v>
      </c>
      <c r="AD5921" s="1" t="s">
        <v>19911</v>
      </c>
      <c r="AE5921" s="1" t="s">
        <v>1636</v>
      </c>
      <c r="AF5921" s="1" t="s">
        <v>33</v>
      </c>
      <c r="AG5921" s="1" t="s">
        <v>571</v>
      </c>
    </row>
    <row r="5922" spans="1:33">
      <c r="A5922" t="s">
        <v>19912</v>
      </c>
      <c r="B5922" t="s">
        <v>5296</v>
      </c>
      <c r="C5922" t="s">
        <v>3567</v>
      </c>
      <c r="E5922" t="s">
        <v>19257</v>
      </c>
      <c r="F5922" t="s">
        <v>19258</v>
      </c>
      <c r="G5922">
        <v>28.29</v>
      </c>
      <c r="H5922">
        <v>28.29</v>
      </c>
      <c r="I5922" t="s">
        <v>59</v>
      </c>
      <c r="J5922" t="s">
        <v>60</v>
      </c>
      <c r="K5922" t="s">
        <v>31</v>
      </c>
      <c r="L5922" t="s">
        <v>32</v>
      </c>
      <c r="M5922" t="s">
        <v>33</v>
      </c>
      <c r="P5922" s="1" t="s">
        <v>19913</v>
      </c>
      <c r="Q5922" s="1" t="s">
        <v>19257</v>
      </c>
      <c r="R5922" s="1" t="s">
        <v>19257</v>
      </c>
      <c r="S5922" s="1"/>
      <c r="T5922" s="1" t="s">
        <v>3567</v>
      </c>
      <c r="U5922" s="1"/>
      <c r="V5922" s="1">
        <v>28.29</v>
      </c>
      <c r="W5922" s="1">
        <v>28.29</v>
      </c>
      <c r="X5922" s="1" t="s">
        <v>35</v>
      </c>
      <c r="Y5922" s="1">
        <v>28290</v>
      </c>
      <c r="Z5922" s="1"/>
      <c r="AA5922" s="1">
        <v>28290</v>
      </c>
      <c r="AB5922" s="1"/>
      <c r="AC5922" s="1" t="s">
        <v>36</v>
      </c>
      <c r="AD5922" s="1" t="s">
        <v>19914</v>
      </c>
      <c r="AE5922" s="1" t="s">
        <v>32</v>
      </c>
      <c r="AF5922" s="1" t="s">
        <v>33</v>
      </c>
      <c r="AG5922" s="1" t="s">
        <v>60</v>
      </c>
    </row>
    <row r="5923" spans="1:33">
      <c r="A5923" t="s">
        <v>19915</v>
      </c>
      <c r="B5923" t="s">
        <v>4922</v>
      </c>
      <c r="C5923" t="s">
        <v>268</v>
      </c>
      <c r="E5923" t="s">
        <v>19257</v>
      </c>
      <c r="F5923" t="s">
        <v>19258</v>
      </c>
      <c r="G5923">
        <v>65.7</v>
      </c>
      <c r="H5923">
        <v>65.7</v>
      </c>
      <c r="I5923" t="s">
        <v>269</v>
      </c>
      <c r="J5923" t="s">
        <v>270</v>
      </c>
      <c r="K5923" t="s">
        <v>31</v>
      </c>
      <c r="L5923" t="s">
        <v>32</v>
      </c>
      <c r="M5923" t="s">
        <v>33</v>
      </c>
      <c r="P5923" s="1" t="s">
        <v>19916</v>
      </c>
      <c r="Q5923" s="1" t="s">
        <v>19257</v>
      </c>
      <c r="R5923" s="1" t="s">
        <v>19257</v>
      </c>
      <c r="S5923" s="1"/>
      <c r="T5923" s="1" t="s">
        <v>268</v>
      </c>
      <c r="U5923" s="1"/>
      <c r="V5923" s="1">
        <v>65.7</v>
      </c>
      <c r="W5923" s="1">
        <v>65.7</v>
      </c>
      <c r="X5923" s="1" t="s">
        <v>35</v>
      </c>
      <c r="Y5923" s="1">
        <v>65700</v>
      </c>
      <c r="Z5923" s="1"/>
      <c r="AA5923" s="1">
        <v>65700</v>
      </c>
      <c r="AB5923" s="1"/>
      <c r="AC5923" s="1" t="s">
        <v>36</v>
      </c>
      <c r="AD5923" s="1" t="s">
        <v>19917</v>
      </c>
      <c r="AE5923" s="1" t="s">
        <v>32</v>
      </c>
      <c r="AF5923" s="1" t="s">
        <v>33</v>
      </c>
      <c r="AG5923" s="1" t="s">
        <v>270</v>
      </c>
    </row>
    <row r="5924" spans="1:33">
      <c r="A5924" t="s">
        <v>19918</v>
      </c>
      <c r="C5924" t="s">
        <v>1739</v>
      </c>
      <c r="E5924" t="s">
        <v>19257</v>
      </c>
      <c r="F5924" t="s">
        <v>19258</v>
      </c>
      <c r="G5924">
        <v>656.0</v>
      </c>
      <c r="H5924">
        <v>656.0</v>
      </c>
      <c r="I5924" t="s">
        <v>2206</v>
      </c>
      <c r="J5924" t="s">
        <v>49</v>
      </c>
      <c r="K5924" t="s">
        <v>31</v>
      </c>
      <c r="L5924" t="s">
        <v>32</v>
      </c>
      <c r="M5924" t="s">
        <v>33</v>
      </c>
      <c r="P5924" s="1" t="s">
        <v>19919</v>
      </c>
      <c r="Q5924" s="1" t="s">
        <v>19257</v>
      </c>
      <c r="R5924" s="1" t="s">
        <v>19257</v>
      </c>
      <c r="S5924" s="1"/>
      <c r="T5924" s="1" t="s">
        <v>1739</v>
      </c>
      <c r="U5924" s="1"/>
      <c r="V5924" s="1">
        <v>656.0</v>
      </c>
      <c r="W5924" s="1">
        <v>656.0</v>
      </c>
      <c r="X5924" s="1" t="s">
        <v>35</v>
      </c>
      <c r="Y5924" s="1">
        <v>656000</v>
      </c>
      <c r="Z5924" s="1"/>
      <c r="AA5924" s="1">
        <v>656000</v>
      </c>
      <c r="AB5924" s="1"/>
      <c r="AC5924" s="1" t="s">
        <v>36</v>
      </c>
      <c r="AD5924" s="1" t="s">
        <v>19920</v>
      </c>
      <c r="AE5924" s="1" t="s">
        <v>32</v>
      </c>
      <c r="AF5924" s="1" t="s">
        <v>33</v>
      </c>
      <c r="AG5924" s="1" t="s">
        <v>49</v>
      </c>
    </row>
    <row r="5925" spans="1:33">
      <c r="A5925" t="s">
        <v>19921</v>
      </c>
      <c r="B5925" t="s">
        <v>12045</v>
      </c>
      <c r="C5925" t="s">
        <v>314</v>
      </c>
      <c r="E5925" t="s">
        <v>19257</v>
      </c>
      <c r="F5925" t="s">
        <v>19258</v>
      </c>
      <c r="G5925">
        <v>71.86</v>
      </c>
      <c r="H5925">
        <v>71.86</v>
      </c>
      <c r="I5925" t="s">
        <v>179</v>
      </c>
      <c r="J5925" t="s">
        <v>180</v>
      </c>
      <c r="K5925" t="s">
        <v>31</v>
      </c>
      <c r="L5925" t="s">
        <v>32</v>
      </c>
      <c r="M5925" t="s">
        <v>33</v>
      </c>
      <c r="P5925" s="1" t="s">
        <v>19922</v>
      </c>
      <c r="Q5925" s="1" t="s">
        <v>19257</v>
      </c>
      <c r="R5925" s="1" t="s">
        <v>19257</v>
      </c>
      <c r="S5925" s="1"/>
      <c r="T5925" s="1" t="s">
        <v>314</v>
      </c>
      <c r="U5925" s="1"/>
      <c r="V5925" s="1">
        <v>71.86</v>
      </c>
      <c r="W5925" s="1">
        <v>71.86</v>
      </c>
      <c r="X5925" s="1" t="s">
        <v>35</v>
      </c>
      <c r="Y5925" s="1">
        <v>71860</v>
      </c>
      <c r="Z5925" s="1"/>
      <c r="AA5925" s="1">
        <v>71860</v>
      </c>
      <c r="AB5925" s="1"/>
      <c r="AC5925" s="1" t="s">
        <v>36</v>
      </c>
      <c r="AD5925" s="1" t="s">
        <v>19923</v>
      </c>
      <c r="AE5925" s="1" t="s">
        <v>32</v>
      </c>
      <c r="AF5925" s="1" t="s">
        <v>33</v>
      </c>
      <c r="AG5925" s="1" t="s">
        <v>180</v>
      </c>
    </row>
    <row r="5926" spans="1:33">
      <c r="A5926" t="s">
        <v>19924</v>
      </c>
      <c r="C5926" t="s">
        <v>1087</v>
      </c>
      <c r="E5926" t="s">
        <v>19257</v>
      </c>
      <c r="F5926" t="s">
        <v>19258</v>
      </c>
      <c r="G5926">
        <v>439.8</v>
      </c>
      <c r="H5926">
        <v>439.8</v>
      </c>
      <c r="I5926" t="s">
        <v>269</v>
      </c>
      <c r="J5926" t="s">
        <v>270</v>
      </c>
      <c r="K5926" t="s">
        <v>31</v>
      </c>
      <c r="L5926" t="s">
        <v>32</v>
      </c>
      <c r="M5926" t="s">
        <v>33</v>
      </c>
      <c r="P5926" s="1" t="s">
        <v>19925</v>
      </c>
      <c r="Q5926" s="1" t="s">
        <v>19257</v>
      </c>
      <c r="R5926" s="1" t="s">
        <v>19257</v>
      </c>
      <c r="S5926" s="1"/>
      <c r="T5926" s="1" t="s">
        <v>1087</v>
      </c>
      <c r="U5926" s="1"/>
      <c r="V5926" s="1">
        <v>439.8</v>
      </c>
      <c r="W5926" s="1">
        <v>439.8</v>
      </c>
      <c r="X5926" s="1" t="s">
        <v>35</v>
      </c>
      <c r="Y5926" s="1">
        <v>439800</v>
      </c>
      <c r="Z5926" s="1"/>
      <c r="AA5926" s="1">
        <v>439800</v>
      </c>
      <c r="AB5926" s="1"/>
      <c r="AC5926" s="1" t="s">
        <v>36</v>
      </c>
      <c r="AD5926" s="1" t="s">
        <v>19926</v>
      </c>
      <c r="AE5926" s="1" t="s">
        <v>32</v>
      </c>
      <c r="AF5926" s="1" t="s">
        <v>33</v>
      </c>
      <c r="AG5926" s="1" t="s">
        <v>270</v>
      </c>
    </row>
    <row r="5927" spans="1:33">
      <c r="A5927" t="s">
        <v>19927</v>
      </c>
      <c r="B5927" t="s">
        <v>19928</v>
      </c>
      <c r="C5927" t="s">
        <v>131</v>
      </c>
      <c r="E5927" t="s">
        <v>19257</v>
      </c>
      <c r="F5927" t="s">
        <v>19258</v>
      </c>
      <c r="G5927">
        <v>32.99</v>
      </c>
      <c r="H5927">
        <v>32.99</v>
      </c>
      <c r="I5927" t="s">
        <v>94</v>
      </c>
      <c r="J5927" t="s">
        <v>95</v>
      </c>
      <c r="K5927" t="s">
        <v>31</v>
      </c>
      <c r="L5927" t="s">
        <v>32</v>
      </c>
      <c r="M5927" t="s">
        <v>33</v>
      </c>
      <c r="P5927" s="1" t="s">
        <v>19929</v>
      </c>
      <c r="Q5927" s="1" t="s">
        <v>19257</v>
      </c>
      <c r="R5927" s="1" t="s">
        <v>18429</v>
      </c>
      <c r="S5927" s="1"/>
      <c r="T5927" s="1" t="s">
        <v>131</v>
      </c>
      <c r="U5927" s="1"/>
      <c r="V5927" s="1">
        <v>32.99</v>
      </c>
      <c r="W5927" s="1">
        <v>32.99</v>
      </c>
      <c r="X5927" s="1" t="s">
        <v>35</v>
      </c>
      <c r="Y5927" s="1">
        <v>32990</v>
      </c>
      <c r="Z5927" s="1"/>
      <c r="AA5927" s="1">
        <v>32990</v>
      </c>
      <c r="AB5927" s="1"/>
      <c r="AC5927" s="1" t="s">
        <v>36</v>
      </c>
      <c r="AD5927" s="1" t="s">
        <v>19930</v>
      </c>
      <c r="AE5927" s="1" t="s">
        <v>1636</v>
      </c>
      <c r="AF5927" s="1" t="s">
        <v>33</v>
      </c>
      <c r="AG5927" s="1" t="s">
        <v>95</v>
      </c>
    </row>
    <row r="5928" spans="1:33">
      <c r="A5928" t="s">
        <v>19931</v>
      </c>
      <c r="C5928" t="s">
        <v>131</v>
      </c>
      <c r="E5928" t="s">
        <v>19257</v>
      </c>
      <c r="F5928" t="s">
        <v>19258</v>
      </c>
      <c r="G5928">
        <v>104.0</v>
      </c>
      <c r="H5928">
        <v>104.0</v>
      </c>
      <c r="I5928" t="s">
        <v>94</v>
      </c>
      <c r="J5928" t="s">
        <v>95</v>
      </c>
      <c r="K5928" t="s">
        <v>31</v>
      </c>
      <c r="L5928" t="s">
        <v>32</v>
      </c>
      <c r="M5928" t="s">
        <v>33</v>
      </c>
      <c r="P5928" s="1" t="s">
        <v>19932</v>
      </c>
      <c r="Q5928" s="1" t="s">
        <v>19257</v>
      </c>
      <c r="R5928" s="1" t="s">
        <v>19257</v>
      </c>
      <c r="S5928" s="1"/>
      <c r="T5928" s="1" t="s">
        <v>131</v>
      </c>
      <c r="U5928" s="1"/>
      <c r="V5928" s="1">
        <v>104.0</v>
      </c>
      <c r="W5928" s="1">
        <v>104.0</v>
      </c>
      <c r="X5928" s="1" t="s">
        <v>35</v>
      </c>
      <c r="Y5928" s="1">
        <v>104000</v>
      </c>
      <c r="Z5928" s="1"/>
      <c r="AA5928" s="1">
        <v>104000</v>
      </c>
      <c r="AB5928" s="1"/>
      <c r="AC5928" s="1" t="s">
        <v>36</v>
      </c>
      <c r="AD5928" s="1" t="s">
        <v>19933</v>
      </c>
      <c r="AE5928" s="1" t="s">
        <v>1636</v>
      </c>
      <c r="AF5928" s="1" t="s">
        <v>33</v>
      </c>
      <c r="AG5928" s="1" t="s">
        <v>95</v>
      </c>
    </row>
    <row r="5929" spans="1:33">
      <c r="A5929" t="s">
        <v>19934</v>
      </c>
      <c r="B5929" t="s">
        <v>19935</v>
      </c>
      <c r="C5929" t="s">
        <v>172</v>
      </c>
      <c r="E5929" t="s">
        <v>19257</v>
      </c>
      <c r="F5929" t="s">
        <v>19258</v>
      </c>
      <c r="G5929">
        <v>6.0</v>
      </c>
      <c r="H5929">
        <v>6.0</v>
      </c>
      <c r="I5929" t="s">
        <v>173</v>
      </c>
      <c r="J5929" t="s">
        <v>174</v>
      </c>
      <c r="K5929" t="s">
        <v>31</v>
      </c>
      <c r="L5929" t="s">
        <v>32</v>
      </c>
      <c r="M5929" t="s">
        <v>33</v>
      </c>
      <c r="P5929" s="1" t="s">
        <v>19936</v>
      </c>
      <c r="Q5929" s="1" t="s">
        <v>19257</v>
      </c>
      <c r="R5929" s="1" t="s">
        <v>19257</v>
      </c>
      <c r="S5929" s="1"/>
      <c r="T5929" s="1" t="s">
        <v>172</v>
      </c>
      <c r="U5929" s="1"/>
      <c r="V5929" s="1">
        <v>6.0</v>
      </c>
      <c r="W5929" s="1">
        <v>6.0</v>
      </c>
      <c r="X5929" s="1" t="s">
        <v>35</v>
      </c>
      <c r="Y5929" s="1">
        <v>6000</v>
      </c>
      <c r="Z5929" s="1"/>
      <c r="AA5929" s="1">
        <v>6000</v>
      </c>
      <c r="AB5929" s="1"/>
      <c r="AC5929" s="1" t="s">
        <v>36</v>
      </c>
      <c r="AD5929" s="1" t="s">
        <v>19937</v>
      </c>
      <c r="AE5929" s="1" t="s">
        <v>32</v>
      </c>
      <c r="AF5929" s="1" t="s">
        <v>33</v>
      </c>
      <c r="AG5929" s="1" t="s">
        <v>174</v>
      </c>
    </row>
    <row r="5930" spans="1:33">
      <c r="A5930" t="s">
        <v>19938</v>
      </c>
      <c r="C5930" t="s">
        <v>7254</v>
      </c>
      <c r="E5930" t="s">
        <v>19257</v>
      </c>
      <c r="F5930" t="s">
        <v>19258</v>
      </c>
      <c r="G5930">
        <v>400.0</v>
      </c>
      <c r="H5930">
        <v>400.0</v>
      </c>
      <c r="I5930" t="s">
        <v>173</v>
      </c>
      <c r="J5930" t="s">
        <v>174</v>
      </c>
      <c r="K5930" t="s">
        <v>31</v>
      </c>
      <c r="L5930" t="s">
        <v>32</v>
      </c>
      <c r="M5930" t="s">
        <v>33</v>
      </c>
      <c r="P5930" s="1" t="s">
        <v>19939</v>
      </c>
      <c r="Q5930" s="1" t="s">
        <v>19257</v>
      </c>
      <c r="R5930" s="1" t="s">
        <v>19257</v>
      </c>
      <c r="S5930" s="1"/>
      <c r="T5930" s="1" t="s">
        <v>7254</v>
      </c>
      <c r="U5930" s="1"/>
      <c r="V5930" s="1">
        <v>400.0</v>
      </c>
      <c r="W5930" s="1">
        <v>400.0</v>
      </c>
      <c r="X5930" s="1" t="s">
        <v>35</v>
      </c>
      <c r="Y5930" s="1">
        <v>400000</v>
      </c>
      <c r="Z5930" s="1"/>
      <c r="AA5930" s="1">
        <v>400000</v>
      </c>
      <c r="AB5930" s="1"/>
      <c r="AC5930" s="1" t="s">
        <v>36</v>
      </c>
      <c r="AD5930" s="1" t="s">
        <v>19940</v>
      </c>
      <c r="AE5930" s="1" t="s">
        <v>32</v>
      </c>
      <c r="AF5930" s="1" t="s">
        <v>33</v>
      </c>
      <c r="AG5930" s="1" t="s">
        <v>174</v>
      </c>
    </row>
    <row r="5931" spans="1:33">
      <c r="A5931" t="s">
        <v>19941</v>
      </c>
      <c r="C5931" t="s">
        <v>6786</v>
      </c>
      <c r="E5931" t="s">
        <v>19257</v>
      </c>
      <c r="F5931" t="s">
        <v>19258</v>
      </c>
      <c r="G5931">
        <v>336.0</v>
      </c>
      <c r="H5931">
        <v>336.0</v>
      </c>
      <c r="I5931" t="s">
        <v>94</v>
      </c>
      <c r="J5931" t="s">
        <v>95</v>
      </c>
      <c r="K5931" t="s">
        <v>31</v>
      </c>
      <c r="L5931" t="s">
        <v>32</v>
      </c>
      <c r="M5931" t="s">
        <v>33</v>
      </c>
      <c r="P5931" s="1" t="s">
        <v>19942</v>
      </c>
      <c r="Q5931" s="1" t="s">
        <v>19257</v>
      </c>
      <c r="R5931" s="1" t="s">
        <v>19257</v>
      </c>
      <c r="S5931" s="1"/>
      <c r="T5931" s="1" t="s">
        <v>6786</v>
      </c>
      <c r="U5931" s="1"/>
      <c r="V5931" s="1">
        <v>336.0</v>
      </c>
      <c r="W5931" s="1">
        <v>336.0</v>
      </c>
      <c r="X5931" s="1" t="s">
        <v>35</v>
      </c>
      <c r="Y5931" s="1">
        <v>336000</v>
      </c>
      <c r="Z5931" s="1"/>
      <c r="AA5931" s="1">
        <v>336000</v>
      </c>
      <c r="AB5931" s="1"/>
      <c r="AC5931" s="1" t="s">
        <v>36</v>
      </c>
      <c r="AD5931" s="1" t="s">
        <v>19943</v>
      </c>
      <c r="AE5931" s="1" t="s">
        <v>1636</v>
      </c>
      <c r="AF5931" s="1" t="s">
        <v>33</v>
      </c>
      <c r="AG5931" s="1" t="s">
        <v>95</v>
      </c>
    </row>
    <row r="5932" spans="1:33">
      <c r="A5932" t="s">
        <v>19944</v>
      </c>
      <c r="C5932" t="s">
        <v>19945</v>
      </c>
      <c r="D5932" t="s">
        <v>114</v>
      </c>
      <c r="E5932" t="s">
        <v>19257</v>
      </c>
      <c r="F5932" t="s">
        <v>19258</v>
      </c>
      <c r="G5932">
        <v>65.97</v>
      </c>
      <c r="H5932">
        <v>65.97</v>
      </c>
      <c r="I5932" t="s">
        <v>40</v>
      </c>
      <c r="J5932" t="s">
        <v>41</v>
      </c>
      <c r="K5932" t="s">
        <v>31</v>
      </c>
      <c r="L5932" t="s">
        <v>32</v>
      </c>
      <c r="M5932" t="s">
        <v>33</v>
      </c>
      <c r="P5932" s="1" t="s">
        <v>19946</v>
      </c>
      <c r="Q5932" s="1" t="s">
        <v>19257</v>
      </c>
      <c r="R5932" s="1" t="s">
        <v>18429</v>
      </c>
      <c r="S5932" s="1"/>
      <c r="T5932" s="1" t="s">
        <v>19945</v>
      </c>
      <c r="U5932" s="1"/>
      <c r="V5932" s="1">
        <v>65.97</v>
      </c>
      <c r="W5932" s="1">
        <v>65.97</v>
      </c>
      <c r="X5932" s="1" t="s">
        <v>35</v>
      </c>
      <c r="Y5932" s="1">
        <v>65970</v>
      </c>
      <c r="Z5932" s="1"/>
      <c r="AA5932" s="1">
        <v>65970</v>
      </c>
      <c r="AB5932" s="1"/>
      <c r="AC5932" s="1" t="s">
        <v>36</v>
      </c>
      <c r="AD5932" s="1" t="s">
        <v>19947</v>
      </c>
      <c r="AE5932" s="1" t="s">
        <v>32</v>
      </c>
      <c r="AF5932" s="1" t="s">
        <v>33</v>
      </c>
      <c r="AG5932" s="1" t="s">
        <v>41</v>
      </c>
    </row>
    <row r="5933" spans="1:33">
      <c r="A5933" t="s">
        <v>19948</v>
      </c>
      <c r="C5933" t="s">
        <v>338</v>
      </c>
      <c r="E5933" t="s">
        <v>19257</v>
      </c>
      <c r="F5933" t="s">
        <v>19258</v>
      </c>
      <c r="G5933">
        <v>728.0</v>
      </c>
      <c r="H5933">
        <v>728.0</v>
      </c>
      <c r="I5933" t="s">
        <v>179</v>
      </c>
      <c r="J5933" t="s">
        <v>180</v>
      </c>
      <c r="K5933" t="s">
        <v>31</v>
      </c>
      <c r="L5933" t="s">
        <v>32</v>
      </c>
      <c r="M5933" t="s">
        <v>33</v>
      </c>
      <c r="P5933" s="1" t="s">
        <v>19949</v>
      </c>
      <c r="Q5933" s="1" t="s">
        <v>19257</v>
      </c>
      <c r="R5933" s="1" t="s">
        <v>19257</v>
      </c>
      <c r="S5933" s="1"/>
      <c r="T5933" s="1" t="s">
        <v>338</v>
      </c>
      <c r="U5933" s="1"/>
      <c r="V5933" s="1">
        <v>728.0</v>
      </c>
      <c r="W5933" s="1">
        <v>728.0</v>
      </c>
      <c r="X5933" s="1" t="s">
        <v>35</v>
      </c>
      <c r="Y5933" s="1">
        <v>728000</v>
      </c>
      <c r="Z5933" s="1"/>
      <c r="AA5933" s="1">
        <v>728000</v>
      </c>
      <c r="AB5933" s="1"/>
      <c r="AC5933" s="1" t="s">
        <v>36</v>
      </c>
      <c r="AD5933" s="1" t="s">
        <v>19950</v>
      </c>
      <c r="AE5933" s="1" t="s">
        <v>32</v>
      </c>
      <c r="AF5933" s="1" t="s">
        <v>33</v>
      </c>
      <c r="AG5933" s="1" t="s">
        <v>180</v>
      </c>
    </row>
    <row r="5934" spans="1:33">
      <c r="A5934" t="s">
        <v>19951</v>
      </c>
      <c r="C5934" t="s">
        <v>19253</v>
      </c>
      <c r="E5934" t="s">
        <v>19257</v>
      </c>
      <c r="F5934" t="s">
        <v>19258</v>
      </c>
      <c r="G5934">
        <v>2.832</v>
      </c>
      <c r="H5934">
        <v>2.832</v>
      </c>
      <c r="I5934" t="s">
        <v>227</v>
      </c>
      <c r="J5934" t="s">
        <v>228</v>
      </c>
      <c r="K5934" t="s">
        <v>31</v>
      </c>
      <c r="L5934" t="s">
        <v>32</v>
      </c>
      <c r="M5934" t="s">
        <v>33</v>
      </c>
      <c r="P5934" s="1" t="s">
        <v>19952</v>
      </c>
      <c r="Q5934" s="1" t="s">
        <v>19257</v>
      </c>
      <c r="R5934" s="1" t="s">
        <v>19257</v>
      </c>
      <c r="S5934" s="1"/>
      <c r="T5934" s="1" t="s">
        <v>19253</v>
      </c>
      <c r="U5934" s="1"/>
      <c r="V5934" s="1">
        <v>2.832</v>
      </c>
      <c r="W5934" s="1">
        <v>2.832</v>
      </c>
      <c r="X5934" s="1" t="s">
        <v>35</v>
      </c>
      <c r="Y5934" s="1">
        <v>2832000</v>
      </c>
      <c r="Z5934" s="1"/>
      <c r="AA5934" s="1">
        <v>2832000</v>
      </c>
      <c r="AB5934" s="1"/>
      <c r="AC5934" s="1" t="s">
        <v>36</v>
      </c>
      <c r="AD5934" s="1" t="s">
        <v>19953</v>
      </c>
      <c r="AE5934" s="1" t="s">
        <v>32</v>
      </c>
      <c r="AF5934" s="1" t="s">
        <v>33</v>
      </c>
      <c r="AG5934" s="1" t="s">
        <v>228</v>
      </c>
    </row>
    <row r="5935" spans="1:33">
      <c r="A5935" t="s">
        <v>19954</v>
      </c>
      <c r="B5935" t="s">
        <v>19955</v>
      </c>
      <c r="C5935" t="s">
        <v>1700</v>
      </c>
      <c r="E5935" t="s">
        <v>19257</v>
      </c>
      <c r="F5935" t="s">
        <v>19258</v>
      </c>
      <c r="G5935">
        <v>25.0</v>
      </c>
      <c r="H5935">
        <v>25.0</v>
      </c>
      <c r="I5935" t="s">
        <v>1701</v>
      </c>
      <c r="J5935" t="s">
        <v>1702</v>
      </c>
      <c r="K5935" t="s">
        <v>31</v>
      </c>
      <c r="L5935" t="s">
        <v>32</v>
      </c>
      <c r="M5935" t="s">
        <v>33</v>
      </c>
      <c r="P5935" s="1" t="s">
        <v>19956</v>
      </c>
      <c r="Q5935" s="1" t="s">
        <v>19257</v>
      </c>
      <c r="R5935" s="1" t="s">
        <v>19257</v>
      </c>
      <c r="S5935" s="1"/>
      <c r="T5935" s="1" t="s">
        <v>1700</v>
      </c>
      <c r="U5935" s="1"/>
      <c r="V5935" s="1">
        <v>25.0</v>
      </c>
      <c r="W5935" s="1">
        <v>25.0</v>
      </c>
      <c r="X5935" s="1" t="s">
        <v>35</v>
      </c>
      <c r="Y5935" s="1">
        <v>25000</v>
      </c>
      <c r="Z5935" s="1"/>
      <c r="AA5935" s="1">
        <v>25000</v>
      </c>
      <c r="AB5935" s="1"/>
      <c r="AC5935" s="1" t="s">
        <v>36</v>
      </c>
      <c r="AD5935" s="1" t="s">
        <v>19957</v>
      </c>
      <c r="AE5935" s="1" t="s">
        <v>1636</v>
      </c>
      <c r="AF5935" s="1" t="s">
        <v>33</v>
      </c>
      <c r="AG5935" s="1" t="s">
        <v>1702</v>
      </c>
    </row>
    <row r="5936" spans="1:33">
      <c r="A5936" t="s">
        <v>19958</v>
      </c>
      <c r="C5936" t="s">
        <v>3871</v>
      </c>
      <c r="E5936" t="s">
        <v>19257</v>
      </c>
      <c r="F5936" t="s">
        <v>19258</v>
      </c>
      <c r="G5936">
        <v>328.0</v>
      </c>
      <c r="H5936">
        <v>328.0</v>
      </c>
      <c r="I5936" t="s">
        <v>269</v>
      </c>
      <c r="J5936" t="s">
        <v>270</v>
      </c>
      <c r="K5936" t="s">
        <v>31</v>
      </c>
      <c r="L5936" t="s">
        <v>32</v>
      </c>
      <c r="M5936" t="s">
        <v>33</v>
      </c>
      <c r="P5936" s="1" t="s">
        <v>19959</v>
      </c>
      <c r="Q5936" s="1" t="s">
        <v>19257</v>
      </c>
      <c r="R5936" s="1" t="s">
        <v>19257</v>
      </c>
      <c r="S5936" s="1"/>
      <c r="T5936" s="1" t="s">
        <v>3871</v>
      </c>
      <c r="U5936" s="1"/>
      <c r="V5936" s="1">
        <v>328.0</v>
      </c>
      <c r="W5936" s="1">
        <v>328.0</v>
      </c>
      <c r="X5936" s="1" t="s">
        <v>35</v>
      </c>
      <c r="Y5936" s="1">
        <v>328000</v>
      </c>
      <c r="Z5936" s="1"/>
      <c r="AA5936" s="1">
        <v>328000</v>
      </c>
      <c r="AB5936" s="1"/>
      <c r="AC5936" s="1" t="s">
        <v>36</v>
      </c>
      <c r="AD5936" s="1" t="s">
        <v>19960</v>
      </c>
      <c r="AE5936" s="1" t="s">
        <v>32</v>
      </c>
      <c r="AF5936" s="1" t="s">
        <v>33</v>
      </c>
      <c r="AG5936" s="1" t="s">
        <v>270</v>
      </c>
    </row>
    <row r="5937" spans="1:33">
      <c r="A5937" t="s">
        <v>19961</v>
      </c>
      <c r="C5937" t="s">
        <v>786</v>
      </c>
      <c r="E5937" t="s">
        <v>19257</v>
      </c>
      <c r="F5937" t="s">
        <v>19258</v>
      </c>
      <c r="G5937">
        <v>850.0</v>
      </c>
      <c r="H5937">
        <v>850.0</v>
      </c>
      <c r="I5937" t="s">
        <v>269</v>
      </c>
      <c r="J5937" t="s">
        <v>270</v>
      </c>
      <c r="K5937" t="s">
        <v>31</v>
      </c>
      <c r="L5937" t="s">
        <v>32</v>
      </c>
      <c r="M5937" t="s">
        <v>33</v>
      </c>
      <c r="P5937" s="1" t="s">
        <v>19962</v>
      </c>
      <c r="Q5937" s="1" t="s">
        <v>19257</v>
      </c>
      <c r="R5937" s="1" t="s">
        <v>19257</v>
      </c>
      <c r="S5937" s="1"/>
      <c r="T5937" s="1" t="s">
        <v>786</v>
      </c>
      <c r="U5937" s="1"/>
      <c r="V5937" s="1">
        <v>850.0</v>
      </c>
      <c r="W5937" s="1">
        <v>850.0</v>
      </c>
      <c r="X5937" s="1" t="s">
        <v>35</v>
      </c>
      <c r="Y5937" s="1">
        <v>850000</v>
      </c>
      <c r="Z5937" s="1"/>
      <c r="AA5937" s="1">
        <v>850000</v>
      </c>
      <c r="AB5937" s="1"/>
      <c r="AC5937" s="1" t="s">
        <v>36</v>
      </c>
      <c r="AD5937" s="1" t="s">
        <v>19963</v>
      </c>
      <c r="AE5937" s="1" t="s">
        <v>32</v>
      </c>
      <c r="AF5937" s="1" t="s">
        <v>33</v>
      </c>
      <c r="AG5937" s="1" t="s">
        <v>270</v>
      </c>
    </row>
    <row r="5938" spans="1:33">
      <c r="A5938" t="s">
        <v>19964</v>
      </c>
      <c r="C5938" t="s">
        <v>1244</v>
      </c>
      <c r="E5938" t="s">
        <v>19257</v>
      </c>
      <c r="F5938" t="s">
        <v>19258</v>
      </c>
      <c r="G5938">
        <v>98.16</v>
      </c>
      <c r="H5938">
        <v>98.16</v>
      </c>
      <c r="I5938" t="s">
        <v>179</v>
      </c>
      <c r="J5938" t="s">
        <v>180</v>
      </c>
      <c r="K5938" t="s">
        <v>31</v>
      </c>
      <c r="L5938" t="s">
        <v>32</v>
      </c>
      <c r="M5938" t="s">
        <v>33</v>
      </c>
      <c r="P5938" s="1" t="s">
        <v>19965</v>
      </c>
      <c r="Q5938" s="1" t="s">
        <v>19257</v>
      </c>
      <c r="R5938" s="1" t="s">
        <v>19257</v>
      </c>
      <c r="S5938" s="1"/>
      <c r="T5938" s="1" t="s">
        <v>1244</v>
      </c>
      <c r="U5938" s="1"/>
      <c r="V5938" s="1">
        <v>98.16</v>
      </c>
      <c r="W5938" s="1">
        <v>98.16</v>
      </c>
      <c r="X5938" s="1" t="s">
        <v>35</v>
      </c>
      <c r="Y5938" s="1">
        <v>98160</v>
      </c>
      <c r="Z5938" s="1"/>
      <c r="AA5938" s="1">
        <v>98160</v>
      </c>
      <c r="AB5938" s="1"/>
      <c r="AC5938" s="1" t="s">
        <v>36</v>
      </c>
      <c r="AD5938" s="1" t="s">
        <v>19966</v>
      </c>
      <c r="AE5938" s="1" t="s">
        <v>32</v>
      </c>
      <c r="AF5938" s="1" t="s">
        <v>33</v>
      </c>
      <c r="AG5938" s="1" t="s">
        <v>180</v>
      </c>
    </row>
    <row r="5939" spans="1:33">
      <c r="A5939" t="s">
        <v>19967</v>
      </c>
      <c r="C5939" t="s">
        <v>2280</v>
      </c>
      <c r="E5939" t="s">
        <v>19257</v>
      </c>
      <c r="F5939" t="s">
        <v>19258</v>
      </c>
      <c r="G5939">
        <v>828.5</v>
      </c>
      <c r="H5939">
        <v>828.5</v>
      </c>
      <c r="I5939" t="s">
        <v>269</v>
      </c>
      <c r="J5939" t="s">
        <v>270</v>
      </c>
      <c r="K5939" t="s">
        <v>31</v>
      </c>
      <c r="L5939" t="s">
        <v>32</v>
      </c>
      <c r="M5939" t="s">
        <v>33</v>
      </c>
      <c r="P5939" s="1" t="s">
        <v>19968</v>
      </c>
      <c r="Q5939" s="1" t="s">
        <v>19257</v>
      </c>
      <c r="R5939" s="1" t="s">
        <v>19257</v>
      </c>
      <c r="S5939" s="1"/>
      <c r="T5939" s="1" t="s">
        <v>2280</v>
      </c>
      <c r="U5939" s="1"/>
      <c r="V5939" s="1">
        <v>828.5</v>
      </c>
      <c r="W5939" s="1">
        <v>828.5</v>
      </c>
      <c r="X5939" s="1" t="s">
        <v>35</v>
      </c>
      <c r="Y5939" s="1">
        <v>828500</v>
      </c>
      <c r="Z5939" s="1"/>
      <c r="AA5939" s="1">
        <v>828500</v>
      </c>
      <c r="AB5939" s="1"/>
      <c r="AC5939" s="1" t="s">
        <v>36</v>
      </c>
      <c r="AD5939" s="1" t="s">
        <v>19969</v>
      </c>
      <c r="AE5939" s="1" t="s">
        <v>32</v>
      </c>
      <c r="AF5939" s="1" t="s">
        <v>33</v>
      </c>
      <c r="AG5939" s="1" t="s">
        <v>270</v>
      </c>
    </row>
    <row r="5940" spans="1:33">
      <c r="A5940" t="s">
        <v>19970</v>
      </c>
      <c r="C5940" t="s">
        <v>9577</v>
      </c>
      <c r="E5940" t="s">
        <v>19257</v>
      </c>
      <c r="F5940" t="s">
        <v>19258</v>
      </c>
      <c r="G5940">
        <v>656.0</v>
      </c>
      <c r="H5940">
        <v>656.0</v>
      </c>
      <c r="I5940" t="s">
        <v>269</v>
      </c>
      <c r="J5940" t="s">
        <v>270</v>
      </c>
      <c r="K5940" t="s">
        <v>31</v>
      </c>
      <c r="L5940" t="s">
        <v>32</v>
      </c>
      <c r="M5940" t="s">
        <v>33</v>
      </c>
      <c r="P5940" s="1" t="s">
        <v>19971</v>
      </c>
      <c r="Q5940" s="1" t="s">
        <v>19257</v>
      </c>
      <c r="R5940" s="1" t="s">
        <v>19257</v>
      </c>
      <c r="S5940" s="1"/>
      <c r="T5940" s="1" t="s">
        <v>9577</v>
      </c>
      <c r="U5940" s="1"/>
      <c r="V5940" s="1">
        <v>656.0</v>
      </c>
      <c r="W5940" s="1">
        <v>656.0</v>
      </c>
      <c r="X5940" s="1" t="s">
        <v>35</v>
      </c>
      <c r="Y5940" s="1">
        <v>656000</v>
      </c>
      <c r="Z5940" s="1"/>
      <c r="AA5940" s="1">
        <v>656000</v>
      </c>
      <c r="AB5940" s="1"/>
      <c r="AC5940" s="1" t="s">
        <v>36</v>
      </c>
      <c r="AD5940" s="1" t="s">
        <v>19972</v>
      </c>
      <c r="AE5940" s="1" t="s">
        <v>32</v>
      </c>
      <c r="AF5940" s="1" t="s">
        <v>33</v>
      </c>
      <c r="AG5940" s="1" t="s">
        <v>270</v>
      </c>
    </row>
    <row r="5941" spans="1:33">
      <c r="A5941" t="s">
        <v>19973</v>
      </c>
      <c r="C5941" t="s">
        <v>10919</v>
      </c>
      <c r="E5941" t="s">
        <v>19257</v>
      </c>
      <c r="F5941" t="s">
        <v>19258</v>
      </c>
      <c r="G5941">
        <v>1.501</v>
      </c>
      <c r="H5941">
        <v>1.501</v>
      </c>
      <c r="I5941" t="s">
        <v>269</v>
      </c>
      <c r="J5941" t="s">
        <v>270</v>
      </c>
      <c r="K5941" t="s">
        <v>31</v>
      </c>
      <c r="L5941" t="s">
        <v>32</v>
      </c>
      <c r="M5941" t="s">
        <v>33</v>
      </c>
      <c r="P5941" s="1" t="s">
        <v>19974</v>
      </c>
      <c r="Q5941" s="1" t="s">
        <v>19257</v>
      </c>
      <c r="R5941" s="1" t="s">
        <v>19257</v>
      </c>
      <c r="S5941" s="1"/>
      <c r="T5941" s="1" t="s">
        <v>10919</v>
      </c>
      <c r="U5941" s="1"/>
      <c r="V5941" s="1">
        <v>1.501</v>
      </c>
      <c r="W5941" s="1">
        <v>1.501</v>
      </c>
      <c r="X5941" s="1" t="s">
        <v>35</v>
      </c>
      <c r="Y5941" s="1">
        <v>1501000</v>
      </c>
      <c r="Z5941" s="1"/>
      <c r="AA5941" s="1">
        <v>1501000</v>
      </c>
      <c r="AB5941" s="1"/>
      <c r="AC5941" s="1" t="s">
        <v>36</v>
      </c>
      <c r="AD5941" s="1" t="s">
        <v>19975</v>
      </c>
      <c r="AE5941" s="1" t="s">
        <v>32</v>
      </c>
      <c r="AF5941" s="1" t="s">
        <v>33</v>
      </c>
      <c r="AG5941" s="1" t="s">
        <v>270</v>
      </c>
    </row>
    <row r="5942" spans="1:33">
      <c r="A5942" t="s">
        <v>19976</v>
      </c>
      <c r="B5942" t="s">
        <v>16359</v>
      </c>
      <c r="C5942" t="s">
        <v>314</v>
      </c>
      <c r="E5942" t="s">
        <v>19257</v>
      </c>
      <c r="F5942" t="s">
        <v>19258</v>
      </c>
      <c r="G5942">
        <v>23.13</v>
      </c>
      <c r="H5942">
        <v>23.13</v>
      </c>
      <c r="I5942" t="s">
        <v>179</v>
      </c>
      <c r="J5942" t="s">
        <v>180</v>
      </c>
      <c r="K5942" t="s">
        <v>31</v>
      </c>
      <c r="L5942" t="s">
        <v>32</v>
      </c>
      <c r="M5942" t="s">
        <v>33</v>
      </c>
      <c r="P5942" s="1" t="s">
        <v>19977</v>
      </c>
      <c r="Q5942" s="1" t="s">
        <v>19257</v>
      </c>
      <c r="R5942" s="1" t="s">
        <v>19257</v>
      </c>
      <c r="S5942" s="1"/>
      <c r="T5942" s="1" t="s">
        <v>314</v>
      </c>
      <c r="U5942" s="1"/>
      <c r="V5942" s="1">
        <v>23.13</v>
      </c>
      <c r="W5942" s="1">
        <v>23.13</v>
      </c>
      <c r="X5942" s="1" t="s">
        <v>35</v>
      </c>
      <c r="Y5942" s="1">
        <v>23130</v>
      </c>
      <c r="Z5942" s="1"/>
      <c r="AA5942" s="1">
        <v>23130</v>
      </c>
      <c r="AB5942" s="1"/>
      <c r="AC5942" s="1" t="s">
        <v>36</v>
      </c>
      <c r="AD5942" s="1" t="s">
        <v>19978</v>
      </c>
      <c r="AE5942" s="1" t="s">
        <v>32</v>
      </c>
      <c r="AF5942" s="1" t="s">
        <v>33</v>
      </c>
      <c r="AG5942" s="1" t="s">
        <v>180</v>
      </c>
    </row>
    <row r="5943" spans="1:33">
      <c r="A5943" t="s">
        <v>19979</v>
      </c>
      <c r="C5943" t="s">
        <v>2284</v>
      </c>
      <c r="E5943" t="s">
        <v>19257</v>
      </c>
      <c r="F5943" t="s">
        <v>19258</v>
      </c>
      <c r="G5943">
        <v>3.166</v>
      </c>
      <c r="H5943">
        <v>3.166</v>
      </c>
      <c r="I5943" t="s">
        <v>269</v>
      </c>
      <c r="J5943" t="s">
        <v>270</v>
      </c>
      <c r="K5943" t="s">
        <v>31</v>
      </c>
      <c r="L5943" t="s">
        <v>32</v>
      </c>
      <c r="M5943" t="s">
        <v>33</v>
      </c>
      <c r="P5943" s="1" t="s">
        <v>19980</v>
      </c>
      <c r="Q5943" s="1" t="s">
        <v>19257</v>
      </c>
      <c r="R5943" s="1" t="s">
        <v>19257</v>
      </c>
      <c r="S5943" s="1"/>
      <c r="T5943" s="1" t="s">
        <v>2284</v>
      </c>
      <c r="U5943" s="1"/>
      <c r="V5943" s="1">
        <v>3.166</v>
      </c>
      <c r="W5943" s="1">
        <v>3.166</v>
      </c>
      <c r="X5943" s="1" t="s">
        <v>35</v>
      </c>
      <c r="Y5943" s="1">
        <v>3166250</v>
      </c>
      <c r="Z5943" s="1"/>
      <c r="AA5943" s="1">
        <v>3166250</v>
      </c>
      <c r="AB5943" s="1"/>
      <c r="AC5943" s="1" t="s">
        <v>36</v>
      </c>
      <c r="AD5943" s="1" t="s">
        <v>19981</v>
      </c>
      <c r="AE5943" s="1" t="s">
        <v>32</v>
      </c>
      <c r="AF5943" s="1" t="s">
        <v>33</v>
      </c>
      <c r="AG5943" s="1" t="s">
        <v>270</v>
      </c>
    </row>
    <row r="5944" spans="1:33">
      <c r="A5944" t="s">
        <v>19982</v>
      </c>
      <c r="C5944" t="s">
        <v>2747</v>
      </c>
      <c r="E5944" t="s">
        <v>19257</v>
      </c>
      <c r="F5944" t="s">
        <v>19258</v>
      </c>
      <c r="G5944">
        <v>1.64</v>
      </c>
      <c r="H5944">
        <v>1.64</v>
      </c>
      <c r="I5944" t="s">
        <v>269</v>
      </c>
      <c r="J5944" t="s">
        <v>270</v>
      </c>
      <c r="K5944" t="s">
        <v>31</v>
      </c>
      <c r="L5944" t="s">
        <v>32</v>
      </c>
      <c r="M5944" t="s">
        <v>33</v>
      </c>
      <c r="P5944" s="1" t="s">
        <v>19983</v>
      </c>
      <c r="Q5944" s="1" t="s">
        <v>19257</v>
      </c>
      <c r="R5944" s="1" t="s">
        <v>19257</v>
      </c>
      <c r="S5944" s="1"/>
      <c r="T5944" s="1" t="s">
        <v>2747</v>
      </c>
      <c r="U5944" s="1"/>
      <c r="V5944" s="1">
        <v>1.64</v>
      </c>
      <c r="W5944" s="1">
        <v>1.64</v>
      </c>
      <c r="X5944" s="1" t="s">
        <v>35</v>
      </c>
      <c r="Y5944" s="1">
        <v>1640000</v>
      </c>
      <c r="Z5944" s="1"/>
      <c r="AA5944" s="1">
        <v>1640000</v>
      </c>
      <c r="AB5944" s="1"/>
      <c r="AC5944" s="1" t="s">
        <v>36</v>
      </c>
      <c r="AD5944" s="1" t="s">
        <v>19984</v>
      </c>
      <c r="AE5944" s="1" t="s">
        <v>32</v>
      </c>
      <c r="AF5944" s="1" t="s">
        <v>33</v>
      </c>
      <c r="AG5944" s="1" t="s">
        <v>270</v>
      </c>
    </row>
    <row r="5945" spans="1:33">
      <c r="A5945" t="s">
        <v>19985</v>
      </c>
      <c r="C5945" t="s">
        <v>6581</v>
      </c>
      <c r="E5945" t="s">
        <v>19257</v>
      </c>
      <c r="F5945" t="s">
        <v>19258</v>
      </c>
      <c r="G5945">
        <v>3.36</v>
      </c>
      <c r="H5945">
        <v>3.36</v>
      </c>
      <c r="I5945" t="s">
        <v>2206</v>
      </c>
      <c r="J5945" t="s">
        <v>49</v>
      </c>
      <c r="K5945" t="s">
        <v>31</v>
      </c>
      <c r="L5945" t="s">
        <v>32</v>
      </c>
      <c r="M5945" t="s">
        <v>33</v>
      </c>
      <c r="P5945" s="1" t="s">
        <v>19986</v>
      </c>
      <c r="Q5945" s="1" t="s">
        <v>19257</v>
      </c>
      <c r="R5945" s="1" t="s">
        <v>19257</v>
      </c>
      <c r="S5945" s="1"/>
      <c r="T5945" s="1" t="s">
        <v>6581</v>
      </c>
      <c r="U5945" s="1"/>
      <c r="V5945" s="1">
        <v>3.36</v>
      </c>
      <c r="W5945" s="1">
        <v>3.36</v>
      </c>
      <c r="X5945" s="1" t="s">
        <v>35</v>
      </c>
      <c r="Y5945" s="1">
        <v>3360000</v>
      </c>
      <c r="Z5945" s="1"/>
      <c r="AA5945" s="1">
        <v>3360000</v>
      </c>
      <c r="AB5945" s="1"/>
      <c r="AC5945" s="1" t="s">
        <v>36</v>
      </c>
      <c r="AD5945" s="1" t="s">
        <v>19987</v>
      </c>
      <c r="AE5945" s="1" t="s">
        <v>32</v>
      </c>
      <c r="AF5945" s="1" t="s">
        <v>33</v>
      </c>
      <c r="AG5945" s="1" t="s">
        <v>49</v>
      </c>
    </row>
    <row r="5946" spans="1:33">
      <c r="A5946" t="s">
        <v>19988</v>
      </c>
      <c r="C5946" t="s">
        <v>1522</v>
      </c>
      <c r="E5946" t="s">
        <v>19257</v>
      </c>
      <c r="F5946" t="s">
        <v>19258</v>
      </c>
      <c r="G5946">
        <v>328.0</v>
      </c>
      <c r="H5946">
        <v>328.0</v>
      </c>
      <c r="I5946" t="s">
        <v>227</v>
      </c>
      <c r="J5946" t="s">
        <v>228</v>
      </c>
      <c r="K5946" t="s">
        <v>31</v>
      </c>
      <c r="L5946" t="s">
        <v>32</v>
      </c>
      <c r="M5946" t="s">
        <v>33</v>
      </c>
      <c r="P5946" s="1" t="s">
        <v>19989</v>
      </c>
      <c r="Q5946" s="1" t="s">
        <v>19257</v>
      </c>
      <c r="R5946" s="1" t="s">
        <v>19257</v>
      </c>
      <c r="S5946" s="1"/>
      <c r="T5946" s="1" t="s">
        <v>1522</v>
      </c>
      <c r="U5946" s="1"/>
      <c r="V5946" s="1">
        <v>328.0</v>
      </c>
      <c r="W5946" s="1">
        <v>328.0</v>
      </c>
      <c r="X5946" s="1" t="s">
        <v>35</v>
      </c>
      <c r="Y5946" s="1">
        <v>328000</v>
      </c>
      <c r="Z5946" s="1"/>
      <c r="AA5946" s="1">
        <v>328000</v>
      </c>
      <c r="AB5946" s="1"/>
      <c r="AC5946" s="1" t="s">
        <v>36</v>
      </c>
      <c r="AD5946" s="1" t="s">
        <v>19990</v>
      </c>
      <c r="AE5946" s="1" t="s">
        <v>32</v>
      </c>
      <c r="AF5946" s="1" t="s">
        <v>33</v>
      </c>
      <c r="AG5946" s="1" t="s">
        <v>228</v>
      </c>
    </row>
    <row r="5947" spans="1:33">
      <c r="A5947" t="s">
        <v>19991</v>
      </c>
      <c r="B5947" t="s">
        <v>206</v>
      </c>
      <c r="C5947" t="s">
        <v>207</v>
      </c>
      <c r="E5947" t="s">
        <v>19257</v>
      </c>
      <c r="F5947" t="s">
        <v>19258</v>
      </c>
      <c r="G5947">
        <v>756.1</v>
      </c>
      <c r="H5947">
        <v>756.1</v>
      </c>
      <c r="I5947" t="s">
        <v>59</v>
      </c>
      <c r="J5947" t="s">
        <v>60</v>
      </c>
      <c r="K5947" t="s">
        <v>31</v>
      </c>
      <c r="L5947" t="s">
        <v>32</v>
      </c>
      <c r="M5947" t="s">
        <v>33</v>
      </c>
      <c r="P5947" s="1" t="s">
        <v>19992</v>
      </c>
      <c r="Q5947" s="1" t="s">
        <v>19257</v>
      </c>
      <c r="R5947" s="1" t="s">
        <v>19257</v>
      </c>
      <c r="S5947" s="1"/>
      <c r="T5947" s="1" t="s">
        <v>207</v>
      </c>
      <c r="U5947" s="1"/>
      <c r="V5947" s="1">
        <v>756.1</v>
      </c>
      <c r="W5947" s="1">
        <v>756.1</v>
      </c>
      <c r="X5947" s="1" t="s">
        <v>35</v>
      </c>
      <c r="Y5947" s="1">
        <v>756100</v>
      </c>
      <c r="Z5947" s="1"/>
      <c r="AA5947" s="1">
        <v>756100</v>
      </c>
      <c r="AB5947" s="1"/>
      <c r="AC5947" s="1" t="s">
        <v>36</v>
      </c>
      <c r="AD5947" s="1" t="s">
        <v>19993</v>
      </c>
      <c r="AE5947" s="1" t="s">
        <v>1636</v>
      </c>
      <c r="AF5947" s="1" t="s">
        <v>33</v>
      </c>
      <c r="AG5947" s="1" t="s">
        <v>60</v>
      </c>
    </row>
    <row r="5948" spans="1:33">
      <c r="A5948" t="s">
        <v>19994</v>
      </c>
      <c r="C5948" t="s">
        <v>763</v>
      </c>
      <c r="E5948" t="s">
        <v>19257</v>
      </c>
      <c r="F5948" t="s">
        <v>18430</v>
      </c>
      <c r="G5948">
        <v>2.97</v>
      </c>
      <c r="H5948">
        <v>2.97</v>
      </c>
      <c r="I5948" t="s">
        <v>179</v>
      </c>
      <c r="J5948" t="s">
        <v>180</v>
      </c>
      <c r="K5948" t="s">
        <v>31</v>
      </c>
      <c r="L5948" t="s">
        <v>32</v>
      </c>
      <c r="M5948" t="s">
        <v>33</v>
      </c>
      <c r="P5948" s="1" t="s">
        <v>19995</v>
      </c>
      <c r="Q5948" s="1" t="s">
        <v>19257</v>
      </c>
      <c r="R5948" s="1" t="s">
        <v>19257</v>
      </c>
      <c r="S5948" s="1"/>
      <c r="T5948" s="1" t="s">
        <v>763</v>
      </c>
      <c r="U5948" s="1"/>
      <c r="V5948" s="1">
        <v>2.97</v>
      </c>
      <c r="W5948" s="1">
        <v>2.97</v>
      </c>
      <c r="X5948" s="1" t="s">
        <v>35</v>
      </c>
      <c r="Y5948" s="1">
        <v>2970600</v>
      </c>
      <c r="Z5948" s="1"/>
      <c r="AA5948" s="1">
        <v>2970600</v>
      </c>
      <c r="AB5948" s="1"/>
      <c r="AC5948" s="1" t="s">
        <v>36</v>
      </c>
      <c r="AD5948" s="1" t="s">
        <v>19996</v>
      </c>
      <c r="AE5948" s="1" t="s">
        <v>1636</v>
      </c>
      <c r="AF5948" s="1" t="s">
        <v>33</v>
      </c>
      <c r="AG5948" s="1" t="s">
        <v>180</v>
      </c>
    </row>
    <row r="5949" spans="1:33">
      <c r="A5949" t="s">
        <v>19997</v>
      </c>
      <c r="B5949" t="s">
        <v>19998</v>
      </c>
      <c r="C5949" t="s">
        <v>68</v>
      </c>
      <c r="E5949" t="s">
        <v>19257</v>
      </c>
      <c r="F5949" t="s">
        <v>19258</v>
      </c>
      <c r="G5949">
        <v>231.559</v>
      </c>
      <c r="H5949">
        <v>231.559</v>
      </c>
      <c r="I5949" t="s">
        <v>59</v>
      </c>
      <c r="J5949" t="s">
        <v>60</v>
      </c>
      <c r="K5949" t="s">
        <v>31</v>
      </c>
      <c r="L5949" t="s">
        <v>32</v>
      </c>
      <c r="M5949" t="s">
        <v>33</v>
      </c>
      <c r="P5949" s="1" t="s">
        <v>19999</v>
      </c>
      <c r="Q5949" s="1" t="s">
        <v>19257</v>
      </c>
      <c r="R5949" s="1" t="s">
        <v>19257</v>
      </c>
      <c r="S5949" s="1"/>
      <c r="T5949" s="1" t="s">
        <v>68</v>
      </c>
      <c r="U5949" s="1"/>
      <c r="V5949" s="1">
        <v>231.559</v>
      </c>
      <c r="W5949" s="1">
        <v>231.559</v>
      </c>
      <c r="X5949" s="1" t="s">
        <v>35</v>
      </c>
      <c r="Y5949" s="1">
        <v>231559</v>
      </c>
      <c r="Z5949" s="1"/>
      <c r="AA5949" s="1">
        <v>231559</v>
      </c>
      <c r="AB5949" s="1"/>
      <c r="AC5949" s="1" t="s">
        <v>36</v>
      </c>
      <c r="AD5949" s="1" t="s">
        <v>20000</v>
      </c>
      <c r="AE5949" s="1" t="s">
        <v>1636</v>
      </c>
      <c r="AF5949" s="1" t="s">
        <v>33</v>
      </c>
      <c r="AG5949" s="1" t="s">
        <v>60</v>
      </c>
    </row>
    <row r="5950" spans="1:33">
      <c r="A5950" t="s">
        <v>20001</v>
      </c>
      <c r="B5950" t="s">
        <v>2899</v>
      </c>
      <c r="C5950" t="s">
        <v>314</v>
      </c>
      <c r="E5950" t="s">
        <v>19257</v>
      </c>
      <c r="F5950" t="s">
        <v>19258</v>
      </c>
      <c r="G5950">
        <v>179.02</v>
      </c>
      <c r="H5950">
        <v>179.02</v>
      </c>
      <c r="I5950" t="s">
        <v>179</v>
      </c>
      <c r="J5950" t="s">
        <v>180</v>
      </c>
      <c r="K5950" t="s">
        <v>31</v>
      </c>
      <c r="L5950" t="s">
        <v>32</v>
      </c>
      <c r="M5950" t="s">
        <v>33</v>
      </c>
      <c r="P5950" s="1" t="s">
        <v>20002</v>
      </c>
      <c r="Q5950" s="1" t="s">
        <v>19257</v>
      </c>
      <c r="R5950" s="1" t="s">
        <v>19257</v>
      </c>
      <c r="S5950" s="1"/>
      <c r="T5950" s="1" t="s">
        <v>314</v>
      </c>
      <c r="U5950" s="1"/>
      <c r="V5950" s="1">
        <v>179.02</v>
      </c>
      <c r="W5950" s="1">
        <v>179.02</v>
      </c>
      <c r="X5950" s="1" t="s">
        <v>35</v>
      </c>
      <c r="Y5950" s="1">
        <v>179020</v>
      </c>
      <c r="Z5950" s="1"/>
      <c r="AA5950" s="1">
        <v>179020</v>
      </c>
      <c r="AB5950" s="1"/>
      <c r="AC5950" s="1" t="s">
        <v>36</v>
      </c>
      <c r="AD5950" s="1" t="s">
        <v>20003</v>
      </c>
      <c r="AE5950" s="1" t="s">
        <v>32</v>
      </c>
      <c r="AF5950" s="1" t="s">
        <v>33</v>
      </c>
      <c r="AG5950" s="1" t="s">
        <v>180</v>
      </c>
    </row>
    <row r="5951" spans="1:33">
      <c r="A5951" t="s">
        <v>20004</v>
      </c>
      <c r="B5951" t="s">
        <v>5985</v>
      </c>
      <c r="C5951" t="s">
        <v>125</v>
      </c>
      <c r="E5951" t="s">
        <v>19257</v>
      </c>
      <c r="F5951" t="s">
        <v>19258</v>
      </c>
      <c r="G5951">
        <v>56.874</v>
      </c>
      <c r="H5951">
        <v>56.874</v>
      </c>
      <c r="I5951" t="s">
        <v>126</v>
      </c>
      <c r="J5951" t="s">
        <v>127</v>
      </c>
      <c r="K5951" t="s">
        <v>31</v>
      </c>
      <c r="L5951" t="s">
        <v>32</v>
      </c>
      <c r="M5951" t="s">
        <v>33</v>
      </c>
      <c r="P5951" s="1" t="s">
        <v>20005</v>
      </c>
      <c r="Q5951" s="1" t="s">
        <v>19257</v>
      </c>
      <c r="R5951" s="1" t="s">
        <v>19257</v>
      </c>
      <c r="S5951" s="1"/>
      <c r="T5951" s="1" t="s">
        <v>125</v>
      </c>
      <c r="U5951" s="1"/>
      <c r="V5951" s="1">
        <v>56.874</v>
      </c>
      <c r="W5951" s="1">
        <v>56.874</v>
      </c>
      <c r="X5951" s="1" t="s">
        <v>35</v>
      </c>
      <c r="Y5951" s="1">
        <v>56874</v>
      </c>
      <c r="Z5951" s="1"/>
      <c r="AA5951" s="1">
        <v>56874</v>
      </c>
      <c r="AB5951" s="1"/>
      <c r="AC5951" s="1" t="s">
        <v>36</v>
      </c>
      <c r="AD5951" s="1" t="s">
        <v>20006</v>
      </c>
      <c r="AE5951" s="1" t="s">
        <v>32</v>
      </c>
      <c r="AF5951" s="1" t="s">
        <v>33</v>
      </c>
      <c r="AG5951" s="1" t="s">
        <v>127</v>
      </c>
    </row>
    <row r="5952" spans="1:33">
      <c r="A5952" t="s">
        <v>20007</v>
      </c>
      <c r="B5952" t="s">
        <v>20008</v>
      </c>
      <c r="C5952" t="s">
        <v>47</v>
      </c>
      <c r="E5952" t="s">
        <v>19257</v>
      </c>
      <c r="F5952" t="s">
        <v>19258</v>
      </c>
      <c r="G5952">
        <v>99.45</v>
      </c>
      <c r="H5952">
        <v>99.45</v>
      </c>
      <c r="I5952" t="s">
        <v>2206</v>
      </c>
      <c r="J5952" t="s">
        <v>49</v>
      </c>
      <c r="K5952" t="s">
        <v>31</v>
      </c>
      <c r="L5952" t="s">
        <v>32</v>
      </c>
      <c r="M5952" t="s">
        <v>33</v>
      </c>
      <c r="P5952" s="1" t="s">
        <v>20009</v>
      </c>
      <c r="Q5952" s="1" t="s">
        <v>19257</v>
      </c>
      <c r="R5952" s="1" t="s">
        <v>19257</v>
      </c>
      <c r="S5952" s="1"/>
      <c r="T5952" s="1" t="s">
        <v>47</v>
      </c>
      <c r="U5952" s="1"/>
      <c r="V5952" s="1">
        <v>99.45</v>
      </c>
      <c r="W5952" s="1">
        <v>99.45</v>
      </c>
      <c r="X5952" s="1" t="s">
        <v>35</v>
      </c>
      <c r="Y5952" s="1">
        <v>99450</v>
      </c>
      <c r="Z5952" s="1"/>
      <c r="AA5952" s="1">
        <v>99450</v>
      </c>
      <c r="AB5952" s="1"/>
      <c r="AC5952" s="1" t="s">
        <v>36</v>
      </c>
      <c r="AD5952" s="1" t="s">
        <v>20010</v>
      </c>
      <c r="AE5952" s="1" t="s">
        <v>1636</v>
      </c>
      <c r="AF5952" s="1" t="s">
        <v>33</v>
      </c>
      <c r="AG5952" s="1" t="s">
        <v>49</v>
      </c>
    </row>
    <row r="5953" spans="1:33">
      <c r="A5953" t="s">
        <v>20011</v>
      </c>
      <c r="C5953" t="s">
        <v>4555</v>
      </c>
      <c r="E5953" t="s">
        <v>19257</v>
      </c>
      <c r="F5953" t="s">
        <v>19258</v>
      </c>
      <c r="G5953">
        <v>581.25</v>
      </c>
      <c r="H5953">
        <v>581.25</v>
      </c>
      <c r="I5953" t="s">
        <v>179</v>
      </c>
      <c r="J5953" t="s">
        <v>180</v>
      </c>
      <c r="K5953" t="s">
        <v>31</v>
      </c>
      <c r="L5953" t="s">
        <v>32</v>
      </c>
      <c r="M5953" t="s">
        <v>33</v>
      </c>
      <c r="P5953" s="1" t="s">
        <v>20012</v>
      </c>
      <c r="Q5953" s="1" t="s">
        <v>19257</v>
      </c>
      <c r="R5953" s="1" t="s">
        <v>19257</v>
      </c>
      <c r="S5953" s="1"/>
      <c r="T5953" s="1" t="s">
        <v>4555</v>
      </c>
      <c r="U5953" s="1"/>
      <c r="V5953" s="1">
        <v>581.25</v>
      </c>
      <c r="W5953" s="1">
        <v>581.25</v>
      </c>
      <c r="X5953" s="1" t="s">
        <v>35</v>
      </c>
      <c r="Y5953" s="1">
        <v>581250</v>
      </c>
      <c r="Z5953" s="1"/>
      <c r="AA5953" s="1">
        <v>581250</v>
      </c>
      <c r="AB5953" s="1"/>
      <c r="AC5953" s="1" t="s">
        <v>36</v>
      </c>
      <c r="AD5953" s="1" t="s">
        <v>20013</v>
      </c>
      <c r="AE5953" s="1" t="s">
        <v>1636</v>
      </c>
      <c r="AF5953" s="1" t="s">
        <v>33</v>
      </c>
      <c r="AG5953" s="1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13</v>
      </c>
      <c r="C1" t="s">
        <v>14</v>
      </c>
      <c r="D1" t="s">
        <v>15</v>
      </c>
      <c r="E1" t="s">
        <v>2</v>
      </c>
      <c r="F1" t="s">
        <v>16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9</v>
      </c>
      <c r="O1" t="s">
        <v>22</v>
      </c>
      <c r="P1" t="s">
        <v>12</v>
      </c>
      <c r="Q1" t="s">
        <v>23</v>
      </c>
      <c r="R1" t="s">
        <v>24</v>
      </c>
    </row>
    <row r="2" spans="1:18">
      <c r="A2" t="s">
        <v>20014</v>
      </c>
      <c r="B2" t="s">
        <v>27</v>
      </c>
      <c r="C2" t="s">
        <v>27</v>
      </c>
      <c r="E2" t="s">
        <v>20015</v>
      </c>
      <c r="G2">
        <v>100.0</v>
      </c>
      <c r="H2">
        <v>100.0</v>
      </c>
      <c r="I2" t="s">
        <v>35</v>
      </c>
      <c r="J2">
        <v>100000.0</v>
      </c>
      <c r="L2">
        <v>100000</v>
      </c>
      <c r="N2" t="s">
        <v>36</v>
      </c>
      <c r="O2" t="s">
        <v>20016</v>
      </c>
      <c r="P2" t="s">
        <v>32</v>
      </c>
      <c r="Q2" t="s">
        <v>33</v>
      </c>
      <c r="R2" t="s">
        <v>49</v>
      </c>
    </row>
    <row r="3" spans="1:18">
      <c r="A3" t="s">
        <v>20017</v>
      </c>
      <c r="B3" t="s">
        <v>27</v>
      </c>
      <c r="C3" t="s">
        <v>27</v>
      </c>
      <c r="E3" t="s">
        <v>20018</v>
      </c>
      <c r="F3" t="s">
        <v>114</v>
      </c>
      <c r="G3">
        <v>621.3</v>
      </c>
      <c r="H3">
        <v>621.3</v>
      </c>
      <c r="I3" t="s">
        <v>35</v>
      </c>
      <c r="J3">
        <v>621300.0</v>
      </c>
      <c r="L3">
        <v>621300</v>
      </c>
      <c r="N3" t="s">
        <v>36</v>
      </c>
      <c r="O3" t="s">
        <v>710</v>
      </c>
      <c r="P3" t="s">
        <v>32</v>
      </c>
      <c r="Q3" t="s">
        <v>33</v>
      </c>
      <c r="R3" t="s">
        <v>270</v>
      </c>
    </row>
    <row r="4" spans="1:18">
      <c r="A4" t="s">
        <v>20019</v>
      </c>
      <c r="B4" t="s">
        <v>1562</v>
      </c>
      <c r="C4" t="s">
        <v>20020</v>
      </c>
      <c r="E4" t="s">
        <v>414</v>
      </c>
      <c r="I4" t="s">
        <v>35</v>
      </c>
      <c r="N4" t="s">
        <v>36</v>
      </c>
      <c r="O4" t="s">
        <v>20021</v>
      </c>
      <c r="P4" t="s">
        <v>32</v>
      </c>
      <c r="Q4" t="s">
        <v>33</v>
      </c>
      <c r="R4" t="s">
        <v>540</v>
      </c>
    </row>
    <row r="5" spans="1:18">
      <c r="A5" t="s">
        <v>20022</v>
      </c>
      <c r="B5" t="s">
        <v>2292</v>
      </c>
      <c r="C5" t="s">
        <v>2292</v>
      </c>
      <c r="E5" t="s">
        <v>20015</v>
      </c>
      <c r="G5">
        <v>356.0</v>
      </c>
      <c r="H5">
        <v>356.0</v>
      </c>
      <c r="I5" t="s">
        <v>35</v>
      </c>
      <c r="J5">
        <v>356000.0</v>
      </c>
      <c r="L5">
        <v>356000</v>
      </c>
      <c r="N5" t="s">
        <v>36</v>
      </c>
      <c r="O5" t="s">
        <v>2907</v>
      </c>
      <c r="P5" t="s">
        <v>32</v>
      </c>
      <c r="Q5" t="s">
        <v>33</v>
      </c>
      <c r="R5" t="s">
        <v>49</v>
      </c>
    </row>
    <row r="6" spans="1:18">
      <c r="A6" t="s">
        <v>20023</v>
      </c>
      <c r="B6" t="s">
        <v>2984</v>
      </c>
      <c r="C6" t="s">
        <v>20020</v>
      </c>
      <c r="E6" t="s">
        <v>414</v>
      </c>
      <c r="I6" t="s">
        <v>35</v>
      </c>
      <c r="N6" t="s">
        <v>36</v>
      </c>
      <c r="O6" t="s">
        <v>20024</v>
      </c>
      <c r="P6" t="s">
        <v>32</v>
      </c>
      <c r="Q6" t="s">
        <v>33</v>
      </c>
      <c r="R6" t="s">
        <v>540</v>
      </c>
    </row>
    <row r="7" spans="1:18">
      <c r="A7" t="s">
        <v>20025</v>
      </c>
      <c r="B7" t="s">
        <v>5469</v>
      </c>
      <c r="C7" t="s">
        <v>5469</v>
      </c>
      <c r="E7" t="s">
        <v>125</v>
      </c>
      <c r="I7" t="s">
        <v>35</v>
      </c>
      <c r="N7" t="s">
        <v>36</v>
      </c>
      <c r="O7" t="s">
        <v>20026</v>
      </c>
      <c r="P7" t="s">
        <v>32</v>
      </c>
      <c r="Q7" t="s">
        <v>33</v>
      </c>
      <c r="R7" t="s">
        <v>127</v>
      </c>
    </row>
    <row r="8" spans="1:18">
      <c r="A8" t="s">
        <v>20027</v>
      </c>
      <c r="B8" t="s">
        <v>6700</v>
      </c>
      <c r="C8" t="s">
        <v>6700</v>
      </c>
      <c r="E8" t="s">
        <v>314</v>
      </c>
      <c r="I8" t="s">
        <v>35</v>
      </c>
      <c r="N8" t="s">
        <v>36</v>
      </c>
      <c r="O8" t="s">
        <v>6709</v>
      </c>
      <c r="P8" t="s">
        <v>32</v>
      </c>
      <c r="Q8" t="s">
        <v>33</v>
      </c>
      <c r="R8" t="s">
        <v>180</v>
      </c>
    </row>
    <row r="9" spans="1:18">
      <c r="A9" t="s">
        <v>20028</v>
      </c>
      <c r="B9" t="s">
        <v>6700</v>
      </c>
      <c r="C9" t="s">
        <v>6700</v>
      </c>
      <c r="E9" t="s">
        <v>20018</v>
      </c>
      <c r="F9" t="s">
        <v>114</v>
      </c>
      <c r="G9">
        <v>399.6</v>
      </c>
      <c r="H9">
        <v>399.6</v>
      </c>
      <c r="I9" t="s">
        <v>35</v>
      </c>
      <c r="J9">
        <v>399600.0</v>
      </c>
      <c r="L9">
        <v>399600.0</v>
      </c>
      <c r="N9" t="s">
        <v>36</v>
      </c>
      <c r="O9" t="s">
        <v>7304</v>
      </c>
      <c r="P9" t="s">
        <v>32</v>
      </c>
      <c r="Q9" t="s">
        <v>33</v>
      </c>
      <c r="R9" t="s">
        <v>270</v>
      </c>
    </row>
    <row r="10" spans="1:18">
      <c r="A10" t="s">
        <v>20029</v>
      </c>
      <c r="B10" t="s">
        <v>9612</v>
      </c>
      <c r="C10" t="s">
        <v>9612</v>
      </c>
      <c r="E10" t="s">
        <v>20018</v>
      </c>
      <c r="F10" t="s">
        <v>114</v>
      </c>
      <c r="G10">
        <v>570.3</v>
      </c>
      <c r="H10">
        <v>570.3</v>
      </c>
      <c r="I10" t="s">
        <v>35</v>
      </c>
      <c r="J10">
        <v>570300.0</v>
      </c>
      <c r="L10">
        <v>570300.0</v>
      </c>
      <c r="N10" t="s">
        <v>36</v>
      </c>
      <c r="O10" t="s">
        <v>10099</v>
      </c>
      <c r="P10" t="s">
        <v>32</v>
      </c>
      <c r="Q10" t="s">
        <v>33</v>
      </c>
      <c r="R10" t="s">
        <v>270</v>
      </c>
    </row>
    <row r="11" spans="1:18">
      <c r="A11" t="s">
        <v>20030</v>
      </c>
      <c r="B11" t="s">
        <v>10324</v>
      </c>
      <c r="C11" t="s">
        <v>20020</v>
      </c>
      <c r="E11" t="s">
        <v>1281</v>
      </c>
      <c r="I11" t="s">
        <v>35</v>
      </c>
      <c r="N11" t="s">
        <v>36</v>
      </c>
      <c r="O11" t="s">
        <v>20031</v>
      </c>
      <c r="P11" t="s">
        <v>32</v>
      </c>
      <c r="Q11" t="s">
        <v>33</v>
      </c>
      <c r="R11" t="s">
        <v>530</v>
      </c>
    </row>
    <row r="12" spans="1:18">
      <c r="A12" t="s">
        <v>20032</v>
      </c>
      <c r="B12" t="s">
        <v>12416</v>
      </c>
      <c r="C12" t="s">
        <v>20020</v>
      </c>
      <c r="E12" t="s">
        <v>5944</v>
      </c>
      <c r="I12" t="s">
        <v>35</v>
      </c>
      <c r="N12" t="s">
        <v>36</v>
      </c>
      <c r="O12" t="s">
        <v>20033</v>
      </c>
      <c r="P12" t="s">
        <v>32</v>
      </c>
      <c r="Q12" t="s">
        <v>33</v>
      </c>
      <c r="R12" t="s">
        <v>530</v>
      </c>
    </row>
    <row r="13" spans="1:18">
      <c r="A13" t="s">
        <v>20034</v>
      </c>
      <c r="B13" t="s">
        <v>12416</v>
      </c>
      <c r="C13" t="s">
        <v>12416</v>
      </c>
      <c r="E13" t="s">
        <v>20018</v>
      </c>
      <c r="F13" t="s">
        <v>114</v>
      </c>
      <c r="G13">
        <v>570.3</v>
      </c>
      <c r="H13">
        <v>570.3</v>
      </c>
      <c r="I13" t="s">
        <v>35</v>
      </c>
      <c r="J13">
        <v>570300.0</v>
      </c>
      <c r="L13">
        <v>570300.0</v>
      </c>
      <c r="N13" t="s">
        <v>36</v>
      </c>
      <c r="O13" t="s">
        <v>20035</v>
      </c>
      <c r="P13" t="s">
        <v>32</v>
      </c>
      <c r="Q13" t="s">
        <v>33</v>
      </c>
      <c r="R13" t="s">
        <v>270</v>
      </c>
    </row>
    <row r="14" spans="1:18">
      <c r="A14" t="s">
        <v>20036</v>
      </c>
      <c r="B14" t="s">
        <v>12416</v>
      </c>
      <c r="C14" t="s">
        <v>12416</v>
      </c>
      <c r="E14" t="s">
        <v>20037</v>
      </c>
      <c r="F14" t="s">
        <v>7955</v>
      </c>
      <c r="G14">
        <v>11.98</v>
      </c>
      <c r="H14">
        <v>11.98</v>
      </c>
      <c r="I14" t="s">
        <v>35</v>
      </c>
      <c r="J14">
        <v>11980.0</v>
      </c>
      <c r="L14">
        <v>11980.0</v>
      </c>
      <c r="N14" t="s">
        <v>36</v>
      </c>
      <c r="O14" t="s">
        <v>12754</v>
      </c>
      <c r="P14" t="s">
        <v>32</v>
      </c>
      <c r="Q14" t="s">
        <v>33</v>
      </c>
      <c r="R14" t="s">
        <v>60</v>
      </c>
    </row>
    <row r="15" spans="1:18">
      <c r="A15" t="s">
        <v>20038</v>
      </c>
      <c r="B15" t="s">
        <v>10495</v>
      </c>
      <c r="C15" t="s">
        <v>10495</v>
      </c>
      <c r="E15" t="s">
        <v>506</v>
      </c>
      <c r="I15" t="s">
        <v>35</v>
      </c>
      <c r="N15" t="s">
        <v>36</v>
      </c>
      <c r="O15" t="s">
        <v>20039</v>
      </c>
      <c r="P15" t="s">
        <v>32</v>
      </c>
      <c r="Q15" t="s">
        <v>33</v>
      </c>
      <c r="R15" t="s">
        <v>270</v>
      </c>
    </row>
    <row r="16" spans="1:18">
      <c r="A16" t="s">
        <v>20040</v>
      </c>
      <c r="B16" t="s">
        <v>10616</v>
      </c>
      <c r="C16" t="s">
        <v>10616</v>
      </c>
      <c r="E16" t="s">
        <v>20018</v>
      </c>
      <c r="F16" t="s">
        <v>114</v>
      </c>
      <c r="G16">
        <v>508.4</v>
      </c>
      <c r="H16">
        <v>508.4</v>
      </c>
      <c r="I16" t="s">
        <v>35</v>
      </c>
      <c r="J16">
        <v>508400.0</v>
      </c>
      <c r="L16">
        <v>508400.0</v>
      </c>
      <c r="N16" t="s">
        <v>36</v>
      </c>
      <c r="O16" t="s">
        <v>14781</v>
      </c>
      <c r="P16" t="s">
        <v>32</v>
      </c>
      <c r="Q16" t="s">
        <v>33</v>
      </c>
      <c r="R16" t="s">
        <v>270</v>
      </c>
    </row>
    <row r="17" spans="1:18">
      <c r="A17" t="s">
        <v>20041</v>
      </c>
      <c r="B17" t="s">
        <v>14225</v>
      </c>
      <c r="C17" t="s">
        <v>14225</v>
      </c>
      <c r="E17" t="s">
        <v>15535</v>
      </c>
      <c r="I17" t="s">
        <v>35</v>
      </c>
      <c r="N17" t="s">
        <v>36</v>
      </c>
      <c r="O17" t="s">
        <v>20042</v>
      </c>
      <c r="P17" t="s">
        <v>32</v>
      </c>
      <c r="Q17" t="s">
        <v>33</v>
      </c>
      <c r="R17" t="s">
        <v>270</v>
      </c>
    </row>
    <row r="18" spans="1:18">
      <c r="A18" t="s">
        <v>20043</v>
      </c>
      <c r="B18" t="s">
        <v>15359</v>
      </c>
      <c r="C18" t="s">
        <v>15359</v>
      </c>
      <c r="E18" t="s">
        <v>1197</v>
      </c>
      <c r="I18" t="s">
        <v>35</v>
      </c>
      <c r="M18">
        <v>-984000</v>
      </c>
      <c r="N18" t="s">
        <v>36</v>
      </c>
      <c r="O18" t="s">
        <v>16330</v>
      </c>
      <c r="P18" t="s">
        <v>32</v>
      </c>
      <c r="Q18" t="s">
        <v>33</v>
      </c>
      <c r="R18" t="s">
        <v>270</v>
      </c>
    </row>
    <row r="19" spans="1:18">
      <c r="A19" t="s">
        <v>20044</v>
      </c>
      <c r="B19" t="s">
        <v>16369</v>
      </c>
      <c r="C19" t="s">
        <v>16369</v>
      </c>
      <c r="E19" t="s">
        <v>9101</v>
      </c>
      <c r="F19" t="s">
        <v>9102</v>
      </c>
      <c r="I19" t="s">
        <v>35</v>
      </c>
      <c r="N19" t="s">
        <v>36</v>
      </c>
      <c r="O19" t="s">
        <v>16833</v>
      </c>
      <c r="P19" t="s">
        <v>32</v>
      </c>
      <c r="Q19" t="s">
        <v>33</v>
      </c>
      <c r="R19" t="s">
        <v>270</v>
      </c>
    </row>
    <row r="20" spans="1:18">
      <c r="A20" t="s">
        <v>20045</v>
      </c>
      <c r="B20" t="s">
        <v>16369</v>
      </c>
      <c r="C20" t="s">
        <v>16369</v>
      </c>
      <c r="E20" t="s">
        <v>20018</v>
      </c>
      <c r="F20" t="s">
        <v>114</v>
      </c>
      <c r="G20">
        <v>586.0</v>
      </c>
      <c r="H20">
        <v>586.0</v>
      </c>
      <c r="I20" t="s">
        <v>35</v>
      </c>
      <c r="J20">
        <v>586000</v>
      </c>
      <c r="L20">
        <v>586000</v>
      </c>
      <c r="N20" t="s">
        <v>36</v>
      </c>
      <c r="O20" t="s">
        <v>20046</v>
      </c>
      <c r="P20" t="s">
        <v>32</v>
      </c>
      <c r="Q20" t="s">
        <v>33</v>
      </c>
      <c r="R20" t="s">
        <v>270</v>
      </c>
    </row>
    <row r="21" spans="1:18">
      <c r="A21" t="s">
        <v>20047</v>
      </c>
      <c r="B21" t="s">
        <v>16369</v>
      </c>
      <c r="C21" t="s">
        <v>16369</v>
      </c>
      <c r="E21" t="s">
        <v>1197</v>
      </c>
      <c r="I21" t="s">
        <v>35</v>
      </c>
      <c r="M21">
        <v>-984000</v>
      </c>
      <c r="N21" t="s">
        <v>36</v>
      </c>
      <c r="O21" t="s">
        <v>20048</v>
      </c>
      <c r="P21" t="s">
        <v>32</v>
      </c>
      <c r="Q21" t="s">
        <v>33</v>
      </c>
      <c r="R21" t="s">
        <v>270</v>
      </c>
    </row>
    <row r="22" spans="1:18">
      <c r="A22" t="s">
        <v>20049</v>
      </c>
      <c r="B22" t="s">
        <v>17332</v>
      </c>
      <c r="C22" t="s">
        <v>17332</v>
      </c>
      <c r="E22" t="s">
        <v>3871</v>
      </c>
      <c r="I22" t="s">
        <v>35</v>
      </c>
      <c r="N22" t="s">
        <v>36</v>
      </c>
      <c r="O22" t="s">
        <v>17361</v>
      </c>
      <c r="P22" t="s">
        <v>32</v>
      </c>
      <c r="Q22" t="s">
        <v>33</v>
      </c>
      <c r="R22" t="s">
        <v>270</v>
      </c>
    </row>
    <row r="23" spans="1:18">
      <c r="A23" t="s">
        <v>20050</v>
      </c>
      <c r="B23" t="s">
        <v>17332</v>
      </c>
      <c r="C23" t="s">
        <v>20020</v>
      </c>
      <c r="E23" t="s">
        <v>4179</v>
      </c>
      <c r="I23" t="s">
        <v>35</v>
      </c>
      <c r="M23">
        <v>-9822418</v>
      </c>
      <c r="N23" t="s">
        <v>36</v>
      </c>
      <c r="O23" t="s">
        <v>20051</v>
      </c>
      <c r="P23" t="s">
        <v>32</v>
      </c>
      <c r="Q23" t="s">
        <v>33</v>
      </c>
      <c r="R23" t="s">
        <v>530</v>
      </c>
    </row>
    <row r="24" spans="1:18">
      <c r="A24" t="s">
        <v>20052</v>
      </c>
      <c r="B24" t="s">
        <v>17332</v>
      </c>
      <c r="C24" t="s">
        <v>17332</v>
      </c>
      <c r="E24" t="s">
        <v>20018</v>
      </c>
      <c r="F24" t="s">
        <v>114</v>
      </c>
      <c r="G24">
        <v>492.0</v>
      </c>
      <c r="H24">
        <v>492.0</v>
      </c>
      <c r="I24" t="s">
        <v>35</v>
      </c>
      <c r="J24">
        <v>492000</v>
      </c>
      <c r="L24">
        <v>492000</v>
      </c>
      <c r="N24" t="s">
        <v>36</v>
      </c>
      <c r="O24" t="s">
        <v>17664</v>
      </c>
      <c r="P24" t="s">
        <v>32</v>
      </c>
      <c r="Q24" t="s">
        <v>33</v>
      </c>
      <c r="R24" t="s">
        <v>270</v>
      </c>
    </row>
    <row r="25" spans="1:18">
      <c r="A25" t="s">
        <v>20053</v>
      </c>
      <c r="B25" t="s">
        <v>18429</v>
      </c>
      <c r="C25" t="s">
        <v>18429</v>
      </c>
      <c r="E25" t="s">
        <v>19779</v>
      </c>
      <c r="I25" t="s">
        <v>35</v>
      </c>
      <c r="N25" t="s">
        <v>36</v>
      </c>
      <c r="O25" t="s">
        <v>20054</v>
      </c>
      <c r="P25" t="s">
        <v>32</v>
      </c>
      <c r="Q25" t="s">
        <v>33</v>
      </c>
      <c r="R25" t="s">
        <v>270</v>
      </c>
    </row>
    <row r="26" spans="1:18">
      <c r="A26" t="s">
        <v>20055</v>
      </c>
      <c r="B26" t="s">
        <v>19257</v>
      </c>
      <c r="C26" t="s">
        <v>19257</v>
      </c>
      <c r="E26" t="s">
        <v>2741</v>
      </c>
      <c r="I26" t="s">
        <v>35</v>
      </c>
      <c r="N26" t="s">
        <v>36</v>
      </c>
      <c r="O26" t="s">
        <v>20056</v>
      </c>
      <c r="P26" t="s">
        <v>32</v>
      </c>
      <c r="Q26" t="s">
        <v>33</v>
      </c>
      <c r="R26" t="s">
        <v>2743</v>
      </c>
    </row>
    <row r="27" spans="1:18">
      <c r="A27" t="s">
        <v>20057</v>
      </c>
      <c r="B27" t="s">
        <v>19257</v>
      </c>
      <c r="C27" t="s">
        <v>19257</v>
      </c>
      <c r="E27" t="s">
        <v>207</v>
      </c>
      <c r="I27" t="s">
        <v>35</v>
      </c>
      <c r="N27" t="s">
        <v>36</v>
      </c>
      <c r="O27" t="s">
        <v>19314</v>
      </c>
      <c r="P27" t="s">
        <v>32</v>
      </c>
      <c r="Q27" t="s">
        <v>33</v>
      </c>
      <c r="R27" t="s">
        <v>60</v>
      </c>
    </row>
    <row r="28" spans="1:18">
      <c r="A28" t="s">
        <v>20058</v>
      </c>
      <c r="B28" t="s">
        <v>19257</v>
      </c>
      <c r="C28" t="s">
        <v>19257</v>
      </c>
      <c r="E28" t="s">
        <v>68</v>
      </c>
      <c r="I28" t="s">
        <v>35</v>
      </c>
      <c r="N28" t="s">
        <v>36</v>
      </c>
      <c r="O28" t="s">
        <v>19310</v>
      </c>
      <c r="P28" t="s">
        <v>32</v>
      </c>
      <c r="Q28" t="s">
        <v>33</v>
      </c>
      <c r="R28" t="s">
        <v>60</v>
      </c>
    </row>
    <row r="29" spans="1:18">
      <c r="A29" t="s">
        <v>20059</v>
      </c>
      <c r="B29" t="s">
        <v>19257</v>
      </c>
      <c r="C29" t="s">
        <v>19257</v>
      </c>
      <c r="E29" t="s">
        <v>207</v>
      </c>
      <c r="I29" t="s">
        <v>35</v>
      </c>
      <c r="N29" t="s">
        <v>36</v>
      </c>
      <c r="O29" t="s">
        <v>19384</v>
      </c>
      <c r="P29" t="s">
        <v>32</v>
      </c>
      <c r="Q29" t="s">
        <v>33</v>
      </c>
      <c r="R29" t="s">
        <v>60</v>
      </c>
    </row>
    <row r="30" spans="1:18">
      <c r="A30" t="s">
        <v>20060</v>
      </c>
      <c r="B30" t="s">
        <v>19257</v>
      </c>
      <c r="C30" t="s">
        <v>19257</v>
      </c>
      <c r="E30" t="s">
        <v>763</v>
      </c>
      <c r="I30" t="s">
        <v>35</v>
      </c>
      <c r="N30" t="s">
        <v>36</v>
      </c>
      <c r="O30" t="s">
        <v>20061</v>
      </c>
      <c r="P30" t="s">
        <v>32</v>
      </c>
      <c r="Q30" t="s">
        <v>33</v>
      </c>
      <c r="R30" t="s">
        <v>180</v>
      </c>
    </row>
    <row r="31" spans="1:18">
      <c r="A31" t="s">
        <v>20062</v>
      </c>
      <c r="B31" t="s">
        <v>19257</v>
      </c>
      <c r="C31" t="s">
        <v>19257</v>
      </c>
      <c r="E31" t="s">
        <v>19856</v>
      </c>
      <c r="I31" t="s">
        <v>35</v>
      </c>
      <c r="N31" t="s">
        <v>36</v>
      </c>
      <c r="O31" t="s">
        <v>19372</v>
      </c>
      <c r="P31" t="s">
        <v>32</v>
      </c>
      <c r="Q31" t="s">
        <v>33</v>
      </c>
      <c r="R31" t="s">
        <v>571</v>
      </c>
    </row>
    <row r="32" spans="1:18">
      <c r="A32" t="s">
        <v>20063</v>
      </c>
      <c r="B32" t="s">
        <v>19257</v>
      </c>
      <c r="C32" t="s">
        <v>19257</v>
      </c>
      <c r="E32" t="s">
        <v>4555</v>
      </c>
      <c r="I32" t="s">
        <v>35</v>
      </c>
      <c r="N32" t="s">
        <v>36</v>
      </c>
      <c r="O32" t="s">
        <v>19566</v>
      </c>
      <c r="P32" t="s">
        <v>32</v>
      </c>
      <c r="Q32" t="s">
        <v>33</v>
      </c>
      <c r="R32" t="s">
        <v>180</v>
      </c>
    </row>
    <row r="33" spans="1:18">
      <c r="A33" t="s">
        <v>20064</v>
      </c>
      <c r="B33" t="s">
        <v>19257</v>
      </c>
      <c r="C33" t="s">
        <v>19257</v>
      </c>
      <c r="E33" t="s">
        <v>1700</v>
      </c>
      <c r="I33" t="s">
        <v>35</v>
      </c>
      <c r="N33" t="s">
        <v>36</v>
      </c>
      <c r="O33" t="s">
        <v>20065</v>
      </c>
      <c r="P33" t="s">
        <v>32</v>
      </c>
      <c r="Q33" t="s">
        <v>33</v>
      </c>
      <c r="R33" t="s">
        <v>1702</v>
      </c>
    </row>
    <row r="34" spans="1:18">
      <c r="A34" t="s">
        <v>20066</v>
      </c>
      <c r="B34" t="s">
        <v>19257</v>
      </c>
      <c r="C34" t="s">
        <v>19257</v>
      </c>
      <c r="E34" t="s">
        <v>20018</v>
      </c>
      <c r="F34" t="s">
        <v>114</v>
      </c>
      <c r="G34">
        <v>507.7</v>
      </c>
      <c r="H34">
        <v>507.7</v>
      </c>
      <c r="I34" t="s">
        <v>35</v>
      </c>
      <c r="J34">
        <v>507700</v>
      </c>
      <c r="L34">
        <v>507700</v>
      </c>
      <c r="N34" t="s">
        <v>36</v>
      </c>
      <c r="O34" t="s">
        <v>19953</v>
      </c>
      <c r="P34" t="s">
        <v>32</v>
      </c>
      <c r="Q34" t="s">
        <v>33</v>
      </c>
      <c r="R34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1" workbookViewId="0" showGridLines="true" showRowColHeaders="1">
      <selection activeCell="B4" sqref="B4:B5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</cols>
  <sheetData>
    <row r="1" spans="1:2">
      <c r="A1" s="2" t="s">
        <v>20067</v>
      </c>
      <c r="B1" s="3">
        <f>counta(Worksheet!A:A)-1</f>
        <v>5952</v>
      </c>
    </row>
    <row r="2" spans="1:2">
      <c r="A2" s="2" t="s">
        <v>20068</v>
      </c>
      <c r="B2" s="3">
        <f>counta(Worksheet!P:P)-1</f>
        <v>5952</v>
      </c>
    </row>
    <row r="3" spans="1:2">
      <c r="A3" s="2" t="s">
        <v>20069</v>
      </c>
      <c r="B3" s="3">
        <f>counta(not_match!A:A)-1</f>
        <v>33</v>
      </c>
    </row>
    <row r="4" spans="1:2">
      <c r="A4" s="2" t="s">
        <v>20070</v>
      </c>
      <c r="B4" s="4">
        <f>B3/B1</f>
        <v>0.0055443548387097</v>
      </c>
    </row>
    <row r="5" spans="1:2">
      <c r="A5" s="2" t="s">
        <v>20071</v>
      </c>
      <c r="B5" s="4">
        <f>1-B4</f>
        <v>0.99445564516129</v>
      </c>
    </row>
    <row r="6" spans="1:2">
      <c r="A6" s="2" t="s">
        <v>20072</v>
      </c>
      <c r="B6" s="3">
        <f>sum(Worksheet!H:H)</f>
        <v>1345007.271</v>
      </c>
    </row>
    <row r="7" spans="1:2">
      <c r="A7" s="2" t="s">
        <v>20073</v>
      </c>
      <c r="B7" s="3">
        <f>sum(Worksheet!G:G)</f>
        <v>1344996.972</v>
      </c>
    </row>
    <row r="8" spans="1:2">
      <c r="A8" s="2" t="s">
        <v>20074</v>
      </c>
      <c r="B8" s="3">
        <f>sum(Worksheet!W:W)+sum(not_match!H:H)</f>
        <v>1349730.851</v>
      </c>
    </row>
    <row r="9" spans="1:2">
      <c r="A9" s="2" t="s">
        <v>20075</v>
      </c>
      <c r="B9" s="3">
        <f>sum(Worksheet!V:V)+sum(not_match!G:G)</f>
        <v>1349720.552</v>
      </c>
    </row>
    <row r="10" spans="1:2">
      <c r="A10" s="2"/>
      <c r="B10" s="3"/>
    </row>
    <row r="11" spans="1:2">
      <c r="A11" s="2" t="s">
        <v>20076</v>
      </c>
      <c r="B11" s="3">
        <f>B8-B6</f>
        <v>4723.5800000001</v>
      </c>
    </row>
    <row r="12" spans="1:2">
      <c r="A12" s="2" t="s">
        <v>20077</v>
      </c>
      <c r="B12" s="3">
        <f>B9-B7</f>
        <v>4723.5800000001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20078</v>
      </c>
      <c r="C2" t="s">
        <v>20079</v>
      </c>
      <c r="E2" t="s">
        <v>27</v>
      </c>
      <c r="F2" t="s">
        <v>28</v>
      </c>
      <c r="G2" t="s">
        <v>20080</v>
      </c>
      <c r="H2" t="s">
        <v>20080</v>
      </c>
      <c r="I2" t="s">
        <v>48</v>
      </c>
      <c r="J2" t="s">
        <v>49</v>
      </c>
      <c r="K2" t="s">
        <v>31</v>
      </c>
      <c r="L2" t="s">
        <v>32</v>
      </c>
      <c r="M2" t="s">
        <v>33</v>
      </c>
    </row>
    <row r="3" spans="1:13">
      <c r="A3" t="s">
        <v>20081</v>
      </c>
      <c r="C3" t="s">
        <v>20082</v>
      </c>
      <c r="E3" t="s">
        <v>27</v>
      </c>
      <c r="F3" t="s">
        <v>28</v>
      </c>
      <c r="G3" t="s">
        <v>20083</v>
      </c>
      <c r="H3" t="s">
        <v>20083</v>
      </c>
      <c r="I3" t="s">
        <v>269</v>
      </c>
      <c r="J3" t="s">
        <v>270</v>
      </c>
      <c r="K3" t="s">
        <v>31</v>
      </c>
      <c r="L3" t="s">
        <v>32</v>
      </c>
      <c r="M3" t="s">
        <v>33</v>
      </c>
    </row>
    <row r="4" spans="1:13">
      <c r="A4" t="s">
        <v>20084</v>
      </c>
      <c r="C4" t="s">
        <v>20079</v>
      </c>
      <c r="E4" t="s">
        <v>2292</v>
      </c>
      <c r="F4" t="s">
        <v>2293</v>
      </c>
      <c r="G4" t="s">
        <v>20085</v>
      </c>
      <c r="H4" t="s">
        <v>20085</v>
      </c>
      <c r="I4" t="s">
        <v>48</v>
      </c>
      <c r="J4" t="s">
        <v>49</v>
      </c>
      <c r="K4" t="s">
        <v>31</v>
      </c>
      <c r="L4" t="s">
        <v>32</v>
      </c>
      <c r="M4" t="s">
        <v>33</v>
      </c>
    </row>
    <row r="5" spans="1:13">
      <c r="A5" t="s">
        <v>20086</v>
      </c>
      <c r="C5" t="s">
        <v>20082</v>
      </c>
      <c r="E5" t="s">
        <v>6700</v>
      </c>
      <c r="F5" t="s">
        <v>6255</v>
      </c>
      <c r="G5" t="s">
        <v>20087</v>
      </c>
      <c r="H5" t="s">
        <v>20087</v>
      </c>
      <c r="I5" t="s">
        <v>269</v>
      </c>
      <c r="J5" t="s">
        <v>270</v>
      </c>
      <c r="K5" t="s">
        <v>31</v>
      </c>
      <c r="L5" t="s">
        <v>32</v>
      </c>
      <c r="M5" t="s">
        <v>33</v>
      </c>
    </row>
    <row r="6" spans="1:13">
      <c r="A6" t="s">
        <v>20088</v>
      </c>
      <c r="C6" t="s">
        <v>20082</v>
      </c>
      <c r="E6" t="s">
        <v>9612</v>
      </c>
      <c r="F6" t="s">
        <v>9613</v>
      </c>
      <c r="G6" t="s">
        <v>20089</v>
      </c>
      <c r="H6" t="s">
        <v>20089</v>
      </c>
      <c r="I6" t="s">
        <v>269</v>
      </c>
      <c r="J6" t="s">
        <v>270</v>
      </c>
      <c r="K6" t="s">
        <v>31</v>
      </c>
      <c r="L6" t="s">
        <v>32</v>
      </c>
      <c r="M6" t="s">
        <v>33</v>
      </c>
    </row>
    <row r="7" spans="1:13">
      <c r="A7" t="s">
        <v>20090</v>
      </c>
      <c r="C7" t="s">
        <v>20082</v>
      </c>
      <c r="E7" t="s">
        <v>12416</v>
      </c>
      <c r="F7" t="s">
        <v>12341</v>
      </c>
      <c r="G7" t="s">
        <v>20089</v>
      </c>
      <c r="H7" t="s">
        <v>20089</v>
      </c>
      <c r="I7" t="s">
        <v>269</v>
      </c>
      <c r="J7" t="s">
        <v>270</v>
      </c>
      <c r="K7" t="s">
        <v>31</v>
      </c>
      <c r="L7" t="s">
        <v>32</v>
      </c>
      <c r="M7" t="s">
        <v>33</v>
      </c>
    </row>
    <row r="8" spans="1:13">
      <c r="A8" t="s">
        <v>20091</v>
      </c>
      <c r="B8" t="s">
        <v>2325</v>
      </c>
      <c r="C8" t="s">
        <v>20092</v>
      </c>
      <c r="D8" t="s">
        <v>114</v>
      </c>
      <c r="E8" t="s">
        <v>12416</v>
      </c>
      <c r="F8" t="s">
        <v>12341</v>
      </c>
      <c r="G8" t="s">
        <v>20093</v>
      </c>
      <c r="H8" t="s">
        <v>20093</v>
      </c>
      <c r="I8" t="s">
        <v>59</v>
      </c>
      <c r="J8" t="s">
        <v>60</v>
      </c>
      <c r="K8" t="s">
        <v>31</v>
      </c>
      <c r="L8" t="s">
        <v>32</v>
      </c>
      <c r="M8" t="s">
        <v>33</v>
      </c>
    </row>
    <row r="9" spans="1:13">
      <c r="A9" t="s">
        <v>20094</v>
      </c>
      <c r="C9" t="s">
        <v>20082</v>
      </c>
      <c r="E9" t="s">
        <v>10616</v>
      </c>
      <c r="F9" t="s">
        <v>10617</v>
      </c>
      <c r="G9" t="s">
        <v>20095</v>
      </c>
      <c r="H9" t="s">
        <v>20095</v>
      </c>
      <c r="I9" t="s">
        <v>269</v>
      </c>
      <c r="J9" t="s">
        <v>270</v>
      </c>
      <c r="K9" t="s">
        <v>31</v>
      </c>
      <c r="L9" t="s">
        <v>32</v>
      </c>
      <c r="M9" t="s">
        <v>33</v>
      </c>
    </row>
    <row r="10" spans="1:13">
      <c r="A10" t="s">
        <v>20096</v>
      </c>
      <c r="C10" t="s">
        <v>20082</v>
      </c>
      <c r="E10" t="s">
        <v>16369</v>
      </c>
      <c r="F10" t="s">
        <v>16370</v>
      </c>
      <c r="G10" t="s">
        <v>20097</v>
      </c>
      <c r="H10" t="s">
        <v>20097</v>
      </c>
      <c r="I10" t="s">
        <v>269</v>
      </c>
      <c r="J10" t="s">
        <v>270</v>
      </c>
      <c r="K10" t="s">
        <v>31</v>
      </c>
      <c r="L10" t="s">
        <v>32</v>
      </c>
      <c r="M10" t="s">
        <v>33</v>
      </c>
    </row>
    <row r="11" spans="1:13">
      <c r="A11" t="s">
        <v>20098</v>
      </c>
      <c r="C11" t="s">
        <v>20082</v>
      </c>
      <c r="E11" t="s">
        <v>17332</v>
      </c>
      <c r="F11" t="s">
        <v>16399</v>
      </c>
      <c r="G11" t="s">
        <v>20099</v>
      </c>
      <c r="H11" t="s">
        <v>20099</v>
      </c>
      <c r="I11" t="s">
        <v>269</v>
      </c>
      <c r="J11" t="s">
        <v>270</v>
      </c>
      <c r="K11" t="s">
        <v>31</v>
      </c>
      <c r="L11" t="s">
        <v>32</v>
      </c>
      <c r="M11" t="s">
        <v>33</v>
      </c>
    </row>
    <row r="12" spans="1:13">
      <c r="A12" t="s">
        <v>20100</v>
      </c>
      <c r="C12" t="s">
        <v>20082</v>
      </c>
      <c r="E12" t="s">
        <v>19257</v>
      </c>
      <c r="F12" t="s">
        <v>19258</v>
      </c>
      <c r="G12" t="s">
        <v>20101</v>
      </c>
      <c r="H12" t="s">
        <v>20101</v>
      </c>
      <c r="I12" t="s">
        <v>269</v>
      </c>
      <c r="J12" t="s">
        <v>270</v>
      </c>
      <c r="K12" t="s">
        <v>31</v>
      </c>
      <c r="L12" t="s">
        <v>32</v>
      </c>
      <c r="M1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not_match</vt:lpstr>
      <vt:lpstr>Analyse</vt:lpstr>
      <vt:lpstr>empty_cmd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2026-02-09T08:24:32+00:00</dcterms:created>
  <dcterms:modified xsi:type="dcterms:W3CDTF">2026-02-09T08:24:32+00:00</dcterms:modified>
  <dc:title>Untitled Spreadsheet</dc:title>
  <dc:description/>
  <dc:subject/>
  <cp:keywords/>
  <cp:category/>
</cp:coreProperties>
</file>